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D">Lists!$GB$4:INDEX(Lists!$GB$4:$GB$42,MAX(Lists!$GA$4:$GA$40)+2)</definedName>
    <definedName name="SUG_MAIN">Lists!$E$4:INDEX(Lists!$E$4:$E$114,MAX(Lists!$D$4:$D$114))</definedName>
    <definedName name="SUG_B">Lists!$GF$4:INDEX(Lists!$GF$4:$GF$42,MAX(Lists!$GE$4:$GE$40)+2)</definedName>
    <definedName name="SUG_C">Lists!$GJ$4:INDEX(Lists!$GJ$4:$GJ$42,MAX(Lists!$GI$4:$GI$40)+2)</definedName>
    <definedName name="SUG_E">Lists!$GN$4:INDEX(Lists!$GN$4:$GN$42,MAX(Lists!$GM$4:$GM$40)+2)</definedName>
    <definedName name="SUG_F">Lists!$GR$4:INDEX(Lists!$GR$4:$GR$42,MAX(Lists!$GQ$4:$GQ$40)+2)</definedName>
    <definedName name="SUG_G">Lists!$GV$4:INDEX(Lists!$GV$4:$GV$42,MAX(Lists!$GU$4:$GU$40)+2)</definedName>
    <definedName name="SUG_H">Lists!$GZ$4:INDEX(Lists!$GZ$4:$GZ$42,MAX(Lists!$GY$4:$GY$40)+2)</definedName>
    <definedName name="SUG_I">Lists!$HD$4:INDEX(Lists!$HD$4:$HD$42,MAX(Lists!$HC$4:$HC$40)+2)</definedName>
    <definedName name="SUG_J">Lists!$HH$4:INDEX(Lists!$HH$4:$HH$42,MAX(Lists!$HG$4:$HG$40)+2)</definedName>
    <definedName name="SUG_K">Lists!$HL$4:INDEX(Lists!$HL$4:$HL$42,MAX(Lists!$HK$4:$HK$40)+2)</definedName>
    <definedName name="SUG_L">Lists!$HP$4:INDEX(Lists!$HP$4:$HP$42,MAX(Lists!$HO$4:$HO$40)+2)</definedName>
    <definedName name="SUG_M">Lists!$HT$4:INDEX(Lists!$HT$4:$HT$42,MAX(Lists!$HS$4:$HS$40)+2)</definedName>
    <definedName name="SUG_N">Lists!$HX$4:INDEX(Lists!$HX$4:$HX$42,MAX(Lists!$HW$4:$HW$40)+2)</definedName>
    <definedName name="SUG_O">Lists!$IB$4:INDEX(Lists!$IB$4:$IB$42,MAX(Lists!$IA$4:$IA$40)+2)</definedName>
    <definedName name="SUG_P">Lists!$IF$4:INDEX(Lists!$IF$4:$IF$42,MAX(Lists!$IE$4:$IE$40)+2)</definedName>
    <definedName name="SUG_Q">Lists!$IJ$4:INDEX(Lists!$IJ$4:$IJ$42,MAX(Lists!$II$4:$II$40)+2)</definedName>
    <definedName name="SUG_R">Lists!$IN$4:INDEX(Lists!$IN$4:$IN$42,MAX(Lists!$IM$4:$IM$40)+2)</definedName>
    <definedName name="SUG_S">Lists!$IR$4:INDEX(Lists!$IR$4:$IR$42,MAX(Lists!$IQ$4:$IQ$40)+2)</definedName>
    <definedName name="SUG_T">Lists!$IV$4:INDEX(Lists!$IV$4:$IV$42,MAX(Lists!$IU$4:$IU$40)+2)</definedName>
    <definedName name="SUG_U">Lists!$IZ$4:INDEX(Lists!$IZ$4:$IZ$42,MAX(Lists!$IY$4:$IY$40)+2)</definedName>
    <definedName name="SUG_V">Lists!$JD$4:INDEX(Lists!$JD$4:$JD$42,MAX(Lists!$JC$4:$JC$40)+2)</definedName>
    <definedName name="SUG_W">Lists!$JH$4:INDEX(Lists!$JH$4:$JH$42,MAX(Lists!$JG$4:$JG$40)+2)</definedName>
    <definedName name="SUG_X">Lists!$JL$4:INDEX(Lists!$JL$4:$JL$42,MAX(Lists!$JK$4:$JK$40)+2)</definedName>
    <definedName name="SUG_Y">Lists!$JP$4:INDEX(Lists!$JP$4:$JP$42,MAX(Lists!$JO$4:$JO$40)+2)</definedName>
    <definedName name="SUG_Z">Lists!$JT$4:INDEX(Lists!$JT$4:$JT$42,MAX(Lists!$JS$4:$JS$40)+2)</definedName>
    <definedName name="SUG_AA">Lists!$JX$4:INDEX(Lists!$JX$4:$JX$42,MAX(Lists!$JW$4:$JW$40)+2)</definedName>
    <definedName name="SUG_AB">Lists!$KB$4:INDEX(Lists!$KB$4:$KB$42,MAX(Lists!$KA$4:$KA$40)+2)</definedName>
    <definedName name="SUG_AC">Lists!$KF$4:INDEX(Lists!$KF$4:$KF$42,MAX(Lists!$KE$4:$KE$40)+2)</definedName>
    <definedName name="SUG_AD">Lists!$KJ$4:INDEX(Lists!$KJ$4:$KJ$42,MAX(Lists!$KI$4:$KI$40)+2)</definedName>
    <definedName name="SUG_AE">Lists!$KN$4:INDEX(Lists!$KN$4:$KN$42,MAX(Lists!$KM$4:$KM$40)+2)</definedName>
    <definedName name="SUG_AI">Lists!$KR$4:INDEX(Lists!$KR$4:$KR$42,MAX(Lists!$KQ$4:$KQ$40)+2)</definedName>
    <definedName name="SUG_AF">Lists!$KV$4:INDEX(Lists!$KV$4:$KV$42,MAX(Lists!$KU$4:$KU$40)+2)</definedName>
    <definedName name="SUG_AG">Lists!$KZ$4:INDEX(Lists!$KZ$4:$KZ$42,MAX(Lists!$KY$4:$KY$40)+2)</definedName>
    <definedName name="SUG_AH">Lists!$LD$4:INDEX(Lists!$LD$4:$LD$42,MAX(Lists!$LC$4:$LC$40)+2)</definedName>
    <definedName name="SUGN_B">Lists!$LH$4:INDEX(Lists!$LH$4:$LH$42,MAX(Lists!$LG$4:$LG$40)+2)</definedName>
    <definedName name="SUGN_C">Lists!$LL$4:INDEX(Lists!$LL$4:$LL$42,MAX(Lists!$LK$4:$LK$40)+2)</definedName>
    <definedName name="SUGN_D">Lists!$LP$4:INDEX(Lists!$LP$4:$LP$42,MAX(Lists!$LO$4:$LO$40)+2)</definedName>
    <definedName name="SUGN_E">Lists!$LT$4:INDEX(Lists!$LT$4:$LT$42,MAX(Lists!$LS$4:$LS$40)+2)</definedName>
    <definedName name="SUGN_F">Lists!$LX$4:INDEX(Lists!$LX$4:$LX$42,MAX(Lists!$LW$4:$LW$40)+2)</definedName>
    <definedName name="SUGN_G">Lists!$MB$4:INDEX(Lists!$MB$4:$MB$42,MAX(Lists!$MA$4:$MA$40)+2)</definedName>
    <definedName name="SUGN_H">Lists!$MF$4:INDEX(Lists!$MF$4:$MF$42,MAX(Lists!$ME$4:$ME$40)+2)</definedName>
    <definedName name="SUGN_I">Lists!$MJ$4:INDEX(Lists!$MJ$4:$MJ$42,MAX(Lists!$MI$4:$MI$40)+2)</definedName>
    <definedName name="SUGN_J">Lists!$MN$4:INDEX(Lists!$MN$4:$MN$42,MAX(Lists!$MM$4:$MM$40)+2)</definedName>
    <definedName name="SUGN_K">Lists!$MR$4:INDEX(Lists!$MR$4:$MR$42,MAX(Lists!$MQ$4:$MQ$40)+2)</definedName>
    <definedName name="SUGN_L">Lists!$MV$4:INDEX(Lists!$MV$4:$MV$42,MAX(Lists!$MU$4:$MU$40)+2)</definedName>
    <definedName name="SUGN_M">Lists!$MZ$4:INDEX(Lists!$MZ$4:$MZ$42,MAX(Lists!$MY$4:$MY$40)+2)</definedName>
    <definedName name="SUGN_N">Lists!$ND$4:INDEX(Lists!$ND$4:$ND$42,MAX(Lists!$NC$4:$NC$40)+2)</definedName>
    <definedName name="SUGN_O">Lists!$NH$4:INDEX(Lists!$NH$4:$NH$42,MAX(Lists!$NG$4:$NG$40)+2)</definedName>
    <definedName name="SUGN_P">Lists!$NL$4:INDEX(Lists!$NL$4:$NL$42,MAX(Lists!$NK$4:$NK$40)+2)</definedName>
    <definedName name="SUGN_Q">Lists!$NP$4:INDEX(Lists!$NP$4:$NP$42,MAX(Lists!$NO$4:$NO$40)+2)</definedName>
    <definedName name="SUGN_R">Lists!$NT$4:INDEX(Lists!$NT$4:$NT$42,MAX(Lists!$NS$4:$NS$40)+2)</definedName>
    <definedName name="SUGN_S">Lists!$NX$4:INDEX(Lists!$NX$4:$NX$42,MAX(Lists!$NW$4:$NW$40)+2)</definedName>
    <definedName name="SUGN_T">Lists!$OB$4:INDEX(Lists!$OB$4:$OB$42,MAX(Lists!$OA$4:$OA$40)+2)</definedName>
    <definedName name="SUGN_U">Lists!$OF$4:INDEX(Lists!$OF$4:$OF$42,MAX(Lists!$OE$4:$OE$40)+2)</definedName>
    <definedName name="SUGN_V">Lists!$OJ$4:INDEX(Lists!$OJ$4:$OJ$42,MAX(Lists!$OI$4:$OI$40)+2)</definedName>
    <definedName name="SUGN_W">Lists!$ON$4:INDEX(Lists!$ON$4:$ON$42,MAX(Lists!$OM$4:$OM$40)+2)</definedName>
    <definedName name="SUGN_X">Lists!$OR$4:INDEX(Lists!$OR$4:$OR$42,MAX(Lists!$OQ$4:$OQ$40)+2)</definedName>
    <definedName name="SUGN_Y">Lists!$OV$4:INDEX(Lists!$OV$4:$OV$42,MAX(Lists!$OU$4:$OU$40)+2)</definedName>
    <definedName name="SUGN_Z">Lists!$OZ$4:INDEX(Lists!$OZ$4:$OZ$42,MAX(Lists!$OY$4:$OY$40)+2)</definedName>
    <definedName name="SUGN_AA">Lists!$PD$4:INDEX(Lists!$PD$4:$PD$42,MAX(Lists!$PC$4:$PC$40)+2)</definedName>
    <definedName name="SUGN_AB">Lists!$PH$4:INDEX(Lists!$PH$4:$PH$42,MAX(Lists!$PG$4:$PG$40)+2)</definedName>
    <definedName name="SUGN_AC">Lists!$PL$4:INDEX(Lists!$PL$4:$PL$42,MAX(Lists!$PK$4:$PK$40)+2)</definedName>
    <definedName name="SUGN_AD">Lists!$PP$4:INDEX(Lists!$PP$4:$PP$42,MAX(Lists!$PO$4:$PO$40)+2)</definedName>
    <definedName name="SUGN_AE">Lists!$PT$4:INDEX(Lists!$PT$4:$PT$42,MAX(Lists!$PS$4:$PS$40)+2)</definedName>
    <definedName name="SUGN_AI">Lists!$PX$4:INDEX(Lists!$PX$4:$PX$42,MAX(Lists!$PW$4:$PW$40)+2)</definedName>
    <definedName name="SUGN_AF">Lists!$QB$4:INDEX(Lists!$QB$4:$QB$42,MAX(Lists!$QA$4:$QA$40)+2)</definedName>
    <definedName name="SUGN_AG">Lists!$QF$4:INDEX(Lists!$QF$4:$QF$42,MAX(Lists!$QE$4:$QE$40)+2)</definedName>
    <definedName name="SUGN_AH">Lists!$QJ$4:INDEX(Lists!$QJ$4:$QJ$42,MAX(Lists!$QI$4:$QI$40)+2)</definedName>
    <definedName name="_xlnm._FilterDatabase" localSheetId="0" hidden="1">'Final Calculation Sheet'!$A$3:$AH$43</definedName>
    <definedName name="_xlnm.Print_Titles" localSheetId="1">'Live Search'!$5:$5</definedName>
    <definedName name="SUGF_A">Lists!$QS$4:INDEX(Lists!$QS$4:$QS$42,MAX(Lists!$QR$4:$QR$40)+2)</definedName>
    <definedName name="SUGF_B">Lists!$QW$4:INDEX(Lists!$QW$4:$QW$42,MAX(Lists!$QV$4:$QV$40)+2)</definedName>
    <definedName name="SUGF_C">Lists!$RA$4:INDEX(Lists!$RA$4:$RA$42,MAX(Lists!$QZ$4:$QZ$40)+2)</definedName>
    <definedName name="SUGF_D">Lists!$RE$4:INDEX(Lists!$RE$4:$RE$42,MAX(Lists!$RD$4:$RD$40)+2)</definedName>
    <definedName name="SUGF_E">Lists!$RI$4:INDEX(Lists!$RI$4:$RI$42,MAX(Lists!$RH$4:$RH$40)+2)</definedName>
    <definedName name="SUGF_F">Lists!$RM$4:INDEX(Lists!$RM$4:$RM$42,MAX(Lists!$RL$4:$RL$40)+2)</definedName>
    <definedName name="SUGF_G">Lists!$RQ$4:INDEX(Lists!$RQ$4:$RQ$42,MAX(Lists!$RP$4:$RP$40)+2)</definedName>
    <definedName name="SUGF_H">Lists!$RU$4:INDEX(Lists!$RU$4:$RU$42,MAX(Lists!$RT$4:$RT$40)+2)</definedName>
    <definedName name="SUGF_I">Lists!$RY$4:INDEX(Lists!$RY$4:$RY$42,MAX(Lists!$RX$4:$RX$40)+2)</definedName>
    <definedName name="SUGF_J">Lists!$SC$4:INDEX(Lists!$SC$4:$SC$42,MAX(Lists!$SB$4:$SB$40)+2)</definedName>
    <definedName name="SUGF_K">Lists!$SG$4:INDEX(Lists!$SG$4:$SG$42,MAX(Lists!$SF$4:$SF$40)+2)</definedName>
    <definedName name="SUGF_L">Lists!$SK$4:INDEX(Lists!$SK$4:$SK$42,MAX(Lists!$SJ$4:$SJ$40)+2)</definedName>
    <definedName name="SUGF_M">Lists!$SO$4:INDEX(Lists!$SO$4:$SO$42,MAX(Lists!$SN$4:$SN$40)+2)</definedName>
    <definedName name="SUGF_N">Lists!$SS$4:INDEX(Lists!$SS$4:$SS$42,MAX(Lists!$SR$4:$SR$40)+2)</definedName>
    <definedName name="SUGF_O">Lists!$SW$4:INDEX(Lists!$SW$4:$SW$42,MAX(Lists!$SV$4:$SV$40)+2)</definedName>
    <definedName name="SUGF_P">Lists!$TA$4:INDEX(Lists!$TA$4:$TA$42,MAX(Lists!$SZ$4:$SZ$40)+2)</definedName>
    <definedName name="SUGF_Q">Lists!$TE$4:INDEX(Lists!$TE$4:$TE$42,MAX(Lists!$TD$4:$TD$40)+2)</definedName>
    <definedName name="SUGF_R">Lists!$TI$4:INDEX(Lists!$TI$4:$TI$42,MAX(Lists!$TH$4:$TH$40)+2)</definedName>
    <definedName name="SUGF_S">Lists!$TM$4:INDEX(Lists!$TM$4:$TM$42,MAX(Lists!$TL$4:$TL$40)+2)</definedName>
    <definedName name="SUGF_T">Lists!$TQ$4:INDEX(Lists!$TQ$4:$TQ$42,MAX(Lists!$TP$4:$TP$40)+2)</definedName>
    <definedName name="SUGF_U">Lists!$TU$4:INDEX(Lists!$TU$4:$TU$42,MAX(Lists!$TT$4:$TT$40)+2)</definedName>
    <definedName name="SUGF_V">Lists!$TY$4:INDEX(Lists!$TY$4:$TY$42,MAX(Lists!$TX$4:$TX$40)+2)</definedName>
    <definedName name="SUGF_W">Lists!$UC$4:INDEX(Lists!$UC$4:$UC$42,MAX(Lists!$UB$4:$UB$40)+2)</definedName>
    <definedName name="SUGF_X">Lists!$UG$4:INDEX(Lists!$UG$4:$UG$42,MAX(Lists!$UF$4:$UF$40)+2)</definedName>
    <definedName name="SUGF_Y">Lists!$UK$4:INDEX(Lists!$UK$4:$UK$42,MAX(Lists!$UJ$4:$UJ$40)+2)</definedName>
    <definedName name="SUGF_Z">Lists!$UO$4:INDEX(Lists!$UO$4:$UO$42,MAX(Lists!$UN$4:$UN$40)+2)</definedName>
    <definedName name="SUGF_AA">Lists!$US$4:INDEX(Lists!$US$4:$US$42,MAX(Lists!$UR$4:$UR$40)+2)</definedName>
    <definedName name="SUGF_AB">Lists!$UW$4:INDEX(Lists!$UW$4:$UW$42,MAX(Lists!$UV$4:$UV$40)+2)</definedName>
    <definedName name="SUGF_AC">Lists!$VA$4:INDEX(Lists!$VA$4:$VA$42,MAX(Lists!$UZ$4:$UZ$40)+2)</definedName>
    <definedName name="SUGF_AD">Lists!$VE$4:INDEX(Lists!$VE$4:$VE$42,MAX(Lists!$VD$4:$VD$40)+2)</definedName>
    <definedName name="SUGF_AE">Lists!$VI$4:INDEX(Lists!$VI$4:$VI$42,MAX(Lists!$VH$4:$VH$40)+2)</definedName>
    <definedName name="SUGF_AF">Lists!$VM$4:INDEX(Lists!$VM$4:$VM$42,MAX(Lists!$VL$4:$VL$40)+2)</definedName>
    <definedName name="SUGF_AG">Lists!$VQ$4:INDEX(Lists!$VQ$4:$VQ$42,MAX(Lists!$VP$4:$VP$40)+2)</definedName>
    <definedName name="SUGF_AH">Lists!$VU$4:INDEX(Lists!$VU$4:$VU$42,MAX(Lists!$VT$4:$VT$40)+2)</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BT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min="38" max="72" width="11" customWidth="1" hidden="1" outlineLevel="1" style="137"/>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30" customHeight="1" s="137">
      <c r="A2" s="78"/>
      <c r="B2" s="78"/>
      <c r="C2" s="78"/>
      <c r="D2" s="78"/>
      <c r="E2" s="78"/>
      <c r="F2" s="78"/>
      <c r="G2" s="78"/>
      <c r="H2" s="78"/>
      <c r="I2" s="78"/>
      <c r="J2" s="78"/>
      <c r="K2" s="78"/>
      <c r="L2" s="78"/>
      <c r="M2" s="78"/>
      <c r="N2" s="78"/>
      <c r="O2" s="78"/>
      <c r="P2" s="78"/>
      <c r="Q2" s="78"/>
      <c r="R2" s="78"/>
      <c r="S2" s="78"/>
      <c r="T2" s="78"/>
      <c r="U2" s="78"/>
      <c r="V2" s="78"/>
      <c r="W2" s="78"/>
      <c r="X2" s="78"/>
      <c r="Y2" s="78"/>
      <c r="Z2" s="78"/>
      <c r="AA2" s="78"/>
      <c r="AB2" s="78"/>
      <c r="AC2" s="78"/>
      <c r="AD2" s="78"/>
      <c r="AE2" s="78"/>
      <c r="AF2" s="78"/>
      <c r="AG2" s="78"/>
      <c r="AH2" s="78"/>
      <c r="AI2" s="77">
        <f>IF(COUNTIF($A$2:$AH$2,"&lt;&gt;")=0,"🔍 SEARCH - nothing typed yet, all 37 rows are shown.   ·   type in any yellow box above a column, or pick from its dropdown: every column is searched, the boxes are ANDed together, (blank)/(nonblank) and * / ? work as usual","🔍 MATCHED "&amp;SUM($BT$4:$BT$40)&amp;" of 37 row(s)   ·   the rows that miss are greyed out, nothing is hidden and the totals still cover all 37   ·   clear a box to widen the dropdowns again")</f>
      </c>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IF(IF(OR(AB4="",AB4=0),TODAY(),DATE(VALUE(RIGHT(AB4,4)),VALUE(MID(AB4,4,2)),VALUE(LEFT(AB4,2))))&lt;=DATE(2026,8,24),0,H4*0.0118*CEILING((IF(OR(AB4="",AB4=0),TODAY(),DATE(VALUE(RIGHT(AB4,4)),VALUE(MID(AB4,4,2)),VALUE(LEFT(AB4,2))))-DATE(2026,8,22))/7,1))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L4" s="137">
        <f>IF($A$2="",1,IF($A$2="(blank)",--(A4=""),IF($A$2="(nonblank)",--(A4&lt;&gt;""),--ISNUMBER(SEARCH($A$2,A4)))))</f>
      </c>
      <c r="AM4" s="137">
        <f>IF($B$2="",1,IF($B$2="(blank)",--(B4=""),IF($B$2="(nonblank)",--(B4&lt;&gt;""),--ISNUMBER(SEARCH($B$2,B4)))))</f>
      </c>
      <c r="AN4" s="137">
        <f>IF($C$2="",1,IF($C$2="(blank)",--(C4=""),IF($C$2="(nonblank)",--(C4&lt;&gt;""),--ISNUMBER(SEARCH($C$2,C4)))))</f>
      </c>
      <c r="AO4" s="137">
        <f>IF($D$2="",1,IF($D$2="(blank)",--(D4=""),IF($D$2="(nonblank)",--(D4&lt;&gt;""),--ISNUMBER(SEARCH($D$2,D4)))))</f>
      </c>
      <c r="AP4" s="137">
        <f>IF($E$2="",1,IF($E$2="(blank)",--(E4=""),IF($E$2="(nonblank)",--(E4&lt;&gt;""),--ISNUMBER(SEARCH($E$2,E4)))))</f>
      </c>
      <c r="AQ4" s="137">
        <f>IF($F$2="",1,IF($F$2="(blank)",--(F4=""),IF($F$2="(nonblank)",--(F4&lt;&gt;""),--ISNUMBER(SEARCH($F$2,F4)))))</f>
      </c>
      <c r="AR4" s="137">
        <f>IF($G$2="",1,IF($G$2="(blank)",--(G4=""),IF($G$2="(nonblank)",--(G4&lt;&gt;""),--ISNUMBER(SEARCH($G$2,G4)))))</f>
      </c>
      <c r="AS4" s="137">
        <f>IF($H$2="",1,IF($H$2="(blank)",--(H4=""),IF($H$2="(nonblank)",--(H4&lt;&gt;""),--ISNUMBER(SEARCH($H$2,H4)))))</f>
      </c>
      <c r="AT4" s="137">
        <f>IF($I$2="",1,IF($I$2="(blank)",--(I4=""),IF($I$2="(nonblank)",--(I4&lt;&gt;""),--ISNUMBER(SEARCH($I$2,I4)))))</f>
      </c>
      <c r="AU4" s="137">
        <f>IF($J$2="",1,IF($J$2="(blank)",--(J4=""),IF($J$2="(nonblank)",--(J4&lt;&gt;""),--ISNUMBER(SEARCH($J$2,J4)))))</f>
      </c>
      <c r="AV4" s="137">
        <f>IF($K$2="",1,IF($K$2="(blank)",--(K4=""),IF($K$2="(nonblank)",--(K4&lt;&gt;""),--ISNUMBER(SEARCH($K$2,K4)))))</f>
      </c>
      <c r="AW4" s="137">
        <f>IF($L$2="",1,IF($L$2="(blank)",--(L4=""),IF($L$2="(nonblank)",--(L4&lt;&gt;""),--ISNUMBER(SEARCH($L$2,L4)))))</f>
      </c>
      <c r="AX4" s="137">
        <f>IF($M$2="",1,IF($M$2="(blank)",--(M4=""),IF($M$2="(nonblank)",--(M4&lt;&gt;""),--ISNUMBER(SEARCH($M$2,M4)))))</f>
      </c>
      <c r="AY4" s="137">
        <f>IF($N$2="",1,IF($N$2="(blank)",--(N4=""),IF($N$2="(nonblank)",--(N4&lt;&gt;""),--ISNUMBER(SEARCH($N$2,N4)))))</f>
      </c>
      <c r="AZ4" s="137">
        <f>IF($O$2="",1,IF($O$2="(blank)",--(O4=""),IF($O$2="(nonblank)",--(O4&lt;&gt;""),--ISNUMBER(SEARCH($O$2,O4)))))</f>
      </c>
      <c r="BA4" s="137">
        <f>IF($P$2="",1,IF($P$2="(blank)",--(P4=""),IF($P$2="(nonblank)",--(P4&lt;&gt;""),--ISNUMBER(SEARCH($P$2,P4)))))</f>
      </c>
      <c r="BB4" s="137">
        <f>IF($Q$2="",1,IF($Q$2="(blank)",--(Q4=""),IF($Q$2="(nonblank)",--(Q4&lt;&gt;""),--ISNUMBER(SEARCH($Q$2,Q4)))))</f>
      </c>
      <c r="BC4" s="137">
        <f>IF($R$2="",1,IF($R$2="(blank)",--(R4=""),IF($R$2="(nonblank)",--(R4&lt;&gt;""),--ISNUMBER(SEARCH($R$2,R4)))))</f>
      </c>
      <c r="BD4" s="137">
        <f>IF($S$2="",1,IF($S$2="(blank)",--(S4=""),IF($S$2="(nonblank)",--(S4&lt;&gt;""),--ISNUMBER(SEARCH($S$2,S4)))))</f>
      </c>
      <c r="BE4" s="137">
        <f>IF($T$2="",1,IF($T$2="(blank)",--(T4=""),IF($T$2="(nonblank)",--(T4&lt;&gt;""),--ISNUMBER(SEARCH($T$2,T4)))))</f>
      </c>
      <c r="BF4" s="137">
        <f>IF($U$2="",1,IF($U$2="(blank)",--(U4=""),IF($U$2="(nonblank)",--(U4&lt;&gt;""),--ISNUMBER(SEARCH($U$2,U4)))))</f>
      </c>
      <c r="BG4" s="137">
        <f>IF($V$2="",1,IF($V$2="(blank)",--(V4=""),IF($V$2="(nonblank)",--(V4&lt;&gt;""),--ISNUMBER(SEARCH($V$2,V4)))))</f>
      </c>
      <c r="BH4" s="137">
        <f>IF($W$2="",1,IF($W$2="(blank)",--(W4=""),IF($W$2="(nonblank)",--(W4&lt;&gt;""),--ISNUMBER(SEARCH($W$2,W4)))))</f>
      </c>
      <c r="BI4" s="137">
        <f>IF($X$2="",1,IF($X$2="(blank)",--(X4=""),IF($X$2="(nonblank)",--(X4&lt;&gt;""),--ISNUMBER(SEARCH($X$2,X4)))))</f>
      </c>
      <c r="BJ4" s="137">
        <f>IF($Y$2="",1,IF($Y$2="(blank)",--(Y4=""),IF($Y$2="(nonblank)",--(Y4&lt;&gt;""),--ISNUMBER(SEARCH($Y$2,Y4)))))</f>
      </c>
      <c r="BK4" s="137">
        <f>IF($Z$2="",1,IF($Z$2="(blank)",--(Z4=""),IF($Z$2="(nonblank)",--(Z4&lt;&gt;""),--ISNUMBER(SEARCH($Z$2,Z4)))))</f>
      </c>
      <c r="BL4" s="137">
        <f>IF($AA$2="",1,IF($AA$2="(blank)",--(AA4=""),IF($AA$2="(nonblank)",--(AA4&lt;&gt;""),--ISNUMBER(SEARCH($AA$2,AA4)))))</f>
      </c>
      <c r="BM4" s="137">
        <f>IF($AB$2="",1,IF($AB$2="(blank)",--(AB4=""),IF($AB$2="(nonblank)",--(AB4&lt;&gt;""),--ISNUMBER(SEARCH($AB$2,AB4)))))</f>
      </c>
      <c r="BN4" s="137">
        <f>IF($AC$2="",1,IF($AC$2="(blank)",--(AC4=""),IF($AC$2="(nonblank)",--(AC4&lt;&gt;""),--ISNUMBER(SEARCH($AC$2,AC4)))))</f>
      </c>
      <c r="BO4" s="137">
        <f>IF($AD$2="",1,IF($AD$2="(blank)",--(AD4=""),IF($AD$2="(nonblank)",--(AD4&lt;&gt;""),--ISNUMBER(SEARCH($AD$2,AD4)))))</f>
      </c>
      <c r="BP4" s="137">
        <f>IF($AE$2="",1,IF($AE$2="(blank)",--(AE4=""),IF($AE$2="(nonblank)",--(AE4&lt;&gt;""),--ISNUMBER(SEARCH($AE$2,AE4)))))</f>
      </c>
      <c r="BQ4" s="137">
        <f>IF($AF$2="",1,IF($AF$2="(blank)",--(AF4=""),IF($AF$2="(nonblank)",--(AF4&lt;&gt;""),--ISNUMBER(SEARCH($AF$2,AF4)))))</f>
      </c>
      <c r="BR4" s="137">
        <f>IF($AG$2="",1,IF($AG$2="(blank)",--(AG4=""),IF($AG$2="(nonblank)",--(AG4&lt;&gt;""),--ISNUMBER(SEARCH($AG$2,AG4)))))</f>
      </c>
      <c r="BS4" s="137">
        <f>IF($AH$2="",1,IF($AH$2="(blank)",--(AH4=""),IF($AH$2="(nonblank)",--(AH4&lt;&gt;""),--ISNUMBER(SEARCH($AH$2,AH4)))))</f>
      </c>
      <c r="BT4" s="137">
        <f>IF(COUNTIF($AL4:$BS4,0)&gt;0,0,1)</f>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IF(IF(OR(AB5="",AB5=0),TODAY(),DATE(VALUE(RIGHT(AB5,4)),VALUE(MID(AB5,4,2)),VALUE(LEFT(AB5,2))))&lt;=DATE(2026,8,24),0,H5*0.0118*CEILING((IF(OR(AB5="",AB5=0),TODAY(),DATE(VALUE(RIGHT(AB5,4)),VALUE(MID(AB5,4,2)),VALUE(LEFT(AB5,2))))-DATE(2026,8,22))/7,1))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L5" s="137">
        <f>IF($A$2="",1,IF($A$2="(blank)",--(A5=""),IF($A$2="(nonblank)",--(A5&lt;&gt;""),--ISNUMBER(SEARCH($A$2,A5)))))</f>
      </c>
      <c r="AM5" s="137">
        <f>IF($B$2="",1,IF($B$2="(blank)",--(B5=""),IF($B$2="(nonblank)",--(B5&lt;&gt;""),--ISNUMBER(SEARCH($B$2,B5)))))</f>
      </c>
      <c r="AN5" s="137">
        <f>IF($C$2="",1,IF($C$2="(blank)",--(C5=""),IF($C$2="(nonblank)",--(C5&lt;&gt;""),--ISNUMBER(SEARCH($C$2,C5)))))</f>
      </c>
      <c r="AO5" s="137">
        <f>IF($D$2="",1,IF($D$2="(blank)",--(D5=""),IF($D$2="(nonblank)",--(D5&lt;&gt;""),--ISNUMBER(SEARCH($D$2,D5)))))</f>
      </c>
      <c r="AP5" s="137">
        <f>IF($E$2="",1,IF($E$2="(blank)",--(E5=""),IF($E$2="(nonblank)",--(E5&lt;&gt;""),--ISNUMBER(SEARCH($E$2,E5)))))</f>
      </c>
      <c r="AQ5" s="137">
        <f>IF($F$2="",1,IF($F$2="(blank)",--(F5=""),IF($F$2="(nonblank)",--(F5&lt;&gt;""),--ISNUMBER(SEARCH($F$2,F5)))))</f>
      </c>
      <c r="AR5" s="137">
        <f>IF($G$2="",1,IF($G$2="(blank)",--(G5=""),IF($G$2="(nonblank)",--(G5&lt;&gt;""),--ISNUMBER(SEARCH($G$2,G5)))))</f>
      </c>
      <c r="AS5" s="137">
        <f>IF($H$2="",1,IF($H$2="(blank)",--(H5=""),IF($H$2="(nonblank)",--(H5&lt;&gt;""),--ISNUMBER(SEARCH($H$2,H5)))))</f>
      </c>
      <c r="AT5" s="137">
        <f>IF($I$2="",1,IF($I$2="(blank)",--(I5=""),IF($I$2="(nonblank)",--(I5&lt;&gt;""),--ISNUMBER(SEARCH($I$2,I5)))))</f>
      </c>
      <c r="AU5" s="137">
        <f>IF($J$2="",1,IF($J$2="(blank)",--(J5=""),IF($J$2="(nonblank)",--(J5&lt;&gt;""),--ISNUMBER(SEARCH($J$2,J5)))))</f>
      </c>
      <c r="AV5" s="137">
        <f>IF($K$2="",1,IF($K$2="(blank)",--(K5=""),IF($K$2="(nonblank)",--(K5&lt;&gt;""),--ISNUMBER(SEARCH($K$2,K5)))))</f>
      </c>
      <c r="AW5" s="137">
        <f>IF($L$2="",1,IF($L$2="(blank)",--(L5=""),IF($L$2="(nonblank)",--(L5&lt;&gt;""),--ISNUMBER(SEARCH($L$2,L5)))))</f>
      </c>
      <c r="AX5" s="137">
        <f>IF($M$2="",1,IF($M$2="(blank)",--(M5=""),IF($M$2="(nonblank)",--(M5&lt;&gt;""),--ISNUMBER(SEARCH($M$2,M5)))))</f>
      </c>
      <c r="AY5" s="137">
        <f>IF($N$2="",1,IF($N$2="(blank)",--(N5=""),IF($N$2="(nonblank)",--(N5&lt;&gt;""),--ISNUMBER(SEARCH($N$2,N5)))))</f>
      </c>
      <c r="AZ5" s="137">
        <f>IF($O$2="",1,IF($O$2="(blank)",--(O5=""),IF($O$2="(nonblank)",--(O5&lt;&gt;""),--ISNUMBER(SEARCH($O$2,O5)))))</f>
      </c>
      <c r="BA5" s="137">
        <f>IF($P$2="",1,IF($P$2="(blank)",--(P5=""),IF($P$2="(nonblank)",--(P5&lt;&gt;""),--ISNUMBER(SEARCH($P$2,P5)))))</f>
      </c>
      <c r="BB5" s="137">
        <f>IF($Q$2="",1,IF($Q$2="(blank)",--(Q5=""),IF($Q$2="(nonblank)",--(Q5&lt;&gt;""),--ISNUMBER(SEARCH($Q$2,Q5)))))</f>
      </c>
      <c r="BC5" s="137">
        <f>IF($R$2="",1,IF($R$2="(blank)",--(R5=""),IF($R$2="(nonblank)",--(R5&lt;&gt;""),--ISNUMBER(SEARCH($R$2,R5)))))</f>
      </c>
      <c r="BD5" s="137">
        <f>IF($S$2="",1,IF($S$2="(blank)",--(S5=""),IF($S$2="(nonblank)",--(S5&lt;&gt;""),--ISNUMBER(SEARCH($S$2,S5)))))</f>
      </c>
      <c r="BE5" s="137">
        <f>IF($T$2="",1,IF($T$2="(blank)",--(T5=""),IF($T$2="(nonblank)",--(T5&lt;&gt;""),--ISNUMBER(SEARCH($T$2,T5)))))</f>
      </c>
      <c r="BF5" s="137">
        <f>IF($U$2="",1,IF($U$2="(blank)",--(U5=""),IF($U$2="(nonblank)",--(U5&lt;&gt;""),--ISNUMBER(SEARCH($U$2,U5)))))</f>
      </c>
      <c r="BG5" s="137">
        <f>IF($V$2="",1,IF($V$2="(blank)",--(V5=""),IF($V$2="(nonblank)",--(V5&lt;&gt;""),--ISNUMBER(SEARCH($V$2,V5)))))</f>
      </c>
      <c r="BH5" s="137">
        <f>IF($W$2="",1,IF($W$2="(blank)",--(W5=""),IF($W$2="(nonblank)",--(W5&lt;&gt;""),--ISNUMBER(SEARCH($W$2,W5)))))</f>
      </c>
      <c r="BI5" s="137">
        <f>IF($X$2="",1,IF($X$2="(blank)",--(X5=""),IF($X$2="(nonblank)",--(X5&lt;&gt;""),--ISNUMBER(SEARCH($X$2,X5)))))</f>
      </c>
      <c r="BJ5" s="137">
        <f>IF($Y$2="",1,IF($Y$2="(blank)",--(Y5=""),IF($Y$2="(nonblank)",--(Y5&lt;&gt;""),--ISNUMBER(SEARCH($Y$2,Y5)))))</f>
      </c>
      <c r="BK5" s="137">
        <f>IF($Z$2="",1,IF($Z$2="(blank)",--(Z5=""),IF($Z$2="(nonblank)",--(Z5&lt;&gt;""),--ISNUMBER(SEARCH($Z$2,Z5)))))</f>
      </c>
      <c r="BL5" s="137">
        <f>IF($AA$2="",1,IF($AA$2="(blank)",--(AA5=""),IF($AA$2="(nonblank)",--(AA5&lt;&gt;""),--ISNUMBER(SEARCH($AA$2,AA5)))))</f>
      </c>
      <c r="BM5" s="137">
        <f>IF($AB$2="",1,IF($AB$2="(blank)",--(AB5=""),IF($AB$2="(nonblank)",--(AB5&lt;&gt;""),--ISNUMBER(SEARCH($AB$2,AB5)))))</f>
      </c>
      <c r="BN5" s="137">
        <f>IF($AC$2="",1,IF($AC$2="(blank)",--(AC5=""),IF($AC$2="(nonblank)",--(AC5&lt;&gt;""),--ISNUMBER(SEARCH($AC$2,AC5)))))</f>
      </c>
      <c r="BO5" s="137">
        <f>IF($AD$2="",1,IF($AD$2="(blank)",--(AD5=""),IF($AD$2="(nonblank)",--(AD5&lt;&gt;""),--ISNUMBER(SEARCH($AD$2,AD5)))))</f>
      </c>
      <c r="BP5" s="137">
        <f>IF($AE$2="",1,IF($AE$2="(blank)",--(AE5=""),IF($AE$2="(nonblank)",--(AE5&lt;&gt;""),--ISNUMBER(SEARCH($AE$2,AE5)))))</f>
      </c>
      <c r="BQ5" s="137">
        <f>IF($AF$2="",1,IF($AF$2="(blank)",--(AF5=""),IF($AF$2="(nonblank)",--(AF5&lt;&gt;""),--ISNUMBER(SEARCH($AF$2,AF5)))))</f>
      </c>
      <c r="BR5" s="137">
        <f>IF($AG$2="",1,IF($AG$2="(blank)",--(AG5=""),IF($AG$2="(nonblank)",--(AG5&lt;&gt;""),--ISNUMBER(SEARCH($AG$2,AG5)))))</f>
      </c>
      <c r="BS5" s="137">
        <f>IF($AH$2="",1,IF($AH$2="(blank)",--(AH5=""),IF($AH$2="(nonblank)",--(AH5&lt;&gt;""),--ISNUMBER(SEARCH($AH$2,AH5)))))</f>
      </c>
      <c r="BT5" s="137">
        <f>IF(COUNTIF($AL5:$BS5,0)&gt;0,0,1)</f>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IF(IF(OR(AB6="",AB6=0),TODAY(),DATE(VALUE(RIGHT(AB6,4)),VALUE(MID(AB6,4,2)),VALUE(LEFT(AB6,2))))&lt;=DATE(2026,8,24),0,H6*0.0118*CEILING((IF(OR(AB6="",AB6=0),TODAY(),DATE(VALUE(RIGHT(AB6,4)),VALUE(MID(AB6,4,2)),VALUE(LEFT(AB6,2))))-DATE(2026,8,22))/7,1))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L6" s="137">
        <f>IF($A$2="",1,IF($A$2="(blank)",--(A6=""),IF($A$2="(nonblank)",--(A6&lt;&gt;""),--ISNUMBER(SEARCH($A$2,A6)))))</f>
      </c>
      <c r="AM6" s="137">
        <f>IF($B$2="",1,IF($B$2="(blank)",--(B6=""),IF($B$2="(nonblank)",--(B6&lt;&gt;""),--ISNUMBER(SEARCH($B$2,B6)))))</f>
      </c>
      <c r="AN6" s="137">
        <f>IF($C$2="",1,IF($C$2="(blank)",--(C6=""),IF($C$2="(nonblank)",--(C6&lt;&gt;""),--ISNUMBER(SEARCH($C$2,C6)))))</f>
      </c>
      <c r="AO6" s="137">
        <f>IF($D$2="",1,IF($D$2="(blank)",--(D6=""),IF($D$2="(nonblank)",--(D6&lt;&gt;""),--ISNUMBER(SEARCH($D$2,D6)))))</f>
      </c>
      <c r="AP6" s="137">
        <f>IF($E$2="",1,IF($E$2="(blank)",--(E6=""),IF($E$2="(nonblank)",--(E6&lt;&gt;""),--ISNUMBER(SEARCH($E$2,E6)))))</f>
      </c>
      <c r="AQ6" s="137">
        <f>IF($F$2="",1,IF($F$2="(blank)",--(F6=""),IF($F$2="(nonblank)",--(F6&lt;&gt;""),--ISNUMBER(SEARCH($F$2,F6)))))</f>
      </c>
      <c r="AR6" s="137">
        <f>IF($G$2="",1,IF($G$2="(blank)",--(G6=""),IF($G$2="(nonblank)",--(G6&lt;&gt;""),--ISNUMBER(SEARCH($G$2,G6)))))</f>
      </c>
      <c r="AS6" s="137">
        <f>IF($H$2="",1,IF($H$2="(blank)",--(H6=""),IF($H$2="(nonblank)",--(H6&lt;&gt;""),--ISNUMBER(SEARCH($H$2,H6)))))</f>
      </c>
      <c r="AT6" s="137">
        <f>IF($I$2="",1,IF($I$2="(blank)",--(I6=""),IF($I$2="(nonblank)",--(I6&lt;&gt;""),--ISNUMBER(SEARCH($I$2,I6)))))</f>
      </c>
      <c r="AU6" s="137">
        <f>IF($J$2="",1,IF($J$2="(blank)",--(J6=""),IF($J$2="(nonblank)",--(J6&lt;&gt;""),--ISNUMBER(SEARCH($J$2,J6)))))</f>
      </c>
      <c r="AV6" s="137">
        <f>IF($K$2="",1,IF($K$2="(blank)",--(K6=""),IF($K$2="(nonblank)",--(K6&lt;&gt;""),--ISNUMBER(SEARCH($K$2,K6)))))</f>
      </c>
      <c r="AW6" s="137">
        <f>IF($L$2="",1,IF($L$2="(blank)",--(L6=""),IF($L$2="(nonblank)",--(L6&lt;&gt;""),--ISNUMBER(SEARCH($L$2,L6)))))</f>
      </c>
      <c r="AX6" s="137">
        <f>IF($M$2="",1,IF($M$2="(blank)",--(M6=""),IF($M$2="(nonblank)",--(M6&lt;&gt;""),--ISNUMBER(SEARCH($M$2,M6)))))</f>
      </c>
      <c r="AY6" s="137">
        <f>IF($N$2="",1,IF($N$2="(blank)",--(N6=""),IF($N$2="(nonblank)",--(N6&lt;&gt;""),--ISNUMBER(SEARCH($N$2,N6)))))</f>
      </c>
      <c r="AZ6" s="137">
        <f>IF($O$2="",1,IF($O$2="(blank)",--(O6=""),IF($O$2="(nonblank)",--(O6&lt;&gt;""),--ISNUMBER(SEARCH($O$2,O6)))))</f>
      </c>
      <c r="BA6" s="137">
        <f>IF($P$2="",1,IF($P$2="(blank)",--(P6=""),IF($P$2="(nonblank)",--(P6&lt;&gt;""),--ISNUMBER(SEARCH($P$2,P6)))))</f>
      </c>
      <c r="BB6" s="137">
        <f>IF($Q$2="",1,IF($Q$2="(blank)",--(Q6=""),IF($Q$2="(nonblank)",--(Q6&lt;&gt;""),--ISNUMBER(SEARCH($Q$2,Q6)))))</f>
      </c>
      <c r="BC6" s="137">
        <f>IF($R$2="",1,IF($R$2="(blank)",--(R6=""),IF($R$2="(nonblank)",--(R6&lt;&gt;""),--ISNUMBER(SEARCH($R$2,R6)))))</f>
      </c>
      <c r="BD6" s="137">
        <f>IF($S$2="",1,IF($S$2="(blank)",--(S6=""),IF($S$2="(nonblank)",--(S6&lt;&gt;""),--ISNUMBER(SEARCH($S$2,S6)))))</f>
      </c>
      <c r="BE6" s="137">
        <f>IF($T$2="",1,IF($T$2="(blank)",--(T6=""),IF($T$2="(nonblank)",--(T6&lt;&gt;""),--ISNUMBER(SEARCH($T$2,T6)))))</f>
      </c>
      <c r="BF6" s="137">
        <f>IF($U$2="",1,IF($U$2="(blank)",--(U6=""),IF($U$2="(nonblank)",--(U6&lt;&gt;""),--ISNUMBER(SEARCH($U$2,U6)))))</f>
      </c>
      <c r="BG6" s="137">
        <f>IF($V$2="",1,IF($V$2="(blank)",--(V6=""),IF($V$2="(nonblank)",--(V6&lt;&gt;""),--ISNUMBER(SEARCH($V$2,V6)))))</f>
      </c>
      <c r="BH6" s="137">
        <f>IF($W$2="",1,IF($W$2="(blank)",--(W6=""),IF($W$2="(nonblank)",--(W6&lt;&gt;""),--ISNUMBER(SEARCH($W$2,W6)))))</f>
      </c>
      <c r="BI6" s="137">
        <f>IF($X$2="",1,IF($X$2="(blank)",--(X6=""),IF($X$2="(nonblank)",--(X6&lt;&gt;""),--ISNUMBER(SEARCH($X$2,X6)))))</f>
      </c>
      <c r="BJ6" s="137">
        <f>IF($Y$2="",1,IF($Y$2="(blank)",--(Y6=""),IF($Y$2="(nonblank)",--(Y6&lt;&gt;""),--ISNUMBER(SEARCH($Y$2,Y6)))))</f>
      </c>
      <c r="BK6" s="137">
        <f>IF($Z$2="",1,IF($Z$2="(blank)",--(Z6=""),IF($Z$2="(nonblank)",--(Z6&lt;&gt;""),--ISNUMBER(SEARCH($Z$2,Z6)))))</f>
      </c>
      <c r="BL6" s="137">
        <f>IF($AA$2="",1,IF($AA$2="(blank)",--(AA6=""),IF($AA$2="(nonblank)",--(AA6&lt;&gt;""),--ISNUMBER(SEARCH($AA$2,AA6)))))</f>
      </c>
      <c r="BM6" s="137">
        <f>IF($AB$2="",1,IF($AB$2="(blank)",--(AB6=""),IF($AB$2="(nonblank)",--(AB6&lt;&gt;""),--ISNUMBER(SEARCH($AB$2,AB6)))))</f>
      </c>
      <c r="BN6" s="137">
        <f>IF($AC$2="",1,IF($AC$2="(blank)",--(AC6=""),IF($AC$2="(nonblank)",--(AC6&lt;&gt;""),--ISNUMBER(SEARCH($AC$2,AC6)))))</f>
      </c>
      <c r="BO6" s="137">
        <f>IF($AD$2="",1,IF($AD$2="(blank)",--(AD6=""),IF($AD$2="(nonblank)",--(AD6&lt;&gt;""),--ISNUMBER(SEARCH($AD$2,AD6)))))</f>
      </c>
      <c r="BP6" s="137">
        <f>IF($AE$2="",1,IF($AE$2="(blank)",--(AE6=""),IF($AE$2="(nonblank)",--(AE6&lt;&gt;""),--ISNUMBER(SEARCH($AE$2,AE6)))))</f>
      </c>
      <c r="BQ6" s="137">
        <f>IF($AF$2="",1,IF($AF$2="(blank)",--(AF6=""),IF($AF$2="(nonblank)",--(AF6&lt;&gt;""),--ISNUMBER(SEARCH($AF$2,AF6)))))</f>
      </c>
      <c r="BR6" s="137">
        <f>IF($AG$2="",1,IF($AG$2="(blank)",--(AG6=""),IF($AG$2="(nonblank)",--(AG6&lt;&gt;""),--ISNUMBER(SEARCH($AG$2,AG6)))))</f>
      </c>
      <c r="BS6" s="137">
        <f>IF($AH$2="",1,IF($AH$2="(blank)",--(AH6=""),IF($AH$2="(nonblank)",--(AH6&lt;&gt;""),--ISNUMBER(SEARCH($AH$2,AH6)))))</f>
      </c>
      <c r="BT6" s="137">
        <f>IF(COUNTIF($AL6:$BS6,0)&gt;0,0,1)</f>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IF(IF(OR(AB7="",AB7=0),TODAY(),DATE(VALUE(RIGHT(AB7,4)),VALUE(MID(AB7,4,2)),VALUE(LEFT(AB7,2))))&lt;=DATE(2026,8,24),0,H7*0.0118*CEILING((IF(OR(AB7="",AB7=0),TODAY(),DATE(VALUE(RIGHT(AB7,4)),VALUE(MID(AB7,4,2)),VALUE(LEFT(AB7,2))))-DATE(2026,8,22))/7,1))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L7" s="137">
        <f>IF($A$2="",1,IF($A$2="(blank)",--(A7=""),IF($A$2="(nonblank)",--(A7&lt;&gt;""),--ISNUMBER(SEARCH($A$2,A7)))))</f>
      </c>
      <c r="AM7" s="137">
        <f>IF($B$2="",1,IF($B$2="(blank)",--(B7=""),IF($B$2="(nonblank)",--(B7&lt;&gt;""),--ISNUMBER(SEARCH($B$2,B7)))))</f>
      </c>
      <c r="AN7" s="137">
        <f>IF($C$2="",1,IF($C$2="(blank)",--(C7=""),IF($C$2="(nonblank)",--(C7&lt;&gt;""),--ISNUMBER(SEARCH($C$2,C7)))))</f>
      </c>
      <c r="AO7" s="137">
        <f>IF($D$2="",1,IF($D$2="(blank)",--(D7=""),IF($D$2="(nonblank)",--(D7&lt;&gt;""),--ISNUMBER(SEARCH($D$2,D7)))))</f>
      </c>
      <c r="AP7" s="137">
        <f>IF($E$2="",1,IF($E$2="(blank)",--(E7=""),IF($E$2="(nonblank)",--(E7&lt;&gt;""),--ISNUMBER(SEARCH($E$2,E7)))))</f>
      </c>
      <c r="AQ7" s="137">
        <f>IF($F$2="",1,IF($F$2="(blank)",--(F7=""),IF($F$2="(nonblank)",--(F7&lt;&gt;""),--ISNUMBER(SEARCH($F$2,F7)))))</f>
      </c>
      <c r="AR7" s="137">
        <f>IF($G$2="",1,IF($G$2="(blank)",--(G7=""),IF($G$2="(nonblank)",--(G7&lt;&gt;""),--ISNUMBER(SEARCH($G$2,G7)))))</f>
      </c>
      <c r="AS7" s="137">
        <f>IF($H$2="",1,IF($H$2="(blank)",--(H7=""),IF($H$2="(nonblank)",--(H7&lt;&gt;""),--ISNUMBER(SEARCH($H$2,H7)))))</f>
      </c>
      <c r="AT7" s="137">
        <f>IF($I$2="",1,IF($I$2="(blank)",--(I7=""),IF($I$2="(nonblank)",--(I7&lt;&gt;""),--ISNUMBER(SEARCH($I$2,I7)))))</f>
      </c>
      <c r="AU7" s="137">
        <f>IF($J$2="",1,IF($J$2="(blank)",--(J7=""),IF($J$2="(nonblank)",--(J7&lt;&gt;""),--ISNUMBER(SEARCH($J$2,J7)))))</f>
      </c>
      <c r="AV7" s="137">
        <f>IF($K$2="",1,IF($K$2="(blank)",--(K7=""),IF($K$2="(nonblank)",--(K7&lt;&gt;""),--ISNUMBER(SEARCH($K$2,K7)))))</f>
      </c>
      <c r="AW7" s="137">
        <f>IF($L$2="",1,IF($L$2="(blank)",--(L7=""),IF($L$2="(nonblank)",--(L7&lt;&gt;""),--ISNUMBER(SEARCH($L$2,L7)))))</f>
      </c>
      <c r="AX7" s="137">
        <f>IF($M$2="",1,IF($M$2="(blank)",--(M7=""),IF($M$2="(nonblank)",--(M7&lt;&gt;""),--ISNUMBER(SEARCH($M$2,M7)))))</f>
      </c>
      <c r="AY7" s="137">
        <f>IF($N$2="",1,IF($N$2="(blank)",--(N7=""),IF($N$2="(nonblank)",--(N7&lt;&gt;""),--ISNUMBER(SEARCH($N$2,N7)))))</f>
      </c>
      <c r="AZ7" s="137">
        <f>IF($O$2="",1,IF($O$2="(blank)",--(O7=""),IF($O$2="(nonblank)",--(O7&lt;&gt;""),--ISNUMBER(SEARCH($O$2,O7)))))</f>
      </c>
      <c r="BA7" s="137">
        <f>IF($P$2="",1,IF($P$2="(blank)",--(P7=""),IF($P$2="(nonblank)",--(P7&lt;&gt;""),--ISNUMBER(SEARCH($P$2,P7)))))</f>
      </c>
      <c r="BB7" s="137">
        <f>IF($Q$2="",1,IF($Q$2="(blank)",--(Q7=""),IF($Q$2="(nonblank)",--(Q7&lt;&gt;""),--ISNUMBER(SEARCH($Q$2,Q7)))))</f>
      </c>
      <c r="BC7" s="137">
        <f>IF($R$2="",1,IF($R$2="(blank)",--(R7=""),IF($R$2="(nonblank)",--(R7&lt;&gt;""),--ISNUMBER(SEARCH($R$2,R7)))))</f>
      </c>
      <c r="BD7" s="137">
        <f>IF($S$2="",1,IF($S$2="(blank)",--(S7=""),IF($S$2="(nonblank)",--(S7&lt;&gt;""),--ISNUMBER(SEARCH($S$2,S7)))))</f>
      </c>
      <c r="BE7" s="137">
        <f>IF($T$2="",1,IF($T$2="(blank)",--(T7=""),IF($T$2="(nonblank)",--(T7&lt;&gt;""),--ISNUMBER(SEARCH($T$2,T7)))))</f>
      </c>
      <c r="BF7" s="137">
        <f>IF($U$2="",1,IF($U$2="(blank)",--(U7=""),IF($U$2="(nonblank)",--(U7&lt;&gt;""),--ISNUMBER(SEARCH($U$2,U7)))))</f>
      </c>
      <c r="BG7" s="137">
        <f>IF($V$2="",1,IF($V$2="(blank)",--(V7=""),IF($V$2="(nonblank)",--(V7&lt;&gt;""),--ISNUMBER(SEARCH($V$2,V7)))))</f>
      </c>
      <c r="BH7" s="137">
        <f>IF($W$2="",1,IF($W$2="(blank)",--(W7=""),IF($W$2="(nonblank)",--(W7&lt;&gt;""),--ISNUMBER(SEARCH($W$2,W7)))))</f>
      </c>
      <c r="BI7" s="137">
        <f>IF($X$2="",1,IF($X$2="(blank)",--(X7=""),IF($X$2="(nonblank)",--(X7&lt;&gt;""),--ISNUMBER(SEARCH($X$2,X7)))))</f>
      </c>
      <c r="BJ7" s="137">
        <f>IF($Y$2="",1,IF($Y$2="(blank)",--(Y7=""),IF($Y$2="(nonblank)",--(Y7&lt;&gt;""),--ISNUMBER(SEARCH($Y$2,Y7)))))</f>
      </c>
      <c r="BK7" s="137">
        <f>IF($Z$2="",1,IF($Z$2="(blank)",--(Z7=""),IF($Z$2="(nonblank)",--(Z7&lt;&gt;""),--ISNUMBER(SEARCH($Z$2,Z7)))))</f>
      </c>
      <c r="BL7" s="137">
        <f>IF($AA$2="",1,IF($AA$2="(blank)",--(AA7=""),IF($AA$2="(nonblank)",--(AA7&lt;&gt;""),--ISNUMBER(SEARCH($AA$2,AA7)))))</f>
      </c>
      <c r="BM7" s="137">
        <f>IF($AB$2="",1,IF($AB$2="(blank)",--(AB7=""),IF($AB$2="(nonblank)",--(AB7&lt;&gt;""),--ISNUMBER(SEARCH($AB$2,AB7)))))</f>
      </c>
      <c r="BN7" s="137">
        <f>IF($AC$2="",1,IF($AC$2="(blank)",--(AC7=""),IF($AC$2="(nonblank)",--(AC7&lt;&gt;""),--ISNUMBER(SEARCH($AC$2,AC7)))))</f>
      </c>
      <c r="BO7" s="137">
        <f>IF($AD$2="",1,IF($AD$2="(blank)",--(AD7=""),IF($AD$2="(nonblank)",--(AD7&lt;&gt;""),--ISNUMBER(SEARCH($AD$2,AD7)))))</f>
      </c>
      <c r="BP7" s="137">
        <f>IF($AE$2="",1,IF($AE$2="(blank)",--(AE7=""),IF($AE$2="(nonblank)",--(AE7&lt;&gt;""),--ISNUMBER(SEARCH($AE$2,AE7)))))</f>
      </c>
      <c r="BQ7" s="137">
        <f>IF($AF$2="",1,IF($AF$2="(blank)",--(AF7=""),IF($AF$2="(nonblank)",--(AF7&lt;&gt;""),--ISNUMBER(SEARCH($AF$2,AF7)))))</f>
      </c>
      <c r="BR7" s="137">
        <f>IF($AG$2="",1,IF($AG$2="(blank)",--(AG7=""),IF($AG$2="(nonblank)",--(AG7&lt;&gt;""),--ISNUMBER(SEARCH($AG$2,AG7)))))</f>
      </c>
      <c r="BS7" s="137">
        <f>IF($AH$2="",1,IF($AH$2="(blank)",--(AH7=""),IF($AH$2="(nonblank)",--(AH7&lt;&gt;""),--ISNUMBER(SEARCH($AH$2,AH7)))))</f>
      </c>
      <c r="BT7" s="137">
        <f>IF(COUNTIF($AL7:$BS7,0)&gt;0,0,1)</f>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IF(IF(OR(AB8="",AB8=0),TODAY(),DATE(VALUE(RIGHT(AB8,4)),VALUE(MID(AB8,4,2)),VALUE(LEFT(AB8,2))))&lt;=DATE(2026,8,24),0,H8*0.0118*CEILING((IF(OR(AB8="",AB8=0),TODAY(),DATE(VALUE(RIGHT(AB8,4)),VALUE(MID(AB8,4,2)),VALUE(LEFT(AB8,2))))-DATE(2026,8,22))/7,1))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L8" s="137">
        <f>IF($A$2="",1,IF($A$2="(blank)",--(A8=""),IF($A$2="(nonblank)",--(A8&lt;&gt;""),--ISNUMBER(SEARCH($A$2,A8)))))</f>
      </c>
      <c r="AM8" s="137">
        <f>IF($B$2="",1,IF($B$2="(blank)",--(B8=""),IF($B$2="(nonblank)",--(B8&lt;&gt;""),--ISNUMBER(SEARCH($B$2,B8)))))</f>
      </c>
      <c r="AN8" s="137">
        <f>IF($C$2="",1,IF($C$2="(blank)",--(C8=""),IF($C$2="(nonblank)",--(C8&lt;&gt;""),--ISNUMBER(SEARCH($C$2,C8)))))</f>
      </c>
      <c r="AO8" s="137">
        <f>IF($D$2="",1,IF($D$2="(blank)",--(D8=""),IF($D$2="(nonblank)",--(D8&lt;&gt;""),--ISNUMBER(SEARCH($D$2,D8)))))</f>
      </c>
      <c r="AP8" s="137">
        <f>IF($E$2="",1,IF($E$2="(blank)",--(E8=""),IF($E$2="(nonblank)",--(E8&lt;&gt;""),--ISNUMBER(SEARCH($E$2,E8)))))</f>
      </c>
      <c r="AQ8" s="137">
        <f>IF($F$2="",1,IF($F$2="(blank)",--(F8=""),IF($F$2="(nonblank)",--(F8&lt;&gt;""),--ISNUMBER(SEARCH($F$2,F8)))))</f>
      </c>
      <c r="AR8" s="137">
        <f>IF($G$2="",1,IF($G$2="(blank)",--(G8=""),IF($G$2="(nonblank)",--(G8&lt;&gt;""),--ISNUMBER(SEARCH($G$2,G8)))))</f>
      </c>
      <c r="AS8" s="137">
        <f>IF($H$2="",1,IF($H$2="(blank)",--(H8=""),IF($H$2="(nonblank)",--(H8&lt;&gt;""),--ISNUMBER(SEARCH($H$2,H8)))))</f>
      </c>
      <c r="AT8" s="137">
        <f>IF($I$2="",1,IF($I$2="(blank)",--(I8=""),IF($I$2="(nonblank)",--(I8&lt;&gt;""),--ISNUMBER(SEARCH($I$2,I8)))))</f>
      </c>
      <c r="AU8" s="137">
        <f>IF($J$2="",1,IF($J$2="(blank)",--(J8=""),IF($J$2="(nonblank)",--(J8&lt;&gt;""),--ISNUMBER(SEARCH($J$2,J8)))))</f>
      </c>
      <c r="AV8" s="137">
        <f>IF($K$2="",1,IF($K$2="(blank)",--(K8=""),IF($K$2="(nonblank)",--(K8&lt;&gt;""),--ISNUMBER(SEARCH($K$2,K8)))))</f>
      </c>
      <c r="AW8" s="137">
        <f>IF($L$2="",1,IF($L$2="(blank)",--(L8=""),IF($L$2="(nonblank)",--(L8&lt;&gt;""),--ISNUMBER(SEARCH($L$2,L8)))))</f>
      </c>
      <c r="AX8" s="137">
        <f>IF($M$2="",1,IF($M$2="(blank)",--(M8=""),IF($M$2="(nonblank)",--(M8&lt;&gt;""),--ISNUMBER(SEARCH($M$2,M8)))))</f>
      </c>
      <c r="AY8" s="137">
        <f>IF($N$2="",1,IF($N$2="(blank)",--(N8=""),IF($N$2="(nonblank)",--(N8&lt;&gt;""),--ISNUMBER(SEARCH($N$2,N8)))))</f>
      </c>
      <c r="AZ8" s="137">
        <f>IF($O$2="",1,IF($O$2="(blank)",--(O8=""),IF($O$2="(nonblank)",--(O8&lt;&gt;""),--ISNUMBER(SEARCH($O$2,O8)))))</f>
      </c>
      <c r="BA8" s="137">
        <f>IF($P$2="",1,IF($P$2="(blank)",--(P8=""),IF($P$2="(nonblank)",--(P8&lt;&gt;""),--ISNUMBER(SEARCH($P$2,P8)))))</f>
      </c>
      <c r="BB8" s="137">
        <f>IF($Q$2="",1,IF($Q$2="(blank)",--(Q8=""),IF($Q$2="(nonblank)",--(Q8&lt;&gt;""),--ISNUMBER(SEARCH($Q$2,Q8)))))</f>
      </c>
      <c r="BC8" s="137">
        <f>IF($R$2="",1,IF($R$2="(blank)",--(R8=""),IF($R$2="(nonblank)",--(R8&lt;&gt;""),--ISNUMBER(SEARCH($R$2,R8)))))</f>
      </c>
      <c r="BD8" s="137">
        <f>IF($S$2="",1,IF($S$2="(blank)",--(S8=""),IF($S$2="(nonblank)",--(S8&lt;&gt;""),--ISNUMBER(SEARCH($S$2,S8)))))</f>
      </c>
      <c r="BE8" s="137">
        <f>IF($T$2="",1,IF($T$2="(blank)",--(T8=""),IF($T$2="(nonblank)",--(T8&lt;&gt;""),--ISNUMBER(SEARCH($T$2,T8)))))</f>
      </c>
      <c r="BF8" s="137">
        <f>IF($U$2="",1,IF($U$2="(blank)",--(U8=""),IF($U$2="(nonblank)",--(U8&lt;&gt;""),--ISNUMBER(SEARCH($U$2,U8)))))</f>
      </c>
      <c r="BG8" s="137">
        <f>IF($V$2="",1,IF($V$2="(blank)",--(V8=""),IF($V$2="(nonblank)",--(V8&lt;&gt;""),--ISNUMBER(SEARCH($V$2,V8)))))</f>
      </c>
      <c r="BH8" s="137">
        <f>IF($W$2="",1,IF($W$2="(blank)",--(W8=""),IF($W$2="(nonblank)",--(W8&lt;&gt;""),--ISNUMBER(SEARCH($W$2,W8)))))</f>
      </c>
      <c r="BI8" s="137">
        <f>IF($X$2="",1,IF($X$2="(blank)",--(X8=""),IF($X$2="(nonblank)",--(X8&lt;&gt;""),--ISNUMBER(SEARCH($X$2,X8)))))</f>
      </c>
      <c r="BJ8" s="137">
        <f>IF($Y$2="",1,IF($Y$2="(blank)",--(Y8=""),IF($Y$2="(nonblank)",--(Y8&lt;&gt;""),--ISNUMBER(SEARCH($Y$2,Y8)))))</f>
      </c>
      <c r="BK8" s="137">
        <f>IF($Z$2="",1,IF($Z$2="(blank)",--(Z8=""),IF($Z$2="(nonblank)",--(Z8&lt;&gt;""),--ISNUMBER(SEARCH($Z$2,Z8)))))</f>
      </c>
      <c r="BL8" s="137">
        <f>IF($AA$2="",1,IF($AA$2="(blank)",--(AA8=""),IF($AA$2="(nonblank)",--(AA8&lt;&gt;""),--ISNUMBER(SEARCH($AA$2,AA8)))))</f>
      </c>
      <c r="BM8" s="137">
        <f>IF($AB$2="",1,IF($AB$2="(blank)",--(AB8=""),IF($AB$2="(nonblank)",--(AB8&lt;&gt;""),--ISNUMBER(SEARCH($AB$2,AB8)))))</f>
      </c>
      <c r="BN8" s="137">
        <f>IF($AC$2="",1,IF($AC$2="(blank)",--(AC8=""),IF($AC$2="(nonblank)",--(AC8&lt;&gt;""),--ISNUMBER(SEARCH($AC$2,AC8)))))</f>
      </c>
      <c r="BO8" s="137">
        <f>IF($AD$2="",1,IF($AD$2="(blank)",--(AD8=""),IF($AD$2="(nonblank)",--(AD8&lt;&gt;""),--ISNUMBER(SEARCH($AD$2,AD8)))))</f>
      </c>
      <c r="BP8" s="137">
        <f>IF($AE$2="",1,IF($AE$2="(blank)",--(AE8=""),IF($AE$2="(nonblank)",--(AE8&lt;&gt;""),--ISNUMBER(SEARCH($AE$2,AE8)))))</f>
      </c>
      <c r="BQ8" s="137">
        <f>IF($AF$2="",1,IF($AF$2="(blank)",--(AF8=""),IF($AF$2="(nonblank)",--(AF8&lt;&gt;""),--ISNUMBER(SEARCH($AF$2,AF8)))))</f>
      </c>
      <c r="BR8" s="137">
        <f>IF($AG$2="",1,IF($AG$2="(blank)",--(AG8=""),IF($AG$2="(nonblank)",--(AG8&lt;&gt;""),--ISNUMBER(SEARCH($AG$2,AG8)))))</f>
      </c>
      <c r="BS8" s="137">
        <f>IF($AH$2="",1,IF($AH$2="(blank)",--(AH8=""),IF($AH$2="(nonblank)",--(AH8&lt;&gt;""),--ISNUMBER(SEARCH($AH$2,AH8)))))</f>
      </c>
      <c r="BT8" s="137">
        <f>IF(COUNTIF($AL8:$BS8,0)&gt;0,0,1)</f>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IF(IF(OR(AB9="",AB9=0),TODAY(),DATE(VALUE(RIGHT(AB9,4)),VALUE(MID(AB9,4,2)),VALUE(LEFT(AB9,2))))&lt;=DATE(2026,8,24),0,H9*0.0118*CEILING((IF(OR(AB9="",AB9=0),TODAY(),DATE(VALUE(RIGHT(AB9,4)),VALUE(MID(AB9,4,2)),VALUE(LEFT(AB9,2))))-DATE(2026,8,22))/7,1))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L9" s="137">
        <f>IF($A$2="",1,IF($A$2="(blank)",--(A9=""),IF($A$2="(nonblank)",--(A9&lt;&gt;""),--ISNUMBER(SEARCH($A$2,A9)))))</f>
      </c>
      <c r="AM9" s="137">
        <f>IF($B$2="",1,IF($B$2="(blank)",--(B9=""),IF($B$2="(nonblank)",--(B9&lt;&gt;""),--ISNUMBER(SEARCH($B$2,B9)))))</f>
      </c>
      <c r="AN9" s="137">
        <f>IF($C$2="",1,IF($C$2="(blank)",--(C9=""),IF($C$2="(nonblank)",--(C9&lt;&gt;""),--ISNUMBER(SEARCH($C$2,C9)))))</f>
      </c>
      <c r="AO9" s="137">
        <f>IF($D$2="",1,IF($D$2="(blank)",--(D9=""),IF($D$2="(nonblank)",--(D9&lt;&gt;""),--ISNUMBER(SEARCH($D$2,D9)))))</f>
      </c>
      <c r="AP9" s="137">
        <f>IF($E$2="",1,IF($E$2="(blank)",--(E9=""),IF($E$2="(nonblank)",--(E9&lt;&gt;""),--ISNUMBER(SEARCH($E$2,E9)))))</f>
      </c>
      <c r="AQ9" s="137">
        <f>IF($F$2="",1,IF($F$2="(blank)",--(F9=""),IF($F$2="(nonblank)",--(F9&lt;&gt;""),--ISNUMBER(SEARCH($F$2,F9)))))</f>
      </c>
      <c r="AR9" s="137">
        <f>IF($G$2="",1,IF($G$2="(blank)",--(G9=""),IF($G$2="(nonblank)",--(G9&lt;&gt;""),--ISNUMBER(SEARCH($G$2,G9)))))</f>
      </c>
      <c r="AS9" s="137">
        <f>IF($H$2="",1,IF($H$2="(blank)",--(H9=""),IF($H$2="(nonblank)",--(H9&lt;&gt;""),--ISNUMBER(SEARCH($H$2,H9)))))</f>
      </c>
      <c r="AT9" s="137">
        <f>IF($I$2="",1,IF($I$2="(blank)",--(I9=""),IF($I$2="(nonblank)",--(I9&lt;&gt;""),--ISNUMBER(SEARCH($I$2,I9)))))</f>
      </c>
      <c r="AU9" s="137">
        <f>IF($J$2="",1,IF($J$2="(blank)",--(J9=""),IF($J$2="(nonblank)",--(J9&lt;&gt;""),--ISNUMBER(SEARCH($J$2,J9)))))</f>
      </c>
      <c r="AV9" s="137">
        <f>IF($K$2="",1,IF($K$2="(blank)",--(K9=""),IF($K$2="(nonblank)",--(K9&lt;&gt;""),--ISNUMBER(SEARCH($K$2,K9)))))</f>
      </c>
      <c r="AW9" s="137">
        <f>IF($L$2="",1,IF($L$2="(blank)",--(L9=""),IF($L$2="(nonblank)",--(L9&lt;&gt;""),--ISNUMBER(SEARCH($L$2,L9)))))</f>
      </c>
      <c r="AX9" s="137">
        <f>IF($M$2="",1,IF($M$2="(blank)",--(M9=""),IF($M$2="(nonblank)",--(M9&lt;&gt;""),--ISNUMBER(SEARCH($M$2,M9)))))</f>
      </c>
      <c r="AY9" s="137">
        <f>IF($N$2="",1,IF($N$2="(blank)",--(N9=""),IF($N$2="(nonblank)",--(N9&lt;&gt;""),--ISNUMBER(SEARCH($N$2,N9)))))</f>
      </c>
      <c r="AZ9" s="137">
        <f>IF($O$2="",1,IF($O$2="(blank)",--(O9=""),IF($O$2="(nonblank)",--(O9&lt;&gt;""),--ISNUMBER(SEARCH($O$2,O9)))))</f>
      </c>
      <c r="BA9" s="137">
        <f>IF($P$2="",1,IF($P$2="(blank)",--(P9=""),IF($P$2="(nonblank)",--(P9&lt;&gt;""),--ISNUMBER(SEARCH($P$2,P9)))))</f>
      </c>
      <c r="BB9" s="137">
        <f>IF($Q$2="",1,IF($Q$2="(blank)",--(Q9=""),IF($Q$2="(nonblank)",--(Q9&lt;&gt;""),--ISNUMBER(SEARCH($Q$2,Q9)))))</f>
      </c>
      <c r="BC9" s="137">
        <f>IF($R$2="",1,IF($R$2="(blank)",--(R9=""),IF($R$2="(nonblank)",--(R9&lt;&gt;""),--ISNUMBER(SEARCH($R$2,R9)))))</f>
      </c>
      <c r="BD9" s="137">
        <f>IF($S$2="",1,IF($S$2="(blank)",--(S9=""),IF($S$2="(nonblank)",--(S9&lt;&gt;""),--ISNUMBER(SEARCH($S$2,S9)))))</f>
      </c>
      <c r="BE9" s="137">
        <f>IF($T$2="",1,IF($T$2="(blank)",--(T9=""),IF($T$2="(nonblank)",--(T9&lt;&gt;""),--ISNUMBER(SEARCH($T$2,T9)))))</f>
      </c>
      <c r="BF9" s="137">
        <f>IF($U$2="",1,IF($U$2="(blank)",--(U9=""),IF($U$2="(nonblank)",--(U9&lt;&gt;""),--ISNUMBER(SEARCH($U$2,U9)))))</f>
      </c>
      <c r="BG9" s="137">
        <f>IF($V$2="",1,IF($V$2="(blank)",--(V9=""),IF($V$2="(nonblank)",--(V9&lt;&gt;""),--ISNUMBER(SEARCH($V$2,V9)))))</f>
      </c>
      <c r="BH9" s="137">
        <f>IF($W$2="",1,IF($W$2="(blank)",--(W9=""),IF($W$2="(nonblank)",--(W9&lt;&gt;""),--ISNUMBER(SEARCH($W$2,W9)))))</f>
      </c>
      <c r="BI9" s="137">
        <f>IF($X$2="",1,IF($X$2="(blank)",--(X9=""),IF($X$2="(nonblank)",--(X9&lt;&gt;""),--ISNUMBER(SEARCH($X$2,X9)))))</f>
      </c>
      <c r="BJ9" s="137">
        <f>IF($Y$2="",1,IF($Y$2="(blank)",--(Y9=""),IF($Y$2="(nonblank)",--(Y9&lt;&gt;""),--ISNUMBER(SEARCH($Y$2,Y9)))))</f>
      </c>
      <c r="BK9" s="137">
        <f>IF($Z$2="",1,IF($Z$2="(blank)",--(Z9=""),IF($Z$2="(nonblank)",--(Z9&lt;&gt;""),--ISNUMBER(SEARCH($Z$2,Z9)))))</f>
      </c>
      <c r="BL9" s="137">
        <f>IF($AA$2="",1,IF($AA$2="(blank)",--(AA9=""),IF($AA$2="(nonblank)",--(AA9&lt;&gt;""),--ISNUMBER(SEARCH($AA$2,AA9)))))</f>
      </c>
      <c r="BM9" s="137">
        <f>IF($AB$2="",1,IF($AB$2="(blank)",--(AB9=""),IF($AB$2="(nonblank)",--(AB9&lt;&gt;""),--ISNUMBER(SEARCH($AB$2,AB9)))))</f>
      </c>
      <c r="BN9" s="137">
        <f>IF($AC$2="",1,IF($AC$2="(blank)",--(AC9=""),IF($AC$2="(nonblank)",--(AC9&lt;&gt;""),--ISNUMBER(SEARCH($AC$2,AC9)))))</f>
      </c>
      <c r="BO9" s="137">
        <f>IF($AD$2="",1,IF($AD$2="(blank)",--(AD9=""),IF($AD$2="(nonblank)",--(AD9&lt;&gt;""),--ISNUMBER(SEARCH($AD$2,AD9)))))</f>
      </c>
      <c r="BP9" s="137">
        <f>IF($AE$2="",1,IF($AE$2="(blank)",--(AE9=""),IF($AE$2="(nonblank)",--(AE9&lt;&gt;""),--ISNUMBER(SEARCH($AE$2,AE9)))))</f>
      </c>
      <c r="BQ9" s="137">
        <f>IF($AF$2="",1,IF($AF$2="(blank)",--(AF9=""),IF($AF$2="(nonblank)",--(AF9&lt;&gt;""),--ISNUMBER(SEARCH($AF$2,AF9)))))</f>
      </c>
      <c r="BR9" s="137">
        <f>IF($AG$2="",1,IF($AG$2="(blank)",--(AG9=""),IF($AG$2="(nonblank)",--(AG9&lt;&gt;""),--ISNUMBER(SEARCH($AG$2,AG9)))))</f>
      </c>
      <c r="BS9" s="137">
        <f>IF($AH$2="",1,IF($AH$2="(blank)",--(AH9=""),IF($AH$2="(nonblank)",--(AH9&lt;&gt;""),--ISNUMBER(SEARCH($AH$2,AH9)))))</f>
      </c>
      <c r="BT9" s="137">
        <f>IF(COUNTIF($AL9:$BS9,0)&gt;0,0,1)</f>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IF(IF(OR(AB10="",AB10=0),TODAY(),DATE(VALUE(RIGHT(AB10,4)),VALUE(MID(AB10,4,2)),VALUE(LEFT(AB10,2))))&lt;=DATE(2026,8,24),0,H10*0.0118*CEILING((IF(OR(AB10="",AB10=0),TODAY(),DATE(VALUE(RIGHT(AB10,4)),VALUE(MID(AB10,4,2)),VALUE(LEFT(AB10,2))))-DATE(2026,8,22))/7,1))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L10" s="137">
        <f>IF($A$2="",1,IF($A$2="(blank)",--(A10=""),IF($A$2="(nonblank)",--(A10&lt;&gt;""),--ISNUMBER(SEARCH($A$2,A10)))))</f>
      </c>
      <c r="AM10" s="137">
        <f>IF($B$2="",1,IF($B$2="(blank)",--(B10=""),IF($B$2="(nonblank)",--(B10&lt;&gt;""),--ISNUMBER(SEARCH($B$2,B10)))))</f>
      </c>
      <c r="AN10" s="137">
        <f>IF($C$2="",1,IF($C$2="(blank)",--(C10=""),IF($C$2="(nonblank)",--(C10&lt;&gt;""),--ISNUMBER(SEARCH($C$2,C10)))))</f>
      </c>
      <c r="AO10" s="137">
        <f>IF($D$2="",1,IF($D$2="(blank)",--(D10=""),IF($D$2="(nonblank)",--(D10&lt;&gt;""),--ISNUMBER(SEARCH($D$2,D10)))))</f>
      </c>
      <c r="AP10" s="137">
        <f>IF($E$2="",1,IF($E$2="(blank)",--(E10=""),IF($E$2="(nonblank)",--(E10&lt;&gt;""),--ISNUMBER(SEARCH($E$2,E10)))))</f>
      </c>
      <c r="AQ10" s="137">
        <f>IF($F$2="",1,IF($F$2="(blank)",--(F10=""),IF($F$2="(nonblank)",--(F10&lt;&gt;""),--ISNUMBER(SEARCH($F$2,F10)))))</f>
      </c>
      <c r="AR10" s="137">
        <f>IF($G$2="",1,IF($G$2="(blank)",--(G10=""),IF($G$2="(nonblank)",--(G10&lt;&gt;""),--ISNUMBER(SEARCH($G$2,G10)))))</f>
      </c>
      <c r="AS10" s="137">
        <f>IF($H$2="",1,IF($H$2="(blank)",--(H10=""),IF($H$2="(nonblank)",--(H10&lt;&gt;""),--ISNUMBER(SEARCH($H$2,H10)))))</f>
      </c>
      <c r="AT10" s="137">
        <f>IF($I$2="",1,IF($I$2="(blank)",--(I10=""),IF($I$2="(nonblank)",--(I10&lt;&gt;""),--ISNUMBER(SEARCH($I$2,I10)))))</f>
      </c>
      <c r="AU10" s="137">
        <f>IF($J$2="",1,IF($J$2="(blank)",--(J10=""),IF($J$2="(nonblank)",--(J10&lt;&gt;""),--ISNUMBER(SEARCH($J$2,J10)))))</f>
      </c>
      <c r="AV10" s="137">
        <f>IF($K$2="",1,IF($K$2="(blank)",--(K10=""),IF($K$2="(nonblank)",--(K10&lt;&gt;""),--ISNUMBER(SEARCH($K$2,K10)))))</f>
      </c>
      <c r="AW10" s="137">
        <f>IF($L$2="",1,IF($L$2="(blank)",--(L10=""),IF($L$2="(nonblank)",--(L10&lt;&gt;""),--ISNUMBER(SEARCH($L$2,L10)))))</f>
      </c>
      <c r="AX10" s="137">
        <f>IF($M$2="",1,IF($M$2="(blank)",--(M10=""),IF($M$2="(nonblank)",--(M10&lt;&gt;""),--ISNUMBER(SEARCH($M$2,M10)))))</f>
      </c>
      <c r="AY10" s="137">
        <f>IF($N$2="",1,IF($N$2="(blank)",--(N10=""),IF($N$2="(nonblank)",--(N10&lt;&gt;""),--ISNUMBER(SEARCH($N$2,N10)))))</f>
      </c>
      <c r="AZ10" s="137">
        <f>IF($O$2="",1,IF($O$2="(blank)",--(O10=""),IF($O$2="(nonblank)",--(O10&lt;&gt;""),--ISNUMBER(SEARCH($O$2,O10)))))</f>
      </c>
      <c r="BA10" s="137">
        <f>IF($P$2="",1,IF($P$2="(blank)",--(P10=""),IF($P$2="(nonblank)",--(P10&lt;&gt;""),--ISNUMBER(SEARCH($P$2,P10)))))</f>
      </c>
      <c r="BB10" s="137">
        <f>IF($Q$2="",1,IF($Q$2="(blank)",--(Q10=""),IF($Q$2="(nonblank)",--(Q10&lt;&gt;""),--ISNUMBER(SEARCH($Q$2,Q10)))))</f>
      </c>
      <c r="BC10" s="137">
        <f>IF($R$2="",1,IF($R$2="(blank)",--(R10=""),IF($R$2="(nonblank)",--(R10&lt;&gt;""),--ISNUMBER(SEARCH($R$2,R10)))))</f>
      </c>
      <c r="BD10" s="137">
        <f>IF($S$2="",1,IF($S$2="(blank)",--(S10=""),IF($S$2="(nonblank)",--(S10&lt;&gt;""),--ISNUMBER(SEARCH($S$2,S10)))))</f>
      </c>
      <c r="BE10" s="137">
        <f>IF($T$2="",1,IF($T$2="(blank)",--(T10=""),IF($T$2="(nonblank)",--(T10&lt;&gt;""),--ISNUMBER(SEARCH($T$2,T10)))))</f>
      </c>
      <c r="BF10" s="137">
        <f>IF($U$2="",1,IF($U$2="(blank)",--(U10=""),IF($U$2="(nonblank)",--(U10&lt;&gt;""),--ISNUMBER(SEARCH($U$2,U10)))))</f>
      </c>
      <c r="BG10" s="137">
        <f>IF($V$2="",1,IF($V$2="(blank)",--(V10=""),IF($V$2="(nonblank)",--(V10&lt;&gt;""),--ISNUMBER(SEARCH($V$2,V10)))))</f>
      </c>
      <c r="BH10" s="137">
        <f>IF($W$2="",1,IF($W$2="(blank)",--(W10=""),IF($W$2="(nonblank)",--(W10&lt;&gt;""),--ISNUMBER(SEARCH($W$2,W10)))))</f>
      </c>
      <c r="BI10" s="137">
        <f>IF($X$2="",1,IF($X$2="(blank)",--(X10=""),IF($X$2="(nonblank)",--(X10&lt;&gt;""),--ISNUMBER(SEARCH($X$2,X10)))))</f>
      </c>
      <c r="BJ10" s="137">
        <f>IF($Y$2="",1,IF($Y$2="(blank)",--(Y10=""),IF($Y$2="(nonblank)",--(Y10&lt;&gt;""),--ISNUMBER(SEARCH($Y$2,Y10)))))</f>
      </c>
      <c r="BK10" s="137">
        <f>IF($Z$2="",1,IF($Z$2="(blank)",--(Z10=""),IF($Z$2="(nonblank)",--(Z10&lt;&gt;""),--ISNUMBER(SEARCH($Z$2,Z10)))))</f>
      </c>
      <c r="BL10" s="137">
        <f>IF($AA$2="",1,IF($AA$2="(blank)",--(AA10=""),IF($AA$2="(nonblank)",--(AA10&lt;&gt;""),--ISNUMBER(SEARCH($AA$2,AA10)))))</f>
      </c>
      <c r="BM10" s="137">
        <f>IF($AB$2="",1,IF($AB$2="(blank)",--(AB10=""),IF($AB$2="(nonblank)",--(AB10&lt;&gt;""),--ISNUMBER(SEARCH($AB$2,AB10)))))</f>
      </c>
      <c r="BN10" s="137">
        <f>IF($AC$2="",1,IF($AC$2="(blank)",--(AC10=""),IF($AC$2="(nonblank)",--(AC10&lt;&gt;""),--ISNUMBER(SEARCH($AC$2,AC10)))))</f>
      </c>
      <c r="BO10" s="137">
        <f>IF($AD$2="",1,IF($AD$2="(blank)",--(AD10=""),IF($AD$2="(nonblank)",--(AD10&lt;&gt;""),--ISNUMBER(SEARCH($AD$2,AD10)))))</f>
      </c>
      <c r="BP10" s="137">
        <f>IF($AE$2="",1,IF($AE$2="(blank)",--(AE10=""),IF($AE$2="(nonblank)",--(AE10&lt;&gt;""),--ISNUMBER(SEARCH($AE$2,AE10)))))</f>
      </c>
      <c r="BQ10" s="137">
        <f>IF($AF$2="",1,IF($AF$2="(blank)",--(AF10=""),IF($AF$2="(nonblank)",--(AF10&lt;&gt;""),--ISNUMBER(SEARCH($AF$2,AF10)))))</f>
      </c>
      <c r="BR10" s="137">
        <f>IF($AG$2="",1,IF($AG$2="(blank)",--(AG10=""),IF($AG$2="(nonblank)",--(AG10&lt;&gt;""),--ISNUMBER(SEARCH($AG$2,AG10)))))</f>
      </c>
      <c r="BS10" s="137">
        <f>IF($AH$2="",1,IF($AH$2="(blank)",--(AH10=""),IF($AH$2="(nonblank)",--(AH10&lt;&gt;""),--ISNUMBER(SEARCH($AH$2,AH10)))))</f>
      </c>
      <c r="BT10" s="137">
        <f>IF(COUNTIF($AL10:$BS10,0)&gt;0,0,1)</f>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IF(IF(OR(AB11="",AB11=0),TODAY(),DATE(VALUE(RIGHT(AB11,4)),VALUE(MID(AB11,4,2)),VALUE(LEFT(AB11,2))))&lt;=DATE(2026,8,24),0,H11*0.0118*CEILING((IF(OR(AB11="",AB11=0),TODAY(),DATE(VALUE(RIGHT(AB11,4)),VALUE(MID(AB11,4,2)),VALUE(LEFT(AB11,2))))-DATE(2026,8,22))/7,1))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L11" s="137">
        <f>IF($A$2="",1,IF($A$2="(blank)",--(A11=""),IF($A$2="(nonblank)",--(A11&lt;&gt;""),--ISNUMBER(SEARCH($A$2,A11)))))</f>
      </c>
      <c r="AM11" s="137">
        <f>IF($B$2="",1,IF($B$2="(blank)",--(B11=""),IF($B$2="(nonblank)",--(B11&lt;&gt;""),--ISNUMBER(SEARCH($B$2,B11)))))</f>
      </c>
      <c r="AN11" s="137">
        <f>IF($C$2="",1,IF($C$2="(blank)",--(C11=""),IF($C$2="(nonblank)",--(C11&lt;&gt;""),--ISNUMBER(SEARCH($C$2,C11)))))</f>
      </c>
      <c r="AO11" s="137">
        <f>IF($D$2="",1,IF($D$2="(blank)",--(D11=""),IF($D$2="(nonblank)",--(D11&lt;&gt;""),--ISNUMBER(SEARCH($D$2,D11)))))</f>
      </c>
      <c r="AP11" s="137">
        <f>IF($E$2="",1,IF($E$2="(blank)",--(E11=""),IF($E$2="(nonblank)",--(E11&lt;&gt;""),--ISNUMBER(SEARCH($E$2,E11)))))</f>
      </c>
      <c r="AQ11" s="137">
        <f>IF($F$2="",1,IF($F$2="(blank)",--(F11=""),IF($F$2="(nonblank)",--(F11&lt;&gt;""),--ISNUMBER(SEARCH($F$2,F11)))))</f>
      </c>
      <c r="AR11" s="137">
        <f>IF($G$2="",1,IF($G$2="(blank)",--(G11=""),IF($G$2="(nonblank)",--(G11&lt;&gt;""),--ISNUMBER(SEARCH($G$2,G11)))))</f>
      </c>
      <c r="AS11" s="137">
        <f>IF($H$2="",1,IF($H$2="(blank)",--(H11=""),IF($H$2="(nonblank)",--(H11&lt;&gt;""),--ISNUMBER(SEARCH($H$2,H11)))))</f>
      </c>
      <c r="AT11" s="137">
        <f>IF($I$2="",1,IF($I$2="(blank)",--(I11=""),IF($I$2="(nonblank)",--(I11&lt;&gt;""),--ISNUMBER(SEARCH($I$2,I11)))))</f>
      </c>
      <c r="AU11" s="137">
        <f>IF($J$2="",1,IF($J$2="(blank)",--(J11=""),IF($J$2="(nonblank)",--(J11&lt;&gt;""),--ISNUMBER(SEARCH($J$2,J11)))))</f>
      </c>
      <c r="AV11" s="137">
        <f>IF($K$2="",1,IF($K$2="(blank)",--(K11=""),IF($K$2="(nonblank)",--(K11&lt;&gt;""),--ISNUMBER(SEARCH($K$2,K11)))))</f>
      </c>
      <c r="AW11" s="137">
        <f>IF($L$2="",1,IF($L$2="(blank)",--(L11=""),IF($L$2="(nonblank)",--(L11&lt;&gt;""),--ISNUMBER(SEARCH($L$2,L11)))))</f>
      </c>
      <c r="AX11" s="137">
        <f>IF($M$2="",1,IF($M$2="(blank)",--(M11=""),IF($M$2="(nonblank)",--(M11&lt;&gt;""),--ISNUMBER(SEARCH($M$2,M11)))))</f>
      </c>
      <c r="AY11" s="137">
        <f>IF($N$2="",1,IF($N$2="(blank)",--(N11=""),IF($N$2="(nonblank)",--(N11&lt;&gt;""),--ISNUMBER(SEARCH($N$2,N11)))))</f>
      </c>
      <c r="AZ11" s="137">
        <f>IF($O$2="",1,IF($O$2="(blank)",--(O11=""),IF($O$2="(nonblank)",--(O11&lt;&gt;""),--ISNUMBER(SEARCH($O$2,O11)))))</f>
      </c>
      <c r="BA11" s="137">
        <f>IF($P$2="",1,IF($P$2="(blank)",--(P11=""),IF($P$2="(nonblank)",--(P11&lt;&gt;""),--ISNUMBER(SEARCH($P$2,P11)))))</f>
      </c>
      <c r="BB11" s="137">
        <f>IF($Q$2="",1,IF($Q$2="(blank)",--(Q11=""),IF($Q$2="(nonblank)",--(Q11&lt;&gt;""),--ISNUMBER(SEARCH($Q$2,Q11)))))</f>
      </c>
      <c r="BC11" s="137">
        <f>IF($R$2="",1,IF($R$2="(blank)",--(R11=""),IF($R$2="(nonblank)",--(R11&lt;&gt;""),--ISNUMBER(SEARCH($R$2,R11)))))</f>
      </c>
      <c r="BD11" s="137">
        <f>IF($S$2="",1,IF($S$2="(blank)",--(S11=""),IF($S$2="(nonblank)",--(S11&lt;&gt;""),--ISNUMBER(SEARCH($S$2,S11)))))</f>
      </c>
      <c r="BE11" s="137">
        <f>IF($T$2="",1,IF($T$2="(blank)",--(T11=""),IF($T$2="(nonblank)",--(T11&lt;&gt;""),--ISNUMBER(SEARCH($T$2,T11)))))</f>
      </c>
      <c r="BF11" s="137">
        <f>IF($U$2="",1,IF($U$2="(blank)",--(U11=""),IF($U$2="(nonblank)",--(U11&lt;&gt;""),--ISNUMBER(SEARCH($U$2,U11)))))</f>
      </c>
      <c r="BG11" s="137">
        <f>IF($V$2="",1,IF($V$2="(blank)",--(V11=""),IF($V$2="(nonblank)",--(V11&lt;&gt;""),--ISNUMBER(SEARCH($V$2,V11)))))</f>
      </c>
      <c r="BH11" s="137">
        <f>IF($W$2="",1,IF($W$2="(blank)",--(W11=""),IF($W$2="(nonblank)",--(W11&lt;&gt;""),--ISNUMBER(SEARCH($W$2,W11)))))</f>
      </c>
      <c r="BI11" s="137">
        <f>IF($X$2="",1,IF($X$2="(blank)",--(X11=""),IF($X$2="(nonblank)",--(X11&lt;&gt;""),--ISNUMBER(SEARCH($X$2,X11)))))</f>
      </c>
      <c r="BJ11" s="137">
        <f>IF($Y$2="",1,IF($Y$2="(blank)",--(Y11=""),IF($Y$2="(nonblank)",--(Y11&lt;&gt;""),--ISNUMBER(SEARCH($Y$2,Y11)))))</f>
      </c>
      <c r="BK11" s="137">
        <f>IF($Z$2="",1,IF($Z$2="(blank)",--(Z11=""),IF($Z$2="(nonblank)",--(Z11&lt;&gt;""),--ISNUMBER(SEARCH($Z$2,Z11)))))</f>
      </c>
      <c r="BL11" s="137">
        <f>IF($AA$2="",1,IF($AA$2="(blank)",--(AA11=""),IF($AA$2="(nonblank)",--(AA11&lt;&gt;""),--ISNUMBER(SEARCH($AA$2,AA11)))))</f>
      </c>
      <c r="BM11" s="137">
        <f>IF($AB$2="",1,IF($AB$2="(blank)",--(AB11=""),IF($AB$2="(nonblank)",--(AB11&lt;&gt;""),--ISNUMBER(SEARCH($AB$2,AB11)))))</f>
      </c>
      <c r="BN11" s="137">
        <f>IF($AC$2="",1,IF($AC$2="(blank)",--(AC11=""),IF($AC$2="(nonblank)",--(AC11&lt;&gt;""),--ISNUMBER(SEARCH($AC$2,AC11)))))</f>
      </c>
      <c r="BO11" s="137">
        <f>IF($AD$2="",1,IF($AD$2="(blank)",--(AD11=""),IF($AD$2="(nonblank)",--(AD11&lt;&gt;""),--ISNUMBER(SEARCH($AD$2,AD11)))))</f>
      </c>
      <c r="BP11" s="137">
        <f>IF($AE$2="",1,IF($AE$2="(blank)",--(AE11=""),IF($AE$2="(nonblank)",--(AE11&lt;&gt;""),--ISNUMBER(SEARCH($AE$2,AE11)))))</f>
      </c>
      <c r="BQ11" s="137">
        <f>IF($AF$2="",1,IF($AF$2="(blank)",--(AF11=""),IF($AF$2="(nonblank)",--(AF11&lt;&gt;""),--ISNUMBER(SEARCH($AF$2,AF11)))))</f>
      </c>
      <c r="BR11" s="137">
        <f>IF($AG$2="",1,IF($AG$2="(blank)",--(AG11=""),IF($AG$2="(nonblank)",--(AG11&lt;&gt;""),--ISNUMBER(SEARCH($AG$2,AG11)))))</f>
      </c>
      <c r="BS11" s="137">
        <f>IF($AH$2="",1,IF($AH$2="(blank)",--(AH11=""),IF($AH$2="(nonblank)",--(AH11&lt;&gt;""),--ISNUMBER(SEARCH($AH$2,AH11)))))</f>
      </c>
      <c r="BT11" s="137">
        <f>IF(COUNTIF($AL11:$BS11,0)&gt;0,0,1)</f>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IF(IF(OR(AB12="",AB12=0),TODAY(),DATE(VALUE(RIGHT(AB12,4)),VALUE(MID(AB12,4,2)),VALUE(LEFT(AB12,2))))&lt;=DATE(2026,8,24),0,H12*0.0118*CEILING((IF(OR(AB12="",AB12=0),TODAY(),DATE(VALUE(RIGHT(AB12,4)),VALUE(MID(AB12,4,2)),VALUE(LEFT(AB12,2))))-DATE(2026,8,22))/7,1))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L12" s="137">
        <f>IF($A$2="",1,IF($A$2="(blank)",--(A12=""),IF($A$2="(nonblank)",--(A12&lt;&gt;""),--ISNUMBER(SEARCH($A$2,A12)))))</f>
      </c>
      <c r="AM12" s="137">
        <f>IF($B$2="",1,IF($B$2="(blank)",--(B12=""),IF($B$2="(nonblank)",--(B12&lt;&gt;""),--ISNUMBER(SEARCH($B$2,B12)))))</f>
      </c>
      <c r="AN12" s="137">
        <f>IF($C$2="",1,IF($C$2="(blank)",--(C12=""),IF($C$2="(nonblank)",--(C12&lt;&gt;""),--ISNUMBER(SEARCH($C$2,C12)))))</f>
      </c>
      <c r="AO12" s="137">
        <f>IF($D$2="",1,IF($D$2="(blank)",--(D12=""),IF($D$2="(nonblank)",--(D12&lt;&gt;""),--ISNUMBER(SEARCH($D$2,D12)))))</f>
      </c>
      <c r="AP12" s="137">
        <f>IF($E$2="",1,IF($E$2="(blank)",--(E12=""),IF($E$2="(nonblank)",--(E12&lt;&gt;""),--ISNUMBER(SEARCH($E$2,E12)))))</f>
      </c>
      <c r="AQ12" s="137">
        <f>IF($F$2="",1,IF($F$2="(blank)",--(F12=""),IF($F$2="(nonblank)",--(F12&lt;&gt;""),--ISNUMBER(SEARCH($F$2,F12)))))</f>
      </c>
      <c r="AR12" s="137">
        <f>IF($G$2="",1,IF($G$2="(blank)",--(G12=""),IF($G$2="(nonblank)",--(G12&lt;&gt;""),--ISNUMBER(SEARCH($G$2,G12)))))</f>
      </c>
      <c r="AS12" s="137">
        <f>IF($H$2="",1,IF($H$2="(blank)",--(H12=""),IF($H$2="(nonblank)",--(H12&lt;&gt;""),--ISNUMBER(SEARCH($H$2,H12)))))</f>
      </c>
      <c r="AT12" s="137">
        <f>IF($I$2="",1,IF($I$2="(blank)",--(I12=""),IF($I$2="(nonblank)",--(I12&lt;&gt;""),--ISNUMBER(SEARCH($I$2,I12)))))</f>
      </c>
      <c r="AU12" s="137">
        <f>IF($J$2="",1,IF($J$2="(blank)",--(J12=""),IF($J$2="(nonblank)",--(J12&lt;&gt;""),--ISNUMBER(SEARCH($J$2,J12)))))</f>
      </c>
      <c r="AV12" s="137">
        <f>IF($K$2="",1,IF($K$2="(blank)",--(K12=""),IF($K$2="(nonblank)",--(K12&lt;&gt;""),--ISNUMBER(SEARCH($K$2,K12)))))</f>
      </c>
      <c r="AW12" s="137">
        <f>IF($L$2="",1,IF($L$2="(blank)",--(L12=""),IF($L$2="(nonblank)",--(L12&lt;&gt;""),--ISNUMBER(SEARCH($L$2,L12)))))</f>
      </c>
      <c r="AX12" s="137">
        <f>IF($M$2="",1,IF($M$2="(blank)",--(M12=""),IF($M$2="(nonblank)",--(M12&lt;&gt;""),--ISNUMBER(SEARCH($M$2,M12)))))</f>
      </c>
      <c r="AY12" s="137">
        <f>IF($N$2="",1,IF($N$2="(blank)",--(N12=""),IF($N$2="(nonblank)",--(N12&lt;&gt;""),--ISNUMBER(SEARCH($N$2,N12)))))</f>
      </c>
      <c r="AZ12" s="137">
        <f>IF($O$2="",1,IF($O$2="(blank)",--(O12=""),IF($O$2="(nonblank)",--(O12&lt;&gt;""),--ISNUMBER(SEARCH($O$2,O12)))))</f>
      </c>
      <c r="BA12" s="137">
        <f>IF($P$2="",1,IF($P$2="(blank)",--(P12=""),IF($P$2="(nonblank)",--(P12&lt;&gt;""),--ISNUMBER(SEARCH($P$2,P12)))))</f>
      </c>
      <c r="BB12" s="137">
        <f>IF($Q$2="",1,IF($Q$2="(blank)",--(Q12=""),IF($Q$2="(nonblank)",--(Q12&lt;&gt;""),--ISNUMBER(SEARCH($Q$2,Q12)))))</f>
      </c>
      <c r="BC12" s="137">
        <f>IF($R$2="",1,IF($R$2="(blank)",--(R12=""),IF($R$2="(nonblank)",--(R12&lt;&gt;""),--ISNUMBER(SEARCH($R$2,R12)))))</f>
      </c>
      <c r="BD12" s="137">
        <f>IF($S$2="",1,IF($S$2="(blank)",--(S12=""),IF($S$2="(nonblank)",--(S12&lt;&gt;""),--ISNUMBER(SEARCH($S$2,S12)))))</f>
      </c>
      <c r="BE12" s="137">
        <f>IF($T$2="",1,IF($T$2="(blank)",--(T12=""),IF($T$2="(nonblank)",--(T12&lt;&gt;""),--ISNUMBER(SEARCH($T$2,T12)))))</f>
      </c>
      <c r="BF12" s="137">
        <f>IF($U$2="",1,IF($U$2="(blank)",--(U12=""),IF($U$2="(nonblank)",--(U12&lt;&gt;""),--ISNUMBER(SEARCH($U$2,U12)))))</f>
      </c>
      <c r="BG12" s="137">
        <f>IF($V$2="",1,IF($V$2="(blank)",--(V12=""),IF($V$2="(nonblank)",--(V12&lt;&gt;""),--ISNUMBER(SEARCH($V$2,V12)))))</f>
      </c>
      <c r="BH12" s="137">
        <f>IF($W$2="",1,IF($W$2="(blank)",--(W12=""),IF($W$2="(nonblank)",--(W12&lt;&gt;""),--ISNUMBER(SEARCH($W$2,W12)))))</f>
      </c>
      <c r="BI12" s="137">
        <f>IF($X$2="",1,IF($X$2="(blank)",--(X12=""),IF($X$2="(nonblank)",--(X12&lt;&gt;""),--ISNUMBER(SEARCH($X$2,X12)))))</f>
      </c>
      <c r="BJ12" s="137">
        <f>IF($Y$2="",1,IF($Y$2="(blank)",--(Y12=""),IF($Y$2="(nonblank)",--(Y12&lt;&gt;""),--ISNUMBER(SEARCH($Y$2,Y12)))))</f>
      </c>
      <c r="BK12" s="137">
        <f>IF($Z$2="",1,IF($Z$2="(blank)",--(Z12=""),IF($Z$2="(nonblank)",--(Z12&lt;&gt;""),--ISNUMBER(SEARCH($Z$2,Z12)))))</f>
      </c>
      <c r="BL12" s="137">
        <f>IF($AA$2="",1,IF($AA$2="(blank)",--(AA12=""),IF($AA$2="(nonblank)",--(AA12&lt;&gt;""),--ISNUMBER(SEARCH($AA$2,AA12)))))</f>
      </c>
      <c r="BM12" s="137">
        <f>IF($AB$2="",1,IF($AB$2="(blank)",--(AB12=""),IF($AB$2="(nonblank)",--(AB12&lt;&gt;""),--ISNUMBER(SEARCH($AB$2,AB12)))))</f>
      </c>
      <c r="BN12" s="137">
        <f>IF($AC$2="",1,IF($AC$2="(blank)",--(AC12=""),IF($AC$2="(nonblank)",--(AC12&lt;&gt;""),--ISNUMBER(SEARCH($AC$2,AC12)))))</f>
      </c>
      <c r="BO12" s="137">
        <f>IF($AD$2="",1,IF($AD$2="(blank)",--(AD12=""),IF($AD$2="(nonblank)",--(AD12&lt;&gt;""),--ISNUMBER(SEARCH($AD$2,AD12)))))</f>
      </c>
      <c r="BP12" s="137">
        <f>IF($AE$2="",1,IF($AE$2="(blank)",--(AE12=""),IF($AE$2="(nonblank)",--(AE12&lt;&gt;""),--ISNUMBER(SEARCH($AE$2,AE12)))))</f>
      </c>
      <c r="BQ12" s="137">
        <f>IF($AF$2="",1,IF($AF$2="(blank)",--(AF12=""),IF($AF$2="(nonblank)",--(AF12&lt;&gt;""),--ISNUMBER(SEARCH($AF$2,AF12)))))</f>
      </c>
      <c r="BR12" s="137">
        <f>IF($AG$2="",1,IF($AG$2="(blank)",--(AG12=""),IF($AG$2="(nonblank)",--(AG12&lt;&gt;""),--ISNUMBER(SEARCH($AG$2,AG12)))))</f>
      </c>
      <c r="BS12" s="137">
        <f>IF($AH$2="",1,IF($AH$2="(blank)",--(AH12=""),IF($AH$2="(nonblank)",--(AH12&lt;&gt;""),--ISNUMBER(SEARCH($AH$2,AH12)))))</f>
      </c>
      <c r="BT12" s="137">
        <f>IF(COUNTIF($AL12:$BS12,0)&gt;0,0,1)</f>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IF(IF(OR(AB13="",AB13=0),TODAY(),DATE(VALUE(RIGHT(AB13,4)),VALUE(MID(AB13,4,2)),VALUE(LEFT(AB13,2))))&lt;=DATE(2026,8,24),0,H13*0.0118*CEILING((IF(OR(AB13="",AB13=0),TODAY(),DATE(VALUE(RIGHT(AB13,4)),VALUE(MID(AB13,4,2)),VALUE(LEFT(AB13,2))))-DATE(2026,8,22))/7,1))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L13" s="137">
        <f>IF($A$2="",1,IF($A$2="(blank)",--(A13=""),IF($A$2="(nonblank)",--(A13&lt;&gt;""),--ISNUMBER(SEARCH($A$2,A13)))))</f>
      </c>
      <c r="AM13" s="137">
        <f>IF($B$2="",1,IF($B$2="(blank)",--(B13=""),IF($B$2="(nonblank)",--(B13&lt;&gt;""),--ISNUMBER(SEARCH($B$2,B13)))))</f>
      </c>
      <c r="AN13" s="137">
        <f>IF($C$2="",1,IF($C$2="(blank)",--(C13=""),IF($C$2="(nonblank)",--(C13&lt;&gt;""),--ISNUMBER(SEARCH($C$2,C13)))))</f>
      </c>
      <c r="AO13" s="137">
        <f>IF($D$2="",1,IF($D$2="(blank)",--(D13=""),IF($D$2="(nonblank)",--(D13&lt;&gt;""),--ISNUMBER(SEARCH($D$2,D13)))))</f>
      </c>
      <c r="AP13" s="137">
        <f>IF($E$2="",1,IF($E$2="(blank)",--(E13=""),IF($E$2="(nonblank)",--(E13&lt;&gt;""),--ISNUMBER(SEARCH($E$2,E13)))))</f>
      </c>
      <c r="AQ13" s="137">
        <f>IF($F$2="",1,IF($F$2="(blank)",--(F13=""),IF($F$2="(nonblank)",--(F13&lt;&gt;""),--ISNUMBER(SEARCH($F$2,F13)))))</f>
      </c>
      <c r="AR13" s="137">
        <f>IF($G$2="",1,IF($G$2="(blank)",--(G13=""),IF($G$2="(nonblank)",--(G13&lt;&gt;""),--ISNUMBER(SEARCH($G$2,G13)))))</f>
      </c>
      <c r="AS13" s="137">
        <f>IF($H$2="",1,IF($H$2="(blank)",--(H13=""),IF($H$2="(nonblank)",--(H13&lt;&gt;""),--ISNUMBER(SEARCH($H$2,H13)))))</f>
      </c>
      <c r="AT13" s="137">
        <f>IF($I$2="",1,IF($I$2="(blank)",--(I13=""),IF($I$2="(nonblank)",--(I13&lt;&gt;""),--ISNUMBER(SEARCH($I$2,I13)))))</f>
      </c>
      <c r="AU13" s="137">
        <f>IF($J$2="",1,IF($J$2="(blank)",--(J13=""),IF($J$2="(nonblank)",--(J13&lt;&gt;""),--ISNUMBER(SEARCH($J$2,J13)))))</f>
      </c>
      <c r="AV13" s="137">
        <f>IF($K$2="",1,IF($K$2="(blank)",--(K13=""),IF($K$2="(nonblank)",--(K13&lt;&gt;""),--ISNUMBER(SEARCH($K$2,K13)))))</f>
      </c>
      <c r="AW13" s="137">
        <f>IF($L$2="",1,IF($L$2="(blank)",--(L13=""),IF($L$2="(nonblank)",--(L13&lt;&gt;""),--ISNUMBER(SEARCH($L$2,L13)))))</f>
      </c>
      <c r="AX13" s="137">
        <f>IF($M$2="",1,IF($M$2="(blank)",--(M13=""),IF($M$2="(nonblank)",--(M13&lt;&gt;""),--ISNUMBER(SEARCH($M$2,M13)))))</f>
      </c>
      <c r="AY13" s="137">
        <f>IF($N$2="",1,IF($N$2="(blank)",--(N13=""),IF($N$2="(nonblank)",--(N13&lt;&gt;""),--ISNUMBER(SEARCH($N$2,N13)))))</f>
      </c>
      <c r="AZ13" s="137">
        <f>IF($O$2="",1,IF($O$2="(blank)",--(O13=""),IF($O$2="(nonblank)",--(O13&lt;&gt;""),--ISNUMBER(SEARCH($O$2,O13)))))</f>
      </c>
      <c r="BA13" s="137">
        <f>IF($P$2="",1,IF($P$2="(blank)",--(P13=""),IF($P$2="(nonblank)",--(P13&lt;&gt;""),--ISNUMBER(SEARCH($P$2,P13)))))</f>
      </c>
      <c r="BB13" s="137">
        <f>IF($Q$2="",1,IF($Q$2="(blank)",--(Q13=""),IF($Q$2="(nonblank)",--(Q13&lt;&gt;""),--ISNUMBER(SEARCH($Q$2,Q13)))))</f>
      </c>
      <c r="BC13" s="137">
        <f>IF($R$2="",1,IF($R$2="(blank)",--(R13=""),IF($R$2="(nonblank)",--(R13&lt;&gt;""),--ISNUMBER(SEARCH($R$2,R13)))))</f>
      </c>
      <c r="BD13" s="137">
        <f>IF($S$2="",1,IF($S$2="(blank)",--(S13=""),IF($S$2="(nonblank)",--(S13&lt;&gt;""),--ISNUMBER(SEARCH($S$2,S13)))))</f>
      </c>
      <c r="BE13" s="137">
        <f>IF($T$2="",1,IF($T$2="(blank)",--(T13=""),IF($T$2="(nonblank)",--(T13&lt;&gt;""),--ISNUMBER(SEARCH($T$2,T13)))))</f>
      </c>
      <c r="BF13" s="137">
        <f>IF($U$2="",1,IF($U$2="(blank)",--(U13=""),IF($U$2="(nonblank)",--(U13&lt;&gt;""),--ISNUMBER(SEARCH($U$2,U13)))))</f>
      </c>
      <c r="BG13" s="137">
        <f>IF($V$2="",1,IF($V$2="(blank)",--(V13=""),IF($V$2="(nonblank)",--(V13&lt;&gt;""),--ISNUMBER(SEARCH($V$2,V13)))))</f>
      </c>
      <c r="BH13" s="137">
        <f>IF($W$2="",1,IF($W$2="(blank)",--(W13=""),IF($W$2="(nonblank)",--(W13&lt;&gt;""),--ISNUMBER(SEARCH($W$2,W13)))))</f>
      </c>
      <c r="BI13" s="137">
        <f>IF($X$2="",1,IF($X$2="(blank)",--(X13=""),IF($X$2="(nonblank)",--(X13&lt;&gt;""),--ISNUMBER(SEARCH($X$2,X13)))))</f>
      </c>
      <c r="BJ13" s="137">
        <f>IF($Y$2="",1,IF($Y$2="(blank)",--(Y13=""),IF($Y$2="(nonblank)",--(Y13&lt;&gt;""),--ISNUMBER(SEARCH($Y$2,Y13)))))</f>
      </c>
      <c r="BK13" s="137">
        <f>IF($Z$2="",1,IF($Z$2="(blank)",--(Z13=""),IF($Z$2="(nonblank)",--(Z13&lt;&gt;""),--ISNUMBER(SEARCH($Z$2,Z13)))))</f>
      </c>
      <c r="BL13" s="137">
        <f>IF($AA$2="",1,IF($AA$2="(blank)",--(AA13=""),IF($AA$2="(nonblank)",--(AA13&lt;&gt;""),--ISNUMBER(SEARCH($AA$2,AA13)))))</f>
      </c>
      <c r="BM13" s="137">
        <f>IF($AB$2="",1,IF($AB$2="(blank)",--(AB13=""),IF($AB$2="(nonblank)",--(AB13&lt;&gt;""),--ISNUMBER(SEARCH($AB$2,AB13)))))</f>
      </c>
      <c r="BN13" s="137">
        <f>IF($AC$2="",1,IF($AC$2="(blank)",--(AC13=""),IF($AC$2="(nonblank)",--(AC13&lt;&gt;""),--ISNUMBER(SEARCH($AC$2,AC13)))))</f>
      </c>
      <c r="BO13" s="137">
        <f>IF($AD$2="",1,IF($AD$2="(blank)",--(AD13=""),IF($AD$2="(nonblank)",--(AD13&lt;&gt;""),--ISNUMBER(SEARCH($AD$2,AD13)))))</f>
      </c>
      <c r="BP13" s="137">
        <f>IF($AE$2="",1,IF($AE$2="(blank)",--(AE13=""),IF($AE$2="(nonblank)",--(AE13&lt;&gt;""),--ISNUMBER(SEARCH($AE$2,AE13)))))</f>
      </c>
      <c r="BQ13" s="137">
        <f>IF($AF$2="",1,IF($AF$2="(blank)",--(AF13=""),IF($AF$2="(nonblank)",--(AF13&lt;&gt;""),--ISNUMBER(SEARCH($AF$2,AF13)))))</f>
      </c>
      <c r="BR13" s="137">
        <f>IF($AG$2="",1,IF($AG$2="(blank)",--(AG13=""),IF($AG$2="(nonblank)",--(AG13&lt;&gt;""),--ISNUMBER(SEARCH($AG$2,AG13)))))</f>
      </c>
      <c r="BS13" s="137">
        <f>IF($AH$2="",1,IF($AH$2="(blank)",--(AH13=""),IF($AH$2="(nonblank)",--(AH13&lt;&gt;""),--ISNUMBER(SEARCH($AH$2,AH13)))))</f>
      </c>
      <c r="BT13" s="137">
        <f>IF(COUNTIF($AL13:$BS13,0)&gt;0,0,1)</f>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IF(IF(OR(AB14="",AB14=0),TODAY(),DATE(VALUE(RIGHT(AB14,4)),VALUE(MID(AB14,4,2)),VALUE(LEFT(AB14,2))))&lt;=DATE(2026,8,24),0,H14*0.0118*CEILING((IF(OR(AB14="",AB14=0),TODAY(),DATE(VALUE(RIGHT(AB14,4)),VALUE(MID(AB14,4,2)),VALUE(LEFT(AB14,2))))-DATE(2026,8,22))/7,1))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L14" s="137">
        <f>IF($A$2="",1,IF($A$2="(blank)",--(A14=""),IF($A$2="(nonblank)",--(A14&lt;&gt;""),--ISNUMBER(SEARCH($A$2,A14)))))</f>
      </c>
      <c r="AM14" s="137">
        <f>IF($B$2="",1,IF($B$2="(blank)",--(B14=""),IF($B$2="(nonblank)",--(B14&lt;&gt;""),--ISNUMBER(SEARCH($B$2,B14)))))</f>
      </c>
      <c r="AN14" s="137">
        <f>IF($C$2="",1,IF($C$2="(blank)",--(C14=""),IF($C$2="(nonblank)",--(C14&lt;&gt;""),--ISNUMBER(SEARCH($C$2,C14)))))</f>
      </c>
      <c r="AO14" s="137">
        <f>IF($D$2="",1,IF($D$2="(blank)",--(D14=""),IF($D$2="(nonblank)",--(D14&lt;&gt;""),--ISNUMBER(SEARCH($D$2,D14)))))</f>
      </c>
      <c r="AP14" s="137">
        <f>IF($E$2="",1,IF($E$2="(blank)",--(E14=""),IF($E$2="(nonblank)",--(E14&lt;&gt;""),--ISNUMBER(SEARCH($E$2,E14)))))</f>
      </c>
      <c r="AQ14" s="137">
        <f>IF($F$2="",1,IF($F$2="(blank)",--(F14=""),IF($F$2="(nonblank)",--(F14&lt;&gt;""),--ISNUMBER(SEARCH($F$2,F14)))))</f>
      </c>
      <c r="AR14" s="137">
        <f>IF($G$2="",1,IF($G$2="(blank)",--(G14=""),IF($G$2="(nonblank)",--(G14&lt;&gt;""),--ISNUMBER(SEARCH($G$2,G14)))))</f>
      </c>
      <c r="AS14" s="137">
        <f>IF($H$2="",1,IF($H$2="(blank)",--(H14=""),IF($H$2="(nonblank)",--(H14&lt;&gt;""),--ISNUMBER(SEARCH($H$2,H14)))))</f>
      </c>
      <c r="AT14" s="137">
        <f>IF($I$2="",1,IF($I$2="(blank)",--(I14=""),IF($I$2="(nonblank)",--(I14&lt;&gt;""),--ISNUMBER(SEARCH($I$2,I14)))))</f>
      </c>
      <c r="AU14" s="137">
        <f>IF($J$2="",1,IF($J$2="(blank)",--(J14=""),IF($J$2="(nonblank)",--(J14&lt;&gt;""),--ISNUMBER(SEARCH($J$2,J14)))))</f>
      </c>
      <c r="AV14" s="137">
        <f>IF($K$2="",1,IF($K$2="(blank)",--(K14=""),IF($K$2="(nonblank)",--(K14&lt;&gt;""),--ISNUMBER(SEARCH($K$2,K14)))))</f>
      </c>
      <c r="AW14" s="137">
        <f>IF($L$2="",1,IF($L$2="(blank)",--(L14=""),IF($L$2="(nonblank)",--(L14&lt;&gt;""),--ISNUMBER(SEARCH($L$2,L14)))))</f>
      </c>
      <c r="AX14" s="137">
        <f>IF($M$2="",1,IF($M$2="(blank)",--(M14=""),IF($M$2="(nonblank)",--(M14&lt;&gt;""),--ISNUMBER(SEARCH($M$2,M14)))))</f>
      </c>
      <c r="AY14" s="137">
        <f>IF($N$2="",1,IF($N$2="(blank)",--(N14=""),IF($N$2="(nonblank)",--(N14&lt;&gt;""),--ISNUMBER(SEARCH($N$2,N14)))))</f>
      </c>
      <c r="AZ14" s="137">
        <f>IF($O$2="",1,IF($O$2="(blank)",--(O14=""),IF($O$2="(nonblank)",--(O14&lt;&gt;""),--ISNUMBER(SEARCH($O$2,O14)))))</f>
      </c>
      <c r="BA14" s="137">
        <f>IF($P$2="",1,IF($P$2="(blank)",--(P14=""),IF($P$2="(nonblank)",--(P14&lt;&gt;""),--ISNUMBER(SEARCH($P$2,P14)))))</f>
      </c>
      <c r="BB14" s="137">
        <f>IF($Q$2="",1,IF($Q$2="(blank)",--(Q14=""),IF($Q$2="(nonblank)",--(Q14&lt;&gt;""),--ISNUMBER(SEARCH($Q$2,Q14)))))</f>
      </c>
      <c r="BC14" s="137">
        <f>IF($R$2="",1,IF($R$2="(blank)",--(R14=""),IF($R$2="(nonblank)",--(R14&lt;&gt;""),--ISNUMBER(SEARCH($R$2,R14)))))</f>
      </c>
      <c r="BD14" s="137">
        <f>IF($S$2="",1,IF($S$2="(blank)",--(S14=""),IF($S$2="(nonblank)",--(S14&lt;&gt;""),--ISNUMBER(SEARCH($S$2,S14)))))</f>
      </c>
      <c r="BE14" s="137">
        <f>IF($T$2="",1,IF($T$2="(blank)",--(T14=""),IF($T$2="(nonblank)",--(T14&lt;&gt;""),--ISNUMBER(SEARCH($T$2,T14)))))</f>
      </c>
      <c r="BF14" s="137">
        <f>IF($U$2="",1,IF($U$2="(blank)",--(U14=""),IF($U$2="(nonblank)",--(U14&lt;&gt;""),--ISNUMBER(SEARCH($U$2,U14)))))</f>
      </c>
      <c r="BG14" s="137">
        <f>IF($V$2="",1,IF($V$2="(blank)",--(V14=""),IF($V$2="(nonblank)",--(V14&lt;&gt;""),--ISNUMBER(SEARCH($V$2,V14)))))</f>
      </c>
      <c r="BH14" s="137">
        <f>IF($W$2="",1,IF($W$2="(blank)",--(W14=""),IF($W$2="(nonblank)",--(W14&lt;&gt;""),--ISNUMBER(SEARCH($W$2,W14)))))</f>
      </c>
      <c r="BI14" s="137">
        <f>IF($X$2="",1,IF($X$2="(blank)",--(X14=""),IF($X$2="(nonblank)",--(X14&lt;&gt;""),--ISNUMBER(SEARCH($X$2,X14)))))</f>
      </c>
      <c r="BJ14" s="137">
        <f>IF($Y$2="",1,IF($Y$2="(blank)",--(Y14=""),IF($Y$2="(nonblank)",--(Y14&lt;&gt;""),--ISNUMBER(SEARCH($Y$2,Y14)))))</f>
      </c>
      <c r="BK14" s="137">
        <f>IF($Z$2="",1,IF($Z$2="(blank)",--(Z14=""),IF($Z$2="(nonblank)",--(Z14&lt;&gt;""),--ISNUMBER(SEARCH($Z$2,Z14)))))</f>
      </c>
      <c r="BL14" s="137">
        <f>IF($AA$2="",1,IF($AA$2="(blank)",--(AA14=""),IF($AA$2="(nonblank)",--(AA14&lt;&gt;""),--ISNUMBER(SEARCH($AA$2,AA14)))))</f>
      </c>
      <c r="BM14" s="137">
        <f>IF($AB$2="",1,IF($AB$2="(blank)",--(AB14=""),IF($AB$2="(nonblank)",--(AB14&lt;&gt;""),--ISNUMBER(SEARCH($AB$2,AB14)))))</f>
      </c>
      <c r="BN14" s="137">
        <f>IF($AC$2="",1,IF($AC$2="(blank)",--(AC14=""),IF($AC$2="(nonblank)",--(AC14&lt;&gt;""),--ISNUMBER(SEARCH($AC$2,AC14)))))</f>
      </c>
      <c r="BO14" s="137">
        <f>IF($AD$2="",1,IF($AD$2="(blank)",--(AD14=""),IF($AD$2="(nonblank)",--(AD14&lt;&gt;""),--ISNUMBER(SEARCH($AD$2,AD14)))))</f>
      </c>
      <c r="BP14" s="137">
        <f>IF($AE$2="",1,IF($AE$2="(blank)",--(AE14=""),IF($AE$2="(nonblank)",--(AE14&lt;&gt;""),--ISNUMBER(SEARCH($AE$2,AE14)))))</f>
      </c>
      <c r="BQ14" s="137">
        <f>IF($AF$2="",1,IF($AF$2="(blank)",--(AF14=""),IF($AF$2="(nonblank)",--(AF14&lt;&gt;""),--ISNUMBER(SEARCH($AF$2,AF14)))))</f>
      </c>
      <c r="BR14" s="137">
        <f>IF($AG$2="",1,IF($AG$2="(blank)",--(AG14=""),IF($AG$2="(nonblank)",--(AG14&lt;&gt;""),--ISNUMBER(SEARCH($AG$2,AG14)))))</f>
      </c>
      <c r="BS14" s="137">
        <f>IF($AH$2="",1,IF($AH$2="(blank)",--(AH14=""),IF($AH$2="(nonblank)",--(AH14&lt;&gt;""),--ISNUMBER(SEARCH($AH$2,AH14)))))</f>
      </c>
      <c r="BT14" s="137">
        <f>IF(COUNTIF($AL14:$BS14,0)&gt;0,0,1)</f>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IF(IF(OR(AB15="",AB15=0),TODAY(),DATE(VALUE(RIGHT(AB15,4)),VALUE(MID(AB15,4,2)),VALUE(LEFT(AB15,2))))&lt;=DATE(2026,8,24),0,H15*0.0118*CEILING((IF(OR(AB15="",AB15=0),TODAY(),DATE(VALUE(RIGHT(AB15,4)),VALUE(MID(AB15,4,2)),VALUE(LEFT(AB15,2))))-DATE(2026,8,22))/7,1))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L15" s="137">
        <f>IF($A$2="",1,IF($A$2="(blank)",--(A15=""),IF($A$2="(nonblank)",--(A15&lt;&gt;""),--ISNUMBER(SEARCH($A$2,A15)))))</f>
      </c>
      <c r="AM15" s="137">
        <f>IF($B$2="",1,IF($B$2="(blank)",--(B15=""),IF($B$2="(nonblank)",--(B15&lt;&gt;""),--ISNUMBER(SEARCH($B$2,B15)))))</f>
      </c>
      <c r="AN15" s="137">
        <f>IF($C$2="",1,IF($C$2="(blank)",--(C15=""),IF($C$2="(nonblank)",--(C15&lt;&gt;""),--ISNUMBER(SEARCH($C$2,C15)))))</f>
      </c>
      <c r="AO15" s="137">
        <f>IF($D$2="",1,IF($D$2="(blank)",--(D15=""),IF($D$2="(nonblank)",--(D15&lt;&gt;""),--ISNUMBER(SEARCH($D$2,D15)))))</f>
      </c>
      <c r="AP15" s="137">
        <f>IF($E$2="",1,IF($E$2="(blank)",--(E15=""),IF($E$2="(nonblank)",--(E15&lt;&gt;""),--ISNUMBER(SEARCH($E$2,E15)))))</f>
      </c>
      <c r="AQ15" s="137">
        <f>IF($F$2="",1,IF($F$2="(blank)",--(F15=""),IF($F$2="(nonblank)",--(F15&lt;&gt;""),--ISNUMBER(SEARCH($F$2,F15)))))</f>
      </c>
      <c r="AR15" s="137">
        <f>IF($G$2="",1,IF($G$2="(blank)",--(G15=""),IF($G$2="(nonblank)",--(G15&lt;&gt;""),--ISNUMBER(SEARCH($G$2,G15)))))</f>
      </c>
      <c r="AS15" s="137">
        <f>IF($H$2="",1,IF($H$2="(blank)",--(H15=""),IF($H$2="(nonblank)",--(H15&lt;&gt;""),--ISNUMBER(SEARCH($H$2,H15)))))</f>
      </c>
      <c r="AT15" s="137">
        <f>IF($I$2="",1,IF($I$2="(blank)",--(I15=""),IF($I$2="(nonblank)",--(I15&lt;&gt;""),--ISNUMBER(SEARCH($I$2,I15)))))</f>
      </c>
      <c r="AU15" s="137">
        <f>IF($J$2="",1,IF($J$2="(blank)",--(J15=""),IF($J$2="(nonblank)",--(J15&lt;&gt;""),--ISNUMBER(SEARCH($J$2,J15)))))</f>
      </c>
      <c r="AV15" s="137">
        <f>IF($K$2="",1,IF($K$2="(blank)",--(K15=""),IF($K$2="(nonblank)",--(K15&lt;&gt;""),--ISNUMBER(SEARCH($K$2,K15)))))</f>
      </c>
      <c r="AW15" s="137">
        <f>IF($L$2="",1,IF($L$2="(blank)",--(L15=""),IF($L$2="(nonblank)",--(L15&lt;&gt;""),--ISNUMBER(SEARCH($L$2,L15)))))</f>
      </c>
      <c r="AX15" s="137">
        <f>IF($M$2="",1,IF($M$2="(blank)",--(M15=""),IF($M$2="(nonblank)",--(M15&lt;&gt;""),--ISNUMBER(SEARCH($M$2,M15)))))</f>
      </c>
      <c r="AY15" s="137">
        <f>IF($N$2="",1,IF($N$2="(blank)",--(N15=""),IF($N$2="(nonblank)",--(N15&lt;&gt;""),--ISNUMBER(SEARCH($N$2,N15)))))</f>
      </c>
      <c r="AZ15" s="137">
        <f>IF($O$2="",1,IF($O$2="(blank)",--(O15=""),IF($O$2="(nonblank)",--(O15&lt;&gt;""),--ISNUMBER(SEARCH($O$2,O15)))))</f>
      </c>
      <c r="BA15" s="137">
        <f>IF($P$2="",1,IF($P$2="(blank)",--(P15=""),IF($P$2="(nonblank)",--(P15&lt;&gt;""),--ISNUMBER(SEARCH($P$2,P15)))))</f>
      </c>
      <c r="BB15" s="137">
        <f>IF($Q$2="",1,IF($Q$2="(blank)",--(Q15=""),IF($Q$2="(nonblank)",--(Q15&lt;&gt;""),--ISNUMBER(SEARCH($Q$2,Q15)))))</f>
      </c>
      <c r="BC15" s="137">
        <f>IF($R$2="",1,IF($R$2="(blank)",--(R15=""),IF($R$2="(nonblank)",--(R15&lt;&gt;""),--ISNUMBER(SEARCH($R$2,R15)))))</f>
      </c>
      <c r="BD15" s="137">
        <f>IF($S$2="",1,IF($S$2="(blank)",--(S15=""),IF($S$2="(nonblank)",--(S15&lt;&gt;""),--ISNUMBER(SEARCH($S$2,S15)))))</f>
      </c>
      <c r="BE15" s="137">
        <f>IF($T$2="",1,IF($T$2="(blank)",--(T15=""),IF($T$2="(nonblank)",--(T15&lt;&gt;""),--ISNUMBER(SEARCH($T$2,T15)))))</f>
      </c>
      <c r="BF15" s="137">
        <f>IF($U$2="",1,IF($U$2="(blank)",--(U15=""),IF($U$2="(nonblank)",--(U15&lt;&gt;""),--ISNUMBER(SEARCH($U$2,U15)))))</f>
      </c>
      <c r="BG15" s="137">
        <f>IF($V$2="",1,IF($V$2="(blank)",--(V15=""),IF($V$2="(nonblank)",--(V15&lt;&gt;""),--ISNUMBER(SEARCH($V$2,V15)))))</f>
      </c>
      <c r="BH15" s="137">
        <f>IF($W$2="",1,IF($W$2="(blank)",--(W15=""),IF($W$2="(nonblank)",--(W15&lt;&gt;""),--ISNUMBER(SEARCH($W$2,W15)))))</f>
      </c>
      <c r="BI15" s="137">
        <f>IF($X$2="",1,IF($X$2="(blank)",--(X15=""),IF($X$2="(nonblank)",--(X15&lt;&gt;""),--ISNUMBER(SEARCH($X$2,X15)))))</f>
      </c>
      <c r="BJ15" s="137">
        <f>IF($Y$2="",1,IF($Y$2="(blank)",--(Y15=""),IF($Y$2="(nonblank)",--(Y15&lt;&gt;""),--ISNUMBER(SEARCH($Y$2,Y15)))))</f>
      </c>
      <c r="BK15" s="137">
        <f>IF($Z$2="",1,IF($Z$2="(blank)",--(Z15=""),IF($Z$2="(nonblank)",--(Z15&lt;&gt;""),--ISNUMBER(SEARCH($Z$2,Z15)))))</f>
      </c>
      <c r="BL15" s="137">
        <f>IF($AA$2="",1,IF($AA$2="(blank)",--(AA15=""),IF($AA$2="(nonblank)",--(AA15&lt;&gt;""),--ISNUMBER(SEARCH($AA$2,AA15)))))</f>
      </c>
      <c r="BM15" s="137">
        <f>IF($AB$2="",1,IF($AB$2="(blank)",--(AB15=""),IF($AB$2="(nonblank)",--(AB15&lt;&gt;""),--ISNUMBER(SEARCH($AB$2,AB15)))))</f>
      </c>
      <c r="BN15" s="137">
        <f>IF($AC$2="",1,IF($AC$2="(blank)",--(AC15=""),IF($AC$2="(nonblank)",--(AC15&lt;&gt;""),--ISNUMBER(SEARCH($AC$2,AC15)))))</f>
      </c>
      <c r="BO15" s="137">
        <f>IF($AD$2="",1,IF($AD$2="(blank)",--(AD15=""),IF($AD$2="(nonblank)",--(AD15&lt;&gt;""),--ISNUMBER(SEARCH($AD$2,AD15)))))</f>
      </c>
      <c r="BP15" s="137">
        <f>IF($AE$2="",1,IF($AE$2="(blank)",--(AE15=""),IF($AE$2="(nonblank)",--(AE15&lt;&gt;""),--ISNUMBER(SEARCH($AE$2,AE15)))))</f>
      </c>
      <c r="BQ15" s="137">
        <f>IF($AF$2="",1,IF($AF$2="(blank)",--(AF15=""),IF($AF$2="(nonblank)",--(AF15&lt;&gt;""),--ISNUMBER(SEARCH($AF$2,AF15)))))</f>
      </c>
      <c r="BR15" s="137">
        <f>IF($AG$2="",1,IF($AG$2="(blank)",--(AG15=""),IF($AG$2="(nonblank)",--(AG15&lt;&gt;""),--ISNUMBER(SEARCH($AG$2,AG15)))))</f>
      </c>
      <c r="BS15" s="137">
        <f>IF($AH$2="",1,IF($AH$2="(blank)",--(AH15=""),IF($AH$2="(nonblank)",--(AH15&lt;&gt;""),--ISNUMBER(SEARCH($AH$2,AH15)))))</f>
      </c>
      <c r="BT15" s="137">
        <f>IF(COUNTIF($AL15:$BS15,0)&gt;0,0,1)</f>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IF(IF(OR(AB16="",AB16=0),TODAY(),DATE(VALUE(RIGHT(AB16,4)),VALUE(MID(AB16,4,2)),VALUE(LEFT(AB16,2))))&lt;=DATE(2026,8,24),0,H16*0.0118*CEILING((IF(OR(AB16="",AB16=0),TODAY(),DATE(VALUE(RIGHT(AB16,4)),VALUE(MID(AB16,4,2)),VALUE(LEFT(AB16,2))))-DATE(2026,8,22))/7,1))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L16" s="137">
        <f>IF($A$2="",1,IF($A$2="(blank)",--(A16=""),IF($A$2="(nonblank)",--(A16&lt;&gt;""),--ISNUMBER(SEARCH($A$2,A16)))))</f>
      </c>
      <c r="AM16" s="137">
        <f>IF($B$2="",1,IF($B$2="(blank)",--(B16=""),IF($B$2="(nonblank)",--(B16&lt;&gt;""),--ISNUMBER(SEARCH($B$2,B16)))))</f>
      </c>
      <c r="AN16" s="137">
        <f>IF($C$2="",1,IF($C$2="(blank)",--(C16=""),IF($C$2="(nonblank)",--(C16&lt;&gt;""),--ISNUMBER(SEARCH($C$2,C16)))))</f>
      </c>
      <c r="AO16" s="137">
        <f>IF($D$2="",1,IF($D$2="(blank)",--(D16=""),IF($D$2="(nonblank)",--(D16&lt;&gt;""),--ISNUMBER(SEARCH($D$2,D16)))))</f>
      </c>
      <c r="AP16" s="137">
        <f>IF($E$2="",1,IF($E$2="(blank)",--(E16=""),IF($E$2="(nonblank)",--(E16&lt;&gt;""),--ISNUMBER(SEARCH($E$2,E16)))))</f>
      </c>
      <c r="AQ16" s="137">
        <f>IF($F$2="",1,IF($F$2="(blank)",--(F16=""),IF($F$2="(nonblank)",--(F16&lt;&gt;""),--ISNUMBER(SEARCH($F$2,F16)))))</f>
      </c>
      <c r="AR16" s="137">
        <f>IF($G$2="",1,IF($G$2="(blank)",--(G16=""),IF($G$2="(nonblank)",--(G16&lt;&gt;""),--ISNUMBER(SEARCH($G$2,G16)))))</f>
      </c>
      <c r="AS16" s="137">
        <f>IF($H$2="",1,IF($H$2="(blank)",--(H16=""),IF($H$2="(nonblank)",--(H16&lt;&gt;""),--ISNUMBER(SEARCH($H$2,H16)))))</f>
      </c>
      <c r="AT16" s="137">
        <f>IF($I$2="",1,IF($I$2="(blank)",--(I16=""),IF($I$2="(nonblank)",--(I16&lt;&gt;""),--ISNUMBER(SEARCH($I$2,I16)))))</f>
      </c>
      <c r="AU16" s="137">
        <f>IF($J$2="",1,IF($J$2="(blank)",--(J16=""),IF($J$2="(nonblank)",--(J16&lt;&gt;""),--ISNUMBER(SEARCH($J$2,J16)))))</f>
      </c>
      <c r="AV16" s="137">
        <f>IF($K$2="",1,IF($K$2="(blank)",--(K16=""),IF($K$2="(nonblank)",--(K16&lt;&gt;""),--ISNUMBER(SEARCH($K$2,K16)))))</f>
      </c>
      <c r="AW16" s="137">
        <f>IF($L$2="",1,IF($L$2="(blank)",--(L16=""),IF($L$2="(nonblank)",--(L16&lt;&gt;""),--ISNUMBER(SEARCH($L$2,L16)))))</f>
      </c>
      <c r="AX16" s="137">
        <f>IF($M$2="",1,IF($M$2="(blank)",--(M16=""),IF($M$2="(nonblank)",--(M16&lt;&gt;""),--ISNUMBER(SEARCH($M$2,M16)))))</f>
      </c>
      <c r="AY16" s="137">
        <f>IF($N$2="",1,IF($N$2="(blank)",--(N16=""),IF($N$2="(nonblank)",--(N16&lt;&gt;""),--ISNUMBER(SEARCH($N$2,N16)))))</f>
      </c>
      <c r="AZ16" s="137">
        <f>IF($O$2="",1,IF($O$2="(blank)",--(O16=""),IF($O$2="(nonblank)",--(O16&lt;&gt;""),--ISNUMBER(SEARCH($O$2,O16)))))</f>
      </c>
      <c r="BA16" s="137">
        <f>IF($P$2="",1,IF($P$2="(blank)",--(P16=""),IF($P$2="(nonblank)",--(P16&lt;&gt;""),--ISNUMBER(SEARCH($P$2,P16)))))</f>
      </c>
      <c r="BB16" s="137">
        <f>IF($Q$2="",1,IF($Q$2="(blank)",--(Q16=""),IF($Q$2="(nonblank)",--(Q16&lt;&gt;""),--ISNUMBER(SEARCH($Q$2,Q16)))))</f>
      </c>
      <c r="BC16" s="137">
        <f>IF($R$2="",1,IF($R$2="(blank)",--(R16=""),IF($R$2="(nonblank)",--(R16&lt;&gt;""),--ISNUMBER(SEARCH($R$2,R16)))))</f>
      </c>
      <c r="BD16" s="137">
        <f>IF($S$2="",1,IF($S$2="(blank)",--(S16=""),IF($S$2="(nonblank)",--(S16&lt;&gt;""),--ISNUMBER(SEARCH($S$2,S16)))))</f>
      </c>
      <c r="BE16" s="137">
        <f>IF($T$2="",1,IF($T$2="(blank)",--(T16=""),IF($T$2="(nonblank)",--(T16&lt;&gt;""),--ISNUMBER(SEARCH($T$2,T16)))))</f>
      </c>
      <c r="BF16" s="137">
        <f>IF($U$2="",1,IF($U$2="(blank)",--(U16=""),IF($U$2="(nonblank)",--(U16&lt;&gt;""),--ISNUMBER(SEARCH($U$2,U16)))))</f>
      </c>
      <c r="BG16" s="137">
        <f>IF($V$2="",1,IF($V$2="(blank)",--(V16=""),IF($V$2="(nonblank)",--(V16&lt;&gt;""),--ISNUMBER(SEARCH($V$2,V16)))))</f>
      </c>
      <c r="BH16" s="137">
        <f>IF($W$2="",1,IF($W$2="(blank)",--(W16=""),IF($W$2="(nonblank)",--(W16&lt;&gt;""),--ISNUMBER(SEARCH($W$2,W16)))))</f>
      </c>
      <c r="BI16" s="137">
        <f>IF($X$2="",1,IF($X$2="(blank)",--(X16=""),IF($X$2="(nonblank)",--(X16&lt;&gt;""),--ISNUMBER(SEARCH($X$2,X16)))))</f>
      </c>
      <c r="BJ16" s="137">
        <f>IF($Y$2="",1,IF($Y$2="(blank)",--(Y16=""),IF($Y$2="(nonblank)",--(Y16&lt;&gt;""),--ISNUMBER(SEARCH($Y$2,Y16)))))</f>
      </c>
      <c r="BK16" s="137">
        <f>IF($Z$2="",1,IF($Z$2="(blank)",--(Z16=""),IF($Z$2="(nonblank)",--(Z16&lt;&gt;""),--ISNUMBER(SEARCH($Z$2,Z16)))))</f>
      </c>
      <c r="BL16" s="137">
        <f>IF($AA$2="",1,IF($AA$2="(blank)",--(AA16=""),IF($AA$2="(nonblank)",--(AA16&lt;&gt;""),--ISNUMBER(SEARCH($AA$2,AA16)))))</f>
      </c>
      <c r="BM16" s="137">
        <f>IF($AB$2="",1,IF($AB$2="(blank)",--(AB16=""),IF($AB$2="(nonblank)",--(AB16&lt;&gt;""),--ISNUMBER(SEARCH($AB$2,AB16)))))</f>
      </c>
      <c r="BN16" s="137">
        <f>IF($AC$2="",1,IF($AC$2="(blank)",--(AC16=""),IF($AC$2="(nonblank)",--(AC16&lt;&gt;""),--ISNUMBER(SEARCH($AC$2,AC16)))))</f>
      </c>
      <c r="BO16" s="137">
        <f>IF($AD$2="",1,IF($AD$2="(blank)",--(AD16=""),IF($AD$2="(nonblank)",--(AD16&lt;&gt;""),--ISNUMBER(SEARCH($AD$2,AD16)))))</f>
      </c>
      <c r="BP16" s="137">
        <f>IF($AE$2="",1,IF($AE$2="(blank)",--(AE16=""),IF($AE$2="(nonblank)",--(AE16&lt;&gt;""),--ISNUMBER(SEARCH($AE$2,AE16)))))</f>
      </c>
      <c r="BQ16" s="137">
        <f>IF($AF$2="",1,IF($AF$2="(blank)",--(AF16=""),IF($AF$2="(nonblank)",--(AF16&lt;&gt;""),--ISNUMBER(SEARCH($AF$2,AF16)))))</f>
      </c>
      <c r="BR16" s="137">
        <f>IF($AG$2="",1,IF($AG$2="(blank)",--(AG16=""),IF($AG$2="(nonblank)",--(AG16&lt;&gt;""),--ISNUMBER(SEARCH($AG$2,AG16)))))</f>
      </c>
      <c r="BS16" s="137">
        <f>IF($AH$2="",1,IF($AH$2="(blank)",--(AH16=""),IF($AH$2="(nonblank)",--(AH16&lt;&gt;""),--ISNUMBER(SEARCH($AH$2,AH16)))))</f>
      </c>
      <c r="BT16" s="137">
        <f>IF(COUNTIF($AL16:$BS16,0)&gt;0,0,1)</f>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IF(IF(OR(AB17="",AB17=0),TODAY(),DATE(VALUE(RIGHT(AB17,4)),VALUE(MID(AB17,4,2)),VALUE(LEFT(AB17,2))))&lt;=DATE(2026,8,24),0,H17*0.0118*CEILING((IF(OR(AB17="",AB17=0),TODAY(),DATE(VALUE(RIGHT(AB17,4)),VALUE(MID(AB17,4,2)),VALUE(LEFT(AB17,2))))-DATE(2026,8,22))/7,1))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L17" s="137">
        <f>IF($A$2="",1,IF($A$2="(blank)",--(A17=""),IF($A$2="(nonblank)",--(A17&lt;&gt;""),--ISNUMBER(SEARCH($A$2,A17)))))</f>
      </c>
      <c r="AM17" s="137">
        <f>IF($B$2="",1,IF($B$2="(blank)",--(B17=""),IF($B$2="(nonblank)",--(B17&lt;&gt;""),--ISNUMBER(SEARCH($B$2,B17)))))</f>
      </c>
      <c r="AN17" s="137">
        <f>IF($C$2="",1,IF($C$2="(blank)",--(C17=""),IF($C$2="(nonblank)",--(C17&lt;&gt;""),--ISNUMBER(SEARCH($C$2,C17)))))</f>
      </c>
      <c r="AO17" s="137">
        <f>IF($D$2="",1,IF($D$2="(blank)",--(D17=""),IF($D$2="(nonblank)",--(D17&lt;&gt;""),--ISNUMBER(SEARCH($D$2,D17)))))</f>
      </c>
      <c r="AP17" s="137">
        <f>IF($E$2="",1,IF($E$2="(blank)",--(E17=""),IF($E$2="(nonblank)",--(E17&lt;&gt;""),--ISNUMBER(SEARCH($E$2,E17)))))</f>
      </c>
      <c r="AQ17" s="137">
        <f>IF($F$2="",1,IF($F$2="(blank)",--(F17=""),IF($F$2="(nonblank)",--(F17&lt;&gt;""),--ISNUMBER(SEARCH($F$2,F17)))))</f>
      </c>
      <c r="AR17" s="137">
        <f>IF($G$2="",1,IF($G$2="(blank)",--(G17=""),IF($G$2="(nonblank)",--(G17&lt;&gt;""),--ISNUMBER(SEARCH($G$2,G17)))))</f>
      </c>
      <c r="AS17" s="137">
        <f>IF($H$2="",1,IF($H$2="(blank)",--(H17=""),IF($H$2="(nonblank)",--(H17&lt;&gt;""),--ISNUMBER(SEARCH($H$2,H17)))))</f>
      </c>
      <c r="AT17" s="137">
        <f>IF($I$2="",1,IF($I$2="(blank)",--(I17=""),IF($I$2="(nonblank)",--(I17&lt;&gt;""),--ISNUMBER(SEARCH($I$2,I17)))))</f>
      </c>
      <c r="AU17" s="137">
        <f>IF($J$2="",1,IF($J$2="(blank)",--(J17=""),IF($J$2="(nonblank)",--(J17&lt;&gt;""),--ISNUMBER(SEARCH($J$2,J17)))))</f>
      </c>
      <c r="AV17" s="137">
        <f>IF($K$2="",1,IF($K$2="(blank)",--(K17=""),IF($K$2="(nonblank)",--(K17&lt;&gt;""),--ISNUMBER(SEARCH($K$2,K17)))))</f>
      </c>
      <c r="AW17" s="137">
        <f>IF($L$2="",1,IF($L$2="(blank)",--(L17=""),IF($L$2="(nonblank)",--(L17&lt;&gt;""),--ISNUMBER(SEARCH($L$2,L17)))))</f>
      </c>
      <c r="AX17" s="137">
        <f>IF($M$2="",1,IF($M$2="(blank)",--(M17=""),IF($M$2="(nonblank)",--(M17&lt;&gt;""),--ISNUMBER(SEARCH($M$2,M17)))))</f>
      </c>
      <c r="AY17" s="137">
        <f>IF($N$2="",1,IF($N$2="(blank)",--(N17=""),IF($N$2="(nonblank)",--(N17&lt;&gt;""),--ISNUMBER(SEARCH($N$2,N17)))))</f>
      </c>
      <c r="AZ17" s="137">
        <f>IF($O$2="",1,IF($O$2="(blank)",--(O17=""),IF($O$2="(nonblank)",--(O17&lt;&gt;""),--ISNUMBER(SEARCH($O$2,O17)))))</f>
      </c>
      <c r="BA17" s="137">
        <f>IF($P$2="",1,IF($P$2="(blank)",--(P17=""),IF($P$2="(nonblank)",--(P17&lt;&gt;""),--ISNUMBER(SEARCH($P$2,P17)))))</f>
      </c>
      <c r="BB17" s="137">
        <f>IF($Q$2="",1,IF($Q$2="(blank)",--(Q17=""),IF($Q$2="(nonblank)",--(Q17&lt;&gt;""),--ISNUMBER(SEARCH($Q$2,Q17)))))</f>
      </c>
      <c r="BC17" s="137">
        <f>IF($R$2="",1,IF($R$2="(blank)",--(R17=""),IF($R$2="(nonblank)",--(R17&lt;&gt;""),--ISNUMBER(SEARCH($R$2,R17)))))</f>
      </c>
      <c r="BD17" s="137">
        <f>IF($S$2="",1,IF($S$2="(blank)",--(S17=""),IF($S$2="(nonblank)",--(S17&lt;&gt;""),--ISNUMBER(SEARCH($S$2,S17)))))</f>
      </c>
      <c r="BE17" s="137">
        <f>IF($T$2="",1,IF($T$2="(blank)",--(T17=""),IF($T$2="(nonblank)",--(T17&lt;&gt;""),--ISNUMBER(SEARCH($T$2,T17)))))</f>
      </c>
      <c r="BF17" s="137">
        <f>IF($U$2="",1,IF($U$2="(blank)",--(U17=""),IF($U$2="(nonblank)",--(U17&lt;&gt;""),--ISNUMBER(SEARCH($U$2,U17)))))</f>
      </c>
      <c r="BG17" s="137">
        <f>IF($V$2="",1,IF($V$2="(blank)",--(V17=""),IF($V$2="(nonblank)",--(V17&lt;&gt;""),--ISNUMBER(SEARCH($V$2,V17)))))</f>
      </c>
      <c r="BH17" s="137">
        <f>IF($W$2="",1,IF($W$2="(blank)",--(W17=""),IF($W$2="(nonblank)",--(W17&lt;&gt;""),--ISNUMBER(SEARCH($W$2,W17)))))</f>
      </c>
      <c r="BI17" s="137">
        <f>IF($X$2="",1,IF($X$2="(blank)",--(X17=""),IF($X$2="(nonblank)",--(X17&lt;&gt;""),--ISNUMBER(SEARCH($X$2,X17)))))</f>
      </c>
      <c r="BJ17" s="137">
        <f>IF($Y$2="",1,IF($Y$2="(blank)",--(Y17=""),IF($Y$2="(nonblank)",--(Y17&lt;&gt;""),--ISNUMBER(SEARCH($Y$2,Y17)))))</f>
      </c>
      <c r="BK17" s="137">
        <f>IF($Z$2="",1,IF($Z$2="(blank)",--(Z17=""),IF($Z$2="(nonblank)",--(Z17&lt;&gt;""),--ISNUMBER(SEARCH($Z$2,Z17)))))</f>
      </c>
      <c r="BL17" s="137">
        <f>IF($AA$2="",1,IF($AA$2="(blank)",--(AA17=""),IF($AA$2="(nonblank)",--(AA17&lt;&gt;""),--ISNUMBER(SEARCH($AA$2,AA17)))))</f>
      </c>
      <c r="BM17" s="137">
        <f>IF($AB$2="",1,IF($AB$2="(blank)",--(AB17=""),IF($AB$2="(nonblank)",--(AB17&lt;&gt;""),--ISNUMBER(SEARCH($AB$2,AB17)))))</f>
      </c>
      <c r="BN17" s="137">
        <f>IF($AC$2="",1,IF($AC$2="(blank)",--(AC17=""),IF($AC$2="(nonblank)",--(AC17&lt;&gt;""),--ISNUMBER(SEARCH($AC$2,AC17)))))</f>
      </c>
      <c r="BO17" s="137">
        <f>IF($AD$2="",1,IF($AD$2="(blank)",--(AD17=""),IF($AD$2="(nonblank)",--(AD17&lt;&gt;""),--ISNUMBER(SEARCH($AD$2,AD17)))))</f>
      </c>
      <c r="BP17" s="137">
        <f>IF($AE$2="",1,IF($AE$2="(blank)",--(AE17=""),IF($AE$2="(nonblank)",--(AE17&lt;&gt;""),--ISNUMBER(SEARCH($AE$2,AE17)))))</f>
      </c>
      <c r="BQ17" s="137">
        <f>IF($AF$2="",1,IF($AF$2="(blank)",--(AF17=""),IF($AF$2="(nonblank)",--(AF17&lt;&gt;""),--ISNUMBER(SEARCH($AF$2,AF17)))))</f>
      </c>
      <c r="BR17" s="137">
        <f>IF($AG$2="",1,IF($AG$2="(blank)",--(AG17=""),IF($AG$2="(nonblank)",--(AG17&lt;&gt;""),--ISNUMBER(SEARCH($AG$2,AG17)))))</f>
      </c>
      <c r="BS17" s="137">
        <f>IF($AH$2="",1,IF($AH$2="(blank)",--(AH17=""),IF($AH$2="(nonblank)",--(AH17&lt;&gt;""),--ISNUMBER(SEARCH($AH$2,AH17)))))</f>
      </c>
      <c r="BT17" s="137">
        <f>IF(COUNTIF($AL17:$BS17,0)&gt;0,0,1)</f>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IF(IF(OR(AB18="",AB18=0),TODAY(),DATE(VALUE(RIGHT(AB18,4)),VALUE(MID(AB18,4,2)),VALUE(LEFT(AB18,2))))&lt;=DATE(2026,8,24),0,H18*0.0118*CEILING((IF(OR(AB18="",AB18=0),TODAY(),DATE(VALUE(RIGHT(AB18,4)),VALUE(MID(AB18,4,2)),VALUE(LEFT(AB18,2))))-DATE(2026,8,22))/7,1))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L18" s="137">
        <f>IF($A$2="",1,IF($A$2="(blank)",--(A18=""),IF($A$2="(nonblank)",--(A18&lt;&gt;""),--ISNUMBER(SEARCH($A$2,A18)))))</f>
      </c>
      <c r="AM18" s="137">
        <f>IF($B$2="",1,IF($B$2="(blank)",--(B18=""),IF($B$2="(nonblank)",--(B18&lt;&gt;""),--ISNUMBER(SEARCH($B$2,B18)))))</f>
      </c>
      <c r="AN18" s="137">
        <f>IF($C$2="",1,IF($C$2="(blank)",--(C18=""),IF($C$2="(nonblank)",--(C18&lt;&gt;""),--ISNUMBER(SEARCH($C$2,C18)))))</f>
      </c>
      <c r="AO18" s="137">
        <f>IF($D$2="",1,IF($D$2="(blank)",--(D18=""),IF($D$2="(nonblank)",--(D18&lt;&gt;""),--ISNUMBER(SEARCH($D$2,D18)))))</f>
      </c>
      <c r="AP18" s="137">
        <f>IF($E$2="",1,IF($E$2="(blank)",--(E18=""),IF($E$2="(nonblank)",--(E18&lt;&gt;""),--ISNUMBER(SEARCH($E$2,E18)))))</f>
      </c>
      <c r="AQ18" s="137">
        <f>IF($F$2="",1,IF($F$2="(blank)",--(F18=""),IF($F$2="(nonblank)",--(F18&lt;&gt;""),--ISNUMBER(SEARCH($F$2,F18)))))</f>
      </c>
      <c r="AR18" s="137">
        <f>IF($G$2="",1,IF($G$2="(blank)",--(G18=""),IF($G$2="(nonblank)",--(G18&lt;&gt;""),--ISNUMBER(SEARCH($G$2,G18)))))</f>
      </c>
      <c r="AS18" s="137">
        <f>IF($H$2="",1,IF($H$2="(blank)",--(H18=""),IF($H$2="(nonblank)",--(H18&lt;&gt;""),--ISNUMBER(SEARCH($H$2,H18)))))</f>
      </c>
      <c r="AT18" s="137">
        <f>IF($I$2="",1,IF($I$2="(blank)",--(I18=""),IF($I$2="(nonblank)",--(I18&lt;&gt;""),--ISNUMBER(SEARCH($I$2,I18)))))</f>
      </c>
      <c r="AU18" s="137">
        <f>IF($J$2="",1,IF($J$2="(blank)",--(J18=""),IF($J$2="(nonblank)",--(J18&lt;&gt;""),--ISNUMBER(SEARCH($J$2,J18)))))</f>
      </c>
      <c r="AV18" s="137">
        <f>IF($K$2="",1,IF($K$2="(blank)",--(K18=""),IF($K$2="(nonblank)",--(K18&lt;&gt;""),--ISNUMBER(SEARCH($K$2,K18)))))</f>
      </c>
      <c r="AW18" s="137">
        <f>IF($L$2="",1,IF($L$2="(blank)",--(L18=""),IF($L$2="(nonblank)",--(L18&lt;&gt;""),--ISNUMBER(SEARCH($L$2,L18)))))</f>
      </c>
      <c r="AX18" s="137">
        <f>IF($M$2="",1,IF($M$2="(blank)",--(M18=""),IF($M$2="(nonblank)",--(M18&lt;&gt;""),--ISNUMBER(SEARCH($M$2,M18)))))</f>
      </c>
      <c r="AY18" s="137">
        <f>IF($N$2="",1,IF($N$2="(blank)",--(N18=""),IF($N$2="(nonblank)",--(N18&lt;&gt;""),--ISNUMBER(SEARCH($N$2,N18)))))</f>
      </c>
      <c r="AZ18" s="137">
        <f>IF($O$2="",1,IF($O$2="(blank)",--(O18=""),IF($O$2="(nonblank)",--(O18&lt;&gt;""),--ISNUMBER(SEARCH($O$2,O18)))))</f>
      </c>
      <c r="BA18" s="137">
        <f>IF($P$2="",1,IF($P$2="(blank)",--(P18=""),IF($P$2="(nonblank)",--(P18&lt;&gt;""),--ISNUMBER(SEARCH($P$2,P18)))))</f>
      </c>
      <c r="BB18" s="137">
        <f>IF($Q$2="",1,IF($Q$2="(blank)",--(Q18=""),IF($Q$2="(nonblank)",--(Q18&lt;&gt;""),--ISNUMBER(SEARCH($Q$2,Q18)))))</f>
      </c>
      <c r="BC18" s="137">
        <f>IF($R$2="",1,IF($R$2="(blank)",--(R18=""),IF($R$2="(nonblank)",--(R18&lt;&gt;""),--ISNUMBER(SEARCH($R$2,R18)))))</f>
      </c>
      <c r="BD18" s="137">
        <f>IF($S$2="",1,IF($S$2="(blank)",--(S18=""),IF($S$2="(nonblank)",--(S18&lt;&gt;""),--ISNUMBER(SEARCH($S$2,S18)))))</f>
      </c>
      <c r="BE18" s="137">
        <f>IF($T$2="",1,IF($T$2="(blank)",--(T18=""),IF($T$2="(nonblank)",--(T18&lt;&gt;""),--ISNUMBER(SEARCH($T$2,T18)))))</f>
      </c>
      <c r="BF18" s="137">
        <f>IF($U$2="",1,IF($U$2="(blank)",--(U18=""),IF($U$2="(nonblank)",--(U18&lt;&gt;""),--ISNUMBER(SEARCH($U$2,U18)))))</f>
      </c>
      <c r="BG18" s="137">
        <f>IF($V$2="",1,IF($V$2="(blank)",--(V18=""),IF($V$2="(nonblank)",--(V18&lt;&gt;""),--ISNUMBER(SEARCH($V$2,V18)))))</f>
      </c>
      <c r="BH18" s="137">
        <f>IF($W$2="",1,IF($W$2="(blank)",--(W18=""),IF($W$2="(nonblank)",--(W18&lt;&gt;""),--ISNUMBER(SEARCH($W$2,W18)))))</f>
      </c>
      <c r="BI18" s="137">
        <f>IF($X$2="",1,IF($X$2="(blank)",--(X18=""),IF($X$2="(nonblank)",--(X18&lt;&gt;""),--ISNUMBER(SEARCH($X$2,X18)))))</f>
      </c>
      <c r="BJ18" s="137">
        <f>IF($Y$2="",1,IF($Y$2="(blank)",--(Y18=""),IF($Y$2="(nonblank)",--(Y18&lt;&gt;""),--ISNUMBER(SEARCH($Y$2,Y18)))))</f>
      </c>
      <c r="BK18" s="137">
        <f>IF($Z$2="",1,IF($Z$2="(blank)",--(Z18=""),IF($Z$2="(nonblank)",--(Z18&lt;&gt;""),--ISNUMBER(SEARCH($Z$2,Z18)))))</f>
      </c>
      <c r="BL18" s="137">
        <f>IF($AA$2="",1,IF($AA$2="(blank)",--(AA18=""),IF($AA$2="(nonblank)",--(AA18&lt;&gt;""),--ISNUMBER(SEARCH($AA$2,AA18)))))</f>
      </c>
      <c r="BM18" s="137">
        <f>IF($AB$2="",1,IF($AB$2="(blank)",--(AB18=""),IF($AB$2="(nonblank)",--(AB18&lt;&gt;""),--ISNUMBER(SEARCH($AB$2,AB18)))))</f>
      </c>
      <c r="BN18" s="137">
        <f>IF($AC$2="",1,IF($AC$2="(blank)",--(AC18=""),IF($AC$2="(nonblank)",--(AC18&lt;&gt;""),--ISNUMBER(SEARCH($AC$2,AC18)))))</f>
      </c>
      <c r="BO18" s="137">
        <f>IF($AD$2="",1,IF($AD$2="(blank)",--(AD18=""),IF($AD$2="(nonblank)",--(AD18&lt;&gt;""),--ISNUMBER(SEARCH($AD$2,AD18)))))</f>
      </c>
      <c r="BP18" s="137">
        <f>IF($AE$2="",1,IF($AE$2="(blank)",--(AE18=""),IF($AE$2="(nonblank)",--(AE18&lt;&gt;""),--ISNUMBER(SEARCH($AE$2,AE18)))))</f>
      </c>
      <c r="BQ18" s="137">
        <f>IF($AF$2="",1,IF($AF$2="(blank)",--(AF18=""),IF($AF$2="(nonblank)",--(AF18&lt;&gt;""),--ISNUMBER(SEARCH($AF$2,AF18)))))</f>
      </c>
      <c r="BR18" s="137">
        <f>IF($AG$2="",1,IF($AG$2="(blank)",--(AG18=""),IF($AG$2="(nonblank)",--(AG18&lt;&gt;""),--ISNUMBER(SEARCH($AG$2,AG18)))))</f>
      </c>
      <c r="BS18" s="137">
        <f>IF($AH$2="",1,IF($AH$2="(blank)",--(AH18=""),IF($AH$2="(nonblank)",--(AH18&lt;&gt;""),--ISNUMBER(SEARCH($AH$2,AH18)))))</f>
      </c>
      <c r="BT18" s="137">
        <f>IF(COUNTIF($AL18:$BS18,0)&gt;0,0,1)</f>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IF(IF(OR(AB19="",AB19=0),TODAY(),DATE(VALUE(RIGHT(AB19,4)),VALUE(MID(AB19,4,2)),VALUE(LEFT(AB19,2))))&lt;=DATE(2026,8,24),0,H19*0.0118*CEILING((IF(OR(AB19="",AB19=0),TODAY(),DATE(VALUE(RIGHT(AB19,4)),VALUE(MID(AB19,4,2)),VALUE(LEFT(AB19,2))))-DATE(2026,8,22))/7,1))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L19" s="137">
        <f>IF($A$2="",1,IF($A$2="(blank)",--(A19=""),IF($A$2="(nonblank)",--(A19&lt;&gt;""),--ISNUMBER(SEARCH($A$2,A19)))))</f>
      </c>
      <c r="AM19" s="137">
        <f>IF($B$2="",1,IF($B$2="(blank)",--(B19=""),IF($B$2="(nonblank)",--(B19&lt;&gt;""),--ISNUMBER(SEARCH($B$2,B19)))))</f>
      </c>
      <c r="AN19" s="137">
        <f>IF($C$2="",1,IF($C$2="(blank)",--(C19=""),IF($C$2="(nonblank)",--(C19&lt;&gt;""),--ISNUMBER(SEARCH($C$2,C19)))))</f>
      </c>
      <c r="AO19" s="137">
        <f>IF($D$2="",1,IF($D$2="(blank)",--(D19=""),IF($D$2="(nonblank)",--(D19&lt;&gt;""),--ISNUMBER(SEARCH($D$2,D19)))))</f>
      </c>
      <c r="AP19" s="137">
        <f>IF($E$2="",1,IF($E$2="(blank)",--(E19=""),IF($E$2="(nonblank)",--(E19&lt;&gt;""),--ISNUMBER(SEARCH($E$2,E19)))))</f>
      </c>
      <c r="AQ19" s="137">
        <f>IF($F$2="",1,IF($F$2="(blank)",--(F19=""),IF($F$2="(nonblank)",--(F19&lt;&gt;""),--ISNUMBER(SEARCH($F$2,F19)))))</f>
      </c>
      <c r="AR19" s="137">
        <f>IF($G$2="",1,IF($G$2="(blank)",--(G19=""),IF($G$2="(nonblank)",--(G19&lt;&gt;""),--ISNUMBER(SEARCH($G$2,G19)))))</f>
      </c>
      <c r="AS19" s="137">
        <f>IF($H$2="",1,IF($H$2="(blank)",--(H19=""),IF($H$2="(nonblank)",--(H19&lt;&gt;""),--ISNUMBER(SEARCH($H$2,H19)))))</f>
      </c>
      <c r="AT19" s="137">
        <f>IF($I$2="",1,IF($I$2="(blank)",--(I19=""),IF($I$2="(nonblank)",--(I19&lt;&gt;""),--ISNUMBER(SEARCH($I$2,I19)))))</f>
      </c>
      <c r="AU19" s="137">
        <f>IF($J$2="",1,IF($J$2="(blank)",--(J19=""),IF($J$2="(nonblank)",--(J19&lt;&gt;""),--ISNUMBER(SEARCH($J$2,J19)))))</f>
      </c>
      <c r="AV19" s="137">
        <f>IF($K$2="",1,IF($K$2="(blank)",--(K19=""),IF($K$2="(nonblank)",--(K19&lt;&gt;""),--ISNUMBER(SEARCH($K$2,K19)))))</f>
      </c>
      <c r="AW19" s="137">
        <f>IF($L$2="",1,IF($L$2="(blank)",--(L19=""),IF($L$2="(nonblank)",--(L19&lt;&gt;""),--ISNUMBER(SEARCH($L$2,L19)))))</f>
      </c>
      <c r="AX19" s="137">
        <f>IF($M$2="",1,IF($M$2="(blank)",--(M19=""),IF($M$2="(nonblank)",--(M19&lt;&gt;""),--ISNUMBER(SEARCH($M$2,M19)))))</f>
      </c>
      <c r="AY19" s="137">
        <f>IF($N$2="",1,IF($N$2="(blank)",--(N19=""),IF($N$2="(nonblank)",--(N19&lt;&gt;""),--ISNUMBER(SEARCH($N$2,N19)))))</f>
      </c>
      <c r="AZ19" s="137">
        <f>IF($O$2="",1,IF($O$2="(blank)",--(O19=""),IF($O$2="(nonblank)",--(O19&lt;&gt;""),--ISNUMBER(SEARCH($O$2,O19)))))</f>
      </c>
      <c r="BA19" s="137">
        <f>IF($P$2="",1,IF($P$2="(blank)",--(P19=""),IF($P$2="(nonblank)",--(P19&lt;&gt;""),--ISNUMBER(SEARCH($P$2,P19)))))</f>
      </c>
      <c r="BB19" s="137">
        <f>IF($Q$2="",1,IF($Q$2="(blank)",--(Q19=""),IF($Q$2="(nonblank)",--(Q19&lt;&gt;""),--ISNUMBER(SEARCH($Q$2,Q19)))))</f>
      </c>
      <c r="BC19" s="137">
        <f>IF($R$2="",1,IF($R$2="(blank)",--(R19=""),IF($R$2="(nonblank)",--(R19&lt;&gt;""),--ISNUMBER(SEARCH($R$2,R19)))))</f>
      </c>
      <c r="BD19" s="137">
        <f>IF($S$2="",1,IF($S$2="(blank)",--(S19=""),IF($S$2="(nonblank)",--(S19&lt;&gt;""),--ISNUMBER(SEARCH($S$2,S19)))))</f>
      </c>
      <c r="BE19" s="137">
        <f>IF($T$2="",1,IF($T$2="(blank)",--(T19=""),IF($T$2="(nonblank)",--(T19&lt;&gt;""),--ISNUMBER(SEARCH($T$2,T19)))))</f>
      </c>
      <c r="BF19" s="137">
        <f>IF($U$2="",1,IF($U$2="(blank)",--(U19=""),IF($U$2="(nonblank)",--(U19&lt;&gt;""),--ISNUMBER(SEARCH($U$2,U19)))))</f>
      </c>
      <c r="BG19" s="137">
        <f>IF($V$2="",1,IF($V$2="(blank)",--(V19=""),IF($V$2="(nonblank)",--(V19&lt;&gt;""),--ISNUMBER(SEARCH($V$2,V19)))))</f>
      </c>
      <c r="BH19" s="137">
        <f>IF($W$2="",1,IF($W$2="(blank)",--(W19=""),IF($W$2="(nonblank)",--(W19&lt;&gt;""),--ISNUMBER(SEARCH($W$2,W19)))))</f>
      </c>
      <c r="BI19" s="137">
        <f>IF($X$2="",1,IF($X$2="(blank)",--(X19=""),IF($X$2="(nonblank)",--(X19&lt;&gt;""),--ISNUMBER(SEARCH($X$2,X19)))))</f>
      </c>
      <c r="BJ19" s="137">
        <f>IF($Y$2="",1,IF($Y$2="(blank)",--(Y19=""),IF($Y$2="(nonblank)",--(Y19&lt;&gt;""),--ISNUMBER(SEARCH($Y$2,Y19)))))</f>
      </c>
      <c r="BK19" s="137">
        <f>IF($Z$2="",1,IF($Z$2="(blank)",--(Z19=""),IF($Z$2="(nonblank)",--(Z19&lt;&gt;""),--ISNUMBER(SEARCH($Z$2,Z19)))))</f>
      </c>
      <c r="BL19" s="137">
        <f>IF($AA$2="",1,IF($AA$2="(blank)",--(AA19=""),IF($AA$2="(nonblank)",--(AA19&lt;&gt;""),--ISNUMBER(SEARCH($AA$2,AA19)))))</f>
      </c>
      <c r="BM19" s="137">
        <f>IF($AB$2="",1,IF($AB$2="(blank)",--(AB19=""),IF($AB$2="(nonblank)",--(AB19&lt;&gt;""),--ISNUMBER(SEARCH($AB$2,AB19)))))</f>
      </c>
      <c r="BN19" s="137">
        <f>IF($AC$2="",1,IF($AC$2="(blank)",--(AC19=""),IF($AC$2="(nonblank)",--(AC19&lt;&gt;""),--ISNUMBER(SEARCH($AC$2,AC19)))))</f>
      </c>
      <c r="BO19" s="137">
        <f>IF($AD$2="",1,IF($AD$2="(blank)",--(AD19=""),IF($AD$2="(nonblank)",--(AD19&lt;&gt;""),--ISNUMBER(SEARCH($AD$2,AD19)))))</f>
      </c>
      <c r="BP19" s="137">
        <f>IF($AE$2="",1,IF($AE$2="(blank)",--(AE19=""),IF($AE$2="(nonblank)",--(AE19&lt;&gt;""),--ISNUMBER(SEARCH($AE$2,AE19)))))</f>
      </c>
      <c r="BQ19" s="137">
        <f>IF($AF$2="",1,IF($AF$2="(blank)",--(AF19=""),IF($AF$2="(nonblank)",--(AF19&lt;&gt;""),--ISNUMBER(SEARCH($AF$2,AF19)))))</f>
      </c>
      <c r="BR19" s="137">
        <f>IF($AG$2="",1,IF($AG$2="(blank)",--(AG19=""),IF($AG$2="(nonblank)",--(AG19&lt;&gt;""),--ISNUMBER(SEARCH($AG$2,AG19)))))</f>
      </c>
      <c r="BS19" s="137">
        <f>IF($AH$2="",1,IF($AH$2="(blank)",--(AH19=""),IF($AH$2="(nonblank)",--(AH19&lt;&gt;""),--ISNUMBER(SEARCH($AH$2,AH19)))))</f>
      </c>
      <c r="BT19" s="137">
        <f>IF(COUNTIF($AL19:$BS19,0)&gt;0,0,1)</f>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IF(IF(OR(AB20="",AB20=0),TODAY(),DATE(VALUE(RIGHT(AB20,4)),VALUE(MID(AB20,4,2)),VALUE(LEFT(AB20,2))))&lt;=DATE(2026,8,24),0,H20*0.0118*CEILING((IF(OR(AB20="",AB20=0),TODAY(),DATE(VALUE(RIGHT(AB20,4)),VALUE(MID(AB20,4,2)),VALUE(LEFT(AB20,2))))-DATE(2026,8,22))/7,1))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L20" s="137">
        <f>IF($A$2="",1,IF($A$2="(blank)",--(A20=""),IF($A$2="(nonblank)",--(A20&lt;&gt;""),--ISNUMBER(SEARCH($A$2,A20)))))</f>
      </c>
      <c r="AM20" s="137">
        <f>IF($B$2="",1,IF($B$2="(blank)",--(B20=""),IF($B$2="(nonblank)",--(B20&lt;&gt;""),--ISNUMBER(SEARCH($B$2,B20)))))</f>
      </c>
      <c r="AN20" s="137">
        <f>IF($C$2="",1,IF($C$2="(blank)",--(C20=""),IF($C$2="(nonblank)",--(C20&lt;&gt;""),--ISNUMBER(SEARCH($C$2,C20)))))</f>
      </c>
      <c r="AO20" s="137">
        <f>IF($D$2="",1,IF($D$2="(blank)",--(D20=""),IF($D$2="(nonblank)",--(D20&lt;&gt;""),--ISNUMBER(SEARCH($D$2,D20)))))</f>
      </c>
      <c r="AP20" s="137">
        <f>IF($E$2="",1,IF($E$2="(blank)",--(E20=""),IF($E$2="(nonblank)",--(E20&lt;&gt;""),--ISNUMBER(SEARCH($E$2,E20)))))</f>
      </c>
      <c r="AQ20" s="137">
        <f>IF($F$2="",1,IF($F$2="(blank)",--(F20=""),IF($F$2="(nonblank)",--(F20&lt;&gt;""),--ISNUMBER(SEARCH($F$2,F20)))))</f>
      </c>
      <c r="AR20" s="137">
        <f>IF($G$2="",1,IF($G$2="(blank)",--(G20=""),IF($G$2="(nonblank)",--(G20&lt;&gt;""),--ISNUMBER(SEARCH($G$2,G20)))))</f>
      </c>
      <c r="AS20" s="137">
        <f>IF($H$2="",1,IF($H$2="(blank)",--(H20=""),IF($H$2="(nonblank)",--(H20&lt;&gt;""),--ISNUMBER(SEARCH($H$2,H20)))))</f>
      </c>
      <c r="AT20" s="137">
        <f>IF($I$2="",1,IF($I$2="(blank)",--(I20=""),IF($I$2="(nonblank)",--(I20&lt;&gt;""),--ISNUMBER(SEARCH($I$2,I20)))))</f>
      </c>
      <c r="AU20" s="137">
        <f>IF($J$2="",1,IF($J$2="(blank)",--(J20=""),IF($J$2="(nonblank)",--(J20&lt;&gt;""),--ISNUMBER(SEARCH($J$2,J20)))))</f>
      </c>
      <c r="AV20" s="137">
        <f>IF($K$2="",1,IF($K$2="(blank)",--(K20=""),IF($K$2="(nonblank)",--(K20&lt;&gt;""),--ISNUMBER(SEARCH($K$2,K20)))))</f>
      </c>
      <c r="AW20" s="137">
        <f>IF($L$2="",1,IF($L$2="(blank)",--(L20=""),IF($L$2="(nonblank)",--(L20&lt;&gt;""),--ISNUMBER(SEARCH($L$2,L20)))))</f>
      </c>
      <c r="AX20" s="137">
        <f>IF($M$2="",1,IF($M$2="(blank)",--(M20=""),IF($M$2="(nonblank)",--(M20&lt;&gt;""),--ISNUMBER(SEARCH($M$2,M20)))))</f>
      </c>
      <c r="AY20" s="137">
        <f>IF($N$2="",1,IF($N$2="(blank)",--(N20=""),IF($N$2="(nonblank)",--(N20&lt;&gt;""),--ISNUMBER(SEARCH($N$2,N20)))))</f>
      </c>
      <c r="AZ20" s="137">
        <f>IF($O$2="",1,IF($O$2="(blank)",--(O20=""),IF($O$2="(nonblank)",--(O20&lt;&gt;""),--ISNUMBER(SEARCH($O$2,O20)))))</f>
      </c>
      <c r="BA20" s="137">
        <f>IF($P$2="",1,IF($P$2="(blank)",--(P20=""),IF($P$2="(nonblank)",--(P20&lt;&gt;""),--ISNUMBER(SEARCH($P$2,P20)))))</f>
      </c>
      <c r="BB20" s="137">
        <f>IF($Q$2="",1,IF($Q$2="(blank)",--(Q20=""),IF($Q$2="(nonblank)",--(Q20&lt;&gt;""),--ISNUMBER(SEARCH($Q$2,Q20)))))</f>
      </c>
      <c r="BC20" s="137">
        <f>IF($R$2="",1,IF($R$2="(blank)",--(R20=""),IF($R$2="(nonblank)",--(R20&lt;&gt;""),--ISNUMBER(SEARCH($R$2,R20)))))</f>
      </c>
      <c r="BD20" s="137">
        <f>IF($S$2="",1,IF($S$2="(blank)",--(S20=""),IF($S$2="(nonblank)",--(S20&lt;&gt;""),--ISNUMBER(SEARCH($S$2,S20)))))</f>
      </c>
      <c r="BE20" s="137">
        <f>IF($T$2="",1,IF($T$2="(blank)",--(T20=""),IF($T$2="(nonblank)",--(T20&lt;&gt;""),--ISNUMBER(SEARCH($T$2,T20)))))</f>
      </c>
      <c r="BF20" s="137">
        <f>IF($U$2="",1,IF($U$2="(blank)",--(U20=""),IF($U$2="(nonblank)",--(U20&lt;&gt;""),--ISNUMBER(SEARCH($U$2,U20)))))</f>
      </c>
      <c r="BG20" s="137">
        <f>IF($V$2="",1,IF($V$2="(blank)",--(V20=""),IF($V$2="(nonblank)",--(V20&lt;&gt;""),--ISNUMBER(SEARCH($V$2,V20)))))</f>
      </c>
      <c r="BH20" s="137">
        <f>IF($W$2="",1,IF($W$2="(blank)",--(W20=""),IF($W$2="(nonblank)",--(W20&lt;&gt;""),--ISNUMBER(SEARCH($W$2,W20)))))</f>
      </c>
      <c r="BI20" s="137">
        <f>IF($X$2="",1,IF($X$2="(blank)",--(X20=""),IF($X$2="(nonblank)",--(X20&lt;&gt;""),--ISNUMBER(SEARCH($X$2,X20)))))</f>
      </c>
      <c r="BJ20" s="137">
        <f>IF($Y$2="",1,IF($Y$2="(blank)",--(Y20=""),IF($Y$2="(nonblank)",--(Y20&lt;&gt;""),--ISNUMBER(SEARCH($Y$2,Y20)))))</f>
      </c>
      <c r="BK20" s="137">
        <f>IF($Z$2="",1,IF($Z$2="(blank)",--(Z20=""),IF($Z$2="(nonblank)",--(Z20&lt;&gt;""),--ISNUMBER(SEARCH($Z$2,Z20)))))</f>
      </c>
      <c r="BL20" s="137">
        <f>IF($AA$2="",1,IF($AA$2="(blank)",--(AA20=""),IF($AA$2="(nonblank)",--(AA20&lt;&gt;""),--ISNUMBER(SEARCH($AA$2,AA20)))))</f>
      </c>
      <c r="BM20" s="137">
        <f>IF($AB$2="",1,IF($AB$2="(blank)",--(AB20=""),IF($AB$2="(nonblank)",--(AB20&lt;&gt;""),--ISNUMBER(SEARCH($AB$2,AB20)))))</f>
      </c>
      <c r="BN20" s="137">
        <f>IF($AC$2="",1,IF($AC$2="(blank)",--(AC20=""),IF($AC$2="(nonblank)",--(AC20&lt;&gt;""),--ISNUMBER(SEARCH($AC$2,AC20)))))</f>
      </c>
      <c r="BO20" s="137">
        <f>IF($AD$2="",1,IF($AD$2="(blank)",--(AD20=""),IF($AD$2="(nonblank)",--(AD20&lt;&gt;""),--ISNUMBER(SEARCH($AD$2,AD20)))))</f>
      </c>
      <c r="BP20" s="137">
        <f>IF($AE$2="",1,IF($AE$2="(blank)",--(AE20=""),IF($AE$2="(nonblank)",--(AE20&lt;&gt;""),--ISNUMBER(SEARCH($AE$2,AE20)))))</f>
      </c>
      <c r="BQ20" s="137">
        <f>IF($AF$2="",1,IF($AF$2="(blank)",--(AF20=""),IF($AF$2="(nonblank)",--(AF20&lt;&gt;""),--ISNUMBER(SEARCH($AF$2,AF20)))))</f>
      </c>
      <c r="BR20" s="137">
        <f>IF($AG$2="",1,IF($AG$2="(blank)",--(AG20=""),IF($AG$2="(nonblank)",--(AG20&lt;&gt;""),--ISNUMBER(SEARCH($AG$2,AG20)))))</f>
      </c>
      <c r="BS20" s="137">
        <f>IF($AH$2="",1,IF($AH$2="(blank)",--(AH20=""),IF($AH$2="(nonblank)",--(AH20&lt;&gt;""),--ISNUMBER(SEARCH($AH$2,AH20)))))</f>
      </c>
      <c r="BT20" s="137">
        <f>IF(COUNTIF($AL20:$BS20,0)&gt;0,0,1)</f>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IF(IF(OR(AB21="",AB21=0),TODAY(),DATE(VALUE(RIGHT(AB21,4)),VALUE(MID(AB21,4,2)),VALUE(LEFT(AB21,2))))&lt;=DATE(2026,8,24),0,H21*0.0118*CEILING((IF(OR(AB21="",AB21=0),TODAY(),DATE(VALUE(RIGHT(AB21,4)),VALUE(MID(AB21,4,2)),VALUE(LEFT(AB21,2))))-DATE(2026,8,22))/7,1))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L21" s="137">
        <f>IF($A$2="",1,IF($A$2="(blank)",--(A21=""),IF($A$2="(nonblank)",--(A21&lt;&gt;""),--ISNUMBER(SEARCH($A$2,A21)))))</f>
      </c>
      <c r="AM21" s="137">
        <f>IF($B$2="",1,IF($B$2="(blank)",--(B21=""),IF($B$2="(nonblank)",--(B21&lt;&gt;""),--ISNUMBER(SEARCH($B$2,B21)))))</f>
      </c>
      <c r="AN21" s="137">
        <f>IF($C$2="",1,IF($C$2="(blank)",--(C21=""),IF($C$2="(nonblank)",--(C21&lt;&gt;""),--ISNUMBER(SEARCH($C$2,C21)))))</f>
      </c>
      <c r="AO21" s="137">
        <f>IF($D$2="",1,IF($D$2="(blank)",--(D21=""),IF($D$2="(nonblank)",--(D21&lt;&gt;""),--ISNUMBER(SEARCH($D$2,D21)))))</f>
      </c>
      <c r="AP21" s="137">
        <f>IF($E$2="",1,IF($E$2="(blank)",--(E21=""),IF($E$2="(nonblank)",--(E21&lt;&gt;""),--ISNUMBER(SEARCH($E$2,E21)))))</f>
      </c>
      <c r="AQ21" s="137">
        <f>IF($F$2="",1,IF($F$2="(blank)",--(F21=""),IF($F$2="(nonblank)",--(F21&lt;&gt;""),--ISNUMBER(SEARCH($F$2,F21)))))</f>
      </c>
      <c r="AR21" s="137">
        <f>IF($G$2="",1,IF($G$2="(blank)",--(G21=""),IF($G$2="(nonblank)",--(G21&lt;&gt;""),--ISNUMBER(SEARCH($G$2,G21)))))</f>
      </c>
      <c r="AS21" s="137">
        <f>IF($H$2="",1,IF($H$2="(blank)",--(H21=""),IF($H$2="(nonblank)",--(H21&lt;&gt;""),--ISNUMBER(SEARCH($H$2,H21)))))</f>
      </c>
      <c r="AT21" s="137">
        <f>IF($I$2="",1,IF($I$2="(blank)",--(I21=""),IF($I$2="(nonblank)",--(I21&lt;&gt;""),--ISNUMBER(SEARCH($I$2,I21)))))</f>
      </c>
      <c r="AU21" s="137">
        <f>IF($J$2="",1,IF($J$2="(blank)",--(J21=""),IF($J$2="(nonblank)",--(J21&lt;&gt;""),--ISNUMBER(SEARCH($J$2,J21)))))</f>
      </c>
      <c r="AV21" s="137">
        <f>IF($K$2="",1,IF($K$2="(blank)",--(K21=""),IF($K$2="(nonblank)",--(K21&lt;&gt;""),--ISNUMBER(SEARCH($K$2,K21)))))</f>
      </c>
      <c r="AW21" s="137">
        <f>IF($L$2="",1,IF($L$2="(blank)",--(L21=""),IF($L$2="(nonblank)",--(L21&lt;&gt;""),--ISNUMBER(SEARCH($L$2,L21)))))</f>
      </c>
      <c r="AX21" s="137">
        <f>IF($M$2="",1,IF($M$2="(blank)",--(M21=""),IF($M$2="(nonblank)",--(M21&lt;&gt;""),--ISNUMBER(SEARCH($M$2,M21)))))</f>
      </c>
      <c r="AY21" s="137">
        <f>IF($N$2="",1,IF($N$2="(blank)",--(N21=""),IF($N$2="(nonblank)",--(N21&lt;&gt;""),--ISNUMBER(SEARCH($N$2,N21)))))</f>
      </c>
      <c r="AZ21" s="137">
        <f>IF($O$2="",1,IF($O$2="(blank)",--(O21=""),IF($O$2="(nonblank)",--(O21&lt;&gt;""),--ISNUMBER(SEARCH($O$2,O21)))))</f>
      </c>
      <c r="BA21" s="137">
        <f>IF($P$2="",1,IF($P$2="(blank)",--(P21=""),IF($P$2="(nonblank)",--(P21&lt;&gt;""),--ISNUMBER(SEARCH($P$2,P21)))))</f>
      </c>
      <c r="BB21" s="137">
        <f>IF($Q$2="",1,IF($Q$2="(blank)",--(Q21=""),IF($Q$2="(nonblank)",--(Q21&lt;&gt;""),--ISNUMBER(SEARCH($Q$2,Q21)))))</f>
      </c>
      <c r="BC21" s="137">
        <f>IF($R$2="",1,IF($R$2="(blank)",--(R21=""),IF($R$2="(nonblank)",--(R21&lt;&gt;""),--ISNUMBER(SEARCH($R$2,R21)))))</f>
      </c>
      <c r="BD21" s="137">
        <f>IF($S$2="",1,IF($S$2="(blank)",--(S21=""),IF($S$2="(nonblank)",--(S21&lt;&gt;""),--ISNUMBER(SEARCH($S$2,S21)))))</f>
      </c>
      <c r="BE21" s="137">
        <f>IF($T$2="",1,IF($T$2="(blank)",--(T21=""),IF($T$2="(nonblank)",--(T21&lt;&gt;""),--ISNUMBER(SEARCH($T$2,T21)))))</f>
      </c>
      <c r="BF21" s="137">
        <f>IF($U$2="",1,IF($U$2="(blank)",--(U21=""),IF($U$2="(nonblank)",--(U21&lt;&gt;""),--ISNUMBER(SEARCH($U$2,U21)))))</f>
      </c>
      <c r="BG21" s="137">
        <f>IF($V$2="",1,IF($V$2="(blank)",--(V21=""),IF($V$2="(nonblank)",--(V21&lt;&gt;""),--ISNUMBER(SEARCH($V$2,V21)))))</f>
      </c>
      <c r="BH21" s="137">
        <f>IF($W$2="",1,IF($W$2="(blank)",--(W21=""),IF($W$2="(nonblank)",--(W21&lt;&gt;""),--ISNUMBER(SEARCH($W$2,W21)))))</f>
      </c>
      <c r="BI21" s="137">
        <f>IF($X$2="",1,IF($X$2="(blank)",--(X21=""),IF($X$2="(nonblank)",--(X21&lt;&gt;""),--ISNUMBER(SEARCH($X$2,X21)))))</f>
      </c>
      <c r="BJ21" s="137">
        <f>IF($Y$2="",1,IF($Y$2="(blank)",--(Y21=""),IF($Y$2="(nonblank)",--(Y21&lt;&gt;""),--ISNUMBER(SEARCH($Y$2,Y21)))))</f>
      </c>
      <c r="BK21" s="137">
        <f>IF($Z$2="",1,IF($Z$2="(blank)",--(Z21=""),IF($Z$2="(nonblank)",--(Z21&lt;&gt;""),--ISNUMBER(SEARCH($Z$2,Z21)))))</f>
      </c>
      <c r="BL21" s="137">
        <f>IF($AA$2="",1,IF($AA$2="(blank)",--(AA21=""),IF($AA$2="(nonblank)",--(AA21&lt;&gt;""),--ISNUMBER(SEARCH($AA$2,AA21)))))</f>
      </c>
      <c r="BM21" s="137">
        <f>IF($AB$2="",1,IF($AB$2="(blank)",--(AB21=""),IF($AB$2="(nonblank)",--(AB21&lt;&gt;""),--ISNUMBER(SEARCH($AB$2,AB21)))))</f>
      </c>
      <c r="BN21" s="137">
        <f>IF($AC$2="",1,IF($AC$2="(blank)",--(AC21=""),IF($AC$2="(nonblank)",--(AC21&lt;&gt;""),--ISNUMBER(SEARCH($AC$2,AC21)))))</f>
      </c>
      <c r="BO21" s="137">
        <f>IF($AD$2="",1,IF($AD$2="(blank)",--(AD21=""),IF($AD$2="(nonblank)",--(AD21&lt;&gt;""),--ISNUMBER(SEARCH($AD$2,AD21)))))</f>
      </c>
      <c r="BP21" s="137">
        <f>IF($AE$2="",1,IF($AE$2="(blank)",--(AE21=""),IF($AE$2="(nonblank)",--(AE21&lt;&gt;""),--ISNUMBER(SEARCH($AE$2,AE21)))))</f>
      </c>
      <c r="BQ21" s="137">
        <f>IF($AF$2="",1,IF($AF$2="(blank)",--(AF21=""),IF($AF$2="(nonblank)",--(AF21&lt;&gt;""),--ISNUMBER(SEARCH($AF$2,AF21)))))</f>
      </c>
      <c r="BR21" s="137">
        <f>IF($AG$2="",1,IF($AG$2="(blank)",--(AG21=""),IF($AG$2="(nonblank)",--(AG21&lt;&gt;""),--ISNUMBER(SEARCH($AG$2,AG21)))))</f>
      </c>
      <c r="BS21" s="137">
        <f>IF($AH$2="",1,IF($AH$2="(blank)",--(AH21=""),IF($AH$2="(nonblank)",--(AH21&lt;&gt;""),--ISNUMBER(SEARCH($AH$2,AH21)))))</f>
      </c>
      <c r="BT21" s="137">
        <f>IF(COUNTIF($AL21:$BS21,0)&gt;0,0,1)</f>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IF(IF(OR(AB22="",AB22=0),TODAY(),DATE(VALUE(RIGHT(AB22,4)),VALUE(MID(AB22,4,2)),VALUE(LEFT(AB22,2))))&lt;=DATE(2026,8,24),0,H22*0.0118*CEILING((IF(OR(AB22="",AB22=0),TODAY(),DATE(VALUE(RIGHT(AB22,4)),VALUE(MID(AB22,4,2)),VALUE(LEFT(AB22,2))))-DATE(2026,8,22))/7,1))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L22" s="137">
        <f>IF($A$2="",1,IF($A$2="(blank)",--(A22=""),IF($A$2="(nonblank)",--(A22&lt;&gt;""),--ISNUMBER(SEARCH($A$2,A22)))))</f>
      </c>
      <c r="AM22" s="137">
        <f>IF($B$2="",1,IF($B$2="(blank)",--(B22=""),IF($B$2="(nonblank)",--(B22&lt;&gt;""),--ISNUMBER(SEARCH($B$2,B22)))))</f>
      </c>
      <c r="AN22" s="137">
        <f>IF($C$2="",1,IF($C$2="(blank)",--(C22=""),IF($C$2="(nonblank)",--(C22&lt;&gt;""),--ISNUMBER(SEARCH($C$2,C22)))))</f>
      </c>
      <c r="AO22" s="137">
        <f>IF($D$2="",1,IF($D$2="(blank)",--(D22=""),IF($D$2="(nonblank)",--(D22&lt;&gt;""),--ISNUMBER(SEARCH($D$2,D22)))))</f>
      </c>
      <c r="AP22" s="137">
        <f>IF($E$2="",1,IF($E$2="(blank)",--(E22=""),IF($E$2="(nonblank)",--(E22&lt;&gt;""),--ISNUMBER(SEARCH($E$2,E22)))))</f>
      </c>
      <c r="AQ22" s="137">
        <f>IF($F$2="",1,IF($F$2="(blank)",--(F22=""),IF($F$2="(nonblank)",--(F22&lt;&gt;""),--ISNUMBER(SEARCH($F$2,F22)))))</f>
      </c>
      <c r="AR22" s="137">
        <f>IF($G$2="",1,IF($G$2="(blank)",--(G22=""),IF($G$2="(nonblank)",--(G22&lt;&gt;""),--ISNUMBER(SEARCH($G$2,G22)))))</f>
      </c>
      <c r="AS22" s="137">
        <f>IF($H$2="",1,IF($H$2="(blank)",--(H22=""),IF($H$2="(nonblank)",--(H22&lt;&gt;""),--ISNUMBER(SEARCH($H$2,H22)))))</f>
      </c>
      <c r="AT22" s="137">
        <f>IF($I$2="",1,IF($I$2="(blank)",--(I22=""),IF($I$2="(nonblank)",--(I22&lt;&gt;""),--ISNUMBER(SEARCH($I$2,I22)))))</f>
      </c>
      <c r="AU22" s="137">
        <f>IF($J$2="",1,IF($J$2="(blank)",--(J22=""),IF($J$2="(nonblank)",--(J22&lt;&gt;""),--ISNUMBER(SEARCH($J$2,J22)))))</f>
      </c>
      <c r="AV22" s="137">
        <f>IF($K$2="",1,IF($K$2="(blank)",--(K22=""),IF($K$2="(nonblank)",--(K22&lt;&gt;""),--ISNUMBER(SEARCH($K$2,K22)))))</f>
      </c>
      <c r="AW22" s="137">
        <f>IF($L$2="",1,IF($L$2="(blank)",--(L22=""),IF($L$2="(nonblank)",--(L22&lt;&gt;""),--ISNUMBER(SEARCH($L$2,L22)))))</f>
      </c>
      <c r="AX22" s="137">
        <f>IF($M$2="",1,IF($M$2="(blank)",--(M22=""),IF($M$2="(nonblank)",--(M22&lt;&gt;""),--ISNUMBER(SEARCH($M$2,M22)))))</f>
      </c>
      <c r="AY22" s="137">
        <f>IF($N$2="",1,IF($N$2="(blank)",--(N22=""),IF($N$2="(nonblank)",--(N22&lt;&gt;""),--ISNUMBER(SEARCH($N$2,N22)))))</f>
      </c>
      <c r="AZ22" s="137">
        <f>IF($O$2="",1,IF($O$2="(blank)",--(O22=""),IF($O$2="(nonblank)",--(O22&lt;&gt;""),--ISNUMBER(SEARCH($O$2,O22)))))</f>
      </c>
      <c r="BA22" s="137">
        <f>IF($P$2="",1,IF($P$2="(blank)",--(P22=""),IF($P$2="(nonblank)",--(P22&lt;&gt;""),--ISNUMBER(SEARCH($P$2,P22)))))</f>
      </c>
      <c r="BB22" s="137">
        <f>IF($Q$2="",1,IF($Q$2="(blank)",--(Q22=""),IF($Q$2="(nonblank)",--(Q22&lt;&gt;""),--ISNUMBER(SEARCH($Q$2,Q22)))))</f>
      </c>
      <c r="BC22" s="137">
        <f>IF($R$2="",1,IF($R$2="(blank)",--(R22=""),IF($R$2="(nonblank)",--(R22&lt;&gt;""),--ISNUMBER(SEARCH($R$2,R22)))))</f>
      </c>
      <c r="BD22" s="137">
        <f>IF($S$2="",1,IF($S$2="(blank)",--(S22=""),IF($S$2="(nonblank)",--(S22&lt;&gt;""),--ISNUMBER(SEARCH($S$2,S22)))))</f>
      </c>
      <c r="BE22" s="137">
        <f>IF($T$2="",1,IF($T$2="(blank)",--(T22=""),IF($T$2="(nonblank)",--(T22&lt;&gt;""),--ISNUMBER(SEARCH($T$2,T22)))))</f>
      </c>
      <c r="BF22" s="137">
        <f>IF($U$2="",1,IF($U$2="(blank)",--(U22=""),IF($U$2="(nonblank)",--(U22&lt;&gt;""),--ISNUMBER(SEARCH($U$2,U22)))))</f>
      </c>
      <c r="BG22" s="137">
        <f>IF($V$2="",1,IF($V$2="(blank)",--(V22=""),IF($V$2="(nonblank)",--(V22&lt;&gt;""),--ISNUMBER(SEARCH($V$2,V22)))))</f>
      </c>
      <c r="BH22" s="137">
        <f>IF($W$2="",1,IF($W$2="(blank)",--(W22=""),IF($W$2="(nonblank)",--(W22&lt;&gt;""),--ISNUMBER(SEARCH($W$2,W22)))))</f>
      </c>
      <c r="BI22" s="137">
        <f>IF($X$2="",1,IF($X$2="(blank)",--(X22=""),IF($X$2="(nonblank)",--(X22&lt;&gt;""),--ISNUMBER(SEARCH($X$2,X22)))))</f>
      </c>
      <c r="BJ22" s="137">
        <f>IF($Y$2="",1,IF($Y$2="(blank)",--(Y22=""),IF($Y$2="(nonblank)",--(Y22&lt;&gt;""),--ISNUMBER(SEARCH($Y$2,Y22)))))</f>
      </c>
      <c r="BK22" s="137">
        <f>IF($Z$2="",1,IF($Z$2="(blank)",--(Z22=""),IF($Z$2="(nonblank)",--(Z22&lt;&gt;""),--ISNUMBER(SEARCH($Z$2,Z22)))))</f>
      </c>
      <c r="BL22" s="137">
        <f>IF($AA$2="",1,IF($AA$2="(blank)",--(AA22=""),IF($AA$2="(nonblank)",--(AA22&lt;&gt;""),--ISNUMBER(SEARCH($AA$2,AA22)))))</f>
      </c>
      <c r="BM22" s="137">
        <f>IF($AB$2="",1,IF($AB$2="(blank)",--(AB22=""),IF($AB$2="(nonblank)",--(AB22&lt;&gt;""),--ISNUMBER(SEARCH($AB$2,AB22)))))</f>
      </c>
      <c r="BN22" s="137">
        <f>IF($AC$2="",1,IF($AC$2="(blank)",--(AC22=""),IF($AC$2="(nonblank)",--(AC22&lt;&gt;""),--ISNUMBER(SEARCH($AC$2,AC22)))))</f>
      </c>
      <c r="BO22" s="137">
        <f>IF($AD$2="",1,IF($AD$2="(blank)",--(AD22=""),IF($AD$2="(nonblank)",--(AD22&lt;&gt;""),--ISNUMBER(SEARCH($AD$2,AD22)))))</f>
      </c>
      <c r="BP22" s="137">
        <f>IF($AE$2="",1,IF($AE$2="(blank)",--(AE22=""),IF($AE$2="(nonblank)",--(AE22&lt;&gt;""),--ISNUMBER(SEARCH($AE$2,AE22)))))</f>
      </c>
      <c r="BQ22" s="137">
        <f>IF($AF$2="",1,IF($AF$2="(blank)",--(AF22=""),IF($AF$2="(nonblank)",--(AF22&lt;&gt;""),--ISNUMBER(SEARCH($AF$2,AF22)))))</f>
      </c>
      <c r="BR22" s="137">
        <f>IF($AG$2="",1,IF($AG$2="(blank)",--(AG22=""),IF($AG$2="(nonblank)",--(AG22&lt;&gt;""),--ISNUMBER(SEARCH($AG$2,AG22)))))</f>
      </c>
      <c r="BS22" s="137">
        <f>IF($AH$2="",1,IF($AH$2="(blank)",--(AH22=""),IF($AH$2="(nonblank)",--(AH22&lt;&gt;""),--ISNUMBER(SEARCH($AH$2,AH22)))))</f>
      </c>
      <c r="BT22" s="137">
        <f>IF(COUNTIF($AL22:$BS22,0)&gt;0,0,1)</f>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IF(IF(OR(AB23="",AB23=0),TODAY(),DATE(VALUE(RIGHT(AB23,4)),VALUE(MID(AB23,4,2)),VALUE(LEFT(AB23,2))))&lt;=DATE(2026,8,24),0,H23*0.0118*CEILING((IF(OR(AB23="",AB23=0),TODAY(),DATE(VALUE(RIGHT(AB23,4)),VALUE(MID(AB23,4,2)),VALUE(LEFT(AB23,2))))-DATE(2026,8,22))/7,1))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L23" s="137">
        <f>IF($A$2="",1,IF($A$2="(blank)",--(A23=""),IF($A$2="(nonblank)",--(A23&lt;&gt;""),--ISNUMBER(SEARCH($A$2,A23)))))</f>
      </c>
      <c r="AM23" s="137">
        <f>IF($B$2="",1,IF($B$2="(blank)",--(B23=""),IF($B$2="(nonblank)",--(B23&lt;&gt;""),--ISNUMBER(SEARCH($B$2,B23)))))</f>
      </c>
      <c r="AN23" s="137">
        <f>IF($C$2="",1,IF($C$2="(blank)",--(C23=""),IF($C$2="(nonblank)",--(C23&lt;&gt;""),--ISNUMBER(SEARCH($C$2,C23)))))</f>
      </c>
      <c r="AO23" s="137">
        <f>IF($D$2="",1,IF($D$2="(blank)",--(D23=""),IF($D$2="(nonblank)",--(D23&lt;&gt;""),--ISNUMBER(SEARCH($D$2,D23)))))</f>
      </c>
      <c r="AP23" s="137">
        <f>IF($E$2="",1,IF($E$2="(blank)",--(E23=""),IF($E$2="(nonblank)",--(E23&lt;&gt;""),--ISNUMBER(SEARCH($E$2,E23)))))</f>
      </c>
      <c r="AQ23" s="137">
        <f>IF($F$2="",1,IF($F$2="(blank)",--(F23=""),IF($F$2="(nonblank)",--(F23&lt;&gt;""),--ISNUMBER(SEARCH($F$2,F23)))))</f>
      </c>
      <c r="AR23" s="137">
        <f>IF($G$2="",1,IF($G$2="(blank)",--(G23=""),IF($G$2="(nonblank)",--(G23&lt;&gt;""),--ISNUMBER(SEARCH($G$2,G23)))))</f>
      </c>
      <c r="AS23" s="137">
        <f>IF($H$2="",1,IF($H$2="(blank)",--(H23=""),IF($H$2="(nonblank)",--(H23&lt;&gt;""),--ISNUMBER(SEARCH($H$2,H23)))))</f>
      </c>
      <c r="AT23" s="137">
        <f>IF($I$2="",1,IF($I$2="(blank)",--(I23=""),IF($I$2="(nonblank)",--(I23&lt;&gt;""),--ISNUMBER(SEARCH($I$2,I23)))))</f>
      </c>
      <c r="AU23" s="137">
        <f>IF($J$2="",1,IF($J$2="(blank)",--(J23=""),IF($J$2="(nonblank)",--(J23&lt;&gt;""),--ISNUMBER(SEARCH($J$2,J23)))))</f>
      </c>
      <c r="AV23" s="137">
        <f>IF($K$2="",1,IF($K$2="(blank)",--(K23=""),IF($K$2="(nonblank)",--(K23&lt;&gt;""),--ISNUMBER(SEARCH($K$2,K23)))))</f>
      </c>
      <c r="AW23" s="137">
        <f>IF($L$2="",1,IF($L$2="(blank)",--(L23=""),IF($L$2="(nonblank)",--(L23&lt;&gt;""),--ISNUMBER(SEARCH($L$2,L23)))))</f>
      </c>
      <c r="AX23" s="137">
        <f>IF($M$2="",1,IF($M$2="(blank)",--(M23=""),IF($M$2="(nonblank)",--(M23&lt;&gt;""),--ISNUMBER(SEARCH($M$2,M23)))))</f>
      </c>
      <c r="AY23" s="137">
        <f>IF($N$2="",1,IF($N$2="(blank)",--(N23=""),IF($N$2="(nonblank)",--(N23&lt;&gt;""),--ISNUMBER(SEARCH($N$2,N23)))))</f>
      </c>
      <c r="AZ23" s="137">
        <f>IF($O$2="",1,IF($O$2="(blank)",--(O23=""),IF($O$2="(nonblank)",--(O23&lt;&gt;""),--ISNUMBER(SEARCH($O$2,O23)))))</f>
      </c>
      <c r="BA23" s="137">
        <f>IF($P$2="",1,IF($P$2="(blank)",--(P23=""),IF($P$2="(nonblank)",--(P23&lt;&gt;""),--ISNUMBER(SEARCH($P$2,P23)))))</f>
      </c>
      <c r="BB23" s="137">
        <f>IF($Q$2="",1,IF($Q$2="(blank)",--(Q23=""),IF($Q$2="(nonblank)",--(Q23&lt;&gt;""),--ISNUMBER(SEARCH($Q$2,Q23)))))</f>
      </c>
      <c r="BC23" s="137">
        <f>IF($R$2="",1,IF($R$2="(blank)",--(R23=""),IF($R$2="(nonblank)",--(R23&lt;&gt;""),--ISNUMBER(SEARCH($R$2,R23)))))</f>
      </c>
      <c r="BD23" s="137">
        <f>IF($S$2="",1,IF($S$2="(blank)",--(S23=""),IF($S$2="(nonblank)",--(S23&lt;&gt;""),--ISNUMBER(SEARCH($S$2,S23)))))</f>
      </c>
      <c r="BE23" s="137">
        <f>IF($T$2="",1,IF($T$2="(blank)",--(T23=""),IF($T$2="(nonblank)",--(T23&lt;&gt;""),--ISNUMBER(SEARCH($T$2,T23)))))</f>
      </c>
      <c r="BF23" s="137">
        <f>IF($U$2="",1,IF($U$2="(blank)",--(U23=""),IF($U$2="(nonblank)",--(U23&lt;&gt;""),--ISNUMBER(SEARCH($U$2,U23)))))</f>
      </c>
      <c r="BG23" s="137">
        <f>IF($V$2="",1,IF($V$2="(blank)",--(V23=""),IF($V$2="(nonblank)",--(V23&lt;&gt;""),--ISNUMBER(SEARCH($V$2,V23)))))</f>
      </c>
      <c r="BH23" s="137">
        <f>IF($W$2="",1,IF($W$2="(blank)",--(W23=""),IF($W$2="(nonblank)",--(W23&lt;&gt;""),--ISNUMBER(SEARCH($W$2,W23)))))</f>
      </c>
      <c r="BI23" s="137">
        <f>IF($X$2="",1,IF($X$2="(blank)",--(X23=""),IF($X$2="(nonblank)",--(X23&lt;&gt;""),--ISNUMBER(SEARCH($X$2,X23)))))</f>
      </c>
      <c r="BJ23" s="137">
        <f>IF($Y$2="",1,IF($Y$2="(blank)",--(Y23=""),IF($Y$2="(nonblank)",--(Y23&lt;&gt;""),--ISNUMBER(SEARCH($Y$2,Y23)))))</f>
      </c>
      <c r="BK23" s="137">
        <f>IF($Z$2="",1,IF($Z$2="(blank)",--(Z23=""),IF($Z$2="(nonblank)",--(Z23&lt;&gt;""),--ISNUMBER(SEARCH($Z$2,Z23)))))</f>
      </c>
      <c r="BL23" s="137">
        <f>IF($AA$2="",1,IF($AA$2="(blank)",--(AA23=""),IF($AA$2="(nonblank)",--(AA23&lt;&gt;""),--ISNUMBER(SEARCH($AA$2,AA23)))))</f>
      </c>
      <c r="BM23" s="137">
        <f>IF($AB$2="",1,IF($AB$2="(blank)",--(AB23=""),IF($AB$2="(nonblank)",--(AB23&lt;&gt;""),--ISNUMBER(SEARCH($AB$2,AB23)))))</f>
      </c>
      <c r="BN23" s="137">
        <f>IF($AC$2="",1,IF($AC$2="(blank)",--(AC23=""),IF($AC$2="(nonblank)",--(AC23&lt;&gt;""),--ISNUMBER(SEARCH($AC$2,AC23)))))</f>
      </c>
      <c r="BO23" s="137">
        <f>IF($AD$2="",1,IF($AD$2="(blank)",--(AD23=""),IF($AD$2="(nonblank)",--(AD23&lt;&gt;""),--ISNUMBER(SEARCH($AD$2,AD23)))))</f>
      </c>
      <c r="BP23" s="137">
        <f>IF($AE$2="",1,IF($AE$2="(blank)",--(AE23=""),IF($AE$2="(nonblank)",--(AE23&lt;&gt;""),--ISNUMBER(SEARCH($AE$2,AE23)))))</f>
      </c>
      <c r="BQ23" s="137">
        <f>IF($AF$2="",1,IF($AF$2="(blank)",--(AF23=""),IF($AF$2="(nonblank)",--(AF23&lt;&gt;""),--ISNUMBER(SEARCH($AF$2,AF23)))))</f>
      </c>
      <c r="BR23" s="137">
        <f>IF($AG$2="",1,IF($AG$2="(blank)",--(AG23=""),IF($AG$2="(nonblank)",--(AG23&lt;&gt;""),--ISNUMBER(SEARCH($AG$2,AG23)))))</f>
      </c>
      <c r="BS23" s="137">
        <f>IF($AH$2="",1,IF($AH$2="(blank)",--(AH23=""),IF($AH$2="(nonblank)",--(AH23&lt;&gt;""),--ISNUMBER(SEARCH($AH$2,AH23)))))</f>
      </c>
      <c r="BT23" s="137">
        <f>IF(COUNTIF($AL23:$BS23,0)&gt;0,0,1)</f>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IF(IF(OR(AB24="",AB24=0),TODAY(),DATE(VALUE(RIGHT(AB24,4)),VALUE(MID(AB24,4,2)),VALUE(LEFT(AB24,2))))&lt;=DATE(2026,8,24),0,H24*0.0118*CEILING((IF(OR(AB24="",AB24=0),TODAY(),DATE(VALUE(RIGHT(AB24,4)),VALUE(MID(AB24,4,2)),VALUE(LEFT(AB24,2))))-DATE(2026,8,22))/7,1))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L24" s="137">
        <f>IF($A$2="",1,IF($A$2="(blank)",--(A24=""),IF($A$2="(nonblank)",--(A24&lt;&gt;""),--ISNUMBER(SEARCH($A$2,A24)))))</f>
      </c>
      <c r="AM24" s="137">
        <f>IF($B$2="",1,IF($B$2="(blank)",--(B24=""),IF($B$2="(nonblank)",--(B24&lt;&gt;""),--ISNUMBER(SEARCH($B$2,B24)))))</f>
      </c>
      <c r="AN24" s="137">
        <f>IF($C$2="",1,IF($C$2="(blank)",--(C24=""),IF($C$2="(nonblank)",--(C24&lt;&gt;""),--ISNUMBER(SEARCH($C$2,C24)))))</f>
      </c>
      <c r="AO24" s="137">
        <f>IF($D$2="",1,IF($D$2="(blank)",--(D24=""),IF($D$2="(nonblank)",--(D24&lt;&gt;""),--ISNUMBER(SEARCH($D$2,D24)))))</f>
      </c>
      <c r="AP24" s="137">
        <f>IF($E$2="",1,IF($E$2="(blank)",--(E24=""),IF($E$2="(nonblank)",--(E24&lt;&gt;""),--ISNUMBER(SEARCH($E$2,E24)))))</f>
      </c>
      <c r="AQ24" s="137">
        <f>IF($F$2="",1,IF($F$2="(blank)",--(F24=""),IF($F$2="(nonblank)",--(F24&lt;&gt;""),--ISNUMBER(SEARCH($F$2,F24)))))</f>
      </c>
      <c r="AR24" s="137">
        <f>IF($G$2="",1,IF($G$2="(blank)",--(G24=""),IF($G$2="(nonblank)",--(G24&lt;&gt;""),--ISNUMBER(SEARCH($G$2,G24)))))</f>
      </c>
      <c r="AS24" s="137">
        <f>IF($H$2="",1,IF($H$2="(blank)",--(H24=""),IF($H$2="(nonblank)",--(H24&lt;&gt;""),--ISNUMBER(SEARCH($H$2,H24)))))</f>
      </c>
      <c r="AT24" s="137">
        <f>IF($I$2="",1,IF($I$2="(blank)",--(I24=""),IF($I$2="(nonblank)",--(I24&lt;&gt;""),--ISNUMBER(SEARCH($I$2,I24)))))</f>
      </c>
      <c r="AU24" s="137">
        <f>IF($J$2="",1,IF($J$2="(blank)",--(J24=""),IF($J$2="(nonblank)",--(J24&lt;&gt;""),--ISNUMBER(SEARCH($J$2,J24)))))</f>
      </c>
      <c r="AV24" s="137">
        <f>IF($K$2="",1,IF($K$2="(blank)",--(K24=""),IF($K$2="(nonblank)",--(K24&lt;&gt;""),--ISNUMBER(SEARCH($K$2,K24)))))</f>
      </c>
      <c r="AW24" s="137">
        <f>IF($L$2="",1,IF($L$2="(blank)",--(L24=""),IF($L$2="(nonblank)",--(L24&lt;&gt;""),--ISNUMBER(SEARCH($L$2,L24)))))</f>
      </c>
      <c r="AX24" s="137">
        <f>IF($M$2="",1,IF($M$2="(blank)",--(M24=""),IF($M$2="(nonblank)",--(M24&lt;&gt;""),--ISNUMBER(SEARCH($M$2,M24)))))</f>
      </c>
      <c r="AY24" s="137">
        <f>IF($N$2="",1,IF($N$2="(blank)",--(N24=""),IF($N$2="(nonblank)",--(N24&lt;&gt;""),--ISNUMBER(SEARCH($N$2,N24)))))</f>
      </c>
      <c r="AZ24" s="137">
        <f>IF($O$2="",1,IF($O$2="(blank)",--(O24=""),IF($O$2="(nonblank)",--(O24&lt;&gt;""),--ISNUMBER(SEARCH($O$2,O24)))))</f>
      </c>
      <c r="BA24" s="137">
        <f>IF($P$2="",1,IF($P$2="(blank)",--(P24=""),IF($P$2="(nonblank)",--(P24&lt;&gt;""),--ISNUMBER(SEARCH($P$2,P24)))))</f>
      </c>
      <c r="BB24" s="137">
        <f>IF($Q$2="",1,IF($Q$2="(blank)",--(Q24=""),IF($Q$2="(nonblank)",--(Q24&lt;&gt;""),--ISNUMBER(SEARCH($Q$2,Q24)))))</f>
      </c>
      <c r="BC24" s="137">
        <f>IF($R$2="",1,IF($R$2="(blank)",--(R24=""),IF($R$2="(nonblank)",--(R24&lt;&gt;""),--ISNUMBER(SEARCH($R$2,R24)))))</f>
      </c>
      <c r="BD24" s="137">
        <f>IF($S$2="",1,IF($S$2="(blank)",--(S24=""),IF($S$2="(nonblank)",--(S24&lt;&gt;""),--ISNUMBER(SEARCH($S$2,S24)))))</f>
      </c>
      <c r="BE24" s="137">
        <f>IF($T$2="",1,IF($T$2="(blank)",--(T24=""),IF($T$2="(nonblank)",--(T24&lt;&gt;""),--ISNUMBER(SEARCH($T$2,T24)))))</f>
      </c>
      <c r="BF24" s="137">
        <f>IF($U$2="",1,IF($U$2="(blank)",--(U24=""),IF($U$2="(nonblank)",--(U24&lt;&gt;""),--ISNUMBER(SEARCH($U$2,U24)))))</f>
      </c>
      <c r="BG24" s="137">
        <f>IF($V$2="",1,IF($V$2="(blank)",--(V24=""),IF($V$2="(nonblank)",--(V24&lt;&gt;""),--ISNUMBER(SEARCH($V$2,V24)))))</f>
      </c>
      <c r="BH24" s="137">
        <f>IF($W$2="",1,IF($W$2="(blank)",--(W24=""),IF($W$2="(nonblank)",--(W24&lt;&gt;""),--ISNUMBER(SEARCH($W$2,W24)))))</f>
      </c>
      <c r="BI24" s="137">
        <f>IF($X$2="",1,IF($X$2="(blank)",--(X24=""),IF($X$2="(nonblank)",--(X24&lt;&gt;""),--ISNUMBER(SEARCH($X$2,X24)))))</f>
      </c>
      <c r="BJ24" s="137">
        <f>IF($Y$2="",1,IF($Y$2="(blank)",--(Y24=""),IF($Y$2="(nonblank)",--(Y24&lt;&gt;""),--ISNUMBER(SEARCH($Y$2,Y24)))))</f>
      </c>
      <c r="BK24" s="137">
        <f>IF($Z$2="",1,IF($Z$2="(blank)",--(Z24=""),IF($Z$2="(nonblank)",--(Z24&lt;&gt;""),--ISNUMBER(SEARCH($Z$2,Z24)))))</f>
      </c>
      <c r="BL24" s="137">
        <f>IF($AA$2="",1,IF($AA$2="(blank)",--(AA24=""),IF($AA$2="(nonblank)",--(AA24&lt;&gt;""),--ISNUMBER(SEARCH($AA$2,AA24)))))</f>
      </c>
      <c r="BM24" s="137">
        <f>IF($AB$2="",1,IF($AB$2="(blank)",--(AB24=""),IF($AB$2="(nonblank)",--(AB24&lt;&gt;""),--ISNUMBER(SEARCH($AB$2,AB24)))))</f>
      </c>
      <c r="BN24" s="137">
        <f>IF($AC$2="",1,IF($AC$2="(blank)",--(AC24=""),IF($AC$2="(nonblank)",--(AC24&lt;&gt;""),--ISNUMBER(SEARCH($AC$2,AC24)))))</f>
      </c>
      <c r="BO24" s="137">
        <f>IF($AD$2="",1,IF($AD$2="(blank)",--(AD24=""),IF($AD$2="(nonblank)",--(AD24&lt;&gt;""),--ISNUMBER(SEARCH($AD$2,AD24)))))</f>
      </c>
      <c r="BP24" s="137">
        <f>IF($AE$2="",1,IF($AE$2="(blank)",--(AE24=""),IF($AE$2="(nonblank)",--(AE24&lt;&gt;""),--ISNUMBER(SEARCH($AE$2,AE24)))))</f>
      </c>
      <c r="BQ24" s="137">
        <f>IF($AF$2="",1,IF($AF$2="(blank)",--(AF24=""),IF($AF$2="(nonblank)",--(AF24&lt;&gt;""),--ISNUMBER(SEARCH($AF$2,AF24)))))</f>
      </c>
      <c r="BR24" s="137">
        <f>IF($AG$2="",1,IF($AG$2="(blank)",--(AG24=""),IF($AG$2="(nonblank)",--(AG24&lt;&gt;""),--ISNUMBER(SEARCH($AG$2,AG24)))))</f>
      </c>
      <c r="BS24" s="137">
        <f>IF($AH$2="",1,IF($AH$2="(blank)",--(AH24=""),IF($AH$2="(nonblank)",--(AH24&lt;&gt;""),--ISNUMBER(SEARCH($AH$2,AH24)))))</f>
      </c>
      <c r="BT24" s="137">
        <f>IF(COUNTIF($AL24:$BS24,0)&gt;0,0,1)</f>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IF(IF(OR(AB25="",AB25=0),TODAY(),DATE(VALUE(RIGHT(AB25,4)),VALUE(MID(AB25,4,2)),VALUE(LEFT(AB25,2))))&lt;=DATE(2026,8,24),0,H25*0.0118*CEILING((IF(OR(AB25="",AB25=0),TODAY(),DATE(VALUE(RIGHT(AB25,4)),VALUE(MID(AB25,4,2)),VALUE(LEFT(AB25,2))))-DATE(2026,8,22))/7,1))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L25" s="137">
        <f>IF($A$2="",1,IF($A$2="(blank)",--(A25=""),IF($A$2="(nonblank)",--(A25&lt;&gt;""),--ISNUMBER(SEARCH($A$2,A25)))))</f>
      </c>
      <c r="AM25" s="137">
        <f>IF($B$2="",1,IF($B$2="(blank)",--(B25=""),IF($B$2="(nonblank)",--(B25&lt;&gt;""),--ISNUMBER(SEARCH($B$2,B25)))))</f>
      </c>
      <c r="AN25" s="137">
        <f>IF($C$2="",1,IF($C$2="(blank)",--(C25=""),IF($C$2="(nonblank)",--(C25&lt;&gt;""),--ISNUMBER(SEARCH($C$2,C25)))))</f>
      </c>
      <c r="AO25" s="137">
        <f>IF($D$2="",1,IF($D$2="(blank)",--(D25=""),IF($D$2="(nonblank)",--(D25&lt;&gt;""),--ISNUMBER(SEARCH($D$2,D25)))))</f>
      </c>
      <c r="AP25" s="137">
        <f>IF($E$2="",1,IF($E$2="(blank)",--(E25=""),IF($E$2="(nonblank)",--(E25&lt;&gt;""),--ISNUMBER(SEARCH($E$2,E25)))))</f>
      </c>
      <c r="AQ25" s="137">
        <f>IF($F$2="",1,IF($F$2="(blank)",--(F25=""),IF($F$2="(nonblank)",--(F25&lt;&gt;""),--ISNUMBER(SEARCH($F$2,F25)))))</f>
      </c>
      <c r="AR25" s="137">
        <f>IF($G$2="",1,IF($G$2="(blank)",--(G25=""),IF($G$2="(nonblank)",--(G25&lt;&gt;""),--ISNUMBER(SEARCH($G$2,G25)))))</f>
      </c>
      <c r="AS25" s="137">
        <f>IF($H$2="",1,IF($H$2="(blank)",--(H25=""),IF($H$2="(nonblank)",--(H25&lt;&gt;""),--ISNUMBER(SEARCH($H$2,H25)))))</f>
      </c>
      <c r="AT25" s="137">
        <f>IF($I$2="",1,IF($I$2="(blank)",--(I25=""),IF($I$2="(nonblank)",--(I25&lt;&gt;""),--ISNUMBER(SEARCH($I$2,I25)))))</f>
      </c>
      <c r="AU25" s="137">
        <f>IF($J$2="",1,IF($J$2="(blank)",--(J25=""),IF($J$2="(nonblank)",--(J25&lt;&gt;""),--ISNUMBER(SEARCH($J$2,J25)))))</f>
      </c>
      <c r="AV25" s="137">
        <f>IF($K$2="",1,IF($K$2="(blank)",--(K25=""),IF($K$2="(nonblank)",--(K25&lt;&gt;""),--ISNUMBER(SEARCH($K$2,K25)))))</f>
      </c>
      <c r="AW25" s="137">
        <f>IF($L$2="",1,IF($L$2="(blank)",--(L25=""),IF($L$2="(nonblank)",--(L25&lt;&gt;""),--ISNUMBER(SEARCH($L$2,L25)))))</f>
      </c>
      <c r="AX25" s="137">
        <f>IF($M$2="",1,IF($M$2="(blank)",--(M25=""),IF($M$2="(nonblank)",--(M25&lt;&gt;""),--ISNUMBER(SEARCH($M$2,M25)))))</f>
      </c>
      <c r="AY25" s="137">
        <f>IF($N$2="",1,IF($N$2="(blank)",--(N25=""),IF($N$2="(nonblank)",--(N25&lt;&gt;""),--ISNUMBER(SEARCH($N$2,N25)))))</f>
      </c>
      <c r="AZ25" s="137">
        <f>IF($O$2="",1,IF($O$2="(blank)",--(O25=""),IF($O$2="(nonblank)",--(O25&lt;&gt;""),--ISNUMBER(SEARCH($O$2,O25)))))</f>
      </c>
      <c r="BA25" s="137">
        <f>IF($P$2="",1,IF($P$2="(blank)",--(P25=""),IF($P$2="(nonblank)",--(P25&lt;&gt;""),--ISNUMBER(SEARCH($P$2,P25)))))</f>
      </c>
      <c r="BB25" s="137">
        <f>IF($Q$2="",1,IF($Q$2="(blank)",--(Q25=""),IF($Q$2="(nonblank)",--(Q25&lt;&gt;""),--ISNUMBER(SEARCH($Q$2,Q25)))))</f>
      </c>
      <c r="BC25" s="137">
        <f>IF($R$2="",1,IF($R$2="(blank)",--(R25=""),IF($R$2="(nonblank)",--(R25&lt;&gt;""),--ISNUMBER(SEARCH($R$2,R25)))))</f>
      </c>
      <c r="BD25" s="137">
        <f>IF($S$2="",1,IF($S$2="(blank)",--(S25=""),IF($S$2="(nonblank)",--(S25&lt;&gt;""),--ISNUMBER(SEARCH($S$2,S25)))))</f>
      </c>
      <c r="BE25" s="137">
        <f>IF($T$2="",1,IF($T$2="(blank)",--(T25=""),IF($T$2="(nonblank)",--(T25&lt;&gt;""),--ISNUMBER(SEARCH($T$2,T25)))))</f>
      </c>
      <c r="BF25" s="137">
        <f>IF($U$2="",1,IF($U$2="(blank)",--(U25=""),IF($U$2="(nonblank)",--(U25&lt;&gt;""),--ISNUMBER(SEARCH($U$2,U25)))))</f>
      </c>
      <c r="BG25" s="137">
        <f>IF($V$2="",1,IF($V$2="(blank)",--(V25=""),IF($V$2="(nonblank)",--(V25&lt;&gt;""),--ISNUMBER(SEARCH($V$2,V25)))))</f>
      </c>
      <c r="BH25" s="137">
        <f>IF($W$2="",1,IF($W$2="(blank)",--(W25=""),IF($W$2="(nonblank)",--(W25&lt;&gt;""),--ISNUMBER(SEARCH($W$2,W25)))))</f>
      </c>
      <c r="BI25" s="137">
        <f>IF($X$2="",1,IF($X$2="(blank)",--(X25=""),IF($X$2="(nonblank)",--(X25&lt;&gt;""),--ISNUMBER(SEARCH($X$2,X25)))))</f>
      </c>
      <c r="BJ25" s="137">
        <f>IF($Y$2="",1,IF($Y$2="(blank)",--(Y25=""),IF($Y$2="(nonblank)",--(Y25&lt;&gt;""),--ISNUMBER(SEARCH($Y$2,Y25)))))</f>
      </c>
      <c r="BK25" s="137">
        <f>IF($Z$2="",1,IF($Z$2="(blank)",--(Z25=""),IF($Z$2="(nonblank)",--(Z25&lt;&gt;""),--ISNUMBER(SEARCH($Z$2,Z25)))))</f>
      </c>
      <c r="BL25" s="137">
        <f>IF($AA$2="",1,IF($AA$2="(blank)",--(AA25=""),IF($AA$2="(nonblank)",--(AA25&lt;&gt;""),--ISNUMBER(SEARCH($AA$2,AA25)))))</f>
      </c>
      <c r="BM25" s="137">
        <f>IF($AB$2="",1,IF($AB$2="(blank)",--(AB25=""),IF($AB$2="(nonblank)",--(AB25&lt;&gt;""),--ISNUMBER(SEARCH($AB$2,AB25)))))</f>
      </c>
      <c r="BN25" s="137">
        <f>IF($AC$2="",1,IF($AC$2="(blank)",--(AC25=""),IF($AC$2="(nonblank)",--(AC25&lt;&gt;""),--ISNUMBER(SEARCH($AC$2,AC25)))))</f>
      </c>
      <c r="BO25" s="137">
        <f>IF($AD$2="",1,IF($AD$2="(blank)",--(AD25=""),IF($AD$2="(nonblank)",--(AD25&lt;&gt;""),--ISNUMBER(SEARCH($AD$2,AD25)))))</f>
      </c>
      <c r="BP25" s="137">
        <f>IF($AE$2="",1,IF($AE$2="(blank)",--(AE25=""),IF($AE$2="(nonblank)",--(AE25&lt;&gt;""),--ISNUMBER(SEARCH($AE$2,AE25)))))</f>
      </c>
      <c r="BQ25" s="137">
        <f>IF($AF$2="",1,IF($AF$2="(blank)",--(AF25=""),IF($AF$2="(nonblank)",--(AF25&lt;&gt;""),--ISNUMBER(SEARCH($AF$2,AF25)))))</f>
      </c>
      <c r="BR25" s="137">
        <f>IF($AG$2="",1,IF($AG$2="(blank)",--(AG25=""),IF($AG$2="(nonblank)",--(AG25&lt;&gt;""),--ISNUMBER(SEARCH($AG$2,AG25)))))</f>
      </c>
      <c r="BS25" s="137">
        <f>IF($AH$2="",1,IF($AH$2="(blank)",--(AH25=""),IF($AH$2="(nonblank)",--(AH25&lt;&gt;""),--ISNUMBER(SEARCH($AH$2,AH25)))))</f>
      </c>
      <c r="BT25" s="137">
        <f>IF(COUNTIF($AL25:$BS25,0)&gt;0,0,1)</f>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IF(IF(OR(AB26="",AB26=0),TODAY(),DATE(VALUE(RIGHT(AB26,4)),VALUE(MID(AB26,4,2)),VALUE(LEFT(AB26,2))))&lt;=DATE(2026,8,24),0,H26*0.0118*CEILING((IF(OR(AB26="",AB26=0),TODAY(),DATE(VALUE(RIGHT(AB26,4)),VALUE(MID(AB26,4,2)),VALUE(LEFT(AB26,2))))-DATE(2026,8,22))/7,1))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L26" s="137">
        <f>IF($A$2="",1,IF($A$2="(blank)",--(A26=""),IF($A$2="(nonblank)",--(A26&lt;&gt;""),--ISNUMBER(SEARCH($A$2,A26)))))</f>
      </c>
      <c r="AM26" s="137">
        <f>IF($B$2="",1,IF($B$2="(blank)",--(B26=""),IF($B$2="(nonblank)",--(B26&lt;&gt;""),--ISNUMBER(SEARCH($B$2,B26)))))</f>
      </c>
      <c r="AN26" s="137">
        <f>IF($C$2="",1,IF($C$2="(blank)",--(C26=""),IF($C$2="(nonblank)",--(C26&lt;&gt;""),--ISNUMBER(SEARCH($C$2,C26)))))</f>
      </c>
      <c r="AO26" s="137">
        <f>IF($D$2="",1,IF($D$2="(blank)",--(D26=""),IF($D$2="(nonblank)",--(D26&lt;&gt;""),--ISNUMBER(SEARCH($D$2,D26)))))</f>
      </c>
      <c r="AP26" s="137">
        <f>IF($E$2="",1,IF($E$2="(blank)",--(E26=""),IF($E$2="(nonblank)",--(E26&lt;&gt;""),--ISNUMBER(SEARCH($E$2,E26)))))</f>
      </c>
      <c r="AQ26" s="137">
        <f>IF($F$2="",1,IF($F$2="(blank)",--(F26=""),IF($F$2="(nonblank)",--(F26&lt;&gt;""),--ISNUMBER(SEARCH($F$2,F26)))))</f>
      </c>
      <c r="AR26" s="137">
        <f>IF($G$2="",1,IF($G$2="(blank)",--(G26=""),IF($G$2="(nonblank)",--(G26&lt;&gt;""),--ISNUMBER(SEARCH($G$2,G26)))))</f>
      </c>
      <c r="AS26" s="137">
        <f>IF($H$2="",1,IF($H$2="(blank)",--(H26=""),IF($H$2="(nonblank)",--(H26&lt;&gt;""),--ISNUMBER(SEARCH($H$2,H26)))))</f>
      </c>
      <c r="AT26" s="137">
        <f>IF($I$2="",1,IF($I$2="(blank)",--(I26=""),IF($I$2="(nonblank)",--(I26&lt;&gt;""),--ISNUMBER(SEARCH($I$2,I26)))))</f>
      </c>
      <c r="AU26" s="137">
        <f>IF($J$2="",1,IF($J$2="(blank)",--(J26=""),IF($J$2="(nonblank)",--(J26&lt;&gt;""),--ISNUMBER(SEARCH($J$2,J26)))))</f>
      </c>
      <c r="AV26" s="137">
        <f>IF($K$2="",1,IF($K$2="(blank)",--(K26=""),IF($K$2="(nonblank)",--(K26&lt;&gt;""),--ISNUMBER(SEARCH($K$2,K26)))))</f>
      </c>
      <c r="AW26" s="137">
        <f>IF($L$2="",1,IF($L$2="(blank)",--(L26=""),IF($L$2="(nonblank)",--(L26&lt;&gt;""),--ISNUMBER(SEARCH($L$2,L26)))))</f>
      </c>
      <c r="AX26" s="137">
        <f>IF($M$2="",1,IF($M$2="(blank)",--(M26=""),IF($M$2="(nonblank)",--(M26&lt;&gt;""),--ISNUMBER(SEARCH($M$2,M26)))))</f>
      </c>
      <c r="AY26" s="137">
        <f>IF($N$2="",1,IF($N$2="(blank)",--(N26=""),IF($N$2="(nonblank)",--(N26&lt;&gt;""),--ISNUMBER(SEARCH($N$2,N26)))))</f>
      </c>
      <c r="AZ26" s="137">
        <f>IF($O$2="",1,IF($O$2="(blank)",--(O26=""),IF($O$2="(nonblank)",--(O26&lt;&gt;""),--ISNUMBER(SEARCH($O$2,O26)))))</f>
      </c>
      <c r="BA26" s="137">
        <f>IF($P$2="",1,IF($P$2="(blank)",--(P26=""),IF($P$2="(nonblank)",--(P26&lt;&gt;""),--ISNUMBER(SEARCH($P$2,P26)))))</f>
      </c>
      <c r="BB26" s="137">
        <f>IF($Q$2="",1,IF($Q$2="(blank)",--(Q26=""),IF($Q$2="(nonblank)",--(Q26&lt;&gt;""),--ISNUMBER(SEARCH($Q$2,Q26)))))</f>
      </c>
      <c r="BC26" s="137">
        <f>IF($R$2="",1,IF($R$2="(blank)",--(R26=""),IF($R$2="(nonblank)",--(R26&lt;&gt;""),--ISNUMBER(SEARCH($R$2,R26)))))</f>
      </c>
      <c r="BD26" s="137">
        <f>IF($S$2="",1,IF($S$2="(blank)",--(S26=""),IF($S$2="(nonblank)",--(S26&lt;&gt;""),--ISNUMBER(SEARCH($S$2,S26)))))</f>
      </c>
      <c r="BE26" s="137">
        <f>IF($T$2="",1,IF($T$2="(blank)",--(T26=""),IF($T$2="(nonblank)",--(T26&lt;&gt;""),--ISNUMBER(SEARCH($T$2,T26)))))</f>
      </c>
      <c r="BF26" s="137">
        <f>IF($U$2="",1,IF($U$2="(blank)",--(U26=""),IF($U$2="(nonblank)",--(U26&lt;&gt;""),--ISNUMBER(SEARCH($U$2,U26)))))</f>
      </c>
      <c r="BG26" s="137">
        <f>IF($V$2="",1,IF($V$2="(blank)",--(V26=""),IF($V$2="(nonblank)",--(V26&lt;&gt;""),--ISNUMBER(SEARCH($V$2,V26)))))</f>
      </c>
      <c r="BH26" s="137">
        <f>IF($W$2="",1,IF($W$2="(blank)",--(W26=""),IF($W$2="(nonblank)",--(W26&lt;&gt;""),--ISNUMBER(SEARCH($W$2,W26)))))</f>
      </c>
      <c r="BI26" s="137">
        <f>IF($X$2="",1,IF($X$2="(blank)",--(X26=""),IF($X$2="(nonblank)",--(X26&lt;&gt;""),--ISNUMBER(SEARCH($X$2,X26)))))</f>
      </c>
      <c r="BJ26" s="137">
        <f>IF($Y$2="",1,IF($Y$2="(blank)",--(Y26=""),IF($Y$2="(nonblank)",--(Y26&lt;&gt;""),--ISNUMBER(SEARCH($Y$2,Y26)))))</f>
      </c>
      <c r="BK26" s="137">
        <f>IF($Z$2="",1,IF($Z$2="(blank)",--(Z26=""),IF($Z$2="(nonblank)",--(Z26&lt;&gt;""),--ISNUMBER(SEARCH($Z$2,Z26)))))</f>
      </c>
      <c r="BL26" s="137">
        <f>IF($AA$2="",1,IF($AA$2="(blank)",--(AA26=""),IF($AA$2="(nonblank)",--(AA26&lt;&gt;""),--ISNUMBER(SEARCH($AA$2,AA26)))))</f>
      </c>
      <c r="BM26" s="137">
        <f>IF($AB$2="",1,IF($AB$2="(blank)",--(AB26=""),IF($AB$2="(nonblank)",--(AB26&lt;&gt;""),--ISNUMBER(SEARCH($AB$2,AB26)))))</f>
      </c>
      <c r="BN26" s="137">
        <f>IF($AC$2="",1,IF($AC$2="(blank)",--(AC26=""),IF($AC$2="(nonblank)",--(AC26&lt;&gt;""),--ISNUMBER(SEARCH($AC$2,AC26)))))</f>
      </c>
      <c r="BO26" s="137">
        <f>IF($AD$2="",1,IF($AD$2="(blank)",--(AD26=""),IF($AD$2="(nonblank)",--(AD26&lt;&gt;""),--ISNUMBER(SEARCH($AD$2,AD26)))))</f>
      </c>
      <c r="BP26" s="137">
        <f>IF($AE$2="",1,IF($AE$2="(blank)",--(AE26=""),IF($AE$2="(nonblank)",--(AE26&lt;&gt;""),--ISNUMBER(SEARCH($AE$2,AE26)))))</f>
      </c>
      <c r="BQ26" s="137">
        <f>IF($AF$2="",1,IF($AF$2="(blank)",--(AF26=""),IF($AF$2="(nonblank)",--(AF26&lt;&gt;""),--ISNUMBER(SEARCH($AF$2,AF26)))))</f>
      </c>
      <c r="BR26" s="137">
        <f>IF($AG$2="",1,IF($AG$2="(blank)",--(AG26=""),IF($AG$2="(nonblank)",--(AG26&lt;&gt;""),--ISNUMBER(SEARCH($AG$2,AG26)))))</f>
      </c>
      <c r="BS26" s="137">
        <f>IF($AH$2="",1,IF($AH$2="(blank)",--(AH26=""),IF($AH$2="(nonblank)",--(AH26&lt;&gt;""),--ISNUMBER(SEARCH($AH$2,AH26)))))</f>
      </c>
      <c r="BT26" s="137">
        <f>IF(COUNTIF($AL26:$BS26,0)&gt;0,0,1)</f>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IF(IF(OR(AB27="",AB27=0),TODAY(),DATE(VALUE(RIGHT(AB27,4)),VALUE(MID(AB27,4,2)),VALUE(LEFT(AB27,2))))&lt;=DATE(2026,8,24),0,H27*0.0118*CEILING((IF(OR(AB27="",AB27=0),TODAY(),DATE(VALUE(RIGHT(AB27,4)),VALUE(MID(AB27,4,2)),VALUE(LEFT(AB27,2))))-DATE(2026,8,22))/7,1))</f>
        <v/>
      </c>
      <c r="AA27" s="153" t="n"/>
      <c r="AB27" s="153" t="n"/>
      <c r="AC27" s="157">
        <f>U27+X27+AA27</f>
        <v/>
      </c>
      <c r="AD27" s="157">
        <f>S27-AC27</f>
        <v/>
      </c>
      <c r="AE27" s="153">
        <f>IF(AD27="","",IF(AD27&lt;=5,"SETTLED","OUTSTANDING"))</f>
        <v/>
      </c>
      <c r="AF27" s="153" t="n"/>
      <c r="AG27" s="158" t="n"/>
      <c r="AH27" s="159" t="n"/>
      <c r="AL27" s="137">
        <f>IF($A$2="",1,IF($A$2="(blank)",--(A27=""),IF($A$2="(nonblank)",--(A27&lt;&gt;""),--ISNUMBER(SEARCH($A$2,A27)))))</f>
      </c>
      <c r="AM27" s="137">
        <f>IF($B$2="",1,IF($B$2="(blank)",--(B27=""),IF($B$2="(nonblank)",--(B27&lt;&gt;""),--ISNUMBER(SEARCH($B$2,B27)))))</f>
      </c>
      <c r="AN27" s="137">
        <f>IF($C$2="",1,IF($C$2="(blank)",--(C27=""),IF($C$2="(nonblank)",--(C27&lt;&gt;""),--ISNUMBER(SEARCH($C$2,C27)))))</f>
      </c>
      <c r="AO27" s="137">
        <f>IF($D$2="",1,IF($D$2="(blank)",--(D27=""),IF($D$2="(nonblank)",--(D27&lt;&gt;""),--ISNUMBER(SEARCH($D$2,D27)))))</f>
      </c>
      <c r="AP27" s="137">
        <f>IF($E$2="",1,IF($E$2="(blank)",--(E27=""),IF($E$2="(nonblank)",--(E27&lt;&gt;""),--ISNUMBER(SEARCH($E$2,E27)))))</f>
      </c>
      <c r="AQ27" s="137">
        <f>IF($F$2="",1,IF($F$2="(blank)",--(F27=""),IF($F$2="(nonblank)",--(F27&lt;&gt;""),--ISNUMBER(SEARCH($F$2,F27)))))</f>
      </c>
      <c r="AR27" s="137">
        <f>IF($G$2="",1,IF($G$2="(blank)",--(G27=""),IF($G$2="(nonblank)",--(G27&lt;&gt;""),--ISNUMBER(SEARCH($G$2,G27)))))</f>
      </c>
      <c r="AS27" s="137">
        <f>IF($H$2="",1,IF($H$2="(blank)",--(H27=""),IF($H$2="(nonblank)",--(H27&lt;&gt;""),--ISNUMBER(SEARCH($H$2,H27)))))</f>
      </c>
      <c r="AT27" s="137">
        <f>IF($I$2="",1,IF($I$2="(blank)",--(I27=""),IF($I$2="(nonblank)",--(I27&lt;&gt;""),--ISNUMBER(SEARCH($I$2,I27)))))</f>
      </c>
      <c r="AU27" s="137">
        <f>IF($J$2="",1,IF($J$2="(blank)",--(J27=""),IF($J$2="(nonblank)",--(J27&lt;&gt;""),--ISNUMBER(SEARCH($J$2,J27)))))</f>
      </c>
      <c r="AV27" s="137">
        <f>IF($K$2="",1,IF($K$2="(blank)",--(K27=""),IF($K$2="(nonblank)",--(K27&lt;&gt;""),--ISNUMBER(SEARCH($K$2,K27)))))</f>
      </c>
      <c r="AW27" s="137">
        <f>IF($L$2="",1,IF($L$2="(blank)",--(L27=""),IF($L$2="(nonblank)",--(L27&lt;&gt;""),--ISNUMBER(SEARCH($L$2,L27)))))</f>
      </c>
      <c r="AX27" s="137">
        <f>IF($M$2="",1,IF($M$2="(blank)",--(M27=""),IF($M$2="(nonblank)",--(M27&lt;&gt;""),--ISNUMBER(SEARCH($M$2,M27)))))</f>
      </c>
      <c r="AY27" s="137">
        <f>IF($N$2="",1,IF($N$2="(blank)",--(N27=""),IF($N$2="(nonblank)",--(N27&lt;&gt;""),--ISNUMBER(SEARCH($N$2,N27)))))</f>
      </c>
      <c r="AZ27" s="137">
        <f>IF($O$2="",1,IF($O$2="(blank)",--(O27=""),IF($O$2="(nonblank)",--(O27&lt;&gt;""),--ISNUMBER(SEARCH($O$2,O27)))))</f>
      </c>
      <c r="BA27" s="137">
        <f>IF($P$2="",1,IF($P$2="(blank)",--(P27=""),IF($P$2="(nonblank)",--(P27&lt;&gt;""),--ISNUMBER(SEARCH($P$2,P27)))))</f>
      </c>
      <c r="BB27" s="137">
        <f>IF($Q$2="",1,IF($Q$2="(blank)",--(Q27=""),IF($Q$2="(nonblank)",--(Q27&lt;&gt;""),--ISNUMBER(SEARCH($Q$2,Q27)))))</f>
      </c>
      <c r="BC27" s="137">
        <f>IF($R$2="",1,IF($R$2="(blank)",--(R27=""),IF($R$2="(nonblank)",--(R27&lt;&gt;""),--ISNUMBER(SEARCH($R$2,R27)))))</f>
      </c>
      <c r="BD27" s="137">
        <f>IF($S$2="",1,IF($S$2="(blank)",--(S27=""),IF($S$2="(nonblank)",--(S27&lt;&gt;""),--ISNUMBER(SEARCH($S$2,S27)))))</f>
      </c>
      <c r="BE27" s="137">
        <f>IF($T$2="",1,IF($T$2="(blank)",--(T27=""),IF($T$2="(nonblank)",--(T27&lt;&gt;""),--ISNUMBER(SEARCH($T$2,T27)))))</f>
      </c>
      <c r="BF27" s="137">
        <f>IF($U$2="",1,IF($U$2="(blank)",--(U27=""),IF($U$2="(nonblank)",--(U27&lt;&gt;""),--ISNUMBER(SEARCH($U$2,U27)))))</f>
      </c>
      <c r="BG27" s="137">
        <f>IF($V$2="",1,IF($V$2="(blank)",--(V27=""),IF($V$2="(nonblank)",--(V27&lt;&gt;""),--ISNUMBER(SEARCH($V$2,V27)))))</f>
      </c>
      <c r="BH27" s="137">
        <f>IF($W$2="",1,IF($W$2="(blank)",--(W27=""),IF($W$2="(nonblank)",--(W27&lt;&gt;""),--ISNUMBER(SEARCH($W$2,W27)))))</f>
      </c>
      <c r="BI27" s="137">
        <f>IF($X$2="",1,IF($X$2="(blank)",--(X27=""),IF($X$2="(nonblank)",--(X27&lt;&gt;""),--ISNUMBER(SEARCH($X$2,X27)))))</f>
      </c>
      <c r="BJ27" s="137">
        <f>IF($Y$2="",1,IF($Y$2="(blank)",--(Y27=""),IF($Y$2="(nonblank)",--(Y27&lt;&gt;""),--ISNUMBER(SEARCH($Y$2,Y27)))))</f>
      </c>
      <c r="BK27" s="137">
        <f>IF($Z$2="",1,IF($Z$2="(blank)",--(Z27=""),IF($Z$2="(nonblank)",--(Z27&lt;&gt;""),--ISNUMBER(SEARCH($Z$2,Z27)))))</f>
      </c>
      <c r="BL27" s="137">
        <f>IF($AA$2="",1,IF($AA$2="(blank)",--(AA27=""),IF($AA$2="(nonblank)",--(AA27&lt;&gt;""),--ISNUMBER(SEARCH($AA$2,AA27)))))</f>
      </c>
      <c r="BM27" s="137">
        <f>IF($AB$2="",1,IF($AB$2="(blank)",--(AB27=""),IF($AB$2="(nonblank)",--(AB27&lt;&gt;""),--ISNUMBER(SEARCH($AB$2,AB27)))))</f>
      </c>
      <c r="BN27" s="137">
        <f>IF($AC$2="",1,IF($AC$2="(blank)",--(AC27=""),IF($AC$2="(nonblank)",--(AC27&lt;&gt;""),--ISNUMBER(SEARCH($AC$2,AC27)))))</f>
      </c>
      <c r="BO27" s="137">
        <f>IF($AD$2="",1,IF($AD$2="(blank)",--(AD27=""),IF($AD$2="(nonblank)",--(AD27&lt;&gt;""),--ISNUMBER(SEARCH($AD$2,AD27)))))</f>
      </c>
      <c r="BP27" s="137">
        <f>IF($AE$2="",1,IF($AE$2="(blank)",--(AE27=""),IF($AE$2="(nonblank)",--(AE27&lt;&gt;""),--ISNUMBER(SEARCH($AE$2,AE27)))))</f>
      </c>
      <c r="BQ27" s="137">
        <f>IF($AF$2="",1,IF($AF$2="(blank)",--(AF27=""),IF($AF$2="(nonblank)",--(AF27&lt;&gt;""),--ISNUMBER(SEARCH($AF$2,AF27)))))</f>
      </c>
      <c r="BR27" s="137">
        <f>IF($AG$2="",1,IF($AG$2="(blank)",--(AG27=""),IF($AG$2="(nonblank)",--(AG27&lt;&gt;""),--ISNUMBER(SEARCH($AG$2,AG27)))))</f>
      </c>
      <c r="BS27" s="137">
        <f>IF($AH$2="",1,IF($AH$2="(blank)",--(AH27=""),IF($AH$2="(nonblank)",--(AH27&lt;&gt;""),--ISNUMBER(SEARCH($AH$2,AH27)))))</f>
      </c>
      <c r="BT27" s="137">
        <f>IF(COUNTIF($AL27:$BS27,0)&gt;0,0,1)</f>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IF(IF(OR(AB28="",AB28=0),TODAY(),DATE(VALUE(RIGHT(AB28,4)),VALUE(MID(AB28,4,2)),VALUE(LEFT(AB28,2))))&lt;=DATE(2026,8,24),0,H28*0.0118*CEILING((IF(OR(AB28="",AB28=0),TODAY(),DATE(VALUE(RIGHT(AB28,4)),VALUE(MID(AB28,4,2)),VALUE(LEFT(AB28,2))))-DATE(2026,8,22))/7,1))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L28" s="137">
        <f>IF($A$2="",1,IF($A$2="(blank)",--(A28=""),IF($A$2="(nonblank)",--(A28&lt;&gt;""),--ISNUMBER(SEARCH($A$2,A28)))))</f>
      </c>
      <c r="AM28" s="137">
        <f>IF($B$2="",1,IF($B$2="(blank)",--(B28=""),IF($B$2="(nonblank)",--(B28&lt;&gt;""),--ISNUMBER(SEARCH($B$2,B28)))))</f>
      </c>
      <c r="AN28" s="137">
        <f>IF($C$2="",1,IF($C$2="(blank)",--(C28=""),IF($C$2="(nonblank)",--(C28&lt;&gt;""),--ISNUMBER(SEARCH($C$2,C28)))))</f>
      </c>
      <c r="AO28" s="137">
        <f>IF($D$2="",1,IF($D$2="(blank)",--(D28=""),IF($D$2="(nonblank)",--(D28&lt;&gt;""),--ISNUMBER(SEARCH($D$2,D28)))))</f>
      </c>
      <c r="AP28" s="137">
        <f>IF($E$2="",1,IF($E$2="(blank)",--(E28=""),IF($E$2="(nonblank)",--(E28&lt;&gt;""),--ISNUMBER(SEARCH($E$2,E28)))))</f>
      </c>
      <c r="AQ28" s="137">
        <f>IF($F$2="",1,IF($F$2="(blank)",--(F28=""),IF($F$2="(nonblank)",--(F28&lt;&gt;""),--ISNUMBER(SEARCH($F$2,F28)))))</f>
      </c>
      <c r="AR28" s="137">
        <f>IF($G$2="",1,IF($G$2="(blank)",--(G28=""),IF($G$2="(nonblank)",--(G28&lt;&gt;""),--ISNUMBER(SEARCH($G$2,G28)))))</f>
      </c>
      <c r="AS28" s="137">
        <f>IF($H$2="",1,IF($H$2="(blank)",--(H28=""),IF($H$2="(nonblank)",--(H28&lt;&gt;""),--ISNUMBER(SEARCH($H$2,H28)))))</f>
      </c>
      <c r="AT28" s="137">
        <f>IF($I$2="",1,IF($I$2="(blank)",--(I28=""),IF($I$2="(nonblank)",--(I28&lt;&gt;""),--ISNUMBER(SEARCH($I$2,I28)))))</f>
      </c>
      <c r="AU28" s="137">
        <f>IF($J$2="",1,IF($J$2="(blank)",--(J28=""),IF($J$2="(nonblank)",--(J28&lt;&gt;""),--ISNUMBER(SEARCH($J$2,J28)))))</f>
      </c>
      <c r="AV28" s="137">
        <f>IF($K$2="",1,IF($K$2="(blank)",--(K28=""),IF($K$2="(nonblank)",--(K28&lt;&gt;""),--ISNUMBER(SEARCH($K$2,K28)))))</f>
      </c>
      <c r="AW28" s="137">
        <f>IF($L$2="",1,IF($L$2="(blank)",--(L28=""),IF($L$2="(nonblank)",--(L28&lt;&gt;""),--ISNUMBER(SEARCH($L$2,L28)))))</f>
      </c>
      <c r="AX28" s="137">
        <f>IF($M$2="",1,IF($M$2="(blank)",--(M28=""),IF($M$2="(nonblank)",--(M28&lt;&gt;""),--ISNUMBER(SEARCH($M$2,M28)))))</f>
      </c>
      <c r="AY28" s="137">
        <f>IF($N$2="",1,IF($N$2="(blank)",--(N28=""),IF($N$2="(nonblank)",--(N28&lt;&gt;""),--ISNUMBER(SEARCH($N$2,N28)))))</f>
      </c>
      <c r="AZ28" s="137">
        <f>IF($O$2="",1,IF($O$2="(blank)",--(O28=""),IF($O$2="(nonblank)",--(O28&lt;&gt;""),--ISNUMBER(SEARCH($O$2,O28)))))</f>
      </c>
      <c r="BA28" s="137">
        <f>IF($P$2="",1,IF($P$2="(blank)",--(P28=""),IF($P$2="(nonblank)",--(P28&lt;&gt;""),--ISNUMBER(SEARCH($P$2,P28)))))</f>
      </c>
      <c r="BB28" s="137">
        <f>IF($Q$2="",1,IF($Q$2="(blank)",--(Q28=""),IF($Q$2="(nonblank)",--(Q28&lt;&gt;""),--ISNUMBER(SEARCH($Q$2,Q28)))))</f>
      </c>
      <c r="BC28" s="137">
        <f>IF($R$2="",1,IF($R$2="(blank)",--(R28=""),IF($R$2="(nonblank)",--(R28&lt;&gt;""),--ISNUMBER(SEARCH($R$2,R28)))))</f>
      </c>
      <c r="BD28" s="137">
        <f>IF($S$2="",1,IF($S$2="(blank)",--(S28=""),IF($S$2="(nonblank)",--(S28&lt;&gt;""),--ISNUMBER(SEARCH($S$2,S28)))))</f>
      </c>
      <c r="BE28" s="137">
        <f>IF($T$2="",1,IF($T$2="(blank)",--(T28=""),IF($T$2="(nonblank)",--(T28&lt;&gt;""),--ISNUMBER(SEARCH($T$2,T28)))))</f>
      </c>
      <c r="BF28" s="137">
        <f>IF($U$2="",1,IF($U$2="(blank)",--(U28=""),IF($U$2="(nonblank)",--(U28&lt;&gt;""),--ISNUMBER(SEARCH($U$2,U28)))))</f>
      </c>
      <c r="BG28" s="137">
        <f>IF($V$2="",1,IF($V$2="(blank)",--(V28=""),IF($V$2="(nonblank)",--(V28&lt;&gt;""),--ISNUMBER(SEARCH($V$2,V28)))))</f>
      </c>
      <c r="BH28" s="137">
        <f>IF($W$2="",1,IF($W$2="(blank)",--(W28=""),IF($W$2="(nonblank)",--(W28&lt;&gt;""),--ISNUMBER(SEARCH($W$2,W28)))))</f>
      </c>
      <c r="BI28" s="137">
        <f>IF($X$2="",1,IF($X$2="(blank)",--(X28=""),IF($X$2="(nonblank)",--(X28&lt;&gt;""),--ISNUMBER(SEARCH($X$2,X28)))))</f>
      </c>
      <c r="BJ28" s="137">
        <f>IF($Y$2="",1,IF($Y$2="(blank)",--(Y28=""),IF($Y$2="(nonblank)",--(Y28&lt;&gt;""),--ISNUMBER(SEARCH($Y$2,Y28)))))</f>
      </c>
      <c r="BK28" s="137">
        <f>IF($Z$2="",1,IF($Z$2="(blank)",--(Z28=""),IF($Z$2="(nonblank)",--(Z28&lt;&gt;""),--ISNUMBER(SEARCH($Z$2,Z28)))))</f>
      </c>
      <c r="BL28" s="137">
        <f>IF($AA$2="",1,IF($AA$2="(blank)",--(AA28=""),IF($AA$2="(nonblank)",--(AA28&lt;&gt;""),--ISNUMBER(SEARCH($AA$2,AA28)))))</f>
      </c>
      <c r="BM28" s="137">
        <f>IF($AB$2="",1,IF($AB$2="(blank)",--(AB28=""),IF($AB$2="(nonblank)",--(AB28&lt;&gt;""),--ISNUMBER(SEARCH($AB$2,AB28)))))</f>
      </c>
      <c r="BN28" s="137">
        <f>IF($AC$2="",1,IF($AC$2="(blank)",--(AC28=""),IF($AC$2="(nonblank)",--(AC28&lt;&gt;""),--ISNUMBER(SEARCH($AC$2,AC28)))))</f>
      </c>
      <c r="BO28" s="137">
        <f>IF($AD$2="",1,IF($AD$2="(blank)",--(AD28=""),IF($AD$2="(nonblank)",--(AD28&lt;&gt;""),--ISNUMBER(SEARCH($AD$2,AD28)))))</f>
      </c>
      <c r="BP28" s="137">
        <f>IF($AE$2="",1,IF($AE$2="(blank)",--(AE28=""),IF($AE$2="(nonblank)",--(AE28&lt;&gt;""),--ISNUMBER(SEARCH($AE$2,AE28)))))</f>
      </c>
      <c r="BQ28" s="137">
        <f>IF($AF$2="",1,IF($AF$2="(blank)",--(AF28=""),IF($AF$2="(nonblank)",--(AF28&lt;&gt;""),--ISNUMBER(SEARCH($AF$2,AF28)))))</f>
      </c>
      <c r="BR28" s="137">
        <f>IF($AG$2="",1,IF($AG$2="(blank)",--(AG28=""),IF($AG$2="(nonblank)",--(AG28&lt;&gt;""),--ISNUMBER(SEARCH($AG$2,AG28)))))</f>
      </c>
      <c r="BS28" s="137">
        <f>IF($AH$2="",1,IF($AH$2="(blank)",--(AH28=""),IF($AH$2="(nonblank)",--(AH28&lt;&gt;""),--ISNUMBER(SEARCH($AH$2,AH28)))))</f>
      </c>
      <c r="BT28" s="137">
        <f>IF(COUNTIF($AL28:$BS28,0)&gt;0,0,1)</f>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IF(IF(OR(AB29="",AB29=0),TODAY(),DATE(VALUE(RIGHT(AB29,4)),VALUE(MID(AB29,4,2)),VALUE(LEFT(AB29,2))))&lt;=DATE(2026,8,24),0,H29*0.0118*CEILING((IF(OR(AB29="",AB29=0),TODAY(),DATE(VALUE(RIGHT(AB29,4)),VALUE(MID(AB29,4,2)),VALUE(LEFT(AB29,2))))-DATE(2026,8,22))/7,1))</f>
        <v/>
      </c>
      <c r="AA29" s="153" t="n"/>
      <c r="AB29" s="153" t="n"/>
      <c r="AC29" s="157">
        <f>U29+X29+AA29</f>
        <v/>
      </c>
      <c r="AD29" s="157">
        <f>S29-AC29</f>
        <v/>
      </c>
      <c r="AE29" s="153">
        <f>IF(AD29="","",IF(AD29&lt;=5,"SETTLED","OUTSTANDING"))</f>
        <v/>
      </c>
      <c r="AF29" s="153" t="n"/>
      <c r="AG29" s="158" t="n"/>
      <c r="AH29" s="159" t="n"/>
      <c r="AL29" s="137">
        <f>IF($A$2="",1,IF($A$2="(blank)",--(A29=""),IF($A$2="(nonblank)",--(A29&lt;&gt;""),--ISNUMBER(SEARCH($A$2,A29)))))</f>
      </c>
      <c r="AM29" s="137">
        <f>IF($B$2="",1,IF($B$2="(blank)",--(B29=""),IF($B$2="(nonblank)",--(B29&lt;&gt;""),--ISNUMBER(SEARCH($B$2,B29)))))</f>
      </c>
      <c r="AN29" s="137">
        <f>IF($C$2="",1,IF($C$2="(blank)",--(C29=""),IF($C$2="(nonblank)",--(C29&lt;&gt;""),--ISNUMBER(SEARCH($C$2,C29)))))</f>
      </c>
      <c r="AO29" s="137">
        <f>IF($D$2="",1,IF($D$2="(blank)",--(D29=""),IF($D$2="(nonblank)",--(D29&lt;&gt;""),--ISNUMBER(SEARCH($D$2,D29)))))</f>
      </c>
      <c r="AP29" s="137">
        <f>IF($E$2="",1,IF($E$2="(blank)",--(E29=""),IF($E$2="(nonblank)",--(E29&lt;&gt;""),--ISNUMBER(SEARCH($E$2,E29)))))</f>
      </c>
      <c r="AQ29" s="137">
        <f>IF($F$2="",1,IF($F$2="(blank)",--(F29=""),IF($F$2="(nonblank)",--(F29&lt;&gt;""),--ISNUMBER(SEARCH($F$2,F29)))))</f>
      </c>
      <c r="AR29" s="137">
        <f>IF($G$2="",1,IF($G$2="(blank)",--(G29=""),IF($G$2="(nonblank)",--(G29&lt;&gt;""),--ISNUMBER(SEARCH($G$2,G29)))))</f>
      </c>
      <c r="AS29" s="137">
        <f>IF($H$2="",1,IF($H$2="(blank)",--(H29=""),IF($H$2="(nonblank)",--(H29&lt;&gt;""),--ISNUMBER(SEARCH($H$2,H29)))))</f>
      </c>
      <c r="AT29" s="137">
        <f>IF($I$2="",1,IF($I$2="(blank)",--(I29=""),IF($I$2="(nonblank)",--(I29&lt;&gt;""),--ISNUMBER(SEARCH($I$2,I29)))))</f>
      </c>
      <c r="AU29" s="137">
        <f>IF($J$2="",1,IF($J$2="(blank)",--(J29=""),IF($J$2="(nonblank)",--(J29&lt;&gt;""),--ISNUMBER(SEARCH($J$2,J29)))))</f>
      </c>
      <c r="AV29" s="137">
        <f>IF($K$2="",1,IF($K$2="(blank)",--(K29=""),IF($K$2="(nonblank)",--(K29&lt;&gt;""),--ISNUMBER(SEARCH($K$2,K29)))))</f>
      </c>
      <c r="AW29" s="137">
        <f>IF($L$2="",1,IF($L$2="(blank)",--(L29=""),IF($L$2="(nonblank)",--(L29&lt;&gt;""),--ISNUMBER(SEARCH($L$2,L29)))))</f>
      </c>
      <c r="AX29" s="137">
        <f>IF($M$2="",1,IF($M$2="(blank)",--(M29=""),IF($M$2="(nonblank)",--(M29&lt;&gt;""),--ISNUMBER(SEARCH($M$2,M29)))))</f>
      </c>
      <c r="AY29" s="137">
        <f>IF($N$2="",1,IF($N$2="(blank)",--(N29=""),IF($N$2="(nonblank)",--(N29&lt;&gt;""),--ISNUMBER(SEARCH($N$2,N29)))))</f>
      </c>
      <c r="AZ29" s="137">
        <f>IF($O$2="",1,IF($O$2="(blank)",--(O29=""),IF($O$2="(nonblank)",--(O29&lt;&gt;""),--ISNUMBER(SEARCH($O$2,O29)))))</f>
      </c>
      <c r="BA29" s="137">
        <f>IF($P$2="",1,IF($P$2="(blank)",--(P29=""),IF($P$2="(nonblank)",--(P29&lt;&gt;""),--ISNUMBER(SEARCH($P$2,P29)))))</f>
      </c>
      <c r="BB29" s="137">
        <f>IF($Q$2="",1,IF($Q$2="(blank)",--(Q29=""),IF($Q$2="(nonblank)",--(Q29&lt;&gt;""),--ISNUMBER(SEARCH($Q$2,Q29)))))</f>
      </c>
      <c r="BC29" s="137">
        <f>IF($R$2="",1,IF($R$2="(blank)",--(R29=""),IF($R$2="(nonblank)",--(R29&lt;&gt;""),--ISNUMBER(SEARCH($R$2,R29)))))</f>
      </c>
      <c r="BD29" s="137">
        <f>IF($S$2="",1,IF($S$2="(blank)",--(S29=""),IF($S$2="(nonblank)",--(S29&lt;&gt;""),--ISNUMBER(SEARCH($S$2,S29)))))</f>
      </c>
      <c r="BE29" s="137">
        <f>IF($T$2="",1,IF($T$2="(blank)",--(T29=""),IF($T$2="(nonblank)",--(T29&lt;&gt;""),--ISNUMBER(SEARCH($T$2,T29)))))</f>
      </c>
      <c r="BF29" s="137">
        <f>IF($U$2="",1,IF($U$2="(blank)",--(U29=""),IF($U$2="(nonblank)",--(U29&lt;&gt;""),--ISNUMBER(SEARCH($U$2,U29)))))</f>
      </c>
      <c r="BG29" s="137">
        <f>IF($V$2="",1,IF($V$2="(blank)",--(V29=""),IF($V$2="(nonblank)",--(V29&lt;&gt;""),--ISNUMBER(SEARCH($V$2,V29)))))</f>
      </c>
      <c r="BH29" s="137">
        <f>IF($W$2="",1,IF($W$2="(blank)",--(W29=""),IF($W$2="(nonblank)",--(W29&lt;&gt;""),--ISNUMBER(SEARCH($W$2,W29)))))</f>
      </c>
      <c r="BI29" s="137">
        <f>IF($X$2="",1,IF($X$2="(blank)",--(X29=""),IF($X$2="(nonblank)",--(X29&lt;&gt;""),--ISNUMBER(SEARCH($X$2,X29)))))</f>
      </c>
      <c r="BJ29" s="137">
        <f>IF($Y$2="",1,IF($Y$2="(blank)",--(Y29=""),IF($Y$2="(nonblank)",--(Y29&lt;&gt;""),--ISNUMBER(SEARCH($Y$2,Y29)))))</f>
      </c>
      <c r="BK29" s="137">
        <f>IF($Z$2="",1,IF($Z$2="(blank)",--(Z29=""),IF($Z$2="(nonblank)",--(Z29&lt;&gt;""),--ISNUMBER(SEARCH($Z$2,Z29)))))</f>
      </c>
      <c r="BL29" s="137">
        <f>IF($AA$2="",1,IF($AA$2="(blank)",--(AA29=""),IF($AA$2="(nonblank)",--(AA29&lt;&gt;""),--ISNUMBER(SEARCH($AA$2,AA29)))))</f>
      </c>
      <c r="BM29" s="137">
        <f>IF($AB$2="",1,IF($AB$2="(blank)",--(AB29=""),IF($AB$2="(nonblank)",--(AB29&lt;&gt;""),--ISNUMBER(SEARCH($AB$2,AB29)))))</f>
      </c>
      <c r="BN29" s="137">
        <f>IF($AC$2="",1,IF($AC$2="(blank)",--(AC29=""),IF($AC$2="(nonblank)",--(AC29&lt;&gt;""),--ISNUMBER(SEARCH($AC$2,AC29)))))</f>
      </c>
      <c r="BO29" s="137">
        <f>IF($AD$2="",1,IF($AD$2="(blank)",--(AD29=""),IF($AD$2="(nonblank)",--(AD29&lt;&gt;""),--ISNUMBER(SEARCH($AD$2,AD29)))))</f>
      </c>
      <c r="BP29" s="137">
        <f>IF($AE$2="",1,IF($AE$2="(blank)",--(AE29=""),IF($AE$2="(nonblank)",--(AE29&lt;&gt;""),--ISNUMBER(SEARCH($AE$2,AE29)))))</f>
      </c>
      <c r="BQ29" s="137">
        <f>IF($AF$2="",1,IF($AF$2="(blank)",--(AF29=""),IF($AF$2="(nonblank)",--(AF29&lt;&gt;""),--ISNUMBER(SEARCH($AF$2,AF29)))))</f>
      </c>
      <c r="BR29" s="137">
        <f>IF($AG$2="",1,IF($AG$2="(blank)",--(AG29=""),IF($AG$2="(nonblank)",--(AG29&lt;&gt;""),--ISNUMBER(SEARCH($AG$2,AG29)))))</f>
      </c>
      <c r="BS29" s="137">
        <f>IF($AH$2="",1,IF($AH$2="(blank)",--(AH29=""),IF($AH$2="(nonblank)",--(AH29&lt;&gt;""),--ISNUMBER(SEARCH($AH$2,AH29)))))</f>
      </c>
      <c r="BT29" s="137">
        <f>IF(COUNTIF($AL29:$BS29,0)&gt;0,0,1)</f>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IF(IF(OR(AB30="",AB30=0),TODAY(),DATE(VALUE(RIGHT(AB30,4)),VALUE(MID(AB30,4,2)),VALUE(LEFT(AB30,2))))&lt;=DATE(2026,8,24),0,H30*0.0118*CEILING((IF(OR(AB30="",AB30=0),TODAY(),DATE(VALUE(RIGHT(AB30,4)),VALUE(MID(AB30,4,2)),VALUE(LEFT(AB30,2))))-DATE(2026,8,22))/7,1))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L30" s="137">
        <f>IF($A$2="",1,IF($A$2="(blank)",--(A30=""),IF($A$2="(nonblank)",--(A30&lt;&gt;""),--ISNUMBER(SEARCH($A$2,A30)))))</f>
      </c>
      <c r="AM30" s="137">
        <f>IF($B$2="",1,IF($B$2="(blank)",--(B30=""),IF($B$2="(nonblank)",--(B30&lt;&gt;""),--ISNUMBER(SEARCH($B$2,B30)))))</f>
      </c>
      <c r="AN30" s="137">
        <f>IF($C$2="",1,IF($C$2="(blank)",--(C30=""),IF($C$2="(nonblank)",--(C30&lt;&gt;""),--ISNUMBER(SEARCH($C$2,C30)))))</f>
      </c>
      <c r="AO30" s="137">
        <f>IF($D$2="",1,IF($D$2="(blank)",--(D30=""),IF($D$2="(nonblank)",--(D30&lt;&gt;""),--ISNUMBER(SEARCH($D$2,D30)))))</f>
      </c>
      <c r="AP30" s="137">
        <f>IF($E$2="",1,IF($E$2="(blank)",--(E30=""),IF($E$2="(nonblank)",--(E30&lt;&gt;""),--ISNUMBER(SEARCH($E$2,E30)))))</f>
      </c>
      <c r="AQ30" s="137">
        <f>IF($F$2="",1,IF($F$2="(blank)",--(F30=""),IF($F$2="(nonblank)",--(F30&lt;&gt;""),--ISNUMBER(SEARCH($F$2,F30)))))</f>
      </c>
      <c r="AR30" s="137">
        <f>IF($G$2="",1,IF($G$2="(blank)",--(G30=""),IF($G$2="(nonblank)",--(G30&lt;&gt;""),--ISNUMBER(SEARCH($G$2,G30)))))</f>
      </c>
      <c r="AS30" s="137">
        <f>IF($H$2="",1,IF($H$2="(blank)",--(H30=""),IF($H$2="(nonblank)",--(H30&lt;&gt;""),--ISNUMBER(SEARCH($H$2,H30)))))</f>
      </c>
      <c r="AT30" s="137">
        <f>IF($I$2="",1,IF($I$2="(blank)",--(I30=""),IF($I$2="(nonblank)",--(I30&lt;&gt;""),--ISNUMBER(SEARCH($I$2,I30)))))</f>
      </c>
      <c r="AU30" s="137">
        <f>IF($J$2="",1,IF($J$2="(blank)",--(J30=""),IF($J$2="(nonblank)",--(J30&lt;&gt;""),--ISNUMBER(SEARCH($J$2,J30)))))</f>
      </c>
      <c r="AV30" s="137">
        <f>IF($K$2="",1,IF($K$2="(blank)",--(K30=""),IF($K$2="(nonblank)",--(K30&lt;&gt;""),--ISNUMBER(SEARCH($K$2,K30)))))</f>
      </c>
      <c r="AW30" s="137">
        <f>IF($L$2="",1,IF($L$2="(blank)",--(L30=""),IF($L$2="(nonblank)",--(L30&lt;&gt;""),--ISNUMBER(SEARCH($L$2,L30)))))</f>
      </c>
      <c r="AX30" s="137">
        <f>IF($M$2="",1,IF($M$2="(blank)",--(M30=""),IF($M$2="(nonblank)",--(M30&lt;&gt;""),--ISNUMBER(SEARCH($M$2,M30)))))</f>
      </c>
      <c r="AY30" s="137">
        <f>IF($N$2="",1,IF($N$2="(blank)",--(N30=""),IF($N$2="(nonblank)",--(N30&lt;&gt;""),--ISNUMBER(SEARCH($N$2,N30)))))</f>
      </c>
      <c r="AZ30" s="137">
        <f>IF($O$2="",1,IF($O$2="(blank)",--(O30=""),IF($O$2="(nonblank)",--(O30&lt;&gt;""),--ISNUMBER(SEARCH($O$2,O30)))))</f>
      </c>
      <c r="BA30" s="137">
        <f>IF($P$2="",1,IF($P$2="(blank)",--(P30=""),IF($P$2="(nonblank)",--(P30&lt;&gt;""),--ISNUMBER(SEARCH($P$2,P30)))))</f>
      </c>
      <c r="BB30" s="137">
        <f>IF($Q$2="",1,IF($Q$2="(blank)",--(Q30=""),IF($Q$2="(nonblank)",--(Q30&lt;&gt;""),--ISNUMBER(SEARCH($Q$2,Q30)))))</f>
      </c>
      <c r="BC30" s="137">
        <f>IF($R$2="",1,IF($R$2="(blank)",--(R30=""),IF($R$2="(nonblank)",--(R30&lt;&gt;""),--ISNUMBER(SEARCH($R$2,R30)))))</f>
      </c>
      <c r="BD30" s="137">
        <f>IF($S$2="",1,IF($S$2="(blank)",--(S30=""),IF($S$2="(nonblank)",--(S30&lt;&gt;""),--ISNUMBER(SEARCH($S$2,S30)))))</f>
      </c>
      <c r="BE30" s="137">
        <f>IF($T$2="",1,IF($T$2="(blank)",--(T30=""),IF($T$2="(nonblank)",--(T30&lt;&gt;""),--ISNUMBER(SEARCH($T$2,T30)))))</f>
      </c>
      <c r="BF30" s="137">
        <f>IF($U$2="",1,IF($U$2="(blank)",--(U30=""),IF($U$2="(nonblank)",--(U30&lt;&gt;""),--ISNUMBER(SEARCH($U$2,U30)))))</f>
      </c>
      <c r="BG30" s="137">
        <f>IF($V$2="",1,IF($V$2="(blank)",--(V30=""),IF($V$2="(nonblank)",--(V30&lt;&gt;""),--ISNUMBER(SEARCH($V$2,V30)))))</f>
      </c>
      <c r="BH30" s="137">
        <f>IF($W$2="",1,IF($W$2="(blank)",--(W30=""),IF($W$2="(nonblank)",--(W30&lt;&gt;""),--ISNUMBER(SEARCH($W$2,W30)))))</f>
      </c>
      <c r="BI30" s="137">
        <f>IF($X$2="",1,IF($X$2="(blank)",--(X30=""),IF($X$2="(nonblank)",--(X30&lt;&gt;""),--ISNUMBER(SEARCH($X$2,X30)))))</f>
      </c>
      <c r="BJ30" s="137">
        <f>IF($Y$2="",1,IF($Y$2="(blank)",--(Y30=""),IF($Y$2="(nonblank)",--(Y30&lt;&gt;""),--ISNUMBER(SEARCH($Y$2,Y30)))))</f>
      </c>
      <c r="BK30" s="137">
        <f>IF($Z$2="",1,IF($Z$2="(blank)",--(Z30=""),IF($Z$2="(nonblank)",--(Z30&lt;&gt;""),--ISNUMBER(SEARCH($Z$2,Z30)))))</f>
      </c>
      <c r="BL30" s="137">
        <f>IF($AA$2="",1,IF($AA$2="(blank)",--(AA30=""),IF($AA$2="(nonblank)",--(AA30&lt;&gt;""),--ISNUMBER(SEARCH($AA$2,AA30)))))</f>
      </c>
      <c r="BM30" s="137">
        <f>IF($AB$2="",1,IF($AB$2="(blank)",--(AB30=""),IF($AB$2="(nonblank)",--(AB30&lt;&gt;""),--ISNUMBER(SEARCH($AB$2,AB30)))))</f>
      </c>
      <c r="BN30" s="137">
        <f>IF($AC$2="",1,IF($AC$2="(blank)",--(AC30=""),IF($AC$2="(nonblank)",--(AC30&lt;&gt;""),--ISNUMBER(SEARCH($AC$2,AC30)))))</f>
      </c>
      <c r="BO30" s="137">
        <f>IF($AD$2="",1,IF($AD$2="(blank)",--(AD30=""),IF($AD$2="(nonblank)",--(AD30&lt;&gt;""),--ISNUMBER(SEARCH($AD$2,AD30)))))</f>
      </c>
      <c r="BP30" s="137">
        <f>IF($AE$2="",1,IF($AE$2="(blank)",--(AE30=""),IF($AE$2="(nonblank)",--(AE30&lt;&gt;""),--ISNUMBER(SEARCH($AE$2,AE30)))))</f>
      </c>
      <c r="BQ30" s="137">
        <f>IF($AF$2="",1,IF($AF$2="(blank)",--(AF30=""),IF($AF$2="(nonblank)",--(AF30&lt;&gt;""),--ISNUMBER(SEARCH($AF$2,AF30)))))</f>
      </c>
      <c r="BR30" s="137">
        <f>IF($AG$2="",1,IF($AG$2="(blank)",--(AG30=""),IF($AG$2="(nonblank)",--(AG30&lt;&gt;""),--ISNUMBER(SEARCH($AG$2,AG30)))))</f>
      </c>
      <c r="BS30" s="137">
        <f>IF($AH$2="",1,IF($AH$2="(blank)",--(AH30=""),IF($AH$2="(nonblank)",--(AH30&lt;&gt;""),--ISNUMBER(SEARCH($AH$2,AH30)))))</f>
      </c>
      <c r="BT30" s="137">
        <f>IF(COUNTIF($AL30:$BS30,0)&gt;0,0,1)</f>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IF(IF(OR(AB31="",AB31=0),TODAY(),DATE(VALUE(RIGHT(AB31,4)),VALUE(MID(AB31,4,2)),VALUE(LEFT(AB31,2))))&lt;=DATE(2026,8,24),0,H31*0.0118*CEILING((IF(OR(AB31="",AB31=0),TODAY(),DATE(VALUE(RIGHT(AB31,4)),VALUE(MID(AB31,4,2)),VALUE(LEFT(AB31,2))))-DATE(2026,8,22))/7,1))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L31" s="137">
        <f>IF($A$2="",1,IF($A$2="(blank)",--(A31=""),IF($A$2="(nonblank)",--(A31&lt;&gt;""),--ISNUMBER(SEARCH($A$2,A31)))))</f>
      </c>
      <c r="AM31" s="137">
        <f>IF($B$2="",1,IF($B$2="(blank)",--(B31=""),IF($B$2="(nonblank)",--(B31&lt;&gt;""),--ISNUMBER(SEARCH($B$2,B31)))))</f>
      </c>
      <c r="AN31" s="137">
        <f>IF($C$2="",1,IF($C$2="(blank)",--(C31=""),IF($C$2="(nonblank)",--(C31&lt;&gt;""),--ISNUMBER(SEARCH($C$2,C31)))))</f>
      </c>
      <c r="AO31" s="137">
        <f>IF($D$2="",1,IF($D$2="(blank)",--(D31=""),IF($D$2="(nonblank)",--(D31&lt;&gt;""),--ISNUMBER(SEARCH($D$2,D31)))))</f>
      </c>
      <c r="AP31" s="137">
        <f>IF($E$2="",1,IF($E$2="(blank)",--(E31=""),IF($E$2="(nonblank)",--(E31&lt;&gt;""),--ISNUMBER(SEARCH($E$2,E31)))))</f>
      </c>
      <c r="AQ31" s="137">
        <f>IF($F$2="",1,IF($F$2="(blank)",--(F31=""),IF($F$2="(nonblank)",--(F31&lt;&gt;""),--ISNUMBER(SEARCH($F$2,F31)))))</f>
      </c>
      <c r="AR31" s="137">
        <f>IF($G$2="",1,IF($G$2="(blank)",--(G31=""),IF($G$2="(nonblank)",--(G31&lt;&gt;""),--ISNUMBER(SEARCH($G$2,G31)))))</f>
      </c>
      <c r="AS31" s="137">
        <f>IF($H$2="",1,IF($H$2="(blank)",--(H31=""),IF($H$2="(nonblank)",--(H31&lt;&gt;""),--ISNUMBER(SEARCH($H$2,H31)))))</f>
      </c>
      <c r="AT31" s="137">
        <f>IF($I$2="",1,IF($I$2="(blank)",--(I31=""),IF($I$2="(nonblank)",--(I31&lt;&gt;""),--ISNUMBER(SEARCH($I$2,I31)))))</f>
      </c>
      <c r="AU31" s="137">
        <f>IF($J$2="",1,IF($J$2="(blank)",--(J31=""),IF($J$2="(nonblank)",--(J31&lt;&gt;""),--ISNUMBER(SEARCH($J$2,J31)))))</f>
      </c>
      <c r="AV31" s="137">
        <f>IF($K$2="",1,IF($K$2="(blank)",--(K31=""),IF($K$2="(nonblank)",--(K31&lt;&gt;""),--ISNUMBER(SEARCH($K$2,K31)))))</f>
      </c>
      <c r="AW31" s="137">
        <f>IF($L$2="",1,IF($L$2="(blank)",--(L31=""),IF($L$2="(nonblank)",--(L31&lt;&gt;""),--ISNUMBER(SEARCH($L$2,L31)))))</f>
      </c>
      <c r="AX31" s="137">
        <f>IF($M$2="",1,IF($M$2="(blank)",--(M31=""),IF($M$2="(nonblank)",--(M31&lt;&gt;""),--ISNUMBER(SEARCH($M$2,M31)))))</f>
      </c>
      <c r="AY31" s="137">
        <f>IF($N$2="",1,IF($N$2="(blank)",--(N31=""),IF($N$2="(nonblank)",--(N31&lt;&gt;""),--ISNUMBER(SEARCH($N$2,N31)))))</f>
      </c>
      <c r="AZ31" s="137">
        <f>IF($O$2="",1,IF($O$2="(blank)",--(O31=""),IF($O$2="(nonblank)",--(O31&lt;&gt;""),--ISNUMBER(SEARCH($O$2,O31)))))</f>
      </c>
      <c r="BA31" s="137">
        <f>IF($P$2="",1,IF($P$2="(blank)",--(P31=""),IF($P$2="(nonblank)",--(P31&lt;&gt;""),--ISNUMBER(SEARCH($P$2,P31)))))</f>
      </c>
      <c r="BB31" s="137">
        <f>IF($Q$2="",1,IF($Q$2="(blank)",--(Q31=""),IF($Q$2="(nonblank)",--(Q31&lt;&gt;""),--ISNUMBER(SEARCH($Q$2,Q31)))))</f>
      </c>
      <c r="BC31" s="137">
        <f>IF($R$2="",1,IF($R$2="(blank)",--(R31=""),IF($R$2="(nonblank)",--(R31&lt;&gt;""),--ISNUMBER(SEARCH($R$2,R31)))))</f>
      </c>
      <c r="BD31" s="137">
        <f>IF($S$2="",1,IF($S$2="(blank)",--(S31=""),IF($S$2="(nonblank)",--(S31&lt;&gt;""),--ISNUMBER(SEARCH($S$2,S31)))))</f>
      </c>
      <c r="BE31" s="137">
        <f>IF($T$2="",1,IF($T$2="(blank)",--(T31=""),IF($T$2="(nonblank)",--(T31&lt;&gt;""),--ISNUMBER(SEARCH($T$2,T31)))))</f>
      </c>
      <c r="BF31" s="137">
        <f>IF($U$2="",1,IF($U$2="(blank)",--(U31=""),IF($U$2="(nonblank)",--(U31&lt;&gt;""),--ISNUMBER(SEARCH($U$2,U31)))))</f>
      </c>
      <c r="BG31" s="137">
        <f>IF($V$2="",1,IF($V$2="(blank)",--(V31=""),IF($V$2="(nonblank)",--(V31&lt;&gt;""),--ISNUMBER(SEARCH($V$2,V31)))))</f>
      </c>
      <c r="BH31" s="137">
        <f>IF($W$2="",1,IF($W$2="(blank)",--(W31=""),IF($W$2="(nonblank)",--(W31&lt;&gt;""),--ISNUMBER(SEARCH($W$2,W31)))))</f>
      </c>
      <c r="BI31" s="137">
        <f>IF($X$2="",1,IF($X$2="(blank)",--(X31=""),IF($X$2="(nonblank)",--(X31&lt;&gt;""),--ISNUMBER(SEARCH($X$2,X31)))))</f>
      </c>
      <c r="BJ31" s="137">
        <f>IF($Y$2="",1,IF($Y$2="(blank)",--(Y31=""),IF($Y$2="(nonblank)",--(Y31&lt;&gt;""),--ISNUMBER(SEARCH($Y$2,Y31)))))</f>
      </c>
      <c r="BK31" s="137">
        <f>IF($Z$2="",1,IF($Z$2="(blank)",--(Z31=""),IF($Z$2="(nonblank)",--(Z31&lt;&gt;""),--ISNUMBER(SEARCH($Z$2,Z31)))))</f>
      </c>
      <c r="BL31" s="137">
        <f>IF($AA$2="",1,IF($AA$2="(blank)",--(AA31=""),IF($AA$2="(nonblank)",--(AA31&lt;&gt;""),--ISNUMBER(SEARCH($AA$2,AA31)))))</f>
      </c>
      <c r="BM31" s="137">
        <f>IF($AB$2="",1,IF($AB$2="(blank)",--(AB31=""),IF($AB$2="(nonblank)",--(AB31&lt;&gt;""),--ISNUMBER(SEARCH($AB$2,AB31)))))</f>
      </c>
      <c r="BN31" s="137">
        <f>IF($AC$2="",1,IF($AC$2="(blank)",--(AC31=""),IF($AC$2="(nonblank)",--(AC31&lt;&gt;""),--ISNUMBER(SEARCH($AC$2,AC31)))))</f>
      </c>
      <c r="BO31" s="137">
        <f>IF($AD$2="",1,IF($AD$2="(blank)",--(AD31=""),IF($AD$2="(nonblank)",--(AD31&lt;&gt;""),--ISNUMBER(SEARCH($AD$2,AD31)))))</f>
      </c>
      <c r="BP31" s="137">
        <f>IF($AE$2="",1,IF($AE$2="(blank)",--(AE31=""),IF($AE$2="(nonblank)",--(AE31&lt;&gt;""),--ISNUMBER(SEARCH($AE$2,AE31)))))</f>
      </c>
      <c r="BQ31" s="137">
        <f>IF($AF$2="",1,IF($AF$2="(blank)",--(AF31=""),IF($AF$2="(nonblank)",--(AF31&lt;&gt;""),--ISNUMBER(SEARCH($AF$2,AF31)))))</f>
      </c>
      <c r="BR31" s="137">
        <f>IF($AG$2="",1,IF($AG$2="(blank)",--(AG31=""),IF($AG$2="(nonblank)",--(AG31&lt;&gt;""),--ISNUMBER(SEARCH($AG$2,AG31)))))</f>
      </c>
      <c r="BS31" s="137">
        <f>IF($AH$2="",1,IF($AH$2="(blank)",--(AH31=""),IF($AH$2="(nonblank)",--(AH31&lt;&gt;""),--ISNUMBER(SEARCH($AH$2,AH31)))))</f>
      </c>
      <c r="BT31" s="137">
        <f>IF(COUNTIF($AL31:$BS31,0)&gt;0,0,1)</f>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IF(IF(OR(AB32="",AB32=0),TODAY(),DATE(VALUE(RIGHT(AB32,4)),VALUE(MID(AB32,4,2)),VALUE(LEFT(AB32,2))))&lt;=DATE(2026,8,24),0,H32*0.0118*CEILING((IF(OR(AB32="",AB32=0),TODAY(),DATE(VALUE(RIGHT(AB32,4)),VALUE(MID(AB32,4,2)),VALUE(LEFT(AB32,2))))-DATE(2026,8,22))/7,1))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L32" s="137">
        <f>IF($A$2="",1,IF($A$2="(blank)",--(A32=""),IF($A$2="(nonblank)",--(A32&lt;&gt;""),--ISNUMBER(SEARCH($A$2,A32)))))</f>
      </c>
      <c r="AM32" s="137">
        <f>IF($B$2="",1,IF($B$2="(blank)",--(B32=""),IF($B$2="(nonblank)",--(B32&lt;&gt;""),--ISNUMBER(SEARCH($B$2,B32)))))</f>
      </c>
      <c r="AN32" s="137">
        <f>IF($C$2="",1,IF($C$2="(blank)",--(C32=""),IF($C$2="(nonblank)",--(C32&lt;&gt;""),--ISNUMBER(SEARCH($C$2,C32)))))</f>
      </c>
      <c r="AO32" s="137">
        <f>IF($D$2="",1,IF($D$2="(blank)",--(D32=""),IF($D$2="(nonblank)",--(D32&lt;&gt;""),--ISNUMBER(SEARCH($D$2,D32)))))</f>
      </c>
      <c r="AP32" s="137">
        <f>IF($E$2="",1,IF($E$2="(blank)",--(E32=""),IF($E$2="(nonblank)",--(E32&lt;&gt;""),--ISNUMBER(SEARCH($E$2,E32)))))</f>
      </c>
      <c r="AQ32" s="137">
        <f>IF($F$2="",1,IF($F$2="(blank)",--(F32=""),IF($F$2="(nonblank)",--(F32&lt;&gt;""),--ISNUMBER(SEARCH($F$2,F32)))))</f>
      </c>
      <c r="AR32" s="137">
        <f>IF($G$2="",1,IF($G$2="(blank)",--(G32=""),IF($G$2="(nonblank)",--(G32&lt;&gt;""),--ISNUMBER(SEARCH($G$2,G32)))))</f>
      </c>
      <c r="AS32" s="137">
        <f>IF($H$2="",1,IF($H$2="(blank)",--(H32=""),IF($H$2="(nonblank)",--(H32&lt;&gt;""),--ISNUMBER(SEARCH($H$2,H32)))))</f>
      </c>
      <c r="AT32" s="137">
        <f>IF($I$2="",1,IF($I$2="(blank)",--(I32=""),IF($I$2="(nonblank)",--(I32&lt;&gt;""),--ISNUMBER(SEARCH($I$2,I32)))))</f>
      </c>
      <c r="AU32" s="137">
        <f>IF($J$2="",1,IF($J$2="(blank)",--(J32=""),IF($J$2="(nonblank)",--(J32&lt;&gt;""),--ISNUMBER(SEARCH($J$2,J32)))))</f>
      </c>
      <c r="AV32" s="137">
        <f>IF($K$2="",1,IF($K$2="(blank)",--(K32=""),IF($K$2="(nonblank)",--(K32&lt;&gt;""),--ISNUMBER(SEARCH($K$2,K32)))))</f>
      </c>
      <c r="AW32" s="137">
        <f>IF($L$2="",1,IF($L$2="(blank)",--(L32=""),IF($L$2="(nonblank)",--(L32&lt;&gt;""),--ISNUMBER(SEARCH($L$2,L32)))))</f>
      </c>
      <c r="AX32" s="137">
        <f>IF($M$2="",1,IF($M$2="(blank)",--(M32=""),IF($M$2="(nonblank)",--(M32&lt;&gt;""),--ISNUMBER(SEARCH($M$2,M32)))))</f>
      </c>
      <c r="AY32" s="137">
        <f>IF($N$2="",1,IF($N$2="(blank)",--(N32=""),IF($N$2="(nonblank)",--(N32&lt;&gt;""),--ISNUMBER(SEARCH($N$2,N32)))))</f>
      </c>
      <c r="AZ32" s="137">
        <f>IF($O$2="",1,IF($O$2="(blank)",--(O32=""),IF($O$2="(nonblank)",--(O32&lt;&gt;""),--ISNUMBER(SEARCH($O$2,O32)))))</f>
      </c>
      <c r="BA32" s="137">
        <f>IF($P$2="",1,IF($P$2="(blank)",--(P32=""),IF($P$2="(nonblank)",--(P32&lt;&gt;""),--ISNUMBER(SEARCH($P$2,P32)))))</f>
      </c>
      <c r="BB32" s="137">
        <f>IF($Q$2="",1,IF($Q$2="(blank)",--(Q32=""),IF($Q$2="(nonblank)",--(Q32&lt;&gt;""),--ISNUMBER(SEARCH($Q$2,Q32)))))</f>
      </c>
      <c r="BC32" s="137">
        <f>IF($R$2="",1,IF($R$2="(blank)",--(R32=""),IF($R$2="(nonblank)",--(R32&lt;&gt;""),--ISNUMBER(SEARCH($R$2,R32)))))</f>
      </c>
      <c r="BD32" s="137">
        <f>IF($S$2="",1,IF($S$2="(blank)",--(S32=""),IF($S$2="(nonblank)",--(S32&lt;&gt;""),--ISNUMBER(SEARCH($S$2,S32)))))</f>
      </c>
      <c r="BE32" s="137">
        <f>IF($T$2="",1,IF($T$2="(blank)",--(T32=""),IF($T$2="(nonblank)",--(T32&lt;&gt;""),--ISNUMBER(SEARCH($T$2,T32)))))</f>
      </c>
      <c r="BF32" s="137">
        <f>IF($U$2="",1,IF($U$2="(blank)",--(U32=""),IF($U$2="(nonblank)",--(U32&lt;&gt;""),--ISNUMBER(SEARCH($U$2,U32)))))</f>
      </c>
      <c r="BG32" s="137">
        <f>IF($V$2="",1,IF($V$2="(blank)",--(V32=""),IF($V$2="(nonblank)",--(V32&lt;&gt;""),--ISNUMBER(SEARCH($V$2,V32)))))</f>
      </c>
      <c r="BH32" s="137">
        <f>IF($W$2="",1,IF($W$2="(blank)",--(W32=""),IF($W$2="(nonblank)",--(W32&lt;&gt;""),--ISNUMBER(SEARCH($W$2,W32)))))</f>
      </c>
      <c r="BI32" s="137">
        <f>IF($X$2="",1,IF($X$2="(blank)",--(X32=""),IF($X$2="(nonblank)",--(X32&lt;&gt;""),--ISNUMBER(SEARCH($X$2,X32)))))</f>
      </c>
      <c r="BJ32" s="137">
        <f>IF($Y$2="",1,IF($Y$2="(blank)",--(Y32=""),IF($Y$2="(nonblank)",--(Y32&lt;&gt;""),--ISNUMBER(SEARCH($Y$2,Y32)))))</f>
      </c>
      <c r="BK32" s="137">
        <f>IF($Z$2="",1,IF($Z$2="(blank)",--(Z32=""),IF($Z$2="(nonblank)",--(Z32&lt;&gt;""),--ISNUMBER(SEARCH($Z$2,Z32)))))</f>
      </c>
      <c r="BL32" s="137">
        <f>IF($AA$2="",1,IF($AA$2="(blank)",--(AA32=""),IF($AA$2="(nonblank)",--(AA32&lt;&gt;""),--ISNUMBER(SEARCH($AA$2,AA32)))))</f>
      </c>
      <c r="BM32" s="137">
        <f>IF($AB$2="",1,IF($AB$2="(blank)",--(AB32=""),IF($AB$2="(nonblank)",--(AB32&lt;&gt;""),--ISNUMBER(SEARCH($AB$2,AB32)))))</f>
      </c>
      <c r="BN32" s="137">
        <f>IF($AC$2="",1,IF($AC$2="(blank)",--(AC32=""),IF($AC$2="(nonblank)",--(AC32&lt;&gt;""),--ISNUMBER(SEARCH($AC$2,AC32)))))</f>
      </c>
      <c r="BO32" s="137">
        <f>IF($AD$2="",1,IF($AD$2="(blank)",--(AD32=""),IF($AD$2="(nonblank)",--(AD32&lt;&gt;""),--ISNUMBER(SEARCH($AD$2,AD32)))))</f>
      </c>
      <c r="BP32" s="137">
        <f>IF($AE$2="",1,IF($AE$2="(blank)",--(AE32=""),IF($AE$2="(nonblank)",--(AE32&lt;&gt;""),--ISNUMBER(SEARCH($AE$2,AE32)))))</f>
      </c>
      <c r="BQ32" s="137">
        <f>IF($AF$2="",1,IF($AF$2="(blank)",--(AF32=""),IF($AF$2="(nonblank)",--(AF32&lt;&gt;""),--ISNUMBER(SEARCH($AF$2,AF32)))))</f>
      </c>
      <c r="BR32" s="137">
        <f>IF($AG$2="",1,IF($AG$2="(blank)",--(AG32=""),IF($AG$2="(nonblank)",--(AG32&lt;&gt;""),--ISNUMBER(SEARCH($AG$2,AG32)))))</f>
      </c>
      <c r="BS32" s="137">
        <f>IF($AH$2="",1,IF($AH$2="(blank)",--(AH32=""),IF($AH$2="(nonblank)",--(AH32&lt;&gt;""),--ISNUMBER(SEARCH($AH$2,AH32)))))</f>
      </c>
      <c r="BT32" s="137">
        <f>IF(COUNTIF($AL32:$BS32,0)&gt;0,0,1)</f>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IF(IF(OR(AB33="",AB33=0),TODAY(),DATE(VALUE(RIGHT(AB33,4)),VALUE(MID(AB33,4,2)),VALUE(LEFT(AB33,2))))&lt;=DATE(2026,8,24),0,H33*0.0118*CEILING((IF(OR(AB33="",AB33=0),TODAY(),DATE(VALUE(RIGHT(AB33,4)),VALUE(MID(AB33,4,2)),VALUE(LEFT(AB33,2))))-DATE(2026,8,22))/7,1))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L33" s="137">
        <f>IF($A$2="",1,IF($A$2="(blank)",--(A33=""),IF($A$2="(nonblank)",--(A33&lt;&gt;""),--ISNUMBER(SEARCH($A$2,A33)))))</f>
      </c>
      <c r="AM33" s="137">
        <f>IF($B$2="",1,IF($B$2="(blank)",--(B33=""),IF($B$2="(nonblank)",--(B33&lt;&gt;""),--ISNUMBER(SEARCH($B$2,B33)))))</f>
      </c>
      <c r="AN33" s="137">
        <f>IF($C$2="",1,IF($C$2="(blank)",--(C33=""),IF($C$2="(nonblank)",--(C33&lt;&gt;""),--ISNUMBER(SEARCH($C$2,C33)))))</f>
      </c>
      <c r="AO33" s="137">
        <f>IF($D$2="",1,IF($D$2="(blank)",--(D33=""),IF($D$2="(nonblank)",--(D33&lt;&gt;""),--ISNUMBER(SEARCH($D$2,D33)))))</f>
      </c>
      <c r="AP33" s="137">
        <f>IF($E$2="",1,IF($E$2="(blank)",--(E33=""),IF($E$2="(nonblank)",--(E33&lt;&gt;""),--ISNUMBER(SEARCH($E$2,E33)))))</f>
      </c>
      <c r="AQ33" s="137">
        <f>IF($F$2="",1,IF($F$2="(blank)",--(F33=""),IF($F$2="(nonblank)",--(F33&lt;&gt;""),--ISNUMBER(SEARCH($F$2,F33)))))</f>
      </c>
      <c r="AR33" s="137">
        <f>IF($G$2="",1,IF($G$2="(blank)",--(G33=""),IF($G$2="(nonblank)",--(G33&lt;&gt;""),--ISNUMBER(SEARCH($G$2,G33)))))</f>
      </c>
      <c r="AS33" s="137">
        <f>IF($H$2="",1,IF($H$2="(blank)",--(H33=""),IF($H$2="(nonblank)",--(H33&lt;&gt;""),--ISNUMBER(SEARCH($H$2,H33)))))</f>
      </c>
      <c r="AT33" s="137">
        <f>IF($I$2="",1,IF($I$2="(blank)",--(I33=""),IF($I$2="(nonblank)",--(I33&lt;&gt;""),--ISNUMBER(SEARCH($I$2,I33)))))</f>
      </c>
      <c r="AU33" s="137">
        <f>IF($J$2="",1,IF($J$2="(blank)",--(J33=""),IF($J$2="(nonblank)",--(J33&lt;&gt;""),--ISNUMBER(SEARCH($J$2,J33)))))</f>
      </c>
      <c r="AV33" s="137">
        <f>IF($K$2="",1,IF($K$2="(blank)",--(K33=""),IF($K$2="(nonblank)",--(K33&lt;&gt;""),--ISNUMBER(SEARCH($K$2,K33)))))</f>
      </c>
      <c r="AW33" s="137">
        <f>IF($L$2="",1,IF($L$2="(blank)",--(L33=""),IF($L$2="(nonblank)",--(L33&lt;&gt;""),--ISNUMBER(SEARCH($L$2,L33)))))</f>
      </c>
      <c r="AX33" s="137">
        <f>IF($M$2="",1,IF($M$2="(blank)",--(M33=""),IF($M$2="(nonblank)",--(M33&lt;&gt;""),--ISNUMBER(SEARCH($M$2,M33)))))</f>
      </c>
      <c r="AY33" s="137">
        <f>IF($N$2="",1,IF($N$2="(blank)",--(N33=""),IF($N$2="(nonblank)",--(N33&lt;&gt;""),--ISNUMBER(SEARCH($N$2,N33)))))</f>
      </c>
      <c r="AZ33" s="137">
        <f>IF($O$2="",1,IF($O$2="(blank)",--(O33=""),IF($O$2="(nonblank)",--(O33&lt;&gt;""),--ISNUMBER(SEARCH($O$2,O33)))))</f>
      </c>
      <c r="BA33" s="137">
        <f>IF($P$2="",1,IF($P$2="(blank)",--(P33=""),IF($P$2="(nonblank)",--(P33&lt;&gt;""),--ISNUMBER(SEARCH($P$2,P33)))))</f>
      </c>
      <c r="BB33" s="137">
        <f>IF($Q$2="",1,IF($Q$2="(blank)",--(Q33=""),IF($Q$2="(nonblank)",--(Q33&lt;&gt;""),--ISNUMBER(SEARCH($Q$2,Q33)))))</f>
      </c>
      <c r="BC33" s="137">
        <f>IF($R$2="",1,IF($R$2="(blank)",--(R33=""),IF($R$2="(nonblank)",--(R33&lt;&gt;""),--ISNUMBER(SEARCH($R$2,R33)))))</f>
      </c>
      <c r="BD33" s="137">
        <f>IF($S$2="",1,IF($S$2="(blank)",--(S33=""),IF($S$2="(nonblank)",--(S33&lt;&gt;""),--ISNUMBER(SEARCH($S$2,S33)))))</f>
      </c>
      <c r="BE33" s="137">
        <f>IF($T$2="",1,IF($T$2="(blank)",--(T33=""),IF($T$2="(nonblank)",--(T33&lt;&gt;""),--ISNUMBER(SEARCH($T$2,T33)))))</f>
      </c>
      <c r="BF33" s="137">
        <f>IF($U$2="",1,IF($U$2="(blank)",--(U33=""),IF($U$2="(nonblank)",--(U33&lt;&gt;""),--ISNUMBER(SEARCH($U$2,U33)))))</f>
      </c>
      <c r="BG33" s="137">
        <f>IF($V$2="",1,IF($V$2="(blank)",--(V33=""),IF($V$2="(nonblank)",--(V33&lt;&gt;""),--ISNUMBER(SEARCH($V$2,V33)))))</f>
      </c>
      <c r="BH33" s="137">
        <f>IF($W$2="",1,IF($W$2="(blank)",--(W33=""),IF($W$2="(nonblank)",--(W33&lt;&gt;""),--ISNUMBER(SEARCH($W$2,W33)))))</f>
      </c>
      <c r="BI33" s="137">
        <f>IF($X$2="",1,IF($X$2="(blank)",--(X33=""),IF($X$2="(nonblank)",--(X33&lt;&gt;""),--ISNUMBER(SEARCH($X$2,X33)))))</f>
      </c>
      <c r="BJ33" s="137">
        <f>IF($Y$2="",1,IF($Y$2="(blank)",--(Y33=""),IF($Y$2="(nonblank)",--(Y33&lt;&gt;""),--ISNUMBER(SEARCH($Y$2,Y33)))))</f>
      </c>
      <c r="BK33" s="137">
        <f>IF($Z$2="",1,IF($Z$2="(blank)",--(Z33=""),IF($Z$2="(nonblank)",--(Z33&lt;&gt;""),--ISNUMBER(SEARCH($Z$2,Z33)))))</f>
      </c>
      <c r="BL33" s="137">
        <f>IF($AA$2="",1,IF($AA$2="(blank)",--(AA33=""),IF($AA$2="(nonblank)",--(AA33&lt;&gt;""),--ISNUMBER(SEARCH($AA$2,AA33)))))</f>
      </c>
      <c r="BM33" s="137">
        <f>IF($AB$2="",1,IF($AB$2="(blank)",--(AB33=""),IF($AB$2="(nonblank)",--(AB33&lt;&gt;""),--ISNUMBER(SEARCH($AB$2,AB33)))))</f>
      </c>
      <c r="BN33" s="137">
        <f>IF($AC$2="",1,IF($AC$2="(blank)",--(AC33=""),IF($AC$2="(nonblank)",--(AC33&lt;&gt;""),--ISNUMBER(SEARCH($AC$2,AC33)))))</f>
      </c>
      <c r="BO33" s="137">
        <f>IF($AD$2="",1,IF($AD$2="(blank)",--(AD33=""),IF($AD$2="(nonblank)",--(AD33&lt;&gt;""),--ISNUMBER(SEARCH($AD$2,AD33)))))</f>
      </c>
      <c r="BP33" s="137">
        <f>IF($AE$2="",1,IF($AE$2="(blank)",--(AE33=""),IF($AE$2="(nonblank)",--(AE33&lt;&gt;""),--ISNUMBER(SEARCH($AE$2,AE33)))))</f>
      </c>
      <c r="BQ33" s="137">
        <f>IF($AF$2="",1,IF($AF$2="(blank)",--(AF33=""),IF($AF$2="(nonblank)",--(AF33&lt;&gt;""),--ISNUMBER(SEARCH($AF$2,AF33)))))</f>
      </c>
      <c r="BR33" s="137">
        <f>IF($AG$2="",1,IF($AG$2="(blank)",--(AG33=""),IF($AG$2="(nonblank)",--(AG33&lt;&gt;""),--ISNUMBER(SEARCH($AG$2,AG33)))))</f>
      </c>
      <c r="BS33" s="137">
        <f>IF($AH$2="",1,IF($AH$2="(blank)",--(AH33=""),IF($AH$2="(nonblank)",--(AH33&lt;&gt;""),--ISNUMBER(SEARCH($AH$2,AH33)))))</f>
      </c>
      <c r="BT33" s="137">
        <f>IF(COUNTIF($AL33:$BS33,0)&gt;0,0,1)</f>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IF(IF(OR(AB34="",AB34=0),TODAY(),DATE(VALUE(RIGHT(AB34,4)),VALUE(MID(AB34,4,2)),VALUE(LEFT(AB34,2))))&lt;=DATE(2026,8,24),0,H34*0.0118*CEILING((IF(OR(AB34="",AB34=0),TODAY(),DATE(VALUE(RIGHT(AB34,4)),VALUE(MID(AB34,4,2)),VALUE(LEFT(AB34,2))))-DATE(2026,8,22))/7,1))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L34" s="137">
        <f>IF($A$2="",1,IF($A$2="(blank)",--(A34=""),IF($A$2="(nonblank)",--(A34&lt;&gt;""),--ISNUMBER(SEARCH($A$2,A34)))))</f>
      </c>
      <c r="AM34" s="137">
        <f>IF($B$2="",1,IF($B$2="(blank)",--(B34=""),IF($B$2="(nonblank)",--(B34&lt;&gt;""),--ISNUMBER(SEARCH($B$2,B34)))))</f>
      </c>
      <c r="AN34" s="137">
        <f>IF($C$2="",1,IF($C$2="(blank)",--(C34=""),IF($C$2="(nonblank)",--(C34&lt;&gt;""),--ISNUMBER(SEARCH($C$2,C34)))))</f>
      </c>
      <c r="AO34" s="137">
        <f>IF($D$2="",1,IF($D$2="(blank)",--(D34=""),IF($D$2="(nonblank)",--(D34&lt;&gt;""),--ISNUMBER(SEARCH($D$2,D34)))))</f>
      </c>
      <c r="AP34" s="137">
        <f>IF($E$2="",1,IF($E$2="(blank)",--(E34=""),IF($E$2="(nonblank)",--(E34&lt;&gt;""),--ISNUMBER(SEARCH($E$2,E34)))))</f>
      </c>
      <c r="AQ34" s="137">
        <f>IF($F$2="",1,IF($F$2="(blank)",--(F34=""),IF($F$2="(nonblank)",--(F34&lt;&gt;""),--ISNUMBER(SEARCH($F$2,F34)))))</f>
      </c>
      <c r="AR34" s="137">
        <f>IF($G$2="",1,IF($G$2="(blank)",--(G34=""),IF($G$2="(nonblank)",--(G34&lt;&gt;""),--ISNUMBER(SEARCH($G$2,G34)))))</f>
      </c>
      <c r="AS34" s="137">
        <f>IF($H$2="",1,IF($H$2="(blank)",--(H34=""),IF($H$2="(nonblank)",--(H34&lt;&gt;""),--ISNUMBER(SEARCH($H$2,H34)))))</f>
      </c>
      <c r="AT34" s="137">
        <f>IF($I$2="",1,IF($I$2="(blank)",--(I34=""),IF($I$2="(nonblank)",--(I34&lt;&gt;""),--ISNUMBER(SEARCH($I$2,I34)))))</f>
      </c>
      <c r="AU34" s="137">
        <f>IF($J$2="",1,IF($J$2="(blank)",--(J34=""),IF($J$2="(nonblank)",--(J34&lt;&gt;""),--ISNUMBER(SEARCH($J$2,J34)))))</f>
      </c>
      <c r="AV34" s="137">
        <f>IF($K$2="",1,IF($K$2="(blank)",--(K34=""),IF($K$2="(nonblank)",--(K34&lt;&gt;""),--ISNUMBER(SEARCH($K$2,K34)))))</f>
      </c>
      <c r="AW34" s="137">
        <f>IF($L$2="",1,IF($L$2="(blank)",--(L34=""),IF($L$2="(nonblank)",--(L34&lt;&gt;""),--ISNUMBER(SEARCH($L$2,L34)))))</f>
      </c>
      <c r="AX34" s="137">
        <f>IF($M$2="",1,IF($M$2="(blank)",--(M34=""),IF($M$2="(nonblank)",--(M34&lt;&gt;""),--ISNUMBER(SEARCH($M$2,M34)))))</f>
      </c>
      <c r="AY34" s="137">
        <f>IF($N$2="",1,IF($N$2="(blank)",--(N34=""),IF($N$2="(nonblank)",--(N34&lt;&gt;""),--ISNUMBER(SEARCH($N$2,N34)))))</f>
      </c>
      <c r="AZ34" s="137">
        <f>IF($O$2="",1,IF($O$2="(blank)",--(O34=""),IF($O$2="(nonblank)",--(O34&lt;&gt;""),--ISNUMBER(SEARCH($O$2,O34)))))</f>
      </c>
      <c r="BA34" s="137">
        <f>IF($P$2="",1,IF($P$2="(blank)",--(P34=""),IF($P$2="(nonblank)",--(P34&lt;&gt;""),--ISNUMBER(SEARCH($P$2,P34)))))</f>
      </c>
      <c r="BB34" s="137">
        <f>IF($Q$2="",1,IF($Q$2="(blank)",--(Q34=""),IF($Q$2="(nonblank)",--(Q34&lt;&gt;""),--ISNUMBER(SEARCH($Q$2,Q34)))))</f>
      </c>
      <c r="BC34" s="137">
        <f>IF($R$2="",1,IF($R$2="(blank)",--(R34=""),IF($R$2="(nonblank)",--(R34&lt;&gt;""),--ISNUMBER(SEARCH($R$2,R34)))))</f>
      </c>
      <c r="BD34" s="137">
        <f>IF($S$2="",1,IF($S$2="(blank)",--(S34=""),IF($S$2="(nonblank)",--(S34&lt;&gt;""),--ISNUMBER(SEARCH($S$2,S34)))))</f>
      </c>
      <c r="BE34" s="137">
        <f>IF($T$2="",1,IF($T$2="(blank)",--(T34=""),IF($T$2="(nonblank)",--(T34&lt;&gt;""),--ISNUMBER(SEARCH($T$2,T34)))))</f>
      </c>
      <c r="BF34" s="137">
        <f>IF($U$2="",1,IF($U$2="(blank)",--(U34=""),IF($U$2="(nonblank)",--(U34&lt;&gt;""),--ISNUMBER(SEARCH($U$2,U34)))))</f>
      </c>
      <c r="BG34" s="137">
        <f>IF($V$2="",1,IF($V$2="(blank)",--(V34=""),IF($V$2="(nonblank)",--(V34&lt;&gt;""),--ISNUMBER(SEARCH($V$2,V34)))))</f>
      </c>
      <c r="BH34" s="137">
        <f>IF($W$2="",1,IF($W$2="(blank)",--(W34=""),IF($W$2="(nonblank)",--(W34&lt;&gt;""),--ISNUMBER(SEARCH($W$2,W34)))))</f>
      </c>
      <c r="BI34" s="137">
        <f>IF($X$2="",1,IF($X$2="(blank)",--(X34=""),IF($X$2="(nonblank)",--(X34&lt;&gt;""),--ISNUMBER(SEARCH($X$2,X34)))))</f>
      </c>
      <c r="BJ34" s="137">
        <f>IF($Y$2="",1,IF($Y$2="(blank)",--(Y34=""),IF($Y$2="(nonblank)",--(Y34&lt;&gt;""),--ISNUMBER(SEARCH($Y$2,Y34)))))</f>
      </c>
      <c r="BK34" s="137">
        <f>IF($Z$2="",1,IF($Z$2="(blank)",--(Z34=""),IF($Z$2="(nonblank)",--(Z34&lt;&gt;""),--ISNUMBER(SEARCH($Z$2,Z34)))))</f>
      </c>
      <c r="BL34" s="137">
        <f>IF($AA$2="",1,IF($AA$2="(blank)",--(AA34=""),IF($AA$2="(nonblank)",--(AA34&lt;&gt;""),--ISNUMBER(SEARCH($AA$2,AA34)))))</f>
      </c>
      <c r="BM34" s="137">
        <f>IF($AB$2="",1,IF($AB$2="(blank)",--(AB34=""),IF($AB$2="(nonblank)",--(AB34&lt;&gt;""),--ISNUMBER(SEARCH($AB$2,AB34)))))</f>
      </c>
      <c r="BN34" s="137">
        <f>IF($AC$2="",1,IF($AC$2="(blank)",--(AC34=""),IF($AC$2="(nonblank)",--(AC34&lt;&gt;""),--ISNUMBER(SEARCH($AC$2,AC34)))))</f>
      </c>
      <c r="BO34" s="137">
        <f>IF($AD$2="",1,IF($AD$2="(blank)",--(AD34=""),IF($AD$2="(nonblank)",--(AD34&lt;&gt;""),--ISNUMBER(SEARCH($AD$2,AD34)))))</f>
      </c>
      <c r="BP34" s="137">
        <f>IF($AE$2="",1,IF($AE$2="(blank)",--(AE34=""),IF($AE$2="(nonblank)",--(AE34&lt;&gt;""),--ISNUMBER(SEARCH($AE$2,AE34)))))</f>
      </c>
      <c r="BQ34" s="137">
        <f>IF($AF$2="",1,IF($AF$2="(blank)",--(AF34=""),IF($AF$2="(nonblank)",--(AF34&lt;&gt;""),--ISNUMBER(SEARCH($AF$2,AF34)))))</f>
      </c>
      <c r="BR34" s="137">
        <f>IF($AG$2="",1,IF($AG$2="(blank)",--(AG34=""),IF($AG$2="(nonblank)",--(AG34&lt;&gt;""),--ISNUMBER(SEARCH($AG$2,AG34)))))</f>
      </c>
      <c r="BS34" s="137">
        <f>IF($AH$2="",1,IF($AH$2="(blank)",--(AH34=""),IF($AH$2="(nonblank)",--(AH34&lt;&gt;""),--ISNUMBER(SEARCH($AH$2,AH34)))))</f>
      </c>
      <c r="BT34" s="137">
        <f>IF(COUNTIF($AL34:$BS34,0)&gt;0,0,1)</f>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IF(IF(OR(AB35="",AB35=0),TODAY(),DATE(VALUE(RIGHT(AB35,4)),VALUE(MID(AB35,4,2)),VALUE(LEFT(AB35,2))))&lt;=DATE(2026,8,24),0,H35*0.0118*CEILING((IF(OR(AB35="",AB35=0),TODAY(),DATE(VALUE(RIGHT(AB35,4)),VALUE(MID(AB35,4,2)),VALUE(LEFT(AB35,2))))-DATE(2026,8,22))/7,1))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L35" s="137">
        <f>IF($A$2="",1,IF($A$2="(blank)",--(A35=""),IF($A$2="(nonblank)",--(A35&lt;&gt;""),--ISNUMBER(SEARCH($A$2,A35)))))</f>
      </c>
      <c r="AM35" s="137">
        <f>IF($B$2="",1,IF($B$2="(blank)",--(B35=""),IF($B$2="(nonblank)",--(B35&lt;&gt;""),--ISNUMBER(SEARCH($B$2,B35)))))</f>
      </c>
      <c r="AN35" s="137">
        <f>IF($C$2="",1,IF($C$2="(blank)",--(C35=""),IF($C$2="(nonblank)",--(C35&lt;&gt;""),--ISNUMBER(SEARCH($C$2,C35)))))</f>
      </c>
      <c r="AO35" s="137">
        <f>IF($D$2="",1,IF($D$2="(blank)",--(D35=""),IF($D$2="(nonblank)",--(D35&lt;&gt;""),--ISNUMBER(SEARCH($D$2,D35)))))</f>
      </c>
      <c r="AP35" s="137">
        <f>IF($E$2="",1,IF($E$2="(blank)",--(E35=""),IF($E$2="(nonblank)",--(E35&lt;&gt;""),--ISNUMBER(SEARCH($E$2,E35)))))</f>
      </c>
      <c r="AQ35" s="137">
        <f>IF($F$2="",1,IF($F$2="(blank)",--(F35=""),IF($F$2="(nonblank)",--(F35&lt;&gt;""),--ISNUMBER(SEARCH($F$2,F35)))))</f>
      </c>
      <c r="AR35" s="137">
        <f>IF($G$2="",1,IF($G$2="(blank)",--(G35=""),IF($G$2="(nonblank)",--(G35&lt;&gt;""),--ISNUMBER(SEARCH($G$2,G35)))))</f>
      </c>
      <c r="AS35" s="137">
        <f>IF($H$2="",1,IF($H$2="(blank)",--(H35=""),IF($H$2="(nonblank)",--(H35&lt;&gt;""),--ISNUMBER(SEARCH($H$2,H35)))))</f>
      </c>
      <c r="AT35" s="137">
        <f>IF($I$2="",1,IF($I$2="(blank)",--(I35=""),IF($I$2="(nonblank)",--(I35&lt;&gt;""),--ISNUMBER(SEARCH($I$2,I35)))))</f>
      </c>
      <c r="AU35" s="137">
        <f>IF($J$2="",1,IF($J$2="(blank)",--(J35=""),IF($J$2="(nonblank)",--(J35&lt;&gt;""),--ISNUMBER(SEARCH($J$2,J35)))))</f>
      </c>
      <c r="AV35" s="137">
        <f>IF($K$2="",1,IF($K$2="(blank)",--(K35=""),IF($K$2="(nonblank)",--(K35&lt;&gt;""),--ISNUMBER(SEARCH($K$2,K35)))))</f>
      </c>
      <c r="AW35" s="137">
        <f>IF($L$2="",1,IF($L$2="(blank)",--(L35=""),IF($L$2="(nonblank)",--(L35&lt;&gt;""),--ISNUMBER(SEARCH($L$2,L35)))))</f>
      </c>
      <c r="AX35" s="137">
        <f>IF($M$2="",1,IF($M$2="(blank)",--(M35=""),IF($M$2="(nonblank)",--(M35&lt;&gt;""),--ISNUMBER(SEARCH($M$2,M35)))))</f>
      </c>
      <c r="AY35" s="137">
        <f>IF($N$2="",1,IF($N$2="(blank)",--(N35=""),IF($N$2="(nonblank)",--(N35&lt;&gt;""),--ISNUMBER(SEARCH($N$2,N35)))))</f>
      </c>
      <c r="AZ35" s="137">
        <f>IF($O$2="",1,IF($O$2="(blank)",--(O35=""),IF($O$2="(nonblank)",--(O35&lt;&gt;""),--ISNUMBER(SEARCH($O$2,O35)))))</f>
      </c>
      <c r="BA35" s="137">
        <f>IF($P$2="",1,IF($P$2="(blank)",--(P35=""),IF($P$2="(nonblank)",--(P35&lt;&gt;""),--ISNUMBER(SEARCH($P$2,P35)))))</f>
      </c>
      <c r="BB35" s="137">
        <f>IF($Q$2="",1,IF($Q$2="(blank)",--(Q35=""),IF($Q$2="(nonblank)",--(Q35&lt;&gt;""),--ISNUMBER(SEARCH($Q$2,Q35)))))</f>
      </c>
      <c r="BC35" s="137">
        <f>IF($R$2="",1,IF($R$2="(blank)",--(R35=""),IF($R$2="(nonblank)",--(R35&lt;&gt;""),--ISNUMBER(SEARCH($R$2,R35)))))</f>
      </c>
      <c r="BD35" s="137">
        <f>IF($S$2="",1,IF($S$2="(blank)",--(S35=""),IF($S$2="(nonblank)",--(S35&lt;&gt;""),--ISNUMBER(SEARCH($S$2,S35)))))</f>
      </c>
      <c r="BE35" s="137">
        <f>IF($T$2="",1,IF($T$2="(blank)",--(T35=""),IF($T$2="(nonblank)",--(T35&lt;&gt;""),--ISNUMBER(SEARCH($T$2,T35)))))</f>
      </c>
      <c r="BF35" s="137">
        <f>IF($U$2="",1,IF($U$2="(blank)",--(U35=""),IF($U$2="(nonblank)",--(U35&lt;&gt;""),--ISNUMBER(SEARCH($U$2,U35)))))</f>
      </c>
      <c r="BG35" s="137">
        <f>IF($V$2="",1,IF($V$2="(blank)",--(V35=""),IF($V$2="(nonblank)",--(V35&lt;&gt;""),--ISNUMBER(SEARCH($V$2,V35)))))</f>
      </c>
      <c r="BH35" s="137">
        <f>IF($W$2="",1,IF($W$2="(blank)",--(W35=""),IF($W$2="(nonblank)",--(W35&lt;&gt;""),--ISNUMBER(SEARCH($W$2,W35)))))</f>
      </c>
      <c r="BI35" s="137">
        <f>IF($X$2="",1,IF($X$2="(blank)",--(X35=""),IF($X$2="(nonblank)",--(X35&lt;&gt;""),--ISNUMBER(SEARCH($X$2,X35)))))</f>
      </c>
      <c r="BJ35" s="137">
        <f>IF($Y$2="",1,IF($Y$2="(blank)",--(Y35=""),IF($Y$2="(nonblank)",--(Y35&lt;&gt;""),--ISNUMBER(SEARCH($Y$2,Y35)))))</f>
      </c>
      <c r="BK35" s="137">
        <f>IF($Z$2="",1,IF($Z$2="(blank)",--(Z35=""),IF($Z$2="(nonblank)",--(Z35&lt;&gt;""),--ISNUMBER(SEARCH($Z$2,Z35)))))</f>
      </c>
      <c r="BL35" s="137">
        <f>IF($AA$2="",1,IF($AA$2="(blank)",--(AA35=""),IF($AA$2="(nonblank)",--(AA35&lt;&gt;""),--ISNUMBER(SEARCH($AA$2,AA35)))))</f>
      </c>
      <c r="BM35" s="137">
        <f>IF($AB$2="",1,IF($AB$2="(blank)",--(AB35=""),IF($AB$2="(nonblank)",--(AB35&lt;&gt;""),--ISNUMBER(SEARCH($AB$2,AB35)))))</f>
      </c>
      <c r="BN35" s="137">
        <f>IF($AC$2="",1,IF($AC$2="(blank)",--(AC35=""),IF($AC$2="(nonblank)",--(AC35&lt;&gt;""),--ISNUMBER(SEARCH($AC$2,AC35)))))</f>
      </c>
      <c r="BO35" s="137">
        <f>IF($AD$2="",1,IF($AD$2="(blank)",--(AD35=""),IF($AD$2="(nonblank)",--(AD35&lt;&gt;""),--ISNUMBER(SEARCH($AD$2,AD35)))))</f>
      </c>
      <c r="BP35" s="137">
        <f>IF($AE$2="",1,IF($AE$2="(blank)",--(AE35=""),IF($AE$2="(nonblank)",--(AE35&lt;&gt;""),--ISNUMBER(SEARCH($AE$2,AE35)))))</f>
      </c>
      <c r="BQ35" s="137">
        <f>IF($AF$2="",1,IF($AF$2="(blank)",--(AF35=""),IF($AF$2="(nonblank)",--(AF35&lt;&gt;""),--ISNUMBER(SEARCH($AF$2,AF35)))))</f>
      </c>
      <c r="BR35" s="137">
        <f>IF($AG$2="",1,IF($AG$2="(blank)",--(AG35=""),IF($AG$2="(nonblank)",--(AG35&lt;&gt;""),--ISNUMBER(SEARCH($AG$2,AG35)))))</f>
      </c>
      <c r="BS35" s="137">
        <f>IF($AH$2="",1,IF($AH$2="(blank)",--(AH35=""),IF($AH$2="(nonblank)",--(AH35&lt;&gt;""),--ISNUMBER(SEARCH($AH$2,AH35)))))</f>
      </c>
      <c r="BT35" s="137">
        <f>IF(COUNTIF($AL35:$BS35,0)&gt;0,0,1)</f>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IF(IF(OR(AB36="",AB36=0),TODAY(),DATE(VALUE(RIGHT(AB36,4)),VALUE(MID(AB36,4,2)),VALUE(LEFT(AB36,2))))&lt;=DATE(2026,8,24),0,H36*0.0118*CEILING((IF(OR(AB36="",AB36=0),TODAY(),DATE(VALUE(RIGHT(AB36,4)),VALUE(MID(AB36,4,2)),VALUE(LEFT(AB36,2))))-DATE(2026,8,22))/7,1))</f>
        <v/>
      </c>
      <c r="AA36" s="28" t="n"/>
      <c r="AB36" s="28" t="n"/>
      <c r="AC36" s="15">
        <f>U36+X36+AA36</f>
        <v/>
      </c>
      <c r="AD36" s="19">
        <f>S36-AC36</f>
        <v/>
      </c>
      <c r="AE36" s="20">
        <f>IF(AD36="","",IF(AD36&lt;=5,"SETTLED","OUTSTANDING"))</f>
        <v/>
      </c>
      <c r="AF36" s="20" t="n"/>
      <c r="AG36" s="21" t="n"/>
      <c r="AH36" s="22" t="n"/>
      <c r="AL36" s="137">
        <f>IF($A$2="",1,IF($A$2="(blank)",--(A36=""),IF($A$2="(nonblank)",--(A36&lt;&gt;""),--ISNUMBER(SEARCH($A$2,A36)))))</f>
      </c>
      <c r="AM36" s="137">
        <f>IF($B$2="",1,IF($B$2="(blank)",--(B36=""),IF($B$2="(nonblank)",--(B36&lt;&gt;""),--ISNUMBER(SEARCH($B$2,B36)))))</f>
      </c>
      <c r="AN36" s="137">
        <f>IF($C$2="",1,IF($C$2="(blank)",--(C36=""),IF($C$2="(nonblank)",--(C36&lt;&gt;""),--ISNUMBER(SEARCH($C$2,C36)))))</f>
      </c>
      <c r="AO36" s="137">
        <f>IF($D$2="",1,IF($D$2="(blank)",--(D36=""),IF($D$2="(nonblank)",--(D36&lt;&gt;""),--ISNUMBER(SEARCH($D$2,D36)))))</f>
      </c>
      <c r="AP36" s="137">
        <f>IF($E$2="",1,IF($E$2="(blank)",--(E36=""),IF($E$2="(nonblank)",--(E36&lt;&gt;""),--ISNUMBER(SEARCH($E$2,E36)))))</f>
      </c>
      <c r="AQ36" s="137">
        <f>IF($F$2="",1,IF($F$2="(blank)",--(F36=""),IF($F$2="(nonblank)",--(F36&lt;&gt;""),--ISNUMBER(SEARCH($F$2,F36)))))</f>
      </c>
      <c r="AR36" s="137">
        <f>IF($G$2="",1,IF($G$2="(blank)",--(G36=""),IF($G$2="(nonblank)",--(G36&lt;&gt;""),--ISNUMBER(SEARCH($G$2,G36)))))</f>
      </c>
      <c r="AS36" s="137">
        <f>IF($H$2="",1,IF($H$2="(blank)",--(H36=""),IF($H$2="(nonblank)",--(H36&lt;&gt;""),--ISNUMBER(SEARCH($H$2,H36)))))</f>
      </c>
      <c r="AT36" s="137">
        <f>IF($I$2="",1,IF($I$2="(blank)",--(I36=""),IF($I$2="(nonblank)",--(I36&lt;&gt;""),--ISNUMBER(SEARCH($I$2,I36)))))</f>
      </c>
      <c r="AU36" s="137">
        <f>IF($J$2="",1,IF($J$2="(blank)",--(J36=""),IF($J$2="(nonblank)",--(J36&lt;&gt;""),--ISNUMBER(SEARCH($J$2,J36)))))</f>
      </c>
      <c r="AV36" s="137">
        <f>IF($K$2="",1,IF($K$2="(blank)",--(K36=""),IF($K$2="(nonblank)",--(K36&lt;&gt;""),--ISNUMBER(SEARCH($K$2,K36)))))</f>
      </c>
      <c r="AW36" s="137">
        <f>IF($L$2="",1,IF($L$2="(blank)",--(L36=""),IF($L$2="(nonblank)",--(L36&lt;&gt;""),--ISNUMBER(SEARCH($L$2,L36)))))</f>
      </c>
      <c r="AX36" s="137">
        <f>IF($M$2="",1,IF($M$2="(blank)",--(M36=""),IF($M$2="(nonblank)",--(M36&lt;&gt;""),--ISNUMBER(SEARCH($M$2,M36)))))</f>
      </c>
      <c r="AY36" s="137">
        <f>IF($N$2="",1,IF($N$2="(blank)",--(N36=""),IF($N$2="(nonblank)",--(N36&lt;&gt;""),--ISNUMBER(SEARCH($N$2,N36)))))</f>
      </c>
      <c r="AZ36" s="137">
        <f>IF($O$2="",1,IF($O$2="(blank)",--(O36=""),IF($O$2="(nonblank)",--(O36&lt;&gt;""),--ISNUMBER(SEARCH($O$2,O36)))))</f>
      </c>
      <c r="BA36" s="137">
        <f>IF($P$2="",1,IF($P$2="(blank)",--(P36=""),IF($P$2="(nonblank)",--(P36&lt;&gt;""),--ISNUMBER(SEARCH($P$2,P36)))))</f>
      </c>
      <c r="BB36" s="137">
        <f>IF($Q$2="",1,IF($Q$2="(blank)",--(Q36=""),IF($Q$2="(nonblank)",--(Q36&lt;&gt;""),--ISNUMBER(SEARCH($Q$2,Q36)))))</f>
      </c>
      <c r="BC36" s="137">
        <f>IF($R$2="",1,IF($R$2="(blank)",--(R36=""),IF($R$2="(nonblank)",--(R36&lt;&gt;""),--ISNUMBER(SEARCH($R$2,R36)))))</f>
      </c>
      <c r="BD36" s="137">
        <f>IF($S$2="",1,IF($S$2="(blank)",--(S36=""),IF($S$2="(nonblank)",--(S36&lt;&gt;""),--ISNUMBER(SEARCH($S$2,S36)))))</f>
      </c>
      <c r="BE36" s="137">
        <f>IF($T$2="",1,IF($T$2="(blank)",--(T36=""),IF($T$2="(nonblank)",--(T36&lt;&gt;""),--ISNUMBER(SEARCH($T$2,T36)))))</f>
      </c>
      <c r="BF36" s="137">
        <f>IF($U$2="",1,IF($U$2="(blank)",--(U36=""),IF($U$2="(nonblank)",--(U36&lt;&gt;""),--ISNUMBER(SEARCH($U$2,U36)))))</f>
      </c>
      <c r="BG36" s="137">
        <f>IF($V$2="",1,IF($V$2="(blank)",--(V36=""),IF($V$2="(nonblank)",--(V36&lt;&gt;""),--ISNUMBER(SEARCH($V$2,V36)))))</f>
      </c>
      <c r="BH36" s="137">
        <f>IF($W$2="",1,IF($W$2="(blank)",--(W36=""),IF($W$2="(nonblank)",--(W36&lt;&gt;""),--ISNUMBER(SEARCH($W$2,W36)))))</f>
      </c>
      <c r="BI36" s="137">
        <f>IF($X$2="",1,IF($X$2="(blank)",--(X36=""),IF($X$2="(nonblank)",--(X36&lt;&gt;""),--ISNUMBER(SEARCH($X$2,X36)))))</f>
      </c>
      <c r="BJ36" s="137">
        <f>IF($Y$2="",1,IF($Y$2="(blank)",--(Y36=""),IF($Y$2="(nonblank)",--(Y36&lt;&gt;""),--ISNUMBER(SEARCH($Y$2,Y36)))))</f>
      </c>
      <c r="BK36" s="137">
        <f>IF($Z$2="",1,IF($Z$2="(blank)",--(Z36=""),IF($Z$2="(nonblank)",--(Z36&lt;&gt;""),--ISNUMBER(SEARCH($Z$2,Z36)))))</f>
      </c>
      <c r="BL36" s="137">
        <f>IF($AA$2="",1,IF($AA$2="(blank)",--(AA36=""),IF($AA$2="(nonblank)",--(AA36&lt;&gt;""),--ISNUMBER(SEARCH($AA$2,AA36)))))</f>
      </c>
      <c r="BM36" s="137">
        <f>IF($AB$2="",1,IF($AB$2="(blank)",--(AB36=""),IF($AB$2="(nonblank)",--(AB36&lt;&gt;""),--ISNUMBER(SEARCH($AB$2,AB36)))))</f>
      </c>
      <c r="BN36" s="137">
        <f>IF($AC$2="",1,IF($AC$2="(blank)",--(AC36=""),IF($AC$2="(nonblank)",--(AC36&lt;&gt;""),--ISNUMBER(SEARCH($AC$2,AC36)))))</f>
      </c>
      <c r="BO36" s="137">
        <f>IF($AD$2="",1,IF($AD$2="(blank)",--(AD36=""),IF($AD$2="(nonblank)",--(AD36&lt;&gt;""),--ISNUMBER(SEARCH($AD$2,AD36)))))</f>
      </c>
      <c r="BP36" s="137">
        <f>IF($AE$2="",1,IF($AE$2="(blank)",--(AE36=""),IF($AE$2="(nonblank)",--(AE36&lt;&gt;""),--ISNUMBER(SEARCH($AE$2,AE36)))))</f>
      </c>
      <c r="BQ36" s="137">
        <f>IF($AF$2="",1,IF($AF$2="(blank)",--(AF36=""),IF($AF$2="(nonblank)",--(AF36&lt;&gt;""),--ISNUMBER(SEARCH($AF$2,AF36)))))</f>
      </c>
      <c r="BR36" s="137">
        <f>IF($AG$2="",1,IF($AG$2="(blank)",--(AG36=""),IF($AG$2="(nonblank)",--(AG36&lt;&gt;""),--ISNUMBER(SEARCH($AG$2,AG36)))))</f>
      </c>
      <c r="BS36" s="137">
        <f>IF($AH$2="",1,IF($AH$2="(blank)",--(AH36=""),IF($AH$2="(nonblank)",--(AH36&lt;&gt;""),--ISNUMBER(SEARCH($AH$2,AH36)))))</f>
      </c>
      <c r="BT36" s="137">
        <f>IF(COUNTIF($AL36:$BS36,0)&gt;0,0,1)</f>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IF(IF(OR(AB37="",AB37=0),TODAY(),DATE(VALUE(RIGHT(AB37,4)),VALUE(MID(AB37,4,2)),VALUE(LEFT(AB37,2))))&lt;=DATE(2026,8,24),0,H37*0.0118*CEILING((IF(OR(AB37="",AB37=0),TODAY(),DATE(VALUE(RIGHT(AB37,4)),VALUE(MID(AB37,4,2)),VALUE(LEFT(AB37,2))))-DATE(2026,8,22))/7,1))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L37" s="137">
        <f>IF($A$2="",1,IF($A$2="(blank)",--(A37=""),IF($A$2="(nonblank)",--(A37&lt;&gt;""),--ISNUMBER(SEARCH($A$2,A37)))))</f>
      </c>
      <c r="AM37" s="137">
        <f>IF($B$2="",1,IF($B$2="(blank)",--(B37=""),IF($B$2="(nonblank)",--(B37&lt;&gt;""),--ISNUMBER(SEARCH($B$2,B37)))))</f>
      </c>
      <c r="AN37" s="137">
        <f>IF($C$2="",1,IF($C$2="(blank)",--(C37=""),IF($C$2="(nonblank)",--(C37&lt;&gt;""),--ISNUMBER(SEARCH($C$2,C37)))))</f>
      </c>
      <c r="AO37" s="137">
        <f>IF($D$2="",1,IF($D$2="(blank)",--(D37=""),IF($D$2="(nonblank)",--(D37&lt;&gt;""),--ISNUMBER(SEARCH($D$2,D37)))))</f>
      </c>
      <c r="AP37" s="137">
        <f>IF($E$2="",1,IF($E$2="(blank)",--(E37=""),IF($E$2="(nonblank)",--(E37&lt;&gt;""),--ISNUMBER(SEARCH($E$2,E37)))))</f>
      </c>
      <c r="AQ37" s="137">
        <f>IF($F$2="",1,IF($F$2="(blank)",--(F37=""),IF($F$2="(nonblank)",--(F37&lt;&gt;""),--ISNUMBER(SEARCH($F$2,F37)))))</f>
      </c>
      <c r="AR37" s="137">
        <f>IF($G$2="",1,IF($G$2="(blank)",--(G37=""),IF($G$2="(nonblank)",--(G37&lt;&gt;""),--ISNUMBER(SEARCH($G$2,G37)))))</f>
      </c>
      <c r="AS37" s="137">
        <f>IF($H$2="",1,IF($H$2="(blank)",--(H37=""),IF($H$2="(nonblank)",--(H37&lt;&gt;""),--ISNUMBER(SEARCH($H$2,H37)))))</f>
      </c>
      <c r="AT37" s="137">
        <f>IF($I$2="",1,IF($I$2="(blank)",--(I37=""),IF($I$2="(nonblank)",--(I37&lt;&gt;""),--ISNUMBER(SEARCH($I$2,I37)))))</f>
      </c>
      <c r="AU37" s="137">
        <f>IF($J$2="",1,IF($J$2="(blank)",--(J37=""),IF($J$2="(nonblank)",--(J37&lt;&gt;""),--ISNUMBER(SEARCH($J$2,J37)))))</f>
      </c>
      <c r="AV37" s="137">
        <f>IF($K$2="",1,IF($K$2="(blank)",--(K37=""),IF($K$2="(nonblank)",--(K37&lt;&gt;""),--ISNUMBER(SEARCH($K$2,K37)))))</f>
      </c>
      <c r="AW37" s="137">
        <f>IF($L$2="",1,IF($L$2="(blank)",--(L37=""),IF($L$2="(nonblank)",--(L37&lt;&gt;""),--ISNUMBER(SEARCH($L$2,L37)))))</f>
      </c>
      <c r="AX37" s="137">
        <f>IF($M$2="",1,IF($M$2="(blank)",--(M37=""),IF($M$2="(nonblank)",--(M37&lt;&gt;""),--ISNUMBER(SEARCH($M$2,M37)))))</f>
      </c>
      <c r="AY37" s="137">
        <f>IF($N$2="",1,IF($N$2="(blank)",--(N37=""),IF($N$2="(nonblank)",--(N37&lt;&gt;""),--ISNUMBER(SEARCH($N$2,N37)))))</f>
      </c>
      <c r="AZ37" s="137">
        <f>IF($O$2="",1,IF($O$2="(blank)",--(O37=""),IF($O$2="(nonblank)",--(O37&lt;&gt;""),--ISNUMBER(SEARCH($O$2,O37)))))</f>
      </c>
      <c r="BA37" s="137">
        <f>IF($P$2="",1,IF($P$2="(blank)",--(P37=""),IF($P$2="(nonblank)",--(P37&lt;&gt;""),--ISNUMBER(SEARCH($P$2,P37)))))</f>
      </c>
      <c r="BB37" s="137">
        <f>IF($Q$2="",1,IF($Q$2="(blank)",--(Q37=""),IF($Q$2="(nonblank)",--(Q37&lt;&gt;""),--ISNUMBER(SEARCH($Q$2,Q37)))))</f>
      </c>
      <c r="BC37" s="137">
        <f>IF($R$2="",1,IF($R$2="(blank)",--(R37=""),IF($R$2="(nonblank)",--(R37&lt;&gt;""),--ISNUMBER(SEARCH($R$2,R37)))))</f>
      </c>
      <c r="BD37" s="137">
        <f>IF($S$2="",1,IF($S$2="(blank)",--(S37=""),IF($S$2="(nonblank)",--(S37&lt;&gt;""),--ISNUMBER(SEARCH($S$2,S37)))))</f>
      </c>
      <c r="BE37" s="137">
        <f>IF($T$2="",1,IF($T$2="(blank)",--(T37=""),IF($T$2="(nonblank)",--(T37&lt;&gt;""),--ISNUMBER(SEARCH($T$2,T37)))))</f>
      </c>
      <c r="BF37" s="137">
        <f>IF($U$2="",1,IF($U$2="(blank)",--(U37=""),IF($U$2="(nonblank)",--(U37&lt;&gt;""),--ISNUMBER(SEARCH($U$2,U37)))))</f>
      </c>
      <c r="BG37" s="137">
        <f>IF($V$2="",1,IF($V$2="(blank)",--(V37=""),IF($V$2="(nonblank)",--(V37&lt;&gt;""),--ISNUMBER(SEARCH($V$2,V37)))))</f>
      </c>
      <c r="BH37" s="137">
        <f>IF($W$2="",1,IF($W$2="(blank)",--(W37=""),IF($W$2="(nonblank)",--(W37&lt;&gt;""),--ISNUMBER(SEARCH($W$2,W37)))))</f>
      </c>
      <c r="BI37" s="137">
        <f>IF($X$2="",1,IF($X$2="(blank)",--(X37=""),IF($X$2="(nonblank)",--(X37&lt;&gt;""),--ISNUMBER(SEARCH($X$2,X37)))))</f>
      </c>
      <c r="BJ37" s="137">
        <f>IF($Y$2="",1,IF($Y$2="(blank)",--(Y37=""),IF($Y$2="(nonblank)",--(Y37&lt;&gt;""),--ISNUMBER(SEARCH($Y$2,Y37)))))</f>
      </c>
      <c r="BK37" s="137">
        <f>IF($Z$2="",1,IF($Z$2="(blank)",--(Z37=""),IF($Z$2="(nonblank)",--(Z37&lt;&gt;""),--ISNUMBER(SEARCH($Z$2,Z37)))))</f>
      </c>
      <c r="BL37" s="137">
        <f>IF($AA$2="",1,IF($AA$2="(blank)",--(AA37=""),IF($AA$2="(nonblank)",--(AA37&lt;&gt;""),--ISNUMBER(SEARCH($AA$2,AA37)))))</f>
      </c>
      <c r="BM37" s="137">
        <f>IF($AB$2="",1,IF($AB$2="(blank)",--(AB37=""),IF($AB$2="(nonblank)",--(AB37&lt;&gt;""),--ISNUMBER(SEARCH($AB$2,AB37)))))</f>
      </c>
      <c r="BN37" s="137">
        <f>IF($AC$2="",1,IF($AC$2="(blank)",--(AC37=""),IF($AC$2="(nonblank)",--(AC37&lt;&gt;""),--ISNUMBER(SEARCH($AC$2,AC37)))))</f>
      </c>
      <c r="BO37" s="137">
        <f>IF($AD$2="",1,IF($AD$2="(blank)",--(AD37=""),IF($AD$2="(nonblank)",--(AD37&lt;&gt;""),--ISNUMBER(SEARCH($AD$2,AD37)))))</f>
      </c>
      <c r="BP37" s="137">
        <f>IF($AE$2="",1,IF($AE$2="(blank)",--(AE37=""),IF($AE$2="(nonblank)",--(AE37&lt;&gt;""),--ISNUMBER(SEARCH($AE$2,AE37)))))</f>
      </c>
      <c r="BQ37" s="137">
        <f>IF($AF$2="",1,IF($AF$2="(blank)",--(AF37=""),IF($AF$2="(nonblank)",--(AF37&lt;&gt;""),--ISNUMBER(SEARCH($AF$2,AF37)))))</f>
      </c>
      <c r="BR37" s="137">
        <f>IF($AG$2="",1,IF($AG$2="(blank)",--(AG37=""),IF($AG$2="(nonblank)",--(AG37&lt;&gt;""),--ISNUMBER(SEARCH($AG$2,AG37)))))</f>
      </c>
      <c r="BS37" s="137">
        <f>IF($AH$2="",1,IF($AH$2="(blank)",--(AH37=""),IF($AH$2="(nonblank)",--(AH37&lt;&gt;""),--ISNUMBER(SEARCH($AH$2,AH37)))))</f>
      </c>
      <c r="BT37" s="137">
        <f>IF(COUNTIF($AL37:$BS37,0)&gt;0,0,1)</f>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IF(IF(OR(AB38="",AB38=0),TODAY(),DATE(VALUE(RIGHT(AB38,4)),VALUE(MID(AB38,4,2)),VALUE(LEFT(AB38,2))))&lt;=DATE(2026,8,24),0,H38*0.0118*CEILING((IF(OR(AB38="",AB38=0),TODAY(),DATE(VALUE(RIGHT(AB38,4)),VALUE(MID(AB38,4,2)),VALUE(LEFT(AB38,2))))-DATE(2026,8,22))/7,1))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L38" s="137">
        <f>IF($A$2="",1,IF($A$2="(blank)",--(A38=""),IF($A$2="(nonblank)",--(A38&lt;&gt;""),--ISNUMBER(SEARCH($A$2,A38)))))</f>
      </c>
      <c r="AM38" s="137">
        <f>IF($B$2="",1,IF($B$2="(blank)",--(B38=""),IF($B$2="(nonblank)",--(B38&lt;&gt;""),--ISNUMBER(SEARCH($B$2,B38)))))</f>
      </c>
      <c r="AN38" s="137">
        <f>IF($C$2="",1,IF($C$2="(blank)",--(C38=""),IF($C$2="(nonblank)",--(C38&lt;&gt;""),--ISNUMBER(SEARCH($C$2,C38)))))</f>
      </c>
      <c r="AO38" s="137">
        <f>IF($D$2="",1,IF($D$2="(blank)",--(D38=""),IF($D$2="(nonblank)",--(D38&lt;&gt;""),--ISNUMBER(SEARCH($D$2,D38)))))</f>
      </c>
      <c r="AP38" s="137">
        <f>IF($E$2="",1,IF($E$2="(blank)",--(E38=""),IF($E$2="(nonblank)",--(E38&lt;&gt;""),--ISNUMBER(SEARCH($E$2,E38)))))</f>
      </c>
      <c r="AQ38" s="137">
        <f>IF($F$2="",1,IF($F$2="(blank)",--(F38=""),IF($F$2="(nonblank)",--(F38&lt;&gt;""),--ISNUMBER(SEARCH($F$2,F38)))))</f>
      </c>
      <c r="AR38" s="137">
        <f>IF($G$2="",1,IF($G$2="(blank)",--(G38=""),IF($G$2="(nonblank)",--(G38&lt;&gt;""),--ISNUMBER(SEARCH($G$2,G38)))))</f>
      </c>
      <c r="AS38" s="137">
        <f>IF($H$2="",1,IF($H$2="(blank)",--(H38=""),IF($H$2="(nonblank)",--(H38&lt;&gt;""),--ISNUMBER(SEARCH($H$2,H38)))))</f>
      </c>
      <c r="AT38" s="137">
        <f>IF($I$2="",1,IF($I$2="(blank)",--(I38=""),IF($I$2="(nonblank)",--(I38&lt;&gt;""),--ISNUMBER(SEARCH($I$2,I38)))))</f>
      </c>
      <c r="AU38" s="137">
        <f>IF($J$2="",1,IF($J$2="(blank)",--(J38=""),IF($J$2="(nonblank)",--(J38&lt;&gt;""),--ISNUMBER(SEARCH($J$2,J38)))))</f>
      </c>
      <c r="AV38" s="137">
        <f>IF($K$2="",1,IF($K$2="(blank)",--(K38=""),IF($K$2="(nonblank)",--(K38&lt;&gt;""),--ISNUMBER(SEARCH($K$2,K38)))))</f>
      </c>
      <c r="AW38" s="137">
        <f>IF($L$2="",1,IF($L$2="(blank)",--(L38=""),IF($L$2="(nonblank)",--(L38&lt;&gt;""),--ISNUMBER(SEARCH($L$2,L38)))))</f>
      </c>
      <c r="AX38" s="137">
        <f>IF($M$2="",1,IF($M$2="(blank)",--(M38=""),IF($M$2="(nonblank)",--(M38&lt;&gt;""),--ISNUMBER(SEARCH($M$2,M38)))))</f>
      </c>
      <c r="AY38" s="137">
        <f>IF($N$2="",1,IF($N$2="(blank)",--(N38=""),IF($N$2="(nonblank)",--(N38&lt;&gt;""),--ISNUMBER(SEARCH($N$2,N38)))))</f>
      </c>
      <c r="AZ38" s="137">
        <f>IF($O$2="",1,IF($O$2="(blank)",--(O38=""),IF($O$2="(nonblank)",--(O38&lt;&gt;""),--ISNUMBER(SEARCH($O$2,O38)))))</f>
      </c>
      <c r="BA38" s="137">
        <f>IF($P$2="",1,IF($P$2="(blank)",--(P38=""),IF($P$2="(nonblank)",--(P38&lt;&gt;""),--ISNUMBER(SEARCH($P$2,P38)))))</f>
      </c>
      <c r="BB38" s="137">
        <f>IF($Q$2="",1,IF($Q$2="(blank)",--(Q38=""),IF($Q$2="(nonblank)",--(Q38&lt;&gt;""),--ISNUMBER(SEARCH($Q$2,Q38)))))</f>
      </c>
      <c r="BC38" s="137">
        <f>IF($R$2="",1,IF($R$2="(blank)",--(R38=""),IF($R$2="(nonblank)",--(R38&lt;&gt;""),--ISNUMBER(SEARCH($R$2,R38)))))</f>
      </c>
      <c r="BD38" s="137">
        <f>IF($S$2="",1,IF($S$2="(blank)",--(S38=""),IF($S$2="(nonblank)",--(S38&lt;&gt;""),--ISNUMBER(SEARCH($S$2,S38)))))</f>
      </c>
      <c r="BE38" s="137">
        <f>IF($T$2="",1,IF($T$2="(blank)",--(T38=""),IF($T$2="(nonblank)",--(T38&lt;&gt;""),--ISNUMBER(SEARCH($T$2,T38)))))</f>
      </c>
      <c r="BF38" s="137">
        <f>IF($U$2="",1,IF($U$2="(blank)",--(U38=""),IF($U$2="(nonblank)",--(U38&lt;&gt;""),--ISNUMBER(SEARCH($U$2,U38)))))</f>
      </c>
      <c r="BG38" s="137">
        <f>IF($V$2="",1,IF($V$2="(blank)",--(V38=""),IF($V$2="(nonblank)",--(V38&lt;&gt;""),--ISNUMBER(SEARCH($V$2,V38)))))</f>
      </c>
      <c r="BH38" s="137">
        <f>IF($W$2="",1,IF($W$2="(blank)",--(W38=""),IF($W$2="(nonblank)",--(W38&lt;&gt;""),--ISNUMBER(SEARCH($W$2,W38)))))</f>
      </c>
      <c r="BI38" s="137">
        <f>IF($X$2="",1,IF($X$2="(blank)",--(X38=""),IF($X$2="(nonblank)",--(X38&lt;&gt;""),--ISNUMBER(SEARCH($X$2,X38)))))</f>
      </c>
      <c r="BJ38" s="137">
        <f>IF($Y$2="",1,IF($Y$2="(blank)",--(Y38=""),IF($Y$2="(nonblank)",--(Y38&lt;&gt;""),--ISNUMBER(SEARCH($Y$2,Y38)))))</f>
      </c>
      <c r="BK38" s="137">
        <f>IF($Z$2="",1,IF($Z$2="(blank)",--(Z38=""),IF($Z$2="(nonblank)",--(Z38&lt;&gt;""),--ISNUMBER(SEARCH($Z$2,Z38)))))</f>
      </c>
      <c r="BL38" s="137">
        <f>IF($AA$2="",1,IF($AA$2="(blank)",--(AA38=""),IF($AA$2="(nonblank)",--(AA38&lt;&gt;""),--ISNUMBER(SEARCH($AA$2,AA38)))))</f>
      </c>
      <c r="BM38" s="137">
        <f>IF($AB$2="",1,IF($AB$2="(blank)",--(AB38=""),IF($AB$2="(nonblank)",--(AB38&lt;&gt;""),--ISNUMBER(SEARCH($AB$2,AB38)))))</f>
      </c>
      <c r="BN38" s="137">
        <f>IF($AC$2="",1,IF($AC$2="(blank)",--(AC38=""),IF($AC$2="(nonblank)",--(AC38&lt;&gt;""),--ISNUMBER(SEARCH($AC$2,AC38)))))</f>
      </c>
      <c r="BO38" s="137">
        <f>IF($AD$2="",1,IF($AD$2="(blank)",--(AD38=""),IF($AD$2="(nonblank)",--(AD38&lt;&gt;""),--ISNUMBER(SEARCH($AD$2,AD38)))))</f>
      </c>
      <c r="BP38" s="137">
        <f>IF($AE$2="",1,IF($AE$2="(blank)",--(AE38=""),IF($AE$2="(nonblank)",--(AE38&lt;&gt;""),--ISNUMBER(SEARCH($AE$2,AE38)))))</f>
      </c>
      <c r="BQ38" s="137">
        <f>IF($AF$2="",1,IF($AF$2="(blank)",--(AF38=""),IF($AF$2="(nonblank)",--(AF38&lt;&gt;""),--ISNUMBER(SEARCH($AF$2,AF38)))))</f>
      </c>
      <c r="BR38" s="137">
        <f>IF($AG$2="",1,IF($AG$2="(blank)",--(AG38=""),IF($AG$2="(nonblank)",--(AG38&lt;&gt;""),--ISNUMBER(SEARCH($AG$2,AG38)))))</f>
      </c>
      <c r="BS38" s="137">
        <f>IF($AH$2="",1,IF($AH$2="(blank)",--(AH38=""),IF($AH$2="(nonblank)",--(AH38&lt;&gt;""),--ISNUMBER(SEARCH($AH$2,AH38)))))</f>
      </c>
      <c r="BT38" s="137">
        <f>IF(COUNTIF($AL38:$BS38,0)&gt;0,0,1)</f>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IF(IF(OR(AB39="",AB39=0),TODAY(),DATE(VALUE(RIGHT(AB39,4)),VALUE(MID(AB39,4,2)),VALUE(LEFT(AB39,2))))&lt;=DATE(2026,8,24),0,H39*0.0118*CEILING((IF(OR(AB39="",AB39=0),TODAY(),DATE(VALUE(RIGHT(AB39,4)),VALUE(MID(AB39,4,2)),VALUE(LEFT(AB39,2))))-DATE(2026,8,22))/7,1))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L39" s="137">
        <f>IF($A$2="",1,IF($A$2="(blank)",--(A39=""),IF($A$2="(nonblank)",--(A39&lt;&gt;""),--ISNUMBER(SEARCH($A$2,A39)))))</f>
      </c>
      <c r="AM39" s="137">
        <f>IF($B$2="",1,IF($B$2="(blank)",--(B39=""),IF($B$2="(nonblank)",--(B39&lt;&gt;""),--ISNUMBER(SEARCH($B$2,B39)))))</f>
      </c>
      <c r="AN39" s="137">
        <f>IF($C$2="",1,IF($C$2="(blank)",--(C39=""),IF($C$2="(nonblank)",--(C39&lt;&gt;""),--ISNUMBER(SEARCH($C$2,C39)))))</f>
      </c>
      <c r="AO39" s="137">
        <f>IF($D$2="",1,IF($D$2="(blank)",--(D39=""),IF($D$2="(nonblank)",--(D39&lt;&gt;""),--ISNUMBER(SEARCH($D$2,D39)))))</f>
      </c>
      <c r="AP39" s="137">
        <f>IF($E$2="",1,IF($E$2="(blank)",--(E39=""),IF($E$2="(nonblank)",--(E39&lt;&gt;""),--ISNUMBER(SEARCH($E$2,E39)))))</f>
      </c>
      <c r="AQ39" s="137">
        <f>IF($F$2="",1,IF($F$2="(blank)",--(F39=""),IF($F$2="(nonblank)",--(F39&lt;&gt;""),--ISNUMBER(SEARCH($F$2,F39)))))</f>
      </c>
      <c r="AR39" s="137">
        <f>IF($G$2="",1,IF($G$2="(blank)",--(G39=""),IF($G$2="(nonblank)",--(G39&lt;&gt;""),--ISNUMBER(SEARCH($G$2,G39)))))</f>
      </c>
      <c r="AS39" s="137">
        <f>IF($H$2="",1,IF($H$2="(blank)",--(H39=""),IF($H$2="(nonblank)",--(H39&lt;&gt;""),--ISNUMBER(SEARCH($H$2,H39)))))</f>
      </c>
      <c r="AT39" s="137">
        <f>IF($I$2="",1,IF($I$2="(blank)",--(I39=""),IF($I$2="(nonblank)",--(I39&lt;&gt;""),--ISNUMBER(SEARCH($I$2,I39)))))</f>
      </c>
      <c r="AU39" s="137">
        <f>IF($J$2="",1,IF($J$2="(blank)",--(J39=""),IF($J$2="(nonblank)",--(J39&lt;&gt;""),--ISNUMBER(SEARCH($J$2,J39)))))</f>
      </c>
      <c r="AV39" s="137">
        <f>IF($K$2="",1,IF($K$2="(blank)",--(K39=""),IF($K$2="(nonblank)",--(K39&lt;&gt;""),--ISNUMBER(SEARCH($K$2,K39)))))</f>
      </c>
      <c r="AW39" s="137">
        <f>IF($L$2="",1,IF($L$2="(blank)",--(L39=""),IF($L$2="(nonblank)",--(L39&lt;&gt;""),--ISNUMBER(SEARCH($L$2,L39)))))</f>
      </c>
      <c r="AX39" s="137">
        <f>IF($M$2="",1,IF($M$2="(blank)",--(M39=""),IF($M$2="(nonblank)",--(M39&lt;&gt;""),--ISNUMBER(SEARCH($M$2,M39)))))</f>
      </c>
      <c r="AY39" s="137">
        <f>IF($N$2="",1,IF($N$2="(blank)",--(N39=""),IF($N$2="(nonblank)",--(N39&lt;&gt;""),--ISNUMBER(SEARCH($N$2,N39)))))</f>
      </c>
      <c r="AZ39" s="137">
        <f>IF($O$2="",1,IF($O$2="(blank)",--(O39=""),IF($O$2="(nonblank)",--(O39&lt;&gt;""),--ISNUMBER(SEARCH($O$2,O39)))))</f>
      </c>
      <c r="BA39" s="137">
        <f>IF($P$2="",1,IF($P$2="(blank)",--(P39=""),IF($P$2="(nonblank)",--(P39&lt;&gt;""),--ISNUMBER(SEARCH($P$2,P39)))))</f>
      </c>
      <c r="BB39" s="137">
        <f>IF($Q$2="",1,IF($Q$2="(blank)",--(Q39=""),IF($Q$2="(nonblank)",--(Q39&lt;&gt;""),--ISNUMBER(SEARCH($Q$2,Q39)))))</f>
      </c>
      <c r="BC39" s="137">
        <f>IF($R$2="",1,IF($R$2="(blank)",--(R39=""),IF($R$2="(nonblank)",--(R39&lt;&gt;""),--ISNUMBER(SEARCH($R$2,R39)))))</f>
      </c>
      <c r="BD39" s="137">
        <f>IF($S$2="",1,IF($S$2="(blank)",--(S39=""),IF($S$2="(nonblank)",--(S39&lt;&gt;""),--ISNUMBER(SEARCH($S$2,S39)))))</f>
      </c>
      <c r="BE39" s="137">
        <f>IF($T$2="",1,IF($T$2="(blank)",--(T39=""),IF($T$2="(nonblank)",--(T39&lt;&gt;""),--ISNUMBER(SEARCH($T$2,T39)))))</f>
      </c>
      <c r="BF39" s="137">
        <f>IF($U$2="",1,IF($U$2="(blank)",--(U39=""),IF($U$2="(nonblank)",--(U39&lt;&gt;""),--ISNUMBER(SEARCH($U$2,U39)))))</f>
      </c>
      <c r="BG39" s="137">
        <f>IF($V$2="",1,IF($V$2="(blank)",--(V39=""),IF($V$2="(nonblank)",--(V39&lt;&gt;""),--ISNUMBER(SEARCH($V$2,V39)))))</f>
      </c>
      <c r="BH39" s="137">
        <f>IF($W$2="",1,IF($W$2="(blank)",--(W39=""),IF($W$2="(nonblank)",--(W39&lt;&gt;""),--ISNUMBER(SEARCH($W$2,W39)))))</f>
      </c>
      <c r="BI39" s="137">
        <f>IF($X$2="",1,IF($X$2="(blank)",--(X39=""),IF($X$2="(nonblank)",--(X39&lt;&gt;""),--ISNUMBER(SEARCH($X$2,X39)))))</f>
      </c>
      <c r="BJ39" s="137">
        <f>IF($Y$2="",1,IF($Y$2="(blank)",--(Y39=""),IF($Y$2="(nonblank)",--(Y39&lt;&gt;""),--ISNUMBER(SEARCH($Y$2,Y39)))))</f>
      </c>
      <c r="BK39" s="137">
        <f>IF($Z$2="",1,IF($Z$2="(blank)",--(Z39=""),IF($Z$2="(nonblank)",--(Z39&lt;&gt;""),--ISNUMBER(SEARCH($Z$2,Z39)))))</f>
      </c>
      <c r="BL39" s="137">
        <f>IF($AA$2="",1,IF($AA$2="(blank)",--(AA39=""),IF($AA$2="(nonblank)",--(AA39&lt;&gt;""),--ISNUMBER(SEARCH($AA$2,AA39)))))</f>
      </c>
      <c r="BM39" s="137">
        <f>IF($AB$2="",1,IF($AB$2="(blank)",--(AB39=""),IF($AB$2="(nonblank)",--(AB39&lt;&gt;""),--ISNUMBER(SEARCH($AB$2,AB39)))))</f>
      </c>
      <c r="BN39" s="137">
        <f>IF($AC$2="",1,IF($AC$2="(blank)",--(AC39=""),IF($AC$2="(nonblank)",--(AC39&lt;&gt;""),--ISNUMBER(SEARCH($AC$2,AC39)))))</f>
      </c>
      <c r="BO39" s="137">
        <f>IF($AD$2="",1,IF($AD$2="(blank)",--(AD39=""),IF($AD$2="(nonblank)",--(AD39&lt;&gt;""),--ISNUMBER(SEARCH($AD$2,AD39)))))</f>
      </c>
      <c r="BP39" s="137">
        <f>IF($AE$2="",1,IF($AE$2="(blank)",--(AE39=""),IF($AE$2="(nonblank)",--(AE39&lt;&gt;""),--ISNUMBER(SEARCH($AE$2,AE39)))))</f>
      </c>
      <c r="BQ39" s="137">
        <f>IF($AF$2="",1,IF($AF$2="(blank)",--(AF39=""),IF($AF$2="(nonblank)",--(AF39&lt;&gt;""),--ISNUMBER(SEARCH($AF$2,AF39)))))</f>
      </c>
      <c r="BR39" s="137">
        <f>IF($AG$2="",1,IF($AG$2="(blank)",--(AG39=""),IF($AG$2="(nonblank)",--(AG39&lt;&gt;""),--ISNUMBER(SEARCH($AG$2,AG39)))))</f>
      </c>
      <c r="BS39" s="137">
        <f>IF($AH$2="",1,IF($AH$2="(blank)",--(AH39=""),IF($AH$2="(nonblank)",--(AH39&lt;&gt;""),--ISNUMBER(SEARCH($AH$2,AH39)))))</f>
      </c>
      <c r="BT39" s="137">
        <f>IF(COUNTIF($AL39:$BS39,0)&gt;0,0,1)</f>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IF(IF(OR(AB40="",AB40=0),TODAY(),DATE(VALUE(RIGHT(AB40,4)),VALUE(MID(AB40,4,2)),VALUE(LEFT(AB40,2))))&lt;=DATE(2026,8,24),0,H40*0.0118*CEILING((IF(OR(AB40="",AB40=0),TODAY(),DATE(VALUE(RIGHT(AB40,4)),VALUE(MID(AB40,4,2)),VALUE(LEFT(AB40,2))))-DATE(2026,8,22))/7,1))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L40" s="137">
        <f>IF($A$2="",1,IF($A$2="(blank)",--(A40=""),IF($A$2="(nonblank)",--(A40&lt;&gt;""),--ISNUMBER(SEARCH($A$2,A40)))))</f>
      </c>
      <c r="AM40" s="137">
        <f>IF($B$2="",1,IF($B$2="(blank)",--(B40=""),IF($B$2="(nonblank)",--(B40&lt;&gt;""),--ISNUMBER(SEARCH($B$2,B40)))))</f>
      </c>
      <c r="AN40" s="137">
        <f>IF($C$2="",1,IF($C$2="(blank)",--(C40=""),IF($C$2="(nonblank)",--(C40&lt;&gt;""),--ISNUMBER(SEARCH($C$2,C40)))))</f>
      </c>
      <c r="AO40" s="137">
        <f>IF($D$2="",1,IF($D$2="(blank)",--(D40=""),IF($D$2="(nonblank)",--(D40&lt;&gt;""),--ISNUMBER(SEARCH($D$2,D40)))))</f>
      </c>
      <c r="AP40" s="137">
        <f>IF($E$2="",1,IF($E$2="(blank)",--(E40=""),IF($E$2="(nonblank)",--(E40&lt;&gt;""),--ISNUMBER(SEARCH($E$2,E40)))))</f>
      </c>
      <c r="AQ40" s="137">
        <f>IF($F$2="",1,IF($F$2="(blank)",--(F40=""),IF($F$2="(nonblank)",--(F40&lt;&gt;""),--ISNUMBER(SEARCH($F$2,F40)))))</f>
      </c>
      <c r="AR40" s="137">
        <f>IF($G$2="",1,IF($G$2="(blank)",--(G40=""),IF($G$2="(nonblank)",--(G40&lt;&gt;""),--ISNUMBER(SEARCH($G$2,G40)))))</f>
      </c>
      <c r="AS40" s="137">
        <f>IF($H$2="",1,IF($H$2="(blank)",--(H40=""),IF($H$2="(nonblank)",--(H40&lt;&gt;""),--ISNUMBER(SEARCH($H$2,H40)))))</f>
      </c>
      <c r="AT40" s="137">
        <f>IF($I$2="",1,IF($I$2="(blank)",--(I40=""),IF($I$2="(nonblank)",--(I40&lt;&gt;""),--ISNUMBER(SEARCH($I$2,I40)))))</f>
      </c>
      <c r="AU40" s="137">
        <f>IF($J$2="",1,IF($J$2="(blank)",--(J40=""),IF($J$2="(nonblank)",--(J40&lt;&gt;""),--ISNUMBER(SEARCH($J$2,J40)))))</f>
      </c>
      <c r="AV40" s="137">
        <f>IF($K$2="",1,IF($K$2="(blank)",--(K40=""),IF($K$2="(nonblank)",--(K40&lt;&gt;""),--ISNUMBER(SEARCH($K$2,K40)))))</f>
      </c>
      <c r="AW40" s="137">
        <f>IF($L$2="",1,IF($L$2="(blank)",--(L40=""),IF($L$2="(nonblank)",--(L40&lt;&gt;""),--ISNUMBER(SEARCH($L$2,L40)))))</f>
      </c>
      <c r="AX40" s="137">
        <f>IF($M$2="",1,IF($M$2="(blank)",--(M40=""),IF($M$2="(nonblank)",--(M40&lt;&gt;""),--ISNUMBER(SEARCH($M$2,M40)))))</f>
      </c>
      <c r="AY40" s="137">
        <f>IF($N$2="",1,IF($N$2="(blank)",--(N40=""),IF($N$2="(nonblank)",--(N40&lt;&gt;""),--ISNUMBER(SEARCH($N$2,N40)))))</f>
      </c>
      <c r="AZ40" s="137">
        <f>IF($O$2="",1,IF($O$2="(blank)",--(O40=""),IF($O$2="(nonblank)",--(O40&lt;&gt;""),--ISNUMBER(SEARCH($O$2,O40)))))</f>
      </c>
      <c r="BA40" s="137">
        <f>IF($P$2="",1,IF($P$2="(blank)",--(P40=""),IF($P$2="(nonblank)",--(P40&lt;&gt;""),--ISNUMBER(SEARCH($P$2,P40)))))</f>
      </c>
      <c r="BB40" s="137">
        <f>IF($Q$2="",1,IF($Q$2="(blank)",--(Q40=""),IF($Q$2="(nonblank)",--(Q40&lt;&gt;""),--ISNUMBER(SEARCH($Q$2,Q40)))))</f>
      </c>
      <c r="BC40" s="137">
        <f>IF($R$2="",1,IF($R$2="(blank)",--(R40=""),IF($R$2="(nonblank)",--(R40&lt;&gt;""),--ISNUMBER(SEARCH($R$2,R40)))))</f>
      </c>
      <c r="BD40" s="137">
        <f>IF($S$2="",1,IF($S$2="(blank)",--(S40=""),IF($S$2="(nonblank)",--(S40&lt;&gt;""),--ISNUMBER(SEARCH($S$2,S40)))))</f>
      </c>
      <c r="BE40" s="137">
        <f>IF($T$2="",1,IF($T$2="(blank)",--(T40=""),IF($T$2="(nonblank)",--(T40&lt;&gt;""),--ISNUMBER(SEARCH($T$2,T40)))))</f>
      </c>
      <c r="BF40" s="137">
        <f>IF($U$2="",1,IF($U$2="(blank)",--(U40=""),IF($U$2="(nonblank)",--(U40&lt;&gt;""),--ISNUMBER(SEARCH($U$2,U40)))))</f>
      </c>
      <c r="BG40" s="137">
        <f>IF($V$2="",1,IF($V$2="(blank)",--(V40=""),IF($V$2="(nonblank)",--(V40&lt;&gt;""),--ISNUMBER(SEARCH($V$2,V40)))))</f>
      </c>
      <c r="BH40" s="137">
        <f>IF($W$2="",1,IF($W$2="(blank)",--(W40=""),IF($W$2="(nonblank)",--(W40&lt;&gt;""),--ISNUMBER(SEARCH($W$2,W40)))))</f>
      </c>
      <c r="BI40" s="137">
        <f>IF($X$2="",1,IF($X$2="(blank)",--(X40=""),IF($X$2="(nonblank)",--(X40&lt;&gt;""),--ISNUMBER(SEARCH($X$2,X40)))))</f>
      </c>
      <c r="BJ40" s="137">
        <f>IF($Y$2="",1,IF($Y$2="(blank)",--(Y40=""),IF($Y$2="(nonblank)",--(Y40&lt;&gt;""),--ISNUMBER(SEARCH($Y$2,Y40)))))</f>
      </c>
      <c r="BK40" s="137">
        <f>IF($Z$2="",1,IF($Z$2="(blank)",--(Z40=""),IF($Z$2="(nonblank)",--(Z40&lt;&gt;""),--ISNUMBER(SEARCH($Z$2,Z40)))))</f>
      </c>
      <c r="BL40" s="137">
        <f>IF($AA$2="",1,IF($AA$2="(blank)",--(AA40=""),IF($AA$2="(nonblank)",--(AA40&lt;&gt;""),--ISNUMBER(SEARCH($AA$2,AA40)))))</f>
      </c>
      <c r="BM40" s="137">
        <f>IF($AB$2="",1,IF($AB$2="(blank)",--(AB40=""),IF($AB$2="(nonblank)",--(AB40&lt;&gt;""),--ISNUMBER(SEARCH($AB$2,AB40)))))</f>
      </c>
      <c r="BN40" s="137">
        <f>IF($AC$2="",1,IF($AC$2="(blank)",--(AC40=""),IF($AC$2="(nonblank)",--(AC40&lt;&gt;""),--ISNUMBER(SEARCH($AC$2,AC40)))))</f>
      </c>
      <c r="BO40" s="137">
        <f>IF($AD$2="",1,IF($AD$2="(blank)",--(AD40=""),IF($AD$2="(nonblank)",--(AD40&lt;&gt;""),--ISNUMBER(SEARCH($AD$2,AD40)))))</f>
      </c>
      <c r="BP40" s="137">
        <f>IF($AE$2="",1,IF($AE$2="(blank)",--(AE40=""),IF($AE$2="(nonblank)",--(AE40&lt;&gt;""),--ISNUMBER(SEARCH($AE$2,AE40)))))</f>
      </c>
      <c r="BQ40" s="137">
        <f>IF($AF$2="",1,IF($AF$2="(blank)",--(AF40=""),IF($AF$2="(nonblank)",--(AF40&lt;&gt;""),--ISNUMBER(SEARCH($AF$2,AF40)))))</f>
      </c>
      <c r="BR40" s="137">
        <f>IF($AG$2="",1,IF($AG$2="(blank)",--(AG40=""),IF($AG$2="(nonblank)",--(AG40&lt;&gt;""),--ISNUMBER(SEARCH($AG$2,AG40)))))</f>
      </c>
      <c r="BS40" s="137">
        <f>IF($AH$2="",1,IF($AH$2="(blank)",--(AH40=""),IF($AH$2="(nonblank)",--(AH40&lt;&gt;""),--ISNUMBER(SEARCH($AH$2,AH40)))))</f>
      </c>
      <c r="BT40" s="137">
        <f>IF(COUNTIF($AL40:$BS40,0)&gt;0,0,1)</f>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4:AH40">
    <cfRule type="expression" priority="1" dxfId="50">
      <formula>AND(COUNTIF($A$2:$AH$2,"&lt;&gt;")&gt;0,$BT4=0)</formula>
    </cfRule>
  </conditionalFormatting>
  <conditionalFormatting sqref="A4:A40">
    <cfRule type="expression" priority="2" dxfId="3">
      <formula>AND($A$2&lt;&gt;"",$AL4=1)</formula>
    </cfRule>
  </conditionalFormatting>
  <conditionalFormatting sqref="B4:B40">
    <cfRule type="expression" priority="3" dxfId="3">
      <formula>AND($B$2&lt;&gt;"",$AM4=1)</formula>
    </cfRule>
  </conditionalFormatting>
  <conditionalFormatting sqref="C4:C40">
    <cfRule type="expression" priority="4" dxfId="3">
      <formula>AND($C$2&lt;&gt;"",$AN4=1)</formula>
    </cfRule>
  </conditionalFormatting>
  <conditionalFormatting sqref="D4:D40">
    <cfRule type="expression" priority="5" dxfId="3">
      <formula>AND($D$2&lt;&gt;"",$AO4=1)</formula>
    </cfRule>
  </conditionalFormatting>
  <conditionalFormatting sqref="E4:E40">
    <cfRule type="expression" priority="6" dxfId="3">
      <formula>AND($E$2&lt;&gt;"",$AP4=1)</formula>
    </cfRule>
  </conditionalFormatting>
  <conditionalFormatting sqref="F4:F40">
    <cfRule type="expression" priority="7" dxfId="3">
      <formula>AND($F$2&lt;&gt;"",$AQ4=1)</formula>
    </cfRule>
  </conditionalFormatting>
  <conditionalFormatting sqref="G4:G40">
    <cfRule type="expression" priority="8" dxfId="3">
      <formula>AND($G$2&lt;&gt;"",$AR4=1)</formula>
    </cfRule>
  </conditionalFormatting>
  <conditionalFormatting sqref="H4:H40">
    <cfRule type="expression" priority="9" dxfId="3">
      <formula>AND($H$2&lt;&gt;"",$AS4=1)</formula>
    </cfRule>
  </conditionalFormatting>
  <conditionalFormatting sqref="I4:I40">
    <cfRule type="expression" priority="10" dxfId="3">
      <formula>AND($I$2&lt;&gt;"",$AT4=1)</formula>
    </cfRule>
  </conditionalFormatting>
  <conditionalFormatting sqref="J4:J40">
    <cfRule type="expression" priority="11" dxfId="3">
      <formula>AND($J$2&lt;&gt;"",$AU4=1)</formula>
    </cfRule>
  </conditionalFormatting>
  <conditionalFormatting sqref="K4:K40">
    <cfRule type="expression" priority="12" dxfId="3">
      <formula>AND($K$2&lt;&gt;"",$AV4=1)</formula>
    </cfRule>
  </conditionalFormatting>
  <conditionalFormatting sqref="L4:L40">
    <cfRule type="expression" priority="13" dxfId="3">
      <formula>AND($L$2&lt;&gt;"",$AW4=1)</formula>
    </cfRule>
  </conditionalFormatting>
  <conditionalFormatting sqref="M4:M40">
    <cfRule type="expression" priority="14" dxfId="3">
      <formula>AND($M$2&lt;&gt;"",$AX4=1)</formula>
    </cfRule>
  </conditionalFormatting>
  <conditionalFormatting sqref="N4:N40">
    <cfRule type="expression" priority="15" dxfId="3">
      <formula>AND($N$2&lt;&gt;"",$AY4=1)</formula>
    </cfRule>
  </conditionalFormatting>
  <conditionalFormatting sqref="O4:O40">
    <cfRule type="expression" priority="16" dxfId="3">
      <formula>AND($O$2&lt;&gt;"",$AZ4=1)</formula>
    </cfRule>
  </conditionalFormatting>
  <conditionalFormatting sqref="P4:P40">
    <cfRule type="expression" priority="17" dxfId="3">
      <formula>AND($P$2&lt;&gt;"",$BA4=1)</formula>
    </cfRule>
  </conditionalFormatting>
  <conditionalFormatting sqref="Q4:Q40">
    <cfRule type="expression" priority="18" dxfId="3">
      <formula>AND($Q$2&lt;&gt;"",$BB4=1)</formula>
    </cfRule>
  </conditionalFormatting>
  <conditionalFormatting sqref="R4:R40">
    <cfRule type="expression" priority="19" dxfId="3">
      <formula>AND($R$2&lt;&gt;"",$BC4=1)</formula>
    </cfRule>
  </conditionalFormatting>
  <conditionalFormatting sqref="S4:S40">
    <cfRule type="expression" priority="20" dxfId="3">
      <formula>AND($S$2&lt;&gt;"",$BD4=1)</formula>
    </cfRule>
  </conditionalFormatting>
  <conditionalFormatting sqref="T4:T40">
    <cfRule type="expression" priority="21" dxfId="3">
      <formula>AND($T$2&lt;&gt;"",$BE4=1)</formula>
    </cfRule>
  </conditionalFormatting>
  <conditionalFormatting sqref="U4:U40">
    <cfRule type="expression" priority="22" dxfId="3">
      <formula>AND($U$2&lt;&gt;"",$BF4=1)</formula>
    </cfRule>
  </conditionalFormatting>
  <conditionalFormatting sqref="V4:V40">
    <cfRule type="expression" priority="23" dxfId="3">
      <formula>AND($V$2&lt;&gt;"",$BG4=1)</formula>
    </cfRule>
  </conditionalFormatting>
  <conditionalFormatting sqref="W4:W40">
    <cfRule type="expression" priority="24" dxfId="3">
      <formula>AND($W$2&lt;&gt;"",$BH4=1)</formula>
    </cfRule>
  </conditionalFormatting>
  <conditionalFormatting sqref="X4:X40">
    <cfRule type="expression" priority="25" dxfId="3">
      <formula>AND($X$2&lt;&gt;"",$BI4=1)</formula>
    </cfRule>
  </conditionalFormatting>
  <conditionalFormatting sqref="Y4:Y40">
    <cfRule type="expression" priority="26" dxfId="3">
      <formula>AND($Y$2&lt;&gt;"",$BJ4=1)</formula>
    </cfRule>
  </conditionalFormatting>
  <conditionalFormatting sqref="Z4:Z40">
    <cfRule type="expression" priority="27" dxfId="3">
      <formula>AND($Z$2&lt;&gt;"",$BK4=1)</formula>
    </cfRule>
  </conditionalFormatting>
  <conditionalFormatting sqref="AA4:AA40">
    <cfRule type="expression" priority="28" dxfId="3">
      <formula>AND($AA$2&lt;&gt;"",$BL4=1)</formula>
    </cfRule>
  </conditionalFormatting>
  <conditionalFormatting sqref="AB4:AB40">
    <cfRule type="expression" priority="29" dxfId="3">
      <formula>AND($AB$2&lt;&gt;"",$BM4=1)</formula>
    </cfRule>
  </conditionalFormatting>
  <conditionalFormatting sqref="AC4:AC40">
    <cfRule type="expression" priority="30" dxfId="3">
      <formula>AND($AC$2&lt;&gt;"",$BN4=1)</formula>
    </cfRule>
  </conditionalFormatting>
  <conditionalFormatting sqref="AD4:AD40">
    <cfRule type="expression" priority="31" dxfId="3">
      <formula>AND($AD$2&lt;&gt;"",$BO4=1)</formula>
    </cfRule>
  </conditionalFormatting>
  <conditionalFormatting sqref="AE4:AE40">
    <cfRule type="expression" priority="32" dxfId="3">
      <formula>AND($AE$2&lt;&gt;"",$BP4=1)</formula>
    </cfRule>
  </conditionalFormatting>
  <conditionalFormatting sqref="AF4:AF40">
    <cfRule type="expression" priority="33" dxfId="3">
      <formula>AND($AF$2&lt;&gt;"",$BQ4=1)</formula>
    </cfRule>
  </conditionalFormatting>
  <conditionalFormatting sqref="AG4:AG40">
    <cfRule type="expression" priority="34" dxfId="3">
      <formula>AND($AG$2&lt;&gt;"",$BR4=1)</formula>
    </cfRule>
  </conditionalFormatting>
  <conditionalFormatting sqref="AH4:AH40">
    <cfRule type="expression" priority="35" dxfId="3">
      <formula>AND($AH$2&lt;&gt;"",$BS4=1)</formula>
    </cfRule>
  </conditionalFormatting>
  <conditionalFormatting sqref="AE4:AE41">
    <cfRule type="cellIs" priority="36" operator="equal" dxfId="51">
      <formula>"SETTLED"</formula>
    </cfRule>
    <cfRule type="cellIs" priority="37" operator="equal" dxfId="52">
      <formula>"OUTSTANDING"</formula>
    </cfRule>
  </conditionalFormatting>
  <conditionalFormatting sqref="AD4:AD41">
    <cfRule type="cellIs" priority="38" operator="greaterThan" dxfId="52">
      <formula>5</formula>
    </cfRule>
  </conditionalFormatting>
  <dataValidations count="34">
    <dataValidation sqref="A2" showDropDown="0" showInputMessage="0" showErrorMessage="0" allowBlank="0" type="list">
      <formula1>SUGF_A</formula1>
      <formula2>0</formula2>
    </dataValidation>
    <dataValidation sqref="B2" showDropDown="0" showInputMessage="0" showErrorMessage="0" allowBlank="0" type="list">
      <formula1>SUGF_B</formula1>
      <formula2>0</formula2>
    </dataValidation>
    <dataValidation sqref="C2" showDropDown="0" showInputMessage="0" showErrorMessage="0" allowBlank="0" type="list">
      <formula1>SUGF_C</formula1>
      <formula2>0</formula2>
    </dataValidation>
    <dataValidation sqref="D2" showDropDown="0" showInputMessage="0" showErrorMessage="0" allowBlank="0" type="list">
      <formula1>SUGF_D</formula1>
      <formula2>0</formula2>
    </dataValidation>
    <dataValidation sqref="E2" showDropDown="0" showInputMessage="0" showErrorMessage="0" allowBlank="0" type="list">
      <formula1>SUGF_E</formula1>
      <formula2>0</formula2>
    </dataValidation>
    <dataValidation sqref="F2" showDropDown="0" showInputMessage="0" showErrorMessage="0" allowBlank="0" type="list">
      <formula1>SUGF_F</formula1>
      <formula2>0</formula2>
    </dataValidation>
    <dataValidation sqref="G2" showDropDown="0" showInputMessage="0" showErrorMessage="0" allowBlank="0" type="list">
      <formula1>SUGF_G</formula1>
      <formula2>0</formula2>
    </dataValidation>
    <dataValidation sqref="H2" showDropDown="0" showInputMessage="0" showErrorMessage="0" allowBlank="0" type="list">
      <formula1>SUGF_H</formula1>
      <formula2>0</formula2>
    </dataValidation>
    <dataValidation sqref="I2" showDropDown="0" showInputMessage="0" showErrorMessage="0" allowBlank="0" type="list">
      <formula1>SUGF_I</formula1>
      <formula2>0</formula2>
    </dataValidation>
    <dataValidation sqref="J2" showDropDown="0" showInputMessage="0" showErrorMessage="0" allowBlank="0" type="list">
      <formula1>SUGF_J</formula1>
      <formula2>0</formula2>
    </dataValidation>
    <dataValidation sqref="K2" showDropDown="0" showInputMessage="0" showErrorMessage="0" allowBlank="0" type="list">
      <formula1>SUGF_K</formula1>
      <formula2>0</formula2>
    </dataValidation>
    <dataValidation sqref="L2" showDropDown="0" showInputMessage="0" showErrorMessage="0" allowBlank="0" type="list">
      <formula1>SUGF_L</formula1>
      <formula2>0</formula2>
    </dataValidation>
    <dataValidation sqref="M2" showDropDown="0" showInputMessage="0" showErrorMessage="0" allowBlank="0" type="list">
      <formula1>SUGF_M</formula1>
      <formula2>0</formula2>
    </dataValidation>
    <dataValidation sqref="N2" showDropDown="0" showInputMessage="0" showErrorMessage="0" allowBlank="0" type="list">
      <formula1>SUGF_N</formula1>
      <formula2>0</formula2>
    </dataValidation>
    <dataValidation sqref="O2" showDropDown="0" showInputMessage="0" showErrorMessage="0" allowBlank="0" type="list">
      <formula1>SUGF_O</formula1>
      <formula2>0</formula2>
    </dataValidation>
    <dataValidation sqref="P2" showDropDown="0" showInputMessage="0" showErrorMessage="0" allowBlank="0" type="list">
      <formula1>SUGF_P</formula1>
      <formula2>0</formula2>
    </dataValidation>
    <dataValidation sqref="Q2" showDropDown="0" showInputMessage="0" showErrorMessage="0" allowBlank="0" type="list">
      <formula1>SUGF_Q</formula1>
      <formula2>0</formula2>
    </dataValidation>
    <dataValidation sqref="R2" showDropDown="0" showInputMessage="0" showErrorMessage="0" allowBlank="0" type="list">
      <formula1>SUGF_R</formula1>
      <formula2>0</formula2>
    </dataValidation>
    <dataValidation sqref="S2" showDropDown="0" showInputMessage="0" showErrorMessage="0" allowBlank="0" type="list">
      <formula1>SUGF_S</formula1>
      <formula2>0</formula2>
    </dataValidation>
    <dataValidation sqref="T2" showDropDown="0" showInputMessage="0" showErrorMessage="0" allowBlank="0" type="list">
      <formula1>SUGF_T</formula1>
      <formula2>0</formula2>
    </dataValidation>
    <dataValidation sqref="U2" showDropDown="0" showInputMessage="0" showErrorMessage="0" allowBlank="0" type="list">
      <formula1>SUGF_U</formula1>
      <formula2>0</formula2>
    </dataValidation>
    <dataValidation sqref="V2" showDropDown="0" showInputMessage="0" showErrorMessage="0" allowBlank="0" type="list">
      <formula1>SUGF_V</formula1>
      <formula2>0</formula2>
    </dataValidation>
    <dataValidation sqref="W2" showDropDown="0" showInputMessage="0" showErrorMessage="0" allowBlank="0" type="list">
      <formula1>SUGF_W</formula1>
      <formula2>0</formula2>
    </dataValidation>
    <dataValidation sqref="X2" showDropDown="0" showInputMessage="0" showErrorMessage="0" allowBlank="0" type="list">
      <formula1>SUGF_X</formula1>
      <formula2>0</formula2>
    </dataValidation>
    <dataValidation sqref="Y2" showDropDown="0" showInputMessage="0" showErrorMessage="0" allowBlank="0" type="list">
      <formula1>SUGF_Y</formula1>
      <formula2>0</formula2>
    </dataValidation>
    <dataValidation sqref="Z2" showDropDown="0" showInputMessage="0" showErrorMessage="0" allowBlank="0" type="list">
      <formula1>SUGF_Z</formula1>
      <formula2>0</formula2>
    </dataValidation>
    <dataValidation sqref="AA2" showDropDown="0" showInputMessage="0" showErrorMessage="0" allowBlank="0" type="list">
      <formula1>SUGF_AA</formula1>
      <formula2>0</formula2>
    </dataValidation>
    <dataValidation sqref="AB2" showDropDown="0" showInputMessage="0" showErrorMessage="0" allowBlank="0" type="list">
      <formula1>SUGF_AB</formula1>
      <formula2>0</formula2>
    </dataValidation>
    <dataValidation sqref="AC2" showDropDown="0" showInputMessage="0" showErrorMessage="0" allowBlank="0" type="list">
      <formula1>SUGF_AC</formula1>
      <formula2>0</formula2>
    </dataValidation>
    <dataValidation sqref="AD2" showDropDown="0" showInputMessage="0" showErrorMessage="0" allowBlank="0" type="list">
      <formula1>SUGF_AD</formula1>
      <formula2>0</formula2>
    </dataValidation>
    <dataValidation sqref="AE2" showDropDown="0" showInputMessage="0" showErrorMessage="0" allowBlank="0" type="list">
      <formula1>SUGF_AE</formula1>
      <formula2>0</formula2>
    </dataValidation>
    <dataValidation sqref="AF2" showDropDown="0" showInputMessage="0" showErrorMessage="0" allowBlank="0" type="list">
      <formula1>SUGF_AF</formula1>
      <formula2>0</formula2>
    </dataValidation>
    <dataValidation sqref="AG2" showDropDown="0" showInputMessage="0" showErrorMessage="0" allowBlank="0" type="list">
      <formula1>SUGF_AG</formula1>
      <formula2>0</formula2>
    </dataValidation>
    <dataValidation sqref="AH2" showDropDown="0" showInputMessage="0" showErrorMessage="0" allowBlank="0" type="list">
      <formula1>SUGF_AH</formula1>
      <formula2>0</formula2>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CASCADING DROPDOWNS — every yellow column dropdown (A4:AI4) narrows to values still possible given your other search cells and the search box; pick a buyer and Lot No. only shows that buyer’s lots, and so on. Clear a cell to widen its list again. Buyer Groups has the same cascading behaviour on its SEARCH row.</t>
        </is>
      </c>
    </row>
    <row r="3" ht="30" customHeight="1" s="137">
      <c r="A3" s="59" t="inlineStr">
        <is>
          <t>🔍  SEARCH  ▸</t>
        </is>
      </c>
      <c r="B3" s="144" t="n"/>
      <c r="C3" s="60" t="inlineStr">
        <is>
          <t>BUYER 2  ▸</t>
        </is>
      </c>
      <c r="D3" s="61"/>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c r="CW3">
        <f>$C$4&amp;IF($D$3&lt;&gt;"",",","")&amp;$D$3</f>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IF($CW$3="",1,--(OR(SUMPRODUCT(--(TRIM(MID(SUBSTITUTE(SUBSTITUTE($CW$3,"/",","),",",REPT(" ",99)),(ROW($1:$8)-1)*99+1,99))&lt;&gt;""),--ISNUMBER(SEARCH(TRIM(MID(SUBSTITUTE(SUBSTITUTE($CW$3,"/",","),",",REPT(" ",99)),(ROW($1:$8)-1)*99+1,99)),IFERROR(('Final Calculation Sheet'!$G$4)&amp;"",""))))&gt;0,AND(ISNUMBER(SEARCH("blank",$CW$3)),NOT(ISNUMBER(SEARCH("nonblank",$CW$3))),IFERROR(('Final Calculation Sheet'!$G$4)&amp;"","")=""),AND(OR(ISNUMBER(SEARCH("nonblank",$CW$3)),ISNUMBER(SEARCH("&lt;&gt;",$CW$3))),IFERROR(('Final Calculation Sheet'!$G$4)&amp;"","")&lt;&gt;""),AND(TRIM($CW$3)="",IFERROR(('Final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IF($CW$3="",1,--(OR(SUMPRODUCT(--(TRIM(MID(SUBSTITUTE(SUBSTITUTE($CW$3,"/",","),",",REPT(" ",99)),(ROW($1:$8)-1)*99+1,99))&lt;&gt;""),--ISNUMBER(SEARCH(TRIM(MID(SUBSTITUTE(SUBSTITUTE($CW$3,"/",","),",",REPT(" ",99)),(ROW($1:$8)-1)*99+1,99)),IFERROR(('Final Calculation Sheet'!$G$5)&amp;"",""))))&gt;0,AND(ISNUMBER(SEARCH("blank",$CW$3)),NOT(ISNUMBER(SEARCH("nonblank",$CW$3))),IFERROR(('Final Calculation Sheet'!$G$5)&amp;"","")=""),AND(OR(ISNUMBER(SEARCH("nonblank",$CW$3)),ISNUMBER(SEARCH("&lt;&gt;",$CW$3))),IFERROR(('Final Calculation Sheet'!$G$5)&amp;"","")&lt;&gt;""),AND(TRIM($CW$3)="",IFERROR(('Final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IF($CW$3="",1,--(OR(SUMPRODUCT(--(TRIM(MID(SUBSTITUTE(SUBSTITUTE($CW$3,"/",","),",",REPT(" ",99)),(ROW($1:$8)-1)*99+1,99))&lt;&gt;""),--ISNUMBER(SEARCH(TRIM(MID(SUBSTITUTE(SUBSTITUTE($CW$3,"/",","),",",REPT(" ",99)),(ROW($1:$8)-1)*99+1,99)),IFERROR(('Final Calculation Sheet'!$G$6)&amp;"",""))))&gt;0,AND(ISNUMBER(SEARCH("blank",$CW$3)),NOT(ISNUMBER(SEARCH("nonblank",$CW$3))),IFERROR(('Final Calculation Sheet'!$G$6)&amp;"","")=""),AND(OR(ISNUMBER(SEARCH("nonblank",$CW$3)),ISNUMBER(SEARCH("&lt;&gt;",$CW$3))),IFERROR(('Final Calculation Sheet'!$G$6)&amp;"","")&lt;&gt;""),AND(TRIM($CW$3)="",IFERROR(('Final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IF($CW$3="",1,--(OR(SUMPRODUCT(--(TRIM(MID(SUBSTITUTE(SUBSTITUTE($CW$3,"/",","),",",REPT(" ",99)),(ROW($1:$8)-1)*99+1,99))&lt;&gt;""),--ISNUMBER(SEARCH(TRIM(MID(SUBSTITUTE(SUBSTITUTE($CW$3,"/",","),",",REPT(" ",99)),(ROW($1:$8)-1)*99+1,99)),IFERROR(('Final Calculation Sheet'!$G$7)&amp;"",""))))&gt;0,AND(ISNUMBER(SEARCH("blank",$CW$3)),NOT(ISNUMBER(SEARCH("nonblank",$CW$3))),IFERROR(('Final Calculation Sheet'!$G$7)&amp;"","")=""),AND(OR(ISNUMBER(SEARCH("nonblank",$CW$3)),ISNUMBER(SEARCH("&lt;&gt;",$CW$3))),IFERROR(('Final Calculation Sheet'!$G$7)&amp;"","")&lt;&gt;""),AND(TRIM($CW$3)="",IFERROR(('Final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IF($CW$3="",1,--(OR(SUMPRODUCT(--(TRIM(MID(SUBSTITUTE(SUBSTITUTE($CW$3,"/",","),",",REPT(" ",99)),(ROW($1:$8)-1)*99+1,99))&lt;&gt;""),--ISNUMBER(SEARCH(TRIM(MID(SUBSTITUTE(SUBSTITUTE($CW$3,"/",","),",",REPT(" ",99)),(ROW($1:$8)-1)*99+1,99)),IFERROR(('Final Calculation Sheet'!$G$8)&amp;"",""))))&gt;0,AND(ISNUMBER(SEARCH("blank",$CW$3)),NOT(ISNUMBER(SEARCH("nonblank",$CW$3))),IFERROR(('Final Calculation Sheet'!$G$8)&amp;"","")=""),AND(OR(ISNUMBER(SEARCH("nonblank",$CW$3)),ISNUMBER(SEARCH("&lt;&gt;",$CW$3))),IFERROR(('Final Calculation Sheet'!$G$8)&amp;"","")&lt;&gt;""),AND(TRIM($CW$3)="",IFERROR(('Final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IF($CW$3="",1,--(OR(SUMPRODUCT(--(TRIM(MID(SUBSTITUTE(SUBSTITUTE($CW$3,"/",","),",",REPT(" ",99)),(ROW($1:$8)-1)*99+1,99))&lt;&gt;""),--ISNUMBER(SEARCH(TRIM(MID(SUBSTITUTE(SUBSTITUTE($CW$3,"/",","),",",REPT(" ",99)),(ROW($1:$8)-1)*99+1,99)),IFERROR(('Final Calculation Sheet'!$G$9)&amp;"",""))))&gt;0,AND(ISNUMBER(SEARCH("blank",$CW$3)),NOT(ISNUMBER(SEARCH("nonblank",$CW$3))),IFERROR(('Final Calculation Sheet'!$G$9)&amp;"","")=""),AND(OR(ISNUMBER(SEARCH("nonblank",$CW$3)),ISNUMBER(SEARCH("&lt;&gt;",$CW$3))),IFERROR(('Final Calculation Sheet'!$G$9)&amp;"","")&lt;&gt;""),AND(TRIM($CW$3)="",IFERROR(('Final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IF($CW$3="",1,--(OR(SUMPRODUCT(--(TRIM(MID(SUBSTITUTE(SUBSTITUTE($CW$3,"/",","),",",REPT(" ",99)),(ROW($1:$8)-1)*99+1,99))&lt;&gt;""),--ISNUMBER(SEARCH(TRIM(MID(SUBSTITUTE(SUBSTITUTE($CW$3,"/",","),",",REPT(" ",99)),(ROW($1:$8)-1)*99+1,99)),IFERROR(('Final Calculation Sheet'!$G$10)&amp;"",""))))&gt;0,AND(ISNUMBER(SEARCH("blank",$CW$3)),NOT(ISNUMBER(SEARCH("nonblank",$CW$3))),IFERROR(('Final Calculation Sheet'!$G$10)&amp;"","")=""),AND(OR(ISNUMBER(SEARCH("nonblank",$CW$3)),ISNUMBER(SEARCH("&lt;&gt;",$CW$3))),IFERROR(('Final Calculation Sheet'!$G$10)&amp;"","")&lt;&gt;""),AND(TRIM($CW$3)="",IFERROR(('Final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IF($CW$3="",1,--(OR(SUMPRODUCT(--(TRIM(MID(SUBSTITUTE(SUBSTITUTE($CW$3,"/",","),",",REPT(" ",99)),(ROW($1:$8)-1)*99+1,99))&lt;&gt;""),--ISNUMBER(SEARCH(TRIM(MID(SUBSTITUTE(SUBSTITUTE($CW$3,"/",","),",",REPT(" ",99)),(ROW($1:$8)-1)*99+1,99)),IFERROR(('Final Calculation Sheet'!$G$11)&amp;"",""))))&gt;0,AND(ISNUMBER(SEARCH("blank",$CW$3)),NOT(ISNUMBER(SEARCH("nonblank",$CW$3))),IFERROR(('Final Calculation Sheet'!$G$11)&amp;"","")=""),AND(OR(ISNUMBER(SEARCH("nonblank",$CW$3)),ISNUMBER(SEARCH("&lt;&gt;",$CW$3))),IFERROR(('Final Calculation Sheet'!$G$11)&amp;"","")&lt;&gt;""),AND(TRIM($CW$3)="",IFERROR(('Final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IF($CW$3="",1,--(OR(SUMPRODUCT(--(TRIM(MID(SUBSTITUTE(SUBSTITUTE($CW$3,"/",","),",",REPT(" ",99)),(ROW($1:$8)-1)*99+1,99))&lt;&gt;""),--ISNUMBER(SEARCH(TRIM(MID(SUBSTITUTE(SUBSTITUTE($CW$3,"/",","),",",REPT(" ",99)),(ROW($1:$8)-1)*99+1,99)),IFERROR(('Final Calculation Sheet'!$G$12)&amp;"",""))))&gt;0,AND(ISNUMBER(SEARCH("blank",$CW$3)),NOT(ISNUMBER(SEARCH("nonblank",$CW$3))),IFERROR(('Final Calculation Sheet'!$G$12)&amp;"","")=""),AND(OR(ISNUMBER(SEARCH("nonblank",$CW$3)),ISNUMBER(SEARCH("&lt;&gt;",$CW$3))),IFERROR(('Final Calculation Sheet'!$G$12)&amp;"","")&lt;&gt;""),AND(TRIM($CW$3)="",IFERROR(('Final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IF($CW$3="",1,--(OR(SUMPRODUCT(--(TRIM(MID(SUBSTITUTE(SUBSTITUTE($CW$3,"/",","),",",REPT(" ",99)),(ROW($1:$8)-1)*99+1,99))&lt;&gt;""),--ISNUMBER(SEARCH(TRIM(MID(SUBSTITUTE(SUBSTITUTE($CW$3,"/",","),",",REPT(" ",99)),(ROW($1:$8)-1)*99+1,99)),IFERROR(('Final Calculation Sheet'!$G$13)&amp;"",""))))&gt;0,AND(ISNUMBER(SEARCH("blank",$CW$3)),NOT(ISNUMBER(SEARCH("nonblank",$CW$3))),IFERROR(('Final Calculation Sheet'!$G$13)&amp;"","")=""),AND(OR(ISNUMBER(SEARCH("nonblank",$CW$3)),ISNUMBER(SEARCH("&lt;&gt;",$CW$3))),IFERROR(('Final Calculation Sheet'!$G$13)&amp;"","")&lt;&gt;""),AND(TRIM($CW$3)="",IFERROR(('Final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IF($CW$3="",1,--(OR(SUMPRODUCT(--(TRIM(MID(SUBSTITUTE(SUBSTITUTE($CW$3,"/",","),",",REPT(" ",99)),(ROW($1:$8)-1)*99+1,99))&lt;&gt;""),--ISNUMBER(SEARCH(TRIM(MID(SUBSTITUTE(SUBSTITUTE($CW$3,"/",","),",",REPT(" ",99)),(ROW($1:$8)-1)*99+1,99)),IFERROR(('Final Calculation Sheet'!$G$14)&amp;"",""))))&gt;0,AND(ISNUMBER(SEARCH("blank",$CW$3)),NOT(ISNUMBER(SEARCH("nonblank",$CW$3))),IFERROR(('Final Calculation Sheet'!$G$14)&amp;"","")=""),AND(OR(ISNUMBER(SEARCH("nonblank",$CW$3)),ISNUMBER(SEARCH("&lt;&gt;",$CW$3))),IFERROR(('Final Calculation Sheet'!$G$14)&amp;"","")&lt;&gt;""),AND(TRIM($CW$3)="",IFERROR(('Final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IF($CW$3="",1,--(OR(SUMPRODUCT(--(TRIM(MID(SUBSTITUTE(SUBSTITUTE($CW$3,"/",","),",",REPT(" ",99)),(ROW($1:$8)-1)*99+1,99))&lt;&gt;""),--ISNUMBER(SEARCH(TRIM(MID(SUBSTITUTE(SUBSTITUTE($CW$3,"/",","),",",REPT(" ",99)),(ROW($1:$8)-1)*99+1,99)),IFERROR(('Final Calculation Sheet'!$G$15)&amp;"",""))))&gt;0,AND(ISNUMBER(SEARCH("blank",$CW$3)),NOT(ISNUMBER(SEARCH("nonblank",$CW$3))),IFERROR(('Final Calculation Sheet'!$G$15)&amp;"","")=""),AND(OR(ISNUMBER(SEARCH("nonblank",$CW$3)),ISNUMBER(SEARCH("&lt;&gt;",$CW$3))),IFERROR(('Final Calculation Sheet'!$G$15)&amp;"","")&lt;&gt;""),AND(TRIM($CW$3)="",IFERROR(('Final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IF($CW$3="",1,--(OR(SUMPRODUCT(--(TRIM(MID(SUBSTITUTE(SUBSTITUTE($CW$3,"/",","),",",REPT(" ",99)),(ROW($1:$8)-1)*99+1,99))&lt;&gt;""),--ISNUMBER(SEARCH(TRIM(MID(SUBSTITUTE(SUBSTITUTE($CW$3,"/",","),",",REPT(" ",99)),(ROW($1:$8)-1)*99+1,99)),IFERROR(('Final Calculation Sheet'!$G$16)&amp;"",""))))&gt;0,AND(ISNUMBER(SEARCH("blank",$CW$3)),NOT(ISNUMBER(SEARCH("nonblank",$CW$3))),IFERROR(('Final Calculation Sheet'!$G$16)&amp;"","")=""),AND(OR(ISNUMBER(SEARCH("nonblank",$CW$3)),ISNUMBER(SEARCH("&lt;&gt;",$CW$3))),IFERROR(('Final Calculation Sheet'!$G$16)&amp;"","")&lt;&gt;""),AND(TRIM($CW$3)="",IFERROR(('Final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IF($CW$3="",1,--(OR(SUMPRODUCT(--(TRIM(MID(SUBSTITUTE(SUBSTITUTE($CW$3,"/",","),",",REPT(" ",99)),(ROW($1:$8)-1)*99+1,99))&lt;&gt;""),--ISNUMBER(SEARCH(TRIM(MID(SUBSTITUTE(SUBSTITUTE($CW$3,"/",","),",",REPT(" ",99)),(ROW($1:$8)-1)*99+1,99)),IFERROR(('Final Calculation Sheet'!$G$17)&amp;"",""))))&gt;0,AND(ISNUMBER(SEARCH("blank",$CW$3)),NOT(ISNUMBER(SEARCH("nonblank",$CW$3))),IFERROR(('Final Calculation Sheet'!$G$17)&amp;"","")=""),AND(OR(ISNUMBER(SEARCH("nonblank",$CW$3)),ISNUMBER(SEARCH("&lt;&gt;",$CW$3))),IFERROR(('Final Calculation Sheet'!$G$17)&amp;"","")&lt;&gt;""),AND(TRIM($CW$3)="",IFERROR(('Final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IF($CW$3="",1,--(OR(SUMPRODUCT(--(TRIM(MID(SUBSTITUTE(SUBSTITUTE($CW$3,"/",","),",",REPT(" ",99)),(ROW($1:$8)-1)*99+1,99))&lt;&gt;""),--ISNUMBER(SEARCH(TRIM(MID(SUBSTITUTE(SUBSTITUTE($CW$3,"/",","),",",REPT(" ",99)),(ROW($1:$8)-1)*99+1,99)),IFERROR(('Final Calculation Sheet'!$G$18)&amp;"",""))))&gt;0,AND(ISNUMBER(SEARCH("blank",$CW$3)),NOT(ISNUMBER(SEARCH("nonblank",$CW$3))),IFERROR(('Final Calculation Sheet'!$G$18)&amp;"","")=""),AND(OR(ISNUMBER(SEARCH("nonblank",$CW$3)),ISNUMBER(SEARCH("&lt;&gt;",$CW$3))),IFERROR(('Final Calculation Sheet'!$G$18)&amp;"","")&lt;&gt;""),AND(TRIM($CW$3)="",IFERROR(('Final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IF($CW$3="",1,--(OR(SUMPRODUCT(--(TRIM(MID(SUBSTITUTE(SUBSTITUTE($CW$3,"/",","),",",REPT(" ",99)),(ROW($1:$8)-1)*99+1,99))&lt;&gt;""),--ISNUMBER(SEARCH(TRIM(MID(SUBSTITUTE(SUBSTITUTE($CW$3,"/",","),",",REPT(" ",99)),(ROW($1:$8)-1)*99+1,99)),IFERROR(('Final Calculation Sheet'!$G$19)&amp;"",""))))&gt;0,AND(ISNUMBER(SEARCH("blank",$CW$3)),NOT(ISNUMBER(SEARCH("nonblank",$CW$3))),IFERROR(('Final Calculation Sheet'!$G$19)&amp;"","")=""),AND(OR(ISNUMBER(SEARCH("nonblank",$CW$3)),ISNUMBER(SEARCH("&lt;&gt;",$CW$3))),IFERROR(('Final Calculation Sheet'!$G$19)&amp;"","")&lt;&gt;""),AND(TRIM($CW$3)="",IFERROR(('Final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IF($CW$3="",1,--(OR(SUMPRODUCT(--(TRIM(MID(SUBSTITUTE(SUBSTITUTE($CW$3,"/",","),",",REPT(" ",99)),(ROW($1:$8)-1)*99+1,99))&lt;&gt;""),--ISNUMBER(SEARCH(TRIM(MID(SUBSTITUTE(SUBSTITUTE($CW$3,"/",","),",",REPT(" ",99)),(ROW($1:$8)-1)*99+1,99)),IFERROR(('Final Calculation Sheet'!$G$20)&amp;"",""))))&gt;0,AND(ISNUMBER(SEARCH("blank",$CW$3)),NOT(ISNUMBER(SEARCH("nonblank",$CW$3))),IFERROR(('Final Calculation Sheet'!$G$20)&amp;"","")=""),AND(OR(ISNUMBER(SEARCH("nonblank",$CW$3)),ISNUMBER(SEARCH("&lt;&gt;",$CW$3))),IFERROR(('Final Calculation Sheet'!$G$20)&amp;"","")&lt;&gt;""),AND(TRIM($CW$3)="",IFERROR(('Final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IF($CW$3="",1,--(OR(SUMPRODUCT(--(TRIM(MID(SUBSTITUTE(SUBSTITUTE($CW$3,"/",","),",",REPT(" ",99)),(ROW($1:$8)-1)*99+1,99))&lt;&gt;""),--ISNUMBER(SEARCH(TRIM(MID(SUBSTITUTE(SUBSTITUTE($CW$3,"/",","),",",REPT(" ",99)),(ROW($1:$8)-1)*99+1,99)),IFERROR(('Final Calculation Sheet'!$G$21)&amp;"",""))))&gt;0,AND(ISNUMBER(SEARCH("blank",$CW$3)),NOT(ISNUMBER(SEARCH("nonblank",$CW$3))),IFERROR(('Final Calculation Sheet'!$G$21)&amp;"","")=""),AND(OR(ISNUMBER(SEARCH("nonblank",$CW$3)),ISNUMBER(SEARCH("&lt;&gt;",$CW$3))),IFERROR(('Final Calculation Sheet'!$G$21)&amp;"","")&lt;&gt;""),AND(TRIM($CW$3)="",IFERROR(('Final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IF($CW$3="",1,--(OR(SUMPRODUCT(--(TRIM(MID(SUBSTITUTE(SUBSTITUTE($CW$3,"/",","),",",REPT(" ",99)),(ROW($1:$8)-1)*99+1,99))&lt;&gt;""),--ISNUMBER(SEARCH(TRIM(MID(SUBSTITUTE(SUBSTITUTE($CW$3,"/",","),",",REPT(" ",99)),(ROW($1:$8)-1)*99+1,99)),IFERROR(('Final Calculation Sheet'!$G$22)&amp;"",""))))&gt;0,AND(ISNUMBER(SEARCH("blank",$CW$3)),NOT(ISNUMBER(SEARCH("nonblank",$CW$3))),IFERROR(('Final Calculation Sheet'!$G$22)&amp;"","")=""),AND(OR(ISNUMBER(SEARCH("nonblank",$CW$3)),ISNUMBER(SEARCH("&lt;&gt;",$CW$3))),IFERROR(('Final Calculation Sheet'!$G$22)&amp;"","")&lt;&gt;""),AND(TRIM($CW$3)="",IFERROR(('Final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IF($CW$3="",1,--(OR(SUMPRODUCT(--(TRIM(MID(SUBSTITUTE(SUBSTITUTE($CW$3,"/",","),",",REPT(" ",99)),(ROW($1:$8)-1)*99+1,99))&lt;&gt;""),--ISNUMBER(SEARCH(TRIM(MID(SUBSTITUTE(SUBSTITUTE($CW$3,"/",","),",",REPT(" ",99)),(ROW($1:$8)-1)*99+1,99)),IFERROR(('Final Calculation Sheet'!$G$23)&amp;"",""))))&gt;0,AND(ISNUMBER(SEARCH("blank",$CW$3)),NOT(ISNUMBER(SEARCH("nonblank",$CW$3))),IFERROR(('Final Calculation Sheet'!$G$23)&amp;"","")=""),AND(OR(ISNUMBER(SEARCH("nonblank",$CW$3)),ISNUMBER(SEARCH("&lt;&gt;",$CW$3))),IFERROR(('Final Calculation Sheet'!$G$23)&amp;"","")&lt;&gt;""),AND(TRIM($CW$3)="",IFERROR(('Final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IF($CW$3="",1,--(OR(SUMPRODUCT(--(TRIM(MID(SUBSTITUTE(SUBSTITUTE($CW$3,"/",","),",",REPT(" ",99)),(ROW($1:$8)-1)*99+1,99))&lt;&gt;""),--ISNUMBER(SEARCH(TRIM(MID(SUBSTITUTE(SUBSTITUTE($CW$3,"/",","),",",REPT(" ",99)),(ROW($1:$8)-1)*99+1,99)),IFERROR(('Final Calculation Sheet'!$G$24)&amp;"",""))))&gt;0,AND(ISNUMBER(SEARCH("blank",$CW$3)),NOT(ISNUMBER(SEARCH("nonblank",$CW$3))),IFERROR(('Final Calculation Sheet'!$G$24)&amp;"","")=""),AND(OR(ISNUMBER(SEARCH("nonblank",$CW$3)),ISNUMBER(SEARCH("&lt;&gt;",$CW$3))),IFERROR(('Final Calculation Sheet'!$G$24)&amp;"","")&lt;&gt;""),AND(TRIM($CW$3)="",IFERROR(('Final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IF($CW$3="",1,--(OR(SUMPRODUCT(--(TRIM(MID(SUBSTITUTE(SUBSTITUTE($CW$3,"/",","),",",REPT(" ",99)),(ROW($1:$8)-1)*99+1,99))&lt;&gt;""),--ISNUMBER(SEARCH(TRIM(MID(SUBSTITUTE(SUBSTITUTE($CW$3,"/",","),",",REPT(" ",99)),(ROW($1:$8)-1)*99+1,99)),IFERROR(('Final Calculation Sheet'!$G$25)&amp;"",""))))&gt;0,AND(ISNUMBER(SEARCH("blank",$CW$3)),NOT(ISNUMBER(SEARCH("nonblank",$CW$3))),IFERROR(('Final Calculation Sheet'!$G$25)&amp;"","")=""),AND(OR(ISNUMBER(SEARCH("nonblank",$CW$3)),ISNUMBER(SEARCH("&lt;&gt;",$CW$3))),IFERROR(('Final Calculation Sheet'!$G$25)&amp;"","")&lt;&gt;""),AND(TRIM($CW$3)="",IFERROR(('Final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IF($CW$3="",1,--(OR(SUMPRODUCT(--(TRIM(MID(SUBSTITUTE(SUBSTITUTE($CW$3,"/",","),",",REPT(" ",99)),(ROW($1:$8)-1)*99+1,99))&lt;&gt;""),--ISNUMBER(SEARCH(TRIM(MID(SUBSTITUTE(SUBSTITUTE($CW$3,"/",","),",",REPT(" ",99)),(ROW($1:$8)-1)*99+1,99)),IFERROR(('Final Calculation Sheet'!$G$26)&amp;"",""))))&gt;0,AND(ISNUMBER(SEARCH("blank",$CW$3)),NOT(ISNUMBER(SEARCH("nonblank",$CW$3))),IFERROR(('Final Calculation Sheet'!$G$26)&amp;"","")=""),AND(OR(ISNUMBER(SEARCH("nonblank",$CW$3)),ISNUMBER(SEARCH("&lt;&gt;",$CW$3))),IFERROR(('Final Calculation Sheet'!$G$26)&amp;"","")&lt;&gt;""),AND(TRIM($CW$3)="",IFERROR(('Final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IF($CW$3="",1,--(OR(SUMPRODUCT(--(TRIM(MID(SUBSTITUTE(SUBSTITUTE($CW$3,"/",","),",",REPT(" ",99)),(ROW($1:$8)-1)*99+1,99))&lt;&gt;""),--ISNUMBER(SEARCH(TRIM(MID(SUBSTITUTE(SUBSTITUTE($CW$3,"/",","),",",REPT(" ",99)),(ROW($1:$8)-1)*99+1,99)),IFERROR(('Final Calculation Sheet'!$G$27)&amp;"",""))))&gt;0,AND(ISNUMBER(SEARCH("blank",$CW$3)),NOT(ISNUMBER(SEARCH("nonblank",$CW$3))),IFERROR(('Final Calculation Sheet'!$G$27)&amp;"","")=""),AND(OR(ISNUMBER(SEARCH("nonblank",$CW$3)),ISNUMBER(SEARCH("&lt;&gt;",$CW$3))),IFERROR(('Final Calculation Sheet'!$G$27)&amp;"","")&lt;&gt;""),AND(TRIM($CW$3)="",IFERROR(('Final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IF($CW$3="",1,--(OR(SUMPRODUCT(--(TRIM(MID(SUBSTITUTE(SUBSTITUTE($CW$3,"/",","),",",REPT(" ",99)),(ROW($1:$8)-1)*99+1,99))&lt;&gt;""),--ISNUMBER(SEARCH(TRIM(MID(SUBSTITUTE(SUBSTITUTE($CW$3,"/",","),",",REPT(" ",99)),(ROW($1:$8)-1)*99+1,99)),IFERROR(('Final Calculation Sheet'!$G$28)&amp;"",""))))&gt;0,AND(ISNUMBER(SEARCH("blank",$CW$3)),NOT(ISNUMBER(SEARCH("nonblank",$CW$3))),IFERROR(('Final Calculation Sheet'!$G$28)&amp;"","")=""),AND(OR(ISNUMBER(SEARCH("nonblank",$CW$3)),ISNUMBER(SEARCH("&lt;&gt;",$CW$3))),IFERROR(('Final Calculation Sheet'!$G$28)&amp;"","")&lt;&gt;""),AND(TRIM($CW$3)="",IFERROR(('Final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IF($CW$3="",1,--(OR(SUMPRODUCT(--(TRIM(MID(SUBSTITUTE(SUBSTITUTE($CW$3,"/",","),",",REPT(" ",99)),(ROW($1:$8)-1)*99+1,99))&lt;&gt;""),--ISNUMBER(SEARCH(TRIM(MID(SUBSTITUTE(SUBSTITUTE($CW$3,"/",","),",",REPT(" ",99)),(ROW($1:$8)-1)*99+1,99)),IFERROR(('Final Calculation Sheet'!$G$29)&amp;"",""))))&gt;0,AND(ISNUMBER(SEARCH("blank",$CW$3)),NOT(ISNUMBER(SEARCH("nonblank",$CW$3))),IFERROR(('Final Calculation Sheet'!$G$29)&amp;"","")=""),AND(OR(ISNUMBER(SEARCH("nonblank",$CW$3)),ISNUMBER(SEARCH("&lt;&gt;",$CW$3))),IFERROR(('Final Calculation Sheet'!$G$29)&amp;"","")&lt;&gt;""),AND(TRIM($CW$3)="",IFERROR(('Final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IF($CW$3="",1,--(OR(SUMPRODUCT(--(TRIM(MID(SUBSTITUTE(SUBSTITUTE($CW$3,"/",","),",",REPT(" ",99)),(ROW($1:$8)-1)*99+1,99))&lt;&gt;""),--ISNUMBER(SEARCH(TRIM(MID(SUBSTITUTE(SUBSTITUTE($CW$3,"/",","),",",REPT(" ",99)),(ROW($1:$8)-1)*99+1,99)),IFERROR(('Final Calculation Sheet'!$G$30)&amp;"",""))))&gt;0,AND(ISNUMBER(SEARCH("blank",$CW$3)),NOT(ISNUMBER(SEARCH("nonblank",$CW$3))),IFERROR(('Final Calculation Sheet'!$G$30)&amp;"","")=""),AND(OR(ISNUMBER(SEARCH("nonblank",$CW$3)),ISNUMBER(SEARCH("&lt;&gt;",$CW$3))),IFERROR(('Final Calculation Sheet'!$G$30)&amp;"","")&lt;&gt;""),AND(TRIM($CW$3)="",IFERROR(('Final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IF($CW$3="",1,--(OR(SUMPRODUCT(--(TRIM(MID(SUBSTITUTE(SUBSTITUTE($CW$3,"/",","),",",REPT(" ",99)),(ROW($1:$8)-1)*99+1,99))&lt;&gt;""),--ISNUMBER(SEARCH(TRIM(MID(SUBSTITUTE(SUBSTITUTE($CW$3,"/",","),",",REPT(" ",99)),(ROW($1:$8)-1)*99+1,99)),IFERROR(('Final Calculation Sheet'!$G$31)&amp;"",""))))&gt;0,AND(ISNUMBER(SEARCH("blank",$CW$3)),NOT(ISNUMBER(SEARCH("nonblank",$CW$3))),IFERROR(('Final Calculation Sheet'!$G$31)&amp;"","")=""),AND(OR(ISNUMBER(SEARCH("nonblank",$CW$3)),ISNUMBER(SEARCH("&lt;&gt;",$CW$3))),IFERROR(('Final Calculation Sheet'!$G$31)&amp;"","")&lt;&gt;""),AND(TRIM($CW$3)="",IFERROR(('Final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IF($CW$3="",1,--(OR(SUMPRODUCT(--(TRIM(MID(SUBSTITUTE(SUBSTITUTE($CW$3,"/",","),",",REPT(" ",99)),(ROW($1:$8)-1)*99+1,99))&lt;&gt;""),--ISNUMBER(SEARCH(TRIM(MID(SUBSTITUTE(SUBSTITUTE($CW$3,"/",","),",",REPT(" ",99)),(ROW($1:$8)-1)*99+1,99)),IFERROR(('Final Calculation Sheet'!$G$32)&amp;"",""))))&gt;0,AND(ISNUMBER(SEARCH("blank",$CW$3)),NOT(ISNUMBER(SEARCH("nonblank",$CW$3))),IFERROR(('Final Calculation Sheet'!$G$32)&amp;"","")=""),AND(OR(ISNUMBER(SEARCH("nonblank",$CW$3)),ISNUMBER(SEARCH("&lt;&gt;",$CW$3))),IFERROR(('Final Calculation Sheet'!$G$32)&amp;"","")&lt;&gt;""),AND(TRIM($CW$3)="",IFERROR(('Final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IF($CW$3="",1,--(OR(SUMPRODUCT(--(TRIM(MID(SUBSTITUTE(SUBSTITUTE($CW$3,"/",","),",",REPT(" ",99)),(ROW($1:$8)-1)*99+1,99))&lt;&gt;""),--ISNUMBER(SEARCH(TRIM(MID(SUBSTITUTE(SUBSTITUTE($CW$3,"/",","),",",REPT(" ",99)),(ROW($1:$8)-1)*99+1,99)),IFERROR(('Final Calculation Sheet'!$G$33)&amp;"",""))))&gt;0,AND(ISNUMBER(SEARCH("blank",$CW$3)),NOT(ISNUMBER(SEARCH("nonblank",$CW$3))),IFERROR(('Final Calculation Sheet'!$G$33)&amp;"","")=""),AND(OR(ISNUMBER(SEARCH("nonblank",$CW$3)),ISNUMBER(SEARCH("&lt;&gt;",$CW$3))),IFERROR(('Final Calculation Sheet'!$G$33)&amp;"","")&lt;&gt;""),AND(TRIM($CW$3)="",IFERROR(('Final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IF($CW$3="",1,--(OR(SUMPRODUCT(--(TRIM(MID(SUBSTITUTE(SUBSTITUTE($CW$3,"/",","),",",REPT(" ",99)),(ROW($1:$8)-1)*99+1,99))&lt;&gt;""),--ISNUMBER(SEARCH(TRIM(MID(SUBSTITUTE(SUBSTITUTE($CW$3,"/",","),",",REPT(" ",99)),(ROW($1:$8)-1)*99+1,99)),IFERROR(('Final Calculation Sheet'!$G$34)&amp;"",""))))&gt;0,AND(ISNUMBER(SEARCH("blank",$CW$3)),NOT(ISNUMBER(SEARCH("nonblank",$CW$3))),IFERROR(('Final Calculation Sheet'!$G$34)&amp;"","")=""),AND(OR(ISNUMBER(SEARCH("nonblank",$CW$3)),ISNUMBER(SEARCH("&lt;&gt;",$CW$3))),IFERROR(('Final Calculation Sheet'!$G$34)&amp;"","")&lt;&gt;""),AND(TRIM($CW$3)="",IFERROR(('Final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IF($CW$3="",1,--(OR(SUMPRODUCT(--(TRIM(MID(SUBSTITUTE(SUBSTITUTE($CW$3,"/",","),",",REPT(" ",99)),(ROW($1:$8)-1)*99+1,99))&lt;&gt;""),--ISNUMBER(SEARCH(TRIM(MID(SUBSTITUTE(SUBSTITUTE($CW$3,"/",","),",",REPT(" ",99)),(ROW($1:$8)-1)*99+1,99)),IFERROR(('Final Calculation Sheet'!$G$35)&amp;"",""))))&gt;0,AND(ISNUMBER(SEARCH("blank",$CW$3)),NOT(ISNUMBER(SEARCH("nonblank",$CW$3))),IFERROR(('Final Calculation Sheet'!$G$35)&amp;"","")=""),AND(OR(ISNUMBER(SEARCH("nonblank",$CW$3)),ISNUMBER(SEARCH("&lt;&gt;",$CW$3))),IFERROR(('Final Calculation Sheet'!$G$35)&amp;"","")&lt;&gt;""),AND(TRIM($CW$3)="",IFERROR(('Final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IF($CW$3="",1,--(OR(SUMPRODUCT(--(TRIM(MID(SUBSTITUTE(SUBSTITUTE($CW$3,"/",","),",",REPT(" ",99)),(ROW($1:$8)-1)*99+1,99))&lt;&gt;""),--ISNUMBER(SEARCH(TRIM(MID(SUBSTITUTE(SUBSTITUTE($CW$3,"/",","),",",REPT(" ",99)),(ROW($1:$8)-1)*99+1,99)),IFERROR(('Final Calculation Sheet'!$G$36)&amp;"",""))))&gt;0,AND(ISNUMBER(SEARCH("blank",$CW$3)),NOT(ISNUMBER(SEARCH("nonblank",$CW$3))),IFERROR(('Final Calculation Sheet'!$G$36)&amp;"","")=""),AND(OR(ISNUMBER(SEARCH("nonblank",$CW$3)),ISNUMBER(SEARCH("&lt;&gt;",$CW$3))),IFERROR(('Final Calculation Sheet'!$G$36)&amp;"","")&lt;&gt;""),AND(TRIM($CW$3)="",IFERROR(('Final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IF($CW$3="",1,--(OR(SUMPRODUCT(--(TRIM(MID(SUBSTITUTE(SUBSTITUTE($CW$3,"/",","),",",REPT(" ",99)),(ROW($1:$8)-1)*99+1,99))&lt;&gt;""),--ISNUMBER(SEARCH(TRIM(MID(SUBSTITUTE(SUBSTITUTE($CW$3,"/",","),",",REPT(" ",99)),(ROW($1:$8)-1)*99+1,99)),IFERROR(('Final Calculation Sheet'!$G$37)&amp;"",""))))&gt;0,AND(ISNUMBER(SEARCH("blank",$CW$3)),NOT(ISNUMBER(SEARCH("nonblank",$CW$3))),IFERROR(('Final Calculation Sheet'!$G$37)&amp;"","")=""),AND(OR(ISNUMBER(SEARCH("nonblank",$CW$3)),ISNUMBER(SEARCH("&lt;&gt;",$CW$3))),IFERROR(('Final Calculation Sheet'!$G$37)&amp;"","")&lt;&gt;""),AND(TRIM($CW$3)="",IFERROR(('Final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IF($CW$3="",1,--(OR(SUMPRODUCT(--(TRIM(MID(SUBSTITUTE(SUBSTITUTE($CW$3,"/",","),",",REPT(" ",99)),(ROW($1:$8)-1)*99+1,99))&lt;&gt;""),--ISNUMBER(SEARCH(TRIM(MID(SUBSTITUTE(SUBSTITUTE($CW$3,"/",","),",",REPT(" ",99)),(ROW($1:$8)-1)*99+1,99)),IFERROR(('Final Calculation Sheet'!$G$38)&amp;"",""))))&gt;0,AND(ISNUMBER(SEARCH("blank",$CW$3)),NOT(ISNUMBER(SEARCH("nonblank",$CW$3))),IFERROR(('Final Calculation Sheet'!$G$38)&amp;"","")=""),AND(OR(ISNUMBER(SEARCH("nonblank",$CW$3)),ISNUMBER(SEARCH("&lt;&gt;",$CW$3))),IFERROR(('Final Calculation Sheet'!$G$38)&amp;"","")&lt;&gt;""),AND(TRIM($CW$3)="",IFERROR(('Final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IF($CW$3="",1,--(OR(SUMPRODUCT(--(TRIM(MID(SUBSTITUTE(SUBSTITUTE($CW$3,"/",","),",",REPT(" ",99)),(ROW($1:$8)-1)*99+1,99))&lt;&gt;""),--ISNUMBER(SEARCH(TRIM(MID(SUBSTITUTE(SUBSTITUTE($CW$3,"/",","),",",REPT(" ",99)),(ROW($1:$8)-1)*99+1,99)),IFERROR(('Final Calculation Sheet'!$G$39)&amp;"",""))))&gt;0,AND(ISNUMBER(SEARCH("blank",$CW$3)),NOT(ISNUMBER(SEARCH("nonblank",$CW$3))),IFERROR(('Final Calculation Sheet'!$G$39)&amp;"","")=""),AND(OR(ISNUMBER(SEARCH("nonblank",$CW$3)),ISNUMBER(SEARCH("&lt;&gt;",$CW$3))),IFERROR(('Final Calculation Sheet'!$G$39)&amp;"","")&lt;&gt;""),AND(TRIM($CW$3)="",IFERROR(('Final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IF($CW$3="",1,--(OR(SUMPRODUCT(--(TRIM(MID(SUBSTITUTE(SUBSTITUTE($CW$3,"/",","),",",REPT(" ",99)),(ROW($1:$8)-1)*99+1,99))&lt;&gt;""),--ISNUMBER(SEARCH(TRIM(MID(SUBSTITUTE(SUBSTITUTE($CW$3,"/",","),",",REPT(" ",99)),(ROW($1:$8)-1)*99+1,99)),IFERROR(('Final Calculation Sheet'!$G$40)&amp;"",""))))&gt;0,AND(ISNUMBER(SEARCH("blank",$CW$3)),NOT(ISNUMBER(SEARCH("nonblank",$CW$3))),IFERROR(('Final Calculation Sheet'!$G$40)&amp;"","")=""),AND(OR(ISNUMBER(SEARCH("nonblank",$CW$3)),ISNUMBER(SEARCH("&lt;&gt;",$CW$3))),IFERROR(('Final Calculation Sheet'!$G$40)&amp;"","")&lt;&gt;""),AND(TRIM($CW$3)="",IFERROR(('Final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8">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 type="list" showDropDown="0" showInputMessage="0" showErrorMessage="0" allowBlank="0" sqref="D3">
      <formula1>SUG_C</formula1>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EP95"/>
  <sheetViews>
    <sheetView zoomScaleNormal="100" workbookViewId="0">
      <pane xSplit="2" ySplit="5" topLeftCell="C6" activePane="bottomRight" state="frozen"/>
      <selection pane="topRight" activeCell="C1" sqref="C1"/>
      <selection pane="bottomLeft" activeCell="A6" sqref="A6"/>
      <selection pane="bottomRight" activeCell="C6" sqref="C6"/>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 hidden="1" width="13" customWidth="1" style="137" min="111" max="111"/>
    <col hidden="1" width="13" customWidth="1" style="137" min="112" max="112"/>
    <col hidden="1" width="13" customWidth="1" style="137" min="113" max="113"/>
    <col hidden="1" width="13" customWidth="1" style="137" min="114" max="114"/>
    <col hidden="1" width="13" customWidth="1" style="137" min="115" max="115"/>
    <col hidden="1" width="13" customWidth="1" style="137" min="116" max="116"/>
    <col hidden="1" width="13" customWidth="1" style="137" min="117" max="117"/>
    <col hidden="1" width="13" customWidth="1" style="137" min="118" max="118"/>
    <col hidden="1" width="13" customWidth="1" style="137" min="119" max="119"/>
    <col hidden="1" width="13" customWidth="1" style="137" min="120" max="120"/>
    <col hidden="1" width="13" customWidth="1" style="137" min="121" max="121"/>
    <col hidden="1" width="13" customWidth="1" style="137" min="122" max="122"/>
    <col hidden="1" width="13" customWidth="1" style="137" min="123" max="123"/>
    <col hidden="1" width="13" customWidth="1" style="137" min="124" max="124"/>
    <col hidden="1" width="13" customWidth="1" style="137" min="125" max="125"/>
    <col hidden="1" width="13" customWidth="1" style="137" min="126" max="126"/>
    <col hidden="1" width="13" customWidth="1" style="137" min="127" max="127"/>
    <col hidden="1" width="13" customWidth="1" style="137" min="128" max="128"/>
    <col hidden="1" width="13" customWidth="1" style="137" min="129" max="129"/>
    <col hidden="1" width="13" customWidth="1" style="137" min="130" max="130"/>
    <col hidden="1" width="13" customWidth="1" style="137" min="131" max="131"/>
    <col hidden="1" width="13" customWidth="1" style="137" min="132" max="132"/>
    <col hidden="1" width="13" customWidth="1" style="137" min="133" max="133"/>
    <col hidden="1" width="13" customWidth="1" style="137" min="134" max="134"/>
    <col hidden="1" width="13" customWidth="1" style="137" min="135" max="135"/>
    <col hidden="1" width="13" customWidth="1" style="137" min="136" max="136"/>
    <col hidden="1" width="13" customWidth="1" style="137" min="137" max="137"/>
    <col hidden="1" width="13" customWidth="1" style="137" min="138" max="138"/>
    <col hidden="1" width="13" customWidth="1" style="137" min="139" max="139"/>
    <col hidden="1" width="13" customWidth="1" style="137" min="140" max="140"/>
    <col hidden="1" width="13" customWidth="1" style="137" min="141" max="141"/>
    <col hidden="1" width="13" customWidth="1" style="137" min="142" max="142"/>
    <col hidden="1" width="13" customWidth="1" style="137" min="143" max="143"/>
    <col hidden="1" width="13" customWidth="1" style="137" min="144" max="144"/>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cascading dropdown (same style as Live Search): click a search cell and press Alt+↓ to pick a value. Each list narrows to values still possible given your other yellow filters — pick a buyer and Lot No. only shows that buyer’s lots, and so on. Clear a cell to widen its list again.  •  LIFT MATCHING BLOCKS — as soon as any SEARCH box holds a value, every buyer block holding a matching lot is brought to the top of the list (matched lots first inside the block), the same way the Live Search sheet re-arranges its rows when you click a header: the rows are re-arranged in one go, live links included - each lot keeps its link to the Final Calculation Sheet and each subtotal is re-pointed at its own rows - and the plain order is put back the moment the SEARCH row is cleared or you double-click the ▸ MATCHED LOTS bar (row 6) to put the blocks back by hand. Shading, row groups, subtotals, the TOTAL row and the dropdowns all stay intact.  •  NARROWING DROPDOWNS — dropdowns cascade with your other filters (only values that still match remain); in newer Excel, typing a few letters further filters the list as you type, like Google. The highlight and MATCHED LOTS update live. Clear the cell for the full cascading list again.</t>
        </is>
      </c>
      <c r="EP2" s="0" t="inlineStr">
        <is>
          <t>▸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t>
        </is>
      </c>
    </row>
    <row r="3" ht="21.75" customHeight="1" s="137">
      <c r="A3" s="59" t="inlineStr">
        <is>
          <t>BUYERS  ▸</t>
        </is>
      </c>
      <c r="B3" s="62">
        <f>SUMPRODUCT(1/COUNTIF('Final Calculation Sheet'!$G$4:$G$40,'Final Calculation Sheet'!$G$4:$G$40))</f>
        <v/>
      </c>
      <c r="C3" s="59" t="inlineStr">
        <is>
          <t>LOTS  ▸</t>
        </is>
      </c>
      <c r="D3" s="62">
        <f>COUNTA('Final Calculation Sheet'!$G$4:$G$40)</f>
        <v/>
      </c>
      <c r="DG3" t="inlineStr">
        <is>
          <t>BG match helper B</t>
        </is>
      </c>
      <c r="DH3" t="inlineStr">
        <is>
          <t>BG match helper C</t>
        </is>
      </c>
      <c r="DI3" t="inlineStr">
        <is>
          <t>BG match helper D</t>
        </is>
      </c>
      <c r="DJ3" t="inlineStr">
        <is>
          <t>BG match helper E</t>
        </is>
      </c>
      <c r="DK3" t="inlineStr">
        <is>
          <t>BG match helper F</t>
        </is>
      </c>
      <c r="DL3" t="inlineStr">
        <is>
          <t>BG match helper G</t>
        </is>
      </c>
      <c r="DM3" t="inlineStr">
        <is>
          <t>BG match helper H</t>
        </is>
      </c>
      <c r="DN3" t="inlineStr">
        <is>
          <t>BG match helper I</t>
        </is>
      </c>
      <c r="DO3" t="inlineStr">
        <is>
          <t>BG match helper J</t>
        </is>
      </c>
      <c r="DP3" t="inlineStr">
        <is>
          <t>BG match helper K</t>
        </is>
      </c>
      <c r="DQ3" t="inlineStr">
        <is>
          <t>BG match helper L</t>
        </is>
      </c>
      <c r="DR3" t="inlineStr">
        <is>
          <t>BG match helper M</t>
        </is>
      </c>
      <c r="DS3" t="inlineStr">
        <is>
          <t>BG match helper N</t>
        </is>
      </c>
      <c r="DT3" t="inlineStr">
        <is>
          <t>BG match helper O</t>
        </is>
      </c>
      <c r="DU3" t="inlineStr">
        <is>
          <t>BG match helper P</t>
        </is>
      </c>
      <c r="DV3" t="inlineStr">
        <is>
          <t>BG match helper Q</t>
        </is>
      </c>
      <c r="DW3" t="inlineStr">
        <is>
          <t>BG match helper R</t>
        </is>
      </c>
      <c r="DX3" t="inlineStr">
        <is>
          <t>BG match helper S</t>
        </is>
      </c>
      <c r="DY3" t="inlineStr">
        <is>
          <t>BG match helper T</t>
        </is>
      </c>
      <c r="DZ3" t="inlineStr">
        <is>
          <t>BG match helper U</t>
        </is>
      </c>
      <c r="EA3" t="inlineStr">
        <is>
          <t>BG match helper V</t>
        </is>
      </c>
      <c r="EB3" t="inlineStr">
        <is>
          <t>BG match helper W</t>
        </is>
      </c>
      <c r="EC3" t="inlineStr">
        <is>
          <t>BG match helper X</t>
        </is>
      </c>
      <c r="ED3" t="inlineStr">
        <is>
          <t>BG match helper Y</t>
        </is>
      </c>
      <c r="EE3" t="inlineStr">
        <is>
          <t>BG match helper Z</t>
        </is>
      </c>
      <c r="EF3" t="inlineStr">
        <is>
          <t>BG match helper AA</t>
        </is>
      </c>
      <c r="EG3" t="inlineStr">
        <is>
          <t>BG match helper AB</t>
        </is>
      </c>
      <c r="EH3" t="inlineStr">
        <is>
          <t>BG match helper AC</t>
        </is>
      </c>
      <c r="EI3" t="inlineStr">
        <is>
          <t>BG match helper AD</t>
        </is>
      </c>
      <c r="EJ3" t="inlineStr">
        <is>
          <t>BG match helper AE</t>
        </is>
      </c>
      <c r="EK3" t="inlineStr">
        <is>
          <t>BG match helper AF</t>
        </is>
      </c>
      <c r="EL3" t="inlineStr">
        <is>
          <t>BG match helper AG</t>
        </is>
      </c>
      <c r="EM3" t="inlineStr">
        <is>
          <t>BG match helper AH</t>
        </is>
      </c>
      <c r="EN3" t="inlineStr">
        <is>
          <t>BG match helper AI</t>
        </is>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row>
    <row r="6">
      <c r="A6" s="117" t="inlineStr">
        <is>
          <t>▸ MATCHED LOTS</t>
        </is>
      </c>
      <c r="B6" s="117" t="n"/>
      <c r="C6" s="117" t="str">
        <f>IF(COUNTIF($B$4:$AI$4,"&lt;&gt;")=0,$EP$2,"▶ MATCHED LOTS  —  "&amp;SUM($AJ$7:$AJ$56)&amp;" of 37 lot(s) match   ·   non-matching lots are greyed out in the blocks below   ·   double-click this row to lift the matching buyer blocks up, double-click again to put them back"&amp;IF($EP$1=1,"   ·   THE BLOCKS ARE LIFTED - double-click here to put them back",""))</f>
        <v>▸ MATCHED LOTS  —  type in any yellow SEARCH box and the matching buyers’ whole blocks lift to the top of the list by themselves (matched lots first inside each block), with the other blocks just beneath and the non-matching lots greyed.  Clear the SEARCH row and the plain order comes back; double-click this row to lift or put the blocks back by hand.</v>
      </c>
      <c r="D6" s="117" t="n"/>
      <c r="E6" s="117" t="n"/>
      <c r="F6" s="117" t="n"/>
      <c r="G6" s="117" t="n"/>
      <c r="H6" s="117" t="n"/>
      <c r="I6" s="117" t="n"/>
      <c r="J6" s="117" t="n"/>
      <c r="K6" s="117" t="n"/>
      <c r="L6" s="117" t="n"/>
      <c r="M6" s="117" t="n"/>
      <c r="N6" s="117" t="n"/>
      <c r="O6" s="117" t="n"/>
      <c r="P6" s="117" t="n"/>
      <c r="Q6" s="117" t="n"/>
      <c r="R6" s="117" t="n"/>
      <c r="S6" s="117" t="n"/>
      <c r="T6" s="117" t="n"/>
      <c r="U6" s="117" t="n"/>
      <c r="V6" s="117" t="n"/>
      <c r="W6" s="117" t="n"/>
      <c r="X6" s="117" t="n"/>
      <c r="Y6" s="117" t="n"/>
      <c r="Z6" s="117" t="n"/>
      <c r="AA6" s="117" t="n"/>
      <c r="AB6" s="117" t="n"/>
      <c r="AC6" s="117" t="n"/>
      <c r="AD6" s="117" t="n"/>
      <c r="AE6" s="117" t="n"/>
      <c r="AF6" s="117" t="n"/>
      <c r="AG6" s="117" t="n"/>
      <c r="AH6" s="117" t="n"/>
      <c r="AI6" s="117" t="n"/>
    </row>
    <row r="7" outlineLevel="1" ht="15" customHeight="1" s="137">
      <c r="A7" s="67" t="n">
        <v>1</v>
      </c>
      <c r="B7" s="76">
        <f>IF('Final Calculation Sheet'!$F$4="","",'Final Calculation Sheet'!$F$4)</f>
        <v/>
      </c>
      <c r="C7" s="76">
        <f>IF('Final Calculation Sheet'!$G$4="","",'Final Calculation Sheet'!$G$4)</f>
        <v/>
      </c>
      <c r="D7" s="80">
        <f>IF('Final Calculation Sheet'!$B$4="","",'Final Calculation Sheet'!$B$4)</f>
        <v/>
      </c>
      <c r="E7" s="80">
        <f>IF('Final Calculation Sheet'!$D$4="","",'Final Calculation Sheet'!$D$4)</f>
        <v/>
      </c>
      <c r="F7" s="80">
        <f>IF('Final Calculation Sheet'!$A$4="","",'Final Calculation Sheet'!$A$4)</f>
        <v/>
      </c>
      <c r="G7" s="80">
        <f>IF('Final Calculation Sheet'!$E$4="","",'Final Calculation Sheet'!$E$4)</f>
        <v/>
      </c>
      <c r="H7" s="70">
        <f>IF('Final Calculation Sheet'!$C$4="","",'Final Calculation Sheet'!$C$4)</f>
        <v/>
      </c>
      <c r="I7" s="70">
        <f>IF('Final Calculation Sheet'!$H$4="","",'Final Calculation Sheet'!$H$4)</f>
        <v/>
      </c>
      <c r="J7" s="70">
        <f>IF('Final Calculation Sheet'!$I$4="","",'Final Calculation Sheet'!$I$4)</f>
        <v/>
      </c>
      <c r="K7" s="70">
        <f>IF('Final Calculation Sheet'!$J$4="","",'Final Calculation Sheet'!$J$4)</f>
        <v/>
      </c>
      <c r="L7" s="70">
        <f>IF('Final Calculation Sheet'!$K$4="","",'Final Calculation Sheet'!$K$4)</f>
        <v/>
      </c>
      <c r="M7" s="70">
        <f>IF('Final Calculation Sheet'!$L$4="","",'Final Calculation Sheet'!$L$4)</f>
        <v/>
      </c>
      <c r="N7" s="70">
        <f>IF('Final Calculation Sheet'!$M$4="","",'Final Calculation Sheet'!$M$4)</f>
        <v/>
      </c>
      <c r="O7" s="71">
        <f>IF('Final Calculation Sheet'!$N$4="","",'Final Calculation Sheet'!$N$4)</f>
        <v/>
      </c>
      <c r="P7" s="70">
        <f>IF('Final Calculation Sheet'!$O$4="","",'Final Calculation Sheet'!$O$4)</f>
        <v/>
      </c>
      <c r="Q7" s="70">
        <f>IF('Final Calculation Sheet'!$P$4="","",'Final Calculation Sheet'!$P$4)</f>
        <v/>
      </c>
      <c r="R7" s="72">
        <f>IF('Final Calculation Sheet'!$Q$4="","",'Final Calculation Sheet'!$Q$4)</f>
        <v/>
      </c>
      <c r="S7" s="70">
        <f>IF('Final Calculation Sheet'!$R$4="","",'Final Calculation Sheet'!$R$4)</f>
        <v/>
      </c>
      <c r="T7" s="70">
        <f>IF('Final Calculation Sheet'!$S$4="","",'Final Calculation Sheet'!$S$4)</f>
        <v/>
      </c>
      <c r="U7" s="70">
        <f>IF('Final Calculation Sheet'!$T$4="","",'Final Calculation Sheet'!$T$4)</f>
        <v/>
      </c>
      <c r="V7" s="73">
        <f>IF('Final Calculation Sheet'!$U$4="","",'Final Calculation Sheet'!$U$4)</f>
        <v/>
      </c>
      <c r="W7" s="70">
        <f>IF('Final Calculation Sheet'!$V$4="","",'Final Calculation Sheet'!$V$4)</f>
        <v/>
      </c>
      <c r="X7" s="70">
        <f>IF('Final Calculation Sheet'!$W$4="","",'Final Calculation Sheet'!$W$4)</f>
        <v/>
      </c>
      <c r="Y7" s="70">
        <f>IF('Final Calculation Sheet'!$X$4="","",'Final Calculation Sheet'!$X$4)</f>
        <v/>
      </c>
      <c r="Z7" s="70">
        <f>IF('Final Calculation Sheet'!$Y$4="","",'Final Calculation Sheet'!$Y$4)</f>
        <v/>
      </c>
      <c r="AA7" s="70">
        <f>IF('Final Calculation Sheet'!$Z$4="","",'Final Calculation Sheet'!$Z$4)</f>
        <v/>
      </c>
      <c r="AB7" s="70">
        <f>IF('Final Calculation Sheet'!$AA$4="","",'Final Calculation Sheet'!$AA$4)</f>
        <v/>
      </c>
      <c r="AC7" s="70">
        <f>IF('Final Calculation Sheet'!$AB$4="","",'Final Calculation Sheet'!$AB$4)</f>
        <v/>
      </c>
      <c r="AD7" s="70">
        <f>IF('Final Calculation Sheet'!$AC$4="","",'Final Calculation Sheet'!$AC$4)</f>
        <v/>
      </c>
      <c r="AE7" s="70">
        <f>IF('Final Calculation Sheet'!$AD$4="","",'Final Calculation Sheet'!$AD$4)</f>
        <v/>
      </c>
      <c r="AF7" s="75">
        <f>IF('Final Calculation Sheet'!$AD$4="","",IF('Final Calculation Sheet'!$AD$4&lt;=5,"SETTLED","OUTSTANDING"))</f>
        <v/>
      </c>
      <c r="AG7" s="70">
        <f>IF('Final Calculation Sheet'!$AF$4="","",'Final Calculation Sheet'!$AF$4)</f>
        <v/>
      </c>
      <c r="AH7" s="74">
        <f>IF('Final Calculation Sheet'!$AG$4="","",'Final Calculation Sheet'!$AG$4)</f>
        <v/>
      </c>
      <c r="AI7" s="70">
        <f>IF('Final Calculation Sheet'!$AH$4="","",'Final Calculation Sheet'!$AH$4)</f>
        <v/>
      </c>
      <c r="AJ7">
        <f>IF(AND(IF($B$4="",TRUE(),IF($B$4="(blank)",'Final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Sheet'!$AD$4&lt;=5,"SETTLED","OUTSTANDING"))))))),1,0)</f>
      </c>
      <c r="AK7">
        <f>IF(AJ7=1,COUNTIF(AJ$7:AJ7,1),"")</f>
        <v/>
      </c>
    </row>
    <row r="8" ht="15" customHeight="1" s="137">
      <c r="A8" s="81" t="inlineStr">
        <is>
          <t>∑</t>
        </is>
      </c>
      <c r="B8" s="83" t="n"/>
      <c r="C8" s="83">
        <f>ROWS($C$7:$C$7)&amp;" lot(s)"</f>
        <v/>
      </c>
      <c r="D8" s="83" t="inlineStr">
        <is>
          <t>SUBTOTAL — AL HAMD TRADE CORPORATION</t>
        </is>
      </c>
      <c r="E8" s="83" t="inlineStr">
        <is>
          <t>–</t>
        </is>
      </c>
      <c r="F8" s="83">
        <f>SUM(F7:F7)</f>
        <v/>
      </c>
      <c r="G8" s="83" t="inlineStr">
        <is>
          <t>–</t>
        </is>
      </c>
      <c r="H8" s="84" t="inlineStr">
        <is>
          <t>–</t>
        </is>
      </c>
      <c r="I8" s="84">
        <f>SUM(I7:I7)</f>
        <v/>
      </c>
      <c r="J8" s="84">
        <f>SUM(J7:J7)</f>
        <v/>
      </c>
      <c r="K8" s="84">
        <f>SUM(K7:K7)</f>
        <v/>
      </c>
      <c r="L8" s="84">
        <f>SUM(L7:L7)</f>
        <v/>
      </c>
      <c r="M8" s="84">
        <f>SUM(M7:M7)</f>
        <v/>
      </c>
      <c r="N8" s="84">
        <f>SUM(N7:N7)</f>
        <v/>
      </c>
      <c r="O8" s="85">
        <f>SUM(O7:O7)</f>
        <v/>
      </c>
      <c r="P8" s="84">
        <f>SUM(P7:P7)</f>
        <v/>
      </c>
      <c r="Q8" s="84">
        <f>SUM(Q7:Q7)</f>
        <v/>
      </c>
      <c r="R8" s="86" t="inlineStr">
        <is>
          <t>–</t>
        </is>
      </c>
      <c r="S8" s="84">
        <f>SUM(S7:S7)</f>
        <v/>
      </c>
      <c r="T8" s="84">
        <f>SUM(T7:T7)</f>
        <v/>
      </c>
      <c r="U8" s="84">
        <f>SUM(U7:U7)</f>
        <v/>
      </c>
      <c r="V8" s="87">
        <f>SUM(V7:V7)</f>
        <v/>
      </c>
      <c r="W8" s="84" t="inlineStr">
        <is>
          <t>–</t>
        </is>
      </c>
      <c r="X8" s="84">
        <f>SUM(X7:X7)</f>
        <v/>
      </c>
      <c r="Y8" s="84">
        <f>SUM(Y7:Y7)</f>
        <v/>
      </c>
      <c r="Z8" s="84" t="inlineStr">
        <is>
          <t>–</t>
        </is>
      </c>
      <c r="AA8" s="84">
        <f>SUM(AA7:AA7)</f>
        <v/>
      </c>
      <c r="AB8" s="84">
        <f>SUM(AB7:AB7)</f>
        <v/>
      </c>
      <c r="AC8" s="84" t="inlineStr">
        <is>
          <t>–</t>
        </is>
      </c>
      <c r="AD8" s="84">
        <f>SUM(AD7:AD7)</f>
        <v/>
      </c>
      <c r="AE8" s="84">
        <f>SUM(AE7:AE7)</f>
        <v/>
      </c>
      <c r="AF8" s="89">
        <f>IF(AE8&lt;=5,"SETTLED","OUTSTANDING")</f>
        <v/>
      </c>
      <c r="AG8" s="84" t="inlineStr">
        <is>
          <t>–</t>
        </is>
      </c>
      <c r="AH8" s="88" t="inlineStr">
        <is>
          <t>–</t>
        </is>
      </c>
      <c r="AI8" s="84" t="inlineStr">
        <is>
          <t>–</t>
        </is>
      </c>
    </row>
    <row r="9" outlineLevel="1" ht="15" customHeight="1" s="137">
      <c r="A9" s="67" t="n">
        <v>1</v>
      </c>
      <c r="B9" s="76">
        <f>IF('Final Calculation Sheet'!$F$6="","",'Final Calculation Sheet'!$F$6)</f>
        <v/>
      </c>
      <c r="C9" s="76">
        <f>IF('Final Calculation Sheet'!$G$6="","",'Final Calculation Sheet'!$G$6)</f>
        <v/>
      </c>
      <c r="D9" s="80">
        <f>IF('Final Calculation Sheet'!$B$6="","",'Final Calculation Sheet'!$B$6)</f>
        <v/>
      </c>
      <c r="E9" s="80">
        <f>IF('Final Calculation Sheet'!$D$6="","",'Final Calculation Sheet'!$D$6)</f>
        <v/>
      </c>
      <c r="F9" s="80">
        <f>IF('Final Calculation Sheet'!$A$6="","",'Final Calculation Sheet'!$A$6)</f>
        <v/>
      </c>
      <c r="G9" s="80">
        <f>IF('Final Calculation Sheet'!$E$6="","",'Final Calculation Sheet'!$E$6)</f>
        <v/>
      </c>
      <c r="H9" s="70">
        <f>IF('Final Calculation Sheet'!$C$6="","",'Final Calculation Sheet'!$C$6)</f>
        <v/>
      </c>
      <c r="I9" s="70">
        <f>IF('Final Calculation Sheet'!$H$6="","",'Final Calculation Sheet'!$H$6)</f>
        <v/>
      </c>
      <c r="J9" s="70">
        <f>IF('Final Calculation Sheet'!$I$6="","",'Final Calculation Sheet'!$I$6)</f>
        <v/>
      </c>
      <c r="K9" s="70">
        <f>IF('Final Calculation Sheet'!$J$6="","",'Final Calculation Sheet'!$J$6)</f>
        <v/>
      </c>
      <c r="L9" s="70">
        <f>IF('Final Calculation Sheet'!$K$6="","",'Final Calculation Sheet'!$K$6)</f>
        <v/>
      </c>
      <c r="M9" s="70">
        <f>IF('Final Calculation Sheet'!$L$6="","",'Final Calculation Sheet'!$L$6)</f>
        <v/>
      </c>
      <c r="N9" s="70">
        <f>IF('Final Calculation Sheet'!$M$6="","",'Final Calculation Sheet'!$M$6)</f>
        <v/>
      </c>
      <c r="O9" s="71">
        <f>IF('Final Calculation Sheet'!$N$6="","",'Final Calculation Sheet'!$N$6)</f>
        <v/>
      </c>
      <c r="P9" s="70">
        <f>IF('Final Calculation Sheet'!$O$6="","",'Final Calculation Sheet'!$O$6)</f>
        <v/>
      </c>
      <c r="Q9" s="70">
        <f>IF('Final Calculation Sheet'!$P$6="","",'Final Calculation Sheet'!$P$6)</f>
        <v/>
      </c>
      <c r="R9" s="72">
        <f>IF('Final Calculation Sheet'!$Q$6="","",'Final Calculation Sheet'!$Q$6)</f>
        <v/>
      </c>
      <c r="S9" s="70">
        <f>IF('Final Calculation Sheet'!$R$6="","",'Final Calculation Sheet'!$R$6)</f>
        <v/>
      </c>
      <c r="T9" s="70">
        <f>IF('Final Calculation Sheet'!$S$6="","",'Final Calculation Sheet'!$S$6)</f>
        <v/>
      </c>
      <c r="U9" s="70">
        <f>IF('Final Calculation Sheet'!$T$6="","",'Final Calculation Sheet'!$T$6)</f>
        <v/>
      </c>
      <c r="V9" s="73">
        <f>IF('Final Calculation Sheet'!$U$6="","",'Final Calculation Sheet'!$U$6)</f>
        <v/>
      </c>
      <c r="W9" s="70">
        <f>IF('Final Calculation Sheet'!$V$6="","",'Final Calculation Sheet'!$V$6)</f>
        <v/>
      </c>
      <c r="X9" s="70">
        <f>IF('Final Calculation Sheet'!$W$6="","",'Final Calculation Sheet'!$W$6)</f>
        <v/>
      </c>
      <c r="Y9" s="70">
        <f>IF('Final Calculation Sheet'!$X$6="","",'Final Calculation Sheet'!$X$6)</f>
        <v/>
      </c>
      <c r="Z9" s="70">
        <f>IF('Final Calculation Sheet'!$Y$6="","",'Final Calculation Sheet'!$Y$6)</f>
        <v/>
      </c>
      <c r="AA9" s="70">
        <f>IF('Final Calculation Sheet'!$Z$6="","",'Final Calculation Sheet'!$Z$6)</f>
        <v/>
      </c>
      <c r="AB9" s="70">
        <f>IF('Final Calculation Sheet'!$AA$6="","",'Final Calculation Sheet'!$AA$6)</f>
        <v/>
      </c>
      <c r="AC9" s="70">
        <f>IF('Final Calculation Sheet'!$AB$6="","",'Final Calculation Sheet'!$AB$6)</f>
        <v/>
      </c>
      <c r="AD9" s="70">
        <f>IF('Final Calculation Sheet'!$AC$6="","",'Final Calculation Sheet'!$AC$6)</f>
        <v/>
      </c>
      <c r="AE9" s="70">
        <f>IF('Final Calculation Sheet'!$AD$6="","",'Final Calculation Sheet'!$AD$6)</f>
        <v/>
      </c>
      <c r="AF9" s="75">
        <f>IF('Final Calculation Sheet'!$AD$6="","",IF('Final Calculation Sheet'!$AD$6&lt;=5,"SETTLED","OUTSTANDING"))</f>
        <v/>
      </c>
      <c r="AG9" s="70">
        <f>IF('Final Calculation Sheet'!$AF$6="","",'Final Calculation Sheet'!$AF$6)</f>
        <v/>
      </c>
      <c r="AH9" s="74">
        <f>IF('Final Calculation Sheet'!$AG$6="","",'Final Calculation Sheet'!$AG$6)</f>
        <v/>
      </c>
      <c r="AI9" s="70">
        <f>IF('Final Calculation Sheet'!$AH$6="","",'Final Calculation Sheet'!$AH$6)</f>
        <v/>
      </c>
      <c r="AJ9">
        <f>IF(AND(IF($B$4="",TRUE(),IF($B$4="(blank)",'Final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Sheet'!$AD$6&lt;=5,"SETTLED","OUTSTANDING"))))))),1,0)</f>
      </c>
      <c r="AK9">
        <f>IF(AJ9=1,COUNTIF(AJ$7:AJ9,1),"")</f>
        <v/>
      </c>
    </row>
    <row r="10" outlineLevel="1" ht="15" customHeight="1" s="137">
      <c r="A10" s="90" t="n">
        <v>2</v>
      </c>
      <c r="B10" s="92">
        <f>IF('Final Calculation Sheet'!$F$7="","",'Final Calculation Sheet'!$F$7)</f>
        <v/>
      </c>
      <c r="C10" s="92">
        <f>IF('Final Calculation Sheet'!$G$7="","",'Final Calculation Sheet'!$G$7)</f>
        <v/>
      </c>
      <c r="D10" s="94">
        <f>IF('Final Calculation Sheet'!$B$7="","",'Final Calculation Sheet'!$B$7)</f>
        <v/>
      </c>
      <c r="E10" s="94">
        <f>IF('Final Calculation Sheet'!$D$7="","",'Final Calculation Sheet'!$D$7)</f>
        <v/>
      </c>
      <c r="F10" s="94">
        <f>IF('Final Calculation Sheet'!$A$7="","",'Final Calculation Sheet'!$A$7)</f>
        <v/>
      </c>
      <c r="G10" s="94">
        <f>IF('Final Calculation Sheet'!$E$7="","",'Final Calculation Sheet'!$E$7)</f>
        <v/>
      </c>
      <c r="H10" s="95">
        <f>IF('Final Calculation Sheet'!$C$7="","",'Final Calculation Sheet'!$C$7)</f>
        <v/>
      </c>
      <c r="I10" s="95">
        <f>IF('Final Calculation Sheet'!$H$7="","",'Final Calculation Sheet'!$H$7)</f>
        <v/>
      </c>
      <c r="J10" s="95">
        <f>IF('Final Calculation Sheet'!$I$7="","",'Final Calculation Sheet'!$I$7)</f>
        <v/>
      </c>
      <c r="K10" s="95">
        <f>IF('Final Calculation Sheet'!$J$7="","",'Final Calculation Sheet'!$J$7)</f>
        <v/>
      </c>
      <c r="L10" s="95">
        <f>IF('Final Calculation Sheet'!$K$7="","",'Final Calculation Sheet'!$K$7)</f>
        <v/>
      </c>
      <c r="M10" s="95">
        <f>IF('Final Calculation Sheet'!$L$7="","",'Final Calculation Sheet'!$L$7)</f>
        <v/>
      </c>
      <c r="N10" s="95">
        <f>IF('Final Calculation Sheet'!$M$7="","",'Final Calculation Sheet'!$M$7)</f>
        <v/>
      </c>
      <c r="O10" s="96">
        <f>IF('Final Calculation Sheet'!$N$7="","",'Final Calculation Sheet'!$N$7)</f>
        <v/>
      </c>
      <c r="P10" s="95">
        <f>IF('Final Calculation Sheet'!$O$7="","",'Final Calculation Sheet'!$O$7)</f>
        <v/>
      </c>
      <c r="Q10" s="95">
        <f>IF('Final Calculation Sheet'!$P$7="","",'Final Calculation Sheet'!$P$7)</f>
        <v/>
      </c>
      <c r="R10" s="97">
        <f>IF('Final Calculation Sheet'!$Q$7="","",'Final Calculation Sheet'!$Q$7)</f>
        <v/>
      </c>
      <c r="S10" s="95">
        <f>IF('Final Calculation Sheet'!$R$7="","",'Final Calculation Sheet'!$R$7)</f>
        <v/>
      </c>
      <c r="T10" s="95">
        <f>IF('Final Calculation Sheet'!$S$7="","",'Final Calculation Sheet'!$S$7)</f>
        <v/>
      </c>
      <c r="U10" s="95">
        <f>IF('Final Calculation Sheet'!$T$7="","",'Final Calculation Sheet'!$T$7)</f>
        <v/>
      </c>
      <c r="V10" s="98">
        <f>IF('Final Calculation Sheet'!$U$7="","",'Final Calculation Sheet'!$U$7)</f>
        <v/>
      </c>
      <c r="W10" s="95">
        <f>IF('Final Calculation Sheet'!$V$7="","",'Final Calculation Sheet'!$V$7)</f>
        <v/>
      </c>
      <c r="X10" s="95">
        <f>IF('Final Calculation Sheet'!$W$7="","",'Final Calculation Sheet'!$W$7)</f>
        <v/>
      </c>
      <c r="Y10" s="95">
        <f>IF('Final Calculation Sheet'!$X$7="","",'Final Calculation Sheet'!$X$7)</f>
        <v/>
      </c>
      <c r="Z10" s="95">
        <f>IF('Final Calculation Sheet'!$Y$7="","",'Final Calculation Sheet'!$Y$7)</f>
        <v/>
      </c>
      <c r="AA10" s="95">
        <f>IF('Final Calculation Sheet'!$Z$7="","",'Final Calculation Sheet'!$Z$7)</f>
        <v/>
      </c>
      <c r="AB10" s="95">
        <f>IF('Final Calculation Sheet'!$AA$7="","",'Final Calculation Sheet'!$AA$7)</f>
        <v/>
      </c>
      <c r="AC10" s="95">
        <f>IF('Final Calculation Sheet'!$AB$7="","",'Final Calculation Sheet'!$AB$7)</f>
        <v/>
      </c>
      <c r="AD10" s="95">
        <f>IF('Final Calculation Sheet'!$AC$7="","",'Final Calculation Sheet'!$AC$7)</f>
        <v/>
      </c>
      <c r="AE10" s="95">
        <f>IF('Final Calculation Sheet'!$AD$7="","",'Final Calculation Sheet'!$AD$7)</f>
        <v/>
      </c>
      <c r="AF10" s="100">
        <f>IF('Final Calculation Sheet'!$AD$7="","",IF('Final Calculation Sheet'!$AD$7&lt;=5,"SETTLED","OUTSTANDING"))</f>
        <v/>
      </c>
      <c r="AG10" s="95">
        <f>IF('Final Calculation Sheet'!$AF$7="","",'Final Calculation Sheet'!$AF$7)</f>
        <v/>
      </c>
      <c r="AH10" s="99">
        <f>IF('Final Calculation Sheet'!$AG$7="","",'Final Calculation Sheet'!$AG$7)</f>
        <v/>
      </c>
      <c r="AI10" s="95">
        <f>IF('Final Calculation Sheet'!$AH$7="","",'Final Calculation Sheet'!$AH$7)</f>
        <v/>
      </c>
      <c r="AJ10">
        <f>IF(AND(IF($B$4="",TRUE(),IF($B$4="(blank)",'Final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Sheet'!$AD$7&lt;=5,"SETTLED","OUTSTANDING"))))))),1,0)</f>
      </c>
      <c r="AK10">
        <f>IF(AJ10=1,COUNTIF(AJ$7:AJ10,1),"")</f>
        <v/>
      </c>
    </row>
    <row r="11" ht="15" customHeight="1" s="137">
      <c r="A11" s="81" t="inlineStr">
        <is>
          <t>∑</t>
        </is>
      </c>
      <c r="B11" s="83" t="n"/>
      <c r="C11" s="83">
        <f>ROWS($C$9:$C$10)&amp;" lot(s)"</f>
        <v/>
      </c>
      <c r="D11" s="83" t="inlineStr">
        <is>
          <t>SUBTOTAL — F R KHANS ENTERPRISES</t>
        </is>
      </c>
      <c r="E11" s="83" t="inlineStr">
        <is>
          <t>–</t>
        </is>
      </c>
      <c r="F11" s="83">
        <f>SUM(F9:F10)</f>
        <v/>
      </c>
      <c r="G11" s="83" t="inlineStr">
        <is>
          <t>–</t>
        </is>
      </c>
      <c r="H11" s="84" t="inlineStr">
        <is>
          <t>–</t>
        </is>
      </c>
      <c r="I11" s="84">
        <f>SUM(I9:I10)</f>
        <v/>
      </c>
      <c r="J11" s="84">
        <f>SUM(J9:J10)</f>
        <v/>
      </c>
      <c r="K11" s="84">
        <f>SUM(K9:K10)</f>
        <v/>
      </c>
      <c r="L11" s="84">
        <f>SUM(L9:L10)</f>
        <v/>
      </c>
      <c r="M11" s="84">
        <f>SUM(M9:M10)</f>
        <v/>
      </c>
      <c r="N11" s="84">
        <f>SUM(N9:N10)</f>
        <v/>
      </c>
      <c r="O11" s="85">
        <f>SUM(O9:O10)</f>
        <v/>
      </c>
      <c r="P11" s="84">
        <f>SUM(P9:P10)</f>
        <v/>
      </c>
      <c r="Q11" s="84">
        <f>SUM(Q9:Q10)</f>
        <v/>
      </c>
      <c r="R11" s="86" t="inlineStr">
        <is>
          <t>–</t>
        </is>
      </c>
      <c r="S11" s="84">
        <f>SUM(S9:S10)</f>
        <v/>
      </c>
      <c r="T11" s="84">
        <f>SUM(T9:T10)</f>
        <v/>
      </c>
      <c r="U11" s="84">
        <f>SUM(U9:U10)</f>
        <v/>
      </c>
      <c r="V11" s="87">
        <f>SUM(V9:V10)</f>
        <v/>
      </c>
      <c r="W11" s="84" t="inlineStr">
        <is>
          <t>–</t>
        </is>
      </c>
      <c r="X11" s="84">
        <f>SUM(X9:X10)</f>
        <v/>
      </c>
      <c r="Y11" s="84">
        <f>SUM(Y9:Y10)</f>
        <v/>
      </c>
      <c r="Z11" s="84" t="inlineStr">
        <is>
          <t>–</t>
        </is>
      </c>
      <c r="AA11" s="84">
        <f>SUM(AA9:AA10)</f>
        <v/>
      </c>
      <c r="AB11" s="84">
        <f>SUM(AB9:AB10)</f>
        <v/>
      </c>
      <c r="AC11" s="84" t="inlineStr">
        <is>
          <t>–</t>
        </is>
      </c>
      <c r="AD11" s="84">
        <f>SUM(AD9:AD10)</f>
        <v/>
      </c>
      <c r="AE11" s="84">
        <f>SUM(AE9:AE10)</f>
        <v/>
      </c>
      <c r="AF11" s="89">
        <f>IF(AE11&lt;=5,"SETTLED","OUTSTANDING")</f>
        <v/>
      </c>
      <c r="AG11" s="84" t="inlineStr">
        <is>
          <t>–</t>
        </is>
      </c>
      <c r="AH11" s="88" t="inlineStr">
        <is>
          <t>–</t>
        </is>
      </c>
      <c r="AI11" s="84" t="inlineStr">
        <is>
          <t>–</t>
        </is>
      </c>
    </row>
    <row r="12" outlineLevel="1" ht="15" customHeight="1" s="137">
      <c r="A12" s="67" t="n">
        <v>1</v>
      </c>
      <c r="B12" s="76">
        <f>IF('Final Calculation Sheet'!$F$15="","",'Final Calculation Sheet'!$F$15)</f>
        <v/>
      </c>
      <c r="C12" s="76">
        <f>IF('Final Calculation Sheet'!$G$15="","",'Final Calculation Sheet'!$G$15)</f>
        <v/>
      </c>
      <c r="D12" s="80">
        <f>IF('Final Calculation Sheet'!$B$15="","",'Final Calculation Sheet'!$B$15)</f>
        <v/>
      </c>
      <c r="E12" s="80">
        <f>IF('Final Calculation Sheet'!$D$15="","",'Final Calculation Sheet'!$D$15)</f>
        <v/>
      </c>
      <c r="F12" s="80">
        <f>IF('Final Calculation Sheet'!$A$15="","",'Final Calculation Sheet'!$A$15)</f>
        <v/>
      </c>
      <c r="G12" s="80">
        <f>IF('Final Calculation Sheet'!$E$15="","",'Final Calculation Sheet'!$E$15)</f>
        <v/>
      </c>
      <c r="H12" s="70">
        <f>IF('Final Calculation Sheet'!$C$15="","",'Final Calculation Sheet'!$C$15)</f>
        <v/>
      </c>
      <c r="I12" s="70">
        <f>IF('Final Calculation Sheet'!$H$15="","",'Final Calculation Sheet'!$H$15)</f>
        <v/>
      </c>
      <c r="J12" s="70">
        <f>IF('Final Calculation Sheet'!$I$15="","",'Final Calculation Sheet'!$I$15)</f>
        <v/>
      </c>
      <c r="K12" s="70">
        <f>IF('Final Calculation Sheet'!$J$15="","",'Final Calculation Sheet'!$J$15)</f>
        <v/>
      </c>
      <c r="L12" s="70">
        <f>IF('Final Calculation Sheet'!$K$15="","",'Final Calculation Sheet'!$K$15)</f>
        <v/>
      </c>
      <c r="M12" s="70">
        <f>IF('Final Calculation Sheet'!$L$15="","",'Final Calculation Sheet'!$L$15)</f>
        <v/>
      </c>
      <c r="N12" s="70">
        <f>IF('Final Calculation Sheet'!$M$15="","",'Final Calculation Sheet'!$M$15)</f>
        <v/>
      </c>
      <c r="O12" s="71">
        <f>IF('Final Calculation Sheet'!$N$15="","",'Final Calculation Sheet'!$N$15)</f>
        <v/>
      </c>
      <c r="P12" s="70">
        <f>IF('Final Calculation Sheet'!$O$15="","",'Final Calculation Sheet'!$O$15)</f>
        <v/>
      </c>
      <c r="Q12" s="70">
        <f>IF('Final Calculation Sheet'!$P$15="","",'Final Calculation Sheet'!$P$15)</f>
        <v/>
      </c>
      <c r="R12" s="72">
        <f>IF('Final Calculation Sheet'!$Q$15="","",'Final Calculation Sheet'!$Q$15)</f>
        <v/>
      </c>
      <c r="S12" s="70">
        <f>IF('Final Calculation Sheet'!$R$15="","",'Final Calculation Sheet'!$R$15)</f>
        <v/>
      </c>
      <c r="T12" s="70">
        <f>IF('Final Calculation Sheet'!$S$15="","",'Final Calculation Sheet'!$S$15)</f>
        <v/>
      </c>
      <c r="U12" s="70">
        <f>IF('Final Calculation Sheet'!$T$15="","",'Final Calculation Sheet'!$T$15)</f>
        <v/>
      </c>
      <c r="V12" s="73">
        <f>IF('Final Calculation Sheet'!$U$15="","",'Final Calculation Sheet'!$U$15)</f>
        <v/>
      </c>
      <c r="W12" s="70">
        <f>IF('Final Calculation Sheet'!$V$15="","",'Final Calculation Sheet'!$V$15)</f>
        <v/>
      </c>
      <c r="X12" s="70">
        <f>IF('Final Calculation Sheet'!$W$15="","",'Final Calculation Sheet'!$W$15)</f>
        <v/>
      </c>
      <c r="Y12" s="70">
        <f>IF('Final Calculation Sheet'!$X$15="","",'Final Calculation Sheet'!$X$15)</f>
        <v/>
      </c>
      <c r="Z12" s="70">
        <f>IF('Final Calculation Sheet'!$Y$15="","",'Final Calculation Sheet'!$Y$15)</f>
        <v/>
      </c>
      <c r="AA12" s="70">
        <f>IF('Final Calculation Sheet'!$Z$15="","",'Final Calculation Sheet'!$Z$15)</f>
        <v/>
      </c>
      <c r="AB12" s="70">
        <f>IF('Final Calculation Sheet'!$AA$15="","",'Final Calculation Sheet'!$AA$15)</f>
        <v/>
      </c>
      <c r="AC12" s="70">
        <f>IF('Final Calculation Sheet'!$AB$15="","",'Final Calculation Sheet'!$AB$15)</f>
        <v/>
      </c>
      <c r="AD12" s="70">
        <f>IF('Final Calculation Sheet'!$AC$15="","",'Final Calculation Sheet'!$AC$15)</f>
        <v/>
      </c>
      <c r="AE12" s="70">
        <f>IF('Final Calculation Sheet'!$AD$15="","",'Final Calculation Sheet'!$AD$15)</f>
        <v/>
      </c>
      <c r="AF12" s="75">
        <f>IF('Final Calculation Sheet'!$AD$15="","",IF('Final Calculation Sheet'!$AD$15&lt;=5,"SETTLED","OUTSTANDING"))</f>
        <v/>
      </c>
      <c r="AG12" s="70">
        <f>IF('Final Calculation Sheet'!$AF$15="","",'Final Calculation Sheet'!$AF$15)</f>
        <v/>
      </c>
      <c r="AH12" s="74">
        <f>IF('Final Calculation Sheet'!$AG$15="","",'Final Calculation Sheet'!$AG$15)</f>
        <v/>
      </c>
      <c r="AI12" s="70">
        <f>IF('Final Calculation Sheet'!$AH$15="","",'Final Calculation Sheet'!$AH$15)</f>
        <v/>
      </c>
      <c r="AJ12">
        <f>IF(AND(IF($B$4="",TRUE(),IF($B$4="(blank)",'Final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Sheet'!$AD$15&lt;=5,"SETTLED","OUTSTANDING"))))))),1,0)</f>
      </c>
      <c r="AK12">
        <f>IF(AJ12=1,COUNTIF(AJ$7:AJ12,1),"")</f>
        <v/>
      </c>
    </row>
    <row r="13" ht="15" customHeight="1" s="137">
      <c r="A13" s="81" t="inlineStr">
        <is>
          <t>∑</t>
        </is>
      </c>
      <c r="B13" s="83" t="n"/>
      <c r="C13" s="83">
        <f>ROWS($C$12:$C$12)&amp;" lot(s)"</f>
        <v/>
      </c>
      <c r="D13" s="83" t="inlineStr">
        <is>
          <t>SUBTOTAL — HIND TRADERS</t>
        </is>
      </c>
      <c r="E13" s="83" t="inlineStr">
        <is>
          <t>–</t>
        </is>
      </c>
      <c r="F13" s="83">
        <f>SUM(F12:F12)</f>
        <v/>
      </c>
      <c r="G13" s="83" t="inlineStr">
        <is>
          <t>–</t>
        </is>
      </c>
      <c r="H13" s="84" t="inlineStr">
        <is>
          <t>–</t>
        </is>
      </c>
      <c r="I13" s="84">
        <f>SUM(I12:I12)</f>
        <v/>
      </c>
      <c r="J13" s="84">
        <f>SUM(J12:J12)</f>
        <v/>
      </c>
      <c r="K13" s="84">
        <f>SUM(K12:K12)</f>
        <v/>
      </c>
      <c r="L13" s="84">
        <f>SUM(L12:L12)</f>
        <v/>
      </c>
      <c r="M13" s="84">
        <f>SUM(M12:M12)</f>
        <v/>
      </c>
      <c r="N13" s="84">
        <f>SUM(N12:N12)</f>
        <v/>
      </c>
      <c r="O13" s="85">
        <f>SUM(O12:O12)</f>
        <v/>
      </c>
      <c r="P13" s="84">
        <f>SUM(P12:P12)</f>
        <v/>
      </c>
      <c r="Q13" s="84">
        <f>SUM(Q12:Q12)</f>
        <v/>
      </c>
      <c r="R13" s="86" t="inlineStr">
        <is>
          <t>–</t>
        </is>
      </c>
      <c r="S13" s="84">
        <f>SUM(S12:S12)</f>
        <v/>
      </c>
      <c r="T13" s="84">
        <f>SUM(T12:T12)</f>
        <v/>
      </c>
      <c r="U13" s="84">
        <f>SUM(U12:U12)</f>
        <v/>
      </c>
      <c r="V13" s="87">
        <f>SUM(V12:V12)</f>
        <v/>
      </c>
      <c r="W13" s="84" t="inlineStr">
        <is>
          <t>–</t>
        </is>
      </c>
      <c r="X13" s="84">
        <f>SUM(X12:X12)</f>
        <v/>
      </c>
      <c r="Y13" s="84">
        <f>SUM(Y12:Y12)</f>
        <v/>
      </c>
      <c r="Z13" s="84" t="inlineStr">
        <is>
          <t>–</t>
        </is>
      </c>
      <c r="AA13" s="84">
        <f>SUM(AA12:AA12)</f>
        <v/>
      </c>
      <c r="AB13" s="84">
        <f>SUM(AB12:AB12)</f>
        <v/>
      </c>
      <c r="AC13" s="84" t="inlineStr">
        <is>
          <t>–</t>
        </is>
      </c>
      <c r="AD13" s="84">
        <f>SUM(AD12:AD12)</f>
        <v/>
      </c>
      <c r="AE13" s="84">
        <f>SUM(AE12:AE12)</f>
        <v/>
      </c>
      <c r="AF13" s="89">
        <f>IF(AE13&lt;=5,"SETTLED","OUTSTANDING")</f>
        <v/>
      </c>
      <c r="AG13" s="84" t="inlineStr">
        <is>
          <t>–</t>
        </is>
      </c>
      <c r="AH13" s="88" t="inlineStr">
        <is>
          <t>–</t>
        </is>
      </c>
      <c r="AI13" s="84" t="inlineStr">
        <is>
          <t>–</t>
        </is>
      </c>
    </row>
    <row r="14" outlineLevel="1" ht="15" customHeight="1" s="137">
      <c r="A14" s="67" t="n">
        <v>1</v>
      </c>
      <c r="B14" s="76">
        <f>IF('Final Calculation Sheet'!$F$38="","",'Final Calculation Sheet'!$F$38)</f>
        <v/>
      </c>
      <c r="C14" s="76">
        <f>IF('Final Calculation Sheet'!$G$38="","",'Final Calculation Sheet'!$G$38)</f>
        <v/>
      </c>
      <c r="D14" s="80">
        <f>IF('Final Calculation Sheet'!$B$38="","",'Final Calculation Sheet'!$B$38)</f>
        <v/>
      </c>
      <c r="E14" s="80">
        <f>IF('Final Calculation Sheet'!$D$38="","",'Final Calculation Sheet'!$D$38)</f>
        <v/>
      </c>
      <c r="F14" s="80">
        <f>IF('Final Calculation Sheet'!$A$38="","",'Final Calculation Sheet'!$A$38)</f>
        <v/>
      </c>
      <c r="G14" s="80">
        <f>IF('Final Calculation Sheet'!$E$38="","",'Final Calculation Sheet'!$E$38)</f>
        <v/>
      </c>
      <c r="H14" s="70">
        <f>IF('Final Calculation Sheet'!$C$38="","",'Final Calculation Sheet'!$C$38)</f>
        <v/>
      </c>
      <c r="I14" s="70">
        <f>IF('Final Calculation Sheet'!$H$38="","",'Final Calculation Sheet'!$H$38)</f>
        <v/>
      </c>
      <c r="J14" s="70">
        <f>IF('Final Calculation Sheet'!$I$38="","",'Final Calculation Sheet'!$I$38)</f>
        <v/>
      </c>
      <c r="K14" s="70">
        <f>IF('Final Calculation Sheet'!$J$38="","",'Final Calculation Sheet'!$J$38)</f>
        <v/>
      </c>
      <c r="L14" s="70">
        <f>IF('Final Calculation Sheet'!$K$38="","",'Final Calculation Sheet'!$K$38)</f>
        <v/>
      </c>
      <c r="M14" s="70">
        <f>IF('Final Calculation Sheet'!$L$38="","",'Final Calculation Sheet'!$L$38)</f>
        <v/>
      </c>
      <c r="N14" s="70">
        <f>IF('Final Calculation Sheet'!$M$38="","",'Final Calculation Sheet'!$M$38)</f>
        <v/>
      </c>
      <c r="O14" s="71">
        <f>IF('Final Calculation Sheet'!$N$38="","",'Final Calculation Sheet'!$N$38)</f>
        <v/>
      </c>
      <c r="P14" s="70">
        <f>IF('Final Calculation Sheet'!$O$38="","",'Final Calculation Sheet'!$O$38)</f>
        <v/>
      </c>
      <c r="Q14" s="70">
        <f>IF('Final Calculation Sheet'!$P$38="","",'Final Calculation Sheet'!$P$38)</f>
        <v/>
      </c>
      <c r="R14" s="72">
        <f>IF('Final Calculation Sheet'!$Q$38="","",'Final Calculation Sheet'!$Q$38)</f>
        <v/>
      </c>
      <c r="S14" s="70">
        <f>IF('Final Calculation Sheet'!$R$38="","",'Final Calculation Sheet'!$R$38)</f>
        <v/>
      </c>
      <c r="T14" s="70">
        <f>IF('Final Calculation Sheet'!$S$38="","",'Final Calculation Sheet'!$S$38)</f>
        <v/>
      </c>
      <c r="U14" s="70">
        <f>IF('Final Calculation Sheet'!$T$38="","",'Final Calculation Sheet'!$T$38)</f>
        <v/>
      </c>
      <c r="V14" s="73">
        <f>IF('Final Calculation Sheet'!$U$38="","",'Final Calculation Sheet'!$U$38)</f>
        <v/>
      </c>
      <c r="W14" s="70">
        <f>IF('Final Calculation Sheet'!$V$38="","",'Final Calculation Sheet'!$V$38)</f>
        <v/>
      </c>
      <c r="X14" s="70">
        <f>IF('Final Calculation Sheet'!$W$38="","",'Final Calculation Sheet'!$W$38)</f>
        <v/>
      </c>
      <c r="Y14" s="70">
        <f>IF('Final Calculation Sheet'!$X$38="","",'Final Calculation Sheet'!$X$38)</f>
        <v/>
      </c>
      <c r="Z14" s="70">
        <f>IF('Final Calculation Sheet'!$Y$38="","",'Final Calculation Sheet'!$Y$38)</f>
        <v/>
      </c>
      <c r="AA14" s="70">
        <f>IF('Final Calculation Sheet'!$Z$38="","",'Final Calculation Sheet'!$Z$38)</f>
        <v/>
      </c>
      <c r="AB14" s="70">
        <f>IF('Final Calculation Sheet'!$AA$38="","",'Final Calculation Sheet'!$AA$38)</f>
        <v/>
      </c>
      <c r="AC14" s="70">
        <f>IF('Final Calculation Sheet'!$AB$38="","",'Final Calculation Sheet'!$AB$38)</f>
        <v/>
      </c>
      <c r="AD14" s="70">
        <f>IF('Final Calculation Sheet'!$AC$38="","",'Final Calculation Sheet'!$AC$38)</f>
        <v/>
      </c>
      <c r="AE14" s="70">
        <f>IF('Final Calculation Sheet'!$AD$38="","",'Final Calculation Sheet'!$AD$38)</f>
        <v/>
      </c>
      <c r="AF14" s="75">
        <f>IF('Final Calculation Sheet'!$AD$38="","",IF('Final Calculation Sheet'!$AD$38&lt;=5,"SETTLED","OUTSTANDING"))</f>
        <v/>
      </c>
      <c r="AG14" s="70">
        <f>IF('Final Calculation Sheet'!$AF$38="","",'Final Calculation Sheet'!$AF$38)</f>
        <v/>
      </c>
      <c r="AH14" s="74">
        <f>IF('Final Calculation Sheet'!$AG$38="","",'Final Calculation Sheet'!$AG$38)</f>
        <v/>
      </c>
      <c r="AI14" s="70">
        <f>IF('Final Calculation Sheet'!$AH$38="","",'Final Calculation Sheet'!$AH$38)</f>
        <v/>
      </c>
      <c r="AJ14">
        <f>IF(AND(IF($B$4="",TRUE(),IF($B$4="(blank)",'Final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Sheet'!$AD$38&lt;=5,"SETTLED","OUTSTANDING"))))))),1,0)</f>
      </c>
      <c r="AK14">
        <f>IF(AJ14=1,COUNTIF(AJ$7:AJ14,1),"")</f>
        <v/>
      </c>
    </row>
    <row r="15" ht="15" customHeight="1" s="137">
      <c r="A15" s="81" t="inlineStr">
        <is>
          <t>∑</t>
        </is>
      </c>
      <c r="B15" s="83" t="n"/>
      <c r="C15" s="83">
        <f>ROWS($C$14:$C$14)&amp;" lot(s)"</f>
        <v/>
      </c>
      <c r="D15" s="83" t="inlineStr">
        <is>
          <t>SUBTOTAL — KASHYAP TRADING CO</t>
        </is>
      </c>
      <c r="E15" s="83" t="inlineStr">
        <is>
          <t>–</t>
        </is>
      </c>
      <c r="F15" s="83">
        <f>SUM(F14:F14)</f>
        <v/>
      </c>
      <c r="G15" s="83" t="inlineStr">
        <is>
          <t>–</t>
        </is>
      </c>
      <c r="H15" s="84" t="inlineStr">
        <is>
          <t>–</t>
        </is>
      </c>
      <c r="I15" s="84">
        <f>SUM(I14:I14)</f>
        <v/>
      </c>
      <c r="J15" s="84">
        <f>SUM(J14:J14)</f>
        <v/>
      </c>
      <c r="K15" s="84">
        <f>SUM(K14:K14)</f>
        <v/>
      </c>
      <c r="L15" s="84">
        <f>SUM(L14:L14)</f>
        <v/>
      </c>
      <c r="M15" s="84">
        <f>SUM(M14:M14)</f>
        <v/>
      </c>
      <c r="N15" s="84">
        <f>SUM(N14:N14)</f>
        <v/>
      </c>
      <c r="O15" s="85">
        <f>SUM(O14:O14)</f>
        <v/>
      </c>
      <c r="P15" s="84">
        <f>SUM(P14:P14)</f>
        <v/>
      </c>
      <c r="Q15" s="84">
        <f>SUM(Q14:Q14)</f>
        <v/>
      </c>
      <c r="R15" s="86" t="inlineStr">
        <is>
          <t>–</t>
        </is>
      </c>
      <c r="S15" s="84">
        <f>SUM(S14:S14)</f>
        <v/>
      </c>
      <c r="T15" s="84">
        <f>SUM(T14:T14)</f>
        <v/>
      </c>
      <c r="U15" s="84">
        <f>SUM(U14:U14)</f>
        <v/>
      </c>
      <c r="V15" s="87">
        <f>SUM(V14:V14)</f>
        <v/>
      </c>
      <c r="W15" s="84" t="inlineStr">
        <is>
          <t>–</t>
        </is>
      </c>
      <c r="X15" s="84">
        <f>SUM(X14:X14)</f>
        <v/>
      </c>
      <c r="Y15" s="84">
        <f>SUM(Y14:Y14)</f>
        <v/>
      </c>
      <c r="Z15" s="84" t="inlineStr">
        <is>
          <t>–</t>
        </is>
      </c>
      <c r="AA15" s="84">
        <f>SUM(AA14:AA14)</f>
        <v/>
      </c>
      <c r="AB15" s="84">
        <f>SUM(AB14:AB14)</f>
        <v/>
      </c>
      <c r="AC15" s="84" t="inlineStr">
        <is>
          <t>–</t>
        </is>
      </c>
      <c r="AD15" s="84">
        <f>SUM(AD14:AD14)</f>
        <v/>
      </c>
      <c r="AE15" s="84">
        <f>SUM(AE14:AE14)</f>
        <v/>
      </c>
      <c r="AF15" s="89">
        <f>IF(AE15&lt;=5,"SETTLED","OUTSTANDING")</f>
        <v/>
      </c>
      <c r="AG15" s="84" t="inlineStr">
        <is>
          <t>–</t>
        </is>
      </c>
      <c r="AH15" s="88" t="inlineStr">
        <is>
          <t>–</t>
        </is>
      </c>
      <c r="AI15" s="84" t="inlineStr">
        <is>
          <t>–</t>
        </is>
      </c>
    </row>
    <row r="16" outlineLevel="1" ht="15" customHeight="1" s="137">
      <c r="A16" s="67" t="n">
        <v>1</v>
      </c>
      <c r="B16" s="76">
        <f>IF('Final Calculation Sheet'!$F$27="","",'Final Calculation Sheet'!$F$27)</f>
        <v/>
      </c>
      <c r="C16" s="76">
        <f>IF('Final Calculation Sheet'!$G$27="","",'Final Calculation Sheet'!$G$27)</f>
        <v/>
      </c>
      <c r="D16" s="80">
        <f>IF('Final Calculation Sheet'!$B$27="","",'Final Calculation Sheet'!$B$27)</f>
        <v/>
      </c>
      <c r="E16" s="80">
        <f>IF('Final Calculation Sheet'!$D$27="","",'Final Calculation Sheet'!$D$27)</f>
        <v/>
      </c>
      <c r="F16" s="80">
        <f>IF('Final Calculation Sheet'!$A$27="","",'Final Calculation Sheet'!$A$27)</f>
        <v/>
      </c>
      <c r="G16" s="80">
        <f>IF('Final Calculation Sheet'!$E$27="","",'Final Calculation Sheet'!$E$27)</f>
        <v/>
      </c>
      <c r="H16" s="70">
        <f>IF('Final Calculation Sheet'!$C$27="","",'Final Calculation Sheet'!$C$27)</f>
        <v/>
      </c>
      <c r="I16" s="70">
        <f>IF('Final Calculation Sheet'!$H$27="","",'Final Calculation Sheet'!$H$27)</f>
        <v/>
      </c>
      <c r="J16" s="70">
        <f>IF('Final Calculation Sheet'!$I$27="","",'Final Calculation Sheet'!$I$27)</f>
        <v/>
      </c>
      <c r="K16" s="70">
        <f>IF('Final Calculation Sheet'!$J$27="","",'Final Calculation Sheet'!$J$27)</f>
        <v/>
      </c>
      <c r="L16" s="70">
        <f>IF('Final Calculation Sheet'!$K$27="","",'Final Calculation Sheet'!$K$27)</f>
        <v/>
      </c>
      <c r="M16" s="70">
        <f>IF('Final Calculation Sheet'!$L$27="","",'Final Calculation Sheet'!$L$27)</f>
        <v/>
      </c>
      <c r="N16" s="70">
        <f>IF('Final Calculation Sheet'!$M$27="","",'Final Calculation Sheet'!$M$27)</f>
        <v/>
      </c>
      <c r="O16" s="71">
        <f>IF('Final Calculation Sheet'!$N$27="","",'Final Calculation Sheet'!$N$27)</f>
        <v/>
      </c>
      <c r="P16" s="70">
        <f>IF('Final Calculation Sheet'!$O$27="","",'Final Calculation Sheet'!$O$27)</f>
        <v/>
      </c>
      <c r="Q16" s="70">
        <f>IF('Final Calculation Sheet'!$P$27="","",'Final Calculation Sheet'!$P$27)</f>
        <v/>
      </c>
      <c r="R16" s="72">
        <f>IF('Final Calculation Sheet'!$Q$27="","",'Final Calculation Sheet'!$Q$27)</f>
        <v/>
      </c>
      <c r="S16" s="70">
        <f>IF('Final Calculation Sheet'!$R$27="","",'Final Calculation Sheet'!$R$27)</f>
        <v/>
      </c>
      <c r="T16" s="70">
        <f>IF('Final Calculation Sheet'!$S$27="","",'Final Calculation Sheet'!$S$27)</f>
        <v/>
      </c>
      <c r="U16" s="70">
        <f>IF('Final Calculation Sheet'!$T$27="","",'Final Calculation Sheet'!$T$27)</f>
        <v/>
      </c>
      <c r="V16" s="73">
        <f>IF('Final Calculation Sheet'!$U$27="","",'Final Calculation Sheet'!$U$27)</f>
        <v/>
      </c>
      <c r="W16" s="70">
        <f>IF('Final Calculation Sheet'!$V$27="","",'Final Calculation Sheet'!$V$27)</f>
        <v/>
      </c>
      <c r="X16" s="70">
        <f>IF('Final Calculation Sheet'!$W$27="","",'Final Calculation Sheet'!$W$27)</f>
        <v/>
      </c>
      <c r="Y16" s="70">
        <f>IF('Final Calculation Sheet'!$X$27="","",'Final Calculation Sheet'!$X$27)</f>
        <v/>
      </c>
      <c r="Z16" s="70">
        <f>IF('Final Calculation Sheet'!$Y$27="","",'Final Calculation Sheet'!$Y$27)</f>
        <v/>
      </c>
      <c r="AA16" s="70">
        <f>IF('Final Calculation Sheet'!$Z$27="","",'Final Calculation Sheet'!$Z$27)</f>
        <v/>
      </c>
      <c r="AB16" s="70">
        <f>IF('Final Calculation Sheet'!$AA$27="","",'Final Calculation Sheet'!$AA$27)</f>
        <v/>
      </c>
      <c r="AC16" s="70">
        <f>IF('Final Calculation Sheet'!$AB$27="","",'Final Calculation Sheet'!$AB$27)</f>
        <v/>
      </c>
      <c r="AD16" s="70">
        <f>IF('Final Calculation Sheet'!$AC$27="","",'Final Calculation Sheet'!$AC$27)</f>
        <v/>
      </c>
      <c r="AE16" s="70">
        <f>IF('Final Calculation Sheet'!$AD$27="","",'Final Calculation Sheet'!$AD$27)</f>
        <v/>
      </c>
      <c r="AF16" s="75">
        <f>IF('Final Calculation Sheet'!$AD$27="","",IF('Final Calculation Sheet'!$AD$27&lt;=5,"SETTLED","OUTSTANDING"))</f>
        <v/>
      </c>
      <c r="AG16" s="70">
        <f>IF('Final Calculation Sheet'!$AF$27="","",'Final Calculation Sheet'!$AF$27)</f>
        <v/>
      </c>
      <c r="AH16" s="74">
        <f>IF('Final Calculation Sheet'!$AG$27="","",'Final Calculation Sheet'!$AG$27)</f>
        <v/>
      </c>
      <c r="AI16" s="70">
        <f>IF('Final Calculation Sheet'!$AH$27="","",'Final Calculation Sheet'!$AH$27)</f>
        <v/>
      </c>
      <c r="AJ16">
        <f>IF(AND(IF($B$4="",TRUE(),IF($B$4="(blank)",'Final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Sheet'!$AD$27&lt;=5,"SETTLED","OUTSTANDING"))))))),1,0)</f>
      </c>
      <c r="AK16">
        <f>IF(AJ16=1,COUNTIF(AJ$7:AJ16,1),"")</f>
        <v/>
      </c>
    </row>
    <row r="17" ht="15" customHeight="1" s="137">
      <c r="A17" s="81" t="inlineStr">
        <is>
          <t>∑</t>
        </is>
      </c>
      <c r="B17" s="83" t="n"/>
      <c r="C17" s="83">
        <f>ROWS($C$16:$C$16)&amp;" lot(s)"</f>
        <v/>
      </c>
      <c r="D17" s="83" t="inlineStr">
        <is>
          <t>SUBTOTAL — M I SCRAP TRADERS</t>
        </is>
      </c>
      <c r="E17" s="83" t="inlineStr">
        <is>
          <t>–</t>
        </is>
      </c>
      <c r="F17" s="83">
        <f>SUM(F16:F16)</f>
        <v/>
      </c>
      <c r="G17" s="83" t="inlineStr">
        <is>
          <t>–</t>
        </is>
      </c>
      <c r="H17" s="84" t="inlineStr">
        <is>
          <t>–</t>
        </is>
      </c>
      <c r="I17" s="84">
        <f>SUM(I16:I16)</f>
        <v/>
      </c>
      <c r="J17" s="84">
        <f>SUM(J16:J16)</f>
        <v/>
      </c>
      <c r="K17" s="84">
        <f>SUM(K16:K16)</f>
        <v/>
      </c>
      <c r="L17" s="84">
        <f>SUM(L16:L16)</f>
        <v/>
      </c>
      <c r="M17" s="84">
        <f>SUM(M16:M16)</f>
        <v/>
      </c>
      <c r="N17" s="84">
        <f>SUM(N16:N16)</f>
        <v/>
      </c>
      <c r="O17" s="85">
        <f>SUM(O16:O16)</f>
        <v/>
      </c>
      <c r="P17" s="84">
        <f>SUM(P16:P16)</f>
        <v/>
      </c>
      <c r="Q17" s="84">
        <f>SUM(Q16:Q16)</f>
        <v/>
      </c>
      <c r="R17" s="86" t="inlineStr">
        <is>
          <t>–</t>
        </is>
      </c>
      <c r="S17" s="84">
        <f>SUM(S16:S16)</f>
        <v/>
      </c>
      <c r="T17" s="84">
        <f>SUM(T16:T16)</f>
        <v/>
      </c>
      <c r="U17" s="84">
        <f>SUM(U16:U16)</f>
        <v/>
      </c>
      <c r="V17" s="87">
        <f>SUM(V16:V16)</f>
        <v/>
      </c>
      <c r="W17" s="84" t="inlineStr">
        <is>
          <t>–</t>
        </is>
      </c>
      <c r="X17" s="84">
        <f>SUM(X16:X16)</f>
        <v/>
      </c>
      <c r="Y17" s="84">
        <f>SUM(Y16:Y16)</f>
        <v/>
      </c>
      <c r="Z17" s="84" t="inlineStr">
        <is>
          <t>–</t>
        </is>
      </c>
      <c r="AA17" s="84">
        <f>SUM(AA16:AA16)</f>
        <v/>
      </c>
      <c r="AB17" s="84">
        <f>SUM(AB16:AB16)</f>
        <v/>
      </c>
      <c r="AC17" s="84" t="inlineStr">
        <is>
          <t>–</t>
        </is>
      </c>
      <c r="AD17" s="84">
        <f>SUM(AD16:AD16)</f>
        <v/>
      </c>
      <c r="AE17" s="84">
        <f>SUM(AE16:AE16)</f>
        <v/>
      </c>
      <c r="AF17" s="89">
        <f>IF(AE17&lt;=5,"SETTLED","OUTSTANDING")</f>
        <v/>
      </c>
      <c r="AG17" s="84" t="inlineStr">
        <is>
          <t>–</t>
        </is>
      </c>
      <c r="AH17" s="88" t="inlineStr">
        <is>
          <t>–</t>
        </is>
      </c>
      <c r="AI17" s="84" t="inlineStr">
        <is>
          <t>–</t>
        </is>
      </c>
    </row>
    <row r="18" outlineLevel="1" ht="15" customHeight="1" s="137">
      <c r="A18" s="67" t="n">
        <v>1</v>
      </c>
      <c r="B18" s="76">
        <f>IF('Final Calculation Sheet'!$F$5="","",'Final Calculation Sheet'!$F$5)</f>
        <v/>
      </c>
      <c r="C18" s="76">
        <f>IF('Final Calculation Sheet'!$G$5="","",'Final Calculation Sheet'!$G$5)</f>
        <v/>
      </c>
      <c r="D18" s="80">
        <f>IF('Final Calculation Sheet'!$B$5="","",'Final Calculation Sheet'!$B$5)</f>
        <v/>
      </c>
      <c r="E18" s="80">
        <f>IF('Final Calculation Sheet'!$D$5="","",'Final Calculation Sheet'!$D$5)</f>
        <v/>
      </c>
      <c r="F18" s="80">
        <f>IF('Final Calculation Sheet'!$A$5="","",'Final Calculation Sheet'!$A$5)</f>
        <v/>
      </c>
      <c r="G18" s="80">
        <f>IF('Final Calculation Sheet'!$E$5="","",'Final Calculation Sheet'!$E$5)</f>
        <v/>
      </c>
      <c r="H18" s="70">
        <f>IF('Final Calculation Sheet'!$C$5="","",'Final Calculation Sheet'!$C$5)</f>
        <v/>
      </c>
      <c r="I18" s="70">
        <f>IF('Final Calculation Sheet'!$H$5="","",'Final Calculation Sheet'!$H$5)</f>
        <v/>
      </c>
      <c r="J18" s="70">
        <f>IF('Final Calculation Sheet'!$I$5="","",'Final Calculation Sheet'!$I$5)</f>
        <v/>
      </c>
      <c r="K18" s="70">
        <f>IF('Final Calculation Sheet'!$J$5="","",'Final Calculation Sheet'!$J$5)</f>
        <v/>
      </c>
      <c r="L18" s="70">
        <f>IF('Final Calculation Sheet'!$K$5="","",'Final Calculation Sheet'!$K$5)</f>
        <v/>
      </c>
      <c r="M18" s="70">
        <f>IF('Final Calculation Sheet'!$L$5="","",'Final Calculation Sheet'!$L$5)</f>
        <v/>
      </c>
      <c r="N18" s="70">
        <f>IF('Final Calculation Sheet'!$M$5="","",'Final Calculation Sheet'!$M$5)</f>
        <v/>
      </c>
      <c r="O18" s="71">
        <f>IF('Final Calculation Sheet'!$N$5="","",'Final Calculation Sheet'!$N$5)</f>
        <v/>
      </c>
      <c r="P18" s="70">
        <f>IF('Final Calculation Sheet'!$O$5="","",'Final Calculation Sheet'!$O$5)</f>
        <v/>
      </c>
      <c r="Q18" s="70">
        <f>IF('Final Calculation Sheet'!$P$5="","",'Final Calculation Sheet'!$P$5)</f>
        <v/>
      </c>
      <c r="R18" s="72">
        <f>IF('Final Calculation Sheet'!$Q$5="","",'Final Calculation Sheet'!$Q$5)</f>
        <v/>
      </c>
      <c r="S18" s="70">
        <f>IF('Final Calculation Sheet'!$R$5="","",'Final Calculation Sheet'!$R$5)</f>
        <v/>
      </c>
      <c r="T18" s="70">
        <f>IF('Final Calculation Sheet'!$S$5="","",'Final Calculation Sheet'!$S$5)</f>
        <v/>
      </c>
      <c r="U18" s="70">
        <f>IF('Final Calculation Sheet'!$T$5="","",'Final Calculation Sheet'!$T$5)</f>
        <v/>
      </c>
      <c r="V18" s="73">
        <f>IF('Final Calculation Sheet'!$U$5="","",'Final Calculation Sheet'!$U$5)</f>
        <v/>
      </c>
      <c r="W18" s="70">
        <f>IF('Final Calculation Sheet'!$V$5="","",'Final Calculation Sheet'!$V$5)</f>
        <v/>
      </c>
      <c r="X18" s="70">
        <f>IF('Final Calculation Sheet'!$W$5="","",'Final Calculation Sheet'!$W$5)</f>
        <v/>
      </c>
      <c r="Y18" s="70">
        <f>IF('Final Calculation Sheet'!$X$5="","",'Final Calculation Sheet'!$X$5)</f>
        <v/>
      </c>
      <c r="Z18" s="70">
        <f>IF('Final Calculation Sheet'!$Y$5="","",'Final Calculation Sheet'!$Y$5)</f>
        <v/>
      </c>
      <c r="AA18" s="70">
        <f>IF('Final Calculation Sheet'!$Z$5="","",'Final Calculation Sheet'!$Z$5)</f>
        <v/>
      </c>
      <c r="AB18" s="70">
        <f>IF('Final Calculation Sheet'!$AA$5="","",'Final Calculation Sheet'!$AA$5)</f>
        <v/>
      </c>
      <c r="AC18" s="70">
        <f>IF('Final Calculation Sheet'!$AB$5="","",'Final Calculation Sheet'!$AB$5)</f>
        <v/>
      </c>
      <c r="AD18" s="70">
        <f>IF('Final Calculation Sheet'!$AC$5="","",'Final Calculation Sheet'!$AC$5)</f>
        <v/>
      </c>
      <c r="AE18" s="70">
        <f>IF('Final Calculation Sheet'!$AD$5="","",'Final Calculation Sheet'!$AD$5)</f>
        <v/>
      </c>
      <c r="AF18" s="75">
        <f>IF('Final Calculation Sheet'!$AD$5="","",IF('Final Calculation Sheet'!$AD$5&lt;=5,"SETTLED","OUTSTANDING"))</f>
        <v/>
      </c>
      <c r="AG18" s="70">
        <f>IF('Final Calculation Sheet'!$AF$5="","",'Final Calculation Sheet'!$AF$5)</f>
        <v/>
      </c>
      <c r="AH18" s="74">
        <f>IF('Final Calculation Sheet'!$AG$5="","",'Final Calculation Sheet'!$AG$5)</f>
        <v/>
      </c>
      <c r="AI18" s="70">
        <f>IF('Final Calculation Sheet'!$AH$5="","",'Final Calculation Sheet'!$AH$5)</f>
        <v/>
      </c>
      <c r="AJ18">
        <f>IF(AND(IF($B$4="",TRUE(),IF($B$4="(blank)",'Final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Sheet'!$AD$5&lt;=5,"SETTLED","OUTSTANDING"))))))),1,0)</f>
      </c>
      <c r="AK18">
        <f>IF(AJ18=1,COUNTIF(AJ$7:AJ18,1),"")</f>
        <v/>
      </c>
    </row>
    <row r="19" outlineLevel="1" ht="15" customHeight="1" s="137">
      <c r="A19" s="90" t="n">
        <v>2</v>
      </c>
      <c r="B19" s="92">
        <f>IF('Final Calculation Sheet'!$F$10="","",'Final Calculation Sheet'!$F$10)</f>
        <v/>
      </c>
      <c r="C19" s="92">
        <f>IF('Final Calculation Sheet'!$G$10="","",'Final Calculation Sheet'!$G$10)</f>
        <v/>
      </c>
      <c r="D19" s="94">
        <f>IF('Final Calculation Sheet'!$B$10="","",'Final Calculation Sheet'!$B$10)</f>
        <v/>
      </c>
      <c r="E19" s="94">
        <f>IF('Final Calculation Sheet'!$D$10="","",'Final Calculation Sheet'!$D$10)</f>
        <v/>
      </c>
      <c r="F19" s="94">
        <f>IF('Final Calculation Sheet'!$A$10="","",'Final Calculation Sheet'!$A$10)</f>
        <v/>
      </c>
      <c r="G19" s="94">
        <f>IF('Final Calculation Sheet'!$E$10="","",'Final Calculation Sheet'!$E$10)</f>
        <v/>
      </c>
      <c r="H19" s="95">
        <f>IF('Final Calculation Sheet'!$C$10="","",'Final Calculation Sheet'!$C$10)</f>
        <v/>
      </c>
      <c r="I19" s="95">
        <f>IF('Final Calculation Sheet'!$H$10="","",'Final Calculation Sheet'!$H$10)</f>
        <v/>
      </c>
      <c r="J19" s="95">
        <f>IF('Final Calculation Sheet'!$I$10="","",'Final Calculation Sheet'!$I$10)</f>
        <v/>
      </c>
      <c r="K19" s="95">
        <f>IF('Final Calculation Sheet'!$J$10="","",'Final Calculation Sheet'!$J$10)</f>
        <v/>
      </c>
      <c r="L19" s="95">
        <f>IF('Final Calculation Sheet'!$K$10="","",'Final Calculation Sheet'!$K$10)</f>
        <v/>
      </c>
      <c r="M19" s="95">
        <f>IF('Final Calculation Sheet'!$L$10="","",'Final Calculation Sheet'!$L$10)</f>
        <v/>
      </c>
      <c r="N19" s="95">
        <f>IF('Final Calculation Sheet'!$M$10="","",'Final Calculation Sheet'!$M$10)</f>
        <v/>
      </c>
      <c r="O19" s="96">
        <f>IF('Final Calculation Sheet'!$N$10="","",'Final Calculation Sheet'!$N$10)</f>
        <v/>
      </c>
      <c r="P19" s="95">
        <f>IF('Final Calculation Sheet'!$O$10="","",'Final Calculation Sheet'!$O$10)</f>
        <v/>
      </c>
      <c r="Q19" s="95">
        <f>IF('Final Calculation Sheet'!$P$10="","",'Final Calculation Sheet'!$P$10)</f>
        <v/>
      </c>
      <c r="R19" s="97">
        <f>IF('Final Calculation Sheet'!$Q$10="","",'Final Calculation Sheet'!$Q$10)</f>
        <v/>
      </c>
      <c r="S19" s="95">
        <f>IF('Final Calculation Sheet'!$R$10="","",'Final Calculation Sheet'!$R$10)</f>
        <v/>
      </c>
      <c r="T19" s="95">
        <f>IF('Final Calculation Sheet'!$S$10="","",'Final Calculation Sheet'!$S$10)</f>
        <v/>
      </c>
      <c r="U19" s="95">
        <f>IF('Final Calculation Sheet'!$T$10="","",'Final Calculation Sheet'!$T$10)</f>
        <v/>
      </c>
      <c r="V19" s="98">
        <f>IF('Final Calculation Sheet'!$U$10="","",'Final Calculation Sheet'!$U$10)</f>
        <v/>
      </c>
      <c r="W19" s="95">
        <f>IF('Final Calculation Sheet'!$V$10="","",'Final Calculation Sheet'!$V$10)</f>
        <v/>
      </c>
      <c r="X19" s="95">
        <f>IF('Final Calculation Sheet'!$W$10="","",'Final Calculation Sheet'!$W$10)</f>
        <v/>
      </c>
      <c r="Y19" s="95">
        <f>IF('Final Calculation Sheet'!$X$10="","",'Final Calculation Sheet'!$X$10)</f>
        <v/>
      </c>
      <c r="Z19" s="95">
        <f>IF('Final Calculation Sheet'!$Y$10="","",'Final Calculation Sheet'!$Y$10)</f>
        <v/>
      </c>
      <c r="AA19" s="95">
        <f>IF('Final Calculation Sheet'!$Z$10="","",'Final Calculation Sheet'!$Z$10)</f>
        <v/>
      </c>
      <c r="AB19" s="95">
        <f>IF('Final Calculation Sheet'!$AA$10="","",'Final Calculation Sheet'!$AA$10)</f>
        <v/>
      </c>
      <c r="AC19" s="95">
        <f>IF('Final Calculation Sheet'!$AB$10="","",'Final Calculation Sheet'!$AB$10)</f>
        <v/>
      </c>
      <c r="AD19" s="95">
        <f>IF('Final Calculation Sheet'!$AC$10="","",'Final Calculation Sheet'!$AC$10)</f>
        <v/>
      </c>
      <c r="AE19" s="95">
        <f>IF('Final Calculation Sheet'!$AD$10="","",'Final Calculation Sheet'!$AD$10)</f>
        <v/>
      </c>
      <c r="AF19" s="100">
        <f>IF('Final Calculation Sheet'!$AD$10="","",IF('Final Calculation Sheet'!$AD$10&lt;=5,"SETTLED","OUTSTANDING"))</f>
        <v/>
      </c>
      <c r="AG19" s="95">
        <f>IF('Final Calculation Sheet'!$AF$10="","",'Final Calculation Sheet'!$AF$10)</f>
        <v/>
      </c>
      <c r="AH19" s="99">
        <f>IF('Final Calculation Sheet'!$AG$10="","",'Final Calculation Sheet'!$AG$10)</f>
        <v/>
      </c>
      <c r="AI19" s="95">
        <f>IF('Final Calculation Sheet'!$AH$10="","",'Final Calculation Sheet'!$AH$10)</f>
        <v/>
      </c>
      <c r="AJ19">
        <f>IF(AND(IF($B$4="",TRUE(),IF($B$4="(blank)",'Final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Sheet'!$AD$10&lt;=5,"SETTLED","OUTSTANDING"))))))),1,0)</f>
      </c>
      <c r="AK19">
        <f>IF(AJ19=1,COUNTIF(AJ$7:AJ19,1),"")</f>
        <v/>
      </c>
    </row>
    <row r="20" outlineLevel="1" ht="15" customHeight="1" s="137">
      <c r="A20" s="67" t="n">
        <v>3</v>
      </c>
      <c r="B20" s="76">
        <f>IF('Final Calculation Sheet'!$F$11="","",'Final Calculation Sheet'!$F$11)</f>
        <v/>
      </c>
      <c r="C20" s="76">
        <f>IF('Final Calculation Sheet'!$G$11="","",'Final Calculation Sheet'!$G$11)</f>
        <v/>
      </c>
      <c r="D20" s="80">
        <f>IF('Final Calculation Sheet'!$B$11="","",'Final Calculation Sheet'!$B$11)</f>
        <v/>
      </c>
      <c r="E20" s="80">
        <f>IF('Final Calculation Sheet'!$D$11="","",'Final Calculation Sheet'!$D$11)</f>
        <v/>
      </c>
      <c r="F20" s="80">
        <f>IF('Final Calculation Sheet'!$A$11="","",'Final Calculation Sheet'!$A$11)</f>
        <v/>
      </c>
      <c r="G20" s="80">
        <f>IF('Final Calculation Sheet'!$E$11="","",'Final Calculation Sheet'!$E$11)</f>
        <v/>
      </c>
      <c r="H20" s="70">
        <f>IF('Final Calculation Sheet'!$C$11="","",'Final Calculation Sheet'!$C$11)</f>
        <v/>
      </c>
      <c r="I20" s="70">
        <f>IF('Final Calculation Sheet'!$H$11="","",'Final Calculation Sheet'!$H$11)</f>
        <v/>
      </c>
      <c r="J20" s="70">
        <f>IF('Final Calculation Sheet'!$I$11="","",'Final Calculation Sheet'!$I$11)</f>
        <v/>
      </c>
      <c r="K20" s="70">
        <f>IF('Final Calculation Sheet'!$J$11="","",'Final Calculation Sheet'!$J$11)</f>
        <v/>
      </c>
      <c r="L20" s="70">
        <f>IF('Final Calculation Sheet'!$K$11="","",'Final Calculation Sheet'!$K$11)</f>
        <v/>
      </c>
      <c r="M20" s="70">
        <f>IF('Final Calculation Sheet'!$L$11="","",'Final Calculation Sheet'!$L$11)</f>
        <v/>
      </c>
      <c r="N20" s="70">
        <f>IF('Final Calculation Sheet'!$M$11="","",'Final Calculation Sheet'!$M$11)</f>
        <v/>
      </c>
      <c r="O20" s="71">
        <f>IF('Final Calculation Sheet'!$N$11="","",'Final Calculation Sheet'!$N$11)</f>
        <v/>
      </c>
      <c r="P20" s="70">
        <f>IF('Final Calculation Sheet'!$O$11="","",'Final Calculation Sheet'!$O$11)</f>
        <v/>
      </c>
      <c r="Q20" s="70">
        <f>IF('Final Calculation Sheet'!$P$11="","",'Final Calculation Sheet'!$P$11)</f>
        <v/>
      </c>
      <c r="R20" s="72">
        <f>IF('Final Calculation Sheet'!$Q$11="","",'Final Calculation Sheet'!$Q$11)</f>
        <v/>
      </c>
      <c r="S20" s="70">
        <f>IF('Final Calculation Sheet'!$R$11="","",'Final Calculation Sheet'!$R$11)</f>
        <v/>
      </c>
      <c r="T20" s="70">
        <f>IF('Final Calculation Sheet'!$S$11="","",'Final Calculation Sheet'!$S$11)</f>
        <v/>
      </c>
      <c r="U20" s="70">
        <f>IF('Final Calculation Sheet'!$T$11="","",'Final Calculation Sheet'!$T$11)</f>
        <v/>
      </c>
      <c r="V20" s="73">
        <f>IF('Final Calculation Sheet'!$U$11="","",'Final Calculation Sheet'!$U$11)</f>
        <v/>
      </c>
      <c r="W20" s="70">
        <f>IF('Final Calculation Sheet'!$V$11="","",'Final Calculation Sheet'!$V$11)</f>
        <v/>
      </c>
      <c r="X20" s="70">
        <f>IF('Final Calculation Sheet'!$W$11="","",'Final Calculation Sheet'!$W$11)</f>
        <v/>
      </c>
      <c r="Y20" s="70">
        <f>IF('Final Calculation Sheet'!$X$11="","",'Final Calculation Sheet'!$X$11)</f>
        <v/>
      </c>
      <c r="Z20" s="70">
        <f>IF('Final Calculation Sheet'!$Y$11="","",'Final Calculation Sheet'!$Y$11)</f>
        <v/>
      </c>
      <c r="AA20" s="70">
        <f>IF('Final Calculation Sheet'!$Z$11="","",'Final Calculation Sheet'!$Z$11)</f>
        <v/>
      </c>
      <c r="AB20" s="70">
        <f>IF('Final Calculation Sheet'!$AA$11="","",'Final Calculation Sheet'!$AA$11)</f>
        <v/>
      </c>
      <c r="AC20" s="70">
        <f>IF('Final Calculation Sheet'!$AB$11="","",'Final Calculation Sheet'!$AB$11)</f>
        <v/>
      </c>
      <c r="AD20" s="70">
        <f>IF('Final Calculation Sheet'!$AC$11="","",'Final Calculation Sheet'!$AC$11)</f>
        <v/>
      </c>
      <c r="AE20" s="70">
        <f>IF('Final Calculation Sheet'!$AD$11="","",'Final Calculation Sheet'!$AD$11)</f>
        <v/>
      </c>
      <c r="AF20" s="75">
        <f>IF('Final Calculation Sheet'!$AD$11="","",IF('Final Calculation Sheet'!$AD$11&lt;=5,"SETTLED","OUTSTANDING"))</f>
        <v/>
      </c>
      <c r="AG20" s="70">
        <f>IF('Final Calculation Sheet'!$AF$11="","",'Final Calculation Sheet'!$AF$11)</f>
        <v/>
      </c>
      <c r="AH20" s="74">
        <f>IF('Final Calculation Sheet'!$AG$11="","",'Final Calculation Sheet'!$AG$11)</f>
        <v/>
      </c>
      <c r="AI20" s="70">
        <f>IF('Final Calculation Sheet'!$AH$11="","",'Final Calculation Sheet'!$AH$11)</f>
        <v/>
      </c>
      <c r="AJ20">
        <f>IF(AND(IF($B$4="",TRUE(),IF($B$4="(blank)",'Final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Sheet'!$AD$11&lt;=5,"SETTLED","OUTSTANDING"))))))),1,0)</f>
      </c>
      <c r="AK20">
        <f>IF(AJ20=1,COUNTIF(AJ$7:AJ20,1),"")</f>
        <v/>
      </c>
    </row>
    <row r="21" outlineLevel="1" ht="15" customHeight="1" s="137">
      <c r="A21" s="90" t="n">
        <v>4</v>
      </c>
      <c r="B21" s="92">
        <f>IF('Final Calculation Sheet'!$F$12="","",'Final Calculation Sheet'!$F$12)</f>
        <v/>
      </c>
      <c r="C21" s="92">
        <f>IF('Final Calculation Sheet'!$G$12="","",'Final Calculation Sheet'!$G$12)</f>
        <v/>
      </c>
      <c r="D21" s="94">
        <f>IF('Final Calculation Sheet'!$B$12="","",'Final Calculation Sheet'!$B$12)</f>
        <v/>
      </c>
      <c r="E21" s="94">
        <f>IF('Final Calculation Sheet'!$D$12="","",'Final Calculation Sheet'!$D$12)</f>
        <v/>
      </c>
      <c r="F21" s="94">
        <f>IF('Final Calculation Sheet'!$A$12="","",'Final Calculation Sheet'!$A$12)</f>
        <v/>
      </c>
      <c r="G21" s="94">
        <f>IF('Final Calculation Sheet'!$E$12="","",'Final Calculation Sheet'!$E$12)</f>
        <v/>
      </c>
      <c r="H21" s="95">
        <f>IF('Final Calculation Sheet'!$C$12="","",'Final Calculation Sheet'!$C$12)</f>
        <v/>
      </c>
      <c r="I21" s="95">
        <f>IF('Final Calculation Sheet'!$H$12="","",'Final Calculation Sheet'!$H$12)</f>
        <v/>
      </c>
      <c r="J21" s="95">
        <f>IF('Final Calculation Sheet'!$I$12="","",'Final Calculation Sheet'!$I$12)</f>
        <v/>
      </c>
      <c r="K21" s="95">
        <f>IF('Final Calculation Sheet'!$J$12="","",'Final Calculation Sheet'!$J$12)</f>
        <v/>
      </c>
      <c r="L21" s="95">
        <f>IF('Final Calculation Sheet'!$K$12="","",'Final Calculation Sheet'!$K$12)</f>
        <v/>
      </c>
      <c r="M21" s="95">
        <f>IF('Final Calculation Sheet'!$L$12="","",'Final Calculation Sheet'!$L$12)</f>
        <v/>
      </c>
      <c r="N21" s="95">
        <f>IF('Final Calculation Sheet'!$M$12="","",'Final Calculation Sheet'!$M$12)</f>
        <v/>
      </c>
      <c r="O21" s="96">
        <f>IF('Final Calculation Sheet'!$N$12="","",'Final Calculation Sheet'!$N$12)</f>
        <v/>
      </c>
      <c r="P21" s="95">
        <f>IF('Final Calculation Sheet'!$O$12="","",'Final Calculation Sheet'!$O$12)</f>
        <v/>
      </c>
      <c r="Q21" s="95">
        <f>IF('Final Calculation Sheet'!$P$12="","",'Final Calculation Sheet'!$P$12)</f>
        <v/>
      </c>
      <c r="R21" s="97">
        <f>IF('Final Calculation Sheet'!$Q$12="","",'Final Calculation Sheet'!$Q$12)</f>
        <v/>
      </c>
      <c r="S21" s="95">
        <f>IF('Final Calculation Sheet'!$R$12="","",'Final Calculation Sheet'!$R$12)</f>
        <v/>
      </c>
      <c r="T21" s="95">
        <f>IF('Final Calculation Sheet'!$S$12="","",'Final Calculation Sheet'!$S$12)</f>
        <v/>
      </c>
      <c r="U21" s="95">
        <f>IF('Final Calculation Sheet'!$T$12="","",'Final Calculation Sheet'!$T$12)</f>
        <v/>
      </c>
      <c r="V21" s="98">
        <f>IF('Final Calculation Sheet'!$U$12="","",'Final Calculation Sheet'!$U$12)</f>
        <v/>
      </c>
      <c r="W21" s="95">
        <f>IF('Final Calculation Sheet'!$V$12="","",'Final Calculation Sheet'!$V$12)</f>
        <v/>
      </c>
      <c r="X21" s="95">
        <f>IF('Final Calculation Sheet'!$W$12="","",'Final Calculation Sheet'!$W$12)</f>
        <v/>
      </c>
      <c r="Y21" s="95">
        <f>IF('Final Calculation Sheet'!$X$12="","",'Final Calculation Sheet'!$X$12)</f>
        <v/>
      </c>
      <c r="Z21" s="95">
        <f>IF('Final Calculation Sheet'!$Y$12="","",'Final Calculation Sheet'!$Y$12)</f>
        <v/>
      </c>
      <c r="AA21" s="95">
        <f>IF('Final Calculation Sheet'!$Z$12="","",'Final Calculation Sheet'!$Z$12)</f>
        <v/>
      </c>
      <c r="AB21" s="95">
        <f>IF('Final Calculation Sheet'!$AA$12="","",'Final Calculation Sheet'!$AA$12)</f>
        <v/>
      </c>
      <c r="AC21" s="95">
        <f>IF('Final Calculation Sheet'!$AB$12="","",'Final Calculation Sheet'!$AB$12)</f>
        <v/>
      </c>
      <c r="AD21" s="95">
        <f>IF('Final Calculation Sheet'!$AC$12="","",'Final Calculation Sheet'!$AC$12)</f>
        <v/>
      </c>
      <c r="AE21" s="95">
        <f>IF('Final Calculation Sheet'!$AD$12="","",'Final Calculation Sheet'!$AD$12)</f>
        <v/>
      </c>
      <c r="AF21" s="100">
        <f>IF('Final Calculation Sheet'!$AD$12="","",IF('Final Calculation Sheet'!$AD$12&lt;=5,"SETTLED","OUTSTANDING"))</f>
        <v/>
      </c>
      <c r="AG21" s="95">
        <f>IF('Final Calculation Sheet'!$AF$12="","",'Final Calculation Sheet'!$AF$12)</f>
        <v/>
      </c>
      <c r="AH21" s="99">
        <f>IF('Final Calculation Sheet'!$AG$12="","",'Final Calculation Sheet'!$AG$12)</f>
        <v/>
      </c>
      <c r="AI21" s="95">
        <f>IF('Final Calculation Sheet'!$AH$12="","",'Final Calculation Sheet'!$AH$12)</f>
        <v/>
      </c>
      <c r="AJ21">
        <f>IF(AND(IF($B$4="",TRUE(),IF($B$4="(blank)",'Final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Sheet'!$AD$12&lt;=5,"SETTLED","OUTSTANDING"))))))),1,0)</f>
      </c>
      <c r="AK21">
        <f>IF(AJ21=1,COUNTIF(AJ$7:AJ21,1),"")</f>
        <v/>
      </c>
    </row>
    <row r="22" outlineLevel="1" ht="15" customHeight="1" s="137">
      <c r="A22" s="67" t="n">
        <v>5</v>
      </c>
      <c r="B22" s="76">
        <f>IF('Final Calculation Sheet'!$F$18="","",'Final Calculation Sheet'!$F$18)</f>
        <v/>
      </c>
      <c r="C22" s="76">
        <f>IF('Final Calculation Sheet'!$G$18="","",'Final Calculation Sheet'!$G$18)</f>
        <v/>
      </c>
      <c r="D22" s="80">
        <f>IF('Final Calculation Sheet'!$B$18="","",'Final Calculation Sheet'!$B$18)</f>
        <v/>
      </c>
      <c r="E22" s="80">
        <f>IF('Final Calculation Sheet'!$D$18="","",'Final Calculation Sheet'!$D$18)</f>
        <v/>
      </c>
      <c r="F22" s="80">
        <f>IF('Final Calculation Sheet'!$A$18="","",'Final Calculation Sheet'!$A$18)</f>
        <v/>
      </c>
      <c r="G22" s="80">
        <f>IF('Final Calculation Sheet'!$E$18="","",'Final Calculation Sheet'!$E$18)</f>
        <v/>
      </c>
      <c r="H22" s="70">
        <f>IF('Final Calculation Sheet'!$C$18="","",'Final Calculation Sheet'!$C$18)</f>
        <v/>
      </c>
      <c r="I22" s="70">
        <f>IF('Final Calculation Sheet'!$H$18="","",'Final Calculation Sheet'!$H$18)</f>
        <v/>
      </c>
      <c r="J22" s="70">
        <f>IF('Final Calculation Sheet'!$I$18="","",'Final Calculation Sheet'!$I$18)</f>
        <v/>
      </c>
      <c r="K22" s="70">
        <f>IF('Final Calculation Sheet'!$J$18="","",'Final Calculation Sheet'!$J$18)</f>
        <v/>
      </c>
      <c r="L22" s="70">
        <f>IF('Final Calculation Sheet'!$K$18="","",'Final Calculation Sheet'!$K$18)</f>
        <v/>
      </c>
      <c r="M22" s="70">
        <f>IF('Final Calculation Sheet'!$L$18="","",'Final Calculation Sheet'!$L$18)</f>
        <v/>
      </c>
      <c r="N22" s="70">
        <f>IF('Final Calculation Sheet'!$M$18="","",'Final Calculation Sheet'!$M$18)</f>
        <v/>
      </c>
      <c r="O22" s="71">
        <f>IF('Final Calculation Sheet'!$N$18="","",'Final Calculation Sheet'!$N$18)</f>
        <v/>
      </c>
      <c r="P22" s="70">
        <f>IF('Final Calculation Sheet'!$O$18="","",'Final Calculation Sheet'!$O$18)</f>
        <v/>
      </c>
      <c r="Q22" s="70">
        <f>IF('Final Calculation Sheet'!$P$18="","",'Final Calculation Sheet'!$P$18)</f>
        <v/>
      </c>
      <c r="R22" s="72">
        <f>IF('Final Calculation Sheet'!$Q$18="","",'Final Calculation Sheet'!$Q$18)</f>
        <v/>
      </c>
      <c r="S22" s="70">
        <f>IF('Final Calculation Sheet'!$R$18="","",'Final Calculation Sheet'!$R$18)</f>
        <v/>
      </c>
      <c r="T22" s="70">
        <f>IF('Final Calculation Sheet'!$S$18="","",'Final Calculation Sheet'!$S$18)</f>
        <v/>
      </c>
      <c r="U22" s="70">
        <f>IF('Final Calculation Sheet'!$T$18="","",'Final Calculation Sheet'!$T$18)</f>
        <v/>
      </c>
      <c r="V22" s="73">
        <f>IF('Final Calculation Sheet'!$U$18="","",'Final Calculation Sheet'!$U$18)</f>
        <v/>
      </c>
      <c r="W22" s="70">
        <f>IF('Final Calculation Sheet'!$V$18="","",'Final Calculation Sheet'!$V$18)</f>
        <v/>
      </c>
      <c r="X22" s="70">
        <f>IF('Final Calculation Sheet'!$W$18="","",'Final Calculation Sheet'!$W$18)</f>
        <v/>
      </c>
      <c r="Y22" s="70">
        <f>IF('Final Calculation Sheet'!$X$18="","",'Final Calculation Sheet'!$X$18)</f>
        <v/>
      </c>
      <c r="Z22" s="70">
        <f>IF('Final Calculation Sheet'!$Y$18="","",'Final Calculation Sheet'!$Y$18)</f>
        <v/>
      </c>
      <c r="AA22" s="70">
        <f>IF('Final Calculation Sheet'!$Z$18="","",'Final Calculation Sheet'!$Z$18)</f>
        <v/>
      </c>
      <c r="AB22" s="70">
        <f>IF('Final Calculation Sheet'!$AA$18="","",'Final Calculation Sheet'!$AA$18)</f>
        <v/>
      </c>
      <c r="AC22" s="70">
        <f>IF('Final Calculation Sheet'!$AB$18="","",'Final Calculation Sheet'!$AB$18)</f>
        <v/>
      </c>
      <c r="AD22" s="70">
        <f>IF('Final Calculation Sheet'!$AC$18="","",'Final Calculation Sheet'!$AC$18)</f>
        <v/>
      </c>
      <c r="AE22" s="70">
        <f>IF('Final Calculation Sheet'!$AD$18="","",'Final Calculation Sheet'!$AD$18)</f>
        <v/>
      </c>
      <c r="AF22" s="75">
        <f>IF('Final Calculation Sheet'!$AD$18="","",IF('Final Calculation Sheet'!$AD$18&lt;=5,"SETTLED","OUTSTANDING"))</f>
        <v/>
      </c>
      <c r="AG22" s="70">
        <f>IF('Final Calculation Sheet'!$AF$18="","",'Final Calculation Sheet'!$AF$18)</f>
        <v/>
      </c>
      <c r="AH22" s="74">
        <f>IF('Final Calculation Sheet'!$AG$18="","",'Final Calculation Sheet'!$AG$18)</f>
        <v/>
      </c>
      <c r="AI22" s="70">
        <f>IF('Final Calculation Sheet'!$AH$18="","",'Final Calculation Sheet'!$AH$18)</f>
        <v/>
      </c>
      <c r="AJ22">
        <f>IF(AND(IF($B$4="",TRUE(),IF($B$4="(blank)",'Final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Sheet'!$AD$18&lt;=5,"SETTLED","OUTSTANDING"))))))),1,0)</f>
      </c>
      <c r="AK22">
        <f>IF(AJ22=1,COUNTIF(AJ$7:AJ22,1),"")</f>
        <v/>
      </c>
    </row>
    <row r="23" outlineLevel="1" ht="15" customHeight="1" s="137">
      <c r="A23" s="90" t="n">
        <v>6</v>
      </c>
      <c r="B23" s="92">
        <f>IF('Final Calculation Sheet'!$F$19="","",'Final Calculation Sheet'!$F$19)</f>
        <v/>
      </c>
      <c r="C23" s="92">
        <f>IF('Final Calculation Sheet'!$G$19="","",'Final Calculation Sheet'!$G$19)</f>
        <v/>
      </c>
      <c r="D23" s="94">
        <f>IF('Final Calculation Sheet'!$B$19="","",'Final Calculation Sheet'!$B$19)</f>
        <v/>
      </c>
      <c r="E23" s="94">
        <f>IF('Final Calculation Sheet'!$D$19="","",'Final Calculation Sheet'!$D$19)</f>
        <v/>
      </c>
      <c r="F23" s="94">
        <f>IF('Final Calculation Sheet'!$A$19="","",'Final Calculation Sheet'!$A$19)</f>
        <v/>
      </c>
      <c r="G23" s="94">
        <f>IF('Final Calculation Sheet'!$E$19="","",'Final Calculation Sheet'!$E$19)</f>
        <v/>
      </c>
      <c r="H23" s="95">
        <f>IF('Final Calculation Sheet'!$C$19="","",'Final Calculation Sheet'!$C$19)</f>
        <v/>
      </c>
      <c r="I23" s="95">
        <f>IF('Final Calculation Sheet'!$H$19="","",'Final Calculation Sheet'!$H$19)</f>
        <v/>
      </c>
      <c r="J23" s="95">
        <f>IF('Final Calculation Sheet'!$I$19="","",'Final Calculation Sheet'!$I$19)</f>
        <v/>
      </c>
      <c r="K23" s="95">
        <f>IF('Final Calculation Sheet'!$J$19="","",'Final Calculation Sheet'!$J$19)</f>
        <v/>
      </c>
      <c r="L23" s="95">
        <f>IF('Final Calculation Sheet'!$K$19="","",'Final Calculation Sheet'!$K$19)</f>
        <v/>
      </c>
      <c r="M23" s="95">
        <f>IF('Final Calculation Sheet'!$L$19="","",'Final Calculation Sheet'!$L$19)</f>
        <v/>
      </c>
      <c r="N23" s="95">
        <f>IF('Final Calculation Sheet'!$M$19="","",'Final Calculation Sheet'!$M$19)</f>
        <v/>
      </c>
      <c r="O23" s="96">
        <f>IF('Final Calculation Sheet'!$N$19="","",'Final Calculation Sheet'!$N$19)</f>
        <v/>
      </c>
      <c r="P23" s="95">
        <f>IF('Final Calculation Sheet'!$O$19="","",'Final Calculation Sheet'!$O$19)</f>
        <v/>
      </c>
      <c r="Q23" s="95">
        <f>IF('Final Calculation Sheet'!$P$19="","",'Final Calculation Sheet'!$P$19)</f>
        <v/>
      </c>
      <c r="R23" s="97">
        <f>IF('Final Calculation Sheet'!$Q$19="","",'Final Calculation Sheet'!$Q$19)</f>
        <v/>
      </c>
      <c r="S23" s="95">
        <f>IF('Final Calculation Sheet'!$R$19="","",'Final Calculation Sheet'!$R$19)</f>
        <v/>
      </c>
      <c r="T23" s="95">
        <f>IF('Final Calculation Sheet'!$S$19="","",'Final Calculation Sheet'!$S$19)</f>
        <v/>
      </c>
      <c r="U23" s="95">
        <f>IF('Final Calculation Sheet'!$T$19="","",'Final Calculation Sheet'!$T$19)</f>
        <v/>
      </c>
      <c r="V23" s="98">
        <f>IF('Final Calculation Sheet'!$U$19="","",'Final Calculation Sheet'!$U$19)</f>
        <v/>
      </c>
      <c r="W23" s="95">
        <f>IF('Final Calculation Sheet'!$V$19="","",'Final Calculation Sheet'!$V$19)</f>
        <v/>
      </c>
      <c r="X23" s="95">
        <f>IF('Final Calculation Sheet'!$W$19="","",'Final Calculation Sheet'!$W$19)</f>
        <v/>
      </c>
      <c r="Y23" s="95">
        <f>IF('Final Calculation Sheet'!$X$19="","",'Final Calculation Sheet'!$X$19)</f>
        <v/>
      </c>
      <c r="Z23" s="95">
        <f>IF('Final Calculation Sheet'!$Y$19="","",'Final Calculation Sheet'!$Y$19)</f>
        <v/>
      </c>
      <c r="AA23" s="95">
        <f>IF('Final Calculation Sheet'!$Z$19="","",'Final Calculation Sheet'!$Z$19)</f>
        <v/>
      </c>
      <c r="AB23" s="95">
        <f>IF('Final Calculation Sheet'!$AA$19="","",'Final Calculation Sheet'!$AA$19)</f>
        <v/>
      </c>
      <c r="AC23" s="95">
        <f>IF('Final Calculation Sheet'!$AB$19="","",'Final Calculation Sheet'!$AB$19)</f>
        <v/>
      </c>
      <c r="AD23" s="95">
        <f>IF('Final Calculation Sheet'!$AC$19="","",'Final Calculation Sheet'!$AC$19)</f>
        <v/>
      </c>
      <c r="AE23" s="95">
        <f>IF('Final Calculation Sheet'!$AD$19="","",'Final Calculation Sheet'!$AD$19)</f>
        <v/>
      </c>
      <c r="AF23" s="100">
        <f>IF('Final Calculation Sheet'!$AD$19="","",IF('Final Calculation Sheet'!$AD$19&lt;=5,"SETTLED","OUTSTANDING"))</f>
        <v/>
      </c>
      <c r="AG23" s="95">
        <f>IF('Final Calculation Sheet'!$AF$19="","",'Final Calculation Sheet'!$AF$19)</f>
        <v/>
      </c>
      <c r="AH23" s="99">
        <f>IF('Final Calculation Sheet'!$AG$19="","",'Final Calculation Sheet'!$AG$19)</f>
        <v/>
      </c>
      <c r="AI23" s="95">
        <f>IF('Final Calculation Sheet'!$AH$19="","",'Final Calculation Sheet'!$AH$19)</f>
        <v/>
      </c>
      <c r="AJ23">
        <f>IF(AND(IF($B$4="",TRUE(),IF($B$4="(blank)",'Final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Sheet'!$AD$19&lt;=5,"SETTLED","OUTSTANDING"))))))),1,0)</f>
      </c>
      <c r="AK23">
        <f>IF(AJ23=1,COUNTIF(AJ$7:AJ23,1),"")</f>
        <v/>
      </c>
    </row>
    <row r="24" outlineLevel="1" ht="15" customHeight="1" s="137">
      <c r="A24" s="67" t="n">
        <v>7</v>
      </c>
      <c r="B24" s="76">
        <f>IF('Final Calculation Sheet'!$F$22="","",'Final Calculation Sheet'!$F$22)</f>
        <v/>
      </c>
      <c r="C24" s="76">
        <f>IF('Final Calculation Sheet'!$G$22="","",'Final Calculation Sheet'!$G$22)</f>
        <v/>
      </c>
      <c r="D24" s="80">
        <f>IF('Final Calculation Sheet'!$B$22="","",'Final Calculation Sheet'!$B$22)</f>
        <v/>
      </c>
      <c r="E24" s="80">
        <f>IF('Final Calculation Sheet'!$D$22="","",'Final Calculation Sheet'!$D$22)</f>
        <v/>
      </c>
      <c r="F24" s="80">
        <f>IF('Final Calculation Sheet'!$A$22="","",'Final Calculation Sheet'!$A$22)</f>
        <v/>
      </c>
      <c r="G24" s="80">
        <f>IF('Final Calculation Sheet'!$E$22="","",'Final Calculation Sheet'!$E$22)</f>
        <v/>
      </c>
      <c r="H24" s="70">
        <f>IF('Final Calculation Sheet'!$C$22="","",'Final Calculation Sheet'!$C$22)</f>
        <v/>
      </c>
      <c r="I24" s="70">
        <f>IF('Final Calculation Sheet'!$H$22="","",'Final Calculation Sheet'!$H$22)</f>
        <v/>
      </c>
      <c r="J24" s="70">
        <f>IF('Final Calculation Sheet'!$I$22="","",'Final Calculation Sheet'!$I$22)</f>
        <v/>
      </c>
      <c r="K24" s="70">
        <f>IF('Final Calculation Sheet'!$J$22="","",'Final Calculation Sheet'!$J$22)</f>
        <v/>
      </c>
      <c r="L24" s="70">
        <f>IF('Final Calculation Sheet'!$K$22="","",'Final Calculation Sheet'!$K$22)</f>
        <v/>
      </c>
      <c r="M24" s="70">
        <f>IF('Final Calculation Sheet'!$L$22="","",'Final Calculation Sheet'!$L$22)</f>
        <v/>
      </c>
      <c r="N24" s="70">
        <f>IF('Final Calculation Sheet'!$M$22="","",'Final Calculation Sheet'!$M$22)</f>
        <v/>
      </c>
      <c r="O24" s="71">
        <f>IF('Final Calculation Sheet'!$N$22="","",'Final Calculation Sheet'!$N$22)</f>
        <v/>
      </c>
      <c r="P24" s="70">
        <f>IF('Final Calculation Sheet'!$O$22="","",'Final Calculation Sheet'!$O$22)</f>
        <v/>
      </c>
      <c r="Q24" s="70">
        <f>IF('Final Calculation Sheet'!$P$22="","",'Final Calculation Sheet'!$P$22)</f>
        <v/>
      </c>
      <c r="R24" s="72">
        <f>IF('Final Calculation Sheet'!$Q$22="","",'Final Calculation Sheet'!$Q$22)</f>
        <v/>
      </c>
      <c r="S24" s="70">
        <f>IF('Final Calculation Sheet'!$R$22="","",'Final Calculation Sheet'!$R$22)</f>
        <v/>
      </c>
      <c r="T24" s="70">
        <f>IF('Final Calculation Sheet'!$S$22="","",'Final Calculation Sheet'!$S$22)</f>
        <v/>
      </c>
      <c r="U24" s="70">
        <f>IF('Final Calculation Sheet'!$T$22="","",'Final Calculation Sheet'!$T$22)</f>
        <v/>
      </c>
      <c r="V24" s="73">
        <f>IF('Final Calculation Sheet'!$U$22="","",'Final Calculation Sheet'!$U$22)</f>
        <v/>
      </c>
      <c r="W24" s="70">
        <f>IF('Final Calculation Sheet'!$V$22="","",'Final Calculation Sheet'!$V$22)</f>
        <v/>
      </c>
      <c r="X24" s="70">
        <f>IF('Final Calculation Sheet'!$W$22="","",'Final Calculation Sheet'!$W$22)</f>
        <v/>
      </c>
      <c r="Y24" s="70">
        <f>IF('Final Calculation Sheet'!$X$22="","",'Final Calculation Sheet'!$X$22)</f>
        <v/>
      </c>
      <c r="Z24" s="70">
        <f>IF('Final Calculation Sheet'!$Y$22="","",'Final Calculation Sheet'!$Y$22)</f>
        <v/>
      </c>
      <c r="AA24" s="70">
        <f>IF('Final Calculation Sheet'!$Z$22="","",'Final Calculation Sheet'!$Z$22)</f>
        <v/>
      </c>
      <c r="AB24" s="70">
        <f>IF('Final Calculation Sheet'!$AA$22="","",'Final Calculation Sheet'!$AA$22)</f>
        <v/>
      </c>
      <c r="AC24" s="70">
        <f>IF('Final Calculation Sheet'!$AB$22="","",'Final Calculation Sheet'!$AB$22)</f>
        <v/>
      </c>
      <c r="AD24" s="70">
        <f>IF('Final Calculation Sheet'!$AC$22="","",'Final Calculation Sheet'!$AC$22)</f>
        <v/>
      </c>
      <c r="AE24" s="70">
        <f>IF('Final Calculation Sheet'!$AD$22="","",'Final Calculation Sheet'!$AD$22)</f>
        <v/>
      </c>
      <c r="AF24" s="75">
        <f>IF('Final Calculation Sheet'!$AD$22="","",IF('Final Calculation Sheet'!$AD$22&lt;=5,"SETTLED","OUTSTANDING"))</f>
        <v/>
      </c>
      <c r="AG24" s="70">
        <f>IF('Final Calculation Sheet'!$AF$22="","",'Final Calculation Sheet'!$AF$22)</f>
        <v/>
      </c>
      <c r="AH24" s="74">
        <f>IF('Final Calculation Sheet'!$AG$22="","",'Final Calculation Sheet'!$AG$22)</f>
        <v/>
      </c>
      <c r="AI24" s="70">
        <f>IF('Final Calculation Sheet'!$AH$22="","",'Final Calculation Sheet'!$AH$22)</f>
        <v/>
      </c>
      <c r="AJ24">
        <f>IF(AND(IF($B$4="",TRUE(),IF($B$4="(blank)",'Final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Sheet'!$AD$22&lt;=5,"SETTLED","OUTSTANDING"))))))),1,0)</f>
      </c>
      <c r="AK24">
        <f>IF(AJ24=1,COUNTIF(AJ$7:AJ24,1),"")</f>
        <v/>
      </c>
    </row>
    <row r="25" outlineLevel="1" ht="15" customHeight="1" s="137">
      <c r="A25" s="90" t="n">
        <v>8</v>
      </c>
      <c r="B25" s="92">
        <f>IF('Final Calculation Sheet'!$F$24="","",'Final Calculation Sheet'!$F$24)</f>
        <v/>
      </c>
      <c r="C25" s="92">
        <f>IF('Final Calculation Sheet'!$G$24="","",'Final Calculation Sheet'!$G$24)</f>
        <v/>
      </c>
      <c r="D25" s="94">
        <f>IF('Final Calculation Sheet'!$B$24="","",'Final Calculation Sheet'!$B$24)</f>
        <v/>
      </c>
      <c r="E25" s="94">
        <f>IF('Final Calculation Sheet'!$D$24="","",'Final Calculation Sheet'!$D$24)</f>
        <v/>
      </c>
      <c r="F25" s="94">
        <f>IF('Final Calculation Sheet'!$A$24="","",'Final Calculation Sheet'!$A$24)</f>
        <v/>
      </c>
      <c r="G25" s="94">
        <f>IF('Final Calculation Sheet'!$E$24="","",'Final Calculation Sheet'!$E$24)</f>
        <v/>
      </c>
      <c r="H25" s="95">
        <f>IF('Final Calculation Sheet'!$C$24="","",'Final Calculation Sheet'!$C$24)</f>
        <v/>
      </c>
      <c r="I25" s="95">
        <f>IF('Final Calculation Sheet'!$H$24="","",'Final Calculation Sheet'!$H$24)</f>
        <v/>
      </c>
      <c r="J25" s="95">
        <f>IF('Final Calculation Sheet'!$I$24="","",'Final Calculation Sheet'!$I$24)</f>
        <v/>
      </c>
      <c r="K25" s="95">
        <f>IF('Final Calculation Sheet'!$J$24="","",'Final Calculation Sheet'!$J$24)</f>
        <v/>
      </c>
      <c r="L25" s="95">
        <f>IF('Final Calculation Sheet'!$K$24="","",'Final Calculation Sheet'!$K$24)</f>
        <v/>
      </c>
      <c r="M25" s="95">
        <f>IF('Final Calculation Sheet'!$L$24="","",'Final Calculation Sheet'!$L$24)</f>
        <v/>
      </c>
      <c r="N25" s="95">
        <f>IF('Final Calculation Sheet'!$M$24="","",'Final Calculation Sheet'!$M$24)</f>
        <v/>
      </c>
      <c r="O25" s="96">
        <f>IF('Final Calculation Sheet'!$N$24="","",'Final Calculation Sheet'!$N$24)</f>
        <v/>
      </c>
      <c r="P25" s="95">
        <f>IF('Final Calculation Sheet'!$O$24="","",'Final Calculation Sheet'!$O$24)</f>
        <v/>
      </c>
      <c r="Q25" s="95">
        <f>IF('Final Calculation Sheet'!$P$24="","",'Final Calculation Sheet'!$P$24)</f>
        <v/>
      </c>
      <c r="R25" s="97">
        <f>IF('Final Calculation Sheet'!$Q$24="","",'Final Calculation Sheet'!$Q$24)</f>
        <v/>
      </c>
      <c r="S25" s="95">
        <f>IF('Final Calculation Sheet'!$R$24="","",'Final Calculation Sheet'!$R$24)</f>
        <v/>
      </c>
      <c r="T25" s="95">
        <f>IF('Final Calculation Sheet'!$S$24="","",'Final Calculation Sheet'!$S$24)</f>
        <v/>
      </c>
      <c r="U25" s="95">
        <f>IF('Final Calculation Sheet'!$T$24="","",'Final Calculation Sheet'!$T$24)</f>
        <v/>
      </c>
      <c r="V25" s="98">
        <f>IF('Final Calculation Sheet'!$U$24="","",'Final Calculation Sheet'!$U$24)</f>
        <v/>
      </c>
      <c r="W25" s="95">
        <f>IF('Final Calculation Sheet'!$V$24="","",'Final Calculation Sheet'!$V$24)</f>
        <v/>
      </c>
      <c r="X25" s="95">
        <f>IF('Final Calculation Sheet'!$W$24="","",'Final Calculation Sheet'!$W$24)</f>
        <v/>
      </c>
      <c r="Y25" s="95">
        <f>IF('Final Calculation Sheet'!$X$24="","",'Final Calculation Sheet'!$X$24)</f>
        <v/>
      </c>
      <c r="Z25" s="95">
        <f>IF('Final Calculation Sheet'!$Y$24="","",'Final Calculation Sheet'!$Y$24)</f>
        <v/>
      </c>
      <c r="AA25" s="95">
        <f>IF('Final Calculation Sheet'!$Z$24="","",'Final Calculation Sheet'!$Z$24)</f>
        <v/>
      </c>
      <c r="AB25" s="95">
        <f>IF('Final Calculation Sheet'!$AA$24="","",'Final Calculation Sheet'!$AA$24)</f>
        <v/>
      </c>
      <c r="AC25" s="95">
        <f>IF('Final Calculation Sheet'!$AB$24="","",'Final Calculation Sheet'!$AB$24)</f>
        <v/>
      </c>
      <c r="AD25" s="95">
        <f>IF('Final Calculation Sheet'!$AC$24="","",'Final Calculation Sheet'!$AC$24)</f>
        <v/>
      </c>
      <c r="AE25" s="95">
        <f>IF('Final Calculation Sheet'!$AD$24="","",'Final Calculation Sheet'!$AD$24)</f>
        <v/>
      </c>
      <c r="AF25" s="100">
        <f>IF('Final Calculation Sheet'!$AD$24="","",IF('Final Calculation Sheet'!$AD$24&lt;=5,"SETTLED","OUTSTANDING"))</f>
        <v/>
      </c>
      <c r="AG25" s="95">
        <f>IF('Final Calculation Sheet'!$AF$24="","",'Final Calculation Sheet'!$AF$24)</f>
        <v/>
      </c>
      <c r="AH25" s="99">
        <f>IF('Final Calculation Sheet'!$AG$24="","",'Final Calculation Sheet'!$AG$24)</f>
        <v/>
      </c>
      <c r="AI25" s="95">
        <f>IF('Final Calculation Sheet'!$AH$24="","",'Final Calculation Sheet'!$AH$24)</f>
        <v/>
      </c>
      <c r="AJ25">
        <f>IF(AND(IF($B$4="",TRUE(),IF($B$4="(blank)",'Final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Sheet'!$AD$24&lt;=5,"SETTLED","OUTSTANDING"))))))),1,0)</f>
      </c>
      <c r="AK25">
        <f>IF(AJ25=1,COUNTIF(AJ$7:AJ25,1),"")</f>
        <v/>
      </c>
    </row>
    <row r="26" outlineLevel="1" ht="15" customHeight="1" s="137">
      <c r="A26" s="67" t="n">
        <v>9</v>
      </c>
      <c r="B26" s="76">
        <f>IF('Final Calculation Sheet'!$F$26="","",'Final Calculation Sheet'!$F$26)</f>
        <v/>
      </c>
      <c r="C26" s="76">
        <f>IF('Final Calculation Sheet'!$G$26="","",'Final Calculation Sheet'!$G$26)</f>
        <v/>
      </c>
      <c r="D26" s="80">
        <f>IF('Final Calculation Sheet'!$B$26="","",'Final Calculation Sheet'!$B$26)</f>
        <v/>
      </c>
      <c r="E26" s="80">
        <f>IF('Final Calculation Sheet'!$D$26="","",'Final Calculation Sheet'!$D$26)</f>
        <v/>
      </c>
      <c r="F26" s="80">
        <f>IF('Final Calculation Sheet'!$A$26="","",'Final Calculation Sheet'!$A$26)</f>
        <v/>
      </c>
      <c r="G26" s="80">
        <f>IF('Final Calculation Sheet'!$E$26="","",'Final Calculation Sheet'!$E$26)</f>
        <v/>
      </c>
      <c r="H26" s="70">
        <f>IF('Final Calculation Sheet'!$C$26="","",'Final Calculation Sheet'!$C$26)</f>
        <v/>
      </c>
      <c r="I26" s="70">
        <f>IF('Final Calculation Sheet'!$H$26="","",'Final Calculation Sheet'!$H$26)</f>
        <v/>
      </c>
      <c r="J26" s="70">
        <f>IF('Final Calculation Sheet'!$I$26="","",'Final Calculation Sheet'!$I$26)</f>
        <v/>
      </c>
      <c r="K26" s="70">
        <f>IF('Final Calculation Sheet'!$J$26="","",'Final Calculation Sheet'!$J$26)</f>
        <v/>
      </c>
      <c r="L26" s="70">
        <f>IF('Final Calculation Sheet'!$K$26="","",'Final Calculation Sheet'!$K$26)</f>
        <v/>
      </c>
      <c r="M26" s="70">
        <f>IF('Final Calculation Sheet'!$L$26="","",'Final Calculation Sheet'!$L$26)</f>
        <v/>
      </c>
      <c r="N26" s="70">
        <f>IF('Final Calculation Sheet'!$M$26="","",'Final Calculation Sheet'!$M$26)</f>
        <v/>
      </c>
      <c r="O26" s="71">
        <f>IF('Final Calculation Sheet'!$N$26="","",'Final Calculation Sheet'!$N$26)</f>
        <v/>
      </c>
      <c r="P26" s="70">
        <f>IF('Final Calculation Sheet'!$O$26="","",'Final Calculation Sheet'!$O$26)</f>
        <v/>
      </c>
      <c r="Q26" s="70">
        <f>IF('Final Calculation Sheet'!$P$26="","",'Final Calculation Sheet'!$P$26)</f>
        <v/>
      </c>
      <c r="R26" s="72">
        <f>IF('Final Calculation Sheet'!$Q$26="","",'Final Calculation Sheet'!$Q$26)</f>
        <v/>
      </c>
      <c r="S26" s="70">
        <f>IF('Final Calculation Sheet'!$R$26="","",'Final Calculation Sheet'!$R$26)</f>
        <v/>
      </c>
      <c r="T26" s="70">
        <f>IF('Final Calculation Sheet'!$S$26="","",'Final Calculation Sheet'!$S$26)</f>
        <v/>
      </c>
      <c r="U26" s="70">
        <f>IF('Final Calculation Sheet'!$T$26="","",'Final Calculation Sheet'!$T$26)</f>
        <v/>
      </c>
      <c r="V26" s="73">
        <f>IF('Final Calculation Sheet'!$U$26="","",'Final Calculation Sheet'!$U$26)</f>
        <v/>
      </c>
      <c r="W26" s="70">
        <f>IF('Final Calculation Sheet'!$V$26="","",'Final Calculation Sheet'!$V$26)</f>
        <v/>
      </c>
      <c r="X26" s="70">
        <f>IF('Final Calculation Sheet'!$W$26="","",'Final Calculation Sheet'!$W$26)</f>
        <v/>
      </c>
      <c r="Y26" s="70">
        <f>IF('Final Calculation Sheet'!$X$26="","",'Final Calculation Sheet'!$X$26)</f>
        <v/>
      </c>
      <c r="Z26" s="70">
        <f>IF('Final Calculation Sheet'!$Y$26="","",'Final Calculation Sheet'!$Y$26)</f>
        <v/>
      </c>
      <c r="AA26" s="70">
        <f>IF('Final Calculation Sheet'!$Z$26="","",'Final Calculation Sheet'!$Z$26)</f>
        <v/>
      </c>
      <c r="AB26" s="70">
        <f>IF('Final Calculation Sheet'!$AA$26="","",'Final Calculation Sheet'!$AA$26)</f>
        <v/>
      </c>
      <c r="AC26" s="70">
        <f>IF('Final Calculation Sheet'!$AB$26="","",'Final Calculation Sheet'!$AB$26)</f>
        <v/>
      </c>
      <c r="AD26" s="70">
        <f>IF('Final Calculation Sheet'!$AC$26="","",'Final Calculation Sheet'!$AC$26)</f>
        <v/>
      </c>
      <c r="AE26" s="70">
        <f>IF('Final Calculation Sheet'!$AD$26="","",'Final Calculation Sheet'!$AD$26)</f>
        <v/>
      </c>
      <c r="AF26" s="75">
        <f>IF('Final Calculation Sheet'!$AD$26="","",IF('Final Calculation Sheet'!$AD$26&lt;=5,"SETTLED","OUTSTANDING"))</f>
        <v/>
      </c>
      <c r="AG26" s="70">
        <f>IF('Final Calculation Sheet'!$AF$26="","",'Final Calculation Sheet'!$AF$26)</f>
        <v/>
      </c>
      <c r="AH26" s="74">
        <f>IF('Final Calculation Sheet'!$AG$26="","",'Final Calculation Sheet'!$AG$26)</f>
        <v/>
      </c>
      <c r="AI26" s="70">
        <f>IF('Final Calculation Sheet'!$AH$26="","",'Final Calculation Sheet'!$AH$26)</f>
        <v/>
      </c>
      <c r="AJ26">
        <f>IF(AND(IF($B$4="",TRUE(),IF($B$4="(blank)",'Final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Sheet'!$AD$26&lt;=5,"SETTLED","OUTSTANDING"))))))),1,0)</f>
      </c>
      <c r="AK26">
        <f>IF(AJ26=1,COUNTIF(AJ$7:AJ26,1),"")</f>
        <v/>
      </c>
    </row>
    <row r="27" outlineLevel="1" ht="15" customHeight="1" s="137">
      <c r="A27" s="90" t="n">
        <v>10</v>
      </c>
      <c r="B27" s="92">
        <f>IF('Final Calculation Sheet'!$F$30="","",'Final Calculation Sheet'!$F$30)</f>
        <v/>
      </c>
      <c r="C27" s="92">
        <f>IF('Final Calculation Sheet'!$G$30="","",'Final Calculation Sheet'!$G$30)</f>
        <v/>
      </c>
      <c r="D27" s="94">
        <f>IF('Final Calculation Sheet'!$B$30="","",'Final Calculation Sheet'!$B$30)</f>
        <v/>
      </c>
      <c r="E27" s="94">
        <f>IF('Final Calculation Sheet'!$D$30="","",'Final Calculation Sheet'!$D$30)</f>
        <v/>
      </c>
      <c r="F27" s="94">
        <f>IF('Final Calculation Sheet'!$A$30="","",'Final Calculation Sheet'!$A$30)</f>
        <v/>
      </c>
      <c r="G27" s="94">
        <f>IF('Final Calculation Sheet'!$E$30="","",'Final Calculation Sheet'!$E$30)</f>
        <v/>
      </c>
      <c r="H27" s="95">
        <f>IF('Final Calculation Sheet'!$C$30="","",'Final Calculation Sheet'!$C$30)</f>
        <v/>
      </c>
      <c r="I27" s="95">
        <f>IF('Final Calculation Sheet'!$H$30="","",'Final Calculation Sheet'!$H$30)</f>
        <v/>
      </c>
      <c r="J27" s="95">
        <f>IF('Final Calculation Sheet'!$I$30="","",'Final Calculation Sheet'!$I$30)</f>
        <v/>
      </c>
      <c r="K27" s="95">
        <f>IF('Final Calculation Sheet'!$J$30="","",'Final Calculation Sheet'!$J$30)</f>
        <v/>
      </c>
      <c r="L27" s="95">
        <f>IF('Final Calculation Sheet'!$K$30="","",'Final Calculation Sheet'!$K$30)</f>
        <v/>
      </c>
      <c r="M27" s="95">
        <f>IF('Final Calculation Sheet'!$L$30="","",'Final Calculation Sheet'!$L$30)</f>
        <v/>
      </c>
      <c r="N27" s="95">
        <f>IF('Final Calculation Sheet'!$M$30="","",'Final Calculation Sheet'!$M$30)</f>
        <v/>
      </c>
      <c r="O27" s="96">
        <f>IF('Final Calculation Sheet'!$N$30="","",'Final Calculation Sheet'!$N$30)</f>
        <v/>
      </c>
      <c r="P27" s="95">
        <f>IF('Final Calculation Sheet'!$O$30="","",'Final Calculation Sheet'!$O$30)</f>
        <v/>
      </c>
      <c r="Q27" s="95">
        <f>IF('Final Calculation Sheet'!$P$30="","",'Final Calculation Sheet'!$P$30)</f>
        <v/>
      </c>
      <c r="R27" s="97">
        <f>IF('Final Calculation Sheet'!$Q$30="","",'Final Calculation Sheet'!$Q$30)</f>
        <v/>
      </c>
      <c r="S27" s="95">
        <f>IF('Final Calculation Sheet'!$R$30="","",'Final Calculation Sheet'!$R$30)</f>
        <v/>
      </c>
      <c r="T27" s="95">
        <f>IF('Final Calculation Sheet'!$S$30="","",'Final Calculation Sheet'!$S$30)</f>
        <v/>
      </c>
      <c r="U27" s="95">
        <f>IF('Final Calculation Sheet'!$T$30="","",'Final Calculation Sheet'!$T$30)</f>
        <v/>
      </c>
      <c r="V27" s="98">
        <f>IF('Final Calculation Sheet'!$U$30="","",'Final Calculation Sheet'!$U$30)</f>
        <v/>
      </c>
      <c r="W27" s="95">
        <f>IF('Final Calculation Sheet'!$V$30="","",'Final Calculation Sheet'!$V$30)</f>
        <v/>
      </c>
      <c r="X27" s="95">
        <f>IF('Final Calculation Sheet'!$W$30="","",'Final Calculation Sheet'!$W$30)</f>
        <v/>
      </c>
      <c r="Y27" s="95">
        <f>IF('Final Calculation Sheet'!$X$30="","",'Final Calculation Sheet'!$X$30)</f>
        <v/>
      </c>
      <c r="Z27" s="95">
        <f>IF('Final Calculation Sheet'!$Y$30="","",'Final Calculation Sheet'!$Y$30)</f>
        <v/>
      </c>
      <c r="AA27" s="95">
        <f>IF('Final Calculation Sheet'!$Z$30="","",'Final Calculation Sheet'!$Z$30)</f>
        <v/>
      </c>
      <c r="AB27" s="95">
        <f>IF('Final Calculation Sheet'!$AA$30="","",'Final Calculation Sheet'!$AA$30)</f>
        <v/>
      </c>
      <c r="AC27" s="95">
        <f>IF('Final Calculation Sheet'!$AB$30="","",'Final Calculation Sheet'!$AB$30)</f>
        <v/>
      </c>
      <c r="AD27" s="95">
        <f>IF('Final Calculation Sheet'!$AC$30="","",'Final Calculation Sheet'!$AC$30)</f>
        <v/>
      </c>
      <c r="AE27" s="95">
        <f>IF('Final Calculation Sheet'!$AD$30="","",'Final Calculation Sheet'!$AD$30)</f>
        <v/>
      </c>
      <c r="AF27" s="100">
        <f>IF('Final Calculation Sheet'!$AD$30="","",IF('Final Calculation Sheet'!$AD$30&lt;=5,"SETTLED","OUTSTANDING"))</f>
        <v/>
      </c>
      <c r="AG27" s="95">
        <f>IF('Final Calculation Sheet'!$AF$30="","",'Final Calculation Sheet'!$AF$30)</f>
        <v/>
      </c>
      <c r="AH27" s="99">
        <f>IF('Final Calculation Sheet'!$AG$30="","",'Final Calculation Sheet'!$AG$30)</f>
        <v/>
      </c>
      <c r="AI27" s="95">
        <f>IF('Final Calculation Sheet'!$AH$30="","",'Final Calculation Sheet'!$AH$30)</f>
        <v/>
      </c>
      <c r="AJ27">
        <f>IF(AND(IF($B$4="",TRUE(),IF($B$4="(blank)",'Final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Sheet'!$AD$30&lt;=5,"SETTLED","OUTSTANDING"))))))),1,0)</f>
      </c>
      <c r="AK27">
        <f>IF(AJ27=1,COUNTIF(AJ$7:AJ27,1),"")</f>
        <v/>
      </c>
    </row>
    <row r="28" outlineLevel="1" ht="15" customHeight="1" s="137">
      <c r="A28" s="67" t="n">
        <v>11</v>
      </c>
      <c r="B28" s="76">
        <f>IF('Final Calculation Sheet'!$F$32="","",'Final Calculation Sheet'!$F$32)</f>
        <v/>
      </c>
      <c r="C28" s="76">
        <f>IF('Final Calculation Sheet'!$G$32="","",'Final Calculation Sheet'!$G$32)</f>
        <v/>
      </c>
      <c r="D28" s="80">
        <f>IF('Final Calculation Sheet'!$B$32="","",'Final Calculation Sheet'!$B$32)</f>
        <v/>
      </c>
      <c r="E28" s="80">
        <f>IF('Final Calculation Sheet'!$D$32="","",'Final Calculation Sheet'!$D$32)</f>
        <v/>
      </c>
      <c r="F28" s="80">
        <f>IF('Final Calculation Sheet'!$A$32="","",'Final Calculation Sheet'!$A$32)</f>
        <v/>
      </c>
      <c r="G28" s="80">
        <f>IF('Final Calculation Sheet'!$E$32="","",'Final Calculation Sheet'!$E$32)</f>
        <v/>
      </c>
      <c r="H28" s="70">
        <f>IF('Final Calculation Sheet'!$C$32="","",'Final Calculation Sheet'!$C$32)</f>
        <v/>
      </c>
      <c r="I28" s="70">
        <f>IF('Final Calculation Sheet'!$H$32="","",'Final Calculation Sheet'!$H$32)</f>
        <v/>
      </c>
      <c r="J28" s="70">
        <f>IF('Final Calculation Sheet'!$I$32="","",'Final Calculation Sheet'!$I$32)</f>
        <v/>
      </c>
      <c r="K28" s="70">
        <f>IF('Final Calculation Sheet'!$J$32="","",'Final Calculation Sheet'!$J$32)</f>
        <v/>
      </c>
      <c r="L28" s="70">
        <f>IF('Final Calculation Sheet'!$K$32="","",'Final Calculation Sheet'!$K$32)</f>
        <v/>
      </c>
      <c r="M28" s="70">
        <f>IF('Final Calculation Sheet'!$L$32="","",'Final Calculation Sheet'!$L$32)</f>
        <v/>
      </c>
      <c r="N28" s="70">
        <f>IF('Final Calculation Sheet'!$M$32="","",'Final Calculation Sheet'!$M$32)</f>
        <v/>
      </c>
      <c r="O28" s="71">
        <f>IF('Final Calculation Sheet'!$N$32="","",'Final Calculation Sheet'!$N$32)</f>
        <v/>
      </c>
      <c r="P28" s="70">
        <f>IF('Final Calculation Sheet'!$O$32="","",'Final Calculation Sheet'!$O$32)</f>
        <v/>
      </c>
      <c r="Q28" s="70">
        <f>IF('Final Calculation Sheet'!$P$32="","",'Final Calculation Sheet'!$P$32)</f>
        <v/>
      </c>
      <c r="R28" s="72">
        <f>IF('Final Calculation Sheet'!$Q$32="","",'Final Calculation Sheet'!$Q$32)</f>
        <v/>
      </c>
      <c r="S28" s="70">
        <f>IF('Final Calculation Sheet'!$R$32="","",'Final Calculation Sheet'!$R$32)</f>
        <v/>
      </c>
      <c r="T28" s="70">
        <f>IF('Final Calculation Sheet'!$S$32="","",'Final Calculation Sheet'!$S$32)</f>
        <v/>
      </c>
      <c r="U28" s="70">
        <f>IF('Final Calculation Sheet'!$T$32="","",'Final Calculation Sheet'!$T$32)</f>
        <v/>
      </c>
      <c r="V28" s="73">
        <f>IF('Final Calculation Sheet'!$U$32="","",'Final Calculation Sheet'!$U$32)</f>
        <v/>
      </c>
      <c r="W28" s="70">
        <f>IF('Final Calculation Sheet'!$V$32="","",'Final Calculation Sheet'!$V$32)</f>
        <v/>
      </c>
      <c r="X28" s="70">
        <f>IF('Final Calculation Sheet'!$W$32="","",'Final Calculation Sheet'!$W$32)</f>
        <v/>
      </c>
      <c r="Y28" s="70">
        <f>IF('Final Calculation Sheet'!$X$32="","",'Final Calculation Sheet'!$X$32)</f>
        <v/>
      </c>
      <c r="Z28" s="70">
        <f>IF('Final Calculation Sheet'!$Y$32="","",'Final Calculation Sheet'!$Y$32)</f>
        <v/>
      </c>
      <c r="AA28" s="70">
        <f>IF('Final Calculation Sheet'!$Z$32="","",'Final Calculation Sheet'!$Z$32)</f>
        <v/>
      </c>
      <c r="AB28" s="70">
        <f>IF('Final Calculation Sheet'!$AA$32="","",'Final Calculation Sheet'!$AA$32)</f>
        <v/>
      </c>
      <c r="AC28" s="70">
        <f>IF('Final Calculation Sheet'!$AB$32="","",'Final Calculation Sheet'!$AB$32)</f>
        <v/>
      </c>
      <c r="AD28" s="70">
        <f>IF('Final Calculation Sheet'!$AC$32="","",'Final Calculation Sheet'!$AC$32)</f>
        <v/>
      </c>
      <c r="AE28" s="70">
        <f>IF('Final Calculation Sheet'!$AD$32="","",'Final Calculation Sheet'!$AD$32)</f>
        <v/>
      </c>
      <c r="AF28" s="75">
        <f>IF('Final Calculation Sheet'!$AD$32="","",IF('Final Calculation Sheet'!$AD$32&lt;=5,"SETTLED","OUTSTANDING"))</f>
        <v/>
      </c>
      <c r="AG28" s="70">
        <f>IF('Final Calculation Sheet'!$AF$32="","",'Final Calculation Sheet'!$AF$32)</f>
        <v/>
      </c>
      <c r="AH28" s="74">
        <f>IF('Final Calculation Sheet'!$AG$32="","",'Final Calculation Sheet'!$AG$32)</f>
        <v/>
      </c>
      <c r="AI28" s="70">
        <f>IF('Final Calculation Sheet'!$AH$32="","",'Final Calculation Sheet'!$AH$32)</f>
        <v/>
      </c>
      <c r="AJ28">
        <f>IF(AND(IF($B$4="",TRUE(),IF($B$4="(blank)",'Final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Sheet'!$AD$32&lt;=5,"SETTLED","OUTSTANDING"))))))),1,0)</f>
      </c>
      <c r="AK28">
        <f>IF(AJ28=1,COUNTIF(AJ$7:AJ28,1),"")</f>
        <v/>
      </c>
    </row>
    <row r="29" outlineLevel="1" ht="15" customHeight="1" s="137">
      <c r="A29" s="90" t="n">
        <v>12</v>
      </c>
      <c r="B29" s="92">
        <f>IF('Final Calculation Sheet'!$F$33="","",'Final Calculation Sheet'!$F$33)</f>
        <v/>
      </c>
      <c r="C29" s="92">
        <f>IF('Final Calculation Sheet'!$G$33="","",'Final Calculation Sheet'!$G$33)</f>
        <v/>
      </c>
      <c r="D29" s="94">
        <f>IF('Final Calculation Sheet'!$B$33="","",'Final Calculation Sheet'!$B$33)</f>
        <v/>
      </c>
      <c r="E29" s="94">
        <f>IF('Final Calculation Sheet'!$D$33="","",'Final Calculation Sheet'!$D$33)</f>
        <v/>
      </c>
      <c r="F29" s="94">
        <f>IF('Final Calculation Sheet'!$A$33="","",'Final Calculation Sheet'!$A$33)</f>
        <v/>
      </c>
      <c r="G29" s="94">
        <f>IF('Final Calculation Sheet'!$E$33="","",'Final Calculation Sheet'!$E$33)</f>
        <v/>
      </c>
      <c r="H29" s="95">
        <f>IF('Final Calculation Sheet'!$C$33="","",'Final Calculation Sheet'!$C$33)</f>
        <v/>
      </c>
      <c r="I29" s="95">
        <f>IF('Final Calculation Sheet'!$H$33="","",'Final Calculation Sheet'!$H$33)</f>
        <v/>
      </c>
      <c r="J29" s="95">
        <f>IF('Final Calculation Sheet'!$I$33="","",'Final Calculation Sheet'!$I$33)</f>
        <v/>
      </c>
      <c r="K29" s="95">
        <f>IF('Final Calculation Sheet'!$J$33="","",'Final Calculation Sheet'!$J$33)</f>
        <v/>
      </c>
      <c r="L29" s="95">
        <f>IF('Final Calculation Sheet'!$K$33="","",'Final Calculation Sheet'!$K$33)</f>
        <v/>
      </c>
      <c r="M29" s="95">
        <f>IF('Final Calculation Sheet'!$L$33="","",'Final Calculation Sheet'!$L$33)</f>
        <v/>
      </c>
      <c r="N29" s="95">
        <f>IF('Final Calculation Sheet'!$M$33="","",'Final Calculation Sheet'!$M$33)</f>
        <v/>
      </c>
      <c r="O29" s="96">
        <f>IF('Final Calculation Sheet'!$N$33="","",'Final Calculation Sheet'!$N$33)</f>
        <v/>
      </c>
      <c r="P29" s="95">
        <f>IF('Final Calculation Sheet'!$O$33="","",'Final Calculation Sheet'!$O$33)</f>
        <v/>
      </c>
      <c r="Q29" s="95">
        <f>IF('Final Calculation Sheet'!$P$33="","",'Final Calculation Sheet'!$P$33)</f>
        <v/>
      </c>
      <c r="R29" s="97">
        <f>IF('Final Calculation Sheet'!$Q$33="","",'Final Calculation Sheet'!$Q$33)</f>
        <v/>
      </c>
      <c r="S29" s="95">
        <f>IF('Final Calculation Sheet'!$R$33="","",'Final Calculation Sheet'!$R$33)</f>
        <v/>
      </c>
      <c r="T29" s="95">
        <f>IF('Final Calculation Sheet'!$S$33="","",'Final Calculation Sheet'!$S$33)</f>
        <v/>
      </c>
      <c r="U29" s="95">
        <f>IF('Final Calculation Sheet'!$T$33="","",'Final Calculation Sheet'!$T$33)</f>
        <v/>
      </c>
      <c r="V29" s="98">
        <f>IF('Final Calculation Sheet'!$U$33="","",'Final Calculation Sheet'!$U$33)</f>
        <v/>
      </c>
      <c r="W29" s="95">
        <f>IF('Final Calculation Sheet'!$V$33="","",'Final Calculation Sheet'!$V$33)</f>
        <v/>
      </c>
      <c r="X29" s="95">
        <f>IF('Final Calculation Sheet'!$W$33="","",'Final Calculation Sheet'!$W$33)</f>
        <v/>
      </c>
      <c r="Y29" s="95">
        <f>IF('Final Calculation Sheet'!$X$33="","",'Final Calculation Sheet'!$X$33)</f>
        <v/>
      </c>
      <c r="Z29" s="95">
        <f>IF('Final Calculation Sheet'!$Y$33="","",'Final Calculation Sheet'!$Y$33)</f>
        <v/>
      </c>
      <c r="AA29" s="95">
        <f>IF('Final Calculation Sheet'!$Z$33="","",'Final Calculation Sheet'!$Z$33)</f>
        <v/>
      </c>
      <c r="AB29" s="95">
        <f>IF('Final Calculation Sheet'!$AA$33="","",'Final Calculation Sheet'!$AA$33)</f>
        <v/>
      </c>
      <c r="AC29" s="95">
        <f>IF('Final Calculation Sheet'!$AB$33="","",'Final Calculation Sheet'!$AB$33)</f>
        <v/>
      </c>
      <c r="AD29" s="95">
        <f>IF('Final Calculation Sheet'!$AC$33="","",'Final Calculation Sheet'!$AC$33)</f>
        <v/>
      </c>
      <c r="AE29" s="95">
        <f>IF('Final Calculation Sheet'!$AD$33="","",'Final Calculation Sheet'!$AD$33)</f>
        <v/>
      </c>
      <c r="AF29" s="100">
        <f>IF('Final Calculation Sheet'!$AD$33="","",IF('Final Calculation Sheet'!$AD$33&lt;=5,"SETTLED","OUTSTANDING"))</f>
        <v/>
      </c>
      <c r="AG29" s="95">
        <f>IF('Final Calculation Sheet'!$AF$33="","",'Final Calculation Sheet'!$AF$33)</f>
        <v/>
      </c>
      <c r="AH29" s="99">
        <f>IF('Final Calculation Sheet'!$AG$33="","",'Final Calculation Sheet'!$AG$33)</f>
        <v/>
      </c>
      <c r="AI29" s="95">
        <f>IF('Final Calculation Sheet'!$AH$33="","",'Final Calculation Sheet'!$AH$33)</f>
        <v/>
      </c>
      <c r="AJ29">
        <f>IF(AND(IF($B$4="",TRUE(),IF($B$4="(blank)",'Final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Sheet'!$AD$33&lt;=5,"SETTLED","OUTSTANDING"))))))),1,0)</f>
      </c>
      <c r="AK29">
        <f>IF(AJ29=1,COUNTIF(AJ$7:AJ29,1),"")</f>
        <v/>
      </c>
    </row>
    <row r="30" outlineLevel="1" ht="15" customHeight="1" s="137">
      <c r="A30" s="67" t="n">
        <v>13</v>
      </c>
      <c r="B30" s="76">
        <f>IF('Final Calculation Sheet'!$F$37="","",'Final Calculation Sheet'!$F$37)</f>
        <v/>
      </c>
      <c r="C30" s="76">
        <f>IF('Final Calculation Sheet'!$G$37="","",'Final Calculation Sheet'!$G$37)</f>
        <v/>
      </c>
      <c r="D30" s="80">
        <f>IF('Final Calculation Sheet'!$B$37="","",'Final Calculation Sheet'!$B$37)</f>
        <v/>
      </c>
      <c r="E30" s="80">
        <f>IF('Final Calculation Sheet'!$D$37="","",'Final Calculation Sheet'!$D$37)</f>
        <v/>
      </c>
      <c r="F30" s="80">
        <f>IF('Final Calculation Sheet'!$A$37="","",'Final Calculation Sheet'!$A$37)</f>
        <v/>
      </c>
      <c r="G30" s="80">
        <f>IF('Final Calculation Sheet'!$E$37="","",'Final Calculation Sheet'!$E$37)</f>
        <v/>
      </c>
      <c r="H30" s="70">
        <f>IF('Final Calculation Sheet'!$C$37="","",'Final Calculation Sheet'!$C$37)</f>
        <v/>
      </c>
      <c r="I30" s="70">
        <f>IF('Final Calculation Sheet'!$H$37="","",'Final Calculation Sheet'!$H$37)</f>
        <v/>
      </c>
      <c r="J30" s="70">
        <f>IF('Final Calculation Sheet'!$I$37="","",'Final Calculation Sheet'!$I$37)</f>
        <v/>
      </c>
      <c r="K30" s="70">
        <f>IF('Final Calculation Sheet'!$J$37="","",'Final Calculation Sheet'!$J$37)</f>
        <v/>
      </c>
      <c r="L30" s="70">
        <f>IF('Final Calculation Sheet'!$K$37="","",'Final Calculation Sheet'!$K$37)</f>
        <v/>
      </c>
      <c r="M30" s="70">
        <f>IF('Final Calculation Sheet'!$L$37="","",'Final Calculation Sheet'!$L$37)</f>
        <v/>
      </c>
      <c r="N30" s="70">
        <f>IF('Final Calculation Sheet'!$M$37="","",'Final Calculation Sheet'!$M$37)</f>
        <v/>
      </c>
      <c r="O30" s="71">
        <f>IF('Final Calculation Sheet'!$N$37="","",'Final Calculation Sheet'!$N$37)</f>
        <v/>
      </c>
      <c r="P30" s="70">
        <f>IF('Final Calculation Sheet'!$O$37="","",'Final Calculation Sheet'!$O$37)</f>
        <v/>
      </c>
      <c r="Q30" s="70">
        <f>IF('Final Calculation Sheet'!$P$37="","",'Final Calculation Sheet'!$P$37)</f>
        <v/>
      </c>
      <c r="R30" s="72">
        <f>IF('Final Calculation Sheet'!$Q$37="","",'Final Calculation Sheet'!$Q$37)</f>
        <v/>
      </c>
      <c r="S30" s="70">
        <f>IF('Final Calculation Sheet'!$R$37="","",'Final Calculation Sheet'!$R$37)</f>
        <v/>
      </c>
      <c r="T30" s="70">
        <f>IF('Final Calculation Sheet'!$S$37="","",'Final Calculation Sheet'!$S$37)</f>
        <v/>
      </c>
      <c r="U30" s="70">
        <f>IF('Final Calculation Sheet'!$T$37="","",'Final Calculation Sheet'!$T$37)</f>
        <v/>
      </c>
      <c r="V30" s="73">
        <f>IF('Final Calculation Sheet'!$U$37="","",'Final Calculation Sheet'!$U$37)</f>
        <v/>
      </c>
      <c r="W30" s="70">
        <f>IF('Final Calculation Sheet'!$V$37="","",'Final Calculation Sheet'!$V$37)</f>
        <v/>
      </c>
      <c r="X30" s="70">
        <f>IF('Final Calculation Sheet'!$W$37="","",'Final Calculation Sheet'!$W$37)</f>
        <v/>
      </c>
      <c r="Y30" s="70">
        <f>IF('Final Calculation Sheet'!$X$37="","",'Final Calculation Sheet'!$X$37)</f>
        <v/>
      </c>
      <c r="Z30" s="70">
        <f>IF('Final Calculation Sheet'!$Y$37="","",'Final Calculation Sheet'!$Y$37)</f>
        <v/>
      </c>
      <c r="AA30" s="70">
        <f>IF('Final Calculation Sheet'!$Z$37="","",'Final Calculation Sheet'!$Z$37)</f>
        <v/>
      </c>
      <c r="AB30" s="70">
        <f>IF('Final Calculation Sheet'!$AA$37="","",'Final Calculation Sheet'!$AA$37)</f>
        <v/>
      </c>
      <c r="AC30" s="70">
        <f>IF('Final Calculation Sheet'!$AB$37="","",'Final Calculation Sheet'!$AB$37)</f>
        <v/>
      </c>
      <c r="AD30" s="70">
        <f>IF('Final Calculation Sheet'!$AC$37="","",'Final Calculation Sheet'!$AC$37)</f>
        <v/>
      </c>
      <c r="AE30" s="70">
        <f>IF('Final Calculation Sheet'!$AD$37="","",'Final Calculation Sheet'!$AD$37)</f>
        <v/>
      </c>
      <c r="AF30" s="75">
        <f>IF('Final Calculation Sheet'!$AD$37="","",IF('Final Calculation Sheet'!$AD$37&lt;=5,"SETTLED","OUTSTANDING"))</f>
        <v/>
      </c>
      <c r="AG30" s="70">
        <f>IF('Final Calculation Sheet'!$AF$37="","",'Final Calculation Sheet'!$AF$37)</f>
        <v/>
      </c>
      <c r="AH30" s="74">
        <f>IF('Final Calculation Sheet'!$AG$37="","",'Final Calculation Sheet'!$AG$37)</f>
        <v/>
      </c>
      <c r="AI30" s="70">
        <f>IF('Final Calculation Sheet'!$AH$37="","",'Final Calculation Sheet'!$AH$37)</f>
        <v/>
      </c>
      <c r="AJ30">
        <f>IF(AND(IF($B$4="",TRUE(),IF($B$4="(blank)",'Final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Sheet'!$AD$37&lt;=5,"SETTLED","OUTSTANDING"))))))),1,0)</f>
      </c>
      <c r="AK30">
        <f>IF(AJ30=1,COUNTIF(AJ$7:AJ30,1),"")</f>
        <v/>
      </c>
    </row>
    <row r="31" ht="15" customHeight="1" s="137">
      <c r="A31" s="81" t="inlineStr">
        <is>
          <t>∑</t>
        </is>
      </c>
      <c r="B31" s="83" t="n"/>
      <c r="C31" s="83">
        <f>ROWS($C$18:$C$30)&amp;" lot(s)"</f>
        <v/>
      </c>
      <c r="D31" s="83" t="inlineStr">
        <is>
          <t>SUBTOTAL — NATIONAL ENTERPRISES</t>
        </is>
      </c>
      <c r="E31" s="83" t="inlineStr">
        <is>
          <t>–</t>
        </is>
      </c>
      <c r="F31" s="83">
        <f>SUM(F18:F30)</f>
        <v/>
      </c>
      <c r="G31" s="83" t="inlineStr">
        <is>
          <t>–</t>
        </is>
      </c>
      <c r="H31" s="84" t="inlineStr">
        <is>
          <t>–</t>
        </is>
      </c>
      <c r="I31" s="84">
        <f>SUM(I18:I30)</f>
        <v/>
      </c>
      <c r="J31" s="84">
        <f>SUM(J18:J30)</f>
        <v/>
      </c>
      <c r="K31" s="84">
        <f>SUM(K18:K30)</f>
        <v/>
      </c>
      <c r="L31" s="84">
        <f>SUM(L18:L30)</f>
        <v/>
      </c>
      <c r="M31" s="84">
        <f>SUM(M18:M30)</f>
        <v/>
      </c>
      <c r="N31" s="84">
        <f>SUM(N18:N30)</f>
        <v/>
      </c>
      <c r="O31" s="85">
        <f>SUM(O18:O30)</f>
        <v/>
      </c>
      <c r="P31" s="84">
        <f>SUM(P18:P30)</f>
        <v/>
      </c>
      <c r="Q31" s="84">
        <f>SUM(Q18:Q30)</f>
        <v/>
      </c>
      <c r="R31" s="86" t="inlineStr">
        <is>
          <t>–</t>
        </is>
      </c>
      <c r="S31" s="84">
        <f>SUM(S18:S30)</f>
        <v/>
      </c>
      <c r="T31" s="84">
        <f>SUM(T18:T30)</f>
        <v/>
      </c>
      <c r="U31" s="84">
        <f>SUM(U18:U30)</f>
        <v/>
      </c>
      <c r="V31" s="87">
        <f>SUM(V18:V30)</f>
        <v/>
      </c>
      <c r="W31" s="84" t="inlineStr">
        <is>
          <t>–</t>
        </is>
      </c>
      <c r="X31" s="84">
        <f>SUM(X18:X30)</f>
        <v/>
      </c>
      <c r="Y31" s="84">
        <f>SUM(Y18:Y30)</f>
        <v/>
      </c>
      <c r="Z31" s="84" t="inlineStr">
        <is>
          <t>–</t>
        </is>
      </c>
      <c r="AA31" s="84">
        <f>SUM(AA18:AA30)</f>
        <v/>
      </c>
      <c r="AB31" s="84">
        <f>SUM(AB18:AB30)</f>
        <v/>
      </c>
      <c r="AC31" s="84" t="inlineStr">
        <is>
          <t>–</t>
        </is>
      </c>
      <c r="AD31" s="84">
        <f>SUM(AD18:AD30)</f>
        <v/>
      </c>
      <c r="AE31" s="84">
        <f>SUM(AE18:AE30)</f>
        <v/>
      </c>
      <c r="AF31" s="89">
        <f>IF(AE31&lt;=5,"SETTLED","OUTSTANDING")</f>
        <v/>
      </c>
      <c r="AG31" s="84" t="inlineStr">
        <is>
          <t>–</t>
        </is>
      </c>
      <c r="AH31" s="88" t="inlineStr">
        <is>
          <t>–</t>
        </is>
      </c>
      <c r="AI31" s="84" t="inlineStr">
        <is>
          <t>–</t>
        </is>
      </c>
    </row>
    <row r="32" outlineLevel="1" ht="15" customHeight="1" s="137">
      <c r="A32" s="67" t="n">
        <v>1</v>
      </c>
      <c r="B32" s="76">
        <f>IF('Final Calculation Sheet'!$F$21="","",'Final Calculation Sheet'!$F$21)</f>
        <v/>
      </c>
      <c r="C32" s="76">
        <f>IF('Final Calculation Sheet'!$G$21="","",'Final Calculation Sheet'!$G$21)</f>
        <v/>
      </c>
      <c r="D32" s="80">
        <f>IF('Final Calculation Sheet'!$B$21="","",'Final Calculation Sheet'!$B$21)</f>
        <v/>
      </c>
      <c r="E32" s="80">
        <f>IF('Final Calculation Sheet'!$D$21="","",'Final Calculation Sheet'!$D$21)</f>
        <v/>
      </c>
      <c r="F32" s="80">
        <f>IF('Final Calculation Sheet'!$A$21="","",'Final Calculation Sheet'!$A$21)</f>
        <v/>
      </c>
      <c r="G32" s="80">
        <f>IF('Final Calculation Sheet'!$E$21="","",'Final Calculation Sheet'!$E$21)</f>
        <v/>
      </c>
      <c r="H32" s="70">
        <f>IF('Final Calculation Sheet'!$C$21="","",'Final Calculation Sheet'!$C$21)</f>
        <v/>
      </c>
      <c r="I32" s="70">
        <f>IF('Final Calculation Sheet'!$H$21="","",'Final Calculation Sheet'!$H$21)</f>
        <v/>
      </c>
      <c r="J32" s="70">
        <f>IF('Final Calculation Sheet'!$I$21="","",'Final Calculation Sheet'!$I$21)</f>
        <v/>
      </c>
      <c r="K32" s="70">
        <f>IF('Final Calculation Sheet'!$J$21="","",'Final Calculation Sheet'!$J$21)</f>
        <v/>
      </c>
      <c r="L32" s="70">
        <f>IF('Final Calculation Sheet'!$K$21="","",'Final Calculation Sheet'!$K$21)</f>
        <v/>
      </c>
      <c r="M32" s="70">
        <f>IF('Final Calculation Sheet'!$L$21="","",'Final Calculation Sheet'!$L$21)</f>
        <v/>
      </c>
      <c r="N32" s="70">
        <f>IF('Final Calculation Sheet'!$M$21="","",'Final Calculation Sheet'!$M$21)</f>
        <v/>
      </c>
      <c r="O32" s="71">
        <f>IF('Final Calculation Sheet'!$N$21="","",'Final Calculation Sheet'!$N$21)</f>
        <v/>
      </c>
      <c r="P32" s="70">
        <f>IF('Final Calculation Sheet'!$O$21="","",'Final Calculation Sheet'!$O$21)</f>
        <v/>
      </c>
      <c r="Q32" s="70">
        <f>IF('Final Calculation Sheet'!$P$21="","",'Final Calculation Sheet'!$P$21)</f>
        <v/>
      </c>
      <c r="R32" s="72">
        <f>IF('Final Calculation Sheet'!$Q$21="","",'Final Calculation Sheet'!$Q$21)</f>
        <v/>
      </c>
      <c r="S32" s="70">
        <f>IF('Final Calculation Sheet'!$R$21="","",'Final Calculation Sheet'!$R$21)</f>
        <v/>
      </c>
      <c r="T32" s="70">
        <f>IF('Final Calculation Sheet'!$S$21="","",'Final Calculation Sheet'!$S$21)</f>
        <v/>
      </c>
      <c r="U32" s="70">
        <f>IF('Final Calculation Sheet'!$T$21="","",'Final Calculation Sheet'!$T$21)</f>
        <v/>
      </c>
      <c r="V32" s="73">
        <f>IF('Final Calculation Sheet'!$U$21="","",'Final Calculation Sheet'!$U$21)</f>
        <v/>
      </c>
      <c r="W32" s="70">
        <f>IF('Final Calculation Sheet'!$V$21="","",'Final Calculation Sheet'!$V$21)</f>
        <v/>
      </c>
      <c r="X32" s="70">
        <f>IF('Final Calculation Sheet'!$W$21="","",'Final Calculation Sheet'!$W$21)</f>
        <v/>
      </c>
      <c r="Y32" s="70">
        <f>IF('Final Calculation Sheet'!$X$21="","",'Final Calculation Sheet'!$X$21)</f>
        <v/>
      </c>
      <c r="Z32" s="70">
        <f>IF('Final Calculation Sheet'!$Y$21="","",'Final Calculation Sheet'!$Y$21)</f>
        <v/>
      </c>
      <c r="AA32" s="70">
        <f>IF('Final Calculation Sheet'!$Z$21="","",'Final Calculation Sheet'!$Z$21)</f>
        <v/>
      </c>
      <c r="AB32" s="70">
        <f>IF('Final Calculation Sheet'!$AA$21="","",'Final Calculation Sheet'!$AA$21)</f>
        <v/>
      </c>
      <c r="AC32" s="70">
        <f>IF('Final Calculation Sheet'!$AB$21="","",'Final Calculation Sheet'!$AB$21)</f>
        <v/>
      </c>
      <c r="AD32" s="70">
        <f>IF('Final Calculation Sheet'!$AC$21="","",'Final Calculation Sheet'!$AC$21)</f>
        <v/>
      </c>
      <c r="AE32" s="70">
        <f>IF('Final Calculation Sheet'!$AD$21="","",'Final Calculation Sheet'!$AD$21)</f>
        <v/>
      </c>
      <c r="AF32" s="75">
        <f>IF('Final Calculation Sheet'!$AD$21="","",IF('Final Calculation Sheet'!$AD$21&lt;=5,"SETTLED","OUTSTANDING"))</f>
        <v/>
      </c>
      <c r="AG32" s="70">
        <f>IF('Final Calculation Sheet'!$AF$21="","",'Final Calculation Sheet'!$AF$21)</f>
        <v/>
      </c>
      <c r="AH32" s="74">
        <f>IF('Final Calculation Sheet'!$AG$21="","",'Final Calculation Sheet'!$AG$21)</f>
        <v/>
      </c>
      <c r="AI32" s="70">
        <f>IF('Final Calculation Sheet'!$AH$21="","",'Final Calculation Sheet'!$AH$21)</f>
        <v/>
      </c>
      <c r="AJ32">
        <f>IF(AND(IF($B$4="",TRUE(),IF($B$4="(blank)",'Final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Sheet'!$AD$21&lt;=5,"SETTLED","OUTSTANDING"))))))),1,0)</f>
      </c>
      <c r="AK32">
        <f>IF(AJ32=1,COUNTIF(AJ$7:AJ32,1),"")</f>
        <v/>
      </c>
    </row>
    <row r="33" ht="15" customHeight="1" s="137">
      <c r="A33" s="81" t="inlineStr">
        <is>
          <t>∑</t>
        </is>
      </c>
      <c r="B33" s="83" t="n"/>
      <c r="C33" s="83">
        <f>ROWS($C$32:$C$32)&amp;" lot(s)"</f>
        <v/>
      </c>
      <c r="D33" s="83" t="inlineStr">
        <is>
          <t>SUBTOTAL — NATIONAL SCRAP AND BUILDING MATERIAL SUPPLIER</t>
        </is>
      </c>
      <c r="E33" s="83" t="inlineStr">
        <is>
          <t>–</t>
        </is>
      </c>
      <c r="F33" s="83">
        <f>SUM(F32:F32)</f>
        <v/>
      </c>
      <c r="G33" s="83" t="inlineStr">
        <is>
          <t>–</t>
        </is>
      </c>
      <c r="H33" s="84" t="inlineStr">
        <is>
          <t>–</t>
        </is>
      </c>
      <c r="I33" s="84">
        <f>SUM(I32:I32)</f>
        <v/>
      </c>
      <c r="J33" s="84">
        <f>SUM(J32:J32)</f>
        <v/>
      </c>
      <c r="K33" s="84">
        <f>SUM(K32:K32)</f>
        <v/>
      </c>
      <c r="L33" s="84">
        <f>SUM(L32:L32)</f>
        <v/>
      </c>
      <c r="M33" s="84">
        <f>SUM(M32:M32)</f>
        <v/>
      </c>
      <c r="N33" s="84">
        <f>SUM(N32:N32)</f>
        <v/>
      </c>
      <c r="O33" s="85">
        <f>SUM(O32:O32)</f>
        <v/>
      </c>
      <c r="P33" s="84">
        <f>SUM(P32:P32)</f>
        <v/>
      </c>
      <c r="Q33" s="84">
        <f>SUM(Q32:Q32)</f>
        <v/>
      </c>
      <c r="R33" s="86" t="inlineStr">
        <is>
          <t>–</t>
        </is>
      </c>
      <c r="S33" s="84">
        <f>SUM(S32:S32)</f>
        <v/>
      </c>
      <c r="T33" s="84">
        <f>SUM(T32:T32)</f>
        <v/>
      </c>
      <c r="U33" s="84">
        <f>SUM(U32:U32)</f>
        <v/>
      </c>
      <c r="V33" s="87">
        <f>SUM(V32:V32)</f>
        <v/>
      </c>
      <c r="W33" s="84" t="inlineStr">
        <is>
          <t>–</t>
        </is>
      </c>
      <c r="X33" s="84">
        <f>SUM(X32:X32)</f>
        <v/>
      </c>
      <c r="Y33" s="84">
        <f>SUM(Y32:Y32)</f>
        <v/>
      </c>
      <c r="Z33" s="84" t="inlineStr">
        <is>
          <t>–</t>
        </is>
      </c>
      <c r="AA33" s="84">
        <f>SUM(AA32:AA32)</f>
        <v/>
      </c>
      <c r="AB33" s="84">
        <f>SUM(AB32:AB32)</f>
        <v/>
      </c>
      <c r="AC33" s="84" t="inlineStr">
        <is>
          <t>–</t>
        </is>
      </c>
      <c r="AD33" s="84">
        <f>SUM(AD32:AD32)</f>
        <v/>
      </c>
      <c r="AE33" s="84">
        <f>SUM(AE32:AE32)</f>
        <v/>
      </c>
      <c r="AF33" s="89">
        <f>IF(AE33&lt;=5,"SETTLED","OUTSTANDING")</f>
        <v/>
      </c>
      <c r="AG33" s="84" t="inlineStr">
        <is>
          <t>–</t>
        </is>
      </c>
      <c r="AH33" s="88" t="inlineStr">
        <is>
          <t>–</t>
        </is>
      </c>
      <c r="AI33" s="84" t="inlineStr">
        <is>
          <t>–</t>
        </is>
      </c>
    </row>
    <row r="34" outlineLevel="1" ht="15" customHeight="1" s="137">
      <c r="A34" s="67" t="n">
        <v>1</v>
      </c>
      <c r="B34" s="76">
        <f>IF('Final Calculation Sheet'!$F$8="","",'Final Calculation Sheet'!$F$8)</f>
        <v/>
      </c>
      <c r="C34" s="76">
        <f>IF('Final Calculation Sheet'!$G$8="","",'Final Calculation Sheet'!$G$8)</f>
        <v/>
      </c>
      <c r="D34" s="80">
        <f>IF('Final Calculation Sheet'!$B$8="","",'Final Calculation Sheet'!$B$8)</f>
        <v/>
      </c>
      <c r="E34" s="80">
        <f>IF('Final Calculation Sheet'!$D$8="","",'Final Calculation Sheet'!$D$8)</f>
        <v/>
      </c>
      <c r="F34" s="80">
        <f>IF('Final Calculation Sheet'!$A$8="","",'Final Calculation Sheet'!$A$8)</f>
        <v/>
      </c>
      <c r="G34" s="80">
        <f>IF('Final Calculation Sheet'!$E$8="","",'Final Calculation Sheet'!$E$8)</f>
        <v/>
      </c>
      <c r="H34" s="70">
        <f>IF('Final Calculation Sheet'!$C$8="","",'Final Calculation Sheet'!$C$8)</f>
        <v/>
      </c>
      <c r="I34" s="70">
        <f>IF('Final Calculation Sheet'!$H$8="","",'Final Calculation Sheet'!$H$8)</f>
        <v/>
      </c>
      <c r="J34" s="70">
        <f>IF('Final Calculation Sheet'!$I$8="","",'Final Calculation Sheet'!$I$8)</f>
        <v/>
      </c>
      <c r="K34" s="70">
        <f>IF('Final Calculation Sheet'!$J$8="","",'Final Calculation Sheet'!$J$8)</f>
        <v/>
      </c>
      <c r="L34" s="70">
        <f>IF('Final Calculation Sheet'!$K$8="","",'Final Calculation Sheet'!$K$8)</f>
        <v/>
      </c>
      <c r="M34" s="70">
        <f>IF('Final Calculation Sheet'!$L$8="","",'Final Calculation Sheet'!$L$8)</f>
        <v/>
      </c>
      <c r="N34" s="70">
        <f>IF('Final Calculation Sheet'!$M$8="","",'Final Calculation Sheet'!$M$8)</f>
        <v/>
      </c>
      <c r="O34" s="71">
        <f>IF('Final Calculation Sheet'!$N$8="","",'Final Calculation Sheet'!$N$8)</f>
        <v/>
      </c>
      <c r="P34" s="70">
        <f>IF('Final Calculation Sheet'!$O$8="","",'Final Calculation Sheet'!$O$8)</f>
        <v/>
      </c>
      <c r="Q34" s="70">
        <f>IF('Final Calculation Sheet'!$P$8="","",'Final Calculation Sheet'!$P$8)</f>
        <v/>
      </c>
      <c r="R34" s="72">
        <f>IF('Final Calculation Sheet'!$Q$8="","",'Final Calculation Sheet'!$Q$8)</f>
        <v/>
      </c>
      <c r="S34" s="70">
        <f>IF('Final Calculation Sheet'!$R$8="","",'Final Calculation Sheet'!$R$8)</f>
        <v/>
      </c>
      <c r="T34" s="70">
        <f>IF('Final Calculation Sheet'!$S$8="","",'Final Calculation Sheet'!$S$8)</f>
        <v/>
      </c>
      <c r="U34" s="70">
        <f>IF('Final Calculation Sheet'!$T$8="","",'Final Calculation Sheet'!$T$8)</f>
        <v/>
      </c>
      <c r="V34" s="73">
        <f>IF('Final Calculation Sheet'!$U$8="","",'Final Calculation Sheet'!$U$8)</f>
        <v/>
      </c>
      <c r="W34" s="70">
        <f>IF('Final Calculation Sheet'!$V$8="","",'Final Calculation Sheet'!$V$8)</f>
        <v/>
      </c>
      <c r="X34" s="70">
        <f>IF('Final Calculation Sheet'!$W$8="","",'Final Calculation Sheet'!$W$8)</f>
        <v/>
      </c>
      <c r="Y34" s="70">
        <f>IF('Final Calculation Sheet'!$X$8="","",'Final Calculation Sheet'!$X$8)</f>
        <v/>
      </c>
      <c r="Z34" s="70">
        <f>IF('Final Calculation Sheet'!$Y$8="","",'Final Calculation Sheet'!$Y$8)</f>
        <v/>
      </c>
      <c r="AA34" s="70">
        <f>IF('Final Calculation Sheet'!$Z$8="","",'Final Calculation Sheet'!$Z$8)</f>
        <v/>
      </c>
      <c r="AB34" s="70">
        <f>IF('Final Calculation Sheet'!$AA$8="","",'Final Calculation Sheet'!$AA$8)</f>
        <v/>
      </c>
      <c r="AC34" s="70">
        <f>IF('Final Calculation Sheet'!$AB$8="","",'Final Calculation Sheet'!$AB$8)</f>
        <v/>
      </c>
      <c r="AD34" s="70">
        <f>IF('Final Calculation Sheet'!$AC$8="","",'Final Calculation Sheet'!$AC$8)</f>
        <v/>
      </c>
      <c r="AE34" s="70">
        <f>IF('Final Calculation Sheet'!$AD$8="","",'Final Calculation Sheet'!$AD$8)</f>
        <v/>
      </c>
      <c r="AF34" s="75">
        <f>IF('Final Calculation Sheet'!$AD$8="","",IF('Final Calculation Sheet'!$AD$8&lt;=5,"SETTLED","OUTSTANDING"))</f>
        <v/>
      </c>
      <c r="AG34" s="70">
        <f>IF('Final Calculation Sheet'!$AF$8="","",'Final Calculation Sheet'!$AF$8)</f>
        <v/>
      </c>
      <c r="AH34" s="74">
        <f>IF('Final Calculation Sheet'!$AG$8="","",'Final Calculation Sheet'!$AG$8)</f>
        <v/>
      </c>
      <c r="AI34" s="70">
        <f>IF('Final Calculation Sheet'!$AH$8="","",'Final Calculation Sheet'!$AH$8)</f>
        <v/>
      </c>
      <c r="AJ34">
        <f>IF(AND(IF($B$4="",TRUE(),IF($B$4="(blank)",'Final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Sheet'!$AD$8&lt;=5,"SETTLED","OUTSTANDING"))))))),1,0)</f>
      </c>
      <c r="AK34">
        <f>IF(AJ34=1,COUNTIF(AJ$7:AJ34,1),"")</f>
        <v/>
      </c>
    </row>
    <row r="35" outlineLevel="1" ht="15" customHeight="1" s="137">
      <c r="A35" s="90" t="n">
        <v>2</v>
      </c>
      <c r="B35" s="92">
        <f>IF('Final Calculation Sheet'!$F$20="","",'Final Calculation Sheet'!$F$20)</f>
        <v/>
      </c>
      <c r="C35" s="92">
        <f>IF('Final Calculation Sheet'!$G$20="","",'Final Calculation Sheet'!$G$20)</f>
        <v/>
      </c>
      <c r="D35" s="94">
        <f>IF('Final Calculation Sheet'!$B$20="","",'Final Calculation Sheet'!$B$20)</f>
        <v/>
      </c>
      <c r="E35" s="94">
        <f>IF('Final Calculation Sheet'!$D$20="","",'Final Calculation Sheet'!$D$20)</f>
        <v/>
      </c>
      <c r="F35" s="94">
        <f>IF('Final Calculation Sheet'!$A$20="","",'Final Calculation Sheet'!$A$20)</f>
        <v/>
      </c>
      <c r="G35" s="94">
        <f>IF('Final Calculation Sheet'!$E$20="","",'Final Calculation Sheet'!$E$20)</f>
        <v/>
      </c>
      <c r="H35" s="95">
        <f>IF('Final Calculation Sheet'!$C$20="","",'Final Calculation Sheet'!$C$20)</f>
        <v/>
      </c>
      <c r="I35" s="95">
        <f>IF('Final Calculation Sheet'!$H$20="","",'Final Calculation Sheet'!$H$20)</f>
        <v/>
      </c>
      <c r="J35" s="95">
        <f>IF('Final Calculation Sheet'!$I$20="","",'Final Calculation Sheet'!$I$20)</f>
        <v/>
      </c>
      <c r="K35" s="95">
        <f>IF('Final Calculation Sheet'!$J$20="","",'Final Calculation Sheet'!$J$20)</f>
        <v/>
      </c>
      <c r="L35" s="95">
        <f>IF('Final Calculation Sheet'!$K$20="","",'Final Calculation Sheet'!$K$20)</f>
        <v/>
      </c>
      <c r="M35" s="95">
        <f>IF('Final Calculation Sheet'!$L$20="","",'Final Calculation Sheet'!$L$20)</f>
        <v/>
      </c>
      <c r="N35" s="95">
        <f>IF('Final Calculation Sheet'!$M$20="","",'Final Calculation Sheet'!$M$20)</f>
        <v/>
      </c>
      <c r="O35" s="96">
        <f>IF('Final Calculation Sheet'!$N$20="","",'Final Calculation Sheet'!$N$20)</f>
        <v/>
      </c>
      <c r="P35" s="95">
        <f>IF('Final Calculation Sheet'!$O$20="","",'Final Calculation Sheet'!$O$20)</f>
        <v/>
      </c>
      <c r="Q35" s="95">
        <f>IF('Final Calculation Sheet'!$P$20="","",'Final Calculation Sheet'!$P$20)</f>
        <v/>
      </c>
      <c r="R35" s="97">
        <f>IF('Final Calculation Sheet'!$Q$20="","",'Final Calculation Sheet'!$Q$20)</f>
        <v/>
      </c>
      <c r="S35" s="95">
        <f>IF('Final Calculation Sheet'!$R$20="","",'Final Calculation Sheet'!$R$20)</f>
        <v/>
      </c>
      <c r="T35" s="95">
        <f>IF('Final Calculation Sheet'!$S$20="","",'Final Calculation Sheet'!$S$20)</f>
        <v/>
      </c>
      <c r="U35" s="95">
        <f>IF('Final Calculation Sheet'!$T$20="","",'Final Calculation Sheet'!$T$20)</f>
        <v/>
      </c>
      <c r="V35" s="98">
        <f>IF('Final Calculation Sheet'!$U$20="","",'Final Calculation Sheet'!$U$20)</f>
        <v/>
      </c>
      <c r="W35" s="95">
        <f>IF('Final Calculation Sheet'!$V$20="","",'Final Calculation Sheet'!$V$20)</f>
        <v/>
      </c>
      <c r="X35" s="95">
        <f>IF('Final Calculation Sheet'!$W$20="","",'Final Calculation Sheet'!$W$20)</f>
        <v/>
      </c>
      <c r="Y35" s="95">
        <f>IF('Final Calculation Sheet'!$X$20="","",'Final Calculation Sheet'!$X$20)</f>
        <v/>
      </c>
      <c r="Z35" s="95">
        <f>IF('Final Calculation Sheet'!$Y$20="","",'Final Calculation Sheet'!$Y$20)</f>
        <v/>
      </c>
      <c r="AA35" s="95">
        <f>IF('Final Calculation Sheet'!$Z$20="","",'Final Calculation Sheet'!$Z$20)</f>
        <v/>
      </c>
      <c r="AB35" s="95">
        <f>IF('Final Calculation Sheet'!$AA$20="","",'Final Calculation Sheet'!$AA$20)</f>
        <v/>
      </c>
      <c r="AC35" s="95">
        <f>IF('Final Calculation Sheet'!$AB$20="","",'Final Calculation Sheet'!$AB$20)</f>
        <v/>
      </c>
      <c r="AD35" s="95">
        <f>IF('Final Calculation Sheet'!$AC$20="","",'Final Calculation Sheet'!$AC$20)</f>
        <v/>
      </c>
      <c r="AE35" s="95">
        <f>IF('Final Calculation Sheet'!$AD$20="","",'Final Calculation Sheet'!$AD$20)</f>
        <v/>
      </c>
      <c r="AF35" s="100">
        <f>IF('Final Calculation Sheet'!$AD$20="","",IF('Final Calculation Sheet'!$AD$20&lt;=5,"SETTLED","OUTSTANDING"))</f>
        <v/>
      </c>
      <c r="AG35" s="95">
        <f>IF('Final Calculation Sheet'!$AF$20="","",'Final Calculation Sheet'!$AF$20)</f>
        <v/>
      </c>
      <c r="AH35" s="99">
        <f>IF('Final Calculation Sheet'!$AG$20="","",'Final Calculation Sheet'!$AG$20)</f>
        <v/>
      </c>
      <c r="AI35" s="95">
        <f>IF('Final Calculation Sheet'!$AH$20="","",'Final Calculation Sheet'!$AH$20)</f>
        <v/>
      </c>
      <c r="AJ35">
        <f>IF(AND(IF($B$4="",TRUE(),IF($B$4="(blank)",'Final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Sheet'!$AD$20&lt;=5,"SETTLED","OUTSTANDING"))))))),1,0)</f>
      </c>
      <c r="AK35">
        <f>IF(AJ35=1,COUNTIF(AJ$7:AJ35,1),"")</f>
        <v/>
      </c>
    </row>
    <row r="36" ht="15" customHeight="1" s="137">
      <c r="A36" s="81" t="inlineStr">
        <is>
          <t>∑</t>
        </is>
      </c>
      <c r="B36" s="83" t="n"/>
      <c r="C36" s="83">
        <f>ROWS($C$34:$C$35)&amp;" lot(s)"</f>
        <v/>
      </c>
      <c r="D36" s="83" t="inlineStr">
        <is>
          <t>SUBTOTAL — OMKAR STEELS</t>
        </is>
      </c>
      <c r="E36" s="83" t="inlineStr">
        <is>
          <t>–</t>
        </is>
      </c>
      <c r="F36" s="83">
        <f>SUM(F34:F35)</f>
        <v/>
      </c>
      <c r="G36" s="83" t="inlineStr">
        <is>
          <t>–</t>
        </is>
      </c>
      <c r="H36" s="84" t="inlineStr">
        <is>
          <t>–</t>
        </is>
      </c>
      <c r="I36" s="84">
        <f>SUM(I34:I35)</f>
        <v/>
      </c>
      <c r="J36" s="84">
        <f>SUM(J34:J35)</f>
        <v/>
      </c>
      <c r="K36" s="84">
        <f>SUM(K34:K35)</f>
        <v/>
      </c>
      <c r="L36" s="84">
        <f>SUM(L34:L35)</f>
        <v/>
      </c>
      <c r="M36" s="84">
        <f>SUM(M34:M35)</f>
        <v/>
      </c>
      <c r="N36" s="84">
        <f>SUM(N34:N35)</f>
        <v/>
      </c>
      <c r="O36" s="85">
        <f>SUM(O34:O35)</f>
        <v/>
      </c>
      <c r="P36" s="84">
        <f>SUM(P34:P35)</f>
        <v/>
      </c>
      <c r="Q36" s="84">
        <f>SUM(Q34:Q35)</f>
        <v/>
      </c>
      <c r="R36" s="86" t="inlineStr">
        <is>
          <t>–</t>
        </is>
      </c>
      <c r="S36" s="84">
        <f>SUM(S34:S35)</f>
        <v/>
      </c>
      <c r="T36" s="84">
        <f>SUM(T34:T35)</f>
        <v/>
      </c>
      <c r="U36" s="84">
        <f>SUM(U34:U35)</f>
        <v/>
      </c>
      <c r="V36" s="87">
        <f>SUM(V34:V35)</f>
        <v/>
      </c>
      <c r="W36" s="84" t="inlineStr">
        <is>
          <t>–</t>
        </is>
      </c>
      <c r="X36" s="84">
        <f>SUM(X34:X35)</f>
        <v/>
      </c>
      <c r="Y36" s="84">
        <f>SUM(Y34:Y35)</f>
        <v/>
      </c>
      <c r="Z36" s="84" t="inlineStr">
        <is>
          <t>–</t>
        </is>
      </c>
      <c r="AA36" s="84">
        <f>SUM(AA34:AA35)</f>
        <v/>
      </c>
      <c r="AB36" s="84">
        <f>SUM(AB34:AB35)</f>
        <v/>
      </c>
      <c r="AC36" s="84" t="inlineStr">
        <is>
          <t>–</t>
        </is>
      </c>
      <c r="AD36" s="84">
        <f>SUM(AD34:AD35)</f>
        <v/>
      </c>
      <c r="AE36" s="84">
        <f>SUM(AE34:AE35)</f>
        <v/>
      </c>
      <c r="AF36" s="89">
        <f>IF(AE36&lt;=5,"SETTLED","OUTSTANDING")</f>
        <v/>
      </c>
      <c r="AG36" s="84" t="inlineStr">
        <is>
          <t>–</t>
        </is>
      </c>
      <c r="AH36" s="88" t="inlineStr">
        <is>
          <t>–</t>
        </is>
      </c>
      <c r="AI36" s="84" t="inlineStr">
        <is>
          <t>–</t>
        </is>
      </c>
    </row>
    <row r="37" outlineLevel="1" ht="15" customHeight="1" s="137">
      <c r="A37" s="67" t="n">
        <v>1</v>
      </c>
      <c r="B37" s="76">
        <f>IF('Final Calculation Sheet'!$F$39="","",'Final Calculation Sheet'!$F$39)</f>
        <v/>
      </c>
      <c r="C37" s="76">
        <f>IF('Final Calculation Sheet'!$G$39="","",'Final Calculation Sheet'!$G$39)</f>
        <v/>
      </c>
      <c r="D37" s="80">
        <f>IF('Final Calculation Sheet'!$B$39="","",'Final Calculation Sheet'!$B$39)</f>
        <v/>
      </c>
      <c r="E37" s="80">
        <f>IF('Final Calculation Sheet'!$D$39="","",'Final Calculation Sheet'!$D$39)</f>
        <v/>
      </c>
      <c r="F37" s="80">
        <f>IF('Final Calculation Sheet'!$A$39="","",'Final Calculation Sheet'!$A$39)</f>
        <v/>
      </c>
      <c r="G37" s="80">
        <f>IF('Final Calculation Sheet'!$E$39="","",'Final Calculation Sheet'!$E$39)</f>
        <v/>
      </c>
      <c r="H37" s="70">
        <f>IF('Final Calculation Sheet'!$C$39="","",'Final Calculation Sheet'!$C$39)</f>
        <v/>
      </c>
      <c r="I37" s="70">
        <f>IF('Final Calculation Sheet'!$H$39="","",'Final Calculation Sheet'!$H$39)</f>
        <v/>
      </c>
      <c r="J37" s="70">
        <f>IF('Final Calculation Sheet'!$I$39="","",'Final Calculation Sheet'!$I$39)</f>
        <v/>
      </c>
      <c r="K37" s="70">
        <f>IF('Final Calculation Sheet'!$J$39="","",'Final Calculation Sheet'!$J$39)</f>
        <v/>
      </c>
      <c r="L37" s="70">
        <f>IF('Final Calculation Sheet'!$K$39="","",'Final Calculation Sheet'!$K$39)</f>
        <v/>
      </c>
      <c r="M37" s="70">
        <f>IF('Final Calculation Sheet'!$L$39="","",'Final Calculation Sheet'!$L$39)</f>
        <v/>
      </c>
      <c r="N37" s="70">
        <f>IF('Final Calculation Sheet'!$M$39="","",'Final Calculation Sheet'!$M$39)</f>
        <v/>
      </c>
      <c r="O37" s="71">
        <f>IF('Final Calculation Sheet'!$N$39="","",'Final Calculation Sheet'!$N$39)</f>
        <v/>
      </c>
      <c r="P37" s="70">
        <f>IF('Final Calculation Sheet'!$O$39="","",'Final Calculation Sheet'!$O$39)</f>
        <v/>
      </c>
      <c r="Q37" s="70">
        <f>IF('Final Calculation Sheet'!$P$39="","",'Final Calculation Sheet'!$P$39)</f>
        <v/>
      </c>
      <c r="R37" s="72">
        <f>IF('Final Calculation Sheet'!$Q$39="","",'Final Calculation Sheet'!$Q$39)</f>
        <v/>
      </c>
      <c r="S37" s="70">
        <f>IF('Final Calculation Sheet'!$R$39="","",'Final Calculation Sheet'!$R$39)</f>
        <v/>
      </c>
      <c r="T37" s="70">
        <f>IF('Final Calculation Sheet'!$S$39="","",'Final Calculation Sheet'!$S$39)</f>
        <v/>
      </c>
      <c r="U37" s="70">
        <f>IF('Final Calculation Sheet'!$T$39="","",'Final Calculation Sheet'!$T$39)</f>
        <v/>
      </c>
      <c r="V37" s="73">
        <f>IF('Final Calculation Sheet'!$U$39="","",'Final Calculation Sheet'!$U$39)</f>
        <v/>
      </c>
      <c r="W37" s="70">
        <f>IF('Final Calculation Sheet'!$V$39="","",'Final Calculation Sheet'!$V$39)</f>
        <v/>
      </c>
      <c r="X37" s="70">
        <f>IF('Final Calculation Sheet'!$W$39="","",'Final Calculation Sheet'!$W$39)</f>
        <v/>
      </c>
      <c r="Y37" s="70">
        <f>IF('Final Calculation Sheet'!$X$39="","",'Final Calculation Sheet'!$X$39)</f>
        <v/>
      </c>
      <c r="Z37" s="70">
        <f>IF('Final Calculation Sheet'!$Y$39="","",'Final Calculation Sheet'!$Y$39)</f>
        <v/>
      </c>
      <c r="AA37" s="70">
        <f>IF('Final Calculation Sheet'!$Z$39="","",'Final Calculation Sheet'!$Z$39)</f>
        <v/>
      </c>
      <c r="AB37" s="70">
        <f>IF('Final Calculation Sheet'!$AA$39="","",'Final Calculation Sheet'!$AA$39)</f>
        <v/>
      </c>
      <c r="AC37" s="70">
        <f>IF('Final Calculation Sheet'!$AB$39="","",'Final Calculation Sheet'!$AB$39)</f>
        <v/>
      </c>
      <c r="AD37" s="70">
        <f>IF('Final Calculation Sheet'!$AC$39="","",'Final Calculation Sheet'!$AC$39)</f>
        <v/>
      </c>
      <c r="AE37" s="70">
        <f>IF('Final Calculation Sheet'!$AD$39="","",'Final Calculation Sheet'!$AD$39)</f>
        <v/>
      </c>
      <c r="AF37" s="75">
        <f>IF('Final Calculation Sheet'!$AD$39="","",IF('Final Calculation Sheet'!$AD$39&lt;=5,"SETTLED","OUTSTANDING"))</f>
        <v/>
      </c>
      <c r="AG37" s="70">
        <f>IF('Final Calculation Sheet'!$AF$39="","",'Final Calculation Sheet'!$AF$39)</f>
        <v/>
      </c>
      <c r="AH37" s="74">
        <f>IF('Final Calculation Sheet'!$AG$39="","",'Final Calculation Sheet'!$AG$39)</f>
        <v/>
      </c>
      <c r="AI37" s="70">
        <f>IF('Final Calculation Sheet'!$AH$39="","",'Final Calculation Sheet'!$AH$39)</f>
        <v/>
      </c>
      <c r="AJ37">
        <f>IF(AND(IF($B$4="",TRUE(),IF($B$4="(blank)",'Final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Sheet'!$AD$39&lt;=5,"SETTLED","OUTSTANDING"))))))),1,0)</f>
      </c>
      <c r="AK37">
        <f>IF(AJ37=1,COUNTIF(AJ$7:AJ37,1),"")</f>
        <v/>
      </c>
    </row>
    <row r="38" outlineLevel="1" ht="15" customHeight="1" s="137">
      <c r="A38" s="90" t="n">
        <v>2</v>
      </c>
      <c r="B38" s="92">
        <f>IF('Final Calculation Sheet'!$F$40="","",'Final Calculation Sheet'!$F$40)</f>
        <v/>
      </c>
      <c r="C38" s="92">
        <f>IF('Final Calculation Sheet'!$G$40="","",'Final Calculation Sheet'!$G$40)</f>
        <v/>
      </c>
      <c r="D38" s="94">
        <f>IF('Final Calculation Sheet'!$B$40="","",'Final Calculation Sheet'!$B$40)</f>
        <v/>
      </c>
      <c r="E38" s="94">
        <f>IF('Final Calculation Sheet'!$D$40="","",'Final Calculation Sheet'!$D$40)</f>
        <v/>
      </c>
      <c r="F38" s="94">
        <f>IF('Final Calculation Sheet'!$A$40="","",'Final Calculation Sheet'!$A$40)</f>
        <v/>
      </c>
      <c r="G38" s="94">
        <f>IF('Final Calculation Sheet'!$E$40="","",'Final Calculation Sheet'!$E$40)</f>
        <v/>
      </c>
      <c r="H38" s="95">
        <f>IF('Final Calculation Sheet'!$C$40="","",'Final Calculation Sheet'!$C$40)</f>
        <v/>
      </c>
      <c r="I38" s="95">
        <f>IF('Final Calculation Sheet'!$H$40="","",'Final Calculation Sheet'!$H$40)</f>
        <v/>
      </c>
      <c r="J38" s="95">
        <f>IF('Final Calculation Sheet'!$I$40="","",'Final Calculation Sheet'!$I$40)</f>
        <v/>
      </c>
      <c r="K38" s="95">
        <f>IF('Final Calculation Sheet'!$J$40="","",'Final Calculation Sheet'!$J$40)</f>
        <v/>
      </c>
      <c r="L38" s="95">
        <f>IF('Final Calculation Sheet'!$K$40="","",'Final Calculation Sheet'!$K$40)</f>
        <v/>
      </c>
      <c r="M38" s="95">
        <f>IF('Final Calculation Sheet'!$L$40="","",'Final Calculation Sheet'!$L$40)</f>
        <v/>
      </c>
      <c r="N38" s="95">
        <f>IF('Final Calculation Sheet'!$M$40="","",'Final Calculation Sheet'!$M$40)</f>
        <v/>
      </c>
      <c r="O38" s="96">
        <f>IF('Final Calculation Sheet'!$N$40="","",'Final Calculation Sheet'!$N$40)</f>
        <v/>
      </c>
      <c r="P38" s="95">
        <f>IF('Final Calculation Sheet'!$O$40="","",'Final Calculation Sheet'!$O$40)</f>
        <v/>
      </c>
      <c r="Q38" s="95">
        <f>IF('Final Calculation Sheet'!$P$40="","",'Final Calculation Sheet'!$P$40)</f>
        <v/>
      </c>
      <c r="R38" s="97">
        <f>IF('Final Calculation Sheet'!$Q$40="","",'Final Calculation Sheet'!$Q$40)</f>
        <v/>
      </c>
      <c r="S38" s="95">
        <f>IF('Final Calculation Sheet'!$R$40="","",'Final Calculation Sheet'!$R$40)</f>
        <v/>
      </c>
      <c r="T38" s="95">
        <f>IF('Final Calculation Sheet'!$S$40="","",'Final Calculation Sheet'!$S$40)</f>
        <v/>
      </c>
      <c r="U38" s="95">
        <f>IF('Final Calculation Sheet'!$T$40="","",'Final Calculation Sheet'!$T$40)</f>
        <v/>
      </c>
      <c r="V38" s="98">
        <f>IF('Final Calculation Sheet'!$U$40="","",'Final Calculation Sheet'!$U$40)</f>
        <v/>
      </c>
      <c r="W38" s="95">
        <f>IF('Final Calculation Sheet'!$V$40="","",'Final Calculation Sheet'!$V$40)</f>
        <v/>
      </c>
      <c r="X38" s="95">
        <f>IF('Final Calculation Sheet'!$W$40="","",'Final Calculation Sheet'!$W$40)</f>
        <v/>
      </c>
      <c r="Y38" s="95">
        <f>IF('Final Calculation Sheet'!$X$40="","",'Final Calculation Sheet'!$X$40)</f>
        <v/>
      </c>
      <c r="Z38" s="95">
        <f>IF('Final Calculation Sheet'!$Y$40="","",'Final Calculation Sheet'!$Y$40)</f>
        <v/>
      </c>
      <c r="AA38" s="95">
        <f>IF('Final Calculation Sheet'!$Z$40="","",'Final Calculation Sheet'!$Z$40)</f>
        <v/>
      </c>
      <c r="AB38" s="95">
        <f>IF('Final Calculation Sheet'!$AA$40="","",'Final Calculation Sheet'!$AA$40)</f>
        <v/>
      </c>
      <c r="AC38" s="95">
        <f>IF('Final Calculation Sheet'!$AB$40="","",'Final Calculation Sheet'!$AB$40)</f>
        <v/>
      </c>
      <c r="AD38" s="95">
        <f>IF('Final Calculation Sheet'!$AC$40="","",'Final Calculation Sheet'!$AC$40)</f>
        <v/>
      </c>
      <c r="AE38" s="95">
        <f>IF('Final Calculation Sheet'!$AD$40="","",'Final Calculation Sheet'!$AD$40)</f>
        <v/>
      </c>
      <c r="AF38" s="100">
        <f>IF('Final Calculation Sheet'!$AD$40="","",IF('Final Calculation Sheet'!$AD$40&lt;=5,"SETTLED","OUTSTANDING"))</f>
        <v/>
      </c>
      <c r="AG38" s="95">
        <f>IF('Final Calculation Sheet'!$AF$40="","",'Final Calculation Sheet'!$AF$40)</f>
        <v/>
      </c>
      <c r="AH38" s="99">
        <f>IF('Final Calculation Sheet'!$AG$40="","",'Final Calculation Sheet'!$AG$40)</f>
        <v/>
      </c>
      <c r="AI38" s="95">
        <f>IF('Final Calculation Sheet'!$AH$40="","",'Final Calculation Sheet'!$AH$40)</f>
        <v/>
      </c>
      <c r="AJ38">
        <f>IF(AND(IF($B$4="",TRUE(),IF($B$4="(blank)",'Final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Sheet'!$AD$40&lt;=5,"SETTLED","OUTSTANDING"))))))),1,0)</f>
      </c>
      <c r="AK38">
        <f>IF(AJ38=1,COUNTIF(AJ$7:AJ38,1),"")</f>
        <v/>
      </c>
    </row>
    <row r="39" ht="15" customHeight="1" s="137">
      <c r="A39" s="81" t="inlineStr">
        <is>
          <t>∑</t>
        </is>
      </c>
      <c r="B39" s="83" t="n"/>
      <c r="C39" s="83">
        <f>ROWS($C$37:$C$38)&amp;" lot(s)"</f>
        <v/>
      </c>
      <c r="D39" s="83" t="inlineStr">
        <is>
          <t>SUBTOTAL — S M ENTERPRISES</t>
        </is>
      </c>
      <c r="E39" s="83" t="inlineStr">
        <is>
          <t>–</t>
        </is>
      </c>
      <c r="F39" s="83">
        <f>SUM(F37:F38)</f>
        <v/>
      </c>
      <c r="G39" s="83" t="inlineStr">
        <is>
          <t>–</t>
        </is>
      </c>
      <c r="H39" s="84" t="inlineStr">
        <is>
          <t>–</t>
        </is>
      </c>
      <c r="I39" s="84">
        <f>SUM(I37:I38)</f>
        <v/>
      </c>
      <c r="J39" s="84">
        <f>SUM(J37:J38)</f>
        <v/>
      </c>
      <c r="K39" s="84">
        <f>SUM(K37:K38)</f>
        <v/>
      </c>
      <c r="L39" s="84">
        <f>SUM(L37:L38)</f>
        <v/>
      </c>
      <c r="M39" s="84">
        <f>SUM(M37:M38)</f>
        <v/>
      </c>
      <c r="N39" s="84">
        <f>SUM(N37:N38)</f>
        <v/>
      </c>
      <c r="O39" s="85">
        <f>SUM(O37:O38)</f>
        <v/>
      </c>
      <c r="P39" s="84">
        <f>SUM(P37:P38)</f>
        <v/>
      </c>
      <c r="Q39" s="84">
        <f>SUM(Q37:Q38)</f>
        <v/>
      </c>
      <c r="R39" s="86" t="inlineStr">
        <is>
          <t>–</t>
        </is>
      </c>
      <c r="S39" s="84">
        <f>SUM(S37:S38)</f>
        <v/>
      </c>
      <c r="T39" s="84">
        <f>SUM(T37:T38)</f>
        <v/>
      </c>
      <c r="U39" s="84">
        <f>SUM(U37:U38)</f>
        <v/>
      </c>
      <c r="V39" s="87">
        <f>SUM(V37:V38)</f>
        <v/>
      </c>
      <c r="W39" s="84" t="inlineStr">
        <is>
          <t>–</t>
        </is>
      </c>
      <c r="X39" s="84">
        <f>SUM(X37:X38)</f>
        <v/>
      </c>
      <c r="Y39" s="84">
        <f>SUM(Y37:Y38)</f>
        <v/>
      </c>
      <c r="Z39" s="84" t="inlineStr">
        <is>
          <t>–</t>
        </is>
      </c>
      <c r="AA39" s="84">
        <f>SUM(AA37:AA38)</f>
        <v/>
      </c>
      <c r="AB39" s="84">
        <f>SUM(AB37:AB38)</f>
        <v/>
      </c>
      <c r="AC39" s="84" t="inlineStr">
        <is>
          <t>–</t>
        </is>
      </c>
      <c r="AD39" s="84">
        <f>SUM(AD37:AD38)</f>
        <v/>
      </c>
      <c r="AE39" s="84">
        <f>SUM(AE37:AE38)</f>
        <v/>
      </c>
      <c r="AF39" s="89">
        <f>IF(AE39&lt;=5,"SETTLED","OUTSTANDING")</f>
        <v/>
      </c>
      <c r="AG39" s="84" t="inlineStr">
        <is>
          <t>–</t>
        </is>
      </c>
      <c r="AH39" s="88" t="inlineStr">
        <is>
          <t>–</t>
        </is>
      </c>
      <c r="AI39" s="84" t="inlineStr">
        <is>
          <t>–</t>
        </is>
      </c>
    </row>
    <row r="40" outlineLevel="1" ht="15" customHeight="1" s="137">
      <c r="A40" s="67" t="n">
        <v>1</v>
      </c>
      <c r="B40" s="76">
        <f>IF('Final Calculation Sheet'!$F$31="","",'Final Calculation Sheet'!$F$31)</f>
        <v/>
      </c>
      <c r="C40" s="76">
        <f>IF('Final Calculation Sheet'!$G$31="","",'Final Calculation Sheet'!$G$31)</f>
        <v/>
      </c>
      <c r="D40" s="80">
        <f>IF('Final Calculation Sheet'!$B$31="","",'Final Calculation Sheet'!$B$31)</f>
        <v/>
      </c>
      <c r="E40" s="80">
        <f>IF('Final Calculation Sheet'!$D$31="","",'Final Calculation Sheet'!$D$31)</f>
        <v/>
      </c>
      <c r="F40" s="80">
        <f>IF('Final Calculation Sheet'!$A$31="","",'Final Calculation Sheet'!$A$31)</f>
        <v/>
      </c>
      <c r="G40" s="80">
        <f>IF('Final Calculation Sheet'!$E$31="","",'Final Calculation Sheet'!$E$31)</f>
        <v/>
      </c>
      <c r="H40" s="70">
        <f>IF('Final Calculation Sheet'!$C$31="","",'Final Calculation Sheet'!$C$31)</f>
        <v/>
      </c>
      <c r="I40" s="70">
        <f>IF('Final Calculation Sheet'!$H$31="","",'Final Calculation Sheet'!$H$31)</f>
        <v/>
      </c>
      <c r="J40" s="70">
        <f>IF('Final Calculation Sheet'!$I$31="","",'Final Calculation Sheet'!$I$31)</f>
        <v/>
      </c>
      <c r="K40" s="70">
        <f>IF('Final Calculation Sheet'!$J$31="","",'Final Calculation Sheet'!$J$31)</f>
        <v/>
      </c>
      <c r="L40" s="70">
        <f>IF('Final Calculation Sheet'!$K$31="","",'Final Calculation Sheet'!$K$31)</f>
        <v/>
      </c>
      <c r="M40" s="70">
        <f>IF('Final Calculation Sheet'!$L$31="","",'Final Calculation Sheet'!$L$31)</f>
        <v/>
      </c>
      <c r="N40" s="70">
        <f>IF('Final Calculation Sheet'!$M$31="","",'Final Calculation Sheet'!$M$31)</f>
        <v/>
      </c>
      <c r="O40" s="71">
        <f>IF('Final Calculation Sheet'!$N$31="","",'Final Calculation Sheet'!$N$31)</f>
        <v/>
      </c>
      <c r="P40" s="70">
        <f>IF('Final Calculation Sheet'!$O$31="","",'Final Calculation Sheet'!$O$31)</f>
        <v/>
      </c>
      <c r="Q40" s="70">
        <f>IF('Final Calculation Sheet'!$P$31="","",'Final Calculation Sheet'!$P$31)</f>
        <v/>
      </c>
      <c r="R40" s="72">
        <f>IF('Final Calculation Sheet'!$Q$31="","",'Final Calculation Sheet'!$Q$31)</f>
        <v/>
      </c>
      <c r="S40" s="70">
        <f>IF('Final Calculation Sheet'!$R$31="","",'Final Calculation Sheet'!$R$31)</f>
        <v/>
      </c>
      <c r="T40" s="70">
        <f>IF('Final Calculation Sheet'!$S$31="","",'Final Calculation Sheet'!$S$31)</f>
        <v/>
      </c>
      <c r="U40" s="70">
        <f>IF('Final Calculation Sheet'!$T$31="","",'Final Calculation Sheet'!$T$31)</f>
        <v/>
      </c>
      <c r="V40" s="73">
        <f>IF('Final Calculation Sheet'!$U$31="","",'Final Calculation Sheet'!$U$31)</f>
        <v/>
      </c>
      <c r="W40" s="70">
        <f>IF('Final Calculation Sheet'!$V$31="","",'Final Calculation Sheet'!$V$31)</f>
        <v/>
      </c>
      <c r="X40" s="70">
        <f>IF('Final Calculation Sheet'!$W$31="","",'Final Calculation Sheet'!$W$31)</f>
        <v/>
      </c>
      <c r="Y40" s="70">
        <f>IF('Final Calculation Sheet'!$X$31="","",'Final Calculation Sheet'!$X$31)</f>
        <v/>
      </c>
      <c r="Z40" s="70">
        <f>IF('Final Calculation Sheet'!$Y$31="","",'Final Calculation Sheet'!$Y$31)</f>
        <v/>
      </c>
      <c r="AA40" s="70">
        <f>IF('Final Calculation Sheet'!$Z$31="","",'Final Calculation Sheet'!$Z$31)</f>
        <v/>
      </c>
      <c r="AB40" s="70">
        <f>IF('Final Calculation Sheet'!$AA$31="","",'Final Calculation Sheet'!$AA$31)</f>
        <v/>
      </c>
      <c r="AC40" s="70">
        <f>IF('Final Calculation Sheet'!$AB$31="","",'Final Calculation Sheet'!$AB$31)</f>
        <v/>
      </c>
      <c r="AD40" s="70">
        <f>IF('Final Calculation Sheet'!$AC$31="","",'Final Calculation Sheet'!$AC$31)</f>
        <v/>
      </c>
      <c r="AE40" s="70">
        <f>IF('Final Calculation Sheet'!$AD$31="","",'Final Calculation Sheet'!$AD$31)</f>
        <v/>
      </c>
      <c r="AF40" s="75">
        <f>IF('Final Calculation Sheet'!$AD$31="","",IF('Final Calculation Sheet'!$AD$31&lt;=5,"SETTLED","OUTSTANDING"))</f>
        <v/>
      </c>
      <c r="AG40" s="70">
        <f>IF('Final Calculation Sheet'!$AF$31="","",'Final Calculation Sheet'!$AF$31)</f>
        <v/>
      </c>
      <c r="AH40" s="74">
        <f>IF('Final Calculation Sheet'!$AG$31="","",'Final Calculation Sheet'!$AG$31)</f>
        <v/>
      </c>
      <c r="AI40" s="70">
        <f>IF('Final Calculation Sheet'!$AH$31="","",'Final Calculation Sheet'!$AH$31)</f>
        <v/>
      </c>
      <c r="AJ40">
        <f>IF(AND(IF($B$4="",TRUE(),IF($B$4="(blank)",'Final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Sheet'!$AD$31&lt;=5,"SETTLED","OUTSTANDING"))))))),1,0)</f>
      </c>
      <c r="AK40">
        <f>IF(AJ40=1,COUNTIF(AJ$7:AJ40,1),"")</f>
        <v/>
      </c>
    </row>
    <row r="41" ht="15" customHeight="1" s="137">
      <c r="A41" s="81" t="inlineStr">
        <is>
          <t>∑</t>
        </is>
      </c>
      <c r="B41" s="83" t="n"/>
      <c r="C41" s="83">
        <f>ROWS($C$40:$C$40)&amp;" lot(s)"</f>
        <v/>
      </c>
      <c r="D41" s="83" t="inlineStr">
        <is>
          <t>SUBTOTAL — SAHARA ENTERPRISES</t>
        </is>
      </c>
      <c r="E41" s="83" t="inlineStr">
        <is>
          <t>–</t>
        </is>
      </c>
      <c r="F41" s="83">
        <f>SUM(F40:F40)</f>
        <v/>
      </c>
      <c r="G41" s="83" t="inlineStr">
        <is>
          <t>–</t>
        </is>
      </c>
      <c r="H41" s="84" t="inlineStr">
        <is>
          <t>–</t>
        </is>
      </c>
      <c r="I41" s="84">
        <f>SUM(I40:I40)</f>
        <v/>
      </c>
      <c r="J41" s="84">
        <f>SUM(J40:J40)</f>
        <v/>
      </c>
      <c r="K41" s="84">
        <f>SUM(K40:K40)</f>
        <v/>
      </c>
      <c r="L41" s="84">
        <f>SUM(L40:L40)</f>
        <v/>
      </c>
      <c r="M41" s="84">
        <f>SUM(M40:M40)</f>
        <v/>
      </c>
      <c r="N41" s="84">
        <f>SUM(N40:N40)</f>
        <v/>
      </c>
      <c r="O41" s="85">
        <f>SUM(O40:O40)</f>
        <v/>
      </c>
      <c r="P41" s="84">
        <f>SUM(P40:P40)</f>
        <v/>
      </c>
      <c r="Q41" s="84">
        <f>SUM(Q40:Q40)</f>
        <v/>
      </c>
      <c r="R41" s="86" t="inlineStr">
        <is>
          <t>–</t>
        </is>
      </c>
      <c r="S41" s="84">
        <f>SUM(S40:S40)</f>
        <v/>
      </c>
      <c r="T41" s="84">
        <f>SUM(T40:T40)</f>
        <v/>
      </c>
      <c r="U41" s="84">
        <f>SUM(U40:U40)</f>
        <v/>
      </c>
      <c r="V41" s="87">
        <f>SUM(V40:V40)</f>
        <v/>
      </c>
      <c r="W41" s="84" t="inlineStr">
        <is>
          <t>–</t>
        </is>
      </c>
      <c r="X41" s="84">
        <f>SUM(X40:X40)</f>
        <v/>
      </c>
      <c r="Y41" s="84">
        <f>SUM(Y40:Y40)</f>
        <v/>
      </c>
      <c r="Z41" s="84" t="inlineStr">
        <is>
          <t>–</t>
        </is>
      </c>
      <c r="AA41" s="84">
        <f>SUM(AA40:AA40)</f>
        <v/>
      </c>
      <c r="AB41" s="84">
        <f>SUM(AB40:AB40)</f>
        <v/>
      </c>
      <c r="AC41" s="84" t="inlineStr">
        <is>
          <t>–</t>
        </is>
      </c>
      <c r="AD41" s="84">
        <f>SUM(AD40:AD40)</f>
        <v/>
      </c>
      <c r="AE41" s="84">
        <f>SUM(AE40:AE40)</f>
        <v/>
      </c>
      <c r="AF41" s="89">
        <f>IF(AE41&lt;=5,"SETTLED","OUTSTANDING")</f>
        <v/>
      </c>
      <c r="AG41" s="84" t="inlineStr">
        <is>
          <t>–</t>
        </is>
      </c>
      <c r="AH41" s="88" t="inlineStr">
        <is>
          <t>–</t>
        </is>
      </c>
      <c r="AI41" s="84" t="inlineStr">
        <is>
          <t>–</t>
        </is>
      </c>
    </row>
    <row r="42" outlineLevel="1" ht="15" customHeight="1" s="137">
      <c r="A42" s="67" t="n">
        <v>1</v>
      </c>
      <c r="B42" s="76">
        <f>IF('Final Calculation Sheet'!$F$9="","",'Final Calculation Sheet'!$F$9)</f>
        <v/>
      </c>
      <c r="C42" s="76">
        <f>IF('Final Calculation Sheet'!$G$9="","",'Final Calculation Sheet'!$G$9)</f>
        <v/>
      </c>
      <c r="D42" s="80">
        <f>IF('Final Calculation Sheet'!$B$9="","",'Final Calculation Sheet'!$B$9)</f>
        <v/>
      </c>
      <c r="E42" s="80">
        <f>IF('Final Calculation Sheet'!$D$9="","",'Final Calculation Sheet'!$D$9)</f>
        <v/>
      </c>
      <c r="F42" s="80">
        <f>IF('Final Calculation Sheet'!$A$9="","",'Final Calculation Sheet'!$A$9)</f>
        <v/>
      </c>
      <c r="G42" s="80">
        <f>IF('Final Calculation Sheet'!$E$9="","",'Final Calculation Sheet'!$E$9)</f>
        <v/>
      </c>
      <c r="H42" s="70">
        <f>IF('Final Calculation Sheet'!$C$9="","",'Final Calculation Sheet'!$C$9)</f>
        <v/>
      </c>
      <c r="I42" s="70">
        <f>IF('Final Calculation Sheet'!$H$9="","",'Final Calculation Sheet'!$H$9)</f>
        <v/>
      </c>
      <c r="J42" s="70">
        <f>IF('Final Calculation Sheet'!$I$9="","",'Final Calculation Sheet'!$I$9)</f>
        <v/>
      </c>
      <c r="K42" s="70">
        <f>IF('Final Calculation Sheet'!$J$9="","",'Final Calculation Sheet'!$J$9)</f>
        <v/>
      </c>
      <c r="L42" s="70">
        <f>IF('Final Calculation Sheet'!$K$9="","",'Final Calculation Sheet'!$K$9)</f>
        <v/>
      </c>
      <c r="M42" s="70">
        <f>IF('Final Calculation Sheet'!$L$9="","",'Final Calculation Sheet'!$L$9)</f>
        <v/>
      </c>
      <c r="N42" s="70">
        <f>IF('Final Calculation Sheet'!$M$9="","",'Final Calculation Sheet'!$M$9)</f>
        <v/>
      </c>
      <c r="O42" s="71">
        <f>IF('Final Calculation Sheet'!$N$9="","",'Final Calculation Sheet'!$N$9)</f>
        <v/>
      </c>
      <c r="P42" s="70">
        <f>IF('Final Calculation Sheet'!$O$9="","",'Final Calculation Sheet'!$O$9)</f>
        <v/>
      </c>
      <c r="Q42" s="70">
        <f>IF('Final Calculation Sheet'!$P$9="","",'Final Calculation Sheet'!$P$9)</f>
        <v/>
      </c>
      <c r="R42" s="72">
        <f>IF('Final Calculation Sheet'!$Q$9="","",'Final Calculation Sheet'!$Q$9)</f>
        <v/>
      </c>
      <c r="S42" s="70">
        <f>IF('Final Calculation Sheet'!$R$9="","",'Final Calculation Sheet'!$R$9)</f>
        <v/>
      </c>
      <c r="T42" s="70">
        <f>IF('Final Calculation Sheet'!$S$9="","",'Final Calculation Sheet'!$S$9)</f>
        <v/>
      </c>
      <c r="U42" s="70">
        <f>IF('Final Calculation Sheet'!$T$9="","",'Final Calculation Sheet'!$T$9)</f>
        <v/>
      </c>
      <c r="V42" s="73">
        <f>IF('Final Calculation Sheet'!$U$9="","",'Final Calculation Sheet'!$U$9)</f>
        <v/>
      </c>
      <c r="W42" s="70">
        <f>IF('Final Calculation Sheet'!$V$9="","",'Final Calculation Sheet'!$V$9)</f>
        <v/>
      </c>
      <c r="X42" s="70">
        <f>IF('Final Calculation Sheet'!$W$9="","",'Final Calculation Sheet'!$W$9)</f>
        <v/>
      </c>
      <c r="Y42" s="70">
        <f>IF('Final Calculation Sheet'!$X$9="","",'Final Calculation Sheet'!$X$9)</f>
        <v/>
      </c>
      <c r="Z42" s="70">
        <f>IF('Final Calculation Sheet'!$Y$9="","",'Final Calculation Sheet'!$Y$9)</f>
        <v/>
      </c>
      <c r="AA42" s="70">
        <f>IF('Final Calculation Sheet'!$Z$9="","",'Final Calculation Sheet'!$Z$9)</f>
        <v/>
      </c>
      <c r="AB42" s="70">
        <f>IF('Final Calculation Sheet'!$AA$9="","",'Final Calculation Sheet'!$AA$9)</f>
        <v/>
      </c>
      <c r="AC42" s="70">
        <f>IF('Final Calculation Sheet'!$AB$9="","",'Final Calculation Sheet'!$AB$9)</f>
        <v/>
      </c>
      <c r="AD42" s="70">
        <f>IF('Final Calculation Sheet'!$AC$9="","",'Final Calculation Sheet'!$AC$9)</f>
        <v/>
      </c>
      <c r="AE42" s="70">
        <f>IF('Final Calculation Sheet'!$AD$9="","",'Final Calculation Sheet'!$AD$9)</f>
        <v/>
      </c>
      <c r="AF42" s="75">
        <f>IF('Final Calculation Sheet'!$AD$9="","",IF('Final Calculation Sheet'!$AD$9&lt;=5,"SETTLED","OUTSTANDING"))</f>
        <v/>
      </c>
      <c r="AG42" s="70">
        <f>IF('Final Calculation Sheet'!$AF$9="","",'Final Calculation Sheet'!$AF$9)</f>
        <v/>
      </c>
      <c r="AH42" s="74">
        <f>IF('Final Calculation Sheet'!$AG$9="","",'Final Calculation Sheet'!$AG$9)</f>
        <v/>
      </c>
      <c r="AI42" s="70">
        <f>IF('Final Calculation Sheet'!$AH$9="","",'Final Calculation Sheet'!$AH$9)</f>
        <v/>
      </c>
      <c r="AJ42">
        <f>IF(AND(IF($B$4="",TRUE(),IF($B$4="(blank)",'Final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Sheet'!$AD$9&lt;=5,"SETTLED","OUTSTANDING"))))))),1,0)</f>
      </c>
      <c r="AK42">
        <f>IF(AJ42=1,COUNTIF(AJ$7:AJ42,1),"")</f>
        <v/>
      </c>
    </row>
    <row r="43" outlineLevel="1" ht="15" customHeight="1" s="137">
      <c r="A43" s="90" t="n">
        <v>2</v>
      </c>
      <c r="B43" s="92">
        <f>IF('Final Calculation Sheet'!$F$14="","",'Final Calculation Sheet'!$F$14)</f>
        <v/>
      </c>
      <c r="C43" s="92">
        <f>IF('Final Calculation Sheet'!$G$14="","",'Final Calculation Sheet'!$G$14)</f>
        <v/>
      </c>
      <c r="D43" s="94">
        <f>IF('Final Calculation Sheet'!$B$14="","",'Final Calculation Sheet'!$B$14)</f>
        <v/>
      </c>
      <c r="E43" s="94">
        <f>IF('Final Calculation Sheet'!$D$14="","",'Final Calculation Sheet'!$D$14)</f>
        <v/>
      </c>
      <c r="F43" s="94">
        <f>IF('Final Calculation Sheet'!$A$14="","",'Final Calculation Sheet'!$A$14)</f>
        <v/>
      </c>
      <c r="G43" s="94">
        <f>IF('Final Calculation Sheet'!$E$14="","",'Final Calculation Sheet'!$E$14)</f>
        <v/>
      </c>
      <c r="H43" s="95">
        <f>IF('Final Calculation Sheet'!$C$14="","",'Final Calculation Sheet'!$C$14)</f>
        <v/>
      </c>
      <c r="I43" s="95">
        <f>IF('Final Calculation Sheet'!$H$14="","",'Final Calculation Sheet'!$H$14)</f>
        <v/>
      </c>
      <c r="J43" s="95">
        <f>IF('Final Calculation Sheet'!$I$14="","",'Final Calculation Sheet'!$I$14)</f>
        <v/>
      </c>
      <c r="K43" s="95">
        <f>IF('Final Calculation Sheet'!$J$14="","",'Final Calculation Sheet'!$J$14)</f>
        <v/>
      </c>
      <c r="L43" s="95">
        <f>IF('Final Calculation Sheet'!$K$14="","",'Final Calculation Sheet'!$K$14)</f>
        <v/>
      </c>
      <c r="M43" s="95">
        <f>IF('Final Calculation Sheet'!$L$14="","",'Final Calculation Sheet'!$L$14)</f>
        <v/>
      </c>
      <c r="N43" s="95">
        <f>IF('Final Calculation Sheet'!$M$14="","",'Final Calculation Sheet'!$M$14)</f>
        <v/>
      </c>
      <c r="O43" s="96">
        <f>IF('Final Calculation Sheet'!$N$14="","",'Final Calculation Sheet'!$N$14)</f>
        <v/>
      </c>
      <c r="P43" s="95">
        <f>IF('Final Calculation Sheet'!$O$14="","",'Final Calculation Sheet'!$O$14)</f>
        <v/>
      </c>
      <c r="Q43" s="95">
        <f>IF('Final Calculation Sheet'!$P$14="","",'Final Calculation Sheet'!$P$14)</f>
        <v/>
      </c>
      <c r="R43" s="97">
        <f>IF('Final Calculation Sheet'!$Q$14="","",'Final Calculation Sheet'!$Q$14)</f>
        <v/>
      </c>
      <c r="S43" s="95">
        <f>IF('Final Calculation Sheet'!$R$14="","",'Final Calculation Sheet'!$R$14)</f>
        <v/>
      </c>
      <c r="T43" s="95">
        <f>IF('Final Calculation Sheet'!$S$14="","",'Final Calculation Sheet'!$S$14)</f>
        <v/>
      </c>
      <c r="U43" s="95">
        <f>IF('Final Calculation Sheet'!$T$14="","",'Final Calculation Sheet'!$T$14)</f>
        <v/>
      </c>
      <c r="V43" s="98">
        <f>IF('Final Calculation Sheet'!$U$14="","",'Final Calculation Sheet'!$U$14)</f>
        <v/>
      </c>
      <c r="W43" s="95">
        <f>IF('Final Calculation Sheet'!$V$14="","",'Final Calculation Sheet'!$V$14)</f>
        <v/>
      </c>
      <c r="X43" s="95">
        <f>IF('Final Calculation Sheet'!$W$14="","",'Final Calculation Sheet'!$W$14)</f>
        <v/>
      </c>
      <c r="Y43" s="95">
        <f>IF('Final Calculation Sheet'!$X$14="","",'Final Calculation Sheet'!$X$14)</f>
        <v/>
      </c>
      <c r="Z43" s="95">
        <f>IF('Final Calculation Sheet'!$Y$14="","",'Final Calculation Sheet'!$Y$14)</f>
        <v/>
      </c>
      <c r="AA43" s="95">
        <f>IF('Final Calculation Sheet'!$Z$14="","",'Final Calculation Sheet'!$Z$14)</f>
        <v/>
      </c>
      <c r="AB43" s="95">
        <f>IF('Final Calculation Sheet'!$AA$14="","",'Final Calculation Sheet'!$AA$14)</f>
        <v/>
      </c>
      <c r="AC43" s="95">
        <f>IF('Final Calculation Sheet'!$AB$14="","",'Final Calculation Sheet'!$AB$14)</f>
        <v/>
      </c>
      <c r="AD43" s="95">
        <f>IF('Final Calculation Sheet'!$AC$14="","",'Final Calculation Sheet'!$AC$14)</f>
        <v/>
      </c>
      <c r="AE43" s="95">
        <f>IF('Final Calculation Sheet'!$AD$14="","",'Final Calculation Sheet'!$AD$14)</f>
        <v/>
      </c>
      <c r="AF43" s="100">
        <f>IF('Final Calculation Sheet'!$AD$14="","",IF('Final Calculation Sheet'!$AD$14&lt;=5,"SETTLED","OUTSTANDING"))</f>
        <v/>
      </c>
      <c r="AG43" s="95">
        <f>IF('Final Calculation Sheet'!$AF$14="","",'Final Calculation Sheet'!$AF$14)</f>
        <v/>
      </c>
      <c r="AH43" s="99">
        <f>IF('Final Calculation Sheet'!$AG$14="","",'Final Calculation Sheet'!$AG$14)</f>
        <v/>
      </c>
      <c r="AI43" s="95">
        <f>IF('Final Calculation Sheet'!$AH$14="","",'Final Calculation Sheet'!$AH$14)</f>
        <v/>
      </c>
      <c r="AJ43">
        <f>IF(AND(IF($B$4="",TRUE(),IF($B$4="(blank)",'Final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Sheet'!$AD$14&lt;=5,"SETTLED","OUTSTANDING"))))))),1,0)</f>
      </c>
      <c r="AK43">
        <f>IF(AJ43=1,COUNTIF(AJ$7:AJ43,1),"")</f>
        <v/>
      </c>
    </row>
    <row r="44" ht="15" customHeight="1" s="137">
      <c r="A44" s="81" t="inlineStr">
        <is>
          <t>∑</t>
        </is>
      </c>
      <c r="B44" s="83" t="n"/>
      <c r="C44" s="83">
        <f>ROWS($C$42:$C$43)&amp;" lot(s)"</f>
        <v/>
      </c>
      <c r="D44" s="83" t="inlineStr">
        <is>
          <t>SUBTOTAL — SHAR JAHAN TRADERS</t>
        </is>
      </c>
      <c r="E44" s="83" t="inlineStr">
        <is>
          <t>–</t>
        </is>
      </c>
      <c r="F44" s="83">
        <f>SUM(F42:F43)</f>
        <v/>
      </c>
      <c r="G44" s="83" t="inlineStr">
        <is>
          <t>–</t>
        </is>
      </c>
      <c r="H44" s="84" t="inlineStr">
        <is>
          <t>–</t>
        </is>
      </c>
      <c r="I44" s="84">
        <f>SUM(I42:I43)</f>
        <v/>
      </c>
      <c r="J44" s="84">
        <f>SUM(J42:J43)</f>
        <v/>
      </c>
      <c r="K44" s="84">
        <f>SUM(K42:K43)</f>
        <v/>
      </c>
      <c r="L44" s="84">
        <f>SUM(L42:L43)</f>
        <v/>
      </c>
      <c r="M44" s="84">
        <f>SUM(M42:M43)</f>
        <v/>
      </c>
      <c r="N44" s="84">
        <f>SUM(N42:N43)</f>
        <v/>
      </c>
      <c r="O44" s="85">
        <f>SUM(O42:O43)</f>
        <v/>
      </c>
      <c r="P44" s="84">
        <f>SUM(P42:P43)</f>
        <v/>
      </c>
      <c r="Q44" s="84">
        <f>SUM(Q42:Q43)</f>
        <v/>
      </c>
      <c r="R44" s="86" t="inlineStr">
        <is>
          <t>–</t>
        </is>
      </c>
      <c r="S44" s="84">
        <f>SUM(S42:S43)</f>
        <v/>
      </c>
      <c r="T44" s="84">
        <f>SUM(T42:T43)</f>
        <v/>
      </c>
      <c r="U44" s="84">
        <f>SUM(U42:U43)</f>
        <v/>
      </c>
      <c r="V44" s="87">
        <f>SUM(V42:V43)</f>
        <v/>
      </c>
      <c r="W44" s="84" t="inlineStr">
        <is>
          <t>–</t>
        </is>
      </c>
      <c r="X44" s="84">
        <f>SUM(X42:X43)</f>
        <v/>
      </c>
      <c r="Y44" s="84">
        <f>SUM(Y42:Y43)</f>
        <v/>
      </c>
      <c r="Z44" s="84" t="inlineStr">
        <is>
          <t>–</t>
        </is>
      </c>
      <c r="AA44" s="84">
        <f>SUM(AA42:AA43)</f>
        <v/>
      </c>
      <c r="AB44" s="84">
        <f>SUM(AB42:AB43)</f>
        <v/>
      </c>
      <c r="AC44" s="84" t="inlineStr">
        <is>
          <t>–</t>
        </is>
      </c>
      <c r="AD44" s="84">
        <f>SUM(AD42:AD43)</f>
        <v/>
      </c>
      <c r="AE44" s="84">
        <f>SUM(AE42:AE43)</f>
        <v/>
      </c>
      <c r="AF44" s="89">
        <f>IF(AE44&lt;=5,"SETTLED","OUTSTANDING")</f>
        <v/>
      </c>
      <c r="AG44" s="84" t="inlineStr">
        <is>
          <t>–</t>
        </is>
      </c>
      <c r="AH44" s="88" t="inlineStr">
        <is>
          <t>–</t>
        </is>
      </c>
      <c r="AI44" s="84" t="inlineStr">
        <is>
          <t>–</t>
        </is>
      </c>
    </row>
    <row r="45" outlineLevel="1" ht="15" customHeight="1" s="137">
      <c r="A45" s="67" t="n">
        <v>1</v>
      </c>
      <c r="B45" s="76">
        <f>IF('Final Calculation Sheet'!$F$13="","",'Final Calculation Sheet'!$F$13)</f>
        <v/>
      </c>
      <c r="C45" s="76">
        <f>IF('Final Calculation Sheet'!$G$13="","",'Final Calculation Sheet'!$G$13)</f>
        <v/>
      </c>
      <c r="D45" s="80">
        <f>IF('Final Calculation Sheet'!$B$13="","",'Final Calculation Sheet'!$B$13)</f>
        <v/>
      </c>
      <c r="E45" s="80">
        <f>IF('Final Calculation Sheet'!$D$13="","",'Final Calculation Sheet'!$D$13)</f>
        <v/>
      </c>
      <c r="F45" s="80">
        <f>IF('Final Calculation Sheet'!$A$13="","",'Final Calculation Sheet'!$A$13)</f>
        <v/>
      </c>
      <c r="G45" s="80">
        <f>IF('Final Calculation Sheet'!$E$13="","",'Final Calculation Sheet'!$E$13)</f>
        <v/>
      </c>
      <c r="H45" s="70">
        <f>IF('Final Calculation Sheet'!$C$13="","",'Final Calculation Sheet'!$C$13)</f>
        <v/>
      </c>
      <c r="I45" s="70">
        <f>IF('Final Calculation Sheet'!$H$13="","",'Final Calculation Sheet'!$H$13)</f>
        <v/>
      </c>
      <c r="J45" s="70">
        <f>IF('Final Calculation Sheet'!$I$13="","",'Final Calculation Sheet'!$I$13)</f>
        <v/>
      </c>
      <c r="K45" s="70">
        <f>IF('Final Calculation Sheet'!$J$13="","",'Final Calculation Sheet'!$J$13)</f>
        <v/>
      </c>
      <c r="L45" s="70">
        <f>IF('Final Calculation Sheet'!$K$13="","",'Final Calculation Sheet'!$K$13)</f>
        <v/>
      </c>
      <c r="M45" s="70">
        <f>IF('Final Calculation Sheet'!$L$13="","",'Final Calculation Sheet'!$L$13)</f>
        <v/>
      </c>
      <c r="N45" s="70">
        <f>IF('Final Calculation Sheet'!$M$13="","",'Final Calculation Sheet'!$M$13)</f>
        <v/>
      </c>
      <c r="O45" s="71">
        <f>IF('Final Calculation Sheet'!$N$13="","",'Final Calculation Sheet'!$N$13)</f>
        <v/>
      </c>
      <c r="P45" s="70">
        <f>IF('Final Calculation Sheet'!$O$13="","",'Final Calculation Sheet'!$O$13)</f>
        <v/>
      </c>
      <c r="Q45" s="70">
        <f>IF('Final Calculation Sheet'!$P$13="","",'Final Calculation Sheet'!$P$13)</f>
        <v/>
      </c>
      <c r="R45" s="72">
        <f>IF('Final Calculation Sheet'!$Q$13="","",'Final Calculation Sheet'!$Q$13)</f>
        <v/>
      </c>
      <c r="S45" s="70">
        <f>IF('Final Calculation Sheet'!$R$13="","",'Final Calculation Sheet'!$R$13)</f>
        <v/>
      </c>
      <c r="T45" s="70">
        <f>IF('Final Calculation Sheet'!$S$13="","",'Final Calculation Sheet'!$S$13)</f>
        <v/>
      </c>
      <c r="U45" s="70">
        <f>IF('Final Calculation Sheet'!$T$13="","",'Final Calculation Sheet'!$T$13)</f>
        <v/>
      </c>
      <c r="V45" s="73">
        <f>IF('Final Calculation Sheet'!$U$13="","",'Final Calculation Sheet'!$U$13)</f>
        <v/>
      </c>
      <c r="W45" s="70">
        <f>IF('Final Calculation Sheet'!$V$13="","",'Final Calculation Sheet'!$V$13)</f>
        <v/>
      </c>
      <c r="X45" s="70">
        <f>IF('Final Calculation Sheet'!$W$13="","",'Final Calculation Sheet'!$W$13)</f>
        <v/>
      </c>
      <c r="Y45" s="70">
        <f>IF('Final Calculation Sheet'!$X$13="","",'Final Calculation Sheet'!$X$13)</f>
        <v/>
      </c>
      <c r="Z45" s="70">
        <f>IF('Final Calculation Sheet'!$Y$13="","",'Final Calculation Sheet'!$Y$13)</f>
        <v/>
      </c>
      <c r="AA45" s="70">
        <f>IF('Final Calculation Sheet'!$Z$13="","",'Final Calculation Sheet'!$Z$13)</f>
        <v/>
      </c>
      <c r="AB45" s="70">
        <f>IF('Final Calculation Sheet'!$AA$13="","",'Final Calculation Sheet'!$AA$13)</f>
        <v/>
      </c>
      <c r="AC45" s="70">
        <f>IF('Final Calculation Sheet'!$AB$13="","",'Final Calculation Sheet'!$AB$13)</f>
        <v/>
      </c>
      <c r="AD45" s="70">
        <f>IF('Final Calculation Sheet'!$AC$13="","",'Final Calculation Sheet'!$AC$13)</f>
        <v/>
      </c>
      <c r="AE45" s="70">
        <f>IF('Final Calculation Sheet'!$AD$13="","",'Final Calculation Sheet'!$AD$13)</f>
        <v/>
      </c>
      <c r="AF45" s="75">
        <f>IF('Final Calculation Sheet'!$AD$13="","",IF('Final Calculation Sheet'!$AD$13&lt;=5,"SETTLED","OUTSTANDING"))</f>
        <v/>
      </c>
      <c r="AG45" s="70">
        <f>IF('Final Calculation Sheet'!$AF$13="","",'Final Calculation Sheet'!$AF$13)</f>
        <v/>
      </c>
      <c r="AH45" s="74">
        <f>IF('Final Calculation Sheet'!$AG$13="","",'Final Calculation Sheet'!$AG$13)</f>
        <v/>
      </c>
      <c r="AI45" s="70">
        <f>IF('Final Calculation Sheet'!$AH$13="","",'Final Calculation Sheet'!$AH$13)</f>
        <v/>
      </c>
      <c r="AJ45">
        <f>IF(AND(IF($B$4="",TRUE(),IF($B$4="(blank)",'Final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Sheet'!$AD$13&lt;=5,"SETTLED","OUTSTANDING"))))))),1,0)</f>
      </c>
      <c r="AK45">
        <f>IF(AJ45=1,COUNTIF(AJ$7:AJ45,1),"")</f>
        <v/>
      </c>
    </row>
    <row r="46" outlineLevel="1" ht="15" customHeight="1" s="137">
      <c r="A46" s="90" t="n">
        <v>2</v>
      </c>
      <c r="B46" s="92">
        <f>IF('Final Calculation Sheet'!$F$16="","",'Final Calculation Sheet'!$F$16)</f>
        <v/>
      </c>
      <c r="C46" s="92">
        <f>IF('Final Calculation Sheet'!$G$16="","",'Final Calculation Sheet'!$G$16)</f>
        <v/>
      </c>
      <c r="D46" s="94">
        <f>IF('Final Calculation Sheet'!$B$16="","",'Final Calculation Sheet'!$B$16)</f>
        <v/>
      </c>
      <c r="E46" s="94">
        <f>IF('Final Calculation Sheet'!$D$16="","",'Final Calculation Sheet'!$D$16)</f>
        <v/>
      </c>
      <c r="F46" s="94">
        <f>IF('Final Calculation Sheet'!$A$16="","",'Final Calculation Sheet'!$A$16)</f>
        <v/>
      </c>
      <c r="G46" s="94">
        <f>IF('Final Calculation Sheet'!$E$16="","",'Final Calculation Sheet'!$E$16)</f>
        <v/>
      </c>
      <c r="H46" s="95">
        <f>IF('Final Calculation Sheet'!$C$16="","",'Final Calculation Sheet'!$C$16)</f>
        <v/>
      </c>
      <c r="I46" s="95">
        <f>IF('Final Calculation Sheet'!$H$16="","",'Final Calculation Sheet'!$H$16)</f>
        <v/>
      </c>
      <c r="J46" s="95">
        <f>IF('Final Calculation Sheet'!$I$16="","",'Final Calculation Sheet'!$I$16)</f>
        <v/>
      </c>
      <c r="K46" s="95">
        <f>IF('Final Calculation Sheet'!$J$16="","",'Final Calculation Sheet'!$J$16)</f>
        <v/>
      </c>
      <c r="L46" s="95">
        <f>IF('Final Calculation Sheet'!$K$16="","",'Final Calculation Sheet'!$K$16)</f>
        <v/>
      </c>
      <c r="M46" s="95">
        <f>IF('Final Calculation Sheet'!$L$16="","",'Final Calculation Sheet'!$L$16)</f>
        <v/>
      </c>
      <c r="N46" s="95">
        <f>IF('Final Calculation Sheet'!$M$16="","",'Final Calculation Sheet'!$M$16)</f>
        <v/>
      </c>
      <c r="O46" s="96">
        <f>IF('Final Calculation Sheet'!$N$16="","",'Final Calculation Sheet'!$N$16)</f>
        <v/>
      </c>
      <c r="P46" s="95">
        <f>IF('Final Calculation Sheet'!$O$16="","",'Final Calculation Sheet'!$O$16)</f>
        <v/>
      </c>
      <c r="Q46" s="95">
        <f>IF('Final Calculation Sheet'!$P$16="","",'Final Calculation Sheet'!$P$16)</f>
        <v/>
      </c>
      <c r="R46" s="97">
        <f>IF('Final Calculation Sheet'!$Q$16="","",'Final Calculation Sheet'!$Q$16)</f>
        <v/>
      </c>
      <c r="S46" s="95">
        <f>IF('Final Calculation Sheet'!$R$16="","",'Final Calculation Sheet'!$R$16)</f>
        <v/>
      </c>
      <c r="T46" s="95">
        <f>IF('Final Calculation Sheet'!$S$16="","",'Final Calculation Sheet'!$S$16)</f>
        <v/>
      </c>
      <c r="U46" s="95">
        <f>IF('Final Calculation Sheet'!$T$16="","",'Final Calculation Sheet'!$T$16)</f>
        <v/>
      </c>
      <c r="V46" s="98">
        <f>IF('Final Calculation Sheet'!$U$16="","",'Final Calculation Sheet'!$U$16)</f>
        <v/>
      </c>
      <c r="W46" s="95">
        <f>IF('Final Calculation Sheet'!$V$16="","",'Final Calculation Sheet'!$V$16)</f>
        <v/>
      </c>
      <c r="X46" s="95">
        <f>IF('Final Calculation Sheet'!$W$16="","",'Final Calculation Sheet'!$W$16)</f>
        <v/>
      </c>
      <c r="Y46" s="95">
        <f>IF('Final Calculation Sheet'!$X$16="","",'Final Calculation Sheet'!$X$16)</f>
        <v/>
      </c>
      <c r="Z46" s="95">
        <f>IF('Final Calculation Sheet'!$Y$16="","",'Final Calculation Sheet'!$Y$16)</f>
        <v/>
      </c>
      <c r="AA46" s="95">
        <f>IF('Final Calculation Sheet'!$Z$16="","",'Final Calculation Sheet'!$Z$16)</f>
        <v/>
      </c>
      <c r="AB46" s="95">
        <f>IF('Final Calculation Sheet'!$AA$16="","",'Final Calculation Sheet'!$AA$16)</f>
        <v/>
      </c>
      <c r="AC46" s="95">
        <f>IF('Final Calculation Sheet'!$AB$16="","",'Final Calculation Sheet'!$AB$16)</f>
        <v/>
      </c>
      <c r="AD46" s="95">
        <f>IF('Final Calculation Sheet'!$AC$16="","",'Final Calculation Sheet'!$AC$16)</f>
        <v/>
      </c>
      <c r="AE46" s="95">
        <f>IF('Final Calculation Sheet'!$AD$16="","",'Final Calculation Sheet'!$AD$16)</f>
        <v/>
      </c>
      <c r="AF46" s="100">
        <f>IF('Final Calculation Sheet'!$AD$16="","",IF('Final Calculation Sheet'!$AD$16&lt;=5,"SETTLED","OUTSTANDING"))</f>
        <v/>
      </c>
      <c r="AG46" s="95">
        <f>IF('Final Calculation Sheet'!$AF$16="","",'Final Calculation Sheet'!$AF$16)</f>
        <v/>
      </c>
      <c r="AH46" s="99">
        <f>IF('Final Calculation Sheet'!$AG$16="","",'Final Calculation Sheet'!$AG$16)</f>
        <v/>
      </c>
      <c r="AI46" s="95">
        <f>IF('Final Calculation Sheet'!$AH$16="","",'Final Calculation Sheet'!$AH$16)</f>
        <v/>
      </c>
      <c r="AJ46">
        <f>IF(AND(IF($B$4="",TRUE(),IF($B$4="(blank)",'Final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Sheet'!$AD$16&lt;=5,"SETTLED","OUTSTANDING"))))))),1,0)</f>
      </c>
      <c r="AK46">
        <f>IF(AJ46=1,COUNTIF(AJ$7:AJ46,1),"")</f>
        <v/>
      </c>
    </row>
    <row r="47" outlineLevel="1" ht="15" customHeight="1" s="137">
      <c r="A47" s="67" t="n">
        <v>3</v>
      </c>
      <c r="B47" s="76">
        <f>IF('Final Calculation Sheet'!$F$17="","",'Final Calculation Sheet'!$F$17)</f>
        <v/>
      </c>
      <c r="C47" s="76">
        <f>IF('Final Calculation Sheet'!$G$17="","",'Final Calculation Sheet'!$G$17)</f>
        <v/>
      </c>
      <c r="D47" s="80">
        <f>IF('Final Calculation Sheet'!$B$17="","",'Final Calculation Sheet'!$B$17)</f>
        <v/>
      </c>
      <c r="E47" s="80">
        <f>IF('Final Calculation Sheet'!$D$17="","",'Final Calculation Sheet'!$D$17)</f>
        <v/>
      </c>
      <c r="F47" s="80">
        <f>IF('Final Calculation Sheet'!$A$17="","",'Final Calculation Sheet'!$A$17)</f>
        <v/>
      </c>
      <c r="G47" s="80">
        <f>IF('Final Calculation Sheet'!$E$17="","",'Final Calculation Sheet'!$E$17)</f>
        <v/>
      </c>
      <c r="H47" s="70">
        <f>IF('Final Calculation Sheet'!$C$17="","",'Final Calculation Sheet'!$C$17)</f>
        <v/>
      </c>
      <c r="I47" s="70">
        <f>IF('Final Calculation Sheet'!$H$17="","",'Final Calculation Sheet'!$H$17)</f>
        <v/>
      </c>
      <c r="J47" s="70">
        <f>IF('Final Calculation Sheet'!$I$17="","",'Final Calculation Sheet'!$I$17)</f>
        <v/>
      </c>
      <c r="K47" s="70">
        <f>IF('Final Calculation Sheet'!$J$17="","",'Final Calculation Sheet'!$J$17)</f>
        <v/>
      </c>
      <c r="L47" s="70">
        <f>IF('Final Calculation Sheet'!$K$17="","",'Final Calculation Sheet'!$K$17)</f>
        <v/>
      </c>
      <c r="M47" s="70">
        <f>IF('Final Calculation Sheet'!$L$17="","",'Final Calculation Sheet'!$L$17)</f>
        <v/>
      </c>
      <c r="N47" s="70">
        <f>IF('Final Calculation Sheet'!$M$17="","",'Final Calculation Sheet'!$M$17)</f>
        <v/>
      </c>
      <c r="O47" s="71">
        <f>IF('Final Calculation Sheet'!$N$17="","",'Final Calculation Sheet'!$N$17)</f>
        <v/>
      </c>
      <c r="P47" s="70">
        <f>IF('Final Calculation Sheet'!$O$17="","",'Final Calculation Sheet'!$O$17)</f>
        <v/>
      </c>
      <c r="Q47" s="70">
        <f>IF('Final Calculation Sheet'!$P$17="","",'Final Calculation Sheet'!$P$17)</f>
        <v/>
      </c>
      <c r="R47" s="72">
        <f>IF('Final Calculation Sheet'!$Q$17="","",'Final Calculation Sheet'!$Q$17)</f>
        <v/>
      </c>
      <c r="S47" s="70">
        <f>IF('Final Calculation Sheet'!$R$17="","",'Final Calculation Sheet'!$R$17)</f>
        <v/>
      </c>
      <c r="T47" s="70">
        <f>IF('Final Calculation Sheet'!$S$17="","",'Final Calculation Sheet'!$S$17)</f>
        <v/>
      </c>
      <c r="U47" s="70">
        <f>IF('Final Calculation Sheet'!$T$17="","",'Final Calculation Sheet'!$T$17)</f>
        <v/>
      </c>
      <c r="V47" s="73">
        <f>IF('Final Calculation Sheet'!$U$17="","",'Final Calculation Sheet'!$U$17)</f>
        <v/>
      </c>
      <c r="W47" s="70">
        <f>IF('Final Calculation Sheet'!$V$17="","",'Final Calculation Sheet'!$V$17)</f>
        <v/>
      </c>
      <c r="X47" s="70">
        <f>IF('Final Calculation Sheet'!$W$17="","",'Final Calculation Sheet'!$W$17)</f>
        <v/>
      </c>
      <c r="Y47" s="70">
        <f>IF('Final Calculation Sheet'!$X$17="","",'Final Calculation Sheet'!$X$17)</f>
        <v/>
      </c>
      <c r="Z47" s="70">
        <f>IF('Final Calculation Sheet'!$Y$17="","",'Final Calculation Sheet'!$Y$17)</f>
        <v/>
      </c>
      <c r="AA47" s="70">
        <f>IF('Final Calculation Sheet'!$Z$17="","",'Final Calculation Sheet'!$Z$17)</f>
        <v/>
      </c>
      <c r="AB47" s="70">
        <f>IF('Final Calculation Sheet'!$AA$17="","",'Final Calculation Sheet'!$AA$17)</f>
        <v/>
      </c>
      <c r="AC47" s="70">
        <f>IF('Final Calculation Sheet'!$AB$17="","",'Final Calculation Sheet'!$AB$17)</f>
        <v/>
      </c>
      <c r="AD47" s="70">
        <f>IF('Final Calculation Sheet'!$AC$17="","",'Final Calculation Sheet'!$AC$17)</f>
        <v/>
      </c>
      <c r="AE47" s="70">
        <f>IF('Final Calculation Sheet'!$AD$17="","",'Final Calculation Sheet'!$AD$17)</f>
        <v/>
      </c>
      <c r="AF47" s="75">
        <f>IF('Final Calculation Sheet'!$AD$17="","",IF('Final Calculation Sheet'!$AD$17&lt;=5,"SETTLED","OUTSTANDING"))</f>
        <v/>
      </c>
      <c r="AG47" s="70">
        <f>IF('Final Calculation Sheet'!$AF$17="","",'Final Calculation Sheet'!$AF$17)</f>
        <v/>
      </c>
      <c r="AH47" s="74">
        <f>IF('Final Calculation Sheet'!$AG$17="","",'Final Calculation Sheet'!$AG$17)</f>
        <v/>
      </c>
      <c r="AI47" s="70">
        <f>IF('Final Calculation Sheet'!$AH$17="","",'Final Calculation Sheet'!$AH$17)</f>
        <v/>
      </c>
      <c r="AJ47">
        <f>IF(AND(IF($B$4="",TRUE(),IF($B$4="(blank)",'Final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Sheet'!$AD$17&lt;=5,"SETTLED","OUTSTANDING"))))))),1,0)</f>
      </c>
      <c r="AK47">
        <f>IF(AJ47=1,COUNTIF(AJ$7:AJ47,1),"")</f>
        <v/>
      </c>
    </row>
    <row r="48" outlineLevel="1" ht="15" customHeight="1" s="137">
      <c r="A48" s="90" t="n">
        <v>4</v>
      </c>
      <c r="B48" s="92">
        <f>IF('Final Calculation Sheet'!$F$23="","",'Final Calculation Sheet'!$F$23)</f>
        <v/>
      </c>
      <c r="C48" s="92">
        <f>IF('Final Calculation Sheet'!$G$23="","",'Final Calculation Sheet'!$G$23)</f>
        <v/>
      </c>
      <c r="D48" s="94">
        <f>IF('Final Calculation Sheet'!$B$23="","",'Final Calculation Sheet'!$B$23)</f>
        <v/>
      </c>
      <c r="E48" s="94">
        <f>IF('Final Calculation Sheet'!$D$23="","",'Final Calculation Sheet'!$D$23)</f>
        <v/>
      </c>
      <c r="F48" s="94">
        <f>IF('Final Calculation Sheet'!$A$23="","",'Final Calculation Sheet'!$A$23)</f>
        <v/>
      </c>
      <c r="G48" s="94">
        <f>IF('Final Calculation Sheet'!$E$23="","",'Final Calculation Sheet'!$E$23)</f>
        <v/>
      </c>
      <c r="H48" s="95">
        <f>IF('Final Calculation Sheet'!$C$23="","",'Final Calculation Sheet'!$C$23)</f>
        <v/>
      </c>
      <c r="I48" s="95">
        <f>IF('Final Calculation Sheet'!$H$23="","",'Final Calculation Sheet'!$H$23)</f>
        <v/>
      </c>
      <c r="J48" s="95">
        <f>IF('Final Calculation Sheet'!$I$23="","",'Final Calculation Sheet'!$I$23)</f>
        <v/>
      </c>
      <c r="K48" s="95">
        <f>IF('Final Calculation Sheet'!$J$23="","",'Final Calculation Sheet'!$J$23)</f>
        <v/>
      </c>
      <c r="L48" s="95">
        <f>IF('Final Calculation Sheet'!$K$23="","",'Final Calculation Sheet'!$K$23)</f>
        <v/>
      </c>
      <c r="M48" s="95">
        <f>IF('Final Calculation Sheet'!$L$23="","",'Final Calculation Sheet'!$L$23)</f>
        <v/>
      </c>
      <c r="N48" s="95">
        <f>IF('Final Calculation Sheet'!$M$23="","",'Final Calculation Sheet'!$M$23)</f>
        <v/>
      </c>
      <c r="O48" s="96">
        <f>IF('Final Calculation Sheet'!$N$23="","",'Final Calculation Sheet'!$N$23)</f>
        <v/>
      </c>
      <c r="P48" s="95">
        <f>IF('Final Calculation Sheet'!$O$23="","",'Final Calculation Sheet'!$O$23)</f>
        <v/>
      </c>
      <c r="Q48" s="95">
        <f>IF('Final Calculation Sheet'!$P$23="","",'Final Calculation Sheet'!$P$23)</f>
        <v/>
      </c>
      <c r="R48" s="97">
        <f>IF('Final Calculation Sheet'!$Q$23="","",'Final Calculation Sheet'!$Q$23)</f>
        <v/>
      </c>
      <c r="S48" s="95">
        <f>IF('Final Calculation Sheet'!$R$23="","",'Final Calculation Sheet'!$R$23)</f>
        <v/>
      </c>
      <c r="T48" s="95">
        <f>IF('Final Calculation Sheet'!$S$23="","",'Final Calculation Sheet'!$S$23)</f>
        <v/>
      </c>
      <c r="U48" s="95">
        <f>IF('Final Calculation Sheet'!$T$23="","",'Final Calculation Sheet'!$T$23)</f>
        <v/>
      </c>
      <c r="V48" s="98">
        <f>IF('Final Calculation Sheet'!$U$23="","",'Final Calculation Sheet'!$U$23)</f>
        <v/>
      </c>
      <c r="W48" s="95">
        <f>IF('Final Calculation Sheet'!$V$23="","",'Final Calculation Sheet'!$V$23)</f>
        <v/>
      </c>
      <c r="X48" s="95">
        <f>IF('Final Calculation Sheet'!$W$23="","",'Final Calculation Sheet'!$W$23)</f>
        <v/>
      </c>
      <c r="Y48" s="95">
        <f>IF('Final Calculation Sheet'!$X$23="","",'Final Calculation Sheet'!$X$23)</f>
        <v/>
      </c>
      <c r="Z48" s="95">
        <f>IF('Final Calculation Sheet'!$Y$23="","",'Final Calculation Sheet'!$Y$23)</f>
        <v/>
      </c>
      <c r="AA48" s="95">
        <f>IF('Final Calculation Sheet'!$Z$23="","",'Final Calculation Sheet'!$Z$23)</f>
        <v/>
      </c>
      <c r="AB48" s="95">
        <f>IF('Final Calculation Sheet'!$AA$23="","",'Final Calculation Sheet'!$AA$23)</f>
        <v/>
      </c>
      <c r="AC48" s="95">
        <f>IF('Final Calculation Sheet'!$AB$23="","",'Final Calculation Sheet'!$AB$23)</f>
        <v/>
      </c>
      <c r="AD48" s="95">
        <f>IF('Final Calculation Sheet'!$AC$23="","",'Final Calculation Sheet'!$AC$23)</f>
        <v/>
      </c>
      <c r="AE48" s="95">
        <f>IF('Final Calculation Sheet'!$AD$23="","",'Final Calculation Sheet'!$AD$23)</f>
        <v/>
      </c>
      <c r="AF48" s="100">
        <f>IF('Final Calculation Sheet'!$AD$23="","",IF('Final Calculation Sheet'!$AD$23&lt;=5,"SETTLED","OUTSTANDING"))</f>
        <v/>
      </c>
      <c r="AG48" s="95">
        <f>IF('Final Calculation Sheet'!$AF$23="","",'Final Calculation Sheet'!$AF$23)</f>
        <v/>
      </c>
      <c r="AH48" s="99">
        <f>IF('Final Calculation Sheet'!$AG$23="","",'Final Calculation Sheet'!$AG$23)</f>
        <v/>
      </c>
      <c r="AI48" s="95">
        <f>IF('Final Calculation Sheet'!$AH$23="","",'Final Calculation Sheet'!$AH$23)</f>
        <v/>
      </c>
      <c r="AJ48">
        <f>IF(AND(IF($B$4="",TRUE(),IF($B$4="(blank)",'Final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Sheet'!$AD$23&lt;=5,"SETTLED","OUTSTANDING"))))))),1,0)</f>
      </c>
      <c r="AK48">
        <f>IF(AJ48=1,COUNTIF(AJ$7:AJ48,1),"")</f>
        <v/>
      </c>
    </row>
    <row r="49" outlineLevel="1" ht="15" customHeight="1" s="137">
      <c r="A49" s="67" t="n">
        <v>5</v>
      </c>
      <c r="B49" s="76">
        <f>IF('Final Calculation Sheet'!$F$29="","",'Final Calculation Sheet'!$F$29)</f>
        <v/>
      </c>
      <c r="C49" s="76">
        <f>IF('Final Calculation Sheet'!$G$29="","",'Final Calculation Sheet'!$G$29)</f>
        <v/>
      </c>
      <c r="D49" s="80">
        <f>IF('Final Calculation Sheet'!$B$29="","",'Final Calculation Sheet'!$B$29)</f>
        <v/>
      </c>
      <c r="E49" s="80">
        <f>IF('Final Calculation Sheet'!$D$29="","",'Final Calculation Sheet'!$D$29)</f>
        <v/>
      </c>
      <c r="F49" s="80">
        <f>IF('Final Calculation Sheet'!$A$29="","",'Final Calculation Sheet'!$A$29)</f>
        <v/>
      </c>
      <c r="G49" s="80">
        <f>IF('Final Calculation Sheet'!$E$29="","",'Final Calculation Sheet'!$E$29)</f>
        <v/>
      </c>
      <c r="H49" s="70">
        <f>IF('Final Calculation Sheet'!$C$29="","",'Final Calculation Sheet'!$C$29)</f>
        <v/>
      </c>
      <c r="I49" s="70">
        <f>IF('Final Calculation Sheet'!$H$29="","",'Final Calculation Sheet'!$H$29)</f>
        <v/>
      </c>
      <c r="J49" s="70">
        <f>IF('Final Calculation Sheet'!$I$29="","",'Final Calculation Sheet'!$I$29)</f>
        <v/>
      </c>
      <c r="K49" s="70">
        <f>IF('Final Calculation Sheet'!$J$29="","",'Final Calculation Sheet'!$J$29)</f>
        <v/>
      </c>
      <c r="L49" s="70">
        <f>IF('Final Calculation Sheet'!$K$29="","",'Final Calculation Sheet'!$K$29)</f>
        <v/>
      </c>
      <c r="M49" s="70">
        <f>IF('Final Calculation Sheet'!$L$29="","",'Final Calculation Sheet'!$L$29)</f>
        <v/>
      </c>
      <c r="N49" s="70">
        <f>IF('Final Calculation Sheet'!$M$29="","",'Final Calculation Sheet'!$M$29)</f>
        <v/>
      </c>
      <c r="O49" s="71">
        <f>IF('Final Calculation Sheet'!$N$29="","",'Final Calculation Sheet'!$N$29)</f>
        <v/>
      </c>
      <c r="P49" s="70">
        <f>IF('Final Calculation Sheet'!$O$29="","",'Final Calculation Sheet'!$O$29)</f>
        <v/>
      </c>
      <c r="Q49" s="70">
        <f>IF('Final Calculation Sheet'!$P$29="","",'Final Calculation Sheet'!$P$29)</f>
        <v/>
      </c>
      <c r="R49" s="72">
        <f>IF('Final Calculation Sheet'!$Q$29="","",'Final Calculation Sheet'!$Q$29)</f>
        <v/>
      </c>
      <c r="S49" s="70">
        <f>IF('Final Calculation Sheet'!$R$29="","",'Final Calculation Sheet'!$R$29)</f>
        <v/>
      </c>
      <c r="T49" s="70">
        <f>IF('Final Calculation Sheet'!$S$29="","",'Final Calculation Sheet'!$S$29)</f>
        <v/>
      </c>
      <c r="U49" s="70">
        <f>IF('Final Calculation Sheet'!$T$29="","",'Final Calculation Sheet'!$T$29)</f>
        <v/>
      </c>
      <c r="V49" s="73">
        <f>IF('Final Calculation Sheet'!$U$29="","",'Final Calculation Sheet'!$U$29)</f>
        <v/>
      </c>
      <c r="W49" s="70">
        <f>IF('Final Calculation Sheet'!$V$29="","",'Final Calculation Sheet'!$V$29)</f>
        <v/>
      </c>
      <c r="X49" s="70">
        <f>IF('Final Calculation Sheet'!$W$29="","",'Final Calculation Sheet'!$W$29)</f>
        <v/>
      </c>
      <c r="Y49" s="70">
        <f>IF('Final Calculation Sheet'!$X$29="","",'Final Calculation Sheet'!$X$29)</f>
        <v/>
      </c>
      <c r="Z49" s="70">
        <f>IF('Final Calculation Sheet'!$Y$29="","",'Final Calculation Sheet'!$Y$29)</f>
        <v/>
      </c>
      <c r="AA49" s="70">
        <f>IF('Final Calculation Sheet'!$Z$29="","",'Final Calculation Sheet'!$Z$29)</f>
        <v/>
      </c>
      <c r="AB49" s="70">
        <f>IF('Final Calculation Sheet'!$AA$29="","",'Final Calculation Sheet'!$AA$29)</f>
        <v/>
      </c>
      <c r="AC49" s="70">
        <f>IF('Final Calculation Sheet'!$AB$29="","",'Final Calculation Sheet'!$AB$29)</f>
        <v/>
      </c>
      <c r="AD49" s="70">
        <f>IF('Final Calculation Sheet'!$AC$29="","",'Final Calculation Sheet'!$AC$29)</f>
        <v/>
      </c>
      <c r="AE49" s="70">
        <f>IF('Final Calculation Sheet'!$AD$29="","",'Final Calculation Sheet'!$AD$29)</f>
        <v/>
      </c>
      <c r="AF49" s="75">
        <f>IF('Final Calculation Sheet'!$AD$29="","",IF('Final Calculation Sheet'!$AD$29&lt;=5,"SETTLED","OUTSTANDING"))</f>
        <v/>
      </c>
      <c r="AG49" s="70">
        <f>IF('Final Calculation Sheet'!$AF$29="","",'Final Calculation Sheet'!$AF$29)</f>
        <v/>
      </c>
      <c r="AH49" s="74">
        <f>IF('Final Calculation Sheet'!$AG$29="","",'Final Calculation Sheet'!$AG$29)</f>
        <v/>
      </c>
      <c r="AI49" s="70">
        <f>IF('Final Calculation Sheet'!$AH$29="","",'Final Calculation Sheet'!$AH$29)</f>
        <v/>
      </c>
      <c r="AJ49">
        <f>IF(AND(IF($B$4="",TRUE(),IF($B$4="(blank)",'Final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Sheet'!$AD$29&lt;=5,"SETTLED","OUTSTANDING"))))))),1,0)</f>
      </c>
      <c r="AK49">
        <f>IF(AJ49=1,COUNTIF(AJ$7:AJ49,1),"")</f>
        <v/>
      </c>
    </row>
    <row r="50" outlineLevel="1" ht="15" customHeight="1" s="137">
      <c r="A50" s="90" t="n">
        <v>6</v>
      </c>
      <c r="B50" s="92">
        <f>IF('Final Calculation Sheet'!$F$34="","",'Final Calculation Sheet'!$F$34)</f>
        <v/>
      </c>
      <c r="C50" s="92">
        <f>IF('Final Calculation Sheet'!$G$34="","",'Final Calculation Sheet'!$G$34)</f>
        <v/>
      </c>
      <c r="D50" s="94">
        <f>IF('Final Calculation Sheet'!$B$34="","",'Final Calculation Sheet'!$B$34)</f>
        <v/>
      </c>
      <c r="E50" s="94">
        <f>IF('Final Calculation Sheet'!$D$34="","",'Final Calculation Sheet'!$D$34)</f>
        <v/>
      </c>
      <c r="F50" s="94">
        <f>IF('Final Calculation Sheet'!$A$34="","",'Final Calculation Sheet'!$A$34)</f>
        <v/>
      </c>
      <c r="G50" s="94">
        <f>IF('Final Calculation Sheet'!$E$34="","",'Final Calculation Sheet'!$E$34)</f>
        <v/>
      </c>
      <c r="H50" s="95">
        <f>IF('Final Calculation Sheet'!$C$34="","",'Final Calculation Sheet'!$C$34)</f>
        <v/>
      </c>
      <c r="I50" s="95">
        <f>IF('Final Calculation Sheet'!$H$34="","",'Final Calculation Sheet'!$H$34)</f>
        <v/>
      </c>
      <c r="J50" s="95">
        <f>IF('Final Calculation Sheet'!$I$34="","",'Final Calculation Sheet'!$I$34)</f>
        <v/>
      </c>
      <c r="K50" s="95">
        <f>IF('Final Calculation Sheet'!$J$34="","",'Final Calculation Sheet'!$J$34)</f>
        <v/>
      </c>
      <c r="L50" s="95">
        <f>IF('Final Calculation Sheet'!$K$34="","",'Final Calculation Sheet'!$K$34)</f>
        <v/>
      </c>
      <c r="M50" s="95">
        <f>IF('Final Calculation Sheet'!$L$34="","",'Final Calculation Sheet'!$L$34)</f>
        <v/>
      </c>
      <c r="N50" s="95">
        <f>IF('Final Calculation Sheet'!$M$34="","",'Final Calculation Sheet'!$M$34)</f>
        <v/>
      </c>
      <c r="O50" s="96">
        <f>IF('Final Calculation Sheet'!$N$34="","",'Final Calculation Sheet'!$N$34)</f>
        <v/>
      </c>
      <c r="P50" s="95">
        <f>IF('Final Calculation Sheet'!$O$34="","",'Final Calculation Sheet'!$O$34)</f>
        <v/>
      </c>
      <c r="Q50" s="95">
        <f>IF('Final Calculation Sheet'!$P$34="","",'Final Calculation Sheet'!$P$34)</f>
        <v/>
      </c>
      <c r="R50" s="97">
        <f>IF('Final Calculation Sheet'!$Q$34="","",'Final Calculation Sheet'!$Q$34)</f>
        <v/>
      </c>
      <c r="S50" s="95">
        <f>IF('Final Calculation Sheet'!$R$34="","",'Final Calculation Sheet'!$R$34)</f>
        <v/>
      </c>
      <c r="T50" s="95">
        <f>IF('Final Calculation Sheet'!$S$34="","",'Final Calculation Sheet'!$S$34)</f>
        <v/>
      </c>
      <c r="U50" s="95">
        <f>IF('Final Calculation Sheet'!$T$34="","",'Final Calculation Sheet'!$T$34)</f>
        <v/>
      </c>
      <c r="V50" s="98">
        <f>IF('Final Calculation Sheet'!$U$34="","",'Final Calculation Sheet'!$U$34)</f>
        <v/>
      </c>
      <c r="W50" s="95">
        <f>IF('Final Calculation Sheet'!$V$34="","",'Final Calculation Sheet'!$V$34)</f>
        <v/>
      </c>
      <c r="X50" s="95">
        <f>IF('Final Calculation Sheet'!$W$34="","",'Final Calculation Sheet'!$W$34)</f>
        <v/>
      </c>
      <c r="Y50" s="95">
        <f>IF('Final Calculation Sheet'!$X$34="","",'Final Calculation Sheet'!$X$34)</f>
        <v/>
      </c>
      <c r="Z50" s="95">
        <f>IF('Final Calculation Sheet'!$Y$34="","",'Final Calculation Sheet'!$Y$34)</f>
        <v/>
      </c>
      <c r="AA50" s="95">
        <f>IF('Final Calculation Sheet'!$Z$34="","",'Final Calculation Sheet'!$Z$34)</f>
        <v/>
      </c>
      <c r="AB50" s="95">
        <f>IF('Final Calculation Sheet'!$AA$34="","",'Final Calculation Sheet'!$AA$34)</f>
        <v/>
      </c>
      <c r="AC50" s="95">
        <f>IF('Final Calculation Sheet'!$AB$34="","",'Final Calculation Sheet'!$AB$34)</f>
        <v/>
      </c>
      <c r="AD50" s="95">
        <f>IF('Final Calculation Sheet'!$AC$34="","",'Final Calculation Sheet'!$AC$34)</f>
        <v/>
      </c>
      <c r="AE50" s="95">
        <f>IF('Final Calculation Sheet'!$AD$34="","",'Final Calculation Sheet'!$AD$34)</f>
        <v/>
      </c>
      <c r="AF50" s="100">
        <f>IF('Final Calculation Sheet'!$AD$34="","",IF('Final Calculation Sheet'!$AD$34&lt;=5,"SETTLED","OUTSTANDING"))</f>
        <v/>
      </c>
      <c r="AG50" s="95">
        <f>IF('Final Calculation Sheet'!$AF$34="","",'Final Calculation Sheet'!$AF$34)</f>
        <v/>
      </c>
      <c r="AH50" s="99">
        <f>IF('Final Calculation Sheet'!$AG$34="","",'Final Calculation Sheet'!$AG$34)</f>
        <v/>
      </c>
      <c r="AI50" s="95">
        <f>IF('Final Calculation Sheet'!$AH$34="","",'Final Calculation Sheet'!$AH$34)</f>
        <v/>
      </c>
      <c r="AJ50">
        <f>IF(AND(IF($B$4="",TRUE(),IF($B$4="(blank)",'Final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Sheet'!$AD$34&lt;=5,"SETTLED","OUTSTANDING"))))))),1,0)</f>
      </c>
      <c r="AK50">
        <f>IF(AJ50=1,COUNTIF(AJ$7:AJ50,1),"")</f>
        <v/>
      </c>
    </row>
    <row r="51" outlineLevel="1" ht="15" customHeight="1" s="137">
      <c r="A51" s="67" t="n">
        <v>7</v>
      </c>
      <c r="B51" s="76">
        <f>IF('Final Calculation Sheet'!$F$36="","",'Final Calculation Sheet'!$F$36)</f>
        <v/>
      </c>
      <c r="C51" s="76">
        <f>IF('Final Calculation Sheet'!$G$36="","",'Final Calculation Sheet'!$G$36)</f>
        <v/>
      </c>
      <c r="D51" s="80">
        <f>IF('Final Calculation Sheet'!$B$36="","",'Final Calculation Sheet'!$B$36)</f>
        <v/>
      </c>
      <c r="E51" s="80">
        <f>IF('Final Calculation Sheet'!$D$36="","",'Final Calculation Sheet'!$D$36)</f>
        <v/>
      </c>
      <c r="F51" s="80">
        <f>IF('Final Calculation Sheet'!$A$36="","",'Final Calculation Sheet'!$A$36)</f>
        <v/>
      </c>
      <c r="G51" s="80">
        <f>IF('Final Calculation Sheet'!$E$36="","",'Final Calculation Sheet'!$E$36)</f>
        <v/>
      </c>
      <c r="H51" s="70">
        <f>IF('Final Calculation Sheet'!$C$36="","",'Final Calculation Sheet'!$C$36)</f>
        <v/>
      </c>
      <c r="I51" s="70">
        <f>IF('Final Calculation Sheet'!$H$36="","",'Final Calculation Sheet'!$H$36)</f>
        <v/>
      </c>
      <c r="J51" s="70">
        <f>IF('Final Calculation Sheet'!$I$36="","",'Final Calculation Sheet'!$I$36)</f>
        <v/>
      </c>
      <c r="K51" s="70">
        <f>IF('Final Calculation Sheet'!$J$36="","",'Final Calculation Sheet'!$J$36)</f>
        <v/>
      </c>
      <c r="L51" s="70">
        <f>IF('Final Calculation Sheet'!$K$36="","",'Final Calculation Sheet'!$K$36)</f>
        <v/>
      </c>
      <c r="M51" s="70">
        <f>IF('Final Calculation Sheet'!$L$36="","",'Final Calculation Sheet'!$L$36)</f>
        <v/>
      </c>
      <c r="N51" s="70">
        <f>IF('Final Calculation Sheet'!$M$36="","",'Final Calculation Sheet'!$M$36)</f>
        <v/>
      </c>
      <c r="O51" s="71">
        <f>IF('Final Calculation Sheet'!$N$36="","",'Final Calculation Sheet'!$N$36)</f>
        <v/>
      </c>
      <c r="P51" s="70">
        <f>IF('Final Calculation Sheet'!$O$36="","",'Final Calculation Sheet'!$O$36)</f>
        <v/>
      </c>
      <c r="Q51" s="70">
        <f>IF('Final Calculation Sheet'!$P$36="","",'Final Calculation Sheet'!$P$36)</f>
        <v/>
      </c>
      <c r="R51" s="72">
        <f>IF('Final Calculation Sheet'!$Q$36="","",'Final Calculation Sheet'!$Q$36)</f>
        <v/>
      </c>
      <c r="S51" s="70">
        <f>IF('Final Calculation Sheet'!$R$36="","",'Final Calculation Sheet'!$R$36)</f>
        <v/>
      </c>
      <c r="T51" s="70">
        <f>IF('Final Calculation Sheet'!$S$36="","",'Final Calculation Sheet'!$S$36)</f>
        <v/>
      </c>
      <c r="U51" s="70">
        <f>IF('Final Calculation Sheet'!$T$36="","",'Final Calculation Sheet'!$T$36)</f>
        <v/>
      </c>
      <c r="V51" s="73">
        <f>IF('Final Calculation Sheet'!$U$36="","",'Final Calculation Sheet'!$U$36)</f>
        <v/>
      </c>
      <c r="W51" s="70">
        <f>IF('Final Calculation Sheet'!$V$36="","",'Final Calculation Sheet'!$V$36)</f>
        <v/>
      </c>
      <c r="X51" s="70">
        <f>IF('Final Calculation Sheet'!$W$36="","",'Final Calculation Sheet'!$W$36)</f>
        <v/>
      </c>
      <c r="Y51" s="70">
        <f>IF('Final Calculation Sheet'!$X$36="","",'Final Calculation Sheet'!$X$36)</f>
        <v/>
      </c>
      <c r="Z51" s="70">
        <f>IF('Final Calculation Sheet'!$Y$36="","",'Final Calculation Sheet'!$Y$36)</f>
        <v/>
      </c>
      <c r="AA51" s="70">
        <f>IF('Final Calculation Sheet'!$Z$36="","",'Final Calculation Sheet'!$Z$36)</f>
        <v/>
      </c>
      <c r="AB51" s="70">
        <f>IF('Final Calculation Sheet'!$AA$36="","",'Final Calculation Sheet'!$AA$36)</f>
        <v/>
      </c>
      <c r="AC51" s="70">
        <f>IF('Final Calculation Sheet'!$AB$36="","",'Final Calculation Sheet'!$AB$36)</f>
        <v/>
      </c>
      <c r="AD51" s="70">
        <f>IF('Final Calculation Sheet'!$AC$36="","",'Final Calculation Sheet'!$AC$36)</f>
        <v/>
      </c>
      <c r="AE51" s="70">
        <f>IF('Final Calculation Sheet'!$AD$36="","",'Final Calculation Sheet'!$AD$36)</f>
        <v/>
      </c>
      <c r="AF51" s="75">
        <f>IF('Final Calculation Sheet'!$AD$36="","",IF('Final Calculation Sheet'!$AD$36&lt;=5,"SETTLED","OUTSTANDING"))</f>
        <v/>
      </c>
      <c r="AG51" s="70">
        <f>IF('Final Calculation Sheet'!$AF$36="","",'Final Calculation Sheet'!$AF$36)</f>
        <v/>
      </c>
      <c r="AH51" s="74">
        <f>IF('Final Calculation Sheet'!$AG$36="","",'Final Calculation Sheet'!$AG$36)</f>
        <v/>
      </c>
      <c r="AI51" s="70">
        <f>IF('Final Calculation Sheet'!$AH$36="","",'Final Calculation Sheet'!$AH$36)</f>
        <v/>
      </c>
      <c r="AJ51">
        <f>IF(AND(IF($B$4="",TRUE(),IF($B$4="(blank)",'Final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Sheet'!$AD$36&lt;=5,"SETTLED","OUTSTANDING"))))))),1,0)</f>
      </c>
      <c r="AK51">
        <f>IF(AJ51=1,COUNTIF(AJ$7:AJ51,1),"")</f>
        <v/>
      </c>
    </row>
    <row r="52" ht="15" customHeight="1" s="137">
      <c r="A52" s="81" t="inlineStr">
        <is>
          <t>∑</t>
        </is>
      </c>
      <c r="B52" s="83" t="n"/>
      <c r="C52" s="83">
        <f>ROWS($C$45:$C$51)&amp;" lot(s)"</f>
        <v/>
      </c>
      <c r="D52" s="83" t="inlineStr">
        <is>
          <t>SUBTOTAL — STERLING ENTERPRISES</t>
        </is>
      </c>
      <c r="E52" s="83" t="inlineStr">
        <is>
          <t>–</t>
        </is>
      </c>
      <c r="F52" s="83">
        <f>SUM(F45:F51)</f>
        <v/>
      </c>
      <c r="G52" s="83" t="inlineStr">
        <is>
          <t>–</t>
        </is>
      </c>
      <c r="H52" s="84" t="inlineStr">
        <is>
          <t>–</t>
        </is>
      </c>
      <c r="I52" s="84">
        <f>SUM(I45:I51)</f>
        <v/>
      </c>
      <c r="J52" s="84">
        <f>SUM(J45:J51)</f>
        <v/>
      </c>
      <c r="K52" s="84">
        <f>SUM(K45:K51)</f>
        <v/>
      </c>
      <c r="L52" s="84">
        <f>SUM(L45:L51)</f>
        <v/>
      </c>
      <c r="M52" s="84">
        <f>SUM(M45:M51)</f>
        <v/>
      </c>
      <c r="N52" s="84">
        <f>SUM(N45:N51)</f>
        <v/>
      </c>
      <c r="O52" s="85">
        <f>SUM(O45:O51)</f>
        <v/>
      </c>
      <c r="P52" s="84">
        <f>SUM(P45:P51)</f>
        <v/>
      </c>
      <c r="Q52" s="84">
        <f>SUM(Q45:Q51)</f>
        <v/>
      </c>
      <c r="R52" s="86" t="inlineStr">
        <is>
          <t>–</t>
        </is>
      </c>
      <c r="S52" s="84">
        <f>SUM(S45:S51)</f>
        <v/>
      </c>
      <c r="T52" s="84">
        <f>SUM(T45:T51)</f>
        <v/>
      </c>
      <c r="U52" s="84">
        <f>SUM(U45:U51)</f>
        <v/>
      </c>
      <c r="V52" s="87">
        <f>SUM(V45:V51)</f>
        <v/>
      </c>
      <c r="W52" s="84" t="inlineStr">
        <is>
          <t>–</t>
        </is>
      </c>
      <c r="X52" s="84">
        <f>SUM(X45:X51)</f>
        <v/>
      </c>
      <c r="Y52" s="84">
        <f>SUM(Y45:Y51)</f>
        <v/>
      </c>
      <c r="Z52" s="84" t="inlineStr">
        <is>
          <t>–</t>
        </is>
      </c>
      <c r="AA52" s="84">
        <f>SUM(AA45:AA51)</f>
        <v/>
      </c>
      <c r="AB52" s="84">
        <f>SUM(AB45:AB51)</f>
        <v/>
      </c>
      <c r="AC52" s="84" t="inlineStr">
        <is>
          <t>–</t>
        </is>
      </c>
      <c r="AD52" s="84">
        <f>SUM(AD45:AD51)</f>
        <v/>
      </c>
      <c r="AE52" s="84">
        <f>SUM(AE45:AE51)</f>
        <v/>
      </c>
      <c r="AF52" s="89">
        <f>IF(AE52&lt;=5,"SETTLED","OUTSTANDING")</f>
        <v/>
      </c>
      <c r="AG52" s="84" t="inlineStr">
        <is>
          <t>–</t>
        </is>
      </c>
      <c r="AH52" s="88" t="inlineStr">
        <is>
          <t>–</t>
        </is>
      </c>
      <c r="AI52" s="84" t="inlineStr">
        <is>
          <t>–</t>
        </is>
      </c>
    </row>
    <row r="53" outlineLevel="1" ht="15" customHeight="1" s="137">
      <c r="A53" s="67" t="n">
        <v>1</v>
      </c>
      <c r="B53" s="76">
        <f>IF('Final Calculation Sheet'!$F$25="","",'Final Calculation Sheet'!$F$25)</f>
        <v/>
      </c>
      <c r="C53" s="76">
        <f>IF('Final Calculation Sheet'!$G$25="","",'Final Calculation Sheet'!$G$25)</f>
        <v/>
      </c>
      <c r="D53" s="80">
        <f>IF('Final Calculation Sheet'!$B$25="","",'Final Calculation Sheet'!$B$25)</f>
        <v/>
      </c>
      <c r="E53" s="80">
        <f>IF('Final Calculation Sheet'!$D$25="","",'Final Calculation Sheet'!$D$25)</f>
        <v/>
      </c>
      <c r="F53" s="80">
        <f>IF('Final Calculation Sheet'!$A$25="","",'Final Calculation Sheet'!$A$25)</f>
        <v/>
      </c>
      <c r="G53" s="80">
        <f>IF('Final Calculation Sheet'!$E$25="","",'Final Calculation Sheet'!$E$25)</f>
        <v/>
      </c>
      <c r="H53" s="70">
        <f>IF('Final Calculation Sheet'!$C$25="","",'Final Calculation Sheet'!$C$25)</f>
        <v/>
      </c>
      <c r="I53" s="70">
        <f>IF('Final Calculation Sheet'!$H$25="","",'Final Calculation Sheet'!$H$25)</f>
        <v/>
      </c>
      <c r="J53" s="70">
        <f>IF('Final Calculation Sheet'!$I$25="","",'Final Calculation Sheet'!$I$25)</f>
        <v/>
      </c>
      <c r="K53" s="70">
        <f>IF('Final Calculation Sheet'!$J$25="","",'Final Calculation Sheet'!$J$25)</f>
        <v/>
      </c>
      <c r="L53" s="70">
        <f>IF('Final Calculation Sheet'!$K$25="","",'Final Calculation Sheet'!$K$25)</f>
        <v/>
      </c>
      <c r="M53" s="70">
        <f>IF('Final Calculation Sheet'!$L$25="","",'Final Calculation Sheet'!$L$25)</f>
        <v/>
      </c>
      <c r="N53" s="70">
        <f>IF('Final Calculation Sheet'!$M$25="","",'Final Calculation Sheet'!$M$25)</f>
        <v/>
      </c>
      <c r="O53" s="71">
        <f>IF('Final Calculation Sheet'!$N$25="","",'Final Calculation Sheet'!$N$25)</f>
        <v/>
      </c>
      <c r="P53" s="70">
        <f>IF('Final Calculation Sheet'!$O$25="","",'Final Calculation Sheet'!$O$25)</f>
        <v/>
      </c>
      <c r="Q53" s="70">
        <f>IF('Final Calculation Sheet'!$P$25="","",'Final Calculation Sheet'!$P$25)</f>
        <v/>
      </c>
      <c r="R53" s="72">
        <f>IF('Final Calculation Sheet'!$Q$25="","",'Final Calculation Sheet'!$Q$25)</f>
        <v/>
      </c>
      <c r="S53" s="70">
        <f>IF('Final Calculation Sheet'!$R$25="","",'Final Calculation Sheet'!$R$25)</f>
        <v/>
      </c>
      <c r="T53" s="70">
        <f>IF('Final Calculation Sheet'!$S$25="","",'Final Calculation Sheet'!$S$25)</f>
        <v/>
      </c>
      <c r="U53" s="70">
        <f>IF('Final Calculation Sheet'!$T$25="","",'Final Calculation Sheet'!$T$25)</f>
        <v/>
      </c>
      <c r="V53" s="73">
        <f>IF('Final Calculation Sheet'!$U$25="","",'Final Calculation Sheet'!$U$25)</f>
        <v/>
      </c>
      <c r="W53" s="70">
        <f>IF('Final Calculation Sheet'!$V$25="","",'Final Calculation Sheet'!$V$25)</f>
        <v/>
      </c>
      <c r="X53" s="70">
        <f>IF('Final Calculation Sheet'!$W$25="","",'Final Calculation Sheet'!$W$25)</f>
        <v/>
      </c>
      <c r="Y53" s="70">
        <f>IF('Final Calculation Sheet'!$X$25="","",'Final Calculation Sheet'!$X$25)</f>
        <v/>
      </c>
      <c r="Z53" s="70">
        <f>IF('Final Calculation Sheet'!$Y$25="","",'Final Calculation Sheet'!$Y$25)</f>
        <v/>
      </c>
      <c r="AA53" s="70">
        <f>IF('Final Calculation Sheet'!$Z$25="","",'Final Calculation Sheet'!$Z$25)</f>
        <v/>
      </c>
      <c r="AB53" s="70">
        <f>IF('Final Calculation Sheet'!$AA$25="","",'Final Calculation Sheet'!$AA$25)</f>
        <v/>
      </c>
      <c r="AC53" s="70">
        <f>IF('Final Calculation Sheet'!$AB$25="","",'Final Calculation Sheet'!$AB$25)</f>
        <v/>
      </c>
      <c r="AD53" s="70">
        <f>IF('Final Calculation Sheet'!$AC$25="","",'Final Calculation Sheet'!$AC$25)</f>
        <v/>
      </c>
      <c r="AE53" s="70">
        <f>IF('Final Calculation Sheet'!$AD$25="","",'Final Calculation Sheet'!$AD$25)</f>
        <v/>
      </c>
      <c r="AF53" s="75">
        <f>IF('Final Calculation Sheet'!$AD$25="","",IF('Final Calculation Sheet'!$AD$25&lt;=5,"SETTLED","OUTSTANDING"))</f>
        <v/>
      </c>
      <c r="AG53" s="70">
        <f>IF('Final Calculation Sheet'!$AF$25="","",'Final Calculation Sheet'!$AF$25)</f>
        <v/>
      </c>
      <c r="AH53" s="74">
        <f>IF('Final Calculation Sheet'!$AG$25="","",'Final Calculation Sheet'!$AG$25)</f>
        <v/>
      </c>
      <c r="AI53" s="70">
        <f>IF('Final Calculation Sheet'!$AH$25="","",'Final Calculation Sheet'!$AH$25)</f>
        <v/>
      </c>
      <c r="AJ53">
        <f>IF(AND(IF($B$4="",TRUE(),IF($B$4="(blank)",'Final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Sheet'!$AD$25&lt;=5,"SETTLED","OUTSTANDING"))))))),1,0)</f>
      </c>
      <c r="AK53">
        <f>IF(AJ53=1,COUNTIF(AJ$7:AJ53,1),"")</f>
        <v/>
      </c>
    </row>
    <row r="54" outlineLevel="1" ht="15" customHeight="1" s="137">
      <c r="A54" s="90" t="n">
        <v>2</v>
      </c>
      <c r="B54" s="92">
        <f>IF('Final Calculation Sheet'!$F$28="","",'Final Calculation Sheet'!$F$28)</f>
        <v/>
      </c>
      <c r="C54" s="92">
        <f>IF('Final Calculation Sheet'!$G$28="","",'Final Calculation Sheet'!$G$28)</f>
        <v/>
      </c>
      <c r="D54" s="94">
        <f>IF('Final Calculation Sheet'!$B$28="","",'Final Calculation Sheet'!$B$28)</f>
        <v/>
      </c>
      <c r="E54" s="94">
        <f>IF('Final Calculation Sheet'!$D$28="","",'Final Calculation Sheet'!$D$28)</f>
        <v/>
      </c>
      <c r="F54" s="94">
        <f>IF('Final Calculation Sheet'!$A$28="","",'Final Calculation Sheet'!$A$28)</f>
        <v/>
      </c>
      <c r="G54" s="94">
        <f>IF('Final Calculation Sheet'!$E$28="","",'Final Calculation Sheet'!$E$28)</f>
        <v/>
      </c>
      <c r="H54" s="95">
        <f>IF('Final Calculation Sheet'!$C$28="","",'Final Calculation Sheet'!$C$28)</f>
        <v/>
      </c>
      <c r="I54" s="95">
        <f>IF('Final Calculation Sheet'!$H$28="","",'Final Calculation Sheet'!$H$28)</f>
        <v/>
      </c>
      <c r="J54" s="95">
        <f>IF('Final Calculation Sheet'!$I$28="","",'Final Calculation Sheet'!$I$28)</f>
        <v/>
      </c>
      <c r="K54" s="95">
        <f>IF('Final Calculation Sheet'!$J$28="","",'Final Calculation Sheet'!$J$28)</f>
        <v/>
      </c>
      <c r="L54" s="95">
        <f>IF('Final Calculation Sheet'!$K$28="","",'Final Calculation Sheet'!$K$28)</f>
        <v/>
      </c>
      <c r="M54" s="95">
        <f>IF('Final Calculation Sheet'!$L$28="","",'Final Calculation Sheet'!$L$28)</f>
        <v/>
      </c>
      <c r="N54" s="95">
        <f>IF('Final Calculation Sheet'!$M$28="","",'Final Calculation Sheet'!$M$28)</f>
        <v/>
      </c>
      <c r="O54" s="96">
        <f>IF('Final Calculation Sheet'!$N$28="","",'Final Calculation Sheet'!$N$28)</f>
        <v/>
      </c>
      <c r="P54" s="95">
        <f>IF('Final Calculation Sheet'!$O$28="","",'Final Calculation Sheet'!$O$28)</f>
        <v/>
      </c>
      <c r="Q54" s="95">
        <f>IF('Final Calculation Sheet'!$P$28="","",'Final Calculation Sheet'!$P$28)</f>
        <v/>
      </c>
      <c r="R54" s="97">
        <f>IF('Final Calculation Sheet'!$Q$28="","",'Final Calculation Sheet'!$Q$28)</f>
        <v/>
      </c>
      <c r="S54" s="95">
        <f>IF('Final Calculation Sheet'!$R$28="","",'Final Calculation Sheet'!$R$28)</f>
        <v/>
      </c>
      <c r="T54" s="95">
        <f>IF('Final Calculation Sheet'!$S$28="","",'Final Calculation Sheet'!$S$28)</f>
        <v/>
      </c>
      <c r="U54" s="95">
        <f>IF('Final Calculation Sheet'!$T$28="","",'Final Calculation Sheet'!$T$28)</f>
        <v/>
      </c>
      <c r="V54" s="98">
        <f>IF('Final Calculation Sheet'!$U$28="","",'Final Calculation Sheet'!$U$28)</f>
        <v/>
      </c>
      <c r="W54" s="95">
        <f>IF('Final Calculation Sheet'!$V$28="","",'Final Calculation Sheet'!$V$28)</f>
        <v/>
      </c>
      <c r="X54" s="95">
        <f>IF('Final Calculation Sheet'!$W$28="","",'Final Calculation Sheet'!$W$28)</f>
        <v/>
      </c>
      <c r="Y54" s="95">
        <f>IF('Final Calculation Sheet'!$X$28="","",'Final Calculation Sheet'!$X$28)</f>
        <v/>
      </c>
      <c r="Z54" s="95">
        <f>IF('Final Calculation Sheet'!$Y$28="","",'Final Calculation Sheet'!$Y$28)</f>
        <v/>
      </c>
      <c r="AA54" s="95">
        <f>IF('Final Calculation Sheet'!$Z$28="","",'Final Calculation Sheet'!$Z$28)</f>
        <v/>
      </c>
      <c r="AB54" s="95">
        <f>IF('Final Calculation Sheet'!$AA$28="","",'Final Calculation Sheet'!$AA$28)</f>
        <v/>
      </c>
      <c r="AC54" s="95">
        <f>IF('Final Calculation Sheet'!$AB$28="","",'Final Calculation Sheet'!$AB$28)</f>
        <v/>
      </c>
      <c r="AD54" s="95">
        <f>IF('Final Calculation Sheet'!$AC$28="","",'Final Calculation Sheet'!$AC$28)</f>
        <v/>
      </c>
      <c r="AE54" s="95">
        <f>IF('Final Calculation Sheet'!$AD$28="","",'Final Calculation Sheet'!$AD$28)</f>
        <v/>
      </c>
      <c r="AF54" s="100">
        <f>IF('Final Calculation Sheet'!$AD$28="","",IF('Final Calculation Sheet'!$AD$28&lt;=5,"SETTLED","OUTSTANDING"))</f>
        <v/>
      </c>
      <c r="AG54" s="95">
        <f>IF('Final Calculation Sheet'!$AF$28="","",'Final Calculation Sheet'!$AF$28)</f>
        <v/>
      </c>
      <c r="AH54" s="99">
        <f>IF('Final Calculation Sheet'!$AG$28="","",'Final Calculation Sheet'!$AG$28)</f>
        <v/>
      </c>
      <c r="AI54" s="95">
        <f>IF('Final Calculation Sheet'!$AH$28="","",'Final Calculation Sheet'!$AH$28)</f>
        <v/>
      </c>
      <c r="AJ54">
        <f>IF(AND(IF($B$4="",TRUE(),IF($B$4="(blank)",'Final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Sheet'!$AD$28&lt;=5,"SETTLED","OUTSTANDING"))))))),1,0)</f>
      </c>
      <c r="AK54">
        <f>IF(AJ54=1,COUNTIF(AJ$7:AJ54,1),"")</f>
        <v/>
      </c>
    </row>
    <row r="55" outlineLevel="1" ht="15" customHeight="1" s="137">
      <c r="A55" s="67" t="n">
        <v>3</v>
      </c>
      <c r="B55" s="76">
        <f>IF('Final Calculation Sheet'!$F$35="","",'Final Calculation Sheet'!$F$35)</f>
        <v/>
      </c>
      <c r="C55" s="76">
        <f>IF('Final Calculation Sheet'!$G$35="","",'Final Calculation Sheet'!$G$35)</f>
        <v/>
      </c>
      <c r="D55" s="80">
        <f>IF('Final Calculation Sheet'!$B$35="","",'Final Calculation Sheet'!$B$35)</f>
        <v/>
      </c>
      <c r="E55" s="80">
        <f>IF('Final Calculation Sheet'!$D$35="","",'Final Calculation Sheet'!$D$35)</f>
        <v/>
      </c>
      <c r="F55" s="80">
        <f>IF('Final Calculation Sheet'!$A$35="","",'Final Calculation Sheet'!$A$35)</f>
        <v/>
      </c>
      <c r="G55" s="80">
        <f>IF('Final Calculation Sheet'!$E$35="","",'Final Calculation Sheet'!$E$35)</f>
        <v/>
      </c>
      <c r="H55" s="70">
        <f>IF('Final Calculation Sheet'!$C$35="","",'Final Calculation Sheet'!$C$35)</f>
        <v/>
      </c>
      <c r="I55" s="70">
        <f>IF('Final Calculation Sheet'!$H$35="","",'Final Calculation Sheet'!$H$35)</f>
        <v/>
      </c>
      <c r="J55" s="70">
        <f>IF('Final Calculation Sheet'!$I$35="","",'Final Calculation Sheet'!$I$35)</f>
        <v/>
      </c>
      <c r="K55" s="70">
        <f>IF('Final Calculation Sheet'!$J$35="","",'Final Calculation Sheet'!$J$35)</f>
        <v/>
      </c>
      <c r="L55" s="70">
        <f>IF('Final Calculation Sheet'!$K$35="","",'Final Calculation Sheet'!$K$35)</f>
        <v/>
      </c>
      <c r="M55" s="70">
        <f>IF('Final Calculation Sheet'!$L$35="","",'Final Calculation Sheet'!$L$35)</f>
        <v/>
      </c>
      <c r="N55" s="70">
        <f>IF('Final Calculation Sheet'!$M$35="","",'Final Calculation Sheet'!$M$35)</f>
        <v/>
      </c>
      <c r="O55" s="71">
        <f>IF('Final Calculation Sheet'!$N$35="","",'Final Calculation Sheet'!$N$35)</f>
        <v/>
      </c>
      <c r="P55" s="70">
        <f>IF('Final Calculation Sheet'!$O$35="","",'Final Calculation Sheet'!$O$35)</f>
        <v/>
      </c>
      <c r="Q55" s="70">
        <f>IF('Final Calculation Sheet'!$P$35="","",'Final Calculation Sheet'!$P$35)</f>
        <v/>
      </c>
      <c r="R55" s="72">
        <f>IF('Final Calculation Sheet'!$Q$35="","",'Final Calculation Sheet'!$Q$35)</f>
        <v/>
      </c>
      <c r="S55" s="70">
        <f>IF('Final Calculation Sheet'!$R$35="","",'Final Calculation Sheet'!$R$35)</f>
        <v/>
      </c>
      <c r="T55" s="70">
        <f>IF('Final Calculation Sheet'!$S$35="","",'Final Calculation Sheet'!$S$35)</f>
        <v/>
      </c>
      <c r="U55" s="70">
        <f>IF('Final Calculation Sheet'!$T$35="","",'Final Calculation Sheet'!$T$35)</f>
        <v/>
      </c>
      <c r="V55" s="73">
        <f>IF('Final Calculation Sheet'!$U$35="","",'Final Calculation Sheet'!$U$35)</f>
        <v/>
      </c>
      <c r="W55" s="70">
        <f>IF('Final Calculation Sheet'!$V$35="","",'Final Calculation Sheet'!$V$35)</f>
        <v/>
      </c>
      <c r="X55" s="70">
        <f>IF('Final Calculation Sheet'!$W$35="","",'Final Calculation Sheet'!$W$35)</f>
        <v/>
      </c>
      <c r="Y55" s="70">
        <f>IF('Final Calculation Sheet'!$X$35="","",'Final Calculation Sheet'!$X$35)</f>
        <v/>
      </c>
      <c r="Z55" s="70">
        <f>IF('Final Calculation Sheet'!$Y$35="","",'Final Calculation Sheet'!$Y$35)</f>
        <v/>
      </c>
      <c r="AA55" s="70">
        <f>IF('Final Calculation Sheet'!$Z$35="","",'Final Calculation Sheet'!$Z$35)</f>
        <v/>
      </c>
      <c r="AB55" s="70">
        <f>IF('Final Calculation Sheet'!$AA$35="","",'Final Calculation Sheet'!$AA$35)</f>
        <v/>
      </c>
      <c r="AC55" s="70">
        <f>IF('Final Calculation Sheet'!$AB$35="","",'Final Calculation Sheet'!$AB$35)</f>
        <v/>
      </c>
      <c r="AD55" s="70">
        <f>IF('Final Calculation Sheet'!$AC$35="","",'Final Calculation Sheet'!$AC$35)</f>
        <v/>
      </c>
      <c r="AE55" s="70">
        <f>IF('Final Calculation Sheet'!$AD$35="","",'Final Calculation Sheet'!$AD$35)</f>
        <v/>
      </c>
      <c r="AF55" s="75">
        <f>IF('Final Calculation Sheet'!$AD$35="","",IF('Final Calculation Sheet'!$AD$35&lt;=5,"SETTLED","OUTSTANDING"))</f>
        <v/>
      </c>
      <c r="AG55" s="70">
        <f>IF('Final Calculation Sheet'!$AF$35="","",'Final Calculation Sheet'!$AF$35)</f>
        <v/>
      </c>
      <c r="AH55" s="74">
        <f>IF('Final Calculation Sheet'!$AG$35="","",'Final Calculation Sheet'!$AG$35)</f>
        <v/>
      </c>
      <c r="AI55" s="70">
        <f>IF('Final Calculation Sheet'!$AH$35="","",'Final Calculation Sheet'!$AH$35)</f>
        <v/>
      </c>
      <c r="AJ55">
        <f>IF(AND(IF($B$4="",TRUE(),IF($B$4="(blank)",'Final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Sheet'!$AD$35&lt;=5,"SETTLED","OUTSTANDING"))))))),1,0)</f>
      </c>
      <c r="AK55">
        <f>IF(AJ55=1,COUNTIF(AJ$7:AJ55,1),"")</f>
        <v/>
      </c>
    </row>
    <row r="56" ht="15" customHeight="1" s="137">
      <c r="A56" s="81" t="inlineStr">
        <is>
          <t>∑</t>
        </is>
      </c>
      <c r="B56" s="83" t="n"/>
      <c r="C56" s="83">
        <f>ROWS($C$53:$C$55)&amp;" lot(s)"</f>
        <v/>
      </c>
      <c r="D56" s="83" t="inlineStr">
        <is>
          <t>SUBTOTAL — WATAN SCRAP TRADERS</t>
        </is>
      </c>
      <c r="E56" s="83" t="inlineStr">
        <is>
          <t>–</t>
        </is>
      </c>
      <c r="F56" s="83">
        <f>SUM(F53:F55)</f>
        <v/>
      </c>
      <c r="G56" s="83" t="inlineStr">
        <is>
          <t>–</t>
        </is>
      </c>
      <c r="H56" s="84" t="inlineStr">
        <is>
          <t>–</t>
        </is>
      </c>
      <c r="I56" s="84">
        <f>SUM(I53:I55)</f>
        <v/>
      </c>
      <c r="J56" s="84">
        <f>SUM(J53:J55)</f>
        <v/>
      </c>
      <c r="K56" s="84">
        <f>SUM(K53:K55)</f>
        <v/>
      </c>
      <c r="L56" s="84">
        <f>SUM(L53:L55)</f>
        <v/>
      </c>
      <c r="M56" s="84">
        <f>SUM(M53:M55)</f>
        <v/>
      </c>
      <c r="N56" s="84">
        <f>SUM(N53:N55)</f>
        <v/>
      </c>
      <c r="O56" s="85">
        <f>SUM(O53:O55)</f>
        <v/>
      </c>
      <c r="P56" s="84">
        <f>SUM(P53:P55)</f>
        <v/>
      </c>
      <c r="Q56" s="84">
        <f>SUM(Q53:Q55)</f>
        <v/>
      </c>
      <c r="R56" s="86" t="inlineStr">
        <is>
          <t>–</t>
        </is>
      </c>
      <c r="S56" s="84">
        <f>SUM(S53:S55)</f>
        <v/>
      </c>
      <c r="T56" s="84">
        <f>SUM(T53:T55)</f>
        <v/>
      </c>
      <c r="U56" s="84">
        <f>SUM(U53:U55)</f>
        <v/>
      </c>
      <c r="V56" s="87">
        <f>SUM(V53:V55)</f>
        <v/>
      </c>
      <c r="W56" s="84" t="inlineStr">
        <is>
          <t>–</t>
        </is>
      </c>
      <c r="X56" s="84">
        <f>SUM(X53:X55)</f>
        <v/>
      </c>
      <c r="Y56" s="84">
        <f>SUM(Y53:Y55)</f>
        <v/>
      </c>
      <c r="Z56" s="84" t="inlineStr">
        <is>
          <t>–</t>
        </is>
      </c>
      <c r="AA56" s="84">
        <f>SUM(AA53:AA55)</f>
        <v/>
      </c>
      <c r="AB56" s="84">
        <f>SUM(AB53:AB55)</f>
        <v/>
      </c>
      <c r="AC56" s="84" t="inlineStr">
        <is>
          <t>–</t>
        </is>
      </c>
      <c r="AD56" s="84">
        <f>SUM(AD53:AD55)</f>
        <v/>
      </c>
      <c r="AE56" s="84">
        <f>SUM(AE53:AE55)</f>
        <v/>
      </c>
      <c r="AF56" s="89">
        <f>IF(AE56&lt;=5,"SETTLED","OUTSTANDING")</f>
        <v/>
      </c>
      <c r="AG56" s="84" t="inlineStr">
        <is>
          <t>–</t>
        </is>
      </c>
      <c r="AH56" s="88" t="inlineStr">
        <is>
          <t>–</t>
        </is>
      </c>
      <c r="AI56" s="84" t="inlineStr">
        <is>
          <t>–</t>
        </is>
      </c>
    </row>
    <row r="57" ht="15" customHeight="1" s="137">
      <c r="A57" s="101" t="inlineStr">
        <is>
          <t>∑</t>
        </is>
      </c>
      <c r="B57" s="102" t="n"/>
      <c r="C57" s="102">
        <f>COUNTA('Final Calculation Sheet'!$G$4:$G$40)&amp;" lot(s)"</f>
        <v/>
      </c>
      <c r="D57" s="102" t="inlineStr">
        <is>
          <t>TOTAL — every buyer together</t>
        </is>
      </c>
      <c r="E57" s="102" t="inlineStr">
        <is>
          <t>–</t>
        </is>
      </c>
      <c r="F57" s="102">
        <f>SUM(F8,F11,F13,F15,F17,F31,F33,F36,F39,F41,F44,F52,F56)</f>
        <v/>
      </c>
      <c r="G57" s="102" t="inlineStr">
        <is>
          <t>–</t>
        </is>
      </c>
      <c r="H57" s="103" t="inlineStr">
        <is>
          <t>–</t>
        </is>
      </c>
      <c r="I57" s="103">
        <f>SUM(I8,I11,I13,I15,I17,I31,I33,I36,I39,I41,I44,I52,I56)</f>
        <v/>
      </c>
      <c r="J57" s="103">
        <f>SUM(J8,J11,J13,J15,J17,J31,J33,J36,J39,J41,J44,J52,J56)</f>
        <v/>
      </c>
      <c r="K57" s="103">
        <f>SUM(K8,K11,K13,K15,K17,K31,K33,K36,K39,K41,K44,K52,K56)</f>
        <v/>
      </c>
      <c r="L57" s="103">
        <f>SUM(L8,L11,L13,L15,L17,L31,L33,L36,L39,L41,L44,L52,L56)</f>
        <v/>
      </c>
      <c r="M57" s="103">
        <f>SUM(M8,M11,M13,M15,M17,M31,M33,M36,M39,M41,M44,M52,M56)</f>
        <v/>
      </c>
      <c r="N57" s="103">
        <f>SUM(N8,N11,N13,N15,N17,N31,N33,N36,N39,N41,N44,N52,N56)</f>
        <v/>
      </c>
      <c r="O57" s="104">
        <f>SUM(O8,O11,O13,O15,O17,O31,O33,O36,O39,O41,O44,O52,O56)</f>
        <v/>
      </c>
      <c r="P57" s="103">
        <f>SUM(P8,P11,P13,P15,P17,P31,P33,P36,P39,P41,P44,P52,P56)</f>
        <v/>
      </c>
      <c r="Q57" s="103">
        <f>SUM(Q8,Q11,Q13,Q15,Q17,Q31,Q33,Q36,Q39,Q41,Q44,Q52,Q56)</f>
        <v/>
      </c>
      <c r="R57" s="105" t="inlineStr">
        <is>
          <t>–</t>
        </is>
      </c>
      <c r="S57" s="103">
        <f>SUM(S8,S11,S13,S15,S17,S31,S33,S36,S39,S41,S44,S52,S56)</f>
        <v/>
      </c>
      <c r="T57" s="103">
        <f>SUM(T8,T11,T13,T15,T17,T31,T33,T36,T39,T41,T44,T52,T56)</f>
        <v/>
      </c>
      <c r="U57" s="103">
        <f>SUM(U8,U11,U13,U15,U17,U31,U33,U36,U39,U41,U44,U52,U56)</f>
        <v/>
      </c>
      <c r="V57" s="106">
        <f>SUM(V8,V11,V13,V15,V17,V31,V33,V36,V39,V41,V44,V52,V56)</f>
        <v/>
      </c>
      <c r="W57" s="103" t="inlineStr">
        <is>
          <t>–</t>
        </is>
      </c>
      <c r="X57" s="103">
        <f>SUM(X8,X11,X13,X15,X17,X31,X33,X36,X39,X41,X44,X52,X56)</f>
        <v/>
      </c>
      <c r="Y57" s="103">
        <f>SUM(Y8,Y11,Y13,Y15,Y17,Y31,Y33,Y36,Y39,Y41,Y44,Y52,Y56)</f>
        <v/>
      </c>
      <c r="Z57" s="103" t="inlineStr">
        <is>
          <t>–</t>
        </is>
      </c>
      <c r="AA57" s="103">
        <f>SUM(AA8,AA11,AA13,AA15,AA17,AA31,AA33,AA36,AA39,AA41,AA44,AA52,AA56)</f>
        <v/>
      </c>
      <c r="AB57" s="103">
        <f>SUM(AB8,AB11,AB13,AB15,AB17,AB31,AB33,AB36,AB39,AB41,AB44,AB52,AB56)</f>
        <v/>
      </c>
      <c r="AC57" s="103" t="inlineStr">
        <is>
          <t>–</t>
        </is>
      </c>
      <c r="AD57" s="103">
        <f>SUM(AD8,AD11,AD13,AD15,AD17,AD31,AD33,AD36,AD39,AD41,AD44,AD52,AD56)</f>
        <v/>
      </c>
      <c r="AE57" s="103">
        <f>SUM(AE8,AE11,AE13,AE15,AE17,AE31,AE33,AE36,AE39,AE41,AE44,AE52,AE56)</f>
        <v/>
      </c>
      <c r="AF57" s="108">
        <f>IF(AE57&lt;=5,"SETTLED","OUTSTANDING")</f>
        <v/>
      </c>
      <c r="AG57" s="103" t="inlineStr">
        <is>
          <t>–</t>
        </is>
      </c>
      <c r="AH57" s="107" t="inlineStr">
        <is>
          <t>–</t>
        </is>
      </c>
      <c r="AI57" s="103" t="inlineStr">
        <is>
          <t>–</t>
        </is>
      </c>
      <c r="AM57">
        <f>IF(AND(Lists!$O$4&lt;&gt;"",ISNUMBER(SEARCH($B$4,Lists!$O$4))),1,0)</f>
        <v/>
      </c>
      <c r="AN57">
        <f>IF(ROW()-56&gt;MAX($AM$57:$AM$95),"",INDEX(Lists!$O$4:$O$42,MATCH(ROW()-56,$AM$57:$AM$95,0)))</f>
        <v/>
      </c>
      <c r="AO57">
        <f>IF(AND(Lists!$T$4&lt;&gt;"",ISNUMBER(SEARCH($C$4,Lists!$T$4))),1,0)</f>
        <v/>
      </c>
      <c r="AP57">
        <f>IF(ROW()-56&gt;MAX($AO$57:$AO$95),"",INDEX(Lists!$T$4:$T$42,MATCH(ROW()-56,$AO$57:$AO$95,0)))</f>
        <v/>
      </c>
      <c r="AQ57">
        <f>IF(AND(Lists!$Y$4&lt;&gt;"",ISNUMBER(SEARCH($D$4,Lists!$Y$4))),1,0)</f>
        <v/>
      </c>
      <c r="AR57">
        <f>IF(ROW()-56&gt;MAX($AQ$57:$AQ$95),"",INDEX(Lists!$Y$4:$Y$42,MATCH(ROW()-56,$AQ$57:$AQ$95,0)))</f>
        <v/>
      </c>
      <c r="AS57">
        <f>IF(AND(Lists!$AD$4&lt;&gt;"",ISNUMBER(SEARCH($E$4,Lists!$AD$4))),1,0)</f>
        <v/>
      </c>
      <c r="AT57">
        <f>IF(ROW()-56&gt;MAX($AS$57:$AS$95),"",INDEX(Lists!$AD$4:$AD$42,MATCH(ROW()-56,$AS$57:$AS$95,0)))</f>
        <v/>
      </c>
      <c r="AU57">
        <f>IF(AND(Lists!$AI$4&lt;&gt;"",ISNUMBER(SEARCH($F$4,Lists!$AI$4))),1,0)</f>
        <v/>
      </c>
      <c r="AV57">
        <f>IF(ROW()-56&gt;MAX($AU$57:$AU$95),"",INDEX(Lists!$AI$4:$AI$42,MATCH(ROW()-56,$AU$57:$AU$95,0)))</f>
        <v/>
      </c>
      <c r="AW57">
        <f>IF(AND(Lists!$AN$4&lt;&gt;"",ISNUMBER(SEARCH($G$4,Lists!$AN$4))),1,0)</f>
        <v/>
      </c>
      <c r="AX57">
        <f>IF(ROW()-56&gt;MAX($AW$57:$AW$95),"",INDEX(Lists!$AN$4:$AN$42,MATCH(ROW()-56,$AW$57:$AW$95,0)))</f>
        <v/>
      </c>
      <c r="AY57">
        <f>IF(AND(Lists!$AS$4&lt;&gt;"",ISNUMBER(SEARCH($H$4,Lists!$AS$4))),1,0)</f>
        <v/>
      </c>
      <c r="AZ57">
        <f>IF(ROW()-56&gt;MAX($AY$57:$AY$95),"",INDEX(Lists!$AS$4:$AS$42,MATCH(ROW()-56,$AY$57:$AY$95,0)))</f>
        <v/>
      </c>
      <c r="BA57">
        <f>IF(AND(Lists!$AX$4&lt;&gt;"",ISNUMBER(SEARCH($I$4,Lists!$AX$4))),1,0)</f>
        <v/>
      </c>
      <c r="BB57">
        <f>IF(ROW()-56&gt;MAX($BA$57:$BA$95),"",INDEX(Lists!$AX$4:$AX$42,MATCH(ROW()-56,$BA$57:$BA$95,0)))</f>
        <v/>
      </c>
      <c r="BC57">
        <f>IF(AND(Lists!$BC$4&lt;&gt;"",ISNUMBER(SEARCH($J$4,Lists!$BC$4))),1,0)</f>
        <v/>
      </c>
      <c r="BD57">
        <f>IF(ROW()-56&gt;MAX($BC$57:$BC$95),"",INDEX(Lists!$BC$4:$BC$42,MATCH(ROW()-56,$BC$57:$BC$95,0)))</f>
        <v/>
      </c>
      <c r="BE57">
        <f>IF(AND(Lists!$BH$4&lt;&gt;"",ISNUMBER(SEARCH($K$4,Lists!$BH$4))),1,0)</f>
        <v/>
      </c>
      <c r="BF57">
        <f>IF(ROW()-56&gt;MAX($BE$57:$BE$95),"",INDEX(Lists!$BH$4:$BH$42,MATCH(ROW()-56,$BE$57:$BE$95,0)))</f>
        <v/>
      </c>
      <c r="BG57">
        <f>IF(AND(Lists!$BM$4&lt;&gt;"",ISNUMBER(SEARCH($L$4,Lists!$BM$4))),1,0)</f>
        <v/>
      </c>
      <c r="BH57">
        <f>IF(ROW()-56&gt;MAX($BG$57:$BG$95),"",INDEX(Lists!$BM$4:$BM$42,MATCH(ROW()-56,$BG$57:$BG$95,0)))</f>
        <v/>
      </c>
      <c r="BI57">
        <f>IF(AND(Lists!$BR$4&lt;&gt;"",ISNUMBER(SEARCH($M$4,Lists!$BR$4))),1,0)</f>
        <v/>
      </c>
      <c r="BJ57">
        <f>IF(ROW()-56&gt;MAX($BI$57:$BI$95),"",INDEX(Lists!$BR$4:$BR$42,MATCH(ROW()-56,$BI$57:$BI$95,0)))</f>
        <v/>
      </c>
      <c r="BK57">
        <f>IF(AND(Lists!$BW$4&lt;&gt;"",ISNUMBER(SEARCH($N$4,Lists!$BW$4))),1,0)</f>
        <v/>
      </c>
      <c r="BL57">
        <f>IF(ROW()-56&gt;MAX($BK$57:$BK$95),"",INDEX(Lists!$BW$4:$BW$42,MATCH(ROW()-56,$BK$57:$BK$95,0)))</f>
        <v/>
      </c>
      <c r="BM57">
        <f>IF(AND(Lists!$CB$4&lt;&gt;"",ISNUMBER(SEARCH($O$4,Lists!$CB$4))),1,0)</f>
        <v/>
      </c>
      <c r="BN57">
        <f>IF(ROW()-56&gt;MAX($BM$57:$BM$95),"",INDEX(Lists!$CB$4:$CB$42,MATCH(ROW()-56,$BM$57:$BM$95,0)))</f>
        <v/>
      </c>
      <c r="BO57">
        <f>IF(AND(Lists!$CG$4&lt;&gt;"",ISNUMBER(SEARCH($P$4,Lists!$CG$4))),1,0)</f>
        <v/>
      </c>
      <c r="BP57">
        <f>IF(ROW()-56&gt;MAX($BO$57:$BO$95),"",INDEX(Lists!$CG$4:$CG$42,MATCH(ROW()-56,$BO$57:$BO$95,0)))</f>
        <v/>
      </c>
      <c r="BQ57">
        <f>IF(AND(Lists!$CL$4&lt;&gt;"",ISNUMBER(SEARCH($Q$4,Lists!$CL$4))),1,0)</f>
        <v/>
      </c>
      <c r="BR57">
        <f>IF(ROW()-56&gt;MAX($BQ$57:$BQ$95),"",INDEX(Lists!$CL$4:$CL$42,MATCH(ROW()-56,$BQ$57:$BQ$95,0)))</f>
        <v/>
      </c>
      <c r="BS57">
        <f>IF(AND(Lists!$CQ$4&lt;&gt;"",ISNUMBER(SEARCH($R$4,Lists!$CQ$4))),1,0)</f>
        <v/>
      </c>
      <c r="BT57">
        <f>IF(ROW()-56&gt;MAX($BS$57:$BS$95),"",INDEX(Lists!$CQ$4:$CQ$42,MATCH(ROW()-56,$BS$57:$BS$95,0)))</f>
        <v/>
      </c>
      <c r="BU57">
        <f>IF(AND(Lists!$CV$4&lt;&gt;"",ISNUMBER(SEARCH($S$4,Lists!$CV$4))),1,0)</f>
        <v/>
      </c>
      <c r="BV57">
        <f>IF(ROW()-56&gt;MAX($BU$57:$BU$95),"",INDEX(Lists!$CV$4:$CV$42,MATCH(ROW()-56,$BU$57:$BU$95,0)))</f>
        <v/>
      </c>
      <c r="BW57">
        <f>IF(AND(Lists!$DA$4&lt;&gt;"",ISNUMBER(SEARCH($T$4,Lists!$DA$4))),1,0)</f>
        <v/>
      </c>
      <c r="BX57">
        <f>IF(ROW()-56&gt;MAX($BW$57:$BW$95),"",INDEX(Lists!$DA$4:$DA$42,MATCH(ROW()-56,$BW$57:$BW$95,0)))</f>
        <v/>
      </c>
      <c r="BY57">
        <f>IF(AND(Lists!$DF$4&lt;&gt;"",ISNUMBER(SEARCH($U$4,Lists!$DF$4))),1,0)</f>
        <v/>
      </c>
      <c r="BZ57">
        <f>IF(ROW()-56&gt;MAX($BY$57:$BY$95),"",INDEX(Lists!$DF$4:$DF$42,MATCH(ROW()-56,$BY$57:$BY$95,0)))</f>
        <v/>
      </c>
      <c r="CA57">
        <f>IF(AND(Lists!$DK$4&lt;&gt;"",ISNUMBER(SEARCH($V$4,Lists!$DK$4))),1,0)</f>
        <v/>
      </c>
      <c r="CB57">
        <f>IF(ROW()-56&gt;MAX($CA$57:$CA$95),"",INDEX(Lists!$DK$4:$DK$42,MATCH(ROW()-56,$CA$57:$CA$95,0)))</f>
        <v/>
      </c>
      <c r="CC57">
        <f>IF(AND(Lists!$DP$4&lt;&gt;"",ISNUMBER(SEARCH($W$4,Lists!$DP$4))),1,0)</f>
        <v/>
      </c>
      <c r="CD57">
        <f>IF(ROW()-56&gt;MAX($CC$57:$CC$95),"",INDEX(Lists!$DP$4:$DP$42,MATCH(ROW()-56,$CC$57:$CC$95,0)))</f>
        <v/>
      </c>
      <c r="CE57">
        <f>IF(AND(Lists!$DU$4&lt;&gt;"",ISNUMBER(SEARCH($X$4,Lists!$DU$4))),1,0)</f>
        <v/>
      </c>
      <c r="CF57">
        <f>IF(ROW()-56&gt;MAX($CE$57:$CE$95),"",INDEX(Lists!$DU$4:$DU$42,MATCH(ROW()-56,$CE$57:$CE$95,0)))</f>
        <v/>
      </c>
      <c r="CG57">
        <f>IF(AND(Lists!$DZ$4&lt;&gt;"",ISNUMBER(SEARCH($Y$4,Lists!$DZ$4))),1,0)</f>
        <v/>
      </c>
      <c r="CH57">
        <f>IF(ROW()-56&gt;MAX($CG$57:$CG$95),"",INDEX(Lists!$DZ$4:$DZ$42,MATCH(ROW()-56,$CG$57:$CG$95,0)))</f>
        <v/>
      </c>
      <c r="CI57">
        <f>IF(AND(Lists!$EE$4&lt;&gt;"",ISNUMBER(SEARCH($Z$4,Lists!$EE$4))),1,0)</f>
        <v/>
      </c>
      <c r="CJ57">
        <f>IF(ROW()-56&gt;MAX($CI$57:$CI$95),"",INDEX(Lists!$EE$4:$EE$42,MATCH(ROW()-56,$CI$57:$CI$95,0)))</f>
        <v/>
      </c>
      <c r="CK57">
        <f>IF(AND(Lists!$EJ$4&lt;&gt;"",ISNUMBER(SEARCH($AA$4,Lists!$EJ$4))),1,0)</f>
        <v/>
      </c>
      <c r="CL57">
        <f>IF(ROW()-56&gt;MAX($CK$57:$CK$95),"",INDEX(Lists!$EJ$4:$EJ$42,MATCH(ROW()-56,$CK$57:$CK$95,0)))</f>
        <v/>
      </c>
      <c r="CM57">
        <f>IF(AND(Lists!$EO$4&lt;&gt;"",ISNUMBER(SEARCH($AB$4,Lists!$EO$4))),1,0)</f>
        <v/>
      </c>
      <c r="CN57">
        <f>IF(ROW()-56&gt;MAX($CM$57:$CM$95),"",INDEX(Lists!$EO$4:$EO$42,MATCH(ROW()-56,$CM$57:$CM$95,0)))</f>
        <v/>
      </c>
      <c r="CO57">
        <f>IF(AND(Lists!$ET$4&lt;&gt;"",ISNUMBER(SEARCH($AC$4,Lists!$ET$4))),1,0)</f>
        <v/>
      </c>
      <c r="CP57">
        <f>IF(ROW()-56&gt;MAX($CO$57:$CO$95),"",INDEX(Lists!$ET$4:$ET$42,MATCH(ROW()-56,$CO$57:$CO$95,0)))</f>
        <v/>
      </c>
      <c r="CQ57">
        <f>IF(AND(Lists!$EY$4&lt;&gt;"",ISNUMBER(SEARCH($AD$4,Lists!$EY$4))),1,0)</f>
        <v/>
      </c>
      <c r="CR57">
        <f>IF(ROW()-56&gt;MAX($CQ$57:$CQ$95),"",INDEX(Lists!$EY$4:$EY$42,MATCH(ROW()-56,$CQ$57:$CQ$95,0)))</f>
        <v/>
      </c>
      <c r="CS57">
        <f>IF(AND(Lists!$FD$4&lt;&gt;"",ISNUMBER(SEARCH($AE$4,Lists!$FD$4))),1,0)</f>
        <v/>
      </c>
      <c r="CT57">
        <f>IF(ROW()-56&gt;MAX($CS$57:$CS$95),"",INDEX(Lists!$FD$4:$FD$42,MATCH(ROW()-56,$CS$57:$CS$95,0)))</f>
        <v/>
      </c>
      <c r="CU57">
        <f>IF(AND(Lists!$FI$4&lt;&gt;"",ISNUMBER(SEARCH($AG$4,Lists!$FI$4))),1,0)</f>
        <v/>
      </c>
      <c r="CV57">
        <f>IF(ROW()-56&gt;MAX($CU$57:$CU$95),"",INDEX(Lists!$FI$4:$FI$42,MATCH(ROW()-56,$CU$57:$CU$95,0)))</f>
        <v/>
      </c>
      <c r="CW57">
        <f>IF(AND(Lists!$FN$4&lt;&gt;"",ISNUMBER(SEARCH($AH$4,Lists!$FN$4))),1,0)</f>
        <v/>
      </c>
      <c r="CX57">
        <f>IF(ROW()-56&gt;MAX($CW$57:$CW$95),"",INDEX(Lists!$FN$4:$FN$42,MATCH(ROW()-56,$CW$57:$CW$95,0)))</f>
        <v/>
      </c>
      <c r="CY57">
        <f>IF(AND(Lists!$FS$4&lt;&gt;"",ISNUMBER(SEARCH($AI$4,Lists!$FS$4))),1,0)</f>
        <v/>
      </c>
      <c r="CZ57">
        <f>IF(ROW()-56&gt;MAX($CY$57:$CY$95),"",INDEX(Lists!$FS$4:$FS$42,MATCH(ROW()-56,$CY$57:$CY$95,0)))</f>
        <v/>
      </c>
      <c r="DA57">
        <f>IF(AND(Lists!$FX$4&lt;&gt;"",ISNUMBER(SEARCH($AF$4,Lists!$FX$4))),1,0)</f>
        <v/>
      </c>
      <c r="DB57">
        <f>IF(ROW()-56&gt;MAX($DA$57:$DA$95),"",INDEX(Lists!$FX$4:$FX$42,MATCH(ROW()-56,$DA$57:$DA$95,0)))</f>
        <v/>
      </c>
    </row>
    <row r="58" ht="15" customHeight="1" s="137">
      <c r="A58" s="109" t="inlineStr">
        <is>
          <t>∑</t>
        </is>
      </c>
      <c r="B58" s="110" t="n"/>
      <c r="C58" s="110">
        <f>COUNTA('Final Calculation Sheet'!$G$4:$G$40)&amp;" lot(s)"</f>
        <v/>
      </c>
      <c r="D58" s="110" t="inlineStr">
        <is>
          <t>GRAND TOTAL — cross-checked to source</t>
        </is>
      </c>
      <c r="E58" s="110" t="inlineStr">
        <is>
          <t>–</t>
        </is>
      </c>
      <c r="F58" s="110">
        <f>SUM('Final Calculation Sheet'!$A$4:$A$40)</f>
        <v/>
      </c>
      <c r="G58" s="110" t="inlineStr">
        <is>
          <t>–</t>
        </is>
      </c>
      <c r="H58" s="111" t="inlineStr">
        <is>
          <t>–</t>
        </is>
      </c>
      <c r="I58" s="111">
        <f>SUM('Final Calculation Sheet'!$H$4:$H$40)</f>
        <v/>
      </c>
      <c r="J58" s="111">
        <f>SUM('Final Calculation Sheet'!$I$4:$I$40)</f>
        <v/>
      </c>
      <c r="K58" s="111">
        <f>SUM('Final Calculation Sheet'!$J$4:$J$40)</f>
        <v/>
      </c>
      <c r="L58" s="111">
        <f>SUM('Final Calculation Sheet'!$K$4:$K$40)</f>
        <v/>
      </c>
      <c r="M58" s="111">
        <f>SUM('Final Calculation Sheet'!$L$4:$L$40)</f>
        <v/>
      </c>
      <c r="N58" s="111">
        <f>SUM('Final Calculation Sheet'!$M$4:$M$40)</f>
        <v/>
      </c>
      <c r="O58" s="112">
        <f>SUM('Final Calculation Sheet'!$N$4:$N$40)</f>
        <v/>
      </c>
      <c r="P58" s="111">
        <f>SUM('Final Calculation Sheet'!$O$4:$O$40)</f>
        <v/>
      </c>
      <c r="Q58" s="111">
        <f>SUM('Final Calculation Sheet'!$P$4:$P$40)</f>
        <v/>
      </c>
      <c r="R58" s="113" t="inlineStr">
        <is>
          <t>–</t>
        </is>
      </c>
      <c r="S58" s="111">
        <f>SUM('Final Calculation Sheet'!$R$4:$R$40)</f>
        <v/>
      </c>
      <c r="T58" s="111">
        <f>SUM('Final Calculation Sheet'!$S$4:$S$40)</f>
        <v/>
      </c>
      <c r="U58" s="111">
        <f>SUM('Final Calculation Sheet'!$T$4:$T$40)</f>
        <v/>
      </c>
      <c r="V58" s="114">
        <f>SUM('Final Calculation Sheet'!$U$4:$U$40)</f>
        <v/>
      </c>
      <c r="W58" s="111" t="inlineStr">
        <is>
          <t>–</t>
        </is>
      </c>
      <c r="X58" s="111">
        <f>SUM('Final Calculation Sheet'!$W$4:$W$40)</f>
        <v/>
      </c>
      <c r="Y58" s="111">
        <f>SUM('Final Calculation Sheet'!$X$4:$X$40)</f>
        <v/>
      </c>
      <c r="Z58" s="111" t="inlineStr">
        <is>
          <t>–</t>
        </is>
      </c>
      <c r="AA58" s="111">
        <f>SUM('Final Calculation Sheet'!$Z$4:$Z$40)</f>
        <v/>
      </c>
      <c r="AB58" s="111">
        <f>SUM('Final Calculation Sheet'!$AA$4:$AA$40)</f>
        <v/>
      </c>
      <c r="AC58" s="111" t="inlineStr">
        <is>
          <t>–</t>
        </is>
      </c>
      <c r="AD58" s="111">
        <f>SUM('Final Calculation Sheet'!$AC$4:$AC$40)</f>
        <v/>
      </c>
      <c r="AE58" s="111">
        <f>SUM('Final Calculation Sheet'!$AD$4:$AD$40)</f>
        <v/>
      </c>
      <c r="AF58" s="116">
        <f>IF(AE58&lt;=5,"SETTLED","OUTSTANDING")</f>
        <v/>
      </c>
      <c r="AG58" s="111" t="inlineStr">
        <is>
          <t>–</t>
        </is>
      </c>
      <c r="AH58" s="115" t="inlineStr">
        <is>
          <t>–</t>
        </is>
      </c>
      <c r="AI58" s="111" t="inlineStr">
        <is>
          <t>–</t>
        </is>
      </c>
      <c r="AM58">
        <f>AM57+IF(AND(Lists!$O$5&lt;&gt;"",ISNUMBER(SEARCH($B$4,Lists!$O$5))),1,0)</f>
        <v/>
      </c>
      <c r="AN58">
        <f>IF(ROW()-56&gt;MAX($AM$57:$AM$95),"",INDEX(Lists!$O$4:$O$42,MATCH(ROW()-56,$AM$57:$AM$95,0)))</f>
        <v/>
      </c>
      <c r="AO58">
        <f>AO57+IF(AND(Lists!$T$5&lt;&gt;"",ISNUMBER(SEARCH($C$4,Lists!$T$5))),1,0)</f>
        <v/>
      </c>
      <c r="AP58">
        <f>IF(ROW()-56&gt;MAX($AO$57:$AO$95),"",INDEX(Lists!$T$4:$T$42,MATCH(ROW()-56,$AO$57:$AO$95,0)))</f>
        <v/>
      </c>
      <c r="AQ58">
        <f>AQ57+IF(AND(Lists!$Y$5&lt;&gt;"",ISNUMBER(SEARCH($D$4,Lists!$Y$5))),1,0)</f>
        <v/>
      </c>
      <c r="AR58">
        <f>IF(ROW()-56&gt;MAX($AQ$57:$AQ$95),"",INDEX(Lists!$Y$4:$Y$42,MATCH(ROW()-56,$AQ$57:$AQ$95,0)))</f>
        <v/>
      </c>
      <c r="AS58">
        <f>AS57+IF(AND(Lists!$AD$5&lt;&gt;"",ISNUMBER(SEARCH($E$4,Lists!$AD$5))),1,0)</f>
        <v/>
      </c>
      <c r="AT58">
        <f>IF(ROW()-56&gt;MAX($AS$57:$AS$95),"",INDEX(Lists!$AD$4:$AD$42,MATCH(ROW()-56,$AS$57:$AS$95,0)))</f>
        <v/>
      </c>
      <c r="AU58">
        <f>AU57+IF(AND(Lists!$AI$5&lt;&gt;"",ISNUMBER(SEARCH($F$4,Lists!$AI$5))),1,0)</f>
        <v/>
      </c>
      <c r="AV58">
        <f>IF(ROW()-56&gt;MAX($AU$57:$AU$95),"",INDEX(Lists!$AI$4:$AI$42,MATCH(ROW()-56,$AU$57:$AU$95,0)))</f>
        <v/>
      </c>
      <c r="AW58">
        <f>AW57+IF(AND(Lists!$AN$5&lt;&gt;"",ISNUMBER(SEARCH($G$4,Lists!$AN$5))),1,0)</f>
        <v/>
      </c>
      <c r="AX58">
        <f>IF(ROW()-56&gt;MAX($AW$57:$AW$95),"",INDEX(Lists!$AN$4:$AN$42,MATCH(ROW()-56,$AW$57:$AW$95,0)))</f>
        <v/>
      </c>
      <c r="AY58">
        <f>AY57+IF(AND(Lists!$AS$5&lt;&gt;"",ISNUMBER(SEARCH($H$4,Lists!$AS$5))),1,0)</f>
        <v/>
      </c>
      <c r="AZ58">
        <f>IF(ROW()-56&gt;MAX($AY$57:$AY$95),"",INDEX(Lists!$AS$4:$AS$42,MATCH(ROW()-56,$AY$57:$AY$95,0)))</f>
        <v/>
      </c>
      <c r="BA58">
        <f>BA57+IF(AND(Lists!$AX$5&lt;&gt;"",ISNUMBER(SEARCH($I$4,Lists!$AX$5))),1,0)</f>
        <v/>
      </c>
      <c r="BB58">
        <f>IF(ROW()-56&gt;MAX($BA$57:$BA$95),"",INDEX(Lists!$AX$4:$AX$42,MATCH(ROW()-56,$BA$57:$BA$95,0)))</f>
        <v/>
      </c>
      <c r="BC58">
        <f>BC57+IF(AND(Lists!$BC$5&lt;&gt;"",ISNUMBER(SEARCH($J$4,Lists!$BC$5))),1,0)</f>
        <v/>
      </c>
      <c r="BD58">
        <f>IF(ROW()-56&gt;MAX($BC$57:$BC$95),"",INDEX(Lists!$BC$4:$BC$42,MATCH(ROW()-56,$BC$57:$BC$95,0)))</f>
        <v/>
      </c>
      <c r="BE58">
        <f>BE57+IF(AND(Lists!$BH$5&lt;&gt;"",ISNUMBER(SEARCH($K$4,Lists!$BH$5))),1,0)</f>
        <v/>
      </c>
      <c r="BF58">
        <f>IF(ROW()-56&gt;MAX($BE$57:$BE$95),"",INDEX(Lists!$BH$4:$BH$42,MATCH(ROW()-56,$BE$57:$BE$95,0)))</f>
        <v/>
      </c>
      <c r="BG58">
        <f>BG57+IF(AND(Lists!$BM$5&lt;&gt;"",ISNUMBER(SEARCH($L$4,Lists!$BM$5))),1,0)</f>
        <v/>
      </c>
      <c r="BH58">
        <f>IF(ROW()-56&gt;MAX($BG$57:$BG$95),"",INDEX(Lists!$BM$4:$BM$42,MATCH(ROW()-56,$BG$57:$BG$95,0)))</f>
        <v/>
      </c>
      <c r="BI58">
        <f>BI57+IF(AND(Lists!$BR$5&lt;&gt;"",ISNUMBER(SEARCH($M$4,Lists!$BR$5))),1,0)</f>
        <v/>
      </c>
      <c r="BJ58">
        <f>IF(ROW()-56&gt;MAX($BI$57:$BI$95),"",INDEX(Lists!$BR$4:$BR$42,MATCH(ROW()-56,$BI$57:$BI$95,0)))</f>
        <v/>
      </c>
      <c r="BK58">
        <f>BK57+IF(AND(Lists!$BW$5&lt;&gt;"",ISNUMBER(SEARCH($N$4,Lists!$BW$5))),1,0)</f>
        <v/>
      </c>
      <c r="BL58">
        <f>IF(ROW()-56&gt;MAX($BK$57:$BK$95),"",INDEX(Lists!$BW$4:$BW$42,MATCH(ROW()-56,$BK$57:$BK$95,0)))</f>
        <v/>
      </c>
      <c r="BM58">
        <f>BM57+IF(AND(Lists!$CB$5&lt;&gt;"",ISNUMBER(SEARCH($O$4,Lists!$CB$5))),1,0)</f>
        <v/>
      </c>
      <c r="BN58">
        <f>IF(ROW()-56&gt;MAX($BM$57:$BM$95),"",INDEX(Lists!$CB$4:$CB$42,MATCH(ROW()-56,$BM$57:$BM$95,0)))</f>
        <v/>
      </c>
      <c r="BO58">
        <f>BO57+IF(AND(Lists!$CG$5&lt;&gt;"",ISNUMBER(SEARCH($P$4,Lists!$CG$5))),1,0)</f>
        <v/>
      </c>
      <c r="BP58">
        <f>IF(ROW()-56&gt;MAX($BO$57:$BO$95),"",INDEX(Lists!$CG$4:$CG$42,MATCH(ROW()-56,$BO$57:$BO$95,0)))</f>
        <v/>
      </c>
      <c r="BQ58">
        <f>BQ57+IF(AND(Lists!$CL$5&lt;&gt;"",ISNUMBER(SEARCH($Q$4,Lists!$CL$5))),1,0)</f>
        <v/>
      </c>
      <c r="BR58">
        <f>IF(ROW()-56&gt;MAX($BQ$57:$BQ$95),"",INDEX(Lists!$CL$4:$CL$42,MATCH(ROW()-56,$BQ$57:$BQ$95,0)))</f>
        <v/>
      </c>
      <c r="BS58">
        <f>BS57+IF(AND(Lists!$CQ$5&lt;&gt;"",ISNUMBER(SEARCH($R$4,Lists!$CQ$5))),1,0)</f>
        <v/>
      </c>
      <c r="BT58">
        <f>IF(ROW()-56&gt;MAX($BS$57:$BS$95),"",INDEX(Lists!$CQ$4:$CQ$42,MATCH(ROW()-56,$BS$57:$BS$95,0)))</f>
        <v/>
      </c>
      <c r="BU58">
        <f>BU57+IF(AND(Lists!$CV$5&lt;&gt;"",ISNUMBER(SEARCH($S$4,Lists!$CV$5))),1,0)</f>
        <v/>
      </c>
      <c r="BV58">
        <f>IF(ROW()-56&gt;MAX($BU$57:$BU$95),"",INDEX(Lists!$CV$4:$CV$42,MATCH(ROW()-56,$BU$57:$BU$95,0)))</f>
        <v/>
      </c>
      <c r="BW58">
        <f>BW57+IF(AND(Lists!$DA$5&lt;&gt;"",ISNUMBER(SEARCH($T$4,Lists!$DA$5))),1,0)</f>
        <v/>
      </c>
      <c r="BX58">
        <f>IF(ROW()-56&gt;MAX($BW$57:$BW$95),"",INDEX(Lists!$DA$4:$DA$42,MATCH(ROW()-56,$BW$57:$BW$95,0)))</f>
        <v/>
      </c>
      <c r="BY58">
        <f>BY57+IF(AND(Lists!$DF$5&lt;&gt;"",ISNUMBER(SEARCH($U$4,Lists!$DF$5))),1,0)</f>
        <v/>
      </c>
      <c r="BZ58">
        <f>IF(ROW()-56&gt;MAX($BY$57:$BY$95),"",INDEX(Lists!$DF$4:$DF$42,MATCH(ROW()-56,$BY$57:$BY$95,0)))</f>
        <v/>
      </c>
      <c r="CA58">
        <f>CA57+IF(AND(Lists!$DK$5&lt;&gt;"",ISNUMBER(SEARCH($V$4,Lists!$DK$5))),1,0)</f>
        <v/>
      </c>
      <c r="CB58">
        <f>IF(ROW()-56&gt;MAX($CA$57:$CA$95),"",INDEX(Lists!$DK$4:$DK$42,MATCH(ROW()-56,$CA$57:$CA$95,0)))</f>
        <v/>
      </c>
      <c r="CC58">
        <f>CC57+IF(AND(Lists!$DP$5&lt;&gt;"",ISNUMBER(SEARCH($W$4,Lists!$DP$5))),1,0)</f>
        <v/>
      </c>
      <c r="CD58">
        <f>IF(ROW()-56&gt;MAX($CC$57:$CC$95),"",INDEX(Lists!$DP$4:$DP$42,MATCH(ROW()-56,$CC$57:$CC$95,0)))</f>
        <v/>
      </c>
      <c r="CE58">
        <f>CE57+IF(AND(Lists!$DU$5&lt;&gt;"",ISNUMBER(SEARCH($X$4,Lists!$DU$5))),1,0)</f>
        <v/>
      </c>
      <c r="CF58">
        <f>IF(ROW()-56&gt;MAX($CE$57:$CE$95),"",INDEX(Lists!$DU$4:$DU$42,MATCH(ROW()-56,$CE$57:$CE$95,0)))</f>
        <v/>
      </c>
      <c r="CG58">
        <f>CG57+IF(AND(Lists!$DZ$5&lt;&gt;"",ISNUMBER(SEARCH($Y$4,Lists!$DZ$5))),1,0)</f>
        <v/>
      </c>
      <c r="CH58">
        <f>IF(ROW()-56&gt;MAX($CG$57:$CG$95),"",INDEX(Lists!$DZ$4:$DZ$42,MATCH(ROW()-56,$CG$57:$CG$95,0)))</f>
        <v/>
      </c>
      <c r="CI58">
        <f>CI57+IF(AND(Lists!$EE$5&lt;&gt;"",ISNUMBER(SEARCH($Z$4,Lists!$EE$5))),1,0)</f>
        <v/>
      </c>
      <c r="CJ58">
        <f>IF(ROW()-56&gt;MAX($CI$57:$CI$95),"",INDEX(Lists!$EE$4:$EE$42,MATCH(ROW()-56,$CI$57:$CI$95,0)))</f>
        <v/>
      </c>
      <c r="CK58">
        <f>CK57+IF(AND(Lists!$EJ$5&lt;&gt;"",ISNUMBER(SEARCH($AA$4,Lists!$EJ$5))),1,0)</f>
        <v/>
      </c>
      <c r="CL58">
        <f>IF(ROW()-56&gt;MAX($CK$57:$CK$95),"",INDEX(Lists!$EJ$4:$EJ$42,MATCH(ROW()-56,$CK$57:$CK$95,0)))</f>
        <v/>
      </c>
      <c r="CM58">
        <f>CM57+IF(AND(Lists!$EO$5&lt;&gt;"",ISNUMBER(SEARCH($AB$4,Lists!$EO$5))),1,0)</f>
        <v/>
      </c>
      <c r="CN58">
        <f>IF(ROW()-56&gt;MAX($CM$57:$CM$95),"",INDEX(Lists!$EO$4:$EO$42,MATCH(ROW()-56,$CM$57:$CM$95,0)))</f>
        <v/>
      </c>
      <c r="CO58">
        <f>CO57+IF(AND(Lists!$ET$5&lt;&gt;"",ISNUMBER(SEARCH($AC$4,Lists!$ET$5))),1,0)</f>
        <v/>
      </c>
      <c r="CP58">
        <f>IF(ROW()-56&gt;MAX($CO$57:$CO$95),"",INDEX(Lists!$ET$4:$ET$42,MATCH(ROW()-56,$CO$57:$CO$95,0)))</f>
        <v/>
      </c>
      <c r="CQ58">
        <f>CQ57+IF(AND(Lists!$EY$5&lt;&gt;"",ISNUMBER(SEARCH($AD$4,Lists!$EY$5))),1,0)</f>
        <v/>
      </c>
      <c r="CR58">
        <f>IF(ROW()-56&gt;MAX($CQ$57:$CQ$95),"",INDEX(Lists!$EY$4:$EY$42,MATCH(ROW()-56,$CQ$57:$CQ$95,0)))</f>
        <v/>
      </c>
      <c r="CS58">
        <f>CS57+IF(AND(Lists!$FD$5&lt;&gt;"",ISNUMBER(SEARCH($AE$4,Lists!$FD$5))),1,0)</f>
        <v/>
      </c>
      <c r="CT58">
        <f>IF(ROW()-56&gt;MAX($CS$57:$CS$95),"",INDEX(Lists!$FD$4:$FD$42,MATCH(ROW()-56,$CS$57:$CS$95,0)))</f>
        <v/>
      </c>
      <c r="CU58">
        <f>CU57+IF(AND(Lists!$FI$5&lt;&gt;"",ISNUMBER(SEARCH($AG$4,Lists!$FI$5))),1,0)</f>
        <v/>
      </c>
      <c r="CV58">
        <f>IF(ROW()-56&gt;MAX($CU$57:$CU$95),"",INDEX(Lists!$FI$4:$FI$42,MATCH(ROW()-56,$CU$57:$CU$95,0)))</f>
        <v/>
      </c>
      <c r="CW58">
        <f>CW57+IF(AND(Lists!$FN$5&lt;&gt;"",ISNUMBER(SEARCH($AH$4,Lists!$FN$5))),1,0)</f>
        <v/>
      </c>
      <c r="CX58">
        <f>IF(ROW()-56&gt;MAX($CW$57:$CW$95),"",INDEX(Lists!$FN$4:$FN$42,MATCH(ROW()-56,$CW$57:$CW$95,0)))</f>
        <v/>
      </c>
      <c r="CY58">
        <f>CY57+IF(AND(Lists!$FS$5&lt;&gt;"",ISNUMBER(SEARCH($AI$4,Lists!$FS$5))),1,0)</f>
        <v/>
      </c>
      <c r="CZ58">
        <f>IF(ROW()-56&gt;MAX($CY$57:$CY$95),"",INDEX(Lists!$FS$4:$FS$42,MATCH(ROW()-56,$CY$57:$CY$95,0)))</f>
        <v/>
      </c>
      <c r="DA58">
        <f>DA57+IF(AND(Lists!$FX$5&lt;&gt;"",ISNUMBER(SEARCH($AF$4,Lists!$FX$5))),1,0)</f>
        <v/>
      </c>
      <c r="DB58">
        <f>IF(ROW()-56&gt;MAX($DA$57:$DA$95),"",INDEX(Lists!$FX$4:$FX$42,MATCH(ROW()-56,$DA$57:$DA$95,0)))</f>
        <v/>
      </c>
    </row>
    <row r="59">
      <c r="AM59">
        <f>AM58+IF(AND(Lists!$O$6&lt;&gt;"",ISNUMBER(SEARCH($B$4,Lists!$O$6))),1,0)</f>
        <v/>
      </c>
      <c r="AN59">
        <f>IF(ROW()-56&gt;MAX($AM$57:$AM$95),"",INDEX(Lists!$O$4:$O$42,MATCH(ROW()-56,$AM$57:$AM$95,0)))</f>
        <v/>
      </c>
      <c r="AO59">
        <f>AO58+IF(AND(Lists!$T$6&lt;&gt;"",ISNUMBER(SEARCH($C$4,Lists!$T$6))),1,0)</f>
        <v/>
      </c>
      <c r="AP59">
        <f>IF(ROW()-56&gt;MAX($AO$57:$AO$95),"",INDEX(Lists!$T$4:$T$42,MATCH(ROW()-56,$AO$57:$AO$95,0)))</f>
        <v/>
      </c>
      <c r="AQ59">
        <f>AQ58+IF(AND(Lists!$Y$6&lt;&gt;"",ISNUMBER(SEARCH($D$4,Lists!$Y$6))),1,0)</f>
        <v/>
      </c>
      <c r="AR59">
        <f>IF(ROW()-56&gt;MAX($AQ$57:$AQ$95),"",INDEX(Lists!$Y$4:$Y$42,MATCH(ROW()-56,$AQ$57:$AQ$95,0)))</f>
        <v/>
      </c>
      <c r="AS59">
        <f>AS58+IF(AND(Lists!$AD$6&lt;&gt;"",ISNUMBER(SEARCH($E$4,Lists!$AD$6))),1,0)</f>
        <v/>
      </c>
      <c r="AT59">
        <f>IF(ROW()-56&gt;MAX($AS$57:$AS$95),"",INDEX(Lists!$AD$4:$AD$42,MATCH(ROW()-56,$AS$57:$AS$95,0)))</f>
        <v/>
      </c>
      <c r="AU59">
        <f>AU58+IF(AND(Lists!$AI$6&lt;&gt;"",ISNUMBER(SEARCH($F$4,Lists!$AI$6))),1,0)</f>
        <v/>
      </c>
      <c r="AV59">
        <f>IF(ROW()-56&gt;MAX($AU$57:$AU$95),"",INDEX(Lists!$AI$4:$AI$42,MATCH(ROW()-56,$AU$57:$AU$95,0)))</f>
        <v/>
      </c>
      <c r="AW59">
        <f>AW58+IF(AND(Lists!$AN$6&lt;&gt;"",ISNUMBER(SEARCH($G$4,Lists!$AN$6))),1,0)</f>
        <v/>
      </c>
      <c r="AX59">
        <f>IF(ROW()-56&gt;MAX($AW$57:$AW$95),"",INDEX(Lists!$AN$4:$AN$42,MATCH(ROW()-56,$AW$57:$AW$95,0)))</f>
        <v/>
      </c>
      <c r="AY59">
        <f>AY58+IF(AND(Lists!$AS$6&lt;&gt;"",ISNUMBER(SEARCH($H$4,Lists!$AS$6))),1,0)</f>
        <v/>
      </c>
      <c r="AZ59">
        <f>IF(ROW()-56&gt;MAX($AY$57:$AY$95),"",INDEX(Lists!$AS$4:$AS$42,MATCH(ROW()-56,$AY$57:$AY$95,0)))</f>
        <v/>
      </c>
      <c r="BA59">
        <f>BA58+IF(AND(Lists!$AX$6&lt;&gt;"",ISNUMBER(SEARCH($I$4,Lists!$AX$6))),1,0)</f>
        <v/>
      </c>
      <c r="BB59">
        <f>IF(ROW()-56&gt;MAX($BA$57:$BA$95),"",INDEX(Lists!$AX$4:$AX$42,MATCH(ROW()-56,$BA$57:$BA$95,0)))</f>
        <v/>
      </c>
      <c r="BC59">
        <f>BC58+IF(AND(Lists!$BC$6&lt;&gt;"",ISNUMBER(SEARCH($J$4,Lists!$BC$6))),1,0)</f>
        <v/>
      </c>
      <c r="BD59">
        <f>IF(ROW()-56&gt;MAX($BC$57:$BC$95),"",INDEX(Lists!$BC$4:$BC$42,MATCH(ROW()-56,$BC$57:$BC$95,0)))</f>
        <v/>
      </c>
      <c r="BE59">
        <f>BE58+IF(AND(Lists!$BH$6&lt;&gt;"",ISNUMBER(SEARCH($K$4,Lists!$BH$6))),1,0)</f>
        <v/>
      </c>
      <c r="BF59">
        <f>IF(ROW()-56&gt;MAX($BE$57:$BE$95),"",INDEX(Lists!$BH$4:$BH$42,MATCH(ROW()-56,$BE$57:$BE$95,0)))</f>
        <v/>
      </c>
      <c r="BG59">
        <f>BG58+IF(AND(Lists!$BM$6&lt;&gt;"",ISNUMBER(SEARCH($L$4,Lists!$BM$6))),1,0)</f>
        <v/>
      </c>
      <c r="BH59">
        <f>IF(ROW()-56&gt;MAX($BG$57:$BG$95),"",INDEX(Lists!$BM$4:$BM$42,MATCH(ROW()-56,$BG$57:$BG$95,0)))</f>
        <v/>
      </c>
      <c r="BI59">
        <f>BI58+IF(AND(Lists!$BR$6&lt;&gt;"",ISNUMBER(SEARCH($M$4,Lists!$BR$6))),1,0)</f>
        <v/>
      </c>
      <c r="BJ59">
        <f>IF(ROW()-56&gt;MAX($BI$57:$BI$95),"",INDEX(Lists!$BR$4:$BR$42,MATCH(ROW()-56,$BI$57:$BI$95,0)))</f>
        <v/>
      </c>
      <c r="BK59">
        <f>BK58+IF(AND(Lists!$BW$6&lt;&gt;"",ISNUMBER(SEARCH($N$4,Lists!$BW$6))),1,0)</f>
        <v/>
      </c>
      <c r="BL59">
        <f>IF(ROW()-56&gt;MAX($BK$57:$BK$95),"",INDEX(Lists!$BW$4:$BW$42,MATCH(ROW()-56,$BK$57:$BK$95,0)))</f>
        <v/>
      </c>
      <c r="BM59">
        <f>BM58+IF(AND(Lists!$CB$6&lt;&gt;"",ISNUMBER(SEARCH($O$4,Lists!$CB$6))),1,0)</f>
        <v/>
      </c>
      <c r="BN59">
        <f>IF(ROW()-56&gt;MAX($BM$57:$BM$95),"",INDEX(Lists!$CB$4:$CB$42,MATCH(ROW()-56,$BM$57:$BM$95,0)))</f>
        <v/>
      </c>
      <c r="BO59">
        <f>BO58+IF(AND(Lists!$CG$6&lt;&gt;"",ISNUMBER(SEARCH($P$4,Lists!$CG$6))),1,0)</f>
        <v/>
      </c>
      <c r="BP59">
        <f>IF(ROW()-56&gt;MAX($BO$57:$BO$95),"",INDEX(Lists!$CG$4:$CG$42,MATCH(ROW()-56,$BO$57:$BO$95,0)))</f>
        <v/>
      </c>
      <c r="BQ59">
        <f>BQ58+IF(AND(Lists!$CL$6&lt;&gt;"",ISNUMBER(SEARCH($Q$4,Lists!$CL$6))),1,0)</f>
        <v/>
      </c>
      <c r="BR59">
        <f>IF(ROW()-56&gt;MAX($BQ$57:$BQ$95),"",INDEX(Lists!$CL$4:$CL$42,MATCH(ROW()-56,$BQ$57:$BQ$95,0)))</f>
        <v/>
      </c>
      <c r="BS59">
        <f>BS58+IF(AND(Lists!$CQ$6&lt;&gt;"",ISNUMBER(SEARCH($R$4,Lists!$CQ$6))),1,0)</f>
        <v/>
      </c>
      <c r="BT59">
        <f>IF(ROW()-56&gt;MAX($BS$57:$BS$95),"",INDEX(Lists!$CQ$4:$CQ$42,MATCH(ROW()-56,$BS$57:$BS$95,0)))</f>
        <v/>
      </c>
      <c r="BU59">
        <f>BU58+IF(AND(Lists!$CV$6&lt;&gt;"",ISNUMBER(SEARCH($S$4,Lists!$CV$6))),1,0)</f>
        <v/>
      </c>
      <c r="BV59">
        <f>IF(ROW()-56&gt;MAX($BU$57:$BU$95),"",INDEX(Lists!$CV$4:$CV$42,MATCH(ROW()-56,$BU$57:$BU$95,0)))</f>
        <v/>
      </c>
      <c r="BW59">
        <f>BW58+IF(AND(Lists!$DA$6&lt;&gt;"",ISNUMBER(SEARCH($T$4,Lists!$DA$6))),1,0)</f>
        <v/>
      </c>
      <c r="BX59">
        <f>IF(ROW()-56&gt;MAX($BW$57:$BW$95),"",INDEX(Lists!$DA$4:$DA$42,MATCH(ROW()-56,$BW$57:$BW$95,0)))</f>
        <v/>
      </c>
      <c r="BY59">
        <f>BY58+IF(AND(Lists!$DF$6&lt;&gt;"",ISNUMBER(SEARCH($U$4,Lists!$DF$6))),1,0)</f>
        <v/>
      </c>
      <c r="BZ59">
        <f>IF(ROW()-56&gt;MAX($BY$57:$BY$95),"",INDEX(Lists!$DF$4:$DF$42,MATCH(ROW()-56,$BY$57:$BY$95,0)))</f>
        <v/>
      </c>
      <c r="CA59">
        <f>CA58+IF(AND(Lists!$DK$6&lt;&gt;"",ISNUMBER(SEARCH($V$4,Lists!$DK$6))),1,0)</f>
        <v/>
      </c>
      <c r="CB59">
        <f>IF(ROW()-56&gt;MAX($CA$57:$CA$95),"",INDEX(Lists!$DK$4:$DK$42,MATCH(ROW()-56,$CA$57:$CA$95,0)))</f>
        <v/>
      </c>
      <c r="CC59">
        <f>CC58+IF(AND(Lists!$DP$6&lt;&gt;"",ISNUMBER(SEARCH($W$4,Lists!$DP$6))),1,0)</f>
        <v/>
      </c>
      <c r="CD59">
        <f>IF(ROW()-56&gt;MAX($CC$57:$CC$95),"",INDEX(Lists!$DP$4:$DP$42,MATCH(ROW()-56,$CC$57:$CC$95,0)))</f>
        <v/>
      </c>
      <c r="CE59">
        <f>CE58+IF(AND(Lists!$DU$6&lt;&gt;"",ISNUMBER(SEARCH($X$4,Lists!$DU$6))),1,0)</f>
        <v/>
      </c>
      <c r="CF59">
        <f>IF(ROW()-56&gt;MAX($CE$57:$CE$95),"",INDEX(Lists!$DU$4:$DU$42,MATCH(ROW()-56,$CE$57:$CE$95,0)))</f>
        <v/>
      </c>
      <c r="CG59">
        <f>CG58+IF(AND(Lists!$DZ$6&lt;&gt;"",ISNUMBER(SEARCH($Y$4,Lists!$DZ$6))),1,0)</f>
        <v/>
      </c>
      <c r="CH59">
        <f>IF(ROW()-56&gt;MAX($CG$57:$CG$95),"",INDEX(Lists!$DZ$4:$DZ$42,MATCH(ROW()-56,$CG$57:$CG$95,0)))</f>
        <v/>
      </c>
      <c r="CI59">
        <f>CI58+IF(AND(Lists!$EE$6&lt;&gt;"",ISNUMBER(SEARCH($Z$4,Lists!$EE$6))),1,0)</f>
        <v/>
      </c>
      <c r="CJ59">
        <f>IF(ROW()-56&gt;MAX($CI$57:$CI$95),"",INDEX(Lists!$EE$4:$EE$42,MATCH(ROW()-56,$CI$57:$CI$95,0)))</f>
        <v/>
      </c>
      <c r="CK59">
        <f>CK58+IF(AND(Lists!$EJ$6&lt;&gt;"",ISNUMBER(SEARCH($AA$4,Lists!$EJ$6))),1,0)</f>
        <v/>
      </c>
      <c r="CL59">
        <f>IF(ROW()-56&gt;MAX($CK$57:$CK$95),"",INDEX(Lists!$EJ$4:$EJ$42,MATCH(ROW()-56,$CK$57:$CK$95,0)))</f>
        <v/>
      </c>
      <c r="CM59">
        <f>CM58+IF(AND(Lists!$EO$6&lt;&gt;"",ISNUMBER(SEARCH($AB$4,Lists!$EO$6))),1,0)</f>
        <v/>
      </c>
      <c r="CN59">
        <f>IF(ROW()-56&gt;MAX($CM$57:$CM$95),"",INDEX(Lists!$EO$4:$EO$42,MATCH(ROW()-56,$CM$57:$CM$95,0)))</f>
        <v/>
      </c>
      <c r="CO59">
        <f>CO58+IF(AND(Lists!$ET$6&lt;&gt;"",ISNUMBER(SEARCH($AC$4,Lists!$ET$6))),1,0)</f>
        <v/>
      </c>
      <c r="CP59">
        <f>IF(ROW()-56&gt;MAX($CO$57:$CO$95),"",INDEX(Lists!$ET$4:$ET$42,MATCH(ROW()-56,$CO$57:$CO$95,0)))</f>
        <v/>
      </c>
      <c r="CQ59">
        <f>CQ58+IF(AND(Lists!$EY$6&lt;&gt;"",ISNUMBER(SEARCH($AD$4,Lists!$EY$6))),1,0)</f>
        <v/>
      </c>
      <c r="CR59">
        <f>IF(ROW()-56&gt;MAX($CQ$57:$CQ$95),"",INDEX(Lists!$EY$4:$EY$42,MATCH(ROW()-56,$CQ$57:$CQ$95,0)))</f>
        <v/>
      </c>
      <c r="CS59">
        <f>CS58+IF(AND(Lists!$FD$6&lt;&gt;"",ISNUMBER(SEARCH($AE$4,Lists!$FD$6))),1,0)</f>
        <v/>
      </c>
      <c r="CT59">
        <f>IF(ROW()-56&gt;MAX($CS$57:$CS$95),"",INDEX(Lists!$FD$4:$FD$42,MATCH(ROW()-56,$CS$57:$CS$95,0)))</f>
        <v/>
      </c>
      <c r="CU59">
        <f>CU58+IF(AND(Lists!$FI$6&lt;&gt;"",ISNUMBER(SEARCH($AG$4,Lists!$FI$6))),1,0)</f>
        <v/>
      </c>
      <c r="CV59">
        <f>IF(ROW()-56&gt;MAX($CU$57:$CU$95),"",INDEX(Lists!$FI$4:$FI$42,MATCH(ROW()-56,$CU$57:$CU$95,0)))</f>
        <v/>
      </c>
      <c r="CW59">
        <f>CW58+IF(AND(Lists!$FN$6&lt;&gt;"",ISNUMBER(SEARCH($AH$4,Lists!$FN$6))),1,0)</f>
        <v/>
      </c>
      <c r="CX59">
        <f>IF(ROW()-56&gt;MAX($CW$57:$CW$95),"",INDEX(Lists!$FN$4:$FN$42,MATCH(ROW()-56,$CW$57:$CW$95,0)))</f>
        <v/>
      </c>
      <c r="CY59">
        <f>CY58+IF(AND(Lists!$FS$6&lt;&gt;"",ISNUMBER(SEARCH($AI$4,Lists!$FS$6))),1,0)</f>
        <v/>
      </c>
      <c r="CZ59">
        <f>IF(ROW()-56&gt;MAX($CY$57:$CY$95),"",INDEX(Lists!$FS$4:$FS$42,MATCH(ROW()-56,$CY$57:$CY$95,0)))</f>
        <v/>
      </c>
      <c r="DA59">
        <f>DA58+IF(AND(Lists!$FX$6&lt;&gt;"",ISNUMBER(SEARCH($AF$4,Lists!$FX$6))),1,0)</f>
        <v/>
      </c>
      <c r="DB59">
        <f>IF(ROW()-56&gt;MAX($DA$57:$DA$95),"",INDEX(Lists!$FX$4:$FX$42,MATCH(ROW()-56,$DA$57:$DA$95,0)))</f>
        <v/>
      </c>
      <c r="DG59">
        <f>IF($B$4="",1,IF($B$4="(blank)",--('Final Calculation Sheet'!$F$4=""),IF($B$4="(nonblank)",--('Final Calculation Sheet'!$F$4&lt;&gt;""),--ISNUMBER(SEARCH($B$4,'Final Calculation Sheet'!$F$4)))))</f>
        <v/>
      </c>
      <c r="DH59">
        <f>IF($C$4="",1,IF($C$4="(blank)",--('Final Calculation Sheet'!$G$4=""),IF($C$4="(nonblank)",--('Final Calculation Sheet'!$G$4&lt;&gt;""),--ISNUMBER(SEARCH($C$4,'Final Calculation Sheet'!$G$4)))))</f>
        <v/>
      </c>
      <c r="DI59">
        <f>IF($D$4="",1,IF($D$4="(blank)",--('Final Calculation Sheet'!$B$4=""),IF($D$4="(nonblank)",--('Final Calculation Sheet'!$B$4&lt;&gt;""),--ISNUMBER(SEARCH($D$4,'Final Calculation Sheet'!$B$4)))))</f>
        <v/>
      </c>
      <c r="DJ59">
        <f>IF($E$4="",1,IF($E$4="(blank)",--('Final Calculation Sheet'!$D$4=""),IF($E$4="(nonblank)",--('Final Calculation Sheet'!$D$4&lt;&gt;""),--ISNUMBER(SEARCH($E$4,'Final Calculation Sheet'!$D$4)))))</f>
        <v/>
      </c>
      <c r="DK59">
        <f>IF($F$4="",1,IF($F$4="(blank)",--('Final Calculation Sheet'!$A$4=""),IF($F$4="(nonblank)",--('Final Calculation Sheet'!$A$4&lt;&gt;""),--ISNUMBER(SEARCH($F$4,'Final Calculation Sheet'!$A$4)))))</f>
        <v/>
      </c>
      <c r="DL59">
        <f>IF($G$4="",1,IF($G$4="(blank)",--('Final Calculation Sheet'!$E$4=""),IF($G$4="(nonblank)",--('Final Calculation Sheet'!$E$4&lt;&gt;""),--ISNUMBER(SEARCH($G$4,'Final Calculation Sheet'!$E$4)))))</f>
        <v/>
      </c>
      <c r="DM59">
        <f>IF($H$4="",1,IF($H$4="(blank)",--('Final Calculation Sheet'!$C$4=""),IF($H$4="(nonblank)",--('Final Calculation Sheet'!$C$4&lt;&gt;""),--ISNUMBER(SEARCH($H$4,'Final Calculation Sheet'!$C$4)))))</f>
        <v/>
      </c>
      <c r="DN59">
        <f>IF($I$4="",1,IF($I$4="(blank)",--('Final Calculation Sheet'!$H$4=""),IF($I$4="(nonblank)",--('Final Calculation Sheet'!$H$4&lt;&gt;""),--ISNUMBER(SEARCH($I$4,'Final Calculation Sheet'!$H$4)))))</f>
        <v/>
      </c>
      <c r="DO59">
        <f>IF($J$4="",1,IF($J$4="(blank)",--('Final Calculation Sheet'!$I$4=""),IF($J$4="(nonblank)",--('Final Calculation Sheet'!$I$4&lt;&gt;""),--ISNUMBER(SEARCH($J$4,'Final Calculation Sheet'!$I$4)))))</f>
        <v/>
      </c>
      <c r="DP59">
        <f>IF($K$4="",1,IF($K$4="(blank)",--('Final Calculation Sheet'!$J$4=""),IF($K$4="(nonblank)",--('Final Calculation Sheet'!$J$4&lt;&gt;""),--ISNUMBER(SEARCH($K$4,'Final Calculation Sheet'!$J$4)))))</f>
        <v/>
      </c>
      <c r="DQ59">
        <f>IF($L$4="",1,IF($L$4="(blank)",--('Final Calculation Sheet'!$K$4=""),IF($L$4="(nonblank)",--('Final Calculation Sheet'!$K$4&lt;&gt;""),--ISNUMBER(SEARCH($L$4,'Final Calculation Sheet'!$K$4)))))</f>
        <v/>
      </c>
      <c r="DR59">
        <f>IF($M$4="",1,IF($M$4="(blank)",--('Final Calculation Sheet'!$L$4=""),IF($M$4="(nonblank)",--('Final Calculation Sheet'!$L$4&lt;&gt;""),--ISNUMBER(SEARCH($M$4,'Final Calculation Sheet'!$L$4)))))</f>
        <v/>
      </c>
      <c r="DS59">
        <f>IF($N$4="",1,IF($N$4="(blank)",--('Final Calculation Sheet'!$M$4=""),IF($N$4="(nonblank)",--('Final Calculation Sheet'!$M$4&lt;&gt;""),--ISNUMBER(SEARCH($N$4,'Final Calculation Sheet'!$M$4)))))</f>
        <v/>
      </c>
      <c r="DT59">
        <f>IF($O$4="",1,IF($O$4="(blank)",--('Final Calculation Sheet'!$N$4=""),IF($O$4="(nonblank)",--('Final Calculation Sheet'!$N$4&lt;&gt;""),--ISNUMBER(SEARCH($O$4,'Final Calculation Sheet'!$N$4)))))</f>
        <v/>
      </c>
      <c r="DU59">
        <f>IF($P$4="",1,IF($P$4="(blank)",--('Final Calculation Sheet'!$O$4=""),IF($P$4="(nonblank)",--('Final Calculation Sheet'!$O$4&lt;&gt;""),--ISNUMBER(SEARCH($P$4,'Final Calculation Sheet'!$O$4)))))</f>
        <v/>
      </c>
      <c r="DV59">
        <f>IF($Q$4="",1,IF($Q$4="(blank)",--('Final Calculation Sheet'!$P$4=""),IF($Q$4="(nonblank)",--('Final Calculation Sheet'!$P$4&lt;&gt;""),--ISNUMBER(SEARCH($Q$4,'Final Calculation Sheet'!$P$4)))))</f>
        <v/>
      </c>
      <c r="DW59">
        <f>IF($R$4="",1,IF($R$4="(blank)",--('Final Calculation Sheet'!$Q$4=""),IF($R$4="(nonblank)",--('Final Calculation Sheet'!$Q$4&lt;&gt;""),--ISNUMBER(SEARCH($R$4,'Final Calculation Sheet'!$Q$4)))))</f>
        <v/>
      </c>
      <c r="DX59">
        <f>IF($S$4="",1,IF($S$4="(blank)",--('Final Calculation Sheet'!$R$4=""),IF($S$4="(nonblank)",--('Final Calculation Sheet'!$R$4&lt;&gt;""),--ISNUMBER(SEARCH($S$4,'Final Calculation Sheet'!$R$4)))))</f>
        <v/>
      </c>
      <c r="DY59">
        <f>IF($T$4="",1,IF($T$4="(blank)",--('Final Calculation Sheet'!$S$4=""),IF($T$4="(nonblank)",--('Final Calculation Sheet'!$S$4&lt;&gt;""),--ISNUMBER(SEARCH($T$4,'Final Calculation Sheet'!$S$4)))))</f>
        <v/>
      </c>
      <c r="DZ59">
        <f>IF($U$4="",1,IF($U$4="(blank)",--('Final Calculation Sheet'!$T$4=""),IF($U$4="(nonblank)",--('Final Calculation Sheet'!$T$4&lt;&gt;""),--ISNUMBER(SEARCH($U$4,'Final Calculation Sheet'!$T$4)))))</f>
        <v/>
      </c>
      <c r="EA59">
        <f>IF($V$4="",1,IF($V$4="(blank)",--('Final Calculation Sheet'!$U$4=""),IF($V$4="(nonblank)",--('Final Calculation Sheet'!$U$4&lt;&gt;""),--ISNUMBER(SEARCH($V$4,'Final Calculation Sheet'!$U$4)))))</f>
        <v/>
      </c>
      <c r="EB59">
        <f>IF($W$4="",1,IF($W$4="(blank)",--('Final Calculation Sheet'!$V$4=""),IF($W$4="(nonblank)",--('Final Calculation Sheet'!$V$4&lt;&gt;""),--ISNUMBER(SEARCH($W$4,'Final Calculation Sheet'!$V$4)))))</f>
        <v/>
      </c>
      <c r="EC59">
        <f>IF($X$4="",1,IF($X$4="(blank)",--('Final Calculation Sheet'!$W$4=""),IF($X$4="(nonblank)",--('Final Calculation Sheet'!$W$4&lt;&gt;""),--ISNUMBER(SEARCH($X$4,'Final Calculation Sheet'!$W$4)))))</f>
        <v/>
      </c>
      <c r="ED59">
        <f>IF($Y$4="",1,IF($Y$4="(blank)",--('Final Calculation Sheet'!$X$4=""),IF($Y$4="(nonblank)",--('Final Calculation Sheet'!$X$4&lt;&gt;""),--ISNUMBER(SEARCH($Y$4,'Final Calculation Sheet'!$X$4)))))</f>
        <v/>
      </c>
      <c r="EE59">
        <f>IF($Z$4="",1,IF($Z$4="(blank)",--('Final Calculation Sheet'!$Y$4=""),IF($Z$4="(nonblank)",--('Final Calculation Sheet'!$Y$4&lt;&gt;""),--ISNUMBER(SEARCH($Z$4,'Final Calculation Sheet'!$Y$4)))))</f>
        <v/>
      </c>
      <c r="EF59">
        <f>IF($AA$4="",1,IF($AA$4="(blank)",--('Final Calculation Sheet'!$Z$4=""),IF($AA$4="(nonblank)",--('Final Calculation Sheet'!$Z$4&lt;&gt;""),--ISNUMBER(SEARCH($AA$4,'Final Calculation Sheet'!$Z$4)))))</f>
        <v/>
      </c>
      <c r="EG59">
        <f>IF($AB$4="",1,IF($AB$4="(blank)",--('Final Calculation Sheet'!$AA$4=""),IF($AB$4="(nonblank)",--('Final Calculation Sheet'!$AA$4&lt;&gt;""),--ISNUMBER(SEARCH($AB$4,'Final Calculation Sheet'!$AA$4)))))</f>
        <v/>
      </c>
      <c r="EH59">
        <f>IF($AC$4="",1,IF($AC$4="(blank)",--('Final Calculation Sheet'!$AB$4=""),IF($AC$4="(nonblank)",--('Final Calculation Sheet'!$AB$4&lt;&gt;""),--ISNUMBER(SEARCH($AC$4,'Final Calculation Sheet'!$AB$4)))))</f>
        <v/>
      </c>
      <c r="EI59">
        <f>IF($AD$4="",1,IF($AD$4="(blank)",--('Final Calculation Sheet'!$AC$4=""),IF($AD$4="(nonblank)",--('Final Calculation Sheet'!$AC$4&lt;&gt;""),--ISNUMBER(SEARCH($AD$4,'Final Calculation Sheet'!$AC$4)))))</f>
        <v/>
      </c>
      <c r="EJ59">
        <f>IF($AE$4="",1,IF($AE$4="(blank)",--('Final Calculation Sheet'!$AD$4=""),IF($AE$4="(nonblank)",--('Final Calculation Sheet'!$AD$4&lt;&gt;""),--ISNUMBER(SEARCH($AE$4,'Final Calculation Sheet'!$AD$4)))))</f>
        <v/>
      </c>
      <c r="EK59">
        <f>IF($AF$4="",1,IF($AF$4="(blank)",--(IF('Final Calculation Sheet'!$AD$4&lt;=5,"SETTLED","OUTSTANDING")=""),IF($AF$4="(nonblank)",--(IF('Final Calculation Sheet'!$AD$4&lt;=5,"SETTLED","OUTSTANDING")&lt;&gt;""),--ISNUMBER(SEARCH($AF$4,IF('Final Calculation Sheet'!$AD$4&lt;=5,"SETTLED","OUTSTANDING"))))))</f>
        <v/>
      </c>
      <c r="EL59">
        <f>IF($AG$4="",1,IF($AG$4="(blank)",--('Final Calculation Sheet'!$AF$4=""),IF($AG$4="(nonblank)",--('Final Calculation Sheet'!$AF$4&lt;&gt;""),--ISNUMBER(SEARCH($AG$4,'Final Calculation Sheet'!$AF$4)))))</f>
        <v/>
      </c>
      <c r="EM59">
        <f>IF($AH$4="",1,IF($AH$4="(blank)",--('Final Calculation Sheet'!$AG$4=""),IF($AH$4="(nonblank)",--('Final Calculation Sheet'!$AG$4&lt;&gt;""),--ISNUMBER(SEARCH($AH$4,'Final Calculation Sheet'!$AG$4)))))</f>
        <v/>
      </c>
      <c r="EN59">
        <f>IF($AI$4="",1,IF($AI$4="(blank)",--('Final Calculation Sheet'!$AH$4=""),IF($AI$4="(nonblank)",--('Final Calculation Sheet'!$AH$4&lt;&gt;""),--ISNUMBER(SEARCH($AI$4,'Final Calculation Sheet'!$AH$4)))))</f>
        <v/>
      </c>
    </row>
    <row r="60">
      <c r="AM60">
        <f>AM59+IF(AND(Lists!$O$7&lt;&gt;"",ISNUMBER(SEARCH($B$4,Lists!$O$7))),1,0)</f>
        <v/>
      </c>
      <c r="AN60">
        <f>IF(ROW()-56&gt;MAX($AM$57:$AM$95),"",INDEX(Lists!$O$4:$O$42,MATCH(ROW()-56,$AM$57:$AM$95,0)))</f>
        <v/>
      </c>
      <c r="AO60">
        <f>AO59+IF(AND(Lists!$T$7&lt;&gt;"",ISNUMBER(SEARCH($C$4,Lists!$T$7))),1,0)</f>
        <v/>
      </c>
      <c r="AP60">
        <f>IF(ROW()-56&gt;MAX($AO$57:$AO$95),"",INDEX(Lists!$T$4:$T$42,MATCH(ROW()-56,$AO$57:$AO$95,0)))</f>
        <v/>
      </c>
      <c r="AQ60">
        <f>AQ59+IF(AND(Lists!$Y$7&lt;&gt;"",ISNUMBER(SEARCH($D$4,Lists!$Y$7))),1,0)</f>
        <v/>
      </c>
      <c r="AR60">
        <f>IF(ROW()-56&gt;MAX($AQ$57:$AQ$95),"",INDEX(Lists!$Y$4:$Y$42,MATCH(ROW()-56,$AQ$57:$AQ$95,0)))</f>
        <v/>
      </c>
      <c r="AS60">
        <f>AS59+IF(AND(Lists!$AD$7&lt;&gt;"",ISNUMBER(SEARCH($E$4,Lists!$AD$7))),1,0)</f>
        <v/>
      </c>
      <c r="AT60">
        <f>IF(ROW()-56&gt;MAX($AS$57:$AS$95),"",INDEX(Lists!$AD$4:$AD$42,MATCH(ROW()-56,$AS$57:$AS$95,0)))</f>
        <v/>
      </c>
      <c r="AU60">
        <f>AU59+IF(AND(Lists!$AI$7&lt;&gt;"",ISNUMBER(SEARCH($F$4,Lists!$AI$7))),1,0)</f>
        <v/>
      </c>
      <c r="AV60">
        <f>IF(ROW()-56&gt;MAX($AU$57:$AU$95),"",INDEX(Lists!$AI$4:$AI$42,MATCH(ROW()-56,$AU$57:$AU$95,0)))</f>
        <v/>
      </c>
      <c r="AW60">
        <f>AW59+IF(AND(Lists!$AN$7&lt;&gt;"",ISNUMBER(SEARCH($G$4,Lists!$AN$7))),1,0)</f>
        <v/>
      </c>
      <c r="AX60">
        <f>IF(ROW()-56&gt;MAX($AW$57:$AW$95),"",INDEX(Lists!$AN$4:$AN$42,MATCH(ROW()-56,$AW$57:$AW$95,0)))</f>
        <v/>
      </c>
      <c r="AY60">
        <f>AY59+IF(AND(Lists!$AS$7&lt;&gt;"",ISNUMBER(SEARCH($H$4,Lists!$AS$7))),1,0)</f>
        <v/>
      </c>
      <c r="AZ60">
        <f>IF(ROW()-56&gt;MAX($AY$57:$AY$95),"",INDEX(Lists!$AS$4:$AS$42,MATCH(ROW()-56,$AY$57:$AY$95,0)))</f>
        <v/>
      </c>
      <c r="BA60">
        <f>BA59+IF(AND(Lists!$AX$7&lt;&gt;"",ISNUMBER(SEARCH($I$4,Lists!$AX$7))),1,0)</f>
        <v/>
      </c>
      <c r="BB60">
        <f>IF(ROW()-56&gt;MAX($BA$57:$BA$95),"",INDEX(Lists!$AX$4:$AX$42,MATCH(ROW()-56,$BA$57:$BA$95,0)))</f>
        <v/>
      </c>
      <c r="BC60">
        <f>BC59+IF(AND(Lists!$BC$7&lt;&gt;"",ISNUMBER(SEARCH($J$4,Lists!$BC$7))),1,0)</f>
        <v/>
      </c>
      <c r="BD60">
        <f>IF(ROW()-56&gt;MAX($BC$57:$BC$95),"",INDEX(Lists!$BC$4:$BC$42,MATCH(ROW()-56,$BC$57:$BC$95,0)))</f>
        <v/>
      </c>
      <c r="BE60">
        <f>BE59+IF(AND(Lists!$BH$7&lt;&gt;"",ISNUMBER(SEARCH($K$4,Lists!$BH$7))),1,0)</f>
        <v/>
      </c>
      <c r="BF60">
        <f>IF(ROW()-56&gt;MAX($BE$57:$BE$95),"",INDEX(Lists!$BH$4:$BH$42,MATCH(ROW()-56,$BE$57:$BE$95,0)))</f>
        <v/>
      </c>
      <c r="BG60">
        <f>BG59+IF(AND(Lists!$BM$7&lt;&gt;"",ISNUMBER(SEARCH($L$4,Lists!$BM$7))),1,0)</f>
        <v/>
      </c>
      <c r="BH60">
        <f>IF(ROW()-56&gt;MAX($BG$57:$BG$95),"",INDEX(Lists!$BM$4:$BM$42,MATCH(ROW()-56,$BG$57:$BG$95,0)))</f>
        <v/>
      </c>
      <c r="BI60">
        <f>BI59+IF(AND(Lists!$BR$7&lt;&gt;"",ISNUMBER(SEARCH($M$4,Lists!$BR$7))),1,0)</f>
        <v/>
      </c>
      <c r="BJ60">
        <f>IF(ROW()-56&gt;MAX($BI$57:$BI$95),"",INDEX(Lists!$BR$4:$BR$42,MATCH(ROW()-56,$BI$57:$BI$95,0)))</f>
        <v/>
      </c>
      <c r="BK60">
        <f>BK59+IF(AND(Lists!$BW$7&lt;&gt;"",ISNUMBER(SEARCH($N$4,Lists!$BW$7))),1,0)</f>
        <v/>
      </c>
      <c r="BL60">
        <f>IF(ROW()-56&gt;MAX($BK$57:$BK$95),"",INDEX(Lists!$BW$4:$BW$42,MATCH(ROW()-56,$BK$57:$BK$95,0)))</f>
        <v/>
      </c>
      <c r="BM60">
        <f>BM59+IF(AND(Lists!$CB$7&lt;&gt;"",ISNUMBER(SEARCH($O$4,Lists!$CB$7))),1,0)</f>
        <v/>
      </c>
      <c r="BN60">
        <f>IF(ROW()-56&gt;MAX($BM$57:$BM$95),"",INDEX(Lists!$CB$4:$CB$42,MATCH(ROW()-56,$BM$57:$BM$95,0)))</f>
        <v/>
      </c>
      <c r="BO60">
        <f>BO59+IF(AND(Lists!$CG$7&lt;&gt;"",ISNUMBER(SEARCH($P$4,Lists!$CG$7))),1,0)</f>
        <v/>
      </c>
      <c r="BP60">
        <f>IF(ROW()-56&gt;MAX($BO$57:$BO$95),"",INDEX(Lists!$CG$4:$CG$42,MATCH(ROW()-56,$BO$57:$BO$95,0)))</f>
        <v/>
      </c>
      <c r="BQ60">
        <f>BQ59+IF(AND(Lists!$CL$7&lt;&gt;"",ISNUMBER(SEARCH($Q$4,Lists!$CL$7))),1,0)</f>
        <v/>
      </c>
      <c r="BR60">
        <f>IF(ROW()-56&gt;MAX($BQ$57:$BQ$95),"",INDEX(Lists!$CL$4:$CL$42,MATCH(ROW()-56,$BQ$57:$BQ$95,0)))</f>
        <v/>
      </c>
      <c r="BS60">
        <f>BS59+IF(AND(Lists!$CQ$7&lt;&gt;"",ISNUMBER(SEARCH($R$4,Lists!$CQ$7))),1,0)</f>
        <v/>
      </c>
      <c r="BT60">
        <f>IF(ROW()-56&gt;MAX($BS$57:$BS$95),"",INDEX(Lists!$CQ$4:$CQ$42,MATCH(ROW()-56,$BS$57:$BS$95,0)))</f>
        <v/>
      </c>
      <c r="BU60">
        <f>BU59+IF(AND(Lists!$CV$7&lt;&gt;"",ISNUMBER(SEARCH($S$4,Lists!$CV$7))),1,0)</f>
        <v/>
      </c>
      <c r="BV60">
        <f>IF(ROW()-56&gt;MAX($BU$57:$BU$95),"",INDEX(Lists!$CV$4:$CV$42,MATCH(ROW()-56,$BU$57:$BU$95,0)))</f>
        <v/>
      </c>
      <c r="BW60">
        <f>BW59+IF(AND(Lists!$DA$7&lt;&gt;"",ISNUMBER(SEARCH($T$4,Lists!$DA$7))),1,0)</f>
        <v/>
      </c>
      <c r="BX60">
        <f>IF(ROW()-56&gt;MAX($BW$57:$BW$95),"",INDEX(Lists!$DA$4:$DA$42,MATCH(ROW()-56,$BW$57:$BW$95,0)))</f>
        <v/>
      </c>
      <c r="BY60">
        <f>BY59+IF(AND(Lists!$DF$7&lt;&gt;"",ISNUMBER(SEARCH($U$4,Lists!$DF$7))),1,0)</f>
        <v/>
      </c>
      <c r="BZ60">
        <f>IF(ROW()-56&gt;MAX($BY$57:$BY$95),"",INDEX(Lists!$DF$4:$DF$42,MATCH(ROW()-56,$BY$57:$BY$95,0)))</f>
        <v/>
      </c>
      <c r="CA60">
        <f>CA59+IF(AND(Lists!$DK$7&lt;&gt;"",ISNUMBER(SEARCH($V$4,Lists!$DK$7))),1,0)</f>
        <v/>
      </c>
      <c r="CB60">
        <f>IF(ROW()-56&gt;MAX($CA$57:$CA$95),"",INDEX(Lists!$DK$4:$DK$42,MATCH(ROW()-56,$CA$57:$CA$95,0)))</f>
        <v/>
      </c>
      <c r="CC60">
        <f>CC59+IF(AND(Lists!$DP$7&lt;&gt;"",ISNUMBER(SEARCH($W$4,Lists!$DP$7))),1,0)</f>
        <v/>
      </c>
      <c r="CD60">
        <f>IF(ROW()-56&gt;MAX($CC$57:$CC$95),"",INDEX(Lists!$DP$4:$DP$42,MATCH(ROW()-56,$CC$57:$CC$95,0)))</f>
        <v/>
      </c>
      <c r="CE60">
        <f>CE59+IF(AND(Lists!$DU$7&lt;&gt;"",ISNUMBER(SEARCH($X$4,Lists!$DU$7))),1,0)</f>
        <v/>
      </c>
      <c r="CF60">
        <f>IF(ROW()-56&gt;MAX($CE$57:$CE$95),"",INDEX(Lists!$DU$4:$DU$42,MATCH(ROW()-56,$CE$57:$CE$95,0)))</f>
        <v/>
      </c>
      <c r="CG60">
        <f>CG59+IF(AND(Lists!$DZ$7&lt;&gt;"",ISNUMBER(SEARCH($Y$4,Lists!$DZ$7))),1,0)</f>
        <v/>
      </c>
      <c r="CH60">
        <f>IF(ROW()-56&gt;MAX($CG$57:$CG$95),"",INDEX(Lists!$DZ$4:$DZ$42,MATCH(ROW()-56,$CG$57:$CG$95,0)))</f>
        <v/>
      </c>
      <c r="CI60">
        <f>CI59+IF(AND(Lists!$EE$7&lt;&gt;"",ISNUMBER(SEARCH($Z$4,Lists!$EE$7))),1,0)</f>
        <v/>
      </c>
      <c r="CJ60">
        <f>IF(ROW()-56&gt;MAX($CI$57:$CI$95),"",INDEX(Lists!$EE$4:$EE$42,MATCH(ROW()-56,$CI$57:$CI$95,0)))</f>
        <v/>
      </c>
      <c r="CK60">
        <f>CK59+IF(AND(Lists!$EJ$7&lt;&gt;"",ISNUMBER(SEARCH($AA$4,Lists!$EJ$7))),1,0)</f>
        <v/>
      </c>
      <c r="CL60">
        <f>IF(ROW()-56&gt;MAX($CK$57:$CK$95),"",INDEX(Lists!$EJ$4:$EJ$42,MATCH(ROW()-56,$CK$57:$CK$95,0)))</f>
        <v/>
      </c>
      <c r="CM60">
        <f>CM59+IF(AND(Lists!$EO$7&lt;&gt;"",ISNUMBER(SEARCH($AB$4,Lists!$EO$7))),1,0)</f>
        <v/>
      </c>
      <c r="CN60">
        <f>IF(ROW()-56&gt;MAX($CM$57:$CM$95),"",INDEX(Lists!$EO$4:$EO$42,MATCH(ROW()-56,$CM$57:$CM$95,0)))</f>
        <v/>
      </c>
      <c r="CO60">
        <f>CO59+IF(AND(Lists!$ET$7&lt;&gt;"",ISNUMBER(SEARCH($AC$4,Lists!$ET$7))),1,0)</f>
        <v/>
      </c>
      <c r="CP60">
        <f>IF(ROW()-56&gt;MAX($CO$57:$CO$95),"",INDEX(Lists!$ET$4:$ET$42,MATCH(ROW()-56,$CO$57:$CO$95,0)))</f>
        <v/>
      </c>
      <c r="CQ60">
        <f>CQ59+IF(AND(Lists!$EY$7&lt;&gt;"",ISNUMBER(SEARCH($AD$4,Lists!$EY$7))),1,0)</f>
        <v/>
      </c>
      <c r="CR60">
        <f>IF(ROW()-56&gt;MAX($CQ$57:$CQ$95),"",INDEX(Lists!$EY$4:$EY$42,MATCH(ROW()-56,$CQ$57:$CQ$95,0)))</f>
        <v/>
      </c>
      <c r="CS60">
        <f>CS59+IF(AND(Lists!$FD$7&lt;&gt;"",ISNUMBER(SEARCH($AE$4,Lists!$FD$7))),1,0)</f>
        <v/>
      </c>
      <c r="CT60">
        <f>IF(ROW()-56&gt;MAX($CS$57:$CS$95),"",INDEX(Lists!$FD$4:$FD$42,MATCH(ROW()-56,$CS$57:$CS$95,0)))</f>
        <v/>
      </c>
      <c r="CU60">
        <f>CU59+IF(AND(Lists!$FI$7&lt;&gt;"",ISNUMBER(SEARCH($AG$4,Lists!$FI$7))),1,0)</f>
        <v/>
      </c>
      <c r="CV60">
        <f>IF(ROW()-56&gt;MAX($CU$57:$CU$95),"",INDEX(Lists!$FI$4:$FI$42,MATCH(ROW()-56,$CU$57:$CU$95,0)))</f>
        <v/>
      </c>
      <c r="CW60">
        <f>CW59+IF(AND(Lists!$FN$7&lt;&gt;"",ISNUMBER(SEARCH($AH$4,Lists!$FN$7))),1,0)</f>
        <v/>
      </c>
      <c r="CX60">
        <f>IF(ROW()-56&gt;MAX($CW$57:$CW$95),"",INDEX(Lists!$FN$4:$FN$42,MATCH(ROW()-56,$CW$57:$CW$95,0)))</f>
        <v/>
      </c>
      <c r="CY60">
        <f>CY59+IF(AND(Lists!$FS$7&lt;&gt;"",ISNUMBER(SEARCH($AI$4,Lists!$FS$7))),1,0)</f>
        <v/>
      </c>
      <c r="CZ60">
        <f>IF(ROW()-56&gt;MAX($CY$57:$CY$95),"",INDEX(Lists!$FS$4:$FS$42,MATCH(ROW()-56,$CY$57:$CY$95,0)))</f>
        <v/>
      </c>
      <c r="DA60">
        <f>DA59+IF(AND(Lists!$FX$7&lt;&gt;"",ISNUMBER(SEARCH($AF$4,Lists!$FX$7))),1,0)</f>
        <v/>
      </c>
      <c r="DB60">
        <f>IF(ROW()-56&gt;MAX($DA$57:$DA$95),"",INDEX(Lists!$FX$4:$FX$42,MATCH(ROW()-56,$DA$57:$DA$95,0)))</f>
        <v/>
      </c>
      <c r="DG60">
        <f>IF($B$4="",1,IF($B$4="(blank)",--('Final Calculation Sheet'!$F$5=""),IF($B$4="(nonblank)",--('Final Calculation Sheet'!$F$5&lt;&gt;""),--ISNUMBER(SEARCH($B$4,'Final Calculation Sheet'!$F$5)))))</f>
        <v/>
      </c>
      <c r="DH60">
        <f>IF($C$4="",1,IF($C$4="(blank)",--('Final Calculation Sheet'!$G$5=""),IF($C$4="(nonblank)",--('Final Calculation Sheet'!$G$5&lt;&gt;""),--ISNUMBER(SEARCH($C$4,'Final Calculation Sheet'!$G$5)))))</f>
        <v/>
      </c>
      <c r="DI60">
        <f>IF($D$4="",1,IF($D$4="(blank)",--('Final Calculation Sheet'!$B$5=""),IF($D$4="(nonblank)",--('Final Calculation Sheet'!$B$5&lt;&gt;""),--ISNUMBER(SEARCH($D$4,'Final Calculation Sheet'!$B$5)))))</f>
        <v/>
      </c>
      <c r="DJ60">
        <f>IF($E$4="",1,IF($E$4="(blank)",--('Final Calculation Sheet'!$D$5=""),IF($E$4="(nonblank)",--('Final Calculation Sheet'!$D$5&lt;&gt;""),--ISNUMBER(SEARCH($E$4,'Final Calculation Sheet'!$D$5)))))</f>
        <v/>
      </c>
      <c r="DK60">
        <f>IF($F$4="",1,IF($F$4="(blank)",--('Final Calculation Sheet'!$A$5=""),IF($F$4="(nonblank)",--('Final Calculation Sheet'!$A$5&lt;&gt;""),--ISNUMBER(SEARCH($F$4,'Final Calculation Sheet'!$A$5)))))</f>
        <v/>
      </c>
      <c r="DL60">
        <f>IF($G$4="",1,IF($G$4="(blank)",--('Final Calculation Sheet'!$E$5=""),IF($G$4="(nonblank)",--('Final Calculation Sheet'!$E$5&lt;&gt;""),--ISNUMBER(SEARCH($G$4,'Final Calculation Sheet'!$E$5)))))</f>
        <v/>
      </c>
      <c r="DM60">
        <f>IF($H$4="",1,IF($H$4="(blank)",--('Final Calculation Sheet'!$C$5=""),IF($H$4="(nonblank)",--('Final Calculation Sheet'!$C$5&lt;&gt;""),--ISNUMBER(SEARCH($H$4,'Final Calculation Sheet'!$C$5)))))</f>
        <v/>
      </c>
      <c r="DN60">
        <f>IF($I$4="",1,IF($I$4="(blank)",--('Final Calculation Sheet'!$H$5=""),IF($I$4="(nonblank)",--('Final Calculation Sheet'!$H$5&lt;&gt;""),--ISNUMBER(SEARCH($I$4,'Final Calculation Sheet'!$H$5)))))</f>
        <v/>
      </c>
      <c r="DO60">
        <f>IF($J$4="",1,IF($J$4="(blank)",--('Final Calculation Sheet'!$I$5=""),IF($J$4="(nonblank)",--('Final Calculation Sheet'!$I$5&lt;&gt;""),--ISNUMBER(SEARCH($J$4,'Final Calculation Sheet'!$I$5)))))</f>
        <v/>
      </c>
      <c r="DP60">
        <f>IF($K$4="",1,IF($K$4="(blank)",--('Final Calculation Sheet'!$J$5=""),IF($K$4="(nonblank)",--('Final Calculation Sheet'!$J$5&lt;&gt;""),--ISNUMBER(SEARCH($K$4,'Final Calculation Sheet'!$J$5)))))</f>
        <v/>
      </c>
      <c r="DQ60">
        <f>IF($L$4="",1,IF($L$4="(blank)",--('Final Calculation Sheet'!$K$5=""),IF($L$4="(nonblank)",--('Final Calculation Sheet'!$K$5&lt;&gt;""),--ISNUMBER(SEARCH($L$4,'Final Calculation Sheet'!$K$5)))))</f>
        <v/>
      </c>
      <c r="DR60">
        <f>IF($M$4="",1,IF($M$4="(blank)",--('Final Calculation Sheet'!$L$5=""),IF($M$4="(nonblank)",--('Final Calculation Sheet'!$L$5&lt;&gt;""),--ISNUMBER(SEARCH($M$4,'Final Calculation Sheet'!$L$5)))))</f>
        <v/>
      </c>
      <c r="DS60">
        <f>IF($N$4="",1,IF($N$4="(blank)",--('Final Calculation Sheet'!$M$5=""),IF($N$4="(nonblank)",--('Final Calculation Sheet'!$M$5&lt;&gt;""),--ISNUMBER(SEARCH($N$4,'Final Calculation Sheet'!$M$5)))))</f>
        <v/>
      </c>
      <c r="DT60">
        <f>IF($O$4="",1,IF($O$4="(blank)",--('Final Calculation Sheet'!$N$5=""),IF($O$4="(nonblank)",--('Final Calculation Sheet'!$N$5&lt;&gt;""),--ISNUMBER(SEARCH($O$4,'Final Calculation Sheet'!$N$5)))))</f>
        <v/>
      </c>
      <c r="DU60">
        <f>IF($P$4="",1,IF($P$4="(blank)",--('Final Calculation Sheet'!$O$5=""),IF($P$4="(nonblank)",--('Final Calculation Sheet'!$O$5&lt;&gt;""),--ISNUMBER(SEARCH($P$4,'Final Calculation Sheet'!$O$5)))))</f>
        <v/>
      </c>
      <c r="DV60">
        <f>IF($Q$4="",1,IF($Q$4="(blank)",--('Final Calculation Sheet'!$P$5=""),IF($Q$4="(nonblank)",--('Final Calculation Sheet'!$P$5&lt;&gt;""),--ISNUMBER(SEARCH($Q$4,'Final Calculation Sheet'!$P$5)))))</f>
        <v/>
      </c>
      <c r="DW60">
        <f>IF($R$4="",1,IF($R$4="(blank)",--('Final Calculation Sheet'!$Q$5=""),IF($R$4="(nonblank)",--('Final Calculation Sheet'!$Q$5&lt;&gt;""),--ISNUMBER(SEARCH($R$4,'Final Calculation Sheet'!$Q$5)))))</f>
        <v/>
      </c>
      <c r="DX60">
        <f>IF($S$4="",1,IF($S$4="(blank)",--('Final Calculation Sheet'!$R$5=""),IF($S$4="(nonblank)",--('Final Calculation Sheet'!$R$5&lt;&gt;""),--ISNUMBER(SEARCH($S$4,'Final Calculation Sheet'!$R$5)))))</f>
        <v/>
      </c>
      <c r="DY60">
        <f>IF($T$4="",1,IF($T$4="(blank)",--('Final Calculation Sheet'!$S$5=""),IF($T$4="(nonblank)",--('Final Calculation Sheet'!$S$5&lt;&gt;""),--ISNUMBER(SEARCH($T$4,'Final Calculation Sheet'!$S$5)))))</f>
        <v/>
      </c>
      <c r="DZ60">
        <f>IF($U$4="",1,IF($U$4="(blank)",--('Final Calculation Sheet'!$T$5=""),IF($U$4="(nonblank)",--('Final Calculation Sheet'!$T$5&lt;&gt;""),--ISNUMBER(SEARCH($U$4,'Final Calculation Sheet'!$T$5)))))</f>
        <v/>
      </c>
      <c r="EA60">
        <f>IF($V$4="",1,IF($V$4="(blank)",--('Final Calculation Sheet'!$U$5=""),IF($V$4="(nonblank)",--('Final Calculation Sheet'!$U$5&lt;&gt;""),--ISNUMBER(SEARCH($V$4,'Final Calculation Sheet'!$U$5)))))</f>
        <v/>
      </c>
      <c r="EB60">
        <f>IF($W$4="",1,IF($W$4="(blank)",--('Final Calculation Sheet'!$V$5=""),IF($W$4="(nonblank)",--('Final Calculation Sheet'!$V$5&lt;&gt;""),--ISNUMBER(SEARCH($W$4,'Final Calculation Sheet'!$V$5)))))</f>
        <v/>
      </c>
      <c r="EC60">
        <f>IF($X$4="",1,IF($X$4="(blank)",--('Final Calculation Sheet'!$W$5=""),IF($X$4="(nonblank)",--('Final Calculation Sheet'!$W$5&lt;&gt;""),--ISNUMBER(SEARCH($X$4,'Final Calculation Sheet'!$W$5)))))</f>
        <v/>
      </c>
      <c r="ED60">
        <f>IF($Y$4="",1,IF($Y$4="(blank)",--('Final Calculation Sheet'!$X$5=""),IF($Y$4="(nonblank)",--('Final Calculation Sheet'!$X$5&lt;&gt;""),--ISNUMBER(SEARCH($Y$4,'Final Calculation Sheet'!$X$5)))))</f>
        <v/>
      </c>
      <c r="EE60">
        <f>IF($Z$4="",1,IF($Z$4="(blank)",--('Final Calculation Sheet'!$Y$5=""),IF($Z$4="(nonblank)",--('Final Calculation Sheet'!$Y$5&lt;&gt;""),--ISNUMBER(SEARCH($Z$4,'Final Calculation Sheet'!$Y$5)))))</f>
        <v/>
      </c>
      <c r="EF60">
        <f>IF($AA$4="",1,IF($AA$4="(blank)",--('Final Calculation Sheet'!$Z$5=""),IF($AA$4="(nonblank)",--('Final Calculation Sheet'!$Z$5&lt;&gt;""),--ISNUMBER(SEARCH($AA$4,'Final Calculation Sheet'!$Z$5)))))</f>
        <v/>
      </c>
      <c r="EG60">
        <f>IF($AB$4="",1,IF($AB$4="(blank)",--('Final Calculation Sheet'!$AA$5=""),IF($AB$4="(nonblank)",--('Final Calculation Sheet'!$AA$5&lt;&gt;""),--ISNUMBER(SEARCH($AB$4,'Final Calculation Sheet'!$AA$5)))))</f>
        <v/>
      </c>
      <c r="EH60">
        <f>IF($AC$4="",1,IF($AC$4="(blank)",--('Final Calculation Sheet'!$AB$5=""),IF($AC$4="(nonblank)",--('Final Calculation Sheet'!$AB$5&lt;&gt;""),--ISNUMBER(SEARCH($AC$4,'Final Calculation Sheet'!$AB$5)))))</f>
        <v/>
      </c>
      <c r="EI60">
        <f>IF($AD$4="",1,IF($AD$4="(blank)",--('Final Calculation Sheet'!$AC$5=""),IF($AD$4="(nonblank)",--('Final Calculation Sheet'!$AC$5&lt;&gt;""),--ISNUMBER(SEARCH($AD$4,'Final Calculation Sheet'!$AC$5)))))</f>
        <v/>
      </c>
      <c r="EJ60">
        <f>IF($AE$4="",1,IF($AE$4="(blank)",--('Final Calculation Sheet'!$AD$5=""),IF($AE$4="(nonblank)",--('Final Calculation Sheet'!$AD$5&lt;&gt;""),--ISNUMBER(SEARCH($AE$4,'Final Calculation Sheet'!$AD$5)))))</f>
        <v/>
      </c>
      <c r="EK60">
        <f>IF($AF$4="",1,IF($AF$4="(blank)",--(IF('Final Calculation Sheet'!$AD$5&lt;=5,"SETTLED","OUTSTANDING")=""),IF($AF$4="(nonblank)",--(IF('Final Calculation Sheet'!$AD$5&lt;=5,"SETTLED","OUTSTANDING")&lt;&gt;""),--ISNUMBER(SEARCH($AF$4,IF('Final Calculation Sheet'!$AD$5&lt;=5,"SETTLED","OUTSTANDING"))))))</f>
        <v/>
      </c>
      <c r="EL60">
        <f>IF($AG$4="",1,IF($AG$4="(blank)",--('Final Calculation Sheet'!$AF$5=""),IF($AG$4="(nonblank)",--('Final Calculation Sheet'!$AF$5&lt;&gt;""),--ISNUMBER(SEARCH($AG$4,'Final Calculation Sheet'!$AF$5)))))</f>
        <v/>
      </c>
      <c r="EM60">
        <f>IF($AH$4="",1,IF($AH$4="(blank)",--('Final Calculation Sheet'!$AG$5=""),IF($AH$4="(nonblank)",--('Final Calculation Sheet'!$AG$5&lt;&gt;""),--ISNUMBER(SEARCH($AH$4,'Final Calculation Sheet'!$AG$5)))))</f>
        <v/>
      </c>
      <c r="EN60">
        <f>IF($AI$4="",1,IF($AI$4="(blank)",--('Final Calculation Sheet'!$AH$5=""),IF($AI$4="(nonblank)",--('Final Calculation Sheet'!$AH$5&lt;&gt;""),--ISNUMBER(SEARCH($AI$4,'Final Calculation Sheet'!$AH$5)))))</f>
        <v/>
      </c>
    </row>
    <row r="61">
      <c r="AM61">
        <f>AM60+IF(AND(Lists!$O$8&lt;&gt;"",ISNUMBER(SEARCH($B$4,Lists!$O$8))),1,0)</f>
        <v/>
      </c>
      <c r="AN61">
        <f>IF(ROW()-56&gt;MAX($AM$57:$AM$95),"",INDEX(Lists!$O$4:$O$42,MATCH(ROW()-56,$AM$57:$AM$95,0)))</f>
        <v/>
      </c>
      <c r="AO61">
        <f>AO60+IF(AND(Lists!$T$8&lt;&gt;"",ISNUMBER(SEARCH($C$4,Lists!$T$8))),1,0)</f>
        <v/>
      </c>
      <c r="AP61">
        <f>IF(ROW()-56&gt;MAX($AO$57:$AO$95),"",INDEX(Lists!$T$4:$T$42,MATCH(ROW()-56,$AO$57:$AO$95,0)))</f>
        <v/>
      </c>
      <c r="AQ61">
        <f>AQ60+IF(AND(Lists!$Y$8&lt;&gt;"",ISNUMBER(SEARCH($D$4,Lists!$Y$8))),1,0)</f>
        <v/>
      </c>
      <c r="AR61">
        <f>IF(ROW()-56&gt;MAX($AQ$57:$AQ$95),"",INDEX(Lists!$Y$4:$Y$42,MATCH(ROW()-56,$AQ$57:$AQ$95,0)))</f>
        <v/>
      </c>
      <c r="AS61">
        <f>AS60+IF(AND(Lists!$AD$8&lt;&gt;"",ISNUMBER(SEARCH($E$4,Lists!$AD$8))),1,0)</f>
        <v/>
      </c>
      <c r="AT61">
        <f>IF(ROW()-56&gt;MAX($AS$57:$AS$95),"",INDEX(Lists!$AD$4:$AD$42,MATCH(ROW()-56,$AS$57:$AS$95,0)))</f>
        <v/>
      </c>
      <c r="AU61">
        <f>AU60+IF(AND(Lists!$AI$8&lt;&gt;"",ISNUMBER(SEARCH($F$4,Lists!$AI$8))),1,0)</f>
        <v/>
      </c>
      <c r="AV61">
        <f>IF(ROW()-56&gt;MAX($AU$57:$AU$95),"",INDEX(Lists!$AI$4:$AI$42,MATCH(ROW()-56,$AU$57:$AU$95,0)))</f>
        <v/>
      </c>
      <c r="AW61">
        <f>AW60+IF(AND(Lists!$AN$8&lt;&gt;"",ISNUMBER(SEARCH($G$4,Lists!$AN$8))),1,0)</f>
        <v/>
      </c>
      <c r="AX61">
        <f>IF(ROW()-56&gt;MAX($AW$57:$AW$95),"",INDEX(Lists!$AN$4:$AN$42,MATCH(ROW()-56,$AW$57:$AW$95,0)))</f>
        <v/>
      </c>
      <c r="AY61">
        <f>AY60+IF(AND(Lists!$AS$8&lt;&gt;"",ISNUMBER(SEARCH($H$4,Lists!$AS$8))),1,0)</f>
        <v/>
      </c>
      <c r="AZ61">
        <f>IF(ROW()-56&gt;MAX($AY$57:$AY$95),"",INDEX(Lists!$AS$4:$AS$42,MATCH(ROW()-56,$AY$57:$AY$95,0)))</f>
        <v/>
      </c>
      <c r="BA61">
        <f>BA60+IF(AND(Lists!$AX$8&lt;&gt;"",ISNUMBER(SEARCH($I$4,Lists!$AX$8))),1,0)</f>
        <v/>
      </c>
      <c r="BB61">
        <f>IF(ROW()-56&gt;MAX($BA$57:$BA$95),"",INDEX(Lists!$AX$4:$AX$42,MATCH(ROW()-56,$BA$57:$BA$95,0)))</f>
        <v/>
      </c>
      <c r="BC61">
        <f>BC60+IF(AND(Lists!$BC$8&lt;&gt;"",ISNUMBER(SEARCH($J$4,Lists!$BC$8))),1,0)</f>
        <v/>
      </c>
      <c r="BD61">
        <f>IF(ROW()-56&gt;MAX($BC$57:$BC$95),"",INDEX(Lists!$BC$4:$BC$42,MATCH(ROW()-56,$BC$57:$BC$95,0)))</f>
        <v/>
      </c>
      <c r="BE61">
        <f>BE60+IF(AND(Lists!$BH$8&lt;&gt;"",ISNUMBER(SEARCH($K$4,Lists!$BH$8))),1,0)</f>
        <v/>
      </c>
      <c r="BF61">
        <f>IF(ROW()-56&gt;MAX($BE$57:$BE$95),"",INDEX(Lists!$BH$4:$BH$42,MATCH(ROW()-56,$BE$57:$BE$95,0)))</f>
        <v/>
      </c>
      <c r="BG61">
        <f>BG60+IF(AND(Lists!$BM$8&lt;&gt;"",ISNUMBER(SEARCH($L$4,Lists!$BM$8))),1,0)</f>
        <v/>
      </c>
      <c r="BH61">
        <f>IF(ROW()-56&gt;MAX($BG$57:$BG$95),"",INDEX(Lists!$BM$4:$BM$42,MATCH(ROW()-56,$BG$57:$BG$95,0)))</f>
        <v/>
      </c>
      <c r="BI61">
        <f>BI60+IF(AND(Lists!$BR$8&lt;&gt;"",ISNUMBER(SEARCH($M$4,Lists!$BR$8))),1,0)</f>
        <v/>
      </c>
      <c r="BJ61">
        <f>IF(ROW()-56&gt;MAX($BI$57:$BI$95),"",INDEX(Lists!$BR$4:$BR$42,MATCH(ROW()-56,$BI$57:$BI$95,0)))</f>
        <v/>
      </c>
      <c r="BK61">
        <f>BK60+IF(AND(Lists!$BW$8&lt;&gt;"",ISNUMBER(SEARCH($N$4,Lists!$BW$8))),1,0)</f>
        <v/>
      </c>
      <c r="BL61">
        <f>IF(ROW()-56&gt;MAX($BK$57:$BK$95),"",INDEX(Lists!$BW$4:$BW$42,MATCH(ROW()-56,$BK$57:$BK$95,0)))</f>
        <v/>
      </c>
      <c r="BM61">
        <f>BM60+IF(AND(Lists!$CB$8&lt;&gt;"",ISNUMBER(SEARCH($O$4,Lists!$CB$8))),1,0)</f>
        <v/>
      </c>
      <c r="BN61">
        <f>IF(ROW()-56&gt;MAX($BM$57:$BM$95),"",INDEX(Lists!$CB$4:$CB$42,MATCH(ROW()-56,$BM$57:$BM$95,0)))</f>
        <v/>
      </c>
      <c r="BO61">
        <f>BO60+IF(AND(Lists!$CG$8&lt;&gt;"",ISNUMBER(SEARCH($P$4,Lists!$CG$8))),1,0)</f>
        <v/>
      </c>
      <c r="BP61">
        <f>IF(ROW()-56&gt;MAX($BO$57:$BO$95),"",INDEX(Lists!$CG$4:$CG$42,MATCH(ROW()-56,$BO$57:$BO$95,0)))</f>
        <v/>
      </c>
      <c r="BQ61">
        <f>BQ60+IF(AND(Lists!$CL$8&lt;&gt;"",ISNUMBER(SEARCH($Q$4,Lists!$CL$8))),1,0)</f>
        <v/>
      </c>
      <c r="BR61">
        <f>IF(ROW()-56&gt;MAX($BQ$57:$BQ$95),"",INDEX(Lists!$CL$4:$CL$42,MATCH(ROW()-56,$BQ$57:$BQ$95,0)))</f>
        <v/>
      </c>
      <c r="BS61">
        <f>BS60+IF(AND(Lists!$CQ$8&lt;&gt;"",ISNUMBER(SEARCH($R$4,Lists!$CQ$8))),1,0)</f>
        <v/>
      </c>
      <c r="BT61">
        <f>IF(ROW()-56&gt;MAX($BS$57:$BS$95),"",INDEX(Lists!$CQ$4:$CQ$42,MATCH(ROW()-56,$BS$57:$BS$95,0)))</f>
        <v/>
      </c>
      <c r="BU61">
        <f>BU60+IF(AND(Lists!$CV$8&lt;&gt;"",ISNUMBER(SEARCH($S$4,Lists!$CV$8))),1,0)</f>
        <v/>
      </c>
      <c r="BV61">
        <f>IF(ROW()-56&gt;MAX($BU$57:$BU$95),"",INDEX(Lists!$CV$4:$CV$42,MATCH(ROW()-56,$BU$57:$BU$95,0)))</f>
        <v/>
      </c>
      <c r="BW61">
        <f>BW60+IF(AND(Lists!$DA$8&lt;&gt;"",ISNUMBER(SEARCH($T$4,Lists!$DA$8))),1,0)</f>
        <v/>
      </c>
      <c r="BX61">
        <f>IF(ROW()-56&gt;MAX($BW$57:$BW$95),"",INDEX(Lists!$DA$4:$DA$42,MATCH(ROW()-56,$BW$57:$BW$95,0)))</f>
        <v/>
      </c>
      <c r="BY61">
        <f>BY60+IF(AND(Lists!$DF$8&lt;&gt;"",ISNUMBER(SEARCH($U$4,Lists!$DF$8))),1,0)</f>
        <v/>
      </c>
      <c r="BZ61">
        <f>IF(ROW()-56&gt;MAX($BY$57:$BY$95),"",INDEX(Lists!$DF$4:$DF$42,MATCH(ROW()-56,$BY$57:$BY$95,0)))</f>
        <v/>
      </c>
      <c r="CA61">
        <f>CA60+IF(AND(Lists!$DK$8&lt;&gt;"",ISNUMBER(SEARCH($V$4,Lists!$DK$8))),1,0)</f>
        <v/>
      </c>
      <c r="CB61">
        <f>IF(ROW()-56&gt;MAX($CA$57:$CA$95),"",INDEX(Lists!$DK$4:$DK$42,MATCH(ROW()-56,$CA$57:$CA$95,0)))</f>
        <v/>
      </c>
      <c r="CC61">
        <f>CC60+IF(AND(Lists!$DP$8&lt;&gt;"",ISNUMBER(SEARCH($W$4,Lists!$DP$8))),1,0)</f>
        <v/>
      </c>
      <c r="CD61">
        <f>IF(ROW()-56&gt;MAX($CC$57:$CC$95),"",INDEX(Lists!$DP$4:$DP$42,MATCH(ROW()-56,$CC$57:$CC$95,0)))</f>
        <v/>
      </c>
      <c r="CE61">
        <f>CE60+IF(AND(Lists!$DU$8&lt;&gt;"",ISNUMBER(SEARCH($X$4,Lists!$DU$8))),1,0)</f>
        <v/>
      </c>
      <c r="CF61">
        <f>IF(ROW()-56&gt;MAX($CE$57:$CE$95),"",INDEX(Lists!$DU$4:$DU$42,MATCH(ROW()-56,$CE$57:$CE$95,0)))</f>
        <v/>
      </c>
      <c r="CG61">
        <f>CG60+IF(AND(Lists!$DZ$8&lt;&gt;"",ISNUMBER(SEARCH($Y$4,Lists!$DZ$8))),1,0)</f>
        <v/>
      </c>
      <c r="CH61">
        <f>IF(ROW()-56&gt;MAX($CG$57:$CG$95),"",INDEX(Lists!$DZ$4:$DZ$42,MATCH(ROW()-56,$CG$57:$CG$95,0)))</f>
        <v/>
      </c>
      <c r="CI61">
        <f>CI60+IF(AND(Lists!$EE$8&lt;&gt;"",ISNUMBER(SEARCH($Z$4,Lists!$EE$8))),1,0)</f>
        <v/>
      </c>
      <c r="CJ61">
        <f>IF(ROW()-56&gt;MAX($CI$57:$CI$95),"",INDEX(Lists!$EE$4:$EE$42,MATCH(ROW()-56,$CI$57:$CI$95,0)))</f>
        <v/>
      </c>
      <c r="CK61">
        <f>CK60+IF(AND(Lists!$EJ$8&lt;&gt;"",ISNUMBER(SEARCH($AA$4,Lists!$EJ$8))),1,0)</f>
        <v/>
      </c>
      <c r="CL61">
        <f>IF(ROW()-56&gt;MAX($CK$57:$CK$95),"",INDEX(Lists!$EJ$4:$EJ$42,MATCH(ROW()-56,$CK$57:$CK$95,0)))</f>
        <v/>
      </c>
      <c r="CM61">
        <f>CM60+IF(AND(Lists!$EO$8&lt;&gt;"",ISNUMBER(SEARCH($AB$4,Lists!$EO$8))),1,0)</f>
        <v/>
      </c>
      <c r="CN61">
        <f>IF(ROW()-56&gt;MAX($CM$57:$CM$95),"",INDEX(Lists!$EO$4:$EO$42,MATCH(ROW()-56,$CM$57:$CM$95,0)))</f>
        <v/>
      </c>
      <c r="CO61">
        <f>CO60+IF(AND(Lists!$ET$8&lt;&gt;"",ISNUMBER(SEARCH($AC$4,Lists!$ET$8))),1,0)</f>
        <v/>
      </c>
      <c r="CP61">
        <f>IF(ROW()-56&gt;MAX($CO$57:$CO$95),"",INDEX(Lists!$ET$4:$ET$42,MATCH(ROW()-56,$CO$57:$CO$95,0)))</f>
        <v/>
      </c>
      <c r="CQ61">
        <f>CQ60+IF(AND(Lists!$EY$8&lt;&gt;"",ISNUMBER(SEARCH($AD$4,Lists!$EY$8))),1,0)</f>
        <v/>
      </c>
      <c r="CR61">
        <f>IF(ROW()-56&gt;MAX($CQ$57:$CQ$95),"",INDEX(Lists!$EY$4:$EY$42,MATCH(ROW()-56,$CQ$57:$CQ$95,0)))</f>
        <v/>
      </c>
      <c r="CS61">
        <f>CS60+IF(AND(Lists!$FD$8&lt;&gt;"",ISNUMBER(SEARCH($AE$4,Lists!$FD$8))),1,0)</f>
        <v/>
      </c>
      <c r="CT61">
        <f>IF(ROW()-56&gt;MAX($CS$57:$CS$95),"",INDEX(Lists!$FD$4:$FD$42,MATCH(ROW()-56,$CS$57:$CS$95,0)))</f>
        <v/>
      </c>
      <c r="CU61">
        <f>CU60+IF(AND(Lists!$FI$8&lt;&gt;"",ISNUMBER(SEARCH($AG$4,Lists!$FI$8))),1,0)</f>
        <v/>
      </c>
      <c r="CV61">
        <f>IF(ROW()-56&gt;MAX($CU$57:$CU$95),"",INDEX(Lists!$FI$4:$FI$42,MATCH(ROW()-56,$CU$57:$CU$95,0)))</f>
        <v/>
      </c>
      <c r="CW61">
        <f>CW60+IF(AND(Lists!$FN$8&lt;&gt;"",ISNUMBER(SEARCH($AH$4,Lists!$FN$8))),1,0)</f>
        <v/>
      </c>
      <c r="CX61">
        <f>IF(ROW()-56&gt;MAX($CW$57:$CW$95),"",INDEX(Lists!$FN$4:$FN$42,MATCH(ROW()-56,$CW$57:$CW$95,0)))</f>
        <v/>
      </c>
      <c r="CY61">
        <f>CY60+IF(AND(Lists!$FS$8&lt;&gt;"",ISNUMBER(SEARCH($AI$4,Lists!$FS$8))),1,0)</f>
        <v/>
      </c>
      <c r="CZ61">
        <f>IF(ROW()-56&gt;MAX($CY$57:$CY$95),"",INDEX(Lists!$FS$4:$FS$42,MATCH(ROW()-56,$CY$57:$CY$95,0)))</f>
        <v/>
      </c>
      <c r="DA61">
        <f>DA60+IF(AND(Lists!$FX$8&lt;&gt;"",ISNUMBER(SEARCH($AF$4,Lists!$FX$8))),1,0)</f>
        <v/>
      </c>
      <c r="DB61">
        <f>IF(ROW()-56&gt;MAX($DA$57:$DA$95),"",INDEX(Lists!$FX$4:$FX$42,MATCH(ROW()-56,$DA$57:$DA$95,0)))</f>
        <v/>
      </c>
      <c r="DG61">
        <f>IF($B$4="",1,IF($B$4="(blank)",--('Final Calculation Sheet'!$F$6=""),IF($B$4="(nonblank)",--('Final Calculation Sheet'!$F$6&lt;&gt;""),--ISNUMBER(SEARCH($B$4,'Final Calculation Sheet'!$F$6)))))</f>
        <v/>
      </c>
      <c r="DH61">
        <f>IF($C$4="",1,IF($C$4="(blank)",--('Final Calculation Sheet'!$G$6=""),IF($C$4="(nonblank)",--('Final Calculation Sheet'!$G$6&lt;&gt;""),--ISNUMBER(SEARCH($C$4,'Final Calculation Sheet'!$G$6)))))</f>
        <v/>
      </c>
      <c r="DI61">
        <f>IF($D$4="",1,IF($D$4="(blank)",--('Final Calculation Sheet'!$B$6=""),IF($D$4="(nonblank)",--('Final Calculation Sheet'!$B$6&lt;&gt;""),--ISNUMBER(SEARCH($D$4,'Final Calculation Sheet'!$B$6)))))</f>
        <v/>
      </c>
      <c r="DJ61">
        <f>IF($E$4="",1,IF($E$4="(blank)",--('Final Calculation Sheet'!$D$6=""),IF($E$4="(nonblank)",--('Final Calculation Sheet'!$D$6&lt;&gt;""),--ISNUMBER(SEARCH($E$4,'Final Calculation Sheet'!$D$6)))))</f>
        <v/>
      </c>
      <c r="DK61">
        <f>IF($F$4="",1,IF($F$4="(blank)",--('Final Calculation Sheet'!$A$6=""),IF($F$4="(nonblank)",--('Final Calculation Sheet'!$A$6&lt;&gt;""),--ISNUMBER(SEARCH($F$4,'Final Calculation Sheet'!$A$6)))))</f>
        <v/>
      </c>
      <c r="DL61">
        <f>IF($G$4="",1,IF($G$4="(blank)",--('Final Calculation Sheet'!$E$6=""),IF($G$4="(nonblank)",--('Final Calculation Sheet'!$E$6&lt;&gt;""),--ISNUMBER(SEARCH($G$4,'Final Calculation Sheet'!$E$6)))))</f>
        <v/>
      </c>
      <c r="DM61">
        <f>IF($H$4="",1,IF($H$4="(blank)",--('Final Calculation Sheet'!$C$6=""),IF($H$4="(nonblank)",--('Final Calculation Sheet'!$C$6&lt;&gt;""),--ISNUMBER(SEARCH($H$4,'Final Calculation Sheet'!$C$6)))))</f>
        <v/>
      </c>
      <c r="DN61">
        <f>IF($I$4="",1,IF($I$4="(blank)",--('Final Calculation Sheet'!$H$6=""),IF($I$4="(nonblank)",--('Final Calculation Sheet'!$H$6&lt;&gt;""),--ISNUMBER(SEARCH($I$4,'Final Calculation Sheet'!$H$6)))))</f>
        <v/>
      </c>
      <c r="DO61">
        <f>IF($J$4="",1,IF($J$4="(blank)",--('Final Calculation Sheet'!$I$6=""),IF($J$4="(nonblank)",--('Final Calculation Sheet'!$I$6&lt;&gt;""),--ISNUMBER(SEARCH($J$4,'Final Calculation Sheet'!$I$6)))))</f>
        <v/>
      </c>
      <c r="DP61">
        <f>IF($K$4="",1,IF($K$4="(blank)",--('Final Calculation Sheet'!$J$6=""),IF($K$4="(nonblank)",--('Final Calculation Sheet'!$J$6&lt;&gt;""),--ISNUMBER(SEARCH($K$4,'Final Calculation Sheet'!$J$6)))))</f>
        <v/>
      </c>
      <c r="DQ61">
        <f>IF($L$4="",1,IF($L$4="(blank)",--('Final Calculation Sheet'!$K$6=""),IF($L$4="(nonblank)",--('Final Calculation Sheet'!$K$6&lt;&gt;""),--ISNUMBER(SEARCH($L$4,'Final Calculation Sheet'!$K$6)))))</f>
        <v/>
      </c>
      <c r="DR61">
        <f>IF($M$4="",1,IF($M$4="(blank)",--('Final Calculation Sheet'!$L$6=""),IF($M$4="(nonblank)",--('Final Calculation Sheet'!$L$6&lt;&gt;""),--ISNUMBER(SEARCH($M$4,'Final Calculation Sheet'!$L$6)))))</f>
        <v/>
      </c>
      <c r="DS61">
        <f>IF($N$4="",1,IF($N$4="(blank)",--('Final Calculation Sheet'!$M$6=""),IF($N$4="(nonblank)",--('Final Calculation Sheet'!$M$6&lt;&gt;""),--ISNUMBER(SEARCH($N$4,'Final Calculation Sheet'!$M$6)))))</f>
        <v/>
      </c>
      <c r="DT61">
        <f>IF($O$4="",1,IF($O$4="(blank)",--('Final Calculation Sheet'!$N$6=""),IF($O$4="(nonblank)",--('Final Calculation Sheet'!$N$6&lt;&gt;""),--ISNUMBER(SEARCH($O$4,'Final Calculation Sheet'!$N$6)))))</f>
        <v/>
      </c>
      <c r="DU61">
        <f>IF($P$4="",1,IF($P$4="(blank)",--('Final Calculation Sheet'!$O$6=""),IF($P$4="(nonblank)",--('Final Calculation Sheet'!$O$6&lt;&gt;""),--ISNUMBER(SEARCH($P$4,'Final Calculation Sheet'!$O$6)))))</f>
        <v/>
      </c>
      <c r="DV61">
        <f>IF($Q$4="",1,IF($Q$4="(blank)",--('Final Calculation Sheet'!$P$6=""),IF($Q$4="(nonblank)",--('Final Calculation Sheet'!$P$6&lt;&gt;""),--ISNUMBER(SEARCH($Q$4,'Final Calculation Sheet'!$P$6)))))</f>
        <v/>
      </c>
      <c r="DW61">
        <f>IF($R$4="",1,IF($R$4="(blank)",--('Final Calculation Sheet'!$Q$6=""),IF($R$4="(nonblank)",--('Final Calculation Sheet'!$Q$6&lt;&gt;""),--ISNUMBER(SEARCH($R$4,'Final Calculation Sheet'!$Q$6)))))</f>
        <v/>
      </c>
      <c r="DX61">
        <f>IF($S$4="",1,IF($S$4="(blank)",--('Final Calculation Sheet'!$R$6=""),IF($S$4="(nonblank)",--('Final Calculation Sheet'!$R$6&lt;&gt;""),--ISNUMBER(SEARCH($S$4,'Final Calculation Sheet'!$R$6)))))</f>
        <v/>
      </c>
      <c r="DY61">
        <f>IF($T$4="",1,IF($T$4="(blank)",--('Final Calculation Sheet'!$S$6=""),IF($T$4="(nonblank)",--('Final Calculation Sheet'!$S$6&lt;&gt;""),--ISNUMBER(SEARCH($T$4,'Final Calculation Sheet'!$S$6)))))</f>
        <v/>
      </c>
      <c r="DZ61">
        <f>IF($U$4="",1,IF($U$4="(blank)",--('Final Calculation Sheet'!$T$6=""),IF($U$4="(nonblank)",--('Final Calculation Sheet'!$T$6&lt;&gt;""),--ISNUMBER(SEARCH($U$4,'Final Calculation Sheet'!$T$6)))))</f>
        <v/>
      </c>
      <c r="EA61">
        <f>IF($V$4="",1,IF($V$4="(blank)",--('Final Calculation Sheet'!$U$6=""),IF($V$4="(nonblank)",--('Final Calculation Sheet'!$U$6&lt;&gt;""),--ISNUMBER(SEARCH($V$4,'Final Calculation Sheet'!$U$6)))))</f>
        <v/>
      </c>
      <c r="EB61">
        <f>IF($W$4="",1,IF($W$4="(blank)",--('Final Calculation Sheet'!$V$6=""),IF($W$4="(nonblank)",--('Final Calculation Sheet'!$V$6&lt;&gt;""),--ISNUMBER(SEARCH($W$4,'Final Calculation Sheet'!$V$6)))))</f>
        <v/>
      </c>
      <c r="EC61">
        <f>IF($X$4="",1,IF($X$4="(blank)",--('Final Calculation Sheet'!$W$6=""),IF($X$4="(nonblank)",--('Final Calculation Sheet'!$W$6&lt;&gt;""),--ISNUMBER(SEARCH($X$4,'Final Calculation Sheet'!$W$6)))))</f>
        <v/>
      </c>
      <c r="ED61">
        <f>IF($Y$4="",1,IF($Y$4="(blank)",--('Final Calculation Sheet'!$X$6=""),IF($Y$4="(nonblank)",--('Final Calculation Sheet'!$X$6&lt;&gt;""),--ISNUMBER(SEARCH($Y$4,'Final Calculation Sheet'!$X$6)))))</f>
        <v/>
      </c>
      <c r="EE61">
        <f>IF($Z$4="",1,IF($Z$4="(blank)",--('Final Calculation Sheet'!$Y$6=""),IF($Z$4="(nonblank)",--('Final Calculation Sheet'!$Y$6&lt;&gt;""),--ISNUMBER(SEARCH($Z$4,'Final Calculation Sheet'!$Y$6)))))</f>
        <v/>
      </c>
      <c r="EF61">
        <f>IF($AA$4="",1,IF($AA$4="(blank)",--('Final Calculation Sheet'!$Z$6=""),IF($AA$4="(nonblank)",--('Final Calculation Sheet'!$Z$6&lt;&gt;""),--ISNUMBER(SEARCH($AA$4,'Final Calculation Sheet'!$Z$6)))))</f>
        <v/>
      </c>
      <c r="EG61">
        <f>IF($AB$4="",1,IF($AB$4="(blank)",--('Final Calculation Sheet'!$AA$6=""),IF($AB$4="(nonblank)",--('Final Calculation Sheet'!$AA$6&lt;&gt;""),--ISNUMBER(SEARCH($AB$4,'Final Calculation Sheet'!$AA$6)))))</f>
        <v/>
      </c>
      <c r="EH61">
        <f>IF($AC$4="",1,IF($AC$4="(blank)",--('Final Calculation Sheet'!$AB$6=""),IF($AC$4="(nonblank)",--('Final Calculation Sheet'!$AB$6&lt;&gt;""),--ISNUMBER(SEARCH($AC$4,'Final Calculation Sheet'!$AB$6)))))</f>
        <v/>
      </c>
      <c r="EI61">
        <f>IF($AD$4="",1,IF($AD$4="(blank)",--('Final Calculation Sheet'!$AC$6=""),IF($AD$4="(nonblank)",--('Final Calculation Sheet'!$AC$6&lt;&gt;""),--ISNUMBER(SEARCH($AD$4,'Final Calculation Sheet'!$AC$6)))))</f>
        <v/>
      </c>
      <c r="EJ61">
        <f>IF($AE$4="",1,IF($AE$4="(blank)",--('Final Calculation Sheet'!$AD$6=""),IF($AE$4="(nonblank)",--('Final Calculation Sheet'!$AD$6&lt;&gt;""),--ISNUMBER(SEARCH($AE$4,'Final Calculation Sheet'!$AD$6)))))</f>
        <v/>
      </c>
      <c r="EK61">
        <f>IF($AF$4="",1,IF($AF$4="(blank)",--(IF('Final Calculation Sheet'!$AD$6&lt;=5,"SETTLED","OUTSTANDING")=""),IF($AF$4="(nonblank)",--(IF('Final Calculation Sheet'!$AD$6&lt;=5,"SETTLED","OUTSTANDING")&lt;&gt;""),--ISNUMBER(SEARCH($AF$4,IF('Final Calculation Sheet'!$AD$6&lt;=5,"SETTLED","OUTSTANDING"))))))</f>
        <v/>
      </c>
      <c r="EL61">
        <f>IF($AG$4="",1,IF($AG$4="(blank)",--('Final Calculation Sheet'!$AF$6=""),IF($AG$4="(nonblank)",--('Final Calculation Sheet'!$AF$6&lt;&gt;""),--ISNUMBER(SEARCH($AG$4,'Final Calculation Sheet'!$AF$6)))))</f>
        <v/>
      </c>
      <c r="EM61">
        <f>IF($AH$4="",1,IF($AH$4="(blank)",--('Final Calculation Sheet'!$AG$6=""),IF($AH$4="(nonblank)",--('Final Calculation Sheet'!$AG$6&lt;&gt;""),--ISNUMBER(SEARCH($AH$4,'Final Calculation Sheet'!$AG$6)))))</f>
        <v/>
      </c>
      <c r="EN61">
        <f>IF($AI$4="",1,IF($AI$4="(blank)",--('Final Calculation Sheet'!$AH$6=""),IF($AI$4="(nonblank)",--('Final Calculation Sheet'!$AH$6&lt;&gt;""),--ISNUMBER(SEARCH($AI$4,'Final Calculation Sheet'!$AH$6)))))</f>
        <v/>
      </c>
    </row>
    <row r="62">
      <c r="AM62">
        <f>AM61+IF(AND(Lists!$O$9&lt;&gt;"",ISNUMBER(SEARCH($B$4,Lists!$O$9))),1,0)</f>
        <v/>
      </c>
      <c r="AN62">
        <f>IF(ROW()-56&gt;MAX($AM$57:$AM$95),"",INDEX(Lists!$O$4:$O$42,MATCH(ROW()-56,$AM$57:$AM$95,0)))</f>
        <v/>
      </c>
      <c r="AO62">
        <f>AO61+IF(AND(Lists!$T$9&lt;&gt;"",ISNUMBER(SEARCH($C$4,Lists!$T$9))),1,0)</f>
        <v/>
      </c>
      <c r="AP62">
        <f>IF(ROW()-56&gt;MAX($AO$57:$AO$95),"",INDEX(Lists!$T$4:$T$42,MATCH(ROW()-56,$AO$57:$AO$95,0)))</f>
        <v/>
      </c>
      <c r="AQ62">
        <f>AQ61+IF(AND(Lists!$Y$9&lt;&gt;"",ISNUMBER(SEARCH($D$4,Lists!$Y$9))),1,0)</f>
        <v/>
      </c>
      <c r="AR62">
        <f>IF(ROW()-56&gt;MAX($AQ$57:$AQ$95),"",INDEX(Lists!$Y$4:$Y$42,MATCH(ROW()-56,$AQ$57:$AQ$95,0)))</f>
        <v/>
      </c>
      <c r="AS62">
        <f>AS61+IF(AND(Lists!$AD$9&lt;&gt;"",ISNUMBER(SEARCH($E$4,Lists!$AD$9))),1,0)</f>
        <v/>
      </c>
      <c r="AT62">
        <f>IF(ROW()-56&gt;MAX($AS$57:$AS$95),"",INDEX(Lists!$AD$4:$AD$42,MATCH(ROW()-56,$AS$57:$AS$95,0)))</f>
        <v/>
      </c>
      <c r="AU62">
        <f>AU61+IF(AND(Lists!$AI$9&lt;&gt;"",ISNUMBER(SEARCH($F$4,Lists!$AI$9))),1,0)</f>
        <v/>
      </c>
      <c r="AV62">
        <f>IF(ROW()-56&gt;MAX($AU$57:$AU$95),"",INDEX(Lists!$AI$4:$AI$42,MATCH(ROW()-56,$AU$57:$AU$95,0)))</f>
        <v/>
      </c>
      <c r="AW62">
        <f>AW61+IF(AND(Lists!$AN$9&lt;&gt;"",ISNUMBER(SEARCH($G$4,Lists!$AN$9))),1,0)</f>
        <v/>
      </c>
      <c r="AX62">
        <f>IF(ROW()-56&gt;MAX($AW$57:$AW$95),"",INDEX(Lists!$AN$4:$AN$42,MATCH(ROW()-56,$AW$57:$AW$95,0)))</f>
        <v/>
      </c>
      <c r="AY62">
        <f>AY61+IF(AND(Lists!$AS$9&lt;&gt;"",ISNUMBER(SEARCH($H$4,Lists!$AS$9))),1,0)</f>
        <v/>
      </c>
      <c r="AZ62">
        <f>IF(ROW()-56&gt;MAX($AY$57:$AY$95),"",INDEX(Lists!$AS$4:$AS$42,MATCH(ROW()-56,$AY$57:$AY$95,0)))</f>
        <v/>
      </c>
      <c r="BA62">
        <f>BA61+IF(AND(Lists!$AX$9&lt;&gt;"",ISNUMBER(SEARCH($I$4,Lists!$AX$9))),1,0)</f>
        <v/>
      </c>
      <c r="BB62">
        <f>IF(ROW()-56&gt;MAX($BA$57:$BA$95),"",INDEX(Lists!$AX$4:$AX$42,MATCH(ROW()-56,$BA$57:$BA$95,0)))</f>
        <v/>
      </c>
      <c r="BC62">
        <f>BC61+IF(AND(Lists!$BC$9&lt;&gt;"",ISNUMBER(SEARCH($J$4,Lists!$BC$9))),1,0)</f>
        <v/>
      </c>
      <c r="BD62">
        <f>IF(ROW()-56&gt;MAX($BC$57:$BC$95),"",INDEX(Lists!$BC$4:$BC$42,MATCH(ROW()-56,$BC$57:$BC$95,0)))</f>
        <v/>
      </c>
      <c r="BE62">
        <f>BE61+IF(AND(Lists!$BH$9&lt;&gt;"",ISNUMBER(SEARCH($K$4,Lists!$BH$9))),1,0)</f>
        <v/>
      </c>
      <c r="BF62">
        <f>IF(ROW()-56&gt;MAX($BE$57:$BE$95),"",INDEX(Lists!$BH$4:$BH$42,MATCH(ROW()-56,$BE$57:$BE$95,0)))</f>
        <v/>
      </c>
      <c r="BG62">
        <f>BG61+IF(AND(Lists!$BM$9&lt;&gt;"",ISNUMBER(SEARCH($L$4,Lists!$BM$9))),1,0)</f>
        <v/>
      </c>
      <c r="BH62">
        <f>IF(ROW()-56&gt;MAX($BG$57:$BG$95),"",INDEX(Lists!$BM$4:$BM$42,MATCH(ROW()-56,$BG$57:$BG$95,0)))</f>
        <v/>
      </c>
      <c r="BI62">
        <f>BI61+IF(AND(Lists!$BR$9&lt;&gt;"",ISNUMBER(SEARCH($M$4,Lists!$BR$9))),1,0)</f>
        <v/>
      </c>
      <c r="BJ62">
        <f>IF(ROW()-56&gt;MAX($BI$57:$BI$95),"",INDEX(Lists!$BR$4:$BR$42,MATCH(ROW()-56,$BI$57:$BI$95,0)))</f>
        <v/>
      </c>
      <c r="BK62">
        <f>BK61+IF(AND(Lists!$BW$9&lt;&gt;"",ISNUMBER(SEARCH($N$4,Lists!$BW$9))),1,0)</f>
        <v/>
      </c>
      <c r="BL62">
        <f>IF(ROW()-56&gt;MAX($BK$57:$BK$95),"",INDEX(Lists!$BW$4:$BW$42,MATCH(ROW()-56,$BK$57:$BK$95,0)))</f>
        <v/>
      </c>
      <c r="BM62">
        <f>BM61+IF(AND(Lists!$CB$9&lt;&gt;"",ISNUMBER(SEARCH($O$4,Lists!$CB$9))),1,0)</f>
        <v/>
      </c>
      <c r="BN62">
        <f>IF(ROW()-56&gt;MAX($BM$57:$BM$95),"",INDEX(Lists!$CB$4:$CB$42,MATCH(ROW()-56,$BM$57:$BM$95,0)))</f>
        <v/>
      </c>
      <c r="BO62">
        <f>BO61+IF(AND(Lists!$CG$9&lt;&gt;"",ISNUMBER(SEARCH($P$4,Lists!$CG$9))),1,0)</f>
        <v/>
      </c>
      <c r="BP62">
        <f>IF(ROW()-56&gt;MAX($BO$57:$BO$95),"",INDEX(Lists!$CG$4:$CG$42,MATCH(ROW()-56,$BO$57:$BO$95,0)))</f>
        <v/>
      </c>
      <c r="BQ62">
        <f>BQ61+IF(AND(Lists!$CL$9&lt;&gt;"",ISNUMBER(SEARCH($Q$4,Lists!$CL$9))),1,0)</f>
        <v/>
      </c>
      <c r="BR62">
        <f>IF(ROW()-56&gt;MAX($BQ$57:$BQ$95),"",INDEX(Lists!$CL$4:$CL$42,MATCH(ROW()-56,$BQ$57:$BQ$95,0)))</f>
        <v/>
      </c>
      <c r="BS62">
        <f>BS61+IF(AND(Lists!$CQ$9&lt;&gt;"",ISNUMBER(SEARCH($R$4,Lists!$CQ$9))),1,0)</f>
        <v/>
      </c>
      <c r="BT62">
        <f>IF(ROW()-56&gt;MAX($BS$57:$BS$95),"",INDEX(Lists!$CQ$4:$CQ$42,MATCH(ROW()-56,$BS$57:$BS$95,0)))</f>
        <v/>
      </c>
      <c r="BU62">
        <f>BU61+IF(AND(Lists!$CV$9&lt;&gt;"",ISNUMBER(SEARCH($S$4,Lists!$CV$9))),1,0)</f>
        <v/>
      </c>
      <c r="BV62">
        <f>IF(ROW()-56&gt;MAX($BU$57:$BU$95),"",INDEX(Lists!$CV$4:$CV$42,MATCH(ROW()-56,$BU$57:$BU$95,0)))</f>
        <v/>
      </c>
      <c r="BW62">
        <f>BW61+IF(AND(Lists!$DA$9&lt;&gt;"",ISNUMBER(SEARCH($T$4,Lists!$DA$9))),1,0)</f>
        <v/>
      </c>
      <c r="BX62">
        <f>IF(ROW()-56&gt;MAX($BW$57:$BW$95),"",INDEX(Lists!$DA$4:$DA$42,MATCH(ROW()-56,$BW$57:$BW$95,0)))</f>
        <v/>
      </c>
      <c r="BY62">
        <f>BY61+IF(AND(Lists!$DF$9&lt;&gt;"",ISNUMBER(SEARCH($U$4,Lists!$DF$9))),1,0)</f>
        <v/>
      </c>
      <c r="BZ62">
        <f>IF(ROW()-56&gt;MAX($BY$57:$BY$95),"",INDEX(Lists!$DF$4:$DF$42,MATCH(ROW()-56,$BY$57:$BY$95,0)))</f>
        <v/>
      </c>
      <c r="CA62">
        <f>CA61+IF(AND(Lists!$DK$9&lt;&gt;"",ISNUMBER(SEARCH($V$4,Lists!$DK$9))),1,0)</f>
        <v/>
      </c>
      <c r="CB62">
        <f>IF(ROW()-56&gt;MAX($CA$57:$CA$95),"",INDEX(Lists!$DK$4:$DK$42,MATCH(ROW()-56,$CA$57:$CA$95,0)))</f>
        <v/>
      </c>
      <c r="CC62">
        <f>CC61+IF(AND(Lists!$DP$9&lt;&gt;"",ISNUMBER(SEARCH($W$4,Lists!$DP$9))),1,0)</f>
        <v/>
      </c>
      <c r="CD62">
        <f>IF(ROW()-56&gt;MAX($CC$57:$CC$95),"",INDEX(Lists!$DP$4:$DP$42,MATCH(ROW()-56,$CC$57:$CC$95,0)))</f>
        <v/>
      </c>
      <c r="CE62">
        <f>CE61+IF(AND(Lists!$DU$9&lt;&gt;"",ISNUMBER(SEARCH($X$4,Lists!$DU$9))),1,0)</f>
        <v/>
      </c>
      <c r="CF62">
        <f>IF(ROW()-56&gt;MAX($CE$57:$CE$95),"",INDEX(Lists!$DU$4:$DU$42,MATCH(ROW()-56,$CE$57:$CE$95,0)))</f>
        <v/>
      </c>
      <c r="CG62">
        <f>CG61+IF(AND(Lists!$DZ$9&lt;&gt;"",ISNUMBER(SEARCH($Y$4,Lists!$DZ$9))),1,0)</f>
        <v/>
      </c>
      <c r="CH62">
        <f>IF(ROW()-56&gt;MAX($CG$57:$CG$95),"",INDEX(Lists!$DZ$4:$DZ$42,MATCH(ROW()-56,$CG$57:$CG$95,0)))</f>
        <v/>
      </c>
      <c r="CI62">
        <f>CI61+IF(AND(Lists!$EE$9&lt;&gt;"",ISNUMBER(SEARCH($Z$4,Lists!$EE$9))),1,0)</f>
        <v/>
      </c>
      <c r="CJ62">
        <f>IF(ROW()-56&gt;MAX($CI$57:$CI$95),"",INDEX(Lists!$EE$4:$EE$42,MATCH(ROW()-56,$CI$57:$CI$95,0)))</f>
        <v/>
      </c>
      <c r="CK62">
        <f>CK61+IF(AND(Lists!$EJ$9&lt;&gt;"",ISNUMBER(SEARCH($AA$4,Lists!$EJ$9))),1,0)</f>
        <v/>
      </c>
      <c r="CL62">
        <f>IF(ROW()-56&gt;MAX($CK$57:$CK$95),"",INDEX(Lists!$EJ$4:$EJ$42,MATCH(ROW()-56,$CK$57:$CK$95,0)))</f>
        <v/>
      </c>
      <c r="CM62">
        <f>CM61+IF(AND(Lists!$EO$9&lt;&gt;"",ISNUMBER(SEARCH($AB$4,Lists!$EO$9))),1,0)</f>
        <v/>
      </c>
      <c r="CN62">
        <f>IF(ROW()-56&gt;MAX($CM$57:$CM$95),"",INDEX(Lists!$EO$4:$EO$42,MATCH(ROW()-56,$CM$57:$CM$95,0)))</f>
        <v/>
      </c>
      <c r="CO62">
        <f>CO61+IF(AND(Lists!$ET$9&lt;&gt;"",ISNUMBER(SEARCH($AC$4,Lists!$ET$9))),1,0)</f>
        <v/>
      </c>
      <c r="CP62">
        <f>IF(ROW()-56&gt;MAX($CO$57:$CO$95),"",INDEX(Lists!$ET$4:$ET$42,MATCH(ROW()-56,$CO$57:$CO$95,0)))</f>
        <v/>
      </c>
      <c r="CQ62">
        <f>CQ61+IF(AND(Lists!$EY$9&lt;&gt;"",ISNUMBER(SEARCH($AD$4,Lists!$EY$9))),1,0)</f>
        <v/>
      </c>
      <c r="CR62">
        <f>IF(ROW()-56&gt;MAX($CQ$57:$CQ$95),"",INDEX(Lists!$EY$4:$EY$42,MATCH(ROW()-56,$CQ$57:$CQ$95,0)))</f>
        <v/>
      </c>
      <c r="CS62">
        <f>CS61+IF(AND(Lists!$FD$9&lt;&gt;"",ISNUMBER(SEARCH($AE$4,Lists!$FD$9))),1,0)</f>
        <v/>
      </c>
      <c r="CT62">
        <f>IF(ROW()-56&gt;MAX($CS$57:$CS$95),"",INDEX(Lists!$FD$4:$FD$42,MATCH(ROW()-56,$CS$57:$CS$95,0)))</f>
        <v/>
      </c>
      <c r="CU62">
        <f>CU61+IF(AND(Lists!$FI$9&lt;&gt;"",ISNUMBER(SEARCH($AG$4,Lists!$FI$9))),1,0)</f>
        <v/>
      </c>
      <c r="CV62">
        <f>IF(ROW()-56&gt;MAX($CU$57:$CU$95),"",INDEX(Lists!$FI$4:$FI$42,MATCH(ROW()-56,$CU$57:$CU$95,0)))</f>
        <v/>
      </c>
      <c r="CW62">
        <f>CW61+IF(AND(Lists!$FN$9&lt;&gt;"",ISNUMBER(SEARCH($AH$4,Lists!$FN$9))),1,0)</f>
        <v/>
      </c>
      <c r="CX62">
        <f>IF(ROW()-56&gt;MAX($CW$57:$CW$95),"",INDEX(Lists!$FN$4:$FN$42,MATCH(ROW()-56,$CW$57:$CW$95,0)))</f>
        <v/>
      </c>
      <c r="CY62">
        <f>CY61+IF(AND(Lists!$FS$9&lt;&gt;"",ISNUMBER(SEARCH($AI$4,Lists!$FS$9))),1,0)</f>
        <v/>
      </c>
      <c r="CZ62">
        <f>IF(ROW()-56&gt;MAX($CY$57:$CY$95),"",INDEX(Lists!$FS$4:$FS$42,MATCH(ROW()-56,$CY$57:$CY$95,0)))</f>
        <v/>
      </c>
      <c r="DA62">
        <f>DA61+IF(AND(Lists!$FX$9&lt;&gt;"",ISNUMBER(SEARCH($AF$4,Lists!$FX$9))),1,0)</f>
        <v/>
      </c>
      <c r="DB62">
        <f>IF(ROW()-56&gt;MAX($DA$57:$DA$95),"",INDEX(Lists!$FX$4:$FX$42,MATCH(ROW()-56,$DA$57:$DA$95,0)))</f>
        <v/>
      </c>
      <c r="DG62">
        <f>IF($B$4="",1,IF($B$4="(blank)",--('Final Calculation Sheet'!$F$7=""),IF($B$4="(nonblank)",--('Final Calculation Sheet'!$F$7&lt;&gt;""),--ISNUMBER(SEARCH($B$4,'Final Calculation Sheet'!$F$7)))))</f>
        <v/>
      </c>
      <c r="DH62">
        <f>IF($C$4="",1,IF($C$4="(blank)",--('Final Calculation Sheet'!$G$7=""),IF($C$4="(nonblank)",--('Final Calculation Sheet'!$G$7&lt;&gt;""),--ISNUMBER(SEARCH($C$4,'Final Calculation Sheet'!$G$7)))))</f>
        <v/>
      </c>
      <c r="DI62">
        <f>IF($D$4="",1,IF($D$4="(blank)",--('Final Calculation Sheet'!$B$7=""),IF($D$4="(nonblank)",--('Final Calculation Sheet'!$B$7&lt;&gt;""),--ISNUMBER(SEARCH($D$4,'Final Calculation Sheet'!$B$7)))))</f>
        <v/>
      </c>
      <c r="DJ62">
        <f>IF($E$4="",1,IF($E$4="(blank)",--('Final Calculation Sheet'!$D$7=""),IF($E$4="(nonblank)",--('Final Calculation Sheet'!$D$7&lt;&gt;""),--ISNUMBER(SEARCH($E$4,'Final Calculation Sheet'!$D$7)))))</f>
        <v/>
      </c>
      <c r="DK62">
        <f>IF($F$4="",1,IF($F$4="(blank)",--('Final Calculation Sheet'!$A$7=""),IF($F$4="(nonblank)",--('Final Calculation Sheet'!$A$7&lt;&gt;""),--ISNUMBER(SEARCH($F$4,'Final Calculation Sheet'!$A$7)))))</f>
        <v/>
      </c>
      <c r="DL62">
        <f>IF($G$4="",1,IF($G$4="(blank)",--('Final Calculation Sheet'!$E$7=""),IF($G$4="(nonblank)",--('Final Calculation Sheet'!$E$7&lt;&gt;""),--ISNUMBER(SEARCH($G$4,'Final Calculation Sheet'!$E$7)))))</f>
        <v/>
      </c>
      <c r="DM62">
        <f>IF($H$4="",1,IF($H$4="(blank)",--('Final Calculation Sheet'!$C$7=""),IF($H$4="(nonblank)",--('Final Calculation Sheet'!$C$7&lt;&gt;""),--ISNUMBER(SEARCH($H$4,'Final Calculation Sheet'!$C$7)))))</f>
        <v/>
      </c>
      <c r="DN62">
        <f>IF($I$4="",1,IF($I$4="(blank)",--('Final Calculation Sheet'!$H$7=""),IF($I$4="(nonblank)",--('Final Calculation Sheet'!$H$7&lt;&gt;""),--ISNUMBER(SEARCH($I$4,'Final Calculation Sheet'!$H$7)))))</f>
        <v/>
      </c>
      <c r="DO62">
        <f>IF($J$4="",1,IF($J$4="(blank)",--('Final Calculation Sheet'!$I$7=""),IF($J$4="(nonblank)",--('Final Calculation Sheet'!$I$7&lt;&gt;""),--ISNUMBER(SEARCH($J$4,'Final Calculation Sheet'!$I$7)))))</f>
        <v/>
      </c>
      <c r="DP62">
        <f>IF($K$4="",1,IF($K$4="(blank)",--('Final Calculation Sheet'!$J$7=""),IF($K$4="(nonblank)",--('Final Calculation Sheet'!$J$7&lt;&gt;""),--ISNUMBER(SEARCH($K$4,'Final Calculation Sheet'!$J$7)))))</f>
        <v/>
      </c>
      <c r="DQ62">
        <f>IF($L$4="",1,IF($L$4="(blank)",--('Final Calculation Sheet'!$K$7=""),IF($L$4="(nonblank)",--('Final Calculation Sheet'!$K$7&lt;&gt;""),--ISNUMBER(SEARCH($L$4,'Final Calculation Sheet'!$K$7)))))</f>
        <v/>
      </c>
      <c r="DR62">
        <f>IF($M$4="",1,IF($M$4="(blank)",--('Final Calculation Sheet'!$L$7=""),IF($M$4="(nonblank)",--('Final Calculation Sheet'!$L$7&lt;&gt;""),--ISNUMBER(SEARCH($M$4,'Final Calculation Sheet'!$L$7)))))</f>
        <v/>
      </c>
      <c r="DS62">
        <f>IF($N$4="",1,IF($N$4="(blank)",--('Final Calculation Sheet'!$M$7=""),IF($N$4="(nonblank)",--('Final Calculation Sheet'!$M$7&lt;&gt;""),--ISNUMBER(SEARCH($N$4,'Final Calculation Sheet'!$M$7)))))</f>
        <v/>
      </c>
      <c r="DT62">
        <f>IF($O$4="",1,IF($O$4="(blank)",--('Final Calculation Sheet'!$N$7=""),IF($O$4="(nonblank)",--('Final Calculation Sheet'!$N$7&lt;&gt;""),--ISNUMBER(SEARCH($O$4,'Final Calculation Sheet'!$N$7)))))</f>
        <v/>
      </c>
      <c r="DU62">
        <f>IF($P$4="",1,IF($P$4="(blank)",--('Final Calculation Sheet'!$O$7=""),IF($P$4="(nonblank)",--('Final Calculation Sheet'!$O$7&lt;&gt;""),--ISNUMBER(SEARCH($P$4,'Final Calculation Sheet'!$O$7)))))</f>
        <v/>
      </c>
      <c r="DV62">
        <f>IF($Q$4="",1,IF($Q$4="(blank)",--('Final Calculation Sheet'!$P$7=""),IF($Q$4="(nonblank)",--('Final Calculation Sheet'!$P$7&lt;&gt;""),--ISNUMBER(SEARCH($Q$4,'Final Calculation Sheet'!$P$7)))))</f>
        <v/>
      </c>
      <c r="DW62">
        <f>IF($R$4="",1,IF($R$4="(blank)",--('Final Calculation Sheet'!$Q$7=""),IF($R$4="(nonblank)",--('Final Calculation Sheet'!$Q$7&lt;&gt;""),--ISNUMBER(SEARCH($R$4,'Final Calculation Sheet'!$Q$7)))))</f>
        <v/>
      </c>
      <c r="DX62">
        <f>IF($S$4="",1,IF($S$4="(blank)",--('Final Calculation Sheet'!$R$7=""),IF($S$4="(nonblank)",--('Final Calculation Sheet'!$R$7&lt;&gt;""),--ISNUMBER(SEARCH($S$4,'Final Calculation Sheet'!$R$7)))))</f>
        <v/>
      </c>
      <c r="DY62">
        <f>IF($T$4="",1,IF($T$4="(blank)",--('Final Calculation Sheet'!$S$7=""),IF($T$4="(nonblank)",--('Final Calculation Sheet'!$S$7&lt;&gt;""),--ISNUMBER(SEARCH($T$4,'Final Calculation Sheet'!$S$7)))))</f>
        <v/>
      </c>
      <c r="DZ62">
        <f>IF($U$4="",1,IF($U$4="(blank)",--('Final Calculation Sheet'!$T$7=""),IF($U$4="(nonblank)",--('Final Calculation Sheet'!$T$7&lt;&gt;""),--ISNUMBER(SEARCH($U$4,'Final Calculation Sheet'!$T$7)))))</f>
        <v/>
      </c>
      <c r="EA62">
        <f>IF($V$4="",1,IF($V$4="(blank)",--('Final Calculation Sheet'!$U$7=""),IF($V$4="(nonblank)",--('Final Calculation Sheet'!$U$7&lt;&gt;""),--ISNUMBER(SEARCH($V$4,'Final Calculation Sheet'!$U$7)))))</f>
        <v/>
      </c>
      <c r="EB62">
        <f>IF($W$4="",1,IF($W$4="(blank)",--('Final Calculation Sheet'!$V$7=""),IF($W$4="(nonblank)",--('Final Calculation Sheet'!$V$7&lt;&gt;""),--ISNUMBER(SEARCH($W$4,'Final Calculation Sheet'!$V$7)))))</f>
        <v/>
      </c>
      <c r="EC62">
        <f>IF($X$4="",1,IF($X$4="(blank)",--('Final Calculation Sheet'!$W$7=""),IF($X$4="(nonblank)",--('Final Calculation Sheet'!$W$7&lt;&gt;""),--ISNUMBER(SEARCH($X$4,'Final Calculation Sheet'!$W$7)))))</f>
        <v/>
      </c>
      <c r="ED62">
        <f>IF($Y$4="",1,IF($Y$4="(blank)",--('Final Calculation Sheet'!$X$7=""),IF($Y$4="(nonblank)",--('Final Calculation Sheet'!$X$7&lt;&gt;""),--ISNUMBER(SEARCH($Y$4,'Final Calculation Sheet'!$X$7)))))</f>
        <v/>
      </c>
      <c r="EE62">
        <f>IF($Z$4="",1,IF($Z$4="(blank)",--('Final Calculation Sheet'!$Y$7=""),IF($Z$4="(nonblank)",--('Final Calculation Sheet'!$Y$7&lt;&gt;""),--ISNUMBER(SEARCH($Z$4,'Final Calculation Sheet'!$Y$7)))))</f>
        <v/>
      </c>
      <c r="EF62">
        <f>IF($AA$4="",1,IF($AA$4="(blank)",--('Final Calculation Sheet'!$Z$7=""),IF($AA$4="(nonblank)",--('Final Calculation Sheet'!$Z$7&lt;&gt;""),--ISNUMBER(SEARCH($AA$4,'Final Calculation Sheet'!$Z$7)))))</f>
        <v/>
      </c>
      <c r="EG62">
        <f>IF($AB$4="",1,IF($AB$4="(blank)",--('Final Calculation Sheet'!$AA$7=""),IF($AB$4="(nonblank)",--('Final Calculation Sheet'!$AA$7&lt;&gt;""),--ISNUMBER(SEARCH($AB$4,'Final Calculation Sheet'!$AA$7)))))</f>
        <v/>
      </c>
      <c r="EH62">
        <f>IF($AC$4="",1,IF($AC$4="(blank)",--('Final Calculation Sheet'!$AB$7=""),IF($AC$4="(nonblank)",--('Final Calculation Sheet'!$AB$7&lt;&gt;""),--ISNUMBER(SEARCH($AC$4,'Final Calculation Sheet'!$AB$7)))))</f>
        <v/>
      </c>
      <c r="EI62">
        <f>IF($AD$4="",1,IF($AD$4="(blank)",--('Final Calculation Sheet'!$AC$7=""),IF($AD$4="(nonblank)",--('Final Calculation Sheet'!$AC$7&lt;&gt;""),--ISNUMBER(SEARCH($AD$4,'Final Calculation Sheet'!$AC$7)))))</f>
        <v/>
      </c>
      <c r="EJ62">
        <f>IF($AE$4="",1,IF($AE$4="(blank)",--('Final Calculation Sheet'!$AD$7=""),IF($AE$4="(nonblank)",--('Final Calculation Sheet'!$AD$7&lt;&gt;""),--ISNUMBER(SEARCH($AE$4,'Final Calculation Sheet'!$AD$7)))))</f>
        <v/>
      </c>
      <c r="EK62">
        <f>IF($AF$4="",1,IF($AF$4="(blank)",--(IF('Final Calculation Sheet'!$AD$7&lt;=5,"SETTLED","OUTSTANDING")=""),IF($AF$4="(nonblank)",--(IF('Final Calculation Sheet'!$AD$7&lt;=5,"SETTLED","OUTSTANDING")&lt;&gt;""),--ISNUMBER(SEARCH($AF$4,IF('Final Calculation Sheet'!$AD$7&lt;=5,"SETTLED","OUTSTANDING"))))))</f>
        <v/>
      </c>
      <c r="EL62">
        <f>IF($AG$4="",1,IF($AG$4="(blank)",--('Final Calculation Sheet'!$AF$7=""),IF($AG$4="(nonblank)",--('Final Calculation Sheet'!$AF$7&lt;&gt;""),--ISNUMBER(SEARCH($AG$4,'Final Calculation Sheet'!$AF$7)))))</f>
        <v/>
      </c>
      <c r="EM62">
        <f>IF($AH$4="",1,IF($AH$4="(blank)",--('Final Calculation Sheet'!$AG$7=""),IF($AH$4="(nonblank)",--('Final Calculation Sheet'!$AG$7&lt;&gt;""),--ISNUMBER(SEARCH($AH$4,'Final Calculation Sheet'!$AG$7)))))</f>
        <v/>
      </c>
      <c r="EN62">
        <f>IF($AI$4="",1,IF($AI$4="(blank)",--('Final Calculation Sheet'!$AH$7=""),IF($AI$4="(nonblank)",--('Final Calculation Sheet'!$AH$7&lt;&gt;""),--ISNUMBER(SEARCH($AI$4,'Final Calculation Sheet'!$AH$7)))))</f>
        <v/>
      </c>
    </row>
    <row r="63">
      <c r="AM63">
        <f>AM62+IF(AND(Lists!$O$10&lt;&gt;"",ISNUMBER(SEARCH($B$4,Lists!$O$10))),1,0)</f>
        <v/>
      </c>
      <c r="AN63">
        <f>IF(ROW()-56&gt;MAX($AM$57:$AM$95),"",INDEX(Lists!$O$4:$O$42,MATCH(ROW()-56,$AM$57:$AM$95,0)))</f>
        <v/>
      </c>
      <c r="AO63">
        <f>AO62+IF(AND(Lists!$T$10&lt;&gt;"",ISNUMBER(SEARCH($C$4,Lists!$T$10))),1,0)</f>
        <v/>
      </c>
      <c r="AP63">
        <f>IF(ROW()-56&gt;MAX($AO$57:$AO$95),"",INDEX(Lists!$T$4:$T$42,MATCH(ROW()-56,$AO$57:$AO$95,0)))</f>
        <v/>
      </c>
      <c r="AQ63">
        <f>AQ62+IF(AND(Lists!$Y$10&lt;&gt;"",ISNUMBER(SEARCH($D$4,Lists!$Y$10))),1,0)</f>
        <v/>
      </c>
      <c r="AR63">
        <f>IF(ROW()-56&gt;MAX($AQ$57:$AQ$95),"",INDEX(Lists!$Y$4:$Y$42,MATCH(ROW()-56,$AQ$57:$AQ$95,0)))</f>
        <v/>
      </c>
      <c r="AS63">
        <f>AS62+IF(AND(Lists!$AD$10&lt;&gt;"",ISNUMBER(SEARCH($E$4,Lists!$AD$10))),1,0)</f>
        <v/>
      </c>
      <c r="AT63">
        <f>IF(ROW()-56&gt;MAX($AS$57:$AS$95),"",INDEX(Lists!$AD$4:$AD$42,MATCH(ROW()-56,$AS$57:$AS$95,0)))</f>
        <v/>
      </c>
      <c r="AU63">
        <f>AU62+IF(AND(Lists!$AI$10&lt;&gt;"",ISNUMBER(SEARCH($F$4,Lists!$AI$10))),1,0)</f>
        <v/>
      </c>
      <c r="AV63">
        <f>IF(ROW()-56&gt;MAX($AU$57:$AU$95),"",INDEX(Lists!$AI$4:$AI$42,MATCH(ROW()-56,$AU$57:$AU$95,0)))</f>
        <v/>
      </c>
      <c r="AW63">
        <f>AW62+IF(AND(Lists!$AN$10&lt;&gt;"",ISNUMBER(SEARCH($G$4,Lists!$AN$10))),1,0)</f>
        <v/>
      </c>
      <c r="AX63">
        <f>IF(ROW()-56&gt;MAX($AW$57:$AW$95),"",INDEX(Lists!$AN$4:$AN$42,MATCH(ROW()-56,$AW$57:$AW$95,0)))</f>
        <v/>
      </c>
      <c r="AY63">
        <f>AY62+IF(AND(Lists!$AS$10&lt;&gt;"",ISNUMBER(SEARCH($H$4,Lists!$AS$10))),1,0)</f>
        <v/>
      </c>
      <c r="AZ63">
        <f>IF(ROW()-56&gt;MAX($AY$57:$AY$95),"",INDEX(Lists!$AS$4:$AS$42,MATCH(ROW()-56,$AY$57:$AY$95,0)))</f>
        <v/>
      </c>
      <c r="BA63">
        <f>BA62+IF(AND(Lists!$AX$10&lt;&gt;"",ISNUMBER(SEARCH($I$4,Lists!$AX$10))),1,0)</f>
        <v/>
      </c>
      <c r="BB63">
        <f>IF(ROW()-56&gt;MAX($BA$57:$BA$95),"",INDEX(Lists!$AX$4:$AX$42,MATCH(ROW()-56,$BA$57:$BA$95,0)))</f>
        <v/>
      </c>
      <c r="BC63">
        <f>BC62+IF(AND(Lists!$BC$10&lt;&gt;"",ISNUMBER(SEARCH($J$4,Lists!$BC$10))),1,0)</f>
        <v/>
      </c>
      <c r="BD63">
        <f>IF(ROW()-56&gt;MAX($BC$57:$BC$95),"",INDEX(Lists!$BC$4:$BC$42,MATCH(ROW()-56,$BC$57:$BC$95,0)))</f>
        <v/>
      </c>
      <c r="BE63">
        <f>BE62+IF(AND(Lists!$BH$10&lt;&gt;"",ISNUMBER(SEARCH($K$4,Lists!$BH$10))),1,0)</f>
        <v/>
      </c>
      <c r="BF63">
        <f>IF(ROW()-56&gt;MAX($BE$57:$BE$95),"",INDEX(Lists!$BH$4:$BH$42,MATCH(ROW()-56,$BE$57:$BE$95,0)))</f>
        <v/>
      </c>
      <c r="BG63">
        <f>BG62+IF(AND(Lists!$BM$10&lt;&gt;"",ISNUMBER(SEARCH($L$4,Lists!$BM$10))),1,0)</f>
        <v/>
      </c>
      <c r="BH63">
        <f>IF(ROW()-56&gt;MAX($BG$57:$BG$95),"",INDEX(Lists!$BM$4:$BM$42,MATCH(ROW()-56,$BG$57:$BG$95,0)))</f>
        <v/>
      </c>
      <c r="BI63">
        <f>BI62+IF(AND(Lists!$BR$10&lt;&gt;"",ISNUMBER(SEARCH($M$4,Lists!$BR$10))),1,0)</f>
        <v/>
      </c>
      <c r="BJ63">
        <f>IF(ROW()-56&gt;MAX($BI$57:$BI$95),"",INDEX(Lists!$BR$4:$BR$42,MATCH(ROW()-56,$BI$57:$BI$95,0)))</f>
        <v/>
      </c>
      <c r="BK63">
        <f>BK62+IF(AND(Lists!$BW$10&lt;&gt;"",ISNUMBER(SEARCH($N$4,Lists!$BW$10))),1,0)</f>
        <v/>
      </c>
      <c r="BL63">
        <f>IF(ROW()-56&gt;MAX($BK$57:$BK$95),"",INDEX(Lists!$BW$4:$BW$42,MATCH(ROW()-56,$BK$57:$BK$95,0)))</f>
        <v/>
      </c>
      <c r="BM63">
        <f>BM62+IF(AND(Lists!$CB$10&lt;&gt;"",ISNUMBER(SEARCH($O$4,Lists!$CB$10))),1,0)</f>
        <v/>
      </c>
      <c r="BN63">
        <f>IF(ROW()-56&gt;MAX($BM$57:$BM$95),"",INDEX(Lists!$CB$4:$CB$42,MATCH(ROW()-56,$BM$57:$BM$95,0)))</f>
        <v/>
      </c>
      <c r="BO63">
        <f>BO62+IF(AND(Lists!$CG$10&lt;&gt;"",ISNUMBER(SEARCH($P$4,Lists!$CG$10))),1,0)</f>
        <v/>
      </c>
      <c r="BP63">
        <f>IF(ROW()-56&gt;MAX($BO$57:$BO$95),"",INDEX(Lists!$CG$4:$CG$42,MATCH(ROW()-56,$BO$57:$BO$95,0)))</f>
        <v/>
      </c>
      <c r="BQ63">
        <f>BQ62+IF(AND(Lists!$CL$10&lt;&gt;"",ISNUMBER(SEARCH($Q$4,Lists!$CL$10))),1,0)</f>
        <v/>
      </c>
      <c r="BR63">
        <f>IF(ROW()-56&gt;MAX($BQ$57:$BQ$95),"",INDEX(Lists!$CL$4:$CL$42,MATCH(ROW()-56,$BQ$57:$BQ$95,0)))</f>
        <v/>
      </c>
      <c r="BS63">
        <f>BS62+IF(AND(Lists!$CQ$10&lt;&gt;"",ISNUMBER(SEARCH($R$4,Lists!$CQ$10))),1,0)</f>
        <v/>
      </c>
      <c r="BT63">
        <f>IF(ROW()-56&gt;MAX($BS$57:$BS$95),"",INDEX(Lists!$CQ$4:$CQ$42,MATCH(ROW()-56,$BS$57:$BS$95,0)))</f>
        <v/>
      </c>
      <c r="BU63">
        <f>BU62+IF(AND(Lists!$CV$10&lt;&gt;"",ISNUMBER(SEARCH($S$4,Lists!$CV$10))),1,0)</f>
        <v/>
      </c>
      <c r="BV63">
        <f>IF(ROW()-56&gt;MAX($BU$57:$BU$95),"",INDEX(Lists!$CV$4:$CV$42,MATCH(ROW()-56,$BU$57:$BU$95,0)))</f>
        <v/>
      </c>
      <c r="BW63">
        <f>BW62+IF(AND(Lists!$DA$10&lt;&gt;"",ISNUMBER(SEARCH($T$4,Lists!$DA$10))),1,0)</f>
        <v/>
      </c>
      <c r="BX63">
        <f>IF(ROW()-56&gt;MAX($BW$57:$BW$95),"",INDEX(Lists!$DA$4:$DA$42,MATCH(ROW()-56,$BW$57:$BW$95,0)))</f>
        <v/>
      </c>
      <c r="BY63">
        <f>BY62+IF(AND(Lists!$DF$10&lt;&gt;"",ISNUMBER(SEARCH($U$4,Lists!$DF$10))),1,0)</f>
        <v/>
      </c>
      <c r="BZ63">
        <f>IF(ROW()-56&gt;MAX($BY$57:$BY$95),"",INDEX(Lists!$DF$4:$DF$42,MATCH(ROW()-56,$BY$57:$BY$95,0)))</f>
        <v/>
      </c>
      <c r="CA63">
        <f>CA62+IF(AND(Lists!$DK$10&lt;&gt;"",ISNUMBER(SEARCH($V$4,Lists!$DK$10))),1,0)</f>
        <v/>
      </c>
      <c r="CB63">
        <f>IF(ROW()-56&gt;MAX($CA$57:$CA$95),"",INDEX(Lists!$DK$4:$DK$42,MATCH(ROW()-56,$CA$57:$CA$95,0)))</f>
        <v/>
      </c>
      <c r="CC63">
        <f>CC62+IF(AND(Lists!$DP$10&lt;&gt;"",ISNUMBER(SEARCH($W$4,Lists!$DP$10))),1,0)</f>
        <v/>
      </c>
      <c r="CD63">
        <f>IF(ROW()-56&gt;MAX($CC$57:$CC$95),"",INDEX(Lists!$DP$4:$DP$42,MATCH(ROW()-56,$CC$57:$CC$95,0)))</f>
        <v/>
      </c>
      <c r="CE63">
        <f>CE62+IF(AND(Lists!$DU$10&lt;&gt;"",ISNUMBER(SEARCH($X$4,Lists!$DU$10))),1,0)</f>
        <v/>
      </c>
      <c r="CF63">
        <f>IF(ROW()-56&gt;MAX($CE$57:$CE$95),"",INDEX(Lists!$DU$4:$DU$42,MATCH(ROW()-56,$CE$57:$CE$95,0)))</f>
        <v/>
      </c>
      <c r="CG63">
        <f>CG62+IF(AND(Lists!$DZ$10&lt;&gt;"",ISNUMBER(SEARCH($Y$4,Lists!$DZ$10))),1,0)</f>
        <v/>
      </c>
      <c r="CH63">
        <f>IF(ROW()-56&gt;MAX($CG$57:$CG$95),"",INDEX(Lists!$DZ$4:$DZ$42,MATCH(ROW()-56,$CG$57:$CG$95,0)))</f>
        <v/>
      </c>
      <c r="CI63">
        <f>CI62+IF(AND(Lists!$EE$10&lt;&gt;"",ISNUMBER(SEARCH($Z$4,Lists!$EE$10))),1,0)</f>
        <v/>
      </c>
      <c r="CJ63">
        <f>IF(ROW()-56&gt;MAX($CI$57:$CI$95),"",INDEX(Lists!$EE$4:$EE$42,MATCH(ROW()-56,$CI$57:$CI$95,0)))</f>
        <v/>
      </c>
      <c r="CK63">
        <f>CK62+IF(AND(Lists!$EJ$10&lt;&gt;"",ISNUMBER(SEARCH($AA$4,Lists!$EJ$10))),1,0)</f>
        <v/>
      </c>
      <c r="CL63">
        <f>IF(ROW()-56&gt;MAX($CK$57:$CK$95),"",INDEX(Lists!$EJ$4:$EJ$42,MATCH(ROW()-56,$CK$57:$CK$95,0)))</f>
        <v/>
      </c>
      <c r="CM63">
        <f>CM62+IF(AND(Lists!$EO$10&lt;&gt;"",ISNUMBER(SEARCH($AB$4,Lists!$EO$10))),1,0)</f>
        <v/>
      </c>
      <c r="CN63">
        <f>IF(ROW()-56&gt;MAX($CM$57:$CM$95),"",INDEX(Lists!$EO$4:$EO$42,MATCH(ROW()-56,$CM$57:$CM$95,0)))</f>
        <v/>
      </c>
      <c r="CO63">
        <f>CO62+IF(AND(Lists!$ET$10&lt;&gt;"",ISNUMBER(SEARCH($AC$4,Lists!$ET$10))),1,0)</f>
        <v/>
      </c>
      <c r="CP63">
        <f>IF(ROW()-56&gt;MAX($CO$57:$CO$95),"",INDEX(Lists!$ET$4:$ET$42,MATCH(ROW()-56,$CO$57:$CO$95,0)))</f>
        <v/>
      </c>
      <c r="CQ63">
        <f>CQ62+IF(AND(Lists!$EY$10&lt;&gt;"",ISNUMBER(SEARCH($AD$4,Lists!$EY$10))),1,0)</f>
        <v/>
      </c>
      <c r="CR63">
        <f>IF(ROW()-56&gt;MAX($CQ$57:$CQ$95),"",INDEX(Lists!$EY$4:$EY$42,MATCH(ROW()-56,$CQ$57:$CQ$95,0)))</f>
        <v/>
      </c>
      <c r="CS63">
        <f>CS62+IF(AND(Lists!$FD$10&lt;&gt;"",ISNUMBER(SEARCH($AE$4,Lists!$FD$10))),1,0)</f>
        <v/>
      </c>
      <c r="CT63">
        <f>IF(ROW()-56&gt;MAX($CS$57:$CS$95),"",INDEX(Lists!$FD$4:$FD$42,MATCH(ROW()-56,$CS$57:$CS$95,0)))</f>
        <v/>
      </c>
      <c r="CU63">
        <f>CU62+IF(AND(Lists!$FI$10&lt;&gt;"",ISNUMBER(SEARCH($AG$4,Lists!$FI$10))),1,0)</f>
        <v/>
      </c>
      <c r="CV63">
        <f>IF(ROW()-56&gt;MAX($CU$57:$CU$95),"",INDEX(Lists!$FI$4:$FI$42,MATCH(ROW()-56,$CU$57:$CU$95,0)))</f>
        <v/>
      </c>
      <c r="CW63">
        <f>CW62+IF(AND(Lists!$FN$10&lt;&gt;"",ISNUMBER(SEARCH($AH$4,Lists!$FN$10))),1,0)</f>
        <v/>
      </c>
      <c r="CX63">
        <f>IF(ROW()-56&gt;MAX($CW$57:$CW$95),"",INDEX(Lists!$FN$4:$FN$42,MATCH(ROW()-56,$CW$57:$CW$95,0)))</f>
        <v/>
      </c>
      <c r="CY63">
        <f>CY62+IF(AND(Lists!$FS$10&lt;&gt;"",ISNUMBER(SEARCH($AI$4,Lists!$FS$10))),1,0)</f>
        <v/>
      </c>
      <c r="CZ63">
        <f>IF(ROW()-56&gt;MAX($CY$57:$CY$95),"",INDEX(Lists!$FS$4:$FS$42,MATCH(ROW()-56,$CY$57:$CY$95,0)))</f>
        <v/>
      </c>
      <c r="DA63">
        <f>DA62+IF(AND(Lists!$FX$10&lt;&gt;"",ISNUMBER(SEARCH($AF$4,Lists!$FX$10))),1,0)</f>
        <v/>
      </c>
      <c r="DB63">
        <f>IF(ROW()-56&gt;MAX($DA$57:$DA$95),"",INDEX(Lists!$FX$4:$FX$42,MATCH(ROW()-56,$DA$57:$DA$95,0)))</f>
        <v/>
      </c>
      <c r="DG63">
        <f>IF($B$4="",1,IF($B$4="(blank)",--('Final Calculation Sheet'!$F$8=""),IF($B$4="(nonblank)",--('Final Calculation Sheet'!$F$8&lt;&gt;""),--ISNUMBER(SEARCH($B$4,'Final Calculation Sheet'!$F$8)))))</f>
        <v/>
      </c>
      <c r="DH63">
        <f>IF($C$4="",1,IF($C$4="(blank)",--('Final Calculation Sheet'!$G$8=""),IF($C$4="(nonblank)",--('Final Calculation Sheet'!$G$8&lt;&gt;""),--ISNUMBER(SEARCH($C$4,'Final Calculation Sheet'!$G$8)))))</f>
        <v/>
      </c>
      <c r="DI63">
        <f>IF($D$4="",1,IF($D$4="(blank)",--('Final Calculation Sheet'!$B$8=""),IF($D$4="(nonblank)",--('Final Calculation Sheet'!$B$8&lt;&gt;""),--ISNUMBER(SEARCH($D$4,'Final Calculation Sheet'!$B$8)))))</f>
        <v/>
      </c>
      <c r="DJ63">
        <f>IF($E$4="",1,IF($E$4="(blank)",--('Final Calculation Sheet'!$D$8=""),IF($E$4="(nonblank)",--('Final Calculation Sheet'!$D$8&lt;&gt;""),--ISNUMBER(SEARCH($E$4,'Final Calculation Sheet'!$D$8)))))</f>
        <v/>
      </c>
      <c r="DK63">
        <f>IF($F$4="",1,IF($F$4="(blank)",--('Final Calculation Sheet'!$A$8=""),IF($F$4="(nonblank)",--('Final Calculation Sheet'!$A$8&lt;&gt;""),--ISNUMBER(SEARCH($F$4,'Final Calculation Sheet'!$A$8)))))</f>
        <v/>
      </c>
      <c r="DL63">
        <f>IF($G$4="",1,IF($G$4="(blank)",--('Final Calculation Sheet'!$E$8=""),IF($G$4="(nonblank)",--('Final Calculation Sheet'!$E$8&lt;&gt;""),--ISNUMBER(SEARCH($G$4,'Final Calculation Sheet'!$E$8)))))</f>
        <v/>
      </c>
      <c r="DM63">
        <f>IF($H$4="",1,IF($H$4="(blank)",--('Final Calculation Sheet'!$C$8=""),IF($H$4="(nonblank)",--('Final Calculation Sheet'!$C$8&lt;&gt;""),--ISNUMBER(SEARCH($H$4,'Final Calculation Sheet'!$C$8)))))</f>
        <v/>
      </c>
      <c r="DN63">
        <f>IF($I$4="",1,IF($I$4="(blank)",--('Final Calculation Sheet'!$H$8=""),IF($I$4="(nonblank)",--('Final Calculation Sheet'!$H$8&lt;&gt;""),--ISNUMBER(SEARCH($I$4,'Final Calculation Sheet'!$H$8)))))</f>
        <v/>
      </c>
      <c r="DO63">
        <f>IF($J$4="",1,IF($J$4="(blank)",--('Final Calculation Sheet'!$I$8=""),IF($J$4="(nonblank)",--('Final Calculation Sheet'!$I$8&lt;&gt;""),--ISNUMBER(SEARCH($J$4,'Final Calculation Sheet'!$I$8)))))</f>
        <v/>
      </c>
      <c r="DP63">
        <f>IF($K$4="",1,IF($K$4="(blank)",--('Final Calculation Sheet'!$J$8=""),IF($K$4="(nonblank)",--('Final Calculation Sheet'!$J$8&lt;&gt;""),--ISNUMBER(SEARCH($K$4,'Final Calculation Sheet'!$J$8)))))</f>
        <v/>
      </c>
      <c r="DQ63">
        <f>IF($L$4="",1,IF($L$4="(blank)",--('Final Calculation Sheet'!$K$8=""),IF($L$4="(nonblank)",--('Final Calculation Sheet'!$K$8&lt;&gt;""),--ISNUMBER(SEARCH($L$4,'Final Calculation Sheet'!$K$8)))))</f>
        <v/>
      </c>
      <c r="DR63">
        <f>IF($M$4="",1,IF($M$4="(blank)",--('Final Calculation Sheet'!$L$8=""),IF($M$4="(nonblank)",--('Final Calculation Sheet'!$L$8&lt;&gt;""),--ISNUMBER(SEARCH($M$4,'Final Calculation Sheet'!$L$8)))))</f>
        <v/>
      </c>
      <c r="DS63">
        <f>IF($N$4="",1,IF($N$4="(blank)",--('Final Calculation Sheet'!$M$8=""),IF($N$4="(nonblank)",--('Final Calculation Sheet'!$M$8&lt;&gt;""),--ISNUMBER(SEARCH($N$4,'Final Calculation Sheet'!$M$8)))))</f>
        <v/>
      </c>
      <c r="DT63">
        <f>IF($O$4="",1,IF($O$4="(blank)",--('Final Calculation Sheet'!$N$8=""),IF($O$4="(nonblank)",--('Final Calculation Sheet'!$N$8&lt;&gt;""),--ISNUMBER(SEARCH($O$4,'Final Calculation Sheet'!$N$8)))))</f>
        <v/>
      </c>
      <c r="DU63">
        <f>IF($P$4="",1,IF($P$4="(blank)",--('Final Calculation Sheet'!$O$8=""),IF($P$4="(nonblank)",--('Final Calculation Sheet'!$O$8&lt;&gt;""),--ISNUMBER(SEARCH($P$4,'Final Calculation Sheet'!$O$8)))))</f>
        <v/>
      </c>
      <c r="DV63">
        <f>IF($Q$4="",1,IF($Q$4="(blank)",--('Final Calculation Sheet'!$P$8=""),IF($Q$4="(nonblank)",--('Final Calculation Sheet'!$P$8&lt;&gt;""),--ISNUMBER(SEARCH($Q$4,'Final Calculation Sheet'!$P$8)))))</f>
        <v/>
      </c>
      <c r="DW63">
        <f>IF($R$4="",1,IF($R$4="(blank)",--('Final Calculation Sheet'!$Q$8=""),IF($R$4="(nonblank)",--('Final Calculation Sheet'!$Q$8&lt;&gt;""),--ISNUMBER(SEARCH($R$4,'Final Calculation Sheet'!$Q$8)))))</f>
        <v/>
      </c>
      <c r="DX63">
        <f>IF($S$4="",1,IF($S$4="(blank)",--('Final Calculation Sheet'!$R$8=""),IF($S$4="(nonblank)",--('Final Calculation Sheet'!$R$8&lt;&gt;""),--ISNUMBER(SEARCH($S$4,'Final Calculation Sheet'!$R$8)))))</f>
        <v/>
      </c>
      <c r="DY63">
        <f>IF($T$4="",1,IF($T$4="(blank)",--('Final Calculation Sheet'!$S$8=""),IF($T$4="(nonblank)",--('Final Calculation Sheet'!$S$8&lt;&gt;""),--ISNUMBER(SEARCH($T$4,'Final Calculation Sheet'!$S$8)))))</f>
        <v/>
      </c>
      <c r="DZ63">
        <f>IF($U$4="",1,IF($U$4="(blank)",--('Final Calculation Sheet'!$T$8=""),IF($U$4="(nonblank)",--('Final Calculation Sheet'!$T$8&lt;&gt;""),--ISNUMBER(SEARCH($U$4,'Final Calculation Sheet'!$T$8)))))</f>
        <v/>
      </c>
      <c r="EA63">
        <f>IF($V$4="",1,IF($V$4="(blank)",--('Final Calculation Sheet'!$U$8=""),IF($V$4="(nonblank)",--('Final Calculation Sheet'!$U$8&lt;&gt;""),--ISNUMBER(SEARCH($V$4,'Final Calculation Sheet'!$U$8)))))</f>
        <v/>
      </c>
      <c r="EB63">
        <f>IF($W$4="",1,IF($W$4="(blank)",--('Final Calculation Sheet'!$V$8=""),IF($W$4="(nonblank)",--('Final Calculation Sheet'!$V$8&lt;&gt;""),--ISNUMBER(SEARCH($W$4,'Final Calculation Sheet'!$V$8)))))</f>
        <v/>
      </c>
      <c r="EC63">
        <f>IF($X$4="",1,IF($X$4="(blank)",--('Final Calculation Sheet'!$W$8=""),IF($X$4="(nonblank)",--('Final Calculation Sheet'!$W$8&lt;&gt;""),--ISNUMBER(SEARCH($X$4,'Final Calculation Sheet'!$W$8)))))</f>
        <v/>
      </c>
      <c r="ED63">
        <f>IF($Y$4="",1,IF($Y$4="(blank)",--('Final Calculation Sheet'!$X$8=""),IF($Y$4="(nonblank)",--('Final Calculation Sheet'!$X$8&lt;&gt;""),--ISNUMBER(SEARCH($Y$4,'Final Calculation Sheet'!$X$8)))))</f>
        <v/>
      </c>
      <c r="EE63">
        <f>IF($Z$4="",1,IF($Z$4="(blank)",--('Final Calculation Sheet'!$Y$8=""),IF($Z$4="(nonblank)",--('Final Calculation Sheet'!$Y$8&lt;&gt;""),--ISNUMBER(SEARCH($Z$4,'Final Calculation Sheet'!$Y$8)))))</f>
        <v/>
      </c>
      <c r="EF63">
        <f>IF($AA$4="",1,IF($AA$4="(blank)",--('Final Calculation Sheet'!$Z$8=""),IF($AA$4="(nonblank)",--('Final Calculation Sheet'!$Z$8&lt;&gt;""),--ISNUMBER(SEARCH($AA$4,'Final Calculation Sheet'!$Z$8)))))</f>
        <v/>
      </c>
      <c r="EG63">
        <f>IF($AB$4="",1,IF($AB$4="(blank)",--('Final Calculation Sheet'!$AA$8=""),IF($AB$4="(nonblank)",--('Final Calculation Sheet'!$AA$8&lt;&gt;""),--ISNUMBER(SEARCH($AB$4,'Final Calculation Sheet'!$AA$8)))))</f>
        <v/>
      </c>
      <c r="EH63">
        <f>IF($AC$4="",1,IF($AC$4="(blank)",--('Final Calculation Sheet'!$AB$8=""),IF($AC$4="(nonblank)",--('Final Calculation Sheet'!$AB$8&lt;&gt;""),--ISNUMBER(SEARCH($AC$4,'Final Calculation Sheet'!$AB$8)))))</f>
        <v/>
      </c>
      <c r="EI63">
        <f>IF($AD$4="",1,IF($AD$4="(blank)",--('Final Calculation Sheet'!$AC$8=""),IF($AD$4="(nonblank)",--('Final Calculation Sheet'!$AC$8&lt;&gt;""),--ISNUMBER(SEARCH($AD$4,'Final Calculation Sheet'!$AC$8)))))</f>
        <v/>
      </c>
      <c r="EJ63">
        <f>IF($AE$4="",1,IF($AE$4="(blank)",--('Final Calculation Sheet'!$AD$8=""),IF($AE$4="(nonblank)",--('Final Calculation Sheet'!$AD$8&lt;&gt;""),--ISNUMBER(SEARCH($AE$4,'Final Calculation Sheet'!$AD$8)))))</f>
        <v/>
      </c>
      <c r="EK63">
        <f>IF($AF$4="",1,IF($AF$4="(blank)",--(IF('Final Calculation Sheet'!$AD$8&lt;=5,"SETTLED","OUTSTANDING")=""),IF($AF$4="(nonblank)",--(IF('Final Calculation Sheet'!$AD$8&lt;=5,"SETTLED","OUTSTANDING")&lt;&gt;""),--ISNUMBER(SEARCH($AF$4,IF('Final Calculation Sheet'!$AD$8&lt;=5,"SETTLED","OUTSTANDING"))))))</f>
        <v/>
      </c>
      <c r="EL63">
        <f>IF($AG$4="",1,IF($AG$4="(blank)",--('Final Calculation Sheet'!$AF$8=""),IF($AG$4="(nonblank)",--('Final Calculation Sheet'!$AF$8&lt;&gt;""),--ISNUMBER(SEARCH($AG$4,'Final Calculation Sheet'!$AF$8)))))</f>
        <v/>
      </c>
      <c r="EM63">
        <f>IF($AH$4="",1,IF($AH$4="(blank)",--('Final Calculation Sheet'!$AG$8=""),IF($AH$4="(nonblank)",--('Final Calculation Sheet'!$AG$8&lt;&gt;""),--ISNUMBER(SEARCH($AH$4,'Final Calculation Sheet'!$AG$8)))))</f>
        <v/>
      </c>
      <c r="EN63">
        <f>IF($AI$4="",1,IF($AI$4="(blank)",--('Final Calculation Sheet'!$AH$8=""),IF($AI$4="(nonblank)",--('Final Calculation Sheet'!$AH$8&lt;&gt;""),--ISNUMBER(SEARCH($AI$4,'Final Calculation Sheet'!$AH$8)))))</f>
        <v/>
      </c>
    </row>
    <row r="64">
      <c r="AM64">
        <f>AM63+IF(AND(Lists!$O$11&lt;&gt;"",ISNUMBER(SEARCH($B$4,Lists!$O$11))),1,0)</f>
        <v/>
      </c>
      <c r="AN64">
        <f>IF(ROW()-56&gt;MAX($AM$57:$AM$95),"",INDEX(Lists!$O$4:$O$42,MATCH(ROW()-56,$AM$57:$AM$95,0)))</f>
        <v/>
      </c>
      <c r="AO64">
        <f>AO63+IF(AND(Lists!$T$11&lt;&gt;"",ISNUMBER(SEARCH($C$4,Lists!$T$11))),1,0)</f>
        <v/>
      </c>
      <c r="AP64">
        <f>IF(ROW()-56&gt;MAX($AO$57:$AO$95),"",INDEX(Lists!$T$4:$T$42,MATCH(ROW()-56,$AO$57:$AO$95,0)))</f>
        <v/>
      </c>
      <c r="AQ64">
        <f>AQ63+IF(AND(Lists!$Y$11&lt;&gt;"",ISNUMBER(SEARCH($D$4,Lists!$Y$11))),1,0)</f>
        <v/>
      </c>
      <c r="AR64">
        <f>IF(ROW()-56&gt;MAX($AQ$57:$AQ$95),"",INDEX(Lists!$Y$4:$Y$42,MATCH(ROW()-56,$AQ$57:$AQ$95,0)))</f>
        <v/>
      </c>
      <c r="AS64">
        <f>AS63+IF(AND(Lists!$AD$11&lt;&gt;"",ISNUMBER(SEARCH($E$4,Lists!$AD$11))),1,0)</f>
        <v/>
      </c>
      <c r="AT64">
        <f>IF(ROW()-56&gt;MAX($AS$57:$AS$95),"",INDEX(Lists!$AD$4:$AD$42,MATCH(ROW()-56,$AS$57:$AS$95,0)))</f>
        <v/>
      </c>
      <c r="AU64">
        <f>AU63+IF(AND(Lists!$AI$11&lt;&gt;"",ISNUMBER(SEARCH($F$4,Lists!$AI$11))),1,0)</f>
        <v/>
      </c>
      <c r="AV64">
        <f>IF(ROW()-56&gt;MAX($AU$57:$AU$95),"",INDEX(Lists!$AI$4:$AI$42,MATCH(ROW()-56,$AU$57:$AU$95,0)))</f>
        <v/>
      </c>
      <c r="AW64">
        <f>AW63+IF(AND(Lists!$AN$11&lt;&gt;"",ISNUMBER(SEARCH($G$4,Lists!$AN$11))),1,0)</f>
        <v/>
      </c>
      <c r="AX64">
        <f>IF(ROW()-56&gt;MAX($AW$57:$AW$95),"",INDEX(Lists!$AN$4:$AN$42,MATCH(ROW()-56,$AW$57:$AW$95,0)))</f>
        <v/>
      </c>
      <c r="AY64">
        <f>AY63+IF(AND(Lists!$AS$11&lt;&gt;"",ISNUMBER(SEARCH($H$4,Lists!$AS$11))),1,0)</f>
        <v/>
      </c>
      <c r="AZ64">
        <f>IF(ROW()-56&gt;MAX($AY$57:$AY$95),"",INDEX(Lists!$AS$4:$AS$42,MATCH(ROW()-56,$AY$57:$AY$95,0)))</f>
        <v/>
      </c>
      <c r="BA64">
        <f>BA63+IF(AND(Lists!$AX$11&lt;&gt;"",ISNUMBER(SEARCH($I$4,Lists!$AX$11))),1,0)</f>
        <v/>
      </c>
      <c r="BB64">
        <f>IF(ROW()-56&gt;MAX($BA$57:$BA$95),"",INDEX(Lists!$AX$4:$AX$42,MATCH(ROW()-56,$BA$57:$BA$95,0)))</f>
        <v/>
      </c>
      <c r="BC64">
        <f>BC63+IF(AND(Lists!$BC$11&lt;&gt;"",ISNUMBER(SEARCH($J$4,Lists!$BC$11))),1,0)</f>
        <v/>
      </c>
      <c r="BD64">
        <f>IF(ROW()-56&gt;MAX($BC$57:$BC$95),"",INDEX(Lists!$BC$4:$BC$42,MATCH(ROW()-56,$BC$57:$BC$95,0)))</f>
        <v/>
      </c>
      <c r="BE64">
        <f>BE63+IF(AND(Lists!$BH$11&lt;&gt;"",ISNUMBER(SEARCH($K$4,Lists!$BH$11))),1,0)</f>
        <v/>
      </c>
      <c r="BF64">
        <f>IF(ROW()-56&gt;MAX($BE$57:$BE$95),"",INDEX(Lists!$BH$4:$BH$42,MATCH(ROW()-56,$BE$57:$BE$95,0)))</f>
        <v/>
      </c>
      <c r="BG64">
        <f>BG63+IF(AND(Lists!$BM$11&lt;&gt;"",ISNUMBER(SEARCH($L$4,Lists!$BM$11))),1,0)</f>
        <v/>
      </c>
      <c r="BH64">
        <f>IF(ROW()-56&gt;MAX($BG$57:$BG$95),"",INDEX(Lists!$BM$4:$BM$42,MATCH(ROW()-56,$BG$57:$BG$95,0)))</f>
        <v/>
      </c>
      <c r="BI64">
        <f>BI63+IF(AND(Lists!$BR$11&lt;&gt;"",ISNUMBER(SEARCH($M$4,Lists!$BR$11))),1,0)</f>
        <v/>
      </c>
      <c r="BJ64">
        <f>IF(ROW()-56&gt;MAX($BI$57:$BI$95),"",INDEX(Lists!$BR$4:$BR$42,MATCH(ROW()-56,$BI$57:$BI$95,0)))</f>
        <v/>
      </c>
      <c r="BK64">
        <f>BK63+IF(AND(Lists!$BW$11&lt;&gt;"",ISNUMBER(SEARCH($N$4,Lists!$BW$11))),1,0)</f>
        <v/>
      </c>
      <c r="BL64">
        <f>IF(ROW()-56&gt;MAX($BK$57:$BK$95),"",INDEX(Lists!$BW$4:$BW$42,MATCH(ROW()-56,$BK$57:$BK$95,0)))</f>
        <v/>
      </c>
      <c r="BM64">
        <f>BM63+IF(AND(Lists!$CB$11&lt;&gt;"",ISNUMBER(SEARCH($O$4,Lists!$CB$11))),1,0)</f>
        <v/>
      </c>
      <c r="BN64">
        <f>IF(ROW()-56&gt;MAX($BM$57:$BM$95),"",INDEX(Lists!$CB$4:$CB$42,MATCH(ROW()-56,$BM$57:$BM$95,0)))</f>
        <v/>
      </c>
      <c r="BO64">
        <f>BO63+IF(AND(Lists!$CG$11&lt;&gt;"",ISNUMBER(SEARCH($P$4,Lists!$CG$11))),1,0)</f>
        <v/>
      </c>
      <c r="BP64">
        <f>IF(ROW()-56&gt;MAX($BO$57:$BO$95),"",INDEX(Lists!$CG$4:$CG$42,MATCH(ROW()-56,$BO$57:$BO$95,0)))</f>
        <v/>
      </c>
      <c r="BQ64">
        <f>BQ63+IF(AND(Lists!$CL$11&lt;&gt;"",ISNUMBER(SEARCH($Q$4,Lists!$CL$11))),1,0)</f>
        <v/>
      </c>
      <c r="BR64">
        <f>IF(ROW()-56&gt;MAX($BQ$57:$BQ$95),"",INDEX(Lists!$CL$4:$CL$42,MATCH(ROW()-56,$BQ$57:$BQ$95,0)))</f>
        <v/>
      </c>
      <c r="BS64">
        <f>BS63+IF(AND(Lists!$CQ$11&lt;&gt;"",ISNUMBER(SEARCH($R$4,Lists!$CQ$11))),1,0)</f>
        <v/>
      </c>
      <c r="BT64">
        <f>IF(ROW()-56&gt;MAX($BS$57:$BS$95),"",INDEX(Lists!$CQ$4:$CQ$42,MATCH(ROW()-56,$BS$57:$BS$95,0)))</f>
        <v/>
      </c>
      <c r="BU64">
        <f>BU63+IF(AND(Lists!$CV$11&lt;&gt;"",ISNUMBER(SEARCH($S$4,Lists!$CV$11))),1,0)</f>
        <v/>
      </c>
      <c r="BV64">
        <f>IF(ROW()-56&gt;MAX($BU$57:$BU$95),"",INDEX(Lists!$CV$4:$CV$42,MATCH(ROW()-56,$BU$57:$BU$95,0)))</f>
        <v/>
      </c>
      <c r="BW64">
        <f>BW63+IF(AND(Lists!$DA$11&lt;&gt;"",ISNUMBER(SEARCH($T$4,Lists!$DA$11))),1,0)</f>
        <v/>
      </c>
      <c r="BX64">
        <f>IF(ROW()-56&gt;MAX($BW$57:$BW$95),"",INDEX(Lists!$DA$4:$DA$42,MATCH(ROW()-56,$BW$57:$BW$95,0)))</f>
        <v/>
      </c>
      <c r="BY64">
        <f>BY63+IF(AND(Lists!$DF$11&lt;&gt;"",ISNUMBER(SEARCH($U$4,Lists!$DF$11))),1,0)</f>
        <v/>
      </c>
      <c r="BZ64">
        <f>IF(ROW()-56&gt;MAX($BY$57:$BY$95),"",INDEX(Lists!$DF$4:$DF$42,MATCH(ROW()-56,$BY$57:$BY$95,0)))</f>
        <v/>
      </c>
      <c r="CA64">
        <f>CA63+IF(AND(Lists!$DK$11&lt;&gt;"",ISNUMBER(SEARCH($V$4,Lists!$DK$11))),1,0)</f>
        <v/>
      </c>
      <c r="CB64">
        <f>IF(ROW()-56&gt;MAX($CA$57:$CA$95),"",INDEX(Lists!$DK$4:$DK$42,MATCH(ROW()-56,$CA$57:$CA$95,0)))</f>
        <v/>
      </c>
      <c r="CC64">
        <f>CC63+IF(AND(Lists!$DP$11&lt;&gt;"",ISNUMBER(SEARCH($W$4,Lists!$DP$11))),1,0)</f>
        <v/>
      </c>
      <c r="CD64">
        <f>IF(ROW()-56&gt;MAX($CC$57:$CC$95),"",INDEX(Lists!$DP$4:$DP$42,MATCH(ROW()-56,$CC$57:$CC$95,0)))</f>
        <v/>
      </c>
      <c r="CE64">
        <f>CE63+IF(AND(Lists!$DU$11&lt;&gt;"",ISNUMBER(SEARCH($X$4,Lists!$DU$11))),1,0)</f>
        <v/>
      </c>
      <c r="CF64">
        <f>IF(ROW()-56&gt;MAX($CE$57:$CE$95),"",INDEX(Lists!$DU$4:$DU$42,MATCH(ROW()-56,$CE$57:$CE$95,0)))</f>
        <v/>
      </c>
      <c r="CG64">
        <f>CG63+IF(AND(Lists!$DZ$11&lt;&gt;"",ISNUMBER(SEARCH($Y$4,Lists!$DZ$11))),1,0)</f>
        <v/>
      </c>
      <c r="CH64">
        <f>IF(ROW()-56&gt;MAX($CG$57:$CG$95),"",INDEX(Lists!$DZ$4:$DZ$42,MATCH(ROW()-56,$CG$57:$CG$95,0)))</f>
        <v/>
      </c>
      <c r="CI64">
        <f>CI63+IF(AND(Lists!$EE$11&lt;&gt;"",ISNUMBER(SEARCH($Z$4,Lists!$EE$11))),1,0)</f>
        <v/>
      </c>
      <c r="CJ64">
        <f>IF(ROW()-56&gt;MAX($CI$57:$CI$95),"",INDEX(Lists!$EE$4:$EE$42,MATCH(ROW()-56,$CI$57:$CI$95,0)))</f>
        <v/>
      </c>
      <c r="CK64">
        <f>CK63+IF(AND(Lists!$EJ$11&lt;&gt;"",ISNUMBER(SEARCH($AA$4,Lists!$EJ$11))),1,0)</f>
        <v/>
      </c>
      <c r="CL64">
        <f>IF(ROW()-56&gt;MAX($CK$57:$CK$95),"",INDEX(Lists!$EJ$4:$EJ$42,MATCH(ROW()-56,$CK$57:$CK$95,0)))</f>
        <v/>
      </c>
      <c r="CM64">
        <f>CM63+IF(AND(Lists!$EO$11&lt;&gt;"",ISNUMBER(SEARCH($AB$4,Lists!$EO$11))),1,0)</f>
        <v/>
      </c>
      <c r="CN64">
        <f>IF(ROW()-56&gt;MAX($CM$57:$CM$95),"",INDEX(Lists!$EO$4:$EO$42,MATCH(ROW()-56,$CM$57:$CM$95,0)))</f>
        <v/>
      </c>
      <c r="CO64">
        <f>CO63+IF(AND(Lists!$ET$11&lt;&gt;"",ISNUMBER(SEARCH($AC$4,Lists!$ET$11))),1,0)</f>
        <v/>
      </c>
      <c r="CP64">
        <f>IF(ROW()-56&gt;MAX($CO$57:$CO$95),"",INDEX(Lists!$ET$4:$ET$42,MATCH(ROW()-56,$CO$57:$CO$95,0)))</f>
        <v/>
      </c>
      <c r="CQ64">
        <f>CQ63+IF(AND(Lists!$EY$11&lt;&gt;"",ISNUMBER(SEARCH($AD$4,Lists!$EY$11))),1,0)</f>
        <v/>
      </c>
      <c r="CR64">
        <f>IF(ROW()-56&gt;MAX($CQ$57:$CQ$95),"",INDEX(Lists!$EY$4:$EY$42,MATCH(ROW()-56,$CQ$57:$CQ$95,0)))</f>
        <v/>
      </c>
      <c r="CS64">
        <f>CS63+IF(AND(Lists!$FD$11&lt;&gt;"",ISNUMBER(SEARCH($AE$4,Lists!$FD$11))),1,0)</f>
        <v/>
      </c>
      <c r="CT64">
        <f>IF(ROW()-56&gt;MAX($CS$57:$CS$95),"",INDEX(Lists!$FD$4:$FD$42,MATCH(ROW()-56,$CS$57:$CS$95,0)))</f>
        <v/>
      </c>
      <c r="CU64">
        <f>CU63+IF(AND(Lists!$FI$11&lt;&gt;"",ISNUMBER(SEARCH($AG$4,Lists!$FI$11))),1,0)</f>
        <v/>
      </c>
      <c r="CV64">
        <f>IF(ROW()-56&gt;MAX($CU$57:$CU$95),"",INDEX(Lists!$FI$4:$FI$42,MATCH(ROW()-56,$CU$57:$CU$95,0)))</f>
        <v/>
      </c>
      <c r="CW64">
        <f>CW63+IF(AND(Lists!$FN$11&lt;&gt;"",ISNUMBER(SEARCH($AH$4,Lists!$FN$11))),1,0)</f>
        <v/>
      </c>
      <c r="CX64">
        <f>IF(ROW()-56&gt;MAX($CW$57:$CW$95),"",INDEX(Lists!$FN$4:$FN$42,MATCH(ROW()-56,$CW$57:$CW$95,0)))</f>
        <v/>
      </c>
      <c r="CY64">
        <f>CY63+IF(AND(Lists!$FS$11&lt;&gt;"",ISNUMBER(SEARCH($AI$4,Lists!$FS$11))),1,0)</f>
        <v/>
      </c>
      <c r="CZ64">
        <f>IF(ROW()-56&gt;MAX($CY$57:$CY$95),"",INDEX(Lists!$FS$4:$FS$42,MATCH(ROW()-56,$CY$57:$CY$95,0)))</f>
        <v/>
      </c>
      <c r="DA64">
        <f>DA63+IF(AND(Lists!$FX$11&lt;&gt;"",ISNUMBER(SEARCH($AF$4,Lists!$FX$11))),1,0)</f>
        <v/>
      </c>
      <c r="DB64">
        <f>IF(ROW()-56&gt;MAX($DA$57:$DA$95),"",INDEX(Lists!$FX$4:$FX$42,MATCH(ROW()-56,$DA$57:$DA$95,0)))</f>
        <v/>
      </c>
      <c r="DG64">
        <f>IF($B$4="",1,IF($B$4="(blank)",--('Final Calculation Sheet'!$F$9=""),IF($B$4="(nonblank)",--('Final Calculation Sheet'!$F$9&lt;&gt;""),--ISNUMBER(SEARCH($B$4,'Final Calculation Sheet'!$F$9)))))</f>
        <v/>
      </c>
      <c r="DH64">
        <f>IF($C$4="",1,IF($C$4="(blank)",--('Final Calculation Sheet'!$G$9=""),IF($C$4="(nonblank)",--('Final Calculation Sheet'!$G$9&lt;&gt;""),--ISNUMBER(SEARCH($C$4,'Final Calculation Sheet'!$G$9)))))</f>
        <v/>
      </c>
      <c r="DI64">
        <f>IF($D$4="",1,IF($D$4="(blank)",--('Final Calculation Sheet'!$B$9=""),IF($D$4="(nonblank)",--('Final Calculation Sheet'!$B$9&lt;&gt;""),--ISNUMBER(SEARCH($D$4,'Final Calculation Sheet'!$B$9)))))</f>
        <v/>
      </c>
      <c r="DJ64">
        <f>IF($E$4="",1,IF($E$4="(blank)",--('Final Calculation Sheet'!$D$9=""),IF($E$4="(nonblank)",--('Final Calculation Sheet'!$D$9&lt;&gt;""),--ISNUMBER(SEARCH($E$4,'Final Calculation Sheet'!$D$9)))))</f>
        <v/>
      </c>
      <c r="DK64">
        <f>IF($F$4="",1,IF($F$4="(blank)",--('Final Calculation Sheet'!$A$9=""),IF($F$4="(nonblank)",--('Final Calculation Sheet'!$A$9&lt;&gt;""),--ISNUMBER(SEARCH($F$4,'Final Calculation Sheet'!$A$9)))))</f>
        <v/>
      </c>
      <c r="DL64">
        <f>IF($G$4="",1,IF($G$4="(blank)",--('Final Calculation Sheet'!$E$9=""),IF($G$4="(nonblank)",--('Final Calculation Sheet'!$E$9&lt;&gt;""),--ISNUMBER(SEARCH($G$4,'Final Calculation Sheet'!$E$9)))))</f>
        <v/>
      </c>
      <c r="DM64">
        <f>IF($H$4="",1,IF($H$4="(blank)",--('Final Calculation Sheet'!$C$9=""),IF($H$4="(nonblank)",--('Final Calculation Sheet'!$C$9&lt;&gt;""),--ISNUMBER(SEARCH($H$4,'Final Calculation Sheet'!$C$9)))))</f>
        <v/>
      </c>
      <c r="DN64">
        <f>IF($I$4="",1,IF($I$4="(blank)",--('Final Calculation Sheet'!$H$9=""),IF($I$4="(nonblank)",--('Final Calculation Sheet'!$H$9&lt;&gt;""),--ISNUMBER(SEARCH($I$4,'Final Calculation Sheet'!$H$9)))))</f>
        <v/>
      </c>
      <c r="DO64">
        <f>IF($J$4="",1,IF($J$4="(blank)",--('Final Calculation Sheet'!$I$9=""),IF($J$4="(nonblank)",--('Final Calculation Sheet'!$I$9&lt;&gt;""),--ISNUMBER(SEARCH($J$4,'Final Calculation Sheet'!$I$9)))))</f>
        <v/>
      </c>
      <c r="DP64">
        <f>IF($K$4="",1,IF($K$4="(blank)",--('Final Calculation Sheet'!$J$9=""),IF($K$4="(nonblank)",--('Final Calculation Sheet'!$J$9&lt;&gt;""),--ISNUMBER(SEARCH($K$4,'Final Calculation Sheet'!$J$9)))))</f>
        <v/>
      </c>
      <c r="DQ64">
        <f>IF($L$4="",1,IF($L$4="(blank)",--('Final Calculation Sheet'!$K$9=""),IF($L$4="(nonblank)",--('Final Calculation Sheet'!$K$9&lt;&gt;""),--ISNUMBER(SEARCH($L$4,'Final Calculation Sheet'!$K$9)))))</f>
        <v/>
      </c>
      <c r="DR64">
        <f>IF($M$4="",1,IF($M$4="(blank)",--('Final Calculation Sheet'!$L$9=""),IF($M$4="(nonblank)",--('Final Calculation Sheet'!$L$9&lt;&gt;""),--ISNUMBER(SEARCH($M$4,'Final Calculation Sheet'!$L$9)))))</f>
        <v/>
      </c>
      <c r="DS64">
        <f>IF($N$4="",1,IF($N$4="(blank)",--('Final Calculation Sheet'!$M$9=""),IF($N$4="(nonblank)",--('Final Calculation Sheet'!$M$9&lt;&gt;""),--ISNUMBER(SEARCH($N$4,'Final Calculation Sheet'!$M$9)))))</f>
        <v/>
      </c>
      <c r="DT64">
        <f>IF($O$4="",1,IF($O$4="(blank)",--('Final Calculation Sheet'!$N$9=""),IF($O$4="(nonblank)",--('Final Calculation Sheet'!$N$9&lt;&gt;""),--ISNUMBER(SEARCH($O$4,'Final Calculation Sheet'!$N$9)))))</f>
        <v/>
      </c>
      <c r="DU64">
        <f>IF($P$4="",1,IF($P$4="(blank)",--('Final Calculation Sheet'!$O$9=""),IF($P$4="(nonblank)",--('Final Calculation Sheet'!$O$9&lt;&gt;""),--ISNUMBER(SEARCH($P$4,'Final Calculation Sheet'!$O$9)))))</f>
        <v/>
      </c>
      <c r="DV64">
        <f>IF($Q$4="",1,IF($Q$4="(blank)",--('Final Calculation Sheet'!$P$9=""),IF($Q$4="(nonblank)",--('Final Calculation Sheet'!$P$9&lt;&gt;""),--ISNUMBER(SEARCH($Q$4,'Final Calculation Sheet'!$P$9)))))</f>
        <v/>
      </c>
      <c r="DW64">
        <f>IF($R$4="",1,IF($R$4="(blank)",--('Final Calculation Sheet'!$Q$9=""),IF($R$4="(nonblank)",--('Final Calculation Sheet'!$Q$9&lt;&gt;""),--ISNUMBER(SEARCH($R$4,'Final Calculation Sheet'!$Q$9)))))</f>
        <v/>
      </c>
      <c r="DX64">
        <f>IF($S$4="",1,IF($S$4="(blank)",--('Final Calculation Sheet'!$R$9=""),IF($S$4="(nonblank)",--('Final Calculation Sheet'!$R$9&lt;&gt;""),--ISNUMBER(SEARCH($S$4,'Final Calculation Sheet'!$R$9)))))</f>
        <v/>
      </c>
      <c r="DY64">
        <f>IF($T$4="",1,IF($T$4="(blank)",--('Final Calculation Sheet'!$S$9=""),IF($T$4="(nonblank)",--('Final Calculation Sheet'!$S$9&lt;&gt;""),--ISNUMBER(SEARCH($T$4,'Final Calculation Sheet'!$S$9)))))</f>
        <v/>
      </c>
      <c r="DZ64">
        <f>IF($U$4="",1,IF($U$4="(blank)",--('Final Calculation Sheet'!$T$9=""),IF($U$4="(nonblank)",--('Final Calculation Sheet'!$T$9&lt;&gt;""),--ISNUMBER(SEARCH($U$4,'Final Calculation Sheet'!$T$9)))))</f>
        <v/>
      </c>
      <c r="EA64">
        <f>IF($V$4="",1,IF($V$4="(blank)",--('Final Calculation Sheet'!$U$9=""),IF($V$4="(nonblank)",--('Final Calculation Sheet'!$U$9&lt;&gt;""),--ISNUMBER(SEARCH($V$4,'Final Calculation Sheet'!$U$9)))))</f>
        <v/>
      </c>
      <c r="EB64">
        <f>IF($W$4="",1,IF($W$4="(blank)",--('Final Calculation Sheet'!$V$9=""),IF($W$4="(nonblank)",--('Final Calculation Sheet'!$V$9&lt;&gt;""),--ISNUMBER(SEARCH($W$4,'Final Calculation Sheet'!$V$9)))))</f>
        <v/>
      </c>
      <c r="EC64">
        <f>IF($X$4="",1,IF($X$4="(blank)",--('Final Calculation Sheet'!$W$9=""),IF($X$4="(nonblank)",--('Final Calculation Sheet'!$W$9&lt;&gt;""),--ISNUMBER(SEARCH($X$4,'Final Calculation Sheet'!$W$9)))))</f>
        <v/>
      </c>
      <c r="ED64">
        <f>IF($Y$4="",1,IF($Y$4="(blank)",--('Final Calculation Sheet'!$X$9=""),IF($Y$4="(nonblank)",--('Final Calculation Sheet'!$X$9&lt;&gt;""),--ISNUMBER(SEARCH($Y$4,'Final Calculation Sheet'!$X$9)))))</f>
        <v/>
      </c>
      <c r="EE64">
        <f>IF($Z$4="",1,IF($Z$4="(blank)",--('Final Calculation Sheet'!$Y$9=""),IF($Z$4="(nonblank)",--('Final Calculation Sheet'!$Y$9&lt;&gt;""),--ISNUMBER(SEARCH($Z$4,'Final Calculation Sheet'!$Y$9)))))</f>
        <v/>
      </c>
      <c r="EF64">
        <f>IF($AA$4="",1,IF($AA$4="(blank)",--('Final Calculation Sheet'!$Z$9=""),IF($AA$4="(nonblank)",--('Final Calculation Sheet'!$Z$9&lt;&gt;""),--ISNUMBER(SEARCH($AA$4,'Final Calculation Sheet'!$Z$9)))))</f>
        <v/>
      </c>
      <c r="EG64">
        <f>IF($AB$4="",1,IF($AB$4="(blank)",--('Final Calculation Sheet'!$AA$9=""),IF($AB$4="(nonblank)",--('Final Calculation Sheet'!$AA$9&lt;&gt;""),--ISNUMBER(SEARCH($AB$4,'Final Calculation Sheet'!$AA$9)))))</f>
        <v/>
      </c>
      <c r="EH64">
        <f>IF($AC$4="",1,IF($AC$4="(blank)",--('Final Calculation Sheet'!$AB$9=""),IF($AC$4="(nonblank)",--('Final Calculation Sheet'!$AB$9&lt;&gt;""),--ISNUMBER(SEARCH($AC$4,'Final Calculation Sheet'!$AB$9)))))</f>
        <v/>
      </c>
      <c r="EI64">
        <f>IF($AD$4="",1,IF($AD$4="(blank)",--('Final Calculation Sheet'!$AC$9=""),IF($AD$4="(nonblank)",--('Final Calculation Sheet'!$AC$9&lt;&gt;""),--ISNUMBER(SEARCH($AD$4,'Final Calculation Sheet'!$AC$9)))))</f>
        <v/>
      </c>
      <c r="EJ64">
        <f>IF($AE$4="",1,IF($AE$4="(blank)",--('Final Calculation Sheet'!$AD$9=""),IF($AE$4="(nonblank)",--('Final Calculation Sheet'!$AD$9&lt;&gt;""),--ISNUMBER(SEARCH($AE$4,'Final Calculation Sheet'!$AD$9)))))</f>
        <v/>
      </c>
      <c r="EK64">
        <f>IF($AF$4="",1,IF($AF$4="(blank)",--(IF('Final Calculation Sheet'!$AD$9&lt;=5,"SETTLED","OUTSTANDING")=""),IF($AF$4="(nonblank)",--(IF('Final Calculation Sheet'!$AD$9&lt;=5,"SETTLED","OUTSTANDING")&lt;&gt;""),--ISNUMBER(SEARCH($AF$4,IF('Final Calculation Sheet'!$AD$9&lt;=5,"SETTLED","OUTSTANDING"))))))</f>
        <v/>
      </c>
      <c r="EL64">
        <f>IF($AG$4="",1,IF($AG$4="(blank)",--('Final Calculation Sheet'!$AF$9=""),IF($AG$4="(nonblank)",--('Final Calculation Sheet'!$AF$9&lt;&gt;""),--ISNUMBER(SEARCH($AG$4,'Final Calculation Sheet'!$AF$9)))))</f>
        <v/>
      </c>
      <c r="EM64">
        <f>IF($AH$4="",1,IF($AH$4="(blank)",--('Final Calculation Sheet'!$AG$9=""),IF($AH$4="(nonblank)",--('Final Calculation Sheet'!$AG$9&lt;&gt;""),--ISNUMBER(SEARCH($AH$4,'Final Calculation Sheet'!$AG$9)))))</f>
        <v/>
      </c>
      <c r="EN64">
        <f>IF($AI$4="",1,IF($AI$4="(blank)",--('Final Calculation Sheet'!$AH$9=""),IF($AI$4="(nonblank)",--('Final Calculation Sheet'!$AH$9&lt;&gt;""),--ISNUMBER(SEARCH($AI$4,'Final Calculation Sheet'!$AH$9)))))</f>
        <v/>
      </c>
    </row>
    <row r="65">
      <c r="AM65">
        <f>AM64+IF(AND(Lists!$O$12&lt;&gt;"",ISNUMBER(SEARCH($B$4,Lists!$O$12))),1,0)</f>
        <v/>
      </c>
      <c r="AN65">
        <f>IF(ROW()-56&gt;MAX($AM$57:$AM$95),"",INDEX(Lists!$O$4:$O$42,MATCH(ROW()-56,$AM$57:$AM$95,0)))</f>
        <v/>
      </c>
      <c r="AO65">
        <f>AO64+IF(AND(Lists!$T$12&lt;&gt;"",ISNUMBER(SEARCH($C$4,Lists!$T$12))),1,0)</f>
        <v/>
      </c>
      <c r="AP65">
        <f>IF(ROW()-56&gt;MAX($AO$57:$AO$95),"",INDEX(Lists!$T$4:$T$42,MATCH(ROW()-56,$AO$57:$AO$95,0)))</f>
        <v/>
      </c>
      <c r="AQ65">
        <f>AQ64+IF(AND(Lists!$Y$12&lt;&gt;"",ISNUMBER(SEARCH($D$4,Lists!$Y$12))),1,0)</f>
        <v/>
      </c>
      <c r="AR65">
        <f>IF(ROW()-56&gt;MAX($AQ$57:$AQ$95),"",INDEX(Lists!$Y$4:$Y$42,MATCH(ROW()-56,$AQ$57:$AQ$95,0)))</f>
        <v/>
      </c>
      <c r="AS65">
        <f>AS64+IF(AND(Lists!$AD$12&lt;&gt;"",ISNUMBER(SEARCH($E$4,Lists!$AD$12))),1,0)</f>
        <v/>
      </c>
      <c r="AT65">
        <f>IF(ROW()-56&gt;MAX($AS$57:$AS$95),"",INDEX(Lists!$AD$4:$AD$42,MATCH(ROW()-56,$AS$57:$AS$95,0)))</f>
        <v/>
      </c>
      <c r="AU65">
        <f>AU64+IF(AND(Lists!$AI$12&lt;&gt;"",ISNUMBER(SEARCH($F$4,Lists!$AI$12))),1,0)</f>
        <v/>
      </c>
      <c r="AV65">
        <f>IF(ROW()-56&gt;MAX($AU$57:$AU$95),"",INDEX(Lists!$AI$4:$AI$42,MATCH(ROW()-56,$AU$57:$AU$95,0)))</f>
        <v/>
      </c>
      <c r="AW65">
        <f>AW64+IF(AND(Lists!$AN$12&lt;&gt;"",ISNUMBER(SEARCH($G$4,Lists!$AN$12))),1,0)</f>
        <v/>
      </c>
      <c r="AX65">
        <f>IF(ROW()-56&gt;MAX($AW$57:$AW$95),"",INDEX(Lists!$AN$4:$AN$42,MATCH(ROW()-56,$AW$57:$AW$95,0)))</f>
        <v/>
      </c>
      <c r="AY65">
        <f>AY64+IF(AND(Lists!$AS$12&lt;&gt;"",ISNUMBER(SEARCH($H$4,Lists!$AS$12))),1,0)</f>
        <v/>
      </c>
      <c r="AZ65">
        <f>IF(ROW()-56&gt;MAX($AY$57:$AY$95),"",INDEX(Lists!$AS$4:$AS$42,MATCH(ROW()-56,$AY$57:$AY$95,0)))</f>
        <v/>
      </c>
      <c r="BA65">
        <f>BA64+IF(AND(Lists!$AX$12&lt;&gt;"",ISNUMBER(SEARCH($I$4,Lists!$AX$12))),1,0)</f>
        <v/>
      </c>
      <c r="BB65">
        <f>IF(ROW()-56&gt;MAX($BA$57:$BA$95),"",INDEX(Lists!$AX$4:$AX$42,MATCH(ROW()-56,$BA$57:$BA$95,0)))</f>
        <v/>
      </c>
      <c r="BC65">
        <f>BC64+IF(AND(Lists!$BC$12&lt;&gt;"",ISNUMBER(SEARCH($J$4,Lists!$BC$12))),1,0)</f>
        <v/>
      </c>
      <c r="BD65">
        <f>IF(ROW()-56&gt;MAX($BC$57:$BC$95),"",INDEX(Lists!$BC$4:$BC$42,MATCH(ROW()-56,$BC$57:$BC$95,0)))</f>
        <v/>
      </c>
      <c r="BE65">
        <f>BE64+IF(AND(Lists!$BH$12&lt;&gt;"",ISNUMBER(SEARCH($K$4,Lists!$BH$12))),1,0)</f>
        <v/>
      </c>
      <c r="BF65">
        <f>IF(ROW()-56&gt;MAX($BE$57:$BE$95),"",INDEX(Lists!$BH$4:$BH$42,MATCH(ROW()-56,$BE$57:$BE$95,0)))</f>
        <v/>
      </c>
      <c r="BG65">
        <f>BG64+IF(AND(Lists!$BM$12&lt;&gt;"",ISNUMBER(SEARCH($L$4,Lists!$BM$12))),1,0)</f>
        <v/>
      </c>
      <c r="BH65">
        <f>IF(ROW()-56&gt;MAX($BG$57:$BG$95),"",INDEX(Lists!$BM$4:$BM$42,MATCH(ROW()-56,$BG$57:$BG$95,0)))</f>
        <v/>
      </c>
      <c r="BI65">
        <f>BI64+IF(AND(Lists!$BR$12&lt;&gt;"",ISNUMBER(SEARCH($M$4,Lists!$BR$12))),1,0)</f>
        <v/>
      </c>
      <c r="BJ65">
        <f>IF(ROW()-56&gt;MAX($BI$57:$BI$95),"",INDEX(Lists!$BR$4:$BR$42,MATCH(ROW()-56,$BI$57:$BI$95,0)))</f>
        <v/>
      </c>
      <c r="BK65">
        <f>BK64+IF(AND(Lists!$BW$12&lt;&gt;"",ISNUMBER(SEARCH($N$4,Lists!$BW$12))),1,0)</f>
        <v/>
      </c>
      <c r="BL65">
        <f>IF(ROW()-56&gt;MAX($BK$57:$BK$95),"",INDEX(Lists!$BW$4:$BW$42,MATCH(ROW()-56,$BK$57:$BK$95,0)))</f>
        <v/>
      </c>
      <c r="BM65">
        <f>BM64+IF(AND(Lists!$CB$12&lt;&gt;"",ISNUMBER(SEARCH($O$4,Lists!$CB$12))),1,0)</f>
        <v/>
      </c>
      <c r="BN65">
        <f>IF(ROW()-56&gt;MAX($BM$57:$BM$95),"",INDEX(Lists!$CB$4:$CB$42,MATCH(ROW()-56,$BM$57:$BM$95,0)))</f>
        <v/>
      </c>
      <c r="BO65">
        <f>BO64+IF(AND(Lists!$CG$12&lt;&gt;"",ISNUMBER(SEARCH($P$4,Lists!$CG$12))),1,0)</f>
        <v/>
      </c>
      <c r="BP65">
        <f>IF(ROW()-56&gt;MAX($BO$57:$BO$95),"",INDEX(Lists!$CG$4:$CG$42,MATCH(ROW()-56,$BO$57:$BO$95,0)))</f>
        <v/>
      </c>
      <c r="BQ65">
        <f>BQ64+IF(AND(Lists!$CL$12&lt;&gt;"",ISNUMBER(SEARCH($Q$4,Lists!$CL$12))),1,0)</f>
        <v/>
      </c>
      <c r="BR65">
        <f>IF(ROW()-56&gt;MAX($BQ$57:$BQ$95),"",INDEX(Lists!$CL$4:$CL$42,MATCH(ROW()-56,$BQ$57:$BQ$95,0)))</f>
        <v/>
      </c>
      <c r="BS65">
        <f>BS64+IF(AND(Lists!$CQ$12&lt;&gt;"",ISNUMBER(SEARCH($R$4,Lists!$CQ$12))),1,0)</f>
        <v/>
      </c>
      <c r="BT65">
        <f>IF(ROW()-56&gt;MAX($BS$57:$BS$95),"",INDEX(Lists!$CQ$4:$CQ$42,MATCH(ROW()-56,$BS$57:$BS$95,0)))</f>
        <v/>
      </c>
      <c r="BU65">
        <f>BU64+IF(AND(Lists!$CV$12&lt;&gt;"",ISNUMBER(SEARCH($S$4,Lists!$CV$12))),1,0)</f>
        <v/>
      </c>
      <c r="BV65">
        <f>IF(ROW()-56&gt;MAX($BU$57:$BU$95),"",INDEX(Lists!$CV$4:$CV$42,MATCH(ROW()-56,$BU$57:$BU$95,0)))</f>
        <v/>
      </c>
      <c r="BW65">
        <f>BW64+IF(AND(Lists!$DA$12&lt;&gt;"",ISNUMBER(SEARCH($T$4,Lists!$DA$12))),1,0)</f>
        <v/>
      </c>
      <c r="BX65">
        <f>IF(ROW()-56&gt;MAX($BW$57:$BW$95),"",INDEX(Lists!$DA$4:$DA$42,MATCH(ROW()-56,$BW$57:$BW$95,0)))</f>
        <v/>
      </c>
      <c r="BY65">
        <f>BY64+IF(AND(Lists!$DF$12&lt;&gt;"",ISNUMBER(SEARCH($U$4,Lists!$DF$12))),1,0)</f>
        <v/>
      </c>
      <c r="BZ65">
        <f>IF(ROW()-56&gt;MAX($BY$57:$BY$95),"",INDEX(Lists!$DF$4:$DF$42,MATCH(ROW()-56,$BY$57:$BY$95,0)))</f>
        <v/>
      </c>
      <c r="CA65">
        <f>CA64+IF(AND(Lists!$DK$12&lt;&gt;"",ISNUMBER(SEARCH($V$4,Lists!$DK$12))),1,0)</f>
        <v/>
      </c>
      <c r="CB65">
        <f>IF(ROW()-56&gt;MAX($CA$57:$CA$95),"",INDEX(Lists!$DK$4:$DK$42,MATCH(ROW()-56,$CA$57:$CA$95,0)))</f>
        <v/>
      </c>
      <c r="CC65">
        <f>CC64+IF(AND(Lists!$DP$12&lt;&gt;"",ISNUMBER(SEARCH($W$4,Lists!$DP$12))),1,0)</f>
        <v/>
      </c>
      <c r="CD65">
        <f>IF(ROW()-56&gt;MAX($CC$57:$CC$95),"",INDEX(Lists!$DP$4:$DP$42,MATCH(ROW()-56,$CC$57:$CC$95,0)))</f>
        <v/>
      </c>
      <c r="CE65">
        <f>CE64+IF(AND(Lists!$DU$12&lt;&gt;"",ISNUMBER(SEARCH($X$4,Lists!$DU$12))),1,0)</f>
        <v/>
      </c>
      <c r="CF65">
        <f>IF(ROW()-56&gt;MAX($CE$57:$CE$95),"",INDEX(Lists!$DU$4:$DU$42,MATCH(ROW()-56,$CE$57:$CE$95,0)))</f>
        <v/>
      </c>
      <c r="CG65">
        <f>CG64+IF(AND(Lists!$DZ$12&lt;&gt;"",ISNUMBER(SEARCH($Y$4,Lists!$DZ$12))),1,0)</f>
        <v/>
      </c>
      <c r="CH65">
        <f>IF(ROW()-56&gt;MAX($CG$57:$CG$95),"",INDEX(Lists!$DZ$4:$DZ$42,MATCH(ROW()-56,$CG$57:$CG$95,0)))</f>
        <v/>
      </c>
      <c r="CI65">
        <f>CI64+IF(AND(Lists!$EE$12&lt;&gt;"",ISNUMBER(SEARCH($Z$4,Lists!$EE$12))),1,0)</f>
        <v/>
      </c>
      <c r="CJ65">
        <f>IF(ROW()-56&gt;MAX($CI$57:$CI$95),"",INDEX(Lists!$EE$4:$EE$42,MATCH(ROW()-56,$CI$57:$CI$95,0)))</f>
        <v/>
      </c>
      <c r="CK65">
        <f>CK64+IF(AND(Lists!$EJ$12&lt;&gt;"",ISNUMBER(SEARCH($AA$4,Lists!$EJ$12))),1,0)</f>
        <v/>
      </c>
      <c r="CL65">
        <f>IF(ROW()-56&gt;MAX($CK$57:$CK$95),"",INDEX(Lists!$EJ$4:$EJ$42,MATCH(ROW()-56,$CK$57:$CK$95,0)))</f>
        <v/>
      </c>
      <c r="CM65">
        <f>CM64+IF(AND(Lists!$EO$12&lt;&gt;"",ISNUMBER(SEARCH($AB$4,Lists!$EO$12))),1,0)</f>
        <v/>
      </c>
      <c r="CN65">
        <f>IF(ROW()-56&gt;MAX($CM$57:$CM$95),"",INDEX(Lists!$EO$4:$EO$42,MATCH(ROW()-56,$CM$57:$CM$95,0)))</f>
        <v/>
      </c>
      <c r="CO65">
        <f>CO64+IF(AND(Lists!$ET$12&lt;&gt;"",ISNUMBER(SEARCH($AC$4,Lists!$ET$12))),1,0)</f>
        <v/>
      </c>
      <c r="CP65">
        <f>IF(ROW()-56&gt;MAX($CO$57:$CO$95),"",INDEX(Lists!$ET$4:$ET$42,MATCH(ROW()-56,$CO$57:$CO$95,0)))</f>
        <v/>
      </c>
      <c r="CQ65">
        <f>CQ64+IF(AND(Lists!$EY$12&lt;&gt;"",ISNUMBER(SEARCH($AD$4,Lists!$EY$12))),1,0)</f>
        <v/>
      </c>
      <c r="CR65">
        <f>IF(ROW()-56&gt;MAX($CQ$57:$CQ$95),"",INDEX(Lists!$EY$4:$EY$42,MATCH(ROW()-56,$CQ$57:$CQ$95,0)))</f>
        <v/>
      </c>
      <c r="CS65">
        <f>CS64+IF(AND(Lists!$FD$12&lt;&gt;"",ISNUMBER(SEARCH($AE$4,Lists!$FD$12))),1,0)</f>
        <v/>
      </c>
      <c r="CT65">
        <f>IF(ROW()-56&gt;MAX($CS$57:$CS$95),"",INDEX(Lists!$FD$4:$FD$42,MATCH(ROW()-56,$CS$57:$CS$95,0)))</f>
        <v/>
      </c>
      <c r="CU65">
        <f>CU64+IF(AND(Lists!$FI$12&lt;&gt;"",ISNUMBER(SEARCH($AG$4,Lists!$FI$12))),1,0)</f>
        <v/>
      </c>
      <c r="CV65">
        <f>IF(ROW()-56&gt;MAX($CU$57:$CU$95),"",INDEX(Lists!$FI$4:$FI$42,MATCH(ROW()-56,$CU$57:$CU$95,0)))</f>
        <v/>
      </c>
      <c r="CW65">
        <f>CW64+IF(AND(Lists!$FN$12&lt;&gt;"",ISNUMBER(SEARCH($AH$4,Lists!$FN$12))),1,0)</f>
        <v/>
      </c>
      <c r="CX65">
        <f>IF(ROW()-56&gt;MAX($CW$57:$CW$95),"",INDEX(Lists!$FN$4:$FN$42,MATCH(ROW()-56,$CW$57:$CW$95,0)))</f>
        <v/>
      </c>
      <c r="CY65">
        <f>CY64+IF(AND(Lists!$FS$12&lt;&gt;"",ISNUMBER(SEARCH($AI$4,Lists!$FS$12))),1,0)</f>
        <v/>
      </c>
      <c r="CZ65">
        <f>IF(ROW()-56&gt;MAX($CY$57:$CY$95),"",INDEX(Lists!$FS$4:$FS$42,MATCH(ROW()-56,$CY$57:$CY$95,0)))</f>
        <v/>
      </c>
      <c r="DA65">
        <f>DA64+IF(AND(Lists!$FX$12&lt;&gt;"",ISNUMBER(SEARCH($AF$4,Lists!$FX$12))),1,0)</f>
        <v/>
      </c>
      <c r="DB65">
        <f>IF(ROW()-56&gt;MAX($DA$57:$DA$95),"",INDEX(Lists!$FX$4:$FX$42,MATCH(ROW()-56,$DA$57:$DA$95,0)))</f>
        <v/>
      </c>
      <c r="DG65">
        <f>IF($B$4="",1,IF($B$4="(blank)",--('Final Calculation Sheet'!$F$10=""),IF($B$4="(nonblank)",--('Final Calculation Sheet'!$F$10&lt;&gt;""),--ISNUMBER(SEARCH($B$4,'Final Calculation Sheet'!$F$10)))))</f>
        <v/>
      </c>
      <c r="DH65">
        <f>IF($C$4="",1,IF($C$4="(blank)",--('Final Calculation Sheet'!$G$10=""),IF($C$4="(nonblank)",--('Final Calculation Sheet'!$G$10&lt;&gt;""),--ISNUMBER(SEARCH($C$4,'Final Calculation Sheet'!$G$10)))))</f>
        <v/>
      </c>
      <c r="DI65">
        <f>IF($D$4="",1,IF($D$4="(blank)",--('Final Calculation Sheet'!$B$10=""),IF($D$4="(nonblank)",--('Final Calculation Sheet'!$B$10&lt;&gt;""),--ISNUMBER(SEARCH($D$4,'Final Calculation Sheet'!$B$10)))))</f>
        <v/>
      </c>
      <c r="DJ65">
        <f>IF($E$4="",1,IF($E$4="(blank)",--('Final Calculation Sheet'!$D$10=""),IF($E$4="(nonblank)",--('Final Calculation Sheet'!$D$10&lt;&gt;""),--ISNUMBER(SEARCH($E$4,'Final Calculation Sheet'!$D$10)))))</f>
        <v/>
      </c>
      <c r="DK65">
        <f>IF($F$4="",1,IF($F$4="(blank)",--('Final Calculation Sheet'!$A$10=""),IF($F$4="(nonblank)",--('Final Calculation Sheet'!$A$10&lt;&gt;""),--ISNUMBER(SEARCH($F$4,'Final Calculation Sheet'!$A$10)))))</f>
        <v/>
      </c>
      <c r="DL65">
        <f>IF($G$4="",1,IF($G$4="(blank)",--('Final Calculation Sheet'!$E$10=""),IF($G$4="(nonblank)",--('Final Calculation Sheet'!$E$10&lt;&gt;""),--ISNUMBER(SEARCH($G$4,'Final Calculation Sheet'!$E$10)))))</f>
        <v/>
      </c>
      <c r="DM65">
        <f>IF($H$4="",1,IF($H$4="(blank)",--('Final Calculation Sheet'!$C$10=""),IF($H$4="(nonblank)",--('Final Calculation Sheet'!$C$10&lt;&gt;""),--ISNUMBER(SEARCH($H$4,'Final Calculation Sheet'!$C$10)))))</f>
        <v/>
      </c>
      <c r="DN65">
        <f>IF($I$4="",1,IF($I$4="(blank)",--('Final Calculation Sheet'!$H$10=""),IF($I$4="(nonblank)",--('Final Calculation Sheet'!$H$10&lt;&gt;""),--ISNUMBER(SEARCH($I$4,'Final Calculation Sheet'!$H$10)))))</f>
        <v/>
      </c>
      <c r="DO65">
        <f>IF($J$4="",1,IF($J$4="(blank)",--('Final Calculation Sheet'!$I$10=""),IF($J$4="(nonblank)",--('Final Calculation Sheet'!$I$10&lt;&gt;""),--ISNUMBER(SEARCH($J$4,'Final Calculation Sheet'!$I$10)))))</f>
        <v/>
      </c>
      <c r="DP65">
        <f>IF($K$4="",1,IF($K$4="(blank)",--('Final Calculation Sheet'!$J$10=""),IF($K$4="(nonblank)",--('Final Calculation Sheet'!$J$10&lt;&gt;""),--ISNUMBER(SEARCH($K$4,'Final Calculation Sheet'!$J$10)))))</f>
        <v/>
      </c>
      <c r="DQ65">
        <f>IF($L$4="",1,IF($L$4="(blank)",--('Final Calculation Sheet'!$K$10=""),IF($L$4="(nonblank)",--('Final Calculation Sheet'!$K$10&lt;&gt;""),--ISNUMBER(SEARCH($L$4,'Final Calculation Sheet'!$K$10)))))</f>
        <v/>
      </c>
      <c r="DR65">
        <f>IF($M$4="",1,IF($M$4="(blank)",--('Final Calculation Sheet'!$L$10=""),IF($M$4="(nonblank)",--('Final Calculation Sheet'!$L$10&lt;&gt;""),--ISNUMBER(SEARCH($M$4,'Final Calculation Sheet'!$L$10)))))</f>
        <v/>
      </c>
      <c r="DS65">
        <f>IF($N$4="",1,IF($N$4="(blank)",--('Final Calculation Sheet'!$M$10=""),IF($N$4="(nonblank)",--('Final Calculation Sheet'!$M$10&lt;&gt;""),--ISNUMBER(SEARCH($N$4,'Final Calculation Sheet'!$M$10)))))</f>
        <v/>
      </c>
      <c r="DT65">
        <f>IF($O$4="",1,IF($O$4="(blank)",--('Final Calculation Sheet'!$N$10=""),IF($O$4="(nonblank)",--('Final Calculation Sheet'!$N$10&lt;&gt;""),--ISNUMBER(SEARCH($O$4,'Final Calculation Sheet'!$N$10)))))</f>
        <v/>
      </c>
      <c r="DU65">
        <f>IF($P$4="",1,IF($P$4="(blank)",--('Final Calculation Sheet'!$O$10=""),IF($P$4="(nonblank)",--('Final Calculation Sheet'!$O$10&lt;&gt;""),--ISNUMBER(SEARCH($P$4,'Final Calculation Sheet'!$O$10)))))</f>
        <v/>
      </c>
      <c r="DV65">
        <f>IF($Q$4="",1,IF($Q$4="(blank)",--('Final Calculation Sheet'!$P$10=""),IF($Q$4="(nonblank)",--('Final Calculation Sheet'!$P$10&lt;&gt;""),--ISNUMBER(SEARCH($Q$4,'Final Calculation Sheet'!$P$10)))))</f>
        <v/>
      </c>
      <c r="DW65">
        <f>IF($R$4="",1,IF($R$4="(blank)",--('Final Calculation Sheet'!$Q$10=""),IF($R$4="(nonblank)",--('Final Calculation Sheet'!$Q$10&lt;&gt;""),--ISNUMBER(SEARCH($R$4,'Final Calculation Sheet'!$Q$10)))))</f>
        <v/>
      </c>
      <c r="DX65">
        <f>IF($S$4="",1,IF($S$4="(blank)",--('Final Calculation Sheet'!$R$10=""),IF($S$4="(nonblank)",--('Final Calculation Sheet'!$R$10&lt;&gt;""),--ISNUMBER(SEARCH($S$4,'Final Calculation Sheet'!$R$10)))))</f>
        <v/>
      </c>
      <c r="DY65">
        <f>IF($T$4="",1,IF($T$4="(blank)",--('Final Calculation Sheet'!$S$10=""),IF($T$4="(nonblank)",--('Final Calculation Sheet'!$S$10&lt;&gt;""),--ISNUMBER(SEARCH($T$4,'Final Calculation Sheet'!$S$10)))))</f>
        <v/>
      </c>
      <c r="DZ65">
        <f>IF($U$4="",1,IF($U$4="(blank)",--('Final Calculation Sheet'!$T$10=""),IF($U$4="(nonblank)",--('Final Calculation Sheet'!$T$10&lt;&gt;""),--ISNUMBER(SEARCH($U$4,'Final Calculation Sheet'!$T$10)))))</f>
        <v/>
      </c>
      <c r="EA65">
        <f>IF($V$4="",1,IF($V$4="(blank)",--('Final Calculation Sheet'!$U$10=""),IF($V$4="(nonblank)",--('Final Calculation Sheet'!$U$10&lt;&gt;""),--ISNUMBER(SEARCH($V$4,'Final Calculation Sheet'!$U$10)))))</f>
        <v/>
      </c>
      <c r="EB65">
        <f>IF($W$4="",1,IF($W$4="(blank)",--('Final Calculation Sheet'!$V$10=""),IF($W$4="(nonblank)",--('Final Calculation Sheet'!$V$10&lt;&gt;""),--ISNUMBER(SEARCH($W$4,'Final Calculation Sheet'!$V$10)))))</f>
        <v/>
      </c>
      <c r="EC65">
        <f>IF($X$4="",1,IF($X$4="(blank)",--('Final Calculation Sheet'!$W$10=""),IF($X$4="(nonblank)",--('Final Calculation Sheet'!$W$10&lt;&gt;""),--ISNUMBER(SEARCH($X$4,'Final Calculation Sheet'!$W$10)))))</f>
        <v/>
      </c>
      <c r="ED65">
        <f>IF($Y$4="",1,IF($Y$4="(blank)",--('Final Calculation Sheet'!$X$10=""),IF($Y$4="(nonblank)",--('Final Calculation Sheet'!$X$10&lt;&gt;""),--ISNUMBER(SEARCH($Y$4,'Final Calculation Sheet'!$X$10)))))</f>
        <v/>
      </c>
      <c r="EE65">
        <f>IF($Z$4="",1,IF($Z$4="(blank)",--('Final Calculation Sheet'!$Y$10=""),IF($Z$4="(nonblank)",--('Final Calculation Sheet'!$Y$10&lt;&gt;""),--ISNUMBER(SEARCH($Z$4,'Final Calculation Sheet'!$Y$10)))))</f>
        <v/>
      </c>
      <c r="EF65">
        <f>IF($AA$4="",1,IF($AA$4="(blank)",--('Final Calculation Sheet'!$Z$10=""),IF($AA$4="(nonblank)",--('Final Calculation Sheet'!$Z$10&lt;&gt;""),--ISNUMBER(SEARCH($AA$4,'Final Calculation Sheet'!$Z$10)))))</f>
        <v/>
      </c>
      <c r="EG65">
        <f>IF($AB$4="",1,IF($AB$4="(blank)",--('Final Calculation Sheet'!$AA$10=""),IF($AB$4="(nonblank)",--('Final Calculation Sheet'!$AA$10&lt;&gt;""),--ISNUMBER(SEARCH($AB$4,'Final Calculation Sheet'!$AA$10)))))</f>
        <v/>
      </c>
      <c r="EH65">
        <f>IF($AC$4="",1,IF($AC$4="(blank)",--('Final Calculation Sheet'!$AB$10=""),IF($AC$4="(nonblank)",--('Final Calculation Sheet'!$AB$10&lt;&gt;""),--ISNUMBER(SEARCH($AC$4,'Final Calculation Sheet'!$AB$10)))))</f>
        <v/>
      </c>
      <c r="EI65">
        <f>IF($AD$4="",1,IF($AD$4="(blank)",--('Final Calculation Sheet'!$AC$10=""),IF($AD$4="(nonblank)",--('Final Calculation Sheet'!$AC$10&lt;&gt;""),--ISNUMBER(SEARCH($AD$4,'Final Calculation Sheet'!$AC$10)))))</f>
        <v/>
      </c>
      <c r="EJ65">
        <f>IF($AE$4="",1,IF($AE$4="(blank)",--('Final Calculation Sheet'!$AD$10=""),IF($AE$4="(nonblank)",--('Final Calculation Sheet'!$AD$10&lt;&gt;""),--ISNUMBER(SEARCH($AE$4,'Final Calculation Sheet'!$AD$10)))))</f>
        <v/>
      </c>
      <c r="EK65">
        <f>IF($AF$4="",1,IF($AF$4="(blank)",--(IF('Final Calculation Sheet'!$AD$10&lt;=5,"SETTLED","OUTSTANDING")=""),IF($AF$4="(nonblank)",--(IF('Final Calculation Sheet'!$AD$10&lt;=5,"SETTLED","OUTSTANDING")&lt;&gt;""),--ISNUMBER(SEARCH($AF$4,IF('Final Calculation Sheet'!$AD$10&lt;=5,"SETTLED","OUTSTANDING"))))))</f>
        <v/>
      </c>
      <c r="EL65">
        <f>IF($AG$4="",1,IF($AG$4="(blank)",--('Final Calculation Sheet'!$AF$10=""),IF($AG$4="(nonblank)",--('Final Calculation Sheet'!$AF$10&lt;&gt;""),--ISNUMBER(SEARCH($AG$4,'Final Calculation Sheet'!$AF$10)))))</f>
        <v/>
      </c>
      <c r="EM65">
        <f>IF($AH$4="",1,IF($AH$4="(blank)",--('Final Calculation Sheet'!$AG$10=""),IF($AH$4="(nonblank)",--('Final Calculation Sheet'!$AG$10&lt;&gt;""),--ISNUMBER(SEARCH($AH$4,'Final Calculation Sheet'!$AG$10)))))</f>
        <v/>
      </c>
      <c r="EN65">
        <f>IF($AI$4="",1,IF($AI$4="(blank)",--('Final Calculation Sheet'!$AH$10=""),IF($AI$4="(nonblank)",--('Final Calculation Sheet'!$AH$10&lt;&gt;""),--ISNUMBER(SEARCH($AI$4,'Final Calculation Sheet'!$AH$10)))))</f>
        <v/>
      </c>
    </row>
    <row r="66">
      <c r="AM66">
        <f>AM65+IF(AND(Lists!$O$13&lt;&gt;"",ISNUMBER(SEARCH($B$4,Lists!$O$13))),1,0)</f>
        <v/>
      </c>
      <c r="AN66">
        <f>IF(ROW()-56&gt;MAX($AM$57:$AM$95),"",INDEX(Lists!$O$4:$O$42,MATCH(ROW()-56,$AM$57:$AM$95,0)))</f>
        <v/>
      </c>
      <c r="AO66">
        <f>AO65+IF(AND(Lists!$T$13&lt;&gt;"",ISNUMBER(SEARCH($C$4,Lists!$T$13))),1,0)</f>
        <v/>
      </c>
      <c r="AP66">
        <f>IF(ROW()-56&gt;MAX($AO$57:$AO$95),"",INDEX(Lists!$T$4:$T$42,MATCH(ROW()-56,$AO$57:$AO$95,0)))</f>
        <v/>
      </c>
      <c r="AQ66">
        <f>AQ65+IF(AND(Lists!$Y$13&lt;&gt;"",ISNUMBER(SEARCH($D$4,Lists!$Y$13))),1,0)</f>
        <v/>
      </c>
      <c r="AR66">
        <f>IF(ROW()-56&gt;MAX($AQ$57:$AQ$95),"",INDEX(Lists!$Y$4:$Y$42,MATCH(ROW()-56,$AQ$57:$AQ$95,0)))</f>
        <v/>
      </c>
      <c r="AS66">
        <f>AS65+IF(AND(Lists!$AD$13&lt;&gt;"",ISNUMBER(SEARCH($E$4,Lists!$AD$13))),1,0)</f>
        <v/>
      </c>
      <c r="AT66">
        <f>IF(ROW()-56&gt;MAX($AS$57:$AS$95),"",INDEX(Lists!$AD$4:$AD$42,MATCH(ROW()-56,$AS$57:$AS$95,0)))</f>
        <v/>
      </c>
      <c r="AU66">
        <f>AU65+IF(AND(Lists!$AI$13&lt;&gt;"",ISNUMBER(SEARCH($F$4,Lists!$AI$13))),1,0)</f>
        <v/>
      </c>
      <c r="AV66">
        <f>IF(ROW()-56&gt;MAX($AU$57:$AU$95),"",INDEX(Lists!$AI$4:$AI$42,MATCH(ROW()-56,$AU$57:$AU$95,0)))</f>
        <v/>
      </c>
      <c r="AW66">
        <f>AW65+IF(AND(Lists!$AN$13&lt;&gt;"",ISNUMBER(SEARCH($G$4,Lists!$AN$13))),1,0)</f>
        <v/>
      </c>
      <c r="AX66">
        <f>IF(ROW()-56&gt;MAX($AW$57:$AW$95),"",INDEX(Lists!$AN$4:$AN$42,MATCH(ROW()-56,$AW$57:$AW$95,0)))</f>
        <v/>
      </c>
      <c r="AY66">
        <f>AY65+IF(AND(Lists!$AS$13&lt;&gt;"",ISNUMBER(SEARCH($H$4,Lists!$AS$13))),1,0)</f>
        <v/>
      </c>
      <c r="AZ66">
        <f>IF(ROW()-56&gt;MAX($AY$57:$AY$95),"",INDEX(Lists!$AS$4:$AS$42,MATCH(ROW()-56,$AY$57:$AY$95,0)))</f>
        <v/>
      </c>
      <c r="BA66">
        <f>BA65+IF(AND(Lists!$AX$13&lt;&gt;"",ISNUMBER(SEARCH($I$4,Lists!$AX$13))),1,0)</f>
        <v/>
      </c>
      <c r="BB66">
        <f>IF(ROW()-56&gt;MAX($BA$57:$BA$95),"",INDEX(Lists!$AX$4:$AX$42,MATCH(ROW()-56,$BA$57:$BA$95,0)))</f>
        <v/>
      </c>
      <c r="BC66">
        <f>BC65+IF(AND(Lists!$BC$13&lt;&gt;"",ISNUMBER(SEARCH($J$4,Lists!$BC$13))),1,0)</f>
        <v/>
      </c>
      <c r="BD66">
        <f>IF(ROW()-56&gt;MAX($BC$57:$BC$95),"",INDEX(Lists!$BC$4:$BC$42,MATCH(ROW()-56,$BC$57:$BC$95,0)))</f>
        <v/>
      </c>
      <c r="BE66">
        <f>BE65+IF(AND(Lists!$BH$13&lt;&gt;"",ISNUMBER(SEARCH($K$4,Lists!$BH$13))),1,0)</f>
        <v/>
      </c>
      <c r="BF66">
        <f>IF(ROW()-56&gt;MAX($BE$57:$BE$95),"",INDEX(Lists!$BH$4:$BH$42,MATCH(ROW()-56,$BE$57:$BE$95,0)))</f>
        <v/>
      </c>
      <c r="BG66">
        <f>BG65+IF(AND(Lists!$BM$13&lt;&gt;"",ISNUMBER(SEARCH($L$4,Lists!$BM$13))),1,0)</f>
        <v/>
      </c>
      <c r="BH66">
        <f>IF(ROW()-56&gt;MAX($BG$57:$BG$95),"",INDEX(Lists!$BM$4:$BM$42,MATCH(ROW()-56,$BG$57:$BG$95,0)))</f>
        <v/>
      </c>
      <c r="BI66">
        <f>BI65+IF(AND(Lists!$BR$13&lt;&gt;"",ISNUMBER(SEARCH($M$4,Lists!$BR$13))),1,0)</f>
        <v/>
      </c>
      <c r="BJ66">
        <f>IF(ROW()-56&gt;MAX($BI$57:$BI$95),"",INDEX(Lists!$BR$4:$BR$42,MATCH(ROW()-56,$BI$57:$BI$95,0)))</f>
        <v/>
      </c>
      <c r="BK66">
        <f>BK65+IF(AND(Lists!$BW$13&lt;&gt;"",ISNUMBER(SEARCH($N$4,Lists!$BW$13))),1,0)</f>
        <v/>
      </c>
      <c r="BL66">
        <f>IF(ROW()-56&gt;MAX($BK$57:$BK$95),"",INDEX(Lists!$BW$4:$BW$42,MATCH(ROW()-56,$BK$57:$BK$95,0)))</f>
        <v/>
      </c>
      <c r="BM66">
        <f>BM65+IF(AND(Lists!$CB$13&lt;&gt;"",ISNUMBER(SEARCH($O$4,Lists!$CB$13))),1,0)</f>
        <v/>
      </c>
      <c r="BN66">
        <f>IF(ROW()-56&gt;MAX($BM$57:$BM$95),"",INDEX(Lists!$CB$4:$CB$42,MATCH(ROW()-56,$BM$57:$BM$95,0)))</f>
        <v/>
      </c>
      <c r="BO66">
        <f>BO65+IF(AND(Lists!$CG$13&lt;&gt;"",ISNUMBER(SEARCH($P$4,Lists!$CG$13))),1,0)</f>
        <v/>
      </c>
      <c r="BP66">
        <f>IF(ROW()-56&gt;MAX($BO$57:$BO$95),"",INDEX(Lists!$CG$4:$CG$42,MATCH(ROW()-56,$BO$57:$BO$95,0)))</f>
        <v/>
      </c>
      <c r="BQ66">
        <f>BQ65+IF(AND(Lists!$CL$13&lt;&gt;"",ISNUMBER(SEARCH($Q$4,Lists!$CL$13))),1,0)</f>
        <v/>
      </c>
      <c r="BR66">
        <f>IF(ROW()-56&gt;MAX($BQ$57:$BQ$95),"",INDEX(Lists!$CL$4:$CL$42,MATCH(ROW()-56,$BQ$57:$BQ$95,0)))</f>
        <v/>
      </c>
      <c r="BS66">
        <f>BS65+IF(AND(Lists!$CQ$13&lt;&gt;"",ISNUMBER(SEARCH($R$4,Lists!$CQ$13))),1,0)</f>
        <v/>
      </c>
      <c r="BT66">
        <f>IF(ROW()-56&gt;MAX($BS$57:$BS$95),"",INDEX(Lists!$CQ$4:$CQ$42,MATCH(ROW()-56,$BS$57:$BS$95,0)))</f>
        <v/>
      </c>
      <c r="BU66">
        <f>BU65+IF(AND(Lists!$CV$13&lt;&gt;"",ISNUMBER(SEARCH($S$4,Lists!$CV$13))),1,0)</f>
        <v/>
      </c>
      <c r="BV66">
        <f>IF(ROW()-56&gt;MAX($BU$57:$BU$95),"",INDEX(Lists!$CV$4:$CV$42,MATCH(ROW()-56,$BU$57:$BU$95,0)))</f>
        <v/>
      </c>
      <c r="BW66">
        <f>BW65+IF(AND(Lists!$DA$13&lt;&gt;"",ISNUMBER(SEARCH($T$4,Lists!$DA$13))),1,0)</f>
        <v/>
      </c>
      <c r="BX66">
        <f>IF(ROW()-56&gt;MAX($BW$57:$BW$95),"",INDEX(Lists!$DA$4:$DA$42,MATCH(ROW()-56,$BW$57:$BW$95,0)))</f>
        <v/>
      </c>
      <c r="BY66">
        <f>BY65+IF(AND(Lists!$DF$13&lt;&gt;"",ISNUMBER(SEARCH($U$4,Lists!$DF$13))),1,0)</f>
        <v/>
      </c>
      <c r="BZ66">
        <f>IF(ROW()-56&gt;MAX($BY$57:$BY$95),"",INDEX(Lists!$DF$4:$DF$42,MATCH(ROW()-56,$BY$57:$BY$95,0)))</f>
        <v/>
      </c>
      <c r="CA66">
        <f>CA65+IF(AND(Lists!$DK$13&lt;&gt;"",ISNUMBER(SEARCH($V$4,Lists!$DK$13))),1,0)</f>
        <v/>
      </c>
      <c r="CB66">
        <f>IF(ROW()-56&gt;MAX($CA$57:$CA$95),"",INDEX(Lists!$DK$4:$DK$42,MATCH(ROW()-56,$CA$57:$CA$95,0)))</f>
        <v/>
      </c>
      <c r="CC66">
        <f>CC65+IF(AND(Lists!$DP$13&lt;&gt;"",ISNUMBER(SEARCH($W$4,Lists!$DP$13))),1,0)</f>
        <v/>
      </c>
      <c r="CD66">
        <f>IF(ROW()-56&gt;MAX($CC$57:$CC$95),"",INDEX(Lists!$DP$4:$DP$42,MATCH(ROW()-56,$CC$57:$CC$95,0)))</f>
        <v/>
      </c>
      <c r="CE66">
        <f>CE65+IF(AND(Lists!$DU$13&lt;&gt;"",ISNUMBER(SEARCH($X$4,Lists!$DU$13))),1,0)</f>
        <v/>
      </c>
      <c r="CF66">
        <f>IF(ROW()-56&gt;MAX($CE$57:$CE$95),"",INDEX(Lists!$DU$4:$DU$42,MATCH(ROW()-56,$CE$57:$CE$95,0)))</f>
        <v/>
      </c>
      <c r="CG66">
        <f>CG65+IF(AND(Lists!$DZ$13&lt;&gt;"",ISNUMBER(SEARCH($Y$4,Lists!$DZ$13))),1,0)</f>
        <v/>
      </c>
      <c r="CH66">
        <f>IF(ROW()-56&gt;MAX($CG$57:$CG$95),"",INDEX(Lists!$DZ$4:$DZ$42,MATCH(ROW()-56,$CG$57:$CG$95,0)))</f>
        <v/>
      </c>
      <c r="CI66">
        <f>CI65+IF(AND(Lists!$EE$13&lt;&gt;"",ISNUMBER(SEARCH($Z$4,Lists!$EE$13))),1,0)</f>
        <v/>
      </c>
      <c r="CJ66">
        <f>IF(ROW()-56&gt;MAX($CI$57:$CI$95),"",INDEX(Lists!$EE$4:$EE$42,MATCH(ROW()-56,$CI$57:$CI$95,0)))</f>
        <v/>
      </c>
      <c r="CK66">
        <f>CK65+IF(AND(Lists!$EJ$13&lt;&gt;"",ISNUMBER(SEARCH($AA$4,Lists!$EJ$13))),1,0)</f>
        <v/>
      </c>
      <c r="CL66">
        <f>IF(ROW()-56&gt;MAX($CK$57:$CK$95),"",INDEX(Lists!$EJ$4:$EJ$42,MATCH(ROW()-56,$CK$57:$CK$95,0)))</f>
        <v/>
      </c>
      <c r="CM66">
        <f>CM65+IF(AND(Lists!$EO$13&lt;&gt;"",ISNUMBER(SEARCH($AB$4,Lists!$EO$13))),1,0)</f>
        <v/>
      </c>
      <c r="CN66">
        <f>IF(ROW()-56&gt;MAX($CM$57:$CM$95),"",INDEX(Lists!$EO$4:$EO$42,MATCH(ROW()-56,$CM$57:$CM$95,0)))</f>
        <v/>
      </c>
      <c r="CO66">
        <f>CO65+IF(AND(Lists!$ET$13&lt;&gt;"",ISNUMBER(SEARCH($AC$4,Lists!$ET$13))),1,0)</f>
        <v/>
      </c>
      <c r="CP66">
        <f>IF(ROW()-56&gt;MAX($CO$57:$CO$95),"",INDEX(Lists!$ET$4:$ET$42,MATCH(ROW()-56,$CO$57:$CO$95,0)))</f>
        <v/>
      </c>
      <c r="CQ66">
        <f>CQ65+IF(AND(Lists!$EY$13&lt;&gt;"",ISNUMBER(SEARCH($AD$4,Lists!$EY$13))),1,0)</f>
        <v/>
      </c>
      <c r="CR66">
        <f>IF(ROW()-56&gt;MAX($CQ$57:$CQ$95),"",INDEX(Lists!$EY$4:$EY$42,MATCH(ROW()-56,$CQ$57:$CQ$95,0)))</f>
        <v/>
      </c>
      <c r="CS66">
        <f>CS65+IF(AND(Lists!$FD$13&lt;&gt;"",ISNUMBER(SEARCH($AE$4,Lists!$FD$13))),1,0)</f>
        <v/>
      </c>
      <c r="CT66">
        <f>IF(ROW()-56&gt;MAX($CS$57:$CS$95),"",INDEX(Lists!$FD$4:$FD$42,MATCH(ROW()-56,$CS$57:$CS$95,0)))</f>
        <v/>
      </c>
      <c r="CU66">
        <f>CU65+IF(AND(Lists!$FI$13&lt;&gt;"",ISNUMBER(SEARCH($AG$4,Lists!$FI$13))),1,0)</f>
        <v/>
      </c>
      <c r="CV66">
        <f>IF(ROW()-56&gt;MAX($CU$57:$CU$95),"",INDEX(Lists!$FI$4:$FI$42,MATCH(ROW()-56,$CU$57:$CU$95,0)))</f>
        <v/>
      </c>
      <c r="CW66">
        <f>CW65+IF(AND(Lists!$FN$13&lt;&gt;"",ISNUMBER(SEARCH($AH$4,Lists!$FN$13))),1,0)</f>
        <v/>
      </c>
      <c r="CX66">
        <f>IF(ROW()-56&gt;MAX($CW$57:$CW$95),"",INDEX(Lists!$FN$4:$FN$42,MATCH(ROW()-56,$CW$57:$CW$95,0)))</f>
        <v/>
      </c>
      <c r="CY66">
        <f>CY65+IF(AND(Lists!$FS$13&lt;&gt;"",ISNUMBER(SEARCH($AI$4,Lists!$FS$13))),1,0)</f>
        <v/>
      </c>
      <c r="CZ66">
        <f>IF(ROW()-56&gt;MAX($CY$57:$CY$95),"",INDEX(Lists!$FS$4:$FS$42,MATCH(ROW()-56,$CY$57:$CY$95,0)))</f>
        <v/>
      </c>
      <c r="DA66">
        <f>DA65+IF(AND(Lists!$FX$13&lt;&gt;"",ISNUMBER(SEARCH($AF$4,Lists!$FX$13))),1,0)</f>
        <v/>
      </c>
      <c r="DB66">
        <f>IF(ROW()-56&gt;MAX($DA$57:$DA$95),"",INDEX(Lists!$FX$4:$FX$42,MATCH(ROW()-56,$DA$57:$DA$95,0)))</f>
        <v/>
      </c>
      <c r="DG66">
        <f>IF($B$4="",1,IF($B$4="(blank)",--('Final Calculation Sheet'!$F$11=""),IF($B$4="(nonblank)",--('Final Calculation Sheet'!$F$11&lt;&gt;""),--ISNUMBER(SEARCH($B$4,'Final Calculation Sheet'!$F$11)))))</f>
        <v/>
      </c>
      <c r="DH66">
        <f>IF($C$4="",1,IF($C$4="(blank)",--('Final Calculation Sheet'!$G$11=""),IF($C$4="(nonblank)",--('Final Calculation Sheet'!$G$11&lt;&gt;""),--ISNUMBER(SEARCH($C$4,'Final Calculation Sheet'!$G$11)))))</f>
        <v/>
      </c>
      <c r="DI66">
        <f>IF($D$4="",1,IF($D$4="(blank)",--('Final Calculation Sheet'!$B$11=""),IF($D$4="(nonblank)",--('Final Calculation Sheet'!$B$11&lt;&gt;""),--ISNUMBER(SEARCH($D$4,'Final Calculation Sheet'!$B$11)))))</f>
        <v/>
      </c>
      <c r="DJ66">
        <f>IF($E$4="",1,IF($E$4="(blank)",--('Final Calculation Sheet'!$D$11=""),IF($E$4="(nonblank)",--('Final Calculation Sheet'!$D$11&lt;&gt;""),--ISNUMBER(SEARCH($E$4,'Final Calculation Sheet'!$D$11)))))</f>
        <v/>
      </c>
      <c r="DK66">
        <f>IF($F$4="",1,IF($F$4="(blank)",--('Final Calculation Sheet'!$A$11=""),IF($F$4="(nonblank)",--('Final Calculation Sheet'!$A$11&lt;&gt;""),--ISNUMBER(SEARCH($F$4,'Final Calculation Sheet'!$A$11)))))</f>
        <v/>
      </c>
      <c r="DL66">
        <f>IF($G$4="",1,IF($G$4="(blank)",--('Final Calculation Sheet'!$E$11=""),IF($G$4="(nonblank)",--('Final Calculation Sheet'!$E$11&lt;&gt;""),--ISNUMBER(SEARCH($G$4,'Final Calculation Sheet'!$E$11)))))</f>
        <v/>
      </c>
      <c r="DM66">
        <f>IF($H$4="",1,IF($H$4="(blank)",--('Final Calculation Sheet'!$C$11=""),IF($H$4="(nonblank)",--('Final Calculation Sheet'!$C$11&lt;&gt;""),--ISNUMBER(SEARCH($H$4,'Final Calculation Sheet'!$C$11)))))</f>
        <v/>
      </c>
      <c r="DN66">
        <f>IF($I$4="",1,IF($I$4="(blank)",--('Final Calculation Sheet'!$H$11=""),IF($I$4="(nonblank)",--('Final Calculation Sheet'!$H$11&lt;&gt;""),--ISNUMBER(SEARCH($I$4,'Final Calculation Sheet'!$H$11)))))</f>
        <v/>
      </c>
      <c r="DO66">
        <f>IF($J$4="",1,IF($J$4="(blank)",--('Final Calculation Sheet'!$I$11=""),IF($J$4="(nonblank)",--('Final Calculation Sheet'!$I$11&lt;&gt;""),--ISNUMBER(SEARCH($J$4,'Final Calculation Sheet'!$I$11)))))</f>
        <v/>
      </c>
      <c r="DP66">
        <f>IF($K$4="",1,IF($K$4="(blank)",--('Final Calculation Sheet'!$J$11=""),IF($K$4="(nonblank)",--('Final Calculation Sheet'!$J$11&lt;&gt;""),--ISNUMBER(SEARCH($K$4,'Final Calculation Sheet'!$J$11)))))</f>
        <v/>
      </c>
      <c r="DQ66">
        <f>IF($L$4="",1,IF($L$4="(blank)",--('Final Calculation Sheet'!$K$11=""),IF($L$4="(nonblank)",--('Final Calculation Sheet'!$K$11&lt;&gt;""),--ISNUMBER(SEARCH($L$4,'Final Calculation Sheet'!$K$11)))))</f>
        <v/>
      </c>
      <c r="DR66">
        <f>IF($M$4="",1,IF($M$4="(blank)",--('Final Calculation Sheet'!$L$11=""),IF($M$4="(nonblank)",--('Final Calculation Sheet'!$L$11&lt;&gt;""),--ISNUMBER(SEARCH($M$4,'Final Calculation Sheet'!$L$11)))))</f>
        <v/>
      </c>
      <c r="DS66">
        <f>IF($N$4="",1,IF($N$4="(blank)",--('Final Calculation Sheet'!$M$11=""),IF($N$4="(nonblank)",--('Final Calculation Sheet'!$M$11&lt;&gt;""),--ISNUMBER(SEARCH($N$4,'Final Calculation Sheet'!$M$11)))))</f>
        <v/>
      </c>
      <c r="DT66">
        <f>IF($O$4="",1,IF($O$4="(blank)",--('Final Calculation Sheet'!$N$11=""),IF($O$4="(nonblank)",--('Final Calculation Sheet'!$N$11&lt;&gt;""),--ISNUMBER(SEARCH($O$4,'Final Calculation Sheet'!$N$11)))))</f>
        <v/>
      </c>
      <c r="DU66">
        <f>IF($P$4="",1,IF($P$4="(blank)",--('Final Calculation Sheet'!$O$11=""),IF($P$4="(nonblank)",--('Final Calculation Sheet'!$O$11&lt;&gt;""),--ISNUMBER(SEARCH($P$4,'Final Calculation Sheet'!$O$11)))))</f>
        <v/>
      </c>
      <c r="DV66">
        <f>IF($Q$4="",1,IF($Q$4="(blank)",--('Final Calculation Sheet'!$P$11=""),IF($Q$4="(nonblank)",--('Final Calculation Sheet'!$P$11&lt;&gt;""),--ISNUMBER(SEARCH($Q$4,'Final Calculation Sheet'!$P$11)))))</f>
        <v/>
      </c>
      <c r="DW66">
        <f>IF($R$4="",1,IF($R$4="(blank)",--('Final Calculation Sheet'!$Q$11=""),IF($R$4="(nonblank)",--('Final Calculation Sheet'!$Q$11&lt;&gt;""),--ISNUMBER(SEARCH($R$4,'Final Calculation Sheet'!$Q$11)))))</f>
        <v/>
      </c>
      <c r="DX66">
        <f>IF($S$4="",1,IF($S$4="(blank)",--('Final Calculation Sheet'!$R$11=""),IF($S$4="(nonblank)",--('Final Calculation Sheet'!$R$11&lt;&gt;""),--ISNUMBER(SEARCH($S$4,'Final Calculation Sheet'!$R$11)))))</f>
        <v/>
      </c>
      <c r="DY66">
        <f>IF($T$4="",1,IF($T$4="(blank)",--('Final Calculation Sheet'!$S$11=""),IF($T$4="(nonblank)",--('Final Calculation Sheet'!$S$11&lt;&gt;""),--ISNUMBER(SEARCH($T$4,'Final Calculation Sheet'!$S$11)))))</f>
        <v/>
      </c>
      <c r="DZ66">
        <f>IF($U$4="",1,IF($U$4="(blank)",--('Final Calculation Sheet'!$T$11=""),IF($U$4="(nonblank)",--('Final Calculation Sheet'!$T$11&lt;&gt;""),--ISNUMBER(SEARCH($U$4,'Final Calculation Sheet'!$T$11)))))</f>
        <v/>
      </c>
      <c r="EA66">
        <f>IF($V$4="",1,IF($V$4="(blank)",--('Final Calculation Sheet'!$U$11=""),IF($V$4="(nonblank)",--('Final Calculation Sheet'!$U$11&lt;&gt;""),--ISNUMBER(SEARCH($V$4,'Final Calculation Sheet'!$U$11)))))</f>
        <v/>
      </c>
      <c r="EB66">
        <f>IF($W$4="",1,IF($W$4="(blank)",--('Final Calculation Sheet'!$V$11=""),IF($W$4="(nonblank)",--('Final Calculation Sheet'!$V$11&lt;&gt;""),--ISNUMBER(SEARCH($W$4,'Final Calculation Sheet'!$V$11)))))</f>
        <v/>
      </c>
      <c r="EC66">
        <f>IF($X$4="",1,IF($X$4="(blank)",--('Final Calculation Sheet'!$W$11=""),IF($X$4="(nonblank)",--('Final Calculation Sheet'!$W$11&lt;&gt;""),--ISNUMBER(SEARCH($X$4,'Final Calculation Sheet'!$W$11)))))</f>
        <v/>
      </c>
      <c r="ED66">
        <f>IF($Y$4="",1,IF($Y$4="(blank)",--('Final Calculation Sheet'!$X$11=""),IF($Y$4="(nonblank)",--('Final Calculation Sheet'!$X$11&lt;&gt;""),--ISNUMBER(SEARCH($Y$4,'Final Calculation Sheet'!$X$11)))))</f>
        <v/>
      </c>
      <c r="EE66">
        <f>IF($Z$4="",1,IF($Z$4="(blank)",--('Final Calculation Sheet'!$Y$11=""),IF($Z$4="(nonblank)",--('Final Calculation Sheet'!$Y$11&lt;&gt;""),--ISNUMBER(SEARCH($Z$4,'Final Calculation Sheet'!$Y$11)))))</f>
        <v/>
      </c>
      <c r="EF66">
        <f>IF($AA$4="",1,IF($AA$4="(blank)",--('Final Calculation Sheet'!$Z$11=""),IF($AA$4="(nonblank)",--('Final Calculation Sheet'!$Z$11&lt;&gt;""),--ISNUMBER(SEARCH($AA$4,'Final Calculation Sheet'!$Z$11)))))</f>
        <v/>
      </c>
      <c r="EG66">
        <f>IF($AB$4="",1,IF($AB$4="(blank)",--('Final Calculation Sheet'!$AA$11=""),IF($AB$4="(nonblank)",--('Final Calculation Sheet'!$AA$11&lt;&gt;""),--ISNUMBER(SEARCH($AB$4,'Final Calculation Sheet'!$AA$11)))))</f>
        <v/>
      </c>
      <c r="EH66">
        <f>IF($AC$4="",1,IF($AC$4="(blank)",--('Final Calculation Sheet'!$AB$11=""),IF($AC$4="(nonblank)",--('Final Calculation Sheet'!$AB$11&lt;&gt;""),--ISNUMBER(SEARCH($AC$4,'Final Calculation Sheet'!$AB$11)))))</f>
        <v/>
      </c>
      <c r="EI66">
        <f>IF($AD$4="",1,IF($AD$4="(blank)",--('Final Calculation Sheet'!$AC$11=""),IF($AD$4="(nonblank)",--('Final Calculation Sheet'!$AC$11&lt;&gt;""),--ISNUMBER(SEARCH($AD$4,'Final Calculation Sheet'!$AC$11)))))</f>
        <v/>
      </c>
      <c r="EJ66">
        <f>IF($AE$4="",1,IF($AE$4="(blank)",--('Final Calculation Sheet'!$AD$11=""),IF($AE$4="(nonblank)",--('Final Calculation Sheet'!$AD$11&lt;&gt;""),--ISNUMBER(SEARCH($AE$4,'Final Calculation Sheet'!$AD$11)))))</f>
        <v/>
      </c>
      <c r="EK66">
        <f>IF($AF$4="",1,IF($AF$4="(blank)",--(IF('Final Calculation Sheet'!$AD$11&lt;=5,"SETTLED","OUTSTANDING")=""),IF($AF$4="(nonblank)",--(IF('Final Calculation Sheet'!$AD$11&lt;=5,"SETTLED","OUTSTANDING")&lt;&gt;""),--ISNUMBER(SEARCH($AF$4,IF('Final Calculation Sheet'!$AD$11&lt;=5,"SETTLED","OUTSTANDING"))))))</f>
        <v/>
      </c>
      <c r="EL66">
        <f>IF($AG$4="",1,IF($AG$4="(blank)",--('Final Calculation Sheet'!$AF$11=""),IF($AG$4="(nonblank)",--('Final Calculation Sheet'!$AF$11&lt;&gt;""),--ISNUMBER(SEARCH($AG$4,'Final Calculation Sheet'!$AF$11)))))</f>
        <v/>
      </c>
      <c r="EM66">
        <f>IF($AH$4="",1,IF($AH$4="(blank)",--('Final Calculation Sheet'!$AG$11=""),IF($AH$4="(nonblank)",--('Final Calculation Sheet'!$AG$11&lt;&gt;""),--ISNUMBER(SEARCH($AH$4,'Final Calculation Sheet'!$AG$11)))))</f>
        <v/>
      </c>
      <c r="EN66">
        <f>IF($AI$4="",1,IF($AI$4="(blank)",--('Final Calculation Sheet'!$AH$11=""),IF($AI$4="(nonblank)",--('Final Calculation Sheet'!$AH$11&lt;&gt;""),--ISNUMBER(SEARCH($AI$4,'Final Calculation Sheet'!$AH$11)))))</f>
        <v/>
      </c>
    </row>
    <row r="67">
      <c r="AM67">
        <f>AM66+IF(AND(Lists!$O$14&lt;&gt;"",ISNUMBER(SEARCH($B$4,Lists!$O$14))),1,0)</f>
        <v/>
      </c>
      <c r="AN67">
        <f>IF(ROW()-56&gt;MAX($AM$57:$AM$95),"",INDEX(Lists!$O$4:$O$42,MATCH(ROW()-56,$AM$57:$AM$95,0)))</f>
        <v/>
      </c>
      <c r="AO67">
        <f>AO66+IF(AND(Lists!$T$14&lt;&gt;"",ISNUMBER(SEARCH($C$4,Lists!$T$14))),1,0)</f>
        <v/>
      </c>
      <c r="AP67">
        <f>IF(ROW()-56&gt;MAX($AO$57:$AO$95),"",INDEX(Lists!$T$4:$T$42,MATCH(ROW()-56,$AO$57:$AO$95,0)))</f>
        <v/>
      </c>
      <c r="AQ67">
        <f>AQ66+IF(AND(Lists!$Y$14&lt;&gt;"",ISNUMBER(SEARCH($D$4,Lists!$Y$14))),1,0)</f>
        <v/>
      </c>
      <c r="AR67">
        <f>IF(ROW()-56&gt;MAX($AQ$57:$AQ$95),"",INDEX(Lists!$Y$4:$Y$42,MATCH(ROW()-56,$AQ$57:$AQ$95,0)))</f>
        <v/>
      </c>
      <c r="AS67">
        <f>AS66+IF(AND(Lists!$AD$14&lt;&gt;"",ISNUMBER(SEARCH($E$4,Lists!$AD$14))),1,0)</f>
        <v/>
      </c>
      <c r="AT67">
        <f>IF(ROW()-56&gt;MAX($AS$57:$AS$95),"",INDEX(Lists!$AD$4:$AD$42,MATCH(ROW()-56,$AS$57:$AS$95,0)))</f>
        <v/>
      </c>
      <c r="AU67">
        <f>AU66+IF(AND(Lists!$AI$14&lt;&gt;"",ISNUMBER(SEARCH($F$4,Lists!$AI$14))),1,0)</f>
        <v/>
      </c>
      <c r="AV67">
        <f>IF(ROW()-56&gt;MAX($AU$57:$AU$95),"",INDEX(Lists!$AI$4:$AI$42,MATCH(ROW()-56,$AU$57:$AU$95,0)))</f>
        <v/>
      </c>
      <c r="AW67">
        <f>AW66+IF(AND(Lists!$AN$14&lt;&gt;"",ISNUMBER(SEARCH($G$4,Lists!$AN$14))),1,0)</f>
        <v/>
      </c>
      <c r="AX67">
        <f>IF(ROW()-56&gt;MAX($AW$57:$AW$95),"",INDEX(Lists!$AN$4:$AN$42,MATCH(ROW()-56,$AW$57:$AW$95,0)))</f>
        <v/>
      </c>
      <c r="AY67">
        <f>AY66+IF(AND(Lists!$AS$14&lt;&gt;"",ISNUMBER(SEARCH($H$4,Lists!$AS$14))),1,0)</f>
        <v/>
      </c>
      <c r="AZ67">
        <f>IF(ROW()-56&gt;MAX($AY$57:$AY$95),"",INDEX(Lists!$AS$4:$AS$42,MATCH(ROW()-56,$AY$57:$AY$95,0)))</f>
        <v/>
      </c>
      <c r="BA67">
        <f>BA66+IF(AND(Lists!$AX$14&lt;&gt;"",ISNUMBER(SEARCH($I$4,Lists!$AX$14))),1,0)</f>
        <v/>
      </c>
      <c r="BB67">
        <f>IF(ROW()-56&gt;MAX($BA$57:$BA$95),"",INDEX(Lists!$AX$4:$AX$42,MATCH(ROW()-56,$BA$57:$BA$95,0)))</f>
        <v/>
      </c>
      <c r="BC67">
        <f>BC66+IF(AND(Lists!$BC$14&lt;&gt;"",ISNUMBER(SEARCH($J$4,Lists!$BC$14))),1,0)</f>
        <v/>
      </c>
      <c r="BD67">
        <f>IF(ROW()-56&gt;MAX($BC$57:$BC$95),"",INDEX(Lists!$BC$4:$BC$42,MATCH(ROW()-56,$BC$57:$BC$95,0)))</f>
        <v/>
      </c>
      <c r="BE67">
        <f>BE66+IF(AND(Lists!$BH$14&lt;&gt;"",ISNUMBER(SEARCH($K$4,Lists!$BH$14))),1,0)</f>
        <v/>
      </c>
      <c r="BF67">
        <f>IF(ROW()-56&gt;MAX($BE$57:$BE$95),"",INDEX(Lists!$BH$4:$BH$42,MATCH(ROW()-56,$BE$57:$BE$95,0)))</f>
        <v/>
      </c>
      <c r="BG67">
        <f>BG66+IF(AND(Lists!$BM$14&lt;&gt;"",ISNUMBER(SEARCH($L$4,Lists!$BM$14))),1,0)</f>
        <v/>
      </c>
      <c r="BH67">
        <f>IF(ROW()-56&gt;MAX($BG$57:$BG$95),"",INDEX(Lists!$BM$4:$BM$42,MATCH(ROW()-56,$BG$57:$BG$95,0)))</f>
        <v/>
      </c>
      <c r="BI67">
        <f>BI66+IF(AND(Lists!$BR$14&lt;&gt;"",ISNUMBER(SEARCH($M$4,Lists!$BR$14))),1,0)</f>
        <v/>
      </c>
      <c r="BJ67">
        <f>IF(ROW()-56&gt;MAX($BI$57:$BI$95),"",INDEX(Lists!$BR$4:$BR$42,MATCH(ROW()-56,$BI$57:$BI$95,0)))</f>
        <v/>
      </c>
      <c r="BK67">
        <f>BK66+IF(AND(Lists!$BW$14&lt;&gt;"",ISNUMBER(SEARCH($N$4,Lists!$BW$14))),1,0)</f>
        <v/>
      </c>
      <c r="BL67">
        <f>IF(ROW()-56&gt;MAX($BK$57:$BK$95),"",INDEX(Lists!$BW$4:$BW$42,MATCH(ROW()-56,$BK$57:$BK$95,0)))</f>
        <v/>
      </c>
      <c r="BM67">
        <f>BM66+IF(AND(Lists!$CB$14&lt;&gt;"",ISNUMBER(SEARCH($O$4,Lists!$CB$14))),1,0)</f>
        <v/>
      </c>
      <c r="BN67">
        <f>IF(ROW()-56&gt;MAX($BM$57:$BM$95),"",INDEX(Lists!$CB$4:$CB$42,MATCH(ROW()-56,$BM$57:$BM$95,0)))</f>
        <v/>
      </c>
      <c r="BO67">
        <f>BO66+IF(AND(Lists!$CG$14&lt;&gt;"",ISNUMBER(SEARCH($P$4,Lists!$CG$14))),1,0)</f>
        <v/>
      </c>
      <c r="BP67">
        <f>IF(ROW()-56&gt;MAX($BO$57:$BO$95),"",INDEX(Lists!$CG$4:$CG$42,MATCH(ROW()-56,$BO$57:$BO$95,0)))</f>
        <v/>
      </c>
      <c r="BQ67">
        <f>BQ66+IF(AND(Lists!$CL$14&lt;&gt;"",ISNUMBER(SEARCH($Q$4,Lists!$CL$14))),1,0)</f>
        <v/>
      </c>
      <c r="BR67">
        <f>IF(ROW()-56&gt;MAX($BQ$57:$BQ$95),"",INDEX(Lists!$CL$4:$CL$42,MATCH(ROW()-56,$BQ$57:$BQ$95,0)))</f>
        <v/>
      </c>
      <c r="BS67">
        <f>BS66+IF(AND(Lists!$CQ$14&lt;&gt;"",ISNUMBER(SEARCH($R$4,Lists!$CQ$14))),1,0)</f>
        <v/>
      </c>
      <c r="BT67">
        <f>IF(ROW()-56&gt;MAX($BS$57:$BS$95),"",INDEX(Lists!$CQ$4:$CQ$42,MATCH(ROW()-56,$BS$57:$BS$95,0)))</f>
        <v/>
      </c>
      <c r="BU67">
        <f>BU66+IF(AND(Lists!$CV$14&lt;&gt;"",ISNUMBER(SEARCH($S$4,Lists!$CV$14))),1,0)</f>
        <v/>
      </c>
      <c r="BV67">
        <f>IF(ROW()-56&gt;MAX($BU$57:$BU$95),"",INDEX(Lists!$CV$4:$CV$42,MATCH(ROW()-56,$BU$57:$BU$95,0)))</f>
        <v/>
      </c>
      <c r="BW67">
        <f>BW66+IF(AND(Lists!$DA$14&lt;&gt;"",ISNUMBER(SEARCH($T$4,Lists!$DA$14))),1,0)</f>
        <v/>
      </c>
      <c r="BX67">
        <f>IF(ROW()-56&gt;MAX($BW$57:$BW$95),"",INDEX(Lists!$DA$4:$DA$42,MATCH(ROW()-56,$BW$57:$BW$95,0)))</f>
        <v/>
      </c>
      <c r="BY67">
        <f>BY66+IF(AND(Lists!$DF$14&lt;&gt;"",ISNUMBER(SEARCH($U$4,Lists!$DF$14))),1,0)</f>
        <v/>
      </c>
      <c r="BZ67">
        <f>IF(ROW()-56&gt;MAX($BY$57:$BY$95),"",INDEX(Lists!$DF$4:$DF$42,MATCH(ROW()-56,$BY$57:$BY$95,0)))</f>
        <v/>
      </c>
      <c r="CA67">
        <f>CA66+IF(AND(Lists!$DK$14&lt;&gt;"",ISNUMBER(SEARCH($V$4,Lists!$DK$14))),1,0)</f>
        <v/>
      </c>
      <c r="CB67">
        <f>IF(ROW()-56&gt;MAX($CA$57:$CA$95),"",INDEX(Lists!$DK$4:$DK$42,MATCH(ROW()-56,$CA$57:$CA$95,0)))</f>
        <v/>
      </c>
      <c r="CC67">
        <f>CC66+IF(AND(Lists!$DP$14&lt;&gt;"",ISNUMBER(SEARCH($W$4,Lists!$DP$14))),1,0)</f>
        <v/>
      </c>
      <c r="CD67">
        <f>IF(ROW()-56&gt;MAX($CC$57:$CC$95),"",INDEX(Lists!$DP$4:$DP$42,MATCH(ROW()-56,$CC$57:$CC$95,0)))</f>
        <v/>
      </c>
      <c r="CE67">
        <f>CE66+IF(AND(Lists!$DU$14&lt;&gt;"",ISNUMBER(SEARCH($X$4,Lists!$DU$14))),1,0)</f>
        <v/>
      </c>
      <c r="CF67">
        <f>IF(ROW()-56&gt;MAX($CE$57:$CE$95),"",INDEX(Lists!$DU$4:$DU$42,MATCH(ROW()-56,$CE$57:$CE$95,0)))</f>
        <v/>
      </c>
      <c r="CG67">
        <f>CG66+IF(AND(Lists!$DZ$14&lt;&gt;"",ISNUMBER(SEARCH($Y$4,Lists!$DZ$14))),1,0)</f>
        <v/>
      </c>
      <c r="CH67">
        <f>IF(ROW()-56&gt;MAX($CG$57:$CG$95),"",INDEX(Lists!$DZ$4:$DZ$42,MATCH(ROW()-56,$CG$57:$CG$95,0)))</f>
        <v/>
      </c>
      <c r="CI67">
        <f>CI66+IF(AND(Lists!$EE$14&lt;&gt;"",ISNUMBER(SEARCH($Z$4,Lists!$EE$14))),1,0)</f>
        <v/>
      </c>
      <c r="CJ67">
        <f>IF(ROW()-56&gt;MAX($CI$57:$CI$95),"",INDEX(Lists!$EE$4:$EE$42,MATCH(ROW()-56,$CI$57:$CI$95,0)))</f>
        <v/>
      </c>
      <c r="CK67">
        <f>CK66+IF(AND(Lists!$EJ$14&lt;&gt;"",ISNUMBER(SEARCH($AA$4,Lists!$EJ$14))),1,0)</f>
        <v/>
      </c>
      <c r="CL67">
        <f>IF(ROW()-56&gt;MAX($CK$57:$CK$95),"",INDEX(Lists!$EJ$4:$EJ$42,MATCH(ROW()-56,$CK$57:$CK$95,0)))</f>
        <v/>
      </c>
      <c r="CM67">
        <f>CM66+IF(AND(Lists!$EO$14&lt;&gt;"",ISNUMBER(SEARCH($AB$4,Lists!$EO$14))),1,0)</f>
        <v/>
      </c>
      <c r="CN67">
        <f>IF(ROW()-56&gt;MAX($CM$57:$CM$95),"",INDEX(Lists!$EO$4:$EO$42,MATCH(ROW()-56,$CM$57:$CM$95,0)))</f>
        <v/>
      </c>
      <c r="CO67">
        <f>CO66+IF(AND(Lists!$ET$14&lt;&gt;"",ISNUMBER(SEARCH($AC$4,Lists!$ET$14))),1,0)</f>
        <v/>
      </c>
      <c r="CP67">
        <f>IF(ROW()-56&gt;MAX($CO$57:$CO$95),"",INDEX(Lists!$ET$4:$ET$42,MATCH(ROW()-56,$CO$57:$CO$95,0)))</f>
        <v/>
      </c>
      <c r="CQ67">
        <f>CQ66+IF(AND(Lists!$EY$14&lt;&gt;"",ISNUMBER(SEARCH($AD$4,Lists!$EY$14))),1,0)</f>
        <v/>
      </c>
      <c r="CR67">
        <f>IF(ROW()-56&gt;MAX($CQ$57:$CQ$95),"",INDEX(Lists!$EY$4:$EY$42,MATCH(ROW()-56,$CQ$57:$CQ$95,0)))</f>
        <v/>
      </c>
      <c r="CS67">
        <f>CS66+IF(AND(Lists!$FD$14&lt;&gt;"",ISNUMBER(SEARCH($AE$4,Lists!$FD$14))),1,0)</f>
        <v/>
      </c>
      <c r="CT67">
        <f>IF(ROW()-56&gt;MAX($CS$57:$CS$95),"",INDEX(Lists!$FD$4:$FD$42,MATCH(ROW()-56,$CS$57:$CS$95,0)))</f>
        <v/>
      </c>
      <c r="CU67">
        <f>CU66+IF(AND(Lists!$FI$14&lt;&gt;"",ISNUMBER(SEARCH($AG$4,Lists!$FI$14))),1,0)</f>
        <v/>
      </c>
      <c r="CV67">
        <f>IF(ROW()-56&gt;MAX($CU$57:$CU$95),"",INDEX(Lists!$FI$4:$FI$42,MATCH(ROW()-56,$CU$57:$CU$95,0)))</f>
        <v/>
      </c>
      <c r="CW67">
        <f>CW66+IF(AND(Lists!$FN$14&lt;&gt;"",ISNUMBER(SEARCH($AH$4,Lists!$FN$14))),1,0)</f>
        <v/>
      </c>
      <c r="CX67">
        <f>IF(ROW()-56&gt;MAX($CW$57:$CW$95),"",INDEX(Lists!$FN$4:$FN$42,MATCH(ROW()-56,$CW$57:$CW$95,0)))</f>
        <v/>
      </c>
      <c r="CY67">
        <f>CY66+IF(AND(Lists!$FS$14&lt;&gt;"",ISNUMBER(SEARCH($AI$4,Lists!$FS$14))),1,0)</f>
        <v/>
      </c>
      <c r="CZ67">
        <f>IF(ROW()-56&gt;MAX($CY$57:$CY$95),"",INDEX(Lists!$FS$4:$FS$42,MATCH(ROW()-56,$CY$57:$CY$95,0)))</f>
        <v/>
      </c>
      <c r="DA67">
        <f>DA66+IF(AND(Lists!$FX$14&lt;&gt;"",ISNUMBER(SEARCH($AF$4,Lists!$FX$14))),1,0)</f>
        <v/>
      </c>
      <c r="DB67">
        <f>IF(ROW()-56&gt;MAX($DA$57:$DA$95),"",INDEX(Lists!$FX$4:$FX$42,MATCH(ROW()-56,$DA$57:$DA$95,0)))</f>
        <v/>
      </c>
      <c r="DG67">
        <f>IF($B$4="",1,IF($B$4="(blank)",--('Final Calculation Sheet'!$F$12=""),IF($B$4="(nonblank)",--('Final Calculation Sheet'!$F$12&lt;&gt;""),--ISNUMBER(SEARCH($B$4,'Final Calculation Sheet'!$F$12)))))</f>
        <v/>
      </c>
      <c r="DH67">
        <f>IF($C$4="",1,IF($C$4="(blank)",--('Final Calculation Sheet'!$G$12=""),IF($C$4="(nonblank)",--('Final Calculation Sheet'!$G$12&lt;&gt;""),--ISNUMBER(SEARCH($C$4,'Final Calculation Sheet'!$G$12)))))</f>
        <v/>
      </c>
      <c r="DI67">
        <f>IF($D$4="",1,IF($D$4="(blank)",--('Final Calculation Sheet'!$B$12=""),IF($D$4="(nonblank)",--('Final Calculation Sheet'!$B$12&lt;&gt;""),--ISNUMBER(SEARCH($D$4,'Final Calculation Sheet'!$B$12)))))</f>
        <v/>
      </c>
      <c r="DJ67">
        <f>IF($E$4="",1,IF($E$4="(blank)",--('Final Calculation Sheet'!$D$12=""),IF($E$4="(nonblank)",--('Final Calculation Sheet'!$D$12&lt;&gt;""),--ISNUMBER(SEARCH($E$4,'Final Calculation Sheet'!$D$12)))))</f>
        <v/>
      </c>
      <c r="DK67">
        <f>IF($F$4="",1,IF($F$4="(blank)",--('Final Calculation Sheet'!$A$12=""),IF($F$4="(nonblank)",--('Final Calculation Sheet'!$A$12&lt;&gt;""),--ISNUMBER(SEARCH($F$4,'Final Calculation Sheet'!$A$12)))))</f>
        <v/>
      </c>
      <c r="DL67">
        <f>IF($G$4="",1,IF($G$4="(blank)",--('Final Calculation Sheet'!$E$12=""),IF($G$4="(nonblank)",--('Final Calculation Sheet'!$E$12&lt;&gt;""),--ISNUMBER(SEARCH($G$4,'Final Calculation Sheet'!$E$12)))))</f>
        <v/>
      </c>
      <c r="DM67">
        <f>IF($H$4="",1,IF($H$4="(blank)",--('Final Calculation Sheet'!$C$12=""),IF($H$4="(nonblank)",--('Final Calculation Sheet'!$C$12&lt;&gt;""),--ISNUMBER(SEARCH($H$4,'Final Calculation Sheet'!$C$12)))))</f>
        <v/>
      </c>
      <c r="DN67">
        <f>IF($I$4="",1,IF($I$4="(blank)",--('Final Calculation Sheet'!$H$12=""),IF($I$4="(nonblank)",--('Final Calculation Sheet'!$H$12&lt;&gt;""),--ISNUMBER(SEARCH($I$4,'Final Calculation Sheet'!$H$12)))))</f>
        <v/>
      </c>
      <c r="DO67">
        <f>IF($J$4="",1,IF($J$4="(blank)",--('Final Calculation Sheet'!$I$12=""),IF($J$4="(nonblank)",--('Final Calculation Sheet'!$I$12&lt;&gt;""),--ISNUMBER(SEARCH($J$4,'Final Calculation Sheet'!$I$12)))))</f>
        <v/>
      </c>
      <c r="DP67">
        <f>IF($K$4="",1,IF($K$4="(blank)",--('Final Calculation Sheet'!$J$12=""),IF($K$4="(nonblank)",--('Final Calculation Sheet'!$J$12&lt;&gt;""),--ISNUMBER(SEARCH($K$4,'Final Calculation Sheet'!$J$12)))))</f>
        <v/>
      </c>
      <c r="DQ67">
        <f>IF($L$4="",1,IF($L$4="(blank)",--('Final Calculation Sheet'!$K$12=""),IF($L$4="(nonblank)",--('Final Calculation Sheet'!$K$12&lt;&gt;""),--ISNUMBER(SEARCH($L$4,'Final Calculation Sheet'!$K$12)))))</f>
        <v/>
      </c>
      <c r="DR67">
        <f>IF($M$4="",1,IF($M$4="(blank)",--('Final Calculation Sheet'!$L$12=""),IF($M$4="(nonblank)",--('Final Calculation Sheet'!$L$12&lt;&gt;""),--ISNUMBER(SEARCH($M$4,'Final Calculation Sheet'!$L$12)))))</f>
        <v/>
      </c>
      <c r="DS67">
        <f>IF($N$4="",1,IF($N$4="(blank)",--('Final Calculation Sheet'!$M$12=""),IF($N$4="(nonblank)",--('Final Calculation Sheet'!$M$12&lt;&gt;""),--ISNUMBER(SEARCH($N$4,'Final Calculation Sheet'!$M$12)))))</f>
        <v/>
      </c>
      <c r="DT67">
        <f>IF($O$4="",1,IF($O$4="(blank)",--('Final Calculation Sheet'!$N$12=""),IF($O$4="(nonblank)",--('Final Calculation Sheet'!$N$12&lt;&gt;""),--ISNUMBER(SEARCH($O$4,'Final Calculation Sheet'!$N$12)))))</f>
        <v/>
      </c>
      <c r="DU67">
        <f>IF($P$4="",1,IF($P$4="(blank)",--('Final Calculation Sheet'!$O$12=""),IF($P$4="(nonblank)",--('Final Calculation Sheet'!$O$12&lt;&gt;""),--ISNUMBER(SEARCH($P$4,'Final Calculation Sheet'!$O$12)))))</f>
        <v/>
      </c>
      <c r="DV67">
        <f>IF($Q$4="",1,IF($Q$4="(blank)",--('Final Calculation Sheet'!$P$12=""),IF($Q$4="(nonblank)",--('Final Calculation Sheet'!$P$12&lt;&gt;""),--ISNUMBER(SEARCH($Q$4,'Final Calculation Sheet'!$P$12)))))</f>
        <v/>
      </c>
      <c r="DW67">
        <f>IF($R$4="",1,IF($R$4="(blank)",--('Final Calculation Sheet'!$Q$12=""),IF($R$4="(nonblank)",--('Final Calculation Sheet'!$Q$12&lt;&gt;""),--ISNUMBER(SEARCH($R$4,'Final Calculation Sheet'!$Q$12)))))</f>
        <v/>
      </c>
      <c r="DX67">
        <f>IF($S$4="",1,IF($S$4="(blank)",--('Final Calculation Sheet'!$R$12=""),IF($S$4="(nonblank)",--('Final Calculation Sheet'!$R$12&lt;&gt;""),--ISNUMBER(SEARCH($S$4,'Final Calculation Sheet'!$R$12)))))</f>
        <v/>
      </c>
      <c r="DY67">
        <f>IF($T$4="",1,IF($T$4="(blank)",--('Final Calculation Sheet'!$S$12=""),IF($T$4="(nonblank)",--('Final Calculation Sheet'!$S$12&lt;&gt;""),--ISNUMBER(SEARCH($T$4,'Final Calculation Sheet'!$S$12)))))</f>
        <v/>
      </c>
      <c r="DZ67">
        <f>IF($U$4="",1,IF($U$4="(blank)",--('Final Calculation Sheet'!$T$12=""),IF($U$4="(nonblank)",--('Final Calculation Sheet'!$T$12&lt;&gt;""),--ISNUMBER(SEARCH($U$4,'Final Calculation Sheet'!$T$12)))))</f>
        <v/>
      </c>
      <c r="EA67">
        <f>IF($V$4="",1,IF($V$4="(blank)",--('Final Calculation Sheet'!$U$12=""),IF($V$4="(nonblank)",--('Final Calculation Sheet'!$U$12&lt;&gt;""),--ISNUMBER(SEARCH($V$4,'Final Calculation Sheet'!$U$12)))))</f>
        <v/>
      </c>
      <c r="EB67">
        <f>IF($W$4="",1,IF($W$4="(blank)",--('Final Calculation Sheet'!$V$12=""),IF($W$4="(nonblank)",--('Final Calculation Sheet'!$V$12&lt;&gt;""),--ISNUMBER(SEARCH($W$4,'Final Calculation Sheet'!$V$12)))))</f>
        <v/>
      </c>
      <c r="EC67">
        <f>IF($X$4="",1,IF($X$4="(blank)",--('Final Calculation Sheet'!$W$12=""),IF($X$4="(nonblank)",--('Final Calculation Sheet'!$W$12&lt;&gt;""),--ISNUMBER(SEARCH($X$4,'Final Calculation Sheet'!$W$12)))))</f>
        <v/>
      </c>
      <c r="ED67">
        <f>IF($Y$4="",1,IF($Y$4="(blank)",--('Final Calculation Sheet'!$X$12=""),IF($Y$4="(nonblank)",--('Final Calculation Sheet'!$X$12&lt;&gt;""),--ISNUMBER(SEARCH($Y$4,'Final Calculation Sheet'!$X$12)))))</f>
        <v/>
      </c>
      <c r="EE67">
        <f>IF($Z$4="",1,IF($Z$4="(blank)",--('Final Calculation Sheet'!$Y$12=""),IF($Z$4="(nonblank)",--('Final Calculation Sheet'!$Y$12&lt;&gt;""),--ISNUMBER(SEARCH($Z$4,'Final Calculation Sheet'!$Y$12)))))</f>
        <v/>
      </c>
      <c r="EF67">
        <f>IF($AA$4="",1,IF($AA$4="(blank)",--('Final Calculation Sheet'!$Z$12=""),IF($AA$4="(nonblank)",--('Final Calculation Sheet'!$Z$12&lt;&gt;""),--ISNUMBER(SEARCH($AA$4,'Final Calculation Sheet'!$Z$12)))))</f>
        <v/>
      </c>
      <c r="EG67">
        <f>IF($AB$4="",1,IF($AB$4="(blank)",--('Final Calculation Sheet'!$AA$12=""),IF($AB$4="(nonblank)",--('Final Calculation Sheet'!$AA$12&lt;&gt;""),--ISNUMBER(SEARCH($AB$4,'Final Calculation Sheet'!$AA$12)))))</f>
        <v/>
      </c>
      <c r="EH67">
        <f>IF($AC$4="",1,IF($AC$4="(blank)",--('Final Calculation Sheet'!$AB$12=""),IF($AC$4="(nonblank)",--('Final Calculation Sheet'!$AB$12&lt;&gt;""),--ISNUMBER(SEARCH($AC$4,'Final Calculation Sheet'!$AB$12)))))</f>
        <v/>
      </c>
      <c r="EI67">
        <f>IF($AD$4="",1,IF($AD$4="(blank)",--('Final Calculation Sheet'!$AC$12=""),IF($AD$4="(nonblank)",--('Final Calculation Sheet'!$AC$12&lt;&gt;""),--ISNUMBER(SEARCH($AD$4,'Final Calculation Sheet'!$AC$12)))))</f>
        <v/>
      </c>
      <c r="EJ67">
        <f>IF($AE$4="",1,IF($AE$4="(blank)",--('Final Calculation Sheet'!$AD$12=""),IF($AE$4="(nonblank)",--('Final Calculation Sheet'!$AD$12&lt;&gt;""),--ISNUMBER(SEARCH($AE$4,'Final Calculation Sheet'!$AD$12)))))</f>
        <v/>
      </c>
      <c r="EK67">
        <f>IF($AF$4="",1,IF($AF$4="(blank)",--(IF('Final Calculation Sheet'!$AD$12&lt;=5,"SETTLED","OUTSTANDING")=""),IF($AF$4="(nonblank)",--(IF('Final Calculation Sheet'!$AD$12&lt;=5,"SETTLED","OUTSTANDING")&lt;&gt;""),--ISNUMBER(SEARCH($AF$4,IF('Final Calculation Sheet'!$AD$12&lt;=5,"SETTLED","OUTSTANDING"))))))</f>
        <v/>
      </c>
      <c r="EL67">
        <f>IF($AG$4="",1,IF($AG$4="(blank)",--('Final Calculation Sheet'!$AF$12=""),IF($AG$4="(nonblank)",--('Final Calculation Sheet'!$AF$12&lt;&gt;""),--ISNUMBER(SEARCH($AG$4,'Final Calculation Sheet'!$AF$12)))))</f>
        <v/>
      </c>
      <c r="EM67">
        <f>IF($AH$4="",1,IF($AH$4="(blank)",--('Final Calculation Sheet'!$AG$12=""),IF($AH$4="(nonblank)",--('Final Calculation Sheet'!$AG$12&lt;&gt;""),--ISNUMBER(SEARCH($AH$4,'Final Calculation Sheet'!$AG$12)))))</f>
        <v/>
      </c>
      <c r="EN67">
        <f>IF($AI$4="",1,IF($AI$4="(blank)",--('Final Calculation Sheet'!$AH$12=""),IF($AI$4="(nonblank)",--('Final Calculation Sheet'!$AH$12&lt;&gt;""),--ISNUMBER(SEARCH($AI$4,'Final Calculation Sheet'!$AH$12)))))</f>
        <v/>
      </c>
    </row>
    <row r="68">
      <c r="AM68">
        <f>AM67+IF(AND(Lists!$O$15&lt;&gt;"",ISNUMBER(SEARCH($B$4,Lists!$O$15))),1,0)</f>
        <v/>
      </c>
      <c r="AN68">
        <f>IF(ROW()-56&gt;MAX($AM$57:$AM$95),"",INDEX(Lists!$O$4:$O$42,MATCH(ROW()-56,$AM$57:$AM$95,0)))</f>
        <v/>
      </c>
      <c r="AO68">
        <f>AO67+IF(AND(Lists!$T$15&lt;&gt;"",ISNUMBER(SEARCH($C$4,Lists!$T$15))),1,0)</f>
        <v/>
      </c>
      <c r="AP68">
        <f>IF(ROW()-56&gt;MAX($AO$57:$AO$95),"",INDEX(Lists!$T$4:$T$42,MATCH(ROW()-56,$AO$57:$AO$95,0)))</f>
        <v/>
      </c>
      <c r="AQ68">
        <f>AQ67+IF(AND(Lists!$Y$15&lt;&gt;"",ISNUMBER(SEARCH($D$4,Lists!$Y$15))),1,0)</f>
        <v/>
      </c>
      <c r="AR68">
        <f>IF(ROW()-56&gt;MAX($AQ$57:$AQ$95),"",INDEX(Lists!$Y$4:$Y$42,MATCH(ROW()-56,$AQ$57:$AQ$95,0)))</f>
        <v/>
      </c>
      <c r="AS68">
        <f>AS67+IF(AND(Lists!$AD$15&lt;&gt;"",ISNUMBER(SEARCH($E$4,Lists!$AD$15))),1,0)</f>
        <v/>
      </c>
      <c r="AT68">
        <f>IF(ROW()-56&gt;MAX($AS$57:$AS$95),"",INDEX(Lists!$AD$4:$AD$42,MATCH(ROW()-56,$AS$57:$AS$95,0)))</f>
        <v/>
      </c>
      <c r="AU68">
        <f>AU67+IF(AND(Lists!$AI$15&lt;&gt;"",ISNUMBER(SEARCH($F$4,Lists!$AI$15))),1,0)</f>
        <v/>
      </c>
      <c r="AV68">
        <f>IF(ROW()-56&gt;MAX($AU$57:$AU$95),"",INDEX(Lists!$AI$4:$AI$42,MATCH(ROW()-56,$AU$57:$AU$95,0)))</f>
        <v/>
      </c>
      <c r="AW68">
        <f>AW67+IF(AND(Lists!$AN$15&lt;&gt;"",ISNUMBER(SEARCH($G$4,Lists!$AN$15))),1,0)</f>
        <v/>
      </c>
      <c r="AX68">
        <f>IF(ROW()-56&gt;MAX($AW$57:$AW$95),"",INDEX(Lists!$AN$4:$AN$42,MATCH(ROW()-56,$AW$57:$AW$95,0)))</f>
        <v/>
      </c>
      <c r="AY68">
        <f>AY67+IF(AND(Lists!$AS$15&lt;&gt;"",ISNUMBER(SEARCH($H$4,Lists!$AS$15))),1,0)</f>
        <v/>
      </c>
      <c r="AZ68">
        <f>IF(ROW()-56&gt;MAX($AY$57:$AY$95),"",INDEX(Lists!$AS$4:$AS$42,MATCH(ROW()-56,$AY$57:$AY$95,0)))</f>
        <v/>
      </c>
      <c r="BA68">
        <f>BA67+IF(AND(Lists!$AX$15&lt;&gt;"",ISNUMBER(SEARCH($I$4,Lists!$AX$15))),1,0)</f>
        <v/>
      </c>
      <c r="BB68">
        <f>IF(ROW()-56&gt;MAX($BA$57:$BA$95),"",INDEX(Lists!$AX$4:$AX$42,MATCH(ROW()-56,$BA$57:$BA$95,0)))</f>
        <v/>
      </c>
      <c r="BC68">
        <f>BC67+IF(AND(Lists!$BC$15&lt;&gt;"",ISNUMBER(SEARCH($J$4,Lists!$BC$15))),1,0)</f>
        <v/>
      </c>
      <c r="BD68">
        <f>IF(ROW()-56&gt;MAX($BC$57:$BC$95),"",INDEX(Lists!$BC$4:$BC$42,MATCH(ROW()-56,$BC$57:$BC$95,0)))</f>
        <v/>
      </c>
      <c r="BE68">
        <f>BE67+IF(AND(Lists!$BH$15&lt;&gt;"",ISNUMBER(SEARCH($K$4,Lists!$BH$15))),1,0)</f>
        <v/>
      </c>
      <c r="BF68">
        <f>IF(ROW()-56&gt;MAX($BE$57:$BE$95),"",INDEX(Lists!$BH$4:$BH$42,MATCH(ROW()-56,$BE$57:$BE$95,0)))</f>
        <v/>
      </c>
      <c r="BG68">
        <f>BG67+IF(AND(Lists!$BM$15&lt;&gt;"",ISNUMBER(SEARCH($L$4,Lists!$BM$15))),1,0)</f>
        <v/>
      </c>
      <c r="BH68">
        <f>IF(ROW()-56&gt;MAX($BG$57:$BG$95),"",INDEX(Lists!$BM$4:$BM$42,MATCH(ROW()-56,$BG$57:$BG$95,0)))</f>
        <v/>
      </c>
      <c r="BI68">
        <f>BI67+IF(AND(Lists!$BR$15&lt;&gt;"",ISNUMBER(SEARCH($M$4,Lists!$BR$15))),1,0)</f>
        <v/>
      </c>
      <c r="BJ68">
        <f>IF(ROW()-56&gt;MAX($BI$57:$BI$95),"",INDEX(Lists!$BR$4:$BR$42,MATCH(ROW()-56,$BI$57:$BI$95,0)))</f>
        <v/>
      </c>
      <c r="BK68">
        <f>BK67+IF(AND(Lists!$BW$15&lt;&gt;"",ISNUMBER(SEARCH($N$4,Lists!$BW$15))),1,0)</f>
        <v/>
      </c>
      <c r="BL68">
        <f>IF(ROW()-56&gt;MAX($BK$57:$BK$95),"",INDEX(Lists!$BW$4:$BW$42,MATCH(ROW()-56,$BK$57:$BK$95,0)))</f>
        <v/>
      </c>
      <c r="BM68">
        <f>BM67+IF(AND(Lists!$CB$15&lt;&gt;"",ISNUMBER(SEARCH($O$4,Lists!$CB$15))),1,0)</f>
        <v/>
      </c>
      <c r="BN68">
        <f>IF(ROW()-56&gt;MAX($BM$57:$BM$95),"",INDEX(Lists!$CB$4:$CB$42,MATCH(ROW()-56,$BM$57:$BM$95,0)))</f>
        <v/>
      </c>
      <c r="BO68">
        <f>BO67+IF(AND(Lists!$CG$15&lt;&gt;"",ISNUMBER(SEARCH($P$4,Lists!$CG$15))),1,0)</f>
        <v/>
      </c>
      <c r="BP68">
        <f>IF(ROW()-56&gt;MAX($BO$57:$BO$95),"",INDEX(Lists!$CG$4:$CG$42,MATCH(ROW()-56,$BO$57:$BO$95,0)))</f>
        <v/>
      </c>
      <c r="BQ68">
        <f>BQ67+IF(AND(Lists!$CL$15&lt;&gt;"",ISNUMBER(SEARCH($Q$4,Lists!$CL$15))),1,0)</f>
        <v/>
      </c>
      <c r="BR68">
        <f>IF(ROW()-56&gt;MAX($BQ$57:$BQ$95),"",INDEX(Lists!$CL$4:$CL$42,MATCH(ROW()-56,$BQ$57:$BQ$95,0)))</f>
        <v/>
      </c>
      <c r="BS68">
        <f>BS67+IF(AND(Lists!$CQ$15&lt;&gt;"",ISNUMBER(SEARCH($R$4,Lists!$CQ$15))),1,0)</f>
        <v/>
      </c>
      <c r="BT68">
        <f>IF(ROW()-56&gt;MAX($BS$57:$BS$95),"",INDEX(Lists!$CQ$4:$CQ$42,MATCH(ROW()-56,$BS$57:$BS$95,0)))</f>
        <v/>
      </c>
      <c r="BU68">
        <f>BU67+IF(AND(Lists!$CV$15&lt;&gt;"",ISNUMBER(SEARCH($S$4,Lists!$CV$15))),1,0)</f>
        <v/>
      </c>
      <c r="BV68">
        <f>IF(ROW()-56&gt;MAX($BU$57:$BU$95),"",INDEX(Lists!$CV$4:$CV$42,MATCH(ROW()-56,$BU$57:$BU$95,0)))</f>
        <v/>
      </c>
      <c r="BW68">
        <f>BW67+IF(AND(Lists!$DA$15&lt;&gt;"",ISNUMBER(SEARCH($T$4,Lists!$DA$15))),1,0)</f>
        <v/>
      </c>
      <c r="BX68">
        <f>IF(ROW()-56&gt;MAX($BW$57:$BW$95),"",INDEX(Lists!$DA$4:$DA$42,MATCH(ROW()-56,$BW$57:$BW$95,0)))</f>
        <v/>
      </c>
      <c r="BY68">
        <f>BY67+IF(AND(Lists!$DF$15&lt;&gt;"",ISNUMBER(SEARCH($U$4,Lists!$DF$15))),1,0)</f>
        <v/>
      </c>
      <c r="BZ68">
        <f>IF(ROW()-56&gt;MAX($BY$57:$BY$95),"",INDEX(Lists!$DF$4:$DF$42,MATCH(ROW()-56,$BY$57:$BY$95,0)))</f>
        <v/>
      </c>
      <c r="CA68">
        <f>CA67+IF(AND(Lists!$DK$15&lt;&gt;"",ISNUMBER(SEARCH($V$4,Lists!$DK$15))),1,0)</f>
        <v/>
      </c>
      <c r="CB68">
        <f>IF(ROW()-56&gt;MAX($CA$57:$CA$95),"",INDEX(Lists!$DK$4:$DK$42,MATCH(ROW()-56,$CA$57:$CA$95,0)))</f>
        <v/>
      </c>
      <c r="CC68">
        <f>CC67+IF(AND(Lists!$DP$15&lt;&gt;"",ISNUMBER(SEARCH($W$4,Lists!$DP$15))),1,0)</f>
        <v/>
      </c>
      <c r="CD68">
        <f>IF(ROW()-56&gt;MAX($CC$57:$CC$95),"",INDEX(Lists!$DP$4:$DP$42,MATCH(ROW()-56,$CC$57:$CC$95,0)))</f>
        <v/>
      </c>
      <c r="CE68">
        <f>CE67+IF(AND(Lists!$DU$15&lt;&gt;"",ISNUMBER(SEARCH($X$4,Lists!$DU$15))),1,0)</f>
        <v/>
      </c>
      <c r="CF68">
        <f>IF(ROW()-56&gt;MAX($CE$57:$CE$95),"",INDEX(Lists!$DU$4:$DU$42,MATCH(ROW()-56,$CE$57:$CE$95,0)))</f>
        <v/>
      </c>
      <c r="CG68">
        <f>CG67+IF(AND(Lists!$DZ$15&lt;&gt;"",ISNUMBER(SEARCH($Y$4,Lists!$DZ$15))),1,0)</f>
        <v/>
      </c>
      <c r="CH68">
        <f>IF(ROW()-56&gt;MAX($CG$57:$CG$95),"",INDEX(Lists!$DZ$4:$DZ$42,MATCH(ROW()-56,$CG$57:$CG$95,0)))</f>
        <v/>
      </c>
      <c r="CI68">
        <f>CI67+IF(AND(Lists!$EE$15&lt;&gt;"",ISNUMBER(SEARCH($Z$4,Lists!$EE$15))),1,0)</f>
        <v/>
      </c>
      <c r="CJ68">
        <f>IF(ROW()-56&gt;MAX($CI$57:$CI$95),"",INDEX(Lists!$EE$4:$EE$42,MATCH(ROW()-56,$CI$57:$CI$95,0)))</f>
        <v/>
      </c>
      <c r="CK68">
        <f>CK67+IF(AND(Lists!$EJ$15&lt;&gt;"",ISNUMBER(SEARCH($AA$4,Lists!$EJ$15))),1,0)</f>
        <v/>
      </c>
      <c r="CL68">
        <f>IF(ROW()-56&gt;MAX($CK$57:$CK$95),"",INDEX(Lists!$EJ$4:$EJ$42,MATCH(ROW()-56,$CK$57:$CK$95,0)))</f>
        <v/>
      </c>
      <c r="CM68">
        <f>CM67+IF(AND(Lists!$EO$15&lt;&gt;"",ISNUMBER(SEARCH($AB$4,Lists!$EO$15))),1,0)</f>
        <v/>
      </c>
      <c r="CN68">
        <f>IF(ROW()-56&gt;MAX($CM$57:$CM$95),"",INDEX(Lists!$EO$4:$EO$42,MATCH(ROW()-56,$CM$57:$CM$95,0)))</f>
        <v/>
      </c>
      <c r="CO68">
        <f>CO67+IF(AND(Lists!$ET$15&lt;&gt;"",ISNUMBER(SEARCH($AC$4,Lists!$ET$15))),1,0)</f>
        <v/>
      </c>
      <c r="CP68">
        <f>IF(ROW()-56&gt;MAX($CO$57:$CO$95),"",INDEX(Lists!$ET$4:$ET$42,MATCH(ROW()-56,$CO$57:$CO$95,0)))</f>
        <v/>
      </c>
      <c r="CQ68">
        <f>CQ67+IF(AND(Lists!$EY$15&lt;&gt;"",ISNUMBER(SEARCH($AD$4,Lists!$EY$15))),1,0)</f>
        <v/>
      </c>
      <c r="CR68">
        <f>IF(ROW()-56&gt;MAX($CQ$57:$CQ$95),"",INDEX(Lists!$EY$4:$EY$42,MATCH(ROW()-56,$CQ$57:$CQ$95,0)))</f>
        <v/>
      </c>
      <c r="CS68">
        <f>CS67+IF(AND(Lists!$FD$15&lt;&gt;"",ISNUMBER(SEARCH($AE$4,Lists!$FD$15))),1,0)</f>
        <v/>
      </c>
      <c r="CT68">
        <f>IF(ROW()-56&gt;MAX($CS$57:$CS$95),"",INDEX(Lists!$FD$4:$FD$42,MATCH(ROW()-56,$CS$57:$CS$95,0)))</f>
        <v/>
      </c>
      <c r="CU68">
        <f>CU67+IF(AND(Lists!$FI$15&lt;&gt;"",ISNUMBER(SEARCH($AG$4,Lists!$FI$15))),1,0)</f>
        <v/>
      </c>
      <c r="CV68">
        <f>IF(ROW()-56&gt;MAX($CU$57:$CU$95),"",INDEX(Lists!$FI$4:$FI$42,MATCH(ROW()-56,$CU$57:$CU$95,0)))</f>
        <v/>
      </c>
      <c r="CW68">
        <f>CW67+IF(AND(Lists!$FN$15&lt;&gt;"",ISNUMBER(SEARCH($AH$4,Lists!$FN$15))),1,0)</f>
        <v/>
      </c>
      <c r="CX68">
        <f>IF(ROW()-56&gt;MAX($CW$57:$CW$95),"",INDEX(Lists!$FN$4:$FN$42,MATCH(ROW()-56,$CW$57:$CW$95,0)))</f>
        <v/>
      </c>
      <c r="CY68">
        <f>CY67+IF(AND(Lists!$FS$15&lt;&gt;"",ISNUMBER(SEARCH($AI$4,Lists!$FS$15))),1,0)</f>
        <v/>
      </c>
      <c r="CZ68">
        <f>IF(ROW()-56&gt;MAX($CY$57:$CY$95),"",INDEX(Lists!$FS$4:$FS$42,MATCH(ROW()-56,$CY$57:$CY$95,0)))</f>
        <v/>
      </c>
      <c r="DA68">
        <f>DA67+IF(AND(Lists!$FX$15&lt;&gt;"",ISNUMBER(SEARCH($AF$4,Lists!$FX$15))),1,0)</f>
        <v/>
      </c>
      <c r="DB68">
        <f>IF(ROW()-56&gt;MAX($DA$57:$DA$95),"",INDEX(Lists!$FX$4:$FX$42,MATCH(ROW()-56,$DA$57:$DA$95,0)))</f>
        <v/>
      </c>
      <c r="DG68">
        <f>IF($B$4="",1,IF($B$4="(blank)",--('Final Calculation Sheet'!$F$13=""),IF($B$4="(nonblank)",--('Final Calculation Sheet'!$F$13&lt;&gt;""),--ISNUMBER(SEARCH($B$4,'Final Calculation Sheet'!$F$13)))))</f>
        <v/>
      </c>
      <c r="DH68">
        <f>IF($C$4="",1,IF($C$4="(blank)",--('Final Calculation Sheet'!$G$13=""),IF($C$4="(nonblank)",--('Final Calculation Sheet'!$G$13&lt;&gt;""),--ISNUMBER(SEARCH($C$4,'Final Calculation Sheet'!$G$13)))))</f>
        <v/>
      </c>
      <c r="DI68">
        <f>IF($D$4="",1,IF($D$4="(blank)",--('Final Calculation Sheet'!$B$13=""),IF($D$4="(nonblank)",--('Final Calculation Sheet'!$B$13&lt;&gt;""),--ISNUMBER(SEARCH($D$4,'Final Calculation Sheet'!$B$13)))))</f>
        <v/>
      </c>
      <c r="DJ68">
        <f>IF($E$4="",1,IF($E$4="(blank)",--('Final Calculation Sheet'!$D$13=""),IF($E$4="(nonblank)",--('Final Calculation Sheet'!$D$13&lt;&gt;""),--ISNUMBER(SEARCH($E$4,'Final Calculation Sheet'!$D$13)))))</f>
        <v/>
      </c>
      <c r="DK68">
        <f>IF($F$4="",1,IF($F$4="(blank)",--('Final Calculation Sheet'!$A$13=""),IF($F$4="(nonblank)",--('Final Calculation Sheet'!$A$13&lt;&gt;""),--ISNUMBER(SEARCH($F$4,'Final Calculation Sheet'!$A$13)))))</f>
        <v/>
      </c>
      <c r="DL68">
        <f>IF($G$4="",1,IF($G$4="(blank)",--('Final Calculation Sheet'!$E$13=""),IF($G$4="(nonblank)",--('Final Calculation Sheet'!$E$13&lt;&gt;""),--ISNUMBER(SEARCH($G$4,'Final Calculation Sheet'!$E$13)))))</f>
        <v/>
      </c>
      <c r="DM68">
        <f>IF($H$4="",1,IF($H$4="(blank)",--('Final Calculation Sheet'!$C$13=""),IF($H$4="(nonblank)",--('Final Calculation Sheet'!$C$13&lt;&gt;""),--ISNUMBER(SEARCH($H$4,'Final Calculation Sheet'!$C$13)))))</f>
        <v/>
      </c>
      <c r="DN68">
        <f>IF($I$4="",1,IF($I$4="(blank)",--('Final Calculation Sheet'!$H$13=""),IF($I$4="(nonblank)",--('Final Calculation Sheet'!$H$13&lt;&gt;""),--ISNUMBER(SEARCH($I$4,'Final Calculation Sheet'!$H$13)))))</f>
        <v/>
      </c>
      <c r="DO68">
        <f>IF($J$4="",1,IF($J$4="(blank)",--('Final Calculation Sheet'!$I$13=""),IF($J$4="(nonblank)",--('Final Calculation Sheet'!$I$13&lt;&gt;""),--ISNUMBER(SEARCH($J$4,'Final Calculation Sheet'!$I$13)))))</f>
        <v/>
      </c>
      <c r="DP68">
        <f>IF($K$4="",1,IF($K$4="(blank)",--('Final Calculation Sheet'!$J$13=""),IF($K$4="(nonblank)",--('Final Calculation Sheet'!$J$13&lt;&gt;""),--ISNUMBER(SEARCH($K$4,'Final Calculation Sheet'!$J$13)))))</f>
        <v/>
      </c>
      <c r="DQ68">
        <f>IF($L$4="",1,IF($L$4="(blank)",--('Final Calculation Sheet'!$K$13=""),IF($L$4="(nonblank)",--('Final Calculation Sheet'!$K$13&lt;&gt;""),--ISNUMBER(SEARCH($L$4,'Final Calculation Sheet'!$K$13)))))</f>
        <v/>
      </c>
      <c r="DR68">
        <f>IF($M$4="",1,IF($M$4="(blank)",--('Final Calculation Sheet'!$L$13=""),IF($M$4="(nonblank)",--('Final Calculation Sheet'!$L$13&lt;&gt;""),--ISNUMBER(SEARCH($M$4,'Final Calculation Sheet'!$L$13)))))</f>
        <v/>
      </c>
      <c r="DS68">
        <f>IF($N$4="",1,IF($N$4="(blank)",--('Final Calculation Sheet'!$M$13=""),IF($N$4="(nonblank)",--('Final Calculation Sheet'!$M$13&lt;&gt;""),--ISNUMBER(SEARCH($N$4,'Final Calculation Sheet'!$M$13)))))</f>
        <v/>
      </c>
      <c r="DT68">
        <f>IF($O$4="",1,IF($O$4="(blank)",--('Final Calculation Sheet'!$N$13=""),IF($O$4="(nonblank)",--('Final Calculation Sheet'!$N$13&lt;&gt;""),--ISNUMBER(SEARCH($O$4,'Final Calculation Sheet'!$N$13)))))</f>
        <v/>
      </c>
      <c r="DU68">
        <f>IF($P$4="",1,IF($P$4="(blank)",--('Final Calculation Sheet'!$O$13=""),IF($P$4="(nonblank)",--('Final Calculation Sheet'!$O$13&lt;&gt;""),--ISNUMBER(SEARCH($P$4,'Final Calculation Sheet'!$O$13)))))</f>
        <v/>
      </c>
      <c r="DV68">
        <f>IF($Q$4="",1,IF($Q$4="(blank)",--('Final Calculation Sheet'!$P$13=""),IF($Q$4="(nonblank)",--('Final Calculation Sheet'!$P$13&lt;&gt;""),--ISNUMBER(SEARCH($Q$4,'Final Calculation Sheet'!$P$13)))))</f>
        <v/>
      </c>
      <c r="DW68">
        <f>IF($R$4="",1,IF($R$4="(blank)",--('Final Calculation Sheet'!$Q$13=""),IF($R$4="(nonblank)",--('Final Calculation Sheet'!$Q$13&lt;&gt;""),--ISNUMBER(SEARCH($R$4,'Final Calculation Sheet'!$Q$13)))))</f>
        <v/>
      </c>
      <c r="DX68">
        <f>IF($S$4="",1,IF($S$4="(blank)",--('Final Calculation Sheet'!$R$13=""),IF($S$4="(nonblank)",--('Final Calculation Sheet'!$R$13&lt;&gt;""),--ISNUMBER(SEARCH($S$4,'Final Calculation Sheet'!$R$13)))))</f>
        <v/>
      </c>
      <c r="DY68">
        <f>IF($T$4="",1,IF($T$4="(blank)",--('Final Calculation Sheet'!$S$13=""),IF($T$4="(nonblank)",--('Final Calculation Sheet'!$S$13&lt;&gt;""),--ISNUMBER(SEARCH($T$4,'Final Calculation Sheet'!$S$13)))))</f>
        <v/>
      </c>
      <c r="DZ68">
        <f>IF($U$4="",1,IF($U$4="(blank)",--('Final Calculation Sheet'!$T$13=""),IF($U$4="(nonblank)",--('Final Calculation Sheet'!$T$13&lt;&gt;""),--ISNUMBER(SEARCH($U$4,'Final Calculation Sheet'!$T$13)))))</f>
        <v/>
      </c>
      <c r="EA68">
        <f>IF($V$4="",1,IF($V$4="(blank)",--('Final Calculation Sheet'!$U$13=""),IF($V$4="(nonblank)",--('Final Calculation Sheet'!$U$13&lt;&gt;""),--ISNUMBER(SEARCH($V$4,'Final Calculation Sheet'!$U$13)))))</f>
        <v/>
      </c>
      <c r="EB68">
        <f>IF($W$4="",1,IF($W$4="(blank)",--('Final Calculation Sheet'!$V$13=""),IF($W$4="(nonblank)",--('Final Calculation Sheet'!$V$13&lt;&gt;""),--ISNUMBER(SEARCH($W$4,'Final Calculation Sheet'!$V$13)))))</f>
        <v/>
      </c>
      <c r="EC68">
        <f>IF($X$4="",1,IF($X$4="(blank)",--('Final Calculation Sheet'!$W$13=""),IF($X$4="(nonblank)",--('Final Calculation Sheet'!$W$13&lt;&gt;""),--ISNUMBER(SEARCH($X$4,'Final Calculation Sheet'!$W$13)))))</f>
        <v/>
      </c>
      <c r="ED68">
        <f>IF($Y$4="",1,IF($Y$4="(blank)",--('Final Calculation Sheet'!$X$13=""),IF($Y$4="(nonblank)",--('Final Calculation Sheet'!$X$13&lt;&gt;""),--ISNUMBER(SEARCH($Y$4,'Final Calculation Sheet'!$X$13)))))</f>
        <v/>
      </c>
      <c r="EE68">
        <f>IF($Z$4="",1,IF($Z$4="(blank)",--('Final Calculation Sheet'!$Y$13=""),IF($Z$4="(nonblank)",--('Final Calculation Sheet'!$Y$13&lt;&gt;""),--ISNUMBER(SEARCH($Z$4,'Final Calculation Sheet'!$Y$13)))))</f>
        <v/>
      </c>
      <c r="EF68">
        <f>IF($AA$4="",1,IF($AA$4="(blank)",--('Final Calculation Sheet'!$Z$13=""),IF($AA$4="(nonblank)",--('Final Calculation Sheet'!$Z$13&lt;&gt;""),--ISNUMBER(SEARCH($AA$4,'Final Calculation Sheet'!$Z$13)))))</f>
        <v/>
      </c>
      <c r="EG68">
        <f>IF($AB$4="",1,IF($AB$4="(blank)",--('Final Calculation Sheet'!$AA$13=""),IF($AB$4="(nonblank)",--('Final Calculation Sheet'!$AA$13&lt;&gt;""),--ISNUMBER(SEARCH($AB$4,'Final Calculation Sheet'!$AA$13)))))</f>
        <v/>
      </c>
      <c r="EH68">
        <f>IF($AC$4="",1,IF($AC$4="(blank)",--('Final Calculation Sheet'!$AB$13=""),IF($AC$4="(nonblank)",--('Final Calculation Sheet'!$AB$13&lt;&gt;""),--ISNUMBER(SEARCH($AC$4,'Final Calculation Sheet'!$AB$13)))))</f>
        <v/>
      </c>
      <c r="EI68">
        <f>IF($AD$4="",1,IF($AD$4="(blank)",--('Final Calculation Sheet'!$AC$13=""),IF($AD$4="(nonblank)",--('Final Calculation Sheet'!$AC$13&lt;&gt;""),--ISNUMBER(SEARCH($AD$4,'Final Calculation Sheet'!$AC$13)))))</f>
        <v/>
      </c>
      <c r="EJ68">
        <f>IF($AE$4="",1,IF($AE$4="(blank)",--('Final Calculation Sheet'!$AD$13=""),IF($AE$4="(nonblank)",--('Final Calculation Sheet'!$AD$13&lt;&gt;""),--ISNUMBER(SEARCH($AE$4,'Final Calculation Sheet'!$AD$13)))))</f>
        <v/>
      </c>
      <c r="EK68">
        <f>IF($AF$4="",1,IF($AF$4="(blank)",--(IF('Final Calculation Sheet'!$AD$13&lt;=5,"SETTLED","OUTSTANDING")=""),IF($AF$4="(nonblank)",--(IF('Final Calculation Sheet'!$AD$13&lt;=5,"SETTLED","OUTSTANDING")&lt;&gt;""),--ISNUMBER(SEARCH($AF$4,IF('Final Calculation Sheet'!$AD$13&lt;=5,"SETTLED","OUTSTANDING"))))))</f>
        <v/>
      </c>
      <c r="EL68">
        <f>IF($AG$4="",1,IF($AG$4="(blank)",--('Final Calculation Sheet'!$AF$13=""),IF($AG$4="(nonblank)",--('Final Calculation Sheet'!$AF$13&lt;&gt;""),--ISNUMBER(SEARCH($AG$4,'Final Calculation Sheet'!$AF$13)))))</f>
        <v/>
      </c>
      <c r="EM68">
        <f>IF($AH$4="",1,IF($AH$4="(blank)",--('Final Calculation Sheet'!$AG$13=""),IF($AH$4="(nonblank)",--('Final Calculation Sheet'!$AG$13&lt;&gt;""),--ISNUMBER(SEARCH($AH$4,'Final Calculation Sheet'!$AG$13)))))</f>
        <v/>
      </c>
      <c r="EN68">
        <f>IF($AI$4="",1,IF($AI$4="(blank)",--('Final Calculation Sheet'!$AH$13=""),IF($AI$4="(nonblank)",--('Final Calculation Sheet'!$AH$13&lt;&gt;""),--ISNUMBER(SEARCH($AI$4,'Final Calculation Sheet'!$AH$13)))))</f>
        <v/>
      </c>
    </row>
    <row r="69">
      <c r="AM69">
        <f>AM68+IF(AND(Lists!$O$16&lt;&gt;"",ISNUMBER(SEARCH($B$4,Lists!$O$16))),1,0)</f>
        <v/>
      </c>
      <c r="AN69">
        <f>IF(ROW()-56&gt;MAX($AM$57:$AM$95),"",INDEX(Lists!$O$4:$O$42,MATCH(ROW()-56,$AM$57:$AM$95,0)))</f>
        <v/>
      </c>
      <c r="AO69">
        <f>AO68+IF(AND(Lists!$T$16&lt;&gt;"",ISNUMBER(SEARCH($C$4,Lists!$T$16))),1,0)</f>
        <v/>
      </c>
      <c r="AP69">
        <f>IF(ROW()-56&gt;MAX($AO$57:$AO$95),"",INDEX(Lists!$T$4:$T$42,MATCH(ROW()-56,$AO$57:$AO$95,0)))</f>
        <v/>
      </c>
      <c r="AQ69">
        <f>AQ68+IF(AND(Lists!$Y$16&lt;&gt;"",ISNUMBER(SEARCH($D$4,Lists!$Y$16))),1,0)</f>
        <v/>
      </c>
      <c r="AR69">
        <f>IF(ROW()-56&gt;MAX($AQ$57:$AQ$95),"",INDEX(Lists!$Y$4:$Y$42,MATCH(ROW()-56,$AQ$57:$AQ$95,0)))</f>
        <v/>
      </c>
      <c r="AS69">
        <f>AS68+IF(AND(Lists!$AD$16&lt;&gt;"",ISNUMBER(SEARCH($E$4,Lists!$AD$16))),1,0)</f>
        <v/>
      </c>
      <c r="AT69">
        <f>IF(ROW()-56&gt;MAX($AS$57:$AS$95),"",INDEX(Lists!$AD$4:$AD$42,MATCH(ROW()-56,$AS$57:$AS$95,0)))</f>
        <v/>
      </c>
      <c r="AU69">
        <f>AU68+IF(AND(Lists!$AI$16&lt;&gt;"",ISNUMBER(SEARCH($F$4,Lists!$AI$16))),1,0)</f>
        <v/>
      </c>
      <c r="AV69">
        <f>IF(ROW()-56&gt;MAX($AU$57:$AU$95),"",INDEX(Lists!$AI$4:$AI$42,MATCH(ROW()-56,$AU$57:$AU$95,0)))</f>
        <v/>
      </c>
      <c r="AW69">
        <f>AW68+IF(AND(Lists!$AN$16&lt;&gt;"",ISNUMBER(SEARCH($G$4,Lists!$AN$16))),1,0)</f>
        <v/>
      </c>
      <c r="AX69">
        <f>IF(ROW()-56&gt;MAX($AW$57:$AW$95),"",INDEX(Lists!$AN$4:$AN$42,MATCH(ROW()-56,$AW$57:$AW$95,0)))</f>
        <v/>
      </c>
      <c r="AY69">
        <f>AY68+IF(AND(Lists!$AS$16&lt;&gt;"",ISNUMBER(SEARCH($H$4,Lists!$AS$16))),1,0)</f>
        <v/>
      </c>
      <c r="AZ69">
        <f>IF(ROW()-56&gt;MAX($AY$57:$AY$95),"",INDEX(Lists!$AS$4:$AS$42,MATCH(ROW()-56,$AY$57:$AY$95,0)))</f>
        <v/>
      </c>
      <c r="BA69">
        <f>BA68+IF(AND(Lists!$AX$16&lt;&gt;"",ISNUMBER(SEARCH($I$4,Lists!$AX$16))),1,0)</f>
        <v/>
      </c>
      <c r="BB69">
        <f>IF(ROW()-56&gt;MAX($BA$57:$BA$95),"",INDEX(Lists!$AX$4:$AX$42,MATCH(ROW()-56,$BA$57:$BA$95,0)))</f>
        <v/>
      </c>
      <c r="BC69">
        <f>BC68+IF(AND(Lists!$BC$16&lt;&gt;"",ISNUMBER(SEARCH($J$4,Lists!$BC$16))),1,0)</f>
        <v/>
      </c>
      <c r="BD69">
        <f>IF(ROW()-56&gt;MAX($BC$57:$BC$95),"",INDEX(Lists!$BC$4:$BC$42,MATCH(ROW()-56,$BC$57:$BC$95,0)))</f>
        <v/>
      </c>
      <c r="BE69">
        <f>BE68+IF(AND(Lists!$BH$16&lt;&gt;"",ISNUMBER(SEARCH($K$4,Lists!$BH$16))),1,0)</f>
        <v/>
      </c>
      <c r="BF69">
        <f>IF(ROW()-56&gt;MAX($BE$57:$BE$95),"",INDEX(Lists!$BH$4:$BH$42,MATCH(ROW()-56,$BE$57:$BE$95,0)))</f>
        <v/>
      </c>
      <c r="BG69">
        <f>BG68+IF(AND(Lists!$BM$16&lt;&gt;"",ISNUMBER(SEARCH($L$4,Lists!$BM$16))),1,0)</f>
        <v/>
      </c>
      <c r="BH69">
        <f>IF(ROW()-56&gt;MAX($BG$57:$BG$95),"",INDEX(Lists!$BM$4:$BM$42,MATCH(ROW()-56,$BG$57:$BG$95,0)))</f>
        <v/>
      </c>
      <c r="BI69">
        <f>BI68+IF(AND(Lists!$BR$16&lt;&gt;"",ISNUMBER(SEARCH($M$4,Lists!$BR$16))),1,0)</f>
        <v/>
      </c>
      <c r="BJ69">
        <f>IF(ROW()-56&gt;MAX($BI$57:$BI$95),"",INDEX(Lists!$BR$4:$BR$42,MATCH(ROW()-56,$BI$57:$BI$95,0)))</f>
        <v/>
      </c>
      <c r="BK69">
        <f>BK68+IF(AND(Lists!$BW$16&lt;&gt;"",ISNUMBER(SEARCH($N$4,Lists!$BW$16))),1,0)</f>
        <v/>
      </c>
      <c r="BL69">
        <f>IF(ROW()-56&gt;MAX($BK$57:$BK$95),"",INDEX(Lists!$BW$4:$BW$42,MATCH(ROW()-56,$BK$57:$BK$95,0)))</f>
        <v/>
      </c>
      <c r="BM69">
        <f>BM68+IF(AND(Lists!$CB$16&lt;&gt;"",ISNUMBER(SEARCH($O$4,Lists!$CB$16))),1,0)</f>
        <v/>
      </c>
      <c r="BN69">
        <f>IF(ROW()-56&gt;MAX($BM$57:$BM$95),"",INDEX(Lists!$CB$4:$CB$42,MATCH(ROW()-56,$BM$57:$BM$95,0)))</f>
        <v/>
      </c>
      <c r="BO69">
        <f>BO68+IF(AND(Lists!$CG$16&lt;&gt;"",ISNUMBER(SEARCH($P$4,Lists!$CG$16))),1,0)</f>
        <v/>
      </c>
      <c r="BP69">
        <f>IF(ROW()-56&gt;MAX($BO$57:$BO$95),"",INDEX(Lists!$CG$4:$CG$42,MATCH(ROW()-56,$BO$57:$BO$95,0)))</f>
        <v/>
      </c>
      <c r="BQ69">
        <f>BQ68+IF(AND(Lists!$CL$16&lt;&gt;"",ISNUMBER(SEARCH($Q$4,Lists!$CL$16))),1,0)</f>
        <v/>
      </c>
      <c r="BR69">
        <f>IF(ROW()-56&gt;MAX($BQ$57:$BQ$95),"",INDEX(Lists!$CL$4:$CL$42,MATCH(ROW()-56,$BQ$57:$BQ$95,0)))</f>
        <v/>
      </c>
      <c r="BS69">
        <f>BS68+IF(AND(Lists!$CQ$16&lt;&gt;"",ISNUMBER(SEARCH($R$4,Lists!$CQ$16))),1,0)</f>
        <v/>
      </c>
      <c r="BT69">
        <f>IF(ROW()-56&gt;MAX($BS$57:$BS$95),"",INDEX(Lists!$CQ$4:$CQ$42,MATCH(ROW()-56,$BS$57:$BS$95,0)))</f>
        <v/>
      </c>
      <c r="BU69">
        <f>BU68+IF(AND(Lists!$CV$16&lt;&gt;"",ISNUMBER(SEARCH($S$4,Lists!$CV$16))),1,0)</f>
        <v/>
      </c>
      <c r="BV69">
        <f>IF(ROW()-56&gt;MAX($BU$57:$BU$95),"",INDEX(Lists!$CV$4:$CV$42,MATCH(ROW()-56,$BU$57:$BU$95,0)))</f>
        <v/>
      </c>
      <c r="BW69">
        <f>BW68+IF(AND(Lists!$DA$16&lt;&gt;"",ISNUMBER(SEARCH($T$4,Lists!$DA$16))),1,0)</f>
        <v/>
      </c>
      <c r="BX69">
        <f>IF(ROW()-56&gt;MAX($BW$57:$BW$95),"",INDEX(Lists!$DA$4:$DA$42,MATCH(ROW()-56,$BW$57:$BW$95,0)))</f>
        <v/>
      </c>
      <c r="BY69">
        <f>BY68+IF(AND(Lists!$DF$16&lt;&gt;"",ISNUMBER(SEARCH($U$4,Lists!$DF$16))),1,0)</f>
        <v/>
      </c>
      <c r="BZ69">
        <f>IF(ROW()-56&gt;MAX($BY$57:$BY$95),"",INDEX(Lists!$DF$4:$DF$42,MATCH(ROW()-56,$BY$57:$BY$95,0)))</f>
        <v/>
      </c>
      <c r="CA69">
        <f>CA68+IF(AND(Lists!$DK$16&lt;&gt;"",ISNUMBER(SEARCH($V$4,Lists!$DK$16))),1,0)</f>
        <v/>
      </c>
      <c r="CB69">
        <f>IF(ROW()-56&gt;MAX($CA$57:$CA$95),"",INDEX(Lists!$DK$4:$DK$42,MATCH(ROW()-56,$CA$57:$CA$95,0)))</f>
        <v/>
      </c>
      <c r="CC69">
        <f>CC68+IF(AND(Lists!$DP$16&lt;&gt;"",ISNUMBER(SEARCH($W$4,Lists!$DP$16))),1,0)</f>
        <v/>
      </c>
      <c r="CD69">
        <f>IF(ROW()-56&gt;MAX($CC$57:$CC$95),"",INDEX(Lists!$DP$4:$DP$42,MATCH(ROW()-56,$CC$57:$CC$95,0)))</f>
        <v/>
      </c>
      <c r="CE69">
        <f>CE68+IF(AND(Lists!$DU$16&lt;&gt;"",ISNUMBER(SEARCH($X$4,Lists!$DU$16))),1,0)</f>
        <v/>
      </c>
      <c r="CF69">
        <f>IF(ROW()-56&gt;MAX($CE$57:$CE$95),"",INDEX(Lists!$DU$4:$DU$42,MATCH(ROW()-56,$CE$57:$CE$95,0)))</f>
        <v/>
      </c>
      <c r="CG69">
        <f>CG68+IF(AND(Lists!$DZ$16&lt;&gt;"",ISNUMBER(SEARCH($Y$4,Lists!$DZ$16))),1,0)</f>
        <v/>
      </c>
      <c r="CH69">
        <f>IF(ROW()-56&gt;MAX($CG$57:$CG$95),"",INDEX(Lists!$DZ$4:$DZ$42,MATCH(ROW()-56,$CG$57:$CG$95,0)))</f>
        <v/>
      </c>
      <c r="CI69">
        <f>CI68+IF(AND(Lists!$EE$16&lt;&gt;"",ISNUMBER(SEARCH($Z$4,Lists!$EE$16))),1,0)</f>
        <v/>
      </c>
      <c r="CJ69">
        <f>IF(ROW()-56&gt;MAX($CI$57:$CI$95),"",INDEX(Lists!$EE$4:$EE$42,MATCH(ROW()-56,$CI$57:$CI$95,0)))</f>
        <v/>
      </c>
      <c r="CK69">
        <f>CK68+IF(AND(Lists!$EJ$16&lt;&gt;"",ISNUMBER(SEARCH($AA$4,Lists!$EJ$16))),1,0)</f>
        <v/>
      </c>
      <c r="CL69">
        <f>IF(ROW()-56&gt;MAX($CK$57:$CK$95),"",INDEX(Lists!$EJ$4:$EJ$42,MATCH(ROW()-56,$CK$57:$CK$95,0)))</f>
        <v/>
      </c>
      <c r="CM69">
        <f>CM68+IF(AND(Lists!$EO$16&lt;&gt;"",ISNUMBER(SEARCH($AB$4,Lists!$EO$16))),1,0)</f>
        <v/>
      </c>
      <c r="CN69">
        <f>IF(ROW()-56&gt;MAX($CM$57:$CM$95),"",INDEX(Lists!$EO$4:$EO$42,MATCH(ROW()-56,$CM$57:$CM$95,0)))</f>
        <v/>
      </c>
      <c r="CO69">
        <f>CO68+IF(AND(Lists!$ET$16&lt;&gt;"",ISNUMBER(SEARCH($AC$4,Lists!$ET$16))),1,0)</f>
        <v/>
      </c>
      <c r="CP69">
        <f>IF(ROW()-56&gt;MAX($CO$57:$CO$95),"",INDEX(Lists!$ET$4:$ET$42,MATCH(ROW()-56,$CO$57:$CO$95,0)))</f>
        <v/>
      </c>
      <c r="CQ69">
        <f>CQ68+IF(AND(Lists!$EY$16&lt;&gt;"",ISNUMBER(SEARCH($AD$4,Lists!$EY$16))),1,0)</f>
        <v/>
      </c>
      <c r="CR69">
        <f>IF(ROW()-56&gt;MAX($CQ$57:$CQ$95),"",INDEX(Lists!$EY$4:$EY$42,MATCH(ROW()-56,$CQ$57:$CQ$95,0)))</f>
        <v/>
      </c>
      <c r="CS69">
        <f>CS68+IF(AND(Lists!$FD$16&lt;&gt;"",ISNUMBER(SEARCH($AE$4,Lists!$FD$16))),1,0)</f>
        <v/>
      </c>
      <c r="CT69">
        <f>IF(ROW()-56&gt;MAX($CS$57:$CS$95),"",INDEX(Lists!$FD$4:$FD$42,MATCH(ROW()-56,$CS$57:$CS$95,0)))</f>
        <v/>
      </c>
      <c r="CU69">
        <f>CU68+IF(AND(Lists!$FI$16&lt;&gt;"",ISNUMBER(SEARCH($AG$4,Lists!$FI$16))),1,0)</f>
        <v/>
      </c>
      <c r="CV69">
        <f>IF(ROW()-56&gt;MAX($CU$57:$CU$95),"",INDEX(Lists!$FI$4:$FI$42,MATCH(ROW()-56,$CU$57:$CU$95,0)))</f>
        <v/>
      </c>
      <c r="CW69">
        <f>CW68+IF(AND(Lists!$FN$16&lt;&gt;"",ISNUMBER(SEARCH($AH$4,Lists!$FN$16))),1,0)</f>
        <v/>
      </c>
      <c r="CX69">
        <f>IF(ROW()-56&gt;MAX($CW$57:$CW$95),"",INDEX(Lists!$FN$4:$FN$42,MATCH(ROW()-56,$CW$57:$CW$95,0)))</f>
        <v/>
      </c>
      <c r="CY69">
        <f>CY68+IF(AND(Lists!$FS$16&lt;&gt;"",ISNUMBER(SEARCH($AI$4,Lists!$FS$16))),1,0)</f>
        <v/>
      </c>
      <c r="CZ69">
        <f>IF(ROW()-56&gt;MAX($CY$57:$CY$95),"",INDEX(Lists!$FS$4:$FS$42,MATCH(ROW()-56,$CY$57:$CY$95,0)))</f>
        <v/>
      </c>
      <c r="DA69">
        <f>DA68+IF(AND(Lists!$FX$16&lt;&gt;"",ISNUMBER(SEARCH($AF$4,Lists!$FX$16))),1,0)</f>
        <v/>
      </c>
      <c r="DB69">
        <f>IF(ROW()-56&gt;MAX($DA$57:$DA$95),"",INDEX(Lists!$FX$4:$FX$42,MATCH(ROW()-56,$DA$57:$DA$95,0)))</f>
        <v/>
      </c>
      <c r="DG69">
        <f>IF($B$4="",1,IF($B$4="(blank)",--('Final Calculation Sheet'!$F$14=""),IF($B$4="(nonblank)",--('Final Calculation Sheet'!$F$14&lt;&gt;""),--ISNUMBER(SEARCH($B$4,'Final Calculation Sheet'!$F$14)))))</f>
        <v/>
      </c>
      <c r="DH69">
        <f>IF($C$4="",1,IF($C$4="(blank)",--('Final Calculation Sheet'!$G$14=""),IF($C$4="(nonblank)",--('Final Calculation Sheet'!$G$14&lt;&gt;""),--ISNUMBER(SEARCH($C$4,'Final Calculation Sheet'!$G$14)))))</f>
        <v/>
      </c>
      <c r="DI69">
        <f>IF($D$4="",1,IF($D$4="(blank)",--('Final Calculation Sheet'!$B$14=""),IF($D$4="(nonblank)",--('Final Calculation Sheet'!$B$14&lt;&gt;""),--ISNUMBER(SEARCH($D$4,'Final Calculation Sheet'!$B$14)))))</f>
        <v/>
      </c>
      <c r="DJ69">
        <f>IF($E$4="",1,IF($E$4="(blank)",--('Final Calculation Sheet'!$D$14=""),IF($E$4="(nonblank)",--('Final Calculation Sheet'!$D$14&lt;&gt;""),--ISNUMBER(SEARCH($E$4,'Final Calculation Sheet'!$D$14)))))</f>
        <v/>
      </c>
      <c r="DK69">
        <f>IF($F$4="",1,IF($F$4="(blank)",--('Final Calculation Sheet'!$A$14=""),IF($F$4="(nonblank)",--('Final Calculation Sheet'!$A$14&lt;&gt;""),--ISNUMBER(SEARCH($F$4,'Final Calculation Sheet'!$A$14)))))</f>
        <v/>
      </c>
      <c r="DL69">
        <f>IF($G$4="",1,IF($G$4="(blank)",--('Final Calculation Sheet'!$E$14=""),IF($G$4="(nonblank)",--('Final Calculation Sheet'!$E$14&lt;&gt;""),--ISNUMBER(SEARCH($G$4,'Final Calculation Sheet'!$E$14)))))</f>
        <v/>
      </c>
      <c r="DM69">
        <f>IF($H$4="",1,IF($H$4="(blank)",--('Final Calculation Sheet'!$C$14=""),IF($H$4="(nonblank)",--('Final Calculation Sheet'!$C$14&lt;&gt;""),--ISNUMBER(SEARCH($H$4,'Final Calculation Sheet'!$C$14)))))</f>
        <v/>
      </c>
      <c r="DN69">
        <f>IF($I$4="",1,IF($I$4="(blank)",--('Final Calculation Sheet'!$H$14=""),IF($I$4="(nonblank)",--('Final Calculation Sheet'!$H$14&lt;&gt;""),--ISNUMBER(SEARCH($I$4,'Final Calculation Sheet'!$H$14)))))</f>
        <v/>
      </c>
      <c r="DO69">
        <f>IF($J$4="",1,IF($J$4="(blank)",--('Final Calculation Sheet'!$I$14=""),IF($J$4="(nonblank)",--('Final Calculation Sheet'!$I$14&lt;&gt;""),--ISNUMBER(SEARCH($J$4,'Final Calculation Sheet'!$I$14)))))</f>
        <v/>
      </c>
      <c r="DP69">
        <f>IF($K$4="",1,IF($K$4="(blank)",--('Final Calculation Sheet'!$J$14=""),IF($K$4="(nonblank)",--('Final Calculation Sheet'!$J$14&lt;&gt;""),--ISNUMBER(SEARCH($K$4,'Final Calculation Sheet'!$J$14)))))</f>
        <v/>
      </c>
      <c r="DQ69">
        <f>IF($L$4="",1,IF($L$4="(blank)",--('Final Calculation Sheet'!$K$14=""),IF($L$4="(nonblank)",--('Final Calculation Sheet'!$K$14&lt;&gt;""),--ISNUMBER(SEARCH($L$4,'Final Calculation Sheet'!$K$14)))))</f>
        <v/>
      </c>
      <c r="DR69">
        <f>IF($M$4="",1,IF($M$4="(blank)",--('Final Calculation Sheet'!$L$14=""),IF($M$4="(nonblank)",--('Final Calculation Sheet'!$L$14&lt;&gt;""),--ISNUMBER(SEARCH($M$4,'Final Calculation Sheet'!$L$14)))))</f>
        <v/>
      </c>
      <c r="DS69">
        <f>IF($N$4="",1,IF($N$4="(blank)",--('Final Calculation Sheet'!$M$14=""),IF($N$4="(nonblank)",--('Final Calculation Sheet'!$M$14&lt;&gt;""),--ISNUMBER(SEARCH($N$4,'Final Calculation Sheet'!$M$14)))))</f>
        <v/>
      </c>
      <c r="DT69">
        <f>IF($O$4="",1,IF($O$4="(blank)",--('Final Calculation Sheet'!$N$14=""),IF($O$4="(nonblank)",--('Final Calculation Sheet'!$N$14&lt;&gt;""),--ISNUMBER(SEARCH($O$4,'Final Calculation Sheet'!$N$14)))))</f>
        <v/>
      </c>
      <c r="DU69">
        <f>IF($P$4="",1,IF($P$4="(blank)",--('Final Calculation Sheet'!$O$14=""),IF($P$4="(nonblank)",--('Final Calculation Sheet'!$O$14&lt;&gt;""),--ISNUMBER(SEARCH($P$4,'Final Calculation Sheet'!$O$14)))))</f>
        <v/>
      </c>
      <c r="DV69">
        <f>IF($Q$4="",1,IF($Q$4="(blank)",--('Final Calculation Sheet'!$P$14=""),IF($Q$4="(nonblank)",--('Final Calculation Sheet'!$P$14&lt;&gt;""),--ISNUMBER(SEARCH($Q$4,'Final Calculation Sheet'!$P$14)))))</f>
        <v/>
      </c>
      <c r="DW69">
        <f>IF($R$4="",1,IF($R$4="(blank)",--('Final Calculation Sheet'!$Q$14=""),IF($R$4="(nonblank)",--('Final Calculation Sheet'!$Q$14&lt;&gt;""),--ISNUMBER(SEARCH($R$4,'Final Calculation Sheet'!$Q$14)))))</f>
        <v/>
      </c>
      <c r="DX69">
        <f>IF($S$4="",1,IF($S$4="(blank)",--('Final Calculation Sheet'!$R$14=""),IF($S$4="(nonblank)",--('Final Calculation Sheet'!$R$14&lt;&gt;""),--ISNUMBER(SEARCH($S$4,'Final Calculation Sheet'!$R$14)))))</f>
        <v/>
      </c>
      <c r="DY69">
        <f>IF($T$4="",1,IF($T$4="(blank)",--('Final Calculation Sheet'!$S$14=""),IF($T$4="(nonblank)",--('Final Calculation Sheet'!$S$14&lt;&gt;""),--ISNUMBER(SEARCH($T$4,'Final Calculation Sheet'!$S$14)))))</f>
        <v/>
      </c>
      <c r="DZ69">
        <f>IF($U$4="",1,IF($U$4="(blank)",--('Final Calculation Sheet'!$T$14=""),IF($U$4="(nonblank)",--('Final Calculation Sheet'!$T$14&lt;&gt;""),--ISNUMBER(SEARCH($U$4,'Final Calculation Sheet'!$T$14)))))</f>
        <v/>
      </c>
      <c r="EA69">
        <f>IF($V$4="",1,IF($V$4="(blank)",--('Final Calculation Sheet'!$U$14=""),IF($V$4="(nonblank)",--('Final Calculation Sheet'!$U$14&lt;&gt;""),--ISNUMBER(SEARCH($V$4,'Final Calculation Sheet'!$U$14)))))</f>
        <v/>
      </c>
      <c r="EB69">
        <f>IF($W$4="",1,IF($W$4="(blank)",--('Final Calculation Sheet'!$V$14=""),IF($W$4="(nonblank)",--('Final Calculation Sheet'!$V$14&lt;&gt;""),--ISNUMBER(SEARCH($W$4,'Final Calculation Sheet'!$V$14)))))</f>
        <v/>
      </c>
      <c r="EC69">
        <f>IF($X$4="",1,IF($X$4="(blank)",--('Final Calculation Sheet'!$W$14=""),IF($X$4="(nonblank)",--('Final Calculation Sheet'!$W$14&lt;&gt;""),--ISNUMBER(SEARCH($X$4,'Final Calculation Sheet'!$W$14)))))</f>
        <v/>
      </c>
      <c r="ED69">
        <f>IF($Y$4="",1,IF($Y$4="(blank)",--('Final Calculation Sheet'!$X$14=""),IF($Y$4="(nonblank)",--('Final Calculation Sheet'!$X$14&lt;&gt;""),--ISNUMBER(SEARCH($Y$4,'Final Calculation Sheet'!$X$14)))))</f>
        <v/>
      </c>
      <c r="EE69">
        <f>IF($Z$4="",1,IF($Z$4="(blank)",--('Final Calculation Sheet'!$Y$14=""),IF($Z$4="(nonblank)",--('Final Calculation Sheet'!$Y$14&lt;&gt;""),--ISNUMBER(SEARCH($Z$4,'Final Calculation Sheet'!$Y$14)))))</f>
        <v/>
      </c>
      <c r="EF69">
        <f>IF($AA$4="",1,IF($AA$4="(blank)",--('Final Calculation Sheet'!$Z$14=""),IF($AA$4="(nonblank)",--('Final Calculation Sheet'!$Z$14&lt;&gt;""),--ISNUMBER(SEARCH($AA$4,'Final Calculation Sheet'!$Z$14)))))</f>
        <v/>
      </c>
      <c r="EG69">
        <f>IF($AB$4="",1,IF($AB$4="(blank)",--('Final Calculation Sheet'!$AA$14=""),IF($AB$4="(nonblank)",--('Final Calculation Sheet'!$AA$14&lt;&gt;""),--ISNUMBER(SEARCH($AB$4,'Final Calculation Sheet'!$AA$14)))))</f>
        <v/>
      </c>
      <c r="EH69">
        <f>IF($AC$4="",1,IF($AC$4="(blank)",--('Final Calculation Sheet'!$AB$14=""),IF($AC$4="(nonblank)",--('Final Calculation Sheet'!$AB$14&lt;&gt;""),--ISNUMBER(SEARCH($AC$4,'Final Calculation Sheet'!$AB$14)))))</f>
        <v/>
      </c>
      <c r="EI69">
        <f>IF($AD$4="",1,IF($AD$4="(blank)",--('Final Calculation Sheet'!$AC$14=""),IF($AD$4="(nonblank)",--('Final Calculation Sheet'!$AC$14&lt;&gt;""),--ISNUMBER(SEARCH($AD$4,'Final Calculation Sheet'!$AC$14)))))</f>
        <v/>
      </c>
      <c r="EJ69">
        <f>IF($AE$4="",1,IF($AE$4="(blank)",--('Final Calculation Sheet'!$AD$14=""),IF($AE$4="(nonblank)",--('Final Calculation Sheet'!$AD$14&lt;&gt;""),--ISNUMBER(SEARCH($AE$4,'Final Calculation Sheet'!$AD$14)))))</f>
        <v/>
      </c>
      <c r="EK69">
        <f>IF($AF$4="",1,IF($AF$4="(blank)",--(IF('Final Calculation Sheet'!$AD$14&lt;=5,"SETTLED","OUTSTANDING")=""),IF($AF$4="(nonblank)",--(IF('Final Calculation Sheet'!$AD$14&lt;=5,"SETTLED","OUTSTANDING")&lt;&gt;""),--ISNUMBER(SEARCH($AF$4,IF('Final Calculation Sheet'!$AD$14&lt;=5,"SETTLED","OUTSTANDING"))))))</f>
        <v/>
      </c>
      <c r="EL69">
        <f>IF($AG$4="",1,IF($AG$4="(blank)",--('Final Calculation Sheet'!$AF$14=""),IF($AG$4="(nonblank)",--('Final Calculation Sheet'!$AF$14&lt;&gt;""),--ISNUMBER(SEARCH($AG$4,'Final Calculation Sheet'!$AF$14)))))</f>
        <v/>
      </c>
      <c r="EM69">
        <f>IF($AH$4="",1,IF($AH$4="(blank)",--('Final Calculation Sheet'!$AG$14=""),IF($AH$4="(nonblank)",--('Final Calculation Sheet'!$AG$14&lt;&gt;""),--ISNUMBER(SEARCH($AH$4,'Final Calculation Sheet'!$AG$14)))))</f>
        <v/>
      </c>
      <c r="EN69">
        <f>IF($AI$4="",1,IF($AI$4="(blank)",--('Final Calculation Sheet'!$AH$14=""),IF($AI$4="(nonblank)",--('Final Calculation Sheet'!$AH$14&lt;&gt;""),--ISNUMBER(SEARCH($AI$4,'Final Calculation Sheet'!$AH$14)))))</f>
        <v/>
      </c>
    </row>
    <row r="70">
      <c r="AM70">
        <f>AM69+IF(AND(Lists!$O$17&lt;&gt;"",ISNUMBER(SEARCH($B$4,Lists!$O$17))),1,0)</f>
        <v/>
      </c>
      <c r="AN70">
        <f>IF(ROW()-56&gt;MAX($AM$57:$AM$95),"",INDEX(Lists!$O$4:$O$42,MATCH(ROW()-56,$AM$57:$AM$95,0)))</f>
        <v/>
      </c>
      <c r="AO70">
        <f>AO69+IF(AND(Lists!$T$17&lt;&gt;"",ISNUMBER(SEARCH($C$4,Lists!$T$17))),1,0)</f>
        <v/>
      </c>
      <c r="AP70">
        <f>IF(ROW()-56&gt;MAX($AO$57:$AO$95),"",INDEX(Lists!$T$4:$T$42,MATCH(ROW()-56,$AO$57:$AO$95,0)))</f>
        <v/>
      </c>
      <c r="AQ70">
        <f>AQ69+IF(AND(Lists!$Y$17&lt;&gt;"",ISNUMBER(SEARCH($D$4,Lists!$Y$17))),1,0)</f>
        <v/>
      </c>
      <c r="AR70">
        <f>IF(ROW()-56&gt;MAX($AQ$57:$AQ$95),"",INDEX(Lists!$Y$4:$Y$42,MATCH(ROW()-56,$AQ$57:$AQ$95,0)))</f>
        <v/>
      </c>
      <c r="AS70">
        <f>AS69+IF(AND(Lists!$AD$17&lt;&gt;"",ISNUMBER(SEARCH($E$4,Lists!$AD$17))),1,0)</f>
        <v/>
      </c>
      <c r="AT70">
        <f>IF(ROW()-56&gt;MAX($AS$57:$AS$95),"",INDEX(Lists!$AD$4:$AD$42,MATCH(ROW()-56,$AS$57:$AS$95,0)))</f>
        <v/>
      </c>
      <c r="AU70">
        <f>AU69+IF(AND(Lists!$AI$17&lt;&gt;"",ISNUMBER(SEARCH($F$4,Lists!$AI$17))),1,0)</f>
        <v/>
      </c>
      <c r="AV70">
        <f>IF(ROW()-56&gt;MAX($AU$57:$AU$95),"",INDEX(Lists!$AI$4:$AI$42,MATCH(ROW()-56,$AU$57:$AU$95,0)))</f>
        <v/>
      </c>
      <c r="AW70">
        <f>AW69+IF(AND(Lists!$AN$17&lt;&gt;"",ISNUMBER(SEARCH($G$4,Lists!$AN$17))),1,0)</f>
        <v/>
      </c>
      <c r="AX70">
        <f>IF(ROW()-56&gt;MAX($AW$57:$AW$95),"",INDEX(Lists!$AN$4:$AN$42,MATCH(ROW()-56,$AW$57:$AW$95,0)))</f>
        <v/>
      </c>
      <c r="AY70">
        <f>AY69+IF(AND(Lists!$AS$17&lt;&gt;"",ISNUMBER(SEARCH($H$4,Lists!$AS$17))),1,0)</f>
        <v/>
      </c>
      <c r="AZ70">
        <f>IF(ROW()-56&gt;MAX($AY$57:$AY$95),"",INDEX(Lists!$AS$4:$AS$42,MATCH(ROW()-56,$AY$57:$AY$95,0)))</f>
        <v/>
      </c>
      <c r="BA70">
        <f>BA69+IF(AND(Lists!$AX$17&lt;&gt;"",ISNUMBER(SEARCH($I$4,Lists!$AX$17))),1,0)</f>
        <v/>
      </c>
      <c r="BB70">
        <f>IF(ROW()-56&gt;MAX($BA$57:$BA$95),"",INDEX(Lists!$AX$4:$AX$42,MATCH(ROW()-56,$BA$57:$BA$95,0)))</f>
        <v/>
      </c>
      <c r="BC70">
        <f>BC69+IF(AND(Lists!$BC$17&lt;&gt;"",ISNUMBER(SEARCH($J$4,Lists!$BC$17))),1,0)</f>
        <v/>
      </c>
      <c r="BD70">
        <f>IF(ROW()-56&gt;MAX($BC$57:$BC$95),"",INDEX(Lists!$BC$4:$BC$42,MATCH(ROW()-56,$BC$57:$BC$95,0)))</f>
        <v/>
      </c>
      <c r="BE70">
        <f>BE69+IF(AND(Lists!$BH$17&lt;&gt;"",ISNUMBER(SEARCH($K$4,Lists!$BH$17))),1,0)</f>
        <v/>
      </c>
      <c r="BF70">
        <f>IF(ROW()-56&gt;MAX($BE$57:$BE$95),"",INDEX(Lists!$BH$4:$BH$42,MATCH(ROW()-56,$BE$57:$BE$95,0)))</f>
        <v/>
      </c>
      <c r="BG70">
        <f>BG69+IF(AND(Lists!$BM$17&lt;&gt;"",ISNUMBER(SEARCH($L$4,Lists!$BM$17))),1,0)</f>
        <v/>
      </c>
      <c r="BH70">
        <f>IF(ROW()-56&gt;MAX($BG$57:$BG$95),"",INDEX(Lists!$BM$4:$BM$42,MATCH(ROW()-56,$BG$57:$BG$95,0)))</f>
        <v/>
      </c>
      <c r="BI70">
        <f>BI69+IF(AND(Lists!$BR$17&lt;&gt;"",ISNUMBER(SEARCH($M$4,Lists!$BR$17))),1,0)</f>
        <v/>
      </c>
      <c r="BJ70">
        <f>IF(ROW()-56&gt;MAX($BI$57:$BI$95),"",INDEX(Lists!$BR$4:$BR$42,MATCH(ROW()-56,$BI$57:$BI$95,0)))</f>
        <v/>
      </c>
      <c r="BK70">
        <f>BK69+IF(AND(Lists!$BW$17&lt;&gt;"",ISNUMBER(SEARCH($N$4,Lists!$BW$17))),1,0)</f>
        <v/>
      </c>
      <c r="BL70">
        <f>IF(ROW()-56&gt;MAX($BK$57:$BK$95),"",INDEX(Lists!$BW$4:$BW$42,MATCH(ROW()-56,$BK$57:$BK$95,0)))</f>
        <v/>
      </c>
      <c r="BM70">
        <f>BM69+IF(AND(Lists!$CB$17&lt;&gt;"",ISNUMBER(SEARCH($O$4,Lists!$CB$17))),1,0)</f>
        <v/>
      </c>
      <c r="BN70">
        <f>IF(ROW()-56&gt;MAX($BM$57:$BM$95),"",INDEX(Lists!$CB$4:$CB$42,MATCH(ROW()-56,$BM$57:$BM$95,0)))</f>
        <v/>
      </c>
      <c r="BO70">
        <f>BO69+IF(AND(Lists!$CG$17&lt;&gt;"",ISNUMBER(SEARCH($P$4,Lists!$CG$17))),1,0)</f>
        <v/>
      </c>
      <c r="BP70">
        <f>IF(ROW()-56&gt;MAX($BO$57:$BO$95),"",INDEX(Lists!$CG$4:$CG$42,MATCH(ROW()-56,$BO$57:$BO$95,0)))</f>
        <v/>
      </c>
      <c r="BQ70">
        <f>BQ69+IF(AND(Lists!$CL$17&lt;&gt;"",ISNUMBER(SEARCH($Q$4,Lists!$CL$17))),1,0)</f>
        <v/>
      </c>
      <c r="BR70">
        <f>IF(ROW()-56&gt;MAX($BQ$57:$BQ$95),"",INDEX(Lists!$CL$4:$CL$42,MATCH(ROW()-56,$BQ$57:$BQ$95,0)))</f>
        <v/>
      </c>
      <c r="BS70">
        <f>BS69+IF(AND(Lists!$CQ$17&lt;&gt;"",ISNUMBER(SEARCH($R$4,Lists!$CQ$17))),1,0)</f>
        <v/>
      </c>
      <c r="BT70">
        <f>IF(ROW()-56&gt;MAX($BS$57:$BS$95),"",INDEX(Lists!$CQ$4:$CQ$42,MATCH(ROW()-56,$BS$57:$BS$95,0)))</f>
        <v/>
      </c>
      <c r="BU70">
        <f>BU69+IF(AND(Lists!$CV$17&lt;&gt;"",ISNUMBER(SEARCH($S$4,Lists!$CV$17))),1,0)</f>
        <v/>
      </c>
      <c r="BV70">
        <f>IF(ROW()-56&gt;MAX($BU$57:$BU$95),"",INDEX(Lists!$CV$4:$CV$42,MATCH(ROW()-56,$BU$57:$BU$95,0)))</f>
        <v/>
      </c>
      <c r="BW70">
        <f>BW69+IF(AND(Lists!$DA$17&lt;&gt;"",ISNUMBER(SEARCH($T$4,Lists!$DA$17))),1,0)</f>
        <v/>
      </c>
      <c r="BX70">
        <f>IF(ROW()-56&gt;MAX($BW$57:$BW$95),"",INDEX(Lists!$DA$4:$DA$42,MATCH(ROW()-56,$BW$57:$BW$95,0)))</f>
        <v/>
      </c>
      <c r="BY70">
        <f>BY69+IF(AND(Lists!$DF$17&lt;&gt;"",ISNUMBER(SEARCH($U$4,Lists!$DF$17))),1,0)</f>
        <v/>
      </c>
      <c r="BZ70">
        <f>IF(ROW()-56&gt;MAX($BY$57:$BY$95),"",INDEX(Lists!$DF$4:$DF$42,MATCH(ROW()-56,$BY$57:$BY$95,0)))</f>
        <v/>
      </c>
      <c r="CA70">
        <f>CA69+IF(AND(Lists!$DK$17&lt;&gt;"",ISNUMBER(SEARCH($V$4,Lists!$DK$17))),1,0)</f>
        <v/>
      </c>
      <c r="CB70">
        <f>IF(ROW()-56&gt;MAX($CA$57:$CA$95),"",INDEX(Lists!$DK$4:$DK$42,MATCH(ROW()-56,$CA$57:$CA$95,0)))</f>
        <v/>
      </c>
      <c r="CC70">
        <f>CC69+IF(AND(Lists!$DP$17&lt;&gt;"",ISNUMBER(SEARCH($W$4,Lists!$DP$17))),1,0)</f>
        <v/>
      </c>
      <c r="CD70">
        <f>IF(ROW()-56&gt;MAX($CC$57:$CC$95),"",INDEX(Lists!$DP$4:$DP$42,MATCH(ROW()-56,$CC$57:$CC$95,0)))</f>
        <v/>
      </c>
      <c r="CE70">
        <f>CE69+IF(AND(Lists!$DU$17&lt;&gt;"",ISNUMBER(SEARCH($X$4,Lists!$DU$17))),1,0)</f>
        <v/>
      </c>
      <c r="CF70">
        <f>IF(ROW()-56&gt;MAX($CE$57:$CE$95),"",INDEX(Lists!$DU$4:$DU$42,MATCH(ROW()-56,$CE$57:$CE$95,0)))</f>
        <v/>
      </c>
      <c r="CG70">
        <f>CG69+IF(AND(Lists!$DZ$17&lt;&gt;"",ISNUMBER(SEARCH($Y$4,Lists!$DZ$17))),1,0)</f>
        <v/>
      </c>
      <c r="CH70">
        <f>IF(ROW()-56&gt;MAX($CG$57:$CG$95),"",INDEX(Lists!$DZ$4:$DZ$42,MATCH(ROW()-56,$CG$57:$CG$95,0)))</f>
        <v/>
      </c>
      <c r="CI70">
        <f>CI69+IF(AND(Lists!$EE$17&lt;&gt;"",ISNUMBER(SEARCH($Z$4,Lists!$EE$17))),1,0)</f>
        <v/>
      </c>
      <c r="CJ70">
        <f>IF(ROW()-56&gt;MAX($CI$57:$CI$95),"",INDEX(Lists!$EE$4:$EE$42,MATCH(ROW()-56,$CI$57:$CI$95,0)))</f>
        <v/>
      </c>
      <c r="CK70">
        <f>CK69+IF(AND(Lists!$EJ$17&lt;&gt;"",ISNUMBER(SEARCH($AA$4,Lists!$EJ$17))),1,0)</f>
        <v/>
      </c>
      <c r="CL70">
        <f>IF(ROW()-56&gt;MAX($CK$57:$CK$95),"",INDEX(Lists!$EJ$4:$EJ$42,MATCH(ROW()-56,$CK$57:$CK$95,0)))</f>
        <v/>
      </c>
      <c r="CM70">
        <f>CM69+IF(AND(Lists!$EO$17&lt;&gt;"",ISNUMBER(SEARCH($AB$4,Lists!$EO$17))),1,0)</f>
        <v/>
      </c>
      <c r="CN70">
        <f>IF(ROW()-56&gt;MAX($CM$57:$CM$95),"",INDEX(Lists!$EO$4:$EO$42,MATCH(ROW()-56,$CM$57:$CM$95,0)))</f>
        <v/>
      </c>
      <c r="CO70">
        <f>CO69+IF(AND(Lists!$ET$17&lt;&gt;"",ISNUMBER(SEARCH($AC$4,Lists!$ET$17))),1,0)</f>
        <v/>
      </c>
      <c r="CP70">
        <f>IF(ROW()-56&gt;MAX($CO$57:$CO$95),"",INDEX(Lists!$ET$4:$ET$42,MATCH(ROW()-56,$CO$57:$CO$95,0)))</f>
        <v/>
      </c>
      <c r="CQ70">
        <f>CQ69+IF(AND(Lists!$EY$17&lt;&gt;"",ISNUMBER(SEARCH($AD$4,Lists!$EY$17))),1,0)</f>
        <v/>
      </c>
      <c r="CR70">
        <f>IF(ROW()-56&gt;MAX($CQ$57:$CQ$95),"",INDEX(Lists!$EY$4:$EY$42,MATCH(ROW()-56,$CQ$57:$CQ$95,0)))</f>
        <v/>
      </c>
      <c r="CS70">
        <f>CS69+IF(AND(Lists!$FD$17&lt;&gt;"",ISNUMBER(SEARCH($AE$4,Lists!$FD$17))),1,0)</f>
        <v/>
      </c>
      <c r="CT70">
        <f>IF(ROW()-56&gt;MAX($CS$57:$CS$95),"",INDEX(Lists!$FD$4:$FD$42,MATCH(ROW()-56,$CS$57:$CS$95,0)))</f>
        <v/>
      </c>
      <c r="CU70">
        <f>CU69+IF(AND(Lists!$FI$17&lt;&gt;"",ISNUMBER(SEARCH($AG$4,Lists!$FI$17))),1,0)</f>
        <v/>
      </c>
      <c r="CV70">
        <f>IF(ROW()-56&gt;MAX($CU$57:$CU$95),"",INDEX(Lists!$FI$4:$FI$42,MATCH(ROW()-56,$CU$57:$CU$95,0)))</f>
        <v/>
      </c>
      <c r="CW70">
        <f>CW69+IF(AND(Lists!$FN$17&lt;&gt;"",ISNUMBER(SEARCH($AH$4,Lists!$FN$17))),1,0)</f>
        <v/>
      </c>
      <c r="CX70">
        <f>IF(ROW()-56&gt;MAX($CW$57:$CW$95),"",INDEX(Lists!$FN$4:$FN$42,MATCH(ROW()-56,$CW$57:$CW$95,0)))</f>
        <v/>
      </c>
      <c r="CY70">
        <f>CY69+IF(AND(Lists!$FS$17&lt;&gt;"",ISNUMBER(SEARCH($AI$4,Lists!$FS$17))),1,0)</f>
        <v/>
      </c>
      <c r="CZ70">
        <f>IF(ROW()-56&gt;MAX($CY$57:$CY$95),"",INDEX(Lists!$FS$4:$FS$42,MATCH(ROW()-56,$CY$57:$CY$95,0)))</f>
        <v/>
      </c>
      <c r="DA70">
        <f>DA69+IF(AND(Lists!$FX$17&lt;&gt;"",ISNUMBER(SEARCH($AF$4,Lists!$FX$17))),1,0)</f>
        <v/>
      </c>
      <c r="DB70">
        <f>IF(ROW()-56&gt;MAX($DA$57:$DA$95),"",INDEX(Lists!$FX$4:$FX$42,MATCH(ROW()-56,$DA$57:$DA$95,0)))</f>
        <v/>
      </c>
      <c r="DG70">
        <f>IF($B$4="",1,IF($B$4="(blank)",--('Final Calculation Sheet'!$F$15=""),IF($B$4="(nonblank)",--('Final Calculation Sheet'!$F$15&lt;&gt;""),--ISNUMBER(SEARCH($B$4,'Final Calculation Sheet'!$F$15)))))</f>
        <v/>
      </c>
      <c r="DH70">
        <f>IF($C$4="",1,IF($C$4="(blank)",--('Final Calculation Sheet'!$G$15=""),IF($C$4="(nonblank)",--('Final Calculation Sheet'!$G$15&lt;&gt;""),--ISNUMBER(SEARCH($C$4,'Final Calculation Sheet'!$G$15)))))</f>
        <v/>
      </c>
      <c r="DI70">
        <f>IF($D$4="",1,IF($D$4="(blank)",--('Final Calculation Sheet'!$B$15=""),IF($D$4="(nonblank)",--('Final Calculation Sheet'!$B$15&lt;&gt;""),--ISNUMBER(SEARCH($D$4,'Final Calculation Sheet'!$B$15)))))</f>
        <v/>
      </c>
      <c r="DJ70">
        <f>IF($E$4="",1,IF($E$4="(blank)",--('Final Calculation Sheet'!$D$15=""),IF($E$4="(nonblank)",--('Final Calculation Sheet'!$D$15&lt;&gt;""),--ISNUMBER(SEARCH($E$4,'Final Calculation Sheet'!$D$15)))))</f>
        <v/>
      </c>
      <c r="DK70">
        <f>IF($F$4="",1,IF($F$4="(blank)",--('Final Calculation Sheet'!$A$15=""),IF($F$4="(nonblank)",--('Final Calculation Sheet'!$A$15&lt;&gt;""),--ISNUMBER(SEARCH($F$4,'Final Calculation Sheet'!$A$15)))))</f>
        <v/>
      </c>
      <c r="DL70">
        <f>IF($G$4="",1,IF($G$4="(blank)",--('Final Calculation Sheet'!$E$15=""),IF($G$4="(nonblank)",--('Final Calculation Sheet'!$E$15&lt;&gt;""),--ISNUMBER(SEARCH($G$4,'Final Calculation Sheet'!$E$15)))))</f>
        <v/>
      </c>
      <c r="DM70">
        <f>IF($H$4="",1,IF($H$4="(blank)",--('Final Calculation Sheet'!$C$15=""),IF($H$4="(nonblank)",--('Final Calculation Sheet'!$C$15&lt;&gt;""),--ISNUMBER(SEARCH($H$4,'Final Calculation Sheet'!$C$15)))))</f>
        <v/>
      </c>
      <c r="DN70">
        <f>IF($I$4="",1,IF($I$4="(blank)",--('Final Calculation Sheet'!$H$15=""),IF($I$4="(nonblank)",--('Final Calculation Sheet'!$H$15&lt;&gt;""),--ISNUMBER(SEARCH($I$4,'Final Calculation Sheet'!$H$15)))))</f>
        <v/>
      </c>
      <c r="DO70">
        <f>IF($J$4="",1,IF($J$4="(blank)",--('Final Calculation Sheet'!$I$15=""),IF($J$4="(nonblank)",--('Final Calculation Sheet'!$I$15&lt;&gt;""),--ISNUMBER(SEARCH($J$4,'Final Calculation Sheet'!$I$15)))))</f>
        <v/>
      </c>
      <c r="DP70">
        <f>IF($K$4="",1,IF($K$4="(blank)",--('Final Calculation Sheet'!$J$15=""),IF($K$4="(nonblank)",--('Final Calculation Sheet'!$J$15&lt;&gt;""),--ISNUMBER(SEARCH($K$4,'Final Calculation Sheet'!$J$15)))))</f>
        <v/>
      </c>
      <c r="DQ70">
        <f>IF($L$4="",1,IF($L$4="(blank)",--('Final Calculation Sheet'!$K$15=""),IF($L$4="(nonblank)",--('Final Calculation Sheet'!$K$15&lt;&gt;""),--ISNUMBER(SEARCH($L$4,'Final Calculation Sheet'!$K$15)))))</f>
        <v/>
      </c>
      <c r="DR70">
        <f>IF($M$4="",1,IF($M$4="(blank)",--('Final Calculation Sheet'!$L$15=""),IF($M$4="(nonblank)",--('Final Calculation Sheet'!$L$15&lt;&gt;""),--ISNUMBER(SEARCH($M$4,'Final Calculation Sheet'!$L$15)))))</f>
        <v/>
      </c>
      <c r="DS70">
        <f>IF($N$4="",1,IF($N$4="(blank)",--('Final Calculation Sheet'!$M$15=""),IF($N$4="(nonblank)",--('Final Calculation Sheet'!$M$15&lt;&gt;""),--ISNUMBER(SEARCH($N$4,'Final Calculation Sheet'!$M$15)))))</f>
        <v/>
      </c>
      <c r="DT70">
        <f>IF($O$4="",1,IF($O$4="(blank)",--('Final Calculation Sheet'!$N$15=""),IF($O$4="(nonblank)",--('Final Calculation Sheet'!$N$15&lt;&gt;""),--ISNUMBER(SEARCH($O$4,'Final Calculation Sheet'!$N$15)))))</f>
        <v/>
      </c>
      <c r="DU70">
        <f>IF($P$4="",1,IF($P$4="(blank)",--('Final Calculation Sheet'!$O$15=""),IF($P$4="(nonblank)",--('Final Calculation Sheet'!$O$15&lt;&gt;""),--ISNUMBER(SEARCH($P$4,'Final Calculation Sheet'!$O$15)))))</f>
        <v/>
      </c>
      <c r="DV70">
        <f>IF($Q$4="",1,IF($Q$4="(blank)",--('Final Calculation Sheet'!$P$15=""),IF($Q$4="(nonblank)",--('Final Calculation Sheet'!$P$15&lt;&gt;""),--ISNUMBER(SEARCH($Q$4,'Final Calculation Sheet'!$P$15)))))</f>
        <v/>
      </c>
      <c r="DW70">
        <f>IF($R$4="",1,IF($R$4="(blank)",--('Final Calculation Sheet'!$Q$15=""),IF($R$4="(nonblank)",--('Final Calculation Sheet'!$Q$15&lt;&gt;""),--ISNUMBER(SEARCH($R$4,'Final Calculation Sheet'!$Q$15)))))</f>
        <v/>
      </c>
      <c r="DX70">
        <f>IF($S$4="",1,IF($S$4="(blank)",--('Final Calculation Sheet'!$R$15=""),IF($S$4="(nonblank)",--('Final Calculation Sheet'!$R$15&lt;&gt;""),--ISNUMBER(SEARCH($S$4,'Final Calculation Sheet'!$R$15)))))</f>
        <v/>
      </c>
      <c r="DY70">
        <f>IF($T$4="",1,IF($T$4="(blank)",--('Final Calculation Sheet'!$S$15=""),IF($T$4="(nonblank)",--('Final Calculation Sheet'!$S$15&lt;&gt;""),--ISNUMBER(SEARCH($T$4,'Final Calculation Sheet'!$S$15)))))</f>
        <v/>
      </c>
      <c r="DZ70">
        <f>IF($U$4="",1,IF($U$4="(blank)",--('Final Calculation Sheet'!$T$15=""),IF($U$4="(nonblank)",--('Final Calculation Sheet'!$T$15&lt;&gt;""),--ISNUMBER(SEARCH($U$4,'Final Calculation Sheet'!$T$15)))))</f>
        <v/>
      </c>
      <c r="EA70">
        <f>IF($V$4="",1,IF($V$4="(blank)",--('Final Calculation Sheet'!$U$15=""),IF($V$4="(nonblank)",--('Final Calculation Sheet'!$U$15&lt;&gt;""),--ISNUMBER(SEARCH($V$4,'Final Calculation Sheet'!$U$15)))))</f>
        <v/>
      </c>
      <c r="EB70">
        <f>IF($W$4="",1,IF($W$4="(blank)",--('Final Calculation Sheet'!$V$15=""),IF($W$4="(nonblank)",--('Final Calculation Sheet'!$V$15&lt;&gt;""),--ISNUMBER(SEARCH($W$4,'Final Calculation Sheet'!$V$15)))))</f>
        <v/>
      </c>
      <c r="EC70">
        <f>IF($X$4="",1,IF($X$4="(blank)",--('Final Calculation Sheet'!$W$15=""),IF($X$4="(nonblank)",--('Final Calculation Sheet'!$W$15&lt;&gt;""),--ISNUMBER(SEARCH($X$4,'Final Calculation Sheet'!$W$15)))))</f>
        <v/>
      </c>
      <c r="ED70">
        <f>IF($Y$4="",1,IF($Y$4="(blank)",--('Final Calculation Sheet'!$X$15=""),IF($Y$4="(nonblank)",--('Final Calculation Sheet'!$X$15&lt;&gt;""),--ISNUMBER(SEARCH($Y$4,'Final Calculation Sheet'!$X$15)))))</f>
        <v/>
      </c>
      <c r="EE70">
        <f>IF($Z$4="",1,IF($Z$4="(blank)",--('Final Calculation Sheet'!$Y$15=""),IF($Z$4="(nonblank)",--('Final Calculation Sheet'!$Y$15&lt;&gt;""),--ISNUMBER(SEARCH($Z$4,'Final Calculation Sheet'!$Y$15)))))</f>
        <v/>
      </c>
      <c r="EF70">
        <f>IF($AA$4="",1,IF($AA$4="(blank)",--('Final Calculation Sheet'!$Z$15=""),IF($AA$4="(nonblank)",--('Final Calculation Sheet'!$Z$15&lt;&gt;""),--ISNUMBER(SEARCH($AA$4,'Final Calculation Sheet'!$Z$15)))))</f>
        <v/>
      </c>
      <c r="EG70">
        <f>IF($AB$4="",1,IF($AB$4="(blank)",--('Final Calculation Sheet'!$AA$15=""),IF($AB$4="(nonblank)",--('Final Calculation Sheet'!$AA$15&lt;&gt;""),--ISNUMBER(SEARCH($AB$4,'Final Calculation Sheet'!$AA$15)))))</f>
        <v/>
      </c>
      <c r="EH70">
        <f>IF($AC$4="",1,IF($AC$4="(blank)",--('Final Calculation Sheet'!$AB$15=""),IF($AC$4="(nonblank)",--('Final Calculation Sheet'!$AB$15&lt;&gt;""),--ISNUMBER(SEARCH($AC$4,'Final Calculation Sheet'!$AB$15)))))</f>
        <v/>
      </c>
      <c r="EI70">
        <f>IF($AD$4="",1,IF($AD$4="(blank)",--('Final Calculation Sheet'!$AC$15=""),IF($AD$4="(nonblank)",--('Final Calculation Sheet'!$AC$15&lt;&gt;""),--ISNUMBER(SEARCH($AD$4,'Final Calculation Sheet'!$AC$15)))))</f>
        <v/>
      </c>
      <c r="EJ70">
        <f>IF($AE$4="",1,IF($AE$4="(blank)",--('Final Calculation Sheet'!$AD$15=""),IF($AE$4="(nonblank)",--('Final Calculation Sheet'!$AD$15&lt;&gt;""),--ISNUMBER(SEARCH($AE$4,'Final Calculation Sheet'!$AD$15)))))</f>
        <v/>
      </c>
      <c r="EK70">
        <f>IF($AF$4="",1,IF($AF$4="(blank)",--(IF('Final Calculation Sheet'!$AD$15&lt;=5,"SETTLED","OUTSTANDING")=""),IF($AF$4="(nonblank)",--(IF('Final Calculation Sheet'!$AD$15&lt;=5,"SETTLED","OUTSTANDING")&lt;&gt;""),--ISNUMBER(SEARCH($AF$4,IF('Final Calculation Sheet'!$AD$15&lt;=5,"SETTLED","OUTSTANDING"))))))</f>
        <v/>
      </c>
      <c r="EL70">
        <f>IF($AG$4="",1,IF($AG$4="(blank)",--('Final Calculation Sheet'!$AF$15=""),IF($AG$4="(nonblank)",--('Final Calculation Sheet'!$AF$15&lt;&gt;""),--ISNUMBER(SEARCH($AG$4,'Final Calculation Sheet'!$AF$15)))))</f>
        <v/>
      </c>
      <c r="EM70">
        <f>IF($AH$4="",1,IF($AH$4="(blank)",--('Final Calculation Sheet'!$AG$15=""),IF($AH$4="(nonblank)",--('Final Calculation Sheet'!$AG$15&lt;&gt;""),--ISNUMBER(SEARCH($AH$4,'Final Calculation Sheet'!$AG$15)))))</f>
        <v/>
      </c>
      <c r="EN70">
        <f>IF($AI$4="",1,IF($AI$4="(blank)",--('Final Calculation Sheet'!$AH$15=""),IF($AI$4="(nonblank)",--('Final Calculation Sheet'!$AH$15&lt;&gt;""),--ISNUMBER(SEARCH($AI$4,'Final Calculation Sheet'!$AH$15)))))</f>
        <v/>
      </c>
    </row>
    <row r="71">
      <c r="AM71">
        <f>AM70+IF(AND(Lists!$O$18&lt;&gt;"",ISNUMBER(SEARCH($B$4,Lists!$O$18))),1,0)</f>
        <v/>
      </c>
      <c r="AN71">
        <f>IF(ROW()-56&gt;MAX($AM$57:$AM$95),"",INDEX(Lists!$O$4:$O$42,MATCH(ROW()-56,$AM$57:$AM$95,0)))</f>
        <v/>
      </c>
      <c r="AO71">
        <f>AO70+IF(AND(Lists!$T$18&lt;&gt;"",ISNUMBER(SEARCH($C$4,Lists!$T$18))),1,0)</f>
        <v/>
      </c>
      <c r="AP71">
        <f>IF(ROW()-56&gt;MAX($AO$57:$AO$95),"",INDEX(Lists!$T$4:$T$42,MATCH(ROW()-56,$AO$57:$AO$95,0)))</f>
        <v/>
      </c>
      <c r="AQ71">
        <f>AQ70+IF(AND(Lists!$Y$18&lt;&gt;"",ISNUMBER(SEARCH($D$4,Lists!$Y$18))),1,0)</f>
        <v/>
      </c>
      <c r="AR71">
        <f>IF(ROW()-56&gt;MAX($AQ$57:$AQ$95),"",INDEX(Lists!$Y$4:$Y$42,MATCH(ROW()-56,$AQ$57:$AQ$95,0)))</f>
        <v/>
      </c>
      <c r="AS71">
        <f>AS70+IF(AND(Lists!$AD$18&lt;&gt;"",ISNUMBER(SEARCH($E$4,Lists!$AD$18))),1,0)</f>
        <v/>
      </c>
      <c r="AT71">
        <f>IF(ROW()-56&gt;MAX($AS$57:$AS$95),"",INDEX(Lists!$AD$4:$AD$42,MATCH(ROW()-56,$AS$57:$AS$95,0)))</f>
        <v/>
      </c>
      <c r="AU71">
        <f>AU70+IF(AND(Lists!$AI$18&lt;&gt;"",ISNUMBER(SEARCH($F$4,Lists!$AI$18))),1,0)</f>
        <v/>
      </c>
      <c r="AV71">
        <f>IF(ROW()-56&gt;MAX($AU$57:$AU$95),"",INDEX(Lists!$AI$4:$AI$42,MATCH(ROW()-56,$AU$57:$AU$95,0)))</f>
        <v/>
      </c>
      <c r="AW71">
        <f>AW70+IF(AND(Lists!$AN$18&lt;&gt;"",ISNUMBER(SEARCH($G$4,Lists!$AN$18))),1,0)</f>
        <v/>
      </c>
      <c r="AX71">
        <f>IF(ROW()-56&gt;MAX($AW$57:$AW$95),"",INDEX(Lists!$AN$4:$AN$42,MATCH(ROW()-56,$AW$57:$AW$95,0)))</f>
        <v/>
      </c>
      <c r="AY71">
        <f>AY70+IF(AND(Lists!$AS$18&lt;&gt;"",ISNUMBER(SEARCH($H$4,Lists!$AS$18))),1,0)</f>
        <v/>
      </c>
      <c r="AZ71">
        <f>IF(ROW()-56&gt;MAX($AY$57:$AY$95),"",INDEX(Lists!$AS$4:$AS$42,MATCH(ROW()-56,$AY$57:$AY$95,0)))</f>
        <v/>
      </c>
      <c r="BA71">
        <f>BA70+IF(AND(Lists!$AX$18&lt;&gt;"",ISNUMBER(SEARCH($I$4,Lists!$AX$18))),1,0)</f>
        <v/>
      </c>
      <c r="BB71">
        <f>IF(ROW()-56&gt;MAX($BA$57:$BA$95),"",INDEX(Lists!$AX$4:$AX$42,MATCH(ROW()-56,$BA$57:$BA$95,0)))</f>
        <v/>
      </c>
      <c r="BC71">
        <f>BC70+IF(AND(Lists!$BC$18&lt;&gt;"",ISNUMBER(SEARCH($J$4,Lists!$BC$18))),1,0)</f>
        <v/>
      </c>
      <c r="BD71">
        <f>IF(ROW()-56&gt;MAX($BC$57:$BC$95),"",INDEX(Lists!$BC$4:$BC$42,MATCH(ROW()-56,$BC$57:$BC$95,0)))</f>
        <v/>
      </c>
      <c r="BE71">
        <f>BE70+IF(AND(Lists!$BH$18&lt;&gt;"",ISNUMBER(SEARCH($K$4,Lists!$BH$18))),1,0)</f>
        <v/>
      </c>
      <c r="BF71">
        <f>IF(ROW()-56&gt;MAX($BE$57:$BE$95),"",INDEX(Lists!$BH$4:$BH$42,MATCH(ROW()-56,$BE$57:$BE$95,0)))</f>
        <v/>
      </c>
      <c r="BG71">
        <f>BG70+IF(AND(Lists!$BM$18&lt;&gt;"",ISNUMBER(SEARCH($L$4,Lists!$BM$18))),1,0)</f>
        <v/>
      </c>
      <c r="BH71">
        <f>IF(ROW()-56&gt;MAX($BG$57:$BG$95),"",INDEX(Lists!$BM$4:$BM$42,MATCH(ROW()-56,$BG$57:$BG$95,0)))</f>
        <v/>
      </c>
      <c r="BI71">
        <f>BI70+IF(AND(Lists!$BR$18&lt;&gt;"",ISNUMBER(SEARCH($M$4,Lists!$BR$18))),1,0)</f>
        <v/>
      </c>
      <c r="BJ71">
        <f>IF(ROW()-56&gt;MAX($BI$57:$BI$95),"",INDEX(Lists!$BR$4:$BR$42,MATCH(ROW()-56,$BI$57:$BI$95,0)))</f>
        <v/>
      </c>
      <c r="BK71">
        <f>BK70+IF(AND(Lists!$BW$18&lt;&gt;"",ISNUMBER(SEARCH($N$4,Lists!$BW$18))),1,0)</f>
        <v/>
      </c>
      <c r="BL71">
        <f>IF(ROW()-56&gt;MAX($BK$57:$BK$95),"",INDEX(Lists!$BW$4:$BW$42,MATCH(ROW()-56,$BK$57:$BK$95,0)))</f>
        <v/>
      </c>
      <c r="BM71">
        <f>BM70+IF(AND(Lists!$CB$18&lt;&gt;"",ISNUMBER(SEARCH($O$4,Lists!$CB$18))),1,0)</f>
        <v/>
      </c>
      <c r="BN71">
        <f>IF(ROW()-56&gt;MAX($BM$57:$BM$95),"",INDEX(Lists!$CB$4:$CB$42,MATCH(ROW()-56,$BM$57:$BM$95,0)))</f>
        <v/>
      </c>
      <c r="BO71">
        <f>BO70+IF(AND(Lists!$CG$18&lt;&gt;"",ISNUMBER(SEARCH($P$4,Lists!$CG$18))),1,0)</f>
        <v/>
      </c>
      <c r="BP71">
        <f>IF(ROW()-56&gt;MAX($BO$57:$BO$95),"",INDEX(Lists!$CG$4:$CG$42,MATCH(ROW()-56,$BO$57:$BO$95,0)))</f>
        <v/>
      </c>
      <c r="BQ71">
        <f>BQ70+IF(AND(Lists!$CL$18&lt;&gt;"",ISNUMBER(SEARCH($Q$4,Lists!$CL$18))),1,0)</f>
        <v/>
      </c>
      <c r="BR71">
        <f>IF(ROW()-56&gt;MAX($BQ$57:$BQ$95),"",INDEX(Lists!$CL$4:$CL$42,MATCH(ROW()-56,$BQ$57:$BQ$95,0)))</f>
        <v/>
      </c>
      <c r="BS71">
        <f>BS70+IF(AND(Lists!$CQ$18&lt;&gt;"",ISNUMBER(SEARCH($R$4,Lists!$CQ$18))),1,0)</f>
        <v/>
      </c>
      <c r="BT71">
        <f>IF(ROW()-56&gt;MAX($BS$57:$BS$95),"",INDEX(Lists!$CQ$4:$CQ$42,MATCH(ROW()-56,$BS$57:$BS$95,0)))</f>
        <v/>
      </c>
      <c r="BU71">
        <f>BU70+IF(AND(Lists!$CV$18&lt;&gt;"",ISNUMBER(SEARCH($S$4,Lists!$CV$18))),1,0)</f>
        <v/>
      </c>
      <c r="BV71">
        <f>IF(ROW()-56&gt;MAX($BU$57:$BU$95),"",INDEX(Lists!$CV$4:$CV$42,MATCH(ROW()-56,$BU$57:$BU$95,0)))</f>
        <v/>
      </c>
      <c r="BW71">
        <f>BW70+IF(AND(Lists!$DA$18&lt;&gt;"",ISNUMBER(SEARCH($T$4,Lists!$DA$18))),1,0)</f>
        <v/>
      </c>
      <c r="BX71">
        <f>IF(ROW()-56&gt;MAX($BW$57:$BW$95),"",INDEX(Lists!$DA$4:$DA$42,MATCH(ROW()-56,$BW$57:$BW$95,0)))</f>
        <v/>
      </c>
      <c r="BY71">
        <f>BY70+IF(AND(Lists!$DF$18&lt;&gt;"",ISNUMBER(SEARCH($U$4,Lists!$DF$18))),1,0)</f>
        <v/>
      </c>
      <c r="BZ71">
        <f>IF(ROW()-56&gt;MAX($BY$57:$BY$95),"",INDEX(Lists!$DF$4:$DF$42,MATCH(ROW()-56,$BY$57:$BY$95,0)))</f>
        <v/>
      </c>
      <c r="CA71">
        <f>CA70+IF(AND(Lists!$DK$18&lt;&gt;"",ISNUMBER(SEARCH($V$4,Lists!$DK$18))),1,0)</f>
        <v/>
      </c>
      <c r="CB71">
        <f>IF(ROW()-56&gt;MAX($CA$57:$CA$95),"",INDEX(Lists!$DK$4:$DK$42,MATCH(ROW()-56,$CA$57:$CA$95,0)))</f>
        <v/>
      </c>
      <c r="CC71">
        <f>CC70+IF(AND(Lists!$DP$18&lt;&gt;"",ISNUMBER(SEARCH($W$4,Lists!$DP$18))),1,0)</f>
        <v/>
      </c>
      <c r="CD71">
        <f>IF(ROW()-56&gt;MAX($CC$57:$CC$95),"",INDEX(Lists!$DP$4:$DP$42,MATCH(ROW()-56,$CC$57:$CC$95,0)))</f>
        <v/>
      </c>
      <c r="CE71">
        <f>CE70+IF(AND(Lists!$DU$18&lt;&gt;"",ISNUMBER(SEARCH($X$4,Lists!$DU$18))),1,0)</f>
        <v/>
      </c>
      <c r="CF71">
        <f>IF(ROW()-56&gt;MAX($CE$57:$CE$95),"",INDEX(Lists!$DU$4:$DU$42,MATCH(ROW()-56,$CE$57:$CE$95,0)))</f>
        <v/>
      </c>
      <c r="CG71">
        <f>CG70+IF(AND(Lists!$DZ$18&lt;&gt;"",ISNUMBER(SEARCH($Y$4,Lists!$DZ$18))),1,0)</f>
        <v/>
      </c>
      <c r="CH71">
        <f>IF(ROW()-56&gt;MAX($CG$57:$CG$95),"",INDEX(Lists!$DZ$4:$DZ$42,MATCH(ROW()-56,$CG$57:$CG$95,0)))</f>
        <v/>
      </c>
      <c r="CI71">
        <f>CI70+IF(AND(Lists!$EE$18&lt;&gt;"",ISNUMBER(SEARCH($Z$4,Lists!$EE$18))),1,0)</f>
        <v/>
      </c>
      <c r="CJ71">
        <f>IF(ROW()-56&gt;MAX($CI$57:$CI$95),"",INDEX(Lists!$EE$4:$EE$42,MATCH(ROW()-56,$CI$57:$CI$95,0)))</f>
        <v/>
      </c>
      <c r="CK71">
        <f>CK70+IF(AND(Lists!$EJ$18&lt;&gt;"",ISNUMBER(SEARCH($AA$4,Lists!$EJ$18))),1,0)</f>
        <v/>
      </c>
      <c r="CL71">
        <f>IF(ROW()-56&gt;MAX($CK$57:$CK$95),"",INDEX(Lists!$EJ$4:$EJ$42,MATCH(ROW()-56,$CK$57:$CK$95,0)))</f>
        <v/>
      </c>
      <c r="CM71">
        <f>CM70+IF(AND(Lists!$EO$18&lt;&gt;"",ISNUMBER(SEARCH($AB$4,Lists!$EO$18))),1,0)</f>
        <v/>
      </c>
      <c r="CN71">
        <f>IF(ROW()-56&gt;MAX($CM$57:$CM$95),"",INDEX(Lists!$EO$4:$EO$42,MATCH(ROW()-56,$CM$57:$CM$95,0)))</f>
        <v/>
      </c>
      <c r="CO71">
        <f>CO70+IF(AND(Lists!$ET$18&lt;&gt;"",ISNUMBER(SEARCH($AC$4,Lists!$ET$18))),1,0)</f>
        <v/>
      </c>
      <c r="CP71">
        <f>IF(ROW()-56&gt;MAX($CO$57:$CO$95),"",INDEX(Lists!$ET$4:$ET$42,MATCH(ROW()-56,$CO$57:$CO$95,0)))</f>
        <v/>
      </c>
      <c r="CQ71">
        <f>CQ70+IF(AND(Lists!$EY$18&lt;&gt;"",ISNUMBER(SEARCH($AD$4,Lists!$EY$18))),1,0)</f>
        <v/>
      </c>
      <c r="CR71">
        <f>IF(ROW()-56&gt;MAX($CQ$57:$CQ$95),"",INDEX(Lists!$EY$4:$EY$42,MATCH(ROW()-56,$CQ$57:$CQ$95,0)))</f>
        <v/>
      </c>
      <c r="CS71">
        <f>CS70+IF(AND(Lists!$FD$18&lt;&gt;"",ISNUMBER(SEARCH($AE$4,Lists!$FD$18))),1,0)</f>
        <v/>
      </c>
      <c r="CT71">
        <f>IF(ROW()-56&gt;MAX($CS$57:$CS$95),"",INDEX(Lists!$FD$4:$FD$42,MATCH(ROW()-56,$CS$57:$CS$95,0)))</f>
        <v/>
      </c>
      <c r="CU71">
        <f>CU70+IF(AND(Lists!$FI$18&lt;&gt;"",ISNUMBER(SEARCH($AG$4,Lists!$FI$18))),1,0)</f>
        <v/>
      </c>
      <c r="CV71">
        <f>IF(ROW()-56&gt;MAX($CU$57:$CU$95),"",INDEX(Lists!$FI$4:$FI$42,MATCH(ROW()-56,$CU$57:$CU$95,0)))</f>
        <v/>
      </c>
      <c r="CW71">
        <f>CW70+IF(AND(Lists!$FN$18&lt;&gt;"",ISNUMBER(SEARCH($AH$4,Lists!$FN$18))),1,0)</f>
        <v/>
      </c>
      <c r="CX71">
        <f>IF(ROW()-56&gt;MAX($CW$57:$CW$95),"",INDEX(Lists!$FN$4:$FN$42,MATCH(ROW()-56,$CW$57:$CW$95,0)))</f>
        <v/>
      </c>
      <c r="CY71">
        <f>CY70+IF(AND(Lists!$FS$18&lt;&gt;"",ISNUMBER(SEARCH($AI$4,Lists!$FS$18))),1,0)</f>
        <v/>
      </c>
      <c r="CZ71">
        <f>IF(ROW()-56&gt;MAX($CY$57:$CY$95),"",INDEX(Lists!$FS$4:$FS$42,MATCH(ROW()-56,$CY$57:$CY$95,0)))</f>
        <v/>
      </c>
      <c r="DA71">
        <f>DA70+IF(AND(Lists!$FX$18&lt;&gt;"",ISNUMBER(SEARCH($AF$4,Lists!$FX$18))),1,0)</f>
        <v/>
      </c>
      <c r="DB71">
        <f>IF(ROW()-56&gt;MAX($DA$57:$DA$95),"",INDEX(Lists!$FX$4:$FX$42,MATCH(ROW()-56,$DA$57:$DA$95,0)))</f>
        <v/>
      </c>
      <c r="DG71">
        <f>IF($B$4="",1,IF($B$4="(blank)",--('Final Calculation Sheet'!$F$16=""),IF($B$4="(nonblank)",--('Final Calculation Sheet'!$F$16&lt;&gt;""),--ISNUMBER(SEARCH($B$4,'Final Calculation Sheet'!$F$16)))))</f>
        <v/>
      </c>
      <c r="DH71">
        <f>IF($C$4="",1,IF($C$4="(blank)",--('Final Calculation Sheet'!$G$16=""),IF($C$4="(nonblank)",--('Final Calculation Sheet'!$G$16&lt;&gt;""),--ISNUMBER(SEARCH($C$4,'Final Calculation Sheet'!$G$16)))))</f>
        <v/>
      </c>
      <c r="DI71">
        <f>IF($D$4="",1,IF($D$4="(blank)",--('Final Calculation Sheet'!$B$16=""),IF($D$4="(nonblank)",--('Final Calculation Sheet'!$B$16&lt;&gt;""),--ISNUMBER(SEARCH($D$4,'Final Calculation Sheet'!$B$16)))))</f>
        <v/>
      </c>
      <c r="DJ71">
        <f>IF($E$4="",1,IF($E$4="(blank)",--('Final Calculation Sheet'!$D$16=""),IF($E$4="(nonblank)",--('Final Calculation Sheet'!$D$16&lt;&gt;""),--ISNUMBER(SEARCH($E$4,'Final Calculation Sheet'!$D$16)))))</f>
        <v/>
      </c>
      <c r="DK71">
        <f>IF($F$4="",1,IF($F$4="(blank)",--('Final Calculation Sheet'!$A$16=""),IF($F$4="(nonblank)",--('Final Calculation Sheet'!$A$16&lt;&gt;""),--ISNUMBER(SEARCH($F$4,'Final Calculation Sheet'!$A$16)))))</f>
        <v/>
      </c>
      <c r="DL71">
        <f>IF($G$4="",1,IF($G$4="(blank)",--('Final Calculation Sheet'!$E$16=""),IF($G$4="(nonblank)",--('Final Calculation Sheet'!$E$16&lt;&gt;""),--ISNUMBER(SEARCH($G$4,'Final Calculation Sheet'!$E$16)))))</f>
        <v/>
      </c>
      <c r="DM71">
        <f>IF($H$4="",1,IF($H$4="(blank)",--('Final Calculation Sheet'!$C$16=""),IF($H$4="(nonblank)",--('Final Calculation Sheet'!$C$16&lt;&gt;""),--ISNUMBER(SEARCH($H$4,'Final Calculation Sheet'!$C$16)))))</f>
        <v/>
      </c>
      <c r="DN71">
        <f>IF($I$4="",1,IF($I$4="(blank)",--('Final Calculation Sheet'!$H$16=""),IF($I$4="(nonblank)",--('Final Calculation Sheet'!$H$16&lt;&gt;""),--ISNUMBER(SEARCH($I$4,'Final Calculation Sheet'!$H$16)))))</f>
        <v/>
      </c>
      <c r="DO71">
        <f>IF($J$4="",1,IF($J$4="(blank)",--('Final Calculation Sheet'!$I$16=""),IF($J$4="(nonblank)",--('Final Calculation Sheet'!$I$16&lt;&gt;""),--ISNUMBER(SEARCH($J$4,'Final Calculation Sheet'!$I$16)))))</f>
        <v/>
      </c>
      <c r="DP71">
        <f>IF($K$4="",1,IF($K$4="(blank)",--('Final Calculation Sheet'!$J$16=""),IF($K$4="(nonblank)",--('Final Calculation Sheet'!$J$16&lt;&gt;""),--ISNUMBER(SEARCH($K$4,'Final Calculation Sheet'!$J$16)))))</f>
        <v/>
      </c>
      <c r="DQ71">
        <f>IF($L$4="",1,IF($L$4="(blank)",--('Final Calculation Sheet'!$K$16=""),IF($L$4="(nonblank)",--('Final Calculation Sheet'!$K$16&lt;&gt;""),--ISNUMBER(SEARCH($L$4,'Final Calculation Sheet'!$K$16)))))</f>
        <v/>
      </c>
      <c r="DR71">
        <f>IF($M$4="",1,IF($M$4="(blank)",--('Final Calculation Sheet'!$L$16=""),IF($M$4="(nonblank)",--('Final Calculation Sheet'!$L$16&lt;&gt;""),--ISNUMBER(SEARCH($M$4,'Final Calculation Sheet'!$L$16)))))</f>
        <v/>
      </c>
      <c r="DS71">
        <f>IF($N$4="",1,IF($N$4="(blank)",--('Final Calculation Sheet'!$M$16=""),IF($N$4="(nonblank)",--('Final Calculation Sheet'!$M$16&lt;&gt;""),--ISNUMBER(SEARCH($N$4,'Final Calculation Sheet'!$M$16)))))</f>
        <v/>
      </c>
      <c r="DT71">
        <f>IF($O$4="",1,IF($O$4="(blank)",--('Final Calculation Sheet'!$N$16=""),IF($O$4="(nonblank)",--('Final Calculation Sheet'!$N$16&lt;&gt;""),--ISNUMBER(SEARCH($O$4,'Final Calculation Sheet'!$N$16)))))</f>
        <v/>
      </c>
      <c r="DU71">
        <f>IF($P$4="",1,IF($P$4="(blank)",--('Final Calculation Sheet'!$O$16=""),IF($P$4="(nonblank)",--('Final Calculation Sheet'!$O$16&lt;&gt;""),--ISNUMBER(SEARCH($P$4,'Final Calculation Sheet'!$O$16)))))</f>
        <v/>
      </c>
      <c r="DV71">
        <f>IF($Q$4="",1,IF($Q$4="(blank)",--('Final Calculation Sheet'!$P$16=""),IF($Q$4="(nonblank)",--('Final Calculation Sheet'!$P$16&lt;&gt;""),--ISNUMBER(SEARCH($Q$4,'Final Calculation Sheet'!$P$16)))))</f>
        <v/>
      </c>
      <c r="DW71">
        <f>IF($R$4="",1,IF($R$4="(blank)",--('Final Calculation Sheet'!$Q$16=""),IF($R$4="(nonblank)",--('Final Calculation Sheet'!$Q$16&lt;&gt;""),--ISNUMBER(SEARCH($R$4,'Final Calculation Sheet'!$Q$16)))))</f>
        <v/>
      </c>
      <c r="DX71">
        <f>IF($S$4="",1,IF($S$4="(blank)",--('Final Calculation Sheet'!$R$16=""),IF($S$4="(nonblank)",--('Final Calculation Sheet'!$R$16&lt;&gt;""),--ISNUMBER(SEARCH($S$4,'Final Calculation Sheet'!$R$16)))))</f>
        <v/>
      </c>
      <c r="DY71">
        <f>IF($T$4="",1,IF($T$4="(blank)",--('Final Calculation Sheet'!$S$16=""),IF($T$4="(nonblank)",--('Final Calculation Sheet'!$S$16&lt;&gt;""),--ISNUMBER(SEARCH($T$4,'Final Calculation Sheet'!$S$16)))))</f>
        <v/>
      </c>
      <c r="DZ71">
        <f>IF($U$4="",1,IF($U$4="(blank)",--('Final Calculation Sheet'!$T$16=""),IF($U$4="(nonblank)",--('Final Calculation Sheet'!$T$16&lt;&gt;""),--ISNUMBER(SEARCH($U$4,'Final Calculation Sheet'!$T$16)))))</f>
        <v/>
      </c>
      <c r="EA71">
        <f>IF($V$4="",1,IF($V$4="(blank)",--('Final Calculation Sheet'!$U$16=""),IF($V$4="(nonblank)",--('Final Calculation Sheet'!$U$16&lt;&gt;""),--ISNUMBER(SEARCH($V$4,'Final Calculation Sheet'!$U$16)))))</f>
        <v/>
      </c>
      <c r="EB71">
        <f>IF($W$4="",1,IF($W$4="(blank)",--('Final Calculation Sheet'!$V$16=""),IF($W$4="(nonblank)",--('Final Calculation Sheet'!$V$16&lt;&gt;""),--ISNUMBER(SEARCH($W$4,'Final Calculation Sheet'!$V$16)))))</f>
        <v/>
      </c>
      <c r="EC71">
        <f>IF($X$4="",1,IF($X$4="(blank)",--('Final Calculation Sheet'!$W$16=""),IF($X$4="(nonblank)",--('Final Calculation Sheet'!$W$16&lt;&gt;""),--ISNUMBER(SEARCH($X$4,'Final Calculation Sheet'!$W$16)))))</f>
        <v/>
      </c>
      <c r="ED71">
        <f>IF($Y$4="",1,IF($Y$4="(blank)",--('Final Calculation Sheet'!$X$16=""),IF($Y$4="(nonblank)",--('Final Calculation Sheet'!$X$16&lt;&gt;""),--ISNUMBER(SEARCH($Y$4,'Final Calculation Sheet'!$X$16)))))</f>
        <v/>
      </c>
      <c r="EE71">
        <f>IF($Z$4="",1,IF($Z$4="(blank)",--('Final Calculation Sheet'!$Y$16=""),IF($Z$4="(nonblank)",--('Final Calculation Sheet'!$Y$16&lt;&gt;""),--ISNUMBER(SEARCH($Z$4,'Final Calculation Sheet'!$Y$16)))))</f>
        <v/>
      </c>
      <c r="EF71">
        <f>IF($AA$4="",1,IF($AA$4="(blank)",--('Final Calculation Sheet'!$Z$16=""),IF($AA$4="(nonblank)",--('Final Calculation Sheet'!$Z$16&lt;&gt;""),--ISNUMBER(SEARCH($AA$4,'Final Calculation Sheet'!$Z$16)))))</f>
        <v/>
      </c>
      <c r="EG71">
        <f>IF($AB$4="",1,IF($AB$4="(blank)",--('Final Calculation Sheet'!$AA$16=""),IF($AB$4="(nonblank)",--('Final Calculation Sheet'!$AA$16&lt;&gt;""),--ISNUMBER(SEARCH($AB$4,'Final Calculation Sheet'!$AA$16)))))</f>
        <v/>
      </c>
      <c r="EH71">
        <f>IF($AC$4="",1,IF($AC$4="(blank)",--('Final Calculation Sheet'!$AB$16=""),IF($AC$4="(nonblank)",--('Final Calculation Sheet'!$AB$16&lt;&gt;""),--ISNUMBER(SEARCH($AC$4,'Final Calculation Sheet'!$AB$16)))))</f>
        <v/>
      </c>
      <c r="EI71">
        <f>IF($AD$4="",1,IF($AD$4="(blank)",--('Final Calculation Sheet'!$AC$16=""),IF($AD$4="(nonblank)",--('Final Calculation Sheet'!$AC$16&lt;&gt;""),--ISNUMBER(SEARCH($AD$4,'Final Calculation Sheet'!$AC$16)))))</f>
        <v/>
      </c>
      <c r="EJ71">
        <f>IF($AE$4="",1,IF($AE$4="(blank)",--('Final Calculation Sheet'!$AD$16=""),IF($AE$4="(nonblank)",--('Final Calculation Sheet'!$AD$16&lt;&gt;""),--ISNUMBER(SEARCH($AE$4,'Final Calculation Sheet'!$AD$16)))))</f>
        <v/>
      </c>
      <c r="EK71">
        <f>IF($AF$4="",1,IF($AF$4="(blank)",--(IF('Final Calculation Sheet'!$AD$16&lt;=5,"SETTLED","OUTSTANDING")=""),IF($AF$4="(nonblank)",--(IF('Final Calculation Sheet'!$AD$16&lt;=5,"SETTLED","OUTSTANDING")&lt;&gt;""),--ISNUMBER(SEARCH($AF$4,IF('Final Calculation Sheet'!$AD$16&lt;=5,"SETTLED","OUTSTANDING"))))))</f>
        <v/>
      </c>
      <c r="EL71">
        <f>IF($AG$4="",1,IF($AG$4="(blank)",--('Final Calculation Sheet'!$AF$16=""),IF($AG$4="(nonblank)",--('Final Calculation Sheet'!$AF$16&lt;&gt;""),--ISNUMBER(SEARCH($AG$4,'Final Calculation Sheet'!$AF$16)))))</f>
        <v/>
      </c>
      <c r="EM71">
        <f>IF($AH$4="",1,IF($AH$4="(blank)",--('Final Calculation Sheet'!$AG$16=""),IF($AH$4="(nonblank)",--('Final Calculation Sheet'!$AG$16&lt;&gt;""),--ISNUMBER(SEARCH($AH$4,'Final Calculation Sheet'!$AG$16)))))</f>
        <v/>
      </c>
      <c r="EN71">
        <f>IF($AI$4="",1,IF($AI$4="(blank)",--('Final Calculation Sheet'!$AH$16=""),IF($AI$4="(nonblank)",--('Final Calculation Sheet'!$AH$16&lt;&gt;""),--ISNUMBER(SEARCH($AI$4,'Final Calculation Sheet'!$AH$16)))))</f>
        <v/>
      </c>
    </row>
    <row r="72">
      <c r="AM72">
        <f>AM71+IF(AND(Lists!$O$19&lt;&gt;"",ISNUMBER(SEARCH($B$4,Lists!$O$19))),1,0)</f>
        <v/>
      </c>
      <c r="AN72">
        <f>IF(ROW()-56&gt;MAX($AM$57:$AM$95),"",INDEX(Lists!$O$4:$O$42,MATCH(ROW()-56,$AM$57:$AM$95,0)))</f>
        <v/>
      </c>
      <c r="AO72">
        <f>AO71+IF(AND(Lists!$T$19&lt;&gt;"",ISNUMBER(SEARCH($C$4,Lists!$T$19))),1,0)</f>
        <v/>
      </c>
      <c r="AP72">
        <f>IF(ROW()-56&gt;MAX($AO$57:$AO$95),"",INDEX(Lists!$T$4:$T$42,MATCH(ROW()-56,$AO$57:$AO$95,0)))</f>
        <v/>
      </c>
      <c r="AQ72">
        <f>AQ71+IF(AND(Lists!$Y$19&lt;&gt;"",ISNUMBER(SEARCH($D$4,Lists!$Y$19))),1,0)</f>
        <v/>
      </c>
      <c r="AR72">
        <f>IF(ROW()-56&gt;MAX($AQ$57:$AQ$95),"",INDEX(Lists!$Y$4:$Y$42,MATCH(ROW()-56,$AQ$57:$AQ$95,0)))</f>
        <v/>
      </c>
      <c r="AS72">
        <f>AS71+IF(AND(Lists!$AD$19&lt;&gt;"",ISNUMBER(SEARCH($E$4,Lists!$AD$19))),1,0)</f>
        <v/>
      </c>
      <c r="AT72">
        <f>IF(ROW()-56&gt;MAX($AS$57:$AS$95),"",INDEX(Lists!$AD$4:$AD$42,MATCH(ROW()-56,$AS$57:$AS$95,0)))</f>
        <v/>
      </c>
      <c r="AU72">
        <f>AU71+IF(AND(Lists!$AI$19&lt;&gt;"",ISNUMBER(SEARCH($F$4,Lists!$AI$19))),1,0)</f>
        <v/>
      </c>
      <c r="AV72">
        <f>IF(ROW()-56&gt;MAX($AU$57:$AU$95),"",INDEX(Lists!$AI$4:$AI$42,MATCH(ROW()-56,$AU$57:$AU$95,0)))</f>
        <v/>
      </c>
      <c r="AW72">
        <f>AW71+IF(AND(Lists!$AN$19&lt;&gt;"",ISNUMBER(SEARCH($G$4,Lists!$AN$19))),1,0)</f>
        <v/>
      </c>
      <c r="AX72">
        <f>IF(ROW()-56&gt;MAX($AW$57:$AW$95),"",INDEX(Lists!$AN$4:$AN$42,MATCH(ROW()-56,$AW$57:$AW$95,0)))</f>
        <v/>
      </c>
      <c r="AY72">
        <f>AY71+IF(AND(Lists!$AS$19&lt;&gt;"",ISNUMBER(SEARCH($H$4,Lists!$AS$19))),1,0)</f>
        <v/>
      </c>
      <c r="AZ72">
        <f>IF(ROW()-56&gt;MAX($AY$57:$AY$95),"",INDEX(Lists!$AS$4:$AS$42,MATCH(ROW()-56,$AY$57:$AY$95,0)))</f>
        <v/>
      </c>
      <c r="BA72">
        <f>BA71+IF(AND(Lists!$AX$19&lt;&gt;"",ISNUMBER(SEARCH($I$4,Lists!$AX$19))),1,0)</f>
        <v/>
      </c>
      <c r="BB72">
        <f>IF(ROW()-56&gt;MAX($BA$57:$BA$95),"",INDEX(Lists!$AX$4:$AX$42,MATCH(ROW()-56,$BA$57:$BA$95,0)))</f>
        <v/>
      </c>
      <c r="BC72">
        <f>BC71+IF(AND(Lists!$BC$19&lt;&gt;"",ISNUMBER(SEARCH($J$4,Lists!$BC$19))),1,0)</f>
        <v/>
      </c>
      <c r="BD72">
        <f>IF(ROW()-56&gt;MAX($BC$57:$BC$95),"",INDEX(Lists!$BC$4:$BC$42,MATCH(ROW()-56,$BC$57:$BC$95,0)))</f>
        <v/>
      </c>
      <c r="BE72">
        <f>BE71+IF(AND(Lists!$BH$19&lt;&gt;"",ISNUMBER(SEARCH($K$4,Lists!$BH$19))),1,0)</f>
        <v/>
      </c>
      <c r="BF72">
        <f>IF(ROW()-56&gt;MAX($BE$57:$BE$95),"",INDEX(Lists!$BH$4:$BH$42,MATCH(ROW()-56,$BE$57:$BE$95,0)))</f>
        <v/>
      </c>
      <c r="BG72">
        <f>BG71+IF(AND(Lists!$BM$19&lt;&gt;"",ISNUMBER(SEARCH($L$4,Lists!$BM$19))),1,0)</f>
        <v/>
      </c>
      <c r="BH72">
        <f>IF(ROW()-56&gt;MAX($BG$57:$BG$95),"",INDEX(Lists!$BM$4:$BM$42,MATCH(ROW()-56,$BG$57:$BG$95,0)))</f>
        <v/>
      </c>
      <c r="BI72">
        <f>BI71+IF(AND(Lists!$BR$19&lt;&gt;"",ISNUMBER(SEARCH($M$4,Lists!$BR$19))),1,0)</f>
        <v/>
      </c>
      <c r="BJ72">
        <f>IF(ROW()-56&gt;MAX($BI$57:$BI$95),"",INDEX(Lists!$BR$4:$BR$42,MATCH(ROW()-56,$BI$57:$BI$95,0)))</f>
        <v/>
      </c>
      <c r="BK72">
        <f>BK71+IF(AND(Lists!$BW$19&lt;&gt;"",ISNUMBER(SEARCH($N$4,Lists!$BW$19))),1,0)</f>
        <v/>
      </c>
      <c r="BL72">
        <f>IF(ROW()-56&gt;MAX($BK$57:$BK$95),"",INDEX(Lists!$BW$4:$BW$42,MATCH(ROW()-56,$BK$57:$BK$95,0)))</f>
        <v/>
      </c>
      <c r="BM72">
        <f>BM71+IF(AND(Lists!$CB$19&lt;&gt;"",ISNUMBER(SEARCH($O$4,Lists!$CB$19))),1,0)</f>
        <v/>
      </c>
      <c r="BN72">
        <f>IF(ROW()-56&gt;MAX($BM$57:$BM$95),"",INDEX(Lists!$CB$4:$CB$42,MATCH(ROW()-56,$BM$57:$BM$95,0)))</f>
        <v/>
      </c>
      <c r="BO72">
        <f>BO71+IF(AND(Lists!$CG$19&lt;&gt;"",ISNUMBER(SEARCH($P$4,Lists!$CG$19))),1,0)</f>
        <v/>
      </c>
      <c r="BP72">
        <f>IF(ROW()-56&gt;MAX($BO$57:$BO$95),"",INDEX(Lists!$CG$4:$CG$42,MATCH(ROW()-56,$BO$57:$BO$95,0)))</f>
        <v/>
      </c>
      <c r="BQ72">
        <f>BQ71+IF(AND(Lists!$CL$19&lt;&gt;"",ISNUMBER(SEARCH($Q$4,Lists!$CL$19))),1,0)</f>
        <v/>
      </c>
      <c r="BR72">
        <f>IF(ROW()-56&gt;MAX($BQ$57:$BQ$95),"",INDEX(Lists!$CL$4:$CL$42,MATCH(ROW()-56,$BQ$57:$BQ$95,0)))</f>
        <v/>
      </c>
      <c r="BS72">
        <f>BS71+IF(AND(Lists!$CQ$19&lt;&gt;"",ISNUMBER(SEARCH($R$4,Lists!$CQ$19))),1,0)</f>
        <v/>
      </c>
      <c r="BT72">
        <f>IF(ROW()-56&gt;MAX($BS$57:$BS$95),"",INDEX(Lists!$CQ$4:$CQ$42,MATCH(ROW()-56,$BS$57:$BS$95,0)))</f>
        <v/>
      </c>
      <c r="BU72">
        <f>BU71+IF(AND(Lists!$CV$19&lt;&gt;"",ISNUMBER(SEARCH($S$4,Lists!$CV$19))),1,0)</f>
        <v/>
      </c>
      <c r="BV72">
        <f>IF(ROW()-56&gt;MAX($BU$57:$BU$95),"",INDEX(Lists!$CV$4:$CV$42,MATCH(ROW()-56,$BU$57:$BU$95,0)))</f>
        <v/>
      </c>
      <c r="BW72">
        <f>BW71+IF(AND(Lists!$DA$19&lt;&gt;"",ISNUMBER(SEARCH($T$4,Lists!$DA$19))),1,0)</f>
        <v/>
      </c>
      <c r="BX72">
        <f>IF(ROW()-56&gt;MAX($BW$57:$BW$95),"",INDEX(Lists!$DA$4:$DA$42,MATCH(ROW()-56,$BW$57:$BW$95,0)))</f>
        <v/>
      </c>
      <c r="BY72">
        <f>BY71+IF(AND(Lists!$DF$19&lt;&gt;"",ISNUMBER(SEARCH($U$4,Lists!$DF$19))),1,0)</f>
        <v/>
      </c>
      <c r="BZ72">
        <f>IF(ROW()-56&gt;MAX($BY$57:$BY$95),"",INDEX(Lists!$DF$4:$DF$42,MATCH(ROW()-56,$BY$57:$BY$95,0)))</f>
        <v/>
      </c>
      <c r="CA72">
        <f>CA71+IF(AND(Lists!$DK$19&lt;&gt;"",ISNUMBER(SEARCH($V$4,Lists!$DK$19))),1,0)</f>
        <v/>
      </c>
      <c r="CB72">
        <f>IF(ROW()-56&gt;MAX($CA$57:$CA$95),"",INDEX(Lists!$DK$4:$DK$42,MATCH(ROW()-56,$CA$57:$CA$95,0)))</f>
        <v/>
      </c>
      <c r="CC72">
        <f>CC71+IF(AND(Lists!$DP$19&lt;&gt;"",ISNUMBER(SEARCH($W$4,Lists!$DP$19))),1,0)</f>
        <v/>
      </c>
      <c r="CD72">
        <f>IF(ROW()-56&gt;MAX($CC$57:$CC$95),"",INDEX(Lists!$DP$4:$DP$42,MATCH(ROW()-56,$CC$57:$CC$95,0)))</f>
        <v/>
      </c>
      <c r="CE72">
        <f>CE71+IF(AND(Lists!$DU$19&lt;&gt;"",ISNUMBER(SEARCH($X$4,Lists!$DU$19))),1,0)</f>
        <v/>
      </c>
      <c r="CF72">
        <f>IF(ROW()-56&gt;MAX($CE$57:$CE$95),"",INDEX(Lists!$DU$4:$DU$42,MATCH(ROW()-56,$CE$57:$CE$95,0)))</f>
        <v/>
      </c>
      <c r="CG72">
        <f>CG71+IF(AND(Lists!$DZ$19&lt;&gt;"",ISNUMBER(SEARCH($Y$4,Lists!$DZ$19))),1,0)</f>
        <v/>
      </c>
      <c r="CH72">
        <f>IF(ROW()-56&gt;MAX($CG$57:$CG$95),"",INDEX(Lists!$DZ$4:$DZ$42,MATCH(ROW()-56,$CG$57:$CG$95,0)))</f>
        <v/>
      </c>
      <c r="CI72">
        <f>CI71+IF(AND(Lists!$EE$19&lt;&gt;"",ISNUMBER(SEARCH($Z$4,Lists!$EE$19))),1,0)</f>
        <v/>
      </c>
      <c r="CJ72">
        <f>IF(ROW()-56&gt;MAX($CI$57:$CI$95),"",INDEX(Lists!$EE$4:$EE$42,MATCH(ROW()-56,$CI$57:$CI$95,0)))</f>
        <v/>
      </c>
      <c r="CK72">
        <f>CK71+IF(AND(Lists!$EJ$19&lt;&gt;"",ISNUMBER(SEARCH($AA$4,Lists!$EJ$19))),1,0)</f>
        <v/>
      </c>
      <c r="CL72">
        <f>IF(ROW()-56&gt;MAX($CK$57:$CK$95),"",INDEX(Lists!$EJ$4:$EJ$42,MATCH(ROW()-56,$CK$57:$CK$95,0)))</f>
        <v/>
      </c>
      <c r="CM72">
        <f>CM71+IF(AND(Lists!$EO$19&lt;&gt;"",ISNUMBER(SEARCH($AB$4,Lists!$EO$19))),1,0)</f>
        <v/>
      </c>
      <c r="CN72">
        <f>IF(ROW()-56&gt;MAX($CM$57:$CM$95),"",INDEX(Lists!$EO$4:$EO$42,MATCH(ROW()-56,$CM$57:$CM$95,0)))</f>
        <v/>
      </c>
      <c r="CO72">
        <f>CO71+IF(AND(Lists!$ET$19&lt;&gt;"",ISNUMBER(SEARCH($AC$4,Lists!$ET$19))),1,0)</f>
        <v/>
      </c>
      <c r="CP72">
        <f>IF(ROW()-56&gt;MAX($CO$57:$CO$95),"",INDEX(Lists!$ET$4:$ET$42,MATCH(ROW()-56,$CO$57:$CO$95,0)))</f>
        <v/>
      </c>
      <c r="CQ72">
        <f>CQ71+IF(AND(Lists!$EY$19&lt;&gt;"",ISNUMBER(SEARCH($AD$4,Lists!$EY$19))),1,0)</f>
        <v/>
      </c>
      <c r="CR72">
        <f>IF(ROW()-56&gt;MAX($CQ$57:$CQ$95),"",INDEX(Lists!$EY$4:$EY$42,MATCH(ROW()-56,$CQ$57:$CQ$95,0)))</f>
        <v/>
      </c>
      <c r="CS72">
        <f>CS71+IF(AND(Lists!$FD$19&lt;&gt;"",ISNUMBER(SEARCH($AE$4,Lists!$FD$19))),1,0)</f>
        <v/>
      </c>
      <c r="CT72">
        <f>IF(ROW()-56&gt;MAX($CS$57:$CS$95),"",INDEX(Lists!$FD$4:$FD$42,MATCH(ROW()-56,$CS$57:$CS$95,0)))</f>
        <v/>
      </c>
      <c r="CU72">
        <f>CU71+IF(AND(Lists!$FI$19&lt;&gt;"",ISNUMBER(SEARCH($AG$4,Lists!$FI$19))),1,0)</f>
        <v/>
      </c>
      <c r="CV72">
        <f>IF(ROW()-56&gt;MAX($CU$57:$CU$95),"",INDEX(Lists!$FI$4:$FI$42,MATCH(ROW()-56,$CU$57:$CU$95,0)))</f>
        <v/>
      </c>
      <c r="CW72">
        <f>CW71+IF(AND(Lists!$FN$19&lt;&gt;"",ISNUMBER(SEARCH($AH$4,Lists!$FN$19))),1,0)</f>
        <v/>
      </c>
      <c r="CX72">
        <f>IF(ROW()-56&gt;MAX($CW$57:$CW$95),"",INDEX(Lists!$FN$4:$FN$42,MATCH(ROW()-56,$CW$57:$CW$95,0)))</f>
        <v/>
      </c>
      <c r="CY72">
        <f>CY71+IF(AND(Lists!$FS$19&lt;&gt;"",ISNUMBER(SEARCH($AI$4,Lists!$FS$19))),1,0)</f>
        <v/>
      </c>
      <c r="CZ72">
        <f>IF(ROW()-56&gt;MAX($CY$57:$CY$95),"",INDEX(Lists!$FS$4:$FS$42,MATCH(ROW()-56,$CY$57:$CY$95,0)))</f>
        <v/>
      </c>
      <c r="DA72">
        <f>DA71+IF(AND(Lists!$FX$19&lt;&gt;"",ISNUMBER(SEARCH($AF$4,Lists!$FX$19))),1,0)</f>
        <v/>
      </c>
      <c r="DB72">
        <f>IF(ROW()-56&gt;MAX($DA$57:$DA$95),"",INDEX(Lists!$FX$4:$FX$42,MATCH(ROW()-56,$DA$57:$DA$95,0)))</f>
        <v/>
      </c>
      <c r="DG72">
        <f>IF($B$4="",1,IF($B$4="(blank)",--('Final Calculation Sheet'!$F$17=""),IF($B$4="(nonblank)",--('Final Calculation Sheet'!$F$17&lt;&gt;""),--ISNUMBER(SEARCH($B$4,'Final Calculation Sheet'!$F$17)))))</f>
        <v/>
      </c>
      <c r="DH72">
        <f>IF($C$4="",1,IF($C$4="(blank)",--('Final Calculation Sheet'!$G$17=""),IF($C$4="(nonblank)",--('Final Calculation Sheet'!$G$17&lt;&gt;""),--ISNUMBER(SEARCH($C$4,'Final Calculation Sheet'!$G$17)))))</f>
        <v/>
      </c>
      <c r="DI72">
        <f>IF($D$4="",1,IF($D$4="(blank)",--('Final Calculation Sheet'!$B$17=""),IF($D$4="(nonblank)",--('Final Calculation Sheet'!$B$17&lt;&gt;""),--ISNUMBER(SEARCH($D$4,'Final Calculation Sheet'!$B$17)))))</f>
        <v/>
      </c>
      <c r="DJ72">
        <f>IF($E$4="",1,IF($E$4="(blank)",--('Final Calculation Sheet'!$D$17=""),IF($E$4="(nonblank)",--('Final Calculation Sheet'!$D$17&lt;&gt;""),--ISNUMBER(SEARCH($E$4,'Final Calculation Sheet'!$D$17)))))</f>
        <v/>
      </c>
      <c r="DK72">
        <f>IF($F$4="",1,IF($F$4="(blank)",--('Final Calculation Sheet'!$A$17=""),IF($F$4="(nonblank)",--('Final Calculation Sheet'!$A$17&lt;&gt;""),--ISNUMBER(SEARCH($F$4,'Final Calculation Sheet'!$A$17)))))</f>
        <v/>
      </c>
      <c r="DL72">
        <f>IF($G$4="",1,IF($G$4="(blank)",--('Final Calculation Sheet'!$E$17=""),IF($G$4="(nonblank)",--('Final Calculation Sheet'!$E$17&lt;&gt;""),--ISNUMBER(SEARCH($G$4,'Final Calculation Sheet'!$E$17)))))</f>
        <v/>
      </c>
      <c r="DM72">
        <f>IF($H$4="",1,IF($H$4="(blank)",--('Final Calculation Sheet'!$C$17=""),IF($H$4="(nonblank)",--('Final Calculation Sheet'!$C$17&lt;&gt;""),--ISNUMBER(SEARCH($H$4,'Final Calculation Sheet'!$C$17)))))</f>
        <v/>
      </c>
      <c r="DN72">
        <f>IF($I$4="",1,IF($I$4="(blank)",--('Final Calculation Sheet'!$H$17=""),IF($I$4="(nonblank)",--('Final Calculation Sheet'!$H$17&lt;&gt;""),--ISNUMBER(SEARCH($I$4,'Final Calculation Sheet'!$H$17)))))</f>
        <v/>
      </c>
      <c r="DO72">
        <f>IF($J$4="",1,IF($J$4="(blank)",--('Final Calculation Sheet'!$I$17=""),IF($J$4="(nonblank)",--('Final Calculation Sheet'!$I$17&lt;&gt;""),--ISNUMBER(SEARCH($J$4,'Final Calculation Sheet'!$I$17)))))</f>
        <v/>
      </c>
      <c r="DP72">
        <f>IF($K$4="",1,IF($K$4="(blank)",--('Final Calculation Sheet'!$J$17=""),IF($K$4="(nonblank)",--('Final Calculation Sheet'!$J$17&lt;&gt;""),--ISNUMBER(SEARCH($K$4,'Final Calculation Sheet'!$J$17)))))</f>
        <v/>
      </c>
      <c r="DQ72">
        <f>IF($L$4="",1,IF($L$4="(blank)",--('Final Calculation Sheet'!$K$17=""),IF($L$4="(nonblank)",--('Final Calculation Sheet'!$K$17&lt;&gt;""),--ISNUMBER(SEARCH($L$4,'Final Calculation Sheet'!$K$17)))))</f>
        <v/>
      </c>
      <c r="DR72">
        <f>IF($M$4="",1,IF($M$4="(blank)",--('Final Calculation Sheet'!$L$17=""),IF($M$4="(nonblank)",--('Final Calculation Sheet'!$L$17&lt;&gt;""),--ISNUMBER(SEARCH($M$4,'Final Calculation Sheet'!$L$17)))))</f>
        <v/>
      </c>
      <c r="DS72">
        <f>IF($N$4="",1,IF($N$4="(blank)",--('Final Calculation Sheet'!$M$17=""),IF($N$4="(nonblank)",--('Final Calculation Sheet'!$M$17&lt;&gt;""),--ISNUMBER(SEARCH($N$4,'Final Calculation Sheet'!$M$17)))))</f>
        <v/>
      </c>
      <c r="DT72">
        <f>IF($O$4="",1,IF($O$4="(blank)",--('Final Calculation Sheet'!$N$17=""),IF($O$4="(nonblank)",--('Final Calculation Sheet'!$N$17&lt;&gt;""),--ISNUMBER(SEARCH($O$4,'Final Calculation Sheet'!$N$17)))))</f>
        <v/>
      </c>
      <c r="DU72">
        <f>IF($P$4="",1,IF($P$4="(blank)",--('Final Calculation Sheet'!$O$17=""),IF($P$4="(nonblank)",--('Final Calculation Sheet'!$O$17&lt;&gt;""),--ISNUMBER(SEARCH($P$4,'Final Calculation Sheet'!$O$17)))))</f>
        <v/>
      </c>
      <c r="DV72">
        <f>IF($Q$4="",1,IF($Q$4="(blank)",--('Final Calculation Sheet'!$P$17=""),IF($Q$4="(nonblank)",--('Final Calculation Sheet'!$P$17&lt;&gt;""),--ISNUMBER(SEARCH($Q$4,'Final Calculation Sheet'!$P$17)))))</f>
        <v/>
      </c>
      <c r="DW72">
        <f>IF($R$4="",1,IF($R$4="(blank)",--('Final Calculation Sheet'!$Q$17=""),IF($R$4="(nonblank)",--('Final Calculation Sheet'!$Q$17&lt;&gt;""),--ISNUMBER(SEARCH($R$4,'Final Calculation Sheet'!$Q$17)))))</f>
        <v/>
      </c>
      <c r="DX72">
        <f>IF($S$4="",1,IF($S$4="(blank)",--('Final Calculation Sheet'!$R$17=""),IF($S$4="(nonblank)",--('Final Calculation Sheet'!$R$17&lt;&gt;""),--ISNUMBER(SEARCH($S$4,'Final Calculation Sheet'!$R$17)))))</f>
        <v/>
      </c>
      <c r="DY72">
        <f>IF($T$4="",1,IF($T$4="(blank)",--('Final Calculation Sheet'!$S$17=""),IF($T$4="(nonblank)",--('Final Calculation Sheet'!$S$17&lt;&gt;""),--ISNUMBER(SEARCH($T$4,'Final Calculation Sheet'!$S$17)))))</f>
        <v/>
      </c>
      <c r="DZ72">
        <f>IF($U$4="",1,IF($U$4="(blank)",--('Final Calculation Sheet'!$T$17=""),IF($U$4="(nonblank)",--('Final Calculation Sheet'!$T$17&lt;&gt;""),--ISNUMBER(SEARCH($U$4,'Final Calculation Sheet'!$T$17)))))</f>
        <v/>
      </c>
      <c r="EA72">
        <f>IF($V$4="",1,IF($V$4="(blank)",--('Final Calculation Sheet'!$U$17=""),IF($V$4="(nonblank)",--('Final Calculation Sheet'!$U$17&lt;&gt;""),--ISNUMBER(SEARCH($V$4,'Final Calculation Sheet'!$U$17)))))</f>
        <v/>
      </c>
      <c r="EB72">
        <f>IF($W$4="",1,IF($W$4="(blank)",--('Final Calculation Sheet'!$V$17=""),IF($W$4="(nonblank)",--('Final Calculation Sheet'!$V$17&lt;&gt;""),--ISNUMBER(SEARCH($W$4,'Final Calculation Sheet'!$V$17)))))</f>
        <v/>
      </c>
      <c r="EC72">
        <f>IF($X$4="",1,IF($X$4="(blank)",--('Final Calculation Sheet'!$W$17=""),IF($X$4="(nonblank)",--('Final Calculation Sheet'!$W$17&lt;&gt;""),--ISNUMBER(SEARCH($X$4,'Final Calculation Sheet'!$W$17)))))</f>
        <v/>
      </c>
      <c r="ED72">
        <f>IF($Y$4="",1,IF($Y$4="(blank)",--('Final Calculation Sheet'!$X$17=""),IF($Y$4="(nonblank)",--('Final Calculation Sheet'!$X$17&lt;&gt;""),--ISNUMBER(SEARCH($Y$4,'Final Calculation Sheet'!$X$17)))))</f>
        <v/>
      </c>
      <c r="EE72">
        <f>IF($Z$4="",1,IF($Z$4="(blank)",--('Final Calculation Sheet'!$Y$17=""),IF($Z$4="(nonblank)",--('Final Calculation Sheet'!$Y$17&lt;&gt;""),--ISNUMBER(SEARCH($Z$4,'Final Calculation Sheet'!$Y$17)))))</f>
        <v/>
      </c>
      <c r="EF72">
        <f>IF($AA$4="",1,IF($AA$4="(blank)",--('Final Calculation Sheet'!$Z$17=""),IF($AA$4="(nonblank)",--('Final Calculation Sheet'!$Z$17&lt;&gt;""),--ISNUMBER(SEARCH($AA$4,'Final Calculation Sheet'!$Z$17)))))</f>
        <v/>
      </c>
      <c r="EG72">
        <f>IF($AB$4="",1,IF($AB$4="(blank)",--('Final Calculation Sheet'!$AA$17=""),IF($AB$4="(nonblank)",--('Final Calculation Sheet'!$AA$17&lt;&gt;""),--ISNUMBER(SEARCH($AB$4,'Final Calculation Sheet'!$AA$17)))))</f>
        <v/>
      </c>
      <c r="EH72">
        <f>IF($AC$4="",1,IF($AC$4="(blank)",--('Final Calculation Sheet'!$AB$17=""),IF($AC$4="(nonblank)",--('Final Calculation Sheet'!$AB$17&lt;&gt;""),--ISNUMBER(SEARCH($AC$4,'Final Calculation Sheet'!$AB$17)))))</f>
        <v/>
      </c>
      <c r="EI72">
        <f>IF($AD$4="",1,IF($AD$4="(blank)",--('Final Calculation Sheet'!$AC$17=""),IF($AD$4="(nonblank)",--('Final Calculation Sheet'!$AC$17&lt;&gt;""),--ISNUMBER(SEARCH($AD$4,'Final Calculation Sheet'!$AC$17)))))</f>
        <v/>
      </c>
      <c r="EJ72">
        <f>IF($AE$4="",1,IF($AE$4="(blank)",--('Final Calculation Sheet'!$AD$17=""),IF($AE$4="(nonblank)",--('Final Calculation Sheet'!$AD$17&lt;&gt;""),--ISNUMBER(SEARCH($AE$4,'Final Calculation Sheet'!$AD$17)))))</f>
        <v/>
      </c>
      <c r="EK72">
        <f>IF($AF$4="",1,IF($AF$4="(blank)",--(IF('Final Calculation Sheet'!$AD$17&lt;=5,"SETTLED","OUTSTANDING")=""),IF($AF$4="(nonblank)",--(IF('Final Calculation Sheet'!$AD$17&lt;=5,"SETTLED","OUTSTANDING")&lt;&gt;""),--ISNUMBER(SEARCH($AF$4,IF('Final Calculation Sheet'!$AD$17&lt;=5,"SETTLED","OUTSTANDING"))))))</f>
        <v/>
      </c>
      <c r="EL72">
        <f>IF($AG$4="",1,IF($AG$4="(blank)",--('Final Calculation Sheet'!$AF$17=""),IF($AG$4="(nonblank)",--('Final Calculation Sheet'!$AF$17&lt;&gt;""),--ISNUMBER(SEARCH($AG$4,'Final Calculation Sheet'!$AF$17)))))</f>
        <v/>
      </c>
      <c r="EM72">
        <f>IF($AH$4="",1,IF($AH$4="(blank)",--('Final Calculation Sheet'!$AG$17=""),IF($AH$4="(nonblank)",--('Final Calculation Sheet'!$AG$17&lt;&gt;""),--ISNUMBER(SEARCH($AH$4,'Final Calculation Sheet'!$AG$17)))))</f>
        <v/>
      </c>
      <c r="EN72">
        <f>IF($AI$4="",1,IF($AI$4="(blank)",--('Final Calculation Sheet'!$AH$17=""),IF($AI$4="(nonblank)",--('Final Calculation Sheet'!$AH$17&lt;&gt;""),--ISNUMBER(SEARCH($AI$4,'Final Calculation Sheet'!$AH$17)))))</f>
        <v/>
      </c>
    </row>
    <row r="73">
      <c r="AM73">
        <f>AM72+IF(AND(Lists!$O$20&lt;&gt;"",ISNUMBER(SEARCH($B$4,Lists!$O$20))),1,0)</f>
        <v/>
      </c>
      <c r="AN73">
        <f>IF(ROW()-56&gt;MAX($AM$57:$AM$95),"",INDEX(Lists!$O$4:$O$42,MATCH(ROW()-56,$AM$57:$AM$95,0)))</f>
        <v/>
      </c>
      <c r="AO73">
        <f>AO72+IF(AND(Lists!$T$20&lt;&gt;"",ISNUMBER(SEARCH($C$4,Lists!$T$20))),1,0)</f>
        <v/>
      </c>
      <c r="AP73">
        <f>IF(ROW()-56&gt;MAX($AO$57:$AO$95),"",INDEX(Lists!$T$4:$T$42,MATCH(ROW()-56,$AO$57:$AO$95,0)))</f>
        <v/>
      </c>
      <c r="AQ73">
        <f>AQ72+IF(AND(Lists!$Y$20&lt;&gt;"",ISNUMBER(SEARCH($D$4,Lists!$Y$20))),1,0)</f>
        <v/>
      </c>
      <c r="AR73">
        <f>IF(ROW()-56&gt;MAX($AQ$57:$AQ$95),"",INDEX(Lists!$Y$4:$Y$42,MATCH(ROW()-56,$AQ$57:$AQ$95,0)))</f>
        <v/>
      </c>
      <c r="AS73">
        <f>AS72+IF(AND(Lists!$AD$20&lt;&gt;"",ISNUMBER(SEARCH($E$4,Lists!$AD$20))),1,0)</f>
        <v/>
      </c>
      <c r="AT73">
        <f>IF(ROW()-56&gt;MAX($AS$57:$AS$95),"",INDEX(Lists!$AD$4:$AD$42,MATCH(ROW()-56,$AS$57:$AS$95,0)))</f>
        <v/>
      </c>
      <c r="AU73">
        <f>AU72+IF(AND(Lists!$AI$20&lt;&gt;"",ISNUMBER(SEARCH($F$4,Lists!$AI$20))),1,0)</f>
        <v/>
      </c>
      <c r="AV73">
        <f>IF(ROW()-56&gt;MAX($AU$57:$AU$95),"",INDEX(Lists!$AI$4:$AI$42,MATCH(ROW()-56,$AU$57:$AU$95,0)))</f>
        <v/>
      </c>
      <c r="AW73">
        <f>AW72+IF(AND(Lists!$AN$20&lt;&gt;"",ISNUMBER(SEARCH($G$4,Lists!$AN$20))),1,0)</f>
        <v/>
      </c>
      <c r="AX73">
        <f>IF(ROW()-56&gt;MAX($AW$57:$AW$95),"",INDEX(Lists!$AN$4:$AN$42,MATCH(ROW()-56,$AW$57:$AW$95,0)))</f>
        <v/>
      </c>
      <c r="AY73">
        <f>AY72+IF(AND(Lists!$AS$20&lt;&gt;"",ISNUMBER(SEARCH($H$4,Lists!$AS$20))),1,0)</f>
        <v/>
      </c>
      <c r="AZ73">
        <f>IF(ROW()-56&gt;MAX($AY$57:$AY$95),"",INDEX(Lists!$AS$4:$AS$42,MATCH(ROW()-56,$AY$57:$AY$95,0)))</f>
        <v/>
      </c>
      <c r="BA73">
        <f>BA72+IF(AND(Lists!$AX$20&lt;&gt;"",ISNUMBER(SEARCH($I$4,Lists!$AX$20))),1,0)</f>
        <v/>
      </c>
      <c r="BB73">
        <f>IF(ROW()-56&gt;MAX($BA$57:$BA$95),"",INDEX(Lists!$AX$4:$AX$42,MATCH(ROW()-56,$BA$57:$BA$95,0)))</f>
        <v/>
      </c>
      <c r="BC73">
        <f>BC72+IF(AND(Lists!$BC$20&lt;&gt;"",ISNUMBER(SEARCH($J$4,Lists!$BC$20))),1,0)</f>
        <v/>
      </c>
      <c r="BD73">
        <f>IF(ROW()-56&gt;MAX($BC$57:$BC$95),"",INDEX(Lists!$BC$4:$BC$42,MATCH(ROW()-56,$BC$57:$BC$95,0)))</f>
        <v/>
      </c>
      <c r="BE73">
        <f>BE72+IF(AND(Lists!$BH$20&lt;&gt;"",ISNUMBER(SEARCH($K$4,Lists!$BH$20))),1,0)</f>
        <v/>
      </c>
      <c r="BF73">
        <f>IF(ROW()-56&gt;MAX($BE$57:$BE$95),"",INDEX(Lists!$BH$4:$BH$42,MATCH(ROW()-56,$BE$57:$BE$95,0)))</f>
        <v/>
      </c>
      <c r="BG73">
        <f>BG72+IF(AND(Lists!$BM$20&lt;&gt;"",ISNUMBER(SEARCH($L$4,Lists!$BM$20))),1,0)</f>
        <v/>
      </c>
      <c r="BH73">
        <f>IF(ROW()-56&gt;MAX($BG$57:$BG$95),"",INDEX(Lists!$BM$4:$BM$42,MATCH(ROW()-56,$BG$57:$BG$95,0)))</f>
        <v/>
      </c>
      <c r="BI73">
        <f>BI72+IF(AND(Lists!$BR$20&lt;&gt;"",ISNUMBER(SEARCH($M$4,Lists!$BR$20))),1,0)</f>
        <v/>
      </c>
      <c r="BJ73">
        <f>IF(ROW()-56&gt;MAX($BI$57:$BI$95),"",INDEX(Lists!$BR$4:$BR$42,MATCH(ROW()-56,$BI$57:$BI$95,0)))</f>
        <v/>
      </c>
      <c r="BK73">
        <f>BK72+IF(AND(Lists!$BW$20&lt;&gt;"",ISNUMBER(SEARCH($N$4,Lists!$BW$20))),1,0)</f>
        <v/>
      </c>
      <c r="BL73">
        <f>IF(ROW()-56&gt;MAX($BK$57:$BK$95),"",INDEX(Lists!$BW$4:$BW$42,MATCH(ROW()-56,$BK$57:$BK$95,0)))</f>
        <v/>
      </c>
      <c r="BM73">
        <f>BM72+IF(AND(Lists!$CB$20&lt;&gt;"",ISNUMBER(SEARCH($O$4,Lists!$CB$20))),1,0)</f>
        <v/>
      </c>
      <c r="BN73">
        <f>IF(ROW()-56&gt;MAX($BM$57:$BM$95),"",INDEX(Lists!$CB$4:$CB$42,MATCH(ROW()-56,$BM$57:$BM$95,0)))</f>
        <v/>
      </c>
      <c r="BO73">
        <f>BO72+IF(AND(Lists!$CG$20&lt;&gt;"",ISNUMBER(SEARCH($P$4,Lists!$CG$20))),1,0)</f>
        <v/>
      </c>
      <c r="BP73">
        <f>IF(ROW()-56&gt;MAX($BO$57:$BO$95),"",INDEX(Lists!$CG$4:$CG$42,MATCH(ROW()-56,$BO$57:$BO$95,0)))</f>
        <v/>
      </c>
      <c r="BQ73">
        <f>BQ72+IF(AND(Lists!$CL$20&lt;&gt;"",ISNUMBER(SEARCH($Q$4,Lists!$CL$20))),1,0)</f>
        <v/>
      </c>
      <c r="BR73">
        <f>IF(ROW()-56&gt;MAX($BQ$57:$BQ$95),"",INDEX(Lists!$CL$4:$CL$42,MATCH(ROW()-56,$BQ$57:$BQ$95,0)))</f>
        <v/>
      </c>
      <c r="BS73">
        <f>BS72+IF(AND(Lists!$CQ$20&lt;&gt;"",ISNUMBER(SEARCH($R$4,Lists!$CQ$20))),1,0)</f>
        <v/>
      </c>
      <c r="BT73">
        <f>IF(ROW()-56&gt;MAX($BS$57:$BS$95),"",INDEX(Lists!$CQ$4:$CQ$42,MATCH(ROW()-56,$BS$57:$BS$95,0)))</f>
        <v/>
      </c>
      <c r="BU73">
        <f>BU72+IF(AND(Lists!$CV$20&lt;&gt;"",ISNUMBER(SEARCH($S$4,Lists!$CV$20))),1,0)</f>
        <v/>
      </c>
      <c r="BV73">
        <f>IF(ROW()-56&gt;MAX($BU$57:$BU$95),"",INDEX(Lists!$CV$4:$CV$42,MATCH(ROW()-56,$BU$57:$BU$95,0)))</f>
        <v/>
      </c>
      <c r="BW73">
        <f>BW72+IF(AND(Lists!$DA$20&lt;&gt;"",ISNUMBER(SEARCH($T$4,Lists!$DA$20))),1,0)</f>
        <v/>
      </c>
      <c r="BX73">
        <f>IF(ROW()-56&gt;MAX($BW$57:$BW$95),"",INDEX(Lists!$DA$4:$DA$42,MATCH(ROW()-56,$BW$57:$BW$95,0)))</f>
        <v/>
      </c>
      <c r="BY73">
        <f>BY72+IF(AND(Lists!$DF$20&lt;&gt;"",ISNUMBER(SEARCH($U$4,Lists!$DF$20))),1,0)</f>
        <v/>
      </c>
      <c r="BZ73">
        <f>IF(ROW()-56&gt;MAX($BY$57:$BY$95),"",INDEX(Lists!$DF$4:$DF$42,MATCH(ROW()-56,$BY$57:$BY$95,0)))</f>
        <v/>
      </c>
      <c r="CA73">
        <f>CA72+IF(AND(Lists!$DK$20&lt;&gt;"",ISNUMBER(SEARCH($V$4,Lists!$DK$20))),1,0)</f>
        <v/>
      </c>
      <c r="CB73">
        <f>IF(ROW()-56&gt;MAX($CA$57:$CA$95),"",INDEX(Lists!$DK$4:$DK$42,MATCH(ROW()-56,$CA$57:$CA$95,0)))</f>
        <v/>
      </c>
      <c r="CC73">
        <f>CC72+IF(AND(Lists!$DP$20&lt;&gt;"",ISNUMBER(SEARCH($W$4,Lists!$DP$20))),1,0)</f>
        <v/>
      </c>
      <c r="CD73">
        <f>IF(ROW()-56&gt;MAX($CC$57:$CC$95),"",INDEX(Lists!$DP$4:$DP$42,MATCH(ROW()-56,$CC$57:$CC$95,0)))</f>
        <v/>
      </c>
      <c r="CE73">
        <f>CE72+IF(AND(Lists!$DU$20&lt;&gt;"",ISNUMBER(SEARCH($X$4,Lists!$DU$20))),1,0)</f>
        <v/>
      </c>
      <c r="CF73">
        <f>IF(ROW()-56&gt;MAX($CE$57:$CE$95),"",INDEX(Lists!$DU$4:$DU$42,MATCH(ROW()-56,$CE$57:$CE$95,0)))</f>
        <v/>
      </c>
      <c r="CG73">
        <f>CG72+IF(AND(Lists!$DZ$20&lt;&gt;"",ISNUMBER(SEARCH($Y$4,Lists!$DZ$20))),1,0)</f>
        <v/>
      </c>
      <c r="CH73">
        <f>IF(ROW()-56&gt;MAX($CG$57:$CG$95),"",INDEX(Lists!$DZ$4:$DZ$42,MATCH(ROW()-56,$CG$57:$CG$95,0)))</f>
        <v/>
      </c>
      <c r="CI73">
        <f>CI72+IF(AND(Lists!$EE$20&lt;&gt;"",ISNUMBER(SEARCH($Z$4,Lists!$EE$20))),1,0)</f>
        <v/>
      </c>
      <c r="CJ73">
        <f>IF(ROW()-56&gt;MAX($CI$57:$CI$95),"",INDEX(Lists!$EE$4:$EE$42,MATCH(ROW()-56,$CI$57:$CI$95,0)))</f>
        <v/>
      </c>
      <c r="CK73">
        <f>CK72+IF(AND(Lists!$EJ$20&lt;&gt;"",ISNUMBER(SEARCH($AA$4,Lists!$EJ$20))),1,0)</f>
        <v/>
      </c>
      <c r="CL73">
        <f>IF(ROW()-56&gt;MAX($CK$57:$CK$95),"",INDEX(Lists!$EJ$4:$EJ$42,MATCH(ROW()-56,$CK$57:$CK$95,0)))</f>
        <v/>
      </c>
      <c r="CM73">
        <f>CM72+IF(AND(Lists!$EO$20&lt;&gt;"",ISNUMBER(SEARCH($AB$4,Lists!$EO$20))),1,0)</f>
        <v/>
      </c>
      <c r="CN73">
        <f>IF(ROW()-56&gt;MAX($CM$57:$CM$95),"",INDEX(Lists!$EO$4:$EO$42,MATCH(ROW()-56,$CM$57:$CM$95,0)))</f>
        <v/>
      </c>
      <c r="CO73">
        <f>CO72+IF(AND(Lists!$ET$20&lt;&gt;"",ISNUMBER(SEARCH($AC$4,Lists!$ET$20))),1,0)</f>
        <v/>
      </c>
      <c r="CP73">
        <f>IF(ROW()-56&gt;MAX($CO$57:$CO$95),"",INDEX(Lists!$ET$4:$ET$42,MATCH(ROW()-56,$CO$57:$CO$95,0)))</f>
        <v/>
      </c>
      <c r="CQ73">
        <f>CQ72+IF(AND(Lists!$EY$20&lt;&gt;"",ISNUMBER(SEARCH($AD$4,Lists!$EY$20))),1,0)</f>
        <v/>
      </c>
      <c r="CR73">
        <f>IF(ROW()-56&gt;MAX($CQ$57:$CQ$95),"",INDEX(Lists!$EY$4:$EY$42,MATCH(ROW()-56,$CQ$57:$CQ$95,0)))</f>
        <v/>
      </c>
      <c r="CS73">
        <f>CS72+IF(AND(Lists!$FD$20&lt;&gt;"",ISNUMBER(SEARCH($AE$4,Lists!$FD$20))),1,0)</f>
        <v/>
      </c>
      <c r="CT73">
        <f>IF(ROW()-56&gt;MAX($CS$57:$CS$95),"",INDEX(Lists!$FD$4:$FD$42,MATCH(ROW()-56,$CS$57:$CS$95,0)))</f>
        <v/>
      </c>
      <c r="CU73">
        <f>CU72+IF(AND(Lists!$FI$20&lt;&gt;"",ISNUMBER(SEARCH($AG$4,Lists!$FI$20))),1,0)</f>
        <v/>
      </c>
      <c r="CV73">
        <f>IF(ROW()-56&gt;MAX($CU$57:$CU$95),"",INDEX(Lists!$FI$4:$FI$42,MATCH(ROW()-56,$CU$57:$CU$95,0)))</f>
        <v/>
      </c>
      <c r="CW73">
        <f>CW72+IF(AND(Lists!$FN$20&lt;&gt;"",ISNUMBER(SEARCH($AH$4,Lists!$FN$20))),1,0)</f>
        <v/>
      </c>
      <c r="CX73">
        <f>IF(ROW()-56&gt;MAX($CW$57:$CW$95),"",INDEX(Lists!$FN$4:$FN$42,MATCH(ROW()-56,$CW$57:$CW$95,0)))</f>
        <v/>
      </c>
      <c r="CY73">
        <f>CY72+IF(AND(Lists!$FS$20&lt;&gt;"",ISNUMBER(SEARCH($AI$4,Lists!$FS$20))),1,0)</f>
        <v/>
      </c>
      <c r="CZ73">
        <f>IF(ROW()-56&gt;MAX($CY$57:$CY$95),"",INDEX(Lists!$FS$4:$FS$42,MATCH(ROW()-56,$CY$57:$CY$95,0)))</f>
        <v/>
      </c>
      <c r="DA73">
        <f>DA72+IF(AND(Lists!$FX$20&lt;&gt;"",ISNUMBER(SEARCH($AF$4,Lists!$FX$20))),1,0)</f>
        <v/>
      </c>
      <c r="DB73">
        <f>IF(ROW()-56&gt;MAX($DA$57:$DA$95),"",INDEX(Lists!$FX$4:$FX$42,MATCH(ROW()-56,$DA$57:$DA$95,0)))</f>
        <v/>
      </c>
      <c r="DG73">
        <f>IF($B$4="",1,IF($B$4="(blank)",--('Final Calculation Sheet'!$F$18=""),IF($B$4="(nonblank)",--('Final Calculation Sheet'!$F$18&lt;&gt;""),--ISNUMBER(SEARCH($B$4,'Final Calculation Sheet'!$F$18)))))</f>
        <v/>
      </c>
      <c r="DH73">
        <f>IF($C$4="",1,IF($C$4="(blank)",--('Final Calculation Sheet'!$G$18=""),IF($C$4="(nonblank)",--('Final Calculation Sheet'!$G$18&lt;&gt;""),--ISNUMBER(SEARCH($C$4,'Final Calculation Sheet'!$G$18)))))</f>
        <v/>
      </c>
      <c r="DI73">
        <f>IF($D$4="",1,IF($D$4="(blank)",--('Final Calculation Sheet'!$B$18=""),IF($D$4="(nonblank)",--('Final Calculation Sheet'!$B$18&lt;&gt;""),--ISNUMBER(SEARCH($D$4,'Final Calculation Sheet'!$B$18)))))</f>
        <v/>
      </c>
      <c r="DJ73">
        <f>IF($E$4="",1,IF($E$4="(blank)",--('Final Calculation Sheet'!$D$18=""),IF($E$4="(nonblank)",--('Final Calculation Sheet'!$D$18&lt;&gt;""),--ISNUMBER(SEARCH($E$4,'Final Calculation Sheet'!$D$18)))))</f>
        <v/>
      </c>
      <c r="DK73">
        <f>IF($F$4="",1,IF($F$4="(blank)",--('Final Calculation Sheet'!$A$18=""),IF($F$4="(nonblank)",--('Final Calculation Sheet'!$A$18&lt;&gt;""),--ISNUMBER(SEARCH($F$4,'Final Calculation Sheet'!$A$18)))))</f>
        <v/>
      </c>
      <c r="DL73">
        <f>IF($G$4="",1,IF($G$4="(blank)",--('Final Calculation Sheet'!$E$18=""),IF($G$4="(nonblank)",--('Final Calculation Sheet'!$E$18&lt;&gt;""),--ISNUMBER(SEARCH($G$4,'Final Calculation Sheet'!$E$18)))))</f>
        <v/>
      </c>
      <c r="DM73">
        <f>IF($H$4="",1,IF($H$4="(blank)",--('Final Calculation Sheet'!$C$18=""),IF($H$4="(nonblank)",--('Final Calculation Sheet'!$C$18&lt;&gt;""),--ISNUMBER(SEARCH($H$4,'Final Calculation Sheet'!$C$18)))))</f>
        <v/>
      </c>
      <c r="DN73">
        <f>IF($I$4="",1,IF($I$4="(blank)",--('Final Calculation Sheet'!$H$18=""),IF($I$4="(nonblank)",--('Final Calculation Sheet'!$H$18&lt;&gt;""),--ISNUMBER(SEARCH($I$4,'Final Calculation Sheet'!$H$18)))))</f>
        <v/>
      </c>
      <c r="DO73">
        <f>IF($J$4="",1,IF($J$4="(blank)",--('Final Calculation Sheet'!$I$18=""),IF($J$4="(nonblank)",--('Final Calculation Sheet'!$I$18&lt;&gt;""),--ISNUMBER(SEARCH($J$4,'Final Calculation Sheet'!$I$18)))))</f>
        <v/>
      </c>
      <c r="DP73">
        <f>IF($K$4="",1,IF($K$4="(blank)",--('Final Calculation Sheet'!$J$18=""),IF($K$4="(nonblank)",--('Final Calculation Sheet'!$J$18&lt;&gt;""),--ISNUMBER(SEARCH($K$4,'Final Calculation Sheet'!$J$18)))))</f>
        <v/>
      </c>
      <c r="DQ73">
        <f>IF($L$4="",1,IF($L$4="(blank)",--('Final Calculation Sheet'!$K$18=""),IF($L$4="(nonblank)",--('Final Calculation Sheet'!$K$18&lt;&gt;""),--ISNUMBER(SEARCH($L$4,'Final Calculation Sheet'!$K$18)))))</f>
        <v/>
      </c>
      <c r="DR73">
        <f>IF($M$4="",1,IF($M$4="(blank)",--('Final Calculation Sheet'!$L$18=""),IF($M$4="(nonblank)",--('Final Calculation Sheet'!$L$18&lt;&gt;""),--ISNUMBER(SEARCH($M$4,'Final Calculation Sheet'!$L$18)))))</f>
        <v/>
      </c>
      <c r="DS73">
        <f>IF($N$4="",1,IF($N$4="(blank)",--('Final Calculation Sheet'!$M$18=""),IF($N$4="(nonblank)",--('Final Calculation Sheet'!$M$18&lt;&gt;""),--ISNUMBER(SEARCH($N$4,'Final Calculation Sheet'!$M$18)))))</f>
        <v/>
      </c>
      <c r="DT73">
        <f>IF($O$4="",1,IF($O$4="(blank)",--('Final Calculation Sheet'!$N$18=""),IF($O$4="(nonblank)",--('Final Calculation Sheet'!$N$18&lt;&gt;""),--ISNUMBER(SEARCH($O$4,'Final Calculation Sheet'!$N$18)))))</f>
        <v/>
      </c>
      <c r="DU73">
        <f>IF($P$4="",1,IF($P$4="(blank)",--('Final Calculation Sheet'!$O$18=""),IF($P$4="(nonblank)",--('Final Calculation Sheet'!$O$18&lt;&gt;""),--ISNUMBER(SEARCH($P$4,'Final Calculation Sheet'!$O$18)))))</f>
        <v/>
      </c>
      <c r="DV73">
        <f>IF($Q$4="",1,IF($Q$4="(blank)",--('Final Calculation Sheet'!$P$18=""),IF($Q$4="(nonblank)",--('Final Calculation Sheet'!$P$18&lt;&gt;""),--ISNUMBER(SEARCH($Q$4,'Final Calculation Sheet'!$P$18)))))</f>
        <v/>
      </c>
      <c r="DW73">
        <f>IF($R$4="",1,IF($R$4="(blank)",--('Final Calculation Sheet'!$Q$18=""),IF($R$4="(nonblank)",--('Final Calculation Sheet'!$Q$18&lt;&gt;""),--ISNUMBER(SEARCH($R$4,'Final Calculation Sheet'!$Q$18)))))</f>
        <v/>
      </c>
      <c r="DX73">
        <f>IF($S$4="",1,IF($S$4="(blank)",--('Final Calculation Sheet'!$R$18=""),IF($S$4="(nonblank)",--('Final Calculation Sheet'!$R$18&lt;&gt;""),--ISNUMBER(SEARCH($S$4,'Final Calculation Sheet'!$R$18)))))</f>
        <v/>
      </c>
      <c r="DY73">
        <f>IF($T$4="",1,IF($T$4="(blank)",--('Final Calculation Sheet'!$S$18=""),IF($T$4="(nonblank)",--('Final Calculation Sheet'!$S$18&lt;&gt;""),--ISNUMBER(SEARCH($T$4,'Final Calculation Sheet'!$S$18)))))</f>
        <v/>
      </c>
      <c r="DZ73">
        <f>IF($U$4="",1,IF($U$4="(blank)",--('Final Calculation Sheet'!$T$18=""),IF($U$4="(nonblank)",--('Final Calculation Sheet'!$T$18&lt;&gt;""),--ISNUMBER(SEARCH($U$4,'Final Calculation Sheet'!$T$18)))))</f>
        <v/>
      </c>
      <c r="EA73">
        <f>IF($V$4="",1,IF($V$4="(blank)",--('Final Calculation Sheet'!$U$18=""),IF($V$4="(nonblank)",--('Final Calculation Sheet'!$U$18&lt;&gt;""),--ISNUMBER(SEARCH($V$4,'Final Calculation Sheet'!$U$18)))))</f>
        <v/>
      </c>
      <c r="EB73">
        <f>IF($W$4="",1,IF($W$4="(blank)",--('Final Calculation Sheet'!$V$18=""),IF($W$4="(nonblank)",--('Final Calculation Sheet'!$V$18&lt;&gt;""),--ISNUMBER(SEARCH($W$4,'Final Calculation Sheet'!$V$18)))))</f>
        <v/>
      </c>
      <c r="EC73">
        <f>IF($X$4="",1,IF($X$4="(blank)",--('Final Calculation Sheet'!$W$18=""),IF($X$4="(nonblank)",--('Final Calculation Sheet'!$W$18&lt;&gt;""),--ISNUMBER(SEARCH($X$4,'Final Calculation Sheet'!$W$18)))))</f>
        <v/>
      </c>
      <c r="ED73">
        <f>IF($Y$4="",1,IF($Y$4="(blank)",--('Final Calculation Sheet'!$X$18=""),IF($Y$4="(nonblank)",--('Final Calculation Sheet'!$X$18&lt;&gt;""),--ISNUMBER(SEARCH($Y$4,'Final Calculation Sheet'!$X$18)))))</f>
        <v/>
      </c>
      <c r="EE73">
        <f>IF($Z$4="",1,IF($Z$4="(blank)",--('Final Calculation Sheet'!$Y$18=""),IF($Z$4="(nonblank)",--('Final Calculation Sheet'!$Y$18&lt;&gt;""),--ISNUMBER(SEARCH($Z$4,'Final Calculation Sheet'!$Y$18)))))</f>
        <v/>
      </c>
      <c r="EF73">
        <f>IF($AA$4="",1,IF($AA$4="(blank)",--('Final Calculation Sheet'!$Z$18=""),IF($AA$4="(nonblank)",--('Final Calculation Sheet'!$Z$18&lt;&gt;""),--ISNUMBER(SEARCH($AA$4,'Final Calculation Sheet'!$Z$18)))))</f>
        <v/>
      </c>
      <c r="EG73">
        <f>IF($AB$4="",1,IF($AB$4="(blank)",--('Final Calculation Sheet'!$AA$18=""),IF($AB$4="(nonblank)",--('Final Calculation Sheet'!$AA$18&lt;&gt;""),--ISNUMBER(SEARCH($AB$4,'Final Calculation Sheet'!$AA$18)))))</f>
        <v/>
      </c>
      <c r="EH73">
        <f>IF($AC$4="",1,IF($AC$4="(blank)",--('Final Calculation Sheet'!$AB$18=""),IF($AC$4="(nonblank)",--('Final Calculation Sheet'!$AB$18&lt;&gt;""),--ISNUMBER(SEARCH($AC$4,'Final Calculation Sheet'!$AB$18)))))</f>
        <v/>
      </c>
      <c r="EI73">
        <f>IF($AD$4="",1,IF($AD$4="(blank)",--('Final Calculation Sheet'!$AC$18=""),IF($AD$4="(nonblank)",--('Final Calculation Sheet'!$AC$18&lt;&gt;""),--ISNUMBER(SEARCH($AD$4,'Final Calculation Sheet'!$AC$18)))))</f>
        <v/>
      </c>
      <c r="EJ73">
        <f>IF($AE$4="",1,IF($AE$4="(blank)",--('Final Calculation Sheet'!$AD$18=""),IF($AE$4="(nonblank)",--('Final Calculation Sheet'!$AD$18&lt;&gt;""),--ISNUMBER(SEARCH($AE$4,'Final Calculation Sheet'!$AD$18)))))</f>
        <v/>
      </c>
      <c r="EK73">
        <f>IF($AF$4="",1,IF($AF$4="(blank)",--(IF('Final Calculation Sheet'!$AD$18&lt;=5,"SETTLED","OUTSTANDING")=""),IF($AF$4="(nonblank)",--(IF('Final Calculation Sheet'!$AD$18&lt;=5,"SETTLED","OUTSTANDING")&lt;&gt;""),--ISNUMBER(SEARCH($AF$4,IF('Final Calculation Sheet'!$AD$18&lt;=5,"SETTLED","OUTSTANDING"))))))</f>
        <v/>
      </c>
      <c r="EL73">
        <f>IF($AG$4="",1,IF($AG$4="(blank)",--('Final Calculation Sheet'!$AF$18=""),IF($AG$4="(nonblank)",--('Final Calculation Sheet'!$AF$18&lt;&gt;""),--ISNUMBER(SEARCH($AG$4,'Final Calculation Sheet'!$AF$18)))))</f>
        <v/>
      </c>
      <c r="EM73">
        <f>IF($AH$4="",1,IF($AH$4="(blank)",--('Final Calculation Sheet'!$AG$18=""),IF($AH$4="(nonblank)",--('Final Calculation Sheet'!$AG$18&lt;&gt;""),--ISNUMBER(SEARCH($AH$4,'Final Calculation Sheet'!$AG$18)))))</f>
        <v/>
      </c>
      <c r="EN73">
        <f>IF($AI$4="",1,IF($AI$4="(blank)",--('Final Calculation Sheet'!$AH$18=""),IF($AI$4="(nonblank)",--('Final Calculation Sheet'!$AH$18&lt;&gt;""),--ISNUMBER(SEARCH($AI$4,'Final Calculation Sheet'!$AH$18)))))</f>
        <v/>
      </c>
    </row>
    <row r="74">
      <c r="AM74">
        <f>AM73+IF(AND(Lists!$O$21&lt;&gt;"",ISNUMBER(SEARCH($B$4,Lists!$O$21))),1,0)</f>
        <v/>
      </c>
      <c r="AN74">
        <f>IF(ROW()-56&gt;MAX($AM$57:$AM$95),"",INDEX(Lists!$O$4:$O$42,MATCH(ROW()-56,$AM$57:$AM$95,0)))</f>
        <v/>
      </c>
      <c r="AO74">
        <f>AO73+IF(AND(Lists!$T$21&lt;&gt;"",ISNUMBER(SEARCH($C$4,Lists!$T$21))),1,0)</f>
        <v/>
      </c>
      <c r="AP74">
        <f>IF(ROW()-56&gt;MAX($AO$57:$AO$95),"",INDEX(Lists!$T$4:$T$42,MATCH(ROW()-56,$AO$57:$AO$95,0)))</f>
        <v/>
      </c>
      <c r="AQ74">
        <f>AQ73+IF(AND(Lists!$Y$21&lt;&gt;"",ISNUMBER(SEARCH($D$4,Lists!$Y$21))),1,0)</f>
        <v/>
      </c>
      <c r="AR74">
        <f>IF(ROW()-56&gt;MAX($AQ$57:$AQ$95),"",INDEX(Lists!$Y$4:$Y$42,MATCH(ROW()-56,$AQ$57:$AQ$95,0)))</f>
        <v/>
      </c>
      <c r="AS74">
        <f>AS73+IF(AND(Lists!$AD$21&lt;&gt;"",ISNUMBER(SEARCH($E$4,Lists!$AD$21))),1,0)</f>
        <v/>
      </c>
      <c r="AT74">
        <f>IF(ROW()-56&gt;MAX($AS$57:$AS$95),"",INDEX(Lists!$AD$4:$AD$42,MATCH(ROW()-56,$AS$57:$AS$95,0)))</f>
        <v/>
      </c>
      <c r="AU74">
        <f>AU73+IF(AND(Lists!$AI$21&lt;&gt;"",ISNUMBER(SEARCH($F$4,Lists!$AI$21))),1,0)</f>
        <v/>
      </c>
      <c r="AV74">
        <f>IF(ROW()-56&gt;MAX($AU$57:$AU$95),"",INDEX(Lists!$AI$4:$AI$42,MATCH(ROW()-56,$AU$57:$AU$95,0)))</f>
        <v/>
      </c>
      <c r="AW74">
        <f>AW73+IF(AND(Lists!$AN$21&lt;&gt;"",ISNUMBER(SEARCH($G$4,Lists!$AN$21))),1,0)</f>
        <v/>
      </c>
      <c r="AX74">
        <f>IF(ROW()-56&gt;MAX($AW$57:$AW$95),"",INDEX(Lists!$AN$4:$AN$42,MATCH(ROW()-56,$AW$57:$AW$95,0)))</f>
        <v/>
      </c>
      <c r="AY74">
        <f>AY73+IF(AND(Lists!$AS$21&lt;&gt;"",ISNUMBER(SEARCH($H$4,Lists!$AS$21))),1,0)</f>
        <v/>
      </c>
      <c r="AZ74">
        <f>IF(ROW()-56&gt;MAX($AY$57:$AY$95),"",INDEX(Lists!$AS$4:$AS$42,MATCH(ROW()-56,$AY$57:$AY$95,0)))</f>
        <v/>
      </c>
      <c r="BA74">
        <f>BA73+IF(AND(Lists!$AX$21&lt;&gt;"",ISNUMBER(SEARCH($I$4,Lists!$AX$21))),1,0)</f>
        <v/>
      </c>
      <c r="BB74">
        <f>IF(ROW()-56&gt;MAX($BA$57:$BA$95),"",INDEX(Lists!$AX$4:$AX$42,MATCH(ROW()-56,$BA$57:$BA$95,0)))</f>
        <v/>
      </c>
      <c r="BC74">
        <f>BC73+IF(AND(Lists!$BC$21&lt;&gt;"",ISNUMBER(SEARCH($J$4,Lists!$BC$21))),1,0)</f>
        <v/>
      </c>
      <c r="BD74">
        <f>IF(ROW()-56&gt;MAX($BC$57:$BC$95),"",INDEX(Lists!$BC$4:$BC$42,MATCH(ROW()-56,$BC$57:$BC$95,0)))</f>
        <v/>
      </c>
      <c r="BE74">
        <f>BE73+IF(AND(Lists!$BH$21&lt;&gt;"",ISNUMBER(SEARCH($K$4,Lists!$BH$21))),1,0)</f>
        <v/>
      </c>
      <c r="BF74">
        <f>IF(ROW()-56&gt;MAX($BE$57:$BE$95),"",INDEX(Lists!$BH$4:$BH$42,MATCH(ROW()-56,$BE$57:$BE$95,0)))</f>
        <v/>
      </c>
      <c r="BG74">
        <f>BG73+IF(AND(Lists!$BM$21&lt;&gt;"",ISNUMBER(SEARCH($L$4,Lists!$BM$21))),1,0)</f>
        <v/>
      </c>
      <c r="BH74">
        <f>IF(ROW()-56&gt;MAX($BG$57:$BG$95),"",INDEX(Lists!$BM$4:$BM$42,MATCH(ROW()-56,$BG$57:$BG$95,0)))</f>
        <v/>
      </c>
      <c r="BI74">
        <f>BI73+IF(AND(Lists!$BR$21&lt;&gt;"",ISNUMBER(SEARCH($M$4,Lists!$BR$21))),1,0)</f>
        <v/>
      </c>
      <c r="BJ74">
        <f>IF(ROW()-56&gt;MAX($BI$57:$BI$95),"",INDEX(Lists!$BR$4:$BR$42,MATCH(ROW()-56,$BI$57:$BI$95,0)))</f>
        <v/>
      </c>
      <c r="BK74">
        <f>BK73+IF(AND(Lists!$BW$21&lt;&gt;"",ISNUMBER(SEARCH($N$4,Lists!$BW$21))),1,0)</f>
        <v/>
      </c>
      <c r="BL74">
        <f>IF(ROW()-56&gt;MAX($BK$57:$BK$95),"",INDEX(Lists!$BW$4:$BW$42,MATCH(ROW()-56,$BK$57:$BK$95,0)))</f>
        <v/>
      </c>
      <c r="BM74">
        <f>BM73+IF(AND(Lists!$CB$21&lt;&gt;"",ISNUMBER(SEARCH($O$4,Lists!$CB$21))),1,0)</f>
        <v/>
      </c>
      <c r="BN74">
        <f>IF(ROW()-56&gt;MAX($BM$57:$BM$95),"",INDEX(Lists!$CB$4:$CB$42,MATCH(ROW()-56,$BM$57:$BM$95,0)))</f>
        <v/>
      </c>
      <c r="BO74">
        <f>BO73+IF(AND(Lists!$CG$21&lt;&gt;"",ISNUMBER(SEARCH($P$4,Lists!$CG$21))),1,0)</f>
        <v/>
      </c>
      <c r="BP74">
        <f>IF(ROW()-56&gt;MAX($BO$57:$BO$95),"",INDEX(Lists!$CG$4:$CG$42,MATCH(ROW()-56,$BO$57:$BO$95,0)))</f>
        <v/>
      </c>
      <c r="BQ74">
        <f>BQ73+IF(AND(Lists!$CL$21&lt;&gt;"",ISNUMBER(SEARCH($Q$4,Lists!$CL$21))),1,0)</f>
        <v/>
      </c>
      <c r="BR74">
        <f>IF(ROW()-56&gt;MAX($BQ$57:$BQ$95),"",INDEX(Lists!$CL$4:$CL$42,MATCH(ROW()-56,$BQ$57:$BQ$95,0)))</f>
        <v/>
      </c>
      <c r="BS74">
        <f>BS73+IF(AND(Lists!$CQ$21&lt;&gt;"",ISNUMBER(SEARCH($R$4,Lists!$CQ$21))),1,0)</f>
        <v/>
      </c>
      <c r="BT74">
        <f>IF(ROW()-56&gt;MAX($BS$57:$BS$95),"",INDEX(Lists!$CQ$4:$CQ$42,MATCH(ROW()-56,$BS$57:$BS$95,0)))</f>
        <v/>
      </c>
      <c r="BU74">
        <f>BU73+IF(AND(Lists!$CV$21&lt;&gt;"",ISNUMBER(SEARCH($S$4,Lists!$CV$21))),1,0)</f>
        <v/>
      </c>
      <c r="BV74">
        <f>IF(ROW()-56&gt;MAX($BU$57:$BU$95),"",INDEX(Lists!$CV$4:$CV$42,MATCH(ROW()-56,$BU$57:$BU$95,0)))</f>
        <v/>
      </c>
      <c r="BW74">
        <f>BW73+IF(AND(Lists!$DA$21&lt;&gt;"",ISNUMBER(SEARCH($T$4,Lists!$DA$21))),1,0)</f>
        <v/>
      </c>
      <c r="BX74">
        <f>IF(ROW()-56&gt;MAX($BW$57:$BW$95),"",INDEX(Lists!$DA$4:$DA$42,MATCH(ROW()-56,$BW$57:$BW$95,0)))</f>
        <v/>
      </c>
      <c r="BY74">
        <f>BY73+IF(AND(Lists!$DF$21&lt;&gt;"",ISNUMBER(SEARCH($U$4,Lists!$DF$21))),1,0)</f>
        <v/>
      </c>
      <c r="BZ74">
        <f>IF(ROW()-56&gt;MAX($BY$57:$BY$95),"",INDEX(Lists!$DF$4:$DF$42,MATCH(ROW()-56,$BY$57:$BY$95,0)))</f>
        <v/>
      </c>
      <c r="CA74">
        <f>CA73+IF(AND(Lists!$DK$21&lt;&gt;"",ISNUMBER(SEARCH($V$4,Lists!$DK$21))),1,0)</f>
        <v/>
      </c>
      <c r="CB74">
        <f>IF(ROW()-56&gt;MAX($CA$57:$CA$95),"",INDEX(Lists!$DK$4:$DK$42,MATCH(ROW()-56,$CA$57:$CA$95,0)))</f>
        <v/>
      </c>
      <c r="CC74">
        <f>CC73+IF(AND(Lists!$DP$21&lt;&gt;"",ISNUMBER(SEARCH($W$4,Lists!$DP$21))),1,0)</f>
        <v/>
      </c>
      <c r="CD74">
        <f>IF(ROW()-56&gt;MAX($CC$57:$CC$95),"",INDEX(Lists!$DP$4:$DP$42,MATCH(ROW()-56,$CC$57:$CC$95,0)))</f>
        <v/>
      </c>
      <c r="CE74">
        <f>CE73+IF(AND(Lists!$DU$21&lt;&gt;"",ISNUMBER(SEARCH($X$4,Lists!$DU$21))),1,0)</f>
        <v/>
      </c>
      <c r="CF74">
        <f>IF(ROW()-56&gt;MAX($CE$57:$CE$95),"",INDEX(Lists!$DU$4:$DU$42,MATCH(ROW()-56,$CE$57:$CE$95,0)))</f>
        <v/>
      </c>
      <c r="CG74">
        <f>CG73+IF(AND(Lists!$DZ$21&lt;&gt;"",ISNUMBER(SEARCH($Y$4,Lists!$DZ$21))),1,0)</f>
        <v/>
      </c>
      <c r="CH74">
        <f>IF(ROW()-56&gt;MAX($CG$57:$CG$95),"",INDEX(Lists!$DZ$4:$DZ$42,MATCH(ROW()-56,$CG$57:$CG$95,0)))</f>
        <v/>
      </c>
      <c r="CI74">
        <f>CI73+IF(AND(Lists!$EE$21&lt;&gt;"",ISNUMBER(SEARCH($Z$4,Lists!$EE$21))),1,0)</f>
        <v/>
      </c>
      <c r="CJ74">
        <f>IF(ROW()-56&gt;MAX($CI$57:$CI$95),"",INDEX(Lists!$EE$4:$EE$42,MATCH(ROW()-56,$CI$57:$CI$95,0)))</f>
        <v/>
      </c>
      <c r="CK74">
        <f>CK73+IF(AND(Lists!$EJ$21&lt;&gt;"",ISNUMBER(SEARCH($AA$4,Lists!$EJ$21))),1,0)</f>
        <v/>
      </c>
      <c r="CL74">
        <f>IF(ROW()-56&gt;MAX($CK$57:$CK$95),"",INDEX(Lists!$EJ$4:$EJ$42,MATCH(ROW()-56,$CK$57:$CK$95,0)))</f>
        <v/>
      </c>
      <c r="CM74">
        <f>CM73+IF(AND(Lists!$EO$21&lt;&gt;"",ISNUMBER(SEARCH($AB$4,Lists!$EO$21))),1,0)</f>
        <v/>
      </c>
      <c r="CN74">
        <f>IF(ROW()-56&gt;MAX($CM$57:$CM$95),"",INDEX(Lists!$EO$4:$EO$42,MATCH(ROW()-56,$CM$57:$CM$95,0)))</f>
        <v/>
      </c>
      <c r="CO74">
        <f>CO73+IF(AND(Lists!$ET$21&lt;&gt;"",ISNUMBER(SEARCH($AC$4,Lists!$ET$21))),1,0)</f>
        <v/>
      </c>
      <c r="CP74">
        <f>IF(ROW()-56&gt;MAX($CO$57:$CO$95),"",INDEX(Lists!$ET$4:$ET$42,MATCH(ROW()-56,$CO$57:$CO$95,0)))</f>
        <v/>
      </c>
      <c r="CQ74">
        <f>CQ73+IF(AND(Lists!$EY$21&lt;&gt;"",ISNUMBER(SEARCH($AD$4,Lists!$EY$21))),1,0)</f>
        <v/>
      </c>
      <c r="CR74">
        <f>IF(ROW()-56&gt;MAX($CQ$57:$CQ$95),"",INDEX(Lists!$EY$4:$EY$42,MATCH(ROW()-56,$CQ$57:$CQ$95,0)))</f>
        <v/>
      </c>
      <c r="CS74">
        <f>CS73+IF(AND(Lists!$FD$21&lt;&gt;"",ISNUMBER(SEARCH($AE$4,Lists!$FD$21))),1,0)</f>
        <v/>
      </c>
      <c r="CT74">
        <f>IF(ROW()-56&gt;MAX($CS$57:$CS$95),"",INDEX(Lists!$FD$4:$FD$42,MATCH(ROW()-56,$CS$57:$CS$95,0)))</f>
        <v/>
      </c>
      <c r="CU74">
        <f>CU73+IF(AND(Lists!$FI$21&lt;&gt;"",ISNUMBER(SEARCH($AG$4,Lists!$FI$21))),1,0)</f>
        <v/>
      </c>
      <c r="CV74">
        <f>IF(ROW()-56&gt;MAX($CU$57:$CU$95),"",INDEX(Lists!$FI$4:$FI$42,MATCH(ROW()-56,$CU$57:$CU$95,0)))</f>
        <v/>
      </c>
      <c r="CW74">
        <f>CW73+IF(AND(Lists!$FN$21&lt;&gt;"",ISNUMBER(SEARCH($AH$4,Lists!$FN$21))),1,0)</f>
        <v/>
      </c>
      <c r="CX74">
        <f>IF(ROW()-56&gt;MAX($CW$57:$CW$95),"",INDEX(Lists!$FN$4:$FN$42,MATCH(ROW()-56,$CW$57:$CW$95,0)))</f>
        <v/>
      </c>
      <c r="CY74">
        <f>CY73+IF(AND(Lists!$FS$21&lt;&gt;"",ISNUMBER(SEARCH($AI$4,Lists!$FS$21))),1,0)</f>
        <v/>
      </c>
      <c r="CZ74">
        <f>IF(ROW()-56&gt;MAX($CY$57:$CY$95),"",INDEX(Lists!$FS$4:$FS$42,MATCH(ROW()-56,$CY$57:$CY$95,0)))</f>
        <v/>
      </c>
      <c r="DA74">
        <f>DA73+IF(AND(Lists!$FX$21&lt;&gt;"",ISNUMBER(SEARCH($AF$4,Lists!$FX$21))),1,0)</f>
        <v/>
      </c>
      <c r="DB74">
        <f>IF(ROW()-56&gt;MAX($DA$57:$DA$95),"",INDEX(Lists!$FX$4:$FX$42,MATCH(ROW()-56,$DA$57:$DA$95,0)))</f>
        <v/>
      </c>
      <c r="DG74">
        <f>IF($B$4="",1,IF($B$4="(blank)",--('Final Calculation Sheet'!$F$19=""),IF($B$4="(nonblank)",--('Final Calculation Sheet'!$F$19&lt;&gt;""),--ISNUMBER(SEARCH($B$4,'Final Calculation Sheet'!$F$19)))))</f>
        <v/>
      </c>
      <c r="DH74">
        <f>IF($C$4="",1,IF($C$4="(blank)",--('Final Calculation Sheet'!$G$19=""),IF($C$4="(nonblank)",--('Final Calculation Sheet'!$G$19&lt;&gt;""),--ISNUMBER(SEARCH($C$4,'Final Calculation Sheet'!$G$19)))))</f>
        <v/>
      </c>
      <c r="DI74">
        <f>IF($D$4="",1,IF($D$4="(blank)",--('Final Calculation Sheet'!$B$19=""),IF($D$4="(nonblank)",--('Final Calculation Sheet'!$B$19&lt;&gt;""),--ISNUMBER(SEARCH($D$4,'Final Calculation Sheet'!$B$19)))))</f>
        <v/>
      </c>
      <c r="DJ74">
        <f>IF($E$4="",1,IF($E$4="(blank)",--('Final Calculation Sheet'!$D$19=""),IF($E$4="(nonblank)",--('Final Calculation Sheet'!$D$19&lt;&gt;""),--ISNUMBER(SEARCH($E$4,'Final Calculation Sheet'!$D$19)))))</f>
        <v/>
      </c>
      <c r="DK74">
        <f>IF($F$4="",1,IF($F$4="(blank)",--('Final Calculation Sheet'!$A$19=""),IF($F$4="(nonblank)",--('Final Calculation Sheet'!$A$19&lt;&gt;""),--ISNUMBER(SEARCH($F$4,'Final Calculation Sheet'!$A$19)))))</f>
        <v/>
      </c>
      <c r="DL74">
        <f>IF($G$4="",1,IF($G$4="(blank)",--('Final Calculation Sheet'!$E$19=""),IF($G$4="(nonblank)",--('Final Calculation Sheet'!$E$19&lt;&gt;""),--ISNUMBER(SEARCH($G$4,'Final Calculation Sheet'!$E$19)))))</f>
        <v/>
      </c>
      <c r="DM74">
        <f>IF($H$4="",1,IF($H$4="(blank)",--('Final Calculation Sheet'!$C$19=""),IF($H$4="(nonblank)",--('Final Calculation Sheet'!$C$19&lt;&gt;""),--ISNUMBER(SEARCH($H$4,'Final Calculation Sheet'!$C$19)))))</f>
        <v/>
      </c>
      <c r="DN74">
        <f>IF($I$4="",1,IF($I$4="(blank)",--('Final Calculation Sheet'!$H$19=""),IF($I$4="(nonblank)",--('Final Calculation Sheet'!$H$19&lt;&gt;""),--ISNUMBER(SEARCH($I$4,'Final Calculation Sheet'!$H$19)))))</f>
        <v/>
      </c>
      <c r="DO74">
        <f>IF($J$4="",1,IF($J$4="(blank)",--('Final Calculation Sheet'!$I$19=""),IF($J$4="(nonblank)",--('Final Calculation Sheet'!$I$19&lt;&gt;""),--ISNUMBER(SEARCH($J$4,'Final Calculation Sheet'!$I$19)))))</f>
        <v/>
      </c>
      <c r="DP74">
        <f>IF($K$4="",1,IF($K$4="(blank)",--('Final Calculation Sheet'!$J$19=""),IF($K$4="(nonblank)",--('Final Calculation Sheet'!$J$19&lt;&gt;""),--ISNUMBER(SEARCH($K$4,'Final Calculation Sheet'!$J$19)))))</f>
        <v/>
      </c>
      <c r="DQ74">
        <f>IF($L$4="",1,IF($L$4="(blank)",--('Final Calculation Sheet'!$K$19=""),IF($L$4="(nonblank)",--('Final Calculation Sheet'!$K$19&lt;&gt;""),--ISNUMBER(SEARCH($L$4,'Final Calculation Sheet'!$K$19)))))</f>
        <v/>
      </c>
      <c r="DR74">
        <f>IF($M$4="",1,IF($M$4="(blank)",--('Final Calculation Sheet'!$L$19=""),IF($M$4="(nonblank)",--('Final Calculation Sheet'!$L$19&lt;&gt;""),--ISNUMBER(SEARCH($M$4,'Final Calculation Sheet'!$L$19)))))</f>
        <v/>
      </c>
      <c r="DS74">
        <f>IF($N$4="",1,IF($N$4="(blank)",--('Final Calculation Sheet'!$M$19=""),IF($N$4="(nonblank)",--('Final Calculation Sheet'!$M$19&lt;&gt;""),--ISNUMBER(SEARCH($N$4,'Final Calculation Sheet'!$M$19)))))</f>
        <v/>
      </c>
      <c r="DT74">
        <f>IF($O$4="",1,IF($O$4="(blank)",--('Final Calculation Sheet'!$N$19=""),IF($O$4="(nonblank)",--('Final Calculation Sheet'!$N$19&lt;&gt;""),--ISNUMBER(SEARCH($O$4,'Final Calculation Sheet'!$N$19)))))</f>
        <v/>
      </c>
      <c r="DU74">
        <f>IF($P$4="",1,IF($P$4="(blank)",--('Final Calculation Sheet'!$O$19=""),IF($P$4="(nonblank)",--('Final Calculation Sheet'!$O$19&lt;&gt;""),--ISNUMBER(SEARCH($P$4,'Final Calculation Sheet'!$O$19)))))</f>
        <v/>
      </c>
      <c r="DV74">
        <f>IF($Q$4="",1,IF($Q$4="(blank)",--('Final Calculation Sheet'!$P$19=""),IF($Q$4="(nonblank)",--('Final Calculation Sheet'!$P$19&lt;&gt;""),--ISNUMBER(SEARCH($Q$4,'Final Calculation Sheet'!$P$19)))))</f>
        <v/>
      </c>
      <c r="DW74">
        <f>IF($R$4="",1,IF($R$4="(blank)",--('Final Calculation Sheet'!$Q$19=""),IF($R$4="(nonblank)",--('Final Calculation Sheet'!$Q$19&lt;&gt;""),--ISNUMBER(SEARCH($R$4,'Final Calculation Sheet'!$Q$19)))))</f>
        <v/>
      </c>
      <c r="DX74">
        <f>IF($S$4="",1,IF($S$4="(blank)",--('Final Calculation Sheet'!$R$19=""),IF($S$4="(nonblank)",--('Final Calculation Sheet'!$R$19&lt;&gt;""),--ISNUMBER(SEARCH($S$4,'Final Calculation Sheet'!$R$19)))))</f>
        <v/>
      </c>
      <c r="DY74">
        <f>IF($T$4="",1,IF($T$4="(blank)",--('Final Calculation Sheet'!$S$19=""),IF($T$4="(nonblank)",--('Final Calculation Sheet'!$S$19&lt;&gt;""),--ISNUMBER(SEARCH($T$4,'Final Calculation Sheet'!$S$19)))))</f>
        <v/>
      </c>
      <c r="DZ74">
        <f>IF($U$4="",1,IF($U$4="(blank)",--('Final Calculation Sheet'!$T$19=""),IF($U$4="(nonblank)",--('Final Calculation Sheet'!$T$19&lt;&gt;""),--ISNUMBER(SEARCH($U$4,'Final Calculation Sheet'!$T$19)))))</f>
        <v/>
      </c>
      <c r="EA74">
        <f>IF($V$4="",1,IF($V$4="(blank)",--('Final Calculation Sheet'!$U$19=""),IF($V$4="(nonblank)",--('Final Calculation Sheet'!$U$19&lt;&gt;""),--ISNUMBER(SEARCH($V$4,'Final Calculation Sheet'!$U$19)))))</f>
        <v/>
      </c>
      <c r="EB74">
        <f>IF($W$4="",1,IF($W$4="(blank)",--('Final Calculation Sheet'!$V$19=""),IF($W$4="(nonblank)",--('Final Calculation Sheet'!$V$19&lt;&gt;""),--ISNUMBER(SEARCH($W$4,'Final Calculation Sheet'!$V$19)))))</f>
        <v/>
      </c>
      <c r="EC74">
        <f>IF($X$4="",1,IF($X$4="(blank)",--('Final Calculation Sheet'!$W$19=""),IF($X$4="(nonblank)",--('Final Calculation Sheet'!$W$19&lt;&gt;""),--ISNUMBER(SEARCH($X$4,'Final Calculation Sheet'!$W$19)))))</f>
        <v/>
      </c>
      <c r="ED74">
        <f>IF($Y$4="",1,IF($Y$4="(blank)",--('Final Calculation Sheet'!$X$19=""),IF($Y$4="(nonblank)",--('Final Calculation Sheet'!$X$19&lt;&gt;""),--ISNUMBER(SEARCH($Y$4,'Final Calculation Sheet'!$X$19)))))</f>
        <v/>
      </c>
      <c r="EE74">
        <f>IF($Z$4="",1,IF($Z$4="(blank)",--('Final Calculation Sheet'!$Y$19=""),IF($Z$4="(nonblank)",--('Final Calculation Sheet'!$Y$19&lt;&gt;""),--ISNUMBER(SEARCH($Z$4,'Final Calculation Sheet'!$Y$19)))))</f>
        <v/>
      </c>
      <c r="EF74">
        <f>IF($AA$4="",1,IF($AA$4="(blank)",--('Final Calculation Sheet'!$Z$19=""),IF($AA$4="(nonblank)",--('Final Calculation Sheet'!$Z$19&lt;&gt;""),--ISNUMBER(SEARCH($AA$4,'Final Calculation Sheet'!$Z$19)))))</f>
        <v/>
      </c>
      <c r="EG74">
        <f>IF($AB$4="",1,IF($AB$4="(blank)",--('Final Calculation Sheet'!$AA$19=""),IF($AB$4="(nonblank)",--('Final Calculation Sheet'!$AA$19&lt;&gt;""),--ISNUMBER(SEARCH($AB$4,'Final Calculation Sheet'!$AA$19)))))</f>
        <v/>
      </c>
      <c r="EH74">
        <f>IF($AC$4="",1,IF($AC$4="(blank)",--('Final Calculation Sheet'!$AB$19=""),IF($AC$4="(nonblank)",--('Final Calculation Sheet'!$AB$19&lt;&gt;""),--ISNUMBER(SEARCH($AC$4,'Final Calculation Sheet'!$AB$19)))))</f>
        <v/>
      </c>
      <c r="EI74">
        <f>IF($AD$4="",1,IF($AD$4="(blank)",--('Final Calculation Sheet'!$AC$19=""),IF($AD$4="(nonblank)",--('Final Calculation Sheet'!$AC$19&lt;&gt;""),--ISNUMBER(SEARCH($AD$4,'Final Calculation Sheet'!$AC$19)))))</f>
        <v/>
      </c>
      <c r="EJ74">
        <f>IF($AE$4="",1,IF($AE$4="(blank)",--('Final Calculation Sheet'!$AD$19=""),IF($AE$4="(nonblank)",--('Final Calculation Sheet'!$AD$19&lt;&gt;""),--ISNUMBER(SEARCH($AE$4,'Final Calculation Sheet'!$AD$19)))))</f>
        <v/>
      </c>
      <c r="EK74">
        <f>IF($AF$4="",1,IF($AF$4="(blank)",--(IF('Final Calculation Sheet'!$AD$19&lt;=5,"SETTLED","OUTSTANDING")=""),IF($AF$4="(nonblank)",--(IF('Final Calculation Sheet'!$AD$19&lt;=5,"SETTLED","OUTSTANDING")&lt;&gt;""),--ISNUMBER(SEARCH($AF$4,IF('Final Calculation Sheet'!$AD$19&lt;=5,"SETTLED","OUTSTANDING"))))))</f>
        <v/>
      </c>
      <c r="EL74">
        <f>IF($AG$4="",1,IF($AG$4="(blank)",--('Final Calculation Sheet'!$AF$19=""),IF($AG$4="(nonblank)",--('Final Calculation Sheet'!$AF$19&lt;&gt;""),--ISNUMBER(SEARCH($AG$4,'Final Calculation Sheet'!$AF$19)))))</f>
        <v/>
      </c>
      <c r="EM74">
        <f>IF($AH$4="",1,IF($AH$4="(blank)",--('Final Calculation Sheet'!$AG$19=""),IF($AH$4="(nonblank)",--('Final Calculation Sheet'!$AG$19&lt;&gt;""),--ISNUMBER(SEARCH($AH$4,'Final Calculation Sheet'!$AG$19)))))</f>
        <v/>
      </c>
      <c r="EN74">
        <f>IF($AI$4="",1,IF($AI$4="(blank)",--('Final Calculation Sheet'!$AH$19=""),IF($AI$4="(nonblank)",--('Final Calculation Sheet'!$AH$19&lt;&gt;""),--ISNUMBER(SEARCH($AI$4,'Final Calculation Sheet'!$AH$19)))))</f>
        <v/>
      </c>
    </row>
    <row r="75">
      <c r="AM75">
        <f>AM74+IF(AND(Lists!$O$22&lt;&gt;"",ISNUMBER(SEARCH($B$4,Lists!$O$22))),1,0)</f>
        <v/>
      </c>
      <c r="AN75">
        <f>IF(ROW()-56&gt;MAX($AM$57:$AM$95),"",INDEX(Lists!$O$4:$O$42,MATCH(ROW()-56,$AM$57:$AM$95,0)))</f>
        <v/>
      </c>
      <c r="AO75">
        <f>AO74+IF(AND(Lists!$T$22&lt;&gt;"",ISNUMBER(SEARCH($C$4,Lists!$T$22))),1,0)</f>
        <v/>
      </c>
      <c r="AP75">
        <f>IF(ROW()-56&gt;MAX($AO$57:$AO$95),"",INDEX(Lists!$T$4:$T$42,MATCH(ROW()-56,$AO$57:$AO$95,0)))</f>
        <v/>
      </c>
      <c r="AQ75">
        <f>AQ74+IF(AND(Lists!$Y$22&lt;&gt;"",ISNUMBER(SEARCH($D$4,Lists!$Y$22))),1,0)</f>
        <v/>
      </c>
      <c r="AR75">
        <f>IF(ROW()-56&gt;MAX($AQ$57:$AQ$95),"",INDEX(Lists!$Y$4:$Y$42,MATCH(ROW()-56,$AQ$57:$AQ$95,0)))</f>
        <v/>
      </c>
      <c r="AS75">
        <f>AS74+IF(AND(Lists!$AD$22&lt;&gt;"",ISNUMBER(SEARCH($E$4,Lists!$AD$22))),1,0)</f>
        <v/>
      </c>
      <c r="AT75">
        <f>IF(ROW()-56&gt;MAX($AS$57:$AS$95),"",INDEX(Lists!$AD$4:$AD$42,MATCH(ROW()-56,$AS$57:$AS$95,0)))</f>
        <v/>
      </c>
      <c r="AU75">
        <f>AU74+IF(AND(Lists!$AI$22&lt;&gt;"",ISNUMBER(SEARCH($F$4,Lists!$AI$22))),1,0)</f>
        <v/>
      </c>
      <c r="AV75">
        <f>IF(ROW()-56&gt;MAX($AU$57:$AU$95),"",INDEX(Lists!$AI$4:$AI$42,MATCH(ROW()-56,$AU$57:$AU$95,0)))</f>
        <v/>
      </c>
      <c r="AW75">
        <f>AW74+IF(AND(Lists!$AN$22&lt;&gt;"",ISNUMBER(SEARCH($G$4,Lists!$AN$22))),1,0)</f>
        <v/>
      </c>
      <c r="AX75">
        <f>IF(ROW()-56&gt;MAX($AW$57:$AW$95),"",INDEX(Lists!$AN$4:$AN$42,MATCH(ROW()-56,$AW$57:$AW$95,0)))</f>
        <v/>
      </c>
      <c r="AY75">
        <f>AY74+IF(AND(Lists!$AS$22&lt;&gt;"",ISNUMBER(SEARCH($H$4,Lists!$AS$22))),1,0)</f>
        <v/>
      </c>
      <c r="AZ75">
        <f>IF(ROW()-56&gt;MAX($AY$57:$AY$95),"",INDEX(Lists!$AS$4:$AS$42,MATCH(ROW()-56,$AY$57:$AY$95,0)))</f>
        <v/>
      </c>
      <c r="BA75">
        <f>BA74+IF(AND(Lists!$AX$22&lt;&gt;"",ISNUMBER(SEARCH($I$4,Lists!$AX$22))),1,0)</f>
        <v/>
      </c>
      <c r="BB75">
        <f>IF(ROW()-56&gt;MAX($BA$57:$BA$95),"",INDEX(Lists!$AX$4:$AX$42,MATCH(ROW()-56,$BA$57:$BA$95,0)))</f>
        <v/>
      </c>
      <c r="BC75">
        <f>BC74+IF(AND(Lists!$BC$22&lt;&gt;"",ISNUMBER(SEARCH($J$4,Lists!$BC$22))),1,0)</f>
        <v/>
      </c>
      <c r="BD75">
        <f>IF(ROW()-56&gt;MAX($BC$57:$BC$95),"",INDEX(Lists!$BC$4:$BC$42,MATCH(ROW()-56,$BC$57:$BC$95,0)))</f>
        <v/>
      </c>
      <c r="BE75">
        <f>BE74+IF(AND(Lists!$BH$22&lt;&gt;"",ISNUMBER(SEARCH($K$4,Lists!$BH$22))),1,0)</f>
        <v/>
      </c>
      <c r="BF75">
        <f>IF(ROW()-56&gt;MAX($BE$57:$BE$95),"",INDEX(Lists!$BH$4:$BH$42,MATCH(ROW()-56,$BE$57:$BE$95,0)))</f>
        <v/>
      </c>
      <c r="BG75">
        <f>BG74+IF(AND(Lists!$BM$22&lt;&gt;"",ISNUMBER(SEARCH($L$4,Lists!$BM$22))),1,0)</f>
        <v/>
      </c>
      <c r="BH75">
        <f>IF(ROW()-56&gt;MAX($BG$57:$BG$95),"",INDEX(Lists!$BM$4:$BM$42,MATCH(ROW()-56,$BG$57:$BG$95,0)))</f>
        <v/>
      </c>
      <c r="BI75">
        <f>BI74+IF(AND(Lists!$BR$22&lt;&gt;"",ISNUMBER(SEARCH($M$4,Lists!$BR$22))),1,0)</f>
        <v/>
      </c>
      <c r="BJ75">
        <f>IF(ROW()-56&gt;MAX($BI$57:$BI$95),"",INDEX(Lists!$BR$4:$BR$42,MATCH(ROW()-56,$BI$57:$BI$95,0)))</f>
        <v/>
      </c>
      <c r="BK75">
        <f>BK74+IF(AND(Lists!$BW$22&lt;&gt;"",ISNUMBER(SEARCH($N$4,Lists!$BW$22))),1,0)</f>
        <v/>
      </c>
      <c r="BL75">
        <f>IF(ROW()-56&gt;MAX($BK$57:$BK$95),"",INDEX(Lists!$BW$4:$BW$42,MATCH(ROW()-56,$BK$57:$BK$95,0)))</f>
        <v/>
      </c>
      <c r="BM75">
        <f>BM74+IF(AND(Lists!$CB$22&lt;&gt;"",ISNUMBER(SEARCH($O$4,Lists!$CB$22))),1,0)</f>
        <v/>
      </c>
      <c r="BN75">
        <f>IF(ROW()-56&gt;MAX($BM$57:$BM$95),"",INDEX(Lists!$CB$4:$CB$42,MATCH(ROW()-56,$BM$57:$BM$95,0)))</f>
        <v/>
      </c>
      <c r="BO75">
        <f>BO74+IF(AND(Lists!$CG$22&lt;&gt;"",ISNUMBER(SEARCH($P$4,Lists!$CG$22))),1,0)</f>
        <v/>
      </c>
      <c r="BP75">
        <f>IF(ROW()-56&gt;MAX($BO$57:$BO$95),"",INDEX(Lists!$CG$4:$CG$42,MATCH(ROW()-56,$BO$57:$BO$95,0)))</f>
        <v/>
      </c>
      <c r="BQ75">
        <f>BQ74+IF(AND(Lists!$CL$22&lt;&gt;"",ISNUMBER(SEARCH($Q$4,Lists!$CL$22))),1,0)</f>
        <v/>
      </c>
      <c r="BR75">
        <f>IF(ROW()-56&gt;MAX($BQ$57:$BQ$95),"",INDEX(Lists!$CL$4:$CL$42,MATCH(ROW()-56,$BQ$57:$BQ$95,0)))</f>
        <v/>
      </c>
      <c r="BS75">
        <f>BS74+IF(AND(Lists!$CQ$22&lt;&gt;"",ISNUMBER(SEARCH($R$4,Lists!$CQ$22))),1,0)</f>
        <v/>
      </c>
      <c r="BT75">
        <f>IF(ROW()-56&gt;MAX($BS$57:$BS$95),"",INDEX(Lists!$CQ$4:$CQ$42,MATCH(ROW()-56,$BS$57:$BS$95,0)))</f>
        <v/>
      </c>
      <c r="BU75">
        <f>BU74+IF(AND(Lists!$CV$22&lt;&gt;"",ISNUMBER(SEARCH($S$4,Lists!$CV$22))),1,0)</f>
        <v/>
      </c>
      <c r="BV75">
        <f>IF(ROW()-56&gt;MAX($BU$57:$BU$95),"",INDEX(Lists!$CV$4:$CV$42,MATCH(ROW()-56,$BU$57:$BU$95,0)))</f>
        <v/>
      </c>
      <c r="BW75">
        <f>BW74+IF(AND(Lists!$DA$22&lt;&gt;"",ISNUMBER(SEARCH($T$4,Lists!$DA$22))),1,0)</f>
        <v/>
      </c>
      <c r="BX75">
        <f>IF(ROW()-56&gt;MAX($BW$57:$BW$95),"",INDEX(Lists!$DA$4:$DA$42,MATCH(ROW()-56,$BW$57:$BW$95,0)))</f>
        <v/>
      </c>
      <c r="BY75">
        <f>BY74+IF(AND(Lists!$DF$22&lt;&gt;"",ISNUMBER(SEARCH($U$4,Lists!$DF$22))),1,0)</f>
        <v/>
      </c>
      <c r="BZ75">
        <f>IF(ROW()-56&gt;MAX($BY$57:$BY$95),"",INDEX(Lists!$DF$4:$DF$42,MATCH(ROW()-56,$BY$57:$BY$95,0)))</f>
        <v/>
      </c>
      <c r="CA75">
        <f>CA74+IF(AND(Lists!$DK$22&lt;&gt;"",ISNUMBER(SEARCH($V$4,Lists!$DK$22))),1,0)</f>
        <v/>
      </c>
      <c r="CB75">
        <f>IF(ROW()-56&gt;MAX($CA$57:$CA$95),"",INDEX(Lists!$DK$4:$DK$42,MATCH(ROW()-56,$CA$57:$CA$95,0)))</f>
        <v/>
      </c>
      <c r="CC75">
        <f>CC74+IF(AND(Lists!$DP$22&lt;&gt;"",ISNUMBER(SEARCH($W$4,Lists!$DP$22))),1,0)</f>
        <v/>
      </c>
      <c r="CD75">
        <f>IF(ROW()-56&gt;MAX($CC$57:$CC$95),"",INDEX(Lists!$DP$4:$DP$42,MATCH(ROW()-56,$CC$57:$CC$95,0)))</f>
        <v/>
      </c>
      <c r="CE75">
        <f>CE74+IF(AND(Lists!$DU$22&lt;&gt;"",ISNUMBER(SEARCH($X$4,Lists!$DU$22))),1,0)</f>
        <v/>
      </c>
      <c r="CF75">
        <f>IF(ROW()-56&gt;MAX($CE$57:$CE$95),"",INDEX(Lists!$DU$4:$DU$42,MATCH(ROW()-56,$CE$57:$CE$95,0)))</f>
        <v/>
      </c>
      <c r="CG75">
        <f>CG74+IF(AND(Lists!$DZ$22&lt;&gt;"",ISNUMBER(SEARCH($Y$4,Lists!$DZ$22))),1,0)</f>
        <v/>
      </c>
      <c r="CH75">
        <f>IF(ROW()-56&gt;MAX($CG$57:$CG$95),"",INDEX(Lists!$DZ$4:$DZ$42,MATCH(ROW()-56,$CG$57:$CG$95,0)))</f>
        <v/>
      </c>
      <c r="CI75">
        <f>CI74+IF(AND(Lists!$EE$22&lt;&gt;"",ISNUMBER(SEARCH($Z$4,Lists!$EE$22))),1,0)</f>
        <v/>
      </c>
      <c r="CJ75">
        <f>IF(ROW()-56&gt;MAX($CI$57:$CI$95),"",INDEX(Lists!$EE$4:$EE$42,MATCH(ROW()-56,$CI$57:$CI$95,0)))</f>
        <v/>
      </c>
      <c r="CK75">
        <f>CK74+IF(AND(Lists!$EJ$22&lt;&gt;"",ISNUMBER(SEARCH($AA$4,Lists!$EJ$22))),1,0)</f>
        <v/>
      </c>
      <c r="CL75">
        <f>IF(ROW()-56&gt;MAX($CK$57:$CK$95),"",INDEX(Lists!$EJ$4:$EJ$42,MATCH(ROW()-56,$CK$57:$CK$95,0)))</f>
        <v/>
      </c>
      <c r="CM75">
        <f>CM74+IF(AND(Lists!$EO$22&lt;&gt;"",ISNUMBER(SEARCH($AB$4,Lists!$EO$22))),1,0)</f>
        <v/>
      </c>
      <c r="CN75">
        <f>IF(ROW()-56&gt;MAX($CM$57:$CM$95),"",INDEX(Lists!$EO$4:$EO$42,MATCH(ROW()-56,$CM$57:$CM$95,0)))</f>
        <v/>
      </c>
      <c r="CO75">
        <f>CO74+IF(AND(Lists!$ET$22&lt;&gt;"",ISNUMBER(SEARCH($AC$4,Lists!$ET$22))),1,0)</f>
        <v/>
      </c>
      <c r="CP75">
        <f>IF(ROW()-56&gt;MAX($CO$57:$CO$95),"",INDEX(Lists!$ET$4:$ET$42,MATCH(ROW()-56,$CO$57:$CO$95,0)))</f>
        <v/>
      </c>
      <c r="CQ75">
        <f>CQ74+IF(AND(Lists!$EY$22&lt;&gt;"",ISNUMBER(SEARCH($AD$4,Lists!$EY$22))),1,0)</f>
        <v/>
      </c>
      <c r="CR75">
        <f>IF(ROW()-56&gt;MAX($CQ$57:$CQ$95),"",INDEX(Lists!$EY$4:$EY$42,MATCH(ROW()-56,$CQ$57:$CQ$95,0)))</f>
        <v/>
      </c>
      <c r="CS75">
        <f>CS74+IF(AND(Lists!$FD$22&lt;&gt;"",ISNUMBER(SEARCH($AE$4,Lists!$FD$22))),1,0)</f>
        <v/>
      </c>
      <c r="CT75">
        <f>IF(ROW()-56&gt;MAX($CS$57:$CS$95),"",INDEX(Lists!$FD$4:$FD$42,MATCH(ROW()-56,$CS$57:$CS$95,0)))</f>
        <v/>
      </c>
      <c r="CU75">
        <f>CU74+IF(AND(Lists!$FI$22&lt;&gt;"",ISNUMBER(SEARCH($AG$4,Lists!$FI$22))),1,0)</f>
        <v/>
      </c>
      <c r="CV75">
        <f>IF(ROW()-56&gt;MAX($CU$57:$CU$95),"",INDEX(Lists!$FI$4:$FI$42,MATCH(ROW()-56,$CU$57:$CU$95,0)))</f>
        <v/>
      </c>
      <c r="CW75">
        <f>CW74+IF(AND(Lists!$FN$22&lt;&gt;"",ISNUMBER(SEARCH($AH$4,Lists!$FN$22))),1,0)</f>
        <v/>
      </c>
      <c r="CX75">
        <f>IF(ROW()-56&gt;MAX($CW$57:$CW$95),"",INDEX(Lists!$FN$4:$FN$42,MATCH(ROW()-56,$CW$57:$CW$95,0)))</f>
        <v/>
      </c>
      <c r="CY75">
        <f>CY74+IF(AND(Lists!$FS$22&lt;&gt;"",ISNUMBER(SEARCH($AI$4,Lists!$FS$22))),1,0)</f>
        <v/>
      </c>
      <c r="CZ75">
        <f>IF(ROW()-56&gt;MAX($CY$57:$CY$95),"",INDEX(Lists!$FS$4:$FS$42,MATCH(ROW()-56,$CY$57:$CY$95,0)))</f>
        <v/>
      </c>
      <c r="DA75">
        <f>DA74+IF(AND(Lists!$FX$22&lt;&gt;"",ISNUMBER(SEARCH($AF$4,Lists!$FX$22))),1,0)</f>
        <v/>
      </c>
      <c r="DB75">
        <f>IF(ROW()-56&gt;MAX($DA$57:$DA$95),"",INDEX(Lists!$FX$4:$FX$42,MATCH(ROW()-56,$DA$57:$DA$95,0)))</f>
        <v/>
      </c>
      <c r="DG75">
        <f>IF($B$4="",1,IF($B$4="(blank)",--('Final Calculation Sheet'!$F$20=""),IF($B$4="(nonblank)",--('Final Calculation Sheet'!$F$20&lt;&gt;""),--ISNUMBER(SEARCH($B$4,'Final Calculation Sheet'!$F$20)))))</f>
        <v/>
      </c>
      <c r="DH75">
        <f>IF($C$4="",1,IF($C$4="(blank)",--('Final Calculation Sheet'!$G$20=""),IF($C$4="(nonblank)",--('Final Calculation Sheet'!$G$20&lt;&gt;""),--ISNUMBER(SEARCH($C$4,'Final Calculation Sheet'!$G$20)))))</f>
        <v/>
      </c>
      <c r="DI75">
        <f>IF($D$4="",1,IF($D$4="(blank)",--('Final Calculation Sheet'!$B$20=""),IF($D$4="(nonblank)",--('Final Calculation Sheet'!$B$20&lt;&gt;""),--ISNUMBER(SEARCH($D$4,'Final Calculation Sheet'!$B$20)))))</f>
        <v/>
      </c>
      <c r="DJ75">
        <f>IF($E$4="",1,IF($E$4="(blank)",--('Final Calculation Sheet'!$D$20=""),IF($E$4="(nonblank)",--('Final Calculation Sheet'!$D$20&lt;&gt;""),--ISNUMBER(SEARCH($E$4,'Final Calculation Sheet'!$D$20)))))</f>
        <v/>
      </c>
      <c r="DK75">
        <f>IF($F$4="",1,IF($F$4="(blank)",--('Final Calculation Sheet'!$A$20=""),IF($F$4="(nonblank)",--('Final Calculation Sheet'!$A$20&lt;&gt;""),--ISNUMBER(SEARCH($F$4,'Final Calculation Sheet'!$A$20)))))</f>
        <v/>
      </c>
      <c r="DL75">
        <f>IF($G$4="",1,IF($G$4="(blank)",--('Final Calculation Sheet'!$E$20=""),IF($G$4="(nonblank)",--('Final Calculation Sheet'!$E$20&lt;&gt;""),--ISNUMBER(SEARCH($G$4,'Final Calculation Sheet'!$E$20)))))</f>
        <v/>
      </c>
      <c r="DM75">
        <f>IF($H$4="",1,IF($H$4="(blank)",--('Final Calculation Sheet'!$C$20=""),IF($H$4="(nonblank)",--('Final Calculation Sheet'!$C$20&lt;&gt;""),--ISNUMBER(SEARCH($H$4,'Final Calculation Sheet'!$C$20)))))</f>
        <v/>
      </c>
      <c r="DN75">
        <f>IF($I$4="",1,IF($I$4="(blank)",--('Final Calculation Sheet'!$H$20=""),IF($I$4="(nonblank)",--('Final Calculation Sheet'!$H$20&lt;&gt;""),--ISNUMBER(SEARCH($I$4,'Final Calculation Sheet'!$H$20)))))</f>
        <v/>
      </c>
      <c r="DO75">
        <f>IF($J$4="",1,IF($J$4="(blank)",--('Final Calculation Sheet'!$I$20=""),IF($J$4="(nonblank)",--('Final Calculation Sheet'!$I$20&lt;&gt;""),--ISNUMBER(SEARCH($J$4,'Final Calculation Sheet'!$I$20)))))</f>
        <v/>
      </c>
      <c r="DP75">
        <f>IF($K$4="",1,IF($K$4="(blank)",--('Final Calculation Sheet'!$J$20=""),IF($K$4="(nonblank)",--('Final Calculation Sheet'!$J$20&lt;&gt;""),--ISNUMBER(SEARCH($K$4,'Final Calculation Sheet'!$J$20)))))</f>
        <v/>
      </c>
      <c r="DQ75">
        <f>IF($L$4="",1,IF($L$4="(blank)",--('Final Calculation Sheet'!$K$20=""),IF($L$4="(nonblank)",--('Final Calculation Sheet'!$K$20&lt;&gt;""),--ISNUMBER(SEARCH($L$4,'Final Calculation Sheet'!$K$20)))))</f>
        <v/>
      </c>
      <c r="DR75">
        <f>IF($M$4="",1,IF($M$4="(blank)",--('Final Calculation Sheet'!$L$20=""),IF($M$4="(nonblank)",--('Final Calculation Sheet'!$L$20&lt;&gt;""),--ISNUMBER(SEARCH($M$4,'Final Calculation Sheet'!$L$20)))))</f>
        <v/>
      </c>
      <c r="DS75">
        <f>IF($N$4="",1,IF($N$4="(blank)",--('Final Calculation Sheet'!$M$20=""),IF($N$4="(nonblank)",--('Final Calculation Sheet'!$M$20&lt;&gt;""),--ISNUMBER(SEARCH($N$4,'Final Calculation Sheet'!$M$20)))))</f>
        <v/>
      </c>
      <c r="DT75">
        <f>IF($O$4="",1,IF($O$4="(blank)",--('Final Calculation Sheet'!$N$20=""),IF($O$4="(nonblank)",--('Final Calculation Sheet'!$N$20&lt;&gt;""),--ISNUMBER(SEARCH($O$4,'Final Calculation Sheet'!$N$20)))))</f>
        <v/>
      </c>
      <c r="DU75">
        <f>IF($P$4="",1,IF($P$4="(blank)",--('Final Calculation Sheet'!$O$20=""),IF($P$4="(nonblank)",--('Final Calculation Sheet'!$O$20&lt;&gt;""),--ISNUMBER(SEARCH($P$4,'Final Calculation Sheet'!$O$20)))))</f>
        <v/>
      </c>
      <c r="DV75">
        <f>IF($Q$4="",1,IF($Q$4="(blank)",--('Final Calculation Sheet'!$P$20=""),IF($Q$4="(nonblank)",--('Final Calculation Sheet'!$P$20&lt;&gt;""),--ISNUMBER(SEARCH($Q$4,'Final Calculation Sheet'!$P$20)))))</f>
        <v/>
      </c>
      <c r="DW75">
        <f>IF($R$4="",1,IF($R$4="(blank)",--('Final Calculation Sheet'!$Q$20=""),IF($R$4="(nonblank)",--('Final Calculation Sheet'!$Q$20&lt;&gt;""),--ISNUMBER(SEARCH($R$4,'Final Calculation Sheet'!$Q$20)))))</f>
        <v/>
      </c>
      <c r="DX75">
        <f>IF($S$4="",1,IF($S$4="(blank)",--('Final Calculation Sheet'!$R$20=""),IF($S$4="(nonblank)",--('Final Calculation Sheet'!$R$20&lt;&gt;""),--ISNUMBER(SEARCH($S$4,'Final Calculation Sheet'!$R$20)))))</f>
        <v/>
      </c>
      <c r="DY75">
        <f>IF($T$4="",1,IF($T$4="(blank)",--('Final Calculation Sheet'!$S$20=""),IF($T$4="(nonblank)",--('Final Calculation Sheet'!$S$20&lt;&gt;""),--ISNUMBER(SEARCH($T$4,'Final Calculation Sheet'!$S$20)))))</f>
        <v/>
      </c>
      <c r="DZ75">
        <f>IF($U$4="",1,IF($U$4="(blank)",--('Final Calculation Sheet'!$T$20=""),IF($U$4="(nonblank)",--('Final Calculation Sheet'!$T$20&lt;&gt;""),--ISNUMBER(SEARCH($U$4,'Final Calculation Sheet'!$T$20)))))</f>
        <v/>
      </c>
      <c r="EA75">
        <f>IF($V$4="",1,IF($V$4="(blank)",--('Final Calculation Sheet'!$U$20=""),IF($V$4="(nonblank)",--('Final Calculation Sheet'!$U$20&lt;&gt;""),--ISNUMBER(SEARCH($V$4,'Final Calculation Sheet'!$U$20)))))</f>
        <v/>
      </c>
      <c r="EB75">
        <f>IF($W$4="",1,IF($W$4="(blank)",--('Final Calculation Sheet'!$V$20=""),IF($W$4="(nonblank)",--('Final Calculation Sheet'!$V$20&lt;&gt;""),--ISNUMBER(SEARCH($W$4,'Final Calculation Sheet'!$V$20)))))</f>
        <v/>
      </c>
      <c r="EC75">
        <f>IF($X$4="",1,IF($X$4="(blank)",--('Final Calculation Sheet'!$W$20=""),IF($X$4="(nonblank)",--('Final Calculation Sheet'!$W$20&lt;&gt;""),--ISNUMBER(SEARCH($X$4,'Final Calculation Sheet'!$W$20)))))</f>
        <v/>
      </c>
      <c r="ED75">
        <f>IF($Y$4="",1,IF($Y$4="(blank)",--('Final Calculation Sheet'!$X$20=""),IF($Y$4="(nonblank)",--('Final Calculation Sheet'!$X$20&lt;&gt;""),--ISNUMBER(SEARCH($Y$4,'Final Calculation Sheet'!$X$20)))))</f>
        <v/>
      </c>
      <c r="EE75">
        <f>IF($Z$4="",1,IF($Z$4="(blank)",--('Final Calculation Sheet'!$Y$20=""),IF($Z$4="(nonblank)",--('Final Calculation Sheet'!$Y$20&lt;&gt;""),--ISNUMBER(SEARCH($Z$4,'Final Calculation Sheet'!$Y$20)))))</f>
        <v/>
      </c>
      <c r="EF75">
        <f>IF($AA$4="",1,IF($AA$4="(blank)",--('Final Calculation Sheet'!$Z$20=""),IF($AA$4="(nonblank)",--('Final Calculation Sheet'!$Z$20&lt;&gt;""),--ISNUMBER(SEARCH($AA$4,'Final Calculation Sheet'!$Z$20)))))</f>
        <v/>
      </c>
      <c r="EG75">
        <f>IF($AB$4="",1,IF($AB$4="(blank)",--('Final Calculation Sheet'!$AA$20=""),IF($AB$4="(nonblank)",--('Final Calculation Sheet'!$AA$20&lt;&gt;""),--ISNUMBER(SEARCH($AB$4,'Final Calculation Sheet'!$AA$20)))))</f>
        <v/>
      </c>
      <c r="EH75">
        <f>IF($AC$4="",1,IF($AC$4="(blank)",--('Final Calculation Sheet'!$AB$20=""),IF($AC$4="(nonblank)",--('Final Calculation Sheet'!$AB$20&lt;&gt;""),--ISNUMBER(SEARCH($AC$4,'Final Calculation Sheet'!$AB$20)))))</f>
        <v/>
      </c>
      <c r="EI75">
        <f>IF($AD$4="",1,IF($AD$4="(blank)",--('Final Calculation Sheet'!$AC$20=""),IF($AD$4="(nonblank)",--('Final Calculation Sheet'!$AC$20&lt;&gt;""),--ISNUMBER(SEARCH($AD$4,'Final Calculation Sheet'!$AC$20)))))</f>
        <v/>
      </c>
      <c r="EJ75">
        <f>IF($AE$4="",1,IF($AE$4="(blank)",--('Final Calculation Sheet'!$AD$20=""),IF($AE$4="(nonblank)",--('Final Calculation Sheet'!$AD$20&lt;&gt;""),--ISNUMBER(SEARCH($AE$4,'Final Calculation Sheet'!$AD$20)))))</f>
        <v/>
      </c>
      <c r="EK75">
        <f>IF($AF$4="",1,IF($AF$4="(blank)",--(IF('Final Calculation Sheet'!$AD$20&lt;=5,"SETTLED","OUTSTANDING")=""),IF($AF$4="(nonblank)",--(IF('Final Calculation Sheet'!$AD$20&lt;=5,"SETTLED","OUTSTANDING")&lt;&gt;""),--ISNUMBER(SEARCH($AF$4,IF('Final Calculation Sheet'!$AD$20&lt;=5,"SETTLED","OUTSTANDING"))))))</f>
        <v/>
      </c>
      <c r="EL75">
        <f>IF($AG$4="",1,IF($AG$4="(blank)",--('Final Calculation Sheet'!$AF$20=""),IF($AG$4="(nonblank)",--('Final Calculation Sheet'!$AF$20&lt;&gt;""),--ISNUMBER(SEARCH($AG$4,'Final Calculation Sheet'!$AF$20)))))</f>
        <v/>
      </c>
      <c r="EM75">
        <f>IF($AH$4="",1,IF($AH$4="(blank)",--('Final Calculation Sheet'!$AG$20=""),IF($AH$4="(nonblank)",--('Final Calculation Sheet'!$AG$20&lt;&gt;""),--ISNUMBER(SEARCH($AH$4,'Final Calculation Sheet'!$AG$20)))))</f>
        <v/>
      </c>
      <c r="EN75">
        <f>IF($AI$4="",1,IF($AI$4="(blank)",--('Final Calculation Sheet'!$AH$20=""),IF($AI$4="(nonblank)",--('Final Calculation Sheet'!$AH$20&lt;&gt;""),--ISNUMBER(SEARCH($AI$4,'Final Calculation Sheet'!$AH$20)))))</f>
        <v/>
      </c>
    </row>
    <row r="76">
      <c r="AM76">
        <f>AM75+IF(AND(Lists!$O$23&lt;&gt;"",ISNUMBER(SEARCH($B$4,Lists!$O$23))),1,0)</f>
        <v/>
      </c>
      <c r="AN76">
        <f>IF(ROW()-56&gt;MAX($AM$57:$AM$95),"",INDEX(Lists!$O$4:$O$42,MATCH(ROW()-56,$AM$57:$AM$95,0)))</f>
        <v/>
      </c>
      <c r="AO76">
        <f>AO75+IF(AND(Lists!$T$23&lt;&gt;"",ISNUMBER(SEARCH($C$4,Lists!$T$23))),1,0)</f>
        <v/>
      </c>
      <c r="AP76">
        <f>IF(ROW()-56&gt;MAX($AO$57:$AO$95),"",INDEX(Lists!$T$4:$T$42,MATCH(ROW()-56,$AO$57:$AO$95,0)))</f>
        <v/>
      </c>
      <c r="AQ76">
        <f>AQ75+IF(AND(Lists!$Y$23&lt;&gt;"",ISNUMBER(SEARCH($D$4,Lists!$Y$23))),1,0)</f>
        <v/>
      </c>
      <c r="AR76">
        <f>IF(ROW()-56&gt;MAX($AQ$57:$AQ$95),"",INDEX(Lists!$Y$4:$Y$42,MATCH(ROW()-56,$AQ$57:$AQ$95,0)))</f>
        <v/>
      </c>
      <c r="AS76">
        <f>AS75+IF(AND(Lists!$AD$23&lt;&gt;"",ISNUMBER(SEARCH($E$4,Lists!$AD$23))),1,0)</f>
        <v/>
      </c>
      <c r="AT76">
        <f>IF(ROW()-56&gt;MAX($AS$57:$AS$95),"",INDEX(Lists!$AD$4:$AD$42,MATCH(ROW()-56,$AS$57:$AS$95,0)))</f>
        <v/>
      </c>
      <c r="AU76">
        <f>AU75+IF(AND(Lists!$AI$23&lt;&gt;"",ISNUMBER(SEARCH($F$4,Lists!$AI$23))),1,0)</f>
        <v/>
      </c>
      <c r="AV76">
        <f>IF(ROW()-56&gt;MAX($AU$57:$AU$95),"",INDEX(Lists!$AI$4:$AI$42,MATCH(ROW()-56,$AU$57:$AU$95,0)))</f>
        <v/>
      </c>
      <c r="AW76">
        <f>AW75+IF(AND(Lists!$AN$23&lt;&gt;"",ISNUMBER(SEARCH($G$4,Lists!$AN$23))),1,0)</f>
        <v/>
      </c>
      <c r="AX76">
        <f>IF(ROW()-56&gt;MAX($AW$57:$AW$95),"",INDEX(Lists!$AN$4:$AN$42,MATCH(ROW()-56,$AW$57:$AW$95,0)))</f>
        <v/>
      </c>
      <c r="AY76">
        <f>AY75+IF(AND(Lists!$AS$23&lt;&gt;"",ISNUMBER(SEARCH($H$4,Lists!$AS$23))),1,0)</f>
        <v/>
      </c>
      <c r="AZ76">
        <f>IF(ROW()-56&gt;MAX($AY$57:$AY$95),"",INDEX(Lists!$AS$4:$AS$42,MATCH(ROW()-56,$AY$57:$AY$95,0)))</f>
        <v/>
      </c>
      <c r="BA76">
        <f>BA75+IF(AND(Lists!$AX$23&lt;&gt;"",ISNUMBER(SEARCH($I$4,Lists!$AX$23))),1,0)</f>
        <v/>
      </c>
      <c r="BB76">
        <f>IF(ROW()-56&gt;MAX($BA$57:$BA$95),"",INDEX(Lists!$AX$4:$AX$42,MATCH(ROW()-56,$BA$57:$BA$95,0)))</f>
        <v/>
      </c>
      <c r="BC76">
        <f>BC75+IF(AND(Lists!$BC$23&lt;&gt;"",ISNUMBER(SEARCH($J$4,Lists!$BC$23))),1,0)</f>
        <v/>
      </c>
      <c r="BD76">
        <f>IF(ROW()-56&gt;MAX($BC$57:$BC$95),"",INDEX(Lists!$BC$4:$BC$42,MATCH(ROW()-56,$BC$57:$BC$95,0)))</f>
        <v/>
      </c>
      <c r="BE76">
        <f>BE75+IF(AND(Lists!$BH$23&lt;&gt;"",ISNUMBER(SEARCH($K$4,Lists!$BH$23))),1,0)</f>
        <v/>
      </c>
      <c r="BF76">
        <f>IF(ROW()-56&gt;MAX($BE$57:$BE$95),"",INDEX(Lists!$BH$4:$BH$42,MATCH(ROW()-56,$BE$57:$BE$95,0)))</f>
        <v/>
      </c>
      <c r="BG76">
        <f>BG75+IF(AND(Lists!$BM$23&lt;&gt;"",ISNUMBER(SEARCH($L$4,Lists!$BM$23))),1,0)</f>
        <v/>
      </c>
      <c r="BH76">
        <f>IF(ROW()-56&gt;MAX($BG$57:$BG$95),"",INDEX(Lists!$BM$4:$BM$42,MATCH(ROW()-56,$BG$57:$BG$95,0)))</f>
        <v/>
      </c>
      <c r="BI76">
        <f>BI75+IF(AND(Lists!$BR$23&lt;&gt;"",ISNUMBER(SEARCH($M$4,Lists!$BR$23))),1,0)</f>
        <v/>
      </c>
      <c r="BJ76">
        <f>IF(ROW()-56&gt;MAX($BI$57:$BI$95),"",INDEX(Lists!$BR$4:$BR$42,MATCH(ROW()-56,$BI$57:$BI$95,0)))</f>
        <v/>
      </c>
      <c r="BK76">
        <f>BK75+IF(AND(Lists!$BW$23&lt;&gt;"",ISNUMBER(SEARCH($N$4,Lists!$BW$23))),1,0)</f>
        <v/>
      </c>
      <c r="BL76">
        <f>IF(ROW()-56&gt;MAX($BK$57:$BK$95),"",INDEX(Lists!$BW$4:$BW$42,MATCH(ROW()-56,$BK$57:$BK$95,0)))</f>
        <v/>
      </c>
      <c r="BM76">
        <f>BM75+IF(AND(Lists!$CB$23&lt;&gt;"",ISNUMBER(SEARCH($O$4,Lists!$CB$23))),1,0)</f>
        <v/>
      </c>
      <c r="BN76">
        <f>IF(ROW()-56&gt;MAX($BM$57:$BM$95),"",INDEX(Lists!$CB$4:$CB$42,MATCH(ROW()-56,$BM$57:$BM$95,0)))</f>
        <v/>
      </c>
      <c r="BO76">
        <f>BO75+IF(AND(Lists!$CG$23&lt;&gt;"",ISNUMBER(SEARCH($P$4,Lists!$CG$23))),1,0)</f>
        <v/>
      </c>
      <c r="BP76">
        <f>IF(ROW()-56&gt;MAX($BO$57:$BO$95),"",INDEX(Lists!$CG$4:$CG$42,MATCH(ROW()-56,$BO$57:$BO$95,0)))</f>
        <v/>
      </c>
      <c r="BQ76">
        <f>BQ75+IF(AND(Lists!$CL$23&lt;&gt;"",ISNUMBER(SEARCH($Q$4,Lists!$CL$23))),1,0)</f>
        <v/>
      </c>
      <c r="BR76">
        <f>IF(ROW()-56&gt;MAX($BQ$57:$BQ$95),"",INDEX(Lists!$CL$4:$CL$42,MATCH(ROW()-56,$BQ$57:$BQ$95,0)))</f>
        <v/>
      </c>
      <c r="BS76">
        <f>BS75+IF(AND(Lists!$CQ$23&lt;&gt;"",ISNUMBER(SEARCH($R$4,Lists!$CQ$23))),1,0)</f>
        <v/>
      </c>
      <c r="BT76">
        <f>IF(ROW()-56&gt;MAX($BS$57:$BS$95),"",INDEX(Lists!$CQ$4:$CQ$42,MATCH(ROW()-56,$BS$57:$BS$95,0)))</f>
        <v/>
      </c>
      <c r="BU76">
        <f>BU75+IF(AND(Lists!$CV$23&lt;&gt;"",ISNUMBER(SEARCH($S$4,Lists!$CV$23))),1,0)</f>
        <v/>
      </c>
      <c r="BV76">
        <f>IF(ROW()-56&gt;MAX($BU$57:$BU$95),"",INDEX(Lists!$CV$4:$CV$42,MATCH(ROW()-56,$BU$57:$BU$95,0)))</f>
        <v/>
      </c>
      <c r="BW76">
        <f>BW75+IF(AND(Lists!$DA$23&lt;&gt;"",ISNUMBER(SEARCH($T$4,Lists!$DA$23))),1,0)</f>
        <v/>
      </c>
      <c r="BX76">
        <f>IF(ROW()-56&gt;MAX($BW$57:$BW$95),"",INDEX(Lists!$DA$4:$DA$42,MATCH(ROW()-56,$BW$57:$BW$95,0)))</f>
        <v/>
      </c>
      <c r="BY76">
        <f>BY75+IF(AND(Lists!$DF$23&lt;&gt;"",ISNUMBER(SEARCH($U$4,Lists!$DF$23))),1,0)</f>
        <v/>
      </c>
      <c r="BZ76">
        <f>IF(ROW()-56&gt;MAX($BY$57:$BY$95),"",INDEX(Lists!$DF$4:$DF$42,MATCH(ROW()-56,$BY$57:$BY$95,0)))</f>
        <v/>
      </c>
      <c r="CA76">
        <f>CA75+IF(AND(Lists!$DK$23&lt;&gt;"",ISNUMBER(SEARCH($V$4,Lists!$DK$23))),1,0)</f>
        <v/>
      </c>
      <c r="CB76">
        <f>IF(ROW()-56&gt;MAX($CA$57:$CA$95),"",INDEX(Lists!$DK$4:$DK$42,MATCH(ROW()-56,$CA$57:$CA$95,0)))</f>
        <v/>
      </c>
      <c r="CC76">
        <f>CC75+IF(AND(Lists!$DP$23&lt;&gt;"",ISNUMBER(SEARCH($W$4,Lists!$DP$23))),1,0)</f>
        <v/>
      </c>
      <c r="CD76">
        <f>IF(ROW()-56&gt;MAX($CC$57:$CC$95),"",INDEX(Lists!$DP$4:$DP$42,MATCH(ROW()-56,$CC$57:$CC$95,0)))</f>
        <v/>
      </c>
      <c r="CE76">
        <f>CE75+IF(AND(Lists!$DU$23&lt;&gt;"",ISNUMBER(SEARCH($X$4,Lists!$DU$23))),1,0)</f>
        <v/>
      </c>
      <c r="CF76">
        <f>IF(ROW()-56&gt;MAX($CE$57:$CE$95),"",INDEX(Lists!$DU$4:$DU$42,MATCH(ROW()-56,$CE$57:$CE$95,0)))</f>
        <v/>
      </c>
      <c r="CG76">
        <f>CG75+IF(AND(Lists!$DZ$23&lt;&gt;"",ISNUMBER(SEARCH($Y$4,Lists!$DZ$23))),1,0)</f>
        <v/>
      </c>
      <c r="CH76">
        <f>IF(ROW()-56&gt;MAX($CG$57:$CG$95),"",INDEX(Lists!$DZ$4:$DZ$42,MATCH(ROW()-56,$CG$57:$CG$95,0)))</f>
        <v/>
      </c>
      <c r="CI76">
        <f>CI75+IF(AND(Lists!$EE$23&lt;&gt;"",ISNUMBER(SEARCH($Z$4,Lists!$EE$23))),1,0)</f>
        <v/>
      </c>
      <c r="CJ76">
        <f>IF(ROW()-56&gt;MAX($CI$57:$CI$95),"",INDEX(Lists!$EE$4:$EE$42,MATCH(ROW()-56,$CI$57:$CI$95,0)))</f>
        <v/>
      </c>
      <c r="CK76">
        <f>CK75+IF(AND(Lists!$EJ$23&lt;&gt;"",ISNUMBER(SEARCH($AA$4,Lists!$EJ$23))),1,0)</f>
        <v/>
      </c>
      <c r="CL76">
        <f>IF(ROW()-56&gt;MAX($CK$57:$CK$95),"",INDEX(Lists!$EJ$4:$EJ$42,MATCH(ROW()-56,$CK$57:$CK$95,0)))</f>
        <v/>
      </c>
      <c r="CM76">
        <f>CM75+IF(AND(Lists!$EO$23&lt;&gt;"",ISNUMBER(SEARCH($AB$4,Lists!$EO$23))),1,0)</f>
        <v/>
      </c>
      <c r="CN76">
        <f>IF(ROW()-56&gt;MAX($CM$57:$CM$95),"",INDEX(Lists!$EO$4:$EO$42,MATCH(ROW()-56,$CM$57:$CM$95,0)))</f>
        <v/>
      </c>
      <c r="CO76">
        <f>CO75+IF(AND(Lists!$ET$23&lt;&gt;"",ISNUMBER(SEARCH($AC$4,Lists!$ET$23))),1,0)</f>
        <v/>
      </c>
      <c r="CP76">
        <f>IF(ROW()-56&gt;MAX($CO$57:$CO$95),"",INDEX(Lists!$ET$4:$ET$42,MATCH(ROW()-56,$CO$57:$CO$95,0)))</f>
        <v/>
      </c>
      <c r="CQ76">
        <f>CQ75+IF(AND(Lists!$EY$23&lt;&gt;"",ISNUMBER(SEARCH($AD$4,Lists!$EY$23))),1,0)</f>
        <v/>
      </c>
      <c r="CR76">
        <f>IF(ROW()-56&gt;MAX($CQ$57:$CQ$95),"",INDEX(Lists!$EY$4:$EY$42,MATCH(ROW()-56,$CQ$57:$CQ$95,0)))</f>
        <v/>
      </c>
      <c r="CS76">
        <f>CS75+IF(AND(Lists!$FD$23&lt;&gt;"",ISNUMBER(SEARCH($AE$4,Lists!$FD$23))),1,0)</f>
        <v/>
      </c>
      <c r="CT76">
        <f>IF(ROW()-56&gt;MAX($CS$57:$CS$95),"",INDEX(Lists!$FD$4:$FD$42,MATCH(ROW()-56,$CS$57:$CS$95,0)))</f>
        <v/>
      </c>
      <c r="CU76">
        <f>CU75+IF(AND(Lists!$FI$23&lt;&gt;"",ISNUMBER(SEARCH($AG$4,Lists!$FI$23))),1,0)</f>
        <v/>
      </c>
      <c r="CV76">
        <f>IF(ROW()-56&gt;MAX($CU$57:$CU$95),"",INDEX(Lists!$FI$4:$FI$42,MATCH(ROW()-56,$CU$57:$CU$95,0)))</f>
        <v/>
      </c>
      <c r="CW76">
        <f>CW75+IF(AND(Lists!$FN$23&lt;&gt;"",ISNUMBER(SEARCH($AH$4,Lists!$FN$23))),1,0)</f>
        <v/>
      </c>
      <c r="CX76">
        <f>IF(ROW()-56&gt;MAX($CW$57:$CW$95),"",INDEX(Lists!$FN$4:$FN$42,MATCH(ROW()-56,$CW$57:$CW$95,0)))</f>
        <v/>
      </c>
      <c r="CY76">
        <f>CY75+IF(AND(Lists!$FS$23&lt;&gt;"",ISNUMBER(SEARCH($AI$4,Lists!$FS$23))),1,0)</f>
        <v/>
      </c>
      <c r="CZ76">
        <f>IF(ROW()-56&gt;MAX($CY$57:$CY$95),"",INDEX(Lists!$FS$4:$FS$42,MATCH(ROW()-56,$CY$57:$CY$95,0)))</f>
        <v/>
      </c>
      <c r="DA76">
        <f>DA75+IF(AND(Lists!$FX$23&lt;&gt;"",ISNUMBER(SEARCH($AF$4,Lists!$FX$23))),1,0)</f>
        <v/>
      </c>
      <c r="DB76">
        <f>IF(ROW()-56&gt;MAX($DA$57:$DA$95),"",INDEX(Lists!$FX$4:$FX$42,MATCH(ROW()-56,$DA$57:$DA$95,0)))</f>
        <v/>
      </c>
      <c r="DG76">
        <f>IF($B$4="",1,IF($B$4="(blank)",--('Final Calculation Sheet'!$F$21=""),IF($B$4="(nonblank)",--('Final Calculation Sheet'!$F$21&lt;&gt;""),--ISNUMBER(SEARCH($B$4,'Final Calculation Sheet'!$F$21)))))</f>
        <v/>
      </c>
      <c r="DH76">
        <f>IF($C$4="",1,IF($C$4="(blank)",--('Final Calculation Sheet'!$G$21=""),IF($C$4="(nonblank)",--('Final Calculation Sheet'!$G$21&lt;&gt;""),--ISNUMBER(SEARCH($C$4,'Final Calculation Sheet'!$G$21)))))</f>
        <v/>
      </c>
      <c r="DI76">
        <f>IF($D$4="",1,IF($D$4="(blank)",--('Final Calculation Sheet'!$B$21=""),IF($D$4="(nonblank)",--('Final Calculation Sheet'!$B$21&lt;&gt;""),--ISNUMBER(SEARCH($D$4,'Final Calculation Sheet'!$B$21)))))</f>
        <v/>
      </c>
      <c r="DJ76">
        <f>IF($E$4="",1,IF($E$4="(blank)",--('Final Calculation Sheet'!$D$21=""),IF($E$4="(nonblank)",--('Final Calculation Sheet'!$D$21&lt;&gt;""),--ISNUMBER(SEARCH($E$4,'Final Calculation Sheet'!$D$21)))))</f>
        <v/>
      </c>
      <c r="DK76">
        <f>IF($F$4="",1,IF($F$4="(blank)",--('Final Calculation Sheet'!$A$21=""),IF($F$4="(nonblank)",--('Final Calculation Sheet'!$A$21&lt;&gt;""),--ISNUMBER(SEARCH($F$4,'Final Calculation Sheet'!$A$21)))))</f>
        <v/>
      </c>
      <c r="DL76">
        <f>IF($G$4="",1,IF($G$4="(blank)",--('Final Calculation Sheet'!$E$21=""),IF($G$4="(nonblank)",--('Final Calculation Sheet'!$E$21&lt;&gt;""),--ISNUMBER(SEARCH($G$4,'Final Calculation Sheet'!$E$21)))))</f>
        <v/>
      </c>
      <c r="DM76">
        <f>IF($H$4="",1,IF($H$4="(blank)",--('Final Calculation Sheet'!$C$21=""),IF($H$4="(nonblank)",--('Final Calculation Sheet'!$C$21&lt;&gt;""),--ISNUMBER(SEARCH($H$4,'Final Calculation Sheet'!$C$21)))))</f>
        <v/>
      </c>
      <c r="DN76">
        <f>IF($I$4="",1,IF($I$4="(blank)",--('Final Calculation Sheet'!$H$21=""),IF($I$4="(nonblank)",--('Final Calculation Sheet'!$H$21&lt;&gt;""),--ISNUMBER(SEARCH($I$4,'Final Calculation Sheet'!$H$21)))))</f>
        <v/>
      </c>
      <c r="DO76">
        <f>IF($J$4="",1,IF($J$4="(blank)",--('Final Calculation Sheet'!$I$21=""),IF($J$4="(nonblank)",--('Final Calculation Sheet'!$I$21&lt;&gt;""),--ISNUMBER(SEARCH($J$4,'Final Calculation Sheet'!$I$21)))))</f>
        <v/>
      </c>
      <c r="DP76">
        <f>IF($K$4="",1,IF($K$4="(blank)",--('Final Calculation Sheet'!$J$21=""),IF($K$4="(nonblank)",--('Final Calculation Sheet'!$J$21&lt;&gt;""),--ISNUMBER(SEARCH($K$4,'Final Calculation Sheet'!$J$21)))))</f>
        <v/>
      </c>
      <c r="DQ76">
        <f>IF($L$4="",1,IF($L$4="(blank)",--('Final Calculation Sheet'!$K$21=""),IF($L$4="(nonblank)",--('Final Calculation Sheet'!$K$21&lt;&gt;""),--ISNUMBER(SEARCH($L$4,'Final Calculation Sheet'!$K$21)))))</f>
        <v/>
      </c>
      <c r="DR76">
        <f>IF($M$4="",1,IF($M$4="(blank)",--('Final Calculation Sheet'!$L$21=""),IF($M$4="(nonblank)",--('Final Calculation Sheet'!$L$21&lt;&gt;""),--ISNUMBER(SEARCH($M$4,'Final Calculation Sheet'!$L$21)))))</f>
        <v/>
      </c>
      <c r="DS76">
        <f>IF($N$4="",1,IF($N$4="(blank)",--('Final Calculation Sheet'!$M$21=""),IF($N$4="(nonblank)",--('Final Calculation Sheet'!$M$21&lt;&gt;""),--ISNUMBER(SEARCH($N$4,'Final Calculation Sheet'!$M$21)))))</f>
        <v/>
      </c>
      <c r="DT76">
        <f>IF($O$4="",1,IF($O$4="(blank)",--('Final Calculation Sheet'!$N$21=""),IF($O$4="(nonblank)",--('Final Calculation Sheet'!$N$21&lt;&gt;""),--ISNUMBER(SEARCH($O$4,'Final Calculation Sheet'!$N$21)))))</f>
        <v/>
      </c>
      <c r="DU76">
        <f>IF($P$4="",1,IF($P$4="(blank)",--('Final Calculation Sheet'!$O$21=""),IF($P$4="(nonblank)",--('Final Calculation Sheet'!$O$21&lt;&gt;""),--ISNUMBER(SEARCH($P$4,'Final Calculation Sheet'!$O$21)))))</f>
        <v/>
      </c>
      <c r="DV76">
        <f>IF($Q$4="",1,IF($Q$4="(blank)",--('Final Calculation Sheet'!$P$21=""),IF($Q$4="(nonblank)",--('Final Calculation Sheet'!$P$21&lt;&gt;""),--ISNUMBER(SEARCH($Q$4,'Final Calculation Sheet'!$P$21)))))</f>
        <v/>
      </c>
      <c r="DW76">
        <f>IF($R$4="",1,IF($R$4="(blank)",--('Final Calculation Sheet'!$Q$21=""),IF($R$4="(nonblank)",--('Final Calculation Sheet'!$Q$21&lt;&gt;""),--ISNUMBER(SEARCH($R$4,'Final Calculation Sheet'!$Q$21)))))</f>
        <v/>
      </c>
      <c r="DX76">
        <f>IF($S$4="",1,IF($S$4="(blank)",--('Final Calculation Sheet'!$R$21=""),IF($S$4="(nonblank)",--('Final Calculation Sheet'!$R$21&lt;&gt;""),--ISNUMBER(SEARCH($S$4,'Final Calculation Sheet'!$R$21)))))</f>
        <v/>
      </c>
      <c r="DY76">
        <f>IF($T$4="",1,IF($T$4="(blank)",--('Final Calculation Sheet'!$S$21=""),IF($T$4="(nonblank)",--('Final Calculation Sheet'!$S$21&lt;&gt;""),--ISNUMBER(SEARCH($T$4,'Final Calculation Sheet'!$S$21)))))</f>
        <v/>
      </c>
      <c r="DZ76">
        <f>IF($U$4="",1,IF($U$4="(blank)",--('Final Calculation Sheet'!$T$21=""),IF($U$4="(nonblank)",--('Final Calculation Sheet'!$T$21&lt;&gt;""),--ISNUMBER(SEARCH($U$4,'Final Calculation Sheet'!$T$21)))))</f>
        <v/>
      </c>
      <c r="EA76">
        <f>IF($V$4="",1,IF($V$4="(blank)",--('Final Calculation Sheet'!$U$21=""),IF($V$4="(nonblank)",--('Final Calculation Sheet'!$U$21&lt;&gt;""),--ISNUMBER(SEARCH($V$4,'Final Calculation Sheet'!$U$21)))))</f>
        <v/>
      </c>
      <c r="EB76">
        <f>IF($W$4="",1,IF($W$4="(blank)",--('Final Calculation Sheet'!$V$21=""),IF($W$4="(nonblank)",--('Final Calculation Sheet'!$V$21&lt;&gt;""),--ISNUMBER(SEARCH($W$4,'Final Calculation Sheet'!$V$21)))))</f>
        <v/>
      </c>
      <c r="EC76">
        <f>IF($X$4="",1,IF($X$4="(blank)",--('Final Calculation Sheet'!$W$21=""),IF($X$4="(nonblank)",--('Final Calculation Sheet'!$W$21&lt;&gt;""),--ISNUMBER(SEARCH($X$4,'Final Calculation Sheet'!$W$21)))))</f>
        <v/>
      </c>
      <c r="ED76">
        <f>IF($Y$4="",1,IF($Y$4="(blank)",--('Final Calculation Sheet'!$X$21=""),IF($Y$4="(nonblank)",--('Final Calculation Sheet'!$X$21&lt;&gt;""),--ISNUMBER(SEARCH($Y$4,'Final Calculation Sheet'!$X$21)))))</f>
        <v/>
      </c>
      <c r="EE76">
        <f>IF($Z$4="",1,IF($Z$4="(blank)",--('Final Calculation Sheet'!$Y$21=""),IF($Z$4="(nonblank)",--('Final Calculation Sheet'!$Y$21&lt;&gt;""),--ISNUMBER(SEARCH($Z$4,'Final Calculation Sheet'!$Y$21)))))</f>
        <v/>
      </c>
      <c r="EF76">
        <f>IF($AA$4="",1,IF($AA$4="(blank)",--('Final Calculation Sheet'!$Z$21=""),IF($AA$4="(nonblank)",--('Final Calculation Sheet'!$Z$21&lt;&gt;""),--ISNUMBER(SEARCH($AA$4,'Final Calculation Sheet'!$Z$21)))))</f>
        <v/>
      </c>
      <c r="EG76">
        <f>IF($AB$4="",1,IF($AB$4="(blank)",--('Final Calculation Sheet'!$AA$21=""),IF($AB$4="(nonblank)",--('Final Calculation Sheet'!$AA$21&lt;&gt;""),--ISNUMBER(SEARCH($AB$4,'Final Calculation Sheet'!$AA$21)))))</f>
        <v/>
      </c>
      <c r="EH76">
        <f>IF($AC$4="",1,IF($AC$4="(blank)",--('Final Calculation Sheet'!$AB$21=""),IF($AC$4="(nonblank)",--('Final Calculation Sheet'!$AB$21&lt;&gt;""),--ISNUMBER(SEARCH($AC$4,'Final Calculation Sheet'!$AB$21)))))</f>
        <v/>
      </c>
      <c r="EI76">
        <f>IF($AD$4="",1,IF($AD$4="(blank)",--('Final Calculation Sheet'!$AC$21=""),IF($AD$4="(nonblank)",--('Final Calculation Sheet'!$AC$21&lt;&gt;""),--ISNUMBER(SEARCH($AD$4,'Final Calculation Sheet'!$AC$21)))))</f>
        <v/>
      </c>
      <c r="EJ76">
        <f>IF($AE$4="",1,IF($AE$4="(blank)",--('Final Calculation Sheet'!$AD$21=""),IF($AE$4="(nonblank)",--('Final Calculation Sheet'!$AD$21&lt;&gt;""),--ISNUMBER(SEARCH($AE$4,'Final Calculation Sheet'!$AD$21)))))</f>
        <v/>
      </c>
      <c r="EK76">
        <f>IF($AF$4="",1,IF($AF$4="(blank)",--(IF('Final Calculation Sheet'!$AD$21&lt;=5,"SETTLED","OUTSTANDING")=""),IF($AF$4="(nonblank)",--(IF('Final Calculation Sheet'!$AD$21&lt;=5,"SETTLED","OUTSTANDING")&lt;&gt;""),--ISNUMBER(SEARCH($AF$4,IF('Final Calculation Sheet'!$AD$21&lt;=5,"SETTLED","OUTSTANDING"))))))</f>
        <v/>
      </c>
      <c r="EL76">
        <f>IF($AG$4="",1,IF($AG$4="(blank)",--('Final Calculation Sheet'!$AF$21=""),IF($AG$4="(nonblank)",--('Final Calculation Sheet'!$AF$21&lt;&gt;""),--ISNUMBER(SEARCH($AG$4,'Final Calculation Sheet'!$AF$21)))))</f>
        <v/>
      </c>
      <c r="EM76">
        <f>IF($AH$4="",1,IF($AH$4="(blank)",--('Final Calculation Sheet'!$AG$21=""),IF($AH$4="(nonblank)",--('Final Calculation Sheet'!$AG$21&lt;&gt;""),--ISNUMBER(SEARCH($AH$4,'Final Calculation Sheet'!$AG$21)))))</f>
        <v/>
      </c>
      <c r="EN76">
        <f>IF($AI$4="",1,IF($AI$4="(blank)",--('Final Calculation Sheet'!$AH$21=""),IF($AI$4="(nonblank)",--('Final Calculation Sheet'!$AH$21&lt;&gt;""),--ISNUMBER(SEARCH($AI$4,'Final Calculation Sheet'!$AH$21)))))</f>
        <v/>
      </c>
    </row>
    <row r="77">
      <c r="AM77">
        <f>AM76+IF(AND(Lists!$O$24&lt;&gt;"",ISNUMBER(SEARCH($B$4,Lists!$O$24))),1,0)</f>
        <v/>
      </c>
      <c r="AN77">
        <f>IF(ROW()-56&gt;MAX($AM$57:$AM$95),"",INDEX(Lists!$O$4:$O$42,MATCH(ROW()-56,$AM$57:$AM$95,0)))</f>
        <v/>
      </c>
      <c r="AO77">
        <f>AO76+IF(AND(Lists!$T$24&lt;&gt;"",ISNUMBER(SEARCH($C$4,Lists!$T$24))),1,0)</f>
        <v/>
      </c>
      <c r="AP77">
        <f>IF(ROW()-56&gt;MAX($AO$57:$AO$95),"",INDEX(Lists!$T$4:$T$42,MATCH(ROW()-56,$AO$57:$AO$95,0)))</f>
        <v/>
      </c>
      <c r="AQ77">
        <f>AQ76+IF(AND(Lists!$Y$24&lt;&gt;"",ISNUMBER(SEARCH($D$4,Lists!$Y$24))),1,0)</f>
        <v/>
      </c>
      <c r="AR77">
        <f>IF(ROW()-56&gt;MAX($AQ$57:$AQ$95),"",INDEX(Lists!$Y$4:$Y$42,MATCH(ROW()-56,$AQ$57:$AQ$95,0)))</f>
        <v/>
      </c>
      <c r="AS77">
        <f>AS76+IF(AND(Lists!$AD$24&lt;&gt;"",ISNUMBER(SEARCH($E$4,Lists!$AD$24))),1,0)</f>
        <v/>
      </c>
      <c r="AT77">
        <f>IF(ROW()-56&gt;MAX($AS$57:$AS$95),"",INDEX(Lists!$AD$4:$AD$42,MATCH(ROW()-56,$AS$57:$AS$95,0)))</f>
        <v/>
      </c>
      <c r="AU77">
        <f>AU76+IF(AND(Lists!$AI$24&lt;&gt;"",ISNUMBER(SEARCH($F$4,Lists!$AI$24))),1,0)</f>
        <v/>
      </c>
      <c r="AV77">
        <f>IF(ROW()-56&gt;MAX($AU$57:$AU$95),"",INDEX(Lists!$AI$4:$AI$42,MATCH(ROW()-56,$AU$57:$AU$95,0)))</f>
        <v/>
      </c>
      <c r="AW77">
        <f>AW76+IF(AND(Lists!$AN$24&lt;&gt;"",ISNUMBER(SEARCH($G$4,Lists!$AN$24))),1,0)</f>
        <v/>
      </c>
      <c r="AX77">
        <f>IF(ROW()-56&gt;MAX($AW$57:$AW$95),"",INDEX(Lists!$AN$4:$AN$42,MATCH(ROW()-56,$AW$57:$AW$95,0)))</f>
        <v/>
      </c>
      <c r="AY77">
        <f>AY76+IF(AND(Lists!$AS$24&lt;&gt;"",ISNUMBER(SEARCH($H$4,Lists!$AS$24))),1,0)</f>
        <v/>
      </c>
      <c r="AZ77">
        <f>IF(ROW()-56&gt;MAX($AY$57:$AY$95),"",INDEX(Lists!$AS$4:$AS$42,MATCH(ROW()-56,$AY$57:$AY$95,0)))</f>
        <v/>
      </c>
      <c r="BA77">
        <f>BA76+IF(AND(Lists!$AX$24&lt;&gt;"",ISNUMBER(SEARCH($I$4,Lists!$AX$24))),1,0)</f>
        <v/>
      </c>
      <c r="BB77">
        <f>IF(ROW()-56&gt;MAX($BA$57:$BA$95),"",INDEX(Lists!$AX$4:$AX$42,MATCH(ROW()-56,$BA$57:$BA$95,0)))</f>
        <v/>
      </c>
      <c r="BC77">
        <f>BC76+IF(AND(Lists!$BC$24&lt;&gt;"",ISNUMBER(SEARCH($J$4,Lists!$BC$24))),1,0)</f>
        <v/>
      </c>
      <c r="BD77">
        <f>IF(ROW()-56&gt;MAX($BC$57:$BC$95),"",INDEX(Lists!$BC$4:$BC$42,MATCH(ROW()-56,$BC$57:$BC$95,0)))</f>
        <v/>
      </c>
      <c r="BE77">
        <f>BE76+IF(AND(Lists!$BH$24&lt;&gt;"",ISNUMBER(SEARCH($K$4,Lists!$BH$24))),1,0)</f>
        <v/>
      </c>
      <c r="BF77">
        <f>IF(ROW()-56&gt;MAX($BE$57:$BE$95),"",INDEX(Lists!$BH$4:$BH$42,MATCH(ROW()-56,$BE$57:$BE$95,0)))</f>
        <v/>
      </c>
      <c r="BG77">
        <f>BG76+IF(AND(Lists!$BM$24&lt;&gt;"",ISNUMBER(SEARCH($L$4,Lists!$BM$24))),1,0)</f>
        <v/>
      </c>
      <c r="BH77">
        <f>IF(ROW()-56&gt;MAX($BG$57:$BG$95),"",INDEX(Lists!$BM$4:$BM$42,MATCH(ROW()-56,$BG$57:$BG$95,0)))</f>
        <v/>
      </c>
      <c r="BI77">
        <f>BI76+IF(AND(Lists!$BR$24&lt;&gt;"",ISNUMBER(SEARCH($M$4,Lists!$BR$24))),1,0)</f>
        <v/>
      </c>
      <c r="BJ77">
        <f>IF(ROW()-56&gt;MAX($BI$57:$BI$95),"",INDEX(Lists!$BR$4:$BR$42,MATCH(ROW()-56,$BI$57:$BI$95,0)))</f>
        <v/>
      </c>
      <c r="BK77">
        <f>BK76+IF(AND(Lists!$BW$24&lt;&gt;"",ISNUMBER(SEARCH($N$4,Lists!$BW$24))),1,0)</f>
        <v/>
      </c>
      <c r="BL77">
        <f>IF(ROW()-56&gt;MAX($BK$57:$BK$95),"",INDEX(Lists!$BW$4:$BW$42,MATCH(ROW()-56,$BK$57:$BK$95,0)))</f>
        <v/>
      </c>
      <c r="BM77">
        <f>BM76+IF(AND(Lists!$CB$24&lt;&gt;"",ISNUMBER(SEARCH($O$4,Lists!$CB$24))),1,0)</f>
        <v/>
      </c>
      <c r="BN77">
        <f>IF(ROW()-56&gt;MAX($BM$57:$BM$95),"",INDEX(Lists!$CB$4:$CB$42,MATCH(ROW()-56,$BM$57:$BM$95,0)))</f>
        <v/>
      </c>
      <c r="BO77">
        <f>BO76+IF(AND(Lists!$CG$24&lt;&gt;"",ISNUMBER(SEARCH($P$4,Lists!$CG$24))),1,0)</f>
        <v/>
      </c>
      <c r="BP77">
        <f>IF(ROW()-56&gt;MAX($BO$57:$BO$95),"",INDEX(Lists!$CG$4:$CG$42,MATCH(ROW()-56,$BO$57:$BO$95,0)))</f>
        <v/>
      </c>
      <c r="BQ77">
        <f>BQ76+IF(AND(Lists!$CL$24&lt;&gt;"",ISNUMBER(SEARCH($Q$4,Lists!$CL$24))),1,0)</f>
        <v/>
      </c>
      <c r="BR77">
        <f>IF(ROW()-56&gt;MAX($BQ$57:$BQ$95),"",INDEX(Lists!$CL$4:$CL$42,MATCH(ROW()-56,$BQ$57:$BQ$95,0)))</f>
        <v/>
      </c>
      <c r="BS77">
        <f>BS76+IF(AND(Lists!$CQ$24&lt;&gt;"",ISNUMBER(SEARCH($R$4,Lists!$CQ$24))),1,0)</f>
        <v/>
      </c>
      <c r="BT77">
        <f>IF(ROW()-56&gt;MAX($BS$57:$BS$95),"",INDEX(Lists!$CQ$4:$CQ$42,MATCH(ROW()-56,$BS$57:$BS$95,0)))</f>
        <v/>
      </c>
      <c r="BU77">
        <f>BU76+IF(AND(Lists!$CV$24&lt;&gt;"",ISNUMBER(SEARCH($S$4,Lists!$CV$24))),1,0)</f>
        <v/>
      </c>
      <c r="BV77">
        <f>IF(ROW()-56&gt;MAX($BU$57:$BU$95),"",INDEX(Lists!$CV$4:$CV$42,MATCH(ROW()-56,$BU$57:$BU$95,0)))</f>
        <v/>
      </c>
      <c r="BW77">
        <f>BW76+IF(AND(Lists!$DA$24&lt;&gt;"",ISNUMBER(SEARCH($T$4,Lists!$DA$24))),1,0)</f>
        <v/>
      </c>
      <c r="BX77">
        <f>IF(ROW()-56&gt;MAX($BW$57:$BW$95),"",INDEX(Lists!$DA$4:$DA$42,MATCH(ROW()-56,$BW$57:$BW$95,0)))</f>
        <v/>
      </c>
      <c r="BY77">
        <f>BY76+IF(AND(Lists!$DF$24&lt;&gt;"",ISNUMBER(SEARCH($U$4,Lists!$DF$24))),1,0)</f>
        <v/>
      </c>
      <c r="BZ77">
        <f>IF(ROW()-56&gt;MAX($BY$57:$BY$95),"",INDEX(Lists!$DF$4:$DF$42,MATCH(ROW()-56,$BY$57:$BY$95,0)))</f>
        <v/>
      </c>
      <c r="CA77">
        <f>CA76+IF(AND(Lists!$DK$24&lt;&gt;"",ISNUMBER(SEARCH($V$4,Lists!$DK$24))),1,0)</f>
        <v/>
      </c>
      <c r="CB77">
        <f>IF(ROW()-56&gt;MAX($CA$57:$CA$95),"",INDEX(Lists!$DK$4:$DK$42,MATCH(ROW()-56,$CA$57:$CA$95,0)))</f>
        <v/>
      </c>
      <c r="CC77">
        <f>CC76+IF(AND(Lists!$DP$24&lt;&gt;"",ISNUMBER(SEARCH($W$4,Lists!$DP$24))),1,0)</f>
        <v/>
      </c>
      <c r="CD77">
        <f>IF(ROW()-56&gt;MAX($CC$57:$CC$95),"",INDEX(Lists!$DP$4:$DP$42,MATCH(ROW()-56,$CC$57:$CC$95,0)))</f>
        <v/>
      </c>
      <c r="CE77">
        <f>CE76+IF(AND(Lists!$DU$24&lt;&gt;"",ISNUMBER(SEARCH($X$4,Lists!$DU$24))),1,0)</f>
        <v/>
      </c>
      <c r="CF77">
        <f>IF(ROW()-56&gt;MAX($CE$57:$CE$95),"",INDEX(Lists!$DU$4:$DU$42,MATCH(ROW()-56,$CE$57:$CE$95,0)))</f>
        <v/>
      </c>
      <c r="CG77">
        <f>CG76+IF(AND(Lists!$DZ$24&lt;&gt;"",ISNUMBER(SEARCH($Y$4,Lists!$DZ$24))),1,0)</f>
        <v/>
      </c>
      <c r="CH77">
        <f>IF(ROW()-56&gt;MAX($CG$57:$CG$95),"",INDEX(Lists!$DZ$4:$DZ$42,MATCH(ROW()-56,$CG$57:$CG$95,0)))</f>
        <v/>
      </c>
      <c r="CI77">
        <f>CI76+IF(AND(Lists!$EE$24&lt;&gt;"",ISNUMBER(SEARCH($Z$4,Lists!$EE$24))),1,0)</f>
        <v/>
      </c>
      <c r="CJ77">
        <f>IF(ROW()-56&gt;MAX($CI$57:$CI$95),"",INDEX(Lists!$EE$4:$EE$42,MATCH(ROW()-56,$CI$57:$CI$95,0)))</f>
        <v/>
      </c>
      <c r="CK77">
        <f>CK76+IF(AND(Lists!$EJ$24&lt;&gt;"",ISNUMBER(SEARCH($AA$4,Lists!$EJ$24))),1,0)</f>
        <v/>
      </c>
      <c r="CL77">
        <f>IF(ROW()-56&gt;MAX($CK$57:$CK$95),"",INDEX(Lists!$EJ$4:$EJ$42,MATCH(ROW()-56,$CK$57:$CK$95,0)))</f>
        <v/>
      </c>
      <c r="CM77">
        <f>CM76+IF(AND(Lists!$EO$24&lt;&gt;"",ISNUMBER(SEARCH($AB$4,Lists!$EO$24))),1,0)</f>
        <v/>
      </c>
      <c r="CN77">
        <f>IF(ROW()-56&gt;MAX($CM$57:$CM$95),"",INDEX(Lists!$EO$4:$EO$42,MATCH(ROW()-56,$CM$57:$CM$95,0)))</f>
        <v/>
      </c>
      <c r="CO77">
        <f>CO76+IF(AND(Lists!$ET$24&lt;&gt;"",ISNUMBER(SEARCH($AC$4,Lists!$ET$24))),1,0)</f>
        <v/>
      </c>
      <c r="CP77">
        <f>IF(ROW()-56&gt;MAX($CO$57:$CO$95),"",INDEX(Lists!$ET$4:$ET$42,MATCH(ROW()-56,$CO$57:$CO$95,0)))</f>
        <v/>
      </c>
      <c r="CQ77">
        <f>CQ76+IF(AND(Lists!$EY$24&lt;&gt;"",ISNUMBER(SEARCH($AD$4,Lists!$EY$24))),1,0)</f>
        <v/>
      </c>
      <c r="CR77">
        <f>IF(ROW()-56&gt;MAX($CQ$57:$CQ$95),"",INDEX(Lists!$EY$4:$EY$42,MATCH(ROW()-56,$CQ$57:$CQ$95,0)))</f>
        <v/>
      </c>
      <c r="CS77">
        <f>CS76+IF(AND(Lists!$FD$24&lt;&gt;"",ISNUMBER(SEARCH($AE$4,Lists!$FD$24))),1,0)</f>
        <v/>
      </c>
      <c r="CT77">
        <f>IF(ROW()-56&gt;MAX($CS$57:$CS$95),"",INDEX(Lists!$FD$4:$FD$42,MATCH(ROW()-56,$CS$57:$CS$95,0)))</f>
        <v/>
      </c>
      <c r="CU77">
        <f>CU76+IF(AND(Lists!$FI$24&lt;&gt;"",ISNUMBER(SEARCH($AG$4,Lists!$FI$24))),1,0)</f>
        <v/>
      </c>
      <c r="CV77">
        <f>IF(ROW()-56&gt;MAX($CU$57:$CU$95),"",INDEX(Lists!$FI$4:$FI$42,MATCH(ROW()-56,$CU$57:$CU$95,0)))</f>
        <v/>
      </c>
      <c r="CW77">
        <f>CW76+IF(AND(Lists!$FN$24&lt;&gt;"",ISNUMBER(SEARCH($AH$4,Lists!$FN$24))),1,0)</f>
        <v/>
      </c>
      <c r="CX77">
        <f>IF(ROW()-56&gt;MAX($CW$57:$CW$95),"",INDEX(Lists!$FN$4:$FN$42,MATCH(ROW()-56,$CW$57:$CW$95,0)))</f>
        <v/>
      </c>
      <c r="CY77">
        <f>CY76+IF(AND(Lists!$FS$24&lt;&gt;"",ISNUMBER(SEARCH($AI$4,Lists!$FS$24))),1,0)</f>
        <v/>
      </c>
      <c r="CZ77">
        <f>IF(ROW()-56&gt;MAX($CY$57:$CY$95),"",INDEX(Lists!$FS$4:$FS$42,MATCH(ROW()-56,$CY$57:$CY$95,0)))</f>
        <v/>
      </c>
      <c r="DA77">
        <f>DA76+IF(AND(Lists!$FX$24&lt;&gt;"",ISNUMBER(SEARCH($AF$4,Lists!$FX$24))),1,0)</f>
        <v/>
      </c>
      <c r="DB77">
        <f>IF(ROW()-56&gt;MAX($DA$57:$DA$95),"",INDEX(Lists!$FX$4:$FX$42,MATCH(ROW()-56,$DA$57:$DA$95,0)))</f>
        <v/>
      </c>
      <c r="DG77">
        <f>IF($B$4="",1,IF($B$4="(blank)",--('Final Calculation Sheet'!$F$22=""),IF($B$4="(nonblank)",--('Final Calculation Sheet'!$F$22&lt;&gt;""),--ISNUMBER(SEARCH($B$4,'Final Calculation Sheet'!$F$22)))))</f>
        <v/>
      </c>
      <c r="DH77">
        <f>IF($C$4="",1,IF($C$4="(blank)",--('Final Calculation Sheet'!$G$22=""),IF($C$4="(nonblank)",--('Final Calculation Sheet'!$G$22&lt;&gt;""),--ISNUMBER(SEARCH($C$4,'Final Calculation Sheet'!$G$22)))))</f>
        <v/>
      </c>
      <c r="DI77">
        <f>IF($D$4="",1,IF($D$4="(blank)",--('Final Calculation Sheet'!$B$22=""),IF($D$4="(nonblank)",--('Final Calculation Sheet'!$B$22&lt;&gt;""),--ISNUMBER(SEARCH($D$4,'Final Calculation Sheet'!$B$22)))))</f>
        <v/>
      </c>
      <c r="DJ77">
        <f>IF($E$4="",1,IF($E$4="(blank)",--('Final Calculation Sheet'!$D$22=""),IF($E$4="(nonblank)",--('Final Calculation Sheet'!$D$22&lt;&gt;""),--ISNUMBER(SEARCH($E$4,'Final Calculation Sheet'!$D$22)))))</f>
        <v/>
      </c>
      <c r="DK77">
        <f>IF($F$4="",1,IF($F$4="(blank)",--('Final Calculation Sheet'!$A$22=""),IF($F$4="(nonblank)",--('Final Calculation Sheet'!$A$22&lt;&gt;""),--ISNUMBER(SEARCH($F$4,'Final Calculation Sheet'!$A$22)))))</f>
        <v/>
      </c>
      <c r="DL77">
        <f>IF($G$4="",1,IF($G$4="(blank)",--('Final Calculation Sheet'!$E$22=""),IF($G$4="(nonblank)",--('Final Calculation Sheet'!$E$22&lt;&gt;""),--ISNUMBER(SEARCH($G$4,'Final Calculation Sheet'!$E$22)))))</f>
        <v/>
      </c>
      <c r="DM77">
        <f>IF($H$4="",1,IF($H$4="(blank)",--('Final Calculation Sheet'!$C$22=""),IF($H$4="(nonblank)",--('Final Calculation Sheet'!$C$22&lt;&gt;""),--ISNUMBER(SEARCH($H$4,'Final Calculation Sheet'!$C$22)))))</f>
        <v/>
      </c>
      <c r="DN77">
        <f>IF($I$4="",1,IF($I$4="(blank)",--('Final Calculation Sheet'!$H$22=""),IF($I$4="(nonblank)",--('Final Calculation Sheet'!$H$22&lt;&gt;""),--ISNUMBER(SEARCH($I$4,'Final Calculation Sheet'!$H$22)))))</f>
        <v/>
      </c>
      <c r="DO77">
        <f>IF($J$4="",1,IF($J$4="(blank)",--('Final Calculation Sheet'!$I$22=""),IF($J$4="(nonblank)",--('Final Calculation Sheet'!$I$22&lt;&gt;""),--ISNUMBER(SEARCH($J$4,'Final Calculation Sheet'!$I$22)))))</f>
        <v/>
      </c>
      <c r="DP77">
        <f>IF($K$4="",1,IF($K$4="(blank)",--('Final Calculation Sheet'!$J$22=""),IF($K$4="(nonblank)",--('Final Calculation Sheet'!$J$22&lt;&gt;""),--ISNUMBER(SEARCH($K$4,'Final Calculation Sheet'!$J$22)))))</f>
        <v/>
      </c>
      <c r="DQ77">
        <f>IF($L$4="",1,IF($L$4="(blank)",--('Final Calculation Sheet'!$K$22=""),IF($L$4="(nonblank)",--('Final Calculation Sheet'!$K$22&lt;&gt;""),--ISNUMBER(SEARCH($L$4,'Final Calculation Sheet'!$K$22)))))</f>
        <v/>
      </c>
      <c r="DR77">
        <f>IF($M$4="",1,IF($M$4="(blank)",--('Final Calculation Sheet'!$L$22=""),IF($M$4="(nonblank)",--('Final Calculation Sheet'!$L$22&lt;&gt;""),--ISNUMBER(SEARCH($M$4,'Final Calculation Sheet'!$L$22)))))</f>
        <v/>
      </c>
      <c r="DS77">
        <f>IF($N$4="",1,IF($N$4="(blank)",--('Final Calculation Sheet'!$M$22=""),IF($N$4="(nonblank)",--('Final Calculation Sheet'!$M$22&lt;&gt;""),--ISNUMBER(SEARCH($N$4,'Final Calculation Sheet'!$M$22)))))</f>
        <v/>
      </c>
      <c r="DT77">
        <f>IF($O$4="",1,IF($O$4="(blank)",--('Final Calculation Sheet'!$N$22=""),IF($O$4="(nonblank)",--('Final Calculation Sheet'!$N$22&lt;&gt;""),--ISNUMBER(SEARCH($O$4,'Final Calculation Sheet'!$N$22)))))</f>
        <v/>
      </c>
      <c r="DU77">
        <f>IF($P$4="",1,IF($P$4="(blank)",--('Final Calculation Sheet'!$O$22=""),IF($P$4="(nonblank)",--('Final Calculation Sheet'!$O$22&lt;&gt;""),--ISNUMBER(SEARCH($P$4,'Final Calculation Sheet'!$O$22)))))</f>
        <v/>
      </c>
      <c r="DV77">
        <f>IF($Q$4="",1,IF($Q$4="(blank)",--('Final Calculation Sheet'!$P$22=""),IF($Q$4="(nonblank)",--('Final Calculation Sheet'!$P$22&lt;&gt;""),--ISNUMBER(SEARCH($Q$4,'Final Calculation Sheet'!$P$22)))))</f>
        <v/>
      </c>
      <c r="DW77">
        <f>IF($R$4="",1,IF($R$4="(blank)",--('Final Calculation Sheet'!$Q$22=""),IF($R$4="(nonblank)",--('Final Calculation Sheet'!$Q$22&lt;&gt;""),--ISNUMBER(SEARCH($R$4,'Final Calculation Sheet'!$Q$22)))))</f>
        <v/>
      </c>
      <c r="DX77">
        <f>IF($S$4="",1,IF($S$4="(blank)",--('Final Calculation Sheet'!$R$22=""),IF($S$4="(nonblank)",--('Final Calculation Sheet'!$R$22&lt;&gt;""),--ISNUMBER(SEARCH($S$4,'Final Calculation Sheet'!$R$22)))))</f>
        <v/>
      </c>
      <c r="DY77">
        <f>IF($T$4="",1,IF($T$4="(blank)",--('Final Calculation Sheet'!$S$22=""),IF($T$4="(nonblank)",--('Final Calculation Sheet'!$S$22&lt;&gt;""),--ISNUMBER(SEARCH($T$4,'Final Calculation Sheet'!$S$22)))))</f>
        <v/>
      </c>
      <c r="DZ77">
        <f>IF($U$4="",1,IF($U$4="(blank)",--('Final Calculation Sheet'!$T$22=""),IF($U$4="(nonblank)",--('Final Calculation Sheet'!$T$22&lt;&gt;""),--ISNUMBER(SEARCH($U$4,'Final Calculation Sheet'!$T$22)))))</f>
        <v/>
      </c>
      <c r="EA77">
        <f>IF($V$4="",1,IF($V$4="(blank)",--('Final Calculation Sheet'!$U$22=""),IF($V$4="(nonblank)",--('Final Calculation Sheet'!$U$22&lt;&gt;""),--ISNUMBER(SEARCH($V$4,'Final Calculation Sheet'!$U$22)))))</f>
        <v/>
      </c>
      <c r="EB77">
        <f>IF($W$4="",1,IF($W$4="(blank)",--('Final Calculation Sheet'!$V$22=""),IF($W$4="(nonblank)",--('Final Calculation Sheet'!$V$22&lt;&gt;""),--ISNUMBER(SEARCH($W$4,'Final Calculation Sheet'!$V$22)))))</f>
        <v/>
      </c>
      <c r="EC77">
        <f>IF($X$4="",1,IF($X$4="(blank)",--('Final Calculation Sheet'!$W$22=""),IF($X$4="(nonblank)",--('Final Calculation Sheet'!$W$22&lt;&gt;""),--ISNUMBER(SEARCH($X$4,'Final Calculation Sheet'!$W$22)))))</f>
        <v/>
      </c>
      <c r="ED77">
        <f>IF($Y$4="",1,IF($Y$4="(blank)",--('Final Calculation Sheet'!$X$22=""),IF($Y$4="(nonblank)",--('Final Calculation Sheet'!$X$22&lt;&gt;""),--ISNUMBER(SEARCH($Y$4,'Final Calculation Sheet'!$X$22)))))</f>
        <v/>
      </c>
      <c r="EE77">
        <f>IF($Z$4="",1,IF($Z$4="(blank)",--('Final Calculation Sheet'!$Y$22=""),IF($Z$4="(nonblank)",--('Final Calculation Sheet'!$Y$22&lt;&gt;""),--ISNUMBER(SEARCH($Z$4,'Final Calculation Sheet'!$Y$22)))))</f>
        <v/>
      </c>
      <c r="EF77">
        <f>IF($AA$4="",1,IF($AA$4="(blank)",--('Final Calculation Sheet'!$Z$22=""),IF($AA$4="(nonblank)",--('Final Calculation Sheet'!$Z$22&lt;&gt;""),--ISNUMBER(SEARCH($AA$4,'Final Calculation Sheet'!$Z$22)))))</f>
        <v/>
      </c>
      <c r="EG77">
        <f>IF($AB$4="",1,IF($AB$4="(blank)",--('Final Calculation Sheet'!$AA$22=""),IF($AB$4="(nonblank)",--('Final Calculation Sheet'!$AA$22&lt;&gt;""),--ISNUMBER(SEARCH($AB$4,'Final Calculation Sheet'!$AA$22)))))</f>
        <v/>
      </c>
      <c r="EH77">
        <f>IF($AC$4="",1,IF($AC$4="(blank)",--('Final Calculation Sheet'!$AB$22=""),IF($AC$4="(nonblank)",--('Final Calculation Sheet'!$AB$22&lt;&gt;""),--ISNUMBER(SEARCH($AC$4,'Final Calculation Sheet'!$AB$22)))))</f>
        <v/>
      </c>
      <c r="EI77">
        <f>IF($AD$4="",1,IF($AD$4="(blank)",--('Final Calculation Sheet'!$AC$22=""),IF($AD$4="(nonblank)",--('Final Calculation Sheet'!$AC$22&lt;&gt;""),--ISNUMBER(SEARCH($AD$4,'Final Calculation Sheet'!$AC$22)))))</f>
        <v/>
      </c>
      <c r="EJ77">
        <f>IF($AE$4="",1,IF($AE$4="(blank)",--('Final Calculation Sheet'!$AD$22=""),IF($AE$4="(nonblank)",--('Final Calculation Sheet'!$AD$22&lt;&gt;""),--ISNUMBER(SEARCH($AE$4,'Final Calculation Sheet'!$AD$22)))))</f>
        <v/>
      </c>
      <c r="EK77">
        <f>IF($AF$4="",1,IF($AF$4="(blank)",--(IF('Final Calculation Sheet'!$AD$22&lt;=5,"SETTLED","OUTSTANDING")=""),IF($AF$4="(nonblank)",--(IF('Final Calculation Sheet'!$AD$22&lt;=5,"SETTLED","OUTSTANDING")&lt;&gt;""),--ISNUMBER(SEARCH($AF$4,IF('Final Calculation Sheet'!$AD$22&lt;=5,"SETTLED","OUTSTANDING"))))))</f>
        <v/>
      </c>
      <c r="EL77">
        <f>IF($AG$4="",1,IF($AG$4="(blank)",--('Final Calculation Sheet'!$AF$22=""),IF($AG$4="(nonblank)",--('Final Calculation Sheet'!$AF$22&lt;&gt;""),--ISNUMBER(SEARCH($AG$4,'Final Calculation Sheet'!$AF$22)))))</f>
        <v/>
      </c>
      <c r="EM77">
        <f>IF($AH$4="",1,IF($AH$4="(blank)",--('Final Calculation Sheet'!$AG$22=""),IF($AH$4="(nonblank)",--('Final Calculation Sheet'!$AG$22&lt;&gt;""),--ISNUMBER(SEARCH($AH$4,'Final Calculation Sheet'!$AG$22)))))</f>
        <v/>
      </c>
      <c r="EN77">
        <f>IF($AI$4="",1,IF($AI$4="(blank)",--('Final Calculation Sheet'!$AH$22=""),IF($AI$4="(nonblank)",--('Final Calculation Sheet'!$AH$22&lt;&gt;""),--ISNUMBER(SEARCH($AI$4,'Final Calculation Sheet'!$AH$22)))))</f>
        <v/>
      </c>
    </row>
    <row r="78">
      <c r="AM78">
        <f>AM77+IF(AND(Lists!$O$25&lt;&gt;"",ISNUMBER(SEARCH($B$4,Lists!$O$25))),1,0)</f>
        <v/>
      </c>
      <c r="AN78">
        <f>IF(ROW()-56&gt;MAX($AM$57:$AM$95),"",INDEX(Lists!$O$4:$O$42,MATCH(ROW()-56,$AM$57:$AM$95,0)))</f>
        <v/>
      </c>
      <c r="AO78">
        <f>AO77+IF(AND(Lists!$T$25&lt;&gt;"",ISNUMBER(SEARCH($C$4,Lists!$T$25))),1,0)</f>
        <v/>
      </c>
      <c r="AP78">
        <f>IF(ROW()-56&gt;MAX($AO$57:$AO$95),"",INDEX(Lists!$T$4:$T$42,MATCH(ROW()-56,$AO$57:$AO$95,0)))</f>
        <v/>
      </c>
      <c r="AQ78">
        <f>AQ77+IF(AND(Lists!$Y$25&lt;&gt;"",ISNUMBER(SEARCH($D$4,Lists!$Y$25))),1,0)</f>
        <v/>
      </c>
      <c r="AR78">
        <f>IF(ROW()-56&gt;MAX($AQ$57:$AQ$95),"",INDEX(Lists!$Y$4:$Y$42,MATCH(ROW()-56,$AQ$57:$AQ$95,0)))</f>
        <v/>
      </c>
      <c r="AS78">
        <f>AS77+IF(AND(Lists!$AD$25&lt;&gt;"",ISNUMBER(SEARCH($E$4,Lists!$AD$25))),1,0)</f>
        <v/>
      </c>
      <c r="AT78">
        <f>IF(ROW()-56&gt;MAX($AS$57:$AS$95),"",INDEX(Lists!$AD$4:$AD$42,MATCH(ROW()-56,$AS$57:$AS$95,0)))</f>
        <v/>
      </c>
      <c r="AU78">
        <f>AU77+IF(AND(Lists!$AI$25&lt;&gt;"",ISNUMBER(SEARCH($F$4,Lists!$AI$25))),1,0)</f>
        <v/>
      </c>
      <c r="AV78">
        <f>IF(ROW()-56&gt;MAX($AU$57:$AU$95),"",INDEX(Lists!$AI$4:$AI$42,MATCH(ROW()-56,$AU$57:$AU$95,0)))</f>
        <v/>
      </c>
      <c r="AW78">
        <f>AW77+IF(AND(Lists!$AN$25&lt;&gt;"",ISNUMBER(SEARCH($G$4,Lists!$AN$25))),1,0)</f>
        <v/>
      </c>
      <c r="AX78">
        <f>IF(ROW()-56&gt;MAX($AW$57:$AW$95),"",INDEX(Lists!$AN$4:$AN$42,MATCH(ROW()-56,$AW$57:$AW$95,0)))</f>
        <v/>
      </c>
      <c r="AY78">
        <f>AY77+IF(AND(Lists!$AS$25&lt;&gt;"",ISNUMBER(SEARCH($H$4,Lists!$AS$25))),1,0)</f>
        <v/>
      </c>
      <c r="AZ78">
        <f>IF(ROW()-56&gt;MAX($AY$57:$AY$95),"",INDEX(Lists!$AS$4:$AS$42,MATCH(ROW()-56,$AY$57:$AY$95,0)))</f>
        <v/>
      </c>
      <c r="BA78">
        <f>BA77+IF(AND(Lists!$AX$25&lt;&gt;"",ISNUMBER(SEARCH($I$4,Lists!$AX$25))),1,0)</f>
        <v/>
      </c>
      <c r="BB78">
        <f>IF(ROW()-56&gt;MAX($BA$57:$BA$95),"",INDEX(Lists!$AX$4:$AX$42,MATCH(ROW()-56,$BA$57:$BA$95,0)))</f>
        <v/>
      </c>
      <c r="BC78">
        <f>BC77+IF(AND(Lists!$BC$25&lt;&gt;"",ISNUMBER(SEARCH($J$4,Lists!$BC$25))),1,0)</f>
        <v/>
      </c>
      <c r="BD78">
        <f>IF(ROW()-56&gt;MAX($BC$57:$BC$95),"",INDEX(Lists!$BC$4:$BC$42,MATCH(ROW()-56,$BC$57:$BC$95,0)))</f>
        <v/>
      </c>
      <c r="BE78">
        <f>BE77+IF(AND(Lists!$BH$25&lt;&gt;"",ISNUMBER(SEARCH($K$4,Lists!$BH$25))),1,0)</f>
        <v/>
      </c>
      <c r="BF78">
        <f>IF(ROW()-56&gt;MAX($BE$57:$BE$95),"",INDEX(Lists!$BH$4:$BH$42,MATCH(ROW()-56,$BE$57:$BE$95,0)))</f>
        <v/>
      </c>
      <c r="BG78">
        <f>BG77+IF(AND(Lists!$BM$25&lt;&gt;"",ISNUMBER(SEARCH($L$4,Lists!$BM$25))),1,0)</f>
        <v/>
      </c>
      <c r="BH78">
        <f>IF(ROW()-56&gt;MAX($BG$57:$BG$95),"",INDEX(Lists!$BM$4:$BM$42,MATCH(ROW()-56,$BG$57:$BG$95,0)))</f>
        <v/>
      </c>
      <c r="BI78">
        <f>BI77+IF(AND(Lists!$BR$25&lt;&gt;"",ISNUMBER(SEARCH($M$4,Lists!$BR$25))),1,0)</f>
        <v/>
      </c>
      <c r="BJ78">
        <f>IF(ROW()-56&gt;MAX($BI$57:$BI$95),"",INDEX(Lists!$BR$4:$BR$42,MATCH(ROW()-56,$BI$57:$BI$95,0)))</f>
        <v/>
      </c>
      <c r="BK78">
        <f>BK77+IF(AND(Lists!$BW$25&lt;&gt;"",ISNUMBER(SEARCH($N$4,Lists!$BW$25))),1,0)</f>
        <v/>
      </c>
      <c r="BL78">
        <f>IF(ROW()-56&gt;MAX($BK$57:$BK$95),"",INDEX(Lists!$BW$4:$BW$42,MATCH(ROW()-56,$BK$57:$BK$95,0)))</f>
        <v/>
      </c>
      <c r="BM78">
        <f>BM77+IF(AND(Lists!$CB$25&lt;&gt;"",ISNUMBER(SEARCH($O$4,Lists!$CB$25))),1,0)</f>
        <v/>
      </c>
      <c r="BN78">
        <f>IF(ROW()-56&gt;MAX($BM$57:$BM$95),"",INDEX(Lists!$CB$4:$CB$42,MATCH(ROW()-56,$BM$57:$BM$95,0)))</f>
        <v/>
      </c>
      <c r="BO78">
        <f>BO77+IF(AND(Lists!$CG$25&lt;&gt;"",ISNUMBER(SEARCH($P$4,Lists!$CG$25))),1,0)</f>
        <v/>
      </c>
      <c r="BP78">
        <f>IF(ROW()-56&gt;MAX($BO$57:$BO$95),"",INDEX(Lists!$CG$4:$CG$42,MATCH(ROW()-56,$BO$57:$BO$95,0)))</f>
        <v/>
      </c>
      <c r="BQ78">
        <f>BQ77+IF(AND(Lists!$CL$25&lt;&gt;"",ISNUMBER(SEARCH($Q$4,Lists!$CL$25))),1,0)</f>
        <v/>
      </c>
      <c r="BR78">
        <f>IF(ROW()-56&gt;MAX($BQ$57:$BQ$95),"",INDEX(Lists!$CL$4:$CL$42,MATCH(ROW()-56,$BQ$57:$BQ$95,0)))</f>
        <v/>
      </c>
      <c r="BS78">
        <f>BS77+IF(AND(Lists!$CQ$25&lt;&gt;"",ISNUMBER(SEARCH($R$4,Lists!$CQ$25))),1,0)</f>
        <v/>
      </c>
      <c r="BT78">
        <f>IF(ROW()-56&gt;MAX($BS$57:$BS$95),"",INDEX(Lists!$CQ$4:$CQ$42,MATCH(ROW()-56,$BS$57:$BS$95,0)))</f>
        <v/>
      </c>
      <c r="BU78">
        <f>BU77+IF(AND(Lists!$CV$25&lt;&gt;"",ISNUMBER(SEARCH($S$4,Lists!$CV$25))),1,0)</f>
        <v/>
      </c>
      <c r="BV78">
        <f>IF(ROW()-56&gt;MAX($BU$57:$BU$95),"",INDEX(Lists!$CV$4:$CV$42,MATCH(ROW()-56,$BU$57:$BU$95,0)))</f>
        <v/>
      </c>
      <c r="BW78">
        <f>BW77+IF(AND(Lists!$DA$25&lt;&gt;"",ISNUMBER(SEARCH($T$4,Lists!$DA$25))),1,0)</f>
        <v/>
      </c>
      <c r="BX78">
        <f>IF(ROW()-56&gt;MAX($BW$57:$BW$95),"",INDEX(Lists!$DA$4:$DA$42,MATCH(ROW()-56,$BW$57:$BW$95,0)))</f>
        <v/>
      </c>
      <c r="BY78">
        <f>BY77+IF(AND(Lists!$DF$25&lt;&gt;"",ISNUMBER(SEARCH($U$4,Lists!$DF$25))),1,0)</f>
        <v/>
      </c>
      <c r="BZ78">
        <f>IF(ROW()-56&gt;MAX($BY$57:$BY$95),"",INDEX(Lists!$DF$4:$DF$42,MATCH(ROW()-56,$BY$57:$BY$95,0)))</f>
        <v/>
      </c>
      <c r="CA78">
        <f>CA77+IF(AND(Lists!$DK$25&lt;&gt;"",ISNUMBER(SEARCH($V$4,Lists!$DK$25))),1,0)</f>
        <v/>
      </c>
      <c r="CB78">
        <f>IF(ROW()-56&gt;MAX($CA$57:$CA$95),"",INDEX(Lists!$DK$4:$DK$42,MATCH(ROW()-56,$CA$57:$CA$95,0)))</f>
        <v/>
      </c>
      <c r="CC78">
        <f>CC77+IF(AND(Lists!$DP$25&lt;&gt;"",ISNUMBER(SEARCH($W$4,Lists!$DP$25))),1,0)</f>
        <v/>
      </c>
      <c r="CD78">
        <f>IF(ROW()-56&gt;MAX($CC$57:$CC$95),"",INDEX(Lists!$DP$4:$DP$42,MATCH(ROW()-56,$CC$57:$CC$95,0)))</f>
        <v/>
      </c>
      <c r="CE78">
        <f>CE77+IF(AND(Lists!$DU$25&lt;&gt;"",ISNUMBER(SEARCH($X$4,Lists!$DU$25))),1,0)</f>
        <v/>
      </c>
      <c r="CF78">
        <f>IF(ROW()-56&gt;MAX($CE$57:$CE$95),"",INDEX(Lists!$DU$4:$DU$42,MATCH(ROW()-56,$CE$57:$CE$95,0)))</f>
        <v/>
      </c>
      <c r="CG78">
        <f>CG77+IF(AND(Lists!$DZ$25&lt;&gt;"",ISNUMBER(SEARCH($Y$4,Lists!$DZ$25))),1,0)</f>
        <v/>
      </c>
      <c r="CH78">
        <f>IF(ROW()-56&gt;MAX($CG$57:$CG$95),"",INDEX(Lists!$DZ$4:$DZ$42,MATCH(ROW()-56,$CG$57:$CG$95,0)))</f>
        <v/>
      </c>
      <c r="CI78">
        <f>CI77+IF(AND(Lists!$EE$25&lt;&gt;"",ISNUMBER(SEARCH($Z$4,Lists!$EE$25))),1,0)</f>
        <v/>
      </c>
      <c r="CJ78">
        <f>IF(ROW()-56&gt;MAX($CI$57:$CI$95),"",INDEX(Lists!$EE$4:$EE$42,MATCH(ROW()-56,$CI$57:$CI$95,0)))</f>
        <v/>
      </c>
      <c r="CK78">
        <f>CK77+IF(AND(Lists!$EJ$25&lt;&gt;"",ISNUMBER(SEARCH($AA$4,Lists!$EJ$25))),1,0)</f>
        <v/>
      </c>
      <c r="CL78">
        <f>IF(ROW()-56&gt;MAX($CK$57:$CK$95),"",INDEX(Lists!$EJ$4:$EJ$42,MATCH(ROW()-56,$CK$57:$CK$95,0)))</f>
        <v/>
      </c>
      <c r="CM78">
        <f>CM77+IF(AND(Lists!$EO$25&lt;&gt;"",ISNUMBER(SEARCH($AB$4,Lists!$EO$25))),1,0)</f>
        <v/>
      </c>
      <c r="CN78">
        <f>IF(ROW()-56&gt;MAX($CM$57:$CM$95),"",INDEX(Lists!$EO$4:$EO$42,MATCH(ROW()-56,$CM$57:$CM$95,0)))</f>
        <v/>
      </c>
      <c r="CO78">
        <f>CO77+IF(AND(Lists!$ET$25&lt;&gt;"",ISNUMBER(SEARCH($AC$4,Lists!$ET$25))),1,0)</f>
        <v/>
      </c>
      <c r="CP78">
        <f>IF(ROW()-56&gt;MAX($CO$57:$CO$95),"",INDEX(Lists!$ET$4:$ET$42,MATCH(ROW()-56,$CO$57:$CO$95,0)))</f>
        <v/>
      </c>
      <c r="CQ78">
        <f>CQ77+IF(AND(Lists!$EY$25&lt;&gt;"",ISNUMBER(SEARCH($AD$4,Lists!$EY$25))),1,0)</f>
        <v/>
      </c>
      <c r="CR78">
        <f>IF(ROW()-56&gt;MAX($CQ$57:$CQ$95),"",INDEX(Lists!$EY$4:$EY$42,MATCH(ROW()-56,$CQ$57:$CQ$95,0)))</f>
        <v/>
      </c>
      <c r="CS78">
        <f>CS77+IF(AND(Lists!$FD$25&lt;&gt;"",ISNUMBER(SEARCH($AE$4,Lists!$FD$25))),1,0)</f>
        <v/>
      </c>
      <c r="CT78">
        <f>IF(ROW()-56&gt;MAX($CS$57:$CS$95),"",INDEX(Lists!$FD$4:$FD$42,MATCH(ROW()-56,$CS$57:$CS$95,0)))</f>
        <v/>
      </c>
      <c r="CU78">
        <f>CU77+IF(AND(Lists!$FI$25&lt;&gt;"",ISNUMBER(SEARCH($AG$4,Lists!$FI$25))),1,0)</f>
        <v/>
      </c>
      <c r="CV78">
        <f>IF(ROW()-56&gt;MAX($CU$57:$CU$95),"",INDEX(Lists!$FI$4:$FI$42,MATCH(ROW()-56,$CU$57:$CU$95,0)))</f>
        <v/>
      </c>
      <c r="CW78">
        <f>CW77+IF(AND(Lists!$FN$25&lt;&gt;"",ISNUMBER(SEARCH($AH$4,Lists!$FN$25))),1,0)</f>
        <v/>
      </c>
      <c r="CX78">
        <f>IF(ROW()-56&gt;MAX($CW$57:$CW$95),"",INDEX(Lists!$FN$4:$FN$42,MATCH(ROW()-56,$CW$57:$CW$95,0)))</f>
        <v/>
      </c>
      <c r="CY78">
        <f>CY77+IF(AND(Lists!$FS$25&lt;&gt;"",ISNUMBER(SEARCH($AI$4,Lists!$FS$25))),1,0)</f>
        <v/>
      </c>
      <c r="CZ78">
        <f>IF(ROW()-56&gt;MAX($CY$57:$CY$95),"",INDEX(Lists!$FS$4:$FS$42,MATCH(ROW()-56,$CY$57:$CY$95,0)))</f>
        <v/>
      </c>
      <c r="DA78">
        <f>DA77+IF(AND(Lists!$FX$25&lt;&gt;"",ISNUMBER(SEARCH($AF$4,Lists!$FX$25))),1,0)</f>
        <v/>
      </c>
      <c r="DB78">
        <f>IF(ROW()-56&gt;MAX($DA$57:$DA$95),"",INDEX(Lists!$FX$4:$FX$42,MATCH(ROW()-56,$DA$57:$DA$95,0)))</f>
        <v/>
      </c>
      <c r="DG78">
        <f>IF($B$4="",1,IF($B$4="(blank)",--('Final Calculation Sheet'!$F$23=""),IF($B$4="(nonblank)",--('Final Calculation Sheet'!$F$23&lt;&gt;""),--ISNUMBER(SEARCH($B$4,'Final Calculation Sheet'!$F$23)))))</f>
        <v/>
      </c>
      <c r="DH78">
        <f>IF($C$4="",1,IF($C$4="(blank)",--('Final Calculation Sheet'!$G$23=""),IF($C$4="(nonblank)",--('Final Calculation Sheet'!$G$23&lt;&gt;""),--ISNUMBER(SEARCH($C$4,'Final Calculation Sheet'!$G$23)))))</f>
        <v/>
      </c>
      <c r="DI78">
        <f>IF($D$4="",1,IF($D$4="(blank)",--('Final Calculation Sheet'!$B$23=""),IF($D$4="(nonblank)",--('Final Calculation Sheet'!$B$23&lt;&gt;""),--ISNUMBER(SEARCH($D$4,'Final Calculation Sheet'!$B$23)))))</f>
        <v/>
      </c>
      <c r="DJ78">
        <f>IF($E$4="",1,IF($E$4="(blank)",--('Final Calculation Sheet'!$D$23=""),IF($E$4="(nonblank)",--('Final Calculation Sheet'!$D$23&lt;&gt;""),--ISNUMBER(SEARCH($E$4,'Final Calculation Sheet'!$D$23)))))</f>
        <v/>
      </c>
      <c r="DK78">
        <f>IF($F$4="",1,IF($F$4="(blank)",--('Final Calculation Sheet'!$A$23=""),IF($F$4="(nonblank)",--('Final Calculation Sheet'!$A$23&lt;&gt;""),--ISNUMBER(SEARCH($F$4,'Final Calculation Sheet'!$A$23)))))</f>
        <v/>
      </c>
      <c r="DL78">
        <f>IF($G$4="",1,IF($G$4="(blank)",--('Final Calculation Sheet'!$E$23=""),IF($G$4="(nonblank)",--('Final Calculation Sheet'!$E$23&lt;&gt;""),--ISNUMBER(SEARCH($G$4,'Final Calculation Sheet'!$E$23)))))</f>
        <v/>
      </c>
      <c r="DM78">
        <f>IF($H$4="",1,IF($H$4="(blank)",--('Final Calculation Sheet'!$C$23=""),IF($H$4="(nonblank)",--('Final Calculation Sheet'!$C$23&lt;&gt;""),--ISNUMBER(SEARCH($H$4,'Final Calculation Sheet'!$C$23)))))</f>
        <v/>
      </c>
      <c r="DN78">
        <f>IF($I$4="",1,IF($I$4="(blank)",--('Final Calculation Sheet'!$H$23=""),IF($I$4="(nonblank)",--('Final Calculation Sheet'!$H$23&lt;&gt;""),--ISNUMBER(SEARCH($I$4,'Final Calculation Sheet'!$H$23)))))</f>
        <v/>
      </c>
      <c r="DO78">
        <f>IF($J$4="",1,IF($J$4="(blank)",--('Final Calculation Sheet'!$I$23=""),IF($J$4="(nonblank)",--('Final Calculation Sheet'!$I$23&lt;&gt;""),--ISNUMBER(SEARCH($J$4,'Final Calculation Sheet'!$I$23)))))</f>
        <v/>
      </c>
      <c r="DP78">
        <f>IF($K$4="",1,IF($K$4="(blank)",--('Final Calculation Sheet'!$J$23=""),IF($K$4="(nonblank)",--('Final Calculation Sheet'!$J$23&lt;&gt;""),--ISNUMBER(SEARCH($K$4,'Final Calculation Sheet'!$J$23)))))</f>
        <v/>
      </c>
      <c r="DQ78">
        <f>IF($L$4="",1,IF($L$4="(blank)",--('Final Calculation Sheet'!$K$23=""),IF($L$4="(nonblank)",--('Final Calculation Sheet'!$K$23&lt;&gt;""),--ISNUMBER(SEARCH($L$4,'Final Calculation Sheet'!$K$23)))))</f>
        <v/>
      </c>
      <c r="DR78">
        <f>IF($M$4="",1,IF($M$4="(blank)",--('Final Calculation Sheet'!$L$23=""),IF($M$4="(nonblank)",--('Final Calculation Sheet'!$L$23&lt;&gt;""),--ISNUMBER(SEARCH($M$4,'Final Calculation Sheet'!$L$23)))))</f>
        <v/>
      </c>
      <c r="DS78">
        <f>IF($N$4="",1,IF($N$4="(blank)",--('Final Calculation Sheet'!$M$23=""),IF($N$4="(nonblank)",--('Final Calculation Sheet'!$M$23&lt;&gt;""),--ISNUMBER(SEARCH($N$4,'Final Calculation Sheet'!$M$23)))))</f>
        <v/>
      </c>
      <c r="DT78">
        <f>IF($O$4="",1,IF($O$4="(blank)",--('Final Calculation Sheet'!$N$23=""),IF($O$4="(nonblank)",--('Final Calculation Sheet'!$N$23&lt;&gt;""),--ISNUMBER(SEARCH($O$4,'Final Calculation Sheet'!$N$23)))))</f>
        <v/>
      </c>
      <c r="DU78">
        <f>IF($P$4="",1,IF($P$4="(blank)",--('Final Calculation Sheet'!$O$23=""),IF($P$4="(nonblank)",--('Final Calculation Sheet'!$O$23&lt;&gt;""),--ISNUMBER(SEARCH($P$4,'Final Calculation Sheet'!$O$23)))))</f>
        <v/>
      </c>
      <c r="DV78">
        <f>IF($Q$4="",1,IF($Q$4="(blank)",--('Final Calculation Sheet'!$P$23=""),IF($Q$4="(nonblank)",--('Final Calculation Sheet'!$P$23&lt;&gt;""),--ISNUMBER(SEARCH($Q$4,'Final Calculation Sheet'!$P$23)))))</f>
        <v/>
      </c>
      <c r="DW78">
        <f>IF($R$4="",1,IF($R$4="(blank)",--('Final Calculation Sheet'!$Q$23=""),IF($R$4="(nonblank)",--('Final Calculation Sheet'!$Q$23&lt;&gt;""),--ISNUMBER(SEARCH($R$4,'Final Calculation Sheet'!$Q$23)))))</f>
        <v/>
      </c>
      <c r="DX78">
        <f>IF($S$4="",1,IF($S$4="(blank)",--('Final Calculation Sheet'!$R$23=""),IF($S$4="(nonblank)",--('Final Calculation Sheet'!$R$23&lt;&gt;""),--ISNUMBER(SEARCH($S$4,'Final Calculation Sheet'!$R$23)))))</f>
        <v/>
      </c>
      <c r="DY78">
        <f>IF($T$4="",1,IF($T$4="(blank)",--('Final Calculation Sheet'!$S$23=""),IF($T$4="(nonblank)",--('Final Calculation Sheet'!$S$23&lt;&gt;""),--ISNUMBER(SEARCH($T$4,'Final Calculation Sheet'!$S$23)))))</f>
        <v/>
      </c>
      <c r="DZ78">
        <f>IF($U$4="",1,IF($U$4="(blank)",--('Final Calculation Sheet'!$T$23=""),IF($U$4="(nonblank)",--('Final Calculation Sheet'!$T$23&lt;&gt;""),--ISNUMBER(SEARCH($U$4,'Final Calculation Sheet'!$T$23)))))</f>
        <v/>
      </c>
      <c r="EA78">
        <f>IF($V$4="",1,IF($V$4="(blank)",--('Final Calculation Sheet'!$U$23=""),IF($V$4="(nonblank)",--('Final Calculation Sheet'!$U$23&lt;&gt;""),--ISNUMBER(SEARCH($V$4,'Final Calculation Sheet'!$U$23)))))</f>
        <v/>
      </c>
      <c r="EB78">
        <f>IF($W$4="",1,IF($W$4="(blank)",--('Final Calculation Sheet'!$V$23=""),IF($W$4="(nonblank)",--('Final Calculation Sheet'!$V$23&lt;&gt;""),--ISNUMBER(SEARCH($W$4,'Final Calculation Sheet'!$V$23)))))</f>
        <v/>
      </c>
      <c r="EC78">
        <f>IF($X$4="",1,IF($X$4="(blank)",--('Final Calculation Sheet'!$W$23=""),IF($X$4="(nonblank)",--('Final Calculation Sheet'!$W$23&lt;&gt;""),--ISNUMBER(SEARCH($X$4,'Final Calculation Sheet'!$W$23)))))</f>
        <v/>
      </c>
      <c r="ED78">
        <f>IF($Y$4="",1,IF($Y$4="(blank)",--('Final Calculation Sheet'!$X$23=""),IF($Y$4="(nonblank)",--('Final Calculation Sheet'!$X$23&lt;&gt;""),--ISNUMBER(SEARCH($Y$4,'Final Calculation Sheet'!$X$23)))))</f>
        <v/>
      </c>
      <c r="EE78">
        <f>IF($Z$4="",1,IF($Z$4="(blank)",--('Final Calculation Sheet'!$Y$23=""),IF($Z$4="(nonblank)",--('Final Calculation Sheet'!$Y$23&lt;&gt;""),--ISNUMBER(SEARCH($Z$4,'Final Calculation Sheet'!$Y$23)))))</f>
        <v/>
      </c>
      <c r="EF78">
        <f>IF($AA$4="",1,IF($AA$4="(blank)",--('Final Calculation Sheet'!$Z$23=""),IF($AA$4="(nonblank)",--('Final Calculation Sheet'!$Z$23&lt;&gt;""),--ISNUMBER(SEARCH($AA$4,'Final Calculation Sheet'!$Z$23)))))</f>
        <v/>
      </c>
      <c r="EG78">
        <f>IF($AB$4="",1,IF($AB$4="(blank)",--('Final Calculation Sheet'!$AA$23=""),IF($AB$4="(nonblank)",--('Final Calculation Sheet'!$AA$23&lt;&gt;""),--ISNUMBER(SEARCH($AB$4,'Final Calculation Sheet'!$AA$23)))))</f>
        <v/>
      </c>
      <c r="EH78">
        <f>IF($AC$4="",1,IF($AC$4="(blank)",--('Final Calculation Sheet'!$AB$23=""),IF($AC$4="(nonblank)",--('Final Calculation Sheet'!$AB$23&lt;&gt;""),--ISNUMBER(SEARCH($AC$4,'Final Calculation Sheet'!$AB$23)))))</f>
        <v/>
      </c>
      <c r="EI78">
        <f>IF($AD$4="",1,IF($AD$4="(blank)",--('Final Calculation Sheet'!$AC$23=""),IF($AD$4="(nonblank)",--('Final Calculation Sheet'!$AC$23&lt;&gt;""),--ISNUMBER(SEARCH($AD$4,'Final Calculation Sheet'!$AC$23)))))</f>
        <v/>
      </c>
      <c r="EJ78">
        <f>IF($AE$4="",1,IF($AE$4="(blank)",--('Final Calculation Sheet'!$AD$23=""),IF($AE$4="(nonblank)",--('Final Calculation Sheet'!$AD$23&lt;&gt;""),--ISNUMBER(SEARCH($AE$4,'Final Calculation Sheet'!$AD$23)))))</f>
        <v/>
      </c>
      <c r="EK78">
        <f>IF($AF$4="",1,IF($AF$4="(blank)",--(IF('Final Calculation Sheet'!$AD$23&lt;=5,"SETTLED","OUTSTANDING")=""),IF($AF$4="(nonblank)",--(IF('Final Calculation Sheet'!$AD$23&lt;=5,"SETTLED","OUTSTANDING")&lt;&gt;""),--ISNUMBER(SEARCH($AF$4,IF('Final Calculation Sheet'!$AD$23&lt;=5,"SETTLED","OUTSTANDING"))))))</f>
        <v/>
      </c>
      <c r="EL78">
        <f>IF($AG$4="",1,IF($AG$4="(blank)",--('Final Calculation Sheet'!$AF$23=""),IF($AG$4="(nonblank)",--('Final Calculation Sheet'!$AF$23&lt;&gt;""),--ISNUMBER(SEARCH($AG$4,'Final Calculation Sheet'!$AF$23)))))</f>
        <v/>
      </c>
      <c r="EM78">
        <f>IF($AH$4="",1,IF($AH$4="(blank)",--('Final Calculation Sheet'!$AG$23=""),IF($AH$4="(nonblank)",--('Final Calculation Sheet'!$AG$23&lt;&gt;""),--ISNUMBER(SEARCH($AH$4,'Final Calculation Sheet'!$AG$23)))))</f>
        <v/>
      </c>
      <c r="EN78">
        <f>IF($AI$4="",1,IF($AI$4="(blank)",--('Final Calculation Sheet'!$AH$23=""),IF($AI$4="(nonblank)",--('Final Calculation Sheet'!$AH$23&lt;&gt;""),--ISNUMBER(SEARCH($AI$4,'Final Calculation Sheet'!$AH$23)))))</f>
        <v/>
      </c>
    </row>
    <row r="79">
      <c r="AM79">
        <f>AM78+IF(AND(Lists!$O$26&lt;&gt;"",ISNUMBER(SEARCH($B$4,Lists!$O$26))),1,0)</f>
        <v/>
      </c>
      <c r="AN79">
        <f>IF(ROW()-56&gt;MAX($AM$57:$AM$95),"",INDEX(Lists!$O$4:$O$42,MATCH(ROW()-56,$AM$57:$AM$95,0)))</f>
        <v/>
      </c>
      <c r="AO79">
        <f>AO78+IF(AND(Lists!$T$26&lt;&gt;"",ISNUMBER(SEARCH($C$4,Lists!$T$26))),1,0)</f>
        <v/>
      </c>
      <c r="AP79">
        <f>IF(ROW()-56&gt;MAX($AO$57:$AO$95),"",INDEX(Lists!$T$4:$T$42,MATCH(ROW()-56,$AO$57:$AO$95,0)))</f>
        <v/>
      </c>
      <c r="AQ79">
        <f>AQ78+IF(AND(Lists!$Y$26&lt;&gt;"",ISNUMBER(SEARCH($D$4,Lists!$Y$26))),1,0)</f>
        <v/>
      </c>
      <c r="AR79">
        <f>IF(ROW()-56&gt;MAX($AQ$57:$AQ$95),"",INDEX(Lists!$Y$4:$Y$42,MATCH(ROW()-56,$AQ$57:$AQ$95,0)))</f>
        <v/>
      </c>
      <c r="AS79">
        <f>AS78+IF(AND(Lists!$AD$26&lt;&gt;"",ISNUMBER(SEARCH($E$4,Lists!$AD$26))),1,0)</f>
        <v/>
      </c>
      <c r="AT79">
        <f>IF(ROW()-56&gt;MAX($AS$57:$AS$95),"",INDEX(Lists!$AD$4:$AD$42,MATCH(ROW()-56,$AS$57:$AS$95,0)))</f>
        <v/>
      </c>
      <c r="AU79">
        <f>AU78+IF(AND(Lists!$AI$26&lt;&gt;"",ISNUMBER(SEARCH($F$4,Lists!$AI$26))),1,0)</f>
        <v/>
      </c>
      <c r="AV79">
        <f>IF(ROW()-56&gt;MAX($AU$57:$AU$95),"",INDEX(Lists!$AI$4:$AI$42,MATCH(ROW()-56,$AU$57:$AU$95,0)))</f>
        <v/>
      </c>
      <c r="AW79">
        <f>AW78+IF(AND(Lists!$AN$26&lt;&gt;"",ISNUMBER(SEARCH($G$4,Lists!$AN$26))),1,0)</f>
        <v/>
      </c>
      <c r="AX79">
        <f>IF(ROW()-56&gt;MAX($AW$57:$AW$95),"",INDEX(Lists!$AN$4:$AN$42,MATCH(ROW()-56,$AW$57:$AW$95,0)))</f>
        <v/>
      </c>
      <c r="AY79">
        <f>AY78+IF(AND(Lists!$AS$26&lt;&gt;"",ISNUMBER(SEARCH($H$4,Lists!$AS$26))),1,0)</f>
        <v/>
      </c>
      <c r="AZ79">
        <f>IF(ROW()-56&gt;MAX($AY$57:$AY$95),"",INDEX(Lists!$AS$4:$AS$42,MATCH(ROW()-56,$AY$57:$AY$95,0)))</f>
        <v/>
      </c>
      <c r="BA79">
        <f>BA78+IF(AND(Lists!$AX$26&lt;&gt;"",ISNUMBER(SEARCH($I$4,Lists!$AX$26))),1,0)</f>
        <v/>
      </c>
      <c r="BB79">
        <f>IF(ROW()-56&gt;MAX($BA$57:$BA$95),"",INDEX(Lists!$AX$4:$AX$42,MATCH(ROW()-56,$BA$57:$BA$95,0)))</f>
        <v/>
      </c>
      <c r="BC79">
        <f>BC78+IF(AND(Lists!$BC$26&lt;&gt;"",ISNUMBER(SEARCH($J$4,Lists!$BC$26))),1,0)</f>
        <v/>
      </c>
      <c r="BD79">
        <f>IF(ROW()-56&gt;MAX($BC$57:$BC$95),"",INDEX(Lists!$BC$4:$BC$42,MATCH(ROW()-56,$BC$57:$BC$95,0)))</f>
        <v/>
      </c>
      <c r="BE79">
        <f>BE78+IF(AND(Lists!$BH$26&lt;&gt;"",ISNUMBER(SEARCH($K$4,Lists!$BH$26))),1,0)</f>
        <v/>
      </c>
      <c r="BF79">
        <f>IF(ROW()-56&gt;MAX($BE$57:$BE$95),"",INDEX(Lists!$BH$4:$BH$42,MATCH(ROW()-56,$BE$57:$BE$95,0)))</f>
        <v/>
      </c>
      <c r="BG79">
        <f>BG78+IF(AND(Lists!$BM$26&lt;&gt;"",ISNUMBER(SEARCH($L$4,Lists!$BM$26))),1,0)</f>
        <v/>
      </c>
      <c r="BH79">
        <f>IF(ROW()-56&gt;MAX($BG$57:$BG$95),"",INDEX(Lists!$BM$4:$BM$42,MATCH(ROW()-56,$BG$57:$BG$95,0)))</f>
        <v/>
      </c>
      <c r="BI79">
        <f>BI78+IF(AND(Lists!$BR$26&lt;&gt;"",ISNUMBER(SEARCH($M$4,Lists!$BR$26))),1,0)</f>
        <v/>
      </c>
      <c r="BJ79">
        <f>IF(ROW()-56&gt;MAX($BI$57:$BI$95),"",INDEX(Lists!$BR$4:$BR$42,MATCH(ROW()-56,$BI$57:$BI$95,0)))</f>
        <v/>
      </c>
      <c r="BK79">
        <f>BK78+IF(AND(Lists!$BW$26&lt;&gt;"",ISNUMBER(SEARCH($N$4,Lists!$BW$26))),1,0)</f>
        <v/>
      </c>
      <c r="BL79">
        <f>IF(ROW()-56&gt;MAX($BK$57:$BK$95),"",INDEX(Lists!$BW$4:$BW$42,MATCH(ROW()-56,$BK$57:$BK$95,0)))</f>
        <v/>
      </c>
      <c r="BM79">
        <f>BM78+IF(AND(Lists!$CB$26&lt;&gt;"",ISNUMBER(SEARCH($O$4,Lists!$CB$26))),1,0)</f>
        <v/>
      </c>
      <c r="BN79">
        <f>IF(ROW()-56&gt;MAX($BM$57:$BM$95),"",INDEX(Lists!$CB$4:$CB$42,MATCH(ROW()-56,$BM$57:$BM$95,0)))</f>
        <v/>
      </c>
      <c r="BO79">
        <f>BO78+IF(AND(Lists!$CG$26&lt;&gt;"",ISNUMBER(SEARCH($P$4,Lists!$CG$26))),1,0)</f>
        <v/>
      </c>
      <c r="BP79">
        <f>IF(ROW()-56&gt;MAX($BO$57:$BO$95),"",INDEX(Lists!$CG$4:$CG$42,MATCH(ROW()-56,$BO$57:$BO$95,0)))</f>
        <v/>
      </c>
      <c r="BQ79">
        <f>BQ78+IF(AND(Lists!$CL$26&lt;&gt;"",ISNUMBER(SEARCH($Q$4,Lists!$CL$26))),1,0)</f>
        <v/>
      </c>
      <c r="BR79">
        <f>IF(ROW()-56&gt;MAX($BQ$57:$BQ$95),"",INDEX(Lists!$CL$4:$CL$42,MATCH(ROW()-56,$BQ$57:$BQ$95,0)))</f>
        <v/>
      </c>
      <c r="BS79">
        <f>BS78+IF(AND(Lists!$CQ$26&lt;&gt;"",ISNUMBER(SEARCH($R$4,Lists!$CQ$26))),1,0)</f>
        <v/>
      </c>
      <c r="BT79">
        <f>IF(ROW()-56&gt;MAX($BS$57:$BS$95),"",INDEX(Lists!$CQ$4:$CQ$42,MATCH(ROW()-56,$BS$57:$BS$95,0)))</f>
        <v/>
      </c>
      <c r="BU79">
        <f>BU78+IF(AND(Lists!$CV$26&lt;&gt;"",ISNUMBER(SEARCH($S$4,Lists!$CV$26))),1,0)</f>
        <v/>
      </c>
      <c r="BV79">
        <f>IF(ROW()-56&gt;MAX($BU$57:$BU$95),"",INDEX(Lists!$CV$4:$CV$42,MATCH(ROW()-56,$BU$57:$BU$95,0)))</f>
        <v/>
      </c>
      <c r="BW79">
        <f>BW78+IF(AND(Lists!$DA$26&lt;&gt;"",ISNUMBER(SEARCH($T$4,Lists!$DA$26))),1,0)</f>
        <v/>
      </c>
      <c r="BX79">
        <f>IF(ROW()-56&gt;MAX($BW$57:$BW$95),"",INDEX(Lists!$DA$4:$DA$42,MATCH(ROW()-56,$BW$57:$BW$95,0)))</f>
        <v/>
      </c>
      <c r="BY79">
        <f>BY78+IF(AND(Lists!$DF$26&lt;&gt;"",ISNUMBER(SEARCH($U$4,Lists!$DF$26))),1,0)</f>
        <v/>
      </c>
      <c r="BZ79">
        <f>IF(ROW()-56&gt;MAX($BY$57:$BY$95),"",INDEX(Lists!$DF$4:$DF$42,MATCH(ROW()-56,$BY$57:$BY$95,0)))</f>
        <v/>
      </c>
      <c r="CA79">
        <f>CA78+IF(AND(Lists!$DK$26&lt;&gt;"",ISNUMBER(SEARCH($V$4,Lists!$DK$26))),1,0)</f>
        <v/>
      </c>
      <c r="CB79">
        <f>IF(ROW()-56&gt;MAX($CA$57:$CA$95),"",INDEX(Lists!$DK$4:$DK$42,MATCH(ROW()-56,$CA$57:$CA$95,0)))</f>
        <v/>
      </c>
      <c r="CC79">
        <f>CC78+IF(AND(Lists!$DP$26&lt;&gt;"",ISNUMBER(SEARCH($W$4,Lists!$DP$26))),1,0)</f>
        <v/>
      </c>
      <c r="CD79">
        <f>IF(ROW()-56&gt;MAX($CC$57:$CC$95),"",INDEX(Lists!$DP$4:$DP$42,MATCH(ROW()-56,$CC$57:$CC$95,0)))</f>
        <v/>
      </c>
      <c r="CE79">
        <f>CE78+IF(AND(Lists!$DU$26&lt;&gt;"",ISNUMBER(SEARCH($X$4,Lists!$DU$26))),1,0)</f>
        <v/>
      </c>
      <c r="CF79">
        <f>IF(ROW()-56&gt;MAX($CE$57:$CE$95),"",INDEX(Lists!$DU$4:$DU$42,MATCH(ROW()-56,$CE$57:$CE$95,0)))</f>
        <v/>
      </c>
      <c r="CG79">
        <f>CG78+IF(AND(Lists!$DZ$26&lt;&gt;"",ISNUMBER(SEARCH($Y$4,Lists!$DZ$26))),1,0)</f>
        <v/>
      </c>
      <c r="CH79">
        <f>IF(ROW()-56&gt;MAX($CG$57:$CG$95),"",INDEX(Lists!$DZ$4:$DZ$42,MATCH(ROW()-56,$CG$57:$CG$95,0)))</f>
        <v/>
      </c>
      <c r="CI79">
        <f>CI78+IF(AND(Lists!$EE$26&lt;&gt;"",ISNUMBER(SEARCH($Z$4,Lists!$EE$26))),1,0)</f>
        <v/>
      </c>
      <c r="CJ79">
        <f>IF(ROW()-56&gt;MAX($CI$57:$CI$95),"",INDEX(Lists!$EE$4:$EE$42,MATCH(ROW()-56,$CI$57:$CI$95,0)))</f>
        <v/>
      </c>
      <c r="CK79">
        <f>CK78+IF(AND(Lists!$EJ$26&lt;&gt;"",ISNUMBER(SEARCH($AA$4,Lists!$EJ$26))),1,0)</f>
        <v/>
      </c>
      <c r="CL79">
        <f>IF(ROW()-56&gt;MAX($CK$57:$CK$95),"",INDEX(Lists!$EJ$4:$EJ$42,MATCH(ROW()-56,$CK$57:$CK$95,0)))</f>
        <v/>
      </c>
      <c r="CM79">
        <f>CM78+IF(AND(Lists!$EO$26&lt;&gt;"",ISNUMBER(SEARCH($AB$4,Lists!$EO$26))),1,0)</f>
        <v/>
      </c>
      <c r="CN79">
        <f>IF(ROW()-56&gt;MAX($CM$57:$CM$95),"",INDEX(Lists!$EO$4:$EO$42,MATCH(ROW()-56,$CM$57:$CM$95,0)))</f>
        <v/>
      </c>
      <c r="CO79">
        <f>CO78+IF(AND(Lists!$ET$26&lt;&gt;"",ISNUMBER(SEARCH($AC$4,Lists!$ET$26))),1,0)</f>
        <v/>
      </c>
      <c r="CP79">
        <f>IF(ROW()-56&gt;MAX($CO$57:$CO$95),"",INDEX(Lists!$ET$4:$ET$42,MATCH(ROW()-56,$CO$57:$CO$95,0)))</f>
        <v/>
      </c>
      <c r="CQ79">
        <f>CQ78+IF(AND(Lists!$EY$26&lt;&gt;"",ISNUMBER(SEARCH($AD$4,Lists!$EY$26))),1,0)</f>
        <v/>
      </c>
      <c r="CR79">
        <f>IF(ROW()-56&gt;MAX($CQ$57:$CQ$95),"",INDEX(Lists!$EY$4:$EY$42,MATCH(ROW()-56,$CQ$57:$CQ$95,0)))</f>
        <v/>
      </c>
      <c r="CS79">
        <f>CS78+IF(AND(Lists!$FD$26&lt;&gt;"",ISNUMBER(SEARCH($AE$4,Lists!$FD$26))),1,0)</f>
        <v/>
      </c>
      <c r="CT79">
        <f>IF(ROW()-56&gt;MAX($CS$57:$CS$95),"",INDEX(Lists!$FD$4:$FD$42,MATCH(ROW()-56,$CS$57:$CS$95,0)))</f>
        <v/>
      </c>
      <c r="CU79">
        <f>CU78+IF(AND(Lists!$FI$26&lt;&gt;"",ISNUMBER(SEARCH($AG$4,Lists!$FI$26))),1,0)</f>
        <v/>
      </c>
      <c r="CV79">
        <f>IF(ROW()-56&gt;MAX($CU$57:$CU$95),"",INDEX(Lists!$FI$4:$FI$42,MATCH(ROW()-56,$CU$57:$CU$95,0)))</f>
        <v/>
      </c>
      <c r="CW79">
        <f>CW78+IF(AND(Lists!$FN$26&lt;&gt;"",ISNUMBER(SEARCH($AH$4,Lists!$FN$26))),1,0)</f>
        <v/>
      </c>
      <c r="CX79">
        <f>IF(ROW()-56&gt;MAX($CW$57:$CW$95),"",INDEX(Lists!$FN$4:$FN$42,MATCH(ROW()-56,$CW$57:$CW$95,0)))</f>
        <v/>
      </c>
      <c r="CY79">
        <f>CY78+IF(AND(Lists!$FS$26&lt;&gt;"",ISNUMBER(SEARCH($AI$4,Lists!$FS$26))),1,0)</f>
        <v/>
      </c>
      <c r="CZ79">
        <f>IF(ROW()-56&gt;MAX($CY$57:$CY$95),"",INDEX(Lists!$FS$4:$FS$42,MATCH(ROW()-56,$CY$57:$CY$95,0)))</f>
        <v/>
      </c>
      <c r="DA79">
        <f>DA78+IF(AND(Lists!$FX$26&lt;&gt;"",ISNUMBER(SEARCH($AF$4,Lists!$FX$26))),1,0)</f>
        <v/>
      </c>
      <c r="DB79">
        <f>IF(ROW()-56&gt;MAX($DA$57:$DA$95),"",INDEX(Lists!$FX$4:$FX$42,MATCH(ROW()-56,$DA$57:$DA$95,0)))</f>
        <v/>
      </c>
      <c r="DG79">
        <f>IF($B$4="",1,IF($B$4="(blank)",--('Final Calculation Sheet'!$F$24=""),IF($B$4="(nonblank)",--('Final Calculation Sheet'!$F$24&lt;&gt;""),--ISNUMBER(SEARCH($B$4,'Final Calculation Sheet'!$F$24)))))</f>
        <v/>
      </c>
      <c r="DH79">
        <f>IF($C$4="",1,IF($C$4="(blank)",--('Final Calculation Sheet'!$G$24=""),IF($C$4="(nonblank)",--('Final Calculation Sheet'!$G$24&lt;&gt;""),--ISNUMBER(SEARCH($C$4,'Final Calculation Sheet'!$G$24)))))</f>
        <v/>
      </c>
      <c r="DI79">
        <f>IF($D$4="",1,IF($D$4="(blank)",--('Final Calculation Sheet'!$B$24=""),IF($D$4="(nonblank)",--('Final Calculation Sheet'!$B$24&lt;&gt;""),--ISNUMBER(SEARCH($D$4,'Final Calculation Sheet'!$B$24)))))</f>
        <v/>
      </c>
      <c r="DJ79">
        <f>IF($E$4="",1,IF($E$4="(blank)",--('Final Calculation Sheet'!$D$24=""),IF($E$4="(nonblank)",--('Final Calculation Sheet'!$D$24&lt;&gt;""),--ISNUMBER(SEARCH($E$4,'Final Calculation Sheet'!$D$24)))))</f>
        <v/>
      </c>
      <c r="DK79">
        <f>IF($F$4="",1,IF($F$4="(blank)",--('Final Calculation Sheet'!$A$24=""),IF($F$4="(nonblank)",--('Final Calculation Sheet'!$A$24&lt;&gt;""),--ISNUMBER(SEARCH($F$4,'Final Calculation Sheet'!$A$24)))))</f>
        <v/>
      </c>
      <c r="DL79">
        <f>IF($G$4="",1,IF($G$4="(blank)",--('Final Calculation Sheet'!$E$24=""),IF($G$4="(nonblank)",--('Final Calculation Sheet'!$E$24&lt;&gt;""),--ISNUMBER(SEARCH($G$4,'Final Calculation Sheet'!$E$24)))))</f>
        <v/>
      </c>
      <c r="DM79">
        <f>IF($H$4="",1,IF($H$4="(blank)",--('Final Calculation Sheet'!$C$24=""),IF($H$4="(nonblank)",--('Final Calculation Sheet'!$C$24&lt;&gt;""),--ISNUMBER(SEARCH($H$4,'Final Calculation Sheet'!$C$24)))))</f>
        <v/>
      </c>
      <c r="DN79">
        <f>IF($I$4="",1,IF($I$4="(blank)",--('Final Calculation Sheet'!$H$24=""),IF($I$4="(nonblank)",--('Final Calculation Sheet'!$H$24&lt;&gt;""),--ISNUMBER(SEARCH($I$4,'Final Calculation Sheet'!$H$24)))))</f>
        <v/>
      </c>
      <c r="DO79">
        <f>IF($J$4="",1,IF($J$4="(blank)",--('Final Calculation Sheet'!$I$24=""),IF($J$4="(nonblank)",--('Final Calculation Sheet'!$I$24&lt;&gt;""),--ISNUMBER(SEARCH($J$4,'Final Calculation Sheet'!$I$24)))))</f>
        <v/>
      </c>
      <c r="DP79">
        <f>IF($K$4="",1,IF($K$4="(blank)",--('Final Calculation Sheet'!$J$24=""),IF($K$4="(nonblank)",--('Final Calculation Sheet'!$J$24&lt;&gt;""),--ISNUMBER(SEARCH($K$4,'Final Calculation Sheet'!$J$24)))))</f>
        <v/>
      </c>
      <c r="DQ79">
        <f>IF($L$4="",1,IF($L$4="(blank)",--('Final Calculation Sheet'!$K$24=""),IF($L$4="(nonblank)",--('Final Calculation Sheet'!$K$24&lt;&gt;""),--ISNUMBER(SEARCH($L$4,'Final Calculation Sheet'!$K$24)))))</f>
        <v/>
      </c>
      <c r="DR79">
        <f>IF($M$4="",1,IF($M$4="(blank)",--('Final Calculation Sheet'!$L$24=""),IF($M$4="(nonblank)",--('Final Calculation Sheet'!$L$24&lt;&gt;""),--ISNUMBER(SEARCH($M$4,'Final Calculation Sheet'!$L$24)))))</f>
        <v/>
      </c>
      <c r="DS79">
        <f>IF($N$4="",1,IF($N$4="(blank)",--('Final Calculation Sheet'!$M$24=""),IF($N$4="(nonblank)",--('Final Calculation Sheet'!$M$24&lt;&gt;""),--ISNUMBER(SEARCH($N$4,'Final Calculation Sheet'!$M$24)))))</f>
        <v/>
      </c>
      <c r="DT79">
        <f>IF($O$4="",1,IF($O$4="(blank)",--('Final Calculation Sheet'!$N$24=""),IF($O$4="(nonblank)",--('Final Calculation Sheet'!$N$24&lt;&gt;""),--ISNUMBER(SEARCH($O$4,'Final Calculation Sheet'!$N$24)))))</f>
        <v/>
      </c>
      <c r="DU79">
        <f>IF($P$4="",1,IF($P$4="(blank)",--('Final Calculation Sheet'!$O$24=""),IF($P$4="(nonblank)",--('Final Calculation Sheet'!$O$24&lt;&gt;""),--ISNUMBER(SEARCH($P$4,'Final Calculation Sheet'!$O$24)))))</f>
        <v/>
      </c>
      <c r="DV79">
        <f>IF($Q$4="",1,IF($Q$4="(blank)",--('Final Calculation Sheet'!$P$24=""),IF($Q$4="(nonblank)",--('Final Calculation Sheet'!$P$24&lt;&gt;""),--ISNUMBER(SEARCH($Q$4,'Final Calculation Sheet'!$P$24)))))</f>
        <v/>
      </c>
      <c r="DW79">
        <f>IF($R$4="",1,IF($R$4="(blank)",--('Final Calculation Sheet'!$Q$24=""),IF($R$4="(nonblank)",--('Final Calculation Sheet'!$Q$24&lt;&gt;""),--ISNUMBER(SEARCH($R$4,'Final Calculation Sheet'!$Q$24)))))</f>
        <v/>
      </c>
      <c r="DX79">
        <f>IF($S$4="",1,IF($S$4="(blank)",--('Final Calculation Sheet'!$R$24=""),IF($S$4="(nonblank)",--('Final Calculation Sheet'!$R$24&lt;&gt;""),--ISNUMBER(SEARCH($S$4,'Final Calculation Sheet'!$R$24)))))</f>
        <v/>
      </c>
      <c r="DY79">
        <f>IF($T$4="",1,IF($T$4="(blank)",--('Final Calculation Sheet'!$S$24=""),IF($T$4="(nonblank)",--('Final Calculation Sheet'!$S$24&lt;&gt;""),--ISNUMBER(SEARCH($T$4,'Final Calculation Sheet'!$S$24)))))</f>
        <v/>
      </c>
      <c r="DZ79">
        <f>IF($U$4="",1,IF($U$4="(blank)",--('Final Calculation Sheet'!$T$24=""),IF($U$4="(nonblank)",--('Final Calculation Sheet'!$T$24&lt;&gt;""),--ISNUMBER(SEARCH($U$4,'Final Calculation Sheet'!$T$24)))))</f>
        <v/>
      </c>
      <c r="EA79">
        <f>IF($V$4="",1,IF($V$4="(blank)",--('Final Calculation Sheet'!$U$24=""),IF($V$4="(nonblank)",--('Final Calculation Sheet'!$U$24&lt;&gt;""),--ISNUMBER(SEARCH($V$4,'Final Calculation Sheet'!$U$24)))))</f>
        <v/>
      </c>
      <c r="EB79">
        <f>IF($W$4="",1,IF($W$4="(blank)",--('Final Calculation Sheet'!$V$24=""),IF($W$4="(nonblank)",--('Final Calculation Sheet'!$V$24&lt;&gt;""),--ISNUMBER(SEARCH($W$4,'Final Calculation Sheet'!$V$24)))))</f>
        <v/>
      </c>
      <c r="EC79">
        <f>IF($X$4="",1,IF($X$4="(blank)",--('Final Calculation Sheet'!$W$24=""),IF($X$4="(nonblank)",--('Final Calculation Sheet'!$W$24&lt;&gt;""),--ISNUMBER(SEARCH($X$4,'Final Calculation Sheet'!$W$24)))))</f>
        <v/>
      </c>
      <c r="ED79">
        <f>IF($Y$4="",1,IF($Y$4="(blank)",--('Final Calculation Sheet'!$X$24=""),IF($Y$4="(nonblank)",--('Final Calculation Sheet'!$X$24&lt;&gt;""),--ISNUMBER(SEARCH($Y$4,'Final Calculation Sheet'!$X$24)))))</f>
        <v/>
      </c>
      <c r="EE79">
        <f>IF($Z$4="",1,IF($Z$4="(blank)",--('Final Calculation Sheet'!$Y$24=""),IF($Z$4="(nonblank)",--('Final Calculation Sheet'!$Y$24&lt;&gt;""),--ISNUMBER(SEARCH($Z$4,'Final Calculation Sheet'!$Y$24)))))</f>
        <v/>
      </c>
      <c r="EF79">
        <f>IF($AA$4="",1,IF($AA$4="(blank)",--('Final Calculation Sheet'!$Z$24=""),IF($AA$4="(nonblank)",--('Final Calculation Sheet'!$Z$24&lt;&gt;""),--ISNUMBER(SEARCH($AA$4,'Final Calculation Sheet'!$Z$24)))))</f>
        <v/>
      </c>
      <c r="EG79">
        <f>IF($AB$4="",1,IF($AB$4="(blank)",--('Final Calculation Sheet'!$AA$24=""),IF($AB$4="(nonblank)",--('Final Calculation Sheet'!$AA$24&lt;&gt;""),--ISNUMBER(SEARCH($AB$4,'Final Calculation Sheet'!$AA$24)))))</f>
        <v/>
      </c>
      <c r="EH79">
        <f>IF($AC$4="",1,IF($AC$4="(blank)",--('Final Calculation Sheet'!$AB$24=""),IF($AC$4="(nonblank)",--('Final Calculation Sheet'!$AB$24&lt;&gt;""),--ISNUMBER(SEARCH($AC$4,'Final Calculation Sheet'!$AB$24)))))</f>
        <v/>
      </c>
      <c r="EI79">
        <f>IF($AD$4="",1,IF($AD$4="(blank)",--('Final Calculation Sheet'!$AC$24=""),IF($AD$4="(nonblank)",--('Final Calculation Sheet'!$AC$24&lt;&gt;""),--ISNUMBER(SEARCH($AD$4,'Final Calculation Sheet'!$AC$24)))))</f>
        <v/>
      </c>
      <c r="EJ79">
        <f>IF($AE$4="",1,IF($AE$4="(blank)",--('Final Calculation Sheet'!$AD$24=""),IF($AE$4="(nonblank)",--('Final Calculation Sheet'!$AD$24&lt;&gt;""),--ISNUMBER(SEARCH($AE$4,'Final Calculation Sheet'!$AD$24)))))</f>
        <v/>
      </c>
      <c r="EK79">
        <f>IF($AF$4="",1,IF($AF$4="(blank)",--(IF('Final Calculation Sheet'!$AD$24&lt;=5,"SETTLED","OUTSTANDING")=""),IF($AF$4="(nonblank)",--(IF('Final Calculation Sheet'!$AD$24&lt;=5,"SETTLED","OUTSTANDING")&lt;&gt;""),--ISNUMBER(SEARCH($AF$4,IF('Final Calculation Sheet'!$AD$24&lt;=5,"SETTLED","OUTSTANDING"))))))</f>
        <v/>
      </c>
      <c r="EL79">
        <f>IF($AG$4="",1,IF($AG$4="(blank)",--('Final Calculation Sheet'!$AF$24=""),IF($AG$4="(nonblank)",--('Final Calculation Sheet'!$AF$24&lt;&gt;""),--ISNUMBER(SEARCH($AG$4,'Final Calculation Sheet'!$AF$24)))))</f>
        <v/>
      </c>
      <c r="EM79">
        <f>IF($AH$4="",1,IF($AH$4="(blank)",--('Final Calculation Sheet'!$AG$24=""),IF($AH$4="(nonblank)",--('Final Calculation Sheet'!$AG$24&lt;&gt;""),--ISNUMBER(SEARCH($AH$4,'Final Calculation Sheet'!$AG$24)))))</f>
        <v/>
      </c>
      <c r="EN79">
        <f>IF($AI$4="",1,IF($AI$4="(blank)",--('Final Calculation Sheet'!$AH$24=""),IF($AI$4="(nonblank)",--('Final Calculation Sheet'!$AH$24&lt;&gt;""),--ISNUMBER(SEARCH($AI$4,'Final Calculation Sheet'!$AH$24)))))</f>
        <v/>
      </c>
    </row>
    <row r="80">
      <c r="AM80">
        <f>AM79+IF(AND(Lists!$O$27&lt;&gt;"",ISNUMBER(SEARCH($B$4,Lists!$O$27))),1,0)</f>
        <v/>
      </c>
      <c r="AN80">
        <f>IF(ROW()-56&gt;MAX($AM$57:$AM$95),"",INDEX(Lists!$O$4:$O$42,MATCH(ROW()-56,$AM$57:$AM$95,0)))</f>
        <v/>
      </c>
      <c r="AO80">
        <f>AO79+IF(AND(Lists!$T$27&lt;&gt;"",ISNUMBER(SEARCH($C$4,Lists!$T$27))),1,0)</f>
        <v/>
      </c>
      <c r="AP80">
        <f>IF(ROW()-56&gt;MAX($AO$57:$AO$95),"",INDEX(Lists!$T$4:$T$42,MATCH(ROW()-56,$AO$57:$AO$95,0)))</f>
        <v/>
      </c>
      <c r="AQ80">
        <f>AQ79+IF(AND(Lists!$Y$27&lt;&gt;"",ISNUMBER(SEARCH($D$4,Lists!$Y$27))),1,0)</f>
        <v/>
      </c>
      <c r="AR80">
        <f>IF(ROW()-56&gt;MAX($AQ$57:$AQ$95),"",INDEX(Lists!$Y$4:$Y$42,MATCH(ROW()-56,$AQ$57:$AQ$95,0)))</f>
        <v/>
      </c>
      <c r="AS80">
        <f>AS79+IF(AND(Lists!$AD$27&lt;&gt;"",ISNUMBER(SEARCH($E$4,Lists!$AD$27))),1,0)</f>
        <v/>
      </c>
      <c r="AT80">
        <f>IF(ROW()-56&gt;MAX($AS$57:$AS$95),"",INDEX(Lists!$AD$4:$AD$42,MATCH(ROW()-56,$AS$57:$AS$95,0)))</f>
        <v/>
      </c>
      <c r="AU80">
        <f>AU79+IF(AND(Lists!$AI$27&lt;&gt;"",ISNUMBER(SEARCH($F$4,Lists!$AI$27))),1,0)</f>
        <v/>
      </c>
      <c r="AV80">
        <f>IF(ROW()-56&gt;MAX($AU$57:$AU$95),"",INDEX(Lists!$AI$4:$AI$42,MATCH(ROW()-56,$AU$57:$AU$95,0)))</f>
        <v/>
      </c>
      <c r="AW80">
        <f>AW79+IF(AND(Lists!$AN$27&lt;&gt;"",ISNUMBER(SEARCH($G$4,Lists!$AN$27))),1,0)</f>
        <v/>
      </c>
      <c r="AX80">
        <f>IF(ROW()-56&gt;MAX($AW$57:$AW$95),"",INDEX(Lists!$AN$4:$AN$42,MATCH(ROW()-56,$AW$57:$AW$95,0)))</f>
        <v/>
      </c>
      <c r="AY80">
        <f>AY79+IF(AND(Lists!$AS$27&lt;&gt;"",ISNUMBER(SEARCH($H$4,Lists!$AS$27))),1,0)</f>
        <v/>
      </c>
      <c r="AZ80">
        <f>IF(ROW()-56&gt;MAX($AY$57:$AY$95),"",INDEX(Lists!$AS$4:$AS$42,MATCH(ROW()-56,$AY$57:$AY$95,0)))</f>
        <v/>
      </c>
      <c r="BA80">
        <f>BA79+IF(AND(Lists!$AX$27&lt;&gt;"",ISNUMBER(SEARCH($I$4,Lists!$AX$27))),1,0)</f>
        <v/>
      </c>
      <c r="BB80">
        <f>IF(ROW()-56&gt;MAX($BA$57:$BA$95),"",INDEX(Lists!$AX$4:$AX$42,MATCH(ROW()-56,$BA$57:$BA$95,0)))</f>
        <v/>
      </c>
      <c r="BC80">
        <f>BC79+IF(AND(Lists!$BC$27&lt;&gt;"",ISNUMBER(SEARCH($J$4,Lists!$BC$27))),1,0)</f>
        <v/>
      </c>
      <c r="BD80">
        <f>IF(ROW()-56&gt;MAX($BC$57:$BC$95),"",INDEX(Lists!$BC$4:$BC$42,MATCH(ROW()-56,$BC$57:$BC$95,0)))</f>
        <v/>
      </c>
      <c r="BE80">
        <f>BE79+IF(AND(Lists!$BH$27&lt;&gt;"",ISNUMBER(SEARCH($K$4,Lists!$BH$27))),1,0)</f>
        <v/>
      </c>
      <c r="BF80">
        <f>IF(ROW()-56&gt;MAX($BE$57:$BE$95),"",INDEX(Lists!$BH$4:$BH$42,MATCH(ROW()-56,$BE$57:$BE$95,0)))</f>
        <v/>
      </c>
      <c r="BG80">
        <f>BG79+IF(AND(Lists!$BM$27&lt;&gt;"",ISNUMBER(SEARCH($L$4,Lists!$BM$27))),1,0)</f>
        <v/>
      </c>
      <c r="BH80">
        <f>IF(ROW()-56&gt;MAX($BG$57:$BG$95),"",INDEX(Lists!$BM$4:$BM$42,MATCH(ROW()-56,$BG$57:$BG$95,0)))</f>
        <v/>
      </c>
      <c r="BI80">
        <f>BI79+IF(AND(Lists!$BR$27&lt;&gt;"",ISNUMBER(SEARCH($M$4,Lists!$BR$27))),1,0)</f>
        <v/>
      </c>
      <c r="BJ80">
        <f>IF(ROW()-56&gt;MAX($BI$57:$BI$95),"",INDEX(Lists!$BR$4:$BR$42,MATCH(ROW()-56,$BI$57:$BI$95,0)))</f>
        <v/>
      </c>
      <c r="BK80">
        <f>BK79+IF(AND(Lists!$BW$27&lt;&gt;"",ISNUMBER(SEARCH($N$4,Lists!$BW$27))),1,0)</f>
        <v/>
      </c>
      <c r="BL80">
        <f>IF(ROW()-56&gt;MAX($BK$57:$BK$95),"",INDEX(Lists!$BW$4:$BW$42,MATCH(ROW()-56,$BK$57:$BK$95,0)))</f>
        <v/>
      </c>
      <c r="BM80">
        <f>BM79+IF(AND(Lists!$CB$27&lt;&gt;"",ISNUMBER(SEARCH($O$4,Lists!$CB$27))),1,0)</f>
        <v/>
      </c>
      <c r="BN80">
        <f>IF(ROW()-56&gt;MAX($BM$57:$BM$95),"",INDEX(Lists!$CB$4:$CB$42,MATCH(ROW()-56,$BM$57:$BM$95,0)))</f>
        <v/>
      </c>
      <c r="BO80">
        <f>BO79+IF(AND(Lists!$CG$27&lt;&gt;"",ISNUMBER(SEARCH($P$4,Lists!$CG$27))),1,0)</f>
        <v/>
      </c>
      <c r="BP80">
        <f>IF(ROW()-56&gt;MAX($BO$57:$BO$95),"",INDEX(Lists!$CG$4:$CG$42,MATCH(ROW()-56,$BO$57:$BO$95,0)))</f>
        <v/>
      </c>
      <c r="BQ80">
        <f>BQ79+IF(AND(Lists!$CL$27&lt;&gt;"",ISNUMBER(SEARCH($Q$4,Lists!$CL$27))),1,0)</f>
        <v/>
      </c>
      <c r="BR80">
        <f>IF(ROW()-56&gt;MAX($BQ$57:$BQ$95),"",INDEX(Lists!$CL$4:$CL$42,MATCH(ROW()-56,$BQ$57:$BQ$95,0)))</f>
        <v/>
      </c>
      <c r="BS80">
        <f>BS79+IF(AND(Lists!$CQ$27&lt;&gt;"",ISNUMBER(SEARCH($R$4,Lists!$CQ$27))),1,0)</f>
        <v/>
      </c>
      <c r="BT80">
        <f>IF(ROW()-56&gt;MAX($BS$57:$BS$95),"",INDEX(Lists!$CQ$4:$CQ$42,MATCH(ROW()-56,$BS$57:$BS$95,0)))</f>
        <v/>
      </c>
      <c r="BU80">
        <f>BU79+IF(AND(Lists!$CV$27&lt;&gt;"",ISNUMBER(SEARCH($S$4,Lists!$CV$27))),1,0)</f>
        <v/>
      </c>
      <c r="BV80">
        <f>IF(ROW()-56&gt;MAX($BU$57:$BU$95),"",INDEX(Lists!$CV$4:$CV$42,MATCH(ROW()-56,$BU$57:$BU$95,0)))</f>
        <v/>
      </c>
      <c r="BW80">
        <f>BW79+IF(AND(Lists!$DA$27&lt;&gt;"",ISNUMBER(SEARCH($T$4,Lists!$DA$27))),1,0)</f>
        <v/>
      </c>
      <c r="BX80">
        <f>IF(ROW()-56&gt;MAX($BW$57:$BW$95),"",INDEX(Lists!$DA$4:$DA$42,MATCH(ROW()-56,$BW$57:$BW$95,0)))</f>
        <v/>
      </c>
      <c r="BY80">
        <f>BY79+IF(AND(Lists!$DF$27&lt;&gt;"",ISNUMBER(SEARCH($U$4,Lists!$DF$27))),1,0)</f>
        <v/>
      </c>
      <c r="BZ80">
        <f>IF(ROW()-56&gt;MAX($BY$57:$BY$95),"",INDEX(Lists!$DF$4:$DF$42,MATCH(ROW()-56,$BY$57:$BY$95,0)))</f>
        <v/>
      </c>
      <c r="CA80">
        <f>CA79+IF(AND(Lists!$DK$27&lt;&gt;"",ISNUMBER(SEARCH($V$4,Lists!$DK$27))),1,0)</f>
        <v/>
      </c>
      <c r="CB80">
        <f>IF(ROW()-56&gt;MAX($CA$57:$CA$95),"",INDEX(Lists!$DK$4:$DK$42,MATCH(ROW()-56,$CA$57:$CA$95,0)))</f>
        <v/>
      </c>
      <c r="CC80">
        <f>CC79+IF(AND(Lists!$DP$27&lt;&gt;"",ISNUMBER(SEARCH($W$4,Lists!$DP$27))),1,0)</f>
        <v/>
      </c>
      <c r="CD80">
        <f>IF(ROW()-56&gt;MAX($CC$57:$CC$95),"",INDEX(Lists!$DP$4:$DP$42,MATCH(ROW()-56,$CC$57:$CC$95,0)))</f>
        <v/>
      </c>
      <c r="CE80">
        <f>CE79+IF(AND(Lists!$DU$27&lt;&gt;"",ISNUMBER(SEARCH($X$4,Lists!$DU$27))),1,0)</f>
        <v/>
      </c>
      <c r="CF80">
        <f>IF(ROW()-56&gt;MAX($CE$57:$CE$95),"",INDEX(Lists!$DU$4:$DU$42,MATCH(ROW()-56,$CE$57:$CE$95,0)))</f>
        <v/>
      </c>
      <c r="CG80">
        <f>CG79+IF(AND(Lists!$DZ$27&lt;&gt;"",ISNUMBER(SEARCH($Y$4,Lists!$DZ$27))),1,0)</f>
        <v/>
      </c>
      <c r="CH80">
        <f>IF(ROW()-56&gt;MAX($CG$57:$CG$95),"",INDEX(Lists!$DZ$4:$DZ$42,MATCH(ROW()-56,$CG$57:$CG$95,0)))</f>
        <v/>
      </c>
      <c r="CI80">
        <f>CI79+IF(AND(Lists!$EE$27&lt;&gt;"",ISNUMBER(SEARCH($Z$4,Lists!$EE$27))),1,0)</f>
        <v/>
      </c>
      <c r="CJ80">
        <f>IF(ROW()-56&gt;MAX($CI$57:$CI$95),"",INDEX(Lists!$EE$4:$EE$42,MATCH(ROW()-56,$CI$57:$CI$95,0)))</f>
        <v/>
      </c>
      <c r="CK80">
        <f>CK79+IF(AND(Lists!$EJ$27&lt;&gt;"",ISNUMBER(SEARCH($AA$4,Lists!$EJ$27))),1,0)</f>
        <v/>
      </c>
      <c r="CL80">
        <f>IF(ROW()-56&gt;MAX($CK$57:$CK$95),"",INDEX(Lists!$EJ$4:$EJ$42,MATCH(ROW()-56,$CK$57:$CK$95,0)))</f>
        <v/>
      </c>
      <c r="CM80">
        <f>CM79+IF(AND(Lists!$EO$27&lt;&gt;"",ISNUMBER(SEARCH($AB$4,Lists!$EO$27))),1,0)</f>
        <v/>
      </c>
      <c r="CN80">
        <f>IF(ROW()-56&gt;MAX($CM$57:$CM$95),"",INDEX(Lists!$EO$4:$EO$42,MATCH(ROW()-56,$CM$57:$CM$95,0)))</f>
        <v/>
      </c>
      <c r="CO80">
        <f>CO79+IF(AND(Lists!$ET$27&lt;&gt;"",ISNUMBER(SEARCH($AC$4,Lists!$ET$27))),1,0)</f>
        <v/>
      </c>
      <c r="CP80">
        <f>IF(ROW()-56&gt;MAX($CO$57:$CO$95),"",INDEX(Lists!$ET$4:$ET$42,MATCH(ROW()-56,$CO$57:$CO$95,0)))</f>
        <v/>
      </c>
      <c r="CQ80">
        <f>CQ79+IF(AND(Lists!$EY$27&lt;&gt;"",ISNUMBER(SEARCH($AD$4,Lists!$EY$27))),1,0)</f>
        <v/>
      </c>
      <c r="CR80">
        <f>IF(ROW()-56&gt;MAX($CQ$57:$CQ$95),"",INDEX(Lists!$EY$4:$EY$42,MATCH(ROW()-56,$CQ$57:$CQ$95,0)))</f>
        <v/>
      </c>
      <c r="CS80">
        <f>CS79+IF(AND(Lists!$FD$27&lt;&gt;"",ISNUMBER(SEARCH($AE$4,Lists!$FD$27))),1,0)</f>
        <v/>
      </c>
      <c r="CT80">
        <f>IF(ROW()-56&gt;MAX($CS$57:$CS$95),"",INDEX(Lists!$FD$4:$FD$42,MATCH(ROW()-56,$CS$57:$CS$95,0)))</f>
        <v/>
      </c>
      <c r="CU80">
        <f>CU79+IF(AND(Lists!$FI$27&lt;&gt;"",ISNUMBER(SEARCH($AG$4,Lists!$FI$27))),1,0)</f>
        <v/>
      </c>
      <c r="CV80">
        <f>IF(ROW()-56&gt;MAX($CU$57:$CU$95),"",INDEX(Lists!$FI$4:$FI$42,MATCH(ROW()-56,$CU$57:$CU$95,0)))</f>
        <v/>
      </c>
      <c r="CW80">
        <f>CW79+IF(AND(Lists!$FN$27&lt;&gt;"",ISNUMBER(SEARCH($AH$4,Lists!$FN$27))),1,0)</f>
        <v/>
      </c>
      <c r="CX80">
        <f>IF(ROW()-56&gt;MAX($CW$57:$CW$95),"",INDEX(Lists!$FN$4:$FN$42,MATCH(ROW()-56,$CW$57:$CW$95,0)))</f>
        <v/>
      </c>
      <c r="CY80">
        <f>CY79+IF(AND(Lists!$FS$27&lt;&gt;"",ISNUMBER(SEARCH($AI$4,Lists!$FS$27))),1,0)</f>
        <v/>
      </c>
      <c r="CZ80">
        <f>IF(ROW()-56&gt;MAX($CY$57:$CY$95),"",INDEX(Lists!$FS$4:$FS$42,MATCH(ROW()-56,$CY$57:$CY$95,0)))</f>
        <v/>
      </c>
      <c r="DA80">
        <f>DA79+IF(AND(Lists!$FX$27&lt;&gt;"",ISNUMBER(SEARCH($AF$4,Lists!$FX$27))),1,0)</f>
        <v/>
      </c>
      <c r="DB80">
        <f>IF(ROW()-56&gt;MAX($DA$57:$DA$95),"",INDEX(Lists!$FX$4:$FX$42,MATCH(ROW()-56,$DA$57:$DA$95,0)))</f>
        <v/>
      </c>
      <c r="DG80">
        <f>IF($B$4="",1,IF($B$4="(blank)",--('Final Calculation Sheet'!$F$25=""),IF($B$4="(nonblank)",--('Final Calculation Sheet'!$F$25&lt;&gt;""),--ISNUMBER(SEARCH($B$4,'Final Calculation Sheet'!$F$25)))))</f>
        <v/>
      </c>
      <c r="DH80">
        <f>IF($C$4="",1,IF($C$4="(blank)",--('Final Calculation Sheet'!$G$25=""),IF($C$4="(nonblank)",--('Final Calculation Sheet'!$G$25&lt;&gt;""),--ISNUMBER(SEARCH($C$4,'Final Calculation Sheet'!$G$25)))))</f>
        <v/>
      </c>
      <c r="DI80">
        <f>IF($D$4="",1,IF($D$4="(blank)",--('Final Calculation Sheet'!$B$25=""),IF($D$4="(nonblank)",--('Final Calculation Sheet'!$B$25&lt;&gt;""),--ISNUMBER(SEARCH($D$4,'Final Calculation Sheet'!$B$25)))))</f>
        <v/>
      </c>
      <c r="DJ80">
        <f>IF($E$4="",1,IF($E$4="(blank)",--('Final Calculation Sheet'!$D$25=""),IF($E$4="(nonblank)",--('Final Calculation Sheet'!$D$25&lt;&gt;""),--ISNUMBER(SEARCH($E$4,'Final Calculation Sheet'!$D$25)))))</f>
        <v/>
      </c>
      <c r="DK80">
        <f>IF($F$4="",1,IF($F$4="(blank)",--('Final Calculation Sheet'!$A$25=""),IF($F$4="(nonblank)",--('Final Calculation Sheet'!$A$25&lt;&gt;""),--ISNUMBER(SEARCH($F$4,'Final Calculation Sheet'!$A$25)))))</f>
        <v/>
      </c>
      <c r="DL80">
        <f>IF($G$4="",1,IF($G$4="(blank)",--('Final Calculation Sheet'!$E$25=""),IF($G$4="(nonblank)",--('Final Calculation Sheet'!$E$25&lt;&gt;""),--ISNUMBER(SEARCH($G$4,'Final Calculation Sheet'!$E$25)))))</f>
        <v/>
      </c>
      <c r="DM80">
        <f>IF($H$4="",1,IF($H$4="(blank)",--('Final Calculation Sheet'!$C$25=""),IF($H$4="(nonblank)",--('Final Calculation Sheet'!$C$25&lt;&gt;""),--ISNUMBER(SEARCH($H$4,'Final Calculation Sheet'!$C$25)))))</f>
        <v/>
      </c>
      <c r="DN80">
        <f>IF($I$4="",1,IF($I$4="(blank)",--('Final Calculation Sheet'!$H$25=""),IF($I$4="(nonblank)",--('Final Calculation Sheet'!$H$25&lt;&gt;""),--ISNUMBER(SEARCH($I$4,'Final Calculation Sheet'!$H$25)))))</f>
        <v/>
      </c>
      <c r="DO80">
        <f>IF($J$4="",1,IF($J$4="(blank)",--('Final Calculation Sheet'!$I$25=""),IF($J$4="(nonblank)",--('Final Calculation Sheet'!$I$25&lt;&gt;""),--ISNUMBER(SEARCH($J$4,'Final Calculation Sheet'!$I$25)))))</f>
        <v/>
      </c>
      <c r="DP80">
        <f>IF($K$4="",1,IF($K$4="(blank)",--('Final Calculation Sheet'!$J$25=""),IF($K$4="(nonblank)",--('Final Calculation Sheet'!$J$25&lt;&gt;""),--ISNUMBER(SEARCH($K$4,'Final Calculation Sheet'!$J$25)))))</f>
        <v/>
      </c>
      <c r="DQ80">
        <f>IF($L$4="",1,IF($L$4="(blank)",--('Final Calculation Sheet'!$K$25=""),IF($L$4="(nonblank)",--('Final Calculation Sheet'!$K$25&lt;&gt;""),--ISNUMBER(SEARCH($L$4,'Final Calculation Sheet'!$K$25)))))</f>
        <v/>
      </c>
      <c r="DR80">
        <f>IF($M$4="",1,IF($M$4="(blank)",--('Final Calculation Sheet'!$L$25=""),IF($M$4="(nonblank)",--('Final Calculation Sheet'!$L$25&lt;&gt;""),--ISNUMBER(SEARCH($M$4,'Final Calculation Sheet'!$L$25)))))</f>
        <v/>
      </c>
      <c r="DS80">
        <f>IF($N$4="",1,IF($N$4="(blank)",--('Final Calculation Sheet'!$M$25=""),IF($N$4="(nonblank)",--('Final Calculation Sheet'!$M$25&lt;&gt;""),--ISNUMBER(SEARCH($N$4,'Final Calculation Sheet'!$M$25)))))</f>
        <v/>
      </c>
      <c r="DT80">
        <f>IF($O$4="",1,IF($O$4="(blank)",--('Final Calculation Sheet'!$N$25=""),IF($O$4="(nonblank)",--('Final Calculation Sheet'!$N$25&lt;&gt;""),--ISNUMBER(SEARCH($O$4,'Final Calculation Sheet'!$N$25)))))</f>
        <v/>
      </c>
      <c r="DU80">
        <f>IF($P$4="",1,IF($P$4="(blank)",--('Final Calculation Sheet'!$O$25=""),IF($P$4="(nonblank)",--('Final Calculation Sheet'!$O$25&lt;&gt;""),--ISNUMBER(SEARCH($P$4,'Final Calculation Sheet'!$O$25)))))</f>
        <v/>
      </c>
      <c r="DV80">
        <f>IF($Q$4="",1,IF($Q$4="(blank)",--('Final Calculation Sheet'!$P$25=""),IF($Q$4="(nonblank)",--('Final Calculation Sheet'!$P$25&lt;&gt;""),--ISNUMBER(SEARCH($Q$4,'Final Calculation Sheet'!$P$25)))))</f>
        <v/>
      </c>
      <c r="DW80">
        <f>IF($R$4="",1,IF($R$4="(blank)",--('Final Calculation Sheet'!$Q$25=""),IF($R$4="(nonblank)",--('Final Calculation Sheet'!$Q$25&lt;&gt;""),--ISNUMBER(SEARCH($R$4,'Final Calculation Sheet'!$Q$25)))))</f>
        <v/>
      </c>
      <c r="DX80">
        <f>IF($S$4="",1,IF($S$4="(blank)",--('Final Calculation Sheet'!$R$25=""),IF($S$4="(nonblank)",--('Final Calculation Sheet'!$R$25&lt;&gt;""),--ISNUMBER(SEARCH($S$4,'Final Calculation Sheet'!$R$25)))))</f>
        <v/>
      </c>
      <c r="DY80">
        <f>IF($T$4="",1,IF($T$4="(blank)",--('Final Calculation Sheet'!$S$25=""),IF($T$4="(nonblank)",--('Final Calculation Sheet'!$S$25&lt;&gt;""),--ISNUMBER(SEARCH($T$4,'Final Calculation Sheet'!$S$25)))))</f>
        <v/>
      </c>
      <c r="DZ80">
        <f>IF($U$4="",1,IF($U$4="(blank)",--('Final Calculation Sheet'!$T$25=""),IF($U$4="(nonblank)",--('Final Calculation Sheet'!$T$25&lt;&gt;""),--ISNUMBER(SEARCH($U$4,'Final Calculation Sheet'!$T$25)))))</f>
        <v/>
      </c>
      <c r="EA80">
        <f>IF($V$4="",1,IF($V$4="(blank)",--('Final Calculation Sheet'!$U$25=""),IF($V$4="(nonblank)",--('Final Calculation Sheet'!$U$25&lt;&gt;""),--ISNUMBER(SEARCH($V$4,'Final Calculation Sheet'!$U$25)))))</f>
        <v/>
      </c>
      <c r="EB80">
        <f>IF($W$4="",1,IF($W$4="(blank)",--('Final Calculation Sheet'!$V$25=""),IF($W$4="(nonblank)",--('Final Calculation Sheet'!$V$25&lt;&gt;""),--ISNUMBER(SEARCH($W$4,'Final Calculation Sheet'!$V$25)))))</f>
        <v/>
      </c>
      <c r="EC80">
        <f>IF($X$4="",1,IF($X$4="(blank)",--('Final Calculation Sheet'!$W$25=""),IF($X$4="(nonblank)",--('Final Calculation Sheet'!$W$25&lt;&gt;""),--ISNUMBER(SEARCH($X$4,'Final Calculation Sheet'!$W$25)))))</f>
        <v/>
      </c>
      <c r="ED80">
        <f>IF($Y$4="",1,IF($Y$4="(blank)",--('Final Calculation Sheet'!$X$25=""),IF($Y$4="(nonblank)",--('Final Calculation Sheet'!$X$25&lt;&gt;""),--ISNUMBER(SEARCH($Y$4,'Final Calculation Sheet'!$X$25)))))</f>
        <v/>
      </c>
      <c r="EE80">
        <f>IF($Z$4="",1,IF($Z$4="(blank)",--('Final Calculation Sheet'!$Y$25=""),IF($Z$4="(nonblank)",--('Final Calculation Sheet'!$Y$25&lt;&gt;""),--ISNUMBER(SEARCH($Z$4,'Final Calculation Sheet'!$Y$25)))))</f>
        <v/>
      </c>
      <c r="EF80">
        <f>IF($AA$4="",1,IF($AA$4="(blank)",--('Final Calculation Sheet'!$Z$25=""),IF($AA$4="(nonblank)",--('Final Calculation Sheet'!$Z$25&lt;&gt;""),--ISNUMBER(SEARCH($AA$4,'Final Calculation Sheet'!$Z$25)))))</f>
        <v/>
      </c>
      <c r="EG80">
        <f>IF($AB$4="",1,IF($AB$4="(blank)",--('Final Calculation Sheet'!$AA$25=""),IF($AB$4="(nonblank)",--('Final Calculation Sheet'!$AA$25&lt;&gt;""),--ISNUMBER(SEARCH($AB$4,'Final Calculation Sheet'!$AA$25)))))</f>
        <v/>
      </c>
      <c r="EH80">
        <f>IF($AC$4="",1,IF($AC$4="(blank)",--('Final Calculation Sheet'!$AB$25=""),IF($AC$4="(nonblank)",--('Final Calculation Sheet'!$AB$25&lt;&gt;""),--ISNUMBER(SEARCH($AC$4,'Final Calculation Sheet'!$AB$25)))))</f>
        <v/>
      </c>
      <c r="EI80">
        <f>IF($AD$4="",1,IF($AD$4="(blank)",--('Final Calculation Sheet'!$AC$25=""),IF($AD$4="(nonblank)",--('Final Calculation Sheet'!$AC$25&lt;&gt;""),--ISNUMBER(SEARCH($AD$4,'Final Calculation Sheet'!$AC$25)))))</f>
        <v/>
      </c>
      <c r="EJ80">
        <f>IF($AE$4="",1,IF($AE$4="(blank)",--('Final Calculation Sheet'!$AD$25=""),IF($AE$4="(nonblank)",--('Final Calculation Sheet'!$AD$25&lt;&gt;""),--ISNUMBER(SEARCH($AE$4,'Final Calculation Sheet'!$AD$25)))))</f>
        <v/>
      </c>
      <c r="EK80">
        <f>IF($AF$4="",1,IF($AF$4="(blank)",--(IF('Final Calculation Sheet'!$AD$25&lt;=5,"SETTLED","OUTSTANDING")=""),IF($AF$4="(nonblank)",--(IF('Final Calculation Sheet'!$AD$25&lt;=5,"SETTLED","OUTSTANDING")&lt;&gt;""),--ISNUMBER(SEARCH($AF$4,IF('Final Calculation Sheet'!$AD$25&lt;=5,"SETTLED","OUTSTANDING"))))))</f>
        <v/>
      </c>
      <c r="EL80">
        <f>IF($AG$4="",1,IF($AG$4="(blank)",--('Final Calculation Sheet'!$AF$25=""),IF($AG$4="(nonblank)",--('Final Calculation Sheet'!$AF$25&lt;&gt;""),--ISNUMBER(SEARCH($AG$4,'Final Calculation Sheet'!$AF$25)))))</f>
        <v/>
      </c>
      <c r="EM80">
        <f>IF($AH$4="",1,IF($AH$4="(blank)",--('Final Calculation Sheet'!$AG$25=""),IF($AH$4="(nonblank)",--('Final Calculation Sheet'!$AG$25&lt;&gt;""),--ISNUMBER(SEARCH($AH$4,'Final Calculation Sheet'!$AG$25)))))</f>
        <v/>
      </c>
      <c r="EN80">
        <f>IF($AI$4="",1,IF($AI$4="(blank)",--('Final Calculation Sheet'!$AH$25=""),IF($AI$4="(nonblank)",--('Final Calculation Sheet'!$AH$25&lt;&gt;""),--ISNUMBER(SEARCH($AI$4,'Final Calculation Sheet'!$AH$25)))))</f>
        <v/>
      </c>
    </row>
    <row r="81">
      <c r="AM81">
        <f>AM80+IF(AND(Lists!$O$28&lt;&gt;"",ISNUMBER(SEARCH($B$4,Lists!$O$28))),1,0)</f>
        <v/>
      </c>
      <c r="AN81">
        <f>IF(ROW()-56&gt;MAX($AM$57:$AM$95),"",INDEX(Lists!$O$4:$O$42,MATCH(ROW()-56,$AM$57:$AM$95,0)))</f>
        <v/>
      </c>
      <c r="AO81">
        <f>AO80+IF(AND(Lists!$T$28&lt;&gt;"",ISNUMBER(SEARCH($C$4,Lists!$T$28))),1,0)</f>
        <v/>
      </c>
      <c r="AP81">
        <f>IF(ROW()-56&gt;MAX($AO$57:$AO$95),"",INDEX(Lists!$T$4:$T$42,MATCH(ROW()-56,$AO$57:$AO$95,0)))</f>
        <v/>
      </c>
      <c r="AQ81">
        <f>AQ80+IF(AND(Lists!$Y$28&lt;&gt;"",ISNUMBER(SEARCH($D$4,Lists!$Y$28))),1,0)</f>
        <v/>
      </c>
      <c r="AR81">
        <f>IF(ROW()-56&gt;MAX($AQ$57:$AQ$95),"",INDEX(Lists!$Y$4:$Y$42,MATCH(ROW()-56,$AQ$57:$AQ$95,0)))</f>
        <v/>
      </c>
      <c r="AS81">
        <f>AS80+IF(AND(Lists!$AD$28&lt;&gt;"",ISNUMBER(SEARCH($E$4,Lists!$AD$28))),1,0)</f>
        <v/>
      </c>
      <c r="AT81">
        <f>IF(ROW()-56&gt;MAX($AS$57:$AS$95),"",INDEX(Lists!$AD$4:$AD$42,MATCH(ROW()-56,$AS$57:$AS$95,0)))</f>
        <v/>
      </c>
      <c r="AU81">
        <f>AU80+IF(AND(Lists!$AI$28&lt;&gt;"",ISNUMBER(SEARCH($F$4,Lists!$AI$28))),1,0)</f>
        <v/>
      </c>
      <c r="AV81">
        <f>IF(ROW()-56&gt;MAX($AU$57:$AU$95),"",INDEX(Lists!$AI$4:$AI$42,MATCH(ROW()-56,$AU$57:$AU$95,0)))</f>
        <v/>
      </c>
      <c r="AW81">
        <f>AW80+IF(AND(Lists!$AN$28&lt;&gt;"",ISNUMBER(SEARCH($G$4,Lists!$AN$28))),1,0)</f>
        <v/>
      </c>
      <c r="AX81">
        <f>IF(ROW()-56&gt;MAX($AW$57:$AW$95),"",INDEX(Lists!$AN$4:$AN$42,MATCH(ROW()-56,$AW$57:$AW$95,0)))</f>
        <v/>
      </c>
      <c r="AY81">
        <f>AY80+IF(AND(Lists!$AS$28&lt;&gt;"",ISNUMBER(SEARCH($H$4,Lists!$AS$28))),1,0)</f>
        <v/>
      </c>
      <c r="AZ81">
        <f>IF(ROW()-56&gt;MAX($AY$57:$AY$95),"",INDEX(Lists!$AS$4:$AS$42,MATCH(ROW()-56,$AY$57:$AY$95,0)))</f>
        <v/>
      </c>
      <c r="BA81">
        <f>BA80+IF(AND(Lists!$AX$28&lt;&gt;"",ISNUMBER(SEARCH($I$4,Lists!$AX$28))),1,0)</f>
        <v/>
      </c>
      <c r="BB81">
        <f>IF(ROW()-56&gt;MAX($BA$57:$BA$95),"",INDEX(Lists!$AX$4:$AX$42,MATCH(ROW()-56,$BA$57:$BA$95,0)))</f>
        <v/>
      </c>
      <c r="BC81">
        <f>BC80+IF(AND(Lists!$BC$28&lt;&gt;"",ISNUMBER(SEARCH($J$4,Lists!$BC$28))),1,0)</f>
        <v/>
      </c>
      <c r="BD81">
        <f>IF(ROW()-56&gt;MAX($BC$57:$BC$95),"",INDEX(Lists!$BC$4:$BC$42,MATCH(ROW()-56,$BC$57:$BC$95,0)))</f>
        <v/>
      </c>
      <c r="BE81">
        <f>BE80+IF(AND(Lists!$BH$28&lt;&gt;"",ISNUMBER(SEARCH($K$4,Lists!$BH$28))),1,0)</f>
        <v/>
      </c>
      <c r="BF81">
        <f>IF(ROW()-56&gt;MAX($BE$57:$BE$95),"",INDEX(Lists!$BH$4:$BH$42,MATCH(ROW()-56,$BE$57:$BE$95,0)))</f>
        <v/>
      </c>
      <c r="BG81">
        <f>BG80+IF(AND(Lists!$BM$28&lt;&gt;"",ISNUMBER(SEARCH($L$4,Lists!$BM$28))),1,0)</f>
        <v/>
      </c>
      <c r="BH81">
        <f>IF(ROW()-56&gt;MAX($BG$57:$BG$95),"",INDEX(Lists!$BM$4:$BM$42,MATCH(ROW()-56,$BG$57:$BG$95,0)))</f>
        <v/>
      </c>
      <c r="BI81">
        <f>BI80+IF(AND(Lists!$BR$28&lt;&gt;"",ISNUMBER(SEARCH($M$4,Lists!$BR$28))),1,0)</f>
        <v/>
      </c>
      <c r="BJ81">
        <f>IF(ROW()-56&gt;MAX($BI$57:$BI$95),"",INDEX(Lists!$BR$4:$BR$42,MATCH(ROW()-56,$BI$57:$BI$95,0)))</f>
        <v/>
      </c>
      <c r="BK81">
        <f>BK80+IF(AND(Lists!$BW$28&lt;&gt;"",ISNUMBER(SEARCH($N$4,Lists!$BW$28))),1,0)</f>
        <v/>
      </c>
      <c r="BL81">
        <f>IF(ROW()-56&gt;MAX($BK$57:$BK$95),"",INDEX(Lists!$BW$4:$BW$42,MATCH(ROW()-56,$BK$57:$BK$95,0)))</f>
        <v/>
      </c>
      <c r="BM81">
        <f>BM80+IF(AND(Lists!$CB$28&lt;&gt;"",ISNUMBER(SEARCH($O$4,Lists!$CB$28))),1,0)</f>
        <v/>
      </c>
      <c r="BN81">
        <f>IF(ROW()-56&gt;MAX($BM$57:$BM$95),"",INDEX(Lists!$CB$4:$CB$42,MATCH(ROW()-56,$BM$57:$BM$95,0)))</f>
        <v/>
      </c>
      <c r="BO81">
        <f>BO80+IF(AND(Lists!$CG$28&lt;&gt;"",ISNUMBER(SEARCH($P$4,Lists!$CG$28))),1,0)</f>
        <v/>
      </c>
      <c r="BP81">
        <f>IF(ROW()-56&gt;MAX($BO$57:$BO$95),"",INDEX(Lists!$CG$4:$CG$42,MATCH(ROW()-56,$BO$57:$BO$95,0)))</f>
        <v/>
      </c>
      <c r="BQ81">
        <f>BQ80+IF(AND(Lists!$CL$28&lt;&gt;"",ISNUMBER(SEARCH($Q$4,Lists!$CL$28))),1,0)</f>
        <v/>
      </c>
      <c r="BR81">
        <f>IF(ROW()-56&gt;MAX($BQ$57:$BQ$95),"",INDEX(Lists!$CL$4:$CL$42,MATCH(ROW()-56,$BQ$57:$BQ$95,0)))</f>
        <v/>
      </c>
      <c r="BS81">
        <f>BS80+IF(AND(Lists!$CQ$28&lt;&gt;"",ISNUMBER(SEARCH($R$4,Lists!$CQ$28))),1,0)</f>
        <v/>
      </c>
      <c r="BT81">
        <f>IF(ROW()-56&gt;MAX($BS$57:$BS$95),"",INDEX(Lists!$CQ$4:$CQ$42,MATCH(ROW()-56,$BS$57:$BS$95,0)))</f>
        <v/>
      </c>
      <c r="BU81">
        <f>BU80+IF(AND(Lists!$CV$28&lt;&gt;"",ISNUMBER(SEARCH($S$4,Lists!$CV$28))),1,0)</f>
        <v/>
      </c>
      <c r="BV81">
        <f>IF(ROW()-56&gt;MAX($BU$57:$BU$95),"",INDEX(Lists!$CV$4:$CV$42,MATCH(ROW()-56,$BU$57:$BU$95,0)))</f>
        <v/>
      </c>
      <c r="BW81">
        <f>BW80+IF(AND(Lists!$DA$28&lt;&gt;"",ISNUMBER(SEARCH($T$4,Lists!$DA$28))),1,0)</f>
        <v/>
      </c>
      <c r="BX81">
        <f>IF(ROW()-56&gt;MAX($BW$57:$BW$95),"",INDEX(Lists!$DA$4:$DA$42,MATCH(ROW()-56,$BW$57:$BW$95,0)))</f>
        <v/>
      </c>
      <c r="BY81">
        <f>BY80+IF(AND(Lists!$DF$28&lt;&gt;"",ISNUMBER(SEARCH($U$4,Lists!$DF$28))),1,0)</f>
        <v/>
      </c>
      <c r="BZ81">
        <f>IF(ROW()-56&gt;MAX($BY$57:$BY$95),"",INDEX(Lists!$DF$4:$DF$42,MATCH(ROW()-56,$BY$57:$BY$95,0)))</f>
        <v/>
      </c>
      <c r="CA81">
        <f>CA80+IF(AND(Lists!$DK$28&lt;&gt;"",ISNUMBER(SEARCH($V$4,Lists!$DK$28))),1,0)</f>
        <v/>
      </c>
      <c r="CB81">
        <f>IF(ROW()-56&gt;MAX($CA$57:$CA$95),"",INDEX(Lists!$DK$4:$DK$42,MATCH(ROW()-56,$CA$57:$CA$95,0)))</f>
        <v/>
      </c>
      <c r="CC81">
        <f>CC80+IF(AND(Lists!$DP$28&lt;&gt;"",ISNUMBER(SEARCH($W$4,Lists!$DP$28))),1,0)</f>
        <v/>
      </c>
      <c r="CD81">
        <f>IF(ROW()-56&gt;MAX($CC$57:$CC$95),"",INDEX(Lists!$DP$4:$DP$42,MATCH(ROW()-56,$CC$57:$CC$95,0)))</f>
        <v/>
      </c>
      <c r="CE81">
        <f>CE80+IF(AND(Lists!$DU$28&lt;&gt;"",ISNUMBER(SEARCH($X$4,Lists!$DU$28))),1,0)</f>
        <v/>
      </c>
      <c r="CF81">
        <f>IF(ROW()-56&gt;MAX($CE$57:$CE$95),"",INDEX(Lists!$DU$4:$DU$42,MATCH(ROW()-56,$CE$57:$CE$95,0)))</f>
        <v/>
      </c>
      <c r="CG81">
        <f>CG80+IF(AND(Lists!$DZ$28&lt;&gt;"",ISNUMBER(SEARCH($Y$4,Lists!$DZ$28))),1,0)</f>
        <v/>
      </c>
      <c r="CH81">
        <f>IF(ROW()-56&gt;MAX($CG$57:$CG$95),"",INDEX(Lists!$DZ$4:$DZ$42,MATCH(ROW()-56,$CG$57:$CG$95,0)))</f>
        <v/>
      </c>
      <c r="CI81">
        <f>CI80+IF(AND(Lists!$EE$28&lt;&gt;"",ISNUMBER(SEARCH($Z$4,Lists!$EE$28))),1,0)</f>
        <v/>
      </c>
      <c r="CJ81">
        <f>IF(ROW()-56&gt;MAX($CI$57:$CI$95),"",INDEX(Lists!$EE$4:$EE$42,MATCH(ROW()-56,$CI$57:$CI$95,0)))</f>
        <v/>
      </c>
      <c r="CK81">
        <f>CK80+IF(AND(Lists!$EJ$28&lt;&gt;"",ISNUMBER(SEARCH($AA$4,Lists!$EJ$28))),1,0)</f>
        <v/>
      </c>
      <c r="CL81">
        <f>IF(ROW()-56&gt;MAX($CK$57:$CK$95),"",INDEX(Lists!$EJ$4:$EJ$42,MATCH(ROW()-56,$CK$57:$CK$95,0)))</f>
        <v/>
      </c>
      <c r="CM81">
        <f>CM80+IF(AND(Lists!$EO$28&lt;&gt;"",ISNUMBER(SEARCH($AB$4,Lists!$EO$28))),1,0)</f>
        <v/>
      </c>
      <c r="CN81">
        <f>IF(ROW()-56&gt;MAX($CM$57:$CM$95),"",INDEX(Lists!$EO$4:$EO$42,MATCH(ROW()-56,$CM$57:$CM$95,0)))</f>
        <v/>
      </c>
      <c r="CO81">
        <f>CO80+IF(AND(Lists!$ET$28&lt;&gt;"",ISNUMBER(SEARCH($AC$4,Lists!$ET$28))),1,0)</f>
        <v/>
      </c>
      <c r="CP81">
        <f>IF(ROW()-56&gt;MAX($CO$57:$CO$95),"",INDEX(Lists!$ET$4:$ET$42,MATCH(ROW()-56,$CO$57:$CO$95,0)))</f>
        <v/>
      </c>
      <c r="CQ81">
        <f>CQ80+IF(AND(Lists!$EY$28&lt;&gt;"",ISNUMBER(SEARCH($AD$4,Lists!$EY$28))),1,0)</f>
        <v/>
      </c>
      <c r="CR81">
        <f>IF(ROW()-56&gt;MAX($CQ$57:$CQ$95),"",INDEX(Lists!$EY$4:$EY$42,MATCH(ROW()-56,$CQ$57:$CQ$95,0)))</f>
        <v/>
      </c>
      <c r="CS81">
        <f>CS80+IF(AND(Lists!$FD$28&lt;&gt;"",ISNUMBER(SEARCH($AE$4,Lists!$FD$28))),1,0)</f>
        <v/>
      </c>
      <c r="CT81">
        <f>IF(ROW()-56&gt;MAX($CS$57:$CS$95),"",INDEX(Lists!$FD$4:$FD$42,MATCH(ROW()-56,$CS$57:$CS$95,0)))</f>
        <v/>
      </c>
      <c r="CU81">
        <f>CU80+IF(AND(Lists!$FI$28&lt;&gt;"",ISNUMBER(SEARCH($AG$4,Lists!$FI$28))),1,0)</f>
        <v/>
      </c>
      <c r="CV81">
        <f>IF(ROW()-56&gt;MAX($CU$57:$CU$95),"",INDEX(Lists!$FI$4:$FI$42,MATCH(ROW()-56,$CU$57:$CU$95,0)))</f>
        <v/>
      </c>
      <c r="CW81">
        <f>CW80+IF(AND(Lists!$FN$28&lt;&gt;"",ISNUMBER(SEARCH($AH$4,Lists!$FN$28))),1,0)</f>
        <v/>
      </c>
      <c r="CX81">
        <f>IF(ROW()-56&gt;MAX($CW$57:$CW$95),"",INDEX(Lists!$FN$4:$FN$42,MATCH(ROW()-56,$CW$57:$CW$95,0)))</f>
        <v/>
      </c>
      <c r="CY81">
        <f>CY80+IF(AND(Lists!$FS$28&lt;&gt;"",ISNUMBER(SEARCH($AI$4,Lists!$FS$28))),1,0)</f>
        <v/>
      </c>
      <c r="CZ81">
        <f>IF(ROW()-56&gt;MAX($CY$57:$CY$95),"",INDEX(Lists!$FS$4:$FS$42,MATCH(ROW()-56,$CY$57:$CY$95,0)))</f>
        <v/>
      </c>
      <c r="DA81">
        <f>DA80+IF(AND(Lists!$FX$28&lt;&gt;"",ISNUMBER(SEARCH($AF$4,Lists!$FX$28))),1,0)</f>
        <v/>
      </c>
      <c r="DB81">
        <f>IF(ROW()-56&gt;MAX($DA$57:$DA$95),"",INDEX(Lists!$FX$4:$FX$42,MATCH(ROW()-56,$DA$57:$DA$95,0)))</f>
        <v/>
      </c>
      <c r="DG81">
        <f>IF($B$4="",1,IF($B$4="(blank)",--('Final Calculation Sheet'!$F$26=""),IF($B$4="(nonblank)",--('Final Calculation Sheet'!$F$26&lt;&gt;""),--ISNUMBER(SEARCH($B$4,'Final Calculation Sheet'!$F$26)))))</f>
        <v/>
      </c>
      <c r="DH81">
        <f>IF($C$4="",1,IF($C$4="(blank)",--('Final Calculation Sheet'!$G$26=""),IF($C$4="(nonblank)",--('Final Calculation Sheet'!$G$26&lt;&gt;""),--ISNUMBER(SEARCH($C$4,'Final Calculation Sheet'!$G$26)))))</f>
        <v/>
      </c>
      <c r="DI81">
        <f>IF($D$4="",1,IF($D$4="(blank)",--('Final Calculation Sheet'!$B$26=""),IF($D$4="(nonblank)",--('Final Calculation Sheet'!$B$26&lt;&gt;""),--ISNUMBER(SEARCH($D$4,'Final Calculation Sheet'!$B$26)))))</f>
        <v/>
      </c>
      <c r="DJ81">
        <f>IF($E$4="",1,IF($E$4="(blank)",--('Final Calculation Sheet'!$D$26=""),IF($E$4="(nonblank)",--('Final Calculation Sheet'!$D$26&lt;&gt;""),--ISNUMBER(SEARCH($E$4,'Final Calculation Sheet'!$D$26)))))</f>
        <v/>
      </c>
      <c r="DK81">
        <f>IF($F$4="",1,IF($F$4="(blank)",--('Final Calculation Sheet'!$A$26=""),IF($F$4="(nonblank)",--('Final Calculation Sheet'!$A$26&lt;&gt;""),--ISNUMBER(SEARCH($F$4,'Final Calculation Sheet'!$A$26)))))</f>
        <v/>
      </c>
      <c r="DL81">
        <f>IF($G$4="",1,IF($G$4="(blank)",--('Final Calculation Sheet'!$E$26=""),IF($G$4="(nonblank)",--('Final Calculation Sheet'!$E$26&lt;&gt;""),--ISNUMBER(SEARCH($G$4,'Final Calculation Sheet'!$E$26)))))</f>
        <v/>
      </c>
      <c r="DM81">
        <f>IF($H$4="",1,IF($H$4="(blank)",--('Final Calculation Sheet'!$C$26=""),IF($H$4="(nonblank)",--('Final Calculation Sheet'!$C$26&lt;&gt;""),--ISNUMBER(SEARCH($H$4,'Final Calculation Sheet'!$C$26)))))</f>
        <v/>
      </c>
      <c r="DN81">
        <f>IF($I$4="",1,IF($I$4="(blank)",--('Final Calculation Sheet'!$H$26=""),IF($I$4="(nonblank)",--('Final Calculation Sheet'!$H$26&lt;&gt;""),--ISNUMBER(SEARCH($I$4,'Final Calculation Sheet'!$H$26)))))</f>
        <v/>
      </c>
      <c r="DO81">
        <f>IF($J$4="",1,IF($J$4="(blank)",--('Final Calculation Sheet'!$I$26=""),IF($J$4="(nonblank)",--('Final Calculation Sheet'!$I$26&lt;&gt;""),--ISNUMBER(SEARCH($J$4,'Final Calculation Sheet'!$I$26)))))</f>
        <v/>
      </c>
      <c r="DP81">
        <f>IF($K$4="",1,IF($K$4="(blank)",--('Final Calculation Sheet'!$J$26=""),IF($K$4="(nonblank)",--('Final Calculation Sheet'!$J$26&lt;&gt;""),--ISNUMBER(SEARCH($K$4,'Final Calculation Sheet'!$J$26)))))</f>
        <v/>
      </c>
      <c r="DQ81">
        <f>IF($L$4="",1,IF($L$4="(blank)",--('Final Calculation Sheet'!$K$26=""),IF($L$4="(nonblank)",--('Final Calculation Sheet'!$K$26&lt;&gt;""),--ISNUMBER(SEARCH($L$4,'Final Calculation Sheet'!$K$26)))))</f>
        <v/>
      </c>
      <c r="DR81">
        <f>IF($M$4="",1,IF($M$4="(blank)",--('Final Calculation Sheet'!$L$26=""),IF($M$4="(nonblank)",--('Final Calculation Sheet'!$L$26&lt;&gt;""),--ISNUMBER(SEARCH($M$4,'Final Calculation Sheet'!$L$26)))))</f>
        <v/>
      </c>
      <c r="DS81">
        <f>IF($N$4="",1,IF($N$4="(blank)",--('Final Calculation Sheet'!$M$26=""),IF($N$4="(nonblank)",--('Final Calculation Sheet'!$M$26&lt;&gt;""),--ISNUMBER(SEARCH($N$4,'Final Calculation Sheet'!$M$26)))))</f>
        <v/>
      </c>
      <c r="DT81">
        <f>IF($O$4="",1,IF($O$4="(blank)",--('Final Calculation Sheet'!$N$26=""),IF($O$4="(nonblank)",--('Final Calculation Sheet'!$N$26&lt;&gt;""),--ISNUMBER(SEARCH($O$4,'Final Calculation Sheet'!$N$26)))))</f>
        <v/>
      </c>
      <c r="DU81">
        <f>IF($P$4="",1,IF($P$4="(blank)",--('Final Calculation Sheet'!$O$26=""),IF($P$4="(nonblank)",--('Final Calculation Sheet'!$O$26&lt;&gt;""),--ISNUMBER(SEARCH($P$4,'Final Calculation Sheet'!$O$26)))))</f>
        <v/>
      </c>
      <c r="DV81">
        <f>IF($Q$4="",1,IF($Q$4="(blank)",--('Final Calculation Sheet'!$P$26=""),IF($Q$4="(nonblank)",--('Final Calculation Sheet'!$P$26&lt;&gt;""),--ISNUMBER(SEARCH($Q$4,'Final Calculation Sheet'!$P$26)))))</f>
        <v/>
      </c>
      <c r="DW81">
        <f>IF($R$4="",1,IF($R$4="(blank)",--('Final Calculation Sheet'!$Q$26=""),IF($R$4="(nonblank)",--('Final Calculation Sheet'!$Q$26&lt;&gt;""),--ISNUMBER(SEARCH($R$4,'Final Calculation Sheet'!$Q$26)))))</f>
        <v/>
      </c>
      <c r="DX81">
        <f>IF($S$4="",1,IF($S$4="(blank)",--('Final Calculation Sheet'!$R$26=""),IF($S$4="(nonblank)",--('Final Calculation Sheet'!$R$26&lt;&gt;""),--ISNUMBER(SEARCH($S$4,'Final Calculation Sheet'!$R$26)))))</f>
        <v/>
      </c>
      <c r="DY81">
        <f>IF($T$4="",1,IF($T$4="(blank)",--('Final Calculation Sheet'!$S$26=""),IF($T$4="(nonblank)",--('Final Calculation Sheet'!$S$26&lt;&gt;""),--ISNUMBER(SEARCH($T$4,'Final Calculation Sheet'!$S$26)))))</f>
        <v/>
      </c>
      <c r="DZ81">
        <f>IF($U$4="",1,IF($U$4="(blank)",--('Final Calculation Sheet'!$T$26=""),IF($U$4="(nonblank)",--('Final Calculation Sheet'!$T$26&lt;&gt;""),--ISNUMBER(SEARCH($U$4,'Final Calculation Sheet'!$T$26)))))</f>
        <v/>
      </c>
      <c r="EA81">
        <f>IF($V$4="",1,IF($V$4="(blank)",--('Final Calculation Sheet'!$U$26=""),IF($V$4="(nonblank)",--('Final Calculation Sheet'!$U$26&lt;&gt;""),--ISNUMBER(SEARCH($V$4,'Final Calculation Sheet'!$U$26)))))</f>
        <v/>
      </c>
      <c r="EB81">
        <f>IF($W$4="",1,IF($W$4="(blank)",--('Final Calculation Sheet'!$V$26=""),IF($W$4="(nonblank)",--('Final Calculation Sheet'!$V$26&lt;&gt;""),--ISNUMBER(SEARCH($W$4,'Final Calculation Sheet'!$V$26)))))</f>
        <v/>
      </c>
      <c r="EC81">
        <f>IF($X$4="",1,IF($X$4="(blank)",--('Final Calculation Sheet'!$W$26=""),IF($X$4="(nonblank)",--('Final Calculation Sheet'!$W$26&lt;&gt;""),--ISNUMBER(SEARCH($X$4,'Final Calculation Sheet'!$W$26)))))</f>
        <v/>
      </c>
      <c r="ED81">
        <f>IF($Y$4="",1,IF($Y$4="(blank)",--('Final Calculation Sheet'!$X$26=""),IF($Y$4="(nonblank)",--('Final Calculation Sheet'!$X$26&lt;&gt;""),--ISNUMBER(SEARCH($Y$4,'Final Calculation Sheet'!$X$26)))))</f>
        <v/>
      </c>
      <c r="EE81">
        <f>IF($Z$4="",1,IF($Z$4="(blank)",--('Final Calculation Sheet'!$Y$26=""),IF($Z$4="(nonblank)",--('Final Calculation Sheet'!$Y$26&lt;&gt;""),--ISNUMBER(SEARCH($Z$4,'Final Calculation Sheet'!$Y$26)))))</f>
        <v/>
      </c>
      <c r="EF81">
        <f>IF($AA$4="",1,IF($AA$4="(blank)",--('Final Calculation Sheet'!$Z$26=""),IF($AA$4="(nonblank)",--('Final Calculation Sheet'!$Z$26&lt;&gt;""),--ISNUMBER(SEARCH($AA$4,'Final Calculation Sheet'!$Z$26)))))</f>
        <v/>
      </c>
      <c r="EG81">
        <f>IF($AB$4="",1,IF($AB$4="(blank)",--('Final Calculation Sheet'!$AA$26=""),IF($AB$4="(nonblank)",--('Final Calculation Sheet'!$AA$26&lt;&gt;""),--ISNUMBER(SEARCH($AB$4,'Final Calculation Sheet'!$AA$26)))))</f>
        <v/>
      </c>
      <c r="EH81">
        <f>IF($AC$4="",1,IF($AC$4="(blank)",--('Final Calculation Sheet'!$AB$26=""),IF($AC$4="(nonblank)",--('Final Calculation Sheet'!$AB$26&lt;&gt;""),--ISNUMBER(SEARCH($AC$4,'Final Calculation Sheet'!$AB$26)))))</f>
        <v/>
      </c>
      <c r="EI81">
        <f>IF($AD$4="",1,IF($AD$4="(blank)",--('Final Calculation Sheet'!$AC$26=""),IF($AD$4="(nonblank)",--('Final Calculation Sheet'!$AC$26&lt;&gt;""),--ISNUMBER(SEARCH($AD$4,'Final Calculation Sheet'!$AC$26)))))</f>
        <v/>
      </c>
      <c r="EJ81">
        <f>IF($AE$4="",1,IF($AE$4="(blank)",--('Final Calculation Sheet'!$AD$26=""),IF($AE$4="(nonblank)",--('Final Calculation Sheet'!$AD$26&lt;&gt;""),--ISNUMBER(SEARCH($AE$4,'Final Calculation Sheet'!$AD$26)))))</f>
        <v/>
      </c>
      <c r="EK81">
        <f>IF($AF$4="",1,IF($AF$4="(blank)",--(IF('Final Calculation Sheet'!$AD$26&lt;=5,"SETTLED","OUTSTANDING")=""),IF($AF$4="(nonblank)",--(IF('Final Calculation Sheet'!$AD$26&lt;=5,"SETTLED","OUTSTANDING")&lt;&gt;""),--ISNUMBER(SEARCH($AF$4,IF('Final Calculation Sheet'!$AD$26&lt;=5,"SETTLED","OUTSTANDING"))))))</f>
        <v/>
      </c>
      <c r="EL81">
        <f>IF($AG$4="",1,IF($AG$4="(blank)",--('Final Calculation Sheet'!$AF$26=""),IF($AG$4="(nonblank)",--('Final Calculation Sheet'!$AF$26&lt;&gt;""),--ISNUMBER(SEARCH($AG$4,'Final Calculation Sheet'!$AF$26)))))</f>
        <v/>
      </c>
      <c r="EM81">
        <f>IF($AH$4="",1,IF($AH$4="(blank)",--('Final Calculation Sheet'!$AG$26=""),IF($AH$4="(nonblank)",--('Final Calculation Sheet'!$AG$26&lt;&gt;""),--ISNUMBER(SEARCH($AH$4,'Final Calculation Sheet'!$AG$26)))))</f>
        <v/>
      </c>
      <c r="EN81">
        <f>IF($AI$4="",1,IF($AI$4="(blank)",--('Final Calculation Sheet'!$AH$26=""),IF($AI$4="(nonblank)",--('Final Calculation Sheet'!$AH$26&lt;&gt;""),--ISNUMBER(SEARCH($AI$4,'Final Calculation Sheet'!$AH$26)))))</f>
        <v/>
      </c>
    </row>
    <row r="82">
      <c r="AM82">
        <f>AM81+IF(AND(Lists!$O$29&lt;&gt;"",ISNUMBER(SEARCH($B$4,Lists!$O$29))),1,0)</f>
        <v/>
      </c>
      <c r="AN82">
        <f>IF(ROW()-56&gt;MAX($AM$57:$AM$95),"",INDEX(Lists!$O$4:$O$42,MATCH(ROW()-56,$AM$57:$AM$95,0)))</f>
        <v/>
      </c>
      <c r="AO82">
        <f>AO81+IF(AND(Lists!$T$29&lt;&gt;"",ISNUMBER(SEARCH($C$4,Lists!$T$29))),1,0)</f>
        <v/>
      </c>
      <c r="AP82">
        <f>IF(ROW()-56&gt;MAX($AO$57:$AO$95),"",INDEX(Lists!$T$4:$T$42,MATCH(ROW()-56,$AO$57:$AO$95,0)))</f>
        <v/>
      </c>
      <c r="AQ82">
        <f>AQ81+IF(AND(Lists!$Y$29&lt;&gt;"",ISNUMBER(SEARCH($D$4,Lists!$Y$29))),1,0)</f>
        <v/>
      </c>
      <c r="AR82">
        <f>IF(ROW()-56&gt;MAX($AQ$57:$AQ$95),"",INDEX(Lists!$Y$4:$Y$42,MATCH(ROW()-56,$AQ$57:$AQ$95,0)))</f>
        <v/>
      </c>
      <c r="AS82">
        <f>AS81+IF(AND(Lists!$AD$29&lt;&gt;"",ISNUMBER(SEARCH($E$4,Lists!$AD$29))),1,0)</f>
        <v/>
      </c>
      <c r="AT82">
        <f>IF(ROW()-56&gt;MAX($AS$57:$AS$95),"",INDEX(Lists!$AD$4:$AD$42,MATCH(ROW()-56,$AS$57:$AS$95,0)))</f>
        <v/>
      </c>
      <c r="AU82">
        <f>AU81+IF(AND(Lists!$AI$29&lt;&gt;"",ISNUMBER(SEARCH($F$4,Lists!$AI$29))),1,0)</f>
        <v/>
      </c>
      <c r="AV82">
        <f>IF(ROW()-56&gt;MAX($AU$57:$AU$95),"",INDEX(Lists!$AI$4:$AI$42,MATCH(ROW()-56,$AU$57:$AU$95,0)))</f>
        <v/>
      </c>
      <c r="AW82">
        <f>AW81+IF(AND(Lists!$AN$29&lt;&gt;"",ISNUMBER(SEARCH($G$4,Lists!$AN$29))),1,0)</f>
        <v/>
      </c>
      <c r="AX82">
        <f>IF(ROW()-56&gt;MAX($AW$57:$AW$95),"",INDEX(Lists!$AN$4:$AN$42,MATCH(ROW()-56,$AW$57:$AW$95,0)))</f>
        <v/>
      </c>
      <c r="AY82">
        <f>AY81+IF(AND(Lists!$AS$29&lt;&gt;"",ISNUMBER(SEARCH($H$4,Lists!$AS$29))),1,0)</f>
        <v/>
      </c>
      <c r="AZ82">
        <f>IF(ROW()-56&gt;MAX($AY$57:$AY$95),"",INDEX(Lists!$AS$4:$AS$42,MATCH(ROW()-56,$AY$57:$AY$95,0)))</f>
        <v/>
      </c>
      <c r="BA82">
        <f>BA81+IF(AND(Lists!$AX$29&lt;&gt;"",ISNUMBER(SEARCH($I$4,Lists!$AX$29))),1,0)</f>
        <v/>
      </c>
      <c r="BB82">
        <f>IF(ROW()-56&gt;MAX($BA$57:$BA$95),"",INDEX(Lists!$AX$4:$AX$42,MATCH(ROW()-56,$BA$57:$BA$95,0)))</f>
        <v/>
      </c>
      <c r="BC82">
        <f>BC81+IF(AND(Lists!$BC$29&lt;&gt;"",ISNUMBER(SEARCH($J$4,Lists!$BC$29))),1,0)</f>
        <v/>
      </c>
      <c r="BD82">
        <f>IF(ROW()-56&gt;MAX($BC$57:$BC$95),"",INDEX(Lists!$BC$4:$BC$42,MATCH(ROW()-56,$BC$57:$BC$95,0)))</f>
        <v/>
      </c>
      <c r="BE82">
        <f>BE81+IF(AND(Lists!$BH$29&lt;&gt;"",ISNUMBER(SEARCH($K$4,Lists!$BH$29))),1,0)</f>
        <v/>
      </c>
      <c r="BF82">
        <f>IF(ROW()-56&gt;MAX($BE$57:$BE$95),"",INDEX(Lists!$BH$4:$BH$42,MATCH(ROW()-56,$BE$57:$BE$95,0)))</f>
        <v/>
      </c>
      <c r="BG82">
        <f>BG81+IF(AND(Lists!$BM$29&lt;&gt;"",ISNUMBER(SEARCH($L$4,Lists!$BM$29))),1,0)</f>
        <v/>
      </c>
      <c r="BH82">
        <f>IF(ROW()-56&gt;MAX($BG$57:$BG$95),"",INDEX(Lists!$BM$4:$BM$42,MATCH(ROW()-56,$BG$57:$BG$95,0)))</f>
        <v/>
      </c>
      <c r="BI82">
        <f>BI81+IF(AND(Lists!$BR$29&lt;&gt;"",ISNUMBER(SEARCH($M$4,Lists!$BR$29))),1,0)</f>
        <v/>
      </c>
      <c r="BJ82">
        <f>IF(ROW()-56&gt;MAX($BI$57:$BI$95),"",INDEX(Lists!$BR$4:$BR$42,MATCH(ROW()-56,$BI$57:$BI$95,0)))</f>
        <v/>
      </c>
      <c r="BK82">
        <f>BK81+IF(AND(Lists!$BW$29&lt;&gt;"",ISNUMBER(SEARCH($N$4,Lists!$BW$29))),1,0)</f>
        <v/>
      </c>
      <c r="BL82">
        <f>IF(ROW()-56&gt;MAX($BK$57:$BK$95),"",INDEX(Lists!$BW$4:$BW$42,MATCH(ROW()-56,$BK$57:$BK$95,0)))</f>
        <v/>
      </c>
      <c r="BM82">
        <f>BM81+IF(AND(Lists!$CB$29&lt;&gt;"",ISNUMBER(SEARCH($O$4,Lists!$CB$29))),1,0)</f>
        <v/>
      </c>
      <c r="BN82">
        <f>IF(ROW()-56&gt;MAX($BM$57:$BM$95),"",INDEX(Lists!$CB$4:$CB$42,MATCH(ROW()-56,$BM$57:$BM$95,0)))</f>
        <v/>
      </c>
      <c r="BO82">
        <f>BO81+IF(AND(Lists!$CG$29&lt;&gt;"",ISNUMBER(SEARCH($P$4,Lists!$CG$29))),1,0)</f>
        <v/>
      </c>
      <c r="BP82">
        <f>IF(ROW()-56&gt;MAX($BO$57:$BO$95),"",INDEX(Lists!$CG$4:$CG$42,MATCH(ROW()-56,$BO$57:$BO$95,0)))</f>
        <v/>
      </c>
      <c r="BQ82">
        <f>BQ81+IF(AND(Lists!$CL$29&lt;&gt;"",ISNUMBER(SEARCH($Q$4,Lists!$CL$29))),1,0)</f>
        <v/>
      </c>
      <c r="BR82">
        <f>IF(ROW()-56&gt;MAX($BQ$57:$BQ$95),"",INDEX(Lists!$CL$4:$CL$42,MATCH(ROW()-56,$BQ$57:$BQ$95,0)))</f>
        <v/>
      </c>
      <c r="BS82">
        <f>BS81+IF(AND(Lists!$CQ$29&lt;&gt;"",ISNUMBER(SEARCH($R$4,Lists!$CQ$29))),1,0)</f>
        <v/>
      </c>
      <c r="BT82">
        <f>IF(ROW()-56&gt;MAX($BS$57:$BS$95),"",INDEX(Lists!$CQ$4:$CQ$42,MATCH(ROW()-56,$BS$57:$BS$95,0)))</f>
        <v/>
      </c>
      <c r="BU82">
        <f>BU81+IF(AND(Lists!$CV$29&lt;&gt;"",ISNUMBER(SEARCH($S$4,Lists!$CV$29))),1,0)</f>
        <v/>
      </c>
      <c r="BV82">
        <f>IF(ROW()-56&gt;MAX($BU$57:$BU$95),"",INDEX(Lists!$CV$4:$CV$42,MATCH(ROW()-56,$BU$57:$BU$95,0)))</f>
        <v/>
      </c>
      <c r="BW82">
        <f>BW81+IF(AND(Lists!$DA$29&lt;&gt;"",ISNUMBER(SEARCH($T$4,Lists!$DA$29))),1,0)</f>
        <v/>
      </c>
      <c r="BX82">
        <f>IF(ROW()-56&gt;MAX($BW$57:$BW$95),"",INDEX(Lists!$DA$4:$DA$42,MATCH(ROW()-56,$BW$57:$BW$95,0)))</f>
        <v/>
      </c>
      <c r="BY82">
        <f>BY81+IF(AND(Lists!$DF$29&lt;&gt;"",ISNUMBER(SEARCH($U$4,Lists!$DF$29))),1,0)</f>
        <v/>
      </c>
      <c r="BZ82">
        <f>IF(ROW()-56&gt;MAX($BY$57:$BY$95),"",INDEX(Lists!$DF$4:$DF$42,MATCH(ROW()-56,$BY$57:$BY$95,0)))</f>
        <v/>
      </c>
      <c r="CA82">
        <f>CA81+IF(AND(Lists!$DK$29&lt;&gt;"",ISNUMBER(SEARCH($V$4,Lists!$DK$29))),1,0)</f>
        <v/>
      </c>
      <c r="CB82">
        <f>IF(ROW()-56&gt;MAX($CA$57:$CA$95),"",INDEX(Lists!$DK$4:$DK$42,MATCH(ROW()-56,$CA$57:$CA$95,0)))</f>
        <v/>
      </c>
      <c r="CC82">
        <f>CC81+IF(AND(Lists!$DP$29&lt;&gt;"",ISNUMBER(SEARCH($W$4,Lists!$DP$29))),1,0)</f>
        <v/>
      </c>
      <c r="CD82">
        <f>IF(ROW()-56&gt;MAX($CC$57:$CC$95),"",INDEX(Lists!$DP$4:$DP$42,MATCH(ROW()-56,$CC$57:$CC$95,0)))</f>
        <v/>
      </c>
      <c r="CE82">
        <f>CE81+IF(AND(Lists!$DU$29&lt;&gt;"",ISNUMBER(SEARCH($X$4,Lists!$DU$29))),1,0)</f>
        <v/>
      </c>
      <c r="CF82">
        <f>IF(ROW()-56&gt;MAX($CE$57:$CE$95),"",INDEX(Lists!$DU$4:$DU$42,MATCH(ROW()-56,$CE$57:$CE$95,0)))</f>
        <v/>
      </c>
      <c r="CG82">
        <f>CG81+IF(AND(Lists!$DZ$29&lt;&gt;"",ISNUMBER(SEARCH($Y$4,Lists!$DZ$29))),1,0)</f>
        <v/>
      </c>
      <c r="CH82">
        <f>IF(ROW()-56&gt;MAX($CG$57:$CG$95),"",INDEX(Lists!$DZ$4:$DZ$42,MATCH(ROW()-56,$CG$57:$CG$95,0)))</f>
        <v/>
      </c>
      <c r="CI82">
        <f>CI81+IF(AND(Lists!$EE$29&lt;&gt;"",ISNUMBER(SEARCH($Z$4,Lists!$EE$29))),1,0)</f>
        <v/>
      </c>
      <c r="CJ82">
        <f>IF(ROW()-56&gt;MAX($CI$57:$CI$95),"",INDEX(Lists!$EE$4:$EE$42,MATCH(ROW()-56,$CI$57:$CI$95,0)))</f>
        <v/>
      </c>
      <c r="CK82">
        <f>CK81+IF(AND(Lists!$EJ$29&lt;&gt;"",ISNUMBER(SEARCH($AA$4,Lists!$EJ$29))),1,0)</f>
        <v/>
      </c>
      <c r="CL82">
        <f>IF(ROW()-56&gt;MAX($CK$57:$CK$95),"",INDEX(Lists!$EJ$4:$EJ$42,MATCH(ROW()-56,$CK$57:$CK$95,0)))</f>
        <v/>
      </c>
      <c r="CM82">
        <f>CM81+IF(AND(Lists!$EO$29&lt;&gt;"",ISNUMBER(SEARCH($AB$4,Lists!$EO$29))),1,0)</f>
        <v/>
      </c>
      <c r="CN82">
        <f>IF(ROW()-56&gt;MAX($CM$57:$CM$95),"",INDEX(Lists!$EO$4:$EO$42,MATCH(ROW()-56,$CM$57:$CM$95,0)))</f>
        <v/>
      </c>
      <c r="CO82">
        <f>CO81+IF(AND(Lists!$ET$29&lt;&gt;"",ISNUMBER(SEARCH($AC$4,Lists!$ET$29))),1,0)</f>
        <v/>
      </c>
      <c r="CP82">
        <f>IF(ROW()-56&gt;MAX($CO$57:$CO$95),"",INDEX(Lists!$ET$4:$ET$42,MATCH(ROW()-56,$CO$57:$CO$95,0)))</f>
        <v/>
      </c>
      <c r="CQ82">
        <f>CQ81+IF(AND(Lists!$EY$29&lt;&gt;"",ISNUMBER(SEARCH($AD$4,Lists!$EY$29))),1,0)</f>
        <v/>
      </c>
      <c r="CR82">
        <f>IF(ROW()-56&gt;MAX($CQ$57:$CQ$95),"",INDEX(Lists!$EY$4:$EY$42,MATCH(ROW()-56,$CQ$57:$CQ$95,0)))</f>
        <v/>
      </c>
      <c r="CS82">
        <f>CS81+IF(AND(Lists!$FD$29&lt;&gt;"",ISNUMBER(SEARCH($AE$4,Lists!$FD$29))),1,0)</f>
        <v/>
      </c>
      <c r="CT82">
        <f>IF(ROW()-56&gt;MAX($CS$57:$CS$95),"",INDEX(Lists!$FD$4:$FD$42,MATCH(ROW()-56,$CS$57:$CS$95,0)))</f>
        <v/>
      </c>
      <c r="CU82">
        <f>CU81+IF(AND(Lists!$FI$29&lt;&gt;"",ISNUMBER(SEARCH($AG$4,Lists!$FI$29))),1,0)</f>
        <v/>
      </c>
      <c r="CV82">
        <f>IF(ROW()-56&gt;MAX($CU$57:$CU$95),"",INDEX(Lists!$FI$4:$FI$42,MATCH(ROW()-56,$CU$57:$CU$95,0)))</f>
        <v/>
      </c>
      <c r="CW82">
        <f>CW81+IF(AND(Lists!$FN$29&lt;&gt;"",ISNUMBER(SEARCH($AH$4,Lists!$FN$29))),1,0)</f>
        <v/>
      </c>
      <c r="CX82">
        <f>IF(ROW()-56&gt;MAX($CW$57:$CW$95),"",INDEX(Lists!$FN$4:$FN$42,MATCH(ROW()-56,$CW$57:$CW$95,0)))</f>
        <v/>
      </c>
      <c r="CY82">
        <f>CY81+IF(AND(Lists!$FS$29&lt;&gt;"",ISNUMBER(SEARCH($AI$4,Lists!$FS$29))),1,0)</f>
        <v/>
      </c>
      <c r="CZ82">
        <f>IF(ROW()-56&gt;MAX($CY$57:$CY$95),"",INDEX(Lists!$FS$4:$FS$42,MATCH(ROW()-56,$CY$57:$CY$95,0)))</f>
        <v/>
      </c>
      <c r="DA82">
        <f>DA81+IF(AND(Lists!$FX$29&lt;&gt;"",ISNUMBER(SEARCH($AF$4,Lists!$FX$29))),1,0)</f>
        <v/>
      </c>
      <c r="DB82">
        <f>IF(ROW()-56&gt;MAX($DA$57:$DA$95),"",INDEX(Lists!$FX$4:$FX$42,MATCH(ROW()-56,$DA$57:$DA$95,0)))</f>
        <v/>
      </c>
      <c r="DG82">
        <f>IF($B$4="",1,IF($B$4="(blank)",--('Final Calculation Sheet'!$F$27=""),IF($B$4="(nonblank)",--('Final Calculation Sheet'!$F$27&lt;&gt;""),--ISNUMBER(SEARCH($B$4,'Final Calculation Sheet'!$F$27)))))</f>
        <v/>
      </c>
      <c r="DH82">
        <f>IF($C$4="",1,IF($C$4="(blank)",--('Final Calculation Sheet'!$G$27=""),IF($C$4="(nonblank)",--('Final Calculation Sheet'!$G$27&lt;&gt;""),--ISNUMBER(SEARCH($C$4,'Final Calculation Sheet'!$G$27)))))</f>
        <v/>
      </c>
      <c r="DI82">
        <f>IF($D$4="",1,IF($D$4="(blank)",--('Final Calculation Sheet'!$B$27=""),IF($D$4="(nonblank)",--('Final Calculation Sheet'!$B$27&lt;&gt;""),--ISNUMBER(SEARCH($D$4,'Final Calculation Sheet'!$B$27)))))</f>
        <v/>
      </c>
      <c r="DJ82">
        <f>IF($E$4="",1,IF($E$4="(blank)",--('Final Calculation Sheet'!$D$27=""),IF($E$4="(nonblank)",--('Final Calculation Sheet'!$D$27&lt;&gt;""),--ISNUMBER(SEARCH($E$4,'Final Calculation Sheet'!$D$27)))))</f>
        <v/>
      </c>
      <c r="DK82">
        <f>IF($F$4="",1,IF($F$4="(blank)",--('Final Calculation Sheet'!$A$27=""),IF($F$4="(nonblank)",--('Final Calculation Sheet'!$A$27&lt;&gt;""),--ISNUMBER(SEARCH($F$4,'Final Calculation Sheet'!$A$27)))))</f>
        <v/>
      </c>
      <c r="DL82">
        <f>IF($G$4="",1,IF($G$4="(blank)",--('Final Calculation Sheet'!$E$27=""),IF($G$4="(nonblank)",--('Final Calculation Sheet'!$E$27&lt;&gt;""),--ISNUMBER(SEARCH($G$4,'Final Calculation Sheet'!$E$27)))))</f>
        <v/>
      </c>
      <c r="DM82">
        <f>IF($H$4="",1,IF($H$4="(blank)",--('Final Calculation Sheet'!$C$27=""),IF($H$4="(nonblank)",--('Final Calculation Sheet'!$C$27&lt;&gt;""),--ISNUMBER(SEARCH($H$4,'Final Calculation Sheet'!$C$27)))))</f>
        <v/>
      </c>
      <c r="DN82">
        <f>IF($I$4="",1,IF($I$4="(blank)",--('Final Calculation Sheet'!$H$27=""),IF($I$4="(nonblank)",--('Final Calculation Sheet'!$H$27&lt;&gt;""),--ISNUMBER(SEARCH($I$4,'Final Calculation Sheet'!$H$27)))))</f>
        <v/>
      </c>
      <c r="DO82">
        <f>IF($J$4="",1,IF($J$4="(blank)",--('Final Calculation Sheet'!$I$27=""),IF($J$4="(nonblank)",--('Final Calculation Sheet'!$I$27&lt;&gt;""),--ISNUMBER(SEARCH($J$4,'Final Calculation Sheet'!$I$27)))))</f>
        <v/>
      </c>
      <c r="DP82">
        <f>IF($K$4="",1,IF($K$4="(blank)",--('Final Calculation Sheet'!$J$27=""),IF($K$4="(nonblank)",--('Final Calculation Sheet'!$J$27&lt;&gt;""),--ISNUMBER(SEARCH($K$4,'Final Calculation Sheet'!$J$27)))))</f>
        <v/>
      </c>
      <c r="DQ82">
        <f>IF($L$4="",1,IF($L$4="(blank)",--('Final Calculation Sheet'!$K$27=""),IF($L$4="(nonblank)",--('Final Calculation Sheet'!$K$27&lt;&gt;""),--ISNUMBER(SEARCH($L$4,'Final Calculation Sheet'!$K$27)))))</f>
        <v/>
      </c>
      <c r="DR82">
        <f>IF($M$4="",1,IF($M$4="(blank)",--('Final Calculation Sheet'!$L$27=""),IF($M$4="(nonblank)",--('Final Calculation Sheet'!$L$27&lt;&gt;""),--ISNUMBER(SEARCH($M$4,'Final Calculation Sheet'!$L$27)))))</f>
        <v/>
      </c>
      <c r="DS82">
        <f>IF($N$4="",1,IF($N$4="(blank)",--('Final Calculation Sheet'!$M$27=""),IF($N$4="(nonblank)",--('Final Calculation Sheet'!$M$27&lt;&gt;""),--ISNUMBER(SEARCH($N$4,'Final Calculation Sheet'!$M$27)))))</f>
        <v/>
      </c>
      <c r="DT82">
        <f>IF($O$4="",1,IF($O$4="(blank)",--('Final Calculation Sheet'!$N$27=""),IF($O$4="(nonblank)",--('Final Calculation Sheet'!$N$27&lt;&gt;""),--ISNUMBER(SEARCH($O$4,'Final Calculation Sheet'!$N$27)))))</f>
        <v/>
      </c>
      <c r="DU82">
        <f>IF($P$4="",1,IF($P$4="(blank)",--('Final Calculation Sheet'!$O$27=""),IF($P$4="(nonblank)",--('Final Calculation Sheet'!$O$27&lt;&gt;""),--ISNUMBER(SEARCH($P$4,'Final Calculation Sheet'!$O$27)))))</f>
        <v/>
      </c>
      <c r="DV82">
        <f>IF($Q$4="",1,IF($Q$4="(blank)",--('Final Calculation Sheet'!$P$27=""),IF($Q$4="(nonblank)",--('Final Calculation Sheet'!$P$27&lt;&gt;""),--ISNUMBER(SEARCH($Q$4,'Final Calculation Sheet'!$P$27)))))</f>
        <v/>
      </c>
      <c r="DW82">
        <f>IF($R$4="",1,IF($R$4="(blank)",--('Final Calculation Sheet'!$Q$27=""),IF($R$4="(nonblank)",--('Final Calculation Sheet'!$Q$27&lt;&gt;""),--ISNUMBER(SEARCH($R$4,'Final Calculation Sheet'!$Q$27)))))</f>
        <v/>
      </c>
      <c r="DX82">
        <f>IF($S$4="",1,IF($S$4="(blank)",--('Final Calculation Sheet'!$R$27=""),IF($S$4="(nonblank)",--('Final Calculation Sheet'!$R$27&lt;&gt;""),--ISNUMBER(SEARCH($S$4,'Final Calculation Sheet'!$R$27)))))</f>
        <v/>
      </c>
      <c r="DY82">
        <f>IF($T$4="",1,IF($T$4="(blank)",--('Final Calculation Sheet'!$S$27=""),IF($T$4="(nonblank)",--('Final Calculation Sheet'!$S$27&lt;&gt;""),--ISNUMBER(SEARCH($T$4,'Final Calculation Sheet'!$S$27)))))</f>
        <v/>
      </c>
      <c r="DZ82">
        <f>IF($U$4="",1,IF($U$4="(blank)",--('Final Calculation Sheet'!$T$27=""),IF($U$4="(nonblank)",--('Final Calculation Sheet'!$T$27&lt;&gt;""),--ISNUMBER(SEARCH($U$4,'Final Calculation Sheet'!$T$27)))))</f>
        <v/>
      </c>
      <c r="EA82">
        <f>IF($V$4="",1,IF($V$4="(blank)",--('Final Calculation Sheet'!$U$27=""),IF($V$4="(nonblank)",--('Final Calculation Sheet'!$U$27&lt;&gt;""),--ISNUMBER(SEARCH($V$4,'Final Calculation Sheet'!$U$27)))))</f>
        <v/>
      </c>
      <c r="EB82">
        <f>IF($W$4="",1,IF($W$4="(blank)",--('Final Calculation Sheet'!$V$27=""),IF($W$4="(nonblank)",--('Final Calculation Sheet'!$V$27&lt;&gt;""),--ISNUMBER(SEARCH($W$4,'Final Calculation Sheet'!$V$27)))))</f>
        <v/>
      </c>
      <c r="EC82">
        <f>IF($X$4="",1,IF($X$4="(blank)",--('Final Calculation Sheet'!$W$27=""),IF($X$4="(nonblank)",--('Final Calculation Sheet'!$W$27&lt;&gt;""),--ISNUMBER(SEARCH($X$4,'Final Calculation Sheet'!$W$27)))))</f>
        <v/>
      </c>
      <c r="ED82">
        <f>IF($Y$4="",1,IF($Y$4="(blank)",--('Final Calculation Sheet'!$X$27=""),IF($Y$4="(nonblank)",--('Final Calculation Sheet'!$X$27&lt;&gt;""),--ISNUMBER(SEARCH($Y$4,'Final Calculation Sheet'!$X$27)))))</f>
        <v/>
      </c>
      <c r="EE82">
        <f>IF($Z$4="",1,IF($Z$4="(blank)",--('Final Calculation Sheet'!$Y$27=""),IF($Z$4="(nonblank)",--('Final Calculation Sheet'!$Y$27&lt;&gt;""),--ISNUMBER(SEARCH($Z$4,'Final Calculation Sheet'!$Y$27)))))</f>
        <v/>
      </c>
      <c r="EF82">
        <f>IF($AA$4="",1,IF($AA$4="(blank)",--('Final Calculation Sheet'!$Z$27=""),IF($AA$4="(nonblank)",--('Final Calculation Sheet'!$Z$27&lt;&gt;""),--ISNUMBER(SEARCH($AA$4,'Final Calculation Sheet'!$Z$27)))))</f>
        <v/>
      </c>
      <c r="EG82">
        <f>IF($AB$4="",1,IF($AB$4="(blank)",--('Final Calculation Sheet'!$AA$27=""),IF($AB$4="(nonblank)",--('Final Calculation Sheet'!$AA$27&lt;&gt;""),--ISNUMBER(SEARCH($AB$4,'Final Calculation Sheet'!$AA$27)))))</f>
        <v/>
      </c>
      <c r="EH82">
        <f>IF($AC$4="",1,IF($AC$4="(blank)",--('Final Calculation Sheet'!$AB$27=""),IF($AC$4="(nonblank)",--('Final Calculation Sheet'!$AB$27&lt;&gt;""),--ISNUMBER(SEARCH($AC$4,'Final Calculation Sheet'!$AB$27)))))</f>
        <v/>
      </c>
      <c r="EI82">
        <f>IF($AD$4="",1,IF($AD$4="(blank)",--('Final Calculation Sheet'!$AC$27=""),IF($AD$4="(nonblank)",--('Final Calculation Sheet'!$AC$27&lt;&gt;""),--ISNUMBER(SEARCH($AD$4,'Final Calculation Sheet'!$AC$27)))))</f>
        <v/>
      </c>
      <c r="EJ82">
        <f>IF($AE$4="",1,IF($AE$4="(blank)",--('Final Calculation Sheet'!$AD$27=""),IF($AE$4="(nonblank)",--('Final Calculation Sheet'!$AD$27&lt;&gt;""),--ISNUMBER(SEARCH($AE$4,'Final Calculation Sheet'!$AD$27)))))</f>
        <v/>
      </c>
      <c r="EK82">
        <f>IF($AF$4="",1,IF($AF$4="(blank)",--(IF('Final Calculation Sheet'!$AD$27&lt;=5,"SETTLED","OUTSTANDING")=""),IF($AF$4="(nonblank)",--(IF('Final Calculation Sheet'!$AD$27&lt;=5,"SETTLED","OUTSTANDING")&lt;&gt;""),--ISNUMBER(SEARCH($AF$4,IF('Final Calculation Sheet'!$AD$27&lt;=5,"SETTLED","OUTSTANDING"))))))</f>
        <v/>
      </c>
      <c r="EL82">
        <f>IF($AG$4="",1,IF($AG$4="(blank)",--('Final Calculation Sheet'!$AF$27=""),IF($AG$4="(nonblank)",--('Final Calculation Sheet'!$AF$27&lt;&gt;""),--ISNUMBER(SEARCH($AG$4,'Final Calculation Sheet'!$AF$27)))))</f>
        <v/>
      </c>
      <c r="EM82">
        <f>IF($AH$4="",1,IF($AH$4="(blank)",--('Final Calculation Sheet'!$AG$27=""),IF($AH$4="(nonblank)",--('Final Calculation Sheet'!$AG$27&lt;&gt;""),--ISNUMBER(SEARCH($AH$4,'Final Calculation Sheet'!$AG$27)))))</f>
        <v/>
      </c>
      <c r="EN82">
        <f>IF($AI$4="",1,IF($AI$4="(blank)",--('Final Calculation Sheet'!$AH$27=""),IF($AI$4="(nonblank)",--('Final Calculation Sheet'!$AH$27&lt;&gt;""),--ISNUMBER(SEARCH($AI$4,'Final Calculation Sheet'!$AH$27)))))</f>
        <v/>
      </c>
    </row>
    <row r="83">
      <c r="AM83">
        <f>AM82+IF(AND(Lists!$O$30&lt;&gt;"",ISNUMBER(SEARCH($B$4,Lists!$O$30))),1,0)</f>
        <v/>
      </c>
      <c r="AN83">
        <f>IF(ROW()-56&gt;MAX($AM$57:$AM$95),"",INDEX(Lists!$O$4:$O$42,MATCH(ROW()-56,$AM$57:$AM$95,0)))</f>
        <v/>
      </c>
      <c r="AO83">
        <f>AO82+IF(AND(Lists!$T$30&lt;&gt;"",ISNUMBER(SEARCH($C$4,Lists!$T$30))),1,0)</f>
        <v/>
      </c>
      <c r="AP83">
        <f>IF(ROW()-56&gt;MAX($AO$57:$AO$95),"",INDEX(Lists!$T$4:$T$42,MATCH(ROW()-56,$AO$57:$AO$95,0)))</f>
        <v/>
      </c>
      <c r="AQ83">
        <f>AQ82+IF(AND(Lists!$Y$30&lt;&gt;"",ISNUMBER(SEARCH($D$4,Lists!$Y$30))),1,0)</f>
        <v/>
      </c>
      <c r="AR83">
        <f>IF(ROW()-56&gt;MAX($AQ$57:$AQ$95),"",INDEX(Lists!$Y$4:$Y$42,MATCH(ROW()-56,$AQ$57:$AQ$95,0)))</f>
        <v/>
      </c>
      <c r="AS83">
        <f>AS82+IF(AND(Lists!$AD$30&lt;&gt;"",ISNUMBER(SEARCH($E$4,Lists!$AD$30))),1,0)</f>
        <v/>
      </c>
      <c r="AT83">
        <f>IF(ROW()-56&gt;MAX($AS$57:$AS$95),"",INDEX(Lists!$AD$4:$AD$42,MATCH(ROW()-56,$AS$57:$AS$95,0)))</f>
        <v/>
      </c>
      <c r="AU83">
        <f>AU82+IF(AND(Lists!$AI$30&lt;&gt;"",ISNUMBER(SEARCH($F$4,Lists!$AI$30))),1,0)</f>
        <v/>
      </c>
      <c r="AV83">
        <f>IF(ROW()-56&gt;MAX($AU$57:$AU$95),"",INDEX(Lists!$AI$4:$AI$42,MATCH(ROW()-56,$AU$57:$AU$95,0)))</f>
        <v/>
      </c>
      <c r="AW83">
        <f>AW82+IF(AND(Lists!$AN$30&lt;&gt;"",ISNUMBER(SEARCH($G$4,Lists!$AN$30))),1,0)</f>
        <v/>
      </c>
      <c r="AX83">
        <f>IF(ROW()-56&gt;MAX($AW$57:$AW$95),"",INDEX(Lists!$AN$4:$AN$42,MATCH(ROW()-56,$AW$57:$AW$95,0)))</f>
        <v/>
      </c>
      <c r="AY83">
        <f>AY82+IF(AND(Lists!$AS$30&lt;&gt;"",ISNUMBER(SEARCH($H$4,Lists!$AS$30))),1,0)</f>
        <v/>
      </c>
      <c r="AZ83">
        <f>IF(ROW()-56&gt;MAX($AY$57:$AY$95),"",INDEX(Lists!$AS$4:$AS$42,MATCH(ROW()-56,$AY$57:$AY$95,0)))</f>
        <v/>
      </c>
      <c r="BA83">
        <f>BA82+IF(AND(Lists!$AX$30&lt;&gt;"",ISNUMBER(SEARCH($I$4,Lists!$AX$30))),1,0)</f>
        <v/>
      </c>
      <c r="BB83">
        <f>IF(ROW()-56&gt;MAX($BA$57:$BA$95),"",INDEX(Lists!$AX$4:$AX$42,MATCH(ROW()-56,$BA$57:$BA$95,0)))</f>
        <v/>
      </c>
      <c r="BC83">
        <f>BC82+IF(AND(Lists!$BC$30&lt;&gt;"",ISNUMBER(SEARCH($J$4,Lists!$BC$30))),1,0)</f>
        <v/>
      </c>
      <c r="BD83">
        <f>IF(ROW()-56&gt;MAX($BC$57:$BC$95),"",INDEX(Lists!$BC$4:$BC$42,MATCH(ROW()-56,$BC$57:$BC$95,0)))</f>
        <v/>
      </c>
      <c r="BE83">
        <f>BE82+IF(AND(Lists!$BH$30&lt;&gt;"",ISNUMBER(SEARCH($K$4,Lists!$BH$30))),1,0)</f>
        <v/>
      </c>
      <c r="BF83">
        <f>IF(ROW()-56&gt;MAX($BE$57:$BE$95),"",INDEX(Lists!$BH$4:$BH$42,MATCH(ROW()-56,$BE$57:$BE$95,0)))</f>
        <v/>
      </c>
      <c r="BG83">
        <f>BG82+IF(AND(Lists!$BM$30&lt;&gt;"",ISNUMBER(SEARCH($L$4,Lists!$BM$30))),1,0)</f>
        <v/>
      </c>
      <c r="BH83">
        <f>IF(ROW()-56&gt;MAX($BG$57:$BG$95),"",INDEX(Lists!$BM$4:$BM$42,MATCH(ROW()-56,$BG$57:$BG$95,0)))</f>
        <v/>
      </c>
      <c r="BI83">
        <f>BI82+IF(AND(Lists!$BR$30&lt;&gt;"",ISNUMBER(SEARCH($M$4,Lists!$BR$30))),1,0)</f>
        <v/>
      </c>
      <c r="BJ83">
        <f>IF(ROW()-56&gt;MAX($BI$57:$BI$95),"",INDEX(Lists!$BR$4:$BR$42,MATCH(ROW()-56,$BI$57:$BI$95,0)))</f>
        <v/>
      </c>
      <c r="BK83">
        <f>BK82+IF(AND(Lists!$BW$30&lt;&gt;"",ISNUMBER(SEARCH($N$4,Lists!$BW$30))),1,0)</f>
        <v/>
      </c>
      <c r="BL83">
        <f>IF(ROW()-56&gt;MAX($BK$57:$BK$95),"",INDEX(Lists!$BW$4:$BW$42,MATCH(ROW()-56,$BK$57:$BK$95,0)))</f>
        <v/>
      </c>
      <c r="BM83">
        <f>BM82+IF(AND(Lists!$CB$30&lt;&gt;"",ISNUMBER(SEARCH($O$4,Lists!$CB$30))),1,0)</f>
        <v/>
      </c>
      <c r="BN83">
        <f>IF(ROW()-56&gt;MAX($BM$57:$BM$95),"",INDEX(Lists!$CB$4:$CB$42,MATCH(ROW()-56,$BM$57:$BM$95,0)))</f>
        <v/>
      </c>
      <c r="BO83">
        <f>BO82+IF(AND(Lists!$CG$30&lt;&gt;"",ISNUMBER(SEARCH($P$4,Lists!$CG$30))),1,0)</f>
        <v/>
      </c>
      <c r="BP83">
        <f>IF(ROW()-56&gt;MAX($BO$57:$BO$95),"",INDEX(Lists!$CG$4:$CG$42,MATCH(ROW()-56,$BO$57:$BO$95,0)))</f>
        <v/>
      </c>
      <c r="BQ83">
        <f>BQ82+IF(AND(Lists!$CL$30&lt;&gt;"",ISNUMBER(SEARCH($Q$4,Lists!$CL$30))),1,0)</f>
        <v/>
      </c>
      <c r="BR83">
        <f>IF(ROW()-56&gt;MAX($BQ$57:$BQ$95),"",INDEX(Lists!$CL$4:$CL$42,MATCH(ROW()-56,$BQ$57:$BQ$95,0)))</f>
        <v/>
      </c>
      <c r="BS83">
        <f>BS82+IF(AND(Lists!$CQ$30&lt;&gt;"",ISNUMBER(SEARCH($R$4,Lists!$CQ$30))),1,0)</f>
        <v/>
      </c>
      <c r="BT83">
        <f>IF(ROW()-56&gt;MAX($BS$57:$BS$95),"",INDEX(Lists!$CQ$4:$CQ$42,MATCH(ROW()-56,$BS$57:$BS$95,0)))</f>
        <v/>
      </c>
      <c r="BU83">
        <f>BU82+IF(AND(Lists!$CV$30&lt;&gt;"",ISNUMBER(SEARCH($S$4,Lists!$CV$30))),1,0)</f>
        <v/>
      </c>
      <c r="BV83">
        <f>IF(ROW()-56&gt;MAX($BU$57:$BU$95),"",INDEX(Lists!$CV$4:$CV$42,MATCH(ROW()-56,$BU$57:$BU$95,0)))</f>
        <v/>
      </c>
      <c r="BW83">
        <f>BW82+IF(AND(Lists!$DA$30&lt;&gt;"",ISNUMBER(SEARCH($T$4,Lists!$DA$30))),1,0)</f>
        <v/>
      </c>
      <c r="BX83">
        <f>IF(ROW()-56&gt;MAX($BW$57:$BW$95),"",INDEX(Lists!$DA$4:$DA$42,MATCH(ROW()-56,$BW$57:$BW$95,0)))</f>
        <v/>
      </c>
      <c r="BY83">
        <f>BY82+IF(AND(Lists!$DF$30&lt;&gt;"",ISNUMBER(SEARCH($U$4,Lists!$DF$30))),1,0)</f>
        <v/>
      </c>
      <c r="BZ83">
        <f>IF(ROW()-56&gt;MAX($BY$57:$BY$95),"",INDEX(Lists!$DF$4:$DF$42,MATCH(ROW()-56,$BY$57:$BY$95,0)))</f>
        <v/>
      </c>
      <c r="CA83">
        <f>CA82+IF(AND(Lists!$DK$30&lt;&gt;"",ISNUMBER(SEARCH($V$4,Lists!$DK$30))),1,0)</f>
        <v/>
      </c>
      <c r="CB83">
        <f>IF(ROW()-56&gt;MAX($CA$57:$CA$95),"",INDEX(Lists!$DK$4:$DK$42,MATCH(ROW()-56,$CA$57:$CA$95,0)))</f>
        <v/>
      </c>
      <c r="CC83">
        <f>CC82+IF(AND(Lists!$DP$30&lt;&gt;"",ISNUMBER(SEARCH($W$4,Lists!$DP$30))),1,0)</f>
        <v/>
      </c>
      <c r="CD83">
        <f>IF(ROW()-56&gt;MAX($CC$57:$CC$95),"",INDEX(Lists!$DP$4:$DP$42,MATCH(ROW()-56,$CC$57:$CC$95,0)))</f>
        <v/>
      </c>
      <c r="CE83">
        <f>CE82+IF(AND(Lists!$DU$30&lt;&gt;"",ISNUMBER(SEARCH($X$4,Lists!$DU$30))),1,0)</f>
        <v/>
      </c>
      <c r="CF83">
        <f>IF(ROW()-56&gt;MAX($CE$57:$CE$95),"",INDEX(Lists!$DU$4:$DU$42,MATCH(ROW()-56,$CE$57:$CE$95,0)))</f>
        <v/>
      </c>
      <c r="CG83">
        <f>CG82+IF(AND(Lists!$DZ$30&lt;&gt;"",ISNUMBER(SEARCH($Y$4,Lists!$DZ$30))),1,0)</f>
        <v/>
      </c>
      <c r="CH83">
        <f>IF(ROW()-56&gt;MAX($CG$57:$CG$95),"",INDEX(Lists!$DZ$4:$DZ$42,MATCH(ROW()-56,$CG$57:$CG$95,0)))</f>
        <v/>
      </c>
      <c r="CI83">
        <f>CI82+IF(AND(Lists!$EE$30&lt;&gt;"",ISNUMBER(SEARCH($Z$4,Lists!$EE$30))),1,0)</f>
        <v/>
      </c>
      <c r="CJ83">
        <f>IF(ROW()-56&gt;MAX($CI$57:$CI$95),"",INDEX(Lists!$EE$4:$EE$42,MATCH(ROW()-56,$CI$57:$CI$95,0)))</f>
        <v/>
      </c>
      <c r="CK83">
        <f>CK82+IF(AND(Lists!$EJ$30&lt;&gt;"",ISNUMBER(SEARCH($AA$4,Lists!$EJ$30))),1,0)</f>
        <v/>
      </c>
      <c r="CL83">
        <f>IF(ROW()-56&gt;MAX($CK$57:$CK$95),"",INDEX(Lists!$EJ$4:$EJ$42,MATCH(ROW()-56,$CK$57:$CK$95,0)))</f>
        <v/>
      </c>
      <c r="CM83">
        <f>CM82+IF(AND(Lists!$EO$30&lt;&gt;"",ISNUMBER(SEARCH($AB$4,Lists!$EO$30))),1,0)</f>
        <v/>
      </c>
      <c r="CN83">
        <f>IF(ROW()-56&gt;MAX($CM$57:$CM$95),"",INDEX(Lists!$EO$4:$EO$42,MATCH(ROW()-56,$CM$57:$CM$95,0)))</f>
        <v/>
      </c>
      <c r="CO83">
        <f>CO82+IF(AND(Lists!$ET$30&lt;&gt;"",ISNUMBER(SEARCH($AC$4,Lists!$ET$30))),1,0)</f>
        <v/>
      </c>
      <c r="CP83">
        <f>IF(ROW()-56&gt;MAX($CO$57:$CO$95),"",INDEX(Lists!$ET$4:$ET$42,MATCH(ROW()-56,$CO$57:$CO$95,0)))</f>
        <v/>
      </c>
      <c r="CQ83">
        <f>CQ82+IF(AND(Lists!$EY$30&lt;&gt;"",ISNUMBER(SEARCH($AD$4,Lists!$EY$30))),1,0)</f>
        <v/>
      </c>
      <c r="CR83">
        <f>IF(ROW()-56&gt;MAX($CQ$57:$CQ$95),"",INDEX(Lists!$EY$4:$EY$42,MATCH(ROW()-56,$CQ$57:$CQ$95,0)))</f>
        <v/>
      </c>
      <c r="CS83">
        <f>CS82+IF(AND(Lists!$FD$30&lt;&gt;"",ISNUMBER(SEARCH($AE$4,Lists!$FD$30))),1,0)</f>
        <v/>
      </c>
      <c r="CT83">
        <f>IF(ROW()-56&gt;MAX($CS$57:$CS$95),"",INDEX(Lists!$FD$4:$FD$42,MATCH(ROW()-56,$CS$57:$CS$95,0)))</f>
        <v/>
      </c>
      <c r="CU83">
        <f>CU82+IF(AND(Lists!$FI$30&lt;&gt;"",ISNUMBER(SEARCH($AG$4,Lists!$FI$30))),1,0)</f>
        <v/>
      </c>
      <c r="CV83">
        <f>IF(ROW()-56&gt;MAX($CU$57:$CU$95),"",INDEX(Lists!$FI$4:$FI$42,MATCH(ROW()-56,$CU$57:$CU$95,0)))</f>
        <v/>
      </c>
      <c r="CW83">
        <f>CW82+IF(AND(Lists!$FN$30&lt;&gt;"",ISNUMBER(SEARCH($AH$4,Lists!$FN$30))),1,0)</f>
        <v/>
      </c>
      <c r="CX83">
        <f>IF(ROW()-56&gt;MAX($CW$57:$CW$95),"",INDEX(Lists!$FN$4:$FN$42,MATCH(ROW()-56,$CW$57:$CW$95,0)))</f>
        <v/>
      </c>
      <c r="CY83">
        <f>CY82+IF(AND(Lists!$FS$30&lt;&gt;"",ISNUMBER(SEARCH($AI$4,Lists!$FS$30))),1,0)</f>
        <v/>
      </c>
      <c r="CZ83">
        <f>IF(ROW()-56&gt;MAX($CY$57:$CY$95),"",INDEX(Lists!$FS$4:$FS$42,MATCH(ROW()-56,$CY$57:$CY$95,0)))</f>
        <v/>
      </c>
      <c r="DA83">
        <f>DA82+IF(AND(Lists!$FX$30&lt;&gt;"",ISNUMBER(SEARCH($AF$4,Lists!$FX$30))),1,0)</f>
        <v/>
      </c>
      <c r="DB83">
        <f>IF(ROW()-56&gt;MAX($DA$57:$DA$95),"",INDEX(Lists!$FX$4:$FX$42,MATCH(ROW()-56,$DA$57:$DA$95,0)))</f>
        <v/>
      </c>
      <c r="DG83">
        <f>IF($B$4="",1,IF($B$4="(blank)",--('Final Calculation Sheet'!$F$28=""),IF($B$4="(nonblank)",--('Final Calculation Sheet'!$F$28&lt;&gt;""),--ISNUMBER(SEARCH($B$4,'Final Calculation Sheet'!$F$28)))))</f>
        <v/>
      </c>
      <c r="DH83">
        <f>IF($C$4="",1,IF($C$4="(blank)",--('Final Calculation Sheet'!$G$28=""),IF($C$4="(nonblank)",--('Final Calculation Sheet'!$G$28&lt;&gt;""),--ISNUMBER(SEARCH($C$4,'Final Calculation Sheet'!$G$28)))))</f>
        <v/>
      </c>
      <c r="DI83">
        <f>IF($D$4="",1,IF($D$4="(blank)",--('Final Calculation Sheet'!$B$28=""),IF($D$4="(nonblank)",--('Final Calculation Sheet'!$B$28&lt;&gt;""),--ISNUMBER(SEARCH($D$4,'Final Calculation Sheet'!$B$28)))))</f>
        <v/>
      </c>
      <c r="DJ83">
        <f>IF($E$4="",1,IF($E$4="(blank)",--('Final Calculation Sheet'!$D$28=""),IF($E$4="(nonblank)",--('Final Calculation Sheet'!$D$28&lt;&gt;""),--ISNUMBER(SEARCH($E$4,'Final Calculation Sheet'!$D$28)))))</f>
        <v/>
      </c>
      <c r="DK83">
        <f>IF($F$4="",1,IF($F$4="(blank)",--('Final Calculation Sheet'!$A$28=""),IF($F$4="(nonblank)",--('Final Calculation Sheet'!$A$28&lt;&gt;""),--ISNUMBER(SEARCH($F$4,'Final Calculation Sheet'!$A$28)))))</f>
        <v/>
      </c>
      <c r="DL83">
        <f>IF($G$4="",1,IF($G$4="(blank)",--('Final Calculation Sheet'!$E$28=""),IF($G$4="(nonblank)",--('Final Calculation Sheet'!$E$28&lt;&gt;""),--ISNUMBER(SEARCH($G$4,'Final Calculation Sheet'!$E$28)))))</f>
        <v/>
      </c>
      <c r="DM83">
        <f>IF($H$4="",1,IF($H$4="(blank)",--('Final Calculation Sheet'!$C$28=""),IF($H$4="(nonblank)",--('Final Calculation Sheet'!$C$28&lt;&gt;""),--ISNUMBER(SEARCH($H$4,'Final Calculation Sheet'!$C$28)))))</f>
        <v/>
      </c>
      <c r="DN83">
        <f>IF($I$4="",1,IF($I$4="(blank)",--('Final Calculation Sheet'!$H$28=""),IF($I$4="(nonblank)",--('Final Calculation Sheet'!$H$28&lt;&gt;""),--ISNUMBER(SEARCH($I$4,'Final Calculation Sheet'!$H$28)))))</f>
        <v/>
      </c>
      <c r="DO83">
        <f>IF($J$4="",1,IF($J$4="(blank)",--('Final Calculation Sheet'!$I$28=""),IF($J$4="(nonblank)",--('Final Calculation Sheet'!$I$28&lt;&gt;""),--ISNUMBER(SEARCH($J$4,'Final Calculation Sheet'!$I$28)))))</f>
        <v/>
      </c>
      <c r="DP83">
        <f>IF($K$4="",1,IF($K$4="(blank)",--('Final Calculation Sheet'!$J$28=""),IF($K$4="(nonblank)",--('Final Calculation Sheet'!$J$28&lt;&gt;""),--ISNUMBER(SEARCH($K$4,'Final Calculation Sheet'!$J$28)))))</f>
        <v/>
      </c>
      <c r="DQ83">
        <f>IF($L$4="",1,IF($L$4="(blank)",--('Final Calculation Sheet'!$K$28=""),IF($L$4="(nonblank)",--('Final Calculation Sheet'!$K$28&lt;&gt;""),--ISNUMBER(SEARCH($L$4,'Final Calculation Sheet'!$K$28)))))</f>
        <v/>
      </c>
      <c r="DR83">
        <f>IF($M$4="",1,IF($M$4="(blank)",--('Final Calculation Sheet'!$L$28=""),IF($M$4="(nonblank)",--('Final Calculation Sheet'!$L$28&lt;&gt;""),--ISNUMBER(SEARCH($M$4,'Final Calculation Sheet'!$L$28)))))</f>
        <v/>
      </c>
      <c r="DS83">
        <f>IF($N$4="",1,IF($N$4="(blank)",--('Final Calculation Sheet'!$M$28=""),IF($N$4="(nonblank)",--('Final Calculation Sheet'!$M$28&lt;&gt;""),--ISNUMBER(SEARCH($N$4,'Final Calculation Sheet'!$M$28)))))</f>
        <v/>
      </c>
      <c r="DT83">
        <f>IF($O$4="",1,IF($O$4="(blank)",--('Final Calculation Sheet'!$N$28=""),IF($O$4="(nonblank)",--('Final Calculation Sheet'!$N$28&lt;&gt;""),--ISNUMBER(SEARCH($O$4,'Final Calculation Sheet'!$N$28)))))</f>
        <v/>
      </c>
      <c r="DU83">
        <f>IF($P$4="",1,IF($P$4="(blank)",--('Final Calculation Sheet'!$O$28=""),IF($P$4="(nonblank)",--('Final Calculation Sheet'!$O$28&lt;&gt;""),--ISNUMBER(SEARCH($P$4,'Final Calculation Sheet'!$O$28)))))</f>
        <v/>
      </c>
      <c r="DV83">
        <f>IF($Q$4="",1,IF($Q$4="(blank)",--('Final Calculation Sheet'!$P$28=""),IF($Q$4="(nonblank)",--('Final Calculation Sheet'!$P$28&lt;&gt;""),--ISNUMBER(SEARCH($Q$4,'Final Calculation Sheet'!$P$28)))))</f>
        <v/>
      </c>
      <c r="DW83">
        <f>IF($R$4="",1,IF($R$4="(blank)",--('Final Calculation Sheet'!$Q$28=""),IF($R$4="(nonblank)",--('Final Calculation Sheet'!$Q$28&lt;&gt;""),--ISNUMBER(SEARCH($R$4,'Final Calculation Sheet'!$Q$28)))))</f>
        <v/>
      </c>
      <c r="DX83">
        <f>IF($S$4="",1,IF($S$4="(blank)",--('Final Calculation Sheet'!$R$28=""),IF($S$4="(nonblank)",--('Final Calculation Sheet'!$R$28&lt;&gt;""),--ISNUMBER(SEARCH($S$4,'Final Calculation Sheet'!$R$28)))))</f>
        <v/>
      </c>
      <c r="DY83">
        <f>IF($T$4="",1,IF($T$4="(blank)",--('Final Calculation Sheet'!$S$28=""),IF($T$4="(nonblank)",--('Final Calculation Sheet'!$S$28&lt;&gt;""),--ISNUMBER(SEARCH($T$4,'Final Calculation Sheet'!$S$28)))))</f>
        <v/>
      </c>
      <c r="DZ83">
        <f>IF($U$4="",1,IF($U$4="(blank)",--('Final Calculation Sheet'!$T$28=""),IF($U$4="(nonblank)",--('Final Calculation Sheet'!$T$28&lt;&gt;""),--ISNUMBER(SEARCH($U$4,'Final Calculation Sheet'!$T$28)))))</f>
        <v/>
      </c>
      <c r="EA83">
        <f>IF($V$4="",1,IF($V$4="(blank)",--('Final Calculation Sheet'!$U$28=""),IF($V$4="(nonblank)",--('Final Calculation Sheet'!$U$28&lt;&gt;""),--ISNUMBER(SEARCH($V$4,'Final Calculation Sheet'!$U$28)))))</f>
        <v/>
      </c>
      <c r="EB83">
        <f>IF($W$4="",1,IF($W$4="(blank)",--('Final Calculation Sheet'!$V$28=""),IF($W$4="(nonblank)",--('Final Calculation Sheet'!$V$28&lt;&gt;""),--ISNUMBER(SEARCH($W$4,'Final Calculation Sheet'!$V$28)))))</f>
        <v/>
      </c>
      <c r="EC83">
        <f>IF($X$4="",1,IF($X$4="(blank)",--('Final Calculation Sheet'!$W$28=""),IF($X$4="(nonblank)",--('Final Calculation Sheet'!$W$28&lt;&gt;""),--ISNUMBER(SEARCH($X$4,'Final Calculation Sheet'!$W$28)))))</f>
        <v/>
      </c>
      <c r="ED83">
        <f>IF($Y$4="",1,IF($Y$4="(blank)",--('Final Calculation Sheet'!$X$28=""),IF($Y$4="(nonblank)",--('Final Calculation Sheet'!$X$28&lt;&gt;""),--ISNUMBER(SEARCH($Y$4,'Final Calculation Sheet'!$X$28)))))</f>
        <v/>
      </c>
      <c r="EE83">
        <f>IF($Z$4="",1,IF($Z$4="(blank)",--('Final Calculation Sheet'!$Y$28=""),IF($Z$4="(nonblank)",--('Final Calculation Sheet'!$Y$28&lt;&gt;""),--ISNUMBER(SEARCH($Z$4,'Final Calculation Sheet'!$Y$28)))))</f>
        <v/>
      </c>
      <c r="EF83">
        <f>IF($AA$4="",1,IF($AA$4="(blank)",--('Final Calculation Sheet'!$Z$28=""),IF($AA$4="(nonblank)",--('Final Calculation Sheet'!$Z$28&lt;&gt;""),--ISNUMBER(SEARCH($AA$4,'Final Calculation Sheet'!$Z$28)))))</f>
        <v/>
      </c>
      <c r="EG83">
        <f>IF($AB$4="",1,IF($AB$4="(blank)",--('Final Calculation Sheet'!$AA$28=""),IF($AB$4="(nonblank)",--('Final Calculation Sheet'!$AA$28&lt;&gt;""),--ISNUMBER(SEARCH($AB$4,'Final Calculation Sheet'!$AA$28)))))</f>
        <v/>
      </c>
      <c r="EH83">
        <f>IF($AC$4="",1,IF($AC$4="(blank)",--('Final Calculation Sheet'!$AB$28=""),IF($AC$4="(nonblank)",--('Final Calculation Sheet'!$AB$28&lt;&gt;""),--ISNUMBER(SEARCH($AC$4,'Final Calculation Sheet'!$AB$28)))))</f>
        <v/>
      </c>
      <c r="EI83">
        <f>IF($AD$4="",1,IF($AD$4="(blank)",--('Final Calculation Sheet'!$AC$28=""),IF($AD$4="(nonblank)",--('Final Calculation Sheet'!$AC$28&lt;&gt;""),--ISNUMBER(SEARCH($AD$4,'Final Calculation Sheet'!$AC$28)))))</f>
        <v/>
      </c>
      <c r="EJ83">
        <f>IF($AE$4="",1,IF($AE$4="(blank)",--('Final Calculation Sheet'!$AD$28=""),IF($AE$4="(nonblank)",--('Final Calculation Sheet'!$AD$28&lt;&gt;""),--ISNUMBER(SEARCH($AE$4,'Final Calculation Sheet'!$AD$28)))))</f>
        <v/>
      </c>
      <c r="EK83">
        <f>IF($AF$4="",1,IF($AF$4="(blank)",--(IF('Final Calculation Sheet'!$AD$28&lt;=5,"SETTLED","OUTSTANDING")=""),IF($AF$4="(nonblank)",--(IF('Final Calculation Sheet'!$AD$28&lt;=5,"SETTLED","OUTSTANDING")&lt;&gt;""),--ISNUMBER(SEARCH($AF$4,IF('Final Calculation Sheet'!$AD$28&lt;=5,"SETTLED","OUTSTANDING"))))))</f>
        <v/>
      </c>
      <c r="EL83">
        <f>IF($AG$4="",1,IF($AG$4="(blank)",--('Final Calculation Sheet'!$AF$28=""),IF($AG$4="(nonblank)",--('Final Calculation Sheet'!$AF$28&lt;&gt;""),--ISNUMBER(SEARCH($AG$4,'Final Calculation Sheet'!$AF$28)))))</f>
        <v/>
      </c>
      <c r="EM83">
        <f>IF($AH$4="",1,IF($AH$4="(blank)",--('Final Calculation Sheet'!$AG$28=""),IF($AH$4="(nonblank)",--('Final Calculation Sheet'!$AG$28&lt;&gt;""),--ISNUMBER(SEARCH($AH$4,'Final Calculation Sheet'!$AG$28)))))</f>
        <v/>
      </c>
      <c r="EN83">
        <f>IF($AI$4="",1,IF($AI$4="(blank)",--('Final Calculation Sheet'!$AH$28=""),IF($AI$4="(nonblank)",--('Final Calculation Sheet'!$AH$28&lt;&gt;""),--ISNUMBER(SEARCH($AI$4,'Final Calculation Sheet'!$AH$28)))))</f>
        <v/>
      </c>
    </row>
    <row r="84">
      <c r="AM84">
        <f>AM83+IF(AND(Lists!$O$31&lt;&gt;"",ISNUMBER(SEARCH($B$4,Lists!$O$31))),1,0)</f>
        <v/>
      </c>
      <c r="AN84">
        <f>IF(ROW()-56&gt;MAX($AM$57:$AM$95),"",INDEX(Lists!$O$4:$O$42,MATCH(ROW()-56,$AM$57:$AM$95,0)))</f>
        <v/>
      </c>
      <c r="AO84">
        <f>AO83+IF(AND(Lists!$T$31&lt;&gt;"",ISNUMBER(SEARCH($C$4,Lists!$T$31))),1,0)</f>
        <v/>
      </c>
      <c r="AP84">
        <f>IF(ROW()-56&gt;MAX($AO$57:$AO$95),"",INDEX(Lists!$T$4:$T$42,MATCH(ROW()-56,$AO$57:$AO$95,0)))</f>
        <v/>
      </c>
      <c r="AQ84">
        <f>AQ83+IF(AND(Lists!$Y$31&lt;&gt;"",ISNUMBER(SEARCH($D$4,Lists!$Y$31))),1,0)</f>
        <v/>
      </c>
      <c r="AR84">
        <f>IF(ROW()-56&gt;MAX($AQ$57:$AQ$95),"",INDEX(Lists!$Y$4:$Y$42,MATCH(ROW()-56,$AQ$57:$AQ$95,0)))</f>
        <v/>
      </c>
      <c r="AS84">
        <f>AS83+IF(AND(Lists!$AD$31&lt;&gt;"",ISNUMBER(SEARCH($E$4,Lists!$AD$31))),1,0)</f>
        <v/>
      </c>
      <c r="AT84">
        <f>IF(ROW()-56&gt;MAX($AS$57:$AS$95),"",INDEX(Lists!$AD$4:$AD$42,MATCH(ROW()-56,$AS$57:$AS$95,0)))</f>
        <v/>
      </c>
      <c r="AU84">
        <f>AU83+IF(AND(Lists!$AI$31&lt;&gt;"",ISNUMBER(SEARCH($F$4,Lists!$AI$31))),1,0)</f>
        <v/>
      </c>
      <c r="AV84">
        <f>IF(ROW()-56&gt;MAX($AU$57:$AU$95),"",INDEX(Lists!$AI$4:$AI$42,MATCH(ROW()-56,$AU$57:$AU$95,0)))</f>
        <v/>
      </c>
      <c r="AW84">
        <f>AW83+IF(AND(Lists!$AN$31&lt;&gt;"",ISNUMBER(SEARCH($G$4,Lists!$AN$31))),1,0)</f>
        <v/>
      </c>
      <c r="AX84">
        <f>IF(ROW()-56&gt;MAX($AW$57:$AW$95),"",INDEX(Lists!$AN$4:$AN$42,MATCH(ROW()-56,$AW$57:$AW$95,0)))</f>
        <v/>
      </c>
      <c r="AY84">
        <f>AY83+IF(AND(Lists!$AS$31&lt;&gt;"",ISNUMBER(SEARCH($H$4,Lists!$AS$31))),1,0)</f>
        <v/>
      </c>
      <c r="AZ84">
        <f>IF(ROW()-56&gt;MAX($AY$57:$AY$95),"",INDEX(Lists!$AS$4:$AS$42,MATCH(ROW()-56,$AY$57:$AY$95,0)))</f>
        <v/>
      </c>
      <c r="BA84">
        <f>BA83+IF(AND(Lists!$AX$31&lt;&gt;"",ISNUMBER(SEARCH($I$4,Lists!$AX$31))),1,0)</f>
        <v/>
      </c>
      <c r="BB84">
        <f>IF(ROW()-56&gt;MAX($BA$57:$BA$95),"",INDEX(Lists!$AX$4:$AX$42,MATCH(ROW()-56,$BA$57:$BA$95,0)))</f>
        <v/>
      </c>
      <c r="BC84">
        <f>BC83+IF(AND(Lists!$BC$31&lt;&gt;"",ISNUMBER(SEARCH($J$4,Lists!$BC$31))),1,0)</f>
        <v/>
      </c>
      <c r="BD84">
        <f>IF(ROW()-56&gt;MAX($BC$57:$BC$95),"",INDEX(Lists!$BC$4:$BC$42,MATCH(ROW()-56,$BC$57:$BC$95,0)))</f>
        <v/>
      </c>
      <c r="BE84">
        <f>BE83+IF(AND(Lists!$BH$31&lt;&gt;"",ISNUMBER(SEARCH($K$4,Lists!$BH$31))),1,0)</f>
        <v/>
      </c>
      <c r="BF84">
        <f>IF(ROW()-56&gt;MAX($BE$57:$BE$95),"",INDEX(Lists!$BH$4:$BH$42,MATCH(ROW()-56,$BE$57:$BE$95,0)))</f>
        <v/>
      </c>
      <c r="BG84">
        <f>BG83+IF(AND(Lists!$BM$31&lt;&gt;"",ISNUMBER(SEARCH($L$4,Lists!$BM$31))),1,0)</f>
        <v/>
      </c>
      <c r="BH84">
        <f>IF(ROW()-56&gt;MAX($BG$57:$BG$95),"",INDEX(Lists!$BM$4:$BM$42,MATCH(ROW()-56,$BG$57:$BG$95,0)))</f>
        <v/>
      </c>
      <c r="BI84">
        <f>BI83+IF(AND(Lists!$BR$31&lt;&gt;"",ISNUMBER(SEARCH($M$4,Lists!$BR$31))),1,0)</f>
        <v/>
      </c>
      <c r="BJ84">
        <f>IF(ROW()-56&gt;MAX($BI$57:$BI$95),"",INDEX(Lists!$BR$4:$BR$42,MATCH(ROW()-56,$BI$57:$BI$95,0)))</f>
        <v/>
      </c>
      <c r="BK84">
        <f>BK83+IF(AND(Lists!$BW$31&lt;&gt;"",ISNUMBER(SEARCH($N$4,Lists!$BW$31))),1,0)</f>
        <v/>
      </c>
      <c r="BL84">
        <f>IF(ROW()-56&gt;MAX($BK$57:$BK$95),"",INDEX(Lists!$BW$4:$BW$42,MATCH(ROW()-56,$BK$57:$BK$95,0)))</f>
        <v/>
      </c>
      <c r="BM84">
        <f>BM83+IF(AND(Lists!$CB$31&lt;&gt;"",ISNUMBER(SEARCH($O$4,Lists!$CB$31))),1,0)</f>
        <v/>
      </c>
      <c r="BN84">
        <f>IF(ROW()-56&gt;MAX($BM$57:$BM$95),"",INDEX(Lists!$CB$4:$CB$42,MATCH(ROW()-56,$BM$57:$BM$95,0)))</f>
        <v/>
      </c>
      <c r="BO84">
        <f>BO83+IF(AND(Lists!$CG$31&lt;&gt;"",ISNUMBER(SEARCH($P$4,Lists!$CG$31))),1,0)</f>
        <v/>
      </c>
      <c r="BP84">
        <f>IF(ROW()-56&gt;MAX($BO$57:$BO$95),"",INDEX(Lists!$CG$4:$CG$42,MATCH(ROW()-56,$BO$57:$BO$95,0)))</f>
        <v/>
      </c>
      <c r="BQ84">
        <f>BQ83+IF(AND(Lists!$CL$31&lt;&gt;"",ISNUMBER(SEARCH($Q$4,Lists!$CL$31))),1,0)</f>
        <v/>
      </c>
      <c r="BR84">
        <f>IF(ROW()-56&gt;MAX($BQ$57:$BQ$95),"",INDEX(Lists!$CL$4:$CL$42,MATCH(ROW()-56,$BQ$57:$BQ$95,0)))</f>
        <v/>
      </c>
      <c r="BS84">
        <f>BS83+IF(AND(Lists!$CQ$31&lt;&gt;"",ISNUMBER(SEARCH($R$4,Lists!$CQ$31))),1,0)</f>
        <v/>
      </c>
      <c r="BT84">
        <f>IF(ROW()-56&gt;MAX($BS$57:$BS$95),"",INDEX(Lists!$CQ$4:$CQ$42,MATCH(ROW()-56,$BS$57:$BS$95,0)))</f>
        <v/>
      </c>
      <c r="BU84">
        <f>BU83+IF(AND(Lists!$CV$31&lt;&gt;"",ISNUMBER(SEARCH($S$4,Lists!$CV$31))),1,0)</f>
        <v/>
      </c>
      <c r="BV84">
        <f>IF(ROW()-56&gt;MAX($BU$57:$BU$95),"",INDEX(Lists!$CV$4:$CV$42,MATCH(ROW()-56,$BU$57:$BU$95,0)))</f>
        <v/>
      </c>
      <c r="BW84">
        <f>BW83+IF(AND(Lists!$DA$31&lt;&gt;"",ISNUMBER(SEARCH($T$4,Lists!$DA$31))),1,0)</f>
        <v/>
      </c>
      <c r="BX84">
        <f>IF(ROW()-56&gt;MAX($BW$57:$BW$95),"",INDEX(Lists!$DA$4:$DA$42,MATCH(ROW()-56,$BW$57:$BW$95,0)))</f>
        <v/>
      </c>
      <c r="BY84">
        <f>BY83+IF(AND(Lists!$DF$31&lt;&gt;"",ISNUMBER(SEARCH($U$4,Lists!$DF$31))),1,0)</f>
        <v/>
      </c>
      <c r="BZ84">
        <f>IF(ROW()-56&gt;MAX($BY$57:$BY$95),"",INDEX(Lists!$DF$4:$DF$42,MATCH(ROW()-56,$BY$57:$BY$95,0)))</f>
        <v/>
      </c>
      <c r="CA84">
        <f>CA83+IF(AND(Lists!$DK$31&lt;&gt;"",ISNUMBER(SEARCH($V$4,Lists!$DK$31))),1,0)</f>
        <v/>
      </c>
      <c r="CB84">
        <f>IF(ROW()-56&gt;MAX($CA$57:$CA$95),"",INDEX(Lists!$DK$4:$DK$42,MATCH(ROW()-56,$CA$57:$CA$95,0)))</f>
        <v/>
      </c>
      <c r="CC84">
        <f>CC83+IF(AND(Lists!$DP$31&lt;&gt;"",ISNUMBER(SEARCH($W$4,Lists!$DP$31))),1,0)</f>
        <v/>
      </c>
      <c r="CD84">
        <f>IF(ROW()-56&gt;MAX($CC$57:$CC$95),"",INDEX(Lists!$DP$4:$DP$42,MATCH(ROW()-56,$CC$57:$CC$95,0)))</f>
        <v/>
      </c>
      <c r="CE84">
        <f>CE83+IF(AND(Lists!$DU$31&lt;&gt;"",ISNUMBER(SEARCH($X$4,Lists!$DU$31))),1,0)</f>
        <v/>
      </c>
      <c r="CF84">
        <f>IF(ROW()-56&gt;MAX($CE$57:$CE$95),"",INDEX(Lists!$DU$4:$DU$42,MATCH(ROW()-56,$CE$57:$CE$95,0)))</f>
        <v/>
      </c>
      <c r="CG84">
        <f>CG83+IF(AND(Lists!$DZ$31&lt;&gt;"",ISNUMBER(SEARCH($Y$4,Lists!$DZ$31))),1,0)</f>
        <v/>
      </c>
      <c r="CH84">
        <f>IF(ROW()-56&gt;MAX($CG$57:$CG$95),"",INDEX(Lists!$DZ$4:$DZ$42,MATCH(ROW()-56,$CG$57:$CG$95,0)))</f>
        <v/>
      </c>
      <c r="CI84">
        <f>CI83+IF(AND(Lists!$EE$31&lt;&gt;"",ISNUMBER(SEARCH($Z$4,Lists!$EE$31))),1,0)</f>
        <v/>
      </c>
      <c r="CJ84">
        <f>IF(ROW()-56&gt;MAX($CI$57:$CI$95),"",INDEX(Lists!$EE$4:$EE$42,MATCH(ROW()-56,$CI$57:$CI$95,0)))</f>
        <v/>
      </c>
      <c r="CK84">
        <f>CK83+IF(AND(Lists!$EJ$31&lt;&gt;"",ISNUMBER(SEARCH($AA$4,Lists!$EJ$31))),1,0)</f>
        <v/>
      </c>
      <c r="CL84">
        <f>IF(ROW()-56&gt;MAX($CK$57:$CK$95),"",INDEX(Lists!$EJ$4:$EJ$42,MATCH(ROW()-56,$CK$57:$CK$95,0)))</f>
        <v/>
      </c>
      <c r="CM84">
        <f>CM83+IF(AND(Lists!$EO$31&lt;&gt;"",ISNUMBER(SEARCH($AB$4,Lists!$EO$31))),1,0)</f>
        <v/>
      </c>
      <c r="CN84">
        <f>IF(ROW()-56&gt;MAX($CM$57:$CM$95),"",INDEX(Lists!$EO$4:$EO$42,MATCH(ROW()-56,$CM$57:$CM$95,0)))</f>
        <v/>
      </c>
      <c r="CO84">
        <f>CO83+IF(AND(Lists!$ET$31&lt;&gt;"",ISNUMBER(SEARCH($AC$4,Lists!$ET$31))),1,0)</f>
        <v/>
      </c>
      <c r="CP84">
        <f>IF(ROW()-56&gt;MAX($CO$57:$CO$95),"",INDEX(Lists!$ET$4:$ET$42,MATCH(ROW()-56,$CO$57:$CO$95,0)))</f>
        <v/>
      </c>
      <c r="CQ84">
        <f>CQ83+IF(AND(Lists!$EY$31&lt;&gt;"",ISNUMBER(SEARCH($AD$4,Lists!$EY$31))),1,0)</f>
        <v/>
      </c>
      <c r="CR84">
        <f>IF(ROW()-56&gt;MAX($CQ$57:$CQ$95),"",INDEX(Lists!$EY$4:$EY$42,MATCH(ROW()-56,$CQ$57:$CQ$95,0)))</f>
        <v/>
      </c>
      <c r="CS84">
        <f>CS83+IF(AND(Lists!$FD$31&lt;&gt;"",ISNUMBER(SEARCH($AE$4,Lists!$FD$31))),1,0)</f>
        <v/>
      </c>
      <c r="CT84">
        <f>IF(ROW()-56&gt;MAX($CS$57:$CS$95),"",INDEX(Lists!$FD$4:$FD$42,MATCH(ROW()-56,$CS$57:$CS$95,0)))</f>
        <v/>
      </c>
      <c r="CU84">
        <f>CU83+IF(AND(Lists!$FI$31&lt;&gt;"",ISNUMBER(SEARCH($AG$4,Lists!$FI$31))),1,0)</f>
        <v/>
      </c>
      <c r="CV84">
        <f>IF(ROW()-56&gt;MAX($CU$57:$CU$95),"",INDEX(Lists!$FI$4:$FI$42,MATCH(ROW()-56,$CU$57:$CU$95,0)))</f>
        <v/>
      </c>
      <c r="CW84">
        <f>CW83+IF(AND(Lists!$FN$31&lt;&gt;"",ISNUMBER(SEARCH($AH$4,Lists!$FN$31))),1,0)</f>
        <v/>
      </c>
      <c r="CX84">
        <f>IF(ROW()-56&gt;MAX($CW$57:$CW$95),"",INDEX(Lists!$FN$4:$FN$42,MATCH(ROW()-56,$CW$57:$CW$95,0)))</f>
        <v/>
      </c>
      <c r="CY84">
        <f>CY83+IF(AND(Lists!$FS$31&lt;&gt;"",ISNUMBER(SEARCH($AI$4,Lists!$FS$31))),1,0)</f>
        <v/>
      </c>
      <c r="CZ84">
        <f>IF(ROW()-56&gt;MAX($CY$57:$CY$95),"",INDEX(Lists!$FS$4:$FS$42,MATCH(ROW()-56,$CY$57:$CY$95,0)))</f>
        <v/>
      </c>
      <c r="DA84">
        <f>DA83+IF(AND(Lists!$FX$31&lt;&gt;"",ISNUMBER(SEARCH($AF$4,Lists!$FX$31))),1,0)</f>
        <v/>
      </c>
      <c r="DB84">
        <f>IF(ROW()-56&gt;MAX($DA$57:$DA$95),"",INDEX(Lists!$FX$4:$FX$42,MATCH(ROW()-56,$DA$57:$DA$95,0)))</f>
        <v/>
      </c>
      <c r="DG84">
        <f>IF($B$4="",1,IF($B$4="(blank)",--('Final Calculation Sheet'!$F$29=""),IF($B$4="(nonblank)",--('Final Calculation Sheet'!$F$29&lt;&gt;""),--ISNUMBER(SEARCH($B$4,'Final Calculation Sheet'!$F$29)))))</f>
        <v/>
      </c>
      <c r="DH84">
        <f>IF($C$4="",1,IF($C$4="(blank)",--('Final Calculation Sheet'!$G$29=""),IF($C$4="(nonblank)",--('Final Calculation Sheet'!$G$29&lt;&gt;""),--ISNUMBER(SEARCH($C$4,'Final Calculation Sheet'!$G$29)))))</f>
        <v/>
      </c>
      <c r="DI84">
        <f>IF($D$4="",1,IF($D$4="(blank)",--('Final Calculation Sheet'!$B$29=""),IF($D$4="(nonblank)",--('Final Calculation Sheet'!$B$29&lt;&gt;""),--ISNUMBER(SEARCH($D$4,'Final Calculation Sheet'!$B$29)))))</f>
        <v/>
      </c>
      <c r="DJ84">
        <f>IF($E$4="",1,IF($E$4="(blank)",--('Final Calculation Sheet'!$D$29=""),IF($E$4="(nonblank)",--('Final Calculation Sheet'!$D$29&lt;&gt;""),--ISNUMBER(SEARCH($E$4,'Final Calculation Sheet'!$D$29)))))</f>
        <v/>
      </c>
      <c r="DK84">
        <f>IF($F$4="",1,IF($F$4="(blank)",--('Final Calculation Sheet'!$A$29=""),IF($F$4="(nonblank)",--('Final Calculation Sheet'!$A$29&lt;&gt;""),--ISNUMBER(SEARCH($F$4,'Final Calculation Sheet'!$A$29)))))</f>
        <v/>
      </c>
      <c r="DL84">
        <f>IF($G$4="",1,IF($G$4="(blank)",--('Final Calculation Sheet'!$E$29=""),IF($G$4="(nonblank)",--('Final Calculation Sheet'!$E$29&lt;&gt;""),--ISNUMBER(SEARCH($G$4,'Final Calculation Sheet'!$E$29)))))</f>
        <v/>
      </c>
      <c r="DM84">
        <f>IF($H$4="",1,IF($H$4="(blank)",--('Final Calculation Sheet'!$C$29=""),IF($H$4="(nonblank)",--('Final Calculation Sheet'!$C$29&lt;&gt;""),--ISNUMBER(SEARCH($H$4,'Final Calculation Sheet'!$C$29)))))</f>
        <v/>
      </c>
      <c r="DN84">
        <f>IF($I$4="",1,IF($I$4="(blank)",--('Final Calculation Sheet'!$H$29=""),IF($I$4="(nonblank)",--('Final Calculation Sheet'!$H$29&lt;&gt;""),--ISNUMBER(SEARCH($I$4,'Final Calculation Sheet'!$H$29)))))</f>
        <v/>
      </c>
      <c r="DO84">
        <f>IF($J$4="",1,IF($J$4="(blank)",--('Final Calculation Sheet'!$I$29=""),IF($J$4="(nonblank)",--('Final Calculation Sheet'!$I$29&lt;&gt;""),--ISNUMBER(SEARCH($J$4,'Final Calculation Sheet'!$I$29)))))</f>
        <v/>
      </c>
      <c r="DP84">
        <f>IF($K$4="",1,IF($K$4="(blank)",--('Final Calculation Sheet'!$J$29=""),IF($K$4="(nonblank)",--('Final Calculation Sheet'!$J$29&lt;&gt;""),--ISNUMBER(SEARCH($K$4,'Final Calculation Sheet'!$J$29)))))</f>
        <v/>
      </c>
      <c r="DQ84">
        <f>IF($L$4="",1,IF($L$4="(blank)",--('Final Calculation Sheet'!$K$29=""),IF($L$4="(nonblank)",--('Final Calculation Sheet'!$K$29&lt;&gt;""),--ISNUMBER(SEARCH($L$4,'Final Calculation Sheet'!$K$29)))))</f>
        <v/>
      </c>
      <c r="DR84">
        <f>IF($M$4="",1,IF($M$4="(blank)",--('Final Calculation Sheet'!$L$29=""),IF($M$4="(nonblank)",--('Final Calculation Sheet'!$L$29&lt;&gt;""),--ISNUMBER(SEARCH($M$4,'Final Calculation Sheet'!$L$29)))))</f>
        <v/>
      </c>
      <c r="DS84">
        <f>IF($N$4="",1,IF($N$4="(blank)",--('Final Calculation Sheet'!$M$29=""),IF($N$4="(nonblank)",--('Final Calculation Sheet'!$M$29&lt;&gt;""),--ISNUMBER(SEARCH($N$4,'Final Calculation Sheet'!$M$29)))))</f>
        <v/>
      </c>
      <c r="DT84">
        <f>IF($O$4="",1,IF($O$4="(blank)",--('Final Calculation Sheet'!$N$29=""),IF($O$4="(nonblank)",--('Final Calculation Sheet'!$N$29&lt;&gt;""),--ISNUMBER(SEARCH($O$4,'Final Calculation Sheet'!$N$29)))))</f>
        <v/>
      </c>
      <c r="DU84">
        <f>IF($P$4="",1,IF($P$4="(blank)",--('Final Calculation Sheet'!$O$29=""),IF($P$4="(nonblank)",--('Final Calculation Sheet'!$O$29&lt;&gt;""),--ISNUMBER(SEARCH($P$4,'Final Calculation Sheet'!$O$29)))))</f>
        <v/>
      </c>
      <c r="DV84">
        <f>IF($Q$4="",1,IF($Q$4="(blank)",--('Final Calculation Sheet'!$P$29=""),IF($Q$4="(nonblank)",--('Final Calculation Sheet'!$P$29&lt;&gt;""),--ISNUMBER(SEARCH($Q$4,'Final Calculation Sheet'!$P$29)))))</f>
        <v/>
      </c>
      <c r="DW84">
        <f>IF($R$4="",1,IF($R$4="(blank)",--('Final Calculation Sheet'!$Q$29=""),IF($R$4="(nonblank)",--('Final Calculation Sheet'!$Q$29&lt;&gt;""),--ISNUMBER(SEARCH($R$4,'Final Calculation Sheet'!$Q$29)))))</f>
        <v/>
      </c>
      <c r="DX84">
        <f>IF($S$4="",1,IF($S$4="(blank)",--('Final Calculation Sheet'!$R$29=""),IF($S$4="(nonblank)",--('Final Calculation Sheet'!$R$29&lt;&gt;""),--ISNUMBER(SEARCH($S$4,'Final Calculation Sheet'!$R$29)))))</f>
        <v/>
      </c>
      <c r="DY84">
        <f>IF($T$4="",1,IF($T$4="(blank)",--('Final Calculation Sheet'!$S$29=""),IF($T$4="(nonblank)",--('Final Calculation Sheet'!$S$29&lt;&gt;""),--ISNUMBER(SEARCH($T$4,'Final Calculation Sheet'!$S$29)))))</f>
        <v/>
      </c>
      <c r="DZ84">
        <f>IF($U$4="",1,IF($U$4="(blank)",--('Final Calculation Sheet'!$T$29=""),IF($U$4="(nonblank)",--('Final Calculation Sheet'!$T$29&lt;&gt;""),--ISNUMBER(SEARCH($U$4,'Final Calculation Sheet'!$T$29)))))</f>
        <v/>
      </c>
      <c r="EA84">
        <f>IF($V$4="",1,IF($V$4="(blank)",--('Final Calculation Sheet'!$U$29=""),IF($V$4="(nonblank)",--('Final Calculation Sheet'!$U$29&lt;&gt;""),--ISNUMBER(SEARCH($V$4,'Final Calculation Sheet'!$U$29)))))</f>
        <v/>
      </c>
      <c r="EB84">
        <f>IF($W$4="",1,IF($W$4="(blank)",--('Final Calculation Sheet'!$V$29=""),IF($W$4="(nonblank)",--('Final Calculation Sheet'!$V$29&lt;&gt;""),--ISNUMBER(SEARCH($W$4,'Final Calculation Sheet'!$V$29)))))</f>
        <v/>
      </c>
      <c r="EC84">
        <f>IF($X$4="",1,IF($X$4="(blank)",--('Final Calculation Sheet'!$W$29=""),IF($X$4="(nonblank)",--('Final Calculation Sheet'!$W$29&lt;&gt;""),--ISNUMBER(SEARCH($X$4,'Final Calculation Sheet'!$W$29)))))</f>
        <v/>
      </c>
      <c r="ED84">
        <f>IF($Y$4="",1,IF($Y$4="(blank)",--('Final Calculation Sheet'!$X$29=""),IF($Y$4="(nonblank)",--('Final Calculation Sheet'!$X$29&lt;&gt;""),--ISNUMBER(SEARCH($Y$4,'Final Calculation Sheet'!$X$29)))))</f>
        <v/>
      </c>
      <c r="EE84">
        <f>IF($Z$4="",1,IF($Z$4="(blank)",--('Final Calculation Sheet'!$Y$29=""),IF($Z$4="(nonblank)",--('Final Calculation Sheet'!$Y$29&lt;&gt;""),--ISNUMBER(SEARCH($Z$4,'Final Calculation Sheet'!$Y$29)))))</f>
        <v/>
      </c>
      <c r="EF84">
        <f>IF($AA$4="",1,IF($AA$4="(blank)",--('Final Calculation Sheet'!$Z$29=""),IF($AA$4="(nonblank)",--('Final Calculation Sheet'!$Z$29&lt;&gt;""),--ISNUMBER(SEARCH($AA$4,'Final Calculation Sheet'!$Z$29)))))</f>
        <v/>
      </c>
      <c r="EG84">
        <f>IF($AB$4="",1,IF($AB$4="(blank)",--('Final Calculation Sheet'!$AA$29=""),IF($AB$4="(nonblank)",--('Final Calculation Sheet'!$AA$29&lt;&gt;""),--ISNUMBER(SEARCH($AB$4,'Final Calculation Sheet'!$AA$29)))))</f>
        <v/>
      </c>
      <c r="EH84">
        <f>IF($AC$4="",1,IF($AC$4="(blank)",--('Final Calculation Sheet'!$AB$29=""),IF($AC$4="(nonblank)",--('Final Calculation Sheet'!$AB$29&lt;&gt;""),--ISNUMBER(SEARCH($AC$4,'Final Calculation Sheet'!$AB$29)))))</f>
        <v/>
      </c>
      <c r="EI84">
        <f>IF($AD$4="",1,IF($AD$4="(blank)",--('Final Calculation Sheet'!$AC$29=""),IF($AD$4="(nonblank)",--('Final Calculation Sheet'!$AC$29&lt;&gt;""),--ISNUMBER(SEARCH($AD$4,'Final Calculation Sheet'!$AC$29)))))</f>
        <v/>
      </c>
      <c r="EJ84">
        <f>IF($AE$4="",1,IF($AE$4="(blank)",--('Final Calculation Sheet'!$AD$29=""),IF($AE$4="(nonblank)",--('Final Calculation Sheet'!$AD$29&lt;&gt;""),--ISNUMBER(SEARCH($AE$4,'Final Calculation Sheet'!$AD$29)))))</f>
        <v/>
      </c>
      <c r="EK84">
        <f>IF($AF$4="",1,IF($AF$4="(blank)",--(IF('Final Calculation Sheet'!$AD$29&lt;=5,"SETTLED","OUTSTANDING")=""),IF($AF$4="(nonblank)",--(IF('Final Calculation Sheet'!$AD$29&lt;=5,"SETTLED","OUTSTANDING")&lt;&gt;""),--ISNUMBER(SEARCH($AF$4,IF('Final Calculation Sheet'!$AD$29&lt;=5,"SETTLED","OUTSTANDING"))))))</f>
        <v/>
      </c>
      <c r="EL84">
        <f>IF($AG$4="",1,IF($AG$4="(blank)",--('Final Calculation Sheet'!$AF$29=""),IF($AG$4="(nonblank)",--('Final Calculation Sheet'!$AF$29&lt;&gt;""),--ISNUMBER(SEARCH($AG$4,'Final Calculation Sheet'!$AF$29)))))</f>
        <v/>
      </c>
      <c r="EM84">
        <f>IF($AH$4="",1,IF($AH$4="(blank)",--('Final Calculation Sheet'!$AG$29=""),IF($AH$4="(nonblank)",--('Final Calculation Sheet'!$AG$29&lt;&gt;""),--ISNUMBER(SEARCH($AH$4,'Final Calculation Sheet'!$AG$29)))))</f>
        <v/>
      </c>
      <c r="EN84">
        <f>IF($AI$4="",1,IF($AI$4="(blank)",--('Final Calculation Sheet'!$AH$29=""),IF($AI$4="(nonblank)",--('Final Calculation Sheet'!$AH$29&lt;&gt;""),--ISNUMBER(SEARCH($AI$4,'Final Calculation Sheet'!$AH$29)))))</f>
        <v/>
      </c>
    </row>
    <row r="85">
      <c r="AM85">
        <f>AM84+IF(AND(Lists!$O$32&lt;&gt;"",ISNUMBER(SEARCH($B$4,Lists!$O$32))),1,0)</f>
        <v/>
      </c>
      <c r="AN85">
        <f>IF(ROW()-56&gt;MAX($AM$57:$AM$95),"",INDEX(Lists!$O$4:$O$42,MATCH(ROW()-56,$AM$57:$AM$95,0)))</f>
        <v/>
      </c>
      <c r="AO85">
        <f>AO84+IF(AND(Lists!$T$32&lt;&gt;"",ISNUMBER(SEARCH($C$4,Lists!$T$32))),1,0)</f>
        <v/>
      </c>
      <c r="AP85">
        <f>IF(ROW()-56&gt;MAX($AO$57:$AO$95),"",INDEX(Lists!$T$4:$T$42,MATCH(ROW()-56,$AO$57:$AO$95,0)))</f>
        <v/>
      </c>
      <c r="AQ85">
        <f>AQ84+IF(AND(Lists!$Y$32&lt;&gt;"",ISNUMBER(SEARCH($D$4,Lists!$Y$32))),1,0)</f>
        <v/>
      </c>
      <c r="AR85">
        <f>IF(ROW()-56&gt;MAX($AQ$57:$AQ$95),"",INDEX(Lists!$Y$4:$Y$42,MATCH(ROW()-56,$AQ$57:$AQ$95,0)))</f>
        <v/>
      </c>
      <c r="AS85">
        <f>AS84+IF(AND(Lists!$AD$32&lt;&gt;"",ISNUMBER(SEARCH($E$4,Lists!$AD$32))),1,0)</f>
        <v/>
      </c>
      <c r="AT85">
        <f>IF(ROW()-56&gt;MAX($AS$57:$AS$95),"",INDEX(Lists!$AD$4:$AD$42,MATCH(ROW()-56,$AS$57:$AS$95,0)))</f>
        <v/>
      </c>
      <c r="AU85">
        <f>AU84+IF(AND(Lists!$AI$32&lt;&gt;"",ISNUMBER(SEARCH($F$4,Lists!$AI$32))),1,0)</f>
        <v/>
      </c>
      <c r="AV85">
        <f>IF(ROW()-56&gt;MAX($AU$57:$AU$95),"",INDEX(Lists!$AI$4:$AI$42,MATCH(ROW()-56,$AU$57:$AU$95,0)))</f>
        <v/>
      </c>
      <c r="AW85">
        <f>AW84+IF(AND(Lists!$AN$32&lt;&gt;"",ISNUMBER(SEARCH($G$4,Lists!$AN$32))),1,0)</f>
        <v/>
      </c>
      <c r="AX85">
        <f>IF(ROW()-56&gt;MAX($AW$57:$AW$95),"",INDEX(Lists!$AN$4:$AN$42,MATCH(ROW()-56,$AW$57:$AW$95,0)))</f>
        <v/>
      </c>
      <c r="AY85">
        <f>AY84+IF(AND(Lists!$AS$32&lt;&gt;"",ISNUMBER(SEARCH($H$4,Lists!$AS$32))),1,0)</f>
        <v/>
      </c>
      <c r="AZ85">
        <f>IF(ROW()-56&gt;MAX($AY$57:$AY$95),"",INDEX(Lists!$AS$4:$AS$42,MATCH(ROW()-56,$AY$57:$AY$95,0)))</f>
        <v/>
      </c>
      <c r="BA85">
        <f>BA84+IF(AND(Lists!$AX$32&lt;&gt;"",ISNUMBER(SEARCH($I$4,Lists!$AX$32))),1,0)</f>
        <v/>
      </c>
      <c r="BB85">
        <f>IF(ROW()-56&gt;MAX($BA$57:$BA$95),"",INDEX(Lists!$AX$4:$AX$42,MATCH(ROW()-56,$BA$57:$BA$95,0)))</f>
        <v/>
      </c>
      <c r="BC85">
        <f>BC84+IF(AND(Lists!$BC$32&lt;&gt;"",ISNUMBER(SEARCH($J$4,Lists!$BC$32))),1,0)</f>
        <v/>
      </c>
      <c r="BD85">
        <f>IF(ROW()-56&gt;MAX($BC$57:$BC$95),"",INDEX(Lists!$BC$4:$BC$42,MATCH(ROW()-56,$BC$57:$BC$95,0)))</f>
        <v/>
      </c>
      <c r="BE85">
        <f>BE84+IF(AND(Lists!$BH$32&lt;&gt;"",ISNUMBER(SEARCH($K$4,Lists!$BH$32))),1,0)</f>
        <v/>
      </c>
      <c r="BF85">
        <f>IF(ROW()-56&gt;MAX($BE$57:$BE$95),"",INDEX(Lists!$BH$4:$BH$42,MATCH(ROW()-56,$BE$57:$BE$95,0)))</f>
        <v/>
      </c>
      <c r="BG85">
        <f>BG84+IF(AND(Lists!$BM$32&lt;&gt;"",ISNUMBER(SEARCH($L$4,Lists!$BM$32))),1,0)</f>
        <v/>
      </c>
      <c r="BH85">
        <f>IF(ROW()-56&gt;MAX($BG$57:$BG$95),"",INDEX(Lists!$BM$4:$BM$42,MATCH(ROW()-56,$BG$57:$BG$95,0)))</f>
        <v/>
      </c>
      <c r="BI85">
        <f>BI84+IF(AND(Lists!$BR$32&lt;&gt;"",ISNUMBER(SEARCH($M$4,Lists!$BR$32))),1,0)</f>
        <v/>
      </c>
      <c r="BJ85">
        <f>IF(ROW()-56&gt;MAX($BI$57:$BI$95),"",INDEX(Lists!$BR$4:$BR$42,MATCH(ROW()-56,$BI$57:$BI$95,0)))</f>
        <v/>
      </c>
      <c r="BK85">
        <f>BK84+IF(AND(Lists!$BW$32&lt;&gt;"",ISNUMBER(SEARCH($N$4,Lists!$BW$32))),1,0)</f>
        <v/>
      </c>
      <c r="BL85">
        <f>IF(ROW()-56&gt;MAX($BK$57:$BK$95),"",INDEX(Lists!$BW$4:$BW$42,MATCH(ROW()-56,$BK$57:$BK$95,0)))</f>
        <v/>
      </c>
      <c r="BM85">
        <f>BM84+IF(AND(Lists!$CB$32&lt;&gt;"",ISNUMBER(SEARCH($O$4,Lists!$CB$32))),1,0)</f>
        <v/>
      </c>
      <c r="BN85">
        <f>IF(ROW()-56&gt;MAX($BM$57:$BM$95),"",INDEX(Lists!$CB$4:$CB$42,MATCH(ROW()-56,$BM$57:$BM$95,0)))</f>
        <v/>
      </c>
      <c r="BO85">
        <f>BO84+IF(AND(Lists!$CG$32&lt;&gt;"",ISNUMBER(SEARCH($P$4,Lists!$CG$32))),1,0)</f>
        <v/>
      </c>
      <c r="BP85">
        <f>IF(ROW()-56&gt;MAX($BO$57:$BO$95),"",INDEX(Lists!$CG$4:$CG$42,MATCH(ROW()-56,$BO$57:$BO$95,0)))</f>
        <v/>
      </c>
      <c r="BQ85">
        <f>BQ84+IF(AND(Lists!$CL$32&lt;&gt;"",ISNUMBER(SEARCH($Q$4,Lists!$CL$32))),1,0)</f>
        <v/>
      </c>
      <c r="BR85">
        <f>IF(ROW()-56&gt;MAX($BQ$57:$BQ$95),"",INDEX(Lists!$CL$4:$CL$42,MATCH(ROW()-56,$BQ$57:$BQ$95,0)))</f>
        <v/>
      </c>
      <c r="BS85">
        <f>BS84+IF(AND(Lists!$CQ$32&lt;&gt;"",ISNUMBER(SEARCH($R$4,Lists!$CQ$32))),1,0)</f>
        <v/>
      </c>
      <c r="BT85">
        <f>IF(ROW()-56&gt;MAX($BS$57:$BS$95),"",INDEX(Lists!$CQ$4:$CQ$42,MATCH(ROW()-56,$BS$57:$BS$95,0)))</f>
        <v/>
      </c>
      <c r="BU85">
        <f>BU84+IF(AND(Lists!$CV$32&lt;&gt;"",ISNUMBER(SEARCH($S$4,Lists!$CV$32))),1,0)</f>
        <v/>
      </c>
      <c r="BV85">
        <f>IF(ROW()-56&gt;MAX($BU$57:$BU$95),"",INDEX(Lists!$CV$4:$CV$42,MATCH(ROW()-56,$BU$57:$BU$95,0)))</f>
        <v/>
      </c>
      <c r="BW85">
        <f>BW84+IF(AND(Lists!$DA$32&lt;&gt;"",ISNUMBER(SEARCH($T$4,Lists!$DA$32))),1,0)</f>
        <v/>
      </c>
      <c r="BX85">
        <f>IF(ROW()-56&gt;MAX($BW$57:$BW$95),"",INDEX(Lists!$DA$4:$DA$42,MATCH(ROW()-56,$BW$57:$BW$95,0)))</f>
        <v/>
      </c>
      <c r="BY85">
        <f>BY84+IF(AND(Lists!$DF$32&lt;&gt;"",ISNUMBER(SEARCH($U$4,Lists!$DF$32))),1,0)</f>
        <v/>
      </c>
      <c r="BZ85">
        <f>IF(ROW()-56&gt;MAX($BY$57:$BY$95),"",INDEX(Lists!$DF$4:$DF$42,MATCH(ROW()-56,$BY$57:$BY$95,0)))</f>
        <v/>
      </c>
      <c r="CA85">
        <f>CA84+IF(AND(Lists!$DK$32&lt;&gt;"",ISNUMBER(SEARCH($V$4,Lists!$DK$32))),1,0)</f>
        <v/>
      </c>
      <c r="CB85">
        <f>IF(ROW()-56&gt;MAX($CA$57:$CA$95),"",INDEX(Lists!$DK$4:$DK$42,MATCH(ROW()-56,$CA$57:$CA$95,0)))</f>
        <v/>
      </c>
      <c r="CC85">
        <f>CC84+IF(AND(Lists!$DP$32&lt;&gt;"",ISNUMBER(SEARCH($W$4,Lists!$DP$32))),1,0)</f>
        <v/>
      </c>
      <c r="CD85">
        <f>IF(ROW()-56&gt;MAX($CC$57:$CC$95),"",INDEX(Lists!$DP$4:$DP$42,MATCH(ROW()-56,$CC$57:$CC$95,0)))</f>
        <v/>
      </c>
      <c r="CE85">
        <f>CE84+IF(AND(Lists!$DU$32&lt;&gt;"",ISNUMBER(SEARCH($X$4,Lists!$DU$32))),1,0)</f>
        <v/>
      </c>
      <c r="CF85">
        <f>IF(ROW()-56&gt;MAX($CE$57:$CE$95),"",INDEX(Lists!$DU$4:$DU$42,MATCH(ROW()-56,$CE$57:$CE$95,0)))</f>
        <v/>
      </c>
      <c r="CG85">
        <f>CG84+IF(AND(Lists!$DZ$32&lt;&gt;"",ISNUMBER(SEARCH($Y$4,Lists!$DZ$32))),1,0)</f>
        <v/>
      </c>
      <c r="CH85">
        <f>IF(ROW()-56&gt;MAX($CG$57:$CG$95),"",INDEX(Lists!$DZ$4:$DZ$42,MATCH(ROW()-56,$CG$57:$CG$95,0)))</f>
        <v/>
      </c>
      <c r="CI85">
        <f>CI84+IF(AND(Lists!$EE$32&lt;&gt;"",ISNUMBER(SEARCH($Z$4,Lists!$EE$32))),1,0)</f>
        <v/>
      </c>
      <c r="CJ85">
        <f>IF(ROW()-56&gt;MAX($CI$57:$CI$95),"",INDEX(Lists!$EE$4:$EE$42,MATCH(ROW()-56,$CI$57:$CI$95,0)))</f>
        <v/>
      </c>
      <c r="CK85">
        <f>CK84+IF(AND(Lists!$EJ$32&lt;&gt;"",ISNUMBER(SEARCH($AA$4,Lists!$EJ$32))),1,0)</f>
        <v/>
      </c>
      <c r="CL85">
        <f>IF(ROW()-56&gt;MAX($CK$57:$CK$95),"",INDEX(Lists!$EJ$4:$EJ$42,MATCH(ROW()-56,$CK$57:$CK$95,0)))</f>
        <v/>
      </c>
      <c r="CM85">
        <f>CM84+IF(AND(Lists!$EO$32&lt;&gt;"",ISNUMBER(SEARCH($AB$4,Lists!$EO$32))),1,0)</f>
        <v/>
      </c>
      <c r="CN85">
        <f>IF(ROW()-56&gt;MAX($CM$57:$CM$95),"",INDEX(Lists!$EO$4:$EO$42,MATCH(ROW()-56,$CM$57:$CM$95,0)))</f>
        <v/>
      </c>
      <c r="CO85">
        <f>CO84+IF(AND(Lists!$ET$32&lt;&gt;"",ISNUMBER(SEARCH($AC$4,Lists!$ET$32))),1,0)</f>
        <v/>
      </c>
      <c r="CP85">
        <f>IF(ROW()-56&gt;MAX($CO$57:$CO$95),"",INDEX(Lists!$ET$4:$ET$42,MATCH(ROW()-56,$CO$57:$CO$95,0)))</f>
        <v/>
      </c>
      <c r="CQ85">
        <f>CQ84+IF(AND(Lists!$EY$32&lt;&gt;"",ISNUMBER(SEARCH($AD$4,Lists!$EY$32))),1,0)</f>
        <v/>
      </c>
      <c r="CR85">
        <f>IF(ROW()-56&gt;MAX($CQ$57:$CQ$95),"",INDEX(Lists!$EY$4:$EY$42,MATCH(ROW()-56,$CQ$57:$CQ$95,0)))</f>
        <v/>
      </c>
      <c r="CS85">
        <f>CS84+IF(AND(Lists!$FD$32&lt;&gt;"",ISNUMBER(SEARCH($AE$4,Lists!$FD$32))),1,0)</f>
        <v/>
      </c>
      <c r="CT85">
        <f>IF(ROW()-56&gt;MAX($CS$57:$CS$95),"",INDEX(Lists!$FD$4:$FD$42,MATCH(ROW()-56,$CS$57:$CS$95,0)))</f>
        <v/>
      </c>
      <c r="CU85">
        <f>CU84+IF(AND(Lists!$FI$32&lt;&gt;"",ISNUMBER(SEARCH($AG$4,Lists!$FI$32))),1,0)</f>
        <v/>
      </c>
      <c r="CV85">
        <f>IF(ROW()-56&gt;MAX($CU$57:$CU$95),"",INDEX(Lists!$FI$4:$FI$42,MATCH(ROW()-56,$CU$57:$CU$95,0)))</f>
        <v/>
      </c>
      <c r="CW85">
        <f>CW84+IF(AND(Lists!$FN$32&lt;&gt;"",ISNUMBER(SEARCH($AH$4,Lists!$FN$32))),1,0)</f>
        <v/>
      </c>
      <c r="CX85">
        <f>IF(ROW()-56&gt;MAX($CW$57:$CW$95),"",INDEX(Lists!$FN$4:$FN$42,MATCH(ROW()-56,$CW$57:$CW$95,0)))</f>
        <v/>
      </c>
      <c r="CY85">
        <f>CY84+IF(AND(Lists!$FS$32&lt;&gt;"",ISNUMBER(SEARCH($AI$4,Lists!$FS$32))),1,0)</f>
        <v/>
      </c>
      <c r="CZ85">
        <f>IF(ROW()-56&gt;MAX($CY$57:$CY$95),"",INDEX(Lists!$FS$4:$FS$42,MATCH(ROW()-56,$CY$57:$CY$95,0)))</f>
        <v/>
      </c>
      <c r="DA85">
        <f>DA84+IF(AND(Lists!$FX$32&lt;&gt;"",ISNUMBER(SEARCH($AF$4,Lists!$FX$32))),1,0)</f>
        <v/>
      </c>
      <c r="DB85">
        <f>IF(ROW()-56&gt;MAX($DA$57:$DA$95),"",INDEX(Lists!$FX$4:$FX$42,MATCH(ROW()-56,$DA$57:$DA$95,0)))</f>
        <v/>
      </c>
      <c r="DG85">
        <f>IF($B$4="",1,IF($B$4="(blank)",--('Final Calculation Sheet'!$F$30=""),IF($B$4="(nonblank)",--('Final Calculation Sheet'!$F$30&lt;&gt;""),--ISNUMBER(SEARCH($B$4,'Final Calculation Sheet'!$F$30)))))</f>
        <v/>
      </c>
      <c r="DH85">
        <f>IF($C$4="",1,IF($C$4="(blank)",--('Final Calculation Sheet'!$G$30=""),IF($C$4="(nonblank)",--('Final Calculation Sheet'!$G$30&lt;&gt;""),--ISNUMBER(SEARCH($C$4,'Final Calculation Sheet'!$G$30)))))</f>
        <v/>
      </c>
      <c r="DI85">
        <f>IF($D$4="",1,IF($D$4="(blank)",--('Final Calculation Sheet'!$B$30=""),IF($D$4="(nonblank)",--('Final Calculation Sheet'!$B$30&lt;&gt;""),--ISNUMBER(SEARCH($D$4,'Final Calculation Sheet'!$B$30)))))</f>
        <v/>
      </c>
      <c r="DJ85">
        <f>IF($E$4="",1,IF($E$4="(blank)",--('Final Calculation Sheet'!$D$30=""),IF($E$4="(nonblank)",--('Final Calculation Sheet'!$D$30&lt;&gt;""),--ISNUMBER(SEARCH($E$4,'Final Calculation Sheet'!$D$30)))))</f>
        <v/>
      </c>
      <c r="DK85">
        <f>IF($F$4="",1,IF($F$4="(blank)",--('Final Calculation Sheet'!$A$30=""),IF($F$4="(nonblank)",--('Final Calculation Sheet'!$A$30&lt;&gt;""),--ISNUMBER(SEARCH($F$4,'Final Calculation Sheet'!$A$30)))))</f>
        <v/>
      </c>
      <c r="DL85">
        <f>IF($G$4="",1,IF($G$4="(blank)",--('Final Calculation Sheet'!$E$30=""),IF($G$4="(nonblank)",--('Final Calculation Sheet'!$E$30&lt;&gt;""),--ISNUMBER(SEARCH($G$4,'Final Calculation Sheet'!$E$30)))))</f>
        <v/>
      </c>
      <c r="DM85">
        <f>IF($H$4="",1,IF($H$4="(blank)",--('Final Calculation Sheet'!$C$30=""),IF($H$4="(nonblank)",--('Final Calculation Sheet'!$C$30&lt;&gt;""),--ISNUMBER(SEARCH($H$4,'Final Calculation Sheet'!$C$30)))))</f>
        <v/>
      </c>
      <c r="DN85">
        <f>IF($I$4="",1,IF($I$4="(blank)",--('Final Calculation Sheet'!$H$30=""),IF($I$4="(nonblank)",--('Final Calculation Sheet'!$H$30&lt;&gt;""),--ISNUMBER(SEARCH($I$4,'Final Calculation Sheet'!$H$30)))))</f>
        <v/>
      </c>
      <c r="DO85">
        <f>IF($J$4="",1,IF($J$4="(blank)",--('Final Calculation Sheet'!$I$30=""),IF($J$4="(nonblank)",--('Final Calculation Sheet'!$I$30&lt;&gt;""),--ISNUMBER(SEARCH($J$4,'Final Calculation Sheet'!$I$30)))))</f>
        <v/>
      </c>
      <c r="DP85">
        <f>IF($K$4="",1,IF($K$4="(blank)",--('Final Calculation Sheet'!$J$30=""),IF($K$4="(nonblank)",--('Final Calculation Sheet'!$J$30&lt;&gt;""),--ISNUMBER(SEARCH($K$4,'Final Calculation Sheet'!$J$30)))))</f>
        <v/>
      </c>
      <c r="DQ85">
        <f>IF($L$4="",1,IF($L$4="(blank)",--('Final Calculation Sheet'!$K$30=""),IF($L$4="(nonblank)",--('Final Calculation Sheet'!$K$30&lt;&gt;""),--ISNUMBER(SEARCH($L$4,'Final Calculation Sheet'!$K$30)))))</f>
        <v/>
      </c>
      <c r="DR85">
        <f>IF($M$4="",1,IF($M$4="(blank)",--('Final Calculation Sheet'!$L$30=""),IF($M$4="(nonblank)",--('Final Calculation Sheet'!$L$30&lt;&gt;""),--ISNUMBER(SEARCH($M$4,'Final Calculation Sheet'!$L$30)))))</f>
        <v/>
      </c>
      <c r="DS85">
        <f>IF($N$4="",1,IF($N$4="(blank)",--('Final Calculation Sheet'!$M$30=""),IF($N$4="(nonblank)",--('Final Calculation Sheet'!$M$30&lt;&gt;""),--ISNUMBER(SEARCH($N$4,'Final Calculation Sheet'!$M$30)))))</f>
        <v/>
      </c>
      <c r="DT85">
        <f>IF($O$4="",1,IF($O$4="(blank)",--('Final Calculation Sheet'!$N$30=""),IF($O$4="(nonblank)",--('Final Calculation Sheet'!$N$30&lt;&gt;""),--ISNUMBER(SEARCH($O$4,'Final Calculation Sheet'!$N$30)))))</f>
        <v/>
      </c>
      <c r="DU85">
        <f>IF($P$4="",1,IF($P$4="(blank)",--('Final Calculation Sheet'!$O$30=""),IF($P$4="(nonblank)",--('Final Calculation Sheet'!$O$30&lt;&gt;""),--ISNUMBER(SEARCH($P$4,'Final Calculation Sheet'!$O$30)))))</f>
        <v/>
      </c>
      <c r="DV85">
        <f>IF($Q$4="",1,IF($Q$4="(blank)",--('Final Calculation Sheet'!$P$30=""),IF($Q$4="(nonblank)",--('Final Calculation Sheet'!$P$30&lt;&gt;""),--ISNUMBER(SEARCH($Q$4,'Final Calculation Sheet'!$P$30)))))</f>
        <v/>
      </c>
      <c r="DW85">
        <f>IF($R$4="",1,IF($R$4="(blank)",--('Final Calculation Sheet'!$Q$30=""),IF($R$4="(nonblank)",--('Final Calculation Sheet'!$Q$30&lt;&gt;""),--ISNUMBER(SEARCH($R$4,'Final Calculation Sheet'!$Q$30)))))</f>
        <v/>
      </c>
      <c r="DX85">
        <f>IF($S$4="",1,IF($S$4="(blank)",--('Final Calculation Sheet'!$R$30=""),IF($S$4="(nonblank)",--('Final Calculation Sheet'!$R$30&lt;&gt;""),--ISNUMBER(SEARCH($S$4,'Final Calculation Sheet'!$R$30)))))</f>
        <v/>
      </c>
      <c r="DY85">
        <f>IF($T$4="",1,IF($T$4="(blank)",--('Final Calculation Sheet'!$S$30=""),IF($T$4="(nonblank)",--('Final Calculation Sheet'!$S$30&lt;&gt;""),--ISNUMBER(SEARCH($T$4,'Final Calculation Sheet'!$S$30)))))</f>
        <v/>
      </c>
      <c r="DZ85">
        <f>IF($U$4="",1,IF($U$4="(blank)",--('Final Calculation Sheet'!$T$30=""),IF($U$4="(nonblank)",--('Final Calculation Sheet'!$T$30&lt;&gt;""),--ISNUMBER(SEARCH($U$4,'Final Calculation Sheet'!$T$30)))))</f>
        <v/>
      </c>
      <c r="EA85">
        <f>IF($V$4="",1,IF($V$4="(blank)",--('Final Calculation Sheet'!$U$30=""),IF($V$4="(nonblank)",--('Final Calculation Sheet'!$U$30&lt;&gt;""),--ISNUMBER(SEARCH($V$4,'Final Calculation Sheet'!$U$30)))))</f>
        <v/>
      </c>
      <c r="EB85">
        <f>IF($W$4="",1,IF($W$4="(blank)",--('Final Calculation Sheet'!$V$30=""),IF($W$4="(nonblank)",--('Final Calculation Sheet'!$V$30&lt;&gt;""),--ISNUMBER(SEARCH($W$4,'Final Calculation Sheet'!$V$30)))))</f>
        <v/>
      </c>
      <c r="EC85">
        <f>IF($X$4="",1,IF($X$4="(blank)",--('Final Calculation Sheet'!$W$30=""),IF($X$4="(nonblank)",--('Final Calculation Sheet'!$W$30&lt;&gt;""),--ISNUMBER(SEARCH($X$4,'Final Calculation Sheet'!$W$30)))))</f>
        <v/>
      </c>
      <c r="ED85">
        <f>IF($Y$4="",1,IF($Y$4="(blank)",--('Final Calculation Sheet'!$X$30=""),IF($Y$4="(nonblank)",--('Final Calculation Sheet'!$X$30&lt;&gt;""),--ISNUMBER(SEARCH($Y$4,'Final Calculation Sheet'!$X$30)))))</f>
        <v/>
      </c>
      <c r="EE85">
        <f>IF($Z$4="",1,IF($Z$4="(blank)",--('Final Calculation Sheet'!$Y$30=""),IF($Z$4="(nonblank)",--('Final Calculation Sheet'!$Y$30&lt;&gt;""),--ISNUMBER(SEARCH($Z$4,'Final Calculation Sheet'!$Y$30)))))</f>
        <v/>
      </c>
      <c r="EF85">
        <f>IF($AA$4="",1,IF($AA$4="(blank)",--('Final Calculation Sheet'!$Z$30=""),IF($AA$4="(nonblank)",--('Final Calculation Sheet'!$Z$30&lt;&gt;""),--ISNUMBER(SEARCH($AA$4,'Final Calculation Sheet'!$Z$30)))))</f>
        <v/>
      </c>
      <c r="EG85">
        <f>IF($AB$4="",1,IF($AB$4="(blank)",--('Final Calculation Sheet'!$AA$30=""),IF($AB$4="(nonblank)",--('Final Calculation Sheet'!$AA$30&lt;&gt;""),--ISNUMBER(SEARCH($AB$4,'Final Calculation Sheet'!$AA$30)))))</f>
        <v/>
      </c>
      <c r="EH85">
        <f>IF($AC$4="",1,IF($AC$4="(blank)",--('Final Calculation Sheet'!$AB$30=""),IF($AC$4="(nonblank)",--('Final Calculation Sheet'!$AB$30&lt;&gt;""),--ISNUMBER(SEARCH($AC$4,'Final Calculation Sheet'!$AB$30)))))</f>
        <v/>
      </c>
      <c r="EI85">
        <f>IF($AD$4="",1,IF($AD$4="(blank)",--('Final Calculation Sheet'!$AC$30=""),IF($AD$4="(nonblank)",--('Final Calculation Sheet'!$AC$30&lt;&gt;""),--ISNUMBER(SEARCH($AD$4,'Final Calculation Sheet'!$AC$30)))))</f>
        <v/>
      </c>
      <c r="EJ85">
        <f>IF($AE$4="",1,IF($AE$4="(blank)",--('Final Calculation Sheet'!$AD$30=""),IF($AE$4="(nonblank)",--('Final Calculation Sheet'!$AD$30&lt;&gt;""),--ISNUMBER(SEARCH($AE$4,'Final Calculation Sheet'!$AD$30)))))</f>
        <v/>
      </c>
      <c r="EK85">
        <f>IF($AF$4="",1,IF($AF$4="(blank)",--(IF('Final Calculation Sheet'!$AD$30&lt;=5,"SETTLED","OUTSTANDING")=""),IF($AF$4="(nonblank)",--(IF('Final Calculation Sheet'!$AD$30&lt;=5,"SETTLED","OUTSTANDING")&lt;&gt;""),--ISNUMBER(SEARCH($AF$4,IF('Final Calculation Sheet'!$AD$30&lt;=5,"SETTLED","OUTSTANDING"))))))</f>
        <v/>
      </c>
      <c r="EL85">
        <f>IF($AG$4="",1,IF($AG$4="(blank)",--('Final Calculation Sheet'!$AF$30=""),IF($AG$4="(nonblank)",--('Final Calculation Sheet'!$AF$30&lt;&gt;""),--ISNUMBER(SEARCH($AG$4,'Final Calculation Sheet'!$AF$30)))))</f>
        <v/>
      </c>
      <c r="EM85">
        <f>IF($AH$4="",1,IF($AH$4="(blank)",--('Final Calculation Sheet'!$AG$30=""),IF($AH$4="(nonblank)",--('Final Calculation Sheet'!$AG$30&lt;&gt;""),--ISNUMBER(SEARCH($AH$4,'Final Calculation Sheet'!$AG$30)))))</f>
        <v/>
      </c>
      <c r="EN85">
        <f>IF($AI$4="",1,IF($AI$4="(blank)",--('Final Calculation Sheet'!$AH$30=""),IF($AI$4="(nonblank)",--('Final Calculation Sheet'!$AH$30&lt;&gt;""),--ISNUMBER(SEARCH($AI$4,'Final Calculation Sheet'!$AH$30)))))</f>
        <v/>
      </c>
    </row>
    <row r="86">
      <c r="AM86">
        <f>AM85+IF(AND(Lists!$O$33&lt;&gt;"",ISNUMBER(SEARCH($B$4,Lists!$O$33))),1,0)</f>
        <v/>
      </c>
      <c r="AN86">
        <f>IF(ROW()-56&gt;MAX($AM$57:$AM$95),"",INDEX(Lists!$O$4:$O$42,MATCH(ROW()-56,$AM$57:$AM$95,0)))</f>
        <v/>
      </c>
      <c r="AO86">
        <f>AO85+IF(AND(Lists!$T$33&lt;&gt;"",ISNUMBER(SEARCH($C$4,Lists!$T$33))),1,0)</f>
        <v/>
      </c>
      <c r="AP86">
        <f>IF(ROW()-56&gt;MAX($AO$57:$AO$95),"",INDEX(Lists!$T$4:$T$42,MATCH(ROW()-56,$AO$57:$AO$95,0)))</f>
        <v/>
      </c>
      <c r="AQ86">
        <f>AQ85+IF(AND(Lists!$Y$33&lt;&gt;"",ISNUMBER(SEARCH($D$4,Lists!$Y$33))),1,0)</f>
        <v/>
      </c>
      <c r="AR86">
        <f>IF(ROW()-56&gt;MAX($AQ$57:$AQ$95),"",INDEX(Lists!$Y$4:$Y$42,MATCH(ROW()-56,$AQ$57:$AQ$95,0)))</f>
        <v/>
      </c>
      <c r="AS86">
        <f>AS85+IF(AND(Lists!$AD$33&lt;&gt;"",ISNUMBER(SEARCH($E$4,Lists!$AD$33))),1,0)</f>
        <v/>
      </c>
      <c r="AT86">
        <f>IF(ROW()-56&gt;MAX($AS$57:$AS$95),"",INDEX(Lists!$AD$4:$AD$42,MATCH(ROW()-56,$AS$57:$AS$95,0)))</f>
        <v/>
      </c>
      <c r="AU86">
        <f>AU85+IF(AND(Lists!$AI$33&lt;&gt;"",ISNUMBER(SEARCH($F$4,Lists!$AI$33))),1,0)</f>
        <v/>
      </c>
      <c r="AV86">
        <f>IF(ROW()-56&gt;MAX($AU$57:$AU$95),"",INDEX(Lists!$AI$4:$AI$42,MATCH(ROW()-56,$AU$57:$AU$95,0)))</f>
        <v/>
      </c>
      <c r="AW86">
        <f>AW85+IF(AND(Lists!$AN$33&lt;&gt;"",ISNUMBER(SEARCH($G$4,Lists!$AN$33))),1,0)</f>
        <v/>
      </c>
      <c r="AX86">
        <f>IF(ROW()-56&gt;MAX($AW$57:$AW$95),"",INDEX(Lists!$AN$4:$AN$42,MATCH(ROW()-56,$AW$57:$AW$95,0)))</f>
        <v/>
      </c>
      <c r="AY86">
        <f>AY85+IF(AND(Lists!$AS$33&lt;&gt;"",ISNUMBER(SEARCH($H$4,Lists!$AS$33))),1,0)</f>
        <v/>
      </c>
      <c r="AZ86">
        <f>IF(ROW()-56&gt;MAX($AY$57:$AY$95),"",INDEX(Lists!$AS$4:$AS$42,MATCH(ROW()-56,$AY$57:$AY$95,0)))</f>
        <v/>
      </c>
      <c r="BA86">
        <f>BA85+IF(AND(Lists!$AX$33&lt;&gt;"",ISNUMBER(SEARCH($I$4,Lists!$AX$33))),1,0)</f>
        <v/>
      </c>
      <c r="BB86">
        <f>IF(ROW()-56&gt;MAX($BA$57:$BA$95),"",INDEX(Lists!$AX$4:$AX$42,MATCH(ROW()-56,$BA$57:$BA$95,0)))</f>
        <v/>
      </c>
      <c r="BC86">
        <f>BC85+IF(AND(Lists!$BC$33&lt;&gt;"",ISNUMBER(SEARCH($J$4,Lists!$BC$33))),1,0)</f>
        <v/>
      </c>
      <c r="BD86">
        <f>IF(ROW()-56&gt;MAX($BC$57:$BC$95),"",INDEX(Lists!$BC$4:$BC$42,MATCH(ROW()-56,$BC$57:$BC$95,0)))</f>
        <v/>
      </c>
      <c r="BE86">
        <f>BE85+IF(AND(Lists!$BH$33&lt;&gt;"",ISNUMBER(SEARCH($K$4,Lists!$BH$33))),1,0)</f>
        <v/>
      </c>
      <c r="BF86">
        <f>IF(ROW()-56&gt;MAX($BE$57:$BE$95),"",INDEX(Lists!$BH$4:$BH$42,MATCH(ROW()-56,$BE$57:$BE$95,0)))</f>
        <v/>
      </c>
      <c r="BG86">
        <f>BG85+IF(AND(Lists!$BM$33&lt;&gt;"",ISNUMBER(SEARCH($L$4,Lists!$BM$33))),1,0)</f>
        <v/>
      </c>
      <c r="BH86">
        <f>IF(ROW()-56&gt;MAX($BG$57:$BG$95),"",INDEX(Lists!$BM$4:$BM$42,MATCH(ROW()-56,$BG$57:$BG$95,0)))</f>
        <v/>
      </c>
      <c r="BI86">
        <f>BI85+IF(AND(Lists!$BR$33&lt;&gt;"",ISNUMBER(SEARCH($M$4,Lists!$BR$33))),1,0)</f>
        <v/>
      </c>
      <c r="BJ86">
        <f>IF(ROW()-56&gt;MAX($BI$57:$BI$95),"",INDEX(Lists!$BR$4:$BR$42,MATCH(ROW()-56,$BI$57:$BI$95,0)))</f>
        <v/>
      </c>
      <c r="BK86">
        <f>BK85+IF(AND(Lists!$BW$33&lt;&gt;"",ISNUMBER(SEARCH($N$4,Lists!$BW$33))),1,0)</f>
        <v/>
      </c>
      <c r="BL86">
        <f>IF(ROW()-56&gt;MAX($BK$57:$BK$95),"",INDEX(Lists!$BW$4:$BW$42,MATCH(ROW()-56,$BK$57:$BK$95,0)))</f>
        <v/>
      </c>
      <c r="BM86">
        <f>BM85+IF(AND(Lists!$CB$33&lt;&gt;"",ISNUMBER(SEARCH($O$4,Lists!$CB$33))),1,0)</f>
        <v/>
      </c>
      <c r="BN86">
        <f>IF(ROW()-56&gt;MAX($BM$57:$BM$95),"",INDEX(Lists!$CB$4:$CB$42,MATCH(ROW()-56,$BM$57:$BM$95,0)))</f>
        <v/>
      </c>
      <c r="BO86">
        <f>BO85+IF(AND(Lists!$CG$33&lt;&gt;"",ISNUMBER(SEARCH($P$4,Lists!$CG$33))),1,0)</f>
        <v/>
      </c>
      <c r="BP86">
        <f>IF(ROW()-56&gt;MAX($BO$57:$BO$95),"",INDEX(Lists!$CG$4:$CG$42,MATCH(ROW()-56,$BO$57:$BO$95,0)))</f>
        <v/>
      </c>
      <c r="BQ86">
        <f>BQ85+IF(AND(Lists!$CL$33&lt;&gt;"",ISNUMBER(SEARCH($Q$4,Lists!$CL$33))),1,0)</f>
        <v/>
      </c>
      <c r="BR86">
        <f>IF(ROW()-56&gt;MAX($BQ$57:$BQ$95),"",INDEX(Lists!$CL$4:$CL$42,MATCH(ROW()-56,$BQ$57:$BQ$95,0)))</f>
        <v/>
      </c>
      <c r="BS86">
        <f>BS85+IF(AND(Lists!$CQ$33&lt;&gt;"",ISNUMBER(SEARCH($R$4,Lists!$CQ$33))),1,0)</f>
        <v/>
      </c>
      <c r="BT86">
        <f>IF(ROW()-56&gt;MAX($BS$57:$BS$95),"",INDEX(Lists!$CQ$4:$CQ$42,MATCH(ROW()-56,$BS$57:$BS$95,0)))</f>
        <v/>
      </c>
      <c r="BU86">
        <f>BU85+IF(AND(Lists!$CV$33&lt;&gt;"",ISNUMBER(SEARCH($S$4,Lists!$CV$33))),1,0)</f>
        <v/>
      </c>
      <c r="BV86">
        <f>IF(ROW()-56&gt;MAX($BU$57:$BU$95),"",INDEX(Lists!$CV$4:$CV$42,MATCH(ROW()-56,$BU$57:$BU$95,0)))</f>
        <v/>
      </c>
      <c r="BW86">
        <f>BW85+IF(AND(Lists!$DA$33&lt;&gt;"",ISNUMBER(SEARCH($T$4,Lists!$DA$33))),1,0)</f>
        <v/>
      </c>
      <c r="BX86">
        <f>IF(ROW()-56&gt;MAX($BW$57:$BW$95),"",INDEX(Lists!$DA$4:$DA$42,MATCH(ROW()-56,$BW$57:$BW$95,0)))</f>
        <v/>
      </c>
      <c r="BY86">
        <f>BY85+IF(AND(Lists!$DF$33&lt;&gt;"",ISNUMBER(SEARCH($U$4,Lists!$DF$33))),1,0)</f>
        <v/>
      </c>
      <c r="BZ86">
        <f>IF(ROW()-56&gt;MAX($BY$57:$BY$95),"",INDEX(Lists!$DF$4:$DF$42,MATCH(ROW()-56,$BY$57:$BY$95,0)))</f>
        <v/>
      </c>
      <c r="CA86">
        <f>CA85+IF(AND(Lists!$DK$33&lt;&gt;"",ISNUMBER(SEARCH($V$4,Lists!$DK$33))),1,0)</f>
        <v/>
      </c>
      <c r="CB86">
        <f>IF(ROW()-56&gt;MAX($CA$57:$CA$95),"",INDEX(Lists!$DK$4:$DK$42,MATCH(ROW()-56,$CA$57:$CA$95,0)))</f>
        <v/>
      </c>
      <c r="CC86">
        <f>CC85+IF(AND(Lists!$DP$33&lt;&gt;"",ISNUMBER(SEARCH($W$4,Lists!$DP$33))),1,0)</f>
        <v/>
      </c>
      <c r="CD86">
        <f>IF(ROW()-56&gt;MAX($CC$57:$CC$95),"",INDEX(Lists!$DP$4:$DP$42,MATCH(ROW()-56,$CC$57:$CC$95,0)))</f>
        <v/>
      </c>
      <c r="CE86">
        <f>CE85+IF(AND(Lists!$DU$33&lt;&gt;"",ISNUMBER(SEARCH($X$4,Lists!$DU$33))),1,0)</f>
        <v/>
      </c>
      <c r="CF86">
        <f>IF(ROW()-56&gt;MAX($CE$57:$CE$95),"",INDEX(Lists!$DU$4:$DU$42,MATCH(ROW()-56,$CE$57:$CE$95,0)))</f>
        <v/>
      </c>
      <c r="CG86">
        <f>CG85+IF(AND(Lists!$DZ$33&lt;&gt;"",ISNUMBER(SEARCH($Y$4,Lists!$DZ$33))),1,0)</f>
        <v/>
      </c>
      <c r="CH86">
        <f>IF(ROW()-56&gt;MAX($CG$57:$CG$95),"",INDEX(Lists!$DZ$4:$DZ$42,MATCH(ROW()-56,$CG$57:$CG$95,0)))</f>
        <v/>
      </c>
      <c r="CI86">
        <f>CI85+IF(AND(Lists!$EE$33&lt;&gt;"",ISNUMBER(SEARCH($Z$4,Lists!$EE$33))),1,0)</f>
        <v/>
      </c>
      <c r="CJ86">
        <f>IF(ROW()-56&gt;MAX($CI$57:$CI$95),"",INDEX(Lists!$EE$4:$EE$42,MATCH(ROW()-56,$CI$57:$CI$95,0)))</f>
        <v/>
      </c>
      <c r="CK86">
        <f>CK85+IF(AND(Lists!$EJ$33&lt;&gt;"",ISNUMBER(SEARCH($AA$4,Lists!$EJ$33))),1,0)</f>
        <v/>
      </c>
      <c r="CL86">
        <f>IF(ROW()-56&gt;MAX($CK$57:$CK$95),"",INDEX(Lists!$EJ$4:$EJ$42,MATCH(ROW()-56,$CK$57:$CK$95,0)))</f>
        <v/>
      </c>
      <c r="CM86">
        <f>CM85+IF(AND(Lists!$EO$33&lt;&gt;"",ISNUMBER(SEARCH($AB$4,Lists!$EO$33))),1,0)</f>
        <v/>
      </c>
      <c r="CN86">
        <f>IF(ROW()-56&gt;MAX($CM$57:$CM$95),"",INDEX(Lists!$EO$4:$EO$42,MATCH(ROW()-56,$CM$57:$CM$95,0)))</f>
        <v/>
      </c>
      <c r="CO86">
        <f>CO85+IF(AND(Lists!$ET$33&lt;&gt;"",ISNUMBER(SEARCH($AC$4,Lists!$ET$33))),1,0)</f>
        <v/>
      </c>
      <c r="CP86">
        <f>IF(ROW()-56&gt;MAX($CO$57:$CO$95),"",INDEX(Lists!$ET$4:$ET$42,MATCH(ROW()-56,$CO$57:$CO$95,0)))</f>
        <v/>
      </c>
      <c r="CQ86">
        <f>CQ85+IF(AND(Lists!$EY$33&lt;&gt;"",ISNUMBER(SEARCH($AD$4,Lists!$EY$33))),1,0)</f>
        <v/>
      </c>
      <c r="CR86">
        <f>IF(ROW()-56&gt;MAX($CQ$57:$CQ$95),"",INDEX(Lists!$EY$4:$EY$42,MATCH(ROW()-56,$CQ$57:$CQ$95,0)))</f>
        <v/>
      </c>
      <c r="CS86">
        <f>CS85+IF(AND(Lists!$FD$33&lt;&gt;"",ISNUMBER(SEARCH($AE$4,Lists!$FD$33))),1,0)</f>
        <v/>
      </c>
      <c r="CT86">
        <f>IF(ROW()-56&gt;MAX($CS$57:$CS$95),"",INDEX(Lists!$FD$4:$FD$42,MATCH(ROW()-56,$CS$57:$CS$95,0)))</f>
        <v/>
      </c>
      <c r="CU86">
        <f>CU85+IF(AND(Lists!$FI$33&lt;&gt;"",ISNUMBER(SEARCH($AG$4,Lists!$FI$33))),1,0)</f>
        <v/>
      </c>
      <c r="CV86">
        <f>IF(ROW()-56&gt;MAX($CU$57:$CU$95),"",INDEX(Lists!$FI$4:$FI$42,MATCH(ROW()-56,$CU$57:$CU$95,0)))</f>
        <v/>
      </c>
      <c r="CW86">
        <f>CW85+IF(AND(Lists!$FN$33&lt;&gt;"",ISNUMBER(SEARCH($AH$4,Lists!$FN$33))),1,0)</f>
        <v/>
      </c>
      <c r="CX86">
        <f>IF(ROW()-56&gt;MAX($CW$57:$CW$95),"",INDEX(Lists!$FN$4:$FN$42,MATCH(ROW()-56,$CW$57:$CW$95,0)))</f>
        <v/>
      </c>
      <c r="CY86">
        <f>CY85+IF(AND(Lists!$FS$33&lt;&gt;"",ISNUMBER(SEARCH($AI$4,Lists!$FS$33))),1,0)</f>
        <v/>
      </c>
      <c r="CZ86">
        <f>IF(ROW()-56&gt;MAX($CY$57:$CY$95),"",INDEX(Lists!$FS$4:$FS$42,MATCH(ROW()-56,$CY$57:$CY$95,0)))</f>
        <v/>
      </c>
      <c r="DA86">
        <f>DA85+IF(AND(Lists!$FX$33&lt;&gt;"",ISNUMBER(SEARCH($AF$4,Lists!$FX$33))),1,0)</f>
        <v/>
      </c>
      <c r="DB86">
        <f>IF(ROW()-56&gt;MAX($DA$57:$DA$95),"",INDEX(Lists!$FX$4:$FX$42,MATCH(ROW()-56,$DA$57:$DA$95,0)))</f>
        <v/>
      </c>
      <c r="DG86">
        <f>IF($B$4="",1,IF($B$4="(blank)",--('Final Calculation Sheet'!$F$31=""),IF($B$4="(nonblank)",--('Final Calculation Sheet'!$F$31&lt;&gt;""),--ISNUMBER(SEARCH($B$4,'Final Calculation Sheet'!$F$31)))))</f>
        <v/>
      </c>
      <c r="DH86">
        <f>IF($C$4="",1,IF($C$4="(blank)",--('Final Calculation Sheet'!$G$31=""),IF($C$4="(nonblank)",--('Final Calculation Sheet'!$G$31&lt;&gt;""),--ISNUMBER(SEARCH($C$4,'Final Calculation Sheet'!$G$31)))))</f>
        <v/>
      </c>
      <c r="DI86">
        <f>IF($D$4="",1,IF($D$4="(blank)",--('Final Calculation Sheet'!$B$31=""),IF($D$4="(nonblank)",--('Final Calculation Sheet'!$B$31&lt;&gt;""),--ISNUMBER(SEARCH($D$4,'Final Calculation Sheet'!$B$31)))))</f>
        <v/>
      </c>
      <c r="DJ86">
        <f>IF($E$4="",1,IF($E$4="(blank)",--('Final Calculation Sheet'!$D$31=""),IF($E$4="(nonblank)",--('Final Calculation Sheet'!$D$31&lt;&gt;""),--ISNUMBER(SEARCH($E$4,'Final Calculation Sheet'!$D$31)))))</f>
        <v/>
      </c>
      <c r="DK86">
        <f>IF($F$4="",1,IF($F$4="(blank)",--('Final Calculation Sheet'!$A$31=""),IF($F$4="(nonblank)",--('Final Calculation Sheet'!$A$31&lt;&gt;""),--ISNUMBER(SEARCH($F$4,'Final Calculation Sheet'!$A$31)))))</f>
        <v/>
      </c>
      <c r="DL86">
        <f>IF($G$4="",1,IF($G$4="(blank)",--('Final Calculation Sheet'!$E$31=""),IF($G$4="(nonblank)",--('Final Calculation Sheet'!$E$31&lt;&gt;""),--ISNUMBER(SEARCH($G$4,'Final Calculation Sheet'!$E$31)))))</f>
        <v/>
      </c>
      <c r="DM86">
        <f>IF($H$4="",1,IF($H$4="(blank)",--('Final Calculation Sheet'!$C$31=""),IF($H$4="(nonblank)",--('Final Calculation Sheet'!$C$31&lt;&gt;""),--ISNUMBER(SEARCH($H$4,'Final Calculation Sheet'!$C$31)))))</f>
        <v/>
      </c>
      <c r="DN86">
        <f>IF($I$4="",1,IF($I$4="(blank)",--('Final Calculation Sheet'!$H$31=""),IF($I$4="(nonblank)",--('Final Calculation Sheet'!$H$31&lt;&gt;""),--ISNUMBER(SEARCH($I$4,'Final Calculation Sheet'!$H$31)))))</f>
        <v/>
      </c>
      <c r="DO86">
        <f>IF($J$4="",1,IF($J$4="(blank)",--('Final Calculation Sheet'!$I$31=""),IF($J$4="(nonblank)",--('Final Calculation Sheet'!$I$31&lt;&gt;""),--ISNUMBER(SEARCH($J$4,'Final Calculation Sheet'!$I$31)))))</f>
        <v/>
      </c>
      <c r="DP86">
        <f>IF($K$4="",1,IF($K$4="(blank)",--('Final Calculation Sheet'!$J$31=""),IF($K$4="(nonblank)",--('Final Calculation Sheet'!$J$31&lt;&gt;""),--ISNUMBER(SEARCH($K$4,'Final Calculation Sheet'!$J$31)))))</f>
        <v/>
      </c>
      <c r="DQ86">
        <f>IF($L$4="",1,IF($L$4="(blank)",--('Final Calculation Sheet'!$K$31=""),IF($L$4="(nonblank)",--('Final Calculation Sheet'!$K$31&lt;&gt;""),--ISNUMBER(SEARCH($L$4,'Final Calculation Sheet'!$K$31)))))</f>
        <v/>
      </c>
      <c r="DR86">
        <f>IF($M$4="",1,IF($M$4="(blank)",--('Final Calculation Sheet'!$L$31=""),IF($M$4="(nonblank)",--('Final Calculation Sheet'!$L$31&lt;&gt;""),--ISNUMBER(SEARCH($M$4,'Final Calculation Sheet'!$L$31)))))</f>
        <v/>
      </c>
      <c r="DS86">
        <f>IF($N$4="",1,IF($N$4="(blank)",--('Final Calculation Sheet'!$M$31=""),IF($N$4="(nonblank)",--('Final Calculation Sheet'!$M$31&lt;&gt;""),--ISNUMBER(SEARCH($N$4,'Final Calculation Sheet'!$M$31)))))</f>
        <v/>
      </c>
      <c r="DT86">
        <f>IF($O$4="",1,IF($O$4="(blank)",--('Final Calculation Sheet'!$N$31=""),IF($O$4="(nonblank)",--('Final Calculation Sheet'!$N$31&lt;&gt;""),--ISNUMBER(SEARCH($O$4,'Final Calculation Sheet'!$N$31)))))</f>
        <v/>
      </c>
      <c r="DU86">
        <f>IF($P$4="",1,IF($P$4="(blank)",--('Final Calculation Sheet'!$O$31=""),IF($P$4="(nonblank)",--('Final Calculation Sheet'!$O$31&lt;&gt;""),--ISNUMBER(SEARCH($P$4,'Final Calculation Sheet'!$O$31)))))</f>
        <v/>
      </c>
      <c r="DV86">
        <f>IF($Q$4="",1,IF($Q$4="(blank)",--('Final Calculation Sheet'!$P$31=""),IF($Q$4="(nonblank)",--('Final Calculation Sheet'!$P$31&lt;&gt;""),--ISNUMBER(SEARCH($Q$4,'Final Calculation Sheet'!$P$31)))))</f>
        <v/>
      </c>
      <c r="DW86">
        <f>IF($R$4="",1,IF($R$4="(blank)",--('Final Calculation Sheet'!$Q$31=""),IF($R$4="(nonblank)",--('Final Calculation Sheet'!$Q$31&lt;&gt;""),--ISNUMBER(SEARCH($R$4,'Final Calculation Sheet'!$Q$31)))))</f>
        <v/>
      </c>
      <c r="DX86">
        <f>IF($S$4="",1,IF($S$4="(blank)",--('Final Calculation Sheet'!$R$31=""),IF($S$4="(nonblank)",--('Final Calculation Sheet'!$R$31&lt;&gt;""),--ISNUMBER(SEARCH($S$4,'Final Calculation Sheet'!$R$31)))))</f>
        <v/>
      </c>
      <c r="DY86">
        <f>IF($T$4="",1,IF($T$4="(blank)",--('Final Calculation Sheet'!$S$31=""),IF($T$4="(nonblank)",--('Final Calculation Sheet'!$S$31&lt;&gt;""),--ISNUMBER(SEARCH($T$4,'Final Calculation Sheet'!$S$31)))))</f>
        <v/>
      </c>
      <c r="DZ86">
        <f>IF($U$4="",1,IF($U$4="(blank)",--('Final Calculation Sheet'!$T$31=""),IF($U$4="(nonblank)",--('Final Calculation Sheet'!$T$31&lt;&gt;""),--ISNUMBER(SEARCH($U$4,'Final Calculation Sheet'!$T$31)))))</f>
        <v/>
      </c>
      <c r="EA86">
        <f>IF($V$4="",1,IF($V$4="(blank)",--('Final Calculation Sheet'!$U$31=""),IF($V$4="(nonblank)",--('Final Calculation Sheet'!$U$31&lt;&gt;""),--ISNUMBER(SEARCH($V$4,'Final Calculation Sheet'!$U$31)))))</f>
        <v/>
      </c>
      <c r="EB86">
        <f>IF($W$4="",1,IF($W$4="(blank)",--('Final Calculation Sheet'!$V$31=""),IF($W$4="(nonblank)",--('Final Calculation Sheet'!$V$31&lt;&gt;""),--ISNUMBER(SEARCH($W$4,'Final Calculation Sheet'!$V$31)))))</f>
        <v/>
      </c>
      <c r="EC86">
        <f>IF($X$4="",1,IF($X$4="(blank)",--('Final Calculation Sheet'!$W$31=""),IF($X$4="(nonblank)",--('Final Calculation Sheet'!$W$31&lt;&gt;""),--ISNUMBER(SEARCH($X$4,'Final Calculation Sheet'!$W$31)))))</f>
        <v/>
      </c>
      <c r="ED86">
        <f>IF($Y$4="",1,IF($Y$4="(blank)",--('Final Calculation Sheet'!$X$31=""),IF($Y$4="(nonblank)",--('Final Calculation Sheet'!$X$31&lt;&gt;""),--ISNUMBER(SEARCH($Y$4,'Final Calculation Sheet'!$X$31)))))</f>
        <v/>
      </c>
      <c r="EE86">
        <f>IF($Z$4="",1,IF($Z$4="(blank)",--('Final Calculation Sheet'!$Y$31=""),IF($Z$4="(nonblank)",--('Final Calculation Sheet'!$Y$31&lt;&gt;""),--ISNUMBER(SEARCH($Z$4,'Final Calculation Sheet'!$Y$31)))))</f>
        <v/>
      </c>
      <c r="EF86">
        <f>IF($AA$4="",1,IF($AA$4="(blank)",--('Final Calculation Sheet'!$Z$31=""),IF($AA$4="(nonblank)",--('Final Calculation Sheet'!$Z$31&lt;&gt;""),--ISNUMBER(SEARCH($AA$4,'Final Calculation Sheet'!$Z$31)))))</f>
        <v/>
      </c>
      <c r="EG86">
        <f>IF($AB$4="",1,IF($AB$4="(blank)",--('Final Calculation Sheet'!$AA$31=""),IF($AB$4="(nonblank)",--('Final Calculation Sheet'!$AA$31&lt;&gt;""),--ISNUMBER(SEARCH($AB$4,'Final Calculation Sheet'!$AA$31)))))</f>
        <v/>
      </c>
      <c r="EH86">
        <f>IF($AC$4="",1,IF($AC$4="(blank)",--('Final Calculation Sheet'!$AB$31=""),IF($AC$4="(nonblank)",--('Final Calculation Sheet'!$AB$31&lt;&gt;""),--ISNUMBER(SEARCH($AC$4,'Final Calculation Sheet'!$AB$31)))))</f>
        <v/>
      </c>
      <c r="EI86">
        <f>IF($AD$4="",1,IF($AD$4="(blank)",--('Final Calculation Sheet'!$AC$31=""),IF($AD$4="(nonblank)",--('Final Calculation Sheet'!$AC$31&lt;&gt;""),--ISNUMBER(SEARCH($AD$4,'Final Calculation Sheet'!$AC$31)))))</f>
        <v/>
      </c>
      <c r="EJ86">
        <f>IF($AE$4="",1,IF($AE$4="(blank)",--('Final Calculation Sheet'!$AD$31=""),IF($AE$4="(nonblank)",--('Final Calculation Sheet'!$AD$31&lt;&gt;""),--ISNUMBER(SEARCH($AE$4,'Final Calculation Sheet'!$AD$31)))))</f>
        <v/>
      </c>
      <c r="EK86">
        <f>IF($AF$4="",1,IF($AF$4="(blank)",--(IF('Final Calculation Sheet'!$AD$31&lt;=5,"SETTLED","OUTSTANDING")=""),IF($AF$4="(nonblank)",--(IF('Final Calculation Sheet'!$AD$31&lt;=5,"SETTLED","OUTSTANDING")&lt;&gt;""),--ISNUMBER(SEARCH($AF$4,IF('Final Calculation Sheet'!$AD$31&lt;=5,"SETTLED","OUTSTANDING"))))))</f>
        <v/>
      </c>
      <c r="EL86">
        <f>IF($AG$4="",1,IF($AG$4="(blank)",--('Final Calculation Sheet'!$AF$31=""),IF($AG$4="(nonblank)",--('Final Calculation Sheet'!$AF$31&lt;&gt;""),--ISNUMBER(SEARCH($AG$4,'Final Calculation Sheet'!$AF$31)))))</f>
        <v/>
      </c>
      <c r="EM86">
        <f>IF($AH$4="",1,IF($AH$4="(blank)",--('Final Calculation Sheet'!$AG$31=""),IF($AH$4="(nonblank)",--('Final Calculation Sheet'!$AG$31&lt;&gt;""),--ISNUMBER(SEARCH($AH$4,'Final Calculation Sheet'!$AG$31)))))</f>
        <v/>
      </c>
      <c r="EN86">
        <f>IF($AI$4="",1,IF($AI$4="(blank)",--('Final Calculation Sheet'!$AH$31=""),IF($AI$4="(nonblank)",--('Final Calculation Sheet'!$AH$31&lt;&gt;""),--ISNUMBER(SEARCH($AI$4,'Final Calculation Sheet'!$AH$31)))))</f>
        <v/>
      </c>
    </row>
    <row r="87">
      <c r="AM87">
        <f>AM86+IF(AND(Lists!$O$34&lt;&gt;"",ISNUMBER(SEARCH($B$4,Lists!$O$34))),1,0)</f>
        <v/>
      </c>
      <c r="AN87">
        <f>IF(ROW()-56&gt;MAX($AM$57:$AM$95),"",INDEX(Lists!$O$4:$O$42,MATCH(ROW()-56,$AM$57:$AM$95,0)))</f>
        <v/>
      </c>
      <c r="AO87">
        <f>AO86+IF(AND(Lists!$T$34&lt;&gt;"",ISNUMBER(SEARCH($C$4,Lists!$T$34))),1,0)</f>
        <v/>
      </c>
      <c r="AP87">
        <f>IF(ROW()-56&gt;MAX($AO$57:$AO$95),"",INDEX(Lists!$T$4:$T$42,MATCH(ROW()-56,$AO$57:$AO$95,0)))</f>
        <v/>
      </c>
      <c r="AQ87">
        <f>AQ86+IF(AND(Lists!$Y$34&lt;&gt;"",ISNUMBER(SEARCH($D$4,Lists!$Y$34))),1,0)</f>
        <v/>
      </c>
      <c r="AR87">
        <f>IF(ROW()-56&gt;MAX($AQ$57:$AQ$95),"",INDEX(Lists!$Y$4:$Y$42,MATCH(ROW()-56,$AQ$57:$AQ$95,0)))</f>
        <v/>
      </c>
      <c r="AS87">
        <f>AS86+IF(AND(Lists!$AD$34&lt;&gt;"",ISNUMBER(SEARCH($E$4,Lists!$AD$34))),1,0)</f>
        <v/>
      </c>
      <c r="AT87">
        <f>IF(ROW()-56&gt;MAX($AS$57:$AS$95),"",INDEX(Lists!$AD$4:$AD$42,MATCH(ROW()-56,$AS$57:$AS$95,0)))</f>
        <v/>
      </c>
      <c r="AU87">
        <f>AU86+IF(AND(Lists!$AI$34&lt;&gt;"",ISNUMBER(SEARCH($F$4,Lists!$AI$34))),1,0)</f>
        <v/>
      </c>
      <c r="AV87">
        <f>IF(ROW()-56&gt;MAX($AU$57:$AU$95),"",INDEX(Lists!$AI$4:$AI$42,MATCH(ROW()-56,$AU$57:$AU$95,0)))</f>
        <v/>
      </c>
      <c r="AW87">
        <f>AW86+IF(AND(Lists!$AN$34&lt;&gt;"",ISNUMBER(SEARCH($G$4,Lists!$AN$34))),1,0)</f>
        <v/>
      </c>
      <c r="AX87">
        <f>IF(ROW()-56&gt;MAX($AW$57:$AW$95),"",INDEX(Lists!$AN$4:$AN$42,MATCH(ROW()-56,$AW$57:$AW$95,0)))</f>
        <v/>
      </c>
      <c r="AY87">
        <f>AY86+IF(AND(Lists!$AS$34&lt;&gt;"",ISNUMBER(SEARCH($H$4,Lists!$AS$34))),1,0)</f>
        <v/>
      </c>
      <c r="AZ87">
        <f>IF(ROW()-56&gt;MAX($AY$57:$AY$95),"",INDEX(Lists!$AS$4:$AS$42,MATCH(ROW()-56,$AY$57:$AY$95,0)))</f>
        <v/>
      </c>
      <c r="BA87">
        <f>BA86+IF(AND(Lists!$AX$34&lt;&gt;"",ISNUMBER(SEARCH($I$4,Lists!$AX$34))),1,0)</f>
        <v/>
      </c>
      <c r="BB87">
        <f>IF(ROW()-56&gt;MAX($BA$57:$BA$95),"",INDEX(Lists!$AX$4:$AX$42,MATCH(ROW()-56,$BA$57:$BA$95,0)))</f>
        <v/>
      </c>
      <c r="BC87">
        <f>BC86+IF(AND(Lists!$BC$34&lt;&gt;"",ISNUMBER(SEARCH($J$4,Lists!$BC$34))),1,0)</f>
        <v/>
      </c>
      <c r="BD87">
        <f>IF(ROW()-56&gt;MAX($BC$57:$BC$95),"",INDEX(Lists!$BC$4:$BC$42,MATCH(ROW()-56,$BC$57:$BC$95,0)))</f>
        <v/>
      </c>
      <c r="BE87">
        <f>BE86+IF(AND(Lists!$BH$34&lt;&gt;"",ISNUMBER(SEARCH($K$4,Lists!$BH$34))),1,0)</f>
        <v/>
      </c>
      <c r="BF87">
        <f>IF(ROW()-56&gt;MAX($BE$57:$BE$95),"",INDEX(Lists!$BH$4:$BH$42,MATCH(ROW()-56,$BE$57:$BE$95,0)))</f>
        <v/>
      </c>
      <c r="BG87">
        <f>BG86+IF(AND(Lists!$BM$34&lt;&gt;"",ISNUMBER(SEARCH($L$4,Lists!$BM$34))),1,0)</f>
        <v/>
      </c>
      <c r="BH87">
        <f>IF(ROW()-56&gt;MAX($BG$57:$BG$95),"",INDEX(Lists!$BM$4:$BM$42,MATCH(ROW()-56,$BG$57:$BG$95,0)))</f>
        <v/>
      </c>
      <c r="BI87">
        <f>BI86+IF(AND(Lists!$BR$34&lt;&gt;"",ISNUMBER(SEARCH($M$4,Lists!$BR$34))),1,0)</f>
        <v/>
      </c>
      <c r="BJ87">
        <f>IF(ROW()-56&gt;MAX($BI$57:$BI$95),"",INDEX(Lists!$BR$4:$BR$42,MATCH(ROW()-56,$BI$57:$BI$95,0)))</f>
        <v/>
      </c>
      <c r="BK87">
        <f>BK86+IF(AND(Lists!$BW$34&lt;&gt;"",ISNUMBER(SEARCH($N$4,Lists!$BW$34))),1,0)</f>
        <v/>
      </c>
      <c r="BL87">
        <f>IF(ROW()-56&gt;MAX($BK$57:$BK$95),"",INDEX(Lists!$BW$4:$BW$42,MATCH(ROW()-56,$BK$57:$BK$95,0)))</f>
        <v/>
      </c>
      <c r="BM87">
        <f>BM86+IF(AND(Lists!$CB$34&lt;&gt;"",ISNUMBER(SEARCH($O$4,Lists!$CB$34))),1,0)</f>
        <v/>
      </c>
      <c r="BN87">
        <f>IF(ROW()-56&gt;MAX($BM$57:$BM$95),"",INDEX(Lists!$CB$4:$CB$42,MATCH(ROW()-56,$BM$57:$BM$95,0)))</f>
        <v/>
      </c>
      <c r="BO87">
        <f>BO86+IF(AND(Lists!$CG$34&lt;&gt;"",ISNUMBER(SEARCH($P$4,Lists!$CG$34))),1,0)</f>
        <v/>
      </c>
      <c r="BP87">
        <f>IF(ROW()-56&gt;MAX($BO$57:$BO$95),"",INDEX(Lists!$CG$4:$CG$42,MATCH(ROW()-56,$BO$57:$BO$95,0)))</f>
        <v/>
      </c>
      <c r="BQ87">
        <f>BQ86+IF(AND(Lists!$CL$34&lt;&gt;"",ISNUMBER(SEARCH($Q$4,Lists!$CL$34))),1,0)</f>
        <v/>
      </c>
      <c r="BR87">
        <f>IF(ROW()-56&gt;MAX($BQ$57:$BQ$95),"",INDEX(Lists!$CL$4:$CL$42,MATCH(ROW()-56,$BQ$57:$BQ$95,0)))</f>
        <v/>
      </c>
      <c r="BS87">
        <f>BS86+IF(AND(Lists!$CQ$34&lt;&gt;"",ISNUMBER(SEARCH($R$4,Lists!$CQ$34))),1,0)</f>
        <v/>
      </c>
      <c r="BT87">
        <f>IF(ROW()-56&gt;MAX($BS$57:$BS$95),"",INDEX(Lists!$CQ$4:$CQ$42,MATCH(ROW()-56,$BS$57:$BS$95,0)))</f>
        <v/>
      </c>
      <c r="BU87">
        <f>BU86+IF(AND(Lists!$CV$34&lt;&gt;"",ISNUMBER(SEARCH($S$4,Lists!$CV$34))),1,0)</f>
        <v/>
      </c>
      <c r="BV87">
        <f>IF(ROW()-56&gt;MAX($BU$57:$BU$95),"",INDEX(Lists!$CV$4:$CV$42,MATCH(ROW()-56,$BU$57:$BU$95,0)))</f>
        <v/>
      </c>
      <c r="BW87">
        <f>BW86+IF(AND(Lists!$DA$34&lt;&gt;"",ISNUMBER(SEARCH($T$4,Lists!$DA$34))),1,0)</f>
        <v/>
      </c>
      <c r="BX87">
        <f>IF(ROW()-56&gt;MAX($BW$57:$BW$95),"",INDEX(Lists!$DA$4:$DA$42,MATCH(ROW()-56,$BW$57:$BW$95,0)))</f>
        <v/>
      </c>
      <c r="BY87">
        <f>BY86+IF(AND(Lists!$DF$34&lt;&gt;"",ISNUMBER(SEARCH($U$4,Lists!$DF$34))),1,0)</f>
        <v/>
      </c>
      <c r="BZ87">
        <f>IF(ROW()-56&gt;MAX($BY$57:$BY$95),"",INDEX(Lists!$DF$4:$DF$42,MATCH(ROW()-56,$BY$57:$BY$95,0)))</f>
        <v/>
      </c>
      <c r="CA87">
        <f>CA86+IF(AND(Lists!$DK$34&lt;&gt;"",ISNUMBER(SEARCH($V$4,Lists!$DK$34))),1,0)</f>
        <v/>
      </c>
      <c r="CB87">
        <f>IF(ROW()-56&gt;MAX($CA$57:$CA$95),"",INDEX(Lists!$DK$4:$DK$42,MATCH(ROW()-56,$CA$57:$CA$95,0)))</f>
        <v/>
      </c>
      <c r="CC87">
        <f>CC86+IF(AND(Lists!$DP$34&lt;&gt;"",ISNUMBER(SEARCH($W$4,Lists!$DP$34))),1,0)</f>
        <v/>
      </c>
      <c r="CD87">
        <f>IF(ROW()-56&gt;MAX($CC$57:$CC$95),"",INDEX(Lists!$DP$4:$DP$42,MATCH(ROW()-56,$CC$57:$CC$95,0)))</f>
        <v/>
      </c>
      <c r="CE87">
        <f>CE86+IF(AND(Lists!$DU$34&lt;&gt;"",ISNUMBER(SEARCH($X$4,Lists!$DU$34))),1,0)</f>
        <v/>
      </c>
      <c r="CF87">
        <f>IF(ROW()-56&gt;MAX($CE$57:$CE$95),"",INDEX(Lists!$DU$4:$DU$42,MATCH(ROW()-56,$CE$57:$CE$95,0)))</f>
        <v/>
      </c>
      <c r="CG87">
        <f>CG86+IF(AND(Lists!$DZ$34&lt;&gt;"",ISNUMBER(SEARCH($Y$4,Lists!$DZ$34))),1,0)</f>
        <v/>
      </c>
      <c r="CH87">
        <f>IF(ROW()-56&gt;MAX($CG$57:$CG$95),"",INDEX(Lists!$DZ$4:$DZ$42,MATCH(ROW()-56,$CG$57:$CG$95,0)))</f>
        <v/>
      </c>
      <c r="CI87">
        <f>CI86+IF(AND(Lists!$EE$34&lt;&gt;"",ISNUMBER(SEARCH($Z$4,Lists!$EE$34))),1,0)</f>
        <v/>
      </c>
      <c r="CJ87">
        <f>IF(ROW()-56&gt;MAX($CI$57:$CI$95),"",INDEX(Lists!$EE$4:$EE$42,MATCH(ROW()-56,$CI$57:$CI$95,0)))</f>
        <v/>
      </c>
      <c r="CK87">
        <f>CK86+IF(AND(Lists!$EJ$34&lt;&gt;"",ISNUMBER(SEARCH($AA$4,Lists!$EJ$34))),1,0)</f>
        <v/>
      </c>
      <c r="CL87">
        <f>IF(ROW()-56&gt;MAX($CK$57:$CK$95),"",INDEX(Lists!$EJ$4:$EJ$42,MATCH(ROW()-56,$CK$57:$CK$95,0)))</f>
        <v/>
      </c>
      <c r="CM87">
        <f>CM86+IF(AND(Lists!$EO$34&lt;&gt;"",ISNUMBER(SEARCH($AB$4,Lists!$EO$34))),1,0)</f>
        <v/>
      </c>
      <c r="CN87">
        <f>IF(ROW()-56&gt;MAX($CM$57:$CM$95),"",INDEX(Lists!$EO$4:$EO$42,MATCH(ROW()-56,$CM$57:$CM$95,0)))</f>
        <v/>
      </c>
      <c r="CO87">
        <f>CO86+IF(AND(Lists!$ET$34&lt;&gt;"",ISNUMBER(SEARCH($AC$4,Lists!$ET$34))),1,0)</f>
        <v/>
      </c>
      <c r="CP87">
        <f>IF(ROW()-56&gt;MAX($CO$57:$CO$95),"",INDEX(Lists!$ET$4:$ET$42,MATCH(ROW()-56,$CO$57:$CO$95,0)))</f>
        <v/>
      </c>
      <c r="CQ87">
        <f>CQ86+IF(AND(Lists!$EY$34&lt;&gt;"",ISNUMBER(SEARCH($AD$4,Lists!$EY$34))),1,0)</f>
        <v/>
      </c>
      <c r="CR87">
        <f>IF(ROW()-56&gt;MAX($CQ$57:$CQ$95),"",INDEX(Lists!$EY$4:$EY$42,MATCH(ROW()-56,$CQ$57:$CQ$95,0)))</f>
        <v/>
      </c>
      <c r="CS87">
        <f>CS86+IF(AND(Lists!$FD$34&lt;&gt;"",ISNUMBER(SEARCH($AE$4,Lists!$FD$34))),1,0)</f>
        <v/>
      </c>
      <c r="CT87">
        <f>IF(ROW()-56&gt;MAX($CS$57:$CS$95),"",INDEX(Lists!$FD$4:$FD$42,MATCH(ROW()-56,$CS$57:$CS$95,0)))</f>
        <v/>
      </c>
      <c r="CU87">
        <f>CU86+IF(AND(Lists!$FI$34&lt;&gt;"",ISNUMBER(SEARCH($AG$4,Lists!$FI$34))),1,0)</f>
        <v/>
      </c>
      <c r="CV87">
        <f>IF(ROW()-56&gt;MAX($CU$57:$CU$95),"",INDEX(Lists!$FI$4:$FI$42,MATCH(ROW()-56,$CU$57:$CU$95,0)))</f>
        <v/>
      </c>
      <c r="CW87">
        <f>CW86+IF(AND(Lists!$FN$34&lt;&gt;"",ISNUMBER(SEARCH($AH$4,Lists!$FN$34))),1,0)</f>
        <v/>
      </c>
      <c r="CX87">
        <f>IF(ROW()-56&gt;MAX($CW$57:$CW$95),"",INDEX(Lists!$FN$4:$FN$42,MATCH(ROW()-56,$CW$57:$CW$95,0)))</f>
        <v/>
      </c>
      <c r="CY87">
        <f>CY86+IF(AND(Lists!$FS$34&lt;&gt;"",ISNUMBER(SEARCH($AI$4,Lists!$FS$34))),1,0)</f>
        <v/>
      </c>
      <c r="CZ87">
        <f>IF(ROW()-56&gt;MAX($CY$57:$CY$95),"",INDEX(Lists!$FS$4:$FS$42,MATCH(ROW()-56,$CY$57:$CY$95,0)))</f>
        <v/>
      </c>
      <c r="DA87">
        <f>DA86+IF(AND(Lists!$FX$34&lt;&gt;"",ISNUMBER(SEARCH($AF$4,Lists!$FX$34))),1,0)</f>
        <v/>
      </c>
      <c r="DB87">
        <f>IF(ROW()-56&gt;MAX($DA$57:$DA$95),"",INDEX(Lists!$FX$4:$FX$42,MATCH(ROW()-56,$DA$57:$DA$95,0)))</f>
        <v/>
      </c>
      <c r="DG87">
        <f>IF($B$4="",1,IF($B$4="(blank)",--('Final Calculation Sheet'!$F$32=""),IF($B$4="(nonblank)",--('Final Calculation Sheet'!$F$32&lt;&gt;""),--ISNUMBER(SEARCH($B$4,'Final Calculation Sheet'!$F$32)))))</f>
        <v/>
      </c>
      <c r="DH87">
        <f>IF($C$4="",1,IF($C$4="(blank)",--('Final Calculation Sheet'!$G$32=""),IF($C$4="(nonblank)",--('Final Calculation Sheet'!$G$32&lt;&gt;""),--ISNUMBER(SEARCH($C$4,'Final Calculation Sheet'!$G$32)))))</f>
        <v/>
      </c>
      <c r="DI87">
        <f>IF($D$4="",1,IF($D$4="(blank)",--('Final Calculation Sheet'!$B$32=""),IF($D$4="(nonblank)",--('Final Calculation Sheet'!$B$32&lt;&gt;""),--ISNUMBER(SEARCH($D$4,'Final Calculation Sheet'!$B$32)))))</f>
        <v/>
      </c>
      <c r="DJ87">
        <f>IF($E$4="",1,IF($E$4="(blank)",--('Final Calculation Sheet'!$D$32=""),IF($E$4="(nonblank)",--('Final Calculation Sheet'!$D$32&lt;&gt;""),--ISNUMBER(SEARCH($E$4,'Final Calculation Sheet'!$D$32)))))</f>
        <v/>
      </c>
      <c r="DK87">
        <f>IF($F$4="",1,IF($F$4="(blank)",--('Final Calculation Sheet'!$A$32=""),IF($F$4="(nonblank)",--('Final Calculation Sheet'!$A$32&lt;&gt;""),--ISNUMBER(SEARCH($F$4,'Final Calculation Sheet'!$A$32)))))</f>
        <v/>
      </c>
      <c r="DL87">
        <f>IF($G$4="",1,IF($G$4="(blank)",--('Final Calculation Sheet'!$E$32=""),IF($G$4="(nonblank)",--('Final Calculation Sheet'!$E$32&lt;&gt;""),--ISNUMBER(SEARCH($G$4,'Final Calculation Sheet'!$E$32)))))</f>
        <v/>
      </c>
      <c r="DM87">
        <f>IF($H$4="",1,IF($H$4="(blank)",--('Final Calculation Sheet'!$C$32=""),IF($H$4="(nonblank)",--('Final Calculation Sheet'!$C$32&lt;&gt;""),--ISNUMBER(SEARCH($H$4,'Final Calculation Sheet'!$C$32)))))</f>
        <v/>
      </c>
      <c r="DN87">
        <f>IF($I$4="",1,IF($I$4="(blank)",--('Final Calculation Sheet'!$H$32=""),IF($I$4="(nonblank)",--('Final Calculation Sheet'!$H$32&lt;&gt;""),--ISNUMBER(SEARCH($I$4,'Final Calculation Sheet'!$H$32)))))</f>
        <v/>
      </c>
      <c r="DO87">
        <f>IF($J$4="",1,IF($J$4="(blank)",--('Final Calculation Sheet'!$I$32=""),IF($J$4="(nonblank)",--('Final Calculation Sheet'!$I$32&lt;&gt;""),--ISNUMBER(SEARCH($J$4,'Final Calculation Sheet'!$I$32)))))</f>
        <v/>
      </c>
      <c r="DP87">
        <f>IF($K$4="",1,IF($K$4="(blank)",--('Final Calculation Sheet'!$J$32=""),IF($K$4="(nonblank)",--('Final Calculation Sheet'!$J$32&lt;&gt;""),--ISNUMBER(SEARCH($K$4,'Final Calculation Sheet'!$J$32)))))</f>
        <v/>
      </c>
      <c r="DQ87">
        <f>IF($L$4="",1,IF($L$4="(blank)",--('Final Calculation Sheet'!$K$32=""),IF($L$4="(nonblank)",--('Final Calculation Sheet'!$K$32&lt;&gt;""),--ISNUMBER(SEARCH($L$4,'Final Calculation Sheet'!$K$32)))))</f>
        <v/>
      </c>
      <c r="DR87">
        <f>IF($M$4="",1,IF($M$4="(blank)",--('Final Calculation Sheet'!$L$32=""),IF($M$4="(nonblank)",--('Final Calculation Sheet'!$L$32&lt;&gt;""),--ISNUMBER(SEARCH($M$4,'Final Calculation Sheet'!$L$32)))))</f>
        <v/>
      </c>
      <c r="DS87">
        <f>IF($N$4="",1,IF($N$4="(blank)",--('Final Calculation Sheet'!$M$32=""),IF($N$4="(nonblank)",--('Final Calculation Sheet'!$M$32&lt;&gt;""),--ISNUMBER(SEARCH($N$4,'Final Calculation Sheet'!$M$32)))))</f>
        <v/>
      </c>
      <c r="DT87">
        <f>IF($O$4="",1,IF($O$4="(blank)",--('Final Calculation Sheet'!$N$32=""),IF($O$4="(nonblank)",--('Final Calculation Sheet'!$N$32&lt;&gt;""),--ISNUMBER(SEARCH($O$4,'Final Calculation Sheet'!$N$32)))))</f>
        <v/>
      </c>
      <c r="DU87">
        <f>IF($P$4="",1,IF($P$4="(blank)",--('Final Calculation Sheet'!$O$32=""),IF($P$4="(nonblank)",--('Final Calculation Sheet'!$O$32&lt;&gt;""),--ISNUMBER(SEARCH($P$4,'Final Calculation Sheet'!$O$32)))))</f>
        <v/>
      </c>
      <c r="DV87">
        <f>IF($Q$4="",1,IF($Q$4="(blank)",--('Final Calculation Sheet'!$P$32=""),IF($Q$4="(nonblank)",--('Final Calculation Sheet'!$P$32&lt;&gt;""),--ISNUMBER(SEARCH($Q$4,'Final Calculation Sheet'!$P$32)))))</f>
        <v/>
      </c>
      <c r="DW87">
        <f>IF($R$4="",1,IF($R$4="(blank)",--('Final Calculation Sheet'!$Q$32=""),IF($R$4="(nonblank)",--('Final Calculation Sheet'!$Q$32&lt;&gt;""),--ISNUMBER(SEARCH($R$4,'Final Calculation Sheet'!$Q$32)))))</f>
        <v/>
      </c>
      <c r="DX87">
        <f>IF($S$4="",1,IF($S$4="(blank)",--('Final Calculation Sheet'!$R$32=""),IF($S$4="(nonblank)",--('Final Calculation Sheet'!$R$32&lt;&gt;""),--ISNUMBER(SEARCH($S$4,'Final Calculation Sheet'!$R$32)))))</f>
        <v/>
      </c>
      <c r="DY87">
        <f>IF($T$4="",1,IF($T$4="(blank)",--('Final Calculation Sheet'!$S$32=""),IF($T$4="(nonblank)",--('Final Calculation Sheet'!$S$32&lt;&gt;""),--ISNUMBER(SEARCH($T$4,'Final Calculation Sheet'!$S$32)))))</f>
        <v/>
      </c>
      <c r="DZ87">
        <f>IF($U$4="",1,IF($U$4="(blank)",--('Final Calculation Sheet'!$T$32=""),IF($U$4="(nonblank)",--('Final Calculation Sheet'!$T$32&lt;&gt;""),--ISNUMBER(SEARCH($U$4,'Final Calculation Sheet'!$T$32)))))</f>
        <v/>
      </c>
      <c r="EA87">
        <f>IF($V$4="",1,IF($V$4="(blank)",--('Final Calculation Sheet'!$U$32=""),IF($V$4="(nonblank)",--('Final Calculation Sheet'!$U$32&lt;&gt;""),--ISNUMBER(SEARCH($V$4,'Final Calculation Sheet'!$U$32)))))</f>
        <v/>
      </c>
      <c r="EB87">
        <f>IF($W$4="",1,IF($W$4="(blank)",--('Final Calculation Sheet'!$V$32=""),IF($W$4="(nonblank)",--('Final Calculation Sheet'!$V$32&lt;&gt;""),--ISNUMBER(SEARCH($W$4,'Final Calculation Sheet'!$V$32)))))</f>
        <v/>
      </c>
      <c r="EC87">
        <f>IF($X$4="",1,IF($X$4="(blank)",--('Final Calculation Sheet'!$W$32=""),IF($X$4="(nonblank)",--('Final Calculation Sheet'!$W$32&lt;&gt;""),--ISNUMBER(SEARCH($X$4,'Final Calculation Sheet'!$W$32)))))</f>
        <v/>
      </c>
      <c r="ED87">
        <f>IF($Y$4="",1,IF($Y$4="(blank)",--('Final Calculation Sheet'!$X$32=""),IF($Y$4="(nonblank)",--('Final Calculation Sheet'!$X$32&lt;&gt;""),--ISNUMBER(SEARCH($Y$4,'Final Calculation Sheet'!$X$32)))))</f>
        <v/>
      </c>
      <c r="EE87">
        <f>IF($Z$4="",1,IF($Z$4="(blank)",--('Final Calculation Sheet'!$Y$32=""),IF($Z$4="(nonblank)",--('Final Calculation Sheet'!$Y$32&lt;&gt;""),--ISNUMBER(SEARCH($Z$4,'Final Calculation Sheet'!$Y$32)))))</f>
        <v/>
      </c>
      <c r="EF87">
        <f>IF($AA$4="",1,IF($AA$4="(blank)",--('Final Calculation Sheet'!$Z$32=""),IF($AA$4="(nonblank)",--('Final Calculation Sheet'!$Z$32&lt;&gt;""),--ISNUMBER(SEARCH($AA$4,'Final Calculation Sheet'!$Z$32)))))</f>
        <v/>
      </c>
      <c r="EG87">
        <f>IF($AB$4="",1,IF($AB$4="(blank)",--('Final Calculation Sheet'!$AA$32=""),IF($AB$4="(nonblank)",--('Final Calculation Sheet'!$AA$32&lt;&gt;""),--ISNUMBER(SEARCH($AB$4,'Final Calculation Sheet'!$AA$32)))))</f>
        <v/>
      </c>
      <c r="EH87">
        <f>IF($AC$4="",1,IF($AC$4="(blank)",--('Final Calculation Sheet'!$AB$32=""),IF($AC$4="(nonblank)",--('Final Calculation Sheet'!$AB$32&lt;&gt;""),--ISNUMBER(SEARCH($AC$4,'Final Calculation Sheet'!$AB$32)))))</f>
        <v/>
      </c>
      <c r="EI87">
        <f>IF($AD$4="",1,IF($AD$4="(blank)",--('Final Calculation Sheet'!$AC$32=""),IF($AD$4="(nonblank)",--('Final Calculation Sheet'!$AC$32&lt;&gt;""),--ISNUMBER(SEARCH($AD$4,'Final Calculation Sheet'!$AC$32)))))</f>
        <v/>
      </c>
      <c r="EJ87">
        <f>IF($AE$4="",1,IF($AE$4="(blank)",--('Final Calculation Sheet'!$AD$32=""),IF($AE$4="(nonblank)",--('Final Calculation Sheet'!$AD$32&lt;&gt;""),--ISNUMBER(SEARCH($AE$4,'Final Calculation Sheet'!$AD$32)))))</f>
        <v/>
      </c>
      <c r="EK87">
        <f>IF($AF$4="",1,IF($AF$4="(blank)",--(IF('Final Calculation Sheet'!$AD$32&lt;=5,"SETTLED","OUTSTANDING")=""),IF($AF$4="(nonblank)",--(IF('Final Calculation Sheet'!$AD$32&lt;=5,"SETTLED","OUTSTANDING")&lt;&gt;""),--ISNUMBER(SEARCH($AF$4,IF('Final Calculation Sheet'!$AD$32&lt;=5,"SETTLED","OUTSTANDING"))))))</f>
        <v/>
      </c>
      <c r="EL87">
        <f>IF($AG$4="",1,IF($AG$4="(blank)",--('Final Calculation Sheet'!$AF$32=""),IF($AG$4="(nonblank)",--('Final Calculation Sheet'!$AF$32&lt;&gt;""),--ISNUMBER(SEARCH($AG$4,'Final Calculation Sheet'!$AF$32)))))</f>
        <v/>
      </c>
      <c r="EM87">
        <f>IF($AH$4="",1,IF($AH$4="(blank)",--('Final Calculation Sheet'!$AG$32=""),IF($AH$4="(nonblank)",--('Final Calculation Sheet'!$AG$32&lt;&gt;""),--ISNUMBER(SEARCH($AH$4,'Final Calculation Sheet'!$AG$32)))))</f>
        <v/>
      </c>
      <c r="EN87">
        <f>IF($AI$4="",1,IF($AI$4="(blank)",--('Final Calculation Sheet'!$AH$32=""),IF($AI$4="(nonblank)",--('Final Calculation Sheet'!$AH$32&lt;&gt;""),--ISNUMBER(SEARCH($AI$4,'Final Calculation Sheet'!$AH$32)))))</f>
        <v/>
      </c>
    </row>
    <row r="88">
      <c r="AM88">
        <f>AM87+IF(AND(Lists!$O$35&lt;&gt;"",ISNUMBER(SEARCH($B$4,Lists!$O$35))),1,0)</f>
        <v/>
      </c>
      <c r="AN88">
        <f>IF(ROW()-56&gt;MAX($AM$57:$AM$95),"",INDEX(Lists!$O$4:$O$42,MATCH(ROW()-56,$AM$57:$AM$95,0)))</f>
        <v/>
      </c>
      <c r="AO88">
        <f>AO87+IF(AND(Lists!$T$35&lt;&gt;"",ISNUMBER(SEARCH($C$4,Lists!$T$35))),1,0)</f>
        <v/>
      </c>
      <c r="AP88">
        <f>IF(ROW()-56&gt;MAX($AO$57:$AO$95),"",INDEX(Lists!$T$4:$T$42,MATCH(ROW()-56,$AO$57:$AO$95,0)))</f>
        <v/>
      </c>
      <c r="AQ88">
        <f>AQ87+IF(AND(Lists!$Y$35&lt;&gt;"",ISNUMBER(SEARCH($D$4,Lists!$Y$35))),1,0)</f>
        <v/>
      </c>
      <c r="AR88">
        <f>IF(ROW()-56&gt;MAX($AQ$57:$AQ$95),"",INDEX(Lists!$Y$4:$Y$42,MATCH(ROW()-56,$AQ$57:$AQ$95,0)))</f>
        <v/>
      </c>
      <c r="AS88">
        <f>AS87+IF(AND(Lists!$AD$35&lt;&gt;"",ISNUMBER(SEARCH($E$4,Lists!$AD$35))),1,0)</f>
        <v/>
      </c>
      <c r="AT88">
        <f>IF(ROW()-56&gt;MAX($AS$57:$AS$95),"",INDEX(Lists!$AD$4:$AD$42,MATCH(ROW()-56,$AS$57:$AS$95,0)))</f>
        <v/>
      </c>
      <c r="AU88">
        <f>AU87+IF(AND(Lists!$AI$35&lt;&gt;"",ISNUMBER(SEARCH($F$4,Lists!$AI$35))),1,0)</f>
        <v/>
      </c>
      <c r="AV88">
        <f>IF(ROW()-56&gt;MAX($AU$57:$AU$95),"",INDEX(Lists!$AI$4:$AI$42,MATCH(ROW()-56,$AU$57:$AU$95,0)))</f>
        <v/>
      </c>
      <c r="AW88">
        <f>AW87+IF(AND(Lists!$AN$35&lt;&gt;"",ISNUMBER(SEARCH($G$4,Lists!$AN$35))),1,0)</f>
        <v/>
      </c>
      <c r="AX88">
        <f>IF(ROW()-56&gt;MAX($AW$57:$AW$95),"",INDEX(Lists!$AN$4:$AN$42,MATCH(ROW()-56,$AW$57:$AW$95,0)))</f>
        <v/>
      </c>
      <c r="AY88">
        <f>AY87+IF(AND(Lists!$AS$35&lt;&gt;"",ISNUMBER(SEARCH($H$4,Lists!$AS$35))),1,0)</f>
        <v/>
      </c>
      <c r="AZ88">
        <f>IF(ROW()-56&gt;MAX($AY$57:$AY$95),"",INDEX(Lists!$AS$4:$AS$42,MATCH(ROW()-56,$AY$57:$AY$95,0)))</f>
        <v/>
      </c>
      <c r="BA88">
        <f>BA87+IF(AND(Lists!$AX$35&lt;&gt;"",ISNUMBER(SEARCH($I$4,Lists!$AX$35))),1,0)</f>
        <v/>
      </c>
      <c r="BB88">
        <f>IF(ROW()-56&gt;MAX($BA$57:$BA$95),"",INDEX(Lists!$AX$4:$AX$42,MATCH(ROW()-56,$BA$57:$BA$95,0)))</f>
        <v/>
      </c>
      <c r="BC88">
        <f>BC87+IF(AND(Lists!$BC$35&lt;&gt;"",ISNUMBER(SEARCH($J$4,Lists!$BC$35))),1,0)</f>
        <v/>
      </c>
      <c r="BD88">
        <f>IF(ROW()-56&gt;MAX($BC$57:$BC$95),"",INDEX(Lists!$BC$4:$BC$42,MATCH(ROW()-56,$BC$57:$BC$95,0)))</f>
        <v/>
      </c>
      <c r="BE88">
        <f>BE87+IF(AND(Lists!$BH$35&lt;&gt;"",ISNUMBER(SEARCH($K$4,Lists!$BH$35))),1,0)</f>
        <v/>
      </c>
      <c r="BF88">
        <f>IF(ROW()-56&gt;MAX($BE$57:$BE$95),"",INDEX(Lists!$BH$4:$BH$42,MATCH(ROW()-56,$BE$57:$BE$95,0)))</f>
        <v/>
      </c>
      <c r="BG88">
        <f>BG87+IF(AND(Lists!$BM$35&lt;&gt;"",ISNUMBER(SEARCH($L$4,Lists!$BM$35))),1,0)</f>
        <v/>
      </c>
      <c r="BH88">
        <f>IF(ROW()-56&gt;MAX($BG$57:$BG$95),"",INDEX(Lists!$BM$4:$BM$42,MATCH(ROW()-56,$BG$57:$BG$95,0)))</f>
        <v/>
      </c>
      <c r="BI88">
        <f>BI87+IF(AND(Lists!$BR$35&lt;&gt;"",ISNUMBER(SEARCH($M$4,Lists!$BR$35))),1,0)</f>
        <v/>
      </c>
      <c r="BJ88">
        <f>IF(ROW()-56&gt;MAX($BI$57:$BI$95),"",INDEX(Lists!$BR$4:$BR$42,MATCH(ROW()-56,$BI$57:$BI$95,0)))</f>
        <v/>
      </c>
      <c r="BK88">
        <f>BK87+IF(AND(Lists!$BW$35&lt;&gt;"",ISNUMBER(SEARCH($N$4,Lists!$BW$35))),1,0)</f>
        <v/>
      </c>
      <c r="BL88">
        <f>IF(ROW()-56&gt;MAX($BK$57:$BK$95),"",INDEX(Lists!$BW$4:$BW$42,MATCH(ROW()-56,$BK$57:$BK$95,0)))</f>
        <v/>
      </c>
      <c r="BM88">
        <f>BM87+IF(AND(Lists!$CB$35&lt;&gt;"",ISNUMBER(SEARCH($O$4,Lists!$CB$35))),1,0)</f>
        <v/>
      </c>
      <c r="BN88">
        <f>IF(ROW()-56&gt;MAX($BM$57:$BM$95),"",INDEX(Lists!$CB$4:$CB$42,MATCH(ROW()-56,$BM$57:$BM$95,0)))</f>
        <v/>
      </c>
      <c r="BO88">
        <f>BO87+IF(AND(Lists!$CG$35&lt;&gt;"",ISNUMBER(SEARCH($P$4,Lists!$CG$35))),1,0)</f>
        <v/>
      </c>
      <c r="BP88">
        <f>IF(ROW()-56&gt;MAX($BO$57:$BO$95),"",INDEX(Lists!$CG$4:$CG$42,MATCH(ROW()-56,$BO$57:$BO$95,0)))</f>
        <v/>
      </c>
      <c r="BQ88">
        <f>BQ87+IF(AND(Lists!$CL$35&lt;&gt;"",ISNUMBER(SEARCH($Q$4,Lists!$CL$35))),1,0)</f>
        <v/>
      </c>
      <c r="BR88">
        <f>IF(ROW()-56&gt;MAX($BQ$57:$BQ$95),"",INDEX(Lists!$CL$4:$CL$42,MATCH(ROW()-56,$BQ$57:$BQ$95,0)))</f>
        <v/>
      </c>
      <c r="BS88">
        <f>BS87+IF(AND(Lists!$CQ$35&lt;&gt;"",ISNUMBER(SEARCH($R$4,Lists!$CQ$35))),1,0)</f>
        <v/>
      </c>
      <c r="BT88">
        <f>IF(ROW()-56&gt;MAX($BS$57:$BS$95),"",INDEX(Lists!$CQ$4:$CQ$42,MATCH(ROW()-56,$BS$57:$BS$95,0)))</f>
        <v/>
      </c>
      <c r="BU88">
        <f>BU87+IF(AND(Lists!$CV$35&lt;&gt;"",ISNUMBER(SEARCH($S$4,Lists!$CV$35))),1,0)</f>
        <v/>
      </c>
      <c r="BV88">
        <f>IF(ROW()-56&gt;MAX($BU$57:$BU$95),"",INDEX(Lists!$CV$4:$CV$42,MATCH(ROW()-56,$BU$57:$BU$95,0)))</f>
        <v/>
      </c>
      <c r="BW88">
        <f>BW87+IF(AND(Lists!$DA$35&lt;&gt;"",ISNUMBER(SEARCH($T$4,Lists!$DA$35))),1,0)</f>
        <v/>
      </c>
      <c r="BX88">
        <f>IF(ROW()-56&gt;MAX($BW$57:$BW$95),"",INDEX(Lists!$DA$4:$DA$42,MATCH(ROW()-56,$BW$57:$BW$95,0)))</f>
        <v/>
      </c>
      <c r="BY88">
        <f>BY87+IF(AND(Lists!$DF$35&lt;&gt;"",ISNUMBER(SEARCH($U$4,Lists!$DF$35))),1,0)</f>
        <v/>
      </c>
      <c r="BZ88">
        <f>IF(ROW()-56&gt;MAX($BY$57:$BY$95),"",INDEX(Lists!$DF$4:$DF$42,MATCH(ROW()-56,$BY$57:$BY$95,0)))</f>
        <v/>
      </c>
      <c r="CA88">
        <f>CA87+IF(AND(Lists!$DK$35&lt;&gt;"",ISNUMBER(SEARCH($V$4,Lists!$DK$35))),1,0)</f>
        <v/>
      </c>
      <c r="CB88">
        <f>IF(ROW()-56&gt;MAX($CA$57:$CA$95),"",INDEX(Lists!$DK$4:$DK$42,MATCH(ROW()-56,$CA$57:$CA$95,0)))</f>
        <v/>
      </c>
      <c r="CC88">
        <f>CC87+IF(AND(Lists!$DP$35&lt;&gt;"",ISNUMBER(SEARCH($W$4,Lists!$DP$35))),1,0)</f>
        <v/>
      </c>
      <c r="CD88">
        <f>IF(ROW()-56&gt;MAX($CC$57:$CC$95),"",INDEX(Lists!$DP$4:$DP$42,MATCH(ROW()-56,$CC$57:$CC$95,0)))</f>
        <v/>
      </c>
      <c r="CE88">
        <f>CE87+IF(AND(Lists!$DU$35&lt;&gt;"",ISNUMBER(SEARCH($X$4,Lists!$DU$35))),1,0)</f>
        <v/>
      </c>
      <c r="CF88">
        <f>IF(ROW()-56&gt;MAX($CE$57:$CE$95),"",INDEX(Lists!$DU$4:$DU$42,MATCH(ROW()-56,$CE$57:$CE$95,0)))</f>
        <v/>
      </c>
      <c r="CG88">
        <f>CG87+IF(AND(Lists!$DZ$35&lt;&gt;"",ISNUMBER(SEARCH($Y$4,Lists!$DZ$35))),1,0)</f>
        <v/>
      </c>
      <c r="CH88">
        <f>IF(ROW()-56&gt;MAX($CG$57:$CG$95),"",INDEX(Lists!$DZ$4:$DZ$42,MATCH(ROW()-56,$CG$57:$CG$95,0)))</f>
        <v/>
      </c>
      <c r="CI88">
        <f>CI87+IF(AND(Lists!$EE$35&lt;&gt;"",ISNUMBER(SEARCH($Z$4,Lists!$EE$35))),1,0)</f>
        <v/>
      </c>
      <c r="CJ88">
        <f>IF(ROW()-56&gt;MAX($CI$57:$CI$95),"",INDEX(Lists!$EE$4:$EE$42,MATCH(ROW()-56,$CI$57:$CI$95,0)))</f>
        <v/>
      </c>
      <c r="CK88">
        <f>CK87+IF(AND(Lists!$EJ$35&lt;&gt;"",ISNUMBER(SEARCH($AA$4,Lists!$EJ$35))),1,0)</f>
        <v/>
      </c>
      <c r="CL88">
        <f>IF(ROW()-56&gt;MAX($CK$57:$CK$95),"",INDEX(Lists!$EJ$4:$EJ$42,MATCH(ROW()-56,$CK$57:$CK$95,0)))</f>
        <v/>
      </c>
      <c r="CM88">
        <f>CM87+IF(AND(Lists!$EO$35&lt;&gt;"",ISNUMBER(SEARCH($AB$4,Lists!$EO$35))),1,0)</f>
        <v/>
      </c>
      <c r="CN88">
        <f>IF(ROW()-56&gt;MAX($CM$57:$CM$95),"",INDEX(Lists!$EO$4:$EO$42,MATCH(ROW()-56,$CM$57:$CM$95,0)))</f>
        <v/>
      </c>
      <c r="CO88">
        <f>CO87+IF(AND(Lists!$ET$35&lt;&gt;"",ISNUMBER(SEARCH($AC$4,Lists!$ET$35))),1,0)</f>
        <v/>
      </c>
      <c r="CP88">
        <f>IF(ROW()-56&gt;MAX($CO$57:$CO$95),"",INDEX(Lists!$ET$4:$ET$42,MATCH(ROW()-56,$CO$57:$CO$95,0)))</f>
        <v/>
      </c>
      <c r="CQ88">
        <f>CQ87+IF(AND(Lists!$EY$35&lt;&gt;"",ISNUMBER(SEARCH($AD$4,Lists!$EY$35))),1,0)</f>
        <v/>
      </c>
      <c r="CR88">
        <f>IF(ROW()-56&gt;MAX($CQ$57:$CQ$95),"",INDEX(Lists!$EY$4:$EY$42,MATCH(ROW()-56,$CQ$57:$CQ$95,0)))</f>
        <v/>
      </c>
      <c r="CS88">
        <f>CS87+IF(AND(Lists!$FD$35&lt;&gt;"",ISNUMBER(SEARCH($AE$4,Lists!$FD$35))),1,0)</f>
        <v/>
      </c>
      <c r="CT88">
        <f>IF(ROW()-56&gt;MAX($CS$57:$CS$95),"",INDEX(Lists!$FD$4:$FD$42,MATCH(ROW()-56,$CS$57:$CS$95,0)))</f>
        <v/>
      </c>
      <c r="CU88">
        <f>CU87+IF(AND(Lists!$FI$35&lt;&gt;"",ISNUMBER(SEARCH($AG$4,Lists!$FI$35))),1,0)</f>
        <v/>
      </c>
      <c r="CV88">
        <f>IF(ROW()-56&gt;MAX($CU$57:$CU$95),"",INDEX(Lists!$FI$4:$FI$42,MATCH(ROW()-56,$CU$57:$CU$95,0)))</f>
        <v/>
      </c>
      <c r="CW88">
        <f>CW87+IF(AND(Lists!$FN$35&lt;&gt;"",ISNUMBER(SEARCH($AH$4,Lists!$FN$35))),1,0)</f>
        <v/>
      </c>
      <c r="CX88">
        <f>IF(ROW()-56&gt;MAX($CW$57:$CW$95),"",INDEX(Lists!$FN$4:$FN$42,MATCH(ROW()-56,$CW$57:$CW$95,0)))</f>
        <v/>
      </c>
      <c r="CY88">
        <f>CY87+IF(AND(Lists!$FS$35&lt;&gt;"",ISNUMBER(SEARCH($AI$4,Lists!$FS$35))),1,0)</f>
        <v/>
      </c>
      <c r="CZ88">
        <f>IF(ROW()-56&gt;MAX($CY$57:$CY$95),"",INDEX(Lists!$FS$4:$FS$42,MATCH(ROW()-56,$CY$57:$CY$95,0)))</f>
        <v/>
      </c>
      <c r="DA88">
        <f>DA87+IF(AND(Lists!$FX$35&lt;&gt;"",ISNUMBER(SEARCH($AF$4,Lists!$FX$35))),1,0)</f>
        <v/>
      </c>
      <c r="DB88">
        <f>IF(ROW()-56&gt;MAX($DA$57:$DA$95),"",INDEX(Lists!$FX$4:$FX$42,MATCH(ROW()-56,$DA$57:$DA$95,0)))</f>
        <v/>
      </c>
      <c r="DG88">
        <f>IF($B$4="",1,IF($B$4="(blank)",--('Final Calculation Sheet'!$F$33=""),IF($B$4="(nonblank)",--('Final Calculation Sheet'!$F$33&lt;&gt;""),--ISNUMBER(SEARCH($B$4,'Final Calculation Sheet'!$F$33)))))</f>
        <v/>
      </c>
      <c r="DH88">
        <f>IF($C$4="",1,IF($C$4="(blank)",--('Final Calculation Sheet'!$G$33=""),IF($C$4="(nonblank)",--('Final Calculation Sheet'!$G$33&lt;&gt;""),--ISNUMBER(SEARCH($C$4,'Final Calculation Sheet'!$G$33)))))</f>
        <v/>
      </c>
      <c r="DI88">
        <f>IF($D$4="",1,IF($D$4="(blank)",--('Final Calculation Sheet'!$B$33=""),IF($D$4="(nonblank)",--('Final Calculation Sheet'!$B$33&lt;&gt;""),--ISNUMBER(SEARCH($D$4,'Final Calculation Sheet'!$B$33)))))</f>
        <v/>
      </c>
      <c r="DJ88">
        <f>IF($E$4="",1,IF($E$4="(blank)",--('Final Calculation Sheet'!$D$33=""),IF($E$4="(nonblank)",--('Final Calculation Sheet'!$D$33&lt;&gt;""),--ISNUMBER(SEARCH($E$4,'Final Calculation Sheet'!$D$33)))))</f>
        <v/>
      </c>
      <c r="DK88">
        <f>IF($F$4="",1,IF($F$4="(blank)",--('Final Calculation Sheet'!$A$33=""),IF($F$4="(nonblank)",--('Final Calculation Sheet'!$A$33&lt;&gt;""),--ISNUMBER(SEARCH($F$4,'Final Calculation Sheet'!$A$33)))))</f>
        <v/>
      </c>
      <c r="DL88">
        <f>IF($G$4="",1,IF($G$4="(blank)",--('Final Calculation Sheet'!$E$33=""),IF($G$4="(nonblank)",--('Final Calculation Sheet'!$E$33&lt;&gt;""),--ISNUMBER(SEARCH($G$4,'Final Calculation Sheet'!$E$33)))))</f>
        <v/>
      </c>
      <c r="DM88">
        <f>IF($H$4="",1,IF($H$4="(blank)",--('Final Calculation Sheet'!$C$33=""),IF($H$4="(nonblank)",--('Final Calculation Sheet'!$C$33&lt;&gt;""),--ISNUMBER(SEARCH($H$4,'Final Calculation Sheet'!$C$33)))))</f>
        <v/>
      </c>
      <c r="DN88">
        <f>IF($I$4="",1,IF($I$4="(blank)",--('Final Calculation Sheet'!$H$33=""),IF($I$4="(nonblank)",--('Final Calculation Sheet'!$H$33&lt;&gt;""),--ISNUMBER(SEARCH($I$4,'Final Calculation Sheet'!$H$33)))))</f>
        <v/>
      </c>
      <c r="DO88">
        <f>IF($J$4="",1,IF($J$4="(blank)",--('Final Calculation Sheet'!$I$33=""),IF($J$4="(nonblank)",--('Final Calculation Sheet'!$I$33&lt;&gt;""),--ISNUMBER(SEARCH($J$4,'Final Calculation Sheet'!$I$33)))))</f>
        <v/>
      </c>
      <c r="DP88">
        <f>IF($K$4="",1,IF($K$4="(blank)",--('Final Calculation Sheet'!$J$33=""),IF($K$4="(nonblank)",--('Final Calculation Sheet'!$J$33&lt;&gt;""),--ISNUMBER(SEARCH($K$4,'Final Calculation Sheet'!$J$33)))))</f>
        <v/>
      </c>
      <c r="DQ88">
        <f>IF($L$4="",1,IF($L$4="(blank)",--('Final Calculation Sheet'!$K$33=""),IF($L$4="(nonblank)",--('Final Calculation Sheet'!$K$33&lt;&gt;""),--ISNUMBER(SEARCH($L$4,'Final Calculation Sheet'!$K$33)))))</f>
        <v/>
      </c>
      <c r="DR88">
        <f>IF($M$4="",1,IF($M$4="(blank)",--('Final Calculation Sheet'!$L$33=""),IF($M$4="(nonblank)",--('Final Calculation Sheet'!$L$33&lt;&gt;""),--ISNUMBER(SEARCH($M$4,'Final Calculation Sheet'!$L$33)))))</f>
        <v/>
      </c>
      <c r="DS88">
        <f>IF($N$4="",1,IF($N$4="(blank)",--('Final Calculation Sheet'!$M$33=""),IF($N$4="(nonblank)",--('Final Calculation Sheet'!$M$33&lt;&gt;""),--ISNUMBER(SEARCH($N$4,'Final Calculation Sheet'!$M$33)))))</f>
        <v/>
      </c>
      <c r="DT88">
        <f>IF($O$4="",1,IF($O$4="(blank)",--('Final Calculation Sheet'!$N$33=""),IF($O$4="(nonblank)",--('Final Calculation Sheet'!$N$33&lt;&gt;""),--ISNUMBER(SEARCH($O$4,'Final Calculation Sheet'!$N$33)))))</f>
        <v/>
      </c>
      <c r="DU88">
        <f>IF($P$4="",1,IF($P$4="(blank)",--('Final Calculation Sheet'!$O$33=""),IF($P$4="(nonblank)",--('Final Calculation Sheet'!$O$33&lt;&gt;""),--ISNUMBER(SEARCH($P$4,'Final Calculation Sheet'!$O$33)))))</f>
        <v/>
      </c>
      <c r="DV88">
        <f>IF($Q$4="",1,IF($Q$4="(blank)",--('Final Calculation Sheet'!$P$33=""),IF($Q$4="(nonblank)",--('Final Calculation Sheet'!$P$33&lt;&gt;""),--ISNUMBER(SEARCH($Q$4,'Final Calculation Sheet'!$P$33)))))</f>
        <v/>
      </c>
      <c r="DW88">
        <f>IF($R$4="",1,IF($R$4="(blank)",--('Final Calculation Sheet'!$Q$33=""),IF($R$4="(nonblank)",--('Final Calculation Sheet'!$Q$33&lt;&gt;""),--ISNUMBER(SEARCH($R$4,'Final Calculation Sheet'!$Q$33)))))</f>
        <v/>
      </c>
      <c r="DX88">
        <f>IF($S$4="",1,IF($S$4="(blank)",--('Final Calculation Sheet'!$R$33=""),IF($S$4="(nonblank)",--('Final Calculation Sheet'!$R$33&lt;&gt;""),--ISNUMBER(SEARCH($S$4,'Final Calculation Sheet'!$R$33)))))</f>
        <v/>
      </c>
      <c r="DY88">
        <f>IF($T$4="",1,IF($T$4="(blank)",--('Final Calculation Sheet'!$S$33=""),IF($T$4="(nonblank)",--('Final Calculation Sheet'!$S$33&lt;&gt;""),--ISNUMBER(SEARCH($T$4,'Final Calculation Sheet'!$S$33)))))</f>
        <v/>
      </c>
      <c r="DZ88">
        <f>IF($U$4="",1,IF($U$4="(blank)",--('Final Calculation Sheet'!$T$33=""),IF($U$4="(nonblank)",--('Final Calculation Sheet'!$T$33&lt;&gt;""),--ISNUMBER(SEARCH($U$4,'Final Calculation Sheet'!$T$33)))))</f>
        <v/>
      </c>
      <c r="EA88">
        <f>IF($V$4="",1,IF($V$4="(blank)",--('Final Calculation Sheet'!$U$33=""),IF($V$4="(nonblank)",--('Final Calculation Sheet'!$U$33&lt;&gt;""),--ISNUMBER(SEARCH($V$4,'Final Calculation Sheet'!$U$33)))))</f>
        <v/>
      </c>
      <c r="EB88">
        <f>IF($W$4="",1,IF($W$4="(blank)",--('Final Calculation Sheet'!$V$33=""),IF($W$4="(nonblank)",--('Final Calculation Sheet'!$V$33&lt;&gt;""),--ISNUMBER(SEARCH($W$4,'Final Calculation Sheet'!$V$33)))))</f>
        <v/>
      </c>
      <c r="EC88">
        <f>IF($X$4="",1,IF($X$4="(blank)",--('Final Calculation Sheet'!$W$33=""),IF($X$4="(nonblank)",--('Final Calculation Sheet'!$W$33&lt;&gt;""),--ISNUMBER(SEARCH($X$4,'Final Calculation Sheet'!$W$33)))))</f>
        <v/>
      </c>
      <c r="ED88">
        <f>IF($Y$4="",1,IF($Y$4="(blank)",--('Final Calculation Sheet'!$X$33=""),IF($Y$4="(nonblank)",--('Final Calculation Sheet'!$X$33&lt;&gt;""),--ISNUMBER(SEARCH($Y$4,'Final Calculation Sheet'!$X$33)))))</f>
        <v/>
      </c>
      <c r="EE88">
        <f>IF($Z$4="",1,IF($Z$4="(blank)",--('Final Calculation Sheet'!$Y$33=""),IF($Z$4="(nonblank)",--('Final Calculation Sheet'!$Y$33&lt;&gt;""),--ISNUMBER(SEARCH($Z$4,'Final Calculation Sheet'!$Y$33)))))</f>
        <v/>
      </c>
      <c r="EF88">
        <f>IF($AA$4="",1,IF($AA$4="(blank)",--('Final Calculation Sheet'!$Z$33=""),IF($AA$4="(nonblank)",--('Final Calculation Sheet'!$Z$33&lt;&gt;""),--ISNUMBER(SEARCH($AA$4,'Final Calculation Sheet'!$Z$33)))))</f>
        <v/>
      </c>
      <c r="EG88">
        <f>IF($AB$4="",1,IF($AB$4="(blank)",--('Final Calculation Sheet'!$AA$33=""),IF($AB$4="(nonblank)",--('Final Calculation Sheet'!$AA$33&lt;&gt;""),--ISNUMBER(SEARCH($AB$4,'Final Calculation Sheet'!$AA$33)))))</f>
        <v/>
      </c>
      <c r="EH88">
        <f>IF($AC$4="",1,IF($AC$4="(blank)",--('Final Calculation Sheet'!$AB$33=""),IF($AC$4="(nonblank)",--('Final Calculation Sheet'!$AB$33&lt;&gt;""),--ISNUMBER(SEARCH($AC$4,'Final Calculation Sheet'!$AB$33)))))</f>
        <v/>
      </c>
      <c r="EI88">
        <f>IF($AD$4="",1,IF($AD$4="(blank)",--('Final Calculation Sheet'!$AC$33=""),IF($AD$4="(nonblank)",--('Final Calculation Sheet'!$AC$33&lt;&gt;""),--ISNUMBER(SEARCH($AD$4,'Final Calculation Sheet'!$AC$33)))))</f>
        <v/>
      </c>
      <c r="EJ88">
        <f>IF($AE$4="",1,IF($AE$4="(blank)",--('Final Calculation Sheet'!$AD$33=""),IF($AE$4="(nonblank)",--('Final Calculation Sheet'!$AD$33&lt;&gt;""),--ISNUMBER(SEARCH($AE$4,'Final Calculation Sheet'!$AD$33)))))</f>
        <v/>
      </c>
      <c r="EK88">
        <f>IF($AF$4="",1,IF($AF$4="(blank)",--(IF('Final Calculation Sheet'!$AD$33&lt;=5,"SETTLED","OUTSTANDING")=""),IF($AF$4="(nonblank)",--(IF('Final Calculation Sheet'!$AD$33&lt;=5,"SETTLED","OUTSTANDING")&lt;&gt;""),--ISNUMBER(SEARCH($AF$4,IF('Final Calculation Sheet'!$AD$33&lt;=5,"SETTLED","OUTSTANDING"))))))</f>
        <v/>
      </c>
      <c r="EL88">
        <f>IF($AG$4="",1,IF($AG$4="(blank)",--('Final Calculation Sheet'!$AF$33=""),IF($AG$4="(nonblank)",--('Final Calculation Sheet'!$AF$33&lt;&gt;""),--ISNUMBER(SEARCH($AG$4,'Final Calculation Sheet'!$AF$33)))))</f>
        <v/>
      </c>
      <c r="EM88">
        <f>IF($AH$4="",1,IF($AH$4="(blank)",--('Final Calculation Sheet'!$AG$33=""),IF($AH$4="(nonblank)",--('Final Calculation Sheet'!$AG$33&lt;&gt;""),--ISNUMBER(SEARCH($AH$4,'Final Calculation Sheet'!$AG$33)))))</f>
        <v/>
      </c>
      <c r="EN88">
        <f>IF($AI$4="",1,IF($AI$4="(blank)",--('Final Calculation Sheet'!$AH$33=""),IF($AI$4="(nonblank)",--('Final Calculation Sheet'!$AH$33&lt;&gt;""),--ISNUMBER(SEARCH($AI$4,'Final Calculation Sheet'!$AH$33)))))</f>
        <v/>
      </c>
    </row>
    <row r="89">
      <c r="AM89">
        <f>AM88+IF(AND(Lists!$O$36&lt;&gt;"",ISNUMBER(SEARCH($B$4,Lists!$O$36))),1,0)</f>
        <v/>
      </c>
      <c r="AN89">
        <f>IF(ROW()-56&gt;MAX($AM$57:$AM$95),"",INDEX(Lists!$O$4:$O$42,MATCH(ROW()-56,$AM$57:$AM$95,0)))</f>
        <v/>
      </c>
      <c r="AO89">
        <f>AO88+IF(AND(Lists!$T$36&lt;&gt;"",ISNUMBER(SEARCH($C$4,Lists!$T$36))),1,0)</f>
        <v/>
      </c>
      <c r="AP89">
        <f>IF(ROW()-56&gt;MAX($AO$57:$AO$95),"",INDEX(Lists!$T$4:$T$42,MATCH(ROW()-56,$AO$57:$AO$95,0)))</f>
        <v/>
      </c>
      <c r="AQ89">
        <f>AQ88+IF(AND(Lists!$Y$36&lt;&gt;"",ISNUMBER(SEARCH($D$4,Lists!$Y$36))),1,0)</f>
        <v/>
      </c>
      <c r="AR89">
        <f>IF(ROW()-56&gt;MAX($AQ$57:$AQ$95),"",INDEX(Lists!$Y$4:$Y$42,MATCH(ROW()-56,$AQ$57:$AQ$95,0)))</f>
        <v/>
      </c>
      <c r="AS89">
        <f>AS88+IF(AND(Lists!$AD$36&lt;&gt;"",ISNUMBER(SEARCH($E$4,Lists!$AD$36))),1,0)</f>
        <v/>
      </c>
      <c r="AT89">
        <f>IF(ROW()-56&gt;MAX($AS$57:$AS$95),"",INDEX(Lists!$AD$4:$AD$42,MATCH(ROW()-56,$AS$57:$AS$95,0)))</f>
        <v/>
      </c>
      <c r="AU89">
        <f>AU88+IF(AND(Lists!$AI$36&lt;&gt;"",ISNUMBER(SEARCH($F$4,Lists!$AI$36))),1,0)</f>
        <v/>
      </c>
      <c r="AV89">
        <f>IF(ROW()-56&gt;MAX($AU$57:$AU$95),"",INDEX(Lists!$AI$4:$AI$42,MATCH(ROW()-56,$AU$57:$AU$95,0)))</f>
        <v/>
      </c>
      <c r="AW89">
        <f>AW88+IF(AND(Lists!$AN$36&lt;&gt;"",ISNUMBER(SEARCH($G$4,Lists!$AN$36))),1,0)</f>
        <v/>
      </c>
      <c r="AX89">
        <f>IF(ROW()-56&gt;MAX($AW$57:$AW$95),"",INDEX(Lists!$AN$4:$AN$42,MATCH(ROW()-56,$AW$57:$AW$95,0)))</f>
        <v/>
      </c>
      <c r="AY89">
        <f>AY88+IF(AND(Lists!$AS$36&lt;&gt;"",ISNUMBER(SEARCH($H$4,Lists!$AS$36))),1,0)</f>
        <v/>
      </c>
      <c r="AZ89">
        <f>IF(ROW()-56&gt;MAX($AY$57:$AY$95),"",INDEX(Lists!$AS$4:$AS$42,MATCH(ROW()-56,$AY$57:$AY$95,0)))</f>
        <v/>
      </c>
      <c r="BA89">
        <f>BA88+IF(AND(Lists!$AX$36&lt;&gt;"",ISNUMBER(SEARCH($I$4,Lists!$AX$36))),1,0)</f>
        <v/>
      </c>
      <c r="BB89">
        <f>IF(ROW()-56&gt;MAX($BA$57:$BA$95),"",INDEX(Lists!$AX$4:$AX$42,MATCH(ROW()-56,$BA$57:$BA$95,0)))</f>
        <v/>
      </c>
      <c r="BC89">
        <f>BC88+IF(AND(Lists!$BC$36&lt;&gt;"",ISNUMBER(SEARCH($J$4,Lists!$BC$36))),1,0)</f>
        <v/>
      </c>
      <c r="BD89">
        <f>IF(ROW()-56&gt;MAX($BC$57:$BC$95),"",INDEX(Lists!$BC$4:$BC$42,MATCH(ROW()-56,$BC$57:$BC$95,0)))</f>
        <v/>
      </c>
      <c r="BE89">
        <f>BE88+IF(AND(Lists!$BH$36&lt;&gt;"",ISNUMBER(SEARCH($K$4,Lists!$BH$36))),1,0)</f>
        <v/>
      </c>
      <c r="BF89">
        <f>IF(ROW()-56&gt;MAX($BE$57:$BE$95),"",INDEX(Lists!$BH$4:$BH$42,MATCH(ROW()-56,$BE$57:$BE$95,0)))</f>
        <v/>
      </c>
      <c r="BG89">
        <f>BG88+IF(AND(Lists!$BM$36&lt;&gt;"",ISNUMBER(SEARCH($L$4,Lists!$BM$36))),1,0)</f>
        <v/>
      </c>
      <c r="BH89">
        <f>IF(ROW()-56&gt;MAX($BG$57:$BG$95),"",INDEX(Lists!$BM$4:$BM$42,MATCH(ROW()-56,$BG$57:$BG$95,0)))</f>
        <v/>
      </c>
      <c r="BI89">
        <f>BI88+IF(AND(Lists!$BR$36&lt;&gt;"",ISNUMBER(SEARCH($M$4,Lists!$BR$36))),1,0)</f>
        <v/>
      </c>
      <c r="BJ89">
        <f>IF(ROW()-56&gt;MAX($BI$57:$BI$95),"",INDEX(Lists!$BR$4:$BR$42,MATCH(ROW()-56,$BI$57:$BI$95,0)))</f>
        <v/>
      </c>
      <c r="BK89">
        <f>BK88+IF(AND(Lists!$BW$36&lt;&gt;"",ISNUMBER(SEARCH($N$4,Lists!$BW$36))),1,0)</f>
        <v/>
      </c>
      <c r="BL89">
        <f>IF(ROW()-56&gt;MAX($BK$57:$BK$95),"",INDEX(Lists!$BW$4:$BW$42,MATCH(ROW()-56,$BK$57:$BK$95,0)))</f>
        <v/>
      </c>
      <c r="BM89">
        <f>BM88+IF(AND(Lists!$CB$36&lt;&gt;"",ISNUMBER(SEARCH($O$4,Lists!$CB$36))),1,0)</f>
        <v/>
      </c>
      <c r="BN89">
        <f>IF(ROW()-56&gt;MAX($BM$57:$BM$95),"",INDEX(Lists!$CB$4:$CB$42,MATCH(ROW()-56,$BM$57:$BM$95,0)))</f>
        <v/>
      </c>
      <c r="BO89">
        <f>BO88+IF(AND(Lists!$CG$36&lt;&gt;"",ISNUMBER(SEARCH($P$4,Lists!$CG$36))),1,0)</f>
        <v/>
      </c>
      <c r="BP89">
        <f>IF(ROW()-56&gt;MAX($BO$57:$BO$95),"",INDEX(Lists!$CG$4:$CG$42,MATCH(ROW()-56,$BO$57:$BO$95,0)))</f>
        <v/>
      </c>
      <c r="BQ89">
        <f>BQ88+IF(AND(Lists!$CL$36&lt;&gt;"",ISNUMBER(SEARCH($Q$4,Lists!$CL$36))),1,0)</f>
        <v/>
      </c>
      <c r="BR89">
        <f>IF(ROW()-56&gt;MAX($BQ$57:$BQ$95),"",INDEX(Lists!$CL$4:$CL$42,MATCH(ROW()-56,$BQ$57:$BQ$95,0)))</f>
        <v/>
      </c>
      <c r="BS89">
        <f>BS88+IF(AND(Lists!$CQ$36&lt;&gt;"",ISNUMBER(SEARCH($R$4,Lists!$CQ$36))),1,0)</f>
        <v/>
      </c>
      <c r="BT89">
        <f>IF(ROW()-56&gt;MAX($BS$57:$BS$95),"",INDEX(Lists!$CQ$4:$CQ$42,MATCH(ROW()-56,$BS$57:$BS$95,0)))</f>
        <v/>
      </c>
      <c r="BU89">
        <f>BU88+IF(AND(Lists!$CV$36&lt;&gt;"",ISNUMBER(SEARCH($S$4,Lists!$CV$36))),1,0)</f>
        <v/>
      </c>
      <c r="BV89">
        <f>IF(ROW()-56&gt;MAX($BU$57:$BU$95),"",INDEX(Lists!$CV$4:$CV$42,MATCH(ROW()-56,$BU$57:$BU$95,0)))</f>
        <v/>
      </c>
      <c r="BW89">
        <f>BW88+IF(AND(Lists!$DA$36&lt;&gt;"",ISNUMBER(SEARCH($T$4,Lists!$DA$36))),1,0)</f>
        <v/>
      </c>
      <c r="BX89">
        <f>IF(ROW()-56&gt;MAX($BW$57:$BW$95),"",INDEX(Lists!$DA$4:$DA$42,MATCH(ROW()-56,$BW$57:$BW$95,0)))</f>
        <v/>
      </c>
      <c r="BY89">
        <f>BY88+IF(AND(Lists!$DF$36&lt;&gt;"",ISNUMBER(SEARCH($U$4,Lists!$DF$36))),1,0)</f>
        <v/>
      </c>
      <c r="BZ89">
        <f>IF(ROW()-56&gt;MAX($BY$57:$BY$95),"",INDEX(Lists!$DF$4:$DF$42,MATCH(ROW()-56,$BY$57:$BY$95,0)))</f>
        <v/>
      </c>
      <c r="CA89">
        <f>CA88+IF(AND(Lists!$DK$36&lt;&gt;"",ISNUMBER(SEARCH($V$4,Lists!$DK$36))),1,0)</f>
        <v/>
      </c>
      <c r="CB89">
        <f>IF(ROW()-56&gt;MAX($CA$57:$CA$95),"",INDEX(Lists!$DK$4:$DK$42,MATCH(ROW()-56,$CA$57:$CA$95,0)))</f>
        <v/>
      </c>
      <c r="CC89">
        <f>CC88+IF(AND(Lists!$DP$36&lt;&gt;"",ISNUMBER(SEARCH($W$4,Lists!$DP$36))),1,0)</f>
        <v/>
      </c>
      <c r="CD89">
        <f>IF(ROW()-56&gt;MAX($CC$57:$CC$95),"",INDEX(Lists!$DP$4:$DP$42,MATCH(ROW()-56,$CC$57:$CC$95,0)))</f>
        <v/>
      </c>
      <c r="CE89">
        <f>CE88+IF(AND(Lists!$DU$36&lt;&gt;"",ISNUMBER(SEARCH($X$4,Lists!$DU$36))),1,0)</f>
        <v/>
      </c>
      <c r="CF89">
        <f>IF(ROW()-56&gt;MAX($CE$57:$CE$95),"",INDEX(Lists!$DU$4:$DU$42,MATCH(ROW()-56,$CE$57:$CE$95,0)))</f>
        <v/>
      </c>
      <c r="CG89">
        <f>CG88+IF(AND(Lists!$DZ$36&lt;&gt;"",ISNUMBER(SEARCH($Y$4,Lists!$DZ$36))),1,0)</f>
        <v/>
      </c>
      <c r="CH89">
        <f>IF(ROW()-56&gt;MAX($CG$57:$CG$95),"",INDEX(Lists!$DZ$4:$DZ$42,MATCH(ROW()-56,$CG$57:$CG$95,0)))</f>
        <v/>
      </c>
      <c r="CI89">
        <f>CI88+IF(AND(Lists!$EE$36&lt;&gt;"",ISNUMBER(SEARCH($Z$4,Lists!$EE$36))),1,0)</f>
        <v/>
      </c>
      <c r="CJ89">
        <f>IF(ROW()-56&gt;MAX($CI$57:$CI$95),"",INDEX(Lists!$EE$4:$EE$42,MATCH(ROW()-56,$CI$57:$CI$95,0)))</f>
        <v/>
      </c>
      <c r="CK89">
        <f>CK88+IF(AND(Lists!$EJ$36&lt;&gt;"",ISNUMBER(SEARCH($AA$4,Lists!$EJ$36))),1,0)</f>
        <v/>
      </c>
      <c r="CL89">
        <f>IF(ROW()-56&gt;MAX($CK$57:$CK$95),"",INDEX(Lists!$EJ$4:$EJ$42,MATCH(ROW()-56,$CK$57:$CK$95,0)))</f>
        <v/>
      </c>
      <c r="CM89">
        <f>CM88+IF(AND(Lists!$EO$36&lt;&gt;"",ISNUMBER(SEARCH($AB$4,Lists!$EO$36))),1,0)</f>
        <v/>
      </c>
      <c r="CN89">
        <f>IF(ROW()-56&gt;MAX($CM$57:$CM$95),"",INDEX(Lists!$EO$4:$EO$42,MATCH(ROW()-56,$CM$57:$CM$95,0)))</f>
        <v/>
      </c>
      <c r="CO89">
        <f>CO88+IF(AND(Lists!$ET$36&lt;&gt;"",ISNUMBER(SEARCH($AC$4,Lists!$ET$36))),1,0)</f>
        <v/>
      </c>
      <c r="CP89">
        <f>IF(ROW()-56&gt;MAX($CO$57:$CO$95),"",INDEX(Lists!$ET$4:$ET$42,MATCH(ROW()-56,$CO$57:$CO$95,0)))</f>
        <v/>
      </c>
      <c r="CQ89">
        <f>CQ88+IF(AND(Lists!$EY$36&lt;&gt;"",ISNUMBER(SEARCH($AD$4,Lists!$EY$36))),1,0)</f>
        <v/>
      </c>
      <c r="CR89">
        <f>IF(ROW()-56&gt;MAX($CQ$57:$CQ$95),"",INDEX(Lists!$EY$4:$EY$42,MATCH(ROW()-56,$CQ$57:$CQ$95,0)))</f>
        <v/>
      </c>
      <c r="CS89">
        <f>CS88+IF(AND(Lists!$FD$36&lt;&gt;"",ISNUMBER(SEARCH($AE$4,Lists!$FD$36))),1,0)</f>
        <v/>
      </c>
      <c r="CT89">
        <f>IF(ROW()-56&gt;MAX($CS$57:$CS$95),"",INDEX(Lists!$FD$4:$FD$42,MATCH(ROW()-56,$CS$57:$CS$95,0)))</f>
        <v/>
      </c>
      <c r="CU89">
        <f>CU88+IF(AND(Lists!$FI$36&lt;&gt;"",ISNUMBER(SEARCH($AG$4,Lists!$FI$36))),1,0)</f>
        <v/>
      </c>
      <c r="CV89">
        <f>IF(ROW()-56&gt;MAX($CU$57:$CU$95),"",INDEX(Lists!$FI$4:$FI$42,MATCH(ROW()-56,$CU$57:$CU$95,0)))</f>
        <v/>
      </c>
      <c r="CW89">
        <f>CW88+IF(AND(Lists!$FN$36&lt;&gt;"",ISNUMBER(SEARCH($AH$4,Lists!$FN$36))),1,0)</f>
        <v/>
      </c>
      <c r="CX89">
        <f>IF(ROW()-56&gt;MAX($CW$57:$CW$95),"",INDEX(Lists!$FN$4:$FN$42,MATCH(ROW()-56,$CW$57:$CW$95,0)))</f>
        <v/>
      </c>
      <c r="CY89">
        <f>CY88+IF(AND(Lists!$FS$36&lt;&gt;"",ISNUMBER(SEARCH($AI$4,Lists!$FS$36))),1,0)</f>
        <v/>
      </c>
      <c r="CZ89">
        <f>IF(ROW()-56&gt;MAX($CY$57:$CY$95),"",INDEX(Lists!$FS$4:$FS$42,MATCH(ROW()-56,$CY$57:$CY$95,0)))</f>
        <v/>
      </c>
      <c r="DA89">
        <f>DA88+IF(AND(Lists!$FX$36&lt;&gt;"",ISNUMBER(SEARCH($AF$4,Lists!$FX$36))),1,0)</f>
        <v/>
      </c>
      <c r="DB89">
        <f>IF(ROW()-56&gt;MAX($DA$57:$DA$95),"",INDEX(Lists!$FX$4:$FX$42,MATCH(ROW()-56,$DA$57:$DA$95,0)))</f>
        <v/>
      </c>
      <c r="DG89">
        <f>IF($B$4="",1,IF($B$4="(blank)",--('Final Calculation Sheet'!$F$34=""),IF($B$4="(nonblank)",--('Final Calculation Sheet'!$F$34&lt;&gt;""),--ISNUMBER(SEARCH($B$4,'Final Calculation Sheet'!$F$34)))))</f>
        <v/>
      </c>
      <c r="DH89">
        <f>IF($C$4="",1,IF($C$4="(blank)",--('Final Calculation Sheet'!$G$34=""),IF($C$4="(nonblank)",--('Final Calculation Sheet'!$G$34&lt;&gt;""),--ISNUMBER(SEARCH($C$4,'Final Calculation Sheet'!$G$34)))))</f>
        <v/>
      </c>
      <c r="DI89">
        <f>IF($D$4="",1,IF($D$4="(blank)",--('Final Calculation Sheet'!$B$34=""),IF($D$4="(nonblank)",--('Final Calculation Sheet'!$B$34&lt;&gt;""),--ISNUMBER(SEARCH($D$4,'Final Calculation Sheet'!$B$34)))))</f>
        <v/>
      </c>
      <c r="DJ89">
        <f>IF($E$4="",1,IF($E$4="(blank)",--('Final Calculation Sheet'!$D$34=""),IF($E$4="(nonblank)",--('Final Calculation Sheet'!$D$34&lt;&gt;""),--ISNUMBER(SEARCH($E$4,'Final Calculation Sheet'!$D$34)))))</f>
        <v/>
      </c>
      <c r="DK89">
        <f>IF($F$4="",1,IF($F$4="(blank)",--('Final Calculation Sheet'!$A$34=""),IF($F$4="(nonblank)",--('Final Calculation Sheet'!$A$34&lt;&gt;""),--ISNUMBER(SEARCH($F$4,'Final Calculation Sheet'!$A$34)))))</f>
        <v/>
      </c>
      <c r="DL89">
        <f>IF($G$4="",1,IF($G$4="(blank)",--('Final Calculation Sheet'!$E$34=""),IF($G$4="(nonblank)",--('Final Calculation Sheet'!$E$34&lt;&gt;""),--ISNUMBER(SEARCH($G$4,'Final Calculation Sheet'!$E$34)))))</f>
        <v/>
      </c>
      <c r="DM89">
        <f>IF($H$4="",1,IF($H$4="(blank)",--('Final Calculation Sheet'!$C$34=""),IF($H$4="(nonblank)",--('Final Calculation Sheet'!$C$34&lt;&gt;""),--ISNUMBER(SEARCH($H$4,'Final Calculation Sheet'!$C$34)))))</f>
        <v/>
      </c>
      <c r="DN89">
        <f>IF($I$4="",1,IF($I$4="(blank)",--('Final Calculation Sheet'!$H$34=""),IF($I$4="(nonblank)",--('Final Calculation Sheet'!$H$34&lt;&gt;""),--ISNUMBER(SEARCH($I$4,'Final Calculation Sheet'!$H$34)))))</f>
        <v/>
      </c>
      <c r="DO89">
        <f>IF($J$4="",1,IF($J$4="(blank)",--('Final Calculation Sheet'!$I$34=""),IF($J$4="(nonblank)",--('Final Calculation Sheet'!$I$34&lt;&gt;""),--ISNUMBER(SEARCH($J$4,'Final Calculation Sheet'!$I$34)))))</f>
        <v/>
      </c>
      <c r="DP89">
        <f>IF($K$4="",1,IF($K$4="(blank)",--('Final Calculation Sheet'!$J$34=""),IF($K$4="(nonblank)",--('Final Calculation Sheet'!$J$34&lt;&gt;""),--ISNUMBER(SEARCH($K$4,'Final Calculation Sheet'!$J$34)))))</f>
        <v/>
      </c>
      <c r="DQ89">
        <f>IF($L$4="",1,IF($L$4="(blank)",--('Final Calculation Sheet'!$K$34=""),IF($L$4="(nonblank)",--('Final Calculation Sheet'!$K$34&lt;&gt;""),--ISNUMBER(SEARCH($L$4,'Final Calculation Sheet'!$K$34)))))</f>
        <v/>
      </c>
      <c r="DR89">
        <f>IF($M$4="",1,IF($M$4="(blank)",--('Final Calculation Sheet'!$L$34=""),IF($M$4="(nonblank)",--('Final Calculation Sheet'!$L$34&lt;&gt;""),--ISNUMBER(SEARCH($M$4,'Final Calculation Sheet'!$L$34)))))</f>
        <v/>
      </c>
      <c r="DS89">
        <f>IF($N$4="",1,IF($N$4="(blank)",--('Final Calculation Sheet'!$M$34=""),IF($N$4="(nonblank)",--('Final Calculation Sheet'!$M$34&lt;&gt;""),--ISNUMBER(SEARCH($N$4,'Final Calculation Sheet'!$M$34)))))</f>
        <v/>
      </c>
      <c r="DT89">
        <f>IF($O$4="",1,IF($O$4="(blank)",--('Final Calculation Sheet'!$N$34=""),IF($O$4="(nonblank)",--('Final Calculation Sheet'!$N$34&lt;&gt;""),--ISNUMBER(SEARCH($O$4,'Final Calculation Sheet'!$N$34)))))</f>
        <v/>
      </c>
      <c r="DU89">
        <f>IF($P$4="",1,IF($P$4="(blank)",--('Final Calculation Sheet'!$O$34=""),IF($P$4="(nonblank)",--('Final Calculation Sheet'!$O$34&lt;&gt;""),--ISNUMBER(SEARCH($P$4,'Final Calculation Sheet'!$O$34)))))</f>
        <v/>
      </c>
      <c r="DV89">
        <f>IF($Q$4="",1,IF($Q$4="(blank)",--('Final Calculation Sheet'!$P$34=""),IF($Q$4="(nonblank)",--('Final Calculation Sheet'!$P$34&lt;&gt;""),--ISNUMBER(SEARCH($Q$4,'Final Calculation Sheet'!$P$34)))))</f>
        <v/>
      </c>
      <c r="DW89">
        <f>IF($R$4="",1,IF($R$4="(blank)",--('Final Calculation Sheet'!$Q$34=""),IF($R$4="(nonblank)",--('Final Calculation Sheet'!$Q$34&lt;&gt;""),--ISNUMBER(SEARCH($R$4,'Final Calculation Sheet'!$Q$34)))))</f>
        <v/>
      </c>
      <c r="DX89">
        <f>IF($S$4="",1,IF($S$4="(blank)",--('Final Calculation Sheet'!$R$34=""),IF($S$4="(nonblank)",--('Final Calculation Sheet'!$R$34&lt;&gt;""),--ISNUMBER(SEARCH($S$4,'Final Calculation Sheet'!$R$34)))))</f>
        <v/>
      </c>
      <c r="DY89">
        <f>IF($T$4="",1,IF($T$4="(blank)",--('Final Calculation Sheet'!$S$34=""),IF($T$4="(nonblank)",--('Final Calculation Sheet'!$S$34&lt;&gt;""),--ISNUMBER(SEARCH($T$4,'Final Calculation Sheet'!$S$34)))))</f>
        <v/>
      </c>
      <c r="DZ89">
        <f>IF($U$4="",1,IF($U$4="(blank)",--('Final Calculation Sheet'!$T$34=""),IF($U$4="(nonblank)",--('Final Calculation Sheet'!$T$34&lt;&gt;""),--ISNUMBER(SEARCH($U$4,'Final Calculation Sheet'!$T$34)))))</f>
        <v/>
      </c>
      <c r="EA89">
        <f>IF($V$4="",1,IF($V$4="(blank)",--('Final Calculation Sheet'!$U$34=""),IF($V$4="(nonblank)",--('Final Calculation Sheet'!$U$34&lt;&gt;""),--ISNUMBER(SEARCH($V$4,'Final Calculation Sheet'!$U$34)))))</f>
        <v/>
      </c>
      <c r="EB89">
        <f>IF($W$4="",1,IF($W$4="(blank)",--('Final Calculation Sheet'!$V$34=""),IF($W$4="(nonblank)",--('Final Calculation Sheet'!$V$34&lt;&gt;""),--ISNUMBER(SEARCH($W$4,'Final Calculation Sheet'!$V$34)))))</f>
        <v/>
      </c>
      <c r="EC89">
        <f>IF($X$4="",1,IF($X$4="(blank)",--('Final Calculation Sheet'!$W$34=""),IF($X$4="(nonblank)",--('Final Calculation Sheet'!$W$34&lt;&gt;""),--ISNUMBER(SEARCH($X$4,'Final Calculation Sheet'!$W$34)))))</f>
        <v/>
      </c>
      <c r="ED89">
        <f>IF($Y$4="",1,IF($Y$4="(blank)",--('Final Calculation Sheet'!$X$34=""),IF($Y$4="(nonblank)",--('Final Calculation Sheet'!$X$34&lt;&gt;""),--ISNUMBER(SEARCH($Y$4,'Final Calculation Sheet'!$X$34)))))</f>
        <v/>
      </c>
      <c r="EE89">
        <f>IF($Z$4="",1,IF($Z$4="(blank)",--('Final Calculation Sheet'!$Y$34=""),IF($Z$4="(nonblank)",--('Final Calculation Sheet'!$Y$34&lt;&gt;""),--ISNUMBER(SEARCH($Z$4,'Final Calculation Sheet'!$Y$34)))))</f>
        <v/>
      </c>
      <c r="EF89">
        <f>IF($AA$4="",1,IF($AA$4="(blank)",--('Final Calculation Sheet'!$Z$34=""),IF($AA$4="(nonblank)",--('Final Calculation Sheet'!$Z$34&lt;&gt;""),--ISNUMBER(SEARCH($AA$4,'Final Calculation Sheet'!$Z$34)))))</f>
        <v/>
      </c>
      <c r="EG89">
        <f>IF($AB$4="",1,IF($AB$4="(blank)",--('Final Calculation Sheet'!$AA$34=""),IF($AB$4="(nonblank)",--('Final Calculation Sheet'!$AA$34&lt;&gt;""),--ISNUMBER(SEARCH($AB$4,'Final Calculation Sheet'!$AA$34)))))</f>
        <v/>
      </c>
      <c r="EH89">
        <f>IF($AC$4="",1,IF($AC$4="(blank)",--('Final Calculation Sheet'!$AB$34=""),IF($AC$4="(nonblank)",--('Final Calculation Sheet'!$AB$34&lt;&gt;""),--ISNUMBER(SEARCH($AC$4,'Final Calculation Sheet'!$AB$34)))))</f>
        <v/>
      </c>
      <c r="EI89">
        <f>IF($AD$4="",1,IF($AD$4="(blank)",--('Final Calculation Sheet'!$AC$34=""),IF($AD$4="(nonblank)",--('Final Calculation Sheet'!$AC$34&lt;&gt;""),--ISNUMBER(SEARCH($AD$4,'Final Calculation Sheet'!$AC$34)))))</f>
        <v/>
      </c>
      <c r="EJ89">
        <f>IF($AE$4="",1,IF($AE$4="(blank)",--('Final Calculation Sheet'!$AD$34=""),IF($AE$4="(nonblank)",--('Final Calculation Sheet'!$AD$34&lt;&gt;""),--ISNUMBER(SEARCH($AE$4,'Final Calculation Sheet'!$AD$34)))))</f>
        <v/>
      </c>
      <c r="EK89">
        <f>IF($AF$4="",1,IF($AF$4="(blank)",--(IF('Final Calculation Sheet'!$AD$34&lt;=5,"SETTLED","OUTSTANDING")=""),IF($AF$4="(nonblank)",--(IF('Final Calculation Sheet'!$AD$34&lt;=5,"SETTLED","OUTSTANDING")&lt;&gt;""),--ISNUMBER(SEARCH($AF$4,IF('Final Calculation Sheet'!$AD$34&lt;=5,"SETTLED","OUTSTANDING"))))))</f>
        <v/>
      </c>
      <c r="EL89">
        <f>IF($AG$4="",1,IF($AG$4="(blank)",--('Final Calculation Sheet'!$AF$34=""),IF($AG$4="(nonblank)",--('Final Calculation Sheet'!$AF$34&lt;&gt;""),--ISNUMBER(SEARCH($AG$4,'Final Calculation Sheet'!$AF$34)))))</f>
        <v/>
      </c>
      <c r="EM89">
        <f>IF($AH$4="",1,IF($AH$4="(blank)",--('Final Calculation Sheet'!$AG$34=""),IF($AH$4="(nonblank)",--('Final Calculation Sheet'!$AG$34&lt;&gt;""),--ISNUMBER(SEARCH($AH$4,'Final Calculation Sheet'!$AG$34)))))</f>
        <v/>
      </c>
      <c r="EN89">
        <f>IF($AI$4="",1,IF($AI$4="(blank)",--('Final Calculation Sheet'!$AH$34=""),IF($AI$4="(nonblank)",--('Final Calculation Sheet'!$AH$34&lt;&gt;""),--ISNUMBER(SEARCH($AI$4,'Final Calculation Sheet'!$AH$34)))))</f>
        <v/>
      </c>
    </row>
    <row r="90">
      <c r="AM90">
        <f>AM89+IF(AND(Lists!$O$37&lt;&gt;"",ISNUMBER(SEARCH($B$4,Lists!$O$37))),1,0)</f>
        <v/>
      </c>
      <c r="AN90">
        <f>IF(ROW()-56&gt;MAX($AM$57:$AM$95),"",INDEX(Lists!$O$4:$O$42,MATCH(ROW()-56,$AM$57:$AM$95,0)))</f>
        <v/>
      </c>
      <c r="AO90">
        <f>AO89+IF(AND(Lists!$T$37&lt;&gt;"",ISNUMBER(SEARCH($C$4,Lists!$T$37))),1,0)</f>
        <v/>
      </c>
      <c r="AP90">
        <f>IF(ROW()-56&gt;MAX($AO$57:$AO$95),"",INDEX(Lists!$T$4:$T$42,MATCH(ROW()-56,$AO$57:$AO$95,0)))</f>
        <v/>
      </c>
      <c r="AQ90">
        <f>AQ89+IF(AND(Lists!$Y$37&lt;&gt;"",ISNUMBER(SEARCH($D$4,Lists!$Y$37))),1,0)</f>
        <v/>
      </c>
      <c r="AR90">
        <f>IF(ROW()-56&gt;MAX($AQ$57:$AQ$95),"",INDEX(Lists!$Y$4:$Y$42,MATCH(ROW()-56,$AQ$57:$AQ$95,0)))</f>
        <v/>
      </c>
      <c r="AS90">
        <f>AS89+IF(AND(Lists!$AD$37&lt;&gt;"",ISNUMBER(SEARCH($E$4,Lists!$AD$37))),1,0)</f>
        <v/>
      </c>
      <c r="AT90">
        <f>IF(ROW()-56&gt;MAX($AS$57:$AS$95),"",INDEX(Lists!$AD$4:$AD$42,MATCH(ROW()-56,$AS$57:$AS$95,0)))</f>
        <v/>
      </c>
      <c r="AU90">
        <f>AU89+IF(AND(Lists!$AI$37&lt;&gt;"",ISNUMBER(SEARCH($F$4,Lists!$AI$37))),1,0)</f>
        <v/>
      </c>
      <c r="AV90">
        <f>IF(ROW()-56&gt;MAX($AU$57:$AU$95),"",INDEX(Lists!$AI$4:$AI$42,MATCH(ROW()-56,$AU$57:$AU$95,0)))</f>
        <v/>
      </c>
      <c r="AW90">
        <f>AW89+IF(AND(Lists!$AN$37&lt;&gt;"",ISNUMBER(SEARCH($G$4,Lists!$AN$37))),1,0)</f>
        <v/>
      </c>
      <c r="AX90">
        <f>IF(ROW()-56&gt;MAX($AW$57:$AW$95),"",INDEX(Lists!$AN$4:$AN$42,MATCH(ROW()-56,$AW$57:$AW$95,0)))</f>
        <v/>
      </c>
      <c r="AY90">
        <f>AY89+IF(AND(Lists!$AS$37&lt;&gt;"",ISNUMBER(SEARCH($H$4,Lists!$AS$37))),1,0)</f>
        <v/>
      </c>
      <c r="AZ90">
        <f>IF(ROW()-56&gt;MAX($AY$57:$AY$95),"",INDEX(Lists!$AS$4:$AS$42,MATCH(ROW()-56,$AY$57:$AY$95,0)))</f>
        <v/>
      </c>
      <c r="BA90">
        <f>BA89+IF(AND(Lists!$AX$37&lt;&gt;"",ISNUMBER(SEARCH($I$4,Lists!$AX$37))),1,0)</f>
        <v/>
      </c>
      <c r="BB90">
        <f>IF(ROW()-56&gt;MAX($BA$57:$BA$95),"",INDEX(Lists!$AX$4:$AX$42,MATCH(ROW()-56,$BA$57:$BA$95,0)))</f>
        <v/>
      </c>
      <c r="BC90">
        <f>BC89+IF(AND(Lists!$BC$37&lt;&gt;"",ISNUMBER(SEARCH($J$4,Lists!$BC$37))),1,0)</f>
        <v/>
      </c>
      <c r="BD90">
        <f>IF(ROW()-56&gt;MAX($BC$57:$BC$95),"",INDEX(Lists!$BC$4:$BC$42,MATCH(ROW()-56,$BC$57:$BC$95,0)))</f>
        <v/>
      </c>
      <c r="BE90">
        <f>BE89+IF(AND(Lists!$BH$37&lt;&gt;"",ISNUMBER(SEARCH($K$4,Lists!$BH$37))),1,0)</f>
        <v/>
      </c>
      <c r="BF90">
        <f>IF(ROW()-56&gt;MAX($BE$57:$BE$95),"",INDEX(Lists!$BH$4:$BH$42,MATCH(ROW()-56,$BE$57:$BE$95,0)))</f>
        <v/>
      </c>
      <c r="BG90">
        <f>BG89+IF(AND(Lists!$BM$37&lt;&gt;"",ISNUMBER(SEARCH($L$4,Lists!$BM$37))),1,0)</f>
        <v/>
      </c>
      <c r="BH90">
        <f>IF(ROW()-56&gt;MAX($BG$57:$BG$95),"",INDEX(Lists!$BM$4:$BM$42,MATCH(ROW()-56,$BG$57:$BG$95,0)))</f>
        <v/>
      </c>
      <c r="BI90">
        <f>BI89+IF(AND(Lists!$BR$37&lt;&gt;"",ISNUMBER(SEARCH($M$4,Lists!$BR$37))),1,0)</f>
        <v/>
      </c>
      <c r="BJ90">
        <f>IF(ROW()-56&gt;MAX($BI$57:$BI$95),"",INDEX(Lists!$BR$4:$BR$42,MATCH(ROW()-56,$BI$57:$BI$95,0)))</f>
        <v/>
      </c>
      <c r="BK90">
        <f>BK89+IF(AND(Lists!$BW$37&lt;&gt;"",ISNUMBER(SEARCH($N$4,Lists!$BW$37))),1,0)</f>
        <v/>
      </c>
      <c r="BL90">
        <f>IF(ROW()-56&gt;MAX($BK$57:$BK$95),"",INDEX(Lists!$BW$4:$BW$42,MATCH(ROW()-56,$BK$57:$BK$95,0)))</f>
        <v/>
      </c>
      <c r="BM90">
        <f>BM89+IF(AND(Lists!$CB$37&lt;&gt;"",ISNUMBER(SEARCH($O$4,Lists!$CB$37))),1,0)</f>
        <v/>
      </c>
      <c r="BN90">
        <f>IF(ROW()-56&gt;MAX($BM$57:$BM$95),"",INDEX(Lists!$CB$4:$CB$42,MATCH(ROW()-56,$BM$57:$BM$95,0)))</f>
        <v/>
      </c>
      <c r="BO90">
        <f>BO89+IF(AND(Lists!$CG$37&lt;&gt;"",ISNUMBER(SEARCH($P$4,Lists!$CG$37))),1,0)</f>
        <v/>
      </c>
      <c r="BP90">
        <f>IF(ROW()-56&gt;MAX($BO$57:$BO$95),"",INDEX(Lists!$CG$4:$CG$42,MATCH(ROW()-56,$BO$57:$BO$95,0)))</f>
        <v/>
      </c>
      <c r="BQ90">
        <f>BQ89+IF(AND(Lists!$CL$37&lt;&gt;"",ISNUMBER(SEARCH($Q$4,Lists!$CL$37))),1,0)</f>
        <v/>
      </c>
      <c r="BR90">
        <f>IF(ROW()-56&gt;MAX($BQ$57:$BQ$95),"",INDEX(Lists!$CL$4:$CL$42,MATCH(ROW()-56,$BQ$57:$BQ$95,0)))</f>
        <v/>
      </c>
      <c r="BS90">
        <f>BS89+IF(AND(Lists!$CQ$37&lt;&gt;"",ISNUMBER(SEARCH($R$4,Lists!$CQ$37))),1,0)</f>
        <v/>
      </c>
      <c r="BT90">
        <f>IF(ROW()-56&gt;MAX($BS$57:$BS$95),"",INDEX(Lists!$CQ$4:$CQ$42,MATCH(ROW()-56,$BS$57:$BS$95,0)))</f>
        <v/>
      </c>
      <c r="BU90">
        <f>BU89+IF(AND(Lists!$CV$37&lt;&gt;"",ISNUMBER(SEARCH($S$4,Lists!$CV$37))),1,0)</f>
        <v/>
      </c>
      <c r="BV90">
        <f>IF(ROW()-56&gt;MAX($BU$57:$BU$95),"",INDEX(Lists!$CV$4:$CV$42,MATCH(ROW()-56,$BU$57:$BU$95,0)))</f>
        <v/>
      </c>
      <c r="BW90">
        <f>BW89+IF(AND(Lists!$DA$37&lt;&gt;"",ISNUMBER(SEARCH($T$4,Lists!$DA$37))),1,0)</f>
        <v/>
      </c>
      <c r="BX90">
        <f>IF(ROW()-56&gt;MAX($BW$57:$BW$95),"",INDEX(Lists!$DA$4:$DA$42,MATCH(ROW()-56,$BW$57:$BW$95,0)))</f>
        <v/>
      </c>
      <c r="BY90">
        <f>BY89+IF(AND(Lists!$DF$37&lt;&gt;"",ISNUMBER(SEARCH($U$4,Lists!$DF$37))),1,0)</f>
        <v/>
      </c>
      <c r="BZ90">
        <f>IF(ROW()-56&gt;MAX($BY$57:$BY$95),"",INDEX(Lists!$DF$4:$DF$42,MATCH(ROW()-56,$BY$57:$BY$95,0)))</f>
        <v/>
      </c>
      <c r="CA90">
        <f>CA89+IF(AND(Lists!$DK$37&lt;&gt;"",ISNUMBER(SEARCH($V$4,Lists!$DK$37))),1,0)</f>
        <v/>
      </c>
      <c r="CB90">
        <f>IF(ROW()-56&gt;MAX($CA$57:$CA$95),"",INDEX(Lists!$DK$4:$DK$42,MATCH(ROW()-56,$CA$57:$CA$95,0)))</f>
        <v/>
      </c>
      <c r="CC90">
        <f>CC89+IF(AND(Lists!$DP$37&lt;&gt;"",ISNUMBER(SEARCH($W$4,Lists!$DP$37))),1,0)</f>
        <v/>
      </c>
      <c r="CD90">
        <f>IF(ROW()-56&gt;MAX($CC$57:$CC$95),"",INDEX(Lists!$DP$4:$DP$42,MATCH(ROW()-56,$CC$57:$CC$95,0)))</f>
        <v/>
      </c>
      <c r="CE90">
        <f>CE89+IF(AND(Lists!$DU$37&lt;&gt;"",ISNUMBER(SEARCH($X$4,Lists!$DU$37))),1,0)</f>
        <v/>
      </c>
      <c r="CF90">
        <f>IF(ROW()-56&gt;MAX($CE$57:$CE$95),"",INDEX(Lists!$DU$4:$DU$42,MATCH(ROW()-56,$CE$57:$CE$95,0)))</f>
        <v/>
      </c>
      <c r="CG90">
        <f>CG89+IF(AND(Lists!$DZ$37&lt;&gt;"",ISNUMBER(SEARCH($Y$4,Lists!$DZ$37))),1,0)</f>
        <v/>
      </c>
      <c r="CH90">
        <f>IF(ROW()-56&gt;MAX($CG$57:$CG$95),"",INDEX(Lists!$DZ$4:$DZ$42,MATCH(ROW()-56,$CG$57:$CG$95,0)))</f>
        <v/>
      </c>
      <c r="CI90">
        <f>CI89+IF(AND(Lists!$EE$37&lt;&gt;"",ISNUMBER(SEARCH($Z$4,Lists!$EE$37))),1,0)</f>
        <v/>
      </c>
      <c r="CJ90">
        <f>IF(ROW()-56&gt;MAX($CI$57:$CI$95),"",INDEX(Lists!$EE$4:$EE$42,MATCH(ROW()-56,$CI$57:$CI$95,0)))</f>
        <v/>
      </c>
      <c r="CK90">
        <f>CK89+IF(AND(Lists!$EJ$37&lt;&gt;"",ISNUMBER(SEARCH($AA$4,Lists!$EJ$37))),1,0)</f>
        <v/>
      </c>
      <c r="CL90">
        <f>IF(ROW()-56&gt;MAX($CK$57:$CK$95),"",INDEX(Lists!$EJ$4:$EJ$42,MATCH(ROW()-56,$CK$57:$CK$95,0)))</f>
        <v/>
      </c>
      <c r="CM90">
        <f>CM89+IF(AND(Lists!$EO$37&lt;&gt;"",ISNUMBER(SEARCH($AB$4,Lists!$EO$37))),1,0)</f>
        <v/>
      </c>
      <c r="CN90">
        <f>IF(ROW()-56&gt;MAX($CM$57:$CM$95),"",INDEX(Lists!$EO$4:$EO$42,MATCH(ROW()-56,$CM$57:$CM$95,0)))</f>
        <v/>
      </c>
      <c r="CO90">
        <f>CO89+IF(AND(Lists!$ET$37&lt;&gt;"",ISNUMBER(SEARCH($AC$4,Lists!$ET$37))),1,0)</f>
        <v/>
      </c>
      <c r="CP90">
        <f>IF(ROW()-56&gt;MAX($CO$57:$CO$95),"",INDEX(Lists!$ET$4:$ET$42,MATCH(ROW()-56,$CO$57:$CO$95,0)))</f>
        <v/>
      </c>
      <c r="CQ90">
        <f>CQ89+IF(AND(Lists!$EY$37&lt;&gt;"",ISNUMBER(SEARCH($AD$4,Lists!$EY$37))),1,0)</f>
        <v/>
      </c>
      <c r="CR90">
        <f>IF(ROW()-56&gt;MAX($CQ$57:$CQ$95),"",INDEX(Lists!$EY$4:$EY$42,MATCH(ROW()-56,$CQ$57:$CQ$95,0)))</f>
        <v/>
      </c>
      <c r="CS90">
        <f>CS89+IF(AND(Lists!$FD$37&lt;&gt;"",ISNUMBER(SEARCH($AE$4,Lists!$FD$37))),1,0)</f>
        <v/>
      </c>
      <c r="CT90">
        <f>IF(ROW()-56&gt;MAX($CS$57:$CS$95),"",INDEX(Lists!$FD$4:$FD$42,MATCH(ROW()-56,$CS$57:$CS$95,0)))</f>
        <v/>
      </c>
      <c r="CU90">
        <f>CU89+IF(AND(Lists!$FI$37&lt;&gt;"",ISNUMBER(SEARCH($AG$4,Lists!$FI$37))),1,0)</f>
        <v/>
      </c>
      <c r="CV90">
        <f>IF(ROW()-56&gt;MAX($CU$57:$CU$95),"",INDEX(Lists!$FI$4:$FI$42,MATCH(ROW()-56,$CU$57:$CU$95,0)))</f>
        <v/>
      </c>
      <c r="CW90">
        <f>CW89+IF(AND(Lists!$FN$37&lt;&gt;"",ISNUMBER(SEARCH($AH$4,Lists!$FN$37))),1,0)</f>
        <v/>
      </c>
      <c r="CX90">
        <f>IF(ROW()-56&gt;MAX($CW$57:$CW$95),"",INDEX(Lists!$FN$4:$FN$42,MATCH(ROW()-56,$CW$57:$CW$95,0)))</f>
        <v/>
      </c>
      <c r="CY90">
        <f>CY89+IF(AND(Lists!$FS$37&lt;&gt;"",ISNUMBER(SEARCH($AI$4,Lists!$FS$37))),1,0)</f>
        <v/>
      </c>
      <c r="CZ90">
        <f>IF(ROW()-56&gt;MAX($CY$57:$CY$95),"",INDEX(Lists!$FS$4:$FS$42,MATCH(ROW()-56,$CY$57:$CY$95,0)))</f>
        <v/>
      </c>
      <c r="DA90">
        <f>DA89+IF(AND(Lists!$FX$37&lt;&gt;"",ISNUMBER(SEARCH($AF$4,Lists!$FX$37))),1,0)</f>
        <v/>
      </c>
      <c r="DB90">
        <f>IF(ROW()-56&gt;MAX($DA$57:$DA$95),"",INDEX(Lists!$FX$4:$FX$42,MATCH(ROW()-56,$DA$57:$DA$95,0)))</f>
        <v/>
      </c>
      <c r="DG90">
        <f>IF($B$4="",1,IF($B$4="(blank)",--('Final Calculation Sheet'!$F$35=""),IF($B$4="(nonblank)",--('Final Calculation Sheet'!$F$35&lt;&gt;""),--ISNUMBER(SEARCH($B$4,'Final Calculation Sheet'!$F$35)))))</f>
        <v/>
      </c>
      <c r="DH90">
        <f>IF($C$4="",1,IF($C$4="(blank)",--('Final Calculation Sheet'!$G$35=""),IF($C$4="(nonblank)",--('Final Calculation Sheet'!$G$35&lt;&gt;""),--ISNUMBER(SEARCH($C$4,'Final Calculation Sheet'!$G$35)))))</f>
        <v/>
      </c>
      <c r="DI90">
        <f>IF($D$4="",1,IF($D$4="(blank)",--('Final Calculation Sheet'!$B$35=""),IF($D$4="(nonblank)",--('Final Calculation Sheet'!$B$35&lt;&gt;""),--ISNUMBER(SEARCH($D$4,'Final Calculation Sheet'!$B$35)))))</f>
        <v/>
      </c>
      <c r="DJ90">
        <f>IF($E$4="",1,IF($E$4="(blank)",--('Final Calculation Sheet'!$D$35=""),IF($E$4="(nonblank)",--('Final Calculation Sheet'!$D$35&lt;&gt;""),--ISNUMBER(SEARCH($E$4,'Final Calculation Sheet'!$D$35)))))</f>
        <v/>
      </c>
      <c r="DK90">
        <f>IF($F$4="",1,IF($F$4="(blank)",--('Final Calculation Sheet'!$A$35=""),IF($F$4="(nonblank)",--('Final Calculation Sheet'!$A$35&lt;&gt;""),--ISNUMBER(SEARCH($F$4,'Final Calculation Sheet'!$A$35)))))</f>
        <v/>
      </c>
      <c r="DL90">
        <f>IF($G$4="",1,IF($G$4="(blank)",--('Final Calculation Sheet'!$E$35=""),IF($G$4="(nonblank)",--('Final Calculation Sheet'!$E$35&lt;&gt;""),--ISNUMBER(SEARCH($G$4,'Final Calculation Sheet'!$E$35)))))</f>
        <v/>
      </c>
      <c r="DM90">
        <f>IF($H$4="",1,IF($H$4="(blank)",--('Final Calculation Sheet'!$C$35=""),IF($H$4="(nonblank)",--('Final Calculation Sheet'!$C$35&lt;&gt;""),--ISNUMBER(SEARCH($H$4,'Final Calculation Sheet'!$C$35)))))</f>
        <v/>
      </c>
      <c r="DN90">
        <f>IF($I$4="",1,IF($I$4="(blank)",--('Final Calculation Sheet'!$H$35=""),IF($I$4="(nonblank)",--('Final Calculation Sheet'!$H$35&lt;&gt;""),--ISNUMBER(SEARCH($I$4,'Final Calculation Sheet'!$H$35)))))</f>
        <v/>
      </c>
      <c r="DO90">
        <f>IF($J$4="",1,IF($J$4="(blank)",--('Final Calculation Sheet'!$I$35=""),IF($J$4="(nonblank)",--('Final Calculation Sheet'!$I$35&lt;&gt;""),--ISNUMBER(SEARCH($J$4,'Final Calculation Sheet'!$I$35)))))</f>
        <v/>
      </c>
      <c r="DP90">
        <f>IF($K$4="",1,IF($K$4="(blank)",--('Final Calculation Sheet'!$J$35=""),IF($K$4="(nonblank)",--('Final Calculation Sheet'!$J$35&lt;&gt;""),--ISNUMBER(SEARCH($K$4,'Final Calculation Sheet'!$J$35)))))</f>
        <v/>
      </c>
      <c r="DQ90">
        <f>IF($L$4="",1,IF($L$4="(blank)",--('Final Calculation Sheet'!$K$35=""),IF($L$4="(nonblank)",--('Final Calculation Sheet'!$K$35&lt;&gt;""),--ISNUMBER(SEARCH($L$4,'Final Calculation Sheet'!$K$35)))))</f>
        <v/>
      </c>
      <c r="DR90">
        <f>IF($M$4="",1,IF($M$4="(blank)",--('Final Calculation Sheet'!$L$35=""),IF($M$4="(nonblank)",--('Final Calculation Sheet'!$L$35&lt;&gt;""),--ISNUMBER(SEARCH($M$4,'Final Calculation Sheet'!$L$35)))))</f>
        <v/>
      </c>
      <c r="DS90">
        <f>IF($N$4="",1,IF($N$4="(blank)",--('Final Calculation Sheet'!$M$35=""),IF($N$4="(nonblank)",--('Final Calculation Sheet'!$M$35&lt;&gt;""),--ISNUMBER(SEARCH($N$4,'Final Calculation Sheet'!$M$35)))))</f>
        <v/>
      </c>
      <c r="DT90">
        <f>IF($O$4="",1,IF($O$4="(blank)",--('Final Calculation Sheet'!$N$35=""),IF($O$4="(nonblank)",--('Final Calculation Sheet'!$N$35&lt;&gt;""),--ISNUMBER(SEARCH($O$4,'Final Calculation Sheet'!$N$35)))))</f>
        <v/>
      </c>
      <c r="DU90">
        <f>IF($P$4="",1,IF($P$4="(blank)",--('Final Calculation Sheet'!$O$35=""),IF($P$4="(nonblank)",--('Final Calculation Sheet'!$O$35&lt;&gt;""),--ISNUMBER(SEARCH($P$4,'Final Calculation Sheet'!$O$35)))))</f>
        <v/>
      </c>
      <c r="DV90">
        <f>IF($Q$4="",1,IF($Q$4="(blank)",--('Final Calculation Sheet'!$P$35=""),IF($Q$4="(nonblank)",--('Final Calculation Sheet'!$P$35&lt;&gt;""),--ISNUMBER(SEARCH($Q$4,'Final Calculation Sheet'!$P$35)))))</f>
        <v/>
      </c>
      <c r="DW90">
        <f>IF($R$4="",1,IF($R$4="(blank)",--('Final Calculation Sheet'!$Q$35=""),IF($R$4="(nonblank)",--('Final Calculation Sheet'!$Q$35&lt;&gt;""),--ISNUMBER(SEARCH($R$4,'Final Calculation Sheet'!$Q$35)))))</f>
        <v/>
      </c>
      <c r="DX90">
        <f>IF($S$4="",1,IF($S$4="(blank)",--('Final Calculation Sheet'!$R$35=""),IF($S$4="(nonblank)",--('Final Calculation Sheet'!$R$35&lt;&gt;""),--ISNUMBER(SEARCH($S$4,'Final Calculation Sheet'!$R$35)))))</f>
        <v/>
      </c>
      <c r="DY90">
        <f>IF($T$4="",1,IF($T$4="(blank)",--('Final Calculation Sheet'!$S$35=""),IF($T$4="(nonblank)",--('Final Calculation Sheet'!$S$35&lt;&gt;""),--ISNUMBER(SEARCH($T$4,'Final Calculation Sheet'!$S$35)))))</f>
        <v/>
      </c>
      <c r="DZ90">
        <f>IF($U$4="",1,IF($U$4="(blank)",--('Final Calculation Sheet'!$T$35=""),IF($U$4="(nonblank)",--('Final Calculation Sheet'!$T$35&lt;&gt;""),--ISNUMBER(SEARCH($U$4,'Final Calculation Sheet'!$T$35)))))</f>
        <v/>
      </c>
      <c r="EA90">
        <f>IF($V$4="",1,IF($V$4="(blank)",--('Final Calculation Sheet'!$U$35=""),IF($V$4="(nonblank)",--('Final Calculation Sheet'!$U$35&lt;&gt;""),--ISNUMBER(SEARCH($V$4,'Final Calculation Sheet'!$U$35)))))</f>
        <v/>
      </c>
      <c r="EB90">
        <f>IF($W$4="",1,IF($W$4="(blank)",--('Final Calculation Sheet'!$V$35=""),IF($W$4="(nonblank)",--('Final Calculation Sheet'!$V$35&lt;&gt;""),--ISNUMBER(SEARCH($W$4,'Final Calculation Sheet'!$V$35)))))</f>
        <v/>
      </c>
      <c r="EC90">
        <f>IF($X$4="",1,IF($X$4="(blank)",--('Final Calculation Sheet'!$W$35=""),IF($X$4="(nonblank)",--('Final Calculation Sheet'!$W$35&lt;&gt;""),--ISNUMBER(SEARCH($X$4,'Final Calculation Sheet'!$W$35)))))</f>
        <v/>
      </c>
      <c r="ED90">
        <f>IF($Y$4="",1,IF($Y$4="(blank)",--('Final Calculation Sheet'!$X$35=""),IF($Y$4="(nonblank)",--('Final Calculation Sheet'!$X$35&lt;&gt;""),--ISNUMBER(SEARCH($Y$4,'Final Calculation Sheet'!$X$35)))))</f>
        <v/>
      </c>
      <c r="EE90">
        <f>IF($Z$4="",1,IF($Z$4="(blank)",--('Final Calculation Sheet'!$Y$35=""),IF($Z$4="(nonblank)",--('Final Calculation Sheet'!$Y$35&lt;&gt;""),--ISNUMBER(SEARCH($Z$4,'Final Calculation Sheet'!$Y$35)))))</f>
        <v/>
      </c>
      <c r="EF90">
        <f>IF($AA$4="",1,IF($AA$4="(blank)",--('Final Calculation Sheet'!$Z$35=""),IF($AA$4="(nonblank)",--('Final Calculation Sheet'!$Z$35&lt;&gt;""),--ISNUMBER(SEARCH($AA$4,'Final Calculation Sheet'!$Z$35)))))</f>
        <v/>
      </c>
      <c r="EG90">
        <f>IF($AB$4="",1,IF($AB$4="(blank)",--('Final Calculation Sheet'!$AA$35=""),IF($AB$4="(nonblank)",--('Final Calculation Sheet'!$AA$35&lt;&gt;""),--ISNUMBER(SEARCH($AB$4,'Final Calculation Sheet'!$AA$35)))))</f>
        <v/>
      </c>
      <c r="EH90">
        <f>IF($AC$4="",1,IF($AC$4="(blank)",--('Final Calculation Sheet'!$AB$35=""),IF($AC$4="(nonblank)",--('Final Calculation Sheet'!$AB$35&lt;&gt;""),--ISNUMBER(SEARCH($AC$4,'Final Calculation Sheet'!$AB$35)))))</f>
        <v/>
      </c>
      <c r="EI90">
        <f>IF($AD$4="",1,IF($AD$4="(blank)",--('Final Calculation Sheet'!$AC$35=""),IF($AD$4="(nonblank)",--('Final Calculation Sheet'!$AC$35&lt;&gt;""),--ISNUMBER(SEARCH($AD$4,'Final Calculation Sheet'!$AC$35)))))</f>
        <v/>
      </c>
      <c r="EJ90">
        <f>IF($AE$4="",1,IF($AE$4="(blank)",--('Final Calculation Sheet'!$AD$35=""),IF($AE$4="(nonblank)",--('Final Calculation Sheet'!$AD$35&lt;&gt;""),--ISNUMBER(SEARCH($AE$4,'Final Calculation Sheet'!$AD$35)))))</f>
        <v/>
      </c>
      <c r="EK90">
        <f>IF($AF$4="",1,IF($AF$4="(blank)",--(IF('Final Calculation Sheet'!$AD$35&lt;=5,"SETTLED","OUTSTANDING")=""),IF($AF$4="(nonblank)",--(IF('Final Calculation Sheet'!$AD$35&lt;=5,"SETTLED","OUTSTANDING")&lt;&gt;""),--ISNUMBER(SEARCH($AF$4,IF('Final Calculation Sheet'!$AD$35&lt;=5,"SETTLED","OUTSTANDING"))))))</f>
        <v/>
      </c>
      <c r="EL90">
        <f>IF($AG$4="",1,IF($AG$4="(blank)",--('Final Calculation Sheet'!$AF$35=""),IF($AG$4="(nonblank)",--('Final Calculation Sheet'!$AF$35&lt;&gt;""),--ISNUMBER(SEARCH($AG$4,'Final Calculation Sheet'!$AF$35)))))</f>
        <v/>
      </c>
      <c r="EM90">
        <f>IF($AH$4="",1,IF($AH$4="(blank)",--('Final Calculation Sheet'!$AG$35=""),IF($AH$4="(nonblank)",--('Final Calculation Sheet'!$AG$35&lt;&gt;""),--ISNUMBER(SEARCH($AH$4,'Final Calculation Sheet'!$AG$35)))))</f>
        <v/>
      </c>
      <c r="EN90">
        <f>IF($AI$4="",1,IF($AI$4="(blank)",--('Final Calculation Sheet'!$AH$35=""),IF($AI$4="(nonblank)",--('Final Calculation Sheet'!$AH$35&lt;&gt;""),--ISNUMBER(SEARCH($AI$4,'Final Calculation Sheet'!$AH$35)))))</f>
        <v/>
      </c>
    </row>
    <row r="91">
      <c r="AM91">
        <f>AM90+IF(AND(Lists!$O$38&lt;&gt;"",ISNUMBER(SEARCH($B$4,Lists!$O$38))),1,0)</f>
        <v/>
      </c>
      <c r="AN91">
        <f>IF(ROW()-56&gt;MAX($AM$57:$AM$95),"",INDEX(Lists!$O$4:$O$42,MATCH(ROW()-56,$AM$57:$AM$95,0)))</f>
        <v/>
      </c>
      <c r="AO91">
        <f>AO90+IF(AND(Lists!$T$38&lt;&gt;"",ISNUMBER(SEARCH($C$4,Lists!$T$38))),1,0)</f>
        <v/>
      </c>
      <c r="AP91">
        <f>IF(ROW()-56&gt;MAX($AO$57:$AO$95),"",INDEX(Lists!$T$4:$T$42,MATCH(ROW()-56,$AO$57:$AO$95,0)))</f>
        <v/>
      </c>
      <c r="AQ91">
        <f>AQ90+IF(AND(Lists!$Y$38&lt;&gt;"",ISNUMBER(SEARCH($D$4,Lists!$Y$38))),1,0)</f>
        <v/>
      </c>
      <c r="AR91">
        <f>IF(ROW()-56&gt;MAX($AQ$57:$AQ$95),"",INDEX(Lists!$Y$4:$Y$42,MATCH(ROW()-56,$AQ$57:$AQ$95,0)))</f>
        <v/>
      </c>
      <c r="AS91">
        <f>AS90+IF(AND(Lists!$AD$38&lt;&gt;"",ISNUMBER(SEARCH($E$4,Lists!$AD$38))),1,0)</f>
        <v/>
      </c>
      <c r="AT91">
        <f>IF(ROW()-56&gt;MAX($AS$57:$AS$95),"",INDEX(Lists!$AD$4:$AD$42,MATCH(ROW()-56,$AS$57:$AS$95,0)))</f>
        <v/>
      </c>
      <c r="AU91">
        <f>AU90+IF(AND(Lists!$AI$38&lt;&gt;"",ISNUMBER(SEARCH($F$4,Lists!$AI$38))),1,0)</f>
        <v/>
      </c>
      <c r="AV91">
        <f>IF(ROW()-56&gt;MAX($AU$57:$AU$95),"",INDEX(Lists!$AI$4:$AI$42,MATCH(ROW()-56,$AU$57:$AU$95,0)))</f>
        <v/>
      </c>
      <c r="AW91">
        <f>AW90+IF(AND(Lists!$AN$38&lt;&gt;"",ISNUMBER(SEARCH($G$4,Lists!$AN$38))),1,0)</f>
        <v/>
      </c>
      <c r="AX91">
        <f>IF(ROW()-56&gt;MAX($AW$57:$AW$95),"",INDEX(Lists!$AN$4:$AN$42,MATCH(ROW()-56,$AW$57:$AW$95,0)))</f>
        <v/>
      </c>
      <c r="AY91">
        <f>AY90+IF(AND(Lists!$AS$38&lt;&gt;"",ISNUMBER(SEARCH($H$4,Lists!$AS$38))),1,0)</f>
        <v/>
      </c>
      <c r="AZ91">
        <f>IF(ROW()-56&gt;MAX($AY$57:$AY$95),"",INDEX(Lists!$AS$4:$AS$42,MATCH(ROW()-56,$AY$57:$AY$95,0)))</f>
        <v/>
      </c>
      <c r="BA91">
        <f>BA90+IF(AND(Lists!$AX$38&lt;&gt;"",ISNUMBER(SEARCH($I$4,Lists!$AX$38))),1,0)</f>
        <v/>
      </c>
      <c r="BB91">
        <f>IF(ROW()-56&gt;MAX($BA$57:$BA$95),"",INDEX(Lists!$AX$4:$AX$42,MATCH(ROW()-56,$BA$57:$BA$95,0)))</f>
        <v/>
      </c>
      <c r="BC91">
        <f>BC90+IF(AND(Lists!$BC$38&lt;&gt;"",ISNUMBER(SEARCH($J$4,Lists!$BC$38))),1,0)</f>
        <v/>
      </c>
      <c r="BD91">
        <f>IF(ROW()-56&gt;MAX($BC$57:$BC$95),"",INDEX(Lists!$BC$4:$BC$42,MATCH(ROW()-56,$BC$57:$BC$95,0)))</f>
        <v/>
      </c>
      <c r="BE91">
        <f>BE90+IF(AND(Lists!$BH$38&lt;&gt;"",ISNUMBER(SEARCH($K$4,Lists!$BH$38))),1,0)</f>
        <v/>
      </c>
      <c r="BF91">
        <f>IF(ROW()-56&gt;MAX($BE$57:$BE$95),"",INDEX(Lists!$BH$4:$BH$42,MATCH(ROW()-56,$BE$57:$BE$95,0)))</f>
        <v/>
      </c>
      <c r="BG91">
        <f>BG90+IF(AND(Lists!$BM$38&lt;&gt;"",ISNUMBER(SEARCH($L$4,Lists!$BM$38))),1,0)</f>
        <v/>
      </c>
      <c r="BH91">
        <f>IF(ROW()-56&gt;MAX($BG$57:$BG$95),"",INDEX(Lists!$BM$4:$BM$42,MATCH(ROW()-56,$BG$57:$BG$95,0)))</f>
        <v/>
      </c>
      <c r="BI91">
        <f>BI90+IF(AND(Lists!$BR$38&lt;&gt;"",ISNUMBER(SEARCH($M$4,Lists!$BR$38))),1,0)</f>
        <v/>
      </c>
      <c r="BJ91">
        <f>IF(ROW()-56&gt;MAX($BI$57:$BI$95),"",INDEX(Lists!$BR$4:$BR$42,MATCH(ROW()-56,$BI$57:$BI$95,0)))</f>
        <v/>
      </c>
      <c r="BK91">
        <f>BK90+IF(AND(Lists!$BW$38&lt;&gt;"",ISNUMBER(SEARCH($N$4,Lists!$BW$38))),1,0)</f>
        <v/>
      </c>
      <c r="BL91">
        <f>IF(ROW()-56&gt;MAX($BK$57:$BK$95),"",INDEX(Lists!$BW$4:$BW$42,MATCH(ROW()-56,$BK$57:$BK$95,0)))</f>
        <v/>
      </c>
      <c r="BM91">
        <f>BM90+IF(AND(Lists!$CB$38&lt;&gt;"",ISNUMBER(SEARCH($O$4,Lists!$CB$38))),1,0)</f>
        <v/>
      </c>
      <c r="BN91">
        <f>IF(ROW()-56&gt;MAX($BM$57:$BM$95),"",INDEX(Lists!$CB$4:$CB$42,MATCH(ROW()-56,$BM$57:$BM$95,0)))</f>
        <v/>
      </c>
      <c r="BO91">
        <f>BO90+IF(AND(Lists!$CG$38&lt;&gt;"",ISNUMBER(SEARCH($P$4,Lists!$CG$38))),1,0)</f>
        <v/>
      </c>
      <c r="BP91">
        <f>IF(ROW()-56&gt;MAX($BO$57:$BO$95),"",INDEX(Lists!$CG$4:$CG$42,MATCH(ROW()-56,$BO$57:$BO$95,0)))</f>
        <v/>
      </c>
      <c r="BQ91">
        <f>BQ90+IF(AND(Lists!$CL$38&lt;&gt;"",ISNUMBER(SEARCH($Q$4,Lists!$CL$38))),1,0)</f>
        <v/>
      </c>
      <c r="BR91">
        <f>IF(ROW()-56&gt;MAX($BQ$57:$BQ$95),"",INDEX(Lists!$CL$4:$CL$42,MATCH(ROW()-56,$BQ$57:$BQ$95,0)))</f>
        <v/>
      </c>
      <c r="BS91">
        <f>BS90+IF(AND(Lists!$CQ$38&lt;&gt;"",ISNUMBER(SEARCH($R$4,Lists!$CQ$38))),1,0)</f>
        <v/>
      </c>
      <c r="BT91">
        <f>IF(ROW()-56&gt;MAX($BS$57:$BS$95),"",INDEX(Lists!$CQ$4:$CQ$42,MATCH(ROW()-56,$BS$57:$BS$95,0)))</f>
        <v/>
      </c>
      <c r="BU91">
        <f>BU90+IF(AND(Lists!$CV$38&lt;&gt;"",ISNUMBER(SEARCH($S$4,Lists!$CV$38))),1,0)</f>
        <v/>
      </c>
      <c r="BV91">
        <f>IF(ROW()-56&gt;MAX($BU$57:$BU$95),"",INDEX(Lists!$CV$4:$CV$42,MATCH(ROW()-56,$BU$57:$BU$95,0)))</f>
        <v/>
      </c>
      <c r="BW91">
        <f>BW90+IF(AND(Lists!$DA$38&lt;&gt;"",ISNUMBER(SEARCH($T$4,Lists!$DA$38))),1,0)</f>
        <v/>
      </c>
      <c r="BX91">
        <f>IF(ROW()-56&gt;MAX($BW$57:$BW$95),"",INDEX(Lists!$DA$4:$DA$42,MATCH(ROW()-56,$BW$57:$BW$95,0)))</f>
        <v/>
      </c>
      <c r="BY91">
        <f>BY90+IF(AND(Lists!$DF$38&lt;&gt;"",ISNUMBER(SEARCH($U$4,Lists!$DF$38))),1,0)</f>
        <v/>
      </c>
      <c r="BZ91">
        <f>IF(ROW()-56&gt;MAX($BY$57:$BY$95),"",INDEX(Lists!$DF$4:$DF$42,MATCH(ROW()-56,$BY$57:$BY$95,0)))</f>
        <v/>
      </c>
      <c r="CA91">
        <f>CA90+IF(AND(Lists!$DK$38&lt;&gt;"",ISNUMBER(SEARCH($V$4,Lists!$DK$38))),1,0)</f>
        <v/>
      </c>
      <c r="CB91">
        <f>IF(ROW()-56&gt;MAX($CA$57:$CA$95),"",INDEX(Lists!$DK$4:$DK$42,MATCH(ROW()-56,$CA$57:$CA$95,0)))</f>
        <v/>
      </c>
      <c r="CC91">
        <f>CC90+IF(AND(Lists!$DP$38&lt;&gt;"",ISNUMBER(SEARCH($W$4,Lists!$DP$38))),1,0)</f>
        <v/>
      </c>
      <c r="CD91">
        <f>IF(ROW()-56&gt;MAX($CC$57:$CC$95),"",INDEX(Lists!$DP$4:$DP$42,MATCH(ROW()-56,$CC$57:$CC$95,0)))</f>
        <v/>
      </c>
      <c r="CE91">
        <f>CE90+IF(AND(Lists!$DU$38&lt;&gt;"",ISNUMBER(SEARCH($X$4,Lists!$DU$38))),1,0)</f>
        <v/>
      </c>
      <c r="CF91">
        <f>IF(ROW()-56&gt;MAX($CE$57:$CE$95),"",INDEX(Lists!$DU$4:$DU$42,MATCH(ROW()-56,$CE$57:$CE$95,0)))</f>
        <v/>
      </c>
      <c r="CG91">
        <f>CG90+IF(AND(Lists!$DZ$38&lt;&gt;"",ISNUMBER(SEARCH($Y$4,Lists!$DZ$38))),1,0)</f>
        <v/>
      </c>
      <c r="CH91">
        <f>IF(ROW()-56&gt;MAX($CG$57:$CG$95),"",INDEX(Lists!$DZ$4:$DZ$42,MATCH(ROW()-56,$CG$57:$CG$95,0)))</f>
        <v/>
      </c>
      <c r="CI91">
        <f>CI90+IF(AND(Lists!$EE$38&lt;&gt;"",ISNUMBER(SEARCH($Z$4,Lists!$EE$38))),1,0)</f>
        <v/>
      </c>
      <c r="CJ91">
        <f>IF(ROW()-56&gt;MAX($CI$57:$CI$95),"",INDEX(Lists!$EE$4:$EE$42,MATCH(ROW()-56,$CI$57:$CI$95,0)))</f>
        <v/>
      </c>
      <c r="CK91">
        <f>CK90+IF(AND(Lists!$EJ$38&lt;&gt;"",ISNUMBER(SEARCH($AA$4,Lists!$EJ$38))),1,0)</f>
        <v/>
      </c>
      <c r="CL91">
        <f>IF(ROW()-56&gt;MAX($CK$57:$CK$95),"",INDEX(Lists!$EJ$4:$EJ$42,MATCH(ROW()-56,$CK$57:$CK$95,0)))</f>
        <v/>
      </c>
      <c r="CM91">
        <f>CM90+IF(AND(Lists!$EO$38&lt;&gt;"",ISNUMBER(SEARCH($AB$4,Lists!$EO$38))),1,0)</f>
        <v/>
      </c>
      <c r="CN91">
        <f>IF(ROW()-56&gt;MAX($CM$57:$CM$95),"",INDEX(Lists!$EO$4:$EO$42,MATCH(ROW()-56,$CM$57:$CM$95,0)))</f>
        <v/>
      </c>
      <c r="CO91">
        <f>CO90+IF(AND(Lists!$ET$38&lt;&gt;"",ISNUMBER(SEARCH($AC$4,Lists!$ET$38))),1,0)</f>
        <v/>
      </c>
      <c r="CP91">
        <f>IF(ROW()-56&gt;MAX($CO$57:$CO$95),"",INDEX(Lists!$ET$4:$ET$42,MATCH(ROW()-56,$CO$57:$CO$95,0)))</f>
        <v/>
      </c>
      <c r="CQ91">
        <f>CQ90+IF(AND(Lists!$EY$38&lt;&gt;"",ISNUMBER(SEARCH($AD$4,Lists!$EY$38))),1,0)</f>
        <v/>
      </c>
      <c r="CR91">
        <f>IF(ROW()-56&gt;MAX($CQ$57:$CQ$95),"",INDEX(Lists!$EY$4:$EY$42,MATCH(ROW()-56,$CQ$57:$CQ$95,0)))</f>
        <v/>
      </c>
      <c r="CS91">
        <f>CS90+IF(AND(Lists!$FD$38&lt;&gt;"",ISNUMBER(SEARCH($AE$4,Lists!$FD$38))),1,0)</f>
        <v/>
      </c>
      <c r="CT91">
        <f>IF(ROW()-56&gt;MAX($CS$57:$CS$95),"",INDEX(Lists!$FD$4:$FD$42,MATCH(ROW()-56,$CS$57:$CS$95,0)))</f>
        <v/>
      </c>
      <c r="CU91">
        <f>CU90+IF(AND(Lists!$FI$38&lt;&gt;"",ISNUMBER(SEARCH($AG$4,Lists!$FI$38))),1,0)</f>
        <v/>
      </c>
      <c r="CV91">
        <f>IF(ROW()-56&gt;MAX($CU$57:$CU$95),"",INDEX(Lists!$FI$4:$FI$42,MATCH(ROW()-56,$CU$57:$CU$95,0)))</f>
        <v/>
      </c>
      <c r="CW91">
        <f>CW90+IF(AND(Lists!$FN$38&lt;&gt;"",ISNUMBER(SEARCH($AH$4,Lists!$FN$38))),1,0)</f>
        <v/>
      </c>
      <c r="CX91">
        <f>IF(ROW()-56&gt;MAX($CW$57:$CW$95),"",INDEX(Lists!$FN$4:$FN$42,MATCH(ROW()-56,$CW$57:$CW$95,0)))</f>
        <v/>
      </c>
      <c r="CY91">
        <f>CY90+IF(AND(Lists!$FS$38&lt;&gt;"",ISNUMBER(SEARCH($AI$4,Lists!$FS$38))),1,0)</f>
        <v/>
      </c>
      <c r="CZ91">
        <f>IF(ROW()-56&gt;MAX($CY$57:$CY$95),"",INDEX(Lists!$FS$4:$FS$42,MATCH(ROW()-56,$CY$57:$CY$95,0)))</f>
        <v/>
      </c>
      <c r="DA91">
        <f>DA90+IF(AND(Lists!$FX$38&lt;&gt;"",ISNUMBER(SEARCH($AF$4,Lists!$FX$38))),1,0)</f>
        <v/>
      </c>
      <c r="DB91">
        <f>IF(ROW()-56&gt;MAX($DA$57:$DA$95),"",INDEX(Lists!$FX$4:$FX$42,MATCH(ROW()-56,$DA$57:$DA$95,0)))</f>
        <v/>
      </c>
      <c r="DG91">
        <f>IF($B$4="",1,IF($B$4="(blank)",--('Final Calculation Sheet'!$F$36=""),IF($B$4="(nonblank)",--('Final Calculation Sheet'!$F$36&lt;&gt;""),--ISNUMBER(SEARCH($B$4,'Final Calculation Sheet'!$F$36)))))</f>
        <v/>
      </c>
      <c r="DH91">
        <f>IF($C$4="",1,IF($C$4="(blank)",--('Final Calculation Sheet'!$G$36=""),IF($C$4="(nonblank)",--('Final Calculation Sheet'!$G$36&lt;&gt;""),--ISNUMBER(SEARCH($C$4,'Final Calculation Sheet'!$G$36)))))</f>
        <v/>
      </c>
      <c r="DI91">
        <f>IF($D$4="",1,IF($D$4="(blank)",--('Final Calculation Sheet'!$B$36=""),IF($D$4="(nonblank)",--('Final Calculation Sheet'!$B$36&lt;&gt;""),--ISNUMBER(SEARCH($D$4,'Final Calculation Sheet'!$B$36)))))</f>
        <v/>
      </c>
      <c r="DJ91">
        <f>IF($E$4="",1,IF($E$4="(blank)",--('Final Calculation Sheet'!$D$36=""),IF($E$4="(nonblank)",--('Final Calculation Sheet'!$D$36&lt;&gt;""),--ISNUMBER(SEARCH($E$4,'Final Calculation Sheet'!$D$36)))))</f>
        <v/>
      </c>
      <c r="DK91">
        <f>IF($F$4="",1,IF($F$4="(blank)",--('Final Calculation Sheet'!$A$36=""),IF($F$4="(nonblank)",--('Final Calculation Sheet'!$A$36&lt;&gt;""),--ISNUMBER(SEARCH($F$4,'Final Calculation Sheet'!$A$36)))))</f>
        <v/>
      </c>
      <c r="DL91">
        <f>IF($G$4="",1,IF($G$4="(blank)",--('Final Calculation Sheet'!$E$36=""),IF($G$4="(nonblank)",--('Final Calculation Sheet'!$E$36&lt;&gt;""),--ISNUMBER(SEARCH($G$4,'Final Calculation Sheet'!$E$36)))))</f>
        <v/>
      </c>
      <c r="DM91">
        <f>IF($H$4="",1,IF($H$4="(blank)",--('Final Calculation Sheet'!$C$36=""),IF($H$4="(nonblank)",--('Final Calculation Sheet'!$C$36&lt;&gt;""),--ISNUMBER(SEARCH($H$4,'Final Calculation Sheet'!$C$36)))))</f>
        <v/>
      </c>
      <c r="DN91">
        <f>IF($I$4="",1,IF($I$4="(blank)",--('Final Calculation Sheet'!$H$36=""),IF($I$4="(nonblank)",--('Final Calculation Sheet'!$H$36&lt;&gt;""),--ISNUMBER(SEARCH($I$4,'Final Calculation Sheet'!$H$36)))))</f>
        <v/>
      </c>
      <c r="DO91">
        <f>IF($J$4="",1,IF($J$4="(blank)",--('Final Calculation Sheet'!$I$36=""),IF($J$4="(nonblank)",--('Final Calculation Sheet'!$I$36&lt;&gt;""),--ISNUMBER(SEARCH($J$4,'Final Calculation Sheet'!$I$36)))))</f>
        <v/>
      </c>
      <c r="DP91">
        <f>IF($K$4="",1,IF($K$4="(blank)",--('Final Calculation Sheet'!$J$36=""),IF($K$4="(nonblank)",--('Final Calculation Sheet'!$J$36&lt;&gt;""),--ISNUMBER(SEARCH($K$4,'Final Calculation Sheet'!$J$36)))))</f>
        <v/>
      </c>
      <c r="DQ91">
        <f>IF($L$4="",1,IF($L$4="(blank)",--('Final Calculation Sheet'!$K$36=""),IF($L$4="(nonblank)",--('Final Calculation Sheet'!$K$36&lt;&gt;""),--ISNUMBER(SEARCH($L$4,'Final Calculation Sheet'!$K$36)))))</f>
        <v/>
      </c>
      <c r="DR91">
        <f>IF($M$4="",1,IF($M$4="(blank)",--('Final Calculation Sheet'!$L$36=""),IF($M$4="(nonblank)",--('Final Calculation Sheet'!$L$36&lt;&gt;""),--ISNUMBER(SEARCH($M$4,'Final Calculation Sheet'!$L$36)))))</f>
        <v/>
      </c>
      <c r="DS91">
        <f>IF($N$4="",1,IF($N$4="(blank)",--('Final Calculation Sheet'!$M$36=""),IF($N$4="(nonblank)",--('Final Calculation Sheet'!$M$36&lt;&gt;""),--ISNUMBER(SEARCH($N$4,'Final Calculation Sheet'!$M$36)))))</f>
        <v/>
      </c>
      <c r="DT91">
        <f>IF($O$4="",1,IF($O$4="(blank)",--('Final Calculation Sheet'!$N$36=""),IF($O$4="(nonblank)",--('Final Calculation Sheet'!$N$36&lt;&gt;""),--ISNUMBER(SEARCH($O$4,'Final Calculation Sheet'!$N$36)))))</f>
        <v/>
      </c>
      <c r="DU91">
        <f>IF($P$4="",1,IF($P$4="(blank)",--('Final Calculation Sheet'!$O$36=""),IF($P$4="(nonblank)",--('Final Calculation Sheet'!$O$36&lt;&gt;""),--ISNUMBER(SEARCH($P$4,'Final Calculation Sheet'!$O$36)))))</f>
        <v/>
      </c>
      <c r="DV91">
        <f>IF($Q$4="",1,IF($Q$4="(blank)",--('Final Calculation Sheet'!$P$36=""),IF($Q$4="(nonblank)",--('Final Calculation Sheet'!$P$36&lt;&gt;""),--ISNUMBER(SEARCH($Q$4,'Final Calculation Sheet'!$P$36)))))</f>
        <v/>
      </c>
      <c r="DW91">
        <f>IF($R$4="",1,IF($R$4="(blank)",--('Final Calculation Sheet'!$Q$36=""),IF($R$4="(nonblank)",--('Final Calculation Sheet'!$Q$36&lt;&gt;""),--ISNUMBER(SEARCH($R$4,'Final Calculation Sheet'!$Q$36)))))</f>
        <v/>
      </c>
      <c r="DX91">
        <f>IF($S$4="",1,IF($S$4="(blank)",--('Final Calculation Sheet'!$R$36=""),IF($S$4="(nonblank)",--('Final Calculation Sheet'!$R$36&lt;&gt;""),--ISNUMBER(SEARCH($S$4,'Final Calculation Sheet'!$R$36)))))</f>
        <v/>
      </c>
      <c r="DY91">
        <f>IF($T$4="",1,IF($T$4="(blank)",--('Final Calculation Sheet'!$S$36=""),IF($T$4="(nonblank)",--('Final Calculation Sheet'!$S$36&lt;&gt;""),--ISNUMBER(SEARCH($T$4,'Final Calculation Sheet'!$S$36)))))</f>
        <v/>
      </c>
      <c r="DZ91">
        <f>IF($U$4="",1,IF($U$4="(blank)",--('Final Calculation Sheet'!$T$36=""),IF($U$4="(nonblank)",--('Final Calculation Sheet'!$T$36&lt;&gt;""),--ISNUMBER(SEARCH($U$4,'Final Calculation Sheet'!$T$36)))))</f>
        <v/>
      </c>
      <c r="EA91">
        <f>IF($V$4="",1,IF($V$4="(blank)",--('Final Calculation Sheet'!$U$36=""),IF($V$4="(nonblank)",--('Final Calculation Sheet'!$U$36&lt;&gt;""),--ISNUMBER(SEARCH($V$4,'Final Calculation Sheet'!$U$36)))))</f>
        <v/>
      </c>
      <c r="EB91">
        <f>IF($W$4="",1,IF($W$4="(blank)",--('Final Calculation Sheet'!$V$36=""),IF($W$4="(nonblank)",--('Final Calculation Sheet'!$V$36&lt;&gt;""),--ISNUMBER(SEARCH($W$4,'Final Calculation Sheet'!$V$36)))))</f>
        <v/>
      </c>
      <c r="EC91">
        <f>IF($X$4="",1,IF($X$4="(blank)",--('Final Calculation Sheet'!$W$36=""),IF($X$4="(nonblank)",--('Final Calculation Sheet'!$W$36&lt;&gt;""),--ISNUMBER(SEARCH($X$4,'Final Calculation Sheet'!$W$36)))))</f>
        <v/>
      </c>
      <c r="ED91">
        <f>IF($Y$4="",1,IF($Y$4="(blank)",--('Final Calculation Sheet'!$X$36=""),IF($Y$4="(nonblank)",--('Final Calculation Sheet'!$X$36&lt;&gt;""),--ISNUMBER(SEARCH($Y$4,'Final Calculation Sheet'!$X$36)))))</f>
        <v/>
      </c>
      <c r="EE91">
        <f>IF($Z$4="",1,IF($Z$4="(blank)",--('Final Calculation Sheet'!$Y$36=""),IF($Z$4="(nonblank)",--('Final Calculation Sheet'!$Y$36&lt;&gt;""),--ISNUMBER(SEARCH($Z$4,'Final Calculation Sheet'!$Y$36)))))</f>
        <v/>
      </c>
      <c r="EF91">
        <f>IF($AA$4="",1,IF($AA$4="(blank)",--('Final Calculation Sheet'!$Z$36=""),IF($AA$4="(nonblank)",--('Final Calculation Sheet'!$Z$36&lt;&gt;""),--ISNUMBER(SEARCH($AA$4,'Final Calculation Sheet'!$Z$36)))))</f>
        <v/>
      </c>
      <c r="EG91">
        <f>IF($AB$4="",1,IF($AB$4="(blank)",--('Final Calculation Sheet'!$AA$36=""),IF($AB$4="(nonblank)",--('Final Calculation Sheet'!$AA$36&lt;&gt;""),--ISNUMBER(SEARCH($AB$4,'Final Calculation Sheet'!$AA$36)))))</f>
        <v/>
      </c>
      <c r="EH91">
        <f>IF($AC$4="",1,IF($AC$4="(blank)",--('Final Calculation Sheet'!$AB$36=""),IF($AC$4="(nonblank)",--('Final Calculation Sheet'!$AB$36&lt;&gt;""),--ISNUMBER(SEARCH($AC$4,'Final Calculation Sheet'!$AB$36)))))</f>
        <v/>
      </c>
      <c r="EI91">
        <f>IF($AD$4="",1,IF($AD$4="(blank)",--('Final Calculation Sheet'!$AC$36=""),IF($AD$4="(nonblank)",--('Final Calculation Sheet'!$AC$36&lt;&gt;""),--ISNUMBER(SEARCH($AD$4,'Final Calculation Sheet'!$AC$36)))))</f>
        <v/>
      </c>
      <c r="EJ91">
        <f>IF($AE$4="",1,IF($AE$4="(blank)",--('Final Calculation Sheet'!$AD$36=""),IF($AE$4="(nonblank)",--('Final Calculation Sheet'!$AD$36&lt;&gt;""),--ISNUMBER(SEARCH($AE$4,'Final Calculation Sheet'!$AD$36)))))</f>
        <v/>
      </c>
      <c r="EK91">
        <f>IF($AF$4="",1,IF($AF$4="(blank)",--(IF('Final Calculation Sheet'!$AD$36&lt;=5,"SETTLED","OUTSTANDING")=""),IF($AF$4="(nonblank)",--(IF('Final Calculation Sheet'!$AD$36&lt;=5,"SETTLED","OUTSTANDING")&lt;&gt;""),--ISNUMBER(SEARCH($AF$4,IF('Final Calculation Sheet'!$AD$36&lt;=5,"SETTLED","OUTSTANDING"))))))</f>
        <v/>
      </c>
      <c r="EL91">
        <f>IF($AG$4="",1,IF($AG$4="(blank)",--('Final Calculation Sheet'!$AF$36=""),IF($AG$4="(nonblank)",--('Final Calculation Sheet'!$AF$36&lt;&gt;""),--ISNUMBER(SEARCH($AG$4,'Final Calculation Sheet'!$AF$36)))))</f>
        <v/>
      </c>
      <c r="EM91">
        <f>IF($AH$4="",1,IF($AH$4="(blank)",--('Final Calculation Sheet'!$AG$36=""),IF($AH$4="(nonblank)",--('Final Calculation Sheet'!$AG$36&lt;&gt;""),--ISNUMBER(SEARCH($AH$4,'Final Calculation Sheet'!$AG$36)))))</f>
        <v/>
      </c>
      <c r="EN91">
        <f>IF($AI$4="",1,IF($AI$4="(blank)",--('Final Calculation Sheet'!$AH$36=""),IF($AI$4="(nonblank)",--('Final Calculation Sheet'!$AH$36&lt;&gt;""),--ISNUMBER(SEARCH($AI$4,'Final Calculation Sheet'!$AH$36)))))</f>
        <v/>
      </c>
    </row>
    <row r="92">
      <c r="AM92">
        <f>AM91+IF(AND(Lists!$O$39&lt;&gt;"",ISNUMBER(SEARCH($B$4,Lists!$O$39))),1,0)</f>
        <v/>
      </c>
      <c r="AN92">
        <f>IF(ROW()-56&gt;MAX($AM$57:$AM$95),"",INDEX(Lists!$O$4:$O$42,MATCH(ROW()-56,$AM$57:$AM$95,0)))</f>
        <v/>
      </c>
      <c r="AO92">
        <f>AO91+IF(AND(Lists!$T$39&lt;&gt;"",ISNUMBER(SEARCH($C$4,Lists!$T$39))),1,0)</f>
        <v/>
      </c>
      <c r="AP92">
        <f>IF(ROW()-56&gt;MAX($AO$57:$AO$95),"",INDEX(Lists!$T$4:$T$42,MATCH(ROW()-56,$AO$57:$AO$95,0)))</f>
        <v/>
      </c>
      <c r="AQ92">
        <f>AQ91+IF(AND(Lists!$Y$39&lt;&gt;"",ISNUMBER(SEARCH($D$4,Lists!$Y$39))),1,0)</f>
        <v/>
      </c>
      <c r="AR92">
        <f>IF(ROW()-56&gt;MAX($AQ$57:$AQ$95),"",INDEX(Lists!$Y$4:$Y$42,MATCH(ROW()-56,$AQ$57:$AQ$95,0)))</f>
        <v/>
      </c>
      <c r="AS92">
        <f>AS91+IF(AND(Lists!$AD$39&lt;&gt;"",ISNUMBER(SEARCH($E$4,Lists!$AD$39))),1,0)</f>
        <v/>
      </c>
      <c r="AT92">
        <f>IF(ROW()-56&gt;MAX($AS$57:$AS$95),"",INDEX(Lists!$AD$4:$AD$42,MATCH(ROW()-56,$AS$57:$AS$95,0)))</f>
        <v/>
      </c>
      <c r="AU92">
        <f>AU91+IF(AND(Lists!$AI$39&lt;&gt;"",ISNUMBER(SEARCH($F$4,Lists!$AI$39))),1,0)</f>
        <v/>
      </c>
      <c r="AV92">
        <f>IF(ROW()-56&gt;MAX($AU$57:$AU$95),"",INDEX(Lists!$AI$4:$AI$42,MATCH(ROW()-56,$AU$57:$AU$95,0)))</f>
        <v/>
      </c>
      <c r="AW92">
        <f>AW91+IF(AND(Lists!$AN$39&lt;&gt;"",ISNUMBER(SEARCH($G$4,Lists!$AN$39))),1,0)</f>
        <v/>
      </c>
      <c r="AX92">
        <f>IF(ROW()-56&gt;MAX($AW$57:$AW$95),"",INDEX(Lists!$AN$4:$AN$42,MATCH(ROW()-56,$AW$57:$AW$95,0)))</f>
        <v/>
      </c>
      <c r="AY92">
        <f>AY91+IF(AND(Lists!$AS$39&lt;&gt;"",ISNUMBER(SEARCH($H$4,Lists!$AS$39))),1,0)</f>
        <v/>
      </c>
      <c r="AZ92">
        <f>IF(ROW()-56&gt;MAX($AY$57:$AY$95),"",INDEX(Lists!$AS$4:$AS$42,MATCH(ROW()-56,$AY$57:$AY$95,0)))</f>
        <v/>
      </c>
      <c r="BA92">
        <f>BA91+IF(AND(Lists!$AX$39&lt;&gt;"",ISNUMBER(SEARCH($I$4,Lists!$AX$39))),1,0)</f>
        <v/>
      </c>
      <c r="BB92">
        <f>IF(ROW()-56&gt;MAX($BA$57:$BA$95),"",INDEX(Lists!$AX$4:$AX$42,MATCH(ROW()-56,$BA$57:$BA$95,0)))</f>
        <v/>
      </c>
      <c r="BC92">
        <f>BC91+IF(AND(Lists!$BC$39&lt;&gt;"",ISNUMBER(SEARCH($J$4,Lists!$BC$39))),1,0)</f>
        <v/>
      </c>
      <c r="BD92">
        <f>IF(ROW()-56&gt;MAX($BC$57:$BC$95),"",INDEX(Lists!$BC$4:$BC$42,MATCH(ROW()-56,$BC$57:$BC$95,0)))</f>
        <v/>
      </c>
      <c r="BE92">
        <f>BE91+IF(AND(Lists!$BH$39&lt;&gt;"",ISNUMBER(SEARCH($K$4,Lists!$BH$39))),1,0)</f>
        <v/>
      </c>
      <c r="BF92">
        <f>IF(ROW()-56&gt;MAX($BE$57:$BE$95),"",INDEX(Lists!$BH$4:$BH$42,MATCH(ROW()-56,$BE$57:$BE$95,0)))</f>
        <v/>
      </c>
      <c r="BG92">
        <f>BG91+IF(AND(Lists!$BM$39&lt;&gt;"",ISNUMBER(SEARCH($L$4,Lists!$BM$39))),1,0)</f>
        <v/>
      </c>
      <c r="BH92">
        <f>IF(ROW()-56&gt;MAX($BG$57:$BG$95),"",INDEX(Lists!$BM$4:$BM$42,MATCH(ROW()-56,$BG$57:$BG$95,0)))</f>
        <v/>
      </c>
      <c r="BI92">
        <f>BI91+IF(AND(Lists!$BR$39&lt;&gt;"",ISNUMBER(SEARCH($M$4,Lists!$BR$39))),1,0)</f>
        <v/>
      </c>
      <c r="BJ92">
        <f>IF(ROW()-56&gt;MAX($BI$57:$BI$95),"",INDEX(Lists!$BR$4:$BR$42,MATCH(ROW()-56,$BI$57:$BI$95,0)))</f>
        <v/>
      </c>
      <c r="BK92">
        <f>BK91+IF(AND(Lists!$BW$39&lt;&gt;"",ISNUMBER(SEARCH($N$4,Lists!$BW$39))),1,0)</f>
        <v/>
      </c>
      <c r="BL92">
        <f>IF(ROW()-56&gt;MAX($BK$57:$BK$95),"",INDEX(Lists!$BW$4:$BW$42,MATCH(ROW()-56,$BK$57:$BK$95,0)))</f>
        <v/>
      </c>
      <c r="BM92">
        <f>BM91+IF(AND(Lists!$CB$39&lt;&gt;"",ISNUMBER(SEARCH($O$4,Lists!$CB$39))),1,0)</f>
        <v/>
      </c>
      <c r="BN92">
        <f>IF(ROW()-56&gt;MAX($BM$57:$BM$95),"",INDEX(Lists!$CB$4:$CB$42,MATCH(ROW()-56,$BM$57:$BM$95,0)))</f>
        <v/>
      </c>
      <c r="BO92">
        <f>BO91+IF(AND(Lists!$CG$39&lt;&gt;"",ISNUMBER(SEARCH($P$4,Lists!$CG$39))),1,0)</f>
        <v/>
      </c>
      <c r="BP92">
        <f>IF(ROW()-56&gt;MAX($BO$57:$BO$95),"",INDEX(Lists!$CG$4:$CG$42,MATCH(ROW()-56,$BO$57:$BO$95,0)))</f>
        <v/>
      </c>
      <c r="BQ92">
        <f>BQ91+IF(AND(Lists!$CL$39&lt;&gt;"",ISNUMBER(SEARCH($Q$4,Lists!$CL$39))),1,0)</f>
        <v/>
      </c>
      <c r="BR92">
        <f>IF(ROW()-56&gt;MAX($BQ$57:$BQ$95),"",INDEX(Lists!$CL$4:$CL$42,MATCH(ROW()-56,$BQ$57:$BQ$95,0)))</f>
        <v/>
      </c>
      <c r="BS92">
        <f>BS91+IF(AND(Lists!$CQ$39&lt;&gt;"",ISNUMBER(SEARCH($R$4,Lists!$CQ$39))),1,0)</f>
        <v/>
      </c>
      <c r="BT92">
        <f>IF(ROW()-56&gt;MAX($BS$57:$BS$95),"",INDEX(Lists!$CQ$4:$CQ$42,MATCH(ROW()-56,$BS$57:$BS$95,0)))</f>
        <v/>
      </c>
      <c r="BU92">
        <f>BU91+IF(AND(Lists!$CV$39&lt;&gt;"",ISNUMBER(SEARCH($S$4,Lists!$CV$39))),1,0)</f>
        <v/>
      </c>
      <c r="BV92">
        <f>IF(ROW()-56&gt;MAX($BU$57:$BU$95),"",INDEX(Lists!$CV$4:$CV$42,MATCH(ROW()-56,$BU$57:$BU$95,0)))</f>
        <v/>
      </c>
      <c r="BW92">
        <f>BW91+IF(AND(Lists!$DA$39&lt;&gt;"",ISNUMBER(SEARCH($T$4,Lists!$DA$39))),1,0)</f>
        <v/>
      </c>
      <c r="BX92">
        <f>IF(ROW()-56&gt;MAX($BW$57:$BW$95),"",INDEX(Lists!$DA$4:$DA$42,MATCH(ROW()-56,$BW$57:$BW$95,0)))</f>
        <v/>
      </c>
      <c r="BY92">
        <f>BY91+IF(AND(Lists!$DF$39&lt;&gt;"",ISNUMBER(SEARCH($U$4,Lists!$DF$39))),1,0)</f>
        <v/>
      </c>
      <c r="BZ92">
        <f>IF(ROW()-56&gt;MAX($BY$57:$BY$95),"",INDEX(Lists!$DF$4:$DF$42,MATCH(ROW()-56,$BY$57:$BY$95,0)))</f>
        <v/>
      </c>
      <c r="CA92">
        <f>CA91+IF(AND(Lists!$DK$39&lt;&gt;"",ISNUMBER(SEARCH($V$4,Lists!$DK$39))),1,0)</f>
        <v/>
      </c>
      <c r="CB92">
        <f>IF(ROW()-56&gt;MAX($CA$57:$CA$95),"",INDEX(Lists!$DK$4:$DK$42,MATCH(ROW()-56,$CA$57:$CA$95,0)))</f>
        <v/>
      </c>
      <c r="CC92">
        <f>CC91+IF(AND(Lists!$DP$39&lt;&gt;"",ISNUMBER(SEARCH($W$4,Lists!$DP$39))),1,0)</f>
        <v/>
      </c>
      <c r="CD92">
        <f>IF(ROW()-56&gt;MAX($CC$57:$CC$95),"",INDEX(Lists!$DP$4:$DP$42,MATCH(ROW()-56,$CC$57:$CC$95,0)))</f>
        <v/>
      </c>
      <c r="CE92">
        <f>CE91+IF(AND(Lists!$DU$39&lt;&gt;"",ISNUMBER(SEARCH($X$4,Lists!$DU$39))),1,0)</f>
        <v/>
      </c>
      <c r="CF92">
        <f>IF(ROW()-56&gt;MAX($CE$57:$CE$95),"",INDEX(Lists!$DU$4:$DU$42,MATCH(ROW()-56,$CE$57:$CE$95,0)))</f>
        <v/>
      </c>
      <c r="CG92">
        <f>CG91+IF(AND(Lists!$DZ$39&lt;&gt;"",ISNUMBER(SEARCH($Y$4,Lists!$DZ$39))),1,0)</f>
        <v/>
      </c>
      <c r="CH92">
        <f>IF(ROW()-56&gt;MAX($CG$57:$CG$95),"",INDEX(Lists!$DZ$4:$DZ$42,MATCH(ROW()-56,$CG$57:$CG$95,0)))</f>
        <v/>
      </c>
      <c r="CI92">
        <f>CI91+IF(AND(Lists!$EE$39&lt;&gt;"",ISNUMBER(SEARCH($Z$4,Lists!$EE$39))),1,0)</f>
        <v/>
      </c>
      <c r="CJ92">
        <f>IF(ROW()-56&gt;MAX($CI$57:$CI$95),"",INDEX(Lists!$EE$4:$EE$42,MATCH(ROW()-56,$CI$57:$CI$95,0)))</f>
        <v/>
      </c>
      <c r="CK92">
        <f>CK91+IF(AND(Lists!$EJ$39&lt;&gt;"",ISNUMBER(SEARCH($AA$4,Lists!$EJ$39))),1,0)</f>
        <v/>
      </c>
      <c r="CL92">
        <f>IF(ROW()-56&gt;MAX($CK$57:$CK$95),"",INDEX(Lists!$EJ$4:$EJ$42,MATCH(ROW()-56,$CK$57:$CK$95,0)))</f>
        <v/>
      </c>
      <c r="CM92">
        <f>CM91+IF(AND(Lists!$EO$39&lt;&gt;"",ISNUMBER(SEARCH($AB$4,Lists!$EO$39))),1,0)</f>
        <v/>
      </c>
      <c r="CN92">
        <f>IF(ROW()-56&gt;MAX($CM$57:$CM$95),"",INDEX(Lists!$EO$4:$EO$42,MATCH(ROW()-56,$CM$57:$CM$95,0)))</f>
        <v/>
      </c>
      <c r="CO92">
        <f>CO91+IF(AND(Lists!$ET$39&lt;&gt;"",ISNUMBER(SEARCH($AC$4,Lists!$ET$39))),1,0)</f>
        <v/>
      </c>
      <c r="CP92">
        <f>IF(ROW()-56&gt;MAX($CO$57:$CO$95),"",INDEX(Lists!$ET$4:$ET$42,MATCH(ROW()-56,$CO$57:$CO$95,0)))</f>
        <v/>
      </c>
      <c r="CQ92">
        <f>CQ91+IF(AND(Lists!$EY$39&lt;&gt;"",ISNUMBER(SEARCH($AD$4,Lists!$EY$39))),1,0)</f>
        <v/>
      </c>
      <c r="CR92">
        <f>IF(ROW()-56&gt;MAX($CQ$57:$CQ$95),"",INDEX(Lists!$EY$4:$EY$42,MATCH(ROW()-56,$CQ$57:$CQ$95,0)))</f>
        <v/>
      </c>
      <c r="CS92">
        <f>CS91+IF(AND(Lists!$FD$39&lt;&gt;"",ISNUMBER(SEARCH($AE$4,Lists!$FD$39))),1,0)</f>
        <v/>
      </c>
      <c r="CT92">
        <f>IF(ROW()-56&gt;MAX($CS$57:$CS$95),"",INDEX(Lists!$FD$4:$FD$42,MATCH(ROW()-56,$CS$57:$CS$95,0)))</f>
        <v/>
      </c>
      <c r="CU92">
        <f>CU91+IF(AND(Lists!$FI$39&lt;&gt;"",ISNUMBER(SEARCH($AG$4,Lists!$FI$39))),1,0)</f>
        <v/>
      </c>
      <c r="CV92">
        <f>IF(ROW()-56&gt;MAX($CU$57:$CU$95),"",INDEX(Lists!$FI$4:$FI$42,MATCH(ROW()-56,$CU$57:$CU$95,0)))</f>
        <v/>
      </c>
      <c r="CW92">
        <f>CW91+IF(AND(Lists!$FN$39&lt;&gt;"",ISNUMBER(SEARCH($AH$4,Lists!$FN$39))),1,0)</f>
        <v/>
      </c>
      <c r="CX92">
        <f>IF(ROW()-56&gt;MAX($CW$57:$CW$95),"",INDEX(Lists!$FN$4:$FN$42,MATCH(ROW()-56,$CW$57:$CW$95,0)))</f>
        <v/>
      </c>
      <c r="CY92">
        <f>CY91+IF(AND(Lists!$FS$39&lt;&gt;"",ISNUMBER(SEARCH($AI$4,Lists!$FS$39))),1,0)</f>
        <v/>
      </c>
      <c r="CZ92">
        <f>IF(ROW()-56&gt;MAX($CY$57:$CY$95),"",INDEX(Lists!$FS$4:$FS$42,MATCH(ROW()-56,$CY$57:$CY$95,0)))</f>
        <v/>
      </c>
      <c r="DA92">
        <f>DA91+IF(AND(Lists!$FX$39&lt;&gt;"",ISNUMBER(SEARCH($AF$4,Lists!$FX$39))),1,0)</f>
        <v/>
      </c>
      <c r="DB92">
        <f>IF(ROW()-56&gt;MAX($DA$57:$DA$95),"",INDEX(Lists!$FX$4:$FX$42,MATCH(ROW()-56,$DA$57:$DA$95,0)))</f>
        <v/>
      </c>
      <c r="DG92">
        <f>IF($B$4="",1,IF($B$4="(blank)",--('Final Calculation Sheet'!$F$37=""),IF($B$4="(nonblank)",--('Final Calculation Sheet'!$F$37&lt;&gt;""),--ISNUMBER(SEARCH($B$4,'Final Calculation Sheet'!$F$37)))))</f>
        <v/>
      </c>
      <c r="DH92">
        <f>IF($C$4="",1,IF($C$4="(blank)",--('Final Calculation Sheet'!$G$37=""),IF($C$4="(nonblank)",--('Final Calculation Sheet'!$G$37&lt;&gt;""),--ISNUMBER(SEARCH($C$4,'Final Calculation Sheet'!$G$37)))))</f>
        <v/>
      </c>
      <c r="DI92">
        <f>IF($D$4="",1,IF($D$4="(blank)",--('Final Calculation Sheet'!$B$37=""),IF($D$4="(nonblank)",--('Final Calculation Sheet'!$B$37&lt;&gt;""),--ISNUMBER(SEARCH($D$4,'Final Calculation Sheet'!$B$37)))))</f>
        <v/>
      </c>
      <c r="DJ92">
        <f>IF($E$4="",1,IF($E$4="(blank)",--('Final Calculation Sheet'!$D$37=""),IF($E$4="(nonblank)",--('Final Calculation Sheet'!$D$37&lt;&gt;""),--ISNUMBER(SEARCH($E$4,'Final Calculation Sheet'!$D$37)))))</f>
        <v/>
      </c>
      <c r="DK92">
        <f>IF($F$4="",1,IF($F$4="(blank)",--('Final Calculation Sheet'!$A$37=""),IF($F$4="(nonblank)",--('Final Calculation Sheet'!$A$37&lt;&gt;""),--ISNUMBER(SEARCH($F$4,'Final Calculation Sheet'!$A$37)))))</f>
        <v/>
      </c>
      <c r="DL92">
        <f>IF($G$4="",1,IF($G$4="(blank)",--('Final Calculation Sheet'!$E$37=""),IF($G$4="(nonblank)",--('Final Calculation Sheet'!$E$37&lt;&gt;""),--ISNUMBER(SEARCH($G$4,'Final Calculation Sheet'!$E$37)))))</f>
        <v/>
      </c>
      <c r="DM92">
        <f>IF($H$4="",1,IF($H$4="(blank)",--('Final Calculation Sheet'!$C$37=""),IF($H$4="(nonblank)",--('Final Calculation Sheet'!$C$37&lt;&gt;""),--ISNUMBER(SEARCH($H$4,'Final Calculation Sheet'!$C$37)))))</f>
        <v/>
      </c>
      <c r="DN92">
        <f>IF($I$4="",1,IF($I$4="(blank)",--('Final Calculation Sheet'!$H$37=""),IF($I$4="(nonblank)",--('Final Calculation Sheet'!$H$37&lt;&gt;""),--ISNUMBER(SEARCH($I$4,'Final Calculation Sheet'!$H$37)))))</f>
        <v/>
      </c>
      <c r="DO92">
        <f>IF($J$4="",1,IF($J$4="(blank)",--('Final Calculation Sheet'!$I$37=""),IF($J$4="(nonblank)",--('Final Calculation Sheet'!$I$37&lt;&gt;""),--ISNUMBER(SEARCH($J$4,'Final Calculation Sheet'!$I$37)))))</f>
        <v/>
      </c>
      <c r="DP92">
        <f>IF($K$4="",1,IF($K$4="(blank)",--('Final Calculation Sheet'!$J$37=""),IF($K$4="(nonblank)",--('Final Calculation Sheet'!$J$37&lt;&gt;""),--ISNUMBER(SEARCH($K$4,'Final Calculation Sheet'!$J$37)))))</f>
        <v/>
      </c>
      <c r="DQ92">
        <f>IF($L$4="",1,IF($L$4="(blank)",--('Final Calculation Sheet'!$K$37=""),IF($L$4="(nonblank)",--('Final Calculation Sheet'!$K$37&lt;&gt;""),--ISNUMBER(SEARCH($L$4,'Final Calculation Sheet'!$K$37)))))</f>
        <v/>
      </c>
      <c r="DR92">
        <f>IF($M$4="",1,IF($M$4="(blank)",--('Final Calculation Sheet'!$L$37=""),IF($M$4="(nonblank)",--('Final Calculation Sheet'!$L$37&lt;&gt;""),--ISNUMBER(SEARCH($M$4,'Final Calculation Sheet'!$L$37)))))</f>
        <v/>
      </c>
      <c r="DS92">
        <f>IF($N$4="",1,IF($N$4="(blank)",--('Final Calculation Sheet'!$M$37=""),IF($N$4="(nonblank)",--('Final Calculation Sheet'!$M$37&lt;&gt;""),--ISNUMBER(SEARCH($N$4,'Final Calculation Sheet'!$M$37)))))</f>
        <v/>
      </c>
      <c r="DT92">
        <f>IF($O$4="",1,IF($O$4="(blank)",--('Final Calculation Sheet'!$N$37=""),IF($O$4="(nonblank)",--('Final Calculation Sheet'!$N$37&lt;&gt;""),--ISNUMBER(SEARCH($O$4,'Final Calculation Sheet'!$N$37)))))</f>
        <v/>
      </c>
      <c r="DU92">
        <f>IF($P$4="",1,IF($P$4="(blank)",--('Final Calculation Sheet'!$O$37=""),IF($P$4="(nonblank)",--('Final Calculation Sheet'!$O$37&lt;&gt;""),--ISNUMBER(SEARCH($P$4,'Final Calculation Sheet'!$O$37)))))</f>
        <v/>
      </c>
      <c r="DV92">
        <f>IF($Q$4="",1,IF($Q$4="(blank)",--('Final Calculation Sheet'!$P$37=""),IF($Q$4="(nonblank)",--('Final Calculation Sheet'!$P$37&lt;&gt;""),--ISNUMBER(SEARCH($Q$4,'Final Calculation Sheet'!$P$37)))))</f>
        <v/>
      </c>
      <c r="DW92">
        <f>IF($R$4="",1,IF($R$4="(blank)",--('Final Calculation Sheet'!$Q$37=""),IF($R$4="(nonblank)",--('Final Calculation Sheet'!$Q$37&lt;&gt;""),--ISNUMBER(SEARCH($R$4,'Final Calculation Sheet'!$Q$37)))))</f>
        <v/>
      </c>
      <c r="DX92">
        <f>IF($S$4="",1,IF($S$4="(blank)",--('Final Calculation Sheet'!$R$37=""),IF($S$4="(nonblank)",--('Final Calculation Sheet'!$R$37&lt;&gt;""),--ISNUMBER(SEARCH($S$4,'Final Calculation Sheet'!$R$37)))))</f>
        <v/>
      </c>
      <c r="DY92">
        <f>IF($T$4="",1,IF($T$4="(blank)",--('Final Calculation Sheet'!$S$37=""),IF($T$4="(nonblank)",--('Final Calculation Sheet'!$S$37&lt;&gt;""),--ISNUMBER(SEARCH($T$4,'Final Calculation Sheet'!$S$37)))))</f>
        <v/>
      </c>
      <c r="DZ92">
        <f>IF($U$4="",1,IF($U$4="(blank)",--('Final Calculation Sheet'!$T$37=""),IF($U$4="(nonblank)",--('Final Calculation Sheet'!$T$37&lt;&gt;""),--ISNUMBER(SEARCH($U$4,'Final Calculation Sheet'!$T$37)))))</f>
        <v/>
      </c>
      <c r="EA92">
        <f>IF($V$4="",1,IF($V$4="(blank)",--('Final Calculation Sheet'!$U$37=""),IF($V$4="(nonblank)",--('Final Calculation Sheet'!$U$37&lt;&gt;""),--ISNUMBER(SEARCH($V$4,'Final Calculation Sheet'!$U$37)))))</f>
        <v/>
      </c>
      <c r="EB92">
        <f>IF($W$4="",1,IF($W$4="(blank)",--('Final Calculation Sheet'!$V$37=""),IF($W$4="(nonblank)",--('Final Calculation Sheet'!$V$37&lt;&gt;""),--ISNUMBER(SEARCH($W$4,'Final Calculation Sheet'!$V$37)))))</f>
        <v/>
      </c>
      <c r="EC92">
        <f>IF($X$4="",1,IF($X$4="(blank)",--('Final Calculation Sheet'!$W$37=""),IF($X$4="(nonblank)",--('Final Calculation Sheet'!$W$37&lt;&gt;""),--ISNUMBER(SEARCH($X$4,'Final Calculation Sheet'!$W$37)))))</f>
        <v/>
      </c>
      <c r="ED92">
        <f>IF($Y$4="",1,IF($Y$4="(blank)",--('Final Calculation Sheet'!$X$37=""),IF($Y$4="(nonblank)",--('Final Calculation Sheet'!$X$37&lt;&gt;""),--ISNUMBER(SEARCH($Y$4,'Final Calculation Sheet'!$X$37)))))</f>
        <v/>
      </c>
      <c r="EE92">
        <f>IF($Z$4="",1,IF($Z$4="(blank)",--('Final Calculation Sheet'!$Y$37=""),IF($Z$4="(nonblank)",--('Final Calculation Sheet'!$Y$37&lt;&gt;""),--ISNUMBER(SEARCH($Z$4,'Final Calculation Sheet'!$Y$37)))))</f>
        <v/>
      </c>
      <c r="EF92">
        <f>IF($AA$4="",1,IF($AA$4="(blank)",--('Final Calculation Sheet'!$Z$37=""),IF($AA$4="(nonblank)",--('Final Calculation Sheet'!$Z$37&lt;&gt;""),--ISNUMBER(SEARCH($AA$4,'Final Calculation Sheet'!$Z$37)))))</f>
        <v/>
      </c>
      <c r="EG92">
        <f>IF($AB$4="",1,IF($AB$4="(blank)",--('Final Calculation Sheet'!$AA$37=""),IF($AB$4="(nonblank)",--('Final Calculation Sheet'!$AA$37&lt;&gt;""),--ISNUMBER(SEARCH($AB$4,'Final Calculation Sheet'!$AA$37)))))</f>
        <v/>
      </c>
      <c r="EH92">
        <f>IF($AC$4="",1,IF($AC$4="(blank)",--('Final Calculation Sheet'!$AB$37=""),IF($AC$4="(nonblank)",--('Final Calculation Sheet'!$AB$37&lt;&gt;""),--ISNUMBER(SEARCH($AC$4,'Final Calculation Sheet'!$AB$37)))))</f>
        <v/>
      </c>
      <c r="EI92">
        <f>IF($AD$4="",1,IF($AD$4="(blank)",--('Final Calculation Sheet'!$AC$37=""),IF($AD$4="(nonblank)",--('Final Calculation Sheet'!$AC$37&lt;&gt;""),--ISNUMBER(SEARCH($AD$4,'Final Calculation Sheet'!$AC$37)))))</f>
        <v/>
      </c>
      <c r="EJ92">
        <f>IF($AE$4="",1,IF($AE$4="(blank)",--('Final Calculation Sheet'!$AD$37=""),IF($AE$4="(nonblank)",--('Final Calculation Sheet'!$AD$37&lt;&gt;""),--ISNUMBER(SEARCH($AE$4,'Final Calculation Sheet'!$AD$37)))))</f>
        <v/>
      </c>
      <c r="EK92">
        <f>IF($AF$4="",1,IF($AF$4="(blank)",--(IF('Final Calculation Sheet'!$AD$37&lt;=5,"SETTLED","OUTSTANDING")=""),IF($AF$4="(nonblank)",--(IF('Final Calculation Sheet'!$AD$37&lt;=5,"SETTLED","OUTSTANDING")&lt;&gt;""),--ISNUMBER(SEARCH($AF$4,IF('Final Calculation Sheet'!$AD$37&lt;=5,"SETTLED","OUTSTANDING"))))))</f>
        <v/>
      </c>
      <c r="EL92">
        <f>IF($AG$4="",1,IF($AG$4="(blank)",--('Final Calculation Sheet'!$AF$37=""),IF($AG$4="(nonblank)",--('Final Calculation Sheet'!$AF$37&lt;&gt;""),--ISNUMBER(SEARCH($AG$4,'Final Calculation Sheet'!$AF$37)))))</f>
        <v/>
      </c>
      <c r="EM92">
        <f>IF($AH$4="",1,IF($AH$4="(blank)",--('Final Calculation Sheet'!$AG$37=""),IF($AH$4="(nonblank)",--('Final Calculation Sheet'!$AG$37&lt;&gt;""),--ISNUMBER(SEARCH($AH$4,'Final Calculation Sheet'!$AG$37)))))</f>
        <v/>
      </c>
      <c r="EN92">
        <f>IF($AI$4="",1,IF($AI$4="(blank)",--('Final Calculation Sheet'!$AH$37=""),IF($AI$4="(nonblank)",--('Final Calculation Sheet'!$AH$37&lt;&gt;""),--ISNUMBER(SEARCH($AI$4,'Final Calculation Sheet'!$AH$37)))))</f>
        <v/>
      </c>
    </row>
    <row r="93">
      <c r="AM93">
        <f>AM92+IF(AND(Lists!$O$40&lt;&gt;"",ISNUMBER(SEARCH($B$4,Lists!$O$40))),1,0)</f>
        <v/>
      </c>
      <c r="AN93">
        <f>IF(ROW()-56&gt;MAX($AM$57:$AM$95),"",INDEX(Lists!$O$4:$O$42,MATCH(ROW()-56,$AM$57:$AM$95,0)))</f>
        <v/>
      </c>
      <c r="AO93">
        <f>AO92+IF(AND(Lists!$T$40&lt;&gt;"",ISNUMBER(SEARCH($C$4,Lists!$T$40))),1,0)</f>
        <v/>
      </c>
      <c r="AP93">
        <f>IF(ROW()-56&gt;MAX($AO$57:$AO$95),"",INDEX(Lists!$T$4:$T$42,MATCH(ROW()-56,$AO$57:$AO$95,0)))</f>
        <v/>
      </c>
      <c r="AQ93">
        <f>AQ92+IF(AND(Lists!$Y$40&lt;&gt;"",ISNUMBER(SEARCH($D$4,Lists!$Y$40))),1,0)</f>
        <v/>
      </c>
      <c r="AR93">
        <f>IF(ROW()-56&gt;MAX($AQ$57:$AQ$95),"",INDEX(Lists!$Y$4:$Y$42,MATCH(ROW()-56,$AQ$57:$AQ$95,0)))</f>
        <v/>
      </c>
      <c r="AS93">
        <f>AS92+IF(AND(Lists!$AD$40&lt;&gt;"",ISNUMBER(SEARCH($E$4,Lists!$AD$40))),1,0)</f>
        <v/>
      </c>
      <c r="AT93">
        <f>IF(ROW()-56&gt;MAX($AS$57:$AS$95),"",INDEX(Lists!$AD$4:$AD$42,MATCH(ROW()-56,$AS$57:$AS$95,0)))</f>
        <v/>
      </c>
      <c r="AU93">
        <f>AU92+IF(AND(Lists!$AI$40&lt;&gt;"",ISNUMBER(SEARCH($F$4,Lists!$AI$40))),1,0)</f>
        <v/>
      </c>
      <c r="AV93">
        <f>IF(ROW()-56&gt;MAX($AU$57:$AU$95),"",INDEX(Lists!$AI$4:$AI$42,MATCH(ROW()-56,$AU$57:$AU$95,0)))</f>
        <v/>
      </c>
      <c r="AW93">
        <f>AW92+IF(AND(Lists!$AN$40&lt;&gt;"",ISNUMBER(SEARCH($G$4,Lists!$AN$40))),1,0)</f>
        <v/>
      </c>
      <c r="AX93">
        <f>IF(ROW()-56&gt;MAX($AW$57:$AW$95),"",INDEX(Lists!$AN$4:$AN$42,MATCH(ROW()-56,$AW$57:$AW$95,0)))</f>
        <v/>
      </c>
      <c r="AY93">
        <f>AY92+IF(AND(Lists!$AS$40&lt;&gt;"",ISNUMBER(SEARCH($H$4,Lists!$AS$40))),1,0)</f>
        <v/>
      </c>
      <c r="AZ93">
        <f>IF(ROW()-56&gt;MAX($AY$57:$AY$95),"",INDEX(Lists!$AS$4:$AS$42,MATCH(ROW()-56,$AY$57:$AY$95,0)))</f>
        <v/>
      </c>
      <c r="BA93">
        <f>BA92+IF(AND(Lists!$AX$40&lt;&gt;"",ISNUMBER(SEARCH($I$4,Lists!$AX$40))),1,0)</f>
        <v/>
      </c>
      <c r="BB93">
        <f>IF(ROW()-56&gt;MAX($BA$57:$BA$95),"",INDEX(Lists!$AX$4:$AX$42,MATCH(ROW()-56,$BA$57:$BA$95,0)))</f>
        <v/>
      </c>
      <c r="BC93">
        <f>BC92+IF(AND(Lists!$BC$40&lt;&gt;"",ISNUMBER(SEARCH($J$4,Lists!$BC$40))),1,0)</f>
        <v/>
      </c>
      <c r="BD93">
        <f>IF(ROW()-56&gt;MAX($BC$57:$BC$95),"",INDEX(Lists!$BC$4:$BC$42,MATCH(ROW()-56,$BC$57:$BC$95,0)))</f>
        <v/>
      </c>
      <c r="BE93">
        <f>BE92+IF(AND(Lists!$BH$40&lt;&gt;"",ISNUMBER(SEARCH($K$4,Lists!$BH$40))),1,0)</f>
        <v/>
      </c>
      <c r="BF93">
        <f>IF(ROW()-56&gt;MAX($BE$57:$BE$95),"",INDEX(Lists!$BH$4:$BH$42,MATCH(ROW()-56,$BE$57:$BE$95,0)))</f>
        <v/>
      </c>
      <c r="BG93">
        <f>BG92+IF(AND(Lists!$BM$40&lt;&gt;"",ISNUMBER(SEARCH($L$4,Lists!$BM$40))),1,0)</f>
        <v/>
      </c>
      <c r="BH93">
        <f>IF(ROW()-56&gt;MAX($BG$57:$BG$95),"",INDEX(Lists!$BM$4:$BM$42,MATCH(ROW()-56,$BG$57:$BG$95,0)))</f>
        <v/>
      </c>
      <c r="BI93">
        <f>BI92+IF(AND(Lists!$BR$40&lt;&gt;"",ISNUMBER(SEARCH($M$4,Lists!$BR$40))),1,0)</f>
        <v/>
      </c>
      <c r="BJ93">
        <f>IF(ROW()-56&gt;MAX($BI$57:$BI$95),"",INDEX(Lists!$BR$4:$BR$42,MATCH(ROW()-56,$BI$57:$BI$95,0)))</f>
        <v/>
      </c>
      <c r="BK93">
        <f>BK92+IF(AND(Lists!$BW$40&lt;&gt;"",ISNUMBER(SEARCH($N$4,Lists!$BW$40))),1,0)</f>
        <v/>
      </c>
      <c r="BL93">
        <f>IF(ROW()-56&gt;MAX($BK$57:$BK$95),"",INDEX(Lists!$BW$4:$BW$42,MATCH(ROW()-56,$BK$57:$BK$95,0)))</f>
        <v/>
      </c>
      <c r="BM93">
        <f>BM92+IF(AND(Lists!$CB$40&lt;&gt;"",ISNUMBER(SEARCH($O$4,Lists!$CB$40))),1,0)</f>
        <v/>
      </c>
      <c r="BN93">
        <f>IF(ROW()-56&gt;MAX($BM$57:$BM$95),"",INDEX(Lists!$CB$4:$CB$42,MATCH(ROW()-56,$BM$57:$BM$95,0)))</f>
        <v/>
      </c>
      <c r="BO93">
        <f>BO92+IF(AND(Lists!$CG$40&lt;&gt;"",ISNUMBER(SEARCH($P$4,Lists!$CG$40))),1,0)</f>
        <v/>
      </c>
      <c r="BP93">
        <f>IF(ROW()-56&gt;MAX($BO$57:$BO$95),"",INDEX(Lists!$CG$4:$CG$42,MATCH(ROW()-56,$BO$57:$BO$95,0)))</f>
        <v/>
      </c>
      <c r="BQ93">
        <f>BQ92+IF(AND(Lists!$CL$40&lt;&gt;"",ISNUMBER(SEARCH($Q$4,Lists!$CL$40))),1,0)</f>
        <v/>
      </c>
      <c r="BR93">
        <f>IF(ROW()-56&gt;MAX($BQ$57:$BQ$95),"",INDEX(Lists!$CL$4:$CL$42,MATCH(ROW()-56,$BQ$57:$BQ$95,0)))</f>
        <v/>
      </c>
      <c r="BS93">
        <f>BS92+IF(AND(Lists!$CQ$40&lt;&gt;"",ISNUMBER(SEARCH($R$4,Lists!$CQ$40))),1,0)</f>
        <v/>
      </c>
      <c r="BT93">
        <f>IF(ROW()-56&gt;MAX($BS$57:$BS$95),"",INDEX(Lists!$CQ$4:$CQ$42,MATCH(ROW()-56,$BS$57:$BS$95,0)))</f>
        <v/>
      </c>
      <c r="BU93">
        <f>BU92+IF(AND(Lists!$CV$40&lt;&gt;"",ISNUMBER(SEARCH($S$4,Lists!$CV$40))),1,0)</f>
        <v/>
      </c>
      <c r="BV93">
        <f>IF(ROW()-56&gt;MAX($BU$57:$BU$95),"",INDEX(Lists!$CV$4:$CV$42,MATCH(ROW()-56,$BU$57:$BU$95,0)))</f>
        <v/>
      </c>
      <c r="BW93">
        <f>BW92+IF(AND(Lists!$DA$40&lt;&gt;"",ISNUMBER(SEARCH($T$4,Lists!$DA$40))),1,0)</f>
        <v/>
      </c>
      <c r="BX93">
        <f>IF(ROW()-56&gt;MAX($BW$57:$BW$95),"",INDEX(Lists!$DA$4:$DA$42,MATCH(ROW()-56,$BW$57:$BW$95,0)))</f>
        <v/>
      </c>
      <c r="BY93">
        <f>BY92+IF(AND(Lists!$DF$40&lt;&gt;"",ISNUMBER(SEARCH($U$4,Lists!$DF$40))),1,0)</f>
        <v/>
      </c>
      <c r="BZ93">
        <f>IF(ROW()-56&gt;MAX($BY$57:$BY$95),"",INDEX(Lists!$DF$4:$DF$42,MATCH(ROW()-56,$BY$57:$BY$95,0)))</f>
        <v/>
      </c>
      <c r="CA93">
        <f>CA92+IF(AND(Lists!$DK$40&lt;&gt;"",ISNUMBER(SEARCH($V$4,Lists!$DK$40))),1,0)</f>
        <v/>
      </c>
      <c r="CB93">
        <f>IF(ROW()-56&gt;MAX($CA$57:$CA$95),"",INDEX(Lists!$DK$4:$DK$42,MATCH(ROW()-56,$CA$57:$CA$95,0)))</f>
        <v/>
      </c>
      <c r="CC93">
        <f>CC92+IF(AND(Lists!$DP$40&lt;&gt;"",ISNUMBER(SEARCH($W$4,Lists!$DP$40))),1,0)</f>
        <v/>
      </c>
      <c r="CD93">
        <f>IF(ROW()-56&gt;MAX($CC$57:$CC$95),"",INDEX(Lists!$DP$4:$DP$42,MATCH(ROW()-56,$CC$57:$CC$95,0)))</f>
        <v/>
      </c>
      <c r="CE93">
        <f>CE92+IF(AND(Lists!$DU$40&lt;&gt;"",ISNUMBER(SEARCH($X$4,Lists!$DU$40))),1,0)</f>
        <v/>
      </c>
      <c r="CF93">
        <f>IF(ROW()-56&gt;MAX($CE$57:$CE$95),"",INDEX(Lists!$DU$4:$DU$42,MATCH(ROW()-56,$CE$57:$CE$95,0)))</f>
        <v/>
      </c>
      <c r="CG93">
        <f>CG92+IF(AND(Lists!$DZ$40&lt;&gt;"",ISNUMBER(SEARCH($Y$4,Lists!$DZ$40))),1,0)</f>
        <v/>
      </c>
      <c r="CH93">
        <f>IF(ROW()-56&gt;MAX($CG$57:$CG$95),"",INDEX(Lists!$DZ$4:$DZ$42,MATCH(ROW()-56,$CG$57:$CG$95,0)))</f>
        <v/>
      </c>
      <c r="CI93">
        <f>CI92+IF(AND(Lists!$EE$40&lt;&gt;"",ISNUMBER(SEARCH($Z$4,Lists!$EE$40))),1,0)</f>
        <v/>
      </c>
      <c r="CJ93">
        <f>IF(ROW()-56&gt;MAX($CI$57:$CI$95),"",INDEX(Lists!$EE$4:$EE$42,MATCH(ROW()-56,$CI$57:$CI$95,0)))</f>
        <v/>
      </c>
      <c r="CK93">
        <f>CK92+IF(AND(Lists!$EJ$40&lt;&gt;"",ISNUMBER(SEARCH($AA$4,Lists!$EJ$40))),1,0)</f>
        <v/>
      </c>
      <c r="CL93">
        <f>IF(ROW()-56&gt;MAX($CK$57:$CK$95),"",INDEX(Lists!$EJ$4:$EJ$42,MATCH(ROW()-56,$CK$57:$CK$95,0)))</f>
        <v/>
      </c>
      <c r="CM93">
        <f>CM92+IF(AND(Lists!$EO$40&lt;&gt;"",ISNUMBER(SEARCH($AB$4,Lists!$EO$40))),1,0)</f>
        <v/>
      </c>
      <c r="CN93">
        <f>IF(ROW()-56&gt;MAX($CM$57:$CM$95),"",INDEX(Lists!$EO$4:$EO$42,MATCH(ROW()-56,$CM$57:$CM$95,0)))</f>
        <v/>
      </c>
      <c r="CO93">
        <f>CO92+IF(AND(Lists!$ET$40&lt;&gt;"",ISNUMBER(SEARCH($AC$4,Lists!$ET$40))),1,0)</f>
        <v/>
      </c>
      <c r="CP93">
        <f>IF(ROW()-56&gt;MAX($CO$57:$CO$95),"",INDEX(Lists!$ET$4:$ET$42,MATCH(ROW()-56,$CO$57:$CO$95,0)))</f>
        <v/>
      </c>
      <c r="CQ93">
        <f>CQ92+IF(AND(Lists!$EY$40&lt;&gt;"",ISNUMBER(SEARCH($AD$4,Lists!$EY$40))),1,0)</f>
        <v/>
      </c>
      <c r="CR93">
        <f>IF(ROW()-56&gt;MAX($CQ$57:$CQ$95),"",INDEX(Lists!$EY$4:$EY$42,MATCH(ROW()-56,$CQ$57:$CQ$95,0)))</f>
        <v/>
      </c>
      <c r="CS93">
        <f>CS92+IF(AND(Lists!$FD$40&lt;&gt;"",ISNUMBER(SEARCH($AE$4,Lists!$FD$40))),1,0)</f>
        <v/>
      </c>
      <c r="CT93">
        <f>IF(ROW()-56&gt;MAX($CS$57:$CS$95),"",INDEX(Lists!$FD$4:$FD$42,MATCH(ROW()-56,$CS$57:$CS$95,0)))</f>
        <v/>
      </c>
      <c r="CU93">
        <f>CU92+IF(AND(Lists!$FI$40&lt;&gt;"",ISNUMBER(SEARCH($AG$4,Lists!$FI$40))),1,0)</f>
        <v/>
      </c>
      <c r="CV93">
        <f>IF(ROW()-56&gt;MAX($CU$57:$CU$95),"",INDEX(Lists!$FI$4:$FI$42,MATCH(ROW()-56,$CU$57:$CU$95,0)))</f>
        <v/>
      </c>
      <c r="CW93">
        <f>CW92+IF(AND(Lists!$FN$40&lt;&gt;"",ISNUMBER(SEARCH($AH$4,Lists!$FN$40))),1,0)</f>
        <v/>
      </c>
      <c r="CX93">
        <f>IF(ROW()-56&gt;MAX($CW$57:$CW$95),"",INDEX(Lists!$FN$4:$FN$42,MATCH(ROW()-56,$CW$57:$CW$95,0)))</f>
        <v/>
      </c>
      <c r="CY93">
        <f>CY92+IF(AND(Lists!$FS$40&lt;&gt;"",ISNUMBER(SEARCH($AI$4,Lists!$FS$40))),1,0)</f>
        <v/>
      </c>
      <c r="CZ93">
        <f>IF(ROW()-56&gt;MAX($CY$57:$CY$95),"",INDEX(Lists!$FS$4:$FS$42,MATCH(ROW()-56,$CY$57:$CY$95,0)))</f>
        <v/>
      </c>
      <c r="DA93">
        <f>DA92+IF(AND(Lists!$FX$40&lt;&gt;"",ISNUMBER(SEARCH($AF$4,Lists!$FX$40))),1,0)</f>
        <v/>
      </c>
      <c r="DB93">
        <f>IF(ROW()-56&gt;MAX($DA$57:$DA$95),"",INDEX(Lists!$FX$4:$FX$42,MATCH(ROW()-56,$DA$57:$DA$95,0)))</f>
        <v/>
      </c>
      <c r="DG93">
        <f>IF($B$4="",1,IF($B$4="(blank)",--('Final Calculation Sheet'!$F$38=""),IF($B$4="(nonblank)",--('Final Calculation Sheet'!$F$38&lt;&gt;""),--ISNUMBER(SEARCH($B$4,'Final Calculation Sheet'!$F$38)))))</f>
        <v/>
      </c>
      <c r="DH93">
        <f>IF($C$4="",1,IF($C$4="(blank)",--('Final Calculation Sheet'!$G$38=""),IF($C$4="(nonblank)",--('Final Calculation Sheet'!$G$38&lt;&gt;""),--ISNUMBER(SEARCH($C$4,'Final Calculation Sheet'!$G$38)))))</f>
        <v/>
      </c>
      <c r="DI93">
        <f>IF($D$4="",1,IF($D$4="(blank)",--('Final Calculation Sheet'!$B$38=""),IF($D$4="(nonblank)",--('Final Calculation Sheet'!$B$38&lt;&gt;""),--ISNUMBER(SEARCH($D$4,'Final Calculation Sheet'!$B$38)))))</f>
        <v/>
      </c>
      <c r="DJ93">
        <f>IF($E$4="",1,IF($E$4="(blank)",--('Final Calculation Sheet'!$D$38=""),IF($E$4="(nonblank)",--('Final Calculation Sheet'!$D$38&lt;&gt;""),--ISNUMBER(SEARCH($E$4,'Final Calculation Sheet'!$D$38)))))</f>
        <v/>
      </c>
      <c r="DK93">
        <f>IF($F$4="",1,IF($F$4="(blank)",--('Final Calculation Sheet'!$A$38=""),IF($F$4="(nonblank)",--('Final Calculation Sheet'!$A$38&lt;&gt;""),--ISNUMBER(SEARCH($F$4,'Final Calculation Sheet'!$A$38)))))</f>
        <v/>
      </c>
      <c r="DL93">
        <f>IF($G$4="",1,IF($G$4="(blank)",--('Final Calculation Sheet'!$E$38=""),IF($G$4="(nonblank)",--('Final Calculation Sheet'!$E$38&lt;&gt;""),--ISNUMBER(SEARCH($G$4,'Final Calculation Sheet'!$E$38)))))</f>
        <v/>
      </c>
      <c r="DM93">
        <f>IF($H$4="",1,IF($H$4="(blank)",--('Final Calculation Sheet'!$C$38=""),IF($H$4="(nonblank)",--('Final Calculation Sheet'!$C$38&lt;&gt;""),--ISNUMBER(SEARCH($H$4,'Final Calculation Sheet'!$C$38)))))</f>
        <v/>
      </c>
      <c r="DN93">
        <f>IF($I$4="",1,IF($I$4="(blank)",--('Final Calculation Sheet'!$H$38=""),IF($I$4="(nonblank)",--('Final Calculation Sheet'!$H$38&lt;&gt;""),--ISNUMBER(SEARCH($I$4,'Final Calculation Sheet'!$H$38)))))</f>
        <v/>
      </c>
      <c r="DO93">
        <f>IF($J$4="",1,IF($J$4="(blank)",--('Final Calculation Sheet'!$I$38=""),IF($J$4="(nonblank)",--('Final Calculation Sheet'!$I$38&lt;&gt;""),--ISNUMBER(SEARCH($J$4,'Final Calculation Sheet'!$I$38)))))</f>
        <v/>
      </c>
      <c r="DP93">
        <f>IF($K$4="",1,IF($K$4="(blank)",--('Final Calculation Sheet'!$J$38=""),IF($K$4="(nonblank)",--('Final Calculation Sheet'!$J$38&lt;&gt;""),--ISNUMBER(SEARCH($K$4,'Final Calculation Sheet'!$J$38)))))</f>
        <v/>
      </c>
      <c r="DQ93">
        <f>IF($L$4="",1,IF($L$4="(blank)",--('Final Calculation Sheet'!$K$38=""),IF($L$4="(nonblank)",--('Final Calculation Sheet'!$K$38&lt;&gt;""),--ISNUMBER(SEARCH($L$4,'Final Calculation Sheet'!$K$38)))))</f>
        <v/>
      </c>
      <c r="DR93">
        <f>IF($M$4="",1,IF($M$4="(blank)",--('Final Calculation Sheet'!$L$38=""),IF($M$4="(nonblank)",--('Final Calculation Sheet'!$L$38&lt;&gt;""),--ISNUMBER(SEARCH($M$4,'Final Calculation Sheet'!$L$38)))))</f>
        <v/>
      </c>
      <c r="DS93">
        <f>IF($N$4="",1,IF($N$4="(blank)",--('Final Calculation Sheet'!$M$38=""),IF($N$4="(nonblank)",--('Final Calculation Sheet'!$M$38&lt;&gt;""),--ISNUMBER(SEARCH($N$4,'Final Calculation Sheet'!$M$38)))))</f>
        <v/>
      </c>
      <c r="DT93">
        <f>IF($O$4="",1,IF($O$4="(blank)",--('Final Calculation Sheet'!$N$38=""),IF($O$4="(nonblank)",--('Final Calculation Sheet'!$N$38&lt;&gt;""),--ISNUMBER(SEARCH($O$4,'Final Calculation Sheet'!$N$38)))))</f>
        <v/>
      </c>
      <c r="DU93">
        <f>IF($P$4="",1,IF($P$4="(blank)",--('Final Calculation Sheet'!$O$38=""),IF($P$4="(nonblank)",--('Final Calculation Sheet'!$O$38&lt;&gt;""),--ISNUMBER(SEARCH($P$4,'Final Calculation Sheet'!$O$38)))))</f>
        <v/>
      </c>
      <c r="DV93">
        <f>IF($Q$4="",1,IF($Q$4="(blank)",--('Final Calculation Sheet'!$P$38=""),IF($Q$4="(nonblank)",--('Final Calculation Sheet'!$P$38&lt;&gt;""),--ISNUMBER(SEARCH($Q$4,'Final Calculation Sheet'!$P$38)))))</f>
        <v/>
      </c>
      <c r="DW93">
        <f>IF($R$4="",1,IF($R$4="(blank)",--('Final Calculation Sheet'!$Q$38=""),IF($R$4="(nonblank)",--('Final Calculation Sheet'!$Q$38&lt;&gt;""),--ISNUMBER(SEARCH($R$4,'Final Calculation Sheet'!$Q$38)))))</f>
        <v/>
      </c>
      <c r="DX93">
        <f>IF($S$4="",1,IF($S$4="(blank)",--('Final Calculation Sheet'!$R$38=""),IF($S$4="(nonblank)",--('Final Calculation Sheet'!$R$38&lt;&gt;""),--ISNUMBER(SEARCH($S$4,'Final Calculation Sheet'!$R$38)))))</f>
        <v/>
      </c>
      <c r="DY93">
        <f>IF($T$4="",1,IF($T$4="(blank)",--('Final Calculation Sheet'!$S$38=""),IF($T$4="(nonblank)",--('Final Calculation Sheet'!$S$38&lt;&gt;""),--ISNUMBER(SEARCH($T$4,'Final Calculation Sheet'!$S$38)))))</f>
        <v/>
      </c>
      <c r="DZ93">
        <f>IF($U$4="",1,IF($U$4="(blank)",--('Final Calculation Sheet'!$T$38=""),IF($U$4="(nonblank)",--('Final Calculation Sheet'!$T$38&lt;&gt;""),--ISNUMBER(SEARCH($U$4,'Final Calculation Sheet'!$T$38)))))</f>
        <v/>
      </c>
      <c r="EA93">
        <f>IF($V$4="",1,IF($V$4="(blank)",--('Final Calculation Sheet'!$U$38=""),IF($V$4="(nonblank)",--('Final Calculation Sheet'!$U$38&lt;&gt;""),--ISNUMBER(SEARCH($V$4,'Final Calculation Sheet'!$U$38)))))</f>
        <v/>
      </c>
      <c r="EB93">
        <f>IF($W$4="",1,IF($W$4="(blank)",--('Final Calculation Sheet'!$V$38=""),IF($W$4="(nonblank)",--('Final Calculation Sheet'!$V$38&lt;&gt;""),--ISNUMBER(SEARCH($W$4,'Final Calculation Sheet'!$V$38)))))</f>
        <v/>
      </c>
      <c r="EC93">
        <f>IF($X$4="",1,IF($X$4="(blank)",--('Final Calculation Sheet'!$W$38=""),IF($X$4="(nonblank)",--('Final Calculation Sheet'!$W$38&lt;&gt;""),--ISNUMBER(SEARCH($X$4,'Final Calculation Sheet'!$W$38)))))</f>
        <v/>
      </c>
      <c r="ED93">
        <f>IF($Y$4="",1,IF($Y$4="(blank)",--('Final Calculation Sheet'!$X$38=""),IF($Y$4="(nonblank)",--('Final Calculation Sheet'!$X$38&lt;&gt;""),--ISNUMBER(SEARCH($Y$4,'Final Calculation Sheet'!$X$38)))))</f>
        <v/>
      </c>
      <c r="EE93">
        <f>IF($Z$4="",1,IF($Z$4="(blank)",--('Final Calculation Sheet'!$Y$38=""),IF($Z$4="(nonblank)",--('Final Calculation Sheet'!$Y$38&lt;&gt;""),--ISNUMBER(SEARCH($Z$4,'Final Calculation Sheet'!$Y$38)))))</f>
        <v/>
      </c>
      <c r="EF93">
        <f>IF($AA$4="",1,IF($AA$4="(blank)",--('Final Calculation Sheet'!$Z$38=""),IF($AA$4="(nonblank)",--('Final Calculation Sheet'!$Z$38&lt;&gt;""),--ISNUMBER(SEARCH($AA$4,'Final Calculation Sheet'!$Z$38)))))</f>
        <v/>
      </c>
      <c r="EG93">
        <f>IF($AB$4="",1,IF($AB$4="(blank)",--('Final Calculation Sheet'!$AA$38=""),IF($AB$4="(nonblank)",--('Final Calculation Sheet'!$AA$38&lt;&gt;""),--ISNUMBER(SEARCH($AB$4,'Final Calculation Sheet'!$AA$38)))))</f>
        <v/>
      </c>
      <c r="EH93">
        <f>IF($AC$4="",1,IF($AC$4="(blank)",--('Final Calculation Sheet'!$AB$38=""),IF($AC$4="(nonblank)",--('Final Calculation Sheet'!$AB$38&lt;&gt;""),--ISNUMBER(SEARCH($AC$4,'Final Calculation Sheet'!$AB$38)))))</f>
        <v/>
      </c>
      <c r="EI93">
        <f>IF($AD$4="",1,IF($AD$4="(blank)",--('Final Calculation Sheet'!$AC$38=""),IF($AD$4="(nonblank)",--('Final Calculation Sheet'!$AC$38&lt;&gt;""),--ISNUMBER(SEARCH($AD$4,'Final Calculation Sheet'!$AC$38)))))</f>
        <v/>
      </c>
      <c r="EJ93">
        <f>IF($AE$4="",1,IF($AE$4="(blank)",--('Final Calculation Sheet'!$AD$38=""),IF($AE$4="(nonblank)",--('Final Calculation Sheet'!$AD$38&lt;&gt;""),--ISNUMBER(SEARCH($AE$4,'Final Calculation Sheet'!$AD$38)))))</f>
        <v/>
      </c>
      <c r="EK93">
        <f>IF($AF$4="",1,IF($AF$4="(blank)",--(IF('Final Calculation Sheet'!$AD$38&lt;=5,"SETTLED","OUTSTANDING")=""),IF($AF$4="(nonblank)",--(IF('Final Calculation Sheet'!$AD$38&lt;=5,"SETTLED","OUTSTANDING")&lt;&gt;""),--ISNUMBER(SEARCH($AF$4,IF('Final Calculation Sheet'!$AD$38&lt;=5,"SETTLED","OUTSTANDING"))))))</f>
        <v/>
      </c>
      <c r="EL93">
        <f>IF($AG$4="",1,IF($AG$4="(blank)",--('Final Calculation Sheet'!$AF$38=""),IF($AG$4="(nonblank)",--('Final Calculation Sheet'!$AF$38&lt;&gt;""),--ISNUMBER(SEARCH($AG$4,'Final Calculation Sheet'!$AF$38)))))</f>
        <v/>
      </c>
      <c r="EM93">
        <f>IF($AH$4="",1,IF($AH$4="(blank)",--('Final Calculation Sheet'!$AG$38=""),IF($AH$4="(nonblank)",--('Final Calculation Sheet'!$AG$38&lt;&gt;""),--ISNUMBER(SEARCH($AH$4,'Final Calculation Sheet'!$AG$38)))))</f>
        <v/>
      </c>
      <c r="EN93">
        <f>IF($AI$4="",1,IF($AI$4="(blank)",--('Final Calculation Sheet'!$AH$38=""),IF($AI$4="(nonblank)",--('Final Calculation Sheet'!$AH$38&lt;&gt;""),--ISNUMBER(SEARCH($AI$4,'Final Calculation Sheet'!$AH$38)))))</f>
        <v/>
      </c>
    </row>
    <row r="94">
      <c r="AM94">
        <f>AM93+IF(AND(Lists!$O$41&lt;&gt;"",ISNUMBER(SEARCH($B$4,Lists!$O$41))),1,0)</f>
        <v/>
      </c>
      <c r="AN94">
        <f>IF(ROW()-56&gt;MAX($AM$57:$AM$95),"",INDEX(Lists!$O$4:$O$42,MATCH(ROW()-56,$AM$57:$AM$95,0)))</f>
        <v/>
      </c>
      <c r="AO94">
        <f>AO93+IF(AND(Lists!$T$41&lt;&gt;"",ISNUMBER(SEARCH($C$4,Lists!$T$41))),1,0)</f>
        <v/>
      </c>
      <c r="AP94">
        <f>IF(ROW()-56&gt;MAX($AO$57:$AO$95),"",INDEX(Lists!$T$4:$T$42,MATCH(ROW()-56,$AO$57:$AO$95,0)))</f>
        <v/>
      </c>
      <c r="AQ94">
        <f>AQ93+IF(AND(Lists!$Y$41&lt;&gt;"",ISNUMBER(SEARCH($D$4,Lists!$Y$41))),1,0)</f>
        <v/>
      </c>
      <c r="AR94">
        <f>IF(ROW()-56&gt;MAX($AQ$57:$AQ$95),"",INDEX(Lists!$Y$4:$Y$42,MATCH(ROW()-56,$AQ$57:$AQ$95,0)))</f>
        <v/>
      </c>
      <c r="AS94">
        <f>AS93+IF(AND(Lists!$AD$41&lt;&gt;"",ISNUMBER(SEARCH($E$4,Lists!$AD$41))),1,0)</f>
        <v/>
      </c>
      <c r="AT94">
        <f>IF(ROW()-56&gt;MAX($AS$57:$AS$95),"",INDEX(Lists!$AD$4:$AD$42,MATCH(ROW()-56,$AS$57:$AS$95,0)))</f>
        <v/>
      </c>
      <c r="AU94">
        <f>AU93+IF(AND(Lists!$AI$41&lt;&gt;"",ISNUMBER(SEARCH($F$4,Lists!$AI$41))),1,0)</f>
        <v/>
      </c>
      <c r="AV94">
        <f>IF(ROW()-56&gt;MAX($AU$57:$AU$95),"",INDEX(Lists!$AI$4:$AI$42,MATCH(ROW()-56,$AU$57:$AU$95,0)))</f>
        <v/>
      </c>
      <c r="AW94">
        <f>AW93+IF(AND(Lists!$AN$41&lt;&gt;"",ISNUMBER(SEARCH($G$4,Lists!$AN$41))),1,0)</f>
        <v/>
      </c>
      <c r="AX94">
        <f>IF(ROW()-56&gt;MAX($AW$57:$AW$95),"",INDEX(Lists!$AN$4:$AN$42,MATCH(ROW()-56,$AW$57:$AW$95,0)))</f>
        <v/>
      </c>
      <c r="AY94">
        <f>AY93+IF(AND(Lists!$AS$41&lt;&gt;"",ISNUMBER(SEARCH($H$4,Lists!$AS$41))),1,0)</f>
        <v/>
      </c>
      <c r="AZ94">
        <f>IF(ROW()-56&gt;MAX($AY$57:$AY$95),"",INDEX(Lists!$AS$4:$AS$42,MATCH(ROW()-56,$AY$57:$AY$95,0)))</f>
        <v/>
      </c>
      <c r="BA94">
        <f>BA93+IF(AND(Lists!$AX$41&lt;&gt;"",ISNUMBER(SEARCH($I$4,Lists!$AX$41))),1,0)</f>
        <v/>
      </c>
      <c r="BB94">
        <f>IF(ROW()-56&gt;MAX($BA$57:$BA$95),"",INDEX(Lists!$AX$4:$AX$42,MATCH(ROW()-56,$BA$57:$BA$95,0)))</f>
        <v/>
      </c>
      <c r="BC94">
        <f>BC93+IF(AND(Lists!$BC$41&lt;&gt;"",ISNUMBER(SEARCH($J$4,Lists!$BC$41))),1,0)</f>
        <v/>
      </c>
      <c r="BD94">
        <f>IF(ROW()-56&gt;MAX($BC$57:$BC$95),"",INDEX(Lists!$BC$4:$BC$42,MATCH(ROW()-56,$BC$57:$BC$95,0)))</f>
        <v/>
      </c>
      <c r="BE94">
        <f>BE93+IF(AND(Lists!$BH$41&lt;&gt;"",ISNUMBER(SEARCH($K$4,Lists!$BH$41))),1,0)</f>
        <v/>
      </c>
      <c r="BF94">
        <f>IF(ROW()-56&gt;MAX($BE$57:$BE$95),"",INDEX(Lists!$BH$4:$BH$42,MATCH(ROW()-56,$BE$57:$BE$95,0)))</f>
        <v/>
      </c>
      <c r="BG94">
        <f>BG93+IF(AND(Lists!$BM$41&lt;&gt;"",ISNUMBER(SEARCH($L$4,Lists!$BM$41))),1,0)</f>
        <v/>
      </c>
      <c r="BH94">
        <f>IF(ROW()-56&gt;MAX($BG$57:$BG$95),"",INDEX(Lists!$BM$4:$BM$42,MATCH(ROW()-56,$BG$57:$BG$95,0)))</f>
        <v/>
      </c>
      <c r="BI94">
        <f>BI93+IF(AND(Lists!$BR$41&lt;&gt;"",ISNUMBER(SEARCH($M$4,Lists!$BR$41))),1,0)</f>
        <v/>
      </c>
      <c r="BJ94">
        <f>IF(ROW()-56&gt;MAX($BI$57:$BI$95),"",INDEX(Lists!$BR$4:$BR$42,MATCH(ROW()-56,$BI$57:$BI$95,0)))</f>
        <v/>
      </c>
      <c r="BK94">
        <f>BK93+IF(AND(Lists!$BW$41&lt;&gt;"",ISNUMBER(SEARCH($N$4,Lists!$BW$41))),1,0)</f>
        <v/>
      </c>
      <c r="BL94">
        <f>IF(ROW()-56&gt;MAX($BK$57:$BK$95),"",INDEX(Lists!$BW$4:$BW$42,MATCH(ROW()-56,$BK$57:$BK$95,0)))</f>
        <v/>
      </c>
      <c r="BM94">
        <f>BM93+IF(AND(Lists!$CB$41&lt;&gt;"",ISNUMBER(SEARCH($O$4,Lists!$CB$41))),1,0)</f>
        <v/>
      </c>
      <c r="BN94">
        <f>IF(ROW()-56&gt;MAX($BM$57:$BM$95),"",INDEX(Lists!$CB$4:$CB$42,MATCH(ROW()-56,$BM$57:$BM$95,0)))</f>
        <v/>
      </c>
      <c r="BO94">
        <f>BO93+IF(AND(Lists!$CG$41&lt;&gt;"",ISNUMBER(SEARCH($P$4,Lists!$CG$41))),1,0)</f>
        <v/>
      </c>
      <c r="BP94">
        <f>IF(ROW()-56&gt;MAX($BO$57:$BO$95),"",INDEX(Lists!$CG$4:$CG$42,MATCH(ROW()-56,$BO$57:$BO$95,0)))</f>
        <v/>
      </c>
      <c r="BQ94">
        <f>BQ93+IF(AND(Lists!$CL$41&lt;&gt;"",ISNUMBER(SEARCH($Q$4,Lists!$CL$41))),1,0)</f>
        <v/>
      </c>
      <c r="BR94">
        <f>IF(ROW()-56&gt;MAX($BQ$57:$BQ$95),"",INDEX(Lists!$CL$4:$CL$42,MATCH(ROW()-56,$BQ$57:$BQ$95,0)))</f>
        <v/>
      </c>
      <c r="BS94">
        <f>BS93+IF(AND(Lists!$CQ$41&lt;&gt;"",ISNUMBER(SEARCH($R$4,Lists!$CQ$41))),1,0)</f>
        <v/>
      </c>
      <c r="BT94">
        <f>IF(ROW()-56&gt;MAX($BS$57:$BS$95),"",INDEX(Lists!$CQ$4:$CQ$42,MATCH(ROW()-56,$BS$57:$BS$95,0)))</f>
        <v/>
      </c>
      <c r="BU94">
        <f>BU93+IF(AND(Lists!$CV$41&lt;&gt;"",ISNUMBER(SEARCH($S$4,Lists!$CV$41))),1,0)</f>
        <v/>
      </c>
      <c r="BV94">
        <f>IF(ROW()-56&gt;MAX($BU$57:$BU$95),"",INDEX(Lists!$CV$4:$CV$42,MATCH(ROW()-56,$BU$57:$BU$95,0)))</f>
        <v/>
      </c>
      <c r="BW94">
        <f>BW93+IF(AND(Lists!$DA$41&lt;&gt;"",ISNUMBER(SEARCH($T$4,Lists!$DA$41))),1,0)</f>
        <v/>
      </c>
      <c r="BX94">
        <f>IF(ROW()-56&gt;MAX($BW$57:$BW$95),"",INDEX(Lists!$DA$4:$DA$42,MATCH(ROW()-56,$BW$57:$BW$95,0)))</f>
        <v/>
      </c>
      <c r="BY94">
        <f>BY93+IF(AND(Lists!$DF$41&lt;&gt;"",ISNUMBER(SEARCH($U$4,Lists!$DF$41))),1,0)</f>
        <v/>
      </c>
      <c r="BZ94">
        <f>IF(ROW()-56&gt;MAX($BY$57:$BY$95),"",INDEX(Lists!$DF$4:$DF$42,MATCH(ROW()-56,$BY$57:$BY$95,0)))</f>
        <v/>
      </c>
      <c r="CA94">
        <f>CA93+IF(AND(Lists!$DK$41&lt;&gt;"",ISNUMBER(SEARCH($V$4,Lists!$DK$41))),1,0)</f>
        <v/>
      </c>
      <c r="CB94">
        <f>IF(ROW()-56&gt;MAX($CA$57:$CA$95),"",INDEX(Lists!$DK$4:$DK$42,MATCH(ROW()-56,$CA$57:$CA$95,0)))</f>
        <v/>
      </c>
      <c r="CC94">
        <f>CC93+IF(AND(Lists!$DP$41&lt;&gt;"",ISNUMBER(SEARCH($W$4,Lists!$DP$41))),1,0)</f>
        <v/>
      </c>
      <c r="CD94">
        <f>IF(ROW()-56&gt;MAX($CC$57:$CC$95),"",INDEX(Lists!$DP$4:$DP$42,MATCH(ROW()-56,$CC$57:$CC$95,0)))</f>
        <v/>
      </c>
      <c r="CE94">
        <f>CE93+IF(AND(Lists!$DU$41&lt;&gt;"",ISNUMBER(SEARCH($X$4,Lists!$DU$41))),1,0)</f>
        <v/>
      </c>
      <c r="CF94">
        <f>IF(ROW()-56&gt;MAX($CE$57:$CE$95),"",INDEX(Lists!$DU$4:$DU$42,MATCH(ROW()-56,$CE$57:$CE$95,0)))</f>
        <v/>
      </c>
      <c r="CG94">
        <f>CG93+IF(AND(Lists!$DZ$41&lt;&gt;"",ISNUMBER(SEARCH($Y$4,Lists!$DZ$41))),1,0)</f>
        <v/>
      </c>
      <c r="CH94">
        <f>IF(ROW()-56&gt;MAX($CG$57:$CG$95),"",INDEX(Lists!$DZ$4:$DZ$42,MATCH(ROW()-56,$CG$57:$CG$95,0)))</f>
        <v/>
      </c>
      <c r="CI94">
        <f>CI93+IF(AND(Lists!$EE$41&lt;&gt;"",ISNUMBER(SEARCH($Z$4,Lists!$EE$41))),1,0)</f>
        <v/>
      </c>
      <c r="CJ94">
        <f>IF(ROW()-56&gt;MAX($CI$57:$CI$95),"",INDEX(Lists!$EE$4:$EE$42,MATCH(ROW()-56,$CI$57:$CI$95,0)))</f>
        <v/>
      </c>
      <c r="CK94">
        <f>CK93+IF(AND(Lists!$EJ$41&lt;&gt;"",ISNUMBER(SEARCH($AA$4,Lists!$EJ$41))),1,0)</f>
        <v/>
      </c>
      <c r="CL94">
        <f>IF(ROW()-56&gt;MAX($CK$57:$CK$95),"",INDEX(Lists!$EJ$4:$EJ$42,MATCH(ROW()-56,$CK$57:$CK$95,0)))</f>
        <v/>
      </c>
      <c r="CM94">
        <f>CM93+IF(AND(Lists!$EO$41&lt;&gt;"",ISNUMBER(SEARCH($AB$4,Lists!$EO$41))),1,0)</f>
        <v/>
      </c>
      <c r="CN94">
        <f>IF(ROW()-56&gt;MAX($CM$57:$CM$95),"",INDEX(Lists!$EO$4:$EO$42,MATCH(ROW()-56,$CM$57:$CM$95,0)))</f>
        <v/>
      </c>
      <c r="CO94">
        <f>CO93+IF(AND(Lists!$ET$41&lt;&gt;"",ISNUMBER(SEARCH($AC$4,Lists!$ET$41))),1,0)</f>
        <v/>
      </c>
      <c r="CP94">
        <f>IF(ROW()-56&gt;MAX($CO$57:$CO$95),"",INDEX(Lists!$ET$4:$ET$42,MATCH(ROW()-56,$CO$57:$CO$95,0)))</f>
        <v/>
      </c>
      <c r="CQ94">
        <f>CQ93+IF(AND(Lists!$EY$41&lt;&gt;"",ISNUMBER(SEARCH($AD$4,Lists!$EY$41))),1,0)</f>
        <v/>
      </c>
      <c r="CR94">
        <f>IF(ROW()-56&gt;MAX($CQ$57:$CQ$95),"",INDEX(Lists!$EY$4:$EY$42,MATCH(ROW()-56,$CQ$57:$CQ$95,0)))</f>
        <v/>
      </c>
      <c r="CS94">
        <f>CS93+IF(AND(Lists!$FD$41&lt;&gt;"",ISNUMBER(SEARCH($AE$4,Lists!$FD$41))),1,0)</f>
        <v/>
      </c>
      <c r="CT94">
        <f>IF(ROW()-56&gt;MAX($CS$57:$CS$95),"",INDEX(Lists!$FD$4:$FD$42,MATCH(ROW()-56,$CS$57:$CS$95,0)))</f>
        <v/>
      </c>
      <c r="CU94">
        <f>CU93+IF(AND(Lists!$FI$41&lt;&gt;"",ISNUMBER(SEARCH($AG$4,Lists!$FI$41))),1,0)</f>
        <v/>
      </c>
      <c r="CV94">
        <f>IF(ROW()-56&gt;MAX($CU$57:$CU$95),"",INDEX(Lists!$FI$4:$FI$42,MATCH(ROW()-56,$CU$57:$CU$95,0)))</f>
        <v/>
      </c>
      <c r="CW94">
        <f>CW93+IF(AND(Lists!$FN$41&lt;&gt;"",ISNUMBER(SEARCH($AH$4,Lists!$FN$41))),1,0)</f>
        <v/>
      </c>
      <c r="CX94">
        <f>IF(ROW()-56&gt;MAX($CW$57:$CW$95),"",INDEX(Lists!$FN$4:$FN$42,MATCH(ROW()-56,$CW$57:$CW$95,0)))</f>
        <v/>
      </c>
      <c r="CY94">
        <f>CY93+IF(AND(Lists!$FS$41&lt;&gt;"",ISNUMBER(SEARCH($AI$4,Lists!$FS$41))),1,0)</f>
        <v/>
      </c>
      <c r="CZ94">
        <f>IF(ROW()-56&gt;MAX($CY$57:$CY$95),"",INDEX(Lists!$FS$4:$FS$42,MATCH(ROW()-56,$CY$57:$CY$95,0)))</f>
        <v/>
      </c>
      <c r="DA94">
        <f>DA93+IF(AND(Lists!$FX$41&lt;&gt;"",ISNUMBER(SEARCH($AF$4,Lists!$FX$41))),1,0)</f>
        <v/>
      </c>
      <c r="DB94">
        <f>IF(ROW()-56&gt;MAX($DA$57:$DA$95),"",INDEX(Lists!$FX$4:$FX$42,MATCH(ROW()-56,$DA$57:$DA$95,0)))</f>
        <v/>
      </c>
      <c r="DG94">
        <f>IF($B$4="",1,IF($B$4="(blank)",--('Final Calculation Sheet'!$F$39=""),IF($B$4="(nonblank)",--('Final Calculation Sheet'!$F$39&lt;&gt;""),--ISNUMBER(SEARCH($B$4,'Final Calculation Sheet'!$F$39)))))</f>
        <v/>
      </c>
      <c r="DH94">
        <f>IF($C$4="",1,IF($C$4="(blank)",--('Final Calculation Sheet'!$G$39=""),IF($C$4="(nonblank)",--('Final Calculation Sheet'!$G$39&lt;&gt;""),--ISNUMBER(SEARCH($C$4,'Final Calculation Sheet'!$G$39)))))</f>
        <v/>
      </c>
      <c r="DI94">
        <f>IF($D$4="",1,IF($D$4="(blank)",--('Final Calculation Sheet'!$B$39=""),IF($D$4="(nonblank)",--('Final Calculation Sheet'!$B$39&lt;&gt;""),--ISNUMBER(SEARCH($D$4,'Final Calculation Sheet'!$B$39)))))</f>
        <v/>
      </c>
      <c r="DJ94">
        <f>IF($E$4="",1,IF($E$4="(blank)",--('Final Calculation Sheet'!$D$39=""),IF($E$4="(nonblank)",--('Final Calculation Sheet'!$D$39&lt;&gt;""),--ISNUMBER(SEARCH($E$4,'Final Calculation Sheet'!$D$39)))))</f>
        <v/>
      </c>
      <c r="DK94">
        <f>IF($F$4="",1,IF($F$4="(blank)",--('Final Calculation Sheet'!$A$39=""),IF($F$4="(nonblank)",--('Final Calculation Sheet'!$A$39&lt;&gt;""),--ISNUMBER(SEARCH($F$4,'Final Calculation Sheet'!$A$39)))))</f>
        <v/>
      </c>
      <c r="DL94">
        <f>IF($G$4="",1,IF($G$4="(blank)",--('Final Calculation Sheet'!$E$39=""),IF($G$4="(nonblank)",--('Final Calculation Sheet'!$E$39&lt;&gt;""),--ISNUMBER(SEARCH($G$4,'Final Calculation Sheet'!$E$39)))))</f>
        <v/>
      </c>
      <c r="DM94">
        <f>IF($H$4="",1,IF($H$4="(blank)",--('Final Calculation Sheet'!$C$39=""),IF($H$4="(nonblank)",--('Final Calculation Sheet'!$C$39&lt;&gt;""),--ISNUMBER(SEARCH($H$4,'Final Calculation Sheet'!$C$39)))))</f>
        <v/>
      </c>
      <c r="DN94">
        <f>IF($I$4="",1,IF($I$4="(blank)",--('Final Calculation Sheet'!$H$39=""),IF($I$4="(nonblank)",--('Final Calculation Sheet'!$H$39&lt;&gt;""),--ISNUMBER(SEARCH($I$4,'Final Calculation Sheet'!$H$39)))))</f>
        <v/>
      </c>
      <c r="DO94">
        <f>IF($J$4="",1,IF($J$4="(blank)",--('Final Calculation Sheet'!$I$39=""),IF($J$4="(nonblank)",--('Final Calculation Sheet'!$I$39&lt;&gt;""),--ISNUMBER(SEARCH($J$4,'Final Calculation Sheet'!$I$39)))))</f>
        <v/>
      </c>
      <c r="DP94">
        <f>IF($K$4="",1,IF($K$4="(blank)",--('Final Calculation Sheet'!$J$39=""),IF($K$4="(nonblank)",--('Final Calculation Sheet'!$J$39&lt;&gt;""),--ISNUMBER(SEARCH($K$4,'Final Calculation Sheet'!$J$39)))))</f>
        <v/>
      </c>
      <c r="DQ94">
        <f>IF($L$4="",1,IF($L$4="(blank)",--('Final Calculation Sheet'!$K$39=""),IF($L$4="(nonblank)",--('Final Calculation Sheet'!$K$39&lt;&gt;""),--ISNUMBER(SEARCH($L$4,'Final Calculation Sheet'!$K$39)))))</f>
        <v/>
      </c>
      <c r="DR94">
        <f>IF($M$4="",1,IF($M$4="(blank)",--('Final Calculation Sheet'!$L$39=""),IF($M$4="(nonblank)",--('Final Calculation Sheet'!$L$39&lt;&gt;""),--ISNUMBER(SEARCH($M$4,'Final Calculation Sheet'!$L$39)))))</f>
        <v/>
      </c>
      <c r="DS94">
        <f>IF($N$4="",1,IF($N$4="(blank)",--('Final Calculation Sheet'!$M$39=""),IF($N$4="(nonblank)",--('Final Calculation Sheet'!$M$39&lt;&gt;""),--ISNUMBER(SEARCH($N$4,'Final Calculation Sheet'!$M$39)))))</f>
        <v/>
      </c>
      <c r="DT94">
        <f>IF($O$4="",1,IF($O$4="(blank)",--('Final Calculation Sheet'!$N$39=""),IF($O$4="(nonblank)",--('Final Calculation Sheet'!$N$39&lt;&gt;""),--ISNUMBER(SEARCH($O$4,'Final Calculation Sheet'!$N$39)))))</f>
        <v/>
      </c>
      <c r="DU94">
        <f>IF($P$4="",1,IF($P$4="(blank)",--('Final Calculation Sheet'!$O$39=""),IF($P$4="(nonblank)",--('Final Calculation Sheet'!$O$39&lt;&gt;""),--ISNUMBER(SEARCH($P$4,'Final Calculation Sheet'!$O$39)))))</f>
        <v/>
      </c>
      <c r="DV94">
        <f>IF($Q$4="",1,IF($Q$4="(blank)",--('Final Calculation Sheet'!$P$39=""),IF($Q$4="(nonblank)",--('Final Calculation Sheet'!$P$39&lt;&gt;""),--ISNUMBER(SEARCH($Q$4,'Final Calculation Sheet'!$P$39)))))</f>
        <v/>
      </c>
      <c r="DW94">
        <f>IF($R$4="",1,IF($R$4="(blank)",--('Final Calculation Sheet'!$Q$39=""),IF($R$4="(nonblank)",--('Final Calculation Sheet'!$Q$39&lt;&gt;""),--ISNUMBER(SEARCH($R$4,'Final Calculation Sheet'!$Q$39)))))</f>
        <v/>
      </c>
      <c r="DX94">
        <f>IF($S$4="",1,IF($S$4="(blank)",--('Final Calculation Sheet'!$R$39=""),IF($S$4="(nonblank)",--('Final Calculation Sheet'!$R$39&lt;&gt;""),--ISNUMBER(SEARCH($S$4,'Final Calculation Sheet'!$R$39)))))</f>
        <v/>
      </c>
      <c r="DY94">
        <f>IF($T$4="",1,IF($T$4="(blank)",--('Final Calculation Sheet'!$S$39=""),IF($T$4="(nonblank)",--('Final Calculation Sheet'!$S$39&lt;&gt;""),--ISNUMBER(SEARCH($T$4,'Final Calculation Sheet'!$S$39)))))</f>
        <v/>
      </c>
      <c r="DZ94">
        <f>IF($U$4="",1,IF($U$4="(blank)",--('Final Calculation Sheet'!$T$39=""),IF($U$4="(nonblank)",--('Final Calculation Sheet'!$T$39&lt;&gt;""),--ISNUMBER(SEARCH($U$4,'Final Calculation Sheet'!$T$39)))))</f>
        <v/>
      </c>
      <c r="EA94">
        <f>IF($V$4="",1,IF($V$4="(blank)",--('Final Calculation Sheet'!$U$39=""),IF($V$4="(nonblank)",--('Final Calculation Sheet'!$U$39&lt;&gt;""),--ISNUMBER(SEARCH($V$4,'Final Calculation Sheet'!$U$39)))))</f>
        <v/>
      </c>
      <c r="EB94">
        <f>IF($W$4="",1,IF($W$4="(blank)",--('Final Calculation Sheet'!$V$39=""),IF($W$4="(nonblank)",--('Final Calculation Sheet'!$V$39&lt;&gt;""),--ISNUMBER(SEARCH($W$4,'Final Calculation Sheet'!$V$39)))))</f>
        <v/>
      </c>
      <c r="EC94">
        <f>IF($X$4="",1,IF($X$4="(blank)",--('Final Calculation Sheet'!$W$39=""),IF($X$4="(nonblank)",--('Final Calculation Sheet'!$W$39&lt;&gt;""),--ISNUMBER(SEARCH($X$4,'Final Calculation Sheet'!$W$39)))))</f>
        <v/>
      </c>
      <c r="ED94">
        <f>IF($Y$4="",1,IF($Y$4="(blank)",--('Final Calculation Sheet'!$X$39=""),IF($Y$4="(nonblank)",--('Final Calculation Sheet'!$X$39&lt;&gt;""),--ISNUMBER(SEARCH($Y$4,'Final Calculation Sheet'!$X$39)))))</f>
        <v/>
      </c>
      <c r="EE94">
        <f>IF($Z$4="",1,IF($Z$4="(blank)",--('Final Calculation Sheet'!$Y$39=""),IF($Z$4="(nonblank)",--('Final Calculation Sheet'!$Y$39&lt;&gt;""),--ISNUMBER(SEARCH($Z$4,'Final Calculation Sheet'!$Y$39)))))</f>
        <v/>
      </c>
      <c r="EF94">
        <f>IF($AA$4="",1,IF($AA$4="(blank)",--('Final Calculation Sheet'!$Z$39=""),IF($AA$4="(nonblank)",--('Final Calculation Sheet'!$Z$39&lt;&gt;""),--ISNUMBER(SEARCH($AA$4,'Final Calculation Sheet'!$Z$39)))))</f>
        <v/>
      </c>
      <c r="EG94">
        <f>IF($AB$4="",1,IF($AB$4="(blank)",--('Final Calculation Sheet'!$AA$39=""),IF($AB$4="(nonblank)",--('Final Calculation Sheet'!$AA$39&lt;&gt;""),--ISNUMBER(SEARCH($AB$4,'Final Calculation Sheet'!$AA$39)))))</f>
        <v/>
      </c>
      <c r="EH94">
        <f>IF($AC$4="",1,IF($AC$4="(blank)",--('Final Calculation Sheet'!$AB$39=""),IF($AC$4="(nonblank)",--('Final Calculation Sheet'!$AB$39&lt;&gt;""),--ISNUMBER(SEARCH($AC$4,'Final Calculation Sheet'!$AB$39)))))</f>
        <v/>
      </c>
      <c r="EI94">
        <f>IF($AD$4="",1,IF($AD$4="(blank)",--('Final Calculation Sheet'!$AC$39=""),IF($AD$4="(nonblank)",--('Final Calculation Sheet'!$AC$39&lt;&gt;""),--ISNUMBER(SEARCH($AD$4,'Final Calculation Sheet'!$AC$39)))))</f>
        <v/>
      </c>
      <c r="EJ94">
        <f>IF($AE$4="",1,IF($AE$4="(blank)",--('Final Calculation Sheet'!$AD$39=""),IF($AE$4="(nonblank)",--('Final Calculation Sheet'!$AD$39&lt;&gt;""),--ISNUMBER(SEARCH($AE$4,'Final Calculation Sheet'!$AD$39)))))</f>
        <v/>
      </c>
      <c r="EK94">
        <f>IF($AF$4="",1,IF($AF$4="(blank)",--(IF('Final Calculation Sheet'!$AD$39&lt;=5,"SETTLED","OUTSTANDING")=""),IF($AF$4="(nonblank)",--(IF('Final Calculation Sheet'!$AD$39&lt;=5,"SETTLED","OUTSTANDING")&lt;&gt;""),--ISNUMBER(SEARCH($AF$4,IF('Final Calculation Sheet'!$AD$39&lt;=5,"SETTLED","OUTSTANDING"))))))</f>
        <v/>
      </c>
      <c r="EL94">
        <f>IF($AG$4="",1,IF($AG$4="(blank)",--('Final Calculation Sheet'!$AF$39=""),IF($AG$4="(nonblank)",--('Final Calculation Sheet'!$AF$39&lt;&gt;""),--ISNUMBER(SEARCH($AG$4,'Final Calculation Sheet'!$AF$39)))))</f>
        <v/>
      </c>
      <c r="EM94">
        <f>IF($AH$4="",1,IF($AH$4="(blank)",--('Final Calculation Sheet'!$AG$39=""),IF($AH$4="(nonblank)",--('Final Calculation Sheet'!$AG$39&lt;&gt;""),--ISNUMBER(SEARCH($AH$4,'Final Calculation Sheet'!$AG$39)))))</f>
        <v/>
      </c>
      <c r="EN94">
        <f>IF($AI$4="",1,IF($AI$4="(blank)",--('Final Calculation Sheet'!$AH$39=""),IF($AI$4="(nonblank)",--('Final Calculation Sheet'!$AH$39&lt;&gt;""),--ISNUMBER(SEARCH($AI$4,'Final Calculation Sheet'!$AH$39)))))</f>
        <v/>
      </c>
    </row>
    <row r="95">
      <c r="AM95">
        <f>AM94+IF(AND(Lists!$O$42&lt;&gt;"",ISNUMBER(SEARCH($B$4,Lists!$O$42))),1,0)</f>
        <v/>
      </c>
      <c r="AN95">
        <f>IF(ROW()-56&gt;MAX($AM$57:$AM$95),"",INDEX(Lists!$O$4:$O$42,MATCH(ROW()-56,$AM$57:$AM$95,0)))</f>
        <v/>
      </c>
      <c r="AO95">
        <f>AO94+IF(AND(Lists!$T$42&lt;&gt;"",ISNUMBER(SEARCH($C$4,Lists!$T$42))),1,0)</f>
        <v/>
      </c>
      <c r="AP95">
        <f>IF(ROW()-56&gt;MAX($AO$57:$AO$95),"",INDEX(Lists!$T$4:$T$42,MATCH(ROW()-56,$AO$57:$AO$95,0)))</f>
        <v/>
      </c>
      <c r="AQ95">
        <f>AQ94+IF(AND(Lists!$Y$42&lt;&gt;"",ISNUMBER(SEARCH($D$4,Lists!$Y$42))),1,0)</f>
        <v/>
      </c>
      <c r="AR95">
        <f>IF(ROW()-56&gt;MAX($AQ$57:$AQ$95),"",INDEX(Lists!$Y$4:$Y$42,MATCH(ROW()-56,$AQ$57:$AQ$95,0)))</f>
        <v/>
      </c>
      <c r="AS95">
        <f>AS94+IF(AND(Lists!$AD$42&lt;&gt;"",ISNUMBER(SEARCH($E$4,Lists!$AD$42))),1,0)</f>
        <v/>
      </c>
      <c r="AT95">
        <f>IF(ROW()-56&gt;MAX($AS$57:$AS$95),"",INDEX(Lists!$AD$4:$AD$42,MATCH(ROW()-56,$AS$57:$AS$95,0)))</f>
        <v/>
      </c>
      <c r="AU95">
        <f>AU94+IF(AND(Lists!$AI$42&lt;&gt;"",ISNUMBER(SEARCH($F$4,Lists!$AI$42))),1,0)</f>
        <v/>
      </c>
      <c r="AV95">
        <f>IF(ROW()-56&gt;MAX($AU$57:$AU$95),"",INDEX(Lists!$AI$4:$AI$42,MATCH(ROW()-56,$AU$57:$AU$95,0)))</f>
        <v/>
      </c>
      <c r="AW95">
        <f>AW94+IF(AND(Lists!$AN$42&lt;&gt;"",ISNUMBER(SEARCH($G$4,Lists!$AN$42))),1,0)</f>
        <v/>
      </c>
      <c r="AX95">
        <f>IF(ROW()-56&gt;MAX($AW$57:$AW$95),"",INDEX(Lists!$AN$4:$AN$42,MATCH(ROW()-56,$AW$57:$AW$95,0)))</f>
        <v/>
      </c>
      <c r="AY95">
        <f>AY94+IF(AND(Lists!$AS$42&lt;&gt;"",ISNUMBER(SEARCH($H$4,Lists!$AS$42))),1,0)</f>
        <v/>
      </c>
      <c r="AZ95">
        <f>IF(ROW()-56&gt;MAX($AY$57:$AY$95),"",INDEX(Lists!$AS$4:$AS$42,MATCH(ROW()-56,$AY$57:$AY$95,0)))</f>
        <v/>
      </c>
      <c r="BA95">
        <f>BA94+IF(AND(Lists!$AX$42&lt;&gt;"",ISNUMBER(SEARCH($I$4,Lists!$AX$42))),1,0)</f>
        <v/>
      </c>
      <c r="BB95">
        <f>IF(ROW()-56&gt;MAX($BA$57:$BA$95),"",INDEX(Lists!$AX$4:$AX$42,MATCH(ROW()-56,$BA$57:$BA$95,0)))</f>
        <v/>
      </c>
      <c r="BC95">
        <f>BC94+IF(AND(Lists!$BC$42&lt;&gt;"",ISNUMBER(SEARCH($J$4,Lists!$BC$42))),1,0)</f>
        <v/>
      </c>
      <c r="BD95">
        <f>IF(ROW()-56&gt;MAX($BC$57:$BC$95),"",INDEX(Lists!$BC$4:$BC$42,MATCH(ROW()-56,$BC$57:$BC$95,0)))</f>
        <v/>
      </c>
      <c r="BE95">
        <f>BE94+IF(AND(Lists!$BH$42&lt;&gt;"",ISNUMBER(SEARCH($K$4,Lists!$BH$42))),1,0)</f>
        <v/>
      </c>
      <c r="BF95">
        <f>IF(ROW()-56&gt;MAX($BE$57:$BE$95),"",INDEX(Lists!$BH$4:$BH$42,MATCH(ROW()-56,$BE$57:$BE$95,0)))</f>
        <v/>
      </c>
      <c r="BG95">
        <f>BG94+IF(AND(Lists!$BM$42&lt;&gt;"",ISNUMBER(SEARCH($L$4,Lists!$BM$42))),1,0)</f>
        <v/>
      </c>
      <c r="BH95">
        <f>IF(ROW()-56&gt;MAX($BG$57:$BG$95),"",INDEX(Lists!$BM$4:$BM$42,MATCH(ROW()-56,$BG$57:$BG$95,0)))</f>
        <v/>
      </c>
      <c r="BI95">
        <f>BI94+IF(AND(Lists!$BR$42&lt;&gt;"",ISNUMBER(SEARCH($M$4,Lists!$BR$42))),1,0)</f>
        <v/>
      </c>
      <c r="BJ95">
        <f>IF(ROW()-56&gt;MAX($BI$57:$BI$95),"",INDEX(Lists!$BR$4:$BR$42,MATCH(ROW()-56,$BI$57:$BI$95,0)))</f>
        <v/>
      </c>
      <c r="BK95">
        <f>BK94+IF(AND(Lists!$BW$42&lt;&gt;"",ISNUMBER(SEARCH($N$4,Lists!$BW$42))),1,0)</f>
        <v/>
      </c>
      <c r="BL95">
        <f>IF(ROW()-56&gt;MAX($BK$57:$BK$95),"",INDEX(Lists!$BW$4:$BW$42,MATCH(ROW()-56,$BK$57:$BK$95,0)))</f>
        <v/>
      </c>
      <c r="BM95">
        <f>BM94+IF(AND(Lists!$CB$42&lt;&gt;"",ISNUMBER(SEARCH($O$4,Lists!$CB$42))),1,0)</f>
        <v/>
      </c>
      <c r="BN95">
        <f>IF(ROW()-56&gt;MAX($BM$57:$BM$95),"",INDEX(Lists!$CB$4:$CB$42,MATCH(ROW()-56,$BM$57:$BM$95,0)))</f>
        <v/>
      </c>
      <c r="BO95">
        <f>BO94+IF(AND(Lists!$CG$42&lt;&gt;"",ISNUMBER(SEARCH($P$4,Lists!$CG$42))),1,0)</f>
        <v/>
      </c>
      <c r="BP95">
        <f>IF(ROW()-56&gt;MAX($BO$57:$BO$95),"",INDEX(Lists!$CG$4:$CG$42,MATCH(ROW()-56,$BO$57:$BO$95,0)))</f>
        <v/>
      </c>
      <c r="BQ95">
        <f>BQ94+IF(AND(Lists!$CL$42&lt;&gt;"",ISNUMBER(SEARCH($Q$4,Lists!$CL$42))),1,0)</f>
        <v/>
      </c>
      <c r="BR95">
        <f>IF(ROW()-56&gt;MAX($BQ$57:$BQ$95),"",INDEX(Lists!$CL$4:$CL$42,MATCH(ROW()-56,$BQ$57:$BQ$95,0)))</f>
        <v/>
      </c>
      <c r="BS95">
        <f>BS94+IF(AND(Lists!$CQ$42&lt;&gt;"",ISNUMBER(SEARCH($R$4,Lists!$CQ$42))),1,0)</f>
        <v/>
      </c>
      <c r="BT95">
        <f>IF(ROW()-56&gt;MAX($BS$57:$BS$95),"",INDEX(Lists!$CQ$4:$CQ$42,MATCH(ROW()-56,$BS$57:$BS$95,0)))</f>
        <v/>
      </c>
      <c r="BU95">
        <f>BU94+IF(AND(Lists!$CV$42&lt;&gt;"",ISNUMBER(SEARCH($S$4,Lists!$CV$42))),1,0)</f>
        <v/>
      </c>
      <c r="BV95">
        <f>IF(ROW()-56&gt;MAX($BU$57:$BU$95),"",INDEX(Lists!$CV$4:$CV$42,MATCH(ROW()-56,$BU$57:$BU$95,0)))</f>
        <v/>
      </c>
      <c r="BW95">
        <f>BW94+IF(AND(Lists!$DA$42&lt;&gt;"",ISNUMBER(SEARCH($T$4,Lists!$DA$42))),1,0)</f>
        <v/>
      </c>
      <c r="BX95">
        <f>IF(ROW()-56&gt;MAX($BW$57:$BW$95),"",INDEX(Lists!$DA$4:$DA$42,MATCH(ROW()-56,$BW$57:$BW$95,0)))</f>
        <v/>
      </c>
      <c r="BY95">
        <f>BY94+IF(AND(Lists!$DF$42&lt;&gt;"",ISNUMBER(SEARCH($U$4,Lists!$DF$42))),1,0)</f>
        <v/>
      </c>
      <c r="BZ95">
        <f>IF(ROW()-56&gt;MAX($BY$57:$BY$95),"",INDEX(Lists!$DF$4:$DF$42,MATCH(ROW()-56,$BY$57:$BY$95,0)))</f>
        <v/>
      </c>
      <c r="CA95">
        <f>CA94+IF(AND(Lists!$DK$42&lt;&gt;"",ISNUMBER(SEARCH($V$4,Lists!$DK$42))),1,0)</f>
        <v/>
      </c>
      <c r="CB95">
        <f>IF(ROW()-56&gt;MAX($CA$57:$CA$95),"",INDEX(Lists!$DK$4:$DK$42,MATCH(ROW()-56,$CA$57:$CA$95,0)))</f>
        <v/>
      </c>
      <c r="CC95">
        <f>CC94+IF(AND(Lists!$DP$42&lt;&gt;"",ISNUMBER(SEARCH($W$4,Lists!$DP$42))),1,0)</f>
        <v/>
      </c>
      <c r="CD95">
        <f>IF(ROW()-56&gt;MAX($CC$57:$CC$95),"",INDEX(Lists!$DP$4:$DP$42,MATCH(ROW()-56,$CC$57:$CC$95,0)))</f>
        <v/>
      </c>
      <c r="CE95">
        <f>CE94+IF(AND(Lists!$DU$42&lt;&gt;"",ISNUMBER(SEARCH($X$4,Lists!$DU$42))),1,0)</f>
        <v/>
      </c>
      <c r="CF95">
        <f>IF(ROW()-56&gt;MAX($CE$57:$CE$95),"",INDEX(Lists!$DU$4:$DU$42,MATCH(ROW()-56,$CE$57:$CE$95,0)))</f>
        <v/>
      </c>
      <c r="CG95">
        <f>CG94+IF(AND(Lists!$DZ$42&lt;&gt;"",ISNUMBER(SEARCH($Y$4,Lists!$DZ$42))),1,0)</f>
        <v/>
      </c>
      <c r="CH95">
        <f>IF(ROW()-56&gt;MAX($CG$57:$CG$95),"",INDEX(Lists!$DZ$4:$DZ$42,MATCH(ROW()-56,$CG$57:$CG$95,0)))</f>
        <v/>
      </c>
      <c r="CI95">
        <f>CI94+IF(AND(Lists!$EE$42&lt;&gt;"",ISNUMBER(SEARCH($Z$4,Lists!$EE$42))),1,0)</f>
        <v/>
      </c>
      <c r="CJ95">
        <f>IF(ROW()-56&gt;MAX($CI$57:$CI$95),"",INDEX(Lists!$EE$4:$EE$42,MATCH(ROW()-56,$CI$57:$CI$95,0)))</f>
        <v/>
      </c>
      <c r="CK95">
        <f>CK94+IF(AND(Lists!$EJ$42&lt;&gt;"",ISNUMBER(SEARCH($AA$4,Lists!$EJ$42))),1,0)</f>
        <v/>
      </c>
      <c r="CL95">
        <f>IF(ROW()-56&gt;MAX($CK$57:$CK$95),"",INDEX(Lists!$EJ$4:$EJ$42,MATCH(ROW()-56,$CK$57:$CK$95,0)))</f>
        <v/>
      </c>
      <c r="CM95">
        <f>CM94+IF(AND(Lists!$EO$42&lt;&gt;"",ISNUMBER(SEARCH($AB$4,Lists!$EO$42))),1,0)</f>
        <v/>
      </c>
      <c r="CN95">
        <f>IF(ROW()-56&gt;MAX($CM$57:$CM$95),"",INDEX(Lists!$EO$4:$EO$42,MATCH(ROW()-56,$CM$57:$CM$95,0)))</f>
        <v/>
      </c>
      <c r="CO95">
        <f>CO94+IF(AND(Lists!$ET$42&lt;&gt;"",ISNUMBER(SEARCH($AC$4,Lists!$ET$42))),1,0)</f>
        <v/>
      </c>
      <c r="CP95">
        <f>IF(ROW()-56&gt;MAX($CO$57:$CO$95),"",INDEX(Lists!$ET$4:$ET$42,MATCH(ROW()-56,$CO$57:$CO$95,0)))</f>
        <v/>
      </c>
      <c r="CQ95">
        <f>CQ94+IF(AND(Lists!$EY$42&lt;&gt;"",ISNUMBER(SEARCH($AD$4,Lists!$EY$42))),1,0)</f>
        <v/>
      </c>
      <c r="CR95">
        <f>IF(ROW()-56&gt;MAX($CQ$57:$CQ$95),"",INDEX(Lists!$EY$4:$EY$42,MATCH(ROW()-56,$CQ$57:$CQ$95,0)))</f>
        <v/>
      </c>
      <c r="CS95">
        <f>CS94+IF(AND(Lists!$FD$42&lt;&gt;"",ISNUMBER(SEARCH($AE$4,Lists!$FD$42))),1,0)</f>
        <v/>
      </c>
      <c r="CT95">
        <f>IF(ROW()-56&gt;MAX($CS$57:$CS$95),"",INDEX(Lists!$FD$4:$FD$42,MATCH(ROW()-56,$CS$57:$CS$95,0)))</f>
        <v/>
      </c>
      <c r="CU95">
        <f>CU94+IF(AND(Lists!$FI$42&lt;&gt;"",ISNUMBER(SEARCH($AG$4,Lists!$FI$42))),1,0)</f>
        <v/>
      </c>
      <c r="CV95">
        <f>IF(ROW()-56&gt;MAX($CU$57:$CU$95),"",INDEX(Lists!$FI$4:$FI$42,MATCH(ROW()-56,$CU$57:$CU$95,0)))</f>
        <v/>
      </c>
      <c r="CW95">
        <f>CW94+IF(AND(Lists!$FN$42&lt;&gt;"",ISNUMBER(SEARCH($AH$4,Lists!$FN$42))),1,0)</f>
        <v/>
      </c>
      <c r="CX95">
        <f>IF(ROW()-56&gt;MAX($CW$57:$CW$95),"",INDEX(Lists!$FN$4:$FN$42,MATCH(ROW()-56,$CW$57:$CW$95,0)))</f>
        <v/>
      </c>
      <c r="CY95">
        <f>CY94+IF(AND(Lists!$FS$42&lt;&gt;"",ISNUMBER(SEARCH($AI$4,Lists!$FS$42))),1,0)</f>
        <v/>
      </c>
      <c r="CZ95">
        <f>IF(ROW()-56&gt;MAX($CY$57:$CY$95),"",INDEX(Lists!$FS$4:$FS$42,MATCH(ROW()-56,$CY$57:$CY$95,0)))</f>
        <v/>
      </c>
      <c r="DA95">
        <f>DA94+IF(AND(Lists!$FX$42&lt;&gt;"",ISNUMBER(SEARCH($AF$4,Lists!$FX$42))),1,0)</f>
        <v/>
      </c>
      <c r="DB95">
        <f>IF(ROW()-56&gt;MAX($DA$57:$DA$95),"",INDEX(Lists!$FX$4:$FX$42,MATCH(ROW()-56,$DA$57:$DA$95,0)))</f>
        <v/>
      </c>
      <c r="DG95">
        <f>IF($B$4="",1,IF($B$4="(blank)",--('Final Calculation Sheet'!$F$40=""),IF($B$4="(nonblank)",--('Final Calculation Sheet'!$F$40&lt;&gt;""),--ISNUMBER(SEARCH($B$4,'Final Calculation Sheet'!$F$40)))))</f>
        <v/>
      </c>
      <c r="DH95">
        <f>IF($C$4="",1,IF($C$4="(blank)",--('Final Calculation Sheet'!$G$40=""),IF($C$4="(nonblank)",--('Final Calculation Sheet'!$G$40&lt;&gt;""),--ISNUMBER(SEARCH($C$4,'Final Calculation Sheet'!$G$40)))))</f>
        <v/>
      </c>
      <c r="DI95">
        <f>IF($D$4="",1,IF($D$4="(blank)",--('Final Calculation Sheet'!$B$40=""),IF($D$4="(nonblank)",--('Final Calculation Sheet'!$B$40&lt;&gt;""),--ISNUMBER(SEARCH($D$4,'Final Calculation Sheet'!$B$40)))))</f>
        <v/>
      </c>
      <c r="DJ95">
        <f>IF($E$4="",1,IF($E$4="(blank)",--('Final Calculation Sheet'!$D$40=""),IF($E$4="(nonblank)",--('Final Calculation Sheet'!$D$40&lt;&gt;""),--ISNUMBER(SEARCH($E$4,'Final Calculation Sheet'!$D$40)))))</f>
        <v/>
      </c>
      <c r="DK95">
        <f>IF($F$4="",1,IF($F$4="(blank)",--('Final Calculation Sheet'!$A$40=""),IF($F$4="(nonblank)",--('Final Calculation Sheet'!$A$40&lt;&gt;""),--ISNUMBER(SEARCH($F$4,'Final Calculation Sheet'!$A$40)))))</f>
        <v/>
      </c>
      <c r="DL95">
        <f>IF($G$4="",1,IF($G$4="(blank)",--('Final Calculation Sheet'!$E$40=""),IF($G$4="(nonblank)",--('Final Calculation Sheet'!$E$40&lt;&gt;""),--ISNUMBER(SEARCH($G$4,'Final Calculation Sheet'!$E$40)))))</f>
        <v/>
      </c>
      <c r="DM95">
        <f>IF($H$4="",1,IF($H$4="(blank)",--('Final Calculation Sheet'!$C$40=""),IF($H$4="(nonblank)",--('Final Calculation Sheet'!$C$40&lt;&gt;""),--ISNUMBER(SEARCH($H$4,'Final Calculation Sheet'!$C$40)))))</f>
        <v/>
      </c>
      <c r="DN95">
        <f>IF($I$4="",1,IF($I$4="(blank)",--('Final Calculation Sheet'!$H$40=""),IF($I$4="(nonblank)",--('Final Calculation Sheet'!$H$40&lt;&gt;""),--ISNUMBER(SEARCH($I$4,'Final Calculation Sheet'!$H$40)))))</f>
        <v/>
      </c>
      <c r="DO95">
        <f>IF($J$4="",1,IF($J$4="(blank)",--('Final Calculation Sheet'!$I$40=""),IF($J$4="(nonblank)",--('Final Calculation Sheet'!$I$40&lt;&gt;""),--ISNUMBER(SEARCH($J$4,'Final Calculation Sheet'!$I$40)))))</f>
        <v/>
      </c>
      <c r="DP95">
        <f>IF($K$4="",1,IF($K$4="(blank)",--('Final Calculation Sheet'!$J$40=""),IF($K$4="(nonblank)",--('Final Calculation Sheet'!$J$40&lt;&gt;""),--ISNUMBER(SEARCH($K$4,'Final Calculation Sheet'!$J$40)))))</f>
        <v/>
      </c>
      <c r="DQ95">
        <f>IF($L$4="",1,IF($L$4="(blank)",--('Final Calculation Sheet'!$K$40=""),IF($L$4="(nonblank)",--('Final Calculation Sheet'!$K$40&lt;&gt;""),--ISNUMBER(SEARCH($L$4,'Final Calculation Sheet'!$K$40)))))</f>
        <v/>
      </c>
      <c r="DR95">
        <f>IF($M$4="",1,IF($M$4="(blank)",--('Final Calculation Sheet'!$L$40=""),IF($M$4="(nonblank)",--('Final Calculation Sheet'!$L$40&lt;&gt;""),--ISNUMBER(SEARCH($M$4,'Final Calculation Sheet'!$L$40)))))</f>
        <v/>
      </c>
      <c r="DS95">
        <f>IF($N$4="",1,IF($N$4="(blank)",--('Final Calculation Sheet'!$M$40=""),IF($N$4="(nonblank)",--('Final Calculation Sheet'!$M$40&lt;&gt;""),--ISNUMBER(SEARCH($N$4,'Final Calculation Sheet'!$M$40)))))</f>
        <v/>
      </c>
      <c r="DT95">
        <f>IF($O$4="",1,IF($O$4="(blank)",--('Final Calculation Sheet'!$N$40=""),IF($O$4="(nonblank)",--('Final Calculation Sheet'!$N$40&lt;&gt;""),--ISNUMBER(SEARCH($O$4,'Final Calculation Sheet'!$N$40)))))</f>
        <v/>
      </c>
      <c r="DU95">
        <f>IF($P$4="",1,IF($P$4="(blank)",--('Final Calculation Sheet'!$O$40=""),IF($P$4="(nonblank)",--('Final Calculation Sheet'!$O$40&lt;&gt;""),--ISNUMBER(SEARCH($P$4,'Final Calculation Sheet'!$O$40)))))</f>
        <v/>
      </c>
      <c r="DV95">
        <f>IF($Q$4="",1,IF($Q$4="(blank)",--('Final Calculation Sheet'!$P$40=""),IF($Q$4="(nonblank)",--('Final Calculation Sheet'!$P$40&lt;&gt;""),--ISNUMBER(SEARCH($Q$4,'Final Calculation Sheet'!$P$40)))))</f>
        <v/>
      </c>
      <c r="DW95">
        <f>IF($R$4="",1,IF($R$4="(blank)",--('Final Calculation Sheet'!$Q$40=""),IF($R$4="(nonblank)",--('Final Calculation Sheet'!$Q$40&lt;&gt;""),--ISNUMBER(SEARCH($R$4,'Final Calculation Sheet'!$Q$40)))))</f>
        <v/>
      </c>
      <c r="DX95">
        <f>IF($S$4="",1,IF($S$4="(blank)",--('Final Calculation Sheet'!$R$40=""),IF($S$4="(nonblank)",--('Final Calculation Sheet'!$R$40&lt;&gt;""),--ISNUMBER(SEARCH($S$4,'Final Calculation Sheet'!$R$40)))))</f>
        <v/>
      </c>
      <c r="DY95">
        <f>IF($T$4="",1,IF($T$4="(blank)",--('Final Calculation Sheet'!$S$40=""),IF($T$4="(nonblank)",--('Final Calculation Sheet'!$S$40&lt;&gt;""),--ISNUMBER(SEARCH($T$4,'Final Calculation Sheet'!$S$40)))))</f>
        <v/>
      </c>
      <c r="DZ95">
        <f>IF($U$4="",1,IF($U$4="(blank)",--('Final Calculation Sheet'!$T$40=""),IF($U$4="(nonblank)",--('Final Calculation Sheet'!$T$40&lt;&gt;""),--ISNUMBER(SEARCH($U$4,'Final Calculation Sheet'!$T$40)))))</f>
        <v/>
      </c>
      <c r="EA95">
        <f>IF($V$4="",1,IF($V$4="(blank)",--('Final Calculation Sheet'!$U$40=""),IF($V$4="(nonblank)",--('Final Calculation Sheet'!$U$40&lt;&gt;""),--ISNUMBER(SEARCH($V$4,'Final Calculation Sheet'!$U$40)))))</f>
        <v/>
      </c>
      <c r="EB95">
        <f>IF($W$4="",1,IF($W$4="(blank)",--('Final Calculation Sheet'!$V$40=""),IF($W$4="(nonblank)",--('Final Calculation Sheet'!$V$40&lt;&gt;""),--ISNUMBER(SEARCH($W$4,'Final Calculation Sheet'!$V$40)))))</f>
        <v/>
      </c>
      <c r="EC95">
        <f>IF($X$4="",1,IF($X$4="(blank)",--('Final Calculation Sheet'!$W$40=""),IF($X$4="(nonblank)",--('Final Calculation Sheet'!$W$40&lt;&gt;""),--ISNUMBER(SEARCH($X$4,'Final Calculation Sheet'!$W$40)))))</f>
        <v/>
      </c>
      <c r="ED95">
        <f>IF($Y$4="",1,IF($Y$4="(blank)",--('Final Calculation Sheet'!$X$40=""),IF($Y$4="(nonblank)",--('Final Calculation Sheet'!$X$40&lt;&gt;""),--ISNUMBER(SEARCH($Y$4,'Final Calculation Sheet'!$X$40)))))</f>
        <v/>
      </c>
      <c r="EE95">
        <f>IF($Z$4="",1,IF($Z$4="(blank)",--('Final Calculation Sheet'!$Y$40=""),IF($Z$4="(nonblank)",--('Final Calculation Sheet'!$Y$40&lt;&gt;""),--ISNUMBER(SEARCH($Z$4,'Final Calculation Sheet'!$Y$40)))))</f>
        <v/>
      </c>
      <c r="EF95">
        <f>IF($AA$4="",1,IF($AA$4="(blank)",--('Final Calculation Sheet'!$Z$40=""),IF($AA$4="(nonblank)",--('Final Calculation Sheet'!$Z$40&lt;&gt;""),--ISNUMBER(SEARCH($AA$4,'Final Calculation Sheet'!$Z$40)))))</f>
        <v/>
      </c>
      <c r="EG95">
        <f>IF($AB$4="",1,IF($AB$4="(blank)",--('Final Calculation Sheet'!$AA$40=""),IF($AB$4="(nonblank)",--('Final Calculation Sheet'!$AA$40&lt;&gt;""),--ISNUMBER(SEARCH($AB$4,'Final Calculation Sheet'!$AA$40)))))</f>
        <v/>
      </c>
      <c r="EH95">
        <f>IF($AC$4="",1,IF($AC$4="(blank)",--('Final Calculation Sheet'!$AB$40=""),IF($AC$4="(nonblank)",--('Final Calculation Sheet'!$AB$40&lt;&gt;""),--ISNUMBER(SEARCH($AC$4,'Final Calculation Sheet'!$AB$40)))))</f>
        <v/>
      </c>
      <c r="EI95">
        <f>IF($AD$4="",1,IF($AD$4="(blank)",--('Final Calculation Sheet'!$AC$40=""),IF($AD$4="(nonblank)",--('Final Calculation Sheet'!$AC$40&lt;&gt;""),--ISNUMBER(SEARCH($AD$4,'Final Calculation Sheet'!$AC$40)))))</f>
        <v/>
      </c>
      <c r="EJ95">
        <f>IF($AE$4="",1,IF($AE$4="(blank)",--('Final Calculation Sheet'!$AD$40=""),IF($AE$4="(nonblank)",--('Final Calculation Sheet'!$AD$40&lt;&gt;""),--ISNUMBER(SEARCH($AE$4,'Final Calculation Sheet'!$AD$40)))))</f>
        <v/>
      </c>
      <c r="EK95">
        <f>IF($AF$4="",1,IF($AF$4="(blank)",--(IF('Final Calculation Sheet'!$AD$40&lt;=5,"SETTLED","OUTSTANDING")=""),IF($AF$4="(nonblank)",--(IF('Final Calculation Sheet'!$AD$40&lt;=5,"SETTLED","OUTSTANDING")&lt;&gt;""),--ISNUMBER(SEARCH($AF$4,IF('Final Calculation Sheet'!$AD$40&lt;=5,"SETTLED","OUTSTANDING"))))))</f>
        <v/>
      </c>
      <c r="EL95">
        <f>IF($AG$4="",1,IF($AG$4="(blank)",--('Final Calculation Sheet'!$AF$40=""),IF($AG$4="(nonblank)",--('Final Calculation Sheet'!$AF$40&lt;&gt;""),--ISNUMBER(SEARCH($AG$4,'Final Calculation Sheet'!$AF$40)))))</f>
        <v/>
      </c>
      <c r="EM95">
        <f>IF($AH$4="",1,IF($AH$4="(blank)",--('Final Calculation Sheet'!$AG$40=""),IF($AH$4="(nonblank)",--('Final Calculation Sheet'!$AG$40&lt;&gt;""),--ISNUMBER(SEARCH($AH$4,'Final Calculation Sheet'!$AG$40)))))</f>
        <v/>
      </c>
      <c r="EN95">
        <f>IF($AI$4="",1,IF($AI$4="(blank)",--('Final Calculation Sheet'!$AH$40=""),IF($AI$4="(nonblank)",--('Final Calculation Sheet'!$AH$40&lt;&gt;""),--ISNUMBER(SEARCH($AI$4,'Final Calculation Sheet'!$AH$40)))))</f>
        <v/>
      </c>
    </row>
  </sheetData>
  <mergeCells count="2">
    <mergeCell ref="A2:AI2"/>
    <mergeCell ref="A1:AI1"/>
  </mergeCells>
  <conditionalFormatting sqref="A7:AI58">
    <cfRule type="expression" priority="1" dxfId="50">
      <formula>AND(ISNUMBER($A7),$B7&lt;&gt;"",COUNTIF($B$4:$AI$4,"&lt;&gt;")&gt;0,$AJ7=0)</formula>
    </cfRule>
  </conditionalFormatting>
  <conditionalFormatting sqref="AE7:AE58">
    <cfRule type="cellIs" priority="2" operator="greaterThan" dxfId="0">
      <formula>5</formula>
    </cfRule>
  </conditionalFormatting>
  <conditionalFormatting sqref="AF7:AF58">
    <cfRule type="cellIs" priority="3" operator="equal" dxfId="2">
      <formula>"SETTLED"</formula>
    </cfRule>
    <cfRule type="cellIs" priority="4" operator="equal" dxfId="0">
      <formula>"OUTSTANDING"</formula>
    </cfRule>
  </conditionalFormatting>
  <conditionalFormatting sqref="B7:B56">
    <cfRule type="expression" priority="5" dxfId="3">
      <formula>AND(ISNUMBER($A7),$B$4&lt;&gt;"",IF($B$4="(blank)",B7="",IF($B$4="(nonblank)",B7&lt;&gt;"",ISNUMBER(SEARCH($B$4,B7)))))</formula>
    </cfRule>
  </conditionalFormatting>
  <conditionalFormatting sqref="C7:C56">
    <cfRule type="expression" priority="6" dxfId="3">
      <formula>AND(ISNUMBER($A7),$C$4&lt;&gt;"",IF($C$4="(blank)",C7="",IF($C$4="(nonblank)",C7&lt;&gt;"",ISNUMBER(SEARCH($C$4,C7)))))</formula>
    </cfRule>
  </conditionalFormatting>
  <conditionalFormatting sqref="D7:D56">
    <cfRule type="expression" priority="7" dxfId="3">
      <formula>AND(ISNUMBER($A7),$D$4&lt;&gt;"",IF($D$4="(blank)",D7="",IF($D$4="(nonblank)",D7&lt;&gt;"",ISNUMBER(SEARCH($D$4,D7)))))</formula>
    </cfRule>
  </conditionalFormatting>
  <conditionalFormatting sqref="E7:E56">
    <cfRule type="expression" priority="8" dxfId="3">
      <formula>AND(ISNUMBER($A7),$E$4&lt;&gt;"",IF($E$4="(blank)",E7="",IF($E$4="(nonblank)",E7&lt;&gt;"",ISNUMBER(SEARCH($E$4,E7)))))</formula>
    </cfRule>
  </conditionalFormatting>
  <conditionalFormatting sqref="F7:F56">
    <cfRule type="expression" priority="9" dxfId="3">
      <formula>AND(ISNUMBER($A7),$F$4&lt;&gt;"",IF($F$4="(blank)",F7="",IF($F$4="(nonblank)",F7&lt;&gt;"",ISNUMBER(SEARCH($F$4,F7)))))</formula>
    </cfRule>
  </conditionalFormatting>
  <conditionalFormatting sqref="G7:G56">
    <cfRule type="expression" priority="10" dxfId="3">
      <formula>AND(ISNUMBER($A7),$G$4&lt;&gt;"",IF($G$4="(blank)",G7="",IF($G$4="(nonblank)",G7&lt;&gt;"",ISNUMBER(SEARCH($G$4,G7)))))</formula>
    </cfRule>
  </conditionalFormatting>
  <conditionalFormatting sqref="H7:H56">
    <cfRule type="expression" priority="11" dxfId="3">
      <formula>AND(ISNUMBER($A7),$H$4&lt;&gt;"",IF($H$4="(blank)",H7="",IF($H$4="(nonblank)",H7&lt;&gt;"",ISNUMBER(SEARCH($H$4,H7)))))</formula>
    </cfRule>
  </conditionalFormatting>
  <conditionalFormatting sqref="I7:I56">
    <cfRule type="expression" priority="12" dxfId="3">
      <formula>AND(ISNUMBER($A7),$I$4&lt;&gt;"",IF($I$4="(blank)",I7="",IF($I$4="(nonblank)",I7&lt;&gt;"",ISNUMBER(SEARCH($I$4,I7)))))</formula>
    </cfRule>
  </conditionalFormatting>
  <conditionalFormatting sqref="J7:J56">
    <cfRule type="expression" priority="13" dxfId="3">
      <formula>AND(ISNUMBER($A7),$J$4&lt;&gt;"",IF($J$4="(blank)",J7="",IF($J$4="(nonblank)",J7&lt;&gt;"",ISNUMBER(SEARCH($J$4,J7)))))</formula>
    </cfRule>
  </conditionalFormatting>
  <conditionalFormatting sqref="K7:K56">
    <cfRule type="expression" priority="14" dxfId="3">
      <formula>AND(ISNUMBER($A7),$K$4&lt;&gt;"",IF($K$4="(blank)",K7="",IF($K$4="(nonblank)",K7&lt;&gt;"",ISNUMBER(SEARCH($K$4,K7)))))</formula>
    </cfRule>
  </conditionalFormatting>
  <conditionalFormatting sqref="L7:L56">
    <cfRule type="expression" priority="15" dxfId="3">
      <formula>AND(ISNUMBER($A7),$L$4&lt;&gt;"",IF($L$4="(blank)",L7="",IF($L$4="(nonblank)",L7&lt;&gt;"",ISNUMBER(SEARCH($L$4,L7)))))</formula>
    </cfRule>
  </conditionalFormatting>
  <conditionalFormatting sqref="M7:M56">
    <cfRule type="expression" priority="16" dxfId="3">
      <formula>AND(ISNUMBER($A7),$M$4&lt;&gt;"",IF($M$4="(blank)",M7="",IF($M$4="(nonblank)",M7&lt;&gt;"",ISNUMBER(SEARCH($M$4,M7)))))</formula>
    </cfRule>
  </conditionalFormatting>
  <conditionalFormatting sqref="N7:N56">
    <cfRule type="expression" priority="17" dxfId="3">
      <formula>AND(ISNUMBER($A7),$N$4&lt;&gt;"",IF($N$4="(blank)",N7="",IF($N$4="(nonblank)",N7&lt;&gt;"",ISNUMBER(SEARCH($N$4,N7)))))</formula>
    </cfRule>
  </conditionalFormatting>
  <conditionalFormatting sqref="O7:O56">
    <cfRule type="expression" priority="18" dxfId="3">
      <formula>AND(ISNUMBER($A7),$O$4&lt;&gt;"",IF($O$4="(blank)",O7="",IF($O$4="(nonblank)",O7&lt;&gt;"",ISNUMBER(SEARCH($O$4,O7)))))</formula>
    </cfRule>
  </conditionalFormatting>
  <conditionalFormatting sqref="P7:P56">
    <cfRule type="expression" priority="19" dxfId="3">
      <formula>AND(ISNUMBER($A7),$P$4&lt;&gt;"",IF($P$4="(blank)",P7="",IF($P$4="(nonblank)",P7&lt;&gt;"",ISNUMBER(SEARCH($P$4,P7)))))</formula>
    </cfRule>
  </conditionalFormatting>
  <conditionalFormatting sqref="Q7:Q56">
    <cfRule type="expression" priority="20" dxfId="3">
      <formula>AND(ISNUMBER($A7),$Q$4&lt;&gt;"",IF($Q$4="(blank)",Q7="",IF($Q$4="(nonblank)",Q7&lt;&gt;"",ISNUMBER(SEARCH($Q$4,Q7)))))</formula>
    </cfRule>
  </conditionalFormatting>
  <conditionalFormatting sqref="R7:R56">
    <cfRule type="expression" priority="21" dxfId="3">
      <formula>AND(ISNUMBER($A7),$R$4&lt;&gt;"",IF($R$4="(blank)",R7="",IF($R$4="(nonblank)",R7&lt;&gt;"",ISNUMBER(SEARCH($R$4,R7)))))</formula>
    </cfRule>
  </conditionalFormatting>
  <conditionalFormatting sqref="S7:S56">
    <cfRule type="expression" priority="22" dxfId="3">
      <formula>AND(ISNUMBER($A7),$S$4&lt;&gt;"",IF($S$4="(blank)",S7="",IF($S$4="(nonblank)",S7&lt;&gt;"",ISNUMBER(SEARCH($S$4,S7)))))</formula>
    </cfRule>
  </conditionalFormatting>
  <conditionalFormatting sqref="T7:T56">
    <cfRule type="expression" priority="23" dxfId="3">
      <formula>AND(ISNUMBER($A7),$T$4&lt;&gt;"",IF($T$4="(blank)",T7="",IF($T$4="(nonblank)",T7&lt;&gt;"",ISNUMBER(SEARCH($T$4,T7)))))</formula>
    </cfRule>
  </conditionalFormatting>
  <conditionalFormatting sqref="U7:U56">
    <cfRule type="expression" priority="24" dxfId="3">
      <formula>AND(ISNUMBER($A7),$U$4&lt;&gt;"",IF($U$4="(blank)",U7="",IF($U$4="(nonblank)",U7&lt;&gt;"",ISNUMBER(SEARCH($U$4,U7)))))</formula>
    </cfRule>
  </conditionalFormatting>
  <conditionalFormatting sqref="V7:V56">
    <cfRule type="expression" priority="25" dxfId="3">
      <formula>AND(ISNUMBER($A7),$V$4&lt;&gt;"",IF($V$4="(blank)",V7="",IF($V$4="(nonblank)",V7&lt;&gt;"",ISNUMBER(SEARCH($V$4,V7)))))</formula>
    </cfRule>
  </conditionalFormatting>
  <conditionalFormatting sqref="W7:W56">
    <cfRule type="expression" priority="26" dxfId="3">
      <formula>AND(ISNUMBER($A7),$W$4&lt;&gt;"",IF($W$4="(blank)",W7="",IF($W$4="(nonblank)",W7&lt;&gt;"",ISNUMBER(SEARCH($W$4,W7)))))</formula>
    </cfRule>
  </conditionalFormatting>
  <conditionalFormatting sqref="X7:X56">
    <cfRule type="expression" priority="27" dxfId="3">
      <formula>AND(ISNUMBER($A7),$X$4&lt;&gt;"",IF($X$4="(blank)",X7="",IF($X$4="(nonblank)",X7&lt;&gt;"",ISNUMBER(SEARCH($X$4,X7)))))</formula>
    </cfRule>
  </conditionalFormatting>
  <conditionalFormatting sqref="Y7:Y56">
    <cfRule type="expression" priority="28" dxfId="3">
      <formula>AND(ISNUMBER($A7),$Y$4&lt;&gt;"",IF($Y$4="(blank)",Y7="",IF($Y$4="(nonblank)",Y7&lt;&gt;"",ISNUMBER(SEARCH($Y$4,Y7)))))</formula>
    </cfRule>
  </conditionalFormatting>
  <conditionalFormatting sqref="Z7:Z56">
    <cfRule type="expression" priority="29" dxfId="3">
      <formula>AND(ISNUMBER($A7),$Z$4&lt;&gt;"",IF($Z$4="(blank)",Z7="",IF($Z$4="(nonblank)",Z7&lt;&gt;"",ISNUMBER(SEARCH($Z$4,Z7)))))</formula>
    </cfRule>
  </conditionalFormatting>
  <conditionalFormatting sqref="AA7:AA56">
    <cfRule type="expression" priority="30" dxfId="3">
      <formula>AND(ISNUMBER($A7),$AA$4&lt;&gt;"",IF($AA$4="(blank)",AA7="",IF($AA$4="(nonblank)",AA7&lt;&gt;"",ISNUMBER(SEARCH($AA$4,AA7)))))</formula>
    </cfRule>
  </conditionalFormatting>
  <conditionalFormatting sqref="AB7:AB56">
    <cfRule type="expression" priority="31" dxfId="3">
      <formula>AND(ISNUMBER($A7),$AB$4&lt;&gt;"",IF($AB$4="(blank)",AB7="",IF($AB$4="(nonblank)",AB7&lt;&gt;"",ISNUMBER(SEARCH($AB$4,AB7)))))</formula>
    </cfRule>
  </conditionalFormatting>
  <conditionalFormatting sqref="AC7:AC56">
    <cfRule type="expression" priority="32" dxfId="3">
      <formula>AND(ISNUMBER($A7),$AC$4&lt;&gt;"",IF($AC$4="(blank)",AC7="",IF($AC$4="(nonblank)",AC7&lt;&gt;"",ISNUMBER(SEARCH($AC$4,AC7)))))</formula>
    </cfRule>
  </conditionalFormatting>
  <conditionalFormatting sqref="AD7:AD56">
    <cfRule type="expression" priority="33" dxfId="3">
      <formula>AND(ISNUMBER($A7),$AD$4&lt;&gt;"",IF($AD$4="(blank)",AD7="",IF($AD$4="(nonblank)",AD7&lt;&gt;"",ISNUMBER(SEARCH($AD$4,AD7)))))</formula>
    </cfRule>
  </conditionalFormatting>
  <conditionalFormatting sqref="AE7:AE56">
    <cfRule type="expression" priority="34" dxfId="3">
      <formula>AND(ISNUMBER($A7),$AE$4&lt;&gt;"",IF($AE$4="(blank)",AE7="",IF($AE$4="(nonblank)",AE7&lt;&gt;"",ISNUMBER(SEARCH($AE$4,AE7)))))</formula>
    </cfRule>
  </conditionalFormatting>
  <conditionalFormatting sqref="AG7:AG56">
    <cfRule type="expression" priority="35" dxfId="3">
      <formula>AND(ISNUMBER($A7),$AG$4&lt;&gt;"",IF($AG$4="(blank)",AG7="",IF($AG$4="(nonblank)",AG7&lt;&gt;"",ISNUMBER(SEARCH($AG$4,AG7)))))</formula>
    </cfRule>
  </conditionalFormatting>
  <conditionalFormatting sqref="AH7:AH56">
    <cfRule type="expression" priority="36" dxfId="3">
      <formula>AND(ISNUMBER($A7),$AH$4&lt;&gt;"",IF($AH$4="(blank)",AH7="",IF($AH$4="(nonblank)",AH7&lt;&gt;"",ISNUMBER(SEARCH($AH$4,AH7)))))</formula>
    </cfRule>
  </conditionalFormatting>
  <conditionalFormatting sqref="AI7:AI56">
    <cfRule type="expression" priority="37" dxfId="3">
      <formula>AND(ISNUMBER($A7),$AI$4&lt;&gt;"",IF($AI$4="(blank)",AI7="",IF($AI$4="(nonblank)",AI7&lt;&gt;"",ISNUMBER(SEARCH($AI$4,AI7)))))</formula>
    </cfRule>
  </conditionalFormatting>
  <conditionalFormatting sqref="AF7:AF56">
    <cfRule type="expression" priority="38" dxfId="3">
      <formula>AND(ISNUMBER($A7),$AF$4&lt;&gt;"",IF($AF$4="(blank)",AF7="",IF($AF$4="(nonblank)",AF7&lt;&gt;"",ISNUMBER(SEARCH($AF$4,AF7)))))</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VU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SUG_* = Live Search cascading dropdowns (cols FY–LD). SUGN_* = Buyer Groups cascading dropdowns (cols LE–QJ), driven by hidden match helpers Buyer Groups!DG:EN.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B cascade: FY (all-other-filters flag)</t>
        </is>
      </c>
      <c r="GD3" t="inlineStr">
        <is>
          <t>B cascade: FZ (candidate present flag)</t>
        </is>
      </c>
      <c r="GE3" t="inlineStr">
        <is>
          <t>B cascade: GA (running count)</t>
        </is>
      </c>
      <c r="GF3" t="inlineStr">
        <is>
          <t>B cascade: GB (dynamic dropdown list)</t>
        </is>
      </c>
      <c r="GG3" t="inlineStr">
        <is>
          <t>C cascade: FY (all-other-filters flag)</t>
        </is>
      </c>
      <c r="GH3" t="inlineStr">
        <is>
          <t>C cascade: FZ (candidate present flag)</t>
        </is>
      </c>
      <c r="GI3" t="inlineStr">
        <is>
          <t>C cascade: GA (running count)</t>
        </is>
      </c>
      <c r="GJ3" t="inlineStr">
        <is>
          <t>C cascade: GB (dynamic dropdown list)</t>
        </is>
      </c>
      <c r="GK3" t="inlineStr">
        <is>
          <t>E cascade: FY (all-other-filters flag)</t>
        </is>
      </c>
      <c r="GL3" t="inlineStr">
        <is>
          <t>E cascade: FZ (candidate present flag)</t>
        </is>
      </c>
      <c r="GM3" t="inlineStr">
        <is>
          <t>E cascade: GA (running count)</t>
        </is>
      </c>
      <c r="GN3" t="inlineStr">
        <is>
          <t>E cascade: GB (dynamic dropdown list)</t>
        </is>
      </c>
      <c r="GO3" t="inlineStr">
        <is>
          <t>F cascade: FY (all-other-filters flag)</t>
        </is>
      </c>
      <c r="GP3" t="inlineStr">
        <is>
          <t>F cascade: FZ (candidate present flag)</t>
        </is>
      </c>
      <c r="GQ3" t="inlineStr">
        <is>
          <t>F cascade: GA (running count)</t>
        </is>
      </c>
      <c r="GR3" t="inlineStr">
        <is>
          <t>F cascade: GB (dynamic dropdown list)</t>
        </is>
      </c>
      <c r="GS3" t="inlineStr">
        <is>
          <t>G cascade: FY (all-other-filters flag)</t>
        </is>
      </c>
      <c r="GT3" t="inlineStr">
        <is>
          <t>G cascade: FZ (candidate present flag)</t>
        </is>
      </c>
      <c r="GU3" t="inlineStr">
        <is>
          <t>G cascade: GA (running count)</t>
        </is>
      </c>
      <c r="GV3" t="inlineStr">
        <is>
          <t>G cascade: GB (dynamic dropdown list)</t>
        </is>
      </c>
      <c r="GW3" t="inlineStr">
        <is>
          <t>H cascade: FY (all-other-filters flag)</t>
        </is>
      </c>
      <c r="GX3" t="inlineStr">
        <is>
          <t>H cascade: FZ (candidate present flag)</t>
        </is>
      </c>
      <c r="GY3" t="inlineStr">
        <is>
          <t>H cascade: GA (running count)</t>
        </is>
      </c>
      <c r="GZ3" t="inlineStr">
        <is>
          <t>H cascade: GB (dynamic dropdown list)</t>
        </is>
      </c>
      <c r="HA3" t="inlineStr">
        <is>
          <t>I cascade: FY (all-other-filters flag)</t>
        </is>
      </c>
      <c r="HB3" t="inlineStr">
        <is>
          <t>I cascade: FZ (candidate present flag)</t>
        </is>
      </c>
      <c r="HC3" t="inlineStr">
        <is>
          <t>I cascade: GA (running count)</t>
        </is>
      </c>
      <c r="HD3" t="inlineStr">
        <is>
          <t>I cascade: GB (dynamic dropdown list)</t>
        </is>
      </c>
      <c r="HE3" t="inlineStr">
        <is>
          <t>J cascade: FY (all-other-filters flag)</t>
        </is>
      </c>
      <c r="HF3" t="inlineStr">
        <is>
          <t>J cascade: FZ (candidate present flag)</t>
        </is>
      </c>
      <c r="HG3" t="inlineStr">
        <is>
          <t>J cascade: GA (running count)</t>
        </is>
      </c>
      <c r="HH3" t="inlineStr">
        <is>
          <t>J cascade: GB (dynamic dropdown list)</t>
        </is>
      </c>
      <c r="HI3" t="inlineStr">
        <is>
          <t>K cascade: FY (all-other-filters flag)</t>
        </is>
      </c>
      <c r="HJ3" t="inlineStr">
        <is>
          <t>K cascade: FZ (candidate present flag)</t>
        </is>
      </c>
      <c r="HK3" t="inlineStr">
        <is>
          <t>K cascade: GA (running count)</t>
        </is>
      </c>
      <c r="HL3" t="inlineStr">
        <is>
          <t>K cascade: GB (dynamic dropdown list)</t>
        </is>
      </c>
      <c r="HM3" t="inlineStr">
        <is>
          <t>L cascade: FY (all-other-filters flag)</t>
        </is>
      </c>
      <c r="HN3" t="inlineStr">
        <is>
          <t>L cascade: FZ (candidate present flag)</t>
        </is>
      </c>
      <c r="HO3" t="inlineStr">
        <is>
          <t>L cascade: GA (running count)</t>
        </is>
      </c>
      <c r="HP3" t="inlineStr">
        <is>
          <t>L cascade: GB (dynamic dropdown list)</t>
        </is>
      </c>
      <c r="HQ3" t="inlineStr">
        <is>
          <t>M cascade: FY (all-other-filters flag)</t>
        </is>
      </c>
      <c r="HR3" t="inlineStr">
        <is>
          <t>M cascade: FZ (candidate present flag)</t>
        </is>
      </c>
      <c r="HS3" t="inlineStr">
        <is>
          <t>M cascade: GA (running count)</t>
        </is>
      </c>
      <c r="HT3" t="inlineStr">
        <is>
          <t>M cascade: GB (dynamic dropdown list)</t>
        </is>
      </c>
      <c r="HU3" t="inlineStr">
        <is>
          <t>N cascade: FY (all-other-filters flag)</t>
        </is>
      </c>
      <c r="HV3" t="inlineStr">
        <is>
          <t>N cascade: FZ (candidate present flag)</t>
        </is>
      </c>
      <c r="HW3" t="inlineStr">
        <is>
          <t>N cascade: GA (running count)</t>
        </is>
      </c>
      <c r="HX3" t="inlineStr">
        <is>
          <t>N cascade: GB (dynamic dropdown list)</t>
        </is>
      </c>
      <c r="HY3" t="inlineStr">
        <is>
          <t>O cascade: FY (all-other-filters flag)</t>
        </is>
      </c>
      <c r="HZ3" t="inlineStr">
        <is>
          <t>O cascade: FZ (candidate present flag)</t>
        </is>
      </c>
      <c r="IA3" t="inlineStr">
        <is>
          <t>O cascade: GA (running count)</t>
        </is>
      </c>
      <c r="IB3" t="inlineStr">
        <is>
          <t>O cascade: GB (dynamic dropdown list)</t>
        </is>
      </c>
      <c r="IC3" t="inlineStr">
        <is>
          <t>P cascade: FY (all-other-filters flag)</t>
        </is>
      </c>
      <c r="ID3" t="inlineStr">
        <is>
          <t>P cascade: FZ (candidate present flag)</t>
        </is>
      </c>
      <c r="IE3" t="inlineStr">
        <is>
          <t>P cascade: GA (running count)</t>
        </is>
      </c>
      <c r="IF3" t="inlineStr">
        <is>
          <t>P cascade: GB (dynamic dropdown list)</t>
        </is>
      </c>
      <c r="IG3" t="inlineStr">
        <is>
          <t>Q cascade: FY (all-other-filters flag)</t>
        </is>
      </c>
      <c r="IH3" t="inlineStr">
        <is>
          <t>Q cascade: FZ (candidate present flag)</t>
        </is>
      </c>
      <c r="II3" t="inlineStr">
        <is>
          <t>Q cascade: GA (running count)</t>
        </is>
      </c>
      <c r="IJ3" t="inlineStr">
        <is>
          <t>Q cascade: GB (dynamic dropdown list)</t>
        </is>
      </c>
      <c r="IK3" t="inlineStr">
        <is>
          <t>R cascade: FY (all-other-filters flag)</t>
        </is>
      </c>
      <c r="IL3" t="inlineStr">
        <is>
          <t>R cascade: FZ (candidate present flag)</t>
        </is>
      </c>
      <c r="IM3" t="inlineStr">
        <is>
          <t>R cascade: GA (running count)</t>
        </is>
      </c>
      <c r="IN3" t="inlineStr">
        <is>
          <t>R cascade: GB (dynamic dropdown list)</t>
        </is>
      </c>
      <c r="IO3" t="inlineStr">
        <is>
          <t>S cascade: FY (all-other-filters flag)</t>
        </is>
      </c>
      <c r="IP3" t="inlineStr">
        <is>
          <t>S cascade: FZ (candidate present flag)</t>
        </is>
      </c>
      <c r="IQ3" t="inlineStr">
        <is>
          <t>S cascade: GA (running count)</t>
        </is>
      </c>
      <c r="IR3" t="inlineStr">
        <is>
          <t>S cascade: GB (dynamic dropdown list)</t>
        </is>
      </c>
      <c r="IS3" t="inlineStr">
        <is>
          <t>T cascade: FY (all-other-filters flag)</t>
        </is>
      </c>
      <c r="IT3" t="inlineStr">
        <is>
          <t>T cascade: FZ (candidate present flag)</t>
        </is>
      </c>
      <c r="IU3" t="inlineStr">
        <is>
          <t>T cascade: GA (running count)</t>
        </is>
      </c>
      <c r="IV3" t="inlineStr">
        <is>
          <t>T cascade: GB (dynamic dropdown list)</t>
        </is>
      </c>
      <c r="IW3" t="inlineStr">
        <is>
          <t>U cascade: FY (all-other-filters flag)</t>
        </is>
      </c>
      <c r="IX3" t="inlineStr">
        <is>
          <t>U cascade: FZ (candidate present flag)</t>
        </is>
      </c>
      <c r="IY3" t="inlineStr">
        <is>
          <t>U cascade: GA (running count)</t>
        </is>
      </c>
      <c r="IZ3" t="inlineStr">
        <is>
          <t>U cascade: GB (dynamic dropdown list)</t>
        </is>
      </c>
      <c r="JA3" t="inlineStr">
        <is>
          <t>V cascade: FY (all-other-filters flag)</t>
        </is>
      </c>
      <c r="JB3" t="inlineStr">
        <is>
          <t>V cascade: FZ (candidate present flag)</t>
        </is>
      </c>
      <c r="JC3" t="inlineStr">
        <is>
          <t>V cascade: GA (running count)</t>
        </is>
      </c>
      <c r="JD3" t="inlineStr">
        <is>
          <t>V cascade: GB (dynamic dropdown list)</t>
        </is>
      </c>
      <c r="JE3" t="inlineStr">
        <is>
          <t>W cascade: FY (all-other-filters flag)</t>
        </is>
      </c>
      <c r="JF3" t="inlineStr">
        <is>
          <t>W cascade: FZ (candidate present flag)</t>
        </is>
      </c>
      <c r="JG3" t="inlineStr">
        <is>
          <t>W cascade: GA (running count)</t>
        </is>
      </c>
      <c r="JH3" t="inlineStr">
        <is>
          <t>W cascade: GB (dynamic dropdown list)</t>
        </is>
      </c>
      <c r="JI3" t="inlineStr">
        <is>
          <t>X cascade: FY (all-other-filters flag)</t>
        </is>
      </c>
      <c r="JJ3" t="inlineStr">
        <is>
          <t>X cascade: FZ (candidate present flag)</t>
        </is>
      </c>
      <c r="JK3" t="inlineStr">
        <is>
          <t>X cascade: GA (running count)</t>
        </is>
      </c>
      <c r="JL3" t="inlineStr">
        <is>
          <t>X cascade: GB (dynamic dropdown list)</t>
        </is>
      </c>
      <c r="JM3" t="inlineStr">
        <is>
          <t>Y cascade: FY (all-other-filters flag)</t>
        </is>
      </c>
      <c r="JN3" t="inlineStr">
        <is>
          <t>Y cascade: FZ (candidate present flag)</t>
        </is>
      </c>
      <c r="JO3" t="inlineStr">
        <is>
          <t>Y cascade: GA (running count)</t>
        </is>
      </c>
      <c r="JP3" t="inlineStr">
        <is>
          <t>Y cascade: GB (dynamic dropdown list)</t>
        </is>
      </c>
      <c r="JQ3" t="inlineStr">
        <is>
          <t>Z cascade: FY (all-other-filters flag)</t>
        </is>
      </c>
      <c r="JR3" t="inlineStr">
        <is>
          <t>Z cascade: FZ (candidate present flag)</t>
        </is>
      </c>
      <c r="JS3" t="inlineStr">
        <is>
          <t>Z cascade: GA (running count)</t>
        </is>
      </c>
      <c r="JT3" t="inlineStr">
        <is>
          <t>Z cascade: GB (dynamic dropdown list)</t>
        </is>
      </c>
      <c r="JU3" t="inlineStr">
        <is>
          <t>AA cascade: FY (all-other-filters flag)</t>
        </is>
      </c>
      <c r="JV3" t="inlineStr">
        <is>
          <t>AA cascade: FZ (candidate present flag)</t>
        </is>
      </c>
      <c r="JW3" t="inlineStr">
        <is>
          <t>AA cascade: GA (running count)</t>
        </is>
      </c>
      <c r="JX3" t="inlineStr">
        <is>
          <t>AA cascade: GB (dynamic dropdown list)</t>
        </is>
      </c>
      <c r="JY3" t="inlineStr">
        <is>
          <t>AB cascade: FY (all-other-filters flag)</t>
        </is>
      </c>
      <c r="JZ3" t="inlineStr">
        <is>
          <t>AB cascade: FZ (candidate present flag)</t>
        </is>
      </c>
      <c r="KA3" t="inlineStr">
        <is>
          <t>AB cascade: GA (running count)</t>
        </is>
      </c>
      <c r="KB3" t="inlineStr">
        <is>
          <t>AB cascade: GB (dynamic dropdown list)</t>
        </is>
      </c>
      <c r="KC3" t="inlineStr">
        <is>
          <t>AC cascade: FY (all-other-filters flag)</t>
        </is>
      </c>
      <c r="KD3" t="inlineStr">
        <is>
          <t>AC cascade: FZ (candidate present flag)</t>
        </is>
      </c>
      <c r="KE3" t="inlineStr">
        <is>
          <t>AC cascade: GA (running count)</t>
        </is>
      </c>
      <c r="KF3" t="inlineStr">
        <is>
          <t>AC cascade: GB (dynamic dropdown list)</t>
        </is>
      </c>
      <c r="KG3" t="inlineStr">
        <is>
          <t>AD cascade: FY (all-other-filters flag)</t>
        </is>
      </c>
      <c r="KH3" t="inlineStr">
        <is>
          <t>AD cascade: FZ (candidate present flag)</t>
        </is>
      </c>
      <c r="KI3" t="inlineStr">
        <is>
          <t>AD cascade: GA (running count)</t>
        </is>
      </c>
      <c r="KJ3" t="inlineStr">
        <is>
          <t>AD cascade: GB (dynamic dropdown list)</t>
        </is>
      </c>
      <c r="KK3" t="inlineStr">
        <is>
          <t>AE cascade: FY (all-other-filters flag)</t>
        </is>
      </c>
      <c r="KL3" t="inlineStr">
        <is>
          <t>AE cascade: FZ (candidate present flag)</t>
        </is>
      </c>
      <c r="KM3" t="inlineStr">
        <is>
          <t>AE cascade: GA (running count)</t>
        </is>
      </c>
      <c r="KN3" t="inlineStr">
        <is>
          <t>AE cascade: GB (dynamic dropdown list)</t>
        </is>
      </c>
      <c r="KO3" t="inlineStr">
        <is>
          <t>AF cascade: FY (all-other-filters flag)</t>
        </is>
      </c>
      <c r="KP3" t="inlineStr">
        <is>
          <t>AF cascade: FZ (candidate present flag)</t>
        </is>
      </c>
      <c r="KQ3" t="inlineStr">
        <is>
          <t>AF cascade: GA (running count)</t>
        </is>
      </c>
      <c r="KR3" t="inlineStr">
        <is>
          <t>AF cascade: GB (dynamic dropdown list)</t>
        </is>
      </c>
      <c r="KS3" t="inlineStr">
        <is>
          <t>AG cascade: FY (all-other-filters flag)</t>
        </is>
      </c>
      <c r="KT3" t="inlineStr">
        <is>
          <t>AG cascade: FZ (candidate present flag)</t>
        </is>
      </c>
      <c r="KU3" t="inlineStr">
        <is>
          <t>AG cascade: GA (running count)</t>
        </is>
      </c>
      <c r="KV3" t="inlineStr">
        <is>
          <t>AG cascade: GB (dynamic dropdown list)</t>
        </is>
      </c>
      <c r="KW3" t="inlineStr">
        <is>
          <t>AH cascade: FY (all-other-filters flag)</t>
        </is>
      </c>
      <c r="KX3" t="inlineStr">
        <is>
          <t>AH cascade: FZ (candidate present flag)</t>
        </is>
      </c>
      <c r="KY3" t="inlineStr">
        <is>
          <t>AH cascade: GA (running count)</t>
        </is>
      </c>
      <c r="KZ3" t="inlineStr">
        <is>
          <t>AH cascade: GB (dynamic dropdown list)</t>
        </is>
      </c>
      <c r="LA3" t="inlineStr">
        <is>
          <t>AI cascade: FY (all-other-filters flag)</t>
        </is>
      </c>
      <c r="LB3" t="inlineStr">
        <is>
          <t>AI cascade: FZ (candidate present flag)</t>
        </is>
      </c>
      <c r="LC3" t="inlineStr">
        <is>
          <t>AI cascade: GA (running count)</t>
        </is>
      </c>
      <c r="LD3" t="inlineStr">
        <is>
          <t>AI cascade: GB (dynamic dropdown list)</t>
        </is>
      </c>
      <c r="LE3" t="inlineStr">
        <is>
          <t>BG B cascade: FY (all-other-filters flag)</t>
        </is>
      </c>
      <c r="LF3" t="inlineStr">
        <is>
          <t>BG B cascade: FZ (candidate present flag)</t>
        </is>
      </c>
      <c r="LG3" t="inlineStr">
        <is>
          <t>BG B cascade: GA (running count)</t>
        </is>
      </c>
      <c r="LH3" t="inlineStr">
        <is>
          <t>BG B cascade: GB (dynamic dropdown list)</t>
        </is>
      </c>
      <c r="LI3" t="inlineStr">
        <is>
          <t>BG C cascade: FY (all-other-filters flag)</t>
        </is>
      </c>
      <c r="LJ3" t="inlineStr">
        <is>
          <t>BG C cascade: FZ (candidate present flag)</t>
        </is>
      </c>
      <c r="LK3" t="inlineStr">
        <is>
          <t>BG C cascade: GA (running count)</t>
        </is>
      </c>
      <c r="LL3" t="inlineStr">
        <is>
          <t>BG C cascade: GB (dynamic dropdown list)</t>
        </is>
      </c>
      <c r="LM3" t="inlineStr">
        <is>
          <t>BG D cascade: FY (all-other-filters flag)</t>
        </is>
      </c>
      <c r="LN3" t="inlineStr">
        <is>
          <t>BG D cascade: FZ (candidate present flag)</t>
        </is>
      </c>
      <c r="LO3" t="inlineStr">
        <is>
          <t>BG D cascade: GA (running count)</t>
        </is>
      </c>
      <c r="LP3" t="inlineStr">
        <is>
          <t>BG D cascade: GB (dynamic dropdown list)</t>
        </is>
      </c>
      <c r="LQ3" t="inlineStr">
        <is>
          <t>BG E cascade: FY (all-other-filters flag)</t>
        </is>
      </c>
      <c r="LR3" t="inlineStr">
        <is>
          <t>BG E cascade: FZ (candidate present flag)</t>
        </is>
      </c>
      <c r="LS3" t="inlineStr">
        <is>
          <t>BG E cascade: GA (running count)</t>
        </is>
      </c>
      <c r="LT3" t="inlineStr">
        <is>
          <t>BG E cascade: GB (dynamic dropdown list)</t>
        </is>
      </c>
      <c r="LU3" t="inlineStr">
        <is>
          <t>BG F cascade: FY (all-other-filters flag)</t>
        </is>
      </c>
      <c r="LV3" t="inlineStr">
        <is>
          <t>BG F cascade: FZ (candidate present flag)</t>
        </is>
      </c>
      <c r="LW3" t="inlineStr">
        <is>
          <t>BG F cascade: GA (running count)</t>
        </is>
      </c>
      <c r="LX3" t="inlineStr">
        <is>
          <t>BG F cascade: GB (dynamic dropdown list)</t>
        </is>
      </c>
      <c r="LY3" t="inlineStr">
        <is>
          <t>BG G cascade: FY (all-other-filters flag)</t>
        </is>
      </c>
      <c r="LZ3" t="inlineStr">
        <is>
          <t>BG G cascade: FZ (candidate present flag)</t>
        </is>
      </c>
      <c r="MA3" t="inlineStr">
        <is>
          <t>BG G cascade: GA (running count)</t>
        </is>
      </c>
      <c r="MB3" t="inlineStr">
        <is>
          <t>BG G cascade: GB (dynamic dropdown list)</t>
        </is>
      </c>
      <c r="MC3" t="inlineStr">
        <is>
          <t>BG H cascade: FY (all-other-filters flag)</t>
        </is>
      </c>
      <c r="MD3" t="inlineStr">
        <is>
          <t>BG H cascade: FZ (candidate present flag)</t>
        </is>
      </c>
      <c r="ME3" t="inlineStr">
        <is>
          <t>BG H cascade: GA (running count)</t>
        </is>
      </c>
      <c r="MF3" t="inlineStr">
        <is>
          <t>BG H cascade: GB (dynamic dropdown list)</t>
        </is>
      </c>
      <c r="MG3" t="inlineStr">
        <is>
          <t>BG I cascade: FY (all-other-filters flag)</t>
        </is>
      </c>
      <c r="MH3" t="inlineStr">
        <is>
          <t>BG I cascade: FZ (candidate present flag)</t>
        </is>
      </c>
      <c r="MI3" t="inlineStr">
        <is>
          <t>BG I cascade: GA (running count)</t>
        </is>
      </c>
      <c r="MJ3" t="inlineStr">
        <is>
          <t>BG I cascade: GB (dynamic dropdown list)</t>
        </is>
      </c>
      <c r="MK3" t="inlineStr">
        <is>
          <t>BG J cascade: FY (all-other-filters flag)</t>
        </is>
      </c>
      <c r="ML3" t="inlineStr">
        <is>
          <t>BG J cascade: FZ (candidate present flag)</t>
        </is>
      </c>
      <c r="MM3" t="inlineStr">
        <is>
          <t>BG J cascade: GA (running count)</t>
        </is>
      </c>
      <c r="MN3" t="inlineStr">
        <is>
          <t>BG J cascade: GB (dynamic dropdown list)</t>
        </is>
      </c>
      <c r="MO3" t="inlineStr">
        <is>
          <t>BG K cascade: FY (all-other-filters flag)</t>
        </is>
      </c>
      <c r="MP3" t="inlineStr">
        <is>
          <t>BG K cascade: FZ (candidate present flag)</t>
        </is>
      </c>
      <c r="MQ3" t="inlineStr">
        <is>
          <t>BG K cascade: GA (running count)</t>
        </is>
      </c>
      <c r="MR3" t="inlineStr">
        <is>
          <t>BG K cascade: GB (dynamic dropdown list)</t>
        </is>
      </c>
      <c r="MS3" t="inlineStr">
        <is>
          <t>BG L cascade: FY (all-other-filters flag)</t>
        </is>
      </c>
      <c r="MT3" t="inlineStr">
        <is>
          <t>BG L cascade: FZ (candidate present flag)</t>
        </is>
      </c>
      <c r="MU3" t="inlineStr">
        <is>
          <t>BG L cascade: GA (running count)</t>
        </is>
      </c>
      <c r="MV3" t="inlineStr">
        <is>
          <t>BG L cascade: GB (dynamic dropdown list)</t>
        </is>
      </c>
      <c r="MW3" t="inlineStr">
        <is>
          <t>BG M cascade: FY (all-other-filters flag)</t>
        </is>
      </c>
      <c r="MX3" t="inlineStr">
        <is>
          <t>BG M cascade: FZ (candidate present flag)</t>
        </is>
      </c>
      <c r="MY3" t="inlineStr">
        <is>
          <t>BG M cascade: GA (running count)</t>
        </is>
      </c>
      <c r="MZ3" t="inlineStr">
        <is>
          <t>BG M cascade: GB (dynamic dropdown list)</t>
        </is>
      </c>
      <c r="NA3" t="inlineStr">
        <is>
          <t>BG N cascade: FY (all-other-filters flag)</t>
        </is>
      </c>
      <c r="NB3" t="inlineStr">
        <is>
          <t>BG N cascade: FZ (candidate present flag)</t>
        </is>
      </c>
      <c r="NC3" t="inlineStr">
        <is>
          <t>BG N cascade: GA (running count)</t>
        </is>
      </c>
      <c r="ND3" t="inlineStr">
        <is>
          <t>BG N cascade: GB (dynamic dropdown list)</t>
        </is>
      </c>
      <c r="NE3" t="inlineStr">
        <is>
          <t>BG O cascade: FY (all-other-filters flag)</t>
        </is>
      </c>
      <c r="NF3" t="inlineStr">
        <is>
          <t>BG O cascade: FZ (candidate present flag)</t>
        </is>
      </c>
      <c r="NG3" t="inlineStr">
        <is>
          <t>BG O cascade: GA (running count)</t>
        </is>
      </c>
      <c r="NH3" t="inlineStr">
        <is>
          <t>BG O cascade: GB (dynamic dropdown list)</t>
        </is>
      </c>
      <c r="NI3" t="inlineStr">
        <is>
          <t>BG P cascade: FY (all-other-filters flag)</t>
        </is>
      </c>
      <c r="NJ3" t="inlineStr">
        <is>
          <t>BG P cascade: FZ (candidate present flag)</t>
        </is>
      </c>
      <c r="NK3" t="inlineStr">
        <is>
          <t>BG P cascade: GA (running count)</t>
        </is>
      </c>
      <c r="NL3" t="inlineStr">
        <is>
          <t>BG P cascade: GB (dynamic dropdown list)</t>
        </is>
      </c>
      <c r="NM3" t="inlineStr">
        <is>
          <t>BG Q cascade: FY (all-other-filters flag)</t>
        </is>
      </c>
      <c r="NN3" t="inlineStr">
        <is>
          <t>BG Q cascade: FZ (candidate present flag)</t>
        </is>
      </c>
      <c r="NO3" t="inlineStr">
        <is>
          <t>BG Q cascade: GA (running count)</t>
        </is>
      </c>
      <c r="NP3" t="inlineStr">
        <is>
          <t>BG Q cascade: GB (dynamic dropdown list)</t>
        </is>
      </c>
      <c r="NQ3" t="inlineStr">
        <is>
          <t>BG R cascade: FY (all-other-filters flag)</t>
        </is>
      </c>
      <c r="NR3" t="inlineStr">
        <is>
          <t>BG R cascade: FZ (candidate present flag)</t>
        </is>
      </c>
      <c r="NS3" t="inlineStr">
        <is>
          <t>BG R cascade: GA (running count)</t>
        </is>
      </c>
      <c r="NT3" t="inlineStr">
        <is>
          <t>BG R cascade: GB (dynamic dropdown list)</t>
        </is>
      </c>
      <c r="NU3" t="inlineStr">
        <is>
          <t>BG S cascade: FY (all-other-filters flag)</t>
        </is>
      </c>
      <c r="NV3" t="inlineStr">
        <is>
          <t>BG S cascade: FZ (candidate present flag)</t>
        </is>
      </c>
      <c r="NW3" t="inlineStr">
        <is>
          <t>BG S cascade: GA (running count)</t>
        </is>
      </c>
      <c r="NX3" t="inlineStr">
        <is>
          <t>BG S cascade: GB (dynamic dropdown list)</t>
        </is>
      </c>
      <c r="NY3" t="inlineStr">
        <is>
          <t>BG T cascade: FY (all-other-filters flag)</t>
        </is>
      </c>
      <c r="NZ3" t="inlineStr">
        <is>
          <t>BG T cascade: FZ (candidate present flag)</t>
        </is>
      </c>
      <c r="OA3" t="inlineStr">
        <is>
          <t>BG T cascade: GA (running count)</t>
        </is>
      </c>
      <c r="OB3" t="inlineStr">
        <is>
          <t>BG T cascade: GB (dynamic dropdown list)</t>
        </is>
      </c>
      <c r="OC3" t="inlineStr">
        <is>
          <t>BG U cascade: FY (all-other-filters flag)</t>
        </is>
      </c>
      <c r="OD3" t="inlineStr">
        <is>
          <t>BG U cascade: FZ (candidate present flag)</t>
        </is>
      </c>
      <c r="OE3" t="inlineStr">
        <is>
          <t>BG U cascade: GA (running count)</t>
        </is>
      </c>
      <c r="OF3" t="inlineStr">
        <is>
          <t>BG U cascade: GB (dynamic dropdown list)</t>
        </is>
      </c>
      <c r="OG3" t="inlineStr">
        <is>
          <t>BG V cascade: FY (all-other-filters flag)</t>
        </is>
      </c>
      <c r="OH3" t="inlineStr">
        <is>
          <t>BG V cascade: FZ (candidate present flag)</t>
        </is>
      </c>
      <c r="OI3" t="inlineStr">
        <is>
          <t>BG V cascade: GA (running count)</t>
        </is>
      </c>
      <c r="OJ3" t="inlineStr">
        <is>
          <t>BG V cascade: GB (dynamic dropdown list)</t>
        </is>
      </c>
      <c r="OK3" t="inlineStr">
        <is>
          <t>BG W cascade: FY (all-other-filters flag)</t>
        </is>
      </c>
      <c r="OL3" t="inlineStr">
        <is>
          <t>BG W cascade: FZ (candidate present flag)</t>
        </is>
      </c>
      <c r="OM3" t="inlineStr">
        <is>
          <t>BG W cascade: GA (running count)</t>
        </is>
      </c>
      <c r="ON3" t="inlineStr">
        <is>
          <t>BG W cascade: GB (dynamic dropdown list)</t>
        </is>
      </c>
      <c r="OO3" t="inlineStr">
        <is>
          <t>BG X cascade: FY (all-other-filters flag)</t>
        </is>
      </c>
      <c r="OP3" t="inlineStr">
        <is>
          <t>BG X cascade: FZ (candidate present flag)</t>
        </is>
      </c>
      <c r="OQ3" t="inlineStr">
        <is>
          <t>BG X cascade: GA (running count)</t>
        </is>
      </c>
      <c r="OR3" t="inlineStr">
        <is>
          <t>BG X cascade: GB (dynamic dropdown list)</t>
        </is>
      </c>
      <c r="OS3" t="inlineStr">
        <is>
          <t>BG Y cascade: FY (all-other-filters flag)</t>
        </is>
      </c>
      <c r="OT3" t="inlineStr">
        <is>
          <t>BG Y cascade: FZ (candidate present flag)</t>
        </is>
      </c>
      <c r="OU3" t="inlineStr">
        <is>
          <t>BG Y cascade: GA (running count)</t>
        </is>
      </c>
      <c r="OV3" t="inlineStr">
        <is>
          <t>BG Y cascade: GB (dynamic dropdown list)</t>
        </is>
      </c>
      <c r="OW3" t="inlineStr">
        <is>
          <t>BG Z cascade: FY (all-other-filters flag)</t>
        </is>
      </c>
      <c r="OX3" t="inlineStr">
        <is>
          <t>BG Z cascade: FZ (candidate present flag)</t>
        </is>
      </c>
      <c r="OY3" t="inlineStr">
        <is>
          <t>BG Z cascade: GA (running count)</t>
        </is>
      </c>
      <c r="OZ3" t="inlineStr">
        <is>
          <t>BG Z cascade: GB (dynamic dropdown list)</t>
        </is>
      </c>
      <c r="PA3" t="inlineStr">
        <is>
          <t>BG AA cascade: FY (all-other-filters flag)</t>
        </is>
      </c>
      <c r="PB3" t="inlineStr">
        <is>
          <t>BG AA cascade: FZ (candidate present flag)</t>
        </is>
      </c>
      <c r="PC3" t="inlineStr">
        <is>
          <t>BG AA cascade: GA (running count)</t>
        </is>
      </c>
      <c r="PD3" t="inlineStr">
        <is>
          <t>BG AA cascade: GB (dynamic dropdown list)</t>
        </is>
      </c>
      <c r="PE3" t="inlineStr">
        <is>
          <t>BG AB cascade: FY (all-other-filters flag)</t>
        </is>
      </c>
      <c r="PF3" t="inlineStr">
        <is>
          <t>BG AB cascade: FZ (candidate present flag)</t>
        </is>
      </c>
      <c r="PG3" t="inlineStr">
        <is>
          <t>BG AB cascade: GA (running count)</t>
        </is>
      </c>
      <c r="PH3" t="inlineStr">
        <is>
          <t>BG AB cascade: GB (dynamic dropdown list)</t>
        </is>
      </c>
      <c r="PI3" t="inlineStr">
        <is>
          <t>BG AC cascade: FY (all-other-filters flag)</t>
        </is>
      </c>
      <c r="PJ3" t="inlineStr">
        <is>
          <t>BG AC cascade: FZ (candidate present flag)</t>
        </is>
      </c>
      <c r="PK3" t="inlineStr">
        <is>
          <t>BG AC cascade: GA (running count)</t>
        </is>
      </c>
      <c r="PL3" t="inlineStr">
        <is>
          <t>BG AC cascade: GB (dynamic dropdown list)</t>
        </is>
      </c>
      <c r="PM3" t="inlineStr">
        <is>
          <t>BG AD cascade: FY (all-other-filters flag)</t>
        </is>
      </c>
      <c r="PN3" t="inlineStr">
        <is>
          <t>BG AD cascade: FZ (candidate present flag)</t>
        </is>
      </c>
      <c r="PO3" t="inlineStr">
        <is>
          <t>BG AD cascade: GA (running count)</t>
        </is>
      </c>
      <c r="PP3" t="inlineStr">
        <is>
          <t>BG AD cascade: GB (dynamic dropdown list)</t>
        </is>
      </c>
      <c r="PQ3" t="inlineStr">
        <is>
          <t>BG AE cascade: FY (all-other-filters flag)</t>
        </is>
      </c>
      <c r="PR3" t="inlineStr">
        <is>
          <t>BG AE cascade: FZ (candidate present flag)</t>
        </is>
      </c>
      <c r="PS3" t="inlineStr">
        <is>
          <t>BG AE cascade: GA (running count)</t>
        </is>
      </c>
      <c r="PT3" t="inlineStr">
        <is>
          <t>BG AE cascade: GB (dynamic dropdown list)</t>
        </is>
      </c>
      <c r="PU3" t="inlineStr">
        <is>
          <t>BG AF cascade: FY (all-other-filters flag)</t>
        </is>
      </c>
      <c r="PV3" t="inlineStr">
        <is>
          <t>BG AF cascade: FZ (candidate present flag)</t>
        </is>
      </c>
      <c r="PW3" t="inlineStr">
        <is>
          <t>BG AF cascade: GA (running count)</t>
        </is>
      </c>
      <c r="PX3" t="inlineStr">
        <is>
          <t>BG AF cascade: GB (dynamic dropdown list)</t>
        </is>
      </c>
      <c r="PY3" t="inlineStr">
        <is>
          <t>BG AG cascade: FY (all-other-filters flag)</t>
        </is>
      </c>
      <c r="PZ3" t="inlineStr">
        <is>
          <t>BG AG cascade: FZ (candidate present flag)</t>
        </is>
      </c>
      <c r="QA3" t="inlineStr">
        <is>
          <t>BG AG cascade: GA (running count)</t>
        </is>
      </c>
      <c r="QB3" t="inlineStr">
        <is>
          <t>BG AG cascade: GB (dynamic dropdown list)</t>
        </is>
      </c>
      <c r="QC3" t="inlineStr">
        <is>
          <t>BG AH cascade: FY (all-other-filters flag)</t>
        </is>
      </c>
      <c r="QD3" t="inlineStr">
        <is>
          <t>BG AH cascade: FZ (candidate present flag)</t>
        </is>
      </c>
      <c r="QE3" t="inlineStr">
        <is>
          <t>BG AH cascade: GA (running count)</t>
        </is>
      </c>
      <c r="QF3" t="inlineStr">
        <is>
          <t>BG AH cascade: GB (dynamic dropdown list)</t>
        </is>
      </c>
      <c r="QG3" t="inlineStr">
        <is>
          <t>BG AI cascade: FY (all-other-filters flag)</t>
        </is>
      </c>
      <c r="QH3" t="inlineStr">
        <is>
          <t>BG AI cascade: FZ (candidate present flag)</t>
        </is>
      </c>
      <c r="QI3" t="inlineStr">
        <is>
          <t>BG AI cascade: GA (running count)</t>
        </is>
      </c>
      <c r="QJ3" t="inlineStr">
        <is>
          <t>BG AI cascade: GB (dynamic dropdown list)</t>
        </is>
      </c>
      <c r="QK3" t="inlineStr">
        <is>
          <t xml:space="preserve">FCS AH (Final AH)</t>
        </is>
      </c>
      <c r="QP3" t="inlineStr">
        <is>
          <t xml:space="preserve">FCS A cascade: FY (all-other-filters flag)</t>
        </is>
      </c>
      <c r="QQ3" t="inlineStr">
        <is>
          <t xml:space="preserve">FCS A cascade: FZ (candidate present flag)</t>
        </is>
      </c>
      <c r="QR3" t="inlineStr">
        <is>
          <t xml:space="preserve">FCS A cascade: GA (running count)</t>
        </is>
      </c>
      <c r="QS3" t="inlineStr">
        <is>
          <t xml:space="preserve">FCS A cascade: GB (dynamic dropdown list)</t>
        </is>
      </c>
      <c r="QT3" t="inlineStr">
        <is>
          <t xml:space="preserve">FCS B cascade: FY (all-other-filters flag)</t>
        </is>
      </c>
      <c r="QU3" t="inlineStr">
        <is>
          <t xml:space="preserve">FCS B cascade: FZ (candidate present flag)</t>
        </is>
      </c>
      <c r="QV3" t="inlineStr">
        <is>
          <t xml:space="preserve">FCS B cascade: GA (running count)</t>
        </is>
      </c>
      <c r="QW3" t="inlineStr">
        <is>
          <t xml:space="preserve">FCS B cascade: GB (dynamic dropdown list)</t>
        </is>
      </c>
      <c r="QX3" t="inlineStr">
        <is>
          <t xml:space="preserve">FCS C cascade: FY (all-other-filters flag)</t>
        </is>
      </c>
      <c r="QY3" t="inlineStr">
        <is>
          <t xml:space="preserve">FCS C cascade: FZ (candidate present flag)</t>
        </is>
      </c>
      <c r="QZ3" t="inlineStr">
        <is>
          <t xml:space="preserve">FCS C cascade: GA (running count)</t>
        </is>
      </c>
      <c r="RA3" t="inlineStr">
        <is>
          <t xml:space="preserve">FCS C cascade: GB (dynamic dropdown list)</t>
        </is>
      </c>
      <c r="RB3" t="inlineStr">
        <is>
          <t xml:space="preserve">FCS D cascade: FY (all-other-filters flag)</t>
        </is>
      </c>
      <c r="RC3" t="inlineStr">
        <is>
          <t xml:space="preserve">FCS D cascade: FZ (candidate present flag)</t>
        </is>
      </c>
      <c r="RD3" t="inlineStr">
        <is>
          <t xml:space="preserve">FCS D cascade: GA (running count)</t>
        </is>
      </c>
      <c r="RE3" t="inlineStr">
        <is>
          <t xml:space="preserve">FCS D cascade: GB (dynamic dropdown list)</t>
        </is>
      </c>
      <c r="RF3" t="inlineStr">
        <is>
          <t xml:space="preserve">FCS E cascade: FY (all-other-filters flag)</t>
        </is>
      </c>
      <c r="RG3" t="inlineStr">
        <is>
          <t xml:space="preserve">FCS E cascade: FZ (candidate present flag)</t>
        </is>
      </c>
      <c r="RH3" t="inlineStr">
        <is>
          <t xml:space="preserve">FCS E cascade: GA (running count)</t>
        </is>
      </c>
      <c r="RI3" t="inlineStr">
        <is>
          <t xml:space="preserve">FCS E cascade: GB (dynamic dropdown list)</t>
        </is>
      </c>
      <c r="RJ3" t="inlineStr">
        <is>
          <t xml:space="preserve">FCS F cascade: FY (all-other-filters flag)</t>
        </is>
      </c>
      <c r="RK3" t="inlineStr">
        <is>
          <t xml:space="preserve">FCS F cascade: FZ (candidate present flag)</t>
        </is>
      </c>
      <c r="RL3" t="inlineStr">
        <is>
          <t xml:space="preserve">FCS F cascade: GA (running count)</t>
        </is>
      </c>
      <c r="RM3" t="inlineStr">
        <is>
          <t xml:space="preserve">FCS F cascade: GB (dynamic dropdown list)</t>
        </is>
      </c>
      <c r="RN3" t="inlineStr">
        <is>
          <t xml:space="preserve">FCS G cascade: FY (all-other-filters flag)</t>
        </is>
      </c>
      <c r="RO3" t="inlineStr">
        <is>
          <t xml:space="preserve">FCS G cascade: FZ (candidate present flag)</t>
        </is>
      </c>
      <c r="RP3" t="inlineStr">
        <is>
          <t xml:space="preserve">FCS G cascade: GA (running count)</t>
        </is>
      </c>
      <c r="RQ3" t="inlineStr">
        <is>
          <t xml:space="preserve">FCS G cascade: GB (dynamic dropdown list)</t>
        </is>
      </c>
      <c r="RR3" t="inlineStr">
        <is>
          <t xml:space="preserve">FCS H cascade: FY (all-other-filters flag)</t>
        </is>
      </c>
      <c r="RS3" t="inlineStr">
        <is>
          <t xml:space="preserve">FCS H cascade: FZ (candidate present flag)</t>
        </is>
      </c>
      <c r="RT3" t="inlineStr">
        <is>
          <t xml:space="preserve">FCS H cascade: GA (running count)</t>
        </is>
      </c>
      <c r="RU3" t="inlineStr">
        <is>
          <t xml:space="preserve">FCS H cascade: GB (dynamic dropdown list)</t>
        </is>
      </c>
      <c r="RV3" t="inlineStr">
        <is>
          <t xml:space="preserve">FCS I cascade: FY (all-other-filters flag)</t>
        </is>
      </c>
      <c r="RW3" t="inlineStr">
        <is>
          <t xml:space="preserve">FCS I cascade: FZ (candidate present flag)</t>
        </is>
      </c>
      <c r="RX3" t="inlineStr">
        <is>
          <t xml:space="preserve">FCS I cascade: GA (running count)</t>
        </is>
      </c>
      <c r="RY3" t="inlineStr">
        <is>
          <t xml:space="preserve">FCS I cascade: GB (dynamic dropdown list)</t>
        </is>
      </c>
      <c r="RZ3" t="inlineStr">
        <is>
          <t xml:space="preserve">FCS J cascade: FY (all-other-filters flag)</t>
        </is>
      </c>
      <c r="SA3" t="inlineStr">
        <is>
          <t xml:space="preserve">FCS J cascade: FZ (candidate present flag)</t>
        </is>
      </c>
      <c r="SB3" t="inlineStr">
        <is>
          <t xml:space="preserve">FCS J cascade: GA (running count)</t>
        </is>
      </c>
      <c r="SC3" t="inlineStr">
        <is>
          <t xml:space="preserve">FCS J cascade: GB (dynamic dropdown list)</t>
        </is>
      </c>
      <c r="SD3" t="inlineStr">
        <is>
          <t xml:space="preserve">FCS K cascade: FY (all-other-filters flag)</t>
        </is>
      </c>
      <c r="SE3" t="inlineStr">
        <is>
          <t xml:space="preserve">FCS K cascade: FZ (candidate present flag)</t>
        </is>
      </c>
      <c r="SF3" t="inlineStr">
        <is>
          <t xml:space="preserve">FCS K cascade: GA (running count)</t>
        </is>
      </c>
      <c r="SG3" t="inlineStr">
        <is>
          <t xml:space="preserve">FCS K cascade: GB (dynamic dropdown list)</t>
        </is>
      </c>
      <c r="SH3" t="inlineStr">
        <is>
          <t xml:space="preserve">FCS L cascade: FY (all-other-filters flag)</t>
        </is>
      </c>
      <c r="SI3" t="inlineStr">
        <is>
          <t xml:space="preserve">FCS L cascade: FZ (candidate present flag)</t>
        </is>
      </c>
      <c r="SJ3" t="inlineStr">
        <is>
          <t xml:space="preserve">FCS L cascade: GA (running count)</t>
        </is>
      </c>
      <c r="SK3" t="inlineStr">
        <is>
          <t xml:space="preserve">FCS L cascade: GB (dynamic dropdown list)</t>
        </is>
      </c>
      <c r="SL3" t="inlineStr">
        <is>
          <t xml:space="preserve">FCS M cascade: FY (all-other-filters flag)</t>
        </is>
      </c>
      <c r="SM3" t="inlineStr">
        <is>
          <t xml:space="preserve">FCS M cascade: FZ (candidate present flag)</t>
        </is>
      </c>
      <c r="SN3" t="inlineStr">
        <is>
          <t xml:space="preserve">FCS M cascade: GA (running count)</t>
        </is>
      </c>
      <c r="SO3" t="inlineStr">
        <is>
          <t xml:space="preserve">FCS M cascade: GB (dynamic dropdown list)</t>
        </is>
      </c>
      <c r="SP3" t="inlineStr">
        <is>
          <t xml:space="preserve">FCS N cascade: FY (all-other-filters flag)</t>
        </is>
      </c>
      <c r="SQ3" t="inlineStr">
        <is>
          <t xml:space="preserve">FCS N cascade: FZ (candidate present flag)</t>
        </is>
      </c>
      <c r="SR3" t="inlineStr">
        <is>
          <t xml:space="preserve">FCS N cascade: GA (running count)</t>
        </is>
      </c>
      <c r="SS3" t="inlineStr">
        <is>
          <t xml:space="preserve">FCS N cascade: GB (dynamic dropdown list)</t>
        </is>
      </c>
      <c r="ST3" t="inlineStr">
        <is>
          <t xml:space="preserve">FCS O cascade: FY (all-other-filters flag)</t>
        </is>
      </c>
      <c r="SU3" t="inlineStr">
        <is>
          <t xml:space="preserve">FCS O cascade: FZ (candidate present flag)</t>
        </is>
      </c>
      <c r="SV3" t="inlineStr">
        <is>
          <t xml:space="preserve">FCS O cascade: GA (running count)</t>
        </is>
      </c>
      <c r="SW3" t="inlineStr">
        <is>
          <t xml:space="preserve">FCS O cascade: GB (dynamic dropdown list)</t>
        </is>
      </c>
      <c r="SX3" t="inlineStr">
        <is>
          <t xml:space="preserve">FCS P cascade: FY (all-other-filters flag)</t>
        </is>
      </c>
      <c r="SY3" t="inlineStr">
        <is>
          <t xml:space="preserve">FCS P cascade: FZ (candidate present flag)</t>
        </is>
      </c>
      <c r="SZ3" t="inlineStr">
        <is>
          <t xml:space="preserve">FCS P cascade: GA (running count)</t>
        </is>
      </c>
      <c r="TA3" t="inlineStr">
        <is>
          <t xml:space="preserve">FCS P cascade: GB (dynamic dropdown list)</t>
        </is>
      </c>
      <c r="TB3" t="inlineStr">
        <is>
          <t xml:space="preserve">FCS Q cascade: FY (all-other-filters flag)</t>
        </is>
      </c>
      <c r="TC3" t="inlineStr">
        <is>
          <t xml:space="preserve">FCS Q cascade: FZ (candidate present flag)</t>
        </is>
      </c>
      <c r="TD3" t="inlineStr">
        <is>
          <t xml:space="preserve">FCS Q cascade: GA (running count)</t>
        </is>
      </c>
      <c r="TE3" t="inlineStr">
        <is>
          <t xml:space="preserve">FCS Q cascade: GB (dynamic dropdown list)</t>
        </is>
      </c>
      <c r="TF3" t="inlineStr">
        <is>
          <t xml:space="preserve">FCS R cascade: FY (all-other-filters flag)</t>
        </is>
      </c>
      <c r="TG3" t="inlineStr">
        <is>
          <t xml:space="preserve">FCS R cascade: FZ (candidate present flag)</t>
        </is>
      </c>
      <c r="TH3" t="inlineStr">
        <is>
          <t xml:space="preserve">FCS R cascade: GA (running count)</t>
        </is>
      </c>
      <c r="TI3" t="inlineStr">
        <is>
          <t xml:space="preserve">FCS R cascade: GB (dynamic dropdown list)</t>
        </is>
      </c>
      <c r="TJ3" t="inlineStr">
        <is>
          <t xml:space="preserve">FCS S cascade: FY (all-other-filters flag)</t>
        </is>
      </c>
      <c r="TK3" t="inlineStr">
        <is>
          <t xml:space="preserve">FCS S cascade: FZ (candidate present flag)</t>
        </is>
      </c>
      <c r="TL3" t="inlineStr">
        <is>
          <t xml:space="preserve">FCS S cascade: GA (running count)</t>
        </is>
      </c>
      <c r="TM3" t="inlineStr">
        <is>
          <t xml:space="preserve">FCS S cascade: GB (dynamic dropdown list)</t>
        </is>
      </c>
      <c r="TN3" t="inlineStr">
        <is>
          <t xml:space="preserve">FCS T cascade: FY (all-other-filters flag)</t>
        </is>
      </c>
      <c r="TO3" t="inlineStr">
        <is>
          <t xml:space="preserve">FCS T cascade: FZ (candidate present flag)</t>
        </is>
      </c>
      <c r="TP3" t="inlineStr">
        <is>
          <t xml:space="preserve">FCS T cascade: GA (running count)</t>
        </is>
      </c>
      <c r="TQ3" t="inlineStr">
        <is>
          <t xml:space="preserve">FCS T cascade: GB (dynamic dropdown list)</t>
        </is>
      </c>
      <c r="TR3" t="inlineStr">
        <is>
          <t xml:space="preserve">FCS U cascade: FY (all-other-filters flag)</t>
        </is>
      </c>
      <c r="TS3" t="inlineStr">
        <is>
          <t xml:space="preserve">FCS U cascade: FZ (candidate present flag)</t>
        </is>
      </c>
      <c r="TT3" t="inlineStr">
        <is>
          <t xml:space="preserve">FCS U cascade: GA (running count)</t>
        </is>
      </c>
      <c r="TU3" t="inlineStr">
        <is>
          <t xml:space="preserve">FCS U cascade: GB (dynamic dropdown list)</t>
        </is>
      </c>
      <c r="TV3" t="inlineStr">
        <is>
          <t xml:space="preserve">FCS V cascade: FY (all-other-filters flag)</t>
        </is>
      </c>
      <c r="TW3" t="inlineStr">
        <is>
          <t xml:space="preserve">FCS V cascade: FZ (candidate present flag)</t>
        </is>
      </c>
      <c r="TX3" t="inlineStr">
        <is>
          <t xml:space="preserve">FCS V cascade: GA (running count)</t>
        </is>
      </c>
      <c r="TY3" t="inlineStr">
        <is>
          <t xml:space="preserve">FCS V cascade: GB (dynamic dropdown list)</t>
        </is>
      </c>
      <c r="TZ3" t="inlineStr">
        <is>
          <t xml:space="preserve">FCS W cascade: FY (all-other-filters flag)</t>
        </is>
      </c>
      <c r="UA3" t="inlineStr">
        <is>
          <t xml:space="preserve">FCS W cascade: FZ (candidate present flag)</t>
        </is>
      </c>
      <c r="UB3" t="inlineStr">
        <is>
          <t xml:space="preserve">FCS W cascade: GA (running count)</t>
        </is>
      </c>
      <c r="UC3" t="inlineStr">
        <is>
          <t xml:space="preserve">FCS W cascade: GB (dynamic dropdown list)</t>
        </is>
      </c>
      <c r="UD3" t="inlineStr">
        <is>
          <t xml:space="preserve">FCS X cascade: FY (all-other-filters flag)</t>
        </is>
      </c>
      <c r="UE3" t="inlineStr">
        <is>
          <t xml:space="preserve">FCS X cascade: FZ (candidate present flag)</t>
        </is>
      </c>
      <c r="UF3" t="inlineStr">
        <is>
          <t xml:space="preserve">FCS X cascade: GA (running count)</t>
        </is>
      </c>
      <c r="UG3" t="inlineStr">
        <is>
          <t xml:space="preserve">FCS X cascade: GB (dynamic dropdown list)</t>
        </is>
      </c>
      <c r="UH3" t="inlineStr">
        <is>
          <t xml:space="preserve">FCS Y cascade: FY (all-other-filters flag)</t>
        </is>
      </c>
      <c r="UI3" t="inlineStr">
        <is>
          <t xml:space="preserve">FCS Y cascade: FZ (candidate present flag)</t>
        </is>
      </c>
      <c r="UJ3" t="inlineStr">
        <is>
          <t xml:space="preserve">FCS Y cascade: GA (running count)</t>
        </is>
      </c>
      <c r="UK3" t="inlineStr">
        <is>
          <t xml:space="preserve">FCS Y cascade: GB (dynamic dropdown list)</t>
        </is>
      </c>
      <c r="UL3" t="inlineStr">
        <is>
          <t xml:space="preserve">FCS Z cascade: FY (all-other-filters flag)</t>
        </is>
      </c>
      <c r="UM3" t="inlineStr">
        <is>
          <t xml:space="preserve">FCS Z cascade: FZ (candidate present flag)</t>
        </is>
      </c>
      <c r="UN3" t="inlineStr">
        <is>
          <t xml:space="preserve">FCS Z cascade: GA (running count)</t>
        </is>
      </c>
      <c r="UO3" t="inlineStr">
        <is>
          <t xml:space="preserve">FCS Z cascade: GB (dynamic dropdown list)</t>
        </is>
      </c>
      <c r="UP3" t="inlineStr">
        <is>
          <t xml:space="preserve">FCS AA cascade: FY (all-other-filters flag)</t>
        </is>
      </c>
      <c r="UQ3" t="inlineStr">
        <is>
          <t xml:space="preserve">FCS AA cascade: FZ (candidate present flag)</t>
        </is>
      </c>
      <c r="UR3" t="inlineStr">
        <is>
          <t xml:space="preserve">FCS AA cascade: GA (running count)</t>
        </is>
      </c>
      <c r="US3" t="inlineStr">
        <is>
          <t xml:space="preserve">FCS AA cascade: GB (dynamic dropdown list)</t>
        </is>
      </c>
      <c r="UT3" t="inlineStr">
        <is>
          <t xml:space="preserve">FCS AB cascade: FY (all-other-filters flag)</t>
        </is>
      </c>
      <c r="UU3" t="inlineStr">
        <is>
          <t xml:space="preserve">FCS AB cascade: FZ (candidate present flag)</t>
        </is>
      </c>
      <c r="UV3" t="inlineStr">
        <is>
          <t xml:space="preserve">FCS AB cascade: GA (running count)</t>
        </is>
      </c>
      <c r="UW3" t="inlineStr">
        <is>
          <t xml:space="preserve">FCS AB cascade: GB (dynamic dropdown list)</t>
        </is>
      </c>
      <c r="UX3" t="inlineStr">
        <is>
          <t xml:space="preserve">FCS AC cascade: FY (all-other-filters flag)</t>
        </is>
      </c>
      <c r="UY3" t="inlineStr">
        <is>
          <t xml:space="preserve">FCS AC cascade: FZ (candidate present flag)</t>
        </is>
      </c>
      <c r="UZ3" t="inlineStr">
        <is>
          <t xml:space="preserve">FCS AC cascade: GA (running count)</t>
        </is>
      </c>
      <c r="VA3" t="inlineStr">
        <is>
          <t xml:space="preserve">FCS AC cascade: GB (dynamic dropdown list)</t>
        </is>
      </c>
      <c r="VB3" t="inlineStr">
        <is>
          <t xml:space="preserve">FCS AD cascade: FY (all-other-filters flag)</t>
        </is>
      </c>
      <c r="VC3" t="inlineStr">
        <is>
          <t xml:space="preserve">FCS AD cascade: FZ (candidate present flag)</t>
        </is>
      </c>
      <c r="VD3" t="inlineStr">
        <is>
          <t xml:space="preserve">FCS AD cascade: GA (running count)</t>
        </is>
      </c>
      <c r="VE3" t="inlineStr">
        <is>
          <t xml:space="preserve">FCS AD cascade: GB (dynamic dropdown list)</t>
        </is>
      </c>
      <c r="VF3" t="inlineStr">
        <is>
          <t xml:space="preserve">FCS AE cascade: FY (all-other-filters flag)</t>
        </is>
      </c>
      <c r="VG3" t="inlineStr">
        <is>
          <t xml:space="preserve">FCS AE cascade: FZ (candidate present flag)</t>
        </is>
      </c>
      <c r="VH3" t="inlineStr">
        <is>
          <t xml:space="preserve">FCS AE cascade: GA (running count)</t>
        </is>
      </c>
      <c r="VI3" t="inlineStr">
        <is>
          <t xml:space="preserve">FCS AE cascade: GB (dynamic dropdown list)</t>
        </is>
      </c>
      <c r="VJ3" t="inlineStr">
        <is>
          <t xml:space="preserve">FCS AF cascade: FY (all-other-filters flag)</t>
        </is>
      </c>
      <c r="VK3" t="inlineStr">
        <is>
          <t xml:space="preserve">FCS AF cascade: FZ (candidate present flag)</t>
        </is>
      </c>
      <c r="VL3" t="inlineStr">
        <is>
          <t xml:space="preserve">FCS AF cascade: GA (running count)</t>
        </is>
      </c>
      <c r="VM3" t="inlineStr">
        <is>
          <t xml:space="preserve">FCS AF cascade: GB (dynamic dropdown list)</t>
        </is>
      </c>
      <c r="VN3" t="inlineStr">
        <is>
          <t xml:space="preserve">FCS AG cascade: FY (all-other-filters flag)</t>
        </is>
      </c>
      <c r="VO3" t="inlineStr">
        <is>
          <t xml:space="preserve">FCS AG cascade: FZ (candidate present flag)</t>
        </is>
      </c>
      <c r="VP3" t="inlineStr">
        <is>
          <t xml:space="preserve">FCS AG cascade: GA (running count)</t>
        </is>
      </c>
      <c r="VQ3" t="inlineStr">
        <is>
          <t xml:space="preserve">FCS AG cascade: GB (dynamic dropdown list)</t>
        </is>
      </c>
      <c r="VR3" t="inlineStr">
        <is>
          <t xml:space="preserve">FCS AH cascade: FY (all-other-filters flag)</t>
        </is>
      </c>
      <c r="VS3" t="inlineStr">
        <is>
          <t xml:space="preserve">FCS AH cascade: FZ (candidate present flag)</t>
        </is>
      </c>
      <c r="VT3" t="inlineStr">
        <is>
          <t xml:space="preserve">FCS AH cascade: GA (running count)</t>
        </is>
      </c>
      <c r="VU3" t="inlineStr">
        <is>
          <t xml:space="preserve">FCS AH cascade: GB (dynamic dropdown list)</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D4">
        <f>IF($O$4="",FALSE,SUMPRODUCT(('Final Calculation Sheet'!$F$4:$F$40=$O$4)*($GC$6:$GC$42=1))&gt;0)</f>
        <v/>
      </c>
      <c r="GE4">
        <f>--($GD$4)</f>
        <v/>
      </c>
      <c r="GF4">
        <f>IF(ROW()-3&gt;MAX($GE$4:$GE$40),"",INDEX($O$4:$O$40,MATCH(ROW()-3,$GE$4:$GE$40,0)))</f>
        <v/>
      </c>
      <c r="GH4">
        <f>IF($T$4="",FALSE,SUMPRODUCT(('Final Calculation Sheet'!$G$4:$G$40=$T$4)*($GG$6:$GG$42=1))&gt;0)</f>
        <v/>
      </c>
      <c r="GI4">
        <f>--($GH$4)</f>
        <v/>
      </c>
      <c r="GJ4">
        <f>IF(ROW()-3&gt;MAX($GI$4:$GI$40),"",INDEX($T$4:$T$40,MATCH(ROW()-3,$GI$4:$GI$40,0)))</f>
        <v/>
      </c>
      <c r="GL4">
        <f>IF($AD$4="",FALSE,SUMPRODUCT(('Final Calculation Sheet'!$D$4:$D$40=$AD$4)*($GK$6:$GK$42=1))&gt;0)</f>
        <v/>
      </c>
      <c r="GM4">
        <f>--($GL$4)</f>
        <v/>
      </c>
      <c r="GN4">
        <f>IF(ROW()-3&gt;MAX($GM$4:$GM$40),"",INDEX($AD$4:$AD$40,MATCH(ROW()-3,$GM$4:$GM$40,0)))</f>
        <v/>
      </c>
      <c r="GP4">
        <f>IF($AI$4="",FALSE,SUMPRODUCT(('Final Calculation Sheet'!$A$4:$A$40=$AI$4)*($GO$6:$GO$42=1))&gt;0)</f>
        <v/>
      </c>
      <c r="GQ4">
        <f>--($GP$4)</f>
        <v/>
      </c>
      <c r="GR4">
        <f>IF(ROW()-3&gt;MAX($GQ$4:$GQ$40),"",INDEX($AI$4:$AI$40,MATCH(ROW()-3,$GQ$4:$GQ$40,0)))</f>
        <v/>
      </c>
      <c r="GT4">
        <f>IF($AN$4="",FALSE,SUMPRODUCT(('Final Calculation Sheet'!$E$4:$E$40=$AN$4)*($GS$6:$GS$42=1))&gt;0)</f>
        <v/>
      </c>
      <c r="GU4">
        <f>--($GT$4)</f>
        <v/>
      </c>
      <c r="GV4">
        <f>IF(ROW()-3&gt;MAX($GU$4:$GU$40),"",INDEX($AN$4:$AN$40,MATCH(ROW()-3,$GU$4:$GU$40,0)))</f>
        <v/>
      </c>
      <c r="GX4">
        <f>IF($AS$4="",FALSE,SUMPRODUCT(('Final Calculation Sheet'!$C$4:$C$40=$AS$4)*($GW$6:$GW$42=1))&gt;0)</f>
        <v/>
      </c>
      <c r="GY4">
        <f>--($GX$4)</f>
        <v/>
      </c>
      <c r="GZ4">
        <f>IF(ROW()-3&gt;MAX($GY$4:$GY$40),"",INDEX($AS$4:$AS$40,MATCH(ROW()-3,$GY$4:$GY$40,0)))</f>
        <v/>
      </c>
      <c r="HB4">
        <f>IF($AX$4="",FALSE,SUMPRODUCT(('Final Calculation Sheet'!$H$4:$H$40=$AX$4)*($HA$6:$HA$42=1))&gt;0)</f>
        <v/>
      </c>
      <c r="HC4">
        <f>--($HB$4)</f>
        <v/>
      </c>
      <c r="HD4">
        <f>IF(ROW()-3&gt;MAX($HC$4:$HC$40),"",INDEX($AX$4:$AX$40,MATCH(ROW()-3,$HC$4:$HC$40,0)))</f>
        <v/>
      </c>
      <c r="HF4">
        <f>IF($BC$4="",FALSE,SUMPRODUCT(('Final Calculation Sheet'!$I$4:$I$40=$BC$4)*($HE$6:$HE$42=1))&gt;0)</f>
        <v/>
      </c>
      <c r="HG4">
        <f>--($HF$4)</f>
        <v/>
      </c>
      <c r="HH4">
        <f>IF(ROW()-3&gt;MAX($HG$4:$HG$40),"",INDEX($BC$4:$BC$40,MATCH(ROW()-3,$HG$4:$HG$40,0)))</f>
        <v/>
      </c>
      <c r="HJ4">
        <f>IF($BH$4="",FALSE,SUMPRODUCT(('Final Calculation Sheet'!$J$4:$J$40=$BH$4)*($HI$6:$HI$42=1))&gt;0)</f>
        <v/>
      </c>
      <c r="HK4">
        <f>--($HJ$4)</f>
        <v/>
      </c>
      <c r="HL4">
        <f>IF(ROW()-3&gt;MAX($HK$4:$HK$40),"",INDEX($BH$4:$BH$40,MATCH(ROW()-3,$HK$4:$HK$40,0)))</f>
        <v/>
      </c>
      <c r="HN4">
        <f>IF($BM$4="",FALSE,SUMPRODUCT(('Final Calculation Sheet'!$K$4:$K$40=$BM$4)*($HM$6:$HM$42=1))&gt;0)</f>
        <v/>
      </c>
      <c r="HO4">
        <f>--($HN$4)</f>
        <v/>
      </c>
      <c r="HP4">
        <f>IF(ROW()-3&gt;MAX($HO$4:$HO$40),"",INDEX($BM$4:$BM$40,MATCH(ROW()-3,$HO$4:$HO$40,0)))</f>
        <v/>
      </c>
      <c r="HR4">
        <f>IF($BR$4="",FALSE,SUMPRODUCT(('Final Calculation Sheet'!$L$4:$L$40=$BR$4)*($HQ$6:$HQ$42=1))&gt;0)</f>
        <v/>
      </c>
      <c r="HS4">
        <f>--($HR$4)</f>
        <v/>
      </c>
      <c r="HT4">
        <f>IF(ROW()-3&gt;MAX($HS$4:$HS$40),"",INDEX($BR$4:$BR$40,MATCH(ROW()-3,$HS$4:$HS$40,0)))</f>
        <v/>
      </c>
      <c r="HV4">
        <f>IF($BW$4="",FALSE,SUMPRODUCT(('Final Calculation Sheet'!$M$4:$M$40=$BW$4)*($HU$6:$HU$42=1))&gt;0)</f>
        <v/>
      </c>
      <c r="HW4">
        <f>--($HV$4)</f>
        <v/>
      </c>
      <c r="HX4">
        <f>IF(ROW()-3&gt;MAX($HW$4:$HW$40),"",INDEX($BW$4:$BW$40,MATCH(ROW()-3,$HW$4:$HW$40,0)))</f>
        <v/>
      </c>
      <c r="HZ4">
        <f>IF($CB$4="",FALSE,SUMPRODUCT(('Final Calculation Sheet'!$N$4:$N$40=$CB$4)*($HY$6:$HY$42=1))&gt;0)</f>
        <v/>
      </c>
      <c r="IA4">
        <f>--($HZ$4)</f>
        <v/>
      </c>
      <c r="IB4">
        <f>IF(ROW()-3&gt;MAX($IA$4:$IA$40),"",INDEX($CB$4:$CB$40,MATCH(ROW()-3,$IA$4:$IA$40,0)))</f>
        <v/>
      </c>
      <c r="ID4">
        <f>IF($CG$4="",FALSE,SUMPRODUCT(('Final Calculation Sheet'!$O$4:$O$40=$CG$4)*($IC$6:$IC$42=1))&gt;0)</f>
        <v/>
      </c>
      <c r="IE4">
        <f>--($ID$4)</f>
        <v/>
      </c>
      <c r="IF4">
        <f>IF(ROW()-3&gt;MAX($IE$4:$IE$40),"",INDEX($CG$4:$CG$40,MATCH(ROW()-3,$IE$4:$IE$40,0)))</f>
        <v/>
      </c>
      <c r="IH4">
        <f>IF($CL$4="",FALSE,SUMPRODUCT(('Final Calculation Sheet'!$P$4:$P$40=$CL$4)*($IG$6:$IG$42=1))&gt;0)</f>
        <v/>
      </c>
      <c r="II4">
        <f>--($IH$4)</f>
        <v/>
      </c>
      <c r="IJ4">
        <f>IF(ROW()-3&gt;MAX($II$4:$II$40),"",INDEX($CL$4:$CL$40,MATCH(ROW()-3,$II$4:$II$40,0)))</f>
        <v/>
      </c>
      <c r="IL4">
        <f>IF($CQ$4="",FALSE,SUMPRODUCT(('Final Calculation Sheet'!$Q$4:$Q$40=$CQ$4)*($IK$6:$IK$42=1))&gt;0)</f>
        <v/>
      </c>
      <c r="IM4">
        <f>--($IL$4)</f>
        <v/>
      </c>
      <c r="IN4">
        <f>IF(ROW()-3&gt;MAX($IM$4:$IM$40),"",INDEX($CQ$4:$CQ$40,MATCH(ROW()-3,$IM$4:$IM$40,0)))</f>
        <v/>
      </c>
      <c r="IP4">
        <f>IF($CV$4="",FALSE,SUMPRODUCT(('Final Calculation Sheet'!$R$4:$R$40=$CV$4)*($IO$6:$IO$42=1))&gt;0)</f>
        <v/>
      </c>
      <c r="IQ4">
        <f>--($IP$4)</f>
        <v/>
      </c>
      <c r="IR4">
        <f>IF(ROW()-3&gt;MAX($IQ$4:$IQ$40),"",INDEX($CV$4:$CV$40,MATCH(ROW()-3,$IQ$4:$IQ$40,0)))</f>
        <v/>
      </c>
      <c r="IT4">
        <f>IF($DA$4="",FALSE,SUMPRODUCT(('Final Calculation Sheet'!$S$4:$S$40=$DA$4)*($IS$6:$IS$42=1))&gt;0)</f>
        <v/>
      </c>
      <c r="IU4">
        <f>--($IT$4)</f>
        <v/>
      </c>
      <c r="IV4">
        <f>IF(ROW()-3&gt;MAX($IU$4:$IU$40),"",INDEX($DA$4:$DA$40,MATCH(ROW()-3,$IU$4:$IU$40,0)))</f>
        <v/>
      </c>
      <c r="IX4">
        <f>IF($DF$4="",FALSE,SUMPRODUCT(('Final Calculation Sheet'!$T$4:$T$40=$DF$4)*($IW$6:$IW$42=1))&gt;0)</f>
        <v/>
      </c>
      <c r="IY4">
        <f>--($IX$4)</f>
        <v/>
      </c>
      <c r="IZ4">
        <f>IF(ROW()-3&gt;MAX($IY$4:$IY$40),"",INDEX($DF$4:$DF$40,MATCH(ROW()-3,$IY$4:$IY$40,0)))</f>
        <v/>
      </c>
      <c r="JB4">
        <f>IF($DK$4="",FALSE,SUMPRODUCT(('Final Calculation Sheet'!$U$4:$U$40=$DK$4)*($JA$6:$JA$42=1))&gt;0)</f>
        <v/>
      </c>
      <c r="JC4">
        <f>--($JB$4)</f>
        <v/>
      </c>
      <c r="JD4">
        <f>IF(ROW()-3&gt;MAX($JC$4:$JC$40),"",INDEX($DK$4:$DK$40,MATCH(ROW()-3,$JC$4:$JC$40,0)))</f>
        <v/>
      </c>
      <c r="JF4">
        <f>IF($DP$4="",FALSE,SUMPRODUCT(('Final Calculation Sheet'!$V$4:$V$40=$DP$4)*($JE$6:$JE$42=1))&gt;0)</f>
        <v/>
      </c>
      <c r="JG4">
        <f>--($JF$4)</f>
        <v/>
      </c>
      <c r="JH4">
        <f>IF(ROW()-3&gt;MAX($JG$4:$JG$40),"",INDEX($DP$4:$DP$40,MATCH(ROW()-3,$JG$4:$JG$40,0)))</f>
        <v/>
      </c>
      <c r="JJ4">
        <f>IF($DU$4="",FALSE,SUMPRODUCT(('Final Calculation Sheet'!$W$4:$W$40=$DU$4)*($JI$6:$JI$42=1))&gt;0)</f>
        <v/>
      </c>
      <c r="JK4">
        <f>--($JJ$4)</f>
        <v/>
      </c>
      <c r="JL4">
        <f>IF(ROW()-3&gt;MAX($JK$4:$JK$40),"",INDEX($DU$4:$DU$40,MATCH(ROW()-3,$JK$4:$JK$40,0)))</f>
        <v/>
      </c>
      <c r="JN4">
        <f>IF($DZ$4="",FALSE,SUMPRODUCT(('Final Calculation Sheet'!$X$4:$X$40=$DZ$4)*($JM$6:$JM$42=1))&gt;0)</f>
        <v/>
      </c>
      <c r="JO4">
        <f>--($JN$4)</f>
        <v/>
      </c>
      <c r="JP4">
        <f>IF(ROW()-3&gt;MAX($JO$4:$JO$40),"",INDEX($DZ$4:$DZ$40,MATCH(ROW()-3,$JO$4:$JO$40,0)))</f>
        <v/>
      </c>
      <c r="JR4">
        <f>IF($EE$4="",FALSE,SUMPRODUCT(('Final Calculation Sheet'!$Y$4:$Y$40=$EE$4)*($JQ$6:$JQ$42=1))&gt;0)</f>
        <v/>
      </c>
      <c r="JS4">
        <f>--($JR$4)</f>
        <v/>
      </c>
      <c r="JT4">
        <f>IF(ROW()-3&gt;MAX($JS$4:$JS$40),"",INDEX($EE$4:$EE$40,MATCH(ROW()-3,$JS$4:$JS$40,0)))</f>
        <v/>
      </c>
      <c r="JV4">
        <f>IF($EJ$4="",FALSE,SUMPRODUCT(('Final Calculation Sheet'!$Z$4:$Z$40=$EJ$4)*($JU$6:$JU$42=1))&gt;0)</f>
        <v/>
      </c>
      <c r="JW4">
        <f>--($JV$4)</f>
        <v/>
      </c>
      <c r="JX4">
        <f>IF(ROW()-3&gt;MAX($JW$4:$JW$40),"",INDEX($EJ$4:$EJ$40,MATCH(ROW()-3,$JW$4:$JW$40,0)))</f>
        <v/>
      </c>
      <c r="JZ4">
        <f>IF($EO$4="",FALSE,SUMPRODUCT(('Final Calculation Sheet'!$AA$4:$AA$40=$EO$4)*($JY$6:$JY$42=1))&gt;0)</f>
        <v/>
      </c>
      <c r="KA4">
        <f>--($JZ$4)</f>
        <v/>
      </c>
      <c r="KB4">
        <f>IF(ROW()-3&gt;MAX($KA$4:$KA$40),"",INDEX($EO$4:$EO$40,MATCH(ROW()-3,$KA$4:$KA$40,0)))</f>
        <v/>
      </c>
      <c r="KD4">
        <f>IF($ET$4="",FALSE,SUMPRODUCT(('Final Calculation Sheet'!$AB$4:$AB$40=$ET$4)*($KC$6:$KC$42=1))&gt;0)</f>
        <v/>
      </c>
      <c r="KE4">
        <f>--($KD$4)</f>
        <v/>
      </c>
      <c r="KF4">
        <f>IF(ROW()-3&gt;MAX($KE$4:$KE$40),"",INDEX($ET$4:$ET$40,MATCH(ROW()-3,$KE$4:$KE$40,0)))</f>
        <v/>
      </c>
      <c r="KH4">
        <f>IF($EY$4="",FALSE,SUMPRODUCT(('Final Calculation Sheet'!$AC$4:$AC$40=$EY$4)*($KG$6:$KG$42=1))&gt;0)</f>
        <v/>
      </c>
      <c r="KI4">
        <f>--($KH$4)</f>
        <v/>
      </c>
      <c r="KJ4">
        <f>IF(ROW()-3&gt;MAX($KI$4:$KI$40),"",INDEX($EY$4:$EY$40,MATCH(ROW()-3,$KI$4:$KI$40,0)))</f>
        <v/>
      </c>
      <c r="KL4">
        <f>IF($FD$4="",FALSE,SUMPRODUCT(('Final Calculation Sheet'!$AD$4:$AD$40=$FD$4)*($KK$6:$KK$42=1))&gt;0)</f>
        <v/>
      </c>
      <c r="KM4">
        <f>--($KL$4)</f>
        <v/>
      </c>
      <c r="KN4">
        <f>IF(ROW()-3&gt;MAX($KM$4:$KM$40),"",INDEX($FD$4:$FD$40,MATCH(ROW()-3,$KM$4:$KM$40,0)))</f>
        <v/>
      </c>
      <c r="KP4">
        <f>IF($FX$4="",FALSE,SUMPRODUCT((IF('Final Calculation Sheet'!$AD$4:$AD$40&lt;=5,"SETTLED","OUTSTANDING")=$FX$4)*($KO$6:$KO$42=1))&gt;0)</f>
        <v/>
      </c>
      <c r="KQ4">
        <f>--($KP$4)</f>
        <v/>
      </c>
      <c r="KR4">
        <f>IF(ROW()-3&gt;MAX($KQ$4:$KQ$40),"",INDEX($FX$4:$FX$40,MATCH(ROW()-3,$KQ$4:$KQ$40,0)))</f>
        <v/>
      </c>
      <c r="KT4">
        <f>IF($FI$4="",FALSE,SUMPRODUCT(('Final Calculation Sheet'!$AF$4:$AF$40=$FI$4)*($KS$6:$KS$42=1))&gt;0)</f>
        <v/>
      </c>
      <c r="KU4">
        <f>--($KT$4)</f>
        <v/>
      </c>
      <c r="KV4">
        <f>IF(ROW()-3&gt;MAX($KU$4:$KU$40),"",INDEX($FI$4:$FI$40,MATCH(ROW()-3,$KU$4:$KU$40,0)))</f>
        <v/>
      </c>
      <c r="KX4">
        <f>IF($FN$4="",FALSE,SUMPRODUCT(('Final Calculation Sheet'!$AG$4:$AG$40=$FN$4)*($KW$6:$KW$42=1))&gt;0)</f>
        <v/>
      </c>
      <c r="KY4">
        <f>--($KX$4)</f>
        <v/>
      </c>
      <c r="KZ4">
        <f>IF(ROW()-3&gt;MAX($KY$4:$KY$40),"",INDEX($FN$4:$FN$40,MATCH(ROW()-3,$KY$4:$KY$40,0)))</f>
        <v/>
      </c>
      <c r="LB4">
        <f>IF($FS$4="",FALSE,SUMPRODUCT(('Final Calculation Sheet'!$AH$4:$AH$40=$FS$4)*($LA$6:$LA$42=1))&gt;0)</f>
        <v/>
      </c>
      <c r="LC4">
        <f>--($LB$4)</f>
        <v/>
      </c>
      <c r="LD4">
        <f>IF(ROW()-3&gt;MAX($LC$4:$LC$40),"",INDEX($FS$4:$FS$40,MATCH(ROW()-3,$LC$4:$LC$40,0)))</f>
        <v/>
      </c>
      <c r="LF4">
        <f>IF($O$4="",FALSE,SUMPRODUCT(('Final Calculation Sheet'!$F$4:$F$40=$O$4)*($LE$6:$LE$42=1))&gt;0)</f>
        <v/>
      </c>
      <c r="LG4">
        <f>--($LF$4)</f>
        <v/>
      </c>
      <c r="LH4">
        <f>IF(ROW()-3&gt;MAX($LG$4:$LG$40),"",INDEX($O$4:$O$40,MATCH(ROW()-3,$LG$4:$LG$40,0)))</f>
        <v/>
      </c>
      <c r="LJ4">
        <f>IF($T$4="",FALSE,SUMPRODUCT(('Final Calculation Sheet'!$G$4:$G$40=$T$4)*($LI$6:$LI$42=1))&gt;0)</f>
        <v/>
      </c>
      <c r="LK4">
        <f>--($LJ$4)</f>
        <v/>
      </c>
      <c r="LL4">
        <f>IF(ROW()-3&gt;MAX($LK$4:$LK$40),"",INDEX($T$4:$T$40,MATCH(ROW()-3,$LK$4:$LK$40,0)))</f>
        <v/>
      </c>
      <c r="LN4">
        <f>IF($Y$4="",FALSE,SUMPRODUCT(('Final Calculation Sheet'!$B$4:$B$40=$Y$4)*($LM$6:$LM$42=1))&gt;0)</f>
        <v/>
      </c>
      <c r="LO4">
        <f>--($LN$4)</f>
        <v/>
      </c>
      <c r="LP4">
        <f>IF(ROW()-3&gt;MAX($LO$4:$LO$40),"",INDEX($Y$4:$Y$40,MATCH(ROW()-3,$LO$4:$LO$40,0)))</f>
        <v/>
      </c>
      <c r="LR4">
        <f>IF($AD$4="",FALSE,SUMPRODUCT(('Final Calculation Sheet'!$D$4:$D$40=$AD$4)*($LQ$6:$LQ$42=1))&gt;0)</f>
        <v/>
      </c>
      <c r="LS4">
        <f>--($LR$4)</f>
        <v/>
      </c>
      <c r="LT4">
        <f>IF(ROW()-3&gt;MAX($LS$4:$LS$40),"",INDEX($AD$4:$AD$40,MATCH(ROW()-3,$LS$4:$LS$40,0)))</f>
        <v/>
      </c>
      <c r="LV4">
        <f>IF($AI$4="",FALSE,SUMPRODUCT(('Final Calculation Sheet'!$A$4:$A$40=$AI$4)*($LU$6:$LU$42=1))&gt;0)</f>
        <v/>
      </c>
      <c r="LW4">
        <f>--($LV$4)</f>
        <v/>
      </c>
      <c r="LX4">
        <f>IF(ROW()-3&gt;MAX($LW$4:$LW$40),"",INDEX($AI$4:$AI$40,MATCH(ROW()-3,$LW$4:$LW$40,0)))</f>
        <v/>
      </c>
      <c r="LZ4">
        <f>IF($AN$4="",FALSE,SUMPRODUCT(('Final Calculation Sheet'!$E$4:$E$40=$AN$4)*($LY$6:$LY$42=1))&gt;0)</f>
        <v/>
      </c>
      <c r="MA4">
        <f>--($LZ$4)</f>
        <v/>
      </c>
      <c r="MB4">
        <f>IF(ROW()-3&gt;MAX($MA$4:$MA$40),"",INDEX($AN$4:$AN$40,MATCH(ROW()-3,$MA$4:$MA$40,0)))</f>
        <v/>
      </c>
      <c r="MD4">
        <f>IF($AS$4="",FALSE,SUMPRODUCT(('Final Calculation Sheet'!$C$4:$C$40=$AS$4)*($MC$6:$MC$42=1))&gt;0)</f>
        <v/>
      </c>
      <c r="ME4">
        <f>--($MD$4)</f>
        <v/>
      </c>
      <c r="MF4">
        <f>IF(ROW()-3&gt;MAX($ME$4:$ME$40),"",INDEX($AS$4:$AS$40,MATCH(ROW()-3,$ME$4:$ME$40,0)))</f>
        <v/>
      </c>
      <c r="MH4">
        <f>IF($AX$4="",FALSE,SUMPRODUCT(('Final Calculation Sheet'!$H$4:$H$40=$AX$4)*($MG$6:$MG$42=1))&gt;0)</f>
        <v/>
      </c>
      <c r="MI4">
        <f>--($MH$4)</f>
        <v/>
      </c>
      <c r="MJ4">
        <f>IF(ROW()-3&gt;MAX($MI$4:$MI$40),"",INDEX($AX$4:$AX$40,MATCH(ROW()-3,$MI$4:$MI$40,0)))</f>
        <v/>
      </c>
      <c r="ML4">
        <f>IF($BC$4="",FALSE,SUMPRODUCT(('Final Calculation Sheet'!$I$4:$I$40=$BC$4)*($MK$6:$MK$42=1))&gt;0)</f>
        <v/>
      </c>
      <c r="MM4">
        <f>--($ML$4)</f>
        <v/>
      </c>
      <c r="MN4">
        <f>IF(ROW()-3&gt;MAX($MM$4:$MM$40),"",INDEX($BC$4:$BC$40,MATCH(ROW()-3,$MM$4:$MM$40,0)))</f>
        <v/>
      </c>
      <c r="MP4">
        <f>IF($BH$4="",FALSE,SUMPRODUCT(('Final Calculation Sheet'!$J$4:$J$40=$BH$4)*($MO$6:$MO$42=1))&gt;0)</f>
        <v/>
      </c>
      <c r="MQ4">
        <f>--($MP$4)</f>
        <v/>
      </c>
      <c r="MR4">
        <f>IF(ROW()-3&gt;MAX($MQ$4:$MQ$40),"",INDEX($BH$4:$BH$40,MATCH(ROW()-3,$MQ$4:$MQ$40,0)))</f>
        <v/>
      </c>
      <c r="MT4">
        <f>IF($BM$4="",FALSE,SUMPRODUCT(('Final Calculation Sheet'!$K$4:$K$40=$BM$4)*($MS$6:$MS$42=1))&gt;0)</f>
        <v/>
      </c>
      <c r="MU4">
        <f>--($MT$4)</f>
        <v/>
      </c>
      <c r="MV4">
        <f>IF(ROW()-3&gt;MAX($MU$4:$MU$40),"",INDEX($BM$4:$BM$40,MATCH(ROW()-3,$MU$4:$MU$40,0)))</f>
        <v/>
      </c>
      <c r="MX4">
        <f>IF($BR$4="",FALSE,SUMPRODUCT(('Final Calculation Sheet'!$L$4:$L$40=$BR$4)*($MW$6:$MW$42=1))&gt;0)</f>
        <v/>
      </c>
      <c r="MY4">
        <f>--($MX$4)</f>
        <v/>
      </c>
      <c r="MZ4">
        <f>IF(ROW()-3&gt;MAX($MY$4:$MY$40),"",INDEX($BR$4:$BR$40,MATCH(ROW()-3,$MY$4:$MY$40,0)))</f>
        <v/>
      </c>
      <c r="NB4">
        <f>IF($BW$4="",FALSE,SUMPRODUCT(('Final Calculation Sheet'!$M$4:$M$40=$BW$4)*($NA$6:$NA$42=1))&gt;0)</f>
        <v/>
      </c>
      <c r="NC4">
        <f>--($NB$4)</f>
        <v/>
      </c>
      <c r="ND4">
        <f>IF(ROW()-3&gt;MAX($NC$4:$NC$40),"",INDEX($BW$4:$BW$40,MATCH(ROW()-3,$NC$4:$NC$40,0)))</f>
        <v/>
      </c>
      <c r="NF4">
        <f>IF($CB$4="",FALSE,SUMPRODUCT(('Final Calculation Sheet'!$N$4:$N$40=$CB$4)*($NE$6:$NE$42=1))&gt;0)</f>
        <v/>
      </c>
      <c r="NG4">
        <f>--($NF$4)</f>
        <v/>
      </c>
      <c r="NH4">
        <f>IF(ROW()-3&gt;MAX($NG$4:$NG$40),"",INDEX($CB$4:$CB$40,MATCH(ROW()-3,$NG$4:$NG$40,0)))</f>
        <v/>
      </c>
      <c r="NJ4">
        <f>IF($CG$4="",FALSE,SUMPRODUCT(('Final Calculation Sheet'!$O$4:$O$40=$CG$4)*($NI$6:$NI$42=1))&gt;0)</f>
        <v/>
      </c>
      <c r="NK4">
        <f>--($NJ$4)</f>
        <v/>
      </c>
      <c r="NL4">
        <f>IF(ROW()-3&gt;MAX($NK$4:$NK$40),"",INDEX($CG$4:$CG$40,MATCH(ROW()-3,$NK$4:$NK$40,0)))</f>
        <v/>
      </c>
      <c r="NN4">
        <f>IF($CL$4="",FALSE,SUMPRODUCT(('Final Calculation Sheet'!$P$4:$P$40=$CL$4)*($NM$6:$NM$42=1))&gt;0)</f>
        <v/>
      </c>
      <c r="NO4">
        <f>--($NN$4)</f>
        <v/>
      </c>
      <c r="NP4">
        <f>IF(ROW()-3&gt;MAX($NO$4:$NO$40),"",INDEX($CL$4:$CL$40,MATCH(ROW()-3,$NO$4:$NO$40,0)))</f>
        <v/>
      </c>
      <c r="NR4">
        <f>IF($CQ$4="",FALSE,SUMPRODUCT(('Final Calculation Sheet'!$Q$4:$Q$40=$CQ$4)*($NQ$6:$NQ$42=1))&gt;0)</f>
        <v/>
      </c>
      <c r="NS4">
        <f>--($NR$4)</f>
        <v/>
      </c>
      <c r="NT4">
        <f>IF(ROW()-3&gt;MAX($NS$4:$NS$40),"",INDEX($CQ$4:$CQ$40,MATCH(ROW()-3,$NS$4:$NS$40,0)))</f>
        <v/>
      </c>
      <c r="NV4">
        <f>IF($CV$4="",FALSE,SUMPRODUCT(('Final Calculation Sheet'!$R$4:$R$40=$CV$4)*($NU$6:$NU$42=1))&gt;0)</f>
        <v/>
      </c>
      <c r="NW4">
        <f>--($NV$4)</f>
        <v/>
      </c>
      <c r="NX4">
        <f>IF(ROW()-3&gt;MAX($NW$4:$NW$40),"",INDEX($CV$4:$CV$40,MATCH(ROW()-3,$NW$4:$NW$40,0)))</f>
        <v/>
      </c>
      <c r="NZ4">
        <f>IF($DA$4="",FALSE,SUMPRODUCT(('Final Calculation Sheet'!$S$4:$S$40=$DA$4)*($NY$6:$NY$42=1))&gt;0)</f>
        <v/>
      </c>
      <c r="OA4">
        <f>--($NZ$4)</f>
        <v/>
      </c>
      <c r="OB4">
        <f>IF(ROW()-3&gt;MAX($OA$4:$OA$40),"",INDEX($DA$4:$DA$40,MATCH(ROW()-3,$OA$4:$OA$40,0)))</f>
        <v/>
      </c>
      <c r="OD4">
        <f>IF($DF$4="",FALSE,SUMPRODUCT(('Final Calculation Sheet'!$T$4:$T$40=$DF$4)*($OC$6:$OC$42=1))&gt;0)</f>
        <v/>
      </c>
      <c r="OE4">
        <f>--($OD$4)</f>
        <v/>
      </c>
      <c r="OF4">
        <f>IF(ROW()-3&gt;MAX($OE$4:$OE$40),"",INDEX($DF$4:$DF$40,MATCH(ROW()-3,$OE$4:$OE$40,0)))</f>
        <v/>
      </c>
      <c r="OH4">
        <f>IF($DK$4="",FALSE,SUMPRODUCT(('Final Calculation Sheet'!$U$4:$U$40=$DK$4)*($OG$6:$OG$42=1))&gt;0)</f>
        <v/>
      </c>
      <c r="OI4">
        <f>--($OH$4)</f>
        <v/>
      </c>
      <c r="OJ4">
        <f>IF(ROW()-3&gt;MAX($OI$4:$OI$40),"",INDEX($DK$4:$DK$40,MATCH(ROW()-3,$OI$4:$OI$40,0)))</f>
        <v/>
      </c>
      <c r="OL4">
        <f>IF($DP$4="",FALSE,SUMPRODUCT(('Final Calculation Sheet'!$V$4:$V$40=$DP$4)*($OK$6:$OK$42=1))&gt;0)</f>
        <v/>
      </c>
      <c r="OM4">
        <f>--($OL$4)</f>
        <v/>
      </c>
      <c r="ON4">
        <f>IF(ROW()-3&gt;MAX($OM$4:$OM$40),"",INDEX($DP$4:$DP$40,MATCH(ROW()-3,$OM$4:$OM$40,0)))</f>
        <v/>
      </c>
      <c r="OP4">
        <f>IF($DU$4="",FALSE,SUMPRODUCT(('Final Calculation Sheet'!$W$4:$W$40=$DU$4)*($OO$6:$OO$42=1))&gt;0)</f>
        <v/>
      </c>
      <c r="OQ4">
        <f>--($OP$4)</f>
        <v/>
      </c>
      <c r="OR4">
        <f>IF(ROW()-3&gt;MAX($OQ$4:$OQ$40),"",INDEX($DU$4:$DU$40,MATCH(ROW()-3,$OQ$4:$OQ$40,0)))</f>
        <v/>
      </c>
      <c r="OT4">
        <f>IF($DZ$4="",FALSE,SUMPRODUCT(('Final Calculation Sheet'!$X$4:$X$40=$DZ$4)*($OS$6:$OS$42=1))&gt;0)</f>
        <v/>
      </c>
      <c r="OU4">
        <f>--($OT$4)</f>
        <v/>
      </c>
      <c r="OV4">
        <f>IF(ROW()-3&gt;MAX($OU$4:$OU$40),"",INDEX($DZ$4:$DZ$40,MATCH(ROW()-3,$OU$4:$OU$40,0)))</f>
        <v/>
      </c>
      <c r="OX4">
        <f>IF($EE$4="",FALSE,SUMPRODUCT(('Final Calculation Sheet'!$Y$4:$Y$40=$EE$4)*($OW$6:$OW$42=1))&gt;0)</f>
        <v/>
      </c>
      <c r="OY4">
        <f>--($OX$4)</f>
        <v/>
      </c>
      <c r="OZ4">
        <f>IF(ROW()-3&gt;MAX($OY$4:$OY$40),"",INDEX($EE$4:$EE$40,MATCH(ROW()-3,$OY$4:$OY$40,0)))</f>
        <v/>
      </c>
      <c r="PB4">
        <f>IF($EJ$4="",FALSE,SUMPRODUCT(('Final Calculation Sheet'!$Z$4:$Z$40=$EJ$4)*($PA$6:$PA$42=1))&gt;0)</f>
        <v/>
      </c>
      <c r="PC4">
        <f>--($PB$4)</f>
        <v/>
      </c>
      <c r="PD4">
        <f>IF(ROW()-3&gt;MAX($PC$4:$PC$40),"",INDEX($EJ$4:$EJ$40,MATCH(ROW()-3,$PC$4:$PC$40,0)))</f>
        <v/>
      </c>
      <c r="PF4">
        <f>IF($EO$4="",FALSE,SUMPRODUCT(('Final Calculation Sheet'!$AA$4:$AA$40=$EO$4)*($PE$6:$PE$42=1))&gt;0)</f>
        <v/>
      </c>
      <c r="PG4">
        <f>--($PF$4)</f>
        <v/>
      </c>
      <c r="PH4">
        <f>IF(ROW()-3&gt;MAX($PG$4:$PG$40),"",INDEX($EO$4:$EO$40,MATCH(ROW()-3,$PG$4:$PG$40,0)))</f>
        <v/>
      </c>
      <c r="PJ4">
        <f>IF($ET$4="",FALSE,SUMPRODUCT(('Final Calculation Sheet'!$AB$4:$AB$40=$ET$4)*($PI$6:$PI$42=1))&gt;0)</f>
        <v/>
      </c>
      <c r="PK4">
        <f>--($PJ$4)</f>
        <v/>
      </c>
      <c r="PL4">
        <f>IF(ROW()-3&gt;MAX($PK$4:$PK$40),"",INDEX($ET$4:$ET$40,MATCH(ROW()-3,$PK$4:$PK$40,0)))</f>
        <v/>
      </c>
      <c r="PN4">
        <f>IF($EY$4="",FALSE,SUMPRODUCT(('Final Calculation Sheet'!$AC$4:$AC$40=$EY$4)*($PM$6:$PM$42=1))&gt;0)</f>
        <v/>
      </c>
      <c r="PO4">
        <f>--($PN$4)</f>
        <v/>
      </c>
      <c r="PP4">
        <f>IF(ROW()-3&gt;MAX($PO$4:$PO$40),"",INDEX($EY$4:$EY$40,MATCH(ROW()-3,$PO$4:$PO$40,0)))</f>
        <v/>
      </c>
      <c r="PR4">
        <f>IF($FD$4="",FALSE,SUMPRODUCT(('Final Calculation Sheet'!$AD$4:$AD$40=$FD$4)*($PQ$6:$PQ$42=1))&gt;0)</f>
        <v/>
      </c>
      <c r="PS4">
        <f>--($PR$4)</f>
        <v/>
      </c>
      <c r="PT4">
        <f>IF(ROW()-3&gt;MAX($PS$4:$PS$40),"",INDEX($FD$4:$FD$40,MATCH(ROW()-3,$PS$4:$PS$40,0)))</f>
        <v/>
      </c>
      <c r="PV4">
        <f>IF($FX$4="",FALSE,SUMPRODUCT((IF('Final Calculation Sheet'!$AD$4:$AD$40&lt;=5,"SETTLED","OUTSTANDING")=$FX$4)*($PU$6:$PU$42=1))&gt;0)</f>
        <v/>
      </c>
      <c r="PW4">
        <f>--($PV$4)</f>
        <v/>
      </c>
      <c r="PX4">
        <f>IF(ROW()-3&gt;MAX($PW$4:$PW$40),"",INDEX($FX$4:$FX$40,MATCH(ROW()-3,$PW$4:$PW$40,0)))</f>
        <v/>
      </c>
      <c r="PZ4">
        <f>IF($FI$4="",FALSE,SUMPRODUCT(('Final Calculation Sheet'!$AF$4:$AF$40=$FI$4)*($PY$6:$PY$42=1))&gt;0)</f>
        <v/>
      </c>
      <c r="QA4">
        <f>--($PZ$4)</f>
        <v/>
      </c>
      <c r="QB4">
        <f>IF(ROW()-3&gt;MAX($QA$4:$QA$40),"",INDEX($FI$4:$FI$40,MATCH(ROW()-3,$QA$4:$QA$40,0)))</f>
        <v/>
      </c>
      <c r="QD4">
        <f>IF($FN$4="",FALSE,SUMPRODUCT(('Final Calculation Sheet'!$AG$4:$AG$40=$FN$4)*($QC$6:$QC$42=1))&gt;0)</f>
        <v/>
      </c>
      <c r="QE4">
        <f>--($QD$4)</f>
        <v/>
      </c>
      <c r="QF4">
        <f>IF(ROW()-3&gt;MAX($QE$4:$QE$40),"",INDEX($FN$4:$FN$40,MATCH(ROW()-3,$QE$4:$QE$40,0)))</f>
        <v/>
      </c>
      <c r="QH4">
        <f>IF($FS$4="",FALSE,SUMPRODUCT(('Final Calculation Sheet'!$AH$4:$AH$40=$FS$4)*($QG$6:$QG$42=1))&gt;0)</f>
        <v/>
      </c>
      <c r="QI4">
        <f>--($QH$4)</f>
        <v/>
      </c>
      <c r="QJ4">
        <f>IF(ROW()-3&gt;MAX($QI$4:$QI$40),"",INDEX($FS$4:$FS$40,MATCH(ROW()-3,$QI$4:$QI$40,0)))</f>
        <v/>
      </c>
      <c r="QK4" t="str">
        <f>IF('Final Calculation Sheet'!$AH$4="","",'Final Calculation Sheet'!$AH$4)</f>
      </c>
      <c r="QL4" t="str">
        <f>IF(QK4="","",COUNTIFS(QK$4:QK$40,"&lt;"&amp;QK4,QK$4:QK$40,"&lt;&gt;"&amp;"")+COUNTIF(QK$4:QK4,QK4))</f>
      </c>
      <c r="QM4" t="str">
        <f>IF(ROW()-3&gt;COUNTIF(QK$4:QK$40,"&lt;&gt;"&amp;""),"",INDEX(QK$4:QK$40,MATCH(ROW()-3,QL$4:QL$40,0)))</f>
      </c>
      <c r="QN4" t="str">
        <f>IF(AND(QM4&lt;&gt;"",COUNTIF(QM$4:QM4,QM4)=1),1,0)</f>
      </c>
      <c r="QO4" t="str">
        <f>IF(ROW()-3&gt;MAX(QN$4:QN$40),"",INDEX(QM$4:QM$40,MATCH(ROW()-3,QN$4:QN$40,0)))</f>
      </c>
      <c r="QP4" t="str">
        <f>IF(COUNTIF('Final Calculation Sheet'!$AM4:$BS4,0)&gt;0,0,1)</f>
      </c>
      <c r="QQ4" t="str">
        <f>IF($AI$4="",FALSE,SUMPRODUCT(('Final Calculation Sheet'!$A$4:$A$40=$AI$4)*($QP$4:$QP$40=1))&gt;0)</f>
      </c>
      <c r="QR4" t="str">
        <f>--($QQ$4)</f>
      </c>
      <c r="QS4" t="str">
        <f>IF(ROW()-3&gt;MAX($QR$4:$QR$40),"",INDEX($AI$4:$AI$40,MATCH(ROW()-3,$QR$4:$QR$40,0)))</f>
      </c>
      <c r="QT4" t="str">
        <f>IF(COUNTIF('Final Calculation Sheet'!$AL4:$AL4,0)+COUNTIF('Final Calculation Sheet'!$AN4:$BS4,0)&gt;0,0,1)</f>
      </c>
      <c r="QU4" t="str">
        <f>IF($Y$4="",FALSE,SUMPRODUCT(('Final Calculation Sheet'!$B$4:$B$40=$Y$4)*($QT$4:$QT$40=1))&gt;0)</f>
      </c>
      <c r="QV4" t="str">
        <f>--($QU$4)</f>
      </c>
      <c r="QW4" t="str">
        <f>IF(ROW()-3&gt;MAX($QV$4:$QV$40),"",INDEX($Y$4:$Y$40,MATCH(ROW()-3,$QV$4:$QV$40,0)))</f>
      </c>
      <c r="QX4" t="str">
        <f>IF(COUNTIF('Final Calculation Sheet'!$AL4:$AM4,0)+COUNTIF('Final Calculation Sheet'!$AO4:$BS4,0)&gt;0,0,1)</f>
      </c>
      <c r="QY4" t="str">
        <f>IF($AS$4="",FALSE,SUMPRODUCT(('Final Calculation Sheet'!$C$4:$C$40=$AS$4)*($QX$4:$QX$40=1))&gt;0)</f>
      </c>
      <c r="QZ4" t="str">
        <f>--($QY$4)</f>
      </c>
      <c r="RA4" t="str">
        <f>IF(ROW()-3&gt;MAX($QZ$4:$QZ$40),"",INDEX($AS$4:$AS$40,MATCH(ROW()-3,$QZ$4:$QZ$40,0)))</f>
      </c>
      <c r="RB4" t="str">
        <f>IF(COUNTIF('Final Calculation Sheet'!$AL4:$AN4,0)+COUNTIF('Final Calculation Sheet'!$AP4:$BS4,0)&gt;0,0,1)</f>
      </c>
      <c r="RC4" t="str">
        <f>IF($AD$4="",FALSE,SUMPRODUCT(('Final Calculation Sheet'!$D$4:$D$40=$AD$4)*($RB$4:$RB$40=1))&gt;0)</f>
      </c>
      <c r="RD4" t="str">
        <f>--($RC$4)</f>
      </c>
      <c r="RE4" t="str">
        <f>IF(ROW()-3&gt;MAX($RD$4:$RD$40),"",INDEX($AD$4:$AD$40,MATCH(ROW()-3,$RD$4:$RD$40,0)))</f>
      </c>
      <c r="RF4" t="str">
        <f>IF(COUNTIF('Final Calculation Sheet'!$AL4:$AO4,0)+COUNTIF('Final Calculation Sheet'!$AQ4:$BS4,0)&gt;0,0,1)</f>
      </c>
      <c r="RG4" t="str">
        <f>IF($AN$4="",FALSE,SUMPRODUCT(('Final Calculation Sheet'!$E$4:$E$40=$AN$4)*($RF$4:$RF$40=1))&gt;0)</f>
      </c>
      <c r="RH4" t="str">
        <f>--($RG$4)</f>
      </c>
      <c r="RI4" t="str">
        <f>IF(ROW()-3&gt;MAX($RH$4:$RH$40),"",INDEX($AN$4:$AN$40,MATCH(ROW()-3,$RH$4:$RH$40,0)))</f>
      </c>
      <c r="RJ4" t="str">
        <f>IF(COUNTIF('Final Calculation Sheet'!$AL4:$AP4,0)+COUNTIF('Final Calculation Sheet'!$AR4:$BS4,0)&gt;0,0,1)</f>
      </c>
      <c r="RK4" t="str">
        <f>IF($O$4="",FALSE,SUMPRODUCT(('Final Calculation Sheet'!$F$4:$F$40=$O$4)*($RJ$4:$RJ$40=1))&gt;0)</f>
      </c>
      <c r="RL4" t="str">
        <f>--($RK$4)</f>
      </c>
      <c r="RM4" t="str">
        <f>IF(ROW()-3&gt;MAX($RL$4:$RL$40),"",INDEX($O$4:$O$40,MATCH(ROW()-3,$RL$4:$RL$40,0)))</f>
      </c>
      <c r="RN4" t="str">
        <f>IF(COUNTIF('Final Calculation Sheet'!$AL4:$AQ4,0)+COUNTIF('Final Calculation Sheet'!$AS4:$BS4,0)&gt;0,0,1)</f>
      </c>
      <c r="RO4" t="str">
        <f>IF($T$4="",FALSE,SUMPRODUCT(('Final Calculation Sheet'!$G$4:$G$40=$T$4)*($RN$4:$RN$40=1))&gt;0)</f>
      </c>
      <c r="RP4" t="str">
        <f>--($RO$4)</f>
      </c>
      <c r="RQ4" t="str">
        <f>IF(ROW()-3&gt;MAX($RP$4:$RP$40),"",INDEX($T$4:$T$40,MATCH(ROW()-3,$RP$4:$RP$40,0)))</f>
      </c>
      <c r="RR4" t="str">
        <f>IF(COUNTIF('Final Calculation Sheet'!$AL4:$AR4,0)+COUNTIF('Final Calculation Sheet'!$AT4:$BS4,0)&gt;0,0,1)</f>
      </c>
      <c r="RS4" t="str">
        <f>IF($AX$4="",FALSE,SUMPRODUCT(('Final Calculation Sheet'!$H$4:$H$40=$AX$4)*($RR$4:$RR$40=1))&gt;0)</f>
      </c>
      <c r="RT4" t="str">
        <f>--($RS$4)</f>
      </c>
      <c r="RU4" t="str">
        <f>IF(ROW()-3&gt;MAX($RT$4:$RT$40),"",INDEX($AX$4:$AX$40,MATCH(ROW()-3,$RT$4:$RT$40,0)))</f>
      </c>
      <c r="RV4" t="str">
        <f>IF(COUNTIF('Final Calculation Sheet'!$AL4:$AS4,0)+COUNTIF('Final Calculation Sheet'!$AU4:$BS4,0)&gt;0,0,1)</f>
      </c>
      <c r="RW4" t="str">
        <f>IF($BC$4="",FALSE,SUMPRODUCT(('Final Calculation Sheet'!$I$4:$I$40=$BC$4)*($RV$4:$RV$40=1))&gt;0)</f>
      </c>
      <c r="RX4" t="str">
        <f>--($RW$4)</f>
      </c>
      <c r="RY4" t="str">
        <f>IF(ROW()-3&gt;MAX($RX$4:$RX$40),"",INDEX($BC$4:$BC$40,MATCH(ROW()-3,$RX$4:$RX$40,0)))</f>
      </c>
      <c r="RZ4" t="str">
        <f>IF(COUNTIF('Final Calculation Sheet'!$AL4:$AT4,0)+COUNTIF('Final Calculation Sheet'!$AV4:$BS4,0)&gt;0,0,1)</f>
      </c>
      <c r="SA4" t="str">
        <f>IF($BH$4="",FALSE,SUMPRODUCT(('Final Calculation Sheet'!$J$4:$J$40=$BH$4)*($RZ$4:$RZ$40=1))&gt;0)</f>
      </c>
      <c r="SB4" t="str">
        <f>--($SA$4)</f>
      </c>
      <c r="SC4" t="str">
        <f>IF(ROW()-3&gt;MAX($SB$4:$SB$40),"",INDEX($BH$4:$BH$40,MATCH(ROW()-3,$SB$4:$SB$40,0)))</f>
      </c>
      <c r="SD4" t="str">
        <f>IF(COUNTIF('Final Calculation Sheet'!$AL4:$AU4,0)+COUNTIF('Final Calculation Sheet'!$AW4:$BS4,0)&gt;0,0,1)</f>
      </c>
      <c r="SE4" t="str">
        <f>IF($BM$4="",FALSE,SUMPRODUCT(('Final Calculation Sheet'!$K$4:$K$40=$BM$4)*($SD$4:$SD$40=1))&gt;0)</f>
      </c>
      <c r="SF4" t="str">
        <f>--($SE$4)</f>
      </c>
      <c r="SG4" t="str">
        <f>IF(ROW()-3&gt;MAX($SF$4:$SF$40),"",INDEX($BM$4:$BM$40,MATCH(ROW()-3,$SF$4:$SF$40,0)))</f>
      </c>
      <c r="SH4" t="str">
        <f>IF(COUNTIF('Final Calculation Sheet'!$AL4:$AV4,0)+COUNTIF('Final Calculation Sheet'!$AX4:$BS4,0)&gt;0,0,1)</f>
      </c>
      <c r="SI4" t="str">
        <f>IF($BR$4="",FALSE,SUMPRODUCT(('Final Calculation Sheet'!$L$4:$L$40=$BR$4)*($SH$4:$SH$40=1))&gt;0)</f>
      </c>
      <c r="SJ4" t="str">
        <f>--($SI$4)</f>
      </c>
      <c r="SK4" t="str">
        <f>IF(ROW()-3&gt;MAX($SJ$4:$SJ$40),"",INDEX($BR$4:$BR$40,MATCH(ROW()-3,$SJ$4:$SJ$40,0)))</f>
      </c>
      <c r="SL4" t="str">
        <f>IF(COUNTIF('Final Calculation Sheet'!$AL4:$AW4,0)+COUNTIF('Final Calculation Sheet'!$AY4:$BS4,0)&gt;0,0,1)</f>
      </c>
      <c r="SM4" t="str">
        <f>IF($BW$4="",FALSE,SUMPRODUCT(('Final Calculation Sheet'!$M$4:$M$40=$BW$4)*($SL$4:$SL$40=1))&gt;0)</f>
      </c>
      <c r="SN4" t="str">
        <f>--($SM$4)</f>
      </c>
      <c r="SO4" t="str">
        <f>IF(ROW()-3&gt;MAX($SN$4:$SN$40),"",INDEX($BW$4:$BW$40,MATCH(ROW()-3,$SN$4:$SN$40,0)))</f>
      </c>
      <c r="SP4" t="str">
        <f>IF(COUNTIF('Final Calculation Sheet'!$AL4:$AX4,0)+COUNTIF('Final Calculation Sheet'!$AZ4:$BS4,0)&gt;0,0,1)</f>
      </c>
      <c r="SQ4" t="str">
        <f>IF($CB$4="",FALSE,SUMPRODUCT(('Final Calculation Sheet'!$N$4:$N$40=$CB$4)*($SP$4:$SP$40=1))&gt;0)</f>
      </c>
      <c r="SR4" t="str">
        <f>--($SQ$4)</f>
      </c>
      <c r="SS4" t="str">
        <f>IF(ROW()-3&gt;MAX($SR$4:$SR$40),"",INDEX($CB$4:$CB$40,MATCH(ROW()-3,$SR$4:$SR$40,0)))</f>
      </c>
      <c r="ST4" t="str">
        <f>IF(COUNTIF('Final Calculation Sheet'!$AL4:$AY4,0)+COUNTIF('Final Calculation Sheet'!$BA4:$BS4,0)&gt;0,0,1)</f>
      </c>
      <c r="SU4" t="str">
        <f>IF($CG$4="",FALSE,SUMPRODUCT(('Final Calculation Sheet'!$O$4:$O$40=$CG$4)*($ST$4:$ST$40=1))&gt;0)</f>
      </c>
      <c r="SV4" t="str">
        <f>--($SU$4)</f>
      </c>
      <c r="SW4" t="str">
        <f>IF(ROW()-3&gt;MAX($SV$4:$SV$40),"",INDEX($CG$4:$CG$40,MATCH(ROW()-3,$SV$4:$SV$40,0)))</f>
      </c>
      <c r="SX4" t="str">
        <f>IF(COUNTIF('Final Calculation Sheet'!$AL4:$AZ4,0)+COUNTIF('Final Calculation Sheet'!$BB4:$BS4,0)&gt;0,0,1)</f>
      </c>
      <c r="SY4" t="str">
        <f>IF($CL$4="",FALSE,SUMPRODUCT(('Final Calculation Sheet'!$P$4:$P$40=$CL$4)*($SX$4:$SX$40=1))&gt;0)</f>
      </c>
      <c r="SZ4" t="str">
        <f>--($SY$4)</f>
      </c>
      <c r="TA4" t="str">
        <f>IF(ROW()-3&gt;MAX($SZ$4:$SZ$40),"",INDEX($CL$4:$CL$40,MATCH(ROW()-3,$SZ$4:$SZ$40,0)))</f>
      </c>
      <c r="TB4" t="str">
        <f>IF(COUNTIF('Final Calculation Sheet'!$AL4:$BA4,0)+COUNTIF('Final Calculation Sheet'!$BC4:$BS4,0)&gt;0,0,1)</f>
      </c>
      <c r="TC4" t="str">
        <f>IF($CQ$4="",FALSE,SUMPRODUCT(('Final Calculation Sheet'!$Q$4:$Q$40=$CQ$4)*($TB$4:$TB$40=1))&gt;0)</f>
      </c>
      <c r="TD4" t="str">
        <f>--($TC$4)</f>
      </c>
      <c r="TE4" t="str">
        <f>IF(ROW()-3&gt;MAX($TD$4:$TD$40),"",INDEX($CQ$4:$CQ$40,MATCH(ROW()-3,$TD$4:$TD$40,0)))</f>
      </c>
      <c r="TF4" t="str">
        <f>IF(COUNTIF('Final Calculation Sheet'!$AL4:$BB4,0)+COUNTIF('Final Calculation Sheet'!$BD4:$BS4,0)&gt;0,0,1)</f>
      </c>
      <c r="TG4" t="str">
        <f>IF($CV$4="",FALSE,SUMPRODUCT(('Final Calculation Sheet'!$R$4:$R$40=$CV$4)*($TF$4:$TF$40=1))&gt;0)</f>
      </c>
      <c r="TH4" t="str">
        <f>--($TG$4)</f>
      </c>
      <c r="TI4" t="str">
        <f>IF(ROW()-3&gt;MAX($TH$4:$TH$40),"",INDEX($CV$4:$CV$40,MATCH(ROW()-3,$TH$4:$TH$40,0)))</f>
      </c>
      <c r="TJ4" t="str">
        <f>IF(COUNTIF('Final Calculation Sheet'!$AL4:$BC4,0)+COUNTIF('Final Calculation Sheet'!$BE4:$BS4,0)&gt;0,0,1)</f>
      </c>
      <c r="TK4" t="str">
        <f>IF($DA$4="",FALSE,SUMPRODUCT(('Final Calculation Sheet'!$S$4:$S$40=$DA$4)*($TJ$4:$TJ$40=1))&gt;0)</f>
      </c>
      <c r="TL4" t="str">
        <f>--($TK$4)</f>
      </c>
      <c r="TM4" t="str">
        <f>IF(ROW()-3&gt;MAX($TL$4:$TL$40),"",INDEX($DA$4:$DA$40,MATCH(ROW()-3,$TL$4:$TL$40,0)))</f>
      </c>
      <c r="TN4" t="str">
        <f>IF(COUNTIF('Final Calculation Sheet'!$AL4:$BD4,0)+COUNTIF('Final Calculation Sheet'!$BF4:$BS4,0)&gt;0,0,1)</f>
      </c>
      <c r="TO4" t="str">
        <f>IF($DF$4="",FALSE,SUMPRODUCT(('Final Calculation Sheet'!$T$4:$T$40=$DF$4)*($TN$4:$TN$40=1))&gt;0)</f>
      </c>
      <c r="TP4" t="str">
        <f>--($TO$4)</f>
      </c>
      <c r="TQ4" t="str">
        <f>IF(ROW()-3&gt;MAX($TP$4:$TP$40),"",INDEX($DF$4:$DF$40,MATCH(ROW()-3,$TP$4:$TP$40,0)))</f>
      </c>
      <c r="TR4" t="str">
        <f>IF(COUNTIF('Final Calculation Sheet'!$AL4:$BE4,0)+COUNTIF('Final Calculation Sheet'!$BG4:$BS4,0)&gt;0,0,1)</f>
      </c>
      <c r="TS4" t="str">
        <f>IF($DK$4="",FALSE,SUMPRODUCT(('Final Calculation Sheet'!$U$4:$U$40=$DK$4)*($TR$4:$TR$40=1))&gt;0)</f>
      </c>
      <c r="TT4" t="str">
        <f>--($TS$4)</f>
      </c>
      <c r="TU4" t="str">
        <f>IF(ROW()-3&gt;MAX($TT$4:$TT$40),"",INDEX($DK$4:$DK$40,MATCH(ROW()-3,$TT$4:$TT$40,0)))</f>
      </c>
      <c r="TV4" t="str">
        <f>IF(COUNTIF('Final Calculation Sheet'!$AL4:$BF4,0)+COUNTIF('Final Calculation Sheet'!$BH4:$BS4,0)&gt;0,0,1)</f>
      </c>
      <c r="TW4" t="str">
        <f>IF($DP$4="",FALSE,SUMPRODUCT(('Final Calculation Sheet'!$V$4:$V$40=$DP$4)*($TV$4:$TV$40=1))&gt;0)</f>
      </c>
      <c r="TX4" t="str">
        <f>--($TW$4)</f>
      </c>
      <c r="TY4" t="str">
        <f>IF(ROW()-3&gt;MAX($TX$4:$TX$40),"",INDEX($DP$4:$DP$40,MATCH(ROW()-3,$TX$4:$TX$40,0)))</f>
      </c>
      <c r="TZ4" t="str">
        <f>IF(COUNTIF('Final Calculation Sheet'!$AL4:$BG4,0)+COUNTIF('Final Calculation Sheet'!$BI4:$BS4,0)&gt;0,0,1)</f>
      </c>
      <c r="UA4" t="str">
        <f>IF($DU$4="",FALSE,SUMPRODUCT(('Final Calculation Sheet'!$W$4:$W$40=$DU$4)*($TZ$4:$TZ$40=1))&gt;0)</f>
      </c>
      <c r="UB4" t="str">
        <f>--($UA$4)</f>
      </c>
      <c r="UC4" t="str">
        <f>IF(ROW()-3&gt;MAX($UB$4:$UB$40),"",INDEX($DU$4:$DU$40,MATCH(ROW()-3,$UB$4:$UB$40,0)))</f>
      </c>
      <c r="UD4" t="str">
        <f>IF(COUNTIF('Final Calculation Sheet'!$AL4:$BH4,0)+COUNTIF('Final Calculation Sheet'!$BJ4:$BS4,0)&gt;0,0,1)</f>
      </c>
      <c r="UE4" t="str">
        <f>IF($DZ$4="",FALSE,SUMPRODUCT(('Final Calculation Sheet'!$X$4:$X$40=$DZ$4)*($UD$4:$UD$40=1))&gt;0)</f>
      </c>
      <c r="UF4" t="str">
        <f>--($UE$4)</f>
      </c>
      <c r="UG4" t="str">
        <f>IF(ROW()-3&gt;MAX($UF$4:$UF$40),"",INDEX($DZ$4:$DZ$40,MATCH(ROW()-3,$UF$4:$UF$40,0)))</f>
      </c>
      <c r="UH4" t="str">
        <f>IF(COUNTIF('Final Calculation Sheet'!$AL4:$BI4,0)+COUNTIF('Final Calculation Sheet'!$BK4:$BS4,0)&gt;0,0,1)</f>
      </c>
      <c r="UI4" t="str">
        <f>IF($EE$4="",FALSE,SUMPRODUCT(('Final Calculation Sheet'!$Y$4:$Y$40=$EE$4)*($UH$4:$UH$40=1))&gt;0)</f>
      </c>
      <c r="UJ4" t="str">
        <f>--($UI$4)</f>
      </c>
      <c r="UK4" t="str">
        <f>IF(ROW()-3&gt;MAX($UJ$4:$UJ$40),"",INDEX($EE$4:$EE$40,MATCH(ROW()-3,$UJ$4:$UJ$40,0)))</f>
      </c>
      <c r="UL4" t="str">
        <f>IF(COUNTIF('Final Calculation Sheet'!$AL4:$BJ4,0)+COUNTIF('Final Calculation Sheet'!$BL4:$BS4,0)&gt;0,0,1)</f>
      </c>
      <c r="UM4" t="str">
        <f>IF($EJ$4="",FALSE,SUMPRODUCT(('Final Calculation Sheet'!$Z$4:$Z$40=$EJ$4)*($UL$4:$UL$40=1))&gt;0)</f>
      </c>
      <c r="UN4" t="str">
        <f>--($UM$4)</f>
      </c>
      <c r="UO4" t="str">
        <f>IF(ROW()-3&gt;MAX($UN$4:$UN$40),"",INDEX($EJ$4:$EJ$40,MATCH(ROW()-3,$UN$4:$UN$40,0)))</f>
      </c>
      <c r="UP4" t="str">
        <f>IF(COUNTIF('Final Calculation Sheet'!$AL4:$BK4,0)+COUNTIF('Final Calculation Sheet'!$BM4:$BS4,0)&gt;0,0,1)</f>
      </c>
      <c r="UQ4" t="str">
        <f>IF($EO$4="",FALSE,SUMPRODUCT(('Final Calculation Sheet'!$AA$4:$AA$40=$EO$4)*($UP$4:$UP$40=1))&gt;0)</f>
      </c>
      <c r="UR4" t="str">
        <f>--($UQ$4)</f>
      </c>
      <c r="US4" t="str">
        <f>IF(ROW()-3&gt;MAX($UR$4:$UR$40),"",INDEX($EO$4:$EO$40,MATCH(ROW()-3,$UR$4:$UR$40,0)))</f>
      </c>
      <c r="UT4" t="str">
        <f>IF(COUNTIF('Final Calculation Sheet'!$AL4:$BL4,0)+COUNTIF('Final Calculation Sheet'!$BN4:$BS4,0)&gt;0,0,1)</f>
      </c>
      <c r="UU4" t="str">
        <f>IF($ET$4="",FALSE,SUMPRODUCT(('Final Calculation Sheet'!$AB$4:$AB$40=$ET$4)*($UT$4:$UT$40=1))&gt;0)</f>
      </c>
      <c r="UV4" t="str">
        <f>--($UU$4)</f>
      </c>
      <c r="UW4" t="str">
        <f>IF(ROW()-3&gt;MAX($UV$4:$UV$40),"",INDEX($ET$4:$ET$40,MATCH(ROW()-3,$UV$4:$UV$40,0)))</f>
      </c>
      <c r="UX4" t="str">
        <f>IF(COUNTIF('Final Calculation Sheet'!$AL4:$BM4,0)+COUNTIF('Final Calculation Sheet'!$BO4:$BS4,0)&gt;0,0,1)</f>
      </c>
      <c r="UY4" t="str">
        <f>IF($EY$4="",FALSE,SUMPRODUCT(('Final Calculation Sheet'!$AC$4:$AC$40=$EY$4)*($UX$4:$UX$40=1))&gt;0)</f>
      </c>
      <c r="UZ4" t="str">
        <f>--($UY$4)</f>
      </c>
      <c r="VA4" t="str">
        <f>IF(ROW()-3&gt;MAX($UZ$4:$UZ$40),"",INDEX($EY$4:$EY$40,MATCH(ROW()-3,$UZ$4:$UZ$40,0)))</f>
      </c>
      <c r="VB4" t="str">
        <f>IF(COUNTIF('Final Calculation Sheet'!$AL4:$BN4,0)+COUNTIF('Final Calculation Sheet'!$BP4:$BS4,0)&gt;0,0,1)</f>
      </c>
      <c r="VC4" t="str">
        <f>IF($FD$4="",FALSE,SUMPRODUCT(('Final Calculation Sheet'!$AD$4:$AD$40=$FD$4)*($VB$4:$VB$40=1))&gt;0)</f>
      </c>
      <c r="VD4" t="str">
        <f>--($VC$4)</f>
      </c>
      <c r="VE4" t="str">
        <f>IF(ROW()-3&gt;MAX($VD$4:$VD$40),"",INDEX($FD$4:$FD$40,MATCH(ROW()-3,$VD$4:$VD$40,0)))</f>
      </c>
      <c r="VF4" t="str">
        <f>IF(COUNTIF('Final Calculation Sheet'!$AL4:$BO4,0)+COUNTIF('Final Calculation Sheet'!$BQ4:$BS4,0)&gt;0,0,1)</f>
      </c>
      <c r="VG4" t="str">
        <f>IF($FI$4="",FALSE,SUMPRODUCT(('Final Calculation Sheet'!$AE$4:$AE$40=$FI$4)*($VF$4:$VF$40=1))&gt;0)</f>
      </c>
      <c r="VH4" t="str">
        <f>--($VG$4)</f>
      </c>
      <c r="VI4" t="str">
        <f>IF(ROW()-3&gt;MAX($VH$4:$VH$40),"",INDEX($FI$4:$FI$40,MATCH(ROW()-3,$VH$4:$VH$40,0)))</f>
      </c>
      <c r="VJ4" t="str">
        <f>IF(COUNTIF('Final Calculation Sheet'!$AL4:$BP4,0)+COUNTIF('Final Calculation Sheet'!$BR4:$BS4,0)&gt;0,0,1)</f>
      </c>
      <c r="VK4" t="str">
        <f>IF($FN$4="",FALSE,SUMPRODUCT(('Final Calculation Sheet'!$AF$4:$AF$40=$FN$4)*($VJ$4:$VJ$40=1))&gt;0)</f>
      </c>
      <c r="VL4" t="str">
        <f>--($VK$4)</f>
      </c>
      <c r="VM4" t="str">
        <f>IF(ROW()-3&gt;MAX($VL$4:$VL$40),"",INDEX($FN$4:$FN$40,MATCH(ROW()-3,$VL$4:$VL$40,0)))</f>
      </c>
      <c r="VN4" t="str">
        <f>IF(COUNTIF('Final Calculation Sheet'!$AL4:$BQ4,0)+COUNTIF('Final Calculation Sheet'!$BS4:$BS4,0)&gt;0,0,1)</f>
      </c>
      <c r="VO4" t="str">
        <f>IF($FS$4="",FALSE,SUMPRODUCT(('Final Calculation Sheet'!$AG$4:$AG$40=$FS$4)*($VN$4:$VN$40=1))&gt;0)</f>
      </c>
      <c r="VP4" t="str">
        <f>--($VO$4)</f>
      </c>
      <c r="VQ4" t="str">
        <f>IF(ROW()-3&gt;MAX($VP$4:$VP$40),"",INDEX($FS$4:$FS$40,MATCH(ROW()-3,$VP$4:$VP$40,0)))</f>
      </c>
      <c r="VR4" t="str">
        <f>IF(COUNTIF('Final Calculation Sheet'!$AL4:$BR4,0)&gt;0,0,1)</f>
      </c>
      <c r="VS4" t="str">
        <f>IF($QO$4="",FALSE,SUMPRODUCT(('Final Calculation Sheet'!$AH$4:$AH$40=$QO$4)*($VR$4:$VR$40=1))&gt;0)</f>
      </c>
      <c r="VT4" t="str">
        <f>--($VS$4)</f>
      </c>
      <c r="VU4" t="str">
        <f>IF(ROW()-3&gt;MAX($VT$4:$VT$40),"",INDEX($QO$4:$QO$40,MATCH(ROW()-3,$VT$4:$VT$40,0)))</f>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D5">
        <f>IF($O$5="",FALSE,SUMPRODUCT(('Final Calculation Sheet'!$F$4:$F$40=$O$5)*($GC$6:$GC$42=1))&gt;0)</f>
        <v/>
      </c>
      <c r="GE5">
        <f>$GE$4+--($GD5)</f>
        <v/>
      </c>
      <c r="GF5">
        <f>IF(ROW()-3&gt;MAX($GE$4:$GE$40),"",INDEX($O$4:$O$40,MATCH(ROW()-3,$GE$4:$GE$40,0)))</f>
        <v/>
      </c>
      <c r="GH5">
        <f>IF($T$5="",FALSE,SUMPRODUCT(('Final Calculation Sheet'!$G$4:$G$40=$T$5)*($GG$6:$GG$42=1))&gt;0)</f>
        <v/>
      </c>
      <c r="GI5">
        <f>$GI$4+--($GH5)</f>
        <v/>
      </c>
      <c r="GJ5">
        <f>IF(ROW()-3&gt;MAX($GI$4:$GI$40),"",INDEX($T$4:$T$40,MATCH(ROW()-3,$GI$4:$GI$40,0)))</f>
        <v/>
      </c>
      <c r="GL5">
        <f>IF($AD$5="",FALSE,SUMPRODUCT(('Final Calculation Sheet'!$D$4:$D$40=$AD$5)*($GK$6:$GK$42=1))&gt;0)</f>
        <v/>
      </c>
      <c r="GM5">
        <f>$GM$4+--($GL5)</f>
        <v/>
      </c>
      <c r="GN5">
        <f>IF(ROW()-3&gt;MAX($GM$4:$GM$40),"",INDEX($AD$4:$AD$40,MATCH(ROW()-3,$GM$4:$GM$40,0)))</f>
        <v/>
      </c>
      <c r="GP5">
        <f>IF($AI$5="",FALSE,SUMPRODUCT(('Final Calculation Sheet'!$A$4:$A$40=$AI$5)*($GO$6:$GO$42=1))&gt;0)</f>
        <v/>
      </c>
      <c r="GQ5">
        <f>$GQ$4+--($GP5)</f>
        <v/>
      </c>
      <c r="GR5">
        <f>IF(ROW()-3&gt;MAX($GQ$4:$GQ$40),"",INDEX($AI$4:$AI$40,MATCH(ROW()-3,$GQ$4:$GQ$40,0)))</f>
        <v/>
      </c>
      <c r="GT5">
        <f>IF($AN$5="",FALSE,SUMPRODUCT(('Final Calculation Sheet'!$E$4:$E$40=$AN$5)*($GS$6:$GS$42=1))&gt;0)</f>
        <v/>
      </c>
      <c r="GU5">
        <f>$GU$4+--($GT5)</f>
        <v/>
      </c>
      <c r="GV5">
        <f>IF(ROW()-3&gt;MAX($GU$4:$GU$40),"",INDEX($AN$4:$AN$40,MATCH(ROW()-3,$GU$4:$GU$40,0)))</f>
        <v/>
      </c>
      <c r="GX5">
        <f>IF($AS$5="",FALSE,SUMPRODUCT(('Final Calculation Sheet'!$C$4:$C$40=$AS$5)*($GW$6:$GW$42=1))&gt;0)</f>
        <v/>
      </c>
      <c r="GY5">
        <f>$GY$4+--($GX5)</f>
        <v/>
      </c>
      <c r="GZ5">
        <f>IF(ROW()-3&gt;MAX($GY$4:$GY$40),"",INDEX($AS$4:$AS$40,MATCH(ROW()-3,$GY$4:$GY$40,0)))</f>
        <v/>
      </c>
      <c r="HB5">
        <f>IF($AX$5="",FALSE,SUMPRODUCT(('Final Calculation Sheet'!$H$4:$H$40=$AX$5)*($HA$6:$HA$42=1))&gt;0)</f>
        <v/>
      </c>
      <c r="HC5">
        <f>$HC$4+--($HB5)</f>
        <v/>
      </c>
      <c r="HD5">
        <f>IF(ROW()-3&gt;MAX($HC$4:$HC$40),"",INDEX($AX$4:$AX$40,MATCH(ROW()-3,$HC$4:$HC$40,0)))</f>
        <v/>
      </c>
      <c r="HF5">
        <f>IF($BC$5="",FALSE,SUMPRODUCT(('Final Calculation Sheet'!$I$4:$I$40=$BC$5)*($HE$6:$HE$42=1))&gt;0)</f>
        <v/>
      </c>
      <c r="HG5">
        <f>$HG$4+--($HF5)</f>
        <v/>
      </c>
      <c r="HH5">
        <f>IF(ROW()-3&gt;MAX($HG$4:$HG$40),"",INDEX($BC$4:$BC$40,MATCH(ROW()-3,$HG$4:$HG$40,0)))</f>
        <v/>
      </c>
      <c r="HJ5">
        <f>IF($BH$5="",FALSE,SUMPRODUCT(('Final Calculation Sheet'!$J$4:$J$40=$BH$5)*($HI$6:$HI$42=1))&gt;0)</f>
        <v/>
      </c>
      <c r="HK5">
        <f>$HK$4+--($HJ5)</f>
        <v/>
      </c>
      <c r="HL5">
        <f>IF(ROW()-3&gt;MAX($HK$4:$HK$40),"",INDEX($BH$4:$BH$40,MATCH(ROW()-3,$HK$4:$HK$40,0)))</f>
        <v/>
      </c>
      <c r="HN5">
        <f>IF($BM$5="",FALSE,SUMPRODUCT(('Final Calculation Sheet'!$K$4:$K$40=$BM$5)*($HM$6:$HM$42=1))&gt;0)</f>
        <v/>
      </c>
      <c r="HO5">
        <f>$HO$4+--($HN5)</f>
        <v/>
      </c>
      <c r="HP5">
        <f>IF(ROW()-3&gt;MAX($HO$4:$HO$40),"",INDEX($BM$4:$BM$40,MATCH(ROW()-3,$HO$4:$HO$40,0)))</f>
        <v/>
      </c>
      <c r="HR5">
        <f>IF($BR$5="",FALSE,SUMPRODUCT(('Final Calculation Sheet'!$L$4:$L$40=$BR$5)*($HQ$6:$HQ$42=1))&gt;0)</f>
        <v/>
      </c>
      <c r="HS5">
        <f>$HS$4+--($HR5)</f>
        <v/>
      </c>
      <c r="HT5">
        <f>IF(ROW()-3&gt;MAX($HS$4:$HS$40),"",INDEX($BR$4:$BR$40,MATCH(ROW()-3,$HS$4:$HS$40,0)))</f>
        <v/>
      </c>
      <c r="HV5">
        <f>IF($BW$5="",FALSE,SUMPRODUCT(('Final Calculation Sheet'!$M$4:$M$40=$BW$5)*($HU$6:$HU$42=1))&gt;0)</f>
        <v/>
      </c>
      <c r="HW5">
        <f>$HW$4+--($HV5)</f>
        <v/>
      </c>
      <c r="HX5">
        <f>IF(ROW()-3&gt;MAX($HW$4:$HW$40),"",INDEX($BW$4:$BW$40,MATCH(ROW()-3,$HW$4:$HW$40,0)))</f>
        <v/>
      </c>
      <c r="HZ5">
        <f>IF($CB$5="",FALSE,SUMPRODUCT(('Final Calculation Sheet'!$N$4:$N$40=$CB$5)*($HY$6:$HY$42=1))&gt;0)</f>
        <v/>
      </c>
      <c r="IA5">
        <f>$IA$4+--($HZ5)</f>
        <v/>
      </c>
      <c r="IB5">
        <f>IF(ROW()-3&gt;MAX($IA$4:$IA$40),"",INDEX($CB$4:$CB$40,MATCH(ROW()-3,$IA$4:$IA$40,0)))</f>
        <v/>
      </c>
      <c r="ID5">
        <f>IF($CG$5="",FALSE,SUMPRODUCT(('Final Calculation Sheet'!$O$4:$O$40=$CG$5)*($IC$6:$IC$42=1))&gt;0)</f>
        <v/>
      </c>
      <c r="IE5">
        <f>$IE$4+--($ID5)</f>
        <v/>
      </c>
      <c r="IF5">
        <f>IF(ROW()-3&gt;MAX($IE$4:$IE$40),"",INDEX($CG$4:$CG$40,MATCH(ROW()-3,$IE$4:$IE$40,0)))</f>
        <v/>
      </c>
      <c r="IH5">
        <f>IF($CL$5="",FALSE,SUMPRODUCT(('Final Calculation Sheet'!$P$4:$P$40=$CL$5)*($IG$6:$IG$42=1))&gt;0)</f>
        <v/>
      </c>
      <c r="II5">
        <f>$II$4+--($IH5)</f>
        <v/>
      </c>
      <c r="IJ5">
        <f>IF(ROW()-3&gt;MAX($II$4:$II$40),"",INDEX($CL$4:$CL$40,MATCH(ROW()-3,$II$4:$II$40,0)))</f>
        <v/>
      </c>
      <c r="IL5">
        <f>IF($CQ$5="",FALSE,SUMPRODUCT(('Final Calculation Sheet'!$Q$4:$Q$40=$CQ$5)*($IK$6:$IK$42=1))&gt;0)</f>
        <v/>
      </c>
      <c r="IM5">
        <f>$IM$4+--($IL5)</f>
        <v/>
      </c>
      <c r="IN5">
        <f>IF(ROW()-3&gt;MAX($IM$4:$IM$40),"",INDEX($CQ$4:$CQ$40,MATCH(ROW()-3,$IM$4:$IM$40,0)))</f>
        <v/>
      </c>
      <c r="IP5">
        <f>IF($CV$5="",FALSE,SUMPRODUCT(('Final Calculation Sheet'!$R$4:$R$40=$CV$5)*($IO$6:$IO$42=1))&gt;0)</f>
        <v/>
      </c>
      <c r="IQ5">
        <f>$IQ$4+--($IP5)</f>
        <v/>
      </c>
      <c r="IR5">
        <f>IF(ROW()-3&gt;MAX($IQ$4:$IQ$40),"",INDEX($CV$4:$CV$40,MATCH(ROW()-3,$IQ$4:$IQ$40,0)))</f>
        <v/>
      </c>
      <c r="IT5">
        <f>IF($DA$5="",FALSE,SUMPRODUCT(('Final Calculation Sheet'!$S$4:$S$40=$DA$5)*($IS$6:$IS$42=1))&gt;0)</f>
        <v/>
      </c>
      <c r="IU5">
        <f>$IU$4+--($IT5)</f>
        <v/>
      </c>
      <c r="IV5">
        <f>IF(ROW()-3&gt;MAX($IU$4:$IU$40),"",INDEX($DA$4:$DA$40,MATCH(ROW()-3,$IU$4:$IU$40,0)))</f>
        <v/>
      </c>
      <c r="IX5">
        <f>IF($DF$5="",FALSE,SUMPRODUCT(('Final Calculation Sheet'!$T$4:$T$40=$DF$5)*($IW$6:$IW$42=1))&gt;0)</f>
        <v/>
      </c>
      <c r="IY5">
        <f>$IY$4+--($IX5)</f>
        <v/>
      </c>
      <c r="IZ5">
        <f>IF(ROW()-3&gt;MAX($IY$4:$IY$40),"",INDEX($DF$4:$DF$40,MATCH(ROW()-3,$IY$4:$IY$40,0)))</f>
        <v/>
      </c>
      <c r="JB5">
        <f>IF($DK$5="",FALSE,SUMPRODUCT(('Final Calculation Sheet'!$U$4:$U$40=$DK$5)*($JA$6:$JA$42=1))&gt;0)</f>
        <v/>
      </c>
      <c r="JC5">
        <f>$JC$4+--($JB5)</f>
        <v/>
      </c>
      <c r="JD5">
        <f>IF(ROW()-3&gt;MAX($JC$4:$JC$40),"",INDEX($DK$4:$DK$40,MATCH(ROW()-3,$JC$4:$JC$40,0)))</f>
        <v/>
      </c>
      <c r="JF5">
        <f>IF($DP$5="",FALSE,SUMPRODUCT(('Final Calculation Sheet'!$V$4:$V$40=$DP$5)*($JE$6:$JE$42=1))&gt;0)</f>
        <v/>
      </c>
      <c r="JG5">
        <f>$JG$4+--($JF5)</f>
        <v/>
      </c>
      <c r="JH5">
        <f>IF(ROW()-3&gt;MAX($JG$4:$JG$40),"",INDEX($DP$4:$DP$40,MATCH(ROW()-3,$JG$4:$JG$40,0)))</f>
        <v/>
      </c>
      <c r="JJ5">
        <f>IF($DU$5="",FALSE,SUMPRODUCT(('Final Calculation Sheet'!$W$4:$W$40=$DU$5)*($JI$6:$JI$42=1))&gt;0)</f>
        <v/>
      </c>
      <c r="JK5">
        <f>$JK$4+--($JJ5)</f>
        <v/>
      </c>
      <c r="JL5">
        <f>IF(ROW()-3&gt;MAX($JK$4:$JK$40),"",INDEX($DU$4:$DU$40,MATCH(ROW()-3,$JK$4:$JK$40,0)))</f>
        <v/>
      </c>
      <c r="JN5">
        <f>IF($DZ$5="",FALSE,SUMPRODUCT(('Final Calculation Sheet'!$X$4:$X$40=$DZ$5)*($JM$6:$JM$42=1))&gt;0)</f>
        <v/>
      </c>
      <c r="JO5">
        <f>$JO$4+--($JN5)</f>
        <v/>
      </c>
      <c r="JP5">
        <f>IF(ROW()-3&gt;MAX($JO$4:$JO$40),"",INDEX($DZ$4:$DZ$40,MATCH(ROW()-3,$JO$4:$JO$40,0)))</f>
        <v/>
      </c>
      <c r="JR5">
        <f>IF($EE$5="",FALSE,SUMPRODUCT(('Final Calculation Sheet'!$Y$4:$Y$40=$EE$5)*($JQ$6:$JQ$42=1))&gt;0)</f>
        <v/>
      </c>
      <c r="JS5">
        <f>$JS$4+--($JR5)</f>
        <v/>
      </c>
      <c r="JT5">
        <f>IF(ROW()-3&gt;MAX($JS$4:$JS$40),"",INDEX($EE$4:$EE$40,MATCH(ROW()-3,$JS$4:$JS$40,0)))</f>
        <v/>
      </c>
      <c r="JV5">
        <f>IF($EJ$5="",FALSE,SUMPRODUCT(('Final Calculation Sheet'!$Z$4:$Z$40=$EJ$5)*($JU$6:$JU$42=1))&gt;0)</f>
        <v/>
      </c>
      <c r="JW5">
        <f>$JW$4+--($JV5)</f>
        <v/>
      </c>
      <c r="JX5">
        <f>IF(ROW()-3&gt;MAX($JW$4:$JW$40),"",INDEX($EJ$4:$EJ$40,MATCH(ROW()-3,$JW$4:$JW$40,0)))</f>
        <v/>
      </c>
      <c r="JZ5">
        <f>IF($EO$5="",FALSE,SUMPRODUCT(('Final Calculation Sheet'!$AA$4:$AA$40=$EO$5)*($JY$6:$JY$42=1))&gt;0)</f>
        <v/>
      </c>
      <c r="KA5">
        <f>$KA$4+--($JZ5)</f>
        <v/>
      </c>
      <c r="KB5">
        <f>IF(ROW()-3&gt;MAX($KA$4:$KA$40),"",INDEX($EO$4:$EO$40,MATCH(ROW()-3,$KA$4:$KA$40,0)))</f>
        <v/>
      </c>
      <c r="KD5">
        <f>IF($ET$5="",FALSE,SUMPRODUCT(('Final Calculation Sheet'!$AB$4:$AB$40=$ET$5)*($KC$6:$KC$42=1))&gt;0)</f>
        <v/>
      </c>
      <c r="KE5">
        <f>$KE$4+--($KD5)</f>
        <v/>
      </c>
      <c r="KF5">
        <f>IF(ROW()-3&gt;MAX($KE$4:$KE$40),"",INDEX($ET$4:$ET$40,MATCH(ROW()-3,$KE$4:$KE$40,0)))</f>
        <v/>
      </c>
      <c r="KH5">
        <f>IF($EY$5="",FALSE,SUMPRODUCT(('Final Calculation Sheet'!$AC$4:$AC$40=$EY$5)*($KG$6:$KG$42=1))&gt;0)</f>
        <v/>
      </c>
      <c r="KI5">
        <f>$KI$4+--($KH5)</f>
        <v/>
      </c>
      <c r="KJ5">
        <f>IF(ROW()-3&gt;MAX($KI$4:$KI$40),"",INDEX($EY$4:$EY$40,MATCH(ROW()-3,$KI$4:$KI$40,0)))</f>
        <v/>
      </c>
      <c r="KL5">
        <f>IF($FD$5="",FALSE,SUMPRODUCT(('Final Calculation Sheet'!$AD$4:$AD$40=$FD$5)*($KK$6:$KK$42=1))&gt;0)</f>
        <v/>
      </c>
      <c r="KM5">
        <f>$KM$4+--($KL5)</f>
        <v/>
      </c>
      <c r="KN5">
        <f>IF(ROW()-3&gt;MAX($KM$4:$KM$40),"",INDEX($FD$4:$FD$40,MATCH(ROW()-3,$KM$4:$KM$40,0)))</f>
        <v/>
      </c>
      <c r="KP5">
        <f>IF($FX$5="",FALSE,SUMPRODUCT((IF('Final Calculation Sheet'!$AD$4:$AD$40&lt;=5,"SETTLED","OUTSTANDING")=$FX$5)*($KO$6:$KO$42=1))&gt;0)</f>
        <v/>
      </c>
      <c r="KQ5">
        <f>$KQ$4+--($KP5)</f>
        <v/>
      </c>
      <c r="KR5">
        <f>IF(ROW()-3&gt;MAX($KQ$4:$KQ$40),"",INDEX($FX$4:$FX$40,MATCH(ROW()-3,$KQ$4:$KQ$40,0)))</f>
        <v/>
      </c>
      <c r="KT5">
        <f>IF($FI$5="",FALSE,SUMPRODUCT(('Final Calculation Sheet'!$AF$4:$AF$40=$FI$5)*($KS$6:$KS$42=1))&gt;0)</f>
        <v/>
      </c>
      <c r="KU5">
        <f>$KU$4+--($KT5)</f>
        <v/>
      </c>
      <c r="KV5">
        <f>IF(ROW()-3&gt;MAX($KU$4:$KU$40),"",INDEX($FI$4:$FI$40,MATCH(ROW()-3,$KU$4:$KU$40,0)))</f>
        <v/>
      </c>
      <c r="KX5">
        <f>IF($FN$5="",FALSE,SUMPRODUCT(('Final Calculation Sheet'!$AG$4:$AG$40=$FN$5)*($KW$6:$KW$42=1))&gt;0)</f>
        <v/>
      </c>
      <c r="KY5">
        <f>$KY$4+--($KX5)</f>
        <v/>
      </c>
      <c r="KZ5">
        <f>IF(ROW()-3&gt;MAX($KY$4:$KY$40),"",INDEX($FN$4:$FN$40,MATCH(ROW()-3,$KY$4:$KY$40,0)))</f>
        <v/>
      </c>
      <c r="LB5">
        <f>IF($FS$5="",FALSE,SUMPRODUCT(('Final Calculation Sheet'!$AH$4:$AH$40=$FS$5)*($LA$6:$LA$42=1))&gt;0)</f>
        <v/>
      </c>
      <c r="LC5">
        <f>$LC$4+--($LB5)</f>
        <v/>
      </c>
      <c r="LD5">
        <f>IF(ROW()-3&gt;MAX($LC$4:$LC$40),"",INDEX($FS$4:$FS$40,MATCH(ROW()-3,$LC$4:$LC$40,0)))</f>
        <v/>
      </c>
      <c r="LF5">
        <f>IF($O$5="",FALSE,SUMPRODUCT(('Final Calculation Sheet'!$F$4:$F$40=$O$5)*($LE$6:$LE$42=1))&gt;0)</f>
        <v/>
      </c>
      <c r="LG5">
        <f>$LG$4+--($LF5)</f>
        <v/>
      </c>
      <c r="LH5">
        <f>IF(ROW()-3&gt;MAX($LG$4:$LG$40),"",INDEX($O$4:$O$40,MATCH(ROW()-3,$LG$4:$LG$40,0)))</f>
        <v/>
      </c>
      <c r="LJ5">
        <f>IF($T$5="",FALSE,SUMPRODUCT(('Final Calculation Sheet'!$G$4:$G$40=$T$5)*($LI$6:$LI$42=1))&gt;0)</f>
        <v/>
      </c>
      <c r="LK5">
        <f>$LK$4+--($LJ5)</f>
        <v/>
      </c>
      <c r="LL5">
        <f>IF(ROW()-3&gt;MAX($LK$4:$LK$40),"",INDEX($T$4:$T$40,MATCH(ROW()-3,$LK$4:$LK$40,0)))</f>
        <v/>
      </c>
      <c r="LN5">
        <f>IF($Y$5="",FALSE,SUMPRODUCT(('Final Calculation Sheet'!$B$4:$B$40=$Y$5)*($LM$6:$LM$42=1))&gt;0)</f>
        <v/>
      </c>
      <c r="LO5">
        <f>$LO$4+--($LN5)</f>
        <v/>
      </c>
      <c r="LP5">
        <f>IF(ROW()-3&gt;MAX($LO$4:$LO$40),"",INDEX($Y$4:$Y$40,MATCH(ROW()-3,$LO$4:$LO$40,0)))</f>
        <v/>
      </c>
      <c r="LR5">
        <f>IF($AD$5="",FALSE,SUMPRODUCT(('Final Calculation Sheet'!$D$4:$D$40=$AD$5)*($LQ$6:$LQ$42=1))&gt;0)</f>
        <v/>
      </c>
      <c r="LS5">
        <f>$LS$4+--($LR5)</f>
        <v/>
      </c>
      <c r="LT5">
        <f>IF(ROW()-3&gt;MAX($LS$4:$LS$40),"",INDEX($AD$4:$AD$40,MATCH(ROW()-3,$LS$4:$LS$40,0)))</f>
        <v/>
      </c>
      <c r="LV5">
        <f>IF($AI$5="",FALSE,SUMPRODUCT(('Final Calculation Sheet'!$A$4:$A$40=$AI$5)*($LU$6:$LU$42=1))&gt;0)</f>
        <v/>
      </c>
      <c r="LW5">
        <f>$LW$4+--($LV5)</f>
        <v/>
      </c>
      <c r="LX5">
        <f>IF(ROW()-3&gt;MAX($LW$4:$LW$40),"",INDEX($AI$4:$AI$40,MATCH(ROW()-3,$LW$4:$LW$40,0)))</f>
        <v/>
      </c>
      <c r="LZ5">
        <f>IF($AN$5="",FALSE,SUMPRODUCT(('Final Calculation Sheet'!$E$4:$E$40=$AN$5)*($LY$6:$LY$42=1))&gt;0)</f>
        <v/>
      </c>
      <c r="MA5">
        <f>$MA$4+--($LZ5)</f>
        <v/>
      </c>
      <c r="MB5">
        <f>IF(ROW()-3&gt;MAX($MA$4:$MA$40),"",INDEX($AN$4:$AN$40,MATCH(ROW()-3,$MA$4:$MA$40,0)))</f>
        <v/>
      </c>
      <c r="MD5">
        <f>IF($AS$5="",FALSE,SUMPRODUCT(('Final Calculation Sheet'!$C$4:$C$40=$AS$5)*($MC$6:$MC$42=1))&gt;0)</f>
        <v/>
      </c>
      <c r="ME5">
        <f>$ME$4+--($MD5)</f>
        <v/>
      </c>
      <c r="MF5">
        <f>IF(ROW()-3&gt;MAX($ME$4:$ME$40),"",INDEX($AS$4:$AS$40,MATCH(ROW()-3,$ME$4:$ME$40,0)))</f>
        <v/>
      </c>
      <c r="MH5">
        <f>IF($AX$5="",FALSE,SUMPRODUCT(('Final Calculation Sheet'!$H$4:$H$40=$AX$5)*($MG$6:$MG$42=1))&gt;0)</f>
        <v/>
      </c>
      <c r="MI5">
        <f>$MI$4+--($MH5)</f>
        <v/>
      </c>
      <c r="MJ5">
        <f>IF(ROW()-3&gt;MAX($MI$4:$MI$40),"",INDEX($AX$4:$AX$40,MATCH(ROW()-3,$MI$4:$MI$40,0)))</f>
        <v/>
      </c>
      <c r="ML5">
        <f>IF($BC$5="",FALSE,SUMPRODUCT(('Final Calculation Sheet'!$I$4:$I$40=$BC$5)*($MK$6:$MK$42=1))&gt;0)</f>
        <v/>
      </c>
      <c r="MM5">
        <f>$MM$4+--($ML5)</f>
        <v/>
      </c>
      <c r="MN5">
        <f>IF(ROW()-3&gt;MAX($MM$4:$MM$40),"",INDEX($BC$4:$BC$40,MATCH(ROW()-3,$MM$4:$MM$40,0)))</f>
        <v/>
      </c>
      <c r="MP5">
        <f>IF($BH$5="",FALSE,SUMPRODUCT(('Final Calculation Sheet'!$J$4:$J$40=$BH$5)*($MO$6:$MO$42=1))&gt;0)</f>
        <v/>
      </c>
      <c r="MQ5">
        <f>$MQ$4+--($MP5)</f>
        <v/>
      </c>
      <c r="MR5">
        <f>IF(ROW()-3&gt;MAX($MQ$4:$MQ$40),"",INDEX($BH$4:$BH$40,MATCH(ROW()-3,$MQ$4:$MQ$40,0)))</f>
        <v/>
      </c>
      <c r="MT5">
        <f>IF($BM$5="",FALSE,SUMPRODUCT(('Final Calculation Sheet'!$K$4:$K$40=$BM$5)*($MS$6:$MS$42=1))&gt;0)</f>
        <v/>
      </c>
      <c r="MU5">
        <f>$MU$4+--($MT5)</f>
        <v/>
      </c>
      <c r="MV5">
        <f>IF(ROW()-3&gt;MAX($MU$4:$MU$40),"",INDEX($BM$4:$BM$40,MATCH(ROW()-3,$MU$4:$MU$40,0)))</f>
        <v/>
      </c>
      <c r="MX5">
        <f>IF($BR$5="",FALSE,SUMPRODUCT(('Final Calculation Sheet'!$L$4:$L$40=$BR$5)*($MW$6:$MW$42=1))&gt;0)</f>
        <v/>
      </c>
      <c r="MY5">
        <f>$MY$4+--($MX5)</f>
        <v/>
      </c>
      <c r="MZ5">
        <f>IF(ROW()-3&gt;MAX($MY$4:$MY$40),"",INDEX($BR$4:$BR$40,MATCH(ROW()-3,$MY$4:$MY$40,0)))</f>
        <v/>
      </c>
      <c r="NB5">
        <f>IF($BW$5="",FALSE,SUMPRODUCT(('Final Calculation Sheet'!$M$4:$M$40=$BW$5)*($NA$6:$NA$42=1))&gt;0)</f>
        <v/>
      </c>
      <c r="NC5">
        <f>$NC$4+--($NB5)</f>
        <v/>
      </c>
      <c r="ND5">
        <f>IF(ROW()-3&gt;MAX($NC$4:$NC$40),"",INDEX($BW$4:$BW$40,MATCH(ROW()-3,$NC$4:$NC$40,0)))</f>
        <v/>
      </c>
      <c r="NF5">
        <f>IF($CB$5="",FALSE,SUMPRODUCT(('Final Calculation Sheet'!$N$4:$N$40=$CB$5)*($NE$6:$NE$42=1))&gt;0)</f>
        <v/>
      </c>
      <c r="NG5">
        <f>$NG$4+--($NF5)</f>
        <v/>
      </c>
      <c r="NH5">
        <f>IF(ROW()-3&gt;MAX($NG$4:$NG$40),"",INDEX($CB$4:$CB$40,MATCH(ROW()-3,$NG$4:$NG$40,0)))</f>
        <v/>
      </c>
      <c r="NJ5">
        <f>IF($CG$5="",FALSE,SUMPRODUCT(('Final Calculation Sheet'!$O$4:$O$40=$CG$5)*($NI$6:$NI$42=1))&gt;0)</f>
        <v/>
      </c>
      <c r="NK5">
        <f>$NK$4+--($NJ5)</f>
        <v/>
      </c>
      <c r="NL5">
        <f>IF(ROW()-3&gt;MAX($NK$4:$NK$40),"",INDEX($CG$4:$CG$40,MATCH(ROW()-3,$NK$4:$NK$40,0)))</f>
        <v/>
      </c>
      <c r="NN5">
        <f>IF($CL$5="",FALSE,SUMPRODUCT(('Final Calculation Sheet'!$P$4:$P$40=$CL$5)*($NM$6:$NM$42=1))&gt;0)</f>
        <v/>
      </c>
      <c r="NO5">
        <f>$NO$4+--($NN5)</f>
        <v/>
      </c>
      <c r="NP5">
        <f>IF(ROW()-3&gt;MAX($NO$4:$NO$40),"",INDEX($CL$4:$CL$40,MATCH(ROW()-3,$NO$4:$NO$40,0)))</f>
        <v/>
      </c>
      <c r="NR5">
        <f>IF($CQ$5="",FALSE,SUMPRODUCT(('Final Calculation Sheet'!$Q$4:$Q$40=$CQ$5)*($NQ$6:$NQ$42=1))&gt;0)</f>
        <v/>
      </c>
      <c r="NS5">
        <f>$NS$4+--($NR5)</f>
        <v/>
      </c>
      <c r="NT5">
        <f>IF(ROW()-3&gt;MAX($NS$4:$NS$40),"",INDEX($CQ$4:$CQ$40,MATCH(ROW()-3,$NS$4:$NS$40,0)))</f>
        <v/>
      </c>
      <c r="NV5">
        <f>IF($CV$5="",FALSE,SUMPRODUCT(('Final Calculation Sheet'!$R$4:$R$40=$CV$5)*($NU$6:$NU$42=1))&gt;0)</f>
        <v/>
      </c>
      <c r="NW5">
        <f>$NW$4+--($NV5)</f>
        <v/>
      </c>
      <c r="NX5">
        <f>IF(ROW()-3&gt;MAX($NW$4:$NW$40),"",INDEX($CV$4:$CV$40,MATCH(ROW()-3,$NW$4:$NW$40,0)))</f>
        <v/>
      </c>
      <c r="NZ5">
        <f>IF($DA$5="",FALSE,SUMPRODUCT(('Final Calculation Sheet'!$S$4:$S$40=$DA$5)*($NY$6:$NY$42=1))&gt;0)</f>
        <v/>
      </c>
      <c r="OA5">
        <f>$OA$4+--($NZ5)</f>
        <v/>
      </c>
      <c r="OB5">
        <f>IF(ROW()-3&gt;MAX($OA$4:$OA$40),"",INDEX($DA$4:$DA$40,MATCH(ROW()-3,$OA$4:$OA$40,0)))</f>
        <v/>
      </c>
      <c r="OD5">
        <f>IF($DF$5="",FALSE,SUMPRODUCT(('Final Calculation Sheet'!$T$4:$T$40=$DF$5)*($OC$6:$OC$42=1))&gt;0)</f>
        <v/>
      </c>
      <c r="OE5">
        <f>$OE$4+--($OD5)</f>
        <v/>
      </c>
      <c r="OF5">
        <f>IF(ROW()-3&gt;MAX($OE$4:$OE$40),"",INDEX($DF$4:$DF$40,MATCH(ROW()-3,$OE$4:$OE$40,0)))</f>
        <v/>
      </c>
      <c r="OH5">
        <f>IF($DK$5="",FALSE,SUMPRODUCT(('Final Calculation Sheet'!$U$4:$U$40=$DK$5)*($OG$6:$OG$42=1))&gt;0)</f>
        <v/>
      </c>
      <c r="OI5">
        <f>$OI$4+--($OH5)</f>
        <v/>
      </c>
      <c r="OJ5">
        <f>IF(ROW()-3&gt;MAX($OI$4:$OI$40),"",INDEX($DK$4:$DK$40,MATCH(ROW()-3,$OI$4:$OI$40,0)))</f>
        <v/>
      </c>
      <c r="OL5">
        <f>IF($DP$5="",FALSE,SUMPRODUCT(('Final Calculation Sheet'!$V$4:$V$40=$DP$5)*($OK$6:$OK$42=1))&gt;0)</f>
        <v/>
      </c>
      <c r="OM5">
        <f>$OM$4+--($OL5)</f>
        <v/>
      </c>
      <c r="ON5">
        <f>IF(ROW()-3&gt;MAX($OM$4:$OM$40),"",INDEX($DP$4:$DP$40,MATCH(ROW()-3,$OM$4:$OM$40,0)))</f>
        <v/>
      </c>
      <c r="OP5">
        <f>IF($DU$5="",FALSE,SUMPRODUCT(('Final Calculation Sheet'!$W$4:$W$40=$DU$5)*($OO$6:$OO$42=1))&gt;0)</f>
        <v/>
      </c>
      <c r="OQ5">
        <f>$OQ$4+--($OP5)</f>
        <v/>
      </c>
      <c r="OR5">
        <f>IF(ROW()-3&gt;MAX($OQ$4:$OQ$40),"",INDEX($DU$4:$DU$40,MATCH(ROW()-3,$OQ$4:$OQ$40,0)))</f>
        <v/>
      </c>
      <c r="OT5">
        <f>IF($DZ$5="",FALSE,SUMPRODUCT(('Final Calculation Sheet'!$X$4:$X$40=$DZ$5)*($OS$6:$OS$42=1))&gt;0)</f>
        <v/>
      </c>
      <c r="OU5">
        <f>$OU$4+--($OT5)</f>
        <v/>
      </c>
      <c r="OV5">
        <f>IF(ROW()-3&gt;MAX($OU$4:$OU$40),"",INDEX($DZ$4:$DZ$40,MATCH(ROW()-3,$OU$4:$OU$40,0)))</f>
        <v/>
      </c>
      <c r="OX5">
        <f>IF($EE$5="",FALSE,SUMPRODUCT(('Final Calculation Sheet'!$Y$4:$Y$40=$EE$5)*($OW$6:$OW$42=1))&gt;0)</f>
        <v/>
      </c>
      <c r="OY5">
        <f>$OY$4+--($OX5)</f>
        <v/>
      </c>
      <c r="OZ5">
        <f>IF(ROW()-3&gt;MAX($OY$4:$OY$40),"",INDEX($EE$4:$EE$40,MATCH(ROW()-3,$OY$4:$OY$40,0)))</f>
        <v/>
      </c>
      <c r="PB5">
        <f>IF($EJ$5="",FALSE,SUMPRODUCT(('Final Calculation Sheet'!$Z$4:$Z$40=$EJ$5)*($PA$6:$PA$42=1))&gt;0)</f>
        <v/>
      </c>
      <c r="PC5">
        <f>$PC$4+--($PB5)</f>
        <v/>
      </c>
      <c r="PD5">
        <f>IF(ROW()-3&gt;MAX($PC$4:$PC$40),"",INDEX($EJ$4:$EJ$40,MATCH(ROW()-3,$PC$4:$PC$40,0)))</f>
        <v/>
      </c>
      <c r="PF5">
        <f>IF($EO$5="",FALSE,SUMPRODUCT(('Final Calculation Sheet'!$AA$4:$AA$40=$EO$5)*($PE$6:$PE$42=1))&gt;0)</f>
        <v/>
      </c>
      <c r="PG5">
        <f>$PG$4+--($PF5)</f>
        <v/>
      </c>
      <c r="PH5">
        <f>IF(ROW()-3&gt;MAX($PG$4:$PG$40),"",INDEX($EO$4:$EO$40,MATCH(ROW()-3,$PG$4:$PG$40,0)))</f>
        <v/>
      </c>
      <c r="PJ5">
        <f>IF($ET$5="",FALSE,SUMPRODUCT(('Final Calculation Sheet'!$AB$4:$AB$40=$ET$5)*($PI$6:$PI$42=1))&gt;0)</f>
        <v/>
      </c>
      <c r="PK5">
        <f>$PK$4+--($PJ5)</f>
        <v/>
      </c>
      <c r="PL5">
        <f>IF(ROW()-3&gt;MAX($PK$4:$PK$40),"",INDEX($ET$4:$ET$40,MATCH(ROW()-3,$PK$4:$PK$40,0)))</f>
        <v/>
      </c>
      <c r="PN5">
        <f>IF($EY$5="",FALSE,SUMPRODUCT(('Final Calculation Sheet'!$AC$4:$AC$40=$EY$5)*($PM$6:$PM$42=1))&gt;0)</f>
        <v/>
      </c>
      <c r="PO5">
        <f>$PO$4+--($PN5)</f>
        <v/>
      </c>
      <c r="PP5">
        <f>IF(ROW()-3&gt;MAX($PO$4:$PO$40),"",INDEX($EY$4:$EY$40,MATCH(ROW()-3,$PO$4:$PO$40,0)))</f>
        <v/>
      </c>
      <c r="PR5">
        <f>IF($FD$5="",FALSE,SUMPRODUCT(('Final Calculation Sheet'!$AD$4:$AD$40=$FD$5)*($PQ$6:$PQ$42=1))&gt;0)</f>
        <v/>
      </c>
      <c r="PS5">
        <f>$PS$4+--($PR5)</f>
        <v/>
      </c>
      <c r="PT5">
        <f>IF(ROW()-3&gt;MAX($PS$4:$PS$40),"",INDEX($FD$4:$FD$40,MATCH(ROW()-3,$PS$4:$PS$40,0)))</f>
        <v/>
      </c>
      <c r="PV5">
        <f>IF($FX$5="",FALSE,SUMPRODUCT((IF('Final Calculation Sheet'!$AD$4:$AD$40&lt;=5,"SETTLED","OUTSTANDING")=$FX$5)*($PU$6:$PU$42=1))&gt;0)</f>
        <v/>
      </c>
      <c r="PW5">
        <f>$PW$4+--($PV5)</f>
        <v/>
      </c>
      <c r="PX5">
        <f>IF(ROW()-3&gt;MAX($PW$4:$PW$40),"",INDEX($FX$4:$FX$40,MATCH(ROW()-3,$PW$4:$PW$40,0)))</f>
        <v/>
      </c>
      <c r="PZ5">
        <f>IF($FI$5="",FALSE,SUMPRODUCT(('Final Calculation Sheet'!$AF$4:$AF$40=$FI$5)*($PY$6:$PY$42=1))&gt;0)</f>
        <v/>
      </c>
      <c r="QA5">
        <f>$QA$4+--($PZ5)</f>
        <v/>
      </c>
      <c r="QB5">
        <f>IF(ROW()-3&gt;MAX($QA$4:$QA$40),"",INDEX($FI$4:$FI$40,MATCH(ROW()-3,$QA$4:$QA$40,0)))</f>
        <v/>
      </c>
      <c r="QD5">
        <f>IF($FN$5="",FALSE,SUMPRODUCT(('Final Calculation Sheet'!$AG$4:$AG$40=$FN$5)*($QC$6:$QC$42=1))&gt;0)</f>
        <v/>
      </c>
      <c r="QE5">
        <f>$QE$4+--($QD5)</f>
        <v/>
      </c>
      <c r="QF5">
        <f>IF(ROW()-3&gt;MAX($QE$4:$QE$40),"",INDEX($FN$4:$FN$40,MATCH(ROW()-3,$QE$4:$QE$40,0)))</f>
        <v/>
      </c>
      <c r="QH5">
        <f>IF($FS$5="",FALSE,SUMPRODUCT(('Final Calculation Sheet'!$AH$4:$AH$40=$FS$5)*($QG$6:$QG$42=1))&gt;0)</f>
        <v/>
      </c>
      <c r="QI5">
        <f>$QI$4+--($QH5)</f>
        <v/>
      </c>
      <c r="QJ5">
        <f>IF(ROW()-3&gt;MAX($QI$4:$QI$40),"",INDEX($FS$4:$FS$40,MATCH(ROW()-3,$QI$4:$QI$40,0)))</f>
        <v/>
      </c>
      <c r="QK5" t="str">
        <f>IF('Final Calculation Sheet'!$AH$5="","",'Final Calculation Sheet'!$AH$5)</f>
      </c>
      <c r="QL5" t="str">
        <f>IF(QK5="","",COUNTIFS(QK$4:QK$40,"&lt;"&amp;QK5,QK$4:QK$40,"&lt;&gt;"&amp;"")+COUNTIF(QK$4:QK5,QK5))</f>
      </c>
      <c r="QM5" t="str">
        <f>IF(ROW()-3&gt;COUNTIF(QK$4:QK$40,"&lt;&gt;"&amp;""),"",INDEX(QK$4:QK$40,MATCH(ROW()-3,QL$4:QL$40,0)))</f>
      </c>
      <c r="QN5" t="str">
        <f>=QN4+F(AND(QM5&lt;&gt;"",COUNTIF(QM$4:QM5,QM5)=1),1,0)</f>
      </c>
      <c r="QO5" t="str">
        <f>IF(ROW()-3&gt;MAX(QN$4:QN$40),"",INDEX(QM$4:QM$40,MATCH(ROW()-3,QN$4:QN$40,0)))</f>
      </c>
      <c r="QP5" t="str">
        <f>IF(COUNTIF('Final Calculation Sheet'!$AM5:$BS5,0)&gt;0,0,1)</f>
      </c>
      <c r="QQ5" t="str">
        <f>IF($AI$5="",FALSE,SUMPRODUCT(('Final Calculation Sheet'!$A$4:$A$40=$AI$5)*($QP$4:$QP$40=1))&gt;0)</f>
      </c>
      <c r="QR5" t="str">
        <f>=$QR4+--($QQ5)</f>
      </c>
      <c r="QS5" t="str">
        <f>IF(ROW()-3&gt;MAX($QR$4:$QR$40),"",INDEX($AI$4:$AI$40,MATCH(ROW()-3,$QR$4:$QR$40,0)))</f>
      </c>
      <c r="QT5" t="str">
        <f>IF(COUNTIF('Final Calculation Sheet'!$AL5:$AL5,0)+COUNTIF('Final Calculation Sheet'!$AN5:$BS5,0)&gt;0,0,1)</f>
      </c>
      <c r="QU5" t="str">
        <f>IF($Y$5="",FALSE,SUMPRODUCT(('Final Calculation Sheet'!$B$4:$B$40=$Y$5)*($QT$4:$QT$40=1))&gt;0)</f>
      </c>
      <c r="QV5" t="str">
        <f>=$QV4+--($QU5)</f>
      </c>
      <c r="QW5" t="str">
        <f>IF(ROW()-3&gt;MAX($QV$4:$QV$40),"",INDEX($Y$4:$Y$40,MATCH(ROW()-3,$QV$4:$QV$40,0)))</f>
      </c>
      <c r="QX5" t="str">
        <f>IF(COUNTIF('Final Calculation Sheet'!$AL5:$AM5,0)+COUNTIF('Final Calculation Sheet'!$AO5:$BS5,0)&gt;0,0,1)</f>
      </c>
      <c r="QY5" t="str">
        <f>IF($AS$5="",FALSE,SUMPRODUCT(('Final Calculation Sheet'!$C$4:$C$40=$AS$5)*($QX$4:$QX$40=1))&gt;0)</f>
      </c>
      <c r="QZ5" t="str">
        <f>=$QZ4+--($QY5)</f>
      </c>
      <c r="RA5" t="str">
        <f>IF(ROW()-3&gt;MAX($QZ$4:$QZ$40),"",INDEX($AS$4:$AS$40,MATCH(ROW()-3,$QZ$4:$QZ$40,0)))</f>
      </c>
      <c r="RB5" t="str">
        <f>IF(COUNTIF('Final Calculation Sheet'!$AL5:$AN5,0)+COUNTIF('Final Calculation Sheet'!$AP5:$BS5,0)&gt;0,0,1)</f>
      </c>
      <c r="RC5" t="str">
        <f>IF($AD$5="",FALSE,SUMPRODUCT(('Final Calculation Sheet'!$D$4:$D$40=$AD$5)*($RB$4:$RB$40=1))&gt;0)</f>
      </c>
      <c r="RD5" t="str">
        <f>=$RD4+--($RC5)</f>
      </c>
      <c r="RE5" t="str">
        <f>IF(ROW()-3&gt;MAX($RD$4:$RD$40),"",INDEX($AD$4:$AD$40,MATCH(ROW()-3,$RD$4:$RD$40,0)))</f>
      </c>
      <c r="RF5" t="str">
        <f>IF(COUNTIF('Final Calculation Sheet'!$AL5:$AO5,0)+COUNTIF('Final Calculation Sheet'!$AQ5:$BS5,0)&gt;0,0,1)</f>
      </c>
      <c r="RG5" t="str">
        <f>IF($AN$5="",FALSE,SUMPRODUCT(('Final Calculation Sheet'!$E$4:$E$40=$AN$5)*($RF$4:$RF$40=1))&gt;0)</f>
      </c>
      <c r="RH5" t="str">
        <f>=$RH4+--($RG5)</f>
      </c>
      <c r="RI5" t="str">
        <f>IF(ROW()-3&gt;MAX($RH$4:$RH$40),"",INDEX($AN$4:$AN$40,MATCH(ROW()-3,$RH$4:$RH$40,0)))</f>
      </c>
      <c r="RJ5" t="str">
        <f>IF(COUNTIF('Final Calculation Sheet'!$AL5:$AP5,0)+COUNTIF('Final Calculation Sheet'!$AR5:$BS5,0)&gt;0,0,1)</f>
      </c>
      <c r="RK5" t="str">
        <f>IF($O$5="",FALSE,SUMPRODUCT(('Final Calculation Sheet'!$F$4:$F$40=$O$5)*($RJ$4:$RJ$40=1))&gt;0)</f>
      </c>
      <c r="RL5" t="str">
        <f>=$RL4+--($RK5)</f>
      </c>
      <c r="RM5" t="str">
        <f>IF(ROW()-3&gt;MAX($RL$4:$RL$40),"",INDEX($O$4:$O$40,MATCH(ROW()-3,$RL$4:$RL$40,0)))</f>
      </c>
      <c r="RN5" t="str">
        <f>IF(COUNTIF('Final Calculation Sheet'!$AL5:$AQ5,0)+COUNTIF('Final Calculation Sheet'!$AS5:$BS5,0)&gt;0,0,1)</f>
      </c>
      <c r="RO5" t="str">
        <f>IF($T$5="",FALSE,SUMPRODUCT(('Final Calculation Sheet'!$G$4:$G$40=$T$5)*($RN$4:$RN$40=1))&gt;0)</f>
      </c>
      <c r="RP5" t="str">
        <f>=$RP4+--($RO5)</f>
      </c>
      <c r="RQ5" t="str">
        <f>IF(ROW()-3&gt;MAX($RP$4:$RP$40),"",INDEX($T$4:$T$40,MATCH(ROW()-3,$RP$4:$RP$40,0)))</f>
      </c>
      <c r="RR5" t="str">
        <f>IF(COUNTIF('Final Calculation Sheet'!$AL5:$AR5,0)+COUNTIF('Final Calculation Sheet'!$AT5:$BS5,0)&gt;0,0,1)</f>
      </c>
      <c r="RS5" t="str">
        <f>IF($AX$5="",FALSE,SUMPRODUCT(('Final Calculation Sheet'!$H$4:$H$40=$AX$5)*($RR$4:$RR$40=1))&gt;0)</f>
      </c>
      <c r="RT5" t="str">
        <f>=$RT4+--($RS5)</f>
      </c>
      <c r="RU5" t="str">
        <f>IF(ROW()-3&gt;MAX($RT$4:$RT$40),"",INDEX($AX$4:$AX$40,MATCH(ROW()-3,$RT$4:$RT$40,0)))</f>
      </c>
      <c r="RV5" t="str">
        <f>IF(COUNTIF('Final Calculation Sheet'!$AL5:$AS5,0)+COUNTIF('Final Calculation Sheet'!$AU5:$BS5,0)&gt;0,0,1)</f>
      </c>
      <c r="RW5" t="str">
        <f>IF($BC$5="",FALSE,SUMPRODUCT(('Final Calculation Sheet'!$I$4:$I$40=$BC$5)*($RV$4:$RV$40=1))&gt;0)</f>
      </c>
      <c r="RX5" t="str">
        <f>=$RX4+--($RW5)</f>
      </c>
      <c r="RY5" t="str">
        <f>IF(ROW()-3&gt;MAX($RX$4:$RX$40),"",INDEX($BC$4:$BC$40,MATCH(ROW()-3,$RX$4:$RX$40,0)))</f>
      </c>
      <c r="RZ5" t="str">
        <f>IF(COUNTIF('Final Calculation Sheet'!$AL5:$AT5,0)+COUNTIF('Final Calculation Sheet'!$AV5:$BS5,0)&gt;0,0,1)</f>
      </c>
      <c r="SA5" t="str">
        <f>IF($BH$5="",FALSE,SUMPRODUCT(('Final Calculation Sheet'!$J$4:$J$40=$BH$5)*($RZ$4:$RZ$40=1))&gt;0)</f>
      </c>
      <c r="SB5" t="str">
        <f>=$SB4+--($SA5)</f>
      </c>
      <c r="SC5" t="str">
        <f>IF(ROW()-3&gt;MAX($SB$4:$SB$40),"",INDEX($BH$4:$BH$40,MATCH(ROW()-3,$SB$4:$SB$40,0)))</f>
      </c>
      <c r="SD5" t="str">
        <f>IF(COUNTIF('Final Calculation Sheet'!$AL5:$AU5,0)+COUNTIF('Final Calculation Sheet'!$AW5:$BS5,0)&gt;0,0,1)</f>
      </c>
      <c r="SE5" t="str">
        <f>IF($BM$5="",FALSE,SUMPRODUCT(('Final Calculation Sheet'!$K$4:$K$40=$BM$5)*($SD$4:$SD$40=1))&gt;0)</f>
      </c>
      <c r="SF5" t="str">
        <f>=$SF4+--($SE5)</f>
      </c>
      <c r="SG5" t="str">
        <f>IF(ROW()-3&gt;MAX($SF$4:$SF$40),"",INDEX($BM$4:$BM$40,MATCH(ROW()-3,$SF$4:$SF$40,0)))</f>
      </c>
      <c r="SH5" t="str">
        <f>IF(COUNTIF('Final Calculation Sheet'!$AL5:$AV5,0)+COUNTIF('Final Calculation Sheet'!$AX5:$BS5,0)&gt;0,0,1)</f>
      </c>
      <c r="SI5" t="str">
        <f>IF($BR$5="",FALSE,SUMPRODUCT(('Final Calculation Sheet'!$L$4:$L$40=$BR$5)*($SH$4:$SH$40=1))&gt;0)</f>
      </c>
      <c r="SJ5" t="str">
        <f>=$SJ4+--($SI5)</f>
      </c>
      <c r="SK5" t="str">
        <f>IF(ROW()-3&gt;MAX($SJ$4:$SJ$40),"",INDEX($BR$4:$BR$40,MATCH(ROW()-3,$SJ$4:$SJ$40,0)))</f>
      </c>
      <c r="SL5" t="str">
        <f>IF(COUNTIF('Final Calculation Sheet'!$AL5:$AW5,0)+COUNTIF('Final Calculation Sheet'!$AY5:$BS5,0)&gt;0,0,1)</f>
      </c>
      <c r="SM5" t="str">
        <f>IF($BW$5="",FALSE,SUMPRODUCT(('Final Calculation Sheet'!$M$4:$M$40=$BW$5)*($SL$4:$SL$40=1))&gt;0)</f>
      </c>
      <c r="SN5" t="str">
        <f>=$SN4+--($SM5)</f>
      </c>
      <c r="SO5" t="str">
        <f>IF(ROW()-3&gt;MAX($SN$4:$SN$40),"",INDEX($BW$4:$BW$40,MATCH(ROW()-3,$SN$4:$SN$40,0)))</f>
      </c>
      <c r="SP5" t="str">
        <f>IF(COUNTIF('Final Calculation Sheet'!$AL5:$AX5,0)+COUNTIF('Final Calculation Sheet'!$AZ5:$BS5,0)&gt;0,0,1)</f>
      </c>
      <c r="SQ5" t="str">
        <f>IF($CB$5="",FALSE,SUMPRODUCT(('Final Calculation Sheet'!$N$4:$N$40=$CB$5)*($SP$4:$SP$40=1))&gt;0)</f>
      </c>
      <c r="SR5" t="str">
        <f>=$SR4+--($SQ5)</f>
      </c>
      <c r="SS5" t="str">
        <f>IF(ROW()-3&gt;MAX($SR$4:$SR$40),"",INDEX($CB$4:$CB$40,MATCH(ROW()-3,$SR$4:$SR$40,0)))</f>
      </c>
      <c r="ST5" t="str">
        <f>IF(COUNTIF('Final Calculation Sheet'!$AL5:$AY5,0)+COUNTIF('Final Calculation Sheet'!$BA5:$BS5,0)&gt;0,0,1)</f>
      </c>
      <c r="SU5" t="str">
        <f>IF($CG$5="",FALSE,SUMPRODUCT(('Final Calculation Sheet'!$O$4:$O$40=$CG$5)*($ST$4:$ST$40=1))&gt;0)</f>
      </c>
      <c r="SV5" t="str">
        <f>=$SV4+--($SU5)</f>
      </c>
      <c r="SW5" t="str">
        <f>IF(ROW()-3&gt;MAX($SV$4:$SV$40),"",INDEX($CG$4:$CG$40,MATCH(ROW()-3,$SV$4:$SV$40,0)))</f>
      </c>
      <c r="SX5" t="str">
        <f>IF(COUNTIF('Final Calculation Sheet'!$AL5:$AZ5,0)+COUNTIF('Final Calculation Sheet'!$BB5:$BS5,0)&gt;0,0,1)</f>
      </c>
      <c r="SY5" t="str">
        <f>IF($CL$5="",FALSE,SUMPRODUCT(('Final Calculation Sheet'!$P$4:$P$40=$CL$5)*($SX$4:$SX$40=1))&gt;0)</f>
      </c>
      <c r="SZ5" t="str">
        <f>=$SZ4+--($SY5)</f>
      </c>
      <c r="TA5" t="str">
        <f>IF(ROW()-3&gt;MAX($SZ$4:$SZ$40),"",INDEX($CL$4:$CL$40,MATCH(ROW()-3,$SZ$4:$SZ$40,0)))</f>
      </c>
      <c r="TB5" t="str">
        <f>IF(COUNTIF('Final Calculation Sheet'!$AL5:$BA5,0)+COUNTIF('Final Calculation Sheet'!$BC5:$BS5,0)&gt;0,0,1)</f>
      </c>
      <c r="TC5" t="str">
        <f>IF($CQ$5="",FALSE,SUMPRODUCT(('Final Calculation Sheet'!$Q$4:$Q$40=$CQ$5)*($TB$4:$TB$40=1))&gt;0)</f>
      </c>
      <c r="TD5" t="str">
        <f>=$TD4+--($TC5)</f>
      </c>
      <c r="TE5" t="str">
        <f>IF(ROW()-3&gt;MAX($TD$4:$TD$40),"",INDEX($CQ$4:$CQ$40,MATCH(ROW()-3,$TD$4:$TD$40,0)))</f>
      </c>
      <c r="TF5" t="str">
        <f>IF(COUNTIF('Final Calculation Sheet'!$AL5:$BB5,0)+COUNTIF('Final Calculation Sheet'!$BD5:$BS5,0)&gt;0,0,1)</f>
      </c>
      <c r="TG5" t="str">
        <f>IF($CV$5="",FALSE,SUMPRODUCT(('Final Calculation Sheet'!$R$4:$R$40=$CV$5)*($TF$4:$TF$40=1))&gt;0)</f>
      </c>
      <c r="TH5" t="str">
        <f>=$TH4+--($TG5)</f>
      </c>
      <c r="TI5" t="str">
        <f>IF(ROW()-3&gt;MAX($TH$4:$TH$40),"",INDEX($CV$4:$CV$40,MATCH(ROW()-3,$TH$4:$TH$40,0)))</f>
      </c>
      <c r="TJ5" t="str">
        <f>IF(COUNTIF('Final Calculation Sheet'!$AL5:$BC5,0)+COUNTIF('Final Calculation Sheet'!$BE5:$BS5,0)&gt;0,0,1)</f>
      </c>
      <c r="TK5" t="str">
        <f>IF($DA$5="",FALSE,SUMPRODUCT(('Final Calculation Sheet'!$S$4:$S$40=$DA$5)*($TJ$4:$TJ$40=1))&gt;0)</f>
      </c>
      <c r="TL5" t="str">
        <f>=$TL4+--($TK5)</f>
      </c>
      <c r="TM5" t="str">
        <f>IF(ROW()-3&gt;MAX($TL$4:$TL$40),"",INDEX($DA$4:$DA$40,MATCH(ROW()-3,$TL$4:$TL$40,0)))</f>
      </c>
      <c r="TN5" t="str">
        <f>IF(COUNTIF('Final Calculation Sheet'!$AL5:$BD5,0)+COUNTIF('Final Calculation Sheet'!$BF5:$BS5,0)&gt;0,0,1)</f>
      </c>
      <c r="TO5" t="str">
        <f>IF($DF$5="",FALSE,SUMPRODUCT(('Final Calculation Sheet'!$T$4:$T$40=$DF$5)*($TN$4:$TN$40=1))&gt;0)</f>
      </c>
      <c r="TP5" t="str">
        <f>=$TP4+--($TO5)</f>
      </c>
      <c r="TQ5" t="str">
        <f>IF(ROW()-3&gt;MAX($TP$4:$TP$40),"",INDEX($DF$4:$DF$40,MATCH(ROW()-3,$TP$4:$TP$40,0)))</f>
      </c>
      <c r="TR5" t="str">
        <f>IF(COUNTIF('Final Calculation Sheet'!$AL5:$BE5,0)+COUNTIF('Final Calculation Sheet'!$BG5:$BS5,0)&gt;0,0,1)</f>
      </c>
      <c r="TS5" t="str">
        <f>IF($DK$5="",FALSE,SUMPRODUCT(('Final Calculation Sheet'!$U$4:$U$40=$DK$5)*($TR$4:$TR$40=1))&gt;0)</f>
      </c>
      <c r="TT5" t="str">
        <f>=$TT4+--($TS5)</f>
      </c>
      <c r="TU5" t="str">
        <f>IF(ROW()-3&gt;MAX($TT$4:$TT$40),"",INDEX($DK$4:$DK$40,MATCH(ROW()-3,$TT$4:$TT$40,0)))</f>
      </c>
      <c r="TV5" t="str">
        <f>IF(COUNTIF('Final Calculation Sheet'!$AL5:$BF5,0)+COUNTIF('Final Calculation Sheet'!$BH5:$BS5,0)&gt;0,0,1)</f>
      </c>
      <c r="TW5" t="str">
        <f>IF($DP$5="",FALSE,SUMPRODUCT(('Final Calculation Sheet'!$V$4:$V$40=$DP$5)*($TV$4:$TV$40=1))&gt;0)</f>
      </c>
      <c r="TX5" t="str">
        <f>=$TX4+--($TW5)</f>
      </c>
      <c r="TY5" t="str">
        <f>IF(ROW()-3&gt;MAX($TX$4:$TX$40),"",INDEX($DP$4:$DP$40,MATCH(ROW()-3,$TX$4:$TX$40,0)))</f>
      </c>
      <c r="TZ5" t="str">
        <f>IF(COUNTIF('Final Calculation Sheet'!$AL5:$BG5,0)+COUNTIF('Final Calculation Sheet'!$BI5:$BS5,0)&gt;0,0,1)</f>
      </c>
      <c r="UA5" t="str">
        <f>IF($DU$5="",FALSE,SUMPRODUCT(('Final Calculation Sheet'!$W$4:$W$40=$DU$5)*($TZ$4:$TZ$40=1))&gt;0)</f>
      </c>
      <c r="UB5" t="str">
        <f>=$UB4+--($UA5)</f>
      </c>
      <c r="UC5" t="str">
        <f>IF(ROW()-3&gt;MAX($UB$4:$UB$40),"",INDEX($DU$4:$DU$40,MATCH(ROW()-3,$UB$4:$UB$40,0)))</f>
      </c>
      <c r="UD5" t="str">
        <f>IF(COUNTIF('Final Calculation Sheet'!$AL5:$BH5,0)+COUNTIF('Final Calculation Sheet'!$BJ5:$BS5,0)&gt;0,0,1)</f>
      </c>
      <c r="UE5" t="str">
        <f>IF($DZ$5="",FALSE,SUMPRODUCT(('Final Calculation Sheet'!$X$4:$X$40=$DZ$5)*($UD$4:$UD$40=1))&gt;0)</f>
      </c>
      <c r="UF5" t="str">
        <f>=$UF4+--($UE5)</f>
      </c>
      <c r="UG5" t="str">
        <f>IF(ROW()-3&gt;MAX($UF$4:$UF$40),"",INDEX($DZ$4:$DZ$40,MATCH(ROW()-3,$UF$4:$UF$40,0)))</f>
      </c>
      <c r="UH5" t="str">
        <f>IF(COUNTIF('Final Calculation Sheet'!$AL5:$BI5,0)+COUNTIF('Final Calculation Sheet'!$BK5:$BS5,0)&gt;0,0,1)</f>
      </c>
      <c r="UI5" t="str">
        <f>IF($EE$5="",FALSE,SUMPRODUCT(('Final Calculation Sheet'!$Y$4:$Y$40=$EE$5)*($UH$4:$UH$40=1))&gt;0)</f>
      </c>
      <c r="UJ5" t="str">
        <f>=$UJ4+--($UI5)</f>
      </c>
      <c r="UK5" t="str">
        <f>IF(ROW()-3&gt;MAX($UJ$4:$UJ$40),"",INDEX($EE$4:$EE$40,MATCH(ROW()-3,$UJ$4:$UJ$40,0)))</f>
      </c>
      <c r="UL5" t="str">
        <f>IF(COUNTIF('Final Calculation Sheet'!$AL5:$BJ5,0)+COUNTIF('Final Calculation Sheet'!$BL5:$BS5,0)&gt;0,0,1)</f>
      </c>
      <c r="UM5" t="str">
        <f>IF($EJ$5="",FALSE,SUMPRODUCT(('Final Calculation Sheet'!$Z$4:$Z$40=$EJ$5)*($UL$4:$UL$40=1))&gt;0)</f>
      </c>
      <c r="UN5" t="str">
        <f>=$UN4+--($UM5)</f>
      </c>
      <c r="UO5" t="str">
        <f>IF(ROW()-3&gt;MAX($UN$4:$UN$40),"",INDEX($EJ$4:$EJ$40,MATCH(ROW()-3,$UN$4:$UN$40,0)))</f>
      </c>
      <c r="UP5" t="str">
        <f>IF(COUNTIF('Final Calculation Sheet'!$AL5:$BK5,0)+COUNTIF('Final Calculation Sheet'!$BM5:$BS5,0)&gt;0,0,1)</f>
      </c>
      <c r="UQ5" t="str">
        <f>IF($EO$5="",FALSE,SUMPRODUCT(('Final Calculation Sheet'!$AA$4:$AA$40=$EO$5)*($UP$4:$UP$40=1))&gt;0)</f>
      </c>
      <c r="UR5" t="str">
        <f>=$UR4+--($UQ5)</f>
      </c>
      <c r="US5" t="str">
        <f>IF(ROW()-3&gt;MAX($UR$4:$UR$40),"",INDEX($EO$4:$EO$40,MATCH(ROW()-3,$UR$4:$UR$40,0)))</f>
      </c>
      <c r="UT5" t="str">
        <f>IF(COUNTIF('Final Calculation Sheet'!$AL5:$BL5,0)+COUNTIF('Final Calculation Sheet'!$BN5:$BS5,0)&gt;0,0,1)</f>
      </c>
      <c r="UU5" t="str">
        <f>IF($ET$5="",FALSE,SUMPRODUCT(('Final Calculation Sheet'!$AB$4:$AB$40=$ET$5)*($UT$4:$UT$40=1))&gt;0)</f>
      </c>
      <c r="UV5" t="str">
        <f>=$UV4+--($UU5)</f>
      </c>
      <c r="UW5" t="str">
        <f>IF(ROW()-3&gt;MAX($UV$4:$UV$40),"",INDEX($ET$4:$ET$40,MATCH(ROW()-3,$UV$4:$UV$40,0)))</f>
      </c>
      <c r="UX5" t="str">
        <f>IF(COUNTIF('Final Calculation Sheet'!$AL5:$BM5,0)+COUNTIF('Final Calculation Sheet'!$BO5:$BS5,0)&gt;0,0,1)</f>
      </c>
      <c r="UY5" t="str">
        <f>IF($EY$5="",FALSE,SUMPRODUCT(('Final Calculation Sheet'!$AC$4:$AC$40=$EY$5)*($UX$4:$UX$40=1))&gt;0)</f>
      </c>
      <c r="UZ5" t="str">
        <f>=$UZ4+--($UY5)</f>
      </c>
      <c r="VA5" t="str">
        <f>IF(ROW()-3&gt;MAX($UZ$4:$UZ$40),"",INDEX($EY$4:$EY$40,MATCH(ROW()-3,$UZ$4:$UZ$40,0)))</f>
      </c>
      <c r="VB5" t="str">
        <f>IF(COUNTIF('Final Calculation Sheet'!$AL5:$BN5,0)+COUNTIF('Final Calculation Sheet'!$BP5:$BS5,0)&gt;0,0,1)</f>
      </c>
      <c r="VC5" t="str">
        <f>IF($FD$5="",FALSE,SUMPRODUCT(('Final Calculation Sheet'!$AD$4:$AD$40=$FD$5)*($VB$4:$VB$40=1))&gt;0)</f>
      </c>
      <c r="VD5" t="str">
        <f>=$VD4+--($VC5)</f>
      </c>
      <c r="VE5" t="str">
        <f>IF(ROW()-3&gt;MAX($VD$4:$VD$40),"",INDEX($FD$4:$FD$40,MATCH(ROW()-3,$VD$4:$VD$40,0)))</f>
      </c>
      <c r="VF5" t="str">
        <f>IF(COUNTIF('Final Calculation Sheet'!$AL5:$BO5,0)+COUNTIF('Final Calculation Sheet'!$BQ5:$BS5,0)&gt;0,0,1)</f>
      </c>
      <c r="VG5" t="str">
        <f>IF($FI$5="",FALSE,SUMPRODUCT(('Final Calculation Sheet'!$AE$4:$AE$40=$FI$5)*($VF$4:$VF$40=1))&gt;0)</f>
      </c>
      <c r="VH5" t="str">
        <f>=$VH4+--($VG5)</f>
      </c>
      <c r="VI5" t="str">
        <f>IF(ROW()-3&gt;MAX($VH$4:$VH$40),"",INDEX($FI$4:$FI$40,MATCH(ROW()-3,$VH$4:$VH$40,0)))</f>
      </c>
      <c r="VJ5" t="str">
        <f>IF(COUNTIF('Final Calculation Sheet'!$AL5:$BP5,0)+COUNTIF('Final Calculation Sheet'!$BR5:$BS5,0)&gt;0,0,1)</f>
      </c>
      <c r="VK5" t="str">
        <f>IF($FN$5="",FALSE,SUMPRODUCT(('Final Calculation Sheet'!$AF$4:$AF$40=$FN$5)*($VJ$4:$VJ$40=1))&gt;0)</f>
      </c>
      <c r="VL5" t="str">
        <f>=$VL4+--($VK5)</f>
      </c>
      <c r="VM5" t="str">
        <f>IF(ROW()-3&gt;MAX($VL$4:$VL$40),"",INDEX($FN$4:$FN$40,MATCH(ROW()-3,$VL$4:$VL$40,0)))</f>
      </c>
      <c r="VN5" t="str">
        <f>IF(COUNTIF('Final Calculation Sheet'!$AL5:$BQ5,0)+COUNTIF('Final Calculation Sheet'!$BS5:$BS5,0)&gt;0,0,1)</f>
      </c>
      <c r="VO5" t="str">
        <f>IF($FS$5="",FALSE,SUMPRODUCT(('Final Calculation Sheet'!$AG$4:$AG$40=$FS$5)*($VN$4:$VN$40=1))&gt;0)</f>
      </c>
      <c r="VP5" t="str">
        <f>=$VP4+--($VO5)</f>
      </c>
      <c r="VQ5" t="str">
        <f>IF(ROW()-3&gt;MAX($VP$4:$VP$40),"",INDEX($FS$4:$FS$40,MATCH(ROW()-3,$VP$4:$VP$40,0)))</f>
      </c>
      <c r="VR5" t="str">
        <f>IF(COUNTIF('Final Calculation Sheet'!$AL5:$BR5,0)&gt;0,0,1)</f>
      </c>
      <c r="VS5" t="str">
        <f>IF($QO$5="",FALSE,SUMPRODUCT(('Final Calculation Sheet'!$AH$4:$AH$40=$QO$5)*($VR$4:$VR$40=1))&gt;0)</f>
      </c>
      <c r="VT5" t="str">
        <f>=$VT4+--($VS5)</f>
      </c>
      <c r="VU5" t="str">
        <f>IF(ROW()-3&gt;MAX($VT$4:$VT$40),"",INDEX($QO$4:$QO$40,MATCH(ROW()-3,$VT$4:$VT$40,0)))</f>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IF(COUNTIF('Live Search'!BM$5:BM$5,0)+COUNTIF('Live Search'!B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D6">
        <f>IF($O$6="",FALSE,SUMPRODUCT(('Final Calculation Sheet'!$F$4:$F$40=$O$6)*($GC$6:$GC$42=1))&gt;0)</f>
        <v/>
      </c>
      <c r="GE6">
        <f>$GE$5+--($GD6)</f>
        <v/>
      </c>
      <c r="GF6">
        <f>IF(ROW()-3&gt;MAX($GE$4:$GE$40),"",INDEX($O$4:$O$40,MATCH(ROW()-3,$GE$4:$GE$40,0)))</f>
        <v/>
      </c>
      <c r="GG6">
        <f>IF(COUNTIF('Live Search'!BM$5:BN$5,0)+COUNTIF('Live Search'!B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H6">
        <f>IF($T$6="",FALSE,SUMPRODUCT(('Final Calculation Sheet'!$G$4:$G$40=$T$6)*($GG$6:$GG$42=1))&gt;0)</f>
        <v/>
      </c>
      <c r="GI6">
        <f>$GI$5+--($GH6)</f>
        <v/>
      </c>
      <c r="GJ6">
        <f>IF(ROW()-3&gt;MAX($GI$4:$GI$40),"",INDEX($T$4:$T$40,MATCH(ROW()-3,$GI$4:$GI$40,0)))</f>
        <v/>
      </c>
      <c r="GK6">
        <f>IF(COUNTIF('Live Search'!BM$5:BP$5,0)+COUNTIF('Live Search'!B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L6">
        <f>IF($AD$6="",FALSE,SUMPRODUCT(('Final Calculation Sheet'!$D$4:$D$40=$AD$6)*($GK$6:$GK$42=1))&gt;0)</f>
        <v/>
      </c>
      <c r="GM6">
        <f>$GM$5+--($GL6)</f>
        <v/>
      </c>
      <c r="GN6">
        <f>IF(ROW()-3&gt;MAX($GM$4:$GM$40),"",INDEX($AD$4:$AD$40,MATCH(ROW()-3,$GM$4:$GM$40,0)))</f>
        <v/>
      </c>
      <c r="GO6">
        <f>IF(COUNTIF('Live Search'!BM$5:BQ$5,0)+COUNTIF('Live Search'!B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P6">
        <f>IF($AI$6="",FALSE,SUMPRODUCT(('Final Calculation Sheet'!$A$4:$A$40=$AI$6)*($GO$6:$GO$42=1))&gt;0)</f>
        <v/>
      </c>
      <c r="GQ6">
        <f>$GQ$5+--($GP6)</f>
        <v/>
      </c>
      <c r="GR6">
        <f>IF(ROW()-3&gt;MAX($GQ$4:$GQ$40),"",INDEX($AI$4:$AI$40,MATCH(ROW()-3,$GQ$4:$GQ$40,0)))</f>
        <v/>
      </c>
      <c r="GS6">
        <f>IF(COUNTIF('Live Search'!BM$5:BR$5,0)+COUNTIF('Live Search'!B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T6">
        <f>IF($AN$6="",FALSE,SUMPRODUCT(('Final Calculation Sheet'!$E$4:$E$40=$AN$6)*($GS$6:$GS$42=1))&gt;0)</f>
        <v/>
      </c>
      <c r="GU6">
        <f>$GU$5+--($GT6)</f>
        <v/>
      </c>
      <c r="GV6">
        <f>IF(ROW()-3&gt;MAX($GU$4:$GU$40),"",INDEX($AN$4:$AN$40,MATCH(ROW()-3,$GU$4:$GU$40,0)))</f>
        <v/>
      </c>
      <c r="GW6">
        <f>IF(COUNTIF('Live Search'!BM$5:BS$5,0)+COUNTIF('Live Search'!B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X6">
        <f>IF($AS$6="",FALSE,SUMPRODUCT(('Final Calculation Sheet'!$C$4:$C$40=$AS$6)*($GW$6:$GW$42=1))&gt;0)</f>
        <v/>
      </c>
      <c r="GY6">
        <f>$GY$5+--($GX6)</f>
        <v/>
      </c>
      <c r="GZ6">
        <f>IF(ROW()-3&gt;MAX($GY$4:$GY$40),"",INDEX($AS$4:$AS$40,MATCH(ROW()-3,$GY$4:$GY$40,0)))</f>
        <v/>
      </c>
      <c r="HA6">
        <f>IF(COUNTIF('Live Search'!BM$5:BT$5,0)+COUNTIF('Live Search'!BV$5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B6">
        <f>IF($AX$6="",FALSE,SUMPRODUCT(('Final Calculation Sheet'!$H$4:$H$40=$AX$6)*($HA$6:$HA$42=1))&gt;0)</f>
        <v/>
      </c>
      <c r="HC6">
        <f>$HC$5+--($HB6)</f>
        <v/>
      </c>
      <c r="HD6">
        <f>IF(ROW()-3&gt;MAX($HC$4:$HC$40),"",INDEX($AX$4:$AX$40,MATCH(ROW()-3,$HC$4:$HC$40,0)))</f>
        <v/>
      </c>
      <c r="HE6">
        <f>IF(COUNTIF('Live Search'!BM$5:BU$5,0)+COUNTIF('Live Search'!BW$5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F6">
        <f>IF($BC$6="",FALSE,SUMPRODUCT(('Final Calculation Sheet'!$I$4:$I$40=$BC$6)*($HE$6:$HE$42=1))&gt;0)</f>
        <v/>
      </c>
      <c r="HG6">
        <f>$HG$5+--($HF6)</f>
        <v/>
      </c>
      <c r="HH6">
        <f>IF(ROW()-3&gt;MAX($HG$4:$HG$40),"",INDEX($BC$4:$BC$40,MATCH(ROW()-3,$HG$4:$HG$40,0)))</f>
        <v/>
      </c>
      <c r="HI6">
        <f>IF(COUNTIF('Live Search'!BM$5:BV$5,0)+COUNTIF('Live Search'!BX$5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J6">
        <f>IF($BH$6="",FALSE,SUMPRODUCT(('Final Calculation Sheet'!$J$4:$J$40=$BH$6)*($HI$6:$HI$42=1))&gt;0)</f>
        <v/>
      </c>
      <c r="HK6">
        <f>$HK$5+--($HJ6)</f>
        <v/>
      </c>
      <c r="HL6">
        <f>IF(ROW()-3&gt;MAX($HK$4:$HK$40),"",INDEX($BH$4:$BH$40,MATCH(ROW()-3,$HK$4:$HK$40,0)))</f>
        <v/>
      </c>
      <c r="HM6">
        <f>IF(COUNTIF('Live Search'!BM$5:BW$5,0)+COUNTIF('Live Search'!BY$5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N6">
        <f>IF($BM$6="",FALSE,SUMPRODUCT(('Final Calculation Sheet'!$K$4:$K$40=$BM$6)*($HM$6:$HM$42=1))&gt;0)</f>
        <v/>
      </c>
      <c r="HO6">
        <f>$HO$5+--($HN6)</f>
        <v/>
      </c>
      <c r="HP6">
        <f>IF(ROW()-3&gt;MAX($HO$4:$HO$40),"",INDEX($BM$4:$BM$40,MATCH(ROW()-3,$HO$4:$HO$40,0)))</f>
        <v/>
      </c>
      <c r="HQ6">
        <f>IF(COUNTIF('Live Search'!BM$5:BX$5,0)+COUNTIF('Live Search'!BZ$5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R6">
        <f>IF($BR$6="",FALSE,SUMPRODUCT(('Final Calculation Sheet'!$L$4:$L$40=$BR$6)*($HQ$6:$HQ$42=1))&gt;0)</f>
        <v/>
      </c>
      <c r="HS6">
        <f>$HS$5+--($HR6)</f>
        <v/>
      </c>
      <c r="HT6">
        <f>IF(ROW()-3&gt;MAX($HS$4:$HS$40),"",INDEX($BR$4:$BR$40,MATCH(ROW()-3,$HS$4:$HS$40,0)))</f>
        <v/>
      </c>
      <c r="HU6">
        <f>IF(COUNTIF('Live Search'!BM$5:BY$5,0)+COUNTIF('Live Search'!CA$5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V6">
        <f>IF($BW$6="",FALSE,SUMPRODUCT(('Final Calculation Sheet'!$M$4:$M$40=$BW$6)*($HU$6:$HU$42=1))&gt;0)</f>
        <v/>
      </c>
      <c r="HW6">
        <f>$HW$5+--($HV6)</f>
        <v/>
      </c>
      <c r="HX6">
        <f>IF(ROW()-3&gt;MAX($HW$4:$HW$40),"",INDEX($BW$4:$BW$40,MATCH(ROW()-3,$HW$4:$HW$40,0)))</f>
        <v/>
      </c>
      <c r="HY6">
        <f>IF(COUNTIF('Live Search'!BM$5:BZ$5,0)+COUNTIF('Live Search'!CB$5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HZ6">
        <f>IF($CB$6="",FALSE,SUMPRODUCT(('Final Calculation Sheet'!$N$4:$N$40=$CB$6)*($HY$6:$HY$42=1))&gt;0)</f>
        <v/>
      </c>
      <c r="IA6">
        <f>$IA$5+--($HZ6)</f>
        <v/>
      </c>
      <c r="IB6">
        <f>IF(ROW()-3&gt;MAX($IA$4:$IA$40),"",INDEX($CB$4:$CB$40,MATCH(ROW()-3,$IA$4:$IA$40,0)))</f>
        <v/>
      </c>
      <c r="IC6">
        <f>IF(COUNTIF('Live Search'!BM$5:CA$5,0)+COUNTIF('Live Search'!CC$5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D6">
        <f>IF($CG$6="",FALSE,SUMPRODUCT(('Final Calculation Sheet'!$O$4:$O$40=$CG$6)*($IC$6:$IC$42=1))&gt;0)</f>
        <v/>
      </c>
      <c r="IE6">
        <f>$IE$5+--($ID6)</f>
        <v/>
      </c>
      <c r="IF6">
        <f>IF(ROW()-3&gt;MAX($IE$4:$IE$40),"",INDEX($CG$4:$CG$40,MATCH(ROW()-3,$IE$4:$IE$40,0)))</f>
        <v/>
      </c>
      <c r="IG6">
        <f>IF(COUNTIF('Live Search'!BM$5:CB$5,0)+COUNTIF('Live Search'!CD$5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H6">
        <f>IF($CL$6="",FALSE,SUMPRODUCT(('Final Calculation Sheet'!$P$4:$P$40=$CL$6)*($IG$6:$IG$42=1))&gt;0)</f>
        <v/>
      </c>
      <c r="II6">
        <f>$II$5+--($IH6)</f>
        <v/>
      </c>
      <c r="IJ6">
        <f>IF(ROW()-3&gt;MAX($II$4:$II$40),"",INDEX($CL$4:$CL$40,MATCH(ROW()-3,$II$4:$II$40,0)))</f>
        <v/>
      </c>
      <c r="IK6">
        <f>IF(COUNTIF('Live Search'!BM$5:CC$5,0)+COUNTIF('Live Search'!CE$5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L6">
        <f>IF($CQ$6="",FALSE,SUMPRODUCT(('Final Calculation Sheet'!$Q$4:$Q$40=$CQ$6)*($IK$6:$IK$42=1))&gt;0)</f>
        <v/>
      </c>
      <c r="IM6">
        <f>$IM$5+--($IL6)</f>
        <v/>
      </c>
      <c r="IN6">
        <f>IF(ROW()-3&gt;MAX($IM$4:$IM$40),"",INDEX($CQ$4:$CQ$40,MATCH(ROW()-3,$IM$4:$IM$40,0)))</f>
        <v/>
      </c>
      <c r="IO6">
        <f>IF(COUNTIF('Live Search'!BM$5:CD$5,0)+COUNTIF('Live Search'!CF$5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P6">
        <f>IF($CV$6="",FALSE,SUMPRODUCT(('Final Calculation Sheet'!$R$4:$R$40=$CV$6)*($IO$6:$IO$42=1))&gt;0)</f>
        <v/>
      </c>
      <c r="IQ6">
        <f>$IQ$5+--($IP6)</f>
        <v/>
      </c>
      <c r="IR6">
        <f>IF(ROW()-3&gt;MAX($IQ$4:$IQ$40),"",INDEX($CV$4:$CV$40,MATCH(ROW()-3,$IQ$4:$IQ$40,0)))</f>
        <v/>
      </c>
      <c r="IS6">
        <f>IF(COUNTIF('Live Search'!BM$5:CE$5,0)+COUNTIF('Live Search'!CG$5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T6">
        <f>IF($DA$6="",FALSE,SUMPRODUCT(('Final Calculation Sheet'!$S$4:$S$40=$DA$6)*($IS$6:$IS$42=1))&gt;0)</f>
        <v/>
      </c>
      <c r="IU6">
        <f>$IU$5+--($IT6)</f>
        <v/>
      </c>
      <c r="IV6">
        <f>IF(ROW()-3&gt;MAX($IU$4:$IU$40),"",INDEX($DA$4:$DA$40,MATCH(ROW()-3,$IU$4:$IU$40,0)))</f>
        <v/>
      </c>
      <c r="IW6">
        <f>IF(COUNTIF('Live Search'!BM$5:CF$5,0)+COUNTIF('Live Search'!CH$5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IX6">
        <f>IF($DF$6="",FALSE,SUMPRODUCT(('Final Calculation Sheet'!$T$4:$T$40=$DF$6)*($IW$6:$IW$42=1))&gt;0)</f>
        <v/>
      </c>
      <c r="IY6">
        <f>$IY$5+--($IX6)</f>
        <v/>
      </c>
      <c r="IZ6">
        <f>IF(ROW()-3&gt;MAX($IY$4:$IY$40),"",INDEX($DF$4:$DF$40,MATCH(ROW()-3,$IY$4:$IY$40,0)))</f>
        <v/>
      </c>
      <c r="JA6">
        <f>IF(COUNTIF('Live Search'!BM$5:CG$5,0)+COUNTIF('Live Search'!CI$5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B6">
        <f>IF($DK$6="",FALSE,SUMPRODUCT(('Final Calculation Sheet'!$U$4:$U$40=$DK$6)*($JA$6:$JA$42=1))&gt;0)</f>
        <v/>
      </c>
      <c r="JC6">
        <f>$JC$5+--($JB6)</f>
        <v/>
      </c>
      <c r="JD6">
        <f>IF(ROW()-3&gt;MAX($JC$4:$JC$40),"",INDEX($DK$4:$DK$40,MATCH(ROW()-3,$JC$4:$JC$40,0)))</f>
        <v/>
      </c>
      <c r="JE6">
        <f>IF(COUNTIF('Live Search'!BM$5:CH$5,0)+COUNTIF('Live Search'!CJ$5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F6">
        <f>IF($DP$6="",FALSE,SUMPRODUCT(('Final Calculation Sheet'!$V$4:$V$40=$DP$6)*($JE$6:$JE$42=1))&gt;0)</f>
        <v/>
      </c>
      <c r="JG6">
        <f>$JG$5+--($JF6)</f>
        <v/>
      </c>
      <c r="JH6">
        <f>IF(ROW()-3&gt;MAX($JG$4:$JG$40),"",INDEX($DP$4:$DP$40,MATCH(ROW()-3,$JG$4:$JG$40,0)))</f>
        <v/>
      </c>
      <c r="JI6">
        <f>IF(COUNTIF('Live Search'!BM$5:CI$5,0)+COUNTIF('Live Search'!CK$5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J6">
        <f>IF($DU$6="",FALSE,SUMPRODUCT(('Final Calculation Sheet'!$W$4:$W$40=$DU$6)*($JI$6:$JI$42=1))&gt;0)</f>
        <v/>
      </c>
      <c r="JK6">
        <f>$JK$5+--($JJ6)</f>
        <v/>
      </c>
      <c r="JL6">
        <f>IF(ROW()-3&gt;MAX($JK$4:$JK$40),"",INDEX($DU$4:$DU$40,MATCH(ROW()-3,$JK$4:$JK$40,0)))</f>
        <v/>
      </c>
      <c r="JM6">
        <f>IF(COUNTIF('Live Search'!BM$5:CJ$5,0)+COUNTIF('Live Search'!CL$5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N6">
        <f>IF($DZ$6="",FALSE,SUMPRODUCT(('Final Calculation Sheet'!$X$4:$X$40=$DZ$6)*($JM$6:$JM$42=1))&gt;0)</f>
        <v/>
      </c>
      <c r="JO6">
        <f>$JO$5+--($JN6)</f>
        <v/>
      </c>
      <c r="JP6">
        <f>IF(ROW()-3&gt;MAX($JO$4:$JO$40),"",INDEX($DZ$4:$DZ$40,MATCH(ROW()-3,$JO$4:$JO$40,0)))</f>
        <v/>
      </c>
      <c r="JQ6">
        <f>IF(COUNTIF('Live Search'!BM$5:CK$5,0)+COUNTIF('Live Search'!C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R6">
        <f>IF($EE$6="",FALSE,SUMPRODUCT(('Final Calculation Sheet'!$Y$4:$Y$40=$EE$6)*($JQ$6:$JQ$42=1))&gt;0)</f>
        <v/>
      </c>
      <c r="JS6">
        <f>$JS$5+--($JR6)</f>
        <v/>
      </c>
      <c r="JT6">
        <f>IF(ROW()-3&gt;MAX($JS$4:$JS$40),"",INDEX($EE$4:$EE$40,MATCH(ROW()-3,$JS$4:$JS$40,0)))</f>
        <v/>
      </c>
      <c r="JU6">
        <f>IF(COUNTIF('Live Search'!BM$5:CL$5,0)+COUNTIF('Live Search'!CN$5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V6">
        <f>IF($EJ$6="",FALSE,SUMPRODUCT(('Final Calculation Sheet'!$Z$4:$Z$40=$EJ$6)*($JU$6:$JU$42=1))&gt;0)</f>
        <v/>
      </c>
      <c r="JW6">
        <f>$JW$5+--($JV6)</f>
        <v/>
      </c>
      <c r="JX6">
        <f>IF(ROW()-3&gt;MAX($JW$4:$JW$40),"",INDEX($EJ$4:$EJ$40,MATCH(ROW()-3,$JW$4:$JW$40,0)))</f>
        <v/>
      </c>
      <c r="JY6">
        <f>IF(COUNTIF('Live Search'!BM$5:CM$5,0)+COUNTIF('Live Search'!CO$5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JZ6">
        <f>IF($EO$6="",FALSE,SUMPRODUCT(('Final Calculation Sheet'!$AA$4:$AA$40=$EO$6)*($JY$6:$JY$42=1))&gt;0)</f>
        <v/>
      </c>
      <c r="KA6">
        <f>$KA$5+--($JZ6)</f>
        <v/>
      </c>
      <c r="KB6">
        <f>IF(ROW()-3&gt;MAX($KA$4:$KA$40),"",INDEX($EO$4:$EO$40,MATCH(ROW()-3,$KA$4:$KA$40,0)))</f>
        <v/>
      </c>
      <c r="KC6">
        <f>IF(COUNTIF('Live Search'!BM$5:CN$5,0)+COUNTIF('Live Search'!CP$5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D6">
        <f>IF($ET$6="",FALSE,SUMPRODUCT(('Final Calculation Sheet'!$AB$4:$AB$40=$ET$6)*($KC$6:$KC$42=1))&gt;0)</f>
        <v/>
      </c>
      <c r="KE6">
        <f>$KE$5+--($KD6)</f>
        <v/>
      </c>
      <c r="KF6">
        <f>IF(ROW()-3&gt;MAX($KE$4:$KE$40),"",INDEX($ET$4:$ET$40,MATCH(ROW()-3,$KE$4:$KE$40,0)))</f>
        <v/>
      </c>
      <c r="KG6">
        <f>IF(COUNTIF('Live Search'!BM$5:CO$5,0)+COUNTIF('Live Search'!C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H6">
        <f>IF($EY$6="",FALSE,SUMPRODUCT(('Final Calculation Sheet'!$AC$4:$AC$40=$EY$6)*($KG$6:$KG$42=1))&gt;0)</f>
        <v/>
      </c>
      <c r="KI6">
        <f>$KI$5+--($KH6)</f>
        <v/>
      </c>
      <c r="KJ6">
        <f>IF(ROW()-3&gt;MAX($KI$4:$KI$40),"",INDEX($EY$4:$EY$40,MATCH(ROW()-3,$KI$4:$KI$40,0)))</f>
        <v/>
      </c>
      <c r="KK6">
        <f>IF(COUNTIF('Live Search'!BM$5:CP$5,0)+COUNTIF('Live Search'!CR$5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L6">
        <f>IF($FD$6="",FALSE,SUMPRODUCT(('Final Calculation Sheet'!$AD$4:$AD$40=$FD$6)*($KK$6:$KK$42=1))&gt;0)</f>
        <v/>
      </c>
      <c r="KM6">
        <f>$KM$5+--($KL6)</f>
        <v/>
      </c>
      <c r="KN6">
        <f>IF(ROW()-3&gt;MAX($KM$4:$KM$40),"",INDEX($FD$4:$FD$40,MATCH(ROW()-3,$KM$4:$KM$40,0)))</f>
        <v/>
      </c>
      <c r="KO6">
        <f>IF(COUNTIF('Live Search'!BM$5:CT$5,0)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P6">
        <f>IF($FX$6="",FALSE,SUMPRODUCT((IF('Final Calculation Sheet'!$AD$4:$AD$40&lt;=5,"SETTLED","OUTSTANDING")=$FX$6)*($KO$6:$KO$42=1))&gt;0)</f>
        <v/>
      </c>
      <c r="KQ6">
        <f>$KQ$5+--($KP6)</f>
        <v/>
      </c>
      <c r="KR6">
        <f>IF(ROW()-3&gt;MAX($KQ$4:$KQ$40),"",INDEX($FX$4:$FX$40,MATCH(ROW()-3,$KQ$4:$KQ$40,0)))</f>
        <v/>
      </c>
      <c r="KS6">
        <f>IF(COUNTIF('Live Search'!BM$5:CQ$5,0)+COUNTIF('Live Search'!CS$5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T6">
        <f>IF($FI$6="",FALSE,SUMPRODUCT(('Final Calculation Sheet'!$AF$4:$AF$40=$FI$6)*($KS$6:$KS$42=1))&gt;0)</f>
        <v/>
      </c>
      <c r="KU6">
        <f>$KU$5+--($KT6)</f>
        <v/>
      </c>
      <c r="KV6">
        <f>IF(ROW()-3&gt;MAX($KU$4:$KU$40),"",INDEX($FI$4:$FI$40,MATCH(ROW()-3,$KU$4:$KU$40,0)))</f>
        <v/>
      </c>
      <c r="KW6">
        <f>IF(COUNTIF('Live Search'!BM$5:CR$5,0)+COUNTIF('Live Search'!CT$5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KX6">
        <f>IF($FN$6="",FALSE,SUMPRODUCT(('Final Calculation Sheet'!$AG$4:$AG$40=$FN$6)*($KW$6:$KW$42=1))&gt;0)</f>
        <v/>
      </c>
      <c r="KY6">
        <f>$KY$5+--($KX6)</f>
        <v/>
      </c>
      <c r="KZ6">
        <f>IF(ROW()-3&gt;MAX($KY$4:$KY$40),"",INDEX($FN$4:$FN$40,MATCH(ROW()-3,$KY$4:$KY$40,0)))</f>
        <v/>
      </c>
      <c r="LA6">
        <f>IF(COUNTIF('Live Search'!BM$5:CS$5,0)+COUNTIF('Live Search'!CU$5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LB6">
        <f>IF($FS$6="",FALSE,SUMPRODUCT(('Final Calculation Sheet'!$AH$4:$AH$40=$FS$6)*($LA$6:$LA$42=1))&gt;0)</f>
        <v/>
      </c>
      <c r="LC6">
        <f>$LC$5+--($LB6)</f>
        <v/>
      </c>
      <c r="LD6">
        <f>IF(ROW()-3&gt;MAX($LC$4:$LC$40),"",INDEX($FS$4:$FS$40,MATCH(ROW()-3,$LC$4:$LC$40,0)))</f>
        <v/>
      </c>
      <c r="LE6">
        <f>IF(COUNTIF('Buyer Groups'!DH59:EN59,0)&gt;0,0,1)</f>
        <v/>
      </c>
      <c r="LF6">
        <f>IF($O$6="",FALSE,SUMPRODUCT(('Final Calculation Sheet'!$F$4:$F$40=$O$6)*($LE$6:$LE$42=1))&gt;0)</f>
        <v/>
      </c>
      <c r="LG6">
        <f>$LG$5+--($LF6)</f>
        <v/>
      </c>
      <c r="LH6">
        <f>IF(ROW()-3&gt;MAX($LG$4:$LG$40),"",INDEX($O$4:$O$40,MATCH(ROW()-3,$LG$4:$LG$40,0)))</f>
        <v/>
      </c>
      <c r="LI6">
        <f>IF(COUNTIF('Buyer Groups'!DG59:DG59,0)+COUNTIF('Buyer Groups'!DI59:EN59,0)&gt;0,0,1)</f>
        <v/>
      </c>
      <c r="LJ6">
        <f>IF($T$6="",FALSE,SUMPRODUCT(('Final Calculation Sheet'!$G$4:$G$40=$T$6)*($LI$6:$LI$42=1))&gt;0)</f>
        <v/>
      </c>
      <c r="LK6">
        <f>$LK$5+--($LJ6)</f>
        <v/>
      </c>
      <c r="LL6">
        <f>IF(ROW()-3&gt;MAX($LK$4:$LK$40),"",INDEX($T$4:$T$40,MATCH(ROW()-3,$LK$4:$LK$40,0)))</f>
        <v/>
      </c>
      <c r="LM6">
        <f>IF(COUNTIF('Buyer Groups'!DG59:DH59,0)+COUNTIF('Buyer Groups'!DJ59:EN59,0)&gt;0,0,1)</f>
        <v/>
      </c>
      <c r="LN6">
        <f>IF($Y$6="",FALSE,SUMPRODUCT(('Final Calculation Sheet'!$B$4:$B$40=$Y$6)*($LM$6:$LM$42=1))&gt;0)</f>
        <v/>
      </c>
      <c r="LO6">
        <f>$LO$5+--($LN6)</f>
        <v/>
      </c>
      <c r="LP6">
        <f>IF(ROW()-3&gt;MAX($LO$4:$LO$40),"",INDEX($Y$4:$Y$40,MATCH(ROW()-3,$LO$4:$LO$40,0)))</f>
        <v/>
      </c>
      <c r="LQ6">
        <f>IF(COUNTIF('Buyer Groups'!DG59:DI59,0)+COUNTIF('Buyer Groups'!DK59:EN59,0)&gt;0,0,1)</f>
        <v/>
      </c>
      <c r="LR6">
        <f>IF($AD$6="",FALSE,SUMPRODUCT(('Final Calculation Sheet'!$D$4:$D$40=$AD$6)*($LQ$6:$LQ$42=1))&gt;0)</f>
        <v/>
      </c>
      <c r="LS6">
        <f>$LS$5+--($LR6)</f>
        <v/>
      </c>
      <c r="LT6">
        <f>IF(ROW()-3&gt;MAX($LS$4:$LS$40),"",INDEX($AD$4:$AD$40,MATCH(ROW()-3,$LS$4:$LS$40,0)))</f>
        <v/>
      </c>
      <c r="LU6">
        <f>IF(COUNTIF('Buyer Groups'!DG59:DJ59,0)+COUNTIF('Buyer Groups'!DL59:EN59,0)&gt;0,0,1)</f>
        <v/>
      </c>
      <c r="LV6">
        <f>IF($AI$6="",FALSE,SUMPRODUCT(('Final Calculation Sheet'!$A$4:$A$40=$AI$6)*($LU$6:$LU$42=1))&gt;0)</f>
        <v/>
      </c>
      <c r="LW6">
        <f>$LW$5+--($LV6)</f>
        <v/>
      </c>
      <c r="LX6">
        <f>IF(ROW()-3&gt;MAX($LW$4:$LW$40),"",INDEX($AI$4:$AI$40,MATCH(ROW()-3,$LW$4:$LW$40,0)))</f>
        <v/>
      </c>
      <c r="LY6">
        <f>IF(COUNTIF('Buyer Groups'!DG59:DK59,0)+COUNTIF('Buyer Groups'!DM59:EN59,0)&gt;0,0,1)</f>
        <v/>
      </c>
      <c r="LZ6">
        <f>IF($AN$6="",FALSE,SUMPRODUCT(('Final Calculation Sheet'!$E$4:$E$40=$AN$6)*($LY$6:$LY$42=1))&gt;0)</f>
        <v/>
      </c>
      <c r="MA6">
        <f>$MA$5+--($LZ6)</f>
        <v/>
      </c>
      <c r="MB6">
        <f>IF(ROW()-3&gt;MAX($MA$4:$MA$40),"",INDEX($AN$4:$AN$40,MATCH(ROW()-3,$MA$4:$MA$40,0)))</f>
        <v/>
      </c>
      <c r="MC6">
        <f>IF(COUNTIF('Buyer Groups'!DG59:DL59,0)+COUNTIF('Buyer Groups'!DN59:EN59,0)&gt;0,0,1)</f>
        <v/>
      </c>
      <c r="MD6">
        <f>IF($AS$6="",FALSE,SUMPRODUCT(('Final Calculation Sheet'!$C$4:$C$40=$AS$6)*($MC$6:$MC$42=1))&gt;0)</f>
        <v/>
      </c>
      <c r="ME6">
        <f>$ME$5+--($MD6)</f>
        <v/>
      </c>
      <c r="MF6">
        <f>IF(ROW()-3&gt;MAX($ME$4:$ME$40),"",INDEX($AS$4:$AS$40,MATCH(ROW()-3,$ME$4:$ME$40,0)))</f>
        <v/>
      </c>
      <c r="MG6">
        <f>IF(COUNTIF('Buyer Groups'!DG59:DM59,0)+COUNTIF('Buyer Groups'!DO59:EN59,0)&gt;0,0,1)</f>
        <v/>
      </c>
      <c r="MH6">
        <f>IF($AX$6="",FALSE,SUMPRODUCT(('Final Calculation Sheet'!$H$4:$H$40=$AX$6)*($MG$6:$MG$42=1))&gt;0)</f>
        <v/>
      </c>
      <c r="MI6">
        <f>$MI$5+--($MH6)</f>
        <v/>
      </c>
      <c r="MJ6">
        <f>IF(ROW()-3&gt;MAX($MI$4:$MI$40),"",INDEX($AX$4:$AX$40,MATCH(ROW()-3,$MI$4:$MI$40,0)))</f>
        <v/>
      </c>
      <c r="MK6">
        <f>IF(COUNTIF('Buyer Groups'!DG59:DN59,0)+COUNTIF('Buyer Groups'!DP59:EN59,0)&gt;0,0,1)</f>
        <v/>
      </c>
      <c r="ML6">
        <f>IF($BC$6="",FALSE,SUMPRODUCT(('Final Calculation Sheet'!$I$4:$I$40=$BC$6)*($MK$6:$MK$42=1))&gt;0)</f>
        <v/>
      </c>
      <c r="MM6">
        <f>$MM$5+--($ML6)</f>
        <v/>
      </c>
      <c r="MN6">
        <f>IF(ROW()-3&gt;MAX($MM$4:$MM$40),"",INDEX($BC$4:$BC$40,MATCH(ROW()-3,$MM$4:$MM$40,0)))</f>
        <v/>
      </c>
      <c r="MO6">
        <f>IF(COUNTIF('Buyer Groups'!DG59:DO59,0)+COUNTIF('Buyer Groups'!DQ59:EN59,0)&gt;0,0,1)</f>
        <v/>
      </c>
      <c r="MP6">
        <f>IF($BH$6="",FALSE,SUMPRODUCT(('Final Calculation Sheet'!$J$4:$J$40=$BH$6)*($MO$6:$MO$42=1))&gt;0)</f>
        <v/>
      </c>
      <c r="MQ6">
        <f>$MQ$5+--($MP6)</f>
        <v/>
      </c>
      <c r="MR6">
        <f>IF(ROW()-3&gt;MAX($MQ$4:$MQ$40),"",INDEX($BH$4:$BH$40,MATCH(ROW()-3,$MQ$4:$MQ$40,0)))</f>
        <v/>
      </c>
      <c r="MS6">
        <f>IF(COUNTIF('Buyer Groups'!DG59:DP59,0)+COUNTIF('Buyer Groups'!DR59:EN59,0)&gt;0,0,1)</f>
        <v/>
      </c>
      <c r="MT6">
        <f>IF($BM$6="",FALSE,SUMPRODUCT(('Final Calculation Sheet'!$K$4:$K$40=$BM$6)*($MS$6:$MS$42=1))&gt;0)</f>
        <v/>
      </c>
      <c r="MU6">
        <f>$MU$5+--($MT6)</f>
        <v/>
      </c>
      <c r="MV6">
        <f>IF(ROW()-3&gt;MAX($MU$4:$MU$40),"",INDEX($BM$4:$BM$40,MATCH(ROW()-3,$MU$4:$MU$40,0)))</f>
        <v/>
      </c>
      <c r="MW6">
        <f>IF(COUNTIF('Buyer Groups'!DG59:DQ59,0)+COUNTIF('Buyer Groups'!DS59:EN59,0)&gt;0,0,1)</f>
        <v/>
      </c>
      <c r="MX6">
        <f>IF($BR$6="",FALSE,SUMPRODUCT(('Final Calculation Sheet'!$L$4:$L$40=$BR$6)*($MW$6:$MW$42=1))&gt;0)</f>
        <v/>
      </c>
      <c r="MY6">
        <f>$MY$5+--($MX6)</f>
        <v/>
      </c>
      <c r="MZ6">
        <f>IF(ROW()-3&gt;MAX($MY$4:$MY$40),"",INDEX($BR$4:$BR$40,MATCH(ROW()-3,$MY$4:$MY$40,0)))</f>
        <v/>
      </c>
      <c r="NA6">
        <f>IF(COUNTIF('Buyer Groups'!DG59:DR59,0)+COUNTIF('Buyer Groups'!DT59:EN59,0)&gt;0,0,1)</f>
        <v/>
      </c>
      <c r="NB6">
        <f>IF($BW$6="",FALSE,SUMPRODUCT(('Final Calculation Sheet'!$M$4:$M$40=$BW$6)*($NA$6:$NA$42=1))&gt;0)</f>
        <v/>
      </c>
      <c r="NC6">
        <f>$NC$5+--($NB6)</f>
        <v/>
      </c>
      <c r="ND6">
        <f>IF(ROW()-3&gt;MAX($NC$4:$NC$40),"",INDEX($BW$4:$BW$40,MATCH(ROW()-3,$NC$4:$NC$40,0)))</f>
        <v/>
      </c>
      <c r="NE6">
        <f>IF(COUNTIF('Buyer Groups'!DG59:DS59,0)+COUNTIF('Buyer Groups'!DU59:EN59,0)&gt;0,0,1)</f>
        <v/>
      </c>
      <c r="NF6">
        <f>IF($CB$6="",FALSE,SUMPRODUCT(('Final Calculation Sheet'!$N$4:$N$40=$CB$6)*($NE$6:$NE$42=1))&gt;0)</f>
        <v/>
      </c>
      <c r="NG6">
        <f>$NG$5+--($NF6)</f>
        <v/>
      </c>
      <c r="NH6">
        <f>IF(ROW()-3&gt;MAX($NG$4:$NG$40),"",INDEX($CB$4:$CB$40,MATCH(ROW()-3,$NG$4:$NG$40,0)))</f>
        <v/>
      </c>
      <c r="NI6">
        <f>IF(COUNTIF('Buyer Groups'!DG59:DT59,0)+COUNTIF('Buyer Groups'!DV59:EN59,0)&gt;0,0,1)</f>
        <v/>
      </c>
      <c r="NJ6">
        <f>IF($CG$6="",FALSE,SUMPRODUCT(('Final Calculation Sheet'!$O$4:$O$40=$CG$6)*($NI$6:$NI$42=1))&gt;0)</f>
        <v/>
      </c>
      <c r="NK6">
        <f>$NK$5+--($NJ6)</f>
        <v/>
      </c>
      <c r="NL6">
        <f>IF(ROW()-3&gt;MAX($NK$4:$NK$40),"",INDEX($CG$4:$CG$40,MATCH(ROW()-3,$NK$4:$NK$40,0)))</f>
        <v/>
      </c>
      <c r="NM6">
        <f>IF(COUNTIF('Buyer Groups'!DG59:DU59,0)+COUNTIF('Buyer Groups'!DW59:EN59,0)&gt;0,0,1)</f>
        <v/>
      </c>
      <c r="NN6">
        <f>IF($CL$6="",FALSE,SUMPRODUCT(('Final Calculation Sheet'!$P$4:$P$40=$CL$6)*($NM$6:$NM$42=1))&gt;0)</f>
        <v/>
      </c>
      <c r="NO6">
        <f>$NO$5+--($NN6)</f>
        <v/>
      </c>
      <c r="NP6">
        <f>IF(ROW()-3&gt;MAX($NO$4:$NO$40),"",INDEX($CL$4:$CL$40,MATCH(ROW()-3,$NO$4:$NO$40,0)))</f>
        <v/>
      </c>
      <c r="NQ6">
        <f>IF(COUNTIF('Buyer Groups'!DG59:DV59,0)+COUNTIF('Buyer Groups'!DX59:EN59,0)&gt;0,0,1)</f>
        <v/>
      </c>
      <c r="NR6">
        <f>IF($CQ$6="",FALSE,SUMPRODUCT(('Final Calculation Sheet'!$Q$4:$Q$40=$CQ$6)*($NQ$6:$NQ$42=1))&gt;0)</f>
        <v/>
      </c>
      <c r="NS6">
        <f>$NS$5+--($NR6)</f>
        <v/>
      </c>
      <c r="NT6">
        <f>IF(ROW()-3&gt;MAX($NS$4:$NS$40),"",INDEX($CQ$4:$CQ$40,MATCH(ROW()-3,$NS$4:$NS$40,0)))</f>
        <v/>
      </c>
      <c r="NU6">
        <f>IF(COUNTIF('Buyer Groups'!DG59:DW59,0)+COUNTIF('Buyer Groups'!DY59:EN59,0)&gt;0,0,1)</f>
        <v/>
      </c>
      <c r="NV6">
        <f>IF($CV$6="",FALSE,SUMPRODUCT(('Final Calculation Sheet'!$R$4:$R$40=$CV$6)*($NU$6:$NU$42=1))&gt;0)</f>
        <v/>
      </c>
      <c r="NW6">
        <f>$NW$5+--($NV6)</f>
        <v/>
      </c>
      <c r="NX6">
        <f>IF(ROW()-3&gt;MAX($NW$4:$NW$40),"",INDEX($CV$4:$CV$40,MATCH(ROW()-3,$NW$4:$NW$40,0)))</f>
        <v/>
      </c>
      <c r="NY6">
        <f>IF(COUNTIF('Buyer Groups'!DG59:DX59,0)+COUNTIF('Buyer Groups'!DZ59:EN59,0)&gt;0,0,1)</f>
        <v/>
      </c>
      <c r="NZ6">
        <f>IF($DA$6="",FALSE,SUMPRODUCT(('Final Calculation Sheet'!$S$4:$S$40=$DA$6)*($NY$6:$NY$42=1))&gt;0)</f>
        <v/>
      </c>
      <c r="OA6">
        <f>$OA$5+--($NZ6)</f>
        <v/>
      </c>
      <c r="OB6">
        <f>IF(ROW()-3&gt;MAX($OA$4:$OA$40),"",INDEX($DA$4:$DA$40,MATCH(ROW()-3,$OA$4:$OA$40,0)))</f>
        <v/>
      </c>
      <c r="OC6">
        <f>IF(COUNTIF('Buyer Groups'!DG59:DY59,0)+COUNTIF('Buyer Groups'!EA59:EN59,0)&gt;0,0,1)</f>
        <v/>
      </c>
      <c r="OD6">
        <f>IF($DF$6="",FALSE,SUMPRODUCT(('Final Calculation Sheet'!$T$4:$T$40=$DF$6)*($OC$6:$OC$42=1))&gt;0)</f>
        <v/>
      </c>
      <c r="OE6">
        <f>$OE$5+--($OD6)</f>
        <v/>
      </c>
      <c r="OF6">
        <f>IF(ROW()-3&gt;MAX($OE$4:$OE$40),"",INDEX($DF$4:$DF$40,MATCH(ROW()-3,$OE$4:$OE$40,0)))</f>
        <v/>
      </c>
      <c r="OG6">
        <f>IF(COUNTIF('Buyer Groups'!DG59:DZ59,0)+COUNTIF('Buyer Groups'!EB59:EN59,0)&gt;0,0,1)</f>
        <v/>
      </c>
      <c r="OH6">
        <f>IF($DK$6="",FALSE,SUMPRODUCT(('Final Calculation Sheet'!$U$4:$U$40=$DK$6)*($OG$6:$OG$42=1))&gt;0)</f>
        <v/>
      </c>
      <c r="OI6">
        <f>$OI$5+--($OH6)</f>
        <v/>
      </c>
      <c r="OJ6">
        <f>IF(ROW()-3&gt;MAX($OI$4:$OI$40),"",INDEX($DK$4:$DK$40,MATCH(ROW()-3,$OI$4:$OI$40,0)))</f>
        <v/>
      </c>
      <c r="OK6">
        <f>IF(COUNTIF('Buyer Groups'!DG59:EA59,0)+COUNTIF('Buyer Groups'!EC59:EN59,0)&gt;0,0,1)</f>
        <v/>
      </c>
      <c r="OL6">
        <f>IF($DP$6="",FALSE,SUMPRODUCT(('Final Calculation Sheet'!$V$4:$V$40=$DP$6)*($OK$6:$OK$42=1))&gt;0)</f>
        <v/>
      </c>
      <c r="OM6">
        <f>$OM$5+--($OL6)</f>
        <v/>
      </c>
      <c r="ON6">
        <f>IF(ROW()-3&gt;MAX($OM$4:$OM$40),"",INDEX($DP$4:$DP$40,MATCH(ROW()-3,$OM$4:$OM$40,0)))</f>
        <v/>
      </c>
      <c r="OO6">
        <f>IF(COUNTIF('Buyer Groups'!DG59:EB59,0)+COUNTIF('Buyer Groups'!ED59:EN59,0)&gt;0,0,1)</f>
        <v/>
      </c>
      <c r="OP6">
        <f>IF($DU$6="",FALSE,SUMPRODUCT(('Final Calculation Sheet'!$W$4:$W$40=$DU$6)*($OO$6:$OO$42=1))&gt;0)</f>
        <v/>
      </c>
      <c r="OQ6">
        <f>$OQ$5+--($OP6)</f>
        <v/>
      </c>
      <c r="OR6">
        <f>IF(ROW()-3&gt;MAX($OQ$4:$OQ$40),"",INDEX($DU$4:$DU$40,MATCH(ROW()-3,$OQ$4:$OQ$40,0)))</f>
        <v/>
      </c>
      <c r="OS6">
        <f>IF(COUNTIF('Buyer Groups'!DG59:EC59,0)+COUNTIF('Buyer Groups'!EE59:EN59,0)&gt;0,0,1)</f>
        <v/>
      </c>
      <c r="OT6">
        <f>IF($DZ$6="",FALSE,SUMPRODUCT(('Final Calculation Sheet'!$X$4:$X$40=$DZ$6)*($OS$6:$OS$42=1))&gt;0)</f>
        <v/>
      </c>
      <c r="OU6">
        <f>$OU$5+--($OT6)</f>
        <v/>
      </c>
      <c r="OV6">
        <f>IF(ROW()-3&gt;MAX($OU$4:$OU$40),"",INDEX($DZ$4:$DZ$40,MATCH(ROW()-3,$OU$4:$OU$40,0)))</f>
        <v/>
      </c>
      <c r="OW6">
        <f>IF(COUNTIF('Buyer Groups'!DG59:ED59,0)+COUNTIF('Buyer Groups'!EF59:EN59,0)&gt;0,0,1)</f>
        <v/>
      </c>
      <c r="OX6">
        <f>IF($EE$6="",FALSE,SUMPRODUCT(('Final Calculation Sheet'!$Y$4:$Y$40=$EE$6)*($OW$6:$OW$42=1))&gt;0)</f>
        <v/>
      </c>
      <c r="OY6">
        <f>$OY$5+--($OX6)</f>
        <v/>
      </c>
      <c r="OZ6">
        <f>IF(ROW()-3&gt;MAX($OY$4:$OY$40),"",INDEX($EE$4:$EE$40,MATCH(ROW()-3,$OY$4:$OY$40,0)))</f>
        <v/>
      </c>
      <c r="PA6">
        <f>IF(COUNTIF('Buyer Groups'!DG59:EE59,0)+COUNTIF('Buyer Groups'!EG59:EN59,0)&gt;0,0,1)</f>
        <v/>
      </c>
      <c r="PB6">
        <f>IF($EJ$6="",FALSE,SUMPRODUCT(('Final Calculation Sheet'!$Z$4:$Z$40=$EJ$6)*($PA$6:$PA$42=1))&gt;0)</f>
        <v/>
      </c>
      <c r="PC6">
        <f>$PC$5+--($PB6)</f>
        <v/>
      </c>
      <c r="PD6">
        <f>IF(ROW()-3&gt;MAX($PC$4:$PC$40),"",INDEX($EJ$4:$EJ$40,MATCH(ROW()-3,$PC$4:$PC$40,0)))</f>
        <v/>
      </c>
      <c r="PE6">
        <f>IF(COUNTIF('Buyer Groups'!DG59:EF59,0)+COUNTIF('Buyer Groups'!EH59:EN59,0)&gt;0,0,1)</f>
        <v/>
      </c>
      <c r="PF6">
        <f>IF($EO$6="",FALSE,SUMPRODUCT(('Final Calculation Sheet'!$AA$4:$AA$40=$EO$6)*($PE$6:$PE$42=1))&gt;0)</f>
        <v/>
      </c>
      <c r="PG6">
        <f>$PG$5+--($PF6)</f>
        <v/>
      </c>
      <c r="PH6">
        <f>IF(ROW()-3&gt;MAX($PG$4:$PG$40),"",INDEX($EO$4:$EO$40,MATCH(ROW()-3,$PG$4:$PG$40,0)))</f>
        <v/>
      </c>
      <c r="PI6">
        <f>IF(COUNTIF('Buyer Groups'!DG59:EG59,0)+COUNTIF('Buyer Groups'!EI59:EN59,0)&gt;0,0,1)</f>
        <v/>
      </c>
      <c r="PJ6">
        <f>IF($ET$6="",FALSE,SUMPRODUCT(('Final Calculation Sheet'!$AB$4:$AB$40=$ET$6)*($PI$6:$PI$42=1))&gt;0)</f>
        <v/>
      </c>
      <c r="PK6">
        <f>$PK$5+--($PJ6)</f>
        <v/>
      </c>
      <c r="PL6">
        <f>IF(ROW()-3&gt;MAX($PK$4:$PK$40),"",INDEX($ET$4:$ET$40,MATCH(ROW()-3,$PK$4:$PK$40,0)))</f>
        <v/>
      </c>
      <c r="PM6">
        <f>IF(COUNTIF('Buyer Groups'!DG59:EH59,0)+COUNTIF('Buyer Groups'!EJ59:EN59,0)&gt;0,0,1)</f>
        <v/>
      </c>
      <c r="PN6">
        <f>IF($EY$6="",FALSE,SUMPRODUCT(('Final Calculation Sheet'!$AC$4:$AC$40=$EY$6)*($PM$6:$PM$42=1))&gt;0)</f>
        <v/>
      </c>
      <c r="PO6">
        <f>$PO$5+--($PN6)</f>
        <v/>
      </c>
      <c r="PP6">
        <f>IF(ROW()-3&gt;MAX($PO$4:$PO$40),"",INDEX($EY$4:$EY$40,MATCH(ROW()-3,$PO$4:$PO$40,0)))</f>
        <v/>
      </c>
      <c r="PQ6">
        <f>IF(COUNTIF('Buyer Groups'!DG59:EI59,0)+COUNTIF('Buyer Groups'!EK59:EN59,0)&gt;0,0,1)</f>
        <v/>
      </c>
      <c r="PR6">
        <f>IF($FD$6="",FALSE,SUMPRODUCT(('Final Calculation Sheet'!$AD$4:$AD$40=$FD$6)*($PQ$6:$PQ$42=1))&gt;0)</f>
        <v/>
      </c>
      <c r="PS6">
        <f>$PS$5+--($PR6)</f>
        <v/>
      </c>
      <c r="PT6">
        <f>IF(ROW()-3&gt;MAX($PS$4:$PS$40),"",INDEX($FD$4:$FD$40,MATCH(ROW()-3,$PS$4:$PS$40,0)))</f>
        <v/>
      </c>
      <c r="PU6">
        <f>IF(COUNTIF('Buyer Groups'!DG59:EJ59,0)+COUNTIF('Buyer Groups'!EL59:EN59,0)&gt;0,0,1)</f>
        <v/>
      </c>
      <c r="PV6">
        <f>IF($FX$6="",FALSE,SUMPRODUCT((IF('Final Calculation Sheet'!$AD$4:$AD$40&lt;=5,"SETTLED","OUTSTANDING")=$FX$6)*($PU$6:$PU$42=1))&gt;0)</f>
        <v/>
      </c>
      <c r="PW6">
        <f>$PW$5+--($PV6)</f>
        <v/>
      </c>
      <c r="PX6">
        <f>IF(ROW()-3&gt;MAX($PW$4:$PW$40),"",INDEX($FX$4:$FX$40,MATCH(ROW()-3,$PW$4:$PW$40,0)))</f>
        <v/>
      </c>
      <c r="PY6">
        <f>IF(COUNTIF('Buyer Groups'!DG59:EK59,0)+COUNTIF('Buyer Groups'!EM59:EN59,0)&gt;0,0,1)</f>
        <v/>
      </c>
      <c r="PZ6">
        <f>IF($FI$6="",FALSE,SUMPRODUCT(('Final Calculation Sheet'!$AF$4:$AF$40=$FI$6)*($PY$6:$PY$42=1))&gt;0)</f>
        <v/>
      </c>
      <c r="QA6">
        <f>$QA$5+--($PZ6)</f>
        <v/>
      </c>
      <c r="QB6">
        <f>IF(ROW()-3&gt;MAX($QA$4:$QA$40),"",INDEX($FI$4:$FI$40,MATCH(ROW()-3,$QA$4:$QA$40,0)))</f>
        <v/>
      </c>
      <c r="QC6">
        <f>IF(COUNTIF('Buyer Groups'!DG59:EL59,0)+COUNTIF('Buyer Groups'!EN59:EN59,0)&gt;0,0,1)</f>
        <v/>
      </c>
      <c r="QD6">
        <f>IF($FN$6="",FALSE,SUMPRODUCT(('Final Calculation Sheet'!$AG$4:$AG$40=$FN$6)*($QC$6:$QC$42=1))&gt;0)</f>
        <v/>
      </c>
      <c r="QE6">
        <f>$QE$5+--($QD6)</f>
        <v/>
      </c>
      <c r="QF6">
        <f>IF(ROW()-3&gt;MAX($QE$4:$QE$40),"",INDEX($FN$4:$FN$40,MATCH(ROW()-3,$QE$4:$QE$40,0)))</f>
        <v/>
      </c>
      <c r="QG6">
        <f>IF(COUNTIF('Buyer Groups'!DG59:EM59,0)&gt;0,0,1)</f>
        <v/>
      </c>
      <c r="QH6">
        <f>IF($FS$6="",FALSE,SUMPRODUCT(('Final Calculation Sheet'!$AH$4:$AH$40=$FS$6)*($QG$6:$QG$42=1))&gt;0)</f>
        <v/>
      </c>
      <c r="QI6">
        <f>$QI$5+--($QH6)</f>
        <v/>
      </c>
      <c r="QJ6">
        <f>IF(ROW()-3&gt;MAX($QI$4:$QI$40),"",INDEX($FS$4:$FS$40,MATCH(ROW()-3,$QI$4:$QI$40,0)))</f>
        <v/>
      </c>
      <c r="QK6" t="str">
        <f>IF('Final Calculation Sheet'!$AH$6="","",'Final Calculation Sheet'!$AH$6)</f>
      </c>
      <c r="QL6" t="str">
        <f>IF(QK6="","",COUNTIFS(QK$4:QK$40,"&lt;"&amp;QK6,QK$4:QK$40,"&lt;&gt;"&amp;"")+COUNTIF(QK$4:QK6,QK6))</f>
      </c>
      <c r="QM6" t="str">
        <f>IF(ROW()-3&gt;COUNTIF(QK$4:QK$40,"&lt;&gt;"&amp;""),"",INDEX(QK$4:QK$40,MATCH(ROW()-3,QL$4:QL$40,0)))</f>
      </c>
      <c r="QN6" t="str">
        <f>=QN5+F(AND(QM6&lt;&gt;"",COUNTIF(QM$4:QM6,QM6)=1),1,0)</f>
      </c>
      <c r="QO6" t="str">
        <f>IF(ROW()-3&gt;MAX(QN$4:QN$40),"",INDEX(QM$4:QM$40,MATCH(ROW()-3,QN$4:QN$40,0)))</f>
      </c>
      <c r="QP6" t="str">
        <f>IF(COUNTIF('Final Calculation Sheet'!$AM6:$BS6,0)&gt;0,0,1)</f>
      </c>
      <c r="QQ6" t="str">
        <f>IF($AI$6="",FALSE,SUMPRODUCT(('Final Calculation Sheet'!$A$4:$A$40=$AI$6)*($QP$4:$QP$40=1))&gt;0)</f>
      </c>
      <c r="QR6" t="str">
        <f>=$QR5+--($QQ6)</f>
      </c>
      <c r="QS6" t="str">
        <f>IF(ROW()-3&gt;MAX($QR$4:$QR$40),"",INDEX($AI$4:$AI$40,MATCH(ROW()-3,$QR$4:$QR$40,0)))</f>
      </c>
      <c r="QT6" t="str">
        <f>IF(COUNTIF('Final Calculation Sheet'!$AL6:$AL6,0)+COUNTIF('Final Calculation Sheet'!$AN6:$BS6,0)&gt;0,0,1)</f>
      </c>
      <c r="QU6" t="str">
        <f>IF($Y$6="",FALSE,SUMPRODUCT(('Final Calculation Sheet'!$B$4:$B$40=$Y$6)*($QT$4:$QT$40=1))&gt;0)</f>
      </c>
      <c r="QV6" t="str">
        <f>=$QV5+--($QU6)</f>
      </c>
      <c r="QW6" t="str">
        <f>IF(ROW()-3&gt;MAX($QV$4:$QV$40),"",INDEX($Y$4:$Y$40,MATCH(ROW()-3,$QV$4:$QV$40,0)))</f>
      </c>
      <c r="QX6" t="str">
        <f>IF(COUNTIF('Final Calculation Sheet'!$AL6:$AM6,0)+COUNTIF('Final Calculation Sheet'!$AO6:$BS6,0)&gt;0,0,1)</f>
      </c>
      <c r="QY6" t="str">
        <f>IF($AS$6="",FALSE,SUMPRODUCT(('Final Calculation Sheet'!$C$4:$C$40=$AS$6)*($QX$4:$QX$40=1))&gt;0)</f>
      </c>
      <c r="QZ6" t="str">
        <f>=$QZ5+--($QY6)</f>
      </c>
      <c r="RA6" t="str">
        <f>IF(ROW()-3&gt;MAX($QZ$4:$QZ$40),"",INDEX($AS$4:$AS$40,MATCH(ROW()-3,$QZ$4:$QZ$40,0)))</f>
      </c>
      <c r="RB6" t="str">
        <f>IF(COUNTIF('Final Calculation Sheet'!$AL6:$AN6,0)+COUNTIF('Final Calculation Sheet'!$AP6:$BS6,0)&gt;0,0,1)</f>
      </c>
      <c r="RC6" t="str">
        <f>IF($AD$6="",FALSE,SUMPRODUCT(('Final Calculation Sheet'!$D$4:$D$40=$AD$6)*($RB$4:$RB$40=1))&gt;0)</f>
      </c>
      <c r="RD6" t="str">
        <f>=$RD5+--($RC6)</f>
      </c>
      <c r="RE6" t="str">
        <f>IF(ROW()-3&gt;MAX($RD$4:$RD$40),"",INDEX($AD$4:$AD$40,MATCH(ROW()-3,$RD$4:$RD$40,0)))</f>
      </c>
      <c r="RF6" t="str">
        <f>IF(COUNTIF('Final Calculation Sheet'!$AL6:$AO6,0)+COUNTIF('Final Calculation Sheet'!$AQ6:$BS6,0)&gt;0,0,1)</f>
      </c>
      <c r="RG6" t="str">
        <f>IF($AN$6="",FALSE,SUMPRODUCT(('Final Calculation Sheet'!$E$4:$E$40=$AN$6)*($RF$4:$RF$40=1))&gt;0)</f>
      </c>
      <c r="RH6" t="str">
        <f>=$RH5+--($RG6)</f>
      </c>
      <c r="RI6" t="str">
        <f>IF(ROW()-3&gt;MAX($RH$4:$RH$40),"",INDEX($AN$4:$AN$40,MATCH(ROW()-3,$RH$4:$RH$40,0)))</f>
      </c>
      <c r="RJ6" t="str">
        <f>IF(COUNTIF('Final Calculation Sheet'!$AL6:$AP6,0)+COUNTIF('Final Calculation Sheet'!$AR6:$BS6,0)&gt;0,0,1)</f>
      </c>
      <c r="RK6" t="str">
        <f>IF($O$6="",FALSE,SUMPRODUCT(('Final Calculation Sheet'!$F$4:$F$40=$O$6)*($RJ$4:$RJ$40=1))&gt;0)</f>
      </c>
      <c r="RL6" t="str">
        <f>=$RL5+--($RK6)</f>
      </c>
      <c r="RM6" t="str">
        <f>IF(ROW()-3&gt;MAX($RL$4:$RL$40),"",INDEX($O$4:$O$40,MATCH(ROW()-3,$RL$4:$RL$40,0)))</f>
      </c>
      <c r="RN6" t="str">
        <f>IF(COUNTIF('Final Calculation Sheet'!$AL6:$AQ6,0)+COUNTIF('Final Calculation Sheet'!$AS6:$BS6,0)&gt;0,0,1)</f>
      </c>
      <c r="RO6" t="str">
        <f>IF($T$6="",FALSE,SUMPRODUCT(('Final Calculation Sheet'!$G$4:$G$40=$T$6)*($RN$4:$RN$40=1))&gt;0)</f>
      </c>
      <c r="RP6" t="str">
        <f>=$RP5+--($RO6)</f>
      </c>
      <c r="RQ6" t="str">
        <f>IF(ROW()-3&gt;MAX($RP$4:$RP$40),"",INDEX($T$4:$T$40,MATCH(ROW()-3,$RP$4:$RP$40,0)))</f>
      </c>
      <c r="RR6" t="str">
        <f>IF(COUNTIF('Final Calculation Sheet'!$AL6:$AR6,0)+COUNTIF('Final Calculation Sheet'!$AT6:$BS6,0)&gt;0,0,1)</f>
      </c>
      <c r="RS6" t="str">
        <f>IF($AX$6="",FALSE,SUMPRODUCT(('Final Calculation Sheet'!$H$4:$H$40=$AX$6)*($RR$4:$RR$40=1))&gt;0)</f>
      </c>
      <c r="RT6" t="str">
        <f>=$RT5+--($RS6)</f>
      </c>
      <c r="RU6" t="str">
        <f>IF(ROW()-3&gt;MAX($RT$4:$RT$40),"",INDEX($AX$4:$AX$40,MATCH(ROW()-3,$RT$4:$RT$40,0)))</f>
      </c>
      <c r="RV6" t="str">
        <f>IF(COUNTIF('Final Calculation Sheet'!$AL6:$AS6,0)+COUNTIF('Final Calculation Sheet'!$AU6:$BS6,0)&gt;0,0,1)</f>
      </c>
      <c r="RW6" t="str">
        <f>IF($BC$6="",FALSE,SUMPRODUCT(('Final Calculation Sheet'!$I$4:$I$40=$BC$6)*($RV$4:$RV$40=1))&gt;0)</f>
      </c>
      <c r="RX6" t="str">
        <f>=$RX5+--($RW6)</f>
      </c>
      <c r="RY6" t="str">
        <f>IF(ROW()-3&gt;MAX($RX$4:$RX$40),"",INDEX($BC$4:$BC$40,MATCH(ROW()-3,$RX$4:$RX$40,0)))</f>
      </c>
      <c r="RZ6" t="str">
        <f>IF(COUNTIF('Final Calculation Sheet'!$AL6:$AT6,0)+COUNTIF('Final Calculation Sheet'!$AV6:$BS6,0)&gt;0,0,1)</f>
      </c>
      <c r="SA6" t="str">
        <f>IF($BH$6="",FALSE,SUMPRODUCT(('Final Calculation Sheet'!$J$4:$J$40=$BH$6)*($RZ$4:$RZ$40=1))&gt;0)</f>
      </c>
      <c r="SB6" t="str">
        <f>=$SB5+--($SA6)</f>
      </c>
      <c r="SC6" t="str">
        <f>IF(ROW()-3&gt;MAX($SB$4:$SB$40),"",INDEX($BH$4:$BH$40,MATCH(ROW()-3,$SB$4:$SB$40,0)))</f>
      </c>
      <c r="SD6" t="str">
        <f>IF(COUNTIF('Final Calculation Sheet'!$AL6:$AU6,0)+COUNTIF('Final Calculation Sheet'!$AW6:$BS6,0)&gt;0,0,1)</f>
      </c>
      <c r="SE6" t="str">
        <f>IF($BM$6="",FALSE,SUMPRODUCT(('Final Calculation Sheet'!$K$4:$K$40=$BM$6)*($SD$4:$SD$40=1))&gt;0)</f>
      </c>
      <c r="SF6" t="str">
        <f>=$SF5+--($SE6)</f>
      </c>
      <c r="SG6" t="str">
        <f>IF(ROW()-3&gt;MAX($SF$4:$SF$40),"",INDEX($BM$4:$BM$40,MATCH(ROW()-3,$SF$4:$SF$40,0)))</f>
      </c>
      <c r="SH6" t="str">
        <f>IF(COUNTIF('Final Calculation Sheet'!$AL6:$AV6,0)+COUNTIF('Final Calculation Sheet'!$AX6:$BS6,0)&gt;0,0,1)</f>
      </c>
      <c r="SI6" t="str">
        <f>IF($BR$6="",FALSE,SUMPRODUCT(('Final Calculation Sheet'!$L$4:$L$40=$BR$6)*($SH$4:$SH$40=1))&gt;0)</f>
      </c>
      <c r="SJ6" t="str">
        <f>=$SJ5+--($SI6)</f>
      </c>
      <c r="SK6" t="str">
        <f>IF(ROW()-3&gt;MAX($SJ$4:$SJ$40),"",INDEX($BR$4:$BR$40,MATCH(ROW()-3,$SJ$4:$SJ$40,0)))</f>
      </c>
      <c r="SL6" t="str">
        <f>IF(COUNTIF('Final Calculation Sheet'!$AL6:$AW6,0)+COUNTIF('Final Calculation Sheet'!$AY6:$BS6,0)&gt;0,0,1)</f>
      </c>
      <c r="SM6" t="str">
        <f>IF($BW$6="",FALSE,SUMPRODUCT(('Final Calculation Sheet'!$M$4:$M$40=$BW$6)*($SL$4:$SL$40=1))&gt;0)</f>
      </c>
      <c r="SN6" t="str">
        <f>=$SN5+--($SM6)</f>
      </c>
      <c r="SO6" t="str">
        <f>IF(ROW()-3&gt;MAX($SN$4:$SN$40),"",INDEX($BW$4:$BW$40,MATCH(ROW()-3,$SN$4:$SN$40,0)))</f>
      </c>
      <c r="SP6" t="str">
        <f>IF(COUNTIF('Final Calculation Sheet'!$AL6:$AX6,0)+COUNTIF('Final Calculation Sheet'!$AZ6:$BS6,0)&gt;0,0,1)</f>
      </c>
      <c r="SQ6" t="str">
        <f>IF($CB$6="",FALSE,SUMPRODUCT(('Final Calculation Sheet'!$N$4:$N$40=$CB$6)*($SP$4:$SP$40=1))&gt;0)</f>
      </c>
      <c r="SR6" t="str">
        <f>=$SR5+--($SQ6)</f>
      </c>
      <c r="SS6" t="str">
        <f>IF(ROW()-3&gt;MAX($SR$4:$SR$40),"",INDEX($CB$4:$CB$40,MATCH(ROW()-3,$SR$4:$SR$40,0)))</f>
      </c>
      <c r="ST6" t="str">
        <f>IF(COUNTIF('Final Calculation Sheet'!$AL6:$AY6,0)+COUNTIF('Final Calculation Sheet'!$BA6:$BS6,0)&gt;0,0,1)</f>
      </c>
      <c r="SU6" t="str">
        <f>IF($CG$6="",FALSE,SUMPRODUCT(('Final Calculation Sheet'!$O$4:$O$40=$CG$6)*($ST$4:$ST$40=1))&gt;0)</f>
      </c>
      <c r="SV6" t="str">
        <f>=$SV5+--($SU6)</f>
      </c>
      <c r="SW6" t="str">
        <f>IF(ROW()-3&gt;MAX($SV$4:$SV$40),"",INDEX($CG$4:$CG$40,MATCH(ROW()-3,$SV$4:$SV$40,0)))</f>
      </c>
      <c r="SX6" t="str">
        <f>IF(COUNTIF('Final Calculation Sheet'!$AL6:$AZ6,0)+COUNTIF('Final Calculation Sheet'!$BB6:$BS6,0)&gt;0,0,1)</f>
      </c>
      <c r="SY6" t="str">
        <f>IF($CL$6="",FALSE,SUMPRODUCT(('Final Calculation Sheet'!$P$4:$P$40=$CL$6)*($SX$4:$SX$40=1))&gt;0)</f>
      </c>
      <c r="SZ6" t="str">
        <f>=$SZ5+--($SY6)</f>
      </c>
      <c r="TA6" t="str">
        <f>IF(ROW()-3&gt;MAX($SZ$4:$SZ$40),"",INDEX($CL$4:$CL$40,MATCH(ROW()-3,$SZ$4:$SZ$40,0)))</f>
      </c>
      <c r="TB6" t="str">
        <f>IF(COUNTIF('Final Calculation Sheet'!$AL6:$BA6,0)+COUNTIF('Final Calculation Sheet'!$BC6:$BS6,0)&gt;0,0,1)</f>
      </c>
      <c r="TC6" t="str">
        <f>IF($CQ$6="",FALSE,SUMPRODUCT(('Final Calculation Sheet'!$Q$4:$Q$40=$CQ$6)*($TB$4:$TB$40=1))&gt;0)</f>
      </c>
      <c r="TD6" t="str">
        <f>=$TD5+--($TC6)</f>
      </c>
      <c r="TE6" t="str">
        <f>IF(ROW()-3&gt;MAX($TD$4:$TD$40),"",INDEX($CQ$4:$CQ$40,MATCH(ROW()-3,$TD$4:$TD$40,0)))</f>
      </c>
      <c r="TF6" t="str">
        <f>IF(COUNTIF('Final Calculation Sheet'!$AL6:$BB6,0)+COUNTIF('Final Calculation Sheet'!$BD6:$BS6,0)&gt;0,0,1)</f>
      </c>
      <c r="TG6" t="str">
        <f>IF($CV$6="",FALSE,SUMPRODUCT(('Final Calculation Sheet'!$R$4:$R$40=$CV$6)*($TF$4:$TF$40=1))&gt;0)</f>
      </c>
      <c r="TH6" t="str">
        <f>=$TH5+--($TG6)</f>
      </c>
      <c r="TI6" t="str">
        <f>IF(ROW()-3&gt;MAX($TH$4:$TH$40),"",INDEX($CV$4:$CV$40,MATCH(ROW()-3,$TH$4:$TH$40,0)))</f>
      </c>
      <c r="TJ6" t="str">
        <f>IF(COUNTIF('Final Calculation Sheet'!$AL6:$BC6,0)+COUNTIF('Final Calculation Sheet'!$BE6:$BS6,0)&gt;0,0,1)</f>
      </c>
      <c r="TK6" t="str">
        <f>IF($DA$6="",FALSE,SUMPRODUCT(('Final Calculation Sheet'!$S$4:$S$40=$DA$6)*($TJ$4:$TJ$40=1))&gt;0)</f>
      </c>
      <c r="TL6" t="str">
        <f>=$TL5+--($TK6)</f>
      </c>
      <c r="TM6" t="str">
        <f>IF(ROW()-3&gt;MAX($TL$4:$TL$40),"",INDEX($DA$4:$DA$40,MATCH(ROW()-3,$TL$4:$TL$40,0)))</f>
      </c>
      <c r="TN6" t="str">
        <f>IF(COUNTIF('Final Calculation Sheet'!$AL6:$BD6,0)+COUNTIF('Final Calculation Sheet'!$BF6:$BS6,0)&gt;0,0,1)</f>
      </c>
      <c r="TO6" t="str">
        <f>IF($DF$6="",FALSE,SUMPRODUCT(('Final Calculation Sheet'!$T$4:$T$40=$DF$6)*($TN$4:$TN$40=1))&gt;0)</f>
      </c>
      <c r="TP6" t="str">
        <f>=$TP5+--($TO6)</f>
      </c>
      <c r="TQ6" t="str">
        <f>IF(ROW()-3&gt;MAX($TP$4:$TP$40),"",INDEX($DF$4:$DF$40,MATCH(ROW()-3,$TP$4:$TP$40,0)))</f>
      </c>
      <c r="TR6" t="str">
        <f>IF(COUNTIF('Final Calculation Sheet'!$AL6:$BE6,0)+COUNTIF('Final Calculation Sheet'!$BG6:$BS6,0)&gt;0,0,1)</f>
      </c>
      <c r="TS6" t="str">
        <f>IF($DK$6="",FALSE,SUMPRODUCT(('Final Calculation Sheet'!$U$4:$U$40=$DK$6)*($TR$4:$TR$40=1))&gt;0)</f>
      </c>
      <c r="TT6" t="str">
        <f>=$TT5+--($TS6)</f>
      </c>
      <c r="TU6" t="str">
        <f>IF(ROW()-3&gt;MAX($TT$4:$TT$40),"",INDEX($DK$4:$DK$40,MATCH(ROW()-3,$TT$4:$TT$40,0)))</f>
      </c>
      <c r="TV6" t="str">
        <f>IF(COUNTIF('Final Calculation Sheet'!$AL6:$BF6,0)+COUNTIF('Final Calculation Sheet'!$BH6:$BS6,0)&gt;0,0,1)</f>
      </c>
      <c r="TW6" t="str">
        <f>IF($DP$6="",FALSE,SUMPRODUCT(('Final Calculation Sheet'!$V$4:$V$40=$DP$6)*($TV$4:$TV$40=1))&gt;0)</f>
      </c>
      <c r="TX6" t="str">
        <f>=$TX5+--($TW6)</f>
      </c>
      <c r="TY6" t="str">
        <f>IF(ROW()-3&gt;MAX($TX$4:$TX$40),"",INDEX($DP$4:$DP$40,MATCH(ROW()-3,$TX$4:$TX$40,0)))</f>
      </c>
      <c r="TZ6" t="str">
        <f>IF(COUNTIF('Final Calculation Sheet'!$AL6:$BG6,0)+COUNTIF('Final Calculation Sheet'!$BI6:$BS6,0)&gt;0,0,1)</f>
      </c>
      <c r="UA6" t="str">
        <f>IF($DU$6="",FALSE,SUMPRODUCT(('Final Calculation Sheet'!$W$4:$W$40=$DU$6)*($TZ$4:$TZ$40=1))&gt;0)</f>
      </c>
      <c r="UB6" t="str">
        <f>=$UB5+--($UA6)</f>
      </c>
      <c r="UC6" t="str">
        <f>IF(ROW()-3&gt;MAX($UB$4:$UB$40),"",INDEX($DU$4:$DU$40,MATCH(ROW()-3,$UB$4:$UB$40,0)))</f>
      </c>
      <c r="UD6" t="str">
        <f>IF(COUNTIF('Final Calculation Sheet'!$AL6:$BH6,0)+COUNTIF('Final Calculation Sheet'!$BJ6:$BS6,0)&gt;0,0,1)</f>
      </c>
      <c r="UE6" t="str">
        <f>IF($DZ$6="",FALSE,SUMPRODUCT(('Final Calculation Sheet'!$X$4:$X$40=$DZ$6)*($UD$4:$UD$40=1))&gt;0)</f>
      </c>
      <c r="UF6" t="str">
        <f>=$UF5+--($UE6)</f>
      </c>
      <c r="UG6" t="str">
        <f>IF(ROW()-3&gt;MAX($UF$4:$UF$40),"",INDEX($DZ$4:$DZ$40,MATCH(ROW()-3,$UF$4:$UF$40,0)))</f>
      </c>
      <c r="UH6" t="str">
        <f>IF(COUNTIF('Final Calculation Sheet'!$AL6:$BI6,0)+COUNTIF('Final Calculation Sheet'!$BK6:$BS6,0)&gt;0,0,1)</f>
      </c>
      <c r="UI6" t="str">
        <f>IF($EE$6="",FALSE,SUMPRODUCT(('Final Calculation Sheet'!$Y$4:$Y$40=$EE$6)*($UH$4:$UH$40=1))&gt;0)</f>
      </c>
      <c r="UJ6" t="str">
        <f>=$UJ5+--($UI6)</f>
      </c>
      <c r="UK6" t="str">
        <f>IF(ROW()-3&gt;MAX($UJ$4:$UJ$40),"",INDEX($EE$4:$EE$40,MATCH(ROW()-3,$UJ$4:$UJ$40,0)))</f>
      </c>
      <c r="UL6" t="str">
        <f>IF(COUNTIF('Final Calculation Sheet'!$AL6:$BJ6,0)+COUNTIF('Final Calculation Sheet'!$BL6:$BS6,0)&gt;0,0,1)</f>
      </c>
      <c r="UM6" t="str">
        <f>IF($EJ$6="",FALSE,SUMPRODUCT(('Final Calculation Sheet'!$Z$4:$Z$40=$EJ$6)*($UL$4:$UL$40=1))&gt;0)</f>
      </c>
      <c r="UN6" t="str">
        <f>=$UN5+--($UM6)</f>
      </c>
      <c r="UO6" t="str">
        <f>IF(ROW()-3&gt;MAX($UN$4:$UN$40),"",INDEX($EJ$4:$EJ$40,MATCH(ROW()-3,$UN$4:$UN$40,0)))</f>
      </c>
      <c r="UP6" t="str">
        <f>IF(COUNTIF('Final Calculation Sheet'!$AL6:$BK6,0)+COUNTIF('Final Calculation Sheet'!$BM6:$BS6,0)&gt;0,0,1)</f>
      </c>
      <c r="UQ6" t="str">
        <f>IF($EO$6="",FALSE,SUMPRODUCT(('Final Calculation Sheet'!$AA$4:$AA$40=$EO$6)*($UP$4:$UP$40=1))&gt;0)</f>
      </c>
      <c r="UR6" t="str">
        <f>=$UR5+--($UQ6)</f>
      </c>
      <c r="US6" t="str">
        <f>IF(ROW()-3&gt;MAX($UR$4:$UR$40),"",INDEX($EO$4:$EO$40,MATCH(ROW()-3,$UR$4:$UR$40,0)))</f>
      </c>
      <c r="UT6" t="str">
        <f>IF(COUNTIF('Final Calculation Sheet'!$AL6:$BL6,0)+COUNTIF('Final Calculation Sheet'!$BN6:$BS6,0)&gt;0,0,1)</f>
      </c>
      <c r="UU6" t="str">
        <f>IF($ET$6="",FALSE,SUMPRODUCT(('Final Calculation Sheet'!$AB$4:$AB$40=$ET$6)*($UT$4:$UT$40=1))&gt;0)</f>
      </c>
      <c r="UV6" t="str">
        <f>=$UV5+--($UU6)</f>
      </c>
      <c r="UW6" t="str">
        <f>IF(ROW()-3&gt;MAX($UV$4:$UV$40),"",INDEX($ET$4:$ET$40,MATCH(ROW()-3,$UV$4:$UV$40,0)))</f>
      </c>
      <c r="UX6" t="str">
        <f>IF(COUNTIF('Final Calculation Sheet'!$AL6:$BM6,0)+COUNTIF('Final Calculation Sheet'!$BO6:$BS6,0)&gt;0,0,1)</f>
      </c>
      <c r="UY6" t="str">
        <f>IF($EY$6="",FALSE,SUMPRODUCT(('Final Calculation Sheet'!$AC$4:$AC$40=$EY$6)*($UX$4:$UX$40=1))&gt;0)</f>
      </c>
      <c r="UZ6" t="str">
        <f>=$UZ5+--($UY6)</f>
      </c>
      <c r="VA6" t="str">
        <f>IF(ROW()-3&gt;MAX($UZ$4:$UZ$40),"",INDEX($EY$4:$EY$40,MATCH(ROW()-3,$UZ$4:$UZ$40,0)))</f>
      </c>
      <c r="VB6" t="str">
        <f>IF(COUNTIF('Final Calculation Sheet'!$AL6:$BN6,0)+COUNTIF('Final Calculation Sheet'!$BP6:$BS6,0)&gt;0,0,1)</f>
      </c>
      <c r="VC6" t="str">
        <f>IF($FD$6="",FALSE,SUMPRODUCT(('Final Calculation Sheet'!$AD$4:$AD$40=$FD$6)*($VB$4:$VB$40=1))&gt;0)</f>
      </c>
      <c r="VD6" t="str">
        <f>=$VD5+--($VC6)</f>
      </c>
      <c r="VE6" t="str">
        <f>IF(ROW()-3&gt;MAX($VD$4:$VD$40),"",INDEX($FD$4:$FD$40,MATCH(ROW()-3,$VD$4:$VD$40,0)))</f>
      </c>
      <c r="VF6" t="str">
        <f>IF(COUNTIF('Final Calculation Sheet'!$AL6:$BO6,0)+COUNTIF('Final Calculation Sheet'!$BQ6:$BS6,0)&gt;0,0,1)</f>
      </c>
      <c r="VG6" t="str">
        <f>IF($FI$6="",FALSE,SUMPRODUCT(('Final Calculation Sheet'!$AE$4:$AE$40=$FI$6)*($VF$4:$VF$40=1))&gt;0)</f>
      </c>
      <c r="VH6" t="str">
        <f>=$VH5+--($VG6)</f>
      </c>
      <c r="VI6" t="str">
        <f>IF(ROW()-3&gt;MAX($VH$4:$VH$40),"",INDEX($FI$4:$FI$40,MATCH(ROW()-3,$VH$4:$VH$40,0)))</f>
      </c>
      <c r="VJ6" t="str">
        <f>IF(COUNTIF('Final Calculation Sheet'!$AL6:$BP6,0)+COUNTIF('Final Calculation Sheet'!$BR6:$BS6,0)&gt;0,0,1)</f>
      </c>
      <c r="VK6" t="str">
        <f>IF($FN$6="",FALSE,SUMPRODUCT(('Final Calculation Sheet'!$AF$4:$AF$40=$FN$6)*($VJ$4:$VJ$40=1))&gt;0)</f>
      </c>
      <c r="VL6" t="str">
        <f>=$VL5+--($VK6)</f>
      </c>
      <c r="VM6" t="str">
        <f>IF(ROW()-3&gt;MAX($VL$4:$VL$40),"",INDEX($FN$4:$FN$40,MATCH(ROW()-3,$VL$4:$VL$40,0)))</f>
      </c>
      <c r="VN6" t="str">
        <f>IF(COUNTIF('Final Calculation Sheet'!$AL6:$BQ6,0)+COUNTIF('Final Calculation Sheet'!$BS6:$BS6,0)&gt;0,0,1)</f>
      </c>
      <c r="VO6" t="str">
        <f>IF($FS$6="",FALSE,SUMPRODUCT(('Final Calculation Sheet'!$AG$4:$AG$40=$FS$6)*($VN$4:$VN$40=1))&gt;0)</f>
      </c>
      <c r="VP6" t="str">
        <f>=$VP5+--($VO6)</f>
      </c>
      <c r="VQ6" t="str">
        <f>IF(ROW()-3&gt;MAX($VP$4:$VP$40),"",INDEX($FS$4:$FS$40,MATCH(ROW()-3,$VP$4:$VP$40,0)))</f>
      </c>
      <c r="VR6" t="str">
        <f>IF(COUNTIF('Final Calculation Sheet'!$AL6:$BR6,0)&gt;0,0,1)</f>
      </c>
      <c r="VS6" t="str">
        <f>IF($QO$6="",FALSE,SUMPRODUCT(('Final Calculation Sheet'!$AH$4:$AH$40=$QO$6)*($VR$4:$VR$40=1))&gt;0)</f>
      </c>
      <c r="VT6" t="str">
        <f>=$VT5+--($VS6)</f>
      </c>
      <c r="VU6" t="str">
        <f>IF(ROW()-3&gt;MAX($VT$4:$VT$40),"",INDEX($QO$4:$QO$40,MATCH(ROW()-3,$VT$4:$VT$40,0)))</f>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IF(COUNTIF('Live Search'!BM$6:BM$6,0)+COUNTIF('Live Search'!B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D7">
        <f>IF($O$7="",FALSE,SUMPRODUCT(('Final Calculation Sheet'!$F$4:$F$40=$O$7)*($GC$6:$GC$42=1))&gt;0)</f>
        <v/>
      </c>
      <c r="GE7">
        <f>$GE$6+--($GD7)</f>
        <v/>
      </c>
      <c r="GF7">
        <f>IF(ROW()-3&gt;MAX($GE$4:$GE$40),"",INDEX($O$4:$O$40,MATCH(ROW()-3,$GE$4:$GE$40,0)))</f>
        <v/>
      </c>
      <c r="GG7">
        <f>IF(COUNTIF('Live Search'!BM$6:BN$6,0)+COUNTIF('Live Search'!B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H7">
        <f>IF($T$7="",FALSE,SUMPRODUCT(('Final Calculation Sheet'!$G$4:$G$40=$T$7)*($GG$6:$GG$42=1))&gt;0)</f>
        <v/>
      </c>
      <c r="GI7">
        <f>$GI$6+--($GH7)</f>
        <v/>
      </c>
      <c r="GJ7">
        <f>IF(ROW()-3&gt;MAX($GI$4:$GI$40),"",INDEX($T$4:$T$40,MATCH(ROW()-3,$GI$4:$GI$40,0)))</f>
        <v/>
      </c>
      <c r="GK7">
        <f>IF(COUNTIF('Live Search'!BM$6:BP$6,0)+COUNTIF('Live Search'!B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L7">
        <f>IF($AD$7="",FALSE,SUMPRODUCT(('Final Calculation Sheet'!$D$4:$D$40=$AD$7)*($GK$6:$GK$42=1))&gt;0)</f>
        <v/>
      </c>
      <c r="GM7">
        <f>$GM$6+--($GL7)</f>
        <v/>
      </c>
      <c r="GN7">
        <f>IF(ROW()-3&gt;MAX($GM$4:$GM$40),"",INDEX($AD$4:$AD$40,MATCH(ROW()-3,$GM$4:$GM$40,0)))</f>
        <v/>
      </c>
      <c r="GO7">
        <f>IF(COUNTIF('Live Search'!BM$6:BQ$6,0)+COUNTIF('Live Search'!B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P7">
        <f>IF($AI$7="",FALSE,SUMPRODUCT(('Final Calculation Sheet'!$A$4:$A$40=$AI$7)*($GO$6:$GO$42=1))&gt;0)</f>
        <v/>
      </c>
      <c r="GQ7">
        <f>$GQ$6+--($GP7)</f>
        <v/>
      </c>
      <c r="GR7">
        <f>IF(ROW()-3&gt;MAX($GQ$4:$GQ$40),"",INDEX($AI$4:$AI$40,MATCH(ROW()-3,$GQ$4:$GQ$40,0)))</f>
        <v/>
      </c>
      <c r="GS7">
        <f>IF(COUNTIF('Live Search'!BM$6:BR$6,0)+COUNTIF('Live Search'!B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T7">
        <f>IF($AN$7="",FALSE,SUMPRODUCT(('Final Calculation Sheet'!$E$4:$E$40=$AN$7)*($GS$6:$GS$42=1))&gt;0)</f>
        <v/>
      </c>
      <c r="GU7">
        <f>$GU$6+--($GT7)</f>
        <v/>
      </c>
      <c r="GV7">
        <f>IF(ROW()-3&gt;MAX($GU$4:$GU$40),"",INDEX($AN$4:$AN$40,MATCH(ROW()-3,$GU$4:$GU$40,0)))</f>
        <v/>
      </c>
      <c r="GW7">
        <f>IF(COUNTIF('Live Search'!BM$6:BS$6,0)+COUNTIF('Live Search'!B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GX7">
        <f>IF($AS$7="",FALSE,SUMPRODUCT(('Final Calculation Sheet'!$C$4:$C$40=$AS$7)*($GW$6:$GW$42=1))&gt;0)</f>
        <v/>
      </c>
      <c r="GY7">
        <f>$GY$6+--($GX7)</f>
        <v/>
      </c>
      <c r="GZ7">
        <f>IF(ROW()-3&gt;MAX($GY$4:$GY$40),"",INDEX($AS$4:$AS$40,MATCH(ROW()-3,$GY$4:$GY$40,0)))</f>
        <v/>
      </c>
      <c r="HA7">
        <f>IF(COUNTIF('Live Search'!BM$6:BT$6,0)+COUNTIF('Live Search'!BV$6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B7">
        <f>IF($AX$7="",FALSE,SUMPRODUCT(('Final Calculation Sheet'!$H$4:$H$40=$AX$7)*($HA$6:$HA$42=1))&gt;0)</f>
        <v/>
      </c>
      <c r="HC7">
        <f>$HC$6+--($HB7)</f>
        <v/>
      </c>
      <c r="HD7">
        <f>IF(ROW()-3&gt;MAX($HC$4:$HC$40),"",INDEX($AX$4:$AX$40,MATCH(ROW()-3,$HC$4:$HC$40,0)))</f>
        <v/>
      </c>
      <c r="HE7">
        <f>IF(COUNTIF('Live Search'!BM$6:BU$6,0)+COUNTIF('Live Search'!BW$6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F7">
        <f>IF($BC$7="",FALSE,SUMPRODUCT(('Final Calculation Sheet'!$I$4:$I$40=$BC$7)*($HE$6:$HE$42=1))&gt;0)</f>
        <v/>
      </c>
      <c r="HG7">
        <f>$HG$6+--($HF7)</f>
        <v/>
      </c>
      <c r="HH7">
        <f>IF(ROW()-3&gt;MAX($HG$4:$HG$40),"",INDEX($BC$4:$BC$40,MATCH(ROW()-3,$HG$4:$HG$40,0)))</f>
        <v/>
      </c>
      <c r="HI7">
        <f>IF(COUNTIF('Live Search'!BM$6:BV$6,0)+COUNTIF('Live Search'!BX$6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J7">
        <f>IF($BH$7="",FALSE,SUMPRODUCT(('Final Calculation Sheet'!$J$4:$J$40=$BH$7)*($HI$6:$HI$42=1))&gt;0)</f>
        <v/>
      </c>
      <c r="HK7">
        <f>$HK$6+--($HJ7)</f>
        <v/>
      </c>
      <c r="HL7">
        <f>IF(ROW()-3&gt;MAX($HK$4:$HK$40),"",INDEX($BH$4:$BH$40,MATCH(ROW()-3,$HK$4:$HK$40,0)))</f>
        <v/>
      </c>
      <c r="HM7">
        <f>IF(COUNTIF('Live Search'!BM$6:BW$6,0)+COUNTIF('Live Search'!BY$6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N7">
        <f>IF($BM$7="",FALSE,SUMPRODUCT(('Final Calculation Sheet'!$K$4:$K$40=$BM$7)*($HM$6:$HM$42=1))&gt;0)</f>
        <v/>
      </c>
      <c r="HO7">
        <f>$HO$6+--($HN7)</f>
        <v/>
      </c>
      <c r="HP7">
        <f>IF(ROW()-3&gt;MAX($HO$4:$HO$40),"",INDEX($BM$4:$BM$40,MATCH(ROW()-3,$HO$4:$HO$40,0)))</f>
        <v/>
      </c>
      <c r="HQ7">
        <f>IF(COUNTIF('Live Search'!BM$6:BX$6,0)+COUNTIF('Live Search'!BZ$6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R7">
        <f>IF($BR$7="",FALSE,SUMPRODUCT(('Final Calculation Sheet'!$L$4:$L$40=$BR$7)*($HQ$6:$HQ$42=1))&gt;0)</f>
        <v/>
      </c>
      <c r="HS7">
        <f>$HS$6+--($HR7)</f>
        <v/>
      </c>
      <c r="HT7">
        <f>IF(ROW()-3&gt;MAX($HS$4:$HS$40),"",INDEX($BR$4:$BR$40,MATCH(ROW()-3,$HS$4:$HS$40,0)))</f>
        <v/>
      </c>
      <c r="HU7">
        <f>IF(COUNTIF('Live Search'!BM$6:BY$6,0)+COUNTIF('Live Search'!CA$6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V7">
        <f>IF($BW$7="",FALSE,SUMPRODUCT(('Final Calculation Sheet'!$M$4:$M$40=$BW$7)*($HU$6:$HU$42=1))&gt;0)</f>
        <v/>
      </c>
      <c r="HW7">
        <f>$HW$6+--($HV7)</f>
        <v/>
      </c>
      <c r="HX7">
        <f>IF(ROW()-3&gt;MAX($HW$4:$HW$40),"",INDEX($BW$4:$BW$40,MATCH(ROW()-3,$HW$4:$HW$40,0)))</f>
        <v/>
      </c>
      <c r="HY7">
        <f>IF(COUNTIF('Live Search'!BM$6:BZ$6,0)+COUNTIF('Live Search'!CB$6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HZ7">
        <f>IF($CB$7="",FALSE,SUMPRODUCT(('Final Calculation Sheet'!$N$4:$N$40=$CB$7)*($HY$6:$HY$42=1))&gt;0)</f>
        <v/>
      </c>
      <c r="IA7">
        <f>$IA$6+--($HZ7)</f>
        <v/>
      </c>
      <c r="IB7">
        <f>IF(ROW()-3&gt;MAX($IA$4:$IA$40),"",INDEX($CB$4:$CB$40,MATCH(ROW()-3,$IA$4:$IA$40,0)))</f>
        <v/>
      </c>
      <c r="IC7">
        <f>IF(COUNTIF('Live Search'!BM$6:CA$6,0)+COUNTIF('Live Search'!CC$6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D7">
        <f>IF($CG$7="",FALSE,SUMPRODUCT(('Final Calculation Sheet'!$O$4:$O$40=$CG$7)*($IC$6:$IC$42=1))&gt;0)</f>
        <v/>
      </c>
      <c r="IE7">
        <f>$IE$6+--($ID7)</f>
        <v/>
      </c>
      <c r="IF7">
        <f>IF(ROW()-3&gt;MAX($IE$4:$IE$40),"",INDEX($CG$4:$CG$40,MATCH(ROW()-3,$IE$4:$IE$40,0)))</f>
        <v/>
      </c>
      <c r="IG7">
        <f>IF(COUNTIF('Live Search'!BM$6:CB$6,0)+COUNTIF('Live Search'!CD$6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H7">
        <f>IF($CL$7="",FALSE,SUMPRODUCT(('Final Calculation Sheet'!$P$4:$P$40=$CL$7)*($IG$6:$IG$42=1))&gt;0)</f>
        <v/>
      </c>
      <c r="II7">
        <f>$II$6+--($IH7)</f>
        <v/>
      </c>
      <c r="IJ7">
        <f>IF(ROW()-3&gt;MAX($II$4:$II$40),"",INDEX($CL$4:$CL$40,MATCH(ROW()-3,$II$4:$II$40,0)))</f>
        <v/>
      </c>
      <c r="IK7">
        <f>IF(COUNTIF('Live Search'!BM$6:CC$6,0)+COUNTIF('Live Search'!CE$6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L7">
        <f>IF($CQ$7="",FALSE,SUMPRODUCT(('Final Calculation Sheet'!$Q$4:$Q$40=$CQ$7)*($IK$6:$IK$42=1))&gt;0)</f>
        <v/>
      </c>
      <c r="IM7">
        <f>$IM$6+--($IL7)</f>
        <v/>
      </c>
      <c r="IN7">
        <f>IF(ROW()-3&gt;MAX($IM$4:$IM$40),"",INDEX($CQ$4:$CQ$40,MATCH(ROW()-3,$IM$4:$IM$40,0)))</f>
        <v/>
      </c>
      <c r="IO7">
        <f>IF(COUNTIF('Live Search'!BM$6:CD$6,0)+COUNTIF('Live Search'!CF$6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P7">
        <f>IF($CV$7="",FALSE,SUMPRODUCT(('Final Calculation Sheet'!$R$4:$R$40=$CV$7)*($IO$6:$IO$42=1))&gt;0)</f>
        <v/>
      </c>
      <c r="IQ7">
        <f>$IQ$6+--($IP7)</f>
        <v/>
      </c>
      <c r="IR7">
        <f>IF(ROW()-3&gt;MAX($IQ$4:$IQ$40),"",INDEX($CV$4:$CV$40,MATCH(ROW()-3,$IQ$4:$IQ$40,0)))</f>
        <v/>
      </c>
      <c r="IS7">
        <f>IF(COUNTIF('Live Search'!BM$6:CE$6,0)+COUNTIF('Live Search'!CG$6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T7">
        <f>IF($DA$7="",FALSE,SUMPRODUCT(('Final Calculation Sheet'!$S$4:$S$40=$DA$7)*($IS$6:$IS$42=1))&gt;0)</f>
        <v/>
      </c>
      <c r="IU7">
        <f>$IU$6+--($IT7)</f>
        <v/>
      </c>
      <c r="IV7">
        <f>IF(ROW()-3&gt;MAX($IU$4:$IU$40),"",INDEX($DA$4:$DA$40,MATCH(ROW()-3,$IU$4:$IU$40,0)))</f>
        <v/>
      </c>
      <c r="IW7">
        <f>IF(COUNTIF('Live Search'!BM$6:CF$6,0)+COUNTIF('Live Search'!CH$6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IX7">
        <f>IF($DF$7="",FALSE,SUMPRODUCT(('Final Calculation Sheet'!$T$4:$T$40=$DF$7)*($IW$6:$IW$42=1))&gt;0)</f>
        <v/>
      </c>
      <c r="IY7">
        <f>$IY$6+--($IX7)</f>
        <v/>
      </c>
      <c r="IZ7">
        <f>IF(ROW()-3&gt;MAX($IY$4:$IY$40),"",INDEX($DF$4:$DF$40,MATCH(ROW()-3,$IY$4:$IY$40,0)))</f>
        <v/>
      </c>
      <c r="JA7">
        <f>IF(COUNTIF('Live Search'!BM$6:CG$6,0)+COUNTIF('Live Search'!CI$6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B7">
        <f>IF($DK$7="",FALSE,SUMPRODUCT(('Final Calculation Sheet'!$U$4:$U$40=$DK$7)*($JA$6:$JA$42=1))&gt;0)</f>
        <v/>
      </c>
      <c r="JC7">
        <f>$JC$6+--($JB7)</f>
        <v/>
      </c>
      <c r="JD7">
        <f>IF(ROW()-3&gt;MAX($JC$4:$JC$40),"",INDEX($DK$4:$DK$40,MATCH(ROW()-3,$JC$4:$JC$40,0)))</f>
        <v/>
      </c>
      <c r="JE7">
        <f>IF(COUNTIF('Live Search'!BM$6:CH$6,0)+COUNTIF('Live Search'!CJ$6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F7">
        <f>IF($DP$7="",FALSE,SUMPRODUCT(('Final Calculation Sheet'!$V$4:$V$40=$DP$7)*($JE$6:$JE$42=1))&gt;0)</f>
        <v/>
      </c>
      <c r="JG7">
        <f>$JG$6+--($JF7)</f>
        <v/>
      </c>
      <c r="JH7">
        <f>IF(ROW()-3&gt;MAX($JG$4:$JG$40),"",INDEX($DP$4:$DP$40,MATCH(ROW()-3,$JG$4:$JG$40,0)))</f>
        <v/>
      </c>
      <c r="JI7">
        <f>IF(COUNTIF('Live Search'!BM$6:CI$6,0)+COUNTIF('Live Search'!CK$6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J7">
        <f>IF($DU$7="",FALSE,SUMPRODUCT(('Final Calculation Sheet'!$W$4:$W$40=$DU$7)*($JI$6:$JI$42=1))&gt;0)</f>
        <v/>
      </c>
      <c r="JK7">
        <f>$JK$6+--($JJ7)</f>
        <v/>
      </c>
      <c r="JL7">
        <f>IF(ROW()-3&gt;MAX($JK$4:$JK$40),"",INDEX($DU$4:$DU$40,MATCH(ROW()-3,$JK$4:$JK$40,0)))</f>
        <v/>
      </c>
      <c r="JM7">
        <f>IF(COUNTIF('Live Search'!BM$6:CJ$6,0)+COUNTIF('Live Search'!CL$6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N7">
        <f>IF($DZ$7="",FALSE,SUMPRODUCT(('Final Calculation Sheet'!$X$4:$X$40=$DZ$7)*($JM$6:$JM$42=1))&gt;0)</f>
        <v/>
      </c>
      <c r="JO7">
        <f>$JO$6+--($JN7)</f>
        <v/>
      </c>
      <c r="JP7">
        <f>IF(ROW()-3&gt;MAX($JO$4:$JO$40),"",INDEX($DZ$4:$DZ$40,MATCH(ROW()-3,$JO$4:$JO$40,0)))</f>
        <v/>
      </c>
      <c r="JQ7">
        <f>IF(COUNTIF('Live Search'!BM$6:CK$6,0)+COUNTIF('Live Search'!C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R7">
        <f>IF($EE$7="",FALSE,SUMPRODUCT(('Final Calculation Sheet'!$Y$4:$Y$40=$EE$7)*($JQ$6:$JQ$42=1))&gt;0)</f>
        <v/>
      </c>
      <c r="JS7">
        <f>$JS$6+--($JR7)</f>
        <v/>
      </c>
      <c r="JT7">
        <f>IF(ROW()-3&gt;MAX($JS$4:$JS$40),"",INDEX($EE$4:$EE$40,MATCH(ROW()-3,$JS$4:$JS$40,0)))</f>
        <v/>
      </c>
      <c r="JU7">
        <f>IF(COUNTIF('Live Search'!BM$6:CL$6,0)+COUNTIF('Live Search'!CN$6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V7">
        <f>IF($EJ$7="",FALSE,SUMPRODUCT(('Final Calculation Sheet'!$Z$4:$Z$40=$EJ$7)*($JU$6:$JU$42=1))&gt;0)</f>
        <v/>
      </c>
      <c r="JW7">
        <f>$JW$6+--($JV7)</f>
        <v/>
      </c>
      <c r="JX7">
        <f>IF(ROW()-3&gt;MAX($JW$4:$JW$40),"",INDEX($EJ$4:$EJ$40,MATCH(ROW()-3,$JW$4:$JW$40,0)))</f>
        <v/>
      </c>
      <c r="JY7">
        <f>IF(COUNTIF('Live Search'!BM$6:CM$6,0)+COUNTIF('Live Search'!CO$6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JZ7">
        <f>IF($EO$7="",FALSE,SUMPRODUCT(('Final Calculation Sheet'!$AA$4:$AA$40=$EO$7)*($JY$6:$JY$42=1))&gt;0)</f>
        <v/>
      </c>
      <c r="KA7">
        <f>$KA$6+--($JZ7)</f>
        <v/>
      </c>
      <c r="KB7">
        <f>IF(ROW()-3&gt;MAX($KA$4:$KA$40),"",INDEX($EO$4:$EO$40,MATCH(ROW()-3,$KA$4:$KA$40,0)))</f>
        <v/>
      </c>
      <c r="KC7">
        <f>IF(COUNTIF('Live Search'!BM$6:CN$6,0)+COUNTIF('Live Search'!CP$6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D7">
        <f>IF($ET$7="",FALSE,SUMPRODUCT(('Final Calculation Sheet'!$AB$4:$AB$40=$ET$7)*($KC$6:$KC$42=1))&gt;0)</f>
        <v/>
      </c>
      <c r="KE7">
        <f>$KE$6+--($KD7)</f>
        <v/>
      </c>
      <c r="KF7">
        <f>IF(ROW()-3&gt;MAX($KE$4:$KE$40),"",INDEX($ET$4:$ET$40,MATCH(ROW()-3,$KE$4:$KE$40,0)))</f>
        <v/>
      </c>
      <c r="KG7">
        <f>IF(COUNTIF('Live Search'!BM$6:CO$6,0)+COUNTIF('Live Search'!CQ$6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H7">
        <f>IF($EY$7="",FALSE,SUMPRODUCT(('Final Calculation Sheet'!$AC$4:$AC$40=$EY$7)*($KG$6:$KG$42=1))&gt;0)</f>
        <v/>
      </c>
      <c r="KI7">
        <f>$KI$6+--($KH7)</f>
        <v/>
      </c>
      <c r="KJ7">
        <f>IF(ROW()-3&gt;MAX($KI$4:$KI$40),"",INDEX($EY$4:$EY$40,MATCH(ROW()-3,$KI$4:$KI$40,0)))</f>
        <v/>
      </c>
      <c r="KK7">
        <f>IF(COUNTIF('Live Search'!BM$6:CP$6,0)+COUNTIF('Live Search'!CR$6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L7">
        <f>IF($FD$7="",FALSE,SUMPRODUCT(('Final Calculation Sheet'!$AD$4:$AD$40=$FD$7)*($KK$6:$KK$42=1))&gt;0)</f>
        <v/>
      </c>
      <c r="KM7">
        <f>$KM$6+--($KL7)</f>
        <v/>
      </c>
      <c r="KN7">
        <f>IF(ROW()-3&gt;MAX($KM$4:$KM$40),"",INDEX($FD$4:$FD$40,MATCH(ROW()-3,$KM$4:$KM$40,0)))</f>
        <v/>
      </c>
      <c r="KO7">
        <f>IF(COUNTIF('Live Search'!BM$6:CT$6,0)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P7">
        <f>IF($FX$7="",FALSE,SUMPRODUCT((IF('Final Calculation Sheet'!$AD$4:$AD$40&lt;=5,"SETTLED","OUTSTANDING")=$FX$7)*($KO$6:$KO$42=1))&gt;0)</f>
        <v/>
      </c>
      <c r="KQ7">
        <f>$KQ$6+--($KP7)</f>
        <v/>
      </c>
      <c r="KR7">
        <f>IF(ROW()-3&gt;MAX($KQ$4:$KQ$40),"",INDEX($FX$4:$FX$40,MATCH(ROW()-3,$KQ$4:$KQ$40,0)))</f>
        <v/>
      </c>
      <c r="KS7">
        <f>IF(COUNTIF('Live Search'!BM$6:CQ$6,0)+COUNTIF('Live Search'!CS$6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T7">
        <f>IF($FI$7="",FALSE,SUMPRODUCT(('Final Calculation Sheet'!$AF$4:$AF$40=$FI$7)*($KS$6:$KS$42=1))&gt;0)</f>
        <v/>
      </c>
      <c r="KU7">
        <f>$KU$6+--($KT7)</f>
        <v/>
      </c>
      <c r="KV7">
        <f>IF(ROW()-3&gt;MAX($KU$4:$KU$40),"",INDEX($FI$4:$FI$40,MATCH(ROW()-3,$KU$4:$KU$40,0)))</f>
        <v/>
      </c>
      <c r="KW7">
        <f>IF(COUNTIF('Live Search'!BM$6:CR$6,0)+COUNTIF('Live Search'!CT$6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KX7">
        <f>IF($FN$7="",FALSE,SUMPRODUCT(('Final Calculation Sheet'!$AG$4:$AG$40=$FN$7)*($KW$6:$KW$42=1))&gt;0)</f>
        <v/>
      </c>
      <c r="KY7">
        <f>$KY$6+--($KX7)</f>
        <v/>
      </c>
      <c r="KZ7">
        <f>IF(ROW()-3&gt;MAX($KY$4:$KY$40),"",INDEX($FN$4:$FN$40,MATCH(ROW()-3,$KY$4:$KY$40,0)))</f>
        <v/>
      </c>
      <c r="LA7">
        <f>IF(COUNTIF('Live Search'!BM$6:CS$6,0)+COUNTIF('Live Search'!CU$6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LB7">
        <f>IF($FS$7="",FALSE,SUMPRODUCT(('Final Calculation Sheet'!$AH$4:$AH$40=$FS$7)*($LA$6:$LA$42=1))&gt;0)</f>
        <v/>
      </c>
      <c r="LC7">
        <f>$LC$6+--($LB7)</f>
        <v/>
      </c>
      <c r="LD7">
        <f>IF(ROW()-3&gt;MAX($LC$4:$LC$40),"",INDEX($FS$4:$FS$40,MATCH(ROW()-3,$LC$4:$LC$40,0)))</f>
        <v/>
      </c>
      <c r="LE7">
        <f>IF(COUNTIF('Buyer Groups'!DH60:EN60,0)&gt;0,0,1)</f>
        <v/>
      </c>
      <c r="LF7">
        <f>IF($O$7="",FALSE,SUMPRODUCT(('Final Calculation Sheet'!$F$4:$F$40=$O$7)*($LE$6:$LE$42=1))&gt;0)</f>
        <v/>
      </c>
      <c r="LG7">
        <f>$LG$6+--($LF7)</f>
        <v/>
      </c>
      <c r="LH7">
        <f>IF(ROW()-3&gt;MAX($LG$4:$LG$40),"",INDEX($O$4:$O$40,MATCH(ROW()-3,$LG$4:$LG$40,0)))</f>
        <v/>
      </c>
      <c r="LI7">
        <f>IF(COUNTIF('Buyer Groups'!DG60:DG60,0)+COUNTIF('Buyer Groups'!DI60:EN60,0)&gt;0,0,1)</f>
        <v/>
      </c>
      <c r="LJ7">
        <f>IF($T$7="",FALSE,SUMPRODUCT(('Final Calculation Sheet'!$G$4:$G$40=$T$7)*($LI$6:$LI$42=1))&gt;0)</f>
        <v/>
      </c>
      <c r="LK7">
        <f>$LK$6+--($LJ7)</f>
        <v/>
      </c>
      <c r="LL7">
        <f>IF(ROW()-3&gt;MAX($LK$4:$LK$40),"",INDEX($T$4:$T$40,MATCH(ROW()-3,$LK$4:$LK$40,0)))</f>
        <v/>
      </c>
      <c r="LM7">
        <f>IF(COUNTIF('Buyer Groups'!DG60:DH60,0)+COUNTIF('Buyer Groups'!DJ60:EN60,0)&gt;0,0,1)</f>
        <v/>
      </c>
      <c r="LN7">
        <f>IF($Y$7="",FALSE,SUMPRODUCT(('Final Calculation Sheet'!$B$4:$B$40=$Y$7)*($LM$6:$LM$42=1))&gt;0)</f>
        <v/>
      </c>
      <c r="LO7">
        <f>$LO$6+--($LN7)</f>
        <v/>
      </c>
      <c r="LP7">
        <f>IF(ROW()-3&gt;MAX($LO$4:$LO$40),"",INDEX($Y$4:$Y$40,MATCH(ROW()-3,$LO$4:$LO$40,0)))</f>
        <v/>
      </c>
      <c r="LQ7">
        <f>IF(COUNTIF('Buyer Groups'!DG60:DI60,0)+COUNTIF('Buyer Groups'!DK60:EN60,0)&gt;0,0,1)</f>
        <v/>
      </c>
      <c r="LR7">
        <f>IF($AD$7="",FALSE,SUMPRODUCT(('Final Calculation Sheet'!$D$4:$D$40=$AD$7)*($LQ$6:$LQ$42=1))&gt;0)</f>
        <v/>
      </c>
      <c r="LS7">
        <f>$LS$6+--($LR7)</f>
        <v/>
      </c>
      <c r="LT7">
        <f>IF(ROW()-3&gt;MAX($LS$4:$LS$40),"",INDEX($AD$4:$AD$40,MATCH(ROW()-3,$LS$4:$LS$40,0)))</f>
        <v/>
      </c>
      <c r="LU7">
        <f>IF(COUNTIF('Buyer Groups'!DG60:DJ60,0)+COUNTIF('Buyer Groups'!DL60:EN60,0)&gt;0,0,1)</f>
        <v/>
      </c>
      <c r="LV7">
        <f>IF($AI$7="",FALSE,SUMPRODUCT(('Final Calculation Sheet'!$A$4:$A$40=$AI$7)*($LU$6:$LU$42=1))&gt;0)</f>
        <v/>
      </c>
      <c r="LW7">
        <f>$LW$6+--($LV7)</f>
        <v/>
      </c>
      <c r="LX7">
        <f>IF(ROW()-3&gt;MAX($LW$4:$LW$40),"",INDEX($AI$4:$AI$40,MATCH(ROW()-3,$LW$4:$LW$40,0)))</f>
        <v/>
      </c>
      <c r="LY7">
        <f>IF(COUNTIF('Buyer Groups'!DG60:DK60,0)+COUNTIF('Buyer Groups'!DM60:EN60,0)&gt;0,0,1)</f>
        <v/>
      </c>
      <c r="LZ7">
        <f>IF($AN$7="",FALSE,SUMPRODUCT(('Final Calculation Sheet'!$E$4:$E$40=$AN$7)*($LY$6:$LY$42=1))&gt;0)</f>
        <v/>
      </c>
      <c r="MA7">
        <f>$MA$6+--($LZ7)</f>
        <v/>
      </c>
      <c r="MB7">
        <f>IF(ROW()-3&gt;MAX($MA$4:$MA$40),"",INDEX($AN$4:$AN$40,MATCH(ROW()-3,$MA$4:$MA$40,0)))</f>
        <v/>
      </c>
      <c r="MC7">
        <f>IF(COUNTIF('Buyer Groups'!DG60:DL60,0)+COUNTIF('Buyer Groups'!DN60:EN60,0)&gt;0,0,1)</f>
        <v/>
      </c>
      <c r="MD7">
        <f>IF($AS$7="",FALSE,SUMPRODUCT(('Final Calculation Sheet'!$C$4:$C$40=$AS$7)*($MC$6:$MC$42=1))&gt;0)</f>
        <v/>
      </c>
      <c r="ME7">
        <f>$ME$6+--($MD7)</f>
        <v/>
      </c>
      <c r="MF7">
        <f>IF(ROW()-3&gt;MAX($ME$4:$ME$40),"",INDEX($AS$4:$AS$40,MATCH(ROW()-3,$ME$4:$ME$40,0)))</f>
        <v/>
      </c>
      <c r="MG7">
        <f>IF(COUNTIF('Buyer Groups'!DG60:DM60,0)+COUNTIF('Buyer Groups'!DO60:EN60,0)&gt;0,0,1)</f>
        <v/>
      </c>
      <c r="MH7">
        <f>IF($AX$7="",FALSE,SUMPRODUCT(('Final Calculation Sheet'!$H$4:$H$40=$AX$7)*($MG$6:$MG$42=1))&gt;0)</f>
        <v/>
      </c>
      <c r="MI7">
        <f>$MI$6+--($MH7)</f>
        <v/>
      </c>
      <c r="MJ7">
        <f>IF(ROW()-3&gt;MAX($MI$4:$MI$40),"",INDEX($AX$4:$AX$40,MATCH(ROW()-3,$MI$4:$MI$40,0)))</f>
        <v/>
      </c>
      <c r="MK7">
        <f>IF(COUNTIF('Buyer Groups'!DG60:DN60,0)+COUNTIF('Buyer Groups'!DP60:EN60,0)&gt;0,0,1)</f>
        <v/>
      </c>
      <c r="ML7">
        <f>IF($BC$7="",FALSE,SUMPRODUCT(('Final Calculation Sheet'!$I$4:$I$40=$BC$7)*($MK$6:$MK$42=1))&gt;0)</f>
        <v/>
      </c>
      <c r="MM7">
        <f>$MM$6+--($ML7)</f>
        <v/>
      </c>
      <c r="MN7">
        <f>IF(ROW()-3&gt;MAX($MM$4:$MM$40),"",INDEX($BC$4:$BC$40,MATCH(ROW()-3,$MM$4:$MM$40,0)))</f>
        <v/>
      </c>
      <c r="MO7">
        <f>IF(COUNTIF('Buyer Groups'!DG60:DO60,0)+COUNTIF('Buyer Groups'!DQ60:EN60,0)&gt;0,0,1)</f>
        <v/>
      </c>
      <c r="MP7">
        <f>IF($BH$7="",FALSE,SUMPRODUCT(('Final Calculation Sheet'!$J$4:$J$40=$BH$7)*($MO$6:$MO$42=1))&gt;0)</f>
        <v/>
      </c>
      <c r="MQ7">
        <f>$MQ$6+--($MP7)</f>
        <v/>
      </c>
      <c r="MR7">
        <f>IF(ROW()-3&gt;MAX($MQ$4:$MQ$40),"",INDEX($BH$4:$BH$40,MATCH(ROW()-3,$MQ$4:$MQ$40,0)))</f>
        <v/>
      </c>
      <c r="MS7">
        <f>IF(COUNTIF('Buyer Groups'!DG60:DP60,0)+COUNTIF('Buyer Groups'!DR60:EN60,0)&gt;0,0,1)</f>
        <v/>
      </c>
      <c r="MT7">
        <f>IF($BM$7="",FALSE,SUMPRODUCT(('Final Calculation Sheet'!$K$4:$K$40=$BM$7)*($MS$6:$MS$42=1))&gt;0)</f>
        <v/>
      </c>
      <c r="MU7">
        <f>$MU$6+--($MT7)</f>
        <v/>
      </c>
      <c r="MV7">
        <f>IF(ROW()-3&gt;MAX($MU$4:$MU$40),"",INDEX($BM$4:$BM$40,MATCH(ROW()-3,$MU$4:$MU$40,0)))</f>
        <v/>
      </c>
      <c r="MW7">
        <f>IF(COUNTIF('Buyer Groups'!DG60:DQ60,0)+COUNTIF('Buyer Groups'!DS60:EN60,0)&gt;0,0,1)</f>
        <v/>
      </c>
      <c r="MX7">
        <f>IF($BR$7="",FALSE,SUMPRODUCT(('Final Calculation Sheet'!$L$4:$L$40=$BR$7)*($MW$6:$MW$42=1))&gt;0)</f>
        <v/>
      </c>
      <c r="MY7">
        <f>$MY$6+--($MX7)</f>
        <v/>
      </c>
      <c r="MZ7">
        <f>IF(ROW()-3&gt;MAX($MY$4:$MY$40),"",INDEX($BR$4:$BR$40,MATCH(ROW()-3,$MY$4:$MY$40,0)))</f>
        <v/>
      </c>
      <c r="NA7">
        <f>IF(COUNTIF('Buyer Groups'!DG60:DR60,0)+COUNTIF('Buyer Groups'!DT60:EN60,0)&gt;0,0,1)</f>
        <v/>
      </c>
      <c r="NB7">
        <f>IF($BW$7="",FALSE,SUMPRODUCT(('Final Calculation Sheet'!$M$4:$M$40=$BW$7)*($NA$6:$NA$42=1))&gt;0)</f>
        <v/>
      </c>
      <c r="NC7">
        <f>$NC$6+--($NB7)</f>
        <v/>
      </c>
      <c r="ND7">
        <f>IF(ROW()-3&gt;MAX($NC$4:$NC$40),"",INDEX($BW$4:$BW$40,MATCH(ROW()-3,$NC$4:$NC$40,0)))</f>
        <v/>
      </c>
      <c r="NE7">
        <f>IF(COUNTIF('Buyer Groups'!DG60:DS60,0)+COUNTIF('Buyer Groups'!DU60:EN60,0)&gt;0,0,1)</f>
        <v/>
      </c>
      <c r="NF7">
        <f>IF($CB$7="",FALSE,SUMPRODUCT(('Final Calculation Sheet'!$N$4:$N$40=$CB$7)*($NE$6:$NE$42=1))&gt;0)</f>
        <v/>
      </c>
      <c r="NG7">
        <f>$NG$6+--($NF7)</f>
        <v/>
      </c>
      <c r="NH7">
        <f>IF(ROW()-3&gt;MAX($NG$4:$NG$40),"",INDEX($CB$4:$CB$40,MATCH(ROW()-3,$NG$4:$NG$40,0)))</f>
        <v/>
      </c>
      <c r="NI7">
        <f>IF(COUNTIF('Buyer Groups'!DG60:DT60,0)+COUNTIF('Buyer Groups'!DV60:EN60,0)&gt;0,0,1)</f>
        <v/>
      </c>
      <c r="NJ7">
        <f>IF($CG$7="",FALSE,SUMPRODUCT(('Final Calculation Sheet'!$O$4:$O$40=$CG$7)*($NI$6:$NI$42=1))&gt;0)</f>
        <v/>
      </c>
      <c r="NK7">
        <f>$NK$6+--($NJ7)</f>
        <v/>
      </c>
      <c r="NL7">
        <f>IF(ROW()-3&gt;MAX($NK$4:$NK$40),"",INDEX($CG$4:$CG$40,MATCH(ROW()-3,$NK$4:$NK$40,0)))</f>
        <v/>
      </c>
      <c r="NM7">
        <f>IF(COUNTIF('Buyer Groups'!DG60:DU60,0)+COUNTIF('Buyer Groups'!DW60:EN60,0)&gt;0,0,1)</f>
        <v/>
      </c>
      <c r="NN7">
        <f>IF($CL$7="",FALSE,SUMPRODUCT(('Final Calculation Sheet'!$P$4:$P$40=$CL$7)*($NM$6:$NM$42=1))&gt;0)</f>
        <v/>
      </c>
      <c r="NO7">
        <f>$NO$6+--($NN7)</f>
        <v/>
      </c>
      <c r="NP7">
        <f>IF(ROW()-3&gt;MAX($NO$4:$NO$40),"",INDEX($CL$4:$CL$40,MATCH(ROW()-3,$NO$4:$NO$40,0)))</f>
        <v/>
      </c>
      <c r="NQ7">
        <f>IF(COUNTIF('Buyer Groups'!DG60:DV60,0)+COUNTIF('Buyer Groups'!DX60:EN60,0)&gt;0,0,1)</f>
        <v/>
      </c>
      <c r="NR7">
        <f>IF($CQ$7="",FALSE,SUMPRODUCT(('Final Calculation Sheet'!$Q$4:$Q$40=$CQ$7)*($NQ$6:$NQ$42=1))&gt;0)</f>
        <v/>
      </c>
      <c r="NS7">
        <f>$NS$6+--($NR7)</f>
        <v/>
      </c>
      <c r="NT7">
        <f>IF(ROW()-3&gt;MAX($NS$4:$NS$40),"",INDEX($CQ$4:$CQ$40,MATCH(ROW()-3,$NS$4:$NS$40,0)))</f>
        <v/>
      </c>
      <c r="NU7">
        <f>IF(COUNTIF('Buyer Groups'!DG60:DW60,0)+COUNTIF('Buyer Groups'!DY60:EN60,0)&gt;0,0,1)</f>
        <v/>
      </c>
      <c r="NV7">
        <f>IF($CV$7="",FALSE,SUMPRODUCT(('Final Calculation Sheet'!$R$4:$R$40=$CV$7)*($NU$6:$NU$42=1))&gt;0)</f>
        <v/>
      </c>
      <c r="NW7">
        <f>$NW$6+--($NV7)</f>
        <v/>
      </c>
      <c r="NX7">
        <f>IF(ROW()-3&gt;MAX($NW$4:$NW$40),"",INDEX($CV$4:$CV$40,MATCH(ROW()-3,$NW$4:$NW$40,0)))</f>
        <v/>
      </c>
      <c r="NY7">
        <f>IF(COUNTIF('Buyer Groups'!DG60:DX60,0)+COUNTIF('Buyer Groups'!DZ60:EN60,0)&gt;0,0,1)</f>
        <v/>
      </c>
      <c r="NZ7">
        <f>IF($DA$7="",FALSE,SUMPRODUCT(('Final Calculation Sheet'!$S$4:$S$40=$DA$7)*($NY$6:$NY$42=1))&gt;0)</f>
        <v/>
      </c>
      <c r="OA7">
        <f>$OA$6+--($NZ7)</f>
        <v/>
      </c>
      <c r="OB7">
        <f>IF(ROW()-3&gt;MAX($OA$4:$OA$40),"",INDEX($DA$4:$DA$40,MATCH(ROW()-3,$OA$4:$OA$40,0)))</f>
        <v/>
      </c>
      <c r="OC7">
        <f>IF(COUNTIF('Buyer Groups'!DG60:DY60,0)+COUNTIF('Buyer Groups'!EA60:EN60,0)&gt;0,0,1)</f>
        <v/>
      </c>
      <c r="OD7">
        <f>IF($DF$7="",FALSE,SUMPRODUCT(('Final Calculation Sheet'!$T$4:$T$40=$DF$7)*($OC$6:$OC$42=1))&gt;0)</f>
        <v/>
      </c>
      <c r="OE7">
        <f>$OE$6+--($OD7)</f>
        <v/>
      </c>
      <c r="OF7">
        <f>IF(ROW()-3&gt;MAX($OE$4:$OE$40),"",INDEX($DF$4:$DF$40,MATCH(ROW()-3,$OE$4:$OE$40,0)))</f>
        <v/>
      </c>
      <c r="OG7">
        <f>IF(COUNTIF('Buyer Groups'!DG60:DZ60,0)+COUNTIF('Buyer Groups'!EB60:EN60,0)&gt;0,0,1)</f>
        <v/>
      </c>
      <c r="OH7">
        <f>IF($DK$7="",FALSE,SUMPRODUCT(('Final Calculation Sheet'!$U$4:$U$40=$DK$7)*($OG$6:$OG$42=1))&gt;0)</f>
        <v/>
      </c>
      <c r="OI7">
        <f>$OI$6+--($OH7)</f>
        <v/>
      </c>
      <c r="OJ7">
        <f>IF(ROW()-3&gt;MAX($OI$4:$OI$40),"",INDEX($DK$4:$DK$40,MATCH(ROW()-3,$OI$4:$OI$40,0)))</f>
        <v/>
      </c>
      <c r="OK7">
        <f>IF(COUNTIF('Buyer Groups'!DG60:EA60,0)+COUNTIF('Buyer Groups'!EC60:EN60,0)&gt;0,0,1)</f>
        <v/>
      </c>
      <c r="OL7">
        <f>IF($DP$7="",FALSE,SUMPRODUCT(('Final Calculation Sheet'!$V$4:$V$40=$DP$7)*($OK$6:$OK$42=1))&gt;0)</f>
        <v/>
      </c>
      <c r="OM7">
        <f>$OM$6+--($OL7)</f>
        <v/>
      </c>
      <c r="ON7">
        <f>IF(ROW()-3&gt;MAX($OM$4:$OM$40),"",INDEX($DP$4:$DP$40,MATCH(ROW()-3,$OM$4:$OM$40,0)))</f>
        <v/>
      </c>
      <c r="OO7">
        <f>IF(COUNTIF('Buyer Groups'!DG60:EB60,0)+COUNTIF('Buyer Groups'!ED60:EN60,0)&gt;0,0,1)</f>
        <v/>
      </c>
      <c r="OP7">
        <f>IF($DU$7="",FALSE,SUMPRODUCT(('Final Calculation Sheet'!$W$4:$W$40=$DU$7)*($OO$6:$OO$42=1))&gt;0)</f>
        <v/>
      </c>
      <c r="OQ7">
        <f>$OQ$6+--($OP7)</f>
        <v/>
      </c>
      <c r="OR7">
        <f>IF(ROW()-3&gt;MAX($OQ$4:$OQ$40),"",INDEX($DU$4:$DU$40,MATCH(ROW()-3,$OQ$4:$OQ$40,0)))</f>
        <v/>
      </c>
      <c r="OS7">
        <f>IF(COUNTIF('Buyer Groups'!DG60:EC60,0)+COUNTIF('Buyer Groups'!EE60:EN60,0)&gt;0,0,1)</f>
        <v/>
      </c>
      <c r="OT7">
        <f>IF($DZ$7="",FALSE,SUMPRODUCT(('Final Calculation Sheet'!$X$4:$X$40=$DZ$7)*($OS$6:$OS$42=1))&gt;0)</f>
        <v/>
      </c>
      <c r="OU7">
        <f>$OU$6+--($OT7)</f>
        <v/>
      </c>
      <c r="OV7">
        <f>IF(ROW()-3&gt;MAX($OU$4:$OU$40),"",INDEX($DZ$4:$DZ$40,MATCH(ROW()-3,$OU$4:$OU$40,0)))</f>
        <v/>
      </c>
      <c r="OW7">
        <f>IF(COUNTIF('Buyer Groups'!DG60:ED60,0)+COUNTIF('Buyer Groups'!EF60:EN60,0)&gt;0,0,1)</f>
        <v/>
      </c>
      <c r="OX7">
        <f>IF($EE$7="",FALSE,SUMPRODUCT(('Final Calculation Sheet'!$Y$4:$Y$40=$EE$7)*($OW$6:$OW$42=1))&gt;0)</f>
        <v/>
      </c>
      <c r="OY7">
        <f>$OY$6+--($OX7)</f>
        <v/>
      </c>
      <c r="OZ7">
        <f>IF(ROW()-3&gt;MAX($OY$4:$OY$40),"",INDEX($EE$4:$EE$40,MATCH(ROW()-3,$OY$4:$OY$40,0)))</f>
        <v/>
      </c>
      <c r="PA7">
        <f>IF(COUNTIF('Buyer Groups'!DG60:EE60,0)+COUNTIF('Buyer Groups'!EG60:EN60,0)&gt;0,0,1)</f>
        <v/>
      </c>
      <c r="PB7">
        <f>IF($EJ$7="",FALSE,SUMPRODUCT(('Final Calculation Sheet'!$Z$4:$Z$40=$EJ$7)*($PA$6:$PA$42=1))&gt;0)</f>
        <v/>
      </c>
      <c r="PC7">
        <f>$PC$6+--($PB7)</f>
        <v/>
      </c>
      <c r="PD7">
        <f>IF(ROW()-3&gt;MAX($PC$4:$PC$40),"",INDEX($EJ$4:$EJ$40,MATCH(ROW()-3,$PC$4:$PC$40,0)))</f>
        <v/>
      </c>
      <c r="PE7">
        <f>IF(COUNTIF('Buyer Groups'!DG60:EF60,0)+COUNTIF('Buyer Groups'!EH60:EN60,0)&gt;0,0,1)</f>
        <v/>
      </c>
      <c r="PF7">
        <f>IF($EO$7="",FALSE,SUMPRODUCT(('Final Calculation Sheet'!$AA$4:$AA$40=$EO$7)*($PE$6:$PE$42=1))&gt;0)</f>
        <v/>
      </c>
      <c r="PG7">
        <f>$PG$6+--($PF7)</f>
        <v/>
      </c>
      <c r="PH7">
        <f>IF(ROW()-3&gt;MAX($PG$4:$PG$40),"",INDEX($EO$4:$EO$40,MATCH(ROW()-3,$PG$4:$PG$40,0)))</f>
        <v/>
      </c>
      <c r="PI7">
        <f>IF(COUNTIF('Buyer Groups'!DG60:EG60,0)+COUNTIF('Buyer Groups'!EI60:EN60,0)&gt;0,0,1)</f>
        <v/>
      </c>
      <c r="PJ7">
        <f>IF($ET$7="",FALSE,SUMPRODUCT(('Final Calculation Sheet'!$AB$4:$AB$40=$ET$7)*($PI$6:$PI$42=1))&gt;0)</f>
        <v/>
      </c>
      <c r="PK7">
        <f>$PK$6+--($PJ7)</f>
        <v/>
      </c>
      <c r="PL7">
        <f>IF(ROW()-3&gt;MAX($PK$4:$PK$40),"",INDEX($ET$4:$ET$40,MATCH(ROW()-3,$PK$4:$PK$40,0)))</f>
        <v/>
      </c>
      <c r="PM7">
        <f>IF(COUNTIF('Buyer Groups'!DG60:EH60,0)+COUNTIF('Buyer Groups'!EJ60:EN60,0)&gt;0,0,1)</f>
        <v/>
      </c>
      <c r="PN7">
        <f>IF($EY$7="",FALSE,SUMPRODUCT(('Final Calculation Sheet'!$AC$4:$AC$40=$EY$7)*($PM$6:$PM$42=1))&gt;0)</f>
        <v/>
      </c>
      <c r="PO7">
        <f>$PO$6+--($PN7)</f>
        <v/>
      </c>
      <c r="PP7">
        <f>IF(ROW()-3&gt;MAX($PO$4:$PO$40),"",INDEX($EY$4:$EY$40,MATCH(ROW()-3,$PO$4:$PO$40,0)))</f>
        <v/>
      </c>
      <c r="PQ7">
        <f>IF(COUNTIF('Buyer Groups'!DG60:EI60,0)+COUNTIF('Buyer Groups'!EK60:EN60,0)&gt;0,0,1)</f>
        <v/>
      </c>
      <c r="PR7">
        <f>IF($FD$7="",FALSE,SUMPRODUCT(('Final Calculation Sheet'!$AD$4:$AD$40=$FD$7)*($PQ$6:$PQ$42=1))&gt;0)</f>
        <v/>
      </c>
      <c r="PS7">
        <f>$PS$6+--($PR7)</f>
        <v/>
      </c>
      <c r="PT7">
        <f>IF(ROW()-3&gt;MAX($PS$4:$PS$40),"",INDEX($FD$4:$FD$40,MATCH(ROW()-3,$PS$4:$PS$40,0)))</f>
        <v/>
      </c>
      <c r="PU7">
        <f>IF(COUNTIF('Buyer Groups'!DG60:EJ60,0)+COUNTIF('Buyer Groups'!EL60:EN60,0)&gt;0,0,1)</f>
        <v/>
      </c>
      <c r="PV7">
        <f>IF($FX$7="",FALSE,SUMPRODUCT((IF('Final Calculation Sheet'!$AD$4:$AD$40&lt;=5,"SETTLED","OUTSTANDING")=$FX$7)*($PU$6:$PU$42=1))&gt;0)</f>
        <v/>
      </c>
      <c r="PW7">
        <f>$PW$6+--($PV7)</f>
        <v/>
      </c>
      <c r="PX7">
        <f>IF(ROW()-3&gt;MAX($PW$4:$PW$40),"",INDEX($FX$4:$FX$40,MATCH(ROW()-3,$PW$4:$PW$40,0)))</f>
        <v/>
      </c>
      <c r="PY7">
        <f>IF(COUNTIF('Buyer Groups'!DG60:EK60,0)+COUNTIF('Buyer Groups'!EM60:EN60,0)&gt;0,0,1)</f>
        <v/>
      </c>
      <c r="PZ7">
        <f>IF($FI$7="",FALSE,SUMPRODUCT(('Final Calculation Sheet'!$AF$4:$AF$40=$FI$7)*($PY$6:$PY$42=1))&gt;0)</f>
        <v/>
      </c>
      <c r="QA7">
        <f>$QA$6+--($PZ7)</f>
        <v/>
      </c>
      <c r="QB7">
        <f>IF(ROW()-3&gt;MAX($QA$4:$QA$40),"",INDEX($FI$4:$FI$40,MATCH(ROW()-3,$QA$4:$QA$40,0)))</f>
        <v/>
      </c>
      <c r="QC7">
        <f>IF(COUNTIF('Buyer Groups'!DG60:EL60,0)+COUNTIF('Buyer Groups'!EN60:EN60,0)&gt;0,0,1)</f>
        <v/>
      </c>
      <c r="QD7">
        <f>IF($FN$7="",FALSE,SUMPRODUCT(('Final Calculation Sheet'!$AG$4:$AG$40=$FN$7)*($QC$6:$QC$42=1))&gt;0)</f>
        <v/>
      </c>
      <c r="QE7">
        <f>$QE$6+--($QD7)</f>
        <v/>
      </c>
      <c r="QF7">
        <f>IF(ROW()-3&gt;MAX($QE$4:$QE$40),"",INDEX($FN$4:$FN$40,MATCH(ROW()-3,$QE$4:$QE$40,0)))</f>
        <v/>
      </c>
      <c r="QG7">
        <f>IF(COUNTIF('Buyer Groups'!DG60:EM60,0)&gt;0,0,1)</f>
        <v/>
      </c>
      <c r="QH7">
        <f>IF($FS$7="",FALSE,SUMPRODUCT(('Final Calculation Sheet'!$AH$4:$AH$40=$FS$7)*($QG$6:$QG$42=1))&gt;0)</f>
        <v/>
      </c>
      <c r="QI7">
        <f>$QI$6+--($QH7)</f>
        <v/>
      </c>
      <c r="QJ7">
        <f>IF(ROW()-3&gt;MAX($QI$4:$QI$40),"",INDEX($FS$4:$FS$40,MATCH(ROW()-3,$QI$4:$QI$40,0)))</f>
        <v/>
      </c>
      <c r="QK7" t="str">
        <f>IF('Final Calculation Sheet'!$AH$7="","",'Final Calculation Sheet'!$AH$7)</f>
      </c>
      <c r="QL7" t="str">
        <f>IF(QK7="","",COUNTIFS(QK$4:QK$40,"&lt;"&amp;QK7,QK$4:QK$40,"&lt;&gt;"&amp;"")+COUNTIF(QK$4:QK7,QK7))</f>
      </c>
      <c r="QM7" t="str">
        <f>IF(ROW()-3&gt;COUNTIF(QK$4:QK$40,"&lt;&gt;"&amp;""),"",INDEX(QK$4:QK$40,MATCH(ROW()-3,QL$4:QL$40,0)))</f>
      </c>
      <c r="QN7" t="str">
        <f>=QN6+F(AND(QM7&lt;&gt;"",COUNTIF(QM$4:QM7,QM7)=1),1,0)</f>
      </c>
      <c r="QO7" t="str">
        <f>IF(ROW()-3&gt;MAX(QN$4:QN$40),"",INDEX(QM$4:QM$40,MATCH(ROW()-3,QN$4:QN$40,0)))</f>
      </c>
      <c r="QP7" t="str">
        <f>IF(COUNTIF('Final Calculation Sheet'!$AM7:$BS7,0)&gt;0,0,1)</f>
      </c>
      <c r="QQ7" t="str">
        <f>IF($AI$7="",FALSE,SUMPRODUCT(('Final Calculation Sheet'!$A$4:$A$40=$AI$7)*($QP$4:$QP$40=1))&gt;0)</f>
      </c>
      <c r="QR7" t="str">
        <f>=$QR6+--($QQ7)</f>
      </c>
      <c r="QS7" t="str">
        <f>IF(ROW()-3&gt;MAX($QR$4:$QR$40),"",INDEX($AI$4:$AI$40,MATCH(ROW()-3,$QR$4:$QR$40,0)))</f>
      </c>
      <c r="QT7" t="str">
        <f>IF(COUNTIF('Final Calculation Sheet'!$AL7:$AL7,0)+COUNTIF('Final Calculation Sheet'!$AN7:$BS7,0)&gt;0,0,1)</f>
      </c>
      <c r="QU7" t="str">
        <f>IF($Y$7="",FALSE,SUMPRODUCT(('Final Calculation Sheet'!$B$4:$B$40=$Y$7)*($QT$4:$QT$40=1))&gt;0)</f>
      </c>
      <c r="QV7" t="str">
        <f>=$QV6+--($QU7)</f>
      </c>
      <c r="QW7" t="str">
        <f>IF(ROW()-3&gt;MAX($QV$4:$QV$40),"",INDEX($Y$4:$Y$40,MATCH(ROW()-3,$QV$4:$QV$40,0)))</f>
      </c>
      <c r="QX7" t="str">
        <f>IF(COUNTIF('Final Calculation Sheet'!$AL7:$AM7,0)+COUNTIF('Final Calculation Sheet'!$AO7:$BS7,0)&gt;0,0,1)</f>
      </c>
      <c r="QY7" t="str">
        <f>IF($AS$7="",FALSE,SUMPRODUCT(('Final Calculation Sheet'!$C$4:$C$40=$AS$7)*($QX$4:$QX$40=1))&gt;0)</f>
      </c>
      <c r="QZ7" t="str">
        <f>=$QZ6+--($QY7)</f>
      </c>
      <c r="RA7" t="str">
        <f>IF(ROW()-3&gt;MAX($QZ$4:$QZ$40),"",INDEX($AS$4:$AS$40,MATCH(ROW()-3,$QZ$4:$QZ$40,0)))</f>
      </c>
      <c r="RB7" t="str">
        <f>IF(COUNTIF('Final Calculation Sheet'!$AL7:$AN7,0)+COUNTIF('Final Calculation Sheet'!$AP7:$BS7,0)&gt;0,0,1)</f>
      </c>
      <c r="RC7" t="str">
        <f>IF($AD$7="",FALSE,SUMPRODUCT(('Final Calculation Sheet'!$D$4:$D$40=$AD$7)*($RB$4:$RB$40=1))&gt;0)</f>
      </c>
      <c r="RD7" t="str">
        <f>=$RD6+--($RC7)</f>
      </c>
      <c r="RE7" t="str">
        <f>IF(ROW()-3&gt;MAX($RD$4:$RD$40),"",INDEX($AD$4:$AD$40,MATCH(ROW()-3,$RD$4:$RD$40,0)))</f>
      </c>
      <c r="RF7" t="str">
        <f>IF(COUNTIF('Final Calculation Sheet'!$AL7:$AO7,0)+COUNTIF('Final Calculation Sheet'!$AQ7:$BS7,0)&gt;0,0,1)</f>
      </c>
      <c r="RG7" t="str">
        <f>IF($AN$7="",FALSE,SUMPRODUCT(('Final Calculation Sheet'!$E$4:$E$40=$AN$7)*($RF$4:$RF$40=1))&gt;0)</f>
      </c>
      <c r="RH7" t="str">
        <f>=$RH6+--($RG7)</f>
      </c>
      <c r="RI7" t="str">
        <f>IF(ROW()-3&gt;MAX($RH$4:$RH$40),"",INDEX($AN$4:$AN$40,MATCH(ROW()-3,$RH$4:$RH$40,0)))</f>
      </c>
      <c r="RJ7" t="str">
        <f>IF(COUNTIF('Final Calculation Sheet'!$AL7:$AP7,0)+COUNTIF('Final Calculation Sheet'!$AR7:$BS7,0)&gt;0,0,1)</f>
      </c>
      <c r="RK7" t="str">
        <f>IF($O$7="",FALSE,SUMPRODUCT(('Final Calculation Sheet'!$F$4:$F$40=$O$7)*($RJ$4:$RJ$40=1))&gt;0)</f>
      </c>
      <c r="RL7" t="str">
        <f>=$RL6+--($RK7)</f>
      </c>
      <c r="RM7" t="str">
        <f>IF(ROW()-3&gt;MAX($RL$4:$RL$40),"",INDEX($O$4:$O$40,MATCH(ROW()-3,$RL$4:$RL$40,0)))</f>
      </c>
      <c r="RN7" t="str">
        <f>IF(COUNTIF('Final Calculation Sheet'!$AL7:$AQ7,0)+COUNTIF('Final Calculation Sheet'!$AS7:$BS7,0)&gt;0,0,1)</f>
      </c>
      <c r="RO7" t="str">
        <f>IF($T$7="",FALSE,SUMPRODUCT(('Final Calculation Sheet'!$G$4:$G$40=$T$7)*($RN$4:$RN$40=1))&gt;0)</f>
      </c>
      <c r="RP7" t="str">
        <f>=$RP6+--($RO7)</f>
      </c>
      <c r="RQ7" t="str">
        <f>IF(ROW()-3&gt;MAX($RP$4:$RP$40),"",INDEX($T$4:$T$40,MATCH(ROW()-3,$RP$4:$RP$40,0)))</f>
      </c>
      <c r="RR7" t="str">
        <f>IF(COUNTIF('Final Calculation Sheet'!$AL7:$AR7,0)+COUNTIF('Final Calculation Sheet'!$AT7:$BS7,0)&gt;0,0,1)</f>
      </c>
      <c r="RS7" t="str">
        <f>IF($AX$7="",FALSE,SUMPRODUCT(('Final Calculation Sheet'!$H$4:$H$40=$AX$7)*($RR$4:$RR$40=1))&gt;0)</f>
      </c>
      <c r="RT7" t="str">
        <f>=$RT6+--($RS7)</f>
      </c>
      <c r="RU7" t="str">
        <f>IF(ROW()-3&gt;MAX($RT$4:$RT$40),"",INDEX($AX$4:$AX$40,MATCH(ROW()-3,$RT$4:$RT$40,0)))</f>
      </c>
      <c r="RV7" t="str">
        <f>IF(COUNTIF('Final Calculation Sheet'!$AL7:$AS7,0)+COUNTIF('Final Calculation Sheet'!$AU7:$BS7,0)&gt;0,0,1)</f>
      </c>
      <c r="RW7" t="str">
        <f>IF($BC$7="",FALSE,SUMPRODUCT(('Final Calculation Sheet'!$I$4:$I$40=$BC$7)*($RV$4:$RV$40=1))&gt;0)</f>
      </c>
      <c r="RX7" t="str">
        <f>=$RX6+--($RW7)</f>
      </c>
      <c r="RY7" t="str">
        <f>IF(ROW()-3&gt;MAX($RX$4:$RX$40),"",INDEX($BC$4:$BC$40,MATCH(ROW()-3,$RX$4:$RX$40,0)))</f>
      </c>
      <c r="RZ7" t="str">
        <f>IF(COUNTIF('Final Calculation Sheet'!$AL7:$AT7,0)+COUNTIF('Final Calculation Sheet'!$AV7:$BS7,0)&gt;0,0,1)</f>
      </c>
      <c r="SA7" t="str">
        <f>IF($BH$7="",FALSE,SUMPRODUCT(('Final Calculation Sheet'!$J$4:$J$40=$BH$7)*($RZ$4:$RZ$40=1))&gt;0)</f>
      </c>
      <c r="SB7" t="str">
        <f>=$SB6+--($SA7)</f>
      </c>
      <c r="SC7" t="str">
        <f>IF(ROW()-3&gt;MAX($SB$4:$SB$40),"",INDEX($BH$4:$BH$40,MATCH(ROW()-3,$SB$4:$SB$40,0)))</f>
      </c>
      <c r="SD7" t="str">
        <f>IF(COUNTIF('Final Calculation Sheet'!$AL7:$AU7,0)+COUNTIF('Final Calculation Sheet'!$AW7:$BS7,0)&gt;0,0,1)</f>
      </c>
      <c r="SE7" t="str">
        <f>IF($BM$7="",FALSE,SUMPRODUCT(('Final Calculation Sheet'!$K$4:$K$40=$BM$7)*($SD$4:$SD$40=1))&gt;0)</f>
      </c>
      <c r="SF7" t="str">
        <f>=$SF6+--($SE7)</f>
      </c>
      <c r="SG7" t="str">
        <f>IF(ROW()-3&gt;MAX($SF$4:$SF$40),"",INDEX($BM$4:$BM$40,MATCH(ROW()-3,$SF$4:$SF$40,0)))</f>
      </c>
      <c r="SH7" t="str">
        <f>IF(COUNTIF('Final Calculation Sheet'!$AL7:$AV7,0)+COUNTIF('Final Calculation Sheet'!$AX7:$BS7,0)&gt;0,0,1)</f>
      </c>
      <c r="SI7" t="str">
        <f>IF($BR$7="",FALSE,SUMPRODUCT(('Final Calculation Sheet'!$L$4:$L$40=$BR$7)*($SH$4:$SH$40=1))&gt;0)</f>
      </c>
      <c r="SJ7" t="str">
        <f>=$SJ6+--($SI7)</f>
      </c>
      <c r="SK7" t="str">
        <f>IF(ROW()-3&gt;MAX($SJ$4:$SJ$40),"",INDEX($BR$4:$BR$40,MATCH(ROW()-3,$SJ$4:$SJ$40,0)))</f>
      </c>
      <c r="SL7" t="str">
        <f>IF(COUNTIF('Final Calculation Sheet'!$AL7:$AW7,0)+COUNTIF('Final Calculation Sheet'!$AY7:$BS7,0)&gt;0,0,1)</f>
      </c>
      <c r="SM7" t="str">
        <f>IF($BW$7="",FALSE,SUMPRODUCT(('Final Calculation Sheet'!$M$4:$M$40=$BW$7)*($SL$4:$SL$40=1))&gt;0)</f>
      </c>
      <c r="SN7" t="str">
        <f>=$SN6+--($SM7)</f>
      </c>
      <c r="SO7" t="str">
        <f>IF(ROW()-3&gt;MAX($SN$4:$SN$40),"",INDEX($BW$4:$BW$40,MATCH(ROW()-3,$SN$4:$SN$40,0)))</f>
      </c>
      <c r="SP7" t="str">
        <f>IF(COUNTIF('Final Calculation Sheet'!$AL7:$AX7,0)+COUNTIF('Final Calculation Sheet'!$AZ7:$BS7,0)&gt;0,0,1)</f>
      </c>
      <c r="SQ7" t="str">
        <f>IF($CB$7="",FALSE,SUMPRODUCT(('Final Calculation Sheet'!$N$4:$N$40=$CB$7)*($SP$4:$SP$40=1))&gt;0)</f>
      </c>
      <c r="SR7" t="str">
        <f>=$SR6+--($SQ7)</f>
      </c>
      <c r="SS7" t="str">
        <f>IF(ROW()-3&gt;MAX($SR$4:$SR$40),"",INDEX($CB$4:$CB$40,MATCH(ROW()-3,$SR$4:$SR$40,0)))</f>
      </c>
      <c r="ST7" t="str">
        <f>IF(COUNTIF('Final Calculation Sheet'!$AL7:$AY7,0)+COUNTIF('Final Calculation Sheet'!$BA7:$BS7,0)&gt;0,0,1)</f>
      </c>
      <c r="SU7" t="str">
        <f>IF($CG$7="",FALSE,SUMPRODUCT(('Final Calculation Sheet'!$O$4:$O$40=$CG$7)*($ST$4:$ST$40=1))&gt;0)</f>
      </c>
      <c r="SV7" t="str">
        <f>=$SV6+--($SU7)</f>
      </c>
      <c r="SW7" t="str">
        <f>IF(ROW()-3&gt;MAX($SV$4:$SV$40),"",INDEX($CG$4:$CG$40,MATCH(ROW()-3,$SV$4:$SV$40,0)))</f>
      </c>
      <c r="SX7" t="str">
        <f>IF(COUNTIF('Final Calculation Sheet'!$AL7:$AZ7,0)+COUNTIF('Final Calculation Sheet'!$BB7:$BS7,0)&gt;0,0,1)</f>
      </c>
      <c r="SY7" t="str">
        <f>IF($CL$7="",FALSE,SUMPRODUCT(('Final Calculation Sheet'!$P$4:$P$40=$CL$7)*($SX$4:$SX$40=1))&gt;0)</f>
      </c>
      <c r="SZ7" t="str">
        <f>=$SZ6+--($SY7)</f>
      </c>
      <c r="TA7" t="str">
        <f>IF(ROW()-3&gt;MAX($SZ$4:$SZ$40),"",INDEX($CL$4:$CL$40,MATCH(ROW()-3,$SZ$4:$SZ$40,0)))</f>
      </c>
      <c r="TB7" t="str">
        <f>IF(COUNTIF('Final Calculation Sheet'!$AL7:$BA7,0)+COUNTIF('Final Calculation Sheet'!$BC7:$BS7,0)&gt;0,0,1)</f>
      </c>
      <c r="TC7" t="str">
        <f>IF($CQ$7="",FALSE,SUMPRODUCT(('Final Calculation Sheet'!$Q$4:$Q$40=$CQ$7)*($TB$4:$TB$40=1))&gt;0)</f>
      </c>
      <c r="TD7" t="str">
        <f>=$TD6+--($TC7)</f>
      </c>
      <c r="TE7" t="str">
        <f>IF(ROW()-3&gt;MAX($TD$4:$TD$40),"",INDEX($CQ$4:$CQ$40,MATCH(ROW()-3,$TD$4:$TD$40,0)))</f>
      </c>
      <c r="TF7" t="str">
        <f>IF(COUNTIF('Final Calculation Sheet'!$AL7:$BB7,0)+COUNTIF('Final Calculation Sheet'!$BD7:$BS7,0)&gt;0,0,1)</f>
      </c>
      <c r="TG7" t="str">
        <f>IF($CV$7="",FALSE,SUMPRODUCT(('Final Calculation Sheet'!$R$4:$R$40=$CV$7)*($TF$4:$TF$40=1))&gt;0)</f>
      </c>
      <c r="TH7" t="str">
        <f>=$TH6+--($TG7)</f>
      </c>
      <c r="TI7" t="str">
        <f>IF(ROW()-3&gt;MAX($TH$4:$TH$40),"",INDEX($CV$4:$CV$40,MATCH(ROW()-3,$TH$4:$TH$40,0)))</f>
      </c>
      <c r="TJ7" t="str">
        <f>IF(COUNTIF('Final Calculation Sheet'!$AL7:$BC7,0)+COUNTIF('Final Calculation Sheet'!$BE7:$BS7,0)&gt;0,0,1)</f>
      </c>
      <c r="TK7" t="str">
        <f>IF($DA$7="",FALSE,SUMPRODUCT(('Final Calculation Sheet'!$S$4:$S$40=$DA$7)*($TJ$4:$TJ$40=1))&gt;0)</f>
      </c>
      <c r="TL7" t="str">
        <f>=$TL6+--($TK7)</f>
      </c>
      <c r="TM7" t="str">
        <f>IF(ROW()-3&gt;MAX($TL$4:$TL$40),"",INDEX($DA$4:$DA$40,MATCH(ROW()-3,$TL$4:$TL$40,0)))</f>
      </c>
      <c r="TN7" t="str">
        <f>IF(COUNTIF('Final Calculation Sheet'!$AL7:$BD7,0)+COUNTIF('Final Calculation Sheet'!$BF7:$BS7,0)&gt;0,0,1)</f>
      </c>
      <c r="TO7" t="str">
        <f>IF($DF$7="",FALSE,SUMPRODUCT(('Final Calculation Sheet'!$T$4:$T$40=$DF$7)*($TN$4:$TN$40=1))&gt;0)</f>
      </c>
      <c r="TP7" t="str">
        <f>=$TP6+--($TO7)</f>
      </c>
      <c r="TQ7" t="str">
        <f>IF(ROW()-3&gt;MAX($TP$4:$TP$40),"",INDEX($DF$4:$DF$40,MATCH(ROW()-3,$TP$4:$TP$40,0)))</f>
      </c>
      <c r="TR7" t="str">
        <f>IF(COUNTIF('Final Calculation Sheet'!$AL7:$BE7,0)+COUNTIF('Final Calculation Sheet'!$BG7:$BS7,0)&gt;0,0,1)</f>
      </c>
      <c r="TS7" t="str">
        <f>IF($DK$7="",FALSE,SUMPRODUCT(('Final Calculation Sheet'!$U$4:$U$40=$DK$7)*($TR$4:$TR$40=1))&gt;0)</f>
      </c>
      <c r="TT7" t="str">
        <f>=$TT6+--($TS7)</f>
      </c>
      <c r="TU7" t="str">
        <f>IF(ROW()-3&gt;MAX($TT$4:$TT$40),"",INDEX($DK$4:$DK$40,MATCH(ROW()-3,$TT$4:$TT$40,0)))</f>
      </c>
      <c r="TV7" t="str">
        <f>IF(COUNTIF('Final Calculation Sheet'!$AL7:$BF7,0)+COUNTIF('Final Calculation Sheet'!$BH7:$BS7,0)&gt;0,0,1)</f>
      </c>
      <c r="TW7" t="str">
        <f>IF($DP$7="",FALSE,SUMPRODUCT(('Final Calculation Sheet'!$V$4:$V$40=$DP$7)*($TV$4:$TV$40=1))&gt;0)</f>
      </c>
      <c r="TX7" t="str">
        <f>=$TX6+--($TW7)</f>
      </c>
      <c r="TY7" t="str">
        <f>IF(ROW()-3&gt;MAX($TX$4:$TX$40),"",INDEX($DP$4:$DP$40,MATCH(ROW()-3,$TX$4:$TX$40,0)))</f>
      </c>
      <c r="TZ7" t="str">
        <f>IF(COUNTIF('Final Calculation Sheet'!$AL7:$BG7,0)+COUNTIF('Final Calculation Sheet'!$BI7:$BS7,0)&gt;0,0,1)</f>
      </c>
      <c r="UA7" t="str">
        <f>IF($DU$7="",FALSE,SUMPRODUCT(('Final Calculation Sheet'!$W$4:$W$40=$DU$7)*($TZ$4:$TZ$40=1))&gt;0)</f>
      </c>
      <c r="UB7" t="str">
        <f>=$UB6+--($UA7)</f>
      </c>
      <c r="UC7" t="str">
        <f>IF(ROW()-3&gt;MAX($UB$4:$UB$40),"",INDEX($DU$4:$DU$40,MATCH(ROW()-3,$UB$4:$UB$40,0)))</f>
      </c>
      <c r="UD7" t="str">
        <f>IF(COUNTIF('Final Calculation Sheet'!$AL7:$BH7,0)+COUNTIF('Final Calculation Sheet'!$BJ7:$BS7,0)&gt;0,0,1)</f>
      </c>
      <c r="UE7" t="str">
        <f>IF($DZ$7="",FALSE,SUMPRODUCT(('Final Calculation Sheet'!$X$4:$X$40=$DZ$7)*($UD$4:$UD$40=1))&gt;0)</f>
      </c>
      <c r="UF7" t="str">
        <f>=$UF6+--($UE7)</f>
      </c>
      <c r="UG7" t="str">
        <f>IF(ROW()-3&gt;MAX($UF$4:$UF$40),"",INDEX($DZ$4:$DZ$40,MATCH(ROW()-3,$UF$4:$UF$40,0)))</f>
      </c>
      <c r="UH7" t="str">
        <f>IF(COUNTIF('Final Calculation Sheet'!$AL7:$BI7,0)+COUNTIF('Final Calculation Sheet'!$BK7:$BS7,0)&gt;0,0,1)</f>
      </c>
      <c r="UI7" t="str">
        <f>IF($EE$7="",FALSE,SUMPRODUCT(('Final Calculation Sheet'!$Y$4:$Y$40=$EE$7)*($UH$4:$UH$40=1))&gt;0)</f>
      </c>
      <c r="UJ7" t="str">
        <f>=$UJ6+--($UI7)</f>
      </c>
      <c r="UK7" t="str">
        <f>IF(ROW()-3&gt;MAX($UJ$4:$UJ$40),"",INDEX($EE$4:$EE$40,MATCH(ROW()-3,$UJ$4:$UJ$40,0)))</f>
      </c>
      <c r="UL7" t="str">
        <f>IF(COUNTIF('Final Calculation Sheet'!$AL7:$BJ7,0)+COUNTIF('Final Calculation Sheet'!$BL7:$BS7,0)&gt;0,0,1)</f>
      </c>
      <c r="UM7" t="str">
        <f>IF($EJ$7="",FALSE,SUMPRODUCT(('Final Calculation Sheet'!$Z$4:$Z$40=$EJ$7)*($UL$4:$UL$40=1))&gt;0)</f>
      </c>
      <c r="UN7" t="str">
        <f>=$UN6+--($UM7)</f>
      </c>
      <c r="UO7" t="str">
        <f>IF(ROW()-3&gt;MAX($UN$4:$UN$40),"",INDEX($EJ$4:$EJ$40,MATCH(ROW()-3,$UN$4:$UN$40,0)))</f>
      </c>
      <c r="UP7" t="str">
        <f>IF(COUNTIF('Final Calculation Sheet'!$AL7:$BK7,0)+COUNTIF('Final Calculation Sheet'!$BM7:$BS7,0)&gt;0,0,1)</f>
      </c>
      <c r="UQ7" t="str">
        <f>IF($EO$7="",FALSE,SUMPRODUCT(('Final Calculation Sheet'!$AA$4:$AA$40=$EO$7)*($UP$4:$UP$40=1))&gt;0)</f>
      </c>
      <c r="UR7" t="str">
        <f>=$UR6+--($UQ7)</f>
      </c>
      <c r="US7" t="str">
        <f>IF(ROW()-3&gt;MAX($UR$4:$UR$40),"",INDEX($EO$4:$EO$40,MATCH(ROW()-3,$UR$4:$UR$40,0)))</f>
      </c>
      <c r="UT7" t="str">
        <f>IF(COUNTIF('Final Calculation Sheet'!$AL7:$BL7,0)+COUNTIF('Final Calculation Sheet'!$BN7:$BS7,0)&gt;0,0,1)</f>
      </c>
      <c r="UU7" t="str">
        <f>IF($ET$7="",FALSE,SUMPRODUCT(('Final Calculation Sheet'!$AB$4:$AB$40=$ET$7)*($UT$4:$UT$40=1))&gt;0)</f>
      </c>
      <c r="UV7" t="str">
        <f>=$UV6+--($UU7)</f>
      </c>
      <c r="UW7" t="str">
        <f>IF(ROW()-3&gt;MAX($UV$4:$UV$40),"",INDEX($ET$4:$ET$40,MATCH(ROW()-3,$UV$4:$UV$40,0)))</f>
      </c>
      <c r="UX7" t="str">
        <f>IF(COUNTIF('Final Calculation Sheet'!$AL7:$BM7,0)+COUNTIF('Final Calculation Sheet'!$BO7:$BS7,0)&gt;0,0,1)</f>
      </c>
      <c r="UY7" t="str">
        <f>IF($EY$7="",FALSE,SUMPRODUCT(('Final Calculation Sheet'!$AC$4:$AC$40=$EY$7)*($UX$4:$UX$40=1))&gt;0)</f>
      </c>
      <c r="UZ7" t="str">
        <f>=$UZ6+--($UY7)</f>
      </c>
      <c r="VA7" t="str">
        <f>IF(ROW()-3&gt;MAX($UZ$4:$UZ$40),"",INDEX($EY$4:$EY$40,MATCH(ROW()-3,$UZ$4:$UZ$40,0)))</f>
      </c>
      <c r="VB7" t="str">
        <f>IF(COUNTIF('Final Calculation Sheet'!$AL7:$BN7,0)+COUNTIF('Final Calculation Sheet'!$BP7:$BS7,0)&gt;0,0,1)</f>
      </c>
      <c r="VC7" t="str">
        <f>IF($FD$7="",FALSE,SUMPRODUCT(('Final Calculation Sheet'!$AD$4:$AD$40=$FD$7)*($VB$4:$VB$40=1))&gt;0)</f>
      </c>
      <c r="VD7" t="str">
        <f>=$VD6+--($VC7)</f>
      </c>
      <c r="VE7" t="str">
        <f>IF(ROW()-3&gt;MAX($VD$4:$VD$40),"",INDEX($FD$4:$FD$40,MATCH(ROW()-3,$VD$4:$VD$40,0)))</f>
      </c>
      <c r="VF7" t="str">
        <f>IF(COUNTIF('Final Calculation Sheet'!$AL7:$BO7,0)+COUNTIF('Final Calculation Sheet'!$BQ7:$BS7,0)&gt;0,0,1)</f>
      </c>
      <c r="VG7" t="str">
        <f>IF($FI$7="",FALSE,SUMPRODUCT(('Final Calculation Sheet'!$AE$4:$AE$40=$FI$7)*($VF$4:$VF$40=1))&gt;0)</f>
      </c>
      <c r="VH7" t="str">
        <f>=$VH6+--($VG7)</f>
      </c>
      <c r="VI7" t="str">
        <f>IF(ROW()-3&gt;MAX($VH$4:$VH$40),"",INDEX($FI$4:$FI$40,MATCH(ROW()-3,$VH$4:$VH$40,0)))</f>
      </c>
      <c r="VJ7" t="str">
        <f>IF(COUNTIF('Final Calculation Sheet'!$AL7:$BP7,0)+COUNTIF('Final Calculation Sheet'!$BR7:$BS7,0)&gt;0,0,1)</f>
      </c>
      <c r="VK7" t="str">
        <f>IF($FN$7="",FALSE,SUMPRODUCT(('Final Calculation Sheet'!$AF$4:$AF$40=$FN$7)*($VJ$4:$VJ$40=1))&gt;0)</f>
      </c>
      <c r="VL7" t="str">
        <f>=$VL6+--($VK7)</f>
      </c>
      <c r="VM7" t="str">
        <f>IF(ROW()-3&gt;MAX($VL$4:$VL$40),"",INDEX($FN$4:$FN$40,MATCH(ROW()-3,$VL$4:$VL$40,0)))</f>
      </c>
      <c r="VN7" t="str">
        <f>IF(COUNTIF('Final Calculation Sheet'!$AL7:$BQ7,0)+COUNTIF('Final Calculation Sheet'!$BS7:$BS7,0)&gt;0,0,1)</f>
      </c>
      <c r="VO7" t="str">
        <f>IF($FS$7="",FALSE,SUMPRODUCT(('Final Calculation Sheet'!$AG$4:$AG$40=$FS$7)*($VN$4:$VN$40=1))&gt;0)</f>
      </c>
      <c r="VP7" t="str">
        <f>=$VP6+--($VO7)</f>
      </c>
      <c r="VQ7" t="str">
        <f>IF(ROW()-3&gt;MAX($VP$4:$VP$40),"",INDEX($FS$4:$FS$40,MATCH(ROW()-3,$VP$4:$VP$40,0)))</f>
      </c>
      <c r="VR7" t="str">
        <f>IF(COUNTIF('Final Calculation Sheet'!$AL7:$BR7,0)&gt;0,0,1)</f>
      </c>
      <c r="VS7" t="str">
        <f>IF($QO$7="",FALSE,SUMPRODUCT(('Final Calculation Sheet'!$AH$4:$AH$40=$QO$7)*($VR$4:$VR$40=1))&gt;0)</f>
      </c>
      <c r="VT7" t="str">
        <f>=$VT6+--($VS7)</f>
      </c>
      <c r="VU7" t="str">
        <f>IF(ROW()-3&gt;MAX($VT$4:$VT$40),"",INDEX($QO$4:$QO$40,MATCH(ROW()-3,$VT$4:$VT$40,0)))</f>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IF(COUNTIF('Live Search'!BM$7:BM$7,0)+COUNTIF('Live Search'!B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D8">
        <f>IF($O$8="",FALSE,SUMPRODUCT(('Final Calculation Sheet'!$F$4:$F$40=$O$8)*($GC$6:$GC$42=1))&gt;0)</f>
        <v/>
      </c>
      <c r="GE8">
        <f>$GE$7+--($GD8)</f>
        <v/>
      </c>
      <c r="GF8">
        <f>IF(ROW()-3&gt;MAX($GE$4:$GE$40),"",INDEX($O$4:$O$40,MATCH(ROW()-3,$GE$4:$GE$40,0)))</f>
        <v/>
      </c>
      <c r="GG8">
        <f>IF(COUNTIF('Live Search'!BM$7:BN$7,0)+COUNTIF('Live Search'!B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H8">
        <f>IF($T$8="",FALSE,SUMPRODUCT(('Final Calculation Sheet'!$G$4:$G$40=$T$8)*($GG$6:$GG$42=1))&gt;0)</f>
        <v/>
      </c>
      <c r="GI8">
        <f>$GI$7+--($GH8)</f>
        <v/>
      </c>
      <c r="GJ8">
        <f>IF(ROW()-3&gt;MAX($GI$4:$GI$40),"",INDEX($T$4:$T$40,MATCH(ROW()-3,$GI$4:$GI$40,0)))</f>
        <v/>
      </c>
      <c r="GK8">
        <f>IF(COUNTIF('Live Search'!BM$7:BP$7,0)+COUNTIF('Live Search'!B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L8">
        <f>IF($AD$8="",FALSE,SUMPRODUCT(('Final Calculation Sheet'!$D$4:$D$40=$AD$8)*($GK$6:$GK$42=1))&gt;0)</f>
        <v/>
      </c>
      <c r="GM8">
        <f>$GM$7+--($GL8)</f>
        <v/>
      </c>
      <c r="GN8">
        <f>IF(ROW()-3&gt;MAX($GM$4:$GM$40),"",INDEX($AD$4:$AD$40,MATCH(ROW()-3,$GM$4:$GM$40,0)))</f>
        <v/>
      </c>
      <c r="GO8">
        <f>IF(COUNTIF('Live Search'!BM$7:BQ$7,0)+COUNTIF('Live Search'!B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P8">
        <f>IF($AI$8="",FALSE,SUMPRODUCT(('Final Calculation Sheet'!$A$4:$A$40=$AI$8)*($GO$6:$GO$42=1))&gt;0)</f>
        <v/>
      </c>
      <c r="GQ8">
        <f>$GQ$7+--($GP8)</f>
        <v/>
      </c>
      <c r="GR8">
        <f>IF(ROW()-3&gt;MAX($GQ$4:$GQ$40),"",INDEX($AI$4:$AI$40,MATCH(ROW()-3,$GQ$4:$GQ$40,0)))</f>
        <v/>
      </c>
      <c r="GS8">
        <f>IF(COUNTIF('Live Search'!BM$7:BR$7,0)+COUNTIF('Live Search'!B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T8">
        <f>IF($AN$8="",FALSE,SUMPRODUCT(('Final Calculation Sheet'!$E$4:$E$40=$AN$8)*($GS$6:$GS$42=1))&gt;0)</f>
        <v/>
      </c>
      <c r="GU8">
        <f>$GU$7+--($GT8)</f>
        <v/>
      </c>
      <c r="GV8">
        <f>IF(ROW()-3&gt;MAX($GU$4:$GU$40),"",INDEX($AN$4:$AN$40,MATCH(ROW()-3,$GU$4:$GU$40,0)))</f>
        <v/>
      </c>
      <c r="GW8">
        <f>IF(COUNTIF('Live Search'!BM$7:BS$7,0)+COUNTIF('Live Search'!B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GX8">
        <f>IF($AS$8="",FALSE,SUMPRODUCT(('Final Calculation Sheet'!$C$4:$C$40=$AS$8)*($GW$6:$GW$42=1))&gt;0)</f>
        <v/>
      </c>
      <c r="GY8">
        <f>$GY$7+--($GX8)</f>
        <v/>
      </c>
      <c r="GZ8">
        <f>IF(ROW()-3&gt;MAX($GY$4:$GY$40),"",INDEX($AS$4:$AS$40,MATCH(ROW()-3,$GY$4:$GY$40,0)))</f>
        <v/>
      </c>
      <c r="HA8">
        <f>IF(COUNTIF('Live Search'!BM$7:BT$7,0)+COUNTIF('Live Search'!BV$7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B8">
        <f>IF($AX$8="",FALSE,SUMPRODUCT(('Final Calculation Sheet'!$H$4:$H$40=$AX$8)*($HA$6:$HA$42=1))&gt;0)</f>
        <v/>
      </c>
      <c r="HC8">
        <f>$HC$7+--($HB8)</f>
        <v/>
      </c>
      <c r="HD8">
        <f>IF(ROW()-3&gt;MAX($HC$4:$HC$40),"",INDEX($AX$4:$AX$40,MATCH(ROW()-3,$HC$4:$HC$40,0)))</f>
        <v/>
      </c>
      <c r="HE8">
        <f>IF(COUNTIF('Live Search'!BM$7:BU$7,0)+COUNTIF('Live Search'!BW$7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F8">
        <f>IF($BC$8="",FALSE,SUMPRODUCT(('Final Calculation Sheet'!$I$4:$I$40=$BC$8)*($HE$6:$HE$42=1))&gt;0)</f>
        <v/>
      </c>
      <c r="HG8">
        <f>$HG$7+--($HF8)</f>
        <v/>
      </c>
      <c r="HH8">
        <f>IF(ROW()-3&gt;MAX($HG$4:$HG$40),"",INDEX($BC$4:$BC$40,MATCH(ROW()-3,$HG$4:$HG$40,0)))</f>
        <v/>
      </c>
      <c r="HI8">
        <f>IF(COUNTIF('Live Search'!BM$7:BV$7,0)+COUNTIF('Live Search'!BX$7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J8">
        <f>IF($BH$8="",FALSE,SUMPRODUCT(('Final Calculation Sheet'!$J$4:$J$40=$BH$8)*($HI$6:$HI$42=1))&gt;0)</f>
        <v/>
      </c>
      <c r="HK8">
        <f>$HK$7+--($HJ8)</f>
        <v/>
      </c>
      <c r="HL8">
        <f>IF(ROW()-3&gt;MAX($HK$4:$HK$40),"",INDEX($BH$4:$BH$40,MATCH(ROW()-3,$HK$4:$HK$40,0)))</f>
        <v/>
      </c>
      <c r="HM8">
        <f>IF(COUNTIF('Live Search'!BM$7:BW$7,0)+COUNTIF('Live Search'!BY$7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N8">
        <f>IF($BM$8="",FALSE,SUMPRODUCT(('Final Calculation Sheet'!$K$4:$K$40=$BM$8)*($HM$6:$HM$42=1))&gt;0)</f>
        <v/>
      </c>
      <c r="HO8">
        <f>$HO$7+--($HN8)</f>
        <v/>
      </c>
      <c r="HP8">
        <f>IF(ROW()-3&gt;MAX($HO$4:$HO$40),"",INDEX($BM$4:$BM$40,MATCH(ROW()-3,$HO$4:$HO$40,0)))</f>
        <v/>
      </c>
      <c r="HQ8">
        <f>IF(COUNTIF('Live Search'!BM$7:BX$7,0)+COUNTIF('Live Search'!BZ$7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R8">
        <f>IF($BR$8="",FALSE,SUMPRODUCT(('Final Calculation Sheet'!$L$4:$L$40=$BR$8)*($HQ$6:$HQ$42=1))&gt;0)</f>
        <v/>
      </c>
      <c r="HS8">
        <f>$HS$7+--($HR8)</f>
        <v/>
      </c>
      <c r="HT8">
        <f>IF(ROW()-3&gt;MAX($HS$4:$HS$40),"",INDEX($BR$4:$BR$40,MATCH(ROW()-3,$HS$4:$HS$40,0)))</f>
        <v/>
      </c>
      <c r="HU8">
        <f>IF(COUNTIF('Live Search'!BM$7:BY$7,0)+COUNTIF('Live Search'!CA$7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V8">
        <f>IF($BW$8="",FALSE,SUMPRODUCT(('Final Calculation Sheet'!$M$4:$M$40=$BW$8)*($HU$6:$HU$42=1))&gt;0)</f>
        <v/>
      </c>
      <c r="HW8">
        <f>$HW$7+--($HV8)</f>
        <v/>
      </c>
      <c r="HX8">
        <f>IF(ROW()-3&gt;MAX($HW$4:$HW$40),"",INDEX($BW$4:$BW$40,MATCH(ROW()-3,$HW$4:$HW$40,0)))</f>
        <v/>
      </c>
      <c r="HY8">
        <f>IF(COUNTIF('Live Search'!BM$7:BZ$7,0)+COUNTIF('Live Search'!CB$7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HZ8">
        <f>IF($CB$8="",FALSE,SUMPRODUCT(('Final Calculation Sheet'!$N$4:$N$40=$CB$8)*($HY$6:$HY$42=1))&gt;0)</f>
        <v/>
      </c>
      <c r="IA8">
        <f>$IA$7+--($HZ8)</f>
        <v/>
      </c>
      <c r="IB8">
        <f>IF(ROW()-3&gt;MAX($IA$4:$IA$40),"",INDEX($CB$4:$CB$40,MATCH(ROW()-3,$IA$4:$IA$40,0)))</f>
        <v/>
      </c>
      <c r="IC8">
        <f>IF(COUNTIF('Live Search'!BM$7:CA$7,0)+COUNTIF('Live Search'!CC$7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D8">
        <f>IF($CG$8="",FALSE,SUMPRODUCT(('Final Calculation Sheet'!$O$4:$O$40=$CG$8)*($IC$6:$IC$42=1))&gt;0)</f>
        <v/>
      </c>
      <c r="IE8">
        <f>$IE$7+--($ID8)</f>
        <v/>
      </c>
      <c r="IF8">
        <f>IF(ROW()-3&gt;MAX($IE$4:$IE$40),"",INDEX($CG$4:$CG$40,MATCH(ROW()-3,$IE$4:$IE$40,0)))</f>
        <v/>
      </c>
      <c r="IG8">
        <f>IF(COUNTIF('Live Search'!BM$7:CB$7,0)+COUNTIF('Live Search'!CD$7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H8">
        <f>IF($CL$8="",FALSE,SUMPRODUCT(('Final Calculation Sheet'!$P$4:$P$40=$CL$8)*($IG$6:$IG$42=1))&gt;0)</f>
        <v/>
      </c>
      <c r="II8">
        <f>$II$7+--($IH8)</f>
        <v/>
      </c>
      <c r="IJ8">
        <f>IF(ROW()-3&gt;MAX($II$4:$II$40),"",INDEX($CL$4:$CL$40,MATCH(ROW()-3,$II$4:$II$40,0)))</f>
        <v/>
      </c>
      <c r="IK8">
        <f>IF(COUNTIF('Live Search'!BM$7:CC$7,0)+COUNTIF('Live Search'!CE$7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L8">
        <f>IF($CQ$8="",FALSE,SUMPRODUCT(('Final Calculation Sheet'!$Q$4:$Q$40=$CQ$8)*($IK$6:$IK$42=1))&gt;0)</f>
        <v/>
      </c>
      <c r="IM8">
        <f>$IM$7+--($IL8)</f>
        <v/>
      </c>
      <c r="IN8">
        <f>IF(ROW()-3&gt;MAX($IM$4:$IM$40),"",INDEX($CQ$4:$CQ$40,MATCH(ROW()-3,$IM$4:$IM$40,0)))</f>
        <v/>
      </c>
      <c r="IO8">
        <f>IF(COUNTIF('Live Search'!BM$7:CD$7,0)+COUNTIF('Live Search'!CF$7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P8">
        <f>IF($CV$8="",FALSE,SUMPRODUCT(('Final Calculation Sheet'!$R$4:$R$40=$CV$8)*($IO$6:$IO$42=1))&gt;0)</f>
        <v/>
      </c>
      <c r="IQ8">
        <f>$IQ$7+--($IP8)</f>
        <v/>
      </c>
      <c r="IR8">
        <f>IF(ROW()-3&gt;MAX($IQ$4:$IQ$40),"",INDEX($CV$4:$CV$40,MATCH(ROW()-3,$IQ$4:$IQ$40,0)))</f>
        <v/>
      </c>
      <c r="IS8">
        <f>IF(COUNTIF('Live Search'!BM$7:CE$7,0)+COUNTIF('Live Search'!CG$7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T8">
        <f>IF($DA$8="",FALSE,SUMPRODUCT(('Final Calculation Sheet'!$S$4:$S$40=$DA$8)*($IS$6:$IS$42=1))&gt;0)</f>
        <v/>
      </c>
      <c r="IU8">
        <f>$IU$7+--($IT8)</f>
        <v/>
      </c>
      <c r="IV8">
        <f>IF(ROW()-3&gt;MAX($IU$4:$IU$40),"",INDEX($DA$4:$DA$40,MATCH(ROW()-3,$IU$4:$IU$40,0)))</f>
        <v/>
      </c>
      <c r="IW8">
        <f>IF(COUNTIF('Live Search'!BM$7:CF$7,0)+COUNTIF('Live Search'!CH$7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IX8">
        <f>IF($DF$8="",FALSE,SUMPRODUCT(('Final Calculation Sheet'!$T$4:$T$40=$DF$8)*($IW$6:$IW$42=1))&gt;0)</f>
        <v/>
      </c>
      <c r="IY8">
        <f>$IY$7+--($IX8)</f>
        <v/>
      </c>
      <c r="IZ8">
        <f>IF(ROW()-3&gt;MAX($IY$4:$IY$40),"",INDEX($DF$4:$DF$40,MATCH(ROW()-3,$IY$4:$IY$40,0)))</f>
        <v/>
      </c>
      <c r="JA8">
        <f>IF(COUNTIF('Live Search'!BM$7:CG$7,0)+COUNTIF('Live Search'!CI$7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B8">
        <f>IF($DK$8="",FALSE,SUMPRODUCT(('Final Calculation Sheet'!$U$4:$U$40=$DK$8)*($JA$6:$JA$42=1))&gt;0)</f>
        <v/>
      </c>
      <c r="JC8">
        <f>$JC$7+--($JB8)</f>
        <v/>
      </c>
      <c r="JD8">
        <f>IF(ROW()-3&gt;MAX($JC$4:$JC$40),"",INDEX($DK$4:$DK$40,MATCH(ROW()-3,$JC$4:$JC$40,0)))</f>
        <v/>
      </c>
      <c r="JE8">
        <f>IF(COUNTIF('Live Search'!BM$7:CH$7,0)+COUNTIF('Live Search'!CJ$7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F8">
        <f>IF($DP$8="",FALSE,SUMPRODUCT(('Final Calculation Sheet'!$V$4:$V$40=$DP$8)*($JE$6:$JE$42=1))&gt;0)</f>
        <v/>
      </c>
      <c r="JG8">
        <f>$JG$7+--($JF8)</f>
        <v/>
      </c>
      <c r="JH8">
        <f>IF(ROW()-3&gt;MAX($JG$4:$JG$40),"",INDEX($DP$4:$DP$40,MATCH(ROW()-3,$JG$4:$JG$40,0)))</f>
        <v/>
      </c>
      <c r="JI8">
        <f>IF(COUNTIF('Live Search'!BM$7:CI$7,0)+COUNTIF('Live Search'!CK$7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J8">
        <f>IF($DU$8="",FALSE,SUMPRODUCT(('Final Calculation Sheet'!$W$4:$W$40=$DU$8)*($JI$6:$JI$42=1))&gt;0)</f>
        <v/>
      </c>
      <c r="JK8">
        <f>$JK$7+--($JJ8)</f>
        <v/>
      </c>
      <c r="JL8">
        <f>IF(ROW()-3&gt;MAX($JK$4:$JK$40),"",INDEX($DU$4:$DU$40,MATCH(ROW()-3,$JK$4:$JK$40,0)))</f>
        <v/>
      </c>
      <c r="JM8">
        <f>IF(COUNTIF('Live Search'!BM$7:CJ$7,0)+COUNTIF('Live Search'!CL$7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N8">
        <f>IF($DZ$8="",FALSE,SUMPRODUCT(('Final Calculation Sheet'!$X$4:$X$40=$DZ$8)*($JM$6:$JM$42=1))&gt;0)</f>
        <v/>
      </c>
      <c r="JO8">
        <f>$JO$7+--($JN8)</f>
        <v/>
      </c>
      <c r="JP8">
        <f>IF(ROW()-3&gt;MAX($JO$4:$JO$40),"",INDEX($DZ$4:$DZ$40,MATCH(ROW()-3,$JO$4:$JO$40,0)))</f>
        <v/>
      </c>
      <c r="JQ8">
        <f>IF(COUNTIF('Live Search'!BM$7:CK$7,0)+COUNTIF('Live Search'!C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R8">
        <f>IF($EE$8="",FALSE,SUMPRODUCT(('Final Calculation Sheet'!$Y$4:$Y$40=$EE$8)*($JQ$6:$JQ$42=1))&gt;0)</f>
        <v/>
      </c>
      <c r="JS8">
        <f>$JS$7+--($JR8)</f>
        <v/>
      </c>
      <c r="JT8">
        <f>IF(ROW()-3&gt;MAX($JS$4:$JS$40),"",INDEX($EE$4:$EE$40,MATCH(ROW()-3,$JS$4:$JS$40,0)))</f>
        <v/>
      </c>
      <c r="JU8">
        <f>IF(COUNTIF('Live Search'!BM$7:CL$7,0)+COUNTIF('Live Search'!CN$7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V8">
        <f>IF($EJ$8="",FALSE,SUMPRODUCT(('Final Calculation Sheet'!$Z$4:$Z$40=$EJ$8)*($JU$6:$JU$42=1))&gt;0)</f>
        <v/>
      </c>
      <c r="JW8">
        <f>$JW$7+--($JV8)</f>
        <v/>
      </c>
      <c r="JX8">
        <f>IF(ROW()-3&gt;MAX($JW$4:$JW$40),"",INDEX($EJ$4:$EJ$40,MATCH(ROW()-3,$JW$4:$JW$40,0)))</f>
        <v/>
      </c>
      <c r="JY8">
        <f>IF(COUNTIF('Live Search'!BM$7:CM$7,0)+COUNTIF('Live Search'!CO$7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JZ8">
        <f>IF($EO$8="",FALSE,SUMPRODUCT(('Final Calculation Sheet'!$AA$4:$AA$40=$EO$8)*($JY$6:$JY$42=1))&gt;0)</f>
        <v/>
      </c>
      <c r="KA8">
        <f>$KA$7+--($JZ8)</f>
        <v/>
      </c>
      <c r="KB8">
        <f>IF(ROW()-3&gt;MAX($KA$4:$KA$40),"",INDEX($EO$4:$EO$40,MATCH(ROW()-3,$KA$4:$KA$40,0)))</f>
        <v/>
      </c>
      <c r="KC8">
        <f>IF(COUNTIF('Live Search'!BM$7:CN$7,0)+COUNTIF('Live Search'!CP$7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D8">
        <f>IF($ET$8="",FALSE,SUMPRODUCT(('Final Calculation Sheet'!$AB$4:$AB$40=$ET$8)*($KC$6:$KC$42=1))&gt;0)</f>
        <v/>
      </c>
      <c r="KE8">
        <f>$KE$7+--($KD8)</f>
        <v/>
      </c>
      <c r="KF8">
        <f>IF(ROW()-3&gt;MAX($KE$4:$KE$40),"",INDEX($ET$4:$ET$40,MATCH(ROW()-3,$KE$4:$KE$40,0)))</f>
        <v/>
      </c>
      <c r="KG8">
        <f>IF(COUNTIF('Live Search'!BM$7:CO$7,0)+COUNTIF('Live Search'!CQ$7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H8">
        <f>IF($EY$8="",FALSE,SUMPRODUCT(('Final Calculation Sheet'!$AC$4:$AC$40=$EY$8)*($KG$6:$KG$42=1))&gt;0)</f>
        <v/>
      </c>
      <c r="KI8">
        <f>$KI$7+--($KH8)</f>
        <v/>
      </c>
      <c r="KJ8">
        <f>IF(ROW()-3&gt;MAX($KI$4:$KI$40),"",INDEX($EY$4:$EY$40,MATCH(ROW()-3,$KI$4:$KI$40,0)))</f>
        <v/>
      </c>
      <c r="KK8">
        <f>IF(COUNTIF('Live Search'!BM$7:CP$7,0)+COUNTIF('Live Search'!CR$7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L8">
        <f>IF($FD$8="",FALSE,SUMPRODUCT(('Final Calculation Sheet'!$AD$4:$AD$40=$FD$8)*($KK$6:$KK$42=1))&gt;0)</f>
        <v/>
      </c>
      <c r="KM8">
        <f>$KM$7+--($KL8)</f>
        <v/>
      </c>
      <c r="KN8">
        <f>IF(ROW()-3&gt;MAX($KM$4:$KM$40),"",INDEX($FD$4:$FD$40,MATCH(ROW()-3,$KM$4:$KM$40,0)))</f>
        <v/>
      </c>
      <c r="KO8">
        <f>IF(COUNTIF('Live Search'!BM$7:CT$7,0)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P8">
        <f>IF($FX$8="",FALSE,SUMPRODUCT((IF('Final Calculation Sheet'!$AD$4:$AD$40&lt;=5,"SETTLED","OUTSTANDING")=$FX$8)*($KO$6:$KO$42=1))&gt;0)</f>
        <v/>
      </c>
      <c r="KQ8">
        <f>$KQ$7+--($KP8)</f>
        <v/>
      </c>
      <c r="KR8">
        <f>IF(ROW()-3&gt;MAX($KQ$4:$KQ$40),"",INDEX($FX$4:$FX$40,MATCH(ROW()-3,$KQ$4:$KQ$40,0)))</f>
        <v/>
      </c>
      <c r="KS8">
        <f>IF(COUNTIF('Live Search'!BM$7:CQ$7,0)+COUNTIF('Live Search'!CS$7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T8">
        <f>IF($FI$8="",FALSE,SUMPRODUCT(('Final Calculation Sheet'!$AF$4:$AF$40=$FI$8)*($KS$6:$KS$42=1))&gt;0)</f>
        <v/>
      </c>
      <c r="KU8">
        <f>$KU$7+--($KT8)</f>
        <v/>
      </c>
      <c r="KV8">
        <f>IF(ROW()-3&gt;MAX($KU$4:$KU$40),"",INDEX($FI$4:$FI$40,MATCH(ROW()-3,$KU$4:$KU$40,0)))</f>
        <v/>
      </c>
      <c r="KW8">
        <f>IF(COUNTIF('Live Search'!BM$7:CR$7,0)+COUNTIF('Live Search'!CT$7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KX8">
        <f>IF($FN$8="",FALSE,SUMPRODUCT(('Final Calculation Sheet'!$AG$4:$AG$40=$FN$8)*($KW$6:$KW$42=1))&gt;0)</f>
        <v/>
      </c>
      <c r="KY8">
        <f>$KY$7+--($KX8)</f>
        <v/>
      </c>
      <c r="KZ8">
        <f>IF(ROW()-3&gt;MAX($KY$4:$KY$40),"",INDEX($FN$4:$FN$40,MATCH(ROW()-3,$KY$4:$KY$40,0)))</f>
        <v/>
      </c>
      <c r="LA8">
        <f>IF(COUNTIF('Live Search'!BM$7:CS$7,0)+COUNTIF('Live Search'!CU$7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LB8">
        <f>IF($FS$8="",FALSE,SUMPRODUCT(('Final Calculation Sheet'!$AH$4:$AH$40=$FS$8)*($LA$6:$LA$42=1))&gt;0)</f>
        <v/>
      </c>
      <c r="LC8">
        <f>$LC$7+--($LB8)</f>
        <v/>
      </c>
      <c r="LD8">
        <f>IF(ROW()-3&gt;MAX($LC$4:$LC$40),"",INDEX($FS$4:$FS$40,MATCH(ROW()-3,$LC$4:$LC$40,0)))</f>
        <v/>
      </c>
      <c r="LE8">
        <f>IF(COUNTIF('Buyer Groups'!DH61:EN61,0)&gt;0,0,1)</f>
        <v/>
      </c>
      <c r="LF8">
        <f>IF($O$8="",FALSE,SUMPRODUCT(('Final Calculation Sheet'!$F$4:$F$40=$O$8)*($LE$6:$LE$42=1))&gt;0)</f>
        <v/>
      </c>
      <c r="LG8">
        <f>$LG$7+--($LF8)</f>
        <v/>
      </c>
      <c r="LH8">
        <f>IF(ROW()-3&gt;MAX($LG$4:$LG$40),"",INDEX($O$4:$O$40,MATCH(ROW()-3,$LG$4:$LG$40,0)))</f>
        <v/>
      </c>
      <c r="LI8">
        <f>IF(COUNTIF('Buyer Groups'!DG61:DG61,0)+COUNTIF('Buyer Groups'!DI61:EN61,0)&gt;0,0,1)</f>
        <v/>
      </c>
      <c r="LJ8">
        <f>IF($T$8="",FALSE,SUMPRODUCT(('Final Calculation Sheet'!$G$4:$G$40=$T$8)*($LI$6:$LI$42=1))&gt;0)</f>
        <v/>
      </c>
      <c r="LK8">
        <f>$LK$7+--($LJ8)</f>
        <v/>
      </c>
      <c r="LL8">
        <f>IF(ROW()-3&gt;MAX($LK$4:$LK$40),"",INDEX($T$4:$T$40,MATCH(ROW()-3,$LK$4:$LK$40,0)))</f>
        <v/>
      </c>
      <c r="LM8">
        <f>IF(COUNTIF('Buyer Groups'!DG61:DH61,0)+COUNTIF('Buyer Groups'!DJ61:EN61,0)&gt;0,0,1)</f>
        <v/>
      </c>
      <c r="LN8">
        <f>IF($Y$8="",FALSE,SUMPRODUCT(('Final Calculation Sheet'!$B$4:$B$40=$Y$8)*($LM$6:$LM$42=1))&gt;0)</f>
        <v/>
      </c>
      <c r="LO8">
        <f>$LO$7+--($LN8)</f>
        <v/>
      </c>
      <c r="LP8">
        <f>IF(ROW()-3&gt;MAX($LO$4:$LO$40),"",INDEX($Y$4:$Y$40,MATCH(ROW()-3,$LO$4:$LO$40,0)))</f>
        <v/>
      </c>
      <c r="LQ8">
        <f>IF(COUNTIF('Buyer Groups'!DG61:DI61,0)+COUNTIF('Buyer Groups'!DK61:EN61,0)&gt;0,0,1)</f>
        <v/>
      </c>
      <c r="LR8">
        <f>IF($AD$8="",FALSE,SUMPRODUCT(('Final Calculation Sheet'!$D$4:$D$40=$AD$8)*($LQ$6:$LQ$42=1))&gt;0)</f>
        <v/>
      </c>
      <c r="LS8">
        <f>$LS$7+--($LR8)</f>
        <v/>
      </c>
      <c r="LT8">
        <f>IF(ROW()-3&gt;MAX($LS$4:$LS$40),"",INDEX($AD$4:$AD$40,MATCH(ROW()-3,$LS$4:$LS$40,0)))</f>
        <v/>
      </c>
      <c r="LU8">
        <f>IF(COUNTIF('Buyer Groups'!DG61:DJ61,0)+COUNTIF('Buyer Groups'!DL61:EN61,0)&gt;0,0,1)</f>
        <v/>
      </c>
      <c r="LV8">
        <f>IF($AI$8="",FALSE,SUMPRODUCT(('Final Calculation Sheet'!$A$4:$A$40=$AI$8)*($LU$6:$LU$42=1))&gt;0)</f>
        <v/>
      </c>
      <c r="LW8">
        <f>$LW$7+--($LV8)</f>
        <v/>
      </c>
      <c r="LX8">
        <f>IF(ROW()-3&gt;MAX($LW$4:$LW$40),"",INDEX($AI$4:$AI$40,MATCH(ROW()-3,$LW$4:$LW$40,0)))</f>
        <v/>
      </c>
      <c r="LY8">
        <f>IF(COUNTIF('Buyer Groups'!DG61:DK61,0)+COUNTIF('Buyer Groups'!DM61:EN61,0)&gt;0,0,1)</f>
        <v/>
      </c>
      <c r="LZ8">
        <f>IF($AN$8="",FALSE,SUMPRODUCT(('Final Calculation Sheet'!$E$4:$E$40=$AN$8)*($LY$6:$LY$42=1))&gt;0)</f>
        <v/>
      </c>
      <c r="MA8">
        <f>$MA$7+--($LZ8)</f>
        <v/>
      </c>
      <c r="MB8">
        <f>IF(ROW()-3&gt;MAX($MA$4:$MA$40),"",INDEX($AN$4:$AN$40,MATCH(ROW()-3,$MA$4:$MA$40,0)))</f>
        <v/>
      </c>
      <c r="MC8">
        <f>IF(COUNTIF('Buyer Groups'!DG61:DL61,0)+COUNTIF('Buyer Groups'!DN61:EN61,0)&gt;0,0,1)</f>
        <v/>
      </c>
      <c r="MD8">
        <f>IF($AS$8="",FALSE,SUMPRODUCT(('Final Calculation Sheet'!$C$4:$C$40=$AS$8)*($MC$6:$MC$42=1))&gt;0)</f>
        <v/>
      </c>
      <c r="ME8">
        <f>$ME$7+--($MD8)</f>
        <v/>
      </c>
      <c r="MF8">
        <f>IF(ROW()-3&gt;MAX($ME$4:$ME$40),"",INDEX($AS$4:$AS$40,MATCH(ROW()-3,$ME$4:$ME$40,0)))</f>
        <v/>
      </c>
      <c r="MG8">
        <f>IF(COUNTIF('Buyer Groups'!DG61:DM61,0)+COUNTIF('Buyer Groups'!DO61:EN61,0)&gt;0,0,1)</f>
        <v/>
      </c>
      <c r="MH8">
        <f>IF($AX$8="",FALSE,SUMPRODUCT(('Final Calculation Sheet'!$H$4:$H$40=$AX$8)*($MG$6:$MG$42=1))&gt;0)</f>
        <v/>
      </c>
      <c r="MI8">
        <f>$MI$7+--($MH8)</f>
        <v/>
      </c>
      <c r="MJ8">
        <f>IF(ROW()-3&gt;MAX($MI$4:$MI$40),"",INDEX($AX$4:$AX$40,MATCH(ROW()-3,$MI$4:$MI$40,0)))</f>
        <v/>
      </c>
      <c r="MK8">
        <f>IF(COUNTIF('Buyer Groups'!DG61:DN61,0)+COUNTIF('Buyer Groups'!DP61:EN61,0)&gt;0,0,1)</f>
        <v/>
      </c>
      <c r="ML8">
        <f>IF($BC$8="",FALSE,SUMPRODUCT(('Final Calculation Sheet'!$I$4:$I$40=$BC$8)*($MK$6:$MK$42=1))&gt;0)</f>
        <v/>
      </c>
      <c r="MM8">
        <f>$MM$7+--($ML8)</f>
        <v/>
      </c>
      <c r="MN8">
        <f>IF(ROW()-3&gt;MAX($MM$4:$MM$40),"",INDEX($BC$4:$BC$40,MATCH(ROW()-3,$MM$4:$MM$40,0)))</f>
        <v/>
      </c>
      <c r="MO8">
        <f>IF(COUNTIF('Buyer Groups'!DG61:DO61,0)+COUNTIF('Buyer Groups'!DQ61:EN61,0)&gt;0,0,1)</f>
        <v/>
      </c>
      <c r="MP8">
        <f>IF($BH$8="",FALSE,SUMPRODUCT(('Final Calculation Sheet'!$J$4:$J$40=$BH$8)*($MO$6:$MO$42=1))&gt;0)</f>
        <v/>
      </c>
      <c r="MQ8">
        <f>$MQ$7+--($MP8)</f>
        <v/>
      </c>
      <c r="MR8">
        <f>IF(ROW()-3&gt;MAX($MQ$4:$MQ$40),"",INDEX($BH$4:$BH$40,MATCH(ROW()-3,$MQ$4:$MQ$40,0)))</f>
        <v/>
      </c>
      <c r="MS8">
        <f>IF(COUNTIF('Buyer Groups'!DG61:DP61,0)+COUNTIF('Buyer Groups'!DR61:EN61,0)&gt;0,0,1)</f>
        <v/>
      </c>
      <c r="MT8">
        <f>IF($BM$8="",FALSE,SUMPRODUCT(('Final Calculation Sheet'!$K$4:$K$40=$BM$8)*($MS$6:$MS$42=1))&gt;0)</f>
        <v/>
      </c>
      <c r="MU8">
        <f>$MU$7+--($MT8)</f>
        <v/>
      </c>
      <c r="MV8">
        <f>IF(ROW()-3&gt;MAX($MU$4:$MU$40),"",INDEX($BM$4:$BM$40,MATCH(ROW()-3,$MU$4:$MU$40,0)))</f>
        <v/>
      </c>
      <c r="MW8">
        <f>IF(COUNTIF('Buyer Groups'!DG61:DQ61,0)+COUNTIF('Buyer Groups'!DS61:EN61,0)&gt;0,0,1)</f>
        <v/>
      </c>
      <c r="MX8">
        <f>IF($BR$8="",FALSE,SUMPRODUCT(('Final Calculation Sheet'!$L$4:$L$40=$BR$8)*($MW$6:$MW$42=1))&gt;0)</f>
        <v/>
      </c>
      <c r="MY8">
        <f>$MY$7+--($MX8)</f>
        <v/>
      </c>
      <c r="MZ8">
        <f>IF(ROW()-3&gt;MAX($MY$4:$MY$40),"",INDEX($BR$4:$BR$40,MATCH(ROW()-3,$MY$4:$MY$40,0)))</f>
        <v/>
      </c>
      <c r="NA8">
        <f>IF(COUNTIF('Buyer Groups'!DG61:DR61,0)+COUNTIF('Buyer Groups'!DT61:EN61,0)&gt;0,0,1)</f>
        <v/>
      </c>
      <c r="NB8">
        <f>IF($BW$8="",FALSE,SUMPRODUCT(('Final Calculation Sheet'!$M$4:$M$40=$BW$8)*($NA$6:$NA$42=1))&gt;0)</f>
        <v/>
      </c>
      <c r="NC8">
        <f>$NC$7+--($NB8)</f>
        <v/>
      </c>
      <c r="ND8">
        <f>IF(ROW()-3&gt;MAX($NC$4:$NC$40),"",INDEX($BW$4:$BW$40,MATCH(ROW()-3,$NC$4:$NC$40,0)))</f>
        <v/>
      </c>
      <c r="NE8">
        <f>IF(COUNTIF('Buyer Groups'!DG61:DS61,0)+COUNTIF('Buyer Groups'!DU61:EN61,0)&gt;0,0,1)</f>
        <v/>
      </c>
      <c r="NF8">
        <f>IF($CB$8="",FALSE,SUMPRODUCT(('Final Calculation Sheet'!$N$4:$N$40=$CB$8)*($NE$6:$NE$42=1))&gt;0)</f>
        <v/>
      </c>
      <c r="NG8">
        <f>$NG$7+--($NF8)</f>
        <v/>
      </c>
      <c r="NH8">
        <f>IF(ROW()-3&gt;MAX($NG$4:$NG$40),"",INDEX($CB$4:$CB$40,MATCH(ROW()-3,$NG$4:$NG$40,0)))</f>
        <v/>
      </c>
      <c r="NI8">
        <f>IF(COUNTIF('Buyer Groups'!DG61:DT61,0)+COUNTIF('Buyer Groups'!DV61:EN61,0)&gt;0,0,1)</f>
        <v/>
      </c>
      <c r="NJ8">
        <f>IF($CG$8="",FALSE,SUMPRODUCT(('Final Calculation Sheet'!$O$4:$O$40=$CG$8)*($NI$6:$NI$42=1))&gt;0)</f>
        <v/>
      </c>
      <c r="NK8">
        <f>$NK$7+--($NJ8)</f>
        <v/>
      </c>
      <c r="NL8">
        <f>IF(ROW()-3&gt;MAX($NK$4:$NK$40),"",INDEX($CG$4:$CG$40,MATCH(ROW()-3,$NK$4:$NK$40,0)))</f>
        <v/>
      </c>
      <c r="NM8">
        <f>IF(COUNTIF('Buyer Groups'!DG61:DU61,0)+COUNTIF('Buyer Groups'!DW61:EN61,0)&gt;0,0,1)</f>
        <v/>
      </c>
      <c r="NN8">
        <f>IF($CL$8="",FALSE,SUMPRODUCT(('Final Calculation Sheet'!$P$4:$P$40=$CL$8)*($NM$6:$NM$42=1))&gt;0)</f>
        <v/>
      </c>
      <c r="NO8">
        <f>$NO$7+--($NN8)</f>
        <v/>
      </c>
      <c r="NP8">
        <f>IF(ROW()-3&gt;MAX($NO$4:$NO$40),"",INDEX($CL$4:$CL$40,MATCH(ROW()-3,$NO$4:$NO$40,0)))</f>
        <v/>
      </c>
      <c r="NQ8">
        <f>IF(COUNTIF('Buyer Groups'!DG61:DV61,0)+COUNTIF('Buyer Groups'!DX61:EN61,0)&gt;0,0,1)</f>
        <v/>
      </c>
      <c r="NR8">
        <f>IF($CQ$8="",FALSE,SUMPRODUCT(('Final Calculation Sheet'!$Q$4:$Q$40=$CQ$8)*($NQ$6:$NQ$42=1))&gt;0)</f>
        <v/>
      </c>
      <c r="NS8">
        <f>$NS$7+--($NR8)</f>
        <v/>
      </c>
      <c r="NT8">
        <f>IF(ROW()-3&gt;MAX($NS$4:$NS$40),"",INDEX($CQ$4:$CQ$40,MATCH(ROW()-3,$NS$4:$NS$40,0)))</f>
        <v/>
      </c>
      <c r="NU8">
        <f>IF(COUNTIF('Buyer Groups'!DG61:DW61,0)+COUNTIF('Buyer Groups'!DY61:EN61,0)&gt;0,0,1)</f>
        <v/>
      </c>
      <c r="NV8">
        <f>IF($CV$8="",FALSE,SUMPRODUCT(('Final Calculation Sheet'!$R$4:$R$40=$CV$8)*($NU$6:$NU$42=1))&gt;0)</f>
        <v/>
      </c>
      <c r="NW8">
        <f>$NW$7+--($NV8)</f>
        <v/>
      </c>
      <c r="NX8">
        <f>IF(ROW()-3&gt;MAX($NW$4:$NW$40),"",INDEX($CV$4:$CV$40,MATCH(ROW()-3,$NW$4:$NW$40,0)))</f>
        <v/>
      </c>
      <c r="NY8">
        <f>IF(COUNTIF('Buyer Groups'!DG61:DX61,0)+COUNTIF('Buyer Groups'!DZ61:EN61,0)&gt;0,0,1)</f>
        <v/>
      </c>
      <c r="NZ8">
        <f>IF($DA$8="",FALSE,SUMPRODUCT(('Final Calculation Sheet'!$S$4:$S$40=$DA$8)*($NY$6:$NY$42=1))&gt;0)</f>
        <v/>
      </c>
      <c r="OA8">
        <f>$OA$7+--($NZ8)</f>
        <v/>
      </c>
      <c r="OB8">
        <f>IF(ROW()-3&gt;MAX($OA$4:$OA$40),"",INDEX($DA$4:$DA$40,MATCH(ROW()-3,$OA$4:$OA$40,0)))</f>
        <v/>
      </c>
      <c r="OC8">
        <f>IF(COUNTIF('Buyer Groups'!DG61:DY61,0)+COUNTIF('Buyer Groups'!EA61:EN61,0)&gt;0,0,1)</f>
        <v/>
      </c>
      <c r="OD8">
        <f>IF($DF$8="",FALSE,SUMPRODUCT(('Final Calculation Sheet'!$T$4:$T$40=$DF$8)*($OC$6:$OC$42=1))&gt;0)</f>
        <v/>
      </c>
      <c r="OE8">
        <f>$OE$7+--($OD8)</f>
        <v/>
      </c>
      <c r="OF8">
        <f>IF(ROW()-3&gt;MAX($OE$4:$OE$40),"",INDEX($DF$4:$DF$40,MATCH(ROW()-3,$OE$4:$OE$40,0)))</f>
        <v/>
      </c>
      <c r="OG8">
        <f>IF(COUNTIF('Buyer Groups'!DG61:DZ61,0)+COUNTIF('Buyer Groups'!EB61:EN61,0)&gt;0,0,1)</f>
        <v/>
      </c>
      <c r="OH8">
        <f>IF($DK$8="",FALSE,SUMPRODUCT(('Final Calculation Sheet'!$U$4:$U$40=$DK$8)*($OG$6:$OG$42=1))&gt;0)</f>
        <v/>
      </c>
      <c r="OI8">
        <f>$OI$7+--($OH8)</f>
        <v/>
      </c>
      <c r="OJ8">
        <f>IF(ROW()-3&gt;MAX($OI$4:$OI$40),"",INDEX($DK$4:$DK$40,MATCH(ROW()-3,$OI$4:$OI$40,0)))</f>
        <v/>
      </c>
      <c r="OK8">
        <f>IF(COUNTIF('Buyer Groups'!DG61:EA61,0)+COUNTIF('Buyer Groups'!EC61:EN61,0)&gt;0,0,1)</f>
        <v/>
      </c>
      <c r="OL8">
        <f>IF($DP$8="",FALSE,SUMPRODUCT(('Final Calculation Sheet'!$V$4:$V$40=$DP$8)*($OK$6:$OK$42=1))&gt;0)</f>
        <v/>
      </c>
      <c r="OM8">
        <f>$OM$7+--($OL8)</f>
        <v/>
      </c>
      <c r="ON8">
        <f>IF(ROW()-3&gt;MAX($OM$4:$OM$40),"",INDEX($DP$4:$DP$40,MATCH(ROW()-3,$OM$4:$OM$40,0)))</f>
        <v/>
      </c>
      <c r="OO8">
        <f>IF(COUNTIF('Buyer Groups'!DG61:EB61,0)+COUNTIF('Buyer Groups'!ED61:EN61,0)&gt;0,0,1)</f>
        <v/>
      </c>
      <c r="OP8">
        <f>IF($DU$8="",FALSE,SUMPRODUCT(('Final Calculation Sheet'!$W$4:$W$40=$DU$8)*($OO$6:$OO$42=1))&gt;0)</f>
        <v/>
      </c>
      <c r="OQ8">
        <f>$OQ$7+--($OP8)</f>
        <v/>
      </c>
      <c r="OR8">
        <f>IF(ROW()-3&gt;MAX($OQ$4:$OQ$40),"",INDEX($DU$4:$DU$40,MATCH(ROW()-3,$OQ$4:$OQ$40,0)))</f>
        <v/>
      </c>
      <c r="OS8">
        <f>IF(COUNTIF('Buyer Groups'!DG61:EC61,0)+COUNTIF('Buyer Groups'!EE61:EN61,0)&gt;0,0,1)</f>
        <v/>
      </c>
      <c r="OT8">
        <f>IF($DZ$8="",FALSE,SUMPRODUCT(('Final Calculation Sheet'!$X$4:$X$40=$DZ$8)*($OS$6:$OS$42=1))&gt;0)</f>
        <v/>
      </c>
      <c r="OU8">
        <f>$OU$7+--($OT8)</f>
        <v/>
      </c>
      <c r="OV8">
        <f>IF(ROW()-3&gt;MAX($OU$4:$OU$40),"",INDEX($DZ$4:$DZ$40,MATCH(ROW()-3,$OU$4:$OU$40,0)))</f>
        <v/>
      </c>
      <c r="OW8">
        <f>IF(COUNTIF('Buyer Groups'!DG61:ED61,0)+COUNTIF('Buyer Groups'!EF61:EN61,0)&gt;0,0,1)</f>
        <v/>
      </c>
      <c r="OX8">
        <f>IF($EE$8="",FALSE,SUMPRODUCT(('Final Calculation Sheet'!$Y$4:$Y$40=$EE$8)*($OW$6:$OW$42=1))&gt;0)</f>
        <v/>
      </c>
      <c r="OY8">
        <f>$OY$7+--($OX8)</f>
        <v/>
      </c>
      <c r="OZ8">
        <f>IF(ROW()-3&gt;MAX($OY$4:$OY$40),"",INDEX($EE$4:$EE$40,MATCH(ROW()-3,$OY$4:$OY$40,0)))</f>
        <v/>
      </c>
      <c r="PA8">
        <f>IF(COUNTIF('Buyer Groups'!DG61:EE61,0)+COUNTIF('Buyer Groups'!EG61:EN61,0)&gt;0,0,1)</f>
        <v/>
      </c>
      <c r="PB8">
        <f>IF($EJ$8="",FALSE,SUMPRODUCT(('Final Calculation Sheet'!$Z$4:$Z$40=$EJ$8)*($PA$6:$PA$42=1))&gt;0)</f>
        <v/>
      </c>
      <c r="PC8">
        <f>$PC$7+--($PB8)</f>
        <v/>
      </c>
      <c r="PD8">
        <f>IF(ROW()-3&gt;MAX($PC$4:$PC$40),"",INDEX($EJ$4:$EJ$40,MATCH(ROW()-3,$PC$4:$PC$40,0)))</f>
        <v/>
      </c>
      <c r="PE8">
        <f>IF(COUNTIF('Buyer Groups'!DG61:EF61,0)+COUNTIF('Buyer Groups'!EH61:EN61,0)&gt;0,0,1)</f>
        <v/>
      </c>
      <c r="PF8">
        <f>IF($EO$8="",FALSE,SUMPRODUCT(('Final Calculation Sheet'!$AA$4:$AA$40=$EO$8)*($PE$6:$PE$42=1))&gt;0)</f>
        <v/>
      </c>
      <c r="PG8">
        <f>$PG$7+--($PF8)</f>
        <v/>
      </c>
      <c r="PH8">
        <f>IF(ROW()-3&gt;MAX($PG$4:$PG$40),"",INDEX($EO$4:$EO$40,MATCH(ROW()-3,$PG$4:$PG$40,0)))</f>
        <v/>
      </c>
      <c r="PI8">
        <f>IF(COUNTIF('Buyer Groups'!DG61:EG61,0)+COUNTIF('Buyer Groups'!EI61:EN61,0)&gt;0,0,1)</f>
        <v/>
      </c>
      <c r="PJ8">
        <f>IF($ET$8="",FALSE,SUMPRODUCT(('Final Calculation Sheet'!$AB$4:$AB$40=$ET$8)*($PI$6:$PI$42=1))&gt;0)</f>
        <v/>
      </c>
      <c r="PK8">
        <f>$PK$7+--($PJ8)</f>
        <v/>
      </c>
      <c r="PL8">
        <f>IF(ROW()-3&gt;MAX($PK$4:$PK$40),"",INDEX($ET$4:$ET$40,MATCH(ROW()-3,$PK$4:$PK$40,0)))</f>
        <v/>
      </c>
      <c r="PM8">
        <f>IF(COUNTIF('Buyer Groups'!DG61:EH61,0)+COUNTIF('Buyer Groups'!EJ61:EN61,0)&gt;0,0,1)</f>
        <v/>
      </c>
      <c r="PN8">
        <f>IF($EY$8="",FALSE,SUMPRODUCT(('Final Calculation Sheet'!$AC$4:$AC$40=$EY$8)*($PM$6:$PM$42=1))&gt;0)</f>
        <v/>
      </c>
      <c r="PO8">
        <f>$PO$7+--($PN8)</f>
        <v/>
      </c>
      <c r="PP8">
        <f>IF(ROW()-3&gt;MAX($PO$4:$PO$40),"",INDEX($EY$4:$EY$40,MATCH(ROW()-3,$PO$4:$PO$40,0)))</f>
        <v/>
      </c>
      <c r="PQ8">
        <f>IF(COUNTIF('Buyer Groups'!DG61:EI61,0)+COUNTIF('Buyer Groups'!EK61:EN61,0)&gt;0,0,1)</f>
        <v/>
      </c>
      <c r="PR8">
        <f>IF($FD$8="",FALSE,SUMPRODUCT(('Final Calculation Sheet'!$AD$4:$AD$40=$FD$8)*($PQ$6:$PQ$42=1))&gt;0)</f>
        <v/>
      </c>
      <c r="PS8">
        <f>$PS$7+--($PR8)</f>
        <v/>
      </c>
      <c r="PT8">
        <f>IF(ROW()-3&gt;MAX($PS$4:$PS$40),"",INDEX($FD$4:$FD$40,MATCH(ROW()-3,$PS$4:$PS$40,0)))</f>
        <v/>
      </c>
      <c r="PU8">
        <f>IF(COUNTIF('Buyer Groups'!DG61:EJ61,0)+COUNTIF('Buyer Groups'!EL61:EN61,0)&gt;0,0,1)</f>
        <v/>
      </c>
      <c r="PV8">
        <f>IF($FX$8="",FALSE,SUMPRODUCT((IF('Final Calculation Sheet'!$AD$4:$AD$40&lt;=5,"SETTLED","OUTSTANDING")=$FX$8)*($PU$6:$PU$42=1))&gt;0)</f>
        <v/>
      </c>
      <c r="PW8">
        <f>$PW$7+--($PV8)</f>
        <v/>
      </c>
      <c r="PX8">
        <f>IF(ROW()-3&gt;MAX($PW$4:$PW$40),"",INDEX($FX$4:$FX$40,MATCH(ROW()-3,$PW$4:$PW$40,0)))</f>
        <v/>
      </c>
      <c r="PY8">
        <f>IF(COUNTIF('Buyer Groups'!DG61:EK61,0)+COUNTIF('Buyer Groups'!EM61:EN61,0)&gt;0,0,1)</f>
        <v/>
      </c>
      <c r="PZ8">
        <f>IF($FI$8="",FALSE,SUMPRODUCT(('Final Calculation Sheet'!$AF$4:$AF$40=$FI$8)*($PY$6:$PY$42=1))&gt;0)</f>
        <v/>
      </c>
      <c r="QA8">
        <f>$QA$7+--($PZ8)</f>
        <v/>
      </c>
      <c r="QB8">
        <f>IF(ROW()-3&gt;MAX($QA$4:$QA$40),"",INDEX($FI$4:$FI$40,MATCH(ROW()-3,$QA$4:$QA$40,0)))</f>
        <v/>
      </c>
      <c r="QC8">
        <f>IF(COUNTIF('Buyer Groups'!DG61:EL61,0)+COUNTIF('Buyer Groups'!EN61:EN61,0)&gt;0,0,1)</f>
        <v/>
      </c>
      <c r="QD8">
        <f>IF($FN$8="",FALSE,SUMPRODUCT(('Final Calculation Sheet'!$AG$4:$AG$40=$FN$8)*($QC$6:$QC$42=1))&gt;0)</f>
        <v/>
      </c>
      <c r="QE8">
        <f>$QE$7+--($QD8)</f>
        <v/>
      </c>
      <c r="QF8">
        <f>IF(ROW()-3&gt;MAX($QE$4:$QE$40),"",INDEX($FN$4:$FN$40,MATCH(ROW()-3,$QE$4:$QE$40,0)))</f>
        <v/>
      </c>
      <c r="QG8">
        <f>IF(COUNTIF('Buyer Groups'!DG61:EM61,0)&gt;0,0,1)</f>
        <v/>
      </c>
      <c r="QH8">
        <f>IF($FS$8="",FALSE,SUMPRODUCT(('Final Calculation Sheet'!$AH$4:$AH$40=$FS$8)*($QG$6:$QG$42=1))&gt;0)</f>
        <v/>
      </c>
      <c r="QI8">
        <f>$QI$7+--($QH8)</f>
        <v/>
      </c>
      <c r="QJ8">
        <f>IF(ROW()-3&gt;MAX($QI$4:$QI$40),"",INDEX($FS$4:$FS$40,MATCH(ROW()-3,$QI$4:$QI$40,0)))</f>
        <v/>
      </c>
      <c r="QK8" t="str">
        <f>IF('Final Calculation Sheet'!$AH$8="","",'Final Calculation Sheet'!$AH$8)</f>
      </c>
      <c r="QL8" t="str">
        <f>IF(QK8="","",COUNTIFS(QK$4:QK$40,"&lt;"&amp;QK8,QK$4:QK$40,"&lt;&gt;"&amp;"")+COUNTIF(QK$4:QK8,QK8))</f>
      </c>
      <c r="QM8" t="str">
        <f>IF(ROW()-3&gt;COUNTIF(QK$4:QK$40,"&lt;&gt;"&amp;""),"",INDEX(QK$4:QK$40,MATCH(ROW()-3,QL$4:QL$40,0)))</f>
      </c>
      <c r="QN8" t="str">
        <f>=QN7+F(AND(QM8&lt;&gt;"",COUNTIF(QM$4:QM8,QM8)=1),1,0)</f>
      </c>
      <c r="QO8" t="str">
        <f>IF(ROW()-3&gt;MAX(QN$4:QN$40),"",INDEX(QM$4:QM$40,MATCH(ROW()-3,QN$4:QN$40,0)))</f>
      </c>
      <c r="QP8" t="str">
        <f>IF(COUNTIF('Final Calculation Sheet'!$AM8:$BS8,0)&gt;0,0,1)</f>
      </c>
      <c r="QQ8" t="str">
        <f>IF($AI$8="",FALSE,SUMPRODUCT(('Final Calculation Sheet'!$A$4:$A$40=$AI$8)*($QP$4:$QP$40=1))&gt;0)</f>
      </c>
      <c r="QR8" t="str">
        <f>=$QR7+--($QQ8)</f>
      </c>
      <c r="QS8" t="str">
        <f>IF(ROW()-3&gt;MAX($QR$4:$QR$40),"",INDEX($AI$4:$AI$40,MATCH(ROW()-3,$QR$4:$QR$40,0)))</f>
      </c>
      <c r="QT8" t="str">
        <f>IF(COUNTIF('Final Calculation Sheet'!$AL8:$AL8,0)+COUNTIF('Final Calculation Sheet'!$AN8:$BS8,0)&gt;0,0,1)</f>
      </c>
      <c r="QU8" t="str">
        <f>IF($Y$8="",FALSE,SUMPRODUCT(('Final Calculation Sheet'!$B$4:$B$40=$Y$8)*($QT$4:$QT$40=1))&gt;0)</f>
      </c>
      <c r="QV8" t="str">
        <f>=$QV7+--($QU8)</f>
      </c>
      <c r="QW8" t="str">
        <f>IF(ROW()-3&gt;MAX($QV$4:$QV$40),"",INDEX($Y$4:$Y$40,MATCH(ROW()-3,$QV$4:$QV$40,0)))</f>
      </c>
      <c r="QX8" t="str">
        <f>IF(COUNTIF('Final Calculation Sheet'!$AL8:$AM8,0)+COUNTIF('Final Calculation Sheet'!$AO8:$BS8,0)&gt;0,0,1)</f>
      </c>
      <c r="QY8" t="str">
        <f>IF($AS$8="",FALSE,SUMPRODUCT(('Final Calculation Sheet'!$C$4:$C$40=$AS$8)*($QX$4:$QX$40=1))&gt;0)</f>
      </c>
      <c r="QZ8" t="str">
        <f>=$QZ7+--($QY8)</f>
      </c>
      <c r="RA8" t="str">
        <f>IF(ROW()-3&gt;MAX($QZ$4:$QZ$40),"",INDEX($AS$4:$AS$40,MATCH(ROW()-3,$QZ$4:$QZ$40,0)))</f>
      </c>
      <c r="RB8" t="str">
        <f>IF(COUNTIF('Final Calculation Sheet'!$AL8:$AN8,0)+COUNTIF('Final Calculation Sheet'!$AP8:$BS8,0)&gt;0,0,1)</f>
      </c>
      <c r="RC8" t="str">
        <f>IF($AD$8="",FALSE,SUMPRODUCT(('Final Calculation Sheet'!$D$4:$D$40=$AD$8)*($RB$4:$RB$40=1))&gt;0)</f>
      </c>
      <c r="RD8" t="str">
        <f>=$RD7+--($RC8)</f>
      </c>
      <c r="RE8" t="str">
        <f>IF(ROW()-3&gt;MAX($RD$4:$RD$40),"",INDEX($AD$4:$AD$40,MATCH(ROW()-3,$RD$4:$RD$40,0)))</f>
      </c>
      <c r="RF8" t="str">
        <f>IF(COUNTIF('Final Calculation Sheet'!$AL8:$AO8,0)+COUNTIF('Final Calculation Sheet'!$AQ8:$BS8,0)&gt;0,0,1)</f>
      </c>
      <c r="RG8" t="str">
        <f>IF($AN$8="",FALSE,SUMPRODUCT(('Final Calculation Sheet'!$E$4:$E$40=$AN$8)*($RF$4:$RF$40=1))&gt;0)</f>
      </c>
      <c r="RH8" t="str">
        <f>=$RH7+--($RG8)</f>
      </c>
      <c r="RI8" t="str">
        <f>IF(ROW()-3&gt;MAX($RH$4:$RH$40),"",INDEX($AN$4:$AN$40,MATCH(ROW()-3,$RH$4:$RH$40,0)))</f>
      </c>
      <c r="RJ8" t="str">
        <f>IF(COUNTIF('Final Calculation Sheet'!$AL8:$AP8,0)+COUNTIF('Final Calculation Sheet'!$AR8:$BS8,0)&gt;0,0,1)</f>
      </c>
      <c r="RK8" t="str">
        <f>IF($O$8="",FALSE,SUMPRODUCT(('Final Calculation Sheet'!$F$4:$F$40=$O$8)*($RJ$4:$RJ$40=1))&gt;0)</f>
      </c>
      <c r="RL8" t="str">
        <f>=$RL7+--($RK8)</f>
      </c>
      <c r="RM8" t="str">
        <f>IF(ROW()-3&gt;MAX($RL$4:$RL$40),"",INDEX($O$4:$O$40,MATCH(ROW()-3,$RL$4:$RL$40,0)))</f>
      </c>
      <c r="RN8" t="str">
        <f>IF(COUNTIF('Final Calculation Sheet'!$AL8:$AQ8,0)+COUNTIF('Final Calculation Sheet'!$AS8:$BS8,0)&gt;0,0,1)</f>
      </c>
      <c r="RO8" t="str">
        <f>IF($T$8="",FALSE,SUMPRODUCT(('Final Calculation Sheet'!$G$4:$G$40=$T$8)*($RN$4:$RN$40=1))&gt;0)</f>
      </c>
      <c r="RP8" t="str">
        <f>=$RP7+--($RO8)</f>
      </c>
      <c r="RQ8" t="str">
        <f>IF(ROW()-3&gt;MAX($RP$4:$RP$40),"",INDEX($T$4:$T$40,MATCH(ROW()-3,$RP$4:$RP$40,0)))</f>
      </c>
      <c r="RR8" t="str">
        <f>IF(COUNTIF('Final Calculation Sheet'!$AL8:$AR8,0)+COUNTIF('Final Calculation Sheet'!$AT8:$BS8,0)&gt;0,0,1)</f>
      </c>
      <c r="RS8" t="str">
        <f>IF($AX$8="",FALSE,SUMPRODUCT(('Final Calculation Sheet'!$H$4:$H$40=$AX$8)*($RR$4:$RR$40=1))&gt;0)</f>
      </c>
      <c r="RT8" t="str">
        <f>=$RT7+--($RS8)</f>
      </c>
      <c r="RU8" t="str">
        <f>IF(ROW()-3&gt;MAX($RT$4:$RT$40),"",INDEX($AX$4:$AX$40,MATCH(ROW()-3,$RT$4:$RT$40,0)))</f>
      </c>
      <c r="RV8" t="str">
        <f>IF(COUNTIF('Final Calculation Sheet'!$AL8:$AS8,0)+COUNTIF('Final Calculation Sheet'!$AU8:$BS8,0)&gt;0,0,1)</f>
      </c>
      <c r="RW8" t="str">
        <f>IF($BC$8="",FALSE,SUMPRODUCT(('Final Calculation Sheet'!$I$4:$I$40=$BC$8)*($RV$4:$RV$40=1))&gt;0)</f>
      </c>
      <c r="RX8" t="str">
        <f>=$RX7+--($RW8)</f>
      </c>
      <c r="RY8" t="str">
        <f>IF(ROW()-3&gt;MAX($RX$4:$RX$40),"",INDEX($BC$4:$BC$40,MATCH(ROW()-3,$RX$4:$RX$40,0)))</f>
      </c>
      <c r="RZ8" t="str">
        <f>IF(COUNTIF('Final Calculation Sheet'!$AL8:$AT8,0)+COUNTIF('Final Calculation Sheet'!$AV8:$BS8,0)&gt;0,0,1)</f>
      </c>
      <c r="SA8" t="str">
        <f>IF($BH$8="",FALSE,SUMPRODUCT(('Final Calculation Sheet'!$J$4:$J$40=$BH$8)*($RZ$4:$RZ$40=1))&gt;0)</f>
      </c>
      <c r="SB8" t="str">
        <f>=$SB7+--($SA8)</f>
      </c>
      <c r="SC8" t="str">
        <f>IF(ROW()-3&gt;MAX($SB$4:$SB$40),"",INDEX($BH$4:$BH$40,MATCH(ROW()-3,$SB$4:$SB$40,0)))</f>
      </c>
      <c r="SD8" t="str">
        <f>IF(COUNTIF('Final Calculation Sheet'!$AL8:$AU8,0)+COUNTIF('Final Calculation Sheet'!$AW8:$BS8,0)&gt;0,0,1)</f>
      </c>
      <c r="SE8" t="str">
        <f>IF($BM$8="",FALSE,SUMPRODUCT(('Final Calculation Sheet'!$K$4:$K$40=$BM$8)*($SD$4:$SD$40=1))&gt;0)</f>
      </c>
      <c r="SF8" t="str">
        <f>=$SF7+--($SE8)</f>
      </c>
      <c r="SG8" t="str">
        <f>IF(ROW()-3&gt;MAX($SF$4:$SF$40),"",INDEX($BM$4:$BM$40,MATCH(ROW()-3,$SF$4:$SF$40,0)))</f>
      </c>
      <c r="SH8" t="str">
        <f>IF(COUNTIF('Final Calculation Sheet'!$AL8:$AV8,0)+COUNTIF('Final Calculation Sheet'!$AX8:$BS8,0)&gt;0,0,1)</f>
      </c>
      <c r="SI8" t="str">
        <f>IF($BR$8="",FALSE,SUMPRODUCT(('Final Calculation Sheet'!$L$4:$L$40=$BR$8)*($SH$4:$SH$40=1))&gt;0)</f>
      </c>
      <c r="SJ8" t="str">
        <f>=$SJ7+--($SI8)</f>
      </c>
      <c r="SK8" t="str">
        <f>IF(ROW()-3&gt;MAX($SJ$4:$SJ$40),"",INDEX($BR$4:$BR$40,MATCH(ROW()-3,$SJ$4:$SJ$40,0)))</f>
      </c>
      <c r="SL8" t="str">
        <f>IF(COUNTIF('Final Calculation Sheet'!$AL8:$AW8,0)+COUNTIF('Final Calculation Sheet'!$AY8:$BS8,0)&gt;0,0,1)</f>
      </c>
      <c r="SM8" t="str">
        <f>IF($BW$8="",FALSE,SUMPRODUCT(('Final Calculation Sheet'!$M$4:$M$40=$BW$8)*($SL$4:$SL$40=1))&gt;0)</f>
      </c>
      <c r="SN8" t="str">
        <f>=$SN7+--($SM8)</f>
      </c>
      <c r="SO8" t="str">
        <f>IF(ROW()-3&gt;MAX($SN$4:$SN$40),"",INDEX($BW$4:$BW$40,MATCH(ROW()-3,$SN$4:$SN$40,0)))</f>
      </c>
      <c r="SP8" t="str">
        <f>IF(COUNTIF('Final Calculation Sheet'!$AL8:$AX8,0)+COUNTIF('Final Calculation Sheet'!$AZ8:$BS8,0)&gt;0,0,1)</f>
      </c>
      <c r="SQ8" t="str">
        <f>IF($CB$8="",FALSE,SUMPRODUCT(('Final Calculation Sheet'!$N$4:$N$40=$CB$8)*($SP$4:$SP$40=1))&gt;0)</f>
      </c>
      <c r="SR8" t="str">
        <f>=$SR7+--($SQ8)</f>
      </c>
      <c r="SS8" t="str">
        <f>IF(ROW()-3&gt;MAX($SR$4:$SR$40),"",INDEX($CB$4:$CB$40,MATCH(ROW()-3,$SR$4:$SR$40,0)))</f>
      </c>
      <c r="ST8" t="str">
        <f>IF(COUNTIF('Final Calculation Sheet'!$AL8:$AY8,0)+COUNTIF('Final Calculation Sheet'!$BA8:$BS8,0)&gt;0,0,1)</f>
      </c>
      <c r="SU8" t="str">
        <f>IF($CG$8="",FALSE,SUMPRODUCT(('Final Calculation Sheet'!$O$4:$O$40=$CG$8)*($ST$4:$ST$40=1))&gt;0)</f>
      </c>
      <c r="SV8" t="str">
        <f>=$SV7+--($SU8)</f>
      </c>
      <c r="SW8" t="str">
        <f>IF(ROW()-3&gt;MAX($SV$4:$SV$40),"",INDEX($CG$4:$CG$40,MATCH(ROW()-3,$SV$4:$SV$40,0)))</f>
      </c>
      <c r="SX8" t="str">
        <f>IF(COUNTIF('Final Calculation Sheet'!$AL8:$AZ8,0)+COUNTIF('Final Calculation Sheet'!$BB8:$BS8,0)&gt;0,0,1)</f>
      </c>
      <c r="SY8" t="str">
        <f>IF($CL$8="",FALSE,SUMPRODUCT(('Final Calculation Sheet'!$P$4:$P$40=$CL$8)*($SX$4:$SX$40=1))&gt;0)</f>
      </c>
      <c r="SZ8" t="str">
        <f>=$SZ7+--($SY8)</f>
      </c>
      <c r="TA8" t="str">
        <f>IF(ROW()-3&gt;MAX($SZ$4:$SZ$40),"",INDEX($CL$4:$CL$40,MATCH(ROW()-3,$SZ$4:$SZ$40,0)))</f>
      </c>
      <c r="TB8" t="str">
        <f>IF(COUNTIF('Final Calculation Sheet'!$AL8:$BA8,0)+COUNTIF('Final Calculation Sheet'!$BC8:$BS8,0)&gt;0,0,1)</f>
      </c>
      <c r="TC8" t="str">
        <f>IF($CQ$8="",FALSE,SUMPRODUCT(('Final Calculation Sheet'!$Q$4:$Q$40=$CQ$8)*($TB$4:$TB$40=1))&gt;0)</f>
      </c>
      <c r="TD8" t="str">
        <f>=$TD7+--($TC8)</f>
      </c>
      <c r="TE8" t="str">
        <f>IF(ROW()-3&gt;MAX($TD$4:$TD$40),"",INDEX($CQ$4:$CQ$40,MATCH(ROW()-3,$TD$4:$TD$40,0)))</f>
      </c>
      <c r="TF8" t="str">
        <f>IF(COUNTIF('Final Calculation Sheet'!$AL8:$BB8,0)+COUNTIF('Final Calculation Sheet'!$BD8:$BS8,0)&gt;0,0,1)</f>
      </c>
      <c r="TG8" t="str">
        <f>IF($CV$8="",FALSE,SUMPRODUCT(('Final Calculation Sheet'!$R$4:$R$40=$CV$8)*($TF$4:$TF$40=1))&gt;0)</f>
      </c>
      <c r="TH8" t="str">
        <f>=$TH7+--($TG8)</f>
      </c>
      <c r="TI8" t="str">
        <f>IF(ROW()-3&gt;MAX($TH$4:$TH$40),"",INDEX($CV$4:$CV$40,MATCH(ROW()-3,$TH$4:$TH$40,0)))</f>
      </c>
      <c r="TJ8" t="str">
        <f>IF(COUNTIF('Final Calculation Sheet'!$AL8:$BC8,0)+COUNTIF('Final Calculation Sheet'!$BE8:$BS8,0)&gt;0,0,1)</f>
      </c>
      <c r="TK8" t="str">
        <f>IF($DA$8="",FALSE,SUMPRODUCT(('Final Calculation Sheet'!$S$4:$S$40=$DA$8)*($TJ$4:$TJ$40=1))&gt;0)</f>
      </c>
      <c r="TL8" t="str">
        <f>=$TL7+--($TK8)</f>
      </c>
      <c r="TM8" t="str">
        <f>IF(ROW()-3&gt;MAX($TL$4:$TL$40),"",INDEX($DA$4:$DA$40,MATCH(ROW()-3,$TL$4:$TL$40,0)))</f>
      </c>
      <c r="TN8" t="str">
        <f>IF(COUNTIF('Final Calculation Sheet'!$AL8:$BD8,0)+COUNTIF('Final Calculation Sheet'!$BF8:$BS8,0)&gt;0,0,1)</f>
      </c>
      <c r="TO8" t="str">
        <f>IF($DF$8="",FALSE,SUMPRODUCT(('Final Calculation Sheet'!$T$4:$T$40=$DF$8)*($TN$4:$TN$40=1))&gt;0)</f>
      </c>
      <c r="TP8" t="str">
        <f>=$TP7+--($TO8)</f>
      </c>
      <c r="TQ8" t="str">
        <f>IF(ROW()-3&gt;MAX($TP$4:$TP$40),"",INDEX($DF$4:$DF$40,MATCH(ROW()-3,$TP$4:$TP$40,0)))</f>
      </c>
      <c r="TR8" t="str">
        <f>IF(COUNTIF('Final Calculation Sheet'!$AL8:$BE8,0)+COUNTIF('Final Calculation Sheet'!$BG8:$BS8,0)&gt;0,0,1)</f>
      </c>
      <c r="TS8" t="str">
        <f>IF($DK$8="",FALSE,SUMPRODUCT(('Final Calculation Sheet'!$U$4:$U$40=$DK$8)*($TR$4:$TR$40=1))&gt;0)</f>
      </c>
      <c r="TT8" t="str">
        <f>=$TT7+--($TS8)</f>
      </c>
      <c r="TU8" t="str">
        <f>IF(ROW()-3&gt;MAX($TT$4:$TT$40),"",INDEX($DK$4:$DK$40,MATCH(ROW()-3,$TT$4:$TT$40,0)))</f>
      </c>
      <c r="TV8" t="str">
        <f>IF(COUNTIF('Final Calculation Sheet'!$AL8:$BF8,0)+COUNTIF('Final Calculation Sheet'!$BH8:$BS8,0)&gt;0,0,1)</f>
      </c>
      <c r="TW8" t="str">
        <f>IF($DP$8="",FALSE,SUMPRODUCT(('Final Calculation Sheet'!$V$4:$V$40=$DP$8)*($TV$4:$TV$40=1))&gt;0)</f>
      </c>
      <c r="TX8" t="str">
        <f>=$TX7+--($TW8)</f>
      </c>
      <c r="TY8" t="str">
        <f>IF(ROW()-3&gt;MAX($TX$4:$TX$40),"",INDEX($DP$4:$DP$40,MATCH(ROW()-3,$TX$4:$TX$40,0)))</f>
      </c>
      <c r="TZ8" t="str">
        <f>IF(COUNTIF('Final Calculation Sheet'!$AL8:$BG8,0)+COUNTIF('Final Calculation Sheet'!$BI8:$BS8,0)&gt;0,0,1)</f>
      </c>
      <c r="UA8" t="str">
        <f>IF($DU$8="",FALSE,SUMPRODUCT(('Final Calculation Sheet'!$W$4:$W$40=$DU$8)*($TZ$4:$TZ$40=1))&gt;0)</f>
      </c>
      <c r="UB8" t="str">
        <f>=$UB7+--($UA8)</f>
      </c>
      <c r="UC8" t="str">
        <f>IF(ROW()-3&gt;MAX($UB$4:$UB$40),"",INDEX($DU$4:$DU$40,MATCH(ROW()-3,$UB$4:$UB$40,0)))</f>
      </c>
      <c r="UD8" t="str">
        <f>IF(COUNTIF('Final Calculation Sheet'!$AL8:$BH8,0)+COUNTIF('Final Calculation Sheet'!$BJ8:$BS8,0)&gt;0,0,1)</f>
      </c>
      <c r="UE8" t="str">
        <f>IF($DZ$8="",FALSE,SUMPRODUCT(('Final Calculation Sheet'!$X$4:$X$40=$DZ$8)*($UD$4:$UD$40=1))&gt;0)</f>
      </c>
      <c r="UF8" t="str">
        <f>=$UF7+--($UE8)</f>
      </c>
      <c r="UG8" t="str">
        <f>IF(ROW()-3&gt;MAX($UF$4:$UF$40),"",INDEX($DZ$4:$DZ$40,MATCH(ROW()-3,$UF$4:$UF$40,0)))</f>
      </c>
      <c r="UH8" t="str">
        <f>IF(COUNTIF('Final Calculation Sheet'!$AL8:$BI8,0)+COUNTIF('Final Calculation Sheet'!$BK8:$BS8,0)&gt;0,0,1)</f>
      </c>
      <c r="UI8" t="str">
        <f>IF($EE$8="",FALSE,SUMPRODUCT(('Final Calculation Sheet'!$Y$4:$Y$40=$EE$8)*($UH$4:$UH$40=1))&gt;0)</f>
      </c>
      <c r="UJ8" t="str">
        <f>=$UJ7+--($UI8)</f>
      </c>
      <c r="UK8" t="str">
        <f>IF(ROW()-3&gt;MAX($UJ$4:$UJ$40),"",INDEX($EE$4:$EE$40,MATCH(ROW()-3,$UJ$4:$UJ$40,0)))</f>
      </c>
      <c r="UL8" t="str">
        <f>IF(COUNTIF('Final Calculation Sheet'!$AL8:$BJ8,0)+COUNTIF('Final Calculation Sheet'!$BL8:$BS8,0)&gt;0,0,1)</f>
      </c>
      <c r="UM8" t="str">
        <f>IF($EJ$8="",FALSE,SUMPRODUCT(('Final Calculation Sheet'!$Z$4:$Z$40=$EJ$8)*($UL$4:$UL$40=1))&gt;0)</f>
      </c>
      <c r="UN8" t="str">
        <f>=$UN7+--($UM8)</f>
      </c>
      <c r="UO8" t="str">
        <f>IF(ROW()-3&gt;MAX($UN$4:$UN$40),"",INDEX($EJ$4:$EJ$40,MATCH(ROW()-3,$UN$4:$UN$40,0)))</f>
      </c>
      <c r="UP8" t="str">
        <f>IF(COUNTIF('Final Calculation Sheet'!$AL8:$BK8,0)+COUNTIF('Final Calculation Sheet'!$BM8:$BS8,0)&gt;0,0,1)</f>
      </c>
      <c r="UQ8" t="str">
        <f>IF($EO$8="",FALSE,SUMPRODUCT(('Final Calculation Sheet'!$AA$4:$AA$40=$EO$8)*($UP$4:$UP$40=1))&gt;0)</f>
      </c>
      <c r="UR8" t="str">
        <f>=$UR7+--($UQ8)</f>
      </c>
      <c r="US8" t="str">
        <f>IF(ROW()-3&gt;MAX($UR$4:$UR$40),"",INDEX($EO$4:$EO$40,MATCH(ROW()-3,$UR$4:$UR$40,0)))</f>
      </c>
      <c r="UT8" t="str">
        <f>IF(COUNTIF('Final Calculation Sheet'!$AL8:$BL8,0)+COUNTIF('Final Calculation Sheet'!$BN8:$BS8,0)&gt;0,0,1)</f>
      </c>
      <c r="UU8" t="str">
        <f>IF($ET$8="",FALSE,SUMPRODUCT(('Final Calculation Sheet'!$AB$4:$AB$40=$ET$8)*($UT$4:$UT$40=1))&gt;0)</f>
      </c>
      <c r="UV8" t="str">
        <f>=$UV7+--($UU8)</f>
      </c>
      <c r="UW8" t="str">
        <f>IF(ROW()-3&gt;MAX($UV$4:$UV$40),"",INDEX($ET$4:$ET$40,MATCH(ROW()-3,$UV$4:$UV$40,0)))</f>
      </c>
      <c r="UX8" t="str">
        <f>IF(COUNTIF('Final Calculation Sheet'!$AL8:$BM8,0)+COUNTIF('Final Calculation Sheet'!$BO8:$BS8,0)&gt;0,0,1)</f>
      </c>
      <c r="UY8" t="str">
        <f>IF($EY$8="",FALSE,SUMPRODUCT(('Final Calculation Sheet'!$AC$4:$AC$40=$EY$8)*($UX$4:$UX$40=1))&gt;0)</f>
      </c>
      <c r="UZ8" t="str">
        <f>=$UZ7+--($UY8)</f>
      </c>
      <c r="VA8" t="str">
        <f>IF(ROW()-3&gt;MAX($UZ$4:$UZ$40),"",INDEX($EY$4:$EY$40,MATCH(ROW()-3,$UZ$4:$UZ$40,0)))</f>
      </c>
      <c r="VB8" t="str">
        <f>IF(COUNTIF('Final Calculation Sheet'!$AL8:$BN8,0)+COUNTIF('Final Calculation Sheet'!$BP8:$BS8,0)&gt;0,0,1)</f>
      </c>
      <c r="VC8" t="str">
        <f>IF($FD$8="",FALSE,SUMPRODUCT(('Final Calculation Sheet'!$AD$4:$AD$40=$FD$8)*($VB$4:$VB$40=1))&gt;0)</f>
      </c>
      <c r="VD8" t="str">
        <f>=$VD7+--($VC8)</f>
      </c>
      <c r="VE8" t="str">
        <f>IF(ROW()-3&gt;MAX($VD$4:$VD$40),"",INDEX($FD$4:$FD$40,MATCH(ROW()-3,$VD$4:$VD$40,0)))</f>
      </c>
      <c r="VF8" t="str">
        <f>IF(COUNTIF('Final Calculation Sheet'!$AL8:$BO8,0)+COUNTIF('Final Calculation Sheet'!$BQ8:$BS8,0)&gt;0,0,1)</f>
      </c>
      <c r="VG8" t="str">
        <f>IF($FI$8="",FALSE,SUMPRODUCT(('Final Calculation Sheet'!$AE$4:$AE$40=$FI$8)*($VF$4:$VF$40=1))&gt;0)</f>
      </c>
      <c r="VH8" t="str">
        <f>=$VH7+--($VG8)</f>
      </c>
      <c r="VI8" t="str">
        <f>IF(ROW()-3&gt;MAX($VH$4:$VH$40),"",INDEX($FI$4:$FI$40,MATCH(ROW()-3,$VH$4:$VH$40,0)))</f>
      </c>
      <c r="VJ8" t="str">
        <f>IF(COUNTIF('Final Calculation Sheet'!$AL8:$BP8,0)+COUNTIF('Final Calculation Sheet'!$BR8:$BS8,0)&gt;0,0,1)</f>
      </c>
      <c r="VK8" t="str">
        <f>IF($FN$8="",FALSE,SUMPRODUCT(('Final Calculation Sheet'!$AF$4:$AF$40=$FN$8)*($VJ$4:$VJ$40=1))&gt;0)</f>
      </c>
      <c r="VL8" t="str">
        <f>=$VL7+--($VK8)</f>
      </c>
      <c r="VM8" t="str">
        <f>IF(ROW()-3&gt;MAX($VL$4:$VL$40),"",INDEX($FN$4:$FN$40,MATCH(ROW()-3,$VL$4:$VL$40,0)))</f>
      </c>
      <c r="VN8" t="str">
        <f>IF(COUNTIF('Final Calculation Sheet'!$AL8:$BQ8,0)+COUNTIF('Final Calculation Sheet'!$BS8:$BS8,0)&gt;0,0,1)</f>
      </c>
      <c r="VO8" t="str">
        <f>IF($FS$8="",FALSE,SUMPRODUCT(('Final Calculation Sheet'!$AG$4:$AG$40=$FS$8)*($VN$4:$VN$40=1))&gt;0)</f>
      </c>
      <c r="VP8" t="str">
        <f>=$VP7+--($VO8)</f>
      </c>
      <c r="VQ8" t="str">
        <f>IF(ROW()-3&gt;MAX($VP$4:$VP$40),"",INDEX($FS$4:$FS$40,MATCH(ROW()-3,$VP$4:$VP$40,0)))</f>
      </c>
      <c r="VR8" t="str">
        <f>IF(COUNTIF('Final Calculation Sheet'!$AL8:$BR8,0)&gt;0,0,1)</f>
      </c>
      <c r="VS8" t="str">
        <f>IF($QO$8="",FALSE,SUMPRODUCT(('Final Calculation Sheet'!$AH$4:$AH$40=$QO$8)*($VR$4:$VR$40=1))&gt;0)</f>
      </c>
      <c r="VT8" t="str">
        <f>=$VT7+--($VS8)</f>
      </c>
      <c r="VU8" t="str">
        <f>IF(ROW()-3&gt;MAX($VT$4:$VT$40),"",INDEX($QO$4:$QO$40,MATCH(ROW()-3,$VT$4:$VT$40,0)))</f>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IF(COUNTIF('Live Search'!BM$8:BM$8,0)+COUNTIF('Live Search'!B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D9">
        <f>IF($O$9="",FALSE,SUMPRODUCT(('Final Calculation Sheet'!$F$4:$F$40=$O$9)*($GC$6:$GC$42=1))&gt;0)</f>
        <v/>
      </c>
      <c r="GE9">
        <f>$GE$8+--($GD9)</f>
        <v/>
      </c>
      <c r="GF9">
        <f>IF(ROW()-3&gt;MAX($GE$4:$GE$40),"",INDEX($O$4:$O$40,MATCH(ROW()-3,$GE$4:$GE$40,0)))</f>
        <v/>
      </c>
      <c r="GG9">
        <f>IF(COUNTIF('Live Search'!BM$8:BN$8,0)+COUNTIF('Live Search'!B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H9">
        <f>IF($T$9="",FALSE,SUMPRODUCT(('Final Calculation Sheet'!$G$4:$G$40=$T$9)*($GG$6:$GG$42=1))&gt;0)</f>
        <v/>
      </c>
      <c r="GI9">
        <f>$GI$8+--($GH9)</f>
        <v/>
      </c>
      <c r="GJ9">
        <f>IF(ROW()-3&gt;MAX($GI$4:$GI$40),"",INDEX($T$4:$T$40,MATCH(ROW()-3,$GI$4:$GI$40,0)))</f>
        <v/>
      </c>
      <c r="GK9">
        <f>IF(COUNTIF('Live Search'!BM$8:BP$8,0)+COUNTIF('Live Search'!B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L9">
        <f>IF($AD$9="",FALSE,SUMPRODUCT(('Final Calculation Sheet'!$D$4:$D$40=$AD$9)*($GK$6:$GK$42=1))&gt;0)</f>
        <v/>
      </c>
      <c r="GM9">
        <f>$GM$8+--($GL9)</f>
        <v/>
      </c>
      <c r="GN9">
        <f>IF(ROW()-3&gt;MAX($GM$4:$GM$40),"",INDEX($AD$4:$AD$40,MATCH(ROW()-3,$GM$4:$GM$40,0)))</f>
        <v/>
      </c>
      <c r="GO9">
        <f>IF(COUNTIF('Live Search'!BM$8:BQ$8,0)+COUNTIF('Live Search'!B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P9">
        <f>IF($AI$9="",FALSE,SUMPRODUCT(('Final Calculation Sheet'!$A$4:$A$40=$AI$9)*($GO$6:$GO$42=1))&gt;0)</f>
        <v/>
      </c>
      <c r="GQ9">
        <f>$GQ$8+--($GP9)</f>
        <v/>
      </c>
      <c r="GR9">
        <f>IF(ROW()-3&gt;MAX($GQ$4:$GQ$40),"",INDEX($AI$4:$AI$40,MATCH(ROW()-3,$GQ$4:$GQ$40,0)))</f>
        <v/>
      </c>
      <c r="GS9">
        <f>IF(COUNTIF('Live Search'!BM$8:BR$8,0)+COUNTIF('Live Search'!B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T9">
        <f>IF($AN$9="",FALSE,SUMPRODUCT(('Final Calculation Sheet'!$E$4:$E$40=$AN$9)*($GS$6:$GS$42=1))&gt;0)</f>
        <v/>
      </c>
      <c r="GU9">
        <f>$GU$8+--($GT9)</f>
        <v/>
      </c>
      <c r="GV9">
        <f>IF(ROW()-3&gt;MAX($GU$4:$GU$40),"",INDEX($AN$4:$AN$40,MATCH(ROW()-3,$GU$4:$GU$40,0)))</f>
        <v/>
      </c>
      <c r="GW9">
        <f>IF(COUNTIF('Live Search'!BM$8:BS$8,0)+COUNTIF('Live Search'!B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GX9">
        <f>IF($AS$9="",FALSE,SUMPRODUCT(('Final Calculation Sheet'!$C$4:$C$40=$AS$9)*($GW$6:$GW$42=1))&gt;0)</f>
        <v/>
      </c>
      <c r="GY9">
        <f>$GY$8+--($GX9)</f>
        <v/>
      </c>
      <c r="GZ9">
        <f>IF(ROW()-3&gt;MAX($GY$4:$GY$40),"",INDEX($AS$4:$AS$40,MATCH(ROW()-3,$GY$4:$GY$40,0)))</f>
        <v/>
      </c>
      <c r="HA9">
        <f>IF(COUNTIF('Live Search'!BM$8:BT$8,0)+COUNTIF('Live Search'!BV$8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B9">
        <f>IF($AX$9="",FALSE,SUMPRODUCT(('Final Calculation Sheet'!$H$4:$H$40=$AX$9)*($HA$6:$HA$42=1))&gt;0)</f>
        <v/>
      </c>
      <c r="HC9">
        <f>$HC$8+--($HB9)</f>
        <v/>
      </c>
      <c r="HD9">
        <f>IF(ROW()-3&gt;MAX($HC$4:$HC$40),"",INDEX($AX$4:$AX$40,MATCH(ROW()-3,$HC$4:$HC$40,0)))</f>
        <v/>
      </c>
      <c r="HE9">
        <f>IF(COUNTIF('Live Search'!BM$8:BU$8,0)+COUNTIF('Live Search'!BW$8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F9">
        <f>IF($BC$9="",FALSE,SUMPRODUCT(('Final Calculation Sheet'!$I$4:$I$40=$BC$9)*($HE$6:$HE$42=1))&gt;0)</f>
        <v/>
      </c>
      <c r="HG9">
        <f>$HG$8+--($HF9)</f>
        <v/>
      </c>
      <c r="HH9">
        <f>IF(ROW()-3&gt;MAX($HG$4:$HG$40),"",INDEX($BC$4:$BC$40,MATCH(ROW()-3,$HG$4:$HG$40,0)))</f>
        <v/>
      </c>
      <c r="HI9">
        <f>IF(COUNTIF('Live Search'!BM$8:BV$8,0)+COUNTIF('Live Search'!BX$8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J9">
        <f>IF($BH$9="",FALSE,SUMPRODUCT(('Final Calculation Sheet'!$J$4:$J$40=$BH$9)*($HI$6:$HI$42=1))&gt;0)</f>
        <v/>
      </c>
      <c r="HK9">
        <f>$HK$8+--($HJ9)</f>
        <v/>
      </c>
      <c r="HL9">
        <f>IF(ROW()-3&gt;MAX($HK$4:$HK$40),"",INDEX($BH$4:$BH$40,MATCH(ROW()-3,$HK$4:$HK$40,0)))</f>
        <v/>
      </c>
      <c r="HM9">
        <f>IF(COUNTIF('Live Search'!BM$8:BW$8,0)+COUNTIF('Live Search'!BY$8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N9">
        <f>IF($BM$9="",FALSE,SUMPRODUCT(('Final Calculation Sheet'!$K$4:$K$40=$BM$9)*($HM$6:$HM$42=1))&gt;0)</f>
        <v/>
      </c>
      <c r="HO9">
        <f>$HO$8+--($HN9)</f>
        <v/>
      </c>
      <c r="HP9">
        <f>IF(ROW()-3&gt;MAX($HO$4:$HO$40),"",INDEX($BM$4:$BM$40,MATCH(ROW()-3,$HO$4:$HO$40,0)))</f>
        <v/>
      </c>
      <c r="HQ9">
        <f>IF(COUNTIF('Live Search'!BM$8:BX$8,0)+COUNTIF('Live Search'!BZ$8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R9">
        <f>IF($BR$9="",FALSE,SUMPRODUCT(('Final Calculation Sheet'!$L$4:$L$40=$BR$9)*($HQ$6:$HQ$42=1))&gt;0)</f>
        <v/>
      </c>
      <c r="HS9">
        <f>$HS$8+--($HR9)</f>
        <v/>
      </c>
      <c r="HT9">
        <f>IF(ROW()-3&gt;MAX($HS$4:$HS$40),"",INDEX($BR$4:$BR$40,MATCH(ROW()-3,$HS$4:$HS$40,0)))</f>
        <v/>
      </c>
      <c r="HU9">
        <f>IF(COUNTIF('Live Search'!BM$8:BY$8,0)+COUNTIF('Live Search'!CA$8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V9">
        <f>IF($BW$9="",FALSE,SUMPRODUCT(('Final Calculation Sheet'!$M$4:$M$40=$BW$9)*($HU$6:$HU$42=1))&gt;0)</f>
        <v/>
      </c>
      <c r="HW9">
        <f>$HW$8+--($HV9)</f>
        <v/>
      </c>
      <c r="HX9">
        <f>IF(ROW()-3&gt;MAX($HW$4:$HW$40),"",INDEX($BW$4:$BW$40,MATCH(ROW()-3,$HW$4:$HW$40,0)))</f>
        <v/>
      </c>
      <c r="HY9">
        <f>IF(COUNTIF('Live Search'!BM$8:BZ$8,0)+COUNTIF('Live Search'!CB$8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HZ9">
        <f>IF($CB$9="",FALSE,SUMPRODUCT(('Final Calculation Sheet'!$N$4:$N$40=$CB$9)*($HY$6:$HY$42=1))&gt;0)</f>
        <v/>
      </c>
      <c r="IA9">
        <f>$IA$8+--($HZ9)</f>
        <v/>
      </c>
      <c r="IB9">
        <f>IF(ROW()-3&gt;MAX($IA$4:$IA$40),"",INDEX($CB$4:$CB$40,MATCH(ROW()-3,$IA$4:$IA$40,0)))</f>
        <v/>
      </c>
      <c r="IC9">
        <f>IF(COUNTIF('Live Search'!BM$8:CA$8,0)+COUNTIF('Live Search'!CC$8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D9">
        <f>IF($CG$9="",FALSE,SUMPRODUCT(('Final Calculation Sheet'!$O$4:$O$40=$CG$9)*($IC$6:$IC$42=1))&gt;0)</f>
        <v/>
      </c>
      <c r="IE9">
        <f>$IE$8+--($ID9)</f>
        <v/>
      </c>
      <c r="IF9">
        <f>IF(ROW()-3&gt;MAX($IE$4:$IE$40),"",INDEX($CG$4:$CG$40,MATCH(ROW()-3,$IE$4:$IE$40,0)))</f>
        <v/>
      </c>
      <c r="IG9">
        <f>IF(COUNTIF('Live Search'!BM$8:CB$8,0)+COUNTIF('Live Search'!CD$8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H9">
        <f>IF($CL$9="",FALSE,SUMPRODUCT(('Final Calculation Sheet'!$P$4:$P$40=$CL$9)*($IG$6:$IG$42=1))&gt;0)</f>
        <v/>
      </c>
      <c r="II9">
        <f>$II$8+--($IH9)</f>
        <v/>
      </c>
      <c r="IJ9">
        <f>IF(ROW()-3&gt;MAX($II$4:$II$40),"",INDEX($CL$4:$CL$40,MATCH(ROW()-3,$II$4:$II$40,0)))</f>
        <v/>
      </c>
      <c r="IK9">
        <f>IF(COUNTIF('Live Search'!BM$8:CC$8,0)+COUNTIF('Live Search'!CE$8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L9">
        <f>IF($CQ$9="",FALSE,SUMPRODUCT(('Final Calculation Sheet'!$Q$4:$Q$40=$CQ$9)*($IK$6:$IK$42=1))&gt;0)</f>
        <v/>
      </c>
      <c r="IM9">
        <f>$IM$8+--($IL9)</f>
        <v/>
      </c>
      <c r="IN9">
        <f>IF(ROW()-3&gt;MAX($IM$4:$IM$40),"",INDEX($CQ$4:$CQ$40,MATCH(ROW()-3,$IM$4:$IM$40,0)))</f>
        <v/>
      </c>
      <c r="IO9">
        <f>IF(COUNTIF('Live Search'!BM$8:CD$8,0)+COUNTIF('Live Search'!CF$8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P9">
        <f>IF($CV$9="",FALSE,SUMPRODUCT(('Final Calculation Sheet'!$R$4:$R$40=$CV$9)*($IO$6:$IO$42=1))&gt;0)</f>
        <v/>
      </c>
      <c r="IQ9">
        <f>$IQ$8+--($IP9)</f>
        <v/>
      </c>
      <c r="IR9">
        <f>IF(ROW()-3&gt;MAX($IQ$4:$IQ$40),"",INDEX($CV$4:$CV$40,MATCH(ROW()-3,$IQ$4:$IQ$40,0)))</f>
        <v/>
      </c>
      <c r="IS9">
        <f>IF(COUNTIF('Live Search'!BM$8:CE$8,0)+COUNTIF('Live Search'!CG$8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T9">
        <f>IF($DA$9="",FALSE,SUMPRODUCT(('Final Calculation Sheet'!$S$4:$S$40=$DA$9)*($IS$6:$IS$42=1))&gt;0)</f>
        <v/>
      </c>
      <c r="IU9">
        <f>$IU$8+--($IT9)</f>
        <v/>
      </c>
      <c r="IV9">
        <f>IF(ROW()-3&gt;MAX($IU$4:$IU$40),"",INDEX($DA$4:$DA$40,MATCH(ROW()-3,$IU$4:$IU$40,0)))</f>
        <v/>
      </c>
      <c r="IW9">
        <f>IF(COUNTIF('Live Search'!BM$8:CF$8,0)+COUNTIF('Live Search'!CH$8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IX9">
        <f>IF($DF$9="",FALSE,SUMPRODUCT(('Final Calculation Sheet'!$T$4:$T$40=$DF$9)*($IW$6:$IW$42=1))&gt;0)</f>
        <v/>
      </c>
      <c r="IY9">
        <f>$IY$8+--($IX9)</f>
        <v/>
      </c>
      <c r="IZ9">
        <f>IF(ROW()-3&gt;MAX($IY$4:$IY$40),"",INDEX($DF$4:$DF$40,MATCH(ROW()-3,$IY$4:$IY$40,0)))</f>
        <v/>
      </c>
      <c r="JA9">
        <f>IF(COUNTIF('Live Search'!BM$8:CG$8,0)+COUNTIF('Live Search'!CI$8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B9">
        <f>IF($DK$9="",FALSE,SUMPRODUCT(('Final Calculation Sheet'!$U$4:$U$40=$DK$9)*($JA$6:$JA$42=1))&gt;0)</f>
        <v/>
      </c>
      <c r="JC9">
        <f>$JC$8+--($JB9)</f>
        <v/>
      </c>
      <c r="JD9">
        <f>IF(ROW()-3&gt;MAX($JC$4:$JC$40),"",INDEX($DK$4:$DK$40,MATCH(ROW()-3,$JC$4:$JC$40,0)))</f>
        <v/>
      </c>
      <c r="JE9">
        <f>IF(COUNTIF('Live Search'!BM$8:CH$8,0)+COUNTIF('Live Search'!CJ$8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F9">
        <f>IF($DP$9="",FALSE,SUMPRODUCT(('Final Calculation Sheet'!$V$4:$V$40=$DP$9)*($JE$6:$JE$42=1))&gt;0)</f>
        <v/>
      </c>
      <c r="JG9">
        <f>$JG$8+--($JF9)</f>
        <v/>
      </c>
      <c r="JH9">
        <f>IF(ROW()-3&gt;MAX($JG$4:$JG$40),"",INDEX($DP$4:$DP$40,MATCH(ROW()-3,$JG$4:$JG$40,0)))</f>
        <v/>
      </c>
      <c r="JI9">
        <f>IF(COUNTIF('Live Search'!BM$8:CI$8,0)+COUNTIF('Live Search'!CK$8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J9">
        <f>IF($DU$9="",FALSE,SUMPRODUCT(('Final Calculation Sheet'!$W$4:$W$40=$DU$9)*($JI$6:$JI$42=1))&gt;0)</f>
        <v/>
      </c>
      <c r="JK9">
        <f>$JK$8+--($JJ9)</f>
        <v/>
      </c>
      <c r="JL9">
        <f>IF(ROW()-3&gt;MAX($JK$4:$JK$40),"",INDEX($DU$4:$DU$40,MATCH(ROW()-3,$JK$4:$JK$40,0)))</f>
        <v/>
      </c>
      <c r="JM9">
        <f>IF(COUNTIF('Live Search'!BM$8:CJ$8,0)+COUNTIF('Live Search'!CL$8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N9">
        <f>IF($DZ$9="",FALSE,SUMPRODUCT(('Final Calculation Sheet'!$X$4:$X$40=$DZ$9)*($JM$6:$JM$42=1))&gt;0)</f>
        <v/>
      </c>
      <c r="JO9">
        <f>$JO$8+--($JN9)</f>
        <v/>
      </c>
      <c r="JP9">
        <f>IF(ROW()-3&gt;MAX($JO$4:$JO$40),"",INDEX($DZ$4:$DZ$40,MATCH(ROW()-3,$JO$4:$JO$40,0)))</f>
        <v/>
      </c>
      <c r="JQ9">
        <f>IF(COUNTIF('Live Search'!BM$8:CK$8,0)+COUNTIF('Live Search'!C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R9">
        <f>IF($EE$9="",FALSE,SUMPRODUCT(('Final Calculation Sheet'!$Y$4:$Y$40=$EE$9)*($JQ$6:$JQ$42=1))&gt;0)</f>
        <v/>
      </c>
      <c r="JS9">
        <f>$JS$8+--($JR9)</f>
        <v/>
      </c>
      <c r="JT9">
        <f>IF(ROW()-3&gt;MAX($JS$4:$JS$40),"",INDEX($EE$4:$EE$40,MATCH(ROW()-3,$JS$4:$JS$40,0)))</f>
        <v/>
      </c>
      <c r="JU9">
        <f>IF(COUNTIF('Live Search'!BM$8:CL$8,0)+COUNTIF('Live Search'!CN$8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V9">
        <f>IF($EJ$9="",FALSE,SUMPRODUCT(('Final Calculation Sheet'!$Z$4:$Z$40=$EJ$9)*($JU$6:$JU$42=1))&gt;0)</f>
        <v/>
      </c>
      <c r="JW9">
        <f>$JW$8+--($JV9)</f>
        <v/>
      </c>
      <c r="JX9">
        <f>IF(ROW()-3&gt;MAX($JW$4:$JW$40),"",INDEX($EJ$4:$EJ$40,MATCH(ROW()-3,$JW$4:$JW$40,0)))</f>
        <v/>
      </c>
      <c r="JY9">
        <f>IF(COUNTIF('Live Search'!BM$8:CM$8,0)+COUNTIF('Live Search'!CO$8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JZ9">
        <f>IF($EO$9="",FALSE,SUMPRODUCT(('Final Calculation Sheet'!$AA$4:$AA$40=$EO$9)*($JY$6:$JY$42=1))&gt;0)</f>
        <v/>
      </c>
      <c r="KA9">
        <f>$KA$8+--($JZ9)</f>
        <v/>
      </c>
      <c r="KB9">
        <f>IF(ROW()-3&gt;MAX($KA$4:$KA$40),"",INDEX($EO$4:$EO$40,MATCH(ROW()-3,$KA$4:$KA$40,0)))</f>
        <v/>
      </c>
      <c r="KC9">
        <f>IF(COUNTIF('Live Search'!BM$8:CN$8,0)+COUNTIF('Live Search'!CP$8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D9">
        <f>IF($ET$9="",FALSE,SUMPRODUCT(('Final Calculation Sheet'!$AB$4:$AB$40=$ET$9)*($KC$6:$KC$42=1))&gt;0)</f>
        <v/>
      </c>
      <c r="KE9">
        <f>$KE$8+--($KD9)</f>
        <v/>
      </c>
      <c r="KF9">
        <f>IF(ROW()-3&gt;MAX($KE$4:$KE$40),"",INDEX($ET$4:$ET$40,MATCH(ROW()-3,$KE$4:$KE$40,0)))</f>
        <v/>
      </c>
      <c r="KG9">
        <f>IF(COUNTIF('Live Search'!BM$8:CO$8,0)+COUNTIF('Live Search'!CQ$8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H9">
        <f>IF($EY$9="",FALSE,SUMPRODUCT(('Final Calculation Sheet'!$AC$4:$AC$40=$EY$9)*($KG$6:$KG$42=1))&gt;0)</f>
        <v/>
      </c>
      <c r="KI9">
        <f>$KI$8+--($KH9)</f>
        <v/>
      </c>
      <c r="KJ9">
        <f>IF(ROW()-3&gt;MAX($KI$4:$KI$40),"",INDEX($EY$4:$EY$40,MATCH(ROW()-3,$KI$4:$KI$40,0)))</f>
        <v/>
      </c>
      <c r="KK9">
        <f>IF(COUNTIF('Live Search'!BM$8:CP$8,0)+COUNTIF('Live Search'!CR$8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L9">
        <f>IF($FD$9="",FALSE,SUMPRODUCT(('Final Calculation Sheet'!$AD$4:$AD$40=$FD$9)*($KK$6:$KK$42=1))&gt;0)</f>
        <v/>
      </c>
      <c r="KM9">
        <f>$KM$8+--($KL9)</f>
        <v/>
      </c>
      <c r="KN9">
        <f>IF(ROW()-3&gt;MAX($KM$4:$KM$40),"",INDEX($FD$4:$FD$40,MATCH(ROW()-3,$KM$4:$KM$40,0)))</f>
        <v/>
      </c>
      <c r="KO9">
        <f>IF(COUNTIF('Live Search'!BM$8:CT$8,0)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P9">
        <f>IF($FX$9="",FALSE,SUMPRODUCT((IF('Final Calculation Sheet'!$AD$4:$AD$40&lt;=5,"SETTLED","OUTSTANDING")=$FX$9)*($KO$6:$KO$42=1))&gt;0)</f>
        <v/>
      </c>
      <c r="KQ9">
        <f>$KQ$8+--($KP9)</f>
        <v/>
      </c>
      <c r="KR9">
        <f>IF(ROW()-3&gt;MAX($KQ$4:$KQ$40),"",INDEX($FX$4:$FX$40,MATCH(ROW()-3,$KQ$4:$KQ$40,0)))</f>
        <v/>
      </c>
      <c r="KS9">
        <f>IF(COUNTIF('Live Search'!BM$8:CQ$8,0)+COUNTIF('Live Search'!CS$8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T9">
        <f>IF($FI$9="",FALSE,SUMPRODUCT(('Final Calculation Sheet'!$AF$4:$AF$40=$FI$9)*($KS$6:$KS$42=1))&gt;0)</f>
        <v/>
      </c>
      <c r="KU9">
        <f>$KU$8+--($KT9)</f>
        <v/>
      </c>
      <c r="KV9">
        <f>IF(ROW()-3&gt;MAX($KU$4:$KU$40),"",INDEX($FI$4:$FI$40,MATCH(ROW()-3,$KU$4:$KU$40,0)))</f>
        <v/>
      </c>
      <c r="KW9">
        <f>IF(COUNTIF('Live Search'!BM$8:CR$8,0)+COUNTIF('Live Search'!CT$8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KX9">
        <f>IF($FN$9="",FALSE,SUMPRODUCT(('Final Calculation Sheet'!$AG$4:$AG$40=$FN$9)*($KW$6:$KW$42=1))&gt;0)</f>
        <v/>
      </c>
      <c r="KY9">
        <f>$KY$8+--($KX9)</f>
        <v/>
      </c>
      <c r="KZ9">
        <f>IF(ROW()-3&gt;MAX($KY$4:$KY$40),"",INDEX($FN$4:$FN$40,MATCH(ROW()-3,$KY$4:$KY$40,0)))</f>
        <v/>
      </c>
      <c r="LA9">
        <f>IF(COUNTIF('Live Search'!BM$8:CS$8,0)+COUNTIF('Live Search'!CU$8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LB9">
        <f>IF($FS$9="",FALSE,SUMPRODUCT(('Final Calculation Sheet'!$AH$4:$AH$40=$FS$9)*($LA$6:$LA$42=1))&gt;0)</f>
        <v/>
      </c>
      <c r="LC9">
        <f>$LC$8+--($LB9)</f>
        <v/>
      </c>
      <c r="LD9">
        <f>IF(ROW()-3&gt;MAX($LC$4:$LC$40),"",INDEX($FS$4:$FS$40,MATCH(ROW()-3,$LC$4:$LC$40,0)))</f>
        <v/>
      </c>
      <c r="LE9">
        <f>IF(COUNTIF('Buyer Groups'!DH62:EN62,0)&gt;0,0,1)</f>
        <v/>
      </c>
      <c r="LF9">
        <f>IF($O$9="",FALSE,SUMPRODUCT(('Final Calculation Sheet'!$F$4:$F$40=$O$9)*($LE$6:$LE$42=1))&gt;0)</f>
        <v/>
      </c>
      <c r="LG9">
        <f>$LG$8+--($LF9)</f>
        <v/>
      </c>
      <c r="LH9">
        <f>IF(ROW()-3&gt;MAX($LG$4:$LG$40),"",INDEX($O$4:$O$40,MATCH(ROW()-3,$LG$4:$LG$40,0)))</f>
        <v/>
      </c>
      <c r="LI9">
        <f>IF(COUNTIF('Buyer Groups'!DG62:DG62,0)+COUNTIF('Buyer Groups'!DI62:EN62,0)&gt;0,0,1)</f>
        <v/>
      </c>
      <c r="LJ9">
        <f>IF($T$9="",FALSE,SUMPRODUCT(('Final Calculation Sheet'!$G$4:$G$40=$T$9)*($LI$6:$LI$42=1))&gt;0)</f>
        <v/>
      </c>
      <c r="LK9">
        <f>$LK$8+--($LJ9)</f>
        <v/>
      </c>
      <c r="LL9">
        <f>IF(ROW()-3&gt;MAX($LK$4:$LK$40),"",INDEX($T$4:$T$40,MATCH(ROW()-3,$LK$4:$LK$40,0)))</f>
        <v/>
      </c>
      <c r="LM9">
        <f>IF(COUNTIF('Buyer Groups'!DG62:DH62,0)+COUNTIF('Buyer Groups'!DJ62:EN62,0)&gt;0,0,1)</f>
        <v/>
      </c>
      <c r="LN9">
        <f>IF($Y$9="",FALSE,SUMPRODUCT(('Final Calculation Sheet'!$B$4:$B$40=$Y$9)*($LM$6:$LM$42=1))&gt;0)</f>
        <v/>
      </c>
      <c r="LO9">
        <f>$LO$8+--($LN9)</f>
        <v/>
      </c>
      <c r="LP9">
        <f>IF(ROW()-3&gt;MAX($LO$4:$LO$40),"",INDEX($Y$4:$Y$40,MATCH(ROW()-3,$LO$4:$LO$40,0)))</f>
        <v/>
      </c>
      <c r="LQ9">
        <f>IF(COUNTIF('Buyer Groups'!DG62:DI62,0)+COUNTIF('Buyer Groups'!DK62:EN62,0)&gt;0,0,1)</f>
        <v/>
      </c>
      <c r="LR9">
        <f>IF($AD$9="",FALSE,SUMPRODUCT(('Final Calculation Sheet'!$D$4:$D$40=$AD$9)*($LQ$6:$LQ$42=1))&gt;0)</f>
        <v/>
      </c>
      <c r="LS9">
        <f>$LS$8+--($LR9)</f>
        <v/>
      </c>
      <c r="LT9">
        <f>IF(ROW()-3&gt;MAX($LS$4:$LS$40),"",INDEX($AD$4:$AD$40,MATCH(ROW()-3,$LS$4:$LS$40,0)))</f>
        <v/>
      </c>
      <c r="LU9">
        <f>IF(COUNTIF('Buyer Groups'!DG62:DJ62,0)+COUNTIF('Buyer Groups'!DL62:EN62,0)&gt;0,0,1)</f>
        <v/>
      </c>
      <c r="LV9">
        <f>IF($AI$9="",FALSE,SUMPRODUCT(('Final Calculation Sheet'!$A$4:$A$40=$AI$9)*($LU$6:$LU$42=1))&gt;0)</f>
        <v/>
      </c>
      <c r="LW9">
        <f>$LW$8+--($LV9)</f>
        <v/>
      </c>
      <c r="LX9">
        <f>IF(ROW()-3&gt;MAX($LW$4:$LW$40),"",INDEX($AI$4:$AI$40,MATCH(ROW()-3,$LW$4:$LW$40,0)))</f>
        <v/>
      </c>
      <c r="LY9">
        <f>IF(COUNTIF('Buyer Groups'!DG62:DK62,0)+COUNTIF('Buyer Groups'!DM62:EN62,0)&gt;0,0,1)</f>
        <v/>
      </c>
      <c r="LZ9">
        <f>IF($AN$9="",FALSE,SUMPRODUCT(('Final Calculation Sheet'!$E$4:$E$40=$AN$9)*($LY$6:$LY$42=1))&gt;0)</f>
        <v/>
      </c>
      <c r="MA9">
        <f>$MA$8+--($LZ9)</f>
        <v/>
      </c>
      <c r="MB9">
        <f>IF(ROW()-3&gt;MAX($MA$4:$MA$40),"",INDEX($AN$4:$AN$40,MATCH(ROW()-3,$MA$4:$MA$40,0)))</f>
        <v/>
      </c>
      <c r="MC9">
        <f>IF(COUNTIF('Buyer Groups'!DG62:DL62,0)+COUNTIF('Buyer Groups'!DN62:EN62,0)&gt;0,0,1)</f>
        <v/>
      </c>
      <c r="MD9">
        <f>IF($AS$9="",FALSE,SUMPRODUCT(('Final Calculation Sheet'!$C$4:$C$40=$AS$9)*($MC$6:$MC$42=1))&gt;0)</f>
        <v/>
      </c>
      <c r="ME9">
        <f>$ME$8+--($MD9)</f>
        <v/>
      </c>
      <c r="MF9">
        <f>IF(ROW()-3&gt;MAX($ME$4:$ME$40),"",INDEX($AS$4:$AS$40,MATCH(ROW()-3,$ME$4:$ME$40,0)))</f>
        <v/>
      </c>
      <c r="MG9">
        <f>IF(COUNTIF('Buyer Groups'!DG62:DM62,0)+COUNTIF('Buyer Groups'!DO62:EN62,0)&gt;0,0,1)</f>
        <v/>
      </c>
      <c r="MH9">
        <f>IF($AX$9="",FALSE,SUMPRODUCT(('Final Calculation Sheet'!$H$4:$H$40=$AX$9)*($MG$6:$MG$42=1))&gt;0)</f>
        <v/>
      </c>
      <c r="MI9">
        <f>$MI$8+--($MH9)</f>
        <v/>
      </c>
      <c r="MJ9">
        <f>IF(ROW()-3&gt;MAX($MI$4:$MI$40),"",INDEX($AX$4:$AX$40,MATCH(ROW()-3,$MI$4:$MI$40,0)))</f>
        <v/>
      </c>
      <c r="MK9">
        <f>IF(COUNTIF('Buyer Groups'!DG62:DN62,0)+COUNTIF('Buyer Groups'!DP62:EN62,0)&gt;0,0,1)</f>
        <v/>
      </c>
      <c r="ML9">
        <f>IF($BC$9="",FALSE,SUMPRODUCT(('Final Calculation Sheet'!$I$4:$I$40=$BC$9)*($MK$6:$MK$42=1))&gt;0)</f>
        <v/>
      </c>
      <c r="MM9">
        <f>$MM$8+--($ML9)</f>
        <v/>
      </c>
      <c r="MN9">
        <f>IF(ROW()-3&gt;MAX($MM$4:$MM$40),"",INDEX($BC$4:$BC$40,MATCH(ROW()-3,$MM$4:$MM$40,0)))</f>
        <v/>
      </c>
      <c r="MO9">
        <f>IF(COUNTIF('Buyer Groups'!DG62:DO62,0)+COUNTIF('Buyer Groups'!DQ62:EN62,0)&gt;0,0,1)</f>
        <v/>
      </c>
      <c r="MP9">
        <f>IF($BH$9="",FALSE,SUMPRODUCT(('Final Calculation Sheet'!$J$4:$J$40=$BH$9)*($MO$6:$MO$42=1))&gt;0)</f>
        <v/>
      </c>
      <c r="MQ9">
        <f>$MQ$8+--($MP9)</f>
        <v/>
      </c>
      <c r="MR9">
        <f>IF(ROW()-3&gt;MAX($MQ$4:$MQ$40),"",INDEX($BH$4:$BH$40,MATCH(ROW()-3,$MQ$4:$MQ$40,0)))</f>
        <v/>
      </c>
      <c r="MS9">
        <f>IF(COUNTIF('Buyer Groups'!DG62:DP62,0)+COUNTIF('Buyer Groups'!DR62:EN62,0)&gt;0,0,1)</f>
        <v/>
      </c>
      <c r="MT9">
        <f>IF($BM$9="",FALSE,SUMPRODUCT(('Final Calculation Sheet'!$K$4:$K$40=$BM$9)*($MS$6:$MS$42=1))&gt;0)</f>
        <v/>
      </c>
      <c r="MU9">
        <f>$MU$8+--($MT9)</f>
        <v/>
      </c>
      <c r="MV9">
        <f>IF(ROW()-3&gt;MAX($MU$4:$MU$40),"",INDEX($BM$4:$BM$40,MATCH(ROW()-3,$MU$4:$MU$40,0)))</f>
        <v/>
      </c>
      <c r="MW9">
        <f>IF(COUNTIF('Buyer Groups'!DG62:DQ62,0)+COUNTIF('Buyer Groups'!DS62:EN62,0)&gt;0,0,1)</f>
        <v/>
      </c>
      <c r="MX9">
        <f>IF($BR$9="",FALSE,SUMPRODUCT(('Final Calculation Sheet'!$L$4:$L$40=$BR$9)*($MW$6:$MW$42=1))&gt;0)</f>
        <v/>
      </c>
      <c r="MY9">
        <f>$MY$8+--($MX9)</f>
        <v/>
      </c>
      <c r="MZ9">
        <f>IF(ROW()-3&gt;MAX($MY$4:$MY$40),"",INDEX($BR$4:$BR$40,MATCH(ROW()-3,$MY$4:$MY$40,0)))</f>
        <v/>
      </c>
      <c r="NA9">
        <f>IF(COUNTIF('Buyer Groups'!DG62:DR62,0)+COUNTIF('Buyer Groups'!DT62:EN62,0)&gt;0,0,1)</f>
        <v/>
      </c>
      <c r="NB9">
        <f>IF($BW$9="",FALSE,SUMPRODUCT(('Final Calculation Sheet'!$M$4:$M$40=$BW$9)*($NA$6:$NA$42=1))&gt;0)</f>
        <v/>
      </c>
      <c r="NC9">
        <f>$NC$8+--($NB9)</f>
        <v/>
      </c>
      <c r="ND9">
        <f>IF(ROW()-3&gt;MAX($NC$4:$NC$40),"",INDEX($BW$4:$BW$40,MATCH(ROW()-3,$NC$4:$NC$40,0)))</f>
        <v/>
      </c>
      <c r="NE9">
        <f>IF(COUNTIF('Buyer Groups'!DG62:DS62,0)+COUNTIF('Buyer Groups'!DU62:EN62,0)&gt;0,0,1)</f>
        <v/>
      </c>
      <c r="NF9">
        <f>IF($CB$9="",FALSE,SUMPRODUCT(('Final Calculation Sheet'!$N$4:$N$40=$CB$9)*($NE$6:$NE$42=1))&gt;0)</f>
        <v/>
      </c>
      <c r="NG9">
        <f>$NG$8+--($NF9)</f>
        <v/>
      </c>
      <c r="NH9">
        <f>IF(ROW()-3&gt;MAX($NG$4:$NG$40),"",INDEX($CB$4:$CB$40,MATCH(ROW()-3,$NG$4:$NG$40,0)))</f>
        <v/>
      </c>
      <c r="NI9">
        <f>IF(COUNTIF('Buyer Groups'!DG62:DT62,0)+COUNTIF('Buyer Groups'!DV62:EN62,0)&gt;0,0,1)</f>
        <v/>
      </c>
      <c r="NJ9">
        <f>IF($CG$9="",FALSE,SUMPRODUCT(('Final Calculation Sheet'!$O$4:$O$40=$CG$9)*($NI$6:$NI$42=1))&gt;0)</f>
        <v/>
      </c>
      <c r="NK9">
        <f>$NK$8+--($NJ9)</f>
        <v/>
      </c>
      <c r="NL9">
        <f>IF(ROW()-3&gt;MAX($NK$4:$NK$40),"",INDEX($CG$4:$CG$40,MATCH(ROW()-3,$NK$4:$NK$40,0)))</f>
        <v/>
      </c>
      <c r="NM9">
        <f>IF(COUNTIF('Buyer Groups'!DG62:DU62,0)+COUNTIF('Buyer Groups'!DW62:EN62,0)&gt;0,0,1)</f>
        <v/>
      </c>
      <c r="NN9">
        <f>IF($CL$9="",FALSE,SUMPRODUCT(('Final Calculation Sheet'!$P$4:$P$40=$CL$9)*($NM$6:$NM$42=1))&gt;0)</f>
        <v/>
      </c>
      <c r="NO9">
        <f>$NO$8+--($NN9)</f>
        <v/>
      </c>
      <c r="NP9">
        <f>IF(ROW()-3&gt;MAX($NO$4:$NO$40),"",INDEX($CL$4:$CL$40,MATCH(ROW()-3,$NO$4:$NO$40,0)))</f>
        <v/>
      </c>
      <c r="NQ9">
        <f>IF(COUNTIF('Buyer Groups'!DG62:DV62,0)+COUNTIF('Buyer Groups'!DX62:EN62,0)&gt;0,0,1)</f>
        <v/>
      </c>
      <c r="NR9">
        <f>IF($CQ$9="",FALSE,SUMPRODUCT(('Final Calculation Sheet'!$Q$4:$Q$40=$CQ$9)*($NQ$6:$NQ$42=1))&gt;0)</f>
        <v/>
      </c>
      <c r="NS9">
        <f>$NS$8+--($NR9)</f>
        <v/>
      </c>
      <c r="NT9">
        <f>IF(ROW()-3&gt;MAX($NS$4:$NS$40),"",INDEX($CQ$4:$CQ$40,MATCH(ROW()-3,$NS$4:$NS$40,0)))</f>
        <v/>
      </c>
      <c r="NU9">
        <f>IF(COUNTIF('Buyer Groups'!DG62:DW62,0)+COUNTIF('Buyer Groups'!DY62:EN62,0)&gt;0,0,1)</f>
        <v/>
      </c>
      <c r="NV9">
        <f>IF($CV$9="",FALSE,SUMPRODUCT(('Final Calculation Sheet'!$R$4:$R$40=$CV$9)*($NU$6:$NU$42=1))&gt;0)</f>
        <v/>
      </c>
      <c r="NW9">
        <f>$NW$8+--($NV9)</f>
        <v/>
      </c>
      <c r="NX9">
        <f>IF(ROW()-3&gt;MAX($NW$4:$NW$40),"",INDEX($CV$4:$CV$40,MATCH(ROW()-3,$NW$4:$NW$40,0)))</f>
        <v/>
      </c>
      <c r="NY9">
        <f>IF(COUNTIF('Buyer Groups'!DG62:DX62,0)+COUNTIF('Buyer Groups'!DZ62:EN62,0)&gt;0,0,1)</f>
        <v/>
      </c>
      <c r="NZ9">
        <f>IF($DA$9="",FALSE,SUMPRODUCT(('Final Calculation Sheet'!$S$4:$S$40=$DA$9)*($NY$6:$NY$42=1))&gt;0)</f>
        <v/>
      </c>
      <c r="OA9">
        <f>$OA$8+--($NZ9)</f>
        <v/>
      </c>
      <c r="OB9">
        <f>IF(ROW()-3&gt;MAX($OA$4:$OA$40),"",INDEX($DA$4:$DA$40,MATCH(ROW()-3,$OA$4:$OA$40,0)))</f>
        <v/>
      </c>
      <c r="OC9">
        <f>IF(COUNTIF('Buyer Groups'!DG62:DY62,0)+COUNTIF('Buyer Groups'!EA62:EN62,0)&gt;0,0,1)</f>
        <v/>
      </c>
      <c r="OD9">
        <f>IF($DF$9="",FALSE,SUMPRODUCT(('Final Calculation Sheet'!$T$4:$T$40=$DF$9)*($OC$6:$OC$42=1))&gt;0)</f>
        <v/>
      </c>
      <c r="OE9">
        <f>$OE$8+--($OD9)</f>
        <v/>
      </c>
      <c r="OF9">
        <f>IF(ROW()-3&gt;MAX($OE$4:$OE$40),"",INDEX($DF$4:$DF$40,MATCH(ROW()-3,$OE$4:$OE$40,0)))</f>
        <v/>
      </c>
      <c r="OG9">
        <f>IF(COUNTIF('Buyer Groups'!DG62:DZ62,0)+COUNTIF('Buyer Groups'!EB62:EN62,0)&gt;0,0,1)</f>
        <v/>
      </c>
      <c r="OH9">
        <f>IF($DK$9="",FALSE,SUMPRODUCT(('Final Calculation Sheet'!$U$4:$U$40=$DK$9)*($OG$6:$OG$42=1))&gt;0)</f>
        <v/>
      </c>
      <c r="OI9">
        <f>$OI$8+--($OH9)</f>
        <v/>
      </c>
      <c r="OJ9">
        <f>IF(ROW()-3&gt;MAX($OI$4:$OI$40),"",INDEX($DK$4:$DK$40,MATCH(ROW()-3,$OI$4:$OI$40,0)))</f>
        <v/>
      </c>
      <c r="OK9">
        <f>IF(COUNTIF('Buyer Groups'!DG62:EA62,0)+COUNTIF('Buyer Groups'!EC62:EN62,0)&gt;0,0,1)</f>
        <v/>
      </c>
      <c r="OL9">
        <f>IF($DP$9="",FALSE,SUMPRODUCT(('Final Calculation Sheet'!$V$4:$V$40=$DP$9)*($OK$6:$OK$42=1))&gt;0)</f>
        <v/>
      </c>
      <c r="OM9">
        <f>$OM$8+--($OL9)</f>
        <v/>
      </c>
      <c r="ON9">
        <f>IF(ROW()-3&gt;MAX($OM$4:$OM$40),"",INDEX($DP$4:$DP$40,MATCH(ROW()-3,$OM$4:$OM$40,0)))</f>
        <v/>
      </c>
      <c r="OO9">
        <f>IF(COUNTIF('Buyer Groups'!DG62:EB62,0)+COUNTIF('Buyer Groups'!ED62:EN62,0)&gt;0,0,1)</f>
        <v/>
      </c>
      <c r="OP9">
        <f>IF($DU$9="",FALSE,SUMPRODUCT(('Final Calculation Sheet'!$W$4:$W$40=$DU$9)*($OO$6:$OO$42=1))&gt;0)</f>
        <v/>
      </c>
      <c r="OQ9">
        <f>$OQ$8+--($OP9)</f>
        <v/>
      </c>
      <c r="OR9">
        <f>IF(ROW()-3&gt;MAX($OQ$4:$OQ$40),"",INDEX($DU$4:$DU$40,MATCH(ROW()-3,$OQ$4:$OQ$40,0)))</f>
        <v/>
      </c>
      <c r="OS9">
        <f>IF(COUNTIF('Buyer Groups'!DG62:EC62,0)+COUNTIF('Buyer Groups'!EE62:EN62,0)&gt;0,0,1)</f>
        <v/>
      </c>
      <c r="OT9">
        <f>IF($DZ$9="",FALSE,SUMPRODUCT(('Final Calculation Sheet'!$X$4:$X$40=$DZ$9)*($OS$6:$OS$42=1))&gt;0)</f>
        <v/>
      </c>
      <c r="OU9">
        <f>$OU$8+--($OT9)</f>
        <v/>
      </c>
      <c r="OV9">
        <f>IF(ROW()-3&gt;MAX($OU$4:$OU$40),"",INDEX($DZ$4:$DZ$40,MATCH(ROW()-3,$OU$4:$OU$40,0)))</f>
        <v/>
      </c>
      <c r="OW9">
        <f>IF(COUNTIF('Buyer Groups'!DG62:ED62,0)+COUNTIF('Buyer Groups'!EF62:EN62,0)&gt;0,0,1)</f>
        <v/>
      </c>
      <c r="OX9">
        <f>IF($EE$9="",FALSE,SUMPRODUCT(('Final Calculation Sheet'!$Y$4:$Y$40=$EE$9)*($OW$6:$OW$42=1))&gt;0)</f>
        <v/>
      </c>
      <c r="OY9">
        <f>$OY$8+--($OX9)</f>
        <v/>
      </c>
      <c r="OZ9">
        <f>IF(ROW()-3&gt;MAX($OY$4:$OY$40),"",INDEX($EE$4:$EE$40,MATCH(ROW()-3,$OY$4:$OY$40,0)))</f>
        <v/>
      </c>
      <c r="PA9">
        <f>IF(COUNTIF('Buyer Groups'!DG62:EE62,0)+COUNTIF('Buyer Groups'!EG62:EN62,0)&gt;0,0,1)</f>
        <v/>
      </c>
      <c r="PB9">
        <f>IF($EJ$9="",FALSE,SUMPRODUCT(('Final Calculation Sheet'!$Z$4:$Z$40=$EJ$9)*($PA$6:$PA$42=1))&gt;0)</f>
        <v/>
      </c>
      <c r="PC9">
        <f>$PC$8+--($PB9)</f>
        <v/>
      </c>
      <c r="PD9">
        <f>IF(ROW()-3&gt;MAX($PC$4:$PC$40),"",INDEX($EJ$4:$EJ$40,MATCH(ROW()-3,$PC$4:$PC$40,0)))</f>
        <v/>
      </c>
      <c r="PE9">
        <f>IF(COUNTIF('Buyer Groups'!DG62:EF62,0)+COUNTIF('Buyer Groups'!EH62:EN62,0)&gt;0,0,1)</f>
        <v/>
      </c>
      <c r="PF9">
        <f>IF($EO$9="",FALSE,SUMPRODUCT(('Final Calculation Sheet'!$AA$4:$AA$40=$EO$9)*($PE$6:$PE$42=1))&gt;0)</f>
        <v/>
      </c>
      <c r="PG9">
        <f>$PG$8+--($PF9)</f>
        <v/>
      </c>
      <c r="PH9">
        <f>IF(ROW()-3&gt;MAX($PG$4:$PG$40),"",INDEX($EO$4:$EO$40,MATCH(ROW()-3,$PG$4:$PG$40,0)))</f>
        <v/>
      </c>
      <c r="PI9">
        <f>IF(COUNTIF('Buyer Groups'!DG62:EG62,0)+COUNTIF('Buyer Groups'!EI62:EN62,0)&gt;0,0,1)</f>
        <v/>
      </c>
      <c r="PJ9">
        <f>IF($ET$9="",FALSE,SUMPRODUCT(('Final Calculation Sheet'!$AB$4:$AB$40=$ET$9)*($PI$6:$PI$42=1))&gt;0)</f>
        <v/>
      </c>
      <c r="PK9">
        <f>$PK$8+--($PJ9)</f>
        <v/>
      </c>
      <c r="PL9">
        <f>IF(ROW()-3&gt;MAX($PK$4:$PK$40),"",INDEX($ET$4:$ET$40,MATCH(ROW()-3,$PK$4:$PK$40,0)))</f>
        <v/>
      </c>
      <c r="PM9">
        <f>IF(COUNTIF('Buyer Groups'!DG62:EH62,0)+COUNTIF('Buyer Groups'!EJ62:EN62,0)&gt;0,0,1)</f>
        <v/>
      </c>
      <c r="PN9">
        <f>IF($EY$9="",FALSE,SUMPRODUCT(('Final Calculation Sheet'!$AC$4:$AC$40=$EY$9)*($PM$6:$PM$42=1))&gt;0)</f>
        <v/>
      </c>
      <c r="PO9">
        <f>$PO$8+--($PN9)</f>
        <v/>
      </c>
      <c r="PP9">
        <f>IF(ROW()-3&gt;MAX($PO$4:$PO$40),"",INDEX($EY$4:$EY$40,MATCH(ROW()-3,$PO$4:$PO$40,0)))</f>
        <v/>
      </c>
      <c r="PQ9">
        <f>IF(COUNTIF('Buyer Groups'!DG62:EI62,0)+COUNTIF('Buyer Groups'!EK62:EN62,0)&gt;0,0,1)</f>
        <v/>
      </c>
      <c r="PR9">
        <f>IF($FD$9="",FALSE,SUMPRODUCT(('Final Calculation Sheet'!$AD$4:$AD$40=$FD$9)*($PQ$6:$PQ$42=1))&gt;0)</f>
        <v/>
      </c>
      <c r="PS9">
        <f>$PS$8+--($PR9)</f>
        <v/>
      </c>
      <c r="PT9">
        <f>IF(ROW()-3&gt;MAX($PS$4:$PS$40),"",INDEX($FD$4:$FD$40,MATCH(ROW()-3,$PS$4:$PS$40,0)))</f>
        <v/>
      </c>
      <c r="PU9">
        <f>IF(COUNTIF('Buyer Groups'!DG62:EJ62,0)+COUNTIF('Buyer Groups'!EL62:EN62,0)&gt;0,0,1)</f>
        <v/>
      </c>
      <c r="PV9">
        <f>IF($FX$9="",FALSE,SUMPRODUCT((IF('Final Calculation Sheet'!$AD$4:$AD$40&lt;=5,"SETTLED","OUTSTANDING")=$FX$9)*($PU$6:$PU$42=1))&gt;0)</f>
        <v/>
      </c>
      <c r="PW9">
        <f>$PW$8+--($PV9)</f>
        <v/>
      </c>
      <c r="PX9">
        <f>IF(ROW()-3&gt;MAX($PW$4:$PW$40),"",INDEX($FX$4:$FX$40,MATCH(ROW()-3,$PW$4:$PW$40,0)))</f>
        <v/>
      </c>
      <c r="PY9">
        <f>IF(COUNTIF('Buyer Groups'!DG62:EK62,0)+COUNTIF('Buyer Groups'!EM62:EN62,0)&gt;0,0,1)</f>
        <v/>
      </c>
      <c r="PZ9">
        <f>IF($FI$9="",FALSE,SUMPRODUCT(('Final Calculation Sheet'!$AF$4:$AF$40=$FI$9)*($PY$6:$PY$42=1))&gt;0)</f>
        <v/>
      </c>
      <c r="QA9">
        <f>$QA$8+--($PZ9)</f>
        <v/>
      </c>
      <c r="QB9">
        <f>IF(ROW()-3&gt;MAX($QA$4:$QA$40),"",INDEX($FI$4:$FI$40,MATCH(ROW()-3,$QA$4:$QA$40,0)))</f>
        <v/>
      </c>
      <c r="QC9">
        <f>IF(COUNTIF('Buyer Groups'!DG62:EL62,0)+COUNTIF('Buyer Groups'!EN62:EN62,0)&gt;0,0,1)</f>
        <v/>
      </c>
      <c r="QD9">
        <f>IF($FN$9="",FALSE,SUMPRODUCT(('Final Calculation Sheet'!$AG$4:$AG$40=$FN$9)*($QC$6:$QC$42=1))&gt;0)</f>
        <v/>
      </c>
      <c r="QE9">
        <f>$QE$8+--($QD9)</f>
        <v/>
      </c>
      <c r="QF9">
        <f>IF(ROW()-3&gt;MAX($QE$4:$QE$40),"",INDEX($FN$4:$FN$40,MATCH(ROW()-3,$QE$4:$QE$40,0)))</f>
        <v/>
      </c>
      <c r="QG9">
        <f>IF(COUNTIF('Buyer Groups'!DG62:EM62,0)&gt;0,0,1)</f>
        <v/>
      </c>
      <c r="QH9">
        <f>IF($FS$9="",FALSE,SUMPRODUCT(('Final Calculation Sheet'!$AH$4:$AH$40=$FS$9)*($QG$6:$QG$42=1))&gt;0)</f>
        <v/>
      </c>
      <c r="QI9">
        <f>$QI$8+--($QH9)</f>
        <v/>
      </c>
      <c r="QJ9">
        <f>IF(ROW()-3&gt;MAX($QI$4:$QI$40),"",INDEX($FS$4:$FS$40,MATCH(ROW()-3,$QI$4:$QI$40,0)))</f>
        <v/>
      </c>
      <c r="QK9" t="str">
        <f>IF('Final Calculation Sheet'!$AH$9="","",'Final Calculation Sheet'!$AH$9)</f>
      </c>
      <c r="QL9" t="str">
        <f>IF(QK9="","",COUNTIFS(QK$4:QK$40,"&lt;"&amp;QK9,QK$4:QK$40,"&lt;&gt;"&amp;"")+COUNTIF(QK$4:QK9,QK9))</f>
      </c>
      <c r="QM9" t="str">
        <f>IF(ROW()-3&gt;COUNTIF(QK$4:QK$40,"&lt;&gt;"&amp;""),"",INDEX(QK$4:QK$40,MATCH(ROW()-3,QL$4:QL$40,0)))</f>
      </c>
      <c r="QN9" t="str">
        <f>=QN8+F(AND(QM9&lt;&gt;"",COUNTIF(QM$4:QM9,QM9)=1),1,0)</f>
      </c>
      <c r="QO9" t="str">
        <f>IF(ROW()-3&gt;MAX(QN$4:QN$40),"",INDEX(QM$4:QM$40,MATCH(ROW()-3,QN$4:QN$40,0)))</f>
      </c>
      <c r="QP9" t="str">
        <f>IF(COUNTIF('Final Calculation Sheet'!$AM9:$BS9,0)&gt;0,0,1)</f>
      </c>
      <c r="QQ9" t="str">
        <f>IF($AI$9="",FALSE,SUMPRODUCT(('Final Calculation Sheet'!$A$4:$A$40=$AI$9)*($QP$4:$QP$40=1))&gt;0)</f>
      </c>
      <c r="QR9" t="str">
        <f>=$QR8+--($QQ9)</f>
      </c>
      <c r="QS9" t="str">
        <f>IF(ROW()-3&gt;MAX($QR$4:$QR$40),"",INDEX($AI$4:$AI$40,MATCH(ROW()-3,$QR$4:$QR$40,0)))</f>
      </c>
      <c r="QT9" t="str">
        <f>IF(COUNTIF('Final Calculation Sheet'!$AL9:$AL9,0)+COUNTIF('Final Calculation Sheet'!$AN9:$BS9,0)&gt;0,0,1)</f>
      </c>
      <c r="QU9" t="str">
        <f>IF($Y$9="",FALSE,SUMPRODUCT(('Final Calculation Sheet'!$B$4:$B$40=$Y$9)*($QT$4:$QT$40=1))&gt;0)</f>
      </c>
      <c r="QV9" t="str">
        <f>=$QV8+--($QU9)</f>
      </c>
      <c r="QW9" t="str">
        <f>IF(ROW()-3&gt;MAX($QV$4:$QV$40),"",INDEX($Y$4:$Y$40,MATCH(ROW()-3,$QV$4:$QV$40,0)))</f>
      </c>
      <c r="QX9" t="str">
        <f>IF(COUNTIF('Final Calculation Sheet'!$AL9:$AM9,0)+COUNTIF('Final Calculation Sheet'!$AO9:$BS9,0)&gt;0,0,1)</f>
      </c>
      <c r="QY9" t="str">
        <f>IF($AS$9="",FALSE,SUMPRODUCT(('Final Calculation Sheet'!$C$4:$C$40=$AS$9)*($QX$4:$QX$40=1))&gt;0)</f>
      </c>
      <c r="QZ9" t="str">
        <f>=$QZ8+--($QY9)</f>
      </c>
      <c r="RA9" t="str">
        <f>IF(ROW()-3&gt;MAX($QZ$4:$QZ$40),"",INDEX($AS$4:$AS$40,MATCH(ROW()-3,$QZ$4:$QZ$40,0)))</f>
      </c>
      <c r="RB9" t="str">
        <f>IF(COUNTIF('Final Calculation Sheet'!$AL9:$AN9,0)+COUNTIF('Final Calculation Sheet'!$AP9:$BS9,0)&gt;0,0,1)</f>
      </c>
      <c r="RC9" t="str">
        <f>IF($AD$9="",FALSE,SUMPRODUCT(('Final Calculation Sheet'!$D$4:$D$40=$AD$9)*($RB$4:$RB$40=1))&gt;0)</f>
      </c>
      <c r="RD9" t="str">
        <f>=$RD8+--($RC9)</f>
      </c>
      <c r="RE9" t="str">
        <f>IF(ROW()-3&gt;MAX($RD$4:$RD$40),"",INDEX($AD$4:$AD$40,MATCH(ROW()-3,$RD$4:$RD$40,0)))</f>
      </c>
      <c r="RF9" t="str">
        <f>IF(COUNTIF('Final Calculation Sheet'!$AL9:$AO9,0)+COUNTIF('Final Calculation Sheet'!$AQ9:$BS9,0)&gt;0,0,1)</f>
      </c>
      <c r="RG9" t="str">
        <f>IF($AN$9="",FALSE,SUMPRODUCT(('Final Calculation Sheet'!$E$4:$E$40=$AN$9)*($RF$4:$RF$40=1))&gt;0)</f>
      </c>
      <c r="RH9" t="str">
        <f>=$RH8+--($RG9)</f>
      </c>
      <c r="RI9" t="str">
        <f>IF(ROW()-3&gt;MAX($RH$4:$RH$40),"",INDEX($AN$4:$AN$40,MATCH(ROW()-3,$RH$4:$RH$40,0)))</f>
      </c>
      <c r="RJ9" t="str">
        <f>IF(COUNTIF('Final Calculation Sheet'!$AL9:$AP9,0)+COUNTIF('Final Calculation Sheet'!$AR9:$BS9,0)&gt;0,0,1)</f>
      </c>
      <c r="RK9" t="str">
        <f>IF($O$9="",FALSE,SUMPRODUCT(('Final Calculation Sheet'!$F$4:$F$40=$O$9)*($RJ$4:$RJ$40=1))&gt;0)</f>
      </c>
      <c r="RL9" t="str">
        <f>=$RL8+--($RK9)</f>
      </c>
      <c r="RM9" t="str">
        <f>IF(ROW()-3&gt;MAX($RL$4:$RL$40),"",INDEX($O$4:$O$40,MATCH(ROW()-3,$RL$4:$RL$40,0)))</f>
      </c>
      <c r="RN9" t="str">
        <f>IF(COUNTIF('Final Calculation Sheet'!$AL9:$AQ9,0)+COUNTIF('Final Calculation Sheet'!$AS9:$BS9,0)&gt;0,0,1)</f>
      </c>
      <c r="RO9" t="str">
        <f>IF($T$9="",FALSE,SUMPRODUCT(('Final Calculation Sheet'!$G$4:$G$40=$T$9)*($RN$4:$RN$40=1))&gt;0)</f>
      </c>
      <c r="RP9" t="str">
        <f>=$RP8+--($RO9)</f>
      </c>
      <c r="RQ9" t="str">
        <f>IF(ROW()-3&gt;MAX($RP$4:$RP$40),"",INDEX($T$4:$T$40,MATCH(ROW()-3,$RP$4:$RP$40,0)))</f>
      </c>
      <c r="RR9" t="str">
        <f>IF(COUNTIF('Final Calculation Sheet'!$AL9:$AR9,0)+COUNTIF('Final Calculation Sheet'!$AT9:$BS9,0)&gt;0,0,1)</f>
      </c>
      <c r="RS9" t="str">
        <f>IF($AX$9="",FALSE,SUMPRODUCT(('Final Calculation Sheet'!$H$4:$H$40=$AX$9)*($RR$4:$RR$40=1))&gt;0)</f>
      </c>
      <c r="RT9" t="str">
        <f>=$RT8+--($RS9)</f>
      </c>
      <c r="RU9" t="str">
        <f>IF(ROW()-3&gt;MAX($RT$4:$RT$40),"",INDEX($AX$4:$AX$40,MATCH(ROW()-3,$RT$4:$RT$40,0)))</f>
      </c>
      <c r="RV9" t="str">
        <f>IF(COUNTIF('Final Calculation Sheet'!$AL9:$AS9,0)+COUNTIF('Final Calculation Sheet'!$AU9:$BS9,0)&gt;0,0,1)</f>
      </c>
      <c r="RW9" t="str">
        <f>IF($BC$9="",FALSE,SUMPRODUCT(('Final Calculation Sheet'!$I$4:$I$40=$BC$9)*($RV$4:$RV$40=1))&gt;0)</f>
      </c>
      <c r="RX9" t="str">
        <f>=$RX8+--($RW9)</f>
      </c>
      <c r="RY9" t="str">
        <f>IF(ROW()-3&gt;MAX($RX$4:$RX$40),"",INDEX($BC$4:$BC$40,MATCH(ROW()-3,$RX$4:$RX$40,0)))</f>
      </c>
      <c r="RZ9" t="str">
        <f>IF(COUNTIF('Final Calculation Sheet'!$AL9:$AT9,0)+COUNTIF('Final Calculation Sheet'!$AV9:$BS9,0)&gt;0,0,1)</f>
      </c>
      <c r="SA9" t="str">
        <f>IF($BH$9="",FALSE,SUMPRODUCT(('Final Calculation Sheet'!$J$4:$J$40=$BH$9)*($RZ$4:$RZ$40=1))&gt;0)</f>
      </c>
      <c r="SB9" t="str">
        <f>=$SB8+--($SA9)</f>
      </c>
      <c r="SC9" t="str">
        <f>IF(ROW()-3&gt;MAX($SB$4:$SB$40),"",INDEX($BH$4:$BH$40,MATCH(ROW()-3,$SB$4:$SB$40,0)))</f>
      </c>
      <c r="SD9" t="str">
        <f>IF(COUNTIF('Final Calculation Sheet'!$AL9:$AU9,0)+COUNTIF('Final Calculation Sheet'!$AW9:$BS9,0)&gt;0,0,1)</f>
      </c>
      <c r="SE9" t="str">
        <f>IF($BM$9="",FALSE,SUMPRODUCT(('Final Calculation Sheet'!$K$4:$K$40=$BM$9)*($SD$4:$SD$40=1))&gt;0)</f>
      </c>
      <c r="SF9" t="str">
        <f>=$SF8+--($SE9)</f>
      </c>
      <c r="SG9" t="str">
        <f>IF(ROW()-3&gt;MAX($SF$4:$SF$40),"",INDEX($BM$4:$BM$40,MATCH(ROW()-3,$SF$4:$SF$40,0)))</f>
      </c>
      <c r="SH9" t="str">
        <f>IF(COUNTIF('Final Calculation Sheet'!$AL9:$AV9,0)+COUNTIF('Final Calculation Sheet'!$AX9:$BS9,0)&gt;0,0,1)</f>
      </c>
      <c r="SI9" t="str">
        <f>IF($BR$9="",FALSE,SUMPRODUCT(('Final Calculation Sheet'!$L$4:$L$40=$BR$9)*($SH$4:$SH$40=1))&gt;0)</f>
      </c>
      <c r="SJ9" t="str">
        <f>=$SJ8+--($SI9)</f>
      </c>
      <c r="SK9" t="str">
        <f>IF(ROW()-3&gt;MAX($SJ$4:$SJ$40),"",INDEX($BR$4:$BR$40,MATCH(ROW()-3,$SJ$4:$SJ$40,0)))</f>
      </c>
      <c r="SL9" t="str">
        <f>IF(COUNTIF('Final Calculation Sheet'!$AL9:$AW9,0)+COUNTIF('Final Calculation Sheet'!$AY9:$BS9,0)&gt;0,0,1)</f>
      </c>
      <c r="SM9" t="str">
        <f>IF($BW$9="",FALSE,SUMPRODUCT(('Final Calculation Sheet'!$M$4:$M$40=$BW$9)*($SL$4:$SL$40=1))&gt;0)</f>
      </c>
      <c r="SN9" t="str">
        <f>=$SN8+--($SM9)</f>
      </c>
      <c r="SO9" t="str">
        <f>IF(ROW()-3&gt;MAX($SN$4:$SN$40),"",INDEX($BW$4:$BW$40,MATCH(ROW()-3,$SN$4:$SN$40,0)))</f>
      </c>
      <c r="SP9" t="str">
        <f>IF(COUNTIF('Final Calculation Sheet'!$AL9:$AX9,0)+COUNTIF('Final Calculation Sheet'!$AZ9:$BS9,0)&gt;0,0,1)</f>
      </c>
      <c r="SQ9" t="str">
        <f>IF($CB$9="",FALSE,SUMPRODUCT(('Final Calculation Sheet'!$N$4:$N$40=$CB$9)*($SP$4:$SP$40=1))&gt;0)</f>
      </c>
      <c r="SR9" t="str">
        <f>=$SR8+--($SQ9)</f>
      </c>
      <c r="SS9" t="str">
        <f>IF(ROW()-3&gt;MAX($SR$4:$SR$40),"",INDEX($CB$4:$CB$40,MATCH(ROW()-3,$SR$4:$SR$40,0)))</f>
      </c>
      <c r="ST9" t="str">
        <f>IF(COUNTIF('Final Calculation Sheet'!$AL9:$AY9,0)+COUNTIF('Final Calculation Sheet'!$BA9:$BS9,0)&gt;0,0,1)</f>
      </c>
      <c r="SU9" t="str">
        <f>IF($CG$9="",FALSE,SUMPRODUCT(('Final Calculation Sheet'!$O$4:$O$40=$CG$9)*($ST$4:$ST$40=1))&gt;0)</f>
      </c>
      <c r="SV9" t="str">
        <f>=$SV8+--($SU9)</f>
      </c>
      <c r="SW9" t="str">
        <f>IF(ROW()-3&gt;MAX($SV$4:$SV$40),"",INDEX($CG$4:$CG$40,MATCH(ROW()-3,$SV$4:$SV$40,0)))</f>
      </c>
      <c r="SX9" t="str">
        <f>IF(COUNTIF('Final Calculation Sheet'!$AL9:$AZ9,0)+COUNTIF('Final Calculation Sheet'!$BB9:$BS9,0)&gt;0,0,1)</f>
      </c>
      <c r="SY9" t="str">
        <f>IF($CL$9="",FALSE,SUMPRODUCT(('Final Calculation Sheet'!$P$4:$P$40=$CL$9)*($SX$4:$SX$40=1))&gt;0)</f>
      </c>
      <c r="SZ9" t="str">
        <f>=$SZ8+--($SY9)</f>
      </c>
      <c r="TA9" t="str">
        <f>IF(ROW()-3&gt;MAX($SZ$4:$SZ$40),"",INDEX($CL$4:$CL$40,MATCH(ROW()-3,$SZ$4:$SZ$40,0)))</f>
      </c>
      <c r="TB9" t="str">
        <f>IF(COUNTIF('Final Calculation Sheet'!$AL9:$BA9,0)+COUNTIF('Final Calculation Sheet'!$BC9:$BS9,0)&gt;0,0,1)</f>
      </c>
      <c r="TC9" t="str">
        <f>IF($CQ$9="",FALSE,SUMPRODUCT(('Final Calculation Sheet'!$Q$4:$Q$40=$CQ$9)*($TB$4:$TB$40=1))&gt;0)</f>
      </c>
      <c r="TD9" t="str">
        <f>=$TD8+--($TC9)</f>
      </c>
      <c r="TE9" t="str">
        <f>IF(ROW()-3&gt;MAX($TD$4:$TD$40),"",INDEX($CQ$4:$CQ$40,MATCH(ROW()-3,$TD$4:$TD$40,0)))</f>
      </c>
      <c r="TF9" t="str">
        <f>IF(COUNTIF('Final Calculation Sheet'!$AL9:$BB9,0)+COUNTIF('Final Calculation Sheet'!$BD9:$BS9,0)&gt;0,0,1)</f>
      </c>
      <c r="TG9" t="str">
        <f>IF($CV$9="",FALSE,SUMPRODUCT(('Final Calculation Sheet'!$R$4:$R$40=$CV$9)*($TF$4:$TF$40=1))&gt;0)</f>
      </c>
      <c r="TH9" t="str">
        <f>=$TH8+--($TG9)</f>
      </c>
      <c r="TI9" t="str">
        <f>IF(ROW()-3&gt;MAX($TH$4:$TH$40),"",INDEX($CV$4:$CV$40,MATCH(ROW()-3,$TH$4:$TH$40,0)))</f>
      </c>
      <c r="TJ9" t="str">
        <f>IF(COUNTIF('Final Calculation Sheet'!$AL9:$BC9,0)+COUNTIF('Final Calculation Sheet'!$BE9:$BS9,0)&gt;0,0,1)</f>
      </c>
      <c r="TK9" t="str">
        <f>IF($DA$9="",FALSE,SUMPRODUCT(('Final Calculation Sheet'!$S$4:$S$40=$DA$9)*($TJ$4:$TJ$40=1))&gt;0)</f>
      </c>
      <c r="TL9" t="str">
        <f>=$TL8+--($TK9)</f>
      </c>
      <c r="TM9" t="str">
        <f>IF(ROW()-3&gt;MAX($TL$4:$TL$40),"",INDEX($DA$4:$DA$40,MATCH(ROW()-3,$TL$4:$TL$40,0)))</f>
      </c>
      <c r="TN9" t="str">
        <f>IF(COUNTIF('Final Calculation Sheet'!$AL9:$BD9,0)+COUNTIF('Final Calculation Sheet'!$BF9:$BS9,0)&gt;0,0,1)</f>
      </c>
      <c r="TO9" t="str">
        <f>IF($DF$9="",FALSE,SUMPRODUCT(('Final Calculation Sheet'!$T$4:$T$40=$DF$9)*($TN$4:$TN$40=1))&gt;0)</f>
      </c>
      <c r="TP9" t="str">
        <f>=$TP8+--($TO9)</f>
      </c>
      <c r="TQ9" t="str">
        <f>IF(ROW()-3&gt;MAX($TP$4:$TP$40),"",INDEX($DF$4:$DF$40,MATCH(ROW()-3,$TP$4:$TP$40,0)))</f>
      </c>
      <c r="TR9" t="str">
        <f>IF(COUNTIF('Final Calculation Sheet'!$AL9:$BE9,0)+COUNTIF('Final Calculation Sheet'!$BG9:$BS9,0)&gt;0,0,1)</f>
      </c>
      <c r="TS9" t="str">
        <f>IF($DK$9="",FALSE,SUMPRODUCT(('Final Calculation Sheet'!$U$4:$U$40=$DK$9)*($TR$4:$TR$40=1))&gt;0)</f>
      </c>
      <c r="TT9" t="str">
        <f>=$TT8+--($TS9)</f>
      </c>
      <c r="TU9" t="str">
        <f>IF(ROW()-3&gt;MAX($TT$4:$TT$40),"",INDEX($DK$4:$DK$40,MATCH(ROW()-3,$TT$4:$TT$40,0)))</f>
      </c>
      <c r="TV9" t="str">
        <f>IF(COUNTIF('Final Calculation Sheet'!$AL9:$BF9,0)+COUNTIF('Final Calculation Sheet'!$BH9:$BS9,0)&gt;0,0,1)</f>
      </c>
      <c r="TW9" t="str">
        <f>IF($DP$9="",FALSE,SUMPRODUCT(('Final Calculation Sheet'!$V$4:$V$40=$DP$9)*($TV$4:$TV$40=1))&gt;0)</f>
      </c>
      <c r="TX9" t="str">
        <f>=$TX8+--($TW9)</f>
      </c>
      <c r="TY9" t="str">
        <f>IF(ROW()-3&gt;MAX($TX$4:$TX$40),"",INDEX($DP$4:$DP$40,MATCH(ROW()-3,$TX$4:$TX$40,0)))</f>
      </c>
      <c r="TZ9" t="str">
        <f>IF(COUNTIF('Final Calculation Sheet'!$AL9:$BG9,0)+COUNTIF('Final Calculation Sheet'!$BI9:$BS9,0)&gt;0,0,1)</f>
      </c>
      <c r="UA9" t="str">
        <f>IF($DU$9="",FALSE,SUMPRODUCT(('Final Calculation Sheet'!$W$4:$W$40=$DU$9)*($TZ$4:$TZ$40=1))&gt;0)</f>
      </c>
      <c r="UB9" t="str">
        <f>=$UB8+--($UA9)</f>
      </c>
      <c r="UC9" t="str">
        <f>IF(ROW()-3&gt;MAX($UB$4:$UB$40),"",INDEX($DU$4:$DU$40,MATCH(ROW()-3,$UB$4:$UB$40,0)))</f>
      </c>
      <c r="UD9" t="str">
        <f>IF(COUNTIF('Final Calculation Sheet'!$AL9:$BH9,0)+COUNTIF('Final Calculation Sheet'!$BJ9:$BS9,0)&gt;0,0,1)</f>
      </c>
      <c r="UE9" t="str">
        <f>IF($DZ$9="",FALSE,SUMPRODUCT(('Final Calculation Sheet'!$X$4:$X$40=$DZ$9)*($UD$4:$UD$40=1))&gt;0)</f>
      </c>
      <c r="UF9" t="str">
        <f>=$UF8+--($UE9)</f>
      </c>
      <c r="UG9" t="str">
        <f>IF(ROW()-3&gt;MAX($UF$4:$UF$40),"",INDEX($DZ$4:$DZ$40,MATCH(ROW()-3,$UF$4:$UF$40,0)))</f>
      </c>
      <c r="UH9" t="str">
        <f>IF(COUNTIF('Final Calculation Sheet'!$AL9:$BI9,0)+COUNTIF('Final Calculation Sheet'!$BK9:$BS9,0)&gt;0,0,1)</f>
      </c>
      <c r="UI9" t="str">
        <f>IF($EE$9="",FALSE,SUMPRODUCT(('Final Calculation Sheet'!$Y$4:$Y$40=$EE$9)*($UH$4:$UH$40=1))&gt;0)</f>
      </c>
      <c r="UJ9" t="str">
        <f>=$UJ8+--($UI9)</f>
      </c>
      <c r="UK9" t="str">
        <f>IF(ROW()-3&gt;MAX($UJ$4:$UJ$40),"",INDEX($EE$4:$EE$40,MATCH(ROW()-3,$UJ$4:$UJ$40,0)))</f>
      </c>
      <c r="UL9" t="str">
        <f>IF(COUNTIF('Final Calculation Sheet'!$AL9:$BJ9,0)+COUNTIF('Final Calculation Sheet'!$BL9:$BS9,0)&gt;0,0,1)</f>
      </c>
      <c r="UM9" t="str">
        <f>IF($EJ$9="",FALSE,SUMPRODUCT(('Final Calculation Sheet'!$Z$4:$Z$40=$EJ$9)*($UL$4:$UL$40=1))&gt;0)</f>
      </c>
      <c r="UN9" t="str">
        <f>=$UN8+--($UM9)</f>
      </c>
      <c r="UO9" t="str">
        <f>IF(ROW()-3&gt;MAX($UN$4:$UN$40),"",INDEX($EJ$4:$EJ$40,MATCH(ROW()-3,$UN$4:$UN$40,0)))</f>
      </c>
      <c r="UP9" t="str">
        <f>IF(COUNTIF('Final Calculation Sheet'!$AL9:$BK9,0)+COUNTIF('Final Calculation Sheet'!$BM9:$BS9,0)&gt;0,0,1)</f>
      </c>
      <c r="UQ9" t="str">
        <f>IF($EO$9="",FALSE,SUMPRODUCT(('Final Calculation Sheet'!$AA$4:$AA$40=$EO$9)*($UP$4:$UP$40=1))&gt;0)</f>
      </c>
      <c r="UR9" t="str">
        <f>=$UR8+--($UQ9)</f>
      </c>
      <c r="US9" t="str">
        <f>IF(ROW()-3&gt;MAX($UR$4:$UR$40),"",INDEX($EO$4:$EO$40,MATCH(ROW()-3,$UR$4:$UR$40,0)))</f>
      </c>
      <c r="UT9" t="str">
        <f>IF(COUNTIF('Final Calculation Sheet'!$AL9:$BL9,0)+COUNTIF('Final Calculation Sheet'!$BN9:$BS9,0)&gt;0,0,1)</f>
      </c>
      <c r="UU9" t="str">
        <f>IF($ET$9="",FALSE,SUMPRODUCT(('Final Calculation Sheet'!$AB$4:$AB$40=$ET$9)*($UT$4:$UT$40=1))&gt;0)</f>
      </c>
      <c r="UV9" t="str">
        <f>=$UV8+--($UU9)</f>
      </c>
      <c r="UW9" t="str">
        <f>IF(ROW()-3&gt;MAX($UV$4:$UV$40),"",INDEX($ET$4:$ET$40,MATCH(ROW()-3,$UV$4:$UV$40,0)))</f>
      </c>
      <c r="UX9" t="str">
        <f>IF(COUNTIF('Final Calculation Sheet'!$AL9:$BM9,0)+COUNTIF('Final Calculation Sheet'!$BO9:$BS9,0)&gt;0,0,1)</f>
      </c>
      <c r="UY9" t="str">
        <f>IF($EY$9="",FALSE,SUMPRODUCT(('Final Calculation Sheet'!$AC$4:$AC$40=$EY$9)*($UX$4:$UX$40=1))&gt;0)</f>
      </c>
      <c r="UZ9" t="str">
        <f>=$UZ8+--($UY9)</f>
      </c>
      <c r="VA9" t="str">
        <f>IF(ROW()-3&gt;MAX($UZ$4:$UZ$40),"",INDEX($EY$4:$EY$40,MATCH(ROW()-3,$UZ$4:$UZ$40,0)))</f>
      </c>
      <c r="VB9" t="str">
        <f>IF(COUNTIF('Final Calculation Sheet'!$AL9:$BN9,0)+COUNTIF('Final Calculation Sheet'!$BP9:$BS9,0)&gt;0,0,1)</f>
      </c>
      <c r="VC9" t="str">
        <f>IF($FD$9="",FALSE,SUMPRODUCT(('Final Calculation Sheet'!$AD$4:$AD$40=$FD$9)*($VB$4:$VB$40=1))&gt;0)</f>
      </c>
      <c r="VD9" t="str">
        <f>=$VD8+--($VC9)</f>
      </c>
      <c r="VE9" t="str">
        <f>IF(ROW()-3&gt;MAX($VD$4:$VD$40),"",INDEX($FD$4:$FD$40,MATCH(ROW()-3,$VD$4:$VD$40,0)))</f>
      </c>
      <c r="VF9" t="str">
        <f>IF(COUNTIF('Final Calculation Sheet'!$AL9:$BO9,0)+COUNTIF('Final Calculation Sheet'!$BQ9:$BS9,0)&gt;0,0,1)</f>
      </c>
      <c r="VG9" t="str">
        <f>IF($FI$9="",FALSE,SUMPRODUCT(('Final Calculation Sheet'!$AE$4:$AE$40=$FI$9)*($VF$4:$VF$40=1))&gt;0)</f>
      </c>
      <c r="VH9" t="str">
        <f>=$VH8+--($VG9)</f>
      </c>
      <c r="VI9" t="str">
        <f>IF(ROW()-3&gt;MAX($VH$4:$VH$40),"",INDEX($FI$4:$FI$40,MATCH(ROW()-3,$VH$4:$VH$40,0)))</f>
      </c>
      <c r="VJ9" t="str">
        <f>IF(COUNTIF('Final Calculation Sheet'!$AL9:$BP9,0)+COUNTIF('Final Calculation Sheet'!$BR9:$BS9,0)&gt;0,0,1)</f>
      </c>
      <c r="VK9" t="str">
        <f>IF($FN$9="",FALSE,SUMPRODUCT(('Final Calculation Sheet'!$AF$4:$AF$40=$FN$9)*($VJ$4:$VJ$40=1))&gt;0)</f>
      </c>
      <c r="VL9" t="str">
        <f>=$VL8+--($VK9)</f>
      </c>
      <c r="VM9" t="str">
        <f>IF(ROW()-3&gt;MAX($VL$4:$VL$40),"",INDEX($FN$4:$FN$40,MATCH(ROW()-3,$VL$4:$VL$40,0)))</f>
      </c>
      <c r="VN9" t="str">
        <f>IF(COUNTIF('Final Calculation Sheet'!$AL9:$BQ9,0)+COUNTIF('Final Calculation Sheet'!$BS9:$BS9,0)&gt;0,0,1)</f>
      </c>
      <c r="VO9" t="str">
        <f>IF($FS$9="",FALSE,SUMPRODUCT(('Final Calculation Sheet'!$AG$4:$AG$40=$FS$9)*($VN$4:$VN$40=1))&gt;0)</f>
      </c>
      <c r="VP9" t="str">
        <f>=$VP8+--($VO9)</f>
      </c>
      <c r="VQ9" t="str">
        <f>IF(ROW()-3&gt;MAX($VP$4:$VP$40),"",INDEX($FS$4:$FS$40,MATCH(ROW()-3,$VP$4:$VP$40,0)))</f>
      </c>
      <c r="VR9" t="str">
        <f>IF(COUNTIF('Final Calculation Sheet'!$AL9:$BR9,0)&gt;0,0,1)</f>
      </c>
      <c r="VS9" t="str">
        <f>IF($QO$9="",FALSE,SUMPRODUCT(('Final Calculation Sheet'!$AH$4:$AH$40=$QO$9)*($VR$4:$VR$40=1))&gt;0)</f>
      </c>
      <c r="VT9" t="str">
        <f>=$VT8+--($VS9)</f>
      </c>
      <c r="VU9" t="str">
        <f>IF(ROW()-3&gt;MAX($VT$4:$VT$40),"",INDEX($QO$4:$QO$40,MATCH(ROW()-3,$VT$4:$VT$40,0)))</f>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IF(COUNTIF('Live Search'!BM$9:BM$9,0)+COUNTIF('Live Search'!B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D10">
        <f>IF($O$10="",FALSE,SUMPRODUCT(('Final Calculation Sheet'!$F$4:$F$40=$O$10)*($GC$6:$GC$42=1))&gt;0)</f>
        <v/>
      </c>
      <c r="GE10">
        <f>$GE$9+--($GD10)</f>
        <v/>
      </c>
      <c r="GF10">
        <f>IF(ROW()-3&gt;MAX($GE$4:$GE$40),"",INDEX($O$4:$O$40,MATCH(ROW()-3,$GE$4:$GE$40,0)))</f>
        <v/>
      </c>
      <c r="GG10">
        <f>IF(COUNTIF('Live Search'!BM$9:BN$9,0)+COUNTIF('Live Search'!B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H10">
        <f>IF($T$10="",FALSE,SUMPRODUCT(('Final Calculation Sheet'!$G$4:$G$40=$T$10)*($GG$6:$GG$42=1))&gt;0)</f>
        <v/>
      </c>
      <c r="GI10">
        <f>$GI$9+--($GH10)</f>
        <v/>
      </c>
      <c r="GJ10">
        <f>IF(ROW()-3&gt;MAX($GI$4:$GI$40),"",INDEX($T$4:$T$40,MATCH(ROW()-3,$GI$4:$GI$40,0)))</f>
        <v/>
      </c>
      <c r="GK10">
        <f>IF(COUNTIF('Live Search'!BM$9:BP$9,0)+COUNTIF('Live Search'!B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L10">
        <f>IF($AD$10="",FALSE,SUMPRODUCT(('Final Calculation Sheet'!$D$4:$D$40=$AD$10)*($GK$6:$GK$42=1))&gt;0)</f>
        <v/>
      </c>
      <c r="GM10">
        <f>$GM$9+--($GL10)</f>
        <v/>
      </c>
      <c r="GN10">
        <f>IF(ROW()-3&gt;MAX($GM$4:$GM$40),"",INDEX($AD$4:$AD$40,MATCH(ROW()-3,$GM$4:$GM$40,0)))</f>
        <v/>
      </c>
      <c r="GO10">
        <f>IF(COUNTIF('Live Search'!BM$9:BQ$9,0)+COUNTIF('Live Search'!B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P10">
        <f>IF($AI$10="",FALSE,SUMPRODUCT(('Final Calculation Sheet'!$A$4:$A$40=$AI$10)*($GO$6:$GO$42=1))&gt;0)</f>
        <v/>
      </c>
      <c r="GQ10">
        <f>$GQ$9+--($GP10)</f>
        <v/>
      </c>
      <c r="GR10">
        <f>IF(ROW()-3&gt;MAX($GQ$4:$GQ$40),"",INDEX($AI$4:$AI$40,MATCH(ROW()-3,$GQ$4:$GQ$40,0)))</f>
        <v/>
      </c>
      <c r="GS10">
        <f>IF(COUNTIF('Live Search'!BM$9:BR$9,0)+COUNTIF('Live Search'!B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T10">
        <f>IF($AN$10="",FALSE,SUMPRODUCT(('Final Calculation Sheet'!$E$4:$E$40=$AN$10)*($GS$6:$GS$42=1))&gt;0)</f>
        <v/>
      </c>
      <c r="GU10">
        <f>$GU$9+--($GT10)</f>
        <v/>
      </c>
      <c r="GV10">
        <f>IF(ROW()-3&gt;MAX($GU$4:$GU$40),"",INDEX($AN$4:$AN$40,MATCH(ROW()-3,$GU$4:$GU$40,0)))</f>
        <v/>
      </c>
      <c r="GW10">
        <f>IF(COUNTIF('Live Search'!BM$9:BS$9,0)+COUNTIF('Live Search'!B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GX10">
        <f>IF($AS$10="",FALSE,SUMPRODUCT(('Final Calculation Sheet'!$C$4:$C$40=$AS$10)*($GW$6:$GW$42=1))&gt;0)</f>
        <v/>
      </c>
      <c r="GY10">
        <f>$GY$9+--($GX10)</f>
        <v/>
      </c>
      <c r="GZ10">
        <f>IF(ROW()-3&gt;MAX($GY$4:$GY$40),"",INDEX($AS$4:$AS$40,MATCH(ROW()-3,$GY$4:$GY$40,0)))</f>
        <v/>
      </c>
      <c r="HA10">
        <f>IF(COUNTIF('Live Search'!BM$9:BT$9,0)+COUNTIF('Live Search'!BV$9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B10">
        <f>IF($AX$10="",FALSE,SUMPRODUCT(('Final Calculation Sheet'!$H$4:$H$40=$AX$10)*($HA$6:$HA$42=1))&gt;0)</f>
        <v/>
      </c>
      <c r="HC10">
        <f>$HC$9+--($HB10)</f>
        <v/>
      </c>
      <c r="HD10">
        <f>IF(ROW()-3&gt;MAX($HC$4:$HC$40),"",INDEX($AX$4:$AX$40,MATCH(ROW()-3,$HC$4:$HC$40,0)))</f>
        <v/>
      </c>
      <c r="HE10">
        <f>IF(COUNTIF('Live Search'!BM$9:BU$9,0)+COUNTIF('Live Search'!BW$9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F10">
        <f>IF($BC$10="",FALSE,SUMPRODUCT(('Final Calculation Sheet'!$I$4:$I$40=$BC$10)*($HE$6:$HE$42=1))&gt;0)</f>
        <v/>
      </c>
      <c r="HG10">
        <f>$HG$9+--($HF10)</f>
        <v/>
      </c>
      <c r="HH10">
        <f>IF(ROW()-3&gt;MAX($HG$4:$HG$40),"",INDEX($BC$4:$BC$40,MATCH(ROW()-3,$HG$4:$HG$40,0)))</f>
        <v/>
      </c>
      <c r="HI10">
        <f>IF(COUNTIF('Live Search'!BM$9:BV$9,0)+COUNTIF('Live Search'!BX$9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J10">
        <f>IF($BH$10="",FALSE,SUMPRODUCT(('Final Calculation Sheet'!$J$4:$J$40=$BH$10)*($HI$6:$HI$42=1))&gt;0)</f>
        <v/>
      </c>
      <c r="HK10">
        <f>$HK$9+--($HJ10)</f>
        <v/>
      </c>
      <c r="HL10">
        <f>IF(ROW()-3&gt;MAX($HK$4:$HK$40),"",INDEX($BH$4:$BH$40,MATCH(ROW()-3,$HK$4:$HK$40,0)))</f>
        <v/>
      </c>
      <c r="HM10">
        <f>IF(COUNTIF('Live Search'!BM$9:BW$9,0)+COUNTIF('Live Search'!BY$9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N10">
        <f>IF($BM$10="",FALSE,SUMPRODUCT(('Final Calculation Sheet'!$K$4:$K$40=$BM$10)*($HM$6:$HM$42=1))&gt;0)</f>
        <v/>
      </c>
      <c r="HO10">
        <f>$HO$9+--($HN10)</f>
        <v/>
      </c>
      <c r="HP10">
        <f>IF(ROW()-3&gt;MAX($HO$4:$HO$40),"",INDEX($BM$4:$BM$40,MATCH(ROW()-3,$HO$4:$HO$40,0)))</f>
        <v/>
      </c>
      <c r="HQ10">
        <f>IF(COUNTIF('Live Search'!BM$9:BX$9,0)+COUNTIF('Live Search'!BZ$9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R10">
        <f>IF($BR$10="",FALSE,SUMPRODUCT(('Final Calculation Sheet'!$L$4:$L$40=$BR$10)*($HQ$6:$HQ$42=1))&gt;0)</f>
        <v/>
      </c>
      <c r="HS10">
        <f>$HS$9+--($HR10)</f>
        <v/>
      </c>
      <c r="HT10">
        <f>IF(ROW()-3&gt;MAX($HS$4:$HS$40),"",INDEX($BR$4:$BR$40,MATCH(ROW()-3,$HS$4:$HS$40,0)))</f>
        <v/>
      </c>
      <c r="HU10">
        <f>IF(COUNTIF('Live Search'!BM$9:BY$9,0)+COUNTIF('Live Search'!CA$9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V10">
        <f>IF($BW$10="",FALSE,SUMPRODUCT(('Final Calculation Sheet'!$M$4:$M$40=$BW$10)*($HU$6:$HU$42=1))&gt;0)</f>
        <v/>
      </c>
      <c r="HW10">
        <f>$HW$9+--($HV10)</f>
        <v/>
      </c>
      <c r="HX10">
        <f>IF(ROW()-3&gt;MAX($HW$4:$HW$40),"",INDEX($BW$4:$BW$40,MATCH(ROW()-3,$HW$4:$HW$40,0)))</f>
        <v/>
      </c>
      <c r="HY10">
        <f>IF(COUNTIF('Live Search'!BM$9:BZ$9,0)+COUNTIF('Live Search'!CB$9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HZ10">
        <f>IF($CB$10="",FALSE,SUMPRODUCT(('Final Calculation Sheet'!$N$4:$N$40=$CB$10)*($HY$6:$HY$42=1))&gt;0)</f>
        <v/>
      </c>
      <c r="IA10">
        <f>$IA$9+--($HZ10)</f>
        <v/>
      </c>
      <c r="IB10">
        <f>IF(ROW()-3&gt;MAX($IA$4:$IA$40),"",INDEX($CB$4:$CB$40,MATCH(ROW()-3,$IA$4:$IA$40,0)))</f>
        <v/>
      </c>
      <c r="IC10">
        <f>IF(COUNTIF('Live Search'!BM$9:CA$9,0)+COUNTIF('Live Search'!CC$9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D10">
        <f>IF($CG$10="",FALSE,SUMPRODUCT(('Final Calculation Sheet'!$O$4:$O$40=$CG$10)*($IC$6:$IC$42=1))&gt;0)</f>
        <v/>
      </c>
      <c r="IE10">
        <f>$IE$9+--($ID10)</f>
        <v/>
      </c>
      <c r="IF10">
        <f>IF(ROW()-3&gt;MAX($IE$4:$IE$40),"",INDEX($CG$4:$CG$40,MATCH(ROW()-3,$IE$4:$IE$40,0)))</f>
        <v/>
      </c>
      <c r="IG10">
        <f>IF(COUNTIF('Live Search'!BM$9:CB$9,0)+COUNTIF('Live Search'!CD$9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H10">
        <f>IF($CL$10="",FALSE,SUMPRODUCT(('Final Calculation Sheet'!$P$4:$P$40=$CL$10)*($IG$6:$IG$42=1))&gt;0)</f>
        <v/>
      </c>
      <c r="II10">
        <f>$II$9+--($IH10)</f>
        <v/>
      </c>
      <c r="IJ10">
        <f>IF(ROW()-3&gt;MAX($II$4:$II$40),"",INDEX($CL$4:$CL$40,MATCH(ROW()-3,$II$4:$II$40,0)))</f>
        <v/>
      </c>
      <c r="IK10">
        <f>IF(COUNTIF('Live Search'!BM$9:CC$9,0)+COUNTIF('Live Search'!CE$9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L10">
        <f>IF($CQ$10="",FALSE,SUMPRODUCT(('Final Calculation Sheet'!$Q$4:$Q$40=$CQ$10)*($IK$6:$IK$42=1))&gt;0)</f>
        <v/>
      </c>
      <c r="IM10">
        <f>$IM$9+--($IL10)</f>
        <v/>
      </c>
      <c r="IN10">
        <f>IF(ROW()-3&gt;MAX($IM$4:$IM$40),"",INDEX($CQ$4:$CQ$40,MATCH(ROW()-3,$IM$4:$IM$40,0)))</f>
        <v/>
      </c>
      <c r="IO10">
        <f>IF(COUNTIF('Live Search'!BM$9:CD$9,0)+COUNTIF('Live Search'!CF$9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P10">
        <f>IF($CV$10="",FALSE,SUMPRODUCT(('Final Calculation Sheet'!$R$4:$R$40=$CV$10)*($IO$6:$IO$42=1))&gt;0)</f>
        <v/>
      </c>
      <c r="IQ10">
        <f>$IQ$9+--($IP10)</f>
        <v/>
      </c>
      <c r="IR10">
        <f>IF(ROW()-3&gt;MAX($IQ$4:$IQ$40),"",INDEX($CV$4:$CV$40,MATCH(ROW()-3,$IQ$4:$IQ$40,0)))</f>
        <v/>
      </c>
      <c r="IS10">
        <f>IF(COUNTIF('Live Search'!BM$9:CE$9,0)+COUNTIF('Live Search'!CG$9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T10">
        <f>IF($DA$10="",FALSE,SUMPRODUCT(('Final Calculation Sheet'!$S$4:$S$40=$DA$10)*($IS$6:$IS$42=1))&gt;0)</f>
        <v/>
      </c>
      <c r="IU10">
        <f>$IU$9+--($IT10)</f>
        <v/>
      </c>
      <c r="IV10">
        <f>IF(ROW()-3&gt;MAX($IU$4:$IU$40),"",INDEX($DA$4:$DA$40,MATCH(ROW()-3,$IU$4:$IU$40,0)))</f>
        <v/>
      </c>
      <c r="IW10">
        <f>IF(COUNTIF('Live Search'!BM$9:CF$9,0)+COUNTIF('Live Search'!CH$9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IX10">
        <f>IF($DF$10="",FALSE,SUMPRODUCT(('Final Calculation Sheet'!$T$4:$T$40=$DF$10)*($IW$6:$IW$42=1))&gt;0)</f>
        <v/>
      </c>
      <c r="IY10">
        <f>$IY$9+--($IX10)</f>
        <v/>
      </c>
      <c r="IZ10">
        <f>IF(ROW()-3&gt;MAX($IY$4:$IY$40),"",INDEX($DF$4:$DF$40,MATCH(ROW()-3,$IY$4:$IY$40,0)))</f>
        <v/>
      </c>
      <c r="JA10">
        <f>IF(COUNTIF('Live Search'!BM$9:CG$9,0)+COUNTIF('Live Search'!CI$9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B10">
        <f>IF($DK$10="",FALSE,SUMPRODUCT(('Final Calculation Sheet'!$U$4:$U$40=$DK$10)*($JA$6:$JA$42=1))&gt;0)</f>
        <v/>
      </c>
      <c r="JC10">
        <f>$JC$9+--($JB10)</f>
        <v/>
      </c>
      <c r="JD10">
        <f>IF(ROW()-3&gt;MAX($JC$4:$JC$40),"",INDEX($DK$4:$DK$40,MATCH(ROW()-3,$JC$4:$JC$40,0)))</f>
        <v/>
      </c>
      <c r="JE10">
        <f>IF(COUNTIF('Live Search'!BM$9:CH$9,0)+COUNTIF('Live Search'!CJ$9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F10">
        <f>IF($DP$10="",FALSE,SUMPRODUCT(('Final Calculation Sheet'!$V$4:$V$40=$DP$10)*($JE$6:$JE$42=1))&gt;0)</f>
        <v/>
      </c>
      <c r="JG10">
        <f>$JG$9+--($JF10)</f>
        <v/>
      </c>
      <c r="JH10">
        <f>IF(ROW()-3&gt;MAX($JG$4:$JG$40),"",INDEX($DP$4:$DP$40,MATCH(ROW()-3,$JG$4:$JG$40,0)))</f>
        <v/>
      </c>
      <c r="JI10">
        <f>IF(COUNTIF('Live Search'!BM$9:CI$9,0)+COUNTIF('Live Search'!CK$9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J10">
        <f>IF($DU$10="",FALSE,SUMPRODUCT(('Final Calculation Sheet'!$W$4:$W$40=$DU$10)*($JI$6:$JI$42=1))&gt;0)</f>
        <v/>
      </c>
      <c r="JK10">
        <f>$JK$9+--($JJ10)</f>
        <v/>
      </c>
      <c r="JL10">
        <f>IF(ROW()-3&gt;MAX($JK$4:$JK$40),"",INDEX($DU$4:$DU$40,MATCH(ROW()-3,$JK$4:$JK$40,0)))</f>
        <v/>
      </c>
      <c r="JM10">
        <f>IF(COUNTIF('Live Search'!BM$9:CJ$9,0)+COUNTIF('Live Search'!CL$9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N10">
        <f>IF($DZ$10="",FALSE,SUMPRODUCT(('Final Calculation Sheet'!$X$4:$X$40=$DZ$10)*($JM$6:$JM$42=1))&gt;0)</f>
        <v/>
      </c>
      <c r="JO10">
        <f>$JO$9+--($JN10)</f>
        <v/>
      </c>
      <c r="JP10">
        <f>IF(ROW()-3&gt;MAX($JO$4:$JO$40),"",INDEX($DZ$4:$DZ$40,MATCH(ROW()-3,$JO$4:$JO$40,0)))</f>
        <v/>
      </c>
      <c r="JQ10">
        <f>IF(COUNTIF('Live Search'!BM$9:CK$9,0)+COUNTIF('Live Search'!C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R10">
        <f>IF($EE$10="",FALSE,SUMPRODUCT(('Final Calculation Sheet'!$Y$4:$Y$40=$EE$10)*($JQ$6:$JQ$42=1))&gt;0)</f>
        <v/>
      </c>
      <c r="JS10">
        <f>$JS$9+--($JR10)</f>
        <v/>
      </c>
      <c r="JT10">
        <f>IF(ROW()-3&gt;MAX($JS$4:$JS$40),"",INDEX($EE$4:$EE$40,MATCH(ROW()-3,$JS$4:$JS$40,0)))</f>
        <v/>
      </c>
      <c r="JU10">
        <f>IF(COUNTIF('Live Search'!BM$9:CL$9,0)+COUNTIF('Live Search'!CN$9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V10">
        <f>IF($EJ$10="",FALSE,SUMPRODUCT(('Final Calculation Sheet'!$Z$4:$Z$40=$EJ$10)*($JU$6:$JU$42=1))&gt;0)</f>
        <v/>
      </c>
      <c r="JW10">
        <f>$JW$9+--($JV10)</f>
        <v/>
      </c>
      <c r="JX10">
        <f>IF(ROW()-3&gt;MAX($JW$4:$JW$40),"",INDEX($EJ$4:$EJ$40,MATCH(ROW()-3,$JW$4:$JW$40,0)))</f>
        <v/>
      </c>
      <c r="JY10">
        <f>IF(COUNTIF('Live Search'!BM$9:CM$9,0)+COUNTIF('Live Search'!CO$9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JZ10">
        <f>IF($EO$10="",FALSE,SUMPRODUCT(('Final Calculation Sheet'!$AA$4:$AA$40=$EO$10)*($JY$6:$JY$42=1))&gt;0)</f>
        <v/>
      </c>
      <c r="KA10">
        <f>$KA$9+--($JZ10)</f>
        <v/>
      </c>
      <c r="KB10">
        <f>IF(ROW()-3&gt;MAX($KA$4:$KA$40),"",INDEX($EO$4:$EO$40,MATCH(ROW()-3,$KA$4:$KA$40,0)))</f>
        <v/>
      </c>
      <c r="KC10">
        <f>IF(COUNTIF('Live Search'!BM$9:CN$9,0)+COUNTIF('Live Search'!CP$9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D10">
        <f>IF($ET$10="",FALSE,SUMPRODUCT(('Final Calculation Sheet'!$AB$4:$AB$40=$ET$10)*($KC$6:$KC$42=1))&gt;0)</f>
        <v/>
      </c>
      <c r="KE10">
        <f>$KE$9+--($KD10)</f>
        <v/>
      </c>
      <c r="KF10">
        <f>IF(ROW()-3&gt;MAX($KE$4:$KE$40),"",INDEX($ET$4:$ET$40,MATCH(ROW()-3,$KE$4:$KE$40,0)))</f>
        <v/>
      </c>
      <c r="KG10">
        <f>IF(COUNTIF('Live Search'!BM$9:CO$9,0)+COUNTIF('Live Search'!CQ$9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H10">
        <f>IF($EY$10="",FALSE,SUMPRODUCT(('Final Calculation Sheet'!$AC$4:$AC$40=$EY$10)*($KG$6:$KG$42=1))&gt;0)</f>
        <v/>
      </c>
      <c r="KI10">
        <f>$KI$9+--($KH10)</f>
        <v/>
      </c>
      <c r="KJ10">
        <f>IF(ROW()-3&gt;MAX($KI$4:$KI$40),"",INDEX($EY$4:$EY$40,MATCH(ROW()-3,$KI$4:$KI$40,0)))</f>
        <v/>
      </c>
      <c r="KK10">
        <f>IF(COUNTIF('Live Search'!BM$9:CP$9,0)+COUNTIF('Live Search'!CR$9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L10">
        <f>IF($FD$10="",FALSE,SUMPRODUCT(('Final Calculation Sheet'!$AD$4:$AD$40=$FD$10)*($KK$6:$KK$42=1))&gt;0)</f>
        <v/>
      </c>
      <c r="KM10">
        <f>$KM$9+--($KL10)</f>
        <v/>
      </c>
      <c r="KN10">
        <f>IF(ROW()-3&gt;MAX($KM$4:$KM$40),"",INDEX($FD$4:$FD$40,MATCH(ROW()-3,$KM$4:$KM$40,0)))</f>
        <v/>
      </c>
      <c r="KO10">
        <f>IF(COUNTIF('Live Search'!BM$9:CT$9,0)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P10">
        <f>IF($FX$10="",FALSE,SUMPRODUCT((IF('Final Calculation Sheet'!$AD$4:$AD$40&lt;=5,"SETTLED","OUTSTANDING")=$FX$10)*($KO$6:$KO$42=1))&gt;0)</f>
        <v/>
      </c>
      <c r="KQ10">
        <f>$KQ$9+--($KP10)</f>
        <v/>
      </c>
      <c r="KR10">
        <f>IF(ROW()-3&gt;MAX($KQ$4:$KQ$40),"",INDEX($FX$4:$FX$40,MATCH(ROW()-3,$KQ$4:$KQ$40,0)))</f>
        <v/>
      </c>
      <c r="KS10">
        <f>IF(COUNTIF('Live Search'!BM$9:CQ$9,0)+COUNTIF('Live Search'!CS$9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T10">
        <f>IF($FI$10="",FALSE,SUMPRODUCT(('Final Calculation Sheet'!$AF$4:$AF$40=$FI$10)*($KS$6:$KS$42=1))&gt;0)</f>
        <v/>
      </c>
      <c r="KU10">
        <f>$KU$9+--($KT10)</f>
        <v/>
      </c>
      <c r="KV10">
        <f>IF(ROW()-3&gt;MAX($KU$4:$KU$40),"",INDEX($FI$4:$FI$40,MATCH(ROW()-3,$KU$4:$KU$40,0)))</f>
        <v/>
      </c>
      <c r="KW10">
        <f>IF(COUNTIF('Live Search'!BM$9:CR$9,0)+COUNTIF('Live Search'!CT$9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KX10">
        <f>IF($FN$10="",FALSE,SUMPRODUCT(('Final Calculation Sheet'!$AG$4:$AG$40=$FN$10)*($KW$6:$KW$42=1))&gt;0)</f>
        <v/>
      </c>
      <c r="KY10">
        <f>$KY$9+--($KX10)</f>
        <v/>
      </c>
      <c r="KZ10">
        <f>IF(ROW()-3&gt;MAX($KY$4:$KY$40),"",INDEX($FN$4:$FN$40,MATCH(ROW()-3,$KY$4:$KY$40,0)))</f>
        <v/>
      </c>
      <c r="LA10">
        <f>IF(COUNTIF('Live Search'!BM$9:CS$9,0)+COUNTIF('Live Search'!CU$9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LB10">
        <f>IF($FS$10="",FALSE,SUMPRODUCT(('Final Calculation Sheet'!$AH$4:$AH$40=$FS$10)*($LA$6:$LA$42=1))&gt;0)</f>
        <v/>
      </c>
      <c r="LC10">
        <f>$LC$9+--($LB10)</f>
        <v/>
      </c>
      <c r="LD10">
        <f>IF(ROW()-3&gt;MAX($LC$4:$LC$40),"",INDEX($FS$4:$FS$40,MATCH(ROW()-3,$LC$4:$LC$40,0)))</f>
        <v/>
      </c>
      <c r="LE10">
        <f>IF(COUNTIF('Buyer Groups'!DH63:EN63,0)&gt;0,0,1)</f>
        <v/>
      </c>
      <c r="LF10">
        <f>IF($O$10="",FALSE,SUMPRODUCT(('Final Calculation Sheet'!$F$4:$F$40=$O$10)*($LE$6:$LE$42=1))&gt;0)</f>
        <v/>
      </c>
      <c r="LG10">
        <f>$LG$9+--($LF10)</f>
        <v/>
      </c>
      <c r="LH10">
        <f>IF(ROW()-3&gt;MAX($LG$4:$LG$40),"",INDEX($O$4:$O$40,MATCH(ROW()-3,$LG$4:$LG$40,0)))</f>
        <v/>
      </c>
      <c r="LI10">
        <f>IF(COUNTIF('Buyer Groups'!DG63:DG63,0)+COUNTIF('Buyer Groups'!DI63:EN63,0)&gt;0,0,1)</f>
        <v/>
      </c>
      <c r="LJ10">
        <f>IF($T$10="",FALSE,SUMPRODUCT(('Final Calculation Sheet'!$G$4:$G$40=$T$10)*($LI$6:$LI$42=1))&gt;0)</f>
        <v/>
      </c>
      <c r="LK10">
        <f>$LK$9+--($LJ10)</f>
        <v/>
      </c>
      <c r="LL10">
        <f>IF(ROW()-3&gt;MAX($LK$4:$LK$40),"",INDEX($T$4:$T$40,MATCH(ROW()-3,$LK$4:$LK$40,0)))</f>
        <v/>
      </c>
      <c r="LM10">
        <f>IF(COUNTIF('Buyer Groups'!DG63:DH63,0)+COUNTIF('Buyer Groups'!DJ63:EN63,0)&gt;0,0,1)</f>
        <v/>
      </c>
      <c r="LN10">
        <f>IF($Y$10="",FALSE,SUMPRODUCT(('Final Calculation Sheet'!$B$4:$B$40=$Y$10)*($LM$6:$LM$42=1))&gt;0)</f>
        <v/>
      </c>
      <c r="LO10">
        <f>$LO$9+--($LN10)</f>
        <v/>
      </c>
      <c r="LP10">
        <f>IF(ROW()-3&gt;MAX($LO$4:$LO$40),"",INDEX($Y$4:$Y$40,MATCH(ROW()-3,$LO$4:$LO$40,0)))</f>
        <v/>
      </c>
      <c r="LQ10">
        <f>IF(COUNTIF('Buyer Groups'!DG63:DI63,0)+COUNTIF('Buyer Groups'!DK63:EN63,0)&gt;0,0,1)</f>
        <v/>
      </c>
      <c r="LR10">
        <f>IF($AD$10="",FALSE,SUMPRODUCT(('Final Calculation Sheet'!$D$4:$D$40=$AD$10)*($LQ$6:$LQ$42=1))&gt;0)</f>
        <v/>
      </c>
      <c r="LS10">
        <f>$LS$9+--($LR10)</f>
        <v/>
      </c>
      <c r="LT10">
        <f>IF(ROW()-3&gt;MAX($LS$4:$LS$40),"",INDEX($AD$4:$AD$40,MATCH(ROW()-3,$LS$4:$LS$40,0)))</f>
        <v/>
      </c>
      <c r="LU10">
        <f>IF(COUNTIF('Buyer Groups'!DG63:DJ63,0)+COUNTIF('Buyer Groups'!DL63:EN63,0)&gt;0,0,1)</f>
        <v/>
      </c>
      <c r="LV10">
        <f>IF($AI$10="",FALSE,SUMPRODUCT(('Final Calculation Sheet'!$A$4:$A$40=$AI$10)*($LU$6:$LU$42=1))&gt;0)</f>
        <v/>
      </c>
      <c r="LW10">
        <f>$LW$9+--($LV10)</f>
        <v/>
      </c>
      <c r="LX10">
        <f>IF(ROW()-3&gt;MAX($LW$4:$LW$40),"",INDEX($AI$4:$AI$40,MATCH(ROW()-3,$LW$4:$LW$40,0)))</f>
        <v/>
      </c>
      <c r="LY10">
        <f>IF(COUNTIF('Buyer Groups'!DG63:DK63,0)+COUNTIF('Buyer Groups'!DM63:EN63,0)&gt;0,0,1)</f>
        <v/>
      </c>
      <c r="LZ10">
        <f>IF($AN$10="",FALSE,SUMPRODUCT(('Final Calculation Sheet'!$E$4:$E$40=$AN$10)*($LY$6:$LY$42=1))&gt;0)</f>
        <v/>
      </c>
      <c r="MA10">
        <f>$MA$9+--($LZ10)</f>
        <v/>
      </c>
      <c r="MB10">
        <f>IF(ROW()-3&gt;MAX($MA$4:$MA$40),"",INDEX($AN$4:$AN$40,MATCH(ROW()-3,$MA$4:$MA$40,0)))</f>
        <v/>
      </c>
      <c r="MC10">
        <f>IF(COUNTIF('Buyer Groups'!DG63:DL63,0)+COUNTIF('Buyer Groups'!DN63:EN63,0)&gt;0,0,1)</f>
        <v/>
      </c>
      <c r="MD10">
        <f>IF($AS$10="",FALSE,SUMPRODUCT(('Final Calculation Sheet'!$C$4:$C$40=$AS$10)*($MC$6:$MC$42=1))&gt;0)</f>
        <v/>
      </c>
      <c r="ME10">
        <f>$ME$9+--($MD10)</f>
        <v/>
      </c>
      <c r="MF10">
        <f>IF(ROW()-3&gt;MAX($ME$4:$ME$40),"",INDEX($AS$4:$AS$40,MATCH(ROW()-3,$ME$4:$ME$40,0)))</f>
        <v/>
      </c>
      <c r="MG10">
        <f>IF(COUNTIF('Buyer Groups'!DG63:DM63,0)+COUNTIF('Buyer Groups'!DO63:EN63,0)&gt;0,0,1)</f>
        <v/>
      </c>
      <c r="MH10">
        <f>IF($AX$10="",FALSE,SUMPRODUCT(('Final Calculation Sheet'!$H$4:$H$40=$AX$10)*($MG$6:$MG$42=1))&gt;0)</f>
        <v/>
      </c>
      <c r="MI10">
        <f>$MI$9+--($MH10)</f>
        <v/>
      </c>
      <c r="MJ10">
        <f>IF(ROW()-3&gt;MAX($MI$4:$MI$40),"",INDEX($AX$4:$AX$40,MATCH(ROW()-3,$MI$4:$MI$40,0)))</f>
        <v/>
      </c>
      <c r="MK10">
        <f>IF(COUNTIF('Buyer Groups'!DG63:DN63,0)+COUNTIF('Buyer Groups'!DP63:EN63,0)&gt;0,0,1)</f>
        <v/>
      </c>
      <c r="ML10">
        <f>IF($BC$10="",FALSE,SUMPRODUCT(('Final Calculation Sheet'!$I$4:$I$40=$BC$10)*($MK$6:$MK$42=1))&gt;0)</f>
        <v/>
      </c>
      <c r="MM10">
        <f>$MM$9+--($ML10)</f>
        <v/>
      </c>
      <c r="MN10">
        <f>IF(ROW()-3&gt;MAX($MM$4:$MM$40),"",INDEX($BC$4:$BC$40,MATCH(ROW()-3,$MM$4:$MM$40,0)))</f>
        <v/>
      </c>
      <c r="MO10">
        <f>IF(COUNTIF('Buyer Groups'!DG63:DO63,0)+COUNTIF('Buyer Groups'!DQ63:EN63,0)&gt;0,0,1)</f>
        <v/>
      </c>
      <c r="MP10">
        <f>IF($BH$10="",FALSE,SUMPRODUCT(('Final Calculation Sheet'!$J$4:$J$40=$BH$10)*($MO$6:$MO$42=1))&gt;0)</f>
        <v/>
      </c>
      <c r="MQ10">
        <f>$MQ$9+--($MP10)</f>
        <v/>
      </c>
      <c r="MR10">
        <f>IF(ROW()-3&gt;MAX($MQ$4:$MQ$40),"",INDEX($BH$4:$BH$40,MATCH(ROW()-3,$MQ$4:$MQ$40,0)))</f>
        <v/>
      </c>
      <c r="MS10">
        <f>IF(COUNTIF('Buyer Groups'!DG63:DP63,0)+COUNTIF('Buyer Groups'!DR63:EN63,0)&gt;0,0,1)</f>
        <v/>
      </c>
      <c r="MT10">
        <f>IF($BM$10="",FALSE,SUMPRODUCT(('Final Calculation Sheet'!$K$4:$K$40=$BM$10)*($MS$6:$MS$42=1))&gt;0)</f>
        <v/>
      </c>
      <c r="MU10">
        <f>$MU$9+--($MT10)</f>
        <v/>
      </c>
      <c r="MV10">
        <f>IF(ROW()-3&gt;MAX($MU$4:$MU$40),"",INDEX($BM$4:$BM$40,MATCH(ROW()-3,$MU$4:$MU$40,0)))</f>
        <v/>
      </c>
      <c r="MW10">
        <f>IF(COUNTIF('Buyer Groups'!DG63:DQ63,0)+COUNTIF('Buyer Groups'!DS63:EN63,0)&gt;0,0,1)</f>
        <v/>
      </c>
      <c r="MX10">
        <f>IF($BR$10="",FALSE,SUMPRODUCT(('Final Calculation Sheet'!$L$4:$L$40=$BR$10)*($MW$6:$MW$42=1))&gt;0)</f>
        <v/>
      </c>
      <c r="MY10">
        <f>$MY$9+--($MX10)</f>
        <v/>
      </c>
      <c r="MZ10">
        <f>IF(ROW()-3&gt;MAX($MY$4:$MY$40),"",INDEX($BR$4:$BR$40,MATCH(ROW()-3,$MY$4:$MY$40,0)))</f>
        <v/>
      </c>
      <c r="NA10">
        <f>IF(COUNTIF('Buyer Groups'!DG63:DR63,0)+COUNTIF('Buyer Groups'!DT63:EN63,0)&gt;0,0,1)</f>
        <v/>
      </c>
      <c r="NB10">
        <f>IF($BW$10="",FALSE,SUMPRODUCT(('Final Calculation Sheet'!$M$4:$M$40=$BW$10)*($NA$6:$NA$42=1))&gt;0)</f>
        <v/>
      </c>
      <c r="NC10">
        <f>$NC$9+--($NB10)</f>
        <v/>
      </c>
      <c r="ND10">
        <f>IF(ROW()-3&gt;MAX($NC$4:$NC$40),"",INDEX($BW$4:$BW$40,MATCH(ROW()-3,$NC$4:$NC$40,0)))</f>
        <v/>
      </c>
      <c r="NE10">
        <f>IF(COUNTIF('Buyer Groups'!DG63:DS63,0)+COUNTIF('Buyer Groups'!DU63:EN63,0)&gt;0,0,1)</f>
        <v/>
      </c>
      <c r="NF10">
        <f>IF($CB$10="",FALSE,SUMPRODUCT(('Final Calculation Sheet'!$N$4:$N$40=$CB$10)*($NE$6:$NE$42=1))&gt;0)</f>
        <v/>
      </c>
      <c r="NG10">
        <f>$NG$9+--($NF10)</f>
        <v/>
      </c>
      <c r="NH10">
        <f>IF(ROW()-3&gt;MAX($NG$4:$NG$40),"",INDEX($CB$4:$CB$40,MATCH(ROW()-3,$NG$4:$NG$40,0)))</f>
        <v/>
      </c>
      <c r="NI10">
        <f>IF(COUNTIF('Buyer Groups'!DG63:DT63,0)+COUNTIF('Buyer Groups'!DV63:EN63,0)&gt;0,0,1)</f>
        <v/>
      </c>
      <c r="NJ10">
        <f>IF($CG$10="",FALSE,SUMPRODUCT(('Final Calculation Sheet'!$O$4:$O$40=$CG$10)*($NI$6:$NI$42=1))&gt;0)</f>
        <v/>
      </c>
      <c r="NK10">
        <f>$NK$9+--($NJ10)</f>
        <v/>
      </c>
      <c r="NL10">
        <f>IF(ROW()-3&gt;MAX($NK$4:$NK$40),"",INDEX($CG$4:$CG$40,MATCH(ROW()-3,$NK$4:$NK$40,0)))</f>
        <v/>
      </c>
      <c r="NM10">
        <f>IF(COUNTIF('Buyer Groups'!DG63:DU63,0)+COUNTIF('Buyer Groups'!DW63:EN63,0)&gt;0,0,1)</f>
        <v/>
      </c>
      <c r="NN10">
        <f>IF($CL$10="",FALSE,SUMPRODUCT(('Final Calculation Sheet'!$P$4:$P$40=$CL$10)*($NM$6:$NM$42=1))&gt;0)</f>
        <v/>
      </c>
      <c r="NO10">
        <f>$NO$9+--($NN10)</f>
        <v/>
      </c>
      <c r="NP10">
        <f>IF(ROW()-3&gt;MAX($NO$4:$NO$40),"",INDEX($CL$4:$CL$40,MATCH(ROW()-3,$NO$4:$NO$40,0)))</f>
        <v/>
      </c>
      <c r="NQ10">
        <f>IF(COUNTIF('Buyer Groups'!DG63:DV63,0)+COUNTIF('Buyer Groups'!DX63:EN63,0)&gt;0,0,1)</f>
        <v/>
      </c>
      <c r="NR10">
        <f>IF($CQ$10="",FALSE,SUMPRODUCT(('Final Calculation Sheet'!$Q$4:$Q$40=$CQ$10)*($NQ$6:$NQ$42=1))&gt;0)</f>
        <v/>
      </c>
      <c r="NS10">
        <f>$NS$9+--($NR10)</f>
        <v/>
      </c>
      <c r="NT10">
        <f>IF(ROW()-3&gt;MAX($NS$4:$NS$40),"",INDEX($CQ$4:$CQ$40,MATCH(ROW()-3,$NS$4:$NS$40,0)))</f>
        <v/>
      </c>
      <c r="NU10">
        <f>IF(COUNTIF('Buyer Groups'!DG63:DW63,0)+COUNTIF('Buyer Groups'!DY63:EN63,0)&gt;0,0,1)</f>
        <v/>
      </c>
      <c r="NV10">
        <f>IF($CV$10="",FALSE,SUMPRODUCT(('Final Calculation Sheet'!$R$4:$R$40=$CV$10)*($NU$6:$NU$42=1))&gt;0)</f>
        <v/>
      </c>
      <c r="NW10">
        <f>$NW$9+--($NV10)</f>
        <v/>
      </c>
      <c r="NX10">
        <f>IF(ROW()-3&gt;MAX($NW$4:$NW$40),"",INDEX($CV$4:$CV$40,MATCH(ROW()-3,$NW$4:$NW$40,0)))</f>
        <v/>
      </c>
      <c r="NY10">
        <f>IF(COUNTIF('Buyer Groups'!DG63:DX63,0)+COUNTIF('Buyer Groups'!DZ63:EN63,0)&gt;0,0,1)</f>
        <v/>
      </c>
      <c r="NZ10">
        <f>IF($DA$10="",FALSE,SUMPRODUCT(('Final Calculation Sheet'!$S$4:$S$40=$DA$10)*($NY$6:$NY$42=1))&gt;0)</f>
        <v/>
      </c>
      <c r="OA10">
        <f>$OA$9+--($NZ10)</f>
        <v/>
      </c>
      <c r="OB10">
        <f>IF(ROW()-3&gt;MAX($OA$4:$OA$40),"",INDEX($DA$4:$DA$40,MATCH(ROW()-3,$OA$4:$OA$40,0)))</f>
        <v/>
      </c>
      <c r="OC10">
        <f>IF(COUNTIF('Buyer Groups'!DG63:DY63,0)+COUNTIF('Buyer Groups'!EA63:EN63,0)&gt;0,0,1)</f>
        <v/>
      </c>
      <c r="OD10">
        <f>IF($DF$10="",FALSE,SUMPRODUCT(('Final Calculation Sheet'!$T$4:$T$40=$DF$10)*($OC$6:$OC$42=1))&gt;0)</f>
        <v/>
      </c>
      <c r="OE10">
        <f>$OE$9+--($OD10)</f>
        <v/>
      </c>
      <c r="OF10">
        <f>IF(ROW()-3&gt;MAX($OE$4:$OE$40),"",INDEX($DF$4:$DF$40,MATCH(ROW()-3,$OE$4:$OE$40,0)))</f>
        <v/>
      </c>
      <c r="OG10">
        <f>IF(COUNTIF('Buyer Groups'!DG63:DZ63,0)+COUNTIF('Buyer Groups'!EB63:EN63,0)&gt;0,0,1)</f>
        <v/>
      </c>
      <c r="OH10">
        <f>IF($DK$10="",FALSE,SUMPRODUCT(('Final Calculation Sheet'!$U$4:$U$40=$DK$10)*($OG$6:$OG$42=1))&gt;0)</f>
        <v/>
      </c>
      <c r="OI10">
        <f>$OI$9+--($OH10)</f>
        <v/>
      </c>
      <c r="OJ10">
        <f>IF(ROW()-3&gt;MAX($OI$4:$OI$40),"",INDEX($DK$4:$DK$40,MATCH(ROW()-3,$OI$4:$OI$40,0)))</f>
        <v/>
      </c>
      <c r="OK10">
        <f>IF(COUNTIF('Buyer Groups'!DG63:EA63,0)+COUNTIF('Buyer Groups'!EC63:EN63,0)&gt;0,0,1)</f>
        <v/>
      </c>
      <c r="OL10">
        <f>IF($DP$10="",FALSE,SUMPRODUCT(('Final Calculation Sheet'!$V$4:$V$40=$DP$10)*($OK$6:$OK$42=1))&gt;0)</f>
        <v/>
      </c>
      <c r="OM10">
        <f>$OM$9+--($OL10)</f>
        <v/>
      </c>
      <c r="ON10">
        <f>IF(ROW()-3&gt;MAX($OM$4:$OM$40),"",INDEX($DP$4:$DP$40,MATCH(ROW()-3,$OM$4:$OM$40,0)))</f>
        <v/>
      </c>
      <c r="OO10">
        <f>IF(COUNTIF('Buyer Groups'!DG63:EB63,0)+COUNTIF('Buyer Groups'!ED63:EN63,0)&gt;0,0,1)</f>
        <v/>
      </c>
      <c r="OP10">
        <f>IF($DU$10="",FALSE,SUMPRODUCT(('Final Calculation Sheet'!$W$4:$W$40=$DU$10)*($OO$6:$OO$42=1))&gt;0)</f>
        <v/>
      </c>
      <c r="OQ10">
        <f>$OQ$9+--($OP10)</f>
        <v/>
      </c>
      <c r="OR10">
        <f>IF(ROW()-3&gt;MAX($OQ$4:$OQ$40),"",INDEX($DU$4:$DU$40,MATCH(ROW()-3,$OQ$4:$OQ$40,0)))</f>
        <v/>
      </c>
      <c r="OS10">
        <f>IF(COUNTIF('Buyer Groups'!DG63:EC63,0)+COUNTIF('Buyer Groups'!EE63:EN63,0)&gt;0,0,1)</f>
        <v/>
      </c>
      <c r="OT10">
        <f>IF($DZ$10="",FALSE,SUMPRODUCT(('Final Calculation Sheet'!$X$4:$X$40=$DZ$10)*($OS$6:$OS$42=1))&gt;0)</f>
        <v/>
      </c>
      <c r="OU10">
        <f>$OU$9+--($OT10)</f>
        <v/>
      </c>
      <c r="OV10">
        <f>IF(ROW()-3&gt;MAX($OU$4:$OU$40),"",INDEX($DZ$4:$DZ$40,MATCH(ROW()-3,$OU$4:$OU$40,0)))</f>
        <v/>
      </c>
      <c r="OW10">
        <f>IF(COUNTIF('Buyer Groups'!DG63:ED63,0)+COUNTIF('Buyer Groups'!EF63:EN63,0)&gt;0,0,1)</f>
        <v/>
      </c>
      <c r="OX10">
        <f>IF($EE$10="",FALSE,SUMPRODUCT(('Final Calculation Sheet'!$Y$4:$Y$40=$EE$10)*($OW$6:$OW$42=1))&gt;0)</f>
        <v/>
      </c>
      <c r="OY10">
        <f>$OY$9+--($OX10)</f>
        <v/>
      </c>
      <c r="OZ10">
        <f>IF(ROW()-3&gt;MAX($OY$4:$OY$40),"",INDEX($EE$4:$EE$40,MATCH(ROW()-3,$OY$4:$OY$40,0)))</f>
        <v/>
      </c>
      <c r="PA10">
        <f>IF(COUNTIF('Buyer Groups'!DG63:EE63,0)+COUNTIF('Buyer Groups'!EG63:EN63,0)&gt;0,0,1)</f>
        <v/>
      </c>
      <c r="PB10">
        <f>IF($EJ$10="",FALSE,SUMPRODUCT(('Final Calculation Sheet'!$Z$4:$Z$40=$EJ$10)*($PA$6:$PA$42=1))&gt;0)</f>
        <v/>
      </c>
      <c r="PC10">
        <f>$PC$9+--($PB10)</f>
        <v/>
      </c>
      <c r="PD10">
        <f>IF(ROW()-3&gt;MAX($PC$4:$PC$40),"",INDEX($EJ$4:$EJ$40,MATCH(ROW()-3,$PC$4:$PC$40,0)))</f>
        <v/>
      </c>
      <c r="PE10">
        <f>IF(COUNTIF('Buyer Groups'!DG63:EF63,0)+COUNTIF('Buyer Groups'!EH63:EN63,0)&gt;0,0,1)</f>
        <v/>
      </c>
      <c r="PF10">
        <f>IF($EO$10="",FALSE,SUMPRODUCT(('Final Calculation Sheet'!$AA$4:$AA$40=$EO$10)*($PE$6:$PE$42=1))&gt;0)</f>
        <v/>
      </c>
      <c r="PG10">
        <f>$PG$9+--($PF10)</f>
        <v/>
      </c>
      <c r="PH10">
        <f>IF(ROW()-3&gt;MAX($PG$4:$PG$40),"",INDEX($EO$4:$EO$40,MATCH(ROW()-3,$PG$4:$PG$40,0)))</f>
        <v/>
      </c>
      <c r="PI10">
        <f>IF(COUNTIF('Buyer Groups'!DG63:EG63,0)+COUNTIF('Buyer Groups'!EI63:EN63,0)&gt;0,0,1)</f>
        <v/>
      </c>
      <c r="PJ10">
        <f>IF($ET$10="",FALSE,SUMPRODUCT(('Final Calculation Sheet'!$AB$4:$AB$40=$ET$10)*($PI$6:$PI$42=1))&gt;0)</f>
        <v/>
      </c>
      <c r="PK10">
        <f>$PK$9+--($PJ10)</f>
        <v/>
      </c>
      <c r="PL10">
        <f>IF(ROW()-3&gt;MAX($PK$4:$PK$40),"",INDEX($ET$4:$ET$40,MATCH(ROW()-3,$PK$4:$PK$40,0)))</f>
        <v/>
      </c>
      <c r="PM10">
        <f>IF(COUNTIF('Buyer Groups'!DG63:EH63,0)+COUNTIF('Buyer Groups'!EJ63:EN63,0)&gt;0,0,1)</f>
        <v/>
      </c>
      <c r="PN10">
        <f>IF($EY$10="",FALSE,SUMPRODUCT(('Final Calculation Sheet'!$AC$4:$AC$40=$EY$10)*($PM$6:$PM$42=1))&gt;0)</f>
        <v/>
      </c>
      <c r="PO10">
        <f>$PO$9+--($PN10)</f>
        <v/>
      </c>
      <c r="PP10">
        <f>IF(ROW()-3&gt;MAX($PO$4:$PO$40),"",INDEX($EY$4:$EY$40,MATCH(ROW()-3,$PO$4:$PO$40,0)))</f>
        <v/>
      </c>
      <c r="PQ10">
        <f>IF(COUNTIF('Buyer Groups'!DG63:EI63,0)+COUNTIF('Buyer Groups'!EK63:EN63,0)&gt;0,0,1)</f>
        <v/>
      </c>
      <c r="PR10">
        <f>IF($FD$10="",FALSE,SUMPRODUCT(('Final Calculation Sheet'!$AD$4:$AD$40=$FD$10)*($PQ$6:$PQ$42=1))&gt;0)</f>
        <v/>
      </c>
      <c r="PS10">
        <f>$PS$9+--($PR10)</f>
        <v/>
      </c>
      <c r="PT10">
        <f>IF(ROW()-3&gt;MAX($PS$4:$PS$40),"",INDEX($FD$4:$FD$40,MATCH(ROW()-3,$PS$4:$PS$40,0)))</f>
        <v/>
      </c>
      <c r="PU10">
        <f>IF(COUNTIF('Buyer Groups'!DG63:EJ63,0)+COUNTIF('Buyer Groups'!EL63:EN63,0)&gt;0,0,1)</f>
        <v/>
      </c>
      <c r="PV10">
        <f>IF($FX$10="",FALSE,SUMPRODUCT((IF('Final Calculation Sheet'!$AD$4:$AD$40&lt;=5,"SETTLED","OUTSTANDING")=$FX$10)*($PU$6:$PU$42=1))&gt;0)</f>
        <v/>
      </c>
      <c r="PW10">
        <f>$PW$9+--($PV10)</f>
        <v/>
      </c>
      <c r="PX10">
        <f>IF(ROW()-3&gt;MAX($PW$4:$PW$40),"",INDEX($FX$4:$FX$40,MATCH(ROW()-3,$PW$4:$PW$40,0)))</f>
        <v/>
      </c>
      <c r="PY10">
        <f>IF(COUNTIF('Buyer Groups'!DG63:EK63,0)+COUNTIF('Buyer Groups'!EM63:EN63,0)&gt;0,0,1)</f>
        <v/>
      </c>
      <c r="PZ10">
        <f>IF($FI$10="",FALSE,SUMPRODUCT(('Final Calculation Sheet'!$AF$4:$AF$40=$FI$10)*($PY$6:$PY$42=1))&gt;0)</f>
        <v/>
      </c>
      <c r="QA10">
        <f>$QA$9+--($PZ10)</f>
        <v/>
      </c>
      <c r="QB10">
        <f>IF(ROW()-3&gt;MAX($QA$4:$QA$40),"",INDEX($FI$4:$FI$40,MATCH(ROW()-3,$QA$4:$QA$40,0)))</f>
        <v/>
      </c>
      <c r="QC10">
        <f>IF(COUNTIF('Buyer Groups'!DG63:EL63,0)+COUNTIF('Buyer Groups'!EN63:EN63,0)&gt;0,0,1)</f>
        <v/>
      </c>
      <c r="QD10">
        <f>IF($FN$10="",FALSE,SUMPRODUCT(('Final Calculation Sheet'!$AG$4:$AG$40=$FN$10)*($QC$6:$QC$42=1))&gt;0)</f>
        <v/>
      </c>
      <c r="QE10">
        <f>$QE$9+--($QD10)</f>
        <v/>
      </c>
      <c r="QF10">
        <f>IF(ROW()-3&gt;MAX($QE$4:$QE$40),"",INDEX($FN$4:$FN$40,MATCH(ROW()-3,$QE$4:$QE$40,0)))</f>
        <v/>
      </c>
      <c r="QG10">
        <f>IF(COUNTIF('Buyer Groups'!DG63:EM63,0)&gt;0,0,1)</f>
        <v/>
      </c>
      <c r="QH10">
        <f>IF($FS$10="",FALSE,SUMPRODUCT(('Final Calculation Sheet'!$AH$4:$AH$40=$FS$10)*($QG$6:$QG$42=1))&gt;0)</f>
        <v/>
      </c>
      <c r="QI10">
        <f>$QI$9+--($QH10)</f>
        <v/>
      </c>
      <c r="QJ10">
        <f>IF(ROW()-3&gt;MAX($QI$4:$QI$40),"",INDEX($FS$4:$FS$40,MATCH(ROW()-3,$QI$4:$QI$40,0)))</f>
        <v/>
      </c>
      <c r="QK10" t="str">
        <f>IF('Final Calculation Sheet'!$AH$10="","",'Final Calculation Sheet'!$AH$10)</f>
      </c>
      <c r="QL10" t="str">
        <f>IF(QK10="","",COUNTIFS(QK$4:QK$40,"&lt;"&amp;QK10,QK$4:QK$40,"&lt;&gt;"&amp;"")+COUNTIF(QK$4:QK10,QK10))</f>
      </c>
      <c r="QM10" t="str">
        <f>IF(ROW()-3&gt;COUNTIF(QK$4:QK$40,"&lt;&gt;"&amp;""),"",INDEX(QK$4:QK$40,MATCH(ROW()-3,QL$4:QL$40,0)))</f>
      </c>
      <c r="QN10" t="str">
        <f>=QN9+F(AND(QM10&lt;&gt;"",COUNTIF(QM$4:QM10,QM10)=1),1,0)</f>
      </c>
      <c r="QO10" t="str">
        <f>IF(ROW()-3&gt;MAX(QN$4:QN$40),"",INDEX(QM$4:QM$40,MATCH(ROW()-3,QN$4:QN$40,0)))</f>
      </c>
      <c r="QP10" t="str">
        <f>IF(COUNTIF('Final Calculation Sheet'!$AM10:$BS10,0)&gt;0,0,1)</f>
      </c>
      <c r="QQ10" t="str">
        <f>IF($AI$10="",FALSE,SUMPRODUCT(('Final Calculation Sheet'!$A$4:$A$40=$AI$10)*($QP$4:$QP$40=1))&gt;0)</f>
      </c>
      <c r="QR10" t="str">
        <f>=$QR9+--($QQ10)</f>
      </c>
      <c r="QS10" t="str">
        <f>IF(ROW()-3&gt;MAX($QR$4:$QR$40),"",INDEX($AI$4:$AI$40,MATCH(ROW()-3,$QR$4:$QR$40,0)))</f>
      </c>
      <c r="QT10" t="str">
        <f>IF(COUNTIF('Final Calculation Sheet'!$AL10:$AL10,0)+COUNTIF('Final Calculation Sheet'!$AN10:$BS10,0)&gt;0,0,1)</f>
      </c>
      <c r="QU10" t="str">
        <f>IF($Y$10="",FALSE,SUMPRODUCT(('Final Calculation Sheet'!$B$4:$B$40=$Y$10)*($QT$4:$QT$40=1))&gt;0)</f>
      </c>
      <c r="QV10" t="str">
        <f>=$QV9+--($QU10)</f>
      </c>
      <c r="QW10" t="str">
        <f>IF(ROW()-3&gt;MAX($QV$4:$QV$40),"",INDEX($Y$4:$Y$40,MATCH(ROW()-3,$QV$4:$QV$40,0)))</f>
      </c>
      <c r="QX10" t="str">
        <f>IF(COUNTIF('Final Calculation Sheet'!$AL10:$AM10,0)+COUNTIF('Final Calculation Sheet'!$AO10:$BS10,0)&gt;0,0,1)</f>
      </c>
      <c r="QY10" t="str">
        <f>IF($AS$10="",FALSE,SUMPRODUCT(('Final Calculation Sheet'!$C$4:$C$40=$AS$10)*($QX$4:$QX$40=1))&gt;0)</f>
      </c>
      <c r="QZ10" t="str">
        <f>=$QZ9+--($QY10)</f>
      </c>
      <c r="RA10" t="str">
        <f>IF(ROW()-3&gt;MAX($QZ$4:$QZ$40),"",INDEX($AS$4:$AS$40,MATCH(ROW()-3,$QZ$4:$QZ$40,0)))</f>
      </c>
      <c r="RB10" t="str">
        <f>IF(COUNTIF('Final Calculation Sheet'!$AL10:$AN10,0)+COUNTIF('Final Calculation Sheet'!$AP10:$BS10,0)&gt;0,0,1)</f>
      </c>
      <c r="RC10" t="str">
        <f>IF($AD$10="",FALSE,SUMPRODUCT(('Final Calculation Sheet'!$D$4:$D$40=$AD$10)*($RB$4:$RB$40=1))&gt;0)</f>
      </c>
      <c r="RD10" t="str">
        <f>=$RD9+--($RC10)</f>
      </c>
      <c r="RE10" t="str">
        <f>IF(ROW()-3&gt;MAX($RD$4:$RD$40),"",INDEX($AD$4:$AD$40,MATCH(ROW()-3,$RD$4:$RD$40,0)))</f>
      </c>
      <c r="RF10" t="str">
        <f>IF(COUNTIF('Final Calculation Sheet'!$AL10:$AO10,0)+COUNTIF('Final Calculation Sheet'!$AQ10:$BS10,0)&gt;0,0,1)</f>
      </c>
      <c r="RG10" t="str">
        <f>IF($AN$10="",FALSE,SUMPRODUCT(('Final Calculation Sheet'!$E$4:$E$40=$AN$10)*($RF$4:$RF$40=1))&gt;0)</f>
      </c>
      <c r="RH10" t="str">
        <f>=$RH9+--($RG10)</f>
      </c>
      <c r="RI10" t="str">
        <f>IF(ROW()-3&gt;MAX($RH$4:$RH$40),"",INDEX($AN$4:$AN$40,MATCH(ROW()-3,$RH$4:$RH$40,0)))</f>
      </c>
      <c r="RJ10" t="str">
        <f>IF(COUNTIF('Final Calculation Sheet'!$AL10:$AP10,0)+COUNTIF('Final Calculation Sheet'!$AR10:$BS10,0)&gt;0,0,1)</f>
      </c>
      <c r="RK10" t="str">
        <f>IF($O$10="",FALSE,SUMPRODUCT(('Final Calculation Sheet'!$F$4:$F$40=$O$10)*($RJ$4:$RJ$40=1))&gt;0)</f>
      </c>
      <c r="RL10" t="str">
        <f>=$RL9+--($RK10)</f>
      </c>
      <c r="RM10" t="str">
        <f>IF(ROW()-3&gt;MAX($RL$4:$RL$40),"",INDEX($O$4:$O$40,MATCH(ROW()-3,$RL$4:$RL$40,0)))</f>
      </c>
      <c r="RN10" t="str">
        <f>IF(COUNTIF('Final Calculation Sheet'!$AL10:$AQ10,0)+COUNTIF('Final Calculation Sheet'!$AS10:$BS10,0)&gt;0,0,1)</f>
      </c>
      <c r="RO10" t="str">
        <f>IF($T$10="",FALSE,SUMPRODUCT(('Final Calculation Sheet'!$G$4:$G$40=$T$10)*($RN$4:$RN$40=1))&gt;0)</f>
      </c>
      <c r="RP10" t="str">
        <f>=$RP9+--($RO10)</f>
      </c>
      <c r="RQ10" t="str">
        <f>IF(ROW()-3&gt;MAX($RP$4:$RP$40),"",INDEX($T$4:$T$40,MATCH(ROW()-3,$RP$4:$RP$40,0)))</f>
      </c>
      <c r="RR10" t="str">
        <f>IF(COUNTIF('Final Calculation Sheet'!$AL10:$AR10,0)+COUNTIF('Final Calculation Sheet'!$AT10:$BS10,0)&gt;0,0,1)</f>
      </c>
      <c r="RS10" t="str">
        <f>IF($AX$10="",FALSE,SUMPRODUCT(('Final Calculation Sheet'!$H$4:$H$40=$AX$10)*($RR$4:$RR$40=1))&gt;0)</f>
      </c>
      <c r="RT10" t="str">
        <f>=$RT9+--($RS10)</f>
      </c>
      <c r="RU10" t="str">
        <f>IF(ROW()-3&gt;MAX($RT$4:$RT$40),"",INDEX($AX$4:$AX$40,MATCH(ROW()-3,$RT$4:$RT$40,0)))</f>
      </c>
      <c r="RV10" t="str">
        <f>IF(COUNTIF('Final Calculation Sheet'!$AL10:$AS10,0)+COUNTIF('Final Calculation Sheet'!$AU10:$BS10,0)&gt;0,0,1)</f>
      </c>
      <c r="RW10" t="str">
        <f>IF($BC$10="",FALSE,SUMPRODUCT(('Final Calculation Sheet'!$I$4:$I$40=$BC$10)*($RV$4:$RV$40=1))&gt;0)</f>
      </c>
      <c r="RX10" t="str">
        <f>=$RX9+--($RW10)</f>
      </c>
      <c r="RY10" t="str">
        <f>IF(ROW()-3&gt;MAX($RX$4:$RX$40),"",INDEX($BC$4:$BC$40,MATCH(ROW()-3,$RX$4:$RX$40,0)))</f>
      </c>
      <c r="RZ10" t="str">
        <f>IF(COUNTIF('Final Calculation Sheet'!$AL10:$AT10,0)+COUNTIF('Final Calculation Sheet'!$AV10:$BS10,0)&gt;0,0,1)</f>
      </c>
      <c r="SA10" t="str">
        <f>IF($BH$10="",FALSE,SUMPRODUCT(('Final Calculation Sheet'!$J$4:$J$40=$BH$10)*($RZ$4:$RZ$40=1))&gt;0)</f>
      </c>
      <c r="SB10" t="str">
        <f>=$SB9+--($SA10)</f>
      </c>
      <c r="SC10" t="str">
        <f>IF(ROW()-3&gt;MAX($SB$4:$SB$40),"",INDEX($BH$4:$BH$40,MATCH(ROW()-3,$SB$4:$SB$40,0)))</f>
      </c>
      <c r="SD10" t="str">
        <f>IF(COUNTIF('Final Calculation Sheet'!$AL10:$AU10,0)+COUNTIF('Final Calculation Sheet'!$AW10:$BS10,0)&gt;0,0,1)</f>
      </c>
      <c r="SE10" t="str">
        <f>IF($BM$10="",FALSE,SUMPRODUCT(('Final Calculation Sheet'!$K$4:$K$40=$BM$10)*($SD$4:$SD$40=1))&gt;0)</f>
      </c>
      <c r="SF10" t="str">
        <f>=$SF9+--($SE10)</f>
      </c>
      <c r="SG10" t="str">
        <f>IF(ROW()-3&gt;MAX($SF$4:$SF$40),"",INDEX($BM$4:$BM$40,MATCH(ROW()-3,$SF$4:$SF$40,0)))</f>
      </c>
      <c r="SH10" t="str">
        <f>IF(COUNTIF('Final Calculation Sheet'!$AL10:$AV10,0)+COUNTIF('Final Calculation Sheet'!$AX10:$BS10,0)&gt;0,0,1)</f>
      </c>
      <c r="SI10" t="str">
        <f>IF($BR$10="",FALSE,SUMPRODUCT(('Final Calculation Sheet'!$L$4:$L$40=$BR$10)*($SH$4:$SH$40=1))&gt;0)</f>
      </c>
      <c r="SJ10" t="str">
        <f>=$SJ9+--($SI10)</f>
      </c>
      <c r="SK10" t="str">
        <f>IF(ROW()-3&gt;MAX($SJ$4:$SJ$40),"",INDEX($BR$4:$BR$40,MATCH(ROW()-3,$SJ$4:$SJ$40,0)))</f>
      </c>
      <c r="SL10" t="str">
        <f>IF(COUNTIF('Final Calculation Sheet'!$AL10:$AW10,0)+COUNTIF('Final Calculation Sheet'!$AY10:$BS10,0)&gt;0,0,1)</f>
      </c>
      <c r="SM10" t="str">
        <f>IF($BW$10="",FALSE,SUMPRODUCT(('Final Calculation Sheet'!$M$4:$M$40=$BW$10)*($SL$4:$SL$40=1))&gt;0)</f>
      </c>
      <c r="SN10" t="str">
        <f>=$SN9+--($SM10)</f>
      </c>
      <c r="SO10" t="str">
        <f>IF(ROW()-3&gt;MAX($SN$4:$SN$40),"",INDEX($BW$4:$BW$40,MATCH(ROW()-3,$SN$4:$SN$40,0)))</f>
      </c>
      <c r="SP10" t="str">
        <f>IF(COUNTIF('Final Calculation Sheet'!$AL10:$AX10,0)+COUNTIF('Final Calculation Sheet'!$AZ10:$BS10,0)&gt;0,0,1)</f>
      </c>
      <c r="SQ10" t="str">
        <f>IF($CB$10="",FALSE,SUMPRODUCT(('Final Calculation Sheet'!$N$4:$N$40=$CB$10)*($SP$4:$SP$40=1))&gt;0)</f>
      </c>
      <c r="SR10" t="str">
        <f>=$SR9+--($SQ10)</f>
      </c>
      <c r="SS10" t="str">
        <f>IF(ROW()-3&gt;MAX($SR$4:$SR$40),"",INDEX($CB$4:$CB$40,MATCH(ROW()-3,$SR$4:$SR$40,0)))</f>
      </c>
      <c r="ST10" t="str">
        <f>IF(COUNTIF('Final Calculation Sheet'!$AL10:$AY10,0)+COUNTIF('Final Calculation Sheet'!$BA10:$BS10,0)&gt;0,0,1)</f>
      </c>
      <c r="SU10" t="str">
        <f>IF($CG$10="",FALSE,SUMPRODUCT(('Final Calculation Sheet'!$O$4:$O$40=$CG$10)*($ST$4:$ST$40=1))&gt;0)</f>
      </c>
      <c r="SV10" t="str">
        <f>=$SV9+--($SU10)</f>
      </c>
      <c r="SW10" t="str">
        <f>IF(ROW()-3&gt;MAX($SV$4:$SV$40),"",INDEX($CG$4:$CG$40,MATCH(ROW()-3,$SV$4:$SV$40,0)))</f>
      </c>
      <c r="SX10" t="str">
        <f>IF(COUNTIF('Final Calculation Sheet'!$AL10:$AZ10,0)+COUNTIF('Final Calculation Sheet'!$BB10:$BS10,0)&gt;0,0,1)</f>
      </c>
      <c r="SY10" t="str">
        <f>IF($CL$10="",FALSE,SUMPRODUCT(('Final Calculation Sheet'!$P$4:$P$40=$CL$10)*($SX$4:$SX$40=1))&gt;0)</f>
      </c>
      <c r="SZ10" t="str">
        <f>=$SZ9+--($SY10)</f>
      </c>
      <c r="TA10" t="str">
        <f>IF(ROW()-3&gt;MAX($SZ$4:$SZ$40),"",INDEX($CL$4:$CL$40,MATCH(ROW()-3,$SZ$4:$SZ$40,0)))</f>
      </c>
      <c r="TB10" t="str">
        <f>IF(COUNTIF('Final Calculation Sheet'!$AL10:$BA10,0)+COUNTIF('Final Calculation Sheet'!$BC10:$BS10,0)&gt;0,0,1)</f>
      </c>
      <c r="TC10" t="str">
        <f>IF($CQ$10="",FALSE,SUMPRODUCT(('Final Calculation Sheet'!$Q$4:$Q$40=$CQ$10)*($TB$4:$TB$40=1))&gt;0)</f>
      </c>
      <c r="TD10" t="str">
        <f>=$TD9+--($TC10)</f>
      </c>
      <c r="TE10" t="str">
        <f>IF(ROW()-3&gt;MAX($TD$4:$TD$40),"",INDEX($CQ$4:$CQ$40,MATCH(ROW()-3,$TD$4:$TD$40,0)))</f>
      </c>
      <c r="TF10" t="str">
        <f>IF(COUNTIF('Final Calculation Sheet'!$AL10:$BB10,0)+COUNTIF('Final Calculation Sheet'!$BD10:$BS10,0)&gt;0,0,1)</f>
      </c>
      <c r="TG10" t="str">
        <f>IF($CV$10="",FALSE,SUMPRODUCT(('Final Calculation Sheet'!$R$4:$R$40=$CV$10)*($TF$4:$TF$40=1))&gt;0)</f>
      </c>
      <c r="TH10" t="str">
        <f>=$TH9+--($TG10)</f>
      </c>
      <c r="TI10" t="str">
        <f>IF(ROW()-3&gt;MAX($TH$4:$TH$40),"",INDEX($CV$4:$CV$40,MATCH(ROW()-3,$TH$4:$TH$40,0)))</f>
      </c>
      <c r="TJ10" t="str">
        <f>IF(COUNTIF('Final Calculation Sheet'!$AL10:$BC10,0)+COUNTIF('Final Calculation Sheet'!$BE10:$BS10,0)&gt;0,0,1)</f>
      </c>
      <c r="TK10" t="str">
        <f>IF($DA$10="",FALSE,SUMPRODUCT(('Final Calculation Sheet'!$S$4:$S$40=$DA$10)*($TJ$4:$TJ$40=1))&gt;0)</f>
      </c>
      <c r="TL10" t="str">
        <f>=$TL9+--($TK10)</f>
      </c>
      <c r="TM10" t="str">
        <f>IF(ROW()-3&gt;MAX($TL$4:$TL$40),"",INDEX($DA$4:$DA$40,MATCH(ROW()-3,$TL$4:$TL$40,0)))</f>
      </c>
      <c r="TN10" t="str">
        <f>IF(COUNTIF('Final Calculation Sheet'!$AL10:$BD10,0)+COUNTIF('Final Calculation Sheet'!$BF10:$BS10,0)&gt;0,0,1)</f>
      </c>
      <c r="TO10" t="str">
        <f>IF($DF$10="",FALSE,SUMPRODUCT(('Final Calculation Sheet'!$T$4:$T$40=$DF$10)*($TN$4:$TN$40=1))&gt;0)</f>
      </c>
      <c r="TP10" t="str">
        <f>=$TP9+--($TO10)</f>
      </c>
      <c r="TQ10" t="str">
        <f>IF(ROW()-3&gt;MAX($TP$4:$TP$40),"",INDEX($DF$4:$DF$40,MATCH(ROW()-3,$TP$4:$TP$40,0)))</f>
      </c>
      <c r="TR10" t="str">
        <f>IF(COUNTIF('Final Calculation Sheet'!$AL10:$BE10,0)+COUNTIF('Final Calculation Sheet'!$BG10:$BS10,0)&gt;0,0,1)</f>
      </c>
      <c r="TS10" t="str">
        <f>IF($DK$10="",FALSE,SUMPRODUCT(('Final Calculation Sheet'!$U$4:$U$40=$DK$10)*($TR$4:$TR$40=1))&gt;0)</f>
      </c>
      <c r="TT10" t="str">
        <f>=$TT9+--($TS10)</f>
      </c>
      <c r="TU10" t="str">
        <f>IF(ROW()-3&gt;MAX($TT$4:$TT$40),"",INDEX($DK$4:$DK$40,MATCH(ROW()-3,$TT$4:$TT$40,0)))</f>
      </c>
      <c r="TV10" t="str">
        <f>IF(COUNTIF('Final Calculation Sheet'!$AL10:$BF10,0)+COUNTIF('Final Calculation Sheet'!$BH10:$BS10,0)&gt;0,0,1)</f>
      </c>
      <c r="TW10" t="str">
        <f>IF($DP$10="",FALSE,SUMPRODUCT(('Final Calculation Sheet'!$V$4:$V$40=$DP$10)*($TV$4:$TV$40=1))&gt;0)</f>
      </c>
      <c r="TX10" t="str">
        <f>=$TX9+--($TW10)</f>
      </c>
      <c r="TY10" t="str">
        <f>IF(ROW()-3&gt;MAX($TX$4:$TX$40),"",INDEX($DP$4:$DP$40,MATCH(ROW()-3,$TX$4:$TX$40,0)))</f>
      </c>
      <c r="TZ10" t="str">
        <f>IF(COUNTIF('Final Calculation Sheet'!$AL10:$BG10,0)+COUNTIF('Final Calculation Sheet'!$BI10:$BS10,0)&gt;0,0,1)</f>
      </c>
      <c r="UA10" t="str">
        <f>IF($DU$10="",FALSE,SUMPRODUCT(('Final Calculation Sheet'!$W$4:$W$40=$DU$10)*($TZ$4:$TZ$40=1))&gt;0)</f>
      </c>
      <c r="UB10" t="str">
        <f>=$UB9+--($UA10)</f>
      </c>
      <c r="UC10" t="str">
        <f>IF(ROW()-3&gt;MAX($UB$4:$UB$40),"",INDEX($DU$4:$DU$40,MATCH(ROW()-3,$UB$4:$UB$40,0)))</f>
      </c>
      <c r="UD10" t="str">
        <f>IF(COUNTIF('Final Calculation Sheet'!$AL10:$BH10,0)+COUNTIF('Final Calculation Sheet'!$BJ10:$BS10,0)&gt;0,0,1)</f>
      </c>
      <c r="UE10" t="str">
        <f>IF($DZ$10="",FALSE,SUMPRODUCT(('Final Calculation Sheet'!$X$4:$X$40=$DZ$10)*($UD$4:$UD$40=1))&gt;0)</f>
      </c>
      <c r="UF10" t="str">
        <f>=$UF9+--($UE10)</f>
      </c>
      <c r="UG10" t="str">
        <f>IF(ROW()-3&gt;MAX($UF$4:$UF$40),"",INDEX($DZ$4:$DZ$40,MATCH(ROW()-3,$UF$4:$UF$40,0)))</f>
      </c>
      <c r="UH10" t="str">
        <f>IF(COUNTIF('Final Calculation Sheet'!$AL10:$BI10,0)+COUNTIF('Final Calculation Sheet'!$BK10:$BS10,0)&gt;0,0,1)</f>
      </c>
      <c r="UI10" t="str">
        <f>IF($EE$10="",FALSE,SUMPRODUCT(('Final Calculation Sheet'!$Y$4:$Y$40=$EE$10)*($UH$4:$UH$40=1))&gt;0)</f>
      </c>
      <c r="UJ10" t="str">
        <f>=$UJ9+--($UI10)</f>
      </c>
      <c r="UK10" t="str">
        <f>IF(ROW()-3&gt;MAX($UJ$4:$UJ$40),"",INDEX($EE$4:$EE$40,MATCH(ROW()-3,$UJ$4:$UJ$40,0)))</f>
      </c>
      <c r="UL10" t="str">
        <f>IF(COUNTIF('Final Calculation Sheet'!$AL10:$BJ10,0)+COUNTIF('Final Calculation Sheet'!$BL10:$BS10,0)&gt;0,0,1)</f>
      </c>
      <c r="UM10" t="str">
        <f>IF($EJ$10="",FALSE,SUMPRODUCT(('Final Calculation Sheet'!$Z$4:$Z$40=$EJ$10)*($UL$4:$UL$40=1))&gt;0)</f>
      </c>
      <c r="UN10" t="str">
        <f>=$UN9+--($UM10)</f>
      </c>
      <c r="UO10" t="str">
        <f>IF(ROW()-3&gt;MAX($UN$4:$UN$40),"",INDEX($EJ$4:$EJ$40,MATCH(ROW()-3,$UN$4:$UN$40,0)))</f>
      </c>
      <c r="UP10" t="str">
        <f>IF(COUNTIF('Final Calculation Sheet'!$AL10:$BK10,0)+COUNTIF('Final Calculation Sheet'!$BM10:$BS10,0)&gt;0,0,1)</f>
      </c>
      <c r="UQ10" t="str">
        <f>IF($EO$10="",FALSE,SUMPRODUCT(('Final Calculation Sheet'!$AA$4:$AA$40=$EO$10)*($UP$4:$UP$40=1))&gt;0)</f>
      </c>
      <c r="UR10" t="str">
        <f>=$UR9+--($UQ10)</f>
      </c>
      <c r="US10" t="str">
        <f>IF(ROW()-3&gt;MAX($UR$4:$UR$40),"",INDEX($EO$4:$EO$40,MATCH(ROW()-3,$UR$4:$UR$40,0)))</f>
      </c>
      <c r="UT10" t="str">
        <f>IF(COUNTIF('Final Calculation Sheet'!$AL10:$BL10,0)+COUNTIF('Final Calculation Sheet'!$BN10:$BS10,0)&gt;0,0,1)</f>
      </c>
      <c r="UU10" t="str">
        <f>IF($ET$10="",FALSE,SUMPRODUCT(('Final Calculation Sheet'!$AB$4:$AB$40=$ET$10)*($UT$4:$UT$40=1))&gt;0)</f>
      </c>
      <c r="UV10" t="str">
        <f>=$UV9+--($UU10)</f>
      </c>
      <c r="UW10" t="str">
        <f>IF(ROW()-3&gt;MAX($UV$4:$UV$40),"",INDEX($ET$4:$ET$40,MATCH(ROW()-3,$UV$4:$UV$40,0)))</f>
      </c>
      <c r="UX10" t="str">
        <f>IF(COUNTIF('Final Calculation Sheet'!$AL10:$BM10,0)+COUNTIF('Final Calculation Sheet'!$BO10:$BS10,0)&gt;0,0,1)</f>
      </c>
      <c r="UY10" t="str">
        <f>IF($EY$10="",FALSE,SUMPRODUCT(('Final Calculation Sheet'!$AC$4:$AC$40=$EY$10)*($UX$4:$UX$40=1))&gt;0)</f>
      </c>
      <c r="UZ10" t="str">
        <f>=$UZ9+--($UY10)</f>
      </c>
      <c r="VA10" t="str">
        <f>IF(ROW()-3&gt;MAX($UZ$4:$UZ$40),"",INDEX($EY$4:$EY$40,MATCH(ROW()-3,$UZ$4:$UZ$40,0)))</f>
      </c>
      <c r="VB10" t="str">
        <f>IF(COUNTIF('Final Calculation Sheet'!$AL10:$BN10,0)+COUNTIF('Final Calculation Sheet'!$BP10:$BS10,0)&gt;0,0,1)</f>
      </c>
      <c r="VC10" t="str">
        <f>IF($FD$10="",FALSE,SUMPRODUCT(('Final Calculation Sheet'!$AD$4:$AD$40=$FD$10)*($VB$4:$VB$40=1))&gt;0)</f>
      </c>
      <c r="VD10" t="str">
        <f>=$VD9+--($VC10)</f>
      </c>
      <c r="VE10" t="str">
        <f>IF(ROW()-3&gt;MAX($VD$4:$VD$40),"",INDEX($FD$4:$FD$40,MATCH(ROW()-3,$VD$4:$VD$40,0)))</f>
      </c>
      <c r="VF10" t="str">
        <f>IF(COUNTIF('Final Calculation Sheet'!$AL10:$BO10,0)+COUNTIF('Final Calculation Sheet'!$BQ10:$BS10,0)&gt;0,0,1)</f>
      </c>
      <c r="VG10" t="str">
        <f>IF($FI$10="",FALSE,SUMPRODUCT(('Final Calculation Sheet'!$AE$4:$AE$40=$FI$10)*($VF$4:$VF$40=1))&gt;0)</f>
      </c>
      <c r="VH10" t="str">
        <f>=$VH9+--($VG10)</f>
      </c>
      <c r="VI10" t="str">
        <f>IF(ROW()-3&gt;MAX($VH$4:$VH$40),"",INDEX($FI$4:$FI$40,MATCH(ROW()-3,$VH$4:$VH$40,0)))</f>
      </c>
      <c r="VJ10" t="str">
        <f>IF(COUNTIF('Final Calculation Sheet'!$AL10:$BP10,0)+COUNTIF('Final Calculation Sheet'!$BR10:$BS10,0)&gt;0,0,1)</f>
      </c>
      <c r="VK10" t="str">
        <f>IF($FN$10="",FALSE,SUMPRODUCT(('Final Calculation Sheet'!$AF$4:$AF$40=$FN$10)*($VJ$4:$VJ$40=1))&gt;0)</f>
      </c>
      <c r="VL10" t="str">
        <f>=$VL9+--($VK10)</f>
      </c>
      <c r="VM10" t="str">
        <f>IF(ROW()-3&gt;MAX($VL$4:$VL$40),"",INDEX($FN$4:$FN$40,MATCH(ROW()-3,$VL$4:$VL$40,0)))</f>
      </c>
      <c r="VN10" t="str">
        <f>IF(COUNTIF('Final Calculation Sheet'!$AL10:$BQ10,0)+COUNTIF('Final Calculation Sheet'!$BS10:$BS10,0)&gt;0,0,1)</f>
      </c>
      <c r="VO10" t="str">
        <f>IF($FS$10="",FALSE,SUMPRODUCT(('Final Calculation Sheet'!$AG$4:$AG$40=$FS$10)*($VN$4:$VN$40=1))&gt;0)</f>
      </c>
      <c r="VP10" t="str">
        <f>=$VP9+--($VO10)</f>
      </c>
      <c r="VQ10" t="str">
        <f>IF(ROW()-3&gt;MAX($VP$4:$VP$40),"",INDEX($FS$4:$FS$40,MATCH(ROW()-3,$VP$4:$VP$40,0)))</f>
      </c>
      <c r="VR10" t="str">
        <f>IF(COUNTIF('Final Calculation Sheet'!$AL10:$BR10,0)&gt;0,0,1)</f>
      </c>
      <c r="VS10" t="str">
        <f>IF($QO$10="",FALSE,SUMPRODUCT(('Final Calculation Sheet'!$AH$4:$AH$40=$QO$10)*($VR$4:$VR$40=1))&gt;0)</f>
      </c>
      <c r="VT10" t="str">
        <f>=$VT9+--($VS10)</f>
      </c>
      <c r="VU10" t="str">
        <f>IF(ROW()-3&gt;MAX($VT$4:$VT$40),"",INDEX($QO$4:$QO$40,MATCH(ROW()-3,$VT$4:$VT$40,0)))</f>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IF(COUNTIF('Live Search'!BM$10:BM$10,0)+COUNTIF('Live Search'!B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D11">
        <f>IF($O$11="",FALSE,SUMPRODUCT(('Final Calculation Sheet'!$F$4:$F$40=$O$11)*($GC$6:$GC$42=1))&gt;0)</f>
        <v/>
      </c>
      <c r="GE11">
        <f>$GE$10+--($GD11)</f>
        <v/>
      </c>
      <c r="GF11">
        <f>IF(ROW()-3&gt;MAX($GE$4:$GE$40),"",INDEX($O$4:$O$40,MATCH(ROW()-3,$GE$4:$GE$40,0)))</f>
        <v/>
      </c>
      <c r="GG11">
        <f>IF(COUNTIF('Live Search'!BM$10:BN$10,0)+COUNTIF('Live Search'!B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H11">
        <f>IF($T$11="",FALSE,SUMPRODUCT(('Final Calculation Sheet'!$G$4:$G$40=$T$11)*($GG$6:$GG$42=1))&gt;0)</f>
        <v/>
      </c>
      <c r="GI11">
        <f>$GI$10+--($GH11)</f>
        <v/>
      </c>
      <c r="GJ11">
        <f>IF(ROW()-3&gt;MAX($GI$4:$GI$40),"",INDEX($T$4:$T$40,MATCH(ROW()-3,$GI$4:$GI$40,0)))</f>
        <v/>
      </c>
      <c r="GK11">
        <f>IF(COUNTIF('Live Search'!BM$10:BP$10,0)+COUNTIF('Live Search'!B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L11">
        <f>IF($AD$11="",FALSE,SUMPRODUCT(('Final Calculation Sheet'!$D$4:$D$40=$AD$11)*($GK$6:$GK$42=1))&gt;0)</f>
        <v/>
      </c>
      <c r="GM11">
        <f>$GM$10+--($GL11)</f>
        <v/>
      </c>
      <c r="GN11">
        <f>IF(ROW()-3&gt;MAX($GM$4:$GM$40),"",INDEX($AD$4:$AD$40,MATCH(ROW()-3,$GM$4:$GM$40,0)))</f>
        <v/>
      </c>
      <c r="GO11">
        <f>IF(COUNTIF('Live Search'!BM$10:BQ$10,0)+COUNTIF('Live Search'!B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P11">
        <f>IF($AI$11="",FALSE,SUMPRODUCT(('Final Calculation Sheet'!$A$4:$A$40=$AI$11)*($GO$6:$GO$42=1))&gt;0)</f>
        <v/>
      </c>
      <c r="GQ11">
        <f>$GQ$10+--($GP11)</f>
        <v/>
      </c>
      <c r="GR11">
        <f>IF(ROW()-3&gt;MAX($GQ$4:$GQ$40),"",INDEX($AI$4:$AI$40,MATCH(ROW()-3,$GQ$4:$GQ$40,0)))</f>
        <v/>
      </c>
      <c r="GS11">
        <f>IF(COUNTIF('Live Search'!BM$10:BR$10,0)+COUNTIF('Live Search'!B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T11">
        <f>IF($AN$11="",FALSE,SUMPRODUCT(('Final Calculation Sheet'!$E$4:$E$40=$AN$11)*($GS$6:$GS$42=1))&gt;0)</f>
        <v/>
      </c>
      <c r="GU11">
        <f>$GU$10+--($GT11)</f>
        <v/>
      </c>
      <c r="GV11">
        <f>IF(ROW()-3&gt;MAX($GU$4:$GU$40),"",INDEX($AN$4:$AN$40,MATCH(ROW()-3,$GU$4:$GU$40,0)))</f>
        <v/>
      </c>
      <c r="GW11">
        <f>IF(COUNTIF('Live Search'!BM$10:BS$10,0)+COUNTIF('Live Search'!B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GX11">
        <f>IF($AS$11="",FALSE,SUMPRODUCT(('Final Calculation Sheet'!$C$4:$C$40=$AS$11)*($GW$6:$GW$42=1))&gt;0)</f>
        <v/>
      </c>
      <c r="GY11">
        <f>$GY$10+--($GX11)</f>
        <v/>
      </c>
      <c r="GZ11">
        <f>IF(ROW()-3&gt;MAX($GY$4:$GY$40),"",INDEX($AS$4:$AS$40,MATCH(ROW()-3,$GY$4:$GY$40,0)))</f>
        <v/>
      </c>
      <c r="HA11">
        <f>IF(COUNTIF('Live Search'!BM$10:BT$10,0)+COUNTIF('Live Search'!BV$10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B11">
        <f>IF($AX$11="",FALSE,SUMPRODUCT(('Final Calculation Sheet'!$H$4:$H$40=$AX$11)*($HA$6:$HA$42=1))&gt;0)</f>
        <v/>
      </c>
      <c r="HC11">
        <f>$HC$10+--($HB11)</f>
        <v/>
      </c>
      <c r="HD11">
        <f>IF(ROW()-3&gt;MAX($HC$4:$HC$40),"",INDEX($AX$4:$AX$40,MATCH(ROW()-3,$HC$4:$HC$40,0)))</f>
        <v/>
      </c>
      <c r="HE11">
        <f>IF(COUNTIF('Live Search'!BM$10:BU$10,0)+COUNTIF('Live Search'!BW$10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F11">
        <f>IF($BC$11="",FALSE,SUMPRODUCT(('Final Calculation Sheet'!$I$4:$I$40=$BC$11)*($HE$6:$HE$42=1))&gt;0)</f>
        <v/>
      </c>
      <c r="HG11">
        <f>$HG$10+--($HF11)</f>
        <v/>
      </c>
      <c r="HH11">
        <f>IF(ROW()-3&gt;MAX($HG$4:$HG$40),"",INDEX($BC$4:$BC$40,MATCH(ROW()-3,$HG$4:$HG$40,0)))</f>
        <v/>
      </c>
      <c r="HI11">
        <f>IF(COUNTIF('Live Search'!BM$10:BV$10,0)+COUNTIF('Live Search'!BX$10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J11">
        <f>IF($BH$11="",FALSE,SUMPRODUCT(('Final Calculation Sheet'!$J$4:$J$40=$BH$11)*($HI$6:$HI$42=1))&gt;0)</f>
        <v/>
      </c>
      <c r="HK11">
        <f>$HK$10+--($HJ11)</f>
        <v/>
      </c>
      <c r="HL11">
        <f>IF(ROW()-3&gt;MAX($HK$4:$HK$40),"",INDEX($BH$4:$BH$40,MATCH(ROW()-3,$HK$4:$HK$40,0)))</f>
        <v/>
      </c>
      <c r="HM11">
        <f>IF(COUNTIF('Live Search'!BM$10:BW$10,0)+COUNTIF('Live Search'!BY$10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N11">
        <f>IF($BM$11="",FALSE,SUMPRODUCT(('Final Calculation Sheet'!$K$4:$K$40=$BM$11)*($HM$6:$HM$42=1))&gt;0)</f>
        <v/>
      </c>
      <c r="HO11">
        <f>$HO$10+--($HN11)</f>
        <v/>
      </c>
      <c r="HP11">
        <f>IF(ROW()-3&gt;MAX($HO$4:$HO$40),"",INDEX($BM$4:$BM$40,MATCH(ROW()-3,$HO$4:$HO$40,0)))</f>
        <v/>
      </c>
      <c r="HQ11">
        <f>IF(COUNTIF('Live Search'!BM$10:BX$10,0)+COUNTIF('Live Search'!BZ$10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R11">
        <f>IF($BR$11="",FALSE,SUMPRODUCT(('Final Calculation Sheet'!$L$4:$L$40=$BR$11)*($HQ$6:$HQ$42=1))&gt;0)</f>
        <v/>
      </c>
      <c r="HS11">
        <f>$HS$10+--($HR11)</f>
        <v/>
      </c>
      <c r="HT11">
        <f>IF(ROW()-3&gt;MAX($HS$4:$HS$40),"",INDEX($BR$4:$BR$40,MATCH(ROW()-3,$HS$4:$HS$40,0)))</f>
        <v/>
      </c>
      <c r="HU11">
        <f>IF(COUNTIF('Live Search'!BM$10:BY$10,0)+COUNTIF('Live Search'!CA$10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V11">
        <f>IF($BW$11="",FALSE,SUMPRODUCT(('Final Calculation Sheet'!$M$4:$M$40=$BW$11)*($HU$6:$HU$42=1))&gt;0)</f>
        <v/>
      </c>
      <c r="HW11">
        <f>$HW$10+--($HV11)</f>
        <v/>
      </c>
      <c r="HX11">
        <f>IF(ROW()-3&gt;MAX($HW$4:$HW$40),"",INDEX($BW$4:$BW$40,MATCH(ROW()-3,$HW$4:$HW$40,0)))</f>
        <v/>
      </c>
      <c r="HY11">
        <f>IF(COUNTIF('Live Search'!BM$10:BZ$10,0)+COUNTIF('Live Search'!CB$10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HZ11">
        <f>IF($CB$11="",FALSE,SUMPRODUCT(('Final Calculation Sheet'!$N$4:$N$40=$CB$11)*($HY$6:$HY$42=1))&gt;0)</f>
        <v/>
      </c>
      <c r="IA11">
        <f>$IA$10+--($HZ11)</f>
        <v/>
      </c>
      <c r="IB11">
        <f>IF(ROW()-3&gt;MAX($IA$4:$IA$40),"",INDEX($CB$4:$CB$40,MATCH(ROW()-3,$IA$4:$IA$40,0)))</f>
        <v/>
      </c>
      <c r="IC11">
        <f>IF(COUNTIF('Live Search'!BM$10:CA$10,0)+COUNTIF('Live Search'!CC$10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D11">
        <f>IF($CG$11="",FALSE,SUMPRODUCT(('Final Calculation Sheet'!$O$4:$O$40=$CG$11)*($IC$6:$IC$42=1))&gt;0)</f>
        <v/>
      </c>
      <c r="IE11">
        <f>$IE$10+--($ID11)</f>
        <v/>
      </c>
      <c r="IF11">
        <f>IF(ROW()-3&gt;MAX($IE$4:$IE$40),"",INDEX($CG$4:$CG$40,MATCH(ROW()-3,$IE$4:$IE$40,0)))</f>
        <v/>
      </c>
      <c r="IG11">
        <f>IF(COUNTIF('Live Search'!BM$10:CB$10,0)+COUNTIF('Live Search'!CD$10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H11">
        <f>IF($CL$11="",FALSE,SUMPRODUCT(('Final Calculation Sheet'!$P$4:$P$40=$CL$11)*($IG$6:$IG$42=1))&gt;0)</f>
        <v/>
      </c>
      <c r="II11">
        <f>$II$10+--($IH11)</f>
        <v/>
      </c>
      <c r="IJ11">
        <f>IF(ROW()-3&gt;MAX($II$4:$II$40),"",INDEX($CL$4:$CL$40,MATCH(ROW()-3,$II$4:$II$40,0)))</f>
        <v/>
      </c>
      <c r="IK11">
        <f>IF(COUNTIF('Live Search'!BM$10:CC$10,0)+COUNTIF('Live Search'!CE$10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L11">
        <f>IF($CQ$11="",FALSE,SUMPRODUCT(('Final Calculation Sheet'!$Q$4:$Q$40=$CQ$11)*($IK$6:$IK$42=1))&gt;0)</f>
        <v/>
      </c>
      <c r="IM11">
        <f>$IM$10+--($IL11)</f>
        <v/>
      </c>
      <c r="IN11">
        <f>IF(ROW()-3&gt;MAX($IM$4:$IM$40),"",INDEX($CQ$4:$CQ$40,MATCH(ROW()-3,$IM$4:$IM$40,0)))</f>
        <v/>
      </c>
      <c r="IO11">
        <f>IF(COUNTIF('Live Search'!BM$10:CD$10,0)+COUNTIF('Live Search'!CF$10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P11">
        <f>IF($CV$11="",FALSE,SUMPRODUCT(('Final Calculation Sheet'!$R$4:$R$40=$CV$11)*($IO$6:$IO$42=1))&gt;0)</f>
        <v/>
      </c>
      <c r="IQ11">
        <f>$IQ$10+--($IP11)</f>
        <v/>
      </c>
      <c r="IR11">
        <f>IF(ROW()-3&gt;MAX($IQ$4:$IQ$40),"",INDEX($CV$4:$CV$40,MATCH(ROW()-3,$IQ$4:$IQ$40,0)))</f>
        <v/>
      </c>
      <c r="IS11">
        <f>IF(COUNTIF('Live Search'!BM$10:CE$10,0)+COUNTIF('Live Search'!CG$10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T11">
        <f>IF($DA$11="",FALSE,SUMPRODUCT(('Final Calculation Sheet'!$S$4:$S$40=$DA$11)*($IS$6:$IS$42=1))&gt;0)</f>
        <v/>
      </c>
      <c r="IU11">
        <f>$IU$10+--($IT11)</f>
        <v/>
      </c>
      <c r="IV11">
        <f>IF(ROW()-3&gt;MAX($IU$4:$IU$40),"",INDEX($DA$4:$DA$40,MATCH(ROW()-3,$IU$4:$IU$40,0)))</f>
        <v/>
      </c>
      <c r="IW11">
        <f>IF(COUNTIF('Live Search'!BM$10:CF$10,0)+COUNTIF('Live Search'!CH$10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IX11">
        <f>IF($DF$11="",FALSE,SUMPRODUCT(('Final Calculation Sheet'!$T$4:$T$40=$DF$11)*($IW$6:$IW$42=1))&gt;0)</f>
        <v/>
      </c>
      <c r="IY11">
        <f>$IY$10+--($IX11)</f>
        <v/>
      </c>
      <c r="IZ11">
        <f>IF(ROW()-3&gt;MAX($IY$4:$IY$40),"",INDEX($DF$4:$DF$40,MATCH(ROW()-3,$IY$4:$IY$40,0)))</f>
        <v/>
      </c>
      <c r="JA11">
        <f>IF(COUNTIF('Live Search'!BM$10:CG$10,0)+COUNTIF('Live Search'!CI$10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B11">
        <f>IF($DK$11="",FALSE,SUMPRODUCT(('Final Calculation Sheet'!$U$4:$U$40=$DK$11)*($JA$6:$JA$42=1))&gt;0)</f>
        <v/>
      </c>
      <c r="JC11">
        <f>$JC$10+--($JB11)</f>
        <v/>
      </c>
      <c r="JD11">
        <f>IF(ROW()-3&gt;MAX($JC$4:$JC$40),"",INDEX($DK$4:$DK$40,MATCH(ROW()-3,$JC$4:$JC$40,0)))</f>
        <v/>
      </c>
      <c r="JE11">
        <f>IF(COUNTIF('Live Search'!BM$10:CH$10,0)+COUNTIF('Live Search'!CJ$10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F11">
        <f>IF($DP$11="",FALSE,SUMPRODUCT(('Final Calculation Sheet'!$V$4:$V$40=$DP$11)*($JE$6:$JE$42=1))&gt;0)</f>
        <v/>
      </c>
      <c r="JG11">
        <f>$JG$10+--($JF11)</f>
        <v/>
      </c>
      <c r="JH11">
        <f>IF(ROW()-3&gt;MAX($JG$4:$JG$40),"",INDEX($DP$4:$DP$40,MATCH(ROW()-3,$JG$4:$JG$40,0)))</f>
        <v/>
      </c>
      <c r="JI11">
        <f>IF(COUNTIF('Live Search'!BM$10:CI$10,0)+COUNTIF('Live Search'!CK$10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J11">
        <f>IF($DU$11="",FALSE,SUMPRODUCT(('Final Calculation Sheet'!$W$4:$W$40=$DU$11)*($JI$6:$JI$42=1))&gt;0)</f>
        <v/>
      </c>
      <c r="JK11">
        <f>$JK$10+--($JJ11)</f>
        <v/>
      </c>
      <c r="JL11">
        <f>IF(ROW()-3&gt;MAX($JK$4:$JK$40),"",INDEX($DU$4:$DU$40,MATCH(ROW()-3,$JK$4:$JK$40,0)))</f>
        <v/>
      </c>
      <c r="JM11">
        <f>IF(COUNTIF('Live Search'!BM$10:CJ$10,0)+COUNTIF('Live Search'!CL$10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N11">
        <f>IF($DZ$11="",FALSE,SUMPRODUCT(('Final Calculation Sheet'!$X$4:$X$40=$DZ$11)*($JM$6:$JM$42=1))&gt;0)</f>
        <v/>
      </c>
      <c r="JO11">
        <f>$JO$10+--($JN11)</f>
        <v/>
      </c>
      <c r="JP11">
        <f>IF(ROW()-3&gt;MAX($JO$4:$JO$40),"",INDEX($DZ$4:$DZ$40,MATCH(ROW()-3,$JO$4:$JO$40,0)))</f>
        <v/>
      </c>
      <c r="JQ11">
        <f>IF(COUNTIF('Live Search'!BM$10:CK$10,0)+COUNTIF('Live Search'!C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R11">
        <f>IF($EE$11="",FALSE,SUMPRODUCT(('Final Calculation Sheet'!$Y$4:$Y$40=$EE$11)*($JQ$6:$JQ$42=1))&gt;0)</f>
        <v/>
      </c>
      <c r="JS11">
        <f>$JS$10+--($JR11)</f>
        <v/>
      </c>
      <c r="JT11">
        <f>IF(ROW()-3&gt;MAX($JS$4:$JS$40),"",INDEX($EE$4:$EE$40,MATCH(ROW()-3,$JS$4:$JS$40,0)))</f>
        <v/>
      </c>
      <c r="JU11">
        <f>IF(COUNTIF('Live Search'!BM$10:CL$10,0)+COUNTIF('Live Search'!CN$10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V11">
        <f>IF($EJ$11="",FALSE,SUMPRODUCT(('Final Calculation Sheet'!$Z$4:$Z$40=$EJ$11)*($JU$6:$JU$42=1))&gt;0)</f>
        <v/>
      </c>
      <c r="JW11">
        <f>$JW$10+--($JV11)</f>
        <v/>
      </c>
      <c r="JX11">
        <f>IF(ROW()-3&gt;MAX($JW$4:$JW$40),"",INDEX($EJ$4:$EJ$40,MATCH(ROW()-3,$JW$4:$JW$40,0)))</f>
        <v/>
      </c>
      <c r="JY11">
        <f>IF(COUNTIF('Live Search'!BM$10:CM$10,0)+COUNTIF('Live Search'!CO$10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JZ11">
        <f>IF($EO$11="",FALSE,SUMPRODUCT(('Final Calculation Sheet'!$AA$4:$AA$40=$EO$11)*($JY$6:$JY$42=1))&gt;0)</f>
        <v/>
      </c>
      <c r="KA11">
        <f>$KA$10+--($JZ11)</f>
        <v/>
      </c>
      <c r="KB11">
        <f>IF(ROW()-3&gt;MAX($KA$4:$KA$40),"",INDEX($EO$4:$EO$40,MATCH(ROW()-3,$KA$4:$KA$40,0)))</f>
        <v/>
      </c>
      <c r="KC11">
        <f>IF(COUNTIF('Live Search'!BM$10:CN$10,0)+COUNTIF('Live Search'!CP$10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D11">
        <f>IF($ET$11="",FALSE,SUMPRODUCT(('Final Calculation Sheet'!$AB$4:$AB$40=$ET$11)*($KC$6:$KC$42=1))&gt;0)</f>
        <v/>
      </c>
      <c r="KE11">
        <f>$KE$10+--($KD11)</f>
        <v/>
      </c>
      <c r="KF11">
        <f>IF(ROW()-3&gt;MAX($KE$4:$KE$40),"",INDEX($ET$4:$ET$40,MATCH(ROW()-3,$KE$4:$KE$40,0)))</f>
        <v/>
      </c>
      <c r="KG11">
        <f>IF(COUNTIF('Live Search'!BM$10:CO$10,0)+COUNTIF('Live Search'!CQ$10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H11">
        <f>IF($EY$11="",FALSE,SUMPRODUCT(('Final Calculation Sheet'!$AC$4:$AC$40=$EY$11)*($KG$6:$KG$42=1))&gt;0)</f>
        <v/>
      </c>
      <c r="KI11">
        <f>$KI$10+--($KH11)</f>
        <v/>
      </c>
      <c r="KJ11">
        <f>IF(ROW()-3&gt;MAX($KI$4:$KI$40),"",INDEX($EY$4:$EY$40,MATCH(ROW()-3,$KI$4:$KI$40,0)))</f>
        <v/>
      </c>
      <c r="KK11">
        <f>IF(COUNTIF('Live Search'!BM$10:CP$10,0)+COUNTIF('Live Search'!CR$10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L11">
        <f>IF($FD$11="",FALSE,SUMPRODUCT(('Final Calculation Sheet'!$AD$4:$AD$40=$FD$11)*($KK$6:$KK$42=1))&gt;0)</f>
        <v/>
      </c>
      <c r="KM11">
        <f>$KM$10+--($KL11)</f>
        <v/>
      </c>
      <c r="KN11">
        <f>IF(ROW()-3&gt;MAX($KM$4:$KM$40),"",INDEX($FD$4:$FD$40,MATCH(ROW()-3,$KM$4:$KM$40,0)))</f>
        <v/>
      </c>
      <c r="KO11">
        <f>IF(COUNTIF('Live Search'!BM$10:CT$10,0)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P11">
        <f>IF($FX$11="",FALSE,SUMPRODUCT((IF('Final Calculation Sheet'!$AD$4:$AD$40&lt;=5,"SETTLED","OUTSTANDING")=$FX$11)*($KO$6:$KO$42=1))&gt;0)</f>
        <v/>
      </c>
      <c r="KQ11">
        <f>$KQ$10+--($KP11)</f>
        <v/>
      </c>
      <c r="KR11">
        <f>IF(ROW()-3&gt;MAX($KQ$4:$KQ$40),"",INDEX($FX$4:$FX$40,MATCH(ROW()-3,$KQ$4:$KQ$40,0)))</f>
        <v/>
      </c>
      <c r="KS11">
        <f>IF(COUNTIF('Live Search'!BM$10:CQ$10,0)+COUNTIF('Live Search'!CS$10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T11">
        <f>IF($FI$11="",FALSE,SUMPRODUCT(('Final Calculation Sheet'!$AF$4:$AF$40=$FI$11)*($KS$6:$KS$42=1))&gt;0)</f>
        <v/>
      </c>
      <c r="KU11">
        <f>$KU$10+--($KT11)</f>
        <v/>
      </c>
      <c r="KV11">
        <f>IF(ROW()-3&gt;MAX($KU$4:$KU$40),"",INDEX($FI$4:$FI$40,MATCH(ROW()-3,$KU$4:$KU$40,0)))</f>
        <v/>
      </c>
      <c r="KW11">
        <f>IF(COUNTIF('Live Search'!BM$10:CR$10,0)+COUNTIF('Live Search'!CT$10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KX11">
        <f>IF($FN$11="",FALSE,SUMPRODUCT(('Final Calculation Sheet'!$AG$4:$AG$40=$FN$11)*($KW$6:$KW$42=1))&gt;0)</f>
        <v/>
      </c>
      <c r="KY11">
        <f>$KY$10+--($KX11)</f>
        <v/>
      </c>
      <c r="KZ11">
        <f>IF(ROW()-3&gt;MAX($KY$4:$KY$40),"",INDEX($FN$4:$FN$40,MATCH(ROW()-3,$KY$4:$KY$40,0)))</f>
        <v/>
      </c>
      <c r="LA11">
        <f>IF(COUNTIF('Live Search'!BM$10:CS$10,0)+COUNTIF('Live Search'!CU$10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LB11">
        <f>IF($FS$11="",FALSE,SUMPRODUCT(('Final Calculation Sheet'!$AH$4:$AH$40=$FS$11)*($LA$6:$LA$42=1))&gt;0)</f>
        <v/>
      </c>
      <c r="LC11">
        <f>$LC$10+--($LB11)</f>
        <v/>
      </c>
      <c r="LD11">
        <f>IF(ROW()-3&gt;MAX($LC$4:$LC$40),"",INDEX($FS$4:$FS$40,MATCH(ROW()-3,$LC$4:$LC$40,0)))</f>
        <v/>
      </c>
      <c r="LE11">
        <f>IF(COUNTIF('Buyer Groups'!DH64:EN64,0)&gt;0,0,1)</f>
        <v/>
      </c>
      <c r="LF11">
        <f>IF($O$11="",FALSE,SUMPRODUCT(('Final Calculation Sheet'!$F$4:$F$40=$O$11)*($LE$6:$LE$42=1))&gt;0)</f>
        <v/>
      </c>
      <c r="LG11">
        <f>$LG$10+--($LF11)</f>
        <v/>
      </c>
      <c r="LH11">
        <f>IF(ROW()-3&gt;MAX($LG$4:$LG$40),"",INDEX($O$4:$O$40,MATCH(ROW()-3,$LG$4:$LG$40,0)))</f>
        <v/>
      </c>
      <c r="LI11">
        <f>IF(COUNTIF('Buyer Groups'!DG64:DG64,0)+COUNTIF('Buyer Groups'!DI64:EN64,0)&gt;0,0,1)</f>
        <v/>
      </c>
      <c r="LJ11">
        <f>IF($T$11="",FALSE,SUMPRODUCT(('Final Calculation Sheet'!$G$4:$G$40=$T$11)*($LI$6:$LI$42=1))&gt;0)</f>
        <v/>
      </c>
      <c r="LK11">
        <f>$LK$10+--($LJ11)</f>
        <v/>
      </c>
      <c r="LL11">
        <f>IF(ROW()-3&gt;MAX($LK$4:$LK$40),"",INDEX($T$4:$T$40,MATCH(ROW()-3,$LK$4:$LK$40,0)))</f>
        <v/>
      </c>
      <c r="LM11">
        <f>IF(COUNTIF('Buyer Groups'!DG64:DH64,0)+COUNTIF('Buyer Groups'!DJ64:EN64,0)&gt;0,0,1)</f>
        <v/>
      </c>
      <c r="LN11">
        <f>IF($Y$11="",FALSE,SUMPRODUCT(('Final Calculation Sheet'!$B$4:$B$40=$Y$11)*($LM$6:$LM$42=1))&gt;0)</f>
        <v/>
      </c>
      <c r="LO11">
        <f>$LO$10+--($LN11)</f>
        <v/>
      </c>
      <c r="LP11">
        <f>IF(ROW()-3&gt;MAX($LO$4:$LO$40),"",INDEX($Y$4:$Y$40,MATCH(ROW()-3,$LO$4:$LO$40,0)))</f>
        <v/>
      </c>
      <c r="LQ11">
        <f>IF(COUNTIF('Buyer Groups'!DG64:DI64,0)+COUNTIF('Buyer Groups'!DK64:EN64,0)&gt;0,0,1)</f>
        <v/>
      </c>
      <c r="LR11">
        <f>IF($AD$11="",FALSE,SUMPRODUCT(('Final Calculation Sheet'!$D$4:$D$40=$AD$11)*($LQ$6:$LQ$42=1))&gt;0)</f>
        <v/>
      </c>
      <c r="LS11">
        <f>$LS$10+--($LR11)</f>
        <v/>
      </c>
      <c r="LT11">
        <f>IF(ROW()-3&gt;MAX($LS$4:$LS$40),"",INDEX($AD$4:$AD$40,MATCH(ROW()-3,$LS$4:$LS$40,0)))</f>
        <v/>
      </c>
      <c r="LU11">
        <f>IF(COUNTIF('Buyer Groups'!DG64:DJ64,0)+COUNTIF('Buyer Groups'!DL64:EN64,0)&gt;0,0,1)</f>
        <v/>
      </c>
      <c r="LV11">
        <f>IF($AI$11="",FALSE,SUMPRODUCT(('Final Calculation Sheet'!$A$4:$A$40=$AI$11)*($LU$6:$LU$42=1))&gt;0)</f>
        <v/>
      </c>
      <c r="LW11">
        <f>$LW$10+--($LV11)</f>
        <v/>
      </c>
      <c r="LX11">
        <f>IF(ROW()-3&gt;MAX($LW$4:$LW$40),"",INDEX($AI$4:$AI$40,MATCH(ROW()-3,$LW$4:$LW$40,0)))</f>
        <v/>
      </c>
      <c r="LY11">
        <f>IF(COUNTIF('Buyer Groups'!DG64:DK64,0)+COUNTIF('Buyer Groups'!DM64:EN64,0)&gt;0,0,1)</f>
        <v/>
      </c>
      <c r="LZ11">
        <f>IF($AN$11="",FALSE,SUMPRODUCT(('Final Calculation Sheet'!$E$4:$E$40=$AN$11)*($LY$6:$LY$42=1))&gt;0)</f>
        <v/>
      </c>
      <c r="MA11">
        <f>$MA$10+--($LZ11)</f>
        <v/>
      </c>
      <c r="MB11">
        <f>IF(ROW()-3&gt;MAX($MA$4:$MA$40),"",INDEX($AN$4:$AN$40,MATCH(ROW()-3,$MA$4:$MA$40,0)))</f>
        <v/>
      </c>
      <c r="MC11">
        <f>IF(COUNTIF('Buyer Groups'!DG64:DL64,0)+COUNTIF('Buyer Groups'!DN64:EN64,0)&gt;0,0,1)</f>
        <v/>
      </c>
      <c r="MD11">
        <f>IF($AS$11="",FALSE,SUMPRODUCT(('Final Calculation Sheet'!$C$4:$C$40=$AS$11)*($MC$6:$MC$42=1))&gt;0)</f>
        <v/>
      </c>
      <c r="ME11">
        <f>$ME$10+--($MD11)</f>
        <v/>
      </c>
      <c r="MF11">
        <f>IF(ROW()-3&gt;MAX($ME$4:$ME$40),"",INDEX($AS$4:$AS$40,MATCH(ROW()-3,$ME$4:$ME$40,0)))</f>
        <v/>
      </c>
      <c r="MG11">
        <f>IF(COUNTIF('Buyer Groups'!DG64:DM64,0)+COUNTIF('Buyer Groups'!DO64:EN64,0)&gt;0,0,1)</f>
        <v/>
      </c>
      <c r="MH11">
        <f>IF($AX$11="",FALSE,SUMPRODUCT(('Final Calculation Sheet'!$H$4:$H$40=$AX$11)*($MG$6:$MG$42=1))&gt;0)</f>
        <v/>
      </c>
      <c r="MI11">
        <f>$MI$10+--($MH11)</f>
        <v/>
      </c>
      <c r="MJ11">
        <f>IF(ROW()-3&gt;MAX($MI$4:$MI$40),"",INDEX($AX$4:$AX$40,MATCH(ROW()-3,$MI$4:$MI$40,0)))</f>
        <v/>
      </c>
      <c r="MK11">
        <f>IF(COUNTIF('Buyer Groups'!DG64:DN64,0)+COUNTIF('Buyer Groups'!DP64:EN64,0)&gt;0,0,1)</f>
        <v/>
      </c>
      <c r="ML11">
        <f>IF($BC$11="",FALSE,SUMPRODUCT(('Final Calculation Sheet'!$I$4:$I$40=$BC$11)*($MK$6:$MK$42=1))&gt;0)</f>
        <v/>
      </c>
      <c r="MM11">
        <f>$MM$10+--($ML11)</f>
        <v/>
      </c>
      <c r="MN11">
        <f>IF(ROW()-3&gt;MAX($MM$4:$MM$40),"",INDEX($BC$4:$BC$40,MATCH(ROW()-3,$MM$4:$MM$40,0)))</f>
        <v/>
      </c>
      <c r="MO11">
        <f>IF(COUNTIF('Buyer Groups'!DG64:DO64,0)+COUNTIF('Buyer Groups'!DQ64:EN64,0)&gt;0,0,1)</f>
        <v/>
      </c>
      <c r="MP11">
        <f>IF($BH$11="",FALSE,SUMPRODUCT(('Final Calculation Sheet'!$J$4:$J$40=$BH$11)*($MO$6:$MO$42=1))&gt;0)</f>
        <v/>
      </c>
      <c r="MQ11">
        <f>$MQ$10+--($MP11)</f>
        <v/>
      </c>
      <c r="MR11">
        <f>IF(ROW()-3&gt;MAX($MQ$4:$MQ$40),"",INDEX($BH$4:$BH$40,MATCH(ROW()-3,$MQ$4:$MQ$40,0)))</f>
        <v/>
      </c>
      <c r="MS11">
        <f>IF(COUNTIF('Buyer Groups'!DG64:DP64,0)+COUNTIF('Buyer Groups'!DR64:EN64,0)&gt;0,0,1)</f>
        <v/>
      </c>
      <c r="MT11">
        <f>IF($BM$11="",FALSE,SUMPRODUCT(('Final Calculation Sheet'!$K$4:$K$40=$BM$11)*($MS$6:$MS$42=1))&gt;0)</f>
        <v/>
      </c>
      <c r="MU11">
        <f>$MU$10+--($MT11)</f>
        <v/>
      </c>
      <c r="MV11">
        <f>IF(ROW()-3&gt;MAX($MU$4:$MU$40),"",INDEX($BM$4:$BM$40,MATCH(ROW()-3,$MU$4:$MU$40,0)))</f>
        <v/>
      </c>
      <c r="MW11">
        <f>IF(COUNTIF('Buyer Groups'!DG64:DQ64,0)+COUNTIF('Buyer Groups'!DS64:EN64,0)&gt;0,0,1)</f>
        <v/>
      </c>
      <c r="MX11">
        <f>IF($BR$11="",FALSE,SUMPRODUCT(('Final Calculation Sheet'!$L$4:$L$40=$BR$11)*($MW$6:$MW$42=1))&gt;0)</f>
        <v/>
      </c>
      <c r="MY11">
        <f>$MY$10+--($MX11)</f>
        <v/>
      </c>
      <c r="MZ11">
        <f>IF(ROW()-3&gt;MAX($MY$4:$MY$40),"",INDEX($BR$4:$BR$40,MATCH(ROW()-3,$MY$4:$MY$40,0)))</f>
        <v/>
      </c>
      <c r="NA11">
        <f>IF(COUNTIF('Buyer Groups'!DG64:DR64,0)+COUNTIF('Buyer Groups'!DT64:EN64,0)&gt;0,0,1)</f>
        <v/>
      </c>
      <c r="NB11">
        <f>IF($BW$11="",FALSE,SUMPRODUCT(('Final Calculation Sheet'!$M$4:$M$40=$BW$11)*($NA$6:$NA$42=1))&gt;0)</f>
        <v/>
      </c>
      <c r="NC11">
        <f>$NC$10+--($NB11)</f>
        <v/>
      </c>
      <c r="ND11">
        <f>IF(ROW()-3&gt;MAX($NC$4:$NC$40),"",INDEX($BW$4:$BW$40,MATCH(ROW()-3,$NC$4:$NC$40,0)))</f>
        <v/>
      </c>
      <c r="NE11">
        <f>IF(COUNTIF('Buyer Groups'!DG64:DS64,0)+COUNTIF('Buyer Groups'!DU64:EN64,0)&gt;0,0,1)</f>
        <v/>
      </c>
      <c r="NF11">
        <f>IF($CB$11="",FALSE,SUMPRODUCT(('Final Calculation Sheet'!$N$4:$N$40=$CB$11)*($NE$6:$NE$42=1))&gt;0)</f>
        <v/>
      </c>
      <c r="NG11">
        <f>$NG$10+--($NF11)</f>
        <v/>
      </c>
      <c r="NH11">
        <f>IF(ROW()-3&gt;MAX($NG$4:$NG$40),"",INDEX($CB$4:$CB$40,MATCH(ROW()-3,$NG$4:$NG$40,0)))</f>
        <v/>
      </c>
      <c r="NI11">
        <f>IF(COUNTIF('Buyer Groups'!DG64:DT64,0)+COUNTIF('Buyer Groups'!DV64:EN64,0)&gt;0,0,1)</f>
        <v/>
      </c>
      <c r="NJ11">
        <f>IF($CG$11="",FALSE,SUMPRODUCT(('Final Calculation Sheet'!$O$4:$O$40=$CG$11)*($NI$6:$NI$42=1))&gt;0)</f>
        <v/>
      </c>
      <c r="NK11">
        <f>$NK$10+--($NJ11)</f>
        <v/>
      </c>
      <c r="NL11">
        <f>IF(ROW()-3&gt;MAX($NK$4:$NK$40),"",INDEX($CG$4:$CG$40,MATCH(ROW()-3,$NK$4:$NK$40,0)))</f>
        <v/>
      </c>
      <c r="NM11">
        <f>IF(COUNTIF('Buyer Groups'!DG64:DU64,0)+COUNTIF('Buyer Groups'!DW64:EN64,0)&gt;0,0,1)</f>
        <v/>
      </c>
      <c r="NN11">
        <f>IF($CL$11="",FALSE,SUMPRODUCT(('Final Calculation Sheet'!$P$4:$P$40=$CL$11)*($NM$6:$NM$42=1))&gt;0)</f>
        <v/>
      </c>
      <c r="NO11">
        <f>$NO$10+--($NN11)</f>
        <v/>
      </c>
      <c r="NP11">
        <f>IF(ROW()-3&gt;MAX($NO$4:$NO$40),"",INDEX($CL$4:$CL$40,MATCH(ROW()-3,$NO$4:$NO$40,0)))</f>
        <v/>
      </c>
      <c r="NQ11">
        <f>IF(COUNTIF('Buyer Groups'!DG64:DV64,0)+COUNTIF('Buyer Groups'!DX64:EN64,0)&gt;0,0,1)</f>
        <v/>
      </c>
      <c r="NR11">
        <f>IF($CQ$11="",FALSE,SUMPRODUCT(('Final Calculation Sheet'!$Q$4:$Q$40=$CQ$11)*($NQ$6:$NQ$42=1))&gt;0)</f>
        <v/>
      </c>
      <c r="NS11">
        <f>$NS$10+--($NR11)</f>
        <v/>
      </c>
      <c r="NT11">
        <f>IF(ROW()-3&gt;MAX($NS$4:$NS$40),"",INDEX($CQ$4:$CQ$40,MATCH(ROW()-3,$NS$4:$NS$40,0)))</f>
        <v/>
      </c>
      <c r="NU11">
        <f>IF(COUNTIF('Buyer Groups'!DG64:DW64,0)+COUNTIF('Buyer Groups'!DY64:EN64,0)&gt;0,0,1)</f>
        <v/>
      </c>
      <c r="NV11">
        <f>IF($CV$11="",FALSE,SUMPRODUCT(('Final Calculation Sheet'!$R$4:$R$40=$CV$11)*($NU$6:$NU$42=1))&gt;0)</f>
        <v/>
      </c>
      <c r="NW11">
        <f>$NW$10+--($NV11)</f>
        <v/>
      </c>
      <c r="NX11">
        <f>IF(ROW()-3&gt;MAX($NW$4:$NW$40),"",INDEX($CV$4:$CV$40,MATCH(ROW()-3,$NW$4:$NW$40,0)))</f>
        <v/>
      </c>
      <c r="NY11">
        <f>IF(COUNTIF('Buyer Groups'!DG64:DX64,0)+COUNTIF('Buyer Groups'!DZ64:EN64,0)&gt;0,0,1)</f>
        <v/>
      </c>
      <c r="NZ11">
        <f>IF($DA$11="",FALSE,SUMPRODUCT(('Final Calculation Sheet'!$S$4:$S$40=$DA$11)*($NY$6:$NY$42=1))&gt;0)</f>
        <v/>
      </c>
      <c r="OA11">
        <f>$OA$10+--($NZ11)</f>
        <v/>
      </c>
      <c r="OB11">
        <f>IF(ROW()-3&gt;MAX($OA$4:$OA$40),"",INDEX($DA$4:$DA$40,MATCH(ROW()-3,$OA$4:$OA$40,0)))</f>
        <v/>
      </c>
      <c r="OC11">
        <f>IF(COUNTIF('Buyer Groups'!DG64:DY64,0)+COUNTIF('Buyer Groups'!EA64:EN64,0)&gt;0,0,1)</f>
        <v/>
      </c>
      <c r="OD11">
        <f>IF($DF$11="",FALSE,SUMPRODUCT(('Final Calculation Sheet'!$T$4:$T$40=$DF$11)*($OC$6:$OC$42=1))&gt;0)</f>
        <v/>
      </c>
      <c r="OE11">
        <f>$OE$10+--($OD11)</f>
        <v/>
      </c>
      <c r="OF11">
        <f>IF(ROW()-3&gt;MAX($OE$4:$OE$40),"",INDEX($DF$4:$DF$40,MATCH(ROW()-3,$OE$4:$OE$40,0)))</f>
        <v/>
      </c>
      <c r="OG11">
        <f>IF(COUNTIF('Buyer Groups'!DG64:DZ64,0)+COUNTIF('Buyer Groups'!EB64:EN64,0)&gt;0,0,1)</f>
        <v/>
      </c>
      <c r="OH11">
        <f>IF($DK$11="",FALSE,SUMPRODUCT(('Final Calculation Sheet'!$U$4:$U$40=$DK$11)*($OG$6:$OG$42=1))&gt;0)</f>
        <v/>
      </c>
      <c r="OI11">
        <f>$OI$10+--($OH11)</f>
        <v/>
      </c>
      <c r="OJ11">
        <f>IF(ROW()-3&gt;MAX($OI$4:$OI$40),"",INDEX($DK$4:$DK$40,MATCH(ROW()-3,$OI$4:$OI$40,0)))</f>
        <v/>
      </c>
      <c r="OK11">
        <f>IF(COUNTIF('Buyer Groups'!DG64:EA64,0)+COUNTIF('Buyer Groups'!EC64:EN64,0)&gt;0,0,1)</f>
        <v/>
      </c>
      <c r="OL11">
        <f>IF($DP$11="",FALSE,SUMPRODUCT(('Final Calculation Sheet'!$V$4:$V$40=$DP$11)*($OK$6:$OK$42=1))&gt;0)</f>
        <v/>
      </c>
      <c r="OM11">
        <f>$OM$10+--($OL11)</f>
        <v/>
      </c>
      <c r="ON11">
        <f>IF(ROW()-3&gt;MAX($OM$4:$OM$40),"",INDEX($DP$4:$DP$40,MATCH(ROW()-3,$OM$4:$OM$40,0)))</f>
        <v/>
      </c>
      <c r="OO11">
        <f>IF(COUNTIF('Buyer Groups'!DG64:EB64,0)+COUNTIF('Buyer Groups'!ED64:EN64,0)&gt;0,0,1)</f>
        <v/>
      </c>
      <c r="OP11">
        <f>IF($DU$11="",FALSE,SUMPRODUCT(('Final Calculation Sheet'!$W$4:$W$40=$DU$11)*($OO$6:$OO$42=1))&gt;0)</f>
        <v/>
      </c>
      <c r="OQ11">
        <f>$OQ$10+--($OP11)</f>
        <v/>
      </c>
      <c r="OR11">
        <f>IF(ROW()-3&gt;MAX($OQ$4:$OQ$40),"",INDEX($DU$4:$DU$40,MATCH(ROW()-3,$OQ$4:$OQ$40,0)))</f>
        <v/>
      </c>
      <c r="OS11">
        <f>IF(COUNTIF('Buyer Groups'!DG64:EC64,0)+COUNTIF('Buyer Groups'!EE64:EN64,0)&gt;0,0,1)</f>
        <v/>
      </c>
      <c r="OT11">
        <f>IF($DZ$11="",FALSE,SUMPRODUCT(('Final Calculation Sheet'!$X$4:$X$40=$DZ$11)*($OS$6:$OS$42=1))&gt;0)</f>
        <v/>
      </c>
      <c r="OU11">
        <f>$OU$10+--($OT11)</f>
        <v/>
      </c>
      <c r="OV11">
        <f>IF(ROW()-3&gt;MAX($OU$4:$OU$40),"",INDEX($DZ$4:$DZ$40,MATCH(ROW()-3,$OU$4:$OU$40,0)))</f>
        <v/>
      </c>
      <c r="OW11">
        <f>IF(COUNTIF('Buyer Groups'!DG64:ED64,0)+COUNTIF('Buyer Groups'!EF64:EN64,0)&gt;0,0,1)</f>
        <v/>
      </c>
      <c r="OX11">
        <f>IF($EE$11="",FALSE,SUMPRODUCT(('Final Calculation Sheet'!$Y$4:$Y$40=$EE$11)*($OW$6:$OW$42=1))&gt;0)</f>
        <v/>
      </c>
      <c r="OY11">
        <f>$OY$10+--($OX11)</f>
        <v/>
      </c>
      <c r="OZ11">
        <f>IF(ROW()-3&gt;MAX($OY$4:$OY$40),"",INDEX($EE$4:$EE$40,MATCH(ROW()-3,$OY$4:$OY$40,0)))</f>
        <v/>
      </c>
      <c r="PA11">
        <f>IF(COUNTIF('Buyer Groups'!DG64:EE64,0)+COUNTIF('Buyer Groups'!EG64:EN64,0)&gt;0,0,1)</f>
        <v/>
      </c>
      <c r="PB11">
        <f>IF($EJ$11="",FALSE,SUMPRODUCT(('Final Calculation Sheet'!$Z$4:$Z$40=$EJ$11)*($PA$6:$PA$42=1))&gt;0)</f>
        <v/>
      </c>
      <c r="PC11">
        <f>$PC$10+--($PB11)</f>
        <v/>
      </c>
      <c r="PD11">
        <f>IF(ROW()-3&gt;MAX($PC$4:$PC$40),"",INDEX($EJ$4:$EJ$40,MATCH(ROW()-3,$PC$4:$PC$40,0)))</f>
        <v/>
      </c>
      <c r="PE11">
        <f>IF(COUNTIF('Buyer Groups'!DG64:EF64,0)+COUNTIF('Buyer Groups'!EH64:EN64,0)&gt;0,0,1)</f>
        <v/>
      </c>
      <c r="PF11">
        <f>IF($EO$11="",FALSE,SUMPRODUCT(('Final Calculation Sheet'!$AA$4:$AA$40=$EO$11)*($PE$6:$PE$42=1))&gt;0)</f>
        <v/>
      </c>
      <c r="PG11">
        <f>$PG$10+--($PF11)</f>
        <v/>
      </c>
      <c r="PH11">
        <f>IF(ROW()-3&gt;MAX($PG$4:$PG$40),"",INDEX($EO$4:$EO$40,MATCH(ROW()-3,$PG$4:$PG$40,0)))</f>
        <v/>
      </c>
      <c r="PI11">
        <f>IF(COUNTIF('Buyer Groups'!DG64:EG64,0)+COUNTIF('Buyer Groups'!EI64:EN64,0)&gt;0,0,1)</f>
        <v/>
      </c>
      <c r="PJ11">
        <f>IF($ET$11="",FALSE,SUMPRODUCT(('Final Calculation Sheet'!$AB$4:$AB$40=$ET$11)*($PI$6:$PI$42=1))&gt;0)</f>
        <v/>
      </c>
      <c r="PK11">
        <f>$PK$10+--($PJ11)</f>
        <v/>
      </c>
      <c r="PL11">
        <f>IF(ROW()-3&gt;MAX($PK$4:$PK$40),"",INDEX($ET$4:$ET$40,MATCH(ROW()-3,$PK$4:$PK$40,0)))</f>
        <v/>
      </c>
      <c r="PM11">
        <f>IF(COUNTIF('Buyer Groups'!DG64:EH64,0)+COUNTIF('Buyer Groups'!EJ64:EN64,0)&gt;0,0,1)</f>
        <v/>
      </c>
      <c r="PN11">
        <f>IF($EY$11="",FALSE,SUMPRODUCT(('Final Calculation Sheet'!$AC$4:$AC$40=$EY$11)*($PM$6:$PM$42=1))&gt;0)</f>
        <v/>
      </c>
      <c r="PO11">
        <f>$PO$10+--($PN11)</f>
        <v/>
      </c>
      <c r="PP11">
        <f>IF(ROW()-3&gt;MAX($PO$4:$PO$40),"",INDEX($EY$4:$EY$40,MATCH(ROW()-3,$PO$4:$PO$40,0)))</f>
        <v/>
      </c>
      <c r="PQ11">
        <f>IF(COUNTIF('Buyer Groups'!DG64:EI64,0)+COUNTIF('Buyer Groups'!EK64:EN64,0)&gt;0,0,1)</f>
        <v/>
      </c>
      <c r="PR11">
        <f>IF($FD$11="",FALSE,SUMPRODUCT(('Final Calculation Sheet'!$AD$4:$AD$40=$FD$11)*($PQ$6:$PQ$42=1))&gt;0)</f>
        <v/>
      </c>
      <c r="PS11">
        <f>$PS$10+--($PR11)</f>
        <v/>
      </c>
      <c r="PT11">
        <f>IF(ROW()-3&gt;MAX($PS$4:$PS$40),"",INDEX($FD$4:$FD$40,MATCH(ROW()-3,$PS$4:$PS$40,0)))</f>
        <v/>
      </c>
      <c r="PU11">
        <f>IF(COUNTIF('Buyer Groups'!DG64:EJ64,0)+COUNTIF('Buyer Groups'!EL64:EN64,0)&gt;0,0,1)</f>
        <v/>
      </c>
      <c r="PV11">
        <f>IF($FX$11="",FALSE,SUMPRODUCT((IF('Final Calculation Sheet'!$AD$4:$AD$40&lt;=5,"SETTLED","OUTSTANDING")=$FX$11)*($PU$6:$PU$42=1))&gt;0)</f>
        <v/>
      </c>
      <c r="PW11">
        <f>$PW$10+--($PV11)</f>
        <v/>
      </c>
      <c r="PX11">
        <f>IF(ROW()-3&gt;MAX($PW$4:$PW$40),"",INDEX($FX$4:$FX$40,MATCH(ROW()-3,$PW$4:$PW$40,0)))</f>
        <v/>
      </c>
      <c r="PY11">
        <f>IF(COUNTIF('Buyer Groups'!DG64:EK64,0)+COUNTIF('Buyer Groups'!EM64:EN64,0)&gt;0,0,1)</f>
        <v/>
      </c>
      <c r="PZ11">
        <f>IF($FI$11="",FALSE,SUMPRODUCT(('Final Calculation Sheet'!$AF$4:$AF$40=$FI$11)*($PY$6:$PY$42=1))&gt;0)</f>
        <v/>
      </c>
      <c r="QA11">
        <f>$QA$10+--($PZ11)</f>
        <v/>
      </c>
      <c r="QB11">
        <f>IF(ROW()-3&gt;MAX($QA$4:$QA$40),"",INDEX($FI$4:$FI$40,MATCH(ROW()-3,$QA$4:$QA$40,0)))</f>
        <v/>
      </c>
      <c r="QC11">
        <f>IF(COUNTIF('Buyer Groups'!DG64:EL64,0)+COUNTIF('Buyer Groups'!EN64:EN64,0)&gt;0,0,1)</f>
        <v/>
      </c>
      <c r="QD11">
        <f>IF($FN$11="",FALSE,SUMPRODUCT(('Final Calculation Sheet'!$AG$4:$AG$40=$FN$11)*($QC$6:$QC$42=1))&gt;0)</f>
        <v/>
      </c>
      <c r="QE11">
        <f>$QE$10+--($QD11)</f>
        <v/>
      </c>
      <c r="QF11">
        <f>IF(ROW()-3&gt;MAX($QE$4:$QE$40),"",INDEX($FN$4:$FN$40,MATCH(ROW()-3,$QE$4:$QE$40,0)))</f>
        <v/>
      </c>
      <c r="QG11">
        <f>IF(COUNTIF('Buyer Groups'!DG64:EM64,0)&gt;0,0,1)</f>
        <v/>
      </c>
      <c r="QH11">
        <f>IF($FS$11="",FALSE,SUMPRODUCT(('Final Calculation Sheet'!$AH$4:$AH$40=$FS$11)*($QG$6:$QG$42=1))&gt;0)</f>
        <v/>
      </c>
      <c r="QI11">
        <f>$QI$10+--($QH11)</f>
        <v/>
      </c>
      <c r="QJ11">
        <f>IF(ROW()-3&gt;MAX($QI$4:$QI$40),"",INDEX($FS$4:$FS$40,MATCH(ROW()-3,$QI$4:$QI$40,0)))</f>
        <v/>
      </c>
      <c r="QK11" t="str">
        <f>IF('Final Calculation Sheet'!$AH$11="","",'Final Calculation Sheet'!$AH$11)</f>
      </c>
      <c r="QL11" t="str">
        <f>IF(QK11="","",COUNTIFS(QK$4:QK$40,"&lt;"&amp;QK11,QK$4:QK$40,"&lt;&gt;"&amp;"")+COUNTIF(QK$4:QK11,QK11))</f>
      </c>
      <c r="QM11" t="str">
        <f>IF(ROW()-3&gt;COUNTIF(QK$4:QK$40,"&lt;&gt;"&amp;""),"",INDEX(QK$4:QK$40,MATCH(ROW()-3,QL$4:QL$40,0)))</f>
      </c>
      <c r="QN11" t="str">
        <f>=QN10+F(AND(QM11&lt;&gt;"",COUNTIF(QM$4:QM11,QM11)=1),1,0)</f>
      </c>
      <c r="QO11" t="str">
        <f>IF(ROW()-3&gt;MAX(QN$4:QN$40),"",INDEX(QM$4:QM$40,MATCH(ROW()-3,QN$4:QN$40,0)))</f>
      </c>
      <c r="QP11" t="str">
        <f>IF(COUNTIF('Final Calculation Sheet'!$AM11:$BS11,0)&gt;0,0,1)</f>
      </c>
      <c r="QQ11" t="str">
        <f>IF($AI$11="",FALSE,SUMPRODUCT(('Final Calculation Sheet'!$A$4:$A$40=$AI$11)*($QP$4:$QP$40=1))&gt;0)</f>
      </c>
      <c r="QR11" t="str">
        <f>=$QR10+--($QQ11)</f>
      </c>
      <c r="QS11" t="str">
        <f>IF(ROW()-3&gt;MAX($QR$4:$QR$40),"",INDEX($AI$4:$AI$40,MATCH(ROW()-3,$QR$4:$QR$40,0)))</f>
      </c>
      <c r="QT11" t="str">
        <f>IF(COUNTIF('Final Calculation Sheet'!$AL11:$AL11,0)+COUNTIF('Final Calculation Sheet'!$AN11:$BS11,0)&gt;0,0,1)</f>
      </c>
      <c r="QU11" t="str">
        <f>IF($Y$11="",FALSE,SUMPRODUCT(('Final Calculation Sheet'!$B$4:$B$40=$Y$11)*($QT$4:$QT$40=1))&gt;0)</f>
      </c>
      <c r="QV11" t="str">
        <f>=$QV10+--($QU11)</f>
      </c>
      <c r="QW11" t="str">
        <f>IF(ROW()-3&gt;MAX($QV$4:$QV$40),"",INDEX($Y$4:$Y$40,MATCH(ROW()-3,$QV$4:$QV$40,0)))</f>
      </c>
      <c r="QX11" t="str">
        <f>IF(COUNTIF('Final Calculation Sheet'!$AL11:$AM11,0)+COUNTIF('Final Calculation Sheet'!$AO11:$BS11,0)&gt;0,0,1)</f>
      </c>
      <c r="QY11" t="str">
        <f>IF($AS$11="",FALSE,SUMPRODUCT(('Final Calculation Sheet'!$C$4:$C$40=$AS$11)*($QX$4:$QX$40=1))&gt;0)</f>
      </c>
      <c r="QZ11" t="str">
        <f>=$QZ10+--($QY11)</f>
      </c>
      <c r="RA11" t="str">
        <f>IF(ROW()-3&gt;MAX($QZ$4:$QZ$40),"",INDEX($AS$4:$AS$40,MATCH(ROW()-3,$QZ$4:$QZ$40,0)))</f>
      </c>
      <c r="RB11" t="str">
        <f>IF(COUNTIF('Final Calculation Sheet'!$AL11:$AN11,0)+COUNTIF('Final Calculation Sheet'!$AP11:$BS11,0)&gt;0,0,1)</f>
      </c>
      <c r="RC11" t="str">
        <f>IF($AD$11="",FALSE,SUMPRODUCT(('Final Calculation Sheet'!$D$4:$D$40=$AD$11)*($RB$4:$RB$40=1))&gt;0)</f>
      </c>
      <c r="RD11" t="str">
        <f>=$RD10+--($RC11)</f>
      </c>
      <c r="RE11" t="str">
        <f>IF(ROW()-3&gt;MAX($RD$4:$RD$40),"",INDEX($AD$4:$AD$40,MATCH(ROW()-3,$RD$4:$RD$40,0)))</f>
      </c>
      <c r="RF11" t="str">
        <f>IF(COUNTIF('Final Calculation Sheet'!$AL11:$AO11,0)+COUNTIF('Final Calculation Sheet'!$AQ11:$BS11,0)&gt;0,0,1)</f>
      </c>
      <c r="RG11" t="str">
        <f>IF($AN$11="",FALSE,SUMPRODUCT(('Final Calculation Sheet'!$E$4:$E$40=$AN$11)*($RF$4:$RF$40=1))&gt;0)</f>
      </c>
      <c r="RH11" t="str">
        <f>=$RH10+--($RG11)</f>
      </c>
      <c r="RI11" t="str">
        <f>IF(ROW()-3&gt;MAX($RH$4:$RH$40),"",INDEX($AN$4:$AN$40,MATCH(ROW()-3,$RH$4:$RH$40,0)))</f>
      </c>
      <c r="RJ11" t="str">
        <f>IF(COUNTIF('Final Calculation Sheet'!$AL11:$AP11,0)+COUNTIF('Final Calculation Sheet'!$AR11:$BS11,0)&gt;0,0,1)</f>
      </c>
      <c r="RK11" t="str">
        <f>IF($O$11="",FALSE,SUMPRODUCT(('Final Calculation Sheet'!$F$4:$F$40=$O$11)*($RJ$4:$RJ$40=1))&gt;0)</f>
      </c>
      <c r="RL11" t="str">
        <f>=$RL10+--($RK11)</f>
      </c>
      <c r="RM11" t="str">
        <f>IF(ROW()-3&gt;MAX($RL$4:$RL$40),"",INDEX($O$4:$O$40,MATCH(ROW()-3,$RL$4:$RL$40,0)))</f>
      </c>
      <c r="RN11" t="str">
        <f>IF(COUNTIF('Final Calculation Sheet'!$AL11:$AQ11,0)+COUNTIF('Final Calculation Sheet'!$AS11:$BS11,0)&gt;0,0,1)</f>
      </c>
      <c r="RO11" t="str">
        <f>IF($T$11="",FALSE,SUMPRODUCT(('Final Calculation Sheet'!$G$4:$G$40=$T$11)*($RN$4:$RN$40=1))&gt;0)</f>
      </c>
      <c r="RP11" t="str">
        <f>=$RP10+--($RO11)</f>
      </c>
      <c r="RQ11" t="str">
        <f>IF(ROW()-3&gt;MAX($RP$4:$RP$40),"",INDEX($T$4:$T$40,MATCH(ROW()-3,$RP$4:$RP$40,0)))</f>
      </c>
      <c r="RR11" t="str">
        <f>IF(COUNTIF('Final Calculation Sheet'!$AL11:$AR11,0)+COUNTIF('Final Calculation Sheet'!$AT11:$BS11,0)&gt;0,0,1)</f>
      </c>
      <c r="RS11" t="str">
        <f>IF($AX$11="",FALSE,SUMPRODUCT(('Final Calculation Sheet'!$H$4:$H$40=$AX$11)*($RR$4:$RR$40=1))&gt;0)</f>
      </c>
      <c r="RT11" t="str">
        <f>=$RT10+--($RS11)</f>
      </c>
      <c r="RU11" t="str">
        <f>IF(ROW()-3&gt;MAX($RT$4:$RT$40),"",INDEX($AX$4:$AX$40,MATCH(ROW()-3,$RT$4:$RT$40,0)))</f>
      </c>
      <c r="RV11" t="str">
        <f>IF(COUNTIF('Final Calculation Sheet'!$AL11:$AS11,0)+COUNTIF('Final Calculation Sheet'!$AU11:$BS11,0)&gt;0,0,1)</f>
      </c>
      <c r="RW11" t="str">
        <f>IF($BC$11="",FALSE,SUMPRODUCT(('Final Calculation Sheet'!$I$4:$I$40=$BC$11)*($RV$4:$RV$40=1))&gt;0)</f>
      </c>
      <c r="RX11" t="str">
        <f>=$RX10+--($RW11)</f>
      </c>
      <c r="RY11" t="str">
        <f>IF(ROW()-3&gt;MAX($RX$4:$RX$40),"",INDEX($BC$4:$BC$40,MATCH(ROW()-3,$RX$4:$RX$40,0)))</f>
      </c>
      <c r="RZ11" t="str">
        <f>IF(COUNTIF('Final Calculation Sheet'!$AL11:$AT11,0)+COUNTIF('Final Calculation Sheet'!$AV11:$BS11,0)&gt;0,0,1)</f>
      </c>
      <c r="SA11" t="str">
        <f>IF($BH$11="",FALSE,SUMPRODUCT(('Final Calculation Sheet'!$J$4:$J$40=$BH$11)*($RZ$4:$RZ$40=1))&gt;0)</f>
      </c>
      <c r="SB11" t="str">
        <f>=$SB10+--($SA11)</f>
      </c>
      <c r="SC11" t="str">
        <f>IF(ROW()-3&gt;MAX($SB$4:$SB$40),"",INDEX($BH$4:$BH$40,MATCH(ROW()-3,$SB$4:$SB$40,0)))</f>
      </c>
      <c r="SD11" t="str">
        <f>IF(COUNTIF('Final Calculation Sheet'!$AL11:$AU11,0)+COUNTIF('Final Calculation Sheet'!$AW11:$BS11,0)&gt;0,0,1)</f>
      </c>
      <c r="SE11" t="str">
        <f>IF($BM$11="",FALSE,SUMPRODUCT(('Final Calculation Sheet'!$K$4:$K$40=$BM$11)*($SD$4:$SD$40=1))&gt;0)</f>
      </c>
      <c r="SF11" t="str">
        <f>=$SF10+--($SE11)</f>
      </c>
      <c r="SG11" t="str">
        <f>IF(ROW()-3&gt;MAX($SF$4:$SF$40),"",INDEX($BM$4:$BM$40,MATCH(ROW()-3,$SF$4:$SF$40,0)))</f>
      </c>
      <c r="SH11" t="str">
        <f>IF(COUNTIF('Final Calculation Sheet'!$AL11:$AV11,0)+COUNTIF('Final Calculation Sheet'!$AX11:$BS11,0)&gt;0,0,1)</f>
      </c>
      <c r="SI11" t="str">
        <f>IF($BR$11="",FALSE,SUMPRODUCT(('Final Calculation Sheet'!$L$4:$L$40=$BR$11)*($SH$4:$SH$40=1))&gt;0)</f>
      </c>
      <c r="SJ11" t="str">
        <f>=$SJ10+--($SI11)</f>
      </c>
      <c r="SK11" t="str">
        <f>IF(ROW()-3&gt;MAX($SJ$4:$SJ$40),"",INDEX($BR$4:$BR$40,MATCH(ROW()-3,$SJ$4:$SJ$40,0)))</f>
      </c>
      <c r="SL11" t="str">
        <f>IF(COUNTIF('Final Calculation Sheet'!$AL11:$AW11,0)+COUNTIF('Final Calculation Sheet'!$AY11:$BS11,0)&gt;0,0,1)</f>
      </c>
      <c r="SM11" t="str">
        <f>IF($BW$11="",FALSE,SUMPRODUCT(('Final Calculation Sheet'!$M$4:$M$40=$BW$11)*($SL$4:$SL$40=1))&gt;0)</f>
      </c>
      <c r="SN11" t="str">
        <f>=$SN10+--($SM11)</f>
      </c>
      <c r="SO11" t="str">
        <f>IF(ROW()-3&gt;MAX($SN$4:$SN$40),"",INDEX($BW$4:$BW$40,MATCH(ROW()-3,$SN$4:$SN$40,0)))</f>
      </c>
      <c r="SP11" t="str">
        <f>IF(COUNTIF('Final Calculation Sheet'!$AL11:$AX11,0)+COUNTIF('Final Calculation Sheet'!$AZ11:$BS11,0)&gt;0,0,1)</f>
      </c>
      <c r="SQ11" t="str">
        <f>IF($CB$11="",FALSE,SUMPRODUCT(('Final Calculation Sheet'!$N$4:$N$40=$CB$11)*($SP$4:$SP$40=1))&gt;0)</f>
      </c>
      <c r="SR11" t="str">
        <f>=$SR10+--($SQ11)</f>
      </c>
      <c r="SS11" t="str">
        <f>IF(ROW()-3&gt;MAX($SR$4:$SR$40),"",INDEX($CB$4:$CB$40,MATCH(ROW()-3,$SR$4:$SR$40,0)))</f>
      </c>
      <c r="ST11" t="str">
        <f>IF(COUNTIF('Final Calculation Sheet'!$AL11:$AY11,0)+COUNTIF('Final Calculation Sheet'!$BA11:$BS11,0)&gt;0,0,1)</f>
      </c>
      <c r="SU11" t="str">
        <f>IF($CG$11="",FALSE,SUMPRODUCT(('Final Calculation Sheet'!$O$4:$O$40=$CG$11)*($ST$4:$ST$40=1))&gt;0)</f>
      </c>
      <c r="SV11" t="str">
        <f>=$SV10+--($SU11)</f>
      </c>
      <c r="SW11" t="str">
        <f>IF(ROW()-3&gt;MAX($SV$4:$SV$40),"",INDEX($CG$4:$CG$40,MATCH(ROW()-3,$SV$4:$SV$40,0)))</f>
      </c>
      <c r="SX11" t="str">
        <f>IF(COUNTIF('Final Calculation Sheet'!$AL11:$AZ11,0)+COUNTIF('Final Calculation Sheet'!$BB11:$BS11,0)&gt;0,0,1)</f>
      </c>
      <c r="SY11" t="str">
        <f>IF($CL$11="",FALSE,SUMPRODUCT(('Final Calculation Sheet'!$P$4:$P$40=$CL$11)*($SX$4:$SX$40=1))&gt;0)</f>
      </c>
      <c r="SZ11" t="str">
        <f>=$SZ10+--($SY11)</f>
      </c>
      <c r="TA11" t="str">
        <f>IF(ROW()-3&gt;MAX($SZ$4:$SZ$40),"",INDEX($CL$4:$CL$40,MATCH(ROW()-3,$SZ$4:$SZ$40,0)))</f>
      </c>
      <c r="TB11" t="str">
        <f>IF(COUNTIF('Final Calculation Sheet'!$AL11:$BA11,0)+COUNTIF('Final Calculation Sheet'!$BC11:$BS11,0)&gt;0,0,1)</f>
      </c>
      <c r="TC11" t="str">
        <f>IF($CQ$11="",FALSE,SUMPRODUCT(('Final Calculation Sheet'!$Q$4:$Q$40=$CQ$11)*($TB$4:$TB$40=1))&gt;0)</f>
      </c>
      <c r="TD11" t="str">
        <f>=$TD10+--($TC11)</f>
      </c>
      <c r="TE11" t="str">
        <f>IF(ROW()-3&gt;MAX($TD$4:$TD$40),"",INDEX($CQ$4:$CQ$40,MATCH(ROW()-3,$TD$4:$TD$40,0)))</f>
      </c>
      <c r="TF11" t="str">
        <f>IF(COUNTIF('Final Calculation Sheet'!$AL11:$BB11,0)+COUNTIF('Final Calculation Sheet'!$BD11:$BS11,0)&gt;0,0,1)</f>
      </c>
      <c r="TG11" t="str">
        <f>IF($CV$11="",FALSE,SUMPRODUCT(('Final Calculation Sheet'!$R$4:$R$40=$CV$11)*($TF$4:$TF$40=1))&gt;0)</f>
      </c>
      <c r="TH11" t="str">
        <f>=$TH10+--($TG11)</f>
      </c>
      <c r="TI11" t="str">
        <f>IF(ROW()-3&gt;MAX($TH$4:$TH$40),"",INDEX($CV$4:$CV$40,MATCH(ROW()-3,$TH$4:$TH$40,0)))</f>
      </c>
      <c r="TJ11" t="str">
        <f>IF(COUNTIF('Final Calculation Sheet'!$AL11:$BC11,0)+COUNTIF('Final Calculation Sheet'!$BE11:$BS11,0)&gt;0,0,1)</f>
      </c>
      <c r="TK11" t="str">
        <f>IF($DA$11="",FALSE,SUMPRODUCT(('Final Calculation Sheet'!$S$4:$S$40=$DA$11)*($TJ$4:$TJ$40=1))&gt;0)</f>
      </c>
      <c r="TL11" t="str">
        <f>=$TL10+--($TK11)</f>
      </c>
      <c r="TM11" t="str">
        <f>IF(ROW()-3&gt;MAX($TL$4:$TL$40),"",INDEX($DA$4:$DA$40,MATCH(ROW()-3,$TL$4:$TL$40,0)))</f>
      </c>
      <c r="TN11" t="str">
        <f>IF(COUNTIF('Final Calculation Sheet'!$AL11:$BD11,0)+COUNTIF('Final Calculation Sheet'!$BF11:$BS11,0)&gt;0,0,1)</f>
      </c>
      <c r="TO11" t="str">
        <f>IF($DF$11="",FALSE,SUMPRODUCT(('Final Calculation Sheet'!$T$4:$T$40=$DF$11)*($TN$4:$TN$40=1))&gt;0)</f>
      </c>
      <c r="TP11" t="str">
        <f>=$TP10+--($TO11)</f>
      </c>
      <c r="TQ11" t="str">
        <f>IF(ROW()-3&gt;MAX($TP$4:$TP$40),"",INDEX($DF$4:$DF$40,MATCH(ROW()-3,$TP$4:$TP$40,0)))</f>
      </c>
      <c r="TR11" t="str">
        <f>IF(COUNTIF('Final Calculation Sheet'!$AL11:$BE11,0)+COUNTIF('Final Calculation Sheet'!$BG11:$BS11,0)&gt;0,0,1)</f>
      </c>
      <c r="TS11" t="str">
        <f>IF($DK$11="",FALSE,SUMPRODUCT(('Final Calculation Sheet'!$U$4:$U$40=$DK$11)*($TR$4:$TR$40=1))&gt;0)</f>
      </c>
      <c r="TT11" t="str">
        <f>=$TT10+--($TS11)</f>
      </c>
      <c r="TU11" t="str">
        <f>IF(ROW()-3&gt;MAX($TT$4:$TT$40),"",INDEX($DK$4:$DK$40,MATCH(ROW()-3,$TT$4:$TT$40,0)))</f>
      </c>
      <c r="TV11" t="str">
        <f>IF(COUNTIF('Final Calculation Sheet'!$AL11:$BF11,0)+COUNTIF('Final Calculation Sheet'!$BH11:$BS11,0)&gt;0,0,1)</f>
      </c>
      <c r="TW11" t="str">
        <f>IF($DP$11="",FALSE,SUMPRODUCT(('Final Calculation Sheet'!$V$4:$V$40=$DP$11)*($TV$4:$TV$40=1))&gt;0)</f>
      </c>
      <c r="TX11" t="str">
        <f>=$TX10+--($TW11)</f>
      </c>
      <c r="TY11" t="str">
        <f>IF(ROW()-3&gt;MAX($TX$4:$TX$40),"",INDEX($DP$4:$DP$40,MATCH(ROW()-3,$TX$4:$TX$40,0)))</f>
      </c>
      <c r="TZ11" t="str">
        <f>IF(COUNTIF('Final Calculation Sheet'!$AL11:$BG11,0)+COUNTIF('Final Calculation Sheet'!$BI11:$BS11,0)&gt;0,0,1)</f>
      </c>
      <c r="UA11" t="str">
        <f>IF($DU$11="",FALSE,SUMPRODUCT(('Final Calculation Sheet'!$W$4:$W$40=$DU$11)*($TZ$4:$TZ$40=1))&gt;0)</f>
      </c>
      <c r="UB11" t="str">
        <f>=$UB10+--($UA11)</f>
      </c>
      <c r="UC11" t="str">
        <f>IF(ROW()-3&gt;MAX($UB$4:$UB$40),"",INDEX($DU$4:$DU$40,MATCH(ROW()-3,$UB$4:$UB$40,0)))</f>
      </c>
      <c r="UD11" t="str">
        <f>IF(COUNTIF('Final Calculation Sheet'!$AL11:$BH11,0)+COUNTIF('Final Calculation Sheet'!$BJ11:$BS11,0)&gt;0,0,1)</f>
      </c>
      <c r="UE11" t="str">
        <f>IF($DZ$11="",FALSE,SUMPRODUCT(('Final Calculation Sheet'!$X$4:$X$40=$DZ$11)*($UD$4:$UD$40=1))&gt;0)</f>
      </c>
      <c r="UF11" t="str">
        <f>=$UF10+--($UE11)</f>
      </c>
      <c r="UG11" t="str">
        <f>IF(ROW()-3&gt;MAX($UF$4:$UF$40),"",INDEX($DZ$4:$DZ$40,MATCH(ROW()-3,$UF$4:$UF$40,0)))</f>
      </c>
      <c r="UH11" t="str">
        <f>IF(COUNTIF('Final Calculation Sheet'!$AL11:$BI11,0)+COUNTIF('Final Calculation Sheet'!$BK11:$BS11,0)&gt;0,0,1)</f>
      </c>
      <c r="UI11" t="str">
        <f>IF($EE$11="",FALSE,SUMPRODUCT(('Final Calculation Sheet'!$Y$4:$Y$40=$EE$11)*($UH$4:$UH$40=1))&gt;0)</f>
      </c>
      <c r="UJ11" t="str">
        <f>=$UJ10+--($UI11)</f>
      </c>
      <c r="UK11" t="str">
        <f>IF(ROW()-3&gt;MAX($UJ$4:$UJ$40),"",INDEX($EE$4:$EE$40,MATCH(ROW()-3,$UJ$4:$UJ$40,0)))</f>
      </c>
      <c r="UL11" t="str">
        <f>IF(COUNTIF('Final Calculation Sheet'!$AL11:$BJ11,0)+COUNTIF('Final Calculation Sheet'!$BL11:$BS11,0)&gt;0,0,1)</f>
      </c>
      <c r="UM11" t="str">
        <f>IF($EJ$11="",FALSE,SUMPRODUCT(('Final Calculation Sheet'!$Z$4:$Z$40=$EJ$11)*($UL$4:$UL$40=1))&gt;0)</f>
      </c>
      <c r="UN11" t="str">
        <f>=$UN10+--($UM11)</f>
      </c>
      <c r="UO11" t="str">
        <f>IF(ROW()-3&gt;MAX($UN$4:$UN$40),"",INDEX($EJ$4:$EJ$40,MATCH(ROW()-3,$UN$4:$UN$40,0)))</f>
      </c>
      <c r="UP11" t="str">
        <f>IF(COUNTIF('Final Calculation Sheet'!$AL11:$BK11,0)+COUNTIF('Final Calculation Sheet'!$BM11:$BS11,0)&gt;0,0,1)</f>
      </c>
      <c r="UQ11" t="str">
        <f>IF($EO$11="",FALSE,SUMPRODUCT(('Final Calculation Sheet'!$AA$4:$AA$40=$EO$11)*($UP$4:$UP$40=1))&gt;0)</f>
      </c>
      <c r="UR11" t="str">
        <f>=$UR10+--($UQ11)</f>
      </c>
      <c r="US11" t="str">
        <f>IF(ROW()-3&gt;MAX($UR$4:$UR$40),"",INDEX($EO$4:$EO$40,MATCH(ROW()-3,$UR$4:$UR$40,0)))</f>
      </c>
      <c r="UT11" t="str">
        <f>IF(COUNTIF('Final Calculation Sheet'!$AL11:$BL11,0)+COUNTIF('Final Calculation Sheet'!$BN11:$BS11,0)&gt;0,0,1)</f>
      </c>
      <c r="UU11" t="str">
        <f>IF($ET$11="",FALSE,SUMPRODUCT(('Final Calculation Sheet'!$AB$4:$AB$40=$ET$11)*($UT$4:$UT$40=1))&gt;0)</f>
      </c>
      <c r="UV11" t="str">
        <f>=$UV10+--($UU11)</f>
      </c>
      <c r="UW11" t="str">
        <f>IF(ROW()-3&gt;MAX($UV$4:$UV$40),"",INDEX($ET$4:$ET$40,MATCH(ROW()-3,$UV$4:$UV$40,0)))</f>
      </c>
      <c r="UX11" t="str">
        <f>IF(COUNTIF('Final Calculation Sheet'!$AL11:$BM11,0)+COUNTIF('Final Calculation Sheet'!$BO11:$BS11,0)&gt;0,0,1)</f>
      </c>
      <c r="UY11" t="str">
        <f>IF($EY$11="",FALSE,SUMPRODUCT(('Final Calculation Sheet'!$AC$4:$AC$40=$EY$11)*($UX$4:$UX$40=1))&gt;0)</f>
      </c>
      <c r="UZ11" t="str">
        <f>=$UZ10+--($UY11)</f>
      </c>
      <c r="VA11" t="str">
        <f>IF(ROW()-3&gt;MAX($UZ$4:$UZ$40),"",INDEX($EY$4:$EY$40,MATCH(ROW()-3,$UZ$4:$UZ$40,0)))</f>
      </c>
      <c r="VB11" t="str">
        <f>IF(COUNTIF('Final Calculation Sheet'!$AL11:$BN11,0)+COUNTIF('Final Calculation Sheet'!$BP11:$BS11,0)&gt;0,0,1)</f>
      </c>
      <c r="VC11" t="str">
        <f>IF($FD$11="",FALSE,SUMPRODUCT(('Final Calculation Sheet'!$AD$4:$AD$40=$FD$11)*($VB$4:$VB$40=1))&gt;0)</f>
      </c>
      <c r="VD11" t="str">
        <f>=$VD10+--($VC11)</f>
      </c>
      <c r="VE11" t="str">
        <f>IF(ROW()-3&gt;MAX($VD$4:$VD$40),"",INDEX($FD$4:$FD$40,MATCH(ROW()-3,$VD$4:$VD$40,0)))</f>
      </c>
      <c r="VF11" t="str">
        <f>IF(COUNTIF('Final Calculation Sheet'!$AL11:$BO11,0)+COUNTIF('Final Calculation Sheet'!$BQ11:$BS11,0)&gt;0,0,1)</f>
      </c>
      <c r="VG11" t="str">
        <f>IF($FI$11="",FALSE,SUMPRODUCT(('Final Calculation Sheet'!$AE$4:$AE$40=$FI$11)*($VF$4:$VF$40=1))&gt;0)</f>
      </c>
      <c r="VH11" t="str">
        <f>=$VH10+--($VG11)</f>
      </c>
      <c r="VI11" t="str">
        <f>IF(ROW()-3&gt;MAX($VH$4:$VH$40),"",INDEX($FI$4:$FI$40,MATCH(ROW()-3,$VH$4:$VH$40,0)))</f>
      </c>
      <c r="VJ11" t="str">
        <f>IF(COUNTIF('Final Calculation Sheet'!$AL11:$BP11,0)+COUNTIF('Final Calculation Sheet'!$BR11:$BS11,0)&gt;0,0,1)</f>
      </c>
      <c r="VK11" t="str">
        <f>IF($FN$11="",FALSE,SUMPRODUCT(('Final Calculation Sheet'!$AF$4:$AF$40=$FN$11)*($VJ$4:$VJ$40=1))&gt;0)</f>
      </c>
      <c r="VL11" t="str">
        <f>=$VL10+--($VK11)</f>
      </c>
      <c r="VM11" t="str">
        <f>IF(ROW()-3&gt;MAX($VL$4:$VL$40),"",INDEX($FN$4:$FN$40,MATCH(ROW()-3,$VL$4:$VL$40,0)))</f>
      </c>
      <c r="VN11" t="str">
        <f>IF(COUNTIF('Final Calculation Sheet'!$AL11:$BQ11,0)+COUNTIF('Final Calculation Sheet'!$BS11:$BS11,0)&gt;0,0,1)</f>
      </c>
      <c r="VO11" t="str">
        <f>IF($FS$11="",FALSE,SUMPRODUCT(('Final Calculation Sheet'!$AG$4:$AG$40=$FS$11)*($VN$4:$VN$40=1))&gt;0)</f>
      </c>
      <c r="VP11" t="str">
        <f>=$VP10+--($VO11)</f>
      </c>
      <c r="VQ11" t="str">
        <f>IF(ROW()-3&gt;MAX($VP$4:$VP$40),"",INDEX($FS$4:$FS$40,MATCH(ROW()-3,$VP$4:$VP$40,0)))</f>
      </c>
      <c r="VR11" t="str">
        <f>IF(COUNTIF('Final Calculation Sheet'!$AL11:$BR11,0)&gt;0,0,1)</f>
      </c>
      <c r="VS11" t="str">
        <f>IF($QO$11="",FALSE,SUMPRODUCT(('Final Calculation Sheet'!$AH$4:$AH$40=$QO$11)*($VR$4:$VR$40=1))&gt;0)</f>
      </c>
      <c r="VT11" t="str">
        <f>=$VT10+--($VS11)</f>
      </c>
      <c r="VU11" t="str">
        <f>IF(ROW()-3&gt;MAX($VT$4:$VT$40),"",INDEX($QO$4:$QO$40,MATCH(ROW()-3,$VT$4:$VT$40,0)))</f>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IF(COUNTIF('Live Search'!BM$11:BM$11,0)+COUNTIF('Live Search'!B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D12">
        <f>IF($O$12="",FALSE,SUMPRODUCT(('Final Calculation Sheet'!$F$4:$F$40=$O$12)*($GC$6:$GC$42=1))&gt;0)</f>
        <v/>
      </c>
      <c r="GE12">
        <f>$GE$11+--($GD12)</f>
        <v/>
      </c>
      <c r="GF12">
        <f>IF(ROW()-3&gt;MAX($GE$4:$GE$40),"",INDEX($O$4:$O$40,MATCH(ROW()-3,$GE$4:$GE$40,0)))</f>
        <v/>
      </c>
      <c r="GG12">
        <f>IF(COUNTIF('Live Search'!BM$11:BN$11,0)+COUNTIF('Live Search'!B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H12">
        <f>IF($T$12="",FALSE,SUMPRODUCT(('Final Calculation Sheet'!$G$4:$G$40=$T$12)*($GG$6:$GG$42=1))&gt;0)</f>
        <v/>
      </c>
      <c r="GI12">
        <f>$GI$11+--($GH12)</f>
        <v/>
      </c>
      <c r="GJ12">
        <f>IF(ROW()-3&gt;MAX($GI$4:$GI$40),"",INDEX($T$4:$T$40,MATCH(ROW()-3,$GI$4:$GI$40,0)))</f>
        <v/>
      </c>
      <c r="GK12">
        <f>IF(COUNTIF('Live Search'!BM$11:BP$11,0)+COUNTIF('Live Search'!B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L12">
        <f>IF($AD$12="",FALSE,SUMPRODUCT(('Final Calculation Sheet'!$D$4:$D$40=$AD$12)*($GK$6:$GK$42=1))&gt;0)</f>
        <v/>
      </c>
      <c r="GM12">
        <f>$GM$11+--($GL12)</f>
        <v/>
      </c>
      <c r="GN12">
        <f>IF(ROW()-3&gt;MAX($GM$4:$GM$40),"",INDEX($AD$4:$AD$40,MATCH(ROW()-3,$GM$4:$GM$40,0)))</f>
        <v/>
      </c>
      <c r="GO12">
        <f>IF(COUNTIF('Live Search'!BM$11:BQ$11,0)+COUNTIF('Live Search'!B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P12">
        <f>IF($AI$12="",FALSE,SUMPRODUCT(('Final Calculation Sheet'!$A$4:$A$40=$AI$12)*($GO$6:$GO$42=1))&gt;0)</f>
        <v/>
      </c>
      <c r="GQ12">
        <f>$GQ$11+--($GP12)</f>
        <v/>
      </c>
      <c r="GR12">
        <f>IF(ROW()-3&gt;MAX($GQ$4:$GQ$40),"",INDEX($AI$4:$AI$40,MATCH(ROW()-3,$GQ$4:$GQ$40,0)))</f>
        <v/>
      </c>
      <c r="GS12">
        <f>IF(COUNTIF('Live Search'!BM$11:BR$11,0)+COUNTIF('Live Search'!B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T12">
        <f>IF($AN$12="",FALSE,SUMPRODUCT(('Final Calculation Sheet'!$E$4:$E$40=$AN$12)*($GS$6:$GS$42=1))&gt;0)</f>
        <v/>
      </c>
      <c r="GU12">
        <f>$GU$11+--($GT12)</f>
        <v/>
      </c>
      <c r="GV12">
        <f>IF(ROW()-3&gt;MAX($GU$4:$GU$40),"",INDEX($AN$4:$AN$40,MATCH(ROW()-3,$GU$4:$GU$40,0)))</f>
        <v/>
      </c>
      <c r="GW12">
        <f>IF(COUNTIF('Live Search'!BM$11:BS$11,0)+COUNTIF('Live Search'!B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GX12">
        <f>IF($AS$12="",FALSE,SUMPRODUCT(('Final Calculation Sheet'!$C$4:$C$40=$AS$12)*($GW$6:$GW$42=1))&gt;0)</f>
        <v/>
      </c>
      <c r="GY12">
        <f>$GY$11+--($GX12)</f>
        <v/>
      </c>
      <c r="GZ12">
        <f>IF(ROW()-3&gt;MAX($GY$4:$GY$40),"",INDEX($AS$4:$AS$40,MATCH(ROW()-3,$GY$4:$GY$40,0)))</f>
        <v/>
      </c>
      <c r="HA12">
        <f>IF(COUNTIF('Live Search'!BM$11:BT$11,0)+COUNTIF('Live Search'!BV$11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B12">
        <f>IF($AX$12="",FALSE,SUMPRODUCT(('Final Calculation Sheet'!$H$4:$H$40=$AX$12)*($HA$6:$HA$42=1))&gt;0)</f>
        <v/>
      </c>
      <c r="HC12">
        <f>$HC$11+--($HB12)</f>
        <v/>
      </c>
      <c r="HD12">
        <f>IF(ROW()-3&gt;MAX($HC$4:$HC$40),"",INDEX($AX$4:$AX$40,MATCH(ROW()-3,$HC$4:$HC$40,0)))</f>
        <v/>
      </c>
      <c r="HE12">
        <f>IF(COUNTIF('Live Search'!BM$11:BU$11,0)+COUNTIF('Live Search'!BW$11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F12">
        <f>IF($BC$12="",FALSE,SUMPRODUCT(('Final Calculation Sheet'!$I$4:$I$40=$BC$12)*($HE$6:$HE$42=1))&gt;0)</f>
        <v/>
      </c>
      <c r="HG12">
        <f>$HG$11+--($HF12)</f>
        <v/>
      </c>
      <c r="HH12">
        <f>IF(ROW()-3&gt;MAX($HG$4:$HG$40),"",INDEX($BC$4:$BC$40,MATCH(ROW()-3,$HG$4:$HG$40,0)))</f>
        <v/>
      </c>
      <c r="HI12">
        <f>IF(COUNTIF('Live Search'!BM$11:BV$11,0)+COUNTIF('Live Search'!BX$11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J12">
        <f>IF($BH$12="",FALSE,SUMPRODUCT(('Final Calculation Sheet'!$J$4:$J$40=$BH$12)*($HI$6:$HI$42=1))&gt;0)</f>
        <v/>
      </c>
      <c r="HK12">
        <f>$HK$11+--($HJ12)</f>
        <v/>
      </c>
      <c r="HL12">
        <f>IF(ROW()-3&gt;MAX($HK$4:$HK$40),"",INDEX($BH$4:$BH$40,MATCH(ROW()-3,$HK$4:$HK$40,0)))</f>
        <v/>
      </c>
      <c r="HM12">
        <f>IF(COUNTIF('Live Search'!BM$11:BW$11,0)+COUNTIF('Live Search'!BY$11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N12">
        <f>IF($BM$12="",FALSE,SUMPRODUCT(('Final Calculation Sheet'!$K$4:$K$40=$BM$12)*($HM$6:$HM$42=1))&gt;0)</f>
        <v/>
      </c>
      <c r="HO12">
        <f>$HO$11+--($HN12)</f>
        <v/>
      </c>
      <c r="HP12">
        <f>IF(ROW()-3&gt;MAX($HO$4:$HO$40),"",INDEX($BM$4:$BM$40,MATCH(ROW()-3,$HO$4:$HO$40,0)))</f>
        <v/>
      </c>
      <c r="HQ12">
        <f>IF(COUNTIF('Live Search'!BM$11:BX$11,0)+COUNTIF('Live Search'!BZ$11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R12">
        <f>IF($BR$12="",FALSE,SUMPRODUCT(('Final Calculation Sheet'!$L$4:$L$40=$BR$12)*($HQ$6:$HQ$42=1))&gt;0)</f>
        <v/>
      </c>
      <c r="HS12">
        <f>$HS$11+--($HR12)</f>
        <v/>
      </c>
      <c r="HT12">
        <f>IF(ROW()-3&gt;MAX($HS$4:$HS$40),"",INDEX($BR$4:$BR$40,MATCH(ROW()-3,$HS$4:$HS$40,0)))</f>
        <v/>
      </c>
      <c r="HU12">
        <f>IF(COUNTIF('Live Search'!BM$11:BY$11,0)+COUNTIF('Live Search'!CA$11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V12">
        <f>IF($BW$12="",FALSE,SUMPRODUCT(('Final Calculation Sheet'!$M$4:$M$40=$BW$12)*($HU$6:$HU$42=1))&gt;0)</f>
        <v/>
      </c>
      <c r="HW12">
        <f>$HW$11+--($HV12)</f>
        <v/>
      </c>
      <c r="HX12">
        <f>IF(ROW()-3&gt;MAX($HW$4:$HW$40),"",INDEX($BW$4:$BW$40,MATCH(ROW()-3,$HW$4:$HW$40,0)))</f>
        <v/>
      </c>
      <c r="HY12">
        <f>IF(COUNTIF('Live Search'!BM$11:BZ$11,0)+COUNTIF('Live Search'!CB$11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HZ12">
        <f>IF($CB$12="",FALSE,SUMPRODUCT(('Final Calculation Sheet'!$N$4:$N$40=$CB$12)*($HY$6:$HY$42=1))&gt;0)</f>
        <v/>
      </c>
      <c r="IA12">
        <f>$IA$11+--($HZ12)</f>
        <v/>
      </c>
      <c r="IB12">
        <f>IF(ROW()-3&gt;MAX($IA$4:$IA$40),"",INDEX($CB$4:$CB$40,MATCH(ROW()-3,$IA$4:$IA$40,0)))</f>
        <v/>
      </c>
      <c r="IC12">
        <f>IF(COUNTIF('Live Search'!BM$11:CA$11,0)+COUNTIF('Live Search'!CC$11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D12">
        <f>IF($CG$12="",FALSE,SUMPRODUCT(('Final Calculation Sheet'!$O$4:$O$40=$CG$12)*($IC$6:$IC$42=1))&gt;0)</f>
        <v/>
      </c>
      <c r="IE12">
        <f>$IE$11+--($ID12)</f>
        <v/>
      </c>
      <c r="IF12">
        <f>IF(ROW()-3&gt;MAX($IE$4:$IE$40),"",INDEX($CG$4:$CG$40,MATCH(ROW()-3,$IE$4:$IE$40,0)))</f>
        <v/>
      </c>
      <c r="IG12">
        <f>IF(COUNTIF('Live Search'!BM$11:CB$11,0)+COUNTIF('Live Search'!CD$11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H12">
        <f>IF($CL$12="",FALSE,SUMPRODUCT(('Final Calculation Sheet'!$P$4:$P$40=$CL$12)*($IG$6:$IG$42=1))&gt;0)</f>
        <v/>
      </c>
      <c r="II12">
        <f>$II$11+--($IH12)</f>
        <v/>
      </c>
      <c r="IJ12">
        <f>IF(ROW()-3&gt;MAX($II$4:$II$40),"",INDEX($CL$4:$CL$40,MATCH(ROW()-3,$II$4:$II$40,0)))</f>
        <v/>
      </c>
      <c r="IK12">
        <f>IF(COUNTIF('Live Search'!BM$11:CC$11,0)+COUNTIF('Live Search'!CE$11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L12">
        <f>IF($CQ$12="",FALSE,SUMPRODUCT(('Final Calculation Sheet'!$Q$4:$Q$40=$CQ$12)*($IK$6:$IK$42=1))&gt;0)</f>
        <v/>
      </c>
      <c r="IM12">
        <f>$IM$11+--($IL12)</f>
        <v/>
      </c>
      <c r="IN12">
        <f>IF(ROW()-3&gt;MAX($IM$4:$IM$40),"",INDEX($CQ$4:$CQ$40,MATCH(ROW()-3,$IM$4:$IM$40,0)))</f>
        <v/>
      </c>
      <c r="IO12">
        <f>IF(COUNTIF('Live Search'!BM$11:CD$11,0)+COUNTIF('Live Search'!CF$11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P12">
        <f>IF($CV$12="",FALSE,SUMPRODUCT(('Final Calculation Sheet'!$R$4:$R$40=$CV$12)*($IO$6:$IO$42=1))&gt;0)</f>
        <v/>
      </c>
      <c r="IQ12">
        <f>$IQ$11+--($IP12)</f>
        <v/>
      </c>
      <c r="IR12">
        <f>IF(ROW()-3&gt;MAX($IQ$4:$IQ$40),"",INDEX($CV$4:$CV$40,MATCH(ROW()-3,$IQ$4:$IQ$40,0)))</f>
        <v/>
      </c>
      <c r="IS12">
        <f>IF(COUNTIF('Live Search'!BM$11:CE$11,0)+COUNTIF('Live Search'!CG$11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T12">
        <f>IF($DA$12="",FALSE,SUMPRODUCT(('Final Calculation Sheet'!$S$4:$S$40=$DA$12)*($IS$6:$IS$42=1))&gt;0)</f>
        <v/>
      </c>
      <c r="IU12">
        <f>$IU$11+--($IT12)</f>
        <v/>
      </c>
      <c r="IV12">
        <f>IF(ROW()-3&gt;MAX($IU$4:$IU$40),"",INDEX($DA$4:$DA$40,MATCH(ROW()-3,$IU$4:$IU$40,0)))</f>
        <v/>
      </c>
      <c r="IW12">
        <f>IF(COUNTIF('Live Search'!BM$11:CF$11,0)+COUNTIF('Live Search'!CH$11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IX12">
        <f>IF($DF$12="",FALSE,SUMPRODUCT(('Final Calculation Sheet'!$T$4:$T$40=$DF$12)*($IW$6:$IW$42=1))&gt;0)</f>
        <v/>
      </c>
      <c r="IY12">
        <f>$IY$11+--($IX12)</f>
        <v/>
      </c>
      <c r="IZ12">
        <f>IF(ROW()-3&gt;MAX($IY$4:$IY$40),"",INDEX($DF$4:$DF$40,MATCH(ROW()-3,$IY$4:$IY$40,0)))</f>
        <v/>
      </c>
      <c r="JA12">
        <f>IF(COUNTIF('Live Search'!BM$11:CG$11,0)+COUNTIF('Live Search'!CI$11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B12">
        <f>IF($DK$12="",FALSE,SUMPRODUCT(('Final Calculation Sheet'!$U$4:$U$40=$DK$12)*($JA$6:$JA$42=1))&gt;0)</f>
        <v/>
      </c>
      <c r="JC12">
        <f>$JC$11+--($JB12)</f>
        <v/>
      </c>
      <c r="JD12">
        <f>IF(ROW()-3&gt;MAX($JC$4:$JC$40),"",INDEX($DK$4:$DK$40,MATCH(ROW()-3,$JC$4:$JC$40,0)))</f>
        <v/>
      </c>
      <c r="JE12">
        <f>IF(COUNTIF('Live Search'!BM$11:CH$11,0)+COUNTIF('Live Search'!CJ$11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F12">
        <f>IF($DP$12="",FALSE,SUMPRODUCT(('Final Calculation Sheet'!$V$4:$V$40=$DP$12)*($JE$6:$JE$42=1))&gt;0)</f>
        <v/>
      </c>
      <c r="JG12">
        <f>$JG$11+--($JF12)</f>
        <v/>
      </c>
      <c r="JH12">
        <f>IF(ROW()-3&gt;MAX($JG$4:$JG$40),"",INDEX($DP$4:$DP$40,MATCH(ROW()-3,$JG$4:$JG$40,0)))</f>
        <v/>
      </c>
      <c r="JI12">
        <f>IF(COUNTIF('Live Search'!BM$11:CI$11,0)+COUNTIF('Live Search'!CK$11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J12">
        <f>IF($DU$12="",FALSE,SUMPRODUCT(('Final Calculation Sheet'!$W$4:$W$40=$DU$12)*($JI$6:$JI$42=1))&gt;0)</f>
        <v/>
      </c>
      <c r="JK12">
        <f>$JK$11+--($JJ12)</f>
        <v/>
      </c>
      <c r="JL12">
        <f>IF(ROW()-3&gt;MAX($JK$4:$JK$40),"",INDEX($DU$4:$DU$40,MATCH(ROW()-3,$JK$4:$JK$40,0)))</f>
        <v/>
      </c>
      <c r="JM12">
        <f>IF(COUNTIF('Live Search'!BM$11:CJ$11,0)+COUNTIF('Live Search'!CL$11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N12">
        <f>IF($DZ$12="",FALSE,SUMPRODUCT(('Final Calculation Sheet'!$X$4:$X$40=$DZ$12)*($JM$6:$JM$42=1))&gt;0)</f>
        <v/>
      </c>
      <c r="JO12">
        <f>$JO$11+--($JN12)</f>
        <v/>
      </c>
      <c r="JP12">
        <f>IF(ROW()-3&gt;MAX($JO$4:$JO$40),"",INDEX($DZ$4:$DZ$40,MATCH(ROW()-3,$JO$4:$JO$40,0)))</f>
        <v/>
      </c>
      <c r="JQ12">
        <f>IF(COUNTIF('Live Search'!BM$11:CK$11,0)+COUNTIF('Live Search'!C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R12">
        <f>IF($EE$12="",FALSE,SUMPRODUCT(('Final Calculation Sheet'!$Y$4:$Y$40=$EE$12)*($JQ$6:$JQ$42=1))&gt;0)</f>
        <v/>
      </c>
      <c r="JS12">
        <f>$JS$11+--($JR12)</f>
        <v/>
      </c>
      <c r="JT12">
        <f>IF(ROW()-3&gt;MAX($JS$4:$JS$40),"",INDEX($EE$4:$EE$40,MATCH(ROW()-3,$JS$4:$JS$40,0)))</f>
        <v/>
      </c>
      <c r="JU12">
        <f>IF(COUNTIF('Live Search'!BM$11:CL$11,0)+COUNTIF('Live Search'!CN$11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V12">
        <f>IF($EJ$12="",FALSE,SUMPRODUCT(('Final Calculation Sheet'!$Z$4:$Z$40=$EJ$12)*($JU$6:$JU$42=1))&gt;0)</f>
        <v/>
      </c>
      <c r="JW12">
        <f>$JW$11+--($JV12)</f>
        <v/>
      </c>
      <c r="JX12">
        <f>IF(ROW()-3&gt;MAX($JW$4:$JW$40),"",INDEX($EJ$4:$EJ$40,MATCH(ROW()-3,$JW$4:$JW$40,0)))</f>
        <v/>
      </c>
      <c r="JY12">
        <f>IF(COUNTIF('Live Search'!BM$11:CM$11,0)+COUNTIF('Live Search'!CO$11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JZ12">
        <f>IF($EO$12="",FALSE,SUMPRODUCT(('Final Calculation Sheet'!$AA$4:$AA$40=$EO$12)*($JY$6:$JY$42=1))&gt;0)</f>
        <v/>
      </c>
      <c r="KA12">
        <f>$KA$11+--($JZ12)</f>
        <v/>
      </c>
      <c r="KB12">
        <f>IF(ROW()-3&gt;MAX($KA$4:$KA$40),"",INDEX($EO$4:$EO$40,MATCH(ROW()-3,$KA$4:$KA$40,0)))</f>
        <v/>
      </c>
      <c r="KC12">
        <f>IF(COUNTIF('Live Search'!BM$11:CN$11,0)+COUNTIF('Live Search'!CP$11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D12">
        <f>IF($ET$12="",FALSE,SUMPRODUCT(('Final Calculation Sheet'!$AB$4:$AB$40=$ET$12)*($KC$6:$KC$42=1))&gt;0)</f>
        <v/>
      </c>
      <c r="KE12">
        <f>$KE$11+--($KD12)</f>
        <v/>
      </c>
      <c r="KF12">
        <f>IF(ROW()-3&gt;MAX($KE$4:$KE$40),"",INDEX($ET$4:$ET$40,MATCH(ROW()-3,$KE$4:$KE$40,0)))</f>
        <v/>
      </c>
      <c r="KG12">
        <f>IF(COUNTIF('Live Search'!BM$11:CO$11,0)+COUNTIF('Live Search'!CQ$11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H12">
        <f>IF($EY$12="",FALSE,SUMPRODUCT(('Final Calculation Sheet'!$AC$4:$AC$40=$EY$12)*($KG$6:$KG$42=1))&gt;0)</f>
        <v/>
      </c>
      <c r="KI12">
        <f>$KI$11+--($KH12)</f>
        <v/>
      </c>
      <c r="KJ12">
        <f>IF(ROW()-3&gt;MAX($KI$4:$KI$40),"",INDEX($EY$4:$EY$40,MATCH(ROW()-3,$KI$4:$KI$40,0)))</f>
        <v/>
      </c>
      <c r="KK12">
        <f>IF(COUNTIF('Live Search'!BM$11:CP$11,0)+COUNTIF('Live Search'!CR$11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L12">
        <f>IF($FD$12="",FALSE,SUMPRODUCT(('Final Calculation Sheet'!$AD$4:$AD$40=$FD$12)*($KK$6:$KK$42=1))&gt;0)</f>
        <v/>
      </c>
      <c r="KM12">
        <f>$KM$11+--($KL12)</f>
        <v/>
      </c>
      <c r="KN12">
        <f>IF(ROW()-3&gt;MAX($KM$4:$KM$40),"",INDEX($FD$4:$FD$40,MATCH(ROW()-3,$KM$4:$KM$40,0)))</f>
        <v/>
      </c>
      <c r="KO12">
        <f>IF(COUNTIF('Live Search'!BM$11:CT$11,0)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P12">
        <f>IF($FX$12="",FALSE,SUMPRODUCT((IF('Final Calculation Sheet'!$AD$4:$AD$40&lt;=5,"SETTLED","OUTSTANDING")=$FX$12)*($KO$6:$KO$42=1))&gt;0)</f>
        <v/>
      </c>
      <c r="KQ12">
        <f>$KQ$11+--($KP12)</f>
        <v/>
      </c>
      <c r="KR12">
        <f>IF(ROW()-3&gt;MAX($KQ$4:$KQ$40),"",INDEX($FX$4:$FX$40,MATCH(ROW()-3,$KQ$4:$KQ$40,0)))</f>
        <v/>
      </c>
      <c r="KS12">
        <f>IF(COUNTIF('Live Search'!BM$11:CQ$11,0)+COUNTIF('Live Search'!CS$11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T12">
        <f>IF($FI$12="",FALSE,SUMPRODUCT(('Final Calculation Sheet'!$AF$4:$AF$40=$FI$12)*($KS$6:$KS$42=1))&gt;0)</f>
        <v/>
      </c>
      <c r="KU12">
        <f>$KU$11+--($KT12)</f>
        <v/>
      </c>
      <c r="KV12">
        <f>IF(ROW()-3&gt;MAX($KU$4:$KU$40),"",INDEX($FI$4:$FI$40,MATCH(ROW()-3,$KU$4:$KU$40,0)))</f>
        <v/>
      </c>
      <c r="KW12">
        <f>IF(COUNTIF('Live Search'!BM$11:CR$11,0)+COUNTIF('Live Search'!CT$11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KX12">
        <f>IF($FN$12="",FALSE,SUMPRODUCT(('Final Calculation Sheet'!$AG$4:$AG$40=$FN$12)*($KW$6:$KW$42=1))&gt;0)</f>
        <v/>
      </c>
      <c r="KY12">
        <f>$KY$11+--($KX12)</f>
        <v/>
      </c>
      <c r="KZ12">
        <f>IF(ROW()-3&gt;MAX($KY$4:$KY$40),"",INDEX($FN$4:$FN$40,MATCH(ROW()-3,$KY$4:$KY$40,0)))</f>
        <v/>
      </c>
      <c r="LA12">
        <f>IF(COUNTIF('Live Search'!BM$11:CS$11,0)+COUNTIF('Live Search'!CU$11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LB12">
        <f>IF($FS$12="",FALSE,SUMPRODUCT(('Final Calculation Sheet'!$AH$4:$AH$40=$FS$12)*($LA$6:$LA$42=1))&gt;0)</f>
        <v/>
      </c>
      <c r="LC12">
        <f>$LC$11+--($LB12)</f>
        <v/>
      </c>
      <c r="LD12">
        <f>IF(ROW()-3&gt;MAX($LC$4:$LC$40),"",INDEX($FS$4:$FS$40,MATCH(ROW()-3,$LC$4:$LC$40,0)))</f>
        <v/>
      </c>
      <c r="LE12">
        <f>IF(COUNTIF('Buyer Groups'!DH65:EN65,0)&gt;0,0,1)</f>
        <v/>
      </c>
      <c r="LF12">
        <f>IF($O$12="",FALSE,SUMPRODUCT(('Final Calculation Sheet'!$F$4:$F$40=$O$12)*($LE$6:$LE$42=1))&gt;0)</f>
        <v/>
      </c>
      <c r="LG12">
        <f>$LG$11+--($LF12)</f>
        <v/>
      </c>
      <c r="LH12">
        <f>IF(ROW()-3&gt;MAX($LG$4:$LG$40),"",INDEX($O$4:$O$40,MATCH(ROW()-3,$LG$4:$LG$40,0)))</f>
        <v/>
      </c>
      <c r="LI12">
        <f>IF(COUNTIF('Buyer Groups'!DG65:DG65,0)+COUNTIF('Buyer Groups'!DI65:EN65,0)&gt;0,0,1)</f>
        <v/>
      </c>
      <c r="LJ12">
        <f>IF($T$12="",FALSE,SUMPRODUCT(('Final Calculation Sheet'!$G$4:$G$40=$T$12)*($LI$6:$LI$42=1))&gt;0)</f>
        <v/>
      </c>
      <c r="LK12">
        <f>$LK$11+--($LJ12)</f>
        <v/>
      </c>
      <c r="LL12">
        <f>IF(ROW()-3&gt;MAX($LK$4:$LK$40),"",INDEX($T$4:$T$40,MATCH(ROW()-3,$LK$4:$LK$40,0)))</f>
        <v/>
      </c>
      <c r="LM12">
        <f>IF(COUNTIF('Buyer Groups'!DG65:DH65,0)+COUNTIF('Buyer Groups'!DJ65:EN65,0)&gt;0,0,1)</f>
        <v/>
      </c>
      <c r="LN12">
        <f>IF($Y$12="",FALSE,SUMPRODUCT(('Final Calculation Sheet'!$B$4:$B$40=$Y$12)*($LM$6:$LM$42=1))&gt;0)</f>
        <v/>
      </c>
      <c r="LO12">
        <f>$LO$11+--($LN12)</f>
        <v/>
      </c>
      <c r="LP12">
        <f>IF(ROW()-3&gt;MAX($LO$4:$LO$40),"",INDEX($Y$4:$Y$40,MATCH(ROW()-3,$LO$4:$LO$40,0)))</f>
        <v/>
      </c>
      <c r="LQ12">
        <f>IF(COUNTIF('Buyer Groups'!DG65:DI65,0)+COUNTIF('Buyer Groups'!DK65:EN65,0)&gt;0,0,1)</f>
        <v/>
      </c>
      <c r="LR12">
        <f>IF($AD$12="",FALSE,SUMPRODUCT(('Final Calculation Sheet'!$D$4:$D$40=$AD$12)*($LQ$6:$LQ$42=1))&gt;0)</f>
        <v/>
      </c>
      <c r="LS12">
        <f>$LS$11+--($LR12)</f>
        <v/>
      </c>
      <c r="LT12">
        <f>IF(ROW()-3&gt;MAX($LS$4:$LS$40),"",INDEX($AD$4:$AD$40,MATCH(ROW()-3,$LS$4:$LS$40,0)))</f>
        <v/>
      </c>
      <c r="LU12">
        <f>IF(COUNTIF('Buyer Groups'!DG65:DJ65,0)+COUNTIF('Buyer Groups'!DL65:EN65,0)&gt;0,0,1)</f>
        <v/>
      </c>
      <c r="LV12">
        <f>IF($AI$12="",FALSE,SUMPRODUCT(('Final Calculation Sheet'!$A$4:$A$40=$AI$12)*($LU$6:$LU$42=1))&gt;0)</f>
        <v/>
      </c>
      <c r="LW12">
        <f>$LW$11+--($LV12)</f>
        <v/>
      </c>
      <c r="LX12">
        <f>IF(ROW()-3&gt;MAX($LW$4:$LW$40),"",INDEX($AI$4:$AI$40,MATCH(ROW()-3,$LW$4:$LW$40,0)))</f>
        <v/>
      </c>
      <c r="LY12">
        <f>IF(COUNTIF('Buyer Groups'!DG65:DK65,0)+COUNTIF('Buyer Groups'!DM65:EN65,0)&gt;0,0,1)</f>
        <v/>
      </c>
      <c r="LZ12">
        <f>IF($AN$12="",FALSE,SUMPRODUCT(('Final Calculation Sheet'!$E$4:$E$40=$AN$12)*($LY$6:$LY$42=1))&gt;0)</f>
        <v/>
      </c>
      <c r="MA12">
        <f>$MA$11+--($LZ12)</f>
        <v/>
      </c>
      <c r="MB12">
        <f>IF(ROW()-3&gt;MAX($MA$4:$MA$40),"",INDEX($AN$4:$AN$40,MATCH(ROW()-3,$MA$4:$MA$40,0)))</f>
        <v/>
      </c>
      <c r="MC12">
        <f>IF(COUNTIF('Buyer Groups'!DG65:DL65,0)+COUNTIF('Buyer Groups'!DN65:EN65,0)&gt;0,0,1)</f>
        <v/>
      </c>
      <c r="MD12">
        <f>IF($AS$12="",FALSE,SUMPRODUCT(('Final Calculation Sheet'!$C$4:$C$40=$AS$12)*($MC$6:$MC$42=1))&gt;0)</f>
        <v/>
      </c>
      <c r="ME12">
        <f>$ME$11+--($MD12)</f>
        <v/>
      </c>
      <c r="MF12">
        <f>IF(ROW()-3&gt;MAX($ME$4:$ME$40),"",INDEX($AS$4:$AS$40,MATCH(ROW()-3,$ME$4:$ME$40,0)))</f>
        <v/>
      </c>
      <c r="MG12">
        <f>IF(COUNTIF('Buyer Groups'!DG65:DM65,0)+COUNTIF('Buyer Groups'!DO65:EN65,0)&gt;0,0,1)</f>
        <v/>
      </c>
      <c r="MH12">
        <f>IF($AX$12="",FALSE,SUMPRODUCT(('Final Calculation Sheet'!$H$4:$H$40=$AX$12)*($MG$6:$MG$42=1))&gt;0)</f>
        <v/>
      </c>
      <c r="MI12">
        <f>$MI$11+--($MH12)</f>
        <v/>
      </c>
      <c r="MJ12">
        <f>IF(ROW()-3&gt;MAX($MI$4:$MI$40),"",INDEX($AX$4:$AX$40,MATCH(ROW()-3,$MI$4:$MI$40,0)))</f>
        <v/>
      </c>
      <c r="MK12">
        <f>IF(COUNTIF('Buyer Groups'!DG65:DN65,0)+COUNTIF('Buyer Groups'!DP65:EN65,0)&gt;0,0,1)</f>
        <v/>
      </c>
      <c r="ML12">
        <f>IF($BC$12="",FALSE,SUMPRODUCT(('Final Calculation Sheet'!$I$4:$I$40=$BC$12)*($MK$6:$MK$42=1))&gt;0)</f>
        <v/>
      </c>
      <c r="MM12">
        <f>$MM$11+--($ML12)</f>
        <v/>
      </c>
      <c r="MN12">
        <f>IF(ROW()-3&gt;MAX($MM$4:$MM$40),"",INDEX($BC$4:$BC$40,MATCH(ROW()-3,$MM$4:$MM$40,0)))</f>
        <v/>
      </c>
      <c r="MO12">
        <f>IF(COUNTIF('Buyer Groups'!DG65:DO65,0)+COUNTIF('Buyer Groups'!DQ65:EN65,0)&gt;0,0,1)</f>
        <v/>
      </c>
      <c r="MP12">
        <f>IF($BH$12="",FALSE,SUMPRODUCT(('Final Calculation Sheet'!$J$4:$J$40=$BH$12)*($MO$6:$MO$42=1))&gt;0)</f>
        <v/>
      </c>
      <c r="MQ12">
        <f>$MQ$11+--($MP12)</f>
        <v/>
      </c>
      <c r="MR12">
        <f>IF(ROW()-3&gt;MAX($MQ$4:$MQ$40),"",INDEX($BH$4:$BH$40,MATCH(ROW()-3,$MQ$4:$MQ$40,0)))</f>
        <v/>
      </c>
      <c r="MS12">
        <f>IF(COUNTIF('Buyer Groups'!DG65:DP65,0)+COUNTIF('Buyer Groups'!DR65:EN65,0)&gt;0,0,1)</f>
        <v/>
      </c>
      <c r="MT12">
        <f>IF($BM$12="",FALSE,SUMPRODUCT(('Final Calculation Sheet'!$K$4:$K$40=$BM$12)*($MS$6:$MS$42=1))&gt;0)</f>
        <v/>
      </c>
      <c r="MU12">
        <f>$MU$11+--($MT12)</f>
        <v/>
      </c>
      <c r="MV12">
        <f>IF(ROW()-3&gt;MAX($MU$4:$MU$40),"",INDEX($BM$4:$BM$40,MATCH(ROW()-3,$MU$4:$MU$40,0)))</f>
        <v/>
      </c>
      <c r="MW12">
        <f>IF(COUNTIF('Buyer Groups'!DG65:DQ65,0)+COUNTIF('Buyer Groups'!DS65:EN65,0)&gt;0,0,1)</f>
        <v/>
      </c>
      <c r="MX12">
        <f>IF($BR$12="",FALSE,SUMPRODUCT(('Final Calculation Sheet'!$L$4:$L$40=$BR$12)*($MW$6:$MW$42=1))&gt;0)</f>
        <v/>
      </c>
      <c r="MY12">
        <f>$MY$11+--($MX12)</f>
        <v/>
      </c>
      <c r="MZ12">
        <f>IF(ROW()-3&gt;MAX($MY$4:$MY$40),"",INDEX($BR$4:$BR$40,MATCH(ROW()-3,$MY$4:$MY$40,0)))</f>
        <v/>
      </c>
      <c r="NA12">
        <f>IF(COUNTIF('Buyer Groups'!DG65:DR65,0)+COUNTIF('Buyer Groups'!DT65:EN65,0)&gt;0,0,1)</f>
        <v/>
      </c>
      <c r="NB12">
        <f>IF($BW$12="",FALSE,SUMPRODUCT(('Final Calculation Sheet'!$M$4:$M$40=$BW$12)*($NA$6:$NA$42=1))&gt;0)</f>
        <v/>
      </c>
      <c r="NC12">
        <f>$NC$11+--($NB12)</f>
        <v/>
      </c>
      <c r="ND12">
        <f>IF(ROW()-3&gt;MAX($NC$4:$NC$40),"",INDEX($BW$4:$BW$40,MATCH(ROW()-3,$NC$4:$NC$40,0)))</f>
        <v/>
      </c>
      <c r="NE12">
        <f>IF(COUNTIF('Buyer Groups'!DG65:DS65,0)+COUNTIF('Buyer Groups'!DU65:EN65,0)&gt;0,0,1)</f>
        <v/>
      </c>
      <c r="NF12">
        <f>IF($CB$12="",FALSE,SUMPRODUCT(('Final Calculation Sheet'!$N$4:$N$40=$CB$12)*($NE$6:$NE$42=1))&gt;0)</f>
        <v/>
      </c>
      <c r="NG12">
        <f>$NG$11+--($NF12)</f>
        <v/>
      </c>
      <c r="NH12">
        <f>IF(ROW()-3&gt;MAX($NG$4:$NG$40),"",INDEX($CB$4:$CB$40,MATCH(ROW()-3,$NG$4:$NG$40,0)))</f>
        <v/>
      </c>
      <c r="NI12">
        <f>IF(COUNTIF('Buyer Groups'!DG65:DT65,0)+COUNTIF('Buyer Groups'!DV65:EN65,0)&gt;0,0,1)</f>
        <v/>
      </c>
      <c r="NJ12">
        <f>IF($CG$12="",FALSE,SUMPRODUCT(('Final Calculation Sheet'!$O$4:$O$40=$CG$12)*($NI$6:$NI$42=1))&gt;0)</f>
        <v/>
      </c>
      <c r="NK12">
        <f>$NK$11+--($NJ12)</f>
        <v/>
      </c>
      <c r="NL12">
        <f>IF(ROW()-3&gt;MAX($NK$4:$NK$40),"",INDEX($CG$4:$CG$40,MATCH(ROW()-3,$NK$4:$NK$40,0)))</f>
        <v/>
      </c>
      <c r="NM12">
        <f>IF(COUNTIF('Buyer Groups'!DG65:DU65,0)+COUNTIF('Buyer Groups'!DW65:EN65,0)&gt;0,0,1)</f>
        <v/>
      </c>
      <c r="NN12">
        <f>IF($CL$12="",FALSE,SUMPRODUCT(('Final Calculation Sheet'!$P$4:$P$40=$CL$12)*($NM$6:$NM$42=1))&gt;0)</f>
        <v/>
      </c>
      <c r="NO12">
        <f>$NO$11+--($NN12)</f>
        <v/>
      </c>
      <c r="NP12">
        <f>IF(ROW()-3&gt;MAX($NO$4:$NO$40),"",INDEX($CL$4:$CL$40,MATCH(ROW()-3,$NO$4:$NO$40,0)))</f>
        <v/>
      </c>
      <c r="NQ12">
        <f>IF(COUNTIF('Buyer Groups'!DG65:DV65,0)+COUNTIF('Buyer Groups'!DX65:EN65,0)&gt;0,0,1)</f>
        <v/>
      </c>
      <c r="NR12">
        <f>IF($CQ$12="",FALSE,SUMPRODUCT(('Final Calculation Sheet'!$Q$4:$Q$40=$CQ$12)*($NQ$6:$NQ$42=1))&gt;0)</f>
        <v/>
      </c>
      <c r="NS12">
        <f>$NS$11+--($NR12)</f>
        <v/>
      </c>
      <c r="NT12">
        <f>IF(ROW()-3&gt;MAX($NS$4:$NS$40),"",INDEX($CQ$4:$CQ$40,MATCH(ROW()-3,$NS$4:$NS$40,0)))</f>
        <v/>
      </c>
      <c r="NU12">
        <f>IF(COUNTIF('Buyer Groups'!DG65:DW65,0)+COUNTIF('Buyer Groups'!DY65:EN65,0)&gt;0,0,1)</f>
        <v/>
      </c>
      <c r="NV12">
        <f>IF($CV$12="",FALSE,SUMPRODUCT(('Final Calculation Sheet'!$R$4:$R$40=$CV$12)*($NU$6:$NU$42=1))&gt;0)</f>
        <v/>
      </c>
      <c r="NW12">
        <f>$NW$11+--($NV12)</f>
        <v/>
      </c>
      <c r="NX12">
        <f>IF(ROW()-3&gt;MAX($NW$4:$NW$40),"",INDEX($CV$4:$CV$40,MATCH(ROW()-3,$NW$4:$NW$40,0)))</f>
        <v/>
      </c>
      <c r="NY12">
        <f>IF(COUNTIF('Buyer Groups'!DG65:DX65,0)+COUNTIF('Buyer Groups'!DZ65:EN65,0)&gt;0,0,1)</f>
        <v/>
      </c>
      <c r="NZ12">
        <f>IF($DA$12="",FALSE,SUMPRODUCT(('Final Calculation Sheet'!$S$4:$S$40=$DA$12)*($NY$6:$NY$42=1))&gt;0)</f>
        <v/>
      </c>
      <c r="OA12">
        <f>$OA$11+--($NZ12)</f>
        <v/>
      </c>
      <c r="OB12">
        <f>IF(ROW()-3&gt;MAX($OA$4:$OA$40),"",INDEX($DA$4:$DA$40,MATCH(ROW()-3,$OA$4:$OA$40,0)))</f>
        <v/>
      </c>
      <c r="OC12">
        <f>IF(COUNTIF('Buyer Groups'!DG65:DY65,0)+COUNTIF('Buyer Groups'!EA65:EN65,0)&gt;0,0,1)</f>
        <v/>
      </c>
      <c r="OD12">
        <f>IF($DF$12="",FALSE,SUMPRODUCT(('Final Calculation Sheet'!$T$4:$T$40=$DF$12)*($OC$6:$OC$42=1))&gt;0)</f>
        <v/>
      </c>
      <c r="OE12">
        <f>$OE$11+--($OD12)</f>
        <v/>
      </c>
      <c r="OF12">
        <f>IF(ROW()-3&gt;MAX($OE$4:$OE$40),"",INDEX($DF$4:$DF$40,MATCH(ROW()-3,$OE$4:$OE$40,0)))</f>
        <v/>
      </c>
      <c r="OG12">
        <f>IF(COUNTIF('Buyer Groups'!DG65:DZ65,0)+COUNTIF('Buyer Groups'!EB65:EN65,0)&gt;0,0,1)</f>
        <v/>
      </c>
      <c r="OH12">
        <f>IF($DK$12="",FALSE,SUMPRODUCT(('Final Calculation Sheet'!$U$4:$U$40=$DK$12)*($OG$6:$OG$42=1))&gt;0)</f>
        <v/>
      </c>
      <c r="OI12">
        <f>$OI$11+--($OH12)</f>
        <v/>
      </c>
      <c r="OJ12">
        <f>IF(ROW()-3&gt;MAX($OI$4:$OI$40),"",INDEX($DK$4:$DK$40,MATCH(ROW()-3,$OI$4:$OI$40,0)))</f>
        <v/>
      </c>
      <c r="OK12">
        <f>IF(COUNTIF('Buyer Groups'!DG65:EA65,0)+COUNTIF('Buyer Groups'!EC65:EN65,0)&gt;0,0,1)</f>
        <v/>
      </c>
      <c r="OL12">
        <f>IF($DP$12="",FALSE,SUMPRODUCT(('Final Calculation Sheet'!$V$4:$V$40=$DP$12)*($OK$6:$OK$42=1))&gt;0)</f>
        <v/>
      </c>
      <c r="OM12">
        <f>$OM$11+--($OL12)</f>
        <v/>
      </c>
      <c r="ON12">
        <f>IF(ROW()-3&gt;MAX($OM$4:$OM$40),"",INDEX($DP$4:$DP$40,MATCH(ROW()-3,$OM$4:$OM$40,0)))</f>
        <v/>
      </c>
      <c r="OO12">
        <f>IF(COUNTIF('Buyer Groups'!DG65:EB65,0)+COUNTIF('Buyer Groups'!ED65:EN65,0)&gt;0,0,1)</f>
        <v/>
      </c>
      <c r="OP12">
        <f>IF($DU$12="",FALSE,SUMPRODUCT(('Final Calculation Sheet'!$W$4:$W$40=$DU$12)*($OO$6:$OO$42=1))&gt;0)</f>
        <v/>
      </c>
      <c r="OQ12">
        <f>$OQ$11+--($OP12)</f>
        <v/>
      </c>
      <c r="OR12">
        <f>IF(ROW()-3&gt;MAX($OQ$4:$OQ$40),"",INDEX($DU$4:$DU$40,MATCH(ROW()-3,$OQ$4:$OQ$40,0)))</f>
        <v/>
      </c>
      <c r="OS12">
        <f>IF(COUNTIF('Buyer Groups'!DG65:EC65,0)+COUNTIF('Buyer Groups'!EE65:EN65,0)&gt;0,0,1)</f>
        <v/>
      </c>
      <c r="OT12">
        <f>IF($DZ$12="",FALSE,SUMPRODUCT(('Final Calculation Sheet'!$X$4:$X$40=$DZ$12)*($OS$6:$OS$42=1))&gt;0)</f>
        <v/>
      </c>
      <c r="OU12">
        <f>$OU$11+--($OT12)</f>
        <v/>
      </c>
      <c r="OV12">
        <f>IF(ROW()-3&gt;MAX($OU$4:$OU$40),"",INDEX($DZ$4:$DZ$40,MATCH(ROW()-3,$OU$4:$OU$40,0)))</f>
        <v/>
      </c>
      <c r="OW12">
        <f>IF(COUNTIF('Buyer Groups'!DG65:ED65,0)+COUNTIF('Buyer Groups'!EF65:EN65,0)&gt;0,0,1)</f>
        <v/>
      </c>
      <c r="OX12">
        <f>IF($EE$12="",FALSE,SUMPRODUCT(('Final Calculation Sheet'!$Y$4:$Y$40=$EE$12)*($OW$6:$OW$42=1))&gt;0)</f>
        <v/>
      </c>
      <c r="OY12">
        <f>$OY$11+--($OX12)</f>
        <v/>
      </c>
      <c r="OZ12">
        <f>IF(ROW()-3&gt;MAX($OY$4:$OY$40),"",INDEX($EE$4:$EE$40,MATCH(ROW()-3,$OY$4:$OY$40,0)))</f>
        <v/>
      </c>
      <c r="PA12">
        <f>IF(COUNTIF('Buyer Groups'!DG65:EE65,0)+COUNTIF('Buyer Groups'!EG65:EN65,0)&gt;0,0,1)</f>
        <v/>
      </c>
      <c r="PB12">
        <f>IF($EJ$12="",FALSE,SUMPRODUCT(('Final Calculation Sheet'!$Z$4:$Z$40=$EJ$12)*($PA$6:$PA$42=1))&gt;0)</f>
        <v/>
      </c>
      <c r="PC12">
        <f>$PC$11+--($PB12)</f>
        <v/>
      </c>
      <c r="PD12">
        <f>IF(ROW()-3&gt;MAX($PC$4:$PC$40),"",INDEX($EJ$4:$EJ$40,MATCH(ROW()-3,$PC$4:$PC$40,0)))</f>
        <v/>
      </c>
      <c r="PE12">
        <f>IF(COUNTIF('Buyer Groups'!DG65:EF65,0)+COUNTIF('Buyer Groups'!EH65:EN65,0)&gt;0,0,1)</f>
        <v/>
      </c>
      <c r="PF12">
        <f>IF($EO$12="",FALSE,SUMPRODUCT(('Final Calculation Sheet'!$AA$4:$AA$40=$EO$12)*($PE$6:$PE$42=1))&gt;0)</f>
        <v/>
      </c>
      <c r="PG12">
        <f>$PG$11+--($PF12)</f>
        <v/>
      </c>
      <c r="PH12">
        <f>IF(ROW()-3&gt;MAX($PG$4:$PG$40),"",INDEX($EO$4:$EO$40,MATCH(ROW()-3,$PG$4:$PG$40,0)))</f>
        <v/>
      </c>
      <c r="PI12">
        <f>IF(COUNTIF('Buyer Groups'!DG65:EG65,0)+COUNTIF('Buyer Groups'!EI65:EN65,0)&gt;0,0,1)</f>
        <v/>
      </c>
      <c r="PJ12">
        <f>IF($ET$12="",FALSE,SUMPRODUCT(('Final Calculation Sheet'!$AB$4:$AB$40=$ET$12)*($PI$6:$PI$42=1))&gt;0)</f>
        <v/>
      </c>
      <c r="PK12">
        <f>$PK$11+--($PJ12)</f>
        <v/>
      </c>
      <c r="PL12">
        <f>IF(ROW()-3&gt;MAX($PK$4:$PK$40),"",INDEX($ET$4:$ET$40,MATCH(ROW()-3,$PK$4:$PK$40,0)))</f>
        <v/>
      </c>
      <c r="PM12">
        <f>IF(COUNTIF('Buyer Groups'!DG65:EH65,0)+COUNTIF('Buyer Groups'!EJ65:EN65,0)&gt;0,0,1)</f>
        <v/>
      </c>
      <c r="PN12">
        <f>IF($EY$12="",FALSE,SUMPRODUCT(('Final Calculation Sheet'!$AC$4:$AC$40=$EY$12)*($PM$6:$PM$42=1))&gt;0)</f>
        <v/>
      </c>
      <c r="PO12">
        <f>$PO$11+--($PN12)</f>
        <v/>
      </c>
      <c r="PP12">
        <f>IF(ROW()-3&gt;MAX($PO$4:$PO$40),"",INDEX($EY$4:$EY$40,MATCH(ROW()-3,$PO$4:$PO$40,0)))</f>
        <v/>
      </c>
      <c r="PQ12">
        <f>IF(COUNTIF('Buyer Groups'!DG65:EI65,0)+COUNTIF('Buyer Groups'!EK65:EN65,0)&gt;0,0,1)</f>
        <v/>
      </c>
      <c r="PR12">
        <f>IF($FD$12="",FALSE,SUMPRODUCT(('Final Calculation Sheet'!$AD$4:$AD$40=$FD$12)*($PQ$6:$PQ$42=1))&gt;0)</f>
        <v/>
      </c>
      <c r="PS12">
        <f>$PS$11+--($PR12)</f>
        <v/>
      </c>
      <c r="PT12">
        <f>IF(ROW()-3&gt;MAX($PS$4:$PS$40),"",INDEX($FD$4:$FD$40,MATCH(ROW()-3,$PS$4:$PS$40,0)))</f>
        <v/>
      </c>
      <c r="PU12">
        <f>IF(COUNTIF('Buyer Groups'!DG65:EJ65,0)+COUNTIF('Buyer Groups'!EL65:EN65,0)&gt;0,0,1)</f>
        <v/>
      </c>
      <c r="PV12">
        <f>IF($FX$12="",FALSE,SUMPRODUCT((IF('Final Calculation Sheet'!$AD$4:$AD$40&lt;=5,"SETTLED","OUTSTANDING")=$FX$12)*($PU$6:$PU$42=1))&gt;0)</f>
        <v/>
      </c>
      <c r="PW12">
        <f>$PW$11+--($PV12)</f>
        <v/>
      </c>
      <c r="PX12">
        <f>IF(ROW()-3&gt;MAX($PW$4:$PW$40),"",INDEX($FX$4:$FX$40,MATCH(ROW()-3,$PW$4:$PW$40,0)))</f>
        <v/>
      </c>
      <c r="PY12">
        <f>IF(COUNTIF('Buyer Groups'!DG65:EK65,0)+COUNTIF('Buyer Groups'!EM65:EN65,0)&gt;0,0,1)</f>
        <v/>
      </c>
      <c r="PZ12">
        <f>IF($FI$12="",FALSE,SUMPRODUCT(('Final Calculation Sheet'!$AF$4:$AF$40=$FI$12)*($PY$6:$PY$42=1))&gt;0)</f>
        <v/>
      </c>
      <c r="QA12">
        <f>$QA$11+--($PZ12)</f>
        <v/>
      </c>
      <c r="QB12">
        <f>IF(ROW()-3&gt;MAX($QA$4:$QA$40),"",INDEX($FI$4:$FI$40,MATCH(ROW()-3,$QA$4:$QA$40,0)))</f>
        <v/>
      </c>
      <c r="QC12">
        <f>IF(COUNTIF('Buyer Groups'!DG65:EL65,0)+COUNTIF('Buyer Groups'!EN65:EN65,0)&gt;0,0,1)</f>
        <v/>
      </c>
      <c r="QD12">
        <f>IF($FN$12="",FALSE,SUMPRODUCT(('Final Calculation Sheet'!$AG$4:$AG$40=$FN$12)*($QC$6:$QC$42=1))&gt;0)</f>
        <v/>
      </c>
      <c r="QE12">
        <f>$QE$11+--($QD12)</f>
        <v/>
      </c>
      <c r="QF12">
        <f>IF(ROW()-3&gt;MAX($QE$4:$QE$40),"",INDEX($FN$4:$FN$40,MATCH(ROW()-3,$QE$4:$QE$40,0)))</f>
        <v/>
      </c>
      <c r="QG12">
        <f>IF(COUNTIF('Buyer Groups'!DG65:EM65,0)&gt;0,0,1)</f>
        <v/>
      </c>
      <c r="QH12">
        <f>IF($FS$12="",FALSE,SUMPRODUCT(('Final Calculation Sheet'!$AH$4:$AH$40=$FS$12)*($QG$6:$QG$42=1))&gt;0)</f>
        <v/>
      </c>
      <c r="QI12">
        <f>$QI$11+--($QH12)</f>
        <v/>
      </c>
      <c r="QJ12">
        <f>IF(ROW()-3&gt;MAX($QI$4:$QI$40),"",INDEX($FS$4:$FS$40,MATCH(ROW()-3,$QI$4:$QI$40,0)))</f>
        <v/>
      </c>
      <c r="QK12" t="str">
        <f>IF('Final Calculation Sheet'!$AH$12="","",'Final Calculation Sheet'!$AH$12)</f>
      </c>
      <c r="QL12" t="str">
        <f>IF(QK12="","",COUNTIFS(QK$4:QK$40,"&lt;"&amp;QK12,QK$4:QK$40,"&lt;&gt;"&amp;"")+COUNTIF(QK$4:QK12,QK12))</f>
      </c>
      <c r="QM12" t="str">
        <f>IF(ROW()-3&gt;COUNTIF(QK$4:QK$40,"&lt;&gt;"&amp;""),"",INDEX(QK$4:QK$40,MATCH(ROW()-3,QL$4:QL$40,0)))</f>
      </c>
      <c r="QN12" t="str">
        <f>=QN11+F(AND(QM12&lt;&gt;"",COUNTIF(QM$4:QM12,QM12)=1),1,0)</f>
      </c>
      <c r="QO12" t="str">
        <f>IF(ROW()-3&gt;MAX(QN$4:QN$40),"",INDEX(QM$4:QM$40,MATCH(ROW()-3,QN$4:QN$40,0)))</f>
      </c>
      <c r="QP12" t="str">
        <f>IF(COUNTIF('Final Calculation Sheet'!$AM12:$BS12,0)&gt;0,0,1)</f>
      </c>
      <c r="QQ12" t="str">
        <f>IF($AI$12="",FALSE,SUMPRODUCT(('Final Calculation Sheet'!$A$4:$A$40=$AI$12)*($QP$4:$QP$40=1))&gt;0)</f>
      </c>
      <c r="QR12" t="str">
        <f>=$QR11+--($QQ12)</f>
      </c>
      <c r="QS12" t="str">
        <f>IF(ROW()-3&gt;MAX($QR$4:$QR$40),"",INDEX($AI$4:$AI$40,MATCH(ROW()-3,$QR$4:$QR$40,0)))</f>
      </c>
      <c r="QT12" t="str">
        <f>IF(COUNTIF('Final Calculation Sheet'!$AL12:$AL12,0)+COUNTIF('Final Calculation Sheet'!$AN12:$BS12,0)&gt;0,0,1)</f>
      </c>
      <c r="QU12" t="str">
        <f>IF($Y$12="",FALSE,SUMPRODUCT(('Final Calculation Sheet'!$B$4:$B$40=$Y$12)*($QT$4:$QT$40=1))&gt;0)</f>
      </c>
      <c r="QV12" t="str">
        <f>=$QV11+--($QU12)</f>
      </c>
      <c r="QW12" t="str">
        <f>IF(ROW()-3&gt;MAX($QV$4:$QV$40),"",INDEX($Y$4:$Y$40,MATCH(ROW()-3,$QV$4:$QV$40,0)))</f>
      </c>
      <c r="QX12" t="str">
        <f>IF(COUNTIF('Final Calculation Sheet'!$AL12:$AM12,0)+COUNTIF('Final Calculation Sheet'!$AO12:$BS12,0)&gt;0,0,1)</f>
      </c>
      <c r="QY12" t="str">
        <f>IF($AS$12="",FALSE,SUMPRODUCT(('Final Calculation Sheet'!$C$4:$C$40=$AS$12)*($QX$4:$QX$40=1))&gt;0)</f>
      </c>
      <c r="QZ12" t="str">
        <f>=$QZ11+--($QY12)</f>
      </c>
      <c r="RA12" t="str">
        <f>IF(ROW()-3&gt;MAX($QZ$4:$QZ$40),"",INDEX($AS$4:$AS$40,MATCH(ROW()-3,$QZ$4:$QZ$40,0)))</f>
      </c>
      <c r="RB12" t="str">
        <f>IF(COUNTIF('Final Calculation Sheet'!$AL12:$AN12,0)+COUNTIF('Final Calculation Sheet'!$AP12:$BS12,0)&gt;0,0,1)</f>
      </c>
      <c r="RC12" t="str">
        <f>IF($AD$12="",FALSE,SUMPRODUCT(('Final Calculation Sheet'!$D$4:$D$40=$AD$12)*($RB$4:$RB$40=1))&gt;0)</f>
      </c>
      <c r="RD12" t="str">
        <f>=$RD11+--($RC12)</f>
      </c>
      <c r="RE12" t="str">
        <f>IF(ROW()-3&gt;MAX($RD$4:$RD$40),"",INDEX($AD$4:$AD$40,MATCH(ROW()-3,$RD$4:$RD$40,0)))</f>
      </c>
      <c r="RF12" t="str">
        <f>IF(COUNTIF('Final Calculation Sheet'!$AL12:$AO12,0)+COUNTIF('Final Calculation Sheet'!$AQ12:$BS12,0)&gt;0,0,1)</f>
      </c>
      <c r="RG12" t="str">
        <f>IF($AN$12="",FALSE,SUMPRODUCT(('Final Calculation Sheet'!$E$4:$E$40=$AN$12)*($RF$4:$RF$40=1))&gt;0)</f>
      </c>
      <c r="RH12" t="str">
        <f>=$RH11+--($RG12)</f>
      </c>
      <c r="RI12" t="str">
        <f>IF(ROW()-3&gt;MAX($RH$4:$RH$40),"",INDEX($AN$4:$AN$40,MATCH(ROW()-3,$RH$4:$RH$40,0)))</f>
      </c>
      <c r="RJ12" t="str">
        <f>IF(COUNTIF('Final Calculation Sheet'!$AL12:$AP12,0)+COUNTIF('Final Calculation Sheet'!$AR12:$BS12,0)&gt;0,0,1)</f>
      </c>
      <c r="RK12" t="str">
        <f>IF($O$12="",FALSE,SUMPRODUCT(('Final Calculation Sheet'!$F$4:$F$40=$O$12)*($RJ$4:$RJ$40=1))&gt;0)</f>
      </c>
      <c r="RL12" t="str">
        <f>=$RL11+--($RK12)</f>
      </c>
      <c r="RM12" t="str">
        <f>IF(ROW()-3&gt;MAX($RL$4:$RL$40),"",INDEX($O$4:$O$40,MATCH(ROW()-3,$RL$4:$RL$40,0)))</f>
      </c>
      <c r="RN12" t="str">
        <f>IF(COUNTIF('Final Calculation Sheet'!$AL12:$AQ12,0)+COUNTIF('Final Calculation Sheet'!$AS12:$BS12,0)&gt;0,0,1)</f>
      </c>
      <c r="RO12" t="str">
        <f>IF($T$12="",FALSE,SUMPRODUCT(('Final Calculation Sheet'!$G$4:$G$40=$T$12)*($RN$4:$RN$40=1))&gt;0)</f>
      </c>
      <c r="RP12" t="str">
        <f>=$RP11+--($RO12)</f>
      </c>
      <c r="RQ12" t="str">
        <f>IF(ROW()-3&gt;MAX($RP$4:$RP$40),"",INDEX($T$4:$T$40,MATCH(ROW()-3,$RP$4:$RP$40,0)))</f>
      </c>
      <c r="RR12" t="str">
        <f>IF(COUNTIF('Final Calculation Sheet'!$AL12:$AR12,0)+COUNTIF('Final Calculation Sheet'!$AT12:$BS12,0)&gt;0,0,1)</f>
      </c>
      <c r="RS12" t="str">
        <f>IF($AX$12="",FALSE,SUMPRODUCT(('Final Calculation Sheet'!$H$4:$H$40=$AX$12)*($RR$4:$RR$40=1))&gt;0)</f>
      </c>
      <c r="RT12" t="str">
        <f>=$RT11+--($RS12)</f>
      </c>
      <c r="RU12" t="str">
        <f>IF(ROW()-3&gt;MAX($RT$4:$RT$40),"",INDEX($AX$4:$AX$40,MATCH(ROW()-3,$RT$4:$RT$40,0)))</f>
      </c>
      <c r="RV12" t="str">
        <f>IF(COUNTIF('Final Calculation Sheet'!$AL12:$AS12,0)+COUNTIF('Final Calculation Sheet'!$AU12:$BS12,0)&gt;0,0,1)</f>
      </c>
      <c r="RW12" t="str">
        <f>IF($BC$12="",FALSE,SUMPRODUCT(('Final Calculation Sheet'!$I$4:$I$40=$BC$12)*($RV$4:$RV$40=1))&gt;0)</f>
      </c>
      <c r="RX12" t="str">
        <f>=$RX11+--($RW12)</f>
      </c>
      <c r="RY12" t="str">
        <f>IF(ROW()-3&gt;MAX($RX$4:$RX$40),"",INDEX($BC$4:$BC$40,MATCH(ROW()-3,$RX$4:$RX$40,0)))</f>
      </c>
      <c r="RZ12" t="str">
        <f>IF(COUNTIF('Final Calculation Sheet'!$AL12:$AT12,0)+COUNTIF('Final Calculation Sheet'!$AV12:$BS12,0)&gt;0,0,1)</f>
      </c>
      <c r="SA12" t="str">
        <f>IF($BH$12="",FALSE,SUMPRODUCT(('Final Calculation Sheet'!$J$4:$J$40=$BH$12)*($RZ$4:$RZ$40=1))&gt;0)</f>
      </c>
      <c r="SB12" t="str">
        <f>=$SB11+--($SA12)</f>
      </c>
      <c r="SC12" t="str">
        <f>IF(ROW()-3&gt;MAX($SB$4:$SB$40),"",INDEX($BH$4:$BH$40,MATCH(ROW()-3,$SB$4:$SB$40,0)))</f>
      </c>
      <c r="SD12" t="str">
        <f>IF(COUNTIF('Final Calculation Sheet'!$AL12:$AU12,0)+COUNTIF('Final Calculation Sheet'!$AW12:$BS12,0)&gt;0,0,1)</f>
      </c>
      <c r="SE12" t="str">
        <f>IF($BM$12="",FALSE,SUMPRODUCT(('Final Calculation Sheet'!$K$4:$K$40=$BM$12)*($SD$4:$SD$40=1))&gt;0)</f>
      </c>
      <c r="SF12" t="str">
        <f>=$SF11+--($SE12)</f>
      </c>
      <c r="SG12" t="str">
        <f>IF(ROW()-3&gt;MAX($SF$4:$SF$40),"",INDEX($BM$4:$BM$40,MATCH(ROW()-3,$SF$4:$SF$40,0)))</f>
      </c>
      <c r="SH12" t="str">
        <f>IF(COUNTIF('Final Calculation Sheet'!$AL12:$AV12,0)+COUNTIF('Final Calculation Sheet'!$AX12:$BS12,0)&gt;0,0,1)</f>
      </c>
      <c r="SI12" t="str">
        <f>IF($BR$12="",FALSE,SUMPRODUCT(('Final Calculation Sheet'!$L$4:$L$40=$BR$12)*($SH$4:$SH$40=1))&gt;0)</f>
      </c>
      <c r="SJ12" t="str">
        <f>=$SJ11+--($SI12)</f>
      </c>
      <c r="SK12" t="str">
        <f>IF(ROW()-3&gt;MAX($SJ$4:$SJ$40),"",INDEX($BR$4:$BR$40,MATCH(ROW()-3,$SJ$4:$SJ$40,0)))</f>
      </c>
      <c r="SL12" t="str">
        <f>IF(COUNTIF('Final Calculation Sheet'!$AL12:$AW12,0)+COUNTIF('Final Calculation Sheet'!$AY12:$BS12,0)&gt;0,0,1)</f>
      </c>
      <c r="SM12" t="str">
        <f>IF($BW$12="",FALSE,SUMPRODUCT(('Final Calculation Sheet'!$M$4:$M$40=$BW$12)*($SL$4:$SL$40=1))&gt;0)</f>
      </c>
      <c r="SN12" t="str">
        <f>=$SN11+--($SM12)</f>
      </c>
      <c r="SO12" t="str">
        <f>IF(ROW()-3&gt;MAX($SN$4:$SN$40),"",INDEX($BW$4:$BW$40,MATCH(ROW()-3,$SN$4:$SN$40,0)))</f>
      </c>
      <c r="SP12" t="str">
        <f>IF(COUNTIF('Final Calculation Sheet'!$AL12:$AX12,0)+COUNTIF('Final Calculation Sheet'!$AZ12:$BS12,0)&gt;0,0,1)</f>
      </c>
      <c r="SQ12" t="str">
        <f>IF($CB$12="",FALSE,SUMPRODUCT(('Final Calculation Sheet'!$N$4:$N$40=$CB$12)*($SP$4:$SP$40=1))&gt;0)</f>
      </c>
      <c r="SR12" t="str">
        <f>=$SR11+--($SQ12)</f>
      </c>
      <c r="SS12" t="str">
        <f>IF(ROW()-3&gt;MAX($SR$4:$SR$40),"",INDEX($CB$4:$CB$40,MATCH(ROW()-3,$SR$4:$SR$40,0)))</f>
      </c>
      <c r="ST12" t="str">
        <f>IF(COUNTIF('Final Calculation Sheet'!$AL12:$AY12,0)+COUNTIF('Final Calculation Sheet'!$BA12:$BS12,0)&gt;0,0,1)</f>
      </c>
      <c r="SU12" t="str">
        <f>IF($CG$12="",FALSE,SUMPRODUCT(('Final Calculation Sheet'!$O$4:$O$40=$CG$12)*($ST$4:$ST$40=1))&gt;0)</f>
      </c>
      <c r="SV12" t="str">
        <f>=$SV11+--($SU12)</f>
      </c>
      <c r="SW12" t="str">
        <f>IF(ROW()-3&gt;MAX($SV$4:$SV$40),"",INDEX($CG$4:$CG$40,MATCH(ROW()-3,$SV$4:$SV$40,0)))</f>
      </c>
      <c r="SX12" t="str">
        <f>IF(COUNTIF('Final Calculation Sheet'!$AL12:$AZ12,0)+COUNTIF('Final Calculation Sheet'!$BB12:$BS12,0)&gt;0,0,1)</f>
      </c>
      <c r="SY12" t="str">
        <f>IF($CL$12="",FALSE,SUMPRODUCT(('Final Calculation Sheet'!$P$4:$P$40=$CL$12)*($SX$4:$SX$40=1))&gt;0)</f>
      </c>
      <c r="SZ12" t="str">
        <f>=$SZ11+--($SY12)</f>
      </c>
      <c r="TA12" t="str">
        <f>IF(ROW()-3&gt;MAX($SZ$4:$SZ$40),"",INDEX($CL$4:$CL$40,MATCH(ROW()-3,$SZ$4:$SZ$40,0)))</f>
      </c>
      <c r="TB12" t="str">
        <f>IF(COUNTIF('Final Calculation Sheet'!$AL12:$BA12,0)+COUNTIF('Final Calculation Sheet'!$BC12:$BS12,0)&gt;0,0,1)</f>
      </c>
      <c r="TC12" t="str">
        <f>IF($CQ$12="",FALSE,SUMPRODUCT(('Final Calculation Sheet'!$Q$4:$Q$40=$CQ$12)*($TB$4:$TB$40=1))&gt;0)</f>
      </c>
      <c r="TD12" t="str">
        <f>=$TD11+--($TC12)</f>
      </c>
      <c r="TE12" t="str">
        <f>IF(ROW()-3&gt;MAX($TD$4:$TD$40),"",INDEX($CQ$4:$CQ$40,MATCH(ROW()-3,$TD$4:$TD$40,0)))</f>
      </c>
      <c r="TF12" t="str">
        <f>IF(COUNTIF('Final Calculation Sheet'!$AL12:$BB12,0)+COUNTIF('Final Calculation Sheet'!$BD12:$BS12,0)&gt;0,0,1)</f>
      </c>
      <c r="TG12" t="str">
        <f>IF($CV$12="",FALSE,SUMPRODUCT(('Final Calculation Sheet'!$R$4:$R$40=$CV$12)*($TF$4:$TF$40=1))&gt;0)</f>
      </c>
      <c r="TH12" t="str">
        <f>=$TH11+--($TG12)</f>
      </c>
      <c r="TI12" t="str">
        <f>IF(ROW()-3&gt;MAX($TH$4:$TH$40),"",INDEX($CV$4:$CV$40,MATCH(ROW()-3,$TH$4:$TH$40,0)))</f>
      </c>
      <c r="TJ12" t="str">
        <f>IF(COUNTIF('Final Calculation Sheet'!$AL12:$BC12,0)+COUNTIF('Final Calculation Sheet'!$BE12:$BS12,0)&gt;0,0,1)</f>
      </c>
      <c r="TK12" t="str">
        <f>IF($DA$12="",FALSE,SUMPRODUCT(('Final Calculation Sheet'!$S$4:$S$40=$DA$12)*($TJ$4:$TJ$40=1))&gt;0)</f>
      </c>
      <c r="TL12" t="str">
        <f>=$TL11+--($TK12)</f>
      </c>
      <c r="TM12" t="str">
        <f>IF(ROW()-3&gt;MAX($TL$4:$TL$40),"",INDEX($DA$4:$DA$40,MATCH(ROW()-3,$TL$4:$TL$40,0)))</f>
      </c>
      <c r="TN12" t="str">
        <f>IF(COUNTIF('Final Calculation Sheet'!$AL12:$BD12,0)+COUNTIF('Final Calculation Sheet'!$BF12:$BS12,0)&gt;0,0,1)</f>
      </c>
      <c r="TO12" t="str">
        <f>IF($DF$12="",FALSE,SUMPRODUCT(('Final Calculation Sheet'!$T$4:$T$40=$DF$12)*($TN$4:$TN$40=1))&gt;0)</f>
      </c>
      <c r="TP12" t="str">
        <f>=$TP11+--($TO12)</f>
      </c>
      <c r="TQ12" t="str">
        <f>IF(ROW()-3&gt;MAX($TP$4:$TP$40),"",INDEX($DF$4:$DF$40,MATCH(ROW()-3,$TP$4:$TP$40,0)))</f>
      </c>
      <c r="TR12" t="str">
        <f>IF(COUNTIF('Final Calculation Sheet'!$AL12:$BE12,0)+COUNTIF('Final Calculation Sheet'!$BG12:$BS12,0)&gt;0,0,1)</f>
      </c>
      <c r="TS12" t="str">
        <f>IF($DK$12="",FALSE,SUMPRODUCT(('Final Calculation Sheet'!$U$4:$U$40=$DK$12)*($TR$4:$TR$40=1))&gt;0)</f>
      </c>
      <c r="TT12" t="str">
        <f>=$TT11+--($TS12)</f>
      </c>
      <c r="TU12" t="str">
        <f>IF(ROW()-3&gt;MAX($TT$4:$TT$40),"",INDEX($DK$4:$DK$40,MATCH(ROW()-3,$TT$4:$TT$40,0)))</f>
      </c>
      <c r="TV12" t="str">
        <f>IF(COUNTIF('Final Calculation Sheet'!$AL12:$BF12,0)+COUNTIF('Final Calculation Sheet'!$BH12:$BS12,0)&gt;0,0,1)</f>
      </c>
      <c r="TW12" t="str">
        <f>IF($DP$12="",FALSE,SUMPRODUCT(('Final Calculation Sheet'!$V$4:$V$40=$DP$12)*($TV$4:$TV$40=1))&gt;0)</f>
      </c>
      <c r="TX12" t="str">
        <f>=$TX11+--($TW12)</f>
      </c>
      <c r="TY12" t="str">
        <f>IF(ROW()-3&gt;MAX($TX$4:$TX$40),"",INDEX($DP$4:$DP$40,MATCH(ROW()-3,$TX$4:$TX$40,0)))</f>
      </c>
      <c r="TZ12" t="str">
        <f>IF(COUNTIF('Final Calculation Sheet'!$AL12:$BG12,0)+COUNTIF('Final Calculation Sheet'!$BI12:$BS12,0)&gt;0,0,1)</f>
      </c>
      <c r="UA12" t="str">
        <f>IF($DU$12="",FALSE,SUMPRODUCT(('Final Calculation Sheet'!$W$4:$W$40=$DU$12)*($TZ$4:$TZ$40=1))&gt;0)</f>
      </c>
      <c r="UB12" t="str">
        <f>=$UB11+--($UA12)</f>
      </c>
      <c r="UC12" t="str">
        <f>IF(ROW()-3&gt;MAX($UB$4:$UB$40),"",INDEX($DU$4:$DU$40,MATCH(ROW()-3,$UB$4:$UB$40,0)))</f>
      </c>
      <c r="UD12" t="str">
        <f>IF(COUNTIF('Final Calculation Sheet'!$AL12:$BH12,0)+COUNTIF('Final Calculation Sheet'!$BJ12:$BS12,0)&gt;0,0,1)</f>
      </c>
      <c r="UE12" t="str">
        <f>IF($DZ$12="",FALSE,SUMPRODUCT(('Final Calculation Sheet'!$X$4:$X$40=$DZ$12)*($UD$4:$UD$40=1))&gt;0)</f>
      </c>
      <c r="UF12" t="str">
        <f>=$UF11+--($UE12)</f>
      </c>
      <c r="UG12" t="str">
        <f>IF(ROW()-3&gt;MAX($UF$4:$UF$40),"",INDEX($DZ$4:$DZ$40,MATCH(ROW()-3,$UF$4:$UF$40,0)))</f>
      </c>
      <c r="UH12" t="str">
        <f>IF(COUNTIF('Final Calculation Sheet'!$AL12:$BI12,0)+COUNTIF('Final Calculation Sheet'!$BK12:$BS12,0)&gt;0,0,1)</f>
      </c>
      <c r="UI12" t="str">
        <f>IF($EE$12="",FALSE,SUMPRODUCT(('Final Calculation Sheet'!$Y$4:$Y$40=$EE$12)*($UH$4:$UH$40=1))&gt;0)</f>
      </c>
      <c r="UJ12" t="str">
        <f>=$UJ11+--($UI12)</f>
      </c>
      <c r="UK12" t="str">
        <f>IF(ROW()-3&gt;MAX($UJ$4:$UJ$40),"",INDEX($EE$4:$EE$40,MATCH(ROW()-3,$UJ$4:$UJ$40,0)))</f>
      </c>
      <c r="UL12" t="str">
        <f>IF(COUNTIF('Final Calculation Sheet'!$AL12:$BJ12,0)+COUNTIF('Final Calculation Sheet'!$BL12:$BS12,0)&gt;0,0,1)</f>
      </c>
      <c r="UM12" t="str">
        <f>IF($EJ$12="",FALSE,SUMPRODUCT(('Final Calculation Sheet'!$Z$4:$Z$40=$EJ$12)*($UL$4:$UL$40=1))&gt;0)</f>
      </c>
      <c r="UN12" t="str">
        <f>=$UN11+--($UM12)</f>
      </c>
      <c r="UO12" t="str">
        <f>IF(ROW()-3&gt;MAX($UN$4:$UN$40),"",INDEX($EJ$4:$EJ$40,MATCH(ROW()-3,$UN$4:$UN$40,0)))</f>
      </c>
      <c r="UP12" t="str">
        <f>IF(COUNTIF('Final Calculation Sheet'!$AL12:$BK12,0)+COUNTIF('Final Calculation Sheet'!$BM12:$BS12,0)&gt;0,0,1)</f>
      </c>
      <c r="UQ12" t="str">
        <f>IF($EO$12="",FALSE,SUMPRODUCT(('Final Calculation Sheet'!$AA$4:$AA$40=$EO$12)*($UP$4:$UP$40=1))&gt;0)</f>
      </c>
      <c r="UR12" t="str">
        <f>=$UR11+--($UQ12)</f>
      </c>
      <c r="US12" t="str">
        <f>IF(ROW()-3&gt;MAX($UR$4:$UR$40),"",INDEX($EO$4:$EO$40,MATCH(ROW()-3,$UR$4:$UR$40,0)))</f>
      </c>
      <c r="UT12" t="str">
        <f>IF(COUNTIF('Final Calculation Sheet'!$AL12:$BL12,0)+COUNTIF('Final Calculation Sheet'!$BN12:$BS12,0)&gt;0,0,1)</f>
      </c>
      <c r="UU12" t="str">
        <f>IF($ET$12="",FALSE,SUMPRODUCT(('Final Calculation Sheet'!$AB$4:$AB$40=$ET$12)*($UT$4:$UT$40=1))&gt;0)</f>
      </c>
      <c r="UV12" t="str">
        <f>=$UV11+--($UU12)</f>
      </c>
      <c r="UW12" t="str">
        <f>IF(ROW()-3&gt;MAX($UV$4:$UV$40),"",INDEX($ET$4:$ET$40,MATCH(ROW()-3,$UV$4:$UV$40,0)))</f>
      </c>
      <c r="UX12" t="str">
        <f>IF(COUNTIF('Final Calculation Sheet'!$AL12:$BM12,0)+COUNTIF('Final Calculation Sheet'!$BO12:$BS12,0)&gt;0,0,1)</f>
      </c>
      <c r="UY12" t="str">
        <f>IF($EY$12="",FALSE,SUMPRODUCT(('Final Calculation Sheet'!$AC$4:$AC$40=$EY$12)*($UX$4:$UX$40=1))&gt;0)</f>
      </c>
      <c r="UZ12" t="str">
        <f>=$UZ11+--($UY12)</f>
      </c>
      <c r="VA12" t="str">
        <f>IF(ROW()-3&gt;MAX($UZ$4:$UZ$40),"",INDEX($EY$4:$EY$40,MATCH(ROW()-3,$UZ$4:$UZ$40,0)))</f>
      </c>
      <c r="VB12" t="str">
        <f>IF(COUNTIF('Final Calculation Sheet'!$AL12:$BN12,0)+COUNTIF('Final Calculation Sheet'!$BP12:$BS12,0)&gt;0,0,1)</f>
      </c>
      <c r="VC12" t="str">
        <f>IF($FD$12="",FALSE,SUMPRODUCT(('Final Calculation Sheet'!$AD$4:$AD$40=$FD$12)*($VB$4:$VB$40=1))&gt;0)</f>
      </c>
      <c r="VD12" t="str">
        <f>=$VD11+--($VC12)</f>
      </c>
      <c r="VE12" t="str">
        <f>IF(ROW()-3&gt;MAX($VD$4:$VD$40),"",INDEX($FD$4:$FD$40,MATCH(ROW()-3,$VD$4:$VD$40,0)))</f>
      </c>
      <c r="VF12" t="str">
        <f>IF(COUNTIF('Final Calculation Sheet'!$AL12:$BO12,0)+COUNTIF('Final Calculation Sheet'!$BQ12:$BS12,0)&gt;0,0,1)</f>
      </c>
      <c r="VG12" t="str">
        <f>IF($FI$12="",FALSE,SUMPRODUCT(('Final Calculation Sheet'!$AE$4:$AE$40=$FI$12)*($VF$4:$VF$40=1))&gt;0)</f>
      </c>
      <c r="VH12" t="str">
        <f>=$VH11+--($VG12)</f>
      </c>
      <c r="VI12" t="str">
        <f>IF(ROW()-3&gt;MAX($VH$4:$VH$40),"",INDEX($FI$4:$FI$40,MATCH(ROW()-3,$VH$4:$VH$40,0)))</f>
      </c>
      <c r="VJ12" t="str">
        <f>IF(COUNTIF('Final Calculation Sheet'!$AL12:$BP12,0)+COUNTIF('Final Calculation Sheet'!$BR12:$BS12,0)&gt;0,0,1)</f>
      </c>
      <c r="VK12" t="str">
        <f>IF($FN$12="",FALSE,SUMPRODUCT(('Final Calculation Sheet'!$AF$4:$AF$40=$FN$12)*($VJ$4:$VJ$40=1))&gt;0)</f>
      </c>
      <c r="VL12" t="str">
        <f>=$VL11+--($VK12)</f>
      </c>
      <c r="VM12" t="str">
        <f>IF(ROW()-3&gt;MAX($VL$4:$VL$40),"",INDEX($FN$4:$FN$40,MATCH(ROW()-3,$VL$4:$VL$40,0)))</f>
      </c>
      <c r="VN12" t="str">
        <f>IF(COUNTIF('Final Calculation Sheet'!$AL12:$BQ12,0)+COUNTIF('Final Calculation Sheet'!$BS12:$BS12,0)&gt;0,0,1)</f>
      </c>
      <c r="VO12" t="str">
        <f>IF($FS$12="",FALSE,SUMPRODUCT(('Final Calculation Sheet'!$AG$4:$AG$40=$FS$12)*($VN$4:$VN$40=1))&gt;0)</f>
      </c>
      <c r="VP12" t="str">
        <f>=$VP11+--($VO12)</f>
      </c>
      <c r="VQ12" t="str">
        <f>IF(ROW()-3&gt;MAX($VP$4:$VP$40),"",INDEX($FS$4:$FS$40,MATCH(ROW()-3,$VP$4:$VP$40,0)))</f>
      </c>
      <c r="VR12" t="str">
        <f>IF(COUNTIF('Final Calculation Sheet'!$AL12:$BR12,0)&gt;0,0,1)</f>
      </c>
      <c r="VS12" t="str">
        <f>IF($QO$12="",FALSE,SUMPRODUCT(('Final Calculation Sheet'!$AH$4:$AH$40=$QO$12)*($VR$4:$VR$40=1))&gt;0)</f>
      </c>
      <c r="VT12" t="str">
        <f>=$VT11+--($VS12)</f>
      </c>
      <c r="VU12" t="str">
        <f>IF(ROW()-3&gt;MAX($VT$4:$VT$40),"",INDEX($QO$4:$QO$40,MATCH(ROW()-3,$VT$4:$VT$40,0)))</f>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IF(COUNTIF('Live Search'!BM$12:BM$12,0)+COUNTIF('Live Search'!B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D13">
        <f>IF($O$13="",FALSE,SUMPRODUCT(('Final Calculation Sheet'!$F$4:$F$40=$O$13)*($GC$6:$GC$42=1))&gt;0)</f>
        <v/>
      </c>
      <c r="GE13">
        <f>$GE$12+--($GD13)</f>
        <v/>
      </c>
      <c r="GF13">
        <f>IF(ROW()-3&gt;MAX($GE$4:$GE$40),"",INDEX($O$4:$O$40,MATCH(ROW()-3,$GE$4:$GE$40,0)))</f>
        <v/>
      </c>
      <c r="GG13">
        <f>IF(COUNTIF('Live Search'!BM$12:BN$12,0)+COUNTIF('Live Search'!B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H13">
        <f>IF($T$13="",FALSE,SUMPRODUCT(('Final Calculation Sheet'!$G$4:$G$40=$T$13)*($GG$6:$GG$42=1))&gt;0)</f>
        <v/>
      </c>
      <c r="GI13">
        <f>$GI$12+--($GH13)</f>
        <v/>
      </c>
      <c r="GJ13">
        <f>IF(ROW()-3&gt;MAX($GI$4:$GI$40),"",INDEX($T$4:$T$40,MATCH(ROW()-3,$GI$4:$GI$40,0)))</f>
        <v/>
      </c>
      <c r="GK13">
        <f>IF(COUNTIF('Live Search'!BM$12:BP$12,0)+COUNTIF('Live Search'!B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L13">
        <f>IF($AD$13="",FALSE,SUMPRODUCT(('Final Calculation Sheet'!$D$4:$D$40=$AD$13)*($GK$6:$GK$42=1))&gt;0)</f>
        <v/>
      </c>
      <c r="GM13">
        <f>$GM$12+--($GL13)</f>
        <v/>
      </c>
      <c r="GN13">
        <f>IF(ROW()-3&gt;MAX($GM$4:$GM$40),"",INDEX($AD$4:$AD$40,MATCH(ROW()-3,$GM$4:$GM$40,0)))</f>
        <v/>
      </c>
      <c r="GO13">
        <f>IF(COUNTIF('Live Search'!BM$12:BQ$12,0)+COUNTIF('Live Search'!B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P13">
        <f>IF($AI$13="",FALSE,SUMPRODUCT(('Final Calculation Sheet'!$A$4:$A$40=$AI$13)*($GO$6:$GO$42=1))&gt;0)</f>
        <v/>
      </c>
      <c r="GQ13">
        <f>$GQ$12+--($GP13)</f>
        <v/>
      </c>
      <c r="GR13">
        <f>IF(ROW()-3&gt;MAX($GQ$4:$GQ$40),"",INDEX($AI$4:$AI$40,MATCH(ROW()-3,$GQ$4:$GQ$40,0)))</f>
        <v/>
      </c>
      <c r="GS13">
        <f>IF(COUNTIF('Live Search'!BM$12:BR$12,0)+COUNTIF('Live Search'!B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T13">
        <f>IF($AN$13="",FALSE,SUMPRODUCT(('Final Calculation Sheet'!$E$4:$E$40=$AN$13)*($GS$6:$GS$42=1))&gt;0)</f>
        <v/>
      </c>
      <c r="GU13">
        <f>$GU$12+--($GT13)</f>
        <v/>
      </c>
      <c r="GV13">
        <f>IF(ROW()-3&gt;MAX($GU$4:$GU$40),"",INDEX($AN$4:$AN$40,MATCH(ROW()-3,$GU$4:$GU$40,0)))</f>
        <v/>
      </c>
      <c r="GW13">
        <f>IF(COUNTIF('Live Search'!BM$12:BS$12,0)+COUNTIF('Live Search'!B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GX13">
        <f>IF($AS$13="",FALSE,SUMPRODUCT(('Final Calculation Sheet'!$C$4:$C$40=$AS$13)*($GW$6:$GW$42=1))&gt;0)</f>
        <v/>
      </c>
      <c r="GY13">
        <f>$GY$12+--($GX13)</f>
        <v/>
      </c>
      <c r="GZ13">
        <f>IF(ROW()-3&gt;MAX($GY$4:$GY$40),"",INDEX($AS$4:$AS$40,MATCH(ROW()-3,$GY$4:$GY$40,0)))</f>
        <v/>
      </c>
      <c r="HA13">
        <f>IF(COUNTIF('Live Search'!BM$12:BT$12,0)+COUNTIF('Live Search'!BV$12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B13">
        <f>IF($AX$13="",FALSE,SUMPRODUCT(('Final Calculation Sheet'!$H$4:$H$40=$AX$13)*($HA$6:$HA$42=1))&gt;0)</f>
        <v/>
      </c>
      <c r="HC13">
        <f>$HC$12+--($HB13)</f>
        <v/>
      </c>
      <c r="HD13">
        <f>IF(ROW()-3&gt;MAX($HC$4:$HC$40),"",INDEX($AX$4:$AX$40,MATCH(ROW()-3,$HC$4:$HC$40,0)))</f>
        <v/>
      </c>
      <c r="HE13">
        <f>IF(COUNTIF('Live Search'!BM$12:BU$12,0)+COUNTIF('Live Search'!BW$12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F13">
        <f>IF($BC$13="",FALSE,SUMPRODUCT(('Final Calculation Sheet'!$I$4:$I$40=$BC$13)*($HE$6:$HE$42=1))&gt;0)</f>
        <v/>
      </c>
      <c r="HG13">
        <f>$HG$12+--($HF13)</f>
        <v/>
      </c>
      <c r="HH13">
        <f>IF(ROW()-3&gt;MAX($HG$4:$HG$40),"",INDEX($BC$4:$BC$40,MATCH(ROW()-3,$HG$4:$HG$40,0)))</f>
        <v/>
      </c>
      <c r="HI13">
        <f>IF(COUNTIF('Live Search'!BM$12:BV$12,0)+COUNTIF('Live Search'!BX$12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J13">
        <f>IF($BH$13="",FALSE,SUMPRODUCT(('Final Calculation Sheet'!$J$4:$J$40=$BH$13)*($HI$6:$HI$42=1))&gt;0)</f>
        <v/>
      </c>
      <c r="HK13">
        <f>$HK$12+--($HJ13)</f>
        <v/>
      </c>
      <c r="HL13">
        <f>IF(ROW()-3&gt;MAX($HK$4:$HK$40),"",INDEX($BH$4:$BH$40,MATCH(ROW()-3,$HK$4:$HK$40,0)))</f>
        <v/>
      </c>
      <c r="HM13">
        <f>IF(COUNTIF('Live Search'!BM$12:BW$12,0)+COUNTIF('Live Search'!BY$12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N13">
        <f>IF($BM$13="",FALSE,SUMPRODUCT(('Final Calculation Sheet'!$K$4:$K$40=$BM$13)*($HM$6:$HM$42=1))&gt;0)</f>
        <v/>
      </c>
      <c r="HO13">
        <f>$HO$12+--($HN13)</f>
        <v/>
      </c>
      <c r="HP13">
        <f>IF(ROW()-3&gt;MAX($HO$4:$HO$40),"",INDEX($BM$4:$BM$40,MATCH(ROW()-3,$HO$4:$HO$40,0)))</f>
        <v/>
      </c>
      <c r="HQ13">
        <f>IF(COUNTIF('Live Search'!BM$12:BX$12,0)+COUNTIF('Live Search'!BZ$12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R13">
        <f>IF($BR$13="",FALSE,SUMPRODUCT(('Final Calculation Sheet'!$L$4:$L$40=$BR$13)*($HQ$6:$HQ$42=1))&gt;0)</f>
        <v/>
      </c>
      <c r="HS13">
        <f>$HS$12+--($HR13)</f>
        <v/>
      </c>
      <c r="HT13">
        <f>IF(ROW()-3&gt;MAX($HS$4:$HS$40),"",INDEX($BR$4:$BR$40,MATCH(ROW()-3,$HS$4:$HS$40,0)))</f>
        <v/>
      </c>
      <c r="HU13">
        <f>IF(COUNTIF('Live Search'!BM$12:BY$12,0)+COUNTIF('Live Search'!CA$12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V13">
        <f>IF($BW$13="",FALSE,SUMPRODUCT(('Final Calculation Sheet'!$M$4:$M$40=$BW$13)*($HU$6:$HU$42=1))&gt;0)</f>
        <v/>
      </c>
      <c r="HW13">
        <f>$HW$12+--($HV13)</f>
        <v/>
      </c>
      <c r="HX13">
        <f>IF(ROW()-3&gt;MAX($HW$4:$HW$40),"",INDEX($BW$4:$BW$40,MATCH(ROW()-3,$HW$4:$HW$40,0)))</f>
        <v/>
      </c>
      <c r="HY13">
        <f>IF(COUNTIF('Live Search'!BM$12:BZ$12,0)+COUNTIF('Live Search'!CB$12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HZ13">
        <f>IF($CB$13="",FALSE,SUMPRODUCT(('Final Calculation Sheet'!$N$4:$N$40=$CB$13)*($HY$6:$HY$42=1))&gt;0)</f>
        <v/>
      </c>
      <c r="IA13">
        <f>$IA$12+--($HZ13)</f>
        <v/>
      </c>
      <c r="IB13">
        <f>IF(ROW()-3&gt;MAX($IA$4:$IA$40),"",INDEX($CB$4:$CB$40,MATCH(ROW()-3,$IA$4:$IA$40,0)))</f>
        <v/>
      </c>
      <c r="IC13">
        <f>IF(COUNTIF('Live Search'!BM$12:CA$12,0)+COUNTIF('Live Search'!CC$12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D13">
        <f>IF($CG$13="",FALSE,SUMPRODUCT(('Final Calculation Sheet'!$O$4:$O$40=$CG$13)*($IC$6:$IC$42=1))&gt;0)</f>
        <v/>
      </c>
      <c r="IE13">
        <f>$IE$12+--($ID13)</f>
        <v/>
      </c>
      <c r="IF13">
        <f>IF(ROW()-3&gt;MAX($IE$4:$IE$40),"",INDEX($CG$4:$CG$40,MATCH(ROW()-3,$IE$4:$IE$40,0)))</f>
        <v/>
      </c>
      <c r="IG13">
        <f>IF(COUNTIF('Live Search'!BM$12:CB$12,0)+COUNTIF('Live Search'!CD$12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H13">
        <f>IF($CL$13="",FALSE,SUMPRODUCT(('Final Calculation Sheet'!$P$4:$P$40=$CL$13)*($IG$6:$IG$42=1))&gt;0)</f>
        <v/>
      </c>
      <c r="II13">
        <f>$II$12+--($IH13)</f>
        <v/>
      </c>
      <c r="IJ13">
        <f>IF(ROW()-3&gt;MAX($II$4:$II$40),"",INDEX($CL$4:$CL$40,MATCH(ROW()-3,$II$4:$II$40,0)))</f>
        <v/>
      </c>
      <c r="IK13">
        <f>IF(COUNTIF('Live Search'!BM$12:CC$12,0)+COUNTIF('Live Search'!CE$12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L13">
        <f>IF($CQ$13="",FALSE,SUMPRODUCT(('Final Calculation Sheet'!$Q$4:$Q$40=$CQ$13)*($IK$6:$IK$42=1))&gt;0)</f>
        <v/>
      </c>
      <c r="IM13">
        <f>$IM$12+--($IL13)</f>
        <v/>
      </c>
      <c r="IN13">
        <f>IF(ROW()-3&gt;MAX($IM$4:$IM$40),"",INDEX($CQ$4:$CQ$40,MATCH(ROW()-3,$IM$4:$IM$40,0)))</f>
        <v/>
      </c>
      <c r="IO13">
        <f>IF(COUNTIF('Live Search'!BM$12:CD$12,0)+COUNTIF('Live Search'!CF$12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P13">
        <f>IF($CV$13="",FALSE,SUMPRODUCT(('Final Calculation Sheet'!$R$4:$R$40=$CV$13)*($IO$6:$IO$42=1))&gt;0)</f>
        <v/>
      </c>
      <c r="IQ13">
        <f>$IQ$12+--($IP13)</f>
        <v/>
      </c>
      <c r="IR13">
        <f>IF(ROW()-3&gt;MAX($IQ$4:$IQ$40),"",INDEX($CV$4:$CV$40,MATCH(ROW()-3,$IQ$4:$IQ$40,0)))</f>
        <v/>
      </c>
      <c r="IS13">
        <f>IF(COUNTIF('Live Search'!BM$12:CE$12,0)+COUNTIF('Live Search'!CG$12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T13">
        <f>IF($DA$13="",FALSE,SUMPRODUCT(('Final Calculation Sheet'!$S$4:$S$40=$DA$13)*($IS$6:$IS$42=1))&gt;0)</f>
        <v/>
      </c>
      <c r="IU13">
        <f>$IU$12+--($IT13)</f>
        <v/>
      </c>
      <c r="IV13">
        <f>IF(ROW()-3&gt;MAX($IU$4:$IU$40),"",INDEX($DA$4:$DA$40,MATCH(ROW()-3,$IU$4:$IU$40,0)))</f>
        <v/>
      </c>
      <c r="IW13">
        <f>IF(COUNTIF('Live Search'!BM$12:CF$12,0)+COUNTIF('Live Search'!CH$12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IX13">
        <f>IF($DF$13="",FALSE,SUMPRODUCT(('Final Calculation Sheet'!$T$4:$T$40=$DF$13)*($IW$6:$IW$42=1))&gt;0)</f>
        <v/>
      </c>
      <c r="IY13">
        <f>$IY$12+--($IX13)</f>
        <v/>
      </c>
      <c r="IZ13">
        <f>IF(ROW()-3&gt;MAX($IY$4:$IY$40),"",INDEX($DF$4:$DF$40,MATCH(ROW()-3,$IY$4:$IY$40,0)))</f>
        <v/>
      </c>
      <c r="JA13">
        <f>IF(COUNTIF('Live Search'!BM$12:CG$12,0)+COUNTIF('Live Search'!CI$12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B13">
        <f>IF($DK$13="",FALSE,SUMPRODUCT(('Final Calculation Sheet'!$U$4:$U$40=$DK$13)*($JA$6:$JA$42=1))&gt;0)</f>
        <v/>
      </c>
      <c r="JC13">
        <f>$JC$12+--($JB13)</f>
        <v/>
      </c>
      <c r="JD13">
        <f>IF(ROW()-3&gt;MAX($JC$4:$JC$40),"",INDEX($DK$4:$DK$40,MATCH(ROW()-3,$JC$4:$JC$40,0)))</f>
        <v/>
      </c>
      <c r="JE13">
        <f>IF(COUNTIF('Live Search'!BM$12:CH$12,0)+COUNTIF('Live Search'!CJ$12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F13">
        <f>IF($DP$13="",FALSE,SUMPRODUCT(('Final Calculation Sheet'!$V$4:$V$40=$DP$13)*($JE$6:$JE$42=1))&gt;0)</f>
        <v/>
      </c>
      <c r="JG13">
        <f>$JG$12+--($JF13)</f>
        <v/>
      </c>
      <c r="JH13">
        <f>IF(ROW()-3&gt;MAX($JG$4:$JG$40),"",INDEX($DP$4:$DP$40,MATCH(ROW()-3,$JG$4:$JG$40,0)))</f>
        <v/>
      </c>
      <c r="JI13">
        <f>IF(COUNTIF('Live Search'!BM$12:CI$12,0)+COUNTIF('Live Search'!CK$12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J13">
        <f>IF($DU$13="",FALSE,SUMPRODUCT(('Final Calculation Sheet'!$W$4:$W$40=$DU$13)*($JI$6:$JI$42=1))&gt;0)</f>
        <v/>
      </c>
      <c r="JK13">
        <f>$JK$12+--($JJ13)</f>
        <v/>
      </c>
      <c r="JL13">
        <f>IF(ROW()-3&gt;MAX($JK$4:$JK$40),"",INDEX($DU$4:$DU$40,MATCH(ROW()-3,$JK$4:$JK$40,0)))</f>
        <v/>
      </c>
      <c r="JM13">
        <f>IF(COUNTIF('Live Search'!BM$12:CJ$12,0)+COUNTIF('Live Search'!CL$12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N13">
        <f>IF($DZ$13="",FALSE,SUMPRODUCT(('Final Calculation Sheet'!$X$4:$X$40=$DZ$13)*($JM$6:$JM$42=1))&gt;0)</f>
        <v/>
      </c>
      <c r="JO13">
        <f>$JO$12+--($JN13)</f>
        <v/>
      </c>
      <c r="JP13">
        <f>IF(ROW()-3&gt;MAX($JO$4:$JO$40),"",INDEX($DZ$4:$DZ$40,MATCH(ROW()-3,$JO$4:$JO$40,0)))</f>
        <v/>
      </c>
      <c r="JQ13">
        <f>IF(COUNTIF('Live Search'!BM$12:CK$12,0)+COUNTIF('Live Search'!C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R13">
        <f>IF($EE$13="",FALSE,SUMPRODUCT(('Final Calculation Sheet'!$Y$4:$Y$40=$EE$13)*($JQ$6:$JQ$42=1))&gt;0)</f>
        <v/>
      </c>
      <c r="JS13">
        <f>$JS$12+--($JR13)</f>
        <v/>
      </c>
      <c r="JT13">
        <f>IF(ROW()-3&gt;MAX($JS$4:$JS$40),"",INDEX($EE$4:$EE$40,MATCH(ROW()-3,$JS$4:$JS$40,0)))</f>
        <v/>
      </c>
      <c r="JU13">
        <f>IF(COUNTIF('Live Search'!BM$12:CL$12,0)+COUNTIF('Live Search'!CN$12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V13">
        <f>IF($EJ$13="",FALSE,SUMPRODUCT(('Final Calculation Sheet'!$Z$4:$Z$40=$EJ$13)*($JU$6:$JU$42=1))&gt;0)</f>
        <v/>
      </c>
      <c r="JW13">
        <f>$JW$12+--($JV13)</f>
        <v/>
      </c>
      <c r="JX13">
        <f>IF(ROW()-3&gt;MAX($JW$4:$JW$40),"",INDEX($EJ$4:$EJ$40,MATCH(ROW()-3,$JW$4:$JW$40,0)))</f>
        <v/>
      </c>
      <c r="JY13">
        <f>IF(COUNTIF('Live Search'!BM$12:CM$12,0)+COUNTIF('Live Search'!CO$12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JZ13">
        <f>IF($EO$13="",FALSE,SUMPRODUCT(('Final Calculation Sheet'!$AA$4:$AA$40=$EO$13)*($JY$6:$JY$42=1))&gt;0)</f>
        <v/>
      </c>
      <c r="KA13">
        <f>$KA$12+--($JZ13)</f>
        <v/>
      </c>
      <c r="KB13">
        <f>IF(ROW()-3&gt;MAX($KA$4:$KA$40),"",INDEX($EO$4:$EO$40,MATCH(ROW()-3,$KA$4:$KA$40,0)))</f>
        <v/>
      </c>
      <c r="KC13">
        <f>IF(COUNTIF('Live Search'!BM$12:CN$12,0)+COUNTIF('Live Search'!CP$12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D13">
        <f>IF($ET$13="",FALSE,SUMPRODUCT(('Final Calculation Sheet'!$AB$4:$AB$40=$ET$13)*($KC$6:$KC$42=1))&gt;0)</f>
        <v/>
      </c>
      <c r="KE13">
        <f>$KE$12+--($KD13)</f>
        <v/>
      </c>
      <c r="KF13">
        <f>IF(ROW()-3&gt;MAX($KE$4:$KE$40),"",INDEX($ET$4:$ET$40,MATCH(ROW()-3,$KE$4:$KE$40,0)))</f>
        <v/>
      </c>
      <c r="KG13">
        <f>IF(COUNTIF('Live Search'!BM$12:CO$12,0)+COUNTIF('Live Search'!CQ$12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H13">
        <f>IF($EY$13="",FALSE,SUMPRODUCT(('Final Calculation Sheet'!$AC$4:$AC$40=$EY$13)*($KG$6:$KG$42=1))&gt;0)</f>
        <v/>
      </c>
      <c r="KI13">
        <f>$KI$12+--($KH13)</f>
        <v/>
      </c>
      <c r="KJ13">
        <f>IF(ROW()-3&gt;MAX($KI$4:$KI$40),"",INDEX($EY$4:$EY$40,MATCH(ROW()-3,$KI$4:$KI$40,0)))</f>
        <v/>
      </c>
      <c r="KK13">
        <f>IF(COUNTIF('Live Search'!BM$12:CP$12,0)+COUNTIF('Live Search'!CR$12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L13">
        <f>IF($FD$13="",FALSE,SUMPRODUCT(('Final Calculation Sheet'!$AD$4:$AD$40=$FD$13)*($KK$6:$KK$42=1))&gt;0)</f>
        <v/>
      </c>
      <c r="KM13">
        <f>$KM$12+--($KL13)</f>
        <v/>
      </c>
      <c r="KN13">
        <f>IF(ROW()-3&gt;MAX($KM$4:$KM$40),"",INDEX($FD$4:$FD$40,MATCH(ROW()-3,$KM$4:$KM$40,0)))</f>
        <v/>
      </c>
      <c r="KO13">
        <f>IF(COUNTIF('Live Search'!BM$12:CT$12,0)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P13">
        <f>IF($FX$13="",FALSE,SUMPRODUCT((IF('Final Calculation Sheet'!$AD$4:$AD$40&lt;=5,"SETTLED","OUTSTANDING")=$FX$13)*($KO$6:$KO$42=1))&gt;0)</f>
        <v/>
      </c>
      <c r="KQ13">
        <f>$KQ$12+--($KP13)</f>
        <v/>
      </c>
      <c r="KR13">
        <f>IF(ROW()-3&gt;MAX($KQ$4:$KQ$40),"",INDEX($FX$4:$FX$40,MATCH(ROW()-3,$KQ$4:$KQ$40,0)))</f>
        <v/>
      </c>
      <c r="KS13">
        <f>IF(COUNTIF('Live Search'!BM$12:CQ$12,0)+COUNTIF('Live Search'!CS$12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T13">
        <f>IF($FI$13="",FALSE,SUMPRODUCT(('Final Calculation Sheet'!$AF$4:$AF$40=$FI$13)*($KS$6:$KS$42=1))&gt;0)</f>
        <v/>
      </c>
      <c r="KU13">
        <f>$KU$12+--($KT13)</f>
        <v/>
      </c>
      <c r="KV13">
        <f>IF(ROW()-3&gt;MAX($KU$4:$KU$40),"",INDEX($FI$4:$FI$40,MATCH(ROW()-3,$KU$4:$KU$40,0)))</f>
        <v/>
      </c>
      <c r="KW13">
        <f>IF(COUNTIF('Live Search'!BM$12:CR$12,0)+COUNTIF('Live Search'!CT$12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KX13">
        <f>IF($FN$13="",FALSE,SUMPRODUCT(('Final Calculation Sheet'!$AG$4:$AG$40=$FN$13)*($KW$6:$KW$42=1))&gt;0)</f>
        <v/>
      </c>
      <c r="KY13">
        <f>$KY$12+--($KX13)</f>
        <v/>
      </c>
      <c r="KZ13">
        <f>IF(ROW()-3&gt;MAX($KY$4:$KY$40),"",INDEX($FN$4:$FN$40,MATCH(ROW()-3,$KY$4:$KY$40,0)))</f>
        <v/>
      </c>
      <c r="LA13">
        <f>IF(COUNTIF('Live Search'!BM$12:CS$12,0)+COUNTIF('Live Search'!CU$12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LB13">
        <f>IF($FS$13="",FALSE,SUMPRODUCT(('Final Calculation Sheet'!$AH$4:$AH$40=$FS$13)*($LA$6:$LA$42=1))&gt;0)</f>
        <v/>
      </c>
      <c r="LC13">
        <f>$LC$12+--($LB13)</f>
        <v/>
      </c>
      <c r="LD13">
        <f>IF(ROW()-3&gt;MAX($LC$4:$LC$40),"",INDEX($FS$4:$FS$40,MATCH(ROW()-3,$LC$4:$LC$40,0)))</f>
        <v/>
      </c>
      <c r="LE13">
        <f>IF(COUNTIF('Buyer Groups'!DH66:EN66,0)&gt;0,0,1)</f>
        <v/>
      </c>
      <c r="LF13">
        <f>IF($O$13="",FALSE,SUMPRODUCT(('Final Calculation Sheet'!$F$4:$F$40=$O$13)*($LE$6:$LE$42=1))&gt;0)</f>
        <v/>
      </c>
      <c r="LG13">
        <f>$LG$12+--($LF13)</f>
        <v/>
      </c>
      <c r="LH13">
        <f>IF(ROW()-3&gt;MAX($LG$4:$LG$40),"",INDEX($O$4:$O$40,MATCH(ROW()-3,$LG$4:$LG$40,0)))</f>
        <v/>
      </c>
      <c r="LI13">
        <f>IF(COUNTIF('Buyer Groups'!DG66:DG66,0)+COUNTIF('Buyer Groups'!DI66:EN66,0)&gt;0,0,1)</f>
        <v/>
      </c>
      <c r="LJ13">
        <f>IF($T$13="",FALSE,SUMPRODUCT(('Final Calculation Sheet'!$G$4:$G$40=$T$13)*($LI$6:$LI$42=1))&gt;0)</f>
        <v/>
      </c>
      <c r="LK13">
        <f>$LK$12+--($LJ13)</f>
        <v/>
      </c>
      <c r="LL13">
        <f>IF(ROW()-3&gt;MAX($LK$4:$LK$40),"",INDEX($T$4:$T$40,MATCH(ROW()-3,$LK$4:$LK$40,0)))</f>
        <v/>
      </c>
      <c r="LM13">
        <f>IF(COUNTIF('Buyer Groups'!DG66:DH66,0)+COUNTIF('Buyer Groups'!DJ66:EN66,0)&gt;0,0,1)</f>
        <v/>
      </c>
      <c r="LN13">
        <f>IF($Y$13="",FALSE,SUMPRODUCT(('Final Calculation Sheet'!$B$4:$B$40=$Y$13)*($LM$6:$LM$42=1))&gt;0)</f>
        <v/>
      </c>
      <c r="LO13">
        <f>$LO$12+--($LN13)</f>
        <v/>
      </c>
      <c r="LP13">
        <f>IF(ROW()-3&gt;MAX($LO$4:$LO$40),"",INDEX($Y$4:$Y$40,MATCH(ROW()-3,$LO$4:$LO$40,0)))</f>
        <v/>
      </c>
      <c r="LQ13">
        <f>IF(COUNTIF('Buyer Groups'!DG66:DI66,0)+COUNTIF('Buyer Groups'!DK66:EN66,0)&gt;0,0,1)</f>
        <v/>
      </c>
      <c r="LR13">
        <f>IF($AD$13="",FALSE,SUMPRODUCT(('Final Calculation Sheet'!$D$4:$D$40=$AD$13)*($LQ$6:$LQ$42=1))&gt;0)</f>
        <v/>
      </c>
      <c r="LS13">
        <f>$LS$12+--($LR13)</f>
        <v/>
      </c>
      <c r="LT13">
        <f>IF(ROW()-3&gt;MAX($LS$4:$LS$40),"",INDEX($AD$4:$AD$40,MATCH(ROW()-3,$LS$4:$LS$40,0)))</f>
        <v/>
      </c>
      <c r="LU13">
        <f>IF(COUNTIF('Buyer Groups'!DG66:DJ66,0)+COUNTIF('Buyer Groups'!DL66:EN66,0)&gt;0,0,1)</f>
        <v/>
      </c>
      <c r="LV13">
        <f>IF($AI$13="",FALSE,SUMPRODUCT(('Final Calculation Sheet'!$A$4:$A$40=$AI$13)*($LU$6:$LU$42=1))&gt;0)</f>
        <v/>
      </c>
      <c r="LW13">
        <f>$LW$12+--($LV13)</f>
        <v/>
      </c>
      <c r="LX13">
        <f>IF(ROW()-3&gt;MAX($LW$4:$LW$40),"",INDEX($AI$4:$AI$40,MATCH(ROW()-3,$LW$4:$LW$40,0)))</f>
        <v/>
      </c>
      <c r="LY13">
        <f>IF(COUNTIF('Buyer Groups'!DG66:DK66,0)+COUNTIF('Buyer Groups'!DM66:EN66,0)&gt;0,0,1)</f>
        <v/>
      </c>
      <c r="LZ13">
        <f>IF($AN$13="",FALSE,SUMPRODUCT(('Final Calculation Sheet'!$E$4:$E$40=$AN$13)*($LY$6:$LY$42=1))&gt;0)</f>
        <v/>
      </c>
      <c r="MA13">
        <f>$MA$12+--($LZ13)</f>
        <v/>
      </c>
      <c r="MB13">
        <f>IF(ROW()-3&gt;MAX($MA$4:$MA$40),"",INDEX($AN$4:$AN$40,MATCH(ROW()-3,$MA$4:$MA$40,0)))</f>
        <v/>
      </c>
      <c r="MC13">
        <f>IF(COUNTIF('Buyer Groups'!DG66:DL66,0)+COUNTIF('Buyer Groups'!DN66:EN66,0)&gt;0,0,1)</f>
        <v/>
      </c>
      <c r="MD13">
        <f>IF($AS$13="",FALSE,SUMPRODUCT(('Final Calculation Sheet'!$C$4:$C$40=$AS$13)*($MC$6:$MC$42=1))&gt;0)</f>
        <v/>
      </c>
      <c r="ME13">
        <f>$ME$12+--($MD13)</f>
        <v/>
      </c>
      <c r="MF13">
        <f>IF(ROW()-3&gt;MAX($ME$4:$ME$40),"",INDEX($AS$4:$AS$40,MATCH(ROW()-3,$ME$4:$ME$40,0)))</f>
        <v/>
      </c>
      <c r="MG13">
        <f>IF(COUNTIF('Buyer Groups'!DG66:DM66,0)+COUNTIF('Buyer Groups'!DO66:EN66,0)&gt;0,0,1)</f>
        <v/>
      </c>
      <c r="MH13">
        <f>IF($AX$13="",FALSE,SUMPRODUCT(('Final Calculation Sheet'!$H$4:$H$40=$AX$13)*($MG$6:$MG$42=1))&gt;0)</f>
        <v/>
      </c>
      <c r="MI13">
        <f>$MI$12+--($MH13)</f>
        <v/>
      </c>
      <c r="MJ13">
        <f>IF(ROW()-3&gt;MAX($MI$4:$MI$40),"",INDEX($AX$4:$AX$40,MATCH(ROW()-3,$MI$4:$MI$40,0)))</f>
        <v/>
      </c>
      <c r="MK13">
        <f>IF(COUNTIF('Buyer Groups'!DG66:DN66,0)+COUNTIF('Buyer Groups'!DP66:EN66,0)&gt;0,0,1)</f>
        <v/>
      </c>
      <c r="ML13">
        <f>IF($BC$13="",FALSE,SUMPRODUCT(('Final Calculation Sheet'!$I$4:$I$40=$BC$13)*($MK$6:$MK$42=1))&gt;0)</f>
        <v/>
      </c>
      <c r="MM13">
        <f>$MM$12+--($ML13)</f>
        <v/>
      </c>
      <c r="MN13">
        <f>IF(ROW()-3&gt;MAX($MM$4:$MM$40),"",INDEX($BC$4:$BC$40,MATCH(ROW()-3,$MM$4:$MM$40,0)))</f>
        <v/>
      </c>
      <c r="MO13">
        <f>IF(COUNTIF('Buyer Groups'!DG66:DO66,0)+COUNTIF('Buyer Groups'!DQ66:EN66,0)&gt;0,0,1)</f>
        <v/>
      </c>
      <c r="MP13">
        <f>IF($BH$13="",FALSE,SUMPRODUCT(('Final Calculation Sheet'!$J$4:$J$40=$BH$13)*($MO$6:$MO$42=1))&gt;0)</f>
        <v/>
      </c>
      <c r="MQ13">
        <f>$MQ$12+--($MP13)</f>
        <v/>
      </c>
      <c r="MR13">
        <f>IF(ROW()-3&gt;MAX($MQ$4:$MQ$40),"",INDEX($BH$4:$BH$40,MATCH(ROW()-3,$MQ$4:$MQ$40,0)))</f>
        <v/>
      </c>
      <c r="MS13">
        <f>IF(COUNTIF('Buyer Groups'!DG66:DP66,0)+COUNTIF('Buyer Groups'!DR66:EN66,0)&gt;0,0,1)</f>
        <v/>
      </c>
      <c r="MT13">
        <f>IF($BM$13="",FALSE,SUMPRODUCT(('Final Calculation Sheet'!$K$4:$K$40=$BM$13)*($MS$6:$MS$42=1))&gt;0)</f>
        <v/>
      </c>
      <c r="MU13">
        <f>$MU$12+--($MT13)</f>
        <v/>
      </c>
      <c r="MV13">
        <f>IF(ROW()-3&gt;MAX($MU$4:$MU$40),"",INDEX($BM$4:$BM$40,MATCH(ROW()-3,$MU$4:$MU$40,0)))</f>
        <v/>
      </c>
      <c r="MW13">
        <f>IF(COUNTIF('Buyer Groups'!DG66:DQ66,0)+COUNTIF('Buyer Groups'!DS66:EN66,0)&gt;0,0,1)</f>
        <v/>
      </c>
      <c r="MX13">
        <f>IF($BR$13="",FALSE,SUMPRODUCT(('Final Calculation Sheet'!$L$4:$L$40=$BR$13)*($MW$6:$MW$42=1))&gt;0)</f>
        <v/>
      </c>
      <c r="MY13">
        <f>$MY$12+--($MX13)</f>
        <v/>
      </c>
      <c r="MZ13">
        <f>IF(ROW()-3&gt;MAX($MY$4:$MY$40),"",INDEX($BR$4:$BR$40,MATCH(ROW()-3,$MY$4:$MY$40,0)))</f>
        <v/>
      </c>
      <c r="NA13">
        <f>IF(COUNTIF('Buyer Groups'!DG66:DR66,0)+COUNTIF('Buyer Groups'!DT66:EN66,0)&gt;0,0,1)</f>
        <v/>
      </c>
      <c r="NB13">
        <f>IF($BW$13="",FALSE,SUMPRODUCT(('Final Calculation Sheet'!$M$4:$M$40=$BW$13)*($NA$6:$NA$42=1))&gt;0)</f>
        <v/>
      </c>
      <c r="NC13">
        <f>$NC$12+--($NB13)</f>
        <v/>
      </c>
      <c r="ND13">
        <f>IF(ROW()-3&gt;MAX($NC$4:$NC$40),"",INDEX($BW$4:$BW$40,MATCH(ROW()-3,$NC$4:$NC$40,0)))</f>
        <v/>
      </c>
      <c r="NE13">
        <f>IF(COUNTIF('Buyer Groups'!DG66:DS66,0)+COUNTIF('Buyer Groups'!DU66:EN66,0)&gt;0,0,1)</f>
        <v/>
      </c>
      <c r="NF13">
        <f>IF($CB$13="",FALSE,SUMPRODUCT(('Final Calculation Sheet'!$N$4:$N$40=$CB$13)*($NE$6:$NE$42=1))&gt;0)</f>
        <v/>
      </c>
      <c r="NG13">
        <f>$NG$12+--($NF13)</f>
        <v/>
      </c>
      <c r="NH13">
        <f>IF(ROW()-3&gt;MAX($NG$4:$NG$40),"",INDEX($CB$4:$CB$40,MATCH(ROW()-3,$NG$4:$NG$40,0)))</f>
        <v/>
      </c>
      <c r="NI13">
        <f>IF(COUNTIF('Buyer Groups'!DG66:DT66,0)+COUNTIF('Buyer Groups'!DV66:EN66,0)&gt;0,0,1)</f>
        <v/>
      </c>
      <c r="NJ13">
        <f>IF($CG$13="",FALSE,SUMPRODUCT(('Final Calculation Sheet'!$O$4:$O$40=$CG$13)*($NI$6:$NI$42=1))&gt;0)</f>
        <v/>
      </c>
      <c r="NK13">
        <f>$NK$12+--($NJ13)</f>
        <v/>
      </c>
      <c r="NL13">
        <f>IF(ROW()-3&gt;MAX($NK$4:$NK$40),"",INDEX($CG$4:$CG$40,MATCH(ROW()-3,$NK$4:$NK$40,0)))</f>
        <v/>
      </c>
      <c r="NM13">
        <f>IF(COUNTIF('Buyer Groups'!DG66:DU66,0)+COUNTIF('Buyer Groups'!DW66:EN66,0)&gt;0,0,1)</f>
        <v/>
      </c>
      <c r="NN13">
        <f>IF($CL$13="",FALSE,SUMPRODUCT(('Final Calculation Sheet'!$P$4:$P$40=$CL$13)*($NM$6:$NM$42=1))&gt;0)</f>
        <v/>
      </c>
      <c r="NO13">
        <f>$NO$12+--($NN13)</f>
        <v/>
      </c>
      <c r="NP13">
        <f>IF(ROW()-3&gt;MAX($NO$4:$NO$40),"",INDEX($CL$4:$CL$40,MATCH(ROW()-3,$NO$4:$NO$40,0)))</f>
        <v/>
      </c>
      <c r="NQ13">
        <f>IF(COUNTIF('Buyer Groups'!DG66:DV66,0)+COUNTIF('Buyer Groups'!DX66:EN66,0)&gt;0,0,1)</f>
        <v/>
      </c>
      <c r="NR13">
        <f>IF($CQ$13="",FALSE,SUMPRODUCT(('Final Calculation Sheet'!$Q$4:$Q$40=$CQ$13)*($NQ$6:$NQ$42=1))&gt;0)</f>
        <v/>
      </c>
      <c r="NS13">
        <f>$NS$12+--($NR13)</f>
        <v/>
      </c>
      <c r="NT13">
        <f>IF(ROW()-3&gt;MAX($NS$4:$NS$40),"",INDEX($CQ$4:$CQ$40,MATCH(ROW()-3,$NS$4:$NS$40,0)))</f>
        <v/>
      </c>
      <c r="NU13">
        <f>IF(COUNTIF('Buyer Groups'!DG66:DW66,0)+COUNTIF('Buyer Groups'!DY66:EN66,0)&gt;0,0,1)</f>
        <v/>
      </c>
      <c r="NV13">
        <f>IF($CV$13="",FALSE,SUMPRODUCT(('Final Calculation Sheet'!$R$4:$R$40=$CV$13)*($NU$6:$NU$42=1))&gt;0)</f>
        <v/>
      </c>
      <c r="NW13">
        <f>$NW$12+--($NV13)</f>
        <v/>
      </c>
      <c r="NX13">
        <f>IF(ROW()-3&gt;MAX($NW$4:$NW$40),"",INDEX($CV$4:$CV$40,MATCH(ROW()-3,$NW$4:$NW$40,0)))</f>
        <v/>
      </c>
      <c r="NY13">
        <f>IF(COUNTIF('Buyer Groups'!DG66:DX66,0)+COUNTIF('Buyer Groups'!DZ66:EN66,0)&gt;0,0,1)</f>
        <v/>
      </c>
      <c r="NZ13">
        <f>IF($DA$13="",FALSE,SUMPRODUCT(('Final Calculation Sheet'!$S$4:$S$40=$DA$13)*($NY$6:$NY$42=1))&gt;0)</f>
        <v/>
      </c>
      <c r="OA13">
        <f>$OA$12+--($NZ13)</f>
        <v/>
      </c>
      <c r="OB13">
        <f>IF(ROW()-3&gt;MAX($OA$4:$OA$40),"",INDEX($DA$4:$DA$40,MATCH(ROW()-3,$OA$4:$OA$40,0)))</f>
        <v/>
      </c>
      <c r="OC13">
        <f>IF(COUNTIF('Buyer Groups'!DG66:DY66,0)+COUNTIF('Buyer Groups'!EA66:EN66,0)&gt;0,0,1)</f>
        <v/>
      </c>
      <c r="OD13">
        <f>IF($DF$13="",FALSE,SUMPRODUCT(('Final Calculation Sheet'!$T$4:$T$40=$DF$13)*($OC$6:$OC$42=1))&gt;0)</f>
        <v/>
      </c>
      <c r="OE13">
        <f>$OE$12+--($OD13)</f>
        <v/>
      </c>
      <c r="OF13">
        <f>IF(ROW()-3&gt;MAX($OE$4:$OE$40),"",INDEX($DF$4:$DF$40,MATCH(ROW()-3,$OE$4:$OE$40,0)))</f>
        <v/>
      </c>
      <c r="OG13">
        <f>IF(COUNTIF('Buyer Groups'!DG66:DZ66,0)+COUNTIF('Buyer Groups'!EB66:EN66,0)&gt;0,0,1)</f>
        <v/>
      </c>
      <c r="OH13">
        <f>IF($DK$13="",FALSE,SUMPRODUCT(('Final Calculation Sheet'!$U$4:$U$40=$DK$13)*($OG$6:$OG$42=1))&gt;0)</f>
        <v/>
      </c>
      <c r="OI13">
        <f>$OI$12+--($OH13)</f>
        <v/>
      </c>
      <c r="OJ13">
        <f>IF(ROW()-3&gt;MAX($OI$4:$OI$40),"",INDEX($DK$4:$DK$40,MATCH(ROW()-3,$OI$4:$OI$40,0)))</f>
        <v/>
      </c>
      <c r="OK13">
        <f>IF(COUNTIF('Buyer Groups'!DG66:EA66,0)+COUNTIF('Buyer Groups'!EC66:EN66,0)&gt;0,0,1)</f>
        <v/>
      </c>
      <c r="OL13">
        <f>IF($DP$13="",FALSE,SUMPRODUCT(('Final Calculation Sheet'!$V$4:$V$40=$DP$13)*($OK$6:$OK$42=1))&gt;0)</f>
        <v/>
      </c>
      <c r="OM13">
        <f>$OM$12+--($OL13)</f>
        <v/>
      </c>
      <c r="ON13">
        <f>IF(ROW()-3&gt;MAX($OM$4:$OM$40),"",INDEX($DP$4:$DP$40,MATCH(ROW()-3,$OM$4:$OM$40,0)))</f>
        <v/>
      </c>
      <c r="OO13">
        <f>IF(COUNTIF('Buyer Groups'!DG66:EB66,0)+COUNTIF('Buyer Groups'!ED66:EN66,0)&gt;0,0,1)</f>
        <v/>
      </c>
      <c r="OP13">
        <f>IF($DU$13="",FALSE,SUMPRODUCT(('Final Calculation Sheet'!$W$4:$W$40=$DU$13)*($OO$6:$OO$42=1))&gt;0)</f>
        <v/>
      </c>
      <c r="OQ13">
        <f>$OQ$12+--($OP13)</f>
        <v/>
      </c>
      <c r="OR13">
        <f>IF(ROW()-3&gt;MAX($OQ$4:$OQ$40),"",INDEX($DU$4:$DU$40,MATCH(ROW()-3,$OQ$4:$OQ$40,0)))</f>
        <v/>
      </c>
      <c r="OS13">
        <f>IF(COUNTIF('Buyer Groups'!DG66:EC66,0)+COUNTIF('Buyer Groups'!EE66:EN66,0)&gt;0,0,1)</f>
        <v/>
      </c>
      <c r="OT13">
        <f>IF($DZ$13="",FALSE,SUMPRODUCT(('Final Calculation Sheet'!$X$4:$X$40=$DZ$13)*($OS$6:$OS$42=1))&gt;0)</f>
        <v/>
      </c>
      <c r="OU13">
        <f>$OU$12+--($OT13)</f>
        <v/>
      </c>
      <c r="OV13">
        <f>IF(ROW()-3&gt;MAX($OU$4:$OU$40),"",INDEX($DZ$4:$DZ$40,MATCH(ROW()-3,$OU$4:$OU$40,0)))</f>
        <v/>
      </c>
      <c r="OW13">
        <f>IF(COUNTIF('Buyer Groups'!DG66:ED66,0)+COUNTIF('Buyer Groups'!EF66:EN66,0)&gt;0,0,1)</f>
        <v/>
      </c>
      <c r="OX13">
        <f>IF($EE$13="",FALSE,SUMPRODUCT(('Final Calculation Sheet'!$Y$4:$Y$40=$EE$13)*($OW$6:$OW$42=1))&gt;0)</f>
        <v/>
      </c>
      <c r="OY13">
        <f>$OY$12+--($OX13)</f>
        <v/>
      </c>
      <c r="OZ13">
        <f>IF(ROW()-3&gt;MAX($OY$4:$OY$40),"",INDEX($EE$4:$EE$40,MATCH(ROW()-3,$OY$4:$OY$40,0)))</f>
        <v/>
      </c>
      <c r="PA13">
        <f>IF(COUNTIF('Buyer Groups'!DG66:EE66,0)+COUNTIF('Buyer Groups'!EG66:EN66,0)&gt;0,0,1)</f>
        <v/>
      </c>
      <c r="PB13">
        <f>IF($EJ$13="",FALSE,SUMPRODUCT(('Final Calculation Sheet'!$Z$4:$Z$40=$EJ$13)*($PA$6:$PA$42=1))&gt;0)</f>
        <v/>
      </c>
      <c r="PC13">
        <f>$PC$12+--($PB13)</f>
        <v/>
      </c>
      <c r="PD13">
        <f>IF(ROW()-3&gt;MAX($PC$4:$PC$40),"",INDEX($EJ$4:$EJ$40,MATCH(ROW()-3,$PC$4:$PC$40,0)))</f>
        <v/>
      </c>
      <c r="PE13">
        <f>IF(COUNTIF('Buyer Groups'!DG66:EF66,0)+COUNTIF('Buyer Groups'!EH66:EN66,0)&gt;0,0,1)</f>
        <v/>
      </c>
      <c r="PF13">
        <f>IF($EO$13="",FALSE,SUMPRODUCT(('Final Calculation Sheet'!$AA$4:$AA$40=$EO$13)*($PE$6:$PE$42=1))&gt;0)</f>
        <v/>
      </c>
      <c r="PG13">
        <f>$PG$12+--($PF13)</f>
        <v/>
      </c>
      <c r="PH13">
        <f>IF(ROW()-3&gt;MAX($PG$4:$PG$40),"",INDEX($EO$4:$EO$40,MATCH(ROW()-3,$PG$4:$PG$40,0)))</f>
        <v/>
      </c>
      <c r="PI13">
        <f>IF(COUNTIF('Buyer Groups'!DG66:EG66,0)+COUNTIF('Buyer Groups'!EI66:EN66,0)&gt;0,0,1)</f>
        <v/>
      </c>
      <c r="PJ13">
        <f>IF($ET$13="",FALSE,SUMPRODUCT(('Final Calculation Sheet'!$AB$4:$AB$40=$ET$13)*($PI$6:$PI$42=1))&gt;0)</f>
        <v/>
      </c>
      <c r="PK13">
        <f>$PK$12+--($PJ13)</f>
        <v/>
      </c>
      <c r="PL13">
        <f>IF(ROW()-3&gt;MAX($PK$4:$PK$40),"",INDEX($ET$4:$ET$40,MATCH(ROW()-3,$PK$4:$PK$40,0)))</f>
        <v/>
      </c>
      <c r="PM13">
        <f>IF(COUNTIF('Buyer Groups'!DG66:EH66,0)+COUNTIF('Buyer Groups'!EJ66:EN66,0)&gt;0,0,1)</f>
        <v/>
      </c>
      <c r="PN13">
        <f>IF($EY$13="",FALSE,SUMPRODUCT(('Final Calculation Sheet'!$AC$4:$AC$40=$EY$13)*($PM$6:$PM$42=1))&gt;0)</f>
        <v/>
      </c>
      <c r="PO13">
        <f>$PO$12+--($PN13)</f>
        <v/>
      </c>
      <c r="PP13">
        <f>IF(ROW()-3&gt;MAX($PO$4:$PO$40),"",INDEX($EY$4:$EY$40,MATCH(ROW()-3,$PO$4:$PO$40,0)))</f>
        <v/>
      </c>
      <c r="PQ13">
        <f>IF(COUNTIF('Buyer Groups'!DG66:EI66,0)+COUNTIF('Buyer Groups'!EK66:EN66,0)&gt;0,0,1)</f>
        <v/>
      </c>
      <c r="PR13">
        <f>IF($FD$13="",FALSE,SUMPRODUCT(('Final Calculation Sheet'!$AD$4:$AD$40=$FD$13)*($PQ$6:$PQ$42=1))&gt;0)</f>
        <v/>
      </c>
      <c r="PS13">
        <f>$PS$12+--($PR13)</f>
        <v/>
      </c>
      <c r="PT13">
        <f>IF(ROW()-3&gt;MAX($PS$4:$PS$40),"",INDEX($FD$4:$FD$40,MATCH(ROW()-3,$PS$4:$PS$40,0)))</f>
        <v/>
      </c>
      <c r="PU13">
        <f>IF(COUNTIF('Buyer Groups'!DG66:EJ66,0)+COUNTIF('Buyer Groups'!EL66:EN66,0)&gt;0,0,1)</f>
        <v/>
      </c>
      <c r="PV13">
        <f>IF($FX$13="",FALSE,SUMPRODUCT((IF('Final Calculation Sheet'!$AD$4:$AD$40&lt;=5,"SETTLED","OUTSTANDING")=$FX$13)*($PU$6:$PU$42=1))&gt;0)</f>
        <v/>
      </c>
      <c r="PW13">
        <f>$PW$12+--($PV13)</f>
        <v/>
      </c>
      <c r="PX13">
        <f>IF(ROW()-3&gt;MAX($PW$4:$PW$40),"",INDEX($FX$4:$FX$40,MATCH(ROW()-3,$PW$4:$PW$40,0)))</f>
        <v/>
      </c>
      <c r="PY13">
        <f>IF(COUNTIF('Buyer Groups'!DG66:EK66,0)+COUNTIF('Buyer Groups'!EM66:EN66,0)&gt;0,0,1)</f>
        <v/>
      </c>
      <c r="PZ13">
        <f>IF($FI$13="",FALSE,SUMPRODUCT(('Final Calculation Sheet'!$AF$4:$AF$40=$FI$13)*($PY$6:$PY$42=1))&gt;0)</f>
        <v/>
      </c>
      <c r="QA13">
        <f>$QA$12+--($PZ13)</f>
        <v/>
      </c>
      <c r="QB13">
        <f>IF(ROW()-3&gt;MAX($QA$4:$QA$40),"",INDEX($FI$4:$FI$40,MATCH(ROW()-3,$QA$4:$QA$40,0)))</f>
        <v/>
      </c>
      <c r="QC13">
        <f>IF(COUNTIF('Buyer Groups'!DG66:EL66,0)+COUNTIF('Buyer Groups'!EN66:EN66,0)&gt;0,0,1)</f>
        <v/>
      </c>
      <c r="QD13">
        <f>IF($FN$13="",FALSE,SUMPRODUCT(('Final Calculation Sheet'!$AG$4:$AG$40=$FN$13)*($QC$6:$QC$42=1))&gt;0)</f>
        <v/>
      </c>
      <c r="QE13">
        <f>$QE$12+--($QD13)</f>
        <v/>
      </c>
      <c r="QF13">
        <f>IF(ROW()-3&gt;MAX($QE$4:$QE$40),"",INDEX($FN$4:$FN$40,MATCH(ROW()-3,$QE$4:$QE$40,0)))</f>
        <v/>
      </c>
      <c r="QG13">
        <f>IF(COUNTIF('Buyer Groups'!DG66:EM66,0)&gt;0,0,1)</f>
        <v/>
      </c>
      <c r="QH13">
        <f>IF($FS$13="",FALSE,SUMPRODUCT(('Final Calculation Sheet'!$AH$4:$AH$40=$FS$13)*($QG$6:$QG$42=1))&gt;0)</f>
        <v/>
      </c>
      <c r="QI13">
        <f>$QI$12+--($QH13)</f>
        <v/>
      </c>
      <c r="QJ13">
        <f>IF(ROW()-3&gt;MAX($QI$4:$QI$40),"",INDEX($FS$4:$FS$40,MATCH(ROW()-3,$QI$4:$QI$40,0)))</f>
        <v/>
      </c>
      <c r="QK13" t="str">
        <f>IF('Final Calculation Sheet'!$AH$13="","",'Final Calculation Sheet'!$AH$13)</f>
      </c>
      <c r="QL13" t="str">
        <f>IF(QK13="","",COUNTIFS(QK$4:QK$40,"&lt;"&amp;QK13,QK$4:QK$40,"&lt;&gt;"&amp;"")+COUNTIF(QK$4:QK13,QK13))</f>
      </c>
      <c r="QM13" t="str">
        <f>IF(ROW()-3&gt;COUNTIF(QK$4:QK$40,"&lt;&gt;"&amp;""),"",INDEX(QK$4:QK$40,MATCH(ROW()-3,QL$4:QL$40,0)))</f>
      </c>
      <c r="QN13" t="str">
        <f>=QN12+F(AND(QM13&lt;&gt;"",COUNTIF(QM$4:QM13,QM13)=1),1,0)</f>
      </c>
      <c r="QO13" t="str">
        <f>IF(ROW()-3&gt;MAX(QN$4:QN$40),"",INDEX(QM$4:QM$40,MATCH(ROW()-3,QN$4:QN$40,0)))</f>
      </c>
      <c r="QP13" t="str">
        <f>IF(COUNTIF('Final Calculation Sheet'!$AM13:$BS13,0)&gt;0,0,1)</f>
      </c>
      <c r="QQ13" t="str">
        <f>IF($AI$13="",FALSE,SUMPRODUCT(('Final Calculation Sheet'!$A$4:$A$40=$AI$13)*($QP$4:$QP$40=1))&gt;0)</f>
      </c>
      <c r="QR13" t="str">
        <f>=$QR12+--($QQ13)</f>
      </c>
      <c r="QS13" t="str">
        <f>IF(ROW()-3&gt;MAX($QR$4:$QR$40),"",INDEX($AI$4:$AI$40,MATCH(ROW()-3,$QR$4:$QR$40,0)))</f>
      </c>
      <c r="QT13" t="str">
        <f>IF(COUNTIF('Final Calculation Sheet'!$AL13:$AL13,0)+COUNTIF('Final Calculation Sheet'!$AN13:$BS13,0)&gt;0,0,1)</f>
      </c>
      <c r="QU13" t="str">
        <f>IF($Y$13="",FALSE,SUMPRODUCT(('Final Calculation Sheet'!$B$4:$B$40=$Y$13)*($QT$4:$QT$40=1))&gt;0)</f>
      </c>
      <c r="QV13" t="str">
        <f>=$QV12+--($QU13)</f>
      </c>
      <c r="QW13" t="str">
        <f>IF(ROW()-3&gt;MAX($QV$4:$QV$40),"",INDEX($Y$4:$Y$40,MATCH(ROW()-3,$QV$4:$QV$40,0)))</f>
      </c>
      <c r="QX13" t="str">
        <f>IF(COUNTIF('Final Calculation Sheet'!$AL13:$AM13,0)+COUNTIF('Final Calculation Sheet'!$AO13:$BS13,0)&gt;0,0,1)</f>
      </c>
      <c r="QY13" t="str">
        <f>IF($AS$13="",FALSE,SUMPRODUCT(('Final Calculation Sheet'!$C$4:$C$40=$AS$13)*($QX$4:$QX$40=1))&gt;0)</f>
      </c>
      <c r="QZ13" t="str">
        <f>=$QZ12+--($QY13)</f>
      </c>
      <c r="RA13" t="str">
        <f>IF(ROW()-3&gt;MAX($QZ$4:$QZ$40),"",INDEX($AS$4:$AS$40,MATCH(ROW()-3,$QZ$4:$QZ$40,0)))</f>
      </c>
      <c r="RB13" t="str">
        <f>IF(COUNTIF('Final Calculation Sheet'!$AL13:$AN13,0)+COUNTIF('Final Calculation Sheet'!$AP13:$BS13,0)&gt;0,0,1)</f>
      </c>
      <c r="RC13" t="str">
        <f>IF($AD$13="",FALSE,SUMPRODUCT(('Final Calculation Sheet'!$D$4:$D$40=$AD$13)*($RB$4:$RB$40=1))&gt;0)</f>
      </c>
      <c r="RD13" t="str">
        <f>=$RD12+--($RC13)</f>
      </c>
      <c r="RE13" t="str">
        <f>IF(ROW()-3&gt;MAX($RD$4:$RD$40),"",INDEX($AD$4:$AD$40,MATCH(ROW()-3,$RD$4:$RD$40,0)))</f>
      </c>
      <c r="RF13" t="str">
        <f>IF(COUNTIF('Final Calculation Sheet'!$AL13:$AO13,0)+COUNTIF('Final Calculation Sheet'!$AQ13:$BS13,0)&gt;0,0,1)</f>
      </c>
      <c r="RG13" t="str">
        <f>IF($AN$13="",FALSE,SUMPRODUCT(('Final Calculation Sheet'!$E$4:$E$40=$AN$13)*($RF$4:$RF$40=1))&gt;0)</f>
      </c>
      <c r="RH13" t="str">
        <f>=$RH12+--($RG13)</f>
      </c>
      <c r="RI13" t="str">
        <f>IF(ROW()-3&gt;MAX($RH$4:$RH$40),"",INDEX($AN$4:$AN$40,MATCH(ROW()-3,$RH$4:$RH$40,0)))</f>
      </c>
      <c r="RJ13" t="str">
        <f>IF(COUNTIF('Final Calculation Sheet'!$AL13:$AP13,0)+COUNTIF('Final Calculation Sheet'!$AR13:$BS13,0)&gt;0,0,1)</f>
      </c>
      <c r="RK13" t="str">
        <f>IF($O$13="",FALSE,SUMPRODUCT(('Final Calculation Sheet'!$F$4:$F$40=$O$13)*($RJ$4:$RJ$40=1))&gt;0)</f>
      </c>
      <c r="RL13" t="str">
        <f>=$RL12+--($RK13)</f>
      </c>
      <c r="RM13" t="str">
        <f>IF(ROW()-3&gt;MAX($RL$4:$RL$40),"",INDEX($O$4:$O$40,MATCH(ROW()-3,$RL$4:$RL$40,0)))</f>
      </c>
      <c r="RN13" t="str">
        <f>IF(COUNTIF('Final Calculation Sheet'!$AL13:$AQ13,0)+COUNTIF('Final Calculation Sheet'!$AS13:$BS13,0)&gt;0,0,1)</f>
      </c>
      <c r="RO13" t="str">
        <f>IF($T$13="",FALSE,SUMPRODUCT(('Final Calculation Sheet'!$G$4:$G$40=$T$13)*($RN$4:$RN$40=1))&gt;0)</f>
      </c>
      <c r="RP13" t="str">
        <f>=$RP12+--($RO13)</f>
      </c>
      <c r="RQ13" t="str">
        <f>IF(ROW()-3&gt;MAX($RP$4:$RP$40),"",INDEX($T$4:$T$40,MATCH(ROW()-3,$RP$4:$RP$40,0)))</f>
      </c>
      <c r="RR13" t="str">
        <f>IF(COUNTIF('Final Calculation Sheet'!$AL13:$AR13,0)+COUNTIF('Final Calculation Sheet'!$AT13:$BS13,0)&gt;0,0,1)</f>
      </c>
      <c r="RS13" t="str">
        <f>IF($AX$13="",FALSE,SUMPRODUCT(('Final Calculation Sheet'!$H$4:$H$40=$AX$13)*($RR$4:$RR$40=1))&gt;0)</f>
      </c>
      <c r="RT13" t="str">
        <f>=$RT12+--($RS13)</f>
      </c>
      <c r="RU13" t="str">
        <f>IF(ROW()-3&gt;MAX($RT$4:$RT$40),"",INDEX($AX$4:$AX$40,MATCH(ROW()-3,$RT$4:$RT$40,0)))</f>
      </c>
      <c r="RV13" t="str">
        <f>IF(COUNTIF('Final Calculation Sheet'!$AL13:$AS13,0)+COUNTIF('Final Calculation Sheet'!$AU13:$BS13,0)&gt;0,0,1)</f>
      </c>
      <c r="RW13" t="str">
        <f>IF($BC$13="",FALSE,SUMPRODUCT(('Final Calculation Sheet'!$I$4:$I$40=$BC$13)*($RV$4:$RV$40=1))&gt;0)</f>
      </c>
      <c r="RX13" t="str">
        <f>=$RX12+--($RW13)</f>
      </c>
      <c r="RY13" t="str">
        <f>IF(ROW()-3&gt;MAX($RX$4:$RX$40),"",INDEX($BC$4:$BC$40,MATCH(ROW()-3,$RX$4:$RX$40,0)))</f>
      </c>
      <c r="RZ13" t="str">
        <f>IF(COUNTIF('Final Calculation Sheet'!$AL13:$AT13,0)+COUNTIF('Final Calculation Sheet'!$AV13:$BS13,0)&gt;0,0,1)</f>
      </c>
      <c r="SA13" t="str">
        <f>IF($BH$13="",FALSE,SUMPRODUCT(('Final Calculation Sheet'!$J$4:$J$40=$BH$13)*($RZ$4:$RZ$40=1))&gt;0)</f>
      </c>
      <c r="SB13" t="str">
        <f>=$SB12+--($SA13)</f>
      </c>
      <c r="SC13" t="str">
        <f>IF(ROW()-3&gt;MAX($SB$4:$SB$40),"",INDEX($BH$4:$BH$40,MATCH(ROW()-3,$SB$4:$SB$40,0)))</f>
      </c>
      <c r="SD13" t="str">
        <f>IF(COUNTIF('Final Calculation Sheet'!$AL13:$AU13,0)+COUNTIF('Final Calculation Sheet'!$AW13:$BS13,0)&gt;0,0,1)</f>
      </c>
      <c r="SE13" t="str">
        <f>IF($BM$13="",FALSE,SUMPRODUCT(('Final Calculation Sheet'!$K$4:$K$40=$BM$13)*($SD$4:$SD$40=1))&gt;0)</f>
      </c>
      <c r="SF13" t="str">
        <f>=$SF12+--($SE13)</f>
      </c>
      <c r="SG13" t="str">
        <f>IF(ROW()-3&gt;MAX($SF$4:$SF$40),"",INDEX($BM$4:$BM$40,MATCH(ROW()-3,$SF$4:$SF$40,0)))</f>
      </c>
      <c r="SH13" t="str">
        <f>IF(COUNTIF('Final Calculation Sheet'!$AL13:$AV13,0)+COUNTIF('Final Calculation Sheet'!$AX13:$BS13,0)&gt;0,0,1)</f>
      </c>
      <c r="SI13" t="str">
        <f>IF($BR$13="",FALSE,SUMPRODUCT(('Final Calculation Sheet'!$L$4:$L$40=$BR$13)*($SH$4:$SH$40=1))&gt;0)</f>
      </c>
      <c r="SJ13" t="str">
        <f>=$SJ12+--($SI13)</f>
      </c>
      <c r="SK13" t="str">
        <f>IF(ROW()-3&gt;MAX($SJ$4:$SJ$40),"",INDEX($BR$4:$BR$40,MATCH(ROW()-3,$SJ$4:$SJ$40,0)))</f>
      </c>
      <c r="SL13" t="str">
        <f>IF(COUNTIF('Final Calculation Sheet'!$AL13:$AW13,0)+COUNTIF('Final Calculation Sheet'!$AY13:$BS13,0)&gt;0,0,1)</f>
      </c>
      <c r="SM13" t="str">
        <f>IF($BW$13="",FALSE,SUMPRODUCT(('Final Calculation Sheet'!$M$4:$M$40=$BW$13)*($SL$4:$SL$40=1))&gt;0)</f>
      </c>
      <c r="SN13" t="str">
        <f>=$SN12+--($SM13)</f>
      </c>
      <c r="SO13" t="str">
        <f>IF(ROW()-3&gt;MAX($SN$4:$SN$40),"",INDEX($BW$4:$BW$40,MATCH(ROW()-3,$SN$4:$SN$40,0)))</f>
      </c>
      <c r="SP13" t="str">
        <f>IF(COUNTIF('Final Calculation Sheet'!$AL13:$AX13,0)+COUNTIF('Final Calculation Sheet'!$AZ13:$BS13,0)&gt;0,0,1)</f>
      </c>
      <c r="SQ13" t="str">
        <f>IF($CB$13="",FALSE,SUMPRODUCT(('Final Calculation Sheet'!$N$4:$N$40=$CB$13)*($SP$4:$SP$40=1))&gt;0)</f>
      </c>
      <c r="SR13" t="str">
        <f>=$SR12+--($SQ13)</f>
      </c>
      <c r="SS13" t="str">
        <f>IF(ROW()-3&gt;MAX($SR$4:$SR$40),"",INDEX($CB$4:$CB$40,MATCH(ROW()-3,$SR$4:$SR$40,0)))</f>
      </c>
      <c r="ST13" t="str">
        <f>IF(COUNTIF('Final Calculation Sheet'!$AL13:$AY13,0)+COUNTIF('Final Calculation Sheet'!$BA13:$BS13,0)&gt;0,0,1)</f>
      </c>
      <c r="SU13" t="str">
        <f>IF($CG$13="",FALSE,SUMPRODUCT(('Final Calculation Sheet'!$O$4:$O$40=$CG$13)*($ST$4:$ST$40=1))&gt;0)</f>
      </c>
      <c r="SV13" t="str">
        <f>=$SV12+--($SU13)</f>
      </c>
      <c r="SW13" t="str">
        <f>IF(ROW()-3&gt;MAX($SV$4:$SV$40),"",INDEX($CG$4:$CG$40,MATCH(ROW()-3,$SV$4:$SV$40,0)))</f>
      </c>
      <c r="SX13" t="str">
        <f>IF(COUNTIF('Final Calculation Sheet'!$AL13:$AZ13,0)+COUNTIF('Final Calculation Sheet'!$BB13:$BS13,0)&gt;0,0,1)</f>
      </c>
      <c r="SY13" t="str">
        <f>IF($CL$13="",FALSE,SUMPRODUCT(('Final Calculation Sheet'!$P$4:$P$40=$CL$13)*($SX$4:$SX$40=1))&gt;0)</f>
      </c>
      <c r="SZ13" t="str">
        <f>=$SZ12+--($SY13)</f>
      </c>
      <c r="TA13" t="str">
        <f>IF(ROW()-3&gt;MAX($SZ$4:$SZ$40),"",INDEX($CL$4:$CL$40,MATCH(ROW()-3,$SZ$4:$SZ$40,0)))</f>
      </c>
      <c r="TB13" t="str">
        <f>IF(COUNTIF('Final Calculation Sheet'!$AL13:$BA13,0)+COUNTIF('Final Calculation Sheet'!$BC13:$BS13,0)&gt;0,0,1)</f>
      </c>
      <c r="TC13" t="str">
        <f>IF($CQ$13="",FALSE,SUMPRODUCT(('Final Calculation Sheet'!$Q$4:$Q$40=$CQ$13)*($TB$4:$TB$40=1))&gt;0)</f>
      </c>
      <c r="TD13" t="str">
        <f>=$TD12+--($TC13)</f>
      </c>
      <c r="TE13" t="str">
        <f>IF(ROW()-3&gt;MAX($TD$4:$TD$40),"",INDEX($CQ$4:$CQ$40,MATCH(ROW()-3,$TD$4:$TD$40,0)))</f>
      </c>
      <c r="TF13" t="str">
        <f>IF(COUNTIF('Final Calculation Sheet'!$AL13:$BB13,0)+COUNTIF('Final Calculation Sheet'!$BD13:$BS13,0)&gt;0,0,1)</f>
      </c>
      <c r="TG13" t="str">
        <f>IF($CV$13="",FALSE,SUMPRODUCT(('Final Calculation Sheet'!$R$4:$R$40=$CV$13)*($TF$4:$TF$40=1))&gt;0)</f>
      </c>
      <c r="TH13" t="str">
        <f>=$TH12+--($TG13)</f>
      </c>
      <c r="TI13" t="str">
        <f>IF(ROW()-3&gt;MAX($TH$4:$TH$40),"",INDEX($CV$4:$CV$40,MATCH(ROW()-3,$TH$4:$TH$40,0)))</f>
      </c>
      <c r="TJ13" t="str">
        <f>IF(COUNTIF('Final Calculation Sheet'!$AL13:$BC13,0)+COUNTIF('Final Calculation Sheet'!$BE13:$BS13,0)&gt;0,0,1)</f>
      </c>
      <c r="TK13" t="str">
        <f>IF($DA$13="",FALSE,SUMPRODUCT(('Final Calculation Sheet'!$S$4:$S$40=$DA$13)*($TJ$4:$TJ$40=1))&gt;0)</f>
      </c>
      <c r="TL13" t="str">
        <f>=$TL12+--($TK13)</f>
      </c>
      <c r="TM13" t="str">
        <f>IF(ROW()-3&gt;MAX($TL$4:$TL$40),"",INDEX($DA$4:$DA$40,MATCH(ROW()-3,$TL$4:$TL$40,0)))</f>
      </c>
      <c r="TN13" t="str">
        <f>IF(COUNTIF('Final Calculation Sheet'!$AL13:$BD13,0)+COUNTIF('Final Calculation Sheet'!$BF13:$BS13,0)&gt;0,0,1)</f>
      </c>
      <c r="TO13" t="str">
        <f>IF($DF$13="",FALSE,SUMPRODUCT(('Final Calculation Sheet'!$T$4:$T$40=$DF$13)*($TN$4:$TN$40=1))&gt;0)</f>
      </c>
      <c r="TP13" t="str">
        <f>=$TP12+--($TO13)</f>
      </c>
      <c r="TQ13" t="str">
        <f>IF(ROW()-3&gt;MAX($TP$4:$TP$40),"",INDEX($DF$4:$DF$40,MATCH(ROW()-3,$TP$4:$TP$40,0)))</f>
      </c>
      <c r="TR13" t="str">
        <f>IF(COUNTIF('Final Calculation Sheet'!$AL13:$BE13,0)+COUNTIF('Final Calculation Sheet'!$BG13:$BS13,0)&gt;0,0,1)</f>
      </c>
      <c r="TS13" t="str">
        <f>IF($DK$13="",FALSE,SUMPRODUCT(('Final Calculation Sheet'!$U$4:$U$40=$DK$13)*($TR$4:$TR$40=1))&gt;0)</f>
      </c>
      <c r="TT13" t="str">
        <f>=$TT12+--($TS13)</f>
      </c>
      <c r="TU13" t="str">
        <f>IF(ROW()-3&gt;MAX($TT$4:$TT$40),"",INDEX($DK$4:$DK$40,MATCH(ROW()-3,$TT$4:$TT$40,0)))</f>
      </c>
      <c r="TV13" t="str">
        <f>IF(COUNTIF('Final Calculation Sheet'!$AL13:$BF13,0)+COUNTIF('Final Calculation Sheet'!$BH13:$BS13,0)&gt;0,0,1)</f>
      </c>
      <c r="TW13" t="str">
        <f>IF($DP$13="",FALSE,SUMPRODUCT(('Final Calculation Sheet'!$V$4:$V$40=$DP$13)*($TV$4:$TV$40=1))&gt;0)</f>
      </c>
      <c r="TX13" t="str">
        <f>=$TX12+--($TW13)</f>
      </c>
      <c r="TY13" t="str">
        <f>IF(ROW()-3&gt;MAX($TX$4:$TX$40),"",INDEX($DP$4:$DP$40,MATCH(ROW()-3,$TX$4:$TX$40,0)))</f>
      </c>
      <c r="TZ13" t="str">
        <f>IF(COUNTIF('Final Calculation Sheet'!$AL13:$BG13,0)+COUNTIF('Final Calculation Sheet'!$BI13:$BS13,0)&gt;0,0,1)</f>
      </c>
      <c r="UA13" t="str">
        <f>IF($DU$13="",FALSE,SUMPRODUCT(('Final Calculation Sheet'!$W$4:$W$40=$DU$13)*($TZ$4:$TZ$40=1))&gt;0)</f>
      </c>
      <c r="UB13" t="str">
        <f>=$UB12+--($UA13)</f>
      </c>
      <c r="UC13" t="str">
        <f>IF(ROW()-3&gt;MAX($UB$4:$UB$40),"",INDEX($DU$4:$DU$40,MATCH(ROW()-3,$UB$4:$UB$40,0)))</f>
      </c>
      <c r="UD13" t="str">
        <f>IF(COUNTIF('Final Calculation Sheet'!$AL13:$BH13,0)+COUNTIF('Final Calculation Sheet'!$BJ13:$BS13,0)&gt;0,0,1)</f>
      </c>
      <c r="UE13" t="str">
        <f>IF($DZ$13="",FALSE,SUMPRODUCT(('Final Calculation Sheet'!$X$4:$X$40=$DZ$13)*($UD$4:$UD$40=1))&gt;0)</f>
      </c>
      <c r="UF13" t="str">
        <f>=$UF12+--($UE13)</f>
      </c>
      <c r="UG13" t="str">
        <f>IF(ROW()-3&gt;MAX($UF$4:$UF$40),"",INDEX($DZ$4:$DZ$40,MATCH(ROW()-3,$UF$4:$UF$40,0)))</f>
      </c>
      <c r="UH13" t="str">
        <f>IF(COUNTIF('Final Calculation Sheet'!$AL13:$BI13,0)+COUNTIF('Final Calculation Sheet'!$BK13:$BS13,0)&gt;0,0,1)</f>
      </c>
      <c r="UI13" t="str">
        <f>IF($EE$13="",FALSE,SUMPRODUCT(('Final Calculation Sheet'!$Y$4:$Y$40=$EE$13)*($UH$4:$UH$40=1))&gt;0)</f>
      </c>
      <c r="UJ13" t="str">
        <f>=$UJ12+--($UI13)</f>
      </c>
      <c r="UK13" t="str">
        <f>IF(ROW()-3&gt;MAX($UJ$4:$UJ$40),"",INDEX($EE$4:$EE$40,MATCH(ROW()-3,$UJ$4:$UJ$40,0)))</f>
      </c>
      <c r="UL13" t="str">
        <f>IF(COUNTIF('Final Calculation Sheet'!$AL13:$BJ13,0)+COUNTIF('Final Calculation Sheet'!$BL13:$BS13,0)&gt;0,0,1)</f>
      </c>
      <c r="UM13" t="str">
        <f>IF($EJ$13="",FALSE,SUMPRODUCT(('Final Calculation Sheet'!$Z$4:$Z$40=$EJ$13)*($UL$4:$UL$40=1))&gt;0)</f>
      </c>
      <c r="UN13" t="str">
        <f>=$UN12+--($UM13)</f>
      </c>
      <c r="UO13" t="str">
        <f>IF(ROW()-3&gt;MAX($UN$4:$UN$40),"",INDEX($EJ$4:$EJ$40,MATCH(ROW()-3,$UN$4:$UN$40,0)))</f>
      </c>
      <c r="UP13" t="str">
        <f>IF(COUNTIF('Final Calculation Sheet'!$AL13:$BK13,0)+COUNTIF('Final Calculation Sheet'!$BM13:$BS13,0)&gt;0,0,1)</f>
      </c>
      <c r="UQ13" t="str">
        <f>IF($EO$13="",FALSE,SUMPRODUCT(('Final Calculation Sheet'!$AA$4:$AA$40=$EO$13)*($UP$4:$UP$40=1))&gt;0)</f>
      </c>
      <c r="UR13" t="str">
        <f>=$UR12+--($UQ13)</f>
      </c>
      <c r="US13" t="str">
        <f>IF(ROW()-3&gt;MAX($UR$4:$UR$40),"",INDEX($EO$4:$EO$40,MATCH(ROW()-3,$UR$4:$UR$40,0)))</f>
      </c>
      <c r="UT13" t="str">
        <f>IF(COUNTIF('Final Calculation Sheet'!$AL13:$BL13,0)+COUNTIF('Final Calculation Sheet'!$BN13:$BS13,0)&gt;0,0,1)</f>
      </c>
      <c r="UU13" t="str">
        <f>IF($ET$13="",FALSE,SUMPRODUCT(('Final Calculation Sheet'!$AB$4:$AB$40=$ET$13)*($UT$4:$UT$40=1))&gt;0)</f>
      </c>
      <c r="UV13" t="str">
        <f>=$UV12+--($UU13)</f>
      </c>
      <c r="UW13" t="str">
        <f>IF(ROW()-3&gt;MAX($UV$4:$UV$40),"",INDEX($ET$4:$ET$40,MATCH(ROW()-3,$UV$4:$UV$40,0)))</f>
      </c>
      <c r="UX13" t="str">
        <f>IF(COUNTIF('Final Calculation Sheet'!$AL13:$BM13,0)+COUNTIF('Final Calculation Sheet'!$BO13:$BS13,0)&gt;0,0,1)</f>
      </c>
      <c r="UY13" t="str">
        <f>IF($EY$13="",FALSE,SUMPRODUCT(('Final Calculation Sheet'!$AC$4:$AC$40=$EY$13)*($UX$4:$UX$40=1))&gt;0)</f>
      </c>
      <c r="UZ13" t="str">
        <f>=$UZ12+--($UY13)</f>
      </c>
      <c r="VA13" t="str">
        <f>IF(ROW()-3&gt;MAX($UZ$4:$UZ$40),"",INDEX($EY$4:$EY$40,MATCH(ROW()-3,$UZ$4:$UZ$40,0)))</f>
      </c>
      <c r="VB13" t="str">
        <f>IF(COUNTIF('Final Calculation Sheet'!$AL13:$BN13,0)+COUNTIF('Final Calculation Sheet'!$BP13:$BS13,0)&gt;0,0,1)</f>
      </c>
      <c r="VC13" t="str">
        <f>IF($FD$13="",FALSE,SUMPRODUCT(('Final Calculation Sheet'!$AD$4:$AD$40=$FD$13)*($VB$4:$VB$40=1))&gt;0)</f>
      </c>
      <c r="VD13" t="str">
        <f>=$VD12+--($VC13)</f>
      </c>
      <c r="VE13" t="str">
        <f>IF(ROW()-3&gt;MAX($VD$4:$VD$40),"",INDEX($FD$4:$FD$40,MATCH(ROW()-3,$VD$4:$VD$40,0)))</f>
      </c>
      <c r="VF13" t="str">
        <f>IF(COUNTIF('Final Calculation Sheet'!$AL13:$BO13,0)+COUNTIF('Final Calculation Sheet'!$BQ13:$BS13,0)&gt;0,0,1)</f>
      </c>
      <c r="VG13" t="str">
        <f>IF($FI$13="",FALSE,SUMPRODUCT(('Final Calculation Sheet'!$AE$4:$AE$40=$FI$13)*($VF$4:$VF$40=1))&gt;0)</f>
      </c>
      <c r="VH13" t="str">
        <f>=$VH12+--($VG13)</f>
      </c>
      <c r="VI13" t="str">
        <f>IF(ROW()-3&gt;MAX($VH$4:$VH$40),"",INDEX($FI$4:$FI$40,MATCH(ROW()-3,$VH$4:$VH$40,0)))</f>
      </c>
      <c r="VJ13" t="str">
        <f>IF(COUNTIF('Final Calculation Sheet'!$AL13:$BP13,0)+COUNTIF('Final Calculation Sheet'!$BR13:$BS13,0)&gt;0,0,1)</f>
      </c>
      <c r="VK13" t="str">
        <f>IF($FN$13="",FALSE,SUMPRODUCT(('Final Calculation Sheet'!$AF$4:$AF$40=$FN$13)*($VJ$4:$VJ$40=1))&gt;0)</f>
      </c>
      <c r="VL13" t="str">
        <f>=$VL12+--($VK13)</f>
      </c>
      <c r="VM13" t="str">
        <f>IF(ROW()-3&gt;MAX($VL$4:$VL$40),"",INDEX($FN$4:$FN$40,MATCH(ROW()-3,$VL$4:$VL$40,0)))</f>
      </c>
      <c r="VN13" t="str">
        <f>IF(COUNTIF('Final Calculation Sheet'!$AL13:$BQ13,0)+COUNTIF('Final Calculation Sheet'!$BS13:$BS13,0)&gt;0,0,1)</f>
      </c>
      <c r="VO13" t="str">
        <f>IF($FS$13="",FALSE,SUMPRODUCT(('Final Calculation Sheet'!$AG$4:$AG$40=$FS$13)*($VN$4:$VN$40=1))&gt;0)</f>
      </c>
      <c r="VP13" t="str">
        <f>=$VP12+--($VO13)</f>
      </c>
      <c r="VQ13" t="str">
        <f>IF(ROW()-3&gt;MAX($VP$4:$VP$40),"",INDEX($FS$4:$FS$40,MATCH(ROW()-3,$VP$4:$VP$40,0)))</f>
      </c>
      <c r="VR13" t="str">
        <f>IF(COUNTIF('Final Calculation Sheet'!$AL13:$BR13,0)&gt;0,0,1)</f>
      </c>
      <c r="VS13" t="str">
        <f>IF($QO$13="",FALSE,SUMPRODUCT(('Final Calculation Sheet'!$AH$4:$AH$40=$QO$13)*($VR$4:$VR$40=1))&gt;0)</f>
      </c>
      <c r="VT13" t="str">
        <f>=$VT12+--($VS13)</f>
      </c>
      <c r="VU13" t="str">
        <f>IF(ROW()-3&gt;MAX($VT$4:$VT$40),"",INDEX($QO$4:$QO$40,MATCH(ROW()-3,$VT$4:$VT$40,0)))</f>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IF(COUNTIF('Live Search'!BM$13:BM$13,0)+COUNTIF('Live Search'!B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D14">
        <f>IF($O$14="",FALSE,SUMPRODUCT(('Final Calculation Sheet'!$F$4:$F$40=$O$14)*($GC$6:$GC$42=1))&gt;0)</f>
        <v/>
      </c>
      <c r="GE14">
        <f>$GE$13+--($GD14)</f>
        <v/>
      </c>
      <c r="GF14">
        <f>IF(ROW()-3&gt;MAX($GE$4:$GE$40),"",INDEX($O$4:$O$40,MATCH(ROW()-3,$GE$4:$GE$40,0)))</f>
        <v/>
      </c>
      <c r="GG14">
        <f>IF(COUNTIF('Live Search'!BM$13:BN$13,0)+COUNTIF('Live Search'!B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H14">
        <f>IF($T$14="",FALSE,SUMPRODUCT(('Final Calculation Sheet'!$G$4:$G$40=$T$14)*($GG$6:$GG$42=1))&gt;0)</f>
        <v/>
      </c>
      <c r="GI14">
        <f>$GI$13+--($GH14)</f>
        <v/>
      </c>
      <c r="GJ14">
        <f>IF(ROW()-3&gt;MAX($GI$4:$GI$40),"",INDEX($T$4:$T$40,MATCH(ROW()-3,$GI$4:$GI$40,0)))</f>
        <v/>
      </c>
      <c r="GK14">
        <f>IF(COUNTIF('Live Search'!BM$13:BP$13,0)+COUNTIF('Live Search'!B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L14">
        <f>IF($AD$14="",FALSE,SUMPRODUCT(('Final Calculation Sheet'!$D$4:$D$40=$AD$14)*($GK$6:$GK$42=1))&gt;0)</f>
        <v/>
      </c>
      <c r="GM14">
        <f>$GM$13+--($GL14)</f>
        <v/>
      </c>
      <c r="GN14">
        <f>IF(ROW()-3&gt;MAX($GM$4:$GM$40),"",INDEX($AD$4:$AD$40,MATCH(ROW()-3,$GM$4:$GM$40,0)))</f>
        <v/>
      </c>
      <c r="GO14">
        <f>IF(COUNTIF('Live Search'!BM$13:BQ$13,0)+COUNTIF('Live Search'!B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P14">
        <f>IF($AI$14="",FALSE,SUMPRODUCT(('Final Calculation Sheet'!$A$4:$A$40=$AI$14)*($GO$6:$GO$42=1))&gt;0)</f>
        <v/>
      </c>
      <c r="GQ14">
        <f>$GQ$13+--($GP14)</f>
        <v/>
      </c>
      <c r="GR14">
        <f>IF(ROW()-3&gt;MAX($GQ$4:$GQ$40),"",INDEX($AI$4:$AI$40,MATCH(ROW()-3,$GQ$4:$GQ$40,0)))</f>
        <v/>
      </c>
      <c r="GS14">
        <f>IF(COUNTIF('Live Search'!BM$13:BR$13,0)+COUNTIF('Live Search'!B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T14">
        <f>IF($AN$14="",FALSE,SUMPRODUCT(('Final Calculation Sheet'!$E$4:$E$40=$AN$14)*($GS$6:$GS$42=1))&gt;0)</f>
        <v/>
      </c>
      <c r="GU14">
        <f>$GU$13+--($GT14)</f>
        <v/>
      </c>
      <c r="GV14">
        <f>IF(ROW()-3&gt;MAX($GU$4:$GU$40),"",INDEX($AN$4:$AN$40,MATCH(ROW()-3,$GU$4:$GU$40,0)))</f>
        <v/>
      </c>
      <c r="GW14">
        <f>IF(COUNTIF('Live Search'!BM$13:BS$13,0)+COUNTIF('Live Search'!B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GX14">
        <f>IF($AS$14="",FALSE,SUMPRODUCT(('Final Calculation Sheet'!$C$4:$C$40=$AS$14)*($GW$6:$GW$42=1))&gt;0)</f>
        <v/>
      </c>
      <c r="GY14">
        <f>$GY$13+--($GX14)</f>
        <v/>
      </c>
      <c r="GZ14">
        <f>IF(ROW()-3&gt;MAX($GY$4:$GY$40),"",INDEX($AS$4:$AS$40,MATCH(ROW()-3,$GY$4:$GY$40,0)))</f>
        <v/>
      </c>
      <c r="HA14">
        <f>IF(COUNTIF('Live Search'!BM$13:BT$13,0)+COUNTIF('Live Search'!BV$13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B14">
        <f>IF($AX$14="",FALSE,SUMPRODUCT(('Final Calculation Sheet'!$H$4:$H$40=$AX$14)*($HA$6:$HA$42=1))&gt;0)</f>
        <v/>
      </c>
      <c r="HC14">
        <f>$HC$13+--($HB14)</f>
        <v/>
      </c>
      <c r="HD14">
        <f>IF(ROW()-3&gt;MAX($HC$4:$HC$40),"",INDEX($AX$4:$AX$40,MATCH(ROW()-3,$HC$4:$HC$40,0)))</f>
        <v/>
      </c>
      <c r="HE14">
        <f>IF(COUNTIF('Live Search'!BM$13:BU$13,0)+COUNTIF('Live Search'!BW$13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F14">
        <f>IF($BC$14="",FALSE,SUMPRODUCT(('Final Calculation Sheet'!$I$4:$I$40=$BC$14)*($HE$6:$HE$42=1))&gt;0)</f>
        <v/>
      </c>
      <c r="HG14">
        <f>$HG$13+--($HF14)</f>
        <v/>
      </c>
      <c r="HH14">
        <f>IF(ROW()-3&gt;MAX($HG$4:$HG$40),"",INDEX($BC$4:$BC$40,MATCH(ROW()-3,$HG$4:$HG$40,0)))</f>
        <v/>
      </c>
      <c r="HI14">
        <f>IF(COUNTIF('Live Search'!BM$13:BV$13,0)+COUNTIF('Live Search'!BX$13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J14">
        <f>IF($BH$14="",FALSE,SUMPRODUCT(('Final Calculation Sheet'!$J$4:$J$40=$BH$14)*($HI$6:$HI$42=1))&gt;0)</f>
        <v/>
      </c>
      <c r="HK14">
        <f>$HK$13+--($HJ14)</f>
        <v/>
      </c>
      <c r="HL14">
        <f>IF(ROW()-3&gt;MAX($HK$4:$HK$40),"",INDEX($BH$4:$BH$40,MATCH(ROW()-3,$HK$4:$HK$40,0)))</f>
        <v/>
      </c>
      <c r="HM14">
        <f>IF(COUNTIF('Live Search'!BM$13:BW$13,0)+COUNTIF('Live Search'!BY$13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N14">
        <f>IF($BM$14="",FALSE,SUMPRODUCT(('Final Calculation Sheet'!$K$4:$K$40=$BM$14)*($HM$6:$HM$42=1))&gt;0)</f>
        <v/>
      </c>
      <c r="HO14">
        <f>$HO$13+--($HN14)</f>
        <v/>
      </c>
      <c r="HP14">
        <f>IF(ROW()-3&gt;MAX($HO$4:$HO$40),"",INDEX($BM$4:$BM$40,MATCH(ROW()-3,$HO$4:$HO$40,0)))</f>
        <v/>
      </c>
      <c r="HQ14">
        <f>IF(COUNTIF('Live Search'!BM$13:BX$13,0)+COUNTIF('Live Search'!BZ$13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R14">
        <f>IF($BR$14="",FALSE,SUMPRODUCT(('Final Calculation Sheet'!$L$4:$L$40=$BR$14)*($HQ$6:$HQ$42=1))&gt;0)</f>
        <v/>
      </c>
      <c r="HS14">
        <f>$HS$13+--($HR14)</f>
        <v/>
      </c>
      <c r="HT14">
        <f>IF(ROW()-3&gt;MAX($HS$4:$HS$40),"",INDEX($BR$4:$BR$40,MATCH(ROW()-3,$HS$4:$HS$40,0)))</f>
        <v/>
      </c>
      <c r="HU14">
        <f>IF(COUNTIF('Live Search'!BM$13:BY$13,0)+COUNTIF('Live Search'!CA$13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V14">
        <f>IF($BW$14="",FALSE,SUMPRODUCT(('Final Calculation Sheet'!$M$4:$M$40=$BW$14)*($HU$6:$HU$42=1))&gt;0)</f>
        <v/>
      </c>
      <c r="HW14">
        <f>$HW$13+--($HV14)</f>
        <v/>
      </c>
      <c r="HX14">
        <f>IF(ROW()-3&gt;MAX($HW$4:$HW$40),"",INDEX($BW$4:$BW$40,MATCH(ROW()-3,$HW$4:$HW$40,0)))</f>
        <v/>
      </c>
      <c r="HY14">
        <f>IF(COUNTIF('Live Search'!BM$13:BZ$13,0)+COUNTIF('Live Search'!CB$13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HZ14">
        <f>IF($CB$14="",FALSE,SUMPRODUCT(('Final Calculation Sheet'!$N$4:$N$40=$CB$14)*($HY$6:$HY$42=1))&gt;0)</f>
        <v/>
      </c>
      <c r="IA14">
        <f>$IA$13+--($HZ14)</f>
        <v/>
      </c>
      <c r="IB14">
        <f>IF(ROW()-3&gt;MAX($IA$4:$IA$40),"",INDEX($CB$4:$CB$40,MATCH(ROW()-3,$IA$4:$IA$40,0)))</f>
        <v/>
      </c>
      <c r="IC14">
        <f>IF(COUNTIF('Live Search'!BM$13:CA$13,0)+COUNTIF('Live Search'!CC$13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D14">
        <f>IF($CG$14="",FALSE,SUMPRODUCT(('Final Calculation Sheet'!$O$4:$O$40=$CG$14)*($IC$6:$IC$42=1))&gt;0)</f>
        <v/>
      </c>
      <c r="IE14">
        <f>$IE$13+--($ID14)</f>
        <v/>
      </c>
      <c r="IF14">
        <f>IF(ROW()-3&gt;MAX($IE$4:$IE$40),"",INDEX($CG$4:$CG$40,MATCH(ROW()-3,$IE$4:$IE$40,0)))</f>
        <v/>
      </c>
      <c r="IG14">
        <f>IF(COUNTIF('Live Search'!BM$13:CB$13,0)+COUNTIF('Live Search'!CD$13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H14">
        <f>IF($CL$14="",FALSE,SUMPRODUCT(('Final Calculation Sheet'!$P$4:$P$40=$CL$14)*($IG$6:$IG$42=1))&gt;0)</f>
        <v/>
      </c>
      <c r="II14">
        <f>$II$13+--($IH14)</f>
        <v/>
      </c>
      <c r="IJ14">
        <f>IF(ROW()-3&gt;MAX($II$4:$II$40),"",INDEX($CL$4:$CL$40,MATCH(ROW()-3,$II$4:$II$40,0)))</f>
        <v/>
      </c>
      <c r="IK14">
        <f>IF(COUNTIF('Live Search'!BM$13:CC$13,0)+COUNTIF('Live Search'!CE$13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L14">
        <f>IF($CQ$14="",FALSE,SUMPRODUCT(('Final Calculation Sheet'!$Q$4:$Q$40=$CQ$14)*($IK$6:$IK$42=1))&gt;0)</f>
        <v/>
      </c>
      <c r="IM14">
        <f>$IM$13+--($IL14)</f>
        <v/>
      </c>
      <c r="IN14">
        <f>IF(ROW()-3&gt;MAX($IM$4:$IM$40),"",INDEX($CQ$4:$CQ$40,MATCH(ROW()-3,$IM$4:$IM$40,0)))</f>
        <v/>
      </c>
      <c r="IO14">
        <f>IF(COUNTIF('Live Search'!BM$13:CD$13,0)+COUNTIF('Live Search'!CF$13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P14">
        <f>IF($CV$14="",FALSE,SUMPRODUCT(('Final Calculation Sheet'!$R$4:$R$40=$CV$14)*($IO$6:$IO$42=1))&gt;0)</f>
        <v/>
      </c>
      <c r="IQ14">
        <f>$IQ$13+--($IP14)</f>
        <v/>
      </c>
      <c r="IR14">
        <f>IF(ROW()-3&gt;MAX($IQ$4:$IQ$40),"",INDEX($CV$4:$CV$40,MATCH(ROW()-3,$IQ$4:$IQ$40,0)))</f>
        <v/>
      </c>
      <c r="IS14">
        <f>IF(COUNTIF('Live Search'!BM$13:CE$13,0)+COUNTIF('Live Search'!CG$13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T14">
        <f>IF($DA$14="",FALSE,SUMPRODUCT(('Final Calculation Sheet'!$S$4:$S$40=$DA$14)*($IS$6:$IS$42=1))&gt;0)</f>
        <v/>
      </c>
      <c r="IU14">
        <f>$IU$13+--($IT14)</f>
        <v/>
      </c>
      <c r="IV14">
        <f>IF(ROW()-3&gt;MAX($IU$4:$IU$40),"",INDEX($DA$4:$DA$40,MATCH(ROW()-3,$IU$4:$IU$40,0)))</f>
        <v/>
      </c>
      <c r="IW14">
        <f>IF(COUNTIF('Live Search'!BM$13:CF$13,0)+COUNTIF('Live Search'!CH$13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IX14">
        <f>IF($DF$14="",FALSE,SUMPRODUCT(('Final Calculation Sheet'!$T$4:$T$40=$DF$14)*($IW$6:$IW$42=1))&gt;0)</f>
        <v/>
      </c>
      <c r="IY14">
        <f>$IY$13+--($IX14)</f>
        <v/>
      </c>
      <c r="IZ14">
        <f>IF(ROW()-3&gt;MAX($IY$4:$IY$40),"",INDEX($DF$4:$DF$40,MATCH(ROW()-3,$IY$4:$IY$40,0)))</f>
        <v/>
      </c>
      <c r="JA14">
        <f>IF(COUNTIF('Live Search'!BM$13:CG$13,0)+COUNTIF('Live Search'!CI$13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B14">
        <f>IF($DK$14="",FALSE,SUMPRODUCT(('Final Calculation Sheet'!$U$4:$U$40=$DK$14)*($JA$6:$JA$42=1))&gt;0)</f>
        <v/>
      </c>
      <c r="JC14">
        <f>$JC$13+--($JB14)</f>
        <v/>
      </c>
      <c r="JD14">
        <f>IF(ROW()-3&gt;MAX($JC$4:$JC$40),"",INDEX($DK$4:$DK$40,MATCH(ROW()-3,$JC$4:$JC$40,0)))</f>
        <v/>
      </c>
      <c r="JE14">
        <f>IF(COUNTIF('Live Search'!BM$13:CH$13,0)+COUNTIF('Live Search'!CJ$13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F14">
        <f>IF($DP$14="",FALSE,SUMPRODUCT(('Final Calculation Sheet'!$V$4:$V$40=$DP$14)*($JE$6:$JE$42=1))&gt;0)</f>
        <v/>
      </c>
      <c r="JG14">
        <f>$JG$13+--($JF14)</f>
        <v/>
      </c>
      <c r="JH14">
        <f>IF(ROW()-3&gt;MAX($JG$4:$JG$40),"",INDEX($DP$4:$DP$40,MATCH(ROW()-3,$JG$4:$JG$40,0)))</f>
        <v/>
      </c>
      <c r="JI14">
        <f>IF(COUNTIF('Live Search'!BM$13:CI$13,0)+COUNTIF('Live Search'!CK$13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J14">
        <f>IF($DU$14="",FALSE,SUMPRODUCT(('Final Calculation Sheet'!$W$4:$W$40=$DU$14)*($JI$6:$JI$42=1))&gt;0)</f>
        <v/>
      </c>
      <c r="JK14">
        <f>$JK$13+--($JJ14)</f>
        <v/>
      </c>
      <c r="JL14">
        <f>IF(ROW()-3&gt;MAX($JK$4:$JK$40),"",INDEX($DU$4:$DU$40,MATCH(ROW()-3,$JK$4:$JK$40,0)))</f>
        <v/>
      </c>
      <c r="JM14">
        <f>IF(COUNTIF('Live Search'!BM$13:CJ$13,0)+COUNTIF('Live Search'!CL$13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N14">
        <f>IF($DZ$14="",FALSE,SUMPRODUCT(('Final Calculation Sheet'!$X$4:$X$40=$DZ$14)*($JM$6:$JM$42=1))&gt;0)</f>
        <v/>
      </c>
      <c r="JO14">
        <f>$JO$13+--($JN14)</f>
        <v/>
      </c>
      <c r="JP14">
        <f>IF(ROW()-3&gt;MAX($JO$4:$JO$40),"",INDEX($DZ$4:$DZ$40,MATCH(ROW()-3,$JO$4:$JO$40,0)))</f>
        <v/>
      </c>
      <c r="JQ14">
        <f>IF(COUNTIF('Live Search'!BM$13:CK$13,0)+COUNTIF('Live Search'!C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R14">
        <f>IF($EE$14="",FALSE,SUMPRODUCT(('Final Calculation Sheet'!$Y$4:$Y$40=$EE$14)*($JQ$6:$JQ$42=1))&gt;0)</f>
        <v/>
      </c>
      <c r="JS14">
        <f>$JS$13+--($JR14)</f>
        <v/>
      </c>
      <c r="JT14">
        <f>IF(ROW()-3&gt;MAX($JS$4:$JS$40),"",INDEX($EE$4:$EE$40,MATCH(ROW()-3,$JS$4:$JS$40,0)))</f>
        <v/>
      </c>
      <c r="JU14">
        <f>IF(COUNTIF('Live Search'!BM$13:CL$13,0)+COUNTIF('Live Search'!CN$13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V14">
        <f>IF($EJ$14="",FALSE,SUMPRODUCT(('Final Calculation Sheet'!$Z$4:$Z$40=$EJ$14)*($JU$6:$JU$42=1))&gt;0)</f>
        <v/>
      </c>
      <c r="JW14">
        <f>$JW$13+--($JV14)</f>
        <v/>
      </c>
      <c r="JX14">
        <f>IF(ROW()-3&gt;MAX($JW$4:$JW$40),"",INDEX($EJ$4:$EJ$40,MATCH(ROW()-3,$JW$4:$JW$40,0)))</f>
        <v/>
      </c>
      <c r="JY14">
        <f>IF(COUNTIF('Live Search'!BM$13:CM$13,0)+COUNTIF('Live Search'!CO$13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JZ14">
        <f>IF($EO$14="",FALSE,SUMPRODUCT(('Final Calculation Sheet'!$AA$4:$AA$40=$EO$14)*($JY$6:$JY$42=1))&gt;0)</f>
        <v/>
      </c>
      <c r="KA14">
        <f>$KA$13+--($JZ14)</f>
        <v/>
      </c>
      <c r="KB14">
        <f>IF(ROW()-3&gt;MAX($KA$4:$KA$40),"",INDEX($EO$4:$EO$40,MATCH(ROW()-3,$KA$4:$KA$40,0)))</f>
        <v/>
      </c>
      <c r="KC14">
        <f>IF(COUNTIF('Live Search'!BM$13:CN$13,0)+COUNTIF('Live Search'!CP$13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D14">
        <f>IF($ET$14="",FALSE,SUMPRODUCT(('Final Calculation Sheet'!$AB$4:$AB$40=$ET$14)*($KC$6:$KC$42=1))&gt;0)</f>
        <v/>
      </c>
      <c r="KE14">
        <f>$KE$13+--($KD14)</f>
        <v/>
      </c>
      <c r="KF14">
        <f>IF(ROW()-3&gt;MAX($KE$4:$KE$40),"",INDEX($ET$4:$ET$40,MATCH(ROW()-3,$KE$4:$KE$40,0)))</f>
        <v/>
      </c>
      <c r="KG14">
        <f>IF(COUNTIF('Live Search'!BM$13:CO$13,0)+COUNTIF('Live Search'!CQ$13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H14">
        <f>IF($EY$14="",FALSE,SUMPRODUCT(('Final Calculation Sheet'!$AC$4:$AC$40=$EY$14)*($KG$6:$KG$42=1))&gt;0)</f>
        <v/>
      </c>
      <c r="KI14">
        <f>$KI$13+--($KH14)</f>
        <v/>
      </c>
      <c r="KJ14">
        <f>IF(ROW()-3&gt;MAX($KI$4:$KI$40),"",INDEX($EY$4:$EY$40,MATCH(ROW()-3,$KI$4:$KI$40,0)))</f>
        <v/>
      </c>
      <c r="KK14">
        <f>IF(COUNTIF('Live Search'!BM$13:CP$13,0)+COUNTIF('Live Search'!CR$13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L14">
        <f>IF($FD$14="",FALSE,SUMPRODUCT(('Final Calculation Sheet'!$AD$4:$AD$40=$FD$14)*($KK$6:$KK$42=1))&gt;0)</f>
        <v/>
      </c>
      <c r="KM14">
        <f>$KM$13+--($KL14)</f>
        <v/>
      </c>
      <c r="KN14">
        <f>IF(ROW()-3&gt;MAX($KM$4:$KM$40),"",INDEX($FD$4:$FD$40,MATCH(ROW()-3,$KM$4:$KM$40,0)))</f>
        <v/>
      </c>
      <c r="KO14">
        <f>IF(COUNTIF('Live Search'!BM$13:CT$13,0)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P14">
        <f>IF($FX$14="",FALSE,SUMPRODUCT((IF('Final Calculation Sheet'!$AD$4:$AD$40&lt;=5,"SETTLED","OUTSTANDING")=$FX$14)*($KO$6:$KO$42=1))&gt;0)</f>
        <v/>
      </c>
      <c r="KQ14">
        <f>$KQ$13+--($KP14)</f>
        <v/>
      </c>
      <c r="KR14">
        <f>IF(ROW()-3&gt;MAX($KQ$4:$KQ$40),"",INDEX($FX$4:$FX$40,MATCH(ROW()-3,$KQ$4:$KQ$40,0)))</f>
        <v/>
      </c>
      <c r="KS14">
        <f>IF(COUNTIF('Live Search'!BM$13:CQ$13,0)+COUNTIF('Live Search'!CS$13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T14">
        <f>IF($FI$14="",FALSE,SUMPRODUCT(('Final Calculation Sheet'!$AF$4:$AF$40=$FI$14)*($KS$6:$KS$42=1))&gt;0)</f>
        <v/>
      </c>
      <c r="KU14">
        <f>$KU$13+--($KT14)</f>
        <v/>
      </c>
      <c r="KV14">
        <f>IF(ROW()-3&gt;MAX($KU$4:$KU$40),"",INDEX($FI$4:$FI$40,MATCH(ROW()-3,$KU$4:$KU$40,0)))</f>
        <v/>
      </c>
      <c r="KW14">
        <f>IF(COUNTIF('Live Search'!BM$13:CR$13,0)+COUNTIF('Live Search'!CT$13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KX14">
        <f>IF($FN$14="",FALSE,SUMPRODUCT(('Final Calculation Sheet'!$AG$4:$AG$40=$FN$14)*($KW$6:$KW$42=1))&gt;0)</f>
        <v/>
      </c>
      <c r="KY14">
        <f>$KY$13+--($KX14)</f>
        <v/>
      </c>
      <c r="KZ14">
        <f>IF(ROW()-3&gt;MAX($KY$4:$KY$40),"",INDEX($FN$4:$FN$40,MATCH(ROW()-3,$KY$4:$KY$40,0)))</f>
        <v/>
      </c>
      <c r="LA14">
        <f>IF(COUNTIF('Live Search'!BM$13:CS$13,0)+COUNTIF('Live Search'!CU$13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LB14">
        <f>IF($FS$14="",FALSE,SUMPRODUCT(('Final Calculation Sheet'!$AH$4:$AH$40=$FS$14)*($LA$6:$LA$42=1))&gt;0)</f>
        <v/>
      </c>
      <c r="LC14">
        <f>$LC$13+--($LB14)</f>
        <v/>
      </c>
      <c r="LD14">
        <f>IF(ROW()-3&gt;MAX($LC$4:$LC$40),"",INDEX($FS$4:$FS$40,MATCH(ROW()-3,$LC$4:$LC$40,0)))</f>
        <v/>
      </c>
      <c r="LE14">
        <f>IF(COUNTIF('Buyer Groups'!DH67:EN67,0)&gt;0,0,1)</f>
        <v/>
      </c>
      <c r="LF14">
        <f>IF($O$14="",FALSE,SUMPRODUCT(('Final Calculation Sheet'!$F$4:$F$40=$O$14)*($LE$6:$LE$42=1))&gt;0)</f>
        <v/>
      </c>
      <c r="LG14">
        <f>$LG$13+--($LF14)</f>
        <v/>
      </c>
      <c r="LH14">
        <f>IF(ROW()-3&gt;MAX($LG$4:$LG$40),"",INDEX($O$4:$O$40,MATCH(ROW()-3,$LG$4:$LG$40,0)))</f>
        <v/>
      </c>
      <c r="LI14">
        <f>IF(COUNTIF('Buyer Groups'!DG67:DG67,0)+COUNTIF('Buyer Groups'!DI67:EN67,0)&gt;0,0,1)</f>
        <v/>
      </c>
      <c r="LJ14">
        <f>IF($T$14="",FALSE,SUMPRODUCT(('Final Calculation Sheet'!$G$4:$G$40=$T$14)*($LI$6:$LI$42=1))&gt;0)</f>
        <v/>
      </c>
      <c r="LK14">
        <f>$LK$13+--($LJ14)</f>
        <v/>
      </c>
      <c r="LL14">
        <f>IF(ROW()-3&gt;MAX($LK$4:$LK$40),"",INDEX($T$4:$T$40,MATCH(ROW()-3,$LK$4:$LK$40,0)))</f>
        <v/>
      </c>
      <c r="LM14">
        <f>IF(COUNTIF('Buyer Groups'!DG67:DH67,0)+COUNTIF('Buyer Groups'!DJ67:EN67,0)&gt;0,0,1)</f>
        <v/>
      </c>
      <c r="LN14">
        <f>IF($Y$14="",FALSE,SUMPRODUCT(('Final Calculation Sheet'!$B$4:$B$40=$Y$14)*($LM$6:$LM$42=1))&gt;0)</f>
        <v/>
      </c>
      <c r="LO14">
        <f>$LO$13+--($LN14)</f>
        <v/>
      </c>
      <c r="LP14">
        <f>IF(ROW()-3&gt;MAX($LO$4:$LO$40),"",INDEX($Y$4:$Y$40,MATCH(ROW()-3,$LO$4:$LO$40,0)))</f>
        <v/>
      </c>
      <c r="LQ14">
        <f>IF(COUNTIF('Buyer Groups'!DG67:DI67,0)+COUNTIF('Buyer Groups'!DK67:EN67,0)&gt;0,0,1)</f>
        <v/>
      </c>
      <c r="LR14">
        <f>IF($AD$14="",FALSE,SUMPRODUCT(('Final Calculation Sheet'!$D$4:$D$40=$AD$14)*($LQ$6:$LQ$42=1))&gt;0)</f>
        <v/>
      </c>
      <c r="LS14">
        <f>$LS$13+--($LR14)</f>
        <v/>
      </c>
      <c r="LT14">
        <f>IF(ROW()-3&gt;MAX($LS$4:$LS$40),"",INDEX($AD$4:$AD$40,MATCH(ROW()-3,$LS$4:$LS$40,0)))</f>
        <v/>
      </c>
      <c r="LU14">
        <f>IF(COUNTIF('Buyer Groups'!DG67:DJ67,0)+COUNTIF('Buyer Groups'!DL67:EN67,0)&gt;0,0,1)</f>
        <v/>
      </c>
      <c r="LV14">
        <f>IF($AI$14="",FALSE,SUMPRODUCT(('Final Calculation Sheet'!$A$4:$A$40=$AI$14)*($LU$6:$LU$42=1))&gt;0)</f>
        <v/>
      </c>
      <c r="LW14">
        <f>$LW$13+--($LV14)</f>
        <v/>
      </c>
      <c r="LX14">
        <f>IF(ROW()-3&gt;MAX($LW$4:$LW$40),"",INDEX($AI$4:$AI$40,MATCH(ROW()-3,$LW$4:$LW$40,0)))</f>
        <v/>
      </c>
      <c r="LY14">
        <f>IF(COUNTIF('Buyer Groups'!DG67:DK67,0)+COUNTIF('Buyer Groups'!DM67:EN67,0)&gt;0,0,1)</f>
        <v/>
      </c>
      <c r="LZ14">
        <f>IF($AN$14="",FALSE,SUMPRODUCT(('Final Calculation Sheet'!$E$4:$E$40=$AN$14)*($LY$6:$LY$42=1))&gt;0)</f>
        <v/>
      </c>
      <c r="MA14">
        <f>$MA$13+--($LZ14)</f>
        <v/>
      </c>
      <c r="MB14">
        <f>IF(ROW()-3&gt;MAX($MA$4:$MA$40),"",INDEX($AN$4:$AN$40,MATCH(ROW()-3,$MA$4:$MA$40,0)))</f>
        <v/>
      </c>
      <c r="MC14">
        <f>IF(COUNTIF('Buyer Groups'!DG67:DL67,0)+COUNTIF('Buyer Groups'!DN67:EN67,0)&gt;0,0,1)</f>
        <v/>
      </c>
      <c r="MD14">
        <f>IF($AS$14="",FALSE,SUMPRODUCT(('Final Calculation Sheet'!$C$4:$C$40=$AS$14)*($MC$6:$MC$42=1))&gt;0)</f>
        <v/>
      </c>
      <c r="ME14">
        <f>$ME$13+--($MD14)</f>
        <v/>
      </c>
      <c r="MF14">
        <f>IF(ROW()-3&gt;MAX($ME$4:$ME$40),"",INDEX($AS$4:$AS$40,MATCH(ROW()-3,$ME$4:$ME$40,0)))</f>
        <v/>
      </c>
      <c r="MG14">
        <f>IF(COUNTIF('Buyer Groups'!DG67:DM67,0)+COUNTIF('Buyer Groups'!DO67:EN67,0)&gt;0,0,1)</f>
        <v/>
      </c>
      <c r="MH14">
        <f>IF($AX$14="",FALSE,SUMPRODUCT(('Final Calculation Sheet'!$H$4:$H$40=$AX$14)*($MG$6:$MG$42=1))&gt;0)</f>
        <v/>
      </c>
      <c r="MI14">
        <f>$MI$13+--($MH14)</f>
        <v/>
      </c>
      <c r="MJ14">
        <f>IF(ROW()-3&gt;MAX($MI$4:$MI$40),"",INDEX($AX$4:$AX$40,MATCH(ROW()-3,$MI$4:$MI$40,0)))</f>
        <v/>
      </c>
      <c r="MK14">
        <f>IF(COUNTIF('Buyer Groups'!DG67:DN67,0)+COUNTIF('Buyer Groups'!DP67:EN67,0)&gt;0,0,1)</f>
        <v/>
      </c>
      <c r="ML14">
        <f>IF($BC$14="",FALSE,SUMPRODUCT(('Final Calculation Sheet'!$I$4:$I$40=$BC$14)*($MK$6:$MK$42=1))&gt;0)</f>
        <v/>
      </c>
      <c r="MM14">
        <f>$MM$13+--($ML14)</f>
        <v/>
      </c>
      <c r="MN14">
        <f>IF(ROW()-3&gt;MAX($MM$4:$MM$40),"",INDEX($BC$4:$BC$40,MATCH(ROW()-3,$MM$4:$MM$40,0)))</f>
        <v/>
      </c>
      <c r="MO14">
        <f>IF(COUNTIF('Buyer Groups'!DG67:DO67,0)+COUNTIF('Buyer Groups'!DQ67:EN67,0)&gt;0,0,1)</f>
        <v/>
      </c>
      <c r="MP14">
        <f>IF($BH$14="",FALSE,SUMPRODUCT(('Final Calculation Sheet'!$J$4:$J$40=$BH$14)*($MO$6:$MO$42=1))&gt;0)</f>
        <v/>
      </c>
      <c r="MQ14">
        <f>$MQ$13+--($MP14)</f>
        <v/>
      </c>
      <c r="MR14">
        <f>IF(ROW()-3&gt;MAX($MQ$4:$MQ$40),"",INDEX($BH$4:$BH$40,MATCH(ROW()-3,$MQ$4:$MQ$40,0)))</f>
        <v/>
      </c>
      <c r="MS14">
        <f>IF(COUNTIF('Buyer Groups'!DG67:DP67,0)+COUNTIF('Buyer Groups'!DR67:EN67,0)&gt;0,0,1)</f>
        <v/>
      </c>
      <c r="MT14">
        <f>IF($BM$14="",FALSE,SUMPRODUCT(('Final Calculation Sheet'!$K$4:$K$40=$BM$14)*($MS$6:$MS$42=1))&gt;0)</f>
        <v/>
      </c>
      <c r="MU14">
        <f>$MU$13+--($MT14)</f>
        <v/>
      </c>
      <c r="MV14">
        <f>IF(ROW()-3&gt;MAX($MU$4:$MU$40),"",INDEX($BM$4:$BM$40,MATCH(ROW()-3,$MU$4:$MU$40,0)))</f>
        <v/>
      </c>
      <c r="MW14">
        <f>IF(COUNTIF('Buyer Groups'!DG67:DQ67,0)+COUNTIF('Buyer Groups'!DS67:EN67,0)&gt;0,0,1)</f>
        <v/>
      </c>
      <c r="MX14">
        <f>IF($BR$14="",FALSE,SUMPRODUCT(('Final Calculation Sheet'!$L$4:$L$40=$BR$14)*($MW$6:$MW$42=1))&gt;0)</f>
        <v/>
      </c>
      <c r="MY14">
        <f>$MY$13+--($MX14)</f>
        <v/>
      </c>
      <c r="MZ14">
        <f>IF(ROW()-3&gt;MAX($MY$4:$MY$40),"",INDEX($BR$4:$BR$40,MATCH(ROW()-3,$MY$4:$MY$40,0)))</f>
        <v/>
      </c>
      <c r="NA14">
        <f>IF(COUNTIF('Buyer Groups'!DG67:DR67,0)+COUNTIF('Buyer Groups'!DT67:EN67,0)&gt;0,0,1)</f>
        <v/>
      </c>
      <c r="NB14">
        <f>IF($BW$14="",FALSE,SUMPRODUCT(('Final Calculation Sheet'!$M$4:$M$40=$BW$14)*($NA$6:$NA$42=1))&gt;0)</f>
        <v/>
      </c>
      <c r="NC14">
        <f>$NC$13+--($NB14)</f>
        <v/>
      </c>
      <c r="ND14">
        <f>IF(ROW()-3&gt;MAX($NC$4:$NC$40),"",INDEX($BW$4:$BW$40,MATCH(ROW()-3,$NC$4:$NC$40,0)))</f>
        <v/>
      </c>
      <c r="NE14">
        <f>IF(COUNTIF('Buyer Groups'!DG67:DS67,0)+COUNTIF('Buyer Groups'!DU67:EN67,0)&gt;0,0,1)</f>
        <v/>
      </c>
      <c r="NF14">
        <f>IF($CB$14="",FALSE,SUMPRODUCT(('Final Calculation Sheet'!$N$4:$N$40=$CB$14)*($NE$6:$NE$42=1))&gt;0)</f>
        <v/>
      </c>
      <c r="NG14">
        <f>$NG$13+--($NF14)</f>
        <v/>
      </c>
      <c r="NH14">
        <f>IF(ROW()-3&gt;MAX($NG$4:$NG$40),"",INDEX($CB$4:$CB$40,MATCH(ROW()-3,$NG$4:$NG$40,0)))</f>
        <v/>
      </c>
      <c r="NI14">
        <f>IF(COUNTIF('Buyer Groups'!DG67:DT67,0)+COUNTIF('Buyer Groups'!DV67:EN67,0)&gt;0,0,1)</f>
        <v/>
      </c>
      <c r="NJ14">
        <f>IF($CG$14="",FALSE,SUMPRODUCT(('Final Calculation Sheet'!$O$4:$O$40=$CG$14)*($NI$6:$NI$42=1))&gt;0)</f>
        <v/>
      </c>
      <c r="NK14">
        <f>$NK$13+--($NJ14)</f>
        <v/>
      </c>
      <c r="NL14">
        <f>IF(ROW()-3&gt;MAX($NK$4:$NK$40),"",INDEX($CG$4:$CG$40,MATCH(ROW()-3,$NK$4:$NK$40,0)))</f>
        <v/>
      </c>
      <c r="NM14">
        <f>IF(COUNTIF('Buyer Groups'!DG67:DU67,0)+COUNTIF('Buyer Groups'!DW67:EN67,0)&gt;0,0,1)</f>
        <v/>
      </c>
      <c r="NN14">
        <f>IF($CL$14="",FALSE,SUMPRODUCT(('Final Calculation Sheet'!$P$4:$P$40=$CL$14)*($NM$6:$NM$42=1))&gt;0)</f>
        <v/>
      </c>
      <c r="NO14">
        <f>$NO$13+--($NN14)</f>
        <v/>
      </c>
      <c r="NP14">
        <f>IF(ROW()-3&gt;MAX($NO$4:$NO$40),"",INDEX($CL$4:$CL$40,MATCH(ROW()-3,$NO$4:$NO$40,0)))</f>
        <v/>
      </c>
      <c r="NQ14">
        <f>IF(COUNTIF('Buyer Groups'!DG67:DV67,0)+COUNTIF('Buyer Groups'!DX67:EN67,0)&gt;0,0,1)</f>
        <v/>
      </c>
      <c r="NR14">
        <f>IF($CQ$14="",FALSE,SUMPRODUCT(('Final Calculation Sheet'!$Q$4:$Q$40=$CQ$14)*($NQ$6:$NQ$42=1))&gt;0)</f>
        <v/>
      </c>
      <c r="NS14">
        <f>$NS$13+--($NR14)</f>
        <v/>
      </c>
      <c r="NT14">
        <f>IF(ROW()-3&gt;MAX($NS$4:$NS$40),"",INDEX($CQ$4:$CQ$40,MATCH(ROW()-3,$NS$4:$NS$40,0)))</f>
        <v/>
      </c>
      <c r="NU14">
        <f>IF(COUNTIF('Buyer Groups'!DG67:DW67,0)+COUNTIF('Buyer Groups'!DY67:EN67,0)&gt;0,0,1)</f>
        <v/>
      </c>
      <c r="NV14">
        <f>IF($CV$14="",FALSE,SUMPRODUCT(('Final Calculation Sheet'!$R$4:$R$40=$CV$14)*($NU$6:$NU$42=1))&gt;0)</f>
        <v/>
      </c>
      <c r="NW14">
        <f>$NW$13+--($NV14)</f>
        <v/>
      </c>
      <c r="NX14">
        <f>IF(ROW()-3&gt;MAX($NW$4:$NW$40),"",INDEX($CV$4:$CV$40,MATCH(ROW()-3,$NW$4:$NW$40,0)))</f>
        <v/>
      </c>
      <c r="NY14">
        <f>IF(COUNTIF('Buyer Groups'!DG67:DX67,0)+COUNTIF('Buyer Groups'!DZ67:EN67,0)&gt;0,0,1)</f>
        <v/>
      </c>
      <c r="NZ14">
        <f>IF($DA$14="",FALSE,SUMPRODUCT(('Final Calculation Sheet'!$S$4:$S$40=$DA$14)*($NY$6:$NY$42=1))&gt;0)</f>
        <v/>
      </c>
      <c r="OA14">
        <f>$OA$13+--($NZ14)</f>
        <v/>
      </c>
      <c r="OB14">
        <f>IF(ROW()-3&gt;MAX($OA$4:$OA$40),"",INDEX($DA$4:$DA$40,MATCH(ROW()-3,$OA$4:$OA$40,0)))</f>
        <v/>
      </c>
      <c r="OC14">
        <f>IF(COUNTIF('Buyer Groups'!DG67:DY67,0)+COUNTIF('Buyer Groups'!EA67:EN67,0)&gt;0,0,1)</f>
        <v/>
      </c>
      <c r="OD14">
        <f>IF($DF$14="",FALSE,SUMPRODUCT(('Final Calculation Sheet'!$T$4:$T$40=$DF$14)*($OC$6:$OC$42=1))&gt;0)</f>
        <v/>
      </c>
      <c r="OE14">
        <f>$OE$13+--($OD14)</f>
        <v/>
      </c>
      <c r="OF14">
        <f>IF(ROW()-3&gt;MAX($OE$4:$OE$40),"",INDEX($DF$4:$DF$40,MATCH(ROW()-3,$OE$4:$OE$40,0)))</f>
        <v/>
      </c>
      <c r="OG14">
        <f>IF(COUNTIF('Buyer Groups'!DG67:DZ67,0)+COUNTIF('Buyer Groups'!EB67:EN67,0)&gt;0,0,1)</f>
        <v/>
      </c>
      <c r="OH14">
        <f>IF($DK$14="",FALSE,SUMPRODUCT(('Final Calculation Sheet'!$U$4:$U$40=$DK$14)*($OG$6:$OG$42=1))&gt;0)</f>
        <v/>
      </c>
      <c r="OI14">
        <f>$OI$13+--($OH14)</f>
        <v/>
      </c>
      <c r="OJ14">
        <f>IF(ROW()-3&gt;MAX($OI$4:$OI$40),"",INDEX($DK$4:$DK$40,MATCH(ROW()-3,$OI$4:$OI$40,0)))</f>
        <v/>
      </c>
      <c r="OK14">
        <f>IF(COUNTIF('Buyer Groups'!DG67:EA67,0)+COUNTIF('Buyer Groups'!EC67:EN67,0)&gt;0,0,1)</f>
        <v/>
      </c>
      <c r="OL14">
        <f>IF($DP$14="",FALSE,SUMPRODUCT(('Final Calculation Sheet'!$V$4:$V$40=$DP$14)*($OK$6:$OK$42=1))&gt;0)</f>
        <v/>
      </c>
      <c r="OM14">
        <f>$OM$13+--($OL14)</f>
        <v/>
      </c>
      <c r="ON14">
        <f>IF(ROW()-3&gt;MAX($OM$4:$OM$40),"",INDEX($DP$4:$DP$40,MATCH(ROW()-3,$OM$4:$OM$40,0)))</f>
        <v/>
      </c>
      <c r="OO14">
        <f>IF(COUNTIF('Buyer Groups'!DG67:EB67,0)+COUNTIF('Buyer Groups'!ED67:EN67,0)&gt;0,0,1)</f>
        <v/>
      </c>
      <c r="OP14">
        <f>IF($DU$14="",FALSE,SUMPRODUCT(('Final Calculation Sheet'!$W$4:$W$40=$DU$14)*($OO$6:$OO$42=1))&gt;0)</f>
        <v/>
      </c>
      <c r="OQ14">
        <f>$OQ$13+--($OP14)</f>
        <v/>
      </c>
      <c r="OR14">
        <f>IF(ROW()-3&gt;MAX($OQ$4:$OQ$40),"",INDEX($DU$4:$DU$40,MATCH(ROW()-3,$OQ$4:$OQ$40,0)))</f>
        <v/>
      </c>
      <c r="OS14">
        <f>IF(COUNTIF('Buyer Groups'!DG67:EC67,0)+COUNTIF('Buyer Groups'!EE67:EN67,0)&gt;0,0,1)</f>
        <v/>
      </c>
      <c r="OT14">
        <f>IF($DZ$14="",FALSE,SUMPRODUCT(('Final Calculation Sheet'!$X$4:$X$40=$DZ$14)*($OS$6:$OS$42=1))&gt;0)</f>
        <v/>
      </c>
      <c r="OU14">
        <f>$OU$13+--($OT14)</f>
        <v/>
      </c>
      <c r="OV14">
        <f>IF(ROW()-3&gt;MAX($OU$4:$OU$40),"",INDEX($DZ$4:$DZ$40,MATCH(ROW()-3,$OU$4:$OU$40,0)))</f>
        <v/>
      </c>
      <c r="OW14">
        <f>IF(COUNTIF('Buyer Groups'!DG67:ED67,0)+COUNTIF('Buyer Groups'!EF67:EN67,0)&gt;0,0,1)</f>
        <v/>
      </c>
      <c r="OX14">
        <f>IF($EE$14="",FALSE,SUMPRODUCT(('Final Calculation Sheet'!$Y$4:$Y$40=$EE$14)*($OW$6:$OW$42=1))&gt;0)</f>
        <v/>
      </c>
      <c r="OY14">
        <f>$OY$13+--($OX14)</f>
        <v/>
      </c>
      <c r="OZ14">
        <f>IF(ROW()-3&gt;MAX($OY$4:$OY$40),"",INDEX($EE$4:$EE$40,MATCH(ROW()-3,$OY$4:$OY$40,0)))</f>
        <v/>
      </c>
      <c r="PA14">
        <f>IF(COUNTIF('Buyer Groups'!DG67:EE67,0)+COUNTIF('Buyer Groups'!EG67:EN67,0)&gt;0,0,1)</f>
        <v/>
      </c>
      <c r="PB14">
        <f>IF($EJ$14="",FALSE,SUMPRODUCT(('Final Calculation Sheet'!$Z$4:$Z$40=$EJ$14)*($PA$6:$PA$42=1))&gt;0)</f>
        <v/>
      </c>
      <c r="PC14">
        <f>$PC$13+--($PB14)</f>
        <v/>
      </c>
      <c r="PD14">
        <f>IF(ROW()-3&gt;MAX($PC$4:$PC$40),"",INDEX($EJ$4:$EJ$40,MATCH(ROW()-3,$PC$4:$PC$40,0)))</f>
        <v/>
      </c>
      <c r="PE14">
        <f>IF(COUNTIF('Buyer Groups'!DG67:EF67,0)+COUNTIF('Buyer Groups'!EH67:EN67,0)&gt;0,0,1)</f>
        <v/>
      </c>
      <c r="PF14">
        <f>IF($EO$14="",FALSE,SUMPRODUCT(('Final Calculation Sheet'!$AA$4:$AA$40=$EO$14)*($PE$6:$PE$42=1))&gt;0)</f>
        <v/>
      </c>
      <c r="PG14">
        <f>$PG$13+--($PF14)</f>
        <v/>
      </c>
      <c r="PH14">
        <f>IF(ROW()-3&gt;MAX($PG$4:$PG$40),"",INDEX($EO$4:$EO$40,MATCH(ROW()-3,$PG$4:$PG$40,0)))</f>
        <v/>
      </c>
      <c r="PI14">
        <f>IF(COUNTIF('Buyer Groups'!DG67:EG67,0)+COUNTIF('Buyer Groups'!EI67:EN67,0)&gt;0,0,1)</f>
        <v/>
      </c>
      <c r="PJ14">
        <f>IF($ET$14="",FALSE,SUMPRODUCT(('Final Calculation Sheet'!$AB$4:$AB$40=$ET$14)*($PI$6:$PI$42=1))&gt;0)</f>
        <v/>
      </c>
      <c r="PK14">
        <f>$PK$13+--($PJ14)</f>
        <v/>
      </c>
      <c r="PL14">
        <f>IF(ROW()-3&gt;MAX($PK$4:$PK$40),"",INDEX($ET$4:$ET$40,MATCH(ROW()-3,$PK$4:$PK$40,0)))</f>
        <v/>
      </c>
      <c r="PM14">
        <f>IF(COUNTIF('Buyer Groups'!DG67:EH67,0)+COUNTIF('Buyer Groups'!EJ67:EN67,0)&gt;0,0,1)</f>
        <v/>
      </c>
      <c r="PN14">
        <f>IF($EY$14="",FALSE,SUMPRODUCT(('Final Calculation Sheet'!$AC$4:$AC$40=$EY$14)*($PM$6:$PM$42=1))&gt;0)</f>
        <v/>
      </c>
      <c r="PO14">
        <f>$PO$13+--($PN14)</f>
        <v/>
      </c>
      <c r="PP14">
        <f>IF(ROW()-3&gt;MAX($PO$4:$PO$40),"",INDEX($EY$4:$EY$40,MATCH(ROW()-3,$PO$4:$PO$40,0)))</f>
        <v/>
      </c>
      <c r="PQ14">
        <f>IF(COUNTIF('Buyer Groups'!DG67:EI67,0)+COUNTIF('Buyer Groups'!EK67:EN67,0)&gt;0,0,1)</f>
        <v/>
      </c>
      <c r="PR14">
        <f>IF($FD$14="",FALSE,SUMPRODUCT(('Final Calculation Sheet'!$AD$4:$AD$40=$FD$14)*($PQ$6:$PQ$42=1))&gt;0)</f>
        <v/>
      </c>
      <c r="PS14">
        <f>$PS$13+--($PR14)</f>
        <v/>
      </c>
      <c r="PT14">
        <f>IF(ROW()-3&gt;MAX($PS$4:$PS$40),"",INDEX($FD$4:$FD$40,MATCH(ROW()-3,$PS$4:$PS$40,0)))</f>
        <v/>
      </c>
      <c r="PU14">
        <f>IF(COUNTIF('Buyer Groups'!DG67:EJ67,0)+COUNTIF('Buyer Groups'!EL67:EN67,0)&gt;0,0,1)</f>
        <v/>
      </c>
      <c r="PV14">
        <f>IF($FX$14="",FALSE,SUMPRODUCT((IF('Final Calculation Sheet'!$AD$4:$AD$40&lt;=5,"SETTLED","OUTSTANDING")=$FX$14)*($PU$6:$PU$42=1))&gt;0)</f>
        <v/>
      </c>
      <c r="PW14">
        <f>$PW$13+--($PV14)</f>
        <v/>
      </c>
      <c r="PX14">
        <f>IF(ROW()-3&gt;MAX($PW$4:$PW$40),"",INDEX($FX$4:$FX$40,MATCH(ROW()-3,$PW$4:$PW$40,0)))</f>
        <v/>
      </c>
      <c r="PY14">
        <f>IF(COUNTIF('Buyer Groups'!DG67:EK67,0)+COUNTIF('Buyer Groups'!EM67:EN67,0)&gt;0,0,1)</f>
        <v/>
      </c>
      <c r="PZ14">
        <f>IF($FI$14="",FALSE,SUMPRODUCT(('Final Calculation Sheet'!$AF$4:$AF$40=$FI$14)*($PY$6:$PY$42=1))&gt;0)</f>
        <v/>
      </c>
      <c r="QA14">
        <f>$QA$13+--($PZ14)</f>
        <v/>
      </c>
      <c r="QB14">
        <f>IF(ROW()-3&gt;MAX($QA$4:$QA$40),"",INDEX($FI$4:$FI$40,MATCH(ROW()-3,$QA$4:$QA$40,0)))</f>
        <v/>
      </c>
      <c r="QC14">
        <f>IF(COUNTIF('Buyer Groups'!DG67:EL67,0)+COUNTIF('Buyer Groups'!EN67:EN67,0)&gt;0,0,1)</f>
        <v/>
      </c>
      <c r="QD14">
        <f>IF($FN$14="",FALSE,SUMPRODUCT(('Final Calculation Sheet'!$AG$4:$AG$40=$FN$14)*($QC$6:$QC$42=1))&gt;0)</f>
        <v/>
      </c>
      <c r="QE14">
        <f>$QE$13+--($QD14)</f>
        <v/>
      </c>
      <c r="QF14">
        <f>IF(ROW()-3&gt;MAX($QE$4:$QE$40),"",INDEX($FN$4:$FN$40,MATCH(ROW()-3,$QE$4:$QE$40,0)))</f>
        <v/>
      </c>
      <c r="QG14">
        <f>IF(COUNTIF('Buyer Groups'!DG67:EM67,0)&gt;0,0,1)</f>
        <v/>
      </c>
      <c r="QH14">
        <f>IF($FS$14="",FALSE,SUMPRODUCT(('Final Calculation Sheet'!$AH$4:$AH$40=$FS$14)*($QG$6:$QG$42=1))&gt;0)</f>
        <v/>
      </c>
      <c r="QI14">
        <f>$QI$13+--($QH14)</f>
        <v/>
      </c>
      <c r="QJ14">
        <f>IF(ROW()-3&gt;MAX($QI$4:$QI$40),"",INDEX($FS$4:$FS$40,MATCH(ROW()-3,$QI$4:$QI$40,0)))</f>
        <v/>
      </c>
      <c r="QK14" t="str">
        <f>IF('Final Calculation Sheet'!$AH$14="","",'Final Calculation Sheet'!$AH$14)</f>
      </c>
      <c r="QL14" t="str">
        <f>IF(QK14="","",COUNTIFS(QK$4:QK$40,"&lt;"&amp;QK14,QK$4:QK$40,"&lt;&gt;"&amp;"")+COUNTIF(QK$4:QK14,QK14))</f>
      </c>
      <c r="QM14" t="str">
        <f>IF(ROW()-3&gt;COUNTIF(QK$4:QK$40,"&lt;&gt;"&amp;""),"",INDEX(QK$4:QK$40,MATCH(ROW()-3,QL$4:QL$40,0)))</f>
      </c>
      <c r="QN14" t="str">
        <f>=QN13+F(AND(QM14&lt;&gt;"",COUNTIF(QM$4:QM14,QM14)=1),1,0)</f>
      </c>
      <c r="QO14" t="str">
        <f>IF(ROW()-3&gt;MAX(QN$4:QN$40),"",INDEX(QM$4:QM$40,MATCH(ROW()-3,QN$4:QN$40,0)))</f>
      </c>
      <c r="QP14" t="str">
        <f>IF(COUNTIF('Final Calculation Sheet'!$AM14:$BS14,0)&gt;0,0,1)</f>
      </c>
      <c r="QQ14" t="str">
        <f>IF($AI$14="",FALSE,SUMPRODUCT(('Final Calculation Sheet'!$A$4:$A$40=$AI$14)*($QP$4:$QP$40=1))&gt;0)</f>
      </c>
      <c r="QR14" t="str">
        <f>=$QR13+--($QQ14)</f>
      </c>
      <c r="QS14" t="str">
        <f>IF(ROW()-3&gt;MAX($QR$4:$QR$40),"",INDEX($AI$4:$AI$40,MATCH(ROW()-3,$QR$4:$QR$40,0)))</f>
      </c>
      <c r="QT14" t="str">
        <f>IF(COUNTIF('Final Calculation Sheet'!$AL14:$AL14,0)+COUNTIF('Final Calculation Sheet'!$AN14:$BS14,0)&gt;0,0,1)</f>
      </c>
      <c r="QU14" t="str">
        <f>IF($Y$14="",FALSE,SUMPRODUCT(('Final Calculation Sheet'!$B$4:$B$40=$Y$14)*($QT$4:$QT$40=1))&gt;0)</f>
      </c>
      <c r="QV14" t="str">
        <f>=$QV13+--($QU14)</f>
      </c>
      <c r="QW14" t="str">
        <f>IF(ROW()-3&gt;MAX($QV$4:$QV$40),"",INDEX($Y$4:$Y$40,MATCH(ROW()-3,$QV$4:$QV$40,0)))</f>
      </c>
      <c r="QX14" t="str">
        <f>IF(COUNTIF('Final Calculation Sheet'!$AL14:$AM14,0)+COUNTIF('Final Calculation Sheet'!$AO14:$BS14,0)&gt;0,0,1)</f>
      </c>
      <c r="QY14" t="str">
        <f>IF($AS$14="",FALSE,SUMPRODUCT(('Final Calculation Sheet'!$C$4:$C$40=$AS$14)*($QX$4:$QX$40=1))&gt;0)</f>
      </c>
      <c r="QZ14" t="str">
        <f>=$QZ13+--($QY14)</f>
      </c>
      <c r="RA14" t="str">
        <f>IF(ROW()-3&gt;MAX($QZ$4:$QZ$40),"",INDEX($AS$4:$AS$40,MATCH(ROW()-3,$QZ$4:$QZ$40,0)))</f>
      </c>
      <c r="RB14" t="str">
        <f>IF(COUNTIF('Final Calculation Sheet'!$AL14:$AN14,0)+COUNTIF('Final Calculation Sheet'!$AP14:$BS14,0)&gt;0,0,1)</f>
      </c>
      <c r="RC14" t="str">
        <f>IF($AD$14="",FALSE,SUMPRODUCT(('Final Calculation Sheet'!$D$4:$D$40=$AD$14)*($RB$4:$RB$40=1))&gt;0)</f>
      </c>
      <c r="RD14" t="str">
        <f>=$RD13+--($RC14)</f>
      </c>
      <c r="RE14" t="str">
        <f>IF(ROW()-3&gt;MAX($RD$4:$RD$40),"",INDEX($AD$4:$AD$40,MATCH(ROW()-3,$RD$4:$RD$40,0)))</f>
      </c>
      <c r="RF14" t="str">
        <f>IF(COUNTIF('Final Calculation Sheet'!$AL14:$AO14,0)+COUNTIF('Final Calculation Sheet'!$AQ14:$BS14,0)&gt;0,0,1)</f>
      </c>
      <c r="RG14" t="str">
        <f>IF($AN$14="",FALSE,SUMPRODUCT(('Final Calculation Sheet'!$E$4:$E$40=$AN$14)*($RF$4:$RF$40=1))&gt;0)</f>
      </c>
      <c r="RH14" t="str">
        <f>=$RH13+--($RG14)</f>
      </c>
      <c r="RI14" t="str">
        <f>IF(ROW()-3&gt;MAX($RH$4:$RH$40),"",INDEX($AN$4:$AN$40,MATCH(ROW()-3,$RH$4:$RH$40,0)))</f>
      </c>
      <c r="RJ14" t="str">
        <f>IF(COUNTIF('Final Calculation Sheet'!$AL14:$AP14,0)+COUNTIF('Final Calculation Sheet'!$AR14:$BS14,0)&gt;0,0,1)</f>
      </c>
      <c r="RK14" t="str">
        <f>IF($O$14="",FALSE,SUMPRODUCT(('Final Calculation Sheet'!$F$4:$F$40=$O$14)*($RJ$4:$RJ$40=1))&gt;0)</f>
      </c>
      <c r="RL14" t="str">
        <f>=$RL13+--($RK14)</f>
      </c>
      <c r="RM14" t="str">
        <f>IF(ROW()-3&gt;MAX($RL$4:$RL$40),"",INDEX($O$4:$O$40,MATCH(ROW()-3,$RL$4:$RL$40,0)))</f>
      </c>
      <c r="RN14" t="str">
        <f>IF(COUNTIF('Final Calculation Sheet'!$AL14:$AQ14,0)+COUNTIF('Final Calculation Sheet'!$AS14:$BS14,0)&gt;0,0,1)</f>
      </c>
      <c r="RO14" t="str">
        <f>IF($T$14="",FALSE,SUMPRODUCT(('Final Calculation Sheet'!$G$4:$G$40=$T$14)*($RN$4:$RN$40=1))&gt;0)</f>
      </c>
      <c r="RP14" t="str">
        <f>=$RP13+--($RO14)</f>
      </c>
      <c r="RQ14" t="str">
        <f>IF(ROW()-3&gt;MAX($RP$4:$RP$40),"",INDEX($T$4:$T$40,MATCH(ROW()-3,$RP$4:$RP$40,0)))</f>
      </c>
      <c r="RR14" t="str">
        <f>IF(COUNTIF('Final Calculation Sheet'!$AL14:$AR14,0)+COUNTIF('Final Calculation Sheet'!$AT14:$BS14,0)&gt;0,0,1)</f>
      </c>
      <c r="RS14" t="str">
        <f>IF($AX$14="",FALSE,SUMPRODUCT(('Final Calculation Sheet'!$H$4:$H$40=$AX$14)*($RR$4:$RR$40=1))&gt;0)</f>
      </c>
      <c r="RT14" t="str">
        <f>=$RT13+--($RS14)</f>
      </c>
      <c r="RU14" t="str">
        <f>IF(ROW()-3&gt;MAX($RT$4:$RT$40),"",INDEX($AX$4:$AX$40,MATCH(ROW()-3,$RT$4:$RT$40,0)))</f>
      </c>
      <c r="RV14" t="str">
        <f>IF(COUNTIF('Final Calculation Sheet'!$AL14:$AS14,0)+COUNTIF('Final Calculation Sheet'!$AU14:$BS14,0)&gt;0,0,1)</f>
      </c>
      <c r="RW14" t="str">
        <f>IF($BC$14="",FALSE,SUMPRODUCT(('Final Calculation Sheet'!$I$4:$I$40=$BC$14)*($RV$4:$RV$40=1))&gt;0)</f>
      </c>
      <c r="RX14" t="str">
        <f>=$RX13+--($RW14)</f>
      </c>
      <c r="RY14" t="str">
        <f>IF(ROW()-3&gt;MAX($RX$4:$RX$40),"",INDEX($BC$4:$BC$40,MATCH(ROW()-3,$RX$4:$RX$40,0)))</f>
      </c>
      <c r="RZ14" t="str">
        <f>IF(COUNTIF('Final Calculation Sheet'!$AL14:$AT14,0)+COUNTIF('Final Calculation Sheet'!$AV14:$BS14,0)&gt;0,0,1)</f>
      </c>
      <c r="SA14" t="str">
        <f>IF($BH$14="",FALSE,SUMPRODUCT(('Final Calculation Sheet'!$J$4:$J$40=$BH$14)*($RZ$4:$RZ$40=1))&gt;0)</f>
      </c>
      <c r="SB14" t="str">
        <f>=$SB13+--($SA14)</f>
      </c>
      <c r="SC14" t="str">
        <f>IF(ROW()-3&gt;MAX($SB$4:$SB$40),"",INDEX($BH$4:$BH$40,MATCH(ROW()-3,$SB$4:$SB$40,0)))</f>
      </c>
      <c r="SD14" t="str">
        <f>IF(COUNTIF('Final Calculation Sheet'!$AL14:$AU14,0)+COUNTIF('Final Calculation Sheet'!$AW14:$BS14,0)&gt;0,0,1)</f>
      </c>
      <c r="SE14" t="str">
        <f>IF($BM$14="",FALSE,SUMPRODUCT(('Final Calculation Sheet'!$K$4:$K$40=$BM$14)*($SD$4:$SD$40=1))&gt;0)</f>
      </c>
      <c r="SF14" t="str">
        <f>=$SF13+--($SE14)</f>
      </c>
      <c r="SG14" t="str">
        <f>IF(ROW()-3&gt;MAX($SF$4:$SF$40),"",INDEX($BM$4:$BM$40,MATCH(ROW()-3,$SF$4:$SF$40,0)))</f>
      </c>
      <c r="SH14" t="str">
        <f>IF(COUNTIF('Final Calculation Sheet'!$AL14:$AV14,0)+COUNTIF('Final Calculation Sheet'!$AX14:$BS14,0)&gt;0,0,1)</f>
      </c>
      <c r="SI14" t="str">
        <f>IF($BR$14="",FALSE,SUMPRODUCT(('Final Calculation Sheet'!$L$4:$L$40=$BR$14)*($SH$4:$SH$40=1))&gt;0)</f>
      </c>
      <c r="SJ14" t="str">
        <f>=$SJ13+--($SI14)</f>
      </c>
      <c r="SK14" t="str">
        <f>IF(ROW()-3&gt;MAX($SJ$4:$SJ$40),"",INDEX($BR$4:$BR$40,MATCH(ROW()-3,$SJ$4:$SJ$40,0)))</f>
      </c>
      <c r="SL14" t="str">
        <f>IF(COUNTIF('Final Calculation Sheet'!$AL14:$AW14,0)+COUNTIF('Final Calculation Sheet'!$AY14:$BS14,0)&gt;0,0,1)</f>
      </c>
      <c r="SM14" t="str">
        <f>IF($BW$14="",FALSE,SUMPRODUCT(('Final Calculation Sheet'!$M$4:$M$40=$BW$14)*($SL$4:$SL$40=1))&gt;0)</f>
      </c>
      <c r="SN14" t="str">
        <f>=$SN13+--($SM14)</f>
      </c>
      <c r="SO14" t="str">
        <f>IF(ROW()-3&gt;MAX($SN$4:$SN$40),"",INDEX($BW$4:$BW$40,MATCH(ROW()-3,$SN$4:$SN$40,0)))</f>
      </c>
      <c r="SP14" t="str">
        <f>IF(COUNTIF('Final Calculation Sheet'!$AL14:$AX14,0)+COUNTIF('Final Calculation Sheet'!$AZ14:$BS14,0)&gt;0,0,1)</f>
      </c>
      <c r="SQ14" t="str">
        <f>IF($CB$14="",FALSE,SUMPRODUCT(('Final Calculation Sheet'!$N$4:$N$40=$CB$14)*($SP$4:$SP$40=1))&gt;0)</f>
      </c>
      <c r="SR14" t="str">
        <f>=$SR13+--($SQ14)</f>
      </c>
      <c r="SS14" t="str">
        <f>IF(ROW()-3&gt;MAX($SR$4:$SR$40),"",INDEX($CB$4:$CB$40,MATCH(ROW()-3,$SR$4:$SR$40,0)))</f>
      </c>
      <c r="ST14" t="str">
        <f>IF(COUNTIF('Final Calculation Sheet'!$AL14:$AY14,0)+COUNTIF('Final Calculation Sheet'!$BA14:$BS14,0)&gt;0,0,1)</f>
      </c>
      <c r="SU14" t="str">
        <f>IF($CG$14="",FALSE,SUMPRODUCT(('Final Calculation Sheet'!$O$4:$O$40=$CG$14)*($ST$4:$ST$40=1))&gt;0)</f>
      </c>
      <c r="SV14" t="str">
        <f>=$SV13+--($SU14)</f>
      </c>
      <c r="SW14" t="str">
        <f>IF(ROW()-3&gt;MAX($SV$4:$SV$40),"",INDEX($CG$4:$CG$40,MATCH(ROW()-3,$SV$4:$SV$40,0)))</f>
      </c>
      <c r="SX14" t="str">
        <f>IF(COUNTIF('Final Calculation Sheet'!$AL14:$AZ14,0)+COUNTIF('Final Calculation Sheet'!$BB14:$BS14,0)&gt;0,0,1)</f>
      </c>
      <c r="SY14" t="str">
        <f>IF($CL$14="",FALSE,SUMPRODUCT(('Final Calculation Sheet'!$P$4:$P$40=$CL$14)*($SX$4:$SX$40=1))&gt;0)</f>
      </c>
      <c r="SZ14" t="str">
        <f>=$SZ13+--($SY14)</f>
      </c>
      <c r="TA14" t="str">
        <f>IF(ROW()-3&gt;MAX($SZ$4:$SZ$40),"",INDEX($CL$4:$CL$40,MATCH(ROW()-3,$SZ$4:$SZ$40,0)))</f>
      </c>
      <c r="TB14" t="str">
        <f>IF(COUNTIF('Final Calculation Sheet'!$AL14:$BA14,0)+COUNTIF('Final Calculation Sheet'!$BC14:$BS14,0)&gt;0,0,1)</f>
      </c>
      <c r="TC14" t="str">
        <f>IF($CQ$14="",FALSE,SUMPRODUCT(('Final Calculation Sheet'!$Q$4:$Q$40=$CQ$14)*($TB$4:$TB$40=1))&gt;0)</f>
      </c>
      <c r="TD14" t="str">
        <f>=$TD13+--($TC14)</f>
      </c>
      <c r="TE14" t="str">
        <f>IF(ROW()-3&gt;MAX($TD$4:$TD$40),"",INDEX($CQ$4:$CQ$40,MATCH(ROW()-3,$TD$4:$TD$40,0)))</f>
      </c>
      <c r="TF14" t="str">
        <f>IF(COUNTIF('Final Calculation Sheet'!$AL14:$BB14,0)+COUNTIF('Final Calculation Sheet'!$BD14:$BS14,0)&gt;0,0,1)</f>
      </c>
      <c r="TG14" t="str">
        <f>IF($CV$14="",FALSE,SUMPRODUCT(('Final Calculation Sheet'!$R$4:$R$40=$CV$14)*($TF$4:$TF$40=1))&gt;0)</f>
      </c>
      <c r="TH14" t="str">
        <f>=$TH13+--($TG14)</f>
      </c>
      <c r="TI14" t="str">
        <f>IF(ROW()-3&gt;MAX($TH$4:$TH$40),"",INDEX($CV$4:$CV$40,MATCH(ROW()-3,$TH$4:$TH$40,0)))</f>
      </c>
      <c r="TJ14" t="str">
        <f>IF(COUNTIF('Final Calculation Sheet'!$AL14:$BC14,0)+COUNTIF('Final Calculation Sheet'!$BE14:$BS14,0)&gt;0,0,1)</f>
      </c>
      <c r="TK14" t="str">
        <f>IF($DA$14="",FALSE,SUMPRODUCT(('Final Calculation Sheet'!$S$4:$S$40=$DA$14)*($TJ$4:$TJ$40=1))&gt;0)</f>
      </c>
      <c r="TL14" t="str">
        <f>=$TL13+--($TK14)</f>
      </c>
      <c r="TM14" t="str">
        <f>IF(ROW()-3&gt;MAX($TL$4:$TL$40),"",INDEX($DA$4:$DA$40,MATCH(ROW()-3,$TL$4:$TL$40,0)))</f>
      </c>
      <c r="TN14" t="str">
        <f>IF(COUNTIF('Final Calculation Sheet'!$AL14:$BD14,0)+COUNTIF('Final Calculation Sheet'!$BF14:$BS14,0)&gt;0,0,1)</f>
      </c>
      <c r="TO14" t="str">
        <f>IF($DF$14="",FALSE,SUMPRODUCT(('Final Calculation Sheet'!$T$4:$T$40=$DF$14)*($TN$4:$TN$40=1))&gt;0)</f>
      </c>
      <c r="TP14" t="str">
        <f>=$TP13+--($TO14)</f>
      </c>
      <c r="TQ14" t="str">
        <f>IF(ROW()-3&gt;MAX($TP$4:$TP$40),"",INDEX($DF$4:$DF$40,MATCH(ROW()-3,$TP$4:$TP$40,0)))</f>
      </c>
      <c r="TR14" t="str">
        <f>IF(COUNTIF('Final Calculation Sheet'!$AL14:$BE14,0)+COUNTIF('Final Calculation Sheet'!$BG14:$BS14,0)&gt;0,0,1)</f>
      </c>
      <c r="TS14" t="str">
        <f>IF($DK$14="",FALSE,SUMPRODUCT(('Final Calculation Sheet'!$U$4:$U$40=$DK$14)*($TR$4:$TR$40=1))&gt;0)</f>
      </c>
      <c r="TT14" t="str">
        <f>=$TT13+--($TS14)</f>
      </c>
      <c r="TU14" t="str">
        <f>IF(ROW()-3&gt;MAX($TT$4:$TT$40),"",INDEX($DK$4:$DK$40,MATCH(ROW()-3,$TT$4:$TT$40,0)))</f>
      </c>
      <c r="TV14" t="str">
        <f>IF(COUNTIF('Final Calculation Sheet'!$AL14:$BF14,0)+COUNTIF('Final Calculation Sheet'!$BH14:$BS14,0)&gt;0,0,1)</f>
      </c>
      <c r="TW14" t="str">
        <f>IF($DP$14="",FALSE,SUMPRODUCT(('Final Calculation Sheet'!$V$4:$V$40=$DP$14)*($TV$4:$TV$40=1))&gt;0)</f>
      </c>
      <c r="TX14" t="str">
        <f>=$TX13+--($TW14)</f>
      </c>
      <c r="TY14" t="str">
        <f>IF(ROW()-3&gt;MAX($TX$4:$TX$40),"",INDEX($DP$4:$DP$40,MATCH(ROW()-3,$TX$4:$TX$40,0)))</f>
      </c>
      <c r="TZ14" t="str">
        <f>IF(COUNTIF('Final Calculation Sheet'!$AL14:$BG14,0)+COUNTIF('Final Calculation Sheet'!$BI14:$BS14,0)&gt;0,0,1)</f>
      </c>
      <c r="UA14" t="str">
        <f>IF($DU$14="",FALSE,SUMPRODUCT(('Final Calculation Sheet'!$W$4:$W$40=$DU$14)*($TZ$4:$TZ$40=1))&gt;0)</f>
      </c>
      <c r="UB14" t="str">
        <f>=$UB13+--($UA14)</f>
      </c>
      <c r="UC14" t="str">
        <f>IF(ROW()-3&gt;MAX($UB$4:$UB$40),"",INDEX($DU$4:$DU$40,MATCH(ROW()-3,$UB$4:$UB$40,0)))</f>
      </c>
      <c r="UD14" t="str">
        <f>IF(COUNTIF('Final Calculation Sheet'!$AL14:$BH14,0)+COUNTIF('Final Calculation Sheet'!$BJ14:$BS14,0)&gt;0,0,1)</f>
      </c>
      <c r="UE14" t="str">
        <f>IF($DZ$14="",FALSE,SUMPRODUCT(('Final Calculation Sheet'!$X$4:$X$40=$DZ$14)*($UD$4:$UD$40=1))&gt;0)</f>
      </c>
      <c r="UF14" t="str">
        <f>=$UF13+--($UE14)</f>
      </c>
      <c r="UG14" t="str">
        <f>IF(ROW()-3&gt;MAX($UF$4:$UF$40),"",INDEX($DZ$4:$DZ$40,MATCH(ROW()-3,$UF$4:$UF$40,0)))</f>
      </c>
      <c r="UH14" t="str">
        <f>IF(COUNTIF('Final Calculation Sheet'!$AL14:$BI14,0)+COUNTIF('Final Calculation Sheet'!$BK14:$BS14,0)&gt;0,0,1)</f>
      </c>
      <c r="UI14" t="str">
        <f>IF($EE$14="",FALSE,SUMPRODUCT(('Final Calculation Sheet'!$Y$4:$Y$40=$EE$14)*($UH$4:$UH$40=1))&gt;0)</f>
      </c>
      <c r="UJ14" t="str">
        <f>=$UJ13+--($UI14)</f>
      </c>
      <c r="UK14" t="str">
        <f>IF(ROW()-3&gt;MAX($UJ$4:$UJ$40),"",INDEX($EE$4:$EE$40,MATCH(ROW()-3,$UJ$4:$UJ$40,0)))</f>
      </c>
      <c r="UL14" t="str">
        <f>IF(COUNTIF('Final Calculation Sheet'!$AL14:$BJ14,0)+COUNTIF('Final Calculation Sheet'!$BL14:$BS14,0)&gt;0,0,1)</f>
      </c>
      <c r="UM14" t="str">
        <f>IF($EJ$14="",FALSE,SUMPRODUCT(('Final Calculation Sheet'!$Z$4:$Z$40=$EJ$14)*($UL$4:$UL$40=1))&gt;0)</f>
      </c>
      <c r="UN14" t="str">
        <f>=$UN13+--($UM14)</f>
      </c>
      <c r="UO14" t="str">
        <f>IF(ROW()-3&gt;MAX($UN$4:$UN$40),"",INDEX($EJ$4:$EJ$40,MATCH(ROW()-3,$UN$4:$UN$40,0)))</f>
      </c>
      <c r="UP14" t="str">
        <f>IF(COUNTIF('Final Calculation Sheet'!$AL14:$BK14,0)+COUNTIF('Final Calculation Sheet'!$BM14:$BS14,0)&gt;0,0,1)</f>
      </c>
      <c r="UQ14" t="str">
        <f>IF($EO$14="",FALSE,SUMPRODUCT(('Final Calculation Sheet'!$AA$4:$AA$40=$EO$14)*($UP$4:$UP$40=1))&gt;0)</f>
      </c>
      <c r="UR14" t="str">
        <f>=$UR13+--($UQ14)</f>
      </c>
      <c r="US14" t="str">
        <f>IF(ROW()-3&gt;MAX($UR$4:$UR$40),"",INDEX($EO$4:$EO$40,MATCH(ROW()-3,$UR$4:$UR$40,0)))</f>
      </c>
      <c r="UT14" t="str">
        <f>IF(COUNTIF('Final Calculation Sheet'!$AL14:$BL14,0)+COUNTIF('Final Calculation Sheet'!$BN14:$BS14,0)&gt;0,0,1)</f>
      </c>
      <c r="UU14" t="str">
        <f>IF($ET$14="",FALSE,SUMPRODUCT(('Final Calculation Sheet'!$AB$4:$AB$40=$ET$14)*($UT$4:$UT$40=1))&gt;0)</f>
      </c>
      <c r="UV14" t="str">
        <f>=$UV13+--($UU14)</f>
      </c>
      <c r="UW14" t="str">
        <f>IF(ROW()-3&gt;MAX($UV$4:$UV$40),"",INDEX($ET$4:$ET$40,MATCH(ROW()-3,$UV$4:$UV$40,0)))</f>
      </c>
      <c r="UX14" t="str">
        <f>IF(COUNTIF('Final Calculation Sheet'!$AL14:$BM14,0)+COUNTIF('Final Calculation Sheet'!$BO14:$BS14,0)&gt;0,0,1)</f>
      </c>
      <c r="UY14" t="str">
        <f>IF($EY$14="",FALSE,SUMPRODUCT(('Final Calculation Sheet'!$AC$4:$AC$40=$EY$14)*($UX$4:$UX$40=1))&gt;0)</f>
      </c>
      <c r="UZ14" t="str">
        <f>=$UZ13+--($UY14)</f>
      </c>
      <c r="VA14" t="str">
        <f>IF(ROW()-3&gt;MAX($UZ$4:$UZ$40),"",INDEX($EY$4:$EY$40,MATCH(ROW()-3,$UZ$4:$UZ$40,0)))</f>
      </c>
      <c r="VB14" t="str">
        <f>IF(COUNTIF('Final Calculation Sheet'!$AL14:$BN14,0)+COUNTIF('Final Calculation Sheet'!$BP14:$BS14,0)&gt;0,0,1)</f>
      </c>
      <c r="VC14" t="str">
        <f>IF($FD$14="",FALSE,SUMPRODUCT(('Final Calculation Sheet'!$AD$4:$AD$40=$FD$14)*($VB$4:$VB$40=1))&gt;0)</f>
      </c>
      <c r="VD14" t="str">
        <f>=$VD13+--($VC14)</f>
      </c>
      <c r="VE14" t="str">
        <f>IF(ROW()-3&gt;MAX($VD$4:$VD$40),"",INDEX($FD$4:$FD$40,MATCH(ROW()-3,$VD$4:$VD$40,0)))</f>
      </c>
      <c r="VF14" t="str">
        <f>IF(COUNTIF('Final Calculation Sheet'!$AL14:$BO14,0)+COUNTIF('Final Calculation Sheet'!$BQ14:$BS14,0)&gt;0,0,1)</f>
      </c>
      <c r="VG14" t="str">
        <f>IF($FI$14="",FALSE,SUMPRODUCT(('Final Calculation Sheet'!$AE$4:$AE$40=$FI$14)*($VF$4:$VF$40=1))&gt;0)</f>
      </c>
      <c r="VH14" t="str">
        <f>=$VH13+--($VG14)</f>
      </c>
      <c r="VI14" t="str">
        <f>IF(ROW()-3&gt;MAX($VH$4:$VH$40),"",INDEX($FI$4:$FI$40,MATCH(ROW()-3,$VH$4:$VH$40,0)))</f>
      </c>
      <c r="VJ14" t="str">
        <f>IF(COUNTIF('Final Calculation Sheet'!$AL14:$BP14,0)+COUNTIF('Final Calculation Sheet'!$BR14:$BS14,0)&gt;0,0,1)</f>
      </c>
      <c r="VK14" t="str">
        <f>IF($FN$14="",FALSE,SUMPRODUCT(('Final Calculation Sheet'!$AF$4:$AF$40=$FN$14)*($VJ$4:$VJ$40=1))&gt;0)</f>
      </c>
      <c r="VL14" t="str">
        <f>=$VL13+--($VK14)</f>
      </c>
      <c r="VM14" t="str">
        <f>IF(ROW()-3&gt;MAX($VL$4:$VL$40),"",INDEX($FN$4:$FN$40,MATCH(ROW()-3,$VL$4:$VL$40,0)))</f>
      </c>
      <c r="VN14" t="str">
        <f>IF(COUNTIF('Final Calculation Sheet'!$AL14:$BQ14,0)+COUNTIF('Final Calculation Sheet'!$BS14:$BS14,0)&gt;0,0,1)</f>
      </c>
      <c r="VO14" t="str">
        <f>IF($FS$14="",FALSE,SUMPRODUCT(('Final Calculation Sheet'!$AG$4:$AG$40=$FS$14)*($VN$4:$VN$40=1))&gt;0)</f>
      </c>
      <c r="VP14" t="str">
        <f>=$VP13+--($VO14)</f>
      </c>
      <c r="VQ14" t="str">
        <f>IF(ROW()-3&gt;MAX($VP$4:$VP$40),"",INDEX($FS$4:$FS$40,MATCH(ROW()-3,$VP$4:$VP$40,0)))</f>
      </c>
      <c r="VR14" t="str">
        <f>IF(COUNTIF('Final Calculation Sheet'!$AL14:$BR14,0)&gt;0,0,1)</f>
      </c>
      <c r="VS14" t="str">
        <f>IF($QO$14="",FALSE,SUMPRODUCT(('Final Calculation Sheet'!$AH$4:$AH$40=$QO$14)*($VR$4:$VR$40=1))&gt;0)</f>
      </c>
      <c r="VT14" t="str">
        <f>=$VT13+--($VS14)</f>
      </c>
      <c r="VU14" t="str">
        <f>IF(ROW()-3&gt;MAX($VT$4:$VT$40),"",INDEX($QO$4:$QO$40,MATCH(ROW()-3,$VT$4:$VT$40,0)))</f>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IF(COUNTIF('Live Search'!BM$14:BM$14,0)+COUNTIF('Live Search'!B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D15">
        <f>IF($O$15="",FALSE,SUMPRODUCT(('Final Calculation Sheet'!$F$4:$F$40=$O$15)*($GC$6:$GC$42=1))&gt;0)</f>
        <v/>
      </c>
      <c r="GE15">
        <f>$GE$14+--($GD15)</f>
        <v/>
      </c>
      <c r="GF15">
        <f>IF(ROW()-3&gt;MAX($GE$4:$GE$40),"",INDEX($O$4:$O$40,MATCH(ROW()-3,$GE$4:$GE$40,0)))</f>
        <v/>
      </c>
      <c r="GG15">
        <f>IF(COUNTIF('Live Search'!BM$14:BN$14,0)+COUNTIF('Live Search'!B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H15">
        <f>IF($T$15="",FALSE,SUMPRODUCT(('Final Calculation Sheet'!$G$4:$G$40=$T$15)*($GG$6:$GG$42=1))&gt;0)</f>
        <v/>
      </c>
      <c r="GI15">
        <f>$GI$14+--($GH15)</f>
        <v/>
      </c>
      <c r="GJ15">
        <f>IF(ROW()-3&gt;MAX($GI$4:$GI$40),"",INDEX($T$4:$T$40,MATCH(ROW()-3,$GI$4:$GI$40,0)))</f>
        <v/>
      </c>
      <c r="GK15">
        <f>IF(COUNTIF('Live Search'!BM$14:BP$14,0)+COUNTIF('Live Search'!B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L15">
        <f>IF($AD$15="",FALSE,SUMPRODUCT(('Final Calculation Sheet'!$D$4:$D$40=$AD$15)*($GK$6:$GK$42=1))&gt;0)</f>
        <v/>
      </c>
      <c r="GM15">
        <f>$GM$14+--($GL15)</f>
        <v/>
      </c>
      <c r="GN15">
        <f>IF(ROW()-3&gt;MAX($GM$4:$GM$40),"",INDEX($AD$4:$AD$40,MATCH(ROW()-3,$GM$4:$GM$40,0)))</f>
        <v/>
      </c>
      <c r="GO15">
        <f>IF(COUNTIF('Live Search'!BM$14:BQ$14,0)+COUNTIF('Live Search'!B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P15">
        <f>IF($AI$15="",FALSE,SUMPRODUCT(('Final Calculation Sheet'!$A$4:$A$40=$AI$15)*($GO$6:$GO$42=1))&gt;0)</f>
        <v/>
      </c>
      <c r="GQ15">
        <f>$GQ$14+--($GP15)</f>
        <v/>
      </c>
      <c r="GR15">
        <f>IF(ROW()-3&gt;MAX($GQ$4:$GQ$40),"",INDEX($AI$4:$AI$40,MATCH(ROW()-3,$GQ$4:$GQ$40,0)))</f>
        <v/>
      </c>
      <c r="GS15">
        <f>IF(COUNTIF('Live Search'!BM$14:BR$14,0)+COUNTIF('Live Search'!B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T15">
        <f>IF($AN$15="",FALSE,SUMPRODUCT(('Final Calculation Sheet'!$E$4:$E$40=$AN$15)*($GS$6:$GS$42=1))&gt;0)</f>
        <v/>
      </c>
      <c r="GU15">
        <f>$GU$14+--($GT15)</f>
        <v/>
      </c>
      <c r="GV15">
        <f>IF(ROW()-3&gt;MAX($GU$4:$GU$40),"",INDEX($AN$4:$AN$40,MATCH(ROW()-3,$GU$4:$GU$40,0)))</f>
        <v/>
      </c>
      <c r="GW15">
        <f>IF(COUNTIF('Live Search'!BM$14:BS$14,0)+COUNTIF('Live Search'!B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GX15">
        <f>IF($AS$15="",FALSE,SUMPRODUCT(('Final Calculation Sheet'!$C$4:$C$40=$AS$15)*($GW$6:$GW$42=1))&gt;0)</f>
        <v/>
      </c>
      <c r="GY15">
        <f>$GY$14+--($GX15)</f>
        <v/>
      </c>
      <c r="GZ15">
        <f>IF(ROW()-3&gt;MAX($GY$4:$GY$40),"",INDEX($AS$4:$AS$40,MATCH(ROW()-3,$GY$4:$GY$40,0)))</f>
        <v/>
      </c>
      <c r="HA15">
        <f>IF(COUNTIF('Live Search'!BM$14:BT$14,0)+COUNTIF('Live Search'!BV$14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B15">
        <f>IF($AX$15="",FALSE,SUMPRODUCT(('Final Calculation Sheet'!$H$4:$H$40=$AX$15)*($HA$6:$HA$42=1))&gt;0)</f>
        <v/>
      </c>
      <c r="HC15">
        <f>$HC$14+--($HB15)</f>
        <v/>
      </c>
      <c r="HD15">
        <f>IF(ROW()-3&gt;MAX($HC$4:$HC$40),"",INDEX($AX$4:$AX$40,MATCH(ROW()-3,$HC$4:$HC$40,0)))</f>
        <v/>
      </c>
      <c r="HE15">
        <f>IF(COUNTIF('Live Search'!BM$14:BU$14,0)+COUNTIF('Live Search'!BW$14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F15">
        <f>IF($BC$15="",FALSE,SUMPRODUCT(('Final Calculation Sheet'!$I$4:$I$40=$BC$15)*($HE$6:$HE$42=1))&gt;0)</f>
        <v/>
      </c>
      <c r="HG15">
        <f>$HG$14+--($HF15)</f>
        <v/>
      </c>
      <c r="HH15">
        <f>IF(ROW()-3&gt;MAX($HG$4:$HG$40),"",INDEX($BC$4:$BC$40,MATCH(ROW()-3,$HG$4:$HG$40,0)))</f>
        <v/>
      </c>
      <c r="HI15">
        <f>IF(COUNTIF('Live Search'!BM$14:BV$14,0)+COUNTIF('Live Search'!BX$14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J15">
        <f>IF($BH$15="",FALSE,SUMPRODUCT(('Final Calculation Sheet'!$J$4:$J$40=$BH$15)*($HI$6:$HI$42=1))&gt;0)</f>
        <v/>
      </c>
      <c r="HK15">
        <f>$HK$14+--($HJ15)</f>
        <v/>
      </c>
      <c r="HL15">
        <f>IF(ROW()-3&gt;MAX($HK$4:$HK$40),"",INDEX($BH$4:$BH$40,MATCH(ROW()-3,$HK$4:$HK$40,0)))</f>
        <v/>
      </c>
      <c r="HM15">
        <f>IF(COUNTIF('Live Search'!BM$14:BW$14,0)+COUNTIF('Live Search'!BY$14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N15">
        <f>IF($BM$15="",FALSE,SUMPRODUCT(('Final Calculation Sheet'!$K$4:$K$40=$BM$15)*($HM$6:$HM$42=1))&gt;0)</f>
        <v/>
      </c>
      <c r="HO15">
        <f>$HO$14+--($HN15)</f>
        <v/>
      </c>
      <c r="HP15">
        <f>IF(ROW()-3&gt;MAX($HO$4:$HO$40),"",INDEX($BM$4:$BM$40,MATCH(ROW()-3,$HO$4:$HO$40,0)))</f>
        <v/>
      </c>
      <c r="HQ15">
        <f>IF(COUNTIF('Live Search'!BM$14:BX$14,0)+COUNTIF('Live Search'!BZ$14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R15">
        <f>IF($BR$15="",FALSE,SUMPRODUCT(('Final Calculation Sheet'!$L$4:$L$40=$BR$15)*($HQ$6:$HQ$42=1))&gt;0)</f>
        <v/>
      </c>
      <c r="HS15">
        <f>$HS$14+--($HR15)</f>
        <v/>
      </c>
      <c r="HT15">
        <f>IF(ROW()-3&gt;MAX($HS$4:$HS$40),"",INDEX($BR$4:$BR$40,MATCH(ROW()-3,$HS$4:$HS$40,0)))</f>
        <v/>
      </c>
      <c r="HU15">
        <f>IF(COUNTIF('Live Search'!BM$14:BY$14,0)+COUNTIF('Live Search'!CA$14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V15">
        <f>IF($BW$15="",FALSE,SUMPRODUCT(('Final Calculation Sheet'!$M$4:$M$40=$BW$15)*($HU$6:$HU$42=1))&gt;0)</f>
        <v/>
      </c>
      <c r="HW15">
        <f>$HW$14+--($HV15)</f>
        <v/>
      </c>
      <c r="HX15">
        <f>IF(ROW()-3&gt;MAX($HW$4:$HW$40),"",INDEX($BW$4:$BW$40,MATCH(ROW()-3,$HW$4:$HW$40,0)))</f>
        <v/>
      </c>
      <c r="HY15">
        <f>IF(COUNTIF('Live Search'!BM$14:BZ$14,0)+COUNTIF('Live Search'!CB$14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HZ15">
        <f>IF($CB$15="",FALSE,SUMPRODUCT(('Final Calculation Sheet'!$N$4:$N$40=$CB$15)*($HY$6:$HY$42=1))&gt;0)</f>
        <v/>
      </c>
      <c r="IA15">
        <f>$IA$14+--($HZ15)</f>
        <v/>
      </c>
      <c r="IB15">
        <f>IF(ROW()-3&gt;MAX($IA$4:$IA$40),"",INDEX($CB$4:$CB$40,MATCH(ROW()-3,$IA$4:$IA$40,0)))</f>
        <v/>
      </c>
      <c r="IC15">
        <f>IF(COUNTIF('Live Search'!BM$14:CA$14,0)+COUNTIF('Live Search'!CC$14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D15">
        <f>IF($CG$15="",FALSE,SUMPRODUCT(('Final Calculation Sheet'!$O$4:$O$40=$CG$15)*($IC$6:$IC$42=1))&gt;0)</f>
        <v/>
      </c>
      <c r="IE15">
        <f>$IE$14+--($ID15)</f>
        <v/>
      </c>
      <c r="IF15">
        <f>IF(ROW()-3&gt;MAX($IE$4:$IE$40),"",INDEX($CG$4:$CG$40,MATCH(ROW()-3,$IE$4:$IE$40,0)))</f>
        <v/>
      </c>
      <c r="IG15">
        <f>IF(COUNTIF('Live Search'!BM$14:CB$14,0)+COUNTIF('Live Search'!CD$14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H15">
        <f>IF($CL$15="",FALSE,SUMPRODUCT(('Final Calculation Sheet'!$P$4:$P$40=$CL$15)*($IG$6:$IG$42=1))&gt;0)</f>
        <v/>
      </c>
      <c r="II15">
        <f>$II$14+--($IH15)</f>
        <v/>
      </c>
      <c r="IJ15">
        <f>IF(ROW()-3&gt;MAX($II$4:$II$40),"",INDEX($CL$4:$CL$40,MATCH(ROW()-3,$II$4:$II$40,0)))</f>
        <v/>
      </c>
      <c r="IK15">
        <f>IF(COUNTIF('Live Search'!BM$14:CC$14,0)+COUNTIF('Live Search'!CE$14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L15">
        <f>IF($CQ$15="",FALSE,SUMPRODUCT(('Final Calculation Sheet'!$Q$4:$Q$40=$CQ$15)*($IK$6:$IK$42=1))&gt;0)</f>
        <v/>
      </c>
      <c r="IM15">
        <f>$IM$14+--($IL15)</f>
        <v/>
      </c>
      <c r="IN15">
        <f>IF(ROW()-3&gt;MAX($IM$4:$IM$40),"",INDEX($CQ$4:$CQ$40,MATCH(ROW()-3,$IM$4:$IM$40,0)))</f>
        <v/>
      </c>
      <c r="IO15">
        <f>IF(COUNTIF('Live Search'!BM$14:CD$14,0)+COUNTIF('Live Search'!CF$14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P15">
        <f>IF($CV$15="",FALSE,SUMPRODUCT(('Final Calculation Sheet'!$R$4:$R$40=$CV$15)*($IO$6:$IO$42=1))&gt;0)</f>
        <v/>
      </c>
      <c r="IQ15">
        <f>$IQ$14+--($IP15)</f>
        <v/>
      </c>
      <c r="IR15">
        <f>IF(ROW()-3&gt;MAX($IQ$4:$IQ$40),"",INDEX($CV$4:$CV$40,MATCH(ROW()-3,$IQ$4:$IQ$40,0)))</f>
        <v/>
      </c>
      <c r="IS15">
        <f>IF(COUNTIF('Live Search'!BM$14:CE$14,0)+COUNTIF('Live Search'!CG$14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T15">
        <f>IF($DA$15="",FALSE,SUMPRODUCT(('Final Calculation Sheet'!$S$4:$S$40=$DA$15)*($IS$6:$IS$42=1))&gt;0)</f>
        <v/>
      </c>
      <c r="IU15">
        <f>$IU$14+--($IT15)</f>
        <v/>
      </c>
      <c r="IV15">
        <f>IF(ROW()-3&gt;MAX($IU$4:$IU$40),"",INDEX($DA$4:$DA$40,MATCH(ROW()-3,$IU$4:$IU$40,0)))</f>
        <v/>
      </c>
      <c r="IW15">
        <f>IF(COUNTIF('Live Search'!BM$14:CF$14,0)+COUNTIF('Live Search'!CH$14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IX15">
        <f>IF($DF$15="",FALSE,SUMPRODUCT(('Final Calculation Sheet'!$T$4:$T$40=$DF$15)*($IW$6:$IW$42=1))&gt;0)</f>
        <v/>
      </c>
      <c r="IY15">
        <f>$IY$14+--($IX15)</f>
        <v/>
      </c>
      <c r="IZ15">
        <f>IF(ROW()-3&gt;MAX($IY$4:$IY$40),"",INDEX($DF$4:$DF$40,MATCH(ROW()-3,$IY$4:$IY$40,0)))</f>
        <v/>
      </c>
      <c r="JA15">
        <f>IF(COUNTIF('Live Search'!BM$14:CG$14,0)+COUNTIF('Live Search'!CI$14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B15">
        <f>IF($DK$15="",FALSE,SUMPRODUCT(('Final Calculation Sheet'!$U$4:$U$40=$DK$15)*($JA$6:$JA$42=1))&gt;0)</f>
        <v/>
      </c>
      <c r="JC15">
        <f>$JC$14+--($JB15)</f>
        <v/>
      </c>
      <c r="JD15">
        <f>IF(ROW()-3&gt;MAX($JC$4:$JC$40),"",INDEX($DK$4:$DK$40,MATCH(ROW()-3,$JC$4:$JC$40,0)))</f>
        <v/>
      </c>
      <c r="JE15">
        <f>IF(COUNTIF('Live Search'!BM$14:CH$14,0)+COUNTIF('Live Search'!CJ$14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F15">
        <f>IF($DP$15="",FALSE,SUMPRODUCT(('Final Calculation Sheet'!$V$4:$V$40=$DP$15)*($JE$6:$JE$42=1))&gt;0)</f>
        <v/>
      </c>
      <c r="JG15">
        <f>$JG$14+--($JF15)</f>
        <v/>
      </c>
      <c r="JH15">
        <f>IF(ROW()-3&gt;MAX($JG$4:$JG$40),"",INDEX($DP$4:$DP$40,MATCH(ROW()-3,$JG$4:$JG$40,0)))</f>
        <v/>
      </c>
      <c r="JI15">
        <f>IF(COUNTIF('Live Search'!BM$14:CI$14,0)+COUNTIF('Live Search'!CK$14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J15">
        <f>IF($DU$15="",FALSE,SUMPRODUCT(('Final Calculation Sheet'!$W$4:$W$40=$DU$15)*($JI$6:$JI$42=1))&gt;0)</f>
        <v/>
      </c>
      <c r="JK15">
        <f>$JK$14+--($JJ15)</f>
        <v/>
      </c>
      <c r="JL15">
        <f>IF(ROW()-3&gt;MAX($JK$4:$JK$40),"",INDEX($DU$4:$DU$40,MATCH(ROW()-3,$JK$4:$JK$40,0)))</f>
        <v/>
      </c>
      <c r="JM15">
        <f>IF(COUNTIF('Live Search'!BM$14:CJ$14,0)+COUNTIF('Live Search'!CL$14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N15">
        <f>IF($DZ$15="",FALSE,SUMPRODUCT(('Final Calculation Sheet'!$X$4:$X$40=$DZ$15)*($JM$6:$JM$42=1))&gt;0)</f>
        <v/>
      </c>
      <c r="JO15">
        <f>$JO$14+--($JN15)</f>
        <v/>
      </c>
      <c r="JP15">
        <f>IF(ROW()-3&gt;MAX($JO$4:$JO$40),"",INDEX($DZ$4:$DZ$40,MATCH(ROW()-3,$JO$4:$JO$40,0)))</f>
        <v/>
      </c>
      <c r="JQ15">
        <f>IF(COUNTIF('Live Search'!BM$14:CK$14,0)+COUNTIF('Live Search'!C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R15">
        <f>IF($EE$15="",FALSE,SUMPRODUCT(('Final Calculation Sheet'!$Y$4:$Y$40=$EE$15)*($JQ$6:$JQ$42=1))&gt;0)</f>
        <v/>
      </c>
      <c r="JS15">
        <f>$JS$14+--($JR15)</f>
        <v/>
      </c>
      <c r="JT15">
        <f>IF(ROW()-3&gt;MAX($JS$4:$JS$40),"",INDEX($EE$4:$EE$40,MATCH(ROW()-3,$JS$4:$JS$40,0)))</f>
        <v/>
      </c>
      <c r="JU15">
        <f>IF(COUNTIF('Live Search'!BM$14:CL$14,0)+COUNTIF('Live Search'!CN$14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V15">
        <f>IF($EJ$15="",FALSE,SUMPRODUCT(('Final Calculation Sheet'!$Z$4:$Z$40=$EJ$15)*($JU$6:$JU$42=1))&gt;0)</f>
        <v/>
      </c>
      <c r="JW15">
        <f>$JW$14+--($JV15)</f>
        <v/>
      </c>
      <c r="JX15">
        <f>IF(ROW()-3&gt;MAX($JW$4:$JW$40),"",INDEX($EJ$4:$EJ$40,MATCH(ROW()-3,$JW$4:$JW$40,0)))</f>
        <v/>
      </c>
      <c r="JY15">
        <f>IF(COUNTIF('Live Search'!BM$14:CM$14,0)+COUNTIF('Live Search'!CO$14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JZ15">
        <f>IF($EO$15="",FALSE,SUMPRODUCT(('Final Calculation Sheet'!$AA$4:$AA$40=$EO$15)*($JY$6:$JY$42=1))&gt;0)</f>
        <v/>
      </c>
      <c r="KA15">
        <f>$KA$14+--($JZ15)</f>
        <v/>
      </c>
      <c r="KB15">
        <f>IF(ROW()-3&gt;MAX($KA$4:$KA$40),"",INDEX($EO$4:$EO$40,MATCH(ROW()-3,$KA$4:$KA$40,0)))</f>
        <v/>
      </c>
      <c r="KC15">
        <f>IF(COUNTIF('Live Search'!BM$14:CN$14,0)+COUNTIF('Live Search'!CP$14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D15">
        <f>IF($ET$15="",FALSE,SUMPRODUCT(('Final Calculation Sheet'!$AB$4:$AB$40=$ET$15)*($KC$6:$KC$42=1))&gt;0)</f>
        <v/>
      </c>
      <c r="KE15">
        <f>$KE$14+--($KD15)</f>
        <v/>
      </c>
      <c r="KF15">
        <f>IF(ROW()-3&gt;MAX($KE$4:$KE$40),"",INDEX($ET$4:$ET$40,MATCH(ROW()-3,$KE$4:$KE$40,0)))</f>
        <v/>
      </c>
      <c r="KG15">
        <f>IF(COUNTIF('Live Search'!BM$14:CO$14,0)+COUNTIF('Live Search'!CQ$14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H15">
        <f>IF($EY$15="",FALSE,SUMPRODUCT(('Final Calculation Sheet'!$AC$4:$AC$40=$EY$15)*($KG$6:$KG$42=1))&gt;0)</f>
        <v/>
      </c>
      <c r="KI15">
        <f>$KI$14+--($KH15)</f>
        <v/>
      </c>
      <c r="KJ15">
        <f>IF(ROW()-3&gt;MAX($KI$4:$KI$40),"",INDEX($EY$4:$EY$40,MATCH(ROW()-3,$KI$4:$KI$40,0)))</f>
        <v/>
      </c>
      <c r="KK15">
        <f>IF(COUNTIF('Live Search'!BM$14:CP$14,0)+COUNTIF('Live Search'!CR$14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L15">
        <f>IF($FD$15="",FALSE,SUMPRODUCT(('Final Calculation Sheet'!$AD$4:$AD$40=$FD$15)*($KK$6:$KK$42=1))&gt;0)</f>
        <v/>
      </c>
      <c r="KM15">
        <f>$KM$14+--($KL15)</f>
        <v/>
      </c>
      <c r="KN15">
        <f>IF(ROW()-3&gt;MAX($KM$4:$KM$40),"",INDEX($FD$4:$FD$40,MATCH(ROW()-3,$KM$4:$KM$40,0)))</f>
        <v/>
      </c>
      <c r="KO15">
        <f>IF(COUNTIF('Live Search'!BM$14:CT$14,0)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P15">
        <f>IF($FX$15="",FALSE,SUMPRODUCT((IF('Final Calculation Sheet'!$AD$4:$AD$40&lt;=5,"SETTLED","OUTSTANDING")=$FX$15)*($KO$6:$KO$42=1))&gt;0)</f>
        <v/>
      </c>
      <c r="KQ15">
        <f>$KQ$14+--($KP15)</f>
        <v/>
      </c>
      <c r="KR15">
        <f>IF(ROW()-3&gt;MAX($KQ$4:$KQ$40),"",INDEX($FX$4:$FX$40,MATCH(ROW()-3,$KQ$4:$KQ$40,0)))</f>
        <v/>
      </c>
      <c r="KS15">
        <f>IF(COUNTIF('Live Search'!BM$14:CQ$14,0)+COUNTIF('Live Search'!CS$14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T15">
        <f>IF($FI$15="",FALSE,SUMPRODUCT(('Final Calculation Sheet'!$AF$4:$AF$40=$FI$15)*($KS$6:$KS$42=1))&gt;0)</f>
        <v/>
      </c>
      <c r="KU15">
        <f>$KU$14+--($KT15)</f>
        <v/>
      </c>
      <c r="KV15">
        <f>IF(ROW()-3&gt;MAX($KU$4:$KU$40),"",INDEX($FI$4:$FI$40,MATCH(ROW()-3,$KU$4:$KU$40,0)))</f>
        <v/>
      </c>
      <c r="KW15">
        <f>IF(COUNTIF('Live Search'!BM$14:CR$14,0)+COUNTIF('Live Search'!CT$14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KX15">
        <f>IF($FN$15="",FALSE,SUMPRODUCT(('Final Calculation Sheet'!$AG$4:$AG$40=$FN$15)*($KW$6:$KW$42=1))&gt;0)</f>
        <v/>
      </c>
      <c r="KY15">
        <f>$KY$14+--($KX15)</f>
        <v/>
      </c>
      <c r="KZ15">
        <f>IF(ROW()-3&gt;MAX($KY$4:$KY$40),"",INDEX($FN$4:$FN$40,MATCH(ROW()-3,$KY$4:$KY$40,0)))</f>
        <v/>
      </c>
      <c r="LA15">
        <f>IF(COUNTIF('Live Search'!BM$14:CS$14,0)+COUNTIF('Live Search'!CU$14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LB15">
        <f>IF($FS$15="",FALSE,SUMPRODUCT(('Final Calculation Sheet'!$AH$4:$AH$40=$FS$15)*($LA$6:$LA$42=1))&gt;0)</f>
        <v/>
      </c>
      <c r="LC15">
        <f>$LC$14+--($LB15)</f>
        <v/>
      </c>
      <c r="LD15">
        <f>IF(ROW()-3&gt;MAX($LC$4:$LC$40),"",INDEX($FS$4:$FS$40,MATCH(ROW()-3,$LC$4:$LC$40,0)))</f>
        <v/>
      </c>
      <c r="LE15">
        <f>IF(COUNTIF('Buyer Groups'!DH68:EN68,0)&gt;0,0,1)</f>
        <v/>
      </c>
      <c r="LF15">
        <f>IF($O$15="",FALSE,SUMPRODUCT(('Final Calculation Sheet'!$F$4:$F$40=$O$15)*($LE$6:$LE$42=1))&gt;0)</f>
        <v/>
      </c>
      <c r="LG15">
        <f>$LG$14+--($LF15)</f>
        <v/>
      </c>
      <c r="LH15">
        <f>IF(ROW()-3&gt;MAX($LG$4:$LG$40),"",INDEX($O$4:$O$40,MATCH(ROW()-3,$LG$4:$LG$40,0)))</f>
        <v/>
      </c>
      <c r="LI15">
        <f>IF(COUNTIF('Buyer Groups'!DG68:DG68,0)+COUNTIF('Buyer Groups'!DI68:EN68,0)&gt;0,0,1)</f>
        <v/>
      </c>
      <c r="LJ15">
        <f>IF($T$15="",FALSE,SUMPRODUCT(('Final Calculation Sheet'!$G$4:$G$40=$T$15)*($LI$6:$LI$42=1))&gt;0)</f>
        <v/>
      </c>
      <c r="LK15">
        <f>$LK$14+--($LJ15)</f>
        <v/>
      </c>
      <c r="LL15">
        <f>IF(ROW()-3&gt;MAX($LK$4:$LK$40),"",INDEX($T$4:$T$40,MATCH(ROW()-3,$LK$4:$LK$40,0)))</f>
        <v/>
      </c>
      <c r="LM15">
        <f>IF(COUNTIF('Buyer Groups'!DG68:DH68,0)+COUNTIF('Buyer Groups'!DJ68:EN68,0)&gt;0,0,1)</f>
        <v/>
      </c>
      <c r="LN15">
        <f>IF($Y$15="",FALSE,SUMPRODUCT(('Final Calculation Sheet'!$B$4:$B$40=$Y$15)*($LM$6:$LM$42=1))&gt;0)</f>
        <v/>
      </c>
      <c r="LO15">
        <f>$LO$14+--($LN15)</f>
        <v/>
      </c>
      <c r="LP15">
        <f>IF(ROW()-3&gt;MAX($LO$4:$LO$40),"",INDEX($Y$4:$Y$40,MATCH(ROW()-3,$LO$4:$LO$40,0)))</f>
        <v/>
      </c>
      <c r="LQ15">
        <f>IF(COUNTIF('Buyer Groups'!DG68:DI68,0)+COUNTIF('Buyer Groups'!DK68:EN68,0)&gt;0,0,1)</f>
        <v/>
      </c>
      <c r="LR15">
        <f>IF($AD$15="",FALSE,SUMPRODUCT(('Final Calculation Sheet'!$D$4:$D$40=$AD$15)*($LQ$6:$LQ$42=1))&gt;0)</f>
        <v/>
      </c>
      <c r="LS15">
        <f>$LS$14+--($LR15)</f>
        <v/>
      </c>
      <c r="LT15">
        <f>IF(ROW()-3&gt;MAX($LS$4:$LS$40),"",INDEX($AD$4:$AD$40,MATCH(ROW()-3,$LS$4:$LS$40,0)))</f>
        <v/>
      </c>
      <c r="LU15">
        <f>IF(COUNTIF('Buyer Groups'!DG68:DJ68,0)+COUNTIF('Buyer Groups'!DL68:EN68,0)&gt;0,0,1)</f>
        <v/>
      </c>
      <c r="LV15">
        <f>IF($AI$15="",FALSE,SUMPRODUCT(('Final Calculation Sheet'!$A$4:$A$40=$AI$15)*($LU$6:$LU$42=1))&gt;0)</f>
        <v/>
      </c>
      <c r="LW15">
        <f>$LW$14+--($LV15)</f>
        <v/>
      </c>
      <c r="LX15">
        <f>IF(ROW()-3&gt;MAX($LW$4:$LW$40),"",INDEX($AI$4:$AI$40,MATCH(ROW()-3,$LW$4:$LW$40,0)))</f>
        <v/>
      </c>
      <c r="LY15">
        <f>IF(COUNTIF('Buyer Groups'!DG68:DK68,0)+COUNTIF('Buyer Groups'!DM68:EN68,0)&gt;0,0,1)</f>
        <v/>
      </c>
      <c r="LZ15">
        <f>IF($AN$15="",FALSE,SUMPRODUCT(('Final Calculation Sheet'!$E$4:$E$40=$AN$15)*($LY$6:$LY$42=1))&gt;0)</f>
        <v/>
      </c>
      <c r="MA15">
        <f>$MA$14+--($LZ15)</f>
        <v/>
      </c>
      <c r="MB15">
        <f>IF(ROW()-3&gt;MAX($MA$4:$MA$40),"",INDEX($AN$4:$AN$40,MATCH(ROW()-3,$MA$4:$MA$40,0)))</f>
        <v/>
      </c>
      <c r="MC15">
        <f>IF(COUNTIF('Buyer Groups'!DG68:DL68,0)+COUNTIF('Buyer Groups'!DN68:EN68,0)&gt;0,0,1)</f>
        <v/>
      </c>
      <c r="MD15">
        <f>IF($AS$15="",FALSE,SUMPRODUCT(('Final Calculation Sheet'!$C$4:$C$40=$AS$15)*($MC$6:$MC$42=1))&gt;0)</f>
        <v/>
      </c>
      <c r="ME15">
        <f>$ME$14+--($MD15)</f>
        <v/>
      </c>
      <c r="MF15">
        <f>IF(ROW()-3&gt;MAX($ME$4:$ME$40),"",INDEX($AS$4:$AS$40,MATCH(ROW()-3,$ME$4:$ME$40,0)))</f>
        <v/>
      </c>
      <c r="MG15">
        <f>IF(COUNTIF('Buyer Groups'!DG68:DM68,0)+COUNTIF('Buyer Groups'!DO68:EN68,0)&gt;0,0,1)</f>
        <v/>
      </c>
      <c r="MH15">
        <f>IF($AX$15="",FALSE,SUMPRODUCT(('Final Calculation Sheet'!$H$4:$H$40=$AX$15)*($MG$6:$MG$42=1))&gt;0)</f>
        <v/>
      </c>
      <c r="MI15">
        <f>$MI$14+--($MH15)</f>
        <v/>
      </c>
      <c r="MJ15">
        <f>IF(ROW()-3&gt;MAX($MI$4:$MI$40),"",INDEX($AX$4:$AX$40,MATCH(ROW()-3,$MI$4:$MI$40,0)))</f>
        <v/>
      </c>
      <c r="MK15">
        <f>IF(COUNTIF('Buyer Groups'!DG68:DN68,0)+COUNTIF('Buyer Groups'!DP68:EN68,0)&gt;0,0,1)</f>
        <v/>
      </c>
      <c r="ML15">
        <f>IF($BC$15="",FALSE,SUMPRODUCT(('Final Calculation Sheet'!$I$4:$I$40=$BC$15)*($MK$6:$MK$42=1))&gt;0)</f>
        <v/>
      </c>
      <c r="MM15">
        <f>$MM$14+--($ML15)</f>
        <v/>
      </c>
      <c r="MN15">
        <f>IF(ROW()-3&gt;MAX($MM$4:$MM$40),"",INDEX($BC$4:$BC$40,MATCH(ROW()-3,$MM$4:$MM$40,0)))</f>
        <v/>
      </c>
      <c r="MO15">
        <f>IF(COUNTIF('Buyer Groups'!DG68:DO68,0)+COUNTIF('Buyer Groups'!DQ68:EN68,0)&gt;0,0,1)</f>
        <v/>
      </c>
      <c r="MP15">
        <f>IF($BH$15="",FALSE,SUMPRODUCT(('Final Calculation Sheet'!$J$4:$J$40=$BH$15)*($MO$6:$MO$42=1))&gt;0)</f>
        <v/>
      </c>
      <c r="MQ15">
        <f>$MQ$14+--($MP15)</f>
        <v/>
      </c>
      <c r="MR15">
        <f>IF(ROW()-3&gt;MAX($MQ$4:$MQ$40),"",INDEX($BH$4:$BH$40,MATCH(ROW()-3,$MQ$4:$MQ$40,0)))</f>
        <v/>
      </c>
      <c r="MS15">
        <f>IF(COUNTIF('Buyer Groups'!DG68:DP68,0)+COUNTIF('Buyer Groups'!DR68:EN68,0)&gt;0,0,1)</f>
        <v/>
      </c>
      <c r="MT15">
        <f>IF($BM$15="",FALSE,SUMPRODUCT(('Final Calculation Sheet'!$K$4:$K$40=$BM$15)*($MS$6:$MS$42=1))&gt;0)</f>
        <v/>
      </c>
      <c r="MU15">
        <f>$MU$14+--($MT15)</f>
        <v/>
      </c>
      <c r="MV15">
        <f>IF(ROW()-3&gt;MAX($MU$4:$MU$40),"",INDEX($BM$4:$BM$40,MATCH(ROW()-3,$MU$4:$MU$40,0)))</f>
        <v/>
      </c>
      <c r="MW15">
        <f>IF(COUNTIF('Buyer Groups'!DG68:DQ68,0)+COUNTIF('Buyer Groups'!DS68:EN68,0)&gt;0,0,1)</f>
        <v/>
      </c>
      <c r="MX15">
        <f>IF($BR$15="",FALSE,SUMPRODUCT(('Final Calculation Sheet'!$L$4:$L$40=$BR$15)*($MW$6:$MW$42=1))&gt;0)</f>
        <v/>
      </c>
      <c r="MY15">
        <f>$MY$14+--($MX15)</f>
        <v/>
      </c>
      <c r="MZ15">
        <f>IF(ROW()-3&gt;MAX($MY$4:$MY$40),"",INDEX($BR$4:$BR$40,MATCH(ROW()-3,$MY$4:$MY$40,0)))</f>
        <v/>
      </c>
      <c r="NA15">
        <f>IF(COUNTIF('Buyer Groups'!DG68:DR68,0)+COUNTIF('Buyer Groups'!DT68:EN68,0)&gt;0,0,1)</f>
        <v/>
      </c>
      <c r="NB15">
        <f>IF($BW$15="",FALSE,SUMPRODUCT(('Final Calculation Sheet'!$M$4:$M$40=$BW$15)*($NA$6:$NA$42=1))&gt;0)</f>
        <v/>
      </c>
      <c r="NC15">
        <f>$NC$14+--($NB15)</f>
        <v/>
      </c>
      <c r="ND15">
        <f>IF(ROW()-3&gt;MAX($NC$4:$NC$40),"",INDEX($BW$4:$BW$40,MATCH(ROW()-3,$NC$4:$NC$40,0)))</f>
        <v/>
      </c>
      <c r="NE15">
        <f>IF(COUNTIF('Buyer Groups'!DG68:DS68,0)+COUNTIF('Buyer Groups'!DU68:EN68,0)&gt;0,0,1)</f>
        <v/>
      </c>
      <c r="NF15">
        <f>IF($CB$15="",FALSE,SUMPRODUCT(('Final Calculation Sheet'!$N$4:$N$40=$CB$15)*($NE$6:$NE$42=1))&gt;0)</f>
        <v/>
      </c>
      <c r="NG15">
        <f>$NG$14+--($NF15)</f>
        <v/>
      </c>
      <c r="NH15">
        <f>IF(ROW()-3&gt;MAX($NG$4:$NG$40),"",INDEX($CB$4:$CB$40,MATCH(ROW()-3,$NG$4:$NG$40,0)))</f>
        <v/>
      </c>
      <c r="NI15">
        <f>IF(COUNTIF('Buyer Groups'!DG68:DT68,0)+COUNTIF('Buyer Groups'!DV68:EN68,0)&gt;0,0,1)</f>
        <v/>
      </c>
      <c r="NJ15">
        <f>IF($CG$15="",FALSE,SUMPRODUCT(('Final Calculation Sheet'!$O$4:$O$40=$CG$15)*($NI$6:$NI$42=1))&gt;0)</f>
        <v/>
      </c>
      <c r="NK15">
        <f>$NK$14+--($NJ15)</f>
        <v/>
      </c>
      <c r="NL15">
        <f>IF(ROW()-3&gt;MAX($NK$4:$NK$40),"",INDEX($CG$4:$CG$40,MATCH(ROW()-3,$NK$4:$NK$40,0)))</f>
        <v/>
      </c>
      <c r="NM15">
        <f>IF(COUNTIF('Buyer Groups'!DG68:DU68,0)+COUNTIF('Buyer Groups'!DW68:EN68,0)&gt;0,0,1)</f>
        <v/>
      </c>
      <c r="NN15">
        <f>IF($CL$15="",FALSE,SUMPRODUCT(('Final Calculation Sheet'!$P$4:$P$40=$CL$15)*($NM$6:$NM$42=1))&gt;0)</f>
        <v/>
      </c>
      <c r="NO15">
        <f>$NO$14+--($NN15)</f>
        <v/>
      </c>
      <c r="NP15">
        <f>IF(ROW()-3&gt;MAX($NO$4:$NO$40),"",INDEX($CL$4:$CL$40,MATCH(ROW()-3,$NO$4:$NO$40,0)))</f>
        <v/>
      </c>
      <c r="NQ15">
        <f>IF(COUNTIF('Buyer Groups'!DG68:DV68,0)+COUNTIF('Buyer Groups'!DX68:EN68,0)&gt;0,0,1)</f>
        <v/>
      </c>
      <c r="NR15">
        <f>IF($CQ$15="",FALSE,SUMPRODUCT(('Final Calculation Sheet'!$Q$4:$Q$40=$CQ$15)*($NQ$6:$NQ$42=1))&gt;0)</f>
        <v/>
      </c>
      <c r="NS15">
        <f>$NS$14+--($NR15)</f>
        <v/>
      </c>
      <c r="NT15">
        <f>IF(ROW()-3&gt;MAX($NS$4:$NS$40),"",INDEX($CQ$4:$CQ$40,MATCH(ROW()-3,$NS$4:$NS$40,0)))</f>
        <v/>
      </c>
      <c r="NU15">
        <f>IF(COUNTIF('Buyer Groups'!DG68:DW68,0)+COUNTIF('Buyer Groups'!DY68:EN68,0)&gt;0,0,1)</f>
        <v/>
      </c>
      <c r="NV15">
        <f>IF($CV$15="",FALSE,SUMPRODUCT(('Final Calculation Sheet'!$R$4:$R$40=$CV$15)*($NU$6:$NU$42=1))&gt;0)</f>
        <v/>
      </c>
      <c r="NW15">
        <f>$NW$14+--($NV15)</f>
        <v/>
      </c>
      <c r="NX15">
        <f>IF(ROW()-3&gt;MAX($NW$4:$NW$40),"",INDEX($CV$4:$CV$40,MATCH(ROW()-3,$NW$4:$NW$40,0)))</f>
        <v/>
      </c>
      <c r="NY15">
        <f>IF(COUNTIF('Buyer Groups'!DG68:DX68,0)+COUNTIF('Buyer Groups'!DZ68:EN68,0)&gt;0,0,1)</f>
        <v/>
      </c>
      <c r="NZ15">
        <f>IF($DA$15="",FALSE,SUMPRODUCT(('Final Calculation Sheet'!$S$4:$S$40=$DA$15)*($NY$6:$NY$42=1))&gt;0)</f>
        <v/>
      </c>
      <c r="OA15">
        <f>$OA$14+--($NZ15)</f>
        <v/>
      </c>
      <c r="OB15">
        <f>IF(ROW()-3&gt;MAX($OA$4:$OA$40),"",INDEX($DA$4:$DA$40,MATCH(ROW()-3,$OA$4:$OA$40,0)))</f>
        <v/>
      </c>
      <c r="OC15">
        <f>IF(COUNTIF('Buyer Groups'!DG68:DY68,0)+COUNTIF('Buyer Groups'!EA68:EN68,0)&gt;0,0,1)</f>
        <v/>
      </c>
      <c r="OD15">
        <f>IF($DF$15="",FALSE,SUMPRODUCT(('Final Calculation Sheet'!$T$4:$T$40=$DF$15)*($OC$6:$OC$42=1))&gt;0)</f>
        <v/>
      </c>
      <c r="OE15">
        <f>$OE$14+--($OD15)</f>
        <v/>
      </c>
      <c r="OF15">
        <f>IF(ROW()-3&gt;MAX($OE$4:$OE$40),"",INDEX($DF$4:$DF$40,MATCH(ROW()-3,$OE$4:$OE$40,0)))</f>
        <v/>
      </c>
      <c r="OG15">
        <f>IF(COUNTIF('Buyer Groups'!DG68:DZ68,0)+COUNTIF('Buyer Groups'!EB68:EN68,0)&gt;0,0,1)</f>
        <v/>
      </c>
      <c r="OH15">
        <f>IF($DK$15="",FALSE,SUMPRODUCT(('Final Calculation Sheet'!$U$4:$U$40=$DK$15)*($OG$6:$OG$42=1))&gt;0)</f>
        <v/>
      </c>
      <c r="OI15">
        <f>$OI$14+--($OH15)</f>
        <v/>
      </c>
      <c r="OJ15">
        <f>IF(ROW()-3&gt;MAX($OI$4:$OI$40),"",INDEX($DK$4:$DK$40,MATCH(ROW()-3,$OI$4:$OI$40,0)))</f>
        <v/>
      </c>
      <c r="OK15">
        <f>IF(COUNTIF('Buyer Groups'!DG68:EA68,0)+COUNTIF('Buyer Groups'!EC68:EN68,0)&gt;0,0,1)</f>
        <v/>
      </c>
      <c r="OL15">
        <f>IF($DP$15="",FALSE,SUMPRODUCT(('Final Calculation Sheet'!$V$4:$V$40=$DP$15)*($OK$6:$OK$42=1))&gt;0)</f>
        <v/>
      </c>
      <c r="OM15">
        <f>$OM$14+--($OL15)</f>
        <v/>
      </c>
      <c r="ON15">
        <f>IF(ROW()-3&gt;MAX($OM$4:$OM$40),"",INDEX($DP$4:$DP$40,MATCH(ROW()-3,$OM$4:$OM$40,0)))</f>
        <v/>
      </c>
      <c r="OO15">
        <f>IF(COUNTIF('Buyer Groups'!DG68:EB68,0)+COUNTIF('Buyer Groups'!ED68:EN68,0)&gt;0,0,1)</f>
        <v/>
      </c>
      <c r="OP15">
        <f>IF($DU$15="",FALSE,SUMPRODUCT(('Final Calculation Sheet'!$W$4:$W$40=$DU$15)*($OO$6:$OO$42=1))&gt;0)</f>
        <v/>
      </c>
      <c r="OQ15">
        <f>$OQ$14+--($OP15)</f>
        <v/>
      </c>
      <c r="OR15">
        <f>IF(ROW()-3&gt;MAX($OQ$4:$OQ$40),"",INDEX($DU$4:$DU$40,MATCH(ROW()-3,$OQ$4:$OQ$40,0)))</f>
        <v/>
      </c>
      <c r="OS15">
        <f>IF(COUNTIF('Buyer Groups'!DG68:EC68,0)+COUNTIF('Buyer Groups'!EE68:EN68,0)&gt;0,0,1)</f>
        <v/>
      </c>
      <c r="OT15">
        <f>IF($DZ$15="",FALSE,SUMPRODUCT(('Final Calculation Sheet'!$X$4:$X$40=$DZ$15)*($OS$6:$OS$42=1))&gt;0)</f>
        <v/>
      </c>
      <c r="OU15">
        <f>$OU$14+--($OT15)</f>
        <v/>
      </c>
      <c r="OV15">
        <f>IF(ROW()-3&gt;MAX($OU$4:$OU$40),"",INDEX($DZ$4:$DZ$40,MATCH(ROW()-3,$OU$4:$OU$40,0)))</f>
        <v/>
      </c>
      <c r="OW15">
        <f>IF(COUNTIF('Buyer Groups'!DG68:ED68,0)+COUNTIF('Buyer Groups'!EF68:EN68,0)&gt;0,0,1)</f>
        <v/>
      </c>
      <c r="OX15">
        <f>IF($EE$15="",FALSE,SUMPRODUCT(('Final Calculation Sheet'!$Y$4:$Y$40=$EE$15)*($OW$6:$OW$42=1))&gt;0)</f>
        <v/>
      </c>
      <c r="OY15">
        <f>$OY$14+--($OX15)</f>
        <v/>
      </c>
      <c r="OZ15">
        <f>IF(ROW()-3&gt;MAX($OY$4:$OY$40),"",INDEX($EE$4:$EE$40,MATCH(ROW()-3,$OY$4:$OY$40,0)))</f>
        <v/>
      </c>
      <c r="PA15">
        <f>IF(COUNTIF('Buyer Groups'!DG68:EE68,0)+COUNTIF('Buyer Groups'!EG68:EN68,0)&gt;0,0,1)</f>
        <v/>
      </c>
      <c r="PB15">
        <f>IF($EJ$15="",FALSE,SUMPRODUCT(('Final Calculation Sheet'!$Z$4:$Z$40=$EJ$15)*($PA$6:$PA$42=1))&gt;0)</f>
        <v/>
      </c>
      <c r="PC15">
        <f>$PC$14+--($PB15)</f>
        <v/>
      </c>
      <c r="PD15">
        <f>IF(ROW()-3&gt;MAX($PC$4:$PC$40),"",INDEX($EJ$4:$EJ$40,MATCH(ROW()-3,$PC$4:$PC$40,0)))</f>
        <v/>
      </c>
      <c r="PE15">
        <f>IF(COUNTIF('Buyer Groups'!DG68:EF68,0)+COUNTIF('Buyer Groups'!EH68:EN68,0)&gt;0,0,1)</f>
        <v/>
      </c>
      <c r="PF15">
        <f>IF($EO$15="",FALSE,SUMPRODUCT(('Final Calculation Sheet'!$AA$4:$AA$40=$EO$15)*($PE$6:$PE$42=1))&gt;0)</f>
        <v/>
      </c>
      <c r="PG15">
        <f>$PG$14+--($PF15)</f>
        <v/>
      </c>
      <c r="PH15">
        <f>IF(ROW()-3&gt;MAX($PG$4:$PG$40),"",INDEX($EO$4:$EO$40,MATCH(ROW()-3,$PG$4:$PG$40,0)))</f>
        <v/>
      </c>
      <c r="PI15">
        <f>IF(COUNTIF('Buyer Groups'!DG68:EG68,0)+COUNTIF('Buyer Groups'!EI68:EN68,0)&gt;0,0,1)</f>
        <v/>
      </c>
      <c r="PJ15">
        <f>IF($ET$15="",FALSE,SUMPRODUCT(('Final Calculation Sheet'!$AB$4:$AB$40=$ET$15)*($PI$6:$PI$42=1))&gt;0)</f>
        <v/>
      </c>
      <c r="PK15">
        <f>$PK$14+--($PJ15)</f>
        <v/>
      </c>
      <c r="PL15">
        <f>IF(ROW()-3&gt;MAX($PK$4:$PK$40),"",INDEX($ET$4:$ET$40,MATCH(ROW()-3,$PK$4:$PK$40,0)))</f>
        <v/>
      </c>
      <c r="PM15">
        <f>IF(COUNTIF('Buyer Groups'!DG68:EH68,0)+COUNTIF('Buyer Groups'!EJ68:EN68,0)&gt;0,0,1)</f>
        <v/>
      </c>
      <c r="PN15">
        <f>IF($EY$15="",FALSE,SUMPRODUCT(('Final Calculation Sheet'!$AC$4:$AC$40=$EY$15)*($PM$6:$PM$42=1))&gt;0)</f>
        <v/>
      </c>
      <c r="PO15">
        <f>$PO$14+--($PN15)</f>
        <v/>
      </c>
      <c r="PP15">
        <f>IF(ROW()-3&gt;MAX($PO$4:$PO$40),"",INDEX($EY$4:$EY$40,MATCH(ROW()-3,$PO$4:$PO$40,0)))</f>
        <v/>
      </c>
      <c r="PQ15">
        <f>IF(COUNTIF('Buyer Groups'!DG68:EI68,0)+COUNTIF('Buyer Groups'!EK68:EN68,0)&gt;0,0,1)</f>
        <v/>
      </c>
      <c r="PR15">
        <f>IF($FD$15="",FALSE,SUMPRODUCT(('Final Calculation Sheet'!$AD$4:$AD$40=$FD$15)*($PQ$6:$PQ$42=1))&gt;0)</f>
        <v/>
      </c>
      <c r="PS15">
        <f>$PS$14+--($PR15)</f>
        <v/>
      </c>
      <c r="PT15">
        <f>IF(ROW()-3&gt;MAX($PS$4:$PS$40),"",INDEX($FD$4:$FD$40,MATCH(ROW()-3,$PS$4:$PS$40,0)))</f>
        <v/>
      </c>
      <c r="PU15">
        <f>IF(COUNTIF('Buyer Groups'!DG68:EJ68,0)+COUNTIF('Buyer Groups'!EL68:EN68,0)&gt;0,0,1)</f>
        <v/>
      </c>
      <c r="PV15">
        <f>IF($FX$15="",FALSE,SUMPRODUCT((IF('Final Calculation Sheet'!$AD$4:$AD$40&lt;=5,"SETTLED","OUTSTANDING")=$FX$15)*($PU$6:$PU$42=1))&gt;0)</f>
        <v/>
      </c>
      <c r="PW15">
        <f>$PW$14+--($PV15)</f>
        <v/>
      </c>
      <c r="PX15">
        <f>IF(ROW()-3&gt;MAX($PW$4:$PW$40),"",INDEX($FX$4:$FX$40,MATCH(ROW()-3,$PW$4:$PW$40,0)))</f>
        <v/>
      </c>
      <c r="PY15">
        <f>IF(COUNTIF('Buyer Groups'!DG68:EK68,0)+COUNTIF('Buyer Groups'!EM68:EN68,0)&gt;0,0,1)</f>
        <v/>
      </c>
      <c r="PZ15">
        <f>IF($FI$15="",FALSE,SUMPRODUCT(('Final Calculation Sheet'!$AF$4:$AF$40=$FI$15)*($PY$6:$PY$42=1))&gt;0)</f>
        <v/>
      </c>
      <c r="QA15">
        <f>$QA$14+--($PZ15)</f>
        <v/>
      </c>
      <c r="QB15">
        <f>IF(ROW()-3&gt;MAX($QA$4:$QA$40),"",INDEX($FI$4:$FI$40,MATCH(ROW()-3,$QA$4:$QA$40,0)))</f>
        <v/>
      </c>
      <c r="QC15">
        <f>IF(COUNTIF('Buyer Groups'!DG68:EL68,0)+COUNTIF('Buyer Groups'!EN68:EN68,0)&gt;0,0,1)</f>
        <v/>
      </c>
      <c r="QD15">
        <f>IF($FN$15="",FALSE,SUMPRODUCT(('Final Calculation Sheet'!$AG$4:$AG$40=$FN$15)*($QC$6:$QC$42=1))&gt;0)</f>
        <v/>
      </c>
      <c r="QE15">
        <f>$QE$14+--($QD15)</f>
        <v/>
      </c>
      <c r="QF15">
        <f>IF(ROW()-3&gt;MAX($QE$4:$QE$40),"",INDEX($FN$4:$FN$40,MATCH(ROW()-3,$QE$4:$QE$40,0)))</f>
        <v/>
      </c>
      <c r="QG15">
        <f>IF(COUNTIF('Buyer Groups'!DG68:EM68,0)&gt;0,0,1)</f>
        <v/>
      </c>
      <c r="QH15">
        <f>IF($FS$15="",FALSE,SUMPRODUCT(('Final Calculation Sheet'!$AH$4:$AH$40=$FS$15)*($QG$6:$QG$42=1))&gt;0)</f>
        <v/>
      </c>
      <c r="QI15">
        <f>$QI$14+--($QH15)</f>
        <v/>
      </c>
      <c r="QJ15">
        <f>IF(ROW()-3&gt;MAX($QI$4:$QI$40),"",INDEX($FS$4:$FS$40,MATCH(ROW()-3,$QI$4:$QI$40,0)))</f>
        <v/>
      </c>
      <c r="QK15" t="str">
        <f>IF('Final Calculation Sheet'!$AH$15="","",'Final Calculation Sheet'!$AH$15)</f>
      </c>
      <c r="QL15" t="str">
        <f>IF(QK15="","",COUNTIFS(QK$4:QK$40,"&lt;"&amp;QK15,QK$4:QK$40,"&lt;&gt;"&amp;"")+COUNTIF(QK$4:QK15,QK15))</f>
      </c>
      <c r="QM15" t="str">
        <f>IF(ROW()-3&gt;COUNTIF(QK$4:QK$40,"&lt;&gt;"&amp;""),"",INDEX(QK$4:QK$40,MATCH(ROW()-3,QL$4:QL$40,0)))</f>
      </c>
      <c r="QN15" t="str">
        <f>=QN14+F(AND(QM15&lt;&gt;"",COUNTIF(QM$4:QM15,QM15)=1),1,0)</f>
      </c>
      <c r="QO15" t="str">
        <f>IF(ROW()-3&gt;MAX(QN$4:QN$40),"",INDEX(QM$4:QM$40,MATCH(ROW()-3,QN$4:QN$40,0)))</f>
      </c>
      <c r="QP15" t="str">
        <f>IF(COUNTIF('Final Calculation Sheet'!$AM15:$BS15,0)&gt;0,0,1)</f>
      </c>
      <c r="QQ15" t="str">
        <f>IF($AI$15="",FALSE,SUMPRODUCT(('Final Calculation Sheet'!$A$4:$A$40=$AI$15)*($QP$4:$QP$40=1))&gt;0)</f>
      </c>
      <c r="QR15" t="str">
        <f>=$QR14+--($QQ15)</f>
      </c>
      <c r="QS15" t="str">
        <f>IF(ROW()-3&gt;MAX($QR$4:$QR$40),"",INDEX($AI$4:$AI$40,MATCH(ROW()-3,$QR$4:$QR$40,0)))</f>
      </c>
      <c r="QT15" t="str">
        <f>IF(COUNTIF('Final Calculation Sheet'!$AL15:$AL15,0)+COUNTIF('Final Calculation Sheet'!$AN15:$BS15,0)&gt;0,0,1)</f>
      </c>
      <c r="QU15" t="str">
        <f>IF($Y$15="",FALSE,SUMPRODUCT(('Final Calculation Sheet'!$B$4:$B$40=$Y$15)*($QT$4:$QT$40=1))&gt;0)</f>
      </c>
      <c r="QV15" t="str">
        <f>=$QV14+--($QU15)</f>
      </c>
      <c r="QW15" t="str">
        <f>IF(ROW()-3&gt;MAX($QV$4:$QV$40),"",INDEX($Y$4:$Y$40,MATCH(ROW()-3,$QV$4:$QV$40,0)))</f>
      </c>
      <c r="QX15" t="str">
        <f>IF(COUNTIF('Final Calculation Sheet'!$AL15:$AM15,0)+COUNTIF('Final Calculation Sheet'!$AO15:$BS15,0)&gt;0,0,1)</f>
      </c>
      <c r="QY15" t="str">
        <f>IF($AS$15="",FALSE,SUMPRODUCT(('Final Calculation Sheet'!$C$4:$C$40=$AS$15)*($QX$4:$QX$40=1))&gt;0)</f>
      </c>
      <c r="QZ15" t="str">
        <f>=$QZ14+--($QY15)</f>
      </c>
      <c r="RA15" t="str">
        <f>IF(ROW()-3&gt;MAX($QZ$4:$QZ$40),"",INDEX($AS$4:$AS$40,MATCH(ROW()-3,$QZ$4:$QZ$40,0)))</f>
      </c>
      <c r="RB15" t="str">
        <f>IF(COUNTIF('Final Calculation Sheet'!$AL15:$AN15,0)+COUNTIF('Final Calculation Sheet'!$AP15:$BS15,0)&gt;0,0,1)</f>
      </c>
      <c r="RC15" t="str">
        <f>IF($AD$15="",FALSE,SUMPRODUCT(('Final Calculation Sheet'!$D$4:$D$40=$AD$15)*($RB$4:$RB$40=1))&gt;0)</f>
      </c>
      <c r="RD15" t="str">
        <f>=$RD14+--($RC15)</f>
      </c>
      <c r="RE15" t="str">
        <f>IF(ROW()-3&gt;MAX($RD$4:$RD$40),"",INDEX($AD$4:$AD$40,MATCH(ROW()-3,$RD$4:$RD$40,0)))</f>
      </c>
      <c r="RF15" t="str">
        <f>IF(COUNTIF('Final Calculation Sheet'!$AL15:$AO15,0)+COUNTIF('Final Calculation Sheet'!$AQ15:$BS15,0)&gt;0,0,1)</f>
      </c>
      <c r="RG15" t="str">
        <f>IF($AN$15="",FALSE,SUMPRODUCT(('Final Calculation Sheet'!$E$4:$E$40=$AN$15)*($RF$4:$RF$40=1))&gt;0)</f>
      </c>
      <c r="RH15" t="str">
        <f>=$RH14+--($RG15)</f>
      </c>
      <c r="RI15" t="str">
        <f>IF(ROW()-3&gt;MAX($RH$4:$RH$40),"",INDEX($AN$4:$AN$40,MATCH(ROW()-3,$RH$4:$RH$40,0)))</f>
      </c>
      <c r="RJ15" t="str">
        <f>IF(COUNTIF('Final Calculation Sheet'!$AL15:$AP15,0)+COUNTIF('Final Calculation Sheet'!$AR15:$BS15,0)&gt;0,0,1)</f>
      </c>
      <c r="RK15" t="str">
        <f>IF($O$15="",FALSE,SUMPRODUCT(('Final Calculation Sheet'!$F$4:$F$40=$O$15)*($RJ$4:$RJ$40=1))&gt;0)</f>
      </c>
      <c r="RL15" t="str">
        <f>=$RL14+--($RK15)</f>
      </c>
      <c r="RM15" t="str">
        <f>IF(ROW()-3&gt;MAX($RL$4:$RL$40),"",INDEX($O$4:$O$40,MATCH(ROW()-3,$RL$4:$RL$40,0)))</f>
      </c>
      <c r="RN15" t="str">
        <f>IF(COUNTIF('Final Calculation Sheet'!$AL15:$AQ15,0)+COUNTIF('Final Calculation Sheet'!$AS15:$BS15,0)&gt;0,0,1)</f>
      </c>
      <c r="RO15" t="str">
        <f>IF($T$15="",FALSE,SUMPRODUCT(('Final Calculation Sheet'!$G$4:$G$40=$T$15)*($RN$4:$RN$40=1))&gt;0)</f>
      </c>
      <c r="RP15" t="str">
        <f>=$RP14+--($RO15)</f>
      </c>
      <c r="RQ15" t="str">
        <f>IF(ROW()-3&gt;MAX($RP$4:$RP$40),"",INDEX($T$4:$T$40,MATCH(ROW()-3,$RP$4:$RP$40,0)))</f>
      </c>
      <c r="RR15" t="str">
        <f>IF(COUNTIF('Final Calculation Sheet'!$AL15:$AR15,0)+COUNTIF('Final Calculation Sheet'!$AT15:$BS15,0)&gt;0,0,1)</f>
      </c>
      <c r="RS15" t="str">
        <f>IF($AX$15="",FALSE,SUMPRODUCT(('Final Calculation Sheet'!$H$4:$H$40=$AX$15)*($RR$4:$RR$40=1))&gt;0)</f>
      </c>
      <c r="RT15" t="str">
        <f>=$RT14+--($RS15)</f>
      </c>
      <c r="RU15" t="str">
        <f>IF(ROW()-3&gt;MAX($RT$4:$RT$40),"",INDEX($AX$4:$AX$40,MATCH(ROW()-3,$RT$4:$RT$40,0)))</f>
      </c>
      <c r="RV15" t="str">
        <f>IF(COUNTIF('Final Calculation Sheet'!$AL15:$AS15,0)+COUNTIF('Final Calculation Sheet'!$AU15:$BS15,0)&gt;0,0,1)</f>
      </c>
      <c r="RW15" t="str">
        <f>IF($BC$15="",FALSE,SUMPRODUCT(('Final Calculation Sheet'!$I$4:$I$40=$BC$15)*($RV$4:$RV$40=1))&gt;0)</f>
      </c>
      <c r="RX15" t="str">
        <f>=$RX14+--($RW15)</f>
      </c>
      <c r="RY15" t="str">
        <f>IF(ROW()-3&gt;MAX($RX$4:$RX$40),"",INDEX($BC$4:$BC$40,MATCH(ROW()-3,$RX$4:$RX$40,0)))</f>
      </c>
      <c r="RZ15" t="str">
        <f>IF(COUNTIF('Final Calculation Sheet'!$AL15:$AT15,0)+COUNTIF('Final Calculation Sheet'!$AV15:$BS15,0)&gt;0,0,1)</f>
      </c>
      <c r="SA15" t="str">
        <f>IF($BH$15="",FALSE,SUMPRODUCT(('Final Calculation Sheet'!$J$4:$J$40=$BH$15)*($RZ$4:$RZ$40=1))&gt;0)</f>
      </c>
      <c r="SB15" t="str">
        <f>=$SB14+--($SA15)</f>
      </c>
      <c r="SC15" t="str">
        <f>IF(ROW()-3&gt;MAX($SB$4:$SB$40),"",INDEX($BH$4:$BH$40,MATCH(ROW()-3,$SB$4:$SB$40,0)))</f>
      </c>
      <c r="SD15" t="str">
        <f>IF(COUNTIF('Final Calculation Sheet'!$AL15:$AU15,0)+COUNTIF('Final Calculation Sheet'!$AW15:$BS15,0)&gt;0,0,1)</f>
      </c>
      <c r="SE15" t="str">
        <f>IF($BM$15="",FALSE,SUMPRODUCT(('Final Calculation Sheet'!$K$4:$K$40=$BM$15)*($SD$4:$SD$40=1))&gt;0)</f>
      </c>
      <c r="SF15" t="str">
        <f>=$SF14+--($SE15)</f>
      </c>
      <c r="SG15" t="str">
        <f>IF(ROW()-3&gt;MAX($SF$4:$SF$40),"",INDEX($BM$4:$BM$40,MATCH(ROW()-3,$SF$4:$SF$40,0)))</f>
      </c>
      <c r="SH15" t="str">
        <f>IF(COUNTIF('Final Calculation Sheet'!$AL15:$AV15,0)+COUNTIF('Final Calculation Sheet'!$AX15:$BS15,0)&gt;0,0,1)</f>
      </c>
      <c r="SI15" t="str">
        <f>IF($BR$15="",FALSE,SUMPRODUCT(('Final Calculation Sheet'!$L$4:$L$40=$BR$15)*($SH$4:$SH$40=1))&gt;0)</f>
      </c>
      <c r="SJ15" t="str">
        <f>=$SJ14+--($SI15)</f>
      </c>
      <c r="SK15" t="str">
        <f>IF(ROW()-3&gt;MAX($SJ$4:$SJ$40),"",INDEX($BR$4:$BR$40,MATCH(ROW()-3,$SJ$4:$SJ$40,0)))</f>
      </c>
      <c r="SL15" t="str">
        <f>IF(COUNTIF('Final Calculation Sheet'!$AL15:$AW15,0)+COUNTIF('Final Calculation Sheet'!$AY15:$BS15,0)&gt;0,0,1)</f>
      </c>
      <c r="SM15" t="str">
        <f>IF($BW$15="",FALSE,SUMPRODUCT(('Final Calculation Sheet'!$M$4:$M$40=$BW$15)*($SL$4:$SL$40=1))&gt;0)</f>
      </c>
      <c r="SN15" t="str">
        <f>=$SN14+--($SM15)</f>
      </c>
      <c r="SO15" t="str">
        <f>IF(ROW()-3&gt;MAX($SN$4:$SN$40),"",INDEX($BW$4:$BW$40,MATCH(ROW()-3,$SN$4:$SN$40,0)))</f>
      </c>
      <c r="SP15" t="str">
        <f>IF(COUNTIF('Final Calculation Sheet'!$AL15:$AX15,0)+COUNTIF('Final Calculation Sheet'!$AZ15:$BS15,0)&gt;0,0,1)</f>
      </c>
      <c r="SQ15" t="str">
        <f>IF($CB$15="",FALSE,SUMPRODUCT(('Final Calculation Sheet'!$N$4:$N$40=$CB$15)*($SP$4:$SP$40=1))&gt;0)</f>
      </c>
      <c r="SR15" t="str">
        <f>=$SR14+--($SQ15)</f>
      </c>
      <c r="SS15" t="str">
        <f>IF(ROW()-3&gt;MAX($SR$4:$SR$40),"",INDEX($CB$4:$CB$40,MATCH(ROW()-3,$SR$4:$SR$40,0)))</f>
      </c>
      <c r="ST15" t="str">
        <f>IF(COUNTIF('Final Calculation Sheet'!$AL15:$AY15,0)+COUNTIF('Final Calculation Sheet'!$BA15:$BS15,0)&gt;0,0,1)</f>
      </c>
      <c r="SU15" t="str">
        <f>IF($CG$15="",FALSE,SUMPRODUCT(('Final Calculation Sheet'!$O$4:$O$40=$CG$15)*($ST$4:$ST$40=1))&gt;0)</f>
      </c>
      <c r="SV15" t="str">
        <f>=$SV14+--($SU15)</f>
      </c>
      <c r="SW15" t="str">
        <f>IF(ROW()-3&gt;MAX($SV$4:$SV$40),"",INDEX($CG$4:$CG$40,MATCH(ROW()-3,$SV$4:$SV$40,0)))</f>
      </c>
      <c r="SX15" t="str">
        <f>IF(COUNTIF('Final Calculation Sheet'!$AL15:$AZ15,0)+COUNTIF('Final Calculation Sheet'!$BB15:$BS15,0)&gt;0,0,1)</f>
      </c>
      <c r="SY15" t="str">
        <f>IF($CL$15="",FALSE,SUMPRODUCT(('Final Calculation Sheet'!$P$4:$P$40=$CL$15)*($SX$4:$SX$40=1))&gt;0)</f>
      </c>
      <c r="SZ15" t="str">
        <f>=$SZ14+--($SY15)</f>
      </c>
      <c r="TA15" t="str">
        <f>IF(ROW()-3&gt;MAX($SZ$4:$SZ$40),"",INDEX($CL$4:$CL$40,MATCH(ROW()-3,$SZ$4:$SZ$40,0)))</f>
      </c>
      <c r="TB15" t="str">
        <f>IF(COUNTIF('Final Calculation Sheet'!$AL15:$BA15,0)+COUNTIF('Final Calculation Sheet'!$BC15:$BS15,0)&gt;0,0,1)</f>
      </c>
      <c r="TC15" t="str">
        <f>IF($CQ$15="",FALSE,SUMPRODUCT(('Final Calculation Sheet'!$Q$4:$Q$40=$CQ$15)*($TB$4:$TB$40=1))&gt;0)</f>
      </c>
      <c r="TD15" t="str">
        <f>=$TD14+--($TC15)</f>
      </c>
      <c r="TE15" t="str">
        <f>IF(ROW()-3&gt;MAX($TD$4:$TD$40),"",INDEX($CQ$4:$CQ$40,MATCH(ROW()-3,$TD$4:$TD$40,0)))</f>
      </c>
      <c r="TF15" t="str">
        <f>IF(COUNTIF('Final Calculation Sheet'!$AL15:$BB15,0)+COUNTIF('Final Calculation Sheet'!$BD15:$BS15,0)&gt;0,0,1)</f>
      </c>
      <c r="TG15" t="str">
        <f>IF($CV$15="",FALSE,SUMPRODUCT(('Final Calculation Sheet'!$R$4:$R$40=$CV$15)*($TF$4:$TF$40=1))&gt;0)</f>
      </c>
      <c r="TH15" t="str">
        <f>=$TH14+--($TG15)</f>
      </c>
      <c r="TI15" t="str">
        <f>IF(ROW()-3&gt;MAX($TH$4:$TH$40),"",INDEX($CV$4:$CV$40,MATCH(ROW()-3,$TH$4:$TH$40,0)))</f>
      </c>
      <c r="TJ15" t="str">
        <f>IF(COUNTIF('Final Calculation Sheet'!$AL15:$BC15,0)+COUNTIF('Final Calculation Sheet'!$BE15:$BS15,0)&gt;0,0,1)</f>
      </c>
      <c r="TK15" t="str">
        <f>IF($DA$15="",FALSE,SUMPRODUCT(('Final Calculation Sheet'!$S$4:$S$40=$DA$15)*($TJ$4:$TJ$40=1))&gt;0)</f>
      </c>
      <c r="TL15" t="str">
        <f>=$TL14+--($TK15)</f>
      </c>
      <c r="TM15" t="str">
        <f>IF(ROW()-3&gt;MAX($TL$4:$TL$40),"",INDEX($DA$4:$DA$40,MATCH(ROW()-3,$TL$4:$TL$40,0)))</f>
      </c>
      <c r="TN15" t="str">
        <f>IF(COUNTIF('Final Calculation Sheet'!$AL15:$BD15,0)+COUNTIF('Final Calculation Sheet'!$BF15:$BS15,0)&gt;0,0,1)</f>
      </c>
      <c r="TO15" t="str">
        <f>IF($DF$15="",FALSE,SUMPRODUCT(('Final Calculation Sheet'!$T$4:$T$40=$DF$15)*($TN$4:$TN$40=1))&gt;0)</f>
      </c>
      <c r="TP15" t="str">
        <f>=$TP14+--($TO15)</f>
      </c>
      <c r="TQ15" t="str">
        <f>IF(ROW()-3&gt;MAX($TP$4:$TP$40),"",INDEX($DF$4:$DF$40,MATCH(ROW()-3,$TP$4:$TP$40,0)))</f>
      </c>
      <c r="TR15" t="str">
        <f>IF(COUNTIF('Final Calculation Sheet'!$AL15:$BE15,0)+COUNTIF('Final Calculation Sheet'!$BG15:$BS15,0)&gt;0,0,1)</f>
      </c>
      <c r="TS15" t="str">
        <f>IF($DK$15="",FALSE,SUMPRODUCT(('Final Calculation Sheet'!$U$4:$U$40=$DK$15)*($TR$4:$TR$40=1))&gt;0)</f>
      </c>
      <c r="TT15" t="str">
        <f>=$TT14+--($TS15)</f>
      </c>
      <c r="TU15" t="str">
        <f>IF(ROW()-3&gt;MAX($TT$4:$TT$40),"",INDEX($DK$4:$DK$40,MATCH(ROW()-3,$TT$4:$TT$40,0)))</f>
      </c>
      <c r="TV15" t="str">
        <f>IF(COUNTIF('Final Calculation Sheet'!$AL15:$BF15,0)+COUNTIF('Final Calculation Sheet'!$BH15:$BS15,0)&gt;0,0,1)</f>
      </c>
      <c r="TW15" t="str">
        <f>IF($DP$15="",FALSE,SUMPRODUCT(('Final Calculation Sheet'!$V$4:$V$40=$DP$15)*($TV$4:$TV$40=1))&gt;0)</f>
      </c>
      <c r="TX15" t="str">
        <f>=$TX14+--($TW15)</f>
      </c>
      <c r="TY15" t="str">
        <f>IF(ROW()-3&gt;MAX($TX$4:$TX$40),"",INDEX($DP$4:$DP$40,MATCH(ROW()-3,$TX$4:$TX$40,0)))</f>
      </c>
      <c r="TZ15" t="str">
        <f>IF(COUNTIF('Final Calculation Sheet'!$AL15:$BG15,0)+COUNTIF('Final Calculation Sheet'!$BI15:$BS15,0)&gt;0,0,1)</f>
      </c>
      <c r="UA15" t="str">
        <f>IF($DU$15="",FALSE,SUMPRODUCT(('Final Calculation Sheet'!$W$4:$W$40=$DU$15)*($TZ$4:$TZ$40=1))&gt;0)</f>
      </c>
      <c r="UB15" t="str">
        <f>=$UB14+--($UA15)</f>
      </c>
      <c r="UC15" t="str">
        <f>IF(ROW()-3&gt;MAX($UB$4:$UB$40),"",INDEX($DU$4:$DU$40,MATCH(ROW()-3,$UB$4:$UB$40,0)))</f>
      </c>
      <c r="UD15" t="str">
        <f>IF(COUNTIF('Final Calculation Sheet'!$AL15:$BH15,0)+COUNTIF('Final Calculation Sheet'!$BJ15:$BS15,0)&gt;0,0,1)</f>
      </c>
      <c r="UE15" t="str">
        <f>IF($DZ$15="",FALSE,SUMPRODUCT(('Final Calculation Sheet'!$X$4:$X$40=$DZ$15)*($UD$4:$UD$40=1))&gt;0)</f>
      </c>
      <c r="UF15" t="str">
        <f>=$UF14+--($UE15)</f>
      </c>
      <c r="UG15" t="str">
        <f>IF(ROW()-3&gt;MAX($UF$4:$UF$40),"",INDEX($DZ$4:$DZ$40,MATCH(ROW()-3,$UF$4:$UF$40,0)))</f>
      </c>
      <c r="UH15" t="str">
        <f>IF(COUNTIF('Final Calculation Sheet'!$AL15:$BI15,0)+COUNTIF('Final Calculation Sheet'!$BK15:$BS15,0)&gt;0,0,1)</f>
      </c>
      <c r="UI15" t="str">
        <f>IF($EE$15="",FALSE,SUMPRODUCT(('Final Calculation Sheet'!$Y$4:$Y$40=$EE$15)*($UH$4:$UH$40=1))&gt;0)</f>
      </c>
      <c r="UJ15" t="str">
        <f>=$UJ14+--($UI15)</f>
      </c>
      <c r="UK15" t="str">
        <f>IF(ROW()-3&gt;MAX($UJ$4:$UJ$40),"",INDEX($EE$4:$EE$40,MATCH(ROW()-3,$UJ$4:$UJ$40,0)))</f>
      </c>
      <c r="UL15" t="str">
        <f>IF(COUNTIF('Final Calculation Sheet'!$AL15:$BJ15,0)+COUNTIF('Final Calculation Sheet'!$BL15:$BS15,0)&gt;0,0,1)</f>
      </c>
      <c r="UM15" t="str">
        <f>IF($EJ$15="",FALSE,SUMPRODUCT(('Final Calculation Sheet'!$Z$4:$Z$40=$EJ$15)*($UL$4:$UL$40=1))&gt;0)</f>
      </c>
      <c r="UN15" t="str">
        <f>=$UN14+--($UM15)</f>
      </c>
      <c r="UO15" t="str">
        <f>IF(ROW()-3&gt;MAX($UN$4:$UN$40),"",INDEX($EJ$4:$EJ$40,MATCH(ROW()-3,$UN$4:$UN$40,0)))</f>
      </c>
      <c r="UP15" t="str">
        <f>IF(COUNTIF('Final Calculation Sheet'!$AL15:$BK15,0)+COUNTIF('Final Calculation Sheet'!$BM15:$BS15,0)&gt;0,0,1)</f>
      </c>
      <c r="UQ15" t="str">
        <f>IF($EO$15="",FALSE,SUMPRODUCT(('Final Calculation Sheet'!$AA$4:$AA$40=$EO$15)*($UP$4:$UP$40=1))&gt;0)</f>
      </c>
      <c r="UR15" t="str">
        <f>=$UR14+--($UQ15)</f>
      </c>
      <c r="US15" t="str">
        <f>IF(ROW()-3&gt;MAX($UR$4:$UR$40),"",INDEX($EO$4:$EO$40,MATCH(ROW()-3,$UR$4:$UR$40,0)))</f>
      </c>
      <c r="UT15" t="str">
        <f>IF(COUNTIF('Final Calculation Sheet'!$AL15:$BL15,0)+COUNTIF('Final Calculation Sheet'!$BN15:$BS15,0)&gt;0,0,1)</f>
      </c>
      <c r="UU15" t="str">
        <f>IF($ET$15="",FALSE,SUMPRODUCT(('Final Calculation Sheet'!$AB$4:$AB$40=$ET$15)*($UT$4:$UT$40=1))&gt;0)</f>
      </c>
      <c r="UV15" t="str">
        <f>=$UV14+--($UU15)</f>
      </c>
      <c r="UW15" t="str">
        <f>IF(ROW()-3&gt;MAX($UV$4:$UV$40),"",INDEX($ET$4:$ET$40,MATCH(ROW()-3,$UV$4:$UV$40,0)))</f>
      </c>
      <c r="UX15" t="str">
        <f>IF(COUNTIF('Final Calculation Sheet'!$AL15:$BM15,0)+COUNTIF('Final Calculation Sheet'!$BO15:$BS15,0)&gt;0,0,1)</f>
      </c>
      <c r="UY15" t="str">
        <f>IF($EY$15="",FALSE,SUMPRODUCT(('Final Calculation Sheet'!$AC$4:$AC$40=$EY$15)*($UX$4:$UX$40=1))&gt;0)</f>
      </c>
      <c r="UZ15" t="str">
        <f>=$UZ14+--($UY15)</f>
      </c>
      <c r="VA15" t="str">
        <f>IF(ROW()-3&gt;MAX($UZ$4:$UZ$40),"",INDEX($EY$4:$EY$40,MATCH(ROW()-3,$UZ$4:$UZ$40,0)))</f>
      </c>
      <c r="VB15" t="str">
        <f>IF(COUNTIF('Final Calculation Sheet'!$AL15:$BN15,0)+COUNTIF('Final Calculation Sheet'!$BP15:$BS15,0)&gt;0,0,1)</f>
      </c>
      <c r="VC15" t="str">
        <f>IF($FD$15="",FALSE,SUMPRODUCT(('Final Calculation Sheet'!$AD$4:$AD$40=$FD$15)*($VB$4:$VB$40=1))&gt;0)</f>
      </c>
      <c r="VD15" t="str">
        <f>=$VD14+--($VC15)</f>
      </c>
      <c r="VE15" t="str">
        <f>IF(ROW()-3&gt;MAX($VD$4:$VD$40),"",INDEX($FD$4:$FD$40,MATCH(ROW()-3,$VD$4:$VD$40,0)))</f>
      </c>
      <c r="VF15" t="str">
        <f>IF(COUNTIF('Final Calculation Sheet'!$AL15:$BO15,0)+COUNTIF('Final Calculation Sheet'!$BQ15:$BS15,0)&gt;0,0,1)</f>
      </c>
      <c r="VG15" t="str">
        <f>IF($FI$15="",FALSE,SUMPRODUCT(('Final Calculation Sheet'!$AE$4:$AE$40=$FI$15)*($VF$4:$VF$40=1))&gt;0)</f>
      </c>
      <c r="VH15" t="str">
        <f>=$VH14+--($VG15)</f>
      </c>
      <c r="VI15" t="str">
        <f>IF(ROW()-3&gt;MAX($VH$4:$VH$40),"",INDEX($FI$4:$FI$40,MATCH(ROW()-3,$VH$4:$VH$40,0)))</f>
      </c>
      <c r="VJ15" t="str">
        <f>IF(COUNTIF('Final Calculation Sheet'!$AL15:$BP15,0)+COUNTIF('Final Calculation Sheet'!$BR15:$BS15,0)&gt;0,0,1)</f>
      </c>
      <c r="VK15" t="str">
        <f>IF($FN$15="",FALSE,SUMPRODUCT(('Final Calculation Sheet'!$AF$4:$AF$40=$FN$15)*($VJ$4:$VJ$40=1))&gt;0)</f>
      </c>
      <c r="VL15" t="str">
        <f>=$VL14+--($VK15)</f>
      </c>
      <c r="VM15" t="str">
        <f>IF(ROW()-3&gt;MAX($VL$4:$VL$40),"",INDEX($FN$4:$FN$40,MATCH(ROW()-3,$VL$4:$VL$40,0)))</f>
      </c>
      <c r="VN15" t="str">
        <f>IF(COUNTIF('Final Calculation Sheet'!$AL15:$BQ15,0)+COUNTIF('Final Calculation Sheet'!$BS15:$BS15,0)&gt;0,0,1)</f>
      </c>
      <c r="VO15" t="str">
        <f>IF($FS$15="",FALSE,SUMPRODUCT(('Final Calculation Sheet'!$AG$4:$AG$40=$FS$15)*($VN$4:$VN$40=1))&gt;0)</f>
      </c>
      <c r="VP15" t="str">
        <f>=$VP14+--($VO15)</f>
      </c>
      <c r="VQ15" t="str">
        <f>IF(ROW()-3&gt;MAX($VP$4:$VP$40),"",INDEX($FS$4:$FS$40,MATCH(ROW()-3,$VP$4:$VP$40,0)))</f>
      </c>
      <c r="VR15" t="str">
        <f>IF(COUNTIF('Final Calculation Sheet'!$AL15:$BR15,0)&gt;0,0,1)</f>
      </c>
      <c r="VS15" t="str">
        <f>IF($QO$15="",FALSE,SUMPRODUCT(('Final Calculation Sheet'!$AH$4:$AH$40=$QO$15)*($VR$4:$VR$40=1))&gt;0)</f>
      </c>
      <c r="VT15" t="str">
        <f>=$VT14+--($VS15)</f>
      </c>
      <c r="VU15" t="str">
        <f>IF(ROW()-3&gt;MAX($VT$4:$VT$40),"",INDEX($QO$4:$QO$40,MATCH(ROW()-3,$VT$4:$VT$40,0)))</f>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IF(COUNTIF('Live Search'!BM$15:BM$15,0)+COUNTIF('Live Search'!B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D16">
        <f>IF($O$16="",FALSE,SUMPRODUCT(('Final Calculation Sheet'!$F$4:$F$40=$O$16)*($GC$6:$GC$42=1))&gt;0)</f>
        <v/>
      </c>
      <c r="GE16">
        <f>$GE$15+--($GD16)</f>
        <v/>
      </c>
      <c r="GF16">
        <f>IF(ROW()-3&gt;MAX($GE$4:$GE$40),"",INDEX($O$4:$O$40,MATCH(ROW()-3,$GE$4:$GE$40,0)))</f>
        <v/>
      </c>
      <c r="GG16">
        <f>IF(COUNTIF('Live Search'!BM$15:BN$15,0)+COUNTIF('Live Search'!B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H16">
        <f>IF($T$16="",FALSE,SUMPRODUCT(('Final Calculation Sheet'!$G$4:$G$40=$T$16)*($GG$6:$GG$42=1))&gt;0)</f>
        <v/>
      </c>
      <c r="GI16">
        <f>$GI$15+--($GH16)</f>
        <v/>
      </c>
      <c r="GJ16">
        <f>IF(ROW()-3&gt;MAX($GI$4:$GI$40),"",INDEX($T$4:$T$40,MATCH(ROW()-3,$GI$4:$GI$40,0)))</f>
        <v/>
      </c>
      <c r="GK16">
        <f>IF(COUNTIF('Live Search'!BM$15:BP$15,0)+COUNTIF('Live Search'!B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L16">
        <f>IF($AD$16="",FALSE,SUMPRODUCT(('Final Calculation Sheet'!$D$4:$D$40=$AD$16)*($GK$6:$GK$42=1))&gt;0)</f>
        <v/>
      </c>
      <c r="GM16">
        <f>$GM$15+--($GL16)</f>
        <v/>
      </c>
      <c r="GN16">
        <f>IF(ROW()-3&gt;MAX($GM$4:$GM$40),"",INDEX($AD$4:$AD$40,MATCH(ROW()-3,$GM$4:$GM$40,0)))</f>
        <v/>
      </c>
      <c r="GO16">
        <f>IF(COUNTIF('Live Search'!BM$15:BQ$15,0)+COUNTIF('Live Search'!B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P16">
        <f>IF($AI$16="",FALSE,SUMPRODUCT(('Final Calculation Sheet'!$A$4:$A$40=$AI$16)*($GO$6:$GO$42=1))&gt;0)</f>
        <v/>
      </c>
      <c r="GQ16">
        <f>$GQ$15+--($GP16)</f>
        <v/>
      </c>
      <c r="GR16">
        <f>IF(ROW()-3&gt;MAX($GQ$4:$GQ$40),"",INDEX($AI$4:$AI$40,MATCH(ROW()-3,$GQ$4:$GQ$40,0)))</f>
        <v/>
      </c>
      <c r="GS16">
        <f>IF(COUNTIF('Live Search'!BM$15:BR$15,0)+COUNTIF('Live Search'!B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T16">
        <f>IF($AN$16="",FALSE,SUMPRODUCT(('Final Calculation Sheet'!$E$4:$E$40=$AN$16)*($GS$6:$GS$42=1))&gt;0)</f>
        <v/>
      </c>
      <c r="GU16">
        <f>$GU$15+--($GT16)</f>
        <v/>
      </c>
      <c r="GV16">
        <f>IF(ROW()-3&gt;MAX($GU$4:$GU$40),"",INDEX($AN$4:$AN$40,MATCH(ROW()-3,$GU$4:$GU$40,0)))</f>
        <v/>
      </c>
      <c r="GW16">
        <f>IF(COUNTIF('Live Search'!BM$15:BS$15,0)+COUNTIF('Live Search'!B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GX16">
        <f>IF($AS$16="",FALSE,SUMPRODUCT(('Final Calculation Sheet'!$C$4:$C$40=$AS$16)*($GW$6:$GW$42=1))&gt;0)</f>
        <v/>
      </c>
      <c r="GY16">
        <f>$GY$15+--($GX16)</f>
        <v/>
      </c>
      <c r="GZ16">
        <f>IF(ROW()-3&gt;MAX($GY$4:$GY$40),"",INDEX($AS$4:$AS$40,MATCH(ROW()-3,$GY$4:$GY$40,0)))</f>
        <v/>
      </c>
      <c r="HA16">
        <f>IF(COUNTIF('Live Search'!BM$15:BT$15,0)+COUNTIF('Live Search'!BV$15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B16">
        <f>IF($AX$16="",FALSE,SUMPRODUCT(('Final Calculation Sheet'!$H$4:$H$40=$AX$16)*($HA$6:$HA$42=1))&gt;0)</f>
        <v/>
      </c>
      <c r="HC16">
        <f>$HC$15+--($HB16)</f>
        <v/>
      </c>
      <c r="HD16">
        <f>IF(ROW()-3&gt;MAX($HC$4:$HC$40),"",INDEX($AX$4:$AX$40,MATCH(ROW()-3,$HC$4:$HC$40,0)))</f>
        <v/>
      </c>
      <c r="HE16">
        <f>IF(COUNTIF('Live Search'!BM$15:BU$15,0)+COUNTIF('Live Search'!BW$15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F16">
        <f>IF($BC$16="",FALSE,SUMPRODUCT(('Final Calculation Sheet'!$I$4:$I$40=$BC$16)*($HE$6:$HE$42=1))&gt;0)</f>
        <v/>
      </c>
      <c r="HG16">
        <f>$HG$15+--($HF16)</f>
        <v/>
      </c>
      <c r="HH16">
        <f>IF(ROW()-3&gt;MAX($HG$4:$HG$40),"",INDEX($BC$4:$BC$40,MATCH(ROW()-3,$HG$4:$HG$40,0)))</f>
        <v/>
      </c>
      <c r="HI16">
        <f>IF(COUNTIF('Live Search'!BM$15:BV$15,0)+COUNTIF('Live Search'!BX$15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J16">
        <f>IF($BH$16="",FALSE,SUMPRODUCT(('Final Calculation Sheet'!$J$4:$J$40=$BH$16)*($HI$6:$HI$42=1))&gt;0)</f>
        <v/>
      </c>
      <c r="HK16">
        <f>$HK$15+--($HJ16)</f>
        <v/>
      </c>
      <c r="HL16">
        <f>IF(ROW()-3&gt;MAX($HK$4:$HK$40),"",INDEX($BH$4:$BH$40,MATCH(ROW()-3,$HK$4:$HK$40,0)))</f>
        <v/>
      </c>
      <c r="HM16">
        <f>IF(COUNTIF('Live Search'!BM$15:BW$15,0)+COUNTIF('Live Search'!BY$15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N16">
        <f>IF($BM$16="",FALSE,SUMPRODUCT(('Final Calculation Sheet'!$K$4:$K$40=$BM$16)*($HM$6:$HM$42=1))&gt;0)</f>
        <v/>
      </c>
      <c r="HO16">
        <f>$HO$15+--($HN16)</f>
        <v/>
      </c>
      <c r="HP16">
        <f>IF(ROW()-3&gt;MAX($HO$4:$HO$40),"",INDEX($BM$4:$BM$40,MATCH(ROW()-3,$HO$4:$HO$40,0)))</f>
        <v/>
      </c>
      <c r="HQ16">
        <f>IF(COUNTIF('Live Search'!BM$15:BX$15,0)+COUNTIF('Live Search'!BZ$15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R16">
        <f>IF($BR$16="",FALSE,SUMPRODUCT(('Final Calculation Sheet'!$L$4:$L$40=$BR$16)*($HQ$6:$HQ$42=1))&gt;0)</f>
        <v/>
      </c>
      <c r="HS16">
        <f>$HS$15+--($HR16)</f>
        <v/>
      </c>
      <c r="HT16">
        <f>IF(ROW()-3&gt;MAX($HS$4:$HS$40),"",INDEX($BR$4:$BR$40,MATCH(ROW()-3,$HS$4:$HS$40,0)))</f>
        <v/>
      </c>
      <c r="HU16">
        <f>IF(COUNTIF('Live Search'!BM$15:BY$15,0)+COUNTIF('Live Search'!CA$15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V16">
        <f>IF($BW$16="",FALSE,SUMPRODUCT(('Final Calculation Sheet'!$M$4:$M$40=$BW$16)*($HU$6:$HU$42=1))&gt;0)</f>
        <v/>
      </c>
      <c r="HW16">
        <f>$HW$15+--($HV16)</f>
        <v/>
      </c>
      <c r="HX16">
        <f>IF(ROW()-3&gt;MAX($HW$4:$HW$40),"",INDEX($BW$4:$BW$40,MATCH(ROW()-3,$HW$4:$HW$40,0)))</f>
        <v/>
      </c>
      <c r="HY16">
        <f>IF(COUNTIF('Live Search'!BM$15:BZ$15,0)+COUNTIF('Live Search'!CB$15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HZ16">
        <f>IF($CB$16="",FALSE,SUMPRODUCT(('Final Calculation Sheet'!$N$4:$N$40=$CB$16)*($HY$6:$HY$42=1))&gt;0)</f>
        <v/>
      </c>
      <c r="IA16">
        <f>$IA$15+--($HZ16)</f>
        <v/>
      </c>
      <c r="IB16">
        <f>IF(ROW()-3&gt;MAX($IA$4:$IA$40),"",INDEX($CB$4:$CB$40,MATCH(ROW()-3,$IA$4:$IA$40,0)))</f>
        <v/>
      </c>
      <c r="IC16">
        <f>IF(COUNTIF('Live Search'!BM$15:CA$15,0)+COUNTIF('Live Search'!CC$15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D16">
        <f>IF($CG$16="",FALSE,SUMPRODUCT(('Final Calculation Sheet'!$O$4:$O$40=$CG$16)*($IC$6:$IC$42=1))&gt;0)</f>
        <v/>
      </c>
      <c r="IE16">
        <f>$IE$15+--($ID16)</f>
        <v/>
      </c>
      <c r="IF16">
        <f>IF(ROW()-3&gt;MAX($IE$4:$IE$40),"",INDEX($CG$4:$CG$40,MATCH(ROW()-3,$IE$4:$IE$40,0)))</f>
        <v/>
      </c>
      <c r="IG16">
        <f>IF(COUNTIF('Live Search'!BM$15:CB$15,0)+COUNTIF('Live Search'!CD$15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H16">
        <f>IF($CL$16="",FALSE,SUMPRODUCT(('Final Calculation Sheet'!$P$4:$P$40=$CL$16)*($IG$6:$IG$42=1))&gt;0)</f>
        <v/>
      </c>
      <c r="II16">
        <f>$II$15+--($IH16)</f>
        <v/>
      </c>
      <c r="IJ16">
        <f>IF(ROW()-3&gt;MAX($II$4:$II$40),"",INDEX($CL$4:$CL$40,MATCH(ROW()-3,$II$4:$II$40,0)))</f>
        <v/>
      </c>
      <c r="IK16">
        <f>IF(COUNTIF('Live Search'!BM$15:CC$15,0)+COUNTIF('Live Search'!CE$15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L16">
        <f>IF($CQ$16="",FALSE,SUMPRODUCT(('Final Calculation Sheet'!$Q$4:$Q$40=$CQ$16)*($IK$6:$IK$42=1))&gt;0)</f>
        <v/>
      </c>
      <c r="IM16">
        <f>$IM$15+--($IL16)</f>
        <v/>
      </c>
      <c r="IN16">
        <f>IF(ROW()-3&gt;MAX($IM$4:$IM$40),"",INDEX($CQ$4:$CQ$40,MATCH(ROW()-3,$IM$4:$IM$40,0)))</f>
        <v/>
      </c>
      <c r="IO16">
        <f>IF(COUNTIF('Live Search'!BM$15:CD$15,0)+COUNTIF('Live Search'!CF$15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P16">
        <f>IF($CV$16="",FALSE,SUMPRODUCT(('Final Calculation Sheet'!$R$4:$R$40=$CV$16)*($IO$6:$IO$42=1))&gt;0)</f>
        <v/>
      </c>
      <c r="IQ16">
        <f>$IQ$15+--($IP16)</f>
        <v/>
      </c>
      <c r="IR16">
        <f>IF(ROW()-3&gt;MAX($IQ$4:$IQ$40),"",INDEX($CV$4:$CV$40,MATCH(ROW()-3,$IQ$4:$IQ$40,0)))</f>
        <v/>
      </c>
      <c r="IS16">
        <f>IF(COUNTIF('Live Search'!BM$15:CE$15,0)+COUNTIF('Live Search'!CG$15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T16">
        <f>IF($DA$16="",FALSE,SUMPRODUCT(('Final Calculation Sheet'!$S$4:$S$40=$DA$16)*($IS$6:$IS$42=1))&gt;0)</f>
        <v/>
      </c>
      <c r="IU16">
        <f>$IU$15+--($IT16)</f>
        <v/>
      </c>
      <c r="IV16">
        <f>IF(ROW()-3&gt;MAX($IU$4:$IU$40),"",INDEX($DA$4:$DA$40,MATCH(ROW()-3,$IU$4:$IU$40,0)))</f>
        <v/>
      </c>
      <c r="IW16">
        <f>IF(COUNTIF('Live Search'!BM$15:CF$15,0)+COUNTIF('Live Search'!CH$15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IX16">
        <f>IF($DF$16="",FALSE,SUMPRODUCT(('Final Calculation Sheet'!$T$4:$T$40=$DF$16)*($IW$6:$IW$42=1))&gt;0)</f>
        <v/>
      </c>
      <c r="IY16">
        <f>$IY$15+--($IX16)</f>
        <v/>
      </c>
      <c r="IZ16">
        <f>IF(ROW()-3&gt;MAX($IY$4:$IY$40),"",INDEX($DF$4:$DF$40,MATCH(ROW()-3,$IY$4:$IY$40,0)))</f>
        <v/>
      </c>
      <c r="JA16">
        <f>IF(COUNTIF('Live Search'!BM$15:CG$15,0)+COUNTIF('Live Search'!CI$15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B16">
        <f>IF($DK$16="",FALSE,SUMPRODUCT(('Final Calculation Sheet'!$U$4:$U$40=$DK$16)*($JA$6:$JA$42=1))&gt;0)</f>
        <v/>
      </c>
      <c r="JC16">
        <f>$JC$15+--($JB16)</f>
        <v/>
      </c>
      <c r="JD16">
        <f>IF(ROW()-3&gt;MAX($JC$4:$JC$40),"",INDEX($DK$4:$DK$40,MATCH(ROW()-3,$JC$4:$JC$40,0)))</f>
        <v/>
      </c>
      <c r="JE16">
        <f>IF(COUNTIF('Live Search'!BM$15:CH$15,0)+COUNTIF('Live Search'!CJ$15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F16">
        <f>IF($DP$16="",FALSE,SUMPRODUCT(('Final Calculation Sheet'!$V$4:$V$40=$DP$16)*($JE$6:$JE$42=1))&gt;0)</f>
        <v/>
      </c>
      <c r="JG16">
        <f>$JG$15+--($JF16)</f>
        <v/>
      </c>
      <c r="JH16">
        <f>IF(ROW()-3&gt;MAX($JG$4:$JG$40),"",INDEX($DP$4:$DP$40,MATCH(ROW()-3,$JG$4:$JG$40,0)))</f>
        <v/>
      </c>
      <c r="JI16">
        <f>IF(COUNTIF('Live Search'!BM$15:CI$15,0)+COUNTIF('Live Search'!CK$15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J16">
        <f>IF($DU$16="",FALSE,SUMPRODUCT(('Final Calculation Sheet'!$W$4:$W$40=$DU$16)*($JI$6:$JI$42=1))&gt;0)</f>
        <v/>
      </c>
      <c r="JK16">
        <f>$JK$15+--($JJ16)</f>
        <v/>
      </c>
      <c r="JL16">
        <f>IF(ROW()-3&gt;MAX($JK$4:$JK$40),"",INDEX($DU$4:$DU$40,MATCH(ROW()-3,$JK$4:$JK$40,0)))</f>
        <v/>
      </c>
      <c r="JM16">
        <f>IF(COUNTIF('Live Search'!BM$15:CJ$15,0)+COUNTIF('Live Search'!CL$15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N16">
        <f>IF($DZ$16="",FALSE,SUMPRODUCT(('Final Calculation Sheet'!$X$4:$X$40=$DZ$16)*($JM$6:$JM$42=1))&gt;0)</f>
        <v/>
      </c>
      <c r="JO16">
        <f>$JO$15+--($JN16)</f>
        <v/>
      </c>
      <c r="JP16">
        <f>IF(ROW()-3&gt;MAX($JO$4:$JO$40),"",INDEX($DZ$4:$DZ$40,MATCH(ROW()-3,$JO$4:$JO$40,0)))</f>
        <v/>
      </c>
      <c r="JQ16">
        <f>IF(COUNTIF('Live Search'!BM$15:CK$15,0)+COUNTIF('Live Search'!C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R16">
        <f>IF($EE$16="",FALSE,SUMPRODUCT(('Final Calculation Sheet'!$Y$4:$Y$40=$EE$16)*($JQ$6:$JQ$42=1))&gt;0)</f>
        <v/>
      </c>
      <c r="JS16">
        <f>$JS$15+--($JR16)</f>
        <v/>
      </c>
      <c r="JT16">
        <f>IF(ROW()-3&gt;MAX($JS$4:$JS$40),"",INDEX($EE$4:$EE$40,MATCH(ROW()-3,$JS$4:$JS$40,0)))</f>
        <v/>
      </c>
      <c r="JU16">
        <f>IF(COUNTIF('Live Search'!BM$15:CL$15,0)+COUNTIF('Live Search'!CN$15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V16">
        <f>IF($EJ$16="",FALSE,SUMPRODUCT(('Final Calculation Sheet'!$Z$4:$Z$40=$EJ$16)*($JU$6:$JU$42=1))&gt;0)</f>
        <v/>
      </c>
      <c r="JW16">
        <f>$JW$15+--($JV16)</f>
        <v/>
      </c>
      <c r="JX16">
        <f>IF(ROW()-3&gt;MAX($JW$4:$JW$40),"",INDEX($EJ$4:$EJ$40,MATCH(ROW()-3,$JW$4:$JW$40,0)))</f>
        <v/>
      </c>
      <c r="JY16">
        <f>IF(COUNTIF('Live Search'!BM$15:CM$15,0)+COUNTIF('Live Search'!CO$15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JZ16">
        <f>IF($EO$16="",FALSE,SUMPRODUCT(('Final Calculation Sheet'!$AA$4:$AA$40=$EO$16)*($JY$6:$JY$42=1))&gt;0)</f>
        <v/>
      </c>
      <c r="KA16">
        <f>$KA$15+--($JZ16)</f>
        <v/>
      </c>
      <c r="KB16">
        <f>IF(ROW()-3&gt;MAX($KA$4:$KA$40),"",INDEX($EO$4:$EO$40,MATCH(ROW()-3,$KA$4:$KA$40,0)))</f>
        <v/>
      </c>
      <c r="KC16">
        <f>IF(COUNTIF('Live Search'!BM$15:CN$15,0)+COUNTIF('Live Search'!CP$15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D16">
        <f>IF($ET$16="",FALSE,SUMPRODUCT(('Final Calculation Sheet'!$AB$4:$AB$40=$ET$16)*($KC$6:$KC$42=1))&gt;0)</f>
        <v/>
      </c>
      <c r="KE16">
        <f>$KE$15+--($KD16)</f>
        <v/>
      </c>
      <c r="KF16">
        <f>IF(ROW()-3&gt;MAX($KE$4:$KE$40),"",INDEX($ET$4:$ET$40,MATCH(ROW()-3,$KE$4:$KE$40,0)))</f>
        <v/>
      </c>
      <c r="KG16">
        <f>IF(COUNTIF('Live Search'!BM$15:CO$15,0)+COUNTIF('Live Search'!CQ$15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H16">
        <f>IF($EY$16="",FALSE,SUMPRODUCT(('Final Calculation Sheet'!$AC$4:$AC$40=$EY$16)*($KG$6:$KG$42=1))&gt;0)</f>
        <v/>
      </c>
      <c r="KI16">
        <f>$KI$15+--($KH16)</f>
        <v/>
      </c>
      <c r="KJ16">
        <f>IF(ROW()-3&gt;MAX($KI$4:$KI$40),"",INDEX($EY$4:$EY$40,MATCH(ROW()-3,$KI$4:$KI$40,0)))</f>
        <v/>
      </c>
      <c r="KK16">
        <f>IF(COUNTIF('Live Search'!BM$15:CP$15,0)+COUNTIF('Live Search'!CR$15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L16">
        <f>IF($FD$16="",FALSE,SUMPRODUCT(('Final Calculation Sheet'!$AD$4:$AD$40=$FD$16)*($KK$6:$KK$42=1))&gt;0)</f>
        <v/>
      </c>
      <c r="KM16">
        <f>$KM$15+--($KL16)</f>
        <v/>
      </c>
      <c r="KN16">
        <f>IF(ROW()-3&gt;MAX($KM$4:$KM$40),"",INDEX($FD$4:$FD$40,MATCH(ROW()-3,$KM$4:$KM$40,0)))</f>
        <v/>
      </c>
      <c r="KO16">
        <f>IF(COUNTIF('Live Search'!BM$15:CT$15,0)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P16">
        <f>IF($FX$16="",FALSE,SUMPRODUCT((IF('Final Calculation Sheet'!$AD$4:$AD$40&lt;=5,"SETTLED","OUTSTANDING")=$FX$16)*($KO$6:$KO$42=1))&gt;0)</f>
        <v/>
      </c>
      <c r="KQ16">
        <f>$KQ$15+--($KP16)</f>
        <v/>
      </c>
      <c r="KR16">
        <f>IF(ROW()-3&gt;MAX($KQ$4:$KQ$40),"",INDEX($FX$4:$FX$40,MATCH(ROW()-3,$KQ$4:$KQ$40,0)))</f>
        <v/>
      </c>
      <c r="KS16">
        <f>IF(COUNTIF('Live Search'!BM$15:CQ$15,0)+COUNTIF('Live Search'!CS$15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T16">
        <f>IF($FI$16="",FALSE,SUMPRODUCT(('Final Calculation Sheet'!$AF$4:$AF$40=$FI$16)*($KS$6:$KS$42=1))&gt;0)</f>
        <v/>
      </c>
      <c r="KU16">
        <f>$KU$15+--($KT16)</f>
        <v/>
      </c>
      <c r="KV16">
        <f>IF(ROW()-3&gt;MAX($KU$4:$KU$40),"",INDEX($FI$4:$FI$40,MATCH(ROW()-3,$KU$4:$KU$40,0)))</f>
        <v/>
      </c>
      <c r="KW16">
        <f>IF(COUNTIF('Live Search'!BM$15:CR$15,0)+COUNTIF('Live Search'!CT$15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KX16">
        <f>IF($FN$16="",FALSE,SUMPRODUCT(('Final Calculation Sheet'!$AG$4:$AG$40=$FN$16)*($KW$6:$KW$42=1))&gt;0)</f>
        <v/>
      </c>
      <c r="KY16">
        <f>$KY$15+--($KX16)</f>
        <v/>
      </c>
      <c r="KZ16">
        <f>IF(ROW()-3&gt;MAX($KY$4:$KY$40),"",INDEX($FN$4:$FN$40,MATCH(ROW()-3,$KY$4:$KY$40,0)))</f>
        <v/>
      </c>
      <c r="LA16">
        <f>IF(COUNTIF('Live Search'!BM$15:CS$15,0)+COUNTIF('Live Search'!CU$15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LB16">
        <f>IF($FS$16="",FALSE,SUMPRODUCT(('Final Calculation Sheet'!$AH$4:$AH$40=$FS$16)*($LA$6:$LA$42=1))&gt;0)</f>
        <v/>
      </c>
      <c r="LC16">
        <f>$LC$15+--($LB16)</f>
        <v/>
      </c>
      <c r="LD16">
        <f>IF(ROW()-3&gt;MAX($LC$4:$LC$40),"",INDEX($FS$4:$FS$40,MATCH(ROW()-3,$LC$4:$LC$40,0)))</f>
        <v/>
      </c>
      <c r="LE16">
        <f>IF(COUNTIF('Buyer Groups'!DH69:EN69,0)&gt;0,0,1)</f>
        <v/>
      </c>
      <c r="LF16">
        <f>IF($O$16="",FALSE,SUMPRODUCT(('Final Calculation Sheet'!$F$4:$F$40=$O$16)*($LE$6:$LE$42=1))&gt;0)</f>
        <v/>
      </c>
      <c r="LG16">
        <f>$LG$15+--($LF16)</f>
        <v/>
      </c>
      <c r="LH16">
        <f>IF(ROW()-3&gt;MAX($LG$4:$LG$40),"",INDEX($O$4:$O$40,MATCH(ROW()-3,$LG$4:$LG$40,0)))</f>
        <v/>
      </c>
      <c r="LI16">
        <f>IF(COUNTIF('Buyer Groups'!DG69:DG69,0)+COUNTIF('Buyer Groups'!DI69:EN69,0)&gt;0,0,1)</f>
        <v/>
      </c>
      <c r="LJ16">
        <f>IF($T$16="",FALSE,SUMPRODUCT(('Final Calculation Sheet'!$G$4:$G$40=$T$16)*($LI$6:$LI$42=1))&gt;0)</f>
        <v/>
      </c>
      <c r="LK16">
        <f>$LK$15+--($LJ16)</f>
        <v/>
      </c>
      <c r="LL16">
        <f>IF(ROW()-3&gt;MAX($LK$4:$LK$40),"",INDEX($T$4:$T$40,MATCH(ROW()-3,$LK$4:$LK$40,0)))</f>
        <v/>
      </c>
      <c r="LM16">
        <f>IF(COUNTIF('Buyer Groups'!DG69:DH69,0)+COUNTIF('Buyer Groups'!DJ69:EN69,0)&gt;0,0,1)</f>
        <v/>
      </c>
      <c r="LN16">
        <f>IF($Y$16="",FALSE,SUMPRODUCT(('Final Calculation Sheet'!$B$4:$B$40=$Y$16)*($LM$6:$LM$42=1))&gt;0)</f>
        <v/>
      </c>
      <c r="LO16">
        <f>$LO$15+--($LN16)</f>
        <v/>
      </c>
      <c r="LP16">
        <f>IF(ROW()-3&gt;MAX($LO$4:$LO$40),"",INDEX($Y$4:$Y$40,MATCH(ROW()-3,$LO$4:$LO$40,0)))</f>
        <v/>
      </c>
      <c r="LQ16">
        <f>IF(COUNTIF('Buyer Groups'!DG69:DI69,0)+COUNTIF('Buyer Groups'!DK69:EN69,0)&gt;0,0,1)</f>
        <v/>
      </c>
      <c r="LR16">
        <f>IF($AD$16="",FALSE,SUMPRODUCT(('Final Calculation Sheet'!$D$4:$D$40=$AD$16)*($LQ$6:$LQ$42=1))&gt;0)</f>
        <v/>
      </c>
      <c r="LS16">
        <f>$LS$15+--($LR16)</f>
        <v/>
      </c>
      <c r="LT16">
        <f>IF(ROW()-3&gt;MAX($LS$4:$LS$40),"",INDEX($AD$4:$AD$40,MATCH(ROW()-3,$LS$4:$LS$40,0)))</f>
        <v/>
      </c>
      <c r="LU16">
        <f>IF(COUNTIF('Buyer Groups'!DG69:DJ69,0)+COUNTIF('Buyer Groups'!DL69:EN69,0)&gt;0,0,1)</f>
        <v/>
      </c>
      <c r="LV16">
        <f>IF($AI$16="",FALSE,SUMPRODUCT(('Final Calculation Sheet'!$A$4:$A$40=$AI$16)*($LU$6:$LU$42=1))&gt;0)</f>
        <v/>
      </c>
      <c r="LW16">
        <f>$LW$15+--($LV16)</f>
        <v/>
      </c>
      <c r="LX16">
        <f>IF(ROW()-3&gt;MAX($LW$4:$LW$40),"",INDEX($AI$4:$AI$40,MATCH(ROW()-3,$LW$4:$LW$40,0)))</f>
        <v/>
      </c>
      <c r="LY16">
        <f>IF(COUNTIF('Buyer Groups'!DG69:DK69,0)+COUNTIF('Buyer Groups'!DM69:EN69,0)&gt;0,0,1)</f>
        <v/>
      </c>
      <c r="LZ16">
        <f>IF($AN$16="",FALSE,SUMPRODUCT(('Final Calculation Sheet'!$E$4:$E$40=$AN$16)*($LY$6:$LY$42=1))&gt;0)</f>
        <v/>
      </c>
      <c r="MA16">
        <f>$MA$15+--($LZ16)</f>
        <v/>
      </c>
      <c r="MB16">
        <f>IF(ROW()-3&gt;MAX($MA$4:$MA$40),"",INDEX($AN$4:$AN$40,MATCH(ROW()-3,$MA$4:$MA$40,0)))</f>
        <v/>
      </c>
      <c r="MC16">
        <f>IF(COUNTIF('Buyer Groups'!DG69:DL69,0)+COUNTIF('Buyer Groups'!DN69:EN69,0)&gt;0,0,1)</f>
        <v/>
      </c>
      <c r="MD16">
        <f>IF($AS$16="",FALSE,SUMPRODUCT(('Final Calculation Sheet'!$C$4:$C$40=$AS$16)*($MC$6:$MC$42=1))&gt;0)</f>
        <v/>
      </c>
      <c r="ME16">
        <f>$ME$15+--($MD16)</f>
        <v/>
      </c>
      <c r="MF16">
        <f>IF(ROW()-3&gt;MAX($ME$4:$ME$40),"",INDEX($AS$4:$AS$40,MATCH(ROW()-3,$ME$4:$ME$40,0)))</f>
        <v/>
      </c>
      <c r="MG16">
        <f>IF(COUNTIF('Buyer Groups'!DG69:DM69,0)+COUNTIF('Buyer Groups'!DO69:EN69,0)&gt;0,0,1)</f>
        <v/>
      </c>
      <c r="MH16">
        <f>IF($AX$16="",FALSE,SUMPRODUCT(('Final Calculation Sheet'!$H$4:$H$40=$AX$16)*($MG$6:$MG$42=1))&gt;0)</f>
        <v/>
      </c>
      <c r="MI16">
        <f>$MI$15+--($MH16)</f>
        <v/>
      </c>
      <c r="MJ16">
        <f>IF(ROW()-3&gt;MAX($MI$4:$MI$40),"",INDEX($AX$4:$AX$40,MATCH(ROW()-3,$MI$4:$MI$40,0)))</f>
        <v/>
      </c>
      <c r="MK16">
        <f>IF(COUNTIF('Buyer Groups'!DG69:DN69,0)+COUNTIF('Buyer Groups'!DP69:EN69,0)&gt;0,0,1)</f>
        <v/>
      </c>
      <c r="ML16">
        <f>IF($BC$16="",FALSE,SUMPRODUCT(('Final Calculation Sheet'!$I$4:$I$40=$BC$16)*($MK$6:$MK$42=1))&gt;0)</f>
        <v/>
      </c>
      <c r="MM16">
        <f>$MM$15+--($ML16)</f>
        <v/>
      </c>
      <c r="MN16">
        <f>IF(ROW()-3&gt;MAX($MM$4:$MM$40),"",INDEX($BC$4:$BC$40,MATCH(ROW()-3,$MM$4:$MM$40,0)))</f>
        <v/>
      </c>
      <c r="MO16">
        <f>IF(COUNTIF('Buyer Groups'!DG69:DO69,0)+COUNTIF('Buyer Groups'!DQ69:EN69,0)&gt;0,0,1)</f>
        <v/>
      </c>
      <c r="MP16">
        <f>IF($BH$16="",FALSE,SUMPRODUCT(('Final Calculation Sheet'!$J$4:$J$40=$BH$16)*($MO$6:$MO$42=1))&gt;0)</f>
        <v/>
      </c>
      <c r="MQ16">
        <f>$MQ$15+--($MP16)</f>
        <v/>
      </c>
      <c r="MR16">
        <f>IF(ROW()-3&gt;MAX($MQ$4:$MQ$40),"",INDEX($BH$4:$BH$40,MATCH(ROW()-3,$MQ$4:$MQ$40,0)))</f>
        <v/>
      </c>
      <c r="MS16">
        <f>IF(COUNTIF('Buyer Groups'!DG69:DP69,0)+COUNTIF('Buyer Groups'!DR69:EN69,0)&gt;0,0,1)</f>
        <v/>
      </c>
      <c r="MT16">
        <f>IF($BM$16="",FALSE,SUMPRODUCT(('Final Calculation Sheet'!$K$4:$K$40=$BM$16)*($MS$6:$MS$42=1))&gt;0)</f>
        <v/>
      </c>
      <c r="MU16">
        <f>$MU$15+--($MT16)</f>
        <v/>
      </c>
      <c r="MV16">
        <f>IF(ROW()-3&gt;MAX($MU$4:$MU$40),"",INDEX($BM$4:$BM$40,MATCH(ROW()-3,$MU$4:$MU$40,0)))</f>
        <v/>
      </c>
      <c r="MW16">
        <f>IF(COUNTIF('Buyer Groups'!DG69:DQ69,0)+COUNTIF('Buyer Groups'!DS69:EN69,0)&gt;0,0,1)</f>
        <v/>
      </c>
      <c r="MX16">
        <f>IF($BR$16="",FALSE,SUMPRODUCT(('Final Calculation Sheet'!$L$4:$L$40=$BR$16)*($MW$6:$MW$42=1))&gt;0)</f>
        <v/>
      </c>
      <c r="MY16">
        <f>$MY$15+--($MX16)</f>
        <v/>
      </c>
      <c r="MZ16">
        <f>IF(ROW()-3&gt;MAX($MY$4:$MY$40),"",INDEX($BR$4:$BR$40,MATCH(ROW()-3,$MY$4:$MY$40,0)))</f>
        <v/>
      </c>
      <c r="NA16">
        <f>IF(COUNTIF('Buyer Groups'!DG69:DR69,0)+COUNTIF('Buyer Groups'!DT69:EN69,0)&gt;0,0,1)</f>
        <v/>
      </c>
      <c r="NB16">
        <f>IF($BW$16="",FALSE,SUMPRODUCT(('Final Calculation Sheet'!$M$4:$M$40=$BW$16)*($NA$6:$NA$42=1))&gt;0)</f>
        <v/>
      </c>
      <c r="NC16">
        <f>$NC$15+--($NB16)</f>
        <v/>
      </c>
      <c r="ND16">
        <f>IF(ROW()-3&gt;MAX($NC$4:$NC$40),"",INDEX($BW$4:$BW$40,MATCH(ROW()-3,$NC$4:$NC$40,0)))</f>
        <v/>
      </c>
      <c r="NE16">
        <f>IF(COUNTIF('Buyer Groups'!DG69:DS69,0)+COUNTIF('Buyer Groups'!DU69:EN69,0)&gt;0,0,1)</f>
        <v/>
      </c>
      <c r="NF16">
        <f>IF($CB$16="",FALSE,SUMPRODUCT(('Final Calculation Sheet'!$N$4:$N$40=$CB$16)*($NE$6:$NE$42=1))&gt;0)</f>
        <v/>
      </c>
      <c r="NG16">
        <f>$NG$15+--($NF16)</f>
        <v/>
      </c>
      <c r="NH16">
        <f>IF(ROW()-3&gt;MAX($NG$4:$NG$40),"",INDEX($CB$4:$CB$40,MATCH(ROW()-3,$NG$4:$NG$40,0)))</f>
        <v/>
      </c>
      <c r="NI16">
        <f>IF(COUNTIF('Buyer Groups'!DG69:DT69,0)+COUNTIF('Buyer Groups'!DV69:EN69,0)&gt;0,0,1)</f>
        <v/>
      </c>
      <c r="NJ16">
        <f>IF($CG$16="",FALSE,SUMPRODUCT(('Final Calculation Sheet'!$O$4:$O$40=$CG$16)*($NI$6:$NI$42=1))&gt;0)</f>
        <v/>
      </c>
      <c r="NK16">
        <f>$NK$15+--($NJ16)</f>
        <v/>
      </c>
      <c r="NL16">
        <f>IF(ROW()-3&gt;MAX($NK$4:$NK$40),"",INDEX($CG$4:$CG$40,MATCH(ROW()-3,$NK$4:$NK$40,0)))</f>
        <v/>
      </c>
      <c r="NM16">
        <f>IF(COUNTIF('Buyer Groups'!DG69:DU69,0)+COUNTIF('Buyer Groups'!DW69:EN69,0)&gt;0,0,1)</f>
        <v/>
      </c>
      <c r="NN16">
        <f>IF($CL$16="",FALSE,SUMPRODUCT(('Final Calculation Sheet'!$P$4:$P$40=$CL$16)*($NM$6:$NM$42=1))&gt;0)</f>
        <v/>
      </c>
      <c r="NO16">
        <f>$NO$15+--($NN16)</f>
        <v/>
      </c>
      <c r="NP16">
        <f>IF(ROW()-3&gt;MAX($NO$4:$NO$40),"",INDEX($CL$4:$CL$40,MATCH(ROW()-3,$NO$4:$NO$40,0)))</f>
        <v/>
      </c>
      <c r="NQ16">
        <f>IF(COUNTIF('Buyer Groups'!DG69:DV69,0)+COUNTIF('Buyer Groups'!DX69:EN69,0)&gt;0,0,1)</f>
        <v/>
      </c>
      <c r="NR16">
        <f>IF($CQ$16="",FALSE,SUMPRODUCT(('Final Calculation Sheet'!$Q$4:$Q$40=$CQ$16)*($NQ$6:$NQ$42=1))&gt;0)</f>
        <v/>
      </c>
      <c r="NS16">
        <f>$NS$15+--($NR16)</f>
        <v/>
      </c>
      <c r="NT16">
        <f>IF(ROW()-3&gt;MAX($NS$4:$NS$40),"",INDEX($CQ$4:$CQ$40,MATCH(ROW()-3,$NS$4:$NS$40,0)))</f>
        <v/>
      </c>
      <c r="NU16">
        <f>IF(COUNTIF('Buyer Groups'!DG69:DW69,0)+COUNTIF('Buyer Groups'!DY69:EN69,0)&gt;0,0,1)</f>
        <v/>
      </c>
      <c r="NV16">
        <f>IF($CV$16="",FALSE,SUMPRODUCT(('Final Calculation Sheet'!$R$4:$R$40=$CV$16)*($NU$6:$NU$42=1))&gt;0)</f>
        <v/>
      </c>
      <c r="NW16">
        <f>$NW$15+--($NV16)</f>
        <v/>
      </c>
      <c r="NX16">
        <f>IF(ROW()-3&gt;MAX($NW$4:$NW$40),"",INDEX($CV$4:$CV$40,MATCH(ROW()-3,$NW$4:$NW$40,0)))</f>
        <v/>
      </c>
      <c r="NY16">
        <f>IF(COUNTIF('Buyer Groups'!DG69:DX69,0)+COUNTIF('Buyer Groups'!DZ69:EN69,0)&gt;0,0,1)</f>
        <v/>
      </c>
      <c r="NZ16">
        <f>IF($DA$16="",FALSE,SUMPRODUCT(('Final Calculation Sheet'!$S$4:$S$40=$DA$16)*($NY$6:$NY$42=1))&gt;0)</f>
        <v/>
      </c>
      <c r="OA16">
        <f>$OA$15+--($NZ16)</f>
        <v/>
      </c>
      <c r="OB16">
        <f>IF(ROW()-3&gt;MAX($OA$4:$OA$40),"",INDEX($DA$4:$DA$40,MATCH(ROW()-3,$OA$4:$OA$40,0)))</f>
        <v/>
      </c>
      <c r="OC16">
        <f>IF(COUNTIF('Buyer Groups'!DG69:DY69,0)+COUNTIF('Buyer Groups'!EA69:EN69,0)&gt;0,0,1)</f>
        <v/>
      </c>
      <c r="OD16">
        <f>IF($DF$16="",FALSE,SUMPRODUCT(('Final Calculation Sheet'!$T$4:$T$40=$DF$16)*($OC$6:$OC$42=1))&gt;0)</f>
        <v/>
      </c>
      <c r="OE16">
        <f>$OE$15+--($OD16)</f>
        <v/>
      </c>
      <c r="OF16">
        <f>IF(ROW()-3&gt;MAX($OE$4:$OE$40),"",INDEX($DF$4:$DF$40,MATCH(ROW()-3,$OE$4:$OE$40,0)))</f>
        <v/>
      </c>
      <c r="OG16">
        <f>IF(COUNTIF('Buyer Groups'!DG69:DZ69,0)+COUNTIF('Buyer Groups'!EB69:EN69,0)&gt;0,0,1)</f>
        <v/>
      </c>
      <c r="OH16">
        <f>IF($DK$16="",FALSE,SUMPRODUCT(('Final Calculation Sheet'!$U$4:$U$40=$DK$16)*($OG$6:$OG$42=1))&gt;0)</f>
        <v/>
      </c>
      <c r="OI16">
        <f>$OI$15+--($OH16)</f>
        <v/>
      </c>
      <c r="OJ16">
        <f>IF(ROW()-3&gt;MAX($OI$4:$OI$40),"",INDEX($DK$4:$DK$40,MATCH(ROW()-3,$OI$4:$OI$40,0)))</f>
        <v/>
      </c>
      <c r="OK16">
        <f>IF(COUNTIF('Buyer Groups'!DG69:EA69,0)+COUNTIF('Buyer Groups'!EC69:EN69,0)&gt;0,0,1)</f>
        <v/>
      </c>
      <c r="OL16">
        <f>IF($DP$16="",FALSE,SUMPRODUCT(('Final Calculation Sheet'!$V$4:$V$40=$DP$16)*($OK$6:$OK$42=1))&gt;0)</f>
        <v/>
      </c>
      <c r="OM16">
        <f>$OM$15+--($OL16)</f>
        <v/>
      </c>
      <c r="ON16">
        <f>IF(ROW()-3&gt;MAX($OM$4:$OM$40),"",INDEX($DP$4:$DP$40,MATCH(ROW()-3,$OM$4:$OM$40,0)))</f>
        <v/>
      </c>
      <c r="OO16">
        <f>IF(COUNTIF('Buyer Groups'!DG69:EB69,0)+COUNTIF('Buyer Groups'!ED69:EN69,0)&gt;0,0,1)</f>
        <v/>
      </c>
      <c r="OP16">
        <f>IF($DU$16="",FALSE,SUMPRODUCT(('Final Calculation Sheet'!$W$4:$W$40=$DU$16)*($OO$6:$OO$42=1))&gt;0)</f>
        <v/>
      </c>
      <c r="OQ16">
        <f>$OQ$15+--($OP16)</f>
        <v/>
      </c>
      <c r="OR16">
        <f>IF(ROW()-3&gt;MAX($OQ$4:$OQ$40),"",INDEX($DU$4:$DU$40,MATCH(ROW()-3,$OQ$4:$OQ$40,0)))</f>
        <v/>
      </c>
      <c r="OS16">
        <f>IF(COUNTIF('Buyer Groups'!DG69:EC69,0)+COUNTIF('Buyer Groups'!EE69:EN69,0)&gt;0,0,1)</f>
        <v/>
      </c>
      <c r="OT16">
        <f>IF($DZ$16="",FALSE,SUMPRODUCT(('Final Calculation Sheet'!$X$4:$X$40=$DZ$16)*($OS$6:$OS$42=1))&gt;0)</f>
        <v/>
      </c>
      <c r="OU16">
        <f>$OU$15+--($OT16)</f>
        <v/>
      </c>
      <c r="OV16">
        <f>IF(ROW()-3&gt;MAX($OU$4:$OU$40),"",INDEX($DZ$4:$DZ$40,MATCH(ROW()-3,$OU$4:$OU$40,0)))</f>
        <v/>
      </c>
      <c r="OW16">
        <f>IF(COUNTIF('Buyer Groups'!DG69:ED69,0)+COUNTIF('Buyer Groups'!EF69:EN69,0)&gt;0,0,1)</f>
        <v/>
      </c>
      <c r="OX16">
        <f>IF($EE$16="",FALSE,SUMPRODUCT(('Final Calculation Sheet'!$Y$4:$Y$40=$EE$16)*($OW$6:$OW$42=1))&gt;0)</f>
        <v/>
      </c>
      <c r="OY16">
        <f>$OY$15+--($OX16)</f>
        <v/>
      </c>
      <c r="OZ16">
        <f>IF(ROW()-3&gt;MAX($OY$4:$OY$40),"",INDEX($EE$4:$EE$40,MATCH(ROW()-3,$OY$4:$OY$40,0)))</f>
        <v/>
      </c>
      <c r="PA16">
        <f>IF(COUNTIF('Buyer Groups'!DG69:EE69,0)+COUNTIF('Buyer Groups'!EG69:EN69,0)&gt;0,0,1)</f>
        <v/>
      </c>
      <c r="PB16">
        <f>IF($EJ$16="",FALSE,SUMPRODUCT(('Final Calculation Sheet'!$Z$4:$Z$40=$EJ$16)*($PA$6:$PA$42=1))&gt;0)</f>
        <v/>
      </c>
      <c r="PC16">
        <f>$PC$15+--($PB16)</f>
        <v/>
      </c>
      <c r="PD16">
        <f>IF(ROW()-3&gt;MAX($PC$4:$PC$40),"",INDEX($EJ$4:$EJ$40,MATCH(ROW()-3,$PC$4:$PC$40,0)))</f>
        <v/>
      </c>
      <c r="PE16">
        <f>IF(COUNTIF('Buyer Groups'!DG69:EF69,0)+COUNTIF('Buyer Groups'!EH69:EN69,0)&gt;0,0,1)</f>
        <v/>
      </c>
      <c r="PF16">
        <f>IF($EO$16="",FALSE,SUMPRODUCT(('Final Calculation Sheet'!$AA$4:$AA$40=$EO$16)*($PE$6:$PE$42=1))&gt;0)</f>
        <v/>
      </c>
      <c r="PG16">
        <f>$PG$15+--($PF16)</f>
        <v/>
      </c>
      <c r="PH16">
        <f>IF(ROW()-3&gt;MAX($PG$4:$PG$40),"",INDEX($EO$4:$EO$40,MATCH(ROW()-3,$PG$4:$PG$40,0)))</f>
        <v/>
      </c>
      <c r="PI16">
        <f>IF(COUNTIF('Buyer Groups'!DG69:EG69,0)+COUNTIF('Buyer Groups'!EI69:EN69,0)&gt;0,0,1)</f>
        <v/>
      </c>
      <c r="PJ16">
        <f>IF($ET$16="",FALSE,SUMPRODUCT(('Final Calculation Sheet'!$AB$4:$AB$40=$ET$16)*($PI$6:$PI$42=1))&gt;0)</f>
        <v/>
      </c>
      <c r="PK16">
        <f>$PK$15+--($PJ16)</f>
        <v/>
      </c>
      <c r="PL16">
        <f>IF(ROW()-3&gt;MAX($PK$4:$PK$40),"",INDEX($ET$4:$ET$40,MATCH(ROW()-3,$PK$4:$PK$40,0)))</f>
        <v/>
      </c>
      <c r="PM16">
        <f>IF(COUNTIF('Buyer Groups'!DG69:EH69,0)+COUNTIF('Buyer Groups'!EJ69:EN69,0)&gt;0,0,1)</f>
        <v/>
      </c>
      <c r="PN16">
        <f>IF($EY$16="",FALSE,SUMPRODUCT(('Final Calculation Sheet'!$AC$4:$AC$40=$EY$16)*($PM$6:$PM$42=1))&gt;0)</f>
        <v/>
      </c>
      <c r="PO16">
        <f>$PO$15+--($PN16)</f>
        <v/>
      </c>
      <c r="PP16">
        <f>IF(ROW()-3&gt;MAX($PO$4:$PO$40),"",INDEX($EY$4:$EY$40,MATCH(ROW()-3,$PO$4:$PO$40,0)))</f>
        <v/>
      </c>
      <c r="PQ16">
        <f>IF(COUNTIF('Buyer Groups'!DG69:EI69,0)+COUNTIF('Buyer Groups'!EK69:EN69,0)&gt;0,0,1)</f>
        <v/>
      </c>
      <c r="PR16">
        <f>IF($FD$16="",FALSE,SUMPRODUCT(('Final Calculation Sheet'!$AD$4:$AD$40=$FD$16)*($PQ$6:$PQ$42=1))&gt;0)</f>
        <v/>
      </c>
      <c r="PS16">
        <f>$PS$15+--($PR16)</f>
        <v/>
      </c>
      <c r="PT16">
        <f>IF(ROW()-3&gt;MAX($PS$4:$PS$40),"",INDEX($FD$4:$FD$40,MATCH(ROW()-3,$PS$4:$PS$40,0)))</f>
        <v/>
      </c>
      <c r="PU16">
        <f>IF(COUNTIF('Buyer Groups'!DG69:EJ69,0)+COUNTIF('Buyer Groups'!EL69:EN69,0)&gt;0,0,1)</f>
        <v/>
      </c>
      <c r="PV16">
        <f>IF($FX$16="",FALSE,SUMPRODUCT((IF('Final Calculation Sheet'!$AD$4:$AD$40&lt;=5,"SETTLED","OUTSTANDING")=$FX$16)*($PU$6:$PU$42=1))&gt;0)</f>
        <v/>
      </c>
      <c r="PW16">
        <f>$PW$15+--($PV16)</f>
        <v/>
      </c>
      <c r="PX16">
        <f>IF(ROW()-3&gt;MAX($PW$4:$PW$40),"",INDEX($FX$4:$FX$40,MATCH(ROW()-3,$PW$4:$PW$40,0)))</f>
        <v/>
      </c>
      <c r="PY16">
        <f>IF(COUNTIF('Buyer Groups'!DG69:EK69,0)+COUNTIF('Buyer Groups'!EM69:EN69,0)&gt;0,0,1)</f>
        <v/>
      </c>
      <c r="PZ16">
        <f>IF($FI$16="",FALSE,SUMPRODUCT(('Final Calculation Sheet'!$AF$4:$AF$40=$FI$16)*($PY$6:$PY$42=1))&gt;0)</f>
        <v/>
      </c>
      <c r="QA16">
        <f>$QA$15+--($PZ16)</f>
        <v/>
      </c>
      <c r="QB16">
        <f>IF(ROW()-3&gt;MAX($QA$4:$QA$40),"",INDEX($FI$4:$FI$40,MATCH(ROW()-3,$QA$4:$QA$40,0)))</f>
        <v/>
      </c>
      <c r="QC16">
        <f>IF(COUNTIF('Buyer Groups'!DG69:EL69,0)+COUNTIF('Buyer Groups'!EN69:EN69,0)&gt;0,0,1)</f>
        <v/>
      </c>
      <c r="QD16">
        <f>IF($FN$16="",FALSE,SUMPRODUCT(('Final Calculation Sheet'!$AG$4:$AG$40=$FN$16)*($QC$6:$QC$42=1))&gt;0)</f>
        <v/>
      </c>
      <c r="QE16">
        <f>$QE$15+--($QD16)</f>
        <v/>
      </c>
      <c r="QF16">
        <f>IF(ROW()-3&gt;MAX($QE$4:$QE$40),"",INDEX($FN$4:$FN$40,MATCH(ROW()-3,$QE$4:$QE$40,0)))</f>
        <v/>
      </c>
      <c r="QG16">
        <f>IF(COUNTIF('Buyer Groups'!DG69:EM69,0)&gt;0,0,1)</f>
        <v/>
      </c>
      <c r="QH16">
        <f>IF($FS$16="",FALSE,SUMPRODUCT(('Final Calculation Sheet'!$AH$4:$AH$40=$FS$16)*($QG$6:$QG$42=1))&gt;0)</f>
        <v/>
      </c>
      <c r="QI16">
        <f>$QI$15+--($QH16)</f>
        <v/>
      </c>
      <c r="QJ16">
        <f>IF(ROW()-3&gt;MAX($QI$4:$QI$40),"",INDEX($FS$4:$FS$40,MATCH(ROW()-3,$QI$4:$QI$40,0)))</f>
        <v/>
      </c>
      <c r="QK16" t="str">
        <f>IF('Final Calculation Sheet'!$AH$16="","",'Final Calculation Sheet'!$AH$16)</f>
      </c>
      <c r="QL16" t="str">
        <f>IF(QK16="","",COUNTIFS(QK$4:QK$40,"&lt;"&amp;QK16,QK$4:QK$40,"&lt;&gt;"&amp;"")+COUNTIF(QK$4:QK16,QK16))</f>
      </c>
      <c r="QM16" t="str">
        <f>IF(ROW()-3&gt;COUNTIF(QK$4:QK$40,"&lt;&gt;"&amp;""),"",INDEX(QK$4:QK$40,MATCH(ROW()-3,QL$4:QL$40,0)))</f>
      </c>
      <c r="QN16" t="str">
        <f>=QN15+F(AND(QM16&lt;&gt;"",COUNTIF(QM$4:QM16,QM16)=1),1,0)</f>
      </c>
      <c r="QO16" t="str">
        <f>IF(ROW()-3&gt;MAX(QN$4:QN$40),"",INDEX(QM$4:QM$40,MATCH(ROW()-3,QN$4:QN$40,0)))</f>
      </c>
      <c r="QP16" t="str">
        <f>IF(COUNTIF('Final Calculation Sheet'!$AM16:$BS16,0)&gt;0,0,1)</f>
      </c>
      <c r="QQ16" t="str">
        <f>IF($AI$16="",FALSE,SUMPRODUCT(('Final Calculation Sheet'!$A$4:$A$40=$AI$16)*($QP$4:$QP$40=1))&gt;0)</f>
      </c>
      <c r="QR16" t="str">
        <f>=$QR15+--($QQ16)</f>
      </c>
      <c r="QS16" t="str">
        <f>IF(ROW()-3&gt;MAX($QR$4:$QR$40),"",INDEX($AI$4:$AI$40,MATCH(ROW()-3,$QR$4:$QR$40,0)))</f>
      </c>
      <c r="QT16" t="str">
        <f>IF(COUNTIF('Final Calculation Sheet'!$AL16:$AL16,0)+COUNTIF('Final Calculation Sheet'!$AN16:$BS16,0)&gt;0,0,1)</f>
      </c>
      <c r="QU16" t="str">
        <f>IF($Y$16="",FALSE,SUMPRODUCT(('Final Calculation Sheet'!$B$4:$B$40=$Y$16)*($QT$4:$QT$40=1))&gt;0)</f>
      </c>
      <c r="QV16" t="str">
        <f>=$QV15+--($QU16)</f>
      </c>
      <c r="QW16" t="str">
        <f>IF(ROW()-3&gt;MAX($QV$4:$QV$40),"",INDEX($Y$4:$Y$40,MATCH(ROW()-3,$QV$4:$QV$40,0)))</f>
      </c>
      <c r="QX16" t="str">
        <f>IF(COUNTIF('Final Calculation Sheet'!$AL16:$AM16,0)+COUNTIF('Final Calculation Sheet'!$AO16:$BS16,0)&gt;0,0,1)</f>
      </c>
      <c r="QY16" t="str">
        <f>IF($AS$16="",FALSE,SUMPRODUCT(('Final Calculation Sheet'!$C$4:$C$40=$AS$16)*($QX$4:$QX$40=1))&gt;0)</f>
      </c>
      <c r="QZ16" t="str">
        <f>=$QZ15+--($QY16)</f>
      </c>
      <c r="RA16" t="str">
        <f>IF(ROW()-3&gt;MAX($QZ$4:$QZ$40),"",INDEX($AS$4:$AS$40,MATCH(ROW()-3,$QZ$4:$QZ$40,0)))</f>
      </c>
      <c r="RB16" t="str">
        <f>IF(COUNTIF('Final Calculation Sheet'!$AL16:$AN16,0)+COUNTIF('Final Calculation Sheet'!$AP16:$BS16,0)&gt;0,0,1)</f>
      </c>
      <c r="RC16" t="str">
        <f>IF($AD$16="",FALSE,SUMPRODUCT(('Final Calculation Sheet'!$D$4:$D$40=$AD$16)*($RB$4:$RB$40=1))&gt;0)</f>
      </c>
      <c r="RD16" t="str">
        <f>=$RD15+--($RC16)</f>
      </c>
      <c r="RE16" t="str">
        <f>IF(ROW()-3&gt;MAX($RD$4:$RD$40),"",INDEX($AD$4:$AD$40,MATCH(ROW()-3,$RD$4:$RD$40,0)))</f>
      </c>
      <c r="RF16" t="str">
        <f>IF(COUNTIF('Final Calculation Sheet'!$AL16:$AO16,0)+COUNTIF('Final Calculation Sheet'!$AQ16:$BS16,0)&gt;0,0,1)</f>
      </c>
      <c r="RG16" t="str">
        <f>IF($AN$16="",FALSE,SUMPRODUCT(('Final Calculation Sheet'!$E$4:$E$40=$AN$16)*($RF$4:$RF$40=1))&gt;0)</f>
      </c>
      <c r="RH16" t="str">
        <f>=$RH15+--($RG16)</f>
      </c>
      <c r="RI16" t="str">
        <f>IF(ROW()-3&gt;MAX($RH$4:$RH$40),"",INDEX($AN$4:$AN$40,MATCH(ROW()-3,$RH$4:$RH$40,0)))</f>
      </c>
      <c r="RJ16" t="str">
        <f>IF(COUNTIF('Final Calculation Sheet'!$AL16:$AP16,0)+COUNTIF('Final Calculation Sheet'!$AR16:$BS16,0)&gt;0,0,1)</f>
      </c>
      <c r="RK16" t="str">
        <f>IF($O$16="",FALSE,SUMPRODUCT(('Final Calculation Sheet'!$F$4:$F$40=$O$16)*($RJ$4:$RJ$40=1))&gt;0)</f>
      </c>
      <c r="RL16" t="str">
        <f>=$RL15+--($RK16)</f>
      </c>
      <c r="RM16" t="str">
        <f>IF(ROW()-3&gt;MAX($RL$4:$RL$40),"",INDEX($O$4:$O$40,MATCH(ROW()-3,$RL$4:$RL$40,0)))</f>
      </c>
      <c r="RN16" t="str">
        <f>IF(COUNTIF('Final Calculation Sheet'!$AL16:$AQ16,0)+COUNTIF('Final Calculation Sheet'!$AS16:$BS16,0)&gt;0,0,1)</f>
      </c>
      <c r="RO16" t="str">
        <f>IF($T$16="",FALSE,SUMPRODUCT(('Final Calculation Sheet'!$G$4:$G$40=$T$16)*($RN$4:$RN$40=1))&gt;0)</f>
      </c>
      <c r="RP16" t="str">
        <f>=$RP15+--($RO16)</f>
      </c>
      <c r="RQ16" t="str">
        <f>IF(ROW()-3&gt;MAX($RP$4:$RP$40),"",INDEX($T$4:$T$40,MATCH(ROW()-3,$RP$4:$RP$40,0)))</f>
      </c>
      <c r="RR16" t="str">
        <f>IF(COUNTIF('Final Calculation Sheet'!$AL16:$AR16,0)+COUNTIF('Final Calculation Sheet'!$AT16:$BS16,0)&gt;0,0,1)</f>
      </c>
      <c r="RS16" t="str">
        <f>IF($AX$16="",FALSE,SUMPRODUCT(('Final Calculation Sheet'!$H$4:$H$40=$AX$16)*($RR$4:$RR$40=1))&gt;0)</f>
      </c>
      <c r="RT16" t="str">
        <f>=$RT15+--($RS16)</f>
      </c>
      <c r="RU16" t="str">
        <f>IF(ROW()-3&gt;MAX($RT$4:$RT$40),"",INDEX($AX$4:$AX$40,MATCH(ROW()-3,$RT$4:$RT$40,0)))</f>
      </c>
      <c r="RV16" t="str">
        <f>IF(COUNTIF('Final Calculation Sheet'!$AL16:$AS16,0)+COUNTIF('Final Calculation Sheet'!$AU16:$BS16,0)&gt;0,0,1)</f>
      </c>
      <c r="RW16" t="str">
        <f>IF($BC$16="",FALSE,SUMPRODUCT(('Final Calculation Sheet'!$I$4:$I$40=$BC$16)*($RV$4:$RV$40=1))&gt;0)</f>
      </c>
      <c r="RX16" t="str">
        <f>=$RX15+--($RW16)</f>
      </c>
      <c r="RY16" t="str">
        <f>IF(ROW()-3&gt;MAX($RX$4:$RX$40),"",INDEX($BC$4:$BC$40,MATCH(ROW()-3,$RX$4:$RX$40,0)))</f>
      </c>
      <c r="RZ16" t="str">
        <f>IF(COUNTIF('Final Calculation Sheet'!$AL16:$AT16,0)+COUNTIF('Final Calculation Sheet'!$AV16:$BS16,0)&gt;0,0,1)</f>
      </c>
      <c r="SA16" t="str">
        <f>IF($BH$16="",FALSE,SUMPRODUCT(('Final Calculation Sheet'!$J$4:$J$40=$BH$16)*($RZ$4:$RZ$40=1))&gt;0)</f>
      </c>
      <c r="SB16" t="str">
        <f>=$SB15+--($SA16)</f>
      </c>
      <c r="SC16" t="str">
        <f>IF(ROW()-3&gt;MAX($SB$4:$SB$40),"",INDEX($BH$4:$BH$40,MATCH(ROW()-3,$SB$4:$SB$40,0)))</f>
      </c>
      <c r="SD16" t="str">
        <f>IF(COUNTIF('Final Calculation Sheet'!$AL16:$AU16,0)+COUNTIF('Final Calculation Sheet'!$AW16:$BS16,0)&gt;0,0,1)</f>
      </c>
      <c r="SE16" t="str">
        <f>IF($BM$16="",FALSE,SUMPRODUCT(('Final Calculation Sheet'!$K$4:$K$40=$BM$16)*($SD$4:$SD$40=1))&gt;0)</f>
      </c>
      <c r="SF16" t="str">
        <f>=$SF15+--($SE16)</f>
      </c>
      <c r="SG16" t="str">
        <f>IF(ROW()-3&gt;MAX($SF$4:$SF$40),"",INDEX($BM$4:$BM$40,MATCH(ROW()-3,$SF$4:$SF$40,0)))</f>
      </c>
      <c r="SH16" t="str">
        <f>IF(COUNTIF('Final Calculation Sheet'!$AL16:$AV16,0)+COUNTIF('Final Calculation Sheet'!$AX16:$BS16,0)&gt;0,0,1)</f>
      </c>
      <c r="SI16" t="str">
        <f>IF($BR$16="",FALSE,SUMPRODUCT(('Final Calculation Sheet'!$L$4:$L$40=$BR$16)*($SH$4:$SH$40=1))&gt;0)</f>
      </c>
      <c r="SJ16" t="str">
        <f>=$SJ15+--($SI16)</f>
      </c>
      <c r="SK16" t="str">
        <f>IF(ROW()-3&gt;MAX($SJ$4:$SJ$40),"",INDEX($BR$4:$BR$40,MATCH(ROW()-3,$SJ$4:$SJ$40,0)))</f>
      </c>
      <c r="SL16" t="str">
        <f>IF(COUNTIF('Final Calculation Sheet'!$AL16:$AW16,0)+COUNTIF('Final Calculation Sheet'!$AY16:$BS16,0)&gt;0,0,1)</f>
      </c>
      <c r="SM16" t="str">
        <f>IF($BW$16="",FALSE,SUMPRODUCT(('Final Calculation Sheet'!$M$4:$M$40=$BW$16)*($SL$4:$SL$40=1))&gt;0)</f>
      </c>
      <c r="SN16" t="str">
        <f>=$SN15+--($SM16)</f>
      </c>
      <c r="SO16" t="str">
        <f>IF(ROW()-3&gt;MAX($SN$4:$SN$40),"",INDEX($BW$4:$BW$40,MATCH(ROW()-3,$SN$4:$SN$40,0)))</f>
      </c>
      <c r="SP16" t="str">
        <f>IF(COUNTIF('Final Calculation Sheet'!$AL16:$AX16,0)+COUNTIF('Final Calculation Sheet'!$AZ16:$BS16,0)&gt;0,0,1)</f>
      </c>
      <c r="SQ16" t="str">
        <f>IF($CB$16="",FALSE,SUMPRODUCT(('Final Calculation Sheet'!$N$4:$N$40=$CB$16)*($SP$4:$SP$40=1))&gt;0)</f>
      </c>
      <c r="SR16" t="str">
        <f>=$SR15+--($SQ16)</f>
      </c>
      <c r="SS16" t="str">
        <f>IF(ROW()-3&gt;MAX($SR$4:$SR$40),"",INDEX($CB$4:$CB$40,MATCH(ROW()-3,$SR$4:$SR$40,0)))</f>
      </c>
      <c r="ST16" t="str">
        <f>IF(COUNTIF('Final Calculation Sheet'!$AL16:$AY16,0)+COUNTIF('Final Calculation Sheet'!$BA16:$BS16,0)&gt;0,0,1)</f>
      </c>
      <c r="SU16" t="str">
        <f>IF($CG$16="",FALSE,SUMPRODUCT(('Final Calculation Sheet'!$O$4:$O$40=$CG$16)*($ST$4:$ST$40=1))&gt;0)</f>
      </c>
      <c r="SV16" t="str">
        <f>=$SV15+--($SU16)</f>
      </c>
      <c r="SW16" t="str">
        <f>IF(ROW()-3&gt;MAX($SV$4:$SV$40),"",INDEX($CG$4:$CG$40,MATCH(ROW()-3,$SV$4:$SV$40,0)))</f>
      </c>
      <c r="SX16" t="str">
        <f>IF(COUNTIF('Final Calculation Sheet'!$AL16:$AZ16,0)+COUNTIF('Final Calculation Sheet'!$BB16:$BS16,0)&gt;0,0,1)</f>
      </c>
      <c r="SY16" t="str">
        <f>IF($CL$16="",FALSE,SUMPRODUCT(('Final Calculation Sheet'!$P$4:$P$40=$CL$16)*($SX$4:$SX$40=1))&gt;0)</f>
      </c>
      <c r="SZ16" t="str">
        <f>=$SZ15+--($SY16)</f>
      </c>
      <c r="TA16" t="str">
        <f>IF(ROW()-3&gt;MAX($SZ$4:$SZ$40),"",INDEX($CL$4:$CL$40,MATCH(ROW()-3,$SZ$4:$SZ$40,0)))</f>
      </c>
      <c r="TB16" t="str">
        <f>IF(COUNTIF('Final Calculation Sheet'!$AL16:$BA16,0)+COUNTIF('Final Calculation Sheet'!$BC16:$BS16,0)&gt;0,0,1)</f>
      </c>
      <c r="TC16" t="str">
        <f>IF($CQ$16="",FALSE,SUMPRODUCT(('Final Calculation Sheet'!$Q$4:$Q$40=$CQ$16)*($TB$4:$TB$40=1))&gt;0)</f>
      </c>
      <c r="TD16" t="str">
        <f>=$TD15+--($TC16)</f>
      </c>
      <c r="TE16" t="str">
        <f>IF(ROW()-3&gt;MAX($TD$4:$TD$40),"",INDEX($CQ$4:$CQ$40,MATCH(ROW()-3,$TD$4:$TD$40,0)))</f>
      </c>
      <c r="TF16" t="str">
        <f>IF(COUNTIF('Final Calculation Sheet'!$AL16:$BB16,0)+COUNTIF('Final Calculation Sheet'!$BD16:$BS16,0)&gt;0,0,1)</f>
      </c>
      <c r="TG16" t="str">
        <f>IF($CV$16="",FALSE,SUMPRODUCT(('Final Calculation Sheet'!$R$4:$R$40=$CV$16)*($TF$4:$TF$40=1))&gt;0)</f>
      </c>
      <c r="TH16" t="str">
        <f>=$TH15+--($TG16)</f>
      </c>
      <c r="TI16" t="str">
        <f>IF(ROW()-3&gt;MAX($TH$4:$TH$40),"",INDEX($CV$4:$CV$40,MATCH(ROW()-3,$TH$4:$TH$40,0)))</f>
      </c>
      <c r="TJ16" t="str">
        <f>IF(COUNTIF('Final Calculation Sheet'!$AL16:$BC16,0)+COUNTIF('Final Calculation Sheet'!$BE16:$BS16,0)&gt;0,0,1)</f>
      </c>
      <c r="TK16" t="str">
        <f>IF($DA$16="",FALSE,SUMPRODUCT(('Final Calculation Sheet'!$S$4:$S$40=$DA$16)*($TJ$4:$TJ$40=1))&gt;0)</f>
      </c>
      <c r="TL16" t="str">
        <f>=$TL15+--($TK16)</f>
      </c>
      <c r="TM16" t="str">
        <f>IF(ROW()-3&gt;MAX($TL$4:$TL$40),"",INDEX($DA$4:$DA$40,MATCH(ROW()-3,$TL$4:$TL$40,0)))</f>
      </c>
      <c r="TN16" t="str">
        <f>IF(COUNTIF('Final Calculation Sheet'!$AL16:$BD16,0)+COUNTIF('Final Calculation Sheet'!$BF16:$BS16,0)&gt;0,0,1)</f>
      </c>
      <c r="TO16" t="str">
        <f>IF($DF$16="",FALSE,SUMPRODUCT(('Final Calculation Sheet'!$T$4:$T$40=$DF$16)*($TN$4:$TN$40=1))&gt;0)</f>
      </c>
      <c r="TP16" t="str">
        <f>=$TP15+--($TO16)</f>
      </c>
      <c r="TQ16" t="str">
        <f>IF(ROW()-3&gt;MAX($TP$4:$TP$40),"",INDEX($DF$4:$DF$40,MATCH(ROW()-3,$TP$4:$TP$40,0)))</f>
      </c>
      <c r="TR16" t="str">
        <f>IF(COUNTIF('Final Calculation Sheet'!$AL16:$BE16,0)+COUNTIF('Final Calculation Sheet'!$BG16:$BS16,0)&gt;0,0,1)</f>
      </c>
      <c r="TS16" t="str">
        <f>IF($DK$16="",FALSE,SUMPRODUCT(('Final Calculation Sheet'!$U$4:$U$40=$DK$16)*($TR$4:$TR$40=1))&gt;0)</f>
      </c>
      <c r="TT16" t="str">
        <f>=$TT15+--($TS16)</f>
      </c>
      <c r="TU16" t="str">
        <f>IF(ROW()-3&gt;MAX($TT$4:$TT$40),"",INDEX($DK$4:$DK$40,MATCH(ROW()-3,$TT$4:$TT$40,0)))</f>
      </c>
      <c r="TV16" t="str">
        <f>IF(COUNTIF('Final Calculation Sheet'!$AL16:$BF16,0)+COUNTIF('Final Calculation Sheet'!$BH16:$BS16,0)&gt;0,0,1)</f>
      </c>
      <c r="TW16" t="str">
        <f>IF($DP$16="",FALSE,SUMPRODUCT(('Final Calculation Sheet'!$V$4:$V$40=$DP$16)*($TV$4:$TV$40=1))&gt;0)</f>
      </c>
      <c r="TX16" t="str">
        <f>=$TX15+--($TW16)</f>
      </c>
      <c r="TY16" t="str">
        <f>IF(ROW()-3&gt;MAX($TX$4:$TX$40),"",INDEX($DP$4:$DP$40,MATCH(ROW()-3,$TX$4:$TX$40,0)))</f>
      </c>
      <c r="TZ16" t="str">
        <f>IF(COUNTIF('Final Calculation Sheet'!$AL16:$BG16,0)+COUNTIF('Final Calculation Sheet'!$BI16:$BS16,0)&gt;0,0,1)</f>
      </c>
      <c r="UA16" t="str">
        <f>IF($DU$16="",FALSE,SUMPRODUCT(('Final Calculation Sheet'!$W$4:$W$40=$DU$16)*($TZ$4:$TZ$40=1))&gt;0)</f>
      </c>
      <c r="UB16" t="str">
        <f>=$UB15+--($UA16)</f>
      </c>
      <c r="UC16" t="str">
        <f>IF(ROW()-3&gt;MAX($UB$4:$UB$40),"",INDEX($DU$4:$DU$40,MATCH(ROW()-3,$UB$4:$UB$40,0)))</f>
      </c>
      <c r="UD16" t="str">
        <f>IF(COUNTIF('Final Calculation Sheet'!$AL16:$BH16,0)+COUNTIF('Final Calculation Sheet'!$BJ16:$BS16,0)&gt;0,0,1)</f>
      </c>
      <c r="UE16" t="str">
        <f>IF($DZ$16="",FALSE,SUMPRODUCT(('Final Calculation Sheet'!$X$4:$X$40=$DZ$16)*($UD$4:$UD$40=1))&gt;0)</f>
      </c>
      <c r="UF16" t="str">
        <f>=$UF15+--($UE16)</f>
      </c>
      <c r="UG16" t="str">
        <f>IF(ROW()-3&gt;MAX($UF$4:$UF$40),"",INDEX($DZ$4:$DZ$40,MATCH(ROW()-3,$UF$4:$UF$40,0)))</f>
      </c>
      <c r="UH16" t="str">
        <f>IF(COUNTIF('Final Calculation Sheet'!$AL16:$BI16,0)+COUNTIF('Final Calculation Sheet'!$BK16:$BS16,0)&gt;0,0,1)</f>
      </c>
      <c r="UI16" t="str">
        <f>IF($EE$16="",FALSE,SUMPRODUCT(('Final Calculation Sheet'!$Y$4:$Y$40=$EE$16)*($UH$4:$UH$40=1))&gt;0)</f>
      </c>
      <c r="UJ16" t="str">
        <f>=$UJ15+--($UI16)</f>
      </c>
      <c r="UK16" t="str">
        <f>IF(ROW()-3&gt;MAX($UJ$4:$UJ$40),"",INDEX($EE$4:$EE$40,MATCH(ROW()-3,$UJ$4:$UJ$40,0)))</f>
      </c>
      <c r="UL16" t="str">
        <f>IF(COUNTIF('Final Calculation Sheet'!$AL16:$BJ16,0)+COUNTIF('Final Calculation Sheet'!$BL16:$BS16,0)&gt;0,0,1)</f>
      </c>
      <c r="UM16" t="str">
        <f>IF($EJ$16="",FALSE,SUMPRODUCT(('Final Calculation Sheet'!$Z$4:$Z$40=$EJ$16)*($UL$4:$UL$40=1))&gt;0)</f>
      </c>
      <c r="UN16" t="str">
        <f>=$UN15+--($UM16)</f>
      </c>
      <c r="UO16" t="str">
        <f>IF(ROW()-3&gt;MAX($UN$4:$UN$40),"",INDEX($EJ$4:$EJ$40,MATCH(ROW()-3,$UN$4:$UN$40,0)))</f>
      </c>
      <c r="UP16" t="str">
        <f>IF(COUNTIF('Final Calculation Sheet'!$AL16:$BK16,0)+COUNTIF('Final Calculation Sheet'!$BM16:$BS16,0)&gt;0,0,1)</f>
      </c>
      <c r="UQ16" t="str">
        <f>IF($EO$16="",FALSE,SUMPRODUCT(('Final Calculation Sheet'!$AA$4:$AA$40=$EO$16)*($UP$4:$UP$40=1))&gt;0)</f>
      </c>
      <c r="UR16" t="str">
        <f>=$UR15+--($UQ16)</f>
      </c>
      <c r="US16" t="str">
        <f>IF(ROW()-3&gt;MAX($UR$4:$UR$40),"",INDEX($EO$4:$EO$40,MATCH(ROW()-3,$UR$4:$UR$40,0)))</f>
      </c>
      <c r="UT16" t="str">
        <f>IF(COUNTIF('Final Calculation Sheet'!$AL16:$BL16,0)+COUNTIF('Final Calculation Sheet'!$BN16:$BS16,0)&gt;0,0,1)</f>
      </c>
      <c r="UU16" t="str">
        <f>IF($ET$16="",FALSE,SUMPRODUCT(('Final Calculation Sheet'!$AB$4:$AB$40=$ET$16)*($UT$4:$UT$40=1))&gt;0)</f>
      </c>
      <c r="UV16" t="str">
        <f>=$UV15+--($UU16)</f>
      </c>
      <c r="UW16" t="str">
        <f>IF(ROW()-3&gt;MAX($UV$4:$UV$40),"",INDEX($ET$4:$ET$40,MATCH(ROW()-3,$UV$4:$UV$40,0)))</f>
      </c>
      <c r="UX16" t="str">
        <f>IF(COUNTIF('Final Calculation Sheet'!$AL16:$BM16,0)+COUNTIF('Final Calculation Sheet'!$BO16:$BS16,0)&gt;0,0,1)</f>
      </c>
      <c r="UY16" t="str">
        <f>IF($EY$16="",FALSE,SUMPRODUCT(('Final Calculation Sheet'!$AC$4:$AC$40=$EY$16)*($UX$4:$UX$40=1))&gt;0)</f>
      </c>
      <c r="UZ16" t="str">
        <f>=$UZ15+--($UY16)</f>
      </c>
      <c r="VA16" t="str">
        <f>IF(ROW()-3&gt;MAX($UZ$4:$UZ$40),"",INDEX($EY$4:$EY$40,MATCH(ROW()-3,$UZ$4:$UZ$40,0)))</f>
      </c>
      <c r="VB16" t="str">
        <f>IF(COUNTIF('Final Calculation Sheet'!$AL16:$BN16,0)+COUNTIF('Final Calculation Sheet'!$BP16:$BS16,0)&gt;0,0,1)</f>
      </c>
      <c r="VC16" t="str">
        <f>IF($FD$16="",FALSE,SUMPRODUCT(('Final Calculation Sheet'!$AD$4:$AD$40=$FD$16)*($VB$4:$VB$40=1))&gt;0)</f>
      </c>
      <c r="VD16" t="str">
        <f>=$VD15+--($VC16)</f>
      </c>
      <c r="VE16" t="str">
        <f>IF(ROW()-3&gt;MAX($VD$4:$VD$40),"",INDEX($FD$4:$FD$40,MATCH(ROW()-3,$VD$4:$VD$40,0)))</f>
      </c>
      <c r="VF16" t="str">
        <f>IF(COUNTIF('Final Calculation Sheet'!$AL16:$BO16,0)+COUNTIF('Final Calculation Sheet'!$BQ16:$BS16,0)&gt;0,0,1)</f>
      </c>
      <c r="VG16" t="str">
        <f>IF($FI$16="",FALSE,SUMPRODUCT(('Final Calculation Sheet'!$AE$4:$AE$40=$FI$16)*($VF$4:$VF$40=1))&gt;0)</f>
      </c>
      <c r="VH16" t="str">
        <f>=$VH15+--($VG16)</f>
      </c>
      <c r="VI16" t="str">
        <f>IF(ROW()-3&gt;MAX($VH$4:$VH$40),"",INDEX($FI$4:$FI$40,MATCH(ROW()-3,$VH$4:$VH$40,0)))</f>
      </c>
      <c r="VJ16" t="str">
        <f>IF(COUNTIF('Final Calculation Sheet'!$AL16:$BP16,0)+COUNTIF('Final Calculation Sheet'!$BR16:$BS16,0)&gt;0,0,1)</f>
      </c>
      <c r="VK16" t="str">
        <f>IF($FN$16="",FALSE,SUMPRODUCT(('Final Calculation Sheet'!$AF$4:$AF$40=$FN$16)*($VJ$4:$VJ$40=1))&gt;0)</f>
      </c>
      <c r="VL16" t="str">
        <f>=$VL15+--($VK16)</f>
      </c>
      <c r="VM16" t="str">
        <f>IF(ROW()-3&gt;MAX($VL$4:$VL$40),"",INDEX($FN$4:$FN$40,MATCH(ROW()-3,$VL$4:$VL$40,0)))</f>
      </c>
      <c r="VN16" t="str">
        <f>IF(COUNTIF('Final Calculation Sheet'!$AL16:$BQ16,0)+COUNTIF('Final Calculation Sheet'!$BS16:$BS16,0)&gt;0,0,1)</f>
      </c>
      <c r="VO16" t="str">
        <f>IF($FS$16="",FALSE,SUMPRODUCT(('Final Calculation Sheet'!$AG$4:$AG$40=$FS$16)*($VN$4:$VN$40=1))&gt;0)</f>
      </c>
      <c r="VP16" t="str">
        <f>=$VP15+--($VO16)</f>
      </c>
      <c r="VQ16" t="str">
        <f>IF(ROW()-3&gt;MAX($VP$4:$VP$40),"",INDEX($FS$4:$FS$40,MATCH(ROW()-3,$VP$4:$VP$40,0)))</f>
      </c>
      <c r="VR16" t="str">
        <f>IF(COUNTIF('Final Calculation Sheet'!$AL16:$BR16,0)&gt;0,0,1)</f>
      </c>
      <c r="VS16" t="str">
        <f>IF($QO$16="",FALSE,SUMPRODUCT(('Final Calculation Sheet'!$AH$4:$AH$40=$QO$16)*($VR$4:$VR$40=1))&gt;0)</f>
      </c>
      <c r="VT16" t="str">
        <f>=$VT15+--($VS16)</f>
      </c>
      <c r="VU16" t="str">
        <f>IF(ROW()-3&gt;MAX($VT$4:$VT$40),"",INDEX($QO$4:$QO$40,MATCH(ROW()-3,$VT$4:$VT$40,0)))</f>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IF(COUNTIF('Live Search'!BM$16:BM$16,0)+COUNTIF('Live Search'!B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D17">
        <f>IF($O$17="",FALSE,SUMPRODUCT(('Final Calculation Sheet'!$F$4:$F$40=$O$17)*($GC$6:$GC$42=1))&gt;0)</f>
        <v/>
      </c>
      <c r="GE17">
        <f>$GE$16+--($GD17)</f>
        <v/>
      </c>
      <c r="GF17">
        <f>IF(ROW()-3&gt;MAX($GE$4:$GE$40),"",INDEX($O$4:$O$40,MATCH(ROW()-3,$GE$4:$GE$40,0)))</f>
        <v/>
      </c>
      <c r="GG17">
        <f>IF(COUNTIF('Live Search'!BM$16:BN$16,0)+COUNTIF('Live Search'!B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H17">
        <f>IF($T$17="",FALSE,SUMPRODUCT(('Final Calculation Sheet'!$G$4:$G$40=$T$17)*($GG$6:$GG$42=1))&gt;0)</f>
        <v/>
      </c>
      <c r="GI17">
        <f>$GI$16+--($GH17)</f>
        <v/>
      </c>
      <c r="GJ17">
        <f>IF(ROW()-3&gt;MAX($GI$4:$GI$40),"",INDEX($T$4:$T$40,MATCH(ROW()-3,$GI$4:$GI$40,0)))</f>
        <v/>
      </c>
      <c r="GK17">
        <f>IF(COUNTIF('Live Search'!BM$16:BP$16,0)+COUNTIF('Live Search'!B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L17">
        <f>IF($AD$17="",FALSE,SUMPRODUCT(('Final Calculation Sheet'!$D$4:$D$40=$AD$17)*($GK$6:$GK$42=1))&gt;0)</f>
        <v/>
      </c>
      <c r="GM17">
        <f>$GM$16+--($GL17)</f>
        <v/>
      </c>
      <c r="GN17">
        <f>IF(ROW()-3&gt;MAX($GM$4:$GM$40),"",INDEX($AD$4:$AD$40,MATCH(ROW()-3,$GM$4:$GM$40,0)))</f>
        <v/>
      </c>
      <c r="GO17">
        <f>IF(COUNTIF('Live Search'!BM$16:BQ$16,0)+COUNTIF('Live Search'!B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P17">
        <f>IF($AI$17="",FALSE,SUMPRODUCT(('Final Calculation Sheet'!$A$4:$A$40=$AI$17)*($GO$6:$GO$42=1))&gt;0)</f>
        <v/>
      </c>
      <c r="GQ17">
        <f>$GQ$16+--($GP17)</f>
        <v/>
      </c>
      <c r="GR17">
        <f>IF(ROW()-3&gt;MAX($GQ$4:$GQ$40),"",INDEX($AI$4:$AI$40,MATCH(ROW()-3,$GQ$4:$GQ$40,0)))</f>
        <v/>
      </c>
      <c r="GS17">
        <f>IF(COUNTIF('Live Search'!BM$16:BR$16,0)+COUNTIF('Live Search'!B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T17">
        <f>IF($AN$17="",FALSE,SUMPRODUCT(('Final Calculation Sheet'!$E$4:$E$40=$AN$17)*($GS$6:$GS$42=1))&gt;0)</f>
        <v/>
      </c>
      <c r="GU17">
        <f>$GU$16+--($GT17)</f>
        <v/>
      </c>
      <c r="GV17">
        <f>IF(ROW()-3&gt;MAX($GU$4:$GU$40),"",INDEX($AN$4:$AN$40,MATCH(ROW()-3,$GU$4:$GU$40,0)))</f>
        <v/>
      </c>
      <c r="GW17">
        <f>IF(COUNTIF('Live Search'!BM$16:BS$16,0)+COUNTIF('Live Search'!B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GX17">
        <f>IF($AS$17="",FALSE,SUMPRODUCT(('Final Calculation Sheet'!$C$4:$C$40=$AS$17)*($GW$6:$GW$42=1))&gt;0)</f>
        <v/>
      </c>
      <c r="GY17">
        <f>$GY$16+--($GX17)</f>
        <v/>
      </c>
      <c r="GZ17">
        <f>IF(ROW()-3&gt;MAX($GY$4:$GY$40),"",INDEX($AS$4:$AS$40,MATCH(ROW()-3,$GY$4:$GY$40,0)))</f>
        <v/>
      </c>
      <c r="HA17">
        <f>IF(COUNTIF('Live Search'!BM$16:BT$16,0)+COUNTIF('Live Search'!BV$16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B17">
        <f>IF($AX$17="",FALSE,SUMPRODUCT(('Final Calculation Sheet'!$H$4:$H$40=$AX$17)*($HA$6:$HA$42=1))&gt;0)</f>
        <v/>
      </c>
      <c r="HC17">
        <f>$HC$16+--($HB17)</f>
        <v/>
      </c>
      <c r="HD17">
        <f>IF(ROW()-3&gt;MAX($HC$4:$HC$40),"",INDEX($AX$4:$AX$40,MATCH(ROW()-3,$HC$4:$HC$40,0)))</f>
        <v/>
      </c>
      <c r="HE17">
        <f>IF(COUNTIF('Live Search'!BM$16:BU$16,0)+COUNTIF('Live Search'!BW$16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F17">
        <f>IF($BC$17="",FALSE,SUMPRODUCT(('Final Calculation Sheet'!$I$4:$I$40=$BC$17)*($HE$6:$HE$42=1))&gt;0)</f>
        <v/>
      </c>
      <c r="HG17">
        <f>$HG$16+--($HF17)</f>
        <v/>
      </c>
      <c r="HH17">
        <f>IF(ROW()-3&gt;MAX($HG$4:$HG$40),"",INDEX($BC$4:$BC$40,MATCH(ROW()-3,$HG$4:$HG$40,0)))</f>
        <v/>
      </c>
      <c r="HI17">
        <f>IF(COUNTIF('Live Search'!BM$16:BV$16,0)+COUNTIF('Live Search'!BX$16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J17">
        <f>IF($BH$17="",FALSE,SUMPRODUCT(('Final Calculation Sheet'!$J$4:$J$40=$BH$17)*($HI$6:$HI$42=1))&gt;0)</f>
        <v/>
      </c>
      <c r="HK17">
        <f>$HK$16+--($HJ17)</f>
        <v/>
      </c>
      <c r="HL17">
        <f>IF(ROW()-3&gt;MAX($HK$4:$HK$40),"",INDEX($BH$4:$BH$40,MATCH(ROW()-3,$HK$4:$HK$40,0)))</f>
        <v/>
      </c>
      <c r="HM17">
        <f>IF(COUNTIF('Live Search'!BM$16:BW$16,0)+COUNTIF('Live Search'!BY$16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N17">
        <f>IF($BM$17="",FALSE,SUMPRODUCT(('Final Calculation Sheet'!$K$4:$K$40=$BM$17)*($HM$6:$HM$42=1))&gt;0)</f>
        <v/>
      </c>
      <c r="HO17">
        <f>$HO$16+--($HN17)</f>
        <v/>
      </c>
      <c r="HP17">
        <f>IF(ROW()-3&gt;MAX($HO$4:$HO$40),"",INDEX($BM$4:$BM$40,MATCH(ROW()-3,$HO$4:$HO$40,0)))</f>
        <v/>
      </c>
      <c r="HQ17">
        <f>IF(COUNTIF('Live Search'!BM$16:BX$16,0)+COUNTIF('Live Search'!BZ$16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R17">
        <f>IF($BR$17="",FALSE,SUMPRODUCT(('Final Calculation Sheet'!$L$4:$L$40=$BR$17)*($HQ$6:$HQ$42=1))&gt;0)</f>
        <v/>
      </c>
      <c r="HS17">
        <f>$HS$16+--($HR17)</f>
        <v/>
      </c>
      <c r="HT17">
        <f>IF(ROW()-3&gt;MAX($HS$4:$HS$40),"",INDEX($BR$4:$BR$40,MATCH(ROW()-3,$HS$4:$HS$40,0)))</f>
        <v/>
      </c>
      <c r="HU17">
        <f>IF(COUNTIF('Live Search'!BM$16:BY$16,0)+COUNTIF('Live Search'!CA$16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V17">
        <f>IF($BW$17="",FALSE,SUMPRODUCT(('Final Calculation Sheet'!$M$4:$M$40=$BW$17)*($HU$6:$HU$42=1))&gt;0)</f>
        <v/>
      </c>
      <c r="HW17">
        <f>$HW$16+--($HV17)</f>
        <v/>
      </c>
      <c r="HX17">
        <f>IF(ROW()-3&gt;MAX($HW$4:$HW$40),"",INDEX($BW$4:$BW$40,MATCH(ROW()-3,$HW$4:$HW$40,0)))</f>
        <v/>
      </c>
      <c r="HY17">
        <f>IF(COUNTIF('Live Search'!BM$16:BZ$16,0)+COUNTIF('Live Search'!CB$16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HZ17">
        <f>IF($CB$17="",FALSE,SUMPRODUCT(('Final Calculation Sheet'!$N$4:$N$40=$CB$17)*($HY$6:$HY$42=1))&gt;0)</f>
        <v/>
      </c>
      <c r="IA17">
        <f>$IA$16+--($HZ17)</f>
        <v/>
      </c>
      <c r="IB17">
        <f>IF(ROW()-3&gt;MAX($IA$4:$IA$40),"",INDEX($CB$4:$CB$40,MATCH(ROW()-3,$IA$4:$IA$40,0)))</f>
        <v/>
      </c>
      <c r="IC17">
        <f>IF(COUNTIF('Live Search'!BM$16:CA$16,0)+COUNTIF('Live Search'!CC$16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D17">
        <f>IF($CG$17="",FALSE,SUMPRODUCT(('Final Calculation Sheet'!$O$4:$O$40=$CG$17)*($IC$6:$IC$42=1))&gt;0)</f>
        <v/>
      </c>
      <c r="IE17">
        <f>$IE$16+--($ID17)</f>
        <v/>
      </c>
      <c r="IF17">
        <f>IF(ROW()-3&gt;MAX($IE$4:$IE$40),"",INDEX($CG$4:$CG$40,MATCH(ROW()-3,$IE$4:$IE$40,0)))</f>
        <v/>
      </c>
      <c r="IG17">
        <f>IF(COUNTIF('Live Search'!BM$16:CB$16,0)+COUNTIF('Live Search'!CD$16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H17">
        <f>IF($CL$17="",FALSE,SUMPRODUCT(('Final Calculation Sheet'!$P$4:$P$40=$CL$17)*($IG$6:$IG$42=1))&gt;0)</f>
        <v/>
      </c>
      <c r="II17">
        <f>$II$16+--($IH17)</f>
        <v/>
      </c>
      <c r="IJ17">
        <f>IF(ROW()-3&gt;MAX($II$4:$II$40),"",INDEX($CL$4:$CL$40,MATCH(ROW()-3,$II$4:$II$40,0)))</f>
        <v/>
      </c>
      <c r="IK17">
        <f>IF(COUNTIF('Live Search'!BM$16:CC$16,0)+COUNTIF('Live Search'!CE$16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L17">
        <f>IF($CQ$17="",FALSE,SUMPRODUCT(('Final Calculation Sheet'!$Q$4:$Q$40=$CQ$17)*($IK$6:$IK$42=1))&gt;0)</f>
        <v/>
      </c>
      <c r="IM17">
        <f>$IM$16+--($IL17)</f>
        <v/>
      </c>
      <c r="IN17">
        <f>IF(ROW()-3&gt;MAX($IM$4:$IM$40),"",INDEX($CQ$4:$CQ$40,MATCH(ROW()-3,$IM$4:$IM$40,0)))</f>
        <v/>
      </c>
      <c r="IO17">
        <f>IF(COUNTIF('Live Search'!BM$16:CD$16,0)+COUNTIF('Live Search'!CF$16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P17">
        <f>IF($CV$17="",FALSE,SUMPRODUCT(('Final Calculation Sheet'!$R$4:$R$40=$CV$17)*($IO$6:$IO$42=1))&gt;0)</f>
        <v/>
      </c>
      <c r="IQ17">
        <f>$IQ$16+--($IP17)</f>
        <v/>
      </c>
      <c r="IR17">
        <f>IF(ROW()-3&gt;MAX($IQ$4:$IQ$40),"",INDEX($CV$4:$CV$40,MATCH(ROW()-3,$IQ$4:$IQ$40,0)))</f>
        <v/>
      </c>
      <c r="IS17">
        <f>IF(COUNTIF('Live Search'!BM$16:CE$16,0)+COUNTIF('Live Search'!CG$16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T17">
        <f>IF($DA$17="",FALSE,SUMPRODUCT(('Final Calculation Sheet'!$S$4:$S$40=$DA$17)*($IS$6:$IS$42=1))&gt;0)</f>
        <v/>
      </c>
      <c r="IU17">
        <f>$IU$16+--($IT17)</f>
        <v/>
      </c>
      <c r="IV17">
        <f>IF(ROW()-3&gt;MAX($IU$4:$IU$40),"",INDEX($DA$4:$DA$40,MATCH(ROW()-3,$IU$4:$IU$40,0)))</f>
        <v/>
      </c>
      <c r="IW17">
        <f>IF(COUNTIF('Live Search'!BM$16:CF$16,0)+COUNTIF('Live Search'!CH$16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IX17">
        <f>IF($DF$17="",FALSE,SUMPRODUCT(('Final Calculation Sheet'!$T$4:$T$40=$DF$17)*($IW$6:$IW$42=1))&gt;0)</f>
        <v/>
      </c>
      <c r="IY17">
        <f>$IY$16+--($IX17)</f>
        <v/>
      </c>
      <c r="IZ17">
        <f>IF(ROW()-3&gt;MAX($IY$4:$IY$40),"",INDEX($DF$4:$DF$40,MATCH(ROW()-3,$IY$4:$IY$40,0)))</f>
        <v/>
      </c>
      <c r="JA17">
        <f>IF(COUNTIF('Live Search'!BM$16:CG$16,0)+COUNTIF('Live Search'!CI$16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B17">
        <f>IF($DK$17="",FALSE,SUMPRODUCT(('Final Calculation Sheet'!$U$4:$U$40=$DK$17)*($JA$6:$JA$42=1))&gt;0)</f>
        <v/>
      </c>
      <c r="JC17">
        <f>$JC$16+--($JB17)</f>
        <v/>
      </c>
      <c r="JD17">
        <f>IF(ROW()-3&gt;MAX($JC$4:$JC$40),"",INDEX($DK$4:$DK$40,MATCH(ROW()-3,$JC$4:$JC$40,0)))</f>
        <v/>
      </c>
      <c r="JE17">
        <f>IF(COUNTIF('Live Search'!BM$16:CH$16,0)+COUNTIF('Live Search'!CJ$16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F17">
        <f>IF($DP$17="",FALSE,SUMPRODUCT(('Final Calculation Sheet'!$V$4:$V$40=$DP$17)*($JE$6:$JE$42=1))&gt;0)</f>
        <v/>
      </c>
      <c r="JG17">
        <f>$JG$16+--($JF17)</f>
        <v/>
      </c>
      <c r="JH17">
        <f>IF(ROW()-3&gt;MAX($JG$4:$JG$40),"",INDEX($DP$4:$DP$40,MATCH(ROW()-3,$JG$4:$JG$40,0)))</f>
        <v/>
      </c>
      <c r="JI17">
        <f>IF(COUNTIF('Live Search'!BM$16:CI$16,0)+COUNTIF('Live Search'!CK$16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J17">
        <f>IF($DU$17="",FALSE,SUMPRODUCT(('Final Calculation Sheet'!$W$4:$W$40=$DU$17)*($JI$6:$JI$42=1))&gt;0)</f>
        <v/>
      </c>
      <c r="JK17">
        <f>$JK$16+--($JJ17)</f>
        <v/>
      </c>
      <c r="JL17">
        <f>IF(ROW()-3&gt;MAX($JK$4:$JK$40),"",INDEX($DU$4:$DU$40,MATCH(ROW()-3,$JK$4:$JK$40,0)))</f>
        <v/>
      </c>
      <c r="JM17">
        <f>IF(COUNTIF('Live Search'!BM$16:CJ$16,0)+COUNTIF('Live Search'!CL$16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N17">
        <f>IF($DZ$17="",FALSE,SUMPRODUCT(('Final Calculation Sheet'!$X$4:$X$40=$DZ$17)*($JM$6:$JM$42=1))&gt;0)</f>
        <v/>
      </c>
      <c r="JO17">
        <f>$JO$16+--($JN17)</f>
        <v/>
      </c>
      <c r="JP17">
        <f>IF(ROW()-3&gt;MAX($JO$4:$JO$40),"",INDEX($DZ$4:$DZ$40,MATCH(ROW()-3,$JO$4:$JO$40,0)))</f>
        <v/>
      </c>
      <c r="JQ17">
        <f>IF(COUNTIF('Live Search'!BM$16:CK$16,0)+COUNTIF('Live Search'!C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R17">
        <f>IF($EE$17="",FALSE,SUMPRODUCT(('Final Calculation Sheet'!$Y$4:$Y$40=$EE$17)*($JQ$6:$JQ$42=1))&gt;0)</f>
        <v/>
      </c>
      <c r="JS17">
        <f>$JS$16+--($JR17)</f>
        <v/>
      </c>
      <c r="JT17">
        <f>IF(ROW()-3&gt;MAX($JS$4:$JS$40),"",INDEX($EE$4:$EE$40,MATCH(ROW()-3,$JS$4:$JS$40,0)))</f>
        <v/>
      </c>
      <c r="JU17">
        <f>IF(COUNTIF('Live Search'!BM$16:CL$16,0)+COUNTIF('Live Search'!CN$16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V17">
        <f>IF($EJ$17="",FALSE,SUMPRODUCT(('Final Calculation Sheet'!$Z$4:$Z$40=$EJ$17)*($JU$6:$JU$42=1))&gt;0)</f>
        <v/>
      </c>
      <c r="JW17">
        <f>$JW$16+--($JV17)</f>
        <v/>
      </c>
      <c r="JX17">
        <f>IF(ROW()-3&gt;MAX($JW$4:$JW$40),"",INDEX($EJ$4:$EJ$40,MATCH(ROW()-3,$JW$4:$JW$40,0)))</f>
        <v/>
      </c>
      <c r="JY17">
        <f>IF(COUNTIF('Live Search'!BM$16:CM$16,0)+COUNTIF('Live Search'!CO$16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JZ17">
        <f>IF($EO$17="",FALSE,SUMPRODUCT(('Final Calculation Sheet'!$AA$4:$AA$40=$EO$17)*($JY$6:$JY$42=1))&gt;0)</f>
        <v/>
      </c>
      <c r="KA17">
        <f>$KA$16+--($JZ17)</f>
        <v/>
      </c>
      <c r="KB17">
        <f>IF(ROW()-3&gt;MAX($KA$4:$KA$40),"",INDEX($EO$4:$EO$40,MATCH(ROW()-3,$KA$4:$KA$40,0)))</f>
        <v/>
      </c>
      <c r="KC17">
        <f>IF(COUNTIF('Live Search'!BM$16:CN$16,0)+COUNTIF('Live Search'!CP$16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D17">
        <f>IF($ET$17="",FALSE,SUMPRODUCT(('Final Calculation Sheet'!$AB$4:$AB$40=$ET$17)*($KC$6:$KC$42=1))&gt;0)</f>
        <v/>
      </c>
      <c r="KE17">
        <f>$KE$16+--($KD17)</f>
        <v/>
      </c>
      <c r="KF17">
        <f>IF(ROW()-3&gt;MAX($KE$4:$KE$40),"",INDEX($ET$4:$ET$40,MATCH(ROW()-3,$KE$4:$KE$40,0)))</f>
        <v/>
      </c>
      <c r="KG17">
        <f>IF(COUNTIF('Live Search'!BM$16:CO$16,0)+COUNTIF('Live Search'!CQ$16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H17">
        <f>IF($EY$17="",FALSE,SUMPRODUCT(('Final Calculation Sheet'!$AC$4:$AC$40=$EY$17)*($KG$6:$KG$42=1))&gt;0)</f>
        <v/>
      </c>
      <c r="KI17">
        <f>$KI$16+--($KH17)</f>
        <v/>
      </c>
      <c r="KJ17">
        <f>IF(ROW()-3&gt;MAX($KI$4:$KI$40),"",INDEX($EY$4:$EY$40,MATCH(ROW()-3,$KI$4:$KI$40,0)))</f>
        <v/>
      </c>
      <c r="KK17">
        <f>IF(COUNTIF('Live Search'!BM$16:CP$16,0)+COUNTIF('Live Search'!CR$16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L17">
        <f>IF($FD$17="",FALSE,SUMPRODUCT(('Final Calculation Sheet'!$AD$4:$AD$40=$FD$17)*($KK$6:$KK$42=1))&gt;0)</f>
        <v/>
      </c>
      <c r="KM17">
        <f>$KM$16+--($KL17)</f>
        <v/>
      </c>
      <c r="KN17">
        <f>IF(ROW()-3&gt;MAX($KM$4:$KM$40),"",INDEX($FD$4:$FD$40,MATCH(ROW()-3,$KM$4:$KM$40,0)))</f>
        <v/>
      </c>
      <c r="KO17">
        <f>IF(COUNTIF('Live Search'!BM$16:CT$16,0)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P17">
        <f>IF($FX$17="",FALSE,SUMPRODUCT((IF('Final Calculation Sheet'!$AD$4:$AD$40&lt;=5,"SETTLED","OUTSTANDING")=$FX$17)*($KO$6:$KO$42=1))&gt;0)</f>
        <v/>
      </c>
      <c r="KQ17">
        <f>$KQ$16+--($KP17)</f>
        <v/>
      </c>
      <c r="KR17">
        <f>IF(ROW()-3&gt;MAX($KQ$4:$KQ$40),"",INDEX($FX$4:$FX$40,MATCH(ROW()-3,$KQ$4:$KQ$40,0)))</f>
        <v/>
      </c>
      <c r="KS17">
        <f>IF(COUNTIF('Live Search'!BM$16:CQ$16,0)+COUNTIF('Live Search'!CS$16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T17">
        <f>IF($FI$17="",FALSE,SUMPRODUCT(('Final Calculation Sheet'!$AF$4:$AF$40=$FI$17)*($KS$6:$KS$42=1))&gt;0)</f>
        <v/>
      </c>
      <c r="KU17">
        <f>$KU$16+--($KT17)</f>
        <v/>
      </c>
      <c r="KV17">
        <f>IF(ROW()-3&gt;MAX($KU$4:$KU$40),"",INDEX($FI$4:$FI$40,MATCH(ROW()-3,$KU$4:$KU$40,0)))</f>
        <v/>
      </c>
      <c r="KW17">
        <f>IF(COUNTIF('Live Search'!BM$16:CR$16,0)+COUNTIF('Live Search'!CT$16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KX17">
        <f>IF($FN$17="",FALSE,SUMPRODUCT(('Final Calculation Sheet'!$AG$4:$AG$40=$FN$17)*($KW$6:$KW$42=1))&gt;0)</f>
        <v/>
      </c>
      <c r="KY17">
        <f>$KY$16+--($KX17)</f>
        <v/>
      </c>
      <c r="KZ17">
        <f>IF(ROW()-3&gt;MAX($KY$4:$KY$40),"",INDEX($FN$4:$FN$40,MATCH(ROW()-3,$KY$4:$KY$40,0)))</f>
        <v/>
      </c>
      <c r="LA17">
        <f>IF(COUNTIF('Live Search'!BM$16:CS$16,0)+COUNTIF('Live Search'!CU$16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LB17">
        <f>IF($FS$17="",FALSE,SUMPRODUCT(('Final Calculation Sheet'!$AH$4:$AH$40=$FS$17)*($LA$6:$LA$42=1))&gt;0)</f>
        <v/>
      </c>
      <c r="LC17">
        <f>$LC$16+--($LB17)</f>
        <v/>
      </c>
      <c r="LD17">
        <f>IF(ROW()-3&gt;MAX($LC$4:$LC$40),"",INDEX($FS$4:$FS$40,MATCH(ROW()-3,$LC$4:$LC$40,0)))</f>
        <v/>
      </c>
      <c r="LE17">
        <f>IF(COUNTIF('Buyer Groups'!DH70:EN70,0)&gt;0,0,1)</f>
        <v/>
      </c>
      <c r="LF17">
        <f>IF($O$17="",FALSE,SUMPRODUCT(('Final Calculation Sheet'!$F$4:$F$40=$O$17)*($LE$6:$LE$42=1))&gt;0)</f>
        <v/>
      </c>
      <c r="LG17">
        <f>$LG$16+--($LF17)</f>
        <v/>
      </c>
      <c r="LH17">
        <f>IF(ROW()-3&gt;MAX($LG$4:$LG$40),"",INDEX($O$4:$O$40,MATCH(ROW()-3,$LG$4:$LG$40,0)))</f>
        <v/>
      </c>
      <c r="LI17">
        <f>IF(COUNTIF('Buyer Groups'!DG70:DG70,0)+COUNTIF('Buyer Groups'!DI70:EN70,0)&gt;0,0,1)</f>
        <v/>
      </c>
      <c r="LJ17">
        <f>IF($T$17="",FALSE,SUMPRODUCT(('Final Calculation Sheet'!$G$4:$G$40=$T$17)*($LI$6:$LI$42=1))&gt;0)</f>
        <v/>
      </c>
      <c r="LK17">
        <f>$LK$16+--($LJ17)</f>
        <v/>
      </c>
      <c r="LL17">
        <f>IF(ROW()-3&gt;MAX($LK$4:$LK$40),"",INDEX($T$4:$T$40,MATCH(ROW()-3,$LK$4:$LK$40,0)))</f>
        <v/>
      </c>
      <c r="LM17">
        <f>IF(COUNTIF('Buyer Groups'!DG70:DH70,0)+COUNTIF('Buyer Groups'!DJ70:EN70,0)&gt;0,0,1)</f>
        <v/>
      </c>
      <c r="LN17">
        <f>IF($Y$17="",FALSE,SUMPRODUCT(('Final Calculation Sheet'!$B$4:$B$40=$Y$17)*($LM$6:$LM$42=1))&gt;0)</f>
        <v/>
      </c>
      <c r="LO17">
        <f>$LO$16+--($LN17)</f>
        <v/>
      </c>
      <c r="LP17">
        <f>IF(ROW()-3&gt;MAX($LO$4:$LO$40),"",INDEX($Y$4:$Y$40,MATCH(ROW()-3,$LO$4:$LO$40,0)))</f>
        <v/>
      </c>
      <c r="LQ17">
        <f>IF(COUNTIF('Buyer Groups'!DG70:DI70,0)+COUNTIF('Buyer Groups'!DK70:EN70,0)&gt;0,0,1)</f>
        <v/>
      </c>
      <c r="LR17">
        <f>IF($AD$17="",FALSE,SUMPRODUCT(('Final Calculation Sheet'!$D$4:$D$40=$AD$17)*($LQ$6:$LQ$42=1))&gt;0)</f>
        <v/>
      </c>
      <c r="LS17">
        <f>$LS$16+--($LR17)</f>
        <v/>
      </c>
      <c r="LT17">
        <f>IF(ROW()-3&gt;MAX($LS$4:$LS$40),"",INDEX($AD$4:$AD$40,MATCH(ROW()-3,$LS$4:$LS$40,0)))</f>
        <v/>
      </c>
      <c r="LU17">
        <f>IF(COUNTIF('Buyer Groups'!DG70:DJ70,0)+COUNTIF('Buyer Groups'!DL70:EN70,0)&gt;0,0,1)</f>
        <v/>
      </c>
      <c r="LV17">
        <f>IF($AI$17="",FALSE,SUMPRODUCT(('Final Calculation Sheet'!$A$4:$A$40=$AI$17)*($LU$6:$LU$42=1))&gt;0)</f>
        <v/>
      </c>
      <c r="LW17">
        <f>$LW$16+--($LV17)</f>
        <v/>
      </c>
      <c r="LX17">
        <f>IF(ROW()-3&gt;MAX($LW$4:$LW$40),"",INDEX($AI$4:$AI$40,MATCH(ROW()-3,$LW$4:$LW$40,0)))</f>
        <v/>
      </c>
      <c r="LY17">
        <f>IF(COUNTIF('Buyer Groups'!DG70:DK70,0)+COUNTIF('Buyer Groups'!DM70:EN70,0)&gt;0,0,1)</f>
        <v/>
      </c>
      <c r="LZ17">
        <f>IF($AN$17="",FALSE,SUMPRODUCT(('Final Calculation Sheet'!$E$4:$E$40=$AN$17)*($LY$6:$LY$42=1))&gt;0)</f>
        <v/>
      </c>
      <c r="MA17">
        <f>$MA$16+--($LZ17)</f>
        <v/>
      </c>
      <c r="MB17">
        <f>IF(ROW()-3&gt;MAX($MA$4:$MA$40),"",INDEX($AN$4:$AN$40,MATCH(ROW()-3,$MA$4:$MA$40,0)))</f>
        <v/>
      </c>
      <c r="MC17">
        <f>IF(COUNTIF('Buyer Groups'!DG70:DL70,0)+COUNTIF('Buyer Groups'!DN70:EN70,0)&gt;0,0,1)</f>
        <v/>
      </c>
      <c r="MD17">
        <f>IF($AS$17="",FALSE,SUMPRODUCT(('Final Calculation Sheet'!$C$4:$C$40=$AS$17)*($MC$6:$MC$42=1))&gt;0)</f>
        <v/>
      </c>
      <c r="ME17">
        <f>$ME$16+--($MD17)</f>
        <v/>
      </c>
      <c r="MF17">
        <f>IF(ROW()-3&gt;MAX($ME$4:$ME$40),"",INDEX($AS$4:$AS$40,MATCH(ROW()-3,$ME$4:$ME$40,0)))</f>
        <v/>
      </c>
      <c r="MG17">
        <f>IF(COUNTIF('Buyer Groups'!DG70:DM70,0)+COUNTIF('Buyer Groups'!DO70:EN70,0)&gt;0,0,1)</f>
        <v/>
      </c>
      <c r="MH17">
        <f>IF($AX$17="",FALSE,SUMPRODUCT(('Final Calculation Sheet'!$H$4:$H$40=$AX$17)*($MG$6:$MG$42=1))&gt;0)</f>
        <v/>
      </c>
      <c r="MI17">
        <f>$MI$16+--($MH17)</f>
        <v/>
      </c>
      <c r="MJ17">
        <f>IF(ROW()-3&gt;MAX($MI$4:$MI$40),"",INDEX($AX$4:$AX$40,MATCH(ROW()-3,$MI$4:$MI$40,0)))</f>
        <v/>
      </c>
      <c r="MK17">
        <f>IF(COUNTIF('Buyer Groups'!DG70:DN70,0)+COUNTIF('Buyer Groups'!DP70:EN70,0)&gt;0,0,1)</f>
        <v/>
      </c>
      <c r="ML17">
        <f>IF($BC$17="",FALSE,SUMPRODUCT(('Final Calculation Sheet'!$I$4:$I$40=$BC$17)*($MK$6:$MK$42=1))&gt;0)</f>
        <v/>
      </c>
      <c r="MM17">
        <f>$MM$16+--($ML17)</f>
        <v/>
      </c>
      <c r="MN17">
        <f>IF(ROW()-3&gt;MAX($MM$4:$MM$40),"",INDEX($BC$4:$BC$40,MATCH(ROW()-3,$MM$4:$MM$40,0)))</f>
        <v/>
      </c>
      <c r="MO17">
        <f>IF(COUNTIF('Buyer Groups'!DG70:DO70,0)+COUNTIF('Buyer Groups'!DQ70:EN70,0)&gt;0,0,1)</f>
        <v/>
      </c>
      <c r="MP17">
        <f>IF($BH$17="",FALSE,SUMPRODUCT(('Final Calculation Sheet'!$J$4:$J$40=$BH$17)*($MO$6:$MO$42=1))&gt;0)</f>
        <v/>
      </c>
      <c r="MQ17">
        <f>$MQ$16+--($MP17)</f>
        <v/>
      </c>
      <c r="MR17">
        <f>IF(ROW()-3&gt;MAX($MQ$4:$MQ$40),"",INDEX($BH$4:$BH$40,MATCH(ROW()-3,$MQ$4:$MQ$40,0)))</f>
        <v/>
      </c>
      <c r="MS17">
        <f>IF(COUNTIF('Buyer Groups'!DG70:DP70,0)+COUNTIF('Buyer Groups'!DR70:EN70,0)&gt;0,0,1)</f>
        <v/>
      </c>
      <c r="MT17">
        <f>IF($BM$17="",FALSE,SUMPRODUCT(('Final Calculation Sheet'!$K$4:$K$40=$BM$17)*($MS$6:$MS$42=1))&gt;0)</f>
        <v/>
      </c>
      <c r="MU17">
        <f>$MU$16+--($MT17)</f>
        <v/>
      </c>
      <c r="MV17">
        <f>IF(ROW()-3&gt;MAX($MU$4:$MU$40),"",INDEX($BM$4:$BM$40,MATCH(ROW()-3,$MU$4:$MU$40,0)))</f>
        <v/>
      </c>
      <c r="MW17">
        <f>IF(COUNTIF('Buyer Groups'!DG70:DQ70,0)+COUNTIF('Buyer Groups'!DS70:EN70,0)&gt;0,0,1)</f>
        <v/>
      </c>
      <c r="MX17">
        <f>IF($BR$17="",FALSE,SUMPRODUCT(('Final Calculation Sheet'!$L$4:$L$40=$BR$17)*($MW$6:$MW$42=1))&gt;0)</f>
        <v/>
      </c>
      <c r="MY17">
        <f>$MY$16+--($MX17)</f>
        <v/>
      </c>
      <c r="MZ17">
        <f>IF(ROW()-3&gt;MAX($MY$4:$MY$40),"",INDEX($BR$4:$BR$40,MATCH(ROW()-3,$MY$4:$MY$40,0)))</f>
        <v/>
      </c>
      <c r="NA17">
        <f>IF(COUNTIF('Buyer Groups'!DG70:DR70,0)+COUNTIF('Buyer Groups'!DT70:EN70,0)&gt;0,0,1)</f>
        <v/>
      </c>
      <c r="NB17">
        <f>IF($BW$17="",FALSE,SUMPRODUCT(('Final Calculation Sheet'!$M$4:$M$40=$BW$17)*($NA$6:$NA$42=1))&gt;0)</f>
        <v/>
      </c>
      <c r="NC17">
        <f>$NC$16+--($NB17)</f>
        <v/>
      </c>
      <c r="ND17">
        <f>IF(ROW()-3&gt;MAX($NC$4:$NC$40),"",INDEX($BW$4:$BW$40,MATCH(ROW()-3,$NC$4:$NC$40,0)))</f>
        <v/>
      </c>
      <c r="NE17">
        <f>IF(COUNTIF('Buyer Groups'!DG70:DS70,0)+COUNTIF('Buyer Groups'!DU70:EN70,0)&gt;0,0,1)</f>
        <v/>
      </c>
      <c r="NF17">
        <f>IF($CB$17="",FALSE,SUMPRODUCT(('Final Calculation Sheet'!$N$4:$N$40=$CB$17)*($NE$6:$NE$42=1))&gt;0)</f>
        <v/>
      </c>
      <c r="NG17">
        <f>$NG$16+--($NF17)</f>
        <v/>
      </c>
      <c r="NH17">
        <f>IF(ROW()-3&gt;MAX($NG$4:$NG$40),"",INDEX($CB$4:$CB$40,MATCH(ROW()-3,$NG$4:$NG$40,0)))</f>
        <v/>
      </c>
      <c r="NI17">
        <f>IF(COUNTIF('Buyer Groups'!DG70:DT70,0)+COUNTIF('Buyer Groups'!DV70:EN70,0)&gt;0,0,1)</f>
        <v/>
      </c>
      <c r="NJ17">
        <f>IF($CG$17="",FALSE,SUMPRODUCT(('Final Calculation Sheet'!$O$4:$O$40=$CG$17)*($NI$6:$NI$42=1))&gt;0)</f>
        <v/>
      </c>
      <c r="NK17">
        <f>$NK$16+--($NJ17)</f>
        <v/>
      </c>
      <c r="NL17">
        <f>IF(ROW()-3&gt;MAX($NK$4:$NK$40),"",INDEX($CG$4:$CG$40,MATCH(ROW()-3,$NK$4:$NK$40,0)))</f>
        <v/>
      </c>
      <c r="NM17">
        <f>IF(COUNTIF('Buyer Groups'!DG70:DU70,0)+COUNTIF('Buyer Groups'!DW70:EN70,0)&gt;0,0,1)</f>
        <v/>
      </c>
      <c r="NN17">
        <f>IF($CL$17="",FALSE,SUMPRODUCT(('Final Calculation Sheet'!$P$4:$P$40=$CL$17)*($NM$6:$NM$42=1))&gt;0)</f>
        <v/>
      </c>
      <c r="NO17">
        <f>$NO$16+--($NN17)</f>
        <v/>
      </c>
      <c r="NP17">
        <f>IF(ROW()-3&gt;MAX($NO$4:$NO$40),"",INDEX($CL$4:$CL$40,MATCH(ROW()-3,$NO$4:$NO$40,0)))</f>
        <v/>
      </c>
      <c r="NQ17">
        <f>IF(COUNTIF('Buyer Groups'!DG70:DV70,0)+COUNTIF('Buyer Groups'!DX70:EN70,0)&gt;0,0,1)</f>
        <v/>
      </c>
      <c r="NR17">
        <f>IF($CQ$17="",FALSE,SUMPRODUCT(('Final Calculation Sheet'!$Q$4:$Q$40=$CQ$17)*($NQ$6:$NQ$42=1))&gt;0)</f>
        <v/>
      </c>
      <c r="NS17">
        <f>$NS$16+--($NR17)</f>
        <v/>
      </c>
      <c r="NT17">
        <f>IF(ROW()-3&gt;MAX($NS$4:$NS$40),"",INDEX($CQ$4:$CQ$40,MATCH(ROW()-3,$NS$4:$NS$40,0)))</f>
        <v/>
      </c>
      <c r="NU17">
        <f>IF(COUNTIF('Buyer Groups'!DG70:DW70,0)+COUNTIF('Buyer Groups'!DY70:EN70,0)&gt;0,0,1)</f>
        <v/>
      </c>
      <c r="NV17">
        <f>IF($CV$17="",FALSE,SUMPRODUCT(('Final Calculation Sheet'!$R$4:$R$40=$CV$17)*($NU$6:$NU$42=1))&gt;0)</f>
        <v/>
      </c>
      <c r="NW17">
        <f>$NW$16+--($NV17)</f>
        <v/>
      </c>
      <c r="NX17">
        <f>IF(ROW()-3&gt;MAX($NW$4:$NW$40),"",INDEX($CV$4:$CV$40,MATCH(ROW()-3,$NW$4:$NW$40,0)))</f>
        <v/>
      </c>
      <c r="NY17">
        <f>IF(COUNTIF('Buyer Groups'!DG70:DX70,0)+COUNTIF('Buyer Groups'!DZ70:EN70,0)&gt;0,0,1)</f>
        <v/>
      </c>
      <c r="NZ17">
        <f>IF($DA$17="",FALSE,SUMPRODUCT(('Final Calculation Sheet'!$S$4:$S$40=$DA$17)*($NY$6:$NY$42=1))&gt;0)</f>
        <v/>
      </c>
      <c r="OA17">
        <f>$OA$16+--($NZ17)</f>
        <v/>
      </c>
      <c r="OB17">
        <f>IF(ROW()-3&gt;MAX($OA$4:$OA$40),"",INDEX($DA$4:$DA$40,MATCH(ROW()-3,$OA$4:$OA$40,0)))</f>
        <v/>
      </c>
      <c r="OC17">
        <f>IF(COUNTIF('Buyer Groups'!DG70:DY70,0)+COUNTIF('Buyer Groups'!EA70:EN70,0)&gt;0,0,1)</f>
        <v/>
      </c>
      <c r="OD17">
        <f>IF($DF$17="",FALSE,SUMPRODUCT(('Final Calculation Sheet'!$T$4:$T$40=$DF$17)*($OC$6:$OC$42=1))&gt;0)</f>
        <v/>
      </c>
      <c r="OE17">
        <f>$OE$16+--($OD17)</f>
        <v/>
      </c>
      <c r="OF17">
        <f>IF(ROW()-3&gt;MAX($OE$4:$OE$40),"",INDEX($DF$4:$DF$40,MATCH(ROW()-3,$OE$4:$OE$40,0)))</f>
        <v/>
      </c>
      <c r="OG17">
        <f>IF(COUNTIF('Buyer Groups'!DG70:DZ70,0)+COUNTIF('Buyer Groups'!EB70:EN70,0)&gt;0,0,1)</f>
        <v/>
      </c>
      <c r="OH17">
        <f>IF($DK$17="",FALSE,SUMPRODUCT(('Final Calculation Sheet'!$U$4:$U$40=$DK$17)*($OG$6:$OG$42=1))&gt;0)</f>
        <v/>
      </c>
      <c r="OI17">
        <f>$OI$16+--($OH17)</f>
        <v/>
      </c>
      <c r="OJ17">
        <f>IF(ROW()-3&gt;MAX($OI$4:$OI$40),"",INDEX($DK$4:$DK$40,MATCH(ROW()-3,$OI$4:$OI$40,0)))</f>
        <v/>
      </c>
      <c r="OK17">
        <f>IF(COUNTIF('Buyer Groups'!DG70:EA70,0)+COUNTIF('Buyer Groups'!EC70:EN70,0)&gt;0,0,1)</f>
        <v/>
      </c>
      <c r="OL17">
        <f>IF($DP$17="",FALSE,SUMPRODUCT(('Final Calculation Sheet'!$V$4:$V$40=$DP$17)*($OK$6:$OK$42=1))&gt;0)</f>
        <v/>
      </c>
      <c r="OM17">
        <f>$OM$16+--($OL17)</f>
        <v/>
      </c>
      <c r="ON17">
        <f>IF(ROW()-3&gt;MAX($OM$4:$OM$40),"",INDEX($DP$4:$DP$40,MATCH(ROW()-3,$OM$4:$OM$40,0)))</f>
        <v/>
      </c>
      <c r="OO17">
        <f>IF(COUNTIF('Buyer Groups'!DG70:EB70,0)+COUNTIF('Buyer Groups'!ED70:EN70,0)&gt;0,0,1)</f>
        <v/>
      </c>
      <c r="OP17">
        <f>IF($DU$17="",FALSE,SUMPRODUCT(('Final Calculation Sheet'!$W$4:$W$40=$DU$17)*($OO$6:$OO$42=1))&gt;0)</f>
        <v/>
      </c>
      <c r="OQ17">
        <f>$OQ$16+--($OP17)</f>
        <v/>
      </c>
      <c r="OR17">
        <f>IF(ROW()-3&gt;MAX($OQ$4:$OQ$40),"",INDEX($DU$4:$DU$40,MATCH(ROW()-3,$OQ$4:$OQ$40,0)))</f>
        <v/>
      </c>
      <c r="OS17">
        <f>IF(COUNTIF('Buyer Groups'!DG70:EC70,0)+COUNTIF('Buyer Groups'!EE70:EN70,0)&gt;0,0,1)</f>
        <v/>
      </c>
      <c r="OT17">
        <f>IF($DZ$17="",FALSE,SUMPRODUCT(('Final Calculation Sheet'!$X$4:$X$40=$DZ$17)*($OS$6:$OS$42=1))&gt;0)</f>
        <v/>
      </c>
      <c r="OU17">
        <f>$OU$16+--($OT17)</f>
        <v/>
      </c>
      <c r="OV17">
        <f>IF(ROW()-3&gt;MAX($OU$4:$OU$40),"",INDEX($DZ$4:$DZ$40,MATCH(ROW()-3,$OU$4:$OU$40,0)))</f>
        <v/>
      </c>
      <c r="OW17">
        <f>IF(COUNTIF('Buyer Groups'!DG70:ED70,0)+COUNTIF('Buyer Groups'!EF70:EN70,0)&gt;0,0,1)</f>
        <v/>
      </c>
      <c r="OX17">
        <f>IF($EE$17="",FALSE,SUMPRODUCT(('Final Calculation Sheet'!$Y$4:$Y$40=$EE$17)*($OW$6:$OW$42=1))&gt;0)</f>
        <v/>
      </c>
      <c r="OY17">
        <f>$OY$16+--($OX17)</f>
        <v/>
      </c>
      <c r="OZ17">
        <f>IF(ROW()-3&gt;MAX($OY$4:$OY$40),"",INDEX($EE$4:$EE$40,MATCH(ROW()-3,$OY$4:$OY$40,0)))</f>
        <v/>
      </c>
      <c r="PA17">
        <f>IF(COUNTIF('Buyer Groups'!DG70:EE70,0)+COUNTIF('Buyer Groups'!EG70:EN70,0)&gt;0,0,1)</f>
        <v/>
      </c>
      <c r="PB17">
        <f>IF($EJ$17="",FALSE,SUMPRODUCT(('Final Calculation Sheet'!$Z$4:$Z$40=$EJ$17)*($PA$6:$PA$42=1))&gt;0)</f>
        <v/>
      </c>
      <c r="PC17">
        <f>$PC$16+--($PB17)</f>
        <v/>
      </c>
      <c r="PD17">
        <f>IF(ROW()-3&gt;MAX($PC$4:$PC$40),"",INDEX($EJ$4:$EJ$40,MATCH(ROW()-3,$PC$4:$PC$40,0)))</f>
        <v/>
      </c>
      <c r="PE17">
        <f>IF(COUNTIF('Buyer Groups'!DG70:EF70,0)+COUNTIF('Buyer Groups'!EH70:EN70,0)&gt;0,0,1)</f>
        <v/>
      </c>
      <c r="PF17">
        <f>IF($EO$17="",FALSE,SUMPRODUCT(('Final Calculation Sheet'!$AA$4:$AA$40=$EO$17)*($PE$6:$PE$42=1))&gt;0)</f>
        <v/>
      </c>
      <c r="PG17">
        <f>$PG$16+--($PF17)</f>
        <v/>
      </c>
      <c r="PH17">
        <f>IF(ROW()-3&gt;MAX($PG$4:$PG$40),"",INDEX($EO$4:$EO$40,MATCH(ROW()-3,$PG$4:$PG$40,0)))</f>
        <v/>
      </c>
      <c r="PI17">
        <f>IF(COUNTIF('Buyer Groups'!DG70:EG70,0)+COUNTIF('Buyer Groups'!EI70:EN70,0)&gt;0,0,1)</f>
        <v/>
      </c>
      <c r="PJ17">
        <f>IF($ET$17="",FALSE,SUMPRODUCT(('Final Calculation Sheet'!$AB$4:$AB$40=$ET$17)*($PI$6:$PI$42=1))&gt;0)</f>
        <v/>
      </c>
      <c r="PK17">
        <f>$PK$16+--($PJ17)</f>
        <v/>
      </c>
      <c r="PL17">
        <f>IF(ROW()-3&gt;MAX($PK$4:$PK$40),"",INDEX($ET$4:$ET$40,MATCH(ROW()-3,$PK$4:$PK$40,0)))</f>
        <v/>
      </c>
      <c r="PM17">
        <f>IF(COUNTIF('Buyer Groups'!DG70:EH70,0)+COUNTIF('Buyer Groups'!EJ70:EN70,0)&gt;0,0,1)</f>
        <v/>
      </c>
      <c r="PN17">
        <f>IF($EY$17="",FALSE,SUMPRODUCT(('Final Calculation Sheet'!$AC$4:$AC$40=$EY$17)*($PM$6:$PM$42=1))&gt;0)</f>
        <v/>
      </c>
      <c r="PO17">
        <f>$PO$16+--($PN17)</f>
        <v/>
      </c>
      <c r="PP17">
        <f>IF(ROW()-3&gt;MAX($PO$4:$PO$40),"",INDEX($EY$4:$EY$40,MATCH(ROW()-3,$PO$4:$PO$40,0)))</f>
        <v/>
      </c>
      <c r="PQ17">
        <f>IF(COUNTIF('Buyer Groups'!DG70:EI70,0)+COUNTIF('Buyer Groups'!EK70:EN70,0)&gt;0,0,1)</f>
        <v/>
      </c>
      <c r="PR17">
        <f>IF($FD$17="",FALSE,SUMPRODUCT(('Final Calculation Sheet'!$AD$4:$AD$40=$FD$17)*($PQ$6:$PQ$42=1))&gt;0)</f>
        <v/>
      </c>
      <c r="PS17">
        <f>$PS$16+--($PR17)</f>
        <v/>
      </c>
      <c r="PT17">
        <f>IF(ROW()-3&gt;MAX($PS$4:$PS$40),"",INDEX($FD$4:$FD$40,MATCH(ROW()-3,$PS$4:$PS$40,0)))</f>
        <v/>
      </c>
      <c r="PU17">
        <f>IF(COUNTIF('Buyer Groups'!DG70:EJ70,0)+COUNTIF('Buyer Groups'!EL70:EN70,0)&gt;0,0,1)</f>
        <v/>
      </c>
      <c r="PV17">
        <f>IF($FX$17="",FALSE,SUMPRODUCT((IF('Final Calculation Sheet'!$AD$4:$AD$40&lt;=5,"SETTLED","OUTSTANDING")=$FX$17)*($PU$6:$PU$42=1))&gt;0)</f>
        <v/>
      </c>
      <c r="PW17">
        <f>$PW$16+--($PV17)</f>
        <v/>
      </c>
      <c r="PX17">
        <f>IF(ROW()-3&gt;MAX($PW$4:$PW$40),"",INDEX($FX$4:$FX$40,MATCH(ROW()-3,$PW$4:$PW$40,0)))</f>
        <v/>
      </c>
      <c r="PY17">
        <f>IF(COUNTIF('Buyer Groups'!DG70:EK70,0)+COUNTIF('Buyer Groups'!EM70:EN70,0)&gt;0,0,1)</f>
        <v/>
      </c>
      <c r="PZ17">
        <f>IF($FI$17="",FALSE,SUMPRODUCT(('Final Calculation Sheet'!$AF$4:$AF$40=$FI$17)*($PY$6:$PY$42=1))&gt;0)</f>
        <v/>
      </c>
      <c r="QA17">
        <f>$QA$16+--($PZ17)</f>
        <v/>
      </c>
      <c r="QB17">
        <f>IF(ROW()-3&gt;MAX($QA$4:$QA$40),"",INDEX($FI$4:$FI$40,MATCH(ROW()-3,$QA$4:$QA$40,0)))</f>
        <v/>
      </c>
      <c r="QC17">
        <f>IF(COUNTIF('Buyer Groups'!DG70:EL70,0)+COUNTIF('Buyer Groups'!EN70:EN70,0)&gt;0,0,1)</f>
        <v/>
      </c>
      <c r="QD17">
        <f>IF($FN$17="",FALSE,SUMPRODUCT(('Final Calculation Sheet'!$AG$4:$AG$40=$FN$17)*($QC$6:$QC$42=1))&gt;0)</f>
        <v/>
      </c>
      <c r="QE17">
        <f>$QE$16+--($QD17)</f>
        <v/>
      </c>
      <c r="QF17">
        <f>IF(ROW()-3&gt;MAX($QE$4:$QE$40),"",INDEX($FN$4:$FN$40,MATCH(ROW()-3,$QE$4:$QE$40,0)))</f>
        <v/>
      </c>
      <c r="QG17">
        <f>IF(COUNTIF('Buyer Groups'!DG70:EM70,0)&gt;0,0,1)</f>
        <v/>
      </c>
      <c r="QH17">
        <f>IF($FS$17="",FALSE,SUMPRODUCT(('Final Calculation Sheet'!$AH$4:$AH$40=$FS$17)*($QG$6:$QG$42=1))&gt;0)</f>
        <v/>
      </c>
      <c r="QI17">
        <f>$QI$16+--($QH17)</f>
        <v/>
      </c>
      <c r="QJ17">
        <f>IF(ROW()-3&gt;MAX($QI$4:$QI$40),"",INDEX($FS$4:$FS$40,MATCH(ROW()-3,$QI$4:$QI$40,0)))</f>
        <v/>
      </c>
      <c r="QK17" t="str">
        <f>IF('Final Calculation Sheet'!$AH$17="","",'Final Calculation Sheet'!$AH$17)</f>
      </c>
      <c r="QL17" t="str">
        <f>IF(QK17="","",COUNTIFS(QK$4:QK$40,"&lt;"&amp;QK17,QK$4:QK$40,"&lt;&gt;"&amp;"")+COUNTIF(QK$4:QK17,QK17))</f>
      </c>
      <c r="QM17" t="str">
        <f>IF(ROW()-3&gt;COUNTIF(QK$4:QK$40,"&lt;&gt;"&amp;""),"",INDEX(QK$4:QK$40,MATCH(ROW()-3,QL$4:QL$40,0)))</f>
      </c>
      <c r="QN17" t="str">
        <f>=QN16+F(AND(QM17&lt;&gt;"",COUNTIF(QM$4:QM17,QM17)=1),1,0)</f>
      </c>
      <c r="QO17" t="str">
        <f>IF(ROW()-3&gt;MAX(QN$4:QN$40),"",INDEX(QM$4:QM$40,MATCH(ROW()-3,QN$4:QN$40,0)))</f>
      </c>
      <c r="QP17" t="str">
        <f>IF(COUNTIF('Final Calculation Sheet'!$AM17:$BS17,0)&gt;0,0,1)</f>
      </c>
      <c r="QQ17" t="str">
        <f>IF($AI$17="",FALSE,SUMPRODUCT(('Final Calculation Sheet'!$A$4:$A$40=$AI$17)*($QP$4:$QP$40=1))&gt;0)</f>
      </c>
      <c r="QR17" t="str">
        <f>=$QR16+--($QQ17)</f>
      </c>
      <c r="QS17" t="str">
        <f>IF(ROW()-3&gt;MAX($QR$4:$QR$40),"",INDEX($AI$4:$AI$40,MATCH(ROW()-3,$QR$4:$QR$40,0)))</f>
      </c>
      <c r="QT17" t="str">
        <f>IF(COUNTIF('Final Calculation Sheet'!$AL17:$AL17,0)+COUNTIF('Final Calculation Sheet'!$AN17:$BS17,0)&gt;0,0,1)</f>
      </c>
      <c r="QU17" t="str">
        <f>IF($Y$17="",FALSE,SUMPRODUCT(('Final Calculation Sheet'!$B$4:$B$40=$Y$17)*($QT$4:$QT$40=1))&gt;0)</f>
      </c>
      <c r="QV17" t="str">
        <f>=$QV16+--($QU17)</f>
      </c>
      <c r="QW17" t="str">
        <f>IF(ROW()-3&gt;MAX($QV$4:$QV$40),"",INDEX($Y$4:$Y$40,MATCH(ROW()-3,$QV$4:$QV$40,0)))</f>
      </c>
      <c r="QX17" t="str">
        <f>IF(COUNTIF('Final Calculation Sheet'!$AL17:$AM17,0)+COUNTIF('Final Calculation Sheet'!$AO17:$BS17,0)&gt;0,0,1)</f>
      </c>
      <c r="QY17" t="str">
        <f>IF($AS$17="",FALSE,SUMPRODUCT(('Final Calculation Sheet'!$C$4:$C$40=$AS$17)*($QX$4:$QX$40=1))&gt;0)</f>
      </c>
      <c r="QZ17" t="str">
        <f>=$QZ16+--($QY17)</f>
      </c>
      <c r="RA17" t="str">
        <f>IF(ROW()-3&gt;MAX($QZ$4:$QZ$40),"",INDEX($AS$4:$AS$40,MATCH(ROW()-3,$QZ$4:$QZ$40,0)))</f>
      </c>
      <c r="RB17" t="str">
        <f>IF(COUNTIF('Final Calculation Sheet'!$AL17:$AN17,0)+COUNTIF('Final Calculation Sheet'!$AP17:$BS17,0)&gt;0,0,1)</f>
      </c>
      <c r="RC17" t="str">
        <f>IF($AD$17="",FALSE,SUMPRODUCT(('Final Calculation Sheet'!$D$4:$D$40=$AD$17)*($RB$4:$RB$40=1))&gt;0)</f>
      </c>
      <c r="RD17" t="str">
        <f>=$RD16+--($RC17)</f>
      </c>
      <c r="RE17" t="str">
        <f>IF(ROW()-3&gt;MAX($RD$4:$RD$40),"",INDEX($AD$4:$AD$40,MATCH(ROW()-3,$RD$4:$RD$40,0)))</f>
      </c>
      <c r="RF17" t="str">
        <f>IF(COUNTIF('Final Calculation Sheet'!$AL17:$AO17,0)+COUNTIF('Final Calculation Sheet'!$AQ17:$BS17,0)&gt;0,0,1)</f>
      </c>
      <c r="RG17" t="str">
        <f>IF($AN$17="",FALSE,SUMPRODUCT(('Final Calculation Sheet'!$E$4:$E$40=$AN$17)*($RF$4:$RF$40=1))&gt;0)</f>
      </c>
      <c r="RH17" t="str">
        <f>=$RH16+--($RG17)</f>
      </c>
      <c r="RI17" t="str">
        <f>IF(ROW()-3&gt;MAX($RH$4:$RH$40),"",INDEX($AN$4:$AN$40,MATCH(ROW()-3,$RH$4:$RH$40,0)))</f>
      </c>
      <c r="RJ17" t="str">
        <f>IF(COUNTIF('Final Calculation Sheet'!$AL17:$AP17,0)+COUNTIF('Final Calculation Sheet'!$AR17:$BS17,0)&gt;0,0,1)</f>
      </c>
      <c r="RK17" t="str">
        <f>IF($O$17="",FALSE,SUMPRODUCT(('Final Calculation Sheet'!$F$4:$F$40=$O$17)*($RJ$4:$RJ$40=1))&gt;0)</f>
      </c>
      <c r="RL17" t="str">
        <f>=$RL16+--($RK17)</f>
      </c>
      <c r="RM17" t="str">
        <f>IF(ROW()-3&gt;MAX($RL$4:$RL$40),"",INDEX($O$4:$O$40,MATCH(ROW()-3,$RL$4:$RL$40,0)))</f>
      </c>
      <c r="RN17" t="str">
        <f>IF(COUNTIF('Final Calculation Sheet'!$AL17:$AQ17,0)+COUNTIF('Final Calculation Sheet'!$AS17:$BS17,0)&gt;0,0,1)</f>
      </c>
      <c r="RO17" t="str">
        <f>IF($T$17="",FALSE,SUMPRODUCT(('Final Calculation Sheet'!$G$4:$G$40=$T$17)*($RN$4:$RN$40=1))&gt;0)</f>
      </c>
      <c r="RP17" t="str">
        <f>=$RP16+--($RO17)</f>
      </c>
      <c r="RQ17" t="str">
        <f>IF(ROW()-3&gt;MAX($RP$4:$RP$40),"",INDEX($T$4:$T$40,MATCH(ROW()-3,$RP$4:$RP$40,0)))</f>
      </c>
      <c r="RR17" t="str">
        <f>IF(COUNTIF('Final Calculation Sheet'!$AL17:$AR17,0)+COUNTIF('Final Calculation Sheet'!$AT17:$BS17,0)&gt;0,0,1)</f>
      </c>
      <c r="RS17" t="str">
        <f>IF($AX$17="",FALSE,SUMPRODUCT(('Final Calculation Sheet'!$H$4:$H$40=$AX$17)*($RR$4:$RR$40=1))&gt;0)</f>
      </c>
      <c r="RT17" t="str">
        <f>=$RT16+--($RS17)</f>
      </c>
      <c r="RU17" t="str">
        <f>IF(ROW()-3&gt;MAX($RT$4:$RT$40),"",INDEX($AX$4:$AX$40,MATCH(ROW()-3,$RT$4:$RT$40,0)))</f>
      </c>
      <c r="RV17" t="str">
        <f>IF(COUNTIF('Final Calculation Sheet'!$AL17:$AS17,0)+COUNTIF('Final Calculation Sheet'!$AU17:$BS17,0)&gt;0,0,1)</f>
      </c>
      <c r="RW17" t="str">
        <f>IF($BC$17="",FALSE,SUMPRODUCT(('Final Calculation Sheet'!$I$4:$I$40=$BC$17)*($RV$4:$RV$40=1))&gt;0)</f>
      </c>
      <c r="RX17" t="str">
        <f>=$RX16+--($RW17)</f>
      </c>
      <c r="RY17" t="str">
        <f>IF(ROW()-3&gt;MAX($RX$4:$RX$40),"",INDEX($BC$4:$BC$40,MATCH(ROW()-3,$RX$4:$RX$40,0)))</f>
      </c>
      <c r="RZ17" t="str">
        <f>IF(COUNTIF('Final Calculation Sheet'!$AL17:$AT17,0)+COUNTIF('Final Calculation Sheet'!$AV17:$BS17,0)&gt;0,0,1)</f>
      </c>
      <c r="SA17" t="str">
        <f>IF($BH$17="",FALSE,SUMPRODUCT(('Final Calculation Sheet'!$J$4:$J$40=$BH$17)*($RZ$4:$RZ$40=1))&gt;0)</f>
      </c>
      <c r="SB17" t="str">
        <f>=$SB16+--($SA17)</f>
      </c>
      <c r="SC17" t="str">
        <f>IF(ROW()-3&gt;MAX($SB$4:$SB$40),"",INDEX($BH$4:$BH$40,MATCH(ROW()-3,$SB$4:$SB$40,0)))</f>
      </c>
      <c r="SD17" t="str">
        <f>IF(COUNTIF('Final Calculation Sheet'!$AL17:$AU17,0)+COUNTIF('Final Calculation Sheet'!$AW17:$BS17,0)&gt;0,0,1)</f>
      </c>
      <c r="SE17" t="str">
        <f>IF($BM$17="",FALSE,SUMPRODUCT(('Final Calculation Sheet'!$K$4:$K$40=$BM$17)*($SD$4:$SD$40=1))&gt;0)</f>
      </c>
      <c r="SF17" t="str">
        <f>=$SF16+--($SE17)</f>
      </c>
      <c r="SG17" t="str">
        <f>IF(ROW()-3&gt;MAX($SF$4:$SF$40),"",INDEX($BM$4:$BM$40,MATCH(ROW()-3,$SF$4:$SF$40,0)))</f>
      </c>
      <c r="SH17" t="str">
        <f>IF(COUNTIF('Final Calculation Sheet'!$AL17:$AV17,0)+COUNTIF('Final Calculation Sheet'!$AX17:$BS17,0)&gt;0,0,1)</f>
      </c>
      <c r="SI17" t="str">
        <f>IF($BR$17="",FALSE,SUMPRODUCT(('Final Calculation Sheet'!$L$4:$L$40=$BR$17)*($SH$4:$SH$40=1))&gt;0)</f>
      </c>
      <c r="SJ17" t="str">
        <f>=$SJ16+--($SI17)</f>
      </c>
      <c r="SK17" t="str">
        <f>IF(ROW()-3&gt;MAX($SJ$4:$SJ$40),"",INDEX($BR$4:$BR$40,MATCH(ROW()-3,$SJ$4:$SJ$40,0)))</f>
      </c>
      <c r="SL17" t="str">
        <f>IF(COUNTIF('Final Calculation Sheet'!$AL17:$AW17,0)+COUNTIF('Final Calculation Sheet'!$AY17:$BS17,0)&gt;0,0,1)</f>
      </c>
      <c r="SM17" t="str">
        <f>IF($BW$17="",FALSE,SUMPRODUCT(('Final Calculation Sheet'!$M$4:$M$40=$BW$17)*($SL$4:$SL$40=1))&gt;0)</f>
      </c>
      <c r="SN17" t="str">
        <f>=$SN16+--($SM17)</f>
      </c>
      <c r="SO17" t="str">
        <f>IF(ROW()-3&gt;MAX($SN$4:$SN$40),"",INDEX($BW$4:$BW$40,MATCH(ROW()-3,$SN$4:$SN$40,0)))</f>
      </c>
      <c r="SP17" t="str">
        <f>IF(COUNTIF('Final Calculation Sheet'!$AL17:$AX17,0)+COUNTIF('Final Calculation Sheet'!$AZ17:$BS17,0)&gt;0,0,1)</f>
      </c>
      <c r="SQ17" t="str">
        <f>IF($CB$17="",FALSE,SUMPRODUCT(('Final Calculation Sheet'!$N$4:$N$40=$CB$17)*($SP$4:$SP$40=1))&gt;0)</f>
      </c>
      <c r="SR17" t="str">
        <f>=$SR16+--($SQ17)</f>
      </c>
      <c r="SS17" t="str">
        <f>IF(ROW()-3&gt;MAX($SR$4:$SR$40),"",INDEX($CB$4:$CB$40,MATCH(ROW()-3,$SR$4:$SR$40,0)))</f>
      </c>
      <c r="ST17" t="str">
        <f>IF(COUNTIF('Final Calculation Sheet'!$AL17:$AY17,0)+COUNTIF('Final Calculation Sheet'!$BA17:$BS17,0)&gt;0,0,1)</f>
      </c>
      <c r="SU17" t="str">
        <f>IF($CG$17="",FALSE,SUMPRODUCT(('Final Calculation Sheet'!$O$4:$O$40=$CG$17)*($ST$4:$ST$40=1))&gt;0)</f>
      </c>
      <c r="SV17" t="str">
        <f>=$SV16+--($SU17)</f>
      </c>
      <c r="SW17" t="str">
        <f>IF(ROW()-3&gt;MAX($SV$4:$SV$40),"",INDEX($CG$4:$CG$40,MATCH(ROW()-3,$SV$4:$SV$40,0)))</f>
      </c>
      <c r="SX17" t="str">
        <f>IF(COUNTIF('Final Calculation Sheet'!$AL17:$AZ17,0)+COUNTIF('Final Calculation Sheet'!$BB17:$BS17,0)&gt;0,0,1)</f>
      </c>
      <c r="SY17" t="str">
        <f>IF($CL$17="",FALSE,SUMPRODUCT(('Final Calculation Sheet'!$P$4:$P$40=$CL$17)*($SX$4:$SX$40=1))&gt;0)</f>
      </c>
      <c r="SZ17" t="str">
        <f>=$SZ16+--($SY17)</f>
      </c>
      <c r="TA17" t="str">
        <f>IF(ROW()-3&gt;MAX($SZ$4:$SZ$40),"",INDEX($CL$4:$CL$40,MATCH(ROW()-3,$SZ$4:$SZ$40,0)))</f>
      </c>
      <c r="TB17" t="str">
        <f>IF(COUNTIF('Final Calculation Sheet'!$AL17:$BA17,0)+COUNTIF('Final Calculation Sheet'!$BC17:$BS17,0)&gt;0,0,1)</f>
      </c>
      <c r="TC17" t="str">
        <f>IF($CQ$17="",FALSE,SUMPRODUCT(('Final Calculation Sheet'!$Q$4:$Q$40=$CQ$17)*($TB$4:$TB$40=1))&gt;0)</f>
      </c>
      <c r="TD17" t="str">
        <f>=$TD16+--($TC17)</f>
      </c>
      <c r="TE17" t="str">
        <f>IF(ROW()-3&gt;MAX($TD$4:$TD$40),"",INDEX($CQ$4:$CQ$40,MATCH(ROW()-3,$TD$4:$TD$40,0)))</f>
      </c>
      <c r="TF17" t="str">
        <f>IF(COUNTIF('Final Calculation Sheet'!$AL17:$BB17,0)+COUNTIF('Final Calculation Sheet'!$BD17:$BS17,0)&gt;0,0,1)</f>
      </c>
      <c r="TG17" t="str">
        <f>IF($CV$17="",FALSE,SUMPRODUCT(('Final Calculation Sheet'!$R$4:$R$40=$CV$17)*($TF$4:$TF$40=1))&gt;0)</f>
      </c>
      <c r="TH17" t="str">
        <f>=$TH16+--($TG17)</f>
      </c>
      <c r="TI17" t="str">
        <f>IF(ROW()-3&gt;MAX($TH$4:$TH$40),"",INDEX($CV$4:$CV$40,MATCH(ROW()-3,$TH$4:$TH$40,0)))</f>
      </c>
      <c r="TJ17" t="str">
        <f>IF(COUNTIF('Final Calculation Sheet'!$AL17:$BC17,0)+COUNTIF('Final Calculation Sheet'!$BE17:$BS17,0)&gt;0,0,1)</f>
      </c>
      <c r="TK17" t="str">
        <f>IF($DA$17="",FALSE,SUMPRODUCT(('Final Calculation Sheet'!$S$4:$S$40=$DA$17)*($TJ$4:$TJ$40=1))&gt;0)</f>
      </c>
      <c r="TL17" t="str">
        <f>=$TL16+--($TK17)</f>
      </c>
      <c r="TM17" t="str">
        <f>IF(ROW()-3&gt;MAX($TL$4:$TL$40),"",INDEX($DA$4:$DA$40,MATCH(ROW()-3,$TL$4:$TL$40,0)))</f>
      </c>
      <c r="TN17" t="str">
        <f>IF(COUNTIF('Final Calculation Sheet'!$AL17:$BD17,0)+COUNTIF('Final Calculation Sheet'!$BF17:$BS17,0)&gt;0,0,1)</f>
      </c>
      <c r="TO17" t="str">
        <f>IF($DF$17="",FALSE,SUMPRODUCT(('Final Calculation Sheet'!$T$4:$T$40=$DF$17)*($TN$4:$TN$40=1))&gt;0)</f>
      </c>
      <c r="TP17" t="str">
        <f>=$TP16+--($TO17)</f>
      </c>
      <c r="TQ17" t="str">
        <f>IF(ROW()-3&gt;MAX($TP$4:$TP$40),"",INDEX($DF$4:$DF$40,MATCH(ROW()-3,$TP$4:$TP$40,0)))</f>
      </c>
      <c r="TR17" t="str">
        <f>IF(COUNTIF('Final Calculation Sheet'!$AL17:$BE17,0)+COUNTIF('Final Calculation Sheet'!$BG17:$BS17,0)&gt;0,0,1)</f>
      </c>
      <c r="TS17" t="str">
        <f>IF($DK$17="",FALSE,SUMPRODUCT(('Final Calculation Sheet'!$U$4:$U$40=$DK$17)*($TR$4:$TR$40=1))&gt;0)</f>
      </c>
      <c r="TT17" t="str">
        <f>=$TT16+--($TS17)</f>
      </c>
      <c r="TU17" t="str">
        <f>IF(ROW()-3&gt;MAX($TT$4:$TT$40),"",INDEX($DK$4:$DK$40,MATCH(ROW()-3,$TT$4:$TT$40,0)))</f>
      </c>
      <c r="TV17" t="str">
        <f>IF(COUNTIF('Final Calculation Sheet'!$AL17:$BF17,0)+COUNTIF('Final Calculation Sheet'!$BH17:$BS17,0)&gt;0,0,1)</f>
      </c>
      <c r="TW17" t="str">
        <f>IF($DP$17="",FALSE,SUMPRODUCT(('Final Calculation Sheet'!$V$4:$V$40=$DP$17)*($TV$4:$TV$40=1))&gt;0)</f>
      </c>
      <c r="TX17" t="str">
        <f>=$TX16+--($TW17)</f>
      </c>
      <c r="TY17" t="str">
        <f>IF(ROW()-3&gt;MAX($TX$4:$TX$40),"",INDEX($DP$4:$DP$40,MATCH(ROW()-3,$TX$4:$TX$40,0)))</f>
      </c>
      <c r="TZ17" t="str">
        <f>IF(COUNTIF('Final Calculation Sheet'!$AL17:$BG17,0)+COUNTIF('Final Calculation Sheet'!$BI17:$BS17,0)&gt;0,0,1)</f>
      </c>
      <c r="UA17" t="str">
        <f>IF($DU$17="",FALSE,SUMPRODUCT(('Final Calculation Sheet'!$W$4:$W$40=$DU$17)*($TZ$4:$TZ$40=1))&gt;0)</f>
      </c>
      <c r="UB17" t="str">
        <f>=$UB16+--($UA17)</f>
      </c>
      <c r="UC17" t="str">
        <f>IF(ROW()-3&gt;MAX($UB$4:$UB$40),"",INDEX($DU$4:$DU$40,MATCH(ROW()-3,$UB$4:$UB$40,0)))</f>
      </c>
      <c r="UD17" t="str">
        <f>IF(COUNTIF('Final Calculation Sheet'!$AL17:$BH17,0)+COUNTIF('Final Calculation Sheet'!$BJ17:$BS17,0)&gt;0,0,1)</f>
      </c>
      <c r="UE17" t="str">
        <f>IF($DZ$17="",FALSE,SUMPRODUCT(('Final Calculation Sheet'!$X$4:$X$40=$DZ$17)*($UD$4:$UD$40=1))&gt;0)</f>
      </c>
      <c r="UF17" t="str">
        <f>=$UF16+--($UE17)</f>
      </c>
      <c r="UG17" t="str">
        <f>IF(ROW()-3&gt;MAX($UF$4:$UF$40),"",INDEX($DZ$4:$DZ$40,MATCH(ROW()-3,$UF$4:$UF$40,0)))</f>
      </c>
      <c r="UH17" t="str">
        <f>IF(COUNTIF('Final Calculation Sheet'!$AL17:$BI17,0)+COUNTIF('Final Calculation Sheet'!$BK17:$BS17,0)&gt;0,0,1)</f>
      </c>
      <c r="UI17" t="str">
        <f>IF($EE$17="",FALSE,SUMPRODUCT(('Final Calculation Sheet'!$Y$4:$Y$40=$EE$17)*($UH$4:$UH$40=1))&gt;0)</f>
      </c>
      <c r="UJ17" t="str">
        <f>=$UJ16+--($UI17)</f>
      </c>
      <c r="UK17" t="str">
        <f>IF(ROW()-3&gt;MAX($UJ$4:$UJ$40),"",INDEX($EE$4:$EE$40,MATCH(ROW()-3,$UJ$4:$UJ$40,0)))</f>
      </c>
      <c r="UL17" t="str">
        <f>IF(COUNTIF('Final Calculation Sheet'!$AL17:$BJ17,0)+COUNTIF('Final Calculation Sheet'!$BL17:$BS17,0)&gt;0,0,1)</f>
      </c>
      <c r="UM17" t="str">
        <f>IF($EJ$17="",FALSE,SUMPRODUCT(('Final Calculation Sheet'!$Z$4:$Z$40=$EJ$17)*($UL$4:$UL$40=1))&gt;0)</f>
      </c>
      <c r="UN17" t="str">
        <f>=$UN16+--($UM17)</f>
      </c>
      <c r="UO17" t="str">
        <f>IF(ROW()-3&gt;MAX($UN$4:$UN$40),"",INDEX($EJ$4:$EJ$40,MATCH(ROW()-3,$UN$4:$UN$40,0)))</f>
      </c>
      <c r="UP17" t="str">
        <f>IF(COUNTIF('Final Calculation Sheet'!$AL17:$BK17,0)+COUNTIF('Final Calculation Sheet'!$BM17:$BS17,0)&gt;0,0,1)</f>
      </c>
      <c r="UQ17" t="str">
        <f>IF($EO$17="",FALSE,SUMPRODUCT(('Final Calculation Sheet'!$AA$4:$AA$40=$EO$17)*($UP$4:$UP$40=1))&gt;0)</f>
      </c>
      <c r="UR17" t="str">
        <f>=$UR16+--($UQ17)</f>
      </c>
      <c r="US17" t="str">
        <f>IF(ROW()-3&gt;MAX($UR$4:$UR$40),"",INDEX($EO$4:$EO$40,MATCH(ROW()-3,$UR$4:$UR$40,0)))</f>
      </c>
      <c r="UT17" t="str">
        <f>IF(COUNTIF('Final Calculation Sheet'!$AL17:$BL17,0)+COUNTIF('Final Calculation Sheet'!$BN17:$BS17,0)&gt;0,0,1)</f>
      </c>
      <c r="UU17" t="str">
        <f>IF($ET$17="",FALSE,SUMPRODUCT(('Final Calculation Sheet'!$AB$4:$AB$40=$ET$17)*($UT$4:$UT$40=1))&gt;0)</f>
      </c>
      <c r="UV17" t="str">
        <f>=$UV16+--($UU17)</f>
      </c>
      <c r="UW17" t="str">
        <f>IF(ROW()-3&gt;MAX($UV$4:$UV$40),"",INDEX($ET$4:$ET$40,MATCH(ROW()-3,$UV$4:$UV$40,0)))</f>
      </c>
      <c r="UX17" t="str">
        <f>IF(COUNTIF('Final Calculation Sheet'!$AL17:$BM17,0)+COUNTIF('Final Calculation Sheet'!$BO17:$BS17,0)&gt;0,0,1)</f>
      </c>
      <c r="UY17" t="str">
        <f>IF($EY$17="",FALSE,SUMPRODUCT(('Final Calculation Sheet'!$AC$4:$AC$40=$EY$17)*($UX$4:$UX$40=1))&gt;0)</f>
      </c>
      <c r="UZ17" t="str">
        <f>=$UZ16+--($UY17)</f>
      </c>
      <c r="VA17" t="str">
        <f>IF(ROW()-3&gt;MAX($UZ$4:$UZ$40),"",INDEX($EY$4:$EY$40,MATCH(ROW()-3,$UZ$4:$UZ$40,0)))</f>
      </c>
      <c r="VB17" t="str">
        <f>IF(COUNTIF('Final Calculation Sheet'!$AL17:$BN17,0)+COUNTIF('Final Calculation Sheet'!$BP17:$BS17,0)&gt;0,0,1)</f>
      </c>
      <c r="VC17" t="str">
        <f>IF($FD$17="",FALSE,SUMPRODUCT(('Final Calculation Sheet'!$AD$4:$AD$40=$FD$17)*($VB$4:$VB$40=1))&gt;0)</f>
      </c>
      <c r="VD17" t="str">
        <f>=$VD16+--($VC17)</f>
      </c>
      <c r="VE17" t="str">
        <f>IF(ROW()-3&gt;MAX($VD$4:$VD$40),"",INDEX($FD$4:$FD$40,MATCH(ROW()-3,$VD$4:$VD$40,0)))</f>
      </c>
      <c r="VF17" t="str">
        <f>IF(COUNTIF('Final Calculation Sheet'!$AL17:$BO17,0)+COUNTIF('Final Calculation Sheet'!$BQ17:$BS17,0)&gt;0,0,1)</f>
      </c>
      <c r="VG17" t="str">
        <f>IF($FI$17="",FALSE,SUMPRODUCT(('Final Calculation Sheet'!$AE$4:$AE$40=$FI$17)*($VF$4:$VF$40=1))&gt;0)</f>
      </c>
      <c r="VH17" t="str">
        <f>=$VH16+--($VG17)</f>
      </c>
      <c r="VI17" t="str">
        <f>IF(ROW()-3&gt;MAX($VH$4:$VH$40),"",INDEX($FI$4:$FI$40,MATCH(ROW()-3,$VH$4:$VH$40,0)))</f>
      </c>
      <c r="VJ17" t="str">
        <f>IF(COUNTIF('Final Calculation Sheet'!$AL17:$BP17,0)+COUNTIF('Final Calculation Sheet'!$BR17:$BS17,0)&gt;0,0,1)</f>
      </c>
      <c r="VK17" t="str">
        <f>IF($FN$17="",FALSE,SUMPRODUCT(('Final Calculation Sheet'!$AF$4:$AF$40=$FN$17)*($VJ$4:$VJ$40=1))&gt;0)</f>
      </c>
      <c r="VL17" t="str">
        <f>=$VL16+--($VK17)</f>
      </c>
      <c r="VM17" t="str">
        <f>IF(ROW()-3&gt;MAX($VL$4:$VL$40),"",INDEX($FN$4:$FN$40,MATCH(ROW()-3,$VL$4:$VL$40,0)))</f>
      </c>
      <c r="VN17" t="str">
        <f>IF(COUNTIF('Final Calculation Sheet'!$AL17:$BQ17,0)+COUNTIF('Final Calculation Sheet'!$BS17:$BS17,0)&gt;0,0,1)</f>
      </c>
      <c r="VO17" t="str">
        <f>IF($FS$17="",FALSE,SUMPRODUCT(('Final Calculation Sheet'!$AG$4:$AG$40=$FS$17)*($VN$4:$VN$40=1))&gt;0)</f>
      </c>
      <c r="VP17" t="str">
        <f>=$VP16+--($VO17)</f>
      </c>
      <c r="VQ17" t="str">
        <f>IF(ROW()-3&gt;MAX($VP$4:$VP$40),"",INDEX($FS$4:$FS$40,MATCH(ROW()-3,$VP$4:$VP$40,0)))</f>
      </c>
      <c r="VR17" t="str">
        <f>IF(COUNTIF('Final Calculation Sheet'!$AL17:$BR17,0)&gt;0,0,1)</f>
      </c>
      <c r="VS17" t="str">
        <f>IF($QO$17="",FALSE,SUMPRODUCT(('Final Calculation Sheet'!$AH$4:$AH$40=$QO$17)*($VR$4:$VR$40=1))&gt;0)</f>
      </c>
      <c r="VT17" t="str">
        <f>=$VT16+--($VS17)</f>
      </c>
      <c r="VU17" t="str">
        <f>IF(ROW()-3&gt;MAX($VT$4:$VT$40),"",INDEX($QO$4:$QO$40,MATCH(ROW()-3,$VT$4:$VT$40,0)))</f>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IF(COUNTIF('Live Search'!BM$17:BM$17,0)+COUNTIF('Live Search'!B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D18">
        <f>IF($O$18="",FALSE,SUMPRODUCT(('Final Calculation Sheet'!$F$4:$F$40=$O$18)*($GC$6:$GC$42=1))&gt;0)</f>
        <v/>
      </c>
      <c r="GE18">
        <f>$GE$17+--($GD18)</f>
        <v/>
      </c>
      <c r="GF18">
        <f>IF(ROW()-3&gt;MAX($GE$4:$GE$40),"",INDEX($O$4:$O$40,MATCH(ROW()-3,$GE$4:$GE$40,0)))</f>
        <v/>
      </c>
      <c r="GG18">
        <f>IF(COUNTIF('Live Search'!BM$17:BN$17,0)+COUNTIF('Live Search'!B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H18">
        <f>IF($T$18="",FALSE,SUMPRODUCT(('Final Calculation Sheet'!$G$4:$G$40=$T$18)*($GG$6:$GG$42=1))&gt;0)</f>
        <v/>
      </c>
      <c r="GI18">
        <f>$GI$17+--($GH18)</f>
        <v/>
      </c>
      <c r="GJ18">
        <f>IF(ROW()-3&gt;MAX($GI$4:$GI$40),"",INDEX($T$4:$T$40,MATCH(ROW()-3,$GI$4:$GI$40,0)))</f>
        <v/>
      </c>
      <c r="GK18">
        <f>IF(COUNTIF('Live Search'!BM$17:BP$17,0)+COUNTIF('Live Search'!B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L18">
        <f>IF($AD$18="",FALSE,SUMPRODUCT(('Final Calculation Sheet'!$D$4:$D$40=$AD$18)*($GK$6:$GK$42=1))&gt;0)</f>
        <v/>
      </c>
      <c r="GM18">
        <f>$GM$17+--($GL18)</f>
        <v/>
      </c>
      <c r="GN18">
        <f>IF(ROW()-3&gt;MAX($GM$4:$GM$40),"",INDEX($AD$4:$AD$40,MATCH(ROW()-3,$GM$4:$GM$40,0)))</f>
        <v/>
      </c>
      <c r="GO18">
        <f>IF(COUNTIF('Live Search'!BM$17:BQ$17,0)+COUNTIF('Live Search'!B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P18">
        <f>IF($AI$18="",FALSE,SUMPRODUCT(('Final Calculation Sheet'!$A$4:$A$40=$AI$18)*($GO$6:$GO$42=1))&gt;0)</f>
        <v/>
      </c>
      <c r="GQ18">
        <f>$GQ$17+--($GP18)</f>
        <v/>
      </c>
      <c r="GR18">
        <f>IF(ROW()-3&gt;MAX($GQ$4:$GQ$40),"",INDEX($AI$4:$AI$40,MATCH(ROW()-3,$GQ$4:$GQ$40,0)))</f>
        <v/>
      </c>
      <c r="GS18">
        <f>IF(COUNTIF('Live Search'!BM$17:BR$17,0)+COUNTIF('Live Search'!B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T18">
        <f>IF($AN$18="",FALSE,SUMPRODUCT(('Final Calculation Sheet'!$E$4:$E$40=$AN$18)*($GS$6:$GS$42=1))&gt;0)</f>
        <v/>
      </c>
      <c r="GU18">
        <f>$GU$17+--($GT18)</f>
        <v/>
      </c>
      <c r="GV18">
        <f>IF(ROW()-3&gt;MAX($GU$4:$GU$40),"",INDEX($AN$4:$AN$40,MATCH(ROW()-3,$GU$4:$GU$40,0)))</f>
        <v/>
      </c>
      <c r="GW18">
        <f>IF(COUNTIF('Live Search'!BM$17:BS$17,0)+COUNTIF('Live Search'!B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GX18">
        <f>IF($AS$18="",FALSE,SUMPRODUCT(('Final Calculation Sheet'!$C$4:$C$40=$AS$18)*($GW$6:$GW$42=1))&gt;0)</f>
        <v/>
      </c>
      <c r="GY18">
        <f>$GY$17+--($GX18)</f>
        <v/>
      </c>
      <c r="GZ18">
        <f>IF(ROW()-3&gt;MAX($GY$4:$GY$40),"",INDEX($AS$4:$AS$40,MATCH(ROW()-3,$GY$4:$GY$40,0)))</f>
        <v/>
      </c>
      <c r="HA18">
        <f>IF(COUNTIF('Live Search'!BM$17:BT$17,0)+COUNTIF('Live Search'!BV$17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B18">
        <f>IF($AX$18="",FALSE,SUMPRODUCT(('Final Calculation Sheet'!$H$4:$H$40=$AX$18)*($HA$6:$HA$42=1))&gt;0)</f>
        <v/>
      </c>
      <c r="HC18">
        <f>$HC$17+--($HB18)</f>
        <v/>
      </c>
      <c r="HD18">
        <f>IF(ROW()-3&gt;MAX($HC$4:$HC$40),"",INDEX($AX$4:$AX$40,MATCH(ROW()-3,$HC$4:$HC$40,0)))</f>
        <v/>
      </c>
      <c r="HE18">
        <f>IF(COUNTIF('Live Search'!BM$17:BU$17,0)+COUNTIF('Live Search'!BW$17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F18">
        <f>IF($BC$18="",FALSE,SUMPRODUCT(('Final Calculation Sheet'!$I$4:$I$40=$BC$18)*($HE$6:$HE$42=1))&gt;0)</f>
        <v/>
      </c>
      <c r="HG18">
        <f>$HG$17+--($HF18)</f>
        <v/>
      </c>
      <c r="HH18">
        <f>IF(ROW()-3&gt;MAX($HG$4:$HG$40),"",INDEX($BC$4:$BC$40,MATCH(ROW()-3,$HG$4:$HG$40,0)))</f>
        <v/>
      </c>
      <c r="HI18">
        <f>IF(COUNTIF('Live Search'!BM$17:BV$17,0)+COUNTIF('Live Search'!BX$17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J18">
        <f>IF($BH$18="",FALSE,SUMPRODUCT(('Final Calculation Sheet'!$J$4:$J$40=$BH$18)*($HI$6:$HI$42=1))&gt;0)</f>
        <v/>
      </c>
      <c r="HK18">
        <f>$HK$17+--($HJ18)</f>
        <v/>
      </c>
      <c r="HL18">
        <f>IF(ROW()-3&gt;MAX($HK$4:$HK$40),"",INDEX($BH$4:$BH$40,MATCH(ROW()-3,$HK$4:$HK$40,0)))</f>
        <v/>
      </c>
      <c r="HM18">
        <f>IF(COUNTIF('Live Search'!BM$17:BW$17,0)+COUNTIF('Live Search'!BY$17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N18">
        <f>IF($BM$18="",FALSE,SUMPRODUCT(('Final Calculation Sheet'!$K$4:$K$40=$BM$18)*($HM$6:$HM$42=1))&gt;0)</f>
        <v/>
      </c>
      <c r="HO18">
        <f>$HO$17+--($HN18)</f>
        <v/>
      </c>
      <c r="HP18">
        <f>IF(ROW()-3&gt;MAX($HO$4:$HO$40),"",INDEX($BM$4:$BM$40,MATCH(ROW()-3,$HO$4:$HO$40,0)))</f>
        <v/>
      </c>
      <c r="HQ18">
        <f>IF(COUNTIF('Live Search'!BM$17:BX$17,0)+COUNTIF('Live Search'!BZ$17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R18">
        <f>IF($BR$18="",FALSE,SUMPRODUCT(('Final Calculation Sheet'!$L$4:$L$40=$BR$18)*($HQ$6:$HQ$42=1))&gt;0)</f>
        <v/>
      </c>
      <c r="HS18">
        <f>$HS$17+--($HR18)</f>
        <v/>
      </c>
      <c r="HT18">
        <f>IF(ROW()-3&gt;MAX($HS$4:$HS$40),"",INDEX($BR$4:$BR$40,MATCH(ROW()-3,$HS$4:$HS$40,0)))</f>
        <v/>
      </c>
      <c r="HU18">
        <f>IF(COUNTIF('Live Search'!BM$17:BY$17,0)+COUNTIF('Live Search'!CA$17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V18">
        <f>IF($BW$18="",FALSE,SUMPRODUCT(('Final Calculation Sheet'!$M$4:$M$40=$BW$18)*($HU$6:$HU$42=1))&gt;0)</f>
        <v/>
      </c>
      <c r="HW18">
        <f>$HW$17+--($HV18)</f>
        <v/>
      </c>
      <c r="HX18">
        <f>IF(ROW()-3&gt;MAX($HW$4:$HW$40),"",INDEX($BW$4:$BW$40,MATCH(ROW()-3,$HW$4:$HW$40,0)))</f>
        <v/>
      </c>
      <c r="HY18">
        <f>IF(COUNTIF('Live Search'!BM$17:BZ$17,0)+COUNTIF('Live Search'!CB$17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HZ18">
        <f>IF($CB$18="",FALSE,SUMPRODUCT(('Final Calculation Sheet'!$N$4:$N$40=$CB$18)*($HY$6:$HY$42=1))&gt;0)</f>
        <v/>
      </c>
      <c r="IA18">
        <f>$IA$17+--($HZ18)</f>
        <v/>
      </c>
      <c r="IB18">
        <f>IF(ROW()-3&gt;MAX($IA$4:$IA$40),"",INDEX($CB$4:$CB$40,MATCH(ROW()-3,$IA$4:$IA$40,0)))</f>
        <v/>
      </c>
      <c r="IC18">
        <f>IF(COUNTIF('Live Search'!BM$17:CA$17,0)+COUNTIF('Live Search'!CC$17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D18">
        <f>IF($CG$18="",FALSE,SUMPRODUCT(('Final Calculation Sheet'!$O$4:$O$40=$CG$18)*($IC$6:$IC$42=1))&gt;0)</f>
        <v/>
      </c>
      <c r="IE18">
        <f>$IE$17+--($ID18)</f>
        <v/>
      </c>
      <c r="IF18">
        <f>IF(ROW()-3&gt;MAX($IE$4:$IE$40),"",INDEX($CG$4:$CG$40,MATCH(ROW()-3,$IE$4:$IE$40,0)))</f>
        <v/>
      </c>
      <c r="IG18">
        <f>IF(COUNTIF('Live Search'!BM$17:CB$17,0)+COUNTIF('Live Search'!CD$17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H18">
        <f>IF($CL$18="",FALSE,SUMPRODUCT(('Final Calculation Sheet'!$P$4:$P$40=$CL$18)*($IG$6:$IG$42=1))&gt;0)</f>
        <v/>
      </c>
      <c r="II18">
        <f>$II$17+--($IH18)</f>
        <v/>
      </c>
      <c r="IJ18">
        <f>IF(ROW()-3&gt;MAX($II$4:$II$40),"",INDEX($CL$4:$CL$40,MATCH(ROW()-3,$II$4:$II$40,0)))</f>
        <v/>
      </c>
      <c r="IK18">
        <f>IF(COUNTIF('Live Search'!BM$17:CC$17,0)+COUNTIF('Live Search'!CE$17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L18">
        <f>IF($CQ$18="",FALSE,SUMPRODUCT(('Final Calculation Sheet'!$Q$4:$Q$40=$CQ$18)*($IK$6:$IK$42=1))&gt;0)</f>
        <v/>
      </c>
      <c r="IM18">
        <f>$IM$17+--($IL18)</f>
        <v/>
      </c>
      <c r="IN18">
        <f>IF(ROW()-3&gt;MAX($IM$4:$IM$40),"",INDEX($CQ$4:$CQ$40,MATCH(ROW()-3,$IM$4:$IM$40,0)))</f>
        <v/>
      </c>
      <c r="IO18">
        <f>IF(COUNTIF('Live Search'!BM$17:CD$17,0)+COUNTIF('Live Search'!CF$17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P18">
        <f>IF($CV$18="",FALSE,SUMPRODUCT(('Final Calculation Sheet'!$R$4:$R$40=$CV$18)*($IO$6:$IO$42=1))&gt;0)</f>
        <v/>
      </c>
      <c r="IQ18">
        <f>$IQ$17+--($IP18)</f>
        <v/>
      </c>
      <c r="IR18">
        <f>IF(ROW()-3&gt;MAX($IQ$4:$IQ$40),"",INDEX($CV$4:$CV$40,MATCH(ROW()-3,$IQ$4:$IQ$40,0)))</f>
        <v/>
      </c>
      <c r="IS18">
        <f>IF(COUNTIF('Live Search'!BM$17:CE$17,0)+COUNTIF('Live Search'!CG$17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T18">
        <f>IF($DA$18="",FALSE,SUMPRODUCT(('Final Calculation Sheet'!$S$4:$S$40=$DA$18)*($IS$6:$IS$42=1))&gt;0)</f>
        <v/>
      </c>
      <c r="IU18">
        <f>$IU$17+--($IT18)</f>
        <v/>
      </c>
      <c r="IV18">
        <f>IF(ROW()-3&gt;MAX($IU$4:$IU$40),"",INDEX($DA$4:$DA$40,MATCH(ROW()-3,$IU$4:$IU$40,0)))</f>
        <v/>
      </c>
      <c r="IW18">
        <f>IF(COUNTIF('Live Search'!BM$17:CF$17,0)+COUNTIF('Live Search'!CH$17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IX18">
        <f>IF($DF$18="",FALSE,SUMPRODUCT(('Final Calculation Sheet'!$T$4:$T$40=$DF$18)*($IW$6:$IW$42=1))&gt;0)</f>
        <v/>
      </c>
      <c r="IY18">
        <f>$IY$17+--($IX18)</f>
        <v/>
      </c>
      <c r="IZ18">
        <f>IF(ROW()-3&gt;MAX($IY$4:$IY$40),"",INDEX($DF$4:$DF$40,MATCH(ROW()-3,$IY$4:$IY$40,0)))</f>
        <v/>
      </c>
      <c r="JA18">
        <f>IF(COUNTIF('Live Search'!BM$17:CG$17,0)+COUNTIF('Live Search'!CI$17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B18">
        <f>IF($DK$18="",FALSE,SUMPRODUCT(('Final Calculation Sheet'!$U$4:$U$40=$DK$18)*($JA$6:$JA$42=1))&gt;0)</f>
        <v/>
      </c>
      <c r="JC18">
        <f>$JC$17+--($JB18)</f>
        <v/>
      </c>
      <c r="JD18">
        <f>IF(ROW()-3&gt;MAX($JC$4:$JC$40),"",INDEX($DK$4:$DK$40,MATCH(ROW()-3,$JC$4:$JC$40,0)))</f>
        <v/>
      </c>
      <c r="JE18">
        <f>IF(COUNTIF('Live Search'!BM$17:CH$17,0)+COUNTIF('Live Search'!CJ$17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F18">
        <f>IF($DP$18="",FALSE,SUMPRODUCT(('Final Calculation Sheet'!$V$4:$V$40=$DP$18)*($JE$6:$JE$42=1))&gt;0)</f>
        <v/>
      </c>
      <c r="JG18">
        <f>$JG$17+--($JF18)</f>
        <v/>
      </c>
      <c r="JH18">
        <f>IF(ROW()-3&gt;MAX($JG$4:$JG$40),"",INDEX($DP$4:$DP$40,MATCH(ROW()-3,$JG$4:$JG$40,0)))</f>
        <v/>
      </c>
      <c r="JI18">
        <f>IF(COUNTIF('Live Search'!BM$17:CI$17,0)+COUNTIF('Live Search'!CK$17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J18">
        <f>IF($DU$18="",FALSE,SUMPRODUCT(('Final Calculation Sheet'!$W$4:$W$40=$DU$18)*($JI$6:$JI$42=1))&gt;0)</f>
        <v/>
      </c>
      <c r="JK18">
        <f>$JK$17+--($JJ18)</f>
        <v/>
      </c>
      <c r="JL18">
        <f>IF(ROW()-3&gt;MAX($JK$4:$JK$40),"",INDEX($DU$4:$DU$40,MATCH(ROW()-3,$JK$4:$JK$40,0)))</f>
        <v/>
      </c>
      <c r="JM18">
        <f>IF(COUNTIF('Live Search'!BM$17:CJ$17,0)+COUNTIF('Live Search'!CL$17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N18">
        <f>IF($DZ$18="",FALSE,SUMPRODUCT(('Final Calculation Sheet'!$X$4:$X$40=$DZ$18)*($JM$6:$JM$42=1))&gt;0)</f>
        <v/>
      </c>
      <c r="JO18">
        <f>$JO$17+--($JN18)</f>
        <v/>
      </c>
      <c r="JP18">
        <f>IF(ROW()-3&gt;MAX($JO$4:$JO$40),"",INDEX($DZ$4:$DZ$40,MATCH(ROW()-3,$JO$4:$JO$40,0)))</f>
        <v/>
      </c>
      <c r="JQ18">
        <f>IF(COUNTIF('Live Search'!BM$17:CK$17,0)+COUNTIF('Live Search'!C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R18">
        <f>IF($EE$18="",FALSE,SUMPRODUCT(('Final Calculation Sheet'!$Y$4:$Y$40=$EE$18)*($JQ$6:$JQ$42=1))&gt;0)</f>
        <v/>
      </c>
      <c r="JS18">
        <f>$JS$17+--($JR18)</f>
        <v/>
      </c>
      <c r="JT18">
        <f>IF(ROW()-3&gt;MAX($JS$4:$JS$40),"",INDEX($EE$4:$EE$40,MATCH(ROW()-3,$JS$4:$JS$40,0)))</f>
        <v/>
      </c>
      <c r="JU18">
        <f>IF(COUNTIF('Live Search'!BM$17:CL$17,0)+COUNTIF('Live Search'!CN$17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V18">
        <f>IF($EJ$18="",FALSE,SUMPRODUCT(('Final Calculation Sheet'!$Z$4:$Z$40=$EJ$18)*($JU$6:$JU$42=1))&gt;0)</f>
        <v/>
      </c>
      <c r="JW18">
        <f>$JW$17+--($JV18)</f>
        <v/>
      </c>
      <c r="JX18">
        <f>IF(ROW()-3&gt;MAX($JW$4:$JW$40),"",INDEX($EJ$4:$EJ$40,MATCH(ROW()-3,$JW$4:$JW$40,0)))</f>
        <v/>
      </c>
      <c r="JY18">
        <f>IF(COUNTIF('Live Search'!BM$17:CM$17,0)+COUNTIF('Live Search'!CO$17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JZ18">
        <f>IF($EO$18="",FALSE,SUMPRODUCT(('Final Calculation Sheet'!$AA$4:$AA$40=$EO$18)*($JY$6:$JY$42=1))&gt;0)</f>
        <v/>
      </c>
      <c r="KA18">
        <f>$KA$17+--($JZ18)</f>
        <v/>
      </c>
      <c r="KB18">
        <f>IF(ROW()-3&gt;MAX($KA$4:$KA$40),"",INDEX($EO$4:$EO$40,MATCH(ROW()-3,$KA$4:$KA$40,0)))</f>
        <v/>
      </c>
      <c r="KC18">
        <f>IF(COUNTIF('Live Search'!BM$17:CN$17,0)+COUNTIF('Live Search'!CP$17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D18">
        <f>IF($ET$18="",FALSE,SUMPRODUCT(('Final Calculation Sheet'!$AB$4:$AB$40=$ET$18)*($KC$6:$KC$42=1))&gt;0)</f>
        <v/>
      </c>
      <c r="KE18">
        <f>$KE$17+--($KD18)</f>
        <v/>
      </c>
      <c r="KF18">
        <f>IF(ROW()-3&gt;MAX($KE$4:$KE$40),"",INDEX($ET$4:$ET$40,MATCH(ROW()-3,$KE$4:$KE$40,0)))</f>
        <v/>
      </c>
      <c r="KG18">
        <f>IF(COUNTIF('Live Search'!BM$17:CO$17,0)+COUNTIF('Live Search'!CQ$17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H18">
        <f>IF($EY$18="",FALSE,SUMPRODUCT(('Final Calculation Sheet'!$AC$4:$AC$40=$EY$18)*($KG$6:$KG$42=1))&gt;0)</f>
        <v/>
      </c>
      <c r="KI18">
        <f>$KI$17+--($KH18)</f>
        <v/>
      </c>
      <c r="KJ18">
        <f>IF(ROW()-3&gt;MAX($KI$4:$KI$40),"",INDEX($EY$4:$EY$40,MATCH(ROW()-3,$KI$4:$KI$40,0)))</f>
        <v/>
      </c>
      <c r="KK18">
        <f>IF(COUNTIF('Live Search'!BM$17:CP$17,0)+COUNTIF('Live Search'!CR$17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L18">
        <f>IF($FD$18="",FALSE,SUMPRODUCT(('Final Calculation Sheet'!$AD$4:$AD$40=$FD$18)*($KK$6:$KK$42=1))&gt;0)</f>
        <v/>
      </c>
      <c r="KM18">
        <f>$KM$17+--($KL18)</f>
        <v/>
      </c>
      <c r="KN18">
        <f>IF(ROW()-3&gt;MAX($KM$4:$KM$40),"",INDEX($FD$4:$FD$40,MATCH(ROW()-3,$KM$4:$KM$40,0)))</f>
        <v/>
      </c>
      <c r="KO18">
        <f>IF(COUNTIF('Live Search'!BM$17:CT$17,0)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P18">
        <f>IF($FX$18="",FALSE,SUMPRODUCT((IF('Final Calculation Sheet'!$AD$4:$AD$40&lt;=5,"SETTLED","OUTSTANDING")=$FX$18)*($KO$6:$KO$42=1))&gt;0)</f>
        <v/>
      </c>
      <c r="KQ18">
        <f>$KQ$17+--($KP18)</f>
        <v/>
      </c>
      <c r="KR18">
        <f>IF(ROW()-3&gt;MAX($KQ$4:$KQ$40),"",INDEX($FX$4:$FX$40,MATCH(ROW()-3,$KQ$4:$KQ$40,0)))</f>
        <v/>
      </c>
      <c r="KS18">
        <f>IF(COUNTIF('Live Search'!BM$17:CQ$17,0)+COUNTIF('Live Search'!CS$17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T18">
        <f>IF($FI$18="",FALSE,SUMPRODUCT(('Final Calculation Sheet'!$AF$4:$AF$40=$FI$18)*($KS$6:$KS$42=1))&gt;0)</f>
        <v/>
      </c>
      <c r="KU18">
        <f>$KU$17+--($KT18)</f>
        <v/>
      </c>
      <c r="KV18">
        <f>IF(ROW()-3&gt;MAX($KU$4:$KU$40),"",INDEX($FI$4:$FI$40,MATCH(ROW()-3,$KU$4:$KU$40,0)))</f>
        <v/>
      </c>
      <c r="KW18">
        <f>IF(COUNTIF('Live Search'!BM$17:CR$17,0)+COUNTIF('Live Search'!CT$17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KX18">
        <f>IF($FN$18="",FALSE,SUMPRODUCT(('Final Calculation Sheet'!$AG$4:$AG$40=$FN$18)*($KW$6:$KW$42=1))&gt;0)</f>
        <v/>
      </c>
      <c r="KY18">
        <f>$KY$17+--($KX18)</f>
        <v/>
      </c>
      <c r="KZ18">
        <f>IF(ROW()-3&gt;MAX($KY$4:$KY$40),"",INDEX($FN$4:$FN$40,MATCH(ROW()-3,$KY$4:$KY$40,0)))</f>
        <v/>
      </c>
      <c r="LA18">
        <f>IF(COUNTIF('Live Search'!BM$17:CS$17,0)+COUNTIF('Live Search'!CU$17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LB18">
        <f>IF($FS$18="",FALSE,SUMPRODUCT(('Final Calculation Sheet'!$AH$4:$AH$40=$FS$18)*($LA$6:$LA$42=1))&gt;0)</f>
        <v/>
      </c>
      <c r="LC18">
        <f>$LC$17+--($LB18)</f>
        <v/>
      </c>
      <c r="LD18">
        <f>IF(ROW()-3&gt;MAX($LC$4:$LC$40),"",INDEX($FS$4:$FS$40,MATCH(ROW()-3,$LC$4:$LC$40,0)))</f>
        <v/>
      </c>
      <c r="LE18">
        <f>IF(COUNTIF('Buyer Groups'!DH71:EN71,0)&gt;0,0,1)</f>
        <v/>
      </c>
      <c r="LF18">
        <f>IF($O$18="",FALSE,SUMPRODUCT(('Final Calculation Sheet'!$F$4:$F$40=$O$18)*($LE$6:$LE$42=1))&gt;0)</f>
        <v/>
      </c>
      <c r="LG18">
        <f>$LG$17+--($LF18)</f>
        <v/>
      </c>
      <c r="LH18">
        <f>IF(ROW()-3&gt;MAX($LG$4:$LG$40),"",INDEX($O$4:$O$40,MATCH(ROW()-3,$LG$4:$LG$40,0)))</f>
        <v/>
      </c>
      <c r="LI18">
        <f>IF(COUNTIF('Buyer Groups'!DG71:DG71,0)+COUNTIF('Buyer Groups'!DI71:EN71,0)&gt;0,0,1)</f>
        <v/>
      </c>
      <c r="LJ18">
        <f>IF($T$18="",FALSE,SUMPRODUCT(('Final Calculation Sheet'!$G$4:$G$40=$T$18)*($LI$6:$LI$42=1))&gt;0)</f>
        <v/>
      </c>
      <c r="LK18">
        <f>$LK$17+--($LJ18)</f>
        <v/>
      </c>
      <c r="LL18">
        <f>IF(ROW()-3&gt;MAX($LK$4:$LK$40),"",INDEX($T$4:$T$40,MATCH(ROW()-3,$LK$4:$LK$40,0)))</f>
        <v/>
      </c>
      <c r="LM18">
        <f>IF(COUNTIF('Buyer Groups'!DG71:DH71,0)+COUNTIF('Buyer Groups'!DJ71:EN71,0)&gt;0,0,1)</f>
        <v/>
      </c>
      <c r="LN18">
        <f>IF($Y$18="",FALSE,SUMPRODUCT(('Final Calculation Sheet'!$B$4:$B$40=$Y$18)*($LM$6:$LM$42=1))&gt;0)</f>
        <v/>
      </c>
      <c r="LO18">
        <f>$LO$17+--($LN18)</f>
        <v/>
      </c>
      <c r="LP18">
        <f>IF(ROW()-3&gt;MAX($LO$4:$LO$40),"",INDEX($Y$4:$Y$40,MATCH(ROW()-3,$LO$4:$LO$40,0)))</f>
        <v/>
      </c>
      <c r="LQ18">
        <f>IF(COUNTIF('Buyer Groups'!DG71:DI71,0)+COUNTIF('Buyer Groups'!DK71:EN71,0)&gt;0,0,1)</f>
        <v/>
      </c>
      <c r="LR18">
        <f>IF($AD$18="",FALSE,SUMPRODUCT(('Final Calculation Sheet'!$D$4:$D$40=$AD$18)*($LQ$6:$LQ$42=1))&gt;0)</f>
        <v/>
      </c>
      <c r="LS18">
        <f>$LS$17+--($LR18)</f>
        <v/>
      </c>
      <c r="LT18">
        <f>IF(ROW()-3&gt;MAX($LS$4:$LS$40),"",INDEX($AD$4:$AD$40,MATCH(ROW()-3,$LS$4:$LS$40,0)))</f>
        <v/>
      </c>
      <c r="LU18">
        <f>IF(COUNTIF('Buyer Groups'!DG71:DJ71,0)+COUNTIF('Buyer Groups'!DL71:EN71,0)&gt;0,0,1)</f>
        <v/>
      </c>
      <c r="LV18">
        <f>IF($AI$18="",FALSE,SUMPRODUCT(('Final Calculation Sheet'!$A$4:$A$40=$AI$18)*($LU$6:$LU$42=1))&gt;0)</f>
        <v/>
      </c>
      <c r="LW18">
        <f>$LW$17+--($LV18)</f>
        <v/>
      </c>
      <c r="LX18">
        <f>IF(ROW()-3&gt;MAX($LW$4:$LW$40),"",INDEX($AI$4:$AI$40,MATCH(ROW()-3,$LW$4:$LW$40,0)))</f>
        <v/>
      </c>
      <c r="LY18">
        <f>IF(COUNTIF('Buyer Groups'!DG71:DK71,0)+COUNTIF('Buyer Groups'!DM71:EN71,0)&gt;0,0,1)</f>
        <v/>
      </c>
      <c r="LZ18">
        <f>IF($AN$18="",FALSE,SUMPRODUCT(('Final Calculation Sheet'!$E$4:$E$40=$AN$18)*($LY$6:$LY$42=1))&gt;0)</f>
        <v/>
      </c>
      <c r="MA18">
        <f>$MA$17+--($LZ18)</f>
        <v/>
      </c>
      <c r="MB18">
        <f>IF(ROW()-3&gt;MAX($MA$4:$MA$40),"",INDEX($AN$4:$AN$40,MATCH(ROW()-3,$MA$4:$MA$40,0)))</f>
        <v/>
      </c>
      <c r="MC18">
        <f>IF(COUNTIF('Buyer Groups'!DG71:DL71,0)+COUNTIF('Buyer Groups'!DN71:EN71,0)&gt;0,0,1)</f>
        <v/>
      </c>
      <c r="MD18">
        <f>IF($AS$18="",FALSE,SUMPRODUCT(('Final Calculation Sheet'!$C$4:$C$40=$AS$18)*($MC$6:$MC$42=1))&gt;0)</f>
        <v/>
      </c>
      <c r="ME18">
        <f>$ME$17+--($MD18)</f>
        <v/>
      </c>
      <c r="MF18">
        <f>IF(ROW()-3&gt;MAX($ME$4:$ME$40),"",INDEX($AS$4:$AS$40,MATCH(ROW()-3,$ME$4:$ME$40,0)))</f>
        <v/>
      </c>
      <c r="MG18">
        <f>IF(COUNTIF('Buyer Groups'!DG71:DM71,0)+COUNTIF('Buyer Groups'!DO71:EN71,0)&gt;0,0,1)</f>
        <v/>
      </c>
      <c r="MH18">
        <f>IF($AX$18="",FALSE,SUMPRODUCT(('Final Calculation Sheet'!$H$4:$H$40=$AX$18)*($MG$6:$MG$42=1))&gt;0)</f>
        <v/>
      </c>
      <c r="MI18">
        <f>$MI$17+--($MH18)</f>
        <v/>
      </c>
      <c r="MJ18">
        <f>IF(ROW()-3&gt;MAX($MI$4:$MI$40),"",INDEX($AX$4:$AX$40,MATCH(ROW()-3,$MI$4:$MI$40,0)))</f>
        <v/>
      </c>
      <c r="MK18">
        <f>IF(COUNTIF('Buyer Groups'!DG71:DN71,0)+COUNTIF('Buyer Groups'!DP71:EN71,0)&gt;0,0,1)</f>
        <v/>
      </c>
      <c r="ML18">
        <f>IF($BC$18="",FALSE,SUMPRODUCT(('Final Calculation Sheet'!$I$4:$I$40=$BC$18)*($MK$6:$MK$42=1))&gt;0)</f>
        <v/>
      </c>
      <c r="MM18">
        <f>$MM$17+--($ML18)</f>
        <v/>
      </c>
      <c r="MN18">
        <f>IF(ROW()-3&gt;MAX($MM$4:$MM$40),"",INDEX($BC$4:$BC$40,MATCH(ROW()-3,$MM$4:$MM$40,0)))</f>
        <v/>
      </c>
      <c r="MO18">
        <f>IF(COUNTIF('Buyer Groups'!DG71:DO71,0)+COUNTIF('Buyer Groups'!DQ71:EN71,0)&gt;0,0,1)</f>
        <v/>
      </c>
      <c r="MP18">
        <f>IF($BH$18="",FALSE,SUMPRODUCT(('Final Calculation Sheet'!$J$4:$J$40=$BH$18)*($MO$6:$MO$42=1))&gt;0)</f>
        <v/>
      </c>
      <c r="MQ18">
        <f>$MQ$17+--($MP18)</f>
        <v/>
      </c>
      <c r="MR18">
        <f>IF(ROW()-3&gt;MAX($MQ$4:$MQ$40),"",INDEX($BH$4:$BH$40,MATCH(ROW()-3,$MQ$4:$MQ$40,0)))</f>
        <v/>
      </c>
      <c r="MS18">
        <f>IF(COUNTIF('Buyer Groups'!DG71:DP71,0)+COUNTIF('Buyer Groups'!DR71:EN71,0)&gt;0,0,1)</f>
        <v/>
      </c>
      <c r="MT18">
        <f>IF($BM$18="",FALSE,SUMPRODUCT(('Final Calculation Sheet'!$K$4:$K$40=$BM$18)*($MS$6:$MS$42=1))&gt;0)</f>
        <v/>
      </c>
      <c r="MU18">
        <f>$MU$17+--($MT18)</f>
        <v/>
      </c>
      <c r="MV18">
        <f>IF(ROW()-3&gt;MAX($MU$4:$MU$40),"",INDEX($BM$4:$BM$40,MATCH(ROW()-3,$MU$4:$MU$40,0)))</f>
        <v/>
      </c>
      <c r="MW18">
        <f>IF(COUNTIF('Buyer Groups'!DG71:DQ71,0)+COUNTIF('Buyer Groups'!DS71:EN71,0)&gt;0,0,1)</f>
        <v/>
      </c>
      <c r="MX18">
        <f>IF($BR$18="",FALSE,SUMPRODUCT(('Final Calculation Sheet'!$L$4:$L$40=$BR$18)*($MW$6:$MW$42=1))&gt;0)</f>
        <v/>
      </c>
      <c r="MY18">
        <f>$MY$17+--($MX18)</f>
        <v/>
      </c>
      <c r="MZ18">
        <f>IF(ROW()-3&gt;MAX($MY$4:$MY$40),"",INDEX($BR$4:$BR$40,MATCH(ROW()-3,$MY$4:$MY$40,0)))</f>
        <v/>
      </c>
      <c r="NA18">
        <f>IF(COUNTIF('Buyer Groups'!DG71:DR71,0)+COUNTIF('Buyer Groups'!DT71:EN71,0)&gt;0,0,1)</f>
        <v/>
      </c>
      <c r="NB18">
        <f>IF($BW$18="",FALSE,SUMPRODUCT(('Final Calculation Sheet'!$M$4:$M$40=$BW$18)*($NA$6:$NA$42=1))&gt;0)</f>
        <v/>
      </c>
      <c r="NC18">
        <f>$NC$17+--($NB18)</f>
        <v/>
      </c>
      <c r="ND18">
        <f>IF(ROW()-3&gt;MAX($NC$4:$NC$40),"",INDEX($BW$4:$BW$40,MATCH(ROW()-3,$NC$4:$NC$40,0)))</f>
        <v/>
      </c>
      <c r="NE18">
        <f>IF(COUNTIF('Buyer Groups'!DG71:DS71,0)+COUNTIF('Buyer Groups'!DU71:EN71,0)&gt;0,0,1)</f>
        <v/>
      </c>
      <c r="NF18">
        <f>IF($CB$18="",FALSE,SUMPRODUCT(('Final Calculation Sheet'!$N$4:$N$40=$CB$18)*($NE$6:$NE$42=1))&gt;0)</f>
        <v/>
      </c>
      <c r="NG18">
        <f>$NG$17+--($NF18)</f>
        <v/>
      </c>
      <c r="NH18">
        <f>IF(ROW()-3&gt;MAX($NG$4:$NG$40),"",INDEX($CB$4:$CB$40,MATCH(ROW()-3,$NG$4:$NG$40,0)))</f>
        <v/>
      </c>
      <c r="NI18">
        <f>IF(COUNTIF('Buyer Groups'!DG71:DT71,0)+COUNTIF('Buyer Groups'!DV71:EN71,0)&gt;0,0,1)</f>
        <v/>
      </c>
      <c r="NJ18">
        <f>IF($CG$18="",FALSE,SUMPRODUCT(('Final Calculation Sheet'!$O$4:$O$40=$CG$18)*($NI$6:$NI$42=1))&gt;0)</f>
        <v/>
      </c>
      <c r="NK18">
        <f>$NK$17+--($NJ18)</f>
        <v/>
      </c>
      <c r="NL18">
        <f>IF(ROW()-3&gt;MAX($NK$4:$NK$40),"",INDEX($CG$4:$CG$40,MATCH(ROW()-3,$NK$4:$NK$40,0)))</f>
        <v/>
      </c>
      <c r="NM18">
        <f>IF(COUNTIF('Buyer Groups'!DG71:DU71,0)+COUNTIF('Buyer Groups'!DW71:EN71,0)&gt;0,0,1)</f>
        <v/>
      </c>
      <c r="NN18">
        <f>IF($CL$18="",FALSE,SUMPRODUCT(('Final Calculation Sheet'!$P$4:$P$40=$CL$18)*($NM$6:$NM$42=1))&gt;0)</f>
        <v/>
      </c>
      <c r="NO18">
        <f>$NO$17+--($NN18)</f>
        <v/>
      </c>
      <c r="NP18">
        <f>IF(ROW()-3&gt;MAX($NO$4:$NO$40),"",INDEX($CL$4:$CL$40,MATCH(ROW()-3,$NO$4:$NO$40,0)))</f>
        <v/>
      </c>
      <c r="NQ18">
        <f>IF(COUNTIF('Buyer Groups'!DG71:DV71,0)+COUNTIF('Buyer Groups'!DX71:EN71,0)&gt;0,0,1)</f>
        <v/>
      </c>
      <c r="NR18">
        <f>IF($CQ$18="",FALSE,SUMPRODUCT(('Final Calculation Sheet'!$Q$4:$Q$40=$CQ$18)*($NQ$6:$NQ$42=1))&gt;0)</f>
        <v/>
      </c>
      <c r="NS18">
        <f>$NS$17+--($NR18)</f>
        <v/>
      </c>
      <c r="NT18">
        <f>IF(ROW()-3&gt;MAX($NS$4:$NS$40),"",INDEX($CQ$4:$CQ$40,MATCH(ROW()-3,$NS$4:$NS$40,0)))</f>
        <v/>
      </c>
      <c r="NU18">
        <f>IF(COUNTIF('Buyer Groups'!DG71:DW71,0)+COUNTIF('Buyer Groups'!DY71:EN71,0)&gt;0,0,1)</f>
        <v/>
      </c>
      <c r="NV18">
        <f>IF($CV$18="",FALSE,SUMPRODUCT(('Final Calculation Sheet'!$R$4:$R$40=$CV$18)*($NU$6:$NU$42=1))&gt;0)</f>
        <v/>
      </c>
      <c r="NW18">
        <f>$NW$17+--($NV18)</f>
        <v/>
      </c>
      <c r="NX18">
        <f>IF(ROW()-3&gt;MAX($NW$4:$NW$40),"",INDEX($CV$4:$CV$40,MATCH(ROW()-3,$NW$4:$NW$40,0)))</f>
        <v/>
      </c>
      <c r="NY18">
        <f>IF(COUNTIF('Buyer Groups'!DG71:DX71,0)+COUNTIF('Buyer Groups'!DZ71:EN71,0)&gt;0,0,1)</f>
        <v/>
      </c>
      <c r="NZ18">
        <f>IF($DA$18="",FALSE,SUMPRODUCT(('Final Calculation Sheet'!$S$4:$S$40=$DA$18)*($NY$6:$NY$42=1))&gt;0)</f>
        <v/>
      </c>
      <c r="OA18">
        <f>$OA$17+--($NZ18)</f>
        <v/>
      </c>
      <c r="OB18">
        <f>IF(ROW()-3&gt;MAX($OA$4:$OA$40),"",INDEX($DA$4:$DA$40,MATCH(ROW()-3,$OA$4:$OA$40,0)))</f>
        <v/>
      </c>
      <c r="OC18">
        <f>IF(COUNTIF('Buyer Groups'!DG71:DY71,0)+COUNTIF('Buyer Groups'!EA71:EN71,0)&gt;0,0,1)</f>
        <v/>
      </c>
      <c r="OD18">
        <f>IF($DF$18="",FALSE,SUMPRODUCT(('Final Calculation Sheet'!$T$4:$T$40=$DF$18)*($OC$6:$OC$42=1))&gt;0)</f>
        <v/>
      </c>
      <c r="OE18">
        <f>$OE$17+--($OD18)</f>
        <v/>
      </c>
      <c r="OF18">
        <f>IF(ROW()-3&gt;MAX($OE$4:$OE$40),"",INDEX($DF$4:$DF$40,MATCH(ROW()-3,$OE$4:$OE$40,0)))</f>
        <v/>
      </c>
      <c r="OG18">
        <f>IF(COUNTIF('Buyer Groups'!DG71:DZ71,0)+COUNTIF('Buyer Groups'!EB71:EN71,0)&gt;0,0,1)</f>
        <v/>
      </c>
      <c r="OH18">
        <f>IF($DK$18="",FALSE,SUMPRODUCT(('Final Calculation Sheet'!$U$4:$U$40=$DK$18)*($OG$6:$OG$42=1))&gt;0)</f>
        <v/>
      </c>
      <c r="OI18">
        <f>$OI$17+--($OH18)</f>
        <v/>
      </c>
      <c r="OJ18">
        <f>IF(ROW()-3&gt;MAX($OI$4:$OI$40),"",INDEX($DK$4:$DK$40,MATCH(ROW()-3,$OI$4:$OI$40,0)))</f>
        <v/>
      </c>
      <c r="OK18">
        <f>IF(COUNTIF('Buyer Groups'!DG71:EA71,0)+COUNTIF('Buyer Groups'!EC71:EN71,0)&gt;0,0,1)</f>
        <v/>
      </c>
      <c r="OL18">
        <f>IF($DP$18="",FALSE,SUMPRODUCT(('Final Calculation Sheet'!$V$4:$V$40=$DP$18)*($OK$6:$OK$42=1))&gt;0)</f>
        <v/>
      </c>
      <c r="OM18">
        <f>$OM$17+--($OL18)</f>
        <v/>
      </c>
      <c r="ON18">
        <f>IF(ROW()-3&gt;MAX($OM$4:$OM$40),"",INDEX($DP$4:$DP$40,MATCH(ROW()-3,$OM$4:$OM$40,0)))</f>
        <v/>
      </c>
      <c r="OO18">
        <f>IF(COUNTIF('Buyer Groups'!DG71:EB71,0)+COUNTIF('Buyer Groups'!ED71:EN71,0)&gt;0,0,1)</f>
        <v/>
      </c>
      <c r="OP18">
        <f>IF($DU$18="",FALSE,SUMPRODUCT(('Final Calculation Sheet'!$W$4:$W$40=$DU$18)*($OO$6:$OO$42=1))&gt;0)</f>
        <v/>
      </c>
      <c r="OQ18">
        <f>$OQ$17+--($OP18)</f>
        <v/>
      </c>
      <c r="OR18">
        <f>IF(ROW()-3&gt;MAX($OQ$4:$OQ$40),"",INDEX($DU$4:$DU$40,MATCH(ROW()-3,$OQ$4:$OQ$40,0)))</f>
        <v/>
      </c>
      <c r="OS18">
        <f>IF(COUNTIF('Buyer Groups'!DG71:EC71,0)+COUNTIF('Buyer Groups'!EE71:EN71,0)&gt;0,0,1)</f>
        <v/>
      </c>
      <c r="OT18">
        <f>IF($DZ$18="",FALSE,SUMPRODUCT(('Final Calculation Sheet'!$X$4:$X$40=$DZ$18)*($OS$6:$OS$42=1))&gt;0)</f>
        <v/>
      </c>
      <c r="OU18">
        <f>$OU$17+--($OT18)</f>
        <v/>
      </c>
      <c r="OV18">
        <f>IF(ROW()-3&gt;MAX($OU$4:$OU$40),"",INDEX($DZ$4:$DZ$40,MATCH(ROW()-3,$OU$4:$OU$40,0)))</f>
        <v/>
      </c>
      <c r="OW18">
        <f>IF(COUNTIF('Buyer Groups'!DG71:ED71,0)+COUNTIF('Buyer Groups'!EF71:EN71,0)&gt;0,0,1)</f>
        <v/>
      </c>
      <c r="OX18">
        <f>IF($EE$18="",FALSE,SUMPRODUCT(('Final Calculation Sheet'!$Y$4:$Y$40=$EE$18)*($OW$6:$OW$42=1))&gt;0)</f>
        <v/>
      </c>
      <c r="OY18">
        <f>$OY$17+--($OX18)</f>
        <v/>
      </c>
      <c r="OZ18">
        <f>IF(ROW()-3&gt;MAX($OY$4:$OY$40),"",INDEX($EE$4:$EE$40,MATCH(ROW()-3,$OY$4:$OY$40,0)))</f>
        <v/>
      </c>
      <c r="PA18">
        <f>IF(COUNTIF('Buyer Groups'!DG71:EE71,0)+COUNTIF('Buyer Groups'!EG71:EN71,0)&gt;0,0,1)</f>
        <v/>
      </c>
      <c r="PB18">
        <f>IF($EJ$18="",FALSE,SUMPRODUCT(('Final Calculation Sheet'!$Z$4:$Z$40=$EJ$18)*($PA$6:$PA$42=1))&gt;0)</f>
        <v/>
      </c>
      <c r="PC18">
        <f>$PC$17+--($PB18)</f>
        <v/>
      </c>
      <c r="PD18">
        <f>IF(ROW()-3&gt;MAX($PC$4:$PC$40),"",INDEX($EJ$4:$EJ$40,MATCH(ROW()-3,$PC$4:$PC$40,0)))</f>
        <v/>
      </c>
      <c r="PE18">
        <f>IF(COUNTIF('Buyer Groups'!DG71:EF71,0)+COUNTIF('Buyer Groups'!EH71:EN71,0)&gt;0,0,1)</f>
        <v/>
      </c>
      <c r="PF18">
        <f>IF($EO$18="",FALSE,SUMPRODUCT(('Final Calculation Sheet'!$AA$4:$AA$40=$EO$18)*($PE$6:$PE$42=1))&gt;0)</f>
        <v/>
      </c>
      <c r="PG18">
        <f>$PG$17+--($PF18)</f>
        <v/>
      </c>
      <c r="PH18">
        <f>IF(ROW()-3&gt;MAX($PG$4:$PG$40),"",INDEX($EO$4:$EO$40,MATCH(ROW()-3,$PG$4:$PG$40,0)))</f>
        <v/>
      </c>
      <c r="PI18">
        <f>IF(COUNTIF('Buyer Groups'!DG71:EG71,0)+COUNTIF('Buyer Groups'!EI71:EN71,0)&gt;0,0,1)</f>
        <v/>
      </c>
      <c r="PJ18">
        <f>IF($ET$18="",FALSE,SUMPRODUCT(('Final Calculation Sheet'!$AB$4:$AB$40=$ET$18)*($PI$6:$PI$42=1))&gt;0)</f>
        <v/>
      </c>
      <c r="PK18">
        <f>$PK$17+--($PJ18)</f>
        <v/>
      </c>
      <c r="PL18">
        <f>IF(ROW()-3&gt;MAX($PK$4:$PK$40),"",INDEX($ET$4:$ET$40,MATCH(ROW()-3,$PK$4:$PK$40,0)))</f>
        <v/>
      </c>
      <c r="PM18">
        <f>IF(COUNTIF('Buyer Groups'!DG71:EH71,0)+COUNTIF('Buyer Groups'!EJ71:EN71,0)&gt;0,0,1)</f>
        <v/>
      </c>
      <c r="PN18">
        <f>IF($EY$18="",FALSE,SUMPRODUCT(('Final Calculation Sheet'!$AC$4:$AC$40=$EY$18)*($PM$6:$PM$42=1))&gt;0)</f>
        <v/>
      </c>
      <c r="PO18">
        <f>$PO$17+--($PN18)</f>
        <v/>
      </c>
      <c r="PP18">
        <f>IF(ROW()-3&gt;MAX($PO$4:$PO$40),"",INDEX($EY$4:$EY$40,MATCH(ROW()-3,$PO$4:$PO$40,0)))</f>
        <v/>
      </c>
      <c r="PQ18">
        <f>IF(COUNTIF('Buyer Groups'!DG71:EI71,0)+COUNTIF('Buyer Groups'!EK71:EN71,0)&gt;0,0,1)</f>
        <v/>
      </c>
      <c r="PR18">
        <f>IF($FD$18="",FALSE,SUMPRODUCT(('Final Calculation Sheet'!$AD$4:$AD$40=$FD$18)*($PQ$6:$PQ$42=1))&gt;0)</f>
        <v/>
      </c>
      <c r="PS18">
        <f>$PS$17+--($PR18)</f>
        <v/>
      </c>
      <c r="PT18">
        <f>IF(ROW()-3&gt;MAX($PS$4:$PS$40),"",INDEX($FD$4:$FD$40,MATCH(ROW()-3,$PS$4:$PS$40,0)))</f>
        <v/>
      </c>
      <c r="PU18">
        <f>IF(COUNTIF('Buyer Groups'!DG71:EJ71,0)+COUNTIF('Buyer Groups'!EL71:EN71,0)&gt;0,0,1)</f>
        <v/>
      </c>
      <c r="PV18">
        <f>IF($FX$18="",FALSE,SUMPRODUCT((IF('Final Calculation Sheet'!$AD$4:$AD$40&lt;=5,"SETTLED","OUTSTANDING")=$FX$18)*($PU$6:$PU$42=1))&gt;0)</f>
        <v/>
      </c>
      <c r="PW18">
        <f>$PW$17+--($PV18)</f>
        <v/>
      </c>
      <c r="PX18">
        <f>IF(ROW()-3&gt;MAX($PW$4:$PW$40),"",INDEX($FX$4:$FX$40,MATCH(ROW()-3,$PW$4:$PW$40,0)))</f>
        <v/>
      </c>
      <c r="PY18">
        <f>IF(COUNTIF('Buyer Groups'!DG71:EK71,0)+COUNTIF('Buyer Groups'!EM71:EN71,0)&gt;0,0,1)</f>
        <v/>
      </c>
      <c r="PZ18">
        <f>IF($FI$18="",FALSE,SUMPRODUCT(('Final Calculation Sheet'!$AF$4:$AF$40=$FI$18)*($PY$6:$PY$42=1))&gt;0)</f>
        <v/>
      </c>
      <c r="QA18">
        <f>$QA$17+--($PZ18)</f>
        <v/>
      </c>
      <c r="QB18">
        <f>IF(ROW()-3&gt;MAX($QA$4:$QA$40),"",INDEX($FI$4:$FI$40,MATCH(ROW()-3,$QA$4:$QA$40,0)))</f>
        <v/>
      </c>
      <c r="QC18">
        <f>IF(COUNTIF('Buyer Groups'!DG71:EL71,0)+COUNTIF('Buyer Groups'!EN71:EN71,0)&gt;0,0,1)</f>
        <v/>
      </c>
      <c r="QD18">
        <f>IF($FN$18="",FALSE,SUMPRODUCT(('Final Calculation Sheet'!$AG$4:$AG$40=$FN$18)*($QC$6:$QC$42=1))&gt;0)</f>
        <v/>
      </c>
      <c r="QE18">
        <f>$QE$17+--($QD18)</f>
        <v/>
      </c>
      <c r="QF18">
        <f>IF(ROW()-3&gt;MAX($QE$4:$QE$40),"",INDEX($FN$4:$FN$40,MATCH(ROW()-3,$QE$4:$QE$40,0)))</f>
        <v/>
      </c>
      <c r="QG18">
        <f>IF(COUNTIF('Buyer Groups'!DG71:EM71,0)&gt;0,0,1)</f>
        <v/>
      </c>
      <c r="QH18">
        <f>IF($FS$18="",FALSE,SUMPRODUCT(('Final Calculation Sheet'!$AH$4:$AH$40=$FS$18)*($QG$6:$QG$42=1))&gt;0)</f>
        <v/>
      </c>
      <c r="QI18">
        <f>$QI$17+--($QH18)</f>
        <v/>
      </c>
      <c r="QJ18">
        <f>IF(ROW()-3&gt;MAX($QI$4:$QI$40),"",INDEX($FS$4:$FS$40,MATCH(ROW()-3,$QI$4:$QI$40,0)))</f>
        <v/>
      </c>
      <c r="QK18" t="str">
        <f>IF('Final Calculation Sheet'!$AH$18="","",'Final Calculation Sheet'!$AH$18)</f>
      </c>
      <c r="QL18" t="str">
        <f>IF(QK18="","",COUNTIFS(QK$4:QK$40,"&lt;"&amp;QK18,QK$4:QK$40,"&lt;&gt;"&amp;"")+COUNTIF(QK$4:QK18,QK18))</f>
      </c>
      <c r="QM18" t="str">
        <f>IF(ROW()-3&gt;COUNTIF(QK$4:QK$40,"&lt;&gt;"&amp;""),"",INDEX(QK$4:QK$40,MATCH(ROW()-3,QL$4:QL$40,0)))</f>
      </c>
      <c r="QN18" t="str">
        <f>=QN17+F(AND(QM18&lt;&gt;"",COUNTIF(QM$4:QM18,QM18)=1),1,0)</f>
      </c>
      <c r="QO18" t="str">
        <f>IF(ROW()-3&gt;MAX(QN$4:QN$40),"",INDEX(QM$4:QM$40,MATCH(ROW()-3,QN$4:QN$40,0)))</f>
      </c>
      <c r="QP18" t="str">
        <f>IF(COUNTIF('Final Calculation Sheet'!$AM18:$BS18,0)&gt;0,0,1)</f>
      </c>
      <c r="QQ18" t="str">
        <f>IF($AI$18="",FALSE,SUMPRODUCT(('Final Calculation Sheet'!$A$4:$A$40=$AI$18)*($QP$4:$QP$40=1))&gt;0)</f>
      </c>
      <c r="QR18" t="str">
        <f>=$QR17+--($QQ18)</f>
      </c>
      <c r="QS18" t="str">
        <f>IF(ROW()-3&gt;MAX($QR$4:$QR$40),"",INDEX($AI$4:$AI$40,MATCH(ROW()-3,$QR$4:$QR$40,0)))</f>
      </c>
      <c r="QT18" t="str">
        <f>IF(COUNTIF('Final Calculation Sheet'!$AL18:$AL18,0)+COUNTIF('Final Calculation Sheet'!$AN18:$BS18,0)&gt;0,0,1)</f>
      </c>
      <c r="QU18" t="str">
        <f>IF($Y$18="",FALSE,SUMPRODUCT(('Final Calculation Sheet'!$B$4:$B$40=$Y$18)*($QT$4:$QT$40=1))&gt;0)</f>
      </c>
      <c r="QV18" t="str">
        <f>=$QV17+--($QU18)</f>
      </c>
      <c r="QW18" t="str">
        <f>IF(ROW()-3&gt;MAX($QV$4:$QV$40),"",INDEX($Y$4:$Y$40,MATCH(ROW()-3,$QV$4:$QV$40,0)))</f>
      </c>
      <c r="QX18" t="str">
        <f>IF(COUNTIF('Final Calculation Sheet'!$AL18:$AM18,0)+COUNTIF('Final Calculation Sheet'!$AO18:$BS18,0)&gt;0,0,1)</f>
      </c>
      <c r="QY18" t="str">
        <f>IF($AS$18="",FALSE,SUMPRODUCT(('Final Calculation Sheet'!$C$4:$C$40=$AS$18)*($QX$4:$QX$40=1))&gt;0)</f>
      </c>
      <c r="QZ18" t="str">
        <f>=$QZ17+--($QY18)</f>
      </c>
      <c r="RA18" t="str">
        <f>IF(ROW()-3&gt;MAX($QZ$4:$QZ$40),"",INDEX($AS$4:$AS$40,MATCH(ROW()-3,$QZ$4:$QZ$40,0)))</f>
      </c>
      <c r="RB18" t="str">
        <f>IF(COUNTIF('Final Calculation Sheet'!$AL18:$AN18,0)+COUNTIF('Final Calculation Sheet'!$AP18:$BS18,0)&gt;0,0,1)</f>
      </c>
      <c r="RC18" t="str">
        <f>IF($AD$18="",FALSE,SUMPRODUCT(('Final Calculation Sheet'!$D$4:$D$40=$AD$18)*($RB$4:$RB$40=1))&gt;0)</f>
      </c>
      <c r="RD18" t="str">
        <f>=$RD17+--($RC18)</f>
      </c>
      <c r="RE18" t="str">
        <f>IF(ROW()-3&gt;MAX($RD$4:$RD$40),"",INDEX($AD$4:$AD$40,MATCH(ROW()-3,$RD$4:$RD$40,0)))</f>
      </c>
      <c r="RF18" t="str">
        <f>IF(COUNTIF('Final Calculation Sheet'!$AL18:$AO18,0)+COUNTIF('Final Calculation Sheet'!$AQ18:$BS18,0)&gt;0,0,1)</f>
      </c>
      <c r="RG18" t="str">
        <f>IF($AN$18="",FALSE,SUMPRODUCT(('Final Calculation Sheet'!$E$4:$E$40=$AN$18)*($RF$4:$RF$40=1))&gt;0)</f>
      </c>
      <c r="RH18" t="str">
        <f>=$RH17+--($RG18)</f>
      </c>
      <c r="RI18" t="str">
        <f>IF(ROW()-3&gt;MAX($RH$4:$RH$40),"",INDEX($AN$4:$AN$40,MATCH(ROW()-3,$RH$4:$RH$40,0)))</f>
      </c>
      <c r="RJ18" t="str">
        <f>IF(COUNTIF('Final Calculation Sheet'!$AL18:$AP18,0)+COUNTIF('Final Calculation Sheet'!$AR18:$BS18,0)&gt;0,0,1)</f>
      </c>
      <c r="RK18" t="str">
        <f>IF($O$18="",FALSE,SUMPRODUCT(('Final Calculation Sheet'!$F$4:$F$40=$O$18)*($RJ$4:$RJ$40=1))&gt;0)</f>
      </c>
      <c r="RL18" t="str">
        <f>=$RL17+--($RK18)</f>
      </c>
      <c r="RM18" t="str">
        <f>IF(ROW()-3&gt;MAX($RL$4:$RL$40),"",INDEX($O$4:$O$40,MATCH(ROW()-3,$RL$4:$RL$40,0)))</f>
      </c>
      <c r="RN18" t="str">
        <f>IF(COUNTIF('Final Calculation Sheet'!$AL18:$AQ18,0)+COUNTIF('Final Calculation Sheet'!$AS18:$BS18,0)&gt;0,0,1)</f>
      </c>
      <c r="RO18" t="str">
        <f>IF($T$18="",FALSE,SUMPRODUCT(('Final Calculation Sheet'!$G$4:$G$40=$T$18)*($RN$4:$RN$40=1))&gt;0)</f>
      </c>
      <c r="RP18" t="str">
        <f>=$RP17+--($RO18)</f>
      </c>
      <c r="RQ18" t="str">
        <f>IF(ROW()-3&gt;MAX($RP$4:$RP$40),"",INDEX($T$4:$T$40,MATCH(ROW()-3,$RP$4:$RP$40,0)))</f>
      </c>
      <c r="RR18" t="str">
        <f>IF(COUNTIF('Final Calculation Sheet'!$AL18:$AR18,0)+COUNTIF('Final Calculation Sheet'!$AT18:$BS18,0)&gt;0,0,1)</f>
      </c>
      <c r="RS18" t="str">
        <f>IF($AX$18="",FALSE,SUMPRODUCT(('Final Calculation Sheet'!$H$4:$H$40=$AX$18)*($RR$4:$RR$40=1))&gt;0)</f>
      </c>
      <c r="RT18" t="str">
        <f>=$RT17+--($RS18)</f>
      </c>
      <c r="RU18" t="str">
        <f>IF(ROW()-3&gt;MAX($RT$4:$RT$40),"",INDEX($AX$4:$AX$40,MATCH(ROW()-3,$RT$4:$RT$40,0)))</f>
      </c>
      <c r="RV18" t="str">
        <f>IF(COUNTIF('Final Calculation Sheet'!$AL18:$AS18,0)+COUNTIF('Final Calculation Sheet'!$AU18:$BS18,0)&gt;0,0,1)</f>
      </c>
      <c r="RW18" t="str">
        <f>IF($BC$18="",FALSE,SUMPRODUCT(('Final Calculation Sheet'!$I$4:$I$40=$BC$18)*($RV$4:$RV$40=1))&gt;0)</f>
      </c>
      <c r="RX18" t="str">
        <f>=$RX17+--($RW18)</f>
      </c>
      <c r="RY18" t="str">
        <f>IF(ROW()-3&gt;MAX($RX$4:$RX$40),"",INDEX($BC$4:$BC$40,MATCH(ROW()-3,$RX$4:$RX$40,0)))</f>
      </c>
      <c r="RZ18" t="str">
        <f>IF(COUNTIF('Final Calculation Sheet'!$AL18:$AT18,0)+COUNTIF('Final Calculation Sheet'!$AV18:$BS18,0)&gt;0,0,1)</f>
      </c>
      <c r="SA18" t="str">
        <f>IF($BH$18="",FALSE,SUMPRODUCT(('Final Calculation Sheet'!$J$4:$J$40=$BH$18)*($RZ$4:$RZ$40=1))&gt;0)</f>
      </c>
      <c r="SB18" t="str">
        <f>=$SB17+--($SA18)</f>
      </c>
      <c r="SC18" t="str">
        <f>IF(ROW()-3&gt;MAX($SB$4:$SB$40),"",INDEX($BH$4:$BH$40,MATCH(ROW()-3,$SB$4:$SB$40,0)))</f>
      </c>
      <c r="SD18" t="str">
        <f>IF(COUNTIF('Final Calculation Sheet'!$AL18:$AU18,0)+COUNTIF('Final Calculation Sheet'!$AW18:$BS18,0)&gt;0,0,1)</f>
      </c>
      <c r="SE18" t="str">
        <f>IF($BM$18="",FALSE,SUMPRODUCT(('Final Calculation Sheet'!$K$4:$K$40=$BM$18)*($SD$4:$SD$40=1))&gt;0)</f>
      </c>
      <c r="SF18" t="str">
        <f>=$SF17+--($SE18)</f>
      </c>
      <c r="SG18" t="str">
        <f>IF(ROW()-3&gt;MAX($SF$4:$SF$40),"",INDEX($BM$4:$BM$40,MATCH(ROW()-3,$SF$4:$SF$40,0)))</f>
      </c>
      <c r="SH18" t="str">
        <f>IF(COUNTIF('Final Calculation Sheet'!$AL18:$AV18,0)+COUNTIF('Final Calculation Sheet'!$AX18:$BS18,0)&gt;0,0,1)</f>
      </c>
      <c r="SI18" t="str">
        <f>IF($BR$18="",FALSE,SUMPRODUCT(('Final Calculation Sheet'!$L$4:$L$40=$BR$18)*($SH$4:$SH$40=1))&gt;0)</f>
      </c>
      <c r="SJ18" t="str">
        <f>=$SJ17+--($SI18)</f>
      </c>
      <c r="SK18" t="str">
        <f>IF(ROW()-3&gt;MAX($SJ$4:$SJ$40),"",INDEX($BR$4:$BR$40,MATCH(ROW()-3,$SJ$4:$SJ$40,0)))</f>
      </c>
      <c r="SL18" t="str">
        <f>IF(COUNTIF('Final Calculation Sheet'!$AL18:$AW18,0)+COUNTIF('Final Calculation Sheet'!$AY18:$BS18,0)&gt;0,0,1)</f>
      </c>
      <c r="SM18" t="str">
        <f>IF($BW$18="",FALSE,SUMPRODUCT(('Final Calculation Sheet'!$M$4:$M$40=$BW$18)*($SL$4:$SL$40=1))&gt;0)</f>
      </c>
      <c r="SN18" t="str">
        <f>=$SN17+--($SM18)</f>
      </c>
      <c r="SO18" t="str">
        <f>IF(ROW()-3&gt;MAX($SN$4:$SN$40),"",INDEX($BW$4:$BW$40,MATCH(ROW()-3,$SN$4:$SN$40,0)))</f>
      </c>
      <c r="SP18" t="str">
        <f>IF(COUNTIF('Final Calculation Sheet'!$AL18:$AX18,0)+COUNTIF('Final Calculation Sheet'!$AZ18:$BS18,0)&gt;0,0,1)</f>
      </c>
      <c r="SQ18" t="str">
        <f>IF($CB$18="",FALSE,SUMPRODUCT(('Final Calculation Sheet'!$N$4:$N$40=$CB$18)*($SP$4:$SP$40=1))&gt;0)</f>
      </c>
      <c r="SR18" t="str">
        <f>=$SR17+--($SQ18)</f>
      </c>
      <c r="SS18" t="str">
        <f>IF(ROW()-3&gt;MAX($SR$4:$SR$40),"",INDEX($CB$4:$CB$40,MATCH(ROW()-3,$SR$4:$SR$40,0)))</f>
      </c>
      <c r="ST18" t="str">
        <f>IF(COUNTIF('Final Calculation Sheet'!$AL18:$AY18,0)+COUNTIF('Final Calculation Sheet'!$BA18:$BS18,0)&gt;0,0,1)</f>
      </c>
      <c r="SU18" t="str">
        <f>IF($CG$18="",FALSE,SUMPRODUCT(('Final Calculation Sheet'!$O$4:$O$40=$CG$18)*($ST$4:$ST$40=1))&gt;0)</f>
      </c>
      <c r="SV18" t="str">
        <f>=$SV17+--($SU18)</f>
      </c>
      <c r="SW18" t="str">
        <f>IF(ROW()-3&gt;MAX($SV$4:$SV$40),"",INDEX($CG$4:$CG$40,MATCH(ROW()-3,$SV$4:$SV$40,0)))</f>
      </c>
      <c r="SX18" t="str">
        <f>IF(COUNTIF('Final Calculation Sheet'!$AL18:$AZ18,0)+COUNTIF('Final Calculation Sheet'!$BB18:$BS18,0)&gt;0,0,1)</f>
      </c>
      <c r="SY18" t="str">
        <f>IF($CL$18="",FALSE,SUMPRODUCT(('Final Calculation Sheet'!$P$4:$P$40=$CL$18)*($SX$4:$SX$40=1))&gt;0)</f>
      </c>
      <c r="SZ18" t="str">
        <f>=$SZ17+--($SY18)</f>
      </c>
      <c r="TA18" t="str">
        <f>IF(ROW()-3&gt;MAX($SZ$4:$SZ$40),"",INDEX($CL$4:$CL$40,MATCH(ROW()-3,$SZ$4:$SZ$40,0)))</f>
      </c>
      <c r="TB18" t="str">
        <f>IF(COUNTIF('Final Calculation Sheet'!$AL18:$BA18,0)+COUNTIF('Final Calculation Sheet'!$BC18:$BS18,0)&gt;0,0,1)</f>
      </c>
      <c r="TC18" t="str">
        <f>IF($CQ$18="",FALSE,SUMPRODUCT(('Final Calculation Sheet'!$Q$4:$Q$40=$CQ$18)*($TB$4:$TB$40=1))&gt;0)</f>
      </c>
      <c r="TD18" t="str">
        <f>=$TD17+--($TC18)</f>
      </c>
      <c r="TE18" t="str">
        <f>IF(ROW()-3&gt;MAX($TD$4:$TD$40),"",INDEX($CQ$4:$CQ$40,MATCH(ROW()-3,$TD$4:$TD$40,0)))</f>
      </c>
      <c r="TF18" t="str">
        <f>IF(COUNTIF('Final Calculation Sheet'!$AL18:$BB18,0)+COUNTIF('Final Calculation Sheet'!$BD18:$BS18,0)&gt;0,0,1)</f>
      </c>
      <c r="TG18" t="str">
        <f>IF($CV$18="",FALSE,SUMPRODUCT(('Final Calculation Sheet'!$R$4:$R$40=$CV$18)*($TF$4:$TF$40=1))&gt;0)</f>
      </c>
      <c r="TH18" t="str">
        <f>=$TH17+--($TG18)</f>
      </c>
      <c r="TI18" t="str">
        <f>IF(ROW()-3&gt;MAX($TH$4:$TH$40),"",INDEX($CV$4:$CV$40,MATCH(ROW()-3,$TH$4:$TH$40,0)))</f>
      </c>
      <c r="TJ18" t="str">
        <f>IF(COUNTIF('Final Calculation Sheet'!$AL18:$BC18,0)+COUNTIF('Final Calculation Sheet'!$BE18:$BS18,0)&gt;0,0,1)</f>
      </c>
      <c r="TK18" t="str">
        <f>IF($DA$18="",FALSE,SUMPRODUCT(('Final Calculation Sheet'!$S$4:$S$40=$DA$18)*($TJ$4:$TJ$40=1))&gt;0)</f>
      </c>
      <c r="TL18" t="str">
        <f>=$TL17+--($TK18)</f>
      </c>
      <c r="TM18" t="str">
        <f>IF(ROW()-3&gt;MAX($TL$4:$TL$40),"",INDEX($DA$4:$DA$40,MATCH(ROW()-3,$TL$4:$TL$40,0)))</f>
      </c>
      <c r="TN18" t="str">
        <f>IF(COUNTIF('Final Calculation Sheet'!$AL18:$BD18,0)+COUNTIF('Final Calculation Sheet'!$BF18:$BS18,0)&gt;0,0,1)</f>
      </c>
      <c r="TO18" t="str">
        <f>IF($DF$18="",FALSE,SUMPRODUCT(('Final Calculation Sheet'!$T$4:$T$40=$DF$18)*($TN$4:$TN$40=1))&gt;0)</f>
      </c>
      <c r="TP18" t="str">
        <f>=$TP17+--($TO18)</f>
      </c>
      <c r="TQ18" t="str">
        <f>IF(ROW()-3&gt;MAX($TP$4:$TP$40),"",INDEX($DF$4:$DF$40,MATCH(ROW()-3,$TP$4:$TP$40,0)))</f>
      </c>
      <c r="TR18" t="str">
        <f>IF(COUNTIF('Final Calculation Sheet'!$AL18:$BE18,0)+COUNTIF('Final Calculation Sheet'!$BG18:$BS18,0)&gt;0,0,1)</f>
      </c>
      <c r="TS18" t="str">
        <f>IF($DK$18="",FALSE,SUMPRODUCT(('Final Calculation Sheet'!$U$4:$U$40=$DK$18)*($TR$4:$TR$40=1))&gt;0)</f>
      </c>
      <c r="TT18" t="str">
        <f>=$TT17+--($TS18)</f>
      </c>
      <c r="TU18" t="str">
        <f>IF(ROW()-3&gt;MAX($TT$4:$TT$40),"",INDEX($DK$4:$DK$40,MATCH(ROW()-3,$TT$4:$TT$40,0)))</f>
      </c>
      <c r="TV18" t="str">
        <f>IF(COUNTIF('Final Calculation Sheet'!$AL18:$BF18,0)+COUNTIF('Final Calculation Sheet'!$BH18:$BS18,0)&gt;0,0,1)</f>
      </c>
      <c r="TW18" t="str">
        <f>IF($DP$18="",FALSE,SUMPRODUCT(('Final Calculation Sheet'!$V$4:$V$40=$DP$18)*($TV$4:$TV$40=1))&gt;0)</f>
      </c>
      <c r="TX18" t="str">
        <f>=$TX17+--($TW18)</f>
      </c>
      <c r="TY18" t="str">
        <f>IF(ROW()-3&gt;MAX($TX$4:$TX$40),"",INDEX($DP$4:$DP$40,MATCH(ROW()-3,$TX$4:$TX$40,0)))</f>
      </c>
      <c r="TZ18" t="str">
        <f>IF(COUNTIF('Final Calculation Sheet'!$AL18:$BG18,0)+COUNTIF('Final Calculation Sheet'!$BI18:$BS18,0)&gt;0,0,1)</f>
      </c>
      <c r="UA18" t="str">
        <f>IF($DU$18="",FALSE,SUMPRODUCT(('Final Calculation Sheet'!$W$4:$W$40=$DU$18)*($TZ$4:$TZ$40=1))&gt;0)</f>
      </c>
      <c r="UB18" t="str">
        <f>=$UB17+--($UA18)</f>
      </c>
      <c r="UC18" t="str">
        <f>IF(ROW()-3&gt;MAX($UB$4:$UB$40),"",INDEX($DU$4:$DU$40,MATCH(ROW()-3,$UB$4:$UB$40,0)))</f>
      </c>
      <c r="UD18" t="str">
        <f>IF(COUNTIF('Final Calculation Sheet'!$AL18:$BH18,0)+COUNTIF('Final Calculation Sheet'!$BJ18:$BS18,0)&gt;0,0,1)</f>
      </c>
      <c r="UE18" t="str">
        <f>IF($DZ$18="",FALSE,SUMPRODUCT(('Final Calculation Sheet'!$X$4:$X$40=$DZ$18)*($UD$4:$UD$40=1))&gt;0)</f>
      </c>
      <c r="UF18" t="str">
        <f>=$UF17+--($UE18)</f>
      </c>
      <c r="UG18" t="str">
        <f>IF(ROW()-3&gt;MAX($UF$4:$UF$40),"",INDEX($DZ$4:$DZ$40,MATCH(ROW()-3,$UF$4:$UF$40,0)))</f>
      </c>
      <c r="UH18" t="str">
        <f>IF(COUNTIF('Final Calculation Sheet'!$AL18:$BI18,0)+COUNTIF('Final Calculation Sheet'!$BK18:$BS18,0)&gt;0,0,1)</f>
      </c>
      <c r="UI18" t="str">
        <f>IF($EE$18="",FALSE,SUMPRODUCT(('Final Calculation Sheet'!$Y$4:$Y$40=$EE$18)*($UH$4:$UH$40=1))&gt;0)</f>
      </c>
      <c r="UJ18" t="str">
        <f>=$UJ17+--($UI18)</f>
      </c>
      <c r="UK18" t="str">
        <f>IF(ROW()-3&gt;MAX($UJ$4:$UJ$40),"",INDEX($EE$4:$EE$40,MATCH(ROW()-3,$UJ$4:$UJ$40,0)))</f>
      </c>
      <c r="UL18" t="str">
        <f>IF(COUNTIF('Final Calculation Sheet'!$AL18:$BJ18,0)+COUNTIF('Final Calculation Sheet'!$BL18:$BS18,0)&gt;0,0,1)</f>
      </c>
      <c r="UM18" t="str">
        <f>IF($EJ$18="",FALSE,SUMPRODUCT(('Final Calculation Sheet'!$Z$4:$Z$40=$EJ$18)*($UL$4:$UL$40=1))&gt;0)</f>
      </c>
      <c r="UN18" t="str">
        <f>=$UN17+--($UM18)</f>
      </c>
      <c r="UO18" t="str">
        <f>IF(ROW()-3&gt;MAX($UN$4:$UN$40),"",INDEX($EJ$4:$EJ$40,MATCH(ROW()-3,$UN$4:$UN$40,0)))</f>
      </c>
      <c r="UP18" t="str">
        <f>IF(COUNTIF('Final Calculation Sheet'!$AL18:$BK18,0)+COUNTIF('Final Calculation Sheet'!$BM18:$BS18,0)&gt;0,0,1)</f>
      </c>
      <c r="UQ18" t="str">
        <f>IF($EO$18="",FALSE,SUMPRODUCT(('Final Calculation Sheet'!$AA$4:$AA$40=$EO$18)*($UP$4:$UP$40=1))&gt;0)</f>
      </c>
      <c r="UR18" t="str">
        <f>=$UR17+--($UQ18)</f>
      </c>
      <c r="US18" t="str">
        <f>IF(ROW()-3&gt;MAX($UR$4:$UR$40),"",INDEX($EO$4:$EO$40,MATCH(ROW()-3,$UR$4:$UR$40,0)))</f>
      </c>
      <c r="UT18" t="str">
        <f>IF(COUNTIF('Final Calculation Sheet'!$AL18:$BL18,0)+COUNTIF('Final Calculation Sheet'!$BN18:$BS18,0)&gt;0,0,1)</f>
      </c>
      <c r="UU18" t="str">
        <f>IF($ET$18="",FALSE,SUMPRODUCT(('Final Calculation Sheet'!$AB$4:$AB$40=$ET$18)*($UT$4:$UT$40=1))&gt;0)</f>
      </c>
      <c r="UV18" t="str">
        <f>=$UV17+--($UU18)</f>
      </c>
      <c r="UW18" t="str">
        <f>IF(ROW()-3&gt;MAX($UV$4:$UV$40),"",INDEX($ET$4:$ET$40,MATCH(ROW()-3,$UV$4:$UV$40,0)))</f>
      </c>
      <c r="UX18" t="str">
        <f>IF(COUNTIF('Final Calculation Sheet'!$AL18:$BM18,0)+COUNTIF('Final Calculation Sheet'!$BO18:$BS18,0)&gt;0,0,1)</f>
      </c>
      <c r="UY18" t="str">
        <f>IF($EY$18="",FALSE,SUMPRODUCT(('Final Calculation Sheet'!$AC$4:$AC$40=$EY$18)*($UX$4:$UX$40=1))&gt;0)</f>
      </c>
      <c r="UZ18" t="str">
        <f>=$UZ17+--($UY18)</f>
      </c>
      <c r="VA18" t="str">
        <f>IF(ROW()-3&gt;MAX($UZ$4:$UZ$40),"",INDEX($EY$4:$EY$40,MATCH(ROW()-3,$UZ$4:$UZ$40,0)))</f>
      </c>
      <c r="VB18" t="str">
        <f>IF(COUNTIF('Final Calculation Sheet'!$AL18:$BN18,0)+COUNTIF('Final Calculation Sheet'!$BP18:$BS18,0)&gt;0,0,1)</f>
      </c>
      <c r="VC18" t="str">
        <f>IF($FD$18="",FALSE,SUMPRODUCT(('Final Calculation Sheet'!$AD$4:$AD$40=$FD$18)*($VB$4:$VB$40=1))&gt;0)</f>
      </c>
      <c r="VD18" t="str">
        <f>=$VD17+--($VC18)</f>
      </c>
      <c r="VE18" t="str">
        <f>IF(ROW()-3&gt;MAX($VD$4:$VD$40),"",INDEX($FD$4:$FD$40,MATCH(ROW()-3,$VD$4:$VD$40,0)))</f>
      </c>
      <c r="VF18" t="str">
        <f>IF(COUNTIF('Final Calculation Sheet'!$AL18:$BO18,0)+COUNTIF('Final Calculation Sheet'!$BQ18:$BS18,0)&gt;0,0,1)</f>
      </c>
      <c r="VG18" t="str">
        <f>IF($FI$18="",FALSE,SUMPRODUCT(('Final Calculation Sheet'!$AE$4:$AE$40=$FI$18)*($VF$4:$VF$40=1))&gt;0)</f>
      </c>
      <c r="VH18" t="str">
        <f>=$VH17+--($VG18)</f>
      </c>
      <c r="VI18" t="str">
        <f>IF(ROW()-3&gt;MAX($VH$4:$VH$40),"",INDEX($FI$4:$FI$40,MATCH(ROW()-3,$VH$4:$VH$40,0)))</f>
      </c>
      <c r="VJ18" t="str">
        <f>IF(COUNTIF('Final Calculation Sheet'!$AL18:$BP18,0)+COUNTIF('Final Calculation Sheet'!$BR18:$BS18,0)&gt;0,0,1)</f>
      </c>
      <c r="VK18" t="str">
        <f>IF($FN$18="",FALSE,SUMPRODUCT(('Final Calculation Sheet'!$AF$4:$AF$40=$FN$18)*($VJ$4:$VJ$40=1))&gt;0)</f>
      </c>
      <c r="VL18" t="str">
        <f>=$VL17+--($VK18)</f>
      </c>
      <c r="VM18" t="str">
        <f>IF(ROW()-3&gt;MAX($VL$4:$VL$40),"",INDEX($FN$4:$FN$40,MATCH(ROW()-3,$VL$4:$VL$40,0)))</f>
      </c>
      <c r="VN18" t="str">
        <f>IF(COUNTIF('Final Calculation Sheet'!$AL18:$BQ18,0)+COUNTIF('Final Calculation Sheet'!$BS18:$BS18,0)&gt;0,0,1)</f>
      </c>
      <c r="VO18" t="str">
        <f>IF($FS$18="",FALSE,SUMPRODUCT(('Final Calculation Sheet'!$AG$4:$AG$40=$FS$18)*($VN$4:$VN$40=1))&gt;0)</f>
      </c>
      <c r="VP18" t="str">
        <f>=$VP17+--($VO18)</f>
      </c>
      <c r="VQ18" t="str">
        <f>IF(ROW()-3&gt;MAX($VP$4:$VP$40),"",INDEX($FS$4:$FS$40,MATCH(ROW()-3,$VP$4:$VP$40,0)))</f>
      </c>
      <c r="VR18" t="str">
        <f>IF(COUNTIF('Final Calculation Sheet'!$AL18:$BR18,0)&gt;0,0,1)</f>
      </c>
      <c r="VS18" t="str">
        <f>IF($QO$18="",FALSE,SUMPRODUCT(('Final Calculation Sheet'!$AH$4:$AH$40=$QO$18)*($VR$4:$VR$40=1))&gt;0)</f>
      </c>
      <c r="VT18" t="str">
        <f>=$VT17+--($VS18)</f>
      </c>
      <c r="VU18" t="str">
        <f>IF(ROW()-3&gt;MAX($VT$4:$VT$40),"",INDEX($QO$4:$QO$40,MATCH(ROW()-3,$VT$4:$VT$40,0)))</f>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IF(COUNTIF('Live Search'!BM$18:BM$18,0)+COUNTIF('Live Search'!B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D19">
        <f>IF($O$19="",FALSE,SUMPRODUCT(('Final Calculation Sheet'!$F$4:$F$40=$O$19)*($GC$6:$GC$42=1))&gt;0)</f>
        <v/>
      </c>
      <c r="GE19">
        <f>$GE$18+--($GD19)</f>
        <v/>
      </c>
      <c r="GF19">
        <f>IF(ROW()-3&gt;MAX($GE$4:$GE$40),"",INDEX($O$4:$O$40,MATCH(ROW()-3,$GE$4:$GE$40,0)))</f>
        <v/>
      </c>
      <c r="GG19">
        <f>IF(COUNTIF('Live Search'!BM$18:BN$18,0)+COUNTIF('Live Search'!B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H19">
        <f>IF($T$19="",FALSE,SUMPRODUCT(('Final Calculation Sheet'!$G$4:$G$40=$T$19)*($GG$6:$GG$42=1))&gt;0)</f>
        <v/>
      </c>
      <c r="GI19">
        <f>$GI$18+--($GH19)</f>
        <v/>
      </c>
      <c r="GJ19">
        <f>IF(ROW()-3&gt;MAX($GI$4:$GI$40),"",INDEX($T$4:$T$40,MATCH(ROW()-3,$GI$4:$GI$40,0)))</f>
        <v/>
      </c>
      <c r="GK19">
        <f>IF(COUNTIF('Live Search'!BM$18:BP$18,0)+COUNTIF('Live Search'!B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L19">
        <f>IF($AD$19="",FALSE,SUMPRODUCT(('Final Calculation Sheet'!$D$4:$D$40=$AD$19)*($GK$6:$GK$42=1))&gt;0)</f>
        <v/>
      </c>
      <c r="GM19">
        <f>$GM$18+--($GL19)</f>
        <v/>
      </c>
      <c r="GN19">
        <f>IF(ROW()-3&gt;MAX($GM$4:$GM$40),"",INDEX($AD$4:$AD$40,MATCH(ROW()-3,$GM$4:$GM$40,0)))</f>
        <v/>
      </c>
      <c r="GO19">
        <f>IF(COUNTIF('Live Search'!BM$18:BQ$18,0)+COUNTIF('Live Search'!B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P19">
        <f>IF($AI$19="",FALSE,SUMPRODUCT(('Final Calculation Sheet'!$A$4:$A$40=$AI$19)*($GO$6:$GO$42=1))&gt;0)</f>
        <v/>
      </c>
      <c r="GQ19">
        <f>$GQ$18+--($GP19)</f>
        <v/>
      </c>
      <c r="GR19">
        <f>IF(ROW()-3&gt;MAX($GQ$4:$GQ$40),"",INDEX($AI$4:$AI$40,MATCH(ROW()-3,$GQ$4:$GQ$40,0)))</f>
        <v/>
      </c>
      <c r="GS19">
        <f>IF(COUNTIF('Live Search'!BM$18:BR$18,0)+COUNTIF('Live Search'!B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T19">
        <f>IF($AN$19="",FALSE,SUMPRODUCT(('Final Calculation Sheet'!$E$4:$E$40=$AN$19)*($GS$6:$GS$42=1))&gt;0)</f>
        <v/>
      </c>
      <c r="GU19">
        <f>$GU$18+--($GT19)</f>
        <v/>
      </c>
      <c r="GV19">
        <f>IF(ROW()-3&gt;MAX($GU$4:$GU$40),"",INDEX($AN$4:$AN$40,MATCH(ROW()-3,$GU$4:$GU$40,0)))</f>
        <v/>
      </c>
      <c r="GW19">
        <f>IF(COUNTIF('Live Search'!BM$18:BS$18,0)+COUNTIF('Live Search'!B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GX19">
        <f>IF($AS$19="",FALSE,SUMPRODUCT(('Final Calculation Sheet'!$C$4:$C$40=$AS$19)*($GW$6:$GW$42=1))&gt;0)</f>
        <v/>
      </c>
      <c r="GY19">
        <f>$GY$18+--($GX19)</f>
        <v/>
      </c>
      <c r="GZ19">
        <f>IF(ROW()-3&gt;MAX($GY$4:$GY$40),"",INDEX($AS$4:$AS$40,MATCH(ROW()-3,$GY$4:$GY$40,0)))</f>
        <v/>
      </c>
      <c r="HA19">
        <f>IF(COUNTIF('Live Search'!BM$18:BT$18,0)+COUNTIF('Live Search'!BV$18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B19">
        <f>IF($AX$19="",FALSE,SUMPRODUCT(('Final Calculation Sheet'!$H$4:$H$40=$AX$19)*($HA$6:$HA$42=1))&gt;0)</f>
        <v/>
      </c>
      <c r="HC19">
        <f>$HC$18+--($HB19)</f>
        <v/>
      </c>
      <c r="HD19">
        <f>IF(ROW()-3&gt;MAX($HC$4:$HC$40),"",INDEX($AX$4:$AX$40,MATCH(ROW()-3,$HC$4:$HC$40,0)))</f>
        <v/>
      </c>
      <c r="HE19">
        <f>IF(COUNTIF('Live Search'!BM$18:BU$18,0)+COUNTIF('Live Search'!BW$18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F19">
        <f>IF($BC$19="",FALSE,SUMPRODUCT(('Final Calculation Sheet'!$I$4:$I$40=$BC$19)*($HE$6:$HE$42=1))&gt;0)</f>
        <v/>
      </c>
      <c r="HG19">
        <f>$HG$18+--($HF19)</f>
        <v/>
      </c>
      <c r="HH19">
        <f>IF(ROW()-3&gt;MAX($HG$4:$HG$40),"",INDEX($BC$4:$BC$40,MATCH(ROW()-3,$HG$4:$HG$40,0)))</f>
        <v/>
      </c>
      <c r="HI19">
        <f>IF(COUNTIF('Live Search'!BM$18:BV$18,0)+COUNTIF('Live Search'!BX$18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J19">
        <f>IF($BH$19="",FALSE,SUMPRODUCT(('Final Calculation Sheet'!$J$4:$J$40=$BH$19)*($HI$6:$HI$42=1))&gt;0)</f>
        <v/>
      </c>
      <c r="HK19">
        <f>$HK$18+--($HJ19)</f>
        <v/>
      </c>
      <c r="HL19">
        <f>IF(ROW()-3&gt;MAX($HK$4:$HK$40),"",INDEX($BH$4:$BH$40,MATCH(ROW()-3,$HK$4:$HK$40,0)))</f>
        <v/>
      </c>
      <c r="HM19">
        <f>IF(COUNTIF('Live Search'!BM$18:BW$18,0)+COUNTIF('Live Search'!BY$18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N19">
        <f>IF($BM$19="",FALSE,SUMPRODUCT(('Final Calculation Sheet'!$K$4:$K$40=$BM$19)*($HM$6:$HM$42=1))&gt;0)</f>
        <v/>
      </c>
      <c r="HO19">
        <f>$HO$18+--($HN19)</f>
        <v/>
      </c>
      <c r="HP19">
        <f>IF(ROW()-3&gt;MAX($HO$4:$HO$40),"",INDEX($BM$4:$BM$40,MATCH(ROW()-3,$HO$4:$HO$40,0)))</f>
        <v/>
      </c>
      <c r="HQ19">
        <f>IF(COUNTIF('Live Search'!BM$18:BX$18,0)+COUNTIF('Live Search'!BZ$18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R19">
        <f>IF($BR$19="",FALSE,SUMPRODUCT(('Final Calculation Sheet'!$L$4:$L$40=$BR$19)*($HQ$6:$HQ$42=1))&gt;0)</f>
        <v/>
      </c>
      <c r="HS19">
        <f>$HS$18+--($HR19)</f>
        <v/>
      </c>
      <c r="HT19">
        <f>IF(ROW()-3&gt;MAX($HS$4:$HS$40),"",INDEX($BR$4:$BR$40,MATCH(ROW()-3,$HS$4:$HS$40,0)))</f>
        <v/>
      </c>
      <c r="HU19">
        <f>IF(COUNTIF('Live Search'!BM$18:BY$18,0)+COUNTIF('Live Search'!CA$18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V19">
        <f>IF($BW$19="",FALSE,SUMPRODUCT(('Final Calculation Sheet'!$M$4:$M$40=$BW$19)*($HU$6:$HU$42=1))&gt;0)</f>
        <v/>
      </c>
      <c r="HW19">
        <f>$HW$18+--($HV19)</f>
        <v/>
      </c>
      <c r="HX19">
        <f>IF(ROW()-3&gt;MAX($HW$4:$HW$40),"",INDEX($BW$4:$BW$40,MATCH(ROW()-3,$HW$4:$HW$40,0)))</f>
        <v/>
      </c>
      <c r="HY19">
        <f>IF(COUNTIF('Live Search'!BM$18:BZ$18,0)+COUNTIF('Live Search'!CB$18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HZ19">
        <f>IF($CB$19="",FALSE,SUMPRODUCT(('Final Calculation Sheet'!$N$4:$N$40=$CB$19)*($HY$6:$HY$42=1))&gt;0)</f>
        <v/>
      </c>
      <c r="IA19">
        <f>$IA$18+--($HZ19)</f>
        <v/>
      </c>
      <c r="IB19">
        <f>IF(ROW()-3&gt;MAX($IA$4:$IA$40),"",INDEX($CB$4:$CB$40,MATCH(ROW()-3,$IA$4:$IA$40,0)))</f>
        <v/>
      </c>
      <c r="IC19">
        <f>IF(COUNTIF('Live Search'!BM$18:CA$18,0)+COUNTIF('Live Search'!CC$18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D19">
        <f>IF($CG$19="",FALSE,SUMPRODUCT(('Final Calculation Sheet'!$O$4:$O$40=$CG$19)*($IC$6:$IC$42=1))&gt;0)</f>
        <v/>
      </c>
      <c r="IE19">
        <f>$IE$18+--($ID19)</f>
        <v/>
      </c>
      <c r="IF19">
        <f>IF(ROW()-3&gt;MAX($IE$4:$IE$40),"",INDEX($CG$4:$CG$40,MATCH(ROW()-3,$IE$4:$IE$40,0)))</f>
        <v/>
      </c>
      <c r="IG19">
        <f>IF(COUNTIF('Live Search'!BM$18:CB$18,0)+COUNTIF('Live Search'!CD$18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H19">
        <f>IF($CL$19="",FALSE,SUMPRODUCT(('Final Calculation Sheet'!$P$4:$P$40=$CL$19)*($IG$6:$IG$42=1))&gt;0)</f>
        <v/>
      </c>
      <c r="II19">
        <f>$II$18+--($IH19)</f>
        <v/>
      </c>
      <c r="IJ19">
        <f>IF(ROW()-3&gt;MAX($II$4:$II$40),"",INDEX($CL$4:$CL$40,MATCH(ROW()-3,$II$4:$II$40,0)))</f>
        <v/>
      </c>
      <c r="IK19">
        <f>IF(COUNTIF('Live Search'!BM$18:CC$18,0)+COUNTIF('Live Search'!CE$18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L19">
        <f>IF($CQ$19="",FALSE,SUMPRODUCT(('Final Calculation Sheet'!$Q$4:$Q$40=$CQ$19)*($IK$6:$IK$42=1))&gt;0)</f>
        <v/>
      </c>
      <c r="IM19">
        <f>$IM$18+--($IL19)</f>
        <v/>
      </c>
      <c r="IN19">
        <f>IF(ROW()-3&gt;MAX($IM$4:$IM$40),"",INDEX($CQ$4:$CQ$40,MATCH(ROW()-3,$IM$4:$IM$40,0)))</f>
        <v/>
      </c>
      <c r="IO19">
        <f>IF(COUNTIF('Live Search'!BM$18:CD$18,0)+COUNTIF('Live Search'!CF$18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P19">
        <f>IF($CV$19="",FALSE,SUMPRODUCT(('Final Calculation Sheet'!$R$4:$R$40=$CV$19)*($IO$6:$IO$42=1))&gt;0)</f>
        <v/>
      </c>
      <c r="IQ19">
        <f>$IQ$18+--($IP19)</f>
        <v/>
      </c>
      <c r="IR19">
        <f>IF(ROW()-3&gt;MAX($IQ$4:$IQ$40),"",INDEX($CV$4:$CV$40,MATCH(ROW()-3,$IQ$4:$IQ$40,0)))</f>
        <v/>
      </c>
      <c r="IS19">
        <f>IF(COUNTIF('Live Search'!BM$18:CE$18,0)+COUNTIF('Live Search'!CG$18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T19">
        <f>IF($DA$19="",FALSE,SUMPRODUCT(('Final Calculation Sheet'!$S$4:$S$40=$DA$19)*($IS$6:$IS$42=1))&gt;0)</f>
        <v/>
      </c>
      <c r="IU19">
        <f>$IU$18+--($IT19)</f>
        <v/>
      </c>
      <c r="IV19">
        <f>IF(ROW()-3&gt;MAX($IU$4:$IU$40),"",INDEX($DA$4:$DA$40,MATCH(ROW()-3,$IU$4:$IU$40,0)))</f>
        <v/>
      </c>
      <c r="IW19">
        <f>IF(COUNTIF('Live Search'!BM$18:CF$18,0)+COUNTIF('Live Search'!CH$18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IX19">
        <f>IF($DF$19="",FALSE,SUMPRODUCT(('Final Calculation Sheet'!$T$4:$T$40=$DF$19)*($IW$6:$IW$42=1))&gt;0)</f>
        <v/>
      </c>
      <c r="IY19">
        <f>$IY$18+--($IX19)</f>
        <v/>
      </c>
      <c r="IZ19">
        <f>IF(ROW()-3&gt;MAX($IY$4:$IY$40),"",INDEX($DF$4:$DF$40,MATCH(ROW()-3,$IY$4:$IY$40,0)))</f>
        <v/>
      </c>
      <c r="JA19">
        <f>IF(COUNTIF('Live Search'!BM$18:CG$18,0)+COUNTIF('Live Search'!CI$18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B19">
        <f>IF($DK$19="",FALSE,SUMPRODUCT(('Final Calculation Sheet'!$U$4:$U$40=$DK$19)*($JA$6:$JA$42=1))&gt;0)</f>
        <v/>
      </c>
      <c r="JC19">
        <f>$JC$18+--($JB19)</f>
        <v/>
      </c>
      <c r="JD19">
        <f>IF(ROW()-3&gt;MAX($JC$4:$JC$40),"",INDEX($DK$4:$DK$40,MATCH(ROW()-3,$JC$4:$JC$40,0)))</f>
        <v/>
      </c>
      <c r="JE19">
        <f>IF(COUNTIF('Live Search'!BM$18:CH$18,0)+COUNTIF('Live Search'!CJ$18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F19">
        <f>IF($DP$19="",FALSE,SUMPRODUCT(('Final Calculation Sheet'!$V$4:$V$40=$DP$19)*($JE$6:$JE$42=1))&gt;0)</f>
        <v/>
      </c>
      <c r="JG19">
        <f>$JG$18+--($JF19)</f>
        <v/>
      </c>
      <c r="JH19">
        <f>IF(ROW()-3&gt;MAX($JG$4:$JG$40),"",INDEX($DP$4:$DP$40,MATCH(ROW()-3,$JG$4:$JG$40,0)))</f>
        <v/>
      </c>
      <c r="JI19">
        <f>IF(COUNTIF('Live Search'!BM$18:CI$18,0)+COUNTIF('Live Search'!CK$18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J19">
        <f>IF($DU$19="",FALSE,SUMPRODUCT(('Final Calculation Sheet'!$W$4:$W$40=$DU$19)*($JI$6:$JI$42=1))&gt;0)</f>
        <v/>
      </c>
      <c r="JK19">
        <f>$JK$18+--($JJ19)</f>
        <v/>
      </c>
      <c r="JL19">
        <f>IF(ROW()-3&gt;MAX($JK$4:$JK$40),"",INDEX($DU$4:$DU$40,MATCH(ROW()-3,$JK$4:$JK$40,0)))</f>
        <v/>
      </c>
      <c r="JM19">
        <f>IF(COUNTIF('Live Search'!BM$18:CJ$18,0)+COUNTIF('Live Search'!CL$18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N19">
        <f>IF($DZ$19="",FALSE,SUMPRODUCT(('Final Calculation Sheet'!$X$4:$X$40=$DZ$19)*($JM$6:$JM$42=1))&gt;0)</f>
        <v/>
      </c>
      <c r="JO19">
        <f>$JO$18+--($JN19)</f>
        <v/>
      </c>
      <c r="JP19">
        <f>IF(ROW()-3&gt;MAX($JO$4:$JO$40),"",INDEX($DZ$4:$DZ$40,MATCH(ROW()-3,$JO$4:$JO$40,0)))</f>
        <v/>
      </c>
      <c r="JQ19">
        <f>IF(COUNTIF('Live Search'!BM$18:CK$18,0)+COUNTIF('Live Search'!C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R19">
        <f>IF($EE$19="",FALSE,SUMPRODUCT(('Final Calculation Sheet'!$Y$4:$Y$40=$EE$19)*($JQ$6:$JQ$42=1))&gt;0)</f>
        <v/>
      </c>
      <c r="JS19">
        <f>$JS$18+--($JR19)</f>
        <v/>
      </c>
      <c r="JT19">
        <f>IF(ROW()-3&gt;MAX($JS$4:$JS$40),"",INDEX($EE$4:$EE$40,MATCH(ROW()-3,$JS$4:$JS$40,0)))</f>
        <v/>
      </c>
      <c r="JU19">
        <f>IF(COUNTIF('Live Search'!BM$18:CL$18,0)+COUNTIF('Live Search'!CN$18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V19">
        <f>IF($EJ$19="",FALSE,SUMPRODUCT(('Final Calculation Sheet'!$Z$4:$Z$40=$EJ$19)*($JU$6:$JU$42=1))&gt;0)</f>
        <v/>
      </c>
      <c r="JW19">
        <f>$JW$18+--($JV19)</f>
        <v/>
      </c>
      <c r="JX19">
        <f>IF(ROW()-3&gt;MAX($JW$4:$JW$40),"",INDEX($EJ$4:$EJ$40,MATCH(ROW()-3,$JW$4:$JW$40,0)))</f>
        <v/>
      </c>
      <c r="JY19">
        <f>IF(COUNTIF('Live Search'!BM$18:CM$18,0)+COUNTIF('Live Search'!CO$18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JZ19">
        <f>IF($EO$19="",FALSE,SUMPRODUCT(('Final Calculation Sheet'!$AA$4:$AA$40=$EO$19)*($JY$6:$JY$42=1))&gt;0)</f>
        <v/>
      </c>
      <c r="KA19">
        <f>$KA$18+--($JZ19)</f>
        <v/>
      </c>
      <c r="KB19">
        <f>IF(ROW()-3&gt;MAX($KA$4:$KA$40),"",INDEX($EO$4:$EO$40,MATCH(ROW()-3,$KA$4:$KA$40,0)))</f>
        <v/>
      </c>
      <c r="KC19">
        <f>IF(COUNTIF('Live Search'!BM$18:CN$18,0)+COUNTIF('Live Search'!CP$18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D19">
        <f>IF($ET$19="",FALSE,SUMPRODUCT(('Final Calculation Sheet'!$AB$4:$AB$40=$ET$19)*($KC$6:$KC$42=1))&gt;0)</f>
        <v/>
      </c>
      <c r="KE19">
        <f>$KE$18+--($KD19)</f>
        <v/>
      </c>
      <c r="KF19">
        <f>IF(ROW()-3&gt;MAX($KE$4:$KE$40),"",INDEX($ET$4:$ET$40,MATCH(ROW()-3,$KE$4:$KE$40,0)))</f>
        <v/>
      </c>
      <c r="KG19">
        <f>IF(COUNTIF('Live Search'!BM$18:CO$18,0)+COUNTIF('Live Search'!CQ$18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H19">
        <f>IF($EY$19="",FALSE,SUMPRODUCT(('Final Calculation Sheet'!$AC$4:$AC$40=$EY$19)*($KG$6:$KG$42=1))&gt;0)</f>
        <v/>
      </c>
      <c r="KI19">
        <f>$KI$18+--($KH19)</f>
        <v/>
      </c>
      <c r="KJ19">
        <f>IF(ROW()-3&gt;MAX($KI$4:$KI$40),"",INDEX($EY$4:$EY$40,MATCH(ROW()-3,$KI$4:$KI$40,0)))</f>
        <v/>
      </c>
      <c r="KK19">
        <f>IF(COUNTIF('Live Search'!BM$18:CP$18,0)+COUNTIF('Live Search'!CR$18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L19">
        <f>IF($FD$19="",FALSE,SUMPRODUCT(('Final Calculation Sheet'!$AD$4:$AD$40=$FD$19)*($KK$6:$KK$42=1))&gt;0)</f>
        <v/>
      </c>
      <c r="KM19">
        <f>$KM$18+--($KL19)</f>
        <v/>
      </c>
      <c r="KN19">
        <f>IF(ROW()-3&gt;MAX($KM$4:$KM$40),"",INDEX($FD$4:$FD$40,MATCH(ROW()-3,$KM$4:$KM$40,0)))</f>
        <v/>
      </c>
      <c r="KO19">
        <f>IF(COUNTIF('Live Search'!BM$18:CT$18,0)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P19">
        <f>IF($FX$19="",FALSE,SUMPRODUCT((IF('Final Calculation Sheet'!$AD$4:$AD$40&lt;=5,"SETTLED","OUTSTANDING")=$FX$19)*($KO$6:$KO$42=1))&gt;0)</f>
        <v/>
      </c>
      <c r="KQ19">
        <f>$KQ$18+--($KP19)</f>
        <v/>
      </c>
      <c r="KR19">
        <f>IF(ROW()-3&gt;MAX($KQ$4:$KQ$40),"",INDEX($FX$4:$FX$40,MATCH(ROW()-3,$KQ$4:$KQ$40,0)))</f>
        <v/>
      </c>
      <c r="KS19">
        <f>IF(COUNTIF('Live Search'!BM$18:CQ$18,0)+COUNTIF('Live Search'!CS$18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T19">
        <f>IF($FI$19="",FALSE,SUMPRODUCT(('Final Calculation Sheet'!$AF$4:$AF$40=$FI$19)*($KS$6:$KS$42=1))&gt;0)</f>
        <v/>
      </c>
      <c r="KU19">
        <f>$KU$18+--($KT19)</f>
        <v/>
      </c>
      <c r="KV19">
        <f>IF(ROW()-3&gt;MAX($KU$4:$KU$40),"",INDEX($FI$4:$FI$40,MATCH(ROW()-3,$KU$4:$KU$40,0)))</f>
        <v/>
      </c>
      <c r="KW19">
        <f>IF(COUNTIF('Live Search'!BM$18:CR$18,0)+COUNTIF('Live Search'!CT$18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KX19">
        <f>IF($FN$19="",FALSE,SUMPRODUCT(('Final Calculation Sheet'!$AG$4:$AG$40=$FN$19)*($KW$6:$KW$42=1))&gt;0)</f>
        <v/>
      </c>
      <c r="KY19">
        <f>$KY$18+--($KX19)</f>
        <v/>
      </c>
      <c r="KZ19">
        <f>IF(ROW()-3&gt;MAX($KY$4:$KY$40),"",INDEX($FN$4:$FN$40,MATCH(ROW()-3,$KY$4:$KY$40,0)))</f>
        <v/>
      </c>
      <c r="LA19">
        <f>IF(COUNTIF('Live Search'!BM$18:CS$18,0)+COUNTIF('Live Search'!CU$18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LB19">
        <f>IF($FS$19="",FALSE,SUMPRODUCT(('Final Calculation Sheet'!$AH$4:$AH$40=$FS$19)*($LA$6:$LA$42=1))&gt;0)</f>
        <v/>
      </c>
      <c r="LC19">
        <f>$LC$18+--($LB19)</f>
        <v/>
      </c>
      <c r="LD19">
        <f>IF(ROW()-3&gt;MAX($LC$4:$LC$40),"",INDEX($FS$4:$FS$40,MATCH(ROW()-3,$LC$4:$LC$40,0)))</f>
        <v/>
      </c>
      <c r="LE19">
        <f>IF(COUNTIF('Buyer Groups'!DH72:EN72,0)&gt;0,0,1)</f>
        <v/>
      </c>
      <c r="LF19">
        <f>IF($O$19="",FALSE,SUMPRODUCT(('Final Calculation Sheet'!$F$4:$F$40=$O$19)*($LE$6:$LE$42=1))&gt;0)</f>
        <v/>
      </c>
      <c r="LG19">
        <f>$LG$18+--($LF19)</f>
        <v/>
      </c>
      <c r="LH19">
        <f>IF(ROW()-3&gt;MAX($LG$4:$LG$40),"",INDEX($O$4:$O$40,MATCH(ROW()-3,$LG$4:$LG$40,0)))</f>
        <v/>
      </c>
      <c r="LI19">
        <f>IF(COUNTIF('Buyer Groups'!DG72:DG72,0)+COUNTIF('Buyer Groups'!DI72:EN72,0)&gt;0,0,1)</f>
        <v/>
      </c>
      <c r="LJ19">
        <f>IF($T$19="",FALSE,SUMPRODUCT(('Final Calculation Sheet'!$G$4:$G$40=$T$19)*($LI$6:$LI$42=1))&gt;0)</f>
        <v/>
      </c>
      <c r="LK19">
        <f>$LK$18+--($LJ19)</f>
        <v/>
      </c>
      <c r="LL19">
        <f>IF(ROW()-3&gt;MAX($LK$4:$LK$40),"",INDEX($T$4:$T$40,MATCH(ROW()-3,$LK$4:$LK$40,0)))</f>
        <v/>
      </c>
      <c r="LM19">
        <f>IF(COUNTIF('Buyer Groups'!DG72:DH72,0)+COUNTIF('Buyer Groups'!DJ72:EN72,0)&gt;0,0,1)</f>
        <v/>
      </c>
      <c r="LN19">
        <f>IF($Y$19="",FALSE,SUMPRODUCT(('Final Calculation Sheet'!$B$4:$B$40=$Y$19)*($LM$6:$LM$42=1))&gt;0)</f>
        <v/>
      </c>
      <c r="LO19">
        <f>$LO$18+--($LN19)</f>
        <v/>
      </c>
      <c r="LP19">
        <f>IF(ROW()-3&gt;MAX($LO$4:$LO$40),"",INDEX($Y$4:$Y$40,MATCH(ROW()-3,$LO$4:$LO$40,0)))</f>
        <v/>
      </c>
      <c r="LQ19">
        <f>IF(COUNTIF('Buyer Groups'!DG72:DI72,0)+COUNTIF('Buyer Groups'!DK72:EN72,0)&gt;0,0,1)</f>
        <v/>
      </c>
      <c r="LR19">
        <f>IF($AD$19="",FALSE,SUMPRODUCT(('Final Calculation Sheet'!$D$4:$D$40=$AD$19)*($LQ$6:$LQ$42=1))&gt;0)</f>
        <v/>
      </c>
      <c r="LS19">
        <f>$LS$18+--($LR19)</f>
        <v/>
      </c>
      <c r="LT19">
        <f>IF(ROW()-3&gt;MAX($LS$4:$LS$40),"",INDEX($AD$4:$AD$40,MATCH(ROW()-3,$LS$4:$LS$40,0)))</f>
        <v/>
      </c>
      <c r="LU19">
        <f>IF(COUNTIF('Buyer Groups'!DG72:DJ72,0)+COUNTIF('Buyer Groups'!DL72:EN72,0)&gt;0,0,1)</f>
        <v/>
      </c>
      <c r="LV19">
        <f>IF($AI$19="",FALSE,SUMPRODUCT(('Final Calculation Sheet'!$A$4:$A$40=$AI$19)*($LU$6:$LU$42=1))&gt;0)</f>
        <v/>
      </c>
      <c r="LW19">
        <f>$LW$18+--($LV19)</f>
        <v/>
      </c>
      <c r="LX19">
        <f>IF(ROW()-3&gt;MAX($LW$4:$LW$40),"",INDEX($AI$4:$AI$40,MATCH(ROW()-3,$LW$4:$LW$40,0)))</f>
        <v/>
      </c>
      <c r="LY19">
        <f>IF(COUNTIF('Buyer Groups'!DG72:DK72,0)+COUNTIF('Buyer Groups'!DM72:EN72,0)&gt;0,0,1)</f>
        <v/>
      </c>
      <c r="LZ19">
        <f>IF($AN$19="",FALSE,SUMPRODUCT(('Final Calculation Sheet'!$E$4:$E$40=$AN$19)*($LY$6:$LY$42=1))&gt;0)</f>
        <v/>
      </c>
      <c r="MA19">
        <f>$MA$18+--($LZ19)</f>
        <v/>
      </c>
      <c r="MB19">
        <f>IF(ROW()-3&gt;MAX($MA$4:$MA$40),"",INDEX($AN$4:$AN$40,MATCH(ROW()-3,$MA$4:$MA$40,0)))</f>
        <v/>
      </c>
      <c r="MC19">
        <f>IF(COUNTIF('Buyer Groups'!DG72:DL72,0)+COUNTIF('Buyer Groups'!DN72:EN72,0)&gt;0,0,1)</f>
        <v/>
      </c>
      <c r="MD19">
        <f>IF($AS$19="",FALSE,SUMPRODUCT(('Final Calculation Sheet'!$C$4:$C$40=$AS$19)*($MC$6:$MC$42=1))&gt;0)</f>
        <v/>
      </c>
      <c r="ME19">
        <f>$ME$18+--($MD19)</f>
        <v/>
      </c>
      <c r="MF19">
        <f>IF(ROW()-3&gt;MAX($ME$4:$ME$40),"",INDEX($AS$4:$AS$40,MATCH(ROW()-3,$ME$4:$ME$40,0)))</f>
        <v/>
      </c>
      <c r="MG19">
        <f>IF(COUNTIF('Buyer Groups'!DG72:DM72,0)+COUNTIF('Buyer Groups'!DO72:EN72,0)&gt;0,0,1)</f>
        <v/>
      </c>
      <c r="MH19">
        <f>IF($AX$19="",FALSE,SUMPRODUCT(('Final Calculation Sheet'!$H$4:$H$40=$AX$19)*($MG$6:$MG$42=1))&gt;0)</f>
        <v/>
      </c>
      <c r="MI19">
        <f>$MI$18+--($MH19)</f>
        <v/>
      </c>
      <c r="MJ19">
        <f>IF(ROW()-3&gt;MAX($MI$4:$MI$40),"",INDEX($AX$4:$AX$40,MATCH(ROW()-3,$MI$4:$MI$40,0)))</f>
        <v/>
      </c>
      <c r="MK19">
        <f>IF(COUNTIF('Buyer Groups'!DG72:DN72,0)+COUNTIF('Buyer Groups'!DP72:EN72,0)&gt;0,0,1)</f>
        <v/>
      </c>
      <c r="ML19">
        <f>IF($BC$19="",FALSE,SUMPRODUCT(('Final Calculation Sheet'!$I$4:$I$40=$BC$19)*($MK$6:$MK$42=1))&gt;0)</f>
        <v/>
      </c>
      <c r="MM19">
        <f>$MM$18+--($ML19)</f>
        <v/>
      </c>
      <c r="MN19">
        <f>IF(ROW()-3&gt;MAX($MM$4:$MM$40),"",INDEX($BC$4:$BC$40,MATCH(ROW()-3,$MM$4:$MM$40,0)))</f>
        <v/>
      </c>
      <c r="MO19">
        <f>IF(COUNTIF('Buyer Groups'!DG72:DO72,0)+COUNTIF('Buyer Groups'!DQ72:EN72,0)&gt;0,0,1)</f>
        <v/>
      </c>
      <c r="MP19">
        <f>IF($BH$19="",FALSE,SUMPRODUCT(('Final Calculation Sheet'!$J$4:$J$40=$BH$19)*($MO$6:$MO$42=1))&gt;0)</f>
        <v/>
      </c>
      <c r="MQ19">
        <f>$MQ$18+--($MP19)</f>
        <v/>
      </c>
      <c r="MR19">
        <f>IF(ROW()-3&gt;MAX($MQ$4:$MQ$40),"",INDEX($BH$4:$BH$40,MATCH(ROW()-3,$MQ$4:$MQ$40,0)))</f>
        <v/>
      </c>
      <c r="MS19">
        <f>IF(COUNTIF('Buyer Groups'!DG72:DP72,0)+COUNTIF('Buyer Groups'!DR72:EN72,0)&gt;0,0,1)</f>
        <v/>
      </c>
      <c r="MT19">
        <f>IF($BM$19="",FALSE,SUMPRODUCT(('Final Calculation Sheet'!$K$4:$K$40=$BM$19)*($MS$6:$MS$42=1))&gt;0)</f>
        <v/>
      </c>
      <c r="MU19">
        <f>$MU$18+--($MT19)</f>
        <v/>
      </c>
      <c r="MV19">
        <f>IF(ROW()-3&gt;MAX($MU$4:$MU$40),"",INDEX($BM$4:$BM$40,MATCH(ROW()-3,$MU$4:$MU$40,0)))</f>
        <v/>
      </c>
      <c r="MW19">
        <f>IF(COUNTIF('Buyer Groups'!DG72:DQ72,0)+COUNTIF('Buyer Groups'!DS72:EN72,0)&gt;0,0,1)</f>
        <v/>
      </c>
      <c r="MX19">
        <f>IF($BR$19="",FALSE,SUMPRODUCT(('Final Calculation Sheet'!$L$4:$L$40=$BR$19)*($MW$6:$MW$42=1))&gt;0)</f>
        <v/>
      </c>
      <c r="MY19">
        <f>$MY$18+--($MX19)</f>
        <v/>
      </c>
      <c r="MZ19">
        <f>IF(ROW()-3&gt;MAX($MY$4:$MY$40),"",INDEX($BR$4:$BR$40,MATCH(ROW()-3,$MY$4:$MY$40,0)))</f>
        <v/>
      </c>
      <c r="NA19">
        <f>IF(COUNTIF('Buyer Groups'!DG72:DR72,0)+COUNTIF('Buyer Groups'!DT72:EN72,0)&gt;0,0,1)</f>
        <v/>
      </c>
      <c r="NB19">
        <f>IF($BW$19="",FALSE,SUMPRODUCT(('Final Calculation Sheet'!$M$4:$M$40=$BW$19)*($NA$6:$NA$42=1))&gt;0)</f>
        <v/>
      </c>
      <c r="NC19">
        <f>$NC$18+--($NB19)</f>
        <v/>
      </c>
      <c r="ND19">
        <f>IF(ROW()-3&gt;MAX($NC$4:$NC$40),"",INDEX($BW$4:$BW$40,MATCH(ROW()-3,$NC$4:$NC$40,0)))</f>
        <v/>
      </c>
      <c r="NE19">
        <f>IF(COUNTIF('Buyer Groups'!DG72:DS72,0)+COUNTIF('Buyer Groups'!DU72:EN72,0)&gt;0,0,1)</f>
        <v/>
      </c>
      <c r="NF19">
        <f>IF($CB$19="",FALSE,SUMPRODUCT(('Final Calculation Sheet'!$N$4:$N$40=$CB$19)*($NE$6:$NE$42=1))&gt;0)</f>
        <v/>
      </c>
      <c r="NG19">
        <f>$NG$18+--($NF19)</f>
        <v/>
      </c>
      <c r="NH19">
        <f>IF(ROW()-3&gt;MAX($NG$4:$NG$40),"",INDEX($CB$4:$CB$40,MATCH(ROW()-3,$NG$4:$NG$40,0)))</f>
        <v/>
      </c>
      <c r="NI19">
        <f>IF(COUNTIF('Buyer Groups'!DG72:DT72,0)+COUNTIF('Buyer Groups'!DV72:EN72,0)&gt;0,0,1)</f>
        <v/>
      </c>
      <c r="NJ19">
        <f>IF($CG$19="",FALSE,SUMPRODUCT(('Final Calculation Sheet'!$O$4:$O$40=$CG$19)*($NI$6:$NI$42=1))&gt;0)</f>
        <v/>
      </c>
      <c r="NK19">
        <f>$NK$18+--($NJ19)</f>
        <v/>
      </c>
      <c r="NL19">
        <f>IF(ROW()-3&gt;MAX($NK$4:$NK$40),"",INDEX($CG$4:$CG$40,MATCH(ROW()-3,$NK$4:$NK$40,0)))</f>
        <v/>
      </c>
      <c r="NM19">
        <f>IF(COUNTIF('Buyer Groups'!DG72:DU72,0)+COUNTIF('Buyer Groups'!DW72:EN72,0)&gt;0,0,1)</f>
        <v/>
      </c>
      <c r="NN19">
        <f>IF($CL$19="",FALSE,SUMPRODUCT(('Final Calculation Sheet'!$P$4:$P$40=$CL$19)*($NM$6:$NM$42=1))&gt;0)</f>
        <v/>
      </c>
      <c r="NO19">
        <f>$NO$18+--($NN19)</f>
        <v/>
      </c>
      <c r="NP19">
        <f>IF(ROW()-3&gt;MAX($NO$4:$NO$40),"",INDEX($CL$4:$CL$40,MATCH(ROW()-3,$NO$4:$NO$40,0)))</f>
        <v/>
      </c>
      <c r="NQ19">
        <f>IF(COUNTIF('Buyer Groups'!DG72:DV72,0)+COUNTIF('Buyer Groups'!DX72:EN72,0)&gt;0,0,1)</f>
        <v/>
      </c>
      <c r="NR19">
        <f>IF($CQ$19="",FALSE,SUMPRODUCT(('Final Calculation Sheet'!$Q$4:$Q$40=$CQ$19)*($NQ$6:$NQ$42=1))&gt;0)</f>
        <v/>
      </c>
      <c r="NS19">
        <f>$NS$18+--($NR19)</f>
        <v/>
      </c>
      <c r="NT19">
        <f>IF(ROW()-3&gt;MAX($NS$4:$NS$40),"",INDEX($CQ$4:$CQ$40,MATCH(ROW()-3,$NS$4:$NS$40,0)))</f>
        <v/>
      </c>
      <c r="NU19">
        <f>IF(COUNTIF('Buyer Groups'!DG72:DW72,0)+COUNTIF('Buyer Groups'!DY72:EN72,0)&gt;0,0,1)</f>
        <v/>
      </c>
      <c r="NV19">
        <f>IF($CV$19="",FALSE,SUMPRODUCT(('Final Calculation Sheet'!$R$4:$R$40=$CV$19)*($NU$6:$NU$42=1))&gt;0)</f>
        <v/>
      </c>
      <c r="NW19">
        <f>$NW$18+--($NV19)</f>
        <v/>
      </c>
      <c r="NX19">
        <f>IF(ROW()-3&gt;MAX($NW$4:$NW$40),"",INDEX($CV$4:$CV$40,MATCH(ROW()-3,$NW$4:$NW$40,0)))</f>
        <v/>
      </c>
      <c r="NY19">
        <f>IF(COUNTIF('Buyer Groups'!DG72:DX72,0)+COUNTIF('Buyer Groups'!DZ72:EN72,0)&gt;0,0,1)</f>
        <v/>
      </c>
      <c r="NZ19">
        <f>IF($DA$19="",FALSE,SUMPRODUCT(('Final Calculation Sheet'!$S$4:$S$40=$DA$19)*($NY$6:$NY$42=1))&gt;0)</f>
        <v/>
      </c>
      <c r="OA19">
        <f>$OA$18+--($NZ19)</f>
        <v/>
      </c>
      <c r="OB19">
        <f>IF(ROW()-3&gt;MAX($OA$4:$OA$40),"",INDEX($DA$4:$DA$40,MATCH(ROW()-3,$OA$4:$OA$40,0)))</f>
        <v/>
      </c>
      <c r="OC19">
        <f>IF(COUNTIF('Buyer Groups'!DG72:DY72,0)+COUNTIF('Buyer Groups'!EA72:EN72,0)&gt;0,0,1)</f>
        <v/>
      </c>
      <c r="OD19">
        <f>IF($DF$19="",FALSE,SUMPRODUCT(('Final Calculation Sheet'!$T$4:$T$40=$DF$19)*($OC$6:$OC$42=1))&gt;0)</f>
        <v/>
      </c>
      <c r="OE19">
        <f>$OE$18+--($OD19)</f>
        <v/>
      </c>
      <c r="OF19">
        <f>IF(ROW()-3&gt;MAX($OE$4:$OE$40),"",INDEX($DF$4:$DF$40,MATCH(ROW()-3,$OE$4:$OE$40,0)))</f>
        <v/>
      </c>
      <c r="OG19">
        <f>IF(COUNTIF('Buyer Groups'!DG72:DZ72,0)+COUNTIF('Buyer Groups'!EB72:EN72,0)&gt;0,0,1)</f>
        <v/>
      </c>
      <c r="OH19">
        <f>IF($DK$19="",FALSE,SUMPRODUCT(('Final Calculation Sheet'!$U$4:$U$40=$DK$19)*($OG$6:$OG$42=1))&gt;0)</f>
        <v/>
      </c>
      <c r="OI19">
        <f>$OI$18+--($OH19)</f>
        <v/>
      </c>
      <c r="OJ19">
        <f>IF(ROW()-3&gt;MAX($OI$4:$OI$40),"",INDEX($DK$4:$DK$40,MATCH(ROW()-3,$OI$4:$OI$40,0)))</f>
        <v/>
      </c>
      <c r="OK19">
        <f>IF(COUNTIF('Buyer Groups'!DG72:EA72,0)+COUNTIF('Buyer Groups'!EC72:EN72,0)&gt;0,0,1)</f>
        <v/>
      </c>
      <c r="OL19">
        <f>IF($DP$19="",FALSE,SUMPRODUCT(('Final Calculation Sheet'!$V$4:$V$40=$DP$19)*($OK$6:$OK$42=1))&gt;0)</f>
        <v/>
      </c>
      <c r="OM19">
        <f>$OM$18+--($OL19)</f>
        <v/>
      </c>
      <c r="ON19">
        <f>IF(ROW()-3&gt;MAX($OM$4:$OM$40),"",INDEX($DP$4:$DP$40,MATCH(ROW()-3,$OM$4:$OM$40,0)))</f>
        <v/>
      </c>
      <c r="OO19">
        <f>IF(COUNTIF('Buyer Groups'!DG72:EB72,0)+COUNTIF('Buyer Groups'!ED72:EN72,0)&gt;0,0,1)</f>
        <v/>
      </c>
      <c r="OP19">
        <f>IF($DU$19="",FALSE,SUMPRODUCT(('Final Calculation Sheet'!$W$4:$W$40=$DU$19)*($OO$6:$OO$42=1))&gt;0)</f>
        <v/>
      </c>
      <c r="OQ19">
        <f>$OQ$18+--($OP19)</f>
        <v/>
      </c>
      <c r="OR19">
        <f>IF(ROW()-3&gt;MAX($OQ$4:$OQ$40),"",INDEX($DU$4:$DU$40,MATCH(ROW()-3,$OQ$4:$OQ$40,0)))</f>
        <v/>
      </c>
      <c r="OS19">
        <f>IF(COUNTIF('Buyer Groups'!DG72:EC72,0)+COUNTIF('Buyer Groups'!EE72:EN72,0)&gt;0,0,1)</f>
        <v/>
      </c>
      <c r="OT19">
        <f>IF($DZ$19="",FALSE,SUMPRODUCT(('Final Calculation Sheet'!$X$4:$X$40=$DZ$19)*($OS$6:$OS$42=1))&gt;0)</f>
        <v/>
      </c>
      <c r="OU19">
        <f>$OU$18+--($OT19)</f>
        <v/>
      </c>
      <c r="OV19">
        <f>IF(ROW()-3&gt;MAX($OU$4:$OU$40),"",INDEX($DZ$4:$DZ$40,MATCH(ROW()-3,$OU$4:$OU$40,0)))</f>
        <v/>
      </c>
      <c r="OW19">
        <f>IF(COUNTIF('Buyer Groups'!DG72:ED72,0)+COUNTIF('Buyer Groups'!EF72:EN72,0)&gt;0,0,1)</f>
        <v/>
      </c>
      <c r="OX19">
        <f>IF($EE$19="",FALSE,SUMPRODUCT(('Final Calculation Sheet'!$Y$4:$Y$40=$EE$19)*($OW$6:$OW$42=1))&gt;0)</f>
        <v/>
      </c>
      <c r="OY19">
        <f>$OY$18+--($OX19)</f>
        <v/>
      </c>
      <c r="OZ19">
        <f>IF(ROW()-3&gt;MAX($OY$4:$OY$40),"",INDEX($EE$4:$EE$40,MATCH(ROW()-3,$OY$4:$OY$40,0)))</f>
        <v/>
      </c>
      <c r="PA19">
        <f>IF(COUNTIF('Buyer Groups'!DG72:EE72,0)+COUNTIF('Buyer Groups'!EG72:EN72,0)&gt;0,0,1)</f>
        <v/>
      </c>
      <c r="PB19">
        <f>IF($EJ$19="",FALSE,SUMPRODUCT(('Final Calculation Sheet'!$Z$4:$Z$40=$EJ$19)*($PA$6:$PA$42=1))&gt;0)</f>
        <v/>
      </c>
      <c r="PC19">
        <f>$PC$18+--($PB19)</f>
        <v/>
      </c>
      <c r="PD19">
        <f>IF(ROW()-3&gt;MAX($PC$4:$PC$40),"",INDEX($EJ$4:$EJ$40,MATCH(ROW()-3,$PC$4:$PC$40,0)))</f>
        <v/>
      </c>
      <c r="PE19">
        <f>IF(COUNTIF('Buyer Groups'!DG72:EF72,0)+COUNTIF('Buyer Groups'!EH72:EN72,0)&gt;0,0,1)</f>
        <v/>
      </c>
      <c r="PF19">
        <f>IF($EO$19="",FALSE,SUMPRODUCT(('Final Calculation Sheet'!$AA$4:$AA$40=$EO$19)*($PE$6:$PE$42=1))&gt;0)</f>
        <v/>
      </c>
      <c r="PG19">
        <f>$PG$18+--($PF19)</f>
        <v/>
      </c>
      <c r="PH19">
        <f>IF(ROW()-3&gt;MAX($PG$4:$PG$40),"",INDEX($EO$4:$EO$40,MATCH(ROW()-3,$PG$4:$PG$40,0)))</f>
        <v/>
      </c>
      <c r="PI19">
        <f>IF(COUNTIF('Buyer Groups'!DG72:EG72,0)+COUNTIF('Buyer Groups'!EI72:EN72,0)&gt;0,0,1)</f>
        <v/>
      </c>
      <c r="PJ19">
        <f>IF($ET$19="",FALSE,SUMPRODUCT(('Final Calculation Sheet'!$AB$4:$AB$40=$ET$19)*($PI$6:$PI$42=1))&gt;0)</f>
        <v/>
      </c>
      <c r="PK19">
        <f>$PK$18+--($PJ19)</f>
        <v/>
      </c>
      <c r="PL19">
        <f>IF(ROW()-3&gt;MAX($PK$4:$PK$40),"",INDEX($ET$4:$ET$40,MATCH(ROW()-3,$PK$4:$PK$40,0)))</f>
        <v/>
      </c>
      <c r="PM19">
        <f>IF(COUNTIF('Buyer Groups'!DG72:EH72,0)+COUNTIF('Buyer Groups'!EJ72:EN72,0)&gt;0,0,1)</f>
        <v/>
      </c>
      <c r="PN19">
        <f>IF($EY$19="",FALSE,SUMPRODUCT(('Final Calculation Sheet'!$AC$4:$AC$40=$EY$19)*($PM$6:$PM$42=1))&gt;0)</f>
        <v/>
      </c>
      <c r="PO19">
        <f>$PO$18+--($PN19)</f>
        <v/>
      </c>
      <c r="PP19">
        <f>IF(ROW()-3&gt;MAX($PO$4:$PO$40),"",INDEX($EY$4:$EY$40,MATCH(ROW()-3,$PO$4:$PO$40,0)))</f>
        <v/>
      </c>
      <c r="PQ19">
        <f>IF(COUNTIF('Buyer Groups'!DG72:EI72,0)+COUNTIF('Buyer Groups'!EK72:EN72,0)&gt;0,0,1)</f>
        <v/>
      </c>
      <c r="PR19">
        <f>IF($FD$19="",FALSE,SUMPRODUCT(('Final Calculation Sheet'!$AD$4:$AD$40=$FD$19)*($PQ$6:$PQ$42=1))&gt;0)</f>
        <v/>
      </c>
      <c r="PS19">
        <f>$PS$18+--($PR19)</f>
        <v/>
      </c>
      <c r="PT19">
        <f>IF(ROW()-3&gt;MAX($PS$4:$PS$40),"",INDEX($FD$4:$FD$40,MATCH(ROW()-3,$PS$4:$PS$40,0)))</f>
        <v/>
      </c>
      <c r="PU19">
        <f>IF(COUNTIF('Buyer Groups'!DG72:EJ72,0)+COUNTIF('Buyer Groups'!EL72:EN72,0)&gt;0,0,1)</f>
        <v/>
      </c>
      <c r="PV19">
        <f>IF($FX$19="",FALSE,SUMPRODUCT((IF('Final Calculation Sheet'!$AD$4:$AD$40&lt;=5,"SETTLED","OUTSTANDING")=$FX$19)*($PU$6:$PU$42=1))&gt;0)</f>
        <v/>
      </c>
      <c r="PW19">
        <f>$PW$18+--($PV19)</f>
        <v/>
      </c>
      <c r="PX19">
        <f>IF(ROW()-3&gt;MAX($PW$4:$PW$40),"",INDEX($FX$4:$FX$40,MATCH(ROW()-3,$PW$4:$PW$40,0)))</f>
        <v/>
      </c>
      <c r="PY19">
        <f>IF(COUNTIF('Buyer Groups'!DG72:EK72,0)+COUNTIF('Buyer Groups'!EM72:EN72,0)&gt;0,0,1)</f>
        <v/>
      </c>
      <c r="PZ19">
        <f>IF($FI$19="",FALSE,SUMPRODUCT(('Final Calculation Sheet'!$AF$4:$AF$40=$FI$19)*($PY$6:$PY$42=1))&gt;0)</f>
        <v/>
      </c>
      <c r="QA19">
        <f>$QA$18+--($PZ19)</f>
        <v/>
      </c>
      <c r="QB19">
        <f>IF(ROW()-3&gt;MAX($QA$4:$QA$40),"",INDEX($FI$4:$FI$40,MATCH(ROW()-3,$QA$4:$QA$40,0)))</f>
        <v/>
      </c>
      <c r="QC19">
        <f>IF(COUNTIF('Buyer Groups'!DG72:EL72,0)+COUNTIF('Buyer Groups'!EN72:EN72,0)&gt;0,0,1)</f>
        <v/>
      </c>
      <c r="QD19">
        <f>IF($FN$19="",FALSE,SUMPRODUCT(('Final Calculation Sheet'!$AG$4:$AG$40=$FN$19)*($QC$6:$QC$42=1))&gt;0)</f>
        <v/>
      </c>
      <c r="QE19">
        <f>$QE$18+--($QD19)</f>
        <v/>
      </c>
      <c r="QF19">
        <f>IF(ROW()-3&gt;MAX($QE$4:$QE$40),"",INDEX($FN$4:$FN$40,MATCH(ROW()-3,$QE$4:$QE$40,0)))</f>
        <v/>
      </c>
      <c r="QG19">
        <f>IF(COUNTIF('Buyer Groups'!DG72:EM72,0)&gt;0,0,1)</f>
        <v/>
      </c>
      <c r="QH19">
        <f>IF($FS$19="",FALSE,SUMPRODUCT(('Final Calculation Sheet'!$AH$4:$AH$40=$FS$19)*($QG$6:$QG$42=1))&gt;0)</f>
        <v/>
      </c>
      <c r="QI19">
        <f>$QI$18+--($QH19)</f>
        <v/>
      </c>
      <c r="QJ19">
        <f>IF(ROW()-3&gt;MAX($QI$4:$QI$40),"",INDEX($FS$4:$FS$40,MATCH(ROW()-3,$QI$4:$QI$40,0)))</f>
        <v/>
      </c>
      <c r="QK19" t="str">
        <f>IF('Final Calculation Sheet'!$AH$19="","",'Final Calculation Sheet'!$AH$19)</f>
      </c>
      <c r="QL19" t="str">
        <f>IF(QK19="","",COUNTIFS(QK$4:QK$40,"&lt;"&amp;QK19,QK$4:QK$40,"&lt;&gt;"&amp;"")+COUNTIF(QK$4:QK19,QK19))</f>
      </c>
      <c r="QM19" t="str">
        <f>IF(ROW()-3&gt;COUNTIF(QK$4:QK$40,"&lt;&gt;"&amp;""),"",INDEX(QK$4:QK$40,MATCH(ROW()-3,QL$4:QL$40,0)))</f>
      </c>
      <c r="QN19" t="str">
        <f>=QN18+F(AND(QM19&lt;&gt;"",COUNTIF(QM$4:QM19,QM19)=1),1,0)</f>
      </c>
      <c r="QO19" t="str">
        <f>IF(ROW()-3&gt;MAX(QN$4:QN$40),"",INDEX(QM$4:QM$40,MATCH(ROW()-3,QN$4:QN$40,0)))</f>
      </c>
      <c r="QP19" t="str">
        <f>IF(COUNTIF('Final Calculation Sheet'!$AM19:$BS19,0)&gt;0,0,1)</f>
      </c>
      <c r="QQ19" t="str">
        <f>IF($AI$19="",FALSE,SUMPRODUCT(('Final Calculation Sheet'!$A$4:$A$40=$AI$19)*($QP$4:$QP$40=1))&gt;0)</f>
      </c>
      <c r="QR19" t="str">
        <f>=$QR18+--($QQ19)</f>
      </c>
      <c r="QS19" t="str">
        <f>IF(ROW()-3&gt;MAX($QR$4:$QR$40),"",INDEX($AI$4:$AI$40,MATCH(ROW()-3,$QR$4:$QR$40,0)))</f>
      </c>
      <c r="QT19" t="str">
        <f>IF(COUNTIF('Final Calculation Sheet'!$AL19:$AL19,0)+COUNTIF('Final Calculation Sheet'!$AN19:$BS19,0)&gt;0,0,1)</f>
      </c>
      <c r="QU19" t="str">
        <f>IF($Y$19="",FALSE,SUMPRODUCT(('Final Calculation Sheet'!$B$4:$B$40=$Y$19)*($QT$4:$QT$40=1))&gt;0)</f>
      </c>
      <c r="QV19" t="str">
        <f>=$QV18+--($QU19)</f>
      </c>
      <c r="QW19" t="str">
        <f>IF(ROW()-3&gt;MAX($QV$4:$QV$40),"",INDEX($Y$4:$Y$40,MATCH(ROW()-3,$QV$4:$QV$40,0)))</f>
      </c>
      <c r="QX19" t="str">
        <f>IF(COUNTIF('Final Calculation Sheet'!$AL19:$AM19,0)+COUNTIF('Final Calculation Sheet'!$AO19:$BS19,0)&gt;0,0,1)</f>
      </c>
      <c r="QY19" t="str">
        <f>IF($AS$19="",FALSE,SUMPRODUCT(('Final Calculation Sheet'!$C$4:$C$40=$AS$19)*($QX$4:$QX$40=1))&gt;0)</f>
      </c>
      <c r="QZ19" t="str">
        <f>=$QZ18+--($QY19)</f>
      </c>
      <c r="RA19" t="str">
        <f>IF(ROW()-3&gt;MAX($QZ$4:$QZ$40),"",INDEX($AS$4:$AS$40,MATCH(ROW()-3,$QZ$4:$QZ$40,0)))</f>
      </c>
      <c r="RB19" t="str">
        <f>IF(COUNTIF('Final Calculation Sheet'!$AL19:$AN19,0)+COUNTIF('Final Calculation Sheet'!$AP19:$BS19,0)&gt;0,0,1)</f>
      </c>
      <c r="RC19" t="str">
        <f>IF($AD$19="",FALSE,SUMPRODUCT(('Final Calculation Sheet'!$D$4:$D$40=$AD$19)*($RB$4:$RB$40=1))&gt;0)</f>
      </c>
      <c r="RD19" t="str">
        <f>=$RD18+--($RC19)</f>
      </c>
      <c r="RE19" t="str">
        <f>IF(ROW()-3&gt;MAX($RD$4:$RD$40),"",INDEX($AD$4:$AD$40,MATCH(ROW()-3,$RD$4:$RD$40,0)))</f>
      </c>
      <c r="RF19" t="str">
        <f>IF(COUNTIF('Final Calculation Sheet'!$AL19:$AO19,0)+COUNTIF('Final Calculation Sheet'!$AQ19:$BS19,0)&gt;0,0,1)</f>
      </c>
      <c r="RG19" t="str">
        <f>IF($AN$19="",FALSE,SUMPRODUCT(('Final Calculation Sheet'!$E$4:$E$40=$AN$19)*($RF$4:$RF$40=1))&gt;0)</f>
      </c>
      <c r="RH19" t="str">
        <f>=$RH18+--($RG19)</f>
      </c>
      <c r="RI19" t="str">
        <f>IF(ROW()-3&gt;MAX($RH$4:$RH$40),"",INDEX($AN$4:$AN$40,MATCH(ROW()-3,$RH$4:$RH$40,0)))</f>
      </c>
      <c r="RJ19" t="str">
        <f>IF(COUNTIF('Final Calculation Sheet'!$AL19:$AP19,0)+COUNTIF('Final Calculation Sheet'!$AR19:$BS19,0)&gt;0,0,1)</f>
      </c>
      <c r="RK19" t="str">
        <f>IF($O$19="",FALSE,SUMPRODUCT(('Final Calculation Sheet'!$F$4:$F$40=$O$19)*($RJ$4:$RJ$40=1))&gt;0)</f>
      </c>
      <c r="RL19" t="str">
        <f>=$RL18+--($RK19)</f>
      </c>
      <c r="RM19" t="str">
        <f>IF(ROW()-3&gt;MAX($RL$4:$RL$40),"",INDEX($O$4:$O$40,MATCH(ROW()-3,$RL$4:$RL$40,0)))</f>
      </c>
      <c r="RN19" t="str">
        <f>IF(COUNTIF('Final Calculation Sheet'!$AL19:$AQ19,0)+COUNTIF('Final Calculation Sheet'!$AS19:$BS19,0)&gt;0,0,1)</f>
      </c>
      <c r="RO19" t="str">
        <f>IF($T$19="",FALSE,SUMPRODUCT(('Final Calculation Sheet'!$G$4:$G$40=$T$19)*($RN$4:$RN$40=1))&gt;0)</f>
      </c>
      <c r="RP19" t="str">
        <f>=$RP18+--($RO19)</f>
      </c>
      <c r="RQ19" t="str">
        <f>IF(ROW()-3&gt;MAX($RP$4:$RP$40),"",INDEX($T$4:$T$40,MATCH(ROW()-3,$RP$4:$RP$40,0)))</f>
      </c>
      <c r="RR19" t="str">
        <f>IF(COUNTIF('Final Calculation Sheet'!$AL19:$AR19,0)+COUNTIF('Final Calculation Sheet'!$AT19:$BS19,0)&gt;0,0,1)</f>
      </c>
      <c r="RS19" t="str">
        <f>IF($AX$19="",FALSE,SUMPRODUCT(('Final Calculation Sheet'!$H$4:$H$40=$AX$19)*($RR$4:$RR$40=1))&gt;0)</f>
      </c>
      <c r="RT19" t="str">
        <f>=$RT18+--($RS19)</f>
      </c>
      <c r="RU19" t="str">
        <f>IF(ROW()-3&gt;MAX($RT$4:$RT$40),"",INDEX($AX$4:$AX$40,MATCH(ROW()-3,$RT$4:$RT$40,0)))</f>
      </c>
      <c r="RV19" t="str">
        <f>IF(COUNTIF('Final Calculation Sheet'!$AL19:$AS19,0)+COUNTIF('Final Calculation Sheet'!$AU19:$BS19,0)&gt;0,0,1)</f>
      </c>
      <c r="RW19" t="str">
        <f>IF($BC$19="",FALSE,SUMPRODUCT(('Final Calculation Sheet'!$I$4:$I$40=$BC$19)*($RV$4:$RV$40=1))&gt;0)</f>
      </c>
      <c r="RX19" t="str">
        <f>=$RX18+--($RW19)</f>
      </c>
      <c r="RY19" t="str">
        <f>IF(ROW()-3&gt;MAX($RX$4:$RX$40),"",INDEX($BC$4:$BC$40,MATCH(ROW()-3,$RX$4:$RX$40,0)))</f>
      </c>
      <c r="RZ19" t="str">
        <f>IF(COUNTIF('Final Calculation Sheet'!$AL19:$AT19,0)+COUNTIF('Final Calculation Sheet'!$AV19:$BS19,0)&gt;0,0,1)</f>
      </c>
      <c r="SA19" t="str">
        <f>IF($BH$19="",FALSE,SUMPRODUCT(('Final Calculation Sheet'!$J$4:$J$40=$BH$19)*($RZ$4:$RZ$40=1))&gt;0)</f>
      </c>
      <c r="SB19" t="str">
        <f>=$SB18+--($SA19)</f>
      </c>
      <c r="SC19" t="str">
        <f>IF(ROW()-3&gt;MAX($SB$4:$SB$40),"",INDEX($BH$4:$BH$40,MATCH(ROW()-3,$SB$4:$SB$40,0)))</f>
      </c>
      <c r="SD19" t="str">
        <f>IF(COUNTIF('Final Calculation Sheet'!$AL19:$AU19,0)+COUNTIF('Final Calculation Sheet'!$AW19:$BS19,0)&gt;0,0,1)</f>
      </c>
      <c r="SE19" t="str">
        <f>IF($BM$19="",FALSE,SUMPRODUCT(('Final Calculation Sheet'!$K$4:$K$40=$BM$19)*($SD$4:$SD$40=1))&gt;0)</f>
      </c>
      <c r="SF19" t="str">
        <f>=$SF18+--($SE19)</f>
      </c>
      <c r="SG19" t="str">
        <f>IF(ROW()-3&gt;MAX($SF$4:$SF$40),"",INDEX($BM$4:$BM$40,MATCH(ROW()-3,$SF$4:$SF$40,0)))</f>
      </c>
      <c r="SH19" t="str">
        <f>IF(COUNTIF('Final Calculation Sheet'!$AL19:$AV19,0)+COUNTIF('Final Calculation Sheet'!$AX19:$BS19,0)&gt;0,0,1)</f>
      </c>
      <c r="SI19" t="str">
        <f>IF($BR$19="",FALSE,SUMPRODUCT(('Final Calculation Sheet'!$L$4:$L$40=$BR$19)*($SH$4:$SH$40=1))&gt;0)</f>
      </c>
      <c r="SJ19" t="str">
        <f>=$SJ18+--($SI19)</f>
      </c>
      <c r="SK19" t="str">
        <f>IF(ROW()-3&gt;MAX($SJ$4:$SJ$40),"",INDEX($BR$4:$BR$40,MATCH(ROW()-3,$SJ$4:$SJ$40,0)))</f>
      </c>
      <c r="SL19" t="str">
        <f>IF(COUNTIF('Final Calculation Sheet'!$AL19:$AW19,0)+COUNTIF('Final Calculation Sheet'!$AY19:$BS19,0)&gt;0,0,1)</f>
      </c>
      <c r="SM19" t="str">
        <f>IF($BW$19="",FALSE,SUMPRODUCT(('Final Calculation Sheet'!$M$4:$M$40=$BW$19)*($SL$4:$SL$40=1))&gt;0)</f>
      </c>
      <c r="SN19" t="str">
        <f>=$SN18+--($SM19)</f>
      </c>
      <c r="SO19" t="str">
        <f>IF(ROW()-3&gt;MAX($SN$4:$SN$40),"",INDEX($BW$4:$BW$40,MATCH(ROW()-3,$SN$4:$SN$40,0)))</f>
      </c>
      <c r="SP19" t="str">
        <f>IF(COUNTIF('Final Calculation Sheet'!$AL19:$AX19,0)+COUNTIF('Final Calculation Sheet'!$AZ19:$BS19,0)&gt;0,0,1)</f>
      </c>
      <c r="SQ19" t="str">
        <f>IF($CB$19="",FALSE,SUMPRODUCT(('Final Calculation Sheet'!$N$4:$N$40=$CB$19)*($SP$4:$SP$40=1))&gt;0)</f>
      </c>
      <c r="SR19" t="str">
        <f>=$SR18+--($SQ19)</f>
      </c>
      <c r="SS19" t="str">
        <f>IF(ROW()-3&gt;MAX($SR$4:$SR$40),"",INDEX($CB$4:$CB$40,MATCH(ROW()-3,$SR$4:$SR$40,0)))</f>
      </c>
      <c r="ST19" t="str">
        <f>IF(COUNTIF('Final Calculation Sheet'!$AL19:$AY19,0)+COUNTIF('Final Calculation Sheet'!$BA19:$BS19,0)&gt;0,0,1)</f>
      </c>
      <c r="SU19" t="str">
        <f>IF($CG$19="",FALSE,SUMPRODUCT(('Final Calculation Sheet'!$O$4:$O$40=$CG$19)*($ST$4:$ST$40=1))&gt;0)</f>
      </c>
      <c r="SV19" t="str">
        <f>=$SV18+--($SU19)</f>
      </c>
      <c r="SW19" t="str">
        <f>IF(ROW()-3&gt;MAX($SV$4:$SV$40),"",INDEX($CG$4:$CG$40,MATCH(ROW()-3,$SV$4:$SV$40,0)))</f>
      </c>
      <c r="SX19" t="str">
        <f>IF(COUNTIF('Final Calculation Sheet'!$AL19:$AZ19,0)+COUNTIF('Final Calculation Sheet'!$BB19:$BS19,0)&gt;0,0,1)</f>
      </c>
      <c r="SY19" t="str">
        <f>IF($CL$19="",FALSE,SUMPRODUCT(('Final Calculation Sheet'!$P$4:$P$40=$CL$19)*($SX$4:$SX$40=1))&gt;0)</f>
      </c>
      <c r="SZ19" t="str">
        <f>=$SZ18+--($SY19)</f>
      </c>
      <c r="TA19" t="str">
        <f>IF(ROW()-3&gt;MAX($SZ$4:$SZ$40),"",INDEX($CL$4:$CL$40,MATCH(ROW()-3,$SZ$4:$SZ$40,0)))</f>
      </c>
      <c r="TB19" t="str">
        <f>IF(COUNTIF('Final Calculation Sheet'!$AL19:$BA19,0)+COUNTIF('Final Calculation Sheet'!$BC19:$BS19,0)&gt;0,0,1)</f>
      </c>
      <c r="TC19" t="str">
        <f>IF($CQ$19="",FALSE,SUMPRODUCT(('Final Calculation Sheet'!$Q$4:$Q$40=$CQ$19)*($TB$4:$TB$40=1))&gt;0)</f>
      </c>
      <c r="TD19" t="str">
        <f>=$TD18+--($TC19)</f>
      </c>
      <c r="TE19" t="str">
        <f>IF(ROW()-3&gt;MAX($TD$4:$TD$40),"",INDEX($CQ$4:$CQ$40,MATCH(ROW()-3,$TD$4:$TD$40,0)))</f>
      </c>
      <c r="TF19" t="str">
        <f>IF(COUNTIF('Final Calculation Sheet'!$AL19:$BB19,0)+COUNTIF('Final Calculation Sheet'!$BD19:$BS19,0)&gt;0,0,1)</f>
      </c>
      <c r="TG19" t="str">
        <f>IF($CV$19="",FALSE,SUMPRODUCT(('Final Calculation Sheet'!$R$4:$R$40=$CV$19)*($TF$4:$TF$40=1))&gt;0)</f>
      </c>
      <c r="TH19" t="str">
        <f>=$TH18+--($TG19)</f>
      </c>
      <c r="TI19" t="str">
        <f>IF(ROW()-3&gt;MAX($TH$4:$TH$40),"",INDEX($CV$4:$CV$40,MATCH(ROW()-3,$TH$4:$TH$40,0)))</f>
      </c>
      <c r="TJ19" t="str">
        <f>IF(COUNTIF('Final Calculation Sheet'!$AL19:$BC19,0)+COUNTIF('Final Calculation Sheet'!$BE19:$BS19,0)&gt;0,0,1)</f>
      </c>
      <c r="TK19" t="str">
        <f>IF($DA$19="",FALSE,SUMPRODUCT(('Final Calculation Sheet'!$S$4:$S$40=$DA$19)*($TJ$4:$TJ$40=1))&gt;0)</f>
      </c>
      <c r="TL19" t="str">
        <f>=$TL18+--($TK19)</f>
      </c>
      <c r="TM19" t="str">
        <f>IF(ROW()-3&gt;MAX($TL$4:$TL$40),"",INDEX($DA$4:$DA$40,MATCH(ROW()-3,$TL$4:$TL$40,0)))</f>
      </c>
      <c r="TN19" t="str">
        <f>IF(COUNTIF('Final Calculation Sheet'!$AL19:$BD19,0)+COUNTIF('Final Calculation Sheet'!$BF19:$BS19,0)&gt;0,0,1)</f>
      </c>
      <c r="TO19" t="str">
        <f>IF($DF$19="",FALSE,SUMPRODUCT(('Final Calculation Sheet'!$T$4:$T$40=$DF$19)*($TN$4:$TN$40=1))&gt;0)</f>
      </c>
      <c r="TP19" t="str">
        <f>=$TP18+--($TO19)</f>
      </c>
      <c r="TQ19" t="str">
        <f>IF(ROW()-3&gt;MAX($TP$4:$TP$40),"",INDEX($DF$4:$DF$40,MATCH(ROW()-3,$TP$4:$TP$40,0)))</f>
      </c>
      <c r="TR19" t="str">
        <f>IF(COUNTIF('Final Calculation Sheet'!$AL19:$BE19,0)+COUNTIF('Final Calculation Sheet'!$BG19:$BS19,0)&gt;0,0,1)</f>
      </c>
      <c r="TS19" t="str">
        <f>IF($DK$19="",FALSE,SUMPRODUCT(('Final Calculation Sheet'!$U$4:$U$40=$DK$19)*($TR$4:$TR$40=1))&gt;0)</f>
      </c>
      <c r="TT19" t="str">
        <f>=$TT18+--($TS19)</f>
      </c>
      <c r="TU19" t="str">
        <f>IF(ROW()-3&gt;MAX($TT$4:$TT$40),"",INDEX($DK$4:$DK$40,MATCH(ROW()-3,$TT$4:$TT$40,0)))</f>
      </c>
      <c r="TV19" t="str">
        <f>IF(COUNTIF('Final Calculation Sheet'!$AL19:$BF19,0)+COUNTIF('Final Calculation Sheet'!$BH19:$BS19,0)&gt;0,0,1)</f>
      </c>
      <c r="TW19" t="str">
        <f>IF($DP$19="",FALSE,SUMPRODUCT(('Final Calculation Sheet'!$V$4:$V$40=$DP$19)*($TV$4:$TV$40=1))&gt;0)</f>
      </c>
      <c r="TX19" t="str">
        <f>=$TX18+--($TW19)</f>
      </c>
      <c r="TY19" t="str">
        <f>IF(ROW()-3&gt;MAX($TX$4:$TX$40),"",INDEX($DP$4:$DP$40,MATCH(ROW()-3,$TX$4:$TX$40,0)))</f>
      </c>
      <c r="TZ19" t="str">
        <f>IF(COUNTIF('Final Calculation Sheet'!$AL19:$BG19,0)+COUNTIF('Final Calculation Sheet'!$BI19:$BS19,0)&gt;0,0,1)</f>
      </c>
      <c r="UA19" t="str">
        <f>IF($DU$19="",FALSE,SUMPRODUCT(('Final Calculation Sheet'!$W$4:$W$40=$DU$19)*($TZ$4:$TZ$40=1))&gt;0)</f>
      </c>
      <c r="UB19" t="str">
        <f>=$UB18+--($UA19)</f>
      </c>
      <c r="UC19" t="str">
        <f>IF(ROW()-3&gt;MAX($UB$4:$UB$40),"",INDEX($DU$4:$DU$40,MATCH(ROW()-3,$UB$4:$UB$40,0)))</f>
      </c>
      <c r="UD19" t="str">
        <f>IF(COUNTIF('Final Calculation Sheet'!$AL19:$BH19,0)+COUNTIF('Final Calculation Sheet'!$BJ19:$BS19,0)&gt;0,0,1)</f>
      </c>
      <c r="UE19" t="str">
        <f>IF($DZ$19="",FALSE,SUMPRODUCT(('Final Calculation Sheet'!$X$4:$X$40=$DZ$19)*($UD$4:$UD$40=1))&gt;0)</f>
      </c>
      <c r="UF19" t="str">
        <f>=$UF18+--($UE19)</f>
      </c>
      <c r="UG19" t="str">
        <f>IF(ROW()-3&gt;MAX($UF$4:$UF$40),"",INDEX($DZ$4:$DZ$40,MATCH(ROW()-3,$UF$4:$UF$40,0)))</f>
      </c>
      <c r="UH19" t="str">
        <f>IF(COUNTIF('Final Calculation Sheet'!$AL19:$BI19,0)+COUNTIF('Final Calculation Sheet'!$BK19:$BS19,0)&gt;0,0,1)</f>
      </c>
      <c r="UI19" t="str">
        <f>IF($EE$19="",FALSE,SUMPRODUCT(('Final Calculation Sheet'!$Y$4:$Y$40=$EE$19)*($UH$4:$UH$40=1))&gt;0)</f>
      </c>
      <c r="UJ19" t="str">
        <f>=$UJ18+--($UI19)</f>
      </c>
      <c r="UK19" t="str">
        <f>IF(ROW()-3&gt;MAX($UJ$4:$UJ$40),"",INDEX($EE$4:$EE$40,MATCH(ROW()-3,$UJ$4:$UJ$40,0)))</f>
      </c>
      <c r="UL19" t="str">
        <f>IF(COUNTIF('Final Calculation Sheet'!$AL19:$BJ19,0)+COUNTIF('Final Calculation Sheet'!$BL19:$BS19,0)&gt;0,0,1)</f>
      </c>
      <c r="UM19" t="str">
        <f>IF($EJ$19="",FALSE,SUMPRODUCT(('Final Calculation Sheet'!$Z$4:$Z$40=$EJ$19)*($UL$4:$UL$40=1))&gt;0)</f>
      </c>
      <c r="UN19" t="str">
        <f>=$UN18+--($UM19)</f>
      </c>
      <c r="UO19" t="str">
        <f>IF(ROW()-3&gt;MAX($UN$4:$UN$40),"",INDEX($EJ$4:$EJ$40,MATCH(ROW()-3,$UN$4:$UN$40,0)))</f>
      </c>
      <c r="UP19" t="str">
        <f>IF(COUNTIF('Final Calculation Sheet'!$AL19:$BK19,0)+COUNTIF('Final Calculation Sheet'!$BM19:$BS19,0)&gt;0,0,1)</f>
      </c>
      <c r="UQ19" t="str">
        <f>IF($EO$19="",FALSE,SUMPRODUCT(('Final Calculation Sheet'!$AA$4:$AA$40=$EO$19)*($UP$4:$UP$40=1))&gt;0)</f>
      </c>
      <c r="UR19" t="str">
        <f>=$UR18+--($UQ19)</f>
      </c>
      <c r="US19" t="str">
        <f>IF(ROW()-3&gt;MAX($UR$4:$UR$40),"",INDEX($EO$4:$EO$40,MATCH(ROW()-3,$UR$4:$UR$40,0)))</f>
      </c>
      <c r="UT19" t="str">
        <f>IF(COUNTIF('Final Calculation Sheet'!$AL19:$BL19,0)+COUNTIF('Final Calculation Sheet'!$BN19:$BS19,0)&gt;0,0,1)</f>
      </c>
      <c r="UU19" t="str">
        <f>IF($ET$19="",FALSE,SUMPRODUCT(('Final Calculation Sheet'!$AB$4:$AB$40=$ET$19)*($UT$4:$UT$40=1))&gt;0)</f>
      </c>
      <c r="UV19" t="str">
        <f>=$UV18+--($UU19)</f>
      </c>
      <c r="UW19" t="str">
        <f>IF(ROW()-3&gt;MAX($UV$4:$UV$40),"",INDEX($ET$4:$ET$40,MATCH(ROW()-3,$UV$4:$UV$40,0)))</f>
      </c>
      <c r="UX19" t="str">
        <f>IF(COUNTIF('Final Calculation Sheet'!$AL19:$BM19,0)+COUNTIF('Final Calculation Sheet'!$BO19:$BS19,0)&gt;0,0,1)</f>
      </c>
      <c r="UY19" t="str">
        <f>IF($EY$19="",FALSE,SUMPRODUCT(('Final Calculation Sheet'!$AC$4:$AC$40=$EY$19)*($UX$4:$UX$40=1))&gt;0)</f>
      </c>
      <c r="UZ19" t="str">
        <f>=$UZ18+--($UY19)</f>
      </c>
      <c r="VA19" t="str">
        <f>IF(ROW()-3&gt;MAX($UZ$4:$UZ$40),"",INDEX($EY$4:$EY$40,MATCH(ROW()-3,$UZ$4:$UZ$40,0)))</f>
      </c>
      <c r="VB19" t="str">
        <f>IF(COUNTIF('Final Calculation Sheet'!$AL19:$BN19,0)+COUNTIF('Final Calculation Sheet'!$BP19:$BS19,0)&gt;0,0,1)</f>
      </c>
      <c r="VC19" t="str">
        <f>IF($FD$19="",FALSE,SUMPRODUCT(('Final Calculation Sheet'!$AD$4:$AD$40=$FD$19)*($VB$4:$VB$40=1))&gt;0)</f>
      </c>
      <c r="VD19" t="str">
        <f>=$VD18+--($VC19)</f>
      </c>
      <c r="VE19" t="str">
        <f>IF(ROW()-3&gt;MAX($VD$4:$VD$40),"",INDEX($FD$4:$FD$40,MATCH(ROW()-3,$VD$4:$VD$40,0)))</f>
      </c>
      <c r="VF19" t="str">
        <f>IF(COUNTIF('Final Calculation Sheet'!$AL19:$BO19,0)+COUNTIF('Final Calculation Sheet'!$BQ19:$BS19,0)&gt;0,0,1)</f>
      </c>
      <c r="VG19" t="str">
        <f>IF($FI$19="",FALSE,SUMPRODUCT(('Final Calculation Sheet'!$AE$4:$AE$40=$FI$19)*($VF$4:$VF$40=1))&gt;0)</f>
      </c>
      <c r="VH19" t="str">
        <f>=$VH18+--($VG19)</f>
      </c>
      <c r="VI19" t="str">
        <f>IF(ROW()-3&gt;MAX($VH$4:$VH$40),"",INDEX($FI$4:$FI$40,MATCH(ROW()-3,$VH$4:$VH$40,0)))</f>
      </c>
      <c r="VJ19" t="str">
        <f>IF(COUNTIF('Final Calculation Sheet'!$AL19:$BP19,0)+COUNTIF('Final Calculation Sheet'!$BR19:$BS19,0)&gt;0,0,1)</f>
      </c>
      <c r="VK19" t="str">
        <f>IF($FN$19="",FALSE,SUMPRODUCT(('Final Calculation Sheet'!$AF$4:$AF$40=$FN$19)*($VJ$4:$VJ$40=1))&gt;0)</f>
      </c>
      <c r="VL19" t="str">
        <f>=$VL18+--($VK19)</f>
      </c>
      <c r="VM19" t="str">
        <f>IF(ROW()-3&gt;MAX($VL$4:$VL$40),"",INDEX($FN$4:$FN$40,MATCH(ROW()-3,$VL$4:$VL$40,0)))</f>
      </c>
      <c r="VN19" t="str">
        <f>IF(COUNTIF('Final Calculation Sheet'!$AL19:$BQ19,0)+COUNTIF('Final Calculation Sheet'!$BS19:$BS19,0)&gt;0,0,1)</f>
      </c>
      <c r="VO19" t="str">
        <f>IF($FS$19="",FALSE,SUMPRODUCT(('Final Calculation Sheet'!$AG$4:$AG$40=$FS$19)*($VN$4:$VN$40=1))&gt;0)</f>
      </c>
      <c r="VP19" t="str">
        <f>=$VP18+--($VO19)</f>
      </c>
      <c r="VQ19" t="str">
        <f>IF(ROW()-3&gt;MAX($VP$4:$VP$40),"",INDEX($FS$4:$FS$40,MATCH(ROW()-3,$VP$4:$VP$40,0)))</f>
      </c>
      <c r="VR19" t="str">
        <f>IF(COUNTIF('Final Calculation Sheet'!$AL19:$BR19,0)&gt;0,0,1)</f>
      </c>
      <c r="VS19" t="str">
        <f>IF($QO$19="",FALSE,SUMPRODUCT(('Final Calculation Sheet'!$AH$4:$AH$40=$QO$19)*($VR$4:$VR$40=1))&gt;0)</f>
      </c>
      <c r="VT19" t="str">
        <f>=$VT18+--($VS19)</f>
      </c>
      <c r="VU19" t="str">
        <f>IF(ROW()-3&gt;MAX($VT$4:$VT$40),"",INDEX($QO$4:$QO$40,MATCH(ROW()-3,$VT$4:$VT$40,0)))</f>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IF(COUNTIF('Live Search'!BM$19:BM$19,0)+COUNTIF('Live Search'!B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D20">
        <f>IF($O$20="",FALSE,SUMPRODUCT(('Final Calculation Sheet'!$F$4:$F$40=$O$20)*($GC$6:$GC$42=1))&gt;0)</f>
        <v/>
      </c>
      <c r="GE20">
        <f>$GE$19+--($GD20)</f>
        <v/>
      </c>
      <c r="GF20">
        <f>IF(ROW()-3&gt;MAX($GE$4:$GE$40),"",INDEX($O$4:$O$40,MATCH(ROW()-3,$GE$4:$GE$40,0)))</f>
        <v/>
      </c>
      <c r="GG20">
        <f>IF(COUNTIF('Live Search'!BM$19:BN$19,0)+COUNTIF('Live Search'!B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H20">
        <f>IF($T$20="",FALSE,SUMPRODUCT(('Final Calculation Sheet'!$G$4:$G$40=$T$20)*($GG$6:$GG$42=1))&gt;0)</f>
        <v/>
      </c>
      <c r="GI20">
        <f>$GI$19+--($GH20)</f>
        <v/>
      </c>
      <c r="GJ20">
        <f>IF(ROW()-3&gt;MAX($GI$4:$GI$40),"",INDEX($T$4:$T$40,MATCH(ROW()-3,$GI$4:$GI$40,0)))</f>
        <v/>
      </c>
      <c r="GK20">
        <f>IF(COUNTIF('Live Search'!BM$19:BP$19,0)+COUNTIF('Live Search'!B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L20">
        <f>IF($AD$20="",FALSE,SUMPRODUCT(('Final Calculation Sheet'!$D$4:$D$40=$AD$20)*($GK$6:$GK$42=1))&gt;0)</f>
        <v/>
      </c>
      <c r="GM20">
        <f>$GM$19+--($GL20)</f>
        <v/>
      </c>
      <c r="GN20">
        <f>IF(ROW()-3&gt;MAX($GM$4:$GM$40),"",INDEX($AD$4:$AD$40,MATCH(ROW()-3,$GM$4:$GM$40,0)))</f>
        <v/>
      </c>
      <c r="GO20">
        <f>IF(COUNTIF('Live Search'!BM$19:BQ$19,0)+COUNTIF('Live Search'!B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P20">
        <f>IF($AI$20="",FALSE,SUMPRODUCT(('Final Calculation Sheet'!$A$4:$A$40=$AI$20)*($GO$6:$GO$42=1))&gt;0)</f>
        <v/>
      </c>
      <c r="GQ20">
        <f>$GQ$19+--($GP20)</f>
        <v/>
      </c>
      <c r="GR20">
        <f>IF(ROW()-3&gt;MAX($GQ$4:$GQ$40),"",INDEX($AI$4:$AI$40,MATCH(ROW()-3,$GQ$4:$GQ$40,0)))</f>
        <v/>
      </c>
      <c r="GS20">
        <f>IF(COUNTIF('Live Search'!BM$19:BR$19,0)+COUNTIF('Live Search'!B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T20">
        <f>IF($AN$20="",FALSE,SUMPRODUCT(('Final Calculation Sheet'!$E$4:$E$40=$AN$20)*($GS$6:$GS$42=1))&gt;0)</f>
        <v/>
      </c>
      <c r="GU20">
        <f>$GU$19+--($GT20)</f>
        <v/>
      </c>
      <c r="GV20">
        <f>IF(ROW()-3&gt;MAX($GU$4:$GU$40),"",INDEX($AN$4:$AN$40,MATCH(ROW()-3,$GU$4:$GU$40,0)))</f>
        <v/>
      </c>
      <c r="GW20">
        <f>IF(COUNTIF('Live Search'!BM$19:BS$19,0)+COUNTIF('Live Search'!B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GX20">
        <f>IF($AS$20="",FALSE,SUMPRODUCT(('Final Calculation Sheet'!$C$4:$C$40=$AS$20)*($GW$6:$GW$42=1))&gt;0)</f>
        <v/>
      </c>
      <c r="GY20">
        <f>$GY$19+--($GX20)</f>
        <v/>
      </c>
      <c r="GZ20">
        <f>IF(ROW()-3&gt;MAX($GY$4:$GY$40),"",INDEX($AS$4:$AS$40,MATCH(ROW()-3,$GY$4:$GY$40,0)))</f>
        <v/>
      </c>
      <c r="HA20">
        <f>IF(COUNTIF('Live Search'!BM$19:BT$19,0)+COUNTIF('Live Search'!BV$19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B20">
        <f>IF($AX$20="",FALSE,SUMPRODUCT(('Final Calculation Sheet'!$H$4:$H$40=$AX$20)*($HA$6:$HA$42=1))&gt;0)</f>
        <v/>
      </c>
      <c r="HC20">
        <f>$HC$19+--($HB20)</f>
        <v/>
      </c>
      <c r="HD20">
        <f>IF(ROW()-3&gt;MAX($HC$4:$HC$40),"",INDEX($AX$4:$AX$40,MATCH(ROW()-3,$HC$4:$HC$40,0)))</f>
        <v/>
      </c>
      <c r="HE20">
        <f>IF(COUNTIF('Live Search'!BM$19:BU$19,0)+COUNTIF('Live Search'!BW$19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F20">
        <f>IF($BC$20="",FALSE,SUMPRODUCT(('Final Calculation Sheet'!$I$4:$I$40=$BC$20)*($HE$6:$HE$42=1))&gt;0)</f>
        <v/>
      </c>
      <c r="HG20">
        <f>$HG$19+--($HF20)</f>
        <v/>
      </c>
      <c r="HH20">
        <f>IF(ROW()-3&gt;MAX($HG$4:$HG$40),"",INDEX($BC$4:$BC$40,MATCH(ROW()-3,$HG$4:$HG$40,0)))</f>
        <v/>
      </c>
      <c r="HI20">
        <f>IF(COUNTIF('Live Search'!BM$19:BV$19,0)+COUNTIF('Live Search'!BX$19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J20">
        <f>IF($BH$20="",FALSE,SUMPRODUCT(('Final Calculation Sheet'!$J$4:$J$40=$BH$20)*($HI$6:$HI$42=1))&gt;0)</f>
        <v/>
      </c>
      <c r="HK20">
        <f>$HK$19+--($HJ20)</f>
        <v/>
      </c>
      <c r="HL20">
        <f>IF(ROW()-3&gt;MAX($HK$4:$HK$40),"",INDEX($BH$4:$BH$40,MATCH(ROW()-3,$HK$4:$HK$40,0)))</f>
        <v/>
      </c>
      <c r="HM20">
        <f>IF(COUNTIF('Live Search'!BM$19:BW$19,0)+COUNTIF('Live Search'!BY$19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N20">
        <f>IF($BM$20="",FALSE,SUMPRODUCT(('Final Calculation Sheet'!$K$4:$K$40=$BM$20)*($HM$6:$HM$42=1))&gt;0)</f>
        <v/>
      </c>
      <c r="HO20">
        <f>$HO$19+--($HN20)</f>
        <v/>
      </c>
      <c r="HP20">
        <f>IF(ROW()-3&gt;MAX($HO$4:$HO$40),"",INDEX($BM$4:$BM$40,MATCH(ROW()-3,$HO$4:$HO$40,0)))</f>
        <v/>
      </c>
      <c r="HQ20">
        <f>IF(COUNTIF('Live Search'!BM$19:BX$19,0)+COUNTIF('Live Search'!BZ$19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R20">
        <f>IF($BR$20="",FALSE,SUMPRODUCT(('Final Calculation Sheet'!$L$4:$L$40=$BR$20)*($HQ$6:$HQ$42=1))&gt;0)</f>
        <v/>
      </c>
      <c r="HS20">
        <f>$HS$19+--($HR20)</f>
        <v/>
      </c>
      <c r="HT20">
        <f>IF(ROW()-3&gt;MAX($HS$4:$HS$40),"",INDEX($BR$4:$BR$40,MATCH(ROW()-3,$HS$4:$HS$40,0)))</f>
        <v/>
      </c>
      <c r="HU20">
        <f>IF(COUNTIF('Live Search'!BM$19:BY$19,0)+COUNTIF('Live Search'!CA$19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V20">
        <f>IF($BW$20="",FALSE,SUMPRODUCT(('Final Calculation Sheet'!$M$4:$M$40=$BW$20)*($HU$6:$HU$42=1))&gt;0)</f>
        <v/>
      </c>
      <c r="HW20">
        <f>$HW$19+--($HV20)</f>
        <v/>
      </c>
      <c r="HX20">
        <f>IF(ROW()-3&gt;MAX($HW$4:$HW$40),"",INDEX($BW$4:$BW$40,MATCH(ROW()-3,$HW$4:$HW$40,0)))</f>
        <v/>
      </c>
      <c r="HY20">
        <f>IF(COUNTIF('Live Search'!BM$19:BZ$19,0)+COUNTIF('Live Search'!CB$19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HZ20">
        <f>IF($CB$20="",FALSE,SUMPRODUCT(('Final Calculation Sheet'!$N$4:$N$40=$CB$20)*($HY$6:$HY$42=1))&gt;0)</f>
        <v/>
      </c>
      <c r="IA20">
        <f>$IA$19+--($HZ20)</f>
        <v/>
      </c>
      <c r="IB20">
        <f>IF(ROW()-3&gt;MAX($IA$4:$IA$40),"",INDEX($CB$4:$CB$40,MATCH(ROW()-3,$IA$4:$IA$40,0)))</f>
        <v/>
      </c>
      <c r="IC20">
        <f>IF(COUNTIF('Live Search'!BM$19:CA$19,0)+COUNTIF('Live Search'!CC$19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D20">
        <f>IF($CG$20="",FALSE,SUMPRODUCT(('Final Calculation Sheet'!$O$4:$O$40=$CG$20)*($IC$6:$IC$42=1))&gt;0)</f>
        <v/>
      </c>
      <c r="IE20">
        <f>$IE$19+--($ID20)</f>
        <v/>
      </c>
      <c r="IF20">
        <f>IF(ROW()-3&gt;MAX($IE$4:$IE$40),"",INDEX($CG$4:$CG$40,MATCH(ROW()-3,$IE$4:$IE$40,0)))</f>
        <v/>
      </c>
      <c r="IG20">
        <f>IF(COUNTIF('Live Search'!BM$19:CB$19,0)+COUNTIF('Live Search'!CD$19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H20">
        <f>IF($CL$20="",FALSE,SUMPRODUCT(('Final Calculation Sheet'!$P$4:$P$40=$CL$20)*($IG$6:$IG$42=1))&gt;0)</f>
        <v/>
      </c>
      <c r="II20">
        <f>$II$19+--($IH20)</f>
        <v/>
      </c>
      <c r="IJ20">
        <f>IF(ROW()-3&gt;MAX($II$4:$II$40),"",INDEX($CL$4:$CL$40,MATCH(ROW()-3,$II$4:$II$40,0)))</f>
        <v/>
      </c>
      <c r="IK20">
        <f>IF(COUNTIF('Live Search'!BM$19:CC$19,0)+COUNTIF('Live Search'!CE$19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L20">
        <f>IF($CQ$20="",FALSE,SUMPRODUCT(('Final Calculation Sheet'!$Q$4:$Q$40=$CQ$20)*($IK$6:$IK$42=1))&gt;0)</f>
        <v/>
      </c>
      <c r="IM20">
        <f>$IM$19+--($IL20)</f>
        <v/>
      </c>
      <c r="IN20">
        <f>IF(ROW()-3&gt;MAX($IM$4:$IM$40),"",INDEX($CQ$4:$CQ$40,MATCH(ROW()-3,$IM$4:$IM$40,0)))</f>
        <v/>
      </c>
      <c r="IO20">
        <f>IF(COUNTIF('Live Search'!BM$19:CD$19,0)+COUNTIF('Live Search'!CF$19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P20">
        <f>IF($CV$20="",FALSE,SUMPRODUCT(('Final Calculation Sheet'!$R$4:$R$40=$CV$20)*($IO$6:$IO$42=1))&gt;0)</f>
        <v/>
      </c>
      <c r="IQ20">
        <f>$IQ$19+--($IP20)</f>
        <v/>
      </c>
      <c r="IR20">
        <f>IF(ROW()-3&gt;MAX($IQ$4:$IQ$40),"",INDEX($CV$4:$CV$40,MATCH(ROW()-3,$IQ$4:$IQ$40,0)))</f>
        <v/>
      </c>
      <c r="IS20">
        <f>IF(COUNTIF('Live Search'!BM$19:CE$19,0)+COUNTIF('Live Search'!CG$19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T20">
        <f>IF($DA$20="",FALSE,SUMPRODUCT(('Final Calculation Sheet'!$S$4:$S$40=$DA$20)*($IS$6:$IS$42=1))&gt;0)</f>
        <v/>
      </c>
      <c r="IU20">
        <f>$IU$19+--($IT20)</f>
        <v/>
      </c>
      <c r="IV20">
        <f>IF(ROW()-3&gt;MAX($IU$4:$IU$40),"",INDEX($DA$4:$DA$40,MATCH(ROW()-3,$IU$4:$IU$40,0)))</f>
        <v/>
      </c>
      <c r="IW20">
        <f>IF(COUNTIF('Live Search'!BM$19:CF$19,0)+COUNTIF('Live Search'!CH$19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IX20">
        <f>IF($DF$20="",FALSE,SUMPRODUCT(('Final Calculation Sheet'!$T$4:$T$40=$DF$20)*($IW$6:$IW$42=1))&gt;0)</f>
        <v/>
      </c>
      <c r="IY20">
        <f>$IY$19+--($IX20)</f>
        <v/>
      </c>
      <c r="IZ20">
        <f>IF(ROW()-3&gt;MAX($IY$4:$IY$40),"",INDEX($DF$4:$DF$40,MATCH(ROW()-3,$IY$4:$IY$40,0)))</f>
        <v/>
      </c>
      <c r="JA20">
        <f>IF(COUNTIF('Live Search'!BM$19:CG$19,0)+COUNTIF('Live Search'!CI$19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B20">
        <f>IF($DK$20="",FALSE,SUMPRODUCT(('Final Calculation Sheet'!$U$4:$U$40=$DK$20)*($JA$6:$JA$42=1))&gt;0)</f>
        <v/>
      </c>
      <c r="JC20">
        <f>$JC$19+--($JB20)</f>
        <v/>
      </c>
      <c r="JD20">
        <f>IF(ROW()-3&gt;MAX($JC$4:$JC$40),"",INDEX($DK$4:$DK$40,MATCH(ROW()-3,$JC$4:$JC$40,0)))</f>
        <v/>
      </c>
      <c r="JE20">
        <f>IF(COUNTIF('Live Search'!BM$19:CH$19,0)+COUNTIF('Live Search'!CJ$19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F20">
        <f>IF($DP$20="",FALSE,SUMPRODUCT(('Final Calculation Sheet'!$V$4:$V$40=$DP$20)*($JE$6:$JE$42=1))&gt;0)</f>
        <v/>
      </c>
      <c r="JG20">
        <f>$JG$19+--($JF20)</f>
        <v/>
      </c>
      <c r="JH20">
        <f>IF(ROW()-3&gt;MAX($JG$4:$JG$40),"",INDEX($DP$4:$DP$40,MATCH(ROW()-3,$JG$4:$JG$40,0)))</f>
        <v/>
      </c>
      <c r="JI20">
        <f>IF(COUNTIF('Live Search'!BM$19:CI$19,0)+COUNTIF('Live Search'!CK$19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J20">
        <f>IF($DU$20="",FALSE,SUMPRODUCT(('Final Calculation Sheet'!$W$4:$W$40=$DU$20)*($JI$6:$JI$42=1))&gt;0)</f>
        <v/>
      </c>
      <c r="JK20">
        <f>$JK$19+--($JJ20)</f>
        <v/>
      </c>
      <c r="JL20">
        <f>IF(ROW()-3&gt;MAX($JK$4:$JK$40),"",INDEX($DU$4:$DU$40,MATCH(ROW()-3,$JK$4:$JK$40,0)))</f>
        <v/>
      </c>
      <c r="JM20">
        <f>IF(COUNTIF('Live Search'!BM$19:CJ$19,0)+COUNTIF('Live Search'!CL$19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N20">
        <f>IF($DZ$20="",FALSE,SUMPRODUCT(('Final Calculation Sheet'!$X$4:$X$40=$DZ$20)*($JM$6:$JM$42=1))&gt;0)</f>
        <v/>
      </c>
      <c r="JO20">
        <f>$JO$19+--($JN20)</f>
        <v/>
      </c>
      <c r="JP20">
        <f>IF(ROW()-3&gt;MAX($JO$4:$JO$40),"",INDEX($DZ$4:$DZ$40,MATCH(ROW()-3,$JO$4:$JO$40,0)))</f>
        <v/>
      </c>
      <c r="JQ20">
        <f>IF(COUNTIF('Live Search'!BM$19:CK$19,0)+COUNTIF('Live Search'!C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R20">
        <f>IF($EE$20="",FALSE,SUMPRODUCT(('Final Calculation Sheet'!$Y$4:$Y$40=$EE$20)*($JQ$6:$JQ$42=1))&gt;0)</f>
        <v/>
      </c>
      <c r="JS20">
        <f>$JS$19+--($JR20)</f>
        <v/>
      </c>
      <c r="JT20">
        <f>IF(ROW()-3&gt;MAX($JS$4:$JS$40),"",INDEX($EE$4:$EE$40,MATCH(ROW()-3,$JS$4:$JS$40,0)))</f>
        <v/>
      </c>
      <c r="JU20">
        <f>IF(COUNTIF('Live Search'!BM$19:CL$19,0)+COUNTIF('Live Search'!CN$19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V20">
        <f>IF($EJ$20="",FALSE,SUMPRODUCT(('Final Calculation Sheet'!$Z$4:$Z$40=$EJ$20)*($JU$6:$JU$42=1))&gt;0)</f>
        <v/>
      </c>
      <c r="JW20">
        <f>$JW$19+--($JV20)</f>
        <v/>
      </c>
      <c r="JX20">
        <f>IF(ROW()-3&gt;MAX($JW$4:$JW$40),"",INDEX($EJ$4:$EJ$40,MATCH(ROW()-3,$JW$4:$JW$40,0)))</f>
        <v/>
      </c>
      <c r="JY20">
        <f>IF(COUNTIF('Live Search'!BM$19:CM$19,0)+COUNTIF('Live Search'!CO$19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JZ20">
        <f>IF($EO$20="",FALSE,SUMPRODUCT(('Final Calculation Sheet'!$AA$4:$AA$40=$EO$20)*($JY$6:$JY$42=1))&gt;0)</f>
        <v/>
      </c>
      <c r="KA20">
        <f>$KA$19+--($JZ20)</f>
        <v/>
      </c>
      <c r="KB20">
        <f>IF(ROW()-3&gt;MAX($KA$4:$KA$40),"",INDEX($EO$4:$EO$40,MATCH(ROW()-3,$KA$4:$KA$40,0)))</f>
        <v/>
      </c>
      <c r="KC20">
        <f>IF(COUNTIF('Live Search'!BM$19:CN$19,0)+COUNTIF('Live Search'!CP$19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D20">
        <f>IF($ET$20="",FALSE,SUMPRODUCT(('Final Calculation Sheet'!$AB$4:$AB$40=$ET$20)*($KC$6:$KC$42=1))&gt;0)</f>
        <v/>
      </c>
      <c r="KE20">
        <f>$KE$19+--($KD20)</f>
        <v/>
      </c>
      <c r="KF20">
        <f>IF(ROW()-3&gt;MAX($KE$4:$KE$40),"",INDEX($ET$4:$ET$40,MATCH(ROW()-3,$KE$4:$KE$40,0)))</f>
        <v/>
      </c>
      <c r="KG20">
        <f>IF(COUNTIF('Live Search'!BM$19:CO$19,0)+COUNTIF('Live Search'!CQ$19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H20">
        <f>IF($EY$20="",FALSE,SUMPRODUCT(('Final Calculation Sheet'!$AC$4:$AC$40=$EY$20)*($KG$6:$KG$42=1))&gt;0)</f>
        <v/>
      </c>
      <c r="KI20">
        <f>$KI$19+--($KH20)</f>
        <v/>
      </c>
      <c r="KJ20">
        <f>IF(ROW()-3&gt;MAX($KI$4:$KI$40),"",INDEX($EY$4:$EY$40,MATCH(ROW()-3,$KI$4:$KI$40,0)))</f>
        <v/>
      </c>
      <c r="KK20">
        <f>IF(COUNTIF('Live Search'!BM$19:CP$19,0)+COUNTIF('Live Search'!CR$19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L20">
        <f>IF($FD$20="",FALSE,SUMPRODUCT(('Final Calculation Sheet'!$AD$4:$AD$40=$FD$20)*($KK$6:$KK$42=1))&gt;0)</f>
        <v/>
      </c>
      <c r="KM20">
        <f>$KM$19+--($KL20)</f>
        <v/>
      </c>
      <c r="KN20">
        <f>IF(ROW()-3&gt;MAX($KM$4:$KM$40),"",INDEX($FD$4:$FD$40,MATCH(ROW()-3,$KM$4:$KM$40,0)))</f>
        <v/>
      </c>
      <c r="KO20">
        <f>IF(COUNTIF('Live Search'!BM$19:CT$19,0)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P20">
        <f>IF($FX$20="",FALSE,SUMPRODUCT((IF('Final Calculation Sheet'!$AD$4:$AD$40&lt;=5,"SETTLED","OUTSTANDING")=$FX$20)*($KO$6:$KO$42=1))&gt;0)</f>
        <v/>
      </c>
      <c r="KQ20">
        <f>$KQ$19+--($KP20)</f>
        <v/>
      </c>
      <c r="KR20">
        <f>IF(ROW()-3&gt;MAX($KQ$4:$KQ$40),"",INDEX($FX$4:$FX$40,MATCH(ROW()-3,$KQ$4:$KQ$40,0)))</f>
        <v/>
      </c>
      <c r="KS20">
        <f>IF(COUNTIF('Live Search'!BM$19:CQ$19,0)+COUNTIF('Live Search'!CS$19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T20">
        <f>IF($FI$20="",FALSE,SUMPRODUCT(('Final Calculation Sheet'!$AF$4:$AF$40=$FI$20)*($KS$6:$KS$42=1))&gt;0)</f>
        <v/>
      </c>
      <c r="KU20">
        <f>$KU$19+--($KT20)</f>
        <v/>
      </c>
      <c r="KV20">
        <f>IF(ROW()-3&gt;MAX($KU$4:$KU$40),"",INDEX($FI$4:$FI$40,MATCH(ROW()-3,$KU$4:$KU$40,0)))</f>
        <v/>
      </c>
      <c r="KW20">
        <f>IF(COUNTIF('Live Search'!BM$19:CR$19,0)+COUNTIF('Live Search'!CT$19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KX20">
        <f>IF($FN$20="",FALSE,SUMPRODUCT(('Final Calculation Sheet'!$AG$4:$AG$40=$FN$20)*($KW$6:$KW$42=1))&gt;0)</f>
        <v/>
      </c>
      <c r="KY20">
        <f>$KY$19+--($KX20)</f>
        <v/>
      </c>
      <c r="KZ20">
        <f>IF(ROW()-3&gt;MAX($KY$4:$KY$40),"",INDEX($FN$4:$FN$40,MATCH(ROW()-3,$KY$4:$KY$40,0)))</f>
        <v/>
      </c>
      <c r="LA20">
        <f>IF(COUNTIF('Live Search'!BM$19:CS$19,0)+COUNTIF('Live Search'!CU$19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LB20">
        <f>IF($FS$20="",FALSE,SUMPRODUCT(('Final Calculation Sheet'!$AH$4:$AH$40=$FS$20)*($LA$6:$LA$42=1))&gt;0)</f>
        <v/>
      </c>
      <c r="LC20">
        <f>$LC$19+--($LB20)</f>
        <v/>
      </c>
      <c r="LD20">
        <f>IF(ROW()-3&gt;MAX($LC$4:$LC$40),"",INDEX($FS$4:$FS$40,MATCH(ROW()-3,$LC$4:$LC$40,0)))</f>
        <v/>
      </c>
      <c r="LE20">
        <f>IF(COUNTIF('Buyer Groups'!DH73:EN73,0)&gt;0,0,1)</f>
        <v/>
      </c>
      <c r="LF20">
        <f>IF($O$20="",FALSE,SUMPRODUCT(('Final Calculation Sheet'!$F$4:$F$40=$O$20)*($LE$6:$LE$42=1))&gt;0)</f>
        <v/>
      </c>
      <c r="LG20">
        <f>$LG$19+--($LF20)</f>
        <v/>
      </c>
      <c r="LH20">
        <f>IF(ROW()-3&gt;MAX($LG$4:$LG$40),"",INDEX($O$4:$O$40,MATCH(ROW()-3,$LG$4:$LG$40,0)))</f>
        <v/>
      </c>
      <c r="LI20">
        <f>IF(COUNTIF('Buyer Groups'!DG73:DG73,0)+COUNTIF('Buyer Groups'!DI73:EN73,0)&gt;0,0,1)</f>
        <v/>
      </c>
      <c r="LJ20">
        <f>IF($T$20="",FALSE,SUMPRODUCT(('Final Calculation Sheet'!$G$4:$G$40=$T$20)*($LI$6:$LI$42=1))&gt;0)</f>
        <v/>
      </c>
      <c r="LK20">
        <f>$LK$19+--($LJ20)</f>
        <v/>
      </c>
      <c r="LL20">
        <f>IF(ROW()-3&gt;MAX($LK$4:$LK$40),"",INDEX($T$4:$T$40,MATCH(ROW()-3,$LK$4:$LK$40,0)))</f>
        <v/>
      </c>
      <c r="LM20">
        <f>IF(COUNTIF('Buyer Groups'!DG73:DH73,0)+COUNTIF('Buyer Groups'!DJ73:EN73,0)&gt;0,0,1)</f>
        <v/>
      </c>
      <c r="LN20">
        <f>IF($Y$20="",FALSE,SUMPRODUCT(('Final Calculation Sheet'!$B$4:$B$40=$Y$20)*($LM$6:$LM$42=1))&gt;0)</f>
        <v/>
      </c>
      <c r="LO20">
        <f>$LO$19+--($LN20)</f>
        <v/>
      </c>
      <c r="LP20">
        <f>IF(ROW()-3&gt;MAX($LO$4:$LO$40),"",INDEX($Y$4:$Y$40,MATCH(ROW()-3,$LO$4:$LO$40,0)))</f>
        <v/>
      </c>
      <c r="LQ20">
        <f>IF(COUNTIF('Buyer Groups'!DG73:DI73,0)+COUNTIF('Buyer Groups'!DK73:EN73,0)&gt;0,0,1)</f>
        <v/>
      </c>
      <c r="LR20">
        <f>IF($AD$20="",FALSE,SUMPRODUCT(('Final Calculation Sheet'!$D$4:$D$40=$AD$20)*($LQ$6:$LQ$42=1))&gt;0)</f>
        <v/>
      </c>
      <c r="LS20">
        <f>$LS$19+--($LR20)</f>
        <v/>
      </c>
      <c r="LT20">
        <f>IF(ROW()-3&gt;MAX($LS$4:$LS$40),"",INDEX($AD$4:$AD$40,MATCH(ROW()-3,$LS$4:$LS$40,0)))</f>
        <v/>
      </c>
      <c r="LU20">
        <f>IF(COUNTIF('Buyer Groups'!DG73:DJ73,0)+COUNTIF('Buyer Groups'!DL73:EN73,0)&gt;0,0,1)</f>
        <v/>
      </c>
      <c r="LV20">
        <f>IF($AI$20="",FALSE,SUMPRODUCT(('Final Calculation Sheet'!$A$4:$A$40=$AI$20)*($LU$6:$LU$42=1))&gt;0)</f>
        <v/>
      </c>
      <c r="LW20">
        <f>$LW$19+--($LV20)</f>
        <v/>
      </c>
      <c r="LX20">
        <f>IF(ROW()-3&gt;MAX($LW$4:$LW$40),"",INDEX($AI$4:$AI$40,MATCH(ROW()-3,$LW$4:$LW$40,0)))</f>
        <v/>
      </c>
      <c r="LY20">
        <f>IF(COUNTIF('Buyer Groups'!DG73:DK73,0)+COUNTIF('Buyer Groups'!DM73:EN73,0)&gt;0,0,1)</f>
        <v/>
      </c>
      <c r="LZ20">
        <f>IF($AN$20="",FALSE,SUMPRODUCT(('Final Calculation Sheet'!$E$4:$E$40=$AN$20)*($LY$6:$LY$42=1))&gt;0)</f>
        <v/>
      </c>
      <c r="MA20">
        <f>$MA$19+--($LZ20)</f>
        <v/>
      </c>
      <c r="MB20">
        <f>IF(ROW()-3&gt;MAX($MA$4:$MA$40),"",INDEX($AN$4:$AN$40,MATCH(ROW()-3,$MA$4:$MA$40,0)))</f>
        <v/>
      </c>
      <c r="MC20">
        <f>IF(COUNTIF('Buyer Groups'!DG73:DL73,0)+COUNTIF('Buyer Groups'!DN73:EN73,0)&gt;0,0,1)</f>
        <v/>
      </c>
      <c r="MD20">
        <f>IF($AS$20="",FALSE,SUMPRODUCT(('Final Calculation Sheet'!$C$4:$C$40=$AS$20)*($MC$6:$MC$42=1))&gt;0)</f>
        <v/>
      </c>
      <c r="ME20">
        <f>$ME$19+--($MD20)</f>
        <v/>
      </c>
      <c r="MF20">
        <f>IF(ROW()-3&gt;MAX($ME$4:$ME$40),"",INDEX($AS$4:$AS$40,MATCH(ROW()-3,$ME$4:$ME$40,0)))</f>
        <v/>
      </c>
      <c r="MG20">
        <f>IF(COUNTIF('Buyer Groups'!DG73:DM73,0)+COUNTIF('Buyer Groups'!DO73:EN73,0)&gt;0,0,1)</f>
        <v/>
      </c>
      <c r="MH20">
        <f>IF($AX$20="",FALSE,SUMPRODUCT(('Final Calculation Sheet'!$H$4:$H$40=$AX$20)*($MG$6:$MG$42=1))&gt;0)</f>
        <v/>
      </c>
      <c r="MI20">
        <f>$MI$19+--($MH20)</f>
        <v/>
      </c>
      <c r="MJ20">
        <f>IF(ROW()-3&gt;MAX($MI$4:$MI$40),"",INDEX($AX$4:$AX$40,MATCH(ROW()-3,$MI$4:$MI$40,0)))</f>
        <v/>
      </c>
      <c r="MK20">
        <f>IF(COUNTIF('Buyer Groups'!DG73:DN73,0)+COUNTIF('Buyer Groups'!DP73:EN73,0)&gt;0,0,1)</f>
        <v/>
      </c>
      <c r="ML20">
        <f>IF($BC$20="",FALSE,SUMPRODUCT(('Final Calculation Sheet'!$I$4:$I$40=$BC$20)*($MK$6:$MK$42=1))&gt;0)</f>
        <v/>
      </c>
      <c r="MM20">
        <f>$MM$19+--($ML20)</f>
        <v/>
      </c>
      <c r="MN20">
        <f>IF(ROW()-3&gt;MAX($MM$4:$MM$40),"",INDEX($BC$4:$BC$40,MATCH(ROW()-3,$MM$4:$MM$40,0)))</f>
        <v/>
      </c>
      <c r="MO20">
        <f>IF(COUNTIF('Buyer Groups'!DG73:DO73,0)+COUNTIF('Buyer Groups'!DQ73:EN73,0)&gt;0,0,1)</f>
        <v/>
      </c>
      <c r="MP20">
        <f>IF($BH$20="",FALSE,SUMPRODUCT(('Final Calculation Sheet'!$J$4:$J$40=$BH$20)*($MO$6:$MO$42=1))&gt;0)</f>
        <v/>
      </c>
      <c r="MQ20">
        <f>$MQ$19+--($MP20)</f>
        <v/>
      </c>
      <c r="MR20">
        <f>IF(ROW()-3&gt;MAX($MQ$4:$MQ$40),"",INDEX($BH$4:$BH$40,MATCH(ROW()-3,$MQ$4:$MQ$40,0)))</f>
        <v/>
      </c>
      <c r="MS20">
        <f>IF(COUNTIF('Buyer Groups'!DG73:DP73,0)+COUNTIF('Buyer Groups'!DR73:EN73,0)&gt;0,0,1)</f>
        <v/>
      </c>
      <c r="MT20">
        <f>IF($BM$20="",FALSE,SUMPRODUCT(('Final Calculation Sheet'!$K$4:$K$40=$BM$20)*($MS$6:$MS$42=1))&gt;0)</f>
        <v/>
      </c>
      <c r="MU20">
        <f>$MU$19+--($MT20)</f>
        <v/>
      </c>
      <c r="MV20">
        <f>IF(ROW()-3&gt;MAX($MU$4:$MU$40),"",INDEX($BM$4:$BM$40,MATCH(ROW()-3,$MU$4:$MU$40,0)))</f>
        <v/>
      </c>
      <c r="MW20">
        <f>IF(COUNTIF('Buyer Groups'!DG73:DQ73,0)+COUNTIF('Buyer Groups'!DS73:EN73,0)&gt;0,0,1)</f>
        <v/>
      </c>
      <c r="MX20">
        <f>IF($BR$20="",FALSE,SUMPRODUCT(('Final Calculation Sheet'!$L$4:$L$40=$BR$20)*($MW$6:$MW$42=1))&gt;0)</f>
        <v/>
      </c>
      <c r="MY20">
        <f>$MY$19+--($MX20)</f>
        <v/>
      </c>
      <c r="MZ20">
        <f>IF(ROW()-3&gt;MAX($MY$4:$MY$40),"",INDEX($BR$4:$BR$40,MATCH(ROW()-3,$MY$4:$MY$40,0)))</f>
        <v/>
      </c>
      <c r="NA20">
        <f>IF(COUNTIF('Buyer Groups'!DG73:DR73,0)+COUNTIF('Buyer Groups'!DT73:EN73,0)&gt;0,0,1)</f>
        <v/>
      </c>
      <c r="NB20">
        <f>IF($BW$20="",FALSE,SUMPRODUCT(('Final Calculation Sheet'!$M$4:$M$40=$BW$20)*($NA$6:$NA$42=1))&gt;0)</f>
        <v/>
      </c>
      <c r="NC20">
        <f>$NC$19+--($NB20)</f>
        <v/>
      </c>
      <c r="ND20">
        <f>IF(ROW()-3&gt;MAX($NC$4:$NC$40),"",INDEX($BW$4:$BW$40,MATCH(ROW()-3,$NC$4:$NC$40,0)))</f>
        <v/>
      </c>
      <c r="NE20">
        <f>IF(COUNTIF('Buyer Groups'!DG73:DS73,0)+COUNTIF('Buyer Groups'!DU73:EN73,0)&gt;0,0,1)</f>
        <v/>
      </c>
      <c r="NF20">
        <f>IF($CB$20="",FALSE,SUMPRODUCT(('Final Calculation Sheet'!$N$4:$N$40=$CB$20)*($NE$6:$NE$42=1))&gt;0)</f>
        <v/>
      </c>
      <c r="NG20">
        <f>$NG$19+--($NF20)</f>
        <v/>
      </c>
      <c r="NH20">
        <f>IF(ROW()-3&gt;MAX($NG$4:$NG$40),"",INDEX($CB$4:$CB$40,MATCH(ROW()-3,$NG$4:$NG$40,0)))</f>
        <v/>
      </c>
      <c r="NI20">
        <f>IF(COUNTIF('Buyer Groups'!DG73:DT73,0)+COUNTIF('Buyer Groups'!DV73:EN73,0)&gt;0,0,1)</f>
        <v/>
      </c>
      <c r="NJ20">
        <f>IF($CG$20="",FALSE,SUMPRODUCT(('Final Calculation Sheet'!$O$4:$O$40=$CG$20)*($NI$6:$NI$42=1))&gt;0)</f>
        <v/>
      </c>
      <c r="NK20">
        <f>$NK$19+--($NJ20)</f>
        <v/>
      </c>
      <c r="NL20">
        <f>IF(ROW()-3&gt;MAX($NK$4:$NK$40),"",INDEX($CG$4:$CG$40,MATCH(ROW()-3,$NK$4:$NK$40,0)))</f>
        <v/>
      </c>
      <c r="NM20">
        <f>IF(COUNTIF('Buyer Groups'!DG73:DU73,0)+COUNTIF('Buyer Groups'!DW73:EN73,0)&gt;0,0,1)</f>
        <v/>
      </c>
      <c r="NN20">
        <f>IF($CL$20="",FALSE,SUMPRODUCT(('Final Calculation Sheet'!$P$4:$P$40=$CL$20)*($NM$6:$NM$42=1))&gt;0)</f>
        <v/>
      </c>
      <c r="NO20">
        <f>$NO$19+--($NN20)</f>
        <v/>
      </c>
      <c r="NP20">
        <f>IF(ROW()-3&gt;MAX($NO$4:$NO$40),"",INDEX($CL$4:$CL$40,MATCH(ROW()-3,$NO$4:$NO$40,0)))</f>
        <v/>
      </c>
      <c r="NQ20">
        <f>IF(COUNTIF('Buyer Groups'!DG73:DV73,0)+COUNTIF('Buyer Groups'!DX73:EN73,0)&gt;0,0,1)</f>
        <v/>
      </c>
      <c r="NR20">
        <f>IF($CQ$20="",FALSE,SUMPRODUCT(('Final Calculation Sheet'!$Q$4:$Q$40=$CQ$20)*($NQ$6:$NQ$42=1))&gt;0)</f>
        <v/>
      </c>
      <c r="NS20">
        <f>$NS$19+--($NR20)</f>
        <v/>
      </c>
      <c r="NT20">
        <f>IF(ROW()-3&gt;MAX($NS$4:$NS$40),"",INDEX($CQ$4:$CQ$40,MATCH(ROW()-3,$NS$4:$NS$40,0)))</f>
        <v/>
      </c>
      <c r="NU20">
        <f>IF(COUNTIF('Buyer Groups'!DG73:DW73,0)+COUNTIF('Buyer Groups'!DY73:EN73,0)&gt;0,0,1)</f>
        <v/>
      </c>
      <c r="NV20">
        <f>IF($CV$20="",FALSE,SUMPRODUCT(('Final Calculation Sheet'!$R$4:$R$40=$CV$20)*($NU$6:$NU$42=1))&gt;0)</f>
        <v/>
      </c>
      <c r="NW20">
        <f>$NW$19+--($NV20)</f>
        <v/>
      </c>
      <c r="NX20">
        <f>IF(ROW()-3&gt;MAX($NW$4:$NW$40),"",INDEX($CV$4:$CV$40,MATCH(ROW()-3,$NW$4:$NW$40,0)))</f>
        <v/>
      </c>
      <c r="NY20">
        <f>IF(COUNTIF('Buyer Groups'!DG73:DX73,0)+COUNTIF('Buyer Groups'!DZ73:EN73,0)&gt;0,0,1)</f>
        <v/>
      </c>
      <c r="NZ20">
        <f>IF($DA$20="",FALSE,SUMPRODUCT(('Final Calculation Sheet'!$S$4:$S$40=$DA$20)*($NY$6:$NY$42=1))&gt;0)</f>
        <v/>
      </c>
      <c r="OA20">
        <f>$OA$19+--($NZ20)</f>
        <v/>
      </c>
      <c r="OB20">
        <f>IF(ROW()-3&gt;MAX($OA$4:$OA$40),"",INDEX($DA$4:$DA$40,MATCH(ROW()-3,$OA$4:$OA$40,0)))</f>
        <v/>
      </c>
      <c r="OC20">
        <f>IF(COUNTIF('Buyer Groups'!DG73:DY73,0)+COUNTIF('Buyer Groups'!EA73:EN73,0)&gt;0,0,1)</f>
        <v/>
      </c>
      <c r="OD20">
        <f>IF($DF$20="",FALSE,SUMPRODUCT(('Final Calculation Sheet'!$T$4:$T$40=$DF$20)*($OC$6:$OC$42=1))&gt;0)</f>
        <v/>
      </c>
      <c r="OE20">
        <f>$OE$19+--($OD20)</f>
        <v/>
      </c>
      <c r="OF20">
        <f>IF(ROW()-3&gt;MAX($OE$4:$OE$40),"",INDEX($DF$4:$DF$40,MATCH(ROW()-3,$OE$4:$OE$40,0)))</f>
        <v/>
      </c>
      <c r="OG20">
        <f>IF(COUNTIF('Buyer Groups'!DG73:DZ73,0)+COUNTIF('Buyer Groups'!EB73:EN73,0)&gt;0,0,1)</f>
        <v/>
      </c>
      <c r="OH20">
        <f>IF($DK$20="",FALSE,SUMPRODUCT(('Final Calculation Sheet'!$U$4:$U$40=$DK$20)*($OG$6:$OG$42=1))&gt;0)</f>
        <v/>
      </c>
      <c r="OI20">
        <f>$OI$19+--($OH20)</f>
        <v/>
      </c>
      <c r="OJ20">
        <f>IF(ROW()-3&gt;MAX($OI$4:$OI$40),"",INDEX($DK$4:$DK$40,MATCH(ROW()-3,$OI$4:$OI$40,0)))</f>
        <v/>
      </c>
      <c r="OK20">
        <f>IF(COUNTIF('Buyer Groups'!DG73:EA73,0)+COUNTIF('Buyer Groups'!EC73:EN73,0)&gt;0,0,1)</f>
        <v/>
      </c>
      <c r="OL20">
        <f>IF($DP$20="",FALSE,SUMPRODUCT(('Final Calculation Sheet'!$V$4:$V$40=$DP$20)*($OK$6:$OK$42=1))&gt;0)</f>
        <v/>
      </c>
      <c r="OM20">
        <f>$OM$19+--($OL20)</f>
        <v/>
      </c>
      <c r="ON20">
        <f>IF(ROW()-3&gt;MAX($OM$4:$OM$40),"",INDEX($DP$4:$DP$40,MATCH(ROW()-3,$OM$4:$OM$40,0)))</f>
        <v/>
      </c>
      <c r="OO20">
        <f>IF(COUNTIF('Buyer Groups'!DG73:EB73,0)+COUNTIF('Buyer Groups'!ED73:EN73,0)&gt;0,0,1)</f>
        <v/>
      </c>
      <c r="OP20">
        <f>IF($DU$20="",FALSE,SUMPRODUCT(('Final Calculation Sheet'!$W$4:$W$40=$DU$20)*($OO$6:$OO$42=1))&gt;0)</f>
        <v/>
      </c>
      <c r="OQ20">
        <f>$OQ$19+--($OP20)</f>
        <v/>
      </c>
      <c r="OR20">
        <f>IF(ROW()-3&gt;MAX($OQ$4:$OQ$40),"",INDEX($DU$4:$DU$40,MATCH(ROW()-3,$OQ$4:$OQ$40,0)))</f>
        <v/>
      </c>
      <c r="OS20">
        <f>IF(COUNTIF('Buyer Groups'!DG73:EC73,0)+COUNTIF('Buyer Groups'!EE73:EN73,0)&gt;0,0,1)</f>
        <v/>
      </c>
      <c r="OT20">
        <f>IF($DZ$20="",FALSE,SUMPRODUCT(('Final Calculation Sheet'!$X$4:$X$40=$DZ$20)*($OS$6:$OS$42=1))&gt;0)</f>
        <v/>
      </c>
      <c r="OU20">
        <f>$OU$19+--($OT20)</f>
        <v/>
      </c>
      <c r="OV20">
        <f>IF(ROW()-3&gt;MAX($OU$4:$OU$40),"",INDEX($DZ$4:$DZ$40,MATCH(ROW()-3,$OU$4:$OU$40,0)))</f>
        <v/>
      </c>
      <c r="OW20">
        <f>IF(COUNTIF('Buyer Groups'!DG73:ED73,0)+COUNTIF('Buyer Groups'!EF73:EN73,0)&gt;0,0,1)</f>
        <v/>
      </c>
      <c r="OX20">
        <f>IF($EE$20="",FALSE,SUMPRODUCT(('Final Calculation Sheet'!$Y$4:$Y$40=$EE$20)*($OW$6:$OW$42=1))&gt;0)</f>
        <v/>
      </c>
      <c r="OY20">
        <f>$OY$19+--($OX20)</f>
        <v/>
      </c>
      <c r="OZ20">
        <f>IF(ROW()-3&gt;MAX($OY$4:$OY$40),"",INDEX($EE$4:$EE$40,MATCH(ROW()-3,$OY$4:$OY$40,0)))</f>
        <v/>
      </c>
      <c r="PA20">
        <f>IF(COUNTIF('Buyer Groups'!DG73:EE73,0)+COUNTIF('Buyer Groups'!EG73:EN73,0)&gt;0,0,1)</f>
        <v/>
      </c>
      <c r="PB20">
        <f>IF($EJ$20="",FALSE,SUMPRODUCT(('Final Calculation Sheet'!$Z$4:$Z$40=$EJ$20)*($PA$6:$PA$42=1))&gt;0)</f>
        <v/>
      </c>
      <c r="PC20">
        <f>$PC$19+--($PB20)</f>
        <v/>
      </c>
      <c r="PD20">
        <f>IF(ROW()-3&gt;MAX($PC$4:$PC$40),"",INDEX($EJ$4:$EJ$40,MATCH(ROW()-3,$PC$4:$PC$40,0)))</f>
        <v/>
      </c>
      <c r="PE20">
        <f>IF(COUNTIF('Buyer Groups'!DG73:EF73,0)+COUNTIF('Buyer Groups'!EH73:EN73,0)&gt;0,0,1)</f>
        <v/>
      </c>
      <c r="PF20">
        <f>IF($EO$20="",FALSE,SUMPRODUCT(('Final Calculation Sheet'!$AA$4:$AA$40=$EO$20)*($PE$6:$PE$42=1))&gt;0)</f>
        <v/>
      </c>
      <c r="PG20">
        <f>$PG$19+--($PF20)</f>
        <v/>
      </c>
      <c r="PH20">
        <f>IF(ROW()-3&gt;MAX($PG$4:$PG$40),"",INDEX($EO$4:$EO$40,MATCH(ROW()-3,$PG$4:$PG$40,0)))</f>
        <v/>
      </c>
      <c r="PI20">
        <f>IF(COUNTIF('Buyer Groups'!DG73:EG73,0)+COUNTIF('Buyer Groups'!EI73:EN73,0)&gt;0,0,1)</f>
        <v/>
      </c>
      <c r="PJ20">
        <f>IF($ET$20="",FALSE,SUMPRODUCT(('Final Calculation Sheet'!$AB$4:$AB$40=$ET$20)*($PI$6:$PI$42=1))&gt;0)</f>
        <v/>
      </c>
      <c r="PK20">
        <f>$PK$19+--($PJ20)</f>
        <v/>
      </c>
      <c r="PL20">
        <f>IF(ROW()-3&gt;MAX($PK$4:$PK$40),"",INDEX($ET$4:$ET$40,MATCH(ROW()-3,$PK$4:$PK$40,0)))</f>
        <v/>
      </c>
      <c r="PM20">
        <f>IF(COUNTIF('Buyer Groups'!DG73:EH73,0)+COUNTIF('Buyer Groups'!EJ73:EN73,0)&gt;0,0,1)</f>
        <v/>
      </c>
      <c r="PN20">
        <f>IF($EY$20="",FALSE,SUMPRODUCT(('Final Calculation Sheet'!$AC$4:$AC$40=$EY$20)*($PM$6:$PM$42=1))&gt;0)</f>
        <v/>
      </c>
      <c r="PO20">
        <f>$PO$19+--($PN20)</f>
        <v/>
      </c>
      <c r="PP20">
        <f>IF(ROW()-3&gt;MAX($PO$4:$PO$40),"",INDEX($EY$4:$EY$40,MATCH(ROW()-3,$PO$4:$PO$40,0)))</f>
        <v/>
      </c>
      <c r="PQ20">
        <f>IF(COUNTIF('Buyer Groups'!DG73:EI73,0)+COUNTIF('Buyer Groups'!EK73:EN73,0)&gt;0,0,1)</f>
        <v/>
      </c>
      <c r="PR20">
        <f>IF($FD$20="",FALSE,SUMPRODUCT(('Final Calculation Sheet'!$AD$4:$AD$40=$FD$20)*($PQ$6:$PQ$42=1))&gt;0)</f>
        <v/>
      </c>
      <c r="PS20">
        <f>$PS$19+--($PR20)</f>
        <v/>
      </c>
      <c r="PT20">
        <f>IF(ROW()-3&gt;MAX($PS$4:$PS$40),"",INDEX($FD$4:$FD$40,MATCH(ROW()-3,$PS$4:$PS$40,0)))</f>
        <v/>
      </c>
      <c r="PU20">
        <f>IF(COUNTIF('Buyer Groups'!DG73:EJ73,0)+COUNTIF('Buyer Groups'!EL73:EN73,0)&gt;0,0,1)</f>
        <v/>
      </c>
      <c r="PV20">
        <f>IF($FX$20="",FALSE,SUMPRODUCT((IF('Final Calculation Sheet'!$AD$4:$AD$40&lt;=5,"SETTLED","OUTSTANDING")=$FX$20)*($PU$6:$PU$42=1))&gt;0)</f>
        <v/>
      </c>
      <c r="PW20">
        <f>$PW$19+--($PV20)</f>
        <v/>
      </c>
      <c r="PX20">
        <f>IF(ROW()-3&gt;MAX($PW$4:$PW$40),"",INDEX($FX$4:$FX$40,MATCH(ROW()-3,$PW$4:$PW$40,0)))</f>
        <v/>
      </c>
      <c r="PY20">
        <f>IF(COUNTIF('Buyer Groups'!DG73:EK73,0)+COUNTIF('Buyer Groups'!EM73:EN73,0)&gt;0,0,1)</f>
        <v/>
      </c>
      <c r="PZ20">
        <f>IF($FI$20="",FALSE,SUMPRODUCT(('Final Calculation Sheet'!$AF$4:$AF$40=$FI$20)*($PY$6:$PY$42=1))&gt;0)</f>
        <v/>
      </c>
      <c r="QA20">
        <f>$QA$19+--($PZ20)</f>
        <v/>
      </c>
      <c r="QB20">
        <f>IF(ROW()-3&gt;MAX($QA$4:$QA$40),"",INDEX($FI$4:$FI$40,MATCH(ROW()-3,$QA$4:$QA$40,0)))</f>
        <v/>
      </c>
      <c r="QC20">
        <f>IF(COUNTIF('Buyer Groups'!DG73:EL73,0)+COUNTIF('Buyer Groups'!EN73:EN73,0)&gt;0,0,1)</f>
        <v/>
      </c>
      <c r="QD20">
        <f>IF($FN$20="",FALSE,SUMPRODUCT(('Final Calculation Sheet'!$AG$4:$AG$40=$FN$20)*($QC$6:$QC$42=1))&gt;0)</f>
        <v/>
      </c>
      <c r="QE20">
        <f>$QE$19+--($QD20)</f>
        <v/>
      </c>
      <c r="QF20">
        <f>IF(ROW()-3&gt;MAX($QE$4:$QE$40),"",INDEX($FN$4:$FN$40,MATCH(ROW()-3,$QE$4:$QE$40,0)))</f>
        <v/>
      </c>
      <c r="QG20">
        <f>IF(COUNTIF('Buyer Groups'!DG73:EM73,0)&gt;0,0,1)</f>
        <v/>
      </c>
      <c r="QH20">
        <f>IF($FS$20="",FALSE,SUMPRODUCT(('Final Calculation Sheet'!$AH$4:$AH$40=$FS$20)*($QG$6:$QG$42=1))&gt;0)</f>
        <v/>
      </c>
      <c r="QI20">
        <f>$QI$19+--($QH20)</f>
        <v/>
      </c>
      <c r="QJ20">
        <f>IF(ROW()-3&gt;MAX($QI$4:$QI$40),"",INDEX($FS$4:$FS$40,MATCH(ROW()-3,$QI$4:$QI$40,0)))</f>
        <v/>
      </c>
      <c r="QK20" t="str">
        <f>IF('Final Calculation Sheet'!$AH$20="","",'Final Calculation Sheet'!$AH$20)</f>
      </c>
      <c r="QL20" t="str">
        <f>IF(QK20="","",COUNTIFS(QK$4:QK$40,"&lt;"&amp;QK20,QK$4:QK$40,"&lt;&gt;"&amp;"")+COUNTIF(QK$4:QK20,QK20))</f>
      </c>
      <c r="QM20" t="str">
        <f>IF(ROW()-3&gt;COUNTIF(QK$4:QK$40,"&lt;&gt;"&amp;""),"",INDEX(QK$4:QK$40,MATCH(ROW()-3,QL$4:QL$40,0)))</f>
      </c>
      <c r="QN20" t="str">
        <f>=QN19+F(AND(QM20&lt;&gt;"",COUNTIF(QM$4:QM20,QM20)=1),1,0)</f>
      </c>
      <c r="QO20" t="str">
        <f>IF(ROW()-3&gt;MAX(QN$4:QN$40),"",INDEX(QM$4:QM$40,MATCH(ROW()-3,QN$4:QN$40,0)))</f>
      </c>
      <c r="QP20" t="str">
        <f>IF(COUNTIF('Final Calculation Sheet'!$AM20:$BS20,0)&gt;0,0,1)</f>
      </c>
      <c r="QQ20" t="str">
        <f>IF($AI$20="",FALSE,SUMPRODUCT(('Final Calculation Sheet'!$A$4:$A$40=$AI$20)*($QP$4:$QP$40=1))&gt;0)</f>
      </c>
      <c r="QR20" t="str">
        <f>=$QR19+--($QQ20)</f>
      </c>
      <c r="QS20" t="str">
        <f>IF(ROW()-3&gt;MAX($QR$4:$QR$40),"",INDEX($AI$4:$AI$40,MATCH(ROW()-3,$QR$4:$QR$40,0)))</f>
      </c>
      <c r="QT20" t="str">
        <f>IF(COUNTIF('Final Calculation Sheet'!$AL20:$AL20,0)+COUNTIF('Final Calculation Sheet'!$AN20:$BS20,0)&gt;0,0,1)</f>
      </c>
      <c r="QU20" t="str">
        <f>IF($Y$20="",FALSE,SUMPRODUCT(('Final Calculation Sheet'!$B$4:$B$40=$Y$20)*($QT$4:$QT$40=1))&gt;0)</f>
      </c>
      <c r="QV20" t="str">
        <f>=$QV19+--($QU20)</f>
      </c>
      <c r="QW20" t="str">
        <f>IF(ROW()-3&gt;MAX($QV$4:$QV$40),"",INDEX($Y$4:$Y$40,MATCH(ROW()-3,$QV$4:$QV$40,0)))</f>
      </c>
      <c r="QX20" t="str">
        <f>IF(COUNTIF('Final Calculation Sheet'!$AL20:$AM20,0)+COUNTIF('Final Calculation Sheet'!$AO20:$BS20,0)&gt;0,0,1)</f>
      </c>
      <c r="QY20" t="str">
        <f>IF($AS$20="",FALSE,SUMPRODUCT(('Final Calculation Sheet'!$C$4:$C$40=$AS$20)*($QX$4:$QX$40=1))&gt;0)</f>
      </c>
      <c r="QZ20" t="str">
        <f>=$QZ19+--($QY20)</f>
      </c>
      <c r="RA20" t="str">
        <f>IF(ROW()-3&gt;MAX($QZ$4:$QZ$40),"",INDEX($AS$4:$AS$40,MATCH(ROW()-3,$QZ$4:$QZ$40,0)))</f>
      </c>
      <c r="RB20" t="str">
        <f>IF(COUNTIF('Final Calculation Sheet'!$AL20:$AN20,0)+COUNTIF('Final Calculation Sheet'!$AP20:$BS20,0)&gt;0,0,1)</f>
      </c>
      <c r="RC20" t="str">
        <f>IF($AD$20="",FALSE,SUMPRODUCT(('Final Calculation Sheet'!$D$4:$D$40=$AD$20)*($RB$4:$RB$40=1))&gt;0)</f>
      </c>
      <c r="RD20" t="str">
        <f>=$RD19+--($RC20)</f>
      </c>
      <c r="RE20" t="str">
        <f>IF(ROW()-3&gt;MAX($RD$4:$RD$40),"",INDEX($AD$4:$AD$40,MATCH(ROW()-3,$RD$4:$RD$40,0)))</f>
      </c>
      <c r="RF20" t="str">
        <f>IF(COUNTIF('Final Calculation Sheet'!$AL20:$AO20,0)+COUNTIF('Final Calculation Sheet'!$AQ20:$BS20,0)&gt;0,0,1)</f>
      </c>
      <c r="RG20" t="str">
        <f>IF($AN$20="",FALSE,SUMPRODUCT(('Final Calculation Sheet'!$E$4:$E$40=$AN$20)*($RF$4:$RF$40=1))&gt;0)</f>
      </c>
      <c r="RH20" t="str">
        <f>=$RH19+--($RG20)</f>
      </c>
      <c r="RI20" t="str">
        <f>IF(ROW()-3&gt;MAX($RH$4:$RH$40),"",INDEX($AN$4:$AN$40,MATCH(ROW()-3,$RH$4:$RH$40,0)))</f>
      </c>
      <c r="RJ20" t="str">
        <f>IF(COUNTIF('Final Calculation Sheet'!$AL20:$AP20,0)+COUNTIF('Final Calculation Sheet'!$AR20:$BS20,0)&gt;0,0,1)</f>
      </c>
      <c r="RK20" t="str">
        <f>IF($O$20="",FALSE,SUMPRODUCT(('Final Calculation Sheet'!$F$4:$F$40=$O$20)*($RJ$4:$RJ$40=1))&gt;0)</f>
      </c>
      <c r="RL20" t="str">
        <f>=$RL19+--($RK20)</f>
      </c>
      <c r="RM20" t="str">
        <f>IF(ROW()-3&gt;MAX($RL$4:$RL$40),"",INDEX($O$4:$O$40,MATCH(ROW()-3,$RL$4:$RL$40,0)))</f>
      </c>
      <c r="RN20" t="str">
        <f>IF(COUNTIF('Final Calculation Sheet'!$AL20:$AQ20,0)+COUNTIF('Final Calculation Sheet'!$AS20:$BS20,0)&gt;0,0,1)</f>
      </c>
      <c r="RO20" t="str">
        <f>IF($T$20="",FALSE,SUMPRODUCT(('Final Calculation Sheet'!$G$4:$G$40=$T$20)*($RN$4:$RN$40=1))&gt;0)</f>
      </c>
      <c r="RP20" t="str">
        <f>=$RP19+--($RO20)</f>
      </c>
      <c r="RQ20" t="str">
        <f>IF(ROW()-3&gt;MAX($RP$4:$RP$40),"",INDEX($T$4:$T$40,MATCH(ROW()-3,$RP$4:$RP$40,0)))</f>
      </c>
      <c r="RR20" t="str">
        <f>IF(COUNTIF('Final Calculation Sheet'!$AL20:$AR20,0)+COUNTIF('Final Calculation Sheet'!$AT20:$BS20,0)&gt;0,0,1)</f>
      </c>
      <c r="RS20" t="str">
        <f>IF($AX$20="",FALSE,SUMPRODUCT(('Final Calculation Sheet'!$H$4:$H$40=$AX$20)*($RR$4:$RR$40=1))&gt;0)</f>
      </c>
      <c r="RT20" t="str">
        <f>=$RT19+--($RS20)</f>
      </c>
      <c r="RU20" t="str">
        <f>IF(ROW()-3&gt;MAX($RT$4:$RT$40),"",INDEX($AX$4:$AX$40,MATCH(ROW()-3,$RT$4:$RT$40,0)))</f>
      </c>
      <c r="RV20" t="str">
        <f>IF(COUNTIF('Final Calculation Sheet'!$AL20:$AS20,0)+COUNTIF('Final Calculation Sheet'!$AU20:$BS20,0)&gt;0,0,1)</f>
      </c>
      <c r="RW20" t="str">
        <f>IF($BC$20="",FALSE,SUMPRODUCT(('Final Calculation Sheet'!$I$4:$I$40=$BC$20)*($RV$4:$RV$40=1))&gt;0)</f>
      </c>
      <c r="RX20" t="str">
        <f>=$RX19+--($RW20)</f>
      </c>
      <c r="RY20" t="str">
        <f>IF(ROW()-3&gt;MAX($RX$4:$RX$40),"",INDEX($BC$4:$BC$40,MATCH(ROW()-3,$RX$4:$RX$40,0)))</f>
      </c>
      <c r="RZ20" t="str">
        <f>IF(COUNTIF('Final Calculation Sheet'!$AL20:$AT20,0)+COUNTIF('Final Calculation Sheet'!$AV20:$BS20,0)&gt;0,0,1)</f>
      </c>
      <c r="SA20" t="str">
        <f>IF($BH$20="",FALSE,SUMPRODUCT(('Final Calculation Sheet'!$J$4:$J$40=$BH$20)*($RZ$4:$RZ$40=1))&gt;0)</f>
      </c>
      <c r="SB20" t="str">
        <f>=$SB19+--($SA20)</f>
      </c>
      <c r="SC20" t="str">
        <f>IF(ROW()-3&gt;MAX($SB$4:$SB$40),"",INDEX($BH$4:$BH$40,MATCH(ROW()-3,$SB$4:$SB$40,0)))</f>
      </c>
      <c r="SD20" t="str">
        <f>IF(COUNTIF('Final Calculation Sheet'!$AL20:$AU20,0)+COUNTIF('Final Calculation Sheet'!$AW20:$BS20,0)&gt;0,0,1)</f>
      </c>
      <c r="SE20" t="str">
        <f>IF($BM$20="",FALSE,SUMPRODUCT(('Final Calculation Sheet'!$K$4:$K$40=$BM$20)*($SD$4:$SD$40=1))&gt;0)</f>
      </c>
      <c r="SF20" t="str">
        <f>=$SF19+--($SE20)</f>
      </c>
      <c r="SG20" t="str">
        <f>IF(ROW()-3&gt;MAX($SF$4:$SF$40),"",INDEX($BM$4:$BM$40,MATCH(ROW()-3,$SF$4:$SF$40,0)))</f>
      </c>
      <c r="SH20" t="str">
        <f>IF(COUNTIF('Final Calculation Sheet'!$AL20:$AV20,0)+COUNTIF('Final Calculation Sheet'!$AX20:$BS20,0)&gt;0,0,1)</f>
      </c>
      <c r="SI20" t="str">
        <f>IF($BR$20="",FALSE,SUMPRODUCT(('Final Calculation Sheet'!$L$4:$L$40=$BR$20)*($SH$4:$SH$40=1))&gt;0)</f>
      </c>
      <c r="SJ20" t="str">
        <f>=$SJ19+--($SI20)</f>
      </c>
      <c r="SK20" t="str">
        <f>IF(ROW()-3&gt;MAX($SJ$4:$SJ$40),"",INDEX($BR$4:$BR$40,MATCH(ROW()-3,$SJ$4:$SJ$40,0)))</f>
      </c>
      <c r="SL20" t="str">
        <f>IF(COUNTIF('Final Calculation Sheet'!$AL20:$AW20,0)+COUNTIF('Final Calculation Sheet'!$AY20:$BS20,0)&gt;0,0,1)</f>
      </c>
      <c r="SM20" t="str">
        <f>IF($BW$20="",FALSE,SUMPRODUCT(('Final Calculation Sheet'!$M$4:$M$40=$BW$20)*($SL$4:$SL$40=1))&gt;0)</f>
      </c>
      <c r="SN20" t="str">
        <f>=$SN19+--($SM20)</f>
      </c>
      <c r="SO20" t="str">
        <f>IF(ROW()-3&gt;MAX($SN$4:$SN$40),"",INDEX($BW$4:$BW$40,MATCH(ROW()-3,$SN$4:$SN$40,0)))</f>
      </c>
      <c r="SP20" t="str">
        <f>IF(COUNTIF('Final Calculation Sheet'!$AL20:$AX20,0)+COUNTIF('Final Calculation Sheet'!$AZ20:$BS20,0)&gt;0,0,1)</f>
      </c>
      <c r="SQ20" t="str">
        <f>IF($CB$20="",FALSE,SUMPRODUCT(('Final Calculation Sheet'!$N$4:$N$40=$CB$20)*($SP$4:$SP$40=1))&gt;0)</f>
      </c>
      <c r="SR20" t="str">
        <f>=$SR19+--($SQ20)</f>
      </c>
      <c r="SS20" t="str">
        <f>IF(ROW()-3&gt;MAX($SR$4:$SR$40),"",INDEX($CB$4:$CB$40,MATCH(ROW()-3,$SR$4:$SR$40,0)))</f>
      </c>
      <c r="ST20" t="str">
        <f>IF(COUNTIF('Final Calculation Sheet'!$AL20:$AY20,0)+COUNTIF('Final Calculation Sheet'!$BA20:$BS20,0)&gt;0,0,1)</f>
      </c>
      <c r="SU20" t="str">
        <f>IF($CG$20="",FALSE,SUMPRODUCT(('Final Calculation Sheet'!$O$4:$O$40=$CG$20)*($ST$4:$ST$40=1))&gt;0)</f>
      </c>
      <c r="SV20" t="str">
        <f>=$SV19+--($SU20)</f>
      </c>
      <c r="SW20" t="str">
        <f>IF(ROW()-3&gt;MAX($SV$4:$SV$40),"",INDEX($CG$4:$CG$40,MATCH(ROW()-3,$SV$4:$SV$40,0)))</f>
      </c>
      <c r="SX20" t="str">
        <f>IF(COUNTIF('Final Calculation Sheet'!$AL20:$AZ20,0)+COUNTIF('Final Calculation Sheet'!$BB20:$BS20,0)&gt;0,0,1)</f>
      </c>
      <c r="SY20" t="str">
        <f>IF($CL$20="",FALSE,SUMPRODUCT(('Final Calculation Sheet'!$P$4:$P$40=$CL$20)*($SX$4:$SX$40=1))&gt;0)</f>
      </c>
      <c r="SZ20" t="str">
        <f>=$SZ19+--($SY20)</f>
      </c>
      <c r="TA20" t="str">
        <f>IF(ROW()-3&gt;MAX($SZ$4:$SZ$40),"",INDEX($CL$4:$CL$40,MATCH(ROW()-3,$SZ$4:$SZ$40,0)))</f>
      </c>
      <c r="TB20" t="str">
        <f>IF(COUNTIF('Final Calculation Sheet'!$AL20:$BA20,0)+COUNTIF('Final Calculation Sheet'!$BC20:$BS20,0)&gt;0,0,1)</f>
      </c>
      <c r="TC20" t="str">
        <f>IF($CQ$20="",FALSE,SUMPRODUCT(('Final Calculation Sheet'!$Q$4:$Q$40=$CQ$20)*($TB$4:$TB$40=1))&gt;0)</f>
      </c>
      <c r="TD20" t="str">
        <f>=$TD19+--($TC20)</f>
      </c>
      <c r="TE20" t="str">
        <f>IF(ROW()-3&gt;MAX($TD$4:$TD$40),"",INDEX($CQ$4:$CQ$40,MATCH(ROW()-3,$TD$4:$TD$40,0)))</f>
      </c>
      <c r="TF20" t="str">
        <f>IF(COUNTIF('Final Calculation Sheet'!$AL20:$BB20,0)+COUNTIF('Final Calculation Sheet'!$BD20:$BS20,0)&gt;0,0,1)</f>
      </c>
      <c r="TG20" t="str">
        <f>IF($CV$20="",FALSE,SUMPRODUCT(('Final Calculation Sheet'!$R$4:$R$40=$CV$20)*($TF$4:$TF$40=1))&gt;0)</f>
      </c>
      <c r="TH20" t="str">
        <f>=$TH19+--($TG20)</f>
      </c>
      <c r="TI20" t="str">
        <f>IF(ROW()-3&gt;MAX($TH$4:$TH$40),"",INDEX($CV$4:$CV$40,MATCH(ROW()-3,$TH$4:$TH$40,0)))</f>
      </c>
      <c r="TJ20" t="str">
        <f>IF(COUNTIF('Final Calculation Sheet'!$AL20:$BC20,0)+COUNTIF('Final Calculation Sheet'!$BE20:$BS20,0)&gt;0,0,1)</f>
      </c>
      <c r="TK20" t="str">
        <f>IF($DA$20="",FALSE,SUMPRODUCT(('Final Calculation Sheet'!$S$4:$S$40=$DA$20)*($TJ$4:$TJ$40=1))&gt;0)</f>
      </c>
      <c r="TL20" t="str">
        <f>=$TL19+--($TK20)</f>
      </c>
      <c r="TM20" t="str">
        <f>IF(ROW()-3&gt;MAX($TL$4:$TL$40),"",INDEX($DA$4:$DA$40,MATCH(ROW()-3,$TL$4:$TL$40,0)))</f>
      </c>
      <c r="TN20" t="str">
        <f>IF(COUNTIF('Final Calculation Sheet'!$AL20:$BD20,0)+COUNTIF('Final Calculation Sheet'!$BF20:$BS20,0)&gt;0,0,1)</f>
      </c>
      <c r="TO20" t="str">
        <f>IF($DF$20="",FALSE,SUMPRODUCT(('Final Calculation Sheet'!$T$4:$T$40=$DF$20)*($TN$4:$TN$40=1))&gt;0)</f>
      </c>
      <c r="TP20" t="str">
        <f>=$TP19+--($TO20)</f>
      </c>
      <c r="TQ20" t="str">
        <f>IF(ROW()-3&gt;MAX($TP$4:$TP$40),"",INDEX($DF$4:$DF$40,MATCH(ROW()-3,$TP$4:$TP$40,0)))</f>
      </c>
      <c r="TR20" t="str">
        <f>IF(COUNTIF('Final Calculation Sheet'!$AL20:$BE20,0)+COUNTIF('Final Calculation Sheet'!$BG20:$BS20,0)&gt;0,0,1)</f>
      </c>
      <c r="TS20" t="str">
        <f>IF($DK$20="",FALSE,SUMPRODUCT(('Final Calculation Sheet'!$U$4:$U$40=$DK$20)*($TR$4:$TR$40=1))&gt;0)</f>
      </c>
      <c r="TT20" t="str">
        <f>=$TT19+--($TS20)</f>
      </c>
      <c r="TU20" t="str">
        <f>IF(ROW()-3&gt;MAX($TT$4:$TT$40),"",INDEX($DK$4:$DK$40,MATCH(ROW()-3,$TT$4:$TT$40,0)))</f>
      </c>
      <c r="TV20" t="str">
        <f>IF(COUNTIF('Final Calculation Sheet'!$AL20:$BF20,0)+COUNTIF('Final Calculation Sheet'!$BH20:$BS20,0)&gt;0,0,1)</f>
      </c>
      <c r="TW20" t="str">
        <f>IF($DP$20="",FALSE,SUMPRODUCT(('Final Calculation Sheet'!$V$4:$V$40=$DP$20)*($TV$4:$TV$40=1))&gt;0)</f>
      </c>
      <c r="TX20" t="str">
        <f>=$TX19+--($TW20)</f>
      </c>
      <c r="TY20" t="str">
        <f>IF(ROW()-3&gt;MAX($TX$4:$TX$40),"",INDEX($DP$4:$DP$40,MATCH(ROW()-3,$TX$4:$TX$40,0)))</f>
      </c>
      <c r="TZ20" t="str">
        <f>IF(COUNTIF('Final Calculation Sheet'!$AL20:$BG20,0)+COUNTIF('Final Calculation Sheet'!$BI20:$BS20,0)&gt;0,0,1)</f>
      </c>
      <c r="UA20" t="str">
        <f>IF($DU$20="",FALSE,SUMPRODUCT(('Final Calculation Sheet'!$W$4:$W$40=$DU$20)*($TZ$4:$TZ$40=1))&gt;0)</f>
      </c>
      <c r="UB20" t="str">
        <f>=$UB19+--($UA20)</f>
      </c>
      <c r="UC20" t="str">
        <f>IF(ROW()-3&gt;MAX($UB$4:$UB$40),"",INDEX($DU$4:$DU$40,MATCH(ROW()-3,$UB$4:$UB$40,0)))</f>
      </c>
      <c r="UD20" t="str">
        <f>IF(COUNTIF('Final Calculation Sheet'!$AL20:$BH20,0)+COUNTIF('Final Calculation Sheet'!$BJ20:$BS20,0)&gt;0,0,1)</f>
      </c>
      <c r="UE20" t="str">
        <f>IF($DZ$20="",FALSE,SUMPRODUCT(('Final Calculation Sheet'!$X$4:$X$40=$DZ$20)*($UD$4:$UD$40=1))&gt;0)</f>
      </c>
      <c r="UF20" t="str">
        <f>=$UF19+--($UE20)</f>
      </c>
      <c r="UG20" t="str">
        <f>IF(ROW()-3&gt;MAX($UF$4:$UF$40),"",INDEX($DZ$4:$DZ$40,MATCH(ROW()-3,$UF$4:$UF$40,0)))</f>
      </c>
      <c r="UH20" t="str">
        <f>IF(COUNTIF('Final Calculation Sheet'!$AL20:$BI20,0)+COUNTIF('Final Calculation Sheet'!$BK20:$BS20,0)&gt;0,0,1)</f>
      </c>
      <c r="UI20" t="str">
        <f>IF($EE$20="",FALSE,SUMPRODUCT(('Final Calculation Sheet'!$Y$4:$Y$40=$EE$20)*($UH$4:$UH$40=1))&gt;0)</f>
      </c>
      <c r="UJ20" t="str">
        <f>=$UJ19+--($UI20)</f>
      </c>
      <c r="UK20" t="str">
        <f>IF(ROW()-3&gt;MAX($UJ$4:$UJ$40),"",INDEX($EE$4:$EE$40,MATCH(ROW()-3,$UJ$4:$UJ$40,0)))</f>
      </c>
      <c r="UL20" t="str">
        <f>IF(COUNTIF('Final Calculation Sheet'!$AL20:$BJ20,0)+COUNTIF('Final Calculation Sheet'!$BL20:$BS20,0)&gt;0,0,1)</f>
      </c>
      <c r="UM20" t="str">
        <f>IF($EJ$20="",FALSE,SUMPRODUCT(('Final Calculation Sheet'!$Z$4:$Z$40=$EJ$20)*($UL$4:$UL$40=1))&gt;0)</f>
      </c>
      <c r="UN20" t="str">
        <f>=$UN19+--($UM20)</f>
      </c>
      <c r="UO20" t="str">
        <f>IF(ROW()-3&gt;MAX($UN$4:$UN$40),"",INDEX($EJ$4:$EJ$40,MATCH(ROW()-3,$UN$4:$UN$40,0)))</f>
      </c>
      <c r="UP20" t="str">
        <f>IF(COUNTIF('Final Calculation Sheet'!$AL20:$BK20,0)+COUNTIF('Final Calculation Sheet'!$BM20:$BS20,0)&gt;0,0,1)</f>
      </c>
      <c r="UQ20" t="str">
        <f>IF($EO$20="",FALSE,SUMPRODUCT(('Final Calculation Sheet'!$AA$4:$AA$40=$EO$20)*($UP$4:$UP$40=1))&gt;0)</f>
      </c>
      <c r="UR20" t="str">
        <f>=$UR19+--($UQ20)</f>
      </c>
      <c r="US20" t="str">
        <f>IF(ROW()-3&gt;MAX($UR$4:$UR$40),"",INDEX($EO$4:$EO$40,MATCH(ROW()-3,$UR$4:$UR$40,0)))</f>
      </c>
      <c r="UT20" t="str">
        <f>IF(COUNTIF('Final Calculation Sheet'!$AL20:$BL20,0)+COUNTIF('Final Calculation Sheet'!$BN20:$BS20,0)&gt;0,0,1)</f>
      </c>
      <c r="UU20" t="str">
        <f>IF($ET$20="",FALSE,SUMPRODUCT(('Final Calculation Sheet'!$AB$4:$AB$40=$ET$20)*($UT$4:$UT$40=1))&gt;0)</f>
      </c>
      <c r="UV20" t="str">
        <f>=$UV19+--($UU20)</f>
      </c>
      <c r="UW20" t="str">
        <f>IF(ROW()-3&gt;MAX($UV$4:$UV$40),"",INDEX($ET$4:$ET$40,MATCH(ROW()-3,$UV$4:$UV$40,0)))</f>
      </c>
      <c r="UX20" t="str">
        <f>IF(COUNTIF('Final Calculation Sheet'!$AL20:$BM20,0)+COUNTIF('Final Calculation Sheet'!$BO20:$BS20,0)&gt;0,0,1)</f>
      </c>
      <c r="UY20" t="str">
        <f>IF($EY$20="",FALSE,SUMPRODUCT(('Final Calculation Sheet'!$AC$4:$AC$40=$EY$20)*($UX$4:$UX$40=1))&gt;0)</f>
      </c>
      <c r="UZ20" t="str">
        <f>=$UZ19+--($UY20)</f>
      </c>
      <c r="VA20" t="str">
        <f>IF(ROW()-3&gt;MAX($UZ$4:$UZ$40),"",INDEX($EY$4:$EY$40,MATCH(ROW()-3,$UZ$4:$UZ$40,0)))</f>
      </c>
      <c r="VB20" t="str">
        <f>IF(COUNTIF('Final Calculation Sheet'!$AL20:$BN20,0)+COUNTIF('Final Calculation Sheet'!$BP20:$BS20,0)&gt;0,0,1)</f>
      </c>
      <c r="VC20" t="str">
        <f>IF($FD$20="",FALSE,SUMPRODUCT(('Final Calculation Sheet'!$AD$4:$AD$40=$FD$20)*($VB$4:$VB$40=1))&gt;0)</f>
      </c>
      <c r="VD20" t="str">
        <f>=$VD19+--($VC20)</f>
      </c>
      <c r="VE20" t="str">
        <f>IF(ROW()-3&gt;MAX($VD$4:$VD$40),"",INDEX($FD$4:$FD$40,MATCH(ROW()-3,$VD$4:$VD$40,0)))</f>
      </c>
      <c r="VF20" t="str">
        <f>IF(COUNTIF('Final Calculation Sheet'!$AL20:$BO20,0)+COUNTIF('Final Calculation Sheet'!$BQ20:$BS20,0)&gt;0,0,1)</f>
      </c>
      <c r="VG20" t="str">
        <f>IF($FI$20="",FALSE,SUMPRODUCT(('Final Calculation Sheet'!$AE$4:$AE$40=$FI$20)*($VF$4:$VF$40=1))&gt;0)</f>
      </c>
      <c r="VH20" t="str">
        <f>=$VH19+--($VG20)</f>
      </c>
      <c r="VI20" t="str">
        <f>IF(ROW()-3&gt;MAX($VH$4:$VH$40),"",INDEX($FI$4:$FI$40,MATCH(ROW()-3,$VH$4:$VH$40,0)))</f>
      </c>
      <c r="VJ20" t="str">
        <f>IF(COUNTIF('Final Calculation Sheet'!$AL20:$BP20,0)+COUNTIF('Final Calculation Sheet'!$BR20:$BS20,0)&gt;0,0,1)</f>
      </c>
      <c r="VK20" t="str">
        <f>IF($FN$20="",FALSE,SUMPRODUCT(('Final Calculation Sheet'!$AF$4:$AF$40=$FN$20)*($VJ$4:$VJ$40=1))&gt;0)</f>
      </c>
      <c r="VL20" t="str">
        <f>=$VL19+--($VK20)</f>
      </c>
      <c r="VM20" t="str">
        <f>IF(ROW()-3&gt;MAX($VL$4:$VL$40),"",INDEX($FN$4:$FN$40,MATCH(ROW()-3,$VL$4:$VL$40,0)))</f>
      </c>
      <c r="VN20" t="str">
        <f>IF(COUNTIF('Final Calculation Sheet'!$AL20:$BQ20,0)+COUNTIF('Final Calculation Sheet'!$BS20:$BS20,0)&gt;0,0,1)</f>
      </c>
      <c r="VO20" t="str">
        <f>IF($FS$20="",FALSE,SUMPRODUCT(('Final Calculation Sheet'!$AG$4:$AG$40=$FS$20)*($VN$4:$VN$40=1))&gt;0)</f>
      </c>
      <c r="VP20" t="str">
        <f>=$VP19+--($VO20)</f>
      </c>
      <c r="VQ20" t="str">
        <f>IF(ROW()-3&gt;MAX($VP$4:$VP$40),"",INDEX($FS$4:$FS$40,MATCH(ROW()-3,$VP$4:$VP$40,0)))</f>
      </c>
      <c r="VR20" t="str">
        <f>IF(COUNTIF('Final Calculation Sheet'!$AL20:$BR20,0)&gt;0,0,1)</f>
      </c>
      <c r="VS20" t="str">
        <f>IF($QO$20="",FALSE,SUMPRODUCT(('Final Calculation Sheet'!$AH$4:$AH$40=$QO$20)*($VR$4:$VR$40=1))&gt;0)</f>
      </c>
      <c r="VT20" t="str">
        <f>=$VT19+--($VS20)</f>
      </c>
      <c r="VU20" t="str">
        <f>IF(ROW()-3&gt;MAX($VT$4:$VT$40),"",INDEX($QO$4:$QO$40,MATCH(ROW()-3,$VT$4:$VT$40,0)))</f>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IF(COUNTIF('Live Search'!BM$20:BM$20,0)+COUNTIF('Live Search'!B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D21">
        <f>IF($O$21="",FALSE,SUMPRODUCT(('Final Calculation Sheet'!$F$4:$F$40=$O$21)*($GC$6:$GC$42=1))&gt;0)</f>
        <v/>
      </c>
      <c r="GE21">
        <f>$GE$20+--($GD21)</f>
        <v/>
      </c>
      <c r="GF21">
        <f>IF(ROW()-3&gt;MAX($GE$4:$GE$40),"",INDEX($O$4:$O$40,MATCH(ROW()-3,$GE$4:$GE$40,0)))</f>
        <v/>
      </c>
      <c r="GG21">
        <f>IF(COUNTIF('Live Search'!BM$20:BN$20,0)+COUNTIF('Live Search'!B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H21">
        <f>IF($T$21="",FALSE,SUMPRODUCT(('Final Calculation Sheet'!$G$4:$G$40=$T$21)*($GG$6:$GG$42=1))&gt;0)</f>
        <v/>
      </c>
      <c r="GI21">
        <f>$GI$20+--($GH21)</f>
        <v/>
      </c>
      <c r="GJ21">
        <f>IF(ROW()-3&gt;MAX($GI$4:$GI$40),"",INDEX($T$4:$T$40,MATCH(ROW()-3,$GI$4:$GI$40,0)))</f>
        <v/>
      </c>
      <c r="GK21">
        <f>IF(COUNTIF('Live Search'!BM$20:BP$20,0)+COUNTIF('Live Search'!B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L21">
        <f>IF($AD$21="",FALSE,SUMPRODUCT(('Final Calculation Sheet'!$D$4:$D$40=$AD$21)*($GK$6:$GK$42=1))&gt;0)</f>
        <v/>
      </c>
      <c r="GM21">
        <f>$GM$20+--($GL21)</f>
        <v/>
      </c>
      <c r="GN21">
        <f>IF(ROW()-3&gt;MAX($GM$4:$GM$40),"",INDEX($AD$4:$AD$40,MATCH(ROW()-3,$GM$4:$GM$40,0)))</f>
        <v/>
      </c>
      <c r="GO21">
        <f>IF(COUNTIF('Live Search'!BM$20:BQ$20,0)+COUNTIF('Live Search'!B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P21">
        <f>IF($AI$21="",FALSE,SUMPRODUCT(('Final Calculation Sheet'!$A$4:$A$40=$AI$21)*($GO$6:$GO$42=1))&gt;0)</f>
        <v/>
      </c>
      <c r="GQ21">
        <f>$GQ$20+--($GP21)</f>
        <v/>
      </c>
      <c r="GR21">
        <f>IF(ROW()-3&gt;MAX($GQ$4:$GQ$40),"",INDEX($AI$4:$AI$40,MATCH(ROW()-3,$GQ$4:$GQ$40,0)))</f>
        <v/>
      </c>
      <c r="GS21">
        <f>IF(COUNTIF('Live Search'!BM$20:BR$20,0)+COUNTIF('Live Search'!B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T21">
        <f>IF($AN$21="",FALSE,SUMPRODUCT(('Final Calculation Sheet'!$E$4:$E$40=$AN$21)*($GS$6:$GS$42=1))&gt;0)</f>
        <v/>
      </c>
      <c r="GU21">
        <f>$GU$20+--($GT21)</f>
        <v/>
      </c>
      <c r="GV21">
        <f>IF(ROW()-3&gt;MAX($GU$4:$GU$40),"",INDEX($AN$4:$AN$40,MATCH(ROW()-3,$GU$4:$GU$40,0)))</f>
        <v/>
      </c>
      <c r="GW21">
        <f>IF(COUNTIF('Live Search'!BM$20:BS$20,0)+COUNTIF('Live Search'!B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GX21">
        <f>IF($AS$21="",FALSE,SUMPRODUCT(('Final Calculation Sheet'!$C$4:$C$40=$AS$21)*($GW$6:$GW$42=1))&gt;0)</f>
        <v/>
      </c>
      <c r="GY21">
        <f>$GY$20+--($GX21)</f>
        <v/>
      </c>
      <c r="GZ21">
        <f>IF(ROW()-3&gt;MAX($GY$4:$GY$40),"",INDEX($AS$4:$AS$40,MATCH(ROW()-3,$GY$4:$GY$40,0)))</f>
        <v/>
      </c>
      <c r="HA21">
        <f>IF(COUNTIF('Live Search'!BM$20:BT$20,0)+COUNTIF('Live Search'!BV$20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B21">
        <f>IF($AX$21="",FALSE,SUMPRODUCT(('Final Calculation Sheet'!$H$4:$H$40=$AX$21)*($HA$6:$HA$42=1))&gt;0)</f>
        <v/>
      </c>
      <c r="HC21">
        <f>$HC$20+--($HB21)</f>
        <v/>
      </c>
      <c r="HD21">
        <f>IF(ROW()-3&gt;MAX($HC$4:$HC$40),"",INDEX($AX$4:$AX$40,MATCH(ROW()-3,$HC$4:$HC$40,0)))</f>
        <v/>
      </c>
      <c r="HE21">
        <f>IF(COUNTIF('Live Search'!BM$20:BU$20,0)+COUNTIF('Live Search'!BW$20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F21">
        <f>IF($BC$21="",FALSE,SUMPRODUCT(('Final Calculation Sheet'!$I$4:$I$40=$BC$21)*($HE$6:$HE$42=1))&gt;0)</f>
        <v/>
      </c>
      <c r="HG21">
        <f>$HG$20+--($HF21)</f>
        <v/>
      </c>
      <c r="HH21">
        <f>IF(ROW()-3&gt;MAX($HG$4:$HG$40),"",INDEX($BC$4:$BC$40,MATCH(ROW()-3,$HG$4:$HG$40,0)))</f>
        <v/>
      </c>
      <c r="HI21">
        <f>IF(COUNTIF('Live Search'!BM$20:BV$20,0)+COUNTIF('Live Search'!BX$20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J21">
        <f>IF($BH$21="",FALSE,SUMPRODUCT(('Final Calculation Sheet'!$J$4:$J$40=$BH$21)*($HI$6:$HI$42=1))&gt;0)</f>
        <v/>
      </c>
      <c r="HK21">
        <f>$HK$20+--($HJ21)</f>
        <v/>
      </c>
      <c r="HL21">
        <f>IF(ROW()-3&gt;MAX($HK$4:$HK$40),"",INDEX($BH$4:$BH$40,MATCH(ROW()-3,$HK$4:$HK$40,0)))</f>
        <v/>
      </c>
      <c r="HM21">
        <f>IF(COUNTIF('Live Search'!BM$20:BW$20,0)+COUNTIF('Live Search'!BY$20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N21">
        <f>IF($BM$21="",FALSE,SUMPRODUCT(('Final Calculation Sheet'!$K$4:$K$40=$BM$21)*($HM$6:$HM$42=1))&gt;0)</f>
        <v/>
      </c>
      <c r="HO21">
        <f>$HO$20+--($HN21)</f>
        <v/>
      </c>
      <c r="HP21">
        <f>IF(ROW()-3&gt;MAX($HO$4:$HO$40),"",INDEX($BM$4:$BM$40,MATCH(ROW()-3,$HO$4:$HO$40,0)))</f>
        <v/>
      </c>
      <c r="HQ21">
        <f>IF(COUNTIF('Live Search'!BM$20:BX$20,0)+COUNTIF('Live Search'!BZ$20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R21">
        <f>IF($BR$21="",FALSE,SUMPRODUCT(('Final Calculation Sheet'!$L$4:$L$40=$BR$21)*($HQ$6:$HQ$42=1))&gt;0)</f>
        <v/>
      </c>
      <c r="HS21">
        <f>$HS$20+--($HR21)</f>
        <v/>
      </c>
      <c r="HT21">
        <f>IF(ROW()-3&gt;MAX($HS$4:$HS$40),"",INDEX($BR$4:$BR$40,MATCH(ROW()-3,$HS$4:$HS$40,0)))</f>
        <v/>
      </c>
      <c r="HU21">
        <f>IF(COUNTIF('Live Search'!BM$20:BY$20,0)+COUNTIF('Live Search'!CA$20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V21">
        <f>IF($BW$21="",FALSE,SUMPRODUCT(('Final Calculation Sheet'!$M$4:$M$40=$BW$21)*($HU$6:$HU$42=1))&gt;0)</f>
        <v/>
      </c>
      <c r="HW21">
        <f>$HW$20+--($HV21)</f>
        <v/>
      </c>
      <c r="HX21">
        <f>IF(ROW()-3&gt;MAX($HW$4:$HW$40),"",INDEX($BW$4:$BW$40,MATCH(ROW()-3,$HW$4:$HW$40,0)))</f>
        <v/>
      </c>
      <c r="HY21">
        <f>IF(COUNTIF('Live Search'!BM$20:BZ$20,0)+COUNTIF('Live Search'!CB$20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HZ21">
        <f>IF($CB$21="",FALSE,SUMPRODUCT(('Final Calculation Sheet'!$N$4:$N$40=$CB$21)*($HY$6:$HY$42=1))&gt;0)</f>
        <v/>
      </c>
      <c r="IA21">
        <f>$IA$20+--($HZ21)</f>
        <v/>
      </c>
      <c r="IB21">
        <f>IF(ROW()-3&gt;MAX($IA$4:$IA$40),"",INDEX($CB$4:$CB$40,MATCH(ROW()-3,$IA$4:$IA$40,0)))</f>
        <v/>
      </c>
      <c r="IC21">
        <f>IF(COUNTIF('Live Search'!BM$20:CA$20,0)+COUNTIF('Live Search'!CC$20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D21">
        <f>IF($CG$21="",FALSE,SUMPRODUCT(('Final Calculation Sheet'!$O$4:$O$40=$CG$21)*($IC$6:$IC$42=1))&gt;0)</f>
        <v/>
      </c>
      <c r="IE21">
        <f>$IE$20+--($ID21)</f>
        <v/>
      </c>
      <c r="IF21">
        <f>IF(ROW()-3&gt;MAX($IE$4:$IE$40),"",INDEX($CG$4:$CG$40,MATCH(ROW()-3,$IE$4:$IE$40,0)))</f>
        <v/>
      </c>
      <c r="IG21">
        <f>IF(COUNTIF('Live Search'!BM$20:CB$20,0)+COUNTIF('Live Search'!CD$20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H21">
        <f>IF($CL$21="",FALSE,SUMPRODUCT(('Final Calculation Sheet'!$P$4:$P$40=$CL$21)*($IG$6:$IG$42=1))&gt;0)</f>
        <v/>
      </c>
      <c r="II21">
        <f>$II$20+--($IH21)</f>
        <v/>
      </c>
      <c r="IJ21">
        <f>IF(ROW()-3&gt;MAX($II$4:$II$40),"",INDEX($CL$4:$CL$40,MATCH(ROW()-3,$II$4:$II$40,0)))</f>
        <v/>
      </c>
      <c r="IK21">
        <f>IF(COUNTIF('Live Search'!BM$20:CC$20,0)+COUNTIF('Live Search'!CE$20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L21">
        <f>IF($CQ$21="",FALSE,SUMPRODUCT(('Final Calculation Sheet'!$Q$4:$Q$40=$CQ$21)*($IK$6:$IK$42=1))&gt;0)</f>
        <v/>
      </c>
      <c r="IM21">
        <f>$IM$20+--($IL21)</f>
        <v/>
      </c>
      <c r="IN21">
        <f>IF(ROW()-3&gt;MAX($IM$4:$IM$40),"",INDEX($CQ$4:$CQ$40,MATCH(ROW()-3,$IM$4:$IM$40,0)))</f>
        <v/>
      </c>
      <c r="IO21">
        <f>IF(COUNTIF('Live Search'!BM$20:CD$20,0)+COUNTIF('Live Search'!CF$20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P21">
        <f>IF($CV$21="",FALSE,SUMPRODUCT(('Final Calculation Sheet'!$R$4:$R$40=$CV$21)*($IO$6:$IO$42=1))&gt;0)</f>
        <v/>
      </c>
      <c r="IQ21">
        <f>$IQ$20+--($IP21)</f>
        <v/>
      </c>
      <c r="IR21">
        <f>IF(ROW()-3&gt;MAX($IQ$4:$IQ$40),"",INDEX($CV$4:$CV$40,MATCH(ROW()-3,$IQ$4:$IQ$40,0)))</f>
        <v/>
      </c>
      <c r="IS21">
        <f>IF(COUNTIF('Live Search'!BM$20:CE$20,0)+COUNTIF('Live Search'!CG$20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T21">
        <f>IF($DA$21="",FALSE,SUMPRODUCT(('Final Calculation Sheet'!$S$4:$S$40=$DA$21)*($IS$6:$IS$42=1))&gt;0)</f>
        <v/>
      </c>
      <c r="IU21">
        <f>$IU$20+--($IT21)</f>
        <v/>
      </c>
      <c r="IV21">
        <f>IF(ROW()-3&gt;MAX($IU$4:$IU$40),"",INDEX($DA$4:$DA$40,MATCH(ROW()-3,$IU$4:$IU$40,0)))</f>
        <v/>
      </c>
      <c r="IW21">
        <f>IF(COUNTIF('Live Search'!BM$20:CF$20,0)+COUNTIF('Live Search'!CH$20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IX21">
        <f>IF($DF$21="",FALSE,SUMPRODUCT(('Final Calculation Sheet'!$T$4:$T$40=$DF$21)*($IW$6:$IW$42=1))&gt;0)</f>
        <v/>
      </c>
      <c r="IY21">
        <f>$IY$20+--($IX21)</f>
        <v/>
      </c>
      <c r="IZ21">
        <f>IF(ROW()-3&gt;MAX($IY$4:$IY$40),"",INDEX($DF$4:$DF$40,MATCH(ROW()-3,$IY$4:$IY$40,0)))</f>
        <v/>
      </c>
      <c r="JA21">
        <f>IF(COUNTIF('Live Search'!BM$20:CG$20,0)+COUNTIF('Live Search'!CI$20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B21">
        <f>IF($DK$21="",FALSE,SUMPRODUCT(('Final Calculation Sheet'!$U$4:$U$40=$DK$21)*($JA$6:$JA$42=1))&gt;0)</f>
        <v/>
      </c>
      <c r="JC21">
        <f>$JC$20+--($JB21)</f>
        <v/>
      </c>
      <c r="JD21">
        <f>IF(ROW()-3&gt;MAX($JC$4:$JC$40),"",INDEX($DK$4:$DK$40,MATCH(ROW()-3,$JC$4:$JC$40,0)))</f>
        <v/>
      </c>
      <c r="JE21">
        <f>IF(COUNTIF('Live Search'!BM$20:CH$20,0)+COUNTIF('Live Search'!CJ$20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F21">
        <f>IF($DP$21="",FALSE,SUMPRODUCT(('Final Calculation Sheet'!$V$4:$V$40=$DP$21)*($JE$6:$JE$42=1))&gt;0)</f>
        <v/>
      </c>
      <c r="JG21">
        <f>$JG$20+--($JF21)</f>
        <v/>
      </c>
      <c r="JH21">
        <f>IF(ROW()-3&gt;MAX($JG$4:$JG$40),"",INDEX($DP$4:$DP$40,MATCH(ROW()-3,$JG$4:$JG$40,0)))</f>
        <v/>
      </c>
      <c r="JI21">
        <f>IF(COUNTIF('Live Search'!BM$20:CI$20,0)+COUNTIF('Live Search'!CK$20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J21">
        <f>IF($DU$21="",FALSE,SUMPRODUCT(('Final Calculation Sheet'!$W$4:$W$40=$DU$21)*($JI$6:$JI$42=1))&gt;0)</f>
        <v/>
      </c>
      <c r="JK21">
        <f>$JK$20+--($JJ21)</f>
        <v/>
      </c>
      <c r="JL21">
        <f>IF(ROW()-3&gt;MAX($JK$4:$JK$40),"",INDEX($DU$4:$DU$40,MATCH(ROW()-3,$JK$4:$JK$40,0)))</f>
        <v/>
      </c>
      <c r="JM21">
        <f>IF(COUNTIF('Live Search'!BM$20:CJ$20,0)+COUNTIF('Live Search'!CL$20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N21">
        <f>IF($DZ$21="",FALSE,SUMPRODUCT(('Final Calculation Sheet'!$X$4:$X$40=$DZ$21)*($JM$6:$JM$42=1))&gt;0)</f>
        <v/>
      </c>
      <c r="JO21">
        <f>$JO$20+--($JN21)</f>
        <v/>
      </c>
      <c r="JP21">
        <f>IF(ROW()-3&gt;MAX($JO$4:$JO$40),"",INDEX($DZ$4:$DZ$40,MATCH(ROW()-3,$JO$4:$JO$40,0)))</f>
        <v/>
      </c>
      <c r="JQ21">
        <f>IF(COUNTIF('Live Search'!BM$20:CK$20,0)+COUNTIF('Live Search'!C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R21">
        <f>IF($EE$21="",FALSE,SUMPRODUCT(('Final Calculation Sheet'!$Y$4:$Y$40=$EE$21)*($JQ$6:$JQ$42=1))&gt;0)</f>
        <v/>
      </c>
      <c r="JS21">
        <f>$JS$20+--($JR21)</f>
        <v/>
      </c>
      <c r="JT21">
        <f>IF(ROW()-3&gt;MAX($JS$4:$JS$40),"",INDEX($EE$4:$EE$40,MATCH(ROW()-3,$JS$4:$JS$40,0)))</f>
        <v/>
      </c>
      <c r="JU21">
        <f>IF(COUNTIF('Live Search'!BM$20:CL$20,0)+COUNTIF('Live Search'!CN$20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V21">
        <f>IF($EJ$21="",FALSE,SUMPRODUCT(('Final Calculation Sheet'!$Z$4:$Z$40=$EJ$21)*($JU$6:$JU$42=1))&gt;0)</f>
        <v/>
      </c>
      <c r="JW21">
        <f>$JW$20+--($JV21)</f>
        <v/>
      </c>
      <c r="JX21">
        <f>IF(ROW()-3&gt;MAX($JW$4:$JW$40),"",INDEX($EJ$4:$EJ$40,MATCH(ROW()-3,$JW$4:$JW$40,0)))</f>
        <v/>
      </c>
      <c r="JY21">
        <f>IF(COUNTIF('Live Search'!BM$20:CM$20,0)+COUNTIF('Live Search'!CO$20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JZ21">
        <f>IF($EO$21="",FALSE,SUMPRODUCT(('Final Calculation Sheet'!$AA$4:$AA$40=$EO$21)*($JY$6:$JY$42=1))&gt;0)</f>
        <v/>
      </c>
      <c r="KA21">
        <f>$KA$20+--($JZ21)</f>
        <v/>
      </c>
      <c r="KB21">
        <f>IF(ROW()-3&gt;MAX($KA$4:$KA$40),"",INDEX($EO$4:$EO$40,MATCH(ROW()-3,$KA$4:$KA$40,0)))</f>
        <v/>
      </c>
      <c r="KC21">
        <f>IF(COUNTIF('Live Search'!BM$20:CN$20,0)+COUNTIF('Live Search'!CP$20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D21">
        <f>IF($ET$21="",FALSE,SUMPRODUCT(('Final Calculation Sheet'!$AB$4:$AB$40=$ET$21)*($KC$6:$KC$42=1))&gt;0)</f>
        <v/>
      </c>
      <c r="KE21">
        <f>$KE$20+--($KD21)</f>
        <v/>
      </c>
      <c r="KF21">
        <f>IF(ROW()-3&gt;MAX($KE$4:$KE$40),"",INDEX($ET$4:$ET$40,MATCH(ROW()-3,$KE$4:$KE$40,0)))</f>
        <v/>
      </c>
      <c r="KG21">
        <f>IF(COUNTIF('Live Search'!BM$20:CO$20,0)+COUNTIF('Live Search'!CQ$20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H21">
        <f>IF($EY$21="",FALSE,SUMPRODUCT(('Final Calculation Sheet'!$AC$4:$AC$40=$EY$21)*($KG$6:$KG$42=1))&gt;0)</f>
        <v/>
      </c>
      <c r="KI21">
        <f>$KI$20+--($KH21)</f>
        <v/>
      </c>
      <c r="KJ21">
        <f>IF(ROW()-3&gt;MAX($KI$4:$KI$40),"",INDEX($EY$4:$EY$40,MATCH(ROW()-3,$KI$4:$KI$40,0)))</f>
        <v/>
      </c>
      <c r="KK21">
        <f>IF(COUNTIF('Live Search'!BM$20:CP$20,0)+COUNTIF('Live Search'!CR$20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L21">
        <f>IF($FD$21="",FALSE,SUMPRODUCT(('Final Calculation Sheet'!$AD$4:$AD$40=$FD$21)*($KK$6:$KK$42=1))&gt;0)</f>
        <v/>
      </c>
      <c r="KM21">
        <f>$KM$20+--($KL21)</f>
        <v/>
      </c>
      <c r="KN21">
        <f>IF(ROW()-3&gt;MAX($KM$4:$KM$40),"",INDEX($FD$4:$FD$40,MATCH(ROW()-3,$KM$4:$KM$40,0)))</f>
        <v/>
      </c>
      <c r="KO21">
        <f>IF(COUNTIF('Live Search'!BM$20:CT$20,0)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P21">
        <f>IF($FX$21="",FALSE,SUMPRODUCT((IF('Final Calculation Sheet'!$AD$4:$AD$40&lt;=5,"SETTLED","OUTSTANDING")=$FX$21)*($KO$6:$KO$42=1))&gt;0)</f>
        <v/>
      </c>
      <c r="KQ21">
        <f>$KQ$20+--($KP21)</f>
        <v/>
      </c>
      <c r="KR21">
        <f>IF(ROW()-3&gt;MAX($KQ$4:$KQ$40),"",INDEX($FX$4:$FX$40,MATCH(ROW()-3,$KQ$4:$KQ$40,0)))</f>
        <v/>
      </c>
      <c r="KS21">
        <f>IF(COUNTIF('Live Search'!BM$20:CQ$20,0)+COUNTIF('Live Search'!CS$20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T21">
        <f>IF($FI$21="",FALSE,SUMPRODUCT(('Final Calculation Sheet'!$AF$4:$AF$40=$FI$21)*($KS$6:$KS$42=1))&gt;0)</f>
        <v/>
      </c>
      <c r="KU21">
        <f>$KU$20+--($KT21)</f>
        <v/>
      </c>
      <c r="KV21">
        <f>IF(ROW()-3&gt;MAX($KU$4:$KU$40),"",INDEX($FI$4:$FI$40,MATCH(ROW()-3,$KU$4:$KU$40,0)))</f>
        <v/>
      </c>
      <c r="KW21">
        <f>IF(COUNTIF('Live Search'!BM$20:CR$20,0)+COUNTIF('Live Search'!CT$20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KX21">
        <f>IF($FN$21="",FALSE,SUMPRODUCT(('Final Calculation Sheet'!$AG$4:$AG$40=$FN$21)*($KW$6:$KW$42=1))&gt;0)</f>
        <v/>
      </c>
      <c r="KY21">
        <f>$KY$20+--($KX21)</f>
        <v/>
      </c>
      <c r="KZ21">
        <f>IF(ROW()-3&gt;MAX($KY$4:$KY$40),"",INDEX($FN$4:$FN$40,MATCH(ROW()-3,$KY$4:$KY$40,0)))</f>
        <v/>
      </c>
      <c r="LA21">
        <f>IF(COUNTIF('Live Search'!BM$20:CS$20,0)+COUNTIF('Live Search'!CU$20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LB21">
        <f>IF($FS$21="",FALSE,SUMPRODUCT(('Final Calculation Sheet'!$AH$4:$AH$40=$FS$21)*($LA$6:$LA$42=1))&gt;0)</f>
        <v/>
      </c>
      <c r="LC21">
        <f>$LC$20+--($LB21)</f>
        <v/>
      </c>
      <c r="LD21">
        <f>IF(ROW()-3&gt;MAX($LC$4:$LC$40),"",INDEX($FS$4:$FS$40,MATCH(ROW()-3,$LC$4:$LC$40,0)))</f>
        <v/>
      </c>
      <c r="LE21">
        <f>IF(COUNTIF('Buyer Groups'!DH74:EN74,0)&gt;0,0,1)</f>
        <v/>
      </c>
      <c r="LF21">
        <f>IF($O$21="",FALSE,SUMPRODUCT(('Final Calculation Sheet'!$F$4:$F$40=$O$21)*($LE$6:$LE$42=1))&gt;0)</f>
        <v/>
      </c>
      <c r="LG21">
        <f>$LG$20+--($LF21)</f>
        <v/>
      </c>
      <c r="LH21">
        <f>IF(ROW()-3&gt;MAX($LG$4:$LG$40),"",INDEX($O$4:$O$40,MATCH(ROW()-3,$LG$4:$LG$40,0)))</f>
        <v/>
      </c>
      <c r="LI21">
        <f>IF(COUNTIF('Buyer Groups'!DG74:DG74,0)+COUNTIF('Buyer Groups'!DI74:EN74,0)&gt;0,0,1)</f>
        <v/>
      </c>
      <c r="LJ21">
        <f>IF($T$21="",FALSE,SUMPRODUCT(('Final Calculation Sheet'!$G$4:$G$40=$T$21)*($LI$6:$LI$42=1))&gt;0)</f>
        <v/>
      </c>
      <c r="LK21">
        <f>$LK$20+--($LJ21)</f>
        <v/>
      </c>
      <c r="LL21">
        <f>IF(ROW()-3&gt;MAX($LK$4:$LK$40),"",INDEX($T$4:$T$40,MATCH(ROW()-3,$LK$4:$LK$40,0)))</f>
        <v/>
      </c>
      <c r="LM21">
        <f>IF(COUNTIF('Buyer Groups'!DG74:DH74,0)+COUNTIF('Buyer Groups'!DJ74:EN74,0)&gt;0,0,1)</f>
        <v/>
      </c>
      <c r="LN21">
        <f>IF($Y$21="",FALSE,SUMPRODUCT(('Final Calculation Sheet'!$B$4:$B$40=$Y$21)*($LM$6:$LM$42=1))&gt;0)</f>
        <v/>
      </c>
      <c r="LO21">
        <f>$LO$20+--($LN21)</f>
        <v/>
      </c>
      <c r="LP21">
        <f>IF(ROW()-3&gt;MAX($LO$4:$LO$40),"",INDEX($Y$4:$Y$40,MATCH(ROW()-3,$LO$4:$LO$40,0)))</f>
        <v/>
      </c>
      <c r="LQ21">
        <f>IF(COUNTIF('Buyer Groups'!DG74:DI74,0)+COUNTIF('Buyer Groups'!DK74:EN74,0)&gt;0,0,1)</f>
        <v/>
      </c>
      <c r="LR21">
        <f>IF($AD$21="",FALSE,SUMPRODUCT(('Final Calculation Sheet'!$D$4:$D$40=$AD$21)*($LQ$6:$LQ$42=1))&gt;0)</f>
        <v/>
      </c>
      <c r="LS21">
        <f>$LS$20+--($LR21)</f>
        <v/>
      </c>
      <c r="LT21">
        <f>IF(ROW()-3&gt;MAX($LS$4:$LS$40),"",INDEX($AD$4:$AD$40,MATCH(ROW()-3,$LS$4:$LS$40,0)))</f>
        <v/>
      </c>
      <c r="LU21">
        <f>IF(COUNTIF('Buyer Groups'!DG74:DJ74,0)+COUNTIF('Buyer Groups'!DL74:EN74,0)&gt;0,0,1)</f>
        <v/>
      </c>
      <c r="LV21">
        <f>IF($AI$21="",FALSE,SUMPRODUCT(('Final Calculation Sheet'!$A$4:$A$40=$AI$21)*($LU$6:$LU$42=1))&gt;0)</f>
        <v/>
      </c>
      <c r="LW21">
        <f>$LW$20+--($LV21)</f>
        <v/>
      </c>
      <c r="LX21">
        <f>IF(ROW()-3&gt;MAX($LW$4:$LW$40),"",INDEX($AI$4:$AI$40,MATCH(ROW()-3,$LW$4:$LW$40,0)))</f>
        <v/>
      </c>
      <c r="LY21">
        <f>IF(COUNTIF('Buyer Groups'!DG74:DK74,0)+COUNTIF('Buyer Groups'!DM74:EN74,0)&gt;0,0,1)</f>
        <v/>
      </c>
      <c r="LZ21">
        <f>IF($AN$21="",FALSE,SUMPRODUCT(('Final Calculation Sheet'!$E$4:$E$40=$AN$21)*($LY$6:$LY$42=1))&gt;0)</f>
        <v/>
      </c>
      <c r="MA21">
        <f>$MA$20+--($LZ21)</f>
        <v/>
      </c>
      <c r="MB21">
        <f>IF(ROW()-3&gt;MAX($MA$4:$MA$40),"",INDEX($AN$4:$AN$40,MATCH(ROW()-3,$MA$4:$MA$40,0)))</f>
        <v/>
      </c>
      <c r="MC21">
        <f>IF(COUNTIF('Buyer Groups'!DG74:DL74,0)+COUNTIF('Buyer Groups'!DN74:EN74,0)&gt;0,0,1)</f>
        <v/>
      </c>
      <c r="MD21">
        <f>IF($AS$21="",FALSE,SUMPRODUCT(('Final Calculation Sheet'!$C$4:$C$40=$AS$21)*($MC$6:$MC$42=1))&gt;0)</f>
        <v/>
      </c>
      <c r="ME21">
        <f>$ME$20+--($MD21)</f>
        <v/>
      </c>
      <c r="MF21">
        <f>IF(ROW()-3&gt;MAX($ME$4:$ME$40),"",INDEX($AS$4:$AS$40,MATCH(ROW()-3,$ME$4:$ME$40,0)))</f>
        <v/>
      </c>
      <c r="MG21">
        <f>IF(COUNTIF('Buyer Groups'!DG74:DM74,0)+COUNTIF('Buyer Groups'!DO74:EN74,0)&gt;0,0,1)</f>
        <v/>
      </c>
      <c r="MH21">
        <f>IF($AX$21="",FALSE,SUMPRODUCT(('Final Calculation Sheet'!$H$4:$H$40=$AX$21)*($MG$6:$MG$42=1))&gt;0)</f>
        <v/>
      </c>
      <c r="MI21">
        <f>$MI$20+--($MH21)</f>
        <v/>
      </c>
      <c r="MJ21">
        <f>IF(ROW()-3&gt;MAX($MI$4:$MI$40),"",INDEX($AX$4:$AX$40,MATCH(ROW()-3,$MI$4:$MI$40,0)))</f>
        <v/>
      </c>
      <c r="MK21">
        <f>IF(COUNTIF('Buyer Groups'!DG74:DN74,0)+COUNTIF('Buyer Groups'!DP74:EN74,0)&gt;0,0,1)</f>
        <v/>
      </c>
      <c r="ML21">
        <f>IF($BC$21="",FALSE,SUMPRODUCT(('Final Calculation Sheet'!$I$4:$I$40=$BC$21)*($MK$6:$MK$42=1))&gt;0)</f>
        <v/>
      </c>
      <c r="MM21">
        <f>$MM$20+--($ML21)</f>
        <v/>
      </c>
      <c r="MN21">
        <f>IF(ROW()-3&gt;MAX($MM$4:$MM$40),"",INDEX($BC$4:$BC$40,MATCH(ROW()-3,$MM$4:$MM$40,0)))</f>
        <v/>
      </c>
      <c r="MO21">
        <f>IF(COUNTIF('Buyer Groups'!DG74:DO74,0)+COUNTIF('Buyer Groups'!DQ74:EN74,0)&gt;0,0,1)</f>
        <v/>
      </c>
      <c r="MP21">
        <f>IF($BH$21="",FALSE,SUMPRODUCT(('Final Calculation Sheet'!$J$4:$J$40=$BH$21)*($MO$6:$MO$42=1))&gt;0)</f>
        <v/>
      </c>
      <c r="MQ21">
        <f>$MQ$20+--($MP21)</f>
        <v/>
      </c>
      <c r="MR21">
        <f>IF(ROW()-3&gt;MAX($MQ$4:$MQ$40),"",INDEX($BH$4:$BH$40,MATCH(ROW()-3,$MQ$4:$MQ$40,0)))</f>
        <v/>
      </c>
      <c r="MS21">
        <f>IF(COUNTIF('Buyer Groups'!DG74:DP74,0)+COUNTIF('Buyer Groups'!DR74:EN74,0)&gt;0,0,1)</f>
        <v/>
      </c>
      <c r="MT21">
        <f>IF($BM$21="",FALSE,SUMPRODUCT(('Final Calculation Sheet'!$K$4:$K$40=$BM$21)*($MS$6:$MS$42=1))&gt;0)</f>
        <v/>
      </c>
      <c r="MU21">
        <f>$MU$20+--($MT21)</f>
        <v/>
      </c>
      <c r="MV21">
        <f>IF(ROW()-3&gt;MAX($MU$4:$MU$40),"",INDEX($BM$4:$BM$40,MATCH(ROW()-3,$MU$4:$MU$40,0)))</f>
        <v/>
      </c>
      <c r="MW21">
        <f>IF(COUNTIF('Buyer Groups'!DG74:DQ74,0)+COUNTIF('Buyer Groups'!DS74:EN74,0)&gt;0,0,1)</f>
        <v/>
      </c>
      <c r="MX21">
        <f>IF($BR$21="",FALSE,SUMPRODUCT(('Final Calculation Sheet'!$L$4:$L$40=$BR$21)*($MW$6:$MW$42=1))&gt;0)</f>
        <v/>
      </c>
      <c r="MY21">
        <f>$MY$20+--($MX21)</f>
        <v/>
      </c>
      <c r="MZ21">
        <f>IF(ROW()-3&gt;MAX($MY$4:$MY$40),"",INDEX($BR$4:$BR$40,MATCH(ROW()-3,$MY$4:$MY$40,0)))</f>
        <v/>
      </c>
      <c r="NA21">
        <f>IF(COUNTIF('Buyer Groups'!DG74:DR74,0)+COUNTIF('Buyer Groups'!DT74:EN74,0)&gt;0,0,1)</f>
        <v/>
      </c>
      <c r="NB21">
        <f>IF($BW$21="",FALSE,SUMPRODUCT(('Final Calculation Sheet'!$M$4:$M$40=$BW$21)*($NA$6:$NA$42=1))&gt;0)</f>
        <v/>
      </c>
      <c r="NC21">
        <f>$NC$20+--($NB21)</f>
        <v/>
      </c>
      <c r="ND21">
        <f>IF(ROW()-3&gt;MAX($NC$4:$NC$40),"",INDEX($BW$4:$BW$40,MATCH(ROW()-3,$NC$4:$NC$40,0)))</f>
        <v/>
      </c>
      <c r="NE21">
        <f>IF(COUNTIF('Buyer Groups'!DG74:DS74,0)+COUNTIF('Buyer Groups'!DU74:EN74,0)&gt;0,0,1)</f>
        <v/>
      </c>
      <c r="NF21">
        <f>IF($CB$21="",FALSE,SUMPRODUCT(('Final Calculation Sheet'!$N$4:$N$40=$CB$21)*($NE$6:$NE$42=1))&gt;0)</f>
        <v/>
      </c>
      <c r="NG21">
        <f>$NG$20+--($NF21)</f>
        <v/>
      </c>
      <c r="NH21">
        <f>IF(ROW()-3&gt;MAX($NG$4:$NG$40),"",INDEX($CB$4:$CB$40,MATCH(ROW()-3,$NG$4:$NG$40,0)))</f>
        <v/>
      </c>
      <c r="NI21">
        <f>IF(COUNTIF('Buyer Groups'!DG74:DT74,0)+COUNTIF('Buyer Groups'!DV74:EN74,0)&gt;0,0,1)</f>
        <v/>
      </c>
      <c r="NJ21">
        <f>IF($CG$21="",FALSE,SUMPRODUCT(('Final Calculation Sheet'!$O$4:$O$40=$CG$21)*($NI$6:$NI$42=1))&gt;0)</f>
        <v/>
      </c>
      <c r="NK21">
        <f>$NK$20+--($NJ21)</f>
        <v/>
      </c>
      <c r="NL21">
        <f>IF(ROW()-3&gt;MAX($NK$4:$NK$40),"",INDEX($CG$4:$CG$40,MATCH(ROW()-3,$NK$4:$NK$40,0)))</f>
        <v/>
      </c>
      <c r="NM21">
        <f>IF(COUNTIF('Buyer Groups'!DG74:DU74,0)+COUNTIF('Buyer Groups'!DW74:EN74,0)&gt;0,0,1)</f>
        <v/>
      </c>
      <c r="NN21">
        <f>IF($CL$21="",FALSE,SUMPRODUCT(('Final Calculation Sheet'!$P$4:$P$40=$CL$21)*($NM$6:$NM$42=1))&gt;0)</f>
        <v/>
      </c>
      <c r="NO21">
        <f>$NO$20+--($NN21)</f>
        <v/>
      </c>
      <c r="NP21">
        <f>IF(ROW()-3&gt;MAX($NO$4:$NO$40),"",INDEX($CL$4:$CL$40,MATCH(ROW()-3,$NO$4:$NO$40,0)))</f>
        <v/>
      </c>
      <c r="NQ21">
        <f>IF(COUNTIF('Buyer Groups'!DG74:DV74,0)+COUNTIF('Buyer Groups'!DX74:EN74,0)&gt;0,0,1)</f>
        <v/>
      </c>
      <c r="NR21">
        <f>IF($CQ$21="",FALSE,SUMPRODUCT(('Final Calculation Sheet'!$Q$4:$Q$40=$CQ$21)*($NQ$6:$NQ$42=1))&gt;0)</f>
        <v/>
      </c>
      <c r="NS21">
        <f>$NS$20+--($NR21)</f>
        <v/>
      </c>
      <c r="NT21">
        <f>IF(ROW()-3&gt;MAX($NS$4:$NS$40),"",INDEX($CQ$4:$CQ$40,MATCH(ROW()-3,$NS$4:$NS$40,0)))</f>
        <v/>
      </c>
      <c r="NU21">
        <f>IF(COUNTIF('Buyer Groups'!DG74:DW74,0)+COUNTIF('Buyer Groups'!DY74:EN74,0)&gt;0,0,1)</f>
        <v/>
      </c>
      <c r="NV21">
        <f>IF($CV$21="",FALSE,SUMPRODUCT(('Final Calculation Sheet'!$R$4:$R$40=$CV$21)*($NU$6:$NU$42=1))&gt;0)</f>
        <v/>
      </c>
      <c r="NW21">
        <f>$NW$20+--($NV21)</f>
        <v/>
      </c>
      <c r="NX21">
        <f>IF(ROW()-3&gt;MAX($NW$4:$NW$40),"",INDEX($CV$4:$CV$40,MATCH(ROW()-3,$NW$4:$NW$40,0)))</f>
        <v/>
      </c>
      <c r="NY21">
        <f>IF(COUNTIF('Buyer Groups'!DG74:DX74,0)+COUNTIF('Buyer Groups'!DZ74:EN74,0)&gt;0,0,1)</f>
        <v/>
      </c>
      <c r="NZ21">
        <f>IF($DA$21="",FALSE,SUMPRODUCT(('Final Calculation Sheet'!$S$4:$S$40=$DA$21)*($NY$6:$NY$42=1))&gt;0)</f>
        <v/>
      </c>
      <c r="OA21">
        <f>$OA$20+--($NZ21)</f>
        <v/>
      </c>
      <c r="OB21">
        <f>IF(ROW()-3&gt;MAX($OA$4:$OA$40),"",INDEX($DA$4:$DA$40,MATCH(ROW()-3,$OA$4:$OA$40,0)))</f>
        <v/>
      </c>
      <c r="OC21">
        <f>IF(COUNTIF('Buyer Groups'!DG74:DY74,0)+COUNTIF('Buyer Groups'!EA74:EN74,0)&gt;0,0,1)</f>
        <v/>
      </c>
      <c r="OD21">
        <f>IF($DF$21="",FALSE,SUMPRODUCT(('Final Calculation Sheet'!$T$4:$T$40=$DF$21)*($OC$6:$OC$42=1))&gt;0)</f>
        <v/>
      </c>
      <c r="OE21">
        <f>$OE$20+--($OD21)</f>
        <v/>
      </c>
      <c r="OF21">
        <f>IF(ROW()-3&gt;MAX($OE$4:$OE$40),"",INDEX($DF$4:$DF$40,MATCH(ROW()-3,$OE$4:$OE$40,0)))</f>
        <v/>
      </c>
      <c r="OG21">
        <f>IF(COUNTIF('Buyer Groups'!DG74:DZ74,0)+COUNTIF('Buyer Groups'!EB74:EN74,0)&gt;0,0,1)</f>
        <v/>
      </c>
      <c r="OH21">
        <f>IF($DK$21="",FALSE,SUMPRODUCT(('Final Calculation Sheet'!$U$4:$U$40=$DK$21)*($OG$6:$OG$42=1))&gt;0)</f>
        <v/>
      </c>
      <c r="OI21">
        <f>$OI$20+--($OH21)</f>
        <v/>
      </c>
      <c r="OJ21">
        <f>IF(ROW()-3&gt;MAX($OI$4:$OI$40),"",INDEX($DK$4:$DK$40,MATCH(ROW()-3,$OI$4:$OI$40,0)))</f>
        <v/>
      </c>
      <c r="OK21">
        <f>IF(COUNTIF('Buyer Groups'!DG74:EA74,0)+COUNTIF('Buyer Groups'!EC74:EN74,0)&gt;0,0,1)</f>
        <v/>
      </c>
      <c r="OL21">
        <f>IF($DP$21="",FALSE,SUMPRODUCT(('Final Calculation Sheet'!$V$4:$V$40=$DP$21)*($OK$6:$OK$42=1))&gt;0)</f>
        <v/>
      </c>
      <c r="OM21">
        <f>$OM$20+--($OL21)</f>
        <v/>
      </c>
      <c r="ON21">
        <f>IF(ROW()-3&gt;MAX($OM$4:$OM$40),"",INDEX($DP$4:$DP$40,MATCH(ROW()-3,$OM$4:$OM$40,0)))</f>
        <v/>
      </c>
      <c r="OO21">
        <f>IF(COUNTIF('Buyer Groups'!DG74:EB74,0)+COUNTIF('Buyer Groups'!ED74:EN74,0)&gt;0,0,1)</f>
        <v/>
      </c>
      <c r="OP21">
        <f>IF($DU$21="",FALSE,SUMPRODUCT(('Final Calculation Sheet'!$W$4:$W$40=$DU$21)*($OO$6:$OO$42=1))&gt;0)</f>
        <v/>
      </c>
      <c r="OQ21">
        <f>$OQ$20+--($OP21)</f>
        <v/>
      </c>
      <c r="OR21">
        <f>IF(ROW()-3&gt;MAX($OQ$4:$OQ$40),"",INDEX($DU$4:$DU$40,MATCH(ROW()-3,$OQ$4:$OQ$40,0)))</f>
        <v/>
      </c>
      <c r="OS21">
        <f>IF(COUNTIF('Buyer Groups'!DG74:EC74,0)+COUNTIF('Buyer Groups'!EE74:EN74,0)&gt;0,0,1)</f>
        <v/>
      </c>
      <c r="OT21">
        <f>IF($DZ$21="",FALSE,SUMPRODUCT(('Final Calculation Sheet'!$X$4:$X$40=$DZ$21)*($OS$6:$OS$42=1))&gt;0)</f>
        <v/>
      </c>
      <c r="OU21">
        <f>$OU$20+--($OT21)</f>
        <v/>
      </c>
      <c r="OV21">
        <f>IF(ROW()-3&gt;MAX($OU$4:$OU$40),"",INDEX($DZ$4:$DZ$40,MATCH(ROW()-3,$OU$4:$OU$40,0)))</f>
        <v/>
      </c>
      <c r="OW21">
        <f>IF(COUNTIF('Buyer Groups'!DG74:ED74,0)+COUNTIF('Buyer Groups'!EF74:EN74,0)&gt;0,0,1)</f>
        <v/>
      </c>
      <c r="OX21">
        <f>IF($EE$21="",FALSE,SUMPRODUCT(('Final Calculation Sheet'!$Y$4:$Y$40=$EE$21)*($OW$6:$OW$42=1))&gt;0)</f>
        <v/>
      </c>
      <c r="OY21">
        <f>$OY$20+--($OX21)</f>
        <v/>
      </c>
      <c r="OZ21">
        <f>IF(ROW()-3&gt;MAX($OY$4:$OY$40),"",INDEX($EE$4:$EE$40,MATCH(ROW()-3,$OY$4:$OY$40,0)))</f>
        <v/>
      </c>
      <c r="PA21">
        <f>IF(COUNTIF('Buyer Groups'!DG74:EE74,0)+COUNTIF('Buyer Groups'!EG74:EN74,0)&gt;0,0,1)</f>
        <v/>
      </c>
      <c r="PB21">
        <f>IF($EJ$21="",FALSE,SUMPRODUCT(('Final Calculation Sheet'!$Z$4:$Z$40=$EJ$21)*($PA$6:$PA$42=1))&gt;0)</f>
        <v/>
      </c>
      <c r="PC21">
        <f>$PC$20+--($PB21)</f>
        <v/>
      </c>
      <c r="PD21">
        <f>IF(ROW()-3&gt;MAX($PC$4:$PC$40),"",INDEX($EJ$4:$EJ$40,MATCH(ROW()-3,$PC$4:$PC$40,0)))</f>
        <v/>
      </c>
      <c r="PE21">
        <f>IF(COUNTIF('Buyer Groups'!DG74:EF74,0)+COUNTIF('Buyer Groups'!EH74:EN74,0)&gt;0,0,1)</f>
        <v/>
      </c>
      <c r="PF21">
        <f>IF($EO$21="",FALSE,SUMPRODUCT(('Final Calculation Sheet'!$AA$4:$AA$40=$EO$21)*($PE$6:$PE$42=1))&gt;0)</f>
        <v/>
      </c>
      <c r="PG21">
        <f>$PG$20+--($PF21)</f>
        <v/>
      </c>
      <c r="PH21">
        <f>IF(ROW()-3&gt;MAX($PG$4:$PG$40),"",INDEX($EO$4:$EO$40,MATCH(ROW()-3,$PG$4:$PG$40,0)))</f>
        <v/>
      </c>
      <c r="PI21">
        <f>IF(COUNTIF('Buyer Groups'!DG74:EG74,0)+COUNTIF('Buyer Groups'!EI74:EN74,0)&gt;0,0,1)</f>
        <v/>
      </c>
      <c r="PJ21">
        <f>IF($ET$21="",FALSE,SUMPRODUCT(('Final Calculation Sheet'!$AB$4:$AB$40=$ET$21)*($PI$6:$PI$42=1))&gt;0)</f>
        <v/>
      </c>
      <c r="PK21">
        <f>$PK$20+--($PJ21)</f>
        <v/>
      </c>
      <c r="PL21">
        <f>IF(ROW()-3&gt;MAX($PK$4:$PK$40),"",INDEX($ET$4:$ET$40,MATCH(ROW()-3,$PK$4:$PK$40,0)))</f>
        <v/>
      </c>
      <c r="PM21">
        <f>IF(COUNTIF('Buyer Groups'!DG74:EH74,0)+COUNTIF('Buyer Groups'!EJ74:EN74,0)&gt;0,0,1)</f>
        <v/>
      </c>
      <c r="PN21">
        <f>IF($EY$21="",FALSE,SUMPRODUCT(('Final Calculation Sheet'!$AC$4:$AC$40=$EY$21)*($PM$6:$PM$42=1))&gt;0)</f>
        <v/>
      </c>
      <c r="PO21">
        <f>$PO$20+--($PN21)</f>
        <v/>
      </c>
      <c r="PP21">
        <f>IF(ROW()-3&gt;MAX($PO$4:$PO$40),"",INDEX($EY$4:$EY$40,MATCH(ROW()-3,$PO$4:$PO$40,0)))</f>
        <v/>
      </c>
      <c r="PQ21">
        <f>IF(COUNTIF('Buyer Groups'!DG74:EI74,0)+COUNTIF('Buyer Groups'!EK74:EN74,0)&gt;0,0,1)</f>
        <v/>
      </c>
      <c r="PR21">
        <f>IF($FD$21="",FALSE,SUMPRODUCT(('Final Calculation Sheet'!$AD$4:$AD$40=$FD$21)*($PQ$6:$PQ$42=1))&gt;0)</f>
        <v/>
      </c>
      <c r="PS21">
        <f>$PS$20+--($PR21)</f>
        <v/>
      </c>
      <c r="PT21">
        <f>IF(ROW()-3&gt;MAX($PS$4:$PS$40),"",INDEX($FD$4:$FD$40,MATCH(ROW()-3,$PS$4:$PS$40,0)))</f>
        <v/>
      </c>
      <c r="PU21">
        <f>IF(COUNTIF('Buyer Groups'!DG74:EJ74,0)+COUNTIF('Buyer Groups'!EL74:EN74,0)&gt;0,0,1)</f>
        <v/>
      </c>
      <c r="PV21">
        <f>IF($FX$21="",FALSE,SUMPRODUCT((IF('Final Calculation Sheet'!$AD$4:$AD$40&lt;=5,"SETTLED","OUTSTANDING")=$FX$21)*($PU$6:$PU$42=1))&gt;0)</f>
        <v/>
      </c>
      <c r="PW21">
        <f>$PW$20+--($PV21)</f>
        <v/>
      </c>
      <c r="PX21">
        <f>IF(ROW()-3&gt;MAX($PW$4:$PW$40),"",INDEX($FX$4:$FX$40,MATCH(ROW()-3,$PW$4:$PW$40,0)))</f>
        <v/>
      </c>
      <c r="PY21">
        <f>IF(COUNTIF('Buyer Groups'!DG74:EK74,0)+COUNTIF('Buyer Groups'!EM74:EN74,0)&gt;0,0,1)</f>
        <v/>
      </c>
      <c r="PZ21">
        <f>IF($FI$21="",FALSE,SUMPRODUCT(('Final Calculation Sheet'!$AF$4:$AF$40=$FI$21)*($PY$6:$PY$42=1))&gt;0)</f>
        <v/>
      </c>
      <c r="QA21">
        <f>$QA$20+--($PZ21)</f>
        <v/>
      </c>
      <c r="QB21">
        <f>IF(ROW()-3&gt;MAX($QA$4:$QA$40),"",INDEX($FI$4:$FI$40,MATCH(ROW()-3,$QA$4:$QA$40,0)))</f>
        <v/>
      </c>
      <c r="QC21">
        <f>IF(COUNTIF('Buyer Groups'!DG74:EL74,0)+COUNTIF('Buyer Groups'!EN74:EN74,0)&gt;0,0,1)</f>
        <v/>
      </c>
      <c r="QD21">
        <f>IF($FN$21="",FALSE,SUMPRODUCT(('Final Calculation Sheet'!$AG$4:$AG$40=$FN$21)*($QC$6:$QC$42=1))&gt;0)</f>
        <v/>
      </c>
      <c r="QE21">
        <f>$QE$20+--($QD21)</f>
        <v/>
      </c>
      <c r="QF21">
        <f>IF(ROW()-3&gt;MAX($QE$4:$QE$40),"",INDEX($FN$4:$FN$40,MATCH(ROW()-3,$QE$4:$QE$40,0)))</f>
        <v/>
      </c>
      <c r="QG21">
        <f>IF(COUNTIF('Buyer Groups'!DG74:EM74,0)&gt;0,0,1)</f>
        <v/>
      </c>
      <c r="QH21">
        <f>IF($FS$21="",FALSE,SUMPRODUCT(('Final Calculation Sheet'!$AH$4:$AH$40=$FS$21)*($QG$6:$QG$42=1))&gt;0)</f>
        <v/>
      </c>
      <c r="QI21">
        <f>$QI$20+--($QH21)</f>
        <v/>
      </c>
      <c r="QJ21">
        <f>IF(ROW()-3&gt;MAX($QI$4:$QI$40),"",INDEX($FS$4:$FS$40,MATCH(ROW()-3,$QI$4:$QI$40,0)))</f>
        <v/>
      </c>
      <c r="QK21" t="str">
        <f>IF('Final Calculation Sheet'!$AH$21="","",'Final Calculation Sheet'!$AH$21)</f>
      </c>
      <c r="QL21" t="str">
        <f>IF(QK21="","",COUNTIFS(QK$4:QK$40,"&lt;"&amp;QK21,QK$4:QK$40,"&lt;&gt;"&amp;"")+COUNTIF(QK$4:QK21,QK21))</f>
      </c>
      <c r="QM21" t="str">
        <f>IF(ROW()-3&gt;COUNTIF(QK$4:QK$40,"&lt;&gt;"&amp;""),"",INDEX(QK$4:QK$40,MATCH(ROW()-3,QL$4:QL$40,0)))</f>
      </c>
      <c r="QN21" t="str">
        <f>=QN20+F(AND(QM21&lt;&gt;"",COUNTIF(QM$4:QM21,QM21)=1),1,0)</f>
      </c>
      <c r="QO21" t="str">
        <f>IF(ROW()-3&gt;MAX(QN$4:QN$40),"",INDEX(QM$4:QM$40,MATCH(ROW()-3,QN$4:QN$40,0)))</f>
      </c>
      <c r="QP21" t="str">
        <f>IF(COUNTIF('Final Calculation Sheet'!$AM21:$BS21,0)&gt;0,0,1)</f>
      </c>
      <c r="QQ21" t="str">
        <f>IF($AI$21="",FALSE,SUMPRODUCT(('Final Calculation Sheet'!$A$4:$A$40=$AI$21)*($QP$4:$QP$40=1))&gt;0)</f>
      </c>
      <c r="QR21" t="str">
        <f>=$QR20+--($QQ21)</f>
      </c>
      <c r="QS21" t="str">
        <f>IF(ROW()-3&gt;MAX($QR$4:$QR$40),"",INDEX($AI$4:$AI$40,MATCH(ROW()-3,$QR$4:$QR$40,0)))</f>
      </c>
      <c r="QT21" t="str">
        <f>IF(COUNTIF('Final Calculation Sheet'!$AL21:$AL21,0)+COUNTIF('Final Calculation Sheet'!$AN21:$BS21,0)&gt;0,0,1)</f>
      </c>
      <c r="QU21" t="str">
        <f>IF($Y$21="",FALSE,SUMPRODUCT(('Final Calculation Sheet'!$B$4:$B$40=$Y$21)*($QT$4:$QT$40=1))&gt;0)</f>
      </c>
      <c r="QV21" t="str">
        <f>=$QV20+--($QU21)</f>
      </c>
      <c r="QW21" t="str">
        <f>IF(ROW()-3&gt;MAX($QV$4:$QV$40),"",INDEX($Y$4:$Y$40,MATCH(ROW()-3,$QV$4:$QV$40,0)))</f>
      </c>
      <c r="QX21" t="str">
        <f>IF(COUNTIF('Final Calculation Sheet'!$AL21:$AM21,0)+COUNTIF('Final Calculation Sheet'!$AO21:$BS21,0)&gt;0,0,1)</f>
      </c>
      <c r="QY21" t="str">
        <f>IF($AS$21="",FALSE,SUMPRODUCT(('Final Calculation Sheet'!$C$4:$C$40=$AS$21)*($QX$4:$QX$40=1))&gt;0)</f>
      </c>
      <c r="QZ21" t="str">
        <f>=$QZ20+--($QY21)</f>
      </c>
      <c r="RA21" t="str">
        <f>IF(ROW()-3&gt;MAX($QZ$4:$QZ$40),"",INDEX($AS$4:$AS$40,MATCH(ROW()-3,$QZ$4:$QZ$40,0)))</f>
      </c>
      <c r="RB21" t="str">
        <f>IF(COUNTIF('Final Calculation Sheet'!$AL21:$AN21,0)+COUNTIF('Final Calculation Sheet'!$AP21:$BS21,0)&gt;0,0,1)</f>
      </c>
      <c r="RC21" t="str">
        <f>IF($AD$21="",FALSE,SUMPRODUCT(('Final Calculation Sheet'!$D$4:$D$40=$AD$21)*($RB$4:$RB$40=1))&gt;0)</f>
      </c>
      <c r="RD21" t="str">
        <f>=$RD20+--($RC21)</f>
      </c>
      <c r="RE21" t="str">
        <f>IF(ROW()-3&gt;MAX($RD$4:$RD$40),"",INDEX($AD$4:$AD$40,MATCH(ROW()-3,$RD$4:$RD$40,0)))</f>
      </c>
      <c r="RF21" t="str">
        <f>IF(COUNTIF('Final Calculation Sheet'!$AL21:$AO21,0)+COUNTIF('Final Calculation Sheet'!$AQ21:$BS21,0)&gt;0,0,1)</f>
      </c>
      <c r="RG21" t="str">
        <f>IF($AN$21="",FALSE,SUMPRODUCT(('Final Calculation Sheet'!$E$4:$E$40=$AN$21)*($RF$4:$RF$40=1))&gt;0)</f>
      </c>
      <c r="RH21" t="str">
        <f>=$RH20+--($RG21)</f>
      </c>
      <c r="RI21" t="str">
        <f>IF(ROW()-3&gt;MAX($RH$4:$RH$40),"",INDEX($AN$4:$AN$40,MATCH(ROW()-3,$RH$4:$RH$40,0)))</f>
      </c>
      <c r="RJ21" t="str">
        <f>IF(COUNTIF('Final Calculation Sheet'!$AL21:$AP21,0)+COUNTIF('Final Calculation Sheet'!$AR21:$BS21,0)&gt;0,0,1)</f>
      </c>
      <c r="RK21" t="str">
        <f>IF($O$21="",FALSE,SUMPRODUCT(('Final Calculation Sheet'!$F$4:$F$40=$O$21)*($RJ$4:$RJ$40=1))&gt;0)</f>
      </c>
      <c r="RL21" t="str">
        <f>=$RL20+--($RK21)</f>
      </c>
      <c r="RM21" t="str">
        <f>IF(ROW()-3&gt;MAX($RL$4:$RL$40),"",INDEX($O$4:$O$40,MATCH(ROW()-3,$RL$4:$RL$40,0)))</f>
      </c>
      <c r="RN21" t="str">
        <f>IF(COUNTIF('Final Calculation Sheet'!$AL21:$AQ21,0)+COUNTIF('Final Calculation Sheet'!$AS21:$BS21,0)&gt;0,0,1)</f>
      </c>
      <c r="RO21" t="str">
        <f>IF($T$21="",FALSE,SUMPRODUCT(('Final Calculation Sheet'!$G$4:$G$40=$T$21)*($RN$4:$RN$40=1))&gt;0)</f>
      </c>
      <c r="RP21" t="str">
        <f>=$RP20+--($RO21)</f>
      </c>
      <c r="RQ21" t="str">
        <f>IF(ROW()-3&gt;MAX($RP$4:$RP$40),"",INDEX($T$4:$T$40,MATCH(ROW()-3,$RP$4:$RP$40,0)))</f>
      </c>
      <c r="RR21" t="str">
        <f>IF(COUNTIF('Final Calculation Sheet'!$AL21:$AR21,0)+COUNTIF('Final Calculation Sheet'!$AT21:$BS21,0)&gt;0,0,1)</f>
      </c>
      <c r="RS21" t="str">
        <f>IF($AX$21="",FALSE,SUMPRODUCT(('Final Calculation Sheet'!$H$4:$H$40=$AX$21)*($RR$4:$RR$40=1))&gt;0)</f>
      </c>
      <c r="RT21" t="str">
        <f>=$RT20+--($RS21)</f>
      </c>
      <c r="RU21" t="str">
        <f>IF(ROW()-3&gt;MAX($RT$4:$RT$40),"",INDEX($AX$4:$AX$40,MATCH(ROW()-3,$RT$4:$RT$40,0)))</f>
      </c>
      <c r="RV21" t="str">
        <f>IF(COUNTIF('Final Calculation Sheet'!$AL21:$AS21,0)+COUNTIF('Final Calculation Sheet'!$AU21:$BS21,0)&gt;0,0,1)</f>
      </c>
      <c r="RW21" t="str">
        <f>IF($BC$21="",FALSE,SUMPRODUCT(('Final Calculation Sheet'!$I$4:$I$40=$BC$21)*($RV$4:$RV$40=1))&gt;0)</f>
      </c>
      <c r="RX21" t="str">
        <f>=$RX20+--($RW21)</f>
      </c>
      <c r="RY21" t="str">
        <f>IF(ROW()-3&gt;MAX($RX$4:$RX$40),"",INDEX($BC$4:$BC$40,MATCH(ROW()-3,$RX$4:$RX$40,0)))</f>
      </c>
      <c r="RZ21" t="str">
        <f>IF(COUNTIF('Final Calculation Sheet'!$AL21:$AT21,0)+COUNTIF('Final Calculation Sheet'!$AV21:$BS21,0)&gt;0,0,1)</f>
      </c>
      <c r="SA21" t="str">
        <f>IF($BH$21="",FALSE,SUMPRODUCT(('Final Calculation Sheet'!$J$4:$J$40=$BH$21)*($RZ$4:$RZ$40=1))&gt;0)</f>
      </c>
      <c r="SB21" t="str">
        <f>=$SB20+--($SA21)</f>
      </c>
      <c r="SC21" t="str">
        <f>IF(ROW()-3&gt;MAX($SB$4:$SB$40),"",INDEX($BH$4:$BH$40,MATCH(ROW()-3,$SB$4:$SB$40,0)))</f>
      </c>
      <c r="SD21" t="str">
        <f>IF(COUNTIF('Final Calculation Sheet'!$AL21:$AU21,0)+COUNTIF('Final Calculation Sheet'!$AW21:$BS21,0)&gt;0,0,1)</f>
      </c>
      <c r="SE21" t="str">
        <f>IF($BM$21="",FALSE,SUMPRODUCT(('Final Calculation Sheet'!$K$4:$K$40=$BM$21)*($SD$4:$SD$40=1))&gt;0)</f>
      </c>
      <c r="SF21" t="str">
        <f>=$SF20+--($SE21)</f>
      </c>
      <c r="SG21" t="str">
        <f>IF(ROW()-3&gt;MAX($SF$4:$SF$40),"",INDEX($BM$4:$BM$40,MATCH(ROW()-3,$SF$4:$SF$40,0)))</f>
      </c>
      <c r="SH21" t="str">
        <f>IF(COUNTIF('Final Calculation Sheet'!$AL21:$AV21,0)+COUNTIF('Final Calculation Sheet'!$AX21:$BS21,0)&gt;0,0,1)</f>
      </c>
      <c r="SI21" t="str">
        <f>IF($BR$21="",FALSE,SUMPRODUCT(('Final Calculation Sheet'!$L$4:$L$40=$BR$21)*($SH$4:$SH$40=1))&gt;0)</f>
      </c>
      <c r="SJ21" t="str">
        <f>=$SJ20+--($SI21)</f>
      </c>
      <c r="SK21" t="str">
        <f>IF(ROW()-3&gt;MAX($SJ$4:$SJ$40),"",INDEX($BR$4:$BR$40,MATCH(ROW()-3,$SJ$4:$SJ$40,0)))</f>
      </c>
      <c r="SL21" t="str">
        <f>IF(COUNTIF('Final Calculation Sheet'!$AL21:$AW21,0)+COUNTIF('Final Calculation Sheet'!$AY21:$BS21,0)&gt;0,0,1)</f>
      </c>
      <c r="SM21" t="str">
        <f>IF($BW$21="",FALSE,SUMPRODUCT(('Final Calculation Sheet'!$M$4:$M$40=$BW$21)*($SL$4:$SL$40=1))&gt;0)</f>
      </c>
      <c r="SN21" t="str">
        <f>=$SN20+--($SM21)</f>
      </c>
      <c r="SO21" t="str">
        <f>IF(ROW()-3&gt;MAX($SN$4:$SN$40),"",INDEX($BW$4:$BW$40,MATCH(ROW()-3,$SN$4:$SN$40,0)))</f>
      </c>
      <c r="SP21" t="str">
        <f>IF(COUNTIF('Final Calculation Sheet'!$AL21:$AX21,0)+COUNTIF('Final Calculation Sheet'!$AZ21:$BS21,0)&gt;0,0,1)</f>
      </c>
      <c r="SQ21" t="str">
        <f>IF($CB$21="",FALSE,SUMPRODUCT(('Final Calculation Sheet'!$N$4:$N$40=$CB$21)*($SP$4:$SP$40=1))&gt;0)</f>
      </c>
      <c r="SR21" t="str">
        <f>=$SR20+--($SQ21)</f>
      </c>
      <c r="SS21" t="str">
        <f>IF(ROW()-3&gt;MAX($SR$4:$SR$40),"",INDEX($CB$4:$CB$40,MATCH(ROW()-3,$SR$4:$SR$40,0)))</f>
      </c>
      <c r="ST21" t="str">
        <f>IF(COUNTIF('Final Calculation Sheet'!$AL21:$AY21,0)+COUNTIF('Final Calculation Sheet'!$BA21:$BS21,0)&gt;0,0,1)</f>
      </c>
      <c r="SU21" t="str">
        <f>IF($CG$21="",FALSE,SUMPRODUCT(('Final Calculation Sheet'!$O$4:$O$40=$CG$21)*($ST$4:$ST$40=1))&gt;0)</f>
      </c>
      <c r="SV21" t="str">
        <f>=$SV20+--($SU21)</f>
      </c>
      <c r="SW21" t="str">
        <f>IF(ROW()-3&gt;MAX($SV$4:$SV$40),"",INDEX($CG$4:$CG$40,MATCH(ROW()-3,$SV$4:$SV$40,0)))</f>
      </c>
      <c r="SX21" t="str">
        <f>IF(COUNTIF('Final Calculation Sheet'!$AL21:$AZ21,0)+COUNTIF('Final Calculation Sheet'!$BB21:$BS21,0)&gt;0,0,1)</f>
      </c>
      <c r="SY21" t="str">
        <f>IF($CL$21="",FALSE,SUMPRODUCT(('Final Calculation Sheet'!$P$4:$P$40=$CL$21)*($SX$4:$SX$40=1))&gt;0)</f>
      </c>
      <c r="SZ21" t="str">
        <f>=$SZ20+--($SY21)</f>
      </c>
      <c r="TA21" t="str">
        <f>IF(ROW()-3&gt;MAX($SZ$4:$SZ$40),"",INDEX($CL$4:$CL$40,MATCH(ROW()-3,$SZ$4:$SZ$40,0)))</f>
      </c>
      <c r="TB21" t="str">
        <f>IF(COUNTIF('Final Calculation Sheet'!$AL21:$BA21,0)+COUNTIF('Final Calculation Sheet'!$BC21:$BS21,0)&gt;0,0,1)</f>
      </c>
      <c r="TC21" t="str">
        <f>IF($CQ$21="",FALSE,SUMPRODUCT(('Final Calculation Sheet'!$Q$4:$Q$40=$CQ$21)*($TB$4:$TB$40=1))&gt;0)</f>
      </c>
      <c r="TD21" t="str">
        <f>=$TD20+--($TC21)</f>
      </c>
      <c r="TE21" t="str">
        <f>IF(ROW()-3&gt;MAX($TD$4:$TD$40),"",INDEX($CQ$4:$CQ$40,MATCH(ROW()-3,$TD$4:$TD$40,0)))</f>
      </c>
      <c r="TF21" t="str">
        <f>IF(COUNTIF('Final Calculation Sheet'!$AL21:$BB21,0)+COUNTIF('Final Calculation Sheet'!$BD21:$BS21,0)&gt;0,0,1)</f>
      </c>
      <c r="TG21" t="str">
        <f>IF($CV$21="",FALSE,SUMPRODUCT(('Final Calculation Sheet'!$R$4:$R$40=$CV$21)*($TF$4:$TF$40=1))&gt;0)</f>
      </c>
      <c r="TH21" t="str">
        <f>=$TH20+--($TG21)</f>
      </c>
      <c r="TI21" t="str">
        <f>IF(ROW()-3&gt;MAX($TH$4:$TH$40),"",INDEX($CV$4:$CV$40,MATCH(ROW()-3,$TH$4:$TH$40,0)))</f>
      </c>
      <c r="TJ21" t="str">
        <f>IF(COUNTIF('Final Calculation Sheet'!$AL21:$BC21,0)+COUNTIF('Final Calculation Sheet'!$BE21:$BS21,0)&gt;0,0,1)</f>
      </c>
      <c r="TK21" t="str">
        <f>IF($DA$21="",FALSE,SUMPRODUCT(('Final Calculation Sheet'!$S$4:$S$40=$DA$21)*($TJ$4:$TJ$40=1))&gt;0)</f>
      </c>
      <c r="TL21" t="str">
        <f>=$TL20+--($TK21)</f>
      </c>
      <c r="TM21" t="str">
        <f>IF(ROW()-3&gt;MAX($TL$4:$TL$40),"",INDEX($DA$4:$DA$40,MATCH(ROW()-3,$TL$4:$TL$40,0)))</f>
      </c>
      <c r="TN21" t="str">
        <f>IF(COUNTIF('Final Calculation Sheet'!$AL21:$BD21,0)+COUNTIF('Final Calculation Sheet'!$BF21:$BS21,0)&gt;0,0,1)</f>
      </c>
      <c r="TO21" t="str">
        <f>IF($DF$21="",FALSE,SUMPRODUCT(('Final Calculation Sheet'!$T$4:$T$40=$DF$21)*($TN$4:$TN$40=1))&gt;0)</f>
      </c>
      <c r="TP21" t="str">
        <f>=$TP20+--($TO21)</f>
      </c>
      <c r="TQ21" t="str">
        <f>IF(ROW()-3&gt;MAX($TP$4:$TP$40),"",INDEX($DF$4:$DF$40,MATCH(ROW()-3,$TP$4:$TP$40,0)))</f>
      </c>
      <c r="TR21" t="str">
        <f>IF(COUNTIF('Final Calculation Sheet'!$AL21:$BE21,0)+COUNTIF('Final Calculation Sheet'!$BG21:$BS21,0)&gt;0,0,1)</f>
      </c>
      <c r="TS21" t="str">
        <f>IF($DK$21="",FALSE,SUMPRODUCT(('Final Calculation Sheet'!$U$4:$U$40=$DK$21)*($TR$4:$TR$40=1))&gt;0)</f>
      </c>
      <c r="TT21" t="str">
        <f>=$TT20+--($TS21)</f>
      </c>
      <c r="TU21" t="str">
        <f>IF(ROW()-3&gt;MAX($TT$4:$TT$40),"",INDEX($DK$4:$DK$40,MATCH(ROW()-3,$TT$4:$TT$40,0)))</f>
      </c>
      <c r="TV21" t="str">
        <f>IF(COUNTIF('Final Calculation Sheet'!$AL21:$BF21,0)+COUNTIF('Final Calculation Sheet'!$BH21:$BS21,0)&gt;0,0,1)</f>
      </c>
      <c r="TW21" t="str">
        <f>IF($DP$21="",FALSE,SUMPRODUCT(('Final Calculation Sheet'!$V$4:$V$40=$DP$21)*($TV$4:$TV$40=1))&gt;0)</f>
      </c>
      <c r="TX21" t="str">
        <f>=$TX20+--($TW21)</f>
      </c>
      <c r="TY21" t="str">
        <f>IF(ROW()-3&gt;MAX($TX$4:$TX$40),"",INDEX($DP$4:$DP$40,MATCH(ROW()-3,$TX$4:$TX$40,0)))</f>
      </c>
      <c r="TZ21" t="str">
        <f>IF(COUNTIF('Final Calculation Sheet'!$AL21:$BG21,0)+COUNTIF('Final Calculation Sheet'!$BI21:$BS21,0)&gt;0,0,1)</f>
      </c>
      <c r="UA21" t="str">
        <f>IF($DU$21="",FALSE,SUMPRODUCT(('Final Calculation Sheet'!$W$4:$W$40=$DU$21)*($TZ$4:$TZ$40=1))&gt;0)</f>
      </c>
      <c r="UB21" t="str">
        <f>=$UB20+--($UA21)</f>
      </c>
      <c r="UC21" t="str">
        <f>IF(ROW()-3&gt;MAX($UB$4:$UB$40),"",INDEX($DU$4:$DU$40,MATCH(ROW()-3,$UB$4:$UB$40,0)))</f>
      </c>
      <c r="UD21" t="str">
        <f>IF(COUNTIF('Final Calculation Sheet'!$AL21:$BH21,0)+COUNTIF('Final Calculation Sheet'!$BJ21:$BS21,0)&gt;0,0,1)</f>
      </c>
      <c r="UE21" t="str">
        <f>IF($DZ$21="",FALSE,SUMPRODUCT(('Final Calculation Sheet'!$X$4:$X$40=$DZ$21)*($UD$4:$UD$40=1))&gt;0)</f>
      </c>
      <c r="UF21" t="str">
        <f>=$UF20+--($UE21)</f>
      </c>
      <c r="UG21" t="str">
        <f>IF(ROW()-3&gt;MAX($UF$4:$UF$40),"",INDEX($DZ$4:$DZ$40,MATCH(ROW()-3,$UF$4:$UF$40,0)))</f>
      </c>
      <c r="UH21" t="str">
        <f>IF(COUNTIF('Final Calculation Sheet'!$AL21:$BI21,0)+COUNTIF('Final Calculation Sheet'!$BK21:$BS21,0)&gt;0,0,1)</f>
      </c>
      <c r="UI21" t="str">
        <f>IF($EE$21="",FALSE,SUMPRODUCT(('Final Calculation Sheet'!$Y$4:$Y$40=$EE$21)*($UH$4:$UH$40=1))&gt;0)</f>
      </c>
      <c r="UJ21" t="str">
        <f>=$UJ20+--($UI21)</f>
      </c>
      <c r="UK21" t="str">
        <f>IF(ROW()-3&gt;MAX($UJ$4:$UJ$40),"",INDEX($EE$4:$EE$40,MATCH(ROW()-3,$UJ$4:$UJ$40,0)))</f>
      </c>
      <c r="UL21" t="str">
        <f>IF(COUNTIF('Final Calculation Sheet'!$AL21:$BJ21,0)+COUNTIF('Final Calculation Sheet'!$BL21:$BS21,0)&gt;0,0,1)</f>
      </c>
      <c r="UM21" t="str">
        <f>IF($EJ$21="",FALSE,SUMPRODUCT(('Final Calculation Sheet'!$Z$4:$Z$40=$EJ$21)*($UL$4:$UL$40=1))&gt;0)</f>
      </c>
      <c r="UN21" t="str">
        <f>=$UN20+--($UM21)</f>
      </c>
      <c r="UO21" t="str">
        <f>IF(ROW()-3&gt;MAX($UN$4:$UN$40),"",INDEX($EJ$4:$EJ$40,MATCH(ROW()-3,$UN$4:$UN$40,0)))</f>
      </c>
      <c r="UP21" t="str">
        <f>IF(COUNTIF('Final Calculation Sheet'!$AL21:$BK21,0)+COUNTIF('Final Calculation Sheet'!$BM21:$BS21,0)&gt;0,0,1)</f>
      </c>
      <c r="UQ21" t="str">
        <f>IF($EO$21="",FALSE,SUMPRODUCT(('Final Calculation Sheet'!$AA$4:$AA$40=$EO$21)*($UP$4:$UP$40=1))&gt;0)</f>
      </c>
      <c r="UR21" t="str">
        <f>=$UR20+--($UQ21)</f>
      </c>
      <c r="US21" t="str">
        <f>IF(ROW()-3&gt;MAX($UR$4:$UR$40),"",INDEX($EO$4:$EO$40,MATCH(ROW()-3,$UR$4:$UR$40,0)))</f>
      </c>
      <c r="UT21" t="str">
        <f>IF(COUNTIF('Final Calculation Sheet'!$AL21:$BL21,0)+COUNTIF('Final Calculation Sheet'!$BN21:$BS21,0)&gt;0,0,1)</f>
      </c>
      <c r="UU21" t="str">
        <f>IF($ET$21="",FALSE,SUMPRODUCT(('Final Calculation Sheet'!$AB$4:$AB$40=$ET$21)*($UT$4:$UT$40=1))&gt;0)</f>
      </c>
      <c r="UV21" t="str">
        <f>=$UV20+--($UU21)</f>
      </c>
      <c r="UW21" t="str">
        <f>IF(ROW()-3&gt;MAX($UV$4:$UV$40),"",INDEX($ET$4:$ET$40,MATCH(ROW()-3,$UV$4:$UV$40,0)))</f>
      </c>
      <c r="UX21" t="str">
        <f>IF(COUNTIF('Final Calculation Sheet'!$AL21:$BM21,0)+COUNTIF('Final Calculation Sheet'!$BO21:$BS21,0)&gt;0,0,1)</f>
      </c>
      <c r="UY21" t="str">
        <f>IF($EY$21="",FALSE,SUMPRODUCT(('Final Calculation Sheet'!$AC$4:$AC$40=$EY$21)*($UX$4:$UX$40=1))&gt;0)</f>
      </c>
      <c r="UZ21" t="str">
        <f>=$UZ20+--($UY21)</f>
      </c>
      <c r="VA21" t="str">
        <f>IF(ROW()-3&gt;MAX($UZ$4:$UZ$40),"",INDEX($EY$4:$EY$40,MATCH(ROW()-3,$UZ$4:$UZ$40,0)))</f>
      </c>
      <c r="VB21" t="str">
        <f>IF(COUNTIF('Final Calculation Sheet'!$AL21:$BN21,0)+COUNTIF('Final Calculation Sheet'!$BP21:$BS21,0)&gt;0,0,1)</f>
      </c>
      <c r="VC21" t="str">
        <f>IF($FD$21="",FALSE,SUMPRODUCT(('Final Calculation Sheet'!$AD$4:$AD$40=$FD$21)*($VB$4:$VB$40=1))&gt;0)</f>
      </c>
      <c r="VD21" t="str">
        <f>=$VD20+--($VC21)</f>
      </c>
      <c r="VE21" t="str">
        <f>IF(ROW()-3&gt;MAX($VD$4:$VD$40),"",INDEX($FD$4:$FD$40,MATCH(ROW()-3,$VD$4:$VD$40,0)))</f>
      </c>
      <c r="VF21" t="str">
        <f>IF(COUNTIF('Final Calculation Sheet'!$AL21:$BO21,0)+COUNTIF('Final Calculation Sheet'!$BQ21:$BS21,0)&gt;0,0,1)</f>
      </c>
      <c r="VG21" t="str">
        <f>IF($FI$21="",FALSE,SUMPRODUCT(('Final Calculation Sheet'!$AE$4:$AE$40=$FI$21)*($VF$4:$VF$40=1))&gt;0)</f>
      </c>
      <c r="VH21" t="str">
        <f>=$VH20+--($VG21)</f>
      </c>
      <c r="VI21" t="str">
        <f>IF(ROW()-3&gt;MAX($VH$4:$VH$40),"",INDEX($FI$4:$FI$40,MATCH(ROW()-3,$VH$4:$VH$40,0)))</f>
      </c>
      <c r="VJ21" t="str">
        <f>IF(COUNTIF('Final Calculation Sheet'!$AL21:$BP21,0)+COUNTIF('Final Calculation Sheet'!$BR21:$BS21,0)&gt;0,0,1)</f>
      </c>
      <c r="VK21" t="str">
        <f>IF($FN$21="",FALSE,SUMPRODUCT(('Final Calculation Sheet'!$AF$4:$AF$40=$FN$21)*($VJ$4:$VJ$40=1))&gt;0)</f>
      </c>
      <c r="VL21" t="str">
        <f>=$VL20+--($VK21)</f>
      </c>
      <c r="VM21" t="str">
        <f>IF(ROW()-3&gt;MAX($VL$4:$VL$40),"",INDEX($FN$4:$FN$40,MATCH(ROW()-3,$VL$4:$VL$40,0)))</f>
      </c>
      <c r="VN21" t="str">
        <f>IF(COUNTIF('Final Calculation Sheet'!$AL21:$BQ21,0)+COUNTIF('Final Calculation Sheet'!$BS21:$BS21,0)&gt;0,0,1)</f>
      </c>
      <c r="VO21" t="str">
        <f>IF($FS$21="",FALSE,SUMPRODUCT(('Final Calculation Sheet'!$AG$4:$AG$40=$FS$21)*($VN$4:$VN$40=1))&gt;0)</f>
      </c>
      <c r="VP21" t="str">
        <f>=$VP20+--($VO21)</f>
      </c>
      <c r="VQ21" t="str">
        <f>IF(ROW()-3&gt;MAX($VP$4:$VP$40),"",INDEX($FS$4:$FS$40,MATCH(ROW()-3,$VP$4:$VP$40,0)))</f>
      </c>
      <c r="VR21" t="str">
        <f>IF(COUNTIF('Final Calculation Sheet'!$AL21:$BR21,0)&gt;0,0,1)</f>
      </c>
      <c r="VS21" t="str">
        <f>IF($QO$21="",FALSE,SUMPRODUCT(('Final Calculation Sheet'!$AH$4:$AH$40=$QO$21)*($VR$4:$VR$40=1))&gt;0)</f>
      </c>
      <c r="VT21" t="str">
        <f>=$VT20+--($VS21)</f>
      </c>
      <c r="VU21" t="str">
        <f>IF(ROW()-3&gt;MAX($VT$4:$VT$40),"",INDEX($QO$4:$QO$40,MATCH(ROW()-3,$VT$4:$VT$40,0)))</f>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IF(COUNTIF('Live Search'!BM$21:BM$21,0)+COUNTIF('Live Search'!B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D22">
        <f>IF($O$22="",FALSE,SUMPRODUCT(('Final Calculation Sheet'!$F$4:$F$40=$O$22)*($GC$6:$GC$42=1))&gt;0)</f>
        <v/>
      </c>
      <c r="GE22">
        <f>$GE$21+--($GD22)</f>
        <v/>
      </c>
      <c r="GF22">
        <f>IF(ROW()-3&gt;MAX($GE$4:$GE$40),"",INDEX($O$4:$O$40,MATCH(ROW()-3,$GE$4:$GE$40,0)))</f>
        <v/>
      </c>
      <c r="GG22">
        <f>IF(COUNTIF('Live Search'!BM$21:BN$21,0)+COUNTIF('Live Search'!B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H22">
        <f>IF($T$22="",FALSE,SUMPRODUCT(('Final Calculation Sheet'!$G$4:$G$40=$T$22)*($GG$6:$GG$42=1))&gt;0)</f>
        <v/>
      </c>
      <c r="GI22">
        <f>$GI$21+--($GH22)</f>
        <v/>
      </c>
      <c r="GJ22">
        <f>IF(ROW()-3&gt;MAX($GI$4:$GI$40),"",INDEX($T$4:$T$40,MATCH(ROW()-3,$GI$4:$GI$40,0)))</f>
        <v/>
      </c>
      <c r="GK22">
        <f>IF(COUNTIF('Live Search'!BM$21:BP$21,0)+COUNTIF('Live Search'!B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L22">
        <f>IF($AD$22="",FALSE,SUMPRODUCT(('Final Calculation Sheet'!$D$4:$D$40=$AD$22)*($GK$6:$GK$42=1))&gt;0)</f>
        <v/>
      </c>
      <c r="GM22">
        <f>$GM$21+--($GL22)</f>
        <v/>
      </c>
      <c r="GN22">
        <f>IF(ROW()-3&gt;MAX($GM$4:$GM$40),"",INDEX($AD$4:$AD$40,MATCH(ROW()-3,$GM$4:$GM$40,0)))</f>
        <v/>
      </c>
      <c r="GO22">
        <f>IF(COUNTIF('Live Search'!BM$21:BQ$21,0)+COUNTIF('Live Search'!B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P22">
        <f>IF($AI$22="",FALSE,SUMPRODUCT(('Final Calculation Sheet'!$A$4:$A$40=$AI$22)*($GO$6:$GO$42=1))&gt;0)</f>
        <v/>
      </c>
      <c r="GQ22">
        <f>$GQ$21+--($GP22)</f>
        <v/>
      </c>
      <c r="GR22">
        <f>IF(ROW()-3&gt;MAX($GQ$4:$GQ$40),"",INDEX($AI$4:$AI$40,MATCH(ROW()-3,$GQ$4:$GQ$40,0)))</f>
        <v/>
      </c>
      <c r="GS22">
        <f>IF(COUNTIF('Live Search'!BM$21:BR$21,0)+COUNTIF('Live Search'!B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T22">
        <f>IF($AN$22="",FALSE,SUMPRODUCT(('Final Calculation Sheet'!$E$4:$E$40=$AN$22)*($GS$6:$GS$42=1))&gt;0)</f>
        <v/>
      </c>
      <c r="GU22">
        <f>$GU$21+--($GT22)</f>
        <v/>
      </c>
      <c r="GV22">
        <f>IF(ROW()-3&gt;MAX($GU$4:$GU$40),"",INDEX($AN$4:$AN$40,MATCH(ROW()-3,$GU$4:$GU$40,0)))</f>
        <v/>
      </c>
      <c r="GW22">
        <f>IF(COUNTIF('Live Search'!BM$21:BS$21,0)+COUNTIF('Live Search'!B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GX22">
        <f>IF($AS$22="",FALSE,SUMPRODUCT(('Final Calculation Sheet'!$C$4:$C$40=$AS$22)*($GW$6:$GW$42=1))&gt;0)</f>
        <v/>
      </c>
      <c r="GY22">
        <f>$GY$21+--($GX22)</f>
        <v/>
      </c>
      <c r="GZ22">
        <f>IF(ROW()-3&gt;MAX($GY$4:$GY$40),"",INDEX($AS$4:$AS$40,MATCH(ROW()-3,$GY$4:$GY$40,0)))</f>
        <v/>
      </c>
      <c r="HA22">
        <f>IF(COUNTIF('Live Search'!BM$21:BT$21,0)+COUNTIF('Live Search'!BV$21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B22">
        <f>IF($AX$22="",FALSE,SUMPRODUCT(('Final Calculation Sheet'!$H$4:$H$40=$AX$22)*($HA$6:$HA$42=1))&gt;0)</f>
        <v/>
      </c>
      <c r="HC22">
        <f>$HC$21+--($HB22)</f>
        <v/>
      </c>
      <c r="HD22">
        <f>IF(ROW()-3&gt;MAX($HC$4:$HC$40),"",INDEX($AX$4:$AX$40,MATCH(ROW()-3,$HC$4:$HC$40,0)))</f>
        <v/>
      </c>
      <c r="HE22">
        <f>IF(COUNTIF('Live Search'!BM$21:BU$21,0)+COUNTIF('Live Search'!BW$21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F22">
        <f>IF($BC$22="",FALSE,SUMPRODUCT(('Final Calculation Sheet'!$I$4:$I$40=$BC$22)*($HE$6:$HE$42=1))&gt;0)</f>
        <v/>
      </c>
      <c r="HG22">
        <f>$HG$21+--($HF22)</f>
        <v/>
      </c>
      <c r="HH22">
        <f>IF(ROW()-3&gt;MAX($HG$4:$HG$40),"",INDEX($BC$4:$BC$40,MATCH(ROW()-3,$HG$4:$HG$40,0)))</f>
        <v/>
      </c>
      <c r="HI22">
        <f>IF(COUNTIF('Live Search'!BM$21:BV$21,0)+COUNTIF('Live Search'!BX$21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J22">
        <f>IF($BH$22="",FALSE,SUMPRODUCT(('Final Calculation Sheet'!$J$4:$J$40=$BH$22)*($HI$6:$HI$42=1))&gt;0)</f>
        <v/>
      </c>
      <c r="HK22">
        <f>$HK$21+--($HJ22)</f>
        <v/>
      </c>
      <c r="HL22">
        <f>IF(ROW()-3&gt;MAX($HK$4:$HK$40),"",INDEX($BH$4:$BH$40,MATCH(ROW()-3,$HK$4:$HK$40,0)))</f>
        <v/>
      </c>
      <c r="HM22">
        <f>IF(COUNTIF('Live Search'!BM$21:BW$21,0)+COUNTIF('Live Search'!BY$21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N22">
        <f>IF($BM$22="",FALSE,SUMPRODUCT(('Final Calculation Sheet'!$K$4:$K$40=$BM$22)*($HM$6:$HM$42=1))&gt;0)</f>
        <v/>
      </c>
      <c r="HO22">
        <f>$HO$21+--($HN22)</f>
        <v/>
      </c>
      <c r="HP22">
        <f>IF(ROW()-3&gt;MAX($HO$4:$HO$40),"",INDEX($BM$4:$BM$40,MATCH(ROW()-3,$HO$4:$HO$40,0)))</f>
        <v/>
      </c>
      <c r="HQ22">
        <f>IF(COUNTIF('Live Search'!BM$21:BX$21,0)+COUNTIF('Live Search'!BZ$21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R22">
        <f>IF($BR$22="",FALSE,SUMPRODUCT(('Final Calculation Sheet'!$L$4:$L$40=$BR$22)*($HQ$6:$HQ$42=1))&gt;0)</f>
        <v/>
      </c>
      <c r="HS22">
        <f>$HS$21+--($HR22)</f>
        <v/>
      </c>
      <c r="HT22">
        <f>IF(ROW()-3&gt;MAX($HS$4:$HS$40),"",INDEX($BR$4:$BR$40,MATCH(ROW()-3,$HS$4:$HS$40,0)))</f>
        <v/>
      </c>
      <c r="HU22">
        <f>IF(COUNTIF('Live Search'!BM$21:BY$21,0)+COUNTIF('Live Search'!CA$21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V22">
        <f>IF($BW$22="",FALSE,SUMPRODUCT(('Final Calculation Sheet'!$M$4:$M$40=$BW$22)*($HU$6:$HU$42=1))&gt;0)</f>
        <v/>
      </c>
      <c r="HW22">
        <f>$HW$21+--($HV22)</f>
        <v/>
      </c>
      <c r="HX22">
        <f>IF(ROW()-3&gt;MAX($HW$4:$HW$40),"",INDEX($BW$4:$BW$40,MATCH(ROW()-3,$HW$4:$HW$40,0)))</f>
        <v/>
      </c>
      <c r="HY22">
        <f>IF(COUNTIF('Live Search'!BM$21:BZ$21,0)+COUNTIF('Live Search'!CB$21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HZ22">
        <f>IF($CB$22="",FALSE,SUMPRODUCT(('Final Calculation Sheet'!$N$4:$N$40=$CB$22)*($HY$6:$HY$42=1))&gt;0)</f>
        <v/>
      </c>
      <c r="IA22">
        <f>$IA$21+--($HZ22)</f>
        <v/>
      </c>
      <c r="IB22">
        <f>IF(ROW()-3&gt;MAX($IA$4:$IA$40),"",INDEX($CB$4:$CB$40,MATCH(ROW()-3,$IA$4:$IA$40,0)))</f>
        <v/>
      </c>
      <c r="IC22">
        <f>IF(COUNTIF('Live Search'!BM$21:CA$21,0)+COUNTIF('Live Search'!CC$21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D22">
        <f>IF($CG$22="",FALSE,SUMPRODUCT(('Final Calculation Sheet'!$O$4:$O$40=$CG$22)*($IC$6:$IC$42=1))&gt;0)</f>
        <v/>
      </c>
      <c r="IE22">
        <f>$IE$21+--($ID22)</f>
        <v/>
      </c>
      <c r="IF22">
        <f>IF(ROW()-3&gt;MAX($IE$4:$IE$40),"",INDEX($CG$4:$CG$40,MATCH(ROW()-3,$IE$4:$IE$40,0)))</f>
        <v/>
      </c>
      <c r="IG22">
        <f>IF(COUNTIF('Live Search'!BM$21:CB$21,0)+COUNTIF('Live Search'!CD$21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H22">
        <f>IF($CL$22="",FALSE,SUMPRODUCT(('Final Calculation Sheet'!$P$4:$P$40=$CL$22)*($IG$6:$IG$42=1))&gt;0)</f>
        <v/>
      </c>
      <c r="II22">
        <f>$II$21+--($IH22)</f>
        <v/>
      </c>
      <c r="IJ22">
        <f>IF(ROW()-3&gt;MAX($II$4:$II$40),"",INDEX($CL$4:$CL$40,MATCH(ROW()-3,$II$4:$II$40,0)))</f>
        <v/>
      </c>
      <c r="IK22">
        <f>IF(COUNTIF('Live Search'!BM$21:CC$21,0)+COUNTIF('Live Search'!CE$21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L22">
        <f>IF($CQ$22="",FALSE,SUMPRODUCT(('Final Calculation Sheet'!$Q$4:$Q$40=$CQ$22)*($IK$6:$IK$42=1))&gt;0)</f>
        <v/>
      </c>
      <c r="IM22">
        <f>$IM$21+--($IL22)</f>
        <v/>
      </c>
      <c r="IN22">
        <f>IF(ROW()-3&gt;MAX($IM$4:$IM$40),"",INDEX($CQ$4:$CQ$40,MATCH(ROW()-3,$IM$4:$IM$40,0)))</f>
        <v/>
      </c>
      <c r="IO22">
        <f>IF(COUNTIF('Live Search'!BM$21:CD$21,0)+COUNTIF('Live Search'!CF$21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P22">
        <f>IF($CV$22="",FALSE,SUMPRODUCT(('Final Calculation Sheet'!$R$4:$R$40=$CV$22)*($IO$6:$IO$42=1))&gt;0)</f>
        <v/>
      </c>
      <c r="IQ22">
        <f>$IQ$21+--($IP22)</f>
        <v/>
      </c>
      <c r="IR22">
        <f>IF(ROW()-3&gt;MAX($IQ$4:$IQ$40),"",INDEX($CV$4:$CV$40,MATCH(ROW()-3,$IQ$4:$IQ$40,0)))</f>
        <v/>
      </c>
      <c r="IS22">
        <f>IF(COUNTIF('Live Search'!BM$21:CE$21,0)+COUNTIF('Live Search'!CG$21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T22">
        <f>IF($DA$22="",FALSE,SUMPRODUCT(('Final Calculation Sheet'!$S$4:$S$40=$DA$22)*($IS$6:$IS$42=1))&gt;0)</f>
        <v/>
      </c>
      <c r="IU22">
        <f>$IU$21+--($IT22)</f>
        <v/>
      </c>
      <c r="IV22">
        <f>IF(ROW()-3&gt;MAX($IU$4:$IU$40),"",INDEX($DA$4:$DA$40,MATCH(ROW()-3,$IU$4:$IU$40,0)))</f>
        <v/>
      </c>
      <c r="IW22">
        <f>IF(COUNTIF('Live Search'!BM$21:CF$21,0)+COUNTIF('Live Search'!CH$21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IX22">
        <f>IF($DF$22="",FALSE,SUMPRODUCT(('Final Calculation Sheet'!$T$4:$T$40=$DF$22)*($IW$6:$IW$42=1))&gt;0)</f>
        <v/>
      </c>
      <c r="IY22">
        <f>$IY$21+--($IX22)</f>
        <v/>
      </c>
      <c r="IZ22">
        <f>IF(ROW()-3&gt;MAX($IY$4:$IY$40),"",INDEX($DF$4:$DF$40,MATCH(ROW()-3,$IY$4:$IY$40,0)))</f>
        <v/>
      </c>
      <c r="JA22">
        <f>IF(COUNTIF('Live Search'!BM$21:CG$21,0)+COUNTIF('Live Search'!CI$21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B22">
        <f>IF($DK$22="",FALSE,SUMPRODUCT(('Final Calculation Sheet'!$U$4:$U$40=$DK$22)*($JA$6:$JA$42=1))&gt;0)</f>
        <v/>
      </c>
      <c r="JC22">
        <f>$JC$21+--($JB22)</f>
        <v/>
      </c>
      <c r="JD22">
        <f>IF(ROW()-3&gt;MAX($JC$4:$JC$40),"",INDEX($DK$4:$DK$40,MATCH(ROW()-3,$JC$4:$JC$40,0)))</f>
        <v/>
      </c>
      <c r="JE22">
        <f>IF(COUNTIF('Live Search'!BM$21:CH$21,0)+COUNTIF('Live Search'!CJ$21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F22">
        <f>IF($DP$22="",FALSE,SUMPRODUCT(('Final Calculation Sheet'!$V$4:$V$40=$DP$22)*($JE$6:$JE$42=1))&gt;0)</f>
        <v/>
      </c>
      <c r="JG22">
        <f>$JG$21+--($JF22)</f>
        <v/>
      </c>
      <c r="JH22">
        <f>IF(ROW()-3&gt;MAX($JG$4:$JG$40),"",INDEX($DP$4:$DP$40,MATCH(ROW()-3,$JG$4:$JG$40,0)))</f>
        <v/>
      </c>
      <c r="JI22">
        <f>IF(COUNTIF('Live Search'!BM$21:CI$21,0)+COUNTIF('Live Search'!CK$21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J22">
        <f>IF($DU$22="",FALSE,SUMPRODUCT(('Final Calculation Sheet'!$W$4:$W$40=$DU$22)*($JI$6:$JI$42=1))&gt;0)</f>
        <v/>
      </c>
      <c r="JK22">
        <f>$JK$21+--($JJ22)</f>
        <v/>
      </c>
      <c r="JL22">
        <f>IF(ROW()-3&gt;MAX($JK$4:$JK$40),"",INDEX($DU$4:$DU$40,MATCH(ROW()-3,$JK$4:$JK$40,0)))</f>
        <v/>
      </c>
      <c r="JM22">
        <f>IF(COUNTIF('Live Search'!BM$21:CJ$21,0)+COUNTIF('Live Search'!CL$21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N22">
        <f>IF($DZ$22="",FALSE,SUMPRODUCT(('Final Calculation Sheet'!$X$4:$X$40=$DZ$22)*($JM$6:$JM$42=1))&gt;0)</f>
        <v/>
      </c>
      <c r="JO22">
        <f>$JO$21+--($JN22)</f>
        <v/>
      </c>
      <c r="JP22">
        <f>IF(ROW()-3&gt;MAX($JO$4:$JO$40),"",INDEX($DZ$4:$DZ$40,MATCH(ROW()-3,$JO$4:$JO$40,0)))</f>
        <v/>
      </c>
      <c r="JQ22">
        <f>IF(COUNTIF('Live Search'!BM$21:CK$21,0)+COUNTIF('Live Search'!C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R22">
        <f>IF($EE$22="",FALSE,SUMPRODUCT(('Final Calculation Sheet'!$Y$4:$Y$40=$EE$22)*($JQ$6:$JQ$42=1))&gt;0)</f>
        <v/>
      </c>
      <c r="JS22">
        <f>$JS$21+--($JR22)</f>
        <v/>
      </c>
      <c r="JT22">
        <f>IF(ROW()-3&gt;MAX($JS$4:$JS$40),"",INDEX($EE$4:$EE$40,MATCH(ROW()-3,$JS$4:$JS$40,0)))</f>
        <v/>
      </c>
      <c r="JU22">
        <f>IF(COUNTIF('Live Search'!BM$21:CL$21,0)+COUNTIF('Live Search'!CN$21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V22">
        <f>IF($EJ$22="",FALSE,SUMPRODUCT(('Final Calculation Sheet'!$Z$4:$Z$40=$EJ$22)*($JU$6:$JU$42=1))&gt;0)</f>
        <v/>
      </c>
      <c r="JW22">
        <f>$JW$21+--($JV22)</f>
        <v/>
      </c>
      <c r="JX22">
        <f>IF(ROW()-3&gt;MAX($JW$4:$JW$40),"",INDEX($EJ$4:$EJ$40,MATCH(ROW()-3,$JW$4:$JW$40,0)))</f>
        <v/>
      </c>
      <c r="JY22">
        <f>IF(COUNTIF('Live Search'!BM$21:CM$21,0)+COUNTIF('Live Search'!CO$21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JZ22">
        <f>IF($EO$22="",FALSE,SUMPRODUCT(('Final Calculation Sheet'!$AA$4:$AA$40=$EO$22)*($JY$6:$JY$42=1))&gt;0)</f>
        <v/>
      </c>
      <c r="KA22">
        <f>$KA$21+--($JZ22)</f>
        <v/>
      </c>
      <c r="KB22">
        <f>IF(ROW()-3&gt;MAX($KA$4:$KA$40),"",INDEX($EO$4:$EO$40,MATCH(ROW()-3,$KA$4:$KA$40,0)))</f>
        <v/>
      </c>
      <c r="KC22">
        <f>IF(COUNTIF('Live Search'!BM$21:CN$21,0)+COUNTIF('Live Search'!CP$21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D22">
        <f>IF($ET$22="",FALSE,SUMPRODUCT(('Final Calculation Sheet'!$AB$4:$AB$40=$ET$22)*($KC$6:$KC$42=1))&gt;0)</f>
        <v/>
      </c>
      <c r="KE22">
        <f>$KE$21+--($KD22)</f>
        <v/>
      </c>
      <c r="KF22">
        <f>IF(ROW()-3&gt;MAX($KE$4:$KE$40),"",INDEX($ET$4:$ET$40,MATCH(ROW()-3,$KE$4:$KE$40,0)))</f>
        <v/>
      </c>
      <c r="KG22">
        <f>IF(COUNTIF('Live Search'!BM$21:CO$21,0)+COUNTIF('Live Search'!CQ$21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H22">
        <f>IF($EY$22="",FALSE,SUMPRODUCT(('Final Calculation Sheet'!$AC$4:$AC$40=$EY$22)*($KG$6:$KG$42=1))&gt;0)</f>
        <v/>
      </c>
      <c r="KI22">
        <f>$KI$21+--($KH22)</f>
        <v/>
      </c>
      <c r="KJ22">
        <f>IF(ROW()-3&gt;MAX($KI$4:$KI$40),"",INDEX($EY$4:$EY$40,MATCH(ROW()-3,$KI$4:$KI$40,0)))</f>
        <v/>
      </c>
      <c r="KK22">
        <f>IF(COUNTIF('Live Search'!BM$21:CP$21,0)+COUNTIF('Live Search'!CR$21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L22">
        <f>IF($FD$22="",FALSE,SUMPRODUCT(('Final Calculation Sheet'!$AD$4:$AD$40=$FD$22)*($KK$6:$KK$42=1))&gt;0)</f>
        <v/>
      </c>
      <c r="KM22">
        <f>$KM$21+--($KL22)</f>
        <v/>
      </c>
      <c r="KN22">
        <f>IF(ROW()-3&gt;MAX($KM$4:$KM$40),"",INDEX($FD$4:$FD$40,MATCH(ROW()-3,$KM$4:$KM$40,0)))</f>
        <v/>
      </c>
      <c r="KO22">
        <f>IF(COUNTIF('Live Search'!BM$21:CT$21,0)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P22">
        <f>IF($FX$22="",FALSE,SUMPRODUCT((IF('Final Calculation Sheet'!$AD$4:$AD$40&lt;=5,"SETTLED","OUTSTANDING")=$FX$22)*($KO$6:$KO$42=1))&gt;0)</f>
        <v/>
      </c>
      <c r="KQ22">
        <f>$KQ$21+--($KP22)</f>
        <v/>
      </c>
      <c r="KR22">
        <f>IF(ROW()-3&gt;MAX($KQ$4:$KQ$40),"",INDEX($FX$4:$FX$40,MATCH(ROW()-3,$KQ$4:$KQ$40,0)))</f>
        <v/>
      </c>
      <c r="KS22">
        <f>IF(COUNTIF('Live Search'!BM$21:CQ$21,0)+COUNTIF('Live Search'!CS$21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T22">
        <f>IF($FI$22="",FALSE,SUMPRODUCT(('Final Calculation Sheet'!$AF$4:$AF$40=$FI$22)*($KS$6:$KS$42=1))&gt;0)</f>
        <v/>
      </c>
      <c r="KU22">
        <f>$KU$21+--($KT22)</f>
        <v/>
      </c>
      <c r="KV22">
        <f>IF(ROW()-3&gt;MAX($KU$4:$KU$40),"",INDEX($FI$4:$FI$40,MATCH(ROW()-3,$KU$4:$KU$40,0)))</f>
        <v/>
      </c>
      <c r="KW22">
        <f>IF(COUNTIF('Live Search'!BM$21:CR$21,0)+COUNTIF('Live Search'!CT$21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KX22">
        <f>IF($FN$22="",FALSE,SUMPRODUCT(('Final Calculation Sheet'!$AG$4:$AG$40=$FN$22)*($KW$6:$KW$42=1))&gt;0)</f>
        <v/>
      </c>
      <c r="KY22">
        <f>$KY$21+--($KX22)</f>
        <v/>
      </c>
      <c r="KZ22">
        <f>IF(ROW()-3&gt;MAX($KY$4:$KY$40),"",INDEX($FN$4:$FN$40,MATCH(ROW()-3,$KY$4:$KY$40,0)))</f>
        <v/>
      </c>
      <c r="LA22">
        <f>IF(COUNTIF('Live Search'!BM$21:CS$21,0)+COUNTIF('Live Search'!CU$21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LB22">
        <f>IF($FS$22="",FALSE,SUMPRODUCT(('Final Calculation Sheet'!$AH$4:$AH$40=$FS$22)*($LA$6:$LA$42=1))&gt;0)</f>
        <v/>
      </c>
      <c r="LC22">
        <f>$LC$21+--($LB22)</f>
        <v/>
      </c>
      <c r="LD22">
        <f>IF(ROW()-3&gt;MAX($LC$4:$LC$40),"",INDEX($FS$4:$FS$40,MATCH(ROW()-3,$LC$4:$LC$40,0)))</f>
        <v/>
      </c>
      <c r="LE22">
        <f>IF(COUNTIF('Buyer Groups'!DH75:EN75,0)&gt;0,0,1)</f>
        <v/>
      </c>
      <c r="LF22">
        <f>IF($O$22="",FALSE,SUMPRODUCT(('Final Calculation Sheet'!$F$4:$F$40=$O$22)*($LE$6:$LE$42=1))&gt;0)</f>
        <v/>
      </c>
      <c r="LG22">
        <f>$LG$21+--($LF22)</f>
        <v/>
      </c>
      <c r="LH22">
        <f>IF(ROW()-3&gt;MAX($LG$4:$LG$40),"",INDEX($O$4:$O$40,MATCH(ROW()-3,$LG$4:$LG$40,0)))</f>
        <v/>
      </c>
      <c r="LI22">
        <f>IF(COUNTIF('Buyer Groups'!DG75:DG75,0)+COUNTIF('Buyer Groups'!DI75:EN75,0)&gt;0,0,1)</f>
        <v/>
      </c>
      <c r="LJ22">
        <f>IF($T$22="",FALSE,SUMPRODUCT(('Final Calculation Sheet'!$G$4:$G$40=$T$22)*($LI$6:$LI$42=1))&gt;0)</f>
        <v/>
      </c>
      <c r="LK22">
        <f>$LK$21+--($LJ22)</f>
        <v/>
      </c>
      <c r="LL22">
        <f>IF(ROW()-3&gt;MAX($LK$4:$LK$40),"",INDEX($T$4:$T$40,MATCH(ROW()-3,$LK$4:$LK$40,0)))</f>
        <v/>
      </c>
      <c r="LM22">
        <f>IF(COUNTIF('Buyer Groups'!DG75:DH75,0)+COUNTIF('Buyer Groups'!DJ75:EN75,0)&gt;0,0,1)</f>
        <v/>
      </c>
      <c r="LN22">
        <f>IF($Y$22="",FALSE,SUMPRODUCT(('Final Calculation Sheet'!$B$4:$B$40=$Y$22)*($LM$6:$LM$42=1))&gt;0)</f>
        <v/>
      </c>
      <c r="LO22">
        <f>$LO$21+--($LN22)</f>
        <v/>
      </c>
      <c r="LP22">
        <f>IF(ROW()-3&gt;MAX($LO$4:$LO$40),"",INDEX($Y$4:$Y$40,MATCH(ROW()-3,$LO$4:$LO$40,0)))</f>
        <v/>
      </c>
      <c r="LQ22">
        <f>IF(COUNTIF('Buyer Groups'!DG75:DI75,0)+COUNTIF('Buyer Groups'!DK75:EN75,0)&gt;0,0,1)</f>
        <v/>
      </c>
      <c r="LR22">
        <f>IF($AD$22="",FALSE,SUMPRODUCT(('Final Calculation Sheet'!$D$4:$D$40=$AD$22)*($LQ$6:$LQ$42=1))&gt;0)</f>
        <v/>
      </c>
      <c r="LS22">
        <f>$LS$21+--($LR22)</f>
        <v/>
      </c>
      <c r="LT22">
        <f>IF(ROW()-3&gt;MAX($LS$4:$LS$40),"",INDEX($AD$4:$AD$40,MATCH(ROW()-3,$LS$4:$LS$40,0)))</f>
        <v/>
      </c>
      <c r="LU22">
        <f>IF(COUNTIF('Buyer Groups'!DG75:DJ75,0)+COUNTIF('Buyer Groups'!DL75:EN75,0)&gt;0,0,1)</f>
        <v/>
      </c>
      <c r="LV22">
        <f>IF($AI$22="",FALSE,SUMPRODUCT(('Final Calculation Sheet'!$A$4:$A$40=$AI$22)*($LU$6:$LU$42=1))&gt;0)</f>
        <v/>
      </c>
      <c r="LW22">
        <f>$LW$21+--($LV22)</f>
        <v/>
      </c>
      <c r="LX22">
        <f>IF(ROW()-3&gt;MAX($LW$4:$LW$40),"",INDEX($AI$4:$AI$40,MATCH(ROW()-3,$LW$4:$LW$40,0)))</f>
        <v/>
      </c>
      <c r="LY22">
        <f>IF(COUNTIF('Buyer Groups'!DG75:DK75,0)+COUNTIF('Buyer Groups'!DM75:EN75,0)&gt;0,0,1)</f>
        <v/>
      </c>
      <c r="LZ22">
        <f>IF($AN$22="",FALSE,SUMPRODUCT(('Final Calculation Sheet'!$E$4:$E$40=$AN$22)*($LY$6:$LY$42=1))&gt;0)</f>
        <v/>
      </c>
      <c r="MA22">
        <f>$MA$21+--($LZ22)</f>
        <v/>
      </c>
      <c r="MB22">
        <f>IF(ROW()-3&gt;MAX($MA$4:$MA$40),"",INDEX($AN$4:$AN$40,MATCH(ROW()-3,$MA$4:$MA$40,0)))</f>
        <v/>
      </c>
      <c r="MC22">
        <f>IF(COUNTIF('Buyer Groups'!DG75:DL75,0)+COUNTIF('Buyer Groups'!DN75:EN75,0)&gt;0,0,1)</f>
        <v/>
      </c>
      <c r="MD22">
        <f>IF($AS$22="",FALSE,SUMPRODUCT(('Final Calculation Sheet'!$C$4:$C$40=$AS$22)*($MC$6:$MC$42=1))&gt;0)</f>
        <v/>
      </c>
      <c r="ME22">
        <f>$ME$21+--($MD22)</f>
        <v/>
      </c>
      <c r="MF22">
        <f>IF(ROW()-3&gt;MAX($ME$4:$ME$40),"",INDEX($AS$4:$AS$40,MATCH(ROW()-3,$ME$4:$ME$40,0)))</f>
        <v/>
      </c>
      <c r="MG22">
        <f>IF(COUNTIF('Buyer Groups'!DG75:DM75,0)+COUNTIF('Buyer Groups'!DO75:EN75,0)&gt;0,0,1)</f>
        <v/>
      </c>
      <c r="MH22">
        <f>IF($AX$22="",FALSE,SUMPRODUCT(('Final Calculation Sheet'!$H$4:$H$40=$AX$22)*($MG$6:$MG$42=1))&gt;0)</f>
        <v/>
      </c>
      <c r="MI22">
        <f>$MI$21+--($MH22)</f>
        <v/>
      </c>
      <c r="MJ22">
        <f>IF(ROW()-3&gt;MAX($MI$4:$MI$40),"",INDEX($AX$4:$AX$40,MATCH(ROW()-3,$MI$4:$MI$40,0)))</f>
        <v/>
      </c>
      <c r="MK22">
        <f>IF(COUNTIF('Buyer Groups'!DG75:DN75,0)+COUNTIF('Buyer Groups'!DP75:EN75,0)&gt;0,0,1)</f>
        <v/>
      </c>
      <c r="ML22">
        <f>IF($BC$22="",FALSE,SUMPRODUCT(('Final Calculation Sheet'!$I$4:$I$40=$BC$22)*($MK$6:$MK$42=1))&gt;0)</f>
        <v/>
      </c>
      <c r="MM22">
        <f>$MM$21+--($ML22)</f>
        <v/>
      </c>
      <c r="MN22">
        <f>IF(ROW()-3&gt;MAX($MM$4:$MM$40),"",INDEX($BC$4:$BC$40,MATCH(ROW()-3,$MM$4:$MM$40,0)))</f>
        <v/>
      </c>
      <c r="MO22">
        <f>IF(COUNTIF('Buyer Groups'!DG75:DO75,0)+COUNTIF('Buyer Groups'!DQ75:EN75,0)&gt;0,0,1)</f>
        <v/>
      </c>
      <c r="MP22">
        <f>IF($BH$22="",FALSE,SUMPRODUCT(('Final Calculation Sheet'!$J$4:$J$40=$BH$22)*($MO$6:$MO$42=1))&gt;0)</f>
        <v/>
      </c>
      <c r="MQ22">
        <f>$MQ$21+--($MP22)</f>
        <v/>
      </c>
      <c r="MR22">
        <f>IF(ROW()-3&gt;MAX($MQ$4:$MQ$40),"",INDEX($BH$4:$BH$40,MATCH(ROW()-3,$MQ$4:$MQ$40,0)))</f>
        <v/>
      </c>
      <c r="MS22">
        <f>IF(COUNTIF('Buyer Groups'!DG75:DP75,0)+COUNTIF('Buyer Groups'!DR75:EN75,0)&gt;0,0,1)</f>
        <v/>
      </c>
      <c r="MT22">
        <f>IF($BM$22="",FALSE,SUMPRODUCT(('Final Calculation Sheet'!$K$4:$K$40=$BM$22)*($MS$6:$MS$42=1))&gt;0)</f>
        <v/>
      </c>
      <c r="MU22">
        <f>$MU$21+--($MT22)</f>
        <v/>
      </c>
      <c r="MV22">
        <f>IF(ROW()-3&gt;MAX($MU$4:$MU$40),"",INDEX($BM$4:$BM$40,MATCH(ROW()-3,$MU$4:$MU$40,0)))</f>
        <v/>
      </c>
      <c r="MW22">
        <f>IF(COUNTIF('Buyer Groups'!DG75:DQ75,0)+COUNTIF('Buyer Groups'!DS75:EN75,0)&gt;0,0,1)</f>
        <v/>
      </c>
      <c r="MX22">
        <f>IF($BR$22="",FALSE,SUMPRODUCT(('Final Calculation Sheet'!$L$4:$L$40=$BR$22)*($MW$6:$MW$42=1))&gt;0)</f>
        <v/>
      </c>
      <c r="MY22">
        <f>$MY$21+--($MX22)</f>
        <v/>
      </c>
      <c r="MZ22">
        <f>IF(ROW()-3&gt;MAX($MY$4:$MY$40),"",INDEX($BR$4:$BR$40,MATCH(ROW()-3,$MY$4:$MY$40,0)))</f>
        <v/>
      </c>
      <c r="NA22">
        <f>IF(COUNTIF('Buyer Groups'!DG75:DR75,0)+COUNTIF('Buyer Groups'!DT75:EN75,0)&gt;0,0,1)</f>
        <v/>
      </c>
      <c r="NB22">
        <f>IF($BW$22="",FALSE,SUMPRODUCT(('Final Calculation Sheet'!$M$4:$M$40=$BW$22)*($NA$6:$NA$42=1))&gt;0)</f>
        <v/>
      </c>
      <c r="NC22">
        <f>$NC$21+--($NB22)</f>
        <v/>
      </c>
      <c r="ND22">
        <f>IF(ROW()-3&gt;MAX($NC$4:$NC$40),"",INDEX($BW$4:$BW$40,MATCH(ROW()-3,$NC$4:$NC$40,0)))</f>
        <v/>
      </c>
      <c r="NE22">
        <f>IF(COUNTIF('Buyer Groups'!DG75:DS75,0)+COUNTIF('Buyer Groups'!DU75:EN75,0)&gt;0,0,1)</f>
        <v/>
      </c>
      <c r="NF22">
        <f>IF($CB$22="",FALSE,SUMPRODUCT(('Final Calculation Sheet'!$N$4:$N$40=$CB$22)*($NE$6:$NE$42=1))&gt;0)</f>
        <v/>
      </c>
      <c r="NG22">
        <f>$NG$21+--($NF22)</f>
        <v/>
      </c>
      <c r="NH22">
        <f>IF(ROW()-3&gt;MAX($NG$4:$NG$40),"",INDEX($CB$4:$CB$40,MATCH(ROW()-3,$NG$4:$NG$40,0)))</f>
        <v/>
      </c>
      <c r="NI22">
        <f>IF(COUNTIF('Buyer Groups'!DG75:DT75,0)+COUNTIF('Buyer Groups'!DV75:EN75,0)&gt;0,0,1)</f>
        <v/>
      </c>
      <c r="NJ22">
        <f>IF($CG$22="",FALSE,SUMPRODUCT(('Final Calculation Sheet'!$O$4:$O$40=$CG$22)*($NI$6:$NI$42=1))&gt;0)</f>
        <v/>
      </c>
      <c r="NK22">
        <f>$NK$21+--($NJ22)</f>
        <v/>
      </c>
      <c r="NL22">
        <f>IF(ROW()-3&gt;MAX($NK$4:$NK$40),"",INDEX($CG$4:$CG$40,MATCH(ROW()-3,$NK$4:$NK$40,0)))</f>
        <v/>
      </c>
      <c r="NM22">
        <f>IF(COUNTIF('Buyer Groups'!DG75:DU75,0)+COUNTIF('Buyer Groups'!DW75:EN75,0)&gt;0,0,1)</f>
        <v/>
      </c>
      <c r="NN22">
        <f>IF($CL$22="",FALSE,SUMPRODUCT(('Final Calculation Sheet'!$P$4:$P$40=$CL$22)*($NM$6:$NM$42=1))&gt;0)</f>
        <v/>
      </c>
      <c r="NO22">
        <f>$NO$21+--($NN22)</f>
        <v/>
      </c>
      <c r="NP22">
        <f>IF(ROW()-3&gt;MAX($NO$4:$NO$40),"",INDEX($CL$4:$CL$40,MATCH(ROW()-3,$NO$4:$NO$40,0)))</f>
        <v/>
      </c>
      <c r="NQ22">
        <f>IF(COUNTIF('Buyer Groups'!DG75:DV75,0)+COUNTIF('Buyer Groups'!DX75:EN75,0)&gt;0,0,1)</f>
        <v/>
      </c>
      <c r="NR22">
        <f>IF($CQ$22="",FALSE,SUMPRODUCT(('Final Calculation Sheet'!$Q$4:$Q$40=$CQ$22)*($NQ$6:$NQ$42=1))&gt;0)</f>
        <v/>
      </c>
      <c r="NS22">
        <f>$NS$21+--($NR22)</f>
        <v/>
      </c>
      <c r="NT22">
        <f>IF(ROW()-3&gt;MAX($NS$4:$NS$40),"",INDEX($CQ$4:$CQ$40,MATCH(ROW()-3,$NS$4:$NS$40,0)))</f>
        <v/>
      </c>
      <c r="NU22">
        <f>IF(COUNTIF('Buyer Groups'!DG75:DW75,0)+COUNTIF('Buyer Groups'!DY75:EN75,0)&gt;0,0,1)</f>
        <v/>
      </c>
      <c r="NV22">
        <f>IF($CV$22="",FALSE,SUMPRODUCT(('Final Calculation Sheet'!$R$4:$R$40=$CV$22)*($NU$6:$NU$42=1))&gt;0)</f>
        <v/>
      </c>
      <c r="NW22">
        <f>$NW$21+--($NV22)</f>
        <v/>
      </c>
      <c r="NX22">
        <f>IF(ROW()-3&gt;MAX($NW$4:$NW$40),"",INDEX($CV$4:$CV$40,MATCH(ROW()-3,$NW$4:$NW$40,0)))</f>
        <v/>
      </c>
      <c r="NY22">
        <f>IF(COUNTIF('Buyer Groups'!DG75:DX75,0)+COUNTIF('Buyer Groups'!DZ75:EN75,0)&gt;0,0,1)</f>
        <v/>
      </c>
      <c r="NZ22">
        <f>IF($DA$22="",FALSE,SUMPRODUCT(('Final Calculation Sheet'!$S$4:$S$40=$DA$22)*($NY$6:$NY$42=1))&gt;0)</f>
        <v/>
      </c>
      <c r="OA22">
        <f>$OA$21+--($NZ22)</f>
        <v/>
      </c>
      <c r="OB22">
        <f>IF(ROW()-3&gt;MAX($OA$4:$OA$40),"",INDEX($DA$4:$DA$40,MATCH(ROW()-3,$OA$4:$OA$40,0)))</f>
        <v/>
      </c>
      <c r="OC22">
        <f>IF(COUNTIF('Buyer Groups'!DG75:DY75,0)+COUNTIF('Buyer Groups'!EA75:EN75,0)&gt;0,0,1)</f>
        <v/>
      </c>
      <c r="OD22">
        <f>IF($DF$22="",FALSE,SUMPRODUCT(('Final Calculation Sheet'!$T$4:$T$40=$DF$22)*($OC$6:$OC$42=1))&gt;0)</f>
        <v/>
      </c>
      <c r="OE22">
        <f>$OE$21+--($OD22)</f>
        <v/>
      </c>
      <c r="OF22">
        <f>IF(ROW()-3&gt;MAX($OE$4:$OE$40),"",INDEX($DF$4:$DF$40,MATCH(ROW()-3,$OE$4:$OE$40,0)))</f>
        <v/>
      </c>
      <c r="OG22">
        <f>IF(COUNTIF('Buyer Groups'!DG75:DZ75,0)+COUNTIF('Buyer Groups'!EB75:EN75,0)&gt;0,0,1)</f>
        <v/>
      </c>
      <c r="OH22">
        <f>IF($DK$22="",FALSE,SUMPRODUCT(('Final Calculation Sheet'!$U$4:$U$40=$DK$22)*($OG$6:$OG$42=1))&gt;0)</f>
        <v/>
      </c>
      <c r="OI22">
        <f>$OI$21+--($OH22)</f>
        <v/>
      </c>
      <c r="OJ22">
        <f>IF(ROW()-3&gt;MAX($OI$4:$OI$40),"",INDEX($DK$4:$DK$40,MATCH(ROW()-3,$OI$4:$OI$40,0)))</f>
        <v/>
      </c>
      <c r="OK22">
        <f>IF(COUNTIF('Buyer Groups'!DG75:EA75,0)+COUNTIF('Buyer Groups'!EC75:EN75,0)&gt;0,0,1)</f>
        <v/>
      </c>
      <c r="OL22">
        <f>IF($DP$22="",FALSE,SUMPRODUCT(('Final Calculation Sheet'!$V$4:$V$40=$DP$22)*($OK$6:$OK$42=1))&gt;0)</f>
        <v/>
      </c>
      <c r="OM22">
        <f>$OM$21+--($OL22)</f>
        <v/>
      </c>
      <c r="ON22">
        <f>IF(ROW()-3&gt;MAX($OM$4:$OM$40),"",INDEX($DP$4:$DP$40,MATCH(ROW()-3,$OM$4:$OM$40,0)))</f>
        <v/>
      </c>
      <c r="OO22">
        <f>IF(COUNTIF('Buyer Groups'!DG75:EB75,0)+COUNTIF('Buyer Groups'!ED75:EN75,0)&gt;0,0,1)</f>
        <v/>
      </c>
      <c r="OP22">
        <f>IF($DU$22="",FALSE,SUMPRODUCT(('Final Calculation Sheet'!$W$4:$W$40=$DU$22)*($OO$6:$OO$42=1))&gt;0)</f>
        <v/>
      </c>
      <c r="OQ22">
        <f>$OQ$21+--($OP22)</f>
        <v/>
      </c>
      <c r="OR22">
        <f>IF(ROW()-3&gt;MAX($OQ$4:$OQ$40),"",INDEX($DU$4:$DU$40,MATCH(ROW()-3,$OQ$4:$OQ$40,0)))</f>
        <v/>
      </c>
      <c r="OS22">
        <f>IF(COUNTIF('Buyer Groups'!DG75:EC75,0)+COUNTIF('Buyer Groups'!EE75:EN75,0)&gt;0,0,1)</f>
        <v/>
      </c>
      <c r="OT22">
        <f>IF($DZ$22="",FALSE,SUMPRODUCT(('Final Calculation Sheet'!$X$4:$X$40=$DZ$22)*($OS$6:$OS$42=1))&gt;0)</f>
        <v/>
      </c>
      <c r="OU22">
        <f>$OU$21+--($OT22)</f>
        <v/>
      </c>
      <c r="OV22">
        <f>IF(ROW()-3&gt;MAX($OU$4:$OU$40),"",INDEX($DZ$4:$DZ$40,MATCH(ROW()-3,$OU$4:$OU$40,0)))</f>
        <v/>
      </c>
      <c r="OW22">
        <f>IF(COUNTIF('Buyer Groups'!DG75:ED75,0)+COUNTIF('Buyer Groups'!EF75:EN75,0)&gt;0,0,1)</f>
        <v/>
      </c>
      <c r="OX22">
        <f>IF($EE$22="",FALSE,SUMPRODUCT(('Final Calculation Sheet'!$Y$4:$Y$40=$EE$22)*($OW$6:$OW$42=1))&gt;0)</f>
        <v/>
      </c>
      <c r="OY22">
        <f>$OY$21+--($OX22)</f>
        <v/>
      </c>
      <c r="OZ22">
        <f>IF(ROW()-3&gt;MAX($OY$4:$OY$40),"",INDEX($EE$4:$EE$40,MATCH(ROW()-3,$OY$4:$OY$40,0)))</f>
        <v/>
      </c>
      <c r="PA22">
        <f>IF(COUNTIF('Buyer Groups'!DG75:EE75,0)+COUNTIF('Buyer Groups'!EG75:EN75,0)&gt;0,0,1)</f>
        <v/>
      </c>
      <c r="PB22">
        <f>IF($EJ$22="",FALSE,SUMPRODUCT(('Final Calculation Sheet'!$Z$4:$Z$40=$EJ$22)*($PA$6:$PA$42=1))&gt;0)</f>
        <v/>
      </c>
      <c r="PC22">
        <f>$PC$21+--($PB22)</f>
        <v/>
      </c>
      <c r="PD22">
        <f>IF(ROW()-3&gt;MAX($PC$4:$PC$40),"",INDEX($EJ$4:$EJ$40,MATCH(ROW()-3,$PC$4:$PC$40,0)))</f>
        <v/>
      </c>
      <c r="PE22">
        <f>IF(COUNTIF('Buyer Groups'!DG75:EF75,0)+COUNTIF('Buyer Groups'!EH75:EN75,0)&gt;0,0,1)</f>
        <v/>
      </c>
      <c r="PF22">
        <f>IF($EO$22="",FALSE,SUMPRODUCT(('Final Calculation Sheet'!$AA$4:$AA$40=$EO$22)*($PE$6:$PE$42=1))&gt;0)</f>
        <v/>
      </c>
      <c r="PG22">
        <f>$PG$21+--($PF22)</f>
        <v/>
      </c>
      <c r="PH22">
        <f>IF(ROW()-3&gt;MAX($PG$4:$PG$40),"",INDEX($EO$4:$EO$40,MATCH(ROW()-3,$PG$4:$PG$40,0)))</f>
        <v/>
      </c>
      <c r="PI22">
        <f>IF(COUNTIF('Buyer Groups'!DG75:EG75,0)+COUNTIF('Buyer Groups'!EI75:EN75,0)&gt;0,0,1)</f>
        <v/>
      </c>
      <c r="PJ22">
        <f>IF($ET$22="",FALSE,SUMPRODUCT(('Final Calculation Sheet'!$AB$4:$AB$40=$ET$22)*($PI$6:$PI$42=1))&gt;0)</f>
        <v/>
      </c>
      <c r="PK22">
        <f>$PK$21+--($PJ22)</f>
        <v/>
      </c>
      <c r="PL22">
        <f>IF(ROW()-3&gt;MAX($PK$4:$PK$40),"",INDEX($ET$4:$ET$40,MATCH(ROW()-3,$PK$4:$PK$40,0)))</f>
        <v/>
      </c>
      <c r="PM22">
        <f>IF(COUNTIF('Buyer Groups'!DG75:EH75,0)+COUNTIF('Buyer Groups'!EJ75:EN75,0)&gt;0,0,1)</f>
        <v/>
      </c>
      <c r="PN22">
        <f>IF($EY$22="",FALSE,SUMPRODUCT(('Final Calculation Sheet'!$AC$4:$AC$40=$EY$22)*($PM$6:$PM$42=1))&gt;0)</f>
        <v/>
      </c>
      <c r="PO22">
        <f>$PO$21+--($PN22)</f>
        <v/>
      </c>
      <c r="PP22">
        <f>IF(ROW()-3&gt;MAX($PO$4:$PO$40),"",INDEX($EY$4:$EY$40,MATCH(ROW()-3,$PO$4:$PO$40,0)))</f>
        <v/>
      </c>
      <c r="PQ22">
        <f>IF(COUNTIF('Buyer Groups'!DG75:EI75,0)+COUNTIF('Buyer Groups'!EK75:EN75,0)&gt;0,0,1)</f>
        <v/>
      </c>
      <c r="PR22">
        <f>IF($FD$22="",FALSE,SUMPRODUCT(('Final Calculation Sheet'!$AD$4:$AD$40=$FD$22)*($PQ$6:$PQ$42=1))&gt;0)</f>
        <v/>
      </c>
      <c r="PS22">
        <f>$PS$21+--($PR22)</f>
        <v/>
      </c>
      <c r="PT22">
        <f>IF(ROW()-3&gt;MAX($PS$4:$PS$40),"",INDEX($FD$4:$FD$40,MATCH(ROW()-3,$PS$4:$PS$40,0)))</f>
        <v/>
      </c>
      <c r="PU22">
        <f>IF(COUNTIF('Buyer Groups'!DG75:EJ75,0)+COUNTIF('Buyer Groups'!EL75:EN75,0)&gt;0,0,1)</f>
        <v/>
      </c>
      <c r="PV22">
        <f>IF($FX$22="",FALSE,SUMPRODUCT((IF('Final Calculation Sheet'!$AD$4:$AD$40&lt;=5,"SETTLED","OUTSTANDING")=$FX$22)*($PU$6:$PU$42=1))&gt;0)</f>
        <v/>
      </c>
      <c r="PW22">
        <f>$PW$21+--($PV22)</f>
        <v/>
      </c>
      <c r="PX22">
        <f>IF(ROW()-3&gt;MAX($PW$4:$PW$40),"",INDEX($FX$4:$FX$40,MATCH(ROW()-3,$PW$4:$PW$40,0)))</f>
        <v/>
      </c>
      <c r="PY22">
        <f>IF(COUNTIF('Buyer Groups'!DG75:EK75,0)+COUNTIF('Buyer Groups'!EM75:EN75,0)&gt;0,0,1)</f>
        <v/>
      </c>
      <c r="PZ22">
        <f>IF($FI$22="",FALSE,SUMPRODUCT(('Final Calculation Sheet'!$AF$4:$AF$40=$FI$22)*($PY$6:$PY$42=1))&gt;0)</f>
        <v/>
      </c>
      <c r="QA22">
        <f>$QA$21+--($PZ22)</f>
        <v/>
      </c>
      <c r="QB22">
        <f>IF(ROW()-3&gt;MAX($QA$4:$QA$40),"",INDEX($FI$4:$FI$40,MATCH(ROW()-3,$QA$4:$QA$40,0)))</f>
        <v/>
      </c>
      <c r="QC22">
        <f>IF(COUNTIF('Buyer Groups'!DG75:EL75,0)+COUNTIF('Buyer Groups'!EN75:EN75,0)&gt;0,0,1)</f>
        <v/>
      </c>
      <c r="QD22">
        <f>IF($FN$22="",FALSE,SUMPRODUCT(('Final Calculation Sheet'!$AG$4:$AG$40=$FN$22)*($QC$6:$QC$42=1))&gt;0)</f>
        <v/>
      </c>
      <c r="QE22">
        <f>$QE$21+--($QD22)</f>
        <v/>
      </c>
      <c r="QF22">
        <f>IF(ROW()-3&gt;MAX($QE$4:$QE$40),"",INDEX($FN$4:$FN$40,MATCH(ROW()-3,$QE$4:$QE$40,0)))</f>
        <v/>
      </c>
      <c r="QG22">
        <f>IF(COUNTIF('Buyer Groups'!DG75:EM75,0)&gt;0,0,1)</f>
        <v/>
      </c>
      <c r="QH22">
        <f>IF($FS$22="",FALSE,SUMPRODUCT(('Final Calculation Sheet'!$AH$4:$AH$40=$FS$22)*($QG$6:$QG$42=1))&gt;0)</f>
        <v/>
      </c>
      <c r="QI22">
        <f>$QI$21+--($QH22)</f>
        <v/>
      </c>
      <c r="QJ22">
        <f>IF(ROW()-3&gt;MAX($QI$4:$QI$40),"",INDEX($FS$4:$FS$40,MATCH(ROW()-3,$QI$4:$QI$40,0)))</f>
        <v/>
      </c>
      <c r="QK22" t="str">
        <f>IF('Final Calculation Sheet'!$AH$22="","",'Final Calculation Sheet'!$AH$22)</f>
      </c>
      <c r="QL22" t="str">
        <f>IF(QK22="","",COUNTIFS(QK$4:QK$40,"&lt;"&amp;QK22,QK$4:QK$40,"&lt;&gt;"&amp;"")+COUNTIF(QK$4:QK22,QK22))</f>
      </c>
      <c r="QM22" t="str">
        <f>IF(ROW()-3&gt;COUNTIF(QK$4:QK$40,"&lt;&gt;"&amp;""),"",INDEX(QK$4:QK$40,MATCH(ROW()-3,QL$4:QL$40,0)))</f>
      </c>
      <c r="QN22" t="str">
        <f>=QN21+F(AND(QM22&lt;&gt;"",COUNTIF(QM$4:QM22,QM22)=1),1,0)</f>
      </c>
      <c r="QO22" t="str">
        <f>IF(ROW()-3&gt;MAX(QN$4:QN$40),"",INDEX(QM$4:QM$40,MATCH(ROW()-3,QN$4:QN$40,0)))</f>
      </c>
      <c r="QP22" t="str">
        <f>IF(COUNTIF('Final Calculation Sheet'!$AM22:$BS22,0)&gt;0,0,1)</f>
      </c>
      <c r="QQ22" t="str">
        <f>IF($AI$22="",FALSE,SUMPRODUCT(('Final Calculation Sheet'!$A$4:$A$40=$AI$22)*($QP$4:$QP$40=1))&gt;0)</f>
      </c>
      <c r="QR22" t="str">
        <f>=$QR21+--($QQ22)</f>
      </c>
      <c r="QS22" t="str">
        <f>IF(ROW()-3&gt;MAX($QR$4:$QR$40),"",INDEX($AI$4:$AI$40,MATCH(ROW()-3,$QR$4:$QR$40,0)))</f>
      </c>
      <c r="QT22" t="str">
        <f>IF(COUNTIF('Final Calculation Sheet'!$AL22:$AL22,0)+COUNTIF('Final Calculation Sheet'!$AN22:$BS22,0)&gt;0,0,1)</f>
      </c>
      <c r="QU22" t="str">
        <f>IF($Y$22="",FALSE,SUMPRODUCT(('Final Calculation Sheet'!$B$4:$B$40=$Y$22)*($QT$4:$QT$40=1))&gt;0)</f>
      </c>
      <c r="QV22" t="str">
        <f>=$QV21+--($QU22)</f>
      </c>
      <c r="QW22" t="str">
        <f>IF(ROW()-3&gt;MAX($QV$4:$QV$40),"",INDEX($Y$4:$Y$40,MATCH(ROW()-3,$QV$4:$QV$40,0)))</f>
      </c>
      <c r="QX22" t="str">
        <f>IF(COUNTIF('Final Calculation Sheet'!$AL22:$AM22,0)+COUNTIF('Final Calculation Sheet'!$AO22:$BS22,0)&gt;0,0,1)</f>
      </c>
      <c r="QY22" t="str">
        <f>IF($AS$22="",FALSE,SUMPRODUCT(('Final Calculation Sheet'!$C$4:$C$40=$AS$22)*($QX$4:$QX$40=1))&gt;0)</f>
      </c>
      <c r="QZ22" t="str">
        <f>=$QZ21+--($QY22)</f>
      </c>
      <c r="RA22" t="str">
        <f>IF(ROW()-3&gt;MAX($QZ$4:$QZ$40),"",INDEX($AS$4:$AS$40,MATCH(ROW()-3,$QZ$4:$QZ$40,0)))</f>
      </c>
      <c r="RB22" t="str">
        <f>IF(COUNTIF('Final Calculation Sheet'!$AL22:$AN22,0)+COUNTIF('Final Calculation Sheet'!$AP22:$BS22,0)&gt;0,0,1)</f>
      </c>
      <c r="RC22" t="str">
        <f>IF($AD$22="",FALSE,SUMPRODUCT(('Final Calculation Sheet'!$D$4:$D$40=$AD$22)*($RB$4:$RB$40=1))&gt;0)</f>
      </c>
      <c r="RD22" t="str">
        <f>=$RD21+--($RC22)</f>
      </c>
      <c r="RE22" t="str">
        <f>IF(ROW()-3&gt;MAX($RD$4:$RD$40),"",INDEX($AD$4:$AD$40,MATCH(ROW()-3,$RD$4:$RD$40,0)))</f>
      </c>
      <c r="RF22" t="str">
        <f>IF(COUNTIF('Final Calculation Sheet'!$AL22:$AO22,0)+COUNTIF('Final Calculation Sheet'!$AQ22:$BS22,0)&gt;0,0,1)</f>
      </c>
      <c r="RG22" t="str">
        <f>IF($AN$22="",FALSE,SUMPRODUCT(('Final Calculation Sheet'!$E$4:$E$40=$AN$22)*($RF$4:$RF$40=1))&gt;0)</f>
      </c>
      <c r="RH22" t="str">
        <f>=$RH21+--($RG22)</f>
      </c>
      <c r="RI22" t="str">
        <f>IF(ROW()-3&gt;MAX($RH$4:$RH$40),"",INDEX($AN$4:$AN$40,MATCH(ROW()-3,$RH$4:$RH$40,0)))</f>
      </c>
      <c r="RJ22" t="str">
        <f>IF(COUNTIF('Final Calculation Sheet'!$AL22:$AP22,0)+COUNTIF('Final Calculation Sheet'!$AR22:$BS22,0)&gt;0,0,1)</f>
      </c>
      <c r="RK22" t="str">
        <f>IF($O$22="",FALSE,SUMPRODUCT(('Final Calculation Sheet'!$F$4:$F$40=$O$22)*($RJ$4:$RJ$40=1))&gt;0)</f>
      </c>
      <c r="RL22" t="str">
        <f>=$RL21+--($RK22)</f>
      </c>
      <c r="RM22" t="str">
        <f>IF(ROW()-3&gt;MAX($RL$4:$RL$40),"",INDEX($O$4:$O$40,MATCH(ROW()-3,$RL$4:$RL$40,0)))</f>
      </c>
      <c r="RN22" t="str">
        <f>IF(COUNTIF('Final Calculation Sheet'!$AL22:$AQ22,0)+COUNTIF('Final Calculation Sheet'!$AS22:$BS22,0)&gt;0,0,1)</f>
      </c>
      <c r="RO22" t="str">
        <f>IF($T$22="",FALSE,SUMPRODUCT(('Final Calculation Sheet'!$G$4:$G$40=$T$22)*($RN$4:$RN$40=1))&gt;0)</f>
      </c>
      <c r="RP22" t="str">
        <f>=$RP21+--($RO22)</f>
      </c>
      <c r="RQ22" t="str">
        <f>IF(ROW()-3&gt;MAX($RP$4:$RP$40),"",INDEX($T$4:$T$40,MATCH(ROW()-3,$RP$4:$RP$40,0)))</f>
      </c>
      <c r="RR22" t="str">
        <f>IF(COUNTIF('Final Calculation Sheet'!$AL22:$AR22,0)+COUNTIF('Final Calculation Sheet'!$AT22:$BS22,0)&gt;0,0,1)</f>
      </c>
      <c r="RS22" t="str">
        <f>IF($AX$22="",FALSE,SUMPRODUCT(('Final Calculation Sheet'!$H$4:$H$40=$AX$22)*($RR$4:$RR$40=1))&gt;0)</f>
      </c>
      <c r="RT22" t="str">
        <f>=$RT21+--($RS22)</f>
      </c>
      <c r="RU22" t="str">
        <f>IF(ROW()-3&gt;MAX($RT$4:$RT$40),"",INDEX($AX$4:$AX$40,MATCH(ROW()-3,$RT$4:$RT$40,0)))</f>
      </c>
      <c r="RV22" t="str">
        <f>IF(COUNTIF('Final Calculation Sheet'!$AL22:$AS22,0)+COUNTIF('Final Calculation Sheet'!$AU22:$BS22,0)&gt;0,0,1)</f>
      </c>
      <c r="RW22" t="str">
        <f>IF($BC$22="",FALSE,SUMPRODUCT(('Final Calculation Sheet'!$I$4:$I$40=$BC$22)*($RV$4:$RV$40=1))&gt;0)</f>
      </c>
      <c r="RX22" t="str">
        <f>=$RX21+--($RW22)</f>
      </c>
      <c r="RY22" t="str">
        <f>IF(ROW()-3&gt;MAX($RX$4:$RX$40),"",INDEX($BC$4:$BC$40,MATCH(ROW()-3,$RX$4:$RX$40,0)))</f>
      </c>
      <c r="RZ22" t="str">
        <f>IF(COUNTIF('Final Calculation Sheet'!$AL22:$AT22,0)+COUNTIF('Final Calculation Sheet'!$AV22:$BS22,0)&gt;0,0,1)</f>
      </c>
      <c r="SA22" t="str">
        <f>IF($BH$22="",FALSE,SUMPRODUCT(('Final Calculation Sheet'!$J$4:$J$40=$BH$22)*($RZ$4:$RZ$40=1))&gt;0)</f>
      </c>
      <c r="SB22" t="str">
        <f>=$SB21+--($SA22)</f>
      </c>
      <c r="SC22" t="str">
        <f>IF(ROW()-3&gt;MAX($SB$4:$SB$40),"",INDEX($BH$4:$BH$40,MATCH(ROW()-3,$SB$4:$SB$40,0)))</f>
      </c>
      <c r="SD22" t="str">
        <f>IF(COUNTIF('Final Calculation Sheet'!$AL22:$AU22,0)+COUNTIF('Final Calculation Sheet'!$AW22:$BS22,0)&gt;0,0,1)</f>
      </c>
      <c r="SE22" t="str">
        <f>IF($BM$22="",FALSE,SUMPRODUCT(('Final Calculation Sheet'!$K$4:$K$40=$BM$22)*($SD$4:$SD$40=1))&gt;0)</f>
      </c>
      <c r="SF22" t="str">
        <f>=$SF21+--($SE22)</f>
      </c>
      <c r="SG22" t="str">
        <f>IF(ROW()-3&gt;MAX($SF$4:$SF$40),"",INDEX($BM$4:$BM$40,MATCH(ROW()-3,$SF$4:$SF$40,0)))</f>
      </c>
      <c r="SH22" t="str">
        <f>IF(COUNTIF('Final Calculation Sheet'!$AL22:$AV22,0)+COUNTIF('Final Calculation Sheet'!$AX22:$BS22,0)&gt;0,0,1)</f>
      </c>
      <c r="SI22" t="str">
        <f>IF($BR$22="",FALSE,SUMPRODUCT(('Final Calculation Sheet'!$L$4:$L$40=$BR$22)*($SH$4:$SH$40=1))&gt;0)</f>
      </c>
      <c r="SJ22" t="str">
        <f>=$SJ21+--($SI22)</f>
      </c>
      <c r="SK22" t="str">
        <f>IF(ROW()-3&gt;MAX($SJ$4:$SJ$40),"",INDEX($BR$4:$BR$40,MATCH(ROW()-3,$SJ$4:$SJ$40,0)))</f>
      </c>
      <c r="SL22" t="str">
        <f>IF(COUNTIF('Final Calculation Sheet'!$AL22:$AW22,0)+COUNTIF('Final Calculation Sheet'!$AY22:$BS22,0)&gt;0,0,1)</f>
      </c>
      <c r="SM22" t="str">
        <f>IF($BW$22="",FALSE,SUMPRODUCT(('Final Calculation Sheet'!$M$4:$M$40=$BW$22)*($SL$4:$SL$40=1))&gt;0)</f>
      </c>
      <c r="SN22" t="str">
        <f>=$SN21+--($SM22)</f>
      </c>
      <c r="SO22" t="str">
        <f>IF(ROW()-3&gt;MAX($SN$4:$SN$40),"",INDEX($BW$4:$BW$40,MATCH(ROW()-3,$SN$4:$SN$40,0)))</f>
      </c>
      <c r="SP22" t="str">
        <f>IF(COUNTIF('Final Calculation Sheet'!$AL22:$AX22,0)+COUNTIF('Final Calculation Sheet'!$AZ22:$BS22,0)&gt;0,0,1)</f>
      </c>
      <c r="SQ22" t="str">
        <f>IF($CB$22="",FALSE,SUMPRODUCT(('Final Calculation Sheet'!$N$4:$N$40=$CB$22)*($SP$4:$SP$40=1))&gt;0)</f>
      </c>
      <c r="SR22" t="str">
        <f>=$SR21+--($SQ22)</f>
      </c>
      <c r="SS22" t="str">
        <f>IF(ROW()-3&gt;MAX($SR$4:$SR$40),"",INDEX($CB$4:$CB$40,MATCH(ROW()-3,$SR$4:$SR$40,0)))</f>
      </c>
      <c r="ST22" t="str">
        <f>IF(COUNTIF('Final Calculation Sheet'!$AL22:$AY22,0)+COUNTIF('Final Calculation Sheet'!$BA22:$BS22,0)&gt;0,0,1)</f>
      </c>
      <c r="SU22" t="str">
        <f>IF($CG$22="",FALSE,SUMPRODUCT(('Final Calculation Sheet'!$O$4:$O$40=$CG$22)*($ST$4:$ST$40=1))&gt;0)</f>
      </c>
      <c r="SV22" t="str">
        <f>=$SV21+--($SU22)</f>
      </c>
      <c r="SW22" t="str">
        <f>IF(ROW()-3&gt;MAX($SV$4:$SV$40),"",INDEX($CG$4:$CG$40,MATCH(ROW()-3,$SV$4:$SV$40,0)))</f>
      </c>
      <c r="SX22" t="str">
        <f>IF(COUNTIF('Final Calculation Sheet'!$AL22:$AZ22,0)+COUNTIF('Final Calculation Sheet'!$BB22:$BS22,0)&gt;0,0,1)</f>
      </c>
      <c r="SY22" t="str">
        <f>IF($CL$22="",FALSE,SUMPRODUCT(('Final Calculation Sheet'!$P$4:$P$40=$CL$22)*($SX$4:$SX$40=1))&gt;0)</f>
      </c>
      <c r="SZ22" t="str">
        <f>=$SZ21+--($SY22)</f>
      </c>
      <c r="TA22" t="str">
        <f>IF(ROW()-3&gt;MAX($SZ$4:$SZ$40),"",INDEX($CL$4:$CL$40,MATCH(ROW()-3,$SZ$4:$SZ$40,0)))</f>
      </c>
      <c r="TB22" t="str">
        <f>IF(COUNTIF('Final Calculation Sheet'!$AL22:$BA22,0)+COUNTIF('Final Calculation Sheet'!$BC22:$BS22,0)&gt;0,0,1)</f>
      </c>
      <c r="TC22" t="str">
        <f>IF($CQ$22="",FALSE,SUMPRODUCT(('Final Calculation Sheet'!$Q$4:$Q$40=$CQ$22)*($TB$4:$TB$40=1))&gt;0)</f>
      </c>
      <c r="TD22" t="str">
        <f>=$TD21+--($TC22)</f>
      </c>
      <c r="TE22" t="str">
        <f>IF(ROW()-3&gt;MAX($TD$4:$TD$40),"",INDEX($CQ$4:$CQ$40,MATCH(ROW()-3,$TD$4:$TD$40,0)))</f>
      </c>
      <c r="TF22" t="str">
        <f>IF(COUNTIF('Final Calculation Sheet'!$AL22:$BB22,0)+COUNTIF('Final Calculation Sheet'!$BD22:$BS22,0)&gt;0,0,1)</f>
      </c>
      <c r="TG22" t="str">
        <f>IF($CV$22="",FALSE,SUMPRODUCT(('Final Calculation Sheet'!$R$4:$R$40=$CV$22)*($TF$4:$TF$40=1))&gt;0)</f>
      </c>
      <c r="TH22" t="str">
        <f>=$TH21+--($TG22)</f>
      </c>
      <c r="TI22" t="str">
        <f>IF(ROW()-3&gt;MAX($TH$4:$TH$40),"",INDEX($CV$4:$CV$40,MATCH(ROW()-3,$TH$4:$TH$40,0)))</f>
      </c>
      <c r="TJ22" t="str">
        <f>IF(COUNTIF('Final Calculation Sheet'!$AL22:$BC22,0)+COUNTIF('Final Calculation Sheet'!$BE22:$BS22,0)&gt;0,0,1)</f>
      </c>
      <c r="TK22" t="str">
        <f>IF($DA$22="",FALSE,SUMPRODUCT(('Final Calculation Sheet'!$S$4:$S$40=$DA$22)*($TJ$4:$TJ$40=1))&gt;0)</f>
      </c>
      <c r="TL22" t="str">
        <f>=$TL21+--($TK22)</f>
      </c>
      <c r="TM22" t="str">
        <f>IF(ROW()-3&gt;MAX($TL$4:$TL$40),"",INDEX($DA$4:$DA$40,MATCH(ROW()-3,$TL$4:$TL$40,0)))</f>
      </c>
      <c r="TN22" t="str">
        <f>IF(COUNTIF('Final Calculation Sheet'!$AL22:$BD22,0)+COUNTIF('Final Calculation Sheet'!$BF22:$BS22,0)&gt;0,0,1)</f>
      </c>
      <c r="TO22" t="str">
        <f>IF($DF$22="",FALSE,SUMPRODUCT(('Final Calculation Sheet'!$T$4:$T$40=$DF$22)*($TN$4:$TN$40=1))&gt;0)</f>
      </c>
      <c r="TP22" t="str">
        <f>=$TP21+--($TO22)</f>
      </c>
      <c r="TQ22" t="str">
        <f>IF(ROW()-3&gt;MAX($TP$4:$TP$40),"",INDEX($DF$4:$DF$40,MATCH(ROW()-3,$TP$4:$TP$40,0)))</f>
      </c>
      <c r="TR22" t="str">
        <f>IF(COUNTIF('Final Calculation Sheet'!$AL22:$BE22,0)+COUNTIF('Final Calculation Sheet'!$BG22:$BS22,0)&gt;0,0,1)</f>
      </c>
      <c r="TS22" t="str">
        <f>IF($DK$22="",FALSE,SUMPRODUCT(('Final Calculation Sheet'!$U$4:$U$40=$DK$22)*($TR$4:$TR$40=1))&gt;0)</f>
      </c>
      <c r="TT22" t="str">
        <f>=$TT21+--($TS22)</f>
      </c>
      <c r="TU22" t="str">
        <f>IF(ROW()-3&gt;MAX($TT$4:$TT$40),"",INDEX($DK$4:$DK$40,MATCH(ROW()-3,$TT$4:$TT$40,0)))</f>
      </c>
      <c r="TV22" t="str">
        <f>IF(COUNTIF('Final Calculation Sheet'!$AL22:$BF22,0)+COUNTIF('Final Calculation Sheet'!$BH22:$BS22,0)&gt;0,0,1)</f>
      </c>
      <c r="TW22" t="str">
        <f>IF($DP$22="",FALSE,SUMPRODUCT(('Final Calculation Sheet'!$V$4:$V$40=$DP$22)*($TV$4:$TV$40=1))&gt;0)</f>
      </c>
      <c r="TX22" t="str">
        <f>=$TX21+--($TW22)</f>
      </c>
      <c r="TY22" t="str">
        <f>IF(ROW()-3&gt;MAX($TX$4:$TX$40),"",INDEX($DP$4:$DP$40,MATCH(ROW()-3,$TX$4:$TX$40,0)))</f>
      </c>
      <c r="TZ22" t="str">
        <f>IF(COUNTIF('Final Calculation Sheet'!$AL22:$BG22,0)+COUNTIF('Final Calculation Sheet'!$BI22:$BS22,0)&gt;0,0,1)</f>
      </c>
      <c r="UA22" t="str">
        <f>IF($DU$22="",FALSE,SUMPRODUCT(('Final Calculation Sheet'!$W$4:$W$40=$DU$22)*($TZ$4:$TZ$40=1))&gt;0)</f>
      </c>
      <c r="UB22" t="str">
        <f>=$UB21+--($UA22)</f>
      </c>
      <c r="UC22" t="str">
        <f>IF(ROW()-3&gt;MAX($UB$4:$UB$40),"",INDEX($DU$4:$DU$40,MATCH(ROW()-3,$UB$4:$UB$40,0)))</f>
      </c>
      <c r="UD22" t="str">
        <f>IF(COUNTIF('Final Calculation Sheet'!$AL22:$BH22,0)+COUNTIF('Final Calculation Sheet'!$BJ22:$BS22,0)&gt;0,0,1)</f>
      </c>
      <c r="UE22" t="str">
        <f>IF($DZ$22="",FALSE,SUMPRODUCT(('Final Calculation Sheet'!$X$4:$X$40=$DZ$22)*($UD$4:$UD$40=1))&gt;0)</f>
      </c>
      <c r="UF22" t="str">
        <f>=$UF21+--($UE22)</f>
      </c>
      <c r="UG22" t="str">
        <f>IF(ROW()-3&gt;MAX($UF$4:$UF$40),"",INDEX($DZ$4:$DZ$40,MATCH(ROW()-3,$UF$4:$UF$40,0)))</f>
      </c>
      <c r="UH22" t="str">
        <f>IF(COUNTIF('Final Calculation Sheet'!$AL22:$BI22,0)+COUNTIF('Final Calculation Sheet'!$BK22:$BS22,0)&gt;0,0,1)</f>
      </c>
      <c r="UI22" t="str">
        <f>IF($EE$22="",FALSE,SUMPRODUCT(('Final Calculation Sheet'!$Y$4:$Y$40=$EE$22)*($UH$4:$UH$40=1))&gt;0)</f>
      </c>
      <c r="UJ22" t="str">
        <f>=$UJ21+--($UI22)</f>
      </c>
      <c r="UK22" t="str">
        <f>IF(ROW()-3&gt;MAX($UJ$4:$UJ$40),"",INDEX($EE$4:$EE$40,MATCH(ROW()-3,$UJ$4:$UJ$40,0)))</f>
      </c>
      <c r="UL22" t="str">
        <f>IF(COUNTIF('Final Calculation Sheet'!$AL22:$BJ22,0)+COUNTIF('Final Calculation Sheet'!$BL22:$BS22,0)&gt;0,0,1)</f>
      </c>
      <c r="UM22" t="str">
        <f>IF($EJ$22="",FALSE,SUMPRODUCT(('Final Calculation Sheet'!$Z$4:$Z$40=$EJ$22)*($UL$4:$UL$40=1))&gt;0)</f>
      </c>
      <c r="UN22" t="str">
        <f>=$UN21+--($UM22)</f>
      </c>
      <c r="UO22" t="str">
        <f>IF(ROW()-3&gt;MAX($UN$4:$UN$40),"",INDEX($EJ$4:$EJ$40,MATCH(ROW()-3,$UN$4:$UN$40,0)))</f>
      </c>
      <c r="UP22" t="str">
        <f>IF(COUNTIF('Final Calculation Sheet'!$AL22:$BK22,0)+COUNTIF('Final Calculation Sheet'!$BM22:$BS22,0)&gt;0,0,1)</f>
      </c>
      <c r="UQ22" t="str">
        <f>IF($EO$22="",FALSE,SUMPRODUCT(('Final Calculation Sheet'!$AA$4:$AA$40=$EO$22)*($UP$4:$UP$40=1))&gt;0)</f>
      </c>
      <c r="UR22" t="str">
        <f>=$UR21+--($UQ22)</f>
      </c>
      <c r="US22" t="str">
        <f>IF(ROW()-3&gt;MAX($UR$4:$UR$40),"",INDEX($EO$4:$EO$40,MATCH(ROW()-3,$UR$4:$UR$40,0)))</f>
      </c>
      <c r="UT22" t="str">
        <f>IF(COUNTIF('Final Calculation Sheet'!$AL22:$BL22,0)+COUNTIF('Final Calculation Sheet'!$BN22:$BS22,0)&gt;0,0,1)</f>
      </c>
      <c r="UU22" t="str">
        <f>IF($ET$22="",FALSE,SUMPRODUCT(('Final Calculation Sheet'!$AB$4:$AB$40=$ET$22)*($UT$4:$UT$40=1))&gt;0)</f>
      </c>
      <c r="UV22" t="str">
        <f>=$UV21+--($UU22)</f>
      </c>
      <c r="UW22" t="str">
        <f>IF(ROW()-3&gt;MAX($UV$4:$UV$40),"",INDEX($ET$4:$ET$40,MATCH(ROW()-3,$UV$4:$UV$40,0)))</f>
      </c>
      <c r="UX22" t="str">
        <f>IF(COUNTIF('Final Calculation Sheet'!$AL22:$BM22,0)+COUNTIF('Final Calculation Sheet'!$BO22:$BS22,0)&gt;0,0,1)</f>
      </c>
      <c r="UY22" t="str">
        <f>IF($EY$22="",FALSE,SUMPRODUCT(('Final Calculation Sheet'!$AC$4:$AC$40=$EY$22)*($UX$4:$UX$40=1))&gt;0)</f>
      </c>
      <c r="UZ22" t="str">
        <f>=$UZ21+--($UY22)</f>
      </c>
      <c r="VA22" t="str">
        <f>IF(ROW()-3&gt;MAX($UZ$4:$UZ$40),"",INDEX($EY$4:$EY$40,MATCH(ROW()-3,$UZ$4:$UZ$40,0)))</f>
      </c>
      <c r="VB22" t="str">
        <f>IF(COUNTIF('Final Calculation Sheet'!$AL22:$BN22,0)+COUNTIF('Final Calculation Sheet'!$BP22:$BS22,0)&gt;0,0,1)</f>
      </c>
      <c r="VC22" t="str">
        <f>IF($FD$22="",FALSE,SUMPRODUCT(('Final Calculation Sheet'!$AD$4:$AD$40=$FD$22)*($VB$4:$VB$40=1))&gt;0)</f>
      </c>
      <c r="VD22" t="str">
        <f>=$VD21+--($VC22)</f>
      </c>
      <c r="VE22" t="str">
        <f>IF(ROW()-3&gt;MAX($VD$4:$VD$40),"",INDEX($FD$4:$FD$40,MATCH(ROW()-3,$VD$4:$VD$40,0)))</f>
      </c>
      <c r="VF22" t="str">
        <f>IF(COUNTIF('Final Calculation Sheet'!$AL22:$BO22,0)+COUNTIF('Final Calculation Sheet'!$BQ22:$BS22,0)&gt;0,0,1)</f>
      </c>
      <c r="VG22" t="str">
        <f>IF($FI$22="",FALSE,SUMPRODUCT(('Final Calculation Sheet'!$AE$4:$AE$40=$FI$22)*($VF$4:$VF$40=1))&gt;0)</f>
      </c>
      <c r="VH22" t="str">
        <f>=$VH21+--($VG22)</f>
      </c>
      <c r="VI22" t="str">
        <f>IF(ROW()-3&gt;MAX($VH$4:$VH$40),"",INDEX($FI$4:$FI$40,MATCH(ROW()-3,$VH$4:$VH$40,0)))</f>
      </c>
      <c r="VJ22" t="str">
        <f>IF(COUNTIF('Final Calculation Sheet'!$AL22:$BP22,0)+COUNTIF('Final Calculation Sheet'!$BR22:$BS22,0)&gt;0,0,1)</f>
      </c>
      <c r="VK22" t="str">
        <f>IF($FN$22="",FALSE,SUMPRODUCT(('Final Calculation Sheet'!$AF$4:$AF$40=$FN$22)*($VJ$4:$VJ$40=1))&gt;0)</f>
      </c>
      <c r="VL22" t="str">
        <f>=$VL21+--($VK22)</f>
      </c>
      <c r="VM22" t="str">
        <f>IF(ROW()-3&gt;MAX($VL$4:$VL$40),"",INDEX($FN$4:$FN$40,MATCH(ROW()-3,$VL$4:$VL$40,0)))</f>
      </c>
      <c r="VN22" t="str">
        <f>IF(COUNTIF('Final Calculation Sheet'!$AL22:$BQ22,0)+COUNTIF('Final Calculation Sheet'!$BS22:$BS22,0)&gt;0,0,1)</f>
      </c>
      <c r="VO22" t="str">
        <f>IF($FS$22="",FALSE,SUMPRODUCT(('Final Calculation Sheet'!$AG$4:$AG$40=$FS$22)*($VN$4:$VN$40=1))&gt;0)</f>
      </c>
      <c r="VP22" t="str">
        <f>=$VP21+--($VO22)</f>
      </c>
      <c r="VQ22" t="str">
        <f>IF(ROW()-3&gt;MAX($VP$4:$VP$40),"",INDEX($FS$4:$FS$40,MATCH(ROW()-3,$VP$4:$VP$40,0)))</f>
      </c>
      <c r="VR22" t="str">
        <f>IF(COUNTIF('Final Calculation Sheet'!$AL22:$BR22,0)&gt;0,0,1)</f>
      </c>
      <c r="VS22" t="str">
        <f>IF($QO$22="",FALSE,SUMPRODUCT(('Final Calculation Sheet'!$AH$4:$AH$40=$QO$22)*($VR$4:$VR$40=1))&gt;0)</f>
      </c>
      <c r="VT22" t="str">
        <f>=$VT21+--($VS22)</f>
      </c>
      <c r="VU22" t="str">
        <f>IF(ROW()-3&gt;MAX($VT$4:$VT$40),"",INDEX($QO$4:$QO$40,MATCH(ROW()-3,$VT$4:$VT$40,0)))</f>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IF(COUNTIF('Live Search'!BM$22:BM$22,0)+COUNTIF('Live Search'!B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D23">
        <f>IF($O$23="",FALSE,SUMPRODUCT(('Final Calculation Sheet'!$F$4:$F$40=$O$23)*($GC$6:$GC$42=1))&gt;0)</f>
        <v/>
      </c>
      <c r="GE23">
        <f>$GE$22+--($GD23)</f>
        <v/>
      </c>
      <c r="GF23">
        <f>IF(ROW()-3&gt;MAX($GE$4:$GE$40),"",INDEX($O$4:$O$40,MATCH(ROW()-3,$GE$4:$GE$40,0)))</f>
        <v/>
      </c>
      <c r="GG23">
        <f>IF(COUNTIF('Live Search'!BM$22:BN$22,0)+COUNTIF('Live Search'!B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H23">
        <f>IF($T$23="",FALSE,SUMPRODUCT(('Final Calculation Sheet'!$G$4:$G$40=$T$23)*($GG$6:$GG$42=1))&gt;0)</f>
        <v/>
      </c>
      <c r="GI23">
        <f>$GI$22+--($GH23)</f>
        <v/>
      </c>
      <c r="GJ23">
        <f>IF(ROW()-3&gt;MAX($GI$4:$GI$40),"",INDEX($T$4:$T$40,MATCH(ROW()-3,$GI$4:$GI$40,0)))</f>
        <v/>
      </c>
      <c r="GK23">
        <f>IF(COUNTIF('Live Search'!BM$22:BP$22,0)+COUNTIF('Live Search'!B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L23">
        <f>IF($AD$23="",FALSE,SUMPRODUCT(('Final Calculation Sheet'!$D$4:$D$40=$AD$23)*($GK$6:$GK$42=1))&gt;0)</f>
        <v/>
      </c>
      <c r="GM23">
        <f>$GM$22+--($GL23)</f>
        <v/>
      </c>
      <c r="GN23">
        <f>IF(ROW()-3&gt;MAX($GM$4:$GM$40),"",INDEX($AD$4:$AD$40,MATCH(ROW()-3,$GM$4:$GM$40,0)))</f>
        <v/>
      </c>
      <c r="GO23">
        <f>IF(COUNTIF('Live Search'!BM$22:BQ$22,0)+COUNTIF('Live Search'!B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P23">
        <f>IF($AI$23="",FALSE,SUMPRODUCT(('Final Calculation Sheet'!$A$4:$A$40=$AI$23)*($GO$6:$GO$42=1))&gt;0)</f>
        <v/>
      </c>
      <c r="GQ23">
        <f>$GQ$22+--($GP23)</f>
        <v/>
      </c>
      <c r="GR23">
        <f>IF(ROW()-3&gt;MAX($GQ$4:$GQ$40),"",INDEX($AI$4:$AI$40,MATCH(ROW()-3,$GQ$4:$GQ$40,0)))</f>
        <v/>
      </c>
      <c r="GS23">
        <f>IF(COUNTIF('Live Search'!BM$22:BR$22,0)+COUNTIF('Live Search'!B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T23">
        <f>IF($AN$23="",FALSE,SUMPRODUCT(('Final Calculation Sheet'!$E$4:$E$40=$AN$23)*($GS$6:$GS$42=1))&gt;0)</f>
        <v/>
      </c>
      <c r="GU23">
        <f>$GU$22+--($GT23)</f>
        <v/>
      </c>
      <c r="GV23">
        <f>IF(ROW()-3&gt;MAX($GU$4:$GU$40),"",INDEX($AN$4:$AN$40,MATCH(ROW()-3,$GU$4:$GU$40,0)))</f>
        <v/>
      </c>
      <c r="GW23">
        <f>IF(COUNTIF('Live Search'!BM$22:BS$22,0)+COUNTIF('Live Search'!B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GX23">
        <f>IF($AS$23="",FALSE,SUMPRODUCT(('Final Calculation Sheet'!$C$4:$C$40=$AS$23)*($GW$6:$GW$42=1))&gt;0)</f>
        <v/>
      </c>
      <c r="GY23">
        <f>$GY$22+--($GX23)</f>
        <v/>
      </c>
      <c r="GZ23">
        <f>IF(ROW()-3&gt;MAX($GY$4:$GY$40),"",INDEX($AS$4:$AS$40,MATCH(ROW()-3,$GY$4:$GY$40,0)))</f>
        <v/>
      </c>
      <c r="HA23">
        <f>IF(COUNTIF('Live Search'!BM$22:BT$22,0)+COUNTIF('Live Search'!BV$22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B23">
        <f>IF($AX$23="",FALSE,SUMPRODUCT(('Final Calculation Sheet'!$H$4:$H$40=$AX$23)*($HA$6:$HA$42=1))&gt;0)</f>
        <v/>
      </c>
      <c r="HC23">
        <f>$HC$22+--($HB23)</f>
        <v/>
      </c>
      <c r="HD23">
        <f>IF(ROW()-3&gt;MAX($HC$4:$HC$40),"",INDEX($AX$4:$AX$40,MATCH(ROW()-3,$HC$4:$HC$40,0)))</f>
        <v/>
      </c>
      <c r="HE23">
        <f>IF(COUNTIF('Live Search'!BM$22:BU$22,0)+COUNTIF('Live Search'!BW$22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F23">
        <f>IF($BC$23="",FALSE,SUMPRODUCT(('Final Calculation Sheet'!$I$4:$I$40=$BC$23)*($HE$6:$HE$42=1))&gt;0)</f>
        <v/>
      </c>
      <c r="HG23">
        <f>$HG$22+--($HF23)</f>
        <v/>
      </c>
      <c r="HH23">
        <f>IF(ROW()-3&gt;MAX($HG$4:$HG$40),"",INDEX($BC$4:$BC$40,MATCH(ROW()-3,$HG$4:$HG$40,0)))</f>
        <v/>
      </c>
      <c r="HI23">
        <f>IF(COUNTIF('Live Search'!BM$22:BV$22,0)+COUNTIF('Live Search'!BX$22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J23">
        <f>IF($BH$23="",FALSE,SUMPRODUCT(('Final Calculation Sheet'!$J$4:$J$40=$BH$23)*($HI$6:$HI$42=1))&gt;0)</f>
        <v/>
      </c>
      <c r="HK23">
        <f>$HK$22+--($HJ23)</f>
        <v/>
      </c>
      <c r="HL23">
        <f>IF(ROW()-3&gt;MAX($HK$4:$HK$40),"",INDEX($BH$4:$BH$40,MATCH(ROW()-3,$HK$4:$HK$40,0)))</f>
        <v/>
      </c>
      <c r="HM23">
        <f>IF(COUNTIF('Live Search'!BM$22:BW$22,0)+COUNTIF('Live Search'!BY$22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N23">
        <f>IF($BM$23="",FALSE,SUMPRODUCT(('Final Calculation Sheet'!$K$4:$K$40=$BM$23)*($HM$6:$HM$42=1))&gt;0)</f>
        <v/>
      </c>
      <c r="HO23">
        <f>$HO$22+--($HN23)</f>
        <v/>
      </c>
      <c r="HP23">
        <f>IF(ROW()-3&gt;MAX($HO$4:$HO$40),"",INDEX($BM$4:$BM$40,MATCH(ROW()-3,$HO$4:$HO$40,0)))</f>
        <v/>
      </c>
      <c r="HQ23">
        <f>IF(COUNTIF('Live Search'!BM$22:BX$22,0)+COUNTIF('Live Search'!BZ$22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R23">
        <f>IF($BR$23="",FALSE,SUMPRODUCT(('Final Calculation Sheet'!$L$4:$L$40=$BR$23)*($HQ$6:$HQ$42=1))&gt;0)</f>
        <v/>
      </c>
      <c r="HS23">
        <f>$HS$22+--($HR23)</f>
        <v/>
      </c>
      <c r="HT23">
        <f>IF(ROW()-3&gt;MAX($HS$4:$HS$40),"",INDEX($BR$4:$BR$40,MATCH(ROW()-3,$HS$4:$HS$40,0)))</f>
        <v/>
      </c>
      <c r="HU23">
        <f>IF(COUNTIF('Live Search'!BM$22:BY$22,0)+COUNTIF('Live Search'!CA$22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V23">
        <f>IF($BW$23="",FALSE,SUMPRODUCT(('Final Calculation Sheet'!$M$4:$M$40=$BW$23)*($HU$6:$HU$42=1))&gt;0)</f>
        <v/>
      </c>
      <c r="HW23">
        <f>$HW$22+--($HV23)</f>
        <v/>
      </c>
      <c r="HX23">
        <f>IF(ROW()-3&gt;MAX($HW$4:$HW$40),"",INDEX($BW$4:$BW$40,MATCH(ROW()-3,$HW$4:$HW$40,0)))</f>
        <v/>
      </c>
      <c r="HY23">
        <f>IF(COUNTIF('Live Search'!BM$22:BZ$22,0)+COUNTIF('Live Search'!CB$22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HZ23">
        <f>IF($CB$23="",FALSE,SUMPRODUCT(('Final Calculation Sheet'!$N$4:$N$40=$CB$23)*($HY$6:$HY$42=1))&gt;0)</f>
        <v/>
      </c>
      <c r="IA23">
        <f>$IA$22+--($HZ23)</f>
        <v/>
      </c>
      <c r="IB23">
        <f>IF(ROW()-3&gt;MAX($IA$4:$IA$40),"",INDEX($CB$4:$CB$40,MATCH(ROW()-3,$IA$4:$IA$40,0)))</f>
        <v/>
      </c>
      <c r="IC23">
        <f>IF(COUNTIF('Live Search'!BM$22:CA$22,0)+COUNTIF('Live Search'!CC$22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D23">
        <f>IF($CG$23="",FALSE,SUMPRODUCT(('Final Calculation Sheet'!$O$4:$O$40=$CG$23)*($IC$6:$IC$42=1))&gt;0)</f>
        <v/>
      </c>
      <c r="IE23">
        <f>$IE$22+--($ID23)</f>
        <v/>
      </c>
      <c r="IF23">
        <f>IF(ROW()-3&gt;MAX($IE$4:$IE$40),"",INDEX($CG$4:$CG$40,MATCH(ROW()-3,$IE$4:$IE$40,0)))</f>
        <v/>
      </c>
      <c r="IG23">
        <f>IF(COUNTIF('Live Search'!BM$22:CB$22,0)+COUNTIF('Live Search'!CD$22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H23">
        <f>IF($CL$23="",FALSE,SUMPRODUCT(('Final Calculation Sheet'!$P$4:$P$40=$CL$23)*($IG$6:$IG$42=1))&gt;0)</f>
        <v/>
      </c>
      <c r="II23">
        <f>$II$22+--($IH23)</f>
        <v/>
      </c>
      <c r="IJ23">
        <f>IF(ROW()-3&gt;MAX($II$4:$II$40),"",INDEX($CL$4:$CL$40,MATCH(ROW()-3,$II$4:$II$40,0)))</f>
        <v/>
      </c>
      <c r="IK23">
        <f>IF(COUNTIF('Live Search'!BM$22:CC$22,0)+COUNTIF('Live Search'!CE$22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L23">
        <f>IF($CQ$23="",FALSE,SUMPRODUCT(('Final Calculation Sheet'!$Q$4:$Q$40=$CQ$23)*($IK$6:$IK$42=1))&gt;0)</f>
        <v/>
      </c>
      <c r="IM23">
        <f>$IM$22+--($IL23)</f>
        <v/>
      </c>
      <c r="IN23">
        <f>IF(ROW()-3&gt;MAX($IM$4:$IM$40),"",INDEX($CQ$4:$CQ$40,MATCH(ROW()-3,$IM$4:$IM$40,0)))</f>
        <v/>
      </c>
      <c r="IO23">
        <f>IF(COUNTIF('Live Search'!BM$22:CD$22,0)+COUNTIF('Live Search'!CF$22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P23">
        <f>IF($CV$23="",FALSE,SUMPRODUCT(('Final Calculation Sheet'!$R$4:$R$40=$CV$23)*($IO$6:$IO$42=1))&gt;0)</f>
        <v/>
      </c>
      <c r="IQ23">
        <f>$IQ$22+--($IP23)</f>
        <v/>
      </c>
      <c r="IR23">
        <f>IF(ROW()-3&gt;MAX($IQ$4:$IQ$40),"",INDEX($CV$4:$CV$40,MATCH(ROW()-3,$IQ$4:$IQ$40,0)))</f>
        <v/>
      </c>
      <c r="IS23">
        <f>IF(COUNTIF('Live Search'!BM$22:CE$22,0)+COUNTIF('Live Search'!CG$22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T23">
        <f>IF($DA$23="",FALSE,SUMPRODUCT(('Final Calculation Sheet'!$S$4:$S$40=$DA$23)*($IS$6:$IS$42=1))&gt;0)</f>
        <v/>
      </c>
      <c r="IU23">
        <f>$IU$22+--($IT23)</f>
        <v/>
      </c>
      <c r="IV23">
        <f>IF(ROW()-3&gt;MAX($IU$4:$IU$40),"",INDEX($DA$4:$DA$40,MATCH(ROW()-3,$IU$4:$IU$40,0)))</f>
        <v/>
      </c>
      <c r="IW23">
        <f>IF(COUNTIF('Live Search'!BM$22:CF$22,0)+COUNTIF('Live Search'!CH$22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IX23">
        <f>IF($DF$23="",FALSE,SUMPRODUCT(('Final Calculation Sheet'!$T$4:$T$40=$DF$23)*($IW$6:$IW$42=1))&gt;0)</f>
        <v/>
      </c>
      <c r="IY23">
        <f>$IY$22+--($IX23)</f>
        <v/>
      </c>
      <c r="IZ23">
        <f>IF(ROW()-3&gt;MAX($IY$4:$IY$40),"",INDEX($DF$4:$DF$40,MATCH(ROW()-3,$IY$4:$IY$40,0)))</f>
        <v/>
      </c>
      <c r="JA23">
        <f>IF(COUNTIF('Live Search'!BM$22:CG$22,0)+COUNTIF('Live Search'!CI$22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B23">
        <f>IF($DK$23="",FALSE,SUMPRODUCT(('Final Calculation Sheet'!$U$4:$U$40=$DK$23)*($JA$6:$JA$42=1))&gt;0)</f>
        <v/>
      </c>
      <c r="JC23">
        <f>$JC$22+--($JB23)</f>
        <v/>
      </c>
      <c r="JD23">
        <f>IF(ROW()-3&gt;MAX($JC$4:$JC$40),"",INDEX($DK$4:$DK$40,MATCH(ROW()-3,$JC$4:$JC$40,0)))</f>
        <v/>
      </c>
      <c r="JE23">
        <f>IF(COUNTIF('Live Search'!BM$22:CH$22,0)+COUNTIF('Live Search'!CJ$22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F23">
        <f>IF($DP$23="",FALSE,SUMPRODUCT(('Final Calculation Sheet'!$V$4:$V$40=$DP$23)*($JE$6:$JE$42=1))&gt;0)</f>
        <v/>
      </c>
      <c r="JG23">
        <f>$JG$22+--($JF23)</f>
        <v/>
      </c>
      <c r="JH23">
        <f>IF(ROW()-3&gt;MAX($JG$4:$JG$40),"",INDEX($DP$4:$DP$40,MATCH(ROW()-3,$JG$4:$JG$40,0)))</f>
        <v/>
      </c>
      <c r="JI23">
        <f>IF(COUNTIF('Live Search'!BM$22:CI$22,0)+COUNTIF('Live Search'!CK$22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J23">
        <f>IF($DU$23="",FALSE,SUMPRODUCT(('Final Calculation Sheet'!$W$4:$W$40=$DU$23)*($JI$6:$JI$42=1))&gt;0)</f>
        <v/>
      </c>
      <c r="JK23">
        <f>$JK$22+--($JJ23)</f>
        <v/>
      </c>
      <c r="JL23">
        <f>IF(ROW()-3&gt;MAX($JK$4:$JK$40),"",INDEX($DU$4:$DU$40,MATCH(ROW()-3,$JK$4:$JK$40,0)))</f>
        <v/>
      </c>
      <c r="JM23">
        <f>IF(COUNTIF('Live Search'!BM$22:CJ$22,0)+COUNTIF('Live Search'!CL$22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N23">
        <f>IF($DZ$23="",FALSE,SUMPRODUCT(('Final Calculation Sheet'!$X$4:$X$40=$DZ$23)*($JM$6:$JM$42=1))&gt;0)</f>
        <v/>
      </c>
      <c r="JO23">
        <f>$JO$22+--($JN23)</f>
        <v/>
      </c>
      <c r="JP23">
        <f>IF(ROW()-3&gt;MAX($JO$4:$JO$40),"",INDEX($DZ$4:$DZ$40,MATCH(ROW()-3,$JO$4:$JO$40,0)))</f>
        <v/>
      </c>
      <c r="JQ23">
        <f>IF(COUNTIF('Live Search'!BM$22:CK$22,0)+COUNTIF('Live Search'!C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R23">
        <f>IF($EE$23="",FALSE,SUMPRODUCT(('Final Calculation Sheet'!$Y$4:$Y$40=$EE$23)*($JQ$6:$JQ$42=1))&gt;0)</f>
        <v/>
      </c>
      <c r="JS23">
        <f>$JS$22+--($JR23)</f>
        <v/>
      </c>
      <c r="JT23">
        <f>IF(ROW()-3&gt;MAX($JS$4:$JS$40),"",INDEX($EE$4:$EE$40,MATCH(ROW()-3,$JS$4:$JS$40,0)))</f>
        <v/>
      </c>
      <c r="JU23">
        <f>IF(COUNTIF('Live Search'!BM$22:CL$22,0)+COUNTIF('Live Search'!CN$22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V23">
        <f>IF($EJ$23="",FALSE,SUMPRODUCT(('Final Calculation Sheet'!$Z$4:$Z$40=$EJ$23)*($JU$6:$JU$42=1))&gt;0)</f>
        <v/>
      </c>
      <c r="JW23">
        <f>$JW$22+--($JV23)</f>
        <v/>
      </c>
      <c r="JX23">
        <f>IF(ROW()-3&gt;MAX($JW$4:$JW$40),"",INDEX($EJ$4:$EJ$40,MATCH(ROW()-3,$JW$4:$JW$40,0)))</f>
        <v/>
      </c>
      <c r="JY23">
        <f>IF(COUNTIF('Live Search'!BM$22:CM$22,0)+COUNTIF('Live Search'!CO$22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JZ23">
        <f>IF($EO$23="",FALSE,SUMPRODUCT(('Final Calculation Sheet'!$AA$4:$AA$40=$EO$23)*($JY$6:$JY$42=1))&gt;0)</f>
        <v/>
      </c>
      <c r="KA23">
        <f>$KA$22+--($JZ23)</f>
        <v/>
      </c>
      <c r="KB23">
        <f>IF(ROW()-3&gt;MAX($KA$4:$KA$40),"",INDEX($EO$4:$EO$40,MATCH(ROW()-3,$KA$4:$KA$40,0)))</f>
        <v/>
      </c>
      <c r="KC23">
        <f>IF(COUNTIF('Live Search'!BM$22:CN$22,0)+COUNTIF('Live Search'!CP$22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D23">
        <f>IF($ET$23="",FALSE,SUMPRODUCT(('Final Calculation Sheet'!$AB$4:$AB$40=$ET$23)*($KC$6:$KC$42=1))&gt;0)</f>
        <v/>
      </c>
      <c r="KE23">
        <f>$KE$22+--($KD23)</f>
        <v/>
      </c>
      <c r="KF23">
        <f>IF(ROW()-3&gt;MAX($KE$4:$KE$40),"",INDEX($ET$4:$ET$40,MATCH(ROW()-3,$KE$4:$KE$40,0)))</f>
        <v/>
      </c>
      <c r="KG23">
        <f>IF(COUNTIF('Live Search'!BM$22:CO$22,0)+COUNTIF('Live Search'!CQ$22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H23">
        <f>IF($EY$23="",FALSE,SUMPRODUCT(('Final Calculation Sheet'!$AC$4:$AC$40=$EY$23)*($KG$6:$KG$42=1))&gt;0)</f>
        <v/>
      </c>
      <c r="KI23">
        <f>$KI$22+--($KH23)</f>
        <v/>
      </c>
      <c r="KJ23">
        <f>IF(ROW()-3&gt;MAX($KI$4:$KI$40),"",INDEX($EY$4:$EY$40,MATCH(ROW()-3,$KI$4:$KI$40,0)))</f>
        <v/>
      </c>
      <c r="KK23">
        <f>IF(COUNTIF('Live Search'!BM$22:CP$22,0)+COUNTIF('Live Search'!CR$22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L23">
        <f>IF($FD$23="",FALSE,SUMPRODUCT(('Final Calculation Sheet'!$AD$4:$AD$40=$FD$23)*($KK$6:$KK$42=1))&gt;0)</f>
        <v/>
      </c>
      <c r="KM23">
        <f>$KM$22+--($KL23)</f>
        <v/>
      </c>
      <c r="KN23">
        <f>IF(ROW()-3&gt;MAX($KM$4:$KM$40),"",INDEX($FD$4:$FD$40,MATCH(ROW()-3,$KM$4:$KM$40,0)))</f>
        <v/>
      </c>
      <c r="KO23">
        <f>IF(COUNTIF('Live Search'!BM$22:CT$22,0)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P23">
        <f>IF($FX$23="",FALSE,SUMPRODUCT((IF('Final Calculation Sheet'!$AD$4:$AD$40&lt;=5,"SETTLED","OUTSTANDING")=$FX$23)*($KO$6:$KO$42=1))&gt;0)</f>
        <v/>
      </c>
      <c r="KQ23">
        <f>$KQ$22+--($KP23)</f>
        <v/>
      </c>
      <c r="KR23">
        <f>IF(ROW()-3&gt;MAX($KQ$4:$KQ$40),"",INDEX($FX$4:$FX$40,MATCH(ROW()-3,$KQ$4:$KQ$40,0)))</f>
        <v/>
      </c>
      <c r="KS23">
        <f>IF(COUNTIF('Live Search'!BM$22:CQ$22,0)+COUNTIF('Live Search'!CS$22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T23">
        <f>IF($FI$23="",FALSE,SUMPRODUCT(('Final Calculation Sheet'!$AF$4:$AF$40=$FI$23)*($KS$6:$KS$42=1))&gt;0)</f>
        <v/>
      </c>
      <c r="KU23">
        <f>$KU$22+--($KT23)</f>
        <v/>
      </c>
      <c r="KV23">
        <f>IF(ROW()-3&gt;MAX($KU$4:$KU$40),"",INDEX($FI$4:$FI$40,MATCH(ROW()-3,$KU$4:$KU$40,0)))</f>
        <v/>
      </c>
      <c r="KW23">
        <f>IF(COUNTIF('Live Search'!BM$22:CR$22,0)+COUNTIF('Live Search'!CT$22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KX23">
        <f>IF($FN$23="",FALSE,SUMPRODUCT(('Final Calculation Sheet'!$AG$4:$AG$40=$FN$23)*($KW$6:$KW$42=1))&gt;0)</f>
        <v/>
      </c>
      <c r="KY23">
        <f>$KY$22+--($KX23)</f>
        <v/>
      </c>
      <c r="KZ23">
        <f>IF(ROW()-3&gt;MAX($KY$4:$KY$40),"",INDEX($FN$4:$FN$40,MATCH(ROW()-3,$KY$4:$KY$40,0)))</f>
        <v/>
      </c>
      <c r="LA23">
        <f>IF(COUNTIF('Live Search'!BM$22:CS$22,0)+COUNTIF('Live Search'!CU$22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LB23">
        <f>IF($FS$23="",FALSE,SUMPRODUCT(('Final Calculation Sheet'!$AH$4:$AH$40=$FS$23)*($LA$6:$LA$42=1))&gt;0)</f>
        <v/>
      </c>
      <c r="LC23">
        <f>$LC$22+--($LB23)</f>
        <v/>
      </c>
      <c r="LD23">
        <f>IF(ROW()-3&gt;MAX($LC$4:$LC$40),"",INDEX($FS$4:$FS$40,MATCH(ROW()-3,$LC$4:$LC$40,0)))</f>
        <v/>
      </c>
      <c r="LE23">
        <f>IF(COUNTIF('Buyer Groups'!DH76:EN76,0)&gt;0,0,1)</f>
        <v/>
      </c>
      <c r="LF23">
        <f>IF($O$23="",FALSE,SUMPRODUCT(('Final Calculation Sheet'!$F$4:$F$40=$O$23)*($LE$6:$LE$42=1))&gt;0)</f>
        <v/>
      </c>
      <c r="LG23">
        <f>$LG$22+--($LF23)</f>
        <v/>
      </c>
      <c r="LH23">
        <f>IF(ROW()-3&gt;MAX($LG$4:$LG$40),"",INDEX($O$4:$O$40,MATCH(ROW()-3,$LG$4:$LG$40,0)))</f>
        <v/>
      </c>
      <c r="LI23">
        <f>IF(COUNTIF('Buyer Groups'!DG76:DG76,0)+COUNTIF('Buyer Groups'!DI76:EN76,0)&gt;0,0,1)</f>
        <v/>
      </c>
      <c r="LJ23">
        <f>IF($T$23="",FALSE,SUMPRODUCT(('Final Calculation Sheet'!$G$4:$G$40=$T$23)*($LI$6:$LI$42=1))&gt;0)</f>
        <v/>
      </c>
      <c r="LK23">
        <f>$LK$22+--($LJ23)</f>
        <v/>
      </c>
      <c r="LL23">
        <f>IF(ROW()-3&gt;MAX($LK$4:$LK$40),"",INDEX($T$4:$T$40,MATCH(ROW()-3,$LK$4:$LK$40,0)))</f>
        <v/>
      </c>
      <c r="LM23">
        <f>IF(COUNTIF('Buyer Groups'!DG76:DH76,0)+COUNTIF('Buyer Groups'!DJ76:EN76,0)&gt;0,0,1)</f>
        <v/>
      </c>
      <c r="LN23">
        <f>IF($Y$23="",FALSE,SUMPRODUCT(('Final Calculation Sheet'!$B$4:$B$40=$Y$23)*($LM$6:$LM$42=1))&gt;0)</f>
        <v/>
      </c>
      <c r="LO23">
        <f>$LO$22+--($LN23)</f>
        <v/>
      </c>
      <c r="LP23">
        <f>IF(ROW()-3&gt;MAX($LO$4:$LO$40),"",INDEX($Y$4:$Y$40,MATCH(ROW()-3,$LO$4:$LO$40,0)))</f>
        <v/>
      </c>
      <c r="LQ23">
        <f>IF(COUNTIF('Buyer Groups'!DG76:DI76,0)+COUNTIF('Buyer Groups'!DK76:EN76,0)&gt;0,0,1)</f>
        <v/>
      </c>
      <c r="LR23">
        <f>IF($AD$23="",FALSE,SUMPRODUCT(('Final Calculation Sheet'!$D$4:$D$40=$AD$23)*($LQ$6:$LQ$42=1))&gt;0)</f>
        <v/>
      </c>
      <c r="LS23">
        <f>$LS$22+--($LR23)</f>
        <v/>
      </c>
      <c r="LT23">
        <f>IF(ROW()-3&gt;MAX($LS$4:$LS$40),"",INDEX($AD$4:$AD$40,MATCH(ROW()-3,$LS$4:$LS$40,0)))</f>
        <v/>
      </c>
      <c r="LU23">
        <f>IF(COUNTIF('Buyer Groups'!DG76:DJ76,0)+COUNTIF('Buyer Groups'!DL76:EN76,0)&gt;0,0,1)</f>
        <v/>
      </c>
      <c r="LV23">
        <f>IF($AI$23="",FALSE,SUMPRODUCT(('Final Calculation Sheet'!$A$4:$A$40=$AI$23)*($LU$6:$LU$42=1))&gt;0)</f>
        <v/>
      </c>
      <c r="LW23">
        <f>$LW$22+--($LV23)</f>
        <v/>
      </c>
      <c r="LX23">
        <f>IF(ROW()-3&gt;MAX($LW$4:$LW$40),"",INDEX($AI$4:$AI$40,MATCH(ROW()-3,$LW$4:$LW$40,0)))</f>
        <v/>
      </c>
      <c r="LY23">
        <f>IF(COUNTIF('Buyer Groups'!DG76:DK76,0)+COUNTIF('Buyer Groups'!DM76:EN76,0)&gt;0,0,1)</f>
        <v/>
      </c>
      <c r="LZ23">
        <f>IF($AN$23="",FALSE,SUMPRODUCT(('Final Calculation Sheet'!$E$4:$E$40=$AN$23)*($LY$6:$LY$42=1))&gt;0)</f>
        <v/>
      </c>
      <c r="MA23">
        <f>$MA$22+--($LZ23)</f>
        <v/>
      </c>
      <c r="MB23">
        <f>IF(ROW()-3&gt;MAX($MA$4:$MA$40),"",INDEX($AN$4:$AN$40,MATCH(ROW()-3,$MA$4:$MA$40,0)))</f>
        <v/>
      </c>
      <c r="MC23">
        <f>IF(COUNTIF('Buyer Groups'!DG76:DL76,0)+COUNTIF('Buyer Groups'!DN76:EN76,0)&gt;0,0,1)</f>
        <v/>
      </c>
      <c r="MD23">
        <f>IF($AS$23="",FALSE,SUMPRODUCT(('Final Calculation Sheet'!$C$4:$C$40=$AS$23)*($MC$6:$MC$42=1))&gt;0)</f>
        <v/>
      </c>
      <c r="ME23">
        <f>$ME$22+--($MD23)</f>
        <v/>
      </c>
      <c r="MF23">
        <f>IF(ROW()-3&gt;MAX($ME$4:$ME$40),"",INDEX($AS$4:$AS$40,MATCH(ROW()-3,$ME$4:$ME$40,0)))</f>
        <v/>
      </c>
      <c r="MG23">
        <f>IF(COUNTIF('Buyer Groups'!DG76:DM76,0)+COUNTIF('Buyer Groups'!DO76:EN76,0)&gt;0,0,1)</f>
        <v/>
      </c>
      <c r="MH23">
        <f>IF($AX$23="",FALSE,SUMPRODUCT(('Final Calculation Sheet'!$H$4:$H$40=$AX$23)*($MG$6:$MG$42=1))&gt;0)</f>
        <v/>
      </c>
      <c r="MI23">
        <f>$MI$22+--($MH23)</f>
        <v/>
      </c>
      <c r="MJ23">
        <f>IF(ROW()-3&gt;MAX($MI$4:$MI$40),"",INDEX($AX$4:$AX$40,MATCH(ROW()-3,$MI$4:$MI$40,0)))</f>
        <v/>
      </c>
      <c r="MK23">
        <f>IF(COUNTIF('Buyer Groups'!DG76:DN76,0)+COUNTIF('Buyer Groups'!DP76:EN76,0)&gt;0,0,1)</f>
        <v/>
      </c>
      <c r="ML23">
        <f>IF($BC$23="",FALSE,SUMPRODUCT(('Final Calculation Sheet'!$I$4:$I$40=$BC$23)*($MK$6:$MK$42=1))&gt;0)</f>
        <v/>
      </c>
      <c r="MM23">
        <f>$MM$22+--($ML23)</f>
        <v/>
      </c>
      <c r="MN23">
        <f>IF(ROW()-3&gt;MAX($MM$4:$MM$40),"",INDEX($BC$4:$BC$40,MATCH(ROW()-3,$MM$4:$MM$40,0)))</f>
        <v/>
      </c>
      <c r="MO23">
        <f>IF(COUNTIF('Buyer Groups'!DG76:DO76,0)+COUNTIF('Buyer Groups'!DQ76:EN76,0)&gt;0,0,1)</f>
        <v/>
      </c>
      <c r="MP23">
        <f>IF($BH$23="",FALSE,SUMPRODUCT(('Final Calculation Sheet'!$J$4:$J$40=$BH$23)*($MO$6:$MO$42=1))&gt;0)</f>
        <v/>
      </c>
      <c r="MQ23">
        <f>$MQ$22+--($MP23)</f>
        <v/>
      </c>
      <c r="MR23">
        <f>IF(ROW()-3&gt;MAX($MQ$4:$MQ$40),"",INDEX($BH$4:$BH$40,MATCH(ROW()-3,$MQ$4:$MQ$40,0)))</f>
        <v/>
      </c>
      <c r="MS23">
        <f>IF(COUNTIF('Buyer Groups'!DG76:DP76,0)+COUNTIF('Buyer Groups'!DR76:EN76,0)&gt;0,0,1)</f>
        <v/>
      </c>
      <c r="MT23">
        <f>IF($BM$23="",FALSE,SUMPRODUCT(('Final Calculation Sheet'!$K$4:$K$40=$BM$23)*($MS$6:$MS$42=1))&gt;0)</f>
        <v/>
      </c>
      <c r="MU23">
        <f>$MU$22+--($MT23)</f>
        <v/>
      </c>
      <c r="MV23">
        <f>IF(ROW()-3&gt;MAX($MU$4:$MU$40),"",INDEX($BM$4:$BM$40,MATCH(ROW()-3,$MU$4:$MU$40,0)))</f>
        <v/>
      </c>
      <c r="MW23">
        <f>IF(COUNTIF('Buyer Groups'!DG76:DQ76,0)+COUNTIF('Buyer Groups'!DS76:EN76,0)&gt;0,0,1)</f>
        <v/>
      </c>
      <c r="MX23">
        <f>IF($BR$23="",FALSE,SUMPRODUCT(('Final Calculation Sheet'!$L$4:$L$40=$BR$23)*($MW$6:$MW$42=1))&gt;0)</f>
        <v/>
      </c>
      <c r="MY23">
        <f>$MY$22+--($MX23)</f>
        <v/>
      </c>
      <c r="MZ23">
        <f>IF(ROW()-3&gt;MAX($MY$4:$MY$40),"",INDEX($BR$4:$BR$40,MATCH(ROW()-3,$MY$4:$MY$40,0)))</f>
        <v/>
      </c>
      <c r="NA23">
        <f>IF(COUNTIF('Buyer Groups'!DG76:DR76,0)+COUNTIF('Buyer Groups'!DT76:EN76,0)&gt;0,0,1)</f>
        <v/>
      </c>
      <c r="NB23">
        <f>IF($BW$23="",FALSE,SUMPRODUCT(('Final Calculation Sheet'!$M$4:$M$40=$BW$23)*($NA$6:$NA$42=1))&gt;0)</f>
        <v/>
      </c>
      <c r="NC23">
        <f>$NC$22+--($NB23)</f>
        <v/>
      </c>
      <c r="ND23">
        <f>IF(ROW()-3&gt;MAX($NC$4:$NC$40),"",INDEX($BW$4:$BW$40,MATCH(ROW()-3,$NC$4:$NC$40,0)))</f>
        <v/>
      </c>
      <c r="NE23">
        <f>IF(COUNTIF('Buyer Groups'!DG76:DS76,0)+COUNTIF('Buyer Groups'!DU76:EN76,0)&gt;0,0,1)</f>
        <v/>
      </c>
      <c r="NF23">
        <f>IF($CB$23="",FALSE,SUMPRODUCT(('Final Calculation Sheet'!$N$4:$N$40=$CB$23)*($NE$6:$NE$42=1))&gt;0)</f>
        <v/>
      </c>
      <c r="NG23">
        <f>$NG$22+--($NF23)</f>
        <v/>
      </c>
      <c r="NH23">
        <f>IF(ROW()-3&gt;MAX($NG$4:$NG$40),"",INDEX($CB$4:$CB$40,MATCH(ROW()-3,$NG$4:$NG$40,0)))</f>
        <v/>
      </c>
      <c r="NI23">
        <f>IF(COUNTIF('Buyer Groups'!DG76:DT76,0)+COUNTIF('Buyer Groups'!DV76:EN76,0)&gt;0,0,1)</f>
        <v/>
      </c>
      <c r="NJ23">
        <f>IF($CG$23="",FALSE,SUMPRODUCT(('Final Calculation Sheet'!$O$4:$O$40=$CG$23)*($NI$6:$NI$42=1))&gt;0)</f>
        <v/>
      </c>
      <c r="NK23">
        <f>$NK$22+--($NJ23)</f>
        <v/>
      </c>
      <c r="NL23">
        <f>IF(ROW()-3&gt;MAX($NK$4:$NK$40),"",INDEX($CG$4:$CG$40,MATCH(ROW()-3,$NK$4:$NK$40,0)))</f>
        <v/>
      </c>
      <c r="NM23">
        <f>IF(COUNTIF('Buyer Groups'!DG76:DU76,0)+COUNTIF('Buyer Groups'!DW76:EN76,0)&gt;0,0,1)</f>
        <v/>
      </c>
      <c r="NN23">
        <f>IF($CL$23="",FALSE,SUMPRODUCT(('Final Calculation Sheet'!$P$4:$P$40=$CL$23)*($NM$6:$NM$42=1))&gt;0)</f>
        <v/>
      </c>
      <c r="NO23">
        <f>$NO$22+--($NN23)</f>
        <v/>
      </c>
      <c r="NP23">
        <f>IF(ROW()-3&gt;MAX($NO$4:$NO$40),"",INDEX($CL$4:$CL$40,MATCH(ROW()-3,$NO$4:$NO$40,0)))</f>
        <v/>
      </c>
      <c r="NQ23">
        <f>IF(COUNTIF('Buyer Groups'!DG76:DV76,0)+COUNTIF('Buyer Groups'!DX76:EN76,0)&gt;0,0,1)</f>
        <v/>
      </c>
      <c r="NR23">
        <f>IF($CQ$23="",FALSE,SUMPRODUCT(('Final Calculation Sheet'!$Q$4:$Q$40=$CQ$23)*($NQ$6:$NQ$42=1))&gt;0)</f>
        <v/>
      </c>
      <c r="NS23">
        <f>$NS$22+--($NR23)</f>
        <v/>
      </c>
      <c r="NT23">
        <f>IF(ROW()-3&gt;MAX($NS$4:$NS$40),"",INDEX($CQ$4:$CQ$40,MATCH(ROW()-3,$NS$4:$NS$40,0)))</f>
        <v/>
      </c>
      <c r="NU23">
        <f>IF(COUNTIF('Buyer Groups'!DG76:DW76,0)+COUNTIF('Buyer Groups'!DY76:EN76,0)&gt;0,0,1)</f>
        <v/>
      </c>
      <c r="NV23">
        <f>IF($CV$23="",FALSE,SUMPRODUCT(('Final Calculation Sheet'!$R$4:$R$40=$CV$23)*($NU$6:$NU$42=1))&gt;0)</f>
        <v/>
      </c>
      <c r="NW23">
        <f>$NW$22+--($NV23)</f>
        <v/>
      </c>
      <c r="NX23">
        <f>IF(ROW()-3&gt;MAX($NW$4:$NW$40),"",INDEX($CV$4:$CV$40,MATCH(ROW()-3,$NW$4:$NW$40,0)))</f>
        <v/>
      </c>
      <c r="NY23">
        <f>IF(COUNTIF('Buyer Groups'!DG76:DX76,0)+COUNTIF('Buyer Groups'!DZ76:EN76,0)&gt;0,0,1)</f>
        <v/>
      </c>
      <c r="NZ23">
        <f>IF($DA$23="",FALSE,SUMPRODUCT(('Final Calculation Sheet'!$S$4:$S$40=$DA$23)*($NY$6:$NY$42=1))&gt;0)</f>
        <v/>
      </c>
      <c r="OA23">
        <f>$OA$22+--($NZ23)</f>
        <v/>
      </c>
      <c r="OB23">
        <f>IF(ROW()-3&gt;MAX($OA$4:$OA$40),"",INDEX($DA$4:$DA$40,MATCH(ROW()-3,$OA$4:$OA$40,0)))</f>
        <v/>
      </c>
      <c r="OC23">
        <f>IF(COUNTIF('Buyer Groups'!DG76:DY76,0)+COUNTIF('Buyer Groups'!EA76:EN76,0)&gt;0,0,1)</f>
        <v/>
      </c>
      <c r="OD23">
        <f>IF($DF$23="",FALSE,SUMPRODUCT(('Final Calculation Sheet'!$T$4:$T$40=$DF$23)*($OC$6:$OC$42=1))&gt;0)</f>
        <v/>
      </c>
      <c r="OE23">
        <f>$OE$22+--($OD23)</f>
        <v/>
      </c>
      <c r="OF23">
        <f>IF(ROW()-3&gt;MAX($OE$4:$OE$40),"",INDEX($DF$4:$DF$40,MATCH(ROW()-3,$OE$4:$OE$40,0)))</f>
        <v/>
      </c>
      <c r="OG23">
        <f>IF(COUNTIF('Buyer Groups'!DG76:DZ76,0)+COUNTIF('Buyer Groups'!EB76:EN76,0)&gt;0,0,1)</f>
        <v/>
      </c>
      <c r="OH23">
        <f>IF($DK$23="",FALSE,SUMPRODUCT(('Final Calculation Sheet'!$U$4:$U$40=$DK$23)*($OG$6:$OG$42=1))&gt;0)</f>
        <v/>
      </c>
      <c r="OI23">
        <f>$OI$22+--($OH23)</f>
        <v/>
      </c>
      <c r="OJ23">
        <f>IF(ROW()-3&gt;MAX($OI$4:$OI$40),"",INDEX($DK$4:$DK$40,MATCH(ROW()-3,$OI$4:$OI$40,0)))</f>
        <v/>
      </c>
      <c r="OK23">
        <f>IF(COUNTIF('Buyer Groups'!DG76:EA76,0)+COUNTIF('Buyer Groups'!EC76:EN76,0)&gt;0,0,1)</f>
        <v/>
      </c>
      <c r="OL23">
        <f>IF($DP$23="",FALSE,SUMPRODUCT(('Final Calculation Sheet'!$V$4:$V$40=$DP$23)*($OK$6:$OK$42=1))&gt;0)</f>
        <v/>
      </c>
      <c r="OM23">
        <f>$OM$22+--($OL23)</f>
        <v/>
      </c>
      <c r="ON23">
        <f>IF(ROW()-3&gt;MAX($OM$4:$OM$40),"",INDEX($DP$4:$DP$40,MATCH(ROW()-3,$OM$4:$OM$40,0)))</f>
        <v/>
      </c>
      <c r="OO23">
        <f>IF(COUNTIF('Buyer Groups'!DG76:EB76,0)+COUNTIF('Buyer Groups'!ED76:EN76,0)&gt;0,0,1)</f>
        <v/>
      </c>
      <c r="OP23">
        <f>IF($DU$23="",FALSE,SUMPRODUCT(('Final Calculation Sheet'!$W$4:$W$40=$DU$23)*($OO$6:$OO$42=1))&gt;0)</f>
        <v/>
      </c>
      <c r="OQ23">
        <f>$OQ$22+--($OP23)</f>
        <v/>
      </c>
      <c r="OR23">
        <f>IF(ROW()-3&gt;MAX($OQ$4:$OQ$40),"",INDEX($DU$4:$DU$40,MATCH(ROW()-3,$OQ$4:$OQ$40,0)))</f>
        <v/>
      </c>
      <c r="OS23">
        <f>IF(COUNTIF('Buyer Groups'!DG76:EC76,0)+COUNTIF('Buyer Groups'!EE76:EN76,0)&gt;0,0,1)</f>
        <v/>
      </c>
      <c r="OT23">
        <f>IF($DZ$23="",FALSE,SUMPRODUCT(('Final Calculation Sheet'!$X$4:$X$40=$DZ$23)*($OS$6:$OS$42=1))&gt;0)</f>
        <v/>
      </c>
      <c r="OU23">
        <f>$OU$22+--($OT23)</f>
        <v/>
      </c>
      <c r="OV23">
        <f>IF(ROW()-3&gt;MAX($OU$4:$OU$40),"",INDEX($DZ$4:$DZ$40,MATCH(ROW()-3,$OU$4:$OU$40,0)))</f>
        <v/>
      </c>
      <c r="OW23">
        <f>IF(COUNTIF('Buyer Groups'!DG76:ED76,0)+COUNTIF('Buyer Groups'!EF76:EN76,0)&gt;0,0,1)</f>
        <v/>
      </c>
      <c r="OX23">
        <f>IF($EE$23="",FALSE,SUMPRODUCT(('Final Calculation Sheet'!$Y$4:$Y$40=$EE$23)*($OW$6:$OW$42=1))&gt;0)</f>
        <v/>
      </c>
      <c r="OY23">
        <f>$OY$22+--($OX23)</f>
        <v/>
      </c>
      <c r="OZ23">
        <f>IF(ROW()-3&gt;MAX($OY$4:$OY$40),"",INDEX($EE$4:$EE$40,MATCH(ROW()-3,$OY$4:$OY$40,0)))</f>
        <v/>
      </c>
      <c r="PA23">
        <f>IF(COUNTIF('Buyer Groups'!DG76:EE76,0)+COUNTIF('Buyer Groups'!EG76:EN76,0)&gt;0,0,1)</f>
        <v/>
      </c>
      <c r="PB23">
        <f>IF($EJ$23="",FALSE,SUMPRODUCT(('Final Calculation Sheet'!$Z$4:$Z$40=$EJ$23)*($PA$6:$PA$42=1))&gt;0)</f>
        <v/>
      </c>
      <c r="PC23">
        <f>$PC$22+--($PB23)</f>
        <v/>
      </c>
      <c r="PD23">
        <f>IF(ROW()-3&gt;MAX($PC$4:$PC$40),"",INDEX($EJ$4:$EJ$40,MATCH(ROW()-3,$PC$4:$PC$40,0)))</f>
        <v/>
      </c>
      <c r="PE23">
        <f>IF(COUNTIF('Buyer Groups'!DG76:EF76,0)+COUNTIF('Buyer Groups'!EH76:EN76,0)&gt;0,0,1)</f>
        <v/>
      </c>
      <c r="PF23">
        <f>IF($EO$23="",FALSE,SUMPRODUCT(('Final Calculation Sheet'!$AA$4:$AA$40=$EO$23)*($PE$6:$PE$42=1))&gt;0)</f>
        <v/>
      </c>
      <c r="PG23">
        <f>$PG$22+--($PF23)</f>
        <v/>
      </c>
      <c r="PH23">
        <f>IF(ROW()-3&gt;MAX($PG$4:$PG$40),"",INDEX($EO$4:$EO$40,MATCH(ROW()-3,$PG$4:$PG$40,0)))</f>
        <v/>
      </c>
      <c r="PI23">
        <f>IF(COUNTIF('Buyer Groups'!DG76:EG76,0)+COUNTIF('Buyer Groups'!EI76:EN76,0)&gt;0,0,1)</f>
        <v/>
      </c>
      <c r="PJ23">
        <f>IF($ET$23="",FALSE,SUMPRODUCT(('Final Calculation Sheet'!$AB$4:$AB$40=$ET$23)*($PI$6:$PI$42=1))&gt;0)</f>
        <v/>
      </c>
      <c r="PK23">
        <f>$PK$22+--($PJ23)</f>
        <v/>
      </c>
      <c r="PL23">
        <f>IF(ROW()-3&gt;MAX($PK$4:$PK$40),"",INDEX($ET$4:$ET$40,MATCH(ROW()-3,$PK$4:$PK$40,0)))</f>
        <v/>
      </c>
      <c r="PM23">
        <f>IF(COUNTIF('Buyer Groups'!DG76:EH76,0)+COUNTIF('Buyer Groups'!EJ76:EN76,0)&gt;0,0,1)</f>
        <v/>
      </c>
      <c r="PN23">
        <f>IF($EY$23="",FALSE,SUMPRODUCT(('Final Calculation Sheet'!$AC$4:$AC$40=$EY$23)*($PM$6:$PM$42=1))&gt;0)</f>
        <v/>
      </c>
      <c r="PO23">
        <f>$PO$22+--($PN23)</f>
        <v/>
      </c>
      <c r="PP23">
        <f>IF(ROW()-3&gt;MAX($PO$4:$PO$40),"",INDEX($EY$4:$EY$40,MATCH(ROW()-3,$PO$4:$PO$40,0)))</f>
        <v/>
      </c>
      <c r="PQ23">
        <f>IF(COUNTIF('Buyer Groups'!DG76:EI76,0)+COUNTIF('Buyer Groups'!EK76:EN76,0)&gt;0,0,1)</f>
        <v/>
      </c>
      <c r="PR23">
        <f>IF($FD$23="",FALSE,SUMPRODUCT(('Final Calculation Sheet'!$AD$4:$AD$40=$FD$23)*($PQ$6:$PQ$42=1))&gt;0)</f>
        <v/>
      </c>
      <c r="PS23">
        <f>$PS$22+--($PR23)</f>
        <v/>
      </c>
      <c r="PT23">
        <f>IF(ROW()-3&gt;MAX($PS$4:$PS$40),"",INDEX($FD$4:$FD$40,MATCH(ROW()-3,$PS$4:$PS$40,0)))</f>
        <v/>
      </c>
      <c r="PU23">
        <f>IF(COUNTIF('Buyer Groups'!DG76:EJ76,0)+COUNTIF('Buyer Groups'!EL76:EN76,0)&gt;0,0,1)</f>
        <v/>
      </c>
      <c r="PV23">
        <f>IF($FX$23="",FALSE,SUMPRODUCT((IF('Final Calculation Sheet'!$AD$4:$AD$40&lt;=5,"SETTLED","OUTSTANDING")=$FX$23)*($PU$6:$PU$42=1))&gt;0)</f>
        <v/>
      </c>
      <c r="PW23">
        <f>$PW$22+--($PV23)</f>
        <v/>
      </c>
      <c r="PX23">
        <f>IF(ROW()-3&gt;MAX($PW$4:$PW$40),"",INDEX($FX$4:$FX$40,MATCH(ROW()-3,$PW$4:$PW$40,0)))</f>
        <v/>
      </c>
      <c r="PY23">
        <f>IF(COUNTIF('Buyer Groups'!DG76:EK76,0)+COUNTIF('Buyer Groups'!EM76:EN76,0)&gt;0,0,1)</f>
        <v/>
      </c>
      <c r="PZ23">
        <f>IF($FI$23="",FALSE,SUMPRODUCT(('Final Calculation Sheet'!$AF$4:$AF$40=$FI$23)*($PY$6:$PY$42=1))&gt;0)</f>
        <v/>
      </c>
      <c r="QA23">
        <f>$QA$22+--($PZ23)</f>
        <v/>
      </c>
      <c r="QB23">
        <f>IF(ROW()-3&gt;MAX($QA$4:$QA$40),"",INDEX($FI$4:$FI$40,MATCH(ROW()-3,$QA$4:$QA$40,0)))</f>
        <v/>
      </c>
      <c r="QC23">
        <f>IF(COUNTIF('Buyer Groups'!DG76:EL76,0)+COUNTIF('Buyer Groups'!EN76:EN76,0)&gt;0,0,1)</f>
        <v/>
      </c>
      <c r="QD23">
        <f>IF($FN$23="",FALSE,SUMPRODUCT(('Final Calculation Sheet'!$AG$4:$AG$40=$FN$23)*($QC$6:$QC$42=1))&gt;0)</f>
        <v/>
      </c>
      <c r="QE23">
        <f>$QE$22+--($QD23)</f>
        <v/>
      </c>
      <c r="QF23">
        <f>IF(ROW()-3&gt;MAX($QE$4:$QE$40),"",INDEX($FN$4:$FN$40,MATCH(ROW()-3,$QE$4:$QE$40,0)))</f>
        <v/>
      </c>
      <c r="QG23">
        <f>IF(COUNTIF('Buyer Groups'!DG76:EM76,0)&gt;0,0,1)</f>
        <v/>
      </c>
      <c r="QH23">
        <f>IF($FS$23="",FALSE,SUMPRODUCT(('Final Calculation Sheet'!$AH$4:$AH$40=$FS$23)*($QG$6:$QG$42=1))&gt;0)</f>
        <v/>
      </c>
      <c r="QI23">
        <f>$QI$22+--($QH23)</f>
        <v/>
      </c>
      <c r="QJ23">
        <f>IF(ROW()-3&gt;MAX($QI$4:$QI$40),"",INDEX($FS$4:$FS$40,MATCH(ROW()-3,$QI$4:$QI$40,0)))</f>
        <v/>
      </c>
      <c r="QK23" t="str">
        <f>IF('Final Calculation Sheet'!$AH$23="","",'Final Calculation Sheet'!$AH$23)</f>
      </c>
      <c r="QL23" t="str">
        <f>IF(QK23="","",COUNTIFS(QK$4:QK$40,"&lt;"&amp;QK23,QK$4:QK$40,"&lt;&gt;"&amp;"")+COUNTIF(QK$4:QK23,QK23))</f>
      </c>
      <c r="QM23" t="str">
        <f>IF(ROW()-3&gt;COUNTIF(QK$4:QK$40,"&lt;&gt;"&amp;""),"",INDEX(QK$4:QK$40,MATCH(ROW()-3,QL$4:QL$40,0)))</f>
      </c>
      <c r="QN23" t="str">
        <f>=QN22+F(AND(QM23&lt;&gt;"",COUNTIF(QM$4:QM23,QM23)=1),1,0)</f>
      </c>
      <c r="QO23" t="str">
        <f>IF(ROW()-3&gt;MAX(QN$4:QN$40),"",INDEX(QM$4:QM$40,MATCH(ROW()-3,QN$4:QN$40,0)))</f>
      </c>
      <c r="QP23" t="str">
        <f>IF(COUNTIF('Final Calculation Sheet'!$AM23:$BS23,0)&gt;0,0,1)</f>
      </c>
      <c r="QQ23" t="str">
        <f>IF($AI$23="",FALSE,SUMPRODUCT(('Final Calculation Sheet'!$A$4:$A$40=$AI$23)*($QP$4:$QP$40=1))&gt;0)</f>
      </c>
      <c r="QR23" t="str">
        <f>=$QR22+--($QQ23)</f>
      </c>
      <c r="QS23" t="str">
        <f>IF(ROW()-3&gt;MAX($QR$4:$QR$40),"",INDEX($AI$4:$AI$40,MATCH(ROW()-3,$QR$4:$QR$40,0)))</f>
      </c>
      <c r="QT23" t="str">
        <f>IF(COUNTIF('Final Calculation Sheet'!$AL23:$AL23,0)+COUNTIF('Final Calculation Sheet'!$AN23:$BS23,0)&gt;0,0,1)</f>
      </c>
      <c r="QU23" t="str">
        <f>IF($Y$23="",FALSE,SUMPRODUCT(('Final Calculation Sheet'!$B$4:$B$40=$Y$23)*($QT$4:$QT$40=1))&gt;0)</f>
      </c>
      <c r="QV23" t="str">
        <f>=$QV22+--($QU23)</f>
      </c>
      <c r="QW23" t="str">
        <f>IF(ROW()-3&gt;MAX($QV$4:$QV$40),"",INDEX($Y$4:$Y$40,MATCH(ROW()-3,$QV$4:$QV$40,0)))</f>
      </c>
      <c r="QX23" t="str">
        <f>IF(COUNTIF('Final Calculation Sheet'!$AL23:$AM23,0)+COUNTIF('Final Calculation Sheet'!$AO23:$BS23,0)&gt;0,0,1)</f>
      </c>
      <c r="QY23" t="str">
        <f>IF($AS$23="",FALSE,SUMPRODUCT(('Final Calculation Sheet'!$C$4:$C$40=$AS$23)*($QX$4:$QX$40=1))&gt;0)</f>
      </c>
      <c r="QZ23" t="str">
        <f>=$QZ22+--($QY23)</f>
      </c>
      <c r="RA23" t="str">
        <f>IF(ROW()-3&gt;MAX($QZ$4:$QZ$40),"",INDEX($AS$4:$AS$40,MATCH(ROW()-3,$QZ$4:$QZ$40,0)))</f>
      </c>
      <c r="RB23" t="str">
        <f>IF(COUNTIF('Final Calculation Sheet'!$AL23:$AN23,0)+COUNTIF('Final Calculation Sheet'!$AP23:$BS23,0)&gt;0,0,1)</f>
      </c>
      <c r="RC23" t="str">
        <f>IF($AD$23="",FALSE,SUMPRODUCT(('Final Calculation Sheet'!$D$4:$D$40=$AD$23)*($RB$4:$RB$40=1))&gt;0)</f>
      </c>
      <c r="RD23" t="str">
        <f>=$RD22+--($RC23)</f>
      </c>
      <c r="RE23" t="str">
        <f>IF(ROW()-3&gt;MAX($RD$4:$RD$40),"",INDEX($AD$4:$AD$40,MATCH(ROW()-3,$RD$4:$RD$40,0)))</f>
      </c>
      <c r="RF23" t="str">
        <f>IF(COUNTIF('Final Calculation Sheet'!$AL23:$AO23,0)+COUNTIF('Final Calculation Sheet'!$AQ23:$BS23,0)&gt;0,0,1)</f>
      </c>
      <c r="RG23" t="str">
        <f>IF($AN$23="",FALSE,SUMPRODUCT(('Final Calculation Sheet'!$E$4:$E$40=$AN$23)*($RF$4:$RF$40=1))&gt;0)</f>
      </c>
      <c r="RH23" t="str">
        <f>=$RH22+--($RG23)</f>
      </c>
      <c r="RI23" t="str">
        <f>IF(ROW()-3&gt;MAX($RH$4:$RH$40),"",INDEX($AN$4:$AN$40,MATCH(ROW()-3,$RH$4:$RH$40,0)))</f>
      </c>
      <c r="RJ23" t="str">
        <f>IF(COUNTIF('Final Calculation Sheet'!$AL23:$AP23,0)+COUNTIF('Final Calculation Sheet'!$AR23:$BS23,0)&gt;0,0,1)</f>
      </c>
      <c r="RK23" t="str">
        <f>IF($O$23="",FALSE,SUMPRODUCT(('Final Calculation Sheet'!$F$4:$F$40=$O$23)*($RJ$4:$RJ$40=1))&gt;0)</f>
      </c>
      <c r="RL23" t="str">
        <f>=$RL22+--($RK23)</f>
      </c>
      <c r="RM23" t="str">
        <f>IF(ROW()-3&gt;MAX($RL$4:$RL$40),"",INDEX($O$4:$O$40,MATCH(ROW()-3,$RL$4:$RL$40,0)))</f>
      </c>
      <c r="RN23" t="str">
        <f>IF(COUNTIF('Final Calculation Sheet'!$AL23:$AQ23,0)+COUNTIF('Final Calculation Sheet'!$AS23:$BS23,0)&gt;0,0,1)</f>
      </c>
      <c r="RO23" t="str">
        <f>IF($T$23="",FALSE,SUMPRODUCT(('Final Calculation Sheet'!$G$4:$G$40=$T$23)*($RN$4:$RN$40=1))&gt;0)</f>
      </c>
      <c r="RP23" t="str">
        <f>=$RP22+--($RO23)</f>
      </c>
      <c r="RQ23" t="str">
        <f>IF(ROW()-3&gt;MAX($RP$4:$RP$40),"",INDEX($T$4:$T$40,MATCH(ROW()-3,$RP$4:$RP$40,0)))</f>
      </c>
      <c r="RR23" t="str">
        <f>IF(COUNTIF('Final Calculation Sheet'!$AL23:$AR23,0)+COUNTIF('Final Calculation Sheet'!$AT23:$BS23,0)&gt;0,0,1)</f>
      </c>
      <c r="RS23" t="str">
        <f>IF($AX$23="",FALSE,SUMPRODUCT(('Final Calculation Sheet'!$H$4:$H$40=$AX$23)*($RR$4:$RR$40=1))&gt;0)</f>
      </c>
      <c r="RT23" t="str">
        <f>=$RT22+--($RS23)</f>
      </c>
      <c r="RU23" t="str">
        <f>IF(ROW()-3&gt;MAX($RT$4:$RT$40),"",INDEX($AX$4:$AX$40,MATCH(ROW()-3,$RT$4:$RT$40,0)))</f>
      </c>
      <c r="RV23" t="str">
        <f>IF(COUNTIF('Final Calculation Sheet'!$AL23:$AS23,0)+COUNTIF('Final Calculation Sheet'!$AU23:$BS23,0)&gt;0,0,1)</f>
      </c>
      <c r="RW23" t="str">
        <f>IF($BC$23="",FALSE,SUMPRODUCT(('Final Calculation Sheet'!$I$4:$I$40=$BC$23)*($RV$4:$RV$40=1))&gt;0)</f>
      </c>
      <c r="RX23" t="str">
        <f>=$RX22+--($RW23)</f>
      </c>
      <c r="RY23" t="str">
        <f>IF(ROW()-3&gt;MAX($RX$4:$RX$40),"",INDEX($BC$4:$BC$40,MATCH(ROW()-3,$RX$4:$RX$40,0)))</f>
      </c>
      <c r="RZ23" t="str">
        <f>IF(COUNTIF('Final Calculation Sheet'!$AL23:$AT23,0)+COUNTIF('Final Calculation Sheet'!$AV23:$BS23,0)&gt;0,0,1)</f>
      </c>
      <c r="SA23" t="str">
        <f>IF($BH$23="",FALSE,SUMPRODUCT(('Final Calculation Sheet'!$J$4:$J$40=$BH$23)*($RZ$4:$RZ$40=1))&gt;0)</f>
      </c>
      <c r="SB23" t="str">
        <f>=$SB22+--($SA23)</f>
      </c>
      <c r="SC23" t="str">
        <f>IF(ROW()-3&gt;MAX($SB$4:$SB$40),"",INDEX($BH$4:$BH$40,MATCH(ROW()-3,$SB$4:$SB$40,0)))</f>
      </c>
      <c r="SD23" t="str">
        <f>IF(COUNTIF('Final Calculation Sheet'!$AL23:$AU23,0)+COUNTIF('Final Calculation Sheet'!$AW23:$BS23,0)&gt;0,0,1)</f>
      </c>
      <c r="SE23" t="str">
        <f>IF($BM$23="",FALSE,SUMPRODUCT(('Final Calculation Sheet'!$K$4:$K$40=$BM$23)*($SD$4:$SD$40=1))&gt;0)</f>
      </c>
      <c r="SF23" t="str">
        <f>=$SF22+--($SE23)</f>
      </c>
      <c r="SG23" t="str">
        <f>IF(ROW()-3&gt;MAX($SF$4:$SF$40),"",INDEX($BM$4:$BM$40,MATCH(ROW()-3,$SF$4:$SF$40,0)))</f>
      </c>
      <c r="SH23" t="str">
        <f>IF(COUNTIF('Final Calculation Sheet'!$AL23:$AV23,0)+COUNTIF('Final Calculation Sheet'!$AX23:$BS23,0)&gt;0,0,1)</f>
      </c>
      <c r="SI23" t="str">
        <f>IF($BR$23="",FALSE,SUMPRODUCT(('Final Calculation Sheet'!$L$4:$L$40=$BR$23)*($SH$4:$SH$40=1))&gt;0)</f>
      </c>
      <c r="SJ23" t="str">
        <f>=$SJ22+--($SI23)</f>
      </c>
      <c r="SK23" t="str">
        <f>IF(ROW()-3&gt;MAX($SJ$4:$SJ$40),"",INDEX($BR$4:$BR$40,MATCH(ROW()-3,$SJ$4:$SJ$40,0)))</f>
      </c>
      <c r="SL23" t="str">
        <f>IF(COUNTIF('Final Calculation Sheet'!$AL23:$AW23,0)+COUNTIF('Final Calculation Sheet'!$AY23:$BS23,0)&gt;0,0,1)</f>
      </c>
      <c r="SM23" t="str">
        <f>IF($BW$23="",FALSE,SUMPRODUCT(('Final Calculation Sheet'!$M$4:$M$40=$BW$23)*($SL$4:$SL$40=1))&gt;0)</f>
      </c>
      <c r="SN23" t="str">
        <f>=$SN22+--($SM23)</f>
      </c>
      <c r="SO23" t="str">
        <f>IF(ROW()-3&gt;MAX($SN$4:$SN$40),"",INDEX($BW$4:$BW$40,MATCH(ROW()-3,$SN$4:$SN$40,0)))</f>
      </c>
      <c r="SP23" t="str">
        <f>IF(COUNTIF('Final Calculation Sheet'!$AL23:$AX23,0)+COUNTIF('Final Calculation Sheet'!$AZ23:$BS23,0)&gt;0,0,1)</f>
      </c>
      <c r="SQ23" t="str">
        <f>IF($CB$23="",FALSE,SUMPRODUCT(('Final Calculation Sheet'!$N$4:$N$40=$CB$23)*($SP$4:$SP$40=1))&gt;0)</f>
      </c>
      <c r="SR23" t="str">
        <f>=$SR22+--($SQ23)</f>
      </c>
      <c r="SS23" t="str">
        <f>IF(ROW()-3&gt;MAX($SR$4:$SR$40),"",INDEX($CB$4:$CB$40,MATCH(ROW()-3,$SR$4:$SR$40,0)))</f>
      </c>
      <c r="ST23" t="str">
        <f>IF(COUNTIF('Final Calculation Sheet'!$AL23:$AY23,0)+COUNTIF('Final Calculation Sheet'!$BA23:$BS23,0)&gt;0,0,1)</f>
      </c>
      <c r="SU23" t="str">
        <f>IF($CG$23="",FALSE,SUMPRODUCT(('Final Calculation Sheet'!$O$4:$O$40=$CG$23)*($ST$4:$ST$40=1))&gt;0)</f>
      </c>
      <c r="SV23" t="str">
        <f>=$SV22+--($SU23)</f>
      </c>
      <c r="SW23" t="str">
        <f>IF(ROW()-3&gt;MAX($SV$4:$SV$40),"",INDEX($CG$4:$CG$40,MATCH(ROW()-3,$SV$4:$SV$40,0)))</f>
      </c>
      <c r="SX23" t="str">
        <f>IF(COUNTIF('Final Calculation Sheet'!$AL23:$AZ23,0)+COUNTIF('Final Calculation Sheet'!$BB23:$BS23,0)&gt;0,0,1)</f>
      </c>
      <c r="SY23" t="str">
        <f>IF($CL$23="",FALSE,SUMPRODUCT(('Final Calculation Sheet'!$P$4:$P$40=$CL$23)*($SX$4:$SX$40=1))&gt;0)</f>
      </c>
      <c r="SZ23" t="str">
        <f>=$SZ22+--($SY23)</f>
      </c>
      <c r="TA23" t="str">
        <f>IF(ROW()-3&gt;MAX($SZ$4:$SZ$40),"",INDEX($CL$4:$CL$40,MATCH(ROW()-3,$SZ$4:$SZ$40,0)))</f>
      </c>
      <c r="TB23" t="str">
        <f>IF(COUNTIF('Final Calculation Sheet'!$AL23:$BA23,0)+COUNTIF('Final Calculation Sheet'!$BC23:$BS23,0)&gt;0,0,1)</f>
      </c>
      <c r="TC23" t="str">
        <f>IF($CQ$23="",FALSE,SUMPRODUCT(('Final Calculation Sheet'!$Q$4:$Q$40=$CQ$23)*($TB$4:$TB$40=1))&gt;0)</f>
      </c>
      <c r="TD23" t="str">
        <f>=$TD22+--($TC23)</f>
      </c>
      <c r="TE23" t="str">
        <f>IF(ROW()-3&gt;MAX($TD$4:$TD$40),"",INDEX($CQ$4:$CQ$40,MATCH(ROW()-3,$TD$4:$TD$40,0)))</f>
      </c>
      <c r="TF23" t="str">
        <f>IF(COUNTIF('Final Calculation Sheet'!$AL23:$BB23,0)+COUNTIF('Final Calculation Sheet'!$BD23:$BS23,0)&gt;0,0,1)</f>
      </c>
      <c r="TG23" t="str">
        <f>IF($CV$23="",FALSE,SUMPRODUCT(('Final Calculation Sheet'!$R$4:$R$40=$CV$23)*($TF$4:$TF$40=1))&gt;0)</f>
      </c>
      <c r="TH23" t="str">
        <f>=$TH22+--($TG23)</f>
      </c>
      <c r="TI23" t="str">
        <f>IF(ROW()-3&gt;MAX($TH$4:$TH$40),"",INDEX($CV$4:$CV$40,MATCH(ROW()-3,$TH$4:$TH$40,0)))</f>
      </c>
      <c r="TJ23" t="str">
        <f>IF(COUNTIF('Final Calculation Sheet'!$AL23:$BC23,0)+COUNTIF('Final Calculation Sheet'!$BE23:$BS23,0)&gt;0,0,1)</f>
      </c>
      <c r="TK23" t="str">
        <f>IF($DA$23="",FALSE,SUMPRODUCT(('Final Calculation Sheet'!$S$4:$S$40=$DA$23)*($TJ$4:$TJ$40=1))&gt;0)</f>
      </c>
      <c r="TL23" t="str">
        <f>=$TL22+--($TK23)</f>
      </c>
      <c r="TM23" t="str">
        <f>IF(ROW()-3&gt;MAX($TL$4:$TL$40),"",INDEX($DA$4:$DA$40,MATCH(ROW()-3,$TL$4:$TL$40,0)))</f>
      </c>
      <c r="TN23" t="str">
        <f>IF(COUNTIF('Final Calculation Sheet'!$AL23:$BD23,0)+COUNTIF('Final Calculation Sheet'!$BF23:$BS23,0)&gt;0,0,1)</f>
      </c>
      <c r="TO23" t="str">
        <f>IF($DF$23="",FALSE,SUMPRODUCT(('Final Calculation Sheet'!$T$4:$T$40=$DF$23)*($TN$4:$TN$40=1))&gt;0)</f>
      </c>
      <c r="TP23" t="str">
        <f>=$TP22+--($TO23)</f>
      </c>
      <c r="TQ23" t="str">
        <f>IF(ROW()-3&gt;MAX($TP$4:$TP$40),"",INDEX($DF$4:$DF$40,MATCH(ROW()-3,$TP$4:$TP$40,0)))</f>
      </c>
      <c r="TR23" t="str">
        <f>IF(COUNTIF('Final Calculation Sheet'!$AL23:$BE23,0)+COUNTIF('Final Calculation Sheet'!$BG23:$BS23,0)&gt;0,0,1)</f>
      </c>
      <c r="TS23" t="str">
        <f>IF($DK$23="",FALSE,SUMPRODUCT(('Final Calculation Sheet'!$U$4:$U$40=$DK$23)*($TR$4:$TR$40=1))&gt;0)</f>
      </c>
      <c r="TT23" t="str">
        <f>=$TT22+--($TS23)</f>
      </c>
      <c r="TU23" t="str">
        <f>IF(ROW()-3&gt;MAX($TT$4:$TT$40),"",INDEX($DK$4:$DK$40,MATCH(ROW()-3,$TT$4:$TT$40,0)))</f>
      </c>
      <c r="TV23" t="str">
        <f>IF(COUNTIF('Final Calculation Sheet'!$AL23:$BF23,0)+COUNTIF('Final Calculation Sheet'!$BH23:$BS23,0)&gt;0,0,1)</f>
      </c>
      <c r="TW23" t="str">
        <f>IF($DP$23="",FALSE,SUMPRODUCT(('Final Calculation Sheet'!$V$4:$V$40=$DP$23)*($TV$4:$TV$40=1))&gt;0)</f>
      </c>
      <c r="TX23" t="str">
        <f>=$TX22+--($TW23)</f>
      </c>
      <c r="TY23" t="str">
        <f>IF(ROW()-3&gt;MAX($TX$4:$TX$40),"",INDEX($DP$4:$DP$40,MATCH(ROW()-3,$TX$4:$TX$40,0)))</f>
      </c>
      <c r="TZ23" t="str">
        <f>IF(COUNTIF('Final Calculation Sheet'!$AL23:$BG23,0)+COUNTIF('Final Calculation Sheet'!$BI23:$BS23,0)&gt;0,0,1)</f>
      </c>
      <c r="UA23" t="str">
        <f>IF($DU$23="",FALSE,SUMPRODUCT(('Final Calculation Sheet'!$W$4:$W$40=$DU$23)*($TZ$4:$TZ$40=1))&gt;0)</f>
      </c>
      <c r="UB23" t="str">
        <f>=$UB22+--($UA23)</f>
      </c>
      <c r="UC23" t="str">
        <f>IF(ROW()-3&gt;MAX($UB$4:$UB$40),"",INDEX($DU$4:$DU$40,MATCH(ROW()-3,$UB$4:$UB$40,0)))</f>
      </c>
      <c r="UD23" t="str">
        <f>IF(COUNTIF('Final Calculation Sheet'!$AL23:$BH23,0)+COUNTIF('Final Calculation Sheet'!$BJ23:$BS23,0)&gt;0,0,1)</f>
      </c>
      <c r="UE23" t="str">
        <f>IF($DZ$23="",FALSE,SUMPRODUCT(('Final Calculation Sheet'!$X$4:$X$40=$DZ$23)*($UD$4:$UD$40=1))&gt;0)</f>
      </c>
      <c r="UF23" t="str">
        <f>=$UF22+--($UE23)</f>
      </c>
      <c r="UG23" t="str">
        <f>IF(ROW()-3&gt;MAX($UF$4:$UF$40),"",INDEX($DZ$4:$DZ$40,MATCH(ROW()-3,$UF$4:$UF$40,0)))</f>
      </c>
      <c r="UH23" t="str">
        <f>IF(COUNTIF('Final Calculation Sheet'!$AL23:$BI23,0)+COUNTIF('Final Calculation Sheet'!$BK23:$BS23,0)&gt;0,0,1)</f>
      </c>
      <c r="UI23" t="str">
        <f>IF($EE$23="",FALSE,SUMPRODUCT(('Final Calculation Sheet'!$Y$4:$Y$40=$EE$23)*($UH$4:$UH$40=1))&gt;0)</f>
      </c>
      <c r="UJ23" t="str">
        <f>=$UJ22+--($UI23)</f>
      </c>
      <c r="UK23" t="str">
        <f>IF(ROW()-3&gt;MAX($UJ$4:$UJ$40),"",INDEX($EE$4:$EE$40,MATCH(ROW()-3,$UJ$4:$UJ$40,0)))</f>
      </c>
      <c r="UL23" t="str">
        <f>IF(COUNTIF('Final Calculation Sheet'!$AL23:$BJ23,0)+COUNTIF('Final Calculation Sheet'!$BL23:$BS23,0)&gt;0,0,1)</f>
      </c>
      <c r="UM23" t="str">
        <f>IF($EJ$23="",FALSE,SUMPRODUCT(('Final Calculation Sheet'!$Z$4:$Z$40=$EJ$23)*($UL$4:$UL$40=1))&gt;0)</f>
      </c>
      <c r="UN23" t="str">
        <f>=$UN22+--($UM23)</f>
      </c>
      <c r="UO23" t="str">
        <f>IF(ROW()-3&gt;MAX($UN$4:$UN$40),"",INDEX($EJ$4:$EJ$40,MATCH(ROW()-3,$UN$4:$UN$40,0)))</f>
      </c>
      <c r="UP23" t="str">
        <f>IF(COUNTIF('Final Calculation Sheet'!$AL23:$BK23,0)+COUNTIF('Final Calculation Sheet'!$BM23:$BS23,0)&gt;0,0,1)</f>
      </c>
      <c r="UQ23" t="str">
        <f>IF($EO$23="",FALSE,SUMPRODUCT(('Final Calculation Sheet'!$AA$4:$AA$40=$EO$23)*($UP$4:$UP$40=1))&gt;0)</f>
      </c>
      <c r="UR23" t="str">
        <f>=$UR22+--($UQ23)</f>
      </c>
      <c r="US23" t="str">
        <f>IF(ROW()-3&gt;MAX($UR$4:$UR$40),"",INDEX($EO$4:$EO$40,MATCH(ROW()-3,$UR$4:$UR$40,0)))</f>
      </c>
      <c r="UT23" t="str">
        <f>IF(COUNTIF('Final Calculation Sheet'!$AL23:$BL23,0)+COUNTIF('Final Calculation Sheet'!$BN23:$BS23,0)&gt;0,0,1)</f>
      </c>
      <c r="UU23" t="str">
        <f>IF($ET$23="",FALSE,SUMPRODUCT(('Final Calculation Sheet'!$AB$4:$AB$40=$ET$23)*($UT$4:$UT$40=1))&gt;0)</f>
      </c>
      <c r="UV23" t="str">
        <f>=$UV22+--($UU23)</f>
      </c>
      <c r="UW23" t="str">
        <f>IF(ROW()-3&gt;MAX($UV$4:$UV$40),"",INDEX($ET$4:$ET$40,MATCH(ROW()-3,$UV$4:$UV$40,0)))</f>
      </c>
      <c r="UX23" t="str">
        <f>IF(COUNTIF('Final Calculation Sheet'!$AL23:$BM23,0)+COUNTIF('Final Calculation Sheet'!$BO23:$BS23,0)&gt;0,0,1)</f>
      </c>
      <c r="UY23" t="str">
        <f>IF($EY$23="",FALSE,SUMPRODUCT(('Final Calculation Sheet'!$AC$4:$AC$40=$EY$23)*($UX$4:$UX$40=1))&gt;0)</f>
      </c>
      <c r="UZ23" t="str">
        <f>=$UZ22+--($UY23)</f>
      </c>
      <c r="VA23" t="str">
        <f>IF(ROW()-3&gt;MAX($UZ$4:$UZ$40),"",INDEX($EY$4:$EY$40,MATCH(ROW()-3,$UZ$4:$UZ$40,0)))</f>
      </c>
      <c r="VB23" t="str">
        <f>IF(COUNTIF('Final Calculation Sheet'!$AL23:$BN23,0)+COUNTIF('Final Calculation Sheet'!$BP23:$BS23,0)&gt;0,0,1)</f>
      </c>
      <c r="VC23" t="str">
        <f>IF($FD$23="",FALSE,SUMPRODUCT(('Final Calculation Sheet'!$AD$4:$AD$40=$FD$23)*($VB$4:$VB$40=1))&gt;0)</f>
      </c>
      <c r="VD23" t="str">
        <f>=$VD22+--($VC23)</f>
      </c>
      <c r="VE23" t="str">
        <f>IF(ROW()-3&gt;MAX($VD$4:$VD$40),"",INDEX($FD$4:$FD$40,MATCH(ROW()-3,$VD$4:$VD$40,0)))</f>
      </c>
      <c r="VF23" t="str">
        <f>IF(COUNTIF('Final Calculation Sheet'!$AL23:$BO23,0)+COUNTIF('Final Calculation Sheet'!$BQ23:$BS23,0)&gt;0,0,1)</f>
      </c>
      <c r="VG23" t="str">
        <f>IF($FI$23="",FALSE,SUMPRODUCT(('Final Calculation Sheet'!$AE$4:$AE$40=$FI$23)*($VF$4:$VF$40=1))&gt;0)</f>
      </c>
      <c r="VH23" t="str">
        <f>=$VH22+--($VG23)</f>
      </c>
      <c r="VI23" t="str">
        <f>IF(ROW()-3&gt;MAX($VH$4:$VH$40),"",INDEX($FI$4:$FI$40,MATCH(ROW()-3,$VH$4:$VH$40,0)))</f>
      </c>
      <c r="VJ23" t="str">
        <f>IF(COUNTIF('Final Calculation Sheet'!$AL23:$BP23,0)+COUNTIF('Final Calculation Sheet'!$BR23:$BS23,0)&gt;0,0,1)</f>
      </c>
      <c r="VK23" t="str">
        <f>IF($FN$23="",FALSE,SUMPRODUCT(('Final Calculation Sheet'!$AF$4:$AF$40=$FN$23)*($VJ$4:$VJ$40=1))&gt;0)</f>
      </c>
      <c r="VL23" t="str">
        <f>=$VL22+--($VK23)</f>
      </c>
      <c r="VM23" t="str">
        <f>IF(ROW()-3&gt;MAX($VL$4:$VL$40),"",INDEX($FN$4:$FN$40,MATCH(ROW()-3,$VL$4:$VL$40,0)))</f>
      </c>
      <c r="VN23" t="str">
        <f>IF(COUNTIF('Final Calculation Sheet'!$AL23:$BQ23,0)+COUNTIF('Final Calculation Sheet'!$BS23:$BS23,0)&gt;0,0,1)</f>
      </c>
      <c r="VO23" t="str">
        <f>IF($FS$23="",FALSE,SUMPRODUCT(('Final Calculation Sheet'!$AG$4:$AG$40=$FS$23)*($VN$4:$VN$40=1))&gt;0)</f>
      </c>
      <c r="VP23" t="str">
        <f>=$VP22+--($VO23)</f>
      </c>
      <c r="VQ23" t="str">
        <f>IF(ROW()-3&gt;MAX($VP$4:$VP$40),"",INDEX($FS$4:$FS$40,MATCH(ROW()-3,$VP$4:$VP$40,0)))</f>
      </c>
      <c r="VR23" t="str">
        <f>IF(COUNTIF('Final Calculation Sheet'!$AL23:$BR23,0)&gt;0,0,1)</f>
      </c>
      <c r="VS23" t="str">
        <f>IF($QO$23="",FALSE,SUMPRODUCT(('Final Calculation Sheet'!$AH$4:$AH$40=$QO$23)*($VR$4:$VR$40=1))&gt;0)</f>
      </c>
      <c r="VT23" t="str">
        <f>=$VT22+--($VS23)</f>
      </c>
      <c r="VU23" t="str">
        <f>IF(ROW()-3&gt;MAX($VT$4:$VT$40),"",INDEX($QO$4:$QO$40,MATCH(ROW()-3,$VT$4:$VT$40,0)))</f>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IF(COUNTIF('Live Search'!BM$23:BM$23,0)+COUNTIF('Live Search'!B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D24">
        <f>IF($O$24="",FALSE,SUMPRODUCT(('Final Calculation Sheet'!$F$4:$F$40=$O$24)*($GC$6:$GC$42=1))&gt;0)</f>
        <v/>
      </c>
      <c r="GE24">
        <f>$GE$23+--($GD24)</f>
        <v/>
      </c>
      <c r="GF24">
        <f>IF(ROW()-3&gt;MAX($GE$4:$GE$40),"",INDEX($O$4:$O$40,MATCH(ROW()-3,$GE$4:$GE$40,0)))</f>
        <v/>
      </c>
      <c r="GG24">
        <f>IF(COUNTIF('Live Search'!BM$23:BN$23,0)+COUNTIF('Live Search'!B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H24">
        <f>IF($T$24="",FALSE,SUMPRODUCT(('Final Calculation Sheet'!$G$4:$G$40=$T$24)*($GG$6:$GG$42=1))&gt;0)</f>
        <v/>
      </c>
      <c r="GI24">
        <f>$GI$23+--($GH24)</f>
        <v/>
      </c>
      <c r="GJ24">
        <f>IF(ROW()-3&gt;MAX($GI$4:$GI$40),"",INDEX($T$4:$T$40,MATCH(ROW()-3,$GI$4:$GI$40,0)))</f>
        <v/>
      </c>
      <c r="GK24">
        <f>IF(COUNTIF('Live Search'!BM$23:BP$23,0)+COUNTIF('Live Search'!B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L24">
        <f>IF($AD$24="",FALSE,SUMPRODUCT(('Final Calculation Sheet'!$D$4:$D$40=$AD$24)*($GK$6:$GK$42=1))&gt;0)</f>
        <v/>
      </c>
      <c r="GM24">
        <f>$GM$23+--($GL24)</f>
        <v/>
      </c>
      <c r="GN24">
        <f>IF(ROW()-3&gt;MAX($GM$4:$GM$40),"",INDEX($AD$4:$AD$40,MATCH(ROW()-3,$GM$4:$GM$40,0)))</f>
        <v/>
      </c>
      <c r="GO24">
        <f>IF(COUNTIF('Live Search'!BM$23:BQ$23,0)+COUNTIF('Live Search'!B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P24">
        <f>IF($AI$24="",FALSE,SUMPRODUCT(('Final Calculation Sheet'!$A$4:$A$40=$AI$24)*($GO$6:$GO$42=1))&gt;0)</f>
        <v/>
      </c>
      <c r="GQ24">
        <f>$GQ$23+--($GP24)</f>
        <v/>
      </c>
      <c r="GR24">
        <f>IF(ROW()-3&gt;MAX($GQ$4:$GQ$40),"",INDEX($AI$4:$AI$40,MATCH(ROW()-3,$GQ$4:$GQ$40,0)))</f>
        <v/>
      </c>
      <c r="GS24">
        <f>IF(COUNTIF('Live Search'!BM$23:BR$23,0)+COUNTIF('Live Search'!B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T24">
        <f>IF($AN$24="",FALSE,SUMPRODUCT(('Final Calculation Sheet'!$E$4:$E$40=$AN$24)*($GS$6:$GS$42=1))&gt;0)</f>
        <v/>
      </c>
      <c r="GU24">
        <f>$GU$23+--($GT24)</f>
        <v/>
      </c>
      <c r="GV24">
        <f>IF(ROW()-3&gt;MAX($GU$4:$GU$40),"",INDEX($AN$4:$AN$40,MATCH(ROW()-3,$GU$4:$GU$40,0)))</f>
        <v/>
      </c>
      <c r="GW24">
        <f>IF(COUNTIF('Live Search'!BM$23:BS$23,0)+COUNTIF('Live Search'!B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GX24">
        <f>IF($AS$24="",FALSE,SUMPRODUCT(('Final Calculation Sheet'!$C$4:$C$40=$AS$24)*($GW$6:$GW$42=1))&gt;0)</f>
        <v/>
      </c>
      <c r="GY24">
        <f>$GY$23+--($GX24)</f>
        <v/>
      </c>
      <c r="GZ24">
        <f>IF(ROW()-3&gt;MAX($GY$4:$GY$40),"",INDEX($AS$4:$AS$40,MATCH(ROW()-3,$GY$4:$GY$40,0)))</f>
        <v/>
      </c>
      <c r="HA24">
        <f>IF(COUNTIF('Live Search'!BM$23:BT$23,0)+COUNTIF('Live Search'!BV$23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B24">
        <f>IF($AX$24="",FALSE,SUMPRODUCT(('Final Calculation Sheet'!$H$4:$H$40=$AX$24)*($HA$6:$HA$42=1))&gt;0)</f>
        <v/>
      </c>
      <c r="HC24">
        <f>$HC$23+--($HB24)</f>
        <v/>
      </c>
      <c r="HD24">
        <f>IF(ROW()-3&gt;MAX($HC$4:$HC$40),"",INDEX($AX$4:$AX$40,MATCH(ROW()-3,$HC$4:$HC$40,0)))</f>
        <v/>
      </c>
      <c r="HE24">
        <f>IF(COUNTIF('Live Search'!BM$23:BU$23,0)+COUNTIF('Live Search'!BW$23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F24">
        <f>IF($BC$24="",FALSE,SUMPRODUCT(('Final Calculation Sheet'!$I$4:$I$40=$BC$24)*($HE$6:$HE$42=1))&gt;0)</f>
        <v/>
      </c>
      <c r="HG24">
        <f>$HG$23+--($HF24)</f>
        <v/>
      </c>
      <c r="HH24">
        <f>IF(ROW()-3&gt;MAX($HG$4:$HG$40),"",INDEX($BC$4:$BC$40,MATCH(ROW()-3,$HG$4:$HG$40,0)))</f>
        <v/>
      </c>
      <c r="HI24">
        <f>IF(COUNTIF('Live Search'!BM$23:BV$23,0)+COUNTIF('Live Search'!BX$23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J24">
        <f>IF($BH$24="",FALSE,SUMPRODUCT(('Final Calculation Sheet'!$J$4:$J$40=$BH$24)*($HI$6:$HI$42=1))&gt;0)</f>
        <v/>
      </c>
      <c r="HK24">
        <f>$HK$23+--($HJ24)</f>
        <v/>
      </c>
      <c r="HL24">
        <f>IF(ROW()-3&gt;MAX($HK$4:$HK$40),"",INDEX($BH$4:$BH$40,MATCH(ROW()-3,$HK$4:$HK$40,0)))</f>
        <v/>
      </c>
      <c r="HM24">
        <f>IF(COUNTIF('Live Search'!BM$23:BW$23,0)+COUNTIF('Live Search'!BY$23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N24">
        <f>IF($BM$24="",FALSE,SUMPRODUCT(('Final Calculation Sheet'!$K$4:$K$40=$BM$24)*($HM$6:$HM$42=1))&gt;0)</f>
        <v/>
      </c>
      <c r="HO24">
        <f>$HO$23+--($HN24)</f>
        <v/>
      </c>
      <c r="HP24">
        <f>IF(ROW()-3&gt;MAX($HO$4:$HO$40),"",INDEX($BM$4:$BM$40,MATCH(ROW()-3,$HO$4:$HO$40,0)))</f>
        <v/>
      </c>
      <c r="HQ24">
        <f>IF(COUNTIF('Live Search'!BM$23:BX$23,0)+COUNTIF('Live Search'!BZ$23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R24">
        <f>IF($BR$24="",FALSE,SUMPRODUCT(('Final Calculation Sheet'!$L$4:$L$40=$BR$24)*($HQ$6:$HQ$42=1))&gt;0)</f>
        <v/>
      </c>
      <c r="HS24">
        <f>$HS$23+--($HR24)</f>
        <v/>
      </c>
      <c r="HT24">
        <f>IF(ROW()-3&gt;MAX($HS$4:$HS$40),"",INDEX($BR$4:$BR$40,MATCH(ROW()-3,$HS$4:$HS$40,0)))</f>
        <v/>
      </c>
      <c r="HU24">
        <f>IF(COUNTIF('Live Search'!BM$23:BY$23,0)+COUNTIF('Live Search'!CA$23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V24">
        <f>IF($BW$24="",FALSE,SUMPRODUCT(('Final Calculation Sheet'!$M$4:$M$40=$BW$24)*($HU$6:$HU$42=1))&gt;0)</f>
        <v/>
      </c>
      <c r="HW24">
        <f>$HW$23+--($HV24)</f>
        <v/>
      </c>
      <c r="HX24">
        <f>IF(ROW()-3&gt;MAX($HW$4:$HW$40),"",INDEX($BW$4:$BW$40,MATCH(ROW()-3,$HW$4:$HW$40,0)))</f>
        <v/>
      </c>
      <c r="HY24">
        <f>IF(COUNTIF('Live Search'!BM$23:BZ$23,0)+COUNTIF('Live Search'!CB$23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HZ24">
        <f>IF($CB$24="",FALSE,SUMPRODUCT(('Final Calculation Sheet'!$N$4:$N$40=$CB$24)*($HY$6:$HY$42=1))&gt;0)</f>
        <v/>
      </c>
      <c r="IA24">
        <f>$IA$23+--($HZ24)</f>
        <v/>
      </c>
      <c r="IB24">
        <f>IF(ROW()-3&gt;MAX($IA$4:$IA$40),"",INDEX($CB$4:$CB$40,MATCH(ROW()-3,$IA$4:$IA$40,0)))</f>
        <v/>
      </c>
      <c r="IC24">
        <f>IF(COUNTIF('Live Search'!BM$23:CA$23,0)+COUNTIF('Live Search'!CC$23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D24">
        <f>IF($CG$24="",FALSE,SUMPRODUCT(('Final Calculation Sheet'!$O$4:$O$40=$CG$24)*($IC$6:$IC$42=1))&gt;0)</f>
        <v/>
      </c>
      <c r="IE24">
        <f>$IE$23+--($ID24)</f>
        <v/>
      </c>
      <c r="IF24">
        <f>IF(ROW()-3&gt;MAX($IE$4:$IE$40),"",INDEX($CG$4:$CG$40,MATCH(ROW()-3,$IE$4:$IE$40,0)))</f>
        <v/>
      </c>
      <c r="IG24">
        <f>IF(COUNTIF('Live Search'!BM$23:CB$23,0)+COUNTIF('Live Search'!CD$23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H24">
        <f>IF($CL$24="",FALSE,SUMPRODUCT(('Final Calculation Sheet'!$P$4:$P$40=$CL$24)*($IG$6:$IG$42=1))&gt;0)</f>
        <v/>
      </c>
      <c r="II24">
        <f>$II$23+--($IH24)</f>
        <v/>
      </c>
      <c r="IJ24">
        <f>IF(ROW()-3&gt;MAX($II$4:$II$40),"",INDEX($CL$4:$CL$40,MATCH(ROW()-3,$II$4:$II$40,0)))</f>
        <v/>
      </c>
      <c r="IK24">
        <f>IF(COUNTIF('Live Search'!BM$23:CC$23,0)+COUNTIF('Live Search'!CE$23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L24">
        <f>IF($CQ$24="",FALSE,SUMPRODUCT(('Final Calculation Sheet'!$Q$4:$Q$40=$CQ$24)*($IK$6:$IK$42=1))&gt;0)</f>
        <v/>
      </c>
      <c r="IM24">
        <f>$IM$23+--($IL24)</f>
        <v/>
      </c>
      <c r="IN24">
        <f>IF(ROW()-3&gt;MAX($IM$4:$IM$40),"",INDEX($CQ$4:$CQ$40,MATCH(ROW()-3,$IM$4:$IM$40,0)))</f>
        <v/>
      </c>
      <c r="IO24">
        <f>IF(COUNTIF('Live Search'!BM$23:CD$23,0)+COUNTIF('Live Search'!CF$23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P24">
        <f>IF($CV$24="",FALSE,SUMPRODUCT(('Final Calculation Sheet'!$R$4:$R$40=$CV$24)*($IO$6:$IO$42=1))&gt;0)</f>
        <v/>
      </c>
      <c r="IQ24">
        <f>$IQ$23+--($IP24)</f>
        <v/>
      </c>
      <c r="IR24">
        <f>IF(ROW()-3&gt;MAX($IQ$4:$IQ$40),"",INDEX($CV$4:$CV$40,MATCH(ROW()-3,$IQ$4:$IQ$40,0)))</f>
        <v/>
      </c>
      <c r="IS24">
        <f>IF(COUNTIF('Live Search'!BM$23:CE$23,0)+COUNTIF('Live Search'!CG$23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T24">
        <f>IF($DA$24="",FALSE,SUMPRODUCT(('Final Calculation Sheet'!$S$4:$S$40=$DA$24)*($IS$6:$IS$42=1))&gt;0)</f>
        <v/>
      </c>
      <c r="IU24">
        <f>$IU$23+--($IT24)</f>
        <v/>
      </c>
      <c r="IV24">
        <f>IF(ROW()-3&gt;MAX($IU$4:$IU$40),"",INDEX($DA$4:$DA$40,MATCH(ROW()-3,$IU$4:$IU$40,0)))</f>
        <v/>
      </c>
      <c r="IW24">
        <f>IF(COUNTIF('Live Search'!BM$23:CF$23,0)+COUNTIF('Live Search'!CH$23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IX24">
        <f>IF($DF$24="",FALSE,SUMPRODUCT(('Final Calculation Sheet'!$T$4:$T$40=$DF$24)*($IW$6:$IW$42=1))&gt;0)</f>
        <v/>
      </c>
      <c r="IY24">
        <f>$IY$23+--($IX24)</f>
        <v/>
      </c>
      <c r="IZ24">
        <f>IF(ROW()-3&gt;MAX($IY$4:$IY$40),"",INDEX($DF$4:$DF$40,MATCH(ROW()-3,$IY$4:$IY$40,0)))</f>
        <v/>
      </c>
      <c r="JA24">
        <f>IF(COUNTIF('Live Search'!BM$23:CG$23,0)+COUNTIF('Live Search'!CI$23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B24">
        <f>IF($DK$24="",FALSE,SUMPRODUCT(('Final Calculation Sheet'!$U$4:$U$40=$DK$24)*($JA$6:$JA$42=1))&gt;0)</f>
        <v/>
      </c>
      <c r="JC24">
        <f>$JC$23+--($JB24)</f>
        <v/>
      </c>
      <c r="JD24">
        <f>IF(ROW()-3&gt;MAX($JC$4:$JC$40),"",INDEX($DK$4:$DK$40,MATCH(ROW()-3,$JC$4:$JC$40,0)))</f>
        <v/>
      </c>
      <c r="JE24">
        <f>IF(COUNTIF('Live Search'!BM$23:CH$23,0)+COUNTIF('Live Search'!CJ$23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F24">
        <f>IF($DP$24="",FALSE,SUMPRODUCT(('Final Calculation Sheet'!$V$4:$V$40=$DP$24)*($JE$6:$JE$42=1))&gt;0)</f>
        <v/>
      </c>
      <c r="JG24">
        <f>$JG$23+--($JF24)</f>
        <v/>
      </c>
      <c r="JH24">
        <f>IF(ROW()-3&gt;MAX($JG$4:$JG$40),"",INDEX($DP$4:$DP$40,MATCH(ROW()-3,$JG$4:$JG$40,0)))</f>
        <v/>
      </c>
      <c r="JI24">
        <f>IF(COUNTIF('Live Search'!BM$23:CI$23,0)+COUNTIF('Live Search'!CK$23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J24">
        <f>IF($DU$24="",FALSE,SUMPRODUCT(('Final Calculation Sheet'!$W$4:$W$40=$DU$24)*($JI$6:$JI$42=1))&gt;0)</f>
        <v/>
      </c>
      <c r="JK24">
        <f>$JK$23+--($JJ24)</f>
        <v/>
      </c>
      <c r="JL24">
        <f>IF(ROW()-3&gt;MAX($JK$4:$JK$40),"",INDEX($DU$4:$DU$40,MATCH(ROW()-3,$JK$4:$JK$40,0)))</f>
        <v/>
      </c>
      <c r="JM24">
        <f>IF(COUNTIF('Live Search'!BM$23:CJ$23,0)+COUNTIF('Live Search'!CL$23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N24">
        <f>IF($DZ$24="",FALSE,SUMPRODUCT(('Final Calculation Sheet'!$X$4:$X$40=$DZ$24)*($JM$6:$JM$42=1))&gt;0)</f>
        <v/>
      </c>
      <c r="JO24">
        <f>$JO$23+--($JN24)</f>
        <v/>
      </c>
      <c r="JP24">
        <f>IF(ROW()-3&gt;MAX($JO$4:$JO$40),"",INDEX($DZ$4:$DZ$40,MATCH(ROW()-3,$JO$4:$JO$40,0)))</f>
        <v/>
      </c>
      <c r="JQ24">
        <f>IF(COUNTIF('Live Search'!BM$23:CK$23,0)+COUNTIF('Live Search'!C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R24">
        <f>IF($EE$24="",FALSE,SUMPRODUCT(('Final Calculation Sheet'!$Y$4:$Y$40=$EE$24)*($JQ$6:$JQ$42=1))&gt;0)</f>
        <v/>
      </c>
      <c r="JS24">
        <f>$JS$23+--($JR24)</f>
        <v/>
      </c>
      <c r="JT24">
        <f>IF(ROW()-3&gt;MAX($JS$4:$JS$40),"",INDEX($EE$4:$EE$40,MATCH(ROW()-3,$JS$4:$JS$40,0)))</f>
        <v/>
      </c>
      <c r="JU24">
        <f>IF(COUNTIF('Live Search'!BM$23:CL$23,0)+COUNTIF('Live Search'!CN$23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V24">
        <f>IF($EJ$24="",FALSE,SUMPRODUCT(('Final Calculation Sheet'!$Z$4:$Z$40=$EJ$24)*($JU$6:$JU$42=1))&gt;0)</f>
        <v/>
      </c>
      <c r="JW24">
        <f>$JW$23+--($JV24)</f>
        <v/>
      </c>
      <c r="JX24">
        <f>IF(ROW()-3&gt;MAX($JW$4:$JW$40),"",INDEX($EJ$4:$EJ$40,MATCH(ROW()-3,$JW$4:$JW$40,0)))</f>
        <v/>
      </c>
      <c r="JY24">
        <f>IF(COUNTIF('Live Search'!BM$23:CM$23,0)+COUNTIF('Live Search'!CO$23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JZ24">
        <f>IF($EO$24="",FALSE,SUMPRODUCT(('Final Calculation Sheet'!$AA$4:$AA$40=$EO$24)*($JY$6:$JY$42=1))&gt;0)</f>
        <v/>
      </c>
      <c r="KA24">
        <f>$KA$23+--($JZ24)</f>
        <v/>
      </c>
      <c r="KB24">
        <f>IF(ROW()-3&gt;MAX($KA$4:$KA$40),"",INDEX($EO$4:$EO$40,MATCH(ROW()-3,$KA$4:$KA$40,0)))</f>
        <v/>
      </c>
      <c r="KC24">
        <f>IF(COUNTIF('Live Search'!BM$23:CN$23,0)+COUNTIF('Live Search'!CP$23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D24">
        <f>IF($ET$24="",FALSE,SUMPRODUCT(('Final Calculation Sheet'!$AB$4:$AB$40=$ET$24)*($KC$6:$KC$42=1))&gt;0)</f>
        <v/>
      </c>
      <c r="KE24">
        <f>$KE$23+--($KD24)</f>
        <v/>
      </c>
      <c r="KF24">
        <f>IF(ROW()-3&gt;MAX($KE$4:$KE$40),"",INDEX($ET$4:$ET$40,MATCH(ROW()-3,$KE$4:$KE$40,0)))</f>
        <v/>
      </c>
      <c r="KG24">
        <f>IF(COUNTIF('Live Search'!BM$23:CO$23,0)+COUNTIF('Live Search'!CQ$23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H24">
        <f>IF($EY$24="",FALSE,SUMPRODUCT(('Final Calculation Sheet'!$AC$4:$AC$40=$EY$24)*($KG$6:$KG$42=1))&gt;0)</f>
        <v/>
      </c>
      <c r="KI24">
        <f>$KI$23+--($KH24)</f>
        <v/>
      </c>
      <c r="KJ24">
        <f>IF(ROW()-3&gt;MAX($KI$4:$KI$40),"",INDEX($EY$4:$EY$40,MATCH(ROW()-3,$KI$4:$KI$40,0)))</f>
        <v/>
      </c>
      <c r="KK24">
        <f>IF(COUNTIF('Live Search'!BM$23:CP$23,0)+COUNTIF('Live Search'!CR$23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L24">
        <f>IF($FD$24="",FALSE,SUMPRODUCT(('Final Calculation Sheet'!$AD$4:$AD$40=$FD$24)*($KK$6:$KK$42=1))&gt;0)</f>
        <v/>
      </c>
      <c r="KM24">
        <f>$KM$23+--($KL24)</f>
        <v/>
      </c>
      <c r="KN24">
        <f>IF(ROW()-3&gt;MAX($KM$4:$KM$40),"",INDEX($FD$4:$FD$40,MATCH(ROW()-3,$KM$4:$KM$40,0)))</f>
        <v/>
      </c>
      <c r="KO24">
        <f>IF(COUNTIF('Live Search'!BM$23:CT$23,0)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P24">
        <f>IF($FX$24="",FALSE,SUMPRODUCT((IF('Final Calculation Sheet'!$AD$4:$AD$40&lt;=5,"SETTLED","OUTSTANDING")=$FX$24)*($KO$6:$KO$42=1))&gt;0)</f>
        <v/>
      </c>
      <c r="KQ24">
        <f>$KQ$23+--($KP24)</f>
        <v/>
      </c>
      <c r="KR24">
        <f>IF(ROW()-3&gt;MAX($KQ$4:$KQ$40),"",INDEX($FX$4:$FX$40,MATCH(ROW()-3,$KQ$4:$KQ$40,0)))</f>
        <v/>
      </c>
      <c r="KS24">
        <f>IF(COUNTIF('Live Search'!BM$23:CQ$23,0)+COUNTIF('Live Search'!CS$23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T24">
        <f>IF($FI$24="",FALSE,SUMPRODUCT(('Final Calculation Sheet'!$AF$4:$AF$40=$FI$24)*($KS$6:$KS$42=1))&gt;0)</f>
        <v/>
      </c>
      <c r="KU24">
        <f>$KU$23+--($KT24)</f>
        <v/>
      </c>
      <c r="KV24">
        <f>IF(ROW()-3&gt;MAX($KU$4:$KU$40),"",INDEX($FI$4:$FI$40,MATCH(ROW()-3,$KU$4:$KU$40,0)))</f>
        <v/>
      </c>
      <c r="KW24">
        <f>IF(COUNTIF('Live Search'!BM$23:CR$23,0)+COUNTIF('Live Search'!CT$23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KX24">
        <f>IF($FN$24="",FALSE,SUMPRODUCT(('Final Calculation Sheet'!$AG$4:$AG$40=$FN$24)*($KW$6:$KW$42=1))&gt;0)</f>
        <v/>
      </c>
      <c r="KY24">
        <f>$KY$23+--($KX24)</f>
        <v/>
      </c>
      <c r="KZ24">
        <f>IF(ROW()-3&gt;MAX($KY$4:$KY$40),"",INDEX($FN$4:$FN$40,MATCH(ROW()-3,$KY$4:$KY$40,0)))</f>
        <v/>
      </c>
      <c r="LA24">
        <f>IF(COUNTIF('Live Search'!BM$23:CS$23,0)+COUNTIF('Live Search'!CU$23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LB24">
        <f>IF($FS$24="",FALSE,SUMPRODUCT(('Final Calculation Sheet'!$AH$4:$AH$40=$FS$24)*($LA$6:$LA$42=1))&gt;0)</f>
        <v/>
      </c>
      <c r="LC24">
        <f>$LC$23+--($LB24)</f>
        <v/>
      </c>
      <c r="LD24">
        <f>IF(ROW()-3&gt;MAX($LC$4:$LC$40),"",INDEX($FS$4:$FS$40,MATCH(ROW()-3,$LC$4:$LC$40,0)))</f>
        <v/>
      </c>
      <c r="LE24">
        <f>IF(COUNTIF('Buyer Groups'!DH77:EN77,0)&gt;0,0,1)</f>
        <v/>
      </c>
      <c r="LF24">
        <f>IF($O$24="",FALSE,SUMPRODUCT(('Final Calculation Sheet'!$F$4:$F$40=$O$24)*($LE$6:$LE$42=1))&gt;0)</f>
        <v/>
      </c>
      <c r="LG24">
        <f>$LG$23+--($LF24)</f>
        <v/>
      </c>
      <c r="LH24">
        <f>IF(ROW()-3&gt;MAX($LG$4:$LG$40),"",INDEX($O$4:$O$40,MATCH(ROW()-3,$LG$4:$LG$40,0)))</f>
        <v/>
      </c>
      <c r="LI24">
        <f>IF(COUNTIF('Buyer Groups'!DG77:DG77,0)+COUNTIF('Buyer Groups'!DI77:EN77,0)&gt;0,0,1)</f>
        <v/>
      </c>
      <c r="LJ24">
        <f>IF($T$24="",FALSE,SUMPRODUCT(('Final Calculation Sheet'!$G$4:$G$40=$T$24)*($LI$6:$LI$42=1))&gt;0)</f>
        <v/>
      </c>
      <c r="LK24">
        <f>$LK$23+--($LJ24)</f>
        <v/>
      </c>
      <c r="LL24">
        <f>IF(ROW()-3&gt;MAX($LK$4:$LK$40),"",INDEX($T$4:$T$40,MATCH(ROW()-3,$LK$4:$LK$40,0)))</f>
        <v/>
      </c>
      <c r="LM24">
        <f>IF(COUNTIF('Buyer Groups'!DG77:DH77,0)+COUNTIF('Buyer Groups'!DJ77:EN77,0)&gt;0,0,1)</f>
        <v/>
      </c>
      <c r="LN24">
        <f>IF($Y$24="",FALSE,SUMPRODUCT(('Final Calculation Sheet'!$B$4:$B$40=$Y$24)*($LM$6:$LM$42=1))&gt;0)</f>
        <v/>
      </c>
      <c r="LO24">
        <f>$LO$23+--($LN24)</f>
        <v/>
      </c>
      <c r="LP24">
        <f>IF(ROW()-3&gt;MAX($LO$4:$LO$40),"",INDEX($Y$4:$Y$40,MATCH(ROW()-3,$LO$4:$LO$40,0)))</f>
        <v/>
      </c>
      <c r="LQ24">
        <f>IF(COUNTIF('Buyer Groups'!DG77:DI77,0)+COUNTIF('Buyer Groups'!DK77:EN77,0)&gt;0,0,1)</f>
        <v/>
      </c>
      <c r="LR24">
        <f>IF($AD$24="",FALSE,SUMPRODUCT(('Final Calculation Sheet'!$D$4:$D$40=$AD$24)*($LQ$6:$LQ$42=1))&gt;0)</f>
        <v/>
      </c>
      <c r="LS24">
        <f>$LS$23+--($LR24)</f>
        <v/>
      </c>
      <c r="LT24">
        <f>IF(ROW()-3&gt;MAX($LS$4:$LS$40),"",INDEX($AD$4:$AD$40,MATCH(ROW()-3,$LS$4:$LS$40,0)))</f>
        <v/>
      </c>
      <c r="LU24">
        <f>IF(COUNTIF('Buyer Groups'!DG77:DJ77,0)+COUNTIF('Buyer Groups'!DL77:EN77,0)&gt;0,0,1)</f>
        <v/>
      </c>
      <c r="LV24">
        <f>IF($AI$24="",FALSE,SUMPRODUCT(('Final Calculation Sheet'!$A$4:$A$40=$AI$24)*($LU$6:$LU$42=1))&gt;0)</f>
        <v/>
      </c>
      <c r="LW24">
        <f>$LW$23+--($LV24)</f>
        <v/>
      </c>
      <c r="LX24">
        <f>IF(ROW()-3&gt;MAX($LW$4:$LW$40),"",INDEX($AI$4:$AI$40,MATCH(ROW()-3,$LW$4:$LW$40,0)))</f>
        <v/>
      </c>
      <c r="LY24">
        <f>IF(COUNTIF('Buyer Groups'!DG77:DK77,0)+COUNTIF('Buyer Groups'!DM77:EN77,0)&gt;0,0,1)</f>
        <v/>
      </c>
      <c r="LZ24">
        <f>IF($AN$24="",FALSE,SUMPRODUCT(('Final Calculation Sheet'!$E$4:$E$40=$AN$24)*($LY$6:$LY$42=1))&gt;0)</f>
        <v/>
      </c>
      <c r="MA24">
        <f>$MA$23+--($LZ24)</f>
        <v/>
      </c>
      <c r="MB24">
        <f>IF(ROW()-3&gt;MAX($MA$4:$MA$40),"",INDEX($AN$4:$AN$40,MATCH(ROW()-3,$MA$4:$MA$40,0)))</f>
        <v/>
      </c>
      <c r="MC24">
        <f>IF(COUNTIF('Buyer Groups'!DG77:DL77,0)+COUNTIF('Buyer Groups'!DN77:EN77,0)&gt;0,0,1)</f>
        <v/>
      </c>
      <c r="MD24">
        <f>IF($AS$24="",FALSE,SUMPRODUCT(('Final Calculation Sheet'!$C$4:$C$40=$AS$24)*($MC$6:$MC$42=1))&gt;0)</f>
        <v/>
      </c>
      <c r="ME24">
        <f>$ME$23+--($MD24)</f>
        <v/>
      </c>
      <c r="MF24">
        <f>IF(ROW()-3&gt;MAX($ME$4:$ME$40),"",INDEX($AS$4:$AS$40,MATCH(ROW()-3,$ME$4:$ME$40,0)))</f>
        <v/>
      </c>
      <c r="MG24">
        <f>IF(COUNTIF('Buyer Groups'!DG77:DM77,0)+COUNTIF('Buyer Groups'!DO77:EN77,0)&gt;0,0,1)</f>
        <v/>
      </c>
      <c r="MH24">
        <f>IF($AX$24="",FALSE,SUMPRODUCT(('Final Calculation Sheet'!$H$4:$H$40=$AX$24)*($MG$6:$MG$42=1))&gt;0)</f>
        <v/>
      </c>
      <c r="MI24">
        <f>$MI$23+--($MH24)</f>
        <v/>
      </c>
      <c r="MJ24">
        <f>IF(ROW()-3&gt;MAX($MI$4:$MI$40),"",INDEX($AX$4:$AX$40,MATCH(ROW()-3,$MI$4:$MI$40,0)))</f>
        <v/>
      </c>
      <c r="MK24">
        <f>IF(COUNTIF('Buyer Groups'!DG77:DN77,0)+COUNTIF('Buyer Groups'!DP77:EN77,0)&gt;0,0,1)</f>
        <v/>
      </c>
      <c r="ML24">
        <f>IF($BC$24="",FALSE,SUMPRODUCT(('Final Calculation Sheet'!$I$4:$I$40=$BC$24)*($MK$6:$MK$42=1))&gt;0)</f>
        <v/>
      </c>
      <c r="MM24">
        <f>$MM$23+--($ML24)</f>
        <v/>
      </c>
      <c r="MN24">
        <f>IF(ROW()-3&gt;MAX($MM$4:$MM$40),"",INDEX($BC$4:$BC$40,MATCH(ROW()-3,$MM$4:$MM$40,0)))</f>
        <v/>
      </c>
      <c r="MO24">
        <f>IF(COUNTIF('Buyer Groups'!DG77:DO77,0)+COUNTIF('Buyer Groups'!DQ77:EN77,0)&gt;0,0,1)</f>
        <v/>
      </c>
      <c r="MP24">
        <f>IF($BH$24="",FALSE,SUMPRODUCT(('Final Calculation Sheet'!$J$4:$J$40=$BH$24)*($MO$6:$MO$42=1))&gt;0)</f>
        <v/>
      </c>
      <c r="MQ24">
        <f>$MQ$23+--($MP24)</f>
        <v/>
      </c>
      <c r="MR24">
        <f>IF(ROW()-3&gt;MAX($MQ$4:$MQ$40),"",INDEX($BH$4:$BH$40,MATCH(ROW()-3,$MQ$4:$MQ$40,0)))</f>
        <v/>
      </c>
      <c r="MS24">
        <f>IF(COUNTIF('Buyer Groups'!DG77:DP77,0)+COUNTIF('Buyer Groups'!DR77:EN77,0)&gt;0,0,1)</f>
        <v/>
      </c>
      <c r="MT24">
        <f>IF($BM$24="",FALSE,SUMPRODUCT(('Final Calculation Sheet'!$K$4:$K$40=$BM$24)*($MS$6:$MS$42=1))&gt;0)</f>
        <v/>
      </c>
      <c r="MU24">
        <f>$MU$23+--($MT24)</f>
        <v/>
      </c>
      <c r="MV24">
        <f>IF(ROW()-3&gt;MAX($MU$4:$MU$40),"",INDEX($BM$4:$BM$40,MATCH(ROW()-3,$MU$4:$MU$40,0)))</f>
        <v/>
      </c>
      <c r="MW24">
        <f>IF(COUNTIF('Buyer Groups'!DG77:DQ77,0)+COUNTIF('Buyer Groups'!DS77:EN77,0)&gt;0,0,1)</f>
        <v/>
      </c>
      <c r="MX24">
        <f>IF($BR$24="",FALSE,SUMPRODUCT(('Final Calculation Sheet'!$L$4:$L$40=$BR$24)*($MW$6:$MW$42=1))&gt;0)</f>
        <v/>
      </c>
      <c r="MY24">
        <f>$MY$23+--($MX24)</f>
        <v/>
      </c>
      <c r="MZ24">
        <f>IF(ROW()-3&gt;MAX($MY$4:$MY$40),"",INDEX($BR$4:$BR$40,MATCH(ROW()-3,$MY$4:$MY$40,0)))</f>
        <v/>
      </c>
      <c r="NA24">
        <f>IF(COUNTIF('Buyer Groups'!DG77:DR77,0)+COUNTIF('Buyer Groups'!DT77:EN77,0)&gt;0,0,1)</f>
        <v/>
      </c>
      <c r="NB24">
        <f>IF($BW$24="",FALSE,SUMPRODUCT(('Final Calculation Sheet'!$M$4:$M$40=$BW$24)*($NA$6:$NA$42=1))&gt;0)</f>
        <v/>
      </c>
      <c r="NC24">
        <f>$NC$23+--($NB24)</f>
        <v/>
      </c>
      <c r="ND24">
        <f>IF(ROW()-3&gt;MAX($NC$4:$NC$40),"",INDEX($BW$4:$BW$40,MATCH(ROW()-3,$NC$4:$NC$40,0)))</f>
        <v/>
      </c>
      <c r="NE24">
        <f>IF(COUNTIF('Buyer Groups'!DG77:DS77,0)+COUNTIF('Buyer Groups'!DU77:EN77,0)&gt;0,0,1)</f>
        <v/>
      </c>
      <c r="NF24">
        <f>IF($CB$24="",FALSE,SUMPRODUCT(('Final Calculation Sheet'!$N$4:$N$40=$CB$24)*($NE$6:$NE$42=1))&gt;0)</f>
        <v/>
      </c>
      <c r="NG24">
        <f>$NG$23+--($NF24)</f>
        <v/>
      </c>
      <c r="NH24">
        <f>IF(ROW()-3&gt;MAX($NG$4:$NG$40),"",INDEX($CB$4:$CB$40,MATCH(ROW()-3,$NG$4:$NG$40,0)))</f>
        <v/>
      </c>
      <c r="NI24">
        <f>IF(COUNTIF('Buyer Groups'!DG77:DT77,0)+COUNTIF('Buyer Groups'!DV77:EN77,0)&gt;0,0,1)</f>
        <v/>
      </c>
      <c r="NJ24">
        <f>IF($CG$24="",FALSE,SUMPRODUCT(('Final Calculation Sheet'!$O$4:$O$40=$CG$24)*($NI$6:$NI$42=1))&gt;0)</f>
        <v/>
      </c>
      <c r="NK24">
        <f>$NK$23+--($NJ24)</f>
        <v/>
      </c>
      <c r="NL24">
        <f>IF(ROW()-3&gt;MAX($NK$4:$NK$40),"",INDEX($CG$4:$CG$40,MATCH(ROW()-3,$NK$4:$NK$40,0)))</f>
        <v/>
      </c>
      <c r="NM24">
        <f>IF(COUNTIF('Buyer Groups'!DG77:DU77,0)+COUNTIF('Buyer Groups'!DW77:EN77,0)&gt;0,0,1)</f>
        <v/>
      </c>
      <c r="NN24">
        <f>IF($CL$24="",FALSE,SUMPRODUCT(('Final Calculation Sheet'!$P$4:$P$40=$CL$24)*($NM$6:$NM$42=1))&gt;0)</f>
        <v/>
      </c>
      <c r="NO24">
        <f>$NO$23+--($NN24)</f>
        <v/>
      </c>
      <c r="NP24">
        <f>IF(ROW()-3&gt;MAX($NO$4:$NO$40),"",INDEX($CL$4:$CL$40,MATCH(ROW()-3,$NO$4:$NO$40,0)))</f>
        <v/>
      </c>
      <c r="NQ24">
        <f>IF(COUNTIF('Buyer Groups'!DG77:DV77,0)+COUNTIF('Buyer Groups'!DX77:EN77,0)&gt;0,0,1)</f>
        <v/>
      </c>
      <c r="NR24">
        <f>IF($CQ$24="",FALSE,SUMPRODUCT(('Final Calculation Sheet'!$Q$4:$Q$40=$CQ$24)*($NQ$6:$NQ$42=1))&gt;0)</f>
        <v/>
      </c>
      <c r="NS24">
        <f>$NS$23+--($NR24)</f>
        <v/>
      </c>
      <c r="NT24">
        <f>IF(ROW()-3&gt;MAX($NS$4:$NS$40),"",INDEX($CQ$4:$CQ$40,MATCH(ROW()-3,$NS$4:$NS$40,0)))</f>
        <v/>
      </c>
      <c r="NU24">
        <f>IF(COUNTIF('Buyer Groups'!DG77:DW77,0)+COUNTIF('Buyer Groups'!DY77:EN77,0)&gt;0,0,1)</f>
        <v/>
      </c>
      <c r="NV24">
        <f>IF($CV$24="",FALSE,SUMPRODUCT(('Final Calculation Sheet'!$R$4:$R$40=$CV$24)*($NU$6:$NU$42=1))&gt;0)</f>
        <v/>
      </c>
      <c r="NW24">
        <f>$NW$23+--($NV24)</f>
        <v/>
      </c>
      <c r="NX24">
        <f>IF(ROW()-3&gt;MAX($NW$4:$NW$40),"",INDEX($CV$4:$CV$40,MATCH(ROW()-3,$NW$4:$NW$40,0)))</f>
        <v/>
      </c>
      <c r="NY24">
        <f>IF(COUNTIF('Buyer Groups'!DG77:DX77,0)+COUNTIF('Buyer Groups'!DZ77:EN77,0)&gt;0,0,1)</f>
        <v/>
      </c>
      <c r="NZ24">
        <f>IF($DA$24="",FALSE,SUMPRODUCT(('Final Calculation Sheet'!$S$4:$S$40=$DA$24)*($NY$6:$NY$42=1))&gt;0)</f>
        <v/>
      </c>
      <c r="OA24">
        <f>$OA$23+--($NZ24)</f>
        <v/>
      </c>
      <c r="OB24">
        <f>IF(ROW()-3&gt;MAX($OA$4:$OA$40),"",INDEX($DA$4:$DA$40,MATCH(ROW()-3,$OA$4:$OA$40,0)))</f>
        <v/>
      </c>
      <c r="OC24">
        <f>IF(COUNTIF('Buyer Groups'!DG77:DY77,0)+COUNTIF('Buyer Groups'!EA77:EN77,0)&gt;0,0,1)</f>
        <v/>
      </c>
      <c r="OD24">
        <f>IF($DF$24="",FALSE,SUMPRODUCT(('Final Calculation Sheet'!$T$4:$T$40=$DF$24)*($OC$6:$OC$42=1))&gt;0)</f>
        <v/>
      </c>
      <c r="OE24">
        <f>$OE$23+--($OD24)</f>
        <v/>
      </c>
      <c r="OF24">
        <f>IF(ROW()-3&gt;MAX($OE$4:$OE$40),"",INDEX($DF$4:$DF$40,MATCH(ROW()-3,$OE$4:$OE$40,0)))</f>
        <v/>
      </c>
      <c r="OG24">
        <f>IF(COUNTIF('Buyer Groups'!DG77:DZ77,0)+COUNTIF('Buyer Groups'!EB77:EN77,0)&gt;0,0,1)</f>
        <v/>
      </c>
      <c r="OH24">
        <f>IF($DK$24="",FALSE,SUMPRODUCT(('Final Calculation Sheet'!$U$4:$U$40=$DK$24)*($OG$6:$OG$42=1))&gt;0)</f>
        <v/>
      </c>
      <c r="OI24">
        <f>$OI$23+--($OH24)</f>
        <v/>
      </c>
      <c r="OJ24">
        <f>IF(ROW()-3&gt;MAX($OI$4:$OI$40),"",INDEX($DK$4:$DK$40,MATCH(ROW()-3,$OI$4:$OI$40,0)))</f>
        <v/>
      </c>
      <c r="OK24">
        <f>IF(COUNTIF('Buyer Groups'!DG77:EA77,0)+COUNTIF('Buyer Groups'!EC77:EN77,0)&gt;0,0,1)</f>
        <v/>
      </c>
      <c r="OL24">
        <f>IF($DP$24="",FALSE,SUMPRODUCT(('Final Calculation Sheet'!$V$4:$V$40=$DP$24)*($OK$6:$OK$42=1))&gt;0)</f>
        <v/>
      </c>
      <c r="OM24">
        <f>$OM$23+--($OL24)</f>
        <v/>
      </c>
      <c r="ON24">
        <f>IF(ROW()-3&gt;MAX($OM$4:$OM$40),"",INDEX($DP$4:$DP$40,MATCH(ROW()-3,$OM$4:$OM$40,0)))</f>
        <v/>
      </c>
      <c r="OO24">
        <f>IF(COUNTIF('Buyer Groups'!DG77:EB77,0)+COUNTIF('Buyer Groups'!ED77:EN77,0)&gt;0,0,1)</f>
        <v/>
      </c>
      <c r="OP24">
        <f>IF($DU$24="",FALSE,SUMPRODUCT(('Final Calculation Sheet'!$W$4:$W$40=$DU$24)*($OO$6:$OO$42=1))&gt;0)</f>
        <v/>
      </c>
      <c r="OQ24">
        <f>$OQ$23+--($OP24)</f>
        <v/>
      </c>
      <c r="OR24">
        <f>IF(ROW()-3&gt;MAX($OQ$4:$OQ$40),"",INDEX($DU$4:$DU$40,MATCH(ROW()-3,$OQ$4:$OQ$40,0)))</f>
        <v/>
      </c>
      <c r="OS24">
        <f>IF(COUNTIF('Buyer Groups'!DG77:EC77,0)+COUNTIF('Buyer Groups'!EE77:EN77,0)&gt;0,0,1)</f>
        <v/>
      </c>
      <c r="OT24">
        <f>IF($DZ$24="",FALSE,SUMPRODUCT(('Final Calculation Sheet'!$X$4:$X$40=$DZ$24)*($OS$6:$OS$42=1))&gt;0)</f>
        <v/>
      </c>
      <c r="OU24">
        <f>$OU$23+--($OT24)</f>
        <v/>
      </c>
      <c r="OV24">
        <f>IF(ROW()-3&gt;MAX($OU$4:$OU$40),"",INDEX($DZ$4:$DZ$40,MATCH(ROW()-3,$OU$4:$OU$40,0)))</f>
        <v/>
      </c>
      <c r="OW24">
        <f>IF(COUNTIF('Buyer Groups'!DG77:ED77,0)+COUNTIF('Buyer Groups'!EF77:EN77,0)&gt;0,0,1)</f>
        <v/>
      </c>
      <c r="OX24">
        <f>IF($EE$24="",FALSE,SUMPRODUCT(('Final Calculation Sheet'!$Y$4:$Y$40=$EE$24)*($OW$6:$OW$42=1))&gt;0)</f>
        <v/>
      </c>
      <c r="OY24">
        <f>$OY$23+--($OX24)</f>
        <v/>
      </c>
      <c r="OZ24">
        <f>IF(ROW()-3&gt;MAX($OY$4:$OY$40),"",INDEX($EE$4:$EE$40,MATCH(ROW()-3,$OY$4:$OY$40,0)))</f>
        <v/>
      </c>
      <c r="PA24">
        <f>IF(COUNTIF('Buyer Groups'!DG77:EE77,0)+COUNTIF('Buyer Groups'!EG77:EN77,0)&gt;0,0,1)</f>
        <v/>
      </c>
      <c r="PB24">
        <f>IF($EJ$24="",FALSE,SUMPRODUCT(('Final Calculation Sheet'!$Z$4:$Z$40=$EJ$24)*($PA$6:$PA$42=1))&gt;0)</f>
        <v/>
      </c>
      <c r="PC24">
        <f>$PC$23+--($PB24)</f>
        <v/>
      </c>
      <c r="PD24">
        <f>IF(ROW()-3&gt;MAX($PC$4:$PC$40),"",INDEX($EJ$4:$EJ$40,MATCH(ROW()-3,$PC$4:$PC$40,0)))</f>
        <v/>
      </c>
      <c r="PE24">
        <f>IF(COUNTIF('Buyer Groups'!DG77:EF77,0)+COUNTIF('Buyer Groups'!EH77:EN77,0)&gt;0,0,1)</f>
        <v/>
      </c>
      <c r="PF24">
        <f>IF($EO$24="",FALSE,SUMPRODUCT(('Final Calculation Sheet'!$AA$4:$AA$40=$EO$24)*($PE$6:$PE$42=1))&gt;0)</f>
        <v/>
      </c>
      <c r="PG24">
        <f>$PG$23+--($PF24)</f>
        <v/>
      </c>
      <c r="PH24">
        <f>IF(ROW()-3&gt;MAX($PG$4:$PG$40),"",INDEX($EO$4:$EO$40,MATCH(ROW()-3,$PG$4:$PG$40,0)))</f>
        <v/>
      </c>
      <c r="PI24">
        <f>IF(COUNTIF('Buyer Groups'!DG77:EG77,0)+COUNTIF('Buyer Groups'!EI77:EN77,0)&gt;0,0,1)</f>
        <v/>
      </c>
      <c r="PJ24">
        <f>IF($ET$24="",FALSE,SUMPRODUCT(('Final Calculation Sheet'!$AB$4:$AB$40=$ET$24)*($PI$6:$PI$42=1))&gt;0)</f>
        <v/>
      </c>
      <c r="PK24">
        <f>$PK$23+--($PJ24)</f>
        <v/>
      </c>
      <c r="PL24">
        <f>IF(ROW()-3&gt;MAX($PK$4:$PK$40),"",INDEX($ET$4:$ET$40,MATCH(ROW()-3,$PK$4:$PK$40,0)))</f>
        <v/>
      </c>
      <c r="PM24">
        <f>IF(COUNTIF('Buyer Groups'!DG77:EH77,0)+COUNTIF('Buyer Groups'!EJ77:EN77,0)&gt;0,0,1)</f>
        <v/>
      </c>
      <c r="PN24">
        <f>IF($EY$24="",FALSE,SUMPRODUCT(('Final Calculation Sheet'!$AC$4:$AC$40=$EY$24)*($PM$6:$PM$42=1))&gt;0)</f>
        <v/>
      </c>
      <c r="PO24">
        <f>$PO$23+--($PN24)</f>
        <v/>
      </c>
      <c r="PP24">
        <f>IF(ROW()-3&gt;MAX($PO$4:$PO$40),"",INDEX($EY$4:$EY$40,MATCH(ROW()-3,$PO$4:$PO$40,0)))</f>
        <v/>
      </c>
      <c r="PQ24">
        <f>IF(COUNTIF('Buyer Groups'!DG77:EI77,0)+COUNTIF('Buyer Groups'!EK77:EN77,0)&gt;0,0,1)</f>
        <v/>
      </c>
      <c r="PR24">
        <f>IF($FD$24="",FALSE,SUMPRODUCT(('Final Calculation Sheet'!$AD$4:$AD$40=$FD$24)*($PQ$6:$PQ$42=1))&gt;0)</f>
        <v/>
      </c>
      <c r="PS24">
        <f>$PS$23+--($PR24)</f>
        <v/>
      </c>
      <c r="PT24">
        <f>IF(ROW()-3&gt;MAX($PS$4:$PS$40),"",INDEX($FD$4:$FD$40,MATCH(ROW()-3,$PS$4:$PS$40,0)))</f>
        <v/>
      </c>
      <c r="PU24">
        <f>IF(COUNTIF('Buyer Groups'!DG77:EJ77,0)+COUNTIF('Buyer Groups'!EL77:EN77,0)&gt;0,0,1)</f>
        <v/>
      </c>
      <c r="PV24">
        <f>IF($FX$24="",FALSE,SUMPRODUCT((IF('Final Calculation Sheet'!$AD$4:$AD$40&lt;=5,"SETTLED","OUTSTANDING")=$FX$24)*($PU$6:$PU$42=1))&gt;0)</f>
        <v/>
      </c>
      <c r="PW24">
        <f>$PW$23+--($PV24)</f>
        <v/>
      </c>
      <c r="PX24">
        <f>IF(ROW()-3&gt;MAX($PW$4:$PW$40),"",INDEX($FX$4:$FX$40,MATCH(ROW()-3,$PW$4:$PW$40,0)))</f>
        <v/>
      </c>
      <c r="PY24">
        <f>IF(COUNTIF('Buyer Groups'!DG77:EK77,0)+COUNTIF('Buyer Groups'!EM77:EN77,0)&gt;0,0,1)</f>
        <v/>
      </c>
      <c r="PZ24">
        <f>IF($FI$24="",FALSE,SUMPRODUCT(('Final Calculation Sheet'!$AF$4:$AF$40=$FI$24)*($PY$6:$PY$42=1))&gt;0)</f>
        <v/>
      </c>
      <c r="QA24">
        <f>$QA$23+--($PZ24)</f>
        <v/>
      </c>
      <c r="QB24">
        <f>IF(ROW()-3&gt;MAX($QA$4:$QA$40),"",INDEX($FI$4:$FI$40,MATCH(ROW()-3,$QA$4:$QA$40,0)))</f>
        <v/>
      </c>
      <c r="QC24">
        <f>IF(COUNTIF('Buyer Groups'!DG77:EL77,0)+COUNTIF('Buyer Groups'!EN77:EN77,0)&gt;0,0,1)</f>
        <v/>
      </c>
      <c r="QD24">
        <f>IF($FN$24="",FALSE,SUMPRODUCT(('Final Calculation Sheet'!$AG$4:$AG$40=$FN$24)*($QC$6:$QC$42=1))&gt;0)</f>
        <v/>
      </c>
      <c r="QE24">
        <f>$QE$23+--($QD24)</f>
        <v/>
      </c>
      <c r="QF24">
        <f>IF(ROW()-3&gt;MAX($QE$4:$QE$40),"",INDEX($FN$4:$FN$40,MATCH(ROW()-3,$QE$4:$QE$40,0)))</f>
        <v/>
      </c>
      <c r="QG24">
        <f>IF(COUNTIF('Buyer Groups'!DG77:EM77,0)&gt;0,0,1)</f>
        <v/>
      </c>
      <c r="QH24">
        <f>IF($FS$24="",FALSE,SUMPRODUCT(('Final Calculation Sheet'!$AH$4:$AH$40=$FS$24)*($QG$6:$QG$42=1))&gt;0)</f>
        <v/>
      </c>
      <c r="QI24">
        <f>$QI$23+--($QH24)</f>
        <v/>
      </c>
      <c r="QJ24">
        <f>IF(ROW()-3&gt;MAX($QI$4:$QI$40),"",INDEX($FS$4:$FS$40,MATCH(ROW()-3,$QI$4:$QI$40,0)))</f>
        <v/>
      </c>
      <c r="QK24" t="str">
        <f>IF('Final Calculation Sheet'!$AH$24="","",'Final Calculation Sheet'!$AH$24)</f>
      </c>
      <c r="QL24" t="str">
        <f>IF(QK24="","",COUNTIFS(QK$4:QK$40,"&lt;"&amp;QK24,QK$4:QK$40,"&lt;&gt;"&amp;"")+COUNTIF(QK$4:QK24,QK24))</f>
      </c>
      <c r="QM24" t="str">
        <f>IF(ROW()-3&gt;COUNTIF(QK$4:QK$40,"&lt;&gt;"&amp;""),"",INDEX(QK$4:QK$40,MATCH(ROW()-3,QL$4:QL$40,0)))</f>
      </c>
      <c r="QN24" t="str">
        <f>=QN23+F(AND(QM24&lt;&gt;"",COUNTIF(QM$4:QM24,QM24)=1),1,0)</f>
      </c>
      <c r="QO24" t="str">
        <f>IF(ROW()-3&gt;MAX(QN$4:QN$40),"",INDEX(QM$4:QM$40,MATCH(ROW()-3,QN$4:QN$40,0)))</f>
      </c>
      <c r="QP24" t="str">
        <f>IF(COUNTIF('Final Calculation Sheet'!$AM24:$BS24,0)&gt;0,0,1)</f>
      </c>
      <c r="QQ24" t="str">
        <f>IF($AI$24="",FALSE,SUMPRODUCT(('Final Calculation Sheet'!$A$4:$A$40=$AI$24)*($QP$4:$QP$40=1))&gt;0)</f>
      </c>
      <c r="QR24" t="str">
        <f>=$QR23+--($QQ24)</f>
      </c>
      <c r="QS24" t="str">
        <f>IF(ROW()-3&gt;MAX($QR$4:$QR$40),"",INDEX($AI$4:$AI$40,MATCH(ROW()-3,$QR$4:$QR$40,0)))</f>
      </c>
      <c r="QT24" t="str">
        <f>IF(COUNTIF('Final Calculation Sheet'!$AL24:$AL24,0)+COUNTIF('Final Calculation Sheet'!$AN24:$BS24,0)&gt;0,0,1)</f>
      </c>
      <c r="QU24" t="str">
        <f>IF($Y$24="",FALSE,SUMPRODUCT(('Final Calculation Sheet'!$B$4:$B$40=$Y$24)*($QT$4:$QT$40=1))&gt;0)</f>
      </c>
      <c r="QV24" t="str">
        <f>=$QV23+--($QU24)</f>
      </c>
      <c r="QW24" t="str">
        <f>IF(ROW()-3&gt;MAX($QV$4:$QV$40),"",INDEX($Y$4:$Y$40,MATCH(ROW()-3,$QV$4:$QV$40,0)))</f>
      </c>
      <c r="QX24" t="str">
        <f>IF(COUNTIF('Final Calculation Sheet'!$AL24:$AM24,0)+COUNTIF('Final Calculation Sheet'!$AO24:$BS24,0)&gt;0,0,1)</f>
      </c>
      <c r="QY24" t="str">
        <f>IF($AS$24="",FALSE,SUMPRODUCT(('Final Calculation Sheet'!$C$4:$C$40=$AS$24)*($QX$4:$QX$40=1))&gt;0)</f>
      </c>
      <c r="QZ24" t="str">
        <f>=$QZ23+--($QY24)</f>
      </c>
      <c r="RA24" t="str">
        <f>IF(ROW()-3&gt;MAX($QZ$4:$QZ$40),"",INDEX($AS$4:$AS$40,MATCH(ROW()-3,$QZ$4:$QZ$40,0)))</f>
      </c>
      <c r="RB24" t="str">
        <f>IF(COUNTIF('Final Calculation Sheet'!$AL24:$AN24,0)+COUNTIF('Final Calculation Sheet'!$AP24:$BS24,0)&gt;0,0,1)</f>
      </c>
      <c r="RC24" t="str">
        <f>IF($AD$24="",FALSE,SUMPRODUCT(('Final Calculation Sheet'!$D$4:$D$40=$AD$24)*($RB$4:$RB$40=1))&gt;0)</f>
      </c>
      <c r="RD24" t="str">
        <f>=$RD23+--($RC24)</f>
      </c>
      <c r="RE24" t="str">
        <f>IF(ROW()-3&gt;MAX($RD$4:$RD$40),"",INDEX($AD$4:$AD$40,MATCH(ROW()-3,$RD$4:$RD$40,0)))</f>
      </c>
      <c r="RF24" t="str">
        <f>IF(COUNTIF('Final Calculation Sheet'!$AL24:$AO24,0)+COUNTIF('Final Calculation Sheet'!$AQ24:$BS24,0)&gt;0,0,1)</f>
      </c>
      <c r="RG24" t="str">
        <f>IF($AN$24="",FALSE,SUMPRODUCT(('Final Calculation Sheet'!$E$4:$E$40=$AN$24)*($RF$4:$RF$40=1))&gt;0)</f>
      </c>
      <c r="RH24" t="str">
        <f>=$RH23+--($RG24)</f>
      </c>
      <c r="RI24" t="str">
        <f>IF(ROW()-3&gt;MAX($RH$4:$RH$40),"",INDEX($AN$4:$AN$40,MATCH(ROW()-3,$RH$4:$RH$40,0)))</f>
      </c>
      <c r="RJ24" t="str">
        <f>IF(COUNTIF('Final Calculation Sheet'!$AL24:$AP24,0)+COUNTIF('Final Calculation Sheet'!$AR24:$BS24,0)&gt;0,0,1)</f>
      </c>
      <c r="RK24" t="str">
        <f>IF($O$24="",FALSE,SUMPRODUCT(('Final Calculation Sheet'!$F$4:$F$40=$O$24)*($RJ$4:$RJ$40=1))&gt;0)</f>
      </c>
      <c r="RL24" t="str">
        <f>=$RL23+--($RK24)</f>
      </c>
      <c r="RM24" t="str">
        <f>IF(ROW()-3&gt;MAX($RL$4:$RL$40),"",INDEX($O$4:$O$40,MATCH(ROW()-3,$RL$4:$RL$40,0)))</f>
      </c>
      <c r="RN24" t="str">
        <f>IF(COUNTIF('Final Calculation Sheet'!$AL24:$AQ24,0)+COUNTIF('Final Calculation Sheet'!$AS24:$BS24,0)&gt;0,0,1)</f>
      </c>
      <c r="RO24" t="str">
        <f>IF($T$24="",FALSE,SUMPRODUCT(('Final Calculation Sheet'!$G$4:$G$40=$T$24)*($RN$4:$RN$40=1))&gt;0)</f>
      </c>
      <c r="RP24" t="str">
        <f>=$RP23+--($RO24)</f>
      </c>
      <c r="RQ24" t="str">
        <f>IF(ROW()-3&gt;MAX($RP$4:$RP$40),"",INDEX($T$4:$T$40,MATCH(ROW()-3,$RP$4:$RP$40,0)))</f>
      </c>
      <c r="RR24" t="str">
        <f>IF(COUNTIF('Final Calculation Sheet'!$AL24:$AR24,0)+COUNTIF('Final Calculation Sheet'!$AT24:$BS24,0)&gt;0,0,1)</f>
      </c>
      <c r="RS24" t="str">
        <f>IF($AX$24="",FALSE,SUMPRODUCT(('Final Calculation Sheet'!$H$4:$H$40=$AX$24)*($RR$4:$RR$40=1))&gt;0)</f>
      </c>
      <c r="RT24" t="str">
        <f>=$RT23+--($RS24)</f>
      </c>
      <c r="RU24" t="str">
        <f>IF(ROW()-3&gt;MAX($RT$4:$RT$40),"",INDEX($AX$4:$AX$40,MATCH(ROW()-3,$RT$4:$RT$40,0)))</f>
      </c>
      <c r="RV24" t="str">
        <f>IF(COUNTIF('Final Calculation Sheet'!$AL24:$AS24,0)+COUNTIF('Final Calculation Sheet'!$AU24:$BS24,0)&gt;0,0,1)</f>
      </c>
      <c r="RW24" t="str">
        <f>IF($BC$24="",FALSE,SUMPRODUCT(('Final Calculation Sheet'!$I$4:$I$40=$BC$24)*($RV$4:$RV$40=1))&gt;0)</f>
      </c>
      <c r="RX24" t="str">
        <f>=$RX23+--($RW24)</f>
      </c>
      <c r="RY24" t="str">
        <f>IF(ROW()-3&gt;MAX($RX$4:$RX$40),"",INDEX($BC$4:$BC$40,MATCH(ROW()-3,$RX$4:$RX$40,0)))</f>
      </c>
      <c r="RZ24" t="str">
        <f>IF(COUNTIF('Final Calculation Sheet'!$AL24:$AT24,0)+COUNTIF('Final Calculation Sheet'!$AV24:$BS24,0)&gt;0,0,1)</f>
      </c>
      <c r="SA24" t="str">
        <f>IF($BH$24="",FALSE,SUMPRODUCT(('Final Calculation Sheet'!$J$4:$J$40=$BH$24)*($RZ$4:$RZ$40=1))&gt;0)</f>
      </c>
      <c r="SB24" t="str">
        <f>=$SB23+--($SA24)</f>
      </c>
      <c r="SC24" t="str">
        <f>IF(ROW()-3&gt;MAX($SB$4:$SB$40),"",INDEX($BH$4:$BH$40,MATCH(ROW()-3,$SB$4:$SB$40,0)))</f>
      </c>
      <c r="SD24" t="str">
        <f>IF(COUNTIF('Final Calculation Sheet'!$AL24:$AU24,0)+COUNTIF('Final Calculation Sheet'!$AW24:$BS24,0)&gt;0,0,1)</f>
      </c>
      <c r="SE24" t="str">
        <f>IF($BM$24="",FALSE,SUMPRODUCT(('Final Calculation Sheet'!$K$4:$K$40=$BM$24)*($SD$4:$SD$40=1))&gt;0)</f>
      </c>
      <c r="SF24" t="str">
        <f>=$SF23+--($SE24)</f>
      </c>
      <c r="SG24" t="str">
        <f>IF(ROW()-3&gt;MAX($SF$4:$SF$40),"",INDEX($BM$4:$BM$40,MATCH(ROW()-3,$SF$4:$SF$40,0)))</f>
      </c>
      <c r="SH24" t="str">
        <f>IF(COUNTIF('Final Calculation Sheet'!$AL24:$AV24,0)+COUNTIF('Final Calculation Sheet'!$AX24:$BS24,0)&gt;0,0,1)</f>
      </c>
      <c r="SI24" t="str">
        <f>IF($BR$24="",FALSE,SUMPRODUCT(('Final Calculation Sheet'!$L$4:$L$40=$BR$24)*($SH$4:$SH$40=1))&gt;0)</f>
      </c>
      <c r="SJ24" t="str">
        <f>=$SJ23+--($SI24)</f>
      </c>
      <c r="SK24" t="str">
        <f>IF(ROW()-3&gt;MAX($SJ$4:$SJ$40),"",INDEX($BR$4:$BR$40,MATCH(ROW()-3,$SJ$4:$SJ$40,0)))</f>
      </c>
      <c r="SL24" t="str">
        <f>IF(COUNTIF('Final Calculation Sheet'!$AL24:$AW24,0)+COUNTIF('Final Calculation Sheet'!$AY24:$BS24,0)&gt;0,0,1)</f>
      </c>
      <c r="SM24" t="str">
        <f>IF($BW$24="",FALSE,SUMPRODUCT(('Final Calculation Sheet'!$M$4:$M$40=$BW$24)*($SL$4:$SL$40=1))&gt;0)</f>
      </c>
      <c r="SN24" t="str">
        <f>=$SN23+--($SM24)</f>
      </c>
      <c r="SO24" t="str">
        <f>IF(ROW()-3&gt;MAX($SN$4:$SN$40),"",INDEX($BW$4:$BW$40,MATCH(ROW()-3,$SN$4:$SN$40,0)))</f>
      </c>
      <c r="SP24" t="str">
        <f>IF(COUNTIF('Final Calculation Sheet'!$AL24:$AX24,0)+COUNTIF('Final Calculation Sheet'!$AZ24:$BS24,0)&gt;0,0,1)</f>
      </c>
      <c r="SQ24" t="str">
        <f>IF($CB$24="",FALSE,SUMPRODUCT(('Final Calculation Sheet'!$N$4:$N$40=$CB$24)*($SP$4:$SP$40=1))&gt;0)</f>
      </c>
      <c r="SR24" t="str">
        <f>=$SR23+--($SQ24)</f>
      </c>
      <c r="SS24" t="str">
        <f>IF(ROW()-3&gt;MAX($SR$4:$SR$40),"",INDEX($CB$4:$CB$40,MATCH(ROW()-3,$SR$4:$SR$40,0)))</f>
      </c>
      <c r="ST24" t="str">
        <f>IF(COUNTIF('Final Calculation Sheet'!$AL24:$AY24,0)+COUNTIF('Final Calculation Sheet'!$BA24:$BS24,0)&gt;0,0,1)</f>
      </c>
      <c r="SU24" t="str">
        <f>IF($CG$24="",FALSE,SUMPRODUCT(('Final Calculation Sheet'!$O$4:$O$40=$CG$24)*($ST$4:$ST$40=1))&gt;0)</f>
      </c>
      <c r="SV24" t="str">
        <f>=$SV23+--($SU24)</f>
      </c>
      <c r="SW24" t="str">
        <f>IF(ROW()-3&gt;MAX($SV$4:$SV$40),"",INDEX($CG$4:$CG$40,MATCH(ROW()-3,$SV$4:$SV$40,0)))</f>
      </c>
      <c r="SX24" t="str">
        <f>IF(COUNTIF('Final Calculation Sheet'!$AL24:$AZ24,0)+COUNTIF('Final Calculation Sheet'!$BB24:$BS24,0)&gt;0,0,1)</f>
      </c>
      <c r="SY24" t="str">
        <f>IF($CL$24="",FALSE,SUMPRODUCT(('Final Calculation Sheet'!$P$4:$P$40=$CL$24)*($SX$4:$SX$40=1))&gt;0)</f>
      </c>
      <c r="SZ24" t="str">
        <f>=$SZ23+--($SY24)</f>
      </c>
      <c r="TA24" t="str">
        <f>IF(ROW()-3&gt;MAX($SZ$4:$SZ$40),"",INDEX($CL$4:$CL$40,MATCH(ROW()-3,$SZ$4:$SZ$40,0)))</f>
      </c>
      <c r="TB24" t="str">
        <f>IF(COUNTIF('Final Calculation Sheet'!$AL24:$BA24,0)+COUNTIF('Final Calculation Sheet'!$BC24:$BS24,0)&gt;0,0,1)</f>
      </c>
      <c r="TC24" t="str">
        <f>IF($CQ$24="",FALSE,SUMPRODUCT(('Final Calculation Sheet'!$Q$4:$Q$40=$CQ$24)*($TB$4:$TB$40=1))&gt;0)</f>
      </c>
      <c r="TD24" t="str">
        <f>=$TD23+--($TC24)</f>
      </c>
      <c r="TE24" t="str">
        <f>IF(ROW()-3&gt;MAX($TD$4:$TD$40),"",INDEX($CQ$4:$CQ$40,MATCH(ROW()-3,$TD$4:$TD$40,0)))</f>
      </c>
      <c r="TF24" t="str">
        <f>IF(COUNTIF('Final Calculation Sheet'!$AL24:$BB24,0)+COUNTIF('Final Calculation Sheet'!$BD24:$BS24,0)&gt;0,0,1)</f>
      </c>
      <c r="TG24" t="str">
        <f>IF($CV$24="",FALSE,SUMPRODUCT(('Final Calculation Sheet'!$R$4:$R$40=$CV$24)*($TF$4:$TF$40=1))&gt;0)</f>
      </c>
      <c r="TH24" t="str">
        <f>=$TH23+--($TG24)</f>
      </c>
      <c r="TI24" t="str">
        <f>IF(ROW()-3&gt;MAX($TH$4:$TH$40),"",INDEX($CV$4:$CV$40,MATCH(ROW()-3,$TH$4:$TH$40,0)))</f>
      </c>
      <c r="TJ24" t="str">
        <f>IF(COUNTIF('Final Calculation Sheet'!$AL24:$BC24,0)+COUNTIF('Final Calculation Sheet'!$BE24:$BS24,0)&gt;0,0,1)</f>
      </c>
      <c r="TK24" t="str">
        <f>IF($DA$24="",FALSE,SUMPRODUCT(('Final Calculation Sheet'!$S$4:$S$40=$DA$24)*($TJ$4:$TJ$40=1))&gt;0)</f>
      </c>
      <c r="TL24" t="str">
        <f>=$TL23+--($TK24)</f>
      </c>
      <c r="TM24" t="str">
        <f>IF(ROW()-3&gt;MAX($TL$4:$TL$40),"",INDEX($DA$4:$DA$40,MATCH(ROW()-3,$TL$4:$TL$40,0)))</f>
      </c>
      <c r="TN24" t="str">
        <f>IF(COUNTIF('Final Calculation Sheet'!$AL24:$BD24,0)+COUNTIF('Final Calculation Sheet'!$BF24:$BS24,0)&gt;0,0,1)</f>
      </c>
      <c r="TO24" t="str">
        <f>IF($DF$24="",FALSE,SUMPRODUCT(('Final Calculation Sheet'!$T$4:$T$40=$DF$24)*($TN$4:$TN$40=1))&gt;0)</f>
      </c>
      <c r="TP24" t="str">
        <f>=$TP23+--($TO24)</f>
      </c>
      <c r="TQ24" t="str">
        <f>IF(ROW()-3&gt;MAX($TP$4:$TP$40),"",INDEX($DF$4:$DF$40,MATCH(ROW()-3,$TP$4:$TP$40,0)))</f>
      </c>
      <c r="TR24" t="str">
        <f>IF(COUNTIF('Final Calculation Sheet'!$AL24:$BE24,0)+COUNTIF('Final Calculation Sheet'!$BG24:$BS24,0)&gt;0,0,1)</f>
      </c>
      <c r="TS24" t="str">
        <f>IF($DK$24="",FALSE,SUMPRODUCT(('Final Calculation Sheet'!$U$4:$U$40=$DK$24)*($TR$4:$TR$40=1))&gt;0)</f>
      </c>
      <c r="TT24" t="str">
        <f>=$TT23+--($TS24)</f>
      </c>
      <c r="TU24" t="str">
        <f>IF(ROW()-3&gt;MAX($TT$4:$TT$40),"",INDEX($DK$4:$DK$40,MATCH(ROW()-3,$TT$4:$TT$40,0)))</f>
      </c>
      <c r="TV24" t="str">
        <f>IF(COUNTIF('Final Calculation Sheet'!$AL24:$BF24,0)+COUNTIF('Final Calculation Sheet'!$BH24:$BS24,0)&gt;0,0,1)</f>
      </c>
      <c r="TW24" t="str">
        <f>IF($DP$24="",FALSE,SUMPRODUCT(('Final Calculation Sheet'!$V$4:$V$40=$DP$24)*($TV$4:$TV$40=1))&gt;0)</f>
      </c>
      <c r="TX24" t="str">
        <f>=$TX23+--($TW24)</f>
      </c>
      <c r="TY24" t="str">
        <f>IF(ROW()-3&gt;MAX($TX$4:$TX$40),"",INDEX($DP$4:$DP$40,MATCH(ROW()-3,$TX$4:$TX$40,0)))</f>
      </c>
      <c r="TZ24" t="str">
        <f>IF(COUNTIF('Final Calculation Sheet'!$AL24:$BG24,0)+COUNTIF('Final Calculation Sheet'!$BI24:$BS24,0)&gt;0,0,1)</f>
      </c>
      <c r="UA24" t="str">
        <f>IF($DU$24="",FALSE,SUMPRODUCT(('Final Calculation Sheet'!$W$4:$W$40=$DU$24)*($TZ$4:$TZ$40=1))&gt;0)</f>
      </c>
      <c r="UB24" t="str">
        <f>=$UB23+--($UA24)</f>
      </c>
      <c r="UC24" t="str">
        <f>IF(ROW()-3&gt;MAX($UB$4:$UB$40),"",INDEX($DU$4:$DU$40,MATCH(ROW()-3,$UB$4:$UB$40,0)))</f>
      </c>
      <c r="UD24" t="str">
        <f>IF(COUNTIF('Final Calculation Sheet'!$AL24:$BH24,0)+COUNTIF('Final Calculation Sheet'!$BJ24:$BS24,0)&gt;0,0,1)</f>
      </c>
      <c r="UE24" t="str">
        <f>IF($DZ$24="",FALSE,SUMPRODUCT(('Final Calculation Sheet'!$X$4:$X$40=$DZ$24)*($UD$4:$UD$40=1))&gt;0)</f>
      </c>
      <c r="UF24" t="str">
        <f>=$UF23+--($UE24)</f>
      </c>
      <c r="UG24" t="str">
        <f>IF(ROW()-3&gt;MAX($UF$4:$UF$40),"",INDEX($DZ$4:$DZ$40,MATCH(ROW()-3,$UF$4:$UF$40,0)))</f>
      </c>
      <c r="UH24" t="str">
        <f>IF(COUNTIF('Final Calculation Sheet'!$AL24:$BI24,0)+COUNTIF('Final Calculation Sheet'!$BK24:$BS24,0)&gt;0,0,1)</f>
      </c>
      <c r="UI24" t="str">
        <f>IF($EE$24="",FALSE,SUMPRODUCT(('Final Calculation Sheet'!$Y$4:$Y$40=$EE$24)*($UH$4:$UH$40=1))&gt;0)</f>
      </c>
      <c r="UJ24" t="str">
        <f>=$UJ23+--($UI24)</f>
      </c>
      <c r="UK24" t="str">
        <f>IF(ROW()-3&gt;MAX($UJ$4:$UJ$40),"",INDEX($EE$4:$EE$40,MATCH(ROW()-3,$UJ$4:$UJ$40,0)))</f>
      </c>
      <c r="UL24" t="str">
        <f>IF(COUNTIF('Final Calculation Sheet'!$AL24:$BJ24,0)+COUNTIF('Final Calculation Sheet'!$BL24:$BS24,0)&gt;0,0,1)</f>
      </c>
      <c r="UM24" t="str">
        <f>IF($EJ$24="",FALSE,SUMPRODUCT(('Final Calculation Sheet'!$Z$4:$Z$40=$EJ$24)*($UL$4:$UL$40=1))&gt;0)</f>
      </c>
      <c r="UN24" t="str">
        <f>=$UN23+--($UM24)</f>
      </c>
      <c r="UO24" t="str">
        <f>IF(ROW()-3&gt;MAX($UN$4:$UN$40),"",INDEX($EJ$4:$EJ$40,MATCH(ROW()-3,$UN$4:$UN$40,0)))</f>
      </c>
      <c r="UP24" t="str">
        <f>IF(COUNTIF('Final Calculation Sheet'!$AL24:$BK24,0)+COUNTIF('Final Calculation Sheet'!$BM24:$BS24,0)&gt;0,0,1)</f>
      </c>
      <c r="UQ24" t="str">
        <f>IF($EO$24="",FALSE,SUMPRODUCT(('Final Calculation Sheet'!$AA$4:$AA$40=$EO$24)*($UP$4:$UP$40=1))&gt;0)</f>
      </c>
      <c r="UR24" t="str">
        <f>=$UR23+--($UQ24)</f>
      </c>
      <c r="US24" t="str">
        <f>IF(ROW()-3&gt;MAX($UR$4:$UR$40),"",INDEX($EO$4:$EO$40,MATCH(ROW()-3,$UR$4:$UR$40,0)))</f>
      </c>
      <c r="UT24" t="str">
        <f>IF(COUNTIF('Final Calculation Sheet'!$AL24:$BL24,0)+COUNTIF('Final Calculation Sheet'!$BN24:$BS24,0)&gt;0,0,1)</f>
      </c>
      <c r="UU24" t="str">
        <f>IF($ET$24="",FALSE,SUMPRODUCT(('Final Calculation Sheet'!$AB$4:$AB$40=$ET$24)*($UT$4:$UT$40=1))&gt;0)</f>
      </c>
      <c r="UV24" t="str">
        <f>=$UV23+--($UU24)</f>
      </c>
      <c r="UW24" t="str">
        <f>IF(ROW()-3&gt;MAX($UV$4:$UV$40),"",INDEX($ET$4:$ET$40,MATCH(ROW()-3,$UV$4:$UV$40,0)))</f>
      </c>
      <c r="UX24" t="str">
        <f>IF(COUNTIF('Final Calculation Sheet'!$AL24:$BM24,0)+COUNTIF('Final Calculation Sheet'!$BO24:$BS24,0)&gt;0,0,1)</f>
      </c>
      <c r="UY24" t="str">
        <f>IF($EY$24="",FALSE,SUMPRODUCT(('Final Calculation Sheet'!$AC$4:$AC$40=$EY$24)*($UX$4:$UX$40=1))&gt;0)</f>
      </c>
      <c r="UZ24" t="str">
        <f>=$UZ23+--($UY24)</f>
      </c>
      <c r="VA24" t="str">
        <f>IF(ROW()-3&gt;MAX($UZ$4:$UZ$40),"",INDEX($EY$4:$EY$40,MATCH(ROW()-3,$UZ$4:$UZ$40,0)))</f>
      </c>
      <c r="VB24" t="str">
        <f>IF(COUNTIF('Final Calculation Sheet'!$AL24:$BN24,0)+COUNTIF('Final Calculation Sheet'!$BP24:$BS24,0)&gt;0,0,1)</f>
      </c>
      <c r="VC24" t="str">
        <f>IF($FD$24="",FALSE,SUMPRODUCT(('Final Calculation Sheet'!$AD$4:$AD$40=$FD$24)*($VB$4:$VB$40=1))&gt;0)</f>
      </c>
      <c r="VD24" t="str">
        <f>=$VD23+--($VC24)</f>
      </c>
      <c r="VE24" t="str">
        <f>IF(ROW()-3&gt;MAX($VD$4:$VD$40),"",INDEX($FD$4:$FD$40,MATCH(ROW()-3,$VD$4:$VD$40,0)))</f>
      </c>
      <c r="VF24" t="str">
        <f>IF(COUNTIF('Final Calculation Sheet'!$AL24:$BO24,0)+COUNTIF('Final Calculation Sheet'!$BQ24:$BS24,0)&gt;0,0,1)</f>
      </c>
      <c r="VG24" t="str">
        <f>IF($FI$24="",FALSE,SUMPRODUCT(('Final Calculation Sheet'!$AE$4:$AE$40=$FI$24)*($VF$4:$VF$40=1))&gt;0)</f>
      </c>
      <c r="VH24" t="str">
        <f>=$VH23+--($VG24)</f>
      </c>
      <c r="VI24" t="str">
        <f>IF(ROW()-3&gt;MAX($VH$4:$VH$40),"",INDEX($FI$4:$FI$40,MATCH(ROW()-3,$VH$4:$VH$40,0)))</f>
      </c>
      <c r="VJ24" t="str">
        <f>IF(COUNTIF('Final Calculation Sheet'!$AL24:$BP24,0)+COUNTIF('Final Calculation Sheet'!$BR24:$BS24,0)&gt;0,0,1)</f>
      </c>
      <c r="VK24" t="str">
        <f>IF($FN$24="",FALSE,SUMPRODUCT(('Final Calculation Sheet'!$AF$4:$AF$40=$FN$24)*($VJ$4:$VJ$40=1))&gt;0)</f>
      </c>
      <c r="VL24" t="str">
        <f>=$VL23+--($VK24)</f>
      </c>
      <c r="VM24" t="str">
        <f>IF(ROW()-3&gt;MAX($VL$4:$VL$40),"",INDEX($FN$4:$FN$40,MATCH(ROW()-3,$VL$4:$VL$40,0)))</f>
      </c>
      <c r="VN24" t="str">
        <f>IF(COUNTIF('Final Calculation Sheet'!$AL24:$BQ24,0)+COUNTIF('Final Calculation Sheet'!$BS24:$BS24,0)&gt;0,0,1)</f>
      </c>
      <c r="VO24" t="str">
        <f>IF($FS$24="",FALSE,SUMPRODUCT(('Final Calculation Sheet'!$AG$4:$AG$40=$FS$24)*($VN$4:$VN$40=1))&gt;0)</f>
      </c>
      <c r="VP24" t="str">
        <f>=$VP23+--($VO24)</f>
      </c>
      <c r="VQ24" t="str">
        <f>IF(ROW()-3&gt;MAX($VP$4:$VP$40),"",INDEX($FS$4:$FS$40,MATCH(ROW()-3,$VP$4:$VP$40,0)))</f>
      </c>
      <c r="VR24" t="str">
        <f>IF(COUNTIF('Final Calculation Sheet'!$AL24:$BR24,0)&gt;0,0,1)</f>
      </c>
      <c r="VS24" t="str">
        <f>IF($QO$24="",FALSE,SUMPRODUCT(('Final Calculation Sheet'!$AH$4:$AH$40=$QO$24)*($VR$4:$VR$40=1))&gt;0)</f>
      </c>
      <c r="VT24" t="str">
        <f>=$VT23+--($VS24)</f>
      </c>
      <c r="VU24" t="str">
        <f>IF(ROW()-3&gt;MAX($VT$4:$VT$40),"",INDEX($QO$4:$QO$40,MATCH(ROW()-3,$VT$4:$VT$40,0)))</f>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IF(COUNTIF('Live Search'!BM$24:BM$24,0)+COUNTIF('Live Search'!B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D25">
        <f>IF($O$25="",FALSE,SUMPRODUCT(('Final Calculation Sheet'!$F$4:$F$40=$O$25)*($GC$6:$GC$42=1))&gt;0)</f>
        <v/>
      </c>
      <c r="GE25">
        <f>$GE$24+--($GD25)</f>
        <v/>
      </c>
      <c r="GF25">
        <f>IF(ROW()-3&gt;MAX($GE$4:$GE$40),"",INDEX($O$4:$O$40,MATCH(ROW()-3,$GE$4:$GE$40,0)))</f>
        <v/>
      </c>
      <c r="GG25">
        <f>IF(COUNTIF('Live Search'!BM$24:BN$24,0)+COUNTIF('Live Search'!B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H25">
        <f>IF($T$25="",FALSE,SUMPRODUCT(('Final Calculation Sheet'!$G$4:$G$40=$T$25)*($GG$6:$GG$42=1))&gt;0)</f>
        <v/>
      </c>
      <c r="GI25">
        <f>$GI$24+--($GH25)</f>
        <v/>
      </c>
      <c r="GJ25">
        <f>IF(ROW()-3&gt;MAX($GI$4:$GI$40),"",INDEX($T$4:$T$40,MATCH(ROW()-3,$GI$4:$GI$40,0)))</f>
        <v/>
      </c>
      <c r="GK25">
        <f>IF(COUNTIF('Live Search'!BM$24:BP$24,0)+COUNTIF('Live Search'!B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L25">
        <f>IF($AD$25="",FALSE,SUMPRODUCT(('Final Calculation Sheet'!$D$4:$D$40=$AD$25)*($GK$6:$GK$42=1))&gt;0)</f>
        <v/>
      </c>
      <c r="GM25">
        <f>$GM$24+--($GL25)</f>
        <v/>
      </c>
      <c r="GN25">
        <f>IF(ROW()-3&gt;MAX($GM$4:$GM$40),"",INDEX($AD$4:$AD$40,MATCH(ROW()-3,$GM$4:$GM$40,0)))</f>
        <v/>
      </c>
      <c r="GO25">
        <f>IF(COUNTIF('Live Search'!BM$24:BQ$24,0)+COUNTIF('Live Search'!B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P25">
        <f>IF($AI$25="",FALSE,SUMPRODUCT(('Final Calculation Sheet'!$A$4:$A$40=$AI$25)*($GO$6:$GO$42=1))&gt;0)</f>
        <v/>
      </c>
      <c r="GQ25">
        <f>$GQ$24+--($GP25)</f>
        <v/>
      </c>
      <c r="GR25">
        <f>IF(ROW()-3&gt;MAX($GQ$4:$GQ$40),"",INDEX($AI$4:$AI$40,MATCH(ROW()-3,$GQ$4:$GQ$40,0)))</f>
        <v/>
      </c>
      <c r="GS25">
        <f>IF(COUNTIF('Live Search'!BM$24:BR$24,0)+COUNTIF('Live Search'!B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T25">
        <f>IF($AN$25="",FALSE,SUMPRODUCT(('Final Calculation Sheet'!$E$4:$E$40=$AN$25)*($GS$6:$GS$42=1))&gt;0)</f>
        <v/>
      </c>
      <c r="GU25">
        <f>$GU$24+--($GT25)</f>
        <v/>
      </c>
      <c r="GV25">
        <f>IF(ROW()-3&gt;MAX($GU$4:$GU$40),"",INDEX($AN$4:$AN$40,MATCH(ROW()-3,$GU$4:$GU$40,0)))</f>
        <v/>
      </c>
      <c r="GW25">
        <f>IF(COUNTIF('Live Search'!BM$24:BS$24,0)+COUNTIF('Live Search'!B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GX25">
        <f>IF($AS$25="",FALSE,SUMPRODUCT(('Final Calculation Sheet'!$C$4:$C$40=$AS$25)*($GW$6:$GW$42=1))&gt;0)</f>
        <v/>
      </c>
      <c r="GY25">
        <f>$GY$24+--($GX25)</f>
        <v/>
      </c>
      <c r="GZ25">
        <f>IF(ROW()-3&gt;MAX($GY$4:$GY$40),"",INDEX($AS$4:$AS$40,MATCH(ROW()-3,$GY$4:$GY$40,0)))</f>
        <v/>
      </c>
      <c r="HA25">
        <f>IF(COUNTIF('Live Search'!BM$24:BT$24,0)+COUNTIF('Live Search'!BV$24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B25">
        <f>IF($AX$25="",FALSE,SUMPRODUCT(('Final Calculation Sheet'!$H$4:$H$40=$AX$25)*($HA$6:$HA$42=1))&gt;0)</f>
        <v/>
      </c>
      <c r="HC25">
        <f>$HC$24+--($HB25)</f>
        <v/>
      </c>
      <c r="HD25">
        <f>IF(ROW()-3&gt;MAX($HC$4:$HC$40),"",INDEX($AX$4:$AX$40,MATCH(ROW()-3,$HC$4:$HC$40,0)))</f>
        <v/>
      </c>
      <c r="HE25">
        <f>IF(COUNTIF('Live Search'!BM$24:BU$24,0)+COUNTIF('Live Search'!BW$24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F25">
        <f>IF($BC$25="",FALSE,SUMPRODUCT(('Final Calculation Sheet'!$I$4:$I$40=$BC$25)*($HE$6:$HE$42=1))&gt;0)</f>
        <v/>
      </c>
      <c r="HG25">
        <f>$HG$24+--($HF25)</f>
        <v/>
      </c>
      <c r="HH25">
        <f>IF(ROW()-3&gt;MAX($HG$4:$HG$40),"",INDEX($BC$4:$BC$40,MATCH(ROW()-3,$HG$4:$HG$40,0)))</f>
        <v/>
      </c>
      <c r="HI25">
        <f>IF(COUNTIF('Live Search'!BM$24:BV$24,0)+COUNTIF('Live Search'!BX$24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J25">
        <f>IF($BH$25="",FALSE,SUMPRODUCT(('Final Calculation Sheet'!$J$4:$J$40=$BH$25)*($HI$6:$HI$42=1))&gt;0)</f>
        <v/>
      </c>
      <c r="HK25">
        <f>$HK$24+--($HJ25)</f>
        <v/>
      </c>
      <c r="HL25">
        <f>IF(ROW()-3&gt;MAX($HK$4:$HK$40),"",INDEX($BH$4:$BH$40,MATCH(ROW()-3,$HK$4:$HK$40,0)))</f>
        <v/>
      </c>
      <c r="HM25">
        <f>IF(COUNTIF('Live Search'!BM$24:BW$24,0)+COUNTIF('Live Search'!BY$24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N25">
        <f>IF($BM$25="",FALSE,SUMPRODUCT(('Final Calculation Sheet'!$K$4:$K$40=$BM$25)*($HM$6:$HM$42=1))&gt;0)</f>
        <v/>
      </c>
      <c r="HO25">
        <f>$HO$24+--($HN25)</f>
        <v/>
      </c>
      <c r="HP25">
        <f>IF(ROW()-3&gt;MAX($HO$4:$HO$40),"",INDEX($BM$4:$BM$40,MATCH(ROW()-3,$HO$4:$HO$40,0)))</f>
        <v/>
      </c>
      <c r="HQ25">
        <f>IF(COUNTIF('Live Search'!BM$24:BX$24,0)+COUNTIF('Live Search'!BZ$24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R25">
        <f>IF($BR$25="",FALSE,SUMPRODUCT(('Final Calculation Sheet'!$L$4:$L$40=$BR$25)*($HQ$6:$HQ$42=1))&gt;0)</f>
        <v/>
      </c>
      <c r="HS25">
        <f>$HS$24+--($HR25)</f>
        <v/>
      </c>
      <c r="HT25">
        <f>IF(ROW()-3&gt;MAX($HS$4:$HS$40),"",INDEX($BR$4:$BR$40,MATCH(ROW()-3,$HS$4:$HS$40,0)))</f>
        <v/>
      </c>
      <c r="HU25">
        <f>IF(COUNTIF('Live Search'!BM$24:BY$24,0)+COUNTIF('Live Search'!CA$24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V25">
        <f>IF($BW$25="",FALSE,SUMPRODUCT(('Final Calculation Sheet'!$M$4:$M$40=$BW$25)*($HU$6:$HU$42=1))&gt;0)</f>
        <v/>
      </c>
      <c r="HW25">
        <f>$HW$24+--($HV25)</f>
        <v/>
      </c>
      <c r="HX25">
        <f>IF(ROW()-3&gt;MAX($HW$4:$HW$40),"",INDEX($BW$4:$BW$40,MATCH(ROW()-3,$HW$4:$HW$40,0)))</f>
        <v/>
      </c>
      <c r="HY25">
        <f>IF(COUNTIF('Live Search'!BM$24:BZ$24,0)+COUNTIF('Live Search'!CB$24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HZ25">
        <f>IF($CB$25="",FALSE,SUMPRODUCT(('Final Calculation Sheet'!$N$4:$N$40=$CB$25)*($HY$6:$HY$42=1))&gt;0)</f>
        <v/>
      </c>
      <c r="IA25">
        <f>$IA$24+--($HZ25)</f>
        <v/>
      </c>
      <c r="IB25">
        <f>IF(ROW()-3&gt;MAX($IA$4:$IA$40),"",INDEX($CB$4:$CB$40,MATCH(ROW()-3,$IA$4:$IA$40,0)))</f>
        <v/>
      </c>
      <c r="IC25">
        <f>IF(COUNTIF('Live Search'!BM$24:CA$24,0)+COUNTIF('Live Search'!CC$24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D25">
        <f>IF($CG$25="",FALSE,SUMPRODUCT(('Final Calculation Sheet'!$O$4:$O$40=$CG$25)*($IC$6:$IC$42=1))&gt;0)</f>
        <v/>
      </c>
      <c r="IE25">
        <f>$IE$24+--($ID25)</f>
        <v/>
      </c>
      <c r="IF25">
        <f>IF(ROW()-3&gt;MAX($IE$4:$IE$40),"",INDEX($CG$4:$CG$40,MATCH(ROW()-3,$IE$4:$IE$40,0)))</f>
        <v/>
      </c>
      <c r="IG25">
        <f>IF(COUNTIF('Live Search'!BM$24:CB$24,0)+COUNTIF('Live Search'!CD$24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H25">
        <f>IF($CL$25="",FALSE,SUMPRODUCT(('Final Calculation Sheet'!$P$4:$P$40=$CL$25)*($IG$6:$IG$42=1))&gt;0)</f>
        <v/>
      </c>
      <c r="II25">
        <f>$II$24+--($IH25)</f>
        <v/>
      </c>
      <c r="IJ25">
        <f>IF(ROW()-3&gt;MAX($II$4:$II$40),"",INDEX($CL$4:$CL$40,MATCH(ROW()-3,$II$4:$II$40,0)))</f>
        <v/>
      </c>
      <c r="IK25">
        <f>IF(COUNTIF('Live Search'!BM$24:CC$24,0)+COUNTIF('Live Search'!CE$24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L25">
        <f>IF($CQ$25="",FALSE,SUMPRODUCT(('Final Calculation Sheet'!$Q$4:$Q$40=$CQ$25)*($IK$6:$IK$42=1))&gt;0)</f>
        <v/>
      </c>
      <c r="IM25">
        <f>$IM$24+--($IL25)</f>
        <v/>
      </c>
      <c r="IN25">
        <f>IF(ROW()-3&gt;MAX($IM$4:$IM$40),"",INDEX($CQ$4:$CQ$40,MATCH(ROW()-3,$IM$4:$IM$40,0)))</f>
        <v/>
      </c>
      <c r="IO25">
        <f>IF(COUNTIF('Live Search'!BM$24:CD$24,0)+COUNTIF('Live Search'!CF$24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P25">
        <f>IF($CV$25="",FALSE,SUMPRODUCT(('Final Calculation Sheet'!$R$4:$R$40=$CV$25)*($IO$6:$IO$42=1))&gt;0)</f>
        <v/>
      </c>
      <c r="IQ25">
        <f>$IQ$24+--($IP25)</f>
        <v/>
      </c>
      <c r="IR25">
        <f>IF(ROW()-3&gt;MAX($IQ$4:$IQ$40),"",INDEX($CV$4:$CV$40,MATCH(ROW()-3,$IQ$4:$IQ$40,0)))</f>
        <v/>
      </c>
      <c r="IS25">
        <f>IF(COUNTIF('Live Search'!BM$24:CE$24,0)+COUNTIF('Live Search'!CG$24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T25">
        <f>IF($DA$25="",FALSE,SUMPRODUCT(('Final Calculation Sheet'!$S$4:$S$40=$DA$25)*($IS$6:$IS$42=1))&gt;0)</f>
        <v/>
      </c>
      <c r="IU25">
        <f>$IU$24+--($IT25)</f>
        <v/>
      </c>
      <c r="IV25">
        <f>IF(ROW()-3&gt;MAX($IU$4:$IU$40),"",INDEX($DA$4:$DA$40,MATCH(ROW()-3,$IU$4:$IU$40,0)))</f>
        <v/>
      </c>
      <c r="IW25">
        <f>IF(COUNTIF('Live Search'!BM$24:CF$24,0)+COUNTIF('Live Search'!CH$24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IX25">
        <f>IF($DF$25="",FALSE,SUMPRODUCT(('Final Calculation Sheet'!$T$4:$T$40=$DF$25)*($IW$6:$IW$42=1))&gt;0)</f>
        <v/>
      </c>
      <c r="IY25">
        <f>$IY$24+--($IX25)</f>
        <v/>
      </c>
      <c r="IZ25">
        <f>IF(ROW()-3&gt;MAX($IY$4:$IY$40),"",INDEX($DF$4:$DF$40,MATCH(ROW()-3,$IY$4:$IY$40,0)))</f>
        <v/>
      </c>
      <c r="JA25">
        <f>IF(COUNTIF('Live Search'!BM$24:CG$24,0)+COUNTIF('Live Search'!CI$24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B25">
        <f>IF($DK$25="",FALSE,SUMPRODUCT(('Final Calculation Sheet'!$U$4:$U$40=$DK$25)*($JA$6:$JA$42=1))&gt;0)</f>
        <v/>
      </c>
      <c r="JC25">
        <f>$JC$24+--($JB25)</f>
        <v/>
      </c>
      <c r="JD25">
        <f>IF(ROW()-3&gt;MAX($JC$4:$JC$40),"",INDEX($DK$4:$DK$40,MATCH(ROW()-3,$JC$4:$JC$40,0)))</f>
        <v/>
      </c>
      <c r="JE25">
        <f>IF(COUNTIF('Live Search'!BM$24:CH$24,0)+COUNTIF('Live Search'!CJ$24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F25">
        <f>IF($DP$25="",FALSE,SUMPRODUCT(('Final Calculation Sheet'!$V$4:$V$40=$DP$25)*($JE$6:$JE$42=1))&gt;0)</f>
        <v/>
      </c>
      <c r="JG25">
        <f>$JG$24+--($JF25)</f>
        <v/>
      </c>
      <c r="JH25">
        <f>IF(ROW()-3&gt;MAX($JG$4:$JG$40),"",INDEX($DP$4:$DP$40,MATCH(ROW()-3,$JG$4:$JG$40,0)))</f>
        <v/>
      </c>
      <c r="JI25">
        <f>IF(COUNTIF('Live Search'!BM$24:CI$24,0)+COUNTIF('Live Search'!CK$24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J25">
        <f>IF($DU$25="",FALSE,SUMPRODUCT(('Final Calculation Sheet'!$W$4:$W$40=$DU$25)*($JI$6:$JI$42=1))&gt;0)</f>
        <v/>
      </c>
      <c r="JK25">
        <f>$JK$24+--($JJ25)</f>
        <v/>
      </c>
      <c r="JL25">
        <f>IF(ROW()-3&gt;MAX($JK$4:$JK$40),"",INDEX($DU$4:$DU$40,MATCH(ROW()-3,$JK$4:$JK$40,0)))</f>
        <v/>
      </c>
      <c r="JM25">
        <f>IF(COUNTIF('Live Search'!BM$24:CJ$24,0)+COUNTIF('Live Search'!CL$24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N25">
        <f>IF($DZ$25="",FALSE,SUMPRODUCT(('Final Calculation Sheet'!$X$4:$X$40=$DZ$25)*($JM$6:$JM$42=1))&gt;0)</f>
        <v/>
      </c>
      <c r="JO25">
        <f>$JO$24+--($JN25)</f>
        <v/>
      </c>
      <c r="JP25">
        <f>IF(ROW()-3&gt;MAX($JO$4:$JO$40),"",INDEX($DZ$4:$DZ$40,MATCH(ROW()-3,$JO$4:$JO$40,0)))</f>
        <v/>
      </c>
      <c r="JQ25">
        <f>IF(COUNTIF('Live Search'!BM$24:CK$24,0)+COUNTIF('Live Search'!C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R25">
        <f>IF($EE$25="",FALSE,SUMPRODUCT(('Final Calculation Sheet'!$Y$4:$Y$40=$EE$25)*($JQ$6:$JQ$42=1))&gt;0)</f>
        <v/>
      </c>
      <c r="JS25">
        <f>$JS$24+--($JR25)</f>
        <v/>
      </c>
      <c r="JT25">
        <f>IF(ROW()-3&gt;MAX($JS$4:$JS$40),"",INDEX($EE$4:$EE$40,MATCH(ROW()-3,$JS$4:$JS$40,0)))</f>
        <v/>
      </c>
      <c r="JU25">
        <f>IF(COUNTIF('Live Search'!BM$24:CL$24,0)+COUNTIF('Live Search'!CN$24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V25">
        <f>IF($EJ$25="",FALSE,SUMPRODUCT(('Final Calculation Sheet'!$Z$4:$Z$40=$EJ$25)*($JU$6:$JU$42=1))&gt;0)</f>
        <v/>
      </c>
      <c r="JW25">
        <f>$JW$24+--($JV25)</f>
        <v/>
      </c>
      <c r="JX25">
        <f>IF(ROW()-3&gt;MAX($JW$4:$JW$40),"",INDEX($EJ$4:$EJ$40,MATCH(ROW()-3,$JW$4:$JW$40,0)))</f>
        <v/>
      </c>
      <c r="JY25">
        <f>IF(COUNTIF('Live Search'!BM$24:CM$24,0)+COUNTIF('Live Search'!CO$24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JZ25">
        <f>IF($EO$25="",FALSE,SUMPRODUCT(('Final Calculation Sheet'!$AA$4:$AA$40=$EO$25)*($JY$6:$JY$42=1))&gt;0)</f>
        <v/>
      </c>
      <c r="KA25">
        <f>$KA$24+--($JZ25)</f>
        <v/>
      </c>
      <c r="KB25">
        <f>IF(ROW()-3&gt;MAX($KA$4:$KA$40),"",INDEX($EO$4:$EO$40,MATCH(ROW()-3,$KA$4:$KA$40,0)))</f>
        <v/>
      </c>
      <c r="KC25">
        <f>IF(COUNTIF('Live Search'!BM$24:CN$24,0)+COUNTIF('Live Search'!CP$24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D25">
        <f>IF($ET$25="",FALSE,SUMPRODUCT(('Final Calculation Sheet'!$AB$4:$AB$40=$ET$25)*($KC$6:$KC$42=1))&gt;0)</f>
        <v/>
      </c>
      <c r="KE25">
        <f>$KE$24+--($KD25)</f>
        <v/>
      </c>
      <c r="KF25">
        <f>IF(ROW()-3&gt;MAX($KE$4:$KE$40),"",INDEX($ET$4:$ET$40,MATCH(ROW()-3,$KE$4:$KE$40,0)))</f>
        <v/>
      </c>
      <c r="KG25">
        <f>IF(COUNTIF('Live Search'!BM$24:CO$24,0)+COUNTIF('Live Search'!CQ$24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H25">
        <f>IF($EY$25="",FALSE,SUMPRODUCT(('Final Calculation Sheet'!$AC$4:$AC$40=$EY$25)*($KG$6:$KG$42=1))&gt;0)</f>
        <v/>
      </c>
      <c r="KI25">
        <f>$KI$24+--($KH25)</f>
        <v/>
      </c>
      <c r="KJ25">
        <f>IF(ROW()-3&gt;MAX($KI$4:$KI$40),"",INDEX($EY$4:$EY$40,MATCH(ROW()-3,$KI$4:$KI$40,0)))</f>
        <v/>
      </c>
      <c r="KK25">
        <f>IF(COUNTIF('Live Search'!BM$24:CP$24,0)+COUNTIF('Live Search'!CR$24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L25">
        <f>IF($FD$25="",FALSE,SUMPRODUCT(('Final Calculation Sheet'!$AD$4:$AD$40=$FD$25)*($KK$6:$KK$42=1))&gt;0)</f>
        <v/>
      </c>
      <c r="KM25">
        <f>$KM$24+--($KL25)</f>
        <v/>
      </c>
      <c r="KN25">
        <f>IF(ROW()-3&gt;MAX($KM$4:$KM$40),"",INDEX($FD$4:$FD$40,MATCH(ROW()-3,$KM$4:$KM$40,0)))</f>
        <v/>
      </c>
      <c r="KO25">
        <f>IF(COUNTIF('Live Search'!BM$24:CT$24,0)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P25">
        <f>IF($FX$25="",FALSE,SUMPRODUCT((IF('Final Calculation Sheet'!$AD$4:$AD$40&lt;=5,"SETTLED","OUTSTANDING")=$FX$25)*($KO$6:$KO$42=1))&gt;0)</f>
        <v/>
      </c>
      <c r="KQ25">
        <f>$KQ$24+--($KP25)</f>
        <v/>
      </c>
      <c r="KR25">
        <f>IF(ROW()-3&gt;MAX($KQ$4:$KQ$40),"",INDEX($FX$4:$FX$40,MATCH(ROW()-3,$KQ$4:$KQ$40,0)))</f>
        <v/>
      </c>
      <c r="KS25">
        <f>IF(COUNTIF('Live Search'!BM$24:CQ$24,0)+COUNTIF('Live Search'!CS$24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T25">
        <f>IF($FI$25="",FALSE,SUMPRODUCT(('Final Calculation Sheet'!$AF$4:$AF$40=$FI$25)*($KS$6:$KS$42=1))&gt;0)</f>
        <v/>
      </c>
      <c r="KU25">
        <f>$KU$24+--($KT25)</f>
        <v/>
      </c>
      <c r="KV25">
        <f>IF(ROW()-3&gt;MAX($KU$4:$KU$40),"",INDEX($FI$4:$FI$40,MATCH(ROW()-3,$KU$4:$KU$40,0)))</f>
        <v/>
      </c>
      <c r="KW25">
        <f>IF(COUNTIF('Live Search'!BM$24:CR$24,0)+COUNTIF('Live Search'!CT$24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KX25">
        <f>IF($FN$25="",FALSE,SUMPRODUCT(('Final Calculation Sheet'!$AG$4:$AG$40=$FN$25)*($KW$6:$KW$42=1))&gt;0)</f>
        <v/>
      </c>
      <c r="KY25">
        <f>$KY$24+--($KX25)</f>
        <v/>
      </c>
      <c r="KZ25">
        <f>IF(ROW()-3&gt;MAX($KY$4:$KY$40),"",INDEX($FN$4:$FN$40,MATCH(ROW()-3,$KY$4:$KY$40,0)))</f>
        <v/>
      </c>
      <c r="LA25">
        <f>IF(COUNTIF('Live Search'!BM$24:CS$24,0)+COUNTIF('Live Search'!CU$24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LB25">
        <f>IF($FS$25="",FALSE,SUMPRODUCT(('Final Calculation Sheet'!$AH$4:$AH$40=$FS$25)*($LA$6:$LA$42=1))&gt;0)</f>
        <v/>
      </c>
      <c r="LC25">
        <f>$LC$24+--($LB25)</f>
        <v/>
      </c>
      <c r="LD25">
        <f>IF(ROW()-3&gt;MAX($LC$4:$LC$40),"",INDEX($FS$4:$FS$40,MATCH(ROW()-3,$LC$4:$LC$40,0)))</f>
        <v/>
      </c>
      <c r="LE25">
        <f>IF(COUNTIF('Buyer Groups'!DH78:EN78,0)&gt;0,0,1)</f>
        <v/>
      </c>
      <c r="LF25">
        <f>IF($O$25="",FALSE,SUMPRODUCT(('Final Calculation Sheet'!$F$4:$F$40=$O$25)*($LE$6:$LE$42=1))&gt;0)</f>
        <v/>
      </c>
      <c r="LG25">
        <f>$LG$24+--($LF25)</f>
        <v/>
      </c>
      <c r="LH25">
        <f>IF(ROW()-3&gt;MAX($LG$4:$LG$40),"",INDEX($O$4:$O$40,MATCH(ROW()-3,$LG$4:$LG$40,0)))</f>
        <v/>
      </c>
      <c r="LI25">
        <f>IF(COUNTIF('Buyer Groups'!DG78:DG78,0)+COUNTIF('Buyer Groups'!DI78:EN78,0)&gt;0,0,1)</f>
        <v/>
      </c>
      <c r="LJ25">
        <f>IF($T$25="",FALSE,SUMPRODUCT(('Final Calculation Sheet'!$G$4:$G$40=$T$25)*($LI$6:$LI$42=1))&gt;0)</f>
        <v/>
      </c>
      <c r="LK25">
        <f>$LK$24+--($LJ25)</f>
        <v/>
      </c>
      <c r="LL25">
        <f>IF(ROW()-3&gt;MAX($LK$4:$LK$40),"",INDEX($T$4:$T$40,MATCH(ROW()-3,$LK$4:$LK$40,0)))</f>
        <v/>
      </c>
      <c r="LM25">
        <f>IF(COUNTIF('Buyer Groups'!DG78:DH78,0)+COUNTIF('Buyer Groups'!DJ78:EN78,0)&gt;0,0,1)</f>
        <v/>
      </c>
      <c r="LN25">
        <f>IF($Y$25="",FALSE,SUMPRODUCT(('Final Calculation Sheet'!$B$4:$B$40=$Y$25)*($LM$6:$LM$42=1))&gt;0)</f>
        <v/>
      </c>
      <c r="LO25">
        <f>$LO$24+--($LN25)</f>
        <v/>
      </c>
      <c r="LP25">
        <f>IF(ROW()-3&gt;MAX($LO$4:$LO$40),"",INDEX($Y$4:$Y$40,MATCH(ROW()-3,$LO$4:$LO$40,0)))</f>
        <v/>
      </c>
      <c r="LQ25">
        <f>IF(COUNTIF('Buyer Groups'!DG78:DI78,0)+COUNTIF('Buyer Groups'!DK78:EN78,0)&gt;0,0,1)</f>
        <v/>
      </c>
      <c r="LR25">
        <f>IF($AD$25="",FALSE,SUMPRODUCT(('Final Calculation Sheet'!$D$4:$D$40=$AD$25)*($LQ$6:$LQ$42=1))&gt;0)</f>
        <v/>
      </c>
      <c r="LS25">
        <f>$LS$24+--($LR25)</f>
        <v/>
      </c>
      <c r="LT25">
        <f>IF(ROW()-3&gt;MAX($LS$4:$LS$40),"",INDEX($AD$4:$AD$40,MATCH(ROW()-3,$LS$4:$LS$40,0)))</f>
        <v/>
      </c>
      <c r="LU25">
        <f>IF(COUNTIF('Buyer Groups'!DG78:DJ78,0)+COUNTIF('Buyer Groups'!DL78:EN78,0)&gt;0,0,1)</f>
        <v/>
      </c>
      <c r="LV25">
        <f>IF($AI$25="",FALSE,SUMPRODUCT(('Final Calculation Sheet'!$A$4:$A$40=$AI$25)*($LU$6:$LU$42=1))&gt;0)</f>
        <v/>
      </c>
      <c r="LW25">
        <f>$LW$24+--($LV25)</f>
        <v/>
      </c>
      <c r="LX25">
        <f>IF(ROW()-3&gt;MAX($LW$4:$LW$40),"",INDEX($AI$4:$AI$40,MATCH(ROW()-3,$LW$4:$LW$40,0)))</f>
        <v/>
      </c>
      <c r="LY25">
        <f>IF(COUNTIF('Buyer Groups'!DG78:DK78,0)+COUNTIF('Buyer Groups'!DM78:EN78,0)&gt;0,0,1)</f>
        <v/>
      </c>
      <c r="LZ25">
        <f>IF($AN$25="",FALSE,SUMPRODUCT(('Final Calculation Sheet'!$E$4:$E$40=$AN$25)*($LY$6:$LY$42=1))&gt;0)</f>
        <v/>
      </c>
      <c r="MA25">
        <f>$MA$24+--($LZ25)</f>
        <v/>
      </c>
      <c r="MB25">
        <f>IF(ROW()-3&gt;MAX($MA$4:$MA$40),"",INDEX($AN$4:$AN$40,MATCH(ROW()-3,$MA$4:$MA$40,0)))</f>
        <v/>
      </c>
      <c r="MC25">
        <f>IF(COUNTIF('Buyer Groups'!DG78:DL78,0)+COUNTIF('Buyer Groups'!DN78:EN78,0)&gt;0,0,1)</f>
        <v/>
      </c>
      <c r="MD25">
        <f>IF($AS$25="",FALSE,SUMPRODUCT(('Final Calculation Sheet'!$C$4:$C$40=$AS$25)*($MC$6:$MC$42=1))&gt;0)</f>
        <v/>
      </c>
      <c r="ME25">
        <f>$ME$24+--($MD25)</f>
        <v/>
      </c>
      <c r="MF25">
        <f>IF(ROW()-3&gt;MAX($ME$4:$ME$40),"",INDEX($AS$4:$AS$40,MATCH(ROW()-3,$ME$4:$ME$40,0)))</f>
        <v/>
      </c>
      <c r="MG25">
        <f>IF(COUNTIF('Buyer Groups'!DG78:DM78,0)+COUNTIF('Buyer Groups'!DO78:EN78,0)&gt;0,0,1)</f>
        <v/>
      </c>
      <c r="MH25">
        <f>IF($AX$25="",FALSE,SUMPRODUCT(('Final Calculation Sheet'!$H$4:$H$40=$AX$25)*($MG$6:$MG$42=1))&gt;0)</f>
        <v/>
      </c>
      <c r="MI25">
        <f>$MI$24+--($MH25)</f>
        <v/>
      </c>
      <c r="MJ25">
        <f>IF(ROW()-3&gt;MAX($MI$4:$MI$40),"",INDEX($AX$4:$AX$40,MATCH(ROW()-3,$MI$4:$MI$40,0)))</f>
        <v/>
      </c>
      <c r="MK25">
        <f>IF(COUNTIF('Buyer Groups'!DG78:DN78,0)+COUNTIF('Buyer Groups'!DP78:EN78,0)&gt;0,0,1)</f>
        <v/>
      </c>
      <c r="ML25">
        <f>IF($BC$25="",FALSE,SUMPRODUCT(('Final Calculation Sheet'!$I$4:$I$40=$BC$25)*($MK$6:$MK$42=1))&gt;0)</f>
        <v/>
      </c>
      <c r="MM25">
        <f>$MM$24+--($ML25)</f>
        <v/>
      </c>
      <c r="MN25">
        <f>IF(ROW()-3&gt;MAX($MM$4:$MM$40),"",INDEX($BC$4:$BC$40,MATCH(ROW()-3,$MM$4:$MM$40,0)))</f>
        <v/>
      </c>
      <c r="MO25">
        <f>IF(COUNTIF('Buyer Groups'!DG78:DO78,0)+COUNTIF('Buyer Groups'!DQ78:EN78,0)&gt;0,0,1)</f>
        <v/>
      </c>
      <c r="MP25">
        <f>IF($BH$25="",FALSE,SUMPRODUCT(('Final Calculation Sheet'!$J$4:$J$40=$BH$25)*($MO$6:$MO$42=1))&gt;0)</f>
        <v/>
      </c>
      <c r="MQ25">
        <f>$MQ$24+--($MP25)</f>
        <v/>
      </c>
      <c r="MR25">
        <f>IF(ROW()-3&gt;MAX($MQ$4:$MQ$40),"",INDEX($BH$4:$BH$40,MATCH(ROW()-3,$MQ$4:$MQ$40,0)))</f>
        <v/>
      </c>
      <c r="MS25">
        <f>IF(COUNTIF('Buyer Groups'!DG78:DP78,0)+COUNTIF('Buyer Groups'!DR78:EN78,0)&gt;0,0,1)</f>
        <v/>
      </c>
      <c r="MT25">
        <f>IF($BM$25="",FALSE,SUMPRODUCT(('Final Calculation Sheet'!$K$4:$K$40=$BM$25)*($MS$6:$MS$42=1))&gt;0)</f>
        <v/>
      </c>
      <c r="MU25">
        <f>$MU$24+--($MT25)</f>
        <v/>
      </c>
      <c r="MV25">
        <f>IF(ROW()-3&gt;MAX($MU$4:$MU$40),"",INDEX($BM$4:$BM$40,MATCH(ROW()-3,$MU$4:$MU$40,0)))</f>
        <v/>
      </c>
      <c r="MW25">
        <f>IF(COUNTIF('Buyer Groups'!DG78:DQ78,0)+COUNTIF('Buyer Groups'!DS78:EN78,0)&gt;0,0,1)</f>
        <v/>
      </c>
      <c r="MX25">
        <f>IF($BR$25="",FALSE,SUMPRODUCT(('Final Calculation Sheet'!$L$4:$L$40=$BR$25)*($MW$6:$MW$42=1))&gt;0)</f>
        <v/>
      </c>
      <c r="MY25">
        <f>$MY$24+--($MX25)</f>
        <v/>
      </c>
      <c r="MZ25">
        <f>IF(ROW()-3&gt;MAX($MY$4:$MY$40),"",INDEX($BR$4:$BR$40,MATCH(ROW()-3,$MY$4:$MY$40,0)))</f>
        <v/>
      </c>
      <c r="NA25">
        <f>IF(COUNTIF('Buyer Groups'!DG78:DR78,0)+COUNTIF('Buyer Groups'!DT78:EN78,0)&gt;0,0,1)</f>
        <v/>
      </c>
      <c r="NB25">
        <f>IF($BW$25="",FALSE,SUMPRODUCT(('Final Calculation Sheet'!$M$4:$M$40=$BW$25)*($NA$6:$NA$42=1))&gt;0)</f>
        <v/>
      </c>
      <c r="NC25">
        <f>$NC$24+--($NB25)</f>
        <v/>
      </c>
      <c r="ND25">
        <f>IF(ROW()-3&gt;MAX($NC$4:$NC$40),"",INDEX($BW$4:$BW$40,MATCH(ROW()-3,$NC$4:$NC$40,0)))</f>
        <v/>
      </c>
      <c r="NE25">
        <f>IF(COUNTIF('Buyer Groups'!DG78:DS78,0)+COUNTIF('Buyer Groups'!DU78:EN78,0)&gt;0,0,1)</f>
        <v/>
      </c>
      <c r="NF25">
        <f>IF($CB$25="",FALSE,SUMPRODUCT(('Final Calculation Sheet'!$N$4:$N$40=$CB$25)*($NE$6:$NE$42=1))&gt;0)</f>
        <v/>
      </c>
      <c r="NG25">
        <f>$NG$24+--($NF25)</f>
        <v/>
      </c>
      <c r="NH25">
        <f>IF(ROW()-3&gt;MAX($NG$4:$NG$40),"",INDEX($CB$4:$CB$40,MATCH(ROW()-3,$NG$4:$NG$40,0)))</f>
        <v/>
      </c>
      <c r="NI25">
        <f>IF(COUNTIF('Buyer Groups'!DG78:DT78,0)+COUNTIF('Buyer Groups'!DV78:EN78,0)&gt;0,0,1)</f>
        <v/>
      </c>
      <c r="NJ25">
        <f>IF($CG$25="",FALSE,SUMPRODUCT(('Final Calculation Sheet'!$O$4:$O$40=$CG$25)*($NI$6:$NI$42=1))&gt;0)</f>
        <v/>
      </c>
      <c r="NK25">
        <f>$NK$24+--($NJ25)</f>
        <v/>
      </c>
      <c r="NL25">
        <f>IF(ROW()-3&gt;MAX($NK$4:$NK$40),"",INDEX($CG$4:$CG$40,MATCH(ROW()-3,$NK$4:$NK$40,0)))</f>
        <v/>
      </c>
      <c r="NM25">
        <f>IF(COUNTIF('Buyer Groups'!DG78:DU78,0)+COUNTIF('Buyer Groups'!DW78:EN78,0)&gt;0,0,1)</f>
        <v/>
      </c>
      <c r="NN25">
        <f>IF($CL$25="",FALSE,SUMPRODUCT(('Final Calculation Sheet'!$P$4:$P$40=$CL$25)*($NM$6:$NM$42=1))&gt;0)</f>
        <v/>
      </c>
      <c r="NO25">
        <f>$NO$24+--($NN25)</f>
        <v/>
      </c>
      <c r="NP25">
        <f>IF(ROW()-3&gt;MAX($NO$4:$NO$40),"",INDEX($CL$4:$CL$40,MATCH(ROW()-3,$NO$4:$NO$40,0)))</f>
        <v/>
      </c>
      <c r="NQ25">
        <f>IF(COUNTIF('Buyer Groups'!DG78:DV78,0)+COUNTIF('Buyer Groups'!DX78:EN78,0)&gt;0,0,1)</f>
        <v/>
      </c>
      <c r="NR25">
        <f>IF($CQ$25="",FALSE,SUMPRODUCT(('Final Calculation Sheet'!$Q$4:$Q$40=$CQ$25)*($NQ$6:$NQ$42=1))&gt;0)</f>
        <v/>
      </c>
      <c r="NS25">
        <f>$NS$24+--($NR25)</f>
        <v/>
      </c>
      <c r="NT25">
        <f>IF(ROW()-3&gt;MAX($NS$4:$NS$40),"",INDEX($CQ$4:$CQ$40,MATCH(ROW()-3,$NS$4:$NS$40,0)))</f>
        <v/>
      </c>
      <c r="NU25">
        <f>IF(COUNTIF('Buyer Groups'!DG78:DW78,0)+COUNTIF('Buyer Groups'!DY78:EN78,0)&gt;0,0,1)</f>
        <v/>
      </c>
      <c r="NV25">
        <f>IF($CV$25="",FALSE,SUMPRODUCT(('Final Calculation Sheet'!$R$4:$R$40=$CV$25)*($NU$6:$NU$42=1))&gt;0)</f>
        <v/>
      </c>
      <c r="NW25">
        <f>$NW$24+--($NV25)</f>
        <v/>
      </c>
      <c r="NX25">
        <f>IF(ROW()-3&gt;MAX($NW$4:$NW$40),"",INDEX($CV$4:$CV$40,MATCH(ROW()-3,$NW$4:$NW$40,0)))</f>
        <v/>
      </c>
      <c r="NY25">
        <f>IF(COUNTIF('Buyer Groups'!DG78:DX78,0)+COUNTIF('Buyer Groups'!DZ78:EN78,0)&gt;0,0,1)</f>
        <v/>
      </c>
      <c r="NZ25">
        <f>IF($DA$25="",FALSE,SUMPRODUCT(('Final Calculation Sheet'!$S$4:$S$40=$DA$25)*($NY$6:$NY$42=1))&gt;0)</f>
        <v/>
      </c>
      <c r="OA25">
        <f>$OA$24+--($NZ25)</f>
        <v/>
      </c>
      <c r="OB25">
        <f>IF(ROW()-3&gt;MAX($OA$4:$OA$40),"",INDEX($DA$4:$DA$40,MATCH(ROW()-3,$OA$4:$OA$40,0)))</f>
        <v/>
      </c>
      <c r="OC25">
        <f>IF(COUNTIF('Buyer Groups'!DG78:DY78,0)+COUNTIF('Buyer Groups'!EA78:EN78,0)&gt;0,0,1)</f>
        <v/>
      </c>
      <c r="OD25">
        <f>IF($DF$25="",FALSE,SUMPRODUCT(('Final Calculation Sheet'!$T$4:$T$40=$DF$25)*($OC$6:$OC$42=1))&gt;0)</f>
        <v/>
      </c>
      <c r="OE25">
        <f>$OE$24+--($OD25)</f>
        <v/>
      </c>
      <c r="OF25">
        <f>IF(ROW()-3&gt;MAX($OE$4:$OE$40),"",INDEX($DF$4:$DF$40,MATCH(ROW()-3,$OE$4:$OE$40,0)))</f>
        <v/>
      </c>
      <c r="OG25">
        <f>IF(COUNTIF('Buyer Groups'!DG78:DZ78,0)+COUNTIF('Buyer Groups'!EB78:EN78,0)&gt;0,0,1)</f>
        <v/>
      </c>
      <c r="OH25">
        <f>IF($DK$25="",FALSE,SUMPRODUCT(('Final Calculation Sheet'!$U$4:$U$40=$DK$25)*($OG$6:$OG$42=1))&gt;0)</f>
        <v/>
      </c>
      <c r="OI25">
        <f>$OI$24+--($OH25)</f>
        <v/>
      </c>
      <c r="OJ25">
        <f>IF(ROW()-3&gt;MAX($OI$4:$OI$40),"",INDEX($DK$4:$DK$40,MATCH(ROW()-3,$OI$4:$OI$40,0)))</f>
        <v/>
      </c>
      <c r="OK25">
        <f>IF(COUNTIF('Buyer Groups'!DG78:EA78,0)+COUNTIF('Buyer Groups'!EC78:EN78,0)&gt;0,0,1)</f>
        <v/>
      </c>
      <c r="OL25">
        <f>IF($DP$25="",FALSE,SUMPRODUCT(('Final Calculation Sheet'!$V$4:$V$40=$DP$25)*($OK$6:$OK$42=1))&gt;0)</f>
        <v/>
      </c>
      <c r="OM25">
        <f>$OM$24+--($OL25)</f>
        <v/>
      </c>
      <c r="ON25">
        <f>IF(ROW()-3&gt;MAX($OM$4:$OM$40),"",INDEX($DP$4:$DP$40,MATCH(ROW()-3,$OM$4:$OM$40,0)))</f>
        <v/>
      </c>
      <c r="OO25">
        <f>IF(COUNTIF('Buyer Groups'!DG78:EB78,0)+COUNTIF('Buyer Groups'!ED78:EN78,0)&gt;0,0,1)</f>
        <v/>
      </c>
      <c r="OP25">
        <f>IF($DU$25="",FALSE,SUMPRODUCT(('Final Calculation Sheet'!$W$4:$W$40=$DU$25)*($OO$6:$OO$42=1))&gt;0)</f>
        <v/>
      </c>
      <c r="OQ25">
        <f>$OQ$24+--($OP25)</f>
        <v/>
      </c>
      <c r="OR25">
        <f>IF(ROW()-3&gt;MAX($OQ$4:$OQ$40),"",INDEX($DU$4:$DU$40,MATCH(ROW()-3,$OQ$4:$OQ$40,0)))</f>
        <v/>
      </c>
      <c r="OS25">
        <f>IF(COUNTIF('Buyer Groups'!DG78:EC78,0)+COUNTIF('Buyer Groups'!EE78:EN78,0)&gt;0,0,1)</f>
        <v/>
      </c>
      <c r="OT25">
        <f>IF($DZ$25="",FALSE,SUMPRODUCT(('Final Calculation Sheet'!$X$4:$X$40=$DZ$25)*($OS$6:$OS$42=1))&gt;0)</f>
        <v/>
      </c>
      <c r="OU25">
        <f>$OU$24+--($OT25)</f>
        <v/>
      </c>
      <c r="OV25">
        <f>IF(ROW()-3&gt;MAX($OU$4:$OU$40),"",INDEX($DZ$4:$DZ$40,MATCH(ROW()-3,$OU$4:$OU$40,0)))</f>
        <v/>
      </c>
      <c r="OW25">
        <f>IF(COUNTIF('Buyer Groups'!DG78:ED78,0)+COUNTIF('Buyer Groups'!EF78:EN78,0)&gt;0,0,1)</f>
        <v/>
      </c>
      <c r="OX25">
        <f>IF($EE$25="",FALSE,SUMPRODUCT(('Final Calculation Sheet'!$Y$4:$Y$40=$EE$25)*($OW$6:$OW$42=1))&gt;0)</f>
        <v/>
      </c>
      <c r="OY25">
        <f>$OY$24+--($OX25)</f>
        <v/>
      </c>
      <c r="OZ25">
        <f>IF(ROW()-3&gt;MAX($OY$4:$OY$40),"",INDEX($EE$4:$EE$40,MATCH(ROW()-3,$OY$4:$OY$40,0)))</f>
        <v/>
      </c>
      <c r="PA25">
        <f>IF(COUNTIF('Buyer Groups'!DG78:EE78,0)+COUNTIF('Buyer Groups'!EG78:EN78,0)&gt;0,0,1)</f>
        <v/>
      </c>
      <c r="PB25">
        <f>IF($EJ$25="",FALSE,SUMPRODUCT(('Final Calculation Sheet'!$Z$4:$Z$40=$EJ$25)*($PA$6:$PA$42=1))&gt;0)</f>
        <v/>
      </c>
      <c r="PC25">
        <f>$PC$24+--($PB25)</f>
        <v/>
      </c>
      <c r="PD25">
        <f>IF(ROW()-3&gt;MAX($PC$4:$PC$40),"",INDEX($EJ$4:$EJ$40,MATCH(ROW()-3,$PC$4:$PC$40,0)))</f>
        <v/>
      </c>
      <c r="PE25">
        <f>IF(COUNTIF('Buyer Groups'!DG78:EF78,0)+COUNTIF('Buyer Groups'!EH78:EN78,0)&gt;0,0,1)</f>
        <v/>
      </c>
      <c r="PF25">
        <f>IF($EO$25="",FALSE,SUMPRODUCT(('Final Calculation Sheet'!$AA$4:$AA$40=$EO$25)*($PE$6:$PE$42=1))&gt;0)</f>
        <v/>
      </c>
      <c r="PG25">
        <f>$PG$24+--($PF25)</f>
        <v/>
      </c>
      <c r="PH25">
        <f>IF(ROW()-3&gt;MAX($PG$4:$PG$40),"",INDEX($EO$4:$EO$40,MATCH(ROW()-3,$PG$4:$PG$40,0)))</f>
        <v/>
      </c>
      <c r="PI25">
        <f>IF(COUNTIF('Buyer Groups'!DG78:EG78,0)+COUNTIF('Buyer Groups'!EI78:EN78,0)&gt;0,0,1)</f>
        <v/>
      </c>
      <c r="PJ25">
        <f>IF($ET$25="",FALSE,SUMPRODUCT(('Final Calculation Sheet'!$AB$4:$AB$40=$ET$25)*($PI$6:$PI$42=1))&gt;0)</f>
        <v/>
      </c>
      <c r="PK25">
        <f>$PK$24+--($PJ25)</f>
        <v/>
      </c>
      <c r="PL25">
        <f>IF(ROW()-3&gt;MAX($PK$4:$PK$40),"",INDEX($ET$4:$ET$40,MATCH(ROW()-3,$PK$4:$PK$40,0)))</f>
        <v/>
      </c>
      <c r="PM25">
        <f>IF(COUNTIF('Buyer Groups'!DG78:EH78,0)+COUNTIF('Buyer Groups'!EJ78:EN78,0)&gt;0,0,1)</f>
        <v/>
      </c>
      <c r="PN25">
        <f>IF($EY$25="",FALSE,SUMPRODUCT(('Final Calculation Sheet'!$AC$4:$AC$40=$EY$25)*($PM$6:$PM$42=1))&gt;0)</f>
        <v/>
      </c>
      <c r="PO25">
        <f>$PO$24+--($PN25)</f>
        <v/>
      </c>
      <c r="PP25">
        <f>IF(ROW()-3&gt;MAX($PO$4:$PO$40),"",INDEX($EY$4:$EY$40,MATCH(ROW()-3,$PO$4:$PO$40,0)))</f>
        <v/>
      </c>
      <c r="PQ25">
        <f>IF(COUNTIF('Buyer Groups'!DG78:EI78,0)+COUNTIF('Buyer Groups'!EK78:EN78,0)&gt;0,0,1)</f>
        <v/>
      </c>
      <c r="PR25">
        <f>IF($FD$25="",FALSE,SUMPRODUCT(('Final Calculation Sheet'!$AD$4:$AD$40=$FD$25)*($PQ$6:$PQ$42=1))&gt;0)</f>
        <v/>
      </c>
      <c r="PS25">
        <f>$PS$24+--($PR25)</f>
        <v/>
      </c>
      <c r="PT25">
        <f>IF(ROW()-3&gt;MAX($PS$4:$PS$40),"",INDEX($FD$4:$FD$40,MATCH(ROW()-3,$PS$4:$PS$40,0)))</f>
        <v/>
      </c>
      <c r="PU25">
        <f>IF(COUNTIF('Buyer Groups'!DG78:EJ78,0)+COUNTIF('Buyer Groups'!EL78:EN78,0)&gt;0,0,1)</f>
        <v/>
      </c>
      <c r="PV25">
        <f>IF($FX$25="",FALSE,SUMPRODUCT((IF('Final Calculation Sheet'!$AD$4:$AD$40&lt;=5,"SETTLED","OUTSTANDING")=$FX$25)*($PU$6:$PU$42=1))&gt;0)</f>
        <v/>
      </c>
      <c r="PW25">
        <f>$PW$24+--($PV25)</f>
        <v/>
      </c>
      <c r="PX25">
        <f>IF(ROW()-3&gt;MAX($PW$4:$PW$40),"",INDEX($FX$4:$FX$40,MATCH(ROW()-3,$PW$4:$PW$40,0)))</f>
        <v/>
      </c>
      <c r="PY25">
        <f>IF(COUNTIF('Buyer Groups'!DG78:EK78,0)+COUNTIF('Buyer Groups'!EM78:EN78,0)&gt;0,0,1)</f>
        <v/>
      </c>
      <c r="PZ25">
        <f>IF($FI$25="",FALSE,SUMPRODUCT(('Final Calculation Sheet'!$AF$4:$AF$40=$FI$25)*($PY$6:$PY$42=1))&gt;0)</f>
        <v/>
      </c>
      <c r="QA25">
        <f>$QA$24+--($PZ25)</f>
        <v/>
      </c>
      <c r="QB25">
        <f>IF(ROW()-3&gt;MAX($QA$4:$QA$40),"",INDEX($FI$4:$FI$40,MATCH(ROW()-3,$QA$4:$QA$40,0)))</f>
        <v/>
      </c>
      <c r="QC25">
        <f>IF(COUNTIF('Buyer Groups'!DG78:EL78,0)+COUNTIF('Buyer Groups'!EN78:EN78,0)&gt;0,0,1)</f>
        <v/>
      </c>
      <c r="QD25">
        <f>IF($FN$25="",FALSE,SUMPRODUCT(('Final Calculation Sheet'!$AG$4:$AG$40=$FN$25)*($QC$6:$QC$42=1))&gt;0)</f>
        <v/>
      </c>
      <c r="QE25">
        <f>$QE$24+--($QD25)</f>
        <v/>
      </c>
      <c r="QF25">
        <f>IF(ROW()-3&gt;MAX($QE$4:$QE$40),"",INDEX($FN$4:$FN$40,MATCH(ROW()-3,$QE$4:$QE$40,0)))</f>
        <v/>
      </c>
      <c r="QG25">
        <f>IF(COUNTIF('Buyer Groups'!DG78:EM78,0)&gt;0,0,1)</f>
        <v/>
      </c>
      <c r="QH25">
        <f>IF($FS$25="",FALSE,SUMPRODUCT(('Final Calculation Sheet'!$AH$4:$AH$40=$FS$25)*($QG$6:$QG$42=1))&gt;0)</f>
        <v/>
      </c>
      <c r="QI25">
        <f>$QI$24+--($QH25)</f>
        <v/>
      </c>
      <c r="QJ25">
        <f>IF(ROW()-3&gt;MAX($QI$4:$QI$40),"",INDEX($FS$4:$FS$40,MATCH(ROW()-3,$QI$4:$QI$40,0)))</f>
        <v/>
      </c>
      <c r="QK25" t="str">
        <f>IF('Final Calculation Sheet'!$AH$25="","",'Final Calculation Sheet'!$AH$25)</f>
      </c>
      <c r="QL25" t="str">
        <f>IF(QK25="","",COUNTIFS(QK$4:QK$40,"&lt;"&amp;QK25,QK$4:QK$40,"&lt;&gt;"&amp;"")+COUNTIF(QK$4:QK25,QK25))</f>
      </c>
      <c r="QM25" t="str">
        <f>IF(ROW()-3&gt;COUNTIF(QK$4:QK$40,"&lt;&gt;"&amp;""),"",INDEX(QK$4:QK$40,MATCH(ROW()-3,QL$4:QL$40,0)))</f>
      </c>
      <c r="QN25" t="str">
        <f>=QN24+F(AND(QM25&lt;&gt;"",COUNTIF(QM$4:QM25,QM25)=1),1,0)</f>
      </c>
      <c r="QO25" t="str">
        <f>IF(ROW()-3&gt;MAX(QN$4:QN$40),"",INDEX(QM$4:QM$40,MATCH(ROW()-3,QN$4:QN$40,0)))</f>
      </c>
      <c r="QP25" t="str">
        <f>IF(COUNTIF('Final Calculation Sheet'!$AM25:$BS25,0)&gt;0,0,1)</f>
      </c>
      <c r="QQ25" t="str">
        <f>IF($AI$25="",FALSE,SUMPRODUCT(('Final Calculation Sheet'!$A$4:$A$40=$AI$25)*($QP$4:$QP$40=1))&gt;0)</f>
      </c>
      <c r="QR25" t="str">
        <f>=$QR24+--($QQ25)</f>
      </c>
      <c r="QS25" t="str">
        <f>IF(ROW()-3&gt;MAX($QR$4:$QR$40),"",INDEX($AI$4:$AI$40,MATCH(ROW()-3,$QR$4:$QR$40,0)))</f>
      </c>
      <c r="QT25" t="str">
        <f>IF(COUNTIF('Final Calculation Sheet'!$AL25:$AL25,0)+COUNTIF('Final Calculation Sheet'!$AN25:$BS25,0)&gt;0,0,1)</f>
      </c>
      <c r="QU25" t="str">
        <f>IF($Y$25="",FALSE,SUMPRODUCT(('Final Calculation Sheet'!$B$4:$B$40=$Y$25)*($QT$4:$QT$40=1))&gt;0)</f>
      </c>
      <c r="QV25" t="str">
        <f>=$QV24+--($QU25)</f>
      </c>
      <c r="QW25" t="str">
        <f>IF(ROW()-3&gt;MAX($QV$4:$QV$40),"",INDEX($Y$4:$Y$40,MATCH(ROW()-3,$QV$4:$QV$40,0)))</f>
      </c>
      <c r="QX25" t="str">
        <f>IF(COUNTIF('Final Calculation Sheet'!$AL25:$AM25,0)+COUNTIF('Final Calculation Sheet'!$AO25:$BS25,0)&gt;0,0,1)</f>
      </c>
      <c r="QY25" t="str">
        <f>IF($AS$25="",FALSE,SUMPRODUCT(('Final Calculation Sheet'!$C$4:$C$40=$AS$25)*($QX$4:$QX$40=1))&gt;0)</f>
      </c>
      <c r="QZ25" t="str">
        <f>=$QZ24+--($QY25)</f>
      </c>
      <c r="RA25" t="str">
        <f>IF(ROW()-3&gt;MAX($QZ$4:$QZ$40),"",INDEX($AS$4:$AS$40,MATCH(ROW()-3,$QZ$4:$QZ$40,0)))</f>
      </c>
      <c r="RB25" t="str">
        <f>IF(COUNTIF('Final Calculation Sheet'!$AL25:$AN25,0)+COUNTIF('Final Calculation Sheet'!$AP25:$BS25,0)&gt;0,0,1)</f>
      </c>
      <c r="RC25" t="str">
        <f>IF($AD$25="",FALSE,SUMPRODUCT(('Final Calculation Sheet'!$D$4:$D$40=$AD$25)*($RB$4:$RB$40=1))&gt;0)</f>
      </c>
      <c r="RD25" t="str">
        <f>=$RD24+--($RC25)</f>
      </c>
      <c r="RE25" t="str">
        <f>IF(ROW()-3&gt;MAX($RD$4:$RD$40),"",INDEX($AD$4:$AD$40,MATCH(ROW()-3,$RD$4:$RD$40,0)))</f>
      </c>
      <c r="RF25" t="str">
        <f>IF(COUNTIF('Final Calculation Sheet'!$AL25:$AO25,0)+COUNTIF('Final Calculation Sheet'!$AQ25:$BS25,0)&gt;0,0,1)</f>
      </c>
      <c r="RG25" t="str">
        <f>IF($AN$25="",FALSE,SUMPRODUCT(('Final Calculation Sheet'!$E$4:$E$40=$AN$25)*($RF$4:$RF$40=1))&gt;0)</f>
      </c>
      <c r="RH25" t="str">
        <f>=$RH24+--($RG25)</f>
      </c>
      <c r="RI25" t="str">
        <f>IF(ROW()-3&gt;MAX($RH$4:$RH$40),"",INDEX($AN$4:$AN$40,MATCH(ROW()-3,$RH$4:$RH$40,0)))</f>
      </c>
      <c r="RJ25" t="str">
        <f>IF(COUNTIF('Final Calculation Sheet'!$AL25:$AP25,0)+COUNTIF('Final Calculation Sheet'!$AR25:$BS25,0)&gt;0,0,1)</f>
      </c>
      <c r="RK25" t="str">
        <f>IF($O$25="",FALSE,SUMPRODUCT(('Final Calculation Sheet'!$F$4:$F$40=$O$25)*($RJ$4:$RJ$40=1))&gt;0)</f>
      </c>
      <c r="RL25" t="str">
        <f>=$RL24+--($RK25)</f>
      </c>
      <c r="RM25" t="str">
        <f>IF(ROW()-3&gt;MAX($RL$4:$RL$40),"",INDEX($O$4:$O$40,MATCH(ROW()-3,$RL$4:$RL$40,0)))</f>
      </c>
      <c r="RN25" t="str">
        <f>IF(COUNTIF('Final Calculation Sheet'!$AL25:$AQ25,0)+COUNTIF('Final Calculation Sheet'!$AS25:$BS25,0)&gt;0,0,1)</f>
      </c>
      <c r="RO25" t="str">
        <f>IF($T$25="",FALSE,SUMPRODUCT(('Final Calculation Sheet'!$G$4:$G$40=$T$25)*($RN$4:$RN$40=1))&gt;0)</f>
      </c>
      <c r="RP25" t="str">
        <f>=$RP24+--($RO25)</f>
      </c>
      <c r="RQ25" t="str">
        <f>IF(ROW()-3&gt;MAX($RP$4:$RP$40),"",INDEX($T$4:$T$40,MATCH(ROW()-3,$RP$4:$RP$40,0)))</f>
      </c>
      <c r="RR25" t="str">
        <f>IF(COUNTIF('Final Calculation Sheet'!$AL25:$AR25,0)+COUNTIF('Final Calculation Sheet'!$AT25:$BS25,0)&gt;0,0,1)</f>
      </c>
      <c r="RS25" t="str">
        <f>IF($AX$25="",FALSE,SUMPRODUCT(('Final Calculation Sheet'!$H$4:$H$40=$AX$25)*($RR$4:$RR$40=1))&gt;0)</f>
      </c>
      <c r="RT25" t="str">
        <f>=$RT24+--($RS25)</f>
      </c>
      <c r="RU25" t="str">
        <f>IF(ROW()-3&gt;MAX($RT$4:$RT$40),"",INDEX($AX$4:$AX$40,MATCH(ROW()-3,$RT$4:$RT$40,0)))</f>
      </c>
      <c r="RV25" t="str">
        <f>IF(COUNTIF('Final Calculation Sheet'!$AL25:$AS25,0)+COUNTIF('Final Calculation Sheet'!$AU25:$BS25,0)&gt;0,0,1)</f>
      </c>
      <c r="RW25" t="str">
        <f>IF($BC$25="",FALSE,SUMPRODUCT(('Final Calculation Sheet'!$I$4:$I$40=$BC$25)*($RV$4:$RV$40=1))&gt;0)</f>
      </c>
      <c r="RX25" t="str">
        <f>=$RX24+--($RW25)</f>
      </c>
      <c r="RY25" t="str">
        <f>IF(ROW()-3&gt;MAX($RX$4:$RX$40),"",INDEX($BC$4:$BC$40,MATCH(ROW()-3,$RX$4:$RX$40,0)))</f>
      </c>
      <c r="RZ25" t="str">
        <f>IF(COUNTIF('Final Calculation Sheet'!$AL25:$AT25,0)+COUNTIF('Final Calculation Sheet'!$AV25:$BS25,0)&gt;0,0,1)</f>
      </c>
      <c r="SA25" t="str">
        <f>IF($BH$25="",FALSE,SUMPRODUCT(('Final Calculation Sheet'!$J$4:$J$40=$BH$25)*($RZ$4:$RZ$40=1))&gt;0)</f>
      </c>
      <c r="SB25" t="str">
        <f>=$SB24+--($SA25)</f>
      </c>
      <c r="SC25" t="str">
        <f>IF(ROW()-3&gt;MAX($SB$4:$SB$40),"",INDEX($BH$4:$BH$40,MATCH(ROW()-3,$SB$4:$SB$40,0)))</f>
      </c>
      <c r="SD25" t="str">
        <f>IF(COUNTIF('Final Calculation Sheet'!$AL25:$AU25,0)+COUNTIF('Final Calculation Sheet'!$AW25:$BS25,0)&gt;0,0,1)</f>
      </c>
      <c r="SE25" t="str">
        <f>IF($BM$25="",FALSE,SUMPRODUCT(('Final Calculation Sheet'!$K$4:$K$40=$BM$25)*($SD$4:$SD$40=1))&gt;0)</f>
      </c>
      <c r="SF25" t="str">
        <f>=$SF24+--($SE25)</f>
      </c>
      <c r="SG25" t="str">
        <f>IF(ROW()-3&gt;MAX($SF$4:$SF$40),"",INDEX($BM$4:$BM$40,MATCH(ROW()-3,$SF$4:$SF$40,0)))</f>
      </c>
      <c r="SH25" t="str">
        <f>IF(COUNTIF('Final Calculation Sheet'!$AL25:$AV25,0)+COUNTIF('Final Calculation Sheet'!$AX25:$BS25,0)&gt;0,0,1)</f>
      </c>
      <c r="SI25" t="str">
        <f>IF($BR$25="",FALSE,SUMPRODUCT(('Final Calculation Sheet'!$L$4:$L$40=$BR$25)*($SH$4:$SH$40=1))&gt;0)</f>
      </c>
      <c r="SJ25" t="str">
        <f>=$SJ24+--($SI25)</f>
      </c>
      <c r="SK25" t="str">
        <f>IF(ROW()-3&gt;MAX($SJ$4:$SJ$40),"",INDEX($BR$4:$BR$40,MATCH(ROW()-3,$SJ$4:$SJ$40,0)))</f>
      </c>
      <c r="SL25" t="str">
        <f>IF(COUNTIF('Final Calculation Sheet'!$AL25:$AW25,0)+COUNTIF('Final Calculation Sheet'!$AY25:$BS25,0)&gt;0,0,1)</f>
      </c>
      <c r="SM25" t="str">
        <f>IF($BW$25="",FALSE,SUMPRODUCT(('Final Calculation Sheet'!$M$4:$M$40=$BW$25)*($SL$4:$SL$40=1))&gt;0)</f>
      </c>
      <c r="SN25" t="str">
        <f>=$SN24+--($SM25)</f>
      </c>
      <c r="SO25" t="str">
        <f>IF(ROW()-3&gt;MAX($SN$4:$SN$40),"",INDEX($BW$4:$BW$40,MATCH(ROW()-3,$SN$4:$SN$40,0)))</f>
      </c>
      <c r="SP25" t="str">
        <f>IF(COUNTIF('Final Calculation Sheet'!$AL25:$AX25,0)+COUNTIF('Final Calculation Sheet'!$AZ25:$BS25,0)&gt;0,0,1)</f>
      </c>
      <c r="SQ25" t="str">
        <f>IF($CB$25="",FALSE,SUMPRODUCT(('Final Calculation Sheet'!$N$4:$N$40=$CB$25)*($SP$4:$SP$40=1))&gt;0)</f>
      </c>
      <c r="SR25" t="str">
        <f>=$SR24+--($SQ25)</f>
      </c>
      <c r="SS25" t="str">
        <f>IF(ROW()-3&gt;MAX($SR$4:$SR$40),"",INDEX($CB$4:$CB$40,MATCH(ROW()-3,$SR$4:$SR$40,0)))</f>
      </c>
      <c r="ST25" t="str">
        <f>IF(COUNTIF('Final Calculation Sheet'!$AL25:$AY25,0)+COUNTIF('Final Calculation Sheet'!$BA25:$BS25,0)&gt;0,0,1)</f>
      </c>
      <c r="SU25" t="str">
        <f>IF($CG$25="",FALSE,SUMPRODUCT(('Final Calculation Sheet'!$O$4:$O$40=$CG$25)*($ST$4:$ST$40=1))&gt;0)</f>
      </c>
      <c r="SV25" t="str">
        <f>=$SV24+--($SU25)</f>
      </c>
      <c r="SW25" t="str">
        <f>IF(ROW()-3&gt;MAX($SV$4:$SV$40),"",INDEX($CG$4:$CG$40,MATCH(ROW()-3,$SV$4:$SV$40,0)))</f>
      </c>
      <c r="SX25" t="str">
        <f>IF(COUNTIF('Final Calculation Sheet'!$AL25:$AZ25,0)+COUNTIF('Final Calculation Sheet'!$BB25:$BS25,0)&gt;0,0,1)</f>
      </c>
      <c r="SY25" t="str">
        <f>IF($CL$25="",FALSE,SUMPRODUCT(('Final Calculation Sheet'!$P$4:$P$40=$CL$25)*($SX$4:$SX$40=1))&gt;0)</f>
      </c>
      <c r="SZ25" t="str">
        <f>=$SZ24+--($SY25)</f>
      </c>
      <c r="TA25" t="str">
        <f>IF(ROW()-3&gt;MAX($SZ$4:$SZ$40),"",INDEX($CL$4:$CL$40,MATCH(ROW()-3,$SZ$4:$SZ$40,0)))</f>
      </c>
      <c r="TB25" t="str">
        <f>IF(COUNTIF('Final Calculation Sheet'!$AL25:$BA25,0)+COUNTIF('Final Calculation Sheet'!$BC25:$BS25,0)&gt;0,0,1)</f>
      </c>
      <c r="TC25" t="str">
        <f>IF($CQ$25="",FALSE,SUMPRODUCT(('Final Calculation Sheet'!$Q$4:$Q$40=$CQ$25)*($TB$4:$TB$40=1))&gt;0)</f>
      </c>
      <c r="TD25" t="str">
        <f>=$TD24+--($TC25)</f>
      </c>
      <c r="TE25" t="str">
        <f>IF(ROW()-3&gt;MAX($TD$4:$TD$40),"",INDEX($CQ$4:$CQ$40,MATCH(ROW()-3,$TD$4:$TD$40,0)))</f>
      </c>
      <c r="TF25" t="str">
        <f>IF(COUNTIF('Final Calculation Sheet'!$AL25:$BB25,0)+COUNTIF('Final Calculation Sheet'!$BD25:$BS25,0)&gt;0,0,1)</f>
      </c>
      <c r="TG25" t="str">
        <f>IF($CV$25="",FALSE,SUMPRODUCT(('Final Calculation Sheet'!$R$4:$R$40=$CV$25)*($TF$4:$TF$40=1))&gt;0)</f>
      </c>
      <c r="TH25" t="str">
        <f>=$TH24+--($TG25)</f>
      </c>
      <c r="TI25" t="str">
        <f>IF(ROW()-3&gt;MAX($TH$4:$TH$40),"",INDEX($CV$4:$CV$40,MATCH(ROW()-3,$TH$4:$TH$40,0)))</f>
      </c>
      <c r="TJ25" t="str">
        <f>IF(COUNTIF('Final Calculation Sheet'!$AL25:$BC25,0)+COUNTIF('Final Calculation Sheet'!$BE25:$BS25,0)&gt;0,0,1)</f>
      </c>
      <c r="TK25" t="str">
        <f>IF($DA$25="",FALSE,SUMPRODUCT(('Final Calculation Sheet'!$S$4:$S$40=$DA$25)*($TJ$4:$TJ$40=1))&gt;0)</f>
      </c>
      <c r="TL25" t="str">
        <f>=$TL24+--($TK25)</f>
      </c>
      <c r="TM25" t="str">
        <f>IF(ROW()-3&gt;MAX($TL$4:$TL$40),"",INDEX($DA$4:$DA$40,MATCH(ROW()-3,$TL$4:$TL$40,0)))</f>
      </c>
      <c r="TN25" t="str">
        <f>IF(COUNTIF('Final Calculation Sheet'!$AL25:$BD25,0)+COUNTIF('Final Calculation Sheet'!$BF25:$BS25,0)&gt;0,0,1)</f>
      </c>
      <c r="TO25" t="str">
        <f>IF($DF$25="",FALSE,SUMPRODUCT(('Final Calculation Sheet'!$T$4:$T$40=$DF$25)*($TN$4:$TN$40=1))&gt;0)</f>
      </c>
      <c r="TP25" t="str">
        <f>=$TP24+--($TO25)</f>
      </c>
      <c r="TQ25" t="str">
        <f>IF(ROW()-3&gt;MAX($TP$4:$TP$40),"",INDEX($DF$4:$DF$40,MATCH(ROW()-3,$TP$4:$TP$40,0)))</f>
      </c>
      <c r="TR25" t="str">
        <f>IF(COUNTIF('Final Calculation Sheet'!$AL25:$BE25,0)+COUNTIF('Final Calculation Sheet'!$BG25:$BS25,0)&gt;0,0,1)</f>
      </c>
      <c r="TS25" t="str">
        <f>IF($DK$25="",FALSE,SUMPRODUCT(('Final Calculation Sheet'!$U$4:$U$40=$DK$25)*($TR$4:$TR$40=1))&gt;0)</f>
      </c>
      <c r="TT25" t="str">
        <f>=$TT24+--($TS25)</f>
      </c>
      <c r="TU25" t="str">
        <f>IF(ROW()-3&gt;MAX($TT$4:$TT$40),"",INDEX($DK$4:$DK$40,MATCH(ROW()-3,$TT$4:$TT$40,0)))</f>
      </c>
      <c r="TV25" t="str">
        <f>IF(COUNTIF('Final Calculation Sheet'!$AL25:$BF25,0)+COUNTIF('Final Calculation Sheet'!$BH25:$BS25,0)&gt;0,0,1)</f>
      </c>
      <c r="TW25" t="str">
        <f>IF($DP$25="",FALSE,SUMPRODUCT(('Final Calculation Sheet'!$V$4:$V$40=$DP$25)*($TV$4:$TV$40=1))&gt;0)</f>
      </c>
      <c r="TX25" t="str">
        <f>=$TX24+--($TW25)</f>
      </c>
      <c r="TY25" t="str">
        <f>IF(ROW()-3&gt;MAX($TX$4:$TX$40),"",INDEX($DP$4:$DP$40,MATCH(ROW()-3,$TX$4:$TX$40,0)))</f>
      </c>
      <c r="TZ25" t="str">
        <f>IF(COUNTIF('Final Calculation Sheet'!$AL25:$BG25,0)+COUNTIF('Final Calculation Sheet'!$BI25:$BS25,0)&gt;0,0,1)</f>
      </c>
      <c r="UA25" t="str">
        <f>IF($DU$25="",FALSE,SUMPRODUCT(('Final Calculation Sheet'!$W$4:$W$40=$DU$25)*($TZ$4:$TZ$40=1))&gt;0)</f>
      </c>
      <c r="UB25" t="str">
        <f>=$UB24+--($UA25)</f>
      </c>
      <c r="UC25" t="str">
        <f>IF(ROW()-3&gt;MAX($UB$4:$UB$40),"",INDEX($DU$4:$DU$40,MATCH(ROW()-3,$UB$4:$UB$40,0)))</f>
      </c>
      <c r="UD25" t="str">
        <f>IF(COUNTIF('Final Calculation Sheet'!$AL25:$BH25,0)+COUNTIF('Final Calculation Sheet'!$BJ25:$BS25,0)&gt;0,0,1)</f>
      </c>
      <c r="UE25" t="str">
        <f>IF($DZ$25="",FALSE,SUMPRODUCT(('Final Calculation Sheet'!$X$4:$X$40=$DZ$25)*($UD$4:$UD$40=1))&gt;0)</f>
      </c>
      <c r="UF25" t="str">
        <f>=$UF24+--($UE25)</f>
      </c>
      <c r="UG25" t="str">
        <f>IF(ROW()-3&gt;MAX($UF$4:$UF$40),"",INDEX($DZ$4:$DZ$40,MATCH(ROW()-3,$UF$4:$UF$40,0)))</f>
      </c>
      <c r="UH25" t="str">
        <f>IF(COUNTIF('Final Calculation Sheet'!$AL25:$BI25,0)+COUNTIF('Final Calculation Sheet'!$BK25:$BS25,0)&gt;0,0,1)</f>
      </c>
      <c r="UI25" t="str">
        <f>IF($EE$25="",FALSE,SUMPRODUCT(('Final Calculation Sheet'!$Y$4:$Y$40=$EE$25)*($UH$4:$UH$40=1))&gt;0)</f>
      </c>
      <c r="UJ25" t="str">
        <f>=$UJ24+--($UI25)</f>
      </c>
      <c r="UK25" t="str">
        <f>IF(ROW()-3&gt;MAX($UJ$4:$UJ$40),"",INDEX($EE$4:$EE$40,MATCH(ROW()-3,$UJ$4:$UJ$40,0)))</f>
      </c>
      <c r="UL25" t="str">
        <f>IF(COUNTIF('Final Calculation Sheet'!$AL25:$BJ25,0)+COUNTIF('Final Calculation Sheet'!$BL25:$BS25,0)&gt;0,0,1)</f>
      </c>
      <c r="UM25" t="str">
        <f>IF($EJ$25="",FALSE,SUMPRODUCT(('Final Calculation Sheet'!$Z$4:$Z$40=$EJ$25)*($UL$4:$UL$40=1))&gt;0)</f>
      </c>
      <c r="UN25" t="str">
        <f>=$UN24+--($UM25)</f>
      </c>
      <c r="UO25" t="str">
        <f>IF(ROW()-3&gt;MAX($UN$4:$UN$40),"",INDEX($EJ$4:$EJ$40,MATCH(ROW()-3,$UN$4:$UN$40,0)))</f>
      </c>
      <c r="UP25" t="str">
        <f>IF(COUNTIF('Final Calculation Sheet'!$AL25:$BK25,0)+COUNTIF('Final Calculation Sheet'!$BM25:$BS25,0)&gt;0,0,1)</f>
      </c>
      <c r="UQ25" t="str">
        <f>IF($EO$25="",FALSE,SUMPRODUCT(('Final Calculation Sheet'!$AA$4:$AA$40=$EO$25)*($UP$4:$UP$40=1))&gt;0)</f>
      </c>
      <c r="UR25" t="str">
        <f>=$UR24+--($UQ25)</f>
      </c>
      <c r="US25" t="str">
        <f>IF(ROW()-3&gt;MAX($UR$4:$UR$40),"",INDEX($EO$4:$EO$40,MATCH(ROW()-3,$UR$4:$UR$40,0)))</f>
      </c>
      <c r="UT25" t="str">
        <f>IF(COUNTIF('Final Calculation Sheet'!$AL25:$BL25,0)+COUNTIF('Final Calculation Sheet'!$BN25:$BS25,0)&gt;0,0,1)</f>
      </c>
      <c r="UU25" t="str">
        <f>IF($ET$25="",FALSE,SUMPRODUCT(('Final Calculation Sheet'!$AB$4:$AB$40=$ET$25)*($UT$4:$UT$40=1))&gt;0)</f>
      </c>
      <c r="UV25" t="str">
        <f>=$UV24+--($UU25)</f>
      </c>
      <c r="UW25" t="str">
        <f>IF(ROW()-3&gt;MAX($UV$4:$UV$40),"",INDEX($ET$4:$ET$40,MATCH(ROW()-3,$UV$4:$UV$40,0)))</f>
      </c>
      <c r="UX25" t="str">
        <f>IF(COUNTIF('Final Calculation Sheet'!$AL25:$BM25,0)+COUNTIF('Final Calculation Sheet'!$BO25:$BS25,0)&gt;0,0,1)</f>
      </c>
      <c r="UY25" t="str">
        <f>IF($EY$25="",FALSE,SUMPRODUCT(('Final Calculation Sheet'!$AC$4:$AC$40=$EY$25)*($UX$4:$UX$40=1))&gt;0)</f>
      </c>
      <c r="UZ25" t="str">
        <f>=$UZ24+--($UY25)</f>
      </c>
      <c r="VA25" t="str">
        <f>IF(ROW()-3&gt;MAX($UZ$4:$UZ$40),"",INDEX($EY$4:$EY$40,MATCH(ROW()-3,$UZ$4:$UZ$40,0)))</f>
      </c>
      <c r="VB25" t="str">
        <f>IF(COUNTIF('Final Calculation Sheet'!$AL25:$BN25,0)+COUNTIF('Final Calculation Sheet'!$BP25:$BS25,0)&gt;0,0,1)</f>
      </c>
      <c r="VC25" t="str">
        <f>IF($FD$25="",FALSE,SUMPRODUCT(('Final Calculation Sheet'!$AD$4:$AD$40=$FD$25)*($VB$4:$VB$40=1))&gt;0)</f>
      </c>
      <c r="VD25" t="str">
        <f>=$VD24+--($VC25)</f>
      </c>
      <c r="VE25" t="str">
        <f>IF(ROW()-3&gt;MAX($VD$4:$VD$40),"",INDEX($FD$4:$FD$40,MATCH(ROW()-3,$VD$4:$VD$40,0)))</f>
      </c>
      <c r="VF25" t="str">
        <f>IF(COUNTIF('Final Calculation Sheet'!$AL25:$BO25,0)+COUNTIF('Final Calculation Sheet'!$BQ25:$BS25,0)&gt;0,0,1)</f>
      </c>
      <c r="VG25" t="str">
        <f>IF($FI$25="",FALSE,SUMPRODUCT(('Final Calculation Sheet'!$AE$4:$AE$40=$FI$25)*($VF$4:$VF$40=1))&gt;0)</f>
      </c>
      <c r="VH25" t="str">
        <f>=$VH24+--($VG25)</f>
      </c>
      <c r="VI25" t="str">
        <f>IF(ROW()-3&gt;MAX($VH$4:$VH$40),"",INDEX($FI$4:$FI$40,MATCH(ROW()-3,$VH$4:$VH$40,0)))</f>
      </c>
      <c r="VJ25" t="str">
        <f>IF(COUNTIF('Final Calculation Sheet'!$AL25:$BP25,0)+COUNTIF('Final Calculation Sheet'!$BR25:$BS25,0)&gt;0,0,1)</f>
      </c>
      <c r="VK25" t="str">
        <f>IF($FN$25="",FALSE,SUMPRODUCT(('Final Calculation Sheet'!$AF$4:$AF$40=$FN$25)*($VJ$4:$VJ$40=1))&gt;0)</f>
      </c>
      <c r="VL25" t="str">
        <f>=$VL24+--($VK25)</f>
      </c>
      <c r="VM25" t="str">
        <f>IF(ROW()-3&gt;MAX($VL$4:$VL$40),"",INDEX($FN$4:$FN$40,MATCH(ROW()-3,$VL$4:$VL$40,0)))</f>
      </c>
      <c r="VN25" t="str">
        <f>IF(COUNTIF('Final Calculation Sheet'!$AL25:$BQ25,0)+COUNTIF('Final Calculation Sheet'!$BS25:$BS25,0)&gt;0,0,1)</f>
      </c>
      <c r="VO25" t="str">
        <f>IF($FS$25="",FALSE,SUMPRODUCT(('Final Calculation Sheet'!$AG$4:$AG$40=$FS$25)*($VN$4:$VN$40=1))&gt;0)</f>
      </c>
      <c r="VP25" t="str">
        <f>=$VP24+--($VO25)</f>
      </c>
      <c r="VQ25" t="str">
        <f>IF(ROW()-3&gt;MAX($VP$4:$VP$40),"",INDEX($FS$4:$FS$40,MATCH(ROW()-3,$VP$4:$VP$40,0)))</f>
      </c>
      <c r="VR25" t="str">
        <f>IF(COUNTIF('Final Calculation Sheet'!$AL25:$BR25,0)&gt;0,0,1)</f>
      </c>
      <c r="VS25" t="str">
        <f>IF($QO$25="",FALSE,SUMPRODUCT(('Final Calculation Sheet'!$AH$4:$AH$40=$QO$25)*($VR$4:$VR$40=1))&gt;0)</f>
      </c>
      <c r="VT25" t="str">
        <f>=$VT24+--($VS25)</f>
      </c>
      <c r="VU25" t="str">
        <f>IF(ROW()-3&gt;MAX($VT$4:$VT$40),"",INDEX($QO$4:$QO$40,MATCH(ROW()-3,$VT$4:$VT$40,0)))</f>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IF(COUNTIF('Live Search'!BM$25:BM$25,0)+COUNTIF('Live Search'!B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D26">
        <f>IF($O$26="",FALSE,SUMPRODUCT(('Final Calculation Sheet'!$F$4:$F$40=$O$26)*($GC$6:$GC$42=1))&gt;0)</f>
        <v/>
      </c>
      <c r="GE26">
        <f>$GE$25+--($GD26)</f>
        <v/>
      </c>
      <c r="GF26">
        <f>IF(ROW()-3&gt;MAX($GE$4:$GE$40),"",INDEX($O$4:$O$40,MATCH(ROW()-3,$GE$4:$GE$40,0)))</f>
        <v/>
      </c>
      <c r="GG26">
        <f>IF(COUNTIF('Live Search'!BM$25:BN$25,0)+COUNTIF('Live Search'!B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H26">
        <f>IF($T$26="",FALSE,SUMPRODUCT(('Final Calculation Sheet'!$G$4:$G$40=$T$26)*($GG$6:$GG$42=1))&gt;0)</f>
        <v/>
      </c>
      <c r="GI26">
        <f>$GI$25+--($GH26)</f>
        <v/>
      </c>
      <c r="GJ26">
        <f>IF(ROW()-3&gt;MAX($GI$4:$GI$40),"",INDEX($T$4:$T$40,MATCH(ROW()-3,$GI$4:$GI$40,0)))</f>
        <v/>
      </c>
      <c r="GK26">
        <f>IF(COUNTIF('Live Search'!BM$25:BP$25,0)+COUNTIF('Live Search'!B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L26">
        <f>IF($AD$26="",FALSE,SUMPRODUCT(('Final Calculation Sheet'!$D$4:$D$40=$AD$26)*($GK$6:$GK$42=1))&gt;0)</f>
        <v/>
      </c>
      <c r="GM26">
        <f>$GM$25+--($GL26)</f>
        <v/>
      </c>
      <c r="GN26">
        <f>IF(ROW()-3&gt;MAX($GM$4:$GM$40),"",INDEX($AD$4:$AD$40,MATCH(ROW()-3,$GM$4:$GM$40,0)))</f>
        <v/>
      </c>
      <c r="GO26">
        <f>IF(COUNTIF('Live Search'!BM$25:BQ$25,0)+COUNTIF('Live Search'!B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P26">
        <f>IF($AI$26="",FALSE,SUMPRODUCT(('Final Calculation Sheet'!$A$4:$A$40=$AI$26)*($GO$6:$GO$42=1))&gt;0)</f>
        <v/>
      </c>
      <c r="GQ26">
        <f>$GQ$25+--($GP26)</f>
        <v/>
      </c>
      <c r="GR26">
        <f>IF(ROW()-3&gt;MAX($GQ$4:$GQ$40),"",INDEX($AI$4:$AI$40,MATCH(ROW()-3,$GQ$4:$GQ$40,0)))</f>
        <v/>
      </c>
      <c r="GS26">
        <f>IF(COUNTIF('Live Search'!BM$25:BR$25,0)+COUNTIF('Live Search'!B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T26">
        <f>IF($AN$26="",FALSE,SUMPRODUCT(('Final Calculation Sheet'!$E$4:$E$40=$AN$26)*($GS$6:$GS$42=1))&gt;0)</f>
        <v/>
      </c>
      <c r="GU26">
        <f>$GU$25+--($GT26)</f>
        <v/>
      </c>
      <c r="GV26">
        <f>IF(ROW()-3&gt;MAX($GU$4:$GU$40),"",INDEX($AN$4:$AN$40,MATCH(ROW()-3,$GU$4:$GU$40,0)))</f>
        <v/>
      </c>
      <c r="GW26">
        <f>IF(COUNTIF('Live Search'!BM$25:BS$25,0)+COUNTIF('Live Search'!B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GX26">
        <f>IF($AS$26="",FALSE,SUMPRODUCT(('Final Calculation Sheet'!$C$4:$C$40=$AS$26)*($GW$6:$GW$42=1))&gt;0)</f>
        <v/>
      </c>
      <c r="GY26">
        <f>$GY$25+--($GX26)</f>
        <v/>
      </c>
      <c r="GZ26">
        <f>IF(ROW()-3&gt;MAX($GY$4:$GY$40),"",INDEX($AS$4:$AS$40,MATCH(ROW()-3,$GY$4:$GY$40,0)))</f>
        <v/>
      </c>
      <c r="HA26">
        <f>IF(COUNTIF('Live Search'!BM$25:BT$25,0)+COUNTIF('Live Search'!BV$25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B26">
        <f>IF($AX$26="",FALSE,SUMPRODUCT(('Final Calculation Sheet'!$H$4:$H$40=$AX$26)*($HA$6:$HA$42=1))&gt;0)</f>
        <v/>
      </c>
      <c r="HC26">
        <f>$HC$25+--($HB26)</f>
        <v/>
      </c>
      <c r="HD26">
        <f>IF(ROW()-3&gt;MAX($HC$4:$HC$40),"",INDEX($AX$4:$AX$40,MATCH(ROW()-3,$HC$4:$HC$40,0)))</f>
        <v/>
      </c>
      <c r="HE26">
        <f>IF(COUNTIF('Live Search'!BM$25:BU$25,0)+COUNTIF('Live Search'!BW$25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F26">
        <f>IF($BC$26="",FALSE,SUMPRODUCT(('Final Calculation Sheet'!$I$4:$I$40=$BC$26)*($HE$6:$HE$42=1))&gt;0)</f>
        <v/>
      </c>
      <c r="HG26">
        <f>$HG$25+--($HF26)</f>
        <v/>
      </c>
      <c r="HH26">
        <f>IF(ROW()-3&gt;MAX($HG$4:$HG$40),"",INDEX($BC$4:$BC$40,MATCH(ROW()-3,$HG$4:$HG$40,0)))</f>
        <v/>
      </c>
      <c r="HI26">
        <f>IF(COUNTIF('Live Search'!BM$25:BV$25,0)+COUNTIF('Live Search'!BX$25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J26">
        <f>IF($BH$26="",FALSE,SUMPRODUCT(('Final Calculation Sheet'!$J$4:$J$40=$BH$26)*($HI$6:$HI$42=1))&gt;0)</f>
        <v/>
      </c>
      <c r="HK26">
        <f>$HK$25+--($HJ26)</f>
        <v/>
      </c>
      <c r="HL26">
        <f>IF(ROW()-3&gt;MAX($HK$4:$HK$40),"",INDEX($BH$4:$BH$40,MATCH(ROW()-3,$HK$4:$HK$40,0)))</f>
        <v/>
      </c>
      <c r="HM26">
        <f>IF(COUNTIF('Live Search'!BM$25:BW$25,0)+COUNTIF('Live Search'!BY$25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N26">
        <f>IF($BM$26="",FALSE,SUMPRODUCT(('Final Calculation Sheet'!$K$4:$K$40=$BM$26)*($HM$6:$HM$42=1))&gt;0)</f>
        <v/>
      </c>
      <c r="HO26">
        <f>$HO$25+--($HN26)</f>
        <v/>
      </c>
      <c r="HP26">
        <f>IF(ROW()-3&gt;MAX($HO$4:$HO$40),"",INDEX($BM$4:$BM$40,MATCH(ROW()-3,$HO$4:$HO$40,0)))</f>
        <v/>
      </c>
      <c r="HQ26">
        <f>IF(COUNTIF('Live Search'!BM$25:BX$25,0)+COUNTIF('Live Search'!BZ$25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R26">
        <f>IF($BR$26="",FALSE,SUMPRODUCT(('Final Calculation Sheet'!$L$4:$L$40=$BR$26)*($HQ$6:$HQ$42=1))&gt;0)</f>
        <v/>
      </c>
      <c r="HS26">
        <f>$HS$25+--($HR26)</f>
        <v/>
      </c>
      <c r="HT26">
        <f>IF(ROW()-3&gt;MAX($HS$4:$HS$40),"",INDEX($BR$4:$BR$40,MATCH(ROW()-3,$HS$4:$HS$40,0)))</f>
        <v/>
      </c>
      <c r="HU26">
        <f>IF(COUNTIF('Live Search'!BM$25:BY$25,0)+COUNTIF('Live Search'!CA$25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V26">
        <f>IF($BW$26="",FALSE,SUMPRODUCT(('Final Calculation Sheet'!$M$4:$M$40=$BW$26)*($HU$6:$HU$42=1))&gt;0)</f>
        <v/>
      </c>
      <c r="HW26">
        <f>$HW$25+--($HV26)</f>
        <v/>
      </c>
      <c r="HX26">
        <f>IF(ROW()-3&gt;MAX($HW$4:$HW$40),"",INDEX($BW$4:$BW$40,MATCH(ROW()-3,$HW$4:$HW$40,0)))</f>
        <v/>
      </c>
      <c r="HY26">
        <f>IF(COUNTIF('Live Search'!BM$25:BZ$25,0)+COUNTIF('Live Search'!CB$25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HZ26">
        <f>IF($CB$26="",FALSE,SUMPRODUCT(('Final Calculation Sheet'!$N$4:$N$40=$CB$26)*($HY$6:$HY$42=1))&gt;0)</f>
        <v/>
      </c>
      <c r="IA26">
        <f>$IA$25+--($HZ26)</f>
        <v/>
      </c>
      <c r="IB26">
        <f>IF(ROW()-3&gt;MAX($IA$4:$IA$40),"",INDEX($CB$4:$CB$40,MATCH(ROW()-3,$IA$4:$IA$40,0)))</f>
        <v/>
      </c>
      <c r="IC26">
        <f>IF(COUNTIF('Live Search'!BM$25:CA$25,0)+COUNTIF('Live Search'!CC$25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D26">
        <f>IF($CG$26="",FALSE,SUMPRODUCT(('Final Calculation Sheet'!$O$4:$O$40=$CG$26)*($IC$6:$IC$42=1))&gt;0)</f>
        <v/>
      </c>
      <c r="IE26">
        <f>$IE$25+--($ID26)</f>
        <v/>
      </c>
      <c r="IF26">
        <f>IF(ROW()-3&gt;MAX($IE$4:$IE$40),"",INDEX($CG$4:$CG$40,MATCH(ROW()-3,$IE$4:$IE$40,0)))</f>
        <v/>
      </c>
      <c r="IG26">
        <f>IF(COUNTIF('Live Search'!BM$25:CB$25,0)+COUNTIF('Live Search'!CD$25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H26">
        <f>IF($CL$26="",FALSE,SUMPRODUCT(('Final Calculation Sheet'!$P$4:$P$40=$CL$26)*($IG$6:$IG$42=1))&gt;0)</f>
        <v/>
      </c>
      <c r="II26">
        <f>$II$25+--($IH26)</f>
        <v/>
      </c>
      <c r="IJ26">
        <f>IF(ROW()-3&gt;MAX($II$4:$II$40),"",INDEX($CL$4:$CL$40,MATCH(ROW()-3,$II$4:$II$40,0)))</f>
        <v/>
      </c>
      <c r="IK26">
        <f>IF(COUNTIF('Live Search'!BM$25:CC$25,0)+COUNTIF('Live Search'!CE$25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L26">
        <f>IF($CQ$26="",FALSE,SUMPRODUCT(('Final Calculation Sheet'!$Q$4:$Q$40=$CQ$26)*($IK$6:$IK$42=1))&gt;0)</f>
        <v/>
      </c>
      <c r="IM26">
        <f>$IM$25+--($IL26)</f>
        <v/>
      </c>
      <c r="IN26">
        <f>IF(ROW()-3&gt;MAX($IM$4:$IM$40),"",INDEX($CQ$4:$CQ$40,MATCH(ROW()-3,$IM$4:$IM$40,0)))</f>
        <v/>
      </c>
      <c r="IO26">
        <f>IF(COUNTIF('Live Search'!BM$25:CD$25,0)+COUNTIF('Live Search'!CF$25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P26">
        <f>IF($CV$26="",FALSE,SUMPRODUCT(('Final Calculation Sheet'!$R$4:$R$40=$CV$26)*($IO$6:$IO$42=1))&gt;0)</f>
        <v/>
      </c>
      <c r="IQ26">
        <f>$IQ$25+--($IP26)</f>
        <v/>
      </c>
      <c r="IR26">
        <f>IF(ROW()-3&gt;MAX($IQ$4:$IQ$40),"",INDEX($CV$4:$CV$40,MATCH(ROW()-3,$IQ$4:$IQ$40,0)))</f>
        <v/>
      </c>
      <c r="IS26">
        <f>IF(COUNTIF('Live Search'!BM$25:CE$25,0)+COUNTIF('Live Search'!CG$25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T26">
        <f>IF($DA$26="",FALSE,SUMPRODUCT(('Final Calculation Sheet'!$S$4:$S$40=$DA$26)*($IS$6:$IS$42=1))&gt;0)</f>
        <v/>
      </c>
      <c r="IU26">
        <f>$IU$25+--($IT26)</f>
        <v/>
      </c>
      <c r="IV26">
        <f>IF(ROW()-3&gt;MAX($IU$4:$IU$40),"",INDEX($DA$4:$DA$40,MATCH(ROW()-3,$IU$4:$IU$40,0)))</f>
        <v/>
      </c>
      <c r="IW26">
        <f>IF(COUNTIF('Live Search'!BM$25:CF$25,0)+COUNTIF('Live Search'!CH$25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IX26">
        <f>IF($DF$26="",FALSE,SUMPRODUCT(('Final Calculation Sheet'!$T$4:$T$40=$DF$26)*($IW$6:$IW$42=1))&gt;0)</f>
        <v/>
      </c>
      <c r="IY26">
        <f>$IY$25+--($IX26)</f>
        <v/>
      </c>
      <c r="IZ26">
        <f>IF(ROW()-3&gt;MAX($IY$4:$IY$40),"",INDEX($DF$4:$DF$40,MATCH(ROW()-3,$IY$4:$IY$40,0)))</f>
        <v/>
      </c>
      <c r="JA26">
        <f>IF(COUNTIF('Live Search'!BM$25:CG$25,0)+COUNTIF('Live Search'!CI$25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B26">
        <f>IF($DK$26="",FALSE,SUMPRODUCT(('Final Calculation Sheet'!$U$4:$U$40=$DK$26)*($JA$6:$JA$42=1))&gt;0)</f>
        <v/>
      </c>
      <c r="JC26">
        <f>$JC$25+--($JB26)</f>
        <v/>
      </c>
      <c r="JD26">
        <f>IF(ROW()-3&gt;MAX($JC$4:$JC$40),"",INDEX($DK$4:$DK$40,MATCH(ROW()-3,$JC$4:$JC$40,0)))</f>
        <v/>
      </c>
      <c r="JE26">
        <f>IF(COUNTIF('Live Search'!BM$25:CH$25,0)+COUNTIF('Live Search'!CJ$25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F26">
        <f>IF($DP$26="",FALSE,SUMPRODUCT(('Final Calculation Sheet'!$V$4:$V$40=$DP$26)*($JE$6:$JE$42=1))&gt;0)</f>
        <v/>
      </c>
      <c r="JG26">
        <f>$JG$25+--($JF26)</f>
        <v/>
      </c>
      <c r="JH26">
        <f>IF(ROW()-3&gt;MAX($JG$4:$JG$40),"",INDEX($DP$4:$DP$40,MATCH(ROW()-3,$JG$4:$JG$40,0)))</f>
        <v/>
      </c>
      <c r="JI26">
        <f>IF(COUNTIF('Live Search'!BM$25:CI$25,0)+COUNTIF('Live Search'!CK$25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J26">
        <f>IF($DU$26="",FALSE,SUMPRODUCT(('Final Calculation Sheet'!$W$4:$W$40=$DU$26)*($JI$6:$JI$42=1))&gt;0)</f>
        <v/>
      </c>
      <c r="JK26">
        <f>$JK$25+--($JJ26)</f>
        <v/>
      </c>
      <c r="JL26">
        <f>IF(ROW()-3&gt;MAX($JK$4:$JK$40),"",INDEX($DU$4:$DU$40,MATCH(ROW()-3,$JK$4:$JK$40,0)))</f>
        <v/>
      </c>
      <c r="JM26">
        <f>IF(COUNTIF('Live Search'!BM$25:CJ$25,0)+COUNTIF('Live Search'!CL$25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N26">
        <f>IF($DZ$26="",FALSE,SUMPRODUCT(('Final Calculation Sheet'!$X$4:$X$40=$DZ$26)*($JM$6:$JM$42=1))&gt;0)</f>
        <v/>
      </c>
      <c r="JO26">
        <f>$JO$25+--($JN26)</f>
        <v/>
      </c>
      <c r="JP26">
        <f>IF(ROW()-3&gt;MAX($JO$4:$JO$40),"",INDEX($DZ$4:$DZ$40,MATCH(ROW()-3,$JO$4:$JO$40,0)))</f>
        <v/>
      </c>
      <c r="JQ26">
        <f>IF(COUNTIF('Live Search'!BM$25:CK$25,0)+COUNTIF('Live Search'!C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R26">
        <f>IF($EE$26="",FALSE,SUMPRODUCT(('Final Calculation Sheet'!$Y$4:$Y$40=$EE$26)*($JQ$6:$JQ$42=1))&gt;0)</f>
        <v/>
      </c>
      <c r="JS26">
        <f>$JS$25+--($JR26)</f>
        <v/>
      </c>
      <c r="JT26">
        <f>IF(ROW()-3&gt;MAX($JS$4:$JS$40),"",INDEX($EE$4:$EE$40,MATCH(ROW()-3,$JS$4:$JS$40,0)))</f>
        <v/>
      </c>
      <c r="JU26">
        <f>IF(COUNTIF('Live Search'!BM$25:CL$25,0)+COUNTIF('Live Search'!CN$25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V26">
        <f>IF($EJ$26="",FALSE,SUMPRODUCT(('Final Calculation Sheet'!$Z$4:$Z$40=$EJ$26)*($JU$6:$JU$42=1))&gt;0)</f>
        <v/>
      </c>
      <c r="JW26">
        <f>$JW$25+--($JV26)</f>
        <v/>
      </c>
      <c r="JX26">
        <f>IF(ROW()-3&gt;MAX($JW$4:$JW$40),"",INDEX($EJ$4:$EJ$40,MATCH(ROW()-3,$JW$4:$JW$40,0)))</f>
        <v/>
      </c>
      <c r="JY26">
        <f>IF(COUNTIF('Live Search'!BM$25:CM$25,0)+COUNTIF('Live Search'!CO$25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JZ26">
        <f>IF($EO$26="",FALSE,SUMPRODUCT(('Final Calculation Sheet'!$AA$4:$AA$40=$EO$26)*($JY$6:$JY$42=1))&gt;0)</f>
        <v/>
      </c>
      <c r="KA26">
        <f>$KA$25+--($JZ26)</f>
        <v/>
      </c>
      <c r="KB26">
        <f>IF(ROW()-3&gt;MAX($KA$4:$KA$40),"",INDEX($EO$4:$EO$40,MATCH(ROW()-3,$KA$4:$KA$40,0)))</f>
        <v/>
      </c>
      <c r="KC26">
        <f>IF(COUNTIF('Live Search'!BM$25:CN$25,0)+COUNTIF('Live Search'!CP$25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D26">
        <f>IF($ET$26="",FALSE,SUMPRODUCT(('Final Calculation Sheet'!$AB$4:$AB$40=$ET$26)*($KC$6:$KC$42=1))&gt;0)</f>
        <v/>
      </c>
      <c r="KE26">
        <f>$KE$25+--($KD26)</f>
        <v/>
      </c>
      <c r="KF26">
        <f>IF(ROW()-3&gt;MAX($KE$4:$KE$40),"",INDEX($ET$4:$ET$40,MATCH(ROW()-3,$KE$4:$KE$40,0)))</f>
        <v/>
      </c>
      <c r="KG26">
        <f>IF(COUNTIF('Live Search'!BM$25:CO$25,0)+COUNTIF('Live Search'!CQ$25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H26">
        <f>IF($EY$26="",FALSE,SUMPRODUCT(('Final Calculation Sheet'!$AC$4:$AC$40=$EY$26)*($KG$6:$KG$42=1))&gt;0)</f>
        <v/>
      </c>
      <c r="KI26">
        <f>$KI$25+--($KH26)</f>
        <v/>
      </c>
      <c r="KJ26">
        <f>IF(ROW()-3&gt;MAX($KI$4:$KI$40),"",INDEX($EY$4:$EY$40,MATCH(ROW()-3,$KI$4:$KI$40,0)))</f>
        <v/>
      </c>
      <c r="KK26">
        <f>IF(COUNTIF('Live Search'!BM$25:CP$25,0)+COUNTIF('Live Search'!CR$25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L26">
        <f>IF($FD$26="",FALSE,SUMPRODUCT(('Final Calculation Sheet'!$AD$4:$AD$40=$FD$26)*($KK$6:$KK$42=1))&gt;0)</f>
        <v/>
      </c>
      <c r="KM26">
        <f>$KM$25+--($KL26)</f>
        <v/>
      </c>
      <c r="KN26">
        <f>IF(ROW()-3&gt;MAX($KM$4:$KM$40),"",INDEX($FD$4:$FD$40,MATCH(ROW()-3,$KM$4:$KM$40,0)))</f>
        <v/>
      </c>
      <c r="KO26">
        <f>IF(COUNTIF('Live Search'!BM$25:CT$25,0)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P26">
        <f>IF($FX$26="",FALSE,SUMPRODUCT((IF('Final Calculation Sheet'!$AD$4:$AD$40&lt;=5,"SETTLED","OUTSTANDING")=$FX$26)*($KO$6:$KO$42=1))&gt;0)</f>
        <v/>
      </c>
      <c r="KQ26">
        <f>$KQ$25+--($KP26)</f>
        <v/>
      </c>
      <c r="KR26">
        <f>IF(ROW()-3&gt;MAX($KQ$4:$KQ$40),"",INDEX($FX$4:$FX$40,MATCH(ROW()-3,$KQ$4:$KQ$40,0)))</f>
        <v/>
      </c>
      <c r="KS26">
        <f>IF(COUNTIF('Live Search'!BM$25:CQ$25,0)+COUNTIF('Live Search'!CS$25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T26">
        <f>IF($FI$26="",FALSE,SUMPRODUCT(('Final Calculation Sheet'!$AF$4:$AF$40=$FI$26)*($KS$6:$KS$42=1))&gt;0)</f>
        <v/>
      </c>
      <c r="KU26">
        <f>$KU$25+--($KT26)</f>
        <v/>
      </c>
      <c r="KV26">
        <f>IF(ROW()-3&gt;MAX($KU$4:$KU$40),"",INDEX($FI$4:$FI$40,MATCH(ROW()-3,$KU$4:$KU$40,0)))</f>
        <v/>
      </c>
      <c r="KW26">
        <f>IF(COUNTIF('Live Search'!BM$25:CR$25,0)+COUNTIF('Live Search'!CT$25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KX26">
        <f>IF($FN$26="",FALSE,SUMPRODUCT(('Final Calculation Sheet'!$AG$4:$AG$40=$FN$26)*($KW$6:$KW$42=1))&gt;0)</f>
        <v/>
      </c>
      <c r="KY26">
        <f>$KY$25+--($KX26)</f>
        <v/>
      </c>
      <c r="KZ26">
        <f>IF(ROW()-3&gt;MAX($KY$4:$KY$40),"",INDEX($FN$4:$FN$40,MATCH(ROW()-3,$KY$4:$KY$40,0)))</f>
        <v/>
      </c>
      <c r="LA26">
        <f>IF(COUNTIF('Live Search'!BM$25:CS$25,0)+COUNTIF('Live Search'!CU$25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LB26">
        <f>IF($FS$26="",FALSE,SUMPRODUCT(('Final Calculation Sheet'!$AH$4:$AH$40=$FS$26)*($LA$6:$LA$42=1))&gt;0)</f>
        <v/>
      </c>
      <c r="LC26">
        <f>$LC$25+--($LB26)</f>
        <v/>
      </c>
      <c r="LD26">
        <f>IF(ROW()-3&gt;MAX($LC$4:$LC$40),"",INDEX($FS$4:$FS$40,MATCH(ROW()-3,$LC$4:$LC$40,0)))</f>
        <v/>
      </c>
      <c r="LE26">
        <f>IF(COUNTIF('Buyer Groups'!DH79:EN79,0)&gt;0,0,1)</f>
        <v/>
      </c>
      <c r="LF26">
        <f>IF($O$26="",FALSE,SUMPRODUCT(('Final Calculation Sheet'!$F$4:$F$40=$O$26)*($LE$6:$LE$42=1))&gt;0)</f>
        <v/>
      </c>
      <c r="LG26">
        <f>$LG$25+--($LF26)</f>
        <v/>
      </c>
      <c r="LH26">
        <f>IF(ROW()-3&gt;MAX($LG$4:$LG$40),"",INDEX($O$4:$O$40,MATCH(ROW()-3,$LG$4:$LG$40,0)))</f>
        <v/>
      </c>
      <c r="LI26">
        <f>IF(COUNTIF('Buyer Groups'!DG79:DG79,0)+COUNTIF('Buyer Groups'!DI79:EN79,0)&gt;0,0,1)</f>
        <v/>
      </c>
      <c r="LJ26">
        <f>IF($T$26="",FALSE,SUMPRODUCT(('Final Calculation Sheet'!$G$4:$G$40=$T$26)*($LI$6:$LI$42=1))&gt;0)</f>
        <v/>
      </c>
      <c r="LK26">
        <f>$LK$25+--($LJ26)</f>
        <v/>
      </c>
      <c r="LL26">
        <f>IF(ROW()-3&gt;MAX($LK$4:$LK$40),"",INDEX($T$4:$T$40,MATCH(ROW()-3,$LK$4:$LK$40,0)))</f>
        <v/>
      </c>
      <c r="LM26">
        <f>IF(COUNTIF('Buyer Groups'!DG79:DH79,0)+COUNTIF('Buyer Groups'!DJ79:EN79,0)&gt;0,0,1)</f>
        <v/>
      </c>
      <c r="LN26">
        <f>IF($Y$26="",FALSE,SUMPRODUCT(('Final Calculation Sheet'!$B$4:$B$40=$Y$26)*($LM$6:$LM$42=1))&gt;0)</f>
        <v/>
      </c>
      <c r="LO26">
        <f>$LO$25+--($LN26)</f>
        <v/>
      </c>
      <c r="LP26">
        <f>IF(ROW()-3&gt;MAX($LO$4:$LO$40),"",INDEX($Y$4:$Y$40,MATCH(ROW()-3,$LO$4:$LO$40,0)))</f>
        <v/>
      </c>
      <c r="LQ26">
        <f>IF(COUNTIF('Buyer Groups'!DG79:DI79,0)+COUNTIF('Buyer Groups'!DK79:EN79,0)&gt;0,0,1)</f>
        <v/>
      </c>
      <c r="LR26">
        <f>IF($AD$26="",FALSE,SUMPRODUCT(('Final Calculation Sheet'!$D$4:$D$40=$AD$26)*($LQ$6:$LQ$42=1))&gt;0)</f>
        <v/>
      </c>
      <c r="LS26">
        <f>$LS$25+--($LR26)</f>
        <v/>
      </c>
      <c r="LT26">
        <f>IF(ROW()-3&gt;MAX($LS$4:$LS$40),"",INDEX($AD$4:$AD$40,MATCH(ROW()-3,$LS$4:$LS$40,0)))</f>
        <v/>
      </c>
      <c r="LU26">
        <f>IF(COUNTIF('Buyer Groups'!DG79:DJ79,0)+COUNTIF('Buyer Groups'!DL79:EN79,0)&gt;0,0,1)</f>
        <v/>
      </c>
      <c r="LV26">
        <f>IF($AI$26="",FALSE,SUMPRODUCT(('Final Calculation Sheet'!$A$4:$A$40=$AI$26)*($LU$6:$LU$42=1))&gt;0)</f>
        <v/>
      </c>
      <c r="LW26">
        <f>$LW$25+--($LV26)</f>
        <v/>
      </c>
      <c r="LX26">
        <f>IF(ROW()-3&gt;MAX($LW$4:$LW$40),"",INDEX($AI$4:$AI$40,MATCH(ROW()-3,$LW$4:$LW$40,0)))</f>
        <v/>
      </c>
      <c r="LY26">
        <f>IF(COUNTIF('Buyer Groups'!DG79:DK79,0)+COUNTIF('Buyer Groups'!DM79:EN79,0)&gt;0,0,1)</f>
        <v/>
      </c>
      <c r="LZ26">
        <f>IF($AN$26="",FALSE,SUMPRODUCT(('Final Calculation Sheet'!$E$4:$E$40=$AN$26)*($LY$6:$LY$42=1))&gt;0)</f>
        <v/>
      </c>
      <c r="MA26">
        <f>$MA$25+--($LZ26)</f>
        <v/>
      </c>
      <c r="MB26">
        <f>IF(ROW()-3&gt;MAX($MA$4:$MA$40),"",INDEX($AN$4:$AN$40,MATCH(ROW()-3,$MA$4:$MA$40,0)))</f>
        <v/>
      </c>
      <c r="MC26">
        <f>IF(COUNTIF('Buyer Groups'!DG79:DL79,0)+COUNTIF('Buyer Groups'!DN79:EN79,0)&gt;0,0,1)</f>
        <v/>
      </c>
      <c r="MD26">
        <f>IF($AS$26="",FALSE,SUMPRODUCT(('Final Calculation Sheet'!$C$4:$C$40=$AS$26)*($MC$6:$MC$42=1))&gt;0)</f>
        <v/>
      </c>
      <c r="ME26">
        <f>$ME$25+--($MD26)</f>
        <v/>
      </c>
      <c r="MF26">
        <f>IF(ROW()-3&gt;MAX($ME$4:$ME$40),"",INDEX($AS$4:$AS$40,MATCH(ROW()-3,$ME$4:$ME$40,0)))</f>
        <v/>
      </c>
      <c r="MG26">
        <f>IF(COUNTIF('Buyer Groups'!DG79:DM79,0)+COUNTIF('Buyer Groups'!DO79:EN79,0)&gt;0,0,1)</f>
        <v/>
      </c>
      <c r="MH26">
        <f>IF($AX$26="",FALSE,SUMPRODUCT(('Final Calculation Sheet'!$H$4:$H$40=$AX$26)*($MG$6:$MG$42=1))&gt;0)</f>
        <v/>
      </c>
      <c r="MI26">
        <f>$MI$25+--($MH26)</f>
        <v/>
      </c>
      <c r="MJ26">
        <f>IF(ROW()-3&gt;MAX($MI$4:$MI$40),"",INDEX($AX$4:$AX$40,MATCH(ROW()-3,$MI$4:$MI$40,0)))</f>
        <v/>
      </c>
      <c r="MK26">
        <f>IF(COUNTIF('Buyer Groups'!DG79:DN79,0)+COUNTIF('Buyer Groups'!DP79:EN79,0)&gt;0,0,1)</f>
        <v/>
      </c>
      <c r="ML26">
        <f>IF($BC$26="",FALSE,SUMPRODUCT(('Final Calculation Sheet'!$I$4:$I$40=$BC$26)*($MK$6:$MK$42=1))&gt;0)</f>
        <v/>
      </c>
      <c r="MM26">
        <f>$MM$25+--($ML26)</f>
        <v/>
      </c>
      <c r="MN26">
        <f>IF(ROW()-3&gt;MAX($MM$4:$MM$40),"",INDEX($BC$4:$BC$40,MATCH(ROW()-3,$MM$4:$MM$40,0)))</f>
        <v/>
      </c>
      <c r="MO26">
        <f>IF(COUNTIF('Buyer Groups'!DG79:DO79,0)+COUNTIF('Buyer Groups'!DQ79:EN79,0)&gt;0,0,1)</f>
        <v/>
      </c>
      <c r="MP26">
        <f>IF($BH$26="",FALSE,SUMPRODUCT(('Final Calculation Sheet'!$J$4:$J$40=$BH$26)*($MO$6:$MO$42=1))&gt;0)</f>
        <v/>
      </c>
      <c r="MQ26">
        <f>$MQ$25+--($MP26)</f>
        <v/>
      </c>
      <c r="MR26">
        <f>IF(ROW()-3&gt;MAX($MQ$4:$MQ$40),"",INDEX($BH$4:$BH$40,MATCH(ROW()-3,$MQ$4:$MQ$40,0)))</f>
        <v/>
      </c>
      <c r="MS26">
        <f>IF(COUNTIF('Buyer Groups'!DG79:DP79,0)+COUNTIF('Buyer Groups'!DR79:EN79,0)&gt;0,0,1)</f>
        <v/>
      </c>
      <c r="MT26">
        <f>IF($BM$26="",FALSE,SUMPRODUCT(('Final Calculation Sheet'!$K$4:$K$40=$BM$26)*($MS$6:$MS$42=1))&gt;0)</f>
        <v/>
      </c>
      <c r="MU26">
        <f>$MU$25+--($MT26)</f>
        <v/>
      </c>
      <c r="MV26">
        <f>IF(ROW()-3&gt;MAX($MU$4:$MU$40),"",INDEX($BM$4:$BM$40,MATCH(ROW()-3,$MU$4:$MU$40,0)))</f>
        <v/>
      </c>
      <c r="MW26">
        <f>IF(COUNTIF('Buyer Groups'!DG79:DQ79,0)+COUNTIF('Buyer Groups'!DS79:EN79,0)&gt;0,0,1)</f>
        <v/>
      </c>
      <c r="MX26">
        <f>IF($BR$26="",FALSE,SUMPRODUCT(('Final Calculation Sheet'!$L$4:$L$40=$BR$26)*($MW$6:$MW$42=1))&gt;0)</f>
        <v/>
      </c>
      <c r="MY26">
        <f>$MY$25+--($MX26)</f>
        <v/>
      </c>
      <c r="MZ26">
        <f>IF(ROW()-3&gt;MAX($MY$4:$MY$40),"",INDEX($BR$4:$BR$40,MATCH(ROW()-3,$MY$4:$MY$40,0)))</f>
        <v/>
      </c>
      <c r="NA26">
        <f>IF(COUNTIF('Buyer Groups'!DG79:DR79,0)+COUNTIF('Buyer Groups'!DT79:EN79,0)&gt;0,0,1)</f>
        <v/>
      </c>
      <c r="NB26">
        <f>IF($BW$26="",FALSE,SUMPRODUCT(('Final Calculation Sheet'!$M$4:$M$40=$BW$26)*($NA$6:$NA$42=1))&gt;0)</f>
        <v/>
      </c>
      <c r="NC26">
        <f>$NC$25+--($NB26)</f>
        <v/>
      </c>
      <c r="ND26">
        <f>IF(ROW()-3&gt;MAX($NC$4:$NC$40),"",INDEX($BW$4:$BW$40,MATCH(ROW()-3,$NC$4:$NC$40,0)))</f>
        <v/>
      </c>
      <c r="NE26">
        <f>IF(COUNTIF('Buyer Groups'!DG79:DS79,0)+COUNTIF('Buyer Groups'!DU79:EN79,0)&gt;0,0,1)</f>
        <v/>
      </c>
      <c r="NF26">
        <f>IF($CB$26="",FALSE,SUMPRODUCT(('Final Calculation Sheet'!$N$4:$N$40=$CB$26)*($NE$6:$NE$42=1))&gt;0)</f>
        <v/>
      </c>
      <c r="NG26">
        <f>$NG$25+--($NF26)</f>
        <v/>
      </c>
      <c r="NH26">
        <f>IF(ROW()-3&gt;MAX($NG$4:$NG$40),"",INDEX($CB$4:$CB$40,MATCH(ROW()-3,$NG$4:$NG$40,0)))</f>
        <v/>
      </c>
      <c r="NI26">
        <f>IF(COUNTIF('Buyer Groups'!DG79:DT79,0)+COUNTIF('Buyer Groups'!DV79:EN79,0)&gt;0,0,1)</f>
        <v/>
      </c>
      <c r="NJ26">
        <f>IF($CG$26="",FALSE,SUMPRODUCT(('Final Calculation Sheet'!$O$4:$O$40=$CG$26)*($NI$6:$NI$42=1))&gt;0)</f>
        <v/>
      </c>
      <c r="NK26">
        <f>$NK$25+--($NJ26)</f>
        <v/>
      </c>
      <c r="NL26">
        <f>IF(ROW()-3&gt;MAX($NK$4:$NK$40),"",INDEX($CG$4:$CG$40,MATCH(ROW()-3,$NK$4:$NK$40,0)))</f>
        <v/>
      </c>
      <c r="NM26">
        <f>IF(COUNTIF('Buyer Groups'!DG79:DU79,0)+COUNTIF('Buyer Groups'!DW79:EN79,0)&gt;0,0,1)</f>
        <v/>
      </c>
      <c r="NN26">
        <f>IF($CL$26="",FALSE,SUMPRODUCT(('Final Calculation Sheet'!$P$4:$P$40=$CL$26)*($NM$6:$NM$42=1))&gt;0)</f>
        <v/>
      </c>
      <c r="NO26">
        <f>$NO$25+--($NN26)</f>
        <v/>
      </c>
      <c r="NP26">
        <f>IF(ROW()-3&gt;MAX($NO$4:$NO$40),"",INDEX($CL$4:$CL$40,MATCH(ROW()-3,$NO$4:$NO$40,0)))</f>
        <v/>
      </c>
      <c r="NQ26">
        <f>IF(COUNTIF('Buyer Groups'!DG79:DV79,0)+COUNTIF('Buyer Groups'!DX79:EN79,0)&gt;0,0,1)</f>
        <v/>
      </c>
      <c r="NR26">
        <f>IF($CQ$26="",FALSE,SUMPRODUCT(('Final Calculation Sheet'!$Q$4:$Q$40=$CQ$26)*($NQ$6:$NQ$42=1))&gt;0)</f>
        <v/>
      </c>
      <c r="NS26">
        <f>$NS$25+--($NR26)</f>
        <v/>
      </c>
      <c r="NT26">
        <f>IF(ROW()-3&gt;MAX($NS$4:$NS$40),"",INDEX($CQ$4:$CQ$40,MATCH(ROW()-3,$NS$4:$NS$40,0)))</f>
        <v/>
      </c>
      <c r="NU26">
        <f>IF(COUNTIF('Buyer Groups'!DG79:DW79,0)+COUNTIF('Buyer Groups'!DY79:EN79,0)&gt;0,0,1)</f>
        <v/>
      </c>
      <c r="NV26">
        <f>IF($CV$26="",FALSE,SUMPRODUCT(('Final Calculation Sheet'!$R$4:$R$40=$CV$26)*($NU$6:$NU$42=1))&gt;0)</f>
        <v/>
      </c>
      <c r="NW26">
        <f>$NW$25+--($NV26)</f>
        <v/>
      </c>
      <c r="NX26">
        <f>IF(ROW()-3&gt;MAX($NW$4:$NW$40),"",INDEX($CV$4:$CV$40,MATCH(ROW()-3,$NW$4:$NW$40,0)))</f>
        <v/>
      </c>
      <c r="NY26">
        <f>IF(COUNTIF('Buyer Groups'!DG79:DX79,0)+COUNTIF('Buyer Groups'!DZ79:EN79,0)&gt;0,0,1)</f>
        <v/>
      </c>
      <c r="NZ26">
        <f>IF($DA$26="",FALSE,SUMPRODUCT(('Final Calculation Sheet'!$S$4:$S$40=$DA$26)*($NY$6:$NY$42=1))&gt;0)</f>
        <v/>
      </c>
      <c r="OA26">
        <f>$OA$25+--($NZ26)</f>
        <v/>
      </c>
      <c r="OB26">
        <f>IF(ROW()-3&gt;MAX($OA$4:$OA$40),"",INDEX($DA$4:$DA$40,MATCH(ROW()-3,$OA$4:$OA$40,0)))</f>
        <v/>
      </c>
      <c r="OC26">
        <f>IF(COUNTIF('Buyer Groups'!DG79:DY79,0)+COUNTIF('Buyer Groups'!EA79:EN79,0)&gt;0,0,1)</f>
        <v/>
      </c>
      <c r="OD26">
        <f>IF($DF$26="",FALSE,SUMPRODUCT(('Final Calculation Sheet'!$T$4:$T$40=$DF$26)*($OC$6:$OC$42=1))&gt;0)</f>
        <v/>
      </c>
      <c r="OE26">
        <f>$OE$25+--($OD26)</f>
        <v/>
      </c>
      <c r="OF26">
        <f>IF(ROW()-3&gt;MAX($OE$4:$OE$40),"",INDEX($DF$4:$DF$40,MATCH(ROW()-3,$OE$4:$OE$40,0)))</f>
        <v/>
      </c>
      <c r="OG26">
        <f>IF(COUNTIF('Buyer Groups'!DG79:DZ79,0)+COUNTIF('Buyer Groups'!EB79:EN79,0)&gt;0,0,1)</f>
        <v/>
      </c>
      <c r="OH26">
        <f>IF($DK$26="",FALSE,SUMPRODUCT(('Final Calculation Sheet'!$U$4:$U$40=$DK$26)*($OG$6:$OG$42=1))&gt;0)</f>
        <v/>
      </c>
      <c r="OI26">
        <f>$OI$25+--($OH26)</f>
        <v/>
      </c>
      <c r="OJ26">
        <f>IF(ROW()-3&gt;MAX($OI$4:$OI$40),"",INDEX($DK$4:$DK$40,MATCH(ROW()-3,$OI$4:$OI$40,0)))</f>
        <v/>
      </c>
      <c r="OK26">
        <f>IF(COUNTIF('Buyer Groups'!DG79:EA79,0)+COUNTIF('Buyer Groups'!EC79:EN79,0)&gt;0,0,1)</f>
        <v/>
      </c>
      <c r="OL26">
        <f>IF($DP$26="",FALSE,SUMPRODUCT(('Final Calculation Sheet'!$V$4:$V$40=$DP$26)*($OK$6:$OK$42=1))&gt;0)</f>
        <v/>
      </c>
      <c r="OM26">
        <f>$OM$25+--($OL26)</f>
        <v/>
      </c>
      <c r="ON26">
        <f>IF(ROW()-3&gt;MAX($OM$4:$OM$40),"",INDEX($DP$4:$DP$40,MATCH(ROW()-3,$OM$4:$OM$40,0)))</f>
        <v/>
      </c>
      <c r="OO26">
        <f>IF(COUNTIF('Buyer Groups'!DG79:EB79,0)+COUNTIF('Buyer Groups'!ED79:EN79,0)&gt;0,0,1)</f>
        <v/>
      </c>
      <c r="OP26">
        <f>IF($DU$26="",FALSE,SUMPRODUCT(('Final Calculation Sheet'!$W$4:$W$40=$DU$26)*($OO$6:$OO$42=1))&gt;0)</f>
        <v/>
      </c>
      <c r="OQ26">
        <f>$OQ$25+--($OP26)</f>
        <v/>
      </c>
      <c r="OR26">
        <f>IF(ROW()-3&gt;MAX($OQ$4:$OQ$40),"",INDEX($DU$4:$DU$40,MATCH(ROW()-3,$OQ$4:$OQ$40,0)))</f>
        <v/>
      </c>
      <c r="OS26">
        <f>IF(COUNTIF('Buyer Groups'!DG79:EC79,0)+COUNTIF('Buyer Groups'!EE79:EN79,0)&gt;0,0,1)</f>
        <v/>
      </c>
      <c r="OT26">
        <f>IF($DZ$26="",FALSE,SUMPRODUCT(('Final Calculation Sheet'!$X$4:$X$40=$DZ$26)*($OS$6:$OS$42=1))&gt;0)</f>
        <v/>
      </c>
      <c r="OU26">
        <f>$OU$25+--($OT26)</f>
        <v/>
      </c>
      <c r="OV26">
        <f>IF(ROW()-3&gt;MAX($OU$4:$OU$40),"",INDEX($DZ$4:$DZ$40,MATCH(ROW()-3,$OU$4:$OU$40,0)))</f>
        <v/>
      </c>
      <c r="OW26">
        <f>IF(COUNTIF('Buyer Groups'!DG79:ED79,0)+COUNTIF('Buyer Groups'!EF79:EN79,0)&gt;0,0,1)</f>
        <v/>
      </c>
      <c r="OX26">
        <f>IF($EE$26="",FALSE,SUMPRODUCT(('Final Calculation Sheet'!$Y$4:$Y$40=$EE$26)*($OW$6:$OW$42=1))&gt;0)</f>
        <v/>
      </c>
      <c r="OY26">
        <f>$OY$25+--($OX26)</f>
        <v/>
      </c>
      <c r="OZ26">
        <f>IF(ROW()-3&gt;MAX($OY$4:$OY$40),"",INDEX($EE$4:$EE$40,MATCH(ROW()-3,$OY$4:$OY$40,0)))</f>
        <v/>
      </c>
      <c r="PA26">
        <f>IF(COUNTIF('Buyer Groups'!DG79:EE79,0)+COUNTIF('Buyer Groups'!EG79:EN79,0)&gt;0,0,1)</f>
        <v/>
      </c>
      <c r="PB26">
        <f>IF($EJ$26="",FALSE,SUMPRODUCT(('Final Calculation Sheet'!$Z$4:$Z$40=$EJ$26)*($PA$6:$PA$42=1))&gt;0)</f>
        <v/>
      </c>
      <c r="PC26">
        <f>$PC$25+--($PB26)</f>
        <v/>
      </c>
      <c r="PD26">
        <f>IF(ROW()-3&gt;MAX($PC$4:$PC$40),"",INDEX($EJ$4:$EJ$40,MATCH(ROW()-3,$PC$4:$PC$40,0)))</f>
        <v/>
      </c>
      <c r="PE26">
        <f>IF(COUNTIF('Buyer Groups'!DG79:EF79,0)+COUNTIF('Buyer Groups'!EH79:EN79,0)&gt;0,0,1)</f>
        <v/>
      </c>
      <c r="PF26">
        <f>IF($EO$26="",FALSE,SUMPRODUCT(('Final Calculation Sheet'!$AA$4:$AA$40=$EO$26)*($PE$6:$PE$42=1))&gt;0)</f>
        <v/>
      </c>
      <c r="PG26">
        <f>$PG$25+--($PF26)</f>
        <v/>
      </c>
      <c r="PH26">
        <f>IF(ROW()-3&gt;MAX($PG$4:$PG$40),"",INDEX($EO$4:$EO$40,MATCH(ROW()-3,$PG$4:$PG$40,0)))</f>
        <v/>
      </c>
      <c r="PI26">
        <f>IF(COUNTIF('Buyer Groups'!DG79:EG79,0)+COUNTIF('Buyer Groups'!EI79:EN79,0)&gt;0,0,1)</f>
        <v/>
      </c>
      <c r="PJ26">
        <f>IF($ET$26="",FALSE,SUMPRODUCT(('Final Calculation Sheet'!$AB$4:$AB$40=$ET$26)*($PI$6:$PI$42=1))&gt;0)</f>
        <v/>
      </c>
      <c r="PK26">
        <f>$PK$25+--($PJ26)</f>
        <v/>
      </c>
      <c r="PL26">
        <f>IF(ROW()-3&gt;MAX($PK$4:$PK$40),"",INDEX($ET$4:$ET$40,MATCH(ROW()-3,$PK$4:$PK$40,0)))</f>
        <v/>
      </c>
      <c r="PM26">
        <f>IF(COUNTIF('Buyer Groups'!DG79:EH79,0)+COUNTIF('Buyer Groups'!EJ79:EN79,0)&gt;0,0,1)</f>
        <v/>
      </c>
      <c r="PN26">
        <f>IF($EY$26="",FALSE,SUMPRODUCT(('Final Calculation Sheet'!$AC$4:$AC$40=$EY$26)*($PM$6:$PM$42=1))&gt;0)</f>
        <v/>
      </c>
      <c r="PO26">
        <f>$PO$25+--($PN26)</f>
        <v/>
      </c>
      <c r="PP26">
        <f>IF(ROW()-3&gt;MAX($PO$4:$PO$40),"",INDEX($EY$4:$EY$40,MATCH(ROW()-3,$PO$4:$PO$40,0)))</f>
        <v/>
      </c>
      <c r="PQ26">
        <f>IF(COUNTIF('Buyer Groups'!DG79:EI79,0)+COUNTIF('Buyer Groups'!EK79:EN79,0)&gt;0,0,1)</f>
        <v/>
      </c>
      <c r="PR26">
        <f>IF($FD$26="",FALSE,SUMPRODUCT(('Final Calculation Sheet'!$AD$4:$AD$40=$FD$26)*($PQ$6:$PQ$42=1))&gt;0)</f>
        <v/>
      </c>
      <c r="PS26">
        <f>$PS$25+--($PR26)</f>
        <v/>
      </c>
      <c r="PT26">
        <f>IF(ROW()-3&gt;MAX($PS$4:$PS$40),"",INDEX($FD$4:$FD$40,MATCH(ROW()-3,$PS$4:$PS$40,0)))</f>
        <v/>
      </c>
      <c r="PU26">
        <f>IF(COUNTIF('Buyer Groups'!DG79:EJ79,0)+COUNTIF('Buyer Groups'!EL79:EN79,0)&gt;0,0,1)</f>
        <v/>
      </c>
      <c r="PV26">
        <f>IF($FX$26="",FALSE,SUMPRODUCT((IF('Final Calculation Sheet'!$AD$4:$AD$40&lt;=5,"SETTLED","OUTSTANDING")=$FX$26)*($PU$6:$PU$42=1))&gt;0)</f>
        <v/>
      </c>
      <c r="PW26">
        <f>$PW$25+--($PV26)</f>
        <v/>
      </c>
      <c r="PX26">
        <f>IF(ROW()-3&gt;MAX($PW$4:$PW$40),"",INDEX($FX$4:$FX$40,MATCH(ROW()-3,$PW$4:$PW$40,0)))</f>
        <v/>
      </c>
      <c r="PY26">
        <f>IF(COUNTIF('Buyer Groups'!DG79:EK79,0)+COUNTIF('Buyer Groups'!EM79:EN79,0)&gt;0,0,1)</f>
        <v/>
      </c>
      <c r="PZ26">
        <f>IF($FI$26="",FALSE,SUMPRODUCT(('Final Calculation Sheet'!$AF$4:$AF$40=$FI$26)*($PY$6:$PY$42=1))&gt;0)</f>
        <v/>
      </c>
      <c r="QA26">
        <f>$QA$25+--($PZ26)</f>
        <v/>
      </c>
      <c r="QB26">
        <f>IF(ROW()-3&gt;MAX($QA$4:$QA$40),"",INDEX($FI$4:$FI$40,MATCH(ROW()-3,$QA$4:$QA$40,0)))</f>
        <v/>
      </c>
      <c r="QC26">
        <f>IF(COUNTIF('Buyer Groups'!DG79:EL79,0)+COUNTIF('Buyer Groups'!EN79:EN79,0)&gt;0,0,1)</f>
        <v/>
      </c>
      <c r="QD26">
        <f>IF($FN$26="",FALSE,SUMPRODUCT(('Final Calculation Sheet'!$AG$4:$AG$40=$FN$26)*($QC$6:$QC$42=1))&gt;0)</f>
        <v/>
      </c>
      <c r="QE26">
        <f>$QE$25+--($QD26)</f>
        <v/>
      </c>
      <c r="QF26">
        <f>IF(ROW()-3&gt;MAX($QE$4:$QE$40),"",INDEX($FN$4:$FN$40,MATCH(ROW()-3,$QE$4:$QE$40,0)))</f>
        <v/>
      </c>
      <c r="QG26">
        <f>IF(COUNTIF('Buyer Groups'!DG79:EM79,0)&gt;0,0,1)</f>
        <v/>
      </c>
      <c r="QH26">
        <f>IF($FS$26="",FALSE,SUMPRODUCT(('Final Calculation Sheet'!$AH$4:$AH$40=$FS$26)*($QG$6:$QG$42=1))&gt;0)</f>
        <v/>
      </c>
      <c r="QI26">
        <f>$QI$25+--($QH26)</f>
        <v/>
      </c>
      <c r="QJ26">
        <f>IF(ROW()-3&gt;MAX($QI$4:$QI$40),"",INDEX($FS$4:$FS$40,MATCH(ROW()-3,$QI$4:$QI$40,0)))</f>
        <v/>
      </c>
      <c r="QK26" t="str">
        <f>IF('Final Calculation Sheet'!$AH$26="","",'Final Calculation Sheet'!$AH$26)</f>
      </c>
      <c r="QL26" t="str">
        <f>IF(QK26="","",COUNTIFS(QK$4:QK$40,"&lt;"&amp;QK26,QK$4:QK$40,"&lt;&gt;"&amp;"")+COUNTIF(QK$4:QK26,QK26))</f>
      </c>
      <c r="QM26" t="str">
        <f>IF(ROW()-3&gt;COUNTIF(QK$4:QK$40,"&lt;&gt;"&amp;""),"",INDEX(QK$4:QK$40,MATCH(ROW()-3,QL$4:QL$40,0)))</f>
      </c>
      <c r="QN26" t="str">
        <f>=QN25+F(AND(QM26&lt;&gt;"",COUNTIF(QM$4:QM26,QM26)=1),1,0)</f>
      </c>
      <c r="QO26" t="str">
        <f>IF(ROW()-3&gt;MAX(QN$4:QN$40),"",INDEX(QM$4:QM$40,MATCH(ROW()-3,QN$4:QN$40,0)))</f>
      </c>
      <c r="QP26" t="str">
        <f>IF(COUNTIF('Final Calculation Sheet'!$AM26:$BS26,0)&gt;0,0,1)</f>
      </c>
      <c r="QQ26" t="str">
        <f>IF($AI$26="",FALSE,SUMPRODUCT(('Final Calculation Sheet'!$A$4:$A$40=$AI$26)*($QP$4:$QP$40=1))&gt;0)</f>
      </c>
      <c r="QR26" t="str">
        <f>=$QR25+--($QQ26)</f>
      </c>
      <c r="QS26" t="str">
        <f>IF(ROW()-3&gt;MAX($QR$4:$QR$40),"",INDEX($AI$4:$AI$40,MATCH(ROW()-3,$QR$4:$QR$40,0)))</f>
      </c>
      <c r="QT26" t="str">
        <f>IF(COUNTIF('Final Calculation Sheet'!$AL26:$AL26,0)+COUNTIF('Final Calculation Sheet'!$AN26:$BS26,0)&gt;0,0,1)</f>
      </c>
      <c r="QU26" t="str">
        <f>IF($Y$26="",FALSE,SUMPRODUCT(('Final Calculation Sheet'!$B$4:$B$40=$Y$26)*($QT$4:$QT$40=1))&gt;0)</f>
      </c>
      <c r="QV26" t="str">
        <f>=$QV25+--($QU26)</f>
      </c>
      <c r="QW26" t="str">
        <f>IF(ROW()-3&gt;MAX($QV$4:$QV$40),"",INDEX($Y$4:$Y$40,MATCH(ROW()-3,$QV$4:$QV$40,0)))</f>
      </c>
      <c r="QX26" t="str">
        <f>IF(COUNTIF('Final Calculation Sheet'!$AL26:$AM26,0)+COUNTIF('Final Calculation Sheet'!$AO26:$BS26,0)&gt;0,0,1)</f>
      </c>
      <c r="QY26" t="str">
        <f>IF($AS$26="",FALSE,SUMPRODUCT(('Final Calculation Sheet'!$C$4:$C$40=$AS$26)*($QX$4:$QX$40=1))&gt;0)</f>
      </c>
      <c r="QZ26" t="str">
        <f>=$QZ25+--($QY26)</f>
      </c>
      <c r="RA26" t="str">
        <f>IF(ROW()-3&gt;MAX($QZ$4:$QZ$40),"",INDEX($AS$4:$AS$40,MATCH(ROW()-3,$QZ$4:$QZ$40,0)))</f>
      </c>
      <c r="RB26" t="str">
        <f>IF(COUNTIF('Final Calculation Sheet'!$AL26:$AN26,0)+COUNTIF('Final Calculation Sheet'!$AP26:$BS26,0)&gt;0,0,1)</f>
      </c>
      <c r="RC26" t="str">
        <f>IF($AD$26="",FALSE,SUMPRODUCT(('Final Calculation Sheet'!$D$4:$D$40=$AD$26)*($RB$4:$RB$40=1))&gt;0)</f>
      </c>
      <c r="RD26" t="str">
        <f>=$RD25+--($RC26)</f>
      </c>
      <c r="RE26" t="str">
        <f>IF(ROW()-3&gt;MAX($RD$4:$RD$40),"",INDEX($AD$4:$AD$40,MATCH(ROW()-3,$RD$4:$RD$40,0)))</f>
      </c>
      <c r="RF26" t="str">
        <f>IF(COUNTIF('Final Calculation Sheet'!$AL26:$AO26,0)+COUNTIF('Final Calculation Sheet'!$AQ26:$BS26,0)&gt;0,0,1)</f>
      </c>
      <c r="RG26" t="str">
        <f>IF($AN$26="",FALSE,SUMPRODUCT(('Final Calculation Sheet'!$E$4:$E$40=$AN$26)*($RF$4:$RF$40=1))&gt;0)</f>
      </c>
      <c r="RH26" t="str">
        <f>=$RH25+--($RG26)</f>
      </c>
      <c r="RI26" t="str">
        <f>IF(ROW()-3&gt;MAX($RH$4:$RH$40),"",INDEX($AN$4:$AN$40,MATCH(ROW()-3,$RH$4:$RH$40,0)))</f>
      </c>
      <c r="RJ26" t="str">
        <f>IF(COUNTIF('Final Calculation Sheet'!$AL26:$AP26,0)+COUNTIF('Final Calculation Sheet'!$AR26:$BS26,0)&gt;0,0,1)</f>
      </c>
      <c r="RK26" t="str">
        <f>IF($O$26="",FALSE,SUMPRODUCT(('Final Calculation Sheet'!$F$4:$F$40=$O$26)*($RJ$4:$RJ$40=1))&gt;0)</f>
      </c>
      <c r="RL26" t="str">
        <f>=$RL25+--($RK26)</f>
      </c>
      <c r="RM26" t="str">
        <f>IF(ROW()-3&gt;MAX($RL$4:$RL$40),"",INDEX($O$4:$O$40,MATCH(ROW()-3,$RL$4:$RL$40,0)))</f>
      </c>
      <c r="RN26" t="str">
        <f>IF(COUNTIF('Final Calculation Sheet'!$AL26:$AQ26,0)+COUNTIF('Final Calculation Sheet'!$AS26:$BS26,0)&gt;0,0,1)</f>
      </c>
      <c r="RO26" t="str">
        <f>IF($T$26="",FALSE,SUMPRODUCT(('Final Calculation Sheet'!$G$4:$G$40=$T$26)*($RN$4:$RN$40=1))&gt;0)</f>
      </c>
      <c r="RP26" t="str">
        <f>=$RP25+--($RO26)</f>
      </c>
      <c r="RQ26" t="str">
        <f>IF(ROW()-3&gt;MAX($RP$4:$RP$40),"",INDEX($T$4:$T$40,MATCH(ROW()-3,$RP$4:$RP$40,0)))</f>
      </c>
      <c r="RR26" t="str">
        <f>IF(COUNTIF('Final Calculation Sheet'!$AL26:$AR26,0)+COUNTIF('Final Calculation Sheet'!$AT26:$BS26,0)&gt;0,0,1)</f>
      </c>
      <c r="RS26" t="str">
        <f>IF($AX$26="",FALSE,SUMPRODUCT(('Final Calculation Sheet'!$H$4:$H$40=$AX$26)*($RR$4:$RR$40=1))&gt;0)</f>
      </c>
      <c r="RT26" t="str">
        <f>=$RT25+--($RS26)</f>
      </c>
      <c r="RU26" t="str">
        <f>IF(ROW()-3&gt;MAX($RT$4:$RT$40),"",INDEX($AX$4:$AX$40,MATCH(ROW()-3,$RT$4:$RT$40,0)))</f>
      </c>
      <c r="RV26" t="str">
        <f>IF(COUNTIF('Final Calculation Sheet'!$AL26:$AS26,0)+COUNTIF('Final Calculation Sheet'!$AU26:$BS26,0)&gt;0,0,1)</f>
      </c>
      <c r="RW26" t="str">
        <f>IF($BC$26="",FALSE,SUMPRODUCT(('Final Calculation Sheet'!$I$4:$I$40=$BC$26)*($RV$4:$RV$40=1))&gt;0)</f>
      </c>
      <c r="RX26" t="str">
        <f>=$RX25+--($RW26)</f>
      </c>
      <c r="RY26" t="str">
        <f>IF(ROW()-3&gt;MAX($RX$4:$RX$40),"",INDEX($BC$4:$BC$40,MATCH(ROW()-3,$RX$4:$RX$40,0)))</f>
      </c>
      <c r="RZ26" t="str">
        <f>IF(COUNTIF('Final Calculation Sheet'!$AL26:$AT26,0)+COUNTIF('Final Calculation Sheet'!$AV26:$BS26,0)&gt;0,0,1)</f>
      </c>
      <c r="SA26" t="str">
        <f>IF($BH$26="",FALSE,SUMPRODUCT(('Final Calculation Sheet'!$J$4:$J$40=$BH$26)*($RZ$4:$RZ$40=1))&gt;0)</f>
      </c>
      <c r="SB26" t="str">
        <f>=$SB25+--($SA26)</f>
      </c>
      <c r="SC26" t="str">
        <f>IF(ROW()-3&gt;MAX($SB$4:$SB$40),"",INDEX($BH$4:$BH$40,MATCH(ROW()-3,$SB$4:$SB$40,0)))</f>
      </c>
      <c r="SD26" t="str">
        <f>IF(COUNTIF('Final Calculation Sheet'!$AL26:$AU26,0)+COUNTIF('Final Calculation Sheet'!$AW26:$BS26,0)&gt;0,0,1)</f>
      </c>
      <c r="SE26" t="str">
        <f>IF($BM$26="",FALSE,SUMPRODUCT(('Final Calculation Sheet'!$K$4:$K$40=$BM$26)*($SD$4:$SD$40=1))&gt;0)</f>
      </c>
      <c r="SF26" t="str">
        <f>=$SF25+--($SE26)</f>
      </c>
      <c r="SG26" t="str">
        <f>IF(ROW()-3&gt;MAX($SF$4:$SF$40),"",INDEX($BM$4:$BM$40,MATCH(ROW()-3,$SF$4:$SF$40,0)))</f>
      </c>
      <c r="SH26" t="str">
        <f>IF(COUNTIF('Final Calculation Sheet'!$AL26:$AV26,0)+COUNTIF('Final Calculation Sheet'!$AX26:$BS26,0)&gt;0,0,1)</f>
      </c>
      <c r="SI26" t="str">
        <f>IF($BR$26="",FALSE,SUMPRODUCT(('Final Calculation Sheet'!$L$4:$L$40=$BR$26)*($SH$4:$SH$40=1))&gt;0)</f>
      </c>
      <c r="SJ26" t="str">
        <f>=$SJ25+--($SI26)</f>
      </c>
      <c r="SK26" t="str">
        <f>IF(ROW()-3&gt;MAX($SJ$4:$SJ$40),"",INDEX($BR$4:$BR$40,MATCH(ROW()-3,$SJ$4:$SJ$40,0)))</f>
      </c>
      <c r="SL26" t="str">
        <f>IF(COUNTIF('Final Calculation Sheet'!$AL26:$AW26,0)+COUNTIF('Final Calculation Sheet'!$AY26:$BS26,0)&gt;0,0,1)</f>
      </c>
      <c r="SM26" t="str">
        <f>IF($BW$26="",FALSE,SUMPRODUCT(('Final Calculation Sheet'!$M$4:$M$40=$BW$26)*($SL$4:$SL$40=1))&gt;0)</f>
      </c>
      <c r="SN26" t="str">
        <f>=$SN25+--($SM26)</f>
      </c>
      <c r="SO26" t="str">
        <f>IF(ROW()-3&gt;MAX($SN$4:$SN$40),"",INDEX($BW$4:$BW$40,MATCH(ROW()-3,$SN$4:$SN$40,0)))</f>
      </c>
      <c r="SP26" t="str">
        <f>IF(COUNTIF('Final Calculation Sheet'!$AL26:$AX26,0)+COUNTIF('Final Calculation Sheet'!$AZ26:$BS26,0)&gt;0,0,1)</f>
      </c>
      <c r="SQ26" t="str">
        <f>IF($CB$26="",FALSE,SUMPRODUCT(('Final Calculation Sheet'!$N$4:$N$40=$CB$26)*($SP$4:$SP$40=1))&gt;0)</f>
      </c>
      <c r="SR26" t="str">
        <f>=$SR25+--($SQ26)</f>
      </c>
      <c r="SS26" t="str">
        <f>IF(ROW()-3&gt;MAX($SR$4:$SR$40),"",INDEX($CB$4:$CB$40,MATCH(ROW()-3,$SR$4:$SR$40,0)))</f>
      </c>
      <c r="ST26" t="str">
        <f>IF(COUNTIF('Final Calculation Sheet'!$AL26:$AY26,0)+COUNTIF('Final Calculation Sheet'!$BA26:$BS26,0)&gt;0,0,1)</f>
      </c>
      <c r="SU26" t="str">
        <f>IF($CG$26="",FALSE,SUMPRODUCT(('Final Calculation Sheet'!$O$4:$O$40=$CG$26)*($ST$4:$ST$40=1))&gt;0)</f>
      </c>
      <c r="SV26" t="str">
        <f>=$SV25+--($SU26)</f>
      </c>
      <c r="SW26" t="str">
        <f>IF(ROW()-3&gt;MAX($SV$4:$SV$40),"",INDEX($CG$4:$CG$40,MATCH(ROW()-3,$SV$4:$SV$40,0)))</f>
      </c>
      <c r="SX26" t="str">
        <f>IF(COUNTIF('Final Calculation Sheet'!$AL26:$AZ26,0)+COUNTIF('Final Calculation Sheet'!$BB26:$BS26,0)&gt;0,0,1)</f>
      </c>
      <c r="SY26" t="str">
        <f>IF($CL$26="",FALSE,SUMPRODUCT(('Final Calculation Sheet'!$P$4:$P$40=$CL$26)*($SX$4:$SX$40=1))&gt;0)</f>
      </c>
      <c r="SZ26" t="str">
        <f>=$SZ25+--($SY26)</f>
      </c>
      <c r="TA26" t="str">
        <f>IF(ROW()-3&gt;MAX($SZ$4:$SZ$40),"",INDEX($CL$4:$CL$40,MATCH(ROW()-3,$SZ$4:$SZ$40,0)))</f>
      </c>
      <c r="TB26" t="str">
        <f>IF(COUNTIF('Final Calculation Sheet'!$AL26:$BA26,0)+COUNTIF('Final Calculation Sheet'!$BC26:$BS26,0)&gt;0,0,1)</f>
      </c>
      <c r="TC26" t="str">
        <f>IF($CQ$26="",FALSE,SUMPRODUCT(('Final Calculation Sheet'!$Q$4:$Q$40=$CQ$26)*($TB$4:$TB$40=1))&gt;0)</f>
      </c>
      <c r="TD26" t="str">
        <f>=$TD25+--($TC26)</f>
      </c>
      <c r="TE26" t="str">
        <f>IF(ROW()-3&gt;MAX($TD$4:$TD$40),"",INDEX($CQ$4:$CQ$40,MATCH(ROW()-3,$TD$4:$TD$40,0)))</f>
      </c>
      <c r="TF26" t="str">
        <f>IF(COUNTIF('Final Calculation Sheet'!$AL26:$BB26,0)+COUNTIF('Final Calculation Sheet'!$BD26:$BS26,0)&gt;0,0,1)</f>
      </c>
      <c r="TG26" t="str">
        <f>IF($CV$26="",FALSE,SUMPRODUCT(('Final Calculation Sheet'!$R$4:$R$40=$CV$26)*($TF$4:$TF$40=1))&gt;0)</f>
      </c>
      <c r="TH26" t="str">
        <f>=$TH25+--($TG26)</f>
      </c>
      <c r="TI26" t="str">
        <f>IF(ROW()-3&gt;MAX($TH$4:$TH$40),"",INDEX($CV$4:$CV$40,MATCH(ROW()-3,$TH$4:$TH$40,0)))</f>
      </c>
      <c r="TJ26" t="str">
        <f>IF(COUNTIF('Final Calculation Sheet'!$AL26:$BC26,0)+COUNTIF('Final Calculation Sheet'!$BE26:$BS26,0)&gt;0,0,1)</f>
      </c>
      <c r="TK26" t="str">
        <f>IF($DA$26="",FALSE,SUMPRODUCT(('Final Calculation Sheet'!$S$4:$S$40=$DA$26)*($TJ$4:$TJ$40=1))&gt;0)</f>
      </c>
      <c r="TL26" t="str">
        <f>=$TL25+--($TK26)</f>
      </c>
      <c r="TM26" t="str">
        <f>IF(ROW()-3&gt;MAX($TL$4:$TL$40),"",INDEX($DA$4:$DA$40,MATCH(ROW()-3,$TL$4:$TL$40,0)))</f>
      </c>
      <c r="TN26" t="str">
        <f>IF(COUNTIF('Final Calculation Sheet'!$AL26:$BD26,0)+COUNTIF('Final Calculation Sheet'!$BF26:$BS26,0)&gt;0,0,1)</f>
      </c>
      <c r="TO26" t="str">
        <f>IF($DF$26="",FALSE,SUMPRODUCT(('Final Calculation Sheet'!$T$4:$T$40=$DF$26)*($TN$4:$TN$40=1))&gt;0)</f>
      </c>
      <c r="TP26" t="str">
        <f>=$TP25+--($TO26)</f>
      </c>
      <c r="TQ26" t="str">
        <f>IF(ROW()-3&gt;MAX($TP$4:$TP$40),"",INDEX($DF$4:$DF$40,MATCH(ROW()-3,$TP$4:$TP$40,0)))</f>
      </c>
      <c r="TR26" t="str">
        <f>IF(COUNTIF('Final Calculation Sheet'!$AL26:$BE26,0)+COUNTIF('Final Calculation Sheet'!$BG26:$BS26,0)&gt;0,0,1)</f>
      </c>
      <c r="TS26" t="str">
        <f>IF($DK$26="",FALSE,SUMPRODUCT(('Final Calculation Sheet'!$U$4:$U$40=$DK$26)*($TR$4:$TR$40=1))&gt;0)</f>
      </c>
      <c r="TT26" t="str">
        <f>=$TT25+--($TS26)</f>
      </c>
      <c r="TU26" t="str">
        <f>IF(ROW()-3&gt;MAX($TT$4:$TT$40),"",INDEX($DK$4:$DK$40,MATCH(ROW()-3,$TT$4:$TT$40,0)))</f>
      </c>
      <c r="TV26" t="str">
        <f>IF(COUNTIF('Final Calculation Sheet'!$AL26:$BF26,0)+COUNTIF('Final Calculation Sheet'!$BH26:$BS26,0)&gt;0,0,1)</f>
      </c>
      <c r="TW26" t="str">
        <f>IF($DP$26="",FALSE,SUMPRODUCT(('Final Calculation Sheet'!$V$4:$V$40=$DP$26)*($TV$4:$TV$40=1))&gt;0)</f>
      </c>
      <c r="TX26" t="str">
        <f>=$TX25+--($TW26)</f>
      </c>
      <c r="TY26" t="str">
        <f>IF(ROW()-3&gt;MAX($TX$4:$TX$40),"",INDEX($DP$4:$DP$40,MATCH(ROW()-3,$TX$4:$TX$40,0)))</f>
      </c>
      <c r="TZ26" t="str">
        <f>IF(COUNTIF('Final Calculation Sheet'!$AL26:$BG26,0)+COUNTIF('Final Calculation Sheet'!$BI26:$BS26,0)&gt;0,0,1)</f>
      </c>
      <c r="UA26" t="str">
        <f>IF($DU$26="",FALSE,SUMPRODUCT(('Final Calculation Sheet'!$W$4:$W$40=$DU$26)*($TZ$4:$TZ$40=1))&gt;0)</f>
      </c>
      <c r="UB26" t="str">
        <f>=$UB25+--($UA26)</f>
      </c>
      <c r="UC26" t="str">
        <f>IF(ROW()-3&gt;MAX($UB$4:$UB$40),"",INDEX($DU$4:$DU$40,MATCH(ROW()-3,$UB$4:$UB$40,0)))</f>
      </c>
      <c r="UD26" t="str">
        <f>IF(COUNTIF('Final Calculation Sheet'!$AL26:$BH26,0)+COUNTIF('Final Calculation Sheet'!$BJ26:$BS26,0)&gt;0,0,1)</f>
      </c>
      <c r="UE26" t="str">
        <f>IF($DZ$26="",FALSE,SUMPRODUCT(('Final Calculation Sheet'!$X$4:$X$40=$DZ$26)*($UD$4:$UD$40=1))&gt;0)</f>
      </c>
      <c r="UF26" t="str">
        <f>=$UF25+--($UE26)</f>
      </c>
      <c r="UG26" t="str">
        <f>IF(ROW()-3&gt;MAX($UF$4:$UF$40),"",INDEX($DZ$4:$DZ$40,MATCH(ROW()-3,$UF$4:$UF$40,0)))</f>
      </c>
      <c r="UH26" t="str">
        <f>IF(COUNTIF('Final Calculation Sheet'!$AL26:$BI26,0)+COUNTIF('Final Calculation Sheet'!$BK26:$BS26,0)&gt;0,0,1)</f>
      </c>
      <c r="UI26" t="str">
        <f>IF($EE$26="",FALSE,SUMPRODUCT(('Final Calculation Sheet'!$Y$4:$Y$40=$EE$26)*($UH$4:$UH$40=1))&gt;0)</f>
      </c>
      <c r="UJ26" t="str">
        <f>=$UJ25+--($UI26)</f>
      </c>
      <c r="UK26" t="str">
        <f>IF(ROW()-3&gt;MAX($UJ$4:$UJ$40),"",INDEX($EE$4:$EE$40,MATCH(ROW()-3,$UJ$4:$UJ$40,0)))</f>
      </c>
      <c r="UL26" t="str">
        <f>IF(COUNTIF('Final Calculation Sheet'!$AL26:$BJ26,0)+COUNTIF('Final Calculation Sheet'!$BL26:$BS26,0)&gt;0,0,1)</f>
      </c>
      <c r="UM26" t="str">
        <f>IF($EJ$26="",FALSE,SUMPRODUCT(('Final Calculation Sheet'!$Z$4:$Z$40=$EJ$26)*($UL$4:$UL$40=1))&gt;0)</f>
      </c>
      <c r="UN26" t="str">
        <f>=$UN25+--($UM26)</f>
      </c>
      <c r="UO26" t="str">
        <f>IF(ROW()-3&gt;MAX($UN$4:$UN$40),"",INDEX($EJ$4:$EJ$40,MATCH(ROW()-3,$UN$4:$UN$40,0)))</f>
      </c>
      <c r="UP26" t="str">
        <f>IF(COUNTIF('Final Calculation Sheet'!$AL26:$BK26,0)+COUNTIF('Final Calculation Sheet'!$BM26:$BS26,0)&gt;0,0,1)</f>
      </c>
      <c r="UQ26" t="str">
        <f>IF($EO$26="",FALSE,SUMPRODUCT(('Final Calculation Sheet'!$AA$4:$AA$40=$EO$26)*($UP$4:$UP$40=1))&gt;0)</f>
      </c>
      <c r="UR26" t="str">
        <f>=$UR25+--($UQ26)</f>
      </c>
      <c r="US26" t="str">
        <f>IF(ROW()-3&gt;MAX($UR$4:$UR$40),"",INDEX($EO$4:$EO$40,MATCH(ROW()-3,$UR$4:$UR$40,0)))</f>
      </c>
      <c r="UT26" t="str">
        <f>IF(COUNTIF('Final Calculation Sheet'!$AL26:$BL26,0)+COUNTIF('Final Calculation Sheet'!$BN26:$BS26,0)&gt;0,0,1)</f>
      </c>
      <c r="UU26" t="str">
        <f>IF($ET$26="",FALSE,SUMPRODUCT(('Final Calculation Sheet'!$AB$4:$AB$40=$ET$26)*($UT$4:$UT$40=1))&gt;0)</f>
      </c>
      <c r="UV26" t="str">
        <f>=$UV25+--($UU26)</f>
      </c>
      <c r="UW26" t="str">
        <f>IF(ROW()-3&gt;MAX($UV$4:$UV$40),"",INDEX($ET$4:$ET$40,MATCH(ROW()-3,$UV$4:$UV$40,0)))</f>
      </c>
      <c r="UX26" t="str">
        <f>IF(COUNTIF('Final Calculation Sheet'!$AL26:$BM26,0)+COUNTIF('Final Calculation Sheet'!$BO26:$BS26,0)&gt;0,0,1)</f>
      </c>
      <c r="UY26" t="str">
        <f>IF($EY$26="",FALSE,SUMPRODUCT(('Final Calculation Sheet'!$AC$4:$AC$40=$EY$26)*($UX$4:$UX$40=1))&gt;0)</f>
      </c>
      <c r="UZ26" t="str">
        <f>=$UZ25+--($UY26)</f>
      </c>
      <c r="VA26" t="str">
        <f>IF(ROW()-3&gt;MAX($UZ$4:$UZ$40),"",INDEX($EY$4:$EY$40,MATCH(ROW()-3,$UZ$4:$UZ$40,0)))</f>
      </c>
      <c r="VB26" t="str">
        <f>IF(COUNTIF('Final Calculation Sheet'!$AL26:$BN26,0)+COUNTIF('Final Calculation Sheet'!$BP26:$BS26,0)&gt;0,0,1)</f>
      </c>
      <c r="VC26" t="str">
        <f>IF($FD$26="",FALSE,SUMPRODUCT(('Final Calculation Sheet'!$AD$4:$AD$40=$FD$26)*($VB$4:$VB$40=1))&gt;0)</f>
      </c>
      <c r="VD26" t="str">
        <f>=$VD25+--($VC26)</f>
      </c>
      <c r="VE26" t="str">
        <f>IF(ROW()-3&gt;MAX($VD$4:$VD$40),"",INDEX($FD$4:$FD$40,MATCH(ROW()-3,$VD$4:$VD$40,0)))</f>
      </c>
      <c r="VF26" t="str">
        <f>IF(COUNTIF('Final Calculation Sheet'!$AL26:$BO26,0)+COUNTIF('Final Calculation Sheet'!$BQ26:$BS26,0)&gt;0,0,1)</f>
      </c>
      <c r="VG26" t="str">
        <f>IF($FI$26="",FALSE,SUMPRODUCT(('Final Calculation Sheet'!$AE$4:$AE$40=$FI$26)*($VF$4:$VF$40=1))&gt;0)</f>
      </c>
      <c r="VH26" t="str">
        <f>=$VH25+--($VG26)</f>
      </c>
      <c r="VI26" t="str">
        <f>IF(ROW()-3&gt;MAX($VH$4:$VH$40),"",INDEX($FI$4:$FI$40,MATCH(ROW()-3,$VH$4:$VH$40,0)))</f>
      </c>
      <c r="VJ26" t="str">
        <f>IF(COUNTIF('Final Calculation Sheet'!$AL26:$BP26,0)+COUNTIF('Final Calculation Sheet'!$BR26:$BS26,0)&gt;0,0,1)</f>
      </c>
      <c r="VK26" t="str">
        <f>IF($FN$26="",FALSE,SUMPRODUCT(('Final Calculation Sheet'!$AF$4:$AF$40=$FN$26)*($VJ$4:$VJ$40=1))&gt;0)</f>
      </c>
      <c r="VL26" t="str">
        <f>=$VL25+--($VK26)</f>
      </c>
      <c r="VM26" t="str">
        <f>IF(ROW()-3&gt;MAX($VL$4:$VL$40),"",INDEX($FN$4:$FN$40,MATCH(ROW()-3,$VL$4:$VL$40,0)))</f>
      </c>
      <c r="VN26" t="str">
        <f>IF(COUNTIF('Final Calculation Sheet'!$AL26:$BQ26,0)+COUNTIF('Final Calculation Sheet'!$BS26:$BS26,0)&gt;0,0,1)</f>
      </c>
      <c r="VO26" t="str">
        <f>IF($FS$26="",FALSE,SUMPRODUCT(('Final Calculation Sheet'!$AG$4:$AG$40=$FS$26)*($VN$4:$VN$40=1))&gt;0)</f>
      </c>
      <c r="VP26" t="str">
        <f>=$VP25+--($VO26)</f>
      </c>
      <c r="VQ26" t="str">
        <f>IF(ROW()-3&gt;MAX($VP$4:$VP$40),"",INDEX($FS$4:$FS$40,MATCH(ROW()-3,$VP$4:$VP$40,0)))</f>
      </c>
      <c r="VR26" t="str">
        <f>IF(COUNTIF('Final Calculation Sheet'!$AL26:$BR26,0)&gt;0,0,1)</f>
      </c>
      <c r="VS26" t="str">
        <f>IF($QO$26="",FALSE,SUMPRODUCT(('Final Calculation Sheet'!$AH$4:$AH$40=$QO$26)*($VR$4:$VR$40=1))&gt;0)</f>
      </c>
      <c r="VT26" t="str">
        <f>=$VT25+--($VS26)</f>
      </c>
      <c r="VU26" t="str">
        <f>IF(ROW()-3&gt;MAX($VT$4:$VT$40),"",INDEX($QO$4:$QO$40,MATCH(ROW()-3,$VT$4:$VT$40,0)))</f>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IF(COUNTIF('Live Search'!BM$26:BM$26,0)+COUNTIF('Live Search'!B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D27">
        <f>IF($O$27="",FALSE,SUMPRODUCT(('Final Calculation Sheet'!$F$4:$F$40=$O$27)*($GC$6:$GC$42=1))&gt;0)</f>
        <v/>
      </c>
      <c r="GE27">
        <f>$GE$26+--($GD27)</f>
        <v/>
      </c>
      <c r="GF27">
        <f>IF(ROW()-3&gt;MAX($GE$4:$GE$40),"",INDEX($O$4:$O$40,MATCH(ROW()-3,$GE$4:$GE$40,0)))</f>
        <v/>
      </c>
      <c r="GG27">
        <f>IF(COUNTIF('Live Search'!BM$26:BN$26,0)+COUNTIF('Live Search'!B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H27">
        <f>IF($T$27="",FALSE,SUMPRODUCT(('Final Calculation Sheet'!$G$4:$G$40=$T$27)*($GG$6:$GG$42=1))&gt;0)</f>
        <v/>
      </c>
      <c r="GI27">
        <f>$GI$26+--($GH27)</f>
        <v/>
      </c>
      <c r="GJ27">
        <f>IF(ROW()-3&gt;MAX($GI$4:$GI$40),"",INDEX($T$4:$T$40,MATCH(ROW()-3,$GI$4:$GI$40,0)))</f>
        <v/>
      </c>
      <c r="GK27">
        <f>IF(COUNTIF('Live Search'!BM$26:BP$26,0)+COUNTIF('Live Search'!B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L27">
        <f>IF($AD$27="",FALSE,SUMPRODUCT(('Final Calculation Sheet'!$D$4:$D$40=$AD$27)*($GK$6:$GK$42=1))&gt;0)</f>
        <v/>
      </c>
      <c r="GM27">
        <f>$GM$26+--($GL27)</f>
        <v/>
      </c>
      <c r="GN27">
        <f>IF(ROW()-3&gt;MAX($GM$4:$GM$40),"",INDEX($AD$4:$AD$40,MATCH(ROW()-3,$GM$4:$GM$40,0)))</f>
        <v/>
      </c>
      <c r="GO27">
        <f>IF(COUNTIF('Live Search'!BM$26:BQ$26,0)+COUNTIF('Live Search'!B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P27">
        <f>IF($AI$27="",FALSE,SUMPRODUCT(('Final Calculation Sheet'!$A$4:$A$40=$AI$27)*($GO$6:$GO$42=1))&gt;0)</f>
        <v/>
      </c>
      <c r="GQ27">
        <f>$GQ$26+--($GP27)</f>
        <v/>
      </c>
      <c r="GR27">
        <f>IF(ROW()-3&gt;MAX($GQ$4:$GQ$40),"",INDEX($AI$4:$AI$40,MATCH(ROW()-3,$GQ$4:$GQ$40,0)))</f>
        <v/>
      </c>
      <c r="GS27">
        <f>IF(COUNTIF('Live Search'!BM$26:BR$26,0)+COUNTIF('Live Search'!B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T27">
        <f>IF($AN$27="",FALSE,SUMPRODUCT(('Final Calculation Sheet'!$E$4:$E$40=$AN$27)*($GS$6:$GS$42=1))&gt;0)</f>
        <v/>
      </c>
      <c r="GU27">
        <f>$GU$26+--($GT27)</f>
        <v/>
      </c>
      <c r="GV27">
        <f>IF(ROW()-3&gt;MAX($GU$4:$GU$40),"",INDEX($AN$4:$AN$40,MATCH(ROW()-3,$GU$4:$GU$40,0)))</f>
        <v/>
      </c>
      <c r="GW27">
        <f>IF(COUNTIF('Live Search'!BM$26:BS$26,0)+COUNTIF('Live Search'!B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GX27">
        <f>IF($AS$27="",FALSE,SUMPRODUCT(('Final Calculation Sheet'!$C$4:$C$40=$AS$27)*($GW$6:$GW$42=1))&gt;0)</f>
        <v/>
      </c>
      <c r="GY27">
        <f>$GY$26+--($GX27)</f>
        <v/>
      </c>
      <c r="GZ27">
        <f>IF(ROW()-3&gt;MAX($GY$4:$GY$40),"",INDEX($AS$4:$AS$40,MATCH(ROW()-3,$GY$4:$GY$40,0)))</f>
        <v/>
      </c>
      <c r="HA27">
        <f>IF(COUNTIF('Live Search'!BM$26:BT$26,0)+COUNTIF('Live Search'!BV$26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B27">
        <f>IF($AX$27="",FALSE,SUMPRODUCT(('Final Calculation Sheet'!$H$4:$H$40=$AX$27)*($HA$6:$HA$42=1))&gt;0)</f>
        <v/>
      </c>
      <c r="HC27">
        <f>$HC$26+--($HB27)</f>
        <v/>
      </c>
      <c r="HD27">
        <f>IF(ROW()-3&gt;MAX($HC$4:$HC$40),"",INDEX($AX$4:$AX$40,MATCH(ROW()-3,$HC$4:$HC$40,0)))</f>
        <v/>
      </c>
      <c r="HE27">
        <f>IF(COUNTIF('Live Search'!BM$26:BU$26,0)+COUNTIF('Live Search'!BW$26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F27">
        <f>IF($BC$27="",FALSE,SUMPRODUCT(('Final Calculation Sheet'!$I$4:$I$40=$BC$27)*($HE$6:$HE$42=1))&gt;0)</f>
        <v/>
      </c>
      <c r="HG27">
        <f>$HG$26+--($HF27)</f>
        <v/>
      </c>
      <c r="HH27">
        <f>IF(ROW()-3&gt;MAX($HG$4:$HG$40),"",INDEX($BC$4:$BC$40,MATCH(ROW()-3,$HG$4:$HG$40,0)))</f>
        <v/>
      </c>
      <c r="HI27">
        <f>IF(COUNTIF('Live Search'!BM$26:BV$26,0)+COUNTIF('Live Search'!BX$26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J27">
        <f>IF($BH$27="",FALSE,SUMPRODUCT(('Final Calculation Sheet'!$J$4:$J$40=$BH$27)*($HI$6:$HI$42=1))&gt;0)</f>
        <v/>
      </c>
      <c r="HK27">
        <f>$HK$26+--($HJ27)</f>
        <v/>
      </c>
      <c r="HL27">
        <f>IF(ROW()-3&gt;MAX($HK$4:$HK$40),"",INDEX($BH$4:$BH$40,MATCH(ROW()-3,$HK$4:$HK$40,0)))</f>
        <v/>
      </c>
      <c r="HM27">
        <f>IF(COUNTIF('Live Search'!BM$26:BW$26,0)+COUNTIF('Live Search'!BY$26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N27">
        <f>IF($BM$27="",FALSE,SUMPRODUCT(('Final Calculation Sheet'!$K$4:$K$40=$BM$27)*($HM$6:$HM$42=1))&gt;0)</f>
        <v/>
      </c>
      <c r="HO27">
        <f>$HO$26+--($HN27)</f>
        <v/>
      </c>
      <c r="HP27">
        <f>IF(ROW()-3&gt;MAX($HO$4:$HO$40),"",INDEX($BM$4:$BM$40,MATCH(ROW()-3,$HO$4:$HO$40,0)))</f>
        <v/>
      </c>
      <c r="HQ27">
        <f>IF(COUNTIF('Live Search'!BM$26:BX$26,0)+COUNTIF('Live Search'!BZ$26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R27">
        <f>IF($BR$27="",FALSE,SUMPRODUCT(('Final Calculation Sheet'!$L$4:$L$40=$BR$27)*($HQ$6:$HQ$42=1))&gt;0)</f>
        <v/>
      </c>
      <c r="HS27">
        <f>$HS$26+--($HR27)</f>
        <v/>
      </c>
      <c r="HT27">
        <f>IF(ROW()-3&gt;MAX($HS$4:$HS$40),"",INDEX($BR$4:$BR$40,MATCH(ROW()-3,$HS$4:$HS$40,0)))</f>
        <v/>
      </c>
      <c r="HU27">
        <f>IF(COUNTIF('Live Search'!BM$26:BY$26,0)+COUNTIF('Live Search'!CA$26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V27">
        <f>IF($BW$27="",FALSE,SUMPRODUCT(('Final Calculation Sheet'!$M$4:$M$40=$BW$27)*($HU$6:$HU$42=1))&gt;0)</f>
        <v/>
      </c>
      <c r="HW27">
        <f>$HW$26+--($HV27)</f>
        <v/>
      </c>
      <c r="HX27">
        <f>IF(ROW()-3&gt;MAX($HW$4:$HW$40),"",INDEX($BW$4:$BW$40,MATCH(ROW()-3,$HW$4:$HW$40,0)))</f>
        <v/>
      </c>
      <c r="HY27">
        <f>IF(COUNTIF('Live Search'!BM$26:BZ$26,0)+COUNTIF('Live Search'!CB$26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HZ27">
        <f>IF($CB$27="",FALSE,SUMPRODUCT(('Final Calculation Sheet'!$N$4:$N$40=$CB$27)*($HY$6:$HY$42=1))&gt;0)</f>
        <v/>
      </c>
      <c r="IA27">
        <f>$IA$26+--($HZ27)</f>
        <v/>
      </c>
      <c r="IB27">
        <f>IF(ROW()-3&gt;MAX($IA$4:$IA$40),"",INDEX($CB$4:$CB$40,MATCH(ROW()-3,$IA$4:$IA$40,0)))</f>
        <v/>
      </c>
      <c r="IC27">
        <f>IF(COUNTIF('Live Search'!BM$26:CA$26,0)+COUNTIF('Live Search'!CC$26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D27">
        <f>IF($CG$27="",FALSE,SUMPRODUCT(('Final Calculation Sheet'!$O$4:$O$40=$CG$27)*($IC$6:$IC$42=1))&gt;0)</f>
        <v/>
      </c>
      <c r="IE27">
        <f>$IE$26+--($ID27)</f>
        <v/>
      </c>
      <c r="IF27">
        <f>IF(ROW()-3&gt;MAX($IE$4:$IE$40),"",INDEX($CG$4:$CG$40,MATCH(ROW()-3,$IE$4:$IE$40,0)))</f>
        <v/>
      </c>
      <c r="IG27">
        <f>IF(COUNTIF('Live Search'!BM$26:CB$26,0)+COUNTIF('Live Search'!CD$26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H27">
        <f>IF($CL$27="",FALSE,SUMPRODUCT(('Final Calculation Sheet'!$P$4:$P$40=$CL$27)*($IG$6:$IG$42=1))&gt;0)</f>
        <v/>
      </c>
      <c r="II27">
        <f>$II$26+--($IH27)</f>
        <v/>
      </c>
      <c r="IJ27">
        <f>IF(ROW()-3&gt;MAX($II$4:$II$40),"",INDEX($CL$4:$CL$40,MATCH(ROW()-3,$II$4:$II$40,0)))</f>
        <v/>
      </c>
      <c r="IK27">
        <f>IF(COUNTIF('Live Search'!BM$26:CC$26,0)+COUNTIF('Live Search'!CE$26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L27">
        <f>IF($CQ$27="",FALSE,SUMPRODUCT(('Final Calculation Sheet'!$Q$4:$Q$40=$CQ$27)*($IK$6:$IK$42=1))&gt;0)</f>
        <v/>
      </c>
      <c r="IM27">
        <f>$IM$26+--($IL27)</f>
        <v/>
      </c>
      <c r="IN27">
        <f>IF(ROW()-3&gt;MAX($IM$4:$IM$40),"",INDEX($CQ$4:$CQ$40,MATCH(ROW()-3,$IM$4:$IM$40,0)))</f>
        <v/>
      </c>
      <c r="IO27">
        <f>IF(COUNTIF('Live Search'!BM$26:CD$26,0)+COUNTIF('Live Search'!CF$26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P27">
        <f>IF($CV$27="",FALSE,SUMPRODUCT(('Final Calculation Sheet'!$R$4:$R$40=$CV$27)*($IO$6:$IO$42=1))&gt;0)</f>
        <v/>
      </c>
      <c r="IQ27">
        <f>$IQ$26+--($IP27)</f>
        <v/>
      </c>
      <c r="IR27">
        <f>IF(ROW()-3&gt;MAX($IQ$4:$IQ$40),"",INDEX($CV$4:$CV$40,MATCH(ROW()-3,$IQ$4:$IQ$40,0)))</f>
        <v/>
      </c>
      <c r="IS27">
        <f>IF(COUNTIF('Live Search'!BM$26:CE$26,0)+COUNTIF('Live Search'!CG$26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T27">
        <f>IF($DA$27="",FALSE,SUMPRODUCT(('Final Calculation Sheet'!$S$4:$S$40=$DA$27)*($IS$6:$IS$42=1))&gt;0)</f>
        <v/>
      </c>
      <c r="IU27">
        <f>$IU$26+--($IT27)</f>
        <v/>
      </c>
      <c r="IV27">
        <f>IF(ROW()-3&gt;MAX($IU$4:$IU$40),"",INDEX($DA$4:$DA$40,MATCH(ROW()-3,$IU$4:$IU$40,0)))</f>
        <v/>
      </c>
      <c r="IW27">
        <f>IF(COUNTIF('Live Search'!BM$26:CF$26,0)+COUNTIF('Live Search'!CH$26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IX27">
        <f>IF($DF$27="",FALSE,SUMPRODUCT(('Final Calculation Sheet'!$T$4:$T$40=$DF$27)*($IW$6:$IW$42=1))&gt;0)</f>
        <v/>
      </c>
      <c r="IY27">
        <f>$IY$26+--($IX27)</f>
        <v/>
      </c>
      <c r="IZ27">
        <f>IF(ROW()-3&gt;MAX($IY$4:$IY$40),"",INDEX($DF$4:$DF$40,MATCH(ROW()-3,$IY$4:$IY$40,0)))</f>
        <v/>
      </c>
      <c r="JA27">
        <f>IF(COUNTIF('Live Search'!BM$26:CG$26,0)+COUNTIF('Live Search'!CI$26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B27">
        <f>IF($DK$27="",FALSE,SUMPRODUCT(('Final Calculation Sheet'!$U$4:$U$40=$DK$27)*($JA$6:$JA$42=1))&gt;0)</f>
        <v/>
      </c>
      <c r="JC27">
        <f>$JC$26+--($JB27)</f>
        <v/>
      </c>
      <c r="JD27">
        <f>IF(ROW()-3&gt;MAX($JC$4:$JC$40),"",INDEX($DK$4:$DK$40,MATCH(ROW()-3,$JC$4:$JC$40,0)))</f>
        <v/>
      </c>
      <c r="JE27">
        <f>IF(COUNTIF('Live Search'!BM$26:CH$26,0)+COUNTIF('Live Search'!CJ$26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F27">
        <f>IF($DP$27="",FALSE,SUMPRODUCT(('Final Calculation Sheet'!$V$4:$V$40=$DP$27)*($JE$6:$JE$42=1))&gt;0)</f>
        <v/>
      </c>
      <c r="JG27">
        <f>$JG$26+--($JF27)</f>
        <v/>
      </c>
      <c r="JH27">
        <f>IF(ROW()-3&gt;MAX($JG$4:$JG$40),"",INDEX($DP$4:$DP$40,MATCH(ROW()-3,$JG$4:$JG$40,0)))</f>
        <v/>
      </c>
      <c r="JI27">
        <f>IF(COUNTIF('Live Search'!BM$26:CI$26,0)+COUNTIF('Live Search'!CK$26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J27">
        <f>IF($DU$27="",FALSE,SUMPRODUCT(('Final Calculation Sheet'!$W$4:$W$40=$DU$27)*($JI$6:$JI$42=1))&gt;0)</f>
        <v/>
      </c>
      <c r="JK27">
        <f>$JK$26+--($JJ27)</f>
        <v/>
      </c>
      <c r="JL27">
        <f>IF(ROW()-3&gt;MAX($JK$4:$JK$40),"",INDEX($DU$4:$DU$40,MATCH(ROW()-3,$JK$4:$JK$40,0)))</f>
        <v/>
      </c>
      <c r="JM27">
        <f>IF(COUNTIF('Live Search'!BM$26:CJ$26,0)+COUNTIF('Live Search'!CL$26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N27">
        <f>IF($DZ$27="",FALSE,SUMPRODUCT(('Final Calculation Sheet'!$X$4:$X$40=$DZ$27)*($JM$6:$JM$42=1))&gt;0)</f>
        <v/>
      </c>
      <c r="JO27">
        <f>$JO$26+--($JN27)</f>
        <v/>
      </c>
      <c r="JP27">
        <f>IF(ROW()-3&gt;MAX($JO$4:$JO$40),"",INDEX($DZ$4:$DZ$40,MATCH(ROW()-3,$JO$4:$JO$40,0)))</f>
        <v/>
      </c>
      <c r="JQ27">
        <f>IF(COUNTIF('Live Search'!BM$26:CK$26,0)+COUNTIF('Live Search'!C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R27">
        <f>IF($EE$27="",FALSE,SUMPRODUCT(('Final Calculation Sheet'!$Y$4:$Y$40=$EE$27)*($JQ$6:$JQ$42=1))&gt;0)</f>
        <v/>
      </c>
      <c r="JS27">
        <f>$JS$26+--($JR27)</f>
        <v/>
      </c>
      <c r="JT27">
        <f>IF(ROW()-3&gt;MAX($JS$4:$JS$40),"",INDEX($EE$4:$EE$40,MATCH(ROW()-3,$JS$4:$JS$40,0)))</f>
        <v/>
      </c>
      <c r="JU27">
        <f>IF(COUNTIF('Live Search'!BM$26:CL$26,0)+COUNTIF('Live Search'!CN$26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V27">
        <f>IF($EJ$27="",FALSE,SUMPRODUCT(('Final Calculation Sheet'!$Z$4:$Z$40=$EJ$27)*($JU$6:$JU$42=1))&gt;0)</f>
        <v/>
      </c>
      <c r="JW27">
        <f>$JW$26+--($JV27)</f>
        <v/>
      </c>
      <c r="JX27">
        <f>IF(ROW()-3&gt;MAX($JW$4:$JW$40),"",INDEX($EJ$4:$EJ$40,MATCH(ROW()-3,$JW$4:$JW$40,0)))</f>
        <v/>
      </c>
      <c r="JY27">
        <f>IF(COUNTIF('Live Search'!BM$26:CM$26,0)+COUNTIF('Live Search'!CO$26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JZ27">
        <f>IF($EO$27="",FALSE,SUMPRODUCT(('Final Calculation Sheet'!$AA$4:$AA$40=$EO$27)*($JY$6:$JY$42=1))&gt;0)</f>
        <v/>
      </c>
      <c r="KA27">
        <f>$KA$26+--($JZ27)</f>
        <v/>
      </c>
      <c r="KB27">
        <f>IF(ROW()-3&gt;MAX($KA$4:$KA$40),"",INDEX($EO$4:$EO$40,MATCH(ROW()-3,$KA$4:$KA$40,0)))</f>
        <v/>
      </c>
      <c r="KC27">
        <f>IF(COUNTIF('Live Search'!BM$26:CN$26,0)+COUNTIF('Live Search'!CP$26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D27">
        <f>IF($ET$27="",FALSE,SUMPRODUCT(('Final Calculation Sheet'!$AB$4:$AB$40=$ET$27)*($KC$6:$KC$42=1))&gt;0)</f>
        <v/>
      </c>
      <c r="KE27">
        <f>$KE$26+--($KD27)</f>
        <v/>
      </c>
      <c r="KF27">
        <f>IF(ROW()-3&gt;MAX($KE$4:$KE$40),"",INDEX($ET$4:$ET$40,MATCH(ROW()-3,$KE$4:$KE$40,0)))</f>
        <v/>
      </c>
      <c r="KG27">
        <f>IF(COUNTIF('Live Search'!BM$26:CO$26,0)+COUNTIF('Live Search'!CQ$26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H27">
        <f>IF($EY$27="",FALSE,SUMPRODUCT(('Final Calculation Sheet'!$AC$4:$AC$40=$EY$27)*($KG$6:$KG$42=1))&gt;0)</f>
        <v/>
      </c>
      <c r="KI27">
        <f>$KI$26+--($KH27)</f>
        <v/>
      </c>
      <c r="KJ27">
        <f>IF(ROW()-3&gt;MAX($KI$4:$KI$40),"",INDEX($EY$4:$EY$40,MATCH(ROW()-3,$KI$4:$KI$40,0)))</f>
        <v/>
      </c>
      <c r="KK27">
        <f>IF(COUNTIF('Live Search'!BM$26:CP$26,0)+COUNTIF('Live Search'!CR$26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L27">
        <f>IF($FD$27="",FALSE,SUMPRODUCT(('Final Calculation Sheet'!$AD$4:$AD$40=$FD$27)*($KK$6:$KK$42=1))&gt;0)</f>
        <v/>
      </c>
      <c r="KM27">
        <f>$KM$26+--($KL27)</f>
        <v/>
      </c>
      <c r="KN27">
        <f>IF(ROW()-3&gt;MAX($KM$4:$KM$40),"",INDEX($FD$4:$FD$40,MATCH(ROW()-3,$KM$4:$KM$40,0)))</f>
        <v/>
      </c>
      <c r="KO27">
        <f>IF(COUNTIF('Live Search'!BM$26:CT$26,0)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P27">
        <f>IF($FX$27="",FALSE,SUMPRODUCT((IF('Final Calculation Sheet'!$AD$4:$AD$40&lt;=5,"SETTLED","OUTSTANDING")=$FX$27)*($KO$6:$KO$42=1))&gt;0)</f>
        <v/>
      </c>
      <c r="KQ27">
        <f>$KQ$26+--($KP27)</f>
        <v/>
      </c>
      <c r="KR27">
        <f>IF(ROW()-3&gt;MAX($KQ$4:$KQ$40),"",INDEX($FX$4:$FX$40,MATCH(ROW()-3,$KQ$4:$KQ$40,0)))</f>
        <v/>
      </c>
      <c r="KS27">
        <f>IF(COUNTIF('Live Search'!BM$26:CQ$26,0)+COUNTIF('Live Search'!CS$26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T27">
        <f>IF($FI$27="",FALSE,SUMPRODUCT(('Final Calculation Sheet'!$AF$4:$AF$40=$FI$27)*($KS$6:$KS$42=1))&gt;0)</f>
        <v/>
      </c>
      <c r="KU27">
        <f>$KU$26+--($KT27)</f>
        <v/>
      </c>
      <c r="KV27">
        <f>IF(ROW()-3&gt;MAX($KU$4:$KU$40),"",INDEX($FI$4:$FI$40,MATCH(ROW()-3,$KU$4:$KU$40,0)))</f>
        <v/>
      </c>
      <c r="KW27">
        <f>IF(COUNTIF('Live Search'!BM$26:CR$26,0)+COUNTIF('Live Search'!CT$26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KX27">
        <f>IF($FN$27="",FALSE,SUMPRODUCT(('Final Calculation Sheet'!$AG$4:$AG$40=$FN$27)*($KW$6:$KW$42=1))&gt;0)</f>
        <v/>
      </c>
      <c r="KY27">
        <f>$KY$26+--($KX27)</f>
        <v/>
      </c>
      <c r="KZ27">
        <f>IF(ROW()-3&gt;MAX($KY$4:$KY$40),"",INDEX($FN$4:$FN$40,MATCH(ROW()-3,$KY$4:$KY$40,0)))</f>
        <v/>
      </c>
      <c r="LA27">
        <f>IF(COUNTIF('Live Search'!BM$26:CS$26,0)+COUNTIF('Live Search'!CU$26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LB27">
        <f>IF($FS$27="",FALSE,SUMPRODUCT(('Final Calculation Sheet'!$AH$4:$AH$40=$FS$27)*($LA$6:$LA$42=1))&gt;0)</f>
        <v/>
      </c>
      <c r="LC27">
        <f>$LC$26+--($LB27)</f>
        <v/>
      </c>
      <c r="LD27">
        <f>IF(ROW()-3&gt;MAX($LC$4:$LC$40),"",INDEX($FS$4:$FS$40,MATCH(ROW()-3,$LC$4:$LC$40,0)))</f>
        <v/>
      </c>
      <c r="LE27">
        <f>IF(COUNTIF('Buyer Groups'!DH80:EN80,0)&gt;0,0,1)</f>
        <v/>
      </c>
      <c r="LF27">
        <f>IF($O$27="",FALSE,SUMPRODUCT(('Final Calculation Sheet'!$F$4:$F$40=$O$27)*($LE$6:$LE$42=1))&gt;0)</f>
        <v/>
      </c>
      <c r="LG27">
        <f>$LG$26+--($LF27)</f>
        <v/>
      </c>
      <c r="LH27">
        <f>IF(ROW()-3&gt;MAX($LG$4:$LG$40),"",INDEX($O$4:$O$40,MATCH(ROW()-3,$LG$4:$LG$40,0)))</f>
        <v/>
      </c>
      <c r="LI27">
        <f>IF(COUNTIF('Buyer Groups'!DG80:DG80,0)+COUNTIF('Buyer Groups'!DI80:EN80,0)&gt;0,0,1)</f>
        <v/>
      </c>
      <c r="LJ27">
        <f>IF($T$27="",FALSE,SUMPRODUCT(('Final Calculation Sheet'!$G$4:$G$40=$T$27)*($LI$6:$LI$42=1))&gt;0)</f>
        <v/>
      </c>
      <c r="LK27">
        <f>$LK$26+--($LJ27)</f>
        <v/>
      </c>
      <c r="LL27">
        <f>IF(ROW()-3&gt;MAX($LK$4:$LK$40),"",INDEX($T$4:$T$40,MATCH(ROW()-3,$LK$4:$LK$40,0)))</f>
        <v/>
      </c>
      <c r="LM27">
        <f>IF(COUNTIF('Buyer Groups'!DG80:DH80,0)+COUNTIF('Buyer Groups'!DJ80:EN80,0)&gt;0,0,1)</f>
        <v/>
      </c>
      <c r="LN27">
        <f>IF($Y$27="",FALSE,SUMPRODUCT(('Final Calculation Sheet'!$B$4:$B$40=$Y$27)*($LM$6:$LM$42=1))&gt;0)</f>
        <v/>
      </c>
      <c r="LO27">
        <f>$LO$26+--($LN27)</f>
        <v/>
      </c>
      <c r="LP27">
        <f>IF(ROW()-3&gt;MAX($LO$4:$LO$40),"",INDEX($Y$4:$Y$40,MATCH(ROW()-3,$LO$4:$LO$40,0)))</f>
        <v/>
      </c>
      <c r="LQ27">
        <f>IF(COUNTIF('Buyer Groups'!DG80:DI80,0)+COUNTIF('Buyer Groups'!DK80:EN80,0)&gt;0,0,1)</f>
        <v/>
      </c>
      <c r="LR27">
        <f>IF($AD$27="",FALSE,SUMPRODUCT(('Final Calculation Sheet'!$D$4:$D$40=$AD$27)*($LQ$6:$LQ$42=1))&gt;0)</f>
        <v/>
      </c>
      <c r="LS27">
        <f>$LS$26+--($LR27)</f>
        <v/>
      </c>
      <c r="LT27">
        <f>IF(ROW()-3&gt;MAX($LS$4:$LS$40),"",INDEX($AD$4:$AD$40,MATCH(ROW()-3,$LS$4:$LS$40,0)))</f>
        <v/>
      </c>
      <c r="LU27">
        <f>IF(COUNTIF('Buyer Groups'!DG80:DJ80,0)+COUNTIF('Buyer Groups'!DL80:EN80,0)&gt;0,0,1)</f>
        <v/>
      </c>
      <c r="LV27">
        <f>IF($AI$27="",FALSE,SUMPRODUCT(('Final Calculation Sheet'!$A$4:$A$40=$AI$27)*($LU$6:$LU$42=1))&gt;0)</f>
        <v/>
      </c>
      <c r="LW27">
        <f>$LW$26+--($LV27)</f>
        <v/>
      </c>
      <c r="LX27">
        <f>IF(ROW()-3&gt;MAX($LW$4:$LW$40),"",INDEX($AI$4:$AI$40,MATCH(ROW()-3,$LW$4:$LW$40,0)))</f>
        <v/>
      </c>
      <c r="LY27">
        <f>IF(COUNTIF('Buyer Groups'!DG80:DK80,0)+COUNTIF('Buyer Groups'!DM80:EN80,0)&gt;0,0,1)</f>
        <v/>
      </c>
      <c r="LZ27">
        <f>IF($AN$27="",FALSE,SUMPRODUCT(('Final Calculation Sheet'!$E$4:$E$40=$AN$27)*($LY$6:$LY$42=1))&gt;0)</f>
        <v/>
      </c>
      <c r="MA27">
        <f>$MA$26+--($LZ27)</f>
        <v/>
      </c>
      <c r="MB27">
        <f>IF(ROW()-3&gt;MAX($MA$4:$MA$40),"",INDEX($AN$4:$AN$40,MATCH(ROW()-3,$MA$4:$MA$40,0)))</f>
        <v/>
      </c>
      <c r="MC27">
        <f>IF(COUNTIF('Buyer Groups'!DG80:DL80,0)+COUNTIF('Buyer Groups'!DN80:EN80,0)&gt;0,0,1)</f>
        <v/>
      </c>
      <c r="MD27">
        <f>IF($AS$27="",FALSE,SUMPRODUCT(('Final Calculation Sheet'!$C$4:$C$40=$AS$27)*($MC$6:$MC$42=1))&gt;0)</f>
        <v/>
      </c>
      <c r="ME27">
        <f>$ME$26+--($MD27)</f>
        <v/>
      </c>
      <c r="MF27">
        <f>IF(ROW()-3&gt;MAX($ME$4:$ME$40),"",INDEX($AS$4:$AS$40,MATCH(ROW()-3,$ME$4:$ME$40,0)))</f>
        <v/>
      </c>
      <c r="MG27">
        <f>IF(COUNTIF('Buyer Groups'!DG80:DM80,0)+COUNTIF('Buyer Groups'!DO80:EN80,0)&gt;0,0,1)</f>
        <v/>
      </c>
      <c r="MH27">
        <f>IF($AX$27="",FALSE,SUMPRODUCT(('Final Calculation Sheet'!$H$4:$H$40=$AX$27)*($MG$6:$MG$42=1))&gt;0)</f>
        <v/>
      </c>
      <c r="MI27">
        <f>$MI$26+--($MH27)</f>
        <v/>
      </c>
      <c r="MJ27">
        <f>IF(ROW()-3&gt;MAX($MI$4:$MI$40),"",INDEX($AX$4:$AX$40,MATCH(ROW()-3,$MI$4:$MI$40,0)))</f>
        <v/>
      </c>
      <c r="MK27">
        <f>IF(COUNTIF('Buyer Groups'!DG80:DN80,0)+COUNTIF('Buyer Groups'!DP80:EN80,0)&gt;0,0,1)</f>
        <v/>
      </c>
      <c r="ML27">
        <f>IF($BC$27="",FALSE,SUMPRODUCT(('Final Calculation Sheet'!$I$4:$I$40=$BC$27)*($MK$6:$MK$42=1))&gt;0)</f>
        <v/>
      </c>
      <c r="MM27">
        <f>$MM$26+--($ML27)</f>
        <v/>
      </c>
      <c r="MN27">
        <f>IF(ROW()-3&gt;MAX($MM$4:$MM$40),"",INDEX($BC$4:$BC$40,MATCH(ROW()-3,$MM$4:$MM$40,0)))</f>
        <v/>
      </c>
      <c r="MO27">
        <f>IF(COUNTIF('Buyer Groups'!DG80:DO80,0)+COUNTIF('Buyer Groups'!DQ80:EN80,0)&gt;0,0,1)</f>
        <v/>
      </c>
      <c r="MP27">
        <f>IF($BH$27="",FALSE,SUMPRODUCT(('Final Calculation Sheet'!$J$4:$J$40=$BH$27)*($MO$6:$MO$42=1))&gt;0)</f>
        <v/>
      </c>
      <c r="MQ27">
        <f>$MQ$26+--($MP27)</f>
        <v/>
      </c>
      <c r="MR27">
        <f>IF(ROW()-3&gt;MAX($MQ$4:$MQ$40),"",INDEX($BH$4:$BH$40,MATCH(ROW()-3,$MQ$4:$MQ$40,0)))</f>
        <v/>
      </c>
      <c r="MS27">
        <f>IF(COUNTIF('Buyer Groups'!DG80:DP80,0)+COUNTIF('Buyer Groups'!DR80:EN80,0)&gt;0,0,1)</f>
        <v/>
      </c>
      <c r="MT27">
        <f>IF($BM$27="",FALSE,SUMPRODUCT(('Final Calculation Sheet'!$K$4:$K$40=$BM$27)*($MS$6:$MS$42=1))&gt;0)</f>
        <v/>
      </c>
      <c r="MU27">
        <f>$MU$26+--($MT27)</f>
        <v/>
      </c>
      <c r="MV27">
        <f>IF(ROW()-3&gt;MAX($MU$4:$MU$40),"",INDEX($BM$4:$BM$40,MATCH(ROW()-3,$MU$4:$MU$40,0)))</f>
        <v/>
      </c>
      <c r="MW27">
        <f>IF(COUNTIF('Buyer Groups'!DG80:DQ80,0)+COUNTIF('Buyer Groups'!DS80:EN80,0)&gt;0,0,1)</f>
        <v/>
      </c>
      <c r="MX27">
        <f>IF($BR$27="",FALSE,SUMPRODUCT(('Final Calculation Sheet'!$L$4:$L$40=$BR$27)*($MW$6:$MW$42=1))&gt;0)</f>
        <v/>
      </c>
      <c r="MY27">
        <f>$MY$26+--($MX27)</f>
        <v/>
      </c>
      <c r="MZ27">
        <f>IF(ROW()-3&gt;MAX($MY$4:$MY$40),"",INDEX($BR$4:$BR$40,MATCH(ROW()-3,$MY$4:$MY$40,0)))</f>
        <v/>
      </c>
      <c r="NA27">
        <f>IF(COUNTIF('Buyer Groups'!DG80:DR80,0)+COUNTIF('Buyer Groups'!DT80:EN80,0)&gt;0,0,1)</f>
        <v/>
      </c>
      <c r="NB27">
        <f>IF($BW$27="",FALSE,SUMPRODUCT(('Final Calculation Sheet'!$M$4:$M$40=$BW$27)*($NA$6:$NA$42=1))&gt;0)</f>
        <v/>
      </c>
      <c r="NC27">
        <f>$NC$26+--($NB27)</f>
        <v/>
      </c>
      <c r="ND27">
        <f>IF(ROW()-3&gt;MAX($NC$4:$NC$40),"",INDEX($BW$4:$BW$40,MATCH(ROW()-3,$NC$4:$NC$40,0)))</f>
        <v/>
      </c>
      <c r="NE27">
        <f>IF(COUNTIF('Buyer Groups'!DG80:DS80,0)+COUNTIF('Buyer Groups'!DU80:EN80,0)&gt;0,0,1)</f>
        <v/>
      </c>
      <c r="NF27">
        <f>IF($CB$27="",FALSE,SUMPRODUCT(('Final Calculation Sheet'!$N$4:$N$40=$CB$27)*($NE$6:$NE$42=1))&gt;0)</f>
        <v/>
      </c>
      <c r="NG27">
        <f>$NG$26+--($NF27)</f>
        <v/>
      </c>
      <c r="NH27">
        <f>IF(ROW()-3&gt;MAX($NG$4:$NG$40),"",INDEX($CB$4:$CB$40,MATCH(ROW()-3,$NG$4:$NG$40,0)))</f>
        <v/>
      </c>
      <c r="NI27">
        <f>IF(COUNTIF('Buyer Groups'!DG80:DT80,0)+COUNTIF('Buyer Groups'!DV80:EN80,0)&gt;0,0,1)</f>
        <v/>
      </c>
      <c r="NJ27">
        <f>IF($CG$27="",FALSE,SUMPRODUCT(('Final Calculation Sheet'!$O$4:$O$40=$CG$27)*($NI$6:$NI$42=1))&gt;0)</f>
        <v/>
      </c>
      <c r="NK27">
        <f>$NK$26+--($NJ27)</f>
        <v/>
      </c>
      <c r="NL27">
        <f>IF(ROW()-3&gt;MAX($NK$4:$NK$40),"",INDEX($CG$4:$CG$40,MATCH(ROW()-3,$NK$4:$NK$40,0)))</f>
        <v/>
      </c>
      <c r="NM27">
        <f>IF(COUNTIF('Buyer Groups'!DG80:DU80,0)+COUNTIF('Buyer Groups'!DW80:EN80,0)&gt;0,0,1)</f>
        <v/>
      </c>
      <c r="NN27">
        <f>IF($CL$27="",FALSE,SUMPRODUCT(('Final Calculation Sheet'!$P$4:$P$40=$CL$27)*($NM$6:$NM$42=1))&gt;0)</f>
        <v/>
      </c>
      <c r="NO27">
        <f>$NO$26+--($NN27)</f>
        <v/>
      </c>
      <c r="NP27">
        <f>IF(ROW()-3&gt;MAX($NO$4:$NO$40),"",INDEX($CL$4:$CL$40,MATCH(ROW()-3,$NO$4:$NO$40,0)))</f>
        <v/>
      </c>
      <c r="NQ27">
        <f>IF(COUNTIF('Buyer Groups'!DG80:DV80,0)+COUNTIF('Buyer Groups'!DX80:EN80,0)&gt;0,0,1)</f>
        <v/>
      </c>
      <c r="NR27">
        <f>IF($CQ$27="",FALSE,SUMPRODUCT(('Final Calculation Sheet'!$Q$4:$Q$40=$CQ$27)*($NQ$6:$NQ$42=1))&gt;0)</f>
        <v/>
      </c>
      <c r="NS27">
        <f>$NS$26+--($NR27)</f>
        <v/>
      </c>
      <c r="NT27">
        <f>IF(ROW()-3&gt;MAX($NS$4:$NS$40),"",INDEX($CQ$4:$CQ$40,MATCH(ROW()-3,$NS$4:$NS$40,0)))</f>
        <v/>
      </c>
      <c r="NU27">
        <f>IF(COUNTIF('Buyer Groups'!DG80:DW80,0)+COUNTIF('Buyer Groups'!DY80:EN80,0)&gt;0,0,1)</f>
        <v/>
      </c>
      <c r="NV27">
        <f>IF($CV$27="",FALSE,SUMPRODUCT(('Final Calculation Sheet'!$R$4:$R$40=$CV$27)*($NU$6:$NU$42=1))&gt;0)</f>
        <v/>
      </c>
      <c r="NW27">
        <f>$NW$26+--($NV27)</f>
        <v/>
      </c>
      <c r="NX27">
        <f>IF(ROW()-3&gt;MAX($NW$4:$NW$40),"",INDEX($CV$4:$CV$40,MATCH(ROW()-3,$NW$4:$NW$40,0)))</f>
        <v/>
      </c>
      <c r="NY27">
        <f>IF(COUNTIF('Buyer Groups'!DG80:DX80,0)+COUNTIF('Buyer Groups'!DZ80:EN80,0)&gt;0,0,1)</f>
        <v/>
      </c>
      <c r="NZ27">
        <f>IF($DA$27="",FALSE,SUMPRODUCT(('Final Calculation Sheet'!$S$4:$S$40=$DA$27)*($NY$6:$NY$42=1))&gt;0)</f>
        <v/>
      </c>
      <c r="OA27">
        <f>$OA$26+--($NZ27)</f>
        <v/>
      </c>
      <c r="OB27">
        <f>IF(ROW()-3&gt;MAX($OA$4:$OA$40),"",INDEX($DA$4:$DA$40,MATCH(ROW()-3,$OA$4:$OA$40,0)))</f>
        <v/>
      </c>
      <c r="OC27">
        <f>IF(COUNTIF('Buyer Groups'!DG80:DY80,0)+COUNTIF('Buyer Groups'!EA80:EN80,0)&gt;0,0,1)</f>
        <v/>
      </c>
      <c r="OD27">
        <f>IF($DF$27="",FALSE,SUMPRODUCT(('Final Calculation Sheet'!$T$4:$T$40=$DF$27)*($OC$6:$OC$42=1))&gt;0)</f>
        <v/>
      </c>
      <c r="OE27">
        <f>$OE$26+--($OD27)</f>
        <v/>
      </c>
      <c r="OF27">
        <f>IF(ROW()-3&gt;MAX($OE$4:$OE$40),"",INDEX($DF$4:$DF$40,MATCH(ROW()-3,$OE$4:$OE$40,0)))</f>
        <v/>
      </c>
      <c r="OG27">
        <f>IF(COUNTIF('Buyer Groups'!DG80:DZ80,0)+COUNTIF('Buyer Groups'!EB80:EN80,0)&gt;0,0,1)</f>
        <v/>
      </c>
      <c r="OH27">
        <f>IF($DK$27="",FALSE,SUMPRODUCT(('Final Calculation Sheet'!$U$4:$U$40=$DK$27)*($OG$6:$OG$42=1))&gt;0)</f>
        <v/>
      </c>
      <c r="OI27">
        <f>$OI$26+--($OH27)</f>
        <v/>
      </c>
      <c r="OJ27">
        <f>IF(ROW()-3&gt;MAX($OI$4:$OI$40),"",INDEX($DK$4:$DK$40,MATCH(ROW()-3,$OI$4:$OI$40,0)))</f>
        <v/>
      </c>
      <c r="OK27">
        <f>IF(COUNTIF('Buyer Groups'!DG80:EA80,0)+COUNTIF('Buyer Groups'!EC80:EN80,0)&gt;0,0,1)</f>
        <v/>
      </c>
      <c r="OL27">
        <f>IF($DP$27="",FALSE,SUMPRODUCT(('Final Calculation Sheet'!$V$4:$V$40=$DP$27)*($OK$6:$OK$42=1))&gt;0)</f>
        <v/>
      </c>
      <c r="OM27">
        <f>$OM$26+--($OL27)</f>
        <v/>
      </c>
      <c r="ON27">
        <f>IF(ROW()-3&gt;MAX($OM$4:$OM$40),"",INDEX($DP$4:$DP$40,MATCH(ROW()-3,$OM$4:$OM$40,0)))</f>
        <v/>
      </c>
      <c r="OO27">
        <f>IF(COUNTIF('Buyer Groups'!DG80:EB80,0)+COUNTIF('Buyer Groups'!ED80:EN80,0)&gt;0,0,1)</f>
        <v/>
      </c>
      <c r="OP27">
        <f>IF($DU$27="",FALSE,SUMPRODUCT(('Final Calculation Sheet'!$W$4:$W$40=$DU$27)*($OO$6:$OO$42=1))&gt;0)</f>
        <v/>
      </c>
      <c r="OQ27">
        <f>$OQ$26+--($OP27)</f>
        <v/>
      </c>
      <c r="OR27">
        <f>IF(ROW()-3&gt;MAX($OQ$4:$OQ$40),"",INDEX($DU$4:$DU$40,MATCH(ROW()-3,$OQ$4:$OQ$40,0)))</f>
        <v/>
      </c>
      <c r="OS27">
        <f>IF(COUNTIF('Buyer Groups'!DG80:EC80,0)+COUNTIF('Buyer Groups'!EE80:EN80,0)&gt;0,0,1)</f>
        <v/>
      </c>
      <c r="OT27">
        <f>IF($DZ$27="",FALSE,SUMPRODUCT(('Final Calculation Sheet'!$X$4:$X$40=$DZ$27)*($OS$6:$OS$42=1))&gt;0)</f>
        <v/>
      </c>
      <c r="OU27">
        <f>$OU$26+--($OT27)</f>
        <v/>
      </c>
      <c r="OV27">
        <f>IF(ROW()-3&gt;MAX($OU$4:$OU$40),"",INDEX($DZ$4:$DZ$40,MATCH(ROW()-3,$OU$4:$OU$40,0)))</f>
        <v/>
      </c>
      <c r="OW27">
        <f>IF(COUNTIF('Buyer Groups'!DG80:ED80,0)+COUNTIF('Buyer Groups'!EF80:EN80,0)&gt;0,0,1)</f>
        <v/>
      </c>
      <c r="OX27">
        <f>IF($EE$27="",FALSE,SUMPRODUCT(('Final Calculation Sheet'!$Y$4:$Y$40=$EE$27)*($OW$6:$OW$42=1))&gt;0)</f>
        <v/>
      </c>
      <c r="OY27">
        <f>$OY$26+--($OX27)</f>
        <v/>
      </c>
      <c r="OZ27">
        <f>IF(ROW()-3&gt;MAX($OY$4:$OY$40),"",INDEX($EE$4:$EE$40,MATCH(ROW()-3,$OY$4:$OY$40,0)))</f>
        <v/>
      </c>
      <c r="PA27">
        <f>IF(COUNTIF('Buyer Groups'!DG80:EE80,0)+COUNTIF('Buyer Groups'!EG80:EN80,0)&gt;0,0,1)</f>
        <v/>
      </c>
      <c r="PB27">
        <f>IF($EJ$27="",FALSE,SUMPRODUCT(('Final Calculation Sheet'!$Z$4:$Z$40=$EJ$27)*($PA$6:$PA$42=1))&gt;0)</f>
        <v/>
      </c>
      <c r="PC27">
        <f>$PC$26+--($PB27)</f>
        <v/>
      </c>
      <c r="PD27">
        <f>IF(ROW()-3&gt;MAX($PC$4:$PC$40),"",INDEX($EJ$4:$EJ$40,MATCH(ROW()-3,$PC$4:$PC$40,0)))</f>
        <v/>
      </c>
      <c r="PE27">
        <f>IF(COUNTIF('Buyer Groups'!DG80:EF80,0)+COUNTIF('Buyer Groups'!EH80:EN80,0)&gt;0,0,1)</f>
        <v/>
      </c>
      <c r="PF27">
        <f>IF($EO$27="",FALSE,SUMPRODUCT(('Final Calculation Sheet'!$AA$4:$AA$40=$EO$27)*($PE$6:$PE$42=1))&gt;0)</f>
        <v/>
      </c>
      <c r="PG27">
        <f>$PG$26+--($PF27)</f>
        <v/>
      </c>
      <c r="PH27">
        <f>IF(ROW()-3&gt;MAX($PG$4:$PG$40),"",INDEX($EO$4:$EO$40,MATCH(ROW()-3,$PG$4:$PG$40,0)))</f>
        <v/>
      </c>
      <c r="PI27">
        <f>IF(COUNTIF('Buyer Groups'!DG80:EG80,0)+COUNTIF('Buyer Groups'!EI80:EN80,0)&gt;0,0,1)</f>
        <v/>
      </c>
      <c r="PJ27">
        <f>IF($ET$27="",FALSE,SUMPRODUCT(('Final Calculation Sheet'!$AB$4:$AB$40=$ET$27)*($PI$6:$PI$42=1))&gt;0)</f>
        <v/>
      </c>
      <c r="PK27">
        <f>$PK$26+--($PJ27)</f>
        <v/>
      </c>
      <c r="PL27">
        <f>IF(ROW()-3&gt;MAX($PK$4:$PK$40),"",INDEX($ET$4:$ET$40,MATCH(ROW()-3,$PK$4:$PK$40,0)))</f>
        <v/>
      </c>
      <c r="PM27">
        <f>IF(COUNTIF('Buyer Groups'!DG80:EH80,0)+COUNTIF('Buyer Groups'!EJ80:EN80,0)&gt;0,0,1)</f>
        <v/>
      </c>
      <c r="PN27">
        <f>IF($EY$27="",FALSE,SUMPRODUCT(('Final Calculation Sheet'!$AC$4:$AC$40=$EY$27)*($PM$6:$PM$42=1))&gt;0)</f>
        <v/>
      </c>
      <c r="PO27">
        <f>$PO$26+--($PN27)</f>
        <v/>
      </c>
      <c r="PP27">
        <f>IF(ROW()-3&gt;MAX($PO$4:$PO$40),"",INDEX($EY$4:$EY$40,MATCH(ROW()-3,$PO$4:$PO$40,0)))</f>
        <v/>
      </c>
      <c r="PQ27">
        <f>IF(COUNTIF('Buyer Groups'!DG80:EI80,0)+COUNTIF('Buyer Groups'!EK80:EN80,0)&gt;0,0,1)</f>
        <v/>
      </c>
      <c r="PR27">
        <f>IF($FD$27="",FALSE,SUMPRODUCT(('Final Calculation Sheet'!$AD$4:$AD$40=$FD$27)*($PQ$6:$PQ$42=1))&gt;0)</f>
        <v/>
      </c>
      <c r="PS27">
        <f>$PS$26+--($PR27)</f>
        <v/>
      </c>
      <c r="PT27">
        <f>IF(ROW()-3&gt;MAX($PS$4:$PS$40),"",INDEX($FD$4:$FD$40,MATCH(ROW()-3,$PS$4:$PS$40,0)))</f>
        <v/>
      </c>
      <c r="PU27">
        <f>IF(COUNTIF('Buyer Groups'!DG80:EJ80,0)+COUNTIF('Buyer Groups'!EL80:EN80,0)&gt;0,0,1)</f>
        <v/>
      </c>
      <c r="PV27">
        <f>IF($FX$27="",FALSE,SUMPRODUCT((IF('Final Calculation Sheet'!$AD$4:$AD$40&lt;=5,"SETTLED","OUTSTANDING")=$FX$27)*($PU$6:$PU$42=1))&gt;0)</f>
        <v/>
      </c>
      <c r="PW27">
        <f>$PW$26+--($PV27)</f>
        <v/>
      </c>
      <c r="PX27">
        <f>IF(ROW()-3&gt;MAX($PW$4:$PW$40),"",INDEX($FX$4:$FX$40,MATCH(ROW()-3,$PW$4:$PW$40,0)))</f>
        <v/>
      </c>
      <c r="PY27">
        <f>IF(COUNTIF('Buyer Groups'!DG80:EK80,0)+COUNTIF('Buyer Groups'!EM80:EN80,0)&gt;0,0,1)</f>
        <v/>
      </c>
      <c r="PZ27">
        <f>IF($FI$27="",FALSE,SUMPRODUCT(('Final Calculation Sheet'!$AF$4:$AF$40=$FI$27)*($PY$6:$PY$42=1))&gt;0)</f>
        <v/>
      </c>
      <c r="QA27">
        <f>$QA$26+--($PZ27)</f>
        <v/>
      </c>
      <c r="QB27">
        <f>IF(ROW()-3&gt;MAX($QA$4:$QA$40),"",INDEX($FI$4:$FI$40,MATCH(ROW()-3,$QA$4:$QA$40,0)))</f>
        <v/>
      </c>
      <c r="QC27">
        <f>IF(COUNTIF('Buyer Groups'!DG80:EL80,0)+COUNTIF('Buyer Groups'!EN80:EN80,0)&gt;0,0,1)</f>
        <v/>
      </c>
      <c r="QD27">
        <f>IF($FN$27="",FALSE,SUMPRODUCT(('Final Calculation Sheet'!$AG$4:$AG$40=$FN$27)*($QC$6:$QC$42=1))&gt;0)</f>
        <v/>
      </c>
      <c r="QE27">
        <f>$QE$26+--($QD27)</f>
        <v/>
      </c>
      <c r="QF27">
        <f>IF(ROW()-3&gt;MAX($QE$4:$QE$40),"",INDEX($FN$4:$FN$40,MATCH(ROW()-3,$QE$4:$QE$40,0)))</f>
        <v/>
      </c>
      <c r="QG27">
        <f>IF(COUNTIF('Buyer Groups'!DG80:EM80,0)&gt;0,0,1)</f>
        <v/>
      </c>
      <c r="QH27">
        <f>IF($FS$27="",FALSE,SUMPRODUCT(('Final Calculation Sheet'!$AH$4:$AH$40=$FS$27)*($QG$6:$QG$42=1))&gt;0)</f>
        <v/>
      </c>
      <c r="QI27">
        <f>$QI$26+--($QH27)</f>
        <v/>
      </c>
      <c r="QJ27">
        <f>IF(ROW()-3&gt;MAX($QI$4:$QI$40),"",INDEX($FS$4:$FS$40,MATCH(ROW()-3,$QI$4:$QI$40,0)))</f>
        <v/>
      </c>
      <c r="QK27" t="str">
        <f>IF('Final Calculation Sheet'!$AH$27="","",'Final Calculation Sheet'!$AH$27)</f>
      </c>
      <c r="QL27" t="str">
        <f>IF(QK27="","",COUNTIFS(QK$4:QK$40,"&lt;"&amp;QK27,QK$4:QK$40,"&lt;&gt;"&amp;"")+COUNTIF(QK$4:QK27,QK27))</f>
      </c>
      <c r="QM27" t="str">
        <f>IF(ROW()-3&gt;COUNTIF(QK$4:QK$40,"&lt;&gt;"&amp;""),"",INDEX(QK$4:QK$40,MATCH(ROW()-3,QL$4:QL$40,0)))</f>
      </c>
      <c r="QN27" t="str">
        <f>=QN26+F(AND(QM27&lt;&gt;"",COUNTIF(QM$4:QM27,QM27)=1),1,0)</f>
      </c>
      <c r="QO27" t="str">
        <f>IF(ROW()-3&gt;MAX(QN$4:QN$40),"",INDEX(QM$4:QM$40,MATCH(ROW()-3,QN$4:QN$40,0)))</f>
      </c>
      <c r="QP27" t="str">
        <f>IF(COUNTIF('Final Calculation Sheet'!$AM27:$BS27,0)&gt;0,0,1)</f>
      </c>
      <c r="QQ27" t="str">
        <f>IF($AI$27="",FALSE,SUMPRODUCT(('Final Calculation Sheet'!$A$4:$A$40=$AI$27)*($QP$4:$QP$40=1))&gt;0)</f>
      </c>
      <c r="QR27" t="str">
        <f>=$QR26+--($QQ27)</f>
      </c>
      <c r="QS27" t="str">
        <f>IF(ROW()-3&gt;MAX($QR$4:$QR$40),"",INDEX($AI$4:$AI$40,MATCH(ROW()-3,$QR$4:$QR$40,0)))</f>
      </c>
      <c r="QT27" t="str">
        <f>IF(COUNTIF('Final Calculation Sheet'!$AL27:$AL27,0)+COUNTIF('Final Calculation Sheet'!$AN27:$BS27,0)&gt;0,0,1)</f>
      </c>
      <c r="QU27" t="str">
        <f>IF($Y$27="",FALSE,SUMPRODUCT(('Final Calculation Sheet'!$B$4:$B$40=$Y$27)*($QT$4:$QT$40=1))&gt;0)</f>
      </c>
      <c r="QV27" t="str">
        <f>=$QV26+--($QU27)</f>
      </c>
      <c r="QW27" t="str">
        <f>IF(ROW()-3&gt;MAX($QV$4:$QV$40),"",INDEX($Y$4:$Y$40,MATCH(ROW()-3,$QV$4:$QV$40,0)))</f>
      </c>
      <c r="QX27" t="str">
        <f>IF(COUNTIF('Final Calculation Sheet'!$AL27:$AM27,0)+COUNTIF('Final Calculation Sheet'!$AO27:$BS27,0)&gt;0,0,1)</f>
      </c>
      <c r="QY27" t="str">
        <f>IF($AS$27="",FALSE,SUMPRODUCT(('Final Calculation Sheet'!$C$4:$C$40=$AS$27)*($QX$4:$QX$40=1))&gt;0)</f>
      </c>
      <c r="QZ27" t="str">
        <f>=$QZ26+--($QY27)</f>
      </c>
      <c r="RA27" t="str">
        <f>IF(ROW()-3&gt;MAX($QZ$4:$QZ$40),"",INDEX($AS$4:$AS$40,MATCH(ROW()-3,$QZ$4:$QZ$40,0)))</f>
      </c>
      <c r="RB27" t="str">
        <f>IF(COUNTIF('Final Calculation Sheet'!$AL27:$AN27,0)+COUNTIF('Final Calculation Sheet'!$AP27:$BS27,0)&gt;0,0,1)</f>
      </c>
      <c r="RC27" t="str">
        <f>IF($AD$27="",FALSE,SUMPRODUCT(('Final Calculation Sheet'!$D$4:$D$40=$AD$27)*($RB$4:$RB$40=1))&gt;0)</f>
      </c>
      <c r="RD27" t="str">
        <f>=$RD26+--($RC27)</f>
      </c>
      <c r="RE27" t="str">
        <f>IF(ROW()-3&gt;MAX($RD$4:$RD$40),"",INDEX($AD$4:$AD$40,MATCH(ROW()-3,$RD$4:$RD$40,0)))</f>
      </c>
      <c r="RF27" t="str">
        <f>IF(COUNTIF('Final Calculation Sheet'!$AL27:$AO27,0)+COUNTIF('Final Calculation Sheet'!$AQ27:$BS27,0)&gt;0,0,1)</f>
      </c>
      <c r="RG27" t="str">
        <f>IF($AN$27="",FALSE,SUMPRODUCT(('Final Calculation Sheet'!$E$4:$E$40=$AN$27)*($RF$4:$RF$40=1))&gt;0)</f>
      </c>
      <c r="RH27" t="str">
        <f>=$RH26+--($RG27)</f>
      </c>
      <c r="RI27" t="str">
        <f>IF(ROW()-3&gt;MAX($RH$4:$RH$40),"",INDEX($AN$4:$AN$40,MATCH(ROW()-3,$RH$4:$RH$40,0)))</f>
      </c>
      <c r="RJ27" t="str">
        <f>IF(COUNTIF('Final Calculation Sheet'!$AL27:$AP27,0)+COUNTIF('Final Calculation Sheet'!$AR27:$BS27,0)&gt;0,0,1)</f>
      </c>
      <c r="RK27" t="str">
        <f>IF($O$27="",FALSE,SUMPRODUCT(('Final Calculation Sheet'!$F$4:$F$40=$O$27)*($RJ$4:$RJ$40=1))&gt;0)</f>
      </c>
      <c r="RL27" t="str">
        <f>=$RL26+--($RK27)</f>
      </c>
      <c r="RM27" t="str">
        <f>IF(ROW()-3&gt;MAX($RL$4:$RL$40),"",INDEX($O$4:$O$40,MATCH(ROW()-3,$RL$4:$RL$40,0)))</f>
      </c>
      <c r="RN27" t="str">
        <f>IF(COUNTIF('Final Calculation Sheet'!$AL27:$AQ27,0)+COUNTIF('Final Calculation Sheet'!$AS27:$BS27,0)&gt;0,0,1)</f>
      </c>
      <c r="RO27" t="str">
        <f>IF($T$27="",FALSE,SUMPRODUCT(('Final Calculation Sheet'!$G$4:$G$40=$T$27)*($RN$4:$RN$40=1))&gt;0)</f>
      </c>
      <c r="RP27" t="str">
        <f>=$RP26+--($RO27)</f>
      </c>
      <c r="RQ27" t="str">
        <f>IF(ROW()-3&gt;MAX($RP$4:$RP$40),"",INDEX($T$4:$T$40,MATCH(ROW()-3,$RP$4:$RP$40,0)))</f>
      </c>
      <c r="RR27" t="str">
        <f>IF(COUNTIF('Final Calculation Sheet'!$AL27:$AR27,0)+COUNTIF('Final Calculation Sheet'!$AT27:$BS27,0)&gt;0,0,1)</f>
      </c>
      <c r="RS27" t="str">
        <f>IF($AX$27="",FALSE,SUMPRODUCT(('Final Calculation Sheet'!$H$4:$H$40=$AX$27)*($RR$4:$RR$40=1))&gt;0)</f>
      </c>
      <c r="RT27" t="str">
        <f>=$RT26+--($RS27)</f>
      </c>
      <c r="RU27" t="str">
        <f>IF(ROW()-3&gt;MAX($RT$4:$RT$40),"",INDEX($AX$4:$AX$40,MATCH(ROW()-3,$RT$4:$RT$40,0)))</f>
      </c>
      <c r="RV27" t="str">
        <f>IF(COUNTIF('Final Calculation Sheet'!$AL27:$AS27,0)+COUNTIF('Final Calculation Sheet'!$AU27:$BS27,0)&gt;0,0,1)</f>
      </c>
      <c r="RW27" t="str">
        <f>IF($BC$27="",FALSE,SUMPRODUCT(('Final Calculation Sheet'!$I$4:$I$40=$BC$27)*($RV$4:$RV$40=1))&gt;0)</f>
      </c>
      <c r="RX27" t="str">
        <f>=$RX26+--($RW27)</f>
      </c>
      <c r="RY27" t="str">
        <f>IF(ROW()-3&gt;MAX($RX$4:$RX$40),"",INDEX($BC$4:$BC$40,MATCH(ROW()-3,$RX$4:$RX$40,0)))</f>
      </c>
      <c r="RZ27" t="str">
        <f>IF(COUNTIF('Final Calculation Sheet'!$AL27:$AT27,0)+COUNTIF('Final Calculation Sheet'!$AV27:$BS27,0)&gt;0,0,1)</f>
      </c>
      <c r="SA27" t="str">
        <f>IF($BH$27="",FALSE,SUMPRODUCT(('Final Calculation Sheet'!$J$4:$J$40=$BH$27)*($RZ$4:$RZ$40=1))&gt;0)</f>
      </c>
      <c r="SB27" t="str">
        <f>=$SB26+--($SA27)</f>
      </c>
      <c r="SC27" t="str">
        <f>IF(ROW()-3&gt;MAX($SB$4:$SB$40),"",INDEX($BH$4:$BH$40,MATCH(ROW()-3,$SB$4:$SB$40,0)))</f>
      </c>
      <c r="SD27" t="str">
        <f>IF(COUNTIF('Final Calculation Sheet'!$AL27:$AU27,0)+COUNTIF('Final Calculation Sheet'!$AW27:$BS27,0)&gt;0,0,1)</f>
      </c>
      <c r="SE27" t="str">
        <f>IF($BM$27="",FALSE,SUMPRODUCT(('Final Calculation Sheet'!$K$4:$K$40=$BM$27)*($SD$4:$SD$40=1))&gt;0)</f>
      </c>
      <c r="SF27" t="str">
        <f>=$SF26+--($SE27)</f>
      </c>
      <c r="SG27" t="str">
        <f>IF(ROW()-3&gt;MAX($SF$4:$SF$40),"",INDEX($BM$4:$BM$40,MATCH(ROW()-3,$SF$4:$SF$40,0)))</f>
      </c>
      <c r="SH27" t="str">
        <f>IF(COUNTIF('Final Calculation Sheet'!$AL27:$AV27,0)+COUNTIF('Final Calculation Sheet'!$AX27:$BS27,0)&gt;0,0,1)</f>
      </c>
      <c r="SI27" t="str">
        <f>IF($BR$27="",FALSE,SUMPRODUCT(('Final Calculation Sheet'!$L$4:$L$40=$BR$27)*($SH$4:$SH$40=1))&gt;0)</f>
      </c>
      <c r="SJ27" t="str">
        <f>=$SJ26+--($SI27)</f>
      </c>
      <c r="SK27" t="str">
        <f>IF(ROW()-3&gt;MAX($SJ$4:$SJ$40),"",INDEX($BR$4:$BR$40,MATCH(ROW()-3,$SJ$4:$SJ$40,0)))</f>
      </c>
      <c r="SL27" t="str">
        <f>IF(COUNTIF('Final Calculation Sheet'!$AL27:$AW27,0)+COUNTIF('Final Calculation Sheet'!$AY27:$BS27,0)&gt;0,0,1)</f>
      </c>
      <c r="SM27" t="str">
        <f>IF($BW$27="",FALSE,SUMPRODUCT(('Final Calculation Sheet'!$M$4:$M$40=$BW$27)*($SL$4:$SL$40=1))&gt;0)</f>
      </c>
      <c r="SN27" t="str">
        <f>=$SN26+--($SM27)</f>
      </c>
      <c r="SO27" t="str">
        <f>IF(ROW()-3&gt;MAX($SN$4:$SN$40),"",INDEX($BW$4:$BW$40,MATCH(ROW()-3,$SN$4:$SN$40,0)))</f>
      </c>
      <c r="SP27" t="str">
        <f>IF(COUNTIF('Final Calculation Sheet'!$AL27:$AX27,0)+COUNTIF('Final Calculation Sheet'!$AZ27:$BS27,0)&gt;0,0,1)</f>
      </c>
      <c r="SQ27" t="str">
        <f>IF($CB$27="",FALSE,SUMPRODUCT(('Final Calculation Sheet'!$N$4:$N$40=$CB$27)*($SP$4:$SP$40=1))&gt;0)</f>
      </c>
      <c r="SR27" t="str">
        <f>=$SR26+--($SQ27)</f>
      </c>
      <c r="SS27" t="str">
        <f>IF(ROW()-3&gt;MAX($SR$4:$SR$40),"",INDEX($CB$4:$CB$40,MATCH(ROW()-3,$SR$4:$SR$40,0)))</f>
      </c>
      <c r="ST27" t="str">
        <f>IF(COUNTIF('Final Calculation Sheet'!$AL27:$AY27,0)+COUNTIF('Final Calculation Sheet'!$BA27:$BS27,0)&gt;0,0,1)</f>
      </c>
      <c r="SU27" t="str">
        <f>IF($CG$27="",FALSE,SUMPRODUCT(('Final Calculation Sheet'!$O$4:$O$40=$CG$27)*($ST$4:$ST$40=1))&gt;0)</f>
      </c>
      <c r="SV27" t="str">
        <f>=$SV26+--($SU27)</f>
      </c>
      <c r="SW27" t="str">
        <f>IF(ROW()-3&gt;MAX($SV$4:$SV$40),"",INDEX($CG$4:$CG$40,MATCH(ROW()-3,$SV$4:$SV$40,0)))</f>
      </c>
      <c r="SX27" t="str">
        <f>IF(COUNTIF('Final Calculation Sheet'!$AL27:$AZ27,0)+COUNTIF('Final Calculation Sheet'!$BB27:$BS27,0)&gt;0,0,1)</f>
      </c>
      <c r="SY27" t="str">
        <f>IF($CL$27="",FALSE,SUMPRODUCT(('Final Calculation Sheet'!$P$4:$P$40=$CL$27)*($SX$4:$SX$40=1))&gt;0)</f>
      </c>
      <c r="SZ27" t="str">
        <f>=$SZ26+--($SY27)</f>
      </c>
      <c r="TA27" t="str">
        <f>IF(ROW()-3&gt;MAX($SZ$4:$SZ$40),"",INDEX($CL$4:$CL$40,MATCH(ROW()-3,$SZ$4:$SZ$40,0)))</f>
      </c>
      <c r="TB27" t="str">
        <f>IF(COUNTIF('Final Calculation Sheet'!$AL27:$BA27,0)+COUNTIF('Final Calculation Sheet'!$BC27:$BS27,0)&gt;0,0,1)</f>
      </c>
      <c r="TC27" t="str">
        <f>IF($CQ$27="",FALSE,SUMPRODUCT(('Final Calculation Sheet'!$Q$4:$Q$40=$CQ$27)*($TB$4:$TB$40=1))&gt;0)</f>
      </c>
      <c r="TD27" t="str">
        <f>=$TD26+--($TC27)</f>
      </c>
      <c r="TE27" t="str">
        <f>IF(ROW()-3&gt;MAX($TD$4:$TD$40),"",INDEX($CQ$4:$CQ$40,MATCH(ROW()-3,$TD$4:$TD$40,0)))</f>
      </c>
      <c r="TF27" t="str">
        <f>IF(COUNTIF('Final Calculation Sheet'!$AL27:$BB27,0)+COUNTIF('Final Calculation Sheet'!$BD27:$BS27,0)&gt;0,0,1)</f>
      </c>
      <c r="TG27" t="str">
        <f>IF($CV$27="",FALSE,SUMPRODUCT(('Final Calculation Sheet'!$R$4:$R$40=$CV$27)*($TF$4:$TF$40=1))&gt;0)</f>
      </c>
      <c r="TH27" t="str">
        <f>=$TH26+--($TG27)</f>
      </c>
      <c r="TI27" t="str">
        <f>IF(ROW()-3&gt;MAX($TH$4:$TH$40),"",INDEX($CV$4:$CV$40,MATCH(ROW()-3,$TH$4:$TH$40,0)))</f>
      </c>
      <c r="TJ27" t="str">
        <f>IF(COUNTIF('Final Calculation Sheet'!$AL27:$BC27,0)+COUNTIF('Final Calculation Sheet'!$BE27:$BS27,0)&gt;0,0,1)</f>
      </c>
      <c r="TK27" t="str">
        <f>IF($DA$27="",FALSE,SUMPRODUCT(('Final Calculation Sheet'!$S$4:$S$40=$DA$27)*($TJ$4:$TJ$40=1))&gt;0)</f>
      </c>
      <c r="TL27" t="str">
        <f>=$TL26+--($TK27)</f>
      </c>
      <c r="TM27" t="str">
        <f>IF(ROW()-3&gt;MAX($TL$4:$TL$40),"",INDEX($DA$4:$DA$40,MATCH(ROW()-3,$TL$4:$TL$40,0)))</f>
      </c>
      <c r="TN27" t="str">
        <f>IF(COUNTIF('Final Calculation Sheet'!$AL27:$BD27,0)+COUNTIF('Final Calculation Sheet'!$BF27:$BS27,0)&gt;0,0,1)</f>
      </c>
      <c r="TO27" t="str">
        <f>IF($DF$27="",FALSE,SUMPRODUCT(('Final Calculation Sheet'!$T$4:$T$40=$DF$27)*($TN$4:$TN$40=1))&gt;0)</f>
      </c>
      <c r="TP27" t="str">
        <f>=$TP26+--($TO27)</f>
      </c>
      <c r="TQ27" t="str">
        <f>IF(ROW()-3&gt;MAX($TP$4:$TP$40),"",INDEX($DF$4:$DF$40,MATCH(ROW()-3,$TP$4:$TP$40,0)))</f>
      </c>
      <c r="TR27" t="str">
        <f>IF(COUNTIF('Final Calculation Sheet'!$AL27:$BE27,0)+COUNTIF('Final Calculation Sheet'!$BG27:$BS27,0)&gt;0,0,1)</f>
      </c>
      <c r="TS27" t="str">
        <f>IF($DK$27="",FALSE,SUMPRODUCT(('Final Calculation Sheet'!$U$4:$U$40=$DK$27)*($TR$4:$TR$40=1))&gt;0)</f>
      </c>
      <c r="TT27" t="str">
        <f>=$TT26+--($TS27)</f>
      </c>
      <c r="TU27" t="str">
        <f>IF(ROW()-3&gt;MAX($TT$4:$TT$40),"",INDEX($DK$4:$DK$40,MATCH(ROW()-3,$TT$4:$TT$40,0)))</f>
      </c>
      <c r="TV27" t="str">
        <f>IF(COUNTIF('Final Calculation Sheet'!$AL27:$BF27,0)+COUNTIF('Final Calculation Sheet'!$BH27:$BS27,0)&gt;0,0,1)</f>
      </c>
      <c r="TW27" t="str">
        <f>IF($DP$27="",FALSE,SUMPRODUCT(('Final Calculation Sheet'!$V$4:$V$40=$DP$27)*($TV$4:$TV$40=1))&gt;0)</f>
      </c>
      <c r="TX27" t="str">
        <f>=$TX26+--($TW27)</f>
      </c>
      <c r="TY27" t="str">
        <f>IF(ROW()-3&gt;MAX($TX$4:$TX$40),"",INDEX($DP$4:$DP$40,MATCH(ROW()-3,$TX$4:$TX$40,0)))</f>
      </c>
      <c r="TZ27" t="str">
        <f>IF(COUNTIF('Final Calculation Sheet'!$AL27:$BG27,0)+COUNTIF('Final Calculation Sheet'!$BI27:$BS27,0)&gt;0,0,1)</f>
      </c>
      <c r="UA27" t="str">
        <f>IF($DU$27="",FALSE,SUMPRODUCT(('Final Calculation Sheet'!$W$4:$W$40=$DU$27)*($TZ$4:$TZ$40=1))&gt;0)</f>
      </c>
      <c r="UB27" t="str">
        <f>=$UB26+--($UA27)</f>
      </c>
      <c r="UC27" t="str">
        <f>IF(ROW()-3&gt;MAX($UB$4:$UB$40),"",INDEX($DU$4:$DU$40,MATCH(ROW()-3,$UB$4:$UB$40,0)))</f>
      </c>
      <c r="UD27" t="str">
        <f>IF(COUNTIF('Final Calculation Sheet'!$AL27:$BH27,0)+COUNTIF('Final Calculation Sheet'!$BJ27:$BS27,0)&gt;0,0,1)</f>
      </c>
      <c r="UE27" t="str">
        <f>IF($DZ$27="",FALSE,SUMPRODUCT(('Final Calculation Sheet'!$X$4:$X$40=$DZ$27)*($UD$4:$UD$40=1))&gt;0)</f>
      </c>
      <c r="UF27" t="str">
        <f>=$UF26+--($UE27)</f>
      </c>
      <c r="UG27" t="str">
        <f>IF(ROW()-3&gt;MAX($UF$4:$UF$40),"",INDEX($DZ$4:$DZ$40,MATCH(ROW()-3,$UF$4:$UF$40,0)))</f>
      </c>
      <c r="UH27" t="str">
        <f>IF(COUNTIF('Final Calculation Sheet'!$AL27:$BI27,0)+COUNTIF('Final Calculation Sheet'!$BK27:$BS27,0)&gt;0,0,1)</f>
      </c>
      <c r="UI27" t="str">
        <f>IF($EE$27="",FALSE,SUMPRODUCT(('Final Calculation Sheet'!$Y$4:$Y$40=$EE$27)*($UH$4:$UH$40=1))&gt;0)</f>
      </c>
      <c r="UJ27" t="str">
        <f>=$UJ26+--($UI27)</f>
      </c>
      <c r="UK27" t="str">
        <f>IF(ROW()-3&gt;MAX($UJ$4:$UJ$40),"",INDEX($EE$4:$EE$40,MATCH(ROW()-3,$UJ$4:$UJ$40,0)))</f>
      </c>
      <c r="UL27" t="str">
        <f>IF(COUNTIF('Final Calculation Sheet'!$AL27:$BJ27,0)+COUNTIF('Final Calculation Sheet'!$BL27:$BS27,0)&gt;0,0,1)</f>
      </c>
      <c r="UM27" t="str">
        <f>IF($EJ$27="",FALSE,SUMPRODUCT(('Final Calculation Sheet'!$Z$4:$Z$40=$EJ$27)*($UL$4:$UL$40=1))&gt;0)</f>
      </c>
      <c r="UN27" t="str">
        <f>=$UN26+--($UM27)</f>
      </c>
      <c r="UO27" t="str">
        <f>IF(ROW()-3&gt;MAX($UN$4:$UN$40),"",INDEX($EJ$4:$EJ$40,MATCH(ROW()-3,$UN$4:$UN$40,0)))</f>
      </c>
      <c r="UP27" t="str">
        <f>IF(COUNTIF('Final Calculation Sheet'!$AL27:$BK27,0)+COUNTIF('Final Calculation Sheet'!$BM27:$BS27,0)&gt;0,0,1)</f>
      </c>
      <c r="UQ27" t="str">
        <f>IF($EO$27="",FALSE,SUMPRODUCT(('Final Calculation Sheet'!$AA$4:$AA$40=$EO$27)*($UP$4:$UP$40=1))&gt;0)</f>
      </c>
      <c r="UR27" t="str">
        <f>=$UR26+--($UQ27)</f>
      </c>
      <c r="US27" t="str">
        <f>IF(ROW()-3&gt;MAX($UR$4:$UR$40),"",INDEX($EO$4:$EO$40,MATCH(ROW()-3,$UR$4:$UR$40,0)))</f>
      </c>
      <c r="UT27" t="str">
        <f>IF(COUNTIF('Final Calculation Sheet'!$AL27:$BL27,0)+COUNTIF('Final Calculation Sheet'!$BN27:$BS27,0)&gt;0,0,1)</f>
      </c>
      <c r="UU27" t="str">
        <f>IF($ET$27="",FALSE,SUMPRODUCT(('Final Calculation Sheet'!$AB$4:$AB$40=$ET$27)*($UT$4:$UT$40=1))&gt;0)</f>
      </c>
      <c r="UV27" t="str">
        <f>=$UV26+--($UU27)</f>
      </c>
      <c r="UW27" t="str">
        <f>IF(ROW()-3&gt;MAX($UV$4:$UV$40),"",INDEX($ET$4:$ET$40,MATCH(ROW()-3,$UV$4:$UV$40,0)))</f>
      </c>
      <c r="UX27" t="str">
        <f>IF(COUNTIF('Final Calculation Sheet'!$AL27:$BM27,0)+COUNTIF('Final Calculation Sheet'!$BO27:$BS27,0)&gt;0,0,1)</f>
      </c>
      <c r="UY27" t="str">
        <f>IF($EY$27="",FALSE,SUMPRODUCT(('Final Calculation Sheet'!$AC$4:$AC$40=$EY$27)*($UX$4:$UX$40=1))&gt;0)</f>
      </c>
      <c r="UZ27" t="str">
        <f>=$UZ26+--($UY27)</f>
      </c>
      <c r="VA27" t="str">
        <f>IF(ROW()-3&gt;MAX($UZ$4:$UZ$40),"",INDEX($EY$4:$EY$40,MATCH(ROW()-3,$UZ$4:$UZ$40,0)))</f>
      </c>
      <c r="VB27" t="str">
        <f>IF(COUNTIF('Final Calculation Sheet'!$AL27:$BN27,0)+COUNTIF('Final Calculation Sheet'!$BP27:$BS27,0)&gt;0,0,1)</f>
      </c>
      <c r="VC27" t="str">
        <f>IF($FD$27="",FALSE,SUMPRODUCT(('Final Calculation Sheet'!$AD$4:$AD$40=$FD$27)*($VB$4:$VB$40=1))&gt;0)</f>
      </c>
      <c r="VD27" t="str">
        <f>=$VD26+--($VC27)</f>
      </c>
      <c r="VE27" t="str">
        <f>IF(ROW()-3&gt;MAX($VD$4:$VD$40),"",INDEX($FD$4:$FD$40,MATCH(ROW()-3,$VD$4:$VD$40,0)))</f>
      </c>
      <c r="VF27" t="str">
        <f>IF(COUNTIF('Final Calculation Sheet'!$AL27:$BO27,0)+COUNTIF('Final Calculation Sheet'!$BQ27:$BS27,0)&gt;0,0,1)</f>
      </c>
      <c r="VG27" t="str">
        <f>IF($FI$27="",FALSE,SUMPRODUCT(('Final Calculation Sheet'!$AE$4:$AE$40=$FI$27)*($VF$4:$VF$40=1))&gt;0)</f>
      </c>
      <c r="VH27" t="str">
        <f>=$VH26+--($VG27)</f>
      </c>
      <c r="VI27" t="str">
        <f>IF(ROW()-3&gt;MAX($VH$4:$VH$40),"",INDEX($FI$4:$FI$40,MATCH(ROW()-3,$VH$4:$VH$40,0)))</f>
      </c>
      <c r="VJ27" t="str">
        <f>IF(COUNTIF('Final Calculation Sheet'!$AL27:$BP27,0)+COUNTIF('Final Calculation Sheet'!$BR27:$BS27,0)&gt;0,0,1)</f>
      </c>
      <c r="VK27" t="str">
        <f>IF($FN$27="",FALSE,SUMPRODUCT(('Final Calculation Sheet'!$AF$4:$AF$40=$FN$27)*($VJ$4:$VJ$40=1))&gt;0)</f>
      </c>
      <c r="VL27" t="str">
        <f>=$VL26+--($VK27)</f>
      </c>
      <c r="VM27" t="str">
        <f>IF(ROW()-3&gt;MAX($VL$4:$VL$40),"",INDEX($FN$4:$FN$40,MATCH(ROW()-3,$VL$4:$VL$40,0)))</f>
      </c>
      <c r="VN27" t="str">
        <f>IF(COUNTIF('Final Calculation Sheet'!$AL27:$BQ27,0)+COUNTIF('Final Calculation Sheet'!$BS27:$BS27,0)&gt;0,0,1)</f>
      </c>
      <c r="VO27" t="str">
        <f>IF($FS$27="",FALSE,SUMPRODUCT(('Final Calculation Sheet'!$AG$4:$AG$40=$FS$27)*($VN$4:$VN$40=1))&gt;0)</f>
      </c>
      <c r="VP27" t="str">
        <f>=$VP26+--($VO27)</f>
      </c>
      <c r="VQ27" t="str">
        <f>IF(ROW()-3&gt;MAX($VP$4:$VP$40),"",INDEX($FS$4:$FS$40,MATCH(ROW()-3,$VP$4:$VP$40,0)))</f>
      </c>
      <c r="VR27" t="str">
        <f>IF(COUNTIF('Final Calculation Sheet'!$AL27:$BR27,0)&gt;0,0,1)</f>
      </c>
      <c r="VS27" t="str">
        <f>IF($QO$27="",FALSE,SUMPRODUCT(('Final Calculation Sheet'!$AH$4:$AH$40=$QO$27)*($VR$4:$VR$40=1))&gt;0)</f>
      </c>
      <c r="VT27" t="str">
        <f>=$VT26+--($VS27)</f>
      </c>
      <c r="VU27" t="str">
        <f>IF(ROW()-3&gt;MAX($VT$4:$VT$40),"",INDEX($QO$4:$QO$40,MATCH(ROW()-3,$VT$4:$VT$40,0)))</f>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IF(COUNTIF('Live Search'!BM$27:BM$27,0)+COUNTIF('Live Search'!B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D28">
        <f>IF($O$28="",FALSE,SUMPRODUCT(('Final Calculation Sheet'!$F$4:$F$40=$O$28)*($GC$6:$GC$42=1))&gt;0)</f>
        <v/>
      </c>
      <c r="GE28">
        <f>$GE$27+--($GD28)</f>
        <v/>
      </c>
      <c r="GF28">
        <f>IF(ROW()-3&gt;MAX($GE$4:$GE$40),"",INDEX($O$4:$O$40,MATCH(ROW()-3,$GE$4:$GE$40,0)))</f>
        <v/>
      </c>
      <c r="GG28">
        <f>IF(COUNTIF('Live Search'!BM$27:BN$27,0)+COUNTIF('Live Search'!B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H28">
        <f>IF($T$28="",FALSE,SUMPRODUCT(('Final Calculation Sheet'!$G$4:$G$40=$T$28)*($GG$6:$GG$42=1))&gt;0)</f>
        <v/>
      </c>
      <c r="GI28">
        <f>$GI$27+--($GH28)</f>
        <v/>
      </c>
      <c r="GJ28">
        <f>IF(ROW()-3&gt;MAX($GI$4:$GI$40),"",INDEX($T$4:$T$40,MATCH(ROW()-3,$GI$4:$GI$40,0)))</f>
        <v/>
      </c>
      <c r="GK28">
        <f>IF(COUNTIF('Live Search'!BM$27:BP$27,0)+COUNTIF('Live Search'!B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L28">
        <f>IF($AD$28="",FALSE,SUMPRODUCT(('Final Calculation Sheet'!$D$4:$D$40=$AD$28)*($GK$6:$GK$42=1))&gt;0)</f>
        <v/>
      </c>
      <c r="GM28">
        <f>$GM$27+--($GL28)</f>
        <v/>
      </c>
      <c r="GN28">
        <f>IF(ROW()-3&gt;MAX($GM$4:$GM$40),"",INDEX($AD$4:$AD$40,MATCH(ROW()-3,$GM$4:$GM$40,0)))</f>
        <v/>
      </c>
      <c r="GO28">
        <f>IF(COUNTIF('Live Search'!BM$27:BQ$27,0)+COUNTIF('Live Search'!B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P28">
        <f>IF($AI$28="",FALSE,SUMPRODUCT(('Final Calculation Sheet'!$A$4:$A$40=$AI$28)*($GO$6:$GO$42=1))&gt;0)</f>
        <v/>
      </c>
      <c r="GQ28">
        <f>$GQ$27+--($GP28)</f>
        <v/>
      </c>
      <c r="GR28">
        <f>IF(ROW()-3&gt;MAX($GQ$4:$GQ$40),"",INDEX($AI$4:$AI$40,MATCH(ROW()-3,$GQ$4:$GQ$40,0)))</f>
        <v/>
      </c>
      <c r="GS28">
        <f>IF(COUNTIF('Live Search'!BM$27:BR$27,0)+COUNTIF('Live Search'!B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T28">
        <f>IF($AN$28="",FALSE,SUMPRODUCT(('Final Calculation Sheet'!$E$4:$E$40=$AN$28)*($GS$6:$GS$42=1))&gt;0)</f>
        <v/>
      </c>
      <c r="GU28">
        <f>$GU$27+--($GT28)</f>
        <v/>
      </c>
      <c r="GV28">
        <f>IF(ROW()-3&gt;MAX($GU$4:$GU$40),"",INDEX($AN$4:$AN$40,MATCH(ROW()-3,$GU$4:$GU$40,0)))</f>
        <v/>
      </c>
      <c r="GW28">
        <f>IF(COUNTIF('Live Search'!BM$27:BS$27,0)+COUNTIF('Live Search'!B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GX28">
        <f>IF($AS$28="",FALSE,SUMPRODUCT(('Final Calculation Sheet'!$C$4:$C$40=$AS$28)*($GW$6:$GW$42=1))&gt;0)</f>
        <v/>
      </c>
      <c r="GY28">
        <f>$GY$27+--($GX28)</f>
        <v/>
      </c>
      <c r="GZ28">
        <f>IF(ROW()-3&gt;MAX($GY$4:$GY$40),"",INDEX($AS$4:$AS$40,MATCH(ROW()-3,$GY$4:$GY$40,0)))</f>
        <v/>
      </c>
      <c r="HA28">
        <f>IF(COUNTIF('Live Search'!BM$27:BT$27,0)+COUNTIF('Live Search'!BV$27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B28">
        <f>IF($AX$28="",FALSE,SUMPRODUCT(('Final Calculation Sheet'!$H$4:$H$40=$AX$28)*($HA$6:$HA$42=1))&gt;0)</f>
        <v/>
      </c>
      <c r="HC28">
        <f>$HC$27+--($HB28)</f>
        <v/>
      </c>
      <c r="HD28">
        <f>IF(ROW()-3&gt;MAX($HC$4:$HC$40),"",INDEX($AX$4:$AX$40,MATCH(ROW()-3,$HC$4:$HC$40,0)))</f>
        <v/>
      </c>
      <c r="HE28">
        <f>IF(COUNTIF('Live Search'!BM$27:BU$27,0)+COUNTIF('Live Search'!BW$27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F28">
        <f>IF($BC$28="",FALSE,SUMPRODUCT(('Final Calculation Sheet'!$I$4:$I$40=$BC$28)*($HE$6:$HE$42=1))&gt;0)</f>
        <v/>
      </c>
      <c r="HG28">
        <f>$HG$27+--($HF28)</f>
        <v/>
      </c>
      <c r="HH28">
        <f>IF(ROW()-3&gt;MAX($HG$4:$HG$40),"",INDEX($BC$4:$BC$40,MATCH(ROW()-3,$HG$4:$HG$40,0)))</f>
        <v/>
      </c>
      <c r="HI28">
        <f>IF(COUNTIF('Live Search'!BM$27:BV$27,0)+COUNTIF('Live Search'!BX$27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J28">
        <f>IF($BH$28="",FALSE,SUMPRODUCT(('Final Calculation Sheet'!$J$4:$J$40=$BH$28)*($HI$6:$HI$42=1))&gt;0)</f>
        <v/>
      </c>
      <c r="HK28">
        <f>$HK$27+--($HJ28)</f>
        <v/>
      </c>
      <c r="HL28">
        <f>IF(ROW()-3&gt;MAX($HK$4:$HK$40),"",INDEX($BH$4:$BH$40,MATCH(ROW()-3,$HK$4:$HK$40,0)))</f>
        <v/>
      </c>
      <c r="HM28">
        <f>IF(COUNTIF('Live Search'!BM$27:BW$27,0)+COUNTIF('Live Search'!BY$27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N28">
        <f>IF($BM$28="",FALSE,SUMPRODUCT(('Final Calculation Sheet'!$K$4:$K$40=$BM$28)*($HM$6:$HM$42=1))&gt;0)</f>
        <v/>
      </c>
      <c r="HO28">
        <f>$HO$27+--($HN28)</f>
        <v/>
      </c>
      <c r="HP28">
        <f>IF(ROW()-3&gt;MAX($HO$4:$HO$40),"",INDEX($BM$4:$BM$40,MATCH(ROW()-3,$HO$4:$HO$40,0)))</f>
        <v/>
      </c>
      <c r="HQ28">
        <f>IF(COUNTIF('Live Search'!BM$27:BX$27,0)+COUNTIF('Live Search'!BZ$27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R28">
        <f>IF($BR$28="",FALSE,SUMPRODUCT(('Final Calculation Sheet'!$L$4:$L$40=$BR$28)*($HQ$6:$HQ$42=1))&gt;0)</f>
        <v/>
      </c>
      <c r="HS28">
        <f>$HS$27+--($HR28)</f>
        <v/>
      </c>
      <c r="HT28">
        <f>IF(ROW()-3&gt;MAX($HS$4:$HS$40),"",INDEX($BR$4:$BR$40,MATCH(ROW()-3,$HS$4:$HS$40,0)))</f>
        <v/>
      </c>
      <c r="HU28">
        <f>IF(COUNTIF('Live Search'!BM$27:BY$27,0)+COUNTIF('Live Search'!CA$27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V28">
        <f>IF($BW$28="",FALSE,SUMPRODUCT(('Final Calculation Sheet'!$M$4:$M$40=$BW$28)*($HU$6:$HU$42=1))&gt;0)</f>
        <v/>
      </c>
      <c r="HW28">
        <f>$HW$27+--($HV28)</f>
        <v/>
      </c>
      <c r="HX28">
        <f>IF(ROW()-3&gt;MAX($HW$4:$HW$40),"",INDEX($BW$4:$BW$40,MATCH(ROW()-3,$HW$4:$HW$40,0)))</f>
        <v/>
      </c>
      <c r="HY28">
        <f>IF(COUNTIF('Live Search'!BM$27:BZ$27,0)+COUNTIF('Live Search'!CB$27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HZ28">
        <f>IF($CB$28="",FALSE,SUMPRODUCT(('Final Calculation Sheet'!$N$4:$N$40=$CB$28)*($HY$6:$HY$42=1))&gt;0)</f>
        <v/>
      </c>
      <c r="IA28">
        <f>$IA$27+--($HZ28)</f>
        <v/>
      </c>
      <c r="IB28">
        <f>IF(ROW()-3&gt;MAX($IA$4:$IA$40),"",INDEX($CB$4:$CB$40,MATCH(ROW()-3,$IA$4:$IA$40,0)))</f>
        <v/>
      </c>
      <c r="IC28">
        <f>IF(COUNTIF('Live Search'!BM$27:CA$27,0)+COUNTIF('Live Search'!CC$27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D28">
        <f>IF($CG$28="",FALSE,SUMPRODUCT(('Final Calculation Sheet'!$O$4:$O$40=$CG$28)*($IC$6:$IC$42=1))&gt;0)</f>
        <v/>
      </c>
      <c r="IE28">
        <f>$IE$27+--($ID28)</f>
        <v/>
      </c>
      <c r="IF28">
        <f>IF(ROW()-3&gt;MAX($IE$4:$IE$40),"",INDEX($CG$4:$CG$40,MATCH(ROW()-3,$IE$4:$IE$40,0)))</f>
        <v/>
      </c>
      <c r="IG28">
        <f>IF(COUNTIF('Live Search'!BM$27:CB$27,0)+COUNTIF('Live Search'!CD$27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H28">
        <f>IF($CL$28="",FALSE,SUMPRODUCT(('Final Calculation Sheet'!$P$4:$P$40=$CL$28)*($IG$6:$IG$42=1))&gt;0)</f>
        <v/>
      </c>
      <c r="II28">
        <f>$II$27+--($IH28)</f>
        <v/>
      </c>
      <c r="IJ28">
        <f>IF(ROW()-3&gt;MAX($II$4:$II$40),"",INDEX($CL$4:$CL$40,MATCH(ROW()-3,$II$4:$II$40,0)))</f>
        <v/>
      </c>
      <c r="IK28">
        <f>IF(COUNTIF('Live Search'!BM$27:CC$27,0)+COUNTIF('Live Search'!CE$27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L28">
        <f>IF($CQ$28="",FALSE,SUMPRODUCT(('Final Calculation Sheet'!$Q$4:$Q$40=$CQ$28)*($IK$6:$IK$42=1))&gt;0)</f>
        <v/>
      </c>
      <c r="IM28">
        <f>$IM$27+--($IL28)</f>
        <v/>
      </c>
      <c r="IN28">
        <f>IF(ROW()-3&gt;MAX($IM$4:$IM$40),"",INDEX($CQ$4:$CQ$40,MATCH(ROW()-3,$IM$4:$IM$40,0)))</f>
        <v/>
      </c>
      <c r="IO28">
        <f>IF(COUNTIF('Live Search'!BM$27:CD$27,0)+COUNTIF('Live Search'!CF$27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P28">
        <f>IF($CV$28="",FALSE,SUMPRODUCT(('Final Calculation Sheet'!$R$4:$R$40=$CV$28)*($IO$6:$IO$42=1))&gt;0)</f>
        <v/>
      </c>
      <c r="IQ28">
        <f>$IQ$27+--($IP28)</f>
        <v/>
      </c>
      <c r="IR28">
        <f>IF(ROW()-3&gt;MAX($IQ$4:$IQ$40),"",INDEX($CV$4:$CV$40,MATCH(ROW()-3,$IQ$4:$IQ$40,0)))</f>
        <v/>
      </c>
      <c r="IS28">
        <f>IF(COUNTIF('Live Search'!BM$27:CE$27,0)+COUNTIF('Live Search'!CG$27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T28">
        <f>IF($DA$28="",FALSE,SUMPRODUCT(('Final Calculation Sheet'!$S$4:$S$40=$DA$28)*($IS$6:$IS$42=1))&gt;0)</f>
        <v/>
      </c>
      <c r="IU28">
        <f>$IU$27+--($IT28)</f>
        <v/>
      </c>
      <c r="IV28">
        <f>IF(ROW()-3&gt;MAX($IU$4:$IU$40),"",INDEX($DA$4:$DA$40,MATCH(ROW()-3,$IU$4:$IU$40,0)))</f>
        <v/>
      </c>
      <c r="IW28">
        <f>IF(COUNTIF('Live Search'!BM$27:CF$27,0)+COUNTIF('Live Search'!CH$27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IX28">
        <f>IF($DF$28="",FALSE,SUMPRODUCT(('Final Calculation Sheet'!$T$4:$T$40=$DF$28)*($IW$6:$IW$42=1))&gt;0)</f>
        <v/>
      </c>
      <c r="IY28">
        <f>$IY$27+--($IX28)</f>
        <v/>
      </c>
      <c r="IZ28">
        <f>IF(ROW()-3&gt;MAX($IY$4:$IY$40),"",INDEX($DF$4:$DF$40,MATCH(ROW()-3,$IY$4:$IY$40,0)))</f>
        <v/>
      </c>
      <c r="JA28">
        <f>IF(COUNTIF('Live Search'!BM$27:CG$27,0)+COUNTIF('Live Search'!CI$27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B28">
        <f>IF($DK$28="",FALSE,SUMPRODUCT(('Final Calculation Sheet'!$U$4:$U$40=$DK$28)*($JA$6:$JA$42=1))&gt;0)</f>
        <v/>
      </c>
      <c r="JC28">
        <f>$JC$27+--($JB28)</f>
        <v/>
      </c>
      <c r="JD28">
        <f>IF(ROW()-3&gt;MAX($JC$4:$JC$40),"",INDEX($DK$4:$DK$40,MATCH(ROW()-3,$JC$4:$JC$40,0)))</f>
        <v/>
      </c>
      <c r="JE28">
        <f>IF(COUNTIF('Live Search'!BM$27:CH$27,0)+COUNTIF('Live Search'!CJ$27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F28">
        <f>IF($DP$28="",FALSE,SUMPRODUCT(('Final Calculation Sheet'!$V$4:$V$40=$DP$28)*($JE$6:$JE$42=1))&gt;0)</f>
        <v/>
      </c>
      <c r="JG28">
        <f>$JG$27+--($JF28)</f>
        <v/>
      </c>
      <c r="JH28">
        <f>IF(ROW()-3&gt;MAX($JG$4:$JG$40),"",INDEX($DP$4:$DP$40,MATCH(ROW()-3,$JG$4:$JG$40,0)))</f>
        <v/>
      </c>
      <c r="JI28">
        <f>IF(COUNTIF('Live Search'!BM$27:CI$27,0)+COUNTIF('Live Search'!CK$27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J28">
        <f>IF($DU$28="",FALSE,SUMPRODUCT(('Final Calculation Sheet'!$W$4:$W$40=$DU$28)*($JI$6:$JI$42=1))&gt;0)</f>
        <v/>
      </c>
      <c r="JK28">
        <f>$JK$27+--($JJ28)</f>
        <v/>
      </c>
      <c r="JL28">
        <f>IF(ROW()-3&gt;MAX($JK$4:$JK$40),"",INDEX($DU$4:$DU$40,MATCH(ROW()-3,$JK$4:$JK$40,0)))</f>
        <v/>
      </c>
      <c r="JM28">
        <f>IF(COUNTIF('Live Search'!BM$27:CJ$27,0)+COUNTIF('Live Search'!CL$27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N28">
        <f>IF($DZ$28="",FALSE,SUMPRODUCT(('Final Calculation Sheet'!$X$4:$X$40=$DZ$28)*($JM$6:$JM$42=1))&gt;0)</f>
        <v/>
      </c>
      <c r="JO28">
        <f>$JO$27+--($JN28)</f>
        <v/>
      </c>
      <c r="JP28">
        <f>IF(ROW()-3&gt;MAX($JO$4:$JO$40),"",INDEX($DZ$4:$DZ$40,MATCH(ROW()-3,$JO$4:$JO$40,0)))</f>
        <v/>
      </c>
      <c r="JQ28">
        <f>IF(COUNTIF('Live Search'!BM$27:CK$27,0)+COUNTIF('Live Search'!C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R28">
        <f>IF($EE$28="",FALSE,SUMPRODUCT(('Final Calculation Sheet'!$Y$4:$Y$40=$EE$28)*($JQ$6:$JQ$42=1))&gt;0)</f>
        <v/>
      </c>
      <c r="JS28">
        <f>$JS$27+--($JR28)</f>
        <v/>
      </c>
      <c r="JT28">
        <f>IF(ROW()-3&gt;MAX($JS$4:$JS$40),"",INDEX($EE$4:$EE$40,MATCH(ROW()-3,$JS$4:$JS$40,0)))</f>
        <v/>
      </c>
      <c r="JU28">
        <f>IF(COUNTIF('Live Search'!BM$27:CL$27,0)+COUNTIF('Live Search'!CN$27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V28">
        <f>IF($EJ$28="",FALSE,SUMPRODUCT(('Final Calculation Sheet'!$Z$4:$Z$40=$EJ$28)*($JU$6:$JU$42=1))&gt;0)</f>
        <v/>
      </c>
      <c r="JW28">
        <f>$JW$27+--($JV28)</f>
        <v/>
      </c>
      <c r="JX28">
        <f>IF(ROW()-3&gt;MAX($JW$4:$JW$40),"",INDEX($EJ$4:$EJ$40,MATCH(ROW()-3,$JW$4:$JW$40,0)))</f>
        <v/>
      </c>
      <c r="JY28">
        <f>IF(COUNTIF('Live Search'!BM$27:CM$27,0)+COUNTIF('Live Search'!CO$27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JZ28">
        <f>IF($EO$28="",FALSE,SUMPRODUCT(('Final Calculation Sheet'!$AA$4:$AA$40=$EO$28)*($JY$6:$JY$42=1))&gt;0)</f>
        <v/>
      </c>
      <c r="KA28">
        <f>$KA$27+--($JZ28)</f>
        <v/>
      </c>
      <c r="KB28">
        <f>IF(ROW()-3&gt;MAX($KA$4:$KA$40),"",INDEX($EO$4:$EO$40,MATCH(ROW()-3,$KA$4:$KA$40,0)))</f>
        <v/>
      </c>
      <c r="KC28">
        <f>IF(COUNTIF('Live Search'!BM$27:CN$27,0)+COUNTIF('Live Search'!CP$27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D28">
        <f>IF($ET$28="",FALSE,SUMPRODUCT(('Final Calculation Sheet'!$AB$4:$AB$40=$ET$28)*($KC$6:$KC$42=1))&gt;0)</f>
        <v/>
      </c>
      <c r="KE28">
        <f>$KE$27+--($KD28)</f>
        <v/>
      </c>
      <c r="KF28">
        <f>IF(ROW()-3&gt;MAX($KE$4:$KE$40),"",INDEX($ET$4:$ET$40,MATCH(ROW()-3,$KE$4:$KE$40,0)))</f>
        <v/>
      </c>
      <c r="KG28">
        <f>IF(COUNTIF('Live Search'!BM$27:CO$27,0)+COUNTIF('Live Search'!CQ$27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H28">
        <f>IF($EY$28="",FALSE,SUMPRODUCT(('Final Calculation Sheet'!$AC$4:$AC$40=$EY$28)*($KG$6:$KG$42=1))&gt;0)</f>
        <v/>
      </c>
      <c r="KI28">
        <f>$KI$27+--($KH28)</f>
        <v/>
      </c>
      <c r="KJ28">
        <f>IF(ROW()-3&gt;MAX($KI$4:$KI$40),"",INDEX($EY$4:$EY$40,MATCH(ROW()-3,$KI$4:$KI$40,0)))</f>
        <v/>
      </c>
      <c r="KK28">
        <f>IF(COUNTIF('Live Search'!BM$27:CP$27,0)+COUNTIF('Live Search'!CR$27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L28">
        <f>IF($FD$28="",FALSE,SUMPRODUCT(('Final Calculation Sheet'!$AD$4:$AD$40=$FD$28)*($KK$6:$KK$42=1))&gt;0)</f>
        <v/>
      </c>
      <c r="KM28">
        <f>$KM$27+--($KL28)</f>
        <v/>
      </c>
      <c r="KN28">
        <f>IF(ROW()-3&gt;MAX($KM$4:$KM$40),"",INDEX($FD$4:$FD$40,MATCH(ROW()-3,$KM$4:$KM$40,0)))</f>
        <v/>
      </c>
      <c r="KO28">
        <f>IF(COUNTIF('Live Search'!BM$27:CT$27,0)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P28">
        <f>IF($FX$28="",FALSE,SUMPRODUCT((IF('Final Calculation Sheet'!$AD$4:$AD$40&lt;=5,"SETTLED","OUTSTANDING")=$FX$28)*($KO$6:$KO$42=1))&gt;0)</f>
        <v/>
      </c>
      <c r="KQ28">
        <f>$KQ$27+--($KP28)</f>
        <v/>
      </c>
      <c r="KR28">
        <f>IF(ROW()-3&gt;MAX($KQ$4:$KQ$40),"",INDEX($FX$4:$FX$40,MATCH(ROW()-3,$KQ$4:$KQ$40,0)))</f>
        <v/>
      </c>
      <c r="KS28">
        <f>IF(COUNTIF('Live Search'!BM$27:CQ$27,0)+COUNTIF('Live Search'!CS$27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T28">
        <f>IF($FI$28="",FALSE,SUMPRODUCT(('Final Calculation Sheet'!$AF$4:$AF$40=$FI$28)*($KS$6:$KS$42=1))&gt;0)</f>
        <v/>
      </c>
      <c r="KU28">
        <f>$KU$27+--($KT28)</f>
        <v/>
      </c>
      <c r="KV28">
        <f>IF(ROW()-3&gt;MAX($KU$4:$KU$40),"",INDEX($FI$4:$FI$40,MATCH(ROW()-3,$KU$4:$KU$40,0)))</f>
        <v/>
      </c>
      <c r="KW28">
        <f>IF(COUNTIF('Live Search'!BM$27:CR$27,0)+COUNTIF('Live Search'!CT$27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KX28">
        <f>IF($FN$28="",FALSE,SUMPRODUCT(('Final Calculation Sheet'!$AG$4:$AG$40=$FN$28)*($KW$6:$KW$42=1))&gt;0)</f>
        <v/>
      </c>
      <c r="KY28">
        <f>$KY$27+--($KX28)</f>
        <v/>
      </c>
      <c r="KZ28">
        <f>IF(ROW()-3&gt;MAX($KY$4:$KY$40),"",INDEX($FN$4:$FN$40,MATCH(ROW()-3,$KY$4:$KY$40,0)))</f>
        <v/>
      </c>
      <c r="LA28">
        <f>IF(COUNTIF('Live Search'!BM$27:CS$27,0)+COUNTIF('Live Search'!CU$27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LB28">
        <f>IF($FS$28="",FALSE,SUMPRODUCT(('Final Calculation Sheet'!$AH$4:$AH$40=$FS$28)*($LA$6:$LA$42=1))&gt;0)</f>
        <v/>
      </c>
      <c r="LC28">
        <f>$LC$27+--($LB28)</f>
        <v/>
      </c>
      <c r="LD28">
        <f>IF(ROW()-3&gt;MAX($LC$4:$LC$40),"",INDEX($FS$4:$FS$40,MATCH(ROW()-3,$LC$4:$LC$40,0)))</f>
        <v/>
      </c>
      <c r="LE28">
        <f>IF(COUNTIF('Buyer Groups'!DH81:EN81,0)&gt;0,0,1)</f>
        <v/>
      </c>
      <c r="LF28">
        <f>IF($O$28="",FALSE,SUMPRODUCT(('Final Calculation Sheet'!$F$4:$F$40=$O$28)*($LE$6:$LE$42=1))&gt;0)</f>
        <v/>
      </c>
      <c r="LG28">
        <f>$LG$27+--($LF28)</f>
        <v/>
      </c>
      <c r="LH28">
        <f>IF(ROW()-3&gt;MAX($LG$4:$LG$40),"",INDEX($O$4:$O$40,MATCH(ROW()-3,$LG$4:$LG$40,0)))</f>
        <v/>
      </c>
      <c r="LI28">
        <f>IF(COUNTIF('Buyer Groups'!DG81:DG81,0)+COUNTIF('Buyer Groups'!DI81:EN81,0)&gt;0,0,1)</f>
        <v/>
      </c>
      <c r="LJ28">
        <f>IF($T$28="",FALSE,SUMPRODUCT(('Final Calculation Sheet'!$G$4:$G$40=$T$28)*($LI$6:$LI$42=1))&gt;0)</f>
        <v/>
      </c>
      <c r="LK28">
        <f>$LK$27+--($LJ28)</f>
        <v/>
      </c>
      <c r="LL28">
        <f>IF(ROW()-3&gt;MAX($LK$4:$LK$40),"",INDEX($T$4:$T$40,MATCH(ROW()-3,$LK$4:$LK$40,0)))</f>
        <v/>
      </c>
      <c r="LM28">
        <f>IF(COUNTIF('Buyer Groups'!DG81:DH81,0)+COUNTIF('Buyer Groups'!DJ81:EN81,0)&gt;0,0,1)</f>
        <v/>
      </c>
      <c r="LN28">
        <f>IF($Y$28="",FALSE,SUMPRODUCT(('Final Calculation Sheet'!$B$4:$B$40=$Y$28)*($LM$6:$LM$42=1))&gt;0)</f>
        <v/>
      </c>
      <c r="LO28">
        <f>$LO$27+--($LN28)</f>
        <v/>
      </c>
      <c r="LP28">
        <f>IF(ROW()-3&gt;MAX($LO$4:$LO$40),"",INDEX($Y$4:$Y$40,MATCH(ROW()-3,$LO$4:$LO$40,0)))</f>
        <v/>
      </c>
      <c r="LQ28">
        <f>IF(COUNTIF('Buyer Groups'!DG81:DI81,0)+COUNTIF('Buyer Groups'!DK81:EN81,0)&gt;0,0,1)</f>
        <v/>
      </c>
      <c r="LR28">
        <f>IF($AD$28="",FALSE,SUMPRODUCT(('Final Calculation Sheet'!$D$4:$D$40=$AD$28)*($LQ$6:$LQ$42=1))&gt;0)</f>
        <v/>
      </c>
      <c r="LS28">
        <f>$LS$27+--($LR28)</f>
        <v/>
      </c>
      <c r="LT28">
        <f>IF(ROW()-3&gt;MAX($LS$4:$LS$40),"",INDEX($AD$4:$AD$40,MATCH(ROW()-3,$LS$4:$LS$40,0)))</f>
        <v/>
      </c>
      <c r="LU28">
        <f>IF(COUNTIF('Buyer Groups'!DG81:DJ81,0)+COUNTIF('Buyer Groups'!DL81:EN81,0)&gt;0,0,1)</f>
        <v/>
      </c>
      <c r="LV28">
        <f>IF($AI$28="",FALSE,SUMPRODUCT(('Final Calculation Sheet'!$A$4:$A$40=$AI$28)*($LU$6:$LU$42=1))&gt;0)</f>
        <v/>
      </c>
      <c r="LW28">
        <f>$LW$27+--($LV28)</f>
        <v/>
      </c>
      <c r="LX28">
        <f>IF(ROW()-3&gt;MAX($LW$4:$LW$40),"",INDEX($AI$4:$AI$40,MATCH(ROW()-3,$LW$4:$LW$40,0)))</f>
        <v/>
      </c>
      <c r="LY28">
        <f>IF(COUNTIF('Buyer Groups'!DG81:DK81,0)+COUNTIF('Buyer Groups'!DM81:EN81,0)&gt;0,0,1)</f>
        <v/>
      </c>
      <c r="LZ28">
        <f>IF($AN$28="",FALSE,SUMPRODUCT(('Final Calculation Sheet'!$E$4:$E$40=$AN$28)*($LY$6:$LY$42=1))&gt;0)</f>
        <v/>
      </c>
      <c r="MA28">
        <f>$MA$27+--($LZ28)</f>
        <v/>
      </c>
      <c r="MB28">
        <f>IF(ROW()-3&gt;MAX($MA$4:$MA$40),"",INDEX($AN$4:$AN$40,MATCH(ROW()-3,$MA$4:$MA$40,0)))</f>
        <v/>
      </c>
      <c r="MC28">
        <f>IF(COUNTIF('Buyer Groups'!DG81:DL81,0)+COUNTIF('Buyer Groups'!DN81:EN81,0)&gt;0,0,1)</f>
        <v/>
      </c>
      <c r="MD28">
        <f>IF($AS$28="",FALSE,SUMPRODUCT(('Final Calculation Sheet'!$C$4:$C$40=$AS$28)*($MC$6:$MC$42=1))&gt;0)</f>
        <v/>
      </c>
      <c r="ME28">
        <f>$ME$27+--($MD28)</f>
        <v/>
      </c>
      <c r="MF28">
        <f>IF(ROW()-3&gt;MAX($ME$4:$ME$40),"",INDEX($AS$4:$AS$40,MATCH(ROW()-3,$ME$4:$ME$40,0)))</f>
        <v/>
      </c>
      <c r="MG28">
        <f>IF(COUNTIF('Buyer Groups'!DG81:DM81,0)+COUNTIF('Buyer Groups'!DO81:EN81,0)&gt;0,0,1)</f>
        <v/>
      </c>
      <c r="MH28">
        <f>IF($AX$28="",FALSE,SUMPRODUCT(('Final Calculation Sheet'!$H$4:$H$40=$AX$28)*($MG$6:$MG$42=1))&gt;0)</f>
        <v/>
      </c>
      <c r="MI28">
        <f>$MI$27+--($MH28)</f>
        <v/>
      </c>
      <c r="MJ28">
        <f>IF(ROW()-3&gt;MAX($MI$4:$MI$40),"",INDEX($AX$4:$AX$40,MATCH(ROW()-3,$MI$4:$MI$40,0)))</f>
        <v/>
      </c>
      <c r="MK28">
        <f>IF(COUNTIF('Buyer Groups'!DG81:DN81,0)+COUNTIF('Buyer Groups'!DP81:EN81,0)&gt;0,0,1)</f>
        <v/>
      </c>
      <c r="ML28">
        <f>IF($BC$28="",FALSE,SUMPRODUCT(('Final Calculation Sheet'!$I$4:$I$40=$BC$28)*($MK$6:$MK$42=1))&gt;0)</f>
        <v/>
      </c>
      <c r="MM28">
        <f>$MM$27+--($ML28)</f>
        <v/>
      </c>
      <c r="MN28">
        <f>IF(ROW()-3&gt;MAX($MM$4:$MM$40),"",INDEX($BC$4:$BC$40,MATCH(ROW()-3,$MM$4:$MM$40,0)))</f>
        <v/>
      </c>
      <c r="MO28">
        <f>IF(COUNTIF('Buyer Groups'!DG81:DO81,0)+COUNTIF('Buyer Groups'!DQ81:EN81,0)&gt;0,0,1)</f>
        <v/>
      </c>
      <c r="MP28">
        <f>IF($BH$28="",FALSE,SUMPRODUCT(('Final Calculation Sheet'!$J$4:$J$40=$BH$28)*($MO$6:$MO$42=1))&gt;0)</f>
        <v/>
      </c>
      <c r="MQ28">
        <f>$MQ$27+--($MP28)</f>
        <v/>
      </c>
      <c r="MR28">
        <f>IF(ROW()-3&gt;MAX($MQ$4:$MQ$40),"",INDEX($BH$4:$BH$40,MATCH(ROW()-3,$MQ$4:$MQ$40,0)))</f>
        <v/>
      </c>
      <c r="MS28">
        <f>IF(COUNTIF('Buyer Groups'!DG81:DP81,0)+COUNTIF('Buyer Groups'!DR81:EN81,0)&gt;0,0,1)</f>
        <v/>
      </c>
      <c r="MT28">
        <f>IF($BM$28="",FALSE,SUMPRODUCT(('Final Calculation Sheet'!$K$4:$K$40=$BM$28)*($MS$6:$MS$42=1))&gt;0)</f>
        <v/>
      </c>
      <c r="MU28">
        <f>$MU$27+--($MT28)</f>
        <v/>
      </c>
      <c r="MV28">
        <f>IF(ROW()-3&gt;MAX($MU$4:$MU$40),"",INDEX($BM$4:$BM$40,MATCH(ROW()-3,$MU$4:$MU$40,0)))</f>
        <v/>
      </c>
      <c r="MW28">
        <f>IF(COUNTIF('Buyer Groups'!DG81:DQ81,0)+COUNTIF('Buyer Groups'!DS81:EN81,0)&gt;0,0,1)</f>
        <v/>
      </c>
      <c r="MX28">
        <f>IF($BR$28="",FALSE,SUMPRODUCT(('Final Calculation Sheet'!$L$4:$L$40=$BR$28)*($MW$6:$MW$42=1))&gt;0)</f>
        <v/>
      </c>
      <c r="MY28">
        <f>$MY$27+--($MX28)</f>
        <v/>
      </c>
      <c r="MZ28">
        <f>IF(ROW()-3&gt;MAX($MY$4:$MY$40),"",INDEX($BR$4:$BR$40,MATCH(ROW()-3,$MY$4:$MY$40,0)))</f>
        <v/>
      </c>
      <c r="NA28">
        <f>IF(COUNTIF('Buyer Groups'!DG81:DR81,0)+COUNTIF('Buyer Groups'!DT81:EN81,0)&gt;0,0,1)</f>
        <v/>
      </c>
      <c r="NB28">
        <f>IF($BW$28="",FALSE,SUMPRODUCT(('Final Calculation Sheet'!$M$4:$M$40=$BW$28)*($NA$6:$NA$42=1))&gt;0)</f>
        <v/>
      </c>
      <c r="NC28">
        <f>$NC$27+--($NB28)</f>
        <v/>
      </c>
      <c r="ND28">
        <f>IF(ROW()-3&gt;MAX($NC$4:$NC$40),"",INDEX($BW$4:$BW$40,MATCH(ROW()-3,$NC$4:$NC$40,0)))</f>
        <v/>
      </c>
      <c r="NE28">
        <f>IF(COUNTIF('Buyer Groups'!DG81:DS81,0)+COUNTIF('Buyer Groups'!DU81:EN81,0)&gt;0,0,1)</f>
        <v/>
      </c>
      <c r="NF28">
        <f>IF($CB$28="",FALSE,SUMPRODUCT(('Final Calculation Sheet'!$N$4:$N$40=$CB$28)*($NE$6:$NE$42=1))&gt;0)</f>
        <v/>
      </c>
      <c r="NG28">
        <f>$NG$27+--($NF28)</f>
        <v/>
      </c>
      <c r="NH28">
        <f>IF(ROW()-3&gt;MAX($NG$4:$NG$40),"",INDEX($CB$4:$CB$40,MATCH(ROW()-3,$NG$4:$NG$40,0)))</f>
        <v/>
      </c>
      <c r="NI28">
        <f>IF(COUNTIF('Buyer Groups'!DG81:DT81,0)+COUNTIF('Buyer Groups'!DV81:EN81,0)&gt;0,0,1)</f>
        <v/>
      </c>
      <c r="NJ28">
        <f>IF($CG$28="",FALSE,SUMPRODUCT(('Final Calculation Sheet'!$O$4:$O$40=$CG$28)*($NI$6:$NI$42=1))&gt;0)</f>
        <v/>
      </c>
      <c r="NK28">
        <f>$NK$27+--($NJ28)</f>
        <v/>
      </c>
      <c r="NL28">
        <f>IF(ROW()-3&gt;MAX($NK$4:$NK$40),"",INDEX($CG$4:$CG$40,MATCH(ROW()-3,$NK$4:$NK$40,0)))</f>
        <v/>
      </c>
      <c r="NM28">
        <f>IF(COUNTIF('Buyer Groups'!DG81:DU81,0)+COUNTIF('Buyer Groups'!DW81:EN81,0)&gt;0,0,1)</f>
        <v/>
      </c>
      <c r="NN28">
        <f>IF($CL$28="",FALSE,SUMPRODUCT(('Final Calculation Sheet'!$P$4:$P$40=$CL$28)*($NM$6:$NM$42=1))&gt;0)</f>
        <v/>
      </c>
      <c r="NO28">
        <f>$NO$27+--($NN28)</f>
        <v/>
      </c>
      <c r="NP28">
        <f>IF(ROW()-3&gt;MAX($NO$4:$NO$40),"",INDEX($CL$4:$CL$40,MATCH(ROW()-3,$NO$4:$NO$40,0)))</f>
        <v/>
      </c>
      <c r="NQ28">
        <f>IF(COUNTIF('Buyer Groups'!DG81:DV81,0)+COUNTIF('Buyer Groups'!DX81:EN81,0)&gt;0,0,1)</f>
        <v/>
      </c>
      <c r="NR28">
        <f>IF($CQ$28="",FALSE,SUMPRODUCT(('Final Calculation Sheet'!$Q$4:$Q$40=$CQ$28)*($NQ$6:$NQ$42=1))&gt;0)</f>
        <v/>
      </c>
      <c r="NS28">
        <f>$NS$27+--($NR28)</f>
        <v/>
      </c>
      <c r="NT28">
        <f>IF(ROW()-3&gt;MAX($NS$4:$NS$40),"",INDEX($CQ$4:$CQ$40,MATCH(ROW()-3,$NS$4:$NS$40,0)))</f>
        <v/>
      </c>
      <c r="NU28">
        <f>IF(COUNTIF('Buyer Groups'!DG81:DW81,0)+COUNTIF('Buyer Groups'!DY81:EN81,0)&gt;0,0,1)</f>
        <v/>
      </c>
      <c r="NV28">
        <f>IF($CV$28="",FALSE,SUMPRODUCT(('Final Calculation Sheet'!$R$4:$R$40=$CV$28)*($NU$6:$NU$42=1))&gt;0)</f>
        <v/>
      </c>
      <c r="NW28">
        <f>$NW$27+--($NV28)</f>
        <v/>
      </c>
      <c r="NX28">
        <f>IF(ROW()-3&gt;MAX($NW$4:$NW$40),"",INDEX($CV$4:$CV$40,MATCH(ROW()-3,$NW$4:$NW$40,0)))</f>
        <v/>
      </c>
      <c r="NY28">
        <f>IF(COUNTIF('Buyer Groups'!DG81:DX81,0)+COUNTIF('Buyer Groups'!DZ81:EN81,0)&gt;0,0,1)</f>
        <v/>
      </c>
      <c r="NZ28">
        <f>IF($DA$28="",FALSE,SUMPRODUCT(('Final Calculation Sheet'!$S$4:$S$40=$DA$28)*($NY$6:$NY$42=1))&gt;0)</f>
        <v/>
      </c>
      <c r="OA28">
        <f>$OA$27+--($NZ28)</f>
        <v/>
      </c>
      <c r="OB28">
        <f>IF(ROW()-3&gt;MAX($OA$4:$OA$40),"",INDEX($DA$4:$DA$40,MATCH(ROW()-3,$OA$4:$OA$40,0)))</f>
        <v/>
      </c>
      <c r="OC28">
        <f>IF(COUNTIF('Buyer Groups'!DG81:DY81,0)+COUNTIF('Buyer Groups'!EA81:EN81,0)&gt;0,0,1)</f>
        <v/>
      </c>
      <c r="OD28">
        <f>IF($DF$28="",FALSE,SUMPRODUCT(('Final Calculation Sheet'!$T$4:$T$40=$DF$28)*($OC$6:$OC$42=1))&gt;0)</f>
        <v/>
      </c>
      <c r="OE28">
        <f>$OE$27+--($OD28)</f>
        <v/>
      </c>
      <c r="OF28">
        <f>IF(ROW()-3&gt;MAX($OE$4:$OE$40),"",INDEX($DF$4:$DF$40,MATCH(ROW()-3,$OE$4:$OE$40,0)))</f>
        <v/>
      </c>
      <c r="OG28">
        <f>IF(COUNTIF('Buyer Groups'!DG81:DZ81,0)+COUNTIF('Buyer Groups'!EB81:EN81,0)&gt;0,0,1)</f>
        <v/>
      </c>
      <c r="OH28">
        <f>IF($DK$28="",FALSE,SUMPRODUCT(('Final Calculation Sheet'!$U$4:$U$40=$DK$28)*($OG$6:$OG$42=1))&gt;0)</f>
        <v/>
      </c>
      <c r="OI28">
        <f>$OI$27+--($OH28)</f>
        <v/>
      </c>
      <c r="OJ28">
        <f>IF(ROW()-3&gt;MAX($OI$4:$OI$40),"",INDEX($DK$4:$DK$40,MATCH(ROW()-3,$OI$4:$OI$40,0)))</f>
        <v/>
      </c>
      <c r="OK28">
        <f>IF(COUNTIF('Buyer Groups'!DG81:EA81,0)+COUNTIF('Buyer Groups'!EC81:EN81,0)&gt;0,0,1)</f>
        <v/>
      </c>
      <c r="OL28">
        <f>IF($DP$28="",FALSE,SUMPRODUCT(('Final Calculation Sheet'!$V$4:$V$40=$DP$28)*($OK$6:$OK$42=1))&gt;0)</f>
        <v/>
      </c>
      <c r="OM28">
        <f>$OM$27+--($OL28)</f>
        <v/>
      </c>
      <c r="ON28">
        <f>IF(ROW()-3&gt;MAX($OM$4:$OM$40),"",INDEX($DP$4:$DP$40,MATCH(ROW()-3,$OM$4:$OM$40,0)))</f>
        <v/>
      </c>
      <c r="OO28">
        <f>IF(COUNTIF('Buyer Groups'!DG81:EB81,0)+COUNTIF('Buyer Groups'!ED81:EN81,0)&gt;0,0,1)</f>
        <v/>
      </c>
      <c r="OP28">
        <f>IF($DU$28="",FALSE,SUMPRODUCT(('Final Calculation Sheet'!$W$4:$W$40=$DU$28)*($OO$6:$OO$42=1))&gt;0)</f>
        <v/>
      </c>
      <c r="OQ28">
        <f>$OQ$27+--($OP28)</f>
        <v/>
      </c>
      <c r="OR28">
        <f>IF(ROW()-3&gt;MAX($OQ$4:$OQ$40),"",INDEX($DU$4:$DU$40,MATCH(ROW()-3,$OQ$4:$OQ$40,0)))</f>
        <v/>
      </c>
      <c r="OS28">
        <f>IF(COUNTIF('Buyer Groups'!DG81:EC81,0)+COUNTIF('Buyer Groups'!EE81:EN81,0)&gt;0,0,1)</f>
        <v/>
      </c>
      <c r="OT28">
        <f>IF($DZ$28="",FALSE,SUMPRODUCT(('Final Calculation Sheet'!$X$4:$X$40=$DZ$28)*($OS$6:$OS$42=1))&gt;0)</f>
        <v/>
      </c>
      <c r="OU28">
        <f>$OU$27+--($OT28)</f>
        <v/>
      </c>
      <c r="OV28">
        <f>IF(ROW()-3&gt;MAX($OU$4:$OU$40),"",INDEX($DZ$4:$DZ$40,MATCH(ROW()-3,$OU$4:$OU$40,0)))</f>
        <v/>
      </c>
      <c r="OW28">
        <f>IF(COUNTIF('Buyer Groups'!DG81:ED81,0)+COUNTIF('Buyer Groups'!EF81:EN81,0)&gt;0,0,1)</f>
        <v/>
      </c>
      <c r="OX28">
        <f>IF($EE$28="",FALSE,SUMPRODUCT(('Final Calculation Sheet'!$Y$4:$Y$40=$EE$28)*($OW$6:$OW$42=1))&gt;0)</f>
        <v/>
      </c>
      <c r="OY28">
        <f>$OY$27+--($OX28)</f>
        <v/>
      </c>
      <c r="OZ28">
        <f>IF(ROW()-3&gt;MAX($OY$4:$OY$40),"",INDEX($EE$4:$EE$40,MATCH(ROW()-3,$OY$4:$OY$40,0)))</f>
        <v/>
      </c>
      <c r="PA28">
        <f>IF(COUNTIF('Buyer Groups'!DG81:EE81,0)+COUNTIF('Buyer Groups'!EG81:EN81,0)&gt;0,0,1)</f>
        <v/>
      </c>
      <c r="PB28">
        <f>IF($EJ$28="",FALSE,SUMPRODUCT(('Final Calculation Sheet'!$Z$4:$Z$40=$EJ$28)*($PA$6:$PA$42=1))&gt;0)</f>
        <v/>
      </c>
      <c r="PC28">
        <f>$PC$27+--($PB28)</f>
        <v/>
      </c>
      <c r="PD28">
        <f>IF(ROW()-3&gt;MAX($PC$4:$PC$40),"",INDEX($EJ$4:$EJ$40,MATCH(ROW()-3,$PC$4:$PC$40,0)))</f>
        <v/>
      </c>
      <c r="PE28">
        <f>IF(COUNTIF('Buyer Groups'!DG81:EF81,0)+COUNTIF('Buyer Groups'!EH81:EN81,0)&gt;0,0,1)</f>
        <v/>
      </c>
      <c r="PF28">
        <f>IF($EO$28="",FALSE,SUMPRODUCT(('Final Calculation Sheet'!$AA$4:$AA$40=$EO$28)*($PE$6:$PE$42=1))&gt;0)</f>
        <v/>
      </c>
      <c r="PG28">
        <f>$PG$27+--($PF28)</f>
        <v/>
      </c>
      <c r="PH28">
        <f>IF(ROW()-3&gt;MAX($PG$4:$PG$40),"",INDEX($EO$4:$EO$40,MATCH(ROW()-3,$PG$4:$PG$40,0)))</f>
        <v/>
      </c>
      <c r="PI28">
        <f>IF(COUNTIF('Buyer Groups'!DG81:EG81,0)+COUNTIF('Buyer Groups'!EI81:EN81,0)&gt;0,0,1)</f>
        <v/>
      </c>
      <c r="PJ28">
        <f>IF($ET$28="",FALSE,SUMPRODUCT(('Final Calculation Sheet'!$AB$4:$AB$40=$ET$28)*($PI$6:$PI$42=1))&gt;0)</f>
        <v/>
      </c>
      <c r="PK28">
        <f>$PK$27+--($PJ28)</f>
        <v/>
      </c>
      <c r="PL28">
        <f>IF(ROW()-3&gt;MAX($PK$4:$PK$40),"",INDEX($ET$4:$ET$40,MATCH(ROW()-3,$PK$4:$PK$40,0)))</f>
        <v/>
      </c>
      <c r="PM28">
        <f>IF(COUNTIF('Buyer Groups'!DG81:EH81,0)+COUNTIF('Buyer Groups'!EJ81:EN81,0)&gt;0,0,1)</f>
        <v/>
      </c>
      <c r="PN28">
        <f>IF($EY$28="",FALSE,SUMPRODUCT(('Final Calculation Sheet'!$AC$4:$AC$40=$EY$28)*($PM$6:$PM$42=1))&gt;0)</f>
        <v/>
      </c>
      <c r="PO28">
        <f>$PO$27+--($PN28)</f>
        <v/>
      </c>
      <c r="PP28">
        <f>IF(ROW()-3&gt;MAX($PO$4:$PO$40),"",INDEX($EY$4:$EY$40,MATCH(ROW()-3,$PO$4:$PO$40,0)))</f>
        <v/>
      </c>
      <c r="PQ28">
        <f>IF(COUNTIF('Buyer Groups'!DG81:EI81,0)+COUNTIF('Buyer Groups'!EK81:EN81,0)&gt;0,0,1)</f>
        <v/>
      </c>
      <c r="PR28">
        <f>IF($FD$28="",FALSE,SUMPRODUCT(('Final Calculation Sheet'!$AD$4:$AD$40=$FD$28)*($PQ$6:$PQ$42=1))&gt;0)</f>
        <v/>
      </c>
      <c r="PS28">
        <f>$PS$27+--($PR28)</f>
        <v/>
      </c>
      <c r="PT28">
        <f>IF(ROW()-3&gt;MAX($PS$4:$PS$40),"",INDEX($FD$4:$FD$40,MATCH(ROW()-3,$PS$4:$PS$40,0)))</f>
        <v/>
      </c>
      <c r="PU28">
        <f>IF(COUNTIF('Buyer Groups'!DG81:EJ81,0)+COUNTIF('Buyer Groups'!EL81:EN81,0)&gt;0,0,1)</f>
        <v/>
      </c>
      <c r="PV28">
        <f>IF($FX$28="",FALSE,SUMPRODUCT((IF('Final Calculation Sheet'!$AD$4:$AD$40&lt;=5,"SETTLED","OUTSTANDING")=$FX$28)*($PU$6:$PU$42=1))&gt;0)</f>
        <v/>
      </c>
      <c r="PW28">
        <f>$PW$27+--($PV28)</f>
        <v/>
      </c>
      <c r="PX28">
        <f>IF(ROW()-3&gt;MAX($PW$4:$PW$40),"",INDEX($FX$4:$FX$40,MATCH(ROW()-3,$PW$4:$PW$40,0)))</f>
        <v/>
      </c>
      <c r="PY28">
        <f>IF(COUNTIF('Buyer Groups'!DG81:EK81,0)+COUNTIF('Buyer Groups'!EM81:EN81,0)&gt;0,0,1)</f>
        <v/>
      </c>
      <c r="PZ28">
        <f>IF($FI$28="",FALSE,SUMPRODUCT(('Final Calculation Sheet'!$AF$4:$AF$40=$FI$28)*($PY$6:$PY$42=1))&gt;0)</f>
        <v/>
      </c>
      <c r="QA28">
        <f>$QA$27+--($PZ28)</f>
        <v/>
      </c>
      <c r="QB28">
        <f>IF(ROW()-3&gt;MAX($QA$4:$QA$40),"",INDEX($FI$4:$FI$40,MATCH(ROW()-3,$QA$4:$QA$40,0)))</f>
        <v/>
      </c>
      <c r="QC28">
        <f>IF(COUNTIF('Buyer Groups'!DG81:EL81,0)+COUNTIF('Buyer Groups'!EN81:EN81,0)&gt;0,0,1)</f>
        <v/>
      </c>
      <c r="QD28">
        <f>IF($FN$28="",FALSE,SUMPRODUCT(('Final Calculation Sheet'!$AG$4:$AG$40=$FN$28)*($QC$6:$QC$42=1))&gt;0)</f>
        <v/>
      </c>
      <c r="QE28">
        <f>$QE$27+--($QD28)</f>
        <v/>
      </c>
      <c r="QF28">
        <f>IF(ROW()-3&gt;MAX($QE$4:$QE$40),"",INDEX($FN$4:$FN$40,MATCH(ROW()-3,$QE$4:$QE$40,0)))</f>
        <v/>
      </c>
      <c r="QG28">
        <f>IF(COUNTIF('Buyer Groups'!DG81:EM81,0)&gt;0,0,1)</f>
        <v/>
      </c>
      <c r="QH28">
        <f>IF($FS$28="",FALSE,SUMPRODUCT(('Final Calculation Sheet'!$AH$4:$AH$40=$FS$28)*($QG$6:$QG$42=1))&gt;0)</f>
        <v/>
      </c>
      <c r="QI28">
        <f>$QI$27+--($QH28)</f>
        <v/>
      </c>
      <c r="QJ28">
        <f>IF(ROW()-3&gt;MAX($QI$4:$QI$40),"",INDEX($FS$4:$FS$40,MATCH(ROW()-3,$QI$4:$QI$40,0)))</f>
        <v/>
      </c>
      <c r="QK28" t="str">
        <f>IF('Final Calculation Sheet'!$AH$28="","",'Final Calculation Sheet'!$AH$28)</f>
      </c>
      <c r="QL28" t="str">
        <f>IF(QK28="","",COUNTIFS(QK$4:QK$40,"&lt;"&amp;QK28,QK$4:QK$40,"&lt;&gt;"&amp;"")+COUNTIF(QK$4:QK28,QK28))</f>
      </c>
      <c r="QM28" t="str">
        <f>IF(ROW()-3&gt;COUNTIF(QK$4:QK$40,"&lt;&gt;"&amp;""),"",INDEX(QK$4:QK$40,MATCH(ROW()-3,QL$4:QL$40,0)))</f>
      </c>
      <c r="QN28" t="str">
        <f>=QN27+F(AND(QM28&lt;&gt;"",COUNTIF(QM$4:QM28,QM28)=1),1,0)</f>
      </c>
      <c r="QO28" t="str">
        <f>IF(ROW()-3&gt;MAX(QN$4:QN$40),"",INDEX(QM$4:QM$40,MATCH(ROW()-3,QN$4:QN$40,0)))</f>
      </c>
      <c r="QP28" t="str">
        <f>IF(COUNTIF('Final Calculation Sheet'!$AM28:$BS28,0)&gt;0,0,1)</f>
      </c>
      <c r="QQ28" t="str">
        <f>IF($AI$28="",FALSE,SUMPRODUCT(('Final Calculation Sheet'!$A$4:$A$40=$AI$28)*($QP$4:$QP$40=1))&gt;0)</f>
      </c>
      <c r="QR28" t="str">
        <f>=$QR27+--($QQ28)</f>
      </c>
      <c r="QS28" t="str">
        <f>IF(ROW()-3&gt;MAX($QR$4:$QR$40),"",INDEX($AI$4:$AI$40,MATCH(ROW()-3,$QR$4:$QR$40,0)))</f>
      </c>
      <c r="QT28" t="str">
        <f>IF(COUNTIF('Final Calculation Sheet'!$AL28:$AL28,0)+COUNTIF('Final Calculation Sheet'!$AN28:$BS28,0)&gt;0,0,1)</f>
      </c>
      <c r="QU28" t="str">
        <f>IF($Y$28="",FALSE,SUMPRODUCT(('Final Calculation Sheet'!$B$4:$B$40=$Y$28)*($QT$4:$QT$40=1))&gt;0)</f>
      </c>
      <c r="QV28" t="str">
        <f>=$QV27+--($QU28)</f>
      </c>
      <c r="QW28" t="str">
        <f>IF(ROW()-3&gt;MAX($QV$4:$QV$40),"",INDEX($Y$4:$Y$40,MATCH(ROW()-3,$QV$4:$QV$40,0)))</f>
      </c>
      <c r="QX28" t="str">
        <f>IF(COUNTIF('Final Calculation Sheet'!$AL28:$AM28,0)+COUNTIF('Final Calculation Sheet'!$AO28:$BS28,0)&gt;0,0,1)</f>
      </c>
      <c r="QY28" t="str">
        <f>IF($AS$28="",FALSE,SUMPRODUCT(('Final Calculation Sheet'!$C$4:$C$40=$AS$28)*($QX$4:$QX$40=1))&gt;0)</f>
      </c>
      <c r="QZ28" t="str">
        <f>=$QZ27+--($QY28)</f>
      </c>
      <c r="RA28" t="str">
        <f>IF(ROW()-3&gt;MAX($QZ$4:$QZ$40),"",INDEX($AS$4:$AS$40,MATCH(ROW()-3,$QZ$4:$QZ$40,0)))</f>
      </c>
      <c r="RB28" t="str">
        <f>IF(COUNTIF('Final Calculation Sheet'!$AL28:$AN28,0)+COUNTIF('Final Calculation Sheet'!$AP28:$BS28,0)&gt;0,0,1)</f>
      </c>
      <c r="RC28" t="str">
        <f>IF($AD$28="",FALSE,SUMPRODUCT(('Final Calculation Sheet'!$D$4:$D$40=$AD$28)*($RB$4:$RB$40=1))&gt;0)</f>
      </c>
      <c r="RD28" t="str">
        <f>=$RD27+--($RC28)</f>
      </c>
      <c r="RE28" t="str">
        <f>IF(ROW()-3&gt;MAX($RD$4:$RD$40),"",INDEX($AD$4:$AD$40,MATCH(ROW()-3,$RD$4:$RD$40,0)))</f>
      </c>
      <c r="RF28" t="str">
        <f>IF(COUNTIF('Final Calculation Sheet'!$AL28:$AO28,0)+COUNTIF('Final Calculation Sheet'!$AQ28:$BS28,0)&gt;0,0,1)</f>
      </c>
      <c r="RG28" t="str">
        <f>IF($AN$28="",FALSE,SUMPRODUCT(('Final Calculation Sheet'!$E$4:$E$40=$AN$28)*($RF$4:$RF$40=1))&gt;0)</f>
      </c>
      <c r="RH28" t="str">
        <f>=$RH27+--($RG28)</f>
      </c>
      <c r="RI28" t="str">
        <f>IF(ROW()-3&gt;MAX($RH$4:$RH$40),"",INDEX($AN$4:$AN$40,MATCH(ROW()-3,$RH$4:$RH$40,0)))</f>
      </c>
      <c r="RJ28" t="str">
        <f>IF(COUNTIF('Final Calculation Sheet'!$AL28:$AP28,0)+COUNTIF('Final Calculation Sheet'!$AR28:$BS28,0)&gt;0,0,1)</f>
      </c>
      <c r="RK28" t="str">
        <f>IF($O$28="",FALSE,SUMPRODUCT(('Final Calculation Sheet'!$F$4:$F$40=$O$28)*($RJ$4:$RJ$40=1))&gt;0)</f>
      </c>
      <c r="RL28" t="str">
        <f>=$RL27+--($RK28)</f>
      </c>
      <c r="RM28" t="str">
        <f>IF(ROW()-3&gt;MAX($RL$4:$RL$40),"",INDEX($O$4:$O$40,MATCH(ROW()-3,$RL$4:$RL$40,0)))</f>
      </c>
      <c r="RN28" t="str">
        <f>IF(COUNTIF('Final Calculation Sheet'!$AL28:$AQ28,0)+COUNTIF('Final Calculation Sheet'!$AS28:$BS28,0)&gt;0,0,1)</f>
      </c>
      <c r="RO28" t="str">
        <f>IF($T$28="",FALSE,SUMPRODUCT(('Final Calculation Sheet'!$G$4:$G$40=$T$28)*($RN$4:$RN$40=1))&gt;0)</f>
      </c>
      <c r="RP28" t="str">
        <f>=$RP27+--($RO28)</f>
      </c>
      <c r="RQ28" t="str">
        <f>IF(ROW()-3&gt;MAX($RP$4:$RP$40),"",INDEX($T$4:$T$40,MATCH(ROW()-3,$RP$4:$RP$40,0)))</f>
      </c>
      <c r="RR28" t="str">
        <f>IF(COUNTIF('Final Calculation Sheet'!$AL28:$AR28,0)+COUNTIF('Final Calculation Sheet'!$AT28:$BS28,0)&gt;0,0,1)</f>
      </c>
      <c r="RS28" t="str">
        <f>IF($AX$28="",FALSE,SUMPRODUCT(('Final Calculation Sheet'!$H$4:$H$40=$AX$28)*($RR$4:$RR$40=1))&gt;0)</f>
      </c>
      <c r="RT28" t="str">
        <f>=$RT27+--($RS28)</f>
      </c>
      <c r="RU28" t="str">
        <f>IF(ROW()-3&gt;MAX($RT$4:$RT$40),"",INDEX($AX$4:$AX$40,MATCH(ROW()-3,$RT$4:$RT$40,0)))</f>
      </c>
      <c r="RV28" t="str">
        <f>IF(COUNTIF('Final Calculation Sheet'!$AL28:$AS28,0)+COUNTIF('Final Calculation Sheet'!$AU28:$BS28,0)&gt;0,0,1)</f>
      </c>
      <c r="RW28" t="str">
        <f>IF($BC$28="",FALSE,SUMPRODUCT(('Final Calculation Sheet'!$I$4:$I$40=$BC$28)*($RV$4:$RV$40=1))&gt;0)</f>
      </c>
      <c r="RX28" t="str">
        <f>=$RX27+--($RW28)</f>
      </c>
      <c r="RY28" t="str">
        <f>IF(ROW()-3&gt;MAX($RX$4:$RX$40),"",INDEX($BC$4:$BC$40,MATCH(ROW()-3,$RX$4:$RX$40,0)))</f>
      </c>
      <c r="RZ28" t="str">
        <f>IF(COUNTIF('Final Calculation Sheet'!$AL28:$AT28,0)+COUNTIF('Final Calculation Sheet'!$AV28:$BS28,0)&gt;0,0,1)</f>
      </c>
      <c r="SA28" t="str">
        <f>IF($BH$28="",FALSE,SUMPRODUCT(('Final Calculation Sheet'!$J$4:$J$40=$BH$28)*($RZ$4:$RZ$40=1))&gt;0)</f>
      </c>
      <c r="SB28" t="str">
        <f>=$SB27+--($SA28)</f>
      </c>
      <c r="SC28" t="str">
        <f>IF(ROW()-3&gt;MAX($SB$4:$SB$40),"",INDEX($BH$4:$BH$40,MATCH(ROW()-3,$SB$4:$SB$40,0)))</f>
      </c>
      <c r="SD28" t="str">
        <f>IF(COUNTIF('Final Calculation Sheet'!$AL28:$AU28,0)+COUNTIF('Final Calculation Sheet'!$AW28:$BS28,0)&gt;0,0,1)</f>
      </c>
      <c r="SE28" t="str">
        <f>IF($BM$28="",FALSE,SUMPRODUCT(('Final Calculation Sheet'!$K$4:$K$40=$BM$28)*($SD$4:$SD$40=1))&gt;0)</f>
      </c>
      <c r="SF28" t="str">
        <f>=$SF27+--($SE28)</f>
      </c>
      <c r="SG28" t="str">
        <f>IF(ROW()-3&gt;MAX($SF$4:$SF$40),"",INDEX($BM$4:$BM$40,MATCH(ROW()-3,$SF$4:$SF$40,0)))</f>
      </c>
      <c r="SH28" t="str">
        <f>IF(COUNTIF('Final Calculation Sheet'!$AL28:$AV28,0)+COUNTIF('Final Calculation Sheet'!$AX28:$BS28,0)&gt;0,0,1)</f>
      </c>
      <c r="SI28" t="str">
        <f>IF($BR$28="",FALSE,SUMPRODUCT(('Final Calculation Sheet'!$L$4:$L$40=$BR$28)*($SH$4:$SH$40=1))&gt;0)</f>
      </c>
      <c r="SJ28" t="str">
        <f>=$SJ27+--($SI28)</f>
      </c>
      <c r="SK28" t="str">
        <f>IF(ROW()-3&gt;MAX($SJ$4:$SJ$40),"",INDEX($BR$4:$BR$40,MATCH(ROW()-3,$SJ$4:$SJ$40,0)))</f>
      </c>
      <c r="SL28" t="str">
        <f>IF(COUNTIF('Final Calculation Sheet'!$AL28:$AW28,0)+COUNTIF('Final Calculation Sheet'!$AY28:$BS28,0)&gt;0,0,1)</f>
      </c>
      <c r="SM28" t="str">
        <f>IF($BW$28="",FALSE,SUMPRODUCT(('Final Calculation Sheet'!$M$4:$M$40=$BW$28)*($SL$4:$SL$40=1))&gt;0)</f>
      </c>
      <c r="SN28" t="str">
        <f>=$SN27+--($SM28)</f>
      </c>
      <c r="SO28" t="str">
        <f>IF(ROW()-3&gt;MAX($SN$4:$SN$40),"",INDEX($BW$4:$BW$40,MATCH(ROW()-3,$SN$4:$SN$40,0)))</f>
      </c>
      <c r="SP28" t="str">
        <f>IF(COUNTIF('Final Calculation Sheet'!$AL28:$AX28,0)+COUNTIF('Final Calculation Sheet'!$AZ28:$BS28,0)&gt;0,0,1)</f>
      </c>
      <c r="SQ28" t="str">
        <f>IF($CB$28="",FALSE,SUMPRODUCT(('Final Calculation Sheet'!$N$4:$N$40=$CB$28)*($SP$4:$SP$40=1))&gt;0)</f>
      </c>
      <c r="SR28" t="str">
        <f>=$SR27+--($SQ28)</f>
      </c>
      <c r="SS28" t="str">
        <f>IF(ROW()-3&gt;MAX($SR$4:$SR$40),"",INDEX($CB$4:$CB$40,MATCH(ROW()-3,$SR$4:$SR$40,0)))</f>
      </c>
      <c r="ST28" t="str">
        <f>IF(COUNTIF('Final Calculation Sheet'!$AL28:$AY28,0)+COUNTIF('Final Calculation Sheet'!$BA28:$BS28,0)&gt;0,0,1)</f>
      </c>
      <c r="SU28" t="str">
        <f>IF($CG$28="",FALSE,SUMPRODUCT(('Final Calculation Sheet'!$O$4:$O$40=$CG$28)*($ST$4:$ST$40=1))&gt;0)</f>
      </c>
      <c r="SV28" t="str">
        <f>=$SV27+--($SU28)</f>
      </c>
      <c r="SW28" t="str">
        <f>IF(ROW()-3&gt;MAX($SV$4:$SV$40),"",INDEX($CG$4:$CG$40,MATCH(ROW()-3,$SV$4:$SV$40,0)))</f>
      </c>
      <c r="SX28" t="str">
        <f>IF(COUNTIF('Final Calculation Sheet'!$AL28:$AZ28,0)+COUNTIF('Final Calculation Sheet'!$BB28:$BS28,0)&gt;0,0,1)</f>
      </c>
      <c r="SY28" t="str">
        <f>IF($CL$28="",FALSE,SUMPRODUCT(('Final Calculation Sheet'!$P$4:$P$40=$CL$28)*($SX$4:$SX$40=1))&gt;0)</f>
      </c>
      <c r="SZ28" t="str">
        <f>=$SZ27+--($SY28)</f>
      </c>
      <c r="TA28" t="str">
        <f>IF(ROW()-3&gt;MAX($SZ$4:$SZ$40),"",INDEX($CL$4:$CL$40,MATCH(ROW()-3,$SZ$4:$SZ$40,0)))</f>
      </c>
      <c r="TB28" t="str">
        <f>IF(COUNTIF('Final Calculation Sheet'!$AL28:$BA28,0)+COUNTIF('Final Calculation Sheet'!$BC28:$BS28,0)&gt;0,0,1)</f>
      </c>
      <c r="TC28" t="str">
        <f>IF($CQ$28="",FALSE,SUMPRODUCT(('Final Calculation Sheet'!$Q$4:$Q$40=$CQ$28)*($TB$4:$TB$40=1))&gt;0)</f>
      </c>
      <c r="TD28" t="str">
        <f>=$TD27+--($TC28)</f>
      </c>
      <c r="TE28" t="str">
        <f>IF(ROW()-3&gt;MAX($TD$4:$TD$40),"",INDEX($CQ$4:$CQ$40,MATCH(ROW()-3,$TD$4:$TD$40,0)))</f>
      </c>
      <c r="TF28" t="str">
        <f>IF(COUNTIF('Final Calculation Sheet'!$AL28:$BB28,0)+COUNTIF('Final Calculation Sheet'!$BD28:$BS28,0)&gt;0,0,1)</f>
      </c>
      <c r="TG28" t="str">
        <f>IF($CV$28="",FALSE,SUMPRODUCT(('Final Calculation Sheet'!$R$4:$R$40=$CV$28)*($TF$4:$TF$40=1))&gt;0)</f>
      </c>
      <c r="TH28" t="str">
        <f>=$TH27+--($TG28)</f>
      </c>
      <c r="TI28" t="str">
        <f>IF(ROW()-3&gt;MAX($TH$4:$TH$40),"",INDEX($CV$4:$CV$40,MATCH(ROW()-3,$TH$4:$TH$40,0)))</f>
      </c>
      <c r="TJ28" t="str">
        <f>IF(COUNTIF('Final Calculation Sheet'!$AL28:$BC28,0)+COUNTIF('Final Calculation Sheet'!$BE28:$BS28,0)&gt;0,0,1)</f>
      </c>
      <c r="TK28" t="str">
        <f>IF($DA$28="",FALSE,SUMPRODUCT(('Final Calculation Sheet'!$S$4:$S$40=$DA$28)*($TJ$4:$TJ$40=1))&gt;0)</f>
      </c>
      <c r="TL28" t="str">
        <f>=$TL27+--($TK28)</f>
      </c>
      <c r="TM28" t="str">
        <f>IF(ROW()-3&gt;MAX($TL$4:$TL$40),"",INDEX($DA$4:$DA$40,MATCH(ROW()-3,$TL$4:$TL$40,0)))</f>
      </c>
      <c r="TN28" t="str">
        <f>IF(COUNTIF('Final Calculation Sheet'!$AL28:$BD28,0)+COUNTIF('Final Calculation Sheet'!$BF28:$BS28,0)&gt;0,0,1)</f>
      </c>
      <c r="TO28" t="str">
        <f>IF($DF$28="",FALSE,SUMPRODUCT(('Final Calculation Sheet'!$T$4:$T$40=$DF$28)*($TN$4:$TN$40=1))&gt;0)</f>
      </c>
      <c r="TP28" t="str">
        <f>=$TP27+--($TO28)</f>
      </c>
      <c r="TQ28" t="str">
        <f>IF(ROW()-3&gt;MAX($TP$4:$TP$40),"",INDEX($DF$4:$DF$40,MATCH(ROW()-3,$TP$4:$TP$40,0)))</f>
      </c>
      <c r="TR28" t="str">
        <f>IF(COUNTIF('Final Calculation Sheet'!$AL28:$BE28,0)+COUNTIF('Final Calculation Sheet'!$BG28:$BS28,0)&gt;0,0,1)</f>
      </c>
      <c r="TS28" t="str">
        <f>IF($DK$28="",FALSE,SUMPRODUCT(('Final Calculation Sheet'!$U$4:$U$40=$DK$28)*($TR$4:$TR$40=1))&gt;0)</f>
      </c>
      <c r="TT28" t="str">
        <f>=$TT27+--($TS28)</f>
      </c>
      <c r="TU28" t="str">
        <f>IF(ROW()-3&gt;MAX($TT$4:$TT$40),"",INDEX($DK$4:$DK$40,MATCH(ROW()-3,$TT$4:$TT$40,0)))</f>
      </c>
      <c r="TV28" t="str">
        <f>IF(COUNTIF('Final Calculation Sheet'!$AL28:$BF28,0)+COUNTIF('Final Calculation Sheet'!$BH28:$BS28,0)&gt;0,0,1)</f>
      </c>
      <c r="TW28" t="str">
        <f>IF($DP$28="",FALSE,SUMPRODUCT(('Final Calculation Sheet'!$V$4:$V$40=$DP$28)*($TV$4:$TV$40=1))&gt;0)</f>
      </c>
      <c r="TX28" t="str">
        <f>=$TX27+--($TW28)</f>
      </c>
      <c r="TY28" t="str">
        <f>IF(ROW()-3&gt;MAX($TX$4:$TX$40),"",INDEX($DP$4:$DP$40,MATCH(ROW()-3,$TX$4:$TX$40,0)))</f>
      </c>
      <c r="TZ28" t="str">
        <f>IF(COUNTIF('Final Calculation Sheet'!$AL28:$BG28,0)+COUNTIF('Final Calculation Sheet'!$BI28:$BS28,0)&gt;0,0,1)</f>
      </c>
      <c r="UA28" t="str">
        <f>IF($DU$28="",FALSE,SUMPRODUCT(('Final Calculation Sheet'!$W$4:$W$40=$DU$28)*($TZ$4:$TZ$40=1))&gt;0)</f>
      </c>
      <c r="UB28" t="str">
        <f>=$UB27+--($UA28)</f>
      </c>
      <c r="UC28" t="str">
        <f>IF(ROW()-3&gt;MAX($UB$4:$UB$40),"",INDEX($DU$4:$DU$40,MATCH(ROW()-3,$UB$4:$UB$40,0)))</f>
      </c>
      <c r="UD28" t="str">
        <f>IF(COUNTIF('Final Calculation Sheet'!$AL28:$BH28,0)+COUNTIF('Final Calculation Sheet'!$BJ28:$BS28,0)&gt;0,0,1)</f>
      </c>
      <c r="UE28" t="str">
        <f>IF($DZ$28="",FALSE,SUMPRODUCT(('Final Calculation Sheet'!$X$4:$X$40=$DZ$28)*($UD$4:$UD$40=1))&gt;0)</f>
      </c>
      <c r="UF28" t="str">
        <f>=$UF27+--($UE28)</f>
      </c>
      <c r="UG28" t="str">
        <f>IF(ROW()-3&gt;MAX($UF$4:$UF$40),"",INDEX($DZ$4:$DZ$40,MATCH(ROW()-3,$UF$4:$UF$40,0)))</f>
      </c>
      <c r="UH28" t="str">
        <f>IF(COUNTIF('Final Calculation Sheet'!$AL28:$BI28,0)+COUNTIF('Final Calculation Sheet'!$BK28:$BS28,0)&gt;0,0,1)</f>
      </c>
      <c r="UI28" t="str">
        <f>IF($EE$28="",FALSE,SUMPRODUCT(('Final Calculation Sheet'!$Y$4:$Y$40=$EE$28)*($UH$4:$UH$40=1))&gt;0)</f>
      </c>
      <c r="UJ28" t="str">
        <f>=$UJ27+--($UI28)</f>
      </c>
      <c r="UK28" t="str">
        <f>IF(ROW()-3&gt;MAX($UJ$4:$UJ$40),"",INDEX($EE$4:$EE$40,MATCH(ROW()-3,$UJ$4:$UJ$40,0)))</f>
      </c>
      <c r="UL28" t="str">
        <f>IF(COUNTIF('Final Calculation Sheet'!$AL28:$BJ28,0)+COUNTIF('Final Calculation Sheet'!$BL28:$BS28,0)&gt;0,0,1)</f>
      </c>
      <c r="UM28" t="str">
        <f>IF($EJ$28="",FALSE,SUMPRODUCT(('Final Calculation Sheet'!$Z$4:$Z$40=$EJ$28)*($UL$4:$UL$40=1))&gt;0)</f>
      </c>
      <c r="UN28" t="str">
        <f>=$UN27+--($UM28)</f>
      </c>
      <c r="UO28" t="str">
        <f>IF(ROW()-3&gt;MAX($UN$4:$UN$40),"",INDEX($EJ$4:$EJ$40,MATCH(ROW()-3,$UN$4:$UN$40,0)))</f>
      </c>
      <c r="UP28" t="str">
        <f>IF(COUNTIF('Final Calculation Sheet'!$AL28:$BK28,0)+COUNTIF('Final Calculation Sheet'!$BM28:$BS28,0)&gt;0,0,1)</f>
      </c>
      <c r="UQ28" t="str">
        <f>IF($EO$28="",FALSE,SUMPRODUCT(('Final Calculation Sheet'!$AA$4:$AA$40=$EO$28)*($UP$4:$UP$40=1))&gt;0)</f>
      </c>
      <c r="UR28" t="str">
        <f>=$UR27+--($UQ28)</f>
      </c>
      <c r="US28" t="str">
        <f>IF(ROW()-3&gt;MAX($UR$4:$UR$40),"",INDEX($EO$4:$EO$40,MATCH(ROW()-3,$UR$4:$UR$40,0)))</f>
      </c>
      <c r="UT28" t="str">
        <f>IF(COUNTIF('Final Calculation Sheet'!$AL28:$BL28,0)+COUNTIF('Final Calculation Sheet'!$BN28:$BS28,0)&gt;0,0,1)</f>
      </c>
      <c r="UU28" t="str">
        <f>IF($ET$28="",FALSE,SUMPRODUCT(('Final Calculation Sheet'!$AB$4:$AB$40=$ET$28)*($UT$4:$UT$40=1))&gt;0)</f>
      </c>
      <c r="UV28" t="str">
        <f>=$UV27+--($UU28)</f>
      </c>
      <c r="UW28" t="str">
        <f>IF(ROW()-3&gt;MAX($UV$4:$UV$40),"",INDEX($ET$4:$ET$40,MATCH(ROW()-3,$UV$4:$UV$40,0)))</f>
      </c>
      <c r="UX28" t="str">
        <f>IF(COUNTIF('Final Calculation Sheet'!$AL28:$BM28,0)+COUNTIF('Final Calculation Sheet'!$BO28:$BS28,0)&gt;0,0,1)</f>
      </c>
      <c r="UY28" t="str">
        <f>IF($EY$28="",FALSE,SUMPRODUCT(('Final Calculation Sheet'!$AC$4:$AC$40=$EY$28)*($UX$4:$UX$40=1))&gt;0)</f>
      </c>
      <c r="UZ28" t="str">
        <f>=$UZ27+--($UY28)</f>
      </c>
      <c r="VA28" t="str">
        <f>IF(ROW()-3&gt;MAX($UZ$4:$UZ$40),"",INDEX($EY$4:$EY$40,MATCH(ROW()-3,$UZ$4:$UZ$40,0)))</f>
      </c>
      <c r="VB28" t="str">
        <f>IF(COUNTIF('Final Calculation Sheet'!$AL28:$BN28,0)+COUNTIF('Final Calculation Sheet'!$BP28:$BS28,0)&gt;0,0,1)</f>
      </c>
      <c r="VC28" t="str">
        <f>IF($FD$28="",FALSE,SUMPRODUCT(('Final Calculation Sheet'!$AD$4:$AD$40=$FD$28)*($VB$4:$VB$40=1))&gt;0)</f>
      </c>
      <c r="VD28" t="str">
        <f>=$VD27+--($VC28)</f>
      </c>
      <c r="VE28" t="str">
        <f>IF(ROW()-3&gt;MAX($VD$4:$VD$40),"",INDEX($FD$4:$FD$40,MATCH(ROW()-3,$VD$4:$VD$40,0)))</f>
      </c>
      <c r="VF28" t="str">
        <f>IF(COUNTIF('Final Calculation Sheet'!$AL28:$BO28,0)+COUNTIF('Final Calculation Sheet'!$BQ28:$BS28,0)&gt;0,0,1)</f>
      </c>
      <c r="VG28" t="str">
        <f>IF($FI$28="",FALSE,SUMPRODUCT(('Final Calculation Sheet'!$AE$4:$AE$40=$FI$28)*($VF$4:$VF$40=1))&gt;0)</f>
      </c>
      <c r="VH28" t="str">
        <f>=$VH27+--($VG28)</f>
      </c>
      <c r="VI28" t="str">
        <f>IF(ROW()-3&gt;MAX($VH$4:$VH$40),"",INDEX($FI$4:$FI$40,MATCH(ROW()-3,$VH$4:$VH$40,0)))</f>
      </c>
      <c r="VJ28" t="str">
        <f>IF(COUNTIF('Final Calculation Sheet'!$AL28:$BP28,0)+COUNTIF('Final Calculation Sheet'!$BR28:$BS28,0)&gt;0,0,1)</f>
      </c>
      <c r="VK28" t="str">
        <f>IF($FN$28="",FALSE,SUMPRODUCT(('Final Calculation Sheet'!$AF$4:$AF$40=$FN$28)*($VJ$4:$VJ$40=1))&gt;0)</f>
      </c>
      <c r="VL28" t="str">
        <f>=$VL27+--($VK28)</f>
      </c>
      <c r="VM28" t="str">
        <f>IF(ROW()-3&gt;MAX($VL$4:$VL$40),"",INDEX($FN$4:$FN$40,MATCH(ROW()-3,$VL$4:$VL$40,0)))</f>
      </c>
      <c r="VN28" t="str">
        <f>IF(COUNTIF('Final Calculation Sheet'!$AL28:$BQ28,0)+COUNTIF('Final Calculation Sheet'!$BS28:$BS28,0)&gt;0,0,1)</f>
      </c>
      <c r="VO28" t="str">
        <f>IF($FS$28="",FALSE,SUMPRODUCT(('Final Calculation Sheet'!$AG$4:$AG$40=$FS$28)*($VN$4:$VN$40=1))&gt;0)</f>
      </c>
      <c r="VP28" t="str">
        <f>=$VP27+--($VO28)</f>
      </c>
      <c r="VQ28" t="str">
        <f>IF(ROW()-3&gt;MAX($VP$4:$VP$40),"",INDEX($FS$4:$FS$40,MATCH(ROW()-3,$VP$4:$VP$40,0)))</f>
      </c>
      <c r="VR28" t="str">
        <f>IF(COUNTIF('Final Calculation Sheet'!$AL28:$BR28,0)&gt;0,0,1)</f>
      </c>
      <c r="VS28" t="str">
        <f>IF($QO$28="",FALSE,SUMPRODUCT(('Final Calculation Sheet'!$AH$4:$AH$40=$QO$28)*($VR$4:$VR$40=1))&gt;0)</f>
      </c>
      <c r="VT28" t="str">
        <f>=$VT27+--($VS28)</f>
      </c>
      <c r="VU28" t="str">
        <f>IF(ROW()-3&gt;MAX($VT$4:$VT$40),"",INDEX($QO$4:$QO$40,MATCH(ROW()-3,$VT$4:$VT$40,0)))</f>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IF(COUNTIF('Live Search'!BM$28:BM$28,0)+COUNTIF('Live Search'!B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D29">
        <f>IF($O$29="",FALSE,SUMPRODUCT(('Final Calculation Sheet'!$F$4:$F$40=$O$29)*($GC$6:$GC$42=1))&gt;0)</f>
        <v/>
      </c>
      <c r="GE29">
        <f>$GE$28+--($GD29)</f>
        <v/>
      </c>
      <c r="GF29">
        <f>IF(ROW()-3&gt;MAX($GE$4:$GE$40),"",INDEX($O$4:$O$40,MATCH(ROW()-3,$GE$4:$GE$40,0)))</f>
        <v/>
      </c>
      <c r="GG29">
        <f>IF(COUNTIF('Live Search'!BM$28:BN$28,0)+COUNTIF('Live Search'!B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H29">
        <f>IF($T$29="",FALSE,SUMPRODUCT(('Final Calculation Sheet'!$G$4:$G$40=$T$29)*($GG$6:$GG$42=1))&gt;0)</f>
        <v/>
      </c>
      <c r="GI29">
        <f>$GI$28+--($GH29)</f>
        <v/>
      </c>
      <c r="GJ29">
        <f>IF(ROW()-3&gt;MAX($GI$4:$GI$40),"",INDEX($T$4:$T$40,MATCH(ROW()-3,$GI$4:$GI$40,0)))</f>
        <v/>
      </c>
      <c r="GK29">
        <f>IF(COUNTIF('Live Search'!BM$28:BP$28,0)+COUNTIF('Live Search'!B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L29">
        <f>IF($AD$29="",FALSE,SUMPRODUCT(('Final Calculation Sheet'!$D$4:$D$40=$AD$29)*($GK$6:$GK$42=1))&gt;0)</f>
        <v/>
      </c>
      <c r="GM29">
        <f>$GM$28+--($GL29)</f>
        <v/>
      </c>
      <c r="GN29">
        <f>IF(ROW()-3&gt;MAX($GM$4:$GM$40),"",INDEX($AD$4:$AD$40,MATCH(ROW()-3,$GM$4:$GM$40,0)))</f>
        <v/>
      </c>
      <c r="GO29">
        <f>IF(COUNTIF('Live Search'!BM$28:BQ$28,0)+COUNTIF('Live Search'!B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P29">
        <f>IF($AI$29="",FALSE,SUMPRODUCT(('Final Calculation Sheet'!$A$4:$A$40=$AI$29)*($GO$6:$GO$42=1))&gt;0)</f>
        <v/>
      </c>
      <c r="GQ29">
        <f>$GQ$28+--($GP29)</f>
        <v/>
      </c>
      <c r="GR29">
        <f>IF(ROW()-3&gt;MAX($GQ$4:$GQ$40),"",INDEX($AI$4:$AI$40,MATCH(ROW()-3,$GQ$4:$GQ$40,0)))</f>
        <v/>
      </c>
      <c r="GS29">
        <f>IF(COUNTIF('Live Search'!BM$28:BR$28,0)+COUNTIF('Live Search'!B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T29">
        <f>IF($AN$29="",FALSE,SUMPRODUCT(('Final Calculation Sheet'!$E$4:$E$40=$AN$29)*($GS$6:$GS$42=1))&gt;0)</f>
        <v/>
      </c>
      <c r="GU29">
        <f>$GU$28+--($GT29)</f>
        <v/>
      </c>
      <c r="GV29">
        <f>IF(ROW()-3&gt;MAX($GU$4:$GU$40),"",INDEX($AN$4:$AN$40,MATCH(ROW()-3,$GU$4:$GU$40,0)))</f>
        <v/>
      </c>
      <c r="GW29">
        <f>IF(COUNTIF('Live Search'!BM$28:BS$28,0)+COUNTIF('Live Search'!B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GX29">
        <f>IF($AS$29="",FALSE,SUMPRODUCT(('Final Calculation Sheet'!$C$4:$C$40=$AS$29)*($GW$6:$GW$42=1))&gt;0)</f>
        <v/>
      </c>
      <c r="GY29">
        <f>$GY$28+--($GX29)</f>
        <v/>
      </c>
      <c r="GZ29">
        <f>IF(ROW()-3&gt;MAX($GY$4:$GY$40),"",INDEX($AS$4:$AS$40,MATCH(ROW()-3,$GY$4:$GY$40,0)))</f>
        <v/>
      </c>
      <c r="HA29">
        <f>IF(COUNTIF('Live Search'!BM$28:BT$28,0)+COUNTIF('Live Search'!BV$28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B29">
        <f>IF($AX$29="",FALSE,SUMPRODUCT(('Final Calculation Sheet'!$H$4:$H$40=$AX$29)*($HA$6:$HA$42=1))&gt;0)</f>
        <v/>
      </c>
      <c r="HC29">
        <f>$HC$28+--($HB29)</f>
        <v/>
      </c>
      <c r="HD29">
        <f>IF(ROW()-3&gt;MAX($HC$4:$HC$40),"",INDEX($AX$4:$AX$40,MATCH(ROW()-3,$HC$4:$HC$40,0)))</f>
        <v/>
      </c>
      <c r="HE29">
        <f>IF(COUNTIF('Live Search'!BM$28:BU$28,0)+COUNTIF('Live Search'!BW$28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F29">
        <f>IF($BC$29="",FALSE,SUMPRODUCT(('Final Calculation Sheet'!$I$4:$I$40=$BC$29)*($HE$6:$HE$42=1))&gt;0)</f>
        <v/>
      </c>
      <c r="HG29">
        <f>$HG$28+--($HF29)</f>
        <v/>
      </c>
      <c r="HH29">
        <f>IF(ROW()-3&gt;MAX($HG$4:$HG$40),"",INDEX($BC$4:$BC$40,MATCH(ROW()-3,$HG$4:$HG$40,0)))</f>
        <v/>
      </c>
      <c r="HI29">
        <f>IF(COUNTIF('Live Search'!BM$28:BV$28,0)+COUNTIF('Live Search'!BX$28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J29">
        <f>IF($BH$29="",FALSE,SUMPRODUCT(('Final Calculation Sheet'!$J$4:$J$40=$BH$29)*($HI$6:$HI$42=1))&gt;0)</f>
        <v/>
      </c>
      <c r="HK29">
        <f>$HK$28+--($HJ29)</f>
        <v/>
      </c>
      <c r="HL29">
        <f>IF(ROW()-3&gt;MAX($HK$4:$HK$40),"",INDEX($BH$4:$BH$40,MATCH(ROW()-3,$HK$4:$HK$40,0)))</f>
        <v/>
      </c>
      <c r="HM29">
        <f>IF(COUNTIF('Live Search'!BM$28:BW$28,0)+COUNTIF('Live Search'!BY$28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N29">
        <f>IF($BM$29="",FALSE,SUMPRODUCT(('Final Calculation Sheet'!$K$4:$K$40=$BM$29)*($HM$6:$HM$42=1))&gt;0)</f>
        <v/>
      </c>
      <c r="HO29">
        <f>$HO$28+--($HN29)</f>
        <v/>
      </c>
      <c r="HP29">
        <f>IF(ROW()-3&gt;MAX($HO$4:$HO$40),"",INDEX($BM$4:$BM$40,MATCH(ROW()-3,$HO$4:$HO$40,0)))</f>
        <v/>
      </c>
      <c r="HQ29">
        <f>IF(COUNTIF('Live Search'!BM$28:BX$28,0)+COUNTIF('Live Search'!BZ$28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R29">
        <f>IF($BR$29="",FALSE,SUMPRODUCT(('Final Calculation Sheet'!$L$4:$L$40=$BR$29)*($HQ$6:$HQ$42=1))&gt;0)</f>
        <v/>
      </c>
      <c r="HS29">
        <f>$HS$28+--($HR29)</f>
        <v/>
      </c>
      <c r="HT29">
        <f>IF(ROW()-3&gt;MAX($HS$4:$HS$40),"",INDEX($BR$4:$BR$40,MATCH(ROW()-3,$HS$4:$HS$40,0)))</f>
        <v/>
      </c>
      <c r="HU29">
        <f>IF(COUNTIF('Live Search'!BM$28:BY$28,0)+COUNTIF('Live Search'!CA$28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V29">
        <f>IF($BW$29="",FALSE,SUMPRODUCT(('Final Calculation Sheet'!$M$4:$M$40=$BW$29)*($HU$6:$HU$42=1))&gt;0)</f>
        <v/>
      </c>
      <c r="HW29">
        <f>$HW$28+--($HV29)</f>
        <v/>
      </c>
      <c r="HX29">
        <f>IF(ROW()-3&gt;MAX($HW$4:$HW$40),"",INDEX($BW$4:$BW$40,MATCH(ROW()-3,$HW$4:$HW$40,0)))</f>
        <v/>
      </c>
      <c r="HY29">
        <f>IF(COUNTIF('Live Search'!BM$28:BZ$28,0)+COUNTIF('Live Search'!CB$28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HZ29">
        <f>IF($CB$29="",FALSE,SUMPRODUCT(('Final Calculation Sheet'!$N$4:$N$40=$CB$29)*($HY$6:$HY$42=1))&gt;0)</f>
        <v/>
      </c>
      <c r="IA29">
        <f>$IA$28+--($HZ29)</f>
        <v/>
      </c>
      <c r="IB29">
        <f>IF(ROW()-3&gt;MAX($IA$4:$IA$40),"",INDEX($CB$4:$CB$40,MATCH(ROW()-3,$IA$4:$IA$40,0)))</f>
        <v/>
      </c>
      <c r="IC29">
        <f>IF(COUNTIF('Live Search'!BM$28:CA$28,0)+COUNTIF('Live Search'!CC$28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D29">
        <f>IF($CG$29="",FALSE,SUMPRODUCT(('Final Calculation Sheet'!$O$4:$O$40=$CG$29)*($IC$6:$IC$42=1))&gt;0)</f>
        <v/>
      </c>
      <c r="IE29">
        <f>$IE$28+--($ID29)</f>
        <v/>
      </c>
      <c r="IF29">
        <f>IF(ROW()-3&gt;MAX($IE$4:$IE$40),"",INDEX($CG$4:$CG$40,MATCH(ROW()-3,$IE$4:$IE$40,0)))</f>
        <v/>
      </c>
      <c r="IG29">
        <f>IF(COUNTIF('Live Search'!BM$28:CB$28,0)+COUNTIF('Live Search'!CD$28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H29">
        <f>IF($CL$29="",FALSE,SUMPRODUCT(('Final Calculation Sheet'!$P$4:$P$40=$CL$29)*($IG$6:$IG$42=1))&gt;0)</f>
        <v/>
      </c>
      <c r="II29">
        <f>$II$28+--($IH29)</f>
        <v/>
      </c>
      <c r="IJ29">
        <f>IF(ROW()-3&gt;MAX($II$4:$II$40),"",INDEX($CL$4:$CL$40,MATCH(ROW()-3,$II$4:$II$40,0)))</f>
        <v/>
      </c>
      <c r="IK29">
        <f>IF(COUNTIF('Live Search'!BM$28:CC$28,0)+COUNTIF('Live Search'!CE$28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L29">
        <f>IF($CQ$29="",FALSE,SUMPRODUCT(('Final Calculation Sheet'!$Q$4:$Q$40=$CQ$29)*($IK$6:$IK$42=1))&gt;0)</f>
        <v/>
      </c>
      <c r="IM29">
        <f>$IM$28+--($IL29)</f>
        <v/>
      </c>
      <c r="IN29">
        <f>IF(ROW()-3&gt;MAX($IM$4:$IM$40),"",INDEX($CQ$4:$CQ$40,MATCH(ROW()-3,$IM$4:$IM$40,0)))</f>
        <v/>
      </c>
      <c r="IO29">
        <f>IF(COUNTIF('Live Search'!BM$28:CD$28,0)+COUNTIF('Live Search'!CF$28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P29">
        <f>IF($CV$29="",FALSE,SUMPRODUCT(('Final Calculation Sheet'!$R$4:$R$40=$CV$29)*($IO$6:$IO$42=1))&gt;0)</f>
        <v/>
      </c>
      <c r="IQ29">
        <f>$IQ$28+--($IP29)</f>
        <v/>
      </c>
      <c r="IR29">
        <f>IF(ROW()-3&gt;MAX($IQ$4:$IQ$40),"",INDEX($CV$4:$CV$40,MATCH(ROW()-3,$IQ$4:$IQ$40,0)))</f>
        <v/>
      </c>
      <c r="IS29">
        <f>IF(COUNTIF('Live Search'!BM$28:CE$28,0)+COUNTIF('Live Search'!CG$28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T29">
        <f>IF($DA$29="",FALSE,SUMPRODUCT(('Final Calculation Sheet'!$S$4:$S$40=$DA$29)*($IS$6:$IS$42=1))&gt;0)</f>
        <v/>
      </c>
      <c r="IU29">
        <f>$IU$28+--($IT29)</f>
        <v/>
      </c>
      <c r="IV29">
        <f>IF(ROW()-3&gt;MAX($IU$4:$IU$40),"",INDEX($DA$4:$DA$40,MATCH(ROW()-3,$IU$4:$IU$40,0)))</f>
        <v/>
      </c>
      <c r="IW29">
        <f>IF(COUNTIF('Live Search'!BM$28:CF$28,0)+COUNTIF('Live Search'!CH$28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IX29">
        <f>IF($DF$29="",FALSE,SUMPRODUCT(('Final Calculation Sheet'!$T$4:$T$40=$DF$29)*($IW$6:$IW$42=1))&gt;0)</f>
        <v/>
      </c>
      <c r="IY29">
        <f>$IY$28+--($IX29)</f>
        <v/>
      </c>
      <c r="IZ29">
        <f>IF(ROW()-3&gt;MAX($IY$4:$IY$40),"",INDEX($DF$4:$DF$40,MATCH(ROW()-3,$IY$4:$IY$40,0)))</f>
        <v/>
      </c>
      <c r="JA29">
        <f>IF(COUNTIF('Live Search'!BM$28:CG$28,0)+COUNTIF('Live Search'!CI$28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B29">
        <f>IF($DK$29="",FALSE,SUMPRODUCT(('Final Calculation Sheet'!$U$4:$U$40=$DK$29)*($JA$6:$JA$42=1))&gt;0)</f>
        <v/>
      </c>
      <c r="JC29">
        <f>$JC$28+--($JB29)</f>
        <v/>
      </c>
      <c r="JD29">
        <f>IF(ROW()-3&gt;MAX($JC$4:$JC$40),"",INDEX($DK$4:$DK$40,MATCH(ROW()-3,$JC$4:$JC$40,0)))</f>
        <v/>
      </c>
      <c r="JE29">
        <f>IF(COUNTIF('Live Search'!BM$28:CH$28,0)+COUNTIF('Live Search'!CJ$28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F29">
        <f>IF($DP$29="",FALSE,SUMPRODUCT(('Final Calculation Sheet'!$V$4:$V$40=$DP$29)*($JE$6:$JE$42=1))&gt;0)</f>
        <v/>
      </c>
      <c r="JG29">
        <f>$JG$28+--($JF29)</f>
        <v/>
      </c>
      <c r="JH29">
        <f>IF(ROW()-3&gt;MAX($JG$4:$JG$40),"",INDEX($DP$4:$DP$40,MATCH(ROW()-3,$JG$4:$JG$40,0)))</f>
        <v/>
      </c>
      <c r="JI29">
        <f>IF(COUNTIF('Live Search'!BM$28:CI$28,0)+COUNTIF('Live Search'!CK$28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J29">
        <f>IF($DU$29="",FALSE,SUMPRODUCT(('Final Calculation Sheet'!$W$4:$W$40=$DU$29)*($JI$6:$JI$42=1))&gt;0)</f>
        <v/>
      </c>
      <c r="JK29">
        <f>$JK$28+--($JJ29)</f>
        <v/>
      </c>
      <c r="JL29">
        <f>IF(ROW()-3&gt;MAX($JK$4:$JK$40),"",INDEX($DU$4:$DU$40,MATCH(ROW()-3,$JK$4:$JK$40,0)))</f>
        <v/>
      </c>
      <c r="JM29">
        <f>IF(COUNTIF('Live Search'!BM$28:CJ$28,0)+COUNTIF('Live Search'!CL$28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N29">
        <f>IF($DZ$29="",FALSE,SUMPRODUCT(('Final Calculation Sheet'!$X$4:$X$40=$DZ$29)*($JM$6:$JM$42=1))&gt;0)</f>
        <v/>
      </c>
      <c r="JO29">
        <f>$JO$28+--($JN29)</f>
        <v/>
      </c>
      <c r="JP29">
        <f>IF(ROW()-3&gt;MAX($JO$4:$JO$40),"",INDEX($DZ$4:$DZ$40,MATCH(ROW()-3,$JO$4:$JO$40,0)))</f>
        <v/>
      </c>
      <c r="JQ29">
        <f>IF(COUNTIF('Live Search'!BM$28:CK$28,0)+COUNTIF('Live Search'!C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R29">
        <f>IF($EE$29="",FALSE,SUMPRODUCT(('Final Calculation Sheet'!$Y$4:$Y$40=$EE$29)*($JQ$6:$JQ$42=1))&gt;0)</f>
        <v/>
      </c>
      <c r="JS29">
        <f>$JS$28+--($JR29)</f>
        <v/>
      </c>
      <c r="JT29">
        <f>IF(ROW()-3&gt;MAX($JS$4:$JS$40),"",INDEX($EE$4:$EE$40,MATCH(ROW()-3,$JS$4:$JS$40,0)))</f>
        <v/>
      </c>
      <c r="JU29">
        <f>IF(COUNTIF('Live Search'!BM$28:CL$28,0)+COUNTIF('Live Search'!CN$28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V29">
        <f>IF($EJ$29="",FALSE,SUMPRODUCT(('Final Calculation Sheet'!$Z$4:$Z$40=$EJ$29)*($JU$6:$JU$42=1))&gt;0)</f>
        <v/>
      </c>
      <c r="JW29">
        <f>$JW$28+--($JV29)</f>
        <v/>
      </c>
      <c r="JX29">
        <f>IF(ROW()-3&gt;MAX($JW$4:$JW$40),"",INDEX($EJ$4:$EJ$40,MATCH(ROW()-3,$JW$4:$JW$40,0)))</f>
        <v/>
      </c>
      <c r="JY29">
        <f>IF(COUNTIF('Live Search'!BM$28:CM$28,0)+COUNTIF('Live Search'!CO$28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JZ29">
        <f>IF($EO$29="",FALSE,SUMPRODUCT(('Final Calculation Sheet'!$AA$4:$AA$40=$EO$29)*($JY$6:$JY$42=1))&gt;0)</f>
        <v/>
      </c>
      <c r="KA29">
        <f>$KA$28+--($JZ29)</f>
        <v/>
      </c>
      <c r="KB29">
        <f>IF(ROW()-3&gt;MAX($KA$4:$KA$40),"",INDEX($EO$4:$EO$40,MATCH(ROW()-3,$KA$4:$KA$40,0)))</f>
        <v/>
      </c>
      <c r="KC29">
        <f>IF(COUNTIF('Live Search'!BM$28:CN$28,0)+COUNTIF('Live Search'!CP$28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D29">
        <f>IF($ET$29="",FALSE,SUMPRODUCT(('Final Calculation Sheet'!$AB$4:$AB$40=$ET$29)*($KC$6:$KC$42=1))&gt;0)</f>
        <v/>
      </c>
      <c r="KE29">
        <f>$KE$28+--($KD29)</f>
        <v/>
      </c>
      <c r="KF29">
        <f>IF(ROW()-3&gt;MAX($KE$4:$KE$40),"",INDEX($ET$4:$ET$40,MATCH(ROW()-3,$KE$4:$KE$40,0)))</f>
        <v/>
      </c>
      <c r="KG29">
        <f>IF(COUNTIF('Live Search'!BM$28:CO$28,0)+COUNTIF('Live Search'!CQ$28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H29">
        <f>IF($EY$29="",FALSE,SUMPRODUCT(('Final Calculation Sheet'!$AC$4:$AC$40=$EY$29)*($KG$6:$KG$42=1))&gt;0)</f>
        <v/>
      </c>
      <c r="KI29">
        <f>$KI$28+--($KH29)</f>
        <v/>
      </c>
      <c r="KJ29">
        <f>IF(ROW()-3&gt;MAX($KI$4:$KI$40),"",INDEX($EY$4:$EY$40,MATCH(ROW()-3,$KI$4:$KI$40,0)))</f>
        <v/>
      </c>
      <c r="KK29">
        <f>IF(COUNTIF('Live Search'!BM$28:CP$28,0)+COUNTIF('Live Search'!CR$28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L29">
        <f>IF($FD$29="",FALSE,SUMPRODUCT(('Final Calculation Sheet'!$AD$4:$AD$40=$FD$29)*($KK$6:$KK$42=1))&gt;0)</f>
        <v/>
      </c>
      <c r="KM29">
        <f>$KM$28+--($KL29)</f>
        <v/>
      </c>
      <c r="KN29">
        <f>IF(ROW()-3&gt;MAX($KM$4:$KM$40),"",INDEX($FD$4:$FD$40,MATCH(ROW()-3,$KM$4:$KM$40,0)))</f>
        <v/>
      </c>
      <c r="KO29">
        <f>IF(COUNTIF('Live Search'!BM$28:CT$28,0)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P29">
        <f>IF($FX$29="",FALSE,SUMPRODUCT((IF('Final Calculation Sheet'!$AD$4:$AD$40&lt;=5,"SETTLED","OUTSTANDING")=$FX$29)*($KO$6:$KO$42=1))&gt;0)</f>
        <v/>
      </c>
      <c r="KQ29">
        <f>$KQ$28+--($KP29)</f>
        <v/>
      </c>
      <c r="KR29">
        <f>IF(ROW()-3&gt;MAX($KQ$4:$KQ$40),"",INDEX($FX$4:$FX$40,MATCH(ROW()-3,$KQ$4:$KQ$40,0)))</f>
        <v/>
      </c>
      <c r="KS29">
        <f>IF(COUNTIF('Live Search'!BM$28:CQ$28,0)+COUNTIF('Live Search'!CS$28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T29">
        <f>IF($FI$29="",FALSE,SUMPRODUCT(('Final Calculation Sheet'!$AF$4:$AF$40=$FI$29)*($KS$6:$KS$42=1))&gt;0)</f>
        <v/>
      </c>
      <c r="KU29">
        <f>$KU$28+--($KT29)</f>
        <v/>
      </c>
      <c r="KV29">
        <f>IF(ROW()-3&gt;MAX($KU$4:$KU$40),"",INDEX($FI$4:$FI$40,MATCH(ROW()-3,$KU$4:$KU$40,0)))</f>
        <v/>
      </c>
      <c r="KW29">
        <f>IF(COUNTIF('Live Search'!BM$28:CR$28,0)+COUNTIF('Live Search'!CT$28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KX29">
        <f>IF($FN$29="",FALSE,SUMPRODUCT(('Final Calculation Sheet'!$AG$4:$AG$40=$FN$29)*($KW$6:$KW$42=1))&gt;0)</f>
        <v/>
      </c>
      <c r="KY29">
        <f>$KY$28+--($KX29)</f>
        <v/>
      </c>
      <c r="KZ29">
        <f>IF(ROW()-3&gt;MAX($KY$4:$KY$40),"",INDEX($FN$4:$FN$40,MATCH(ROW()-3,$KY$4:$KY$40,0)))</f>
        <v/>
      </c>
      <c r="LA29">
        <f>IF(COUNTIF('Live Search'!BM$28:CS$28,0)+COUNTIF('Live Search'!CU$28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LB29">
        <f>IF($FS$29="",FALSE,SUMPRODUCT(('Final Calculation Sheet'!$AH$4:$AH$40=$FS$29)*($LA$6:$LA$42=1))&gt;0)</f>
        <v/>
      </c>
      <c r="LC29">
        <f>$LC$28+--($LB29)</f>
        <v/>
      </c>
      <c r="LD29">
        <f>IF(ROW()-3&gt;MAX($LC$4:$LC$40),"",INDEX($FS$4:$FS$40,MATCH(ROW()-3,$LC$4:$LC$40,0)))</f>
        <v/>
      </c>
      <c r="LE29">
        <f>IF(COUNTIF('Buyer Groups'!DH82:EN82,0)&gt;0,0,1)</f>
        <v/>
      </c>
      <c r="LF29">
        <f>IF($O$29="",FALSE,SUMPRODUCT(('Final Calculation Sheet'!$F$4:$F$40=$O$29)*($LE$6:$LE$42=1))&gt;0)</f>
        <v/>
      </c>
      <c r="LG29">
        <f>$LG$28+--($LF29)</f>
        <v/>
      </c>
      <c r="LH29">
        <f>IF(ROW()-3&gt;MAX($LG$4:$LG$40),"",INDEX($O$4:$O$40,MATCH(ROW()-3,$LG$4:$LG$40,0)))</f>
        <v/>
      </c>
      <c r="LI29">
        <f>IF(COUNTIF('Buyer Groups'!DG82:DG82,0)+COUNTIF('Buyer Groups'!DI82:EN82,0)&gt;0,0,1)</f>
        <v/>
      </c>
      <c r="LJ29">
        <f>IF($T$29="",FALSE,SUMPRODUCT(('Final Calculation Sheet'!$G$4:$G$40=$T$29)*($LI$6:$LI$42=1))&gt;0)</f>
        <v/>
      </c>
      <c r="LK29">
        <f>$LK$28+--($LJ29)</f>
        <v/>
      </c>
      <c r="LL29">
        <f>IF(ROW()-3&gt;MAX($LK$4:$LK$40),"",INDEX($T$4:$T$40,MATCH(ROW()-3,$LK$4:$LK$40,0)))</f>
        <v/>
      </c>
      <c r="LM29">
        <f>IF(COUNTIF('Buyer Groups'!DG82:DH82,0)+COUNTIF('Buyer Groups'!DJ82:EN82,0)&gt;0,0,1)</f>
        <v/>
      </c>
      <c r="LN29">
        <f>IF($Y$29="",FALSE,SUMPRODUCT(('Final Calculation Sheet'!$B$4:$B$40=$Y$29)*($LM$6:$LM$42=1))&gt;0)</f>
        <v/>
      </c>
      <c r="LO29">
        <f>$LO$28+--($LN29)</f>
        <v/>
      </c>
      <c r="LP29">
        <f>IF(ROW()-3&gt;MAX($LO$4:$LO$40),"",INDEX($Y$4:$Y$40,MATCH(ROW()-3,$LO$4:$LO$40,0)))</f>
        <v/>
      </c>
      <c r="LQ29">
        <f>IF(COUNTIF('Buyer Groups'!DG82:DI82,0)+COUNTIF('Buyer Groups'!DK82:EN82,0)&gt;0,0,1)</f>
        <v/>
      </c>
      <c r="LR29">
        <f>IF($AD$29="",FALSE,SUMPRODUCT(('Final Calculation Sheet'!$D$4:$D$40=$AD$29)*($LQ$6:$LQ$42=1))&gt;0)</f>
        <v/>
      </c>
      <c r="LS29">
        <f>$LS$28+--($LR29)</f>
        <v/>
      </c>
      <c r="LT29">
        <f>IF(ROW()-3&gt;MAX($LS$4:$LS$40),"",INDEX($AD$4:$AD$40,MATCH(ROW()-3,$LS$4:$LS$40,0)))</f>
        <v/>
      </c>
      <c r="LU29">
        <f>IF(COUNTIF('Buyer Groups'!DG82:DJ82,0)+COUNTIF('Buyer Groups'!DL82:EN82,0)&gt;0,0,1)</f>
        <v/>
      </c>
      <c r="LV29">
        <f>IF($AI$29="",FALSE,SUMPRODUCT(('Final Calculation Sheet'!$A$4:$A$40=$AI$29)*($LU$6:$LU$42=1))&gt;0)</f>
        <v/>
      </c>
      <c r="LW29">
        <f>$LW$28+--($LV29)</f>
        <v/>
      </c>
      <c r="LX29">
        <f>IF(ROW()-3&gt;MAX($LW$4:$LW$40),"",INDEX($AI$4:$AI$40,MATCH(ROW()-3,$LW$4:$LW$40,0)))</f>
        <v/>
      </c>
      <c r="LY29">
        <f>IF(COUNTIF('Buyer Groups'!DG82:DK82,0)+COUNTIF('Buyer Groups'!DM82:EN82,0)&gt;0,0,1)</f>
        <v/>
      </c>
      <c r="LZ29">
        <f>IF($AN$29="",FALSE,SUMPRODUCT(('Final Calculation Sheet'!$E$4:$E$40=$AN$29)*($LY$6:$LY$42=1))&gt;0)</f>
        <v/>
      </c>
      <c r="MA29">
        <f>$MA$28+--($LZ29)</f>
        <v/>
      </c>
      <c r="MB29">
        <f>IF(ROW()-3&gt;MAX($MA$4:$MA$40),"",INDEX($AN$4:$AN$40,MATCH(ROW()-3,$MA$4:$MA$40,0)))</f>
        <v/>
      </c>
      <c r="MC29">
        <f>IF(COUNTIF('Buyer Groups'!DG82:DL82,0)+COUNTIF('Buyer Groups'!DN82:EN82,0)&gt;0,0,1)</f>
        <v/>
      </c>
      <c r="MD29">
        <f>IF($AS$29="",FALSE,SUMPRODUCT(('Final Calculation Sheet'!$C$4:$C$40=$AS$29)*($MC$6:$MC$42=1))&gt;0)</f>
        <v/>
      </c>
      <c r="ME29">
        <f>$ME$28+--($MD29)</f>
        <v/>
      </c>
      <c r="MF29">
        <f>IF(ROW()-3&gt;MAX($ME$4:$ME$40),"",INDEX($AS$4:$AS$40,MATCH(ROW()-3,$ME$4:$ME$40,0)))</f>
        <v/>
      </c>
      <c r="MG29">
        <f>IF(COUNTIF('Buyer Groups'!DG82:DM82,0)+COUNTIF('Buyer Groups'!DO82:EN82,0)&gt;0,0,1)</f>
        <v/>
      </c>
      <c r="MH29">
        <f>IF($AX$29="",FALSE,SUMPRODUCT(('Final Calculation Sheet'!$H$4:$H$40=$AX$29)*($MG$6:$MG$42=1))&gt;0)</f>
        <v/>
      </c>
      <c r="MI29">
        <f>$MI$28+--($MH29)</f>
        <v/>
      </c>
      <c r="MJ29">
        <f>IF(ROW()-3&gt;MAX($MI$4:$MI$40),"",INDEX($AX$4:$AX$40,MATCH(ROW()-3,$MI$4:$MI$40,0)))</f>
        <v/>
      </c>
      <c r="MK29">
        <f>IF(COUNTIF('Buyer Groups'!DG82:DN82,0)+COUNTIF('Buyer Groups'!DP82:EN82,0)&gt;0,0,1)</f>
        <v/>
      </c>
      <c r="ML29">
        <f>IF($BC$29="",FALSE,SUMPRODUCT(('Final Calculation Sheet'!$I$4:$I$40=$BC$29)*($MK$6:$MK$42=1))&gt;0)</f>
        <v/>
      </c>
      <c r="MM29">
        <f>$MM$28+--($ML29)</f>
        <v/>
      </c>
      <c r="MN29">
        <f>IF(ROW()-3&gt;MAX($MM$4:$MM$40),"",INDEX($BC$4:$BC$40,MATCH(ROW()-3,$MM$4:$MM$40,0)))</f>
        <v/>
      </c>
      <c r="MO29">
        <f>IF(COUNTIF('Buyer Groups'!DG82:DO82,0)+COUNTIF('Buyer Groups'!DQ82:EN82,0)&gt;0,0,1)</f>
        <v/>
      </c>
      <c r="MP29">
        <f>IF($BH$29="",FALSE,SUMPRODUCT(('Final Calculation Sheet'!$J$4:$J$40=$BH$29)*($MO$6:$MO$42=1))&gt;0)</f>
        <v/>
      </c>
      <c r="MQ29">
        <f>$MQ$28+--($MP29)</f>
        <v/>
      </c>
      <c r="MR29">
        <f>IF(ROW()-3&gt;MAX($MQ$4:$MQ$40),"",INDEX($BH$4:$BH$40,MATCH(ROW()-3,$MQ$4:$MQ$40,0)))</f>
        <v/>
      </c>
      <c r="MS29">
        <f>IF(COUNTIF('Buyer Groups'!DG82:DP82,0)+COUNTIF('Buyer Groups'!DR82:EN82,0)&gt;0,0,1)</f>
        <v/>
      </c>
      <c r="MT29">
        <f>IF($BM$29="",FALSE,SUMPRODUCT(('Final Calculation Sheet'!$K$4:$K$40=$BM$29)*($MS$6:$MS$42=1))&gt;0)</f>
        <v/>
      </c>
      <c r="MU29">
        <f>$MU$28+--($MT29)</f>
        <v/>
      </c>
      <c r="MV29">
        <f>IF(ROW()-3&gt;MAX($MU$4:$MU$40),"",INDEX($BM$4:$BM$40,MATCH(ROW()-3,$MU$4:$MU$40,0)))</f>
        <v/>
      </c>
      <c r="MW29">
        <f>IF(COUNTIF('Buyer Groups'!DG82:DQ82,0)+COUNTIF('Buyer Groups'!DS82:EN82,0)&gt;0,0,1)</f>
        <v/>
      </c>
      <c r="MX29">
        <f>IF($BR$29="",FALSE,SUMPRODUCT(('Final Calculation Sheet'!$L$4:$L$40=$BR$29)*($MW$6:$MW$42=1))&gt;0)</f>
        <v/>
      </c>
      <c r="MY29">
        <f>$MY$28+--($MX29)</f>
        <v/>
      </c>
      <c r="MZ29">
        <f>IF(ROW()-3&gt;MAX($MY$4:$MY$40),"",INDEX($BR$4:$BR$40,MATCH(ROW()-3,$MY$4:$MY$40,0)))</f>
        <v/>
      </c>
      <c r="NA29">
        <f>IF(COUNTIF('Buyer Groups'!DG82:DR82,0)+COUNTIF('Buyer Groups'!DT82:EN82,0)&gt;0,0,1)</f>
        <v/>
      </c>
      <c r="NB29">
        <f>IF($BW$29="",FALSE,SUMPRODUCT(('Final Calculation Sheet'!$M$4:$M$40=$BW$29)*($NA$6:$NA$42=1))&gt;0)</f>
        <v/>
      </c>
      <c r="NC29">
        <f>$NC$28+--($NB29)</f>
        <v/>
      </c>
      <c r="ND29">
        <f>IF(ROW()-3&gt;MAX($NC$4:$NC$40),"",INDEX($BW$4:$BW$40,MATCH(ROW()-3,$NC$4:$NC$40,0)))</f>
        <v/>
      </c>
      <c r="NE29">
        <f>IF(COUNTIF('Buyer Groups'!DG82:DS82,0)+COUNTIF('Buyer Groups'!DU82:EN82,0)&gt;0,0,1)</f>
        <v/>
      </c>
      <c r="NF29">
        <f>IF($CB$29="",FALSE,SUMPRODUCT(('Final Calculation Sheet'!$N$4:$N$40=$CB$29)*($NE$6:$NE$42=1))&gt;0)</f>
        <v/>
      </c>
      <c r="NG29">
        <f>$NG$28+--($NF29)</f>
        <v/>
      </c>
      <c r="NH29">
        <f>IF(ROW()-3&gt;MAX($NG$4:$NG$40),"",INDEX($CB$4:$CB$40,MATCH(ROW()-3,$NG$4:$NG$40,0)))</f>
        <v/>
      </c>
      <c r="NI29">
        <f>IF(COUNTIF('Buyer Groups'!DG82:DT82,0)+COUNTIF('Buyer Groups'!DV82:EN82,0)&gt;0,0,1)</f>
        <v/>
      </c>
      <c r="NJ29">
        <f>IF($CG$29="",FALSE,SUMPRODUCT(('Final Calculation Sheet'!$O$4:$O$40=$CG$29)*($NI$6:$NI$42=1))&gt;0)</f>
        <v/>
      </c>
      <c r="NK29">
        <f>$NK$28+--($NJ29)</f>
        <v/>
      </c>
      <c r="NL29">
        <f>IF(ROW()-3&gt;MAX($NK$4:$NK$40),"",INDEX($CG$4:$CG$40,MATCH(ROW()-3,$NK$4:$NK$40,0)))</f>
        <v/>
      </c>
      <c r="NM29">
        <f>IF(COUNTIF('Buyer Groups'!DG82:DU82,0)+COUNTIF('Buyer Groups'!DW82:EN82,0)&gt;0,0,1)</f>
        <v/>
      </c>
      <c r="NN29">
        <f>IF($CL$29="",FALSE,SUMPRODUCT(('Final Calculation Sheet'!$P$4:$P$40=$CL$29)*($NM$6:$NM$42=1))&gt;0)</f>
        <v/>
      </c>
      <c r="NO29">
        <f>$NO$28+--($NN29)</f>
        <v/>
      </c>
      <c r="NP29">
        <f>IF(ROW()-3&gt;MAX($NO$4:$NO$40),"",INDEX($CL$4:$CL$40,MATCH(ROW()-3,$NO$4:$NO$40,0)))</f>
        <v/>
      </c>
      <c r="NQ29">
        <f>IF(COUNTIF('Buyer Groups'!DG82:DV82,0)+COUNTIF('Buyer Groups'!DX82:EN82,0)&gt;0,0,1)</f>
        <v/>
      </c>
      <c r="NR29">
        <f>IF($CQ$29="",FALSE,SUMPRODUCT(('Final Calculation Sheet'!$Q$4:$Q$40=$CQ$29)*($NQ$6:$NQ$42=1))&gt;0)</f>
        <v/>
      </c>
      <c r="NS29">
        <f>$NS$28+--($NR29)</f>
        <v/>
      </c>
      <c r="NT29">
        <f>IF(ROW()-3&gt;MAX($NS$4:$NS$40),"",INDEX($CQ$4:$CQ$40,MATCH(ROW()-3,$NS$4:$NS$40,0)))</f>
        <v/>
      </c>
      <c r="NU29">
        <f>IF(COUNTIF('Buyer Groups'!DG82:DW82,0)+COUNTIF('Buyer Groups'!DY82:EN82,0)&gt;0,0,1)</f>
        <v/>
      </c>
      <c r="NV29">
        <f>IF($CV$29="",FALSE,SUMPRODUCT(('Final Calculation Sheet'!$R$4:$R$40=$CV$29)*($NU$6:$NU$42=1))&gt;0)</f>
        <v/>
      </c>
      <c r="NW29">
        <f>$NW$28+--($NV29)</f>
        <v/>
      </c>
      <c r="NX29">
        <f>IF(ROW()-3&gt;MAX($NW$4:$NW$40),"",INDEX($CV$4:$CV$40,MATCH(ROW()-3,$NW$4:$NW$40,0)))</f>
        <v/>
      </c>
      <c r="NY29">
        <f>IF(COUNTIF('Buyer Groups'!DG82:DX82,0)+COUNTIF('Buyer Groups'!DZ82:EN82,0)&gt;0,0,1)</f>
        <v/>
      </c>
      <c r="NZ29">
        <f>IF($DA$29="",FALSE,SUMPRODUCT(('Final Calculation Sheet'!$S$4:$S$40=$DA$29)*($NY$6:$NY$42=1))&gt;0)</f>
        <v/>
      </c>
      <c r="OA29">
        <f>$OA$28+--($NZ29)</f>
        <v/>
      </c>
      <c r="OB29">
        <f>IF(ROW()-3&gt;MAX($OA$4:$OA$40),"",INDEX($DA$4:$DA$40,MATCH(ROW()-3,$OA$4:$OA$40,0)))</f>
        <v/>
      </c>
      <c r="OC29">
        <f>IF(COUNTIF('Buyer Groups'!DG82:DY82,0)+COUNTIF('Buyer Groups'!EA82:EN82,0)&gt;0,0,1)</f>
        <v/>
      </c>
      <c r="OD29">
        <f>IF($DF$29="",FALSE,SUMPRODUCT(('Final Calculation Sheet'!$T$4:$T$40=$DF$29)*($OC$6:$OC$42=1))&gt;0)</f>
        <v/>
      </c>
      <c r="OE29">
        <f>$OE$28+--($OD29)</f>
        <v/>
      </c>
      <c r="OF29">
        <f>IF(ROW()-3&gt;MAX($OE$4:$OE$40),"",INDEX($DF$4:$DF$40,MATCH(ROW()-3,$OE$4:$OE$40,0)))</f>
        <v/>
      </c>
      <c r="OG29">
        <f>IF(COUNTIF('Buyer Groups'!DG82:DZ82,0)+COUNTIF('Buyer Groups'!EB82:EN82,0)&gt;0,0,1)</f>
        <v/>
      </c>
      <c r="OH29">
        <f>IF($DK$29="",FALSE,SUMPRODUCT(('Final Calculation Sheet'!$U$4:$U$40=$DK$29)*($OG$6:$OG$42=1))&gt;0)</f>
        <v/>
      </c>
      <c r="OI29">
        <f>$OI$28+--($OH29)</f>
        <v/>
      </c>
      <c r="OJ29">
        <f>IF(ROW()-3&gt;MAX($OI$4:$OI$40),"",INDEX($DK$4:$DK$40,MATCH(ROW()-3,$OI$4:$OI$40,0)))</f>
        <v/>
      </c>
      <c r="OK29">
        <f>IF(COUNTIF('Buyer Groups'!DG82:EA82,0)+COUNTIF('Buyer Groups'!EC82:EN82,0)&gt;0,0,1)</f>
        <v/>
      </c>
      <c r="OL29">
        <f>IF($DP$29="",FALSE,SUMPRODUCT(('Final Calculation Sheet'!$V$4:$V$40=$DP$29)*($OK$6:$OK$42=1))&gt;0)</f>
        <v/>
      </c>
      <c r="OM29">
        <f>$OM$28+--($OL29)</f>
        <v/>
      </c>
      <c r="ON29">
        <f>IF(ROW()-3&gt;MAX($OM$4:$OM$40),"",INDEX($DP$4:$DP$40,MATCH(ROW()-3,$OM$4:$OM$40,0)))</f>
        <v/>
      </c>
      <c r="OO29">
        <f>IF(COUNTIF('Buyer Groups'!DG82:EB82,0)+COUNTIF('Buyer Groups'!ED82:EN82,0)&gt;0,0,1)</f>
        <v/>
      </c>
      <c r="OP29">
        <f>IF($DU$29="",FALSE,SUMPRODUCT(('Final Calculation Sheet'!$W$4:$W$40=$DU$29)*($OO$6:$OO$42=1))&gt;0)</f>
        <v/>
      </c>
      <c r="OQ29">
        <f>$OQ$28+--($OP29)</f>
        <v/>
      </c>
      <c r="OR29">
        <f>IF(ROW()-3&gt;MAX($OQ$4:$OQ$40),"",INDEX($DU$4:$DU$40,MATCH(ROW()-3,$OQ$4:$OQ$40,0)))</f>
        <v/>
      </c>
      <c r="OS29">
        <f>IF(COUNTIF('Buyer Groups'!DG82:EC82,0)+COUNTIF('Buyer Groups'!EE82:EN82,0)&gt;0,0,1)</f>
        <v/>
      </c>
      <c r="OT29">
        <f>IF($DZ$29="",FALSE,SUMPRODUCT(('Final Calculation Sheet'!$X$4:$X$40=$DZ$29)*($OS$6:$OS$42=1))&gt;0)</f>
        <v/>
      </c>
      <c r="OU29">
        <f>$OU$28+--($OT29)</f>
        <v/>
      </c>
      <c r="OV29">
        <f>IF(ROW()-3&gt;MAX($OU$4:$OU$40),"",INDEX($DZ$4:$DZ$40,MATCH(ROW()-3,$OU$4:$OU$40,0)))</f>
        <v/>
      </c>
      <c r="OW29">
        <f>IF(COUNTIF('Buyer Groups'!DG82:ED82,0)+COUNTIF('Buyer Groups'!EF82:EN82,0)&gt;0,0,1)</f>
        <v/>
      </c>
      <c r="OX29">
        <f>IF($EE$29="",FALSE,SUMPRODUCT(('Final Calculation Sheet'!$Y$4:$Y$40=$EE$29)*($OW$6:$OW$42=1))&gt;0)</f>
        <v/>
      </c>
      <c r="OY29">
        <f>$OY$28+--($OX29)</f>
        <v/>
      </c>
      <c r="OZ29">
        <f>IF(ROW()-3&gt;MAX($OY$4:$OY$40),"",INDEX($EE$4:$EE$40,MATCH(ROW()-3,$OY$4:$OY$40,0)))</f>
        <v/>
      </c>
      <c r="PA29">
        <f>IF(COUNTIF('Buyer Groups'!DG82:EE82,0)+COUNTIF('Buyer Groups'!EG82:EN82,0)&gt;0,0,1)</f>
        <v/>
      </c>
      <c r="PB29">
        <f>IF($EJ$29="",FALSE,SUMPRODUCT(('Final Calculation Sheet'!$Z$4:$Z$40=$EJ$29)*($PA$6:$PA$42=1))&gt;0)</f>
        <v/>
      </c>
      <c r="PC29">
        <f>$PC$28+--($PB29)</f>
        <v/>
      </c>
      <c r="PD29">
        <f>IF(ROW()-3&gt;MAX($PC$4:$PC$40),"",INDEX($EJ$4:$EJ$40,MATCH(ROW()-3,$PC$4:$PC$40,0)))</f>
        <v/>
      </c>
      <c r="PE29">
        <f>IF(COUNTIF('Buyer Groups'!DG82:EF82,0)+COUNTIF('Buyer Groups'!EH82:EN82,0)&gt;0,0,1)</f>
        <v/>
      </c>
      <c r="PF29">
        <f>IF($EO$29="",FALSE,SUMPRODUCT(('Final Calculation Sheet'!$AA$4:$AA$40=$EO$29)*($PE$6:$PE$42=1))&gt;0)</f>
        <v/>
      </c>
      <c r="PG29">
        <f>$PG$28+--($PF29)</f>
        <v/>
      </c>
      <c r="PH29">
        <f>IF(ROW()-3&gt;MAX($PG$4:$PG$40),"",INDEX($EO$4:$EO$40,MATCH(ROW()-3,$PG$4:$PG$40,0)))</f>
        <v/>
      </c>
      <c r="PI29">
        <f>IF(COUNTIF('Buyer Groups'!DG82:EG82,0)+COUNTIF('Buyer Groups'!EI82:EN82,0)&gt;0,0,1)</f>
        <v/>
      </c>
      <c r="PJ29">
        <f>IF($ET$29="",FALSE,SUMPRODUCT(('Final Calculation Sheet'!$AB$4:$AB$40=$ET$29)*($PI$6:$PI$42=1))&gt;0)</f>
        <v/>
      </c>
      <c r="PK29">
        <f>$PK$28+--($PJ29)</f>
        <v/>
      </c>
      <c r="PL29">
        <f>IF(ROW()-3&gt;MAX($PK$4:$PK$40),"",INDEX($ET$4:$ET$40,MATCH(ROW()-3,$PK$4:$PK$40,0)))</f>
        <v/>
      </c>
      <c r="PM29">
        <f>IF(COUNTIF('Buyer Groups'!DG82:EH82,0)+COUNTIF('Buyer Groups'!EJ82:EN82,0)&gt;0,0,1)</f>
        <v/>
      </c>
      <c r="PN29">
        <f>IF($EY$29="",FALSE,SUMPRODUCT(('Final Calculation Sheet'!$AC$4:$AC$40=$EY$29)*($PM$6:$PM$42=1))&gt;0)</f>
        <v/>
      </c>
      <c r="PO29">
        <f>$PO$28+--($PN29)</f>
        <v/>
      </c>
      <c r="PP29">
        <f>IF(ROW()-3&gt;MAX($PO$4:$PO$40),"",INDEX($EY$4:$EY$40,MATCH(ROW()-3,$PO$4:$PO$40,0)))</f>
        <v/>
      </c>
      <c r="PQ29">
        <f>IF(COUNTIF('Buyer Groups'!DG82:EI82,0)+COUNTIF('Buyer Groups'!EK82:EN82,0)&gt;0,0,1)</f>
        <v/>
      </c>
      <c r="PR29">
        <f>IF($FD$29="",FALSE,SUMPRODUCT(('Final Calculation Sheet'!$AD$4:$AD$40=$FD$29)*($PQ$6:$PQ$42=1))&gt;0)</f>
        <v/>
      </c>
      <c r="PS29">
        <f>$PS$28+--($PR29)</f>
        <v/>
      </c>
      <c r="PT29">
        <f>IF(ROW()-3&gt;MAX($PS$4:$PS$40),"",INDEX($FD$4:$FD$40,MATCH(ROW()-3,$PS$4:$PS$40,0)))</f>
        <v/>
      </c>
      <c r="PU29">
        <f>IF(COUNTIF('Buyer Groups'!DG82:EJ82,0)+COUNTIF('Buyer Groups'!EL82:EN82,0)&gt;0,0,1)</f>
        <v/>
      </c>
      <c r="PV29">
        <f>IF($FX$29="",FALSE,SUMPRODUCT((IF('Final Calculation Sheet'!$AD$4:$AD$40&lt;=5,"SETTLED","OUTSTANDING")=$FX$29)*($PU$6:$PU$42=1))&gt;0)</f>
        <v/>
      </c>
      <c r="PW29">
        <f>$PW$28+--($PV29)</f>
        <v/>
      </c>
      <c r="PX29">
        <f>IF(ROW()-3&gt;MAX($PW$4:$PW$40),"",INDEX($FX$4:$FX$40,MATCH(ROW()-3,$PW$4:$PW$40,0)))</f>
        <v/>
      </c>
      <c r="PY29">
        <f>IF(COUNTIF('Buyer Groups'!DG82:EK82,0)+COUNTIF('Buyer Groups'!EM82:EN82,0)&gt;0,0,1)</f>
        <v/>
      </c>
      <c r="PZ29">
        <f>IF($FI$29="",FALSE,SUMPRODUCT(('Final Calculation Sheet'!$AF$4:$AF$40=$FI$29)*($PY$6:$PY$42=1))&gt;0)</f>
        <v/>
      </c>
      <c r="QA29">
        <f>$QA$28+--($PZ29)</f>
        <v/>
      </c>
      <c r="QB29">
        <f>IF(ROW()-3&gt;MAX($QA$4:$QA$40),"",INDEX($FI$4:$FI$40,MATCH(ROW()-3,$QA$4:$QA$40,0)))</f>
        <v/>
      </c>
      <c r="QC29">
        <f>IF(COUNTIF('Buyer Groups'!DG82:EL82,0)+COUNTIF('Buyer Groups'!EN82:EN82,0)&gt;0,0,1)</f>
        <v/>
      </c>
      <c r="QD29">
        <f>IF($FN$29="",FALSE,SUMPRODUCT(('Final Calculation Sheet'!$AG$4:$AG$40=$FN$29)*($QC$6:$QC$42=1))&gt;0)</f>
        <v/>
      </c>
      <c r="QE29">
        <f>$QE$28+--($QD29)</f>
        <v/>
      </c>
      <c r="QF29">
        <f>IF(ROW()-3&gt;MAX($QE$4:$QE$40),"",INDEX($FN$4:$FN$40,MATCH(ROW()-3,$QE$4:$QE$40,0)))</f>
        <v/>
      </c>
      <c r="QG29">
        <f>IF(COUNTIF('Buyer Groups'!DG82:EM82,0)&gt;0,0,1)</f>
        <v/>
      </c>
      <c r="QH29">
        <f>IF($FS$29="",FALSE,SUMPRODUCT(('Final Calculation Sheet'!$AH$4:$AH$40=$FS$29)*($QG$6:$QG$42=1))&gt;0)</f>
        <v/>
      </c>
      <c r="QI29">
        <f>$QI$28+--($QH29)</f>
        <v/>
      </c>
      <c r="QJ29">
        <f>IF(ROW()-3&gt;MAX($QI$4:$QI$40),"",INDEX($FS$4:$FS$40,MATCH(ROW()-3,$QI$4:$QI$40,0)))</f>
        <v/>
      </c>
      <c r="QK29" t="str">
        <f>IF('Final Calculation Sheet'!$AH$29="","",'Final Calculation Sheet'!$AH$29)</f>
      </c>
      <c r="QL29" t="str">
        <f>IF(QK29="","",COUNTIFS(QK$4:QK$40,"&lt;"&amp;QK29,QK$4:QK$40,"&lt;&gt;"&amp;"")+COUNTIF(QK$4:QK29,QK29))</f>
      </c>
      <c r="QM29" t="str">
        <f>IF(ROW()-3&gt;COUNTIF(QK$4:QK$40,"&lt;&gt;"&amp;""),"",INDEX(QK$4:QK$40,MATCH(ROW()-3,QL$4:QL$40,0)))</f>
      </c>
      <c r="QN29" t="str">
        <f>=QN28+F(AND(QM29&lt;&gt;"",COUNTIF(QM$4:QM29,QM29)=1),1,0)</f>
      </c>
      <c r="QO29" t="str">
        <f>IF(ROW()-3&gt;MAX(QN$4:QN$40),"",INDEX(QM$4:QM$40,MATCH(ROW()-3,QN$4:QN$40,0)))</f>
      </c>
      <c r="QP29" t="str">
        <f>IF(COUNTIF('Final Calculation Sheet'!$AM29:$BS29,0)&gt;0,0,1)</f>
      </c>
      <c r="QQ29" t="str">
        <f>IF($AI$29="",FALSE,SUMPRODUCT(('Final Calculation Sheet'!$A$4:$A$40=$AI$29)*($QP$4:$QP$40=1))&gt;0)</f>
      </c>
      <c r="QR29" t="str">
        <f>=$QR28+--($QQ29)</f>
      </c>
      <c r="QS29" t="str">
        <f>IF(ROW()-3&gt;MAX($QR$4:$QR$40),"",INDEX($AI$4:$AI$40,MATCH(ROW()-3,$QR$4:$QR$40,0)))</f>
      </c>
      <c r="QT29" t="str">
        <f>IF(COUNTIF('Final Calculation Sheet'!$AL29:$AL29,0)+COUNTIF('Final Calculation Sheet'!$AN29:$BS29,0)&gt;0,0,1)</f>
      </c>
      <c r="QU29" t="str">
        <f>IF($Y$29="",FALSE,SUMPRODUCT(('Final Calculation Sheet'!$B$4:$B$40=$Y$29)*($QT$4:$QT$40=1))&gt;0)</f>
      </c>
      <c r="QV29" t="str">
        <f>=$QV28+--($QU29)</f>
      </c>
      <c r="QW29" t="str">
        <f>IF(ROW()-3&gt;MAX($QV$4:$QV$40),"",INDEX($Y$4:$Y$40,MATCH(ROW()-3,$QV$4:$QV$40,0)))</f>
      </c>
      <c r="QX29" t="str">
        <f>IF(COUNTIF('Final Calculation Sheet'!$AL29:$AM29,0)+COUNTIF('Final Calculation Sheet'!$AO29:$BS29,0)&gt;0,0,1)</f>
      </c>
      <c r="QY29" t="str">
        <f>IF($AS$29="",FALSE,SUMPRODUCT(('Final Calculation Sheet'!$C$4:$C$40=$AS$29)*($QX$4:$QX$40=1))&gt;0)</f>
      </c>
      <c r="QZ29" t="str">
        <f>=$QZ28+--($QY29)</f>
      </c>
      <c r="RA29" t="str">
        <f>IF(ROW()-3&gt;MAX($QZ$4:$QZ$40),"",INDEX($AS$4:$AS$40,MATCH(ROW()-3,$QZ$4:$QZ$40,0)))</f>
      </c>
      <c r="RB29" t="str">
        <f>IF(COUNTIF('Final Calculation Sheet'!$AL29:$AN29,0)+COUNTIF('Final Calculation Sheet'!$AP29:$BS29,0)&gt;0,0,1)</f>
      </c>
      <c r="RC29" t="str">
        <f>IF($AD$29="",FALSE,SUMPRODUCT(('Final Calculation Sheet'!$D$4:$D$40=$AD$29)*($RB$4:$RB$40=1))&gt;0)</f>
      </c>
      <c r="RD29" t="str">
        <f>=$RD28+--($RC29)</f>
      </c>
      <c r="RE29" t="str">
        <f>IF(ROW()-3&gt;MAX($RD$4:$RD$40),"",INDEX($AD$4:$AD$40,MATCH(ROW()-3,$RD$4:$RD$40,0)))</f>
      </c>
      <c r="RF29" t="str">
        <f>IF(COUNTIF('Final Calculation Sheet'!$AL29:$AO29,0)+COUNTIF('Final Calculation Sheet'!$AQ29:$BS29,0)&gt;0,0,1)</f>
      </c>
      <c r="RG29" t="str">
        <f>IF($AN$29="",FALSE,SUMPRODUCT(('Final Calculation Sheet'!$E$4:$E$40=$AN$29)*($RF$4:$RF$40=1))&gt;0)</f>
      </c>
      <c r="RH29" t="str">
        <f>=$RH28+--($RG29)</f>
      </c>
      <c r="RI29" t="str">
        <f>IF(ROW()-3&gt;MAX($RH$4:$RH$40),"",INDEX($AN$4:$AN$40,MATCH(ROW()-3,$RH$4:$RH$40,0)))</f>
      </c>
      <c r="RJ29" t="str">
        <f>IF(COUNTIF('Final Calculation Sheet'!$AL29:$AP29,0)+COUNTIF('Final Calculation Sheet'!$AR29:$BS29,0)&gt;0,0,1)</f>
      </c>
      <c r="RK29" t="str">
        <f>IF($O$29="",FALSE,SUMPRODUCT(('Final Calculation Sheet'!$F$4:$F$40=$O$29)*($RJ$4:$RJ$40=1))&gt;0)</f>
      </c>
      <c r="RL29" t="str">
        <f>=$RL28+--($RK29)</f>
      </c>
      <c r="RM29" t="str">
        <f>IF(ROW()-3&gt;MAX($RL$4:$RL$40),"",INDEX($O$4:$O$40,MATCH(ROW()-3,$RL$4:$RL$40,0)))</f>
      </c>
      <c r="RN29" t="str">
        <f>IF(COUNTIF('Final Calculation Sheet'!$AL29:$AQ29,0)+COUNTIF('Final Calculation Sheet'!$AS29:$BS29,0)&gt;0,0,1)</f>
      </c>
      <c r="RO29" t="str">
        <f>IF($T$29="",FALSE,SUMPRODUCT(('Final Calculation Sheet'!$G$4:$G$40=$T$29)*($RN$4:$RN$40=1))&gt;0)</f>
      </c>
      <c r="RP29" t="str">
        <f>=$RP28+--($RO29)</f>
      </c>
      <c r="RQ29" t="str">
        <f>IF(ROW()-3&gt;MAX($RP$4:$RP$40),"",INDEX($T$4:$T$40,MATCH(ROW()-3,$RP$4:$RP$40,0)))</f>
      </c>
      <c r="RR29" t="str">
        <f>IF(COUNTIF('Final Calculation Sheet'!$AL29:$AR29,0)+COUNTIF('Final Calculation Sheet'!$AT29:$BS29,0)&gt;0,0,1)</f>
      </c>
      <c r="RS29" t="str">
        <f>IF($AX$29="",FALSE,SUMPRODUCT(('Final Calculation Sheet'!$H$4:$H$40=$AX$29)*($RR$4:$RR$40=1))&gt;0)</f>
      </c>
      <c r="RT29" t="str">
        <f>=$RT28+--($RS29)</f>
      </c>
      <c r="RU29" t="str">
        <f>IF(ROW()-3&gt;MAX($RT$4:$RT$40),"",INDEX($AX$4:$AX$40,MATCH(ROW()-3,$RT$4:$RT$40,0)))</f>
      </c>
      <c r="RV29" t="str">
        <f>IF(COUNTIF('Final Calculation Sheet'!$AL29:$AS29,0)+COUNTIF('Final Calculation Sheet'!$AU29:$BS29,0)&gt;0,0,1)</f>
      </c>
      <c r="RW29" t="str">
        <f>IF($BC$29="",FALSE,SUMPRODUCT(('Final Calculation Sheet'!$I$4:$I$40=$BC$29)*($RV$4:$RV$40=1))&gt;0)</f>
      </c>
      <c r="RX29" t="str">
        <f>=$RX28+--($RW29)</f>
      </c>
      <c r="RY29" t="str">
        <f>IF(ROW()-3&gt;MAX($RX$4:$RX$40),"",INDEX($BC$4:$BC$40,MATCH(ROW()-3,$RX$4:$RX$40,0)))</f>
      </c>
      <c r="RZ29" t="str">
        <f>IF(COUNTIF('Final Calculation Sheet'!$AL29:$AT29,0)+COUNTIF('Final Calculation Sheet'!$AV29:$BS29,0)&gt;0,0,1)</f>
      </c>
      <c r="SA29" t="str">
        <f>IF($BH$29="",FALSE,SUMPRODUCT(('Final Calculation Sheet'!$J$4:$J$40=$BH$29)*($RZ$4:$RZ$40=1))&gt;0)</f>
      </c>
      <c r="SB29" t="str">
        <f>=$SB28+--($SA29)</f>
      </c>
      <c r="SC29" t="str">
        <f>IF(ROW()-3&gt;MAX($SB$4:$SB$40),"",INDEX($BH$4:$BH$40,MATCH(ROW()-3,$SB$4:$SB$40,0)))</f>
      </c>
      <c r="SD29" t="str">
        <f>IF(COUNTIF('Final Calculation Sheet'!$AL29:$AU29,0)+COUNTIF('Final Calculation Sheet'!$AW29:$BS29,0)&gt;0,0,1)</f>
      </c>
      <c r="SE29" t="str">
        <f>IF($BM$29="",FALSE,SUMPRODUCT(('Final Calculation Sheet'!$K$4:$K$40=$BM$29)*($SD$4:$SD$40=1))&gt;0)</f>
      </c>
      <c r="SF29" t="str">
        <f>=$SF28+--($SE29)</f>
      </c>
      <c r="SG29" t="str">
        <f>IF(ROW()-3&gt;MAX($SF$4:$SF$40),"",INDEX($BM$4:$BM$40,MATCH(ROW()-3,$SF$4:$SF$40,0)))</f>
      </c>
      <c r="SH29" t="str">
        <f>IF(COUNTIF('Final Calculation Sheet'!$AL29:$AV29,0)+COUNTIF('Final Calculation Sheet'!$AX29:$BS29,0)&gt;0,0,1)</f>
      </c>
      <c r="SI29" t="str">
        <f>IF($BR$29="",FALSE,SUMPRODUCT(('Final Calculation Sheet'!$L$4:$L$40=$BR$29)*($SH$4:$SH$40=1))&gt;0)</f>
      </c>
      <c r="SJ29" t="str">
        <f>=$SJ28+--($SI29)</f>
      </c>
      <c r="SK29" t="str">
        <f>IF(ROW()-3&gt;MAX($SJ$4:$SJ$40),"",INDEX($BR$4:$BR$40,MATCH(ROW()-3,$SJ$4:$SJ$40,0)))</f>
      </c>
      <c r="SL29" t="str">
        <f>IF(COUNTIF('Final Calculation Sheet'!$AL29:$AW29,0)+COUNTIF('Final Calculation Sheet'!$AY29:$BS29,0)&gt;0,0,1)</f>
      </c>
      <c r="SM29" t="str">
        <f>IF($BW$29="",FALSE,SUMPRODUCT(('Final Calculation Sheet'!$M$4:$M$40=$BW$29)*($SL$4:$SL$40=1))&gt;0)</f>
      </c>
      <c r="SN29" t="str">
        <f>=$SN28+--($SM29)</f>
      </c>
      <c r="SO29" t="str">
        <f>IF(ROW()-3&gt;MAX($SN$4:$SN$40),"",INDEX($BW$4:$BW$40,MATCH(ROW()-3,$SN$4:$SN$40,0)))</f>
      </c>
      <c r="SP29" t="str">
        <f>IF(COUNTIF('Final Calculation Sheet'!$AL29:$AX29,0)+COUNTIF('Final Calculation Sheet'!$AZ29:$BS29,0)&gt;0,0,1)</f>
      </c>
      <c r="SQ29" t="str">
        <f>IF($CB$29="",FALSE,SUMPRODUCT(('Final Calculation Sheet'!$N$4:$N$40=$CB$29)*($SP$4:$SP$40=1))&gt;0)</f>
      </c>
      <c r="SR29" t="str">
        <f>=$SR28+--($SQ29)</f>
      </c>
      <c r="SS29" t="str">
        <f>IF(ROW()-3&gt;MAX($SR$4:$SR$40),"",INDEX($CB$4:$CB$40,MATCH(ROW()-3,$SR$4:$SR$40,0)))</f>
      </c>
      <c r="ST29" t="str">
        <f>IF(COUNTIF('Final Calculation Sheet'!$AL29:$AY29,0)+COUNTIF('Final Calculation Sheet'!$BA29:$BS29,0)&gt;0,0,1)</f>
      </c>
      <c r="SU29" t="str">
        <f>IF($CG$29="",FALSE,SUMPRODUCT(('Final Calculation Sheet'!$O$4:$O$40=$CG$29)*($ST$4:$ST$40=1))&gt;0)</f>
      </c>
      <c r="SV29" t="str">
        <f>=$SV28+--($SU29)</f>
      </c>
      <c r="SW29" t="str">
        <f>IF(ROW()-3&gt;MAX($SV$4:$SV$40),"",INDEX($CG$4:$CG$40,MATCH(ROW()-3,$SV$4:$SV$40,0)))</f>
      </c>
      <c r="SX29" t="str">
        <f>IF(COUNTIF('Final Calculation Sheet'!$AL29:$AZ29,0)+COUNTIF('Final Calculation Sheet'!$BB29:$BS29,0)&gt;0,0,1)</f>
      </c>
      <c r="SY29" t="str">
        <f>IF($CL$29="",FALSE,SUMPRODUCT(('Final Calculation Sheet'!$P$4:$P$40=$CL$29)*($SX$4:$SX$40=1))&gt;0)</f>
      </c>
      <c r="SZ29" t="str">
        <f>=$SZ28+--($SY29)</f>
      </c>
      <c r="TA29" t="str">
        <f>IF(ROW()-3&gt;MAX($SZ$4:$SZ$40),"",INDEX($CL$4:$CL$40,MATCH(ROW()-3,$SZ$4:$SZ$40,0)))</f>
      </c>
      <c r="TB29" t="str">
        <f>IF(COUNTIF('Final Calculation Sheet'!$AL29:$BA29,0)+COUNTIF('Final Calculation Sheet'!$BC29:$BS29,0)&gt;0,0,1)</f>
      </c>
      <c r="TC29" t="str">
        <f>IF($CQ$29="",FALSE,SUMPRODUCT(('Final Calculation Sheet'!$Q$4:$Q$40=$CQ$29)*($TB$4:$TB$40=1))&gt;0)</f>
      </c>
      <c r="TD29" t="str">
        <f>=$TD28+--($TC29)</f>
      </c>
      <c r="TE29" t="str">
        <f>IF(ROW()-3&gt;MAX($TD$4:$TD$40),"",INDEX($CQ$4:$CQ$40,MATCH(ROW()-3,$TD$4:$TD$40,0)))</f>
      </c>
      <c r="TF29" t="str">
        <f>IF(COUNTIF('Final Calculation Sheet'!$AL29:$BB29,0)+COUNTIF('Final Calculation Sheet'!$BD29:$BS29,0)&gt;0,0,1)</f>
      </c>
      <c r="TG29" t="str">
        <f>IF($CV$29="",FALSE,SUMPRODUCT(('Final Calculation Sheet'!$R$4:$R$40=$CV$29)*($TF$4:$TF$40=1))&gt;0)</f>
      </c>
      <c r="TH29" t="str">
        <f>=$TH28+--($TG29)</f>
      </c>
      <c r="TI29" t="str">
        <f>IF(ROW()-3&gt;MAX($TH$4:$TH$40),"",INDEX($CV$4:$CV$40,MATCH(ROW()-3,$TH$4:$TH$40,0)))</f>
      </c>
      <c r="TJ29" t="str">
        <f>IF(COUNTIF('Final Calculation Sheet'!$AL29:$BC29,0)+COUNTIF('Final Calculation Sheet'!$BE29:$BS29,0)&gt;0,0,1)</f>
      </c>
      <c r="TK29" t="str">
        <f>IF($DA$29="",FALSE,SUMPRODUCT(('Final Calculation Sheet'!$S$4:$S$40=$DA$29)*($TJ$4:$TJ$40=1))&gt;0)</f>
      </c>
      <c r="TL29" t="str">
        <f>=$TL28+--($TK29)</f>
      </c>
      <c r="TM29" t="str">
        <f>IF(ROW()-3&gt;MAX($TL$4:$TL$40),"",INDEX($DA$4:$DA$40,MATCH(ROW()-3,$TL$4:$TL$40,0)))</f>
      </c>
      <c r="TN29" t="str">
        <f>IF(COUNTIF('Final Calculation Sheet'!$AL29:$BD29,0)+COUNTIF('Final Calculation Sheet'!$BF29:$BS29,0)&gt;0,0,1)</f>
      </c>
      <c r="TO29" t="str">
        <f>IF($DF$29="",FALSE,SUMPRODUCT(('Final Calculation Sheet'!$T$4:$T$40=$DF$29)*($TN$4:$TN$40=1))&gt;0)</f>
      </c>
      <c r="TP29" t="str">
        <f>=$TP28+--($TO29)</f>
      </c>
      <c r="TQ29" t="str">
        <f>IF(ROW()-3&gt;MAX($TP$4:$TP$40),"",INDEX($DF$4:$DF$40,MATCH(ROW()-3,$TP$4:$TP$40,0)))</f>
      </c>
      <c r="TR29" t="str">
        <f>IF(COUNTIF('Final Calculation Sheet'!$AL29:$BE29,0)+COUNTIF('Final Calculation Sheet'!$BG29:$BS29,0)&gt;0,0,1)</f>
      </c>
      <c r="TS29" t="str">
        <f>IF($DK$29="",FALSE,SUMPRODUCT(('Final Calculation Sheet'!$U$4:$U$40=$DK$29)*($TR$4:$TR$40=1))&gt;0)</f>
      </c>
      <c r="TT29" t="str">
        <f>=$TT28+--($TS29)</f>
      </c>
      <c r="TU29" t="str">
        <f>IF(ROW()-3&gt;MAX($TT$4:$TT$40),"",INDEX($DK$4:$DK$40,MATCH(ROW()-3,$TT$4:$TT$40,0)))</f>
      </c>
      <c r="TV29" t="str">
        <f>IF(COUNTIF('Final Calculation Sheet'!$AL29:$BF29,0)+COUNTIF('Final Calculation Sheet'!$BH29:$BS29,0)&gt;0,0,1)</f>
      </c>
      <c r="TW29" t="str">
        <f>IF($DP$29="",FALSE,SUMPRODUCT(('Final Calculation Sheet'!$V$4:$V$40=$DP$29)*($TV$4:$TV$40=1))&gt;0)</f>
      </c>
      <c r="TX29" t="str">
        <f>=$TX28+--($TW29)</f>
      </c>
      <c r="TY29" t="str">
        <f>IF(ROW()-3&gt;MAX($TX$4:$TX$40),"",INDEX($DP$4:$DP$40,MATCH(ROW()-3,$TX$4:$TX$40,0)))</f>
      </c>
      <c r="TZ29" t="str">
        <f>IF(COUNTIF('Final Calculation Sheet'!$AL29:$BG29,0)+COUNTIF('Final Calculation Sheet'!$BI29:$BS29,0)&gt;0,0,1)</f>
      </c>
      <c r="UA29" t="str">
        <f>IF($DU$29="",FALSE,SUMPRODUCT(('Final Calculation Sheet'!$W$4:$W$40=$DU$29)*($TZ$4:$TZ$40=1))&gt;0)</f>
      </c>
      <c r="UB29" t="str">
        <f>=$UB28+--($UA29)</f>
      </c>
      <c r="UC29" t="str">
        <f>IF(ROW()-3&gt;MAX($UB$4:$UB$40),"",INDEX($DU$4:$DU$40,MATCH(ROW()-3,$UB$4:$UB$40,0)))</f>
      </c>
      <c r="UD29" t="str">
        <f>IF(COUNTIF('Final Calculation Sheet'!$AL29:$BH29,0)+COUNTIF('Final Calculation Sheet'!$BJ29:$BS29,0)&gt;0,0,1)</f>
      </c>
      <c r="UE29" t="str">
        <f>IF($DZ$29="",FALSE,SUMPRODUCT(('Final Calculation Sheet'!$X$4:$X$40=$DZ$29)*($UD$4:$UD$40=1))&gt;0)</f>
      </c>
      <c r="UF29" t="str">
        <f>=$UF28+--($UE29)</f>
      </c>
      <c r="UG29" t="str">
        <f>IF(ROW()-3&gt;MAX($UF$4:$UF$40),"",INDEX($DZ$4:$DZ$40,MATCH(ROW()-3,$UF$4:$UF$40,0)))</f>
      </c>
      <c r="UH29" t="str">
        <f>IF(COUNTIF('Final Calculation Sheet'!$AL29:$BI29,0)+COUNTIF('Final Calculation Sheet'!$BK29:$BS29,0)&gt;0,0,1)</f>
      </c>
      <c r="UI29" t="str">
        <f>IF($EE$29="",FALSE,SUMPRODUCT(('Final Calculation Sheet'!$Y$4:$Y$40=$EE$29)*($UH$4:$UH$40=1))&gt;0)</f>
      </c>
      <c r="UJ29" t="str">
        <f>=$UJ28+--($UI29)</f>
      </c>
      <c r="UK29" t="str">
        <f>IF(ROW()-3&gt;MAX($UJ$4:$UJ$40),"",INDEX($EE$4:$EE$40,MATCH(ROW()-3,$UJ$4:$UJ$40,0)))</f>
      </c>
      <c r="UL29" t="str">
        <f>IF(COUNTIF('Final Calculation Sheet'!$AL29:$BJ29,0)+COUNTIF('Final Calculation Sheet'!$BL29:$BS29,0)&gt;0,0,1)</f>
      </c>
      <c r="UM29" t="str">
        <f>IF($EJ$29="",FALSE,SUMPRODUCT(('Final Calculation Sheet'!$Z$4:$Z$40=$EJ$29)*($UL$4:$UL$40=1))&gt;0)</f>
      </c>
      <c r="UN29" t="str">
        <f>=$UN28+--($UM29)</f>
      </c>
      <c r="UO29" t="str">
        <f>IF(ROW()-3&gt;MAX($UN$4:$UN$40),"",INDEX($EJ$4:$EJ$40,MATCH(ROW()-3,$UN$4:$UN$40,0)))</f>
      </c>
      <c r="UP29" t="str">
        <f>IF(COUNTIF('Final Calculation Sheet'!$AL29:$BK29,0)+COUNTIF('Final Calculation Sheet'!$BM29:$BS29,0)&gt;0,0,1)</f>
      </c>
      <c r="UQ29" t="str">
        <f>IF($EO$29="",FALSE,SUMPRODUCT(('Final Calculation Sheet'!$AA$4:$AA$40=$EO$29)*($UP$4:$UP$40=1))&gt;0)</f>
      </c>
      <c r="UR29" t="str">
        <f>=$UR28+--($UQ29)</f>
      </c>
      <c r="US29" t="str">
        <f>IF(ROW()-3&gt;MAX($UR$4:$UR$40),"",INDEX($EO$4:$EO$40,MATCH(ROW()-3,$UR$4:$UR$40,0)))</f>
      </c>
      <c r="UT29" t="str">
        <f>IF(COUNTIF('Final Calculation Sheet'!$AL29:$BL29,0)+COUNTIF('Final Calculation Sheet'!$BN29:$BS29,0)&gt;0,0,1)</f>
      </c>
      <c r="UU29" t="str">
        <f>IF($ET$29="",FALSE,SUMPRODUCT(('Final Calculation Sheet'!$AB$4:$AB$40=$ET$29)*($UT$4:$UT$40=1))&gt;0)</f>
      </c>
      <c r="UV29" t="str">
        <f>=$UV28+--($UU29)</f>
      </c>
      <c r="UW29" t="str">
        <f>IF(ROW()-3&gt;MAX($UV$4:$UV$40),"",INDEX($ET$4:$ET$40,MATCH(ROW()-3,$UV$4:$UV$40,0)))</f>
      </c>
      <c r="UX29" t="str">
        <f>IF(COUNTIF('Final Calculation Sheet'!$AL29:$BM29,0)+COUNTIF('Final Calculation Sheet'!$BO29:$BS29,0)&gt;0,0,1)</f>
      </c>
      <c r="UY29" t="str">
        <f>IF($EY$29="",FALSE,SUMPRODUCT(('Final Calculation Sheet'!$AC$4:$AC$40=$EY$29)*($UX$4:$UX$40=1))&gt;0)</f>
      </c>
      <c r="UZ29" t="str">
        <f>=$UZ28+--($UY29)</f>
      </c>
      <c r="VA29" t="str">
        <f>IF(ROW()-3&gt;MAX($UZ$4:$UZ$40),"",INDEX($EY$4:$EY$40,MATCH(ROW()-3,$UZ$4:$UZ$40,0)))</f>
      </c>
      <c r="VB29" t="str">
        <f>IF(COUNTIF('Final Calculation Sheet'!$AL29:$BN29,0)+COUNTIF('Final Calculation Sheet'!$BP29:$BS29,0)&gt;0,0,1)</f>
      </c>
      <c r="VC29" t="str">
        <f>IF($FD$29="",FALSE,SUMPRODUCT(('Final Calculation Sheet'!$AD$4:$AD$40=$FD$29)*($VB$4:$VB$40=1))&gt;0)</f>
      </c>
      <c r="VD29" t="str">
        <f>=$VD28+--($VC29)</f>
      </c>
      <c r="VE29" t="str">
        <f>IF(ROW()-3&gt;MAX($VD$4:$VD$40),"",INDEX($FD$4:$FD$40,MATCH(ROW()-3,$VD$4:$VD$40,0)))</f>
      </c>
      <c r="VF29" t="str">
        <f>IF(COUNTIF('Final Calculation Sheet'!$AL29:$BO29,0)+COUNTIF('Final Calculation Sheet'!$BQ29:$BS29,0)&gt;0,0,1)</f>
      </c>
      <c r="VG29" t="str">
        <f>IF($FI$29="",FALSE,SUMPRODUCT(('Final Calculation Sheet'!$AE$4:$AE$40=$FI$29)*($VF$4:$VF$40=1))&gt;0)</f>
      </c>
      <c r="VH29" t="str">
        <f>=$VH28+--($VG29)</f>
      </c>
      <c r="VI29" t="str">
        <f>IF(ROW()-3&gt;MAX($VH$4:$VH$40),"",INDEX($FI$4:$FI$40,MATCH(ROW()-3,$VH$4:$VH$40,0)))</f>
      </c>
      <c r="VJ29" t="str">
        <f>IF(COUNTIF('Final Calculation Sheet'!$AL29:$BP29,0)+COUNTIF('Final Calculation Sheet'!$BR29:$BS29,0)&gt;0,0,1)</f>
      </c>
      <c r="VK29" t="str">
        <f>IF($FN$29="",FALSE,SUMPRODUCT(('Final Calculation Sheet'!$AF$4:$AF$40=$FN$29)*($VJ$4:$VJ$40=1))&gt;0)</f>
      </c>
      <c r="VL29" t="str">
        <f>=$VL28+--($VK29)</f>
      </c>
      <c r="VM29" t="str">
        <f>IF(ROW()-3&gt;MAX($VL$4:$VL$40),"",INDEX($FN$4:$FN$40,MATCH(ROW()-3,$VL$4:$VL$40,0)))</f>
      </c>
      <c r="VN29" t="str">
        <f>IF(COUNTIF('Final Calculation Sheet'!$AL29:$BQ29,0)+COUNTIF('Final Calculation Sheet'!$BS29:$BS29,0)&gt;0,0,1)</f>
      </c>
      <c r="VO29" t="str">
        <f>IF($FS$29="",FALSE,SUMPRODUCT(('Final Calculation Sheet'!$AG$4:$AG$40=$FS$29)*($VN$4:$VN$40=1))&gt;0)</f>
      </c>
      <c r="VP29" t="str">
        <f>=$VP28+--($VO29)</f>
      </c>
      <c r="VQ29" t="str">
        <f>IF(ROW()-3&gt;MAX($VP$4:$VP$40),"",INDEX($FS$4:$FS$40,MATCH(ROW()-3,$VP$4:$VP$40,0)))</f>
      </c>
      <c r="VR29" t="str">
        <f>IF(COUNTIF('Final Calculation Sheet'!$AL29:$BR29,0)&gt;0,0,1)</f>
      </c>
      <c r="VS29" t="str">
        <f>IF($QO$29="",FALSE,SUMPRODUCT(('Final Calculation Sheet'!$AH$4:$AH$40=$QO$29)*($VR$4:$VR$40=1))&gt;0)</f>
      </c>
      <c r="VT29" t="str">
        <f>=$VT28+--($VS29)</f>
      </c>
      <c r="VU29" t="str">
        <f>IF(ROW()-3&gt;MAX($VT$4:$VT$40),"",INDEX($QO$4:$QO$40,MATCH(ROW()-3,$VT$4:$VT$40,0)))</f>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IF(COUNTIF('Live Search'!BM$29:BM$29,0)+COUNTIF('Live Search'!B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D30">
        <f>IF($O$30="",FALSE,SUMPRODUCT(('Final Calculation Sheet'!$F$4:$F$40=$O$30)*($GC$6:$GC$42=1))&gt;0)</f>
        <v/>
      </c>
      <c r="GE30">
        <f>$GE$29+--($GD30)</f>
        <v/>
      </c>
      <c r="GF30">
        <f>IF(ROW()-3&gt;MAX($GE$4:$GE$40),"",INDEX($O$4:$O$40,MATCH(ROW()-3,$GE$4:$GE$40,0)))</f>
        <v/>
      </c>
      <c r="GG30">
        <f>IF(COUNTIF('Live Search'!BM$29:BN$29,0)+COUNTIF('Live Search'!B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H30">
        <f>IF($T$30="",FALSE,SUMPRODUCT(('Final Calculation Sheet'!$G$4:$G$40=$T$30)*($GG$6:$GG$42=1))&gt;0)</f>
        <v/>
      </c>
      <c r="GI30">
        <f>$GI$29+--($GH30)</f>
        <v/>
      </c>
      <c r="GJ30">
        <f>IF(ROW()-3&gt;MAX($GI$4:$GI$40),"",INDEX($T$4:$T$40,MATCH(ROW()-3,$GI$4:$GI$40,0)))</f>
        <v/>
      </c>
      <c r="GK30">
        <f>IF(COUNTIF('Live Search'!BM$29:BP$29,0)+COUNTIF('Live Search'!B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L30">
        <f>IF($AD$30="",FALSE,SUMPRODUCT(('Final Calculation Sheet'!$D$4:$D$40=$AD$30)*($GK$6:$GK$42=1))&gt;0)</f>
        <v/>
      </c>
      <c r="GM30">
        <f>$GM$29+--($GL30)</f>
        <v/>
      </c>
      <c r="GN30">
        <f>IF(ROW()-3&gt;MAX($GM$4:$GM$40),"",INDEX($AD$4:$AD$40,MATCH(ROW()-3,$GM$4:$GM$40,0)))</f>
        <v/>
      </c>
      <c r="GO30">
        <f>IF(COUNTIF('Live Search'!BM$29:BQ$29,0)+COUNTIF('Live Search'!B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P30">
        <f>IF($AI$30="",FALSE,SUMPRODUCT(('Final Calculation Sheet'!$A$4:$A$40=$AI$30)*($GO$6:$GO$42=1))&gt;0)</f>
        <v/>
      </c>
      <c r="GQ30">
        <f>$GQ$29+--($GP30)</f>
        <v/>
      </c>
      <c r="GR30">
        <f>IF(ROW()-3&gt;MAX($GQ$4:$GQ$40),"",INDEX($AI$4:$AI$40,MATCH(ROW()-3,$GQ$4:$GQ$40,0)))</f>
        <v/>
      </c>
      <c r="GS30">
        <f>IF(COUNTIF('Live Search'!BM$29:BR$29,0)+COUNTIF('Live Search'!B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T30">
        <f>IF($AN$30="",FALSE,SUMPRODUCT(('Final Calculation Sheet'!$E$4:$E$40=$AN$30)*($GS$6:$GS$42=1))&gt;0)</f>
        <v/>
      </c>
      <c r="GU30">
        <f>$GU$29+--($GT30)</f>
        <v/>
      </c>
      <c r="GV30">
        <f>IF(ROW()-3&gt;MAX($GU$4:$GU$40),"",INDEX($AN$4:$AN$40,MATCH(ROW()-3,$GU$4:$GU$40,0)))</f>
        <v/>
      </c>
      <c r="GW30">
        <f>IF(COUNTIF('Live Search'!BM$29:BS$29,0)+COUNTIF('Live Search'!B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GX30">
        <f>IF($AS$30="",FALSE,SUMPRODUCT(('Final Calculation Sheet'!$C$4:$C$40=$AS$30)*($GW$6:$GW$42=1))&gt;0)</f>
        <v/>
      </c>
      <c r="GY30">
        <f>$GY$29+--($GX30)</f>
        <v/>
      </c>
      <c r="GZ30">
        <f>IF(ROW()-3&gt;MAX($GY$4:$GY$40),"",INDEX($AS$4:$AS$40,MATCH(ROW()-3,$GY$4:$GY$40,0)))</f>
        <v/>
      </c>
      <c r="HA30">
        <f>IF(COUNTIF('Live Search'!BM$29:BT$29,0)+COUNTIF('Live Search'!BV$29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B30">
        <f>IF($AX$30="",FALSE,SUMPRODUCT(('Final Calculation Sheet'!$H$4:$H$40=$AX$30)*($HA$6:$HA$42=1))&gt;0)</f>
        <v/>
      </c>
      <c r="HC30">
        <f>$HC$29+--($HB30)</f>
        <v/>
      </c>
      <c r="HD30">
        <f>IF(ROW()-3&gt;MAX($HC$4:$HC$40),"",INDEX($AX$4:$AX$40,MATCH(ROW()-3,$HC$4:$HC$40,0)))</f>
        <v/>
      </c>
      <c r="HE30">
        <f>IF(COUNTIF('Live Search'!BM$29:BU$29,0)+COUNTIF('Live Search'!BW$29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F30">
        <f>IF($BC$30="",FALSE,SUMPRODUCT(('Final Calculation Sheet'!$I$4:$I$40=$BC$30)*($HE$6:$HE$42=1))&gt;0)</f>
        <v/>
      </c>
      <c r="HG30">
        <f>$HG$29+--($HF30)</f>
        <v/>
      </c>
      <c r="HH30">
        <f>IF(ROW()-3&gt;MAX($HG$4:$HG$40),"",INDEX($BC$4:$BC$40,MATCH(ROW()-3,$HG$4:$HG$40,0)))</f>
        <v/>
      </c>
      <c r="HI30">
        <f>IF(COUNTIF('Live Search'!BM$29:BV$29,0)+COUNTIF('Live Search'!BX$29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J30">
        <f>IF($BH$30="",FALSE,SUMPRODUCT(('Final Calculation Sheet'!$J$4:$J$40=$BH$30)*($HI$6:$HI$42=1))&gt;0)</f>
        <v/>
      </c>
      <c r="HK30">
        <f>$HK$29+--($HJ30)</f>
        <v/>
      </c>
      <c r="HL30">
        <f>IF(ROW()-3&gt;MAX($HK$4:$HK$40),"",INDEX($BH$4:$BH$40,MATCH(ROW()-3,$HK$4:$HK$40,0)))</f>
        <v/>
      </c>
      <c r="HM30">
        <f>IF(COUNTIF('Live Search'!BM$29:BW$29,0)+COUNTIF('Live Search'!BY$29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N30">
        <f>IF($BM$30="",FALSE,SUMPRODUCT(('Final Calculation Sheet'!$K$4:$K$40=$BM$30)*($HM$6:$HM$42=1))&gt;0)</f>
        <v/>
      </c>
      <c r="HO30">
        <f>$HO$29+--($HN30)</f>
        <v/>
      </c>
      <c r="HP30">
        <f>IF(ROW()-3&gt;MAX($HO$4:$HO$40),"",INDEX($BM$4:$BM$40,MATCH(ROW()-3,$HO$4:$HO$40,0)))</f>
        <v/>
      </c>
      <c r="HQ30">
        <f>IF(COUNTIF('Live Search'!BM$29:BX$29,0)+COUNTIF('Live Search'!BZ$29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R30">
        <f>IF($BR$30="",FALSE,SUMPRODUCT(('Final Calculation Sheet'!$L$4:$L$40=$BR$30)*($HQ$6:$HQ$42=1))&gt;0)</f>
        <v/>
      </c>
      <c r="HS30">
        <f>$HS$29+--($HR30)</f>
        <v/>
      </c>
      <c r="HT30">
        <f>IF(ROW()-3&gt;MAX($HS$4:$HS$40),"",INDEX($BR$4:$BR$40,MATCH(ROW()-3,$HS$4:$HS$40,0)))</f>
        <v/>
      </c>
      <c r="HU30">
        <f>IF(COUNTIF('Live Search'!BM$29:BY$29,0)+COUNTIF('Live Search'!CA$29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V30">
        <f>IF($BW$30="",FALSE,SUMPRODUCT(('Final Calculation Sheet'!$M$4:$M$40=$BW$30)*($HU$6:$HU$42=1))&gt;0)</f>
        <v/>
      </c>
      <c r="HW30">
        <f>$HW$29+--($HV30)</f>
        <v/>
      </c>
      <c r="HX30">
        <f>IF(ROW()-3&gt;MAX($HW$4:$HW$40),"",INDEX($BW$4:$BW$40,MATCH(ROW()-3,$HW$4:$HW$40,0)))</f>
        <v/>
      </c>
      <c r="HY30">
        <f>IF(COUNTIF('Live Search'!BM$29:BZ$29,0)+COUNTIF('Live Search'!CB$29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HZ30">
        <f>IF($CB$30="",FALSE,SUMPRODUCT(('Final Calculation Sheet'!$N$4:$N$40=$CB$30)*($HY$6:$HY$42=1))&gt;0)</f>
        <v/>
      </c>
      <c r="IA30">
        <f>$IA$29+--($HZ30)</f>
        <v/>
      </c>
      <c r="IB30">
        <f>IF(ROW()-3&gt;MAX($IA$4:$IA$40),"",INDEX($CB$4:$CB$40,MATCH(ROW()-3,$IA$4:$IA$40,0)))</f>
        <v/>
      </c>
      <c r="IC30">
        <f>IF(COUNTIF('Live Search'!BM$29:CA$29,0)+COUNTIF('Live Search'!CC$29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D30">
        <f>IF($CG$30="",FALSE,SUMPRODUCT(('Final Calculation Sheet'!$O$4:$O$40=$CG$30)*($IC$6:$IC$42=1))&gt;0)</f>
        <v/>
      </c>
      <c r="IE30">
        <f>$IE$29+--($ID30)</f>
        <v/>
      </c>
      <c r="IF30">
        <f>IF(ROW()-3&gt;MAX($IE$4:$IE$40),"",INDEX($CG$4:$CG$40,MATCH(ROW()-3,$IE$4:$IE$40,0)))</f>
        <v/>
      </c>
      <c r="IG30">
        <f>IF(COUNTIF('Live Search'!BM$29:CB$29,0)+COUNTIF('Live Search'!CD$29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H30">
        <f>IF($CL$30="",FALSE,SUMPRODUCT(('Final Calculation Sheet'!$P$4:$P$40=$CL$30)*($IG$6:$IG$42=1))&gt;0)</f>
        <v/>
      </c>
      <c r="II30">
        <f>$II$29+--($IH30)</f>
        <v/>
      </c>
      <c r="IJ30">
        <f>IF(ROW()-3&gt;MAX($II$4:$II$40),"",INDEX($CL$4:$CL$40,MATCH(ROW()-3,$II$4:$II$40,0)))</f>
        <v/>
      </c>
      <c r="IK30">
        <f>IF(COUNTIF('Live Search'!BM$29:CC$29,0)+COUNTIF('Live Search'!CE$29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L30">
        <f>IF($CQ$30="",FALSE,SUMPRODUCT(('Final Calculation Sheet'!$Q$4:$Q$40=$CQ$30)*($IK$6:$IK$42=1))&gt;0)</f>
        <v/>
      </c>
      <c r="IM30">
        <f>$IM$29+--($IL30)</f>
        <v/>
      </c>
      <c r="IN30">
        <f>IF(ROW()-3&gt;MAX($IM$4:$IM$40),"",INDEX($CQ$4:$CQ$40,MATCH(ROW()-3,$IM$4:$IM$40,0)))</f>
        <v/>
      </c>
      <c r="IO30">
        <f>IF(COUNTIF('Live Search'!BM$29:CD$29,0)+COUNTIF('Live Search'!CF$29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P30">
        <f>IF($CV$30="",FALSE,SUMPRODUCT(('Final Calculation Sheet'!$R$4:$R$40=$CV$30)*($IO$6:$IO$42=1))&gt;0)</f>
        <v/>
      </c>
      <c r="IQ30">
        <f>$IQ$29+--($IP30)</f>
        <v/>
      </c>
      <c r="IR30">
        <f>IF(ROW()-3&gt;MAX($IQ$4:$IQ$40),"",INDEX($CV$4:$CV$40,MATCH(ROW()-3,$IQ$4:$IQ$40,0)))</f>
        <v/>
      </c>
      <c r="IS30">
        <f>IF(COUNTIF('Live Search'!BM$29:CE$29,0)+COUNTIF('Live Search'!CG$29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T30">
        <f>IF($DA$30="",FALSE,SUMPRODUCT(('Final Calculation Sheet'!$S$4:$S$40=$DA$30)*($IS$6:$IS$42=1))&gt;0)</f>
        <v/>
      </c>
      <c r="IU30">
        <f>$IU$29+--($IT30)</f>
        <v/>
      </c>
      <c r="IV30">
        <f>IF(ROW()-3&gt;MAX($IU$4:$IU$40),"",INDEX($DA$4:$DA$40,MATCH(ROW()-3,$IU$4:$IU$40,0)))</f>
        <v/>
      </c>
      <c r="IW30">
        <f>IF(COUNTIF('Live Search'!BM$29:CF$29,0)+COUNTIF('Live Search'!CH$29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IX30">
        <f>IF($DF$30="",FALSE,SUMPRODUCT(('Final Calculation Sheet'!$T$4:$T$40=$DF$30)*($IW$6:$IW$42=1))&gt;0)</f>
        <v/>
      </c>
      <c r="IY30">
        <f>$IY$29+--($IX30)</f>
        <v/>
      </c>
      <c r="IZ30">
        <f>IF(ROW()-3&gt;MAX($IY$4:$IY$40),"",INDEX($DF$4:$DF$40,MATCH(ROW()-3,$IY$4:$IY$40,0)))</f>
        <v/>
      </c>
      <c r="JA30">
        <f>IF(COUNTIF('Live Search'!BM$29:CG$29,0)+COUNTIF('Live Search'!CI$29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B30">
        <f>IF($DK$30="",FALSE,SUMPRODUCT(('Final Calculation Sheet'!$U$4:$U$40=$DK$30)*($JA$6:$JA$42=1))&gt;0)</f>
        <v/>
      </c>
      <c r="JC30">
        <f>$JC$29+--($JB30)</f>
        <v/>
      </c>
      <c r="JD30">
        <f>IF(ROW()-3&gt;MAX($JC$4:$JC$40),"",INDEX($DK$4:$DK$40,MATCH(ROW()-3,$JC$4:$JC$40,0)))</f>
        <v/>
      </c>
      <c r="JE30">
        <f>IF(COUNTIF('Live Search'!BM$29:CH$29,0)+COUNTIF('Live Search'!CJ$29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F30">
        <f>IF($DP$30="",FALSE,SUMPRODUCT(('Final Calculation Sheet'!$V$4:$V$40=$DP$30)*($JE$6:$JE$42=1))&gt;0)</f>
        <v/>
      </c>
      <c r="JG30">
        <f>$JG$29+--($JF30)</f>
        <v/>
      </c>
      <c r="JH30">
        <f>IF(ROW()-3&gt;MAX($JG$4:$JG$40),"",INDEX($DP$4:$DP$40,MATCH(ROW()-3,$JG$4:$JG$40,0)))</f>
        <v/>
      </c>
      <c r="JI30">
        <f>IF(COUNTIF('Live Search'!BM$29:CI$29,0)+COUNTIF('Live Search'!CK$29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J30">
        <f>IF($DU$30="",FALSE,SUMPRODUCT(('Final Calculation Sheet'!$W$4:$W$40=$DU$30)*($JI$6:$JI$42=1))&gt;0)</f>
        <v/>
      </c>
      <c r="JK30">
        <f>$JK$29+--($JJ30)</f>
        <v/>
      </c>
      <c r="JL30">
        <f>IF(ROW()-3&gt;MAX($JK$4:$JK$40),"",INDEX($DU$4:$DU$40,MATCH(ROW()-3,$JK$4:$JK$40,0)))</f>
        <v/>
      </c>
      <c r="JM30">
        <f>IF(COUNTIF('Live Search'!BM$29:CJ$29,0)+COUNTIF('Live Search'!CL$29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N30">
        <f>IF($DZ$30="",FALSE,SUMPRODUCT(('Final Calculation Sheet'!$X$4:$X$40=$DZ$30)*($JM$6:$JM$42=1))&gt;0)</f>
        <v/>
      </c>
      <c r="JO30">
        <f>$JO$29+--($JN30)</f>
        <v/>
      </c>
      <c r="JP30">
        <f>IF(ROW()-3&gt;MAX($JO$4:$JO$40),"",INDEX($DZ$4:$DZ$40,MATCH(ROW()-3,$JO$4:$JO$40,0)))</f>
        <v/>
      </c>
      <c r="JQ30">
        <f>IF(COUNTIF('Live Search'!BM$29:CK$29,0)+COUNTIF('Live Search'!C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R30">
        <f>IF($EE$30="",FALSE,SUMPRODUCT(('Final Calculation Sheet'!$Y$4:$Y$40=$EE$30)*($JQ$6:$JQ$42=1))&gt;0)</f>
        <v/>
      </c>
      <c r="JS30">
        <f>$JS$29+--($JR30)</f>
        <v/>
      </c>
      <c r="JT30">
        <f>IF(ROW()-3&gt;MAX($JS$4:$JS$40),"",INDEX($EE$4:$EE$40,MATCH(ROW()-3,$JS$4:$JS$40,0)))</f>
        <v/>
      </c>
      <c r="JU30">
        <f>IF(COUNTIF('Live Search'!BM$29:CL$29,0)+COUNTIF('Live Search'!CN$29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V30">
        <f>IF($EJ$30="",FALSE,SUMPRODUCT(('Final Calculation Sheet'!$Z$4:$Z$40=$EJ$30)*($JU$6:$JU$42=1))&gt;0)</f>
        <v/>
      </c>
      <c r="JW30">
        <f>$JW$29+--($JV30)</f>
        <v/>
      </c>
      <c r="JX30">
        <f>IF(ROW()-3&gt;MAX($JW$4:$JW$40),"",INDEX($EJ$4:$EJ$40,MATCH(ROW()-3,$JW$4:$JW$40,0)))</f>
        <v/>
      </c>
      <c r="JY30">
        <f>IF(COUNTIF('Live Search'!BM$29:CM$29,0)+COUNTIF('Live Search'!CO$29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JZ30">
        <f>IF($EO$30="",FALSE,SUMPRODUCT(('Final Calculation Sheet'!$AA$4:$AA$40=$EO$30)*($JY$6:$JY$42=1))&gt;0)</f>
        <v/>
      </c>
      <c r="KA30">
        <f>$KA$29+--($JZ30)</f>
        <v/>
      </c>
      <c r="KB30">
        <f>IF(ROW()-3&gt;MAX($KA$4:$KA$40),"",INDEX($EO$4:$EO$40,MATCH(ROW()-3,$KA$4:$KA$40,0)))</f>
        <v/>
      </c>
      <c r="KC30">
        <f>IF(COUNTIF('Live Search'!BM$29:CN$29,0)+COUNTIF('Live Search'!CP$29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D30">
        <f>IF($ET$30="",FALSE,SUMPRODUCT(('Final Calculation Sheet'!$AB$4:$AB$40=$ET$30)*($KC$6:$KC$42=1))&gt;0)</f>
        <v/>
      </c>
      <c r="KE30">
        <f>$KE$29+--($KD30)</f>
        <v/>
      </c>
      <c r="KF30">
        <f>IF(ROW()-3&gt;MAX($KE$4:$KE$40),"",INDEX($ET$4:$ET$40,MATCH(ROW()-3,$KE$4:$KE$40,0)))</f>
        <v/>
      </c>
      <c r="KG30">
        <f>IF(COUNTIF('Live Search'!BM$29:CO$29,0)+COUNTIF('Live Search'!CQ$29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H30">
        <f>IF($EY$30="",FALSE,SUMPRODUCT(('Final Calculation Sheet'!$AC$4:$AC$40=$EY$30)*($KG$6:$KG$42=1))&gt;0)</f>
        <v/>
      </c>
      <c r="KI30">
        <f>$KI$29+--($KH30)</f>
        <v/>
      </c>
      <c r="KJ30">
        <f>IF(ROW()-3&gt;MAX($KI$4:$KI$40),"",INDEX($EY$4:$EY$40,MATCH(ROW()-3,$KI$4:$KI$40,0)))</f>
        <v/>
      </c>
      <c r="KK30">
        <f>IF(COUNTIF('Live Search'!BM$29:CP$29,0)+COUNTIF('Live Search'!CR$29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L30">
        <f>IF($FD$30="",FALSE,SUMPRODUCT(('Final Calculation Sheet'!$AD$4:$AD$40=$FD$30)*($KK$6:$KK$42=1))&gt;0)</f>
        <v/>
      </c>
      <c r="KM30">
        <f>$KM$29+--($KL30)</f>
        <v/>
      </c>
      <c r="KN30">
        <f>IF(ROW()-3&gt;MAX($KM$4:$KM$40),"",INDEX($FD$4:$FD$40,MATCH(ROW()-3,$KM$4:$KM$40,0)))</f>
        <v/>
      </c>
      <c r="KO30">
        <f>IF(COUNTIF('Live Search'!BM$29:CT$29,0)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P30">
        <f>IF($FX$30="",FALSE,SUMPRODUCT((IF('Final Calculation Sheet'!$AD$4:$AD$40&lt;=5,"SETTLED","OUTSTANDING")=$FX$30)*($KO$6:$KO$42=1))&gt;0)</f>
        <v/>
      </c>
      <c r="KQ30">
        <f>$KQ$29+--($KP30)</f>
        <v/>
      </c>
      <c r="KR30">
        <f>IF(ROW()-3&gt;MAX($KQ$4:$KQ$40),"",INDEX($FX$4:$FX$40,MATCH(ROW()-3,$KQ$4:$KQ$40,0)))</f>
        <v/>
      </c>
      <c r="KS30">
        <f>IF(COUNTIF('Live Search'!BM$29:CQ$29,0)+COUNTIF('Live Search'!CS$29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T30">
        <f>IF($FI$30="",FALSE,SUMPRODUCT(('Final Calculation Sheet'!$AF$4:$AF$40=$FI$30)*($KS$6:$KS$42=1))&gt;0)</f>
        <v/>
      </c>
      <c r="KU30">
        <f>$KU$29+--($KT30)</f>
        <v/>
      </c>
      <c r="KV30">
        <f>IF(ROW()-3&gt;MAX($KU$4:$KU$40),"",INDEX($FI$4:$FI$40,MATCH(ROW()-3,$KU$4:$KU$40,0)))</f>
        <v/>
      </c>
      <c r="KW30">
        <f>IF(COUNTIF('Live Search'!BM$29:CR$29,0)+COUNTIF('Live Search'!CT$29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KX30">
        <f>IF($FN$30="",FALSE,SUMPRODUCT(('Final Calculation Sheet'!$AG$4:$AG$40=$FN$30)*($KW$6:$KW$42=1))&gt;0)</f>
        <v/>
      </c>
      <c r="KY30">
        <f>$KY$29+--($KX30)</f>
        <v/>
      </c>
      <c r="KZ30">
        <f>IF(ROW()-3&gt;MAX($KY$4:$KY$40),"",INDEX($FN$4:$FN$40,MATCH(ROW()-3,$KY$4:$KY$40,0)))</f>
        <v/>
      </c>
      <c r="LA30">
        <f>IF(COUNTIF('Live Search'!BM$29:CS$29,0)+COUNTIF('Live Search'!CU$29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LB30">
        <f>IF($FS$30="",FALSE,SUMPRODUCT(('Final Calculation Sheet'!$AH$4:$AH$40=$FS$30)*($LA$6:$LA$42=1))&gt;0)</f>
        <v/>
      </c>
      <c r="LC30">
        <f>$LC$29+--($LB30)</f>
        <v/>
      </c>
      <c r="LD30">
        <f>IF(ROW()-3&gt;MAX($LC$4:$LC$40),"",INDEX($FS$4:$FS$40,MATCH(ROW()-3,$LC$4:$LC$40,0)))</f>
        <v/>
      </c>
      <c r="LE30">
        <f>IF(COUNTIF('Buyer Groups'!DH83:EN83,0)&gt;0,0,1)</f>
        <v/>
      </c>
      <c r="LF30">
        <f>IF($O$30="",FALSE,SUMPRODUCT(('Final Calculation Sheet'!$F$4:$F$40=$O$30)*($LE$6:$LE$42=1))&gt;0)</f>
        <v/>
      </c>
      <c r="LG30">
        <f>$LG$29+--($LF30)</f>
        <v/>
      </c>
      <c r="LH30">
        <f>IF(ROW()-3&gt;MAX($LG$4:$LG$40),"",INDEX($O$4:$O$40,MATCH(ROW()-3,$LG$4:$LG$40,0)))</f>
        <v/>
      </c>
      <c r="LI30">
        <f>IF(COUNTIF('Buyer Groups'!DG83:DG83,0)+COUNTIF('Buyer Groups'!DI83:EN83,0)&gt;0,0,1)</f>
        <v/>
      </c>
      <c r="LJ30">
        <f>IF($T$30="",FALSE,SUMPRODUCT(('Final Calculation Sheet'!$G$4:$G$40=$T$30)*($LI$6:$LI$42=1))&gt;0)</f>
        <v/>
      </c>
      <c r="LK30">
        <f>$LK$29+--($LJ30)</f>
        <v/>
      </c>
      <c r="LL30">
        <f>IF(ROW()-3&gt;MAX($LK$4:$LK$40),"",INDEX($T$4:$T$40,MATCH(ROW()-3,$LK$4:$LK$40,0)))</f>
        <v/>
      </c>
      <c r="LM30">
        <f>IF(COUNTIF('Buyer Groups'!DG83:DH83,0)+COUNTIF('Buyer Groups'!DJ83:EN83,0)&gt;0,0,1)</f>
        <v/>
      </c>
      <c r="LN30">
        <f>IF($Y$30="",FALSE,SUMPRODUCT(('Final Calculation Sheet'!$B$4:$B$40=$Y$30)*($LM$6:$LM$42=1))&gt;0)</f>
        <v/>
      </c>
      <c r="LO30">
        <f>$LO$29+--($LN30)</f>
        <v/>
      </c>
      <c r="LP30">
        <f>IF(ROW()-3&gt;MAX($LO$4:$LO$40),"",INDEX($Y$4:$Y$40,MATCH(ROW()-3,$LO$4:$LO$40,0)))</f>
        <v/>
      </c>
      <c r="LQ30">
        <f>IF(COUNTIF('Buyer Groups'!DG83:DI83,0)+COUNTIF('Buyer Groups'!DK83:EN83,0)&gt;0,0,1)</f>
        <v/>
      </c>
      <c r="LR30">
        <f>IF($AD$30="",FALSE,SUMPRODUCT(('Final Calculation Sheet'!$D$4:$D$40=$AD$30)*($LQ$6:$LQ$42=1))&gt;0)</f>
        <v/>
      </c>
      <c r="LS30">
        <f>$LS$29+--($LR30)</f>
        <v/>
      </c>
      <c r="LT30">
        <f>IF(ROW()-3&gt;MAX($LS$4:$LS$40),"",INDEX($AD$4:$AD$40,MATCH(ROW()-3,$LS$4:$LS$40,0)))</f>
        <v/>
      </c>
      <c r="LU30">
        <f>IF(COUNTIF('Buyer Groups'!DG83:DJ83,0)+COUNTIF('Buyer Groups'!DL83:EN83,0)&gt;0,0,1)</f>
        <v/>
      </c>
      <c r="LV30">
        <f>IF($AI$30="",FALSE,SUMPRODUCT(('Final Calculation Sheet'!$A$4:$A$40=$AI$30)*($LU$6:$LU$42=1))&gt;0)</f>
        <v/>
      </c>
      <c r="LW30">
        <f>$LW$29+--($LV30)</f>
        <v/>
      </c>
      <c r="LX30">
        <f>IF(ROW()-3&gt;MAX($LW$4:$LW$40),"",INDEX($AI$4:$AI$40,MATCH(ROW()-3,$LW$4:$LW$40,0)))</f>
        <v/>
      </c>
      <c r="LY30">
        <f>IF(COUNTIF('Buyer Groups'!DG83:DK83,0)+COUNTIF('Buyer Groups'!DM83:EN83,0)&gt;0,0,1)</f>
        <v/>
      </c>
      <c r="LZ30">
        <f>IF($AN$30="",FALSE,SUMPRODUCT(('Final Calculation Sheet'!$E$4:$E$40=$AN$30)*($LY$6:$LY$42=1))&gt;0)</f>
        <v/>
      </c>
      <c r="MA30">
        <f>$MA$29+--($LZ30)</f>
        <v/>
      </c>
      <c r="MB30">
        <f>IF(ROW()-3&gt;MAX($MA$4:$MA$40),"",INDEX($AN$4:$AN$40,MATCH(ROW()-3,$MA$4:$MA$40,0)))</f>
        <v/>
      </c>
      <c r="MC30">
        <f>IF(COUNTIF('Buyer Groups'!DG83:DL83,0)+COUNTIF('Buyer Groups'!DN83:EN83,0)&gt;0,0,1)</f>
        <v/>
      </c>
      <c r="MD30">
        <f>IF($AS$30="",FALSE,SUMPRODUCT(('Final Calculation Sheet'!$C$4:$C$40=$AS$30)*($MC$6:$MC$42=1))&gt;0)</f>
        <v/>
      </c>
      <c r="ME30">
        <f>$ME$29+--($MD30)</f>
        <v/>
      </c>
      <c r="MF30">
        <f>IF(ROW()-3&gt;MAX($ME$4:$ME$40),"",INDEX($AS$4:$AS$40,MATCH(ROW()-3,$ME$4:$ME$40,0)))</f>
        <v/>
      </c>
      <c r="MG30">
        <f>IF(COUNTIF('Buyer Groups'!DG83:DM83,0)+COUNTIF('Buyer Groups'!DO83:EN83,0)&gt;0,0,1)</f>
        <v/>
      </c>
      <c r="MH30">
        <f>IF($AX$30="",FALSE,SUMPRODUCT(('Final Calculation Sheet'!$H$4:$H$40=$AX$30)*($MG$6:$MG$42=1))&gt;0)</f>
        <v/>
      </c>
      <c r="MI30">
        <f>$MI$29+--($MH30)</f>
        <v/>
      </c>
      <c r="MJ30">
        <f>IF(ROW()-3&gt;MAX($MI$4:$MI$40),"",INDEX($AX$4:$AX$40,MATCH(ROW()-3,$MI$4:$MI$40,0)))</f>
        <v/>
      </c>
      <c r="MK30">
        <f>IF(COUNTIF('Buyer Groups'!DG83:DN83,0)+COUNTIF('Buyer Groups'!DP83:EN83,0)&gt;0,0,1)</f>
        <v/>
      </c>
      <c r="ML30">
        <f>IF($BC$30="",FALSE,SUMPRODUCT(('Final Calculation Sheet'!$I$4:$I$40=$BC$30)*($MK$6:$MK$42=1))&gt;0)</f>
        <v/>
      </c>
      <c r="MM30">
        <f>$MM$29+--($ML30)</f>
        <v/>
      </c>
      <c r="MN30">
        <f>IF(ROW()-3&gt;MAX($MM$4:$MM$40),"",INDEX($BC$4:$BC$40,MATCH(ROW()-3,$MM$4:$MM$40,0)))</f>
        <v/>
      </c>
      <c r="MO30">
        <f>IF(COUNTIF('Buyer Groups'!DG83:DO83,0)+COUNTIF('Buyer Groups'!DQ83:EN83,0)&gt;0,0,1)</f>
        <v/>
      </c>
      <c r="MP30">
        <f>IF($BH$30="",FALSE,SUMPRODUCT(('Final Calculation Sheet'!$J$4:$J$40=$BH$30)*($MO$6:$MO$42=1))&gt;0)</f>
        <v/>
      </c>
      <c r="MQ30">
        <f>$MQ$29+--($MP30)</f>
        <v/>
      </c>
      <c r="MR30">
        <f>IF(ROW()-3&gt;MAX($MQ$4:$MQ$40),"",INDEX($BH$4:$BH$40,MATCH(ROW()-3,$MQ$4:$MQ$40,0)))</f>
        <v/>
      </c>
      <c r="MS30">
        <f>IF(COUNTIF('Buyer Groups'!DG83:DP83,0)+COUNTIF('Buyer Groups'!DR83:EN83,0)&gt;0,0,1)</f>
        <v/>
      </c>
      <c r="MT30">
        <f>IF($BM$30="",FALSE,SUMPRODUCT(('Final Calculation Sheet'!$K$4:$K$40=$BM$30)*($MS$6:$MS$42=1))&gt;0)</f>
        <v/>
      </c>
      <c r="MU30">
        <f>$MU$29+--($MT30)</f>
        <v/>
      </c>
      <c r="MV30">
        <f>IF(ROW()-3&gt;MAX($MU$4:$MU$40),"",INDEX($BM$4:$BM$40,MATCH(ROW()-3,$MU$4:$MU$40,0)))</f>
        <v/>
      </c>
      <c r="MW30">
        <f>IF(COUNTIF('Buyer Groups'!DG83:DQ83,0)+COUNTIF('Buyer Groups'!DS83:EN83,0)&gt;0,0,1)</f>
        <v/>
      </c>
      <c r="MX30">
        <f>IF($BR$30="",FALSE,SUMPRODUCT(('Final Calculation Sheet'!$L$4:$L$40=$BR$30)*($MW$6:$MW$42=1))&gt;0)</f>
        <v/>
      </c>
      <c r="MY30">
        <f>$MY$29+--($MX30)</f>
        <v/>
      </c>
      <c r="MZ30">
        <f>IF(ROW()-3&gt;MAX($MY$4:$MY$40),"",INDEX($BR$4:$BR$40,MATCH(ROW()-3,$MY$4:$MY$40,0)))</f>
        <v/>
      </c>
      <c r="NA30">
        <f>IF(COUNTIF('Buyer Groups'!DG83:DR83,0)+COUNTIF('Buyer Groups'!DT83:EN83,0)&gt;0,0,1)</f>
        <v/>
      </c>
      <c r="NB30">
        <f>IF($BW$30="",FALSE,SUMPRODUCT(('Final Calculation Sheet'!$M$4:$M$40=$BW$30)*($NA$6:$NA$42=1))&gt;0)</f>
        <v/>
      </c>
      <c r="NC30">
        <f>$NC$29+--($NB30)</f>
        <v/>
      </c>
      <c r="ND30">
        <f>IF(ROW()-3&gt;MAX($NC$4:$NC$40),"",INDEX($BW$4:$BW$40,MATCH(ROW()-3,$NC$4:$NC$40,0)))</f>
        <v/>
      </c>
      <c r="NE30">
        <f>IF(COUNTIF('Buyer Groups'!DG83:DS83,0)+COUNTIF('Buyer Groups'!DU83:EN83,0)&gt;0,0,1)</f>
        <v/>
      </c>
      <c r="NF30">
        <f>IF($CB$30="",FALSE,SUMPRODUCT(('Final Calculation Sheet'!$N$4:$N$40=$CB$30)*($NE$6:$NE$42=1))&gt;0)</f>
        <v/>
      </c>
      <c r="NG30">
        <f>$NG$29+--($NF30)</f>
        <v/>
      </c>
      <c r="NH30">
        <f>IF(ROW()-3&gt;MAX($NG$4:$NG$40),"",INDEX($CB$4:$CB$40,MATCH(ROW()-3,$NG$4:$NG$40,0)))</f>
        <v/>
      </c>
      <c r="NI30">
        <f>IF(COUNTIF('Buyer Groups'!DG83:DT83,0)+COUNTIF('Buyer Groups'!DV83:EN83,0)&gt;0,0,1)</f>
        <v/>
      </c>
      <c r="NJ30">
        <f>IF($CG$30="",FALSE,SUMPRODUCT(('Final Calculation Sheet'!$O$4:$O$40=$CG$30)*($NI$6:$NI$42=1))&gt;0)</f>
        <v/>
      </c>
      <c r="NK30">
        <f>$NK$29+--($NJ30)</f>
        <v/>
      </c>
      <c r="NL30">
        <f>IF(ROW()-3&gt;MAX($NK$4:$NK$40),"",INDEX($CG$4:$CG$40,MATCH(ROW()-3,$NK$4:$NK$40,0)))</f>
        <v/>
      </c>
      <c r="NM30">
        <f>IF(COUNTIF('Buyer Groups'!DG83:DU83,0)+COUNTIF('Buyer Groups'!DW83:EN83,0)&gt;0,0,1)</f>
        <v/>
      </c>
      <c r="NN30">
        <f>IF($CL$30="",FALSE,SUMPRODUCT(('Final Calculation Sheet'!$P$4:$P$40=$CL$30)*($NM$6:$NM$42=1))&gt;0)</f>
        <v/>
      </c>
      <c r="NO30">
        <f>$NO$29+--($NN30)</f>
        <v/>
      </c>
      <c r="NP30">
        <f>IF(ROW()-3&gt;MAX($NO$4:$NO$40),"",INDEX($CL$4:$CL$40,MATCH(ROW()-3,$NO$4:$NO$40,0)))</f>
        <v/>
      </c>
      <c r="NQ30">
        <f>IF(COUNTIF('Buyer Groups'!DG83:DV83,0)+COUNTIF('Buyer Groups'!DX83:EN83,0)&gt;0,0,1)</f>
        <v/>
      </c>
      <c r="NR30">
        <f>IF($CQ$30="",FALSE,SUMPRODUCT(('Final Calculation Sheet'!$Q$4:$Q$40=$CQ$30)*($NQ$6:$NQ$42=1))&gt;0)</f>
        <v/>
      </c>
      <c r="NS30">
        <f>$NS$29+--($NR30)</f>
        <v/>
      </c>
      <c r="NT30">
        <f>IF(ROW()-3&gt;MAX($NS$4:$NS$40),"",INDEX($CQ$4:$CQ$40,MATCH(ROW()-3,$NS$4:$NS$40,0)))</f>
        <v/>
      </c>
      <c r="NU30">
        <f>IF(COUNTIF('Buyer Groups'!DG83:DW83,0)+COUNTIF('Buyer Groups'!DY83:EN83,0)&gt;0,0,1)</f>
        <v/>
      </c>
      <c r="NV30">
        <f>IF($CV$30="",FALSE,SUMPRODUCT(('Final Calculation Sheet'!$R$4:$R$40=$CV$30)*($NU$6:$NU$42=1))&gt;0)</f>
        <v/>
      </c>
      <c r="NW30">
        <f>$NW$29+--($NV30)</f>
        <v/>
      </c>
      <c r="NX30">
        <f>IF(ROW()-3&gt;MAX($NW$4:$NW$40),"",INDEX($CV$4:$CV$40,MATCH(ROW()-3,$NW$4:$NW$40,0)))</f>
        <v/>
      </c>
      <c r="NY30">
        <f>IF(COUNTIF('Buyer Groups'!DG83:DX83,0)+COUNTIF('Buyer Groups'!DZ83:EN83,0)&gt;0,0,1)</f>
        <v/>
      </c>
      <c r="NZ30">
        <f>IF($DA$30="",FALSE,SUMPRODUCT(('Final Calculation Sheet'!$S$4:$S$40=$DA$30)*($NY$6:$NY$42=1))&gt;0)</f>
        <v/>
      </c>
      <c r="OA30">
        <f>$OA$29+--($NZ30)</f>
        <v/>
      </c>
      <c r="OB30">
        <f>IF(ROW()-3&gt;MAX($OA$4:$OA$40),"",INDEX($DA$4:$DA$40,MATCH(ROW()-3,$OA$4:$OA$40,0)))</f>
        <v/>
      </c>
      <c r="OC30">
        <f>IF(COUNTIF('Buyer Groups'!DG83:DY83,0)+COUNTIF('Buyer Groups'!EA83:EN83,0)&gt;0,0,1)</f>
        <v/>
      </c>
      <c r="OD30">
        <f>IF($DF$30="",FALSE,SUMPRODUCT(('Final Calculation Sheet'!$T$4:$T$40=$DF$30)*($OC$6:$OC$42=1))&gt;0)</f>
        <v/>
      </c>
      <c r="OE30">
        <f>$OE$29+--($OD30)</f>
        <v/>
      </c>
      <c r="OF30">
        <f>IF(ROW()-3&gt;MAX($OE$4:$OE$40),"",INDEX($DF$4:$DF$40,MATCH(ROW()-3,$OE$4:$OE$40,0)))</f>
        <v/>
      </c>
      <c r="OG30">
        <f>IF(COUNTIF('Buyer Groups'!DG83:DZ83,0)+COUNTIF('Buyer Groups'!EB83:EN83,0)&gt;0,0,1)</f>
        <v/>
      </c>
      <c r="OH30">
        <f>IF($DK$30="",FALSE,SUMPRODUCT(('Final Calculation Sheet'!$U$4:$U$40=$DK$30)*($OG$6:$OG$42=1))&gt;0)</f>
        <v/>
      </c>
      <c r="OI30">
        <f>$OI$29+--($OH30)</f>
        <v/>
      </c>
      <c r="OJ30">
        <f>IF(ROW()-3&gt;MAX($OI$4:$OI$40),"",INDEX($DK$4:$DK$40,MATCH(ROW()-3,$OI$4:$OI$40,0)))</f>
        <v/>
      </c>
      <c r="OK30">
        <f>IF(COUNTIF('Buyer Groups'!DG83:EA83,0)+COUNTIF('Buyer Groups'!EC83:EN83,0)&gt;0,0,1)</f>
        <v/>
      </c>
      <c r="OL30">
        <f>IF($DP$30="",FALSE,SUMPRODUCT(('Final Calculation Sheet'!$V$4:$V$40=$DP$30)*($OK$6:$OK$42=1))&gt;0)</f>
        <v/>
      </c>
      <c r="OM30">
        <f>$OM$29+--($OL30)</f>
        <v/>
      </c>
      <c r="ON30">
        <f>IF(ROW()-3&gt;MAX($OM$4:$OM$40),"",INDEX($DP$4:$DP$40,MATCH(ROW()-3,$OM$4:$OM$40,0)))</f>
        <v/>
      </c>
      <c r="OO30">
        <f>IF(COUNTIF('Buyer Groups'!DG83:EB83,0)+COUNTIF('Buyer Groups'!ED83:EN83,0)&gt;0,0,1)</f>
        <v/>
      </c>
      <c r="OP30">
        <f>IF($DU$30="",FALSE,SUMPRODUCT(('Final Calculation Sheet'!$W$4:$W$40=$DU$30)*($OO$6:$OO$42=1))&gt;0)</f>
        <v/>
      </c>
      <c r="OQ30">
        <f>$OQ$29+--($OP30)</f>
        <v/>
      </c>
      <c r="OR30">
        <f>IF(ROW()-3&gt;MAX($OQ$4:$OQ$40),"",INDEX($DU$4:$DU$40,MATCH(ROW()-3,$OQ$4:$OQ$40,0)))</f>
        <v/>
      </c>
      <c r="OS30">
        <f>IF(COUNTIF('Buyer Groups'!DG83:EC83,0)+COUNTIF('Buyer Groups'!EE83:EN83,0)&gt;0,0,1)</f>
        <v/>
      </c>
      <c r="OT30">
        <f>IF($DZ$30="",FALSE,SUMPRODUCT(('Final Calculation Sheet'!$X$4:$X$40=$DZ$30)*($OS$6:$OS$42=1))&gt;0)</f>
        <v/>
      </c>
      <c r="OU30">
        <f>$OU$29+--($OT30)</f>
        <v/>
      </c>
      <c r="OV30">
        <f>IF(ROW()-3&gt;MAX($OU$4:$OU$40),"",INDEX($DZ$4:$DZ$40,MATCH(ROW()-3,$OU$4:$OU$40,0)))</f>
        <v/>
      </c>
      <c r="OW30">
        <f>IF(COUNTIF('Buyer Groups'!DG83:ED83,0)+COUNTIF('Buyer Groups'!EF83:EN83,0)&gt;0,0,1)</f>
        <v/>
      </c>
      <c r="OX30">
        <f>IF($EE$30="",FALSE,SUMPRODUCT(('Final Calculation Sheet'!$Y$4:$Y$40=$EE$30)*($OW$6:$OW$42=1))&gt;0)</f>
        <v/>
      </c>
      <c r="OY30">
        <f>$OY$29+--($OX30)</f>
        <v/>
      </c>
      <c r="OZ30">
        <f>IF(ROW()-3&gt;MAX($OY$4:$OY$40),"",INDEX($EE$4:$EE$40,MATCH(ROW()-3,$OY$4:$OY$40,0)))</f>
        <v/>
      </c>
      <c r="PA30">
        <f>IF(COUNTIF('Buyer Groups'!DG83:EE83,0)+COUNTIF('Buyer Groups'!EG83:EN83,0)&gt;0,0,1)</f>
        <v/>
      </c>
      <c r="PB30">
        <f>IF($EJ$30="",FALSE,SUMPRODUCT(('Final Calculation Sheet'!$Z$4:$Z$40=$EJ$30)*($PA$6:$PA$42=1))&gt;0)</f>
        <v/>
      </c>
      <c r="PC30">
        <f>$PC$29+--($PB30)</f>
        <v/>
      </c>
      <c r="PD30">
        <f>IF(ROW()-3&gt;MAX($PC$4:$PC$40),"",INDEX($EJ$4:$EJ$40,MATCH(ROW()-3,$PC$4:$PC$40,0)))</f>
        <v/>
      </c>
      <c r="PE30">
        <f>IF(COUNTIF('Buyer Groups'!DG83:EF83,0)+COUNTIF('Buyer Groups'!EH83:EN83,0)&gt;0,0,1)</f>
        <v/>
      </c>
      <c r="PF30">
        <f>IF($EO$30="",FALSE,SUMPRODUCT(('Final Calculation Sheet'!$AA$4:$AA$40=$EO$30)*($PE$6:$PE$42=1))&gt;0)</f>
        <v/>
      </c>
      <c r="PG30">
        <f>$PG$29+--($PF30)</f>
        <v/>
      </c>
      <c r="PH30">
        <f>IF(ROW()-3&gt;MAX($PG$4:$PG$40),"",INDEX($EO$4:$EO$40,MATCH(ROW()-3,$PG$4:$PG$40,0)))</f>
        <v/>
      </c>
      <c r="PI30">
        <f>IF(COUNTIF('Buyer Groups'!DG83:EG83,0)+COUNTIF('Buyer Groups'!EI83:EN83,0)&gt;0,0,1)</f>
        <v/>
      </c>
      <c r="PJ30">
        <f>IF($ET$30="",FALSE,SUMPRODUCT(('Final Calculation Sheet'!$AB$4:$AB$40=$ET$30)*($PI$6:$PI$42=1))&gt;0)</f>
        <v/>
      </c>
      <c r="PK30">
        <f>$PK$29+--($PJ30)</f>
        <v/>
      </c>
      <c r="PL30">
        <f>IF(ROW()-3&gt;MAX($PK$4:$PK$40),"",INDEX($ET$4:$ET$40,MATCH(ROW()-3,$PK$4:$PK$40,0)))</f>
        <v/>
      </c>
      <c r="PM30">
        <f>IF(COUNTIF('Buyer Groups'!DG83:EH83,0)+COUNTIF('Buyer Groups'!EJ83:EN83,0)&gt;0,0,1)</f>
        <v/>
      </c>
      <c r="PN30">
        <f>IF($EY$30="",FALSE,SUMPRODUCT(('Final Calculation Sheet'!$AC$4:$AC$40=$EY$30)*($PM$6:$PM$42=1))&gt;0)</f>
        <v/>
      </c>
      <c r="PO30">
        <f>$PO$29+--($PN30)</f>
        <v/>
      </c>
      <c r="PP30">
        <f>IF(ROW()-3&gt;MAX($PO$4:$PO$40),"",INDEX($EY$4:$EY$40,MATCH(ROW()-3,$PO$4:$PO$40,0)))</f>
        <v/>
      </c>
      <c r="PQ30">
        <f>IF(COUNTIF('Buyer Groups'!DG83:EI83,0)+COUNTIF('Buyer Groups'!EK83:EN83,0)&gt;0,0,1)</f>
        <v/>
      </c>
      <c r="PR30">
        <f>IF($FD$30="",FALSE,SUMPRODUCT(('Final Calculation Sheet'!$AD$4:$AD$40=$FD$30)*($PQ$6:$PQ$42=1))&gt;0)</f>
        <v/>
      </c>
      <c r="PS30">
        <f>$PS$29+--($PR30)</f>
        <v/>
      </c>
      <c r="PT30">
        <f>IF(ROW()-3&gt;MAX($PS$4:$PS$40),"",INDEX($FD$4:$FD$40,MATCH(ROW()-3,$PS$4:$PS$40,0)))</f>
        <v/>
      </c>
      <c r="PU30">
        <f>IF(COUNTIF('Buyer Groups'!DG83:EJ83,0)+COUNTIF('Buyer Groups'!EL83:EN83,0)&gt;0,0,1)</f>
        <v/>
      </c>
      <c r="PV30">
        <f>IF($FX$30="",FALSE,SUMPRODUCT((IF('Final Calculation Sheet'!$AD$4:$AD$40&lt;=5,"SETTLED","OUTSTANDING")=$FX$30)*($PU$6:$PU$42=1))&gt;0)</f>
        <v/>
      </c>
      <c r="PW30">
        <f>$PW$29+--($PV30)</f>
        <v/>
      </c>
      <c r="PX30">
        <f>IF(ROW()-3&gt;MAX($PW$4:$PW$40),"",INDEX($FX$4:$FX$40,MATCH(ROW()-3,$PW$4:$PW$40,0)))</f>
        <v/>
      </c>
      <c r="PY30">
        <f>IF(COUNTIF('Buyer Groups'!DG83:EK83,0)+COUNTIF('Buyer Groups'!EM83:EN83,0)&gt;0,0,1)</f>
        <v/>
      </c>
      <c r="PZ30">
        <f>IF($FI$30="",FALSE,SUMPRODUCT(('Final Calculation Sheet'!$AF$4:$AF$40=$FI$30)*($PY$6:$PY$42=1))&gt;0)</f>
        <v/>
      </c>
      <c r="QA30">
        <f>$QA$29+--($PZ30)</f>
        <v/>
      </c>
      <c r="QB30">
        <f>IF(ROW()-3&gt;MAX($QA$4:$QA$40),"",INDEX($FI$4:$FI$40,MATCH(ROW()-3,$QA$4:$QA$40,0)))</f>
        <v/>
      </c>
      <c r="QC30">
        <f>IF(COUNTIF('Buyer Groups'!DG83:EL83,0)+COUNTIF('Buyer Groups'!EN83:EN83,0)&gt;0,0,1)</f>
        <v/>
      </c>
      <c r="QD30">
        <f>IF($FN$30="",FALSE,SUMPRODUCT(('Final Calculation Sheet'!$AG$4:$AG$40=$FN$30)*($QC$6:$QC$42=1))&gt;0)</f>
        <v/>
      </c>
      <c r="QE30">
        <f>$QE$29+--($QD30)</f>
        <v/>
      </c>
      <c r="QF30">
        <f>IF(ROW()-3&gt;MAX($QE$4:$QE$40),"",INDEX($FN$4:$FN$40,MATCH(ROW()-3,$QE$4:$QE$40,0)))</f>
        <v/>
      </c>
      <c r="QG30">
        <f>IF(COUNTIF('Buyer Groups'!DG83:EM83,0)&gt;0,0,1)</f>
        <v/>
      </c>
      <c r="QH30">
        <f>IF($FS$30="",FALSE,SUMPRODUCT(('Final Calculation Sheet'!$AH$4:$AH$40=$FS$30)*($QG$6:$QG$42=1))&gt;0)</f>
        <v/>
      </c>
      <c r="QI30">
        <f>$QI$29+--($QH30)</f>
        <v/>
      </c>
      <c r="QJ30">
        <f>IF(ROW()-3&gt;MAX($QI$4:$QI$40),"",INDEX($FS$4:$FS$40,MATCH(ROW()-3,$QI$4:$QI$40,0)))</f>
        <v/>
      </c>
      <c r="QK30" t="str">
        <f>IF('Final Calculation Sheet'!$AH$30="","",'Final Calculation Sheet'!$AH$30)</f>
      </c>
      <c r="QL30" t="str">
        <f>IF(QK30="","",COUNTIFS(QK$4:QK$40,"&lt;"&amp;QK30,QK$4:QK$40,"&lt;&gt;"&amp;"")+COUNTIF(QK$4:QK30,QK30))</f>
      </c>
      <c r="QM30" t="str">
        <f>IF(ROW()-3&gt;COUNTIF(QK$4:QK$40,"&lt;&gt;"&amp;""),"",INDEX(QK$4:QK$40,MATCH(ROW()-3,QL$4:QL$40,0)))</f>
      </c>
      <c r="QN30" t="str">
        <f>=QN29+F(AND(QM30&lt;&gt;"",COUNTIF(QM$4:QM30,QM30)=1),1,0)</f>
      </c>
      <c r="QO30" t="str">
        <f>IF(ROW()-3&gt;MAX(QN$4:QN$40),"",INDEX(QM$4:QM$40,MATCH(ROW()-3,QN$4:QN$40,0)))</f>
      </c>
      <c r="QP30" t="str">
        <f>IF(COUNTIF('Final Calculation Sheet'!$AM30:$BS30,0)&gt;0,0,1)</f>
      </c>
      <c r="QQ30" t="str">
        <f>IF($AI$30="",FALSE,SUMPRODUCT(('Final Calculation Sheet'!$A$4:$A$40=$AI$30)*($QP$4:$QP$40=1))&gt;0)</f>
      </c>
      <c r="QR30" t="str">
        <f>=$QR29+--($QQ30)</f>
      </c>
      <c r="QS30" t="str">
        <f>IF(ROW()-3&gt;MAX($QR$4:$QR$40),"",INDEX($AI$4:$AI$40,MATCH(ROW()-3,$QR$4:$QR$40,0)))</f>
      </c>
      <c r="QT30" t="str">
        <f>IF(COUNTIF('Final Calculation Sheet'!$AL30:$AL30,0)+COUNTIF('Final Calculation Sheet'!$AN30:$BS30,0)&gt;0,0,1)</f>
      </c>
      <c r="QU30" t="str">
        <f>IF($Y$30="",FALSE,SUMPRODUCT(('Final Calculation Sheet'!$B$4:$B$40=$Y$30)*($QT$4:$QT$40=1))&gt;0)</f>
      </c>
      <c r="QV30" t="str">
        <f>=$QV29+--($QU30)</f>
      </c>
      <c r="QW30" t="str">
        <f>IF(ROW()-3&gt;MAX($QV$4:$QV$40),"",INDEX($Y$4:$Y$40,MATCH(ROW()-3,$QV$4:$QV$40,0)))</f>
      </c>
      <c r="QX30" t="str">
        <f>IF(COUNTIF('Final Calculation Sheet'!$AL30:$AM30,0)+COUNTIF('Final Calculation Sheet'!$AO30:$BS30,0)&gt;0,0,1)</f>
      </c>
      <c r="QY30" t="str">
        <f>IF($AS$30="",FALSE,SUMPRODUCT(('Final Calculation Sheet'!$C$4:$C$40=$AS$30)*($QX$4:$QX$40=1))&gt;0)</f>
      </c>
      <c r="QZ30" t="str">
        <f>=$QZ29+--($QY30)</f>
      </c>
      <c r="RA30" t="str">
        <f>IF(ROW()-3&gt;MAX($QZ$4:$QZ$40),"",INDEX($AS$4:$AS$40,MATCH(ROW()-3,$QZ$4:$QZ$40,0)))</f>
      </c>
      <c r="RB30" t="str">
        <f>IF(COUNTIF('Final Calculation Sheet'!$AL30:$AN30,0)+COUNTIF('Final Calculation Sheet'!$AP30:$BS30,0)&gt;0,0,1)</f>
      </c>
      <c r="RC30" t="str">
        <f>IF($AD$30="",FALSE,SUMPRODUCT(('Final Calculation Sheet'!$D$4:$D$40=$AD$30)*($RB$4:$RB$40=1))&gt;0)</f>
      </c>
      <c r="RD30" t="str">
        <f>=$RD29+--($RC30)</f>
      </c>
      <c r="RE30" t="str">
        <f>IF(ROW()-3&gt;MAX($RD$4:$RD$40),"",INDEX($AD$4:$AD$40,MATCH(ROW()-3,$RD$4:$RD$40,0)))</f>
      </c>
      <c r="RF30" t="str">
        <f>IF(COUNTIF('Final Calculation Sheet'!$AL30:$AO30,0)+COUNTIF('Final Calculation Sheet'!$AQ30:$BS30,0)&gt;0,0,1)</f>
      </c>
      <c r="RG30" t="str">
        <f>IF($AN$30="",FALSE,SUMPRODUCT(('Final Calculation Sheet'!$E$4:$E$40=$AN$30)*($RF$4:$RF$40=1))&gt;0)</f>
      </c>
      <c r="RH30" t="str">
        <f>=$RH29+--($RG30)</f>
      </c>
      <c r="RI30" t="str">
        <f>IF(ROW()-3&gt;MAX($RH$4:$RH$40),"",INDEX($AN$4:$AN$40,MATCH(ROW()-3,$RH$4:$RH$40,0)))</f>
      </c>
      <c r="RJ30" t="str">
        <f>IF(COUNTIF('Final Calculation Sheet'!$AL30:$AP30,0)+COUNTIF('Final Calculation Sheet'!$AR30:$BS30,0)&gt;0,0,1)</f>
      </c>
      <c r="RK30" t="str">
        <f>IF($O$30="",FALSE,SUMPRODUCT(('Final Calculation Sheet'!$F$4:$F$40=$O$30)*($RJ$4:$RJ$40=1))&gt;0)</f>
      </c>
      <c r="RL30" t="str">
        <f>=$RL29+--($RK30)</f>
      </c>
      <c r="RM30" t="str">
        <f>IF(ROW()-3&gt;MAX($RL$4:$RL$40),"",INDEX($O$4:$O$40,MATCH(ROW()-3,$RL$4:$RL$40,0)))</f>
      </c>
      <c r="RN30" t="str">
        <f>IF(COUNTIF('Final Calculation Sheet'!$AL30:$AQ30,0)+COUNTIF('Final Calculation Sheet'!$AS30:$BS30,0)&gt;0,0,1)</f>
      </c>
      <c r="RO30" t="str">
        <f>IF($T$30="",FALSE,SUMPRODUCT(('Final Calculation Sheet'!$G$4:$G$40=$T$30)*($RN$4:$RN$40=1))&gt;0)</f>
      </c>
      <c r="RP30" t="str">
        <f>=$RP29+--($RO30)</f>
      </c>
      <c r="RQ30" t="str">
        <f>IF(ROW()-3&gt;MAX($RP$4:$RP$40),"",INDEX($T$4:$T$40,MATCH(ROW()-3,$RP$4:$RP$40,0)))</f>
      </c>
      <c r="RR30" t="str">
        <f>IF(COUNTIF('Final Calculation Sheet'!$AL30:$AR30,0)+COUNTIF('Final Calculation Sheet'!$AT30:$BS30,0)&gt;0,0,1)</f>
      </c>
      <c r="RS30" t="str">
        <f>IF($AX$30="",FALSE,SUMPRODUCT(('Final Calculation Sheet'!$H$4:$H$40=$AX$30)*($RR$4:$RR$40=1))&gt;0)</f>
      </c>
      <c r="RT30" t="str">
        <f>=$RT29+--($RS30)</f>
      </c>
      <c r="RU30" t="str">
        <f>IF(ROW()-3&gt;MAX($RT$4:$RT$40),"",INDEX($AX$4:$AX$40,MATCH(ROW()-3,$RT$4:$RT$40,0)))</f>
      </c>
      <c r="RV30" t="str">
        <f>IF(COUNTIF('Final Calculation Sheet'!$AL30:$AS30,0)+COUNTIF('Final Calculation Sheet'!$AU30:$BS30,0)&gt;0,0,1)</f>
      </c>
      <c r="RW30" t="str">
        <f>IF($BC$30="",FALSE,SUMPRODUCT(('Final Calculation Sheet'!$I$4:$I$40=$BC$30)*($RV$4:$RV$40=1))&gt;0)</f>
      </c>
      <c r="RX30" t="str">
        <f>=$RX29+--($RW30)</f>
      </c>
      <c r="RY30" t="str">
        <f>IF(ROW()-3&gt;MAX($RX$4:$RX$40),"",INDEX($BC$4:$BC$40,MATCH(ROW()-3,$RX$4:$RX$40,0)))</f>
      </c>
      <c r="RZ30" t="str">
        <f>IF(COUNTIF('Final Calculation Sheet'!$AL30:$AT30,0)+COUNTIF('Final Calculation Sheet'!$AV30:$BS30,0)&gt;0,0,1)</f>
      </c>
      <c r="SA30" t="str">
        <f>IF($BH$30="",FALSE,SUMPRODUCT(('Final Calculation Sheet'!$J$4:$J$40=$BH$30)*($RZ$4:$RZ$40=1))&gt;0)</f>
      </c>
      <c r="SB30" t="str">
        <f>=$SB29+--($SA30)</f>
      </c>
      <c r="SC30" t="str">
        <f>IF(ROW()-3&gt;MAX($SB$4:$SB$40),"",INDEX($BH$4:$BH$40,MATCH(ROW()-3,$SB$4:$SB$40,0)))</f>
      </c>
      <c r="SD30" t="str">
        <f>IF(COUNTIF('Final Calculation Sheet'!$AL30:$AU30,0)+COUNTIF('Final Calculation Sheet'!$AW30:$BS30,0)&gt;0,0,1)</f>
      </c>
      <c r="SE30" t="str">
        <f>IF($BM$30="",FALSE,SUMPRODUCT(('Final Calculation Sheet'!$K$4:$K$40=$BM$30)*($SD$4:$SD$40=1))&gt;0)</f>
      </c>
      <c r="SF30" t="str">
        <f>=$SF29+--($SE30)</f>
      </c>
      <c r="SG30" t="str">
        <f>IF(ROW()-3&gt;MAX($SF$4:$SF$40),"",INDEX($BM$4:$BM$40,MATCH(ROW()-3,$SF$4:$SF$40,0)))</f>
      </c>
      <c r="SH30" t="str">
        <f>IF(COUNTIF('Final Calculation Sheet'!$AL30:$AV30,0)+COUNTIF('Final Calculation Sheet'!$AX30:$BS30,0)&gt;0,0,1)</f>
      </c>
      <c r="SI30" t="str">
        <f>IF($BR$30="",FALSE,SUMPRODUCT(('Final Calculation Sheet'!$L$4:$L$40=$BR$30)*($SH$4:$SH$40=1))&gt;0)</f>
      </c>
      <c r="SJ30" t="str">
        <f>=$SJ29+--($SI30)</f>
      </c>
      <c r="SK30" t="str">
        <f>IF(ROW()-3&gt;MAX($SJ$4:$SJ$40),"",INDEX($BR$4:$BR$40,MATCH(ROW()-3,$SJ$4:$SJ$40,0)))</f>
      </c>
      <c r="SL30" t="str">
        <f>IF(COUNTIF('Final Calculation Sheet'!$AL30:$AW30,0)+COUNTIF('Final Calculation Sheet'!$AY30:$BS30,0)&gt;0,0,1)</f>
      </c>
      <c r="SM30" t="str">
        <f>IF($BW$30="",FALSE,SUMPRODUCT(('Final Calculation Sheet'!$M$4:$M$40=$BW$30)*($SL$4:$SL$40=1))&gt;0)</f>
      </c>
      <c r="SN30" t="str">
        <f>=$SN29+--($SM30)</f>
      </c>
      <c r="SO30" t="str">
        <f>IF(ROW()-3&gt;MAX($SN$4:$SN$40),"",INDEX($BW$4:$BW$40,MATCH(ROW()-3,$SN$4:$SN$40,0)))</f>
      </c>
      <c r="SP30" t="str">
        <f>IF(COUNTIF('Final Calculation Sheet'!$AL30:$AX30,0)+COUNTIF('Final Calculation Sheet'!$AZ30:$BS30,0)&gt;0,0,1)</f>
      </c>
      <c r="SQ30" t="str">
        <f>IF($CB$30="",FALSE,SUMPRODUCT(('Final Calculation Sheet'!$N$4:$N$40=$CB$30)*($SP$4:$SP$40=1))&gt;0)</f>
      </c>
      <c r="SR30" t="str">
        <f>=$SR29+--($SQ30)</f>
      </c>
      <c r="SS30" t="str">
        <f>IF(ROW()-3&gt;MAX($SR$4:$SR$40),"",INDEX($CB$4:$CB$40,MATCH(ROW()-3,$SR$4:$SR$40,0)))</f>
      </c>
      <c r="ST30" t="str">
        <f>IF(COUNTIF('Final Calculation Sheet'!$AL30:$AY30,0)+COUNTIF('Final Calculation Sheet'!$BA30:$BS30,0)&gt;0,0,1)</f>
      </c>
      <c r="SU30" t="str">
        <f>IF($CG$30="",FALSE,SUMPRODUCT(('Final Calculation Sheet'!$O$4:$O$40=$CG$30)*($ST$4:$ST$40=1))&gt;0)</f>
      </c>
      <c r="SV30" t="str">
        <f>=$SV29+--($SU30)</f>
      </c>
      <c r="SW30" t="str">
        <f>IF(ROW()-3&gt;MAX($SV$4:$SV$40),"",INDEX($CG$4:$CG$40,MATCH(ROW()-3,$SV$4:$SV$40,0)))</f>
      </c>
      <c r="SX30" t="str">
        <f>IF(COUNTIF('Final Calculation Sheet'!$AL30:$AZ30,0)+COUNTIF('Final Calculation Sheet'!$BB30:$BS30,0)&gt;0,0,1)</f>
      </c>
      <c r="SY30" t="str">
        <f>IF($CL$30="",FALSE,SUMPRODUCT(('Final Calculation Sheet'!$P$4:$P$40=$CL$30)*($SX$4:$SX$40=1))&gt;0)</f>
      </c>
      <c r="SZ30" t="str">
        <f>=$SZ29+--($SY30)</f>
      </c>
      <c r="TA30" t="str">
        <f>IF(ROW()-3&gt;MAX($SZ$4:$SZ$40),"",INDEX($CL$4:$CL$40,MATCH(ROW()-3,$SZ$4:$SZ$40,0)))</f>
      </c>
      <c r="TB30" t="str">
        <f>IF(COUNTIF('Final Calculation Sheet'!$AL30:$BA30,0)+COUNTIF('Final Calculation Sheet'!$BC30:$BS30,0)&gt;0,0,1)</f>
      </c>
      <c r="TC30" t="str">
        <f>IF($CQ$30="",FALSE,SUMPRODUCT(('Final Calculation Sheet'!$Q$4:$Q$40=$CQ$30)*($TB$4:$TB$40=1))&gt;0)</f>
      </c>
      <c r="TD30" t="str">
        <f>=$TD29+--($TC30)</f>
      </c>
      <c r="TE30" t="str">
        <f>IF(ROW()-3&gt;MAX($TD$4:$TD$40),"",INDEX($CQ$4:$CQ$40,MATCH(ROW()-3,$TD$4:$TD$40,0)))</f>
      </c>
      <c r="TF30" t="str">
        <f>IF(COUNTIF('Final Calculation Sheet'!$AL30:$BB30,0)+COUNTIF('Final Calculation Sheet'!$BD30:$BS30,0)&gt;0,0,1)</f>
      </c>
      <c r="TG30" t="str">
        <f>IF($CV$30="",FALSE,SUMPRODUCT(('Final Calculation Sheet'!$R$4:$R$40=$CV$30)*($TF$4:$TF$40=1))&gt;0)</f>
      </c>
      <c r="TH30" t="str">
        <f>=$TH29+--($TG30)</f>
      </c>
      <c r="TI30" t="str">
        <f>IF(ROW()-3&gt;MAX($TH$4:$TH$40),"",INDEX($CV$4:$CV$40,MATCH(ROW()-3,$TH$4:$TH$40,0)))</f>
      </c>
      <c r="TJ30" t="str">
        <f>IF(COUNTIF('Final Calculation Sheet'!$AL30:$BC30,0)+COUNTIF('Final Calculation Sheet'!$BE30:$BS30,0)&gt;0,0,1)</f>
      </c>
      <c r="TK30" t="str">
        <f>IF($DA$30="",FALSE,SUMPRODUCT(('Final Calculation Sheet'!$S$4:$S$40=$DA$30)*($TJ$4:$TJ$40=1))&gt;0)</f>
      </c>
      <c r="TL30" t="str">
        <f>=$TL29+--($TK30)</f>
      </c>
      <c r="TM30" t="str">
        <f>IF(ROW()-3&gt;MAX($TL$4:$TL$40),"",INDEX($DA$4:$DA$40,MATCH(ROW()-3,$TL$4:$TL$40,0)))</f>
      </c>
      <c r="TN30" t="str">
        <f>IF(COUNTIF('Final Calculation Sheet'!$AL30:$BD30,0)+COUNTIF('Final Calculation Sheet'!$BF30:$BS30,0)&gt;0,0,1)</f>
      </c>
      <c r="TO30" t="str">
        <f>IF($DF$30="",FALSE,SUMPRODUCT(('Final Calculation Sheet'!$T$4:$T$40=$DF$30)*($TN$4:$TN$40=1))&gt;0)</f>
      </c>
      <c r="TP30" t="str">
        <f>=$TP29+--($TO30)</f>
      </c>
      <c r="TQ30" t="str">
        <f>IF(ROW()-3&gt;MAX($TP$4:$TP$40),"",INDEX($DF$4:$DF$40,MATCH(ROW()-3,$TP$4:$TP$40,0)))</f>
      </c>
      <c r="TR30" t="str">
        <f>IF(COUNTIF('Final Calculation Sheet'!$AL30:$BE30,0)+COUNTIF('Final Calculation Sheet'!$BG30:$BS30,0)&gt;0,0,1)</f>
      </c>
      <c r="TS30" t="str">
        <f>IF($DK$30="",FALSE,SUMPRODUCT(('Final Calculation Sheet'!$U$4:$U$40=$DK$30)*($TR$4:$TR$40=1))&gt;0)</f>
      </c>
      <c r="TT30" t="str">
        <f>=$TT29+--($TS30)</f>
      </c>
      <c r="TU30" t="str">
        <f>IF(ROW()-3&gt;MAX($TT$4:$TT$40),"",INDEX($DK$4:$DK$40,MATCH(ROW()-3,$TT$4:$TT$40,0)))</f>
      </c>
      <c r="TV30" t="str">
        <f>IF(COUNTIF('Final Calculation Sheet'!$AL30:$BF30,0)+COUNTIF('Final Calculation Sheet'!$BH30:$BS30,0)&gt;0,0,1)</f>
      </c>
      <c r="TW30" t="str">
        <f>IF($DP$30="",FALSE,SUMPRODUCT(('Final Calculation Sheet'!$V$4:$V$40=$DP$30)*($TV$4:$TV$40=1))&gt;0)</f>
      </c>
      <c r="TX30" t="str">
        <f>=$TX29+--($TW30)</f>
      </c>
      <c r="TY30" t="str">
        <f>IF(ROW()-3&gt;MAX($TX$4:$TX$40),"",INDEX($DP$4:$DP$40,MATCH(ROW()-3,$TX$4:$TX$40,0)))</f>
      </c>
      <c r="TZ30" t="str">
        <f>IF(COUNTIF('Final Calculation Sheet'!$AL30:$BG30,0)+COUNTIF('Final Calculation Sheet'!$BI30:$BS30,0)&gt;0,0,1)</f>
      </c>
      <c r="UA30" t="str">
        <f>IF($DU$30="",FALSE,SUMPRODUCT(('Final Calculation Sheet'!$W$4:$W$40=$DU$30)*($TZ$4:$TZ$40=1))&gt;0)</f>
      </c>
      <c r="UB30" t="str">
        <f>=$UB29+--($UA30)</f>
      </c>
      <c r="UC30" t="str">
        <f>IF(ROW()-3&gt;MAX($UB$4:$UB$40),"",INDEX($DU$4:$DU$40,MATCH(ROW()-3,$UB$4:$UB$40,0)))</f>
      </c>
      <c r="UD30" t="str">
        <f>IF(COUNTIF('Final Calculation Sheet'!$AL30:$BH30,0)+COUNTIF('Final Calculation Sheet'!$BJ30:$BS30,0)&gt;0,0,1)</f>
      </c>
      <c r="UE30" t="str">
        <f>IF($DZ$30="",FALSE,SUMPRODUCT(('Final Calculation Sheet'!$X$4:$X$40=$DZ$30)*($UD$4:$UD$40=1))&gt;0)</f>
      </c>
      <c r="UF30" t="str">
        <f>=$UF29+--($UE30)</f>
      </c>
      <c r="UG30" t="str">
        <f>IF(ROW()-3&gt;MAX($UF$4:$UF$40),"",INDEX($DZ$4:$DZ$40,MATCH(ROW()-3,$UF$4:$UF$40,0)))</f>
      </c>
      <c r="UH30" t="str">
        <f>IF(COUNTIF('Final Calculation Sheet'!$AL30:$BI30,0)+COUNTIF('Final Calculation Sheet'!$BK30:$BS30,0)&gt;0,0,1)</f>
      </c>
      <c r="UI30" t="str">
        <f>IF($EE$30="",FALSE,SUMPRODUCT(('Final Calculation Sheet'!$Y$4:$Y$40=$EE$30)*($UH$4:$UH$40=1))&gt;0)</f>
      </c>
      <c r="UJ30" t="str">
        <f>=$UJ29+--($UI30)</f>
      </c>
      <c r="UK30" t="str">
        <f>IF(ROW()-3&gt;MAX($UJ$4:$UJ$40),"",INDEX($EE$4:$EE$40,MATCH(ROW()-3,$UJ$4:$UJ$40,0)))</f>
      </c>
      <c r="UL30" t="str">
        <f>IF(COUNTIF('Final Calculation Sheet'!$AL30:$BJ30,0)+COUNTIF('Final Calculation Sheet'!$BL30:$BS30,0)&gt;0,0,1)</f>
      </c>
      <c r="UM30" t="str">
        <f>IF($EJ$30="",FALSE,SUMPRODUCT(('Final Calculation Sheet'!$Z$4:$Z$40=$EJ$30)*($UL$4:$UL$40=1))&gt;0)</f>
      </c>
      <c r="UN30" t="str">
        <f>=$UN29+--($UM30)</f>
      </c>
      <c r="UO30" t="str">
        <f>IF(ROW()-3&gt;MAX($UN$4:$UN$40),"",INDEX($EJ$4:$EJ$40,MATCH(ROW()-3,$UN$4:$UN$40,0)))</f>
      </c>
      <c r="UP30" t="str">
        <f>IF(COUNTIF('Final Calculation Sheet'!$AL30:$BK30,0)+COUNTIF('Final Calculation Sheet'!$BM30:$BS30,0)&gt;0,0,1)</f>
      </c>
      <c r="UQ30" t="str">
        <f>IF($EO$30="",FALSE,SUMPRODUCT(('Final Calculation Sheet'!$AA$4:$AA$40=$EO$30)*($UP$4:$UP$40=1))&gt;0)</f>
      </c>
      <c r="UR30" t="str">
        <f>=$UR29+--($UQ30)</f>
      </c>
      <c r="US30" t="str">
        <f>IF(ROW()-3&gt;MAX($UR$4:$UR$40),"",INDEX($EO$4:$EO$40,MATCH(ROW()-3,$UR$4:$UR$40,0)))</f>
      </c>
      <c r="UT30" t="str">
        <f>IF(COUNTIF('Final Calculation Sheet'!$AL30:$BL30,0)+COUNTIF('Final Calculation Sheet'!$BN30:$BS30,0)&gt;0,0,1)</f>
      </c>
      <c r="UU30" t="str">
        <f>IF($ET$30="",FALSE,SUMPRODUCT(('Final Calculation Sheet'!$AB$4:$AB$40=$ET$30)*($UT$4:$UT$40=1))&gt;0)</f>
      </c>
      <c r="UV30" t="str">
        <f>=$UV29+--($UU30)</f>
      </c>
      <c r="UW30" t="str">
        <f>IF(ROW()-3&gt;MAX($UV$4:$UV$40),"",INDEX($ET$4:$ET$40,MATCH(ROW()-3,$UV$4:$UV$40,0)))</f>
      </c>
      <c r="UX30" t="str">
        <f>IF(COUNTIF('Final Calculation Sheet'!$AL30:$BM30,0)+COUNTIF('Final Calculation Sheet'!$BO30:$BS30,0)&gt;0,0,1)</f>
      </c>
      <c r="UY30" t="str">
        <f>IF($EY$30="",FALSE,SUMPRODUCT(('Final Calculation Sheet'!$AC$4:$AC$40=$EY$30)*($UX$4:$UX$40=1))&gt;0)</f>
      </c>
      <c r="UZ30" t="str">
        <f>=$UZ29+--($UY30)</f>
      </c>
      <c r="VA30" t="str">
        <f>IF(ROW()-3&gt;MAX($UZ$4:$UZ$40),"",INDEX($EY$4:$EY$40,MATCH(ROW()-3,$UZ$4:$UZ$40,0)))</f>
      </c>
      <c r="VB30" t="str">
        <f>IF(COUNTIF('Final Calculation Sheet'!$AL30:$BN30,0)+COUNTIF('Final Calculation Sheet'!$BP30:$BS30,0)&gt;0,0,1)</f>
      </c>
      <c r="VC30" t="str">
        <f>IF($FD$30="",FALSE,SUMPRODUCT(('Final Calculation Sheet'!$AD$4:$AD$40=$FD$30)*($VB$4:$VB$40=1))&gt;0)</f>
      </c>
      <c r="VD30" t="str">
        <f>=$VD29+--($VC30)</f>
      </c>
      <c r="VE30" t="str">
        <f>IF(ROW()-3&gt;MAX($VD$4:$VD$40),"",INDEX($FD$4:$FD$40,MATCH(ROW()-3,$VD$4:$VD$40,0)))</f>
      </c>
      <c r="VF30" t="str">
        <f>IF(COUNTIF('Final Calculation Sheet'!$AL30:$BO30,0)+COUNTIF('Final Calculation Sheet'!$BQ30:$BS30,0)&gt;0,0,1)</f>
      </c>
      <c r="VG30" t="str">
        <f>IF($FI$30="",FALSE,SUMPRODUCT(('Final Calculation Sheet'!$AE$4:$AE$40=$FI$30)*($VF$4:$VF$40=1))&gt;0)</f>
      </c>
      <c r="VH30" t="str">
        <f>=$VH29+--($VG30)</f>
      </c>
      <c r="VI30" t="str">
        <f>IF(ROW()-3&gt;MAX($VH$4:$VH$40),"",INDEX($FI$4:$FI$40,MATCH(ROW()-3,$VH$4:$VH$40,0)))</f>
      </c>
      <c r="VJ30" t="str">
        <f>IF(COUNTIF('Final Calculation Sheet'!$AL30:$BP30,0)+COUNTIF('Final Calculation Sheet'!$BR30:$BS30,0)&gt;0,0,1)</f>
      </c>
      <c r="VK30" t="str">
        <f>IF($FN$30="",FALSE,SUMPRODUCT(('Final Calculation Sheet'!$AF$4:$AF$40=$FN$30)*($VJ$4:$VJ$40=1))&gt;0)</f>
      </c>
      <c r="VL30" t="str">
        <f>=$VL29+--($VK30)</f>
      </c>
      <c r="VM30" t="str">
        <f>IF(ROW()-3&gt;MAX($VL$4:$VL$40),"",INDEX($FN$4:$FN$40,MATCH(ROW()-3,$VL$4:$VL$40,0)))</f>
      </c>
      <c r="VN30" t="str">
        <f>IF(COUNTIF('Final Calculation Sheet'!$AL30:$BQ30,0)+COUNTIF('Final Calculation Sheet'!$BS30:$BS30,0)&gt;0,0,1)</f>
      </c>
      <c r="VO30" t="str">
        <f>IF($FS$30="",FALSE,SUMPRODUCT(('Final Calculation Sheet'!$AG$4:$AG$40=$FS$30)*($VN$4:$VN$40=1))&gt;0)</f>
      </c>
      <c r="VP30" t="str">
        <f>=$VP29+--($VO30)</f>
      </c>
      <c r="VQ30" t="str">
        <f>IF(ROW()-3&gt;MAX($VP$4:$VP$40),"",INDEX($FS$4:$FS$40,MATCH(ROW()-3,$VP$4:$VP$40,0)))</f>
      </c>
      <c r="VR30" t="str">
        <f>IF(COUNTIF('Final Calculation Sheet'!$AL30:$BR30,0)&gt;0,0,1)</f>
      </c>
      <c r="VS30" t="str">
        <f>IF($QO$30="",FALSE,SUMPRODUCT(('Final Calculation Sheet'!$AH$4:$AH$40=$QO$30)*($VR$4:$VR$40=1))&gt;0)</f>
      </c>
      <c r="VT30" t="str">
        <f>=$VT29+--($VS30)</f>
      </c>
      <c r="VU30" t="str">
        <f>IF(ROW()-3&gt;MAX($VT$4:$VT$40),"",INDEX($QO$4:$QO$40,MATCH(ROW()-3,$VT$4:$VT$40,0)))</f>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IF(COUNTIF('Live Search'!BM$30:BM$30,0)+COUNTIF('Live Search'!B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D31">
        <f>IF($O$31="",FALSE,SUMPRODUCT(('Final Calculation Sheet'!$F$4:$F$40=$O$31)*($GC$6:$GC$42=1))&gt;0)</f>
        <v/>
      </c>
      <c r="GE31">
        <f>$GE$30+--($GD31)</f>
        <v/>
      </c>
      <c r="GF31">
        <f>IF(ROW()-3&gt;MAX($GE$4:$GE$40),"",INDEX($O$4:$O$40,MATCH(ROW()-3,$GE$4:$GE$40,0)))</f>
        <v/>
      </c>
      <c r="GG31">
        <f>IF(COUNTIF('Live Search'!BM$30:BN$30,0)+COUNTIF('Live Search'!B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H31">
        <f>IF($T$31="",FALSE,SUMPRODUCT(('Final Calculation Sheet'!$G$4:$G$40=$T$31)*($GG$6:$GG$42=1))&gt;0)</f>
        <v/>
      </c>
      <c r="GI31">
        <f>$GI$30+--($GH31)</f>
        <v/>
      </c>
      <c r="GJ31">
        <f>IF(ROW()-3&gt;MAX($GI$4:$GI$40),"",INDEX($T$4:$T$40,MATCH(ROW()-3,$GI$4:$GI$40,0)))</f>
        <v/>
      </c>
      <c r="GK31">
        <f>IF(COUNTIF('Live Search'!BM$30:BP$30,0)+COUNTIF('Live Search'!B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L31">
        <f>IF($AD$31="",FALSE,SUMPRODUCT(('Final Calculation Sheet'!$D$4:$D$40=$AD$31)*($GK$6:$GK$42=1))&gt;0)</f>
        <v/>
      </c>
      <c r="GM31">
        <f>$GM$30+--($GL31)</f>
        <v/>
      </c>
      <c r="GN31">
        <f>IF(ROW()-3&gt;MAX($GM$4:$GM$40),"",INDEX($AD$4:$AD$40,MATCH(ROW()-3,$GM$4:$GM$40,0)))</f>
        <v/>
      </c>
      <c r="GO31">
        <f>IF(COUNTIF('Live Search'!BM$30:BQ$30,0)+COUNTIF('Live Search'!B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P31">
        <f>IF($AI$31="",FALSE,SUMPRODUCT(('Final Calculation Sheet'!$A$4:$A$40=$AI$31)*($GO$6:$GO$42=1))&gt;0)</f>
        <v/>
      </c>
      <c r="GQ31">
        <f>$GQ$30+--($GP31)</f>
        <v/>
      </c>
      <c r="GR31">
        <f>IF(ROW()-3&gt;MAX($GQ$4:$GQ$40),"",INDEX($AI$4:$AI$40,MATCH(ROW()-3,$GQ$4:$GQ$40,0)))</f>
        <v/>
      </c>
      <c r="GS31">
        <f>IF(COUNTIF('Live Search'!BM$30:BR$30,0)+COUNTIF('Live Search'!B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T31">
        <f>IF($AN$31="",FALSE,SUMPRODUCT(('Final Calculation Sheet'!$E$4:$E$40=$AN$31)*($GS$6:$GS$42=1))&gt;0)</f>
        <v/>
      </c>
      <c r="GU31">
        <f>$GU$30+--($GT31)</f>
        <v/>
      </c>
      <c r="GV31">
        <f>IF(ROW()-3&gt;MAX($GU$4:$GU$40),"",INDEX($AN$4:$AN$40,MATCH(ROW()-3,$GU$4:$GU$40,0)))</f>
        <v/>
      </c>
      <c r="GW31">
        <f>IF(COUNTIF('Live Search'!BM$30:BS$30,0)+COUNTIF('Live Search'!B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GX31">
        <f>IF($AS$31="",FALSE,SUMPRODUCT(('Final Calculation Sheet'!$C$4:$C$40=$AS$31)*($GW$6:$GW$42=1))&gt;0)</f>
        <v/>
      </c>
      <c r="GY31">
        <f>$GY$30+--($GX31)</f>
        <v/>
      </c>
      <c r="GZ31">
        <f>IF(ROW()-3&gt;MAX($GY$4:$GY$40),"",INDEX($AS$4:$AS$40,MATCH(ROW()-3,$GY$4:$GY$40,0)))</f>
        <v/>
      </c>
      <c r="HA31">
        <f>IF(COUNTIF('Live Search'!BM$30:BT$30,0)+COUNTIF('Live Search'!BV$30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B31">
        <f>IF($AX$31="",FALSE,SUMPRODUCT(('Final Calculation Sheet'!$H$4:$H$40=$AX$31)*($HA$6:$HA$42=1))&gt;0)</f>
        <v/>
      </c>
      <c r="HC31">
        <f>$HC$30+--($HB31)</f>
        <v/>
      </c>
      <c r="HD31">
        <f>IF(ROW()-3&gt;MAX($HC$4:$HC$40),"",INDEX($AX$4:$AX$40,MATCH(ROW()-3,$HC$4:$HC$40,0)))</f>
        <v/>
      </c>
      <c r="HE31">
        <f>IF(COUNTIF('Live Search'!BM$30:BU$30,0)+COUNTIF('Live Search'!BW$30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F31">
        <f>IF($BC$31="",FALSE,SUMPRODUCT(('Final Calculation Sheet'!$I$4:$I$40=$BC$31)*($HE$6:$HE$42=1))&gt;0)</f>
        <v/>
      </c>
      <c r="HG31">
        <f>$HG$30+--($HF31)</f>
        <v/>
      </c>
      <c r="HH31">
        <f>IF(ROW()-3&gt;MAX($HG$4:$HG$40),"",INDEX($BC$4:$BC$40,MATCH(ROW()-3,$HG$4:$HG$40,0)))</f>
        <v/>
      </c>
      <c r="HI31">
        <f>IF(COUNTIF('Live Search'!BM$30:BV$30,0)+COUNTIF('Live Search'!BX$30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J31">
        <f>IF($BH$31="",FALSE,SUMPRODUCT(('Final Calculation Sheet'!$J$4:$J$40=$BH$31)*($HI$6:$HI$42=1))&gt;0)</f>
        <v/>
      </c>
      <c r="HK31">
        <f>$HK$30+--($HJ31)</f>
        <v/>
      </c>
      <c r="HL31">
        <f>IF(ROW()-3&gt;MAX($HK$4:$HK$40),"",INDEX($BH$4:$BH$40,MATCH(ROW()-3,$HK$4:$HK$40,0)))</f>
        <v/>
      </c>
      <c r="HM31">
        <f>IF(COUNTIF('Live Search'!BM$30:BW$30,0)+COUNTIF('Live Search'!BY$30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N31">
        <f>IF($BM$31="",FALSE,SUMPRODUCT(('Final Calculation Sheet'!$K$4:$K$40=$BM$31)*($HM$6:$HM$42=1))&gt;0)</f>
        <v/>
      </c>
      <c r="HO31">
        <f>$HO$30+--($HN31)</f>
        <v/>
      </c>
      <c r="HP31">
        <f>IF(ROW()-3&gt;MAX($HO$4:$HO$40),"",INDEX($BM$4:$BM$40,MATCH(ROW()-3,$HO$4:$HO$40,0)))</f>
        <v/>
      </c>
      <c r="HQ31">
        <f>IF(COUNTIF('Live Search'!BM$30:BX$30,0)+COUNTIF('Live Search'!BZ$30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R31">
        <f>IF($BR$31="",FALSE,SUMPRODUCT(('Final Calculation Sheet'!$L$4:$L$40=$BR$31)*($HQ$6:$HQ$42=1))&gt;0)</f>
        <v/>
      </c>
      <c r="HS31">
        <f>$HS$30+--($HR31)</f>
        <v/>
      </c>
      <c r="HT31">
        <f>IF(ROW()-3&gt;MAX($HS$4:$HS$40),"",INDEX($BR$4:$BR$40,MATCH(ROW()-3,$HS$4:$HS$40,0)))</f>
        <v/>
      </c>
      <c r="HU31">
        <f>IF(COUNTIF('Live Search'!BM$30:BY$30,0)+COUNTIF('Live Search'!CA$30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V31">
        <f>IF($BW$31="",FALSE,SUMPRODUCT(('Final Calculation Sheet'!$M$4:$M$40=$BW$31)*($HU$6:$HU$42=1))&gt;0)</f>
        <v/>
      </c>
      <c r="HW31">
        <f>$HW$30+--($HV31)</f>
        <v/>
      </c>
      <c r="HX31">
        <f>IF(ROW()-3&gt;MAX($HW$4:$HW$40),"",INDEX($BW$4:$BW$40,MATCH(ROW()-3,$HW$4:$HW$40,0)))</f>
        <v/>
      </c>
      <c r="HY31">
        <f>IF(COUNTIF('Live Search'!BM$30:BZ$30,0)+COUNTIF('Live Search'!CB$30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HZ31">
        <f>IF($CB$31="",FALSE,SUMPRODUCT(('Final Calculation Sheet'!$N$4:$N$40=$CB$31)*($HY$6:$HY$42=1))&gt;0)</f>
        <v/>
      </c>
      <c r="IA31">
        <f>$IA$30+--($HZ31)</f>
        <v/>
      </c>
      <c r="IB31">
        <f>IF(ROW()-3&gt;MAX($IA$4:$IA$40),"",INDEX($CB$4:$CB$40,MATCH(ROW()-3,$IA$4:$IA$40,0)))</f>
        <v/>
      </c>
      <c r="IC31">
        <f>IF(COUNTIF('Live Search'!BM$30:CA$30,0)+COUNTIF('Live Search'!CC$30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D31">
        <f>IF($CG$31="",FALSE,SUMPRODUCT(('Final Calculation Sheet'!$O$4:$O$40=$CG$31)*($IC$6:$IC$42=1))&gt;0)</f>
        <v/>
      </c>
      <c r="IE31">
        <f>$IE$30+--($ID31)</f>
        <v/>
      </c>
      <c r="IF31">
        <f>IF(ROW()-3&gt;MAX($IE$4:$IE$40),"",INDEX($CG$4:$CG$40,MATCH(ROW()-3,$IE$4:$IE$40,0)))</f>
        <v/>
      </c>
      <c r="IG31">
        <f>IF(COUNTIF('Live Search'!BM$30:CB$30,0)+COUNTIF('Live Search'!CD$30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H31">
        <f>IF($CL$31="",FALSE,SUMPRODUCT(('Final Calculation Sheet'!$P$4:$P$40=$CL$31)*($IG$6:$IG$42=1))&gt;0)</f>
        <v/>
      </c>
      <c r="II31">
        <f>$II$30+--($IH31)</f>
        <v/>
      </c>
      <c r="IJ31">
        <f>IF(ROW()-3&gt;MAX($II$4:$II$40),"",INDEX($CL$4:$CL$40,MATCH(ROW()-3,$II$4:$II$40,0)))</f>
        <v/>
      </c>
      <c r="IK31">
        <f>IF(COUNTIF('Live Search'!BM$30:CC$30,0)+COUNTIF('Live Search'!CE$30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L31">
        <f>IF($CQ$31="",FALSE,SUMPRODUCT(('Final Calculation Sheet'!$Q$4:$Q$40=$CQ$31)*($IK$6:$IK$42=1))&gt;0)</f>
        <v/>
      </c>
      <c r="IM31">
        <f>$IM$30+--($IL31)</f>
        <v/>
      </c>
      <c r="IN31">
        <f>IF(ROW()-3&gt;MAX($IM$4:$IM$40),"",INDEX($CQ$4:$CQ$40,MATCH(ROW()-3,$IM$4:$IM$40,0)))</f>
        <v/>
      </c>
      <c r="IO31">
        <f>IF(COUNTIF('Live Search'!BM$30:CD$30,0)+COUNTIF('Live Search'!CF$30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P31">
        <f>IF($CV$31="",FALSE,SUMPRODUCT(('Final Calculation Sheet'!$R$4:$R$40=$CV$31)*($IO$6:$IO$42=1))&gt;0)</f>
        <v/>
      </c>
      <c r="IQ31">
        <f>$IQ$30+--($IP31)</f>
        <v/>
      </c>
      <c r="IR31">
        <f>IF(ROW()-3&gt;MAX($IQ$4:$IQ$40),"",INDEX($CV$4:$CV$40,MATCH(ROW()-3,$IQ$4:$IQ$40,0)))</f>
        <v/>
      </c>
      <c r="IS31">
        <f>IF(COUNTIF('Live Search'!BM$30:CE$30,0)+COUNTIF('Live Search'!CG$30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T31">
        <f>IF($DA$31="",FALSE,SUMPRODUCT(('Final Calculation Sheet'!$S$4:$S$40=$DA$31)*($IS$6:$IS$42=1))&gt;0)</f>
        <v/>
      </c>
      <c r="IU31">
        <f>$IU$30+--($IT31)</f>
        <v/>
      </c>
      <c r="IV31">
        <f>IF(ROW()-3&gt;MAX($IU$4:$IU$40),"",INDEX($DA$4:$DA$40,MATCH(ROW()-3,$IU$4:$IU$40,0)))</f>
        <v/>
      </c>
      <c r="IW31">
        <f>IF(COUNTIF('Live Search'!BM$30:CF$30,0)+COUNTIF('Live Search'!CH$30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IX31">
        <f>IF($DF$31="",FALSE,SUMPRODUCT(('Final Calculation Sheet'!$T$4:$T$40=$DF$31)*($IW$6:$IW$42=1))&gt;0)</f>
        <v/>
      </c>
      <c r="IY31">
        <f>$IY$30+--($IX31)</f>
        <v/>
      </c>
      <c r="IZ31">
        <f>IF(ROW()-3&gt;MAX($IY$4:$IY$40),"",INDEX($DF$4:$DF$40,MATCH(ROW()-3,$IY$4:$IY$40,0)))</f>
        <v/>
      </c>
      <c r="JA31">
        <f>IF(COUNTIF('Live Search'!BM$30:CG$30,0)+COUNTIF('Live Search'!CI$30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B31">
        <f>IF($DK$31="",FALSE,SUMPRODUCT(('Final Calculation Sheet'!$U$4:$U$40=$DK$31)*($JA$6:$JA$42=1))&gt;0)</f>
        <v/>
      </c>
      <c r="JC31">
        <f>$JC$30+--($JB31)</f>
        <v/>
      </c>
      <c r="JD31">
        <f>IF(ROW()-3&gt;MAX($JC$4:$JC$40),"",INDEX($DK$4:$DK$40,MATCH(ROW()-3,$JC$4:$JC$40,0)))</f>
        <v/>
      </c>
      <c r="JE31">
        <f>IF(COUNTIF('Live Search'!BM$30:CH$30,0)+COUNTIF('Live Search'!CJ$30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F31">
        <f>IF($DP$31="",FALSE,SUMPRODUCT(('Final Calculation Sheet'!$V$4:$V$40=$DP$31)*($JE$6:$JE$42=1))&gt;0)</f>
        <v/>
      </c>
      <c r="JG31">
        <f>$JG$30+--($JF31)</f>
        <v/>
      </c>
      <c r="JH31">
        <f>IF(ROW()-3&gt;MAX($JG$4:$JG$40),"",INDEX($DP$4:$DP$40,MATCH(ROW()-3,$JG$4:$JG$40,0)))</f>
        <v/>
      </c>
      <c r="JI31">
        <f>IF(COUNTIF('Live Search'!BM$30:CI$30,0)+COUNTIF('Live Search'!CK$30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J31">
        <f>IF($DU$31="",FALSE,SUMPRODUCT(('Final Calculation Sheet'!$W$4:$W$40=$DU$31)*($JI$6:$JI$42=1))&gt;0)</f>
        <v/>
      </c>
      <c r="JK31">
        <f>$JK$30+--($JJ31)</f>
        <v/>
      </c>
      <c r="JL31">
        <f>IF(ROW()-3&gt;MAX($JK$4:$JK$40),"",INDEX($DU$4:$DU$40,MATCH(ROW()-3,$JK$4:$JK$40,0)))</f>
        <v/>
      </c>
      <c r="JM31">
        <f>IF(COUNTIF('Live Search'!BM$30:CJ$30,0)+COUNTIF('Live Search'!CL$30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N31">
        <f>IF($DZ$31="",FALSE,SUMPRODUCT(('Final Calculation Sheet'!$X$4:$X$40=$DZ$31)*($JM$6:$JM$42=1))&gt;0)</f>
        <v/>
      </c>
      <c r="JO31">
        <f>$JO$30+--($JN31)</f>
        <v/>
      </c>
      <c r="JP31">
        <f>IF(ROW()-3&gt;MAX($JO$4:$JO$40),"",INDEX($DZ$4:$DZ$40,MATCH(ROW()-3,$JO$4:$JO$40,0)))</f>
        <v/>
      </c>
      <c r="JQ31">
        <f>IF(COUNTIF('Live Search'!BM$30:CK$30,0)+COUNTIF('Live Search'!C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R31">
        <f>IF($EE$31="",FALSE,SUMPRODUCT(('Final Calculation Sheet'!$Y$4:$Y$40=$EE$31)*($JQ$6:$JQ$42=1))&gt;0)</f>
        <v/>
      </c>
      <c r="JS31">
        <f>$JS$30+--($JR31)</f>
        <v/>
      </c>
      <c r="JT31">
        <f>IF(ROW()-3&gt;MAX($JS$4:$JS$40),"",INDEX($EE$4:$EE$40,MATCH(ROW()-3,$JS$4:$JS$40,0)))</f>
        <v/>
      </c>
      <c r="JU31">
        <f>IF(COUNTIF('Live Search'!BM$30:CL$30,0)+COUNTIF('Live Search'!CN$30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V31">
        <f>IF($EJ$31="",FALSE,SUMPRODUCT(('Final Calculation Sheet'!$Z$4:$Z$40=$EJ$31)*($JU$6:$JU$42=1))&gt;0)</f>
        <v/>
      </c>
      <c r="JW31">
        <f>$JW$30+--($JV31)</f>
        <v/>
      </c>
      <c r="JX31">
        <f>IF(ROW()-3&gt;MAX($JW$4:$JW$40),"",INDEX($EJ$4:$EJ$40,MATCH(ROW()-3,$JW$4:$JW$40,0)))</f>
        <v/>
      </c>
      <c r="JY31">
        <f>IF(COUNTIF('Live Search'!BM$30:CM$30,0)+COUNTIF('Live Search'!CO$30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JZ31">
        <f>IF($EO$31="",FALSE,SUMPRODUCT(('Final Calculation Sheet'!$AA$4:$AA$40=$EO$31)*($JY$6:$JY$42=1))&gt;0)</f>
        <v/>
      </c>
      <c r="KA31">
        <f>$KA$30+--($JZ31)</f>
        <v/>
      </c>
      <c r="KB31">
        <f>IF(ROW()-3&gt;MAX($KA$4:$KA$40),"",INDEX($EO$4:$EO$40,MATCH(ROW()-3,$KA$4:$KA$40,0)))</f>
        <v/>
      </c>
      <c r="KC31">
        <f>IF(COUNTIF('Live Search'!BM$30:CN$30,0)+COUNTIF('Live Search'!CP$30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D31">
        <f>IF($ET$31="",FALSE,SUMPRODUCT(('Final Calculation Sheet'!$AB$4:$AB$40=$ET$31)*($KC$6:$KC$42=1))&gt;0)</f>
        <v/>
      </c>
      <c r="KE31">
        <f>$KE$30+--($KD31)</f>
        <v/>
      </c>
      <c r="KF31">
        <f>IF(ROW()-3&gt;MAX($KE$4:$KE$40),"",INDEX($ET$4:$ET$40,MATCH(ROW()-3,$KE$4:$KE$40,0)))</f>
        <v/>
      </c>
      <c r="KG31">
        <f>IF(COUNTIF('Live Search'!BM$30:CO$30,0)+COUNTIF('Live Search'!CQ$30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H31">
        <f>IF($EY$31="",FALSE,SUMPRODUCT(('Final Calculation Sheet'!$AC$4:$AC$40=$EY$31)*($KG$6:$KG$42=1))&gt;0)</f>
        <v/>
      </c>
      <c r="KI31">
        <f>$KI$30+--($KH31)</f>
        <v/>
      </c>
      <c r="KJ31">
        <f>IF(ROW()-3&gt;MAX($KI$4:$KI$40),"",INDEX($EY$4:$EY$40,MATCH(ROW()-3,$KI$4:$KI$40,0)))</f>
        <v/>
      </c>
      <c r="KK31">
        <f>IF(COUNTIF('Live Search'!BM$30:CP$30,0)+COUNTIF('Live Search'!CR$30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L31">
        <f>IF($FD$31="",FALSE,SUMPRODUCT(('Final Calculation Sheet'!$AD$4:$AD$40=$FD$31)*($KK$6:$KK$42=1))&gt;0)</f>
        <v/>
      </c>
      <c r="KM31">
        <f>$KM$30+--($KL31)</f>
        <v/>
      </c>
      <c r="KN31">
        <f>IF(ROW()-3&gt;MAX($KM$4:$KM$40),"",INDEX($FD$4:$FD$40,MATCH(ROW()-3,$KM$4:$KM$40,0)))</f>
        <v/>
      </c>
      <c r="KO31">
        <f>IF(COUNTIF('Live Search'!BM$30:CT$30,0)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P31">
        <f>IF($FX$31="",FALSE,SUMPRODUCT((IF('Final Calculation Sheet'!$AD$4:$AD$40&lt;=5,"SETTLED","OUTSTANDING")=$FX$31)*($KO$6:$KO$42=1))&gt;0)</f>
        <v/>
      </c>
      <c r="KQ31">
        <f>$KQ$30+--($KP31)</f>
        <v/>
      </c>
      <c r="KR31">
        <f>IF(ROW()-3&gt;MAX($KQ$4:$KQ$40),"",INDEX($FX$4:$FX$40,MATCH(ROW()-3,$KQ$4:$KQ$40,0)))</f>
        <v/>
      </c>
      <c r="KS31">
        <f>IF(COUNTIF('Live Search'!BM$30:CQ$30,0)+COUNTIF('Live Search'!CS$30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T31">
        <f>IF($FI$31="",FALSE,SUMPRODUCT(('Final Calculation Sheet'!$AF$4:$AF$40=$FI$31)*($KS$6:$KS$42=1))&gt;0)</f>
        <v/>
      </c>
      <c r="KU31">
        <f>$KU$30+--($KT31)</f>
        <v/>
      </c>
      <c r="KV31">
        <f>IF(ROW()-3&gt;MAX($KU$4:$KU$40),"",INDEX($FI$4:$FI$40,MATCH(ROW()-3,$KU$4:$KU$40,0)))</f>
        <v/>
      </c>
      <c r="KW31">
        <f>IF(COUNTIF('Live Search'!BM$30:CR$30,0)+COUNTIF('Live Search'!CT$30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KX31">
        <f>IF($FN$31="",FALSE,SUMPRODUCT(('Final Calculation Sheet'!$AG$4:$AG$40=$FN$31)*($KW$6:$KW$42=1))&gt;0)</f>
        <v/>
      </c>
      <c r="KY31">
        <f>$KY$30+--($KX31)</f>
        <v/>
      </c>
      <c r="KZ31">
        <f>IF(ROW()-3&gt;MAX($KY$4:$KY$40),"",INDEX($FN$4:$FN$40,MATCH(ROW()-3,$KY$4:$KY$40,0)))</f>
        <v/>
      </c>
      <c r="LA31">
        <f>IF(COUNTIF('Live Search'!BM$30:CS$30,0)+COUNTIF('Live Search'!CU$30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LB31">
        <f>IF($FS$31="",FALSE,SUMPRODUCT(('Final Calculation Sheet'!$AH$4:$AH$40=$FS$31)*($LA$6:$LA$42=1))&gt;0)</f>
        <v/>
      </c>
      <c r="LC31">
        <f>$LC$30+--($LB31)</f>
        <v/>
      </c>
      <c r="LD31">
        <f>IF(ROW()-3&gt;MAX($LC$4:$LC$40),"",INDEX($FS$4:$FS$40,MATCH(ROW()-3,$LC$4:$LC$40,0)))</f>
        <v/>
      </c>
      <c r="LE31">
        <f>IF(COUNTIF('Buyer Groups'!DH84:EN84,0)&gt;0,0,1)</f>
        <v/>
      </c>
      <c r="LF31">
        <f>IF($O$31="",FALSE,SUMPRODUCT(('Final Calculation Sheet'!$F$4:$F$40=$O$31)*($LE$6:$LE$42=1))&gt;0)</f>
        <v/>
      </c>
      <c r="LG31">
        <f>$LG$30+--($LF31)</f>
        <v/>
      </c>
      <c r="LH31">
        <f>IF(ROW()-3&gt;MAX($LG$4:$LG$40),"",INDEX($O$4:$O$40,MATCH(ROW()-3,$LG$4:$LG$40,0)))</f>
        <v/>
      </c>
      <c r="LI31">
        <f>IF(COUNTIF('Buyer Groups'!DG84:DG84,0)+COUNTIF('Buyer Groups'!DI84:EN84,0)&gt;0,0,1)</f>
        <v/>
      </c>
      <c r="LJ31">
        <f>IF($T$31="",FALSE,SUMPRODUCT(('Final Calculation Sheet'!$G$4:$G$40=$T$31)*($LI$6:$LI$42=1))&gt;0)</f>
        <v/>
      </c>
      <c r="LK31">
        <f>$LK$30+--($LJ31)</f>
        <v/>
      </c>
      <c r="LL31">
        <f>IF(ROW()-3&gt;MAX($LK$4:$LK$40),"",INDEX($T$4:$T$40,MATCH(ROW()-3,$LK$4:$LK$40,0)))</f>
        <v/>
      </c>
      <c r="LM31">
        <f>IF(COUNTIF('Buyer Groups'!DG84:DH84,0)+COUNTIF('Buyer Groups'!DJ84:EN84,0)&gt;0,0,1)</f>
        <v/>
      </c>
      <c r="LN31">
        <f>IF($Y$31="",FALSE,SUMPRODUCT(('Final Calculation Sheet'!$B$4:$B$40=$Y$31)*($LM$6:$LM$42=1))&gt;0)</f>
        <v/>
      </c>
      <c r="LO31">
        <f>$LO$30+--($LN31)</f>
        <v/>
      </c>
      <c r="LP31">
        <f>IF(ROW()-3&gt;MAX($LO$4:$LO$40),"",INDEX($Y$4:$Y$40,MATCH(ROW()-3,$LO$4:$LO$40,0)))</f>
        <v/>
      </c>
      <c r="LQ31">
        <f>IF(COUNTIF('Buyer Groups'!DG84:DI84,0)+COUNTIF('Buyer Groups'!DK84:EN84,0)&gt;0,0,1)</f>
        <v/>
      </c>
      <c r="LR31">
        <f>IF($AD$31="",FALSE,SUMPRODUCT(('Final Calculation Sheet'!$D$4:$D$40=$AD$31)*($LQ$6:$LQ$42=1))&gt;0)</f>
        <v/>
      </c>
      <c r="LS31">
        <f>$LS$30+--($LR31)</f>
        <v/>
      </c>
      <c r="LT31">
        <f>IF(ROW()-3&gt;MAX($LS$4:$LS$40),"",INDEX($AD$4:$AD$40,MATCH(ROW()-3,$LS$4:$LS$40,0)))</f>
        <v/>
      </c>
      <c r="LU31">
        <f>IF(COUNTIF('Buyer Groups'!DG84:DJ84,0)+COUNTIF('Buyer Groups'!DL84:EN84,0)&gt;0,0,1)</f>
        <v/>
      </c>
      <c r="LV31">
        <f>IF($AI$31="",FALSE,SUMPRODUCT(('Final Calculation Sheet'!$A$4:$A$40=$AI$31)*($LU$6:$LU$42=1))&gt;0)</f>
        <v/>
      </c>
      <c r="LW31">
        <f>$LW$30+--($LV31)</f>
        <v/>
      </c>
      <c r="LX31">
        <f>IF(ROW()-3&gt;MAX($LW$4:$LW$40),"",INDEX($AI$4:$AI$40,MATCH(ROW()-3,$LW$4:$LW$40,0)))</f>
        <v/>
      </c>
      <c r="LY31">
        <f>IF(COUNTIF('Buyer Groups'!DG84:DK84,0)+COUNTIF('Buyer Groups'!DM84:EN84,0)&gt;0,0,1)</f>
        <v/>
      </c>
      <c r="LZ31">
        <f>IF($AN$31="",FALSE,SUMPRODUCT(('Final Calculation Sheet'!$E$4:$E$40=$AN$31)*($LY$6:$LY$42=1))&gt;0)</f>
        <v/>
      </c>
      <c r="MA31">
        <f>$MA$30+--($LZ31)</f>
        <v/>
      </c>
      <c r="MB31">
        <f>IF(ROW()-3&gt;MAX($MA$4:$MA$40),"",INDEX($AN$4:$AN$40,MATCH(ROW()-3,$MA$4:$MA$40,0)))</f>
        <v/>
      </c>
      <c r="MC31">
        <f>IF(COUNTIF('Buyer Groups'!DG84:DL84,0)+COUNTIF('Buyer Groups'!DN84:EN84,0)&gt;0,0,1)</f>
        <v/>
      </c>
      <c r="MD31">
        <f>IF($AS$31="",FALSE,SUMPRODUCT(('Final Calculation Sheet'!$C$4:$C$40=$AS$31)*($MC$6:$MC$42=1))&gt;0)</f>
        <v/>
      </c>
      <c r="ME31">
        <f>$ME$30+--($MD31)</f>
        <v/>
      </c>
      <c r="MF31">
        <f>IF(ROW()-3&gt;MAX($ME$4:$ME$40),"",INDEX($AS$4:$AS$40,MATCH(ROW()-3,$ME$4:$ME$40,0)))</f>
        <v/>
      </c>
      <c r="MG31">
        <f>IF(COUNTIF('Buyer Groups'!DG84:DM84,0)+COUNTIF('Buyer Groups'!DO84:EN84,0)&gt;0,0,1)</f>
        <v/>
      </c>
      <c r="MH31">
        <f>IF($AX$31="",FALSE,SUMPRODUCT(('Final Calculation Sheet'!$H$4:$H$40=$AX$31)*($MG$6:$MG$42=1))&gt;0)</f>
        <v/>
      </c>
      <c r="MI31">
        <f>$MI$30+--($MH31)</f>
        <v/>
      </c>
      <c r="MJ31">
        <f>IF(ROW()-3&gt;MAX($MI$4:$MI$40),"",INDEX($AX$4:$AX$40,MATCH(ROW()-3,$MI$4:$MI$40,0)))</f>
        <v/>
      </c>
      <c r="MK31">
        <f>IF(COUNTIF('Buyer Groups'!DG84:DN84,0)+COUNTIF('Buyer Groups'!DP84:EN84,0)&gt;0,0,1)</f>
        <v/>
      </c>
      <c r="ML31">
        <f>IF($BC$31="",FALSE,SUMPRODUCT(('Final Calculation Sheet'!$I$4:$I$40=$BC$31)*($MK$6:$MK$42=1))&gt;0)</f>
        <v/>
      </c>
      <c r="MM31">
        <f>$MM$30+--($ML31)</f>
        <v/>
      </c>
      <c r="MN31">
        <f>IF(ROW()-3&gt;MAX($MM$4:$MM$40),"",INDEX($BC$4:$BC$40,MATCH(ROW()-3,$MM$4:$MM$40,0)))</f>
        <v/>
      </c>
      <c r="MO31">
        <f>IF(COUNTIF('Buyer Groups'!DG84:DO84,0)+COUNTIF('Buyer Groups'!DQ84:EN84,0)&gt;0,0,1)</f>
        <v/>
      </c>
      <c r="MP31">
        <f>IF($BH$31="",FALSE,SUMPRODUCT(('Final Calculation Sheet'!$J$4:$J$40=$BH$31)*($MO$6:$MO$42=1))&gt;0)</f>
        <v/>
      </c>
      <c r="MQ31">
        <f>$MQ$30+--($MP31)</f>
        <v/>
      </c>
      <c r="MR31">
        <f>IF(ROW()-3&gt;MAX($MQ$4:$MQ$40),"",INDEX($BH$4:$BH$40,MATCH(ROW()-3,$MQ$4:$MQ$40,0)))</f>
        <v/>
      </c>
      <c r="MS31">
        <f>IF(COUNTIF('Buyer Groups'!DG84:DP84,0)+COUNTIF('Buyer Groups'!DR84:EN84,0)&gt;0,0,1)</f>
        <v/>
      </c>
      <c r="MT31">
        <f>IF($BM$31="",FALSE,SUMPRODUCT(('Final Calculation Sheet'!$K$4:$K$40=$BM$31)*($MS$6:$MS$42=1))&gt;0)</f>
        <v/>
      </c>
      <c r="MU31">
        <f>$MU$30+--($MT31)</f>
        <v/>
      </c>
      <c r="MV31">
        <f>IF(ROW()-3&gt;MAX($MU$4:$MU$40),"",INDEX($BM$4:$BM$40,MATCH(ROW()-3,$MU$4:$MU$40,0)))</f>
        <v/>
      </c>
      <c r="MW31">
        <f>IF(COUNTIF('Buyer Groups'!DG84:DQ84,0)+COUNTIF('Buyer Groups'!DS84:EN84,0)&gt;0,0,1)</f>
        <v/>
      </c>
      <c r="MX31">
        <f>IF($BR$31="",FALSE,SUMPRODUCT(('Final Calculation Sheet'!$L$4:$L$40=$BR$31)*($MW$6:$MW$42=1))&gt;0)</f>
        <v/>
      </c>
      <c r="MY31">
        <f>$MY$30+--($MX31)</f>
        <v/>
      </c>
      <c r="MZ31">
        <f>IF(ROW()-3&gt;MAX($MY$4:$MY$40),"",INDEX($BR$4:$BR$40,MATCH(ROW()-3,$MY$4:$MY$40,0)))</f>
        <v/>
      </c>
      <c r="NA31">
        <f>IF(COUNTIF('Buyer Groups'!DG84:DR84,0)+COUNTIF('Buyer Groups'!DT84:EN84,0)&gt;0,0,1)</f>
        <v/>
      </c>
      <c r="NB31">
        <f>IF($BW$31="",FALSE,SUMPRODUCT(('Final Calculation Sheet'!$M$4:$M$40=$BW$31)*($NA$6:$NA$42=1))&gt;0)</f>
        <v/>
      </c>
      <c r="NC31">
        <f>$NC$30+--($NB31)</f>
        <v/>
      </c>
      <c r="ND31">
        <f>IF(ROW()-3&gt;MAX($NC$4:$NC$40),"",INDEX($BW$4:$BW$40,MATCH(ROW()-3,$NC$4:$NC$40,0)))</f>
        <v/>
      </c>
      <c r="NE31">
        <f>IF(COUNTIF('Buyer Groups'!DG84:DS84,0)+COUNTIF('Buyer Groups'!DU84:EN84,0)&gt;0,0,1)</f>
        <v/>
      </c>
      <c r="NF31">
        <f>IF($CB$31="",FALSE,SUMPRODUCT(('Final Calculation Sheet'!$N$4:$N$40=$CB$31)*($NE$6:$NE$42=1))&gt;0)</f>
        <v/>
      </c>
      <c r="NG31">
        <f>$NG$30+--($NF31)</f>
        <v/>
      </c>
      <c r="NH31">
        <f>IF(ROW()-3&gt;MAX($NG$4:$NG$40),"",INDEX($CB$4:$CB$40,MATCH(ROW()-3,$NG$4:$NG$40,0)))</f>
        <v/>
      </c>
      <c r="NI31">
        <f>IF(COUNTIF('Buyer Groups'!DG84:DT84,0)+COUNTIF('Buyer Groups'!DV84:EN84,0)&gt;0,0,1)</f>
        <v/>
      </c>
      <c r="NJ31">
        <f>IF($CG$31="",FALSE,SUMPRODUCT(('Final Calculation Sheet'!$O$4:$O$40=$CG$31)*($NI$6:$NI$42=1))&gt;0)</f>
        <v/>
      </c>
      <c r="NK31">
        <f>$NK$30+--($NJ31)</f>
        <v/>
      </c>
      <c r="NL31">
        <f>IF(ROW()-3&gt;MAX($NK$4:$NK$40),"",INDEX($CG$4:$CG$40,MATCH(ROW()-3,$NK$4:$NK$40,0)))</f>
        <v/>
      </c>
      <c r="NM31">
        <f>IF(COUNTIF('Buyer Groups'!DG84:DU84,0)+COUNTIF('Buyer Groups'!DW84:EN84,0)&gt;0,0,1)</f>
        <v/>
      </c>
      <c r="NN31">
        <f>IF($CL$31="",FALSE,SUMPRODUCT(('Final Calculation Sheet'!$P$4:$P$40=$CL$31)*($NM$6:$NM$42=1))&gt;0)</f>
        <v/>
      </c>
      <c r="NO31">
        <f>$NO$30+--($NN31)</f>
        <v/>
      </c>
      <c r="NP31">
        <f>IF(ROW()-3&gt;MAX($NO$4:$NO$40),"",INDEX($CL$4:$CL$40,MATCH(ROW()-3,$NO$4:$NO$40,0)))</f>
        <v/>
      </c>
      <c r="NQ31">
        <f>IF(COUNTIF('Buyer Groups'!DG84:DV84,0)+COUNTIF('Buyer Groups'!DX84:EN84,0)&gt;0,0,1)</f>
        <v/>
      </c>
      <c r="NR31">
        <f>IF($CQ$31="",FALSE,SUMPRODUCT(('Final Calculation Sheet'!$Q$4:$Q$40=$CQ$31)*($NQ$6:$NQ$42=1))&gt;0)</f>
        <v/>
      </c>
      <c r="NS31">
        <f>$NS$30+--($NR31)</f>
        <v/>
      </c>
      <c r="NT31">
        <f>IF(ROW()-3&gt;MAX($NS$4:$NS$40),"",INDEX($CQ$4:$CQ$40,MATCH(ROW()-3,$NS$4:$NS$40,0)))</f>
        <v/>
      </c>
      <c r="NU31">
        <f>IF(COUNTIF('Buyer Groups'!DG84:DW84,0)+COUNTIF('Buyer Groups'!DY84:EN84,0)&gt;0,0,1)</f>
        <v/>
      </c>
      <c r="NV31">
        <f>IF($CV$31="",FALSE,SUMPRODUCT(('Final Calculation Sheet'!$R$4:$R$40=$CV$31)*($NU$6:$NU$42=1))&gt;0)</f>
        <v/>
      </c>
      <c r="NW31">
        <f>$NW$30+--($NV31)</f>
        <v/>
      </c>
      <c r="NX31">
        <f>IF(ROW()-3&gt;MAX($NW$4:$NW$40),"",INDEX($CV$4:$CV$40,MATCH(ROW()-3,$NW$4:$NW$40,0)))</f>
        <v/>
      </c>
      <c r="NY31">
        <f>IF(COUNTIF('Buyer Groups'!DG84:DX84,0)+COUNTIF('Buyer Groups'!DZ84:EN84,0)&gt;0,0,1)</f>
        <v/>
      </c>
      <c r="NZ31">
        <f>IF($DA$31="",FALSE,SUMPRODUCT(('Final Calculation Sheet'!$S$4:$S$40=$DA$31)*($NY$6:$NY$42=1))&gt;0)</f>
        <v/>
      </c>
      <c r="OA31">
        <f>$OA$30+--($NZ31)</f>
        <v/>
      </c>
      <c r="OB31">
        <f>IF(ROW()-3&gt;MAX($OA$4:$OA$40),"",INDEX($DA$4:$DA$40,MATCH(ROW()-3,$OA$4:$OA$40,0)))</f>
        <v/>
      </c>
      <c r="OC31">
        <f>IF(COUNTIF('Buyer Groups'!DG84:DY84,0)+COUNTIF('Buyer Groups'!EA84:EN84,0)&gt;0,0,1)</f>
        <v/>
      </c>
      <c r="OD31">
        <f>IF($DF$31="",FALSE,SUMPRODUCT(('Final Calculation Sheet'!$T$4:$T$40=$DF$31)*($OC$6:$OC$42=1))&gt;0)</f>
        <v/>
      </c>
      <c r="OE31">
        <f>$OE$30+--($OD31)</f>
        <v/>
      </c>
      <c r="OF31">
        <f>IF(ROW()-3&gt;MAX($OE$4:$OE$40),"",INDEX($DF$4:$DF$40,MATCH(ROW()-3,$OE$4:$OE$40,0)))</f>
        <v/>
      </c>
      <c r="OG31">
        <f>IF(COUNTIF('Buyer Groups'!DG84:DZ84,0)+COUNTIF('Buyer Groups'!EB84:EN84,0)&gt;0,0,1)</f>
        <v/>
      </c>
      <c r="OH31">
        <f>IF($DK$31="",FALSE,SUMPRODUCT(('Final Calculation Sheet'!$U$4:$U$40=$DK$31)*($OG$6:$OG$42=1))&gt;0)</f>
        <v/>
      </c>
      <c r="OI31">
        <f>$OI$30+--($OH31)</f>
        <v/>
      </c>
      <c r="OJ31">
        <f>IF(ROW()-3&gt;MAX($OI$4:$OI$40),"",INDEX($DK$4:$DK$40,MATCH(ROW()-3,$OI$4:$OI$40,0)))</f>
        <v/>
      </c>
      <c r="OK31">
        <f>IF(COUNTIF('Buyer Groups'!DG84:EA84,0)+COUNTIF('Buyer Groups'!EC84:EN84,0)&gt;0,0,1)</f>
        <v/>
      </c>
      <c r="OL31">
        <f>IF($DP$31="",FALSE,SUMPRODUCT(('Final Calculation Sheet'!$V$4:$V$40=$DP$31)*($OK$6:$OK$42=1))&gt;0)</f>
        <v/>
      </c>
      <c r="OM31">
        <f>$OM$30+--($OL31)</f>
        <v/>
      </c>
      <c r="ON31">
        <f>IF(ROW()-3&gt;MAX($OM$4:$OM$40),"",INDEX($DP$4:$DP$40,MATCH(ROW()-3,$OM$4:$OM$40,0)))</f>
        <v/>
      </c>
      <c r="OO31">
        <f>IF(COUNTIF('Buyer Groups'!DG84:EB84,0)+COUNTIF('Buyer Groups'!ED84:EN84,0)&gt;0,0,1)</f>
        <v/>
      </c>
      <c r="OP31">
        <f>IF($DU$31="",FALSE,SUMPRODUCT(('Final Calculation Sheet'!$W$4:$W$40=$DU$31)*($OO$6:$OO$42=1))&gt;0)</f>
        <v/>
      </c>
      <c r="OQ31">
        <f>$OQ$30+--($OP31)</f>
        <v/>
      </c>
      <c r="OR31">
        <f>IF(ROW()-3&gt;MAX($OQ$4:$OQ$40),"",INDEX($DU$4:$DU$40,MATCH(ROW()-3,$OQ$4:$OQ$40,0)))</f>
        <v/>
      </c>
      <c r="OS31">
        <f>IF(COUNTIF('Buyer Groups'!DG84:EC84,0)+COUNTIF('Buyer Groups'!EE84:EN84,0)&gt;0,0,1)</f>
        <v/>
      </c>
      <c r="OT31">
        <f>IF($DZ$31="",FALSE,SUMPRODUCT(('Final Calculation Sheet'!$X$4:$X$40=$DZ$31)*($OS$6:$OS$42=1))&gt;0)</f>
        <v/>
      </c>
      <c r="OU31">
        <f>$OU$30+--($OT31)</f>
        <v/>
      </c>
      <c r="OV31">
        <f>IF(ROW()-3&gt;MAX($OU$4:$OU$40),"",INDEX($DZ$4:$DZ$40,MATCH(ROW()-3,$OU$4:$OU$40,0)))</f>
        <v/>
      </c>
      <c r="OW31">
        <f>IF(COUNTIF('Buyer Groups'!DG84:ED84,0)+COUNTIF('Buyer Groups'!EF84:EN84,0)&gt;0,0,1)</f>
        <v/>
      </c>
      <c r="OX31">
        <f>IF($EE$31="",FALSE,SUMPRODUCT(('Final Calculation Sheet'!$Y$4:$Y$40=$EE$31)*($OW$6:$OW$42=1))&gt;0)</f>
        <v/>
      </c>
      <c r="OY31">
        <f>$OY$30+--($OX31)</f>
        <v/>
      </c>
      <c r="OZ31">
        <f>IF(ROW()-3&gt;MAX($OY$4:$OY$40),"",INDEX($EE$4:$EE$40,MATCH(ROW()-3,$OY$4:$OY$40,0)))</f>
        <v/>
      </c>
      <c r="PA31">
        <f>IF(COUNTIF('Buyer Groups'!DG84:EE84,0)+COUNTIF('Buyer Groups'!EG84:EN84,0)&gt;0,0,1)</f>
        <v/>
      </c>
      <c r="PB31">
        <f>IF($EJ$31="",FALSE,SUMPRODUCT(('Final Calculation Sheet'!$Z$4:$Z$40=$EJ$31)*($PA$6:$PA$42=1))&gt;0)</f>
        <v/>
      </c>
      <c r="PC31">
        <f>$PC$30+--($PB31)</f>
        <v/>
      </c>
      <c r="PD31">
        <f>IF(ROW()-3&gt;MAX($PC$4:$PC$40),"",INDEX($EJ$4:$EJ$40,MATCH(ROW()-3,$PC$4:$PC$40,0)))</f>
        <v/>
      </c>
      <c r="PE31">
        <f>IF(COUNTIF('Buyer Groups'!DG84:EF84,0)+COUNTIF('Buyer Groups'!EH84:EN84,0)&gt;0,0,1)</f>
        <v/>
      </c>
      <c r="PF31">
        <f>IF($EO$31="",FALSE,SUMPRODUCT(('Final Calculation Sheet'!$AA$4:$AA$40=$EO$31)*($PE$6:$PE$42=1))&gt;0)</f>
        <v/>
      </c>
      <c r="PG31">
        <f>$PG$30+--($PF31)</f>
        <v/>
      </c>
      <c r="PH31">
        <f>IF(ROW()-3&gt;MAX($PG$4:$PG$40),"",INDEX($EO$4:$EO$40,MATCH(ROW()-3,$PG$4:$PG$40,0)))</f>
        <v/>
      </c>
      <c r="PI31">
        <f>IF(COUNTIF('Buyer Groups'!DG84:EG84,0)+COUNTIF('Buyer Groups'!EI84:EN84,0)&gt;0,0,1)</f>
        <v/>
      </c>
      <c r="PJ31">
        <f>IF($ET$31="",FALSE,SUMPRODUCT(('Final Calculation Sheet'!$AB$4:$AB$40=$ET$31)*($PI$6:$PI$42=1))&gt;0)</f>
        <v/>
      </c>
      <c r="PK31">
        <f>$PK$30+--($PJ31)</f>
        <v/>
      </c>
      <c r="PL31">
        <f>IF(ROW()-3&gt;MAX($PK$4:$PK$40),"",INDEX($ET$4:$ET$40,MATCH(ROW()-3,$PK$4:$PK$40,0)))</f>
        <v/>
      </c>
      <c r="PM31">
        <f>IF(COUNTIF('Buyer Groups'!DG84:EH84,0)+COUNTIF('Buyer Groups'!EJ84:EN84,0)&gt;0,0,1)</f>
        <v/>
      </c>
      <c r="PN31">
        <f>IF($EY$31="",FALSE,SUMPRODUCT(('Final Calculation Sheet'!$AC$4:$AC$40=$EY$31)*($PM$6:$PM$42=1))&gt;0)</f>
        <v/>
      </c>
      <c r="PO31">
        <f>$PO$30+--($PN31)</f>
        <v/>
      </c>
      <c r="PP31">
        <f>IF(ROW()-3&gt;MAX($PO$4:$PO$40),"",INDEX($EY$4:$EY$40,MATCH(ROW()-3,$PO$4:$PO$40,0)))</f>
        <v/>
      </c>
      <c r="PQ31">
        <f>IF(COUNTIF('Buyer Groups'!DG84:EI84,0)+COUNTIF('Buyer Groups'!EK84:EN84,0)&gt;0,0,1)</f>
        <v/>
      </c>
      <c r="PR31">
        <f>IF($FD$31="",FALSE,SUMPRODUCT(('Final Calculation Sheet'!$AD$4:$AD$40=$FD$31)*($PQ$6:$PQ$42=1))&gt;0)</f>
        <v/>
      </c>
      <c r="PS31">
        <f>$PS$30+--($PR31)</f>
        <v/>
      </c>
      <c r="PT31">
        <f>IF(ROW()-3&gt;MAX($PS$4:$PS$40),"",INDEX($FD$4:$FD$40,MATCH(ROW()-3,$PS$4:$PS$40,0)))</f>
        <v/>
      </c>
      <c r="PU31">
        <f>IF(COUNTIF('Buyer Groups'!DG84:EJ84,0)+COUNTIF('Buyer Groups'!EL84:EN84,0)&gt;0,0,1)</f>
        <v/>
      </c>
      <c r="PV31">
        <f>IF($FX$31="",FALSE,SUMPRODUCT((IF('Final Calculation Sheet'!$AD$4:$AD$40&lt;=5,"SETTLED","OUTSTANDING")=$FX$31)*($PU$6:$PU$42=1))&gt;0)</f>
        <v/>
      </c>
      <c r="PW31">
        <f>$PW$30+--($PV31)</f>
        <v/>
      </c>
      <c r="PX31">
        <f>IF(ROW()-3&gt;MAX($PW$4:$PW$40),"",INDEX($FX$4:$FX$40,MATCH(ROW()-3,$PW$4:$PW$40,0)))</f>
        <v/>
      </c>
      <c r="PY31">
        <f>IF(COUNTIF('Buyer Groups'!DG84:EK84,0)+COUNTIF('Buyer Groups'!EM84:EN84,0)&gt;0,0,1)</f>
        <v/>
      </c>
      <c r="PZ31">
        <f>IF($FI$31="",FALSE,SUMPRODUCT(('Final Calculation Sheet'!$AF$4:$AF$40=$FI$31)*($PY$6:$PY$42=1))&gt;0)</f>
        <v/>
      </c>
      <c r="QA31">
        <f>$QA$30+--($PZ31)</f>
        <v/>
      </c>
      <c r="QB31">
        <f>IF(ROW()-3&gt;MAX($QA$4:$QA$40),"",INDEX($FI$4:$FI$40,MATCH(ROW()-3,$QA$4:$QA$40,0)))</f>
        <v/>
      </c>
      <c r="QC31">
        <f>IF(COUNTIF('Buyer Groups'!DG84:EL84,0)+COUNTIF('Buyer Groups'!EN84:EN84,0)&gt;0,0,1)</f>
        <v/>
      </c>
      <c r="QD31">
        <f>IF($FN$31="",FALSE,SUMPRODUCT(('Final Calculation Sheet'!$AG$4:$AG$40=$FN$31)*($QC$6:$QC$42=1))&gt;0)</f>
        <v/>
      </c>
      <c r="QE31">
        <f>$QE$30+--($QD31)</f>
        <v/>
      </c>
      <c r="QF31">
        <f>IF(ROW()-3&gt;MAX($QE$4:$QE$40),"",INDEX($FN$4:$FN$40,MATCH(ROW()-3,$QE$4:$QE$40,0)))</f>
        <v/>
      </c>
      <c r="QG31">
        <f>IF(COUNTIF('Buyer Groups'!DG84:EM84,0)&gt;0,0,1)</f>
        <v/>
      </c>
      <c r="QH31">
        <f>IF($FS$31="",FALSE,SUMPRODUCT(('Final Calculation Sheet'!$AH$4:$AH$40=$FS$31)*($QG$6:$QG$42=1))&gt;0)</f>
        <v/>
      </c>
      <c r="QI31">
        <f>$QI$30+--($QH31)</f>
        <v/>
      </c>
      <c r="QJ31">
        <f>IF(ROW()-3&gt;MAX($QI$4:$QI$40),"",INDEX($FS$4:$FS$40,MATCH(ROW()-3,$QI$4:$QI$40,0)))</f>
        <v/>
      </c>
      <c r="QK31" t="str">
        <f>IF('Final Calculation Sheet'!$AH$31="","",'Final Calculation Sheet'!$AH$31)</f>
      </c>
      <c r="QL31" t="str">
        <f>IF(QK31="","",COUNTIFS(QK$4:QK$40,"&lt;"&amp;QK31,QK$4:QK$40,"&lt;&gt;"&amp;"")+COUNTIF(QK$4:QK31,QK31))</f>
      </c>
      <c r="QM31" t="str">
        <f>IF(ROW()-3&gt;COUNTIF(QK$4:QK$40,"&lt;&gt;"&amp;""),"",INDEX(QK$4:QK$40,MATCH(ROW()-3,QL$4:QL$40,0)))</f>
      </c>
      <c r="QN31" t="str">
        <f>=QN30+F(AND(QM31&lt;&gt;"",COUNTIF(QM$4:QM31,QM31)=1),1,0)</f>
      </c>
      <c r="QO31" t="str">
        <f>IF(ROW()-3&gt;MAX(QN$4:QN$40),"",INDEX(QM$4:QM$40,MATCH(ROW()-3,QN$4:QN$40,0)))</f>
      </c>
      <c r="QP31" t="str">
        <f>IF(COUNTIF('Final Calculation Sheet'!$AM31:$BS31,0)&gt;0,0,1)</f>
      </c>
      <c r="QQ31" t="str">
        <f>IF($AI$31="",FALSE,SUMPRODUCT(('Final Calculation Sheet'!$A$4:$A$40=$AI$31)*($QP$4:$QP$40=1))&gt;0)</f>
      </c>
      <c r="QR31" t="str">
        <f>=$QR30+--($QQ31)</f>
      </c>
      <c r="QS31" t="str">
        <f>IF(ROW()-3&gt;MAX($QR$4:$QR$40),"",INDEX($AI$4:$AI$40,MATCH(ROW()-3,$QR$4:$QR$40,0)))</f>
      </c>
      <c r="QT31" t="str">
        <f>IF(COUNTIF('Final Calculation Sheet'!$AL31:$AL31,0)+COUNTIF('Final Calculation Sheet'!$AN31:$BS31,0)&gt;0,0,1)</f>
      </c>
      <c r="QU31" t="str">
        <f>IF($Y$31="",FALSE,SUMPRODUCT(('Final Calculation Sheet'!$B$4:$B$40=$Y$31)*($QT$4:$QT$40=1))&gt;0)</f>
      </c>
      <c r="QV31" t="str">
        <f>=$QV30+--($QU31)</f>
      </c>
      <c r="QW31" t="str">
        <f>IF(ROW()-3&gt;MAX($QV$4:$QV$40),"",INDEX($Y$4:$Y$40,MATCH(ROW()-3,$QV$4:$QV$40,0)))</f>
      </c>
      <c r="QX31" t="str">
        <f>IF(COUNTIF('Final Calculation Sheet'!$AL31:$AM31,0)+COUNTIF('Final Calculation Sheet'!$AO31:$BS31,0)&gt;0,0,1)</f>
      </c>
      <c r="QY31" t="str">
        <f>IF($AS$31="",FALSE,SUMPRODUCT(('Final Calculation Sheet'!$C$4:$C$40=$AS$31)*($QX$4:$QX$40=1))&gt;0)</f>
      </c>
      <c r="QZ31" t="str">
        <f>=$QZ30+--($QY31)</f>
      </c>
      <c r="RA31" t="str">
        <f>IF(ROW()-3&gt;MAX($QZ$4:$QZ$40),"",INDEX($AS$4:$AS$40,MATCH(ROW()-3,$QZ$4:$QZ$40,0)))</f>
      </c>
      <c r="RB31" t="str">
        <f>IF(COUNTIF('Final Calculation Sheet'!$AL31:$AN31,0)+COUNTIF('Final Calculation Sheet'!$AP31:$BS31,0)&gt;0,0,1)</f>
      </c>
      <c r="RC31" t="str">
        <f>IF($AD$31="",FALSE,SUMPRODUCT(('Final Calculation Sheet'!$D$4:$D$40=$AD$31)*($RB$4:$RB$40=1))&gt;0)</f>
      </c>
      <c r="RD31" t="str">
        <f>=$RD30+--($RC31)</f>
      </c>
      <c r="RE31" t="str">
        <f>IF(ROW()-3&gt;MAX($RD$4:$RD$40),"",INDEX($AD$4:$AD$40,MATCH(ROW()-3,$RD$4:$RD$40,0)))</f>
      </c>
      <c r="RF31" t="str">
        <f>IF(COUNTIF('Final Calculation Sheet'!$AL31:$AO31,0)+COUNTIF('Final Calculation Sheet'!$AQ31:$BS31,0)&gt;0,0,1)</f>
      </c>
      <c r="RG31" t="str">
        <f>IF($AN$31="",FALSE,SUMPRODUCT(('Final Calculation Sheet'!$E$4:$E$40=$AN$31)*($RF$4:$RF$40=1))&gt;0)</f>
      </c>
      <c r="RH31" t="str">
        <f>=$RH30+--($RG31)</f>
      </c>
      <c r="RI31" t="str">
        <f>IF(ROW()-3&gt;MAX($RH$4:$RH$40),"",INDEX($AN$4:$AN$40,MATCH(ROW()-3,$RH$4:$RH$40,0)))</f>
      </c>
      <c r="RJ31" t="str">
        <f>IF(COUNTIF('Final Calculation Sheet'!$AL31:$AP31,0)+COUNTIF('Final Calculation Sheet'!$AR31:$BS31,0)&gt;0,0,1)</f>
      </c>
      <c r="RK31" t="str">
        <f>IF($O$31="",FALSE,SUMPRODUCT(('Final Calculation Sheet'!$F$4:$F$40=$O$31)*($RJ$4:$RJ$40=1))&gt;0)</f>
      </c>
      <c r="RL31" t="str">
        <f>=$RL30+--($RK31)</f>
      </c>
      <c r="RM31" t="str">
        <f>IF(ROW()-3&gt;MAX($RL$4:$RL$40),"",INDEX($O$4:$O$40,MATCH(ROW()-3,$RL$4:$RL$40,0)))</f>
      </c>
      <c r="RN31" t="str">
        <f>IF(COUNTIF('Final Calculation Sheet'!$AL31:$AQ31,0)+COUNTIF('Final Calculation Sheet'!$AS31:$BS31,0)&gt;0,0,1)</f>
      </c>
      <c r="RO31" t="str">
        <f>IF($T$31="",FALSE,SUMPRODUCT(('Final Calculation Sheet'!$G$4:$G$40=$T$31)*($RN$4:$RN$40=1))&gt;0)</f>
      </c>
      <c r="RP31" t="str">
        <f>=$RP30+--($RO31)</f>
      </c>
      <c r="RQ31" t="str">
        <f>IF(ROW()-3&gt;MAX($RP$4:$RP$40),"",INDEX($T$4:$T$40,MATCH(ROW()-3,$RP$4:$RP$40,0)))</f>
      </c>
      <c r="RR31" t="str">
        <f>IF(COUNTIF('Final Calculation Sheet'!$AL31:$AR31,0)+COUNTIF('Final Calculation Sheet'!$AT31:$BS31,0)&gt;0,0,1)</f>
      </c>
      <c r="RS31" t="str">
        <f>IF($AX$31="",FALSE,SUMPRODUCT(('Final Calculation Sheet'!$H$4:$H$40=$AX$31)*($RR$4:$RR$40=1))&gt;0)</f>
      </c>
      <c r="RT31" t="str">
        <f>=$RT30+--($RS31)</f>
      </c>
      <c r="RU31" t="str">
        <f>IF(ROW()-3&gt;MAX($RT$4:$RT$40),"",INDEX($AX$4:$AX$40,MATCH(ROW()-3,$RT$4:$RT$40,0)))</f>
      </c>
      <c r="RV31" t="str">
        <f>IF(COUNTIF('Final Calculation Sheet'!$AL31:$AS31,0)+COUNTIF('Final Calculation Sheet'!$AU31:$BS31,0)&gt;0,0,1)</f>
      </c>
      <c r="RW31" t="str">
        <f>IF($BC$31="",FALSE,SUMPRODUCT(('Final Calculation Sheet'!$I$4:$I$40=$BC$31)*($RV$4:$RV$40=1))&gt;0)</f>
      </c>
      <c r="RX31" t="str">
        <f>=$RX30+--($RW31)</f>
      </c>
      <c r="RY31" t="str">
        <f>IF(ROW()-3&gt;MAX($RX$4:$RX$40),"",INDEX($BC$4:$BC$40,MATCH(ROW()-3,$RX$4:$RX$40,0)))</f>
      </c>
      <c r="RZ31" t="str">
        <f>IF(COUNTIF('Final Calculation Sheet'!$AL31:$AT31,0)+COUNTIF('Final Calculation Sheet'!$AV31:$BS31,0)&gt;0,0,1)</f>
      </c>
      <c r="SA31" t="str">
        <f>IF($BH$31="",FALSE,SUMPRODUCT(('Final Calculation Sheet'!$J$4:$J$40=$BH$31)*($RZ$4:$RZ$40=1))&gt;0)</f>
      </c>
      <c r="SB31" t="str">
        <f>=$SB30+--($SA31)</f>
      </c>
      <c r="SC31" t="str">
        <f>IF(ROW()-3&gt;MAX($SB$4:$SB$40),"",INDEX($BH$4:$BH$40,MATCH(ROW()-3,$SB$4:$SB$40,0)))</f>
      </c>
      <c r="SD31" t="str">
        <f>IF(COUNTIF('Final Calculation Sheet'!$AL31:$AU31,0)+COUNTIF('Final Calculation Sheet'!$AW31:$BS31,0)&gt;0,0,1)</f>
      </c>
      <c r="SE31" t="str">
        <f>IF($BM$31="",FALSE,SUMPRODUCT(('Final Calculation Sheet'!$K$4:$K$40=$BM$31)*($SD$4:$SD$40=1))&gt;0)</f>
      </c>
      <c r="SF31" t="str">
        <f>=$SF30+--($SE31)</f>
      </c>
      <c r="SG31" t="str">
        <f>IF(ROW()-3&gt;MAX($SF$4:$SF$40),"",INDEX($BM$4:$BM$40,MATCH(ROW()-3,$SF$4:$SF$40,0)))</f>
      </c>
      <c r="SH31" t="str">
        <f>IF(COUNTIF('Final Calculation Sheet'!$AL31:$AV31,0)+COUNTIF('Final Calculation Sheet'!$AX31:$BS31,0)&gt;0,0,1)</f>
      </c>
      <c r="SI31" t="str">
        <f>IF($BR$31="",FALSE,SUMPRODUCT(('Final Calculation Sheet'!$L$4:$L$40=$BR$31)*($SH$4:$SH$40=1))&gt;0)</f>
      </c>
      <c r="SJ31" t="str">
        <f>=$SJ30+--($SI31)</f>
      </c>
      <c r="SK31" t="str">
        <f>IF(ROW()-3&gt;MAX($SJ$4:$SJ$40),"",INDEX($BR$4:$BR$40,MATCH(ROW()-3,$SJ$4:$SJ$40,0)))</f>
      </c>
      <c r="SL31" t="str">
        <f>IF(COUNTIF('Final Calculation Sheet'!$AL31:$AW31,0)+COUNTIF('Final Calculation Sheet'!$AY31:$BS31,0)&gt;0,0,1)</f>
      </c>
      <c r="SM31" t="str">
        <f>IF($BW$31="",FALSE,SUMPRODUCT(('Final Calculation Sheet'!$M$4:$M$40=$BW$31)*($SL$4:$SL$40=1))&gt;0)</f>
      </c>
      <c r="SN31" t="str">
        <f>=$SN30+--($SM31)</f>
      </c>
      <c r="SO31" t="str">
        <f>IF(ROW()-3&gt;MAX($SN$4:$SN$40),"",INDEX($BW$4:$BW$40,MATCH(ROW()-3,$SN$4:$SN$40,0)))</f>
      </c>
      <c r="SP31" t="str">
        <f>IF(COUNTIF('Final Calculation Sheet'!$AL31:$AX31,0)+COUNTIF('Final Calculation Sheet'!$AZ31:$BS31,0)&gt;0,0,1)</f>
      </c>
      <c r="SQ31" t="str">
        <f>IF($CB$31="",FALSE,SUMPRODUCT(('Final Calculation Sheet'!$N$4:$N$40=$CB$31)*($SP$4:$SP$40=1))&gt;0)</f>
      </c>
      <c r="SR31" t="str">
        <f>=$SR30+--($SQ31)</f>
      </c>
      <c r="SS31" t="str">
        <f>IF(ROW()-3&gt;MAX($SR$4:$SR$40),"",INDEX($CB$4:$CB$40,MATCH(ROW()-3,$SR$4:$SR$40,0)))</f>
      </c>
      <c r="ST31" t="str">
        <f>IF(COUNTIF('Final Calculation Sheet'!$AL31:$AY31,0)+COUNTIF('Final Calculation Sheet'!$BA31:$BS31,0)&gt;0,0,1)</f>
      </c>
      <c r="SU31" t="str">
        <f>IF($CG$31="",FALSE,SUMPRODUCT(('Final Calculation Sheet'!$O$4:$O$40=$CG$31)*($ST$4:$ST$40=1))&gt;0)</f>
      </c>
      <c r="SV31" t="str">
        <f>=$SV30+--($SU31)</f>
      </c>
      <c r="SW31" t="str">
        <f>IF(ROW()-3&gt;MAX($SV$4:$SV$40),"",INDEX($CG$4:$CG$40,MATCH(ROW()-3,$SV$4:$SV$40,0)))</f>
      </c>
      <c r="SX31" t="str">
        <f>IF(COUNTIF('Final Calculation Sheet'!$AL31:$AZ31,0)+COUNTIF('Final Calculation Sheet'!$BB31:$BS31,0)&gt;0,0,1)</f>
      </c>
      <c r="SY31" t="str">
        <f>IF($CL$31="",FALSE,SUMPRODUCT(('Final Calculation Sheet'!$P$4:$P$40=$CL$31)*($SX$4:$SX$40=1))&gt;0)</f>
      </c>
      <c r="SZ31" t="str">
        <f>=$SZ30+--($SY31)</f>
      </c>
      <c r="TA31" t="str">
        <f>IF(ROW()-3&gt;MAX($SZ$4:$SZ$40),"",INDEX($CL$4:$CL$40,MATCH(ROW()-3,$SZ$4:$SZ$40,0)))</f>
      </c>
      <c r="TB31" t="str">
        <f>IF(COUNTIF('Final Calculation Sheet'!$AL31:$BA31,0)+COUNTIF('Final Calculation Sheet'!$BC31:$BS31,0)&gt;0,0,1)</f>
      </c>
      <c r="TC31" t="str">
        <f>IF($CQ$31="",FALSE,SUMPRODUCT(('Final Calculation Sheet'!$Q$4:$Q$40=$CQ$31)*($TB$4:$TB$40=1))&gt;0)</f>
      </c>
      <c r="TD31" t="str">
        <f>=$TD30+--($TC31)</f>
      </c>
      <c r="TE31" t="str">
        <f>IF(ROW()-3&gt;MAX($TD$4:$TD$40),"",INDEX($CQ$4:$CQ$40,MATCH(ROW()-3,$TD$4:$TD$40,0)))</f>
      </c>
      <c r="TF31" t="str">
        <f>IF(COUNTIF('Final Calculation Sheet'!$AL31:$BB31,0)+COUNTIF('Final Calculation Sheet'!$BD31:$BS31,0)&gt;0,0,1)</f>
      </c>
      <c r="TG31" t="str">
        <f>IF($CV$31="",FALSE,SUMPRODUCT(('Final Calculation Sheet'!$R$4:$R$40=$CV$31)*($TF$4:$TF$40=1))&gt;0)</f>
      </c>
      <c r="TH31" t="str">
        <f>=$TH30+--($TG31)</f>
      </c>
      <c r="TI31" t="str">
        <f>IF(ROW()-3&gt;MAX($TH$4:$TH$40),"",INDEX($CV$4:$CV$40,MATCH(ROW()-3,$TH$4:$TH$40,0)))</f>
      </c>
      <c r="TJ31" t="str">
        <f>IF(COUNTIF('Final Calculation Sheet'!$AL31:$BC31,0)+COUNTIF('Final Calculation Sheet'!$BE31:$BS31,0)&gt;0,0,1)</f>
      </c>
      <c r="TK31" t="str">
        <f>IF($DA$31="",FALSE,SUMPRODUCT(('Final Calculation Sheet'!$S$4:$S$40=$DA$31)*($TJ$4:$TJ$40=1))&gt;0)</f>
      </c>
      <c r="TL31" t="str">
        <f>=$TL30+--($TK31)</f>
      </c>
      <c r="TM31" t="str">
        <f>IF(ROW()-3&gt;MAX($TL$4:$TL$40),"",INDEX($DA$4:$DA$40,MATCH(ROW()-3,$TL$4:$TL$40,0)))</f>
      </c>
      <c r="TN31" t="str">
        <f>IF(COUNTIF('Final Calculation Sheet'!$AL31:$BD31,0)+COUNTIF('Final Calculation Sheet'!$BF31:$BS31,0)&gt;0,0,1)</f>
      </c>
      <c r="TO31" t="str">
        <f>IF($DF$31="",FALSE,SUMPRODUCT(('Final Calculation Sheet'!$T$4:$T$40=$DF$31)*($TN$4:$TN$40=1))&gt;0)</f>
      </c>
      <c r="TP31" t="str">
        <f>=$TP30+--($TO31)</f>
      </c>
      <c r="TQ31" t="str">
        <f>IF(ROW()-3&gt;MAX($TP$4:$TP$40),"",INDEX($DF$4:$DF$40,MATCH(ROW()-3,$TP$4:$TP$40,0)))</f>
      </c>
      <c r="TR31" t="str">
        <f>IF(COUNTIF('Final Calculation Sheet'!$AL31:$BE31,0)+COUNTIF('Final Calculation Sheet'!$BG31:$BS31,0)&gt;0,0,1)</f>
      </c>
      <c r="TS31" t="str">
        <f>IF($DK$31="",FALSE,SUMPRODUCT(('Final Calculation Sheet'!$U$4:$U$40=$DK$31)*($TR$4:$TR$40=1))&gt;0)</f>
      </c>
      <c r="TT31" t="str">
        <f>=$TT30+--($TS31)</f>
      </c>
      <c r="TU31" t="str">
        <f>IF(ROW()-3&gt;MAX($TT$4:$TT$40),"",INDEX($DK$4:$DK$40,MATCH(ROW()-3,$TT$4:$TT$40,0)))</f>
      </c>
      <c r="TV31" t="str">
        <f>IF(COUNTIF('Final Calculation Sheet'!$AL31:$BF31,0)+COUNTIF('Final Calculation Sheet'!$BH31:$BS31,0)&gt;0,0,1)</f>
      </c>
      <c r="TW31" t="str">
        <f>IF($DP$31="",FALSE,SUMPRODUCT(('Final Calculation Sheet'!$V$4:$V$40=$DP$31)*($TV$4:$TV$40=1))&gt;0)</f>
      </c>
      <c r="TX31" t="str">
        <f>=$TX30+--($TW31)</f>
      </c>
      <c r="TY31" t="str">
        <f>IF(ROW()-3&gt;MAX($TX$4:$TX$40),"",INDEX($DP$4:$DP$40,MATCH(ROW()-3,$TX$4:$TX$40,0)))</f>
      </c>
      <c r="TZ31" t="str">
        <f>IF(COUNTIF('Final Calculation Sheet'!$AL31:$BG31,0)+COUNTIF('Final Calculation Sheet'!$BI31:$BS31,0)&gt;0,0,1)</f>
      </c>
      <c r="UA31" t="str">
        <f>IF($DU$31="",FALSE,SUMPRODUCT(('Final Calculation Sheet'!$W$4:$W$40=$DU$31)*($TZ$4:$TZ$40=1))&gt;0)</f>
      </c>
      <c r="UB31" t="str">
        <f>=$UB30+--($UA31)</f>
      </c>
      <c r="UC31" t="str">
        <f>IF(ROW()-3&gt;MAX($UB$4:$UB$40),"",INDEX($DU$4:$DU$40,MATCH(ROW()-3,$UB$4:$UB$40,0)))</f>
      </c>
      <c r="UD31" t="str">
        <f>IF(COUNTIF('Final Calculation Sheet'!$AL31:$BH31,0)+COUNTIF('Final Calculation Sheet'!$BJ31:$BS31,0)&gt;0,0,1)</f>
      </c>
      <c r="UE31" t="str">
        <f>IF($DZ$31="",FALSE,SUMPRODUCT(('Final Calculation Sheet'!$X$4:$X$40=$DZ$31)*($UD$4:$UD$40=1))&gt;0)</f>
      </c>
      <c r="UF31" t="str">
        <f>=$UF30+--($UE31)</f>
      </c>
      <c r="UG31" t="str">
        <f>IF(ROW()-3&gt;MAX($UF$4:$UF$40),"",INDEX($DZ$4:$DZ$40,MATCH(ROW()-3,$UF$4:$UF$40,0)))</f>
      </c>
      <c r="UH31" t="str">
        <f>IF(COUNTIF('Final Calculation Sheet'!$AL31:$BI31,0)+COUNTIF('Final Calculation Sheet'!$BK31:$BS31,0)&gt;0,0,1)</f>
      </c>
      <c r="UI31" t="str">
        <f>IF($EE$31="",FALSE,SUMPRODUCT(('Final Calculation Sheet'!$Y$4:$Y$40=$EE$31)*($UH$4:$UH$40=1))&gt;0)</f>
      </c>
      <c r="UJ31" t="str">
        <f>=$UJ30+--($UI31)</f>
      </c>
      <c r="UK31" t="str">
        <f>IF(ROW()-3&gt;MAX($UJ$4:$UJ$40),"",INDEX($EE$4:$EE$40,MATCH(ROW()-3,$UJ$4:$UJ$40,0)))</f>
      </c>
      <c r="UL31" t="str">
        <f>IF(COUNTIF('Final Calculation Sheet'!$AL31:$BJ31,0)+COUNTIF('Final Calculation Sheet'!$BL31:$BS31,0)&gt;0,0,1)</f>
      </c>
      <c r="UM31" t="str">
        <f>IF($EJ$31="",FALSE,SUMPRODUCT(('Final Calculation Sheet'!$Z$4:$Z$40=$EJ$31)*($UL$4:$UL$40=1))&gt;0)</f>
      </c>
      <c r="UN31" t="str">
        <f>=$UN30+--($UM31)</f>
      </c>
      <c r="UO31" t="str">
        <f>IF(ROW()-3&gt;MAX($UN$4:$UN$40),"",INDEX($EJ$4:$EJ$40,MATCH(ROW()-3,$UN$4:$UN$40,0)))</f>
      </c>
      <c r="UP31" t="str">
        <f>IF(COUNTIF('Final Calculation Sheet'!$AL31:$BK31,0)+COUNTIF('Final Calculation Sheet'!$BM31:$BS31,0)&gt;0,0,1)</f>
      </c>
      <c r="UQ31" t="str">
        <f>IF($EO$31="",FALSE,SUMPRODUCT(('Final Calculation Sheet'!$AA$4:$AA$40=$EO$31)*($UP$4:$UP$40=1))&gt;0)</f>
      </c>
      <c r="UR31" t="str">
        <f>=$UR30+--($UQ31)</f>
      </c>
      <c r="US31" t="str">
        <f>IF(ROW()-3&gt;MAX($UR$4:$UR$40),"",INDEX($EO$4:$EO$40,MATCH(ROW()-3,$UR$4:$UR$40,0)))</f>
      </c>
      <c r="UT31" t="str">
        <f>IF(COUNTIF('Final Calculation Sheet'!$AL31:$BL31,0)+COUNTIF('Final Calculation Sheet'!$BN31:$BS31,0)&gt;0,0,1)</f>
      </c>
      <c r="UU31" t="str">
        <f>IF($ET$31="",FALSE,SUMPRODUCT(('Final Calculation Sheet'!$AB$4:$AB$40=$ET$31)*($UT$4:$UT$40=1))&gt;0)</f>
      </c>
      <c r="UV31" t="str">
        <f>=$UV30+--($UU31)</f>
      </c>
      <c r="UW31" t="str">
        <f>IF(ROW()-3&gt;MAX($UV$4:$UV$40),"",INDEX($ET$4:$ET$40,MATCH(ROW()-3,$UV$4:$UV$40,0)))</f>
      </c>
      <c r="UX31" t="str">
        <f>IF(COUNTIF('Final Calculation Sheet'!$AL31:$BM31,0)+COUNTIF('Final Calculation Sheet'!$BO31:$BS31,0)&gt;0,0,1)</f>
      </c>
      <c r="UY31" t="str">
        <f>IF($EY$31="",FALSE,SUMPRODUCT(('Final Calculation Sheet'!$AC$4:$AC$40=$EY$31)*($UX$4:$UX$40=1))&gt;0)</f>
      </c>
      <c r="UZ31" t="str">
        <f>=$UZ30+--($UY31)</f>
      </c>
      <c r="VA31" t="str">
        <f>IF(ROW()-3&gt;MAX($UZ$4:$UZ$40),"",INDEX($EY$4:$EY$40,MATCH(ROW()-3,$UZ$4:$UZ$40,0)))</f>
      </c>
      <c r="VB31" t="str">
        <f>IF(COUNTIF('Final Calculation Sheet'!$AL31:$BN31,0)+COUNTIF('Final Calculation Sheet'!$BP31:$BS31,0)&gt;0,0,1)</f>
      </c>
      <c r="VC31" t="str">
        <f>IF($FD$31="",FALSE,SUMPRODUCT(('Final Calculation Sheet'!$AD$4:$AD$40=$FD$31)*($VB$4:$VB$40=1))&gt;0)</f>
      </c>
      <c r="VD31" t="str">
        <f>=$VD30+--($VC31)</f>
      </c>
      <c r="VE31" t="str">
        <f>IF(ROW()-3&gt;MAX($VD$4:$VD$40),"",INDEX($FD$4:$FD$40,MATCH(ROW()-3,$VD$4:$VD$40,0)))</f>
      </c>
      <c r="VF31" t="str">
        <f>IF(COUNTIF('Final Calculation Sheet'!$AL31:$BO31,0)+COUNTIF('Final Calculation Sheet'!$BQ31:$BS31,0)&gt;0,0,1)</f>
      </c>
      <c r="VG31" t="str">
        <f>IF($FI$31="",FALSE,SUMPRODUCT(('Final Calculation Sheet'!$AE$4:$AE$40=$FI$31)*($VF$4:$VF$40=1))&gt;0)</f>
      </c>
      <c r="VH31" t="str">
        <f>=$VH30+--($VG31)</f>
      </c>
      <c r="VI31" t="str">
        <f>IF(ROW()-3&gt;MAX($VH$4:$VH$40),"",INDEX($FI$4:$FI$40,MATCH(ROW()-3,$VH$4:$VH$40,0)))</f>
      </c>
      <c r="VJ31" t="str">
        <f>IF(COUNTIF('Final Calculation Sheet'!$AL31:$BP31,0)+COUNTIF('Final Calculation Sheet'!$BR31:$BS31,0)&gt;0,0,1)</f>
      </c>
      <c r="VK31" t="str">
        <f>IF($FN$31="",FALSE,SUMPRODUCT(('Final Calculation Sheet'!$AF$4:$AF$40=$FN$31)*($VJ$4:$VJ$40=1))&gt;0)</f>
      </c>
      <c r="VL31" t="str">
        <f>=$VL30+--($VK31)</f>
      </c>
      <c r="VM31" t="str">
        <f>IF(ROW()-3&gt;MAX($VL$4:$VL$40),"",INDEX($FN$4:$FN$40,MATCH(ROW()-3,$VL$4:$VL$40,0)))</f>
      </c>
      <c r="VN31" t="str">
        <f>IF(COUNTIF('Final Calculation Sheet'!$AL31:$BQ31,0)+COUNTIF('Final Calculation Sheet'!$BS31:$BS31,0)&gt;0,0,1)</f>
      </c>
      <c r="VO31" t="str">
        <f>IF($FS$31="",FALSE,SUMPRODUCT(('Final Calculation Sheet'!$AG$4:$AG$40=$FS$31)*($VN$4:$VN$40=1))&gt;0)</f>
      </c>
      <c r="VP31" t="str">
        <f>=$VP30+--($VO31)</f>
      </c>
      <c r="VQ31" t="str">
        <f>IF(ROW()-3&gt;MAX($VP$4:$VP$40),"",INDEX($FS$4:$FS$40,MATCH(ROW()-3,$VP$4:$VP$40,0)))</f>
      </c>
      <c r="VR31" t="str">
        <f>IF(COUNTIF('Final Calculation Sheet'!$AL31:$BR31,0)&gt;0,0,1)</f>
      </c>
      <c r="VS31" t="str">
        <f>IF($QO$31="",FALSE,SUMPRODUCT(('Final Calculation Sheet'!$AH$4:$AH$40=$QO$31)*($VR$4:$VR$40=1))&gt;0)</f>
      </c>
      <c r="VT31" t="str">
        <f>=$VT30+--($VS31)</f>
      </c>
      <c r="VU31" t="str">
        <f>IF(ROW()-3&gt;MAX($VT$4:$VT$40),"",INDEX($QO$4:$QO$40,MATCH(ROW()-3,$VT$4:$VT$40,0)))</f>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IF(COUNTIF('Live Search'!BM$31:BM$31,0)+COUNTIF('Live Search'!B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D32">
        <f>IF($O$32="",FALSE,SUMPRODUCT(('Final Calculation Sheet'!$F$4:$F$40=$O$32)*($GC$6:$GC$42=1))&gt;0)</f>
        <v/>
      </c>
      <c r="GE32">
        <f>$GE$31+--($GD32)</f>
        <v/>
      </c>
      <c r="GF32">
        <f>IF(ROW()-3&gt;MAX($GE$4:$GE$40),"",INDEX($O$4:$O$40,MATCH(ROW()-3,$GE$4:$GE$40,0)))</f>
        <v/>
      </c>
      <c r="GG32">
        <f>IF(COUNTIF('Live Search'!BM$31:BN$31,0)+COUNTIF('Live Search'!B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H32">
        <f>IF($T$32="",FALSE,SUMPRODUCT(('Final Calculation Sheet'!$G$4:$G$40=$T$32)*($GG$6:$GG$42=1))&gt;0)</f>
        <v/>
      </c>
      <c r="GI32">
        <f>$GI$31+--($GH32)</f>
        <v/>
      </c>
      <c r="GJ32">
        <f>IF(ROW()-3&gt;MAX($GI$4:$GI$40),"",INDEX($T$4:$T$40,MATCH(ROW()-3,$GI$4:$GI$40,0)))</f>
        <v/>
      </c>
      <c r="GK32">
        <f>IF(COUNTIF('Live Search'!BM$31:BP$31,0)+COUNTIF('Live Search'!B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L32">
        <f>IF($AD$32="",FALSE,SUMPRODUCT(('Final Calculation Sheet'!$D$4:$D$40=$AD$32)*($GK$6:$GK$42=1))&gt;0)</f>
        <v/>
      </c>
      <c r="GM32">
        <f>$GM$31+--($GL32)</f>
        <v/>
      </c>
      <c r="GN32">
        <f>IF(ROW()-3&gt;MAX($GM$4:$GM$40),"",INDEX($AD$4:$AD$40,MATCH(ROW()-3,$GM$4:$GM$40,0)))</f>
        <v/>
      </c>
      <c r="GO32">
        <f>IF(COUNTIF('Live Search'!BM$31:BQ$31,0)+COUNTIF('Live Search'!B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P32">
        <f>IF($AI$32="",FALSE,SUMPRODUCT(('Final Calculation Sheet'!$A$4:$A$40=$AI$32)*($GO$6:$GO$42=1))&gt;0)</f>
        <v/>
      </c>
      <c r="GQ32">
        <f>$GQ$31+--($GP32)</f>
        <v/>
      </c>
      <c r="GR32">
        <f>IF(ROW()-3&gt;MAX($GQ$4:$GQ$40),"",INDEX($AI$4:$AI$40,MATCH(ROW()-3,$GQ$4:$GQ$40,0)))</f>
        <v/>
      </c>
      <c r="GS32">
        <f>IF(COUNTIF('Live Search'!BM$31:BR$31,0)+COUNTIF('Live Search'!B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T32">
        <f>IF($AN$32="",FALSE,SUMPRODUCT(('Final Calculation Sheet'!$E$4:$E$40=$AN$32)*($GS$6:$GS$42=1))&gt;0)</f>
        <v/>
      </c>
      <c r="GU32">
        <f>$GU$31+--($GT32)</f>
        <v/>
      </c>
      <c r="GV32">
        <f>IF(ROW()-3&gt;MAX($GU$4:$GU$40),"",INDEX($AN$4:$AN$40,MATCH(ROW()-3,$GU$4:$GU$40,0)))</f>
        <v/>
      </c>
      <c r="GW32">
        <f>IF(COUNTIF('Live Search'!BM$31:BS$31,0)+COUNTIF('Live Search'!B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GX32">
        <f>IF($AS$32="",FALSE,SUMPRODUCT(('Final Calculation Sheet'!$C$4:$C$40=$AS$32)*($GW$6:$GW$42=1))&gt;0)</f>
        <v/>
      </c>
      <c r="GY32">
        <f>$GY$31+--($GX32)</f>
        <v/>
      </c>
      <c r="GZ32">
        <f>IF(ROW()-3&gt;MAX($GY$4:$GY$40),"",INDEX($AS$4:$AS$40,MATCH(ROW()-3,$GY$4:$GY$40,0)))</f>
        <v/>
      </c>
      <c r="HA32">
        <f>IF(COUNTIF('Live Search'!BM$31:BT$31,0)+COUNTIF('Live Search'!BV$31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B32">
        <f>IF($AX$32="",FALSE,SUMPRODUCT(('Final Calculation Sheet'!$H$4:$H$40=$AX$32)*($HA$6:$HA$42=1))&gt;0)</f>
        <v/>
      </c>
      <c r="HC32">
        <f>$HC$31+--($HB32)</f>
        <v/>
      </c>
      <c r="HD32">
        <f>IF(ROW()-3&gt;MAX($HC$4:$HC$40),"",INDEX($AX$4:$AX$40,MATCH(ROW()-3,$HC$4:$HC$40,0)))</f>
        <v/>
      </c>
      <c r="HE32">
        <f>IF(COUNTIF('Live Search'!BM$31:BU$31,0)+COUNTIF('Live Search'!BW$31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F32">
        <f>IF($BC$32="",FALSE,SUMPRODUCT(('Final Calculation Sheet'!$I$4:$I$40=$BC$32)*($HE$6:$HE$42=1))&gt;0)</f>
        <v/>
      </c>
      <c r="HG32">
        <f>$HG$31+--($HF32)</f>
        <v/>
      </c>
      <c r="HH32">
        <f>IF(ROW()-3&gt;MAX($HG$4:$HG$40),"",INDEX($BC$4:$BC$40,MATCH(ROW()-3,$HG$4:$HG$40,0)))</f>
        <v/>
      </c>
      <c r="HI32">
        <f>IF(COUNTIF('Live Search'!BM$31:BV$31,0)+COUNTIF('Live Search'!BX$31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J32">
        <f>IF($BH$32="",FALSE,SUMPRODUCT(('Final Calculation Sheet'!$J$4:$J$40=$BH$32)*($HI$6:$HI$42=1))&gt;0)</f>
        <v/>
      </c>
      <c r="HK32">
        <f>$HK$31+--($HJ32)</f>
        <v/>
      </c>
      <c r="HL32">
        <f>IF(ROW()-3&gt;MAX($HK$4:$HK$40),"",INDEX($BH$4:$BH$40,MATCH(ROW()-3,$HK$4:$HK$40,0)))</f>
        <v/>
      </c>
      <c r="HM32">
        <f>IF(COUNTIF('Live Search'!BM$31:BW$31,0)+COUNTIF('Live Search'!BY$31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N32">
        <f>IF($BM$32="",FALSE,SUMPRODUCT(('Final Calculation Sheet'!$K$4:$K$40=$BM$32)*($HM$6:$HM$42=1))&gt;0)</f>
        <v/>
      </c>
      <c r="HO32">
        <f>$HO$31+--($HN32)</f>
        <v/>
      </c>
      <c r="HP32">
        <f>IF(ROW()-3&gt;MAX($HO$4:$HO$40),"",INDEX($BM$4:$BM$40,MATCH(ROW()-3,$HO$4:$HO$40,0)))</f>
        <v/>
      </c>
      <c r="HQ32">
        <f>IF(COUNTIF('Live Search'!BM$31:BX$31,0)+COUNTIF('Live Search'!BZ$31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R32">
        <f>IF($BR$32="",FALSE,SUMPRODUCT(('Final Calculation Sheet'!$L$4:$L$40=$BR$32)*($HQ$6:$HQ$42=1))&gt;0)</f>
        <v/>
      </c>
      <c r="HS32">
        <f>$HS$31+--($HR32)</f>
        <v/>
      </c>
      <c r="HT32">
        <f>IF(ROW()-3&gt;MAX($HS$4:$HS$40),"",INDEX($BR$4:$BR$40,MATCH(ROW()-3,$HS$4:$HS$40,0)))</f>
        <v/>
      </c>
      <c r="HU32">
        <f>IF(COUNTIF('Live Search'!BM$31:BY$31,0)+COUNTIF('Live Search'!CA$31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V32">
        <f>IF($BW$32="",FALSE,SUMPRODUCT(('Final Calculation Sheet'!$M$4:$M$40=$BW$32)*($HU$6:$HU$42=1))&gt;0)</f>
        <v/>
      </c>
      <c r="HW32">
        <f>$HW$31+--($HV32)</f>
        <v/>
      </c>
      <c r="HX32">
        <f>IF(ROW()-3&gt;MAX($HW$4:$HW$40),"",INDEX($BW$4:$BW$40,MATCH(ROW()-3,$HW$4:$HW$40,0)))</f>
        <v/>
      </c>
      <c r="HY32">
        <f>IF(COUNTIF('Live Search'!BM$31:BZ$31,0)+COUNTIF('Live Search'!CB$31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HZ32">
        <f>IF($CB$32="",FALSE,SUMPRODUCT(('Final Calculation Sheet'!$N$4:$N$40=$CB$32)*($HY$6:$HY$42=1))&gt;0)</f>
        <v/>
      </c>
      <c r="IA32">
        <f>$IA$31+--($HZ32)</f>
        <v/>
      </c>
      <c r="IB32">
        <f>IF(ROW()-3&gt;MAX($IA$4:$IA$40),"",INDEX($CB$4:$CB$40,MATCH(ROW()-3,$IA$4:$IA$40,0)))</f>
        <v/>
      </c>
      <c r="IC32">
        <f>IF(COUNTIF('Live Search'!BM$31:CA$31,0)+COUNTIF('Live Search'!CC$31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D32">
        <f>IF($CG$32="",FALSE,SUMPRODUCT(('Final Calculation Sheet'!$O$4:$O$40=$CG$32)*($IC$6:$IC$42=1))&gt;0)</f>
        <v/>
      </c>
      <c r="IE32">
        <f>$IE$31+--($ID32)</f>
        <v/>
      </c>
      <c r="IF32">
        <f>IF(ROW()-3&gt;MAX($IE$4:$IE$40),"",INDEX($CG$4:$CG$40,MATCH(ROW()-3,$IE$4:$IE$40,0)))</f>
        <v/>
      </c>
      <c r="IG32">
        <f>IF(COUNTIF('Live Search'!BM$31:CB$31,0)+COUNTIF('Live Search'!CD$31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H32">
        <f>IF($CL$32="",FALSE,SUMPRODUCT(('Final Calculation Sheet'!$P$4:$P$40=$CL$32)*($IG$6:$IG$42=1))&gt;0)</f>
        <v/>
      </c>
      <c r="II32">
        <f>$II$31+--($IH32)</f>
        <v/>
      </c>
      <c r="IJ32">
        <f>IF(ROW()-3&gt;MAX($II$4:$II$40),"",INDEX($CL$4:$CL$40,MATCH(ROW()-3,$II$4:$II$40,0)))</f>
        <v/>
      </c>
      <c r="IK32">
        <f>IF(COUNTIF('Live Search'!BM$31:CC$31,0)+COUNTIF('Live Search'!CE$31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L32">
        <f>IF($CQ$32="",FALSE,SUMPRODUCT(('Final Calculation Sheet'!$Q$4:$Q$40=$CQ$32)*($IK$6:$IK$42=1))&gt;0)</f>
        <v/>
      </c>
      <c r="IM32">
        <f>$IM$31+--($IL32)</f>
        <v/>
      </c>
      <c r="IN32">
        <f>IF(ROW()-3&gt;MAX($IM$4:$IM$40),"",INDEX($CQ$4:$CQ$40,MATCH(ROW()-3,$IM$4:$IM$40,0)))</f>
        <v/>
      </c>
      <c r="IO32">
        <f>IF(COUNTIF('Live Search'!BM$31:CD$31,0)+COUNTIF('Live Search'!CF$31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P32">
        <f>IF($CV$32="",FALSE,SUMPRODUCT(('Final Calculation Sheet'!$R$4:$R$40=$CV$32)*($IO$6:$IO$42=1))&gt;0)</f>
        <v/>
      </c>
      <c r="IQ32">
        <f>$IQ$31+--($IP32)</f>
        <v/>
      </c>
      <c r="IR32">
        <f>IF(ROW()-3&gt;MAX($IQ$4:$IQ$40),"",INDEX($CV$4:$CV$40,MATCH(ROW()-3,$IQ$4:$IQ$40,0)))</f>
        <v/>
      </c>
      <c r="IS32">
        <f>IF(COUNTIF('Live Search'!BM$31:CE$31,0)+COUNTIF('Live Search'!CG$31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T32">
        <f>IF($DA$32="",FALSE,SUMPRODUCT(('Final Calculation Sheet'!$S$4:$S$40=$DA$32)*($IS$6:$IS$42=1))&gt;0)</f>
        <v/>
      </c>
      <c r="IU32">
        <f>$IU$31+--($IT32)</f>
        <v/>
      </c>
      <c r="IV32">
        <f>IF(ROW()-3&gt;MAX($IU$4:$IU$40),"",INDEX($DA$4:$DA$40,MATCH(ROW()-3,$IU$4:$IU$40,0)))</f>
        <v/>
      </c>
      <c r="IW32">
        <f>IF(COUNTIF('Live Search'!BM$31:CF$31,0)+COUNTIF('Live Search'!CH$31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IX32">
        <f>IF($DF$32="",FALSE,SUMPRODUCT(('Final Calculation Sheet'!$T$4:$T$40=$DF$32)*($IW$6:$IW$42=1))&gt;0)</f>
        <v/>
      </c>
      <c r="IY32">
        <f>$IY$31+--($IX32)</f>
        <v/>
      </c>
      <c r="IZ32">
        <f>IF(ROW()-3&gt;MAX($IY$4:$IY$40),"",INDEX($DF$4:$DF$40,MATCH(ROW()-3,$IY$4:$IY$40,0)))</f>
        <v/>
      </c>
      <c r="JA32">
        <f>IF(COUNTIF('Live Search'!BM$31:CG$31,0)+COUNTIF('Live Search'!CI$31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B32">
        <f>IF($DK$32="",FALSE,SUMPRODUCT(('Final Calculation Sheet'!$U$4:$U$40=$DK$32)*($JA$6:$JA$42=1))&gt;0)</f>
        <v/>
      </c>
      <c r="JC32">
        <f>$JC$31+--($JB32)</f>
        <v/>
      </c>
      <c r="JD32">
        <f>IF(ROW()-3&gt;MAX($JC$4:$JC$40),"",INDEX($DK$4:$DK$40,MATCH(ROW()-3,$JC$4:$JC$40,0)))</f>
        <v/>
      </c>
      <c r="JE32">
        <f>IF(COUNTIF('Live Search'!BM$31:CH$31,0)+COUNTIF('Live Search'!CJ$31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F32">
        <f>IF($DP$32="",FALSE,SUMPRODUCT(('Final Calculation Sheet'!$V$4:$V$40=$DP$32)*($JE$6:$JE$42=1))&gt;0)</f>
        <v/>
      </c>
      <c r="JG32">
        <f>$JG$31+--($JF32)</f>
        <v/>
      </c>
      <c r="JH32">
        <f>IF(ROW()-3&gt;MAX($JG$4:$JG$40),"",INDEX($DP$4:$DP$40,MATCH(ROW()-3,$JG$4:$JG$40,0)))</f>
        <v/>
      </c>
      <c r="JI32">
        <f>IF(COUNTIF('Live Search'!BM$31:CI$31,0)+COUNTIF('Live Search'!CK$31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J32">
        <f>IF($DU$32="",FALSE,SUMPRODUCT(('Final Calculation Sheet'!$W$4:$W$40=$DU$32)*($JI$6:$JI$42=1))&gt;0)</f>
        <v/>
      </c>
      <c r="JK32">
        <f>$JK$31+--($JJ32)</f>
        <v/>
      </c>
      <c r="JL32">
        <f>IF(ROW()-3&gt;MAX($JK$4:$JK$40),"",INDEX($DU$4:$DU$40,MATCH(ROW()-3,$JK$4:$JK$40,0)))</f>
        <v/>
      </c>
      <c r="JM32">
        <f>IF(COUNTIF('Live Search'!BM$31:CJ$31,0)+COUNTIF('Live Search'!CL$31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N32">
        <f>IF($DZ$32="",FALSE,SUMPRODUCT(('Final Calculation Sheet'!$X$4:$X$40=$DZ$32)*($JM$6:$JM$42=1))&gt;0)</f>
        <v/>
      </c>
      <c r="JO32">
        <f>$JO$31+--($JN32)</f>
        <v/>
      </c>
      <c r="JP32">
        <f>IF(ROW()-3&gt;MAX($JO$4:$JO$40),"",INDEX($DZ$4:$DZ$40,MATCH(ROW()-3,$JO$4:$JO$40,0)))</f>
        <v/>
      </c>
      <c r="JQ32">
        <f>IF(COUNTIF('Live Search'!BM$31:CK$31,0)+COUNTIF('Live Search'!C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R32">
        <f>IF($EE$32="",FALSE,SUMPRODUCT(('Final Calculation Sheet'!$Y$4:$Y$40=$EE$32)*($JQ$6:$JQ$42=1))&gt;0)</f>
        <v/>
      </c>
      <c r="JS32">
        <f>$JS$31+--($JR32)</f>
        <v/>
      </c>
      <c r="JT32">
        <f>IF(ROW()-3&gt;MAX($JS$4:$JS$40),"",INDEX($EE$4:$EE$40,MATCH(ROW()-3,$JS$4:$JS$40,0)))</f>
        <v/>
      </c>
      <c r="JU32">
        <f>IF(COUNTIF('Live Search'!BM$31:CL$31,0)+COUNTIF('Live Search'!CN$31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V32">
        <f>IF($EJ$32="",FALSE,SUMPRODUCT(('Final Calculation Sheet'!$Z$4:$Z$40=$EJ$32)*($JU$6:$JU$42=1))&gt;0)</f>
        <v/>
      </c>
      <c r="JW32">
        <f>$JW$31+--($JV32)</f>
        <v/>
      </c>
      <c r="JX32">
        <f>IF(ROW()-3&gt;MAX($JW$4:$JW$40),"",INDEX($EJ$4:$EJ$40,MATCH(ROW()-3,$JW$4:$JW$40,0)))</f>
        <v/>
      </c>
      <c r="JY32">
        <f>IF(COUNTIF('Live Search'!BM$31:CM$31,0)+COUNTIF('Live Search'!CO$31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JZ32">
        <f>IF($EO$32="",FALSE,SUMPRODUCT(('Final Calculation Sheet'!$AA$4:$AA$40=$EO$32)*($JY$6:$JY$42=1))&gt;0)</f>
        <v/>
      </c>
      <c r="KA32">
        <f>$KA$31+--($JZ32)</f>
        <v/>
      </c>
      <c r="KB32">
        <f>IF(ROW()-3&gt;MAX($KA$4:$KA$40),"",INDEX($EO$4:$EO$40,MATCH(ROW()-3,$KA$4:$KA$40,0)))</f>
        <v/>
      </c>
      <c r="KC32">
        <f>IF(COUNTIF('Live Search'!BM$31:CN$31,0)+COUNTIF('Live Search'!CP$31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D32">
        <f>IF($ET$32="",FALSE,SUMPRODUCT(('Final Calculation Sheet'!$AB$4:$AB$40=$ET$32)*($KC$6:$KC$42=1))&gt;0)</f>
        <v/>
      </c>
      <c r="KE32">
        <f>$KE$31+--($KD32)</f>
        <v/>
      </c>
      <c r="KF32">
        <f>IF(ROW()-3&gt;MAX($KE$4:$KE$40),"",INDEX($ET$4:$ET$40,MATCH(ROW()-3,$KE$4:$KE$40,0)))</f>
        <v/>
      </c>
      <c r="KG32">
        <f>IF(COUNTIF('Live Search'!BM$31:CO$31,0)+COUNTIF('Live Search'!CQ$31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H32">
        <f>IF($EY$32="",FALSE,SUMPRODUCT(('Final Calculation Sheet'!$AC$4:$AC$40=$EY$32)*($KG$6:$KG$42=1))&gt;0)</f>
        <v/>
      </c>
      <c r="KI32">
        <f>$KI$31+--($KH32)</f>
        <v/>
      </c>
      <c r="KJ32">
        <f>IF(ROW()-3&gt;MAX($KI$4:$KI$40),"",INDEX($EY$4:$EY$40,MATCH(ROW()-3,$KI$4:$KI$40,0)))</f>
        <v/>
      </c>
      <c r="KK32">
        <f>IF(COUNTIF('Live Search'!BM$31:CP$31,0)+COUNTIF('Live Search'!CR$31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L32">
        <f>IF($FD$32="",FALSE,SUMPRODUCT(('Final Calculation Sheet'!$AD$4:$AD$40=$FD$32)*($KK$6:$KK$42=1))&gt;0)</f>
        <v/>
      </c>
      <c r="KM32">
        <f>$KM$31+--($KL32)</f>
        <v/>
      </c>
      <c r="KN32">
        <f>IF(ROW()-3&gt;MAX($KM$4:$KM$40),"",INDEX($FD$4:$FD$40,MATCH(ROW()-3,$KM$4:$KM$40,0)))</f>
        <v/>
      </c>
      <c r="KO32">
        <f>IF(COUNTIF('Live Search'!BM$31:CT$31,0)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P32">
        <f>IF($FX$32="",FALSE,SUMPRODUCT((IF('Final Calculation Sheet'!$AD$4:$AD$40&lt;=5,"SETTLED","OUTSTANDING")=$FX$32)*($KO$6:$KO$42=1))&gt;0)</f>
        <v/>
      </c>
      <c r="KQ32">
        <f>$KQ$31+--($KP32)</f>
        <v/>
      </c>
      <c r="KR32">
        <f>IF(ROW()-3&gt;MAX($KQ$4:$KQ$40),"",INDEX($FX$4:$FX$40,MATCH(ROW()-3,$KQ$4:$KQ$40,0)))</f>
        <v/>
      </c>
      <c r="KS32">
        <f>IF(COUNTIF('Live Search'!BM$31:CQ$31,0)+COUNTIF('Live Search'!CS$31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T32">
        <f>IF($FI$32="",FALSE,SUMPRODUCT(('Final Calculation Sheet'!$AF$4:$AF$40=$FI$32)*($KS$6:$KS$42=1))&gt;0)</f>
        <v/>
      </c>
      <c r="KU32">
        <f>$KU$31+--($KT32)</f>
        <v/>
      </c>
      <c r="KV32">
        <f>IF(ROW()-3&gt;MAX($KU$4:$KU$40),"",INDEX($FI$4:$FI$40,MATCH(ROW()-3,$KU$4:$KU$40,0)))</f>
        <v/>
      </c>
      <c r="KW32">
        <f>IF(COUNTIF('Live Search'!BM$31:CR$31,0)+COUNTIF('Live Search'!CT$31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KX32">
        <f>IF($FN$32="",FALSE,SUMPRODUCT(('Final Calculation Sheet'!$AG$4:$AG$40=$FN$32)*($KW$6:$KW$42=1))&gt;0)</f>
        <v/>
      </c>
      <c r="KY32">
        <f>$KY$31+--($KX32)</f>
        <v/>
      </c>
      <c r="KZ32">
        <f>IF(ROW()-3&gt;MAX($KY$4:$KY$40),"",INDEX($FN$4:$FN$40,MATCH(ROW()-3,$KY$4:$KY$40,0)))</f>
        <v/>
      </c>
      <c r="LA32">
        <f>IF(COUNTIF('Live Search'!BM$31:CS$31,0)+COUNTIF('Live Search'!CU$31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LB32">
        <f>IF($FS$32="",FALSE,SUMPRODUCT(('Final Calculation Sheet'!$AH$4:$AH$40=$FS$32)*($LA$6:$LA$42=1))&gt;0)</f>
        <v/>
      </c>
      <c r="LC32">
        <f>$LC$31+--($LB32)</f>
        <v/>
      </c>
      <c r="LD32">
        <f>IF(ROW()-3&gt;MAX($LC$4:$LC$40),"",INDEX($FS$4:$FS$40,MATCH(ROW()-3,$LC$4:$LC$40,0)))</f>
        <v/>
      </c>
      <c r="LE32">
        <f>IF(COUNTIF('Buyer Groups'!DH85:EN85,0)&gt;0,0,1)</f>
        <v/>
      </c>
      <c r="LF32">
        <f>IF($O$32="",FALSE,SUMPRODUCT(('Final Calculation Sheet'!$F$4:$F$40=$O$32)*($LE$6:$LE$42=1))&gt;0)</f>
        <v/>
      </c>
      <c r="LG32">
        <f>$LG$31+--($LF32)</f>
        <v/>
      </c>
      <c r="LH32">
        <f>IF(ROW()-3&gt;MAX($LG$4:$LG$40),"",INDEX($O$4:$O$40,MATCH(ROW()-3,$LG$4:$LG$40,0)))</f>
        <v/>
      </c>
      <c r="LI32">
        <f>IF(COUNTIF('Buyer Groups'!DG85:DG85,0)+COUNTIF('Buyer Groups'!DI85:EN85,0)&gt;0,0,1)</f>
        <v/>
      </c>
      <c r="LJ32">
        <f>IF($T$32="",FALSE,SUMPRODUCT(('Final Calculation Sheet'!$G$4:$G$40=$T$32)*($LI$6:$LI$42=1))&gt;0)</f>
        <v/>
      </c>
      <c r="LK32">
        <f>$LK$31+--($LJ32)</f>
        <v/>
      </c>
      <c r="LL32">
        <f>IF(ROW()-3&gt;MAX($LK$4:$LK$40),"",INDEX($T$4:$T$40,MATCH(ROW()-3,$LK$4:$LK$40,0)))</f>
        <v/>
      </c>
      <c r="LM32">
        <f>IF(COUNTIF('Buyer Groups'!DG85:DH85,0)+COUNTIF('Buyer Groups'!DJ85:EN85,0)&gt;0,0,1)</f>
        <v/>
      </c>
      <c r="LN32">
        <f>IF($Y$32="",FALSE,SUMPRODUCT(('Final Calculation Sheet'!$B$4:$B$40=$Y$32)*($LM$6:$LM$42=1))&gt;0)</f>
        <v/>
      </c>
      <c r="LO32">
        <f>$LO$31+--($LN32)</f>
        <v/>
      </c>
      <c r="LP32">
        <f>IF(ROW()-3&gt;MAX($LO$4:$LO$40),"",INDEX($Y$4:$Y$40,MATCH(ROW()-3,$LO$4:$LO$40,0)))</f>
        <v/>
      </c>
      <c r="LQ32">
        <f>IF(COUNTIF('Buyer Groups'!DG85:DI85,0)+COUNTIF('Buyer Groups'!DK85:EN85,0)&gt;0,0,1)</f>
        <v/>
      </c>
      <c r="LR32">
        <f>IF($AD$32="",FALSE,SUMPRODUCT(('Final Calculation Sheet'!$D$4:$D$40=$AD$32)*($LQ$6:$LQ$42=1))&gt;0)</f>
        <v/>
      </c>
      <c r="LS32">
        <f>$LS$31+--($LR32)</f>
        <v/>
      </c>
      <c r="LT32">
        <f>IF(ROW()-3&gt;MAX($LS$4:$LS$40),"",INDEX($AD$4:$AD$40,MATCH(ROW()-3,$LS$4:$LS$40,0)))</f>
        <v/>
      </c>
      <c r="LU32">
        <f>IF(COUNTIF('Buyer Groups'!DG85:DJ85,0)+COUNTIF('Buyer Groups'!DL85:EN85,0)&gt;0,0,1)</f>
        <v/>
      </c>
      <c r="LV32">
        <f>IF($AI$32="",FALSE,SUMPRODUCT(('Final Calculation Sheet'!$A$4:$A$40=$AI$32)*($LU$6:$LU$42=1))&gt;0)</f>
        <v/>
      </c>
      <c r="LW32">
        <f>$LW$31+--($LV32)</f>
        <v/>
      </c>
      <c r="LX32">
        <f>IF(ROW()-3&gt;MAX($LW$4:$LW$40),"",INDEX($AI$4:$AI$40,MATCH(ROW()-3,$LW$4:$LW$40,0)))</f>
        <v/>
      </c>
      <c r="LY32">
        <f>IF(COUNTIF('Buyer Groups'!DG85:DK85,0)+COUNTIF('Buyer Groups'!DM85:EN85,0)&gt;0,0,1)</f>
        <v/>
      </c>
      <c r="LZ32">
        <f>IF($AN$32="",FALSE,SUMPRODUCT(('Final Calculation Sheet'!$E$4:$E$40=$AN$32)*($LY$6:$LY$42=1))&gt;0)</f>
        <v/>
      </c>
      <c r="MA32">
        <f>$MA$31+--($LZ32)</f>
        <v/>
      </c>
      <c r="MB32">
        <f>IF(ROW()-3&gt;MAX($MA$4:$MA$40),"",INDEX($AN$4:$AN$40,MATCH(ROW()-3,$MA$4:$MA$40,0)))</f>
        <v/>
      </c>
      <c r="MC32">
        <f>IF(COUNTIF('Buyer Groups'!DG85:DL85,0)+COUNTIF('Buyer Groups'!DN85:EN85,0)&gt;0,0,1)</f>
        <v/>
      </c>
      <c r="MD32">
        <f>IF($AS$32="",FALSE,SUMPRODUCT(('Final Calculation Sheet'!$C$4:$C$40=$AS$32)*($MC$6:$MC$42=1))&gt;0)</f>
        <v/>
      </c>
      <c r="ME32">
        <f>$ME$31+--($MD32)</f>
        <v/>
      </c>
      <c r="MF32">
        <f>IF(ROW()-3&gt;MAX($ME$4:$ME$40),"",INDEX($AS$4:$AS$40,MATCH(ROW()-3,$ME$4:$ME$40,0)))</f>
        <v/>
      </c>
      <c r="MG32">
        <f>IF(COUNTIF('Buyer Groups'!DG85:DM85,0)+COUNTIF('Buyer Groups'!DO85:EN85,0)&gt;0,0,1)</f>
        <v/>
      </c>
      <c r="MH32">
        <f>IF($AX$32="",FALSE,SUMPRODUCT(('Final Calculation Sheet'!$H$4:$H$40=$AX$32)*($MG$6:$MG$42=1))&gt;0)</f>
        <v/>
      </c>
      <c r="MI32">
        <f>$MI$31+--($MH32)</f>
        <v/>
      </c>
      <c r="MJ32">
        <f>IF(ROW()-3&gt;MAX($MI$4:$MI$40),"",INDEX($AX$4:$AX$40,MATCH(ROW()-3,$MI$4:$MI$40,0)))</f>
        <v/>
      </c>
      <c r="MK32">
        <f>IF(COUNTIF('Buyer Groups'!DG85:DN85,0)+COUNTIF('Buyer Groups'!DP85:EN85,0)&gt;0,0,1)</f>
        <v/>
      </c>
      <c r="ML32">
        <f>IF($BC$32="",FALSE,SUMPRODUCT(('Final Calculation Sheet'!$I$4:$I$40=$BC$32)*($MK$6:$MK$42=1))&gt;0)</f>
        <v/>
      </c>
      <c r="MM32">
        <f>$MM$31+--($ML32)</f>
        <v/>
      </c>
      <c r="MN32">
        <f>IF(ROW()-3&gt;MAX($MM$4:$MM$40),"",INDEX($BC$4:$BC$40,MATCH(ROW()-3,$MM$4:$MM$40,0)))</f>
        <v/>
      </c>
      <c r="MO32">
        <f>IF(COUNTIF('Buyer Groups'!DG85:DO85,0)+COUNTIF('Buyer Groups'!DQ85:EN85,0)&gt;0,0,1)</f>
        <v/>
      </c>
      <c r="MP32">
        <f>IF($BH$32="",FALSE,SUMPRODUCT(('Final Calculation Sheet'!$J$4:$J$40=$BH$32)*($MO$6:$MO$42=1))&gt;0)</f>
        <v/>
      </c>
      <c r="MQ32">
        <f>$MQ$31+--($MP32)</f>
        <v/>
      </c>
      <c r="MR32">
        <f>IF(ROW()-3&gt;MAX($MQ$4:$MQ$40),"",INDEX($BH$4:$BH$40,MATCH(ROW()-3,$MQ$4:$MQ$40,0)))</f>
        <v/>
      </c>
      <c r="MS32">
        <f>IF(COUNTIF('Buyer Groups'!DG85:DP85,0)+COUNTIF('Buyer Groups'!DR85:EN85,0)&gt;0,0,1)</f>
        <v/>
      </c>
      <c r="MT32">
        <f>IF($BM$32="",FALSE,SUMPRODUCT(('Final Calculation Sheet'!$K$4:$K$40=$BM$32)*($MS$6:$MS$42=1))&gt;0)</f>
        <v/>
      </c>
      <c r="MU32">
        <f>$MU$31+--($MT32)</f>
        <v/>
      </c>
      <c r="MV32">
        <f>IF(ROW()-3&gt;MAX($MU$4:$MU$40),"",INDEX($BM$4:$BM$40,MATCH(ROW()-3,$MU$4:$MU$40,0)))</f>
        <v/>
      </c>
      <c r="MW32">
        <f>IF(COUNTIF('Buyer Groups'!DG85:DQ85,0)+COUNTIF('Buyer Groups'!DS85:EN85,0)&gt;0,0,1)</f>
        <v/>
      </c>
      <c r="MX32">
        <f>IF($BR$32="",FALSE,SUMPRODUCT(('Final Calculation Sheet'!$L$4:$L$40=$BR$32)*($MW$6:$MW$42=1))&gt;0)</f>
        <v/>
      </c>
      <c r="MY32">
        <f>$MY$31+--($MX32)</f>
        <v/>
      </c>
      <c r="MZ32">
        <f>IF(ROW()-3&gt;MAX($MY$4:$MY$40),"",INDEX($BR$4:$BR$40,MATCH(ROW()-3,$MY$4:$MY$40,0)))</f>
        <v/>
      </c>
      <c r="NA32">
        <f>IF(COUNTIF('Buyer Groups'!DG85:DR85,0)+COUNTIF('Buyer Groups'!DT85:EN85,0)&gt;0,0,1)</f>
        <v/>
      </c>
      <c r="NB32">
        <f>IF($BW$32="",FALSE,SUMPRODUCT(('Final Calculation Sheet'!$M$4:$M$40=$BW$32)*($NA$6:$NA$42=1))&gt;0)</f>
        <v/>
      </c>
      <c r="NC32">
        <f>$NC$31+--($NB32)</f>
        <v/>
      </c>
      <c r="ND32">
        <f>IF(ROW()-3&gt;MAX($NC$4:$NC$40),"",INDEX($BW$4:$BW$40,MATCH(ROW()-3,$NC$4:$NC$40,0)))</f>
        <v/>
      </c>
      <c r="NE32">
        <f>IF(COUNTIF('Buyer Groups'!DG85:DS85,0)+COUNTIF('Buyer Groups'!DU85:EN85,0)&gt;0,0,1)</f>
        <v/>
      </c>
      <c r="NF32">
        <f>IF($CB$32="",FALSE,SUMPRODUCT(('Final Calculation Sheet'!$N$4:$N$40=$CB$32)*($NE$6:$NE$42=1))&gt;0)</f>
        <v/>
      </c>
      <c r="NG32">
        <f>$NG$31+--($NF32)</f>
        <v/>
      </c>
      <c r="NH32">
        <f>IF(ROW()-3&gt;MAX($NG$4:$NG$40),"",INDEX($CB$4:$CB$40,MATCH(ROW()-3,$NG$4:$NG$40,0)))</f>
        <v/>
      </c>
      <c r="NI32">
        <f>IF(COUNTIF('Buyer Groups'!DG85:DT85,0)+COUNTIF('Buyer Groups'!DV85:EN85,0)&gt;0,0,1)</f>
        <v/>
      </c>
      <c r="NJ32">
        <f>IF($CG$32="",FALSE,SUMPRODUCT(('Final Calculation Sheet'!$O$4:$O$40=$CG$32)*($NI$6:$NI$42=1))&gt;0)</f>
        <v/>
      </c>
      <c r="NK32">
        <f>$NK$31+--($NJ32)</f>
        <v/>
      </c>
      <c r="NL32">
        <f>IF(ROW()-3&gt;MAX($NK$4:$NK$40),"",INDEX($CG$4:$CG$40,MATCH(ROW()-3,$NK$4:$NK$40,0)))</f>
        <v/>
      </c>
      <c r="NM32">
        <f>IF(COUNTIF('Buyer Groups'!DG85:DU85,0)+COUNTIF('Buyer Groups'!DW85:EN85,0)&gt;0,0,1)</f>
        <v/>
      </c>
      <c r="NN32">
        <f>IF($CL$32="",FALSE,SUMPRODUCT(('Final Calculation Sheet'!$P$4:$P$40=$CL$32)*($NM$6:$NM$42=1))&gt;0)</f>
        <v/>
      </c>
      <c r="NO32">
        <f>$NO$31+--($NN32)</f>
        <v/>
      </c>
      <c r="NP32">
        <f>IF(ROW()-3&gt;MAX($NO$4:$NO$40),"",INDEX($CL$4:$CL$40,MATCH(ROW()-3,$NO$4:$NO$40,0)))</f>
        <v/>
      </c>
      <c r="NQ32">
        <f>IF(COUNTIF('Buyer Groups'!DG85:DV85,0)+COUNTIF('Buyer Groups'!DX85:EN85,0)&gt;0,0,1)</f>
        <v/>
      </c>
      <c r="NR32">
        <f>IF($CQ$32="",FALSE,SUMPRODUCT(('Final Calculation Sheet'!$Q$4:$Q$40=$CQ$32)*($NQ$6:$NQ$42=1))&gt;0)</f>
        <v/>
      </c>
      <c r="NS32">
        <f>$NS$31+--($NR32)</f>
        <v/>
      </c>
      <c r="NT32">
        <f>IF(ROW()-3&gt;MAX($NS$4:$NS$40),"",INDEX($CQ$4:$CQ$40,MATCH(ROW()-3,$NS$4:$NS$40,0)))</f>
        <v/>
      </c>
      <c r="NU32">
        <f>IF(COUNTIF('Buyer Groups'!DG85:DW85,0)+COUNTIF('Buyer Groups'!DY85:EN85,0)&gt;0,0,1)</f>
        <v/>
      </c>
      <c r="NV32">
        <f>IF($CV$32="",FALSE,SUMPRODUCT(('Final Calculation Sheet'!$R$4:$R$40=$CV$32)*($NU$6:$NU$42=1))&gt;0)</f>
        <v/>
      </c>
      <c r="NW32">
        <f>$NW$31+--($NV32)</f>
        <v/>
      </c>
      <c r="NX32">
        <f>IF(ROW()-3&gt;MAX($NW$4:$NW$40),"",INDEX($CV$4:$CV$40,MATCH(ROW()-3,$NW$4:$NW$40,0)))</f>
        <v/>
      </c>
      <c r="NY32">
        <f>IF(COUNTIF('Buyer Groups'!DG85:DX85,0)+COUNTIF('Buyer Groups'!DZ85:EN85,0)&gt;0,0,1)</f>
        <v/>
      </c>
      <c r="NZ32">
        <f>IF($DA$32="",FALSE,SUMPRODUCT(('Final Calculation Sheet'!$S$4:$S$40=$DA$32)*($NY$6:$NY$42=1))&gt;0)</f>
        <v/>
      </c>
      <c r="OA32">
        <f>$OA$31+--($NZ32)</f>
        <v/>
      </c>
      <c r="OB32">
        <f>IF(ROW()-3&gt;MAX($OA$4:$OA$40),"",INDEX($DA$4:$DA$40,MATCH(ROW()-3,$OA$4:$OA$40,0)))</f>
        <v/>
      </c>
      <c r="OC32">
        <f>IF(COUNTIF('Buyer Groups'!DG85:DY85,0)+COUNTIF('Buyer Groups'!EA85:EN85,0)&gt;0,0,1)</f>
        <v/>
      </c>
      <c r="OD32">
        <f>IF($DF$32="",FALSE,SUMPRODUCT(('Final Calculation Sheet'!$T$4:$T$40=$DF$32)*($OC$6:$OC$42=1))&gt;0)</f>
        <v/>
      </c>
      <c r="OE32">
        <f>$OE$31+--($OD32)</f>
        <v/>
      </c>
      <c r="OF32">
        <f>IF(ROW()-3&gt;MAX($OE$4:$OE$40),"",INDEX($DF$4:$DF$40,MATCH(ROW()-3,$OE$4:$OE$40,0)))</f>
        <v/>
      </c>
      <c r="OG32">
        <f>IF(COUNTIF('Buyer Groups'!DG85:DZ85,0)+COUNTIF('Buyer Groups'!EB85:EN85,0)&gt;0,0,1)</f>
        <v/>
      </c>
      <c r="OH32">
        <f>IF($DK$32="",FALSE,SUMPRODUCT(('Final Calculation Sheet'!$U$4:$U$40=$DK$32)*($OG$6:$OG$42=1))&gt;0)</f>
        <v/>
      </c>
      <c r="OI32">
        <f>$OI$31+--($OH32)</f>
        <v/>
      </c>
      <c r="OJ32">
        <f>IF(ROW()-3&gt;MAX($OI$4:$OI$40),"",INDEX($DK$4:$DK$40,MATCH(ROW()-3,$OI$4:$OI$40,0)))</f>
        <v/>
      </c>
      <c r="OK32">
        <f>IF(COUNTIF('Buyer Groups'!DG85:EA85,0)+COUNTIF('Buyer Groups'!EC85:EN85,0)&gt;0,0,1)</f>
        <v/>
      </c>
      <c r="OL32">
        <f>IF($DP$32="",FALSE,SUMPRODUCT(('Final Calculation Sheet'!$V$4:$V$40=$DP$32)*($OK$6:$OK$42=1))&gt;0)</f>
        <v/>
      </c>
      <c r="OM32">
        <f>$OM$31+--($OL32)</f>
        <v/>
      </c>
      <c r="ON32">
        <f>IF(ROW()-3&gt;MAX($OM$4:$OM$40),"",INDEX($DP$4:$DP$40,MATCH(ROW()-3,$OM$4:$OM$40,0)))</f>
        <v/>
      </c>
      <c r="OO32">
        <f>IF(COUNTIF('Buyer Groups'!DG85:EB85,0)+COUNTIF('Buyer Groups'!ED85:EN85,0)&gt;0,0,1)</f>
        <v/>
      </c>
      <c r="OP32">
        <f>IF($DU$32="",FALSE,SUMPRODUCT(('Final Calculation Sheet'!$W$4:$W$40=$DU$32)*($OO$6:$OO$42=1))&gt;0)</f>
        <v/>
      </c>
      <c r="OQ32">
        <f>$OQ$31+--($OP32)</f>
        <v/>
      </c>
      <c r="OR32">
        <f>IF(ROW()-3&gt;MAX($OQ$4:$OQ$40),"",INDEX($DU$4:$DU$40,MATCH(ROW()-3,$OQ$4:$OQ$40,0)))</f>
        <v/>
      </c>
      <c r="OS32">
        <f>IF(COUNTIF('Buyer Groups'!DG85:EC85,0)+COUNTIF('Buyer Groups'!EE85:EN85,0)&gt;0,0,1)</f>
        <v/>
      </c>
      <c r="OT32">
        <f>IF($DZ$32="",FALSE,SUMPRODUCT(('Final Calculation Sheet'!$X$4:$X$40=$DZ$32)*($OS$6:$OS$42=1))&gt;0)</f>
        <v/>
      </c>
      <c r="OU32">
        <f>$OU$31+--($OT32)</f>
        <v/>
      </c>
      <c r="OV32">
        <f>IF(ROW()-3&gt;MAX($OU$4:$OU$40),"",INDEX($DZ$4:$DZ$40,MATCH(ROW()-3,$OU$4:$OU$40,0)))</f>
        <v/>
      </c>
      <c r="OW32">
        <f>IF(COUNTIF('Buyer Groups'!DG85:ED85,0)+COUNTIF('Buyer Groups'!EF85:EN85,0)&gt;0,0,1)</f>
        <v/>
      </c>
      <c r="OX32">
        <f>IF($EE$32="",FALSE,SUMPRODUCT(('Final Calculation Sheet'!$Y$4:$Y$40=$EE$32)*($OW$6:$OW$42=1))&gt;0)</f>
        <v/>
      </c>
      <c r="OY32">
        <f>$OY$31+--($OX32)</f>
        <v/>
      </c>
      <c r="OZ32">
        <f>IF(ROW()-3&gt;MAX($OY$4:$OY$40),"",INDEX($EE$4:$EE$40,MATCH(ROW()-3,$OY$4:$OY$40,0)))</f>
        <v/>
      </c>
      <c r="PA32">
        <f>IF(COUNTIF('Buyer Groups'!DG85:EE85,0)+COUNTIF('Buyer Groups'!EG85:EN85,0)&gt;0,0,1)</f>
        <v/>
      </c>
      <c r="PB32">
        <f>IF($EJ$32="",FALSE,SUMPRODUCT(('Final Calculation Sheet'!$Z$4:$Z$40=$EJ$32)*($PA$6:$PA$42=1))&gt;0)</f>
        <v/>
      </c>
      <c r="PC32">
        <f>$PC$31+--($PB32)</f>
        <v/>
      </c>
      <c r="PD32">
        <f>IF(ROW()-3&gt;MAX($PC$4:$PC$40),"",INDEX($EJ$4:$EJ$40,MATCH(ROW()-3,$PC$4:$PC$40,0)))</f>
        <v/>
      </c>
      <c r="PE32">
        <f>IF(COUNTIF('Buyer Groups'!DG85:EF85,0)+COUNTIF('Buyer Groups'!EH85:EN85,0)&gt;0,0,1)</f>
        <v/>
      </c>
      <c r="PF32">
        <f>IF($EO$32="",FALSE,SUMPRODUCT(('Final Calculation Sheet'!$AA$4:$AA$40=$EO$32)*($PE$6:$PE$42=1))&gt;0)</f>
        <v/>
      </c>
      <c r="PG32">
        <f>$PG$31+--($PF32)</f>
        <v/>
      </c>
      <c r="PH32">
        <f>IF(ROW()-3&gt;MAX($PG$4:$PG$40),"",INDEX($EO$4:$EO$40,MATCH(ROW()-3,$PG$4:$PG$40,0)))</f>
        <v/>
      </c>
      <c r="PI32">
        <f>IF(COUNTIF('Buyer Groups'!DG85:EG85,0)+COUNTIF('Buyer Groups'!EI85:EN85,0)&gt;0,0,1)</f>
        <v/>
      </c>
      <c r="PJ32">
        <f>IF($ET$32="",FALSE,SUMPRODUCT(('Final Calculation Sheet'!$AB$4:$AB$40=$ET$32)*($PI$6:$PI$42=1))&gt;0)</f>
        <v/>
      </c>
      <c r="PK32">
        <f>$PK$31+--($PJ32)</f>
        <v/>
      </c>
      <c r="PL32">
        <f>IF(ROW()-3&gt;MAX($PK$4:$PK$40),"",INDEX($ET$4:$ET$40,MATCH(ROW()-3,$PK$4:$PK$40,0)))</f>
        <v/>
      </c>
      <c r="PM32">
        <f>IF(COUNTIF('Buyer Groups'!DG85:EH85,0)+COUNTIF('Buyer Groups'!EJ85:EN85,0)&gt;0,0,1)</f>
        <v/>
      </c>
      <c r="PN32">
        <f>IF($EY$32="",FALSE,SUMPRODUCT(('Final Calculation Sheet'!$AC$4:$AC$40=$EY$32)*($PM$6:$PM$42=1))&gt;0)</f>
        <v/>
      </c>
      <c r="PO32">
        <f>$PO$31+--($PN32)</f>
        <v/>
      </c>
      <c r="PP32">
        <f>IF(ROW()-3&gt;MAX($PO$4:$PO$40),"",INDEX($EY$4:$EY$40,MATCH(ROW()-3,$PO$4:$PO$40,0)))</f>
        <v/>
      </c>
      <c r="PQ32">
        <f>IF(COUNTIF('Buyer Groups'!DG85:EI85,0)+COUNTIF('Buyer Groups'!EK85:EN85,0)&gt;0,0,1)</f>
        <v/>
      </c>
      <c r="PR32">
        <f>IF($FD$32="",FALSE,SUMPRODUCT(('Final Calculation Sheet'!$AD$4:$AD$40=$FD$32)*($PQ$6:$PQ$42=1))&gt;0)</f>
        <v/>
      </c>
      <c r="PS32">
        <f>$PS$31+--($PR32)</f>
        <v/>
      </c>
      <c r="PT32">
        <f>IF(ROW()-3&gt;MAX($PS$4:$PS$40),"",INDEX($FD$4:$FD$40,MATCH(ROW()-3,$PS$4:$PS$40,0)))</f>
        <v/>
      </c>
      <c r="PU32">
        <f>IF(COUNTIF('Buyer Groups'!DG85:EJ85,0)+COUNTIF('Buyer Groups'!EL85:EN85,0)&gt;0,0,1)</f>
        <v/>
      </c>
      <c r="PV32">
        <f>IF($FX$32="",FALSE,SUMPRODUCT((IF('Final Calculation Sheet'!$AD$4:$AD$40&lt;=5,"SETTLED","OUTSTANDING")=$FX$32)*($PU$6:$PU$42=1))&gt;0)</f>
        <v/>
      </c>
      <c r="PW32">
        <f>$PW$31+--($PV32)</f>
        <v/>
      </c>
      <c r="PX32">
        <f>IF(ROW()-3&gt;MAX($PW$4:$PW$40),"",INDEX($FX$4:$FX$40,MATCH(ROW()-3,$PW$4:$PW$40,0)))</f>
        <v/>
      </c>
      <c r="PY32">
        <f>IF(COUNTIF('Buyer Groups'!DG85:EK85,0)+COUNTIF('Buyer Groups'!EM85:EN85,0)&gt;0,0,1)</f>
        <v/>
      </c>
      <c r="PZ32">
        <f>IF($FI$32="",FALSE,SUMPRODUCT(('Final Calculation Sheet'!$AF$4:$AF$40=$FI$32)*($PY$6:$PY$42=1))&gt;0)</f>
        <v/>
      </c>
      <c r="QA32">
        <f>$QA$31+--($PZ32)</f>
        <v/>
      </c>
      <c r="QB32">
        <f>IF(ROW()-3&gt;MAX($QA$4:$QA$40),"",INDEX($FI$4:$FI$40,MATCH(ROW()-3,$QA$4:$QA$40,0)))</f>
        <v/>
      </c>
      <c r="QC32">
        <f>IF(COUNTIF('Buyer Groups'!DG85:EL85,0)+COUNTIF('Buyer Groups'!EN85:EN85,0)&gt;0,0,1)</f>
        <v/>
      </c>
      <c r="QD32">
        <f>IF($FN$32="",FALSE,SUMPRODUCT(('Final Calculation Sheet'!$AG$4:$AG$40=$FN$32)*($QC$6:$QC$42=1))&gt;0)</f>
        <v/>
      </c>
      <c r="QE32">
        <f>$QE$31+--($QD32)</f>
        <v/>
      </c>
      <c r="QF32">
        <f>IF(ROW()-3&gt;MAX($QE$4:$QE$40),"",INDEX($FN$4:$FN$40,MATCH(ROW()-3,$QE$4:$QE$40,0)))</f>
        <v/>
      </c>
      <c r="QG32">
        <f>IF(COUNTIF('Buyer Groups'!DG85:EM85,0)&gt;0,0,1)</f>
        <v/>
      </c>
      <c r="QH32">
        <f>IF($FS$32="",FALSE,SUMPRODUCT(('Final Calculation Sheet'!$AH$4:$AH$40=$FS$32)*($QG$6:$QG$42=1))&gt;0)</f>
        <v/>
      </c>
      <c r="QI32">
        <f>$QI$31+--($QH32)</f>
        <v/>
      </c>
      <c r="QJ32">
        <f>IF(ROW()-3&gt;MAX($QI$4:$QI$40),"",INDEX($FS$4:$FS$40,MATCH(ROW()-3,$QI$4:$QI$40,0)))</f>
        <v/>
      </c>
      <c r="QK32" t="str">
        <f>IF('Final Calculation Sheet'!$AH$32="","",'Final Calculation Sheet'!$AH$32)</f>
      </c>
      <c r="QL32" t="str">
        <f>IF(QK32="","",COUNTIFS(QK$4:QK$40,"&lt;"&amp;QK32,QK$4:QK$40,"&lt;&gt;"&amp;"")+COUNTIF(QK$4:QK32,QK32))</f>
      </c>
      <c r="QM32" t="str">
        <f>IF(ROW()-3&gt;COUNTIF(QK$4:QK$40,"&lt;&gt;"&amp;""),"",INDEX(QK$4:QK$40,MATCH(ROW()-3,QL$4:QL$40,0)))</f>
      </c>
      <c r="QN32" t="str">
        <f>=QN31+F(AND(QM32&lt;&gt;"",COUNTIF(QM$4:QM32,QM32)=1),1,0)</f>
      </c>
      <c r="QO32" t="str">
        <f>IF(ROW()-3&gt;MAX(QN$4:QN$40),"",INDEX(QM$4:QM$40,MATCH(ROW()-3,QN$4:QN$40,0)))</f>
      </c>
      <c r="QP32" t="str">
        <f>IF(COUNTIF('Final Calculation Sheet'!$AM32:$BS32,0)&gt;0,0,1)</f>
      </c>
      <c r="QQ32" t="str">
        <f>IF($AI$32="",FALSE,SUMPRODUCT(('Final Calculation Sheet'!$A$4:$A$40=$AI$32)*($QP$4:$QP$40=1))&gt;0)</f>
      </c>
      <c r="QR32" t="str">
        <f>=$QR31+--($QQ32)</f>
      </c>
      <c r="QS32" t="str">
        <f>IF(ROW()-3&gt;MAX($QR$4:$QR$40),"",INDEX($AI$4:$AI$40,MATCH(ROW()-3,$QR$4:$QR$40,0)))</f>
      </c>
      <c r="QT32" t="str">
        <f>IF(COUNTIF('Final Calculation Sheet'!$AL32:$AL32,0)+COUNTIF('Final Calculation Sheet'!$AN32:$BS32,0)&gt;0,0,1)</f>
      </c>
      <c r="QU32" t="str">
        <f>IF($Y$32="",FALSE,SUMPRODUCT(('Final Calculation Sheet'!$B$4:$B$40=$Y$32)*($QT$4:$QT$40=1))&gt;0)</f>
      </c>
      <c r="QV32" t="str">
        <f>=$QV31+--($QU32)</f>
      </c>
      <c r="QW32" t="str">
        <f>IF(ROW()-3&gt;MAX($QV$4:$QV$40),"",INDEX($Y$4:$Y$40,MATCH(ROW()-3,$QV$4:$QV$40,0)))</f>
      </c>
      <c r="QX32" t="str">
        <f>IF(COUNTIF('Final Calculation Sheet'!$AL32:$AM32,0)+COUNTIF('Final Calculation Sheet'!$AO32:$BS32,0)&gt;0,0,1)</f>
      </c>
      <c r="QY32" t="str">
        <f>IF($AS$32="",FALSE,SUMPRODUCT(('Final Calculation Sheet'!$C$4:$C$40=$AS$32)*($QX$4:$QX$40=1))&gt;0)</f>
      </c>
      <c r="QZ32" t="str">
        <f>=$QZ31+--($QY32)</f>
      </c>
      <c r="RA32" t="str">
        <f>IF(ROW()-3&gt;MAX($QZ$4:$QZ$40),"",INDEX($AS$4:$AS$40,MATCH(ROW()-3,$QZ$4:$QZ$40,0)))</f>
      </c>
      <c r="RB32" t="str">
        <f>IF(COUNTIF('Final Calculation Sheet'!$AL32:$AN32,0)+COUNTIF('Final Calculation Sheet'!$AP32:$BS32,0)&gt;0,0,1)</f>
      </c>
      <c r="RC32" t="str">
        <f>IF($AD$32="",FALSE,SUMPRODUCT(('Final Calculation Sheet'!$D$4:$D$40=$AD$32)*($RB$4:$RB$40=1))&gt;0)</f>
      </c>
      <c r="RD32" t="str">
        <f>=$RD31+--($RC32)</f>
      </c>
      <c r="RE32" t="str">
        <f>IF(ROW()-3&gt;MAX($RD$4:$RD$40),"",INDEX($AD$4:$AD$40,MATCH(ROW()-3,$RD$4:$RD$40,0)))</f>
      </c>
      <c r="RF32" t="str">
        <f>IF(COUNTIF('Final Calculation Sheet'!$AL32:$AO32,0)+COUNTIF('Final Calculation Sheet'!$AQ32:$BS32,0)&gt;0,0,1)</f>
      </c>
      <c r="RG32" t="str">
        <f>IF($AN$32="",FALSE,SUMPRODUCT(('Final Calculation Sheet'!$E$4:$E$40=$AN$32)*($RF$4:$RF$40=1))&gt;0)</f>
      </c>
      <c r="RH32" t="str">
        <f>=$RH31+--($RG32)</f>
      </c>
      <c r="RI32" t="str">
        <f>IF(ROW()-3&gt;MAX($RH$4:$RH$40),"",INDEX($AN$4:$AN$40,MATCH(ROW()-3,$RH$4:$RH$40,0)))</f>
      </c>
      <c r="RJ32" t="str">
        <f>IF(COUNTIF('Final Calculation Sheet'!$AL32:$AP32,0)+COUNTIF('Final Calculation Sheet'!$AR32:$BS32,0)&gt;0,0,1)</f>
      </c>
      <c r="RK32" t="str">
        <f>IF($O$32="",FALSE,SUMPRODUCT(('Final Calculation Sheet'!$F$4:$F$40=$O$32)*($RJ$4:$RJ$40=1))&gt;0)</f>
      </c>
      <c r="RL32" t="str">
        <f>=$RL31+--($RK32)</f>
      </c>
      <c r="RM32" t="str">
        <f>IF(ROW()-3&gt;MAX($RL$4:$RL$40),"",INDEX($O$4:$O$40,MATCH(ROW()-3,$RL$4:$RL$40,0)))</f>
      </c>
      <c r="RN32" t="str">
        <f>IF(COUNTIF('Final Calculation Sheet'!$AL32:$AQ32,0)+COUNTIF('Final Calculation Sheet'!$AS32:$BS32,0)&gt;0,0,1)</f>
      </c>
      <c r="RO32" t="str">
        <f>IF($T$32="",FALSE,SUMPRODUCT(('Final Calculation Sheet'!$G$4:$G$40=$T$32)*($RN$4:$RN$40=1))&gt;0)</f>
      </c>
      <c r="RP32" t="str">
        <f>=$RP31+--($RO32)</f>
      </c>
      <c r="RQ32" t="str">
        <f>IF(ROW()-3&gt;MAX($RP$4:$RP$40),"",INDEX($T$4:$T$40,MATCH(ROW()-3,$RP$4:$RP$40,0)))</f>
      </c>
      <c r="RR32" t="str">
        <f>IF(COUNTIF('Final Calculation Sheet'!$AL32:$AR32,0)+COUNTIF('Final Calculation Sheet'!$AT32:$BS32,0)&gt;0,0,1)</f>
      </c>
      <c r="RS32" t="str">
        <f>IF($AX$32="",FALSE,SUMPRODUCT(('Final Calculation Sheet'!$H$4:$H$40=$AX$32)*($RR$4:$RR$40=1))&gt;0)</f>
      </c>
      <c r="RT32" t="str">
        <f>=$RT31+--($RS32)</f>
      </c>
      <c r="RU32" t="str">
        <f>IF(ROW()-3&gt;MAX($RT$4:$RT$40),"",INDEX($AX$4:$AX$40,MATCH(ROW()-3,$RT$4:$RT$40,0)))</f>
      </c>
      <c r="RV32" t="str">
        <f>IF(COUNTIF('Final Calculation Sheet'!$AL32:$AS32,0)+COUNTIF('Final Calculation Sheet'!$AU32:$BS32,0)&gt;0,0,1)</f>
      </c>
      <c r="RW32" t="str">
        <f>IF($BC$32="",FALSE,SUMPRODUCT(('Final Calculation Sheet'!$I$4:$I$40=$BC$32)*($RV$4:$RV$40=1))&gt;0)</f>
      </c>
      <c r="RX32" t="str">
        <f>=$RX31+--($RW32)</f>
      </c>
      <c r="RY32" t="str">
        <f>IF(ROW()-3&gt;MAX($RX$4:$RX$40),"",INDEX($BC$4:$BC$40,MATCH(ROW()-3,$RX$4:$RX$40,0)))</f>
      </c>
      <c r="RZ32" t="str">
        <f>IF(COUNTIF('Final Calculation Sheet'!$AL32:$AT32,0)+COUNTIF('Final Calculation Sheet'!$AV32:$BS32,0)&gt;0,0,1)</f>
      </c>
      <c r="SA32" t="str">
        <f>IF($BH$32="",FALSE,SUMPRODUCT(('Final Calculation Sheet'!$J$4:$J$40=$BH$32)*($RZ$4:$RZ$40=1))&gt;0)</f>
      </c>
      <c r="SB32" t="str">
        <f>=$SB31+--($SA32)</f>
      </c>
      <c r="SC32" t="str">
        <f>IF(ROW()-3&gt;MAX($SB$4:$SB$40),"",INDEX($BH$4:$BH$40,MATCH(ROW()-3,$SB$4:$SB$40,0)))</f>
      </c>
      <c r="SD32" t="str">
        <f>IF(COUNTIF('Final Calculation Sheet'!$AL32:$AU32,0)+COUNTIF('Final Calculation Sheet'!$AW32:$BS32,0)&gt;0,0,1)</f>
      </c>
      <c r="SE32" t="str">
        <f>IF($BM$32="",FALSE,SUMPRODUCT(('Final Calculation Sheet'!$K$4:$K$40=$BM$32)*($SD$4:$SD$40=1))&gt;0)</f>
      </c>
      <c r="SF32" t="str">
        <f>=$SF31+--($SE32)</f>
      </c>
      <c r="SG32" t="str">
        <f>IF(ROW()-3&gt;MAX($SF$4:$SF$40),"",INDEX($BM$4:$BM$40,MATCH(ROW()-3,$SF$4:$SF$40,0)))</f>
      </c>
      <c r="SH32" t="str">
        <f>IF(COUNTIF('Final Calculation Sheet'!$AL32:$AV32,0)+COUNTIF('Final Calculation Sheet'!$AX32:$BS32,0)&gt;0,0,1)</f>
      </c>
      <c r="SI32" t="str">
        <f>IF($BR$32="",FALSE,SUMPRODUCT(('Final Calculation Sheet'!$L$4:$L$40=$BR$32)*($SH$4:$SH$40=1))&gt;0)</f>
      </c>
      <c r="SJ32" t="str">
        <f>=$SJ31+--($SI32)</f>
      </c>
      <c r="SK32" t="str">
        <f>IF(ROW()-3&gt;MAX($SJ$4:$SJ$40),"",INDEX($BR$4:$BR$40,MATCH(ROW()-3,$SJ$4:$SJ$40,0)))</f>
      </c>
      <c r="SL32" t="str">
        <f>IF(COUNTIF('Final Calculation Sheet'!$AL32:$AW32,0)+COUNTIF('Final Calculation Sheet'!$AY32:$BS32,0)&gt;0,0,1)</f>
      </c>
      <c r="SM32" t="str">
        <f>IF($BW$32="",FALSE,SUMPRODUCT(('Final Calculation Sheet'!$M$4:$M$40=$BW$32)*($SL$4:$SL$40=1))&gt;0)</f>
      </c>
      <c r="SN32" t="str">
        <f>=$SN31+--($SM32)</f>
      </c>
      <c r="SO32" t="str">
        <f>IF(ROW()-3&gt;MAX($SN$4:$SN$40),"",INDEX($BW$4:$BW$40,MATCH(ROW()-3,$SN$4:$SN$40,0)))</f>
      </c>
      <c r="SP32" t="str">
        <f>IF(COUNTIF('Final Calculation Sheet'!$AL32:$AX32,0)+COUNTIF('Final Calculation Sheet'!$AZ32:$BS32,0)&gt;0,0,1)</f>
      </c>
      <c r="SQ32" t="str">
        <f>IF($CB$32="",FALSE,SUMPRODUCT(('Final Calculation Sheet'!$N$4:$N$40=$CB$32)*($SP$4:$SP$40=1))&gt;0)</f>
      </c>
      <c r="SR32" t="str">
        <f>=$SR31+--($SQ32)</f>
      </c>
      <c r="SS32" t="str">
        <f>IF(ROW()-3&gt;MAX($SR$4:$SR$40),"",INDEX($CB$4:$CB$40,MATCH(ROW()-3,$SR$4:$SR$40,0)))</f>
      </c>
      <c r="ST32" t="str">
        <f>IF(COUNTIF('Final Calculation Sheet'!$AL32:$AY32,0)+COUNTIF('Final Calculation Sheet'!$BA32:$BS32,0)&gt;0,0,1)</f>
      </c>
      <c r="SU32" t="str">
        <f>IF($CG$32="",FALSE,SUMPRODUCT(('Final Calculation Sheet'!$O$4:$O$40=$CG$32)*($ST$4:$ST$40=1))&gt;0)</f>
      </c>
      <c r="SV32" t="str">
        <f>=$SV31+--($SU32)</f>
      </c>
      <c r="SW32" t="str">
        <f>IF(ROW()-3&gt;MAX($SV$4:$SV$40),"",INDEX($CG$4:$CG$40,MATCH(ROW()-3,$SV$4:$SV$40,0)))</f>
      </c>
      <c r="SX32" t="str">
        <f>IF(COUNTIF('Final Calculation Sheet'!$AL32:$AZ32,0)+COUNTIF('Final Calculation Sheet'!$BB32:$BS32,0)&gt;0,0,1)</f>
      </c>
      <c r="SY32" t="str">
        <f>IF($CL$32="",FALSE,SUMPRODUCT(('Final Calculation Sheet'!$P$4:$P$40=$CL$32)*($SX$4:$SX$40=1))&gt;0)</f>
      </c>
      <c r="SZ32" t="str">
        <f>=$SZ31+--($SY32)</f>
      </c>
      <c r="TA32" t="str">
        <f>IF(ROW()-3&gt;MAX($SZ$4:$SZ$40),"",INDEX($CL$4:$CL$40,MATCH(ROW()-3,$SZ$4:$SZ$40,0)))</f>
      </c>
      <c r="TB32" t="str">
        <f>IF(COUNTIF('Final Calculation Sheet'!$AL32:$BA32,0)+COUNTIF('Final Calculation Sheet'!$BC32:$BS32,0)&gt;0,0,1)</f>
      </c>
      <c r="TC32" t="str">
        <f>IF($CQ$32="",FALSE,SUMPRODUCT(('Final Calculation Sheet'!$Q$4:$Q$40=$CQ$32)*($TB$4:$TB$40=1))&gt;0)</f>
      </c>
      <c r="TD32" t="str">
        <f>=$TD31+--($TC32)</f>
      </c>
      <c r="TE32" t="str">
        <f>IF(ROW()-3&gt;MAX($TD$4:$TD$40),"",INDEX($CQ$4:$CQ$40,MATCH(ROW()-3,$TD$4:$TD$40,0)))</f>
      </c>
      <c r="TF32" t="str">
        <f>IF(COUNTIF('Final Calculation Sheet'!$AL32:$BB32,0)+COUNTIF('Final Calculation Sheet'!$BD32:$BS32,0)&gt;0,0,1)</f>
      </c>
      <c r="TG32" t="str">
        <f>IF($CV$32="",FALSE,SUMPRODUCT(('Final Calculation Sheet'!$R$4:$R$40=$CV$32)*($TF$4:$TF$40=1))&gt;0)</f>
      </c>
      <c r="TH32" t="str">
        <f>=$TH31+--($TG32)</f>
      </c>
      <c r="TI32" t="str">
        <f>IF(ROW()-3&gt;MAX($TH$4:$TH$40),"",INDEX($CV$4:$CV$40,MATCH(ROW()-3,$TH$4:$TH$40,0)))</f>
      </c>
      <c r="TJ32" t="str">
        <f>IF(COUNTIF('Final Calculation Sheet'!$AL32:$BC32,0)+COUNTIF('Final Calculation Sheet'!$BE32:$BS32,0)&gt;0,0,1)</f>
      </c>
      <c r="TK32" t="str">
        <f>IF($DA$32="",FALSE,SUMPRODUCT(('Final Calculation Sheet'!$S$4:$S$40=$DA$32)*($TJ$4:$TJ$40=1))&gt;0)</f>
      </c>
      <c r="TL32" t="str">
        <f>=$TL31+--($TK32)</f>
      </c>
      <c r="TM32" t="str">
        <f>IF(ROW()-3&gt;MAX($TL$4:$TL$40),"",INDEX($DA$4:$DA$40,MATCH(ROW()-3,$TL$4:$TL$40,0)))</f>
      </c>
      <c r="TN32" t="str">
        <f>IF(COUNTIF('Final Calculation Sheet'!$AL32:$BD32,0)+COUNTIF('Final Calculation Sheet'!$BF32:$BS32,0)&gt;0,0,1)</f>
      </c>
      <c r="TO32" t="str">
        <f>IF($DF$32="",FALSE,SUMPRODUCT(('Final Calculation Sheet'!$T$4:$T$40=$DF$32)*($TN$4:$TN$40=1))&gt;0)</f>
      </c>
      <c r="TP32" t="str">
        <f>=$TP31+--($TO32)</f>
      </c>
      <c r="TQ32" t="str">
        <f>IF(ROW()-3&gt;MAX($TP$4:$TP$40),"",INDEX($DF$4:$DF$40,MATCH(ROW()-3,$TP$4:$TP$40,0)))</f>
      </c>
      <c r="TR32" t="str">
        <f>IF(COUNTIF('Final Calculation Sheet'!$AL32:$BE32,0)+COUNTIF('Final Calculation Sheet'!$BG32:$BS32,0)&gt;0,0,1)</f>
      </c>
      <c r="TS32" t="str">
        <f>IF($DK$32="",FALSE,SUMPRODUCT(('Final Calculation Sheet'!$U$4:$U$40=$DK$32)*($TR$4:$TR$40=1))&gt;0)</f>
      </c>
      <c r="TT32" t="str">
        <f>=$TT31+--($TS32)</f>
      </c>
      <c r="TU32" t="str">
        <f>IF(ROW()-3&gt;MAX($TT$4:$TT$40),"",INDEX($DK$4:$DK$40,MATCH(ROW()-3,$TT$4:$TT$40,0)))</f>
      </c>
      <c r="TV32" t="str">
        <f>IF(COUNTIF('Final Calculation Sheet'!$AL32:$BF32,0)+COUNTIF('Final Calculation Sheet'!$BH32:$BS32,0)&gt;0,0,1)</f>
      </c>
      <c r="TW32" t="str">
        <f>IF($DP$32="",FALSE,SUMPRODUCT(('Final Calculation Sheet'!$V$4:$V$40=$DP$32)*($TV$4:$TV$40=1))&gt;0)</f>
      </c>
      <c r="TX32" t="str">
        <f>=$TX31+--($TW32)</f>
      </c>
      <c r="TY32" t="str">
        <f>IF(ROW()-3&gt;MAX($TX$4:$TX$40),"",INDEX($DP$4:$DP$40,MATCH(ROW()-3,$TX$4:$TX$40,0)))</f>
      </c>
      <c r="TZ32" t="str">
        <f>IF(COUNTIF('Final Calculation Sheet'!$AL32:$BG32,0)+COUNTIF('Final Calculation Sheet'!$BI32:$BS32,0)&gt;0,0,1)</f>
      </c>
      <c r="UA32" t="str">
        <f>IF($DU$32="",FALSE,SUMPRODUCT(('Final Calculation Sheet'!$W$4:$W$40=$DU$32)*($TZ$4:$TZ$40=1))&gt;0)</f>
      </c>
      <c r="UB32" t="str">
        <f>=$UB31+--($UA32)</f>
      </c>
      <c r="UC32" t="str">
        <f>IF(ROW()-3&gt;MAX($UB$4:$UB$40),"",INDEX($DU$4:$DU$40,MATCH(ROW()-3,$UB$4:$UB$40,0)))</f>
      </c>
      <c r="UD32" t="str">
        <f>IF(COUNTIF('Final Calculation Sheet'!$AL32:$BH32,0)+COUNTIF('Final Calculation Sheet'!$BJ32:$BS32,0)&gt;0,0,1)</f>
      </c>
      <c r="UE32" t="str">
        <f>IF($DZ$32="",FALSE,SUMPRODUCT(('Final Calculation Sheet'!$X$4:$X$40=$DZ$32)*($UD$4:$UD$40=1))&gt;0)</f>
      </c>
      <c r="UF32" t="str">
        <f>=$UF31+--($UE32)</f>
      </c>
      <c r="UG32" t="str">
        <f>IF(ROW()-3&gt;MAX($UF$4:$UF$40),"",INDEX($DZ$4:$DZ$40,MATCH(ROW()-3,$UF$4:$UF$40,0)))</f>
      </c>
      <c r="UH32" t="str">
        <f>IF(COUNTIF('Final Calculation Sheet'!$AL32:$BI32,0)+COUNTIF('Final Calculation Sheet'!$BK32:$BS32,0)&gt;0,0,1)</f>
      </c>
      <c r="UI32" t="str">
        <f>IF($EE$32="",FALSE,SUMPRODUCT(('Final Calculation Sheet'!$Y$4:$Y$40=$EE$32)*($UH$4:$UH$40=1))&gt;0)</f>
      </c>
      <c r="UJ32" t="str">
        <f>=$UJ31+--($UI32)</f>
      </c>
      <c r="UK32" t="str">
        <f>IF(ROW()-3&gt;MAX($UJ$4:$UJ$40),"",INDEX($EE$4:$EE$40,MATCH(ROW()-3,$UJ$4:$UJ$40,0)))</f>
      </c>
      <c r="UL32" t="str">
        <f>IF(COUNTIF('Final Calculation Sheet'!$AL32:$BJ32,0)+COUNTIF('Final Calculation Sheet'!$BL32:$BS32,0)&gt;0,0,1)</f>
      </c>
      <c r="UM32" t="str">
        <f>IF($EJ$32="",FALSE,SUMPRODUCT(('Final Calculation Sheet'!$Z$4:$Z$40=$EJ$32)*($UL$4:$UL$40=1))&gt;0)</f>
      </c>
      <c r="UN32" t="str">
        <f>=$UN31+--($UM32)</f>
      </c>
      <c r="UO32" t="str">
        <f>IF(ROW()-3&gt;MAX($UN$4:$UN$40),"",INDEX($EJ$4:$EJ$40,MATCH(ROW()-3,$UN$4:$UN$40,0)))</f>
      </c>
      <c r="UP32" t="str">
        <f>IF(COUNTIF('Final Calculation Sheet'!$AL32:$BK32,0)+COUNTIF('Final Calculation Sheet'!$BM32:$BS32,0)&gt;0,0,1)</f>
      </c>
      <c r="UQ32" t="str">
        <f>IF($EO$32="",FALSE,SUMPRODUCT(('Final Calculation Sheet'!$AA$4:$AA$40=$EO$32)*($UP$4:$UP$40=1))&gt;0)</f>
      </c>
      <c r="UR32" t="str">
        <f>=$UR31+--($UQ32)</f>
      </c>
      <c r="US32" t="str">
        <f>IF(ROW()-3&gt;MAX($UR$4:$UR$40),"",INDEX($EO$4:$EO$40,MATCH(ROW()-3,$UR$4:$UR$40,0)))</f>
      </c>
      <c r="UT32" t="str">
        <f>IF(COUNTIF('Final Calculation Sheet'!$AL32:$BL32,0)+COUNTIF('Final Calculation Sheet'!$BN32:$BS32,0)&gt;0,0,1)</f>
      </c>
      <c r="UU32" t="str">
        <f>IF($ET$32="",FALSE,SUMPRODUCT(('Final Calculation Sheet'!$AB$4:$AB$40=$ET$32)*($UT$4:$UT$40=1))&gt;0)</f>
      </c>
      <c r="UV32" t="str">
        <f>=$UV31+--($UU32)</f>
      </c>
      <c r="UW32" t="str">
        <f>IF(ROW()-3&gt;MAX($UV$4:$UV$40),"",INDEX($ET$4:$ET$40,MATCH(ROW()-3,$UV$4:$UV$40,0)))</f>
      </c>
      <c r="UX32" t="str">
        <f>IF(COUNTIF('Final Calculation Sheet'!$AL32:$BM32,0)+COUNTIF('Final Calculation Sheet'!$BO32:$BS32,0)&gt;0,0,1)</f>
      </c>
      <c r="UY32" t="str">
        <f>IF($EY$32="",FALSE,SUMPRODUCT(('Final Calculation Sheet'!$AC$4:$AC$40=$EY$32)*($UX$4:$UX$40=1))&gt;0)</f>
      </c>
      <c r="UZ32" t="str">
        <f>=$UZ31+--($UY32)</f>
      </c>
      <c r="VA32" t="str">
        <f>IF(ROW()-3&gt;MAX($UZ$4:$UZ$40),"",INDEX($EY$4:$EY$40,MATCH(ROW()-3,$UZ$4:$UZ$40,0)))</f>
      </c>
      <c r="VB32" t="str">
        <f>IF(COUNTIF('Final Calculation Sheet'!$AL32:$BN32,0)+COUNTIF('Final Calculation Sheet'!$BP32:$BS32,0)&gt;0,0,1)</f>
      </c>
      <c r="VC32" t="str">
        <f>IF($FD$32="",FALSE,SUMPRODUCT(('Final Calculation Sheet'!$AD$4:$AD$40=$FD$32)*($VB$4:$VB$40=1))&gt;0)</f>
      </c>
      <c r="VD32" t="str">
        <f>=$VD31+--($VC32)</f>
      </c>
      <c r="VE32" t="str">
        <f>IF(ROW()-3&gt;MAX($VD$4:$VD$40),"",INDEX($FD$4:$FD$40,MATCH(ROW()-3,$VD$4:$VD$40,0)))</f>
      </c>
      <c r="VF32" t="str">
        <f>IF(COUNTIF('Final Calculation Sheet'!$AL32:$BO32,0)+COUNTIF('Final Calculation Sheet'!$BQ32:$BS32,0)&gt;0,0,1)</f>
      </c>
      <c r="VG32" t="str">
        <f>IF($FI$32="",FALSE,SUMPRODUCT(('Final Calculation Sheet'!$AE$4:$AE$40=$FI$32)*($VF$4:$VF$40=1))&gt;0)</f>
      </c>
      <c r="VH32" t="str">
        <f>=$VH31+--($VG32)</f>
      </c>
      <c r="VI32" t="str">
        <f>IF(ROW()-3&gt;MAX($VH$4:$VH$40),"",INDEX($FI$4:$FI$40,MATCH(ROW()-3,$VH$4:$VH$40,0)))</f>
      </c>
      <c r="VJ32" t="str">
        <f>IF(COUNTIF('Final Calculation Sheet'!$AL32:$BP32,0)+COUNTIF('Final Calculation Sheet'!$BR32:$BS32,0)&gt;0,0,1)</f>
      </c>
      <c r="VK32" t="str">
        <f>IF($FN$32="",FALSE,SUMPRODUCT(('Final Calculation Sheet'!$AF$4:$AF$40=$FN$32)*($VJ$4:$VJ$40=1))&gt;0)</f>
      </c>
      <c r="VL32" t="str">
        <f>=$VL31+--($VK32)</f>
      </c>
      <c r="VM32" t="str">
        <f>IF(ROW()-3&gt;MAX($VL$4:$VL$40),"",INDEX($FN$4:$FN$40,MATCH(ROW()-3,$VL$4:$VL$40,0)))</f>
      </c>
      <c r="VN32" t="str">
        <f>IF(COUNTIF('Final Calculation Sheet'!$AL32:$BQ32,0)+COUNTIF('Final Calculation Sheet'!$BS32:$BS32,0)&gt;0,0,1)</f>
      </c>
      <c r="VO32" t="str">
        <f>IF($FS$32="",FALSE,SUMPRODUCT(('Final Calculation Sheet'!$AG$4:$AG$40=$FS$32)*($VN$4:$VN$40=1))&gt;0)</f>
      </c>
      <c r="VP32" t="str">
        <f>=$VP31+--($VO32)</f>
      </c>
      <c r="VQ32" t="str">
        <f>IF(ROW()-3&gt;MAX($VP$4:$VP$40),"",INDEX($FS$4:$FS$40,MATCH(ROW()-3,$VP$4:$VP$40,0)))</f>
      </c>
      <c r="VR32" t="str">
        <f>IF(COUNTIF('Final Calculation Sheet'!$AL32:$BR32,0)&gt;0,0,1)</f>
      </c>
      <c r="VS32" t="str">
        <f>IF($QO$32="",FALSE,SUMPRODUCT(('Final Calculation Sheet'!$AH$4:$AH$40=$QO$32)*($VR$4:$VR$40=1))&gt;0)</f>
      </c>
      <c r="VT32" t="str">
        <f>=$VT31+--($VS32)</f>
      </c>
      <c r="VU32" t="str">
        <f>IF(ROW()-3&gt;MAX($VT$4:$VT$40),"",INDEX($QO$4:$QO$40,MATCH(ROW()-3,$VT$4:$VT$40,0)))</f>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IF(COUNTIF('Live Search'!BM$32:BM$32,0)+COUNTIF('Live Search'!B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D33">
        <f>IF($O$33="",FALSE,SUMPRODUCT(('Final Calculation Sheet'!$F$4:$F$40=$O$33)*($GC$6:$GC$42=1))&gt;0)</f>
        <v/>
      </c>
      <c r="GE33">
        <f>$GE$32+--($GD33)</f>
        <v/>
      </c>
      <c r="GF33">
        <f>IF(ROW()-3&gt;MAX($GE$4:$GE$40),"",INDEX($O$4:$O$40,MATCH(ROW()-3,$GE$4:$GE$40,0)))</f>
        <v/>
      </c>
      <c r="GG33">
        <f>IF(COUNTIF('Live Search'!BM$32:BN$32,0)+COUNTIF('Live Search'!B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H33">
        <f>IF($T$33="",FALSE,SUMPRODUCT(('Final Calculation Sheet'!$G$4:$G$40=$T$33)*($GG$6:$GG$42=1))&gt;0)</f>
        <v/>
      </c>
      <c r="GI33">
        <f>$GI$32+--($GH33)</f>
        <v/>
      </c>
      <c r="GJ33">
        <f>IF(ROW()-3&gt;MAX($GI$4:$GI$40),"",INDEX($T$4:$T$40,MATCH(ROW()-3,$GI$4:$GI$40,0)))</f>
        <v/>
      </c>
      <c r="GK33">
        <f>IF(COUNTIF('Live Search'!BM$32:BP$32,0)+COUNTIF('Live Search'!B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L33">
        <f>IF($AD$33="",FALSE,SUMPRODUCT(('Final Calculation Sheet'!$D$4:$D$40=$AD$33)*($GK$6:$GK$42=1))&gt;0)</f>
        <v/>
      </c>
      <c r="GM33">
        <f>$GM$32+--($GL33)</f>
        <v/>
      </c>
      <c r="GN33">
        <f>IF(ROW()-3&gt;MAX($GM$4:$GM$40),"",INDEX($AD$4:$AD$40,MATCH(ROW()-3,$GM$4:$GM$40,0)))</f>
        <v/>
      </c>
      <c r="GO33">
        <f>IF(COUNTIF('Live Search'!BM$32:BQ$32,0)+COUNTIF('Live Search'!B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P33">
        <f>IF($AI$33="",FALSE,SUMPRODUCT(('Final Calculation Sheet'!$A$4:$A$40=$AI$33)*($GO$6:$GO$42=1))&gt;0)</f>
        <v/>
      </c>
      <c r="GQ33">
        <f>$GQ$32+--($GP33)</f>
        <v/>
      </c>
      <c r="GR33">
        <f>IF(ROW()-3&gt;MAX($GQ$4:$GQ$40),"",INDEX($AI$4:$AI$40,MATCH(ROW()-3,$GQ$4:$GQ$40,0)))</f>
        <v/>
      </c>
      <c r="GS33">
        <f>IF(COUNTIF('Live Search'!BM$32:BR$32,0)+COUNTIF('Live Search'!B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T33">
        <f>IF($AN$33="",FALSE,SUMPRODUCT(('Final Calculation Sheet'!$E$4:$E$40=$AN$33)*($GS$6:$GS$42=1))&gt;0)</f>
        <v/>
      </c>
      <c r="GU33">
        <f>$GU$32+--($GT33)</f>
        <v/>
      </c>
      <c r="GV33">
        <f>IF(ROW()-3&gt;MAX($GU$4:$GU$40),"",INDEX($AN$4:$AN$40,MATCH(ROW()-3,$GU$4:$GU$40,0)))</f>
        <v/>
      </c>
      <c r="GW33">
        <f>IF(COUNTIF('Live Search'!BM$32:BS$32,0)+COUNTIF('Live Search'!B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GX33">
        <f>IF($AS$33="",FALSE,SUMPRODUCT(('Final Calculation Sheet'!$C$4:$C$40=$AS$33)*($GW$6:$GW$42=1))&gt;0)</f>
        <v/>
      </c>
      <c r="GY33">
        <f>$GY$32+--($GX33)</f>
        <v/>
      </c>
      <c r="GZ33">
        <f>IF(ROW()-3&gt;MAX($GY$4:$GY$40),"",INDEX($AS$4:$AS$40,MATCH(ROW()-3,$GY$4:$GY$40,0)))</f>
        <v/>
      </c>
      <c r="HA33">
        <f>IF(COUNTIF('Live Search'!BM$32:BT$32,0)+COUNTIF('Live Search'!BV$32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B33">
        <f>IF($AX$33="",FALSE,SUMPRODUCT(('Final Calculation Sheet'!$H$4:$H$40=$AX$33)*($HA$6:$HA$42=1))&gt;0)</f>
        <v/>
      </c>
      <c r="HC33">
        <f>$HC$32+--($HB33)</f>
        <v/>
      </c>
      <c r="HD33">
        <f>IF(ROW()-3&gt;MAX($HC$4:$HC$40),"",INDEX($AX$4:$AX$40,MATCH(ROW()-3,$HC$4:$HC$40,0)))</f>
        <v/>
      </c>
      <c r="HE33">
        <f>IF(COUNTIF('Live Search'!BM$32:BU$32,0)+COUNTIF('Live Search'!BW$32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F33">
        <f>IF($BC$33="",FALSE,SUMPRODUCT(('Final Calculation Sheet'!$I$4:$I$40=$BC$33)*($HE$6:$HE$42=1))&gt;0)</f>
        <v/>
      </c>
      <c r="HG33">
        <f>$HG$32+--($HF33)</f>
        <v/>
      </c>
      <c r="HH33">
        <f>IF(ROW()-3&gt;MAX($HG$4:$HG$40),"",INDEX($BC$4:$BC$40,MATCH(ROW()-3,$HG$4:$HG$40,0)))</f>
        <v/>
      </c>
      <c r="HI33">
        <f>IF(COUNTIF('Live Search'!BM$32:BV$32,0)+COUNTIF('Live Search'!BX$32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J33">
        <f>IF($BH$33="",FALSE,SUMPRODUCT(('Final Calculation Sheet'!$J$4:$J$40=$BH$33)*($HI$6:$HI$42=1))&gt;0)</f>
        <v/>
      </c>
      <c r="HK33">
        <f>$HK$32+--($HJ33)</f>
        <v/>
      </c>
      <c r="HL33">
        <f>IF(ROW()-3&gt;MAX($HK$4:$HK$40),"",INDEX($BH$4:$BH$40,MATCH(ROW()-3,$HK$4:$HK$40,0)))</f>
        <v/>
      </c>
      <c r="HM33">
        <f>IF(COUNTIF('Live Search'!BM$32:BW$32,0)+COUNTIF('Live Search'!BY$32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N33">
        <f>IF($BM$33="",FALSE,SUMPRODUCT(('Final Calculation Sheet'!$K$4:$K$40=$BM$33)*($HM$6:$HM$42=1))&gt;0)</f>
        <v/>
      </c>
      <c r="HO33">
        <f>$HO$32+--($HN33)</f>
        <v/>
      </c>
      <c r="HP33">
        <f>IF(ROW()-3&gt;MAX($HO$4:$HO$40),"",INDEX($BM$4:$BM$40,MATCH(ROW()-3,$HO$4:$HO$40,0)))</f>
        <v/>
      </c>
      <c r="HQ33">
        <f>IF(COUNTIF('Live Search'!BM$32:BX$32,0)+COUNTIF('Live Search'!BZ$32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R33">
        <f>IF($BR$33="",FALSE,SUMPRODUCT(('Final Calculation Sheet'!$L$4:$L$40=$BR$33)*($HQ$6:$HQ$42=1))&gt;0)</f>
        <v/>
      </c>
      <c r="HS33">
        <f>$HS$32+--($HR33)</f>
        <v/>
      </c>
      <c r="HT33">
        <f>IF(ROW()-3&gt;MAX($HS$4:$HS$40),"",INDEX($BR$4:$BR$40,MATCH(ROW()-3,$HS$4:$HS$40,0)))</f>
        <v/>
      </c>
      <c r="HU33">
        <f>IF(COUNTIF('Live Search'!BM$32:BY$32,0)+COUNTIF('Live Search'!CA$32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V33">
        <f>IF($BW$33="",FALSE,SUMPRODUCT(('Final Calculation Sheet'!$M$4:$M$40=$BW$33)*($HU$6:$HU$42=1))&gt;0)</f>
        <v/>
      </c>
      <c r="HW33">
        <f>$HW$32+--($HV33)</f>
        <v/>
      </c>
      <c r="HX33">
        <f>IF(ROW()-3&gt;MAX($HW$4:$HW$40),"",INDEX($BW$4:$BW$40,MATCH(ROW()-3,$HW$4:$HW$40,0)))</f>
        <v/>
      </c>
      <c r="HY33">
        <f>IF(COUNTIF('Live Search'!BM$32:BZ$32,0)+COUNTIF('Live Search'!CB$32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HZ33">
        <f>IF($CB$33="",FALSE,SUMPRODUCT(('Final Calculation Sheet'!$N$4:$N$40=$CB$33)*($HY$6:$HY$42=1))&gt;0)</f>
        <v/>
      </c>
      <c r="IA33">
        <f>$IA$32+--($HZ33)</f>
        <v/>
      </c>
      <c r="IB33">
        <f>IF(ROW()-3&gt;MAX($IA$4:$IA$40),"",INDEX($CB$4:$CB$40,MATCH(ROW()-3,$IA$4:$IA$40,0)))</f>
        <v/>
      </c>
      <c r="IC33">
        <f>IF(COUNTIF('Live Search'!BM$32:CA$32,0)+COUNTIF('Live Search'!CC$32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D33">
        <f>IF($CG$33="",FALSE,SUMPRODUCT(('Final Calculation Sheet'!$O$4:$O$40=$CG$33)*($IC$6:$IC$42=1))&gt;0)</f>
        <v/>
      </c>
      <c r="IE33">
        <f>$IE$32+--($ID33)</f>
        <v/>
      </c>
      <c r="IF33">
        <f>IF(ROW()-3&gt;MAX($IE$4:$IE$40),"",INDEX($CG$4:$CG$40,MATCH(ROW()-3,$IE$4:$IE$40,0)))</f>
        <v/>
      </c>
      <c r="IG33">
        <f>IF(COUNTIF('Live Search'!BM$32:CB$32,0)+COUNTIF('Live Search'!CD$32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H33">
        <f>IF($CL$33="",FALSE,SUMPRODUCT(('Final Calculation Sheet'!$P$4:$P$40=$CL$33)*($IG$6:$IG$42=1))&gt;0)</f>
        <v/>
      </c>
      <c r="II33">
        <f>$II$32+--($IH33)</f>
        <v/>
      </c>
      <c r="IJ33">
        <f>IF(ROW()-3&gt;MAX($II$4:$II$40),"",INDEX($CL$4:$CL$40,MATCH(ROW()-3,$II$4:$II$40,0)))</f>
        <v/>
      </c>
      <c r="IK33">
        <f>IF(COUNTIF('Live Search'!BM$32:CC$32,0)+COUNTIF('Live Search'!CE$32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L33">
        <f>IF($CQ$33="",FALSE,SUMPRODUCT(('Final Calculation Sheet'!$Q$4:$Q$40=$CQ$33)*($IK$6:$IK$42=1))&gt;0)</f>
        <v/>
      </c>
      <c r="IM33">
        <f>$IM$32+--($IL33)</f>
        <v/>
      </c>
      <c r="IN33">
        <f>IF(ROW()-3&gt;MAX($IM$4:$IM$40),"",INDEX($CQ$4:$CQ$40,MATCH(ROW()-3,$IM$4:$IM$40,0)))</f>
        <v/>
      </c>
      <c r="IO33">
        <f>IF(COUNTIF('Live Search'!BM$32:CD$32,0)+COUNTIF('Live Search'!CF$32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P33">
        <f>IF($CV$33="",FALSE,SUMPRODUCT(('Final Calculation Sheet'!$R$4:$R$40=$CV$33)*($IO$6:$IO$42=1))&gt;0)</f>
        <v/>
      </c>
      <c r="IQ33">
        <f>$IQ$32+--($IP33)</f>
        <v/>
      </c>
      <c r="IR33">
        <f>IF(ROW()-3&gt;MAX($IQ$4:$IQ$40),"",INDEX($CV$4:$CV$40,MATCH(ROW()-3,$IQ$4:$IQ$40,0)))</f>
        <v/>
      </c>
      <c r="IS33">
        <f>IF(COUNTIF('Live Search'!BM$32:CE$32,0)+COUNTIF('Live Search'!CG$32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T33">
        <f>IF($DA$33="",FALSE,SUMPRODUCT(('Final Calculation Sheet'!$S$4:$S$40=$DA$33)*($IS$6:$IS$42=1))&gt;0)</f>
        <v/>
      </c>
      <c r="IU33">
        <f>$IU$32+--($IT33)</f>
        <v/>
      </c>
      <c r="IV33">
        <f>IF(ROW()-3&gt;MAX($IU$4:$IU$40),"",INDEX($DA$4:$DA$40,MATCH(ROW()-3,$IU$4:$IU$40,0)))</f>
        <v/>
      </c>
      <c r="IW33">
        <f>IF(COUNTIF('Live Search'!BM$32:CF$32,0)+COUNTIF('Live Search'!CH$32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IX33">
        <f>IF($DF$33="",FALSE,SUMPRODUCT(('Final Calculation Sheet'!$T$4:$T$40=$DF$33)*($IW$6:$IW$42=1))&gt;0)</f>
        <v/>
      </c>
      <c r="IY33">
        <f>$IY$32+--($IX33)</f>
        <v/>
      </c>
      <c r="IZ33">
        <f>IF(ROW()-3&gt;MAX($IY$4:$IY$40),"",INDEX($DF$4:$DF$40,MATCH(ROW()-3,$IY$4:$IY$40,0)))</f>
        <v/>
      </c>
      <c r="JA33">
        <f>IF(COUNTIF('Live Search'!BM$32:CG$32,0)+COUNTIF('Live Search'!CI$32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B33">
        <f>IF($DK$33="",FALSE,SUMPRODUCT(('Final Calculation Sheet'!$U$4:$U$40=$DK$33)*($JA$6:$JA$42=1))&gt;0)</f>
        <v/>
      </c>
      <c r="JC33">
        <f>$JC$32+--($JB33)</f>
        <v/>
      </c>
      <c r="JD33">
        <f>IF(ROW()-3&gt;MAX($JC$4:$JC$40),"",INDEX($DK$4:$DK$40,MATCH(ROW()-3,$JC$4:$JC$40,0)))</f>
        <v/>
      </c>
      <c r="JE33">
        <f>IF(COUNTIF('Live Search'!BM$32:CH$32,0)+COUNTIF('Live Search'!CJ$32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F33">
        <f>IF($DP$33="",FALSE,SUMPRODUCT(('Final Calculation Sheet'!$V$4:$V$40=$DP$33)*($JE$6:$JE$42=1))&gt;0)</f>
        <v/>
      </c>
      <c r="JG33">
        <f>$JG$32+--($JF33)</f>
        <v/>
      </c>
      <c r="JH33">
        <f>IF(ROW()-3&gt;MAX($JG$4:$JG$40),"",INDEX($DP$4:$DP$40,MATCH(ROW()-3,$JG$4:$JG$40,0)))</f>
        <v/>
      </c>
      <c r="JI33">
        <f>IF(COUNTIF('Live Search'!BM$32:CI$32,0)+COUNTIF('Live Search'!CK$32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J33">
        <f>IF($DU$33="",FALSE,SUMPRODUCT(('Final Calculation Sheet'!$W$4:$W$40=$DU$33)*($JI$6:$JI$42=1))&gt;0)</f>
        <v/>
      </c>
      <c r="JK33">
        <f>$JK$32+--($JJ33)</f>
        <v/>
      </c>
      <c r="JL33">
        <f>IF(ROW()-3&gt;MAX($JK$4:$JK$40),"",INDEX($DU$4:$DU$40,MATCH(ROW()-3,$JK$4:$JK$40,0)))</f>
        <v/>
      </c>
      <c r="JM33">
        <f>IF(COUNTIF('Live Search'!BM$32:CJ$32,0)+COUNTIF('Live Search'!CL$32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N33">
        <f>IF($DZ$33="",FALSE,SUMPRODUCT(('Final Calculation Sheet'!$X$4:$X$40=$DZ$33)*($JM$6:$JM$42=1))&gt;0)</f>
        <v/>
      </c>
      <c r="JO33">
        <f>$JO$32+--($JN33)</f>
        <v/>
      </c>
      <c r="JP33">
        <f>IF(ROW()-3&gt;MAX($JO$4:$JO$40),"",INDEX($DZ$4:$DZ$40,MATCH(ROW()-3,$JO$4:$JO$40,0)))</f>
        <v/>
      </c>
      <c r="JQ33">
        <f>IF(COUNTIF('Live Search'!BM$32:CK$32,0)+COUNTIF('Live Search'!C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R33">
        <f>IF($EE$33="",FALSE,SUMPRODUCT(('Final Calculation Sheet'!$Y$4:$Y$40=$EE$33)*($JQ$6:$JQ$42=1))&gt;0)</f>
        <v/>
      </c>
      <c r="JS33">
        <f>$JS$32+--($JR33)</f>
        <v/>
      </c>
      <c r="JT33">
        <f>IF(ROW()-3&gt;MAX($JS$4:$JS$40),"",INDEX($EE$4:$EE$40,MATCH(ROW()-3,$JS$4:$JS$40,0)))</f>
        <v/>
      </c>
      <c r="JU33">
        <f>IF(COUNTIF('Live Search'!BM$32:CL$32,0)+COUNTIF('Live Search'!CN$32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V33">
        <f>IF($EJ$33="",FALSE,SUMPRODUCT(('Final Calculation Sheet'!$Z$4:$Z$40=$EJ$33)*($JU$6:$JU$42=1))&gt;0)</f>
        <v/>
      </c>
      <c r="JW33">
        <f>$JW$32+--($JV33)</f>
        <v/>
      </c>
      <c r="JX33">
        <f>IF(ROW()-3&gt;MAX($JW$4:$JW$40),"",INDEX($EJ$4:$EJ$40,MATCH(ROW()-3,$JW$4:$JW$40,0)))</f>
        <v/>
      </c>
      <c r="JY33">
        <f>IF(COUNTIF('Live Search'!BM$32:CM$32,0)+COUNTIF('Live Search'!CO$32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JZ33">
        <f>IF($EO$33="",FALSE,SUMPRODUCT(('Final Calculation Sheet'!$AA$4:$AA$40=$EO$33)*($JY$6:$JY$42=1))&gt;0)</f>
        <v/>
      </c>
      <c r="KA33">
        <f>$KA$32+--($JZ33)</f>
        <v/>
      </c>
      <c r="KB33">
        <f>IF(ROW()-3&gt;MAX($KA$4:$KA$40),"",INDEX($EO$4:$EO$40,MATCH(ROW()-3,$KA$4:$KA$40,0)))</f>
        <v/>
      </c>
      <c r="KC33">
        <f>IF(COUNTIF('Live Search'!BM$32:CN$32,0)+COUNTIF('Live Search'!CP$32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D33">
        <f>IF($ET$33="",FALSE,SUMPRODUCT(('Final Calculation Sheet'!$AB$4:$AB$40=$ET$33)*($KC$6:$KC$42=1))&gt;0)</f>
        <v/>
      </c>
      <c r="KE33">
        <f>$KE$32+--($KD33)</f>
        <v/>
      </c>
      <c r="KF33">
        <f>IF(ROW()-3&gt;MAX($KE$4:$KE$40),"",INDEX($ET$4:$ET$40,MATCH(ROW()-3,$KE$4:$KE$40,0)))</f>
        <v/>
      </c>
      <c r="KG33">
        <f>IF(COUNTIF('Live Search'!BM$32:CO$32,0)+COUNTIF('Live Search'!CQ$32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H33">
        <f>IF($EY$33="",FALSE,SUMPRODUCT(('Final Calculation Sheet'!$AC$4:$AC$40=$EY$33)*($KG$6:$KG$42=1))&gt;0)</f>
        <v/>
      </c>
      <c r="KI33">
        <f>$KI$32+--($KH33)</f>
        <v/>
      </c>
      <c r="KJ33">
        <f>IF(ROW()-3&gt;MAX($KI$4:$KI$40),"",INDEX($EY$4:$EY$40,MATCH(ROW()-3,$KI$4:$KI$40,0)))</f>
        <v/>
      </c>
      <c r="KK33">
        <f>IF(COUNTIF('Live Search'!BM$32:CP$32,0)+COUNTIF('Live Search'!CR$32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L33">
        <f>IF($FD$33="",FALSE,SUMPRODUCT(('Final Calculation Sheet'!$AD$4:$AD$40=$FD$33)*($KK$6:$KK$42=1))&gt;0)</f>
        <v/>
      </c>
      <c r="KM33">
        <f>$KM$32+--($KL33)</f>
        <v/>
      </c>
      <c r="KN33">
        <f>IF(ROW()-3&gt;MAX($KM$4:$KM$40),"",INDEX($FD$4:$FD$40,MATCH(ROW()-3,$KM$4:$KM$40,0)))</f>
        <v/>
      </c>
      <c r="KO33">
        <f>IF(COUNTIF('Live Search'!BM$32:CT$32,0)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P33">
        <f>IF($FX$33="",FALSE,SUMPRODUCT((IF('Final Calculation Sheet'!$AD$4:$AD$40&lt;=5,"SETTLED","OUTSTANDING")=$FX$33)*($KO$6:$KO$42=1))&gt;0)</f>
        <v/>
      </c>
      <c r="KQ33">
        <f>$KQ$32+--($KP33)</f>
        <v/>
      </c>
      <c r="KR33">
        <f>IF(ROW()-3&gt;MAX($KQ$4:$KQ$40),"",INDEX($FX$4:$FX$40,MATCH(ROW()-3,$KQ$4:$KQ$40,0)))</f>
        <v/>
      </c>
      <c r="KS33">
        <f>IF(COUNTIF('Live Search'!BM$32:CQ$32,0)+COUNTIF('Live Search'!CS$32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T33">
        <f>IF($FI$33="",FALSE,SUMPRODUCT(('Final Calculation Sheet'!$AF$4:$AF$40=$FI$33)*($KS$6:$KS$42=1))&gt;0)</f>
        <v/>
      </c>
      <c r="KU33">
        <f>$KU$32+--($KT33)</f>
        <v/>
      </c>
      <c r="KV33">
        <f>IF(ROW()-3&gt;MAX($KU$4:$KU$40),"",INDEX($FI$4:$FI$40,MATCH(ROW()-3,$KU$4:$KU$40,0)))</f>
        <v/>
      </c>
      <c r="KW33">
        <f>IF(COUNTIF('Live Search'!BM$32:CR$32,0)+COUNTIF('Live Search'!CT$32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KX33">
        <f>IF($FN$33="",FALSE,SUMPRODUCT(('Final Calculation Sheet'!$AG$4:$AG$40=$FN$33)*($KW$6:$KW$42=1))&gt;0)</f>
        <v/>
      </c>
      <c r="KY33">
        <f>$KY$32+--($KX33)</f>
        <v/>
      </c>
      <c r="KZ33">
        <f>IF(ROW()-3&gt;MAX($KY$4:$KY$40),"",INDEX($FN$4:$FN$40,MATCH(ROW()-3,$KY$4:$KY$40,0)))</f>
        <v/>
      </c>
      <c r="LA33">
        <f>IF(COUNTIF('Live Search'!BM$32:CS$32,0)+COUNTIF('Live Search'!CU$32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LB33">
        <f>IF($FS$33="",FALSE,SUMPRODUCT(('Final Calculation Sheet'!$AH$4:$AH$40=$FS$33)*($LA$6:$LA$42=1))&gt;0)</f>
        <v/>
      </c>
      <c r="LC33">
        <f>$LC$32+--($LB33)</f>
        <v/>
      </c>
      <c r="LD33">
        <f>IF(ROW()-3&gt;MAX($LC$4:$LC$40),"",INDEX($FS$4:$FS$40,MATCH(ROW()-3,$LC$4:$LC$40,0)))</f>
        <v/>
      </c>
      <c r="LE33">
        <f>IF(COUNTIF('Buyer Groups'!DH86:EN86,0)&gt;0,0,1)</f>
        <v/>
      </c>
      <c r="LF33">
        <f>IF($O$33="",FALSE,SUMPRODUCT(('Final Calculation Sheet'!$F$4:$F$40=$O$33)*($LE$6:$LE$42=1))&gt;0)</f>
        <v/>
      </c>
      <c r="LG33">
        <f>$LG$32+--($LF33)</f>
        <v/>
      </c>
      <c r="LH33">
        <f>IF(ROW()-3&gt;MAX($LG$4:$LG$40),"",INDEX($O$4:$O$40,MATCH(ROW()-3,$LG$4:$LG$40,0)))</f>
        <v/>
      </c>
      <c r="LI33">
        <f>IF(COUNTIF('Buyer Groups'!DG86:DG86,0)+COUNTIF('Buyer Groups'!DI86:EN86,0)&gt;0,0,1)</f>
        <v/>
      </c>
      <c r="LJ33">
        <f>IF($T$33="",FALSE,SUMPRODUCT(('Final Calculation Sheet'!$G$4:$G$40=$T$33)*($LI$6:$LI$42=1))&gt;0)</f>
        <v/>
      </c>
      <c r="LK33">
        <f>$LK$32+--($LJ33)</f>
        <v/>
      </c>
      <c r="LL33">
        <f>IF(ROW()-3&gt;MAX($LK$4:$LK$40),"",INDEX($T$4:$T$40,MATCH(ROW()-3,$LK$4:$LK$40,0)))</f>
        <v/>
      </c>
      <c r="LM33">
        <f>IF(COUNTIF('Buyer Groups'!DG86:DH86,0)+COUNTIF('Buyer Groups'!DJ86:EN86,0)&gt;0,0,1)</f>
        <v/>
      </c>
      <c r="LN33">
        <f>IF($Y$33="",FALSE,SUMPRODUCT(('Final Calculation Sheet'!$B$4:$B$40=$Y$33)*($LM$6:$LM$42=1))&gt;0)</f>
        <v/>
      </c>
      <c r="LO33">
        <f>$LO$32+--($LN33)</f>
        <v/>
      </c>
      <c r="LP33">
        <f>IF(ROW()-3&gt;MAX($LO$4:$LO$40),"",INDEX($Y$4:$Y$40,MATCH(ROW()-3,$LO$4:$LO$40,0)))</f>
        <v/>
      </c>
      <c r="LQ33">
        <f>IF(COUNTIF('Buyer Groups'!DG86:DI86,0)+COUNTIF('Buyer Groups'!DK86:EN86,0)&gt;0,0,1)</f>
        <v/>
      </c>
      <c r="LR33">
        <f>IF($AD$33="",FALSE,SUMPRODUCT(('Final Calculation Sheet'!$D$4:$D$40=$AD$33)*($LQ$6:$LQ$42=1))&gt;0)</f>
        <v/>
      </c>
      <c r="LS33">
        <f>$LS$32+--($LR33)</f>
        <v/>
      </c>
      <c r="LT33">
        <f>IF(ROW()-3&gt;MAX($LS$4:$LS$40),"",INDEX($AD$4:$AD$40,MATCH(ROW()-3,$LS$4:$LS$40,0)))</f>
        <v/>
      </c>
      <c r="LU33">
        <f>IF(COUNTIF('Buyer Groups'!DG86:DJ86,0)+COUNTIF('Buyer Groups'!DL86:EN86,0)&gt;0,0,1)</f>
        <v/>
      </c>
      <c r="LV33">
        <f>IF($AI$33="",FALSE,SUMPRODUCT(('Final Calculation Sheet'!$A$4:$A$40=$AI$33)*($LU$6:$LU$42=1))&gt;0)</f>
        <v/>
      </c>
      <c r="LW33">
        <f>$LW$32+--($LV33)</f>
        <v/>
      </c>
      <c r="LX33">
        <f>IF(ROW()-3&gt;MAX($LW$4:$LW$40),"",INDEX($AI$4:$AI$40,MATCH(ROW()-3,$LW$4:$LW$40,0)))</f>
        <v/>
      </c>
      <c r="LY33">
        <f>IF(COUNTIF('Buyer Groups'!DG86:DK86,0)+COUNTIF('Buyer Groups'!DM86:EN86,0)&gt;0,0,1)</f>
        <v/>
      </c>
      <c r="LZ33">
        <f>IF($AN$33="",FALSE,SUMPRODUCT(('Final Calculation Sheet'!$E$4:$E$40=$AN$33)*($LY$6:$LY$42=1))&gt;0)</f>
        <v/>
      </c>
      <c r="MA33">
        <f>$MA$32+--($LZ33)</f>
        <v/>
      </c>
      <c r="MB33">
        <f>IF(ROW()-3&gt;MAX($MA$4:$MA$40),"",INDEX($AN$4:$AN$40,MATCH(ROW()-3,$MA$4:$MA$40,0)))</f>
        <v/>
      </c>
      <c r="MC33">
        <f>IF(COUNTIF('Buyer Groups'!DG86:DL86,0)+COUNTIF('Buyer Groups'!DN86:EN86,0)&gt;0,0,1)</f>
        <v/>
      </c>
      <c r="MD33">
        <f>IF($AS$33="",FALSE,SUMPRODUCT(('Final Calculation Sheet'!$C$4:$C$40=$AS$33)*($MC$6:$MC$42=1))&gt;0)</f>
        <v/>
      </c>
      <c r="ME33">
        <f>$ME$32+--($MD33)</f>
        <v/>
      </c>
      <c r="MF33">
        <f>IF(ROW()-3&gt;MAX($ME$4:$ME$40),"",INDEX($AS$4:$AS$40,MATCH(ROW()-3,$ME$4:$ME$40,0)))</f>
        <v/>
      </c>
      <c r="MG33">
        <f>IF(COUNTIF('Buyer Groups'!DG86:DM86,0)+COUNTIF('Buyer Groups'!DO86:EN86,0)&gt;0,0,1)</f>
        <v/>
      </c>
      <c r="MH33">
        <f>IF($AX$33="",FALSE,SUMPRODUCT(('Final Calculation Sheet'!$H$4:$H$40=$AX$33)*($MG$6:$MG$42=1))&gt;0)</f>
        <v/>
      </c>
      <c r="MI33">
        <f>$MI$32+--($MH33)</f>
        <v/>
      </c>
      <c r="MJ33">
        <f>IF(ROW()-3&gt;MAX($MI$4:$MI$40),"",INDEX($AX$4:$AX$40,MATCH(ROW()-3,$MI$4:$MI$40,0)))</f>
        <v/>
      </c>
      <c r="MK33">
        <f>IF(COUNTIF('Buyer Groups'!DG86:DN86,0)+COUNTIF('Buyer Groups'!DP86:EN86,0)&gt;0,0,1)</f>
        <v/>
      </c>
      <c r="ML33">
        <f>IF($BC$33="",FALSE,SUMPRODUCT(('Final Calculation Sheet'!$I$4:$I$40=$BC$33)*($MK$6:$MK$42=1))&gt;0)</f>
        <v/>
      </c>
      <c r="MM33">
        <f>$MM$32+--($ML33)</f>
        <v/>
      </c>
      <c r="MN33">
        <f>IF(ROW()-3&gt;MAX($MM$4:$MM$40),"",INDEX($BC$4:$BC$40,MATCH(ROW()-3,$MM$4:$MM$40,0)))</f>
        <v/>
      </c>
      <c r="MO33">
        <f>IF(COUNTIF('Buyer Groups'!DG86:DO86,0)+COUNTIF('Buyer Groups'!DQ86:EN86,0)&gt;0,0,1)</f>
        <v/>
      </c>
      <c r="MP33">
        <f>IF($BH$33="",FALSE,SUMPRODUCT(('Final Calculation Sheet'!$J$4:$J$40=$BH$33)*($MO$6:$MO$42=1))&gt;0)</f>
        <v/>
      </c>
      <c r="MQ33">
        <f>$MQ$32+--($MP33)</f>
        <v/>
      </c>
      <c r="MR33">
        <f>IF(ROW()-3&gt;MAX($MQ$4:$MQ$40),"",INDEX($BH$4:$BH$40,MATCH(ROW()-3,$MQ$4:$MQ$40,0)))</f>
        <v/>
      </c>
      <c r="MS33">
        <f>IF(COUNTIF('Buyer Groups'!DG86:DP86,0)+COUNTIF('Buyer Groups'!DR86:EN86,0)&gt;0,0,1)</f>
        <v/>
      </c>
      <c r="MT33">
        <f>IF($BM$33="",FALSE,SUMPRODUCT(('Final Calculation Sheet'!$K$4:$K$40=$BM$33)*($MS$6:$MS$42=1))&gt;0)</f>
        <v/>
      </c>
      <c r="MU33">
        <f>$MU$32+--($MT33)</f>
        <v/>
      </c>
      <c r="MV33">
        <f>IF(ROW()-3&gt;MAX($MU$4:$MU$40),"",INDEX($BM$4:$BM$40,MATCH(ROW()-3,$MU$4:$MU$40,0)))</f>
        <v/>
      </c>
      <c r="MW33">
        <f>IF(COUNTIF('Buyer Groups'!DG86:DQ86,0)+COUNTIF('Buyer Groups'!DS86:EN86,0)&gt;0,0,1)</f>
        <v/>
      </c>
      <c r="MX33">
        <f>IF($BR$33="",FALSE,SUMPRODUCT(('Final Calculation Sheet'!$L$4:$L$40=$BR$33)*($MW$6:$MW$42=1))&gt;0)</f>
        <v/>
      </c>
      <c r="MY33">
        <f>$MY$32+--($MX33)</f>
        <v/>
      </c>
      <c r="MZ33">
        <f>IF(ROW()-3&gt;MAX($MY$4:$MY$40),"",INDEX($BR$4:$BR$40,MATCH(ROW()-3,$MY$4:$MY$40,0)))</f>
        <v/>
      </c>
      <c r="NA33">
        <f>IF(COUNTIF('Buyer Groups'!DG86:DR86,0)+COUNTIF('Buyer Groups'!DT86:EN86,0)&gt;0,0,1)</f>
        <v/>
      </c>
      <c r="NB33">
        <f>IF($BW$33="",FALSE,SUMPRODUCT(('Final Calculation Sheet'!$M$4:$M$40=$BW$33)*($NA$6:$NA$42=1))&gt;0)</f>
        <v/>
      </c>
      <c r="NC33">
        <f>$NC$32+--($NB33)</f>
        <v/>
      </c>
      <c r="ND33">
        <f>IF(ROW()-3&gt;MAX($NC$4:$NC$40),"",INDEX($BW$4:$BW$40,MATCH(ROW()-3,$NC$4:$NC$40,0)))</f>
        <v/>
      </c>
      <c r="NE33">
        <f>IF(COUNTIF('Buyer Groups'!DG86:DS86,0)+COUNTIF('Buyer Groups'!DU86:EN86,0)&gt;0,0,1)</f>
        <v/>
      </c>
      <c r="NF33">
        <f>IF($CB$33="",FALSE,SUMPRODUCT(('Final Calculation Sheet'!$N$4:$N$40=$CB$33)*($NE$6:$NE$42=1))&gt;0)</f>
        <v/>
      </c>
      <c r="NG33">
        <f>$NG$32+--($NF33)</f>
        <v/>
      </c>
      <c r="NH33">
        <f>IF(ROW()-3&gt;MAX($NG$4:$NG$40),"",INDEX($CB$4:$CB$40,MATCH(ROW()-3,$NG$4:$NG$40,0)))</f>
        <v/>
      </c>
      <c r="NI33">
        <f>IF(COUNTIF('Buyer Groups'!DG86:DT86,0)+COUNTIF('Buyer Groups'!DV86:EN86,0)&gt;0,0,1)</f>
        <v/>
      </c>
      <c r="NJ33">
        <f>IF($CG$33="",FALSE,SUMPRODUCT(('Final Calculation Sheet'!$O$4:$O$40=$CG$33)*($NI$6:$NI$42=1))&gt;0)</f>
        <v/>
      </c>
      <c r="NK33">
        <f>$NK$32+--($NJ33)</f>
        <v/>
      </c>
      <c r="NL33">
        <f>IF(ROW()-3&gt;MAX($NK$4:$NK$40),"",INDEX($CG$4:$CG$40,MATCH(ROW()-3,$NK$4:$NK$40,0)))</f>
        <v/>
      </c>
      <c r="NM33">
        <f>IF(COUNTIF('Buyer Groups'!DG86:DU86,0)+COUNTIF('Buyer Groups'!DW86:EN86,0)&gt;0,0,1)</f>
        <v/>
      </c>
      <c r="NN33">
        <f>IF($CL$33="",FALSE,SUMPRODUCT(('Final Calculation Sheet'!$P$4:$P$40=$CL$33)*($NM$6:$NM$42=1))&gt;0)</f>
        <v/>
      </c>
      <c r="NO33">
        <f>$NO$32+--($NN33)</f>
        <v/>
      </c>
      <c r="NP33">
        <f>IF(ROW()-3&gt;MAX($NO$4:$NO$40),"",INDEX($CL$4:$CL$40,MATCH(ROW()-3,$NO$4:$NO$40,0)))</f>
        <v/>
      </c>
      <c r="NQ33">
        <f>IF(COUNTIF('Buyer Groups'!DG86:DV86,0)+COUNTIF('Buyer Groups'!DX86:EN86,0)&gt;0,0,1)</f>
        <v/>
      </c>
      <c r="NR33">
        <f>IF($CQ$33="",FALSE,SUMPRODUCT(('Final Calculation Sheet'!$Q$4:$Q$40=$CQ$33)*($NQ$6:$NQ$42=1))&gt;0)</f>
        <v/>
      </c>
      <c r="NS33">
        <f>$NS$32+--($NR33)</f>
        <v/>
      </c>
      <c r="NT33">
        <f>IF(ROW()-3&gt;MAX($NS$4:$NS$40),"",INDEX($CQ$4:$CQ$40,MATCH(ROW()-3,$NS$4:$NS$40,0)))</f>
        <v/>
      </c>
      <c r="NU33">
        <f>IF(COUNTIF('Buyer Groups'!DG86:DW86,0)+COUNTIF('Buyer Groups'!DY86:EN86,0)&gt;0,0,1)</f>
        <v/>
      </c>
      <c r="NV33">
        <f>IF($CV$33="",FALSE,SUMPRODUCT(('Final Calculation Sheet'!$R$4:$R$40=$CV$33)*($NU$6:$NU$42=1))&gt;0)</f>
        <v/>
      </c>
      <c r="NW33">
        <f>$NW$32+--($NV33)</f>
        <v/>
      </c>
      <c r="NX33">
        <f>IF(ROW()-3&gt;MAX($NW$4:$NW$40),"",INDEX($CV$4:$CV$40,MATCH(ROW()-3,$NW$4:$NW$40,0)))</f>
        <v/>
      </c>
      <c r="NY33">
        <f>IF(COUNTIF('Buyer Groups'!DG86:DX86,0)+COUNTIF('Buyer Groups'!DZ86:EN86,0)&gt;0,0,1)</f>
        <v/>
      </c>
      <c r="NZ33">
        <f>IF($DA$33="",FALSE,SUMPRODUCT(('Final Calculation Sheet'!$S$4:$S$40=$DA$33)*($NY$6:$NY$42=1))&gt;0)</f>
        <v/>
      </c>
      <c r="OA33">
        <f>$OA$32+--($NZ33)</f>
        <v/>
      </c>
      <c r="OB33">
        <f>IF(ROW()-3&gt;MAX($OA$4:$OA$40),"",INDEX($DA$4:$DA$40,MATCH(ROW()-3,$OA$4:$OA$40,0)))</f>
        <v/>
      </c>
      <c r="OC33">
        <f>IF(COUNTIF('Buyer Groups'!DG86:DY86,0)+COUNTIF('Buyer Groups'!EA86:EN86,0)&gt;0,0,1)</f>
        <v/>
      </c>
      <c r="OD33">
        <f>IF($DF$33="",FALSE,SUMPRODUCT(('Final Calculation Sheet'!$T$4:$T$40=$DF$33)*($OC$6:$OC$42=1))&gt;0)</f>
        <v/>
      </c>
      <c r="OE33">
        <f>$OE$32+--($OD33)</f>
        <v/>
      </c>
      <c r="OF33">
        <f>IF(ROW()-3&gt;MAX($OE$4:$OE$40),"",INDEX($DF$4:$DF$40,MATCH(ROW()-3,$OE$4:$OE$40,0)))</f>
        <v/>
      </c>
      <c r="OG33">
        <f>IF(COUNTIF('Buyer Groups'!DG86:DZ86,0)+COUNTIF('Buyer Groups'!EB86:EN86,0)&gt;0,0,1)</f>
        <v/>
      </c>
      <c r="OH33">
        <f>IF($DK$33="",FALSE,SUMPRODUCT(('Final Calculation Sheet'!$U$4:$U$40=$DK$33)*($OG$6:$OG$42=1))&gt;0)</f>
        <v/>
      </c>
      <c r="OI33">
        <f>$OI$32+--($OH33)</f>
        <v/>
      </c>
      <c r="OJ33">
        <f>IF(ROW()-3&gt;MAX($OI$4:$OI$40),"",INDEX($DK$4:$DK$40,MATCH(ROW()-3,$OI$4:$OI$40,0)))</f>
        <v/>
      </c>
      <c r="OK33">
        <f>IF(COUNTIF('Buyer Groups'!DG86:EA86,0)+COUNTIF('Buyer Groups'!EC86:EN86,0)&gt;0,0,1)</f>
        <v/>
      </c>
      <c r="OL33">
        <f>IF($DP$33="",FALSE,SUMPRODUCT(('Final Calculation Sheet'!$V$4:$V$40=$DP$33)*($OK$6:$OK$42=1))&gt;0)</f>
        <v/>
      </c>
      <c r="OM33">
        <f>$OM$32+--($OL33)</f>
        <v/>
      </c>
      <c r="ON33">
        <f>IF(ROW()-3&gt;MAX($OM$4:$OM$40),"",INDEX($DP$4:$DP$40,MATCH(ROW()-3,$OM$4:$OM$40,0)))</f>
        <v/>
      </c>
      <c r="OO33">
        <f>IF(COUNTIF('Buyer Groups'!DG86:EB86,0)+COUNTIF('Buyer Groups'!ED86:EN86,0)&gt;0,0,1)</f>
        <v/>
      </c>
      <c r="OP33">
        <f>IF($DU$33="",FALSE,SUMPRODUCT(('Final Calculation Sheet'!$W$4:$W$40=$DU$33)*($OO$6:$OO$42=1))&gt;0)</f>
        <v/>
      </c>
      <c r="OQ33">
        <f>$OQ$32+--($OP33)</f>
        <v/>
      </c>
      <c r="OR33">
        <f>IF(ROW()-3&gt;MAX($OQ$4:$OQ$40),"",INDEX($DU$4:$DU$40,MATCH(ROW()-3,$OQ$4:$OQ$40,0)))</f>
        <v/>
      </c>
      <c r="OS33">
        <f>IF(COUNTIF('Buyer Groups'!DG86:EC86,0)+COUNTIF('Buyer Groups'!EE86:EN86,0)&gt;0,0,1)</f>
        <v/>
      </c>
      <c r="OT33">
        <f>IF($DZ$33="",FALSE,SUMPRODUCT(('Final Calculation Sheet'!$X$4:$X$40=$DZ$33)*($OS$6:$OS$42=1))&gt;0)</f>
        <v/>
      </c>
      <c r="OU33">
        <f>$OU$32+--($OT33)</f>
        <v/>
      </c>
      <c r="OV33">
        <f>IF(ROW()-3&gt;MAX($OU$4:$OU$40),"",INDEX($DZ$4:$DZ$40,MATCH(ROW()-3,$OU$4:$OU$40,0)))</f>
        <v/>
      </c>
      <c r="OW33">
        <f>IF(COUNTIF('Buyer Groups'!DG86:ED86,0)+COUNTIF('Buyer Groups'!EF86:EN86,0)&gt;0,0,1)</f>
        <v/>
      </c>
      <c r="OX33">
        <f>IF($EE$33="",FALSE,SUMPRODUCT(('Final Calculation Sheet'!$Y$4:$Y$40=$EE$33)*($OW$6:$OW$42=1))&gt;0)</f>
        <v/>
      </c>
      <c r="OY33">
        <f>$OY$32+--($OX33)</f>
        <v/>
      </c>
      <c r="OZ33">
        <f>IF(ROW()-3&gt;MAX($OY$4:$OY$40),"",INDEX($EE$4:$EE$40,MATCH(ROW()-3,$OY$4:$OY$40,0)))</f>
        <v/>
      </c>
      <c r="PA33">
        <f>IF(COUNTIF('Buyer Groups'!DG86:EE86,0)+COUNTIF('Buyer Groups'!EG86:EN86,0)&gt;0,0,1)</f>
        <v/>
      </c>
      <c r="PB33">
        <f>IF($EJ$33="",FALSE,SUMPRODUCT(('Final Calculation Sheet'!$Z$4:$Z$40=$EJ$33)*($PA$6:$PA$42=1))&gt;0)</f>
        <v/>
      </c>
      <c r="PC33">
        <f>$PC$32+--($PB33)</f>
        <v/>
      </c>
      <c r="PD33">
        <f>IF(ROW()-3&gt;MAX($PC$4:$PC$40),"",INDEX($EJ$4:$EJ$40,MATCH(ROW()-3,$PC$4:$PC$40,0)))</f>
        <v/>
      </c>
      <c r="PE33">
        <f>IF(COUNTIF('Buyer Groups'!DG86:EF86,0)+COUNTIF('Buyer Groups'!EH86:EN86,0)&gt;0,0,1)</f>
        <v/>
      </c>
      <c r="PF33">
        <f>IF($EO$33="",FALSE,SUMPRODUCT(('Final Calculation Sheet'!$AA$4:$AA$40=$EO$33)*($PE$6:$PE$42=1))&gt;0)</f>
        <v/>
      </c>
      <c r="PG33">
        <f>$PG$32+--($PF33)</f>
        <v/>
      </c>
      <c r="PH33">
        <f>IF(ROW()-3&gt;MAX($PG$4:$PG$40),"",INDEX($EO$4:$EO$40,MATCH(ROW()-3,$PG$4:$PG$40,0)))</f>
        <v/>
      </c>
      <c r="PI33">
        <f>IF(COUNTIF('Buyer Groups'!DG86:EG86,0)+COUNTIF('Buyer Groups'!EI86:EN86,0)&gt;0,0,1)</f>
        <v/>
      </c>
      <c r="PJ33">
        <f>IF($ET$33="",FALSE,SUMPRODUCT(('Final Calculation Sheet'!$AB$4:$AB$40=$ET$33)*($PI$6:$PI$42=1))&gt;0)</f>
        <v/>
      </c>
      <c r="PK33">
        <f>$PK$32+--($PJ33)</f>
        <v/>
      </c>
      <c r="PL33">
        <f>IF(ROW()-3&gt;MAX($PK$4:$PK$40),"",INDEX($ET$4:$ET$40,MATCH(ROW()-3,$PK$4:$PK$40,0)))</f>
        <v/>
      </c>
      <c r="PM33">
        <f>IF(COUNTIF('Buyer Groups'!DG86:EH86,0)+COUNTIF('Buyer Groups'!EJ86:EN86,0)&gt;0,0,1)</f>
        <v/>
      </c>
      <c r="PN33">
        <f>IF($EY$33="",FALSE,SUMPRODUCT(('Final Calculation Sheet'!$AC$4:$AC$40=$EY$33)*($PM$6:$PM$42=1))&gt;0)</f>
        <v/>
      </c>
      <c r="PO33">
        <f>$PO$32+--($PN33)</f>
        <v/>
      </c>
      <c r="PP33">
        <f>IF(ROW()-3&gt;MAX($PO$4:$PO$40),"",INDEX($EY$4:$EY$40,MATCH(ROW()-3,$PO$4:$PO$40,0)))</f>
        <v/>
      </c>
      <c r="PQ33">
        <f>IF(COUNTIF('Buyer Groups'!DG86:EI86,0)+COUNTIF('Buyer Groups'!EK86:EN86,0)&gt;0,0,1)</f>
        <v/>
      </c>
      <c r="PR33">
        <f>IF($FD$33="",FALSE,SUMPRODUCT(('Final Calculation Sheet'!$AD$4:$AD$40=$FD$33)*($PQ$6:$PQ$42=1))&gt;0)</f>
        <v/>
      </c>
      <c r="PS33">
        <f>$PS$32+--($PR33)</f>
        <v/>
      </c>
      <c r="PT33">
        <f>IF(ROW()-3&gt;MAX($PS$4:$PS$40),"",INDEX($FD$4:$FD$40,MATCH(ROW()-3,$PS$4:$PS$40,0)))</f>
        <v/>
      </c>
      <c r="PU33">
        <f>IF(COUNTIF('Buyer Groups'!DG86:EJ86,0)+COUNTIF('Buyer Groups'!EL86:EN86,0)&gt;0,0,1)</f>
        <v/>
      </c>
      <c r="PV33">
        <f>IF($FX$33="",FALSE,SUMPRODUCT((IF('Final Calculation Sheet'!$AD$4:$AD$40&lt;=5,"SETTLED","OUTSTANDING")=$FX$33)*($PU$6:$PU$42=1))&gt;0)</f>
        <v/>
      </c>
      <c r="PW33">
        <f>$PW$32+--($PV33)</f>
        <v/>
      </c>
      <c r="PX33">
        <f>IF(ROW()-3&gt;MAX($PW$4:$PW$40),"",INDEX($FX$4:$FX$40,MATCH(ROW()-3,$PW$4:$PW$40,0)))</f>
        <v/>
      </c>
      <c r="PY33">
        <f>IF(COUNTIF('Buyer Groups'!DG86:EK86,0)+COUNTIF('Buyer Groups'!EM86:EN86,0)&gt;0,0,1)</f>
        <v/>
      </c>
      <c r="PZ33">
        <f>IF($FI$33="",FALSE,SUMPRODUCT(('Final Calculation Sheet'!$AF$4:$AF$40=$FI$33)*($PY$6:$PY$42=1))&gt;0)</f>
        <v/>
      </c>
      <c r="QA33">
        <f>$QA$32+--($PZ33)</f>
        <v/>
      </c>
      <c r="QB33">
        <f>IF(ROW()-3&gt;MAX($QA$4:$QA$40),"",INDEX($FI$4:$FI$40,MATCH(ROW()-3,$QA$4:$QA$40,0)))</f>
        <v/>
      </c>
      <c r="QC33">
        <f>IF(COUNTIF('Buyer Groups'!DG86:EL86,0)+COUNTIF('Buyer Groups'!EN86:EN86,0)&gt;0,0,1)</f>
        <v/>
      </c>
      <c r="QD33">
        <f>IF($FN$33="",FALSE,SUMPRODUCT(('Final Calculation Sheet'!$AG$4:$AG$40=$FN$33)*($QC$6:$QC$42=1))&gt;0)</f>
        <v/>
      </c>
      <c r="QE33">
        <f>$QE$32+--($QD33)</f>
        <v/>
      </c>
      <c r="QF33">
        <f>IF(ROW()-3&gt;MAX($QE$4:$QE$40),"",INDEX($FN$4:$FN$40,MATCH(ROW()-3,$QE$4:$QE$40,0)))</f>
        <v/>
      </c>
      <c r="QG33">
        <f>IF(COUNTIF('Buyer Groups'!DG86:EM86,0)&gt;0,0,1)</f>
        <v/>
      </c>
      <c r="QH33">
        <f>IF($FS$33="",FALSE,SUMPRODUCT(('Final Calculation Sheet'!$AH$4:$AH$40=$FS$33)*($QG$6:$QG$42=1))&gt;0)</f>
        <v/>
      </c>
      <c r="QI33">
        <f>$QI$32+--($QH33)</f>
        <v/>
      </c>
      <c r="QJ33">
        <f>IF(ROW()-3&gt;MAX($QI$4:$QI$40),"",INDEX($FS$4:$FS$40,MATCH(ROW()-3,$QI$4:$QI$40,0)))</f>
        <v/>
      </c>
      <c r="QK33" t="str">
        <f>IF('Final Calculation Sheet'!$AH$33="","",'Final Calculation Sheet'!$AH$33)</f>
      </c>
      <c r="QL33" t="str">
        <f>IF(QK33="","",COUNTIFS(QK$4:QK$40,"&lt;"&amp;QK33,QK$4:QK$40,"&lt;&gt;"&amp;"")+COUNTIF(QK$4:QK33,QK33))</f>
      </c>
      <c r="QM33" t="str">
        <f>IF(ROW()-3&gt;COUNTIF(QK$4:QK$40,"&lt;&gt;"&amp;""),"",INDEX(QK$4:QK$40,MATCH(ROW()-3,QL$4:QL$40,0)))</f>
      </c>
      <c r="QN33" t="str">
        <f>=QN32+F(AND(QM33&lt;&gt;"",COUNTIF(QM$4:QM33,QM33)=1),1,0)</f>
      </c>
      <c r="QO33" t="str">
        <f>IF(ROW()-3&gt;MAX(QN$4:QN$40),"",INDEX(QM$4:QM$40,MATCH(ROW()-3,QN$4:QN$40,0)))</f>
      </c>
      <c r="QP33" t="str">
        <f>IF(COUNTIF('Final Calculation Sheet'!$AM33:$BS33,0)&gt;0,0,1)</f>
      </c>
      <c r="QQ33" t="str">
        <f>IF($AI$33="",FALSE,SUMPRODUCT(('Final Calculation Sheet'!$A$4:$A$40=$AI$33)*($QP$4:$QP$40=1))&gt;0)</f>
      </c>
      <c r="QR33" t="str">
        <f>=$QR32+--($QQ33)</f>
      </c>
      <c r="QS33" t="str">
        <f>IF(ROW()-3&gt;MAX($QR$4:$QR$40),"",INDEX($AI$4:$AI$40,MATCH(ROW()-3,$QR$4:$QR$40,0)))</f>
      </c>
      <c r="QT33" t="str">
        <f>IF(COUNTIF('Final Calculation Sheet'!$AL33:$AL33,0)+COUNTIF('Final Calculation Sheet'!$AN33:$BS33,0)&gt;0,0,1)</f>
      </c>
      <c r="QU33" t="str">
        <f>IF($Y$33="",FALSE,SUMPRODUCT(('Final Calculation Sheet'!$B$4:$B$40=$Y$33)*($QT$4:$QT$40=1))&gt;0)</f>
      </c>
      <c r="QV33" t="str">
        <f>=$QV32+--($QU33)</f>
      </c>
      <c r="QW33" t="str">
        <f>IF(ROW()-3&gt;MAX($QV$4:$QV$40),"",INDEX($Y$4:$Y$40,MATCH(ROW()-3,$QV$4:$QV$40,0)))</f>
      </c>
      <c r="QX33" t="str">
        <f>IF(COUNTIF('Final Calculation Sheet'!$AL33:$AM33,0)+COUNTIF('Final Calculation Sheet'!$AO33:$BS33,0)&gt;0,0,1)</f>
      </c>
      <c r="QY33" t="str">
        <f>IF($AS$33="",FALSE,SUMPRODUCT(('Final Calculation Sheet'!$C$4:$C$40=$AS$33)*($QX$4:$QX$40=1))&gt;0)</f>
      </c>
      <c r="QZ33" t="str">
        <f>=$QZ32+--($QY33)</f>
      </c>
      <c r="RA33" t="str">
        <f>IF(ROW()-3&gt;MAX($QZ$4:$QZ$40),"",INDEX($AS$4:$AS$40,MATCH(ROW()-3,$QZ$4:$QZ$40,0)))</f>
      </c>
      <c r="RB33" t="str">
        <f>IF(COUNTIF('Final Calculation Sheet'!$AL33:$AN33,0)+COUNTIF('Final Calculation Sheet'!$AP33:$BS33,0)&gt;0,0,1)</f>
      </c>
      <c r="RC33" t="str">
        <f>IF($AD$33="",FALSE,SUMPRODUCT(('Final Calculation Sheet'!$D$4:$D$40=$AD$33)*($RB$4:$RB$40=1))&gt;0)</f>
      </c>
      <c r="RD33" t="str">
        <f>=$RD32+--($RC33)</f>
      </c>
      <c r="RE33" t="str">
        <f>IF(ROW()-3&gt;MAX($RD$4:$RD$40),"",INDEX($AD$4:$AD$40,MATCH(ROW()-3,$RD$4:$RD$40,0)))</f>
      </c>
      <c r="RF33" t="str">
        <f>IF(COUNTIF('Final Calculation Sheet'!$AL33:$AO33,0)+COUNTIF('Final Calculation Sheet'!$AQ33:$BS33,0)&gt;0,0,1)</f>
      </c>
      <c r="RG33" t="str">
        <f>IF($AN$33="",FALSE,SUMPRODUCT(('Final Calculation Sheet'!$E$4:$E$40=$AN$33)*($RF$4:$RF$40=1))&gt;0)</f>
      </c>
      <c r="RH33" t="str">
        <f>=$RH32+--($RG33)</f>
      </c>
      <c r="RI33" t="str">
        <f>IF(ROW()-3&gt;MAX($RH$4:$RH$40),"",INDEX($AN$4:$AN$40,MATCH(ROW()-3,$RH$4:$RH$40,0)))</f>
      </c>
      <c r="RJ33" t="str">
        <f>IF(COUNTIF('Final Calculation Sheet'!$AL33:$AP33,0)+COUNTIF('Final Calculation Sheet'!$AR33:$BS33,0)&gt;0,0,1)</f>
      </c>
      <c r="RK33" t="str">
        <f>IF($O$33="",FALSE,SUMPRODUCT(('Final Calculation Sheet'!$F$4:$F$40=$O$33)*($RJ$4:$RJ$40=1))&gt;0)</f>
      </c>
      <c r="RL33" t="str">
        <f>=$RL32+--($RK33)</f>
      </c>
      <c r="RM33" t="str">
        <f>IF(ROW()-3&gt;MAX($RL$4:$RL$40),"",INDEX($O$4:$O$40,MATCH(ROW()-3,$RL$4:$RL$40,0)))</f>
      </c>
      <c r="RN33" t="str">
        <f>IF(COUNTIF('Final Calculation Sheet'!$AL33:$AQ33,0)+COUNTIF('Final Calculation Sheet'!$AS33:$BS33,0)&gt;0,0,1)</f>
      </c>
      <c r="RO33" t="str">
        <f>IF($T$33="",FALSE,SUMPRODUCT(('Final Calculation Sheet'!$G$4:$G$40=$T$33)*($RN$4:$RN$40=1))&gt;0)</f>
      </c>
      <c r="RP33" t="str">
        <f>=$RP32+--($RO33)</f>
      </c>
      <c r="RQ33" t="str">
        <f>IF(ROW()-3&gt;MAX($RP$4:$RP$40),"",INDEX($T$4:$T$40,MATCH(ROW()-3,$RP$4:$RP$40,0)))</f>
      </c>
      <c r="RR33" t="str">
        <f>IF(COUNTIF('Final Calculation Sheet'!$AL33:$AR33,0)+COUNTIF('Final Calculation Sheet'!$AT33:$BS33,0)&gt;0,0,1)</f>
      </c>
      <c r="RS33" t="str">
        <f>IF($AX$33="",FALSE,SUMPRODUCT(('Final Calculation Sheet'!$H$4:$H$40=$AX$33)*($RR$4:$RR$40=1))&gt;0)</f>
      </c>
      <c r="RT33" t="str">
        <f>=$RT32+--($RS33)</f>
      </c>
      <c r="RU33" t="str">
        <f>IF(ROW()-3&gt;MAX($RT$4:$RT$40),"",INDEX($AX$4:$AX$40,MATCH(ROW()-3,$RT$4:$RT$40,0)))</f>
      </c>
      <c r="RV33" t="str">
        <f>IF(COUNTIF('Final Calculation Sheet'!$AL33:$AS33,0)+COUNTIF('Final Calculation Sheet'!$AU33:$BS33,0)&gt;0,0,1)</f>
      </c>
      <c r="RW33" t="str">
        <f>IF($BC$33="",FALSE,SUMPRODUCT(('Final Calculation Sheet'!$I$4:$I$40=$BC$33)*($RV$4:$RV$40=1))&gt;0)</f>
      </c>
      <c r="RX33" t="str">
        <f>=$RX32+--($RW33)</f>
      </c>
      <c r="RY33" t="str">
        <f>IF(ROW()-3&gt;MAX($RX$4:$RX$40),"",INDEX($BC$4:$BC$40,MATCH(ROW()-3,$RX$4:$RX$40,0)))</f>
      </c>
      <c r="RZ33" t="str">
        <f>IF(COUNTIF('Final Calculation Sheet'!$AL33:$AT33,0)+COUNTIF('Final Calculation Sheet'!$AV33:$BS33,0)&gt;0,0,1)</f>
      </c>
      <c r="SA33" t="str">
        <f>IF($BH$33="",FALSE,SUMPRODUCT(('Final Calculation Sheet'!$J$4:$J$40=$BH$33)*($RZ$4:$RZ$40=1))&gt;0)</f>
      </c>
      <c r="SB33" t="str">
        <f>=$SB32+--($SA33)</f>
      </c>
      <c r="SC33" t="str">
        <f>IF(ROW()-3&gt;MAX($SB$4:$SB$40),"",INDEX($BH$4:$BH$40,MATCH(ROW()-3,$SB$4:$SB$40,0)))</f>
      </c>
      <c r="SD33" t="str">
        <f>IF(COUNTIF('Final Calculation Sheet'!$AL33:$AU33,0)+COUNTIF('Final Calculation Sheet'!$AW33:$BS33,0)&gt;0,0,1)</f>
      </c>
      <c r="SE33" t="str">
        <f>IF($BM$33="",FALSE,SUMPRODUCT(('Final Calculation Sheet'!$K$4:$K$40=$BM$33)*($SD$4:$SD$40=1))&gt;0)</f>
      </c>
      <c r="SF33" t="str">
        <f>=$SF32+--($SE33)</f>
      </c>
      <c r="SG33" t="str">
        <f>IF(ROW()-3&gt;MAX($SF$4:$SF$40),"",INDEX($BM$4:$BM$40,MATCH(ROW()-3,$SF$4:$SF$40,0)))</f>
      </c>
      <c r="SH33" t="str">
        <f>IF(COUNTIF('Final Calculation Sheet'!$AL33:$AV33,0)+COUNTIF('Final Calculation Sheet'!$AX33:$BS33,0)&gt;0,0,1)</f>
      </c>
      <c r="SI33" t="str">
        <f>IF($BR$33="",FALSE,SUMPRODUCT(('Final Calculation Sheet'!$L$4:$L$40=$BR$33)*($SH$4:$SH$40=1))&gt;0)</f>
      </c>
      <c r="SJ33" t="str">
        <f>=$SJ32+--($SI33)</f>
      </c>
      <c r="SK33" t="str">
        <f>IF(ROW()-3&gt;MAX($SJ$4:$SJ$40),"",INDEX($BR$4:$BR$40,MATCH(ROW()-3,$SJ$4:$SJ$40,0)))</f>
      </c>
      <c r="SL33" t="str">
        <f>IF(COUNTIF('Final Calculation Sheet'!$AL33:$AW33,0)+COUNTIF('Final Calculation Sheet'!$AY33:$BS33,0)&gt;0,0,1)</f>
      </c>
      <c r="SM33" t="str">
        <f>IF($BW$33="",FALSE,SUMPRODUCT(('Final Calculation Sheet'!$M$4:$M$40=$BW$33)*($SL$4:$SL$40=1))&gt;0)</f>
      </c>
      <c r="SN33" t="str">
        <f>=$SN32+--($SM33)</f>
      </c>
      <c r="SO33" t="str">
        <f>IF(ROW()-3&gt;MAX($SN$4:$SN$40),"",INDEX($BW$4:$BW$40,MATCH(ROW()-3,$SN$4:$SN$40,0)))</f>
      </c>
      <c r="SP33" t="str">
        <f>IF(COUNTIF('Final Calculation Sheet'!$AL33:$AX33,0)+COUNTIF('Final Calculation Sheet'!$AZ33:$BS33,0)&gt;0,0,1)</f>
      </c>
      <c r="SQ33" t="str">
        <f>IF($CB$33="",FALSE,SUMPRODUCT(('Final Calculation Sheet'!$N$4:$N$40=$CB$33)*($SP$4:$SP$40=1))&gt;0)</f>
      </c>
      <c r="SR33" t="str">
        <f>=$SR32+--($SQ33)</f>
      </c>
      <c r="SS33" t="str">
        <f>IF(ROW()-3&gt;MAX($SR$4:$SR$40),"",INDEX($CB$4:$CB$40,MATCH(ROW()-3,$SR$4:$SR$40,0)))</f>
      </c>
      <c r="ST33" t="str">
        <f>IF(COUNTIF('Final Calculation Sheet'!$AL33:$AY33,0)+COUNTIF('Final Calculation Sheet'!$BA33:$BS33,0)&gt;0,0,1)</f>
      </c>
      <c r="SU33" t="str">
        <f>IF($CG$33="",FALSE,SUMPRODUCT(('Final Calculation Sheet'!$O$4:$O$40=$CG$33)*($ST$4:$ST$40=1))&gt;0)</f>
      </c>
      <c r="SV33" t="str">
        <f>=$SV32+--($SU33)</f>
      </c>
      <c r="SW33" t="str">
        <f>IF(ROW()-3&gt;MAX($SV$4:$SV$40),"",INDEX($CG$4:$CG$40,MATCH(ROW()-3,$SV$4:$SV$40,0)))</f>
      </c>
      <c r="SX33" t="str">
        <f>IF(COUNTIF('Final Calculation Sheet'!$AL33:$AZ33,0)+COUNTIF('Final Calculation Sheet'!$BB33:$BS33,0)&gt;0,0,1)</f>
      </c>
      <c r="SY33" t="str">
        <f>IF($CL$33="",FALSE,SUMPRODUCT(('Final Calculation Sheet'!$P$4:$P$40=$CL$33)*($SX$4:$SX$40=1))&gt;0)</f>
      </c>
      <c r="SZ33" t="str">
        <f>=$SZ32+--($SY33)</f>
      </c>
      <c r="TA33" t="str">
        <f>IF(ROW()-3&gt;MAX($SZ$4:$SZ$40),"",INDEX($CL$4:$CL$40,MATCH(ROW()-3,$SZ$4:$SZ$40,0)))</f>
      </c>
      <c r="TB33" t="str">
        <f>IF(COUNTIF('Final Calculation Sheet'!$AL33:$BA33,0)+COUNTIF('Final Calculation Sheet'!$BC33:$BS33,0)&gt;0,0,1)</f>
      </c>
      <c r="TC33" t="str">
        <f>IF($CQ$33="",FALSE,SUMPRODUCT(('Final Calculation Sheet'!$Q$4:$Q$40=$CQ$33)*($TB$4:$TB$40=1))&gt;0)</f>
      </c>
      <c r="TD33" t="str">
        <f>=$TD32+--($TC33)</f>
      </c>
      <c r="TE33" t="str">
        <f>IF(ROW()-3&gt;MAX($TD$4:$TD$40),"",INDEX($CQ$4:$CQ$40,MATCH(ROW()-3,$TD$4:$TD$40,0)))</f>
      </c>
      <c r="TF33" t="str">
        <f>IF(COUNTIF('Final Calculation Sheet'!$AL33:$BB33,0)+COUNTIF('Final Calculation Sheet'!$BD33:$BS33,0)&gt;0,0,1)</f>
      </c>
      <c r="TG33" t="str">
        <f>IF($CV$33="",FALSE,SUMPRODUCT(('Final Calculation Sheet'!$R$4:$R$40=$CV$33)*($TF$4:$TF$40=1))&gt;0)</f>
      </c>
      <c r="TH33" t="str">
        <f>=$TH32+--($TG33)</f>
      </c>
      <c r="TI33" t="str">
        <f>IF(ROW()-3&gt;MAX($TH$4:$TH$40),"",INDEX($CV$4:$CV$40,MATCH(ROW()-3,$TH$4:$TH$40,0)))</f>
      </c>
      <c r="TJ33" t="str">
        <f>IF(COUNTIF('Final Calculation Sheet'!$AL33:$BC33,0)+COUNTIF('Final Calculation Sheet'!$BE33:$BS33,0)&gt;0,0,1)</f>
      </c>
      <c r="TK33" t="str">
        <f>IF($DA$33="",FALSE,SUMPRODUCT(('Final Calculation Sheet'!$S$4:$S$40=$DA$33)*($TJ$4:$TJ$40=1))&gt;0)</f>
      </c>
      <c r="TL33" t="str">
        <f>=$TL32+--($TK33)</f>
      </c>
      <c r="TM33" t="str">
        <f>IF(ROW()-3&gt;MAX($TL$4:$TL$40),"",INDEX($DA$4:$DA$40,MATCH(ROW()-3,$TL$4:$TL$40,0)))</f>
      </c>
      <c r="TN33" t="str">
        <f>IF(COUNTIF('Final Calculation Sheet'!$AL33:$BD33,0)+COUNTIF('Final Calculation Sheet'!$BF33:$BS33,0)&gt;0,0,1)</f>
      </c>
      <c r="TO33" t="str">
        <f>IF($DF$33="",FALSE,SUMPRODUCT(('Final Calculation Sheet'!$T$4:$T$40=$DF$33)*($TN$4:$TN$40=1))&gt;0)</f>
      </c>
      <c r="TP33" t="str">
        <f>=$TP32+--($TO33)</f>
      </c>
      <c r="TQ33" t="str">
        <f>IF(ROW()-3&gt;MAX($TP$4:$TP$40),"",INDEX($DF$4:$DF$40,MATCH(ROW()-3,$TP$4:$TP$40,0)))</f>
      </c>
      <c r="TR33" t="str">
        <f>IF(COUNTIF('Final Calculation Sheet'!$AL33:$BE33,0)+COUNTIF('Final Calculation Sheet'!$BG33:$BS33,0)&gt;0,0,1)</f>
      </c>
      <c r="TS33" t="str">
        <f>IF($DK$33="",FALSE,SUMPRODUCT(('Final Calculation Sheet'!$U$4:$U$40=$DK$33)*($TR$4:$TR$40=1))&gt;0)</f>
      </c>
      <c r="TT33" t="str">
        <f>=$TT32+--($TS33)</f>
      </c>
      <c r="TU33" t="str">
        <f>IF(ROW()-3&gt;MAX($TT$4:$TT$40),"",INDEX($DK$4:$DK$40,MATCH(ROW()-3,$TT$4:$TT$40,0)))</f>
      </c>
      <c r="TV33" t="str">
        <f>IF(COUNTIF('Final Calculation Sheet'!$AL33:$BF33,0)+COUNTIF('Final Calculation Sheet'!$BH33:$BS33,0)&gt;0,0,1)</f>
      </c>
      <c r="TW33" t="str">
        <f>IF($DP$33="",FALSE,SUMPRODUCT(('Final Calculation Sheet'!$V$4:$V$40=$DP$33)*($TV$4:$TV$40=1))&gt;0)</f>
      </c>
      <c r="TX33" t="str">
        <f>=$TX32+--($TW33)</f>
      </c>
      <c r="TY33" t="str">
        <f>IF(ROW()-3&gt;MAX($TX$4:$TX$40),"",INDEX($DP$4:$DP$40,MATCH(ROW()-3,$TX$4:$TX$40,0)))</f>
      </c>
      <c r="TZ33" t="str">
        <f>IF(COUNTIF('Final Calculation Sheet'!$AL33:$BG33,0)+COUNTIF('Final Calculation Sheet'!$BI33:$BS33,0)&gt;0,0,1)</f>
      </c>
      <c r="UA33" t="str">
        <f>IF($DU$33="",FALSE,SUMPRODUCT(('Final Calculation Sheet'!$W$4:$W$40=$DU$33)*($TZ$4:$TZ$40=1))&gt;0)</f>
      </c>
      <c r="UB33" t="str">
        <f>=$UB32+--($UA33)</f>
      </c>
      <c r="UC33" t="str">
        <f>IF(ROW()-3&gt;MAX($UB$4:$UB$40),"",INDEX($DU$4:$DU$40,MATCH(ROW()-3,$UB$4:$UB$40,0)))</f>
      </c>
      <c r="UD33" t="str">
        <f>IF(COUNTIF('Final Calculation Sheet'!$AL33:$BH33,0)+COUNTIF('Final Calculation Sheet'!$BJ33:$BS33,0)&gt;0,0,1)</f>
      </c>
      <c r="UE33" t="str">
        <f>IF($DZ$33="",FALSE,SUMPRODUCT(('Final Calculation Sheet'!$X$4:$X$40=$DZ$33)*($UD$4:$UD$40=1))&gt;0)</f>
      </c>
      <c r="UF33" t="str">
        <f>=$UF32+--($UE33)</f>
      </c>
      <c r="UG33" t="str">
        <f>IF(ROW()-3&gt;MAX($UF$4:$UF$40),"",INDEX($DZ$4:$DZ$40,MATCH(ROW()-3,$UF$4:$UF$40,0)))</f>
      </c>
      <c r="UH33" t="str">
        <f>IF(COUNTIF('Final Calculation Sheet'!$AL33:$BI33,0)+COUNTIF('Final Calculation Sheet'!$BK33:$BS33,0)&gt;0,0,1)</f>
      </c>
      <c r="UI33" t="str">
        <f>IF($EE$33="",FALSE,SUMPRODUCT(('Final Calculation Sheet'!$Y$4:$Y$40=$EE$33)*($UH$4:$UH$40=1))&gt;0)</f>
      </c>
      <c r="UJ33" t="str">
        <f>=$UJ32+--($UI33)</f>
      </c>
      <c r="UK33" t="str">
        <f>IF(ROW()-3&gt;MAX($UJ$4:$UJ$40),"",INDEX($EE$4:$EE$40,MATCH(ROW()-3,$UJ$4:$UJ$40,0)))</f>
      </c>
      <c r="UL33" t="str">
        <f>IF(COUNTIF('Final Calculation Sheet'!$AL33:$BJ33,0)+COUNTIF('Final Calculation Sheet'!$BL33:$BS33,0)&gt;0,0,1)</f>
      </c>
      <c r="UM33" t="str">
        <f>IF($EJ$33="",FALSE,SUMPRODUCT(('Final Calculation Sheet'!$Z$4:$Z$40=$EJ$33)*($UL$4:$UL$40=1))&gt;0)</f>
      </c>
      <c r="UN33" t="str">
        <f>=$UN32+--($UM33)</f>
      </c>
      <c r="UO33" t="str">
        <f>IF(ROW()-3&gt;MAX($UN$4:$UN$40),"",INDEX($EJ$4:$EJ$40,MATCH(ROW()-3,$UN$4:$UN$40,0)))</f>
      </c>
      <c r="UP33" t="str">
        <f>IF(COUNTIF('Final Calculation Sheet'!$AL33:$BK33,0)+COUNTIF('Final Calculation Sheet'!$BM33:$BS33,0)&gt;0,0,1)</f>
      </c>
      <c r="UQ33" t="str">
        <f>IF($EO$33="",FALSE,SUMPRODUCT(('Final Calculation Sheet'!$AA$4:$AA$40=$EO$33)*($UP$4:$UP$40=1))&gt;0)</f>
      </c>
      <c r="UR33" t="str">
        <f>=$UR32+--($UQ33)</f>
      </c>
      <c r="US33" t="str">
        <f>IF(ROW()-3&gt;MAX($UR$4:$UR$40),"",INDEX($EO$4:$EO$40,MATCH(ROW()-3,$UR$4:$UR$40,0)))</f>
      </c>
      <c r="UT33" t="str">
        <f>IF(COUNTIF('Final Calculation Sheet'!$AL33:$BL33,0)+COUNTIF('Final Calculation Sheet'!$BN33:$BS33,0)&gt;0,0,1)</f>
      </c>
      <c r="UU33" t="str">
        <f>IF($ET$33="",FALSE,SUMPRODUCT(('Final Calculation Sheet'!$AB$4:$AB$40=$ET$33)*($UT$4:$UT$40=1))&gt;0)</f>
      </c>
      <c r="UV33" t="str">
        <f>=$UV32+--($UU33)</f>
      </c>
      <c r="UW33" t="str">
        <f>IF(ROW()-3&gt;MAX($UV$4:$UV$40),"",INDEX($ET$4:$ET$40,MATCH(ROW()-3,$UV$4:$UV$40,0)))</f>
      </c>
      <c r="UX33" t="str">
        <f>IF(COUNTIF('Final Calculation Sheet'!$AL33:$BM33,0)+COUNTIF('Final Calculation Sheet'!$BO33:$BS33,0)&gt;0,0,1)</f>
      </c>
      <c r="UY33" t="str">
        <f>IF($EY$33="",FALSE,SUMPRODUCT(('Final Calculation Sheet'!$AC$4:$AC$40=$EY$33)*($UX$4:$UX$40=1))&gt;0)</f>
      </c>
      <c r="UZ33" t="str">
        <f>=$UZ32+--($UY33)</f>
      </c>
      <c r="VA33" t="str">
        <f>IF(ROW()-3&gt;MAX($UZ$4:$UZ$40),"",INDEX($EY$4:$EY$40,MATCH(ROW()-3,$UZ$4:$UZ$40,0)))</f>
      </c>
      <c r="VB33" t="str">
        <f>IF(COUNTIF('Final Calculation Sheet'!$AL33:$BN33,0)+COUNTIF('Final Calculation Sheet'!$BP33:$BS33,0)&gt;0,0,1)</f>
      </c>
      <c r="VC33" t="str">
        <f>IF($FD$33="",FALSE,SUMPRODUCT(('Final Calculation Sheet'!$AD$4:$AD$40=$FD$33)*($VB$4:$VB$40=1))&gt;0)</f>
      </c>
      <c r="VD33" t="str">
        <f>=$VD32+--($VC33)</f>
      </c>
      <c r="VE33" t="str">
        <f>IF(ROW()-3&gt;MAX($VD$4:$VD$40),"",INDEX($FD$4:$FD$40,MATCH(ROW()-3,$VD$4:$VD$40,0)))</f>
      </c>
      <c r="VF33" t="str">
        <f>IF(COUNTIF('Final Calculation Sheet'!$AL33:$BO33,0)+COUNTIF('Final Calculation Sheet'!$BQ33:$BS33,0)&gt;0,0,1)</f>
      </c>
      <c r="VG33" t="str">
        <f>IF($FI$33="",FALSE,SUMPRODUCT(('Final Calculation Sheet'!$AE$4:$AE$40=$FI$33)*($VF$4:$VF$40=1))&gt;0)</f>
      </c>
      <c r="VH33" t="str">
        <f>=$VH32+--($VG33)</f>
      </c>
      <c r="VI33" t="str">
        <f>IF(ROW()-3&gt;MAX($VH$4:$VH$40),"",INDEX($FI$4:$FI$40,MATCH(ROW()-3,$VH$4:$VH$40,0)))</f>
      </c>
      <c r="VJ33" t="str">
        <f>IF(COUNTIF('Final Calculation Sheet'!$AL33:$BP33,0)+COUNTIF('Final Calculation Sheet'!$BR33:$BS33,0)&gt;0,0,1)</f>
      </c>
      <c r="VK33" t="str">
        <f>IF($FN$33="",FALSE,SUMPRODUCT(('Final Calculation Sheet'!$AF$4:$AF$40=$FN$33)*($VJ$4:$VJ$40=1))&gt;0)</f>
      </c>
      <c r="VL33" t="str">
        <f>=$VL32+--($VK33)</f>
      </c>
      <c r="VM33" t="str">
        <f>IF(ROW()-3&gt;MAX($VL$4:$VL$40),"",INDEX($FN$4:$FN$40,MATCH(ROW()-3,$VL$4:$VL$40,0)))</f>
      </c>
      <c r="VN33" t="str">
        <f>IF(COUNTIF('Final Calculation Sheet'!$AL33:$BQ33,0)+COUNTIF('Final Calculation Sheet'!$BS33:$BS33,0)&gt;0,0,1)</f>
      </c>
      <c r="VO33" t="str">
        <f>IF($FS$33="",FALSE,SUMPRODUCT(('Final Calculation Sheet'!$AG$4:$AG$40=$FS$33)*($VN$4:$VN$40=1))&gt;0)</f>
      </c>
      <c r="VP33" t="str">
        <f>=$VP32+--($VO33)</f>
      </c>
      <c r="VQ33" t="str">
        <f>IF(ROW()-3&gt;MAX($VP$4:$VP$40),"",INDEX($FS$4:$FS$40,MATCH(ROW()-3,$VP$4:$VP$40,0)))</f>
      </c>
      <c r="VR33" t="str">
        <f>IF(COUNTIF('Final Calculation Sheet'!$AL33:$BR33,0)&gt;0,0,1)</f>
      </c>
      <c r="VS33" t="str">
        <f>IF($QO$33="",FALSE,SUMPRODUCT(('Final Calculation Sheet'!$AH$4:$AH$40=$QO$33)*($VR$4:$VR$40=1))&gt;0)</f>
      </c>
      <c r="VT33" t="str">
        <f>=$VT32+--($VS33)</f>
      </c>
      <c r="VU33" t="str">
        <f>IF(ROW()-3&gt;MAX($VT$4:$VT$40),"",INDEX($QO$4:$QO$40,MATCH(ROW()-3,$VT$4:$VT$40,0)))</f>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IF(COUNTIF('Live Search'!BM$33:BM$33,0)+COUNTIF('Live Search'!B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D34">
        <f>IF($O$34="",FALSE,SUMPRODUCT(('Final Calculation Sheet'!$F$4:$F$40=$O$34)*($GC$6:$GC$42=1))&gt;0)</f>
        <v/>
      </c>
      <c r="GE34">
        <f>$GE$33+--($GD34)</f>
        <v/>
      </c>
      <c r="GF34">
        <f>IF(ROW()-3&gt;MAX($GE$4:$GE$40),"",INDEX($O$4:$O$40,MATCH(ROW()-3,$GE$4:$GE$40,0)))</f>
        <v/>
      </c>
      <c r="GG34">
        <f>IF(COUNTIF('Live Search'!BM$33:BN$33,0)+COUNTIF('Live Search'!B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H34">
        <f>IF($T$34="",FALSE,SUMPRODUCT(('Final Calculation Sheet'!$G$4:$G$40=$T$34)*($GG$6:$GG$42=1))&gt;0)</f>
        <v/>
      </c>
      <c r="GI34">
        <f>$GI$33+--($GH34)</f>
        <v/>
      </c>
      <c r="GJ34">
        <f>IF(ROW()-3&gt;MAX($GI$4:$GI$40),"",INDEX($T$4:$T$40,MATCH(ROW()-3,$GI$4:$GI$40,0)))</f>
        <v/>
      </c>
      <c r="GK34">
        <f>IF(COUNTIF('Live Search'!BM$33:BP$33,0)+COUNTIF('Live Search'!B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L34">
        <f>IF($AD$34="",FALSE,SUMPRODUCT(('Final Calculation Sheet'!$D$4:$D$40=$AD$34)*($GK$6:$GK$42=1))&gt;0)</f>
        <v/>
      </c>
      <c r="GM34">
        <f>$GM$33+--($GL34)</f>
        <v/>
      </c>
      <c r="GN34">
        <f>IF(ROW()-3&gt;MAX($GM$4:$GM$40),"",INDEX($AD$4:$AD$40,MATCH(ROW()-3,$GM$4:$GM$40,0)))</f>
        <v/>
      </c>
      <c r="GO34">
        <f>IF(COUNTIF('Live Search'!BM$33:BQ$33,0)+COUNTIF('Live Search'!B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P34">
        <f>IF($AI$34="",FALSE,SUMPRODUCT(('Final Calculation Sheet'!$A$4:$A$40=$AI$34)*($GO$6:$GO$42=1))&gt;0)</f>
        <v/>
      </c>
      <c r="GQ34">
        <f>$GQ$33+--($GP34)</f>
        <v/>
      </c>
      <c r="GR34">
        <f>IF(ROW()-3&gt;MAX($GQ$4:$GQ$40),"",INDEX($AI$4:$AI$40,MATCH(ROW()-3,$GQ$4:$GQ$40,0)))</f>
        <v/>
      </c>
      <c r="GS34">
        <f>IF(COUNTIF('Live Search'!BM$33:BR$33,0)+COUNTIF('Live Search'!B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T34">
        <f>IF($AN$34="",FALSE,SUMPRODUCT(('Final Calculation Sheet'!$E$4:$E$40=$AN$34)*($GS$6:$GS$42=1))&gt;0)</f>
        <v/>
      </c>
      <c r="GU34">
        <f>$GU$33+--($GT34)</f>
        <v/>
      </c>
      <c r="GV34">
        <f>IF(ROW()-3&gt;MAX($GU$4:$GU$40),"",INDEX($AN$4:$AN$40,MATCH(ROW()-3,$GU$4:$GU$40,0)))</f>
        <v/>
      </c>
      <c r="GW34">
        <f>IF(COUNTIF('Live Search'!BM$33:BS$33,0)+COUNTIF('Live Search'!B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GX34">
        <f>IF($AS$34="",FALSE,SUMPRODUCT(('Final Calculation Sheet'!$C$4:$C$40=$AS$34)*($GW$6:$GW$42=1))&gt;0)</f>
        <v/>
      </c>
      <c r="GY34">
        <f>$GY$33+--($GX34)</f>
        <v/>
      </c>
      <c r="GZ34">
        <f>IF(ROW()-3&gt;MAX($GY$4:$GY$40),"",INDEX($AS$4:$AS$40,MATCH(ROW()-3,$GY$4:$GY$40,0)))</f>
        <v/>
      </c>
      <c r="HA34">
        <f>IF(COUNTIF('Live Search'!BM$33:BT$33,0)+COUNTIF('Live Search'!BV$33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B34">
        <f>IF($AX$34="",FALSE,SUMPRODUCT(('Final Calculation Sheet'!$H$4:$H$40=$AX$34)*($HA$6:$HA$42=1))&gt;0)</f>
        <v/>
      </c>
      <c r="HC34">
        <f>$HC$33+--($HB34)</f>
        <v/>
      </c>
      <c r="HD34">
        <f>IF(ROW()-3&gt;MAX($HC$4:$HC$40),"",INDEX($AX$4:$AX$40,MATCH(ROW()-3,$HC$4:$HC$40,0)))</f>
        <v/>
      </c>
      <c r="HE34">
        <f>IF(COUNTIF('Live Search'!BM$33:BU$33,0)+COUNTIF('Live Search'!BW$33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F34">
        <f>IF($BC$34="",FALSE,SUMPRODUCT(('Final Calculation Sheet'!$I$4:$I$40=$BC$34)*($HE$6:$HE$42=1))&gt;0)</f>
        <v/>
      </c>
      <c r="HG34">
        <f>$HG$33+--($HF34)</f>
        <v/>
      </c>
      <c r="HH34">
        <f>IF(ROW()-3&gt;MAX($HG$4:$HG$40),"",INDEX($BC$4:$BC$40,MATCH(ROW()-3,$HG$4:$HG$40,0)))</f>
        <v/>
      </c>
      <c r="HI34">
        <f>IF(COUNTIF('Live Search'!BM$33:BV$33,0)+COUNTIF('Live Search'!BX$33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J34">
        <f>IF($BH$34="",FALSE,SUMPRODUCT(('Final Calculation Sheet'!$J$4:$J$40=$BH$34)*($HI$6:$HI$42=1))&gt;0)</f>
        <v/>
      </c>
      <c r="HK34">
        <f>$HK$33+--($HJ34)</f>
        <v/>
      </c>
      <c r="HL34">
        <f>IF(ROW()-3&gt;MAX($HK$4:$HK$40),"",INDEX($BH$4:$BH$40,MATCH(ROW()-3,$HK$4:$HK$40,0)))</f>
        <v/>
      </c>
      <c r="HM34">
        <f>IF(COUNTIF('Live Search'!BM$33:BW$33,0)+COUNTIF('Live Search'!BY$33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N34">
        <f>IF($BM$34="",FALSE,SUMPRODUCT(('Final Calculation Sheet'!$K$4:$K$40=$BM$34)*($HM$6:$HM$42=1))&gt;0)</f>
        <v/>
      </c>
      <c r="HO34">
        <f>$HO$33+--($HN34)</f>
        <v/>
      </c>
      <c r="HP34">
        <f>IF(ROW()-3&gt;MAX($HO$4:$HO$40),"",INDEX($BM$4:$BM$40,MATCH(ROW()-3,$HO$4:$HO$40,0)))</f>
        <v/>
      </c>
      <c r="HQ34">
        <f>IF(COUNTIF('Live Search'!BM$33:BX$33,0)+COUNTIF('Live Search'!BZ$33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R34">
        <f>IF($BR$34="",FALSE,SUMPRODUCT(('Final Calculation Sheet'!$L$4:$L$40=$BR$34)*($HQ$6:$HQ$42=1))&gt;0)</f>
        <v/>
      </c>
      <c r="HS34">
        <f>$HS$33+--($HR34)</f>
        <v/>
      </c>
      <c r="HT34">
        <f>IF(ROW()-3&gt;MAX($HS$4:$HS$40),"",INDEX($BR$4:$BR$40,MATCH(ROW()-3,$HS$4:$HS$40,0)))</f>
        <v/>
      </c>
      <c r="HU34">
        <f>IF(COUNTIF('Live Search'!BM$33:BY$33,0)+COUNTIF('Live Search'!CA$33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V34">
        <f>IF($BW$34="",FALSE,SUMPRODUCT(('Final Calculation Sheet'!$M$4:$M$40=$BW$34)*($HU$6:$HU$42=1))&gt;0)</f>
        <v/>
      </c>
      <c r="HW34">
        <f>$HW$33+--($HV34)</f>
        <v/>
      </c>
      <c r="HX34">
        <f>IF(ROW()-3&gt;MAX($HW$4:$HW$40),"",INDEX($BW$4:$BW$40,MATCH(ROW()-3,$HW$4:$HW$40,0)))</f>
        <v/>
      </c>
      <c r="HY34">
        <f>IF(COUNTIF('Live Search'!BM$33:BZ$33,0)+COUNTIF('Live Search'!CB$33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HZ34">
        <f>IF($CB$34="",FALSE,SUMPRODUCT(('Final Calculation Sheet'!$N$4:$N$40=$CB$34)*($HY$6:$HY$42=1))&gt;0)</f>
        <v/>
      </c>
      <c r="IA34">
        <f>$IA$33+--($HZ34)</f>
        <v/>
      </c>
      <c r="IB34">
        <f>IF(ROW()-3&gt;MAX($IA$4:$IA$40),"",INDEX($CB$4:$CB$40,MATCH(ROW()-3,$IA$4:$IA$40,0)))</f>
        <v/>
      </c>
      <c r="IC34">
        <f>IF(COUNTIF('Live Search'!BM$33:CA$33,0)+COUNTIF('Live Search'!CC$33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D34">
        <f>IF($CG$34="",FALSE,SUMPRODUCT(('Final Calculation Sheet'!$O$4:$O$40=$CG$34)*($IC$6:$IC$42=1))&gt;0)</f>
        <v/>
      </c>
      <c r="IE34">
        <f>$IE$33+--($ID34)</f>
        <v/>
      </c>
      <c r="IF34">
        <f>IF(ROW()-3&gt;MAX($IE$4:$IE$40),"",INDEX($CG$4:$CG$40,MATCH(ROW()-3,$IE$4:$IE$40,0)))</f>
        <v/>
      </c>
      <c r="IG34">
        <f>IF(COUNTIF('Live Search'!BM$33:CB$33,0)+COUNTIF('Live Search'!CD$33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H34">
        <f>IF($CL$34="",FALSE,SUMPRODUCT(('Final Calculation Sheet'!$P$4:$P$40=$CL$34)*($IG$6:$IG$42=1))&gt;0)</f>
        <v/>
      </c>
      <c r="II34">
        <f>$II$33+--($IH34)</f>
        <v/>
      </c>
      <c r="IJ34">
        <f>IF(ROW()-3&gt;MAX($II$4:$II$40),"",INDEX($CL$4:$CL$40,MATCH(ROW()-3,$II$4:$II$40,0)))</f>
        <v/>
      </c>
      <c r="IK34">
        <f>IF(COUNTIF('Live Search'!BM$33:CC$33,0)+COUNTIF('Live Search'!CE$33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L34">
        <f>IF($CQ$34="",FALSE,SUMPRODUCT(('Final Calculation Sheet'!$Q$4:$Q$40=$CQ$34)*($IK$6:$IK$42=1))&gt;0)</f>
        <v/>
      </c>
      <c r="IM34">
        <f>$IM$33+--($IL34)</f>
        <v/>
      </c>
      <c r="IN34">
        <f>IF(ROW()-3&gt;MAX($IM$4:$IM$40),"",INDEX($CQ$4:$CQ$40,MATCH(ROW()-3,$IM$4:$IM$40,0)))</f>
        <v/>
      </c>
      <c r="IO34">
        <f>IF(COUNTIF('Live Search'!BM$33:CD$33,0)+COUNTIF('Live Search'!CF$33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P34">
        <f>IF($CV$34="",FALSE,SUMPRODUCT(('Final Calculation Sheet'!$R$4:$R$40=$CV$34)*($IO$6:$IO$42=1))&gt;0)</f>
        <v/>
      </c>
      <c r="IQ34">
        <f>$IQ$33+--($IP34)</f>
        <v/>
      </c>
      <c r="IR34">
        <f>IF(ROW()-3&gt;MAX($IQ$4:$IQ$40),"",INDEX($CV$4:$CV$40,MATCH(ROW()-3,$IQ$4:$IQ$40,0)))</f>
        <v/>
      </c>
      <c r="IS34">
        <f>IF(COUNTIF('Live Search'!BM$33:CE$33,0)+COUNTIF('Live Search'!CG$33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T34">
        <f>IF($DA$34="",FALSE,SUMPRODUCT(('Final Calculation Sheet'!$S$4:$S$40=$DA$34)*($IS$6:$IS$42=1))&gt;0)</f>
        <v/>
      </c>
      <c r="IU34">
        <f>$IU$33+--($IT34)</f>
        <v/>
      </c>
      <c r="IV34">
        <f>IF(ROW()-3&gt;MAX($IU$4:$IU$40),"",INDEX($DA$4:$DA$40,MATCH(ROW()-3,$IU$4:$IU$40,0)))</f>
        <v/>
      </c>
      <c r="IW34">
        <f>IF(COUNTIF('Live Search'!BM$33:CF$33,0)+COUNTIF('Live Search'!CH$33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IX34">
        <f>IF($DF$34="",FALSE,SUMPRODUCT(('Final Calculation Sheet'!$T$4:$T$40=$DF$34)*($IW$6:$IW$42=1))&gt;0)</f>
        <v/>
      </c>
      <c r="IY34">
        <f>$IY$33+--($IX34)</f>
        <v/>
      </c>
      <c r="IZ34">
        <f>IF(ROW()-3&gt;MAX($IY$4:$IY$40),"",INDEX($DF$4:$DF$40,MATCH(ROW()-3,$IY$4:$IY$40,0)))</f>
        <v/>
      </c>
      <c r="JA34">
        <f>IF(COUNTIF('Live Search'!BM$33:CG$33,0)+COUNTIF('Live Search'!CI$33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B34">
        <f>IF($DK$34="",FALSE,SUMPRODUCT(('Final Calculation Sheet'!$U$4:$U$40=$DK$34)*($JA$6:$JA$42=1))&gt;0)</f>
        <v/>
      </c>
      <c r="JC34">
        <f>$JC$33+--($JB34)</f>
        <v/>
      </c>
      <c r="JD34">
        <f>IF(ROW()-3&gt;MAX($JC$4:$JC$40),"",INDEX($DK$4:$DK$40,MATCH(ROW()-3,$JC$4:$JC$40,0)))</f>
        <v/>
      </c>
      <c r="JE34">
        <f>IF(COUNTIF('Live Search'!BM$33:CH$33,0)+COUNTIF('Live Search'!CJ$33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F34">
        <f>IF($DP$34="",FALSE,SUMPRODUCT(('Final Calculation Sheet'!$V$4:$V$40=$DP$34)*($JE$6:$JE$42=1))&gt;0)</f>
        <v/>
      </c>
      <c r="JG34">
        <f>$JG$33+--($JF34)</f>
        <v/>
      </c>
      <c r="JH34">
        <f>IF(ROW()-3&gt;MAX($JG$4:$JG$40),"",INDEX($DP$4:$DP$40,MATCH(ROW()-3,$JG$4:$JG$40,0)))</f>
        <v/>
      </c>
      <c r="JI34">
        <f>IF(COUNTIF('Live Search'!BM$33:CI$33,0)+COUNTIF('Live Search'!CK$33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J34">
        <f>IF($DU$34="",FALSE,SUMPRODUCT(('Final Calculation Sheet'!$W$4:$W$40=$DU$34)*($JI$6:$JI$42=1))&gt;0)</f>
        <v/>
      </c>
      <c r="JK34">
        <f>$JK$33+--($JJ34)</f>
        <v/>
      </c>
      <c r="JL34">
        <f>IF(ROW()-3&gt;MAX($JK$4:$JK$40),"",INDEX($DU$4:$DU$40,MATCH(ROW()-3,$JK$4:$JK$40,0)))</f>
        <v/>
      </c>
      <c r="JM34">
        <f>IF(COUNTIF('Live Search'!BM$33:CJ$33,0)+COUNTIF('Live Search'!CL$33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N34">
        <f>IF($DZ$34="",FALSE,SUMPRODUCT(('Final Calculation Sheet'!$X$4:$X$40=$DZ$34)*($JM$6:$JM$42=1))&gt;0)</f>
        <v/>
      </c>
      <c r="JO34">
        <f>$JO$33+--($JN34)</f>
        <v/>
      </c>
      <c r="JP34">
        <f>IF(ROW()-3&gt;MAX($JO$4:$JO$40),"",INDEX($DZ$4:$DZ$40,MATCH(ROW()-3,$JO$4:$JO$40,0)))</f>
        <v/>
      </c>
      <c r="JQ34">
        <f>IF(COUNTIF('Live Search'!BM$33:CK$33,0)+COUNTIF('Live Search'!C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R34">
        <f>IF($EE$34="",FALSE,SUMPRODUCT(('Final Calculation Sheet'!$Y$4:$Y$40=$EE$34)*($JQ$6:$JQ$42=1))&gt;0)</f>
        <v/>
      </c>
      <c r="JS34">
        <f>$JS$33+--($JR34)</f>
        <v/>
      </c>
      <c r="JT34">
        <f>IF(ROW()-3&gt;MAX($JS$4:$JS$40),"",INDEX($EE$4:$EE$40,MATCH(ROW()-3,$JS$4:$JS$40,0)))</f>
        <v/>
      </c>
      <c r="JU34">
        <f>IF(COUNTIF('Live Search'!BM$33:CL$33,0)+COUNTIF('Live Search'!CN$33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V34">
        <f>IF($EJ$34="",FALSE,SUMPRODUCT(('Final Calculation Sheet'!$Z$4:$Z$40=$EJ$34)*($JU$6:$JU$42=1))&gt;0)</f>
        <v/>
      </c>
      <c r="JW34">
        <f>$JW$33+--($JV34)</f>
        <v/>
      </c>
      <c r="JX34">
        <f>IF(ROW()-3&gt;MAX($JW$4:$JW$40),"",INDEX($EJ$4:$EJ$40,MATCH(ROW()-3,$JW$4:$JW$40,0)))</f>
        <v/>
      </c>
      <c r="JY34">
        <f>IF(COUNTIF('Live Search'!BM$33:CM$33,0)+COUNTIF('Live Search'!CO$33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JZ34">
        <f>IF($EO$34="",FALSE,SUMPRODUCT(('Final Calculation Sheet'!$AA$4:$AA$40=$EO$34)*($JY$6:$JY$42=1))&gt;0)</f>
        <v/>
      </c>
      <c r="KA34">
        <f>$KA$33+--($JZ34)</f>
        <v/>
      </c>
      <c r="KB34">
        <f>IF(ROW()-3&gt;MAX($KA$4:$KA$40),"",INDEX($EO$4:$EO$40,MATCH(ROW()-3,$KA$4:$KA$40,0)))</f>
        <v/>
      </c>
      <c r="KC34">
        <f>IF(COUNTIF('Live Search'!BM$33:CN$33,0)+COUNTIF('Live Search'!CP$33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D34">
        <f>IF($ET$34="",FALSE,SUMPRODUCT(('Final Calculation Sheet'!$AB$4:$AB$40=$ET$34)*($KC$6:$KC$42=1))&gt;0)</f>
        <v/>
      </c>
      <c r="KE34">
        <f>$KE$33+--($KD34)</f>
        <v/>
      </c>
      <c r="KF34">
        <f>IF(ROW()-3&gt;MAX($KE$4:$KE$40),"",INDEX($ET$4:$ET$40,MATCH(ROW()-3,$KE$4:$KE$40,0)))</f>
        <v/>
      </c>
      <c r="KG34">
        <f>IF(COUNTIF('Live Search'!BM$33:CO$33,0)+COUNTIF('Live Search'!CQ$33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H34">
        <f>IF($EY$34="",FALSE,SUMPRODUCT(('Final Calculation Sheet'!$AC$4:$AC$40=$EY$34)*($KG$6:$KG$42=1))&gt;0)</f>
        <v/>
      </c>
      <c r="KI34">
        <f>$KI$33+--($KH34)</f>
        <v/>
      </c>
      <c r="KJ34">
        <f>IF(ROW()-3&gt;MAX($KI$4:$KI$40),"",INDEX($EY$4:$EY$40,MATCH(ROW()-3,$KI$4:$KI$40,0)))</f>
        <v/>
      </c>
      <c r="KK34">
        <f>IF(COUNTIF('Live Search'!BM$33:CP$33,0)+COUNTIF('Live Search'!CR$33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L34">
        <f>IF($FD$34="",FALSE,SUMPRODUCT(('Final Calculation Sheet'!$AD$4:$AD$40=$FD$34)*($KK$6:$KK$42=1))&gt;0)</f>
        <v/>
      </c>
      <c r="KM34">
        <f>$KM$33+--($KL34)</f>
        <v/>
      </c>
      <c r="KN34">
        <f>IF(ROW()-3&gt;MAX($KM$4:$KM$40),"",INDEX($FD$4:$FD$40,MATCH(ROW()-3,$KM$4:$KM$40,0)))</f>
        <v/>
      </c>
      <c r="KO34">
        <f>IF(COUNTIF('Live Search'!BM$33:CT$33,0)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P34">
        <f>IF($FX$34="",FALSE,SUMPRODUCT((IF('Final Calculation Sheet'!$AD$4:$AD$40&lt;=5,"SETTLED","OUTSTANDING")=$FX$34)*($KO$6:$KO$42=1))&gt;0)</f>
        <v/>
      </c>
      <c r="KQ34">
        <f>$KQ$33+--($KP34)</f>
        <v/>
      </c>
      <c r="KR34">
        <f>IF(ROW()-3&gt;MAX($KQ$4:$KQ$40),"",INDEX($FX$4:$FX$40,MATCH(ROW()-3,$KQ$4:$KQ$40,0)))</f>
        <v/>
      </c>
      <c r="KS34">
        <f>IF(COUNTIF('Live Search'!BM$33:CQ$33,0)+COUNTIF('Live Search'!CS$33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T34">
        <f>IF($FI$34="",FALSE,SUMPRODUCT(('Final Calculation Sheet'!$AF$4:$AF$40=$FI$34)*($KS$6:$KS$42=1))&gt;0)</f>
        <v/>
      </c>
      <c r="KU34">
        <f>$KU$33+--($KT34)</f>
        <v/>
      </c>
      <c r="KV34">
        <f>IF(ROW()-3&gt;MAX($KU$4:$KU$40),"",INDEX($FI$4:$FI$40,MATCH(ROW()-3,$KU$4:$KU$40,0)))</f>
        <v/>
      </c>
      <c r="KW34">
        <f>IF(COUNTIF('Live Search'!BM$33:CR$33,0)+COUNTIF('Live Search'!CT$33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KX34">
        <f>IF($FN$34="",FALSE,SUMPRODUCT(('Final Calculation Sheet'!$AG$4:$AG$40=$FN$34)*($KW$6:$KW$42=1))&gt;0)</f>
        <v/>
      </c>
      <c r="KY34">
        <f>$KY$33+--($KX34)</f>
        <v/>
      </c>
      <c r="KZ34">
        <f>IF(ROW()-3&gt;MAX($KY$4:$KY$40),"",INDEX($FN$4:$FN$40,MATCH(ROW()-3,$KY$4:$KY$40,0)))</f>
        <v/>
      </c>
      <c r="LA34">
        <f>IF(COUNTIF('Live Search'!BM$33:CS$33,0)+COUNTIF('Live Search'!CU$33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LB34">
        <f>IF($FS$34="",FALSE,SUMPRODUCT(('Final Calculation Sheet'!$AH$4:$AH$40=$FS$34)*($LA$6:$LA$42=1))&gt;0)</f>
        <v/>
      </c>
      <c r="LC34">
        <f>$LC$33+--($LB34)</f>
        <v/>
      </c>
      <c r="LD34">
        <f>IF(ROW()-3&gt;MAX($LC$4:$LC$40),"",INDEX($FS$4:$FS$40,MATCH(ROW()-3,$LC$4:$LC$40,0)))</f>
        <v/>
      </c>
      <c r="LE34">
        <f>IF(COUNTIF('Buyer Groups'!DH87:EN87,0)&gt;0,0,1)</f>
        <v/>
      </c>
      <c r="LF34">
        <f>IF($O$34="",FALSE,SUMPRODUCT(('Final Calculation Sheet'!$F$4:$F$40=$O$34)*($LE$6:$LE$42=1))&gt;0)</f>
        <v/>
      </c>
      <c r="LG34">
        <f>$LG$33+--($LF34)</f>
        <v/>
      </c>
      <c r="LH34">
        <f>IF(ROW()-3&gt;MAX($LG$4:$LG$40),"",INDEX($O$4:$O$40,MATCH(ROW()-3,$LG$4:$LG$40,0)))</f>
        <v/>
      </c>
      <c r="LI34">
        <f>IF(COUNTIF('Buyer Groups'!DG87:DG87,0)+COUNTIF('Buyer Groups'!DI87:EN87,0)&gt;0,0,1)</f>
        <v/>
      </c>
      <c r="LJ34">
        <f>IF($T$34="",FALSE,SUMPRODUCT(('Final Calculation Sheet'!$G$4:$G$40=$T$34)*($LI$6:$LI$42=1))&gt;0)</f>
        <v/>
      </c>
      <c r="LK34">
        <f>$LK$33+--($LJ34)</f>
        <v/>
      </c>
      <c r="LL34">
        <f>IF(ROW()-3&gt;MAX($LK$4:$LK$40),"",INDEX($T$4:$T$40,MATCH(ROW()-3,$LK$4:$LK$40,0)))</f>
        <v/>
      </c>
      <c r="LM34">
        <f>IF(COUNTIF('Buyer Groups'!DG87:DH87,0)+COUNTIF('Buyer Groups'!DJ87:EN87,0)&gt;0,0,1)</f>
        <v/>
      </c>
      <c r="LN34">
        <f>IF($Y$34="",FALSE,SUMPRODUCT(('Final Calculation Sheet'!$B$4:$B$40=$Y$34)*($LM$6:$LM$42=1))&gt;0)</f>
        <v/>
      </c>
      <c r="LO34">
        <f>$LO$33+--($LN34)</f>
        <v/>
      </c>
      <c r="LP34">
        <f>IF(ROW()-3&gt;MAX($LO$4:$LO$40),"",INDEX($Y$4:$Y$40,MATCH(ROW()-3,$LO$4:$LO$40,0)))</f>
        <v/>
      </c>
      <c r="LQ34">
        <f>IF(COUNTIF('Buyer Groups'!DG87:DI87,0)+COUNTIF('Buyer Groups'!DK87:EN87,0)&gt;0,0,1)</f>
        <v/>
      </c>
      <c r="LR34">
        <f>IF($AD$34="",FALSE,SUMPRODUCT(('Final Calculation Sheet'!$D$4:$D$40=$AD$34)*($LQ$6:$LQ$42=1))&gt;0)</f>
        <v/>
      </c>
      <c r="LS34">
        <f>$LS$33+--($LR34)</f>
        <v/>
      </c>
      <c r="LT34">
        <f>IF(ROW()-3&gt;MAX($LS$4:$LS$40),"",INDEX($AD$4:$AD$40,MATCH(ROW()-3,$LS$4:$LS$40,0)))</f>
        <v/>
      </c>
      <c r="LU34">
        <f>IF(COUNTIF('Buyer Groups'!DG87:DJ87,0)+COUNTIF('Buyer Groups'!DL87:EN87,0)&gt;0,0,1)</f>
        <v/>
      </c>
      <c r="LV34">
        <f>IF($AI$34="",FALSE,SUMPRODUCT(('Final Calculation Sheet'!$A$4:$A$40=$AI$34)*($LU$6:$LU$42=1))&gt;0)</f>
        <v/>
      </c>
      <c r="LW34">
        <f>$LW$33+--($LV34)</f>
        <v/>
      </c>
      <c r="LX34">
        <f>IF(ROW()-3&gt;MAX($LW$4:$LW$40),"",INDEX($AI$4:$AI$40,MATCH(ROW()-3,$LW$4:$LW$40,0)))</f>
        <v/>
      </c>
      <c r="LY34">
        <f>IF(COUNTIF('Buyer Groups'!DG87:DK87,0)+COUNTIF('Buyer Groups'!DM87:EN87,0)&gt;0,0,1)</f>
        <v/>
      </c>
      <c r="LZ34">
        <f>IF($AN$34="",FALSE,SUMPRODUCT(('Final Calculation Sheet'!$E$4:$E$40=$AN$34)*($LY$6:$LY$42=1))&gt;0)</f>
        <v/>
      </c>
      <c r="MA34">
        <f>$MA$33+--($LZ34)</f>
        <v/>
      </c>
      <c r="MB34">
        <f>IF(ROW()-3&gt;MAX($MA$4:$MA$40),"",INDEX($AN$4:$AN$40,MATCH(ROW()-3,$MA$4:$MA$40,0)))</f>
        <v/>
      </c>
      <c r="MC34">
        <f>IF(COUNTIF('Buyer Groups'!DG87:DL87,0)+COUNTIF('Buyer Groups'!DN87:EN87,0)&gt;0,0,1)</f>
        <v/>
      </c>
      <c r="MD34">
        <f>IF($AS$34="",FALSE,SUMPRODUCT(('Final Calculation Sheet'!$C$4:$C$40=$AS$34)*($MC$6:$MC$42=1))&gt;0)</f>
        <v/>
      </c>
      <c r="ME34">
        <f>$ME$33+--($MD34)</f>
        <v/>
      </c>
      <c r="MF34">
        <f>IF(ROW()-3&gt;MAX($ME$4:$ME$40),"",INDEX($AS$4:$AS$40,MATCH(ROW()-3,$ME$4:$ME$40,0)))</f>
        <v/>
      </c>
      <c r="MG34">
        <f>IF(COUNTIF('Buyer Groups'!DG87:DM87,0)+COUNTIF('Buyer Groups'!DO87:EN87,0)&gt;0,0,1)</f>
        <v/>
      </c>
      <c r="MH34">
        <f>IF($AX$34="",FALSE,SUMPRODUCT(('Final Calculation Sheet'!$H$4:$H$40=$AX$34)*($MG$6:$MG$42=1))&gt;0)</f>
        <v/>
      </c>
      <c r="MI34">
        <f>$MI$33+--($MH34)</f>
        <v/>
      </c>
      <c r="MJ34">
        <f>IF(ROW()-3&gt;MAX($MI$4:$MI$40),"",INDEX($AX$4:$AX$40,MATCH(ROW()-3,$MI$4:$MI$40,0)))</f>
        <v/>
      </c>
      <c r="MK34">
        <f>IF(COUNTIF('Buyer Groups'!DG87:DN87,0)+COUNTIF('Buyer Groups'!DP87:EN87,0)&gt;0,0,1)</f>
        <v/>
      </c>
      <c r="ML34">
        <f>IF($BC$34="",FALSE,SUMPRODUCT(('Final Calculation Sheet'!$I$4:$I$40=$BC$34)*($MK$6:$MK$42=1))&gt;0)</f>
        <v/>
      </c>
      <c r="MM34">
        <f>$MM$33+--($ML34)</f>
        <v/>
      </c>
      <c r="MN34">
        <f>IF(ROW()-3&gt;MAX($MM$4:$MM$40),"",INDEX($BC$4:$BC$40,MATCH(ROW()-3,$MM$4:$MM$40,0)))</f>
        <v/>
      </c>
      <c r="MO34">
        <f>IF(COUNTIF('Buyer Groups'!DG87:DO87,0)+COUNTIF('Buyer Groups'!DQ87:EN87,0)&gt;0,0,1)</f>
        <v/>
      </c>
      <c r="MP34">
        <f>IF($BH$34="",FALSE,SUMPRODUCT(('Final Calculation Sheet'!$J$4:$J$40=$BH$34)*($MO$6:$MO$42=1))&gt;0)</f>
        <v/>
      </c>
      <c r="MQ34">
        <f>$MQ$33+--($MP34)</f>
        <v/>
      </c>
      <c r="MR34">
        <f>IF(ROW()-3&gt;MAX($MQ$4:$MQ$40),"",INDEX($BH$4:$BH$40,MATCH(ROW()-3,$MQ$4:$MQ$40,0)))</f>
        <v/>
      </c>
      <c r="MS34">
        <f>IF(COUNTIF('Buyer Groups'!DG87:DP87,0)+COUNTIF('Buyer Groups'!DR87:EN87,0)&gt;0,0,1)</f>
        <v/>
      </c>
      <c r="MT34">
        <f>IF($BM$34="",FALSE,SUMPRODUCT(('Final Calculation Sheet'!$K$4:$K$40=$BM$34)*($MS$6:$MS$42=1))&gt;0)</f>
        <v/>
      </c>
      <c r="MU34">
        <f>$MU$33+--($MT34)</f>
        <v/>
      </c>
      <c r="MV34">
        <f>IF(ROW()-3&gt;MAX($MU$4:$MU$40),"",INDEX($BM$4:$BM$40,MATCH(ROW()-3,$MU$4:$MU$40,0)))</f>
        <v/>
      </c>
      <c r="MW34">
        <f>IF(COUNTIF('Buyer Groups'!DG87:DQ87,0)+COUNTIF('Buyer Groups'!DS87:EN87,0)&gt;0,0,1)</f>
        <v/>
      </c>
      <c r="MX34">
        <f>IF($BR$34="",FALSE,SUMPRODUCT(('Final Calculation Sheet'!$L$4:$L$40=$BR$34)*($MW$6:$MW$42=1))&gt;0)</f>
        <v/>
      </c>
      <c r="MY34">
        <f>$MY$33+--($MX34)</f>
        <v/>
      </c>
      <c r="MZ34">
        <f>IF(ROW()-3&gt;MAX($MY$4:$MY$40),"",INDEX($BR$4:$BR$40,MATCH(ROW()-3,$MY$4:$MY$40,0)))</f>
        <v/>
      </c>
      <c r="NA34">
        <f>IF(COUNTIF('Buyer Groups'!DG87:DR87,0)+COUNTIF('Buyer Groups'!DT87:EN87,0)&gt;0,0,1)</f>
        <v/>
      </c>
      <c r="NB34">
        <f>IF($BW$34="",FALSE,SUMPRODUCT(('Final Calculation Sheet'!$M$4:$M$40=$BW$34)*($NA$6:$NA$42=1))&gt;0)</f>
        <v/>
      </c>
      <c r="NC34">
        <f>$NC$33+--($NB34)</f>
        <v/>
      </c>
      <c r="ND34">
        <f>IF(ROW()-3&gt;MAX($NC$4:$NC$40),"",INDEX($BW$4:$BW$40,MATCH(ROW()-3,$NC$4:$NC$40,0)))</f>
        <v/>
      </c>
      <c r="NE34">
        <f>IF(COUNTIF('Buyer Groups'!DG87:DS87,0)+COUNTIF('Buyer Groups'!DU87:EN87,0)&gt;0,0,1)</f>
        <v/>
      </c>
      <c r="NF34">
        <f>IF($CB$34="",FALSE,SUMPRODUCT(('Final Calculation Sheet'!$N$4:$N$40=$CB$34)*($NE$6:$NE$42=1))&gt;0)</f>
        <v/>
      </c>
      <c r="NG34">
        <f>$NG$33+--($NF34)</f>
        <v/>
      </c>
      <c r="NH34">
        <f>IF(ROW()-3&gt;MAX($NG$4:$NG$40),"",INDEX($CB$4:$CB$40,MATCH(ROW()-3,$NG$4:$NG$40,0)))</f>
        <v/>
      </c>
      <c r="NI34">
        <f>IF(COUNTIF('Buyer Groups'!DG87:DT87,0)+COUNTIF('Buyer Groups'!DV87:EN87,0)&gt;0,0,1)</f>
        <v/>
      </c>
      <c r="NJ34">
        <f>IF($CG$34="",FALSE,SUMPRODUCT(('Final Calculation Sheet'!$O$4:$O$40=$CG$34)*($NI$6:$NI$42=1))&gt;0)</f>
        <v/>
      </c>
      <c r="NK34">
        <f>$NK$33+--($NJ34)</f>
        <v/>
      </c>
      <c r="NL34">
        <f>IF(ROW()-3&gt;MAX($NK$4:$NK$40),"",INDEX($CG$4:$CG$40,MATCH(ROW()-3,$NK$4:$NK$40,0)))</f>
        <v/>
      </c>
      <c r="NM34">
        <f>IF(COUNTIF('Buyer Groups'!DG87:DU87,0)+COUNTIF('Buyer Groups'!DW87:EN87,0)&gt;0,0,1)</f>
        <v/>
      </c>
      <c r="NN34">
        <f>IF($CL$34="",FALSE,SUMPRODUCT(('Final Calculation Sheet'!$P$4:$P$40=$CL$34)*($NM$6:$NM$42=1))&gt;0)</f>
        <v/>
      </c>
      <c r="NO34">
        <f>$NO$33+--($NN34)</f>
        <v/>
      </c>
      <c r="NP34">
        <f>IF(ROW()-3&gt;MAX($NO$4:$NO$40),"",INDEX($CL$4:$CL$40,MATCH(ROW()-3,$NO$4:$NO$40,0)))</f>
        <v/>
      </c>
      <c r="NQ34">
        <f>IF(COUNTIF('Buyer Groups'!DG87:DV87,0)+COUNTIF('Buyer Groups'!DX87:EN87,0)&gt;0,0,1)</f>
        <v/>
      </c>
      <c r="NR34">
        <f>IF($CQ$34="",FALSE,SUMPRODUCT(('Final Calculation Sheet'!$Q$4:$Q$40=$CQ$34)*($NQ$6:$NQ$42=1))&gt;0)</f>
        <v/>
      </c>
      <c r="NS34">
        <f>$NS$33+--($NR34)</f>
        <v/>
      </c>
      <c r="NT34">
        <f>IF(ROW()-3&gt;MAX($NS$4:$NS$40),"",INDEX($CQ$4:$CQ$40,MATCH(ROW()-3,$NS$4:$NS$40,0)))</f>
        <v/>
      </c>
      <c r="NU34">
        <f>IF(COUNTIF('Buyer Groups'!DG87:DW87,0)+COUNTIF('Buyer Groups'!DY87:EN87,0)&gt;0,0,1)</f>
        <v/>
      </c>
      <c r="NV34">
        <f>IF($CV$34="",FALSE,SUMPRODUCT(('Final Calculation Sheet'!$R$4:$R$40=$CV$34)*($NU$6:$NU$42=1))&gt;0)</f>
        <v/>
      </c>
      <c r="NW34">
        <f>$NW$33+--($NV34)</f>
        <v/>
      </c>
      <c r="NX34">
        <f>IF(ROW()-3&gt;MAX($NW$4:$NW$40),"",INDEX($CV$4:$CV$40,MATCH(ROW()-3,$NW$4:$NW$40,0)))</f>
        <v/>
      </c>
      <c r="NY34">
        <f>IF(COUNTIF('Buyer Groups'!DG87:DX87,0)+COUNTIF('Buyer Groups'!DZ87:EN87,0)&gt;0,0,1)</f>
        <v/>
      </c>
      <c r="NZ34">
        <f>IF($DA$34="",FALSE,SUMPRODUCT(('Final Calculation Sheet'!$S$4:$S$40=$DA$34)*($NY$6:$NY$42=1))&gt;0)</f>
        <v/>
      </c>
      <c r="OA34">
        <f>$OA$33+--($NZ34)</f>
        <v/>
      </c>
      <c r="OB34">
        <f>IF(ROW()-3&gt;MAX($OA$4:$OA$40),"",INDEX($DA$4:$DA$40,MATCH(ROW()-3,$OA$4:$OA$40,0)))</f>
        <v/>
      </c>
      <c r="OC34">
        <f>IF(COUNTIF('Buyer Groups'!DG87:DY87,0)+COUNTIF('Buyer Groups'!EA87:EN87,0)&gt;0,0,1)</f>
        <v/>
      </c>
      <c r="OD34">
        <f>IF($DF$34="",FALSE,SUMPRODUCT(('Final Calculation Sheet'!$T$4:$T$40=$DF$34)*($OC$6:$OC$42=1))&gt;0)</f>
        <v/>
      </c>
      <c r="OE34">
        <f>$OE$33+--($OD34)</f>
        <v/>
      </c>
      <c r="OF34">
        <f>IF(ROW()-3&gt;MAX($OE$4:$OE$40),"",INDEX($DF$4:$DF$40,MATCH(ROW()-3,$OE$4:$OE$40,0)))</f>
        <v/>
      </c>
      <c r="OG34">
        <f>IF(COUNTIF('Buyer Groups'!DG87:DZ87,0)+COUNTIF('Buyer Groups'!EB87:EN87,0)&gt;0,0,1)</f>
        <v/>
      </c>
      <c r="OH34">
        <f>IF($DK$34="",FALSE,SUMPRODUCT(('Final Calculation Sheet'!$U$4:$U$40=$DK$34)*($OG$6:$OG$42=1))&gt;0)</f>
        <v/>
      </c>
      <c r="OI34">
        <f>$OI$33+--($OH34)</f>
        <v/>
      </c>
      <c r="OJ34">
        <f>IF(ROW()-3&gt;MAX($OI$4:$OI$40),"",INDEX($DK$4:$DK$40,MATCH(ROW()-3,$OI$4:$OI$40,0)))</f>
        <v/>
      </c>
      <c r="OK34">
        <f>IF(COUNTIF('Buyer Groups'!DG87:EA87,0)+COUNTIF('Buyer Groups'!EC87:EN87,0)&gt;0,0,1)</f>
        <v/>
      </c>
      <c r="OL34">
        <f>IF($DP$34="",FALSE,SUMPRODUCT(('Final Calculation Sheet'!$V$4:$V$40=$DP$34)*($OK$6:$OK$42=1))&gt;0)</f>
        <v/>
      </c>
      <c r="OM34">
        <f>$OM$33+--($OL34)</f>
        <v/>
      </c>
      <c r="ON34">
        <f>IF(ROW()-3&gt;MAX($OM$4:$OM$40),"",INDEX($DP$4:$DP$40,MATCH(ROW()-3,$OM$4:$OM$40,0)))</f>
        <v/>
      </c>
      <c r="OO34">
        <f>IF(COUNTIF('Buyer Groups'!DG87:EB87,0)+COUNTIF('Buyer Groups'!ED87:EN87,0)&gt;0,0,1)</f>
        <v/>
      </c>
      <c r="OP34">
        <f>IF($DU$34="",FALSE,SUMPRODUCT(('Final Calculation Sheet'!$W$4:$W$40=$DU$34)*($OO$6:$OO$42=1))&gt;0)</f>
        <v/>
      </c>
      <c r="OQ34">
        <f>$OQ$33+--($OP34)</f>
        <v/>
      </c>
      <c r="OR34">
        <f>IF(ROW()-3&gt;MAX($OQ$4:$OQ$40),"",INDEX($DU$4:$DU$40,MATCH(ROW()-3,$OQ$4:$OQ$40,0)))</f>
        <v/>
      </c>
      <c r="OS34">
        <f>IF(COUNTIF('Buyer Groups'!DG87:EC87,0)+COUNTIF('Buyer Groups'!EE87:EN87,0)&gt;0,0,1)</f>
        <v/>
      </c>
      <c r="OT34">
        <f>IF($DZ$34="",FALSE,SUMPRODUCT(('Final Calculation Sheet'!$X$4:$X$40=$DZ$34)*($OS$6:$OS$42=1))&gt;0)</f>
        <v/>
      </c>
      <c r="OU34">
        <f>$OU$33+--($OT34)</f>
        <v/>
      </c>
      <c r="OV34">
        <f>IF(ROW()-3&gt;MAX($OU$4:$OU$40),"",INDEX($DZ$4:$DZ$40,MATCH(ROW()-3,$OU$4:$OU$40,0)))</f>
        <v/>
      </c>
      <c r="OW34">
        <f>IF(COUNTIF('Buyer Groups'!DG87:ED87,0)+COUNTIF('Buyer Groups'!EF87:EN87,0)&gt;0,0,1)</f>
        <v/>
      </c>
      <c r="OX34">
        <f>IF($EE$34="",FALSE,SUMPRODUCT(('Final Calculation Sheet'!$Y$4:$Y$40=$EE$34)*($OW$6:$OW$42=1))&gt;0)</f>
        <v/>
      </c>
      <c r="OY34">
        <f>$OY$33+--($OX34)</f>
        <v/>
      </c>
      <c r="OZ34">
        <f>IF(ROW()-3&gt;MAX($OY$4:$OY$40),"",INDEX($EE$4:$EE$40,MATCH(ROW()-3,$OY$4:$OY$40,0)))</f>
        <v/>
      </c>
      <c r="PA34">
        <f>IF(COUNTIF('Buyer Groups'!DG87:EE87,0)+COUNTIF('Buyer Groups'!EG87:EN87,0)&gt;0,0,1)</f>
        <v/>
      </c>
      <c r="PB34">
        <f>IF($EJ$34="",FALSE,SUMPRODUCT(('Final Calculation Sheet'!$Z$4:$Z$40=$EJ$34)*($PA$6:$PA$42=1))&gt;0)</f>
        <v/>
      </c>
      <c r="PC34">
        <f>$PC$33+--($PB34)</f>
        <v/>
      </c>
      <c r="PD34">
        <f>IF(ROW()-3&gt;MAX($PC$4:$PC$40),"",INDEX($EJ$4:$EJ$40,MATCH(ROW()-3,$PC$4:$PC$40,0)))</f>
        <v/>
      </c>
      <c r="PE34">
        <f>IF(COUNTIF('Buyer Groups'!DG87:EF87,0)+COUNTIF('Buyer Groups'!EH87:EN87,0)&gt;0,0,1)</f>
        <v/>
      </c>
      <c r="PF34">
        <f>IF($EO$34="",FALSE,SUMPRODUCT(('Final Calculation Sheet'!$AA$4:$AA$40=$EO$34)*($PE$6:$PE$42=1))&gt;0)</f>
        <v/>
      </c>
      <c r="PG34">
        <f>$PG$33+--($PF34)</f>
        <v/>
      </c>
      <c r="PH34">
        <f>IF(ROW()-3&gt;MAX($PG$4:$PG$40),"",INDEX($EO$4:$EO$40,MATCH(ROW()-3,$PG$4:$PG$40,0)))</f>
        <v/>
      </c>
      <c r="PI34">
        <f>IF(COUNTIF('Buyer Groups'!DG87:EG87,0)+COUNTIF('Buyer Groups'!EI87:EN87,0)&gt;0,0,1)</f>
        <v/>
      </c>
      <c r="PJ34">
        <f>IF($ET$34="",FALSE,SUMPRODUCT(('Final Calculation Sheet'!$AB$4:$AB$40=$ET$34)*($PI$6:$PI$42=1))&gt;0)</f>
        <v/>
      </c>
      <c r="PK34">
        <f>$PK$33+--($PJ34)</f>
        <v/>
      </c>
      <c r="PL34">
        <f>IF(ROW()-3&gt;MAX($PK$4:$PK$40),"",INDEX($ET$4:$ET$40,MATCH(ROW()-3,$PK$4:$PK$40,0)))</f>
        <v/>
      </c>
      <c r="PM34">
        <f>IF(COUNTIF('Buyer Groups'!DG87:EH87,0)+COUNTIF('Buyer Groups'!EJ87:EN87,0)&gt;0,0,1)</f>
        <v/>
      </c>
      <c r="PN34">
        <f>IF($EY$34="",FALSE,SUMPRODUCT(('Final Calculation Sheet'!$AC$4:$AC$40=$EY$34)*($PM$6:$PM$42=1))&gt;0)</f>
        <v/>
      </c>
      <c r="PO34">
        <f>$PO$33+--($PN34)</f>
        <v/>
      </c>
      <c r="PP34">
        <f>IF(ROW()-3&gt;MAX($PO$4:$PO$40),"",INDEX($EY$4:$EY$40,MATCH(ROW()-3,$PO$4:$PO$40,0)))</f>
        <v/>
      </c>
      <c r="PQ34">
        <f>IF(COUNTIF('Buyer Groups'!DG87:EI87,0)+COUNTIF('Buyer Groups'!EK87:EN87,0)&gt;0,0,1)</f>
        <v/>
      </c>
      <c r="PR34">
        <f>IF($FD$34="",FALSE,SUMPRODUCT(('Final Calculation Sheet'!$AD$4:$AD$40=$FD$34)*($PQ$6:$PQ$42=1))&gt;0)</f>
        <v/>
      </c>
      <c r="PS34">
        <f>$PS$33+--($PR34)</f>
        <v/>
      </c>
      <c r="PT34">
        <f>IF(ROW()-3&gt;MAX($PS$4:$PS$40),"",INDEX($FD$4:$FD$40,MATCH(ROW()-3,$PS$4:$PS$40,0)))</f>
        <v/>
      </c>
      <c r="PU34">
        <f>IF(COUNTIF('Buyer Groups'!DG87:EJ87,0)+COUNTIF('Buyer Groups'!EL87:EN87,0)&gt;0,0,1)</f>
        <v/>
      </c>
      <c r="PV34">
        <f>IF($FX$34="",FALSE,SUMPRODUCT((IF('Final Calculation Sheet'!$AD$4:$AD$40&lt;=5,"SETTLED","OUTSTANDING")=$FX$34)*($PU$6:$PU$42=1))&gt;0)</f>
        <v/>
      </c>
      <c r="PW34">
        <f>$PW$33+--($PV34)</f>
        <v/>
      </c>
      <c r="PX34">
        <f>IF(ROW()-3&gt;MAX($PW$4:$PW$40),"",INDEX($FX$4:$FX$40,MATCH(ROW()-3,$PW$4:$PW$40,0)))</f>
        <v/>
      </c>
      <c r="PY34">
        <f>IF(COUNTIF('Buyer Groups'!DG87:EK87,0)+COUNTIF('Buyer Groups'!EM87:EN87,0)&gt;0,0,1)</f>
        <v/>
      </c>
      <c r="PZ34">
        <f>IF($FI$34="",FALSE,SUMPRODUCT(('Final Calculation Sheet'!$AF$4:$AF$40=$FI$34)*($PY$6:$PY$42=1))&gt;0)</f>
        <v/>
      </c>
      <c r="QA34">
        <f>$QA$33+--($PZ34)</f>
        <v/>
      </c>
      <c r="QB34">
        <f>IF(ROW()-3&gt;MAX($QA$4:$QA$40),"",INDEX($FI$4:$FI$40,MATCH(ROW()-3,$QA$4:$QA$40,0)))</f>
        <v/>
      </c>
      <c r="QC34">
        <f>IF(COUNTIF('Buyer Groups'!DG87:EL87,0)+COUNTIF('Buyer Groups'!EN87:EN87,0)&gt;0,0,1)</f>
        <v/>
      </c>
      <c r="QD34">
        <f>IF($FN$34="",FALSE,SUMPRODUCT(('Final Calculation Sheet'!$AG$4:$AG$40=$FN$34)*($QC$6:$QC$42=1))&gt;0)</f>
        <v/>
      </c>
      <c r="QE34">
        <f>$QE$33+--($QD34)</f>
        <v/>
      </c>
      <c r="QF34">
        <f>IF(ROW()-3&gt;MAX($QE$4:$QE$40),"",INDEX($FN$4:$FN$40,MATCH(ROW()-3,$QE$4:$QE$40,0)))</f>
        <v/>
      </c>
      <c r="QG34">
        <f>IF(COUNTIF('Buyer Groups'!DG87:EM87,0)&gt;0,0,1)</f>
        <v/>
      </c>
      <c r="QH34">
        <f>IF($FS$34="",FALSE,SUMPRODUCT(('Final Calculation Sheet'!$AH$4:$AH$40=$FS$34)*($QG$6:$QG$42=1))&gt;0)</f>
        <v/>
      </c>
      <c r="QI34">
        <f>$QI$33+--($QH34)</f>
        <v/>
      </c>
      <c r="QJ34">
        <f>IF(ROW()-3&gt;MAX($QI$4:$QI$40),"",INDEX($FS$4:$FS$40,MATCH(ROW()-3,$QI$4:$QI$40,0)))</f>
        <v/>
      </c>
      <c r="QK34" t="str">
        <f>IF('Final Calculation Sheet'!$AH$34="","",'Final Calculation Sheet'!$AH$34)</f>
      </c>
      <c r="QL34" t="str">
        <f>IF(QK34="","",COUNTIFS(QK$4:QK$40,"&lt;"&amp;QK34,QK$4:QK$40,"&lt;&gt;"&amp;"")+COUNTIF(QK$4:QK34,QK34))</f>
      </c>
      <c r="QM34" t="str">
        <f>IF(ROW()-3&gt;COUNTIF(QK$4:QK$40,"&lt;&gt;"&amp;""),"",INDEX(QK$4:QK$40,MATCH(ROW()-3,QL$4:QL$40,0)))</f>
      </c>
      <c r="QN34" t="str">
        <f>=QN33+F(AND(QM34&lt;&gt;"",COUNTIF(QM$4:QM34,QM34)=1),1,0)</f>
      </c>
      <c r="QO34" t="str">
        <f>IF(ROW()-3&gt;MAX(QN$4:QN$40),"",INDEX(QM$4:QM$40,MATCH(ROW()-3,QN$4:QN$40,0)))</f>
      </c>
      <c r="QP34" t="str">
        <f>IF(COUNTIF('Final Calculation Sheet'!$AM34:$BS34,0)&gt;0,0,1)</f>
      </c>
      <c r="QQ34" t="str">
        <f>IF($AI$34="",FALSE,SUMPRODUCT(('Final Calculation Sheet'!$A$4:$A$40=$AI$34)*($QP$4:$QP$40=1))&gt;0)</f>
      </c>
      <c r="QR34" t="str">
        <f>=$QR33+--($QQ34)</f>
      </c>
      <c r="QS34" t="str">
        <f>IF(ROW()-3&gt;MAX($QR$4:$QR$40),"",INDEX($AI$4:$AI$40,MATCH(ROW()-3,$QR$4:$QR$40,0)))</f>
      </c>
      <c r="QT34" t="str">
        <f>IF(COUNTIF('Final Calculation Sheet'!$AL34:$AL34,0)+COUNTIF('Final Calculation Sheet'!$AN34:$BS34,0)&gt;0,0,1)</f>
      </c>
      <c r="QU34" t="str">
        <f>IF($Y$34="",FALSE,SUMPRODUCT(('Final Calculation Sheet'!$B$4:$B$40=$Y$34)*($QT$4:$QT$40=1))&gt;0)</f>
      </c>
      <c r="QV34" t="str">
        <f>=$QV33+--($QU34)</f>
      </c>
      <c r="QW34" t="str">
        <f>IF(ROW()-3&gt;MAX($QV$4:$QV$40),"",INDEX($Y$4:$Y$40,MATCH(ROW()-3,$QV$4:$QV$40,0)))</f>
      </c>
      <c r="QX34" t="str">
        <f>IF(COUNTIF('Final Calculation Sheet'!$AL34:$AM34,0)+COUNTIF('Final Calculation Sheet'!$AO34:$BS34,0)&gt;0,0,1)</f>
      </c>
      <c r="QY34" t="str">
        <f>IF($AS$34="",FALSE,SUMPRODUCT(('Final Calculation Sheet'!$C$4:$C$40=$AS$34)*($QX$4:$QX$40=1))&gt;0)</f>
      </c>
      <c r="QZ34" t="str">
        <f>=$QZ33+--($QY34)</f>
      </c>
      <c r="RA34" t="str">
        <f>IF(ROW()-3&gt;MAX($QZ$4:$QZ$40),"",INDEX($AS$4:$AS$40,MATCH(ROW()-3,$QZ$4:$QZ$40,0)))</f>
      </c>
      <c r="RB34" t="str">
        <f>IF(COUNTIF('Final Calculation Sheet'!$AL34:$AN34,0)+COUNTIF('Final Calculation Sheet'!$AP34:$BS34,0)&gt;0,0,1)</f>
      </c>
      <c r="RC34" t="str">
        <f>IF($AD$34="",FALSE,SUMPRODUCT(('Final Calculation Sheet'!$D$4:$D$40=$AD$34)*($RB$4:$RB$40=1))&gt;0)</f>
      </c>
      <c r="RD34" t="str">
        <f>=$RD33+--($RC34)</f>
      </c>
      <c r="RE34" t="str">
        <f>IF(ROW()-3&gt;MAX($RD$4:$RD$40),"",INDEX($AD$4:$AD$40,MATCH(ROW()-3,$RD$4:$RD$40,0)))</f>
      </c>
      <c r="RF34" t="str">
        <f>IF(COUNTIF('Final Calculation Sheet'!$AL34:$AO34,0)+COUNTIF('Final Calculation Sheet'!$AQ34:$BS34,0)&gt;0,0,1)</f>
      </c>
      <c r="RG34" t="str">
        <f>IF($AN$34="",FALSE,SUMPRODUCT(('Final Calculation Sheet'!$E$4:$E$40=$AN$34)*($RF$4:$RF$40=1))&gt;0)</f>
      </c>
      <c r="RH34" t="str">
        <f>=$RH33+--($RG34)</f>
      </c>
      <c r="RI34" t="str">
        <f>IF(ROW()-3&gt;MAX($RH$4:$RH$40),"",INDEX($AN$4:$AN$40,MATCH(ROW()-3,$RH$4:$RH$40,0)))</f>
      </c>
      <c r="RJ34" t="str">
        <f>IF(COUNTIF('Final Calculation Sheet'!$AL34:$AP34,0)+COUNTIF('Final Calculation Sheet'!$AR34:$BS34,0)&gt;0,0,1)</f>
      </c>
      <c r="RK34" t="str">
        <f>IF($O$34="",FALSE,SUMPRODUCT(('Final Calculation Sheet'!$F$4:$F$40=$O$34)*($RJ$4:$RJ$40=1))&gt;0)</f>
      </c>
      <c r="RL34" t="str">
        <f>=$RL33+--($RK34)</f>
      </c>
      <c r="RM34" t="str">
        <f>IF(ROW()-3&gt;MAX($RL$4:$RL$40),"",INDEX($O$4:$O$40,MATCH(ROW()-3,$RL$4:$RL$40,0)))</f>
      </c>
      <c r="RN34" t="str">
        <f>IF(COUNTIF('Final Calculation Sheet'!$AL34:$AQ34,0)+COUNTIF('Final Calculation Sheet'!$AS34:$BS34,0)&gt;0,0,1)</f>
      </c>
      <c r="RO34" t="str">
        <f>IF($T$34="",FALSE,SUMPRODUCT(('Final Calculation Sheet'!$G$4:$G$40=$T$34)*($RN$4:$RN$40=1))&gt;0)</f>
      </c>
      <c r="RP34" t="str">
        <f>=$RP33+--($RO34)</f>
      </c>
      <c r="RQ34" t="str">
        <f>IF(ROW()-3&gt;MAX($RP$4:$RP$40),"",INDEX($T$4:$T$40,MATCH(ROW()-3,$RP$4:$RP$40,0)))</f>
      </c>
      <c r="RR34" t="str">
        <f>IF(COUNTIF('Final Calculation Sheet'!$AL34:$AR34,0)+COUNTIF('Final Calculation Sheet'!$AT34:$BS34,0)&gt;0,0,1)</f>
      </c>
      <c r="RS34" t="str">
        <f>IF($AX$34="",FALSE,SUMPRODUCT(('Final Calculation Sheet'!$H$4:$H$40=$AX$34)*($RR$4:$RR$40=1))&gt;0)</f>
      </c>
      <c r="RT34" t="str">
        <f>=$RT33+--($RS34)</f>
      </c>
      <c r="RU34" t="str">
        <f>IF(ROW()-3&gt;MAX($RT$4:$RT$40),"",INDEX($AX$4:$AX$40,MATCH(ROW()-3,$RT$4:$RT$40,0)))</f>
      </c>
      <c r="RV34" t="str">
        <f>IF(COUNTIF('Final Calculation Sheet'!$AL34:$AS34,0)+COUNTIF('Final Calculation Sheet'!$AU34:$BS34,0)&gt;0,0,1)</f>
      </c>
      <c r="RW34" t="str">
        <f>IF($BC$34="",FALSE,SUMPRODUCT(('Final Calculation Sheet'!$I$4:$I$40=$BC$34)*($RV$4:$RV$40=1))&gt;0)</f>
      </c>
      <c r="RX34" t="str">
        <f>=$RX33+--($RW34)</f>
      </c>
      <c r="RY34" t="str">
        <f>IF(ROW()-3&gt;MAX($RX$4:$RX$40),"",INDEX($BC$4:$BC$40,MATCH(ROW()-3,$RX$4:$RX$40,0)))</f>
      </c>
      <c r="RZ34" t="str">
        <f>IF(COUNTIF('Final Calculation Sheet'!$AL34:$AT34,0)+COUNTIF('Final Calculation Sheet'!$AV34:$BS34,0)&gt;0,0,1)</f>
      </c>
      <c r="SA34" t="str">
        <f>IF($BH$34="",FALSE,SUMPRODUCT(('Final Calculation Sheet'!$J$4:$J$40=$BH$34)*($RZ$4:$RZ$40=1))&gt;0)</f>
      </c>
      <c r="SB34" t="str">
        <f>=$SB33+--($SA34)</f>
      </c>
      <c r="SC34" t="str">
        <f>IF(ROW()-3&gt;MAX($SB$4:$SB$40),"",INDEX($BH$4:$BH$40,MATCH(ROW()-3,$SB$4:$SB$40,0)))</f>
      </c>
      <c r="SD34" t="str">
        <f>IF(COUNTIF('Final Calculation Sheet'!$AL34:$AU34,0)+COUNTIF('Final Calculation Sheet'!$AW34:$BS34,0)&gt;0,0,1)</f>
      </c>
      <c r="SE34" t="str">
        <f>IF($BM$34="",FALSE,SUMPRODUCT(('Final Calculation Sheet'!$K$4:$K$40=$BM$34)*($SD$4:$SD$40=1))&gt;0)</f>
      </c>
      <c r="SF34" t="str">
        <f>=$SF33+--($SE34)</f>
      </c>
      <c r="SG34" t="str">
        <f>IF(ROW()-3&gt;MAX($SF$4:$SF$40),"",INDEX($BM$4:$BM$40,MATCH(ROW()-3,$SF$4:$SF$40,0)))</f>
      </c>
      <c r="SH34" t="str">
        <f>IF(COUNTIF('Final Calculation Sheet'!$AL34:$AV34,0)+COUNTIF('Final Calculation Sheet'!$AX34:$BS34,0)&gt;0,0,1)</f>
      </c>
      <c r="SI34" t="str">
        <f>IF($BR$34="",FALSE,SUMPRODUCT(('Final Calculation Sheet'!$L$4:$L$40=$BR$34)*($SH$4:$SH$40=1))&gt;0)</f>
      </c>
      <c r="SJ34" t="str">
        <f>=$SJ33+--($SI34)</f>
      </c>
      <c r="SK34" t="str">
        <f>IF(ROW()-3&gt;MAX($SJ$4:$SJ$40),"",INDEX($BR$4:$BR$40,MATCH(ROW()-3,$SJ$4:$SJ$40,0)))</f>
      </c>
      <c r="SL34" t="str">
        <f>IF(COUNTIF('Final Calculation Sheet'!$AL34:$AW34,0)+COUNTIF('Final Calculation Sheet'!$AY34:$BS34,0)&gt;0,0,1)</f>
      </c>
      <c r="SM34" t="str">
        <f>IF($BW$34="",FALSE,SUMPRODUCT(('Final Calculation Sheet'!$M$4:$M$40=$BW$34)*($SL$4:$SL$40=1))&gt;0)</f>
      </c>
      <c r="SN34" t="str">
        <f>=$SN33+--($SM34)</f>
      </c>
      <c r="SO34" t="str">
        <f>IF(ROW()-3&gt;MAX($SN$4:$SN$40),"",INDEX($BW$4:$BW$40,MATCH(ROW()-3,$SN$4:$SN$40,0)))</f>
      </c>
      <c r="SP34" t="str">
        <f>IF(COUNTIF('Final Calculation Sheet'!$AL34:$AX34,0)+COUNTIF('Final Calculation Sheet'!$AZ34:$BS34,0)&gt;0,0,1)</f>
      </c>
      <c r="SQ34" t="str">
        <f>IF($CB$34="",FALSE,SUMPRODUCT(('Final Calculation Sheet'!$N$4:$N$40=$CB$34)*($SP$4:$SP$40=1))&gt;0)</f>
      </c>
      <c r="SR34" t="str">
        <f>=$SR33+--($SQ34)</f>
      </c>
      <c r="SS34" t="str">
        <f>IF(ROW()-3&gt;MAX($SR$4:$SR$40),"",INDEX($CB$4:$CB$40,MATCH(ROW()-3,$SR$4:$SR$40,0)))</f>
      </c>
      <c r="ST34" t="str">
        <f>IF(COUNTIF('Final Calculation Sheet'!$AL34:$AY34,0)+COUNTIF('Final Calculation Sheet'!$BA34:$BS34,0)&gt;0,0,1)</f>
      </c>
      <c r="SU34" t="str">
        <f>IF($CG$34="",FALSE,SUMPRODUCT(('Final Calculation Sheet'!$O$4:$O$40=$CG$34)*($ST$4:$ST$40=1))&gt;0)</f>
      </c>
      <c r="SV34" t="str">
        <f>=$SV33+--($SU34)</f>
      </c>
      <c r="SW34" t="str">
        <f>IF(ROW()-3&gt;MAX($SV$4:$SV$40),"",INDEX($CG$4:$CG$40,MATCH(ROW()-3,$SV$4:$SV$40,0)))</f>
      </c>
      <c r="SX34" t="str">
        <f>IF(COUNTIF('Final Calculation Sheet'!$AL34:$AZ34,0)+COUNTIF('Final Calculation Sheet'!$BB34:$BS34,0)&gt;0,0,1)</f>
      </c>
      <c r="SY34" t="str">
        <f>IF($CL$34="",FALSE,SUMPRODUCT(('Final Calculation Sheet'!$P$4:$P$40=$CL$34)*($SX$4:$SX$40=1))&gt;0)</f>
      </c>
      <c r="SZ34" t="str">
        <f>=$SZ33+--($SY34)</f>
      </c>
      <c r="TA34" t="str">
        <f>IF(ROW()-3&gt;MAX($SZ$4:$SZ$40),"",INDEX($CL$4:$CL$40,MATCH(ROW()-3,$SZ$4:$SZ$40,0)))</f>
      </c>
      <c r="TB34" t="str">
        <f>IF(COUNTIF('Final Calculation Sheet'!$AL34:$BA34,0)+COUNTIF('Final Calculation Sheet'!$BC34:$BS34,0)&gt;0,0,1)</f>
      </c>
      <c r="TC34" t="str">
        <f>IF($CQ$34="",FALSE,SUMPRODUCT(('Final Calculation Sheet'!$Q$4:$Q$40=$CQ$34)*($TB$4:$TB$40=1))&gt;0)</f>
      </c>
      <c r="TD34" t="str">
        <f>=$TD33+--($TC34)</f>
      </c>
      <c r="TE34" t="str">
        <f>IF(ROW()-3&gt;MAX($TD$4:$TD$40),"",INDEX($CQ$4:$CQ$40,MATCH(ROW()-3,$TD$4:$TD$40,0)))</f>
      </c>
      <c r="TF34" t="str">
        <f>IF(COUNTIF('Final Calculation Sheet'!$AL34:$BB34,0)+COUNTIF('Final Calculation Sheet'!$BD34:$BS34,0)&gt;0,0,1)</f>
      </c>
      <c r="TG34" t="str">
        <f>IF($CV$34="",FALSE,SUMPRODUCT(('Final Calculation Sheet'!$R$4:$R$40=$CV$34)*($TF$4:$TF$40=1))&gt;0)</f>
      </c>
      <c r="TH34" t="str">
        <f>=$TH33+--($TG34)</f>
      </c>
      <c r="TI34" t="str">
        <f>IF(ROW()-3&gt;MAX($TH$4:$TH$40),"",INDEX($CV$4:$CV$40,MATCH(ROW()-3,$TH$4:$TH$40,0)))</f>
      </c>
      <c r="TJ34" t="str">
        <f>IF(COUNTIF('Final Calculation Sheet'!$AL34:$BC34,0)+COUNTIF('Final Calculation Sheet'!$BE34:$BS34,0)&gt;0,0,1)</f>
      </c>
      <c r="TK34" t="str">
        <f>IF($DA$34="",FALSE,SUMPRODUCT(('Final Calculation Sheet'!$S$4:$S$40=$DA$34)*($TJ$4:$TJ$40=1))&gt;0)</f>
      </c>
      <c r="TL34" t="str">
        <f>=$TL33+--($TK34)</f>
      </c>
      <c r="TM34" t="str">
        <f>IF(ROW()-3&gt;MAX($TL$4:$TL$40),"",INDEX($DA$4:$DA$40,MATCH(ROW()-3,$TL$4:$TL$40,0)))</f>
      </c>
      <c r="TN34" t="str">
        <f>IF(COUNTIF('Final Calculation Sheet'!$AL34:$BD34,0)+COUNTIF('Final Calculation Sheet'!$BF34:$BS34,0)&gt;0,0,1)</f>
      </c>
      <c r="TO34" t="str">
        <f>IF($DF$34="",FALSE,SUMPRODUCT(('Final Calculation Sheet'!$T$4:$T$40=$DF$34)*($TN$4:$TN$40=1))&gt;0)</f>
      </c>
      <c r="TP34" t="str">
        <f>=$TP33+--($TO34)</f>
      </c>
      <c r="TQ34" t="str">
        <f>IF(ROW()-3&gt;MAX($TP$4:$TP$40),"",INDEX($DF$4:$DF$40,MATCH(ROW()-3,$TP$4:$TP$40,0)))</f>
      </c>
      <c r="TR34" t="str">
        <f>IF(COUNTIF('Final Calculation Sheet'!$AL34:$BE34,0)+COUNTIF('Final Calculation Sheet'!$BG34:$BS34,0)&gt;0,0,1)</f>
      </c>
      <c r="TS34" t="str">
        <f>IF($DK$34="",FALSE,SUMPRODUCT(('Final Calculation Sheet'!$U$4:$U$40=$DK$34)*($TR$4:$TR$40=1))&gt;0)</f>
      </c>
      <c r="TT34" t="str">
        <f>=$TT33+--($TS34)</f>
      </c>
      <c r="TU34" t="str">
        <f>IF(ROW()-3&gt;MAX($TT$4:$TT$40),"",INDEX($DK$4:$DK$40,MATCH(ROW()-3,$TT$4:$TT$40,0)))</f>
      </c>
      <c r="TV34" t="str">
        <f>IF(COUNTIF('Final Calculation Sheet'!$AL34:$BF34,0)+COUNTIF('Final Calculation Sheet'!$BH34:$BS34,0)&gt;0,0,1)</f>
      </c>
      <c r="TW34" t="str">
        <f>IF($DP$34="",FALSE,SUMPRODUCT(('Final Calculation Sheet'!$V$4:$V$40=$DP$34)*($TV$4:$TV$40=1))&gt;0)</f>
      </c>
      <c r="TX34" t="str">
        <f>=$TX33+--($TW34)</f>
      </c>
      <c r="TY34" t="str">
        <f>IF(ROW()-3&gt;MAX($TX$4:$TX$40),"",INDEX($DP$4:$DP$40,MATCH(ROW()-3,$TX$4:$TX$40,0)))</f>
      </c>
      <c r="TZ34" t="str">
        <f>IF(COUNTIF('Final Calculation Sheet'!$AL34:$BG34,0)+COUNTIF('Final Calculation Sheet'!$BI34:$BS34,0)&gt;0,0,1)</f>
      </c>
      <c r="UA34" t="str">
        <f>IF($DU$34="",FALSE,SUMPRODUCT(('Final Calculation Sheet'!$W$4:$W$40=$DU$34)*($TZ$4:$TZ$40=1))&gt;0)</f>
      </c>
      <c r="UB34" t="str">
        <f>=$UB33+--($UA34)</f>
      </c>
      <c r="UC34" t="str">
        <f>IF(ROW()-3&gt;MAX($UB$4:$UB$40),"",INDEX($DU$4:$DU$40,MATCH(ROW()-3,$UB$4:$UB$40,0)))</f>
      </c>
      <c r="UD34" t="str">
        <f>IF(COUNTIF('Final Calculation Sheet'!$AL34:$BH34,0)+COUNTIF('Final Calculation Sheet'!$BJ34:$BS34,0)&gt;0,0,1)</f>
      </c>
      <c r="UE34" t="str">
        <f>IF($DZ$34="",FALSE,SUMPRODUCT(('Final Calculation Sheet'!$X$4:$X$40=$DZ$34)*($UD$4:$UD$40=1))&gt;0)</f>
      </c>
      <c r="UF34" t="str">
        <f>=$UF33+--($UE34)</f>
      </c>
      <c r="UG34" t="str">
        <f>IF(ROW()-3&gt;MAX($UF$4:$UF$40),"",INDEX($DZ$4:$DZ$40,MATCH(ROW()-3,$UF$4:$UF$40,0)))</f>
      </c>
      <c r="UH34" t="str">
        <f>IF(COUNTIF('Final Calculation Sheet'!$AL34:$BI34,0)+COUNTIF('Final Calculation Sheet'!$BK34:$BS34,0)&gt;0,0,1)</f>
      </c>
      <c r="UI34" t="str">
        <f>IF($EE$34="",FALSE,SUMPRODUCT(('Final Calculation Sheet'!$Y$4:$Y$40=$EE$34)*($UH$4:$UH$40=1))&gt;0)</f>
      </c>
      <c r="UJ34" t="str">
        <f>=$UJ33+--($UI34)</f>
      </c>
      <c r="UK34" t="str">
        <f>IF(ROW()-3&gt;MAX($UJ$4:$UJ$40),"",INDEX($EE$4:$EE$40,MATCH(ROW()-3,$UJ$4:$UJ$40,0)))</f>
      </c>
      <c r="UL34" t="str">
        <f>IF(COUNTIF('Final Calculation Sheet'!$AL34:$BJ34,0)+COUNTIF('Final Calculation Sheet'!$BL34:$BS34,0)&gt;0,0,1)</f>
      </c>
      <c r="UM34" t="str">
        <f>IF($EJ$34="",FALSE,SUMPRODUCT(('Final Calculation Sheet'!$Z$4:$Z$40=$EJ$34)*($UL$4:$UL$40=1))&gt;0)</f>
      </c>
      <c r="UN34" t="str">
        <f>=$UN33+--($UM34)</f>
      </c>
      <c r="UO34" t="str">
        <f>IF(ROW()-3&gt;MAX($UN$4:$UN$40),"",INDEX($EJ$4:$EJ$40,MATCH(ROW()-3,$UN$4:$UN$40,0)))</f>
      </c>
      <c r="UP34" t="str">
        <f>IF(COUNTIF('Final Calculation Sheet'!$AL34:$BK34,0)+COUNTIF('Final Calculation Sheet'!$BM34:$BS34,0)&gt;0,0,1)</f>
      </c>
      <c r="UQ34" t="str">
        <f>IF($EO$34="",FALSE,SUMPRODUCT(('Final Calculation Sheet'!$AA$4:$AA$40=$EO$34)*($UP$4:$UP$40=1))&gt;0)</f>
      </c>
      <c r="UR34" t="str">
        <f>=$UR33+--($UQ34)</f>
      </c>
      <c r="US34" t="str">
        <f>IF(ROW()-3&gt;MAX($UR$4:$UR$40),"",INDEX($EO$4:$EO$40,MATCH(ROW()-3,$UR$4:$UR$40,0)))</f>
      </c>
      <c r="UT34" t="str">
        <f>IF(COUNTIF('Final Calculation Sheet'!$AL34:$BL34,0)+COUNTIF('Final Calculation Sheet'!$BN34:$BS34,0)&gt;0,0,1)</f>
      </c>
      <c r="UU34" t="str">
        <f>IF($ET$34="",FALSE,SUMPRODUCT(('Final Calculation Sheet'!$AB$4:$AB$40=$ET$34)*($UT$4:$UT$40=1))&gt;0)</f>
      </c>
      <c r="UV34" t="str">
        <f>=$UV33+--($UU34)</f>
      </c>
      <c r="UW34" t="str">
        <f>IF(ROW()-3&gt;MAX($UV$4:$UV$40),"",INDEX($ET$4:$ET$40,MATCH(ROW()-3,$UV$4:$UV$40,0)))</f>
      </c>
      <c r="UX34" t="str">
        <f>IF(COUNTIF('Final Calculation Sheet'!$AL34:$BM34,0)+COUNTIF('Final Calculation Sheet'!$BO34:$BS34,0)&gt;0,0,1)</f>
      </c>
      <c r="UY34" t="str">
        <f>IF($EY$34="",FALSE,SUMPRODUCT(('Final Calculation Sheet'!$AC$4:$AC$40=$EY$34)*($UX$4:$UX$40=1))&gt;0)</f>
      </c>
      <c r="UZ34" t="str">
        <f>=$UZ33+--($UY34)</f>
      </c>
      <c r="VA34" t="str">
        <f>IF(ROW()-3&gt;MAX($UZ$4:$UZ$40),"",INDEX($EY$4:$EY$40,MATCH(ROW()-3,$UZ$4:$UZ$40,0)))</f>
      </c>
      <c r="VB34" t="str">
        <f>IF(COUNTIF('Final Calculation Sheet'!$AL34:$BN34,0)+COUNTIF('Final Calculation Sheet'!$BP34:$BS34,0)&gt;0,0,1)</f>
      </c>
      <c r="VC34" t="str">
        <f>IF($FD$34="",FALSE,SUMPRODUCT(('Final Calculation Sheet'!$AD$4:$AD$40=$FD$34)*($VB$4:$VB$40=1))&gt;0)</f>
      </c>
      <c r="VD34" t="str">
        <f>=$VD33+--($VC34)</f>
      </c>
      <c r="VE34" t="str">
        <f>IF(ROW()-3&gt;MAX($VD$4:$VD$40),"",INDEX($FD$4:$FD$40,MATCH(ROW()-3,$VD$4:$VD$40,0)))</f>
      </c>
      <c r="VF34" t="str">
        <f>IF(COUNTIF('Final Calculation Sheet'!$AL34:$BO34,0)+COUNTIF('Final Calculation Sheet'!$BQ34:$BS34,0)&gt;0,0,1)</f>
      </c>
      <c r="VG34" t="str">
        <f>IF($FI$34="",FALSE,SUMPRODUCT(('Final Calculation Sheet'!$AE$4:$AE$40=$FI$34)*($VF$4:$VF$40=1))&gt;0)</f>
      </c>
      <c r="VH34" t="str">
        <f>=$VH33+--($VG34)</f>
      </c>
      <c r="VI34" t="str">
        <f>IF(ROW()-3&gt;MAX($VH$4:$VH$40),"",INDEX($FI$4:$FI$40,MATCH(ROW()-3,$VH$4:$VH$40,0)))</f>
      </c>
      <c r="VJ34" t="str">
        <f>IF(COUNTIF('Final Calculation Sheet'!$AL34:$BP34,0)+COUNTIF('Final Calculation Sheet'!$BR34:$BS34,0)&gt;0,0,1)</f>
      </c>
      <c r="VK34" t="str">
        <f>IF($FN$34="",FALSE,SUMPRODUCT(('Final Calculation Sheet'!$AF$4:$AF$40=$FN$34)*($VJ$4:$VJ$40=1))&gt;0)</f>
      </c>
      <c r="VL34" t="str">
        <f>=$VL33+--($VK34)</f>
      </c>
      <c r="VM34" t="str">
        <f>IF(ROW()-3&gt;MAX($VL$4:$VL$40),"",INDEX($FN$4:$FN$40,MATCH(ROW()-3,$VL$4:$VL$40,0)))</f>
      </c>
      <c r="VN34" t="str">
        <f>IF(COUNTIF('Final Calculation Sheet'!$AL34:$BQ34,0)+COUNTIF('Final Calculation Sheet'!$BS34:$BS34,0)&gt;0,0,1)</f>
      </c>
      <c r="VO34" t="str">
        <f>IF($FS$34="",FALSE,SUMPRODUCT(('Final Calculation Sheet'!$AG$4:$AG$40=$FS$34)*($VN$4:$VN$40=1))&gt;0)</f>
      </c>
      <c r="VP34" t="str">
        <f>=$VP33+--($VO34)</f>
      </c>
      <c r="VQ34" t="str">
        <f>IF(ROW()-3&gt;MAX($VP$4:$VP$40),"",INDEX($FS$4:$FS$40,MATCH(ROW()-3,$VP$4:$VP$40,0)))</f>
      </c>
      <c r="VR34" t="str">
        <f>IF(COUNTIF('Final Calculation Sheet'!$AL34:$BR34,0)&gt;0,0,1)</f>
      </c>
      <c r="VS34" t="str">
        <f>IF($QO$34="",FALSE,SUMPRODUCT(('Final Calculation Sheet'!$AH$4:$AH$40=$QO$34)*($VR$4:$VR$40=1))&gt;0)</f>
      </c>
      <c r="VT34" t="str">
        <f>=$VT33+--($VS34)</f>
      </c>
      <c r="VU34" t="str">
        <f>IF(ROW()-3&gt;MAX($VT$4:$VT$40),"",INDEX($QO$4:$QO$40,MATCH(ROW()-3,$VT$4:$VT$40,0)))</f>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IF(COUNTIF('Live Search'!BM$34:BM$34,0)+COUNTIF('Live Search'!B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D35">
        <f>IF($O$35="",FALSE,SUMPRODUCT(('Final Calculation Sheet'!$F$4:$F$40=$O$35)*($GC$6:$GC$42=1))&gt;0)</f>
        <v/>
      </c>
      <c r="GE35">
        <f>$GE$34+--($GD35)</f>
        <v/>
      </c>
      <c r="GF35">
        <f>IF(ROW()-3&gt;MAX($GE$4:$GE$40),"",INDEX($O$4:$O$40,MATCH(ROW()-3,$GE$4:$GE$40,0)))</f>
        <v/>
      </c>
      <c r="GG35">
        <f>IF(COUNTIF('Live Search'!BM$34:BN$34,0)+COUNTIF('Live Search'!B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H35">
        <f>IF($T$35="",FALSE,SUMPRODUCT(('Final Calculation Sheet'!$G$4:$G$40=$T$35)*($GG$6:$GG$42=1))&gt;0)</f>
        <v/>
      </c>
      <c r="GI35">
        <f>$GI$34+--($GH35)</f>
        <v/>
      </c>
      <c r="GJ35">
        <f>IF(ROW()-3&gt;MAX($GI$4:$GI$40),"",INDEX($T$4:$T$40,MATCH(ROW()-3,$GI$4:$GI$40,0)))</f>
        <v/>
      </c>
      <c r="GK35">
        <f>IF(COUNTIF('Live Search'!BM$34:BP$34,0)+COUNTIF('Live Search'!B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L35">
        <f>IF($AD$35="",FALSE,SUMPRODUCT(('Final Calculation Sheet'!$D$4:$D$40=$AD$35)*($GK$6:$GK$42=1))&gt;0)</f>
        <v/>
      </c>
      <c r="GM35">
        <f>$GM$34+--($GL35)</f>
        <v/>
      </c>
      <c r="GN35">
        <f>IF(ROW()-3&gt;MAX($GM$4:$GM$40),"",INDEX($AD$4:$AD$40,MATCH(ROW()-3,$GM$4:$GM$40,0)))</f>
        <v/>
      </c>
      <c r="GO35">
        <f>IF(COUNTIF('Live Search'!BM$34:BQ$34,0)+COUNTIF('Live Search'!B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P35">
        <f>IF($AI$35="",FALSE,SUMPRODUCT(('Final Calculation Sheet'!$A$4:$A$40=$AI$35)*($GO$6:$GO$42=1))&gt;0)</f>
        <v/>
      </c>
      <c r="GQ35">
        <f>$GQ$34+--($GP35)</f>
        <v/>
      </c>
      <c r="GR35">
        <f>IF(ROW()-3&gt;MAX($GQ$4:$GQ$40),"",INDEX($AI$4:$AI$40,MATCH(ROW()-3,$GQ$4:$GQ$40,0)))</f>
        <v/>
      </c>
      <c r="GS35">
        <f>IF(COUNTIF('Live Search'!BM$34:BR$34,0)+COUNTIF('Live Search'!B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T35">
        <f>IF($AN$35="",FALSE,SUMPRODUCT(('Final Calculation Sheet'!$E$4:$E$40=$AN$35)*($GS$6:$GS$42=1))&gt;0)</f>
        <v/>
      </c>
      <c r="GU35">
        <f>$GU$34+--($GT35)</f>
        <v/>
      </c>
      <c r="GV35">
        <f>IF(ROW()-3&gt;MAX($GU$4:$GU$40),"",INDEX($AN$4:$AN$40,MATCH(ROW()-3,$GU$4:$GU$40,0)))</f>
        <v/>
      </c>
      <c r="GW35">
        <f>IF(COUNTIF('Live Search'!BM$34:BS$34,0)+COUNTIF('Live Search'!B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GX35">
        <f>IF($AS$35="",FALSE,SUMPRODUCT(('Final Calculation Sheet'!$C$4:$C$40=$AS$35)*($GW$6:$GW$42=1))&gt;0)</f>
        <v/>
      </c>
      <c r="GY35">
        <f>$GY$34+--($GX35)</f>
        <v/>
      </c>
      <c r="GZ35">
        <f>IF(ROW()-3&gt;MAX($GY$4:$GY$40),"",INDEX($AS$4:$AS$40,MATCH(ROW()-3,$GY$4:$GY$40,0)))</f>
        <v/>
      </c>
      <c r="HA35">
        <f>IF(COUNTIF('Live Search'!BM$34:BT$34,0)+COUNTIF('Live Search'!BV$34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B35">
        <f>IF($AX$35="",FALSE,SUMPRODUCT(('Final Calculation Sheet'!$H$4:$H$40=$AX$35)*($HA$6:$HA$42=1))&gt;0)</f>
        <v/>
      </c>
      <c r="HC35">
        <f>$HC$34+--($HB35)</f>
        <v/>
      </c>
      <c r="HD35">
        <f>IF(ROW()-3&gt;MAX($HC$4:$HC$40),"",INDEX($AX$4:$AX$40,MATCH(ROW()-3,$HC$4:$HC$40,0)))</f>
        <v/>
      </c>
      <c r="HE35">
        <f>IF(COUNTIF('Live Search'!BM$34:BU$34,0)+COUNTIF('Live Search'!BW$34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F35">
        <f>IF($BC$35="",FALSE,SUMPRODUCT(('Final Calculation Sheet'!$I$4:$I$40=$BC$35)*($HE$6:$HE$42=1))&gt;0)</f>
        <v/>
      </c>
      <c r="HG35">
        <f>$HG$34+--($HF35)</f>
        <v/>
      </c>
      <c r="HH35">
        <f>IF(ROW()-3&gt;MAX($HG$4:$HG$40),"",INDEX($BC$4:$BC$40,MATCH(ROW()-3,$HG$4:$HG$40,0)))</f>
        <v/>
      </c>
      <c r="HI35">
        <f>IF(COUNTIF('Live Search'!BM$34:BV$34,0)+COUNTIF('Live Search'!BX$34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J35">
        <f>IF($BH$35="",FALSE,SUMPRODUCT(('Final Calculation Sheet'!$J$4:$J$40=$BH$35)*($HI$6:$HI$42=1))&gt;0)</f>
        <v/>
      </c>
      <c r="HK35">
        <f>$HK$34+--($HJ35)</f>
        <v/>
      </c>
      <c r="HL35">
        <f>IF(ROW()-3&gt;MAX($HK$4:$HK$40),"",INDEX($BH$4:$BH$40,MATCH(ROW()-3,$HK$4:$HK$40,0)))</f>
        <v/>
      </c>
      <c r="HM35">
        <f>IF(COUNTIF('Live Search'!BM$34:BW$34,0)+COUNTIF('Live Search'!BY$34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N35">
        <f>IF($BM$35="",FALSE,SUMPRODUCT(('Final Calculation Sheet'!$K$4:$K$40=$BM$35)*($HM$6:$HM$42=1))&gt;0)</f>
        <v/>
      </c>
      <c r="HO35">
        <f>$HO$34+--($HN35)</f>
        <v/>
      </c>
      <c r="HP35">
        <f>IF(ROW()-3&gt;MAX($HO$4:$HO$40),"",INDEX($BM$4:$BM$40,MATCH(ROW()-3,$HO$4:$HO$40,0)))</f>
        <v/>
      </c>
      <c r="HQ35">
        <f>IF(COUNTIF('Live Search'!BM$34:BX$34,0)+COUNTIF('Live Search'!BZ$34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R35">
        <f>IF($BR$35="",FALSE,SUMPRODUCT(('Final Calculation Sheet'!$L$4:$L$40=$BR$35)*($HQ$6:$HQ$42=1))&gt;0)</f>
        <v/>
      </c>
      <c r="HS35">
        <f>$HS$34+--($HR35)</f>
        <v/>
      </c>
      <c r="HT35">
        <f>IF(ROW()-3&gt;MAX($HS$4:$HS$40),"",INDEX($BR$4:$BR$40,MATCH(ROW()-3,$HS$4:$HS$40,0)))</f>
        <v/>
      </c>
      <c r="HU35">
        <f>IF(COUNTIF('Live Search'!BM$34:BY$34,0)+COUNTIF('Live Search'!CA$34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V35">
        <f>IF($BW$35="",FALSE,SUMPRODUCT(('Final Calculation Sheet'!$M$4:$M$40=$BW$35)*($HU$6:$HU$42=1))&gt;0)</f>
        <v/>
      </c>
      <c r="HW35">
        <f>$HW$34+--($HV35)</f>
        <v/>
      </c>
      <c r="HX35">
        <f>IF(ROW()-3&gt;MAX($HW$4:$HW$40),"",INDEX($BW$4:$BW$40,MATCH(ROW()-3,$HW$4:$HW$40,0)))</f>
        <v/>
      </c>
      <c r="HY35">
        <f>IF(COUNTIF('Live Search'!BM$34:BZ$34,0)+COUNTIF('Live Search'!CB$34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HZ35">
        <f>IF($CB$35="",FALSE,SUMPRODUCT(('Final Calculation Sheet'!$N$4:$N$40=$CB$35)*($HY$6:$HY$42=1))&gt;0)</f>
        <v/>
      </c>
      <c r="IA35">
        <f>$IA$34+--($HZ35)</f>
        <v/>
      </c>
      <c r="IB35">
        <f>IF(ROW()-3&gt;MAX($IA$4:$IA$40),"",INDEX($CB$4:$CB$40,MATCH(ROW()-3,$IA$4:$IA$40,0)))</f>
        <v/>
      </c>
      <c r="IC35">
        <f>IF(COUNTIF('Live Search'!BM$34:CA$34,0)+COUNTIF('Live Search'!CC$34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D35">
        <f>IF($CG$35="",FALSE,SUMPRODUCT(('Final Calculation Sheet'!$O$4:$O$40=$CG$35)*($IC$6:$IC$42=1))&gt;0)</f>
        <v/>
      </c>
      <c r="IE35">
        <f>$IE$34+--($ID35)</f>
        <v/>
      </c>
      <c r="IF35">
        <f>IF(ROW()-3&gt;MAX($IE$4:$IE$40),"",INDEX($CG$4:$CG$40,MATCH(ROW()-3,$IE$4:$IE$40,0)))</f>
        <v/>
      </c>
      <c r="IG35">
        <f>IF(COUNTIF('Live Search'!BM$34:CB$34,0)+COUNTIF('Live Search'!CD$34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H35">
        <f>IF($CL$35="",FALSE,SUMPRODUCT(('Final Calculation Sheet'!$P$4:$P$40=$CL$35)*($IG$6:$IG$42=1))&gt;0)</f>
        <v/>
      </c>
      <c r="II35">
        <f>$II$34+--($IH35)</f>
        <v/>
      </c>
      <c r="IJ35">
        <f>IF(ROW()-3&gt;MAX($II$4:$II$40),"",INDEX($CL$4:$CL$40,MATCH(ROW()-3,$II$4:$II$40,0)))</f>
        <v/>
      </c>
      <c r="IK35">
        <f>IF(COUNTIF('Live Search'!BM$34:CC$34,0)+COUNTIF('Live Search'!CE$34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L35">
        <f>IF($CQ$35="",FALSE,SUMPRODUCT(('Final Calculation Sheet'!$Q$4:$Q$40=$CQ$35)*($IK$6:$IK$42=1))&gt;0)</f>
        <v/>
      </c>
      <c r="IM35">
        <f>$IM$34+--($IL35)</f>
        <v/>
      </c>
      <c r="IN35">
        <f>IF(ROW()-3&gt;MAX($IM$4:$IM$40),"",INDEX($CQ$4:$CQ$40,MATCH(ROW()-3,$IM$4:$IM$40,0)))</f>
        <v/>
      </c>
      <c r="IO35">
        <f>IF(COUNTIF('Live Search'!BM$34:CD$34,0)+COUNTIF('Live Search'!CF$34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P35">
        <f>IF($CV$35="",FALSE,SUMPRODUCT(('Final Calculation Sheet'!$R$4:$R$40=$CV$35)*($IO$6:$IO$42=1))&gt;0)</f>
        <v/>
      </c>
      <c r="IQ35">
        <f>$IQ$34+--($IP35)</f>
        <v/>
      </c>
      <c r="IR35">
        <f>IF(ROW()-3&gt;MAX($IQ$4:$IQ$40),"",INDEX($CV$4:$CV$40,MATCH(ROW()-3,$IQ$4:$IQ$40,0)))</f>
        <v/>
      </c>
      <c r="IS35">
        <f>IF(COUNTIF('Live Search'!BM$34:CE$34,0)+COUNTIF('Live Search'!CG$34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T35">
        <f>IF($DA$35="",FALSE,SUMPRODUCT(('Final Calculation Sheet'!$S$4:$S$40=$DA$35)*($IS$6:$IS$42=1))&gt;0)</f>
        <v/>
      </c>
      <c r="IU35">
        <f>$IU$34+--($IT35)</f>
        <v/>
      </c>
      <c r="IV35">
        <f>IF(ROW()-3&gt;MAX($IU$4:$IU$40),"",INDEX($DA$4:$DA$40,MATCH(ROW()-3,$IU$4:$IU$40,0)))</f>
        <v/>
      </c>
      <c r="IW35">
        <f>IF(COUNTIF('Live Search'!BM$34:CF$34,0)+COUNTIF('Live Search'!CH$34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IX35">
        <f>IF($DF$35="",FALSE,SUMPRODUCT(('Final Calculation Sheet'!$T$4:$T$40=$DF$35)*($IW$6:$IW$42=1))&gt;0)</f>
        <v/>
      </c>
      <c r="IY35">
        <f>$IY$34+--($IX35)</f>
        <v/>
      </c>
      <c r="IZ35">
        <f>IF(ROW()-3&gt;MAX($IY$4:$IY$40),"",INDEX($DF$4:$DF$40,MATCH(ROW()-3,$IY$4:$IY$40,0)))</f>
        <v/>
      </c>
      <c r="JA35">
        <f>IF(COUNTIF('Live Search'!BM$34:CG$34,0)+COUNTIF('Live Search'!CI$34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B35">
        <f>IF($DK$35="",FALSE,SUMPRODUCT(('Final Calculation Sheet'!$U$4:$U$40=$DK$35)*($JA$6:$JA$42=1))&gt;0)</f>
        <v/>
      </c>
      <c r="JC35">
        <f>$JC$34+--($JB35)</f>
        <v/>
      </c>
      <c r="JD35">
        <f>IF(ROW()-3&gt;MAX($JC$4:$JC$40),"",INDEX($DK$4:$DK$40,MATCH(ROW()-3,$JC$4:$JC$40,0)))</f>
        <v/>
      </c>
      <c r="JE35">
        <f>IF(COUNTIF('Live Search'!BM$34:CH$34,0)+COUNTIF('Live Search'!CJ$34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F35">
        <f>IF($DP$35="",FALSE,SUMPRODUCT(('Final Calculation Sheet'!$V$4:$V$40=$DP$35)*($JE$6:$JE$42=1))&gt;0)</f>
        <v/>
      </c>
      <c r="JG35">
        <f>$JG$34+--($JF35)</f>
        <v/>
      </c>
      <c r="JH35">
        <f>IF(ROW()-3&gt;MAX($JG$4:$JG$40),"",INDEX($DP$4:$DP$40,MATCH(ROW()-3,$JG$4:$JG$40,0)))</f>
        <v/>
      </c>
      <c r="JI35">
        <f>IF(COUNTIF('Live Search'!BM$34:CI$34,0)+COUNTIF('Live Search'!CK$34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J35">
        <f>IF($DU$35="",FALSE,SUMPRODUCT(('Final Calculation Sheet'!$W$4:$W$40=$DU$35)*($JI$6:$JI$42=1))&gt;0)</f>
        <v/>
      </c>
      <c r="JK35">
        <f>$JK$34+--($JJ35)</f>
        <v/>
      </c>
      <c r="JL35">
        <f>IF(ROW()-3&gt;MAX($JK$4:$JK$40),"",INDEX($DU$4:$DU$40,MATCH(ROW()-3,$JK$4:$JK$40,0)))</f>
        <v/>
      </c>
      <c r="JM35">
        <f>IF(COUNTIF('Live Search'!BM$34:CJ$34,0)+COUNTIF('Live Search'!CL$34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N35">
        <f>IF($DZ$35="",FALSE,SUMPRODUCT(('Final Calculation Sheet'!$X$4:$X$40=$DZ$35)*($JM$6:$JM$42=1))&gt;0)</f>
        <v/>
      </c>
      <c r="JO35">
        <f>$JO$34+--($JN35)</f>
        <v/>
      </c>
      <c r="JP35">
        <f>IF(ROW()-3&gt;MAX($JO$4:$JO$40),"",INDEX($DZ$4:$DZ$40,MATCH(ROW()-3,$JO$4:$JO$40,0)))</f>
        <v/>
      </c>
      <c r="JQ35">
        <f>IF(COUNTIF('Live Search'!BM$34:CK$34,0)+COUNTIF('Live Search'!C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R35">
        <f>IF($EE$35="",FALSE,SUMPRODUCT(('Final Calculation Sheet'!$Y$4:$Y$40=$EE$35)*($JQ$6:$JQ$42=1))&gt;0)</f>
        <v/>
      </c>
      <c r="JS35">
        <f>$JS$34+--($JR35)</f>
        <v/>
      </c>
      <c r="JT35">
        <f>IF(ROW()-3&gt;MAX($JS$4:$JS$40),"",INDEX($EE$4:$EE$40,MATCH(ROW()-3,$JS$4:$JS$40,0)))</f>
        <v/>
      </c>
      <c r="JU35">
        <f>IF(COUNTIF('Live Search'!BM$34:CL$34,0)+COUNTIF('Live Search'!CN$34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V35">
        <f>IF($EJ$35="",FALSE,SUMPRODUCT(('Final Calculation Sheet'!$Z$4:$Z$40=$EJ$35)*($JU$6:$JU$42=1))&gt;0)</f>
        <v/>
      </c>
      <c r="JW35">
        <f>$JW$34+--($JV35)</f>
        <v/>
      </c>
      <c r="JX35">
        <f>IF(ROW()-3&gt;MAX($JW$4:$JW$40),"",INDEX($EJ$4:$EJ$40,MATCH(ROW()-3,$JW$4:$JW$40,0)))</f>
        <v/>
      </c>
      <c r="JY35">
        <f>IF(COUNTIF('Live Search'!BM$34:CM$34,0)+COUNTIF('Live Search'!CO$34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JZ35">
        <f>IF($EO$35="",FALSE,SUMPRODUCT(('Final Calculation Sheet'!$AA$4:$AA$40=$EO$35)*($JY$6:$JY$42=1))&gt;0)</f>
        <v/>
      </c>
      <c r="KA35">
        <f>$KA$34+--($JZ35)</f>
        <v/>
      </c>
      <c r="KB35">
        <f>IF(ROW()-3&gt;MAX($KA$4:$KA$40),"",INDEX($EO$4:$EO$40,MATCH(ROW()-3,$KA$4:$KA$40,0)))</f>
        <v/>
      </c>
      <c r="KC35">
        <f>IF(COUNTIF('Live Search'!BM$34:CN$34,0)+COUNTIF('Live Search'!CP$34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D35">
        <f>IF($ET$35="",FALSE,SUMPRODUCT(('Final Calculation Sheet'!$AB$4:$AB$40=$ET$35)*($KC$6:$KC$42=1))&gt;0)</f>
        <v/>
      </c>
      <c r="KE35">
        <f>$KE$34+--($KD35)</f>
        <v/>
      </c>
      <c r="KF35">
        <f>IF(ROW()-3&gt;MAX($KE$4:$KE$40),"",INDEX($ET$4:$ET$40,MATCH(ROW()-3,$KE$4:$KE$40,0)))</f>
        <v/>
      </c>
      <c r="KG35">
        <f>IF(COUNTIF('Live Search'!BM$34:CO$34,0)+COUNTIF('Live Search'!CQ$34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H35">
        <f>IF($EY$35="",FALSE,SUMPRODUCT(('Final Calculation Sheet'!$AC$4:$AC$40=$EY$35)*($KG$6:$KG$42=1))&gt;0)</f>
        <v/>
      </c>
      <c r="KI35">
        <f>$KI$34+--($KH35)</f>
        <v/>
      </c>
      <c r="KJ35">
        <f>IF(ROW()-3&gt;MAX($KI$4:$KI$40),"",INDEX($EY$4:$EY$40,MATCH(ROW()-3,$KI$4:$KI$40,0)))</f>
        <v/>
      </c>
      <c r="KK35">
        <f>IF(COUNTIF('Live Search'!BM$34:CP$34,0)+COUNTIF('Live Search'!CR$34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L35">
        <f>IF($FD$35="",FALSE,SUMPRODUCT(('Final Calculation Sheet'!$AD$4:$AD$40=$FD$35)*($KK$6:$KK$42=1))&gt;0)</f>
        <v/>
      </c>
      <c r="KM35">
        <f>$KM$34+--($KL35)</f>
        <v/>
      </c>
      <c r="KN35">
        <f>IF(ROW()-3&gt;MAX($KM$4:$KM$40),"",INDEX($FD$4:$FD$40,MATCH(ROW()-3,$KM$4:$KM$40,0)))</f>
        <v/>
      </c>
      <c r="KO35">
        <f>IF(COUNTIF('Live Search'!BM$34:CT$34,0)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P35">
        <f>IF($FX$35="",FALSE,SUMPRODUCT((IF('Final Calculation Sheet'!$AD$4:$AD$40&lt;=5,"SETTLED","OUTSTANDING")=$FX$35)*($KO$6:$KO$42=1))&gt;0)</f>
        <v/>
      </c>
      <c r="KQ35">
        <f>$KQ$34+--($KP35)</f>
        <v/>
      </c>
      <c r="KR35">
        <f>IF(ROW()-3&gt;MAX($KQ$4:$KQ$40),"",INDEX($FX$4:$FX$40,MATCH(ROW()-3,$KQ$4:$KQ$40,0)))</f>
        <v/>
      </c>
      <c r="KS35">
        <f>IF(COUNTIF('Live Search'!BM$34:CQ$34,0)+COUNTIF('Live Search'!CS$34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T35">
        <f>IF($FI$35="",FALSE,SUMPRODUCT(('Final Calculation Sheet'!$AF$4:$AF$40=$FI$35)*($KS$6:$KS$42=1))&gt;0)</f>
        <v/>
      </c>
      <c r="KU35">
        <f>$KU$34+--($KT35)</f>
        <v/>
      </c>
      <c r="KV35">
        <f>IF(ROW()-3&gt;MAX($KU$4:$KU$40),"",INDEX($FI$4:$FI$40,MATCH(ROW()-3,$KU$4:$KU$40,0)))</f>
        <v/>
      </c>
      <c r="KW35">
        <f>IF(COUNTIF('Live Search'!BM$34:CR$34,0)+COUNTIF('Live Search'!CT$34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KX35">
        <f>IF($FN$35="",FALSE,SUMPRODUCT(('Final Calculation Sheet'!$AG$4:$AG$40=$FN$35)*($KW$6:$KW$42=1))&gt;0)</f>
        <v/>
      </c>
      <c r="KY35">
        <f>$KY$34+--($KX35)</f>
        <v/>
      </c>
      <c r="KZ35">
        <f>IF(ROW()-3&gt;MAX($KY$4:$KY$40),"",INDEX($FN$4:$FN$40,MATCH(ROW()-3,$KY$4:$KY$40,0)))</f>
        <v/>
      </c>
      <c r="LA35">
        <f>IF(COUNTIF('Live Search'!BM$34:CS$34,0)+COUNTIF('Live Search'!CU$34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LB35">
        <f>IF($FS$35="",FALSE,SUMPRODUCT(('Final Calculation Sheet'!$AH$4:$AH$40=$FS$35)*($LA$6:$LA$42=1))&gt;0)</f>
        <v/>
      </c>
      <c r="LC35">
        <f>$LC$34+--($LB35)</f>
        <v/>
      </c>
      <c r="LD35">
        <f>IF(ROW()-3&gt;MAX($LC$4:$LC$40),"",INDEX($FS$4:$FS$40,MATCH(ROW()-3,$LC$4:$LC$40,0)))</f>
        <v/>
      </c>
      <c r="LE35">
        <f>IF(COUNTIF('Buyer Groups'!DH88:EN88,0)&gt;0,0,1)</f>
        <v/>
      </c>
      <c r="LF35">
        <f>IF($O$35="",FALSE,SUMPRODUCT(('Final Calculation Sheet'!$F$4:$F$40=$O$35)*($LE$6:$LE$42=1))&gt;0)</f>
        <v/>
      </c>
      <c r="LG35">
        <f>$LG$34+--($LF35)</f>
        <v/>
      </c>
      <c r="LH35">
        <f>IF(ROW()-3&gt;MAX($LG$4:$LG$40),"",INDEX($O$4:$O$40,MATCH(ROW()-3,$LG$4:$LG$40,0)))</f>
        <v/>
      </c>
      <c r="LI35">
        <f>IF(COUNTIF('Buyer Groups'!DG88:DG88,0)+COUNTIF('Buyer Groups'!DI88:EN88,0)&gt;0,0,1)</f>
        <v/>
      </c>
      <c r="LJ35">
        <f>IF($T$35="",FALSE,SUMPRODUCT(('Final Calculation Sheet'!$G$4:$G$40=$T$35)*($LI$6:$LI$42=1))&gt;0)</f>
        <v/>
      </c>
      <c r="LK35">
        <f>$LK$34+--($LJ35)</f>
        <v/>
      </c>
      <c r="LL35">
        <f>IF(ROW()-3&gt;MAX($LK$4:$LK$40),"",INDEX($T$4:$T$40,MATCH(ROW()-3,$LK$4:$LK$40,0)))</f>
        <v/>
      </c>
      <c r="LM35">
        <f>IF(COUNTIF('Buyer Groups'!DG88:DH88,0)+COUNTIF('Buyer Groups'!DJ88:EN88,0)&gt;0,0,1)</f>
        <v/>
      </c>
      <c r="LN35">
        <f>IF($Y$35="",FALSE,SUMPRODUCT(('Final Calculation Sheet'!$B$4:$B$40=$Y$35)*($LM$6:$LM$42=1))&gt;0)</f>
        <v/>
      </c>
      <c r="LO35">
        <f>$LO$34+--($LN35)</f>
        <v/>
      </c>
      <c r="LP35">
        <f>IF(ROW()-3&gt;MAX($LO$4:$LO$40),"",INDEX($Y$4:$Y$40,MATCH(ROW()-3,$LO$4:$LO$40,0)))</f>
        <v/>
      </c>
      <c r="LQ35">
        <f>IF(COUNTIF('Buyer Groups'!DG88:DI88,0)+COUNTIF('Buyer Groups'!DK88:EN88,0)&gt;0,0,1)</f>
        <v/>
      </c>
      <c r="LR35">
        <f>IF($AD$35="",FALSE,SUMPRODUCT(('Final Calculation Sheet'!$D$4:$D$40=$AD$35)*($LQ$6:$LQ$42=1))&gt;0)</f>
        <v/>
      </c>
      <c r="LS35">
        <f>$LS$34+--($LR35)</f>
        <v/>
      </c>
      <c r="LT35">
        <f>IF(ROW()-3&gt;MAX($LS$4:$LS$40),"",INDEX($AD$4:$AD$40,MATCH(ROW()-3,$LS$4:$LS$40,0)))</f>
        <v/>
      </c>
      <c r="LU35">
        <f>IF(COUNTIF('Buyer Groups'!DG88:DJ88,0)+COUNTIF('Buyer Groups'!DL88:EN88,0)&gt;0,0,1)</f>
        <v/>
      </c>
      <c r="LV35">
        <f>IF($AI$35="",FALSE,SUMPRODUCT(('Final Calculation Sheet'!$A$4:$A$40=$AI$35)*($LU$6:$LU$42=1))&gt;0)</f>
        <v/>
      </c>
      <c r="LW35">
        <f>$LW$34+--($LV35)</f>
        <v/>
      </c>
      <c r="LX35">
        <f>IF(ROW()-3&gt;MAX($LW$4:$LW$40),"",INDEX($AI$4:$AI$40,MATCH(ROW()-3,$LW$4:$LW$40,0)))</f>
        <v/>
      </c>
      <c r="LY35">
        <f>IF(COUNTIF('Buyer Groups'!DG88:DK88,0)+COUNTIF('Buyer Groups'!DM88:EN88,0)&gt;0,0,1)</f>
        <v/>
      </c>
      <c r="LZ35">
        <f>IF($AN$35="",FALSE,SUMPRODUCT(('Final Calculation Sheet'!$E$4:$E$40=$AN$35)*($LY$6:$LY$42=1))&gt;0)</f>
        <v/>
      </c>
      <c r="MA35">
        <f>$MA$34+--($LZ35)</f>
        <v/>
      </c>
      <c r="MB35">
        <f>IF(ROW()-3&gt;MAX($MA$4:$MA$40),"",INDEX($AN$4:$AN$40,MATCH(ROW()-3,$MA$4:$MA$40,0)))</f>
        <v/>
      </c>
      <c r="MC35">
        <f>IF(COUNTIF('Buyer Groups'!DG88:DL88,0)+COUNTIF('Buyer Groups'!DN88:EN88,0)&gt;0,0,1)</f>
        <v/>
      </c>
      <c r="MD35">
        <f>IF($AS$35="",FALSE,SUMPRODUCT(('Final Calculation Sheet'!$C$4:$C$40=$AS$35)*($MC$6:$MC$42=1))&gt;0)</f>
        <v/>
      </c>
      <c r="ME35">
        <f>$ME$34+--($MD35)</f>
        <v/>
      </c>
      <c r="MF35">
        <f>IF(ROW()-3&gt;MAX($ME$4:$ME$40),"",INDEX($AS$4:$AS$40,MATCH(ROW()-3,$ME$4:$ME$40,0)))</f>
        <v/>
      </c>
      <c r="MG35">
        <f>IF(COUNTIF('Buyer Groups'!DG88:DM88,0)+COUNTIF('Buyer Groups'!DO88:EN88,0)&gt;0,0,1)</f>
        <v/>
      </c>
      <c r="MH35">
        <f>IF($AX$35="",FALSE,SUMPRODUCT(('Final Calculation Sheet'!$H$4:$H$40=$AX$35)*($MG$6:$MG$42=1))&gt;0)</f>
        <v/>
      </c>
      <c r="MI35">
        <f>$MI$34+--($MH35)</f>
        <v/>
      </c>
      <c r="MJ35">
        <f>IF(ROW()-3&gt;MAX($MI$4:$MI$40),"",INDEX($AX$4:$AX$40,MATCH(ROW()-3,$MI$4:$MI$40,0)))</f>
        <v/>
      </c>
      <c r="MK35">
        <f>IF(COUNTIF('Buyer Groups'!DG88:DN88,0)+COUNTIF('Buyer Groups'!DP88:EN88,0)&gt;0,0,1)</f>
        <v/>
      </c>
      <c r="ML35">
        <f>IF($BC$35="",FALSE,SUMPRODUCT(('Final Calculation Sheet'!$I$4:$I$40=$BC$35)*($MK$6:$MK$42=1))&gt;0)</f>
        <v/>
      </c>
      <c r="MM35">
        <f>$MM$34+--($ML35)</f>
        <v/>
      </c>
      <c r="MN35">
        <f>IF(ROW()-3&gt;MAX($MM$4:$MM$40),"",INDEX($BC$4:$BC$40,MATCH(ROW()-3,$MM$4:$MM$40,0)))</f>
        <v/>
      </c>
      <c r="MO35">
        <f>IF(COUNTIF('Buyer Groups'!DG88:DO88,0)+COUNTIF('Buyer Groups'!DQ88:EN88,0)&gt;0,0,1)</f>
        <v/>
      </c>
      <c r="MP35">
        <f>IF($BH$35="",FALSE,SUMPRODUCT(('Final Calculation Sheet'!$J$4:$J$40=$BH$35)*($MO$6:$MO$42=1))&gt;0)</f>
        <v/>
      </c>
      <c r="MQ35">
        <f>$MQ$34+--($MP35)</f>
        <v/>
      </c>
      <c r="MR35">
        <f>IF(ROW()-3&gt;MAX($MQ$4:$MQ$40),"",INDEX($BH$4:$BH$40,MATCH(ROW()-3,$MQ$4:$MQ$40,0)))</f>
        <v/>
      </c>
      <c r="MS35">
        <f>IF(COUNTIF('Buyer Groups'!DG88:DP88,0)+COUNTIF('Buyer Groups'!DR88:EN88,0)&gt;0,0,1)</f>
        <v/>
      </c>
      <c r="MT35">
        <f>IF($BM$35="",FALSE,SUMPRODUCT(('Final Calculation Sheet'!$K$4:$K$40=$BM$35)*($MS$6:$MS$42=1))&gt;0)</f>
        <v/>
      </c>
      <c r="MU35">
        <f>$MU$34+--($MT35)</f>
        <v/>
      </c>
      <c r="MV35">
        <f>IF(ROW()-3&gt;MAX($MU$4:$MU$40),"",INDEX($BM$4:$BM$40,MATCH(ROW()-3,$MU$4:$MU$40,0)))</f>
        <v/>
      </c>
      <c r="MW35">
        <f>IF(COUNTIF('Buyer Groups'!DG88:DQ88,0)+COUNTIF('Buyer Groups'!DS88:EN88,0)&gt;0,0,1)</f>
        <v/>
      </c>
      <c r="MX35">
        <f>IF($BR$35="",FALSE,SUMPRODUCT(('Final Calculation Sheet'!$L$4:$L$40=$BR$35)*($MW$6:$MW$42=1))&gt;0)</f>
        <v/>
      </c>
      <c r="MY35">
        <f>$MY$34+--($MX35)</f>
        <v/>
      </c>
      <c r="MZ35">
        <f>IF(ROW()-3&gt;MAX($MY$4:$MY$40),"",INDEX($BR$4:$BR$40,MATCH(ROW()-3,$MY$4:$MY$40,0)))</f>
        <v/>
      </c>
      <c r="NA35">
        <f>IF(COUNTIF('Buyer Groups'!DG88:DR88,0)+COUNTIF('Buyer Groups'!DT88:EN88,0)&gt;0,0,1)</f>
        <v/>
      </c>
      <c r="NB35">
        <f>IF($BW$35="",FALSE,SUMPRODUCT(('Final Calculation Sheet'!$M$4:$M$40=$BW$35)*($NA$6:$NA$42=1))&gt;0)</f>
        <v/>
      </c>
      <c r="NC35">
        <f>$NC$34+--($NB35)</f>
        <v/>
      </c>
      <c r="ND35">
        <f>IF(ROW()-3&gt;MAX($NC$4:$NC$40),"",INDEX($BW$4:$BW$40,MATCH(ROW()-3,$NC$4:$NC$40,0)))</f>
        <v/>
      </c>
      <c r="NE35">
        <f>IF(COUNTIF('Buyer Groups'!DG88:DS88,0)+COUNTIF('Buyer Groups'!DU88:EN88,0)&gt;0,0,1)</f>
        <v/>
      </c>
      <c r="NF35">
        <f>IF($CB$35="",FALSE,SUMPRODUCT(('Final Calculation Sheet'!$N$4:$N$40=$CB$35)*($NE$6:$NE$42=1))&gt;0)</f>
        <v/>
      </c>
      <c r="NG35">
        <f>$NG$34+--($NF35)</f>
        <v/>
      </c>
      <c r="NH35">
        <f>IF(ROW()-3&gt;MAX($NG$4:$NG$40),"",INDEX($CB$4:$CB$40,MATCH(ROW()-3,$NG$4:$NG$40,0)))</f>
        <v/>
      </c>
      <c r="NI35">
        <f>IF(COUNTIF('Buyer Groups'!DG88:DT88,0)+COUNTIF('Buyer Groups'!DV88:EN88,0)&gt;0,0,1)</f>
        <v/>
      </c>
      <c r="NJ35">
        <f>IF($CG$35="",FALSE,SUMPRODUCT(('Final Calculation Sheet'!$O$4:$O$40=$CG$35)*($NI$6:$NI$42=1))&gt;0)</f>
        <v/>
      </c>
      <c r="NK35">
        <f>$NK$34+--($NJ35)</f>
        <v/>
      </c>
      <c r="NL35">
        <f>IF(ROW()-3&gt;MAX($NK$4:$NK$40),"",INDEX($CG$4:$CG$40,MATCH(ROW()-3,$NK$4:$NK$40,0)))</f>
        <v/>
      </c>
      <c r="NM35">
        <f>IF(COUNTIF('Buyer Groups'!DG88:DU88,0)+COUNTIF('Buyer Groups'!DW88:EN88,0)&gt;0,0,1)</f>
        <v/>
      </c>
      <c r="NN35">
        <f>IF($CL$35="",FALSE,SUMPRODUCT(('Final Calculation Sheet'!$P$4:$P$40=$CL$35)*($NM$6:$NM$42=1))&gt;0)</f>
        <v/>
      </c>
      <c r="NO35">
        <f>$NO$34+--($NN35)</f>
        <v/>
      </c>
      <c r="NP35">
        <f>IF(ROW()-3&gt;MAX($NO$4:$NO$40),"",INDEX($CL$4:$CL$40,MATCH(ROW()-3,$NO$4:$NO$40,0)))</f>
        <v/>
      </c>
      <c r="NQ35">
        <f>IF(COUNTIF('Buyer Groups'!DG88:DV88,0)+COUNTIF('Buyer Groups'!DX88:EN88,0)&gt;0,0,1)</f>
        <v/>
      </c>
      <c r="NR35">
        <f>IF($CQ$35="",FALSE,SUMPRODUCT(('Final Calculation Sheet'!$Q$4:$Q$40=$CQ$35)*($NQ$6:$NQ$42=1))&gt;0)</f>
        <v/>
      </c>
      <c r="NS35">
        <f>$NS$34+--($NR35)</f>
        <v/>
      </c>
      <c r="NT35">
        <f>IF(ROW()-3&gt;MAX($NS$4:$NS$40),"",INDEX($CQ$4:$CQ$40,MATCH(ROW()-3,$NS$4:$NS$40,0)))</f>
        <v/>
      </c>
      <c r="NU35">
        <f>IF(COUNTIF('Buyer Groups'!DG88:DW88,0)+COUNTIF('Buyer Groups'!DY88:EN88,0)&gt;0,0,1)</f>
        <v/>
      </c>
      <c r="NV35">
        <f>IF($CV$35="",FALSE,SUMPRODUCT(('Final Calculation Sheet'!$R$4:$R$40=$CV$35)*($NU$6:$NU$42=1))&gt;0)</f>
        <v/>
      </c>
      <c r="NW35">
        <f>$NW$34+--($NV35)</f>
        <v/>
      </c>
      <c r="NX35">
        <f>IF(ROW()-3&gt;MAX($NW$4:$NW$40),"",INDEX($CV$4:$CV$40,MATCH(ROW()-3,$NW$4:$NW$40,0)))</f>
        <v/>
      </c>
      <c r="NY35">
        <f>IF(COUNTIF('Buyer Groups'!DG88:DX88,0)+COUNTIF('Buyer Groups'!DZ88:EN88,0)&gt;0,0,1)</f>
        <v/>
      </c>
      <c r="NZ35">
        <f>IF($DA$35="",FALSE,SUMPRODUCT(('Final Calculation Sheet'!$S$4:$S$40=$DA$35)*($NY$6:$NY$42=1))&gt;0)</f>
        <v/>
      </c>
      <c r="OA35">
        <f>$OA$34+--($NZ35)</f>
        <v/>
      </c>
      <c r="OB35">
        <f>IF(ROW()-3&gt;MAX($OA$4:$OA$40),"",INDEX($DA$4:$DA$40,MATCH(ROW()-3,$OA$4:$OA$40,0)))</f>
        <v/>
      </c>
      <c r="OC35">
        <f>IF(COUNTIF('Buyer Groups'!DG88:DY88,0)+COUNTIF('Buyer Groups'!EA88:EN88,0)&gt;0,0,1)</f>
        <v/>
      </c>
      <c r="OD35">
        <f>IF($DF$35="",FALSE,SUMPRODUCT(('Final Calculation Sheet'!$T$4:$T$40=$DF$35)*($OC$6:$OC$42=1))&gt;0)</f>
        <v/>
      </c>
      <c r="OE35">
        <f>$OE$34+--($OD35)</f>
        <v/>
      </c>
      <c r="OF35">
        <f>IF(ROW()-3&gt;MAX($OE$4:$OE$40),"",INDEX($DF$4:$DF$40,MATCH(ROW()-3,$OE$4:$OE$40,0)))</f>
        <v/>
      </c>
      <c r="OG35">
        <f>IF(COUNTIF('Buyer Groups'!DG88:DZ88,0)+COUNTIF('Buyer Groups'!EB88:EN88,0)&gt;0,0,1)</f>
        <v/>
      </c>
      <c r="OH35">
        <f>IF($DK$35="",FALSE,SUMPRODUCT(('Final Calculation Sheet'!$U$4:$U$40=$DK$35)*($OG$6:$OG$42=1))&gt;0)</f>
        <v/>
      </c>
      <c r="OI35">
        <f>$OI$34+--($OH35)</f>
        <v/>
      </c>
      <c r="OJ35">
        <f>IF(ROW()-3&gt;MAX($OI$4:$OI$40),"",INDEX($DK$4:$DK$40,MATCH(ROW()-3,$OI$4:$OI$40,0)))</f>
        <v/>
      </c>
      <c r="OK35">
        <f>IF(COUNTIF('Buyer Groups'!DG88:EA88,0)+COUNTIF('Buyer Groups'!EC88:EN88,0)&gt;0,0,1)</f>
        <v/>
      </c>
      <c r="OL35">
        <f>IF($DP$35="",FALSE,SUMPRODUCT(('Final Calculation Sheet'!$V$4:$V$40=$DP$35)*($OK$6:$OK$42=1))&gt;0)</f>
        <v/>
      </c>
      <c r="OM35">
        <f>$OM$34+--($OL35)</f>
        <v/>
      </c>
      <c r="ON35">
        <f>IF(ROW()-3&gt;MAX($OM$4:$OM$40),"",INDEX($DP$4:$DP$40,MATCH(ROW()-3,$OM$4:$OM$40,0)))</f>
        <v/>
      </c>
      <c r="OO35">
        <f>IF(COUNTIF('Buyer Groups'!DG88:EB88,0)+COUNTIF('Buyer Groups'!ED88:EN88,0)&gt;0,0,1)</f>
        <v/>
      </c>
      <c r="OP35">
        <f>IF($DU$35="",FALSE,SUMPRODUCT(('Final Calculation Sheet'!$W$4:$W$40=$DU$35)*($OO$6:$OO$42=1))&gt;0)</f>
        <v/>
      </c>
      <c r="OQ35">
        <f>$OQ$34+--($OP35)</f>
        <v/>
      </c>
      <c r="OR35">
        <f>IF(ROW()-3&gt;MAX($OQ$4:$OQ$40),"",INDEX($DU$4:$DU$40,MATCH(ROW()-3,$OQ$4:$OQ$40,0)))</f>
        <v/>
      </c>
      <c r="OS35">
        <f>IF(COUNTIF('Buyer Groups'!DG88:EC88,0)+COUNTIF('Buyer Groups'!EE88:EN88,0)&gt;0,0,1)</f>
        <v/>
      </c>
      <c r="OT35">
        <f>IF($DZ$35="",FALSE,SUMPRODUCT(('Final Calculation Sheet'!$X$4:$X$40=$DZ$35)*($OS$6:$OS$42=1))&gt;0)</f>
        <v/>
      </c>
      <c r="OU35">
        <f>$OU$34+--($OT35)</f>
        <v/>
      </c>
      <c r="OV35">
        <f>IF(ROW()-3&gt;MAX($OU$4:$OU$40),"",INDEX($DZ$4:$DZ$40,MATCH(ROW()-3,$OU$4:$OU$40,0)))</f>
        <v/>
      </c>
      <c r="OW35">
        <f>IF(COUNTIF('Buyer Groups'!DG88:ED88,0)+COUNTIF('Buyer Groups'!EF88:EN88,0)&gt;0,0,1)</f>
        <v/>
      </c>
      <c r="OX35">
        <f>IF($EE$35="",FALSE,SUMPRODUCT(('Final Calculation Sheet'!$Y$4:$Y$40=$EE$35)*($OW$6:$OW$42=1))&gt;0)</f>
        <v/>
      </c>
      <c r="OY35">
        <f>$OY$34+--($OX35)</f>
        <v/>
      </c>
      <c r="OZ35">
        <f>IF(ROW()-3&gt;MAX($OY$4:$OY$40),"",INDEX($EE$4:$EE$40,MATCH(ROW()-3,$OY$4:$OY$40,0)))</f>
        <v/>
      </c>
      <c r="PA35">
        <f>IF(COUNTIF('Buyer Groups'!DG88:EE88,0)+COUNTIF('Buyer Groups'!EG88:EN88,0)&gt;0,0,1)</f>
        <v/>
      </c>
      <c r="PB35">
        <f>IF($EJ$35="",FALSE,SUMPRODUCT(('Final Calculation Sheet'!$Z$4:$Z$40=$EJ$35)*($PA$6:$PA$42=1))&gt;0)</f>
        <v/>
      </c>
      <c r="PC35">
        <f>$PC$34+--($PB35)</f>
        <v/>
      </c>
      <c r="PD35">
        <f>IF(ROW()-3&gt;MAX($PC$4:$PC$40),"",INDEX($EJ$4:$EJ$40,MATCH(ROW()-3,$PC$4:$PC$40,0)))</f>
        <v/>
      </c>
      <c r="PE35">
        <f>IF(COUNTIF('Buyer Groups'!DG88:EF88,0)+COUNTIF('Buyer Groups'!EH88:EN88,0)&gt;0,0,1)</f>
        <v/>
      </c>
      <c r="PF35">
        <f>IF($EO$35="",FALSE,SUMPRODUCT(('Final Calculation Sheet'!$AA$4:$AA$40=$EO$35)*($PE$6:$PE$42=1))&gt;0)</f>
        <v/>
      </c>
      <c r="PG35">
        <f>$PG$34+--($PF35)</f>
        <v/>
      </c>
      <c r="PH35">
        <f>IF(ROW()-3&gt;MAX($PG$4:$PG$40),"",INDEX($EO$4:$EO$40,MATCH(ROW()-3,$PG$4:$PG$40,0)))</f>
        <v/>
      </c>
      <c r="PI35">
        <f>IF(COUNTIF('Buyer Groups'!DG88:EG88,0)+COUNTIF('Buyer Groups'!EI88:EN88,0)&gt;0,0,1)</f>
        <v/>
      </c>
      <c r="PJ35">
        <f>IF($ET$35="",FALSE,SUMPRODUCT(('Final Calculation Sheet'!$AB$4:$AB$40=$ET$35)*($PI$6:$PI$42=1))&gt;0)</f>
        <v/>
      </c>
      <c r="PK35">
        <f>$PK$34+--($PJ35)</f>
        <v/>
      </c>
      <c r="PL35">
        <f>IF(ROW()-3&gt;MAX($PK$4:$PK$40),"",INDEX($ET$4:$ET$40,MATCH(ROW()-3,$PK$4:$PK$40,0)))</f>
        <v/>
      </c>
      <c r="PM35">
        <f>IF(COUNTIF('Buyer Groups'!DG88:EH88,0)+COUNTIF('Buyer Groups'!EJ88:EN88,0)&gt;0,0,1)</f>
        <v/>
      </c>
      <c r="PN35">
        <f>IF($EY$35="",FALSE,SUMPRODUCT(('Final Calculation Sheet'!$AC$4:$AC$40=$EY$35)*($PM$6:$PM$42=1))&gt;0)</f>
        <v/>
      </c>
      <c r="PO35">
        <f>$PO$34+--($PN35)</f>
        <v/>
      </c>
      <c r="PP35">
        <f>IF(ROW()-3&gt;MAX($PO$4:$PO$40),"",INDEX($EY$4:$EY$40,MATCH(ROW()-3,$PO$4:$PO$40,0)))</f>
        <v/>
      </c>
      <c r="PQ35">
        <f>IF(COUNTIF('Buyer Groups'!DG88:EI88,0)+COUNTIF('Buyer Groups'!EK88:EN88,0)&gt;0,0,1)</f>
        <v/>
      </c>
      <c r="PR35">
        <f>IF($FD$35="",FALSE,SUMPRODUCT(('Final Calculation Sheet'!$AD$4:$AD$40=$FD$35)*($PQ$6:$PQ$42=1))&gt;0)</f>
        <v/>
      </c>
      <c r="PS35">
        <f>$PS$34+--($PR35)</f>
        <v/>
      </c>
      <c r="PT35">
        <f>IF(ROW()-3&gt;MAX($PS$4:$PS$40),"",INDEX($FD$4:$FD$40,MATCH(ROW()-3,$PS$4:$PS$40,0)))</f>
        <v/>
      </c>
      <c r="PU35">
        <f>IF(COUNTIF('Buyer Groups'!DG88:EJ88,0)+COUNTIF('Buyer Groups'!EL88:EN88,0)&gt;0,0,1)</f>
        <v/>
      </c>
      <c r="PV35">
        <f>IF($FX$35="",FALSE,SUMPRODUCT((IF('Final Calculation Sheet'!$AD$4:$AD$40&lt;=5,"SETTLED","OUTSTANDING")=$FX$35)*($PU$6:$PU$42=1))&gt;0)</f>
        <v/>
      </c>
      <c r="PW35">
        <f>$PW$34+--($PV35)</f>
        <v/>
      </c>
      <c r="PX35">
        <f>IF(ROW()-3&gt;MAX($PW$4:$PW$40),"",INDEX($FX$4:$FX$40,MATCH(ROW()-3,$PW$4:$PW$40,0)))</f>
        <v/>
      </c>
      <c r="PY35">
        <f>IF(COUNTIF('Buyer Groups'!DG88:EK88,0)+COUNTIF('Buyer Groups'!EM88:EN88,0)&gt;0,0,1)</f>
        <v/>
      </c>
      <c r="PZ35">
        <f>IF($FI$35="",FALSE,SUMPRODUCT(('Final Calculation Sheet'!$AF$4:$AF$40=$FI$35)*($PY$6:$PY$42=1))&gt;0)</f>
        <v/>
      </c>
      <c r="QA35">
        <f>$QA$34+--($PZ35)</f>
        <v/>
      </c>
      <c r="QB35">
        <f>IF(ROW()-3&gt;MAX($QA$4:$QA$40),"",INDEX($FI$4:$FI$40,MATCH(ROW()-3,$QA$4:$QA$40,0)))</f>
        <v/>
      </c>
      <c r="QC35">
        <f>IF(COUNTIF('Buyer Groups'!DG88:EL88,0)+COUNTIF('Buyer Groups'!EN88:EN88,0)&gt;0,0,1)</f>
        <v/>
      </c>
      <c r="QD35">
        <f>IF($FN$35="",FALSE,SUMPRODUCT(('Final Calculation Sheet'!$AG$4:$AG$40=$FN$35)*($QC$6:$QC$42=1))&gt;0)</f>
        <v/>
      </c>
      <c r="QE35">
        <f>$QE$34+--($QD35)</f>
        <v/>
      </c>
      <c r="QF35">
        <f>IF(ROW()-3&gt;MAX($QE$4:$QE$40),"",INDEX($FN$4:$FN$40,MATCH(ROW()-3,$QE$4:$QE$40,0)))</f>
        <v/>
      </c>
      <c r="QG35">
        <f>IF(COUNTIF('Buyer Groups'!DG88:EM88,0)&gt;0,0,1)</f>
        <v/>
      </c>
      <c r="QH35">
        <f>IF($FS$35="",FALSE,SUMPRODUCT(('Final Calculation Sheet'!$AH$4:$AH$40=$FS$35)*($QG$6:$QG$42=1))&gt;0)</f>
        <v/>
      </c>
      <c r="QI35">
        <f>$QI$34+--($QH35)</f>
        <v/>
      </c>
      <c r="QJ35">
        <f>IF(ROW()-3&gt;MAX($QI$4:$QI$40),"",INDEX($FS$4:$FS$40,MATCH(ROW()-3,$QI$4:$QI$40,0)))</f>
        <v/>
      </c>
      <c r="QK35" t="str">
        <f>IF('Final Calculation Sheet'!$AH$35="","",'Final Calculation Sheet'!$AH$35)</f>
      </c>
      <c r="QL35" t="str">
        <f>IF(QK35="","",COUNTIFS(QK$4:QK$40,"&lt;"&amp;QK35,QK$4:QK$40,"&lt;&gt;"&amp;"")+COUNTIF(QK$4:QK35,QK35))</f>
      </c>
      <c r="QM35" t="str">
        <f>IF(ROW()-3&gt;COUNTIF(QK$4:QK$40,"&lt;&gt;"&amp;""),"",INDEX(QK$4:QK$40,MATCH(ROW()-3,QL$4:QL$40,0)))</f>
      </c>
      <c r="QN35" t="str">
        <f>=QN34+F(AND(QM35&lt;&gt;"",COUNTIF(QM$4:QM35,QM35)=1),1,0)</f>
      </c>
      <c r="QO35" t="str">
        <f>IF(ROW()-3&gt;MAX(QN$4:QN$40),"",INDEX(QM$4:QM$40,MATCH(ROW()-3,QN$4:QN$40,0)))</f>
      </c>
      <c r="QP35" t="str">
        <f>IF(COUNTIF('Final Calculation Sheet'!$AM35:$BS35,0)&gt;0,0,1)</f>
      </c>
      <c r="QQ35" t="str">
        <f>IF($AI$35="",FALSE,SUMPRODUCT(('Final Calculation Sheet'!$A$4:$A$40=$AI$35)*($QP$4:$QP$40=1))&gt;0)</f>
      </c>
      <c r="QR35" t="str">
        <f>=$QR34+--($QQ35)</f>
      </c>
      <c r="QS35" t="str">
        <f>IF(ROW()-3&gt;MAX($QR$4:$QR$40),"",INDEX($AI$4:$AI$40,MATCH(ROW()-3,$QR$4:$QR$40,0)))</f>
      </c>
      <c r="QT35" t="str">
        <f>IF(COUNTIF('Final Calculation Sheet'!$AL35:$AL35,0)+COUNTIF('Final Calculation Sheet'!$AN35:$BS35,0)&gt;0,0,1)</f>
      </c>
      <c r="QU35" t="str">
        <f>IF($Y$35="",FALSE,SUMPRODUCT(('Final Calculation Sheet'!$B$4:$B$40=$Y$35)*($QT$4:$QT$40=1))&gt;0)</f>
      </c>
      <c r="QV35" t="str">
        <f>=$QV34+--($QU35)</f>
      </c>
      <c r="QW35" t="str">
        <f>IF(ROW()-3&gt;MAX($QV$4:$QV$40),"",INDEX($Y$4:$Y$40,MATCH(ROW()-3,$QV$4:$QV$40,0)))</f>
      </c>
      <c r="QX35" t="str">
        <f>IF(COUNTIF('Final Calculation Sheet'!$AL35:$AM35,0)+COUNTIF('Final Calculation Sheet'!$AO35:$BS35,0)&gt;0,0,1)</f>
      </c>
      <c r="QY35" t="str">
        <f>IF($AS$35="",FALSE,SUMPRODUCT(('Final Calculation Sheet'!$C$4:$C$40=$AS$35)*($QX$4:$QX$40=1))&gt;0)</f>
      </c>
      <c r="QZ35" t="str">
        <f>=$QZ34+--($QY35)</f>
      </c>
      <c r="RA35" t="str">
        <f>IF(ROW()-3&gt;MAX($QZ$4:$QZ$40),"",INDEX($AS$4:$AS$40,MATCH(ROW()-3,$QZ$4:$QZ$40,0)))</f>
      </c>
      <c r="RB35" t="str">
        <f>IF(COUNTIF('Final Calculation Sheet'!$AL35:$AN35,0)+COUNTIF('Final Calculation Sheet'!$AP35:$BS35,0)&gt;0,0,1)</f>
      </c>
      <c r="RC35" t="str">
        <f>IF($AD$35="",FALSE,SUMPRODUCT(('Final Calculation Sheet'!$D$4:$D$40=$AD$35)*($RB$4:$RB$40=1))&gt;0)</f>
      </c>
      <c r="RD35" t="str">
        <f>=$RD34+--($RC35)</f>
      </c>
      <c r="RE35" t="str">
        <f>IF(ROW()-3&gt;MAX($RD$4:$RD$40),"",INDEX($AD$4:$AD$40,MATCH(ROW()-3,$RD$4:$RD$40,0)))</f>
      </c>
      <c r="RF35" t="str">
        <f>IF(COUNTIF('Final Calculation Sheet'!$AL35:$AO35,0)+COUNTIF('Final Calculation Sheet'!$AQ35:$BS35,0)&gt;0,0,1)</f>
      </c>
      <c r="RG35" t="str">
        <f>IF($AN$35="",FALSE,SUMPRODUCT(('Final Calculation Sheet'!$E$4:$E$40=$AN$35)*($RF$4:$RF$40=1))&gt;0)</f>
      </c>
      <c r="RH35" t="str">
        <f>=$RH34+--($RG35)</f>
      </c>
      <c r="RI35" t="str">
        <f>IF(ROW()-3&gt;MAX($RH$4:$RH$40),"",INDEX($AN$4:$AN$40,MATCH(ROW()-3,$RH$4:$RH$40,0)))</f>
      </c>
      <c r="RJ35" t="str">
        <f>IF(COUNTIF('Final Calculation Sheet'!$AL35:$AP35,0)+COUNTIF('Final Calculation Sheet'!$AR35:$BS35,0)&gt;0,0,1)</f>
      </c>
      <c r="RK35" t="str">
        <f>IF($O$35="",FALSE,SUMPRODUCT(('Final Calculation Sheet'!$F$4:$F$40=$O$35)*($RJ$4:$RJ$40=1))&gt;0)</f>
      </c>
      <c r="RL35" t="str">
        <f>=$RL34+--($RK35)</f>
      </c>
      <c r="RM35" t="str">
        <f>IF(ROW()-3&gt;MAX($RL$4:$RL$40),"",INDEX($O$4:$O$40,MATCH(ROW()-3,$RL$4:$RL$40,0)))</f>
      </c>
      <c r="RN35" t="str">
        <f>IF(COUNTIF('Final Calculation Sheet'!$AL35:$AQ35,0)+COUNTIF('Final Calculation Sheet'!$AS35:$BS35,0)&gt;0,0,1)</f>
      </c>
      <c r="RO35" t="str">
        <f>IF($T$35="",FALSE,SUMPRODUCT(('Final Calculation Sheet'!$G$4:$G$40=$T$35)*($RN$4:$RN$40=1))&gt;0)</f>
      </c>
      <c r="RP35" t="str">
        <f>=$RP34+--($RO35)</f>
      </c>
      <c r="RQ35" t="str">
        <f>IF(ROW()-3&gt;MAX($RP$4:$RP$40),"",INDEX($T$4:$T$40,MATCH(ROW()-3,$RP$4:$RP$40,0)))</f>
      </c>
      <c r="RR35" t="str">
        <f>IF(COUNTIF('Final Calculation Sheet'!$AL35:$AR35,0)+COUNTIF('Final Calculation Sheet'!$AT35:$BS35,0)&gt;0,0,1)</f>
      </c>
      <c r="RS35" t="str">
        <f>IF($AX$35="",FALSE,SUMPRODUCT(('Final Calculation Sheet'!$H$4:$H$40=$AX$35)*($RR$4:$RR$40=1))&gt;0)</f>
      </c>
      <c r="RT35" t="str">
        <f>=$RT34+--($RS35)</f>
      </c>
      <c r="RU35" t="str">
        <f>IF(ROW()-3&gt;MAX($RT$4:$RT$40),"",INDEX($AX$4:$AX$40,MATCH(ROW()-3,$RT$4:$RT$40,0)))</f>
      </c>
      <c r="RV35" t="str">
        <f>IF(COUNTIF('Final Calculation Sheet'!$AL35:$AS35,0)+COUNTIF('Final Calculation Sheet'!$AU35:$BS35,0)&gt;0,0,1)</f>
      </c>
      <c r="RW35" t="str">
        <f>IF($BC$35="",FALSE,SUMPRODUCT(('Final Calculation Sheet'!$I$4:$I$40=$BC$35)*($RV$4:$RV$40=1))&gt;0)</f>
      </c>
      <c r="RX35" t="str">
        <f>=$RX34+--($RW35)</f>
      </c>
      <c r="RY35" t="str">
        <f>IF(ROW()-3&gt;MAX($RX$4:$RX$40),"",INDEX($BC$4:$BC$40,MATCH(ROW()-3,$RX$4:$RX$40,0)))</f>
      </c>
      <c r="RZ35" t="str">
        <f>IF(COUNTIF('Final Calculation Sheet'!$AL35:$AT35,0)+COUNTIF('Final Calculation Sheet'!$AV35:$BS35,0)&gt;0,0,1)</f>
      </c>
      <c r="SA35" t="str">
        <f>IF($BH$35="",FALSE,SUMPRODUCT(('Final Calculation Sheet'!$J$4:$J$40=$BH$35)*($RZ$4:$RZ$40=1))&gt;0)</f>
      </c>
      <c r="SB35" t="str">
        <f>=$SB34+--($SA35)</f>
      </c>
      <c r="SC35" t="str">
        <f>IF(ROW()-3&gt;MAX($SB$4:$SB$40),"",INDEX($BH$4:$BH$40,MATCH(ROW()-3,$SB$4:$SB$40,0)))</f>
      </c>
      <c r="SD35" t="str">
        <f>IF(COUNTIF('Final Calculation Sheet'!$AL35:$AU35,0)+COUNTIF('Final Calculation Sheet'!$AW35:$BS35,0)&gt;0,0,1)</f>
      </c>
      <c r="SE35" t="str">
        <f>IF($BM$35="",FALSE,SUMPRODUCT(('Final Calculation Sheet'!$K$4:$K$40=$BM$35)*($SD$4:$SD$40=1))&gt;0)</f>
      </c>
      <c r="SF35" t="str">
        <f>=$SF34+--($SE35)</f>
      </c>
      <c r="SG35" t="str">
        <f>IF(ROW()-3&gt;MAX($SF$4:$SF$40),"",INDEX($BM$4:$BM$40,MATCH(ROW()-3,$SF$4:$SF$40,0)))</f>
      </c>
      <c r="SH35" t="str">
        <f>IF(COUNTIF('Final Calculation Sheet'!$AL35:$AV35,0)+COUNTIF('Final Calculation Sheet'!$AX35:$BS35,0)&gt;0,0,1)</f>
      </c>
      <c r="SI35" t="str">
        <f>IF($BR$35="",FALSE,SUMPRODUCT(('Final Calculation Sheet'!$L$4:$L$40=$BR$35)*($SH$4:$SH$40=1))&gt;0)</f>
      </c>
      <c r="SJ35" t="str">
        <f>=$SJ34+--($SI35)</f>
      </c>
      <c r="SK35" t="str">
        <f>IF(ROW()-3&gt;MAX($SJ$4:$SJ$40),"",INDEX($BR$4:$BR$40,MATCH(ROW()-3,$SJ$4:$SJ$40,0)))</f>
      </c>
      <c r="SL35" t="str">
        <f>IF(COUNTIF('Final Calculation Sheet'!$AL35:$AW35,0)+COUNTIF('Final Calculation Sheet'!$AY35:$BS35,0)&gt;0,0,1)</f>
      </c>
      <c r="SM35" t="str">
        <f>IF($BW$35="",FALSE,SUMPRODUCT(('Final Calculation Sheet'!$M$4:$M$40=$BW$35)*($SL$4:$SL$40=1))&gt;0)</f>
      </c>
      <c r="SN35" t="str">
        <f>=$SN34+--($SM35)</f>
      </c>
      <c r="SO35" t="str">
        <f>IF(ROW()-3&gt;MAX($SN$4:$SN$40),"",INDEX($BW$4:$BW$40,MATCH(ROW()-3,$SN$4:$SN$40,0)))</f>
      </c>
      <c r="SP35" t="str">
        <f>IF(COUNTIF('Final Calculation Sheet'!$AL35:$AX35,0)+COUNTIF('Final Calculation Sheet'!$AZ35:$BS35,0)&gt;0,0,1)</f>
      </c>
      <c r="SQ35" t="str">
        <f>IF($CB$35="",FALSE,SUMPRODUCT(('Final Calculation Sheet'!$N$4:$N$40=$CB$35)*($SP$4:$SP$40=1))&gt;0)</f>
      </c>
      <c r="SR35" t="str">
        <f>=$SR34+--($SQ35)</f>
      </c>
      <c r="SS35" t="str">
        <f>IF(ROW()-3&gt;MAX($SR$4:$SR$40),"",INDEX($CB$4:$CB$40,MATCH(ROW()-3,$SR$4:$SR$40,0)))</f>
      </c>
      <c r="ST35" t="str">
        <f>IF(COUNTIF('Final Calculation Sheet'!$AL35:$AY35,0)+COUNTIF('Final Calculation Sheet'!$BA35:$BS35,0)&gt;0,0,1)</f>
      </c>
      <c r="SU35" t="str">
        <f>IF($CG$35="",FALSE,SUMPRODUCT(('Final Calculation Sheet'!$O$4:$O$40=$CG$35)*($ST$4:$ST$40=1))&gt;0)</f>
      </c>
      <c r="SV35" t="str">
        <f>=$SV34+--($SU35)</f>
      </c>
      <c r="SW35" t="str">
        <f>IF(ROW()-3&gt;MAX($SV$4:$SV$40),"",INDEX($CG$4:$CG$40,MATCH(ROW()-3,$SV$4:$SV$40,0)))</f>
      </c>
      <c r="SX35" t="str">
        <f>IF(COUNTIF('Final Calculation Sheet'!$AL35:$AZ35,0)+COUNTIF('Final Calculation Sheet'!$BB35:$BS35,0)&gt;0,0,1)</f>
      </c>
      <c r="SY35" t="str">
        <f>IF($CL$35="",FALSE,SUMPRODUCT(('Final Calculation Sheet'!$P$4:$P$40=$CL$35)*($SX$4:$SX$40=1))&gt;0)</f>
      </c>
      <c r="SZ35" t="str">
        <f>=$SZ34+--($SY35)</f>
      </c>
      <c r="TA35" t="str">
        <f>IF(ROW()-3&gt;MAX($SZ$4:$SZ$40),"",INDEX($CL$4:$CL$40,MATCH(ROW()-3,$SZ$4:$SZ$40,0)))</f>
      </c>
      <c r="TB35" t="str">
        <f>IF(COUNTIF('Final Calculation Sheet'!$AL35:$BA35,0)+COUNTIF('Final Calculation Sheet'!$BC35:$BS35,0)&gt;0,0,1)</f>
      </c>
      <c r="TC35" t="str">
        <f>IF($CQ$35="",FALSE,SUMPRODUCT(('Final Calculation Sheet'!$Q$4:$Q$40=$CQ$35)*($TB$4:$TB$40=1))&gt;0)</f>
      </c>
      <c r="TD35" t="str">
        <f>=$TD34+--($TC35)</f>
      </c>
      <c r="TE35" t="str">
        <f>IF(ROW()-3&gt;MAX($TD$4:$TD$40),"",INDEX($CQ$4:$CQ$40,MATCH(ROW()-3,$TD$4:$TD$40,0)))</f>
      </c>
      <c r="TF35" t="str">
        <f>IF(COUNTIF('Final Calculation Sheet'!$AL35:$BB35,0)+COUNTIF('Final Calculation Sheet'!$BD35:$BS35,0)&gt;0,0,1)</f>
      </c>
      <c r="TG35" t="str">
        <f>IF($CV$35="",FALSE,SUMPRODUCT(('Final Calculation Sheet'!$R$4:$R$40=$CV$35)*($TF$4:$TF$40=1))&gt;0)</f>
      </c>
      <c r="TH35" t="str">
        <f>=$TH34+--($TG35)</f>
      </c>
      <c r="TI35" t="str">
        <f>IF(ROW()-3&gt;MAX($TH$4:$TH$40),"",INDEX($CV$4:$CV$40,MATCH(ROW()-3,$TH$4:$TH$40,0)))</f>
      </c>
      <c r="TJ35" t="str">
        <f>IF(COUNTIF('Final Calculation Sheet'!$AL35:$BC35,0)+COUNTIF('Final Calculation Sheet'!$BE35:$BS35,0)&gt;0,0,1)</f>
      </c>
      <c r="TK35" t="str">
        <f>IF($DA$35="",FALSE,SUMPRODUCT(('Final Calculation Sheet'!$S$4:$S$40=$DA$35)*($TJ$4:$TJ$40=1))&gt;0)</f>
      </c>
      <c r="TL35" t="str">
        <f>=$TL34+--($TK35)</f>
      </c>
      <c r="TM35" t="str">
        <f>IF(ROW()-3&gt;MAX($TL$4:$TL$40),"",INDEX($DA$4:$DA$40,MATCH(ROW()-3,$TL$4:$TL$40,0)))</f>
      </c>
      <c r="TN35" t="str">
        <f>IF(COUNTIF('Final Calculation Sheet'!$AL35:$BD35,0)+COUNTIF('Final Calculation Sheet'!$BF35:$BS35,0)&gt;0,0,1)</f>
      </c>
      <c r="TO35" t="str">
        <f>IF($DF$35="",FALSE,SUMPRODUCT(('Final Calculation Sheet'!$T$4:$T$40=$DF$35)*($TN$4:$TN$40=1))&gt;0)</f>
      </c>
      <c r="TP35" t="str">
        <f>=$TP34+--($TO35)</f>
      </c>
      <c r="TQ35" t="str">
        <f>IF(ROW()-3&gt;MAX($TP$4:$TP$40),"",INDEX($DF$4:$DF$40,MATCH(ROW()-3,$TP$4:$TP$40,0)))</f>
      </c>
      <c r="TR35" t="str">
        <f>IF(COUNTIF('Final Calculation Sheet'!$AL35:$BE35,0)+COUNTIF('Final Calculation Sheet'!$BG35:$BS35,0)&gt;0,0,1)</f>
      </c>
      <c r="TS35" t="str">
        <f>IF($DK$35="",FALSE,SUMPRODUCT(('Final Calculation Sheet'!$U$4:$U$40=$DK$35)*($TR$4:$TR$40=1))&gt;0)</f>
      </c>
      <c r="TT35" t="str">
        <f>=$TT34+--($TS35)</f>
      </c>
      <c r="TU35" t="str">
        <f>IF(ROW()-3&gt;MAX($TT$4:$TT$40),"",INDEX($DK$4:$DK$40,MATCH(ROW()-3,$TT$4:$TT$40,0)))</f>
      </c>
      <c r="TV35" t="str">
        <f>IF(COUNTIF('Final Calculation Sheet'!$AL35:$BF35,0)+COUNTIF('Final Calculation Sheet'!$BH35:$BS35,0)&gt;0,0,1)</f>
      </c>
      <c r="TW35" t="str">
        <f>IF($DP$35="",FALSE,SUMPRODUCT(('Final Calculation Sheet'!$V$4:$V$40=$DP$35)*($TV$4:$TV$40=1))&gt;0)</f>
      </c>
      <c r="TX35" t="str">
        <f>=$TX34+--($TW35)</f>
      </c>
      <c r="TY35" t="str">
        <f>IF(ROW()-3&gt;MAX($TX$4:$TX$40),"",INDEX($DP$4:$DP$40,MATCH(ROW()-3,$TX$4:$TX$40,0)))</f>
      </c>
      <c r="TZ35" t="str">
        <f>IF(COUNTIF('Final Calculation Sheet'!$AL35:$BG35,0)+COUNTIF('Final Calculation Sheet'!$BI35:$BS35,0)&gt;0,0,1)</f>
      </c>
      <c r="UA35" t="str">
        <f>IF($DU$35="",FALSE,SUMPRODUCT(('Final Calculation Sheet'!$W$4:$W$40=$DU$35)*($TZ$4:$TZ$40=1))&gt;0)</f>
      </c>
      <c r="UB35" t="str">
        <f>=$UB34+--($UA35)</f>
      </c>
      <c r="UC35" t="str">
        <f>IF(ROW()-3&gt;MAX($UB$4:$UB$40),"",INDEX($DU$4:$DU$40,MATCH(ROW()-3,$UB$4:$UB$40,0)))</f>
      </c>
      <c r="UD35" t="str">
        <f>IF(COUNTIF('Final Calculation Sheet'!$AL35:$BH35,0)+COUNTIF('Final Calculation Sheet'!$BJ35:$BS35,0)&gt;0,0,1)</f>
      </c>
      <c r="UE35" t="str">
        <f>IF($DZ$35="",FALSE,SUMPRODUCT(('Final Calculation Sheet'!$X$4:$X$40=$DZ$35)*($UD$4:$UD$40=1))&gt;0)</f>
      </c>
      <c r="UF35" t="str">
        <f>=$UF34+--($UE35)</f>
      </c>
      <c r="UG35" t="str">
        <f>IF(ROW()-3&gt;MAX($UF$4:$UF$40),"",INDEX($DZ$4:$DZ$40,MATCH(ROW()-3,$UF$4:$UF$40,0)))</f>
      </c>
      <c r="UH35" t="str">
        <f>IF(COUNTIF('Final Calculation Sheet'!$AL35:$BI35,0)+COUNTIF('Final Calculation Sheet'!$BK35:$BS35,0)&gt;0,0,1)</f>
      </c>
      <c r="UI35" t="str">
        <f>IF($EE$35="",FALSE,SUMPRODUCT(('Final Calculation Sheet'!$Y$4:$Y$40=$EE$35)*($UH$4:$UH$40=1))&gt;0)</f>
      </c>
      <c r="UJ35" t="str">
        <f>=$UJ34+--($UI35)</f>
      </c>
      <c r="UK35" t="str">
        <f>IF(ROW()-3&gt;MAX($UJ$4:$UJ$40),"",INDEX($EE$4:$EE$40,MATCH(ROW()-3,$UJ$4:$UJ$40,0)))</f>
      </c>
      <c r="UL35" t="str">
        <f>IF(COUNTIF('Final Calculation Sheet'!$AL35:$BJ35,0)+COUNTIF('Final Calculation Sheet'!$BL35:$BS35,0)&gt;0,0,1)</f>
      </c>
      <c r="UM35" t="str">
        <f>IF($EJ$35="",FALSE,SUMPRODUCT(('Final Calculation Sheet'!$Z$4:$Z$40=$EJ$35)*($UL$4:$UL$40=1))&gt;0)</f>
      </c>
      <c r="UN35" t="str">
        <f>=$UN34+--($UM35)</f>
      </c>
      <c r="UO35" t="str">
        <f>IF(ROW()-3&gt;MAX($UN$4:$UN$40),"",INDEX($EJ$4:$EJ$40,MATCH(ROW()-3,$UN$4:$UN$40,0)))</f>
      </c>
      <c r="UP35" t="str">
        <f>IF(COUNTIF('Final Calculation Sheet'!$AL35:$BK35,0)+COUNTIF('Final Calculation Sheet'!$BM35:$BS35,0)&gt;0,0,1)</f>
      </c>
      <c r="UQ35" t="str">
        <f>IF($EO$35="",FALSE,SUMPRODUCT(('Final Calculation Sheet'!$AA$4:$AA$40=$EO$35)*($UP$4:$UP$40=1))&gt;0)</f>
      </c>
      <c r="UR35" t="str">
        <f>=$UR34+--($UQ35)</f>
      </c>
      <c r="US35" t="str">
        <f>IF(ROW()-3&gt;MAX($UR$4:$UR$40),"",INDEX($EO$4:$EO$40,MATCH(ROW()-3,$UR$4:$UR$40,0)))</f>
      </c>
      <c r="UT35" t="str">
        <f>IF(COUNTIF('Final Calculation Sheet'!$AL35:$BL35,0)+COUNTIF('Final Calculation Sheet'!$BN35:$BS35,0)&gt;0,0,1)</f>
      </c>
      <c r="UU35" t="str">
        <f>IF($ET$35="",FALSE,SUMPRODUCT(('Final Calculation Sheet'!$AB$4:$AB$40=$ET$35)*($UT$4:$UT$40=1))&gt;0)</f>
      </c>
      <c r="UV35" t="str">
        <f>=$UV34+--($UU35)</f>
      </c>
      <c r="UW35" t="str">
        <f>IF(ROW()-3&gt;MAX($UV$4:$UV$40),"",INDEX($ET$4:$ET$40,MATCH(ROW()-3,$UV$4:$UV$40,0)))</f>
      </c>
      <c r="UX35" t="str">
        <f>IF(COUNTIF('Final Calculation Sheet'!$AL35:$BM35,0)+COUNTIF('Final Calculation Sheet'!$BO35:$BS35,0)&gt;0,0,1)</f>
      </c>
      <c r="UY35" t="str">
        <f>IF($EY$35="",FALSE,SUMPRODUCT(('Final Calculation Sheet'!$AC$4:$AC$40=$EY$35)*($UX$4:$UX$40=1))&gt;0)</f>
      </c>
      <c r="UZ35" t="str">
        <f>=$UZ34+--($UY35)</f>
      </c>
      <c r="VA35" t="str">
        <f>IF(ROW()-3&gt;MAX($UZ$4:$UZ$40),"",INDEX($EY$4:$EY$40,MATCH(ROW()-3,$UZ$4:$UZ$40,0)))</f>
      </c>
      <c r="VB35" t="str">
        <f>IF(COUNTIF('Final Calculation Sheet'!$AL35:$BN35,0)+COUNTIF('Final Calculation Sheet'!$BP35:$BS35,0)&gt;0,0,1)</f>
      </c>
      <c r="VC35" t="str">
        <f>IF($FD$35="",FALSE,SUMPRODUCT(('Final Calculation Sheet'!$AD$4:$AD$40=$FD$35)*($VB$4:$VB$40=1))&gt;0)</f>
      </c>
      <c r="VD35" t="str">
        <f>=$VD34+--($VC35)</f>
      </c>
      <c r="VE35" t="str">
        <f>IF(ROW()-3&gt;MAX($VD$4:$VD$40),"",INDEX($FD$4:$FD$40,MATCH(ROW()-3,$VD$4:$VD$40,0)))</f>
      </c>
      <c r="VF35" t="str">
        <f>IF(COUNTIF('Final Calculation Sheet'!$AL35:$BO35,0)+COUNTIF('Final Calculation Sheet'!$BQ35:$BS35,0)&gt;0,0,1)</f>
      </c>
      <c r="VG35" t="str">
        <f>IF($FI$35="",FALSE,SUMPRODUCT(('Final Calculation Sheet'!$AE$4:$AE$40=$FI$35)*($VF$4:$VF$40=1))&gt;0)</f>
      </c>
      <c r="VH35" t="str">
        <f>=$VH34+--($VG35)</f>
      </c>
      <c r="VI35" t="str">
        <f>IF(ROW()-3&gt;MAX($VH$4:$VH$40),"",INDEX($FI$4:$FI$40,MATCH(ROW()-3,$VH$4:$VH$40,0)))</f>
      </c>
      <c r="VJ35" t="str">
        <f>IF(COUNTIF('Final Calculation Sheet'!$AL35:$BP35,0)+COUNTIF('Final Calculation Sheet'!$BR35:$BS35,0)&gt;0,0,1)</f>
      </c>
      <c r="VK35" t="str">
        <f>IF($FN$35="",FALSE,SUMPRODUCT(('Final Calculation Sheet'!$AF$4:$AF$40=$FN$35)*($VJ$4:$VJ$40=1))&gt;0)</f>
      </c>
      <c r="VL35" t="str">
        <f>=$VL34+--($VK35)</f>
      </c>
      <c r="VM35" t="str">
        <f>IF(ROW()-3&gt;MAX($VL$4:$VL$40),"",INDEX($FN$4:$FN$40,MATCH(ROW()-3,$VL$4:$VL$40,0)))</f>
      </c>
      <c r="VN35" t="str">
        <f>IF(COUNTIF('Final Calculation Sheet'!$AL35:$BQ35,0)+COUNTIF('Final Calculation Sheet'!$BS35:$BS35,0)&gt;0,0,1)</f>
      </c>
      <c r="VO35" t="str">
        <f>IF($FS$35="",FALSE,SUMPRODUCT(('Final Calculation Sheet'!$AG$4:$AG$40=$FS$35)*($VN$4:$VN$40=1))&gt;0)</f>
      </c>
      <c r="VP35" t="str">
        <f>=$VP34+--($VO35)</f>
      </c>
      <c r="VQ35" t="str">
        <f>IF(ROW()-3&gt;MAX($VP$4:$VP$40),"",INDEX($FS$4:$FS$40,MATCH(ROW()-3,$VP$4:$VP$40,0)))</f>
      </c>
      <c r="VR35" t="str">
        <f>IF(COUNTIF('Final Calculation Sheet'!$AL35:$BR35,0)&gt;0,0,1)</f>
      </c>
      <c r="VS35" t="str">
        <f>IF($QO$35="",FALSE,SUMPRODUCT(('Final Calculation Sheet'!$AH$4:$AH$40=$QO$35)*($VR$4:$VR$40=1))&gt;0)</f>
      </c>
      <c r="VT35" t="str">
        <f>=$VT34+--($VS35)</f>
      </c>
      <c r="VU35" t="str">
        <f>IF(ROW()-3&gt;MAX($VT$4:$VT$40),"",INDEX($QO$4:$QO$40,MATCH(ROW()-3,$VT$4:$VT$40,0)))</f>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IF(COUNTIF('Live Search'!BM$35:BM$35,0)+COUNTIF('Live Search'!B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D36">
        <f>IF($O$36="",FALSE,SUMPRODUCT(('Final Calculation Sheet'!$F$4:$F$40=$O$36)*($GC$6:$GC$42=1))&gt;0)</f>
        <v/>
      </c>
      <c r="GE36">
        <f>$GE$35+--($GD36)</f>
        <v/>
      </c>
      <c r="GF36">
        <f>IF(ROW()-3&gt;MAX($GE$4:$GE$40),"",INDEX($O$4:$O$40,MATCH(ROW()-3,$GE$4:$GE$40,0)))</f>
        <v/>
      </c>
      <c r="GG36">
        <f>IF(COUNTIF('Live Search'!BM$35:BN$35,0)+COUNTIF('Live Search'!B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H36">
        <f>IF($T$36="",FALSE,SUMPRODUCT(('Final Calculation Sheet'!$G$4:$G$40=$T$36)*($GG$6:$GG$42=1))&gt;0)</f>
        <v/>
      </c>
      <c r="GI36">
        <f>$GI$35+--($GH36)</f>
        <v/>
      </c>
      <c r="GJ36">
        <f>IF(ROW()-3&gt;MAX($GI$4:$GI$40),"",INDEX($T$4:$T$40,MATCH(ROW()-3,$GI$4:$GI$40,0)))</f>
        <v/>
      </c>
      <c r="GK36">
        <f>IF(COUNTIF('Live Search'!BM$35:BP$35,0)+COUNTIF('Live Search'!B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L36">
        <f>IF($AD$36="",FALSE,SUMPRODUCT(('Final Calculation Sheet'!$D$4:$D$40=$AD$36)*($GK$6:$GK$42=1))&gt;0)</f>
        <v/>
      </c>
      <c r="GM36">
        <f>$GM$35+--($GL36)</f>
        <v/>
      </c>
      <c r="GN36">
        <f>IF(ROW()-3&gt;MAX($GM$4:$GM$40),"",INDEX($AD$4:$AD$40,MATCH(ROW()-3,$GM$4:$GM$40,0)))</f>
        <v/>
      </c>
      <c r="GO36">
        <f>IF(COUNTIF('Live Search'!BM$35:BQ$35,0)+COUNTIF('Live Search'!B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P36">
        <f>IF($AI$36="",FALSE,SUMPRODUCT(('Final Calculation Sheet'!$A$4:$A$40=$AI$36)*($GO$6:$GO$42=1))&gt;0)</f>
        <v/>
      </c>
      <c r="GQ36">
        <f>$GQ$35+--($GP36)</f>
        <v/>
      </c>
      <c r="GR36">
        <f>IF(ROW()-3&gt;MAX($GQ$4:$GQ$40),"",INDEX($AI$4:$AI$40,MATCH(ROW()-3,$GQ$4:$GQ$40,0)))</f>
        <v/>
      </c>
      <c r="GS36">
        <f>IF(COUNTIF('Live Search'!BM$35:BR$35,0)+COUNTIF('Live Search'!B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T36">
        <f>IF($AN$36="",FALSE,SUMPRODUCT(('Final Calculation Sheet'!$E$4:$E$40=$AN$36)*($GS$6:$GS$42=1))&gt;0)</f>
        <v/>
      </c>
      <c r="GU36">
        <f>$GU$35+--($GT36)</f>
        <v/>
      </c>
      <c r="GV36">
        <f>IF(ROW()-3&gt;MAX($GU$4:$GU$40),"",INDEX($AN$4:$AN$40,MATCH(ROW()-3,$GU$4:$GU$40,0)))</f>
        <v/>
      </c>
      <c r="GW36">
        <f>IF(COUNTIF('Live Search'!BM$35:BS$35,0)+COUNTIF('Live Search'!B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GX36">
        <f>IF($AS$36="",FALSE,SUMPRODUCT(('Final Calculation Sheet'!$C$4:$C$40=$AS$36)*($GW$6:$GW$42=1))&gt;0)</f>
        <v/>
      </c>
      <c r="GY36">
        <f>$GY$35+--($GX36)</f>
        <v/>
      </c>
      <c r="GZ36">
        <f>IF(ROW()-3&gt;MAX($GY$4:$GY$40),"",INDEX($AS$4:$AS$40,MATCH(ROW()-3,$GY$4:$GY$40,0)))</f>
        <v/>
      </c>
      <c r="HA36">
        <f>IF(COUNTIF('Live Search'!BM$35:BT$35,0)+COUNTIF('Live Search'!BV$35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B36">
        <f>IF($AX$36="",FALSE,SUMPRODUCT(('Final Calculation Sheet'!$H$4:$H$40=$AX$36)*($HA$6:$HA$42=1))&gt;0)</f>
        <v/>
      </c>
      <c r="HC36">
        <f>$HC$35+--($HB36)</f>
        <v/>
      </c>
      <c r="HD36">
        <f>IF(ROW()-3&gt;MAX($HC$4:$HC$40),"",INDEX($AX$4:$AX$40,MATCH(ROW()-3,$HC$4:$HC$40,0)))</f>
        <v/>
      </c>
      <c r="HE36">
        <f>IF(COUNTIF('Live Search'!BM$35:BU$35,0)+COUNTIF('Live Search'!BW$35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F36">
        <f>IF($BC$36="",FALSE,SUMPRODUCT(('Final Calculation Sheet'!$I$4:$I$40=$BC$36)*($HE$6:$HE$42=1))&gt;0)</f>
        <v/>
      </c>
      <c r="HG36">
        <f>$HG$35+--($HF36)</f>
        <v/>
      </c>
      <c r="HH36">
        <f>IF(ROW()-3&gt;MAX($HG$4:$HG$40),"",INDEX($BC$4:$BC$40,MATCH(ROW()-3,$HG$4:$HG$40,0)))</f>
        <v/>
      </c>
      <c r="HI36">
        <f>IF(COUNTIF('Live Search'!BM$35:BV$35,0)+COUNTIF('Live Search'!BX$35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J36">
        <f>IF($BH$36="",FALSE,SUMPRODUCT(('Final Calculation Sheet'!$J$4:$J$40=$BH$36)*($HI$6:$HI$42=1))&gt;0)</f>
        <v/>
      </c>
      <c r="HK36">
        <f>$HK$35+--($HJ36)</f>
        <v/>
      </c>
      <c r="HL36">
        <f>IF(ROW()-3&gt;MAX($HK$4:$HK$40),"",INDEX($BH$4:$BH$40,MATCH(ROW()-3,$HK$4:$HK$40,0)))</f>
        <v/>
      </c>
      <c r="HM36">
        <f>IF(COUNTIF('Live Search'!BM$35:BW$35,0)+COUNTIF('Live Search'!BY$35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N36">
        <f>IF($BM$36="",FALSE,SUMPRODUCT(('Final Calculation Sheet'!$K$4:$K$40=$BM$36)*($HM$6:$HM$42=1))&gt;0)</f>
        <v/>
      </c>
      <c r="HO36">
        <f>$HO$35+--($HN36)</f>
        <v/>
      </c>
      <c r="HP36">
        <f>IF(ROW()-3&gt;MAX($HO$4:$HO$40),"",INDEX($BM$4:$BM$40,MATCH(ROW()-3,$HO$4:$HO$40,0)))</f>
        <v/>
      </c>
      <c r="HQ36">
        <f>IF(COUNTIF('Live Search'!BM$35:BX$35,0)+COUNTIF('Live Search'!BZ$35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R36">
        <f>IF($BR$36="",FALSE,SUMPRODUCT(('Final Calculation Sheet'!$L$4:$L$40=$BR$36)*($HQ$6:$HQ$42=1))&gt;0)</f>
        <v/>
      </c>
      <c r="HS36">
        <f>$HS$35+--($HR36)</f>
        <v/>
      </c>
      <c r="HT36">
        <f>IF(ROW()-3&gt;MAX($HS$4:$HS$40),"",INDEX($BR$4:$BR$40,MATCH(ROW()-3,$HS$4:$HS$40,0)))</f>
        <v/>
      </c>
      <c r="HU36">
        <f>IF(COUNTIF('Live Search'!BM$35:BY$35,0)+COUNTIF('Live Search'!CA$35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V36">
        <f>IF($BW$36="",FALSE,SUMPRODUCT(('Final Calculation Sheet'!$M$4:$M$40=$BW$36)*($HU$6:$HU$42=1))&gt;0)</f>
        <v/>
      </c>
      <c r="HW36">
        <f>$HW$35+--($HV36)</f>
        <v/>
      </c>
      <c r="HX36">
        <f>IF(ROW()-3&gt;MAX($HW$4:$HW$40),"",INDEX($BW$4:$BW$40,MATCH(ROW()-3,$HW$4:$HW$40,0)))</f>
        <v/>
      </c>
      <c r="HY36">
        <f>IF(COUNTIF('Live Search'!BM$35:BZ$35,0)+COUNTIF('Live Search'!CB$35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HZ36">
        <f>IF($CB$36="",FALSE,SUMPRODUCT(('Final Calculation Sheet'!$N$4:$N$40=$CB$36)*($HY$6:$HY$42=1))&gt;0)</f>
        <v/>
      </c>
      <c r="IA36">
        <f>$IA$35+--($HZ36)</f>
        <v/>
      </c>
      <c r="IB36">
        <f>IF(ROW()-3&gt;MAX($IA$4:$IA$40),"",INDEX($CB$4:$CB$40,MATCH(ROW()-3,$IA$4:$IA$40,0)))</f>
        <v/>
      </c>
      <c r="IC36">
        <f>IF(COUNTIF('Live Search'!BM$35:CA$35,0)+COUNTIF('Live Search'!CC$35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D36">
        <f>IF($CG$36="",FALSE,SUMPRODUCT(('Final Calculation Sheet'!$O$4:$O$40=$CG$36)*($IC$6:$IC$42=1))&gt;0)</f>
        <v/>
      </c>
      <c r="IE36">
        <f>$IE$35+--($ID36)</f>
        <v/>
      </c>
      <c r="IF36">
        <f>IF(ROW()-3&gt;MAX($IE$4:$IE$40),"",INDEX($CG$4:$CG$40,MATCH(ROW()-3,$IE$4:$IE$40,0)))</f>
        <v/>
      </c>
      <c r="IG36">
        <f>IF(COUNTIF('Live Search'!BM$35:CB$35,0)+COUNTIF('Live Search'!CD$35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H36">
        <f>IF($CL$36="",FALSE,SUMPRODUCT(('Final Calculation Sheet'!$P$4:$P$40=$CL$36)*($IG$6:$IG$42=1))&gt;0)</f>
        <v/>
      </c>
      <c r="II36">
        <f>$II$35+--($IH36)</f>
        <v/>
      </c>
      <c r="IJ36">
        <f>IF(ROW()-3&gt;MAX($II$4:$II$40),"",INDEX($CL$4:$CL$40,MATCH(ROW()-3,$II$4:$II$40,0)))</f>
        <v/>
      </c>
      <c r="IK36">
        <f>IF(COUNTIF('Live Search'!BM$35:CC$35,0)+COUNTIF('Live Search'!CE$35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L36">
        <f>IF($CQ$36="",FALSE,SUMPRODUCT(('Final Calculation Sheet'!$Q$4:$Q$40=$CQ$36)*($IK$6:$IK$42=1))&gt;0)</f>
        <v/>
      </c>
      <c r="IM36">
        <f>$IM$35+--($IL36)</f>
        <v/>
      </c>
      <c r="IN36">
        <f>IF(ROW()-3&gt;MAX($IM$4:$IM$40),"",INDEX($CQ$4:$CQ$40,MATCH(ROW()-3,$IM$4:$IM$40,0)))</f>
        <v/>
      </c>
      <c r="IO36">
        <f>IF(COUNTIF('Live Search'!BM$35:CD$35,0)+COUNTIF('Live Search'!CF$35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P36">
        <f>IF($CV$36="",FALSE,SUMPRODUCT(('Final Calculation Sheet'!$R$4:$R$40=$CV$36)*($IO$6:$IO$42=1))&gt;0)</f>
        <v/>
      </c>
      <c r="IQ36">
        <f>$IQ$35+--($IP36)</f>
        <v/>
      </c>
      <c r="IR36">
        <f>IF(ROW()-3&gt;MAX($IQ$4:$IQ$40),"",INDEX($CV$4:$CV$40,MATCH(ROW()-3,$IQ$4:$IQ$40,0)))</f>
        <v/>
      </c>
      <c r="IS36">
        <f>IF(COUNTIF('Live Search'!BM$35:CE$35,0)+COUNTIF('Live Search'!CG$35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T36">
        <f>IF($DA$36="",FALSE,SUMPRODUCT(('Final Calculation Sheet'!$S$4:$S$40=$DA$36)*($IS$6:$IS$42=1))&gt;0)</f>
        <v/>
      </c>
      <c r="IU36">
        <f>$IU$35+--($IT36)</f>
        <v/>
      </c>
      <c r="IV36">
        <f>IF(ROW()-3&gt;MAX($IU$4:$IU$40),"",INDEX($DA$4:$DA$40,MATCH(ROW()-3,$IU$4:$IU$40,0)))</f>
        <v/>
      </c>
      <c r="IW36">
        <f>IF(COUNTIF('Live Search'!BM$35:CF$35,0)+COUNTIF('Live Search'!CH$35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IX36">
        <f>IF($DF$36="",FALSE,SUMPRODUCT(('Final Calculation Sheet'!$T$4:$T$40=$DF$36)*($IW$6:$IW$42=1))&gt;0)</f>
        <v/>
      </c>
      <c r="IY36">
        <f>$IY$35+--($IX36)</f>
        <v/>
      </c>
      <c r="IZ36">
        <f>IF(ROW()-3&gt;MAX($IY$4:$IY$40),"",INDEX($DF$4:$DF$40,MATCH(ROW()-3,$IY$4:$IY$40,0)))</f>
        <v/>
      </c>
      <c r="JA36">
        <f>IF(COUNTIF('Live Search'!BM$35:CG$35,0)+COUNTIF('Live Search'!CI$35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B36">
        <f>IF($DK$36="",FALSE,SUMPRODUCT(('Final Calculation Sheet'!$U$4:$U$40=$DK$36)*($JA$6:$JA$42=1))&gt;0)</f>
        <v/>
      </c>
      <c r="JC36">
        <f>$JC$35+--($JB36)</f>
        <v/>
      </c>
      <c r="JD36">
        <f>IF(ROW()-3&gt;MAX($JC$4:$JC$40),"",INDEX($DK$4:$DK$40,MATCH(ROW()-3,$JC$4:$JC$40,0)))</f>
        <v/>
      </c>
      <c r="JE36">
        <f>IF(COUNTIF('Live Search'!BM$35:CH$35,0)+COUNTIF('Live Search'!CJ$35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F36">
        <f>IF($DP$36="",FALSE,SUMPRODUCT(('Final Calculation Sheet'!$V$4:$V$40=$DP$36)*($JE$6:$JE$42=1))&gt;0)</f>
        <v/>
      </c>
      <c r="JG36">
        <f>$JG$35+--($JF36)</f>
        <v/>
      </c>
      <c r="JH36">
        <f>IF(ROW()-3&gt;MAX($JG$4:$JG$40),"",INDEX($DP$4:$DP$40,MATCH(ROW()-3,$JG$4:$JG$40,0)))</f>
        <v/>
      </c>
      <c r="JI36">
        <f>IF(COUNTIF('Live Search'!BM$35:CI$35,0)+COUNTIF('Live Search'!CK$35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J36">
        <f>IF($DU$36="",FALSE,SUMPRODUCT(('Final Calculation Sheet'!$W$4:$W$40=$DU$36)*($JI$6:$JI$42=1))&gt;0)</f>
        <v/>
      </c>
      <c r="JK36">
        <f>$JK$35+--($JJ36)</f>
        <v/>
      </c>
      <c r="JL36">
        <f>IF(ROW()-3&gt;MAX($JK$4:$JK$40),"",INDEX($DU$4:$DU$40,MATCH(ROW()-3,$JK$4:$JK$40,0)))</f>
        <v/>
      </c>
      <c r="JM36">
        <f>IF(COUNTIF('Live Search'!BM$35:CJ$35,0)+COUNTIF('Live Search'!CL$35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N36">
        <f>IF($DZ$36="",FALSE,SUMPRODUCT(('Final Calculation Sheet'!$X$4:$X$40=$DZ$36)*($JM$6:$JM$42=1))&gt;0)</f>
        <v/>
      </c>
      <c r="JO36">
        <f>$JO$35+--($JN36)</f>
        <v/>
      </c>
      <c r="JP36">
        <f>IF(ROW()-3&gt;MAX($JO$4:$JO$40),"",INDEX($DZ$4:$DZ$40,MATCH(ROW()-3,$JO$4:$JO$40,0)))</f>
        <v/>
      </c>
      <c r="JQ36">
        <f>IF(COUNTIF('Live Search'!BM$35:CK$35,0)+COUNTIF('Live Search'!C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R36">
        <f>IF($EE$36="",FALSE,SUMPRODUCT(('Final Calculation Sheet'!$Y$4:$Y$40=$EE$36)*($JQ$6:$JQ$42=1))&gt;0)</f>
        <v/>
      </c>
      <c r="JS36">
        <f>$JS$35+--($JR36)</f>
        <v/>
      </c>
      <c r="JT36">
        <f>IF(ROW()-3&gt;MAX($JS$4:$JS$40),"",INDEX($EE$4:$EE$40,MATCH(ROW()-3,$JS$4:$JS$40,0)))</f>
        <v/>
      </c>
      <c r="JU36">
        <f>IF(COUNTIF('Live Search'!BM$35:CL$35,0)+COUNTIF('Live Search'!CN$35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V36">
        <f>IF($EJ$36="",FALSE,SUMPRODUCT(('Final Calculation Sheet'!$Z$4:$Z$40=$EJ$36)*($JU$6:$JU$42=1))&gt;0)</f>
        <v/>
      </c>
      <c r="JW36">
        <f>$JW$35+--($JV36)</f>
        <v/>
      </c>
      <c r="JX36">
        <f>IF(ROW()-3&gt;MAX($JW$4:$JW$40),"",INDEX($EJ$4:$EJ$40,MATCH(ROW()-3,$JW$4:$JW$40,0)))</f>
        <v/>
      </c>
      <c r="JY36">
        <f>IF(COUNTIF('Live Search'!BM$35:CM$35,0)+COUNTIF('Live Search'!CO$35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JZ36">
        <f>IF($EO$36="",FALSE,SUMPRODUCT(('Final Calculation Sheet'!$AA$4:$AA$40=$EO$36)*($JY$6:$JY$42=1))&gt;0)</f>
        <v/>
      </c>
      <c r="KA36">
        <f>$KA$35+--($JZ36)</f>
        <v/>
      </c>
      <c r="KB36">
        <f>IF(ROW()-3&gt;MAX($KA$4:$KA$40),"",INDEX($EO$4:$EO$40,MATCH(ROW()-3,$KA$4:$KA$40,0)))</f>
        <v/>
      </c>
      <c r="KC36">
        <f>IF(COUNTIF('Live Search'!BM$35:CN$35,0)+COUNTIF('Live Search'!CP$35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D36">
        <f>IF($ET$36="",FALSE,SUMPRODUCT(('Final Calculation Sheet'!$AB$4:$AB$40=$ET$36)*($KC$6:$KC$42=1))&gt;0)</f>
        <v/>
      </c>
      <c r="KE36">
        <f>$KE$35+--($KD36)</f>
        <v/>
      </c>
      <c r="KF36">
        <f>IF(ROW()-3&gt;MAX($KE$4:$KE$40),"",INDEX($ET$4:$ET$40,MATCH(ROW()-3,$KE$4:$KE$40,0)))</f>
        <v/>
      </c>
      <c r="KG36">
        <f>IF(COUNTIF('Live Search'!BM$35:CO$35,0)+COUNTIF('Live Search'!CQ$35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H36">
        <f>IF($EY$36="",FALSE,SUMPRODUCT(('Final Calculation Sheet'!$AC$4:$AC$40=$EY$36)*($KG$6:$KG$42=1))&gt;0)</f>
        <v/>
      </c>
      <c r="KI36">
        <f>$KI$35+--($KH36)</f>
        <v/>
      </c>
      <c r="KJ36">
        <f>IF(ROW()-3&gt;MAX($KI$4:$KI$40),"",INDEX($EY$4:$EY$40,MATCH(ROW()-3,$KI$4:$KI$40,0)))</f>
        <v/>
      </c>
      <c r="KK36">
        <f>IF(COUNTIF('Live Search'!BM$35:CP$35,0)+COUNTIF('Live Search'!CR$35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L36">
        <f>IF($FD$36="",FALSE,SUMPRODUCT(('Final Calculation Sheet'!$AD$4:$AD$40=$FD$36)*($KK$6:$KK$42=1))&gt;0)</f>
        <v/>
      </c>
      <c r="KM36">
        <f>$KM$35+--($KL36)</f>
        <v/>
      </c>
      <c r="KN36">
        <f>IF(ROW()-3&gt;MAX($KM$4:$KM$40),"",INDEX($FD$4:$FD$40,MATCH(ROW()-3,$KM$4:$KM$40,0)))</f>
        <v/>
      </c>
      <c r="KO36">
        <f>IF(COUNTIF('Live Search'!BM$35:CT$35,0)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P36">
        <f>IF($FX$36="",FALSE,SUMPRODUCT((IF('Final Calculation Sheet'!$AD$4:$AD$40&lt;=5,"SETTLED","OUTSTANDING")=$FX$36)*($KO$6:$KO$42=1))&gt;0)</f>
        <v/>
      </c>
      <c r="KQ36">
        <f>$KQ$35+--($KP36)</f>
        <v/>
      </c>
      <c r="KR36">
        <f>IF(ROW()-3&gt;MAX($KQ$4:$KQ$40),"",INDEX($FX$4:$FX$40,MATCH(ROW()-3,$KQ$4:$KQ$40,0)))</f>
        <v/>
      </c>
      <c r="KS36">
        <f>IF(COUNTIF('Live Search'!BM$35:CQ$35,0)+COUNTIF('Live Search'!CS$35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T36">
        <f>IF($FI$36="",FALSE,SUMPRODUCT(('Final Calculation Sheet'!$AF$4:$AF$40=$FI$36)*($KS$6:$KS$42=1))&gt;0)</f>
        <v/>
      </c>
      <c r="KU36">
        <f>$KU$35+--($KT36)</f>
        <v/>
      </c>
      <c r="KV36">
        <f>IF(ROW()-3&gt;MAX($KU$4:$KU$40),"",INDEX($FI$4:$FI$40,MATCH(ROW()-3,$KU$4:$KU$40,0)))</f>
        <v/>
      </c>
      <c r="KW36">
        <f>IF(COUNTIF('Live Search'!BM$35:CR$35,0)+COUNTIF('Live Search'!CT$35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KX36">
        <f>IF($FN$36="",FALSE,SUMPRODUCT(('Final Calculation Sheet'!$AG$4:$AG$40=$FN$36)*($KW$6:$KW$42=1))&gt;0)</f>
        <v/>
      </c>
      <c r="KY36">
        <f>$KY$35+--($KX36)</f>
        <v/>
      </c>
      <c r="KZ36">
        <f>IF(ROW()-3&gt;MAX($KY$4:$KY$40),"",INDEX($FN$4:$FN$40,MATCH(ROW()-3,$KY$4:$KY$40,0)))</f>
        <v/>
      </c>
      <c r="LA36">
        <f>IF(COUNTIF('Live Search'!BM$35:CS$35,0)+COUNTIF('Live Search'!CU$35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LB36">
        <f>IF($FS$36="",FALSE,SUMPRODUCT(('Final Calculation Sheet'!$AH$4:$AH$40=$FS$36)*($LA$6:$LA$42=1))&gt;0)</f>
        <v/>
      </c>
      <c r="LC36">
        <f>$LC$35+--($LB36)</f>
        <v/>
      </c>
      <c r="LD36">
        <f>IF(ROW()-3&gt;MAX($LC$4:$LC$40),"",INDEX($FS$4:$FS$40,MATCH(ROW()-3,$LC$4:$LC$40,0)))</f>
        <v/>
      </c>
      <c r="LE36">
        <f>IF(COUNTIF('Buyer Groups'!DH89:EN89,0)&gt;0,0,1)</f>
        <v/>
      </c>
      <c r="LF36">
        <f>IF($O$36="",FALSE,SUMPRODUCT(('Final Calculation Sheet'!$F$4:$F$40=$O$36)*($LE$6:$LE$42=1))&gt;0)</f>
        <v/>
      </c>
      <c r="LG36">
        <f>$LG$35+--($LF36)</f>
        <v/>
      </c>
      <c r="LH36">
        <f>IF(ROW()-3&gt;MAX($LG$4:$LG$40),"",INDEX($O$4:$O$40,MATCH(ROW()-3,$LG$4:$LG$40,0)))</f>
        <v/>
      </c>
      <c r="LI36">
        <f>IF(COUNTIF('Buyer Groups'!DG89:DG89,0)+COUNTIF('Buyer Groups'!DI89:EN89,0)&gt;0,0,1)</f>
        <v/>
      </c>
      <c r="LJ36">
        <f>IF($T$36="",FALSE,SUMPRODUCT(('Final Calculation Sheet'!$G$4:$G$40=$T$36)*($LI$6:$LI$42=1))&gt;0)</f>
        <v/>
      </c>
      <c r="LK36">
        <f>$LK$35+--($LJ36)</f>
        <v/>
      </c>
      <c r="LL36">
        <f>IF(ROW()-3&gt;MAX($LK$4:$LK$40),"",INDEX($T$4:$T$40,MATCH(ROW()-3,$LK$4:$LK$40,0)))</f>
        <v/>
      </c>
      <c r="LM36">
        <f>IF(COUNTIF('Buyer Groups'!DG89:DH89,0)+COUNTIF('Buyer Groups'!DJ89:EN89,0)&gt;0,0,1)</f>
        <v/>
      </c>
      <c r="LN36">
        <f>IF($Y$36="",FALSE,SUMPRODUCT(('Final Calculation Sheet'!$B$4:$B$40=$Y$36)*($LM$6:$LM$42=1))&gt;0)</f>
        <v/>
      </c>
      <c r="LO36">
        <f>$LO$35+--($LN36)</f>
        <v/>
      </c>
      <c r="LP36">
        <f>IF(ROW()-3&gt;MAX($LO$4:$LO$40),"",INDEX($Y$4:$Y$40,MATCH(ROW()-3,$LO$4:$LO$40,0)))</f>
        <v/>
      </c>
      <c r="LQ36">
        <f>IF(COUNTIF('Buyer Groups'!DG89:DI89,0)+COUNTIF('Buyer Groups'!DK89:EN89,0)&gt;0,0,1)</f>
        <v/>
      </c>
      <c r="LR36">
        <f>IF($AD$36="",FALSE,SUMPRODUCT(('Final Calculation Sheet'!$D$4:$D$40=$AD$36)*($LQ$6:$LQ$42=1))&gt;0)</f>
        <v/>
      </c>
      <c r="LS36">
        <f>$LS$35+--($LR36)</f>
        <v/>
      </c>
      <c r="LT36">
        <f>IF(ROW()-3&gt;MAX($LS$4:$LS$40),"",INDEX($AD$4:$AD$40,MATCH(ROW()-3,$LS$4:$LS$40,0)))</f>
        <v/>
      </c>
      <c r="LU36">
        <f>IF(COUNTIF('Buyer Groups'!DG89:DJ89,0)+COUNTIF('Buyer Groups'!DL89:EN89,0)&gt;0,0,1)</f>
        <v/>
      </c>
      <c r="LV36">
        <f>IF($AI$36="",FALSE,SUMPRODUCT(('Final Calculation Sheet'!$A$4:$A$40=$AI$36)*($LU$6:$LU$42=1))&gt;0)</f>
        <v/>
      </c>
      <c r="LW36">
        <f>$LW$35+--($LV36)</f>
        <v/>
      </c>
      <c r="LX36">
        <f>IF(ROW()-3&gt;MAX($LW$4:$LW$40),"",INDEX($AI$4:$AI$40,MATCH(ROW()-3,$LW$4:$LW$40,0)))</f>
        <v/>
      </c>
      <c r="LY36">
        <f>IF(COUNTIF('Buyer Groups'!DG89:DK89,0)+COUNTIF('Buyer Groups'!DM89:EN89,0)&gt;0,0,1)</f>
        <v/>
      </c>
      <c r="LZ36">
        <f>IF($AN$36="",FALSE,SUMPRODUCT(('Final Calculation Sheet'!$E$4:$E$40=$AN$36)*($LY$6:$LY$42=1))&gt;0)</f>
        <v/>
      </c>
      <c r="MA36">
        <f>$MA$35+--($LZ36)</f>
        <v/>
      </c>
      <c r="MB36">
        <f>IF(ROW()-3&gt;MAX($MA$4:$MA$40),"",INDEX($AN$4:$AN$40,MATCH(ROW()-3,$MA$4:$MA$40,0)))</f>
        <v/>
      </c>
      <c r="MC36">
        <f>IF(COUNTIF('Buyer Groups'!DG89:DL89,0)+COUNTIF('Buyer Groups'!DN89:EN89,0)&gt;0,0,1)</f>
        <v/>
      </c>
      <c r="MD36">
        <f>IF($AS$36="",FALSE,SUMPRODUCT(('Final Calculation Sheet'!$C$4:$C$40=$AS$36)*($MC$6:$MC$42=1))&gt;0)</f>
        <v/>
      </c>
      <c r="ME36">
        <f>$ME$35+--($MD36)</f>
        <v/>
      </c>
      <c r="MF36">
        <f>IF(ROW()-3&gt;MAX($ME$4:$ME$40),"",INDEX($AS$4:$AS$40,MATCH(ROW()-3,$ME$4:$ME$40,0)))</f>
        <v/>
      </c>
      <c r="MG36">
        <f>IF(COUNTIF('Buyer Groups'!DG89:DM89,0)+COUNTIF('Buyer Groups'!DO89:EN89,0)&gt;0,0,1)</f>
        <v/>
      </c>
      <c r="MH36">
        <f>IF($AX$36="",FALSE,SUMPRODUCT(('Final Calculation Sheet'!$H$4:$H$40=$AX$36)*($MG$6:$MG$42=1))&gt;0)</f>
        <v/>
      </c>
      <c r="MI36">
        <f>$MI$35+--($MH36)</f>
        <v/>
      </c>
      <c r="MJ36">
        <f>IF(ROW()-3&gt;MAX($MI$4:$MI$40),"",INDEX($AX$4:$AX$40,MATCH(ROW()-3,$MI$4:$MI$40,0)))</f>
        <v/>
      </c>
      <c r="MK36">
        <f>IF(COUNTIF('Buyer Groups'!DG89:DN89,0)+COUNTIF('Buyer Groups'!DP89:EN89,0)&gt;0,0,1)</f>
        <v/>
      </c>
      <c r="ML36">
        <f>IF($BC$36="",FALSE,SUMPRODUCT(('Final Calculation Sheet'!$I$4:$I$40=$BC$36)*($MK$6:$MK$42=1))&gt;0)</f>
        <v/>
      </c>
      <c r="MM36">
        <f>$MM$35+--($ML36)</f>
        <v/>
      </c>
      <c r="MN36">
        <f>IF(ROW()-3&gt;MAX($MM$4:$MM$40),"",INDEX($BC$4:$BC$40,MATCH(ROW()-3,$MM$4:$MM$40,0)))</f>
        <v/>
      </c>
      <c r="MO36">
        <f>IF(COUNTIF('Buyer Groups'!DG89:DO89,0)+COUNTIF('Buyer Groups'!DQ89:EN89,0)&gt;0,0,1)</f>
        <v/>
      </c>
      <c r="MP36">
        <f>IF($BH$36="",FALSE,SUMPRODUCT(('Final Calculation Sheet'!$J$4:$J$40=$BH$36)*($MO$6:$MO$42=1))&gt;0)</f>
        <v/>
      </c>
      <c r="MQ36">
        <f>$MQ$35+--($MP36)</f>
        <v/>
      </c>
      <c r="MR36">
        <f>IF(ROW()-3&gt;MAX($MQ$4:$MQ$40),"",INDEX($BH$4:$BH$40,MATCH(ROW()-3,$MQ$4:$MQ$40,0)))</f>
        <v/>
      </c>
      <c r="MS36">
        <f>IF(COUNTIF('Buyer Groups'!DG89:DP89,0)+COUNTIF('Buyer Groups'!DR89:EN89,0)&gt;0,0,1)</f>
        <v/>
      </c>
      <c r="MT36">
        <f>IF($BM$36="",FALSE,SUMPRODUCT(('Final Calculation Sheet'!$K$4:$K$40=$BM$36)*($MS$6:$MS$42=1))&gt;0)</f>
        <v/>
      </c>
      <c r="MU36">
        <f>$MU$35+--($MT36)</f>
        <v/>
      </c>
      <c r="MV36">
        <f>IF(ROW()-3&gt;MAX($MU$4:$MU$40),"",INDEX($BM$4:$BM$40,MATCH(ROW()-3,$MU$4:$MU$40,0)))</f>
        <v/>
      </c>
      <c r="MW36">
        <f>IF(COUNTIF('Buyer Groups'!DG89:DQ89,0)+COUNTIF('Buyer Groups'!DS89:EN89,0)&gt;0,0,1)</f>
        <v/>
      </c>
      <c r="MX36">
        <f>IF($BR$36="",FALSE,SUMPRODUCT(('Final Calculation Sheet'!$L$4:$L$40=$BR$36)*($MW$6:$MW$42=1))&gt;0)</f>
        <v/>
      </c>
      <c r="MY36">
        <f>$MY$35+--($MX36)</f>
        <v/>
      </c>
      <c r="MZ36">
        <f>IF(ROW()-3&gt;MAX($MY$4:$MY$40),"",INDEX($BR$4:$BR$40,MATCH(ROW()-3,$MY$4:$MY$40,0)))</f>
        <v/>
      </c>
      <c r="NA36">
        <f>IF(COUNTIF('Buyer Groups'!DG89:DR89,0)+COUNTIF('Buyer Groups'!DT89:EN89,0)&gt;0,0,1)</f>
        <v/>
      </c>
      <c r="NB36">
        <f>IF($BW$36="",FALSE,SUMPRODUCT(('Final Calculation Sheet'!$M$4:$M$40=$BW$36)*($NA$6:$NA$42=1))&gt;0)</f>
        <v/>
      </c>
      <c r="NC36">
        <f>$NC$35+--($NB36)</f>
        <v/>
      </c>
      <c r="ND36">
        <f>IF(ROW()-3&gt;MAX($NC$4:$NC$40),"",INDEX($BW$4:$BW$40,MATCH(ROW()-3,$NC$4:$NC$40,0)))</f>
        <v/>
      </c>
      <c r="NE36">
        <f>IF(COUNTIF('Buyer Groups'!DG89:DS89,0)+COUNTIF('Buyer Groups'!DU89:EN89,0)&gt;0,0,1)</f>
        <v/>
      </c>
      <c r="NF36">
        <f>IF($CB$36="",FALSE,SUMPRODUCT(('Final Calculation Sheet'!$N$4:$N$40=$CB$36)*($NE$6:$NE$42=1))&gt;0)</f>
        <v/>
      </c>
      <c r="NG36">
        <f>$NG$35+--($NF36)</f>
        <v/>
      </c>
      <c r="NH36">
        <f>IF(ROW()-3&gt;MAX($NG$4:$NG$40),"",INDEX($CB$4:$CB$40,MATCH(ROW()-3,$NG$4:$NG$40,0)))</f>
        <v/>
      </c>
      <c r="NI36">
        <f>IF(COUNTIF('Buyer Groups'!DG89:DT89,0)+COUNTIF('Buyer Groups'!DV89:EN89,0)&gt;0,0,1)</f>
        <v/>
      </c>
      <c r="NJ36">
        <f>IF($CG$36="",FALSE,SUMPRODUCT(('Final Calculation Sheet'!$O$4:$O$40=$CG$36)*($NI$6:$NI$42=1))&gt;0)</f>
        <v/>
      </c>
      <c r="NK36">
        <f>$NK$35+--($NJ36)</f>
        <v/>
      </c>
      <c r="NL36">
        <f>IF(ROW()-3&gt;MAX($NK$4:$NK$40),"",INDEX($CG$4:$CG$40,MATCH(ROW()-3,$NK$4:$NK$40,0)))</f>
        <v/>
      </c>
      <c r="NM36">
        <f>IF(COUNTIF('Buyer Groups'!DG89:DU89,0)+COUNTIF('Buyer Groups'!DW89:EN89,0)&gt;0,0,1)</f>
        <v/>
      </c>
      <c r="NN36">
        <f>IF($CL$36="",FALSE,SUMPRODUCT(('Final Calculation Sheet'!$P$4:$P$40=$CL$36)*($NM$6:$NM$42=1))&gt;0)</f>
        <v/>
      </c>
      <c r="NO36">
        <f>$NO$35+--($NN36)</f>
        <v/>
      </c>
      <c r="NP36">
        <f>IF(ROW()-3&gt;MAX($NO$4:$NO$40),"",INDEX($CL$4:$CL$40,MATCH(ROW()-3,$NO$4:$NO$40,0)))</f>
        <v/>
      </c>
      <c r="NQ36">
        <f>IF(COUNTIF('Buyer Groups'!DG89:DV89,0)+COUNTIF('Buyer Groups'!DX89:EN89,0)&gt;0,0,1)</f>
        <v/>
      </c>
      <c r="NR36">
        <f>IF($CQ$36="",FALSE,SUMPRODUCT(('Final Calculation Sheet'!$Q$4:$Q$40=$CQ$36)*($NQ$6:$NQ$42=1))&gt;0)</f>
        <v/>
      </c>
      <c r="NS36">
        <f>$NS$35+--($NR36)</f>
        <v/>
      </c>
      <c r="NT36">
        <f>IF(ROW()-3&gt;MAX($NS$4:$NS$40),"",INDEX($CQ$4:$CQ$40,MATCH(ROW()-3,$NS$4:$NS$40,0)))</f>
        <v/>
      </c>
      <c r="NU36">
        <f>IF(COUNTIF('Buyer Groups'!DG89:DW89,0)+COUNTIF('Buyer Groups'!DY89:EN89,0)&gt;0,0,1)</f>
        <v/>
      </c>
      <c r="NV36">
        <f>IF($CV$36="",FALSE,SUMPRODUCT(('Final Calculation Sheet'!$R$4:$R$40=$CV$36)*($NU$6:$NU$42=1))&gt;0)</f>
        <v/>
      </c>
      <c r="NW36">
        <f>$NW$35+--($NV36)</f>
        <v/>
      </c>
      <c r="NX36">
        <f>IF(ROW()-3&gt;MAX($NW$4:$NW$40),"",INDEX($CV$4:$CV$40,MATCH(ROW()-3,$NW$4:$NW$40,0)))</f>
        <v/>
      </c>
      <c r="NY36">
        <f>IF(COUNTIF('Buyer Groups'!DG89:DX89,0)+COUNTIF('Buyer Groups'!DZ89:EN89,0)&gt;0,0,1)</f>
        <v/>
      </c>
      <c r="NZ36">
        <f>IF($DA$36="",FALSE,SUMPRODUCT(('Final Calculation Sheet'!$S$4:$S$40=$DA$36)*($NY$6:$NY$42=1))&gt;0)</f>
        <v/>
      </c>
      <c r="OA36">
        <f>$OA$35+--($NZ36)</f>
        <v/>
      </c>
      <c r="OB36">
        <f>IF(ROW()-3&gt;MAX($OA$4:$OA$40),"",INDEX($DA$4:$DA$40,MATCH(ROW()-3,$OA$4:$OA$40,0)))</f>
        <v/>
      </c>
      <c r="OC36">
        <f>IF(COUNTIF('Buyer Groups'!DG89:DY89,0)+COUNTIF('Buyer Groups'!EA89:EN89,0)&gt;0,0,1)</f>
        <v/>
      </c>
      <c r="OD36">
        <f>IF($DF$36="",FALSE,SUMPRODUCT(('Final Calculation Sheet'!$T$4:$T$40=$DF$36)*($OC$6:$OC$42=1))&gt;0)</f>
        <v/>
      </c>
      <c r="OE36">
        <f>$OE$35+--($OD36)</f>
        <v/>
      </c>
      <c r="OF36">
        <f>IF(ROW()-3&gt;MAX($OE$4:$OE$40),"",INDEX($DF$4:$DF$40,MATCH(ROW()-3,$OE$4:$OE$40,0)))</f>
        <v/>
      </c>
      <c r="OG36">
        <f>IF(COUNTIF('Buyer Groups'!DG89:DZ89,0)+COUNTIF('Buyer Groups'!EB89:EN89,0)&gt;0,0,1)</f>
        <v/>
      </c>
      <c r="OH36">
        <f>IF($DK$36="",FALSE,SUMPRODUCT(('Final Calculation Sheet'!$U$4:$U$40=$DK$36)*($OG$6:$OG$42=1))&gt;0)</f>
        <v/>
      </c>
      <c r="OI36">
        <f>$OI$35+--($OH36)</f>
        <v/>
      </c>
      <c r="OJ36">
        <f>IF(ROW()-3&gt;MAX($OI$4:$OI$40),"",INDEX($DK$4:$DK$40,MATCH(ROW()-3,$OI$4:$OI$40,0)))</f>
        <v/>
      </c>
      <c r="OK36">
        <f>IF(COUNTIF('Buyer Groups'!DG89:EA89,0)+COUNTIF('Buyer Groups'!EC89:EN89,0)&gt;0,0,1)</f>
        <v/>
      </c>
      <c r="OL36">
        <f>IF($DP$36="",FALSE,SUMPRODUCT(('Final Calculation Sheet'!$V$4:$V$40=$DP$36)*($OK$6:$OK$42=1))&gt;0)</f>
        <v/>
      </c>
      <c r="OM36">
        <f>$OM$35+--($OL36)</f>
        <v/>
      </c>
      <c r="ON36">
        <f>IF(ROW()-3&gt;MAX($OM$4:$OM$40),"",INDEX($DP$4:$DP$40,MATCH(ROW()-3,$OM$4:$OM$40,0)))</f>
        <v/>
      </c>
      <c r="OO36">
        <f>IF(COUNTIF('Buyer Groups'!DG89:EB89,0)+COUNTIF('Buyer Groups'!ED89:EN89,0)&gt;0,0,1)</f>
        <v/>
      </c>
      <c r="OP36">
        <f>IF($DU$36="",FALSE,SUMPRODUCT(('Final Calculation Sheet'!$W$4:$W$40=$DU$36)*($OO$6:$OO$42=1))&gt;0)</f>
        <v/>
      </c>
      <c r="OQ36">
        <f>$OQ$35+--($OP36)</f>
        <v/>
      </c>
      <c r="OR36">
        <f>IF(ROW()-3&gt;MAX($OQ$4:$OQ$40),"",INDEX($DU$4:$DU$40,MATCH(ROW()-3,$OQ$4:$OQ$40,0)))</f>
        <v/>
      </c>
      <c r="OS36">
        <f>IF(COUNTIF('Buyer Groups'!DG89:EC89,0)+COUNTIF('Buyer Groups'!EE89:EN89,0)&gt;0,0,1)</f>
        <v/>
      </c>
      <c r="OT36">
        <f>IF($DZ$36="",FALSE,SUMPRODUCT(('Final Calculation Sheet'!$X$4:$X$40=$DZ$36)*($OS$6:$OS$42=1))&gt;0)</f>
        <v/>
      </c>
      <c r="OU36">
        <f>$OU$35+--($OT36)</f>
        <v/>
      </c>
      <c r="OV36">
        <f>IF(ROW()-3&gt;MAX($OU$4:$OU$40),"",INDEX($DZ$4:$DZ$40,MATCH(ROW()-3,$OU$4:$OU$40,0)))</f>
        <v/>
      </c>
      <c r="OW36">
        <f>IF(COUNTIF('Buyer Groups'!DG89:ED89,0)+COUNTIF('Buyer Groups'!EF89:EN89,0)&gt;0,0,1)</f>
        <v/>
      </c>
      <c r="OX36">
        <f>IF($EE$36="",FALSE,SUMPRODUCT(('Final Calculation Sheet'!$Y$4:$Y$40=$EE$36)*($OW$6:$OW$42=1))&gt;0)</f>
        <v/>
      </c>
      <c r="OY36">
        <f>$OY$35+--($OX36)</f>
        <v/>
      </c>
      <c r="OZ36">
        <f>IF(ROW()-3&gt;MAX($OY$4:$OY$40),"",INDEX($EE$4:$EE$40,MATCH(ROW()-3,$OY$4:$OY$40,0)))</f>
        <v/>
      </c>
      <c r="PA36">
        <f>IF(COUNTIF('Buyer Groups'!DG89:EE89,0)+COUNTIF('Buyer Groups'!EG89:EN89,0)&gt;0,0,1)</f>
        <v/>
      </c>
      <c r="PB36">
        <f>IF($EJ$36="",FALSE,SUMPRODUCT(('Final Calculation Sheet'!$Z$4:$Z$40=$EJ$36)*($PA$6:$PA$42=1))&gt;0)</f>
        <v/>
      </c>
      <c r="PC36">
        <f>$PC$35+--($PB36)</f>
        <v/>
      </c>
      <c r="PD36">
        <f>IF(ROW()-3&gt;MAX($PC$4:$PC$40),"",INDEX($EJ$4:$EJ$40,MATCH(ROW()-3,$PC$4:$PC$40,0)))</f>
        <v/>
      </c>
      <c r="PE36">
        <f>IF(COUNTIF('Buyer Groups'!DG89:EF89,0)+COUNTIF('Buyer Groups'!EH89:EN89,0)&gt;0,0,1)</f>
        <v/>
      </c>
      <c r="PF36">
        <f>IF($EO$36="",FALSE,SUMPRODUCT(('Final Calculation Sheet'!$AA$4:$AA$40=$EO$36)*($PE$6:$PE$42=1))&gt;0)</f>
        <v/>
      </c>
      <c r="PG36">
        <f>$PG$35+--($PF36)</f>
        <v/>
      </c>
      <c r="PH36">
        <f>IF(ROW()-3&gt;MAX($PG$4:$PG$40),"",INDEX($EO$4:$EO$40,MATCH(ROW()-3,$PG$4:$PG$40,0)))</f>
        <v/>
      </c>
      <c r="PI36">
        <f>IF(COUNTIF('Buyer Groups'!DG89:EG89,0)+COUNTIF('Buyer Groups'!EI89:EN89,0)&gt;0,0,1)</f>
        <v/>
      </c>
      <c r="PJ36">
        <f>IF($ET$36="",FALSE,SUMPRODUCT(('Final Calculation Sheet'!$AB$4:$AB$40=$ET$36)*($PI$6:$PI$42=1))&gt;0)</f>
        <v/>
      </c>
      <c r="PK36">
        <f>$PK$35+--($PJ36)</f>
        <v/>
      </c>
      <c r="PL36">
        <f>IF(ROW()-3&gt;MAX($PK$4:$PK$40),"",INDEX($ET$4:$ET$40,MATCH(ROW()-3,$PK$4:$PK$40,0)))</f>
        <v/>
      </c>
      <c r="PM36">
        <f>IF(COUNTIF('Buyer Groups'!DG89:EH89,0)+COUNTIF('Buyer Groups'!EJ89:EN89,0)&gt;0,0,1)</f>
        <v/>
      </c>
      <c r="PN36">
        <f>IF($EY$36="",FALSE,SUMPRODUCT(('Final Calculation Sheet'!$AC$4:$AC$40=$EY$36)*($PM$6:$PM$42=1))&gt;0)</f>
        <v/>
      </c>
      <c r="PO36">
        <f>$PO$35+--($PN36)</f>
        <v/>
      </c>
      <c r="PP36">
        <f>IF(ROW()-3&gt;MAX($PO$4:$PO$40),"",INDEX($EY$4:$EY$40,MATCH(ROW()-3,$PO$4:$PO$40,0)))</f>
        <v/>
      </c>
      <c r="PQ36">
        <f>IF(COUNTIF('Buyer Groups'!DG89:EI89,0)+COUNTIF('Buyer Groups'!EK89:EN89,0)&gt;0,0,1)</f>
        <v/>
      </c>
      <c r="PR36">
        <f>IF($FD$36="",FALSE,SUMPRODUCT(('Final Calculation Sheet'!$AD$4:$AD$40=$FD$36)*($PQ$6:$PQ$42=1))&gt;0)</f>
        <v/>
      </c>
      <c r="PS36">
        <f>$PS$35+--($PR36)</f>
        <v/>
      </c>
      <c r="PT36">
        <f>IF(ROW()-3&gt;MAX($PS$4:$PS$40),"",INDEX($FD$4:$FD$40,MATCH(ROW()-3,$PS$4:$PS$40,0)))</f>
        <v/>
      </c>
      <c r="PU36">
        <f>IF(COUNTIF('Buyer Groups'!DG89:EJ89,0)+COUNTIF('Buyer Groups'!EL89:EN89,0)&gt;0,0,1)</f>
        <v/>
      </c>
      <c r="PV36">
        <f>IF($FX$36="",FALSE,SUMPRODUCT((IF('Final Calculation Sheet'!$AD$4:$AD$40&lt;=5,"SETTLED","OUTSTANDING")=$FX$36)*($PU$6:$PU$42=1))&gt;0)</f>
        <v/>
      </c>
      <c r="PW36">
        <f>$PW$35+--($PV36)</f>
        <v/>
      </c>
      <c r="PX36">
        <f>IF(ROW()-3&gt;MAX($PW$4:$PW$40),"",INDEX($FX$4:$FX$40,MATCH(ROW()-3,$PW$4:$PW$40,0)))</f>
        <v/>
      </c>
      <c r="PY36">
        <f>IF(COUNTIF('Buyer Groups'!DG89:EK89,0)+COUNTIF('Buyer Groups'!EM89:EN89,0)&gt;0,0,1)</f>
        <v/>
      </c>
      <c r="PZ36">
        <f>IF($FI$36="",FALSE,SUMPRODUCT(('Final Calculation Sheet'!$AF$4:$AF$40=$FI$36)*($PY$6:$PY$42=1))&gt;0)</f>
        <v/>
      </c>
      <c r="QA36">
        <f>$QA$35+--($PZ36)</f>
        <v/>
      </c>
      <c r="QB36">
        <f>IF(ROW()-3&gt;MAX($QA$4:$QA$40),"",INDEX($FI$4:$FI$40,MATCH(ROW()-3,$QA$4:$QA$40,0)))</f>
        <v/>
      </c>
      <c r="QC36">
        <f>IF(COUNTIF('Buyer Groups'!DG89:EL89,0)+COUNTIF('Buyer Groups'!EN89:EN89,0)&gt;0,0,1)</f>
        <v/>
      </c>
      <c r="QD36">
        <f>IF($FN$36="",FALSE,SUMPRODUCT(('Final Calculation Sheet'!$AG$4:$AG$40=$FN$36)*($QC$6:$QC$42=1))&gt;0)</f>
        <v/>
      </c>
      <c r="QE36">
        <f>$QE$35+--($QD36)</f>
        <v/>
      </c>
      <c r="QF36">
        <f>IF(ROW()-3&gt;MAX($QE$4:$QE$40),"",INDEX($FN$4:$FN$40,MATCH(ROW()-3,$QE$4:$QE$40,0)))</f>
        <v/>
      </c>
      <c r="QG36">
        <f>IF(COUNTIF('Buyer Groups'!DG89:EM89,0)&gt;0,0,1)</f>
        <v/>
      </c>
      <c r="QH36">
        <f>IF($FS$36="",FALSE,SUMPRODUCT(('Final Calculation Sheet'!$AH$4:$AH$40=$FS$36)*($QG$6:$QG$42=1))&gt;0)</f>
        <v/>
      </c>
      <c r="QI36">
        <f>$QI$35+--($QH36)</f>
        <v/>
      </c>
      <c r="QJ36">
        <f>IF(ROW()-3&gt;MAX($QI$4:$QI$40),"",INDEX($FS$4:$FS$40,MATCH(ROW()-3,$QI$4:$QI$40,0)))</f>
        <v/>
      </c>
      <c r="QK36" t="str">
        <f>IF('Final Calculation Sheet'!$AH$36="","",'Final Calculation Sheet'!$AH$36)</f>
      </c>
      <c r="QL36" t="str">
        <f>IF(QK36="","",COUNTIFS(QK$4:QK$40,"&lt;"&amp;QK36,QK$4:QK$40,"&lt;&gt;"&amp;"")+COUNTIF(QK$4:QK36,QK36))</f>
      </c>
      <c r="QM36" t="str">
        <f>IF(ROW()-3&gt;COUNTIF(QK$4:QK$40,"&lt;&gt;"&amp;""),"",INDEX(QK$4:QK$40,MATCH(ROW()-3,QL$4:QL$40,0)))</f>
      </c>
      <c r="QN36" t="str">
        <f>=QN35+F(AND(QM36&lt;&gt;"",COUNTIF(QM$4:QM36,QM36)=1),1,0)</f>
      </c>
      <c r="QO36" t="str">
        <f>IF(ROW()-3&gt;MAX(QN$4:QN$40),"",INDEX(QM$4:QM$40,MATCH(ROW()-3,QN$4:QN$40,0)))</f>
      </c>
      <c r="QP36" t="str">
        <f>IF(COUNTIF('Final Calculation Sheet'!$AM36:$BS36,0)&gt;0,0,1)</f>
      </c>
      <c r="QQ36" t="str">
        <f>IF($AI$36="",FALSE,SUMPRODUCT(('Final Calculation Sheet'!$A$4:$A$40=$AI$36)*($QP$4:$QP$40=1))&gt;0)</f>
      </c>
      <c r="QR36" t="str">
        <f>=$QR35+--($QQ36)</f>
      </c>
      <c r="QS36" t="str">
        <f>IF(ROW()-3&gt;MAX($QR$4:$QR$40),"",INDEX($AI$4:$AI$40,MATCH(ROW()-3,$QR$4:$QR$40,0)))</f>
      </c>
      <c r="QT36" t="str">
        <f>IF(COUNTIF('Final Calculation Sheet'!$AL36:$AL36,0)+COUNTIF('Final Calculation Sheet'!$AN36:$BS36,0)&gt;0,0,1)</f>
      </c>
      <c r="QU36" t="str">
        <f>IF($Y$36="",FALSE,SUMPRODUCT(('Final Calculation Sheet'!$B$4:$B$40=$Y$36)*($QT$4:$QT$40=1))&gt;0)</f>
      </c>
      <c r="QV36" t="str">
        <f>=$QV35+--($QU36)</f>
      </c>
      <c r="QW36" t="str">
        <f>IF(ROW()-3&gt;MAX($QV$4:$QV$40),"",INDEX($Y$4:$Y$40,MATCH(ROW()-3,$QV$4:$QV$40,0)))</f>
      </c>
      <c r="QX36" t="str">
        <f>IF(COUNTIF('Final Calculation Sheet'!$AL36:$AM36,0)+COUNTIF('Final Calculation Sheet'!$AO36:$BS36,0)&gt;0,0,1)</f>
      </c>
      <c r="QY36" t="str">
        <f>IF($AS$36="",FALSE,SUMPRODUCT(('Final Calculation Sheet'!$C$4:$C$40=$AS$36)*($QX$4:$QX$40=1))&gt;0)</f>
      </c>
      <c r="QZ36" t="str">
        <f>=$QZ35+--($QY36)</f>
      </c>
      <c r="RA36" t="str">
        <f>IF(ROW()-3&gt;MAX($QZ$4:$QZ$40),"",INDEX($AS$4:$AS$40,MATCH(ROW()-3,$QZ$4:$QZ$40,0)))</f>
      </c>
      <c r="RB36" t="str">
        <f>IF(COUNTIF('Final Calculation Sheet'!$AL36:$AN36,0)+COUNTIF('Final Calculation Sheet'!$AP36:$BS36,0)&gt;0,0,1)</f>
      </c>
      <c r="RC36" t="str">
        <f>IF($AD$36="",FALSE,SUMPRODUCT(('Final Calculation Sheet'!$D$4:$D$40=$AD$36)*($RB$4:$RB$40=1))&gt;0)</f>
      </c>
      <c r="RD36" t="str">
        <f>=$RD35+--($RC36)</f>
      </c>
      <c r="RE36" t="str">
        <f>IF(ROW()-3&gt;MAX($RD$4:$RD$40),"",INDEX($AD$4:$AD$40,MATCH(ROW()-3,$RD$4:$RD$40,0)))</f>
      </c>
      <c r="RF36" t="str">
        <f>IF(COUNTIF('Final Calculation Sheet'!$AL36:$AO36,0)+COUNTIF('Final Calculation Sheet'!$AQ36:$BS36,0)&gt;0,0,1)</f>
      </c>
      <c r="RG36" t="str">
        <f>IF($AN$36="",FALSE,SUMPRODUCT(('Final Calculation Sheet'!$E$4:$E$40=$AN$36)*($RF$4:$RF$40=1))&gt;0)</f>
      </c>
      <c r="RH36" t="str">
        <f>=$RH35+--($RG36)</f>
      </c>
      <c r="RI36" t="str">
        <f>IF(ROW()-3&gt;MAX($RH$4:$RH$40),"",INDEX($AN$4:$AN$40,MATCH(ROW()-3,$RH$4:$RH$40,0)))</f>
      </c>
      <c r="RJ36" t="str">
        <f>IF(COUNTIF('Final Calculation Sheet'!$AL36:$AP36,0)+COUNTIF('Final Calculation Sheet'!$AR36:$BS36,0)&gt;0,0,1)</f>
      </c>
      <c r="RK36" t="str">
        <f>IF($O$36="",FALSE,SUMPRODUCT(('Final Calculation Sheet'!$F$4:$F$40=$O$36)*($RJ$4:$RJ$40=1))&gt;0)</f>
      </c>
      <c r="RL36" t="str">
        <f>=$RL35+--($RK36)</f>
      </c>
      <c r="RM36" t="str">
        <f>IF(ROW()-3&gt;MAX($RL$4:$RL$40),"",INDEX($O$4:$O$40,MATCH(ROW()-3,$RL$4:$RL$40,0)))</f>
      </c>
      <c r="RN36" t="str">
        <f>IF(COUNTIF('Final Calculation Sheet'!$AL36:$AQ36,0)+COUNTIF('Final Calculation Sheet'!$AS36:$BS36,0)&gt;0,0,1)</f>
      </c>
      <c r="RO36" t="str">
        <f>IF($T$36="",FALSE,SUMPRODUCT(('Final Calculation Sheet'!$G$4:$G$40=$T$36)*($RN$4:$RN$40=1))&gt;0)</f>
      </c>
      <c r="RP36" t="str">
        <f>=$RP35+--($RO36)</f>
      </c>
      <c r="RQ36" t="str">
        <f>IF(ROW()-3&gt;MAX($RP$4:$RP$40),"",INDEX($T$4:$T$40,MATCH(ROW()-3,$RP$4:$RP$40,0)))</f>
      </c>
      <c r="RR36" t="str">
        <f>IF(COUNTIF('Final Calculation Sheet'!$AL36:$AR36,0)+COUNTIF('Final Calculation Sheet'!$AT36:$BS36,0)&gt;0,0,1)</f>
      </c>
      <c r="RS36" t="str">
        <f>IF($AX$36="",FALSE,SUMPRODUCT(('Final Calculation Sheet'!$H$4:$H$40=$AX$36)*($RR$4:$RR$40=1))&gt;0)</f>
      </c>
      <c r="RT36" t="str">
        <f>=$RT35+--($RS36)</f>
      </c>
      <c r="RU36" t="str">
        <f>IF(ROW()-3&gt;MAX($RT$4:$RT$40),"",INDEX($AX$4:$AX$40,MATCH(ROW()-3,$RT$4:$RT$40,0)))</f>
      </c>
      <c r="RV36" t="str">
        <f>IF(COUNTIF('Final Calculation Sheet'!$AL36:$AS36,0)+COUNTIF('Final Calculation Sheet'!$AU36:$BS36,0)&gt;0,0,1)</f>
      </c>
      <c r="RW36" t="str">
        <f>IF($BC$36="",FALSE,SUMPRODUCT(('Final Calculation Sheet'!$I$4:$I$40=$BC$36)*($RV$4:$RV$40=1))&gt;0)</f>
      </c>
      <c r="RX36" t="str">
        <f>=$RX35+--($RW36)</f>
      </c>
      <c r="RY36" t="str">
        <f>IF(ROW()-3&gt;MAX($RX$4:$RX$40),"",INDEX($BC$4:$BC$40,MATCH(ROW()-3,$RX$4:$RX$40,0)))</f>
      </c>
      <c r="RZ36" t="str">
        <f>IF(COUNTIF('Final Calculation Sheet'!$AL36:$AT36,0)+COUNTIF('Final Calculation Sheet'!$AV36:$BS36,0)&gt;0,0,1)</f>
      </c>
      <c r="SA36" t="str">
        <f>IF($BH$36="",FALSE,SUMPRODUCT(('Final Calculation Sheet'!$J$4:$J$40=$BH$36)*($RZ$4:$RZ$40=1))&gt;0)</f>
      </c>
      <c r="SB36" t="str">
        <f>=$SB35+--($SA36)</f>
      </c>
      <c r="SC36" t="str">
        <f>IF(ROW()-3&gt;MAX($SB$4:$SB$40),"",INDEX($BH$4:$BH$40,MATCH(ROW()-3,$SB$4:$SB$40,0)))</f>
      </c>
      <c r="SD36" t="str">
        <f>IF(COUNTIF('Final Calculation Sheet'!$AL36:$AU36,0)+COUNTIF('Final Calculation Sheet'!$AW36:$BS36,0)&gt;0,0,1)</f>
      </c>
      <c r="SE36" t="str">
        <f>IF($BM$36="",FALSE,SUMPRODUCT(('Final Calculation Sheet'!$K$4:$K$40=$BM$36)*($SD$4:$SD$40=1))&gt;0)</f>
      </c>
      <c r="SF36" t="str">
        <f>=$SF35+--($SE36)</f>
      </c>
      <c r="SG36" t="str">
        <f>IF(ROW()-3&gt;MAX($SF$4:$SF$40),"",INDEX($BM$4:$BM$40,MATCH(ROW()-3,$SF$4:$SF$40,0)))</f>
      </c>
      <c r="SH36" t="str">
        <f>IF(COUNTIF('Final Calculation Sheet'!$AL36:$AV36,0)+COUNTIF('Final Calculation Sheet'!$AX36:$BS36,0)&gt;0,0,1)</f>
      </c>
      <c r="SI36" t="str">
        <f>IF($BR$36="",FALSE,SUMPRODUCT(('Final Calculation Sheet'!$L$4:$L$40=$BR$36)*($SH$4:$SH$40=1))&gt;0)</f>
      </c>
      <c r="SJ36" t="str">
        <f>=$SJ35+--($SI36)</f>
      </c>
      <c r="SK36" t="str">
        <f>IF(ROW()-3&gt;MAX($SJ$4:$SJ$40),"",INDEX($BR$4:$BR$40,MATCH(ROW()-3,$SJ$4:$SJ$40,0)))</f>
      </c>
      <c r="SL36" t="str">
        <f>IF(COUNTIF('Final Calculation Sheet'!$AL36:$AW36,0)+COUNTIF('Final Calculation Sheet'!$AY36:$BS36,0)&gt;0,0,1)</f>
      </c>
      <c r="SM36" t="str">
        <f>IF($BW$36="",FALSE,SUMPRODUCT(('Final Calculation Sheet'!$M$4:$M$40=$BW$36)*($SL$4:$SL$40=1))&gt;0)</f>
      </c>
      <c r="SN36" t="str">
        <f>=$SN35+--($SM36)</f>
      </c>
      <c r="SO36" t="str">
        <f>IF(ROW()-3&gt;MAX($SN$4:$SN$40),"",INDEX($BW$4:$BW$40,MATCH(ROW()-3,$SN$4:$SN$40,0)))</f>
      </c>
      <c r="SP36" t="str">
        <f>IF(COUNTIF('Final Calculation Sheet'!$AL36:$AX36,0)+COUNTIF('Final Calculation Sheet'!$AZ36:$BS36,0)&gt;0,0,1)</f>
      </c>
      <c r="SQ36" t="str">
        <f>IF($CB$36="",FALSE,SUMPRODUCT(('Final Calculation Sheet'!$N$4:$N$40=$CB$36)*($SP$4:$SP$40=1))&gt;0)</f>
      </c>
      <c r="SR36" t="str">
        <f>=$SR35+--($SQ36)</f>
      </c>
      <c r="SS36" t="str">
        <f>IF(ROW()-3&gt;MAX($SR$4:$SR$40),"",INDEX($CB$4:$CB$40,MATCH(ROW()-3,$SR$4:$SR$40,0)))</f>
      </c>
      <c r="ST36" t="str">
        <f>IF(COUNTIF('Final Calculation Sheet'!$AL36:$AY36,0)+COUNTIF('Final Calculation Sheet'!$BA36:$BS36,0)&gt;0,0,1)</f>
      </c>
      <c r="SU36" t="str">
        <f>IF($CG$36="",FALSE,SUMPRODUCT(('Final Calculation Sheet'!$O$4:$O$40=$CG$36)*($ST$4:$ST$40=1))&gt;0)</f>
      </c>
      <c r="SV36" t="str">
        <f>=$SV35+--($SU36)</f>
      </c>
      <c r="SW36" t="str">
        <f>IF(ROW()-3&gt;MAX($SV$4:$SV$40),"",INDEX($CG$4:$CG$40,MATCH(ROW()-3,$SV$4:$SV$40,0)))</f>
      </c>
      <c r="SX36" t="str">
        <f>IF(COUNTIF('Final Calculation Sheet'!$AL36:$AZ36,0)+COUNTIF('Final Calculation Sheet'!$BB36:$BS36,0)&gt;0,0,1)</f>
      </c>
      <c r="SY36" t="str">
        <f>IF($CL$36="",FALSE,SUMPRODUCT(('Final Calculation Sheet'!$P$4:$P$40=$CL$36)*($SX$4:$SX$40=1))&gt;0)</f>
      </c>
      <c r="SZ36" t="str">
        <f>=$SZ35+--($SY36)</f>
      </c>
      <c r="TA36" t="str">
        <f>IF(ROW()-3&gt;MAX($SZ$4:$SZ$40),"",INDEX($CL$4:$CL$40,MATCH(ROW()-3,$SZ$4:$SZ$40,0)))</f>
      </c>
      <c r="TB36" t="str">
        <f>IF(COUNTIF('Final Calculation Sheet'!$AL36:$BA36,0)+COUNTIF('Final Calculation Sheet'!$BC36:$BS36,0)&gt;0,0,1)</f>
      </c>
      <c r="TC36" t="str">
        <f>IF($CQ$36="",FALSE,SUMPRODUCT(('Final Calculation Sheet'!$Q$4:$Q$40=$CQ$36)*($TB$4:$TB$40=1))&gt;0)</f>
      </c>
      <c r="TD36" t="str">
        <f>=$TD35+--($TC36)</f>
      </c>
      <c r="TE36" t="str">
        <f>IF(ROW()-3&gt;MAX($TD$4:$TD$40),"",INDEX($CQ$4:$CQ$40,MATCH(ROW()-3,$TD$4:$TD$40,0)))</f>
      </c>
      <c r="TF36" t="str">
        <f>IF(COUNTIF('Final Calculation Sheet'!$AL36:$BB36,0)+COUNTIF('Final Calculation Sheet'!$BD36:$BS36,0)&gt;0,0,1)</f>
      </c>
      <c r="TG36" t="str">
        <f>IF($CV$36="",FALSE,SUMPRODUCT(('Final Calculation Sheet'!$R$4:$R$40=$CV$36)*($TF$4:$TF$40=1))&gt;0)</f>
      </c>
      <c r="TH36" t="str">
        <f>=$TH35+--($TG36)</f>
      </c>
      <c r="TI36" t="str">
        <f>IF(ROW()-3&gt;MAX($TH$4:$TH$40),"",INDEX($CV$4:$CV$40,MATCH(ROW()-3,$TH$4:$TH$40,0)))</f>
      </c>
      <c r="TJ36" t="str">
        <f>IF(COUNTIF('Final Calculation Sheet'!$AL36:$BC36,0)+COUNTIF('Final Calculation Sheet'!$BE36:$BS36,0)&gt;0,0,1)</f>
      </c>
      <c r="TK36" t="str">
        <f>IF($DA$36="",FALSE,SUMPRODUCT(('Final Calculation Sheet'!$S$4:$S$40=$DA$36)*($TJ$4:$TJ$40=1))&gt;0)</f>
      </c>
      <c r="TL36" t="str">
        <f>=$TL35+--($TK36)</f>
      </c>
      <c r="TM36" t="str">
        <f>IF(ROW()-3&gt;MAX($TL$4:$TL$40),"",INDEX($DA$4:$DA$40,MATCH(ROW()-3,$TL$4:$TL$40,0)))</f>
      </c>
      <c r="TN36" t="str">
        <f>IF(COUNTIF('Final Calculation Sheet'!$AL36:$BD36,0)+COUNTIF('Final Calculation Sheet'!$BF36:$BS36,0)&gt;0,0,1)</f>
      </c>
      <c r="TO36" t="str">
        <f>IF($DF$36="",FALSE,SUMPRODUCT(('Final Calculation Sheet'!$T$4:$T$40=$DF$36)*($TN$4:$TN$40=1))&gt;0)</f>
      </c>
      <c r="TP36" t="str">
        <f>=$TP35+--($TO36)</f>
      </c>
      <c r="TQ36" t="str">
        <f>IF(ROW()-3&gt;MAX($TP$4:$TP$40),"",INDEX($DF$4:$DF$40,MATCH(ROW()-3,$TP$4:$TP$40,0)))</f>
      </c>
      <c r="TR36" t="str">
        <f>IF(COUNTIF('Final Calculation Sheet'!$AL36:$BE36,0)+COUNTIF('Final Calculation Sheet'!$BG36:$BS36,0)&gt;0,0,1)</f>
      </c>
      <c r="TS36" t="str">
        <f>IF($DK$36="",FALSE,SUMPRODUCT(('Final Calculation Sheet'!$U$4:$U$40=$DK$36)*($TR$4:$TR$40=1))&gt;0)</f>
      </c>
      <c r="TT36" t="str">
        <f>=$TT35+--($TS36)</f>
      </c>
      <c r="TU36" t="str">
        <f>IF(ROW()-3&gt;MAX($TT$4:$TT$40),"",INDEX($DK$4:$DK$40,MATCH(ROW()-3,$TT$4:$TT$40,0)))</f>
      </c>
      <c r="TV36" t="str">
        <f>IF(COUNTIF('Final Calculation Sheet'!$AL36:$BF36,0)+COUNTIF('Final Calculation Sheet'!$BH36:$BS36,0)&gt;0,0,1)</f>
      </c>
      <c r="TW36" t="str">
        <f>IF($DP$36="",FALSE,SUMPRODUCT(('Final Calculation Sheet'!$V$4:$V$40=$DP$36)*($TV$4:$TV$40=1))&gt;0)</f>
      </c>
      <c r="TX36" t="str">
        <f>=$TX35+--($TW36)</f>
      </c>
      <c r="TY36" t="str">
        <f>IF(ROW()-3&gt;MAX($TX$4:$TX$40),"",INDEX($DP$4:$DP$40,MATCH(ROW()-3,$TX$4:$TX$40,0)))</f>
      </c>
      <c r="TZ36" t="str">
        <f>IF(COUNTIF('Final Calculation Sheet'!$AL36:$BG36,0)+COUNTIF('Final Calculation Sheet'!$BI36:$BS36,0)&gt;0,0,1)</f>
      </c>
      <c r="UA36" t="str">
        <f>IF($DU$36="",FALSE,SUMPRODUCT(('Final Calculation Sheet'!$W$4:$W$40=$DU$36)*($TZ$4:$TZ$40=1))&gt;0)</f>
      </c>
      <c r="UB36" t="str">
        <f>=$UB35+--($UA36)</f>
      </c>
      <c r="UC36" t="str">
        <f>IF(ROW()-3&gt;MAX($UB$4:$UB$40),"",INDEX($DU$4:$DU$40,MATCH(ROW()-3,$UB$4:$UB$40,0)))</f>
      </c>
      <c r="UD36" t="str">
        <f>IF(COUNTIF('Final Calculation Sheet'!$AL36:$BH36,0)+COUNTIF('Final Calculation Sheet'!$BJ36:$BS36,0)&gt;0,0,1)</f>
      </c>
      <c r="UE36" t="str">
        <f>IF($DZ$36="",FALSE,SUMPRODUCT(('Final Calculation Sheet'!$X$4:$X$40=$DZ$36)*($UD$4:$UD$40=1))&gt;0)</f>
      </c>
      <c r="UF36" t="str">
        <f>=$UF35+--($UE36)</f>
      </c>
      <c r="UG36" t="str">
        <f>IF(ROW()-3&gt;MAX($UF$4:$UF$40),"",INDEX($DZ$4:$DZ$40,MATCH(ROW()-3,$UF$4:$UF$40,0)))</f>
      </c>
      <c r="UH36" t="str">
        <f>IF(COUNTIF('Final Calculation Sheet'!$AL36:$BI36,0)+COUNTIF('Final Calculation Sheet'!$BK36:$BS36,0)&gt;0,0,1)</f>
      </c>
      <c r="UI36" t="str">
        <f>IF($EE$36="",FALSE,SUMPRODUCT(('Final Calculation Sheet'!$Y$4:$Y$40=$EE$36)*($UH$4:$UH$40=1))&gt;0)</f>
      </c>
      <c r="UJ36" t="str">
        <f>=$UJ35+--($UI36)</f>
      </c>
      <c r="UK36" t="str">
        <f>IF(ROW()-3&gt;MAX($UJ$4:$UJ$40),"",INDEX($EE$4:$EE$40,MATCH(ROW()-3,$UJ$4:$UJ$40,0)))</f>
      </c>
      <c r="UL36" t="str">
        <f>IF(COUNTIF('Final Calculation Sheet'!$AL36:$BJ36,0)+COUNTIF('Final Calculation Sheet'!$BL36:$BS36,0)&gt;0,0,1)</f>
      </c>
      <c r="UM36" t="str">
        <f>IF($EJ$36="",FALSE,SUMPRODUCT(('Final Calculation Sheet'!$Z$4:$Z$40=$EJ$36)*($UL$4:$UL$40=1))&gt;0)</f>
      </c>
      <c r="UN36" t="str">
        <f>=$UN35+--($UM36)</f>
      </c>
      <c r="UO36" t="str">
        <f>IF(ROW()-3&gt;MAX($UN$4:$UN$40),"",INDEX($EJ$4:$EJ$40,MATCH(ROW()-3,$UN$4:$UN$40,0)))</f>
      </c>
      <c r="UP36" t="str">
        <f>IF(COUNTIF('Final Calculation Sheet'!$AL36:$BK36,0)+COUNTIF('Final Calculation Sheet'!$BM36:$BS36,0)&gt;0,0,1)</f>
      </c>
      <c r="UQ36" t="str">
        <f>IF($EO$36="",FALSE,SUMPRODUCT(('Final Calculation Sheet'!$AA$4:$AA$40=$EO$36)*($UP$4:$UP$40=1))&gt;0)</f>
      </c>
      <c r="UR36" t="str">
        <f>=$UR35+--($UQ36)</f>
      </c>
      <c r="US36" t="str">
        <f>IF(ROW()-3&gt;MAX($UR$4:$UR$40),"",INDEX($EO$4:$EO$40,MATCH(ROW()-3,$UR$4:$UR$40,0)))</f>
      </c>
      <c r="UT36" t="str">
        <f>IF(COUNTIF('Final Calculation Sheet'!$AL36:$BL36,0)+COUNTIF('Final Calculation Sheet'!$BN36:$BS36,0)&gt;0,0,1)</f>
      </c>
      <c r="UU36" t="str">
        <f>IF($ET$36="",FALSE,SUMPRODUCT(('Final Calculation Sheet'!$AB$4:$AB$40=$ET$36)*($UT$4:$UT$40=1))&gt;0)</f>
      </c>
      <c r="UV36" t="str">
        <f>=$UV35+--($UU36)</f>
      </c>
      <c r="UW36" t="str">
        <f>IF(ROW()-3&gt;MAX($UV$4:$UV$40),"",INDEX($ET$4:$ET$40,MATCH(ROW()-3,$UV$4:$UV$40,0)))</f>
      </c>
      <c r="UX36" t="str">
        <f>IF(COUNTIF('Final Calculation Sheet'!$AL36:$BM36,0)+COUNTIF('Final Calculation Sheet'!$BO36:$BS36,0)&gt;0,0,1)</f>
      </c>
      <c r="UY36" t="str">
        <f>IF($EY$36="",FALSE,SUMPRODUCT(('Final Calculation Sheet'!$AC$4:$AC$40=$EY$36)*($UX$4:$UX$40=1))&gt;0)</f>
      </c>
      <c r="UZ36" t="str">
        <f>=$UZ35+--($UY36)</f>
      </c>
      <c r="VA36" t="str">
        <f>IF(ROW()-3&gt;MAX($UZ$4:$UZ$40),"",INDEX($EY$4:$EY$40,MATCH(ROW()-3,$UZ$4:$UZ$40,0)))</f>
      </c>
      <c r="VB36" t="str">
        <f>IF(COUNTIF('Final Calculation Sheet'!$AL36:$BN36,0)+COUNTIF('Final Calculation Sheet'!$BP36:$BS36,0)&gt;0,0,1)</f>
      </c>
      <c r="VC36" t="str">
        <f>IF($FD$36="",FALSE,SUMPRODUCT(('Final Calculation Sheet'!$AD$4:$AD$40=$FD$36)*($VB$4:$VB$40=1))&gt;0)</f>
      </c>
      <c r="VD36" t="str">
        <f>=$VD35+--($VC36)</f>
      </c>
      <c r="VE36" t="str">
        <f>IF(ROW()-3&gt;MAX($VD$4:$VD$40),"",INDEX($FD$4:$FD$40,MATCH(ROW()-3,$VD$4:$VD$40,0)))</f>
      </c>
      <c r="VF36" t="str">
        <f>IF(COUNTIF('Final Calculation Sheet'!$AL36:$BO36,0)+COUNTIF('Final Calculation Sheet'!$BQ36:$BS36,0)&gt;0,0,1)</f>
      </c>
      <c r="VG36" t="str">
        <f>IF($FI$36="",FALSE,SUMPRODUCT(('Final Calculation Sheet'!$AE$4:$AE$40=$FI$36)*($VF$4:$VF$40=1))&gt;0)</f>
      </c>
      <c r="VH36" t="str">
        <f>=$VH35+--($VG36)</f>
      </c>
      <c r="VI36" t="str">
        <f>IF(ROW()-3&gt;MAX($VH$4:$VH$40),"",INDEX($FI$4:$FI$40,MATCH(ROW()-3,$VH$4:$VH$40,0)))</f>
      </c>
      <c r="VJ36" t="str">
        <f>IF(COUNTIF('Final Calculation Sheet'!$AL36:$BP36,0)+COUNTIF('Final Calculation Sheet'!$BR36:$BS36,0)&gt;0,0,1)</f>
      </c>
      <c r="VK36" t="str">
        <f>IF($FN$36="",FALSE,SUMPRODUCT(('Final Calculation Sheet'!$AF$4:$AF$40=$FN$36)*($VJ$4:$VJ$40=1))&gt;0)</f>
      </c>
      <c r="VL36" t="str">
        <f>=$VL35+--($VK36)</f>
      </c>
      <c r="VM36" t="str">
        <f>IF(ROW()-3&gt;MAX($VL$4:$VL$40),"",INDEX($FN$4:$FN$40,MATCH(ROW()-3,$VL$4:$VL$40,0)))</f>
      </c>
      <c r="VN36" t="str">
        <f>IF(COUNTIF('Final Calculation Sheet'!$AL36:$BQ36,0)+COUNTIF('Final Calculation Sheet'!$BS36:$BS36,0)&gt;0,0,1)</f>
      </c>
      <c r="VO36" t="str">
        <f>IF($FS$36="",FALSE,SUMPRODUCT(('Final Calculation Sheet'!$AG$4:$AG$40=$FS$36)*($VN$4:$VN$40=1))&gt;0)</f>
      </c>
      <c r="VP36" t="str">
        <f>=$VP35+--($VO36)</f>
      </c>
      <c r="VQ36" t="str">
        <f>IF(ROW()-3&gt;MAX($VP$4:$VP$40),"",INDEX($FS$4:$FS$40,MATCH(ROW()-3,$VP$4:$VP$40,0)))</f>
      </c>
      <c r="VR36" t="str">
        <f>IF(COUNTIF('Final Calculation Sheet'!$AL36:$BR36,0)&gt;0,0,1)</f>
      </c>
      <c r="VS36" t="str">
        <f>IF($QO$36="",FALSE,SUMPRODUCT(('Final Calculation Sheet'!$AH$4:$AH$40=$QO$36)*($VR$4:$VR$40=1))&gt;0)</f>
      </c>
      <c r="VT36" t="str">
        <f>=$VT35+--($VS36)</f>
      </c>
      <c r="VU36" t="str">
        <f>IF(ROW()-3&gt;MAX($VT$4:$VT$40),"",INDEX($QO$4:$QO$40,MATCH(ROW()-3,$VT$4:$VT$40,0)))</f>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IF(COUNTIF('Live Search'!BM$36:BM$36,0)+COUNTIF('Live Search'!B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D37">
        <f>IF($O$37="",FALSE,SUMPRODUCT(('Final Calculation Sheet'!$F$4:$F$40=$O$37)*($GC$6:$GC$42=1))&gt;0)</f>
        <v/>
      </c>
      <c r="GE37">
        <f>$GE$36+--($GD37)</f>
        <v/>
      </c>
      <c r="GF37">
        <f>IF(ROW()-3&gt;MAX($GE$4:$GE$40),"",INDEX($O$4:$O$40,MATCH(ROW()-3,$GE$4:$GE$40,0)))</f>
        <v/>
      </c>
      <c r="GG37">
        <f>IF(COUNTIF('Live Search'!BM$36:BN$36,0)+COUNTIF('Live Search'!B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H37">
        <f>IF($T$37="",FALSE,SUMPRODUCT(('Final Calculation Sheet'!$G$4:$G$40=$T$37)*($GG$6:$GG$42=1))&gt;0)</f>
        <v/>
      </c>
      <c r="GI37">
        <f>$GI$36+--($GH37)</f>
        <v/>
      </c>
      <c r="GJ37">
        <f>IF(ROW()-3&gt;MAX($GI$4:$GI$40),"",INDEX($T$4:$T$40,MATCH(ROW()-3,$GI$4:$GI$40,0)))</f>
        <v/>
      </c>
      <c r="GK37">
        <f>IF(COUNTIF('Live Search'!BM$36:BP$36,0)+COUNTIF('Live Search'!B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L37">
        <f>IF($AD$37="",FALSE,SUMPRODUCT(('Final Calculation Sheet'!$D$4:$D$40=$AD$37)*($GK$6:$GK$42=1))&gt;0)</f>
        <v/>
      </c>
      <c r="GM37">
        <f>$GM$36+--($GL37)</f>
        <v/>
      </c>
      <c r="GN37">
        <f>IF(ROW()-3&gt;MAX($GM$4:$GM$40),"",INDEX($AD$4:$AD$40,MATCH(ROW()-3,$GM$4:$GM$40,0)))</f>
        <v/>
      </c>
      <c r="GO37">
        <f>IF(COUNTIF('Live Search'!BM$36:BQ$36,0)+COUNTIF('Live Search'!B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P37">
        <f>IF($AI$37="",FALSE,SUMPRODUCT(('Final Calculation Sheet'!$A$4:$A$40=$AI$37)*($GO$6:$GO$42=1))&gt;0)</f>
        <v/>
      </c>
      <c r="GQ37">
        <f>$GQ$36+--($GP37)</f>
        <v/>
      </c>
      <c r="GR37">
        <f>IF(ROW()-3&gt;MAX($GQ$4:$GQ$40),"",INDEX($AI$4:$AI$40,MATCH(ROW()-3,$GQ$4:$GQ$40,0)))</f>
        <v/>
      </c>
      <c r="GS37">
        <f>IF(COUNTIF('Live Search'!BM$36:BR$36,0)+COUNTIF('Live Search'!B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T37">
        <f>IF($AN$37="",FALSE,SUMPRODUCT(('Final Calculation Sheet'!$E$4:$E$40=$AN$37)*($GS$6:$GS$42=1))&gt;0)</f>
        <v/>
      </c>
      <c r="GU37">
        <f>$GU$36+--($GT37)</f>
        <v/>
      </c>
      <c r="GV37">
        <f>IF(ROW()-3&gt;MAX($GU$4:$GU$40),"",INDEX($AN$4:$AN$40,MATCH(ROW()-3,$GU$4:$GU$40,0)))</f>
        <v/>
      </c>
      <c r="GW37">
        <f>IF(COUNTIF('Live Search'!BM$36:BS$36,0)+COUNTIF('Live Search'!B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GX37">
        <f>IF($AS$37="",FALSE,SUMPRODUCT(('Final Calculation Sheet'!$C$4:$C$40=$AS$37)*($GW$6:$GW$42=1))&gt;0)</f>
        <v/>
      </c>
      <c r="GY37">
        <f>$GY$36+--($GX37)</f>
        <v/>
      </c>
      <c r="GZ37">
        <f>IF(ROW()-3&gt;MAX($GY$4:$GY$40),"",INDEX($AS$4:$AS$40,MATCH(ROW()-3,$GY$4:$GY$40,0)))</f>
        <v/>
      </c>
      <c r="HA37">
        <f>IF(COUNTIF('Live Search'!BM$36:BT$36,0)+COUNTIF('Live Search'!BV$36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B37">
        <f>IF($AX$37="",FALSE,SUMPRODUCT(('Final Calculation Sheet'!$H$4:$H$40=$AX$37)*($HA$6:$HA$42=1))&gt;0)</f>
        <v/>
      </c>
      <c r="HC37">
        <f>$HC$36+--($HB37)</f>
        <v/>
      </c>
      <c r="HD37">
        <f>IF(ROW()-3&gt;MAX($HC$4:$HC$40),"",INDEX($AX$4:$AX$40,MATCH(ROW()-3,$HC$4:$HC$40,0)))</f>
        <v/>
      </c>
      <c r="HE37">
        <f>IF(COUNTIF('Live Search'!BM$36:BU$36,0)+COUNTIF('Live Search'!BW$36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F37">
        <f>IF($BC$37="",FALSE,SUMPRODUCT(('Final Calculation Sheet'!$I$4:$I$40=$BC$37)*($HE$6:$HE$42=1))&gt;0)</f>
        <v/>
      </c>
      <c r="HG37">
        <f>$HG$36+--($HF37)</f>
        <v/>
      </c>
      <c r="HH37">
        <f>IF(ROW()-3&gt;MAX($HG$4:$HG$40),"",INDEX($BC$4:$BC$40,MATCH(ROW()-3,$HG$4:$HG$40,0)))</f>
        <v/>
      </c>
      <c r="HI37">
        <f>IF(COUNTIF('Live Search'!BM$36:BV$36,0)+COUNTIF('Live Search'!BX$36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J37">
        <f>IF($BH$37="",FALSE,SUMPRODUCT(('Final Calculation Sheet'!$J$4:$J$40=$BH$37)*($HI$6:$HI$42=1))&gt;0)</f>
        <v/>
      </c>
      <c r="HK37">
        <f>$HK$36+--($HJ37)</f>
        <v/>
      </c>
      <c r="HL37">
        <f>IF(ROW()-3&gt;MAX($HK$4:$HK$40),"",INDEX($BH$4:$BH$40,MATCH(ROW()-3,$HK$4:$HK$40,0)))</f>
        <v/>
      </c>
      <c r="HM37">
        <f>IF(COUNTIF('Live Search'!BM$36:BW$36,0)+COUNTIF('Live Search'!BY$36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N37">
        <f>IF($BM$37="",FALSE,SUMPRODUCT(('Final Calculation Sheet'!$K$4:$K$40=$BM$37)*($HM$6:$HM$42=1))&gt;0)</f>
        <v/>
      </c>
      <c r="HO37">
        <f>$HO$36+--($HN37)</f>
        <v/>
      </c>
      <c r="HP37">
        <f>IF(ROW()-3&gt;MAX($HO$4:$HO$40),"",INDEX($BM$4:$BM$40,MATCH(ROW()-3,$HO$4:$HO$40,0)))</f>
        <v/>
      </c>
      <c r="HQ37">
        <f>IF(COUNTIF('Live Search'!BM$36:BX$36,0)+COUNTIF('Live Search'!BZ$36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R37">
        <f>IF($BR$37="",FALSE,SUMPRODUCT(('Final Calculation Sheet'!$L$4:$L$40=$BR$37)*($HQ$6:$HQ$42=1))&gt;0)</f>
        <v/>
      </c>
      <c r="HS37">
        <f>$HS$36+--($HR37)</f>
        <v/>
      </c>
      <c r="HT37">
        <f>IF(ROW()-3&gt;MAX($HS$4:$HS$40),"",INDEX($BR$4:$BR$40,MATCH(ROW()-3,$HS$4:$HS$40,0)))</f>
        <v/>
      </c>
      <c r="HU37">
        <f>IF(COUNTIF('Live Search'!BM$36:BY$36,0)+COUNTIF('Live Search'!CA$36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V37">
        <f>IF($BW$37="",FALSE,SUMPRODUCT(('Final Calculation Sheet'!$M$4:$M$40=$BW$37)*($HU$6:$HU$42=1))&gt;0)</f>
        <v/>
      </c>
      <c r="HW37">
        <f>$HW$36+--($HV37)</f>
        <v/>
      </c>
      <c r="HX37">
        <f>IF(ROW()-3&gt;MAX($HW$4:$HW$40),"",INDEX($BW$4:$BW$40,MATCH(ROW()-3,$HW$4:$HW$40,0)))</f>
        <v/>
      </c>
      <c r="HY37">
        <f>IF(COUNTIF('Live Search'!BM$36:BZ$36,0)+COUNTIF('Live Search'!CB$36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HZ37">
        <f>IF($CB$37="",FALSE,SUMPRODUCT(('Final Calculation Sheet'!$N$4:$N$40=$CB$37)*($HY$6:$HY$42=1))&gt;0)</f>
        <v/>
      </c>
      <c r="IA37">
        <f>$IA$36+--($HZ37)</f>
        <v/>
      </c>
      <c r="IB37">
        <f>IF(ROW()-3&gt;MAX($IA$4:$IA$40),"",INDEX($CB$4:$CB$40,MATCH(ROW()-3,$IA$4:$IA$40,0)))</f>
        <v/>
      </c>
      <c r="IC37">
        <f>IF(COUNTIF('Live Search'!BM$36:CA$36,0)+COUNTIF('Live Search'!CC$36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D37">
        <f>IF($CG$37="",FALSE,SUMPRODUCT(('Final Calculation Sheet'!$O$4:$O$40=$CG$37)*($IC$6:$IC$42=1))&gt;0)</f>
        <v/>
      </c>
      <c r="IE37">
        <f>$IE$36+--($ID37)</f>
        <v/>
      </c>
      <c r="IF37">
        <f>IF(ROW()-3&gt;MAX($IE$4:$IE$40),"",INDEX($CG$4:$CG$40,MATCH(ROW()-3,$IE$4:$IE$40,0)))</f>
        <v/>
      </c>
      <c r="IG37">
        <f>IF(COUNTIF('Live Search'!BM$36:CB$36,0)+COUNTIF('Live Search'!CD$36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H37">
        <f>IF($CL$37="",FALSE,SUMPRODUCT(('Final Calculation Sheet'!$P$4:$P$40=$CL$37)*($IG$6:$IG$42=1))&gt;0)</f>
        <v/>
      </c>
      <c r="II37">
        <f>$II$36+--($IH37)</f>
        <v/>
      </c>
      <c r="IJ37">
        <f>IF(ROW()-3&gt;MAX($II$4:$II$40),"",INDEX($CL$4:$CL$40,MATCH(ROW()-3,$II$4:$II$40,0)))</f>
        <v/>
      </c>
      <c r="IK37">
        <f>IF(COUNTIF('Live Search'!BM$36:CC$36,0)+COUNTIF('Live Search'!CE$36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L37">
        <f>IF($CQ$37="",FALSE,SUMPRODUCT(('Final Calculation Sheet'!$Q$4:$Q$40=$CQ$37)*($IK$6:$IK$42=1))&gt;0)</f>
        <v/>
      </c>
      <c r="IM37">
        <f>$IM$36+--($IL37)</f>
        <v/>
      </c>
      <c r="IN37">
        <f>IF(ROW()-3&gt;MAX($IM$4:$IM$40),"",INDEX($CQ$4:$CQ$40,MATCH(ROW()-3,$IM$4:$IM$40,0)))</f>
        <v/>
      </c>
      <c r="IO37">
        <f>IF(COUNTIF('Live Search'!BM$36:CD$36,0)+COUNTIF('Live Search'!CF$36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P37">
        <f>IF($CV$37="",FALSE,SUMPRODUCT(('Final Calculation Sheet'!$R$4:$R$40=$CV$37)*($IO$6:$IO$42=1))&gt;0)</f>
        <v/>
      </c>
      <c r="IQ37">
        <f>$IQ$36+--($IP37)</f>
        <v/>
      </c>
      <c r="IR37">
        <f>IF(ROW()-3&gt;MAX($IQ$4:$IQ$40),"",INDEX($CV$4:$CV$40,MATCH(ROW()-3,$IQ$4:$IQ$40,0)))</f>
        <v/>
      </c>
      <c r="IS37">
        <f>IF(COUNTIF('Live Search'!BM$36:CE$36,0)+COUNTIF('Live Search'!CG$36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T37">
        <f>IF($DA$37="",FALSE,SUMPRODUCT(('Final Calculation Sheet'!$S$4:$S$40=$DA$37)*($IS$6:$IS$42=1))&gt;0)</f>
        <v/>
      </c>
      <c r="IU37">
        <f>$IU$36+--($IT37)</f>
        <v/>
      </c>
      <c r="IV37">
        <f>IF(ROW()-3&gt;MAX($IU$4:$IU$40),"",INDEX($DA$4:$DA$40,MATCH(ROW()-3,$IU$4:$IU$40,0)))</f>
        <v/>
      </c>
      <c r="IW37">
        <f>IF(COUNTIF('Live Search'!BM$36:CF$36,0)+COUNTIF('Live Search'!CH$36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IX37">
        <f>IF($DF$37="",FALSE,SUMPRODUCT(('Final Calculation Sheet'!$T$4:$T$40=$DF$37)*($IW$6:$IW$42=1))&gt;0)</f>
        <v/>
      </c>
      <c r="IY37">
        <f>$IY$36+--($IX37)</f>
        <v/>
      </c>
      <c r="IZ37">
        <f>IF(ROW()-3&gt;MAX($IY$4:$IY$40),"",INDEX($DF$4:$DF$40,MATCH(ROW()-3,$IY$4:$IY$40,0)))</f>
        <v/>
      </c>
      <c r="JA37">
        <f>IF(COUNTIF('Live Search'!BM$36:CG$36,0)+COUNTIF('Live Search'!CI$36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B37">
        <f>IF($DK$37="",FALSE,SUMPRODUCT(('Final Calculation Sheet'!$U$4:$U$40=$DK$37)*($JA$6:$JA$42=1))&gt;0)</f>
        <v/>
      </c>
      <c r="JC37">
        <f>$JC$36+--($JB37)</f>
        <v/>
      </c>
      <c r="JD37">
        <f>IF(ROW()-3&gt;MAX($JC$4:$JC$40),"",INDEX($DK$4:$DK$40,MATCH(ROW()-3,$JC$4:$JC$40,0)))</f>
        <v/>
      </c>
      <c r="JE37">
        <f>IF(COUNTIF('Live Search'!BM$36:CH$36,0)+COUNTIF('Live Search'!CJ$36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F37">
        <f>IF($DP$37="",FALSE,SUMPRODUCT(('Final Calculation Sheet'!$V$4:$V$40=$DP$37)*($JE$6:$JE$42=1))&gt;0)</f>
        <v/>
      </c>
      <c r="JG37">
        <f>$JG$36+--($JF37)</f>
        <v/>
      </c>
      <c r="JH37">
        <f>IF(ROW()-3&gt;MAX($JG$4:$JG$40),"",INDEX($DP$4:$DP$40,MATCH(ROW()-3,$JG$4:$JG$40,0)))</f>
        <v/>
      </c>
      <c r="JI37">
        <f>IF(COUNTIF('Live Search'!BM$36:CI$36,0)+COUNTIF('Live Search'!CK$36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J37">
        <f>IF($DU$37="",FALSE,SUMPRODUCT(('Final Calculation Sheet'!$W$4:$W$40=$DU$37)*($JI$6:$JI$42=1))&gt;0)</f>
        <v/>
      </c>
      <c r="JK37">
        <f>$JK$36+--($JJ37)</f>
        <v/>
      </c>
      <c r="JL37">
        <f>IF(ROW()-3&gt;MAX($JK$4:$JK$40),"",INDEX($DU$4:$DU$40,MATCH(ROW()-3,$JK$4:$JK$40,0)))</f>
        <v/>
      </c>
      <c r="JM37">
        <f>IF(COUNTIF('Live Search'!BM$36:CJ$36,0)+COUNTIF('Live Search'!CL$36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N37">
        <f>IF($DZ$37="",FALSE,SUMPRODUCT(('Final Calculation Sheet'!$X$4:$X$40=$DZ$37)*($JM$6:$JM$42=1))&gt;0)</f>
        <v/>
      </c>
      <c r="JO37">
        <f>$JO$36+--($JN37)</f>
        <v/>
      </c>
      <c r="JP37">
        <f>IF(ROW()-3&gt;MAX($JO$4:$JO$40),"",INDEX($DZ$4:$DZ$40,MATCH(ROW()-3,$JO$4:$JO$40,0)))</f>
        <v/>
      </c>
      <c r="JQ37">
        <f>IF(COUNTIF('Live Search'!BM$36:CK$36,0)+COUNTIF('Live Search'!C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R37">
        <f>IF($EE$37="",FALSE,SUMPRODUCT(('Final Calculation Sheet'!$Y$4:$Y$40=$EE$37)*($JQ$6:$JQ$42=1))&gt;0)</f>
        <v/>
      </c>
      <c r="JS37">
        <f>$JS$36+--($JR37)</f>
        <v/>
      </c>
      <c r="JT37">
        <f>IF(ROW()-3&gt;MAX($JS$4:$JS$40),"",INDEX($EE$4:$EE$40,MATCH(ROW()-3,$JS$4:$JS$40,0)))</f>
        <v/>
      </c>
      <c r="JU37">
        <f>IF(COUNTIF('Live Search'!BM$36:CL$36,0)+COUNTIF('Live Search'!CN$36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V37">
        <f>IF($EJ$37="",FALSE,SUMPRODUCT(('Final Calculation Sheet'!$Z$4:$Z$40=$EJ$37)*($JU$6:$JU$42=1))&gt;0)</f>
        <v/>
      </c>
      <c r="JW37">
        <f>$JW$36+--($JV37)</f>
        <v/>
      </c>
      <c r="JX37">
        <f>IF(ROW()-3&gt;MAX($JW$4:$JW$40),"",INDEX($EJ$4:$EJ$40,MATCH(ROW()-3,$JW$4:$JW$40,0)))</f>
        <v/>
      </c>
      <c r="JY37">
        <f>IF(COUNTIF('Live Search'!BM$36:CM$36,0)+COUNTIF('Live Search'!CO$36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JZ37">
        <f>IF($EO$37="",FALSE,SUMPRODUCT(('Final Calculation Sheet'!$AA$4:$AA$40=$EO$37)*($JY$6:$JY$42=1))&gt;0)</f>
        <v/>
      </c>
      <c r="KA37">
        <f>$KA$36+--($JZ37)</f>
        <v/>
      </c>
      <c r="KB37">
        <f>IF(ROW()-3&gt;MAX($KA$4:$KA$40),"",INDEX($EO$4:$EO$40,MATCH(ROW()-3,$KA$4:$KA$40,0)))</f>
        <v/>
      </c>
      <c r="KC37">
        <f>IF(COUNTIF('Live Search'!BM$36:CN$36,0)+COUNTIF('Live Search'!CP$36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D37">
        <f>IF($ET$37="",FALSE,SUMPRODUCT(('Final Calculation Sheet'!$AB$4:$AB$40=$ET$37)*($KC$6:$KC$42=1))&gt;0)</f>
        <v/>
      </c>
      <c r="KE37">
        <f>$KE$36+--($KD37)</f>
        <v/>
      </c>
      <c r="KF37">
        <f>IF(ROW()-3&gt;MAX($KE$4:$KE$40),"",INDEX($ET$4:$ET$40,MATCH(ROW()-3,$KE$4:$KE$40,0)))</f>
        <v/>
      </c>
      <c r="KG37">
        <f>IF(COUNTIF('Live Search'!BM$36:CO$36,0)+COUNTIF('Live Search'!CQ$36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H37">
        <f>IF($EY$37="",FALSE,SUMPRODUCT(('Final Calculation Sheet'!$AC$4:$AC$40=$EY$37)*($KG$6:$KG$42=1))&gt;0)</f>
        <v/>
      </c>
      <c r="KI37">
        <f>$KI$36+--($KH37)</f>
        <v/>
      </c>
      <c r="KJ37">
        <f>IF(ROW()-3&gt;MAX($KI$4:$KI$40),"",INDEX($EY$4:$EY$40,MATCH(ROW()-3,$KI$4:$KI$40,0)))</f>
        <v/>
      </c>
      <c r="KK37">
        <f>IF(COUNTIF('Live Search'!BM$36:CP$36,0)+COUNTIF('Live Search'!CR$36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L37">
        <f>IF($FD$37="",FALSE,SUMPRODUCT(('Final Calculation Sheet'!$AD$4:$AD$40=$FD$37)*($KK$6:$KK$42=1))&gt;0)</f>
        <v/>
      </c>
      <c r="KM37">
        <f>$KM$36+--($KL37)</f>
        <v/>
      </c>
      <c r="KN37">
        <f>IF(ROW()-3&gt;MAX($KM$4:$KM$40),"",INDEX($FD$4:$FD$40,MATCH(ROW()-3,$KM$4:$KM$40,0)))</f>
        <v/>
      </c>
      <c r="KO37">
        <f>IF(COUNTIF('Live Search'!BM$36:CT$36,0)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P37">
        <f>IF($FX$37="",FALSE,SUMPRODUCT((IF('Final Calculation Sheet'!$AD$4:$AD$40&lt;=5,"SETTLED","OUTSTANDING")=$FX$37)*($KO$6:$KO$42=1))&gt;0)</f>
        <v/>
      </c>
      <c r="KQ37">
        <f>$KQ$36+--($KP37)</f>
        <v/>
      </c>
      <c r="KR37">
        <f>IF(ROW()-3&gt;MAX($KQ$4:$KQ$40),"",INDEX($FX$4:$FX$40,MATCH(ROW()-3,$KQ$4:$KQ$40,0)))</f>
        <v/>
      </c>
      <c r="KS37">
        <f>IF(COUNTIF('Live Search'!BM$36:CQ$36,0)+COUNTIF('Live Search'!CS$36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T37">
        <f>IF($FI$37="",FALSE,SUMPRODUCT(('Final Calculation Sheet'!$AF$4:$AF$40=$FI$37)*($KS$6:$KS$42=1))&gt;0)</f>
        <v/>
      </c>
      <c r="KU37">
        <f>$KU$36+--($KT37)</f>
        <v/>
      </c>
      <c r="KV37">
        <f>IF(ROW()-3&gt;MAX($KU$4:$KU$40),"",INDEX($FI$4:$FI$40,MATCH(ROW()-3,$KU$4:$KU$40,0)))</f>
        <v/>
      </c>
      <c r="KW37">
        <f>IF(COUNTIF('Live Search'!BM$36:CR$36,0)+COUNTIF('Live Search'!CT$36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KX37">
        <f>IF($FN$37="",FALSE,SUMPRODUCT(('Final Calculation Sheet'!$AG$4:$AG$40=$FN$37)*($KW$6:$KW$42=1))&gt;0)</f>
        <v/>
      </c>
      <c r="KY37">
        <f>$KY$36+--($KX37)</f>
        <v/>
      </c>
      <c r="KZ37">
        <f>IF(ROW()-3&gt;MAX($KY$4:$KY$40),"",INDEX($FN$4:$FN$40,MATCH(ROW()-3,$KY$4:$KY$40,0)))</f>
        <v/>
      </c>
      <c r="LA37">
        <f>IF(COUNTIF('Live Search'!BM$36:CS$36,0)+COUNTIF('Live Search'!CU$36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LB37">
        <f>IF($FS$37="",FALSE,SUMPRODUCT(('Final Calculation Sheet'!$AH$4:$AH$40=$FS$37)*($LA$6:$LA$42=1))&gt;0)</f>
        <v/>
      </c>
      <c r="LC37">
        <f>$LC$36+--($LB37)</f>
        <v/>
      </c>
      <c r="LD37">
        <f>IF(ROW()-3&gt;MAX($LC$4:$LC$40),"",INDEX($FS$4:$FS$40,MATCH(ROW()-3,$LC$4:$LC$40,0)))</f>
        <v/>
      </c>
      <c r="LE37">
        <f>IF(COUNTIF('Buyer Groups'!DH90:EN90,0)&gt;0,0,1)</f>
        <v/>
      </c>
      <c r="LF37">
        <f>IF($O$37="",FALSE,SUMPRODUCT(('Final Calculation Sheet'!$F$4:$F$40=$O$37)*($LE$6:$LE$42=1))&gt;0)</f>
        <v/>
      </c>
      <c r="LG37">
        <f>$LG$36+--($LF37)</f>
        <v/>
      </c>
      <c r="LH37">
        <f>IF(ROW()-3&gt;MAX($LG$4:$LG$40),"",INDEX($O$4:$O$40,MATCH(ROW()-3,$LG$4:$LG$40,0)))</f>
        <v/>
      </c>
      <c r="LI37">
        <f>IF(COUNTIF('Buyer Groups'!DG90:DG90,0)+COUNTIF('Buyer Groups'!DI90:EN90,0)&gt;0,0,1)</f>
        <v/>
      </c>
      <c r="LJ37">
        <f>IF($T$37="",FALSE,SUMPRODUCT(('Final Calculation Sheet'!$G$4:$G$40=$T$37)*($LI$6:$LI$42=1))&gt;0)</f>
        <v/>
      </c>
      <c r="LK37">
        <f>$LK$36+--($LJ37)</f>
        <v/>
      </c>
      <c r="LL37">
        <f>IF(ROW()-3&gt;MAX($LK$4:$LK$40),"",INDEX($T$4:$T$40,MATCH(ROW()-3,$LK$4:$LK$40,0)))</f>
        <v/>
      </c>
      <c r="LM37">
        <f>IF(COUNTIF('Buyer Groups'!DG90:DH90,0)+COUNTIF('Buyer Groups'!DJ90:EN90,0)&gt;0,0,1)</f>
        <v/>
      </c>
      <c r="LN37">
        <f>IF($Y$37="",FALSE,SUMPRODUCT(('Final Calculation Sheet'!$B$4:$B$40=$Y$37)*($LM$6:$LM$42=1))&gt;0)</f>
        <v/>
      </c>
      <c r="LO37">
        <f>$LO$36+--($LN37)</f>
        <v/>
      </c>
      <c r="LP37">
        <f>IF(ROW()-3&gt;MAX($LO$4:$LO$40),"",INDEX($Y$4:$Y$40,MATCH(ROW()-3,$LO$4:$LO$40,0)))</f>
        <v/>
      </c>
      <c r="LQ37">
        <f>IF(COUNTIF('Buyer Groups'!DG90:DI90,0)+COUNTIF('Buyer Groups'!DK90:EN90,0)&gt;0,0,1)</f>
        <v/>
      </c>
      <c r="LR37">
        <f>IF($AD$37="",FALSE,SUMPRODUCT(('Final Calculation Sheet'!$D$4:$D$40=$AD$37)*($LQ$6:$LQ$42=1))&gt;0)</f>
        <v/>
      </c>
      <c r="LS37">
        <f>$LS$36+--($LR37)</f>
        <v/>
      </c>
      <c r="LT37">
        <f>IF(ROW()-3&gt;MAX($LS$4:$LS$40),"",INDEX($AD$4:$AD$40,MATCH(ROW()-3,$LS$4:$LS$40,0)))</f>
        <v/>
      </c>
      <c r="LU37">
        <f>IF(COUNTIF('Buyer Groups'!DG90:DJ90,0)+COUNTIF('Buyer Groups'!DL90:EN90,0)&gt;0,0,1)</f>
        <v/>
      </c>
      <c r="LV37">
        <f>IF($AI$37="",FALSE,SUMPRODUCT(('Final Calculation Sheet'!$A$4:$A$40=$AI$37)*($LU$6:$LU$42=1))&gt;0)</f>
        <v/>
      </c>
      <c r="LW37">
        <f>$LW$36+--($LV37)</f>
        <v/>
      </c>
      <c r="LX37">
        <f>IF(ROW()-3&gt;MAX($LW$4:$LW$40),"",INDEX($AI$4:$AI$40,MATCH(ROW()-3,$LW$4:$LW$40,0)))</f>
        <v/>
      </c>
      <c r="LY37">
        <f>IF(COUNTIF('Buyer Groups'!DG90:DK90,0)+COUNTIF('Buyer Groups'!DM90:EN90,0)&gt;0,0,1)</f>
        <v/>
      </c>
      <c r="LZ37">
        <f>IF($AN$37="",FALSE,SUMPRODUCT(('Final Calculation Sheet'!$E$4:$E$40=$AN$37)*($LY$6:$LY$42=1))&gt;0)</f>
        <v/>
      </c>
      <c r="MA37">
        <f>$MA$36+--($LZ37)</f>
        <v/>
      </c>
      <c r="MB37">
        <f>IF(ROW()-3&gt;MAX($MA$4:$MA$40),"",INDEX($AN$4:$AN$40,MATCH(ROW()-3,$MA$4:$MA$40,0)))</f>
        <v/>
      </c>
      <c r="MC37">
        <f>IF(COUNTIF('Buyer Groups'!DG90:DL90,0)+COUNTIF('Buyer Groups'!DN90:EN90,0)&gt;0,0,1)</f>
        <v/>
      </c>
      <c r="MD37">
        <f>IF($AS$37="",FALSE,SUMPRODUCT(('Final Calculation Sheet'!$C$4:$C$40=$AS$37)*($MC$6:$MC$42=1))&gt;0)</f>
        <v/>
      </c>
      <c r="ME37">
        <f>$ME$36+--($MD37)</f>
        <v/>
      </c>
      <c r="MF37">
        <f>IF(ROW()-3&gt;MAX($ME$4:$ME$40),"",INDEX($AS$4:$AS$40,MATCH(ROW()-3,$ME$4:$ME$40,0)))</f>
        <v/>
      </c>
      <c r="MG37">
        <f>IF(COUNTIF('Buyer Groups'!DG90:DM90,0)+COUNTIF('Buyer Groups'!DO90:EN90,0)&gt;0,0,1)</f>
        <v/>
      </c>
      <c r="MH37">
        <f>IF($AX$37="",FALSE,SUMPRODUCT(('Final Calculation Sheet'!$H$4:$H$40=$AX$37)*($MG$6:$MG$42=1))&gt;0)</f>
        <v/>
      </c>
      <c r="MI37">
        <f>$MI$36+--($MH37)</f>
        <v/>
      </c>
      <c r="MJ37">
        <f>IF(ROW()-3&gt;MAX($MI$4:$MI$40),"",INDEX($AX$4:$AX$40,MATCH(ROW()-3,$MI$4:$MI$40,0)))</f>
        <v/>
      </c>
      <c r="MK37">
        <f>IF(COUNTIF('Buyer Groups'!DG90:DN90,0)+COUNTIF('Buyer Groups'!DP90:EN90,0)&gt;0,0,1)</f>
        <v/>
      </c>
      <c r="ML37">
        <f>IF($BC$37="",FALSE,SUMPRODUCT(('Final Calculation Sheet'!$I$4:$I$40=$BC$37)*($MK$6:$MK$42=1))&gt;0)</f>
        <v/>
      </c>
      <c r="MM37">
        <f>$MM$36+--($ML37)</f>
        <v/>
      </c>
      <c r="MN37">
        <f>IF(ROW()-3&gt;MAX($MM$4:$MM$40),"",INDEX($BC$4:$BC$40,MATCH(ROW()-3,$MM$4:$MM$40,0)))</f>
        <v/>
      </c>
      <c r="MO37">
        <f>IF(COUNTIF('Buyer Groups'!DG90:DO90,0)+COUNTIF('Buyer Groups'!DQ90:EN90,0)&gt;0,0,1)</f>
        <v/>
      </c>
      <c r="MP37">
        <f>IF($BH$37="",FALSE,SUMPRODUCT(('Final Calculation Sheet'!$J$4:$J$40=$BH$37)*($MO$6:$MO$42=1))&gt;0)</f>
        <v/>
      </c>
      <c r="MQ37">
        <f>$MQ$36+--($MP37)</f>
        <v/>
      </c>
      <c r="MR37">
        <f>IF(ROW()-3&gt;MAX($MQ$4:$MQ$40),"",INDEX($BH$4:$BH$40,MATCH(ROW()-3,$MQ$4:$MQ$40,0)))</f>
        <v/>
      </c>
      <c r="MS37">
        <f>IF(COUNTIF('Buyer Groups'!DG90:DP90,0)+COUNTIF('Buyer Groups'!DR90:EN90,0)&gt;0,0,1)</f>
        <v/>
      </c>
      <c r="MT37">
        <f>IF($BM$37="",FALSE,SUMPRODUCT(('Final Calculation Sheet'!$K$4:$K$40=$BM$37)*($MS$6:$MS$42=1))&gt;0)</f>
        <v/>
      </c>
      <c r="MU37">
        <f>$MU$36+--($MT37)</f>
        <v/>
      </c>
      <c r="MV37">
        <f>IF(ROW()-3&gt;MAX($MU$4:$MU$40),"",INDEX($BM$4:$BM$40,MATCH(ROW()-3,$MU$4:$MU$40,0)))</f>
        <v/>
      </c>
      <c r="MW37">
        <f>IF(COUNTIF('Buyer Groups'!DG90:DQ90,0)+COUNTIF('Buyer Groups'!DS90:EN90,0)&gt;0,0,1)</f>
        <v/>
      </c>
      <c r="MX37">
        <f>IF($BR$37="",FALSE,SUMPRODUCT(('Final Calculation Sheet'!$L$4:$L$40=$BR$37)*($MW$6:$MW$42=1))&gt;0)</f>
        <v/>
      </c>
      <c r="MY37">
        <f>$MY$36+--($MX37)</f>
        <v/>
      </c>
      <c r="MZ37">
        <f>IF(ROW()-3&gt;MAX($MY$4:$MY$40),"",INDEX($BR$4:$BR$40,MATCH(ROW()-3,$MY$4:$MY$40,0)))</f>
        <v/>
      </c>
      <c r="NA37">
        <f>IF(COUNTIF('Buyer Groups'!DG90:DR90,0)+COUNTIF('Buyer Groups'!DT90:EN90,0)&gt;0,0,1)</f>
        <v/>
      </c>
      <c r="NB37">
        <f>IF($BW$37="",FALSE,SUMPRODUCT(('Final Calculation Sheet'!$M$4:$M$40=$BW$37)*($NA$6:$NA$42=1))&gt;0)</f>
        <v/>
      </c>
      <c r="NC37">
        <f>$NC$36+--($NB37)</f>
        <v/>
      </c>
      <c r="ND37">
        <f>IF(ROW()-3&gt;MAX($NC$4:$NC$40),"",INDEX($BW$4:$BW$40,MATCH(ROW()-3,$NC$4:$NC$40,0)))</f>
        <v/>
      </c>
      <c r="NE37">
        <f>IF(COUNTIF('Buyer Groups'!DG90:DS90,0)+COUNTIF('Buyer Groups'!DU90:EN90,0)&gt;0,0,1)</f>
        <v/>
      </c>
      <c r="NF37">
        <f>IF($CB$37="",FALSE,SUMPRODUCT(('Final Calculation Sheet'!$N$4:$N$40=$CB$37)*($NE$6:$NE$42=1))&gt;0)</f>
        <v/>
      </c>
      <c r="NG37">
        <f>$NG$36+--($NF37)</f>
        <v/>
      </c>
      <c r="NH37">
        <f>IF(ROW()-3&gt;MAX($NG$4:$NG$40),"",INDEX($CB$4:$CB$40,MATCH(ROW()-3,$NG$4:$NG$40,0)))</f>
        <v/>
      </c>
      <c r="NI37">
        <f>IF(COUNTIF('Buyer Groups'!DG90:DT90,0)+COUNTIF('Buyer Groups'!DV90:EN90,0)&gt;0,0,1)</f>
        <v/>
      </c>
      <c r="NJ37">
        <f>IF($CG$37="",FALSE,SUMPRODUCT(('Final Calculation Sheet'!$O$4:$O$40=$CG$37)*($NI$6:$NI$42=1))&gt;0)</f>
        <v/>
      </c>
      <c r="NK37">
        <f>$NK$36+--($NJ37)</f>
        <v/>
      </c>
      <c r="NL37">
        <f>IF(ROW()-3&gt;MAX($NK$4:$NK$40),"",INDEX($CG$4:$CG$40,MATCH(ROW()-3,$NK$4:$NK$40,0)))</f>
        <v/>
      </c>
      <c r="NM37">
        <f>IF(COUNTIF('Buyer Groups'!DG90:DU90,0)+COUNTIF('Buyer Groups'!DW90:EN90,0)&gt;0,0,1)</f>
        <v/>
      </c>
      <c r="NN37">
        <f>IF($CL$37="",FALSE,SUMPRODUCT(('Final Calculation Sheet'!$P$4:$P$40=$CL$37)*($NM$6:$NM$42=1))&gt;0)</f>
        <v/>
      </c>
      <c r="NO37">
        <f>$NO$36+--($NN37)</f>
        <v/>
      </c>
      <c r="NP37">
        <f>IF(ROW()-3&gt;MAX($NO$4:$NO$40),"",INDEX($CL$4:$CL$40,MATCH(ROW()-3,$NO$4:$NO$40,0)))</f>
        <v/>
      </c>
      <c r="NQ37">
        <f>IF(COUNTIF('Buyer Groups'!DG90:DV90,0)+COUNTIF('Buyer Groups'!DX90:EN90,0)&gt;0,0,1)</f>
        <v/>
      </c>
      <c r="NR37">
        <f>IF($CQ$37="",FALSE,SUMPRODUCT(('Final Calculation Sheet'!$Q$4:$Q$40=$CQ$37)*($NQ$6:$NQ$42=1))&gt;0)</f>
        <v/>
      </c>
      <c r="NS37">
        <f>$NS$36+--($NR37)</f>
        <v/>
      </c>
      <c r="NT37">
        <f>IF(ROW()-3&gt;MAX($NS$4:$NS$40),"",INDEX($CQ$4:$CQ$40,MATCH(ROW()-3,$NS$4:$NS$40,0)))</f>
        <v/>
      </c>
      <c r="NU37">
        <f>IF(COUNTIF('Buyer Groups'!DG90:DW90,0)+COUNTIF('Buyer Groups'!DY90:EN90,0)&gt;0,0,1)</f>
        <v/>
      </c>
      <c r="NV37">
        <f>IF($CV$37="",FALSE,SUMPRODUCT(('Final Calculation Sheet'!$R$4:$R$40=$CV$37)*($NU$6:$NU$42=1))&gt;0)</f>
        <v/>
      </c>
      <c r="NW37">
        <f>$NW$36+--($NV37)</f>
        <v/>
      </c>
      <c r="NX37">
        <f>IF(ROW()-3&gt;MAX($NW$4:$NW$40),"",INDEX($CV$4:$CV$40,MATCH(ROW()-3,$NW$4:$NW$40,0)))</f>
        <v/>
      </c>
      <c r="NY37">
        <f>IF(COUNTIF('Buyer Groups'!DG90:DX90,0)+COUNTIF('Buyer Groups'!DZ90:EN90,0)&gt;0,0,1)</f>
        <v/>
      </c>
      <c r="NZ37">
        <f>IF($DA$37="",FALSE,SUMPRODUCT(('Final Calculation Sheet'!$S$4:$S$40=$DA$37)*($NY$6:$NY$42=1))&gt;0)</f>
        <v/>
      </c>
      <c r="OA37">
        <f>$OA$36+--($NZ37)</f>
        <v/>
      </c>
      <c r="OB37">
        <f>IF(ROW()-3&gt;MAX($OA$4:$OA$40),"",INDEX($DA$4:$DA$40,MATCH(ROW()-3,$OA$4:$OA$40,0)))</f>
        <v/>
      </c>
      <c r="OC37">
        <f>IF(COUNTIF('Buyer Groups'!DG90:DY90,0)+COUNTIF('Buyer Groups'!EA90:EN90,0)&gt;0,0,1)</f>
        <v/>
      </c>
      <c r="OD37">
        <f>IF($DF$37="",FALSE,SUMPRODUCT(('Final Calculation Sheet'!$T$4:$T$40=$DF$37)*($OC$6:$OC$42=1))&gt;0)</f>
        <v/>
      </c>
      <c r="OE37">
        <f>$OE$36+--($OD37)</f>
        <v/>
      </c>
      <c r="OF37">
        <f>IF(ROW()-3&gt;MAX($OE$4:$OE$40),"",INDEX($DF$4:$DF$40,MATCH(ROW()-3,$OE$4:$OE$40,0)))</f>
        <v/>
      </c>
      <c r="OG37">
        <f>IF(COUNTIF('Buyer Groups'!DG90:DZ90,0)+COUNTIF('Buyer Groups'!EB90:EN90,0)&gt;0,0,1)</f>
        <v/>
      </c>
      <c r="OH37">
        <f>IF($DK$37="",FALSE,SUMPRODUCT(('Final Calculation Sheet'!$U$4:$U$40=$DK$37)*($OG$6:$OG$42=1))&gt;0)</f>
        <v/>
      </c>
      <c r="OI37">
        <f>$OI$36+--($OH37)</f>
        <v/>
      </c>
      <c r="OJ37">
        <f>IF(ROW()-3&gt;MAX($OI$4:$OI$40),"",INDEX($DK$4:$DK$40,MATCH(ROW()-3,$OI$4:$OI$40,0)))</f>
        <v/>
      </c>
      <c r="OK37">
        <f>IF(COUNTIF('Buyer Groups'!DG90:EA90,0)+COUNTIF('Buyer Groups'!EC90:EN90,0)&gt;0,0,1)</f>
        <v/>
      </c>
      <c r="OL37">
        <f>IF($DP$37="",FALSE,SUMPRODUCT(('Final Calculation Sheet'!$V$4:$V$40=$DP$37)*($OK$6:$OK$42=1))&gt;0)</f>
        <v/>
      </c>
      <c r="OM37">
        <f>$OM$36+--($OL37)</f>
        <v/>
      </c>
      <c r="ON37">
        <f>IF(ROW()-3&gt;MAX($OM$4:$OM$40),"",INDEX($DP$4:$DP$40,MATCH(ROW()-3,$OM$4:$OM$40,0)))</f>
        <v/>
      </c>
      <c r="OO37">
        <f>IF(COUNTIF('Buyer Groups'!DG90:EB90,0)+COUNTIF('Buyer Groups'!ED90:EN90,0)&gt;0,0,1)</f>
        <v/>
      </c>
      <c r="OP37">
        <f>IF($DU$37="",FALSE,SUMPRODUCT(('Final Calculation Sheet'!$W$4:$W$40=$DU$37)*($OO$6:$OO$42=1))&gt;0)</f>
        <v/>
      </c>
      <c r="OQ37">
        <f>$OQ$36+--($OP37)</f>
        <v/>
      </c>
      <c r="OR37">
        <f>IF(ROW()-3&gt;MAX($OQ$4:$OQ$40),"",INDEX($DU$4:$DU$40,MATCH(ROW()-3,$OQ$4:$OQ$40,0)))</f>
        <v/>
      </c>
      <c r="OS37">
        <f>IF(COUNTIF('Buyer Groups'!DG90:EC90,0)+COUNTIF('Buyer Groups'!EE90:EN90,0)&gt;0,0,1)</f>
        <v/>
      </c>
      <c r="OT37">
        <f>IF($DZ$37="",FALSE,SUMPRODUCT(('Final Calculation Sheet'!$X$4:$X$40=$DZ$37)*($OS$6:$OS$42=1))&gt;0)</f>
        <v/>
      </c>
      <c r="OU37">
        <f>$OU$36+--($OT37)</f>
        <v/>
      </c>
      <c r="OV37">
        <f>IF(ROW()-3&gt;MAX($OU$4:$OU$40),"",INDEX($DZ$4:$DZ$40,MATCH(ROW()-3,$OU$4:$OU$40,0)))</f>
        <v/>
      </c>
      <c r="OW37">
        <f>IF(COUNTIF('Buyer Groups'!DG90:ED90,0)+COUNTIF('Buyer Groups'!EF90:EN90,0)&gt;0,0,1)</f>
        <v/>
      </c>
      <c r="OX37">
        <f>IF($EE$37="",FALSE,SUMPRODUCT(('Final Calculation Sheet'!$Y$4:$Y$40=$EE$37)*($OW$6:$OW$42=1))&gt;0)</f>
        <v/>
      </c>
      <c r="OY37">
        <f>$OY$36+--($OX37)</f>
        <v/>
      </c>
      <c r="OZ37">
        <f>IF(ROW()-3&gt;MAX($OY$4:$OY$40),"",INDEX($EE$4:$EE$40,MATCH(ROW()-3,$OY$4:$OY$40,0)))</f>
        <v/>
      </c>
      <c r="PA37">
        <f>IF(COUNTIF('Buyer Groups'!DG90:EE90,0)+COUNTIF('Buyer Groups'!EG90:EN90,0)&gt;0,0,1)</f>
        <v/>
      </c>
      <c r="PB37">
        <f>IF($EJ$37="",FALSE,SUMPRODUCT(('Final Calculation Sheet'!$Z$4:$Z$40=$EJ$37)*($PA$6:$PA$42=1))&gt;0)</f>
        <v/>
      </c>
      <c r="PC37">
        <f>$PC$36+--($PB37)</f>
        <v/>
      </c>
      <c r="PD37">
        <f>IF(ROW()-3&gt;MAX($PC$4:$PC$40),"",INDEX($EJ$4:$EJ$40,MATCH(ROW()-3,$PC$4:$PC$40,0)))</f>
        <v/>
      </c>
      <c r="PE37">
        <f>IF(COUNTIF('Buyer Groups'!DG90:EF90,0)+COUNTIF('Buyer Groups'!EH90:EN90,0)&gt;0,0,1)</f>
        <v/>
      </c>
      <c r="PF37">
        <f>IF($EO$37="",FALSE,SUMPRODUCT(('Final Calculation Sheet'!$AA$4:$AA$40=$EO$37)*($PE$6:$PE$42=1))&gt;0)</f>
        <v/>
      </c>
      <c r="PG37">
        <f>$PG$36+--($PF37)</f>
        <v/>
      </c>
      <c r="PH37">
        <f>IF(ROW()-3&gt;MAX($PG$4:$PG$40),"",INDEX($EO$4:$EO$40,MATCH(ROW()-3,$PG$4:$PG$40,0)))</f>
        <v/>
      </c>
      <c r="PI37">
        <f>IF(COUNTIF('Buyer Groups'!DG90:EG90,0)+COUNTIF('Buyer Groups'!EI90:EN90,0)&gt;0,0,1)</f>
        <v/>
      </c>
      <c r="PJ37">
        <f>IF($ET$37="",FALSE,SUMPRODUCT(('Final Calculation Sheet'!$AB$4:$AB$40=$ET$37)*($PI$6:$PI$42=1))&gt;0)</f>
        <v/>
      </c>
      <c r="PK37">
        <f>$PK$36+--($PJ37)</f>
        <v/>
      </c>
      <c r="PL37">
        <f>IF(ROW()-3&gt;MAX($PK$4:$PK$40),"",INDEX($ET$4:$ET$40,MATCH(ROW()-3,$PK$4:$PK$40,0)))</f>
        <v/>
      </c>
      <c r="PM37">
        <f>IF(COUNTIF('Buyer Groups'!DG90:EH90,0)+COUNTIF('Buyer Groups'!EJ90:EN90,0)&gt;0,0,1)</f>
        <v/>
      </c>
      <c r="PN37">
        <f>IF($EY$37="",FALSE,SUMPRODUCT(('Final Calculation Sheet'!$AC$4:$AC$40=$EY$37)*($PM$6:$PM$42=1))&gt;0)</f>
        <v/>
      </c>
      <c r="PO37">
        <f>$PO$36+--($PN37)</f>
        <v/>
      </c>
      <c r="PP37">
        <f>IF(ROW()-3&gt;MAX($PO$4:$PO$40),"",INDEX($EY$4:$EY$40,MATCH(ROW()-3,$PO$4:$PO$40,0)))</f>
        <v/>
      </c>
      <c r="PQ37">
        <f>IF(COUNTIF('Buyer Groups'!DG90:EI90,0)+COUNTIF('Buyer Groups'!EK90:EN90,0)&gt;0,0,1)</f>
        <v/>
      </c>
      <c r="PR37">
        <f>IF($FD$37="",FALSE,SUMPRODUCT(('Final Calculation Sheet'!$AD$4:$AD$40=$FD$37)*($PQ$6:$PQ$42=1))&gt;0)</f>
        <v/>
      </c>
      <c r="PS37">
        <f>$PS$36+--($PR37)</f>
        <v/>
      </c>
      <c r="PT37">
        <f>IF(ROW()-3&gt;MAX($PS$4:$PS$40),"",INDEX($FD$4:$FD$40,MATCH(ROW()-3,$PS$4:$PS$40,0)))</f>
        <v/>
      </c>
      <c r="PU37">
        <f>IF(COUNTIF('Buyer Groups'!DG90:EJ90,0)+COUNTIF('Buyer Groups'!EL90:EN90,0)&gt;0,0,1)</f>
        <v/>
      </c>
      <c r="PV37">
        <f>IF($FX$37="",FALSE,SUMPRODUCT((IF('Final Calculation Sheet'!$AD$4:$AD$40&lt;=5,"SETTLED","OUTSTANDING")=$FX$37)*($PU$6:$PU$42=1))&gt;0)</f>
        <v/>
      </c>
      <c r="PW37">
        <f>$PW$36+--($PV37)</f>
        <v/>
      </c>
      <c r="PX37">
        <f>IF(ROW()-3&gt;MAX($PW$4:$PW$40),"",INDEX($FX$4:$FX$40,MATCH(ROW()-3,$PW$4:$PW$40,0)))</f>
        <v/>
      </c>
      <c r="PY37">
        <f>IF(COUNTIF('Buyer Groups'!DG90:EK90,0)+COUNTIF('Buyer Groups'!EM90:EN90,0)&gt;0,0,1)</f>
        <v/>
      </c>
      <c r="PZ37">
        <f>IF($FI$37="",FALSE,SUMPRODUCT(('Final Calculation Sheet'!$AF$4:$AF$40=$FI$37)*($PY$6:$PY$42=1))&gt;0)</f>
        <v/>
      </c>
      <c r="QA37">
        <f>$QA$36+--($PZ37)</f>
        <v/>
      </c>
      <c r="QB37">
        <f>IF(ROW()-3&gt;MAX($QA$4:$QA$40),"",INDEX($FI$4:$FI$40,MATCH(ROW()-3,$QA$4:$QA$40,0)))</f>
        <v/>
      </c>
      <c r="QC37">
        <f>IF(COUNTIF('Buyer Groups'!DG90:EL90,0)+COUNTIF('Buyer Groups'!EN90:EN90,0)&gt;0,0,1)</f>
        <v/>
      </c>
      <c r="QD37">
        <f>IF($FN$37="",FALSE,SUMPRODUCT(('Final Calculation Sheet'!$AG$4:$AG$40=$FN$37)*($QC$6:$QC$42=1))&gt;0)</f>
        <v/>
      </c>
      <c r="QE37">
        <f>$QE$36+--($QD37)</f>
        <v/>
      </c>
      <c r="QF37">
        <f>IF(ROW()-3&gt;MAX($QE$4:$QE$40),"",INDEX($FN$4:$FN$40,MATCH(ROW()-3,$QE$4:$QE$40,0)))</f>
        <v/>
      </c>
      <c r="QG37">
        <f>IF(COUNTIF('Buyer Groups'!DG90:EM90,0)&gt;0,0,1)</f>
        <v/>
      </c>
      <c r="QH37">
        <f>IF($FS$37="",FALSE,SUMPRODUCT(('Final Calculation Sheet'!$AH$4:$AH$40=$FS$37)*($QG$6:$QG$42=1))&gt;0)</f>
        <v/>
      </c>
      <c r="QI37">
        <f>$QI$36+--($QH37)</f>
        <v/>
      </c>
      <c r="QJ37">
        <f>IF(ROW()-3&gt;MAX($QI$4:$QI$40),"",INDEX($FS$4:$FS$40,MATCH(ROW()-3,$QI$4:$QI$40,0)))</f>
        <v/>
      </c>
      <c r="QK37" t="str">
        <f>IF('Final Calculation Sheet'!$AH$37="","",'Final Calculation Sheet'!$AH$37)</f>
      </c>
      <c r="QL37" t="str">
        <f>IF(QK37="","",COUNTIFS(QK$4:QK$40,"&lt;"&amp;QK37,QK$4:QK$40,"&lt;&gt;"&amp;"")+COUNTIF(QK$4:QK37,QK37))</f>
      </c>
      <c r="QM37" t="str">
        <f>IF(ROW()-3&gt;COUNTIF(QK$4:QK$40,"&lt;&gt;"&amp;""),"",INDEX(QK$4:QK$40,MATCH(ROW()-3,QL$4:QL$40,0)))</f>
      </c>
      <c r="QN37" t="str">
        <f>=QN36+F(AND(QM37&lt;&gt;"",COUNTIF(QM$4:QM37,QM37)=1),1,0)</f>
      </c>
      <c r="QO37" t="str">
        <f>IF(ROW()-3&gt;MAX(QN$4:QN$40),"",INDEX(QM$4:QM$40,MATCH(ROW()-3,QN$4:QN$40,0)))</f>
      </c>
      <c r="QP37" t="str">
        <f>IF(COUNTIF('Final Calculation Sheet'!$AM37:$BS37,0)&gt;0,0,1)</f>
      </c>
      <c r="QQ37" t="str">
        <f>IF($AI$37="",FALSE,SUMPRODUCT(('Final Calculation Sheet'!$A$4:$A$40=$AI$37)*($QP$4:$QP$40=1))&gt;0)</f>
      </c>
      <c r="QR37" t="str">
        <f>=$QR36+--($QQ37)</f>
      </c>
      <c r="QS37" t="str">
        <f>IF(ROW()-3&gt;MAX($QR$4:$QR$40),"",INDEX($AI$4:$AI$40,MATCH(ROW()-3,$QR$4:$QR$40,0)))</f>
      </c>
      <c r="QT37" t="str">
        <f>IF(COUNTIF('Final Calculation Sheet'!$AL37:$AL37,0)+COUNTIF('Final Calculation Sheet'!$AN37:$BS37,0)&gt;0,0,1)</f>
      </c>
      <c r="QU37" t="str">
        <f>IF($Y$37="",FALSE,SUMPRODUCT(('Final Calculation Sheet'!$B$4:$B$40=$Y$37)*($QT$4:$QT$40=1))&gt;0)</f>
      </c>
      <c r="QV37" t="str">
        <f>=$QV36+--($QU37)</f>
      </c>
      <c r="QW37" t="str">
        <f>IF(ROW()-3&gt;MAX($QV$4:$QV$40),"",INDEX($Y$4:$Y$40,MATCH(ROW()-3,$QV$4:$QV$40,0)))</f>
      </c>
      <c r="QX37" t="str">
        <f>IF(COUNTIF('Final Calculation Sheet'!$AL37:$AM37,0)+COUNTIF('Final Calculation Sheet'!$AO37:$BS37,0)&gt;0,0,1)</f>
      </c>
      <c r="QY37" t="str">
        <f>IF($AS$37="",FALSE,SUMPRODUCT(('Final Calculation Sheet'!$C$4:$C$40=$AS$37)*($QX$4:$QX$40=1))&gt;0)</f>
      </c>
      <c r="QZ37" t="str">
        <f>=$QZ36+--($QY37)</f>
      </c>
      <c r="RA37" t="str">
        <f>IF(ROW()-3&gt;MAX($QZ$4:$QZ$40),"",INDEX($AS$4:$AS$40,MATCH(ROW()-3,$QZ$4:$QZ$40,0)))</f>
      </c>
      <c r="RB37" t="str">
        <f>IF(COUNTIF('Final Calculation Sheet'!$AL37:$AN37,0)+COUNTIF('Final Calculation Sheet'!$AP37:$BS37,0)&gt;0,0,1)</f>
      </c>
      <c r="RC37" t="str">
        <f>IF($AD$37="",FALSE,SUMPRODUCT(('Final Calculation Sheet'!$D$4:$D$40=$AD$37)*($RB$4:$RB$40=1))&gt;0)</f>
      </c>
      <c r="RD37" t="str">
        <f>=$RD36+--($RC37)</f>
      </c>
      <c r="RE37" t="str">
        <f>IF(ROW()-3&gt;MAX($RD$4:$RD$40),"",INDEX($AD$4:$AD$40,MATCH(ROW()-3,$RD$4:$RD$40,0)))</f>
      </c>
      <c r="RF37" t="str">
        <f>IF(COUNTIF('Final Calculation Sheet'!$AL37:$AO37,0)+COUNTIF('Final Calculation Sheet'!$AQ37:$BS37,0)&gt;0,0,1)</f>
      </c>
      <c r="RG37" t="str">
        <f>IF($AN$37="",FALSE,SUMPRODUCT(('Final Calculation Sheet'!$E$4:$E$40=$AN$37)*($RF$4:$RF$40=1))&gt;0)</f>
      </c>
      <c r="RH37" t="str">
        <f>=$RH36+--($RG37)</f>
      </c>
      <c r="RI37" t="str">
        <f>IF(ROW()-3&gt;MAX($RH$4:$RH$40),"",INDEX($AN$4:$AN$40,MATCH(ROW()-3,$RH$4:$RH$40,0)))</f>
      </c>
      <c r="RJ37" t="str">
        <f>IF(COUNTIF('Final Calculation Sheet'!$AL37:$AP37,0)+COUNTIF('Final Calculation Sheet'!$AR37:$BS37,0)&gt;0,0,1)</f>
      </c>
      <c r="RK37" t="str">
        <f>IF($O$37="",FALSE,SUMPRODUCT(('Final Calculation Sheet'!$F$4:$F$40=$O$37)*($RJ$4:$RJ$40=1))&gt;0)</f>
      </c>
      <c r="RL37" t="str">
        <f>=$RL36+--($RK37)</f>
      </c>
      <c r="RM37" t="str">
        <f>IF(ROW()-3&gt;MAX($RL$4:$RL$40),"",INDEX($O$4:$O$40,MATCH(ROW()-3,$RL$4:$RL$40,0)))</f>
      </c>
      <c r="RN37" t="str">
        <f>IF(COUNTIF('Final Calculation Sheet'!$AL37:$AQ37,0)+COUNTIF('Final Calculation Sheet'!$AS37:$BS37,0)&gt;0,0,1)</f>
      </c>
      <c r="RO37" t="str">
        <f>IF($T$37="",FALSE,SUMPRODUCT(('Final Calculation Sheet'!$G$4:$G$40=$T$37)*($RN$4:$RN$40=1))&gt;0)</f>
      </c>
      <c r="RP37" t="str">
        <f>=$RP36+--($RO37)</f>
      </c>
      <c r="RQ37" t="str">
        <f>IF(ROW()-3&gt;MAX($RP$4:$RP$40),"",INDEX($T$4:$T$40,MATCH(ROW()-3,$RP$4:$RP$40,0)))</f>
      </c>
      <c r="RR37" t="str">
        <f>IF(COUNTIF('Final Calculation Sheet'!$AL37:$AR37,0)+COUNTIF('Final Calculation Sheet'!$AT37:$BS37,0)&gt;0,0,1)</f>
      </c>
      <c r="RS37" t="str">
        <f>IF($AX$37="",FALSE,SUMPRODUCT(('Final Calculation Sheet'!$H$4:$H$40=$AX$37)*($RR$4:$RR$40=1))&gt;0)</f>
      </c>
      <c r="RT37" t="str">
        <f>=$RT36+--($RS37)</f>
      </c>
      <c r="RU37" t="str">
        <f>IF(ROW()-3&gt;MAX($RT$4:$RT$40),"",INDEX($AX$4:$AX$40,MATCH(ROW()-3,$RT$4:$RT$40,0)))</f>
      </c>
      <c r="RV37" t="str">
        <f>IF(COUNTIF('Final Calculation Sheet'!$AL37:$AS37,0)+COUNTIF('Final Calculation Sheet'!$AU37:$BS37,0)&gt;0,0,1)</f>
      </c>
      <c r="RW37" t="str">
        <f>IF($BC$37="",FALSE,SUMPRODUCT(('Final Calculation Sheet'!$I$4:$I$40=$BC$37)*($RV$4:$RV$40=1))&gt;0)</f>
      </c>
      <c r="RX37" t="str">
        <f>=$RX36+--($RW37)</f>
      </c>
      <c r="RY37" t="str">
        <f>IF(ROW()-3&gt;MAX($RX$4:$RX$40),"",INDEX($BC$4:$BC$40,MATCH(ROW()-3,$RX$4:$RX$40,0)))</f>
      </c>
      <c r="RZ37" t="str">
        <f>IF(COUNTIF('Final Calculation Sheet'!$AL37:$AT37,0)+COUNTIF('Final Calculation Sheet'!$AV37:$BS37,0)&gt;0,0,1)</f>
      </c>
      <c r="SA37" t="str">
        <f>IF($BH$37="",FALSE,SUMPRODUCT(('Final Calculation Sheet'!$J$4:$J$40=$BH$37)*($RZ$4:$RZ$40=1))&gt;0)</f>
      </c>
      <c r="SB37" t="str">
        <f>=$SB36+--($SA37)</f>
      </c>
      <c r="SC37" t="str">
        <f>IF(ROW()-3&gt;MAX($SB$4:$SB$40),"",INDEX($BH$4:$BH$40,MATCH(ROW()-3,$SB$4:$SB$40,0)))</f>
      </c>
      <c r="SD37" t="str">
        <f>IF(COUNTIF('Final Calculation Sheet'!$AL37:$AU37,0)+COUNTIF('Final Calculation Sheet'!$AW37:$BS37,0)&gt;0,0,1)</f>
      </c>
      <c r="SE37" t="str">
        <f>IF($BM$37="",FALSE,SUMPRODUCT(('Final Calculation Sheet'!$K$4:$K$40=$BM$37)*($SD$4:$SD$40=1))&gt;0)</f>
      </c>
      <c r="SF37" t="str">
        <f>=$SF36+--($SE37)</f>
      </c>
      <c r="SG37" t="str">
        <f>IF(ROW()-3&gt;MAX($SF$4:$SF$40),"",INDEX($BM$4:$BM$40,MATCH(ROW()-3,$SF$4:$SF$40,0)))</f>
      </c>
      <c r="SH37" t="str">
        <f>IF(COUNTIF('Final Calculation Sheet'!$AL37:$AV37,0)+COUNTIF('Final Calculation Sheet'!$AX37:$BS37,0)&gt;0,0,1)</f>
      </c>
      <c r="SI37" t="str">
        <f>IF($BR$37="",FALSE,SUMPRODUCT(('Final Calculation Sheet'!$L$4:$L$40=$BR$37)*($SH$4:$SH$40=1))&gt;0)</f>
      </c>
      <c r="SJ37" t="str">
        <f>=$SJ36+--($SI37)</f>
      </c>
      <c r="SK37" t="str">
        <f>IF(ROW()-3&gt;MAX($SJ$4:$SJ$40),"",INDEX($BR$4:$BR$40,MATCH(ROW()-3,$SJ$4:$SJ$40,0)))</f>
      </c>
      <c r="SL37" t="str">
        <f>IF(COUNTIF('Final Calculation Sheet'!$AL37:$AW37,0)+COUNTIF('Final Calculation Sheet'!$AY37:$BS37,0)&gt;0,0,1)</f>
      </c>
      <c r="SM37" t="str">
        <f>IF($BW$37="",FALSE,SUMPRODUCT(('Final Calculation Sheet'!$M$4:$M$40=$BW$37)*($SL$4:$SL$40=1))&gt;0)</f>
      </c>
      <c r="SN37" t="str">
        <f>=$SN36+--($SM37)</f>
      </c>
      <c r="SO37" t="str">
        <f>IF(ROW()-3&gt;MAX($SN$4:$SN$40),"",INDEX($BW$4:$BW$40,MATCH(ROW()-3,$SN$4:$SN$40,0)))</f>
      </c>
      <c r="SP37" t="str">
        <f>IF(COUNTIF('Final Calculation Sheet'!$AL37:$AX37,0)+COUNTIF('Final Calculation Sheet'!$AZ37:$BS37,0)&gt;0,0,1)</f>
      </c>
      <c r="SQ37" t="str">
        <f>IF($CB$37="",FALSE,SUMPRODUCT(('Final Calculation Sheet'!$N$4:$N$40=$CB$37)*($SP$4:$SP$40=1))&gt;0)</f>
      </c>
      <c r="SR37" t="str">
        <f>=$SR36+--($SQ37)</f>
      </c>
      <c r="SS37" t="str">
        <f>IF(ROW()-3&gt;MAX($SR$4:$SR$40),"",INDEX($CB$4:$CB$40,MATCH(ROW()-3,$SR$4:$SR$40,0)))</f>
      </c>
      <c r="ST37" t="str">
        <f>IF(COUNTIF('Final Calculation Sheet'!$AL37:$AY37,0)+COUNTIF('Final Calculation Sheet'!$BA37:$BS37,0)&gt;0,0,1)</f>
      </c>
      <c r="SU37" t="str">
        <f>IF($CG$37="",FALSE,SUMPRODUCT(('Final Calculation Sheet'!$O$4:$O$40=$CG$37)*($ST$4:$ST$40=1))&gt;0)</f>
      </c>
      <c r="SV37" t="str">
        <f>=$SV36+--($SU37)</f>
      </c>
      <c r="SW37" t="str">
        <f>IF(ROW()-3&gt;MAX($SV$4:$SV$40),"",INDEX($CG$4:$CG$40,MATCH(ROW()-3,$SV$4:$SV$40,0)))</f>
      </c>
      <c r="SX37" t="str">
        <f>IF(COUNTIF('Final Calculation Sheet'!$AL37:$AZ37,0)+COUNTIF('Final Calculation Sheet'!$BB37:$BS37,0)&gt;0,0,1)</f>
      </c>
      <c r="SY37" t="str">
        <f>IF($CL$37="",FALSE,SUMPRODUCT(('Final Calculation Sheet'!$P$4:$P$40=$CL$37)*($SX$4:$SX$40=1))&gt;0)</f>
      </c>
      <c r="SZ37" t="str">
        <f>=$SZ36+--($SY37)</f>
      </c>
      <c r="TA37" t="str">
        <f>IF(ROW()-3&gt;MAX($SZ$4:$SZ$40),"",INDEX($CL$4:$CL$40,MATCH(ROW()-3,$SZ$4:$SZ$40,0)))</f>
      </c>
      <c r="TB37" t="str">
        <f>IF(COUNTIF('Final Calculation Sheet'!$AL37:$BA37,0)+COUNTIF('Final Calculation Sheet'!$BC37:$BS37,0)&gt;0,0,1)</f>
      </c>
      <c r="TC37" t="str">
        <f>IF($CQ$37="",FALSE,SUMPRODUCT(('Final Calculation Sheet'!$Q$4:$Q$40=$CQ$37)*($TB$4:$TB$40=1))&gt;0)</f>
      </c>
      <c r="TD37" t="str">
        <f>=$TD36+--($TC37)</f>
      </c>
      <c r="TE37" t="str">
        <f>IF(ROW()-3&gt;MAX($TD$4:$TD$40),"",INDEX($CQ$4:$CQ$40,MATCH(ROW()-3,$TD$4:$TD$40,0)))</f>
      </c>
      <c r="TF37" t="str">
        <f>IF(COUNTIF('Final Calculation Sheet'!$AL37:$BB37,0)+COUNTIF('Final Calculation Sheet'!$BD37:$BS37,0)&gt;0,0,1)</f>
      </c>
      <c r="TG37" t="str">
        <f>IF($CV$37="",FALSE,SUMPRODUCT(('Final Calculation Sheet'!$R$4:$R$40=$CV$37)*($TF$4:$TF$40=1))&gt;0)</f>
      </c>
      <c r="TH37" t="str">
        <f>=$TH36+--($TG37)</f>
      </c>
      <c r="TI37" t="str">
        <f>IF(ROW()-3&gt;MAX($TH$4:$TH$40),"",INDEX($CV$4:$CV$40,MATCH(ROW()-3,$TH$4:$TH$40,0)))</f>
      </c>
      <c r="TJ37" t="str">
        <f>IF(COUNTIF('Final Calculation Sheet'!$AL37:$BC37,0)+COUNTIF('Final Calculation Sheet'!$BE37:$BS37,0)&gt;0,0,1)</f>
      </c>
      <c r="TK37" t="str">
        <f>IF($DA$37="",FALSE,SUMPRODUCT(('Final Calculation Sheet'!$S$4:$S$40=$DA$37)*($TJ$4:$TJ$40=1))&gt;0)</f>
      </c>
      <c r="TL37" t="str">
        <f>=$TL36+--($TK37)</f>
      </c>
      <c r="TM37" t="str">
        <f>IF(ROW()-3&gt;MAX($TL$4:$TL$40),"",INDEX($DA$4:$DA$40,MATCH(ROW()-3,$TL$4:$TL$40,0)))</f>
      </c>
      <c r="TN37" t="str">
        <f>IF(COUNTIF('Final Calculation Sheet'!$AL37:$BD37,0)+COUNTIF('Final Calculation Sheet'!$BF37:$BS37,0)&gt;0,0,1)</f>
      </c>
      <c r="TO37" t="str">
        <f>IF($DF$37="",FALSE,SUMPRODUCT(('Final Calculation Sheet'!$T$4:$T$40=$DF$37)*($TN$4:$TN$40=1))&gt;0)</f>
      </c>
      <c r="TP37" t="str">
        <f>=$TP36+--($TO37)</f>
      </c>
      <c r="TQ37" t="str">
        <f>IF(ROW()-3&gt;MAX($TP$4:$TP$40),"",INDEX($DF$4:$DF$40,MATCH(ROW()-3,$TP$4:$TP$40,0)))</f>
      </c>
      <c r="TR37" t="str">
        <f>IF(COUNTIF('Final Calculation Sheet'!$AL37:$BE37,0)+COUNTIF('Final Calculation Sheet'!$BG37:$BS37,0)&gt;0,0,1)</f>
      </c>
      <c r="TS37" t="str">
        <f>IF($DK$37="",FALSE,SUMPRODUCT(('Final Calculation Sheet'!$U$4:$U$40=$DK$37)*($TR$4:$TR$40=1))&gt;0)</f>
      </c>
      <c r="TT37" t="str">
        <f>=$TT36+--($TS37)</f>
      </c>
      <c r="TU37" t="str">
        <f>IF(ROW()-3&gt;MAX($TT$4:$TT$40),"",INDEX($DK$4:$DK$40,MATCH(ROW()-3,$TT$4:$TT$40,0)))</f>
      </c>
      <c r="TV37" t="str">
        <f>IF(COUNTIF('Final Calculation Sheet'!$AL37:$BF37,0)+COUNTIF('Final Calculation Sheet'!$BH37:$BS37,0)&gt;0,0,1)</f>
      </c>
      <c r="TW37" t="str">
        <f>IF($DP$37="",FALSE,SUMPRODUCT(('Final Calculation Sheet'!$V$4:$V$40=$DP$37)*($TV$4:$TV$40=1))&gt;0)</f>
      </c>
      <c r="TX37" t="str">
        <f>=$TX36+--($TW37)</f>
      </c>
      <c r="TY37" t="str">
        <f>IF(ROW()-3&gt;MAX($TX$4:$TX$40),"",INDEX($DP$4:$DP$40,MATCH(ROW()-3,$TX$4:$TX$40,0)))</f>
      </c>
      <c r="TZ37" t="str">
        <f>IF(COUNTIF('Final Calculation Sheet'!$AL37:$BG37,0)+COUNTIF('Final Calculation Sheet'!$BI37:$BS37,0)&gt;0,0,1)</f>
      </c>
      <c r="UA37" t="str">
        <f>IF($DU$37="",FALSE,SUMPRODUCT(('Final Calculation Sheet'!$W$4:$W$40=$DU$37)*($TZ$4:$TZ$40=1))&gt;0)</f>
      </c>
      <c r="UB37" t="str">
        <f>=$UB36+--($UA37)</f>
      </c>
      <c r="UC37" t="str">
        <f>IF(ROW()-3&gt;MAX($UB$4:$UB$40),"",INDEX($DU$4:$DU$40,MATCH(ROW()-3,$UB$4:$UB$40,0)))</f>
      </c>
      <c r="UD37" t="str">
        <f>IF(COUNTIF('Final Calculation Sheet'!$AL37:$BH37,0)+COUNTIF('Final Calculation Sheet'!$BJ37:$BS37,0)&gt;0,0,1)</f>
      </c>
      <c r="UE37" t="str">
        <f>IF($DZ$37="",FALSE,SUMPRODUCT(('Final Calculation Sheet'!$X$4:$X$40=$DZ$37)*($UD$4:$UD$40=1))&gt;0)</f>
      </c>
      <c r="UF37" t="str">
        <f>=$UF36+--($UE37)</f>
      </c>
      <c r="UG37" t="str">
        <f>IF(ROW()-3&gt;MAX($UF$4:$UF$40),"",INDEX($DZ$4:$DZ$40,MATCH(ROW()-3,$UF$4:$UF$40,0)))</f>
      </c>
      <c r="UH37" t="str">
        <f>IF(COUNTIF('Final Calculation Sheet'!$AL37:$BI37,0)+COUNTIF('Final Calculation Sheet'!$BK37:$BS37,0)&gt;0,0,1)</f>
      </c>
      <c r="UI37" t="str">
        <f>IF($EE$37="",FALSE,SUMPRODUCT(('Final Calculation Sheet'!$Y$4:$Y$40=$EE$37)*($UH$4:$UH$40=1))&gt;0)</f>
      </c>
      <c r="UJ37" t="str">
        <f>=$UJ36+--($UI37)</f>
      </c>
      <c r="UK37" t="str">
        <f>IF(ROW()-3&gt;MAX($UJ$4:$UJ$40),"",INDEX($EE$4:$EE$40,MATCH(ROW()-3,$UJ$4:$UJ$40,0)))</f>
      </c>
      <c r="UL37" t="str">
        <f>IF(COUNTIF('Final Calculation Sheet'!$AL37:$BJ37,0)+COUNTIF('Final Calculation Sheet'!$BL37:$BS37,0)&gt;0,0,1)</f>
      </c>
      <c r="UM37" t="str">
        <f>IF($EJ$37="",FALSE,SUMPRODUCT(('Final Calculation Sheet'!$Z$4:$Z$40=$EJ$37)*($UL$4:$UL$40=1))&gt;0)</f>
      </c>
      <c r="UN37" t="str">
        <f>=$UN36+--($UM37)</f>
      </c>
      <c r="UO37" t="str">
        <f>IF(ROW()-3&gt;MAX($UN$4:$UN$40),"",INDEX($EJ$4:$EJ$40,MATCH(ROW()-3,$UN$4:$UN$40,0)))</f>
      </c>
      <c r="UP37" t="str">
        <f>IF(COUNTIF('Final Calculation Sheet'!$AL37:$BK37,0)+COUNTIF('Final Calculation Sheet'!$BM37:$BS37,0)&gt;0,0,1)</f>
      </c>
      <c r="UQ37" t="str">
        <f>IF($EO$37="",FALSE,SUMPRODUCT(('Final Calculation Sheet'!$AA$4:$AA$40=$EO$37)*($UP$4:$UP$40=1))&gt;0)</f>
      </c>
      <c r="UR37" t="str">
        <f>=$UR36+--($UQ37)</f>
      </c>
      <c r="US37" t="str">
        <f>IF(ROW()-3&gt;MAX($UR$4:$UR$40),"",INDEX($EO$4:$EO$40,MATCH(ROW()-3,$UR$4:$UR$40,0)))</f>
      </c>
      <c r="UT37" t="str">
        <f>IF(COUNTIF('Final Calculation Sheet'!$AL37:$BL37,0)+COUNTIF('Final Calculation Sheet'!$BN37:$BS37,0)&gt;0,0,1)</f>
      </c>
      <c r="UU37" t="str">
        <f>IF($ET$37="",FALSE,SUMPRODUCT(('Final Calculation Sheet'!$AB$4:$AB$40=$ET$37)*($UT$4:$UT$40=1))&gt;0)</f>
      </c>
      <c r="UV37" t="str">
        <f>=$UV36+--($UU37)</f>
      </c>
      <c r="UW37" t="str">
        <f>IF(ROW()-3&gt;MAX($UV$4:$UV$40),"",INDEX($ET$4:$ET$40,MATCH(ROW()-3,$UV$4:$UV$40,0)))</f>
      </c>
      <c r="UX37" t="str">
        <f>IF(COUNTIF('Final Calculation Sheet'!$AL37:$BM37,0)+COUNTIF('Final Calculation Sheet'!$BO37:$BS37,0)&gt;0,0,1)</f>
      </c>
      <c r="UY37" t="str">
        <f>IF($EY$37="",FALSE,SUMPRODUCT(('Final Calculation Sheet'!$AC$4:$AC$40=$EY$37)*($UX$4:$UX$40=1))&gt;0)</f>
      </c>
      <c r="UZ37" t="str">
        <f>=$UZ36+--($UY37)</f>
      </c>
      <c r="VA37" t="str">
        <f>IF(ROW()-3&gt;MAX($UZ$4:$UZ$40),"",INDEX($EY$4:$EY$40,MATCH(ROW()-3,$UZ$4:$UZ$40,0)))</f>
      </c>
      <c r="VB37" t="str">
        <f>IF(COUNTIF('Final Calculation Sheet'!$AL37:$BN37,0)+COUNTIF('Final Calculation Sheet'!$BP37:$BS37,0)&gt;0,0,1)</f>
      </c>
      <c r="VC37" t="str">
        <f>IF($FD$37="",FALSE,SUMPRODUCT(('Final Calculation Sheet'!$AD$4:$AD$40=$FD$37)*($VB$4:$VB$40=1))&gt;0)</f>
      </c>
      <c r="VD37" t="str">
        <f>=$VD36+--($VC37)</f>
      </c>
      <c r="VE37" t="str">
        <f>IF(ROW()-3&gt;MAX($VD$4:$VD$40),"",INDEX($FD$4:$FD$40,MATCH(ROW()-3,$VD$4:$VD$40,0)))</f>
      </c>
      <c r="VF37" t="str">
        <f>IF(COUNTIF('Final Calculation Sheet'!$AL37:$BO37,0)+COUNTIF('Final Calculation Sheet'!$BQ37:$BS37,0)&gt;0,0,1)</f>
      </c>
      <c r="VG37" t="str">
        <f>IF($FI$37="",FALSE,SUMPRODUCT(('Final Calculation Sheet'!$AE$4:$AE$40=$FI$37)*($VF$4:$VF$40=1))&gt;0)</f>
      </c>
      <c r="VH37" t="str">
        <f>=$VH36+--($VG37)</f>
      </c>
      <c r="VI37" t="str">
        <f>IF(ROW()-3&gt;MAX($VH$4:$VH$40),"",INDEX($FI$4:$FI$40,MATCH(ROW()-3,$VH$4:$VH$40,0)))</f>
      </c>
      <c r="VJ37" t="str">
        <f>IF(COUNTIF('Final Calculation Sheet'!$AL37:$BP37,0)+COUNTIF('Final Calculation Sheet'!$BR37:$BS37,0)&gt;0,0,1)</f>
      </c>
      <c r="VK37" t="str">
        <f>IF($FN$37="",FALSE,SUMPRODUCT(('Final Calculation Sheet'!$AF$4:$AF$40=$FN$37)*($VJ$4:$VJ$40=1))&gt;0)</f>
      </c>
      <c r="VL37" t="str">
        <f>=$VL36+--($VK37)</f>
      </c>
      <c r="VM37" t="str">
        <f>IF(ROW()-3&gt;MAX($VL$4:$VL$40),"",INDEX($FN$4:$FN$40,MATCH(ROW()-3,$VL$4:$VL$40,0)))</f>
      </c>
      <c r="VN37" t="str">
        <f>IF(COUNTIF('Final Calculation Sheet'!$AL37:$BQ37,0)+COUNTIF('Final Calculation Sheet'!$BS37:$BS37,0)&gt;0,0,1)</f>
      </c>
      <c r="VO37" t="str">
        <f>IF($FS$37="",FALSE,SUMPRODUCT(('Final Calculation Sheet'!$AG$4:$AG$40=$FS$37)*($VN$4:$VN$40=1))&gt;0)</f>
      </c>
      <c r="VP37" t="str">
        <f>=$VP36+--($VO37)</f>
      </c>
      <c r="VQ37" t="str">
        <f>IF(ROW()-3&gt;MAX($VP$4:$VP$40),"",INDEX($FS$4:$FS$40,MATCH(ROW()-3,$VP$4:$VP$40,0)))</f>
      </c>
      <c r="VR37" t="str">
        <f>IF(COUNTIF('Final Calculation Sheet'!$AL37:$BR37,0)&gt;0,0,1)</f>
      </c>
      <c r="VS37" t="str">
        <f>IF($QO$37="",FALSE,SUMPRODUCT(('Final Calculation Sheet'!$AH$4:$AH$40=$QO$37)*($VR$4:$VR$40=1))&gt;0)</f>
      </c>
      <c r="VT37" t="str">
        <f>=$VT36+--($VS37)</f>
      </c>
      <c r="VU37" t="str">
        <f>IF(ROW()-3&gt;MAX($VT$4:$VT$40),"",INDEX($QO$4:$QO$40,MATCH(ROW()-3,$VT$4:$VT$40,0)))</f>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IF(COUNTIF('Live Search'!BM$37:BM$37,0)+COUNTIF('Live Search'!B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D38">
        <f>IF($O$38="",FALSE,SUMPRODUCT(('Final Calculation Sheet'!$F$4:$F$40=$O$38)*($GC$6:$GC$42=1))&gt;0)</f>
        <v/>
      </c>
      <c r="GE38">
        <f>$GE$37+--($GD38)</f>
        <v/>
      </c>
      <c r="GF38">
        <f>IF(ROW()-3&gt;MAX($GE$4:$GE$40),"",INDEX($O$4:$O$40,MATCH(ROW()-3,$GE$4:$GE$40,0)))</f>
        <v/>
      </c>
      <c r="GG38">
        <f>IF(COUNTIF('Live Search'!BM$37:BN$37,0)+COUNTIF('Live Search'!B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H38">
        <f>IF($T$38="",FALSE,SUMPRODUCT(('Final Calculation Sheet'!$G$4:$G$40=$T$38)*($GG$6:$GG$42=1))&gt;0)</f>
        <v/>
      </c>
      <c r="GI38">
        <f>$GI$37+--($GH38)</f>
        <v/>
      </c>
      <c r="GJ38">
        <f>IF(ROW()-3&gt;MAX($GI$4:$GI$40),"",INDEX($T$4:$T$40,MATCH(ROW()-3,$GI$4:$GI$40,0)))</f>
        <v/>
      </c>
      <c r="GK38">
        <f>IF(COUNTIF('Live Search'!BM$37:BP$37,0)+COUNTIF('Live Search'!B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L38">
        <f>IF($AD$38="",FALSE,SUMPRODUCT(('Final Calculation Sheet'!$D$4:$D$40=$AD$38)*($GK$6:$GK$42=1))&gt;0)</f>
        <v/>
      </c>
      <c r="GM38">
        <f>$GM$37+--($GL38)</f>
        <v/>
      </c>
      <c r="GN38">
        <f>IF(ROW()-3&gt;MAX($GM$4:$GM$40),"",INDEX($AD$4:$AD$40,MATCH(ROW()-3,$GM$4:$GM$40,0)))</f>
        <v/>
      </c>
      <c r="GO38">
        <f>IF(COUNTIF('Live Search'!BM$37:BQ$37,0)+COUNTIF('Live Search'!B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P38">
        <f>IF($AI$38="",FALSE,SUMPRODUCT(('Final Calculation Sheet'!$A$4:$A$40=$AI$38)*($GO$6:$GO$42=1))&gt;0)</f>
        <v/>
      </c>
      <c r="GQ38">
        <f>$GQ$37+--($GP38)</f>
        <v/>
      </c>
      <c r="GR38">
        <f>IF(ROW()-3&gt;MAX($GQ$4:$GQ$40),"",INDEX($AI$4:$AI$40,MATCH(ROW()-3,$GQ$4:$GQ$40,0)))</f>
        <v/>
      </c>
      <c r="GS38">
        <f>IF(COUNTIF('Live Search'!BM$37:BR$37,0)+COUNTIF('Live Search'!B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T38">
        <f>IF($AN$38="",FALSE,SUMPRODUCT(('Final Calculation Sheet'!$E$4:$E$40=$AN$38)*($GS$6:$GS$42=1))&gt;0)</f>
        <v/>
      </c>
      <c r="GU38">
        <f>$GU$37+--($GT38)</f>
        <v/>
      </c>
      <c r="GV38">
        <f>IF(ROW()-3&gt;MAX($GU$4:$GU$40),"",INDEX($AN$4:$AN$40,MATCH(ROW()-3,$GU$4:$GU$40,0)))</f>
        <v/>
      </c>
      <c r="GW38">
        <f>IF(COUNTIF('Live Search'!BM$37:BS$37,0)+COUNTIF('Live Search'!B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GX38">
        <f>IF($AS$38="",FALSE,SUMPRODUCT(('Final Calculation Sheet'!$C$4:$C$40=$AS$38)*($GW$6:$GW$42=1))&gt;0)</f>
        <v/>
      </c>
      <c r="GY38">
        <f>$GY$37+--($GX38)</f>
        <v/>
      </c>
      <c r="GZ38">
        <f>IF(ROW()-3&gt;MAX($GY$4:$GY$40),"",INDEX($AS$4:$AS$40,MATCH(ROW()-3,$GY$4:$GY$40,0)))</f>
        <v/>
      </c>
      <c r="HA38">
        <f>IF(COUNTIF('Live Search'!BM$37:BT$37,0)+COUNTIF('Live Search'!BV$37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B38">
        <f>IF($AX$38="",FALSE,SUMPRODUCT(('Final Calculation Sheet'!$H$4:$H$40=$AX$38)*($HA$6:$HA$42=1))&gt;0)</f>
        <v/>
      </c>
      <c r="HC38">
        <f>$HC$37+--($HB38)</f>
        <v/>
      </c>
      <c r="HD38">
        <f>IF(ROW()-3&gt;MAX($HC$4:$HC$40),"",INDEX($AX$4:$AX$40,MATCH(ROW()-3,$HC$4:$HC$40,0)))</f>
        <v/>
      </c>
      <c r="HE38">
        <f>IF(COUNTIF('Live Search'!BM$37:BU$37,0)+COUNTIF('Live Search'!BW$37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F38">
        <f>IF($BC$38="",FALSE,SUMPRODUCT(('Final Calculation Sheet'!$I$4:$I$40=$BC$38)*($HE$6:$HE$42=1))&gt;0)</f>
        <v/>
      </c>
      <c r="HG38">
        <f>$HG$37+--($HF38)</f>
        <v/>
      </c>
      <c r="HH38">
        <f>IF(ROW()-3&gt;MAX($HG$4:$HG$40),"",INDEX($BC$4:$BC$40,MATCH(ROW()-3,$HG$4:$HG$40,0)))</f>
        <v/>
      </c>
      <c r="HI38">
        <f>IF(COUNTIF('Live Search'!BM$37:BV$37,0)+COUNTIF('Live Search'!BX$37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J38">
        <f>IF($BH$38="",FALSE,SUMPRODUCT(('Final Calculation Sheet'!$J$4:$J$40=$BH$38)*($HI$6:$HI$42=1))&gt;0)</f>
        <v/>
      </c>
      <c r="HK38">
        <f>$HK$37+--($HJ38)</f>
        <v/>
      </c>
      <c r="HL38">
        <f>IF(ROW()-3&gt;MAX($HK$4:$HK$40),"",INDEX($BH$4:$BH$40,MATCH(ROW()-3,$HK$4:$HK$40,0)))</f>
        <v/>
      </c>
      <c r="HM38">
        <f>IF(COUNTIF('Live Search'!BM$37:BW$37,0)+COUNTIF('Live Search'!BY$37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N38">
        <f>IF($BM$38="",FALSE,SUMPRODUCT(('Final Calculation Sheet'!$K$4:$K$40=$BM$38)*($HM$6:$HM$42=1))&gt;0)</f>
        <v/>
      </c>
      <c r="HO38">
        <f>$HO$37+--($HN38)</f>
        <v/>
      </c>
      <c r="HP38">
        <f>IF(ROW()-3&gt;MAX($HO$4:$HO$40),"",INDEX($BM$4:$BM$40,MATCH(ROW()-3,$HO$4:$HO$40,0)))</f>
        <v/>
      </c>
      <c r="HQ38">
        <f>IF(COUNTIF('Live Search'!BM$37:BX$37,0)+COUNTIF('Live Search'!BZ$37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R38">
        <f>IF($BR$38="",FALSE,SUMPRODUCT(('Final Calculation Sheet'!$L$4:$L$40=$BR$38)*($HQ$6:$HQ$42=1))&gt;0)</f>
        <v/>
      </c>
      <c r="HS38">
        <f>$HS$37+--($HR38)</f>
        <v/>
      </c>
      <c r="HT38">
        <f>IF(ROW()-3&gt;MAX($HS$4:$HS$40),"",INDEX($BR$4:$BR$40,MATCH(ROW()-3,$HS$4:$HS$40,0)))</f>
        <v/>
      </c>
      <c r="HU38">
        <f>IF(COUNTIF('Live Search'!BM$37:BY$37,0)+COUNTIF('Live Search'!CA$37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V38">
        <f>IF($BW$38="",FALSE,SUMPRODUCT(('Final Calculation Sheet'!$M$4:$M$40=$BW$38)*($HU$6:$HU$42=1))&gt;0)</f>
        <v/>
      </c>
      <c r="HW38">
        <f>$HW$37+--($HV38)</f>
        <v/>
      </c>
      <c r="HX38">
        <f>IF(ROW()-3&gt;MAX($HW$4:$HW$40),"",INDEX($BW$4:$BW$40,MATCH(ROW()-3,$HW$4:$HW$40,0)))</f>
        <v/>
      </c>
      <c r="HY38">
        <f>IF(COUNTIF('Live Search'!BM$37:BZ$37,0)+COUNTIF('Live Search'!CB$37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HZ38">
        <f>IF($CB$38="",FALSE,SUMPRODUCT(('Final Calculation Sheet'!$N$4:$N$40=$CB$38)*($HY$6:$HY$42=1))&gt;0)</f>
        <v/>
      </c>
      <c r="IA38">
        <f>$IA$37+--($HZ38)</f>
        <v/>
      </c>
      <c r="IB38">
        <f>IF(ROW()-3&gt;MAX($IA$4:$IA$40),"",INDEX($CB$4:$CB$40,MATCH(ROW()-3,$IA$4:$IA$40,0)))</f>
        <v/>
      </c>
      <c r="IC38">
        <f>IF(COUNTIF('Live Search'!BM$37:CA$37,0)+COUNTIF('Live Search'!CC$37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D38">
        <f>IF($CG$38="",FALSE,SUMPRODUCT(('Final Calculation Sheet'!$O$4:$O$40=$CG$38)*($IC$6:$IC$42=1))&gt;0)</f>
        <v/>
      </c>
      <c r="IE38">
        <f>$IE$37+--($ID38)</f>
        <v/>
      </c>
      <c r="IF38">
        <f>IF(ROW()-3&gt;MAX($IE$4:$IE$40),"",INDEX($CG$4:$CG$40,MATCH(ROW()-3,$IE$4:$IE$40,0)))</f>
        <v/>
      </c>
      <c r="IG38">
        <f>IF(COUNTIF('Live Search'!BM$37:CB$37,0)+COUNTIF('Live Search'!CD$37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H38">
        <f>IF($CL$38="",FALSE,SUMPRODUCT(('Final Calculation Sheet'!$P$4:$P$40=$CL$38)*($IG$6:$IG$42=1))&gt;0)</f>
        <v/>
      </c>
      <c r="II38">
        <f>$II$37+--($IH38)</f>
        <v/>
      </c>
      <c r="IJ38">
        <f>IF(ROW()-3&gt;MAX($II$4:$II$40),"",INDEX($CL$4:$CL$40,MATCH(ROW()-3,$II$4:$II$40,0)))</f>
        <v/>
      </c>
      <c r="IK38">
        <f>IF(COUNTIF('Live Search'!BM$37:CC$37,0)+COUNTIF('Live Search'!CE$37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L38">
        <f>IF($CQ$38="",FALSE,SUMPRODUCT(('Final Calculation Sheet'!$Q$4:$Q$40=$CQ$38)*($IK$6:$IK$42=1))&gt;0)</f>
        <v/>
      </c>
      <c r="IM38">
        <f>$IM$37+--($IL38)</f>
        <v/>
      </c>
      <c r="IN38">
        <f>IF(ROW()-3&gt;MAX($IM$4:$IM$40),"",INDEX($CQ$4:$CQ$40,MATCH(ROW()-3,$IM$4:$IM$40,0)))</f>
        <v/>
      </c>
      <c r="IO38">
        <f>IF(COUNTIF('Live Search'!BM$37:CD$37,0)+COUNTIF('Live Search'!CF$37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P38">
        <f>IF($CV$38="",FALSE,SUMPRODUCT(('Final Calculation Sheet'!$R$4:$R$40=$CV$38)*($IO$6:$IO$42=1))&gt;0)</f>
        <v/>
      </c>
      <c r="IQ38">
        <f>$IQ$37+--($IP38)</f>
        <v/>
      </c>
      <c r="IR38">
        <f>IF(ROW()-3&gt;MAX($IQ$4:$IQ$40),"",INDEX($CV$4:$CV$40,MATCH(ROW()-3,$IQ$4:$IQ$40,0)))</f>
        <v/>
      </c>
      <c r="IS38">
        <f>IF(COUNTIF('Live Search'!BM$37:CE$37,0)+COUNTIF('Live Search'!CG$37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T38">
        <f>IF($DA$38="",FALSE,SUMPRODUCT(('Final Calculation Sheet'!$S$4:$S$40=$DA$38)*($IS$6:$IS$42=1))&gt;0)</f>
        <v/>
      </c>
      <c r="IU38">
        <f>$IU$37+--($IT38)</f>
        <v/>
      </c>
      <c r="IV38">
        <f>IF(ROW()-3&gt;MAX($IU$4:$IU$40),"",INDEX($DA$4:$DA$40,MATCH(ROW()-3,$IU$4:$IU$40,0)))</f>
        <v/>
      </c>
      <c r="IW38">
        <f>IF(COUNTIF('Live Search'!BM$37:CF$37,0)+COUNTIF('Live Search'!CH$37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IX38">
        <f>IF($DF$38="",FALSE,SUMPRODUCT(('Final Calculation Sheet'!$T$4:$T$40=$DF$38)*($IW$6:$IW$42=1))&gt;0)</f>
        <v/>
      </c>
      <c r="IY38">
        <f>$IY$37+--($IX38)</f>
        <v/>
      </c>
      <c r="IZ38">
        <f>IF(ROW()-3&gt;MAX($IY$4:$IY$40),"",INDEX($DF$4:$DF$40,MATCH(ROW()-3,$IY$4:$IY$40,0)))</f>
        <v/>
      </c>
      <c r="JA38">
        <f>IF(COUNTIF('Live Search'!BM$37:CG$37,0)+COUNTIF('Live Search'!CI$37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B38">
        <f>IF($DK$38="",FALSE,SUMPRODUCT(('Final Calculation Sheet'!$U$4:$U$40=$DK$38)*($JA$6:$JA$42=1))&gt;0)</f>
        <v/>
      </c>
      <c r="JC38">
        <f>$JC$37+--($JB38)</f>
        <v/>
      </c>
      <c r="JD38">
        <f>IF(ROW()-3&gt;MAX($JC$4:$JC$40),"",INDEX($DK$4:$DK$40,MATCH(ROW()-3,$JC$4:$JC$40,0)))</f>
        <v/>
      </c>
      <c r="JE38">
        <f>IF(COUNTIF('Live Search'!BM$37:CH$37,0)+COUNTIF('Live Search'!CJ$37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F38">
        <f>IF($DP$38="",FALSE,SUMPRODUCT(('Final Calculation Sheet'!$V$4:$V$40=$DP$38)*($JE$6:$JE$42=1))&gt;0)</f>
        <v/>
      </c>
      <c r="JG38">
        <f>$JG$37+--($JF38)</f>
        <v/>
      </c>
      <c r="JH38">
        <f>IF(ROW()-3&gt;MAX($JG$4:$JG$40),"",INDEX($DP$4:$DP$40,MATCH(ROW()-3,$JG$4:$JG$40,0)))</f>
        <v/>
      </c>
      <c r="JI38">
        <f>IF(COUNTIF('Live Search'!BM$37:CI$37,0)+COUNTIF('Live Search'!CK$37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J38">
        <f>IF($DU$38="",FALSE,SUMPRODUCT(('Final Calculation Sheet'!$W$4:$W$40=$DU$38)*($JI$6:$JI$42=1))&gt;0)</f>
        <v/>
      </c>
      <c r="JK38">
        <f>$JK$37+--($JJ38)</f>
        <v/>
      </c>
      <c r="JL38">
        <f>IF(ROW()-3&gt;MAX($JK$4:$JK$40),"",INDEX($DU$4:$DU$40,MATCH(ROW()-3,$JK$4:$JK$40,0)))</f>
        <v/>
      </c>
      <c r="JM38">
        <f>IF(COUNTIF('Live Search'!BM$37:CJ$37,0)+COUNTIF('Live Search'!CL$37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N38">
        <f>IF($DZ$38="",FALSE,SUMPRODUCT(('Final Calculation Sheet'!$X$4:$X$40=$DZ$38)*($JM$6:$JM$42=1))&gt;0)</f>
        <v/>
      </c>
      <c r="JO38">
        <f>$JO$37+--($JN38)</f>
        <v/>
      </c>
      <c r="JP38">
        <f>IF(ROW()-3&gt;MAX($JO$4:$JO$40),"",INDEX($DZ$4:$DZ$40,MATCH(ROW()-3,$JO$4:$JO$40,0)))</f>
        <v/>
      </c>
      <c r="JQ38">
        <f>IF(COUNTIF('Live Search'!BM$37:CK$37,0)+COUNTIF('Live Search'!C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R38">
        <f>IF($EE$38="",FALSE,SUMPRODUCT(('Final Calculation Sheet'!$Y$4:$Y$40=$EE$38)*($JQ$6:$JQ$42=1))&gt;0)</f>
        <v/>
      </c>
      <c r="JS38">
        <f>$JS$37+--($JR38)</f>
        <v/>
      </c>
      <c r="JT38">
        <f>IF(ROW()-3&gt;MAX($JS$4:$JS$40),"",INDEX($EE$4:$EE$40,MATCH(ROW()-3,$JS$4:$JS$40,0)))</f>
        <v/>
      </c>
      <c r="JU38">
        <f>IF(COUNTIF('Live Search'!BM$37:CL$37,0)+COUNTIF('Live Search'!CN$37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V38">
        <f>IF($EJ$38="",FALSE,SUMPRODUCT(('Final Calculation Sheet'!$Z$4:$Z$40=$EJ$38)*($JU$6:$JU$42=1))&gt;0)</f>
        <v/>
      </c>
      <c r="JW38">
        <f>$JW$37+--($JV38)</f>
        <v/>
      </c>
      <c r="JX38">
        <f>IF(ROW()-3&gt;MAX($JW$4:$JW$40),"",INDEX($EJ$4:$EJ$40,MATCH(ROW()-3,$JW$4:$JW$40,0)))</f>
        <v/>
      </c>
      <c r="JY38">
        <f>IF(COUNTIF('Live Search'!BM$37:CM$37,0)+COUNTIF('Live Search'!CO$37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JZ38">
        <f>IF($EO$38="",FALSE,SUMPRODUCT(('Final Calculation Sheet'!$AA$4:$AA$40=$EO$38)*($JY$6:$JY$42=1))&gt;0)</f>
        <v/>
      </c>
      <c r="KA38">
        <f>$KA$37+--($JZ38)</f>
        <v/>
      </c>
      <c r="KB38">
        <f>IF(ROW()-3&gt;MAX($KA$4:$KA$40),"",INDEX($EO$4:$EO$40,MATCH(ROW()-3,$KA$4:$KA$40,0)))</f>
        <v/>
      </c>
      <c r="KC38">
        <f>IF(COUNTIF('Live Search'!BM$37:CN$37,0)+COUNTIF('Live Search'!CP$37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D38">
        <f>IF($ET$38="",FALSE,SUMPRODUCT(('Final Calculation Sheet'!$AB$4:$AB$40=$ET$38)*($KC$6:$KC$42=1))&gt;0)</f>
        <v/>
      </c>
      <c r="KE38">
        <f>$KE$37+--($KD38)</f>
        <v/>
      </c>
      <c r="KF38">
        <f>IF(ROW()-3&gt;MAX($KE$4:$KE$40),"",INDEX($ET$4:$ET$40,MATCH(ROW()-3,$KE$4:$KE$40,0)))</f>
        <v/>
      </c>
      <c r="KG38">
        <f>IF(COUNTIF('Live Search'!BM$37:CO$37,0)+COUNTIF('Live Search'!CQ$37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H38">
        <f>IF($EY$38="",FALSE,SUMPRODUCT(('Final Calculation Sheet'!$AC$4:$AC$40=$EY$38)*($KG$6:$KG$42=1))&gt;0)</f>
        <v/>
      </c>
      <c r="KI38">
        <f>$KI$37+--($KH38)</f>
        <v/>
      </c>
      <c r="KJ38">
        <f>IF(ROW()-3&gt;MAX($KI$4:$KI$40),"",INDEX($EY$4:$EY$40,MATCH(ROW()-3,$KI$4:$KI$40,0)))</f>
        <v/>
      </c>
      <c r="KK38">
        <f>IF(COUNTIF('Live Search'!BM$37:CP$37,0)+COUNTIF('Live Search'!CR$37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L38">
        <f>IF($FD$38="",FALSE,SUMPRODUCT(('Final Calculation Sheet'!$AD$4:$AD$40=$FD$38)*($KK$6:$KK$42=1))&gt;0)</f>
        <v/>
      </c>
      <c r="KM38">
        <f>$KM$37+--($KL38)</f>
        <v/>
      </c>
      <c r="KN38">
        <f>IF(ROW()-3&gt;MAX($KM$4:$KM$40),"",INDEX($FD$4:$FD$40,MATCH(ROW()-3,$KM$4:$KM$40,0)))</f>
        <v/>
      </c>
      <c r="KO38">
        <f>IF(COUNTIF('Live Search'!BM$37:CT$37,0)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P38">
        <f>IF($FX$38="",FALSE,SUMPRODUCT((IF('Final Calculation Sheet'!$AD$4:$AD$40&lt;=5,"SETTLED","OUTSTANDING")=$FX$38)*($KO$6:$KO$42=1))&gt;0)</f>
        <v/>
      </c>
      <c r="KQ38">
        <f>$KQ$37+--($KP38)</f>
        <v/>
      </c>
      <c r="KR38">
        <f>IF(ROW()-3&gt;MAX($KQ$4:$KQ$40),"",INDEX($FX$4:$FX$40,MATCH(ROW()-3,$KQ$4:$KQ$40,0)))</f>
        <v/>
      </c>
      <c r="KS38">
        <f>IF(COUNTIF('Live Search'!BM$37:CQ$37,0)+COUNTIF('Live Search'!CS$37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T38">
        <f>IF($FI$38="",FALSE,SUMPRODUCT(('Final Calculation Sheet'!$AF$4:$AF$40=$FI$38)*($KS$6:$KS$42=1))&gt;0)</f>
        <v/>
      </c>
      <c r="KU38">
        <f>$KU$37+--($KT38)</f>
        <v/>
      </c>
      <c r="KV38">
        <f>IF(ROW()-3&gt;MAX($KU$4:$KU$40),"",INDEX($FI$4:$FI$40,MATCH(ROW()-3,$KU$4:$KU$40,0)))</f>
        <v/>
      </c>
      <c r="KW38">
        <f>IF(COUNTIF('Live Search'!BM$37:CR$37,0)+COUNTIF('Live Search'!CT$37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KX38">
        <f>IF($FN$38="",FALSE,SUMPRODUCT(('Final Calculation Sheet'!$AG$4:$AG$40=$FN$38)*($KW$6:$KW$42=1))&gt;0)</f>
        <v/>
      </c>
      <c r="KY38">
        <f>$KY$37+--($KX38)</f>
        <v/>
      </c>
      <c r="KZ38">
        <f>IF(ROW()-3&gt;MAX($KY$4:$KY$40),"",INDEX($FN$4:$FN$40,MATCH(ROW()-3,$KY$4:$KY$40,0)))</f>
        <v/>
      </c>
      <c r="LA38">
        <f>IF(COUNTIF('Live Search'!BM$37:CS$37,0)+COUNTIF('Live Search'!CU$37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LB38">
        <f>IF($FS$38="",FALSE,SUMPRODUCT(('Final Calculation Sheet'!$AH$4:$AH$40=$FS$38)*($LA$6:$LA$42=1))&gt;0)</f>
        <v/>
      </c>
      <c r="LC38">
        <f>$LC$37+--($LB38)</f>
        <v/>
      </c>
      <c r="LD38">
        <f>IF(ROW()-3&gt;MAX($LC$4:$LC$40),"",INDEX($FS$4:$FS$40,MATCH(ROW()-3,$LC$4:$LC$40,0)))</f>
        <v/>
      </c>
      <c r="LE38">
        <f>IF(COUNTIF('Buyer Groups'!DH91:EN91,0)&gt;0,0,1)</f>
        <v/>
      </c>
      <c r="LF38">
        <f>IF($O$38="",FALSE,SUMPRODUCT(('Final Calculation Sheet'!$F$4:$F$40=$O$38)*($LE$6:$LE$42=1))&gt;0)</f>
        <v/>
      </c>
      <c r="LG38">
        <f>$LG$37+--($LF38)</f>
        <v/>
      </c>
      <c r="LH38">
        <f>IF(ROW()-3&gt;MAX($LG$4:$LG$40),"",INDEX($O$4:$O$40,MATCH(ROW()-3,$LG$4:$LG$40,0)))</f>
        <v/>
      </c>
      <c r="LI38">
        <f>IF(COUNTIF('Buyer Groups'!DG91:DG91,0)+COUNTIF('Buyer Groups'!DI91:EN91,0)&gt;0,0,1)</f>
        <v/>
      </c>
      <c r="LJ38">
        <f>IF($T$38="",FALSE,SUMPRODUCT(('Final Calculation Sheet'!$G$4:$G$40=$T$38)*($LI$6:$LI$42=1))&gt;0)</f>
        <v/>
      </c>
      <c r="LK38">
        <f>$LK$37+--($LJ38)</f>
        <v/>
      </c>
      <c r="LL38">
        <f>IF(ROW()-3&gt;MAX($LK$4:$LK$40),"",INDEX($T$4:$T$40,MATCH(ROW()-3,$LK$4:$LK$40,0)))</f>
        <v/>
      </c>
      <c r="LM38">
        <f>IF(COUNTIF('Buyer Groups'!DG91:DH91,0)+COUNTIF('Buyer Groups'!DJ91:EN91,0)&gt;0,0,1)</f>
        <v/>
      </c>
      <c r="LN38">
        <f>IF($Y$38="",FALSE,SUMPRODUCT(('Final Calculation Sheet'!$B$4:$B$40=$Y$38)*($LM$6:$LM$42=1))&gt;0)</f>
        <v/>
      </c>
      <c r="LO38">
        <f>$LO$37+--($LN38)</f>
        <v/>
      </c>
      <c r="LP38">
        <f>IF(ROW()-3&gt;MAX($LO$4:$LO$40),"",INDEX($Y$4:$Y$40,MATCH(ROW()-3,$LO$4:$LO$40,0)))</f>
        <v/>
      </c>
      <c r="LQ38">
        <f>IF(COUNTIF('Buyer Groups'!DG91:DI91,0)+COUNTIF('Buyer Groups'!DK91:EN91,0)&gt;0,0,1)</f>
        <v/>
      </c>
      <c r="LR38">
        <f>IF($AD$38="",FALSE,SUMPRODUCT(('Final Calculation Sheet'!$D$4:$D$40=$AD$38)*($LQ$6:$LQ$42=1))&gt;0)</f>
        <v/>
      </c>
      <c r="LS38">
        <f>$LS$37+--($LR38)</f>
        <v/>
      </c>
      <c r="LT38">
        <f>IF(ROW()-3&gt;MAX($LS$4:$LS$40),"",INDEX($AD$4:$AD$40,MATCH(ROW()-3,$LS$4:$LS$40,0)))</f>
        <v/>
      </c>
      <c r="LU38">
        <f>IF(COUNTIF('Buyer Groups'!DG91:DJ91,0)+COUNTIF('Buyer Groups'!DL91:EN91,0)&gt;0,0,1)</f>
        <v/>
      </c>
      <c r="LV38">
        <f>IF($AI$38="",FALSE,SUMPRODUCT(('Final Calculation Sheet'!$A$4:$A$40=$AI$38)*($LU$6:$LU$42=1))&gt;0)</f>
        <v/>
      </c>
      <c r="LW38">
        <f>$LW$37+--($LV38)</f>
        <v/>
      </c>
      <c r="LX38">
        <f>IF(ROW()-3&gt;MAX($LW$4:$LW$40),"",INDEX($AI$4:$AI$40,MATCH(ROW()-3,$LW$4:$LW$40,0)))</f>
        <v/>
      </c>
      <c r="LY38">
        <f>IF(COUNTIF('Buyer Groups'!DG91:DK91,0)+COUNTIF('Buyer Groups'!DM91:EN91,0)&gt;0,0,1)</f>
        <v/>
      </c>
      <c r="LZ38">
        <f>IF($AN$38="",FALSE,SUMPRODUCT(('Final Calculation Sheet'!$E$4:$E$40=$AN$38)*($LY$6:$LY$42=1))&gt;0)</f>
        <v/>
      </c>
      <c r="MA38">
        <f>$MA$37+--($LZ38)</f>
        <v/>
      </c>
      <c r="MB38">
        <f>IF(ROW()-3&gt;MAX($MA$4:$MA$40),"",INDEX($AN$4:$AN$40,MATCH(ROW()-3,$MA$4:$MA$40,0)))</f>
        <v/>
      </c>
      <c r="MC38">
        <f>IF(COUNTIF('Buyer Groups'!DG91:DL91,0)+COUNTIF('Buyer Groups'!DN91:EN91,0)&gt;0,0,1)</f>
        <v/>
      </c>
      <c r="MD38">
        <f>IF($AS$38="",FALSE,SUMPRODUCT(('Final Calculation Sheet'!$C$4:$C$40=$AS$38)*($MC$6:$MC$42=1))&gt;0)</f>
        <v/>
      </c>
      <c r="ME38">
        <f>$ME$37+--($MD38)</f>
        <v/>
      </c>
      <c r="MF38">
        <f>IF(ROW()-3&gt;MAX($ME$4:$ME$40),"",INDEX($AS$4:$AS$40,MATCH(ROW()-3,$ME$4:$ME$40,0)))</f>
        <v/>
      </c>
      <c r="MG38">
        <f>IF(COUNTIF('Buyer Groups'!DG91:DM91,0)+COUNTIF('Buyer Groups'!DO91:EN91,0)&gt;0,0,1)</f>
        <v/>
      </c>
      <c r="MH38">
        <f>IF($AX$38="",FALSE,SUMPRODUCT(('Final Calculation Sheet'!$H$4:$H$40=$AX$38)*($MG$6:$MG$42=1))&gt;0)</f>
        <v/>
      </c>
      <c r="MI38">
        <f>$MI$37+--($MH38)</f>
        <v/>
      </c>
      <c r="MJ38">
        <f>IF(ROW()-3&gt;MAX($MI$4:$MI$40),"",INDEX($AX$4:$AX$40,MATCH(ROW()-3,$MI$4:$MI$40,0)))</f>
        <v/>
      </c>
      <c r="MK38">
        <f>IF(COUNTIF('Buyer Groups'!DG91:DN91,0)+COUNTIF('Buyer Groups'!DP91:EN91,0)&gt;0,0,1)</f>
        <v/>
      </c>
      <c r="ML38">
        <f>IF($BC$38="",FALSE,SUMPRODUCT(('Final Calculation Sheet'!$I$4:$I$40=$BC$38)*($MK$6:$MK$42=1))&gt;0)</f>
        <v/>
      </c>
      <c r="MM38">
        <f>$MM$37+--($ML38)</f>
        <v/>
      </c>
      <c r="MN38">
        <f>IF(ROW()-3&gt;MAX($MM$4:$MM$40),"",INDEX($BC$4:$BC$40,MATCH(ROW()-3,$MM$4:$MM$40,0)))</f>
        <v/>
      </c>
      <c r="MO38">
        <f>IF(COUNTIF('Buyer Groups'!DG91:DO91,0)+COUNTIF('Buyer Groups'!DQ91:EN91,0)&gt;0,0,1)</f>
        <v/>
      </c>
      <c r="MP38">
        <f>IF($BH$38="",FALSE,SUMPRODUCT(('Final Calculation Sheet'!$J$4:$J$40=$BH$38)*($MO$6:$MO$42=1))&gt;0)</f>
        <v/>
      </c>
      <c r="MQ38">
        <f>$MQ$37+--($MP38)</f>
        <v/>
      </c>
      <c r="MR38">
        <f>IF(ROW()-3&gt;MAX($MQ$4:$MQ$40),"",INDEX($BH$4:$BH$40,MATCH(ROW()-3,$MQ$4:$MQ$40,0)))</f>
        <v/>
      </c>
      <c r="MS38">
        <f>IF(COUNTIF('Buyer Groups'!DG91:DP91,0)+COUNTIF('Buyer Groups'!DR91:EN91,0)&gt;0,0,1)</f>
        <v/>
      </c>
      <c r="MT38">
        <f>IF($BM$38="",FALSE,SUMPRODUCT(('Final Calculation Sheet'!$K$4:$K$40=$BM$38)*($MS$6:$MS$42=1))&gt;0)</f>
        <v/>
      </c>
      <c r="MU38">
        <f>$MU$37+--($MT38)</f>
        <v/>
      </c>
      <c r="MV38">
        <f>IF(ROW()-3&gt;MAX($MU$4:$MU$40),"",INDEX($BM$4:$BM$40,MATCH(ROW()-3,$MU$4:$MU$40,0)))</f>
        <v/>
      </c>
      <c r="MW38">
        <f>IF(COUNTIF('Buyer Groups'!DG91:DQ91,0)+COUNTIF('Buyer Groups'!DS91:EN91,0)&gt;0,0,1)</f>
        <v/>
      </c>
      <c r="MX38">
        <f>IF($BR$38="",FALSE,SUMPRODUCT(('Final Calculation Sheet'!$L$4:$L$40=$BR$38)*($MW$6:$MW$42=1))&gt;0)</f>
        <v/>
      </c>
      <c r="MY38">
        <f>$MY$37+--($MX38)</f>
        <v/>
      </c>
      <c r="MZ38">
        <f>IF(ROW()-3&gt;MAX($MY$4:$MY$40),"",INDEX($BR$4:$BR$40,MATCH(ROW()-3,$MY$4:$MY$40,0)))</f>
        <v/>
      </c>
      <c r="NA38">
        <f>IF(COUNTIF('Buyer Groups'!DG91:DR91,0)+COUNTIF('Buyer Groups'!DT91:EN91,0)&gt;0,0,1)</f>
        <v/>
      </c>
      <c r="NB38">
        <f>IF($BW$38="",FALSE,SUMPRODUCT(('Final Calculation Sheet'!$M$4:$M$40=$BW$38)*($NA$6:$NA$42=1))&gt;0)</f>
        <v/>
      </c>
      <c r="NC38">
        <f>$NC$37+--($NB38)</f>
        <v/>
      </c>
      <c r="ND38">
        <f>IF(ROW()-3&gt;MAX($NC$4:$NC$40),"",INDEX($BW$4:$BW$40,MATCH(ROW()-3,$NC$4:$NC$40,0)))</f>
        <v/>
      </c>
      <c r="NE38">
        <f>IF(COUNTIF('Buyer Groups'!DG91:DS91,0)+COUNTIF('Buyer Groups'!DU91:EN91,0)&gt;0,0,1)</f>
        <v/>
      </c>
      <c r="NF38">
        <f>IF($CB$38="",FALSE,SUMPRODUCT(('Final Calculation Sheet'!$N$4:$N$40=$CB$38)*($NE$6:$NE$42=1))&gt;0)</f>
        <v/>
      </c>
      <c r="NG38">
        <f>$NG$37+--($NF38)</f>
        <v/>
      </c>
      <c r="NH38">
        <f>IF(ROW()-3&gt;MAX($NG$4:$NG$40),"",INDEX($CB$4:$CB$40,MATCH(ROW()-3,$NG$4:$NG$40,0)))</f>
        <v/>
      </c>
      <c r="NI38">
        <f>IF(COUNTIF('Buyer Groups'!DG91:DT91,0)+COUNTIF('Buyer Groups'!DV91:EN91,0)&gt;0,0,1)</f>
        <v/>
      </c>
      <c r="NJ38">
        <f>IF($CG$38="",FALSE,SUMPRODUCT(('Final Calculation Sheet'!$O$4:$O$40=$CG$38)*($NI$6:$NI$42=1))&gt;0)</f>
        <v/>
      </c>
      <c r="NK38">
        <f>$NK$37+--($NJ38)</f>
        <v/>
      </c>
      <c r="NL38">
        <f>IF(ROW()-3&gt;MAX($NK$4:$NK$40),"",INDEX($CG$4:$CG$40,MATCH(ROW()-3,$NK$4:$NK$40,0)))</f>
        <v/>
      </c>
      <c r="NM38">
        <f>IF(COUNTIF('Buyer Groups'!DG91:DU91,0)+COUNTIF('Buyer Groups'!DW91:EN91,0)&gt;0,0,1)</f>
        <v/>
      </c>
      <c r="NN38">
        <f>IF($CL$38="",FALSE,SUMPRODUCT(('Final Calculation Sheet'!$P$4:$P$40=$CL$38)*($NM$6:$NM$42=1))&gt;0)</f>
        <v/>
      </c>
      <c r="NO38">
        <f>$NO$37+--($NN38)</f>
        <v/>
      </c>
      <c r="NP38">
        <f>IF(ROW()-3&gt;MAX($NO$4:$NO$40),"",INDEX($CL$4:$CL$40,MATCH(ROW()-3,$NO$4:$NO$40,0)))</f>
        <v/>
      </c>
      <c r="NQ38">
        <f>IF(COUNTIF('Buyer Groups'!DG91:DV91,0)+COUNTIF('Buyer Groups'!DX91:EN91,0)&gt;0,0,1)</f>
        <v/>
      </c>
      <c r="NR38">
        <f>IF($CQ$38="",FALSE,SUMPRODUCT(('Final Calculation Sheet'!$Q$4:$Q$40=$CQ$38)*($NQ$6:$NQ$42=1))&gt;0)</f>
        <v/>
      </c>
      <c r="NS38">
        <f>$NS$37+--($NR38)</f>
        <v/>
      </c>
      <c r="NT38">
        <f>IF(ROW()-3&gt;MAX($NS$4:$NS$40),"",INDEX($CQ$4:$CQ$40,MATCH(ROW()-3,$NS$4:$NS$40,0)))</f>
        <v/>
      </c>
      <c r="NU38">
        <f>IF(COUNTIF('Buyer Groups'!DG91:DW91,0)+COUNTIF('Buyer Groups'!DY91:EN91,0)&gt;0,0,1)</f>
        <v/>
      </c>
      <c r="NV38">
        <f>IF($CV$38="",FALSE,SUMPRODUCT(('Final Calculation Sheet'!$R$4:$R$40=$CV$38)*($NU$6:$NU$42=1))&gt;0)</f>
        <v/>
      </c>
      <c r="NW38">
        <f>$NW$37+--($NV38)</f>
        <v/>
      </c>
      <c r="NX38">
        <f>IF(ROW()-3&gt;MAX($NW$4:$NW$40),"",INDEX($CV$4:$CV$40,MATCH(ROW()-3,$NW$4:$NW$40,0)))</f>
        <v/>
      </c>
      <c r="NY38">
        <f>IF(COUNTIF('Buyer Groups'!DG91:DX91,0)+COUNTIF('Buyer Groups'!DZ91:EN91,0)&gt;0,0,1)</f>
        <v/>
      </c>
      <c r="NZ38">
        <f>IF($DA$38="",FALSE,SUMPRODUCT(('Final Calculation Sheet'!$S$4:$S$40=$DA$38)*($NY$6:$NY$42=1))&gt;0)</f>
        <v/>
      </c>
      <c r="OA38">
        <f>$OA$37+--($NZ38)</f>
        <v/>
      </c>
      <c r="OB38">
        <f>IF(ROW()-3&gt;MAX($OA$4:$OA$40),"",INDEX($DA$4:$DA$40,MATCH(ROW()-3,$OA$4:$OA$40,0)))</f>
        <v/>
      </c>
      <c r="OC38">
        <f>IF(COUNTIF('Buyer Groups'!DG91:DY91,0)+COUNTIF('Buyer Groups'!EA91:EN91,0)&gt;0,0,1)</f>
        <v/>
      </c>
      <c r="OD38">
        <f>IF($DF$38="",FALSE,SUMPRODUCT(('Final Calculation Sheet'!$T$4:$T$40=$DF$38)*($OC$6:$OC$42=1))&gt;0)</f>
        <v/>
      </c>
      <c r="OE38">
        <f>$OE$37+--($OD38)</f>
        <v/>
      </c>
      <c r="OF38">
        <f>IF(ROW()-3&gt;MAX($OE$4:$OE$40),"",INDEX($DF$4:$DF$40,MATCH(ROW()-3,$OE$4:$OE$40,0)))</f>
        <v/>
      </c>
      <c r="OG38">
        <f>IF(COUNTIF('Buyer Groups'!DG91:DZ91,0)+COUNTIF('Buyer Groups'!EB91:EN91,0)&gt;0,0,1)</f>
        <v/>
      </c>
      <c r="OH38">
        <f>IF($DK$38="",FALSE,SUMPRODUCT(('Final Calculation Sheet'!$U$4:$U$40=$DK$38)*($OG$6:$OG$42=1))&gt;0)</f>
        <v/>
      </c>
      <c r="OI38">
        <f>$OI$37+--($OH38)</f>
        <v/>
      </c>
      <c r="OJ38">
        <f>IF(ROW()-3&gt;MAX($OI$4:$OI$40),"",INDEX($DK$4:$DK$40,MATCH(ROW()-3,$OI$4:$OI$40,0)))</f>
        <v/>
      </c>
      <c r="OK38">
        <f>IF(COUNTIF('Buyer Groups'!DG91:EA91,0)+COUNTIF('Buyer Groups'!EC91:EN91,0)&gt;0,0,1)</f>
        <v/>
      </c>
      <c r="OL38">
        <f>IF($DP$38="",FALSE,SUMPRODUCT(('Final Calculation Sheet'!$V$4:$V$40=$DP$38)*($OK$6:$OK$42=1))&gt;0)</f>
        <v/>
      </c>
      <c r="OM38">
        <f>$OM$37+--($OL38)</f>
        <v/>
      </c>
      <c r="ON38">
        <f>IF(ROW()-3&gt;MAX($OM$4:$OM$40),"",INDEX($DP$4:$DP$40,MATCH(ROW()-3,$OM$4:$OM$40,0)))</f>
        <v/>
      </c>
      <c r="OO38">
        <f>IF(COUNTIF('Buyer Groups'!DG91:EB91,0)+COUNTIF('Buyer Groups'!ED91:EN91,0)&gt;0,0,1)</f>
        <v/>
      </c>
      <c r="OP38">
        <f>IF($DU$38="",FALSE,SUMPRODUCT(('Final Calculation Sheet'!$W$4:$W$40=$DU$38)*($OO$6:$OO$42=1))&gt;0)</f>
        <v/>
      </c>
      <c r="OQ38">
        <f>$OQ$37+--($OP38)</f>
        <v/>
      </c>
      <c r="OR38">
        <f>IF(ROW()-3&gt;MAX($OQ$4:$OQ$40),"",INDEX($DU$4:$DU$40,MATCH(ROW()-3,$OQ$4:$OQ$40,0)))</f>
        <v/>
      </c>
      <c r="OS38">
        <f>IF(COUNTIF('Buyer Groups'!DG91:EC91,0)+COUNTIF('Buyer Groups'!EE91:EN91,0)&gt;0,0,1)</f>
        <v/>
      </c>
      <c r="OT38">
        <f>IF($DZ$38="",FALSE,SUMPRODUCT(('Final Calculation Sheet'!$X$4:$X$40=$DZ$38)*($OS$6:$OS$42=1))&gt;0)</f>
        <v/>
      </c>
      <c r="OU38">
        <f>$OU$37+--($OT38)</f>
        <v/>
      </c>
      <c r="OV38">
        <f>IF(ROW()-3&gt;MAX($OU$4:$OU$40),"",INDEX($DZ$4:$DZ$40,MATCH(ROW()-3,$OU$4:$OU$40,0)))</f>
        <v/>
      </c>
      <c r="OW38">
        <f>IF(COUNTIF('Buyer Groups'!DG91:ED91,0)+COUNTIF('Buyer Groups'!EF91:EN91,0)&gt;0,0,1)</f>
        <v/>
      </c>
      <c r="OX38">
        <f>IF($EE$38="",FALSE,SUMPRODUCT(('Final Calculation Sheet'!$Y$4:$Y$40=$EE$38)*($OW$6:$OW$42=1))&gt;0)</f>
        <v/>
      </c>
      <c r="OY38">
        <f>$OY$37+--($OX38)</f>
        <v/>
      </c>
      <c r="OZ38">
        <f>IF(ROW()-3&gt;MAX($OY$4:$OY$40),"",INDEX($EE$4:$EE$40,MATCH(ROW()-3,$OY$4:$OY$40,0)))</f>
        <v/>
      </c>
      <c r="PA38">
        <f>IF(COUNTIF('Buyer Groups'!DG91:EE91,0)+COUNTIF('Buyer Groups'!EG91:EN91,0)&gt;0,0,1)</f>
        <v/>
      </c>
      <c r="PB38">
        <f>IF($EJ$38="",FALSE,SUMPRODUCT(('Final Calculation Sheet'!$Z$4:$Z$40=$EJ$38)*($PA$6:$PA$42=1))&gt;0)</f>
        <v/>
      </c>
      <c r="PC38">
        <f>$PC$37+--($PB38)</f>
        <v/>
      </c>
      <c r="PD38">
        <f>IF(ROW()-3&gt;MAX($PC$4:$PC$40),"",INDEX($EJ$4:$EJ$40,MATCH(ROW()-3,$PC$4:$PC$40,0)))</f>
        <v/>
      </c>
      <c r="PE38">
        <f>IF(COUNTIF('Buyer Groups'!DG91:EF91,0)+COUNTIF('Buyer Groups'!EH91:EN91,0)&gt;0,0,1)</f>
        <v/>
      </c>
      <c r="PF38">
        <f>IF($EO$38="",FALSE,SUMPRODUCT(('Final Calculation Sheet'!$AA$4:$AA$40=$EO$38)*($PE$6:$PE$42=1))&gt;0)</f>
        <v/>
      </c>
      <c r="PG38">
        <f>$PG$37+--($PF38)</f>
        <v/>
      </c>
      <c r="PH38">
        <f>IF(ROW()-3&gt;MAX($PG$4:$PG$40),"",INDEX($EO$4:$EO$40,MATCH(ROW()-3,$PG$4:$PG$40,0)))</f>
        <v/>
      </c>
      <c r="PI38">
        <f>IF(COUNTIF('Buyer Groups'!DG91:EG91,0)+COUNTIF('Buyer Groups'!EI91:EN91,0)&gt;0,0,1)</f>
        <v/>
      </c>
      <c r="PJ38">
        <f>IF($ET$38="",FALSE,SUMPRODUCT(('Final Calculation Sheet'!$AB$4:$AB$40=$ET$38)*($PI$6:$PI$42=1))&gt;0)</f>
        <v/>
      </c>
      <c r="PK38">
        <f>$PK$37+--($PJ38)</f>
        <v/>
      </c>
      <c r="PL38">
        <f>IF(ROW()-3&gt;MAX($PK$4:$PK$40),"",INDEX($ET$4:$ET$40,MATCH(ROW()-3,$PK$4:$PK$40,0)))</f>
        <v/>
      </c>
      <c r="PM38">
        <f>IF(COUNTIF('Buyer Groups'!DG91:EH91,0)+COUNTIF('Buyer Groups'!EJ91:EN91,0)&gt;0,0,1)</f>
        <v/>
      </c>
      <c r="PN38">
        <f>IF($EY$38="",FALSE,SUMPRODUCT(('Final Calculation Sheet'!$AC$4:$AC$40=$EY$38)*($PM$6:$PM$42=1))&gt;0)</f>
        <v/>
      </c>
      <c r="PO38">
        <f>$PO$37+--($PN38)</f>
        <v/>
      </c>
      <c r="PP38">
        <f>IF(ROW()-3&gt;MAX($PO$4:$PO$40),"",INDEX($EY$4:$EY$40,MATCH(ROW()-3,$PO$4:$PO$40,0)))</f>
        <v/>
      </c>
      <c r="PQ38">
        <f>IF(COUNTIF('Buyer Groups'!DG91:EI91,0)+COUNTIF('Buyer Groups'!EK91:EN91,0)&gt;0,0,1)</f>
        <v/>
      </c>
      <c r="PR38">
        <f>IF($FD$38="",FALSE,SUMPRODUCT(('Final Calculation Sheet'!$AD$4:$AD$40=$FD$38)*($PQ$6:$PQ$42=1))&gt;0)</f>
        <v/>
      </c>
      <c r="PS38">
        <f>$PS$37+--($PR38)</f>
        <v/>
      </c>
      <c r="PT38">
        <f>IF(ROW()-3&gt;MAX($PS$4:$PS$40),"",INDEX($FD$4:$FD$40,MATCH(ROW()-3,$PS$4:$PS$40,0)))</f>
        <v/>
      </c>
      <c r="PU38">
        <f>IF(COUNTIF('Buyer Groups'!DG91:EJ91,0)+COUNTIF('Buyer Groups'!EL91:EN91,0)&gt;0,0,1)</f>
        <v/>
      </c>
      <c r="PV38">
        <f>IF($FX$38="",FALSE,SUMPRODUCT((IF('Final Calculation Sheet'!$AD$4:$AD$40&lt;=5,"SETTLED","OUTSTANDING")=$FX$38)*($PU$6:$PU$42=1))&gt;0)</f>
        <v/>
      </c>
      <c r="PW38">
        <f>$PW$37+--($PV38)</f>
        <v/>
      </c>
      <c r="PX38">
        <f>IF(ROW()-3&gt;MAX($PW$4:$PW$40),"",INDEX($FX$4:$FX$40,MATCH(ROW()-3,$PW$4:$PW$40,0)))</f>
        <v/>
      </c>
      <c r="PY38">
        <f>IF(COUNTIF('Buyer Groups'!DG91:EK91,0)+COUNTIF('Buyer Groups'!EM91:EN91,0)&gt;0,0,1)</f>
        <v/>
      </c>
      <c r="PZ38">
        <f>IF($FI$38="",FALSE,SUMPRODUCT(('Final Calculation Sheet'!$AF$4:$AF$40=$FI$38)*($PY$6:$PY$42=1))&gt;0)</f>
        <v/>
      </c>
      <c r="QA38">
        <f>$QA$37+--($PZ38)</f>
        <v/>
      </c>
      <c r="QB38">
        <f>IF(ROW()-3&gt;MAX($QA$4:$QA$40),"",INDEX($FI$4:$FI$40,MATCH(ROW()-3,$QA$4:$QA$40,0)))</f>
        <v/>
      </c>
      <c r="QC38">
        <f>IF(COUNTIF('Buyer Groups'!DG91:EL91,0)+COUNTIF('Buyer Groups'!EN91:EN91,0)&gt;0,0,1)</f>
        <v/>
      </c>
      <c r="QD38">
        <f>IF($FN$38="",FALSE,SUMPRODUCT(('Final Calculation Sheet'!$AG$4:$AG$40=$FN$38)*($QC$6:$QC$42=1))&gt;0)</f>
        <v/>
      </c>
      <c r="QE38">
        <f>$QE$37+--($QD38)</f>
        <v/>
      </c>
      <c r="QF38">
        <f>IF(ROW()-3&gt;MAX($QE$4:$QE$40),"",INDEX($FN$4:$FN$40,MATCH(ROW()-3,$QE$4:$QE$40,0)))</f>
        <v/>
      </c>
      <c r="QG38">
        <f>IF(COUNTIF('Buyer Groups'!DG91:EM91,0)&gt;0,0,1)</f>
        <v/>
      </c>
      <c r="QH38">
        <f>IF($FS$38="",FALSE,SUMPRODUCT(('Final Calculation Sheet'!$AH$4:$AH$40=$FS$38)*($QG$6:$QG$42=1))&gt;0)</f>
        <v/>
      </c>
      <c r="QI38">
        <f>$QI$37+--($QH38)</f>
        <v/>
      </c>
      <c r="QJ38">
        <f>IF(ROW()-3&gt;MAX($QI$4:$QI$40),"",INDEX($FS$4:$FS$40,MATCH(ROW()-3,$QI$4:$QI$40,0)))</f>
        <v/>
      </c>
      <c r="QK38" t="str">
        <f>IF('Final Calculation Sheet'!$AH$38="","",'Final Calculation Sheet'!$AH$38)</f>
      </c>
      <c r="QL38" t="str">
        <f>IF(QK38="","",COUNTIFS(QK$4:QK$40,"&lt;"&amp;QK38,QK$4:QK$40,"&lt;&gt;"&amp;"")+COUNTIF(QK$4:QK38,QK38))</f>
      </c>
      <c r="QM38" t="str">
        <f>IF(ROW()-3&gt;COUNTIF(QK$4:QK$40,"&lt;&gt;"&amp;""),"",INDEX(QK$4:QK$40,MATCH(ROW()-3,QL$4:QL$40,0)))</f>
      </c>
      <c r="QN38" t="str">
        <f>=QN37+F(AND(QM38&lt;&gt;"",COUNTIF(QM$4:QM38,QM38)=1),1,0)</f>
      </c>
      <c r="QO38" t="str">
        <f>IF(ROW()-3&gt;MAX(QN$4:QN$40),"",INDEX(QM$4:QM$40,MATCH(ROW()-3,QN$4:QN$40,0)))</f>
      </c>
      <c r="QP38" t="str">
        <f>IF(COUNTIF('Final Calculation Sheet'!$AM38:$BS38,0)&gt;0,0,1)</f>
      </c>
      <c r="QQ38" t="str">
        <f>IF($AI$38="",FALSE,SUMPRODUCT(('Final Calculation Sheet'!$A$4:$A$40=$AI$38)*($QP$4:$QP$40=1))&gt;0)</f>
      </c>
      <c r="QR38" t="str">
        <f>=$QR37+--($QQ38)</f>
      </c>
      <c r="QS38" t="str">
        <f>IF(ROW()-3&gt;MAX($QR$4:$QR$40),"",INDEX($AI$4:$AI$40,MATCH(ROW()-3,$QR$4:$QR$40,0)))</f>
      </c>
      <c r="QT38" t="str">
        <f>IF(COUNTIF('Final Calculation Sheet'!$AL38:$AL38,0)+COUNTIF('Final Calculation Sheet'!$AN38:$BS38,0)&gt;0,0,1)</f>
      </c>
      <c r="QU38" t="str">
        <f>IF($Y$38="",FALSE,SUMPRODUCT(('Final Calculation Sheet'!$B$4:$B$40=$Y$38)*($QT$4:$QT$40=1))&gt;0)</f>
      </c>
      <c r="QV38" t="str">
        <f>=$QV37+--($QU38)</f>
      </c>
      <c r="QW38" t="str">
        <f>IF(ROW()-3&gt;MAX($QV$4:$QV$40),"",INDEX($Y$4:$Y$40,MATCH(ROW()-3,$QV$4:$QV$40,0)))</f>
      </c>
      <c r="QX38" t="str">
        <f>IF(COUNTIF('Final Calculation Sheet'!$AL38:$AM38,0)+COUNTIF('Final Calculation Sheet'!$AO38:$BS38,0)&gt;0,0,1)</f>
      </c>
      <c r="QY38" t="str">
        <f>IF($AS$38="",FALSE,SUMPRODUCT(('Final Calculation Sheet'!$C$4:$C$40=$AS$38)*($QX$4:$QX$40=1))&gt;0)</f>
      </c>
      <c r="QZ38" t="str">
        <f>=$QZ37+--($QY38)</f>
      </c>
      <c r="RA38" t="str">
        <f>IF(ROW()-3&gt;MAX($QZ$4:$QZ$40),"",INDEX($AS$4:$AS$40,MATCH(ROW()-3,$QZ$4:$QZ$40,0)))</f>
      </c>
      <c r="RB38" t="str">
        <f>IF(COUNTIF('Final Calculation Sheet'!$AL38:$AN38,0)+COUNTIF('Final Calculation Sheet'!$AP38:$BS38,0)&gt;0,0,1)</f>
      </c>
      <c r="RC38" t="str">
        <f>IF($AD$38="",FALSE,SUMPRODUCT(('Final Calculation Sheet'!$D$4:$D$40=$AD$38)*($RB$4:$RB$40=1))&gt;0)</f>
      </c>
      <c r="RD38" t="str">
        <f>=$RD37+--($RC38)</f>
      </c>
      <c r="RE38" t="str">
        <f>IF(ROW()-3&gt;MAX($RD$4:$RD$40),"",INDEX($AD$4:$AD$40,MATCH(ROW()-3,$RD$4:$RD$40,0)))</f>
      </c>
      <c r="RF38" t="str">
        <f>IF(COUNTIF('Final Calculation Sheet'!$AL38:$AO38,0)+COUNTIF('Final Calculation Sheet'!$AQ38:$BS38,0)&gt;0,0,1)</f>
      </c>
      <c r="RG38" t="str">
        <f>IF($AN$38="",FALSE,SUMPRODUCT(('Final Calculation Sheet'!$E$4:$E$40=$AN$38)*($RF$4:$RF$40=1))&gt;0)</f>
      </c>
      <c r="RH38" t="str">
        <f>=$RH37+--($RG38)</f>
      </c>
      <c r="RI38" t="str">
        <f>IF(ROW()-3&gt;MAX($RH$4:$RH$40),"",INDEX($AN$4:$AN$40,MATCH(ROW()-3,$RH$4:$RH$40,0)))</f>
      </c>
      <c r="RJ38" t="str">
        <f>IF(COUNTIF('Final Calculation Sheet'!$AL38:$AP38,0)+COUNTIF('Final Calculation Sheet'!$AR38:$BS38,0)&gt;0,0,1)</f>
      </c>
      <c r="RK38" t="str">
        <f>IF($O$38="",FALSE,SUMPRODUCT(('Final Calculation Sheet'!$F$4:$F$40=$O$38)*($RJ$4:$RJ$40=1))&gt;0)</f>
      </c>
      <c r="RL38" t="str">
        <f>=$RL37+--($RK38)</f>
      </c>
      <c r="RM38" t="str">
        <f>IF(ROW()-3&gt;MAX($RL$4:$RL$40),"",INDEX($O$4:$O$40,MATCH(ROW()-3,$RL$4:$RL$40,0)))</f>
      </c>
      <c r="RN38" t="str">
        <f>IF(COUNTIF('Final Calculation Sheet'!$AL38:$AQ38,0)+COUNTIF('Final Calculation Sheet'!$AS38:$BS38,0)&gt;0,0,1)</f>
      </c>
      <c r="RO38" t="str">
        <f>IF($T$38="",FALSE,SUMPRODUCT(('Final Calculation Sheet'!$G$4:$G$40=$T$38)*($RN$4:$RN$40=1))&gt;0)</f>
      </c>
      <c r="RP38" t="str">
        <f>=$RP37+--($RO38)</f>
      </c>
      <c r="RQ38" t="str">
        <f>IF(ROW()-3&gt;MAX($RP$4:$RP$40),"",INDEX($T$4:$T$40,MATCH(ROW()-3,$RP$4:$RP$40,0)))</f>
      </c>
      <c r="RR38" t="str">
        <f>IF(COUNTIF('Final Calculation Sheet'!$AL38:$AR38,0)+COUNTIF('Final Calculation Sheet'!$AT38:$BS38,0)&gt;0,0,1)</f>
      </c>
      <c r="RS38" t="str">
        <f>IF($AX$38="",FALSE,SUMPRODUCT(('Final Calculation Sheet'!$H$4:$H$40=$AX$38)*($RR$4:$RR$40=1))&gt;0)</f>
      </c>
      <c r="RT38" t="str">
        <f>=$RT37+--($RS38)</f>
      </c>
      <c r="RU38" t="str">
        <f>IF(ROW()-3&gt;MAX($RT$4:$RT$40),"",INDEX($AX$4:$AX$40,MATCH(ROW()-3,$RT$4:$RT$40,0)))</f>
      </c>
      <c r="RV38" t="str">
        <f>IF(COUNTIF('Final Calculation Sheet'!$AL38:$AS38,0)+COUNTIF('Final Calculation Sheet'!$AU38:$BS38,0)&gt;0,0,1)</f>
      </c>
      <c r="RW38" t="str">
        <f>IF($BC$38="",FALSE,SUMPRODUCT(('Final Calculation Sheet'!$I$4:$I$40=$BC$38)*($RV$4:$RV$40=1))&gt;0)</f>
      </c>
      <c r="RX38" t="str">
        <f>=$RX37+--($RW38)</f>
      </c>
      <c r="RY38" t="str">
        <f>IF(ROW()-3&gt;MAX($RX$4:$RX$40),"",INDEX($BC$4:$BC$40,MATCH(ROW()-3,$RX$4:$RX$40,0)))</f>
      </c>
      <c r="RZ38" t="str">
        <f>IF(COUNTIF('Final Calculation Sheet'!$AL38:$AT38,0)+COUNTIF('Final Calculation Sheet'!$AV38:$BS38,0)&gt;0,0,1)</f>
      </c>
      <c r="SA38" t="str">
        <f>IF($BH$38="",FALSE,SUMPRODUCT(('Final Calculation Sheet'!$J$4:$J$40=$BH$38)*($RZ$4:$RZ$40=1))&gt;0)</f>
      </c>
      <c r="SB38" t="str">
        <f>=$SB37+--($SA38)</f>
      </c>
      <c r="SC38" t="str">
        <f>IF(ROW()-3&gt;MAX($SB$4:$SB$40),"",INDEX($BH$4:$BH$40,MATCH(ROW()-3,$SB$4:$SB$40,0)))</f>
      </c>
      <c r="SD38" t="str">
        <f>IF(COUNTIF('Final Calculation Sheet'!$AL38:$AU38,0)+COUNTIF('Final Calculation Sheet'!$AW38:$BS38,0)&gt;0,0,1)</f>
      </c>
      <c r="SE38" t="str">
        <f>IF($BM$38="",FALSE,SUMPRODUCT(('Final Calculation Sheet'!$K$4:$K$40=$BM$38)*($SD$4:$SD$40=1))&gt;0)</f>
      </c>
      <c r="SF38" t="str">
        <f>=$SF37+--($SE38)</f>
      </c>
      <c r="SG38" t="str">
        <f>IF(ROW()-3&gt;MAX($SF$4:$SF$40),"",INDEX($BM$4:$BM$40,MATCH(ROW()-3,$SF$4:$SF$40,0)))</f>
      </c>
      <c r="SH38" t="str">
        <f>IF(COUNTIF('Final Calculation Sheet'!$AL38:$AV38,0)+COUNTIF('Final Calculation Sheet'!$AX38:$BS38,0)&gt;0,0,1)</f>
      </c>
      <c r="SI38" t="str">
        <f>IF($BR$38="",FALSE,SUMPRODUCT(('Final Calculation Sheet'!$L$4:$L$40=$BR$38)*($SH$4:$SH$40=1))&gt;0)</f>
      </c>
      <c r="SJ38" t="str">
        <f>=$SJ37+--($SI38)</f>
      </c>
      <c r="SK38" t="str">
        <f>IF(ROW()-3&gt;MAX($SJ$4:$SJ$40),"",INDEX($BR$4:$BR$40,MATCH(ROW()-3,$SJ$4:$SJ$40,0)))</f>
      </c>
      <c r="SL38" t="str">
        <f>IF(COUNTIF('Final Calculation Sheet'!$AL38:$AW38,0)+COUNTIF('Final Calculation Sheet'!$AY38:$BS38,0)&gt;0,0,1)</f>
      </c>
      <c r="SM38" t="str">
        <f>IF($BW$38="",FALSE,SUMPRODUCT(('Final Calculation Sheet'!$M$4:$M$40=$BW$38)*($SL$4:$SL$40=1))&gt;0)</f>
      </c>
      <c r="SN38" t="str">
        <f>=$SN37+--($SM38)</f>
      </c>
      <c r="SO38" t="str">
        <f>IF(ROW()-3&gt;MAX($SN$4:$SN$40),"",INDEX($BW$4:$BW$40,MATCH(ROW()-3,$SN$4:$SN$40,0)))</f>
      </c>
      <c r="SP38" t="str">
        <f>IF(COUNTIF('Final Calculation Sheet'!$AL38:$AX38,0)+COUNTIF('Final Calculation Sheet'!$AZ38:$BS38,0)&gt;0,0,1)</f>
      </c>
      <c r="SQ38" t="str">
        <f>IF($CB$38="",FALSE,SUMPRODUCT(('Final Calculation Sheet'!$N$4:$N$40=$CB$38)*($SP$4:$SP$40=1))&gt;0)</f>
      </c>
      <c r="SR38" t="str">
        <f>=$SR37+--($SQ38)</f>
      </c>
      <c r="SS38" t="str">
        <f>IF(ROW()-3&gt;MAX($SR$4:$SR$40),"",INDEX($CB$4:$CB$40,MATCH(ROW()-3,$SR$4:$SR$40,0)))</f>
      </c>
      <c r="ST38" t="str">
        <f>IF(COUNTIF('Final Calculation Sheet'!$AL38:$AY38,0)+COUNTIF('Final Calculation Sheet'!$BA38:$BS38,0)&gt;0,0,1)</f>
      </c>
      <c r="SU38" t="str">
        <f>IF($CG$38="",FALSE,SUMPRODUCT(('Final Calculation Sheet'!$O$4:$O$40=$CG$38)*($ST$4:$ST$40=1))&gt;0)</f>
      </c>
      <c r="SV38" t="str">
        <f>=$SV37+--($SU38)</f>
      </c>
      <c r="SW38" t="str">
        <f>IF(ROW()-3&gt;MAX($SV$4:$SV$40),"",INDEX($CG$4:$CG$40,MATCH(ROW()-3,$SV$4:$SV$40,0)))</f>
      </c>
      <c r="SX38" t="str">
        <f>IF(COUNTIF('Final Calculation Sheet'!$AL38:$AZ38,0)+COUNTIF('Final Calculation Sheet'!$BB38:$BS38,0)&gt;0,0,1)</f>
      </c>
      <c r="SY38" t="str">
        <f>IF($CL$38="",FALSE,SUMPRODUCT(('Final Calculation Sheet'!$P$4:$P$40=$CL$38)*($SX$4:$SX$40=1))&gt;0)</f>
      </c>
      <c r="SZ38" t="str">
        <f>=$SZ37+--($SY38)</f>
      </c>
      <c r="TA38" t="str">
        <f>IF(ROW()-3&gt;MAX($SZ$4:$SZ$40),"",INDEX($CL$4:$CL$40,MATCH(ROW()-3,$SZ$4:$SZ$40,0)))</f>
      </c>
      <c r="TB38" t="str">
        <f>IF(COUNTIF('Final Calculation Sheet'!$AL38:$BA38,0)+COUNTIF('Final Calculation Sheet'!$BC38:$BS38,0)&gt;0,0,1)</f>
      </c>
      <c r="TC38" t="str">
        <f>IF($CQ$38="",FALSE,SUMPRODUCT(('Final Calculation Sheet'!$Q$4:$Q$40=$CQ$38)*($TB$4:$TB$40=1))&gt;0)</f>
      </c>
      <c r="TD38" t="str">
        <f>=$TD37+--($TC38)</f>
      </c>
      <c r="TE38" t="str">
        <f>IF(ROW()-3&gt;MAX($TD$4:$TD$40),"",INDEX($CQ$4:$CQ$40,MATCH(ROW()-3,$TD$4:$TD$40,0)))</f>
      </c>
      <c r="TF38" t="str">
        <f>IF(COUNTIF('Final Calculation Sheet'!$AL38:$BB38,0)+COUNTIF('Final Calculation Sheet'!$BD38:$BS38,0)&gt;0,0,1)</f>
      </c>
      <c r="TG38" t="str">
        <f>IF($CV$38="",FALSE,SUMPRODUCT(('Final Calculation Sheet'!$R$4:$R$40=$CV$38)*($TF$4:$TF$40=1))&gt;0)</f>
      </c>
      <c r="TH38" t="str">
        <f>=$TH37+--($TG38)</f>
      </c>
      <c r="TI38" t="str">
        <f>IF(ROW()-3&gt;MAX($TH$4:$TH$40),"",INDEX($CV$4:$CV$40,MATCH(ROW()-3,$TH$4:$TH$40,0)))</f>
      </c>
      <c r="TJ38" t="str">
        <f>IF(COUNTIF('Final Calculation Sheet'!$AL38:$BC38,0)+COUNTIF('Final Calculation Sheet'!$BE38:$BS38,0)&gt;0,0,1)</f>
      </c>
      <c r="TK38" t="str">
        <f>IF($DA$38="",FALSE,SUMPRODUCT(('Final Calculation Sheet'!$S$4:$S$40=$DA$38)*($TJ$4:$TJ$40=1))&gt;0)</f>
      </c>
      <c r="TL38" t="str">
        <f>=$TL37+--($TK38)</f>
      </c>
      <c r="TM38" t="str">
        <f>IF(ROW()-3&gt;MAX($TL$4:$TL$40),"",INDEX($DA$4:$DA$40,MATCH(ROW()-3,$TL$4:$TL$40,0)))</f>
      </c>
      <c r="TN38" t="str">
        <f>IF(COUNTIF('Final Calculation Sheet'!$AL38:$BD38,0)+COUNTIF('Final Calculation Sheet'!$BF38:$BS38,0)&gt;0,0,1)</f>
      </c>
      <c r="TO38" t="str">
        <f>IF($DF$38="",FALSE,SUMPRODUCT(('Final Calculation Sheet'!$T$4:$T$40=$DF$38)*($TN$4:$TN$40=1))&gt;0)</f>
      </c>
      <c r="TP38" t="str">
        <f>=$TP37+--($TO38)</f>
      </c>
      <c r="TQ38" t="str">
        <f>IF(ROW()-3&gt;MAX($TP$4:$TP$40),"",INDEX($DF$4:$DF$40,MATCH(ROW()-3,$TP$4:$TP$40,0)))</f>
      </c>
      <c r="TR38" t="str">
        <f>IF(COUNTIF('Final Calculation Sheet'!$AL38:$BE38,0)+COUNTIF('Final Calculation Sheet'!$BG38:$BS38,0)&gt;0,0,1)</f>
      </c>
      <c r="TS38" t="str">
        <f>IF($DK$38="",FALSE,SUMPRODUCT(('Final Calculation Sheet'!$U$4:$U$40=$DK$38)*($TR$4:$TR$40=1))&gt;0)</f>
      </c>
      <c r="TT38" t="str">
        <f>=$TT37+--($TS38)</f>
      </c>
      <c r="TU38" t="str">
        <f>IF(ROW()-3&gt;MAX($TT$4:$TT$40),"",INDEX($DK$4:$DK$40,MATCH(ROW()-3,$TT$4:$TT$40,0)))</f>
      </c>
      <c r="TV38" t="str">
        <f>IF(COUNTIF('Final Calculation Sheet'!$AL38:$BF38,0)+COUNTIF('Final Calculation Sheet'!$BH38:$BS38,0)&gt;0,0,1)</f>
      </c>
      <c r="TW38" t="str">
        <f>IF($DP$38="",FALSE,SUMPRODUCT(('Final Calculation Sheet'!$V$4:$V$40=$DP$38)*($TV$4:$TV$40=1))&gt;0)</f>
      </c>
      <c r="TX38" t="str">
        <f>=$TX37+--($TW38)</f>
      </c>
      <c r="TY38" t="str">
        <f>IF(ROW()-3&gt;MAX($TX$4:$TX$40),"",INDEX($DP$4:$DP$40,MATCH(ROW()-3,$TX$4:$TX$40,0)))</f>
      </c>
      <c r="TZ38" t="str">
        <f>IF(COUNTIF('Final Calculation Sheet'!$AL38:$BG38,0)+COUNTIF('Final Calculation Sheet'!$BI38:$BS38,0)&gt;0,0,1)</f>
      </c>
      <c r="UA38" t="str">
        <f>IF($DU$38="",FALSE,SUMPRODUCT(('Final Calculation Sheet'!$W$4:$W$40=$DU$38)*($TZ$4:$TZ$40=1))&gt;0)</f>
      </c>
      <c r="UB38" t="str">
        <f>=$UB37+--($UA38)</f>
      </c>
      <c r="UC38" t="str">
        <f>IF(ROW()-3&gt;MAX($UB$4:$UB$40),"",INDEX($DU$4:$DU$40,MATCH(ROW()-3,$UB$4:$UB$40,0)))</f>
      </c>
      <c r="UD38" t="str">
        <f>IF(COUNTIF('Final Calculation Sheet'!$AL38:$BH38,0)+COUNTIF('Final Calculation Sheet'!$BJ38:$BS38,0)&gt;0,0,1)</f>
      </c>
      <c r="UE38" t="str">
        <f>IF($DZ$38="",FALSE,SUMPRODUCT(('Final Calculation Sheet'!$X$4:$X$40=$DZ$38)*($UD$4:$UD$40=1))&gt;0)</f>
      </c>
      <c r="UF38" t="str">
        <f>=$UF37+--($UE38)</f>
      </c>
      <c r="UG38" t="str">
        <f>IF(ROW()-3&gt;MAX($UF$4:$UF$40),"",INDEX($DZ$4:$DZ$40,MATCH(ROW()-3,$UF$4:$UF$40,0)))</f>
      </c>
      <c r="UH38" t="str">
        <f>IF(COUNTIF('Final Calculation Sheet'!$AL38:$BI38,0)+COUNTIF('Final Calculation Sheet'!$BK38:$BS38,0)&gt;0,0,1)</f>
      </c>
      <c r="UI38" t="str">
        <f>IF($EE$38="",FALSE,SUMPRODUCT(('Final Calculation Sheet'!$Y$4:$Y$40=$EE$38)*($UH$4:$UH$40=1))&gt;0)</f>
      </c>
      <c r="UJ38" t="str">
        <f>=$UJ37+--($UI38)</f>
      </c>
      <c r="UK38" t="str">
        <f>IF(ROW()-3&gt;MAX($UJ$4:$UJ$40),"",INDEX($EE$4:$EE$40,MATCH(ROW()-3,$UJ$4:$UJ$40,0)))</f>
      </c>
      <c r="UL38" t="str">
        <f>IF(COUNTIF('Final Calculation Sheet'!$AL38:$BJ38,0)+COUNTIF('Final Calculation Sheet'!$BL38:$BS38,0)&gt;0,0,1)</f>
      </c>
      <c r="UM38" t="str">
        <f>IF($EJ$38="",FALSE,SUMPRODUCT(('Final Calculation Sheet'!$Z$4:$Z$40=$EJ$38)*($UL$4:$UL$40=1))&gt;0)</f>
      </c>
      <c r="UN38" t="str">
        <f>=$UN37+--($UM38)</f>
      </c>
      <c r="UO38" t="str">
        <f>IF(ROW()-3&gt;MAX($UN$4:$UN$40),"",INDEX($EJ$4:$EJ$40,MATCH(ROW()-3,$UN$4:$UN$40,0)))</f>
      </c>
      <c r="UP38" t="str">
        <f>IF(COUNTIF('Final Calculation Sheet'!$AL38:$BK38,0)+COUNTIF('Final Calculation Sheet'!$BM38:$BS38,0)&gt;0,0,1)</f>
      </c>
      <c r="UQ38" t="str">
        <f>IF($EO$38="",FALSE,SUMPRODUCT(('Final Calculation Sheet'!$AA$4:$AA$40=$EO$38)*($UP$4:$UP$40=1))&gt;0)</f>
      </c>
      <c r="UR38" t="str">
        <f>=$UR37+--($UQ38)</f>
      </c>
      <c r="US38" t="str">
        <f>IF(ROW()-3&gt;MAX($UR$4:$UR$40),"",INDEX($EO$4:$EO$40,MATCH(ROW()-3,$UR$4:$UR$40,0)))</f>
      </c>
      <c r="UT38" t="str">
        <f>IF(COUNTIF('Final Calculation Sheet'!$AL38:$BL38,0)+COUNTIF('Final Calculation Sheet'!$BN38:$BS38,0)&gt;0,0,1)</f>
      </c>
      <c r="UU38" t="str">
        <f>IF($ET$38="",FALSE,SUMPRODUCT(('Final Calculation Sheet'!$AB$4:$AB$40=$ET$38)*($UT$4:$UT$40=1))&gt;0)</f>
      </c>
      <c r="UV38" t="str">
        <f>=$UV37+--($UU38)</f>
      </c>
      <c r="UW38" t="str">
        <f>IF(ROW()-3&gt;MAX($UV$4:$UV$40),"",INDEX($ET$4:$ET$40,MATCH(ROW()-3,$UV$4:$UV$40,0)))</f>
      </c>
      <c r="UX38" t="str">
        <f>IF(COUNTIF('Final Calculation Sheet'!$AL38:$BM38,0)+COUNTIF('Final Calculation Sheet'!$BO38:$BS38,0)&gt;0,0,1)</f>
      </c>
      <c r="UY38" t="str">
        <f>IF($EY$38="",FALSE,SUMPRODUCT(('Final Calculation Sheet'!$AC$4:$AC$40=$EY$38)*($UX$4:$UX$40=1))&gt;0)</f>
      </c>
      <c r="UZ38" t="str">
        <f>=$UZ37+--($UY38)</f>
      </c>
      <c r="VA38" t="str">
        <f>IF(ROW()-3&gt;MAX($UZ$4:$UZ$40),"",INDEX($EY$4:$EY$40,MATCH(ROW()-3,$UZ$4:$UZ$40,0)))</f>
      </c>
      <c r="VB38" t="str">
        <f>IF(COUNTIF('Final Calculation Sheet'!$AL38:$BN38,0)+COUNTIF('Final Calculation Sheet'!$BP38:$BS38,0)&gt;0,0,1)</f>
      </c>
      <c r="VC38" t="str">
        <f>IF($FD$38="",FALSE,SUMPRODUCT(('Final Calculation Sheet'!$AD$4:$AD$40=$FD$38)*($VB$4:$VB$40=1))&gt;0)</f>
      </c>
      <c r="VD38" t="str">
        <f>=$VD37+--($VC38)</f>
      </c>
      <c r="VE38" t="str">
        <f>IF(ROW()-3&gt;MAX($VD$4:$VD$40),"",INDEX($FD$4:$FD$40,MATCH(ROW()-3,$VD$4:$VD$40,0)))</f>
      </c>
      <c r="VF38" t="str">
        <f>IF(COUNTIF('Final Calculation Sheet'!$AL38:$BO38,0)+COUNTIF('Final Calculation Sheet'!$BQ38:$BS38,0)&gt;0,0,1)</f>
      </c>
      <c r="VG38" t="str">
        <f>IF($FI$38="",FALSE,SUMPRODUCT(('Final Calculation Sheet'!$AE$4:$AE$40=$FI$38)*($VF$4:$VF$40=1))&gt;0)</f>
      </c>
      <c r="VH38" t="str">
        <f>=$VH37+--($VG38)</f>
      </c>
      <c r="VI38" t="str">
        <f>IF(ROW()-3&gt;MAX($VH$4:$VH$40),"",INDEX($FI$4:$FI$40,MATCH(ROW()-3,$VH$4:$VH$40,0)))</f>
      </c>
      <c r="VJ38" t="str">
        <f>IF(COUNTIF('Final Calculation Sheet'!$AL38:$BP38,0)+COUNTIF('Final Calculation Sheet'!$BR38:$BS38,0)&gt;0,0,1)</f>
      </c>
      <c r="VK38" t="str">
        <f>IF($FN$38="",FALSE,SUMPRODUCT(('Final Calculation Sheet'!$AF$4:$AF$40=$FN$38)*($VJ$4:$VJ$40=1))&gt;0)</f>
      </c>
      <c r="VL38" t="str">
        <f>=$VL37+--($VK38)</f>
      </c>
      <c r="VM38" t="str">
        <f>IF(ROW()-3&gt;MAX($VL$4:$VL$40),"",INDEX($FN$4:$FN$40,MATCH(ROW()-3,$VL$4:$VL$40,0)))</f>
      </c>
      <c r="VN38" t="str">
        <f>IF(COUNTIF('Final Calculation Sheet'!$AL38:$BQ38,0)+COUNTIF('Final Calculation Sheet'!$BS38:$BS38,0)&gt;0,0,1)</f>
      </c>
      <c r="VO38" t="str">
        <f>IF($FS$38="",FALSE,SUMPRODUCT(('Final Calculation Sheet'!$AG$4:$AG$40=$FS$38)*($VN$4:$VN$40=1))&gt;0)</f>
      </c>
      <c r="VP38" t="str">
        <f>=$VP37+--($VO38)</f>
      </c>
      <c r="VQ38" t="str">
        <f>IF(ROW()-3&gt;MAX($VP$4:$VP$40),"",INDEX($FS$4:$FS$40,MATCH(ROW()-3,$VP$4:$VP$40,0)))</f>
      </c>
      <c r="VR38" t="str">
        <f>IF(COUNTIF('Final Calculation Sheet'!$AL38:$BR38,0)&gt;0,0,1)</f>
      </c>
      <c r="VS38" t="str">
        <f>IF($QO$38="",FALSE,SUMPRODUCT(('Final Calculation Sheet'!$AH$4:$AH$40=$QO$38)*($VR$4:$VR$40=1))&gt;0)</f>
      </c>
      <c r="VT38" t="str">
        <f>=$VT37+--($VS38)</f>
      </c>
      <c r="VU38" t="str">
        <f>IF(ROW()-3&gt;MAX($VT$4:$VT$40),"",INDEX($QO$4:$QO$40,MATCH(ROW()-3,$VT$4:$VT$40,0)))</f>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IF(COUNTIF('Live Search'!BM$38:BM$38,0)+COUNTIF('Live Search'!B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D39">
        <f>IF($O$39="",FALSE,SUMPRODUCT(('Final Calculation Sheet'!$F$4:$F$40=$O$39)*($GC$6:$GC$42=1))&gt;0)</f>
        <v/>
      </c>
      <c r="GE39">
        <f>$GE$38+--($GD39)</f>
        <v/>
      </c>
      <c r="GF39">
        <f>IF(ROW()-3&gt;MAX($GE$4:$GE$40),"",INDEX($O$4:$O$40,MATCH(ROW()-3,$GE$4:$GE$40,0)))</f>
        <v/>
      </c>
      <c r="GG39">
        <f>IF(COUNTIF('Live Search'!BM$38:BN$38,0)+COUNTIF('Live Search'!B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H39">
        <f>IF($T$39="",FALSE,SUMPRODUCT(('Final Calculation Sheet'!$G$4:$G$40=$T$39)*($GG$6:$GG$42=1))&gt;0)</f>
        <v/>
      </c>
      <c r="GI39">
        <f>$GI$38+--($GH39)</f>
        <v/>
      </c>
      <c r="GJ39">
        <f>IF(ROW()-3&gt;MAX($GI$4:$GI$40),"",INDEX($T$4:$T$40,MATCH(ROW()-3,$GI$4:$GI$40,0)))</f>
        <v/>
      </c>
      <c r="GK39">
        <f>IF(COUNTIF('Live Search'!BM$38:BP$38,0)+COUNTIF('Live Search'!B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L39">
        <f>IF($AD$39="",FALSE,SUMPRODUCT(('Final Calculation Sheet'!$D$4:$D$40=$AD$39)*($GK$6:$GK$42=1))&gt;0)</f>
        <v/>
      </c>
      <c r="GM39">
        <f>$GM$38+--($GL39)</f>
        <v/>
      </c>
      <c r="GN39">
        <f>IF(ROW()-3&gt;MAX($GM$4:$GM$40),"",INDEX($AD$4:$AD$40,MATCH(ROW()-3,$GM$4:$GM$40,0)))</f>
        <v/>
      </c>
      <c r="GO39">
        <f>IF(COUNTIF('Live Search'!BM$38:BQ$38,0)+COUNTIF('Live Search'!B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P39">
        <f>IF($AI$39="",FALSE,SUMPRODUCT(('Final Calculation Sheet'!$A$4:$A$40=$AI$39)*($GO$6:$GO$42=1))&gt;0)</f>
        <v/>
      </c>
      <c r="GQ39">
        <f>$GQ$38+--($GP39)</f>
        <v/>
      </c>
      <c r="GR39">
        <f>IF(ROW()-3&gt;MAX($GQ$4:$GQ$40),"",INDEX($AI$4:$AI$40,MATCH(ROW()-3,$GQ$4:$GQ$40,0)))</f>
        <v/>
      </c>
      <c r="GS39">
        <f>IF(COUNTIF('Live Search'!BM$38:BR$38,0)+COUNTIF('Live Search'!B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T39">
        <f>IF($AN$39="",FALSE,SUMPRODUCT(('Final Calculation Sheet'!$E$4:$E$40=$AN$39)*($GS$6:$GS$42=1))&gt;0)</f>
        <v/>
      </c>
      <c r="GU39">
        <f>$GU$38+--($GT39)</f>
        <v/>
      </c>
      <c r="GV39">
        <f>IF(ROW()-3&gt;MAX($GU$4:$GU$40),"",INDEX($AN$4:$AN$40,MATCH(ROW()-3,$GU$4:$GU$40,0)))</f>
        <v/>
      </c>
      <c r="GW39">
        <f>IF(COUNTIF('Live Search'!BM$38:BS$38,0)+COUNTIF('Live Search'!B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GX39">
        <f>IF($AS$39="",FALSE,SUMPRODUCT(('Final Calculation Sheet'!$C$4:$C$40=$AS$39)*($GW$6:$GW$42=1))&gt;0)</f>
        <v/>
      </c>
      <c r="GY39">
        <f>$GY$38+--($GX39)</f>
        <v/>
      </c>
      <c r="GZ39">
        <f>IF(ROW()-3&gt;MAX($GY$4:$GY$40),"",INDEX($AS$4:$AS$40,MATCH(ROW()-3,$GY$4:$GY$40,0)))</f>
        <v/>
      </c>
      <c r="HA39">
        <f>IF(COUNTIF('Live Search'!BM$38:BT$38,0)+COUNTIF('Live Search'!BV$38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B39">
        <f>IF($AX$39="",FALSE,SUMPRODUCT(('Final Calculation Sheet'!$H$4:$H$40=$AX$39)*($HA$6:$HA$42=1))&gt;0)</f>
        <v/>
      </c>
      <c r="HC39">
        <f>$HC$38+--($HB39)</f>
        <v/>
      </c>
      <c r="HD39">
        <f>IF(ROW()-3&gt;MAX($HC$4:$HC$40),"",INDEX($AX$4:$AX$40,MATCH(ROW()-3,$HC$4:$HC$40,0)))</f>
        <v/>
      </c>
      <c r="HE39">
        <f>IF(COUNTIF('Live Search'!BM$38:BU$38,0)+COUNTIF('Live Search'!BW$38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F39">
        <f>IF($BC$39="",FALSE,SUMPRODUCT(('Final Calculation Sheet'!$I$4:$I$40=$BC$39)*($HE$6:$HE$42=1))&gt;0)</f>
        <v/>
      </c>
      <c r="HG39">
        <f>$HG$38+--($HF39)</f>
        <v/>
      </c>
      <c r="HH39">
        <f>IF(ROW()-3&gt;MAX($HG$4:$HG$40),"",INDEX($BC$4:$BC$40,MATCH(ROW()-3,$HG$4:$HG$40,0)))</f>
        <v/>
      </c>
      <c r="HI39">
        <f>IF(COUNTIF('Live Search'!BM$38:BV$38,0)+COUNTIF('Live Search'!BX$38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J39">
        <f>IF($BH$39="",FALSE,SUMPRODUCT(('Final Calculation Sheet'!$J$4:$J$40=$BH$39)*($HI$6:$HI$42=1))&gt;0)</f>
        <v/>
      </c>
      <c r="HK39">
        <f>$HK$38+--($HJ39)</f>
        <v/>
      </c>
      <c r="HL39">
        <f>IF(ROW()-3&gt;MAX($HK$4:$HK$40),"",INDEX($BH$4:$BH$40,MATCH(ROW()-3,$HK$4:$HK$40,0)))</f>
        <v/>
      </c>
      <c r="HM39">
        <f>IF(COUNTIF('Live Search'!BM$38:BW$38,0)+COUNTIF('Live Search'!BY$38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N39">
        <f>IF($BM$39="",FALSE,SUMPRODUCT(('Final Calculation Sheet'!$K$4:$K$40=$BM$39)*($HM$6:$HM$42=1))&gt;0)</f>
        <v/>
      </c>
      <c r="HO39">
        <f>$HO$38+--($HN39)</f>
        <v/>
      </c>
      <c r="HP39">
        <f>IF(ROW()-3&gt;MAX($HO$4:$HO$40),"",INDEX($BM$4:$BM$40,MATCH(ROW()-3,$HO$4:$HO$40,0)))</f>
        <v/>
      </c>
      <c r="HQ39">
        <f>IF(COUNTIF('Live Search'!BM$38:BX$38,0)+COUNTIF('Live Search'!BZ$38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R39">
        <f>IF($BR$39="",FALSE,SUMPRODUCT(('Final Calculation Sheet'!$L$4:$L$40=$BR$39)*($HQ$6:$HQ$42=1))&gt;0)</f>
        <v/>
      </c>
      <c r="HS39">
        <f>$HS$38+--($HR39)</f>
        <v/>
      </c>
      <c r="HT39">
        <f>IF(ROW()-3&gt;MAX($HS$4:$HS$40),"",INDEX($BR$4:$BR$40,MATCH(ROW()-3,$HS$4:$HS$40,0)))</f>
        <v/>
      </c>
      <c r="HU39">
        <f>IF(COUNTIF('Live Search'!BM$38:BY$38,0)+COUNTIF('Live Search'!CA$38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V39">
        <f>IF($BW$39="",FALSE,SUMPRODUCT(('Final Calculation Sheet'!$M$4:$M$40=$BW$39)*($HU$6:$HU$42=1))&gt;0)</f>
        <v/>
      </c>
      <c r="HW39">
        <f>$HW$38+--($HV39)</f>
        <v/>
      </c>
      <c r="HX39">
        <f>IF(ROW()-3&gt;MAX($HW$4:$HW$40),"",INDEX($BW$4:$BW$40,MATCH(ROW()-3,$HW$4:$HW$40,0)))</f>
        <v/>
      </c>
      <c r="HY39">
        <f>IF(COUNTIF('Live Search'!BM$38:BZ$38,0)+COUNTIF('Live Search'!CB$38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HZ39">
        <f>IF($CB$39="",FALSE,SUMPRODUCT(('Final Calculation Sheet'!$N$4:$N$40=$CB$39)*($HY$6:$HY$42=1))&gt;0)</f>
        <v/>
      </c>
      <c r="IA39">
        <f>$IA$38+--($HZ39)</f>
        <v/>
      </c>
      <c r="IB39">
        <f>IF(ROW()-3&gt;MAX($IA$4:$IA$40),"",INDEX($CB$4:$CB$40,MATCH(ROW()-3,$IA$4:$IA$40,0)))</f>
        <v/>
      </c>
      <c r="IC39">
        <f>IF(COUNTIF('Live Search'!BM$38:CA$38,0)+COUNTIF('Live Search'!CC$38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D39">
        <f>IF($CG$39="",FALSE,SUMPRODUCT(('Final Calculation Sheet'!$O$4:$O$40=$CG$39)*($IC$6:$IC$42=1))&gt;0)</f>
        <v/>
      </c>
      <c r="IE39">
        <f>$IE$38+--($ID39)</f>
        <v/>
      </c>
      <c r="IF39">
        <f>IF(ROW()-3&gt;MAX($IE$4:$IE$40),"",INDEX($CG$4:$CG$40,MATCH(ROW()-3,$IE$4:$IE$40,0)))</f>
        <v/>
      </c>
      <c r="IG39">
        <f>IF(COUNTIF('Live Search'!BM$38:CB$38,0)+COUNTIF('Live Search'!CD$38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H39">
        <f>IF($CL$39="",FALSE,SUMPRODUCT(('Final Calculation Sheet'!$P$4:$P$40=$CL$39)*($IG$6:$IG$42=1))&gt;0)</f>
        <v/>
      </c>
      <c r="II39">
        <f>$II$38+--($IH39)</f>
        <v/>
      </c>
      <c r="IJ39">
        <f>IF(ROW()-3&gt;MAX($II$4:$II$40),"",INDEX($CL$4:$CL$40,MATCH(ROW()-3,$II$4:$II$40,0)))</f>
        <v/>
      </c>
      <c r="IK39">
        <f>IF(COUNTIF('Live Search'!BM$38:CC$38,0)+COUNTIF('Live Search'!CE$38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L39">
        <f>IF($CQ$39="",FALSE,SUMPRODUCT(('Final Calculation Sheet'!$Q$4:$Q$40=$CQ$39)*($IK$6:$IK$42=1))&gt;0)</f>
        <v/>
      </c>
      <c r="IM39">
        <f>$IM$38+--($IL39)</f>
        <v/>
      </c>
      <c r="IN39">
        <f>IF(ROW()-3&gt;MAX($IM$4:$IM$40),"",INDEX($CQ$4:$CQ$40,MATCH(ROW()-3,$IM$4:$IM$40,0)))</f>
        <v/>
      </c>
      <c r="IO39">
        <f>IF(COUNTIF('Live Search'!BM$38:CD$38,0)+COUNTIF('Live Search'!CF$38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P39">
        <f>IF($CV$39="",FALSE,SUMPRODUCT(('Final Calculation Sheet'!$R$4:$R$40=$CV$39)*($IO$6:$IO$42=1))&gt;0)</f>
        <v/>
      </c>
      <c r="IQ39">
        <f>$IQ$38+--($IP39)</f>
        <v/>
      </c>
      <c r="IR39">
        <f>IF(ROW()-3&gt;MAX($IQ$4:$IQ$40),"",INDEX($CV$4:$CV$40,MATCH(ROW()-3,$IQ$4:$IQ$40,0)))</f>
        <v/>
      </c>
      <c r="IS39">
        <f>IF(COUNTIF('Live Search'!BM$38:CE$38,0)+COUNTIF('Live Search'!CG$38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T39">
        <f>IF($DA$39="",FALSE,SUMPRODUCT(('Final Calculation Sheet'!$S$4:$S$40=$DA$39)*($IS$6:$IS$42=1))&gt;0)</f>
        <v/>
      </c>
      <c r="IU39">
        <f>$IU$38+--($IT39)</f>
        <v/>
      </c>
      <c r="IV39">
        <f>IF(ROW()-3&gt;MAX($IU$4:$IU$40),"",INDEX($DA$4:$DA$40,MATCH(ROW()-3,$IU$4:$IU$40,0)))</f>
        <v/>
      </c>
      <c r="IW39">
        <f>IF(COUNTIF('Live Search'!BM$38:CF$38,0)+COUNTIF('Live Search'!CH$38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IX39">
        <f>IF($DF$39="",FALSE,SUMPRODUCT(('Final Calculation Sheet'!$T$4:$T$40=$DF$39)*($IW$6:$IW$42=1))&gt;0)</f>
        <v/>
      </c>
      <c r="IY39">
        <f>$IY$38+--($IX39)</f>
        <v/>
      </c>
      <c r="IZ39">
        <f>IF(ROW()-3&gt;MAX($IY$4:$IY$40),"",INDEX($DF$4:$DF$40,MATCH(ROW()-3,$IY$4:$IY$40,0)))</f>
        <v/>
      </c>
      <c r="JA39">
        <f>IF(COUNTIF('Live Search'!BM$38:CG$38,0)+COUNTIF('Live Search'!CI$38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B39">
        <f>IF($DK$39="",FALSE,SUMPRODUCT(('Final Calculation Sheet'!$U$4:$U$40=$DK$39)*($JA$6:$JA$42=1))&gt;0)</f>
        <v/>
      </c>
      <c r="JC39">
        <f>$JC$38+--($JB39)</f>
        <v/>
      </c>
      <c r="JD39">
        <f>IF(ROW()-3&gt;MAX($JC$4:$JC$40),"",INDEX($DK$4:$DK$40,MATCH(ROW()-3,$JC$4:$JC$40,0)))</f>
        <v/>
      </c>
      <c r="JE39">
        <f>IF(COUNTIF('Live Search'!BM$38:CH$38,0)+COUNTIF('Live Search'!CJ$38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F39">
        <f>IF($DP$39="",FALSE,SUMPRODUCT(('Final Calculation Sheet'!$V$4:$V$40=$DP$39)*($JE$6:$JE$42=1))&gt;0)</f>
        <v/>
      </c>
      <c r="JG39">
        <f>$JG$38+--($JF39)</f>
        <v/>
      </c>
      <c r="JH39">
        <f>IF(ROW()-3&gt;MAX($JG$4:$JG$40),"",INDEX($DP$4:$DP$40,MATCH(ROW()-3,$JG$4:$JG$40,0)))</f>
        <v/>
      </c>
      <c r="JI39">
        <f>IF(COUNTIF('Live Search'!BM$38:CI$38,0)+COUNTIF('Live Search'!CK$38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J39">
        <f>IF($DU$39="",FALSE,SUMPRODUCT(('Final Calculation Sheet'!$W$4:$W$40=$DU$39)*($JI$6:$JI$42=1))&gt;0)</f>
        <v/>
      </c>
      <c r="JK39">
        <f>$JK$38+--($JJ39)</f>
        <v/>
      </c>
      <c r="JL39">
        <f>IF(ROW()-3&gt;MAX($JK$4:$JK$40),"",INDEX($DU$4:$DU$40,MATCH(ROW()-3,$JK$4:$JK$40,0)))</f>
        <v/>
      </c>
      <c r="JM39">
        <f>IF(COUNTIF('Live Search'!BM$38:CJ$38,0)+COUNTIF('Live Search'!CL$38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N39">
        <f>IF($DZ$39="",FALSE,SUMPRODUCT(('Final Calculation Sheet'!$X$4:$X$40=$DZ$39)*($JM$6:$JM$42=1))&gt;0)</f>
        <v/>
      </c>
      <c r="JO39">
        <f>$JO$38+--($JN39)</f>
        <v/>
      </c>
      <c r="JP39">
        <f>IF(ROW()-3&gt;MAX($JO$4:$JO$40),"",INDEX($DZ$4:$DZ$40,MATCH(ROW()-3,$JO$4:$JO$40,0)))</f>
        <v/>
      </c>
      <c r="JQ39">
        <f>IF(COUNTIF('Live Search'!BM$38:CK$38,0)+COUNTIF('Live Search'!C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R39">
        <f>IF($EE$39="",FALSE,SUMPRODUCT(('Final Calculation Sheet'!$Y$4:$Y$40=$EE$39)*($JQ$6:$JQ$42=1))&gt;0)</f>
        <v/>
      </c>
      <c r="JS39">
        <f>$JS$38+--($JR39)</f>
        <v/>
      </c>
      <c r="JT39">
        <f>IF(ROW()-3&gt;MAX($JS$4:$JS$40),"",INDEX($EE$4:$EE$40,MATCH(ROW()-3,$JS$4:$JS$40,0)))</f>
        <v/>
      </c>
      <c r="JU39">
        <f>IF(COUNTIF('Live Search'!BM$38:CL$38,0)+COUNTIF('Live Search'!CN$38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V39">
        <f>IF($EJ$39="",FALSE,SUMPRODUCT(('Final Calculation Sheet'!$Z$4:$Z$40=$EJ$39)*($JU$6:$JU$42=1))&gt;0)</f>
        <v/>
      </c>
      <c r="JW39">
        <f>$JW$38+--($JV39)</f>
        <v/>
      </c>
      <c r="JX39">
        <f>IF(ROW()-3&gt;MAX($JW$4:$JW$40),"",INDEX($EJ$4:$EJ$40,MATCH(ROW()-3,$JW$4:$JW$40,0)))</f>
        <v/>
      </c>
      <c r="JY39">
        <f>IF(COUNTIF('Live Search'!BM$38:CM$38,0)+COUNTIF('Live Search'!CO$38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JZ39">
        <f>IF($EO$39="",FALSE,SUMPRODUCT(('Final Calculation Sheet'!$AA$4:$AA$40=$EO$39)*($JY$6:$JY$42=1))&gt;0)</f>
        <v/>
      </c>
      <c r="KA39">
        <f>$KA$38+--($JZ39)</f>
        <v/>
      </c>
      <c r="KB39">
        <f>IF(ROW()-3&gt;MAX($KA$4:$KA$40),"",INDEX($EO$4:$EO$40,MATCH(ROW()-3,$KA$4:$KA$40,0)))</f>
        <v/>
      </c>
      <c r="KC39">
        <f>IF(COUNTIF('Live Search'!BM$38:CN$38,0)+COUNTIF('Live Search'!CP$38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D39">
        <f>IF($ET$39="",FALSE,SUMPRODUCT(('Final Calculation Sheet'!$AB$4:$AB$40=$ET$39)*($KC$6:$KC$42=1))&gt;0)</f>
        <v/>
      </c>
      <c r="KE39">
        <f>$KE$38+--($KD39)</f>
        <v/>
      </c>
      <c r="KF39">
        <f>IF(ROW()-3&gt;MAX($KE$4:$KE$40),"",INDEX($ET$4:$ET$40,MATCH(ROW()-3,$KE$4:$KE$40,0)))</f>
        <v/>
      </c>
      <c r="KG39">
        <f>IF(COUNTIF('Live Search'!BM$38:CO$38,0)+COUNTIF('Live Search'!CQ$38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H39">
        <f>IF($EY$39="",FALSE,SUMPRODUCT(('Final Calculation Sheet'!$AC$4:$AC$40=$EY$39)*($KG$6:$KG$42=1))&gt;0)</f>
        <v/>
      </c>
      <c r="KI39">
        <f>$KI$38+--($KH39)</f>
        <v/>
      </c>
      <c r="KJ39">
        <f>IF(ROW()-3&gt;MAX($KI$4:$KI$40),"",INDEX($EY$4:$EY$40,MATCH(ROW()-3,$KI$4:$KI$40,0)))</f>
        <v/>
      </c>
      <c r="KK39">
        <f>IF(COUNTIF('Live Search'!BM$38:CP$38,0)+COUNTIF('Live Search'!CR$38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L39">
        <f>IF($FD$39="",FALSE,SUMPRODUCT(('Final Calculation Sheet'!$AD$4:$AD$40=$FD$39)*($KK$6:$KK$42=1))&gt;0)</f>
        <v/>
      </c>
      <c r="KM39">
        <f>$KM$38+--($KL39)</f>
        <v/>
      </c>
      <c r="KN39">
        <f>IF(ROW()-3&gt;MAX($KM$4:$KM$40),"",INDEX($FD$4:$FD$40,MATCH(ROW()-3,$KM$4:$KM$40,0)))</f>
        <v/>
      </c>
      <c r="KO39">
        <f>IF(COUNTIF('Live Search'!BM$38:CT$38,0)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P39">
        <f>IF($FX$39="",FALSE,SUMPRODUCT((IF('Final Calculation Sheet'!$AD$4:$AD$40&lt;=5,"SETTLED","OUTSTANDING")=$FX$39)*($KO$6:$KO$42=1))&gt;0)</f>
        <v/>
      </c>
      <c r="KQ39">
        <f>$KQ$38+--($KP39)</f>
        <v/>
      </c>
      <c r="KR39">
        <f>IF(ROW()-3&gt;MAX($KQ$4:$KQ$40),"",INDEX($FX$4:$FX$40,MATCH(ROW()-3,$KQ$4:$KQ$40,0)))</f>
        <v/>
      </c>
      <c r="KS39">
        <f>IF(COUNTIF('Live Search'!BM$38:CQ$38,0)+COUNTIF('Live Search'!CS$38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T39">
        <f>IF($FI$39="",FALSE,SUMPRODUCT(('Final Calculation Sheet'!$AF$4:$AF$40=$FI$39)*($KS$6:$KS$42=1))&gt;0)</f>
        <v/>
      </c>
      <c r="KU39">
        <f>$KU$38+--($KT39)</f>
        <v/>
      </c>
      <c r="KV39">
        <f>IF(ROW()-3&gt;MAX($KU$4:$KU$40),"",INDEX($FI$4:$FI$40,MATCH(ROW()-3,$KU$4:$KU$40,0)))</f>
        <v/>
      </c>
      <c r="KW39">
        <f>IF(COUNTIF('Live Search'!BM$38:CR$38,0)+COUNTIF('Live Search'!CT$38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KX39">
        <f>IF($FN$39="",FALSE,SUMPRODUCT(('Final Calculation Sheet'!$AG$4:$AG$40=$FN$39)*($KW$6:$KW$42=1))&gt;0)</f>
        <v/>
      </c>
      <c r="KY39">
        <f>$KY$38+--($KX39)</f>
        <v/>
      </c>
      <c r="KZ39">
        <f>IF(ROW()-3&gt;MAX($KY$4:$KY$40),"",INDEX($FN$4:$FN$40,MATCH(ROW()-3,$KY$4:$KY$40,0)))</f>
        <v/>
      </c>
      <c r="LA39">
        <f>IF(COUNTIF('Live Search'!BM$38:CS$38,0)+COUNTIF('Live Search'!CU$38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LB39">
        <f>IF($FS$39="",FALSE,SUMPRODUCT(('Final Calculation Sheet'!$AH$4:$AH$40=$FS$39)*($LA$6:$LA$42=1))&gt;0)</f>
        <v/>
      </c>
      <c r="LC39">
        <f>$LC$38+--($LB39)</f>
        <v/>
      </c>
      <c r="LD39">
        <f>IF(ROW()-3&gt;MAX($LC$4:$LC$40),"",INDEX($FS$4:$FS$40,MATCH(ROW()-3,$LC$4:$LC$40,0)))</f>
        <v/>
      </c>
      <c r="LE39">
        <f>IF(COUNTIF('Buyer Groups'!DH92:EN92,0)&gt;0,0,1)</f>
        <v/>
      </c>
      <c r="LF39">
        <f>IF($O$39="",FALSE,SUMPRODUCT(('Final Calculation Sheet'!$F$4:$F$40=$O$39)*($LE$6:$LE$42=1))&gt;0)</f>
        <v/>
      </c>
      <c r="LG39">
        <f>$LG$38+--($LF39)</f>
        <v/>
      </c>
      <c r="LH39">
        <f>IF(ROW()-3&gt;MAX($LG$4:$LG$40),"",INDEX($O$4:$O$40,MATCH(ROW()-3,$LG$4:$LG$40,0)))</f>
        <v/>
      </c>
      <c r="LI39">
        <f>IF(COUNTIF('Buyer Groups'!DG92:DG92,0)+COUNTIF('Buyer Groups'!DI92:EN92,0)&gt;0,0,1)</f>
        <v/>
      </c>
      <c r="LJ39">
        <f>IF($T$39="",FALSE,SUMPRODUCT(('Final Calculation Sheet'!$G$4:$G$40=$T$39)*($LI$6:$LI$42=1))&gt;0)</f>
        <v/>
      </c>
      <c r="LK39">
        <f>$LK$38+--($LJ39)</f>
        <v/>
      </c>
      <c r="LL39">
        <f>IF(ROW()-3&gt;MAX($LK$4:$LK$40),"",INDEX($T$4:$T$40,MATCH(ROW()-3,$LK$4:$LK$40,0)))</f>
        <v/>
      </c>
      <c r="LM39">
        <f>IF(COUNTIF('Buyer Groups'!DG92:DH92,0)+COUNTIF('Buyer Groups'!DJ92:EN92,0)&gt;0,0,1)</f>
        <v/>
      </c>
      <c r="LN39">
        <f>IF($Y$39="",FALSE,SUMPRODUCT(('Final Calculation Sheet'!$B$4:$B$40=$Y$39)*($LM$6:$LM$42=1))&gt;0)</f>
        <v/>
      </c>
      <c r="LO39">
        <f>$LO$38+--($LN39)</f>
        <v/>
      </c>
      <c r="LP39">
        <f>IF(ROW()-3&gt;MAX($LO$4:$LO$40),"",INDEX($Y$4:$Y$40,MATCH(ROW()-3,$LO$4:$LO$40,0)))</f>
        <v/>
      </c>
      <c r="LQ39">
        <f>IF(COUNTIF('Buyer Groups'!DG92:DI92,0)+COUNTIF('Buyer Groups'!DK92:EN92,0)&gt;0,0,1)</f>
        <v/>
      </c>
      <c r="LR39">
        <f>IF($AD$39="",FALSE,SUMPRODUCT(('Final Calculation Sheet'!$D$4:$D$40=$AD$39)*($LQ$6:$LQ$42=1))&gt;0)</f>
        <v/>
      </c>
      <c r="LS39">
        <f>$LS$38+--($LR39)</f>
        <v/>
      </c>
      <c r="LT39">
        <f>IF(ROW()-3&gt;MAX($LS$4:$LS$40),"",INDEX($AD$4:$AD$40,MATCH(ROW()-3,$LS$4:$LS$40,0)))</f>
        <v/>
      </c>
      <c r="LU39">
        <f>IF(COUNTIF('Buyer Groups'!DG92:DJ92,0)+COUNTIF('Buyer Groups'!DL92:EN92,0)&gt;0,0,1)</f>
        <v/>
      </c>
      <c r="LV39">
        <f>IF($AI$39="",FALSE,SUMPRODUCT(('Final Calculation Sheet'!$A$4:$A$40=$AI$39)*($LU$6:$LU$42=1))&gt;0)</f>
        <v/>
      </c>
      <c r="LW39">
        <f>$LW$38+--($LV39)</f>
        <v/>
      </c>
      <c r="LX39">
        <f>IF(ROW()-3&gt;MAX($LW$4:$LW$40),"",INDEX($AI$4:$AI$40,MATCH(ROW()-3,$LW$4:$LW$40,0)))</f>
        <v/>
      </c>
      <c r="LY39">
        <f>IF(COUNTIF('Buyer Groups'!DG92:DK92,0)+COUNTIF('Buyer Groups'!DM92:EN92,0)&gt;0,0,1)</f>
        <v/>
      </c>
      <c r="LZ39">
        <f>IF($AN$39="",FALSE,SUMPRODUCT(('Final Calculation Sheet'!$E$4:$E$40=$AN$39)*($LY$6:$LY$42=1))&gt;0)</f>
        <v/>
      </c>
      <c r="MA39">
        <f>$MA$38+--($LZ39)</f>
        <v/>
      </c>
      <c r="MB39">
        <f>IF(ROW()-3&gt;MAX($MA$4:$MA$40),"",INDEX($AN$4:$AN$40,MATCH(ROW()-3,$MA$4:$MA$40,0)))</f>
        <v/>
      </c>
      <c r="MC39">
        <f>IF(COUNTIF('Buyer Groups'!DG92:DL92,0)+COUNTIF('Buyer Groups'!DN92:EN92,0)&gt;0,0,1)</f>
        <v/>
      </c>
      <c r="MD39">
        <f>IF($AS$39="",FALSE,SUMPRODUCT(('Final Calculation Sheet'!$C$4:$C$40=$AS$39)*($MC$6:$MC$42=1))&gt;0)</f>
        <v/>
      </c>
      <c r="ME39">
        <f>$ME$38+--($MD39)</f>
        <v/>
      </c>
      <c r="MF39">
        <f>IF(ROW()-3&gt;MAX($ME$4:$ME$40),"",INDEX($AS$4:$AS$40,MATCH(ROW()-3,$ME$4:$ME$40,0)))</f>
        <v/>
      </c>
      <c r="MG39">
        <f>IF(COUNTIF('Buyer Groups'!DG92:DM92,0)+COUNTIF('Buyer Groups'!DO92:EN92,0)&gt;0,0,1)</f>
        <v/>
      </c>
      <c r="MH39">
        <f>IF($AX$39="",FALSE,SUMPRODUCT(('Final Calculation Sheet'!$H$4:$H$40=$AX$39)*($MG$6:$MG$42=1))&gt;0)</f>
        <v/>
      </c>
      <c r="MI39">
        <f>$MI$38+--($MH39)</f>
        <v/>
      </c>
      <c r="MJ39">
        <f>IF(ROW()-3&gt;MAX($MI$4:$MI$40),"",INDEX($AX$4:$AX$40,MATCH(ROW()-3,$MI$4:$MI$40,0)))</f>
        <v/>
      </c>
      <c r="MK39">
        <f>IF(COUNTIF('Buyer Groups'!DG92:DN92,0)+COUNTIF('Buyer Groups'!DP92:EN92,0)&gt;0,0,1)</f>
        <v/>
      </c>
      <c r="ML39">
        <f>IF($BC$39="",FALSE,SUMPRODUCT(('Final Calculation Sheet'!$I$4:$I$40=$BC$39)*($MK$6:$MK$42=1))&gt;0)</f>
        <v/>
      </c>
      <c r="MM39">
        <f>$MM$38+--($ML39)</f>
        <v/>
      </c>
      <c r="MN39">
        <f>IF(ROW()-3&gt;MAX($MM$4:$MM$40),"",INDEX($BC$4:$BC$40,MATCH(ROW()-3,$MM$4:$MM$40,0)))</f>
        <v/>
      </c>
      <c r="MO39">
        <f>IF(COUNTIF('Buyer Groups'!DG92:DO92,0)+COUNTIF('Buyer Groups'!DQ92:EN92,0)&gt;0,0,1)</f>
        <v/>
      </c>
      <c r="MP39">
        <f>IF($BH$39="",FALSE,SUMPRODUCT(('Final Calculation Sheet'!$J$4:$J$40=$BH$39)*($MO$6:$MO$42=1))&gt;0)</f>
        <v/>
      </c>
      <c r="MQ39">
        <f>$MQ$38+--($MP39)</f>
        <v/>
      </c>
      <c r="MR39">
        <f>IF(ROW()-3&gt;MAX($MQ$4:$MQ$40),"",INDEX($BH$4:$BH$40,MATCH(ROW()-3,$MQ$4:$MQ$40,0)))</f>
        <v/>
      </c>
      <c r="MS39">
        <f>IF(COUNTIF('Buyer Groups'!DG92:DP92,0)+COUNTIF('Buyer Groups'!DR92:EN92,0)&gt;0,0,1)</f>
        <v/>
      </c>
      <c r="MT39">
        <f>IF($BM$39="",FALSE,SUMPRODUCT(('Final Calculation Sheet'!$K$4:$K$40=$BM$39)*($MS$6:$MS$42=1))&gt;0)</f>
        <v/>
      </c>
      <c r="MU39">
        <f>$MU$38+--($MT39)</f>
        <v/>
      </c>
      <c r="MV39">
        <f>IF(ROW()-3&gt;MAX($MU$4:$MU$40),"",INDEX($BM$4:$BM$40,MATCH(ROW()-3,$MU$4:$MU$40,0)))</f>
        <v/>
      </c>
      <c r="MW39">
        <f>IF(COUNTIF('Buyer Groups'!DG92:DQ92,0)+COUNTIF('Buyer Groups'!DS92:EN92,0)&gt;0,0,1)</f>
        <v/>
      </c>
      <c r="MX39">
        <f>IF($BR$39="",FALSE,SUMPRODUCT(('Final Calculation Sheet'!$L$4:$L$40=$BR$39)*($MW$6:$MW$42=1))&gt;0)</f>
        <v/>
      </c>
      <c r="MY39">
        <f>$MY$38+--($MX39)</f>
        <v/>
      </c>
      <c r="MZ39">
        <f>IF(ROW()-3&gt;MAX($MY$4:$MY$40),"",INDEX($BR$4:$BR$40,MATCH(ROW()-3,$MY$4:$MY$40,0)))</f>
        <v/>
      </c>
      <c r="NA39">
        <f>IF(COUNTIF('Buyer Groups'!DG92:DR92,0)+COUNTIF('Buyer Groups'!DT92:EN92,0)&gt;0,0,1)</f>
        <v/>
      </c>
      <c r="NB39">
        <f>IF($BW$39="",FALSE,SUMPRODUCT(('Final Calculation Sheet'!$M$4:$M$40=$BW$39)*($NA$6:$NA$42=1))&gt;0)</f>
        <v/>
      </c>
      <c r="NC39">
        <f>$NC$38+--($NB39)</f>
        <v/>
      </c>
      <c r="ND39">
        <f>IF(ROW()-3&gt;MAX($NC$4:$NC$40),"",INDEX($BW$4:$BW$40,MATCH(ROW()-3,$NC$4:$NC$40,0)))</f>
        <v/>
      </c>
      <c r="NE39">
        <f>IF(COUNTIF('Buyer Groups'!DG92:DS92,0)+COUNTIF('Buyer Groups'!DU92:EN92,0)&gt;0,0,1)</f>
        <v/>
      </c>
      <c r="NF39">
        <f>IF($CB$39="",FALSE,SUMPRODUCT(('Final Calculation Sheet'!$N$4:$N$40=$CB$39)*($NE$6:$NE$42=1))&gt;0)</f>
        <v/>
      </c>
      <c r="NG39">
        <f>$NG$38+--($NF39)</f>
        <v/>
      </c>
      <c r="NH39">
        <f>IF(ROW()-3&gt;MAX($NG$4:$NG$40),"",INDEX($CB$4:$CB$40,MATCH(ROW()-3,$NG$4:$NG$40,0)))</f>
        <v/>
      </c>
      <c r="NI39">
        <f>IF(COUNTIF('Buyer Groups'!DG92:DT92,0)+COUNTIF('Buyer Groups'!DV92:EN92,0)&gt;0,0,1)</f>
        <v/>
      </c>
      <c r="NJ39">
        <f>IF($CG$39="",FALSE,SUMPRODUCT(('Final Calculation Sheet'!$O$4:$O$40=$CG$39)*($NI$6:$NI$42=1))&gt;0)</f>
        <v/>
      </c>
      <c r="NK39">
        <f>$NK$38+--($NJ39)</f>
        <v/>
      </c>
      <c r="NL39">
        <f>IF(ROW()-3&gt;MAX($NK$4:$NK$40),"",INDEX($CG$4:$CG$40,MATCH(ROW()-3,$NK$4:$NK$40,0)))</f>
        <v/>
      </c>
      <c r="NM39">
        <f>IF(COUNTIF('Buyer Groups'!DG92:DU92,0)+COUNTIF('Buyer Groups'!DW92:EN92,0)&gt;0,0,1)</f>
        <v/>
      </c>
      <c r="NN39">
        <f>IF($CL$39="",FALSE,SUMPRODUCT(('Final Calculation Sheet'!$P$4:$P$40=$CL$39)*($NM$6:$NM$42=1))&gt;0)</f>
        <v/>
      </c>
      <c r="NO39">
        <f>$NO$38+--($NN39)</f>
        <v/>
      </c>
      <c r="NP39">
        <f>IF(ROW()-3&gt;MAX($NO$4:$NO$40),"",INDEX($CL$4:$CL$40,MATCH(ROW()-3,$NO$4:$NO$40,0)))</f>
        <v/>
      </c>
      <c r="NQ39">
        <f>IF(COUNTIF('Buyer Groups'!DG92:DV92,0)+COUNTIF('Buyer Groups'!DX92:EN92,0)&gt;0,0,1)</f>
        <v/>
      </c>
      <c r="NR39">
        <f>IF($CQ$39="",FALSE,SUMPRODUCT(('Final Calculation Sheet'!$Q$4:$Q$40=$CQ$39)*($NQ$6:$NQ$42=1))&gt;0)</f>
        <v/>
      </c>
      <c r="NS39">
        <f>$NS$38+--($NR39)</f>
        <v/>
      </c>
      <c r="NT39">
        <f>IF(ROW()-3&gt;MAX($NS$4:$NS$40),"",INDEX($CQ$4:$CQ$40,MATCH(ROW()-3,$NS$4:$NS$40,0)))</f>
        <v/>
      </c>
      <c r="NU39">
        <f>IF(COUNTIF('Buyer Groups'!DG92:DW92,0)+COUNTIF('Buyer Groups'!DY92:EN92,0)&gt;0,0,1)</f>
        <v/>
      </c>
      <c r="NV39">
        <f>IF($CV$39="",FALSE,SUMPRODUCT(('Final Calculation Sheet'!$R$4:$R$40=$CV$39)*($NU$6:$NU$42=1))&gt;0)</f>
        <v/>
      </c>
      <c r="NW39">
        <f>$NW$38+--($NV39)</f>
        <v/>
      </c>
      <c r="NX39">
        <f>IF(ROW()-3&gt;MAX($NW$4:$NW$40),"",INDEX($CV$4:$CV$40,MATCH(ROW()-3,$NW$4:$NW$40,0)))</f>
        <v/>
      </c>
      <c r="NY39">
        <f>IF(COUNTIF('Buyer Groups'!DG92:DX92,0)+COUNTIF('Buyer Groups'!DZ92:EN92,0)&gt;0,0,1)</f>
        <v/>
      </c>
      <c r="NZ39">
        <f>IF($DA$39="",FALSE,SUMPRODUCT(('Final Calculation Sheet'!$S$4:$S$40=$DA$39)*($NY$6:$NY$42=1))&gt;0)</f>
        <v/>
      </c>
      <c r="OA39">
        <f>$OA$38+--($NZ39)</f>
        <v/>
      </c>
      <c r="OB39">
        <f>IF(ROW()-3&gt;MAX($OA$4:$OA$40),"",INDEX($DA$4:$DA$40,MATCH(ROW()-3,$OA$4:$OA$40,0)))</f>
        <v/>
      </c>
      <c r="OC39">
        <f>IF(COUNTIF('Buyer Groups'!DG92:DY92,0)+COUNTIF('Buyer Groups'!EA92:EN92,0)&gt;0,0,1)</f>
        <v/>
      </c>
      <c r="OD39">
        <f>IF($DF$39="",FALSE,SUMPRODUCT(('Final Calculation Sheet'!$T$4:$T$40=$DF$39)*($OC$6:$OC$42=1))&gt;0)</f>
        <v/>
      </c>
      <c r="OE39">
        <f>$OE$38+--($OD39)</f>
        <v/>
      </c>
      <c r="OF39">
        <f>IF(ROW()-3&gt;MAX($OE$4:$OE$40),"",INDEX($DF$4:$DF$40,MATCH(ROW()-3,$OE$4:$OE$40,0)))</f>
        <v/>
      </c>
      <c r="OG39">
        <f>IF(COUNTIF('Buyer Groups'!DG92:DZ92,0)+COUNTIF('Buyer Groups'!EB92:EN92,0)&gt;0,0,1)</f>
        <v/>
      </c>
      <c r="OH39">
        <f>IF($DK$39="",FALSE,SUMPRODUCT(('Final Calculation Sheet'!$U$4:$U$40=$DK$39)*($OG$6:$OG$42=1))&gt;0)</f>
        <v/>
      </c>
      <c r="OI39">
        <f>$OI$38+--($OH39)</f>
        <v/>
      </c>
      <c r="OJ39">
        <f>IF(ROW()-3&gt;MAX($OI$4:$OI$40),"",INDEX($DK$4:$DK$40,MATCH(ROW()-3,$OI$4:$OI$40,0)))</f>
        <v/>
      </c>
      <c r="OK39">
        <f>IF(COUNTIF('Buyer Groups'!DG92:EA92,0)+COUNTIF('Buyer Groups'!EC92:EN92,0)&gt;0,0,1)</f>
        <v/>
      </c>
      <c r="OL39">
        <f>IF($DP$39="",FALSE,SUMPRODUCT(('Final Calculation Sheet'!$V$4:$V$40=$DP$39)*($OK$6:$OK$42=1))&gt;0)</f>
        <v/>
      </c>
      <c r="OM39">
        <f>$OM$38+--($OL39)</f>
        <v/>
      </c>
      <c r="ON39">
        <f>IF(ROW()-3&gt;MAX($OM$4:$OM$40),"",INDEX($DP$4:$DP$40,MATCH(ROW()-3,$OM$4:$OM$40,0)))</f>
        <v/>
      </c>
      <c r="OO39">
        <f>IF(COUNTIF('Buyer Groups'!DG92:EB92,0)+COUNTIF('Buyer Groups'!ED92:EN92,0)&gt;0,0,1)</f>
        <v/>
      </c>
      <c r="OP39">
        <f>IF($DU$39="",FALSE,SUMPRODUCT(('Final Calculation Sheet'!$W$4:$W$40=$DU$39)*($OO$6:$OO$42=1))&gt;0)</f>
        <v/>
      </c>
      <c r="OQ39">
        <f>$OQ$38+--($OP39)</f>
        <v/>
      </c>
      <c r="OR39">
        <f>IF(ROW()-3&gt;MAX($OQ$4:$OQ$40),"",INDEX($DU$4:$DU$40,MATCH(ROW()-3,$OQ$4:$OQ$40,0)))</f>
        <v/>
      </c>
      <c r="OS39">
        <f>IF(COUNTIF('Buyer Groups'!DG92:EC92,0)+COUNTIF('Buyer Groups'!EE92:EN92,0)&gt;0,0,1)</f>
        <v/>
      </c>
      <c r="OT39">
        <f>IF($DZ$39="",FALSE,SUMPRODUCT(('Final Calculation Sheet'!$X$4:$X$40=$DZ$39)*($OS$6:$OS$42=1))&gt;0)</f>
        <v/>
      </c>
      <c r="OU39">
        <f>$OU$38+--($OT39)</f>
        <v/>
      </c>
      <c r="OV39">
        <f>IF(ROW()-3&gt;MAX($OU$4:$OU$40),"",INDEX($DZ$4:$DZ$40,MATCH(ROW()-3,$OU$4:$OU$40,0)))</f>
        <v/>
      </c>
      <c r="OW39">
        <f>IF(COUNTIF('Buyer Groups'!DG92:ED92,0)+COUNTIF('Buyer Groups'!EF92:EN92,0)&gt;0,0,1)</f>
        <v/>
      </c>
      <c r="OX39">
        <f>IF($EE$39="",FALSE,SUMPRODUCT(('Final Calculation Sheet'!$Y$4:$Y$40=$EE$39)*($OW$6:$OW$42=1))&gt;0)</f>
        <v/>
      </c>
      <c r="OY39">
        <f>$OY$38+--($OX39)</f>
        <v/>
      </c>
      <c r="OZ39">
        <f>IF(ROW()-3&gt;MAX($OY$4:$OY$40),"",INDEX($EE$4:$EE$40,MATCH(ROW()-3,$OY$4:$OY$40,0)))</f>
        <v/>
      </c>
      <c r="PA39">
        <f>IF(COUNTIF('Buyer Groups'!DG92:EE92,0)+COUNTIF('Buyer Groups'!EG92:EN92,0)&gt;0,0,1)</f>
        <v/>
      </c>
      <c r="PB39">
        <f>IF($EJ$39="",FALSE,SUMPRODUCT(('Final Calculation Sheet'!$Z$4:$Z$40=$EJ$39)*($PA$6:$PA$42=1))&gt;0)</f>
        <v/>
      </c>
      <c r="PC39">
        <f>$PC$38+--($PB39)</f>
        <v/>
      </c>
      <c r="PD39">
        <f>IF(ROW()-3&gt;MAX($PC$4:$PC$40),"",INDEX($EJ$4:$EJ$40,MATCH(ROW()-3,$PC$4:$PC$40,0)))</f>
        <v/>
      </c>
      <c r="PE39">
        <f>IF(COUNTIF('Buyer Groups'!DG92:EF92,0)+COUNTIF('Buyer Groups'!EH92:EN92,0)&gt;0,0,1)</f>
        <v/>
      </c>
      <c r="PF39">
        <f>IF($EO$39="",FALSE,SUMPRODUCT(('Final Calculation Sheet'!$AA$4:$AA$40=$EO$39)*($PE$6:$PE$42=1))&gt;0)</f>
        <v/>
      </c>
      <c r="PG39">
        <f>$PG$38+--($PF39)</f>
        <v/>
      </c>
      <c r="PH39">
        <f>IF(ROW()-3&gt;MAX($PG$4:$PG$40),"",INDEX($EO$4:$EO$40,MATCH(ROW()-3,$PG$4:$PG$40,0)))</f>
        <v/>
      </c>
      <c r="PI39">
        <f>IF(COUNTIF('Buyer Groups'!DG92:EG92,0)+COUNTIF('Buyer Groups'!EI92:EN92,0)&gt;0,0,1)</f>
        <v/>
      </c>
      <c r="PJ39">
        <f>IF($ET$39="",FALSE,SUMPRODUCT(('Final Calculation Sheet'!$AB$4:$AB$40=$ET$39)*($PI$6:$PI$42=1))&gt;0)</f>
        <v/>
      </c>
      <c r="PK39">
        <f>$PK$38+--($PJ39)</f>
        <v/>
      </c>
      <c r="PL39">
        <f>IF(ROW()-3&gt;MAX($PK$4:$PK$40),"",INDEX($ET$4:$ET$40,MATCH(ROW()-3,$PK$4:$PK$40,0)))</f>
        <v/>
      </c>
      <c r="PM39">
        <f>IF(COUNTIF('Buyer Groups'!DG92:EH92,0)+COUNTIF('Buyer Groups'!EJ92:EN92,0)&gt;0,0,1)</f>
        <v/>
      </c>
      <c r="PN39">
        <f>IF($EY$39="",FALSE,SUMPRODUCT(('Final Calculation Sheet'!$AC$4:$AC$40=$EY$39)*($PM$6:$PM$42=1))&gt;0)</f>
        <v/>
      </c>
      <c r="PO39">
        <f>$PO$38+--($PN39)</f>
        <v/>
      </c>
      <c r="PP39">
        <f>IF(ROW()-3&gt;MAX($PO$4:$PO$40),"",INDEX($EY$4:$EY$40,MATCH(ROW()-3,$PO$4:$PO$40,0)))</f>
        <v/>
      </c>
      <c r="PQ39">
        <f>IF(COUNTIF('Buyer Groups'!DG92:EI92,0)+COUNTIF('Buyer Groups'!EK92:EN92,0)&gt;0,0,1)</f>
        <v/>
      </c>
      <c r="PR39">
        <f>IF($FD$39="",FALSE,SUMPRODUCT(('Final Calculation Sheet'!$AD$4:$AD$40=$FD$39)*($PQ$6:$PQ$42=1))&gt;0)</f>
        <v/>
      </c>
      <c r="PS39">
        <f>$PS$38+--($PR39)</f>
        <v/>
      </c>
      <c r="PT39">
        <f>IF(ROW()-3&gt;MAX($PS$4:$PS$40),"",INDEX($FD$4:$FD$40,MATCH(ROW()-3,$PS$4:$PS$40,0)))</f>
        <v/>
      </c>
      <c r="PU39">
        <f>IF(COUNTIF('Buyer Groups'!DG92:EJ92,0)+COUNTIF('Buyer Groups'!EL92:EN92,0)&gt;0,0,1)</f>
        <v/>
      </c>
      <c r="PV39">
        <f>IF($FX$39="",FALSE,SUMPRODUCT((IF('Final Calculation Sheet'!$AD$4:$AD$40&lt;=5,"SETTLED","OUTSTANDING")=$FX$39)*($PU$6:$PU$42=1))&gt;0)</f>
        <v/>
      </c>
      <c r="PW39">
        <f>$PW$38+--($PV39)</f>
        <v/>
      </c>
      <c r="PX39">
        <f>IF(ROW()-3&gt;MAX($PW$4:$PW$40),"",INDEX($FX$4:$FX$40,MATCH(ROW()-3,$PW$4:$PW$40,0)))</f>
        <v/>
      </c>
      <c r="PY39">
        <f>IF(COUNTIF('Buyer Groups'!DG92:EK92,0)+COUNTIF('Buyer Groups'!EM92:EN92,0)&gt;0,0,1)</f>
        <v/>
      </c>
      <c r="PZ39">
        <f>IF($FI$39="",FALSE,SUMPRODUCT(('Final Calculation Sheet'!$AF$4:$AF$40=$FI$39)*($PY$6:$PY$42=1))&gt;0)</f>
        <v/>
      </c>
      <c r="QA39">
        <f>$QA$38+--($PZ39)</f>
        <v/>
      </c>
      <c r="QB39">
        <f>IF(ROW()-3&gt;MAX($QA$4:$QA$40),"",INDEX($FI$4:$FI$40,MATCH(ROW()-3,$QA$4:$QA$40,0)))</f>
        <v/>
      </c>
      <c r="QC39">
        <f>IF(COUNTIF('Buyer Groups'!DG92:EL92,0)+COUNTIF('Buyer Groups'!EN92:EN92,0)&gt;0,0,1)</f>
        <v/>
      </c>
      <c r="QD39">
        <f>IF($FN$39="",FALSE,SUMPRODUCT(('Final Calculation Sheet'!$AG$4:$AG$40=$FN$39)*($QC$6:$QC$42=1))&gt;0)</f>
        <v/>
      </c>
      <c r="QE39">
        <f>$QE$38+--($QD39)</f>
        <v/>
      </c>
      <c r="QF39">
        <f>IF(ROW()-3&gt;MAX($QE$4:$QE$40),"",INDEX($FN$4:$FN$40,MATCH(ROW()-3,$QE$4:$QE$40,0)))</f>
        <v/>
      </c>
      <c r="QG39">
        <f>IF(COUNTIF('Buyer Groups'!DG92:EM92,0)&gt;0,0,1)</f>
        <v/>
      </c>
      <c r="QH39">
        <f>IF($FS$39="",FALSE,SUMPRODUCT(('Final Calculation Sheet'!$AH$4:$AH$40=$FS$39)*($QG$6:$QG$42=1))&gt;0)</f>
        <v/>
      </c>
      <c r="QI39">
        <f>$QI$38+--($QH39)</f>
        <v/>
      </c>
      <c r="QJ39">
        <f>IF(ROW()-3&gt;MAX($QI$4:$QI$40),"",INDEX($FS$4:$FS$40,MATCH(ROW()-3,$QI$4:$QI$40,0)))</f>
        <v/>
      </c>
      <c r="QK39" t="str">
        <f>IF('Final Calculation Sheet'!$AH$39="","",'Final Calculation Sheet'!$AH$39)</f>
      </c>
      <c r="QL39" t="str">
        <f>IF(QK39="","",COUNTIFS(QK$4:QK$40,"&lt;"&amp;QK39,QK$4:QK$40,"&lt;&gt;"&amp;"")+COUNTIF(QK$4:QK39,QK39))</f>
      </c>
      <c r="QM39" t="str">
        <f>IF(ROW()-3&gt;COUNTIF(QK$4:QK$40,"&lt;&gt;"&amp;""),"",INDEX(QK$4:QK$40,MATCH(ROW()-3,QL$4:QL$40,0)))</f>
      </c>
      <c r="QN39" t="str">
        <f>=QN38+F(AND(QM39&lt;&gt;"",COUNTIF(QM$4:QM39,QM39)=1),1,0)</f>
      </c>
      <c r="QO39" t="str">
        <f>IF(ROW()-3&gt;MAX(QN$4:QN$40),"",INDEX(QM$4:QM$40,MATCH(ROW()-3,QN$4:QN$40,0)))</f>
      </c>
      <c r="QP39" t="str">
        <f>IF(COUNTIF('Final Calculation Sheet'!$AM39:$BS39,0)&gt;0,0,1)</f>
      </c>
      <c r="QQ39" t="str">
        <f>IF($AI$39="",FALSE,SUMPRODUCT(('Final Calculation Sheet'!$A$4:$A$40=$AI$39)*($QP$4:$QP$40=1))&gt;0)</f>
      </c>
      <c r="QR39" t="str">
        <f>=$QR38+--($QQ39)</f>
      </c>
      <c r="QS39" t="str">
        <f>IF(ROW()-3&gt;MAX($QR$4:$QR$40),"",INDEX($AI$4:$AI$40,MATCH(ROW()-3,$QR$4:$QR$40,0)))</f>
      </c>
      <c r="QT39" t="str">
        <f>IF(COUNTIF('Final Calculation Sheet'!$AL39:$AL39,0)+COUNTIF('Final Calculation Sheet'!$AN39:$BS39,0)&gt;0,0,1)</f>
      </c>
      <c r="QU39" t="str">
        <f>IF($Y$39="",FALSE,SUMPRODUCT(('Final Calculation Sheet'!$B$4:$B$40=$Y$39)*($QT$4:$QT$40=1))&gt;0)</f>
      </c>
      <c r="QV39" t="str">
        <f>=$QV38+--($QU39)</f>
      </c>
      <c r="QW39" t="str">
        <f>IF(ROW()-3&gt;MAX($QV$4:$QV$40),"",INDEX($Y$4:$Y$40,MATCH(ROW()-3,$QV$4:$QV$40,0)))</f>
      </c>
      <c r="QX39" t="str">
        <f>IF(COUNTIF('Final Calculation Sheet'!$AL39:$AM39,0)+COUNTIF('Final Calculation Sheet'!$AO39:$BS39,0)&gt;0,0,1)</f>
      </c>
      <c r="QY39" t="str">
        <f>IF($AS$39="",FALSE,SUMPRODUCT(('Final Calculation Sheet'!$C$4:$C$40=$AS$39)*($QX$4:$QX$40=1))&gt;0)</f>
      </c>
      <c r="QZ39" t="str">
        <f>=$QZ38+--($QY39)</f>
      </c>
      <c r="RA39" t="str">
        <f>IF(ROW()-3&gt;MAX($QZ$4:$QZ$40),"",INDEX($AS$4:$AS$40,MATCH(ROW()-3,$QZ$4:$QZ$40,0)))</f>
      </c>
      <c r="RB39" t="str">
        <f>IF(COUNTIF('Final Calculation Sheet'!$AL39:$AN39,0)+COUNTIF('Final Calculation Sheet'!$AP39:$BS39,0)&gt;0,0,1)</f>
      </c>
      <c r="RC39" t="str">
        <f>IF($AD$39="",FALSE,SUMPRODUCT(('Final Calculation Sheet'!$D$4:$D$40=$AD$39)*($RB$4:$RB$40=1))&gt;0)</f>
      </c>
      <c r="RD39" t="str">
        <f>=$RD38+--($RC39)</f>
      </c>
      <c r="RE39" t="str">
        <f>IF(ROW()-3&gt;MAX($RD$4:$RD$40),"",INDEX($AD$4:$AD$40,MATCH(ROW()-3,$RD$4:$RD$40,0)))</f>
      </c>
      <c r="RF39" t="str">
        <f>IF(COUNTIF('Final Calculation Sheet'!$AL39:$AO39,0)+COUNTIF('Final Calculation Sheet'!$AQ39:$BS39,0)&gt;0,0,1)</f>
      </c>
      <c r="RG39" t="str">
        <f>IF($AN$39="",FALSE,SUMPRODUCT(('Final Calculation Sheet'!$E$4:$E$40=$AN$39)*($RF$4:$RF$40=1))&gt;0)</f>
      </c>
      <c r="RH39" t="str">
        <f>=$RH38+--($RG39)</f>
      </c>
      <c r="RI39" t="str">
        <f>IF(ROW()-3&gt;MAX($RH$4:$RH$40),"",INDEX($AN$4:$AN$40,MATCH(ROW()-3,$RH$4:$RH$40,0)))</f>
      </c>
      <c r="RJ39" t="str">
        <f>IF(COUNTIF('Final Calculation Sheet'!$AL39:$AP39,0)+COUNTIF('Final Calculation Sheet'!$AR39:$BS39,0)&gt;0,0,1)</f>
      </c>
      <c r="RK39" t="str">
        <f>IF($O$39="",FALSE,SUMPRODUCT(('Final Calculation Sheet'!$F$4:$F$40=$O$39)*($RJ$4:$RJ$40=1))&gt;0)</f>
      </c>
      <c r="RL39" t="str">
        <f>=$RL38+--($RK39)</f>
      </c>
      <c r="RM39" t="str">
        <f>IF(ROW()-3&gt;MAX($RL$4:$RL$40),"",INDEX($O$4:$O$40,MATCH(ROW()-3,$RL$4:$RL$40,0)))</f>
      </c>
      <c r="RN39" t="str">
        <f>IF(COUNTIF('Final Calculation Sheet'!$AL39:$AQ39,0)+COUNTIF('Final Calculation Sheet'!$AS39:$BS39,0)&gt;0,0,1)</f>
      </c>
      <c r="RO39" t="str">
        <f>IF($T$39="",FALSE,SUMPRODUCT(('Final Calculation Sheet'!$G$4:$G$40=$T$39)*($RN$4:$RN$40=1))&gt;0)</f>
      </c>
      <c r="RP39" t="str">
        <f>=$RP38+--($RO39)</f>
      </c>
      <c r="RQ39" t="str">
        <f>IF(ROW()-3&gt;MAX($RP$4:$RP$40),"",INDEX($T$4:$T$40,MATCH(ROW()-3,$RP$4:$RP$40,0)))</f>
      </c>
      <c r="RR39" t="str">
        <f>IF(COUNTIF('Final Calculation Sheet'!$AL39:$AR39,0)+COUNTIF('Final Calculation Sheet'!$AT39:$BS39,0)&gt;0,0,1)</f>
      </c>
      <c r="RS39" t="str">
        <f>IF($AX$39="",FALSE,SUMPRODUCT(('Final Calculation Sheet'!$H$4:$H$40=$AX$39)*($RR$4:$RR$40=1))&gt;0)</f>
      </c>
      <c r="RT39" t="str">
        <f>=$RT38+--($RS39)</f>
      </c>
      <c r="RU39" t="str">
        <f>IF(ROW()-3&gt;MAX($RT$4:$RT$40),"",INDEX($AX$4:$AX$40,MATCH(ROW()-3,$RT$4:$RT$40,0)))</f>
      </c>
      <c r="RV39" t="str">
        <f>IF(COUNTIF('Final Calculation Sheet'!$AL39:$AS39,0)+COUNTIF('Final Calculation Sheet'!$AU39:$BS39,0)&gt;0,0,1)</f>
      </c>
      <c r="RW39" t="str">
        <f>IF($BC$39="",FALSE,SUMPRODUCT(('Final Calculation Sheet'!$I$4:$I$40=$BC$39)*($RV$4:$RV$40=1))&gt;0)</f>
      </c>
      <c r="RX39" t="str">
        <f>=$RX38+--($RW39)</f>
      </c>
      <c r="RY39" t="str">
        <f>IF(ROW()-3&gt;MAX($RX$4:$RX$40),"",INDEX($BC$4:$BC$40,MATCH(ROW()-3,$RX$4:$RX$40,0)))</f>
      </c>
      <c r="RZ39" t="str">
        <f>IF(COUNTIF('Final Calculation Sheet'!$AL39:$AT39,0)+COUNTIF('Final Calculation Sheet'!$AV39:$BS39,0)&gt;0,0,1)</f>
      </c>
      <c r="SA39" t="str">
        <f>IF($BH$39="",FALSE,SUMPRODUCT(('Final Calculation Sheet'!$J$4:$J$40=$BH$39)*($RZ$4:$RZ$40=1))&gt;0)</f>
      </c>
      <c r="SB39" t="str">
        <f>=$SB38+--($SA39)</f>
      </c>
      <c r="SC39" t="str">
        <f>IF(ROW()-3&gt;MAX($SB$4:$SB$40),"",INDEX($BH$4:$BH$40,MATCH(ROW()-3,$SB$4:$SB$40,0)))</f>
      </c>
      <c r="SD39" t="str">
        <f>IF(COUNTIF('Final Calculation Sheet'!$AL39:$AU39,0)+COUNTIF('Final Calculation Sheet'!$AW39:$BS39,0)&gt;0,0,1)</f>
      </c>
      <c r="SE39" t="str">
        <f>IF($BM$39="",FALSE,SUMPRODUCT(('Final Calculation Sheet'!$K$4:$K$40=$BM$39)*($SD$4:$SD$40=1))&gt;0)</f>
      </c>
      <c r="SF39" t="str">
        <f>=$SF38+--($SE39)</f>
      </c>
      <c r="SG39" t="str">
        <f>IF(ROW()-3&gt;MAX($SF$4:$SF$40),"",INDEX($BM$4:$BM$40,MATCH(ROW()-3,$SF$4:$SF$40,0)))</f>
      </c>
      <c r="SH39" t="str">
        <f>IF(COUNTIF('Final Calculation Sheet'!$AL39:$AV39,0)+COUNTIF('Final Calculation Sheet'!$AX39:$BS39,0)&gt;0,0,1)</f>
      </c>
      <c r="SI39" t="str">
        <f>IF($BR$39="",FALSE,SUMPRODUCT(('Final Calculation Sheet'!$L$4:$L$40=$BR$39)*($SH$4:$SH$40=1))&gt;0)</f>
      </c>
      <c r="SJ39" t="str">
        <f>=$SJ38+--($SI39)</f>
      </c>
      <c r="SK39" t="str">
        <f>IF(ROW()-3&gt;MAX($SJ$4:$SJ$40),"",INDEX($BR$4:$BR$40,MATCH(ROW()-3,$SJ$4:$SJ$40,0)))</f>
      </c>
      <c r="SL39" t="str">
        <f>IF(COUNTIF('Final Calculation Sheet'!$AL39:$AW39,0)+COUNTIF('Final Calculation Sheet'!$AY39:$BS39,0)&gt;0,0,1)</f>
      </c>
      <c r="SM39" t="str">
        <f>IF($BW$39="",FALSE,SUMPRODUCT(('Final Calculation Sheet'!$M$4:$M$40=$BW$39)*($SL$4:$SL$40=1))&gt;0)</f>
      </c>
      <c r="SN39" t="str">
        <f>=$SN38+--($SM39)</f>
      </c>
      <c r="SO39" t="str">
        <f>IF(ROW()-3&gt;MAX($SN$4:$SN$40),"",INDEX($BW$4:$BW$40,MATCH(ROW()-3,$SN$4:$SN$40,0)))</f>
      </c>
      <c r="SP39" t="str">
        <f>IF(COUNTIF('Final Calculation Sheet'!$AL39:$AX39,0)+COUNTIF('Final Calculation Sheet'!$AZ39:$BS39,0)&gt;0,0,1)</f>
      </c>
      <c r="SQ39" t="str">
        <f>IF($CB$39="",FALSE,SUMPRODUCT(('Final Calculation Sheet'!$N$4:$N$40=$CB$39)*($SP$4:$SP$40=1))&gt;0)</f>
      </c>
      <c r="SR39" t="str">
        <f>=$SR38+--($SQ39)</f>
      </c>
      <c r="SS39" t="str">
        <f>IF(ROW()-3&gt;MAX($SR$4:$SR$40),"",INDEX($CB$4:$CB$40,MATCH(ROW()-3,$SR$4:$SR$40,0)))</f>
      </c>
      <c r="ST39" t="str">
        <f>IF(COUNTIF('Final Calculation Sheet'!$AL39:$AY39,0)+COUNTIF('Final Calculation Sheet'!$BA39:$BS39,0)&gt;0,0,1)</f>
      </c>
      <c r="SU39" t="str">
        <f>IF($CG$39="",FALSE,SUMPRODUCT(('Final Calculation Sheet'!$O$4:$O$40=$CG$39)*($ST$4:$ST$40=1))&gt;0)</f>
      </c>
      <c r="SV39" t="str">
        <f>=$SV38+--($SU39)</f>
      </c>
      <c r="SW39" t="str">
        <f>IF(ROW()-3&gt;MAX($SV$4:$SV$40),"",INDEX($CG$4:$CG$40,MATCH(ROW()-3,$SV$4:$SV$40,0)))</f>
      </c>
      <c r="SX39" t="str">
        <f>IF(COUNTIF('Final Calculation Sheet'!$AL39:$AZ39,0)+COUNTIF('Final Calculation Sheet'!$BB39:$BS39,0)&gt;0,0,1)</f>
      </c>
      <c r="SY39" t="str">
        <f>IF($CL$39="",FALSE,SUMPRODUCT(('Final Calculation Sheet'!$P$4:$P$40=$CL$39)*($SX$4:$SX$40=1))&gt;0)</f>
      </c>
      <c r="SZ39" t="str">
        <f>=$SZ38+--($SY39)</f>
      </c>
      <c r="TA39" t="str">
        <f>IF(ROW()-3&gt;MAX($SZ$4:$SZ$40),"",INDEX($CL$4:$CL$40,MATCH(ROW()-3,$SZ$4:$SZ$40,0)))</f>
      </c>
      <c r="TB39" t="str">
        <f>IF(COUNTIF('Final Calculation Sheet'!$AL39:$BA39,0)+COUNTIF('Final Calculation Sheet'!$BC39:$BS39,0)&gt;0,0,1)</f>
      </c>
      <c r="TC39" t="str">
        <f>IF($CQ$39="",FALSE,SUMPRODUCT(('Final Calculation Sheet'!$Q$4:$Q$40=$CQ$39)*($TB$4:$TB$40=1))&gt;0)</f>
      </c>
      <c r="TD39" t="str">
        <f>=$TD38+--($TC39)</f>
      </c>
      <c r="TE39" t="str">
        <f>IF(ROW()-3&gt;MAX($TD$4:$TD$40),"",INDEX($CQ$4:$CQ$40,MATCH(ROW()-3,$TD$4:$TD$40,0)))</f>
      </c>
      <c r="TF39" t="str">
        <f>IF(COUNTIF('Final Calculation Sheet'!$AL39:$BB39,0)+COUNTIF('Final Calculation Sheet'!$BD39:$BS39,0)&gt;0,0,1)</f>
      </c>
      <c r="TG39" t="str">
        <f>IF($CV$39="",FALSE,SUMPRODUCT(('Final Calculation Sheet'!$R$4:$R$40=$CV$39)*($TF$4:$TF$40=1))&gt;0)</f>
      </c>
      <c r="TH39" t="str">
        <f>=$TH38+--($TG39)</f>
      </c>
      <c r="TI39" t="str">
        <f>IF(ROW()-3&gt;MAX($TH$4:$TH$40),"",INDEX($CV$4:$CV$40,MATCH(ROW()-3,$TH$4:$TH$40,0)))</f>
      </c>
      <c r="TJ39" t="str">
        <f>IF(COUNTIF('Final Calculation Sheet'!$AL39:$BC39,0)+COUNTIF('Final Calculation Sheet'!$BE39:$BS39,0)&gt;0,0,1)</f>
      </c>
      <c r="TK39" t="str">
        <f>IF($DA$39="",FALSE,SUMPRODUCT(('Final Calculation Sheet'!$S$4:$S$40=$DA$39)*($TJ$4:$TJ$40=1))&gt;0)</f>
      </c>
      <c r="TL39" t="str">
        <f>=$TL38+--($TK39)</f>
      </c>
      <c r="TM39" t="str">
        <f>IF(ROW()-3&gt;MAX($TL$4:$TL$40),"",INDEX($DA$4:$DA$40,MATCH(ROW()-3,$TL$4:$TL$40,0)))</f>
      </c>
      <c r="TN39" t="str">
        <f>IF(COUNTIF('Final Calculation Sheet'!$AL39:$BD39,0)+COUNTIF('Final Calculation Sheet'!$BF39:$BS39,0)&gt;0,0,1)</f>
      </c>
      <c r="TO39" t="str">
        <f>IF($DF$39="",FALSE,SUMPRODUCT(('Final Calculation Sheet'!$T$4:$T$40=$DF$39)*($TN$4:$TN$40=1))&gt;0)</f>
      </c>
      <c r="TP39" t="str">
        <f>=$TP38+--($TO39)</f>
      </c>
      <c r="TQ39" t="str">
        <f>IF(ROW()-3&gt;MAX($TP$4:$TP$40),"",INDEX($DF$4:$DF$40,MATCH(ROW()-3,$TP$4:$TP$40,0)))</f>
      </c>
      <c r="TR39" t="str">
        <f>IF(COUNTIF('Final Calculation Sheet'!$AL39:$BE39,0)+COUNTIF('Final Calculation Sheet'!$BG39:$BS39,0)&gt;0,0,1)</f>
      </c>
      <c r="TS39" t="str">
        <f>IF($DK$39="",FALSE,SUMPRODUCT(('Final Calculation Sheet'!$U$4:$U$40=$DK$39)*($TR$4:$TR$40=1))&gt;0)</f>
      </c>
      <c r="TT39" t="str">
        <f>=$TT38+--($TS39)</f>
      </c>
      <c r="TU39" t="str">
        <f>IF(ROW()-3&gt;MAX($TT$4:$TT$40),"",INDEX($DK$4:$DK$40,MATCH(ROW()-3,$TT$4:$TT$40,0)))</f>
      </c>
      <c r="TV39" t="str">
        <f>IF(COUNTIF('Final Calculation Sheet'!$AL39:$BF39,0)+COUNTIF('Final Calculation Sheet'!$BH39:$BS39,0)&gt;0,0,1)</f>
      </c>
      <c r="TW39" t="str">
        <f>IF($DP$39="",FALSE,SUMPRODUCT(('Final Calculation Sheet'!$V$4:$V$40=$DP$39)*($TV$4:$TV$40=1))&gt;0)</f>
      </c>
      <c r="TX39" t="str">
        <f>=$TX38+--($TW39)</f>
      </c>
      <c r="TY39" t="str">
        <f>IF(ROW()-3&gt;MAX($TX$4:$TX$40),"",INDEX($DP$4:$DP$40,MATCH(ROW()-3,$TX$4:$TX$40,0)))</f>
      </c>
      <c r="TZ39" t="str">
        <f>IF(COUNTIF('Final Calculation Sheet'!$AL39:$BG39,0)+COUNTIF('Final Calculation Sheet'!$BI39:$BS39,0)&gt;0,0,1)</f>
      </c>
      <c r="UA39" t="str">
        <f>IF($DU$39="",FALSE,SUMPRODUCT(('Final Calculation Sheet'!$W$4:$W$40=$DU$39)*($TZ$4:$TZ$40=1))&gt;0)</f>
      </c>
      <c r="UB39" t="str">
        <f>=$UB38+--($UA39)</f>
      </c>
      <c r="UC39" t="str">
        <f>IF(ROW()-3&gt;MAX($UB$4:$UB$40),"",INDEX($DU$4:$DU$40,MATCH(ROW()-3,$UB$4:$UB$40,0)))</f>
      </c>
      <c r="UD39" t="str">
        <f>IF(COUNTIF('Final Calculation Sheet'!$AL39:$BH39,0)+COUNTIF('Final Calculation Sheet'!$BJ39:$BS39,0)&gt;0,0,1)</f>
      </c>
      <c r="UE39" t="str">
        <f>IF($DZ$39="",FALSE,SUMPRODUCT(('Final Calculation Sheet'!$X$4:$X$40=$DZ$39)*($UD$4:$UD$40=1))&gt;0)</f>
      </c>
      <c r="UF39" t="str">
        <f>=$UF38+--($UE39)</f>
      </c>
      <c r="UG39" t="str">
        <f>IF(ROW()-3&gt;MAX($UF$4:$UF$40),"",INDEX($DZ$4:$DZ$40,MATCH(ROW()-3,$UF$4:$UF$40,0)))</f>
      </c>
      <c r="UH39" t="str">
        <f>IF(COUNTIF('Final Calculation Sheet'!$AL39:$BI39,0)+COUNTIF('Final Calculation Sheet'!$BK39:$BS39,0)&gt;0,0,1)</f>
      </c>
      <c r="UI39" t="str">
        <f>IF($EE$39="",FALSE,SUMPRODUCT(('Final Calculation Sheet'!$Y$4:$Y$40=$EE$39)*($UH$4:$UH$40=1))&gt;0)</f>
      </c>
      <c r="UJ39" t="str">
        <f>=$UJ38+--($UI39)</f>
      </c>
      <c r="UK39" t="str">
        <f>IF(ROW()-3&gt;MAX($UJ$4:$UJ$40),"",INDEX($EE$4:$EE$40,MATCH(ROW()-3,$UJ$4:$UJ$40,0)))</f>
      </c>
      <c r="UL39" t="str">
        <f>IF(COUNTIF('Final Calculation Sheet'!$AL39:$BJ39,0)+COUNTIF('Final Calculation Sheet'!$BL39:$BS39,0)&gt;0,0,1)</f>
      </c>
      <c r="UM39" t="str">
        <f>IF($EJ$39="",FALSE,SUMPRODUCT(('Final Calculation Sheet'!$Z$4:$Z$40=$EJ$39)*($UL$4:$UL$40=1))&gt;0)</f>
      </c>
      <c r="UN39" t="str">
        <f>=$UN38+--($UM39)</f>
      </c>
      <c r="UO39" t="str">
        <f>IF(ROW()-3&gt;MAX($UN$4:$UN$40),"",INDEX($EJ$4:$EJ$40,MATCH(ROW()-3,$UN$4:$UN$40,0)))</f>
      </c>
      <c r="UP39" t="str">
        <f>IF(COUNTIF('Final Calculation Sheet'!$AL39:$BK39,0)+COUNTIF('Final Calculation Sheet'!$BM39:$BS39,0)&gt;0,0,1)</f>
      </c>
      <c r="UQ39" t="str">
        <f>IF($EO$39="",FALSE,SUMPRODUCT(('Final Calculation Sheet'!$AA$4:$AA$40=$EO$39)*($UP$4:$UP$40=1))&gt;0)</f>
      </c>
      <c r="UR39" t="str">
        <f>=$UR38+--($UQ39)</f>
      </c>
      <c r="US39" t="str">
        <f>IF(ROW()-3&gt;MAX($UR$4:$UR$40),"",INDEX($EO$4:$EO$40,MATCH(ROW()-3,$UR$4:$UR$40,0)))</f>
      </c>
      <c r="UT39" t="str">
        <f>IF(COUNTIF('Final Calculation Sheet'!$AL39:$BL39,0)+COUNTIF('Final Calculation Sheet'!$BN39:$BS39,0)&gt;0,0,1)</f>
      </c>
      <c r="UU39" t="str">
        <f>IF($ET$39="",FALSE,SUMPRODUCT(('Final Calculation Sheet'!$AB$4:$AB$40=$ET$39)*($UT$4:$UT$40=1))&gt;0)</f>
      </c>
      <c r="UV39" t="str">
        <f>=$UV38+--($UU39)</f>
      </c>
      <c r="UW39" t="str">
        <f>IF(ROW()-3&gt;MAX($UV$4:$UV$40),"",INDEX($ET$4:$ET$40,MATCH(ROW()-3,$UV$4:$UV$40,0)))</f>
      </c>
      <c r="UX39" t="str">
        <f>IF(COUNTIF('Final Calculation Sheet'!$AL39:$BM39,0)+COUNTIF('Final Calculation Sheet'!$BO39:$BS39,0)&gt;0,0,1)</f>
      </c>
      <c r="UY39" t="str">
        <f>IF($EY$39="",FALSE,SUMPRODUCT(('Final Calculation Sheet'!$AC$4:$AC$40=$EY$39)*($UX$4:$UX$40=1))&gt;0)</f>
      </c>
      <c r="UZ39" t="str">
        <f>=$UZ38+--($UY39)</f>
      </c>
      <c r="VA39" t="str">
        <f>IF(ROW()-3&gt;MAX($UZ$4:$UZ$40),"",INDEX($EY$4:$EY$40,MATCH(ROW()-3,$UZ$4:$UZ$40,0)))</f>
      </c>
      <c r="VB39" t="str">
        <f>IF(COUNTIF('Final Calculation Sheet'!$AL39:$BN39,0)+COUNTIF('Final Calculation Sheet'!$BP39:$BS39,0)&gt;0,0,1)</f>
      </c>
      <c r="VC39" t="str">
        <f>IF($FD$39="",FALSE,SUMPRODUCT(('Final Calculation Sheet'!$AD$4:$AD$40=$FD$39)*($VB$4:$VB$40=1))&gt;0)</f>
      </c>
      <c r="VD39" t="str">
        <f>=$VD38+--($VC39)</f>
      </c>
      <c r="VE39" t="str">
        <f>IF(ROW()-3&gt;MAX($VD$4:$VD$40),"",INDEX($FD$4:$FD$40,MATCH(ROW()-3,$VD$4:$VD$40,0)))</f>
      </c>
      <c r="VF39" t="str">
        <f>IF(COUNTIF('Final Calculation Sheet'!$AL39:$BO39,0)+COUNTIF('Final Calculation Sheet'!$BQ39:$BS39,0)&gt;0,0,1)</f>
      </c>
      <c r="VG39" t="str">
        <f>IF($FI$39="",FALSE,SUMPRODUCT(('Final Calculation Sheet'!$AE$4:$AE$40=$FI$39)*($VF$4:$VF$40=1))&gt;0)</f>
      </c>
      <c r="VH39" t="str">
        <f>=$VH38+--($VG39)</f>
      </c>
      <c r="VI39" t="str">
        <f>IF(ROW()-3&gt;MAX($VH$4:$VH$40),"",INDEX($FI$4:$FI$40,MATCH(ROW()-3,$VH$4:$VH$40,0)))</f>
      </c>
      <c r="VJ39" t="str">
        <f>IF(COUNTIF('Final Calculation Sheet'!$AL39:$BP39,0)+COUNTIF('Final Calculation Sheet'!$BR39:$BS39,0)&gt;0,0,1)</f>
      </c>
      <c r="VK39" t="str">
        <f>IF($FN$39="",FALSE,SUMPRODUCT(('Final Calculation Sheet'!$AF$4:$AF$40=$FN$39)*($VJ$4:$VJ$40=1))&gt;0)</f>
      </c>
      <c r="VL39" t="str">
        <f>=$VL38+--($VK39)</f>
      </c>
      <c r="VM39" t="str">
        <f>IF(ROW()-3&gt;MAX($VL$4:$VL$40),"",INDEX($FN$4:$FN$40,MATCH(ROW()-3,$VL$4:$VL$40,0)))</f>
      </c>
      <c r="VN39" t="str">
        <f>IF(COUNTIF('Final Calculation Sheet'!$AL39:$BQ39,0)+COUNTIF('Final Calculation Sheet'!$BS39:$BS39,0)&gt;0,0,1)</f>
      </c>
      <c r="VO39" t="str">
        <f>IF($FS$39="",FALSE,SUMPRODUCT(('Final Calculation Sheet'!$AG$4:$AG$40=$FS$39)*($VN$4:$VN$40=1))&gt;0)</f>
      </c>
      <c r="VP39" t="str">
        <f>=$VP38+--($VO39)</f>
      </c>
      <c r="VQ39" t="str">
        <f>IF(ROW()-3&gt;MAX($VP$4:$VP$40),"",INDEX($FS$4:$FS$40,MATCH(ROW()-3,$VP$4:$VP$40,0)))</f>
      </c>
      <c r="VR39" t="str">
        <f>IF(COUNTIF('Final Calculation Sheet'!$AL39:$BR39,0)&gt;0,0,1)</f>
      </c>
      <c r="VS39" t="str">
        <f>IF($QO$39="",FALSE,SUMPRODUCT(('Final Calculation Sheet'!$AH$4:$AH$40=$QO$39)*($VR$4:$VR$40=1))&gt;0)</f>
      </c>
      <c r="VT39" t="str">
        <f>=$VT38+--($VS39)</f>
      </c>
      <c r="VU39" t="str">
        <f>IF(ROW()-3&gt;MAX($VT$4:$VT$40),"",INDEX($QO$4:$QO$40,MATCH(ROW()-3,$VT$4:$VT$40,0)))</f>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IF(COUNTIF('Live Search'!BM$39:BM$39,0)+COUNTIF('Live Search'!B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D40">
        <f>IF($O$40="",FALSE,SUMPRODUCT(('Final Calculation Sheet'!$F$4:$F$40=$O$40)*($GC$6:$GC$42=1))&gt;0)</f>
        <v/>
      </c>
      <c r="GE40">
        <f>$GE$39+--($GD40)</f>
        <v/>
      </c>
      <c r="GF40">
        <f>IF(ROW()-3&gt;MAX($GE$4:$GE$40),"",INDEX($O$4:$O$40,MATCH(ROW()-3,$GE$4:$GE$40,0)))</f>
        <v/>
      </c>
      <c r="GG40">
        <f>IF(COUNTIF('Live Search'!BM$39:BN$39,0)+COUNTIF('Live Search'!B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H40">
        <f>IF($T$40="",FALSE,SUMPRODUCT(('Final Calculation Sheet'!$G$4:$G$40=$T$40)*($GG$6:$GG$42=1))&gt;0)</f>
        <v/>
      </c>
      <c r="GI40">
        <f>$GI$39+--($GH40)</f>
        <v/>
      </c>
      <c r="GJ40">
        <f>IF(ROW()-3&gt;MAX($GI$4:$GI$40),"",INDEX($T$4:$T$40,MATCH(ROW()-3,$GI$4:$GI$40,0)))</f>
        <v/>
      </c>
      <c r="GK40">
        <f>IF(COUNTIF('Live Search'!BM$39:BP$39,0)+COUNTIF('Live Search'!B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L40">
        <f>IF($AD$40="",FALSE,SUMPRODUCT(('Final Calculation Sheet'!$D$4:$D$40=$AD$40)*($GK$6:$GK$42=1))&gt;0)</f>
        <v/>
      </c>
      <c r="GM40">
        <f>$GM$39+--($GL40)</f>
        <v/>
      </c>
      <c r="GN40">
        <f>IF(ROW()-3&gt;MAX($GM$4:$GM$40),"",INDEX($AD$4:$AD$40,MATCH(ROW()-3,$GM$4:$GM$40,0)))</f>
        <v/>
      </c>
      <c r="GO40">
        <f>IF(COUNTIF('Live Search'!BM$39:BQ$39,0)+COUNTIF('Live Search'!B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P40">
        <f>IF($AI$40="",FALSE,SUMPRODUCT(('Final Calculation Sheet'!$A$4:$A$40=$AI$40)*($GO$6:$GO$42=1))&gt;0)</f>
        <v/>
      </c>
      <c r="GQ40">
        <f>$GQ$39+--($GP40)</f>
        <v/>
      </c>
      <c r="GR40">
        <f>IF(ROW()-3&gt;MAX($GQ$4:$GQ$40),"",INDEX($AI$4:$AI$40,MATCH(ROW()-3,$GQ$4:$GQ$40,0)))</f>
        <v/>
      </c>
      <c r="GS40">
        <f>IF(COUNTIF('Live Search'!BM$39:BR$39,0)+COUNTIF('Live Search'!B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T40">
        <f>IF($AN$40="",FALSE,SUMPRODUCT(('Final Calculation Sheet'!$E$4:$E$40=$AN$40)*($GS$6:$GS$42=1))&gt;0)</f>
        <v/>
      </c>
      <c r="GU40">
        <f>$GU$39+--($GT40)</f>
        <v/>
      </c>
      <c r="GV40">
        <f>IF(ROW()-3&gt;MAX($GU$4:$GU$40),"",INDEX($AN$4:$AN$40,MATCH(ROW()-3,$GU$4:$GU$40,0)))</f>
        <v/>
      </c>
      <c r="GW40">
        <f>IF(COUNTIF('Live Search'!BM$39:BS$39,0)+COUNTIF('Live Search'!B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GX40">
        <f>IF($AS$40="",FALSE,SUMPRODUCT(('Final Calculation Sheet'!$C$4:$C$40=$AS$40)*($GW$6:$GW$42=1))&gt;0)</f>
        <v/>
      </c>
      <c r="GY40">
        <f>$GY$39+--($GX40)</f>
        <v/>
      </c>
      <c r="GZ40">
        <f>IF(ROW()-3&gt;MAX($GY$4:$GY$40),"",INDEX($AS$4:$AS$40,MATCH(ROW()-3,$GY$4:$GY$40,0)))</f>
        <v/>
      </c>
      <c r="HA40">
        <f>IF(COUNTIF('Live Search'!BM$39:BT$39,0)+COUNTIF('Live Search'!BV$39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B40">
        <f>IF($AX$40="",FALSE,SUMPRODUCT(('Final Calculation Sheet'!$H$4:$H$40=$AX$40)*($HA$6:$HA$42=1))&gt;0)</f>
        <v/>
      </c>
      <c r="HC40">
        <f>$HC$39+--($HB40)</f>
        <v/>
      </c>
      <c r="HD40">
        <f>IF(ROW()-3&gt;MAX($HC$4:$HC$40),"",INDEX($AX$4:$AX$40,MATCH(ROW()-3,$HC$4:$HC$40,0)))</f>
        <v/>
      </c>
      <c r="HE40">
        <f>IF(COUNTIF('Live Search'!BM$39:BU$39,0)+COUNTIF('Live Search'!BW$39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F40">
        <f>IF($BC$40="",FALSE,SUMPRODUCT(('Final Calculation Sheet'!$I$4:$I$40=$BC$40)*($HE$6:$HE$42=1))&gt;0)</f>
        <v/>
      </c>
      <c r="HG40">
        <f>$HG$39+--($HF40)</f>
        <v/>
      </c>
      <c r="HH40">
        <f>IF(ROW()-3&gt;MAX($HG$4:$HG$40),"",INDEX($BC$4:$BC$40,MATCH(ROW()-3,$HG$4:$HG$40,0)))</f>
        <v/>
      </c>
      <c r="HI40">
        <f>IF(COUNTIF('Live Search'!BM$39:BV$39,0)+COUNTIF('Live Search'!BX$39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J40">
        <f>IF($BH$40="",FALSE,SUMPRODUCT(('Final Calculation Sheet'!$J$4:$J$40=$BH$40)*($HI$6:$HI$42=1))&gt;0)</f>
        <v/>
      </c>
      <c r="HK40">
        <f>$HK$39+--($HJ40)</f>
        <v/>
      </c>
      <c r="HL40">
        <f>IF(ROW()-3&gt;MAX($HK$4:$HK$40),"",INDEX($BH$4:$BH$40,MATCH(ROW()-3,$HK$4:$HK$40,0)))</f>
        <v/>
      </c>
      <c r="HM40">
        <f>IF(COUNTIF('Live Search'!BM$39:BW$39,0)+COUNTIF('Live Search'!BY$39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N40">
        <f>IF($BM$40="",FALSE,SUMPRODUCT(('Final Calculation Sheet'!$K$4:$K$40=$BM$40)*($HM$6:$HM$42=1))&gt;0)</f>
        <v/>
      </c>
      <c r="HO40">
        <f>$HO$39+--($HN40)</f>
        <v/>
      </c>
      <c r="HP40">
        <f>IF(ROW()-3&gt;MAX($HO$4:$HO$40),"",INDEX($BM$4:$BM$40,MATCH(ROW()-3,$HO$4:$HO$40,0)))</f>
        <v/>
      </c>
      <c r="HQ40">
        <f>IF(COUNTIF('Live Search'!BM$39:BX$39,0)+COUNTIF('Live Search'!BZ$39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R40">
        <f>IF($BR$40="",FALSE,SUMPRODUCT(('Final Calculation Sheet'!$L$4:$L$40=$BR$40)*($HQ$6:$HQ$42=1))&gt;0)</f>
        <v/>
      </c>
      <c r="HS40">
        <f>$HS$39+--($HR40)</f>
        <v/>
      </c>
      <c r="HT40">
        <f>IF(ROW()-3&gt;MAX($HS$4:$HS$40),"",INDEX($BR$4:$BR$40,MATCH(ROW()-3,$HS$4:$HS$40,0)))</f>
        <v/>
      </c>
      <c r="HU40">
        <f>IF(COUNTIF('Live Search'!BM$39:BY$39,0)+COUNTIF('Live Search'!CA$39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V40">
        <f>IF($BW$40="",FALSE,SUMPRODUCT(('Final Calculation Sheet'!$M$4:$M$40=$BW$40)*($HU$6:$HU$42=1))&gt;0)</f>
        <v/>
      </c>
      <c r="HW40">
        <f>$HW$39+--($HV40)</f>
        <v/>
      </c>
      <c r="HX40">
        <f>IF(ROW()-3&gt;MAX($HW$4:$HW$40),"",INDEX($BW$4:$BW$40,MATCH(ROW()-3,$HW$4:$HW$40,0)))</f>
        <v/>
      </c>
      <c r="HY40">
        <f>IF(COUNTIF('Live Search'!BM$39:BZ$39,0)+COUNTIF('Live Search'!CB$39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HZ40">
        <f>IF($CB$40="",FALSE,SUMPRODUCT(('Final Calculation Sheet'!$N$4:$N$40=$CB$40)*($HY$6:$HY$42=1))&gt;0)</f>
        <v/>
      </c>
      <c r="IA40">
        <f>$IA$39+--($HZ40)</f>
        <v/>
      </c>
      <c r="IB40">
        <f>IF(ROW()-3&gt;MAX($IA$4:$IA$40),"",INDEX($CB$4:$CB$40,MATCH(ROW()-3,$IA$4:$IA$40,0)))</f>
        <v/>
      </c>
      <c r="IC40">
        <f>IF(COUNTIF('Live Search'!BM$39:CA$39,0)+COUNTIF('Live Search'!CC$39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D40">
        <f>IF($CG$40="",FALSE,SUMPRODUCT(('Final Calculation Sheet'!$O$4:$O$40=$CG$40)*($IC$6:$IC$42=1))&gt;0)</f>
        <v/>
      </c>
      <c r="IE40">
        <f>$IE$39+--($ID40)</f>
        <v/>
      </c>
      <c r="IF40">
        <f>IF(ROW()-3&gt;MAX($IE$4:$IE$40),"",INDEX($CG$4:$CG$40,MATCH(ROW()-3,$IE$4:$IE$40,0)))</f>
        <v/>
      </c>
      <c r="IG40">
        <f>IF(COUNTIF('Live Search'!BM$39:CB$39,0)+COUNTIF('Live Search'!CD$39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H40">
        <f>IF($CL$40="",FALSE,SUMPRODUCT(('Final Calculation Sheet'!$P$4:$P$40=$CL$40)*($IG$6:$IG$42=1))&gt;0)</f>
        <v/>
      </c>
      <c r="II40">
        <f>$II$39+--($IH40)</f>
        <v/>
      </c>
      <c r="IJ40">
        <f>IF(ROW()-3&gt;MAX($II$4:$II$40),"",INDEX($CL$4:$CL$40,MATCH(ROW()-3,$II$4:$II$40,0)))</f>
        <v/>
      </c>
      <c r="IK40">
        <f>IF(COUNTIF('Live Search'!BM$39:CC$39,0)+COUNTIF('Live Search'!CE$39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L40">
        <f>IF($CQ$40="",FALSE,SUMPRODUCT(('Final Calculation Sheet'!$Q$4:$Q$40=$CQ$40)*($IK$6:$IK$42=1))&gt;0)</f>
        <v/>
      </c>
      <c r="IM40">
        <f>$IM$39+--($IL40)</f>
        <v/>
      </c>
      <c r="IN40">
        <f>IF(ROW()-3&gt;MAX($IM$4:$IM$40),"",INDEX($CQ$4:$CQ$40,MATCH(ROW()-3,$IM$4:$IM$40,0)))</f>
        <v/>
      </c>
      <c r="IO40">
        <f>IF(COUNTIF('Live Search'!BM$39:CD$39,0)+COUNTIF('Live Search'!CF$39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P40">
        <f>IF($CV$40="",FALSE,SUMPRODUCT(('Final Calculation Sheet'!$R$4:$R$40=$CV$40)*($IO$6:$IO$42=1))&gt;0)</f>
        <v/>
      </c>
      <c r="IQ40">
        <f>$IQ$39+--($IP40)</f>
        <v/>
      </c>
      <c r="IR40">
        <f>IF(ROW()-3&gt;MAX($IQ$4:$IQ$40),"",INDEX($CV$4:$CV$40,MATCH(ROW()-3,$IQ$4:$IQ$40,0)))</f>
        <v/>
      </c>
      <c r="IS40">
        <f>IF(COUNTIF('Live Search'!BM$39:CE$39,0)+COUNTIF('Live Search'!CG$39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T40">
        <f>IF($DA$40="",FALSE,SUMPRODUCT(('Final Calculation Sheet'!$S$4:$S$40=$DA$40)*($IS$6:$IS$42=1))&gt;0)</f>
        <v/>
      </c>
      <c r="IU40">
        <f>$IU$39+--($IT40)</f>
        <v/>
      </c>
      <c r="IV40">
        <f>IF(ROW()-3&gt;MAX($IU$4:$IU$40),"",INDEX($DA$4:$DA$40,MATCH(ROW()-3,$IU$4:$IU$40,0)))</f>
        <v/>
      </c>
      <c r="IW40">
        <f>IF(COUNTIF('Live Search'!BM$39:CF$39,0)+COUNTIF('Live Search'!CH$39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IX40">
        <f>IF($DF$40="",FALSE,SUMPRODUCT(('Final Calculation Sheet'!$T$4:$T$40=$DF$40)*($IW$6:$IW$42=1))&gt;0)</f>
        <v/>
      </c>
      <c r="IY40">
        <f>$IY$39+--($IX40)</f>
        <v/>
      </c>
      <c r="IZ40">
        <f>IF(ROW()-3&gt;MAX($IY$4:$IY$40),"",INDEX($DF$4:$DF$40,MATCH(ROW()-3,$IY$4:$IY$40,0)))</f>
        <v/>
      </c>
      <c r="JA40">
        <f>IF(COUNTIF('Live Search'!BM$39:CG$39,0)+COUNTIF('Live Search'!CI$39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B40">
        <f>IF($DK$40="",FALSE,SUMPRODUCT(('Final Calculation Sheet'!$U$4:$U$40=$DK$40)*($JA$6:$JA$42=1))&gt;0)</f>
        <v/>
      </c>
      <c r="JC40">
        <f>$JC$39+--($JB40)</f>
        <v/>
      </c>
      <c r="JD40">
        <f>IF(ROW()-3&gt;MAX($JC$4:$JC$40),"",INDEX($DK$4:$DK$40,MATCH(ROW()-3,$JC$4:$JC$40,0)))</f>
        <v/>
      </c>
      <c r="JE40">
        <f>IF(COUNTIF('Live Search'!BM$39:CH$39,0)+COUNTIF('Live Search'!CJ$39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F40">
        <f>IF($DP$40="",FALSE,SUMPRODUCT(('Final Calculation Sheet'!$V$4:$V$40=$DP$40)*($JE$6:$JE$42=1))&gt;0)</f>
        <v/>
      </c>
      <c r="JG40">
        <f>$JG$39+--($JF40)</f>
        <v/>
      </c>
      <c r="JH40">
        <f>IF(ROW()-3&gt;MAX($JG$4:$JG$40),"",INDEX($DP$4:$DP$40,MATCH(ROW()-3,$JG$4:$JG$40,0)))</f>
        <v/>
      </c>
      <c r="JI40">
        <f>IF(COUNTIF('Live Search'!BM$39:CI$39,0)+COUNTIF('Live Search'!CK$39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J40">
        <f>IF($DU$40="",FALSE,SUMPRODUCT(('Final Calculation Sheet'!$W$4:$W$40=$DU$40)*($JI$6:$JI$42=1))&gt;0)</f>
        <v/>
      </c>
      <c r="JK40">
        <f>$JK$39+--($JJ40)</f>
        <v/>
      </c>
      <c r="JL40">
        <f>IF(ROW()-3&gt;MAX($JK$4:$JK$40),"",INDEX($DU$4:$DU$40,MATCH(ROW()-3,$JK$4:$JK$40,0)))</f>
        <v/>
      </c>
      <c r="JM40">
        <f>IF(COUNTIF('Live Search'!BM$39:CJ$39,0)+COUNTIF('Live Search'!CL$39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N40">
        <f>IF($DZ$40="",FALSE,SUMPRODUCT(('Final Calculation Sheet'!$X$4:$X$40=$DZ$40)*($JM$6:$JM$42=1))&gt;0)</f>
        <v/>
      </c>
      <c r="JO40">
        <f>$JO$39+--($JN40)</f>
        <v/>
      </c>
      <c r="JP40">
        <f>IF(ROW()-3&gt;MAX($JO$4:$JO$40),"",INDEX($DZ$4:$DZ$40,MATCH(ROW()-3,$JO$4:$JO$40,0)))</f>
        <v/>
      </c>
      <c r="JQ40">
        <f>IF(COUNTIF('Live Search'!BM$39:CK$39,0)+COUNTIF('Live Search'!C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R40">
        <f>IF($EE$40="",FALSE,SUMPRODUCT(('Final Calculation Sheet'!$Y$4:$Y$40=$EE$40)*($JQ$6:$JQ$42=1))&gt;0)</f>
        <v/>
      </c>
      <c r="JS40">
        <f>$JS$39+--($JR40)</f>
        <v/>
      </c>
      <c r="JT40">
        <f>IF(ROW()-3&gt;MAX($JS$4:$JS$40),"",INDEX($EE$4:$EE$40,MATCH(ROW()-3,$JS$4:$JS$40,0)))</f>
        <v/>
      </c>
      <c r="JU40">
        <f>IF(COUNTIF('Live Search'!BM$39:CL$39,0)+COUNTIF('Live Search'!CN$39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V40">
        <f>IF($EJ$40="",FALSE,SUMPRODUCT(('Final Calculation Sheet'!$Z$4:$Z$40=$EJ$40)*($JU$6:$JU$42=1))&gt;0)</f>
        <v/>
      </c>
      <c r="JW40">
        <f>$JW$39+--($JV40)</f>
        <v/>
      </c>
      <c r="JX40">
        <f>IF(ROW()-3&gt;MAX($JW$4:$JW$40),"",INDEX($EJ$4:$EJ$40,MATCH(ROW()-3,$JW$4:$JW$40,0)))</f>
        <v/>
      </c>
      <c r="JY40">
        <f>IF(COUNTIF('Live Search'!BM$39:CM$39,0)+COUNTIF('Live Search'!CO$39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JZ40">
        <f>IF($EO$40="",FALSE,SUMPRODUCT(('Final Calculation Sheet'!$AA$4:$AA$40=$EO$40)*($JY$6:$JY$42=1))&gt;0)</f>
        <v/>
      </c>
      <c r="KA40">
        <f>$KA$39+--($JZ40)</f>
        <v/>
      </c>
      <c r="KB40">
        <f>IF(ROW()-3&gt;MAX($KA$4:$KA$40),"",INDEX($EO$4:$EO$40,MATCH(ROW()-3,$KA$4:$KA$40,0)))</f>
        <v/>
      </c>
      <c r="KC40">
        <f>IF(COUNTIF('Live Search'!BM$39:CN$39,0)+COUNTIF('Live Search'!CP$39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D40">
        <f>IF($ET$40="",FALSE,SUMPRODUCT(('Final Calculation Sheet'!$AB$4:$AB$40=$ET$40)*($KC$6:$KC$42=1))&gt;0)</f>
        <v/>
      </c>
      <c r="KE40">
        <f>$KE$39+--($KD40)</f>
        <v/>
      </c>
      <c r="KF40">
        <f>IF(ROW()-3&gt;MAX($KE$4:$KE$40),"",INDEX($ET$4:$ET$40,MATCH(ROW()-3,$KE$4:$KE$40,0)))</f>
        <v/>
      </c>
      <c r="KG40">
        <f>IF(COUNTIF('Live Search'!BM$39:CO$39,0)+COUNTIF('Live Search'!CQ$39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H40">
        <f>IF($EY$40="",FALSE,SUMPRODUCT(('Final Calculation Sheet'!$AC$4:$AC$40=$EY$40)*($KG$6:$KG$42=1))&gt;0)</f>
        <v/>
      </c>
      <c r="KI40">
        <f>$KI$39+--($KH40)</f>
        <v/>
      </c>
      <c r="KJ40">
        <f>IF(ROW()-3&gt;MAX($KI$4:$KI$40),"",INDEX($EY$4:$EY$40,MATCH(ROW()-3,$KI$4:$KI$40,0)))</f>
        <v/>
      </c>
      <c r="KK40">
        <f>IF(COUNTIF('Live Search'!BM$39:CP$39,0)+COUNTIF('Live Search'!CR$39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L40">
        <f>IF($FD$40="",FALSE,SUMPRODUCT(('Final Calculation Sheet'!$AD$4:$AD$40=$FD$40)*($KK$6:$KK$42=1))&gt;0)</f>
        <v/>
      </c>
      <c r="KM40">
        <f>$KM$39+--($KL40)</f>
        <v/>
      </c>
      <c r="KN40">
        <f>IF(ROW()-3&gt;MAX($KM$4:$KM$40),"",INDEX($FD$4:$FD$40,MATCH(ROW()-3,$KM$4:$KM$40,0)))</f>
        <v/>
      </c>
      <c r="KO40">
        <f>IF(COUNTIF('Live Search'!BM$39:CT$39,0)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P40">
        <f>IF($FX$40="",FALSE,SUMPRODUCT((IF('Final Calculation Sheet'!$AD$4:$AD$40&lt;=5,"SETTLED","OUTSTANDING")=$FX$40)*($KO$6:$KO$42=1))&gt;0)</f>
        <v/>
      </c>
      <c r="KQ40">
        <f>$KQ$39+--($KP40)</f>
        <v/>
      </c>
      <c r="KR40">
        <f>IF(ROW()-3&gt;MAX($KQ$4:$KQ$40),"",INDEX($FX$4:$FX$40,MATCH(ROW()-3,$KQ$4:$KQ$40,0)))</f>
        <v/>
      </c>
      <c r="KS40">
        <f>IF(COUNTIF('Live Search'!BM$39:CQ$39,0)+COUNTIF('Live Search'!CS$39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T40">
        <f>IF($FI$40="",FALSE,SUMPRODUCT(('Final Calculation Sheet'!$AF$4:$AF$40=$FI$40)*($KS$6:$KS$42=1))&gt;0)</f>
        <v/>
      </c>
      <c r="KU40">
        <f>$KU$39+--($KT40)</f>
        <v/>
      </c>
      <c r="KV40">
        <f>IF(ROW()-3&gt;MAX($KU$4:$KU$40),"",INDEX($FI$4:$FI$40,MATCH(ROW()-3,$KU$4:$KU$40,0)))</f>
        <v/>
      </c>
      <c r="KW40">
        <f>IF(COUNTIF('Live Search'!BM$39:CR$39,0)+COUNTIF('Live Search'!CT$39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KX40">
        <f>IF($FN$40="",FALSE,SUMPRODUCT(('Final Calculation Sheet'!$AG$4:$AG$40=$FN$40)*($KW$6:$KW$42=1))&gt;0)</f>
        <v/>
      </c>
      <c r="KY40">
        <f>$KY$39+--($KX40)</f>
        <v/>
      </c>
      <c r="KZ40">
        <f>IF(ROW()-3&gt;MAX($KY$4:$KY$40),"",INDEX($FN$4:$FN$40,MATCH(ROW()-3,$KY$4:$KY$40,0)))</f>
        <v/>
      </c>
      <c r="LA40">
        <f>IF(COUNTIF('Live Search'!BM$39:CS$39,0)+COUNTIF('Live Search'!CU$39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LB40">
        <f>IF($FS$40="",FALSE,SUMPRODUCT(('Final Calculation Sheet'!$AH$4:$AH$40=$FS$40)*($LA$6:$LA$42=1))&gt;0)</f>
        <v/>
      </c>
      <c r="LC40">
        <f>$LC$39+--($LB40)</f>
        <v/>
      </c>
      <c r="LD40">
        <f>IF(ROW()-3&gt;MAX($LC$4:$LC$40),"",INDEX($FS$4:$FS$40,MATCH(ROW()-3,$LC$4:$LC$40,0)))</f>
        <v/>
      </c>
      <c r="LE40">
        <f>IF(COUNTIF('Buyer Groups'!DH93:EN93,0)&gt;0,0,1)</f>
        <v/>
      </c>
      <c r="LF40">
        <f>IF($O$40="",FALSE,SUMPRODUCT(('Final Calculation Sheet'!$F$4:$F$40=$O$40)*($LE$6:$LE$42=1))&gt;0)</f>
        <v/>
      </c>
      <c r="LG40">
        <f>$LG$39+--($LF40)</f>
        <v/>
      </c>
      <c r="LH40">
        <f>IF(ROW()-3&gt;MAX($LG$4:$LG$40),"",INDEX($O$4:$O$40,MATCH(ROW()-3,$LG$4:$LG$40,0)))</f>
        <v/>
      </c>
      <c r="LI40">
        <f>IF(COUNTIF('Buyer Groups'!DG93:DG93,0)+COUNTIF('Buyer Groups'!DI93:EN93,0)&gt;0,0,1)</f>
        <v/>
      </c>
      <c r="LJ40">
        <f>IF($T$40="",FALSE,SUMPRODUCT(('Final Calculation Sheet'!$G$4:$G$40=$T$40)*($LI$6:$LI$42=1))&gt;0)</f>
        <v/>
      </c>
      <c r="LK40">
        <f>$LK$39+--($LJ40)</f>
        <v/>
      </c>
      <c r="LL40">
        <f>IF(ROW()-3&gt;MAX($LK$4:$LK$40),"",INDEX($T$4:$T$40,MATCH(ROW()-3,$LK$4:$LK$40,0)))</f>
        <v/>
      </c>
      <c r="LM40">
        <f>IF(COUNTIF('Buyer Groups'!DG93:DH93,0)+COUNTIF('Buyer Groups'!DJ93:EN93,0)&gt;0,0,1)</f>
        <v/>
      </c>
      <c r="LN40">
        <f>IF($Y$40="",FALSE,SUMPRODUCT(('Final Calculation Sheet'!$B$4:$B$40=$Y$40)*($LM$6:$LM$42=1))&gt;0)</f>
        <v/>
      </c>
      <c r="LO40">
        <f>$LO$39+--($LN40)</f>
        <v/>
      </c>
      <c r="LP40">
        <f>IF(ROW()-3&gt;MAX($LO$4:$LO$40),"",INDEX($Y$4:$Y$40,MATCH(ROW()-3,$LO$4:$LO$40,0)))</f>
        <v/>
      </c>
      <c r="LQ40">
        <f>IF(COUNTIF('Buyer Groups'!DG93:DI93,0)+COUNTIF('Buyer Groups'!DK93:EN93,0)&gt;0,0,1)</f>
        <v/>
      </c>
      <c r="LR40">
        <f>IF($AD$40="",FALSE,SUMPRODUCT(('Final Calculation Sheet'!$D$4:$D$40=$AD$40)*($LQ$6:$LQ$42=1))&gt;0)</f>
        <v/>
      </c>
      <c r="LS40">
        <f>$LS$39+--($LR40)</f>
        <v/>
      </c>
      <c r="LT40">
        <f>IF(ROW()-3&gt;MAX($LS$4:$LS$40),"",INDEX($AD$4:$AD$40,MATCH(ROW()-3,$LS$4:$LS$40,0)))</f>
        <v/>
      </c>
      <c r="LU40">
        <f>IF(COUNTIF('Buyer Groups'!DG93:DJ93,0)+COUNTIF('Buyer Groups'!DL93:EN93,0)&gt;0,0,1)</f>
        <v/>
      </c>
      <c r="LV40">
        <f>IF($AI$40="",FALSE,SUMPRODUCT(('Final Calculation Sheet'!$A$4:$A$40=$AI$40)*($LU$6:$LU$42=1))&gt;0)</f>
        <v/>
      </c>
      <c r="LW40">
        <f>$LW$39+--($LV40)</f>
        <v/>
      </c>
      <c r="LX40">
        <f>IF(ROW()-3&gt;MAX($LW$4:$LW$40),"",INDEX($AI$4:$AI$40,MATCH(ROW()-3,$LW$4:$LW$40,0)))</f>
        <v/>
      </c>
      <c r="LY40">
        <f>IF(COUNTIF('Buyer Groups'!DG93:DK93,0)+COUNTIF('Buyer Groups'!DM93:EN93,0)&gt;0,0,1)</f>
        <v/>
      </c>
      <c r="LZ40">
        <f>IF($AN$40="",FALSE,SUMPRODUCT(('Final Calculation Sheet'!$E$4:$E$40=$AN$40)*($LY$6:$LY$42=1))&gt;0)</f>
        <v/>
      </c>
      <c r="MA40">
        <f>$MA$39+--($LZ40)</f>
        <v/>
      </c>
      <c r="MB40">
        <f>IF(ROW()-3&gt;MAX($MA$4:$MA$40),"",INDEX($AN$4:$AN$40,MATCH(ROW()-3,$MA$4:$MA$40,0)))</f>
        <v/>
      </c>
      <c r="MC40">
        <f>IF(COUNTIF('Buyer Groups'!DG93:DL93,0)+COUNTIF('Buyer Groups'!DN93:EN93,0)&gt;0,0,1)</f>
        <v/>
      </c>
      <c r="MD40">
        <f>IF($AS$40="",FALSE,SUMPRODUCT(('Final Calculation Sheet'!$C$4:$C$40=$AS$40)*($MC$6:$MC$42=1))&gt;0)</f>
        <v/>
      </c>
      <c r="ME40">
        <f>$ME$39+--($MD40)</f>
        <v/>
      </c>
      <c r="MF40">
        <f>IF(ROW()-3&gt;MAX($ME$4:$ME$40),"",INDEX($AS$4:$AS$40,MATCH(ROW()-3,$ME$4:$ME$40,0)))</f>
        <v/>
      </c>
      <c r="MG40">
        <f>IF(COUNTIF('Buyer Groups'!DG93:DM93,0)+COUNTIF('Buyer Groups'!DO93:EN93,0)&gt;0,0,1)</f>
        <v/>
      </c>
      <c r="MH40">
        <f>IF($AX$40="",FALSE,SUMPRODUCT(('Final Calculation Sheet'!$H$4:$H$40=$AX$40)*($MG$6:$MG$42=1))&gt;0)</f>
        <v/>
      </c>
      <c r="MI40">
        <f>$MI$39+--($MH40)</f>
        <v/>
      </c>
      <c r="MJ40">
        <f>IF(ROW()-3&gt;MAX($MI$4:$MI$40),"",INDEX($AX$4:$AX$40,MATCH(ROW()-3,$MI$4:$MI$40,0)))</f>
        <v/>
      </c>
      <c r="MK40">
        <f>IF(COUNTIF('Buyer Groups'!DG93:DN93,0)+COUNTIF('Buyer Groups'!DP93:EN93,0)&gt;0,0,1)</f>
        <v/>
      </c>
      <c r="ML40">
        <f>IF($BC$40="",FALSE,SUMPRODUCT(('Final Calculation Sheet'!$I$4:$I$40=$BC$40)*($MK$6:$MK$42=1))&gt;0)</f>
        <v/>
      </c>
      <c r="MM40">
        <f>$MM$39+--($ML40)</f>
        <v/>
      </c>
      <c r="MN40">
        <f>IF(ROW()-3&gt;MAX($MM$4:$MM$40),"",INDEX($BC$4:$BC$40,MATCH(ROW()-3,$MM$4:$MM$40,0)))</f>
        <v/>
      </c>
      <c r="MO40">
        <f>IF(COUNTIF('Buyer Groups'!DG93:DO93,0)+COUNTIF('Buyer Groups'!DQ93:EN93,0)&gt;0,0,1)</f>
        <v/>
      </c>
      <c r="MP40">
        <f>IF($BH$40="",FALSE,SUMPRODUCT(('Final Calculation Sheet'!$J$4:$J$40=$BH$40)*($MO$6:$MO$42=1))&gt;0)</f>
        <v/>
      </c>
      <c r="MQ40">
        <f>$MQ$39+--($MP40)</f>
        <v/>
      </c>
      <c r="MR40">
        <f>IF(ROW()-3&gt;MAX($MQ$4:$MQ$40),"",INDEX($BH$4:$BH$40,MATCH(ROW()-3,$MQ$4:$MQ$40,0)))</f>
        <v/>
      </c>
      <c r="MS40">
        <f>IF(COUNTIF('Buyer Groups'!DG93:DP93,0)+COUNTIF('Buyer Groups'!DR93:EN93,0)&gt;0,0,1)</f>
        <v/>
      </c>
      <c r="MT40">
        <f>IF($BM$40="",FALSE,SUMPRODUCT(('Final Calculation Sheet'!$K$4:$K$40=$BM$40)*($MS$6:$MS$42=1))&gt;0)</f>
        <v/>
      </c>
      <c r="MU40">
        <f>$MU$39+--($MT40)</f>
        <v/>
      </c>
      <c r="MV40">
        <f>IF(ROW()-3&gt;MAX($MU$4:$MU$40),"",INDEX($BM$4:$BM$40,MATCH(ROW()-3,$MU$4:$MU$40,0)))</f>
        <v/>
      </c>
      <c r="MW40">
        <f>IF(COUNTIF('Buyer Groups'!DG93:DQ93,0)+COUNTIF('Buyer Groups'!DS93:EN93,0)&gt;0,0,1)</f>
        <v/>
      </c>
      <c r="MX40">
        <f>IF($BR$40="",FALSE,SUMPRODUCT(('Final Calculation Sheet'!$L$4:$L$40=$BR$40)*($MW$6:$MW$42=1))&gt;0)</f>
        <v/>
      </c>
      <c r="MY40">
        <f>$MY$39+--($MX40)</f>
        <v/>
      </c>
      <c r="MZ40">
        <f>IF(ROW()-3&gt;MAX($MY$4:$MY$40),"",INDEX($BR$4:$BR$40,MATCH(ROW()-3,$MY$4:$MY$40,0)))</f>
        <v/>
      </c>
      <c r="NA40">
        <f>IF(COUNTIF('Buyer Groups'!DG93:DR93,0)+COUNTIF('Buyer Groups'!DT93:EN93,0)&gt;0,0,1)</f>
        <v/>
      </c>
      <c r="NB40">
        <f>IF($BW$40="",FALSE,SUMPRODUCT(('Final Calculation Sheet'!$M$4:$M$40=$BW$40)*($NA$6:$NA$42=1))&gt;0)</f>
        <v/>
      </c>
      <c r="NC40">
        <f>$NC$39+--($NB40)</f>
        <v/>
      </c>
      <c r="ND40">
        <f>IF(ROW()-3&gt;MAX($NC$4:$NC$40),"",INDEX($BW$4:$BW$40,MATCH(ROW()-3,$NC$4:$NC$40,0)))</f>
        <v/>
      </c>
      <c r="NE40">
        <f>IF(COUNTIF('Buyer Groups'!DG93:DS93,0)+COUNTIF('Buyer Groups'!DU93:EN93,0)&gt;0,0,1)</f>
        <v/>
      </c>
      <c r="NF40">
        <f>IF($CB$40="",FALSE,SUMPRODUCT(('Final Calculation Sheet'!$N$4:$N$40=$CB$40)*($NE$6:$NE$42=1))&gt;0)</f>
        <v/>
      </c>
      <c r="NG40">
        <f>$NG$39+--($NF40)</f>
        <v/>
      </c>
      <c r="NH40">
        <f>IF(ROW()-3&gt;MAX($NG$4:$NG$40),"",INDEX($CB$4:$CB$40,MATCH(ROW()-3,$NG$4:$NG$40,0)))</f>
        <v/>
      </c>
      <c r="NI40">
        <f>IF(COUNTIF('Buyer Groups'!DG93:DT93,0)+COUNTIF('Buyer Groups'!DV93:EN93,0)&gt;0,0,1)</f>
        <v/>
      </c>
      <c r="NJ40">
        <f>IF($CG$40="",FALSE,SUMPRODUCT(('Final Calculation Sheet'!$O$4:$O$40=$CG$40)*($NI$6:$NI$42=1))&gt;0)</f>
        <v/>
      </c>
      <c r="NK40">
        <f>$NK$39+--($NJ40)</f>
        <v/>
      </c>
      <c r="NL40">
        <f>IF(ROW()-3&gt;MAX($NK$4:$NK$40),"",INDEX($CG$4:$CG$40,MATCH(ROW()-3,$NK$4:$NK$40,0)))</f>
        <v/>
      </c>
      <c r="NM40">
        <f>IF(COUNTIF('Buyer Groups'!DG93:DU93,0)+COUNTIF('Buyer Groups'!DW93:EN93,0)&gt;0,0,1)</f>
        <v/>
      </c>
      <c r="NN40">
        <f>IF($CL$40="",FALSE,SUMPRODUCT(('Final Calculation Sheet'!$P$4:$P$40=$CL$40)*($NM$6:$NM$42=1))&gt;0)</f>
        <v/>
      </c>
      <c r="NO40">
        <f>$NO$39+--($NN40)</f>
        <v/>
      </c>
      <c r="NP40">
        <f>IF(ROW()-3&gt;MAX($NO$4:$NO$40),"",INDEX($CL$4:$CL$40,MATCH(ROW()-3,$NO$4:$NO$40,0)))</f>
        <v/>
      </c>
      <c r="NQ40">
        <f>IF(COUNTIF('Buyer Groups'!DG93:DV93,0)+COUNTIF('Buyer Groups'!DX93:EN93,0)&gt;0,0,1)</f>
        <v/>
      </c>
      <c r="NR40">
        <f>IF($CQ$40="",FALSE,SUMPRODUCT(('Final Calculation Sheet'!$Q$4:$Q$40=$CQ$40)*($NQ$6:$NQ$42=1))&gt;0)</f>
        <v/>
      </c>
      <c r="NS40">
        <f>$NS$39+--($NR40)</f>
        <v/>
      </c>
      <c r="NT40">
        <f>IF(ROW()-3&gt;MAX($NS$4:$NS$40),"",INDEX($CQ$4:$CQ$40,MATCH(ROW()-3,$NS$4:$NS$40,0)))</f>
        <v/>
      </c>
      <c r="NU40">
        <f>IF(COUNTIF('Buyer Groups'!DG93:DW93,0)+COUNTIF('Buyer Groups'!DY93:EN93,0)&gt;0,0,1)</f>
        <v/>
      </c>
      <c r="NV40">
        <f>IF($CV$40="",FALSE,SUMPRODUCT(('Final Calculation Sheet'!$R$4:$R$40=$CV$40)*($NU$6:$NU$42=1))&gt;0)</f>
        <v/>
      </c>
      <c r="NW40">
        <f>$NW$39+--($NV40)</f>
        <v/>
      </c>
      <c r="NX40">
        <f>IF(ROW()-3&gt;MAX($NW$4:$NW$40),"",INDEX($CV$4:$CV$40,MATCH(ROW()-3,$NW$4:$NW$40,0)))</f>
        <v/>
      </c>
      <c r="NY40">
        <f>IF(COUNTIF('Buyer Groups'!DG93:DX93,0)+COUNTIF('Buyer Groups'!DZ93:EN93,0)&gt;0,0,1)</f>
        <v/>
      </c>
      <c r="NZ40">
        <f>IF($DA$40="",FALSE,SUMPRODUCT(('Final Calculation Sheet'!$S$4:$S$40=$DA$40)*($NY$6:$NY$42=1))&gt;0)</f>
        <v/>
      </c>
      <c r="OA40">
        <f>$OA$39+--($NZ40)</f>
        <v/>
      </c>
      <c r="OB40">
        <f>IF(ROW()-3&gt;MAX($OA$4:$OA$40),"",INDEX($DA$4:$DA$40,MATCH(ROW()-3,$OA$4:$OA$40,0)))</f>
        <v/>
      </c>
      <c r="OC40">
        <f>IF(COUNTIF('Buyer Groups'!DG93:DY93,0)+COUNTIF('Buyer Groups'!EA93:EN93,0)&gt;0,0,1)</f>
        <v/>
      </c>
      <c r="OD40">
        <f>IF($DF$40="",FALSE,SUMPRODUCT(('Final Calculation Sheet'!$T$4:$T$40=$DF$40)*($OC$6:$OC$42=1))&gt;0)</f>
        <v/>
      </c>
      <c r="OE40">
        <f>$OE$39+--($OD40)</f>
        <v/>
      </c>
      <c r="OF40">
        <f>IF(ROW()-3&gt;MAX($OE$4:$OE$40),"",INDEX($DF$4:$DF$40,MATCH(ROW()-3,$OE$4:$OE$40,0)))</f>
        <v/>
      </c>
      <c r="OG40">
        <f>IF(COUNTIF('Buyer Groups'!DG93:DZ93,0)+COUNTIF('Buyer Groups'!EB93:EN93,0)&gt;0,0,1)</f>
        <v/>
      </c>
      <c r="OH40">
        <f>IF($DK$40="",FALSE,SUMPRODUCT(('Final Calculation Sheet'!$U$4:$U$40=$DK$40)*($OG$6:$OG$42=1))&gt;0)</f>
        <v/>
      </c>
      <c r="OI40">
        <f>$OI$39+--($OH40)</f>
        <v/>
      </c>
      <c r="OJ40">
        <f>IF(ROW()-3&gt;MAX($OI$4:$OI$40),"",INDEX($DK$4:$DK$40,MATCH(ROW()-3,$OI$4:$OI$40,0)))</f>
        <v/>
      </c>
      <c r="OK40">
        <f>IF(COUNTIF('Buyer Groups'!DG93:EA93,0)+COUNTIF('Buyer Groups'!EC93:EN93,0)&gt;0,0,1)</f>
        <v/>
      </c>
      <c r="OL40">
        <f>IF($DP$40="",FALSE,SUMPRODUCT(('Final Calculation Sheet'!$V$4:$V$40=$DP$40)*($OK$6:$OK$42=1))&gt;0)</f>
        <v/>
      </c>
      <c r="OM40">
        <f>$OM$39+--($OL40)</f>
        <v/>
      </c>
      <c r="ON40">
        <f>IF(ROW()-3&gt;MAX($OM$4:$OM$40),"",INDEX($DP$4:$DP$40,MATCH(ROW()-3,$OM$4:$OM$40,0)))</f>
        <v/>
      </c>
      <c r="OO40">
        <f>IF(COUNTIF('Buyer Groups'!DG93:EB93,0)+COUNTIF('Buyer Groups'!ED93:EN93,0)&gt;0,0,1)</f>
        <v/>
      </c>
      <c r="OP40">
        <f>IF($DU$40="",FALSE,SUMPRODUCT(('Final Calculation Sheet'!$W$4:$W$40=$DU$40)*($OO$6:$OO$42=1))&gt;0)</f>
        <v/>
      </c>
      <c r="OQ40">
        <f>$OQ$39+--($OP40)</f>
        <v/>
      </c>
      <c r="OR40">
        <f>IF(ROW()-3&gt;MAX($OQ$4:$OQ$40),"",INDEX($DU$4:$DU$40,MATCH(ROW()-3,$OQ$4:$OQ$40,0)))</f>
        <v/>
      </c>
      <c r="OS40">
        <f>IF(COUNTIF('Buyer Groups'!DG93:EC93,0)+COUNTIF('Buyer Groups'!EE93:EN93,0)&gt;0,0,1)</f>
        <v/>
      </c>
      <c r="OT40">
        <f>IF($DZ$40="",FALSE,SUMPRODUCT(('Final Calculation Sheet'!$X$4:$X$40=$DZ$40)*($OS$6:$OS$42=1))&gt;0)</f>
        <v/>
      </c>
      <c r="OU40">
        <f>$OU$39+--($OT40)</f>
        <v/>
      </c>
      <c r="OV40">
        <f>IF(ROW()-3&gt;MAX($OU$4:$OU$40),"",INDEX($DZ$4:$DZ$40,MATCH(ROW()-3,$OU$4:$OU$40,0)))</f>
        <v/>
      </c>
      <c r="OW40">
        <f>IF(COUNTIF('Buyer Groups'!DG93:ED93,0)+COUNTIF('Buyer Groups'!EF93:EN93,0)&gt;0,0,1)</f>
        <v/>
      </c>
      <c r="OX40">
        <f>IF($EE$40="",FALSE,SUMPRODUCT(('Final Calculation Sheet'!$Y$4:$Y$40=$EE$40)*($OW$6:$OW$42=1))&gt;0)</f>
        <v/>
      </c>
      <c r="OY40">
        <f>$OY$39+--($OX40)</f>
        <v/>
      </c>
      <c r="OZ40">
        <f>IF(ROW()-3&gt;MAX($OY$4:$OY$40),"",INDEX($EE$4:$EE$40,MATCH(ROW()-3,$OY$4:$OY$40,0)))</f>
        <v/>
      </c>
      <c r="PA40">
        <f>IF(COUNTIF('Buyer Groups'!DG93:EE93,0)+COUNTIF('Buyer Groups'!EG93:EN93,0)&gt;0,0,1)</f>
        <v/>
      </c>
      <c r="PB40">
        <f>IF($EJ$40="",FALSE,SUMPRODUCT(('Final Calculation Sheet'!$Z$4:$Z$40=$EJ$40)*($PA$6:$PA$42=1))&gt;0)</f>
        <v/>
      </c>
      <c r="PC40">
        <f>$PC$39+--($PB40)</f>
        <v/>
      </c>
      <c r="PD40">
        <f>IF(ROW()-3&gt;MAX($PC$4:$PC$40),"",INDEX($EJ$4:$EJ$40,MATCH(ROW()-3,$PC$4:$PC$40,0)))</f>
        <v/>
      </c>
      <c r="PE40">
        <f>IF(COUNTIF('Buyer Groups'!DG93:EF93,0)+COUNTIF('Buyer Groups'!EH93:EN93,0)&gt;0,0,1)</f>
        <v/>
      </c>
      <c r="PF40">
        <f>IF($EO$40="",FALSE,SUMPRODUCT(('Final Calculation Sheet'!$AA$4:$AA$40=$EO$40)*($PE$6:$PE$42=1))&gt;0)</f>
        <v/>
      </c>
      <c r="PG40">
        <f>$PG$39+--($PF40)</f>
        <v/>
      </c>
      <c r="PH40">
        <f>IF(ROW()-3&gt;MAX($PG$4:$PG$40),"",INDEX($EO$4:$EO$40,MATCH(ROW()-3,$PG$4:$PG$40,0)))</f>
        <v/>
      </c>
      <c r="PI40">
        <f>IF(COUNTIF('Buyer Groups'!DG93:EG93,0)+COUNTIF('Buyer Groups'!EI93:EN93,0)&gt;0,0,1)</f>
        <v/>
      </c>
      <c r="PJ40">
        <f>IF($ET$40="",FALSE,SUMPRODUCT(('Final Calculation Sheet'!$AB$4:$AB$40=$ET$40)*($PI$6:$PI$42=1))&gt;0)</f>
        <v/>
      </c>
      <c r="PK40">
        <f>$PK$39+--($PJ40)</f>
        <v/>
      </c>
      <c r="PL40">
        <f>IF(ROW()-3&gt;MAX($PK$4:$PK$40),"",INDEX($ET$4:$ET$40,MATCH(ROW()-3,$PK$4:$PK$40,0)))</f>
        <v/>
      </c>
      <c r="PM40">
        <f>IF(COUNTIF('Buyer Groups'!DG93:EH93,0)+COUNTIF('Buyer Groups'!EJ93:EN93,0)&gt;0,0,1)</f>
        <v/>
      </c>
      <c r="PN40">
        <f>IF($EY$40="",FALSE,SUMPRODUCT(('Final Calculation Sheet'!$AC$4:$AC$40=$EY$40)*($PM$6:$PM$42=1))&gt;0)</f>
        <v/>
      </c>
      <c r="PO40">
        <f>$PO$39+--($PN40)</f>
        <v/>
      </c>
      <c r="PP40">
        <f>IF(ROW()-3&gt;MAX($PO$4:$PO$40),"",INDEX($EY$4:$EY$40,MATCH(ROW()-3,$PO$4:$PO$40,0)))</f>
        <v/>
      </c>
      <c r="PQ40">
        <f>IF(COUNTIF('Buyer Groups'!DG93:EI93,0)+COUNTIF('Buyer Groups'!EK93:EN93,0)&gt;0,0,1)</f>
        <v/>
      </c>
      <c r="PR40">
        <f>IF($FD$40="",FALSE,SUMPRODUCT(('Final Calculation Sheet'!$AD$4:$AD$40=$FD$40)*($PQ$6:$PQ$42=1))&gt;0)</f>
        <v/>
      </c>
      <c r="PS40">
        <f>$PS$39+--($PR40)</f>
        <v/>
      </c>
      <c r="PT40">
        <f>IF(ROW()-3&gt;MAX($PS$4:$PS$40),"",INDEX($FD$4:$FD$40,MATCH(ROW()-3,$PS$4:$PS$40,0)))</f>
        <v/>
      </c>
      <c r="PU40">
        <f>IF(COUNTIF('Buyer Groups'!DG93:EJ93,0)+COUNTIF('Buyer Groups'!EL93:EN93,0)&gt;0,0,1)</f>
        <v/>
      </c>
      <c r="PV40">
        <f>IF($FX$40="",FALSE,SUMPRODUCT((IF('Final Calculation Sheet'!$AD$4:$AD$40&lt;=5,"SETTLED","OUTSTANDING")=$FX$40)*($PU$6:$PU$42=1))&gt;0)</f>
        <v/>
      </c>
      <c r="PW40">
        <f>$PW$39+--($PV40)</f>
        <v/>
      </c>
      <c r="PX40">
        <f>IF(ROW()-3&gt;MAX($PW$4:$PW$40),"",INDEX($FX$4:$FX$40,MATCH(ROW()-3,$PW$4:$PW$40,0)))</f>
        <v/>
      </c>
      <c r="PY40">
        <f>IF(COUNTIF('Buyer Groups'!DG93:EK93,0)+COUNTIF('Buyer Groups'!EM93:EN93,0)&gt;0,0,1)</f>
        <v/>
      </c>
      <c r="PZ40">
        <f>IF($FI$40="",FALSE,SUMPRODUCT(('Final Calculation Sheet'!$AF$4:$AF$40=$FI$40)*($PY$6:$PY$42=1))&gt;0)</f>
        <v/>
      </c>
      <c r="QA40">
        <f>$QA$39+--($PZ40)</f>
        <v/>
      </c>
      <c r="QB40">
        <f>IF(ROW()-3&gt;MAX($QA$4:$QA$40),"",INDEX($FI$4:$FI$40,MATCH(ROW()-3,$QA$4:$QA$40,0)))</f>
        <v/>
      </c>
      <c r="QC40">
        <f>IF(COUNTIF('Buyer Groups'!DG93:EL93,0)+COUNTIF('Buyer Groups'!EN93:EN93,0)&gt;0,0,1)</f>
        <v/>
      </c>
      <c r="QD40">
        <f>IF($FN$40="",FALSE,SUMPRODUCT(('Final Calculation Sheet'!$AG$4:$AG$40=$FN$40)*($QC$6:$QC$42=1))&gt;0)</f>
        <v/>
      </c>
      <c r="QE40">
        <f>$QE$39+--($QD40)</f>
        <v/>
      </c>
      <c r="QF40">
        <f>IF(ROW()-3&gt;MAX($QE$4:$QE$40),"",INDEX($FN$4:$FN$40,MATCH(ROW()-3,$QE$4:$QE$40,0)))</f>
        <v/>
      </c>
      <c r="QG40">
        <f>IF(COUNTIF('Buyer Groups'!DG93:EM93,0)&gt;0,0,1)</f>
        <v/>
      </c>
      <c r="QH40">
        <f>IF($FS$40="",FALSE,SUMPRODUCT(('Final Calculation Sheet'!$AH$4:$AH$40=$FS$40)*($QG$6:$QG$42=1))&gt;0)</f>
        <v/>
      </c>
      <c r="QI40">
        <f>$QI$39+--($QH40)</f>
        <v/>
      </c>
      <c r="QJ40">
        <f>IF(ROW()-3&gt;MAX($QI$4:$QI$40),"",INDEX($FS$4:$FS$40,MATCH(ROW()-3,$QI$4:$QI$40,0)))</f>
        <v/>
      </c>
      <c r="QK40" t="str">
        <f>IF('Final Calculation Sheet'!$AH$40="","",'Final Calculation Sheet'!$AH$40)</f>
      </c>
      <c r="QL40" t="str">
        <f>IF(QK40="","",COUNTIFS(QK$4:QK$40,"&lt;"&amp;QK40,QK$4:QK$40,"&lt;&gt;"&amp;"")+COUNTIF(QK$4:QK40,QK40))</f>
      </c>
      <c r="QM40" t="str">
        <f>IF(ROW()-3&gt;COUNTIF(QK$4:QK$40,"&lt;&gt;"&amp;""),"",INDEX(QK$4:QK$40,MATCH(ROW()-3,QL$4:QL$40,0)))</f>
      </c>
      <c r="QN40" t="str">
        <f>=QN39+F(AND(QM40&lt;&gt;"",COUNTIF(QM$4:QM40,QM40)=1),1,0)</f>
      </c>
      <c r="QO40" t="str">
        <f>IF(ROW()-3&gt;MAX(QN$4:QN$40),"",INDEX(QM$4:QM$40,MATCH(ROW()-3,QN$4:QN$40,0)))</f>
      </c>
      <c r="QP40" t="str">
        <f>IF(COUNTIF('Final Calculation Sheet'!$AM40:$BS40,0)&gt;0,0,1)</f>
      </c>
      <c r="QQ40" t="str">
        <f>IF($AI$40="",FALSE,SUMPRODUCT(('Final Calculation Sheet'!$A$4:$A$40=$AI$40)*($QP$4:$QP$40=1))&gt;0)</f>
      </c>
      <c r="QR40" t="str">
        <f>=$QR39+--($QQ40)</f>
      </c>
      <c r="QS40" t="str">
        <f>IF(ROW()-3&gt;MAX($QR$4:$QR$40),"",INDEX($AI$4:$AI$40,MATCH(ROW()-3,$QR$4:$QR$40,0)))</f>
      </c>
      <c r="QT40" t="str">
        <f>IF(COUNTIF('Final Calculation Sheet'!$AL40:$AL40,0)+COUNTIF('Final Calculation Sheet'!$AN40:$BS40,0)&gt;0,0,1)</f>
      </c>
      <c r="QU40" t="str">
        <f>IF($Y$40="",FALSE,SUMPRODUCT(('Final Calculation Sheet'!$B$4:$B$40=$Y$40)*($QT$4:$QT$40=1))&gt;0)</f>
      </c>
      <c r="QV40" t="str">
        <f>=$QV39+--($QU40)</f>
      </c>
      <c r="QW40" t="str">
        <f>IF(ROW()-3&gt;MAX($QV$4:$QV$40),"",INDEX($Y$4:$Y$40,MATCH(ROW()-3,$QV$4:$QV$40,0)))</f>
      </c>
      <c r="QX40" t="str">
        <f>IF(COUNTIF('Final Calculation Sheet'!$AL40:$AM40,0)+COUNTIF('Final Calculation Sheet'!$AO40:$BS40,0)&gt;0,0,1)</f>
      </c>
      <c r="QY40" t="str">
        <f>IF($AS$40="",FALSE,SUMPRODUCT(('Final Calculation Sheet'!$C$4:$C$40=$AS$40)*($QX$4:$QX$40=1))&gt;0)</f>
      </c>
      <c r="QZ40" t="str">
        <f>=$QZ39+--($QY40)</f>
      </c>
      <c r="RA40" t="str">
        <f>IF(ROW()-3&gt;MAX($QZ$4:$QZ$40),"",INDEX($AS$4:$AS$40,MATCH(ROW()-3,$QZ$4:$QZ$40,0)))</f>
      </c>
      <c r="RB40" t="str">
        <f>IF(COUNTIF('Final Calculation Sheet'!$AL40:$AN40,0)+COUNTIF('Final Calculation Sheet'!$AP40:$BS40,0)&gt;0,0,1)</f>
      </c>
      <c r="RC40" t="str">
        <f>IF($AD$40="",FALSE,SUMPRODUCT(('Final Calculation Sheet'!$D$4:$D$40=$AD$40)*($RB$4:$RB$40=1))&gt;0)</f>
      </c>
      <c r="RD40" t="str">
        <f>=$RD39+--($RC40)</f>
      </c>
      <c r="RE40" t="str">
        <f>IF(ROW()-3&gt;MAX($RD$4:$RD$40),"",INDEX($AD$4:$AD$40,MATCH(ROW()-3,$RD$4:$RD$40,0)))</f>
      </c>
      <c r="RF40" t="str">
        <f>IF(COUNTIF('Final Calculation Sheet'!$AL40:$AO40,0)+COUNTIF('Final Calculation Sheet'!$AQ40:$BS40,0)&gt;0,0,1)</f>
      </c>
      <c r="RG40" t="str">
        <f>IF($AN$40="",FALSE,SUMPRODUCT(('Final Calculation Sheet'!$E$4:$E$40=$AN$40)*($RF$4:$RF$40=1))&gt;0)</f>
      </c>
      <c r="RH40" t="str">
        <f>=$RH39+--($RG40)</f>
      </c>
      <c r="RI40" t="str">
        <f>IF(ROW()-3&gt;MAX($RH$4:$RH$40),"",INDEX($AN$4:$AN$40,MATCH(ROW()-3,$RH$4:$RH$40,0)))</f>
      </c>
      <c r="RJ40" t="str">
        <f>IF(COUNTIF('Final Calculation Sheet'!$AL40:$AP40,0)+COUNTIF('Final Calculation Sheet'!$AR40:$BS40,0)&gt;0,0,1)</f>
      </c>
      <c r="RK40" t="str">
        <f>IF($O$40="",FALSE,SUMPRODUCT(('Final Calculation Sheet'!$F$4:$F$40=$O$40)*($RJ$4:$RJ$40=1))&gt;0)</f>
      </c>
      <c r="RL40" t="str">
        <f>=$RL39+--($RK40)</f>
      </c>
      <c r="RM40" t="str">
        <f>IF(ROW()-3&gt;MAX($RL$4:$RL$40),"",INDEX($O$4:$O$40,MATCH(ROW()-3,$RL$4:$RL$40,0)))</f>
      </c>
      <c r="RN40" t="str">
        <f>IF(COUNTIF('Final Calculation Sheet'!$AL40:$AQ40,0)+COUNTIF('Final Calculation Sheet'!$AS40:$BS40,0)&gt;0,0,1)</f>
      </c>
      <c r="RO40" t="str">
        <f>IF($T$40="",FALSE,SUMPRODUCT(('Final Calculation Sheet'!$G$4:$G$40=$T$40)*($RN$4:$RN$40=1))&gt;0)</f>
      </c>
      <c r="RP40" t="str">
        <f>=$RP39+--($RO40)</f>
      </c>
      <c r="RQ40" t="str">
        <f>IF(ROW()-3&gt;MAX($RP$4:$RP$40),"",INDEX($T$4:$T$40,MATCH(ROW()-3,$RP$4:$RP$40,0)))</f>
      </c>
      <c r="RR40" t="str">
        <f>IF(COUNTIF('Final Calculation Sheet'!$AL40:$AR40,0)+COUNTIF('Final Calculation Sheet'!$AT40:$BS40,0)&gt;0,0,1)</f>
      </c>
      <c r="RS40" t="str">
        <f>IF($AX$40="",FALSE,SUMPRODUCT(('Final Calculation Sheet'!$H$4:$H$40=$AX$40)*($RR$4:$RR$40=1))&gt;0)</f>
      </c>
      <c r="RT40" t="str">
        <f>=$RT39+--($RS40)</f>
      </c>
      <c r="RU40" t="str">
        <f>IF(ROW()-3&gt;MAX($RT$4:$RT$40),"",INDEX($AX$4:$AX$40,MATCH(ROW()-3,$RT$4:$RT$40,0)))</f>
      </c>
      <c r="RV40" t="str">
        <f>IF(COUNTIF('Final Calculation Sheet'!$AL40:$AS40,0)+COUNTIF('Final Calculation Sheet'!$AU40:$BS40,0)&gt;0,0,1)</f>
      </c>
      <c r="RW40" t="str">
        <f>IF($BC$40="",FALSE,SUMPRODUCT(('Final Calculation Sheet'!$I$4:$I$40=$BC$40)*($RV$4:$RV$40=1))&gt;0)</f>
      </c>
      <c r="RX40" t="str">
        <f>=$RX39+--($RW40)</f>
      </c>
      <c r="RY40" t="str">
        <f>IF(ROW()-3&gt;MAX($RX$4:$RX$40),"",INDEX($BC$4:$BC$40,MATCH(ROW()-3,$RX$4:$RX$40,0)))</f>
      </c>
      <c r="RZ40" t="str">
        <f>IF(COUNTIF('Final Calculation Sheet'!$AL40:$AT40,0)+COUNTIF('Final Calculation Sheet'!$AV40:$BS40,0)&gt;0,0,1)</f>
      </c>
      <c r="SA40" t="str">
        <f>IF($BH$40="",FALSE,SUMPRODUCT(('Final Calculation Sheet'!$J$4:$J$40=$BH$40)*($RZ$4:$RZ$40=1))&gt;0)</f>
      </c>
      <c r="SB40" t="str">
        <f>=$SB39+--($SA40)</f>
      </c>
      <c r="SC40" t="str">
        <f>IF(ROW()-3&gt;MAX($SB$4:$SB$40),"",INDEX($BH$4:$BH$40,MATCH(ROW()-3,$SB$4:$SB$40,0)))</f>
      </c>
      <c r="SD40" t="str">
        <f>IF(COUNTIF('Final Calculation Sheet'!$AL40:$AU40,0)+COUNTIF('Final Calculation Sheet'!$AW40:$BS40,0)&gt;0,0,1)</f>
      </c>
      <c r="SE40" t="str">
        <f>IF($BM$40="",FALSE,SUMPRODUCT(('Final Calculation Sheet'!$K$4:$K$40=$BM$40)*($SD$4:$SD$40=1))&gt;0)</f>
      </c>
      <c r="SF40" t="str">
        <f>=$SF39+--($SE40)</f>
      </c>
      <c r="SG40" t="str">
        <f>IF(ROW()-3&gt;MAX($SF$4:$SF$40),"",INDEX($BM$4:$BM$40,MATCH(ROW()-3,$SF$4:$SF$40,0)))</f>
      </c>
      <c r="SH40" t="str">
        <f>IF(COUNTIF('Final Calculation Sheet'!$AL40:$AV40,0)+COUNTIF('Final Calculation Sheet'!$AX40:$BS40,0)&gt;0,0,1)</f>
      </c>
      <c r="SI40" t="str">
        <f>IF($BR$40="",FALSE,SUMPRODUCT(('Final Calculation Sheet'!$L$4:$L$40=$BR$40)*($SH$4:$SH$40=1))&gt;0)</f>
      </c>
      <c r="SJ40" t="str">
        <f>=$SJ39+--($SI40)</f>
      </c>
      <c r="SK40" t="str">
        <f>IF(ROW()-3&gt;MAX($SJ$4:$SJ$40),"",INDEX($BR$4:$BR$40,MATCH(ROW()-3,$SJ$4:$SJ$40,0)))</f>
      </c>
      <c r="SL40" t="str">
        <f>IF(COUNTIF('Final Calculation Sheet'!$AL40:$AW40,0)+COUNTIF('Final Calculation Sheet'!$AY40:$BS40,0)&gt;0,0,1)</f>
      </c>
      <c r="SM40" t="str">
        <f>IF($BW$40="",FALSE,SUMPRODUCT(('Final Calculation Sheet'!$M$4:$M$40=$BW$40)*($SL$4:$SL$40=1))&gt;0)</f>
      </c>
      <c r="SN40" t="str">
        <f>=$SN39+--($SM40)</f>
      </c>
      <c r="SO40" t="str">
        <f>IF(ROW()-3&gt;MAX($SN$4:$SN$40),"",INDEX($BW$4:$BW$40,MATCH(ROW()-3,$SN$4:$SN$40,0)))</f>
      </c>
      <c r="SP40" t="str">
        <f>IF(COUNTIF('Final Calculation Sheet'!$AL40:$AX40,0)+COUNTIF('Final Calculation Sheet'!$AZ40:$BS40,0)&gt;0,0,1)</f>
      </c>
      <c r="SQ40" t="str">
        <f>IF($CB$40="",FALSE,SUMPRODUCT(('Final Calculation Sheet'!$N$4:$N$40=$CB$40)*($SP$4:$SP$40=1))&gt;0)</f>
      </c>
      <c r="SR40" t="str">
        <f>=$SR39+--($SQ40)</f>
      </c>
      <c r="SS40" t="str">
        <f>IF(ROW()-3&gt;MAX($SR$4:$SR$40),"",INDEX($CB$4:$CB$40,MATCH(ROW()-3,$SR$4:$SR$40,0)))</f>
      </c>
      <c r="ST40" t="str">
        <f>IF(COUNTIF('Final Calculation Sheet'!$AL40:$AY40,0)+COUNTIF('Final Calculation Sheet'!$BA40:$BS40,0)&gt;0,0,1)</f>
      </c>
      <c r="SU40" t="str">
        <f>IF($CG$40="",FALSE,SUMPRODUCT(('Final Calculation Sheet'!$O$4:$O$40=$CG$40)*($ST$4:$ST$40=1))&gt;0)</f>
      </c>
      <c r="SV40" t="str">
        <f>=$SV39+--($SU40)</f>
      </c>
      <c r="SW40" t="str">
        <f>IF(ROW()-3&gt;MAX($SV$4:$SV$40),"",INDEX($CG$4:$CG$40,MATCH(ROW()-3,$SV$4:$SV$40,0)))</f>
      </c>
      <c r="SX40" t="str">
        <f>IF(COUNTIF('Final Calculation Sheet'!$AL40:$AZ40,0)+COUNTIF('Final Calculation Sheet'!$BB40:$BS40,0)&gt;0,0,1)</f>
      </c>
      <c r="SY40" t="str">
        <f>IF($CL$40="",FALSE,SUMPRODUCT(('Final Calculation Sheet'!$P$4:$P$40=$CL$40)*($SX$4:$SX$40=1))&gt;0)</f>
      </c>
      <c r="SZ40" t="str">
        <f>=$SZ39+--($SY40)</f>
      </c>
      <c r="TA40" t="str">
        <f>IF(ROW()-3&gt;MAX($SZ$4:$SZ$40),"",INDEX($CL$4:$CL$40,MATCH(ROW()-3,$SZ$4:$SZ$40,0)))</f>
      </c>
      <c r="TB40" t="str">
        <f>IF(COUNTIF('Final Calculation Sheet'!$AL40:$BA40,0)+COUNTIF('Final Calculation Sheet'!$BC40:$BS40,0)&gt;0,0,1)</f>
      </c>
      <c r="TC40" t="str">
        <f>IF($CQ$40="",FALSE,SUMPRODUCT(('Final Calculation Sheet'!$Q$4:$Q$40=$CQ$40)*($TB$4:$TB$40=1))&gt;0)</f>
      </c>
      <c r="TD40" t="str">
        <f>=$TD39+--($TC40)</f>
      </c>
      <c r="TE40" t="str">
        <f>IF(ROW()-3&gt;MAX($TD$4:$TD$40),"",INDEX($CQ$4:$CQ$40,MATCH(ROW()-3,$TD$4:$TD$40,0)))</f>
      </c>
      <c r="TF40" t="str">
        <f>IF(COUNTIF('Final Calculation Sheet'!$AL40:$BB40,0)+COUNTIF('Final Calculation Sheet'!$BD40:$BS40,0)&gt;0,0,1)</f>
      </c>
      <c r="TG40" t="str">
        <f>IF($CV$40="",FALSE,SUMPRODUCT(('Final Calculation Sheet'!$R$4:$R$40=$CV$40)*($TF$4:$TF$40=1))&gt;0)</f>
      </c>
      <c r="TH40" t="str">
        <f>=$TH39+--($TG40)</f>
      </c>
      <c r="TI40" t="str">
        <f>IF(ROW()-3&gt;MAX($TH$4:$TH$40),"",INDEX($CV$4:$CV$40,MATCH(ROW()-3,$TH$4:$TH$40,0)))</f>
      </c>
      <c r="TJ40" t="str">
        <f>IF(COUNTIF('Final Calculation Sheet'!$AL40:$BC40,0)+COUNTIF('Final Calculation Sheet'!$BE40:$BS40,0)&gt;0,0,1)</f>
      </c>
      <c r="TK40" t="str">
        <f>IF($DA$40="",FALSE,SUMPRODUCT(('Final Calculation Sheet'!$S$4:$S$40=$DA$40)*($TJ$4:$TJ$40=1))&gt;0)</f>
      </c>
      <c r="TL40" t="str">
        <f>=$TL39+--($TK40)</f>
      </c>
      <c r="TM40" t="str">
        <f>IF(ROW()-3&gt;MAX($TL$4:$TL$40),"",INDEX($DA$4:$DA$40,MATCH(ROW()-3,$TL$4:$TL$40,0)))</f>
      </c>
      <c r="TN40" t="str">
        <f>IF(COUNTIF('Final Calculation Sheet'!$AL40:$BD40,0)+COUNTIF('Final Calculation Sheet'!$BF40:$BS40,0)&gt;0,0,1)</f>
      </c>
      <c r="TO40" t="str">
        <f>IF($DF$40="",FALSE,SUMPRODUCT(('Final Calculation Sheet'!$T$4:$T$40=$DF$40)*($TN$4:$TN$40=1))&gt;0)</f>
      </c>
      <c r="TP40" t="str">
        <f>=$TP39+--($TO40)</f>
      </c>
      <c r="TQ40" t="str">
        <f>IF(ROW()-3&gt;MAX($TP$4:$TP$40),"",INDEX($DF$4:$DF$40,MATCH(ROW()-3,$TP$4:$TP$40,0)))</f>
      </c>
      <c r="TR40" t="str">
        <f>IF(COUNTIF('Final Calculation Sheet'!$AL40:$BE40,0)+COUNTIF('Final Calculation Sheet'!$BG40:$BS40,0)&gt;0,0,1)</f>
      </c>
      <c r="TS40" t="str">
        <f>IF($DK$40="",FALSE,SUMPRODUCT(('Final Calculation Sheet'!$U$4:$U$40=$DK$40)*($TR$4:$TR$40=1))&gt;0)</f>
      </c>
      <c r="TT40" t="str">
        <f>=$TT39+--($TS40)</f>
      </c>
      <c r="TU40" t="str">
        <f>IF(ROW()-3&gt;MAX($TT$4:$TT$40),"",INDEX($DK$4:$DK$40,MATCH(ROW()-3,$TT$4:$TT$40,0)))</f>
      </c>
      <c r="TV40" t="str">
        <f>IF(COUNTIF('Final Calculation Sheet'!$AL40:$BF40,0)+COUNTIF('Final Calculation Sheet'!$BH40:$BS40,0)&gt;0,0,1)</f>
      </c>
      <c r="TW40" t="str">
        <f>IF($DP$40="",FALSE,SUMPRODUCT(('Final Calculation Sheet'!$V$4:$V$40=$DP$40)*($TV$4:$TV$40=1))&gt;0)</f>
      </c>
      <c r="TX40" t="str">
        <f>=$TX39+--($TW40)</f>
      </c>
      <c r="TY40" t="str">
        <f>IF(ROW()-3&gt;MAX($TX$4:$TX$40),"",INDEX($DP$4:$DP$40,MATCH(ROW()-3,$TX$4:$TX$40,0)))</f>
      </c>
      <c r="TZ40" t="str">
        <f>IF(COUNTIF('Final Calculation Sheet'!$AL40:$BG40,0)+COUNTIF('Final Calculation Sheet'!$BI40:$BS40,0)&gt;0,0,1)</f>
      </c>
      <c r="UA40" t="str">
        <f>IF($DU$40="",FALSE,SUMPRODUCT(('Final Calculation Sheet'!$W$4:$W$40=$DU$40)*($TZ$4:$TZ$40=1))&gt;0)</f>
      </c>
      <c r="UB40" t="str">
        <f>=$UB39+--($UA40)</f>
      </c>
      <c r="UC40" t="str">
        <f>IF(ROW()-3&gt;MAX($UB$4:$UB$40),"",INDEX($DU$4:$DU$40,MATCH(ROW()-3,$UB$4:$UB$40,0)))</f>
      </c>
      <c r="UD40" t="str">
        <f>IF(COUNTIF('Final Calculation Sheet'!$AL40:$BH40,0)+COUNTIF('Final Calculation Sheet'!$BJ40:$BS40,0)&gt;0,0,1)</f>
      </c>
      <c r="UE40" t="str">
        <f>IF($DZ$40="",FALSE,SUMPRODUCT(('Final Calculation Sheet'!$X$4:$X$40=$DZ$40)*($UD$4:$UD$40=1))&gt;0)</f>
      </c>
      <c r="UF40" t="str">
        <f>=$UF39+--($UE40)</f>
      </c>
      <c r="UG40" t="str">
        <f>IF(ROW()-3&gt;MAX($UF$4:$UF$40),"",INDEX($DZ$4:$DZ$40,MATCH(ROW()-3,$UF$4:$UF$40,0)))</f>
      </c>
      <c r="UH40" t="str">
        <f>IF(COUNTIF('Final Calculation Sheet'!$AL40:$BI40,0)+COUNTIF('Final Calculation Sheet'!$BK40:$BS40,0)&gt;0,0,1)</f>
      </c>
      <c r="UI40" t="str">
        <f>IF($EE$40="",FALSE,SUMPRODUCT(('Final Calculation Sheet'!$Y$4:$Y$40=$EE$40)*($UH$4:$UH$40=1))&gt;0)</f>
      </c>
      <c r="UJ40" t="str">
        <f>=$UJ39+--($UI40)</f>
      </c>
      <c r="UK40" t="str">
        <f>IF(ROW()-3&gt;MAX($UJ$4:$UJ$40),"",INDEX($EE$4:$EE$40,MATCH(ROW()-3,$UJ$4:$UJ$40,0)))</f>
      </c>
      <c r="UL40" t="str">
        <f>IF(COUNTIF('Final Calculation Sheet'!$AL40:$BJ40,0)+COUNTIF('Final Calculation Sheet'!$BL40:$BS40,0)&gt;0,0,1)</f>
      </c>
      <c r="UM40" t="str">
        <f>IF($EJ$40="",FALSE,SUMPRODUCT(('Final Calculation Sheet'!$Z$4:$Z$40=$EJ$40)*($UL$4:$UL$40=1))&gt;0)</f>
      </c>
      <c r="UN40" t="str">
        <f>=$UN39+--($UM40)</f>
      </c>
      <c r="UO40" t="str">
        <f>IF(ROW()-3&gt;MAX($UN$4:$UN$40),"",INDEX($EJ$4:$EJ$40,MATCH(ROW()-3,$UN$4:$UN$40,0)))</f>
      </c>
      <c r="UP40" t="str">
        <f>IF(COUNTIF('Final Calculation Sheet'!$AL40:$BK40,0)+COUNTIF('Final Calculation Sheet'!$BM40:$BS40,0)&gt;0,0,1)</f>
      </c>
      <c r="UQ40" t="str">
        <f>IF($EO$40="",FALSE,SUMPRODUCT(('Final Calculation Sheet'!$AA$4:$AA$40=$EO$40)*($UP$4:$UP$40=1))&gt;0)</f>
      </c>
      <c r="UR40" t="str">
        <f>=$UR39+--($UQ40)</f>
      </c>
      <c r="US40" t="str">
        <f>IF(ROW()-3&gt;MAX($UR$4:$UR$40),"",INDEX($EO$4:$EO$40,MATCH(ROW()-3,$UR$4:$UR$40,0)))</f>
      </c>
      <c r="UT40" t="str">
        <f>IF(COUNTIF('Final Calculation Sheet'!$AL40:$BL40,0)+COUNTIF('Final Calculation Sheet'!$BN40:$BS40,0)&gt;0,0,1)</f>
      </c>
      <c r="UU40" t="str">
        <f>IF($ET$40="",FALSE,SUMPRODUCT(('Final Calculation Sheet'!$AB$4:$AB$40=$ET$40)*($UT$4:$UT$40=1))&gt;0)</f>
      </c>
      <c r="UV40" t="str">
        <f>=$UV39+--($UU40)</f>
      </c>
      <c r="UW40" t="str">
        <f>IF(ROW()-3&gt;MAX($UV$4:$UV$40),"",INDEX($ET$4:$ET$40,MATCH(ROW()-3,$UV$4:$UV$40,0)))</f>
      </c>
      <c r="UX40" t="str">
        <f>IF(COUNTIF('Final Calculation Sheet'!$AL40:$BM40,0)+COUNTIF('Final Calculation Sheet'!$BO40:$BS40,0)&gt;0,0,1)</f>
      </c>
      <c r="UY40" t="str">
        <f>IF($EY$40="",FALSE,SUMPRODUCT(('Final Calculation Sheet'!$AC$4:$AC$40=$EY$40)*($UX$4:$UX$40=1))&gt;0)</f>
      </c>
      <c r="UZ40" t="str">
        <f>=$UZ39+--($UY40)</f>
      </c>
      <c r="VA40" t="str">
        <f>IF(ROW()-3&gt;MAX($UZ$4:$UZ$40),"",INDEX($EY$4:$EY$40,MATCH(ROW()-3,$UZ$4:$UZ$40,0)))</f>
      </c>
      <c r="VB40" t="str">
        <f>IF(COUNTIF('Final Calculation Sheet'!$AL40:$BN40,0)+COUNTIF('Final Calculation Sheet'!$BP40:$BS40,0)&gt;0,0,1)</f>
      </c>
      <c r="VC40" t="str">
        <f>IF($FD$40="",FALSE,SUMPRODUCT(('Final Calculation Sheet'!$AD$4:$AD$40=$FD$40)*($VB$4:$VB$40=1))&gt;0)</f>
      </c>
      <c r="VD40" t="str">
        <f>=$VD39+--($VC40)</f>
      </c>
      <c r="VE40" t="str">
        <f>IF(ROW()-3&gt;MAX($VD$4:$VD$40),"",INDEX($FD$4:$FD$40,MATCH(ROW()-3,$VD$4:$VD$40,0)))</f>
      </c>
      <c r="VF40" t="str">
        <f>IF(COUNTIF('Final Calculation Sheet'!$AL40:$BO40,0)+COUNTIF('Final Calculation Sheet'!$BQ40:$BS40,0)&gt;0,0,1)</f>
      </c>
      <c r="VG40" t="str">
        <f>IF($FI$40="",FALSE,SUMPRODUCT(('Final Calculation Sheet'!$AE$4:$AE$40=$FI$40)*($VF$4:$VF$40=1))&gt;0)</f>
      </c>
      <c r="VH40" t="str">
        <f>=$VH39+--($VG40)</f>
      </c>
      <c r="VI40" t="str">
        <f>IF(ROW()-3&gt;MAX($VH$4:$VH$40),"",INDEX($FI$4:$FI$40,MATCH(ROW()-3,$VH$4:$VH$40,0)))</f>
      </c>
      <c r="VJ40" t="str">
        <f>IF(COUNTIF('Final Calculation Sheet'!$AL40:$BP40,0)+COUNTIF('Final Calculation Sheet'!$BR40:$BS40,0)&gt;0,0,1)</f>
      </c>
      <c r="VK40" t="str">
        <f>IF($FN$40="",FALSE,SUMPRODUCT(('Final Calculation Sheet'!$AF$4:$AF$40=$FN$40)*($VJ$4:$VJ$40=1))&gt;0)</f>
      </c>
      <c r="VL40" t="str">
        <f>=$VL39+--($VK40)</f>
      </c>
      <c r="VM40" t="str">
        <f>IF(ROW()-3&gt;MAX($VL$4:$VL$40),"",INDEX($FN$4:$FN$40,MATCH(ROW()-3,$VL$4:$VL$40,0)))</f>
      </c>
      <c r="VN40" t="str">
        <f>IF(COUNTIF('Final Calculation Sheet'!$AL40:$BQ40,0)+COUNTIF('Final Calculation Sheet'!$BS40:$BS40,0)&gt;0,0,1)</f>
      </c>
      <c r="VO40" t="str">
        <f>IF($FS$40="",FALSE,SUMPRODUCT(('Final Calculation Sheet'!$AG$4:$AG$40=$FS$40)*($VN$4:$VN$40=1))&gt;0)</f>
      </c>
      <c r="VP40" t="str">
        <f>=$VP39+--($VO40)</f>
      </c>
      <c r="VQ40" t="str">
        <f>IF(ROW()-3&gt;MAX($VP$4:$VP$40),"",INDEX($FS$4:$FS$40,MATCH(ROW()-3,$VP$4:$VP$40,0)))</f>
      </c>
      <c r="VR40" t="str">
        <f>IF(COUNTIF('Final Calculation Sheet'!$AL40:$BR40,0)&gt;0,0,1)</f>
      </c>
      <c r="VS40" t="str">
        <f>IF($QO$40="",FALSE,SUMPRODUCT(('Final Calculation Sheet'!$AH$4:$AH$40=$QO$40)*($VR$4:$VR$40=1))&gt;0)</f>
      </c>
      <c r="VT40" t="str">
        <f>=$VT39+--($VS40)</f>
      </c>
      <c r="VU40" t="str">
        <f>IF(ROW()-3&gt;MAX($VT$4:$VT$40),"",INDEX($QO$4:$QO$40,MATCH(ROW()-3,$VT$4:$VT$40,0)))</f>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C41">
        <f>IF(COUNTIF('Live Search'!BM$40:BM$40,0)+COUNTIF('Live Search'!B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F41">
        <f>IF(ROW()-3&gt;MAX($GE$4:$GE$40),"",INDEX($O$4:$O$40,MATCH(ROW()-3,$GE$4:$GE$40,0)))</f>
        <v/>
      </c>
      <c r="GG41">
        <f>IF(COUNTIF('Live Search'!BM$40:BN$40,0)+COUNTIF('Live Search'!B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J41">
        <f>IF(ROW()-3&gt;MAX($GI$4:$GI$40),"",INDEX($T$4:$T$40,MATCH(ROW()-3,$GI$4:$GI$40,0)))</f>
        <v/>
      </c>
      <c r="GK41">
        <f>IF(COUNTIF('Live Search'!BM$40:BP$40,0)+COUNTIF('Live Search'!B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N41">
        <f>IF(ROW()-3&gt;MAX($GM$4:$GM$40),"",INDEX($AD$4:$AD$40,MATCH(ROW()-3,$GM$4:$GM$40,0)))</f>
        <v/>
      </c>
      <c r="GO41">
        <f>IF(COUNTIF('Live Search'!BM$40:BQ$40,0)+COUNTIF('Live Search'!B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R41">
        <f>IF(ROW()-3&gt;MAX($GQ$4:$GQ$40),"",INDEX($AI$4:$AI$40,MATCH(ROW()-3,$GQ$4:$GQ$40,0)))</f>
        <v/>
      </c>
      <c r="GS41">
        <f>IF(COUNTIF('Live Search'!BM$40:BR$40,0)+COUNTIF('Live Search'!B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V41">
        <f>IF(ROW()-3&gt;MAX($GU$4:$GU$40),"",INDEX($AN$4:$AN$40,MATCH(ROW()-3,$GU$4:$GU$40,0)))</f>
        <v/>
      </c>
      <c r="GW41">
        <f>IF(COUNTIF('Live Search'!BM$40:BS$40,0)+COUNTIF('Live Search'!B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GZ41">
        <f>IF(ROW()-3&gt;MAX($GY$4:$GY$40),"",INDEX($AS$4:$AS$40,MATCH(ROW()-3,$GY$4:$GY$40,0)))</f>
        <v/>
      </c>
      <c r="HA41">
        <f>IF(COUNTIF('Live Search'!BM$40:BT$40,0)+COUNTIF('Live Search'!BV$40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D41">
        <f>IF(ROW()-3&gt;MAX($HC$4:$HC$40),"",INDEX($AX$4:$AX$40,MATCH(ROW()-3,$HC$4:$HC$40,0)))</f>
        <v/>
      </c>
      <c r="HE41">
        <f>IF(COUNTIF('Live Search'!BM$40:BU$40,0)+COUNTIF('Live Search'!BW$40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H41">
        <f>IF(ROW()-3&gt;MAX($HG$4:$HG$40),"",INDEX($BC$4:$BC$40,MATCH(ROW()-3,$HG$4:$HG$40,0)))</f>
        <v/>
      </c>
      <c r="HI41">
        <f>IF(COUNTIF('Live Search'!BM$40:BV$40,0)+COUNTIF('Live Search'!BX$40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L41">
        <f>IF(ROW()-3&gt;MAX($HK$4:$HK$40),"",INDEX($BH$4:$BH$40,MATCH(ROW()-3,$HK$4:$HK$40,0)))</f>
        <v/>
      </c>
      <c r="HM41">
        <f>IF(COUNTIF('Live Search'!BM$40:BW$40,0)+COUNTIF('Live Search'!BY$40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P41">
        <f>IF(ROW()-3&gt;MAX($HO$4:$HO$40),"",INDEX($BM$4:$BM$40,MATCH(ROW()-3,$HO$4:$HO$40,0)))</f>
        <v/>
      </c>
      <c r="HQ41">
        <f>IF(COUNTIF('Live Search'!BM$40:BX$40,0)+COUNTIF('Live Search'!BZ$40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T41">
        <f>IF(ROW()-3&gt;MAX($HS$4:$HS$40),"",INDEX($BR$4:$BR$40,MATCH(ROW()-3,$HS$4:$HS$40,0)))</f>
        <v/>
      </c>
      <c r="HU41">
        <f>IF(COUNTIF('Live Search'!BM$40:BY$40,0)+COUNTIF('Live Search'!CA$40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HX41">
        <f>IF(ROW()-3&gt;MAX($HW$4:$HW$40),"",INDEX($BW$4:$BW$40,MATCH(ROW()-3,$HW$4:$HW$40,0)))</f>
        <v/>
      </c>
      <c r="HY41">
        <f>IF(COUNTIF('Live Search'!BM$40:BZ$40,0)+COUNTIF('Live Search'!CB$40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B41">
        <f>IF(ROW()-3&gt;MAX($IA$4:$IA$40),"",INDEX($CB$4:$CB$40,MATCH(ROW()-3,$IA$4:$IA$40,0)))</f>
        <v/>
      </c>
      <c r="IC41">
        <f>IF(COUNTIF('Live Search'!BM$40:CA$40,0)+COUNTIF('Live Search'!CC$40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F41">
        <f>IF(ROW()-3&gt;MAX($IE$4:$IE$40),"",INDEX($CG$4:$CG$40,MATCH(ROW()-3,$IE$4:$IE$40,0)))</f>
        <v/>
      </c>
      <c r="IG41">
        <f>IF(COUNTIF('Live Search'!BM$40:CB$40,0)+COUNTIF('Live Search'!CD$40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J41">
        <f>IF(ROW()-3&gt;MAX($II$4:$II$40),"",INDEX($CL$4:$CL$40,MATCH(ROW()-3,$II$4:$II$40,0)))</f>
        <v/>
      </c>
      <c r="IK41">
        <f>IF(COUNTIF('Live Search'!BM$40:CC$40,0)+COUNTIF('Live Search'!CE$40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N41">
        <f>IF(ROW()-3&gt;MAX($IM$4:$IM$40),"",INDEX($CQ$4:$CQ$40,MATCH(ROW()-3,$IM$4:$IM$40,0)))</f>
        <v/>
      </c>
      <c r="IO41">
        <f>IF(COUNTIF('Live Search'!BM$40:CD$40,0)+COUNTIF('Live Search'!CF$40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R41">
        <f>IF(ROW()-3&gt;MAX($IQ$4:$IQ$40),"",INDEX($CV$4:$CV$40,MATCH(ROW()-3,$IQ$4:$IQ$40,0)))</f>
        <v/>
      </c>
      <c r="IS41">
        <f>IF(COUNTIF('Live Search'!BM$40:CE$40,0)+COUNTIF('Live Search'!CG$40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V41">
        <f>IF(ROW()-3&gt;MAX($IU$4:$IU$40),"",INDEX($DA$4:$DA$40,MATCH(ROW()-3,$IU$4:$IU$40,0)))</f>
        <v/>
      </c>
      <c r="IW41">
        <f>IF(COUNTIF('Live Search'!BM$40:CF$40,0)+COUNTIF('Live Search'!CH$40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IZ41">
        <f>IF(ROW()-3&gt;MAX($IY$4:$IY$40),"",INDEX($DF$4:$DF$40,MATCH(ROW()-3,$IY$4:$IY$40,0)))</f>
        <v/>
      </c>
      <c r="JA41">
        <f>IF(COUNTIF('Live Search'!BM$40:CG$40,0)+COUNTIF('Live Search'!CI$40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D41">
        <f>IF(ROW()-3&gt;MAX($JC$4:$JC$40),"",INDEX($DK$4:$DK$40,MATCH(ROW()-3,$JC$4:$JC$40,0)))</f>
        <v/>
      </c>
      <c r="JE41">
        <f>IF(COUNTIF('Live Search'!BM$40:CH$40,0)+COUNTIF('Live Search'!CJ$40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H41">
        <f>IF(ROW()-3&gt;MAX($JG$4:$JG$40),"",INDEX($DP$4:$DP$40,MATCH(ROW()-3,$JG$4:$JG$40,0)))</f>
        <v/>
      </c>
      <c r="JI41">
        <f>IF(COUNTIF('Live Search'!BM$40:CI$40,0)+COUNTIF('Live Search'!CK$40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L41">
        <f>IF(ROW()-3&gt;MAX($JK$4:$JK$40),"",INDEX($DU$4:$DU$40,MATCH(ROW()-3,$JK$4:$JK$40,0)))</f>
        <v/>
      </c>
      <c r="JM41">
        <f>IF(COUNTIF('Live Search'!BM$40:CJ$40,0)+COUNTIF('Live Search'!CL$40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P41">
        <f>IF(ROW()-3&gt;MAX($JO$4:$JO$40),"",INDEX($DZ$4:$DZ$40,MATCH(ROW()-3,$JO$4:$JO$40,0)))</f>
        <v/>
      </c>
      <c r="JQ41">
        <f>IF(COUNTIF('Live Search'!BM$40:CK$40,0)+COUNTIF('Live Search'!C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T41">
        <f>IF(ROW()-3&gt;MAX($JS$4:$JS$40),"",INDEX($EE$4:$EE$40,MATCH(ROW()-3,$JS$4:$JS$40,0)))</f>
        <v/>
      </c>
      <c r="JU41">
        <f>IF(COUNTIF('Live Search'!BM$40:CL$40,0)+COUNTIF('Live Search'!CN$40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JX41">
        <f>IF(ROW()-3&gt;MAX($JW$4:$JW$40),"",INDEX($EJ$4:$EJ$40,MATCH(ROW()-3,$JW$4:$JW$40,0)))</f>
        <v/>
      </c>
      <c r="JY41">
        <f>IF(COUNTIF('Live Search'!BM$40:CM$40,0)+COUNTIF('Live Search'!CO$40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B41">
        <f>IF(ROW()-3&gt;MAX($KA$4:$KA$40),"",INDEX($EO$4:$EO$40,MATCH(ROW()-3,$KA$4:$KA$40,0)))</f>
        <v/>
      </c>
      <c r="KC41">
        <f>IF(COUNTIF('Live Search'!BM$40:CN$40,0)+COUNTIF('Live Search'!CP$40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F41">
        <f>IF(ROW()-3&gt;MAX($KE$4:$KE$40),"",INDEX($ET$4:$ET$40,MATCH(ROW()-3,$KE$4:$KE$40,0)))</f>
        <v/>
      </c>
      <c r="KG41">
        <f>IF(COUNTIF('Live Search'!BM$40:CO$40,0)+COUNTIF('Live Search'!CQ$40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J41">
        <f>IF(ROW()-3&gt;MAX($KI$4:$KI$40),"",INDEX($EY$4:$EY$40,MATCH(ROW()-3,$KI$4:$KI$40,0)))</f>
        <v/>
      </c>
      <c r="KK41">
        <f>IF(COUNTIF('Live Search'!BM$40:CP$40,0)+COUNTIF('Live Search'!CR$40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N41">
        <f>IF(ROW()-3&gt;MAX($KM$4:$KM$40),"",INDEX($FD$4:$FD$40,MATCH(ROW()-3,$KM$4:$KM$40,0)))</f>
        <v/>
      </c>
      <c r="KO41">
        <f>IF(COUNTIF('Live Search'!BM$40:CT$40,0)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R41">
        <f>IF(ROW()-3&gt;MAX($KQ$4:$KQ$40),"",INDEX($FX$4:$FX$40,MATCH(ROW()-3,$KQ$4:$KQ$40,0)))</f>
        <v/>
      </c>
      <c r="KS41">
        <f>IF(COUNTIF('Live Search'!BM$40:CQ$40,0)+COUNTIF('Live Search'!CS$40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V41">
        <f>IF(ROW()-3&gt;MAX($KU$4:$KU$40),"",INDEX($FI$4:$FI$40,MATCH(ROW()-3,$KU$4:$KU$40,0)))</f>
        <v/>
      </c>
      <c r="KW41">
        <f>IF(COUNTIF('Live Search'!BM$40:CR$40,0)+COUNTIF('Live Search'!CT$40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KZ41">
        <f>IF(ROW()-3&gt;MAX($KY$4:$KY$40),"",INDEX($FN$4:$FN$40,MATCH(ROW()-3,$KY$4:$KY$40,0)))</f>
        <v/>
      </c>
      <c r="LA41">
        <f>IF(COUNTIF('Live Search'!BM$40:CS$40,0)+COUNTIF('Live Search'!CU$40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LD41">
        <f>IF(ROW()-3&gt;MAX($LC$4:$LC$40),"",INDEX($FS$4:$FS$40,MATCH(ROW()-3,$LC$4:$LC$40,0)))</f>
        <v/>
      </c>
      <c r="LE41">
        <f>IF(COUNTIF('Buyer Groups'!DH94:EN94,0)&gt;0,0,1)</f>
        <v/>
      </c>
      <c r="LH41">
        <f>IF(ROW()-3&gt;MAX($LG$4:$LG$40),"",INDEX($O$4:$O$40,MATCH(ROW()-3,$LG$4:$LG$40,0)))</f>
        <v/>
      </c>
      <c r="LI41">
        <f>IF(COUNTIF('Buyer Groups'!DG94:DG94,0)+COUNTIF('Buyer Groups'!DI94:EN94,0)&gt;0,0,1)</f>
        <v/>
      </c>
      <c r="LL41">
        <f>IF(ROW()-3&gt;MAX($LK$4:$LK$40),"",INDEX($T$4:$T$40,MATCH(ROW()-3,$LK$4:$LK$40,0)))</f>
        <v/>
      </c>
      <c r="LM41">
        <f>IF(COUNTIF('Buyer Groups'!DG94:DH94,0)+COUNTIF('Buyer Groups'!DJ94:EN94,0)&gt;0,0,1)</f>
        <v/>
      </c>
      <c r="LP41">
        <f>IF(ROW()-3&gt;MAX($LO$4:$LO$40),"",INDEX($Y$4:$Y$40,MATCH(ROW()-3,$LO$4:$LO$40,0)))</f>
        <v/>
      </c>
      <c r="LQ41">
        <f>IF(COUNTIF('Buyer Groups'!DG94:DI94,0)+COUNTIF('Buyer Groups'!DK94:EN94,0)&gt;0,0,1)</f>
        <v/>
      </c>
      <c r="LT41">
        <f>IF(ROW()-3&gt;MAX($LS$4:$LS$40),"",INDEX($AD$4:$AD$40,MATCH(ROW()-3,$LS$4:$LS$40,0)))</f>
        <v/>
      </c>
      <c r="LU41">
        <f>IF(COUNTIF('Buyer Groups'!DG94:DJ94,0)+COUNTIF('Buyer Groups'!DL94:EN94,0)&gt;0,0,1)</f>
        <v/>
      </c>
      <c r="LX41">
        <f>IF(ROW()-3&gt;MAX($LW$4:$LW$40),"",INDEX($AI$4:$AI$40,MATCH(ROW()-3,$LW$4:$LW$40,0)))</f>
        <v/>
      </c>
      <c r="LY41">
        <f>IF(COUNTIF('Buyer Groups'!DG94:DK94,0)+COUNTIF('Buyer Groups'!DM94:EN94,0)&gt;0,0,1)</f>
        <v/>
      </c>
      <c r="MB41">
        <f>IF(ROW()-3&gt;MAX($MA$4:$MA$40),"",INDEX($AN$4:$AN$40,MATCH(ROW()-3,$MA$4:$MA$40,0)))</f>
        <v/>
      </c>
      <c r="MC41">
        <f>IF(COUNTIF('Buyer Groups'!DG94:DL94,0)+COUNTIF('Buyer Groups'!DN94:EN94,0)&gt;0,0,1)</f>
        <v/>
      </c>
      <c r="MF41">
        <f>IF(ROW()-3&gt;MAX($ME$4:$ME$40),"",INDEX($AS$4:$AS$40,MATCH(ROW()-3,$ME$4:$ME$40,0)))</f>
        <v/>
      </c>
      <c r="MG41">
        <f>IF(COUNTIF('Buyer Groups'!DG94:DM94,0)+COUNTIF('Buyer Groups'!DO94:EN94,0)&gt;0,0,1)</f>
        <v/>
      </c>
      <c r="MJ41">
        <f>IF(ROW()-3&gt;MAX($MI$4:$MI$40),"",INDEX($AX$4:$AX$40,MATCH(ROW()-3,$MI$4:$MI$40,0)))</f>
        <v/>
      </c>
      <c r="MK41">
        <f>IF(COUNTIF('Buyer Groups'!DG94:DN94,0)+COUNTIF('Buyer Groups'!DP94:EN94,0)&gt;0,0,1)</f>
        <v/>
      </c>
      <c r="MN41">
        <f>IF(ROW()-3&gt;MAX($MM$4:$MM$40),"",INDEX($BC$4:$BC$40,MATCH(ROW()-3,$MM$4:$MM$40,0)))</f>
        <v/>
      </c>
      <c r="MO41">
        <f>IF(COUNTIF('Buyer Groups'!DG94:DO94,0)+COUNTIF('Buyer Groups'!DQ94:EN94,0)&gt;0,0,1)</f>
        <v/>
      </c>
      <c r="MR41">
        <f>IF(ROW()-3&gt;MAX($MQ$4:$MQ$40),"",INDEX($BH$4:$BH$40,MATCH(ROW()-3,$MQ$4:$MQ$40,0)))</f>
        <v/>
      </c>
      <c r="MS41">
        <f>IF(COUNTIF('Buyer Groups'!DG94:DP94,0)+COUNTIF('Buyer Groups'!DR94:EN94,0)&gt;0,0,1)</f>
        <v/>
      </c>
      <c r="MV41">
        <f>IF(ROW()-3&gt;MAX($MU$4:$MU$40),"",INDEX($BM$4:$BM$40,MATCH(ROW()-3,$MU$4:$MU$40,0)))</f>
        <v/>
      </c>
      <c r="MW41">
        <f>IF(COUNTIF('Buyer Groups'!DG94:DQ94,0)+COUNTIF('Buyer Groups'!DS94:EN94,0)&gt;0,0,1)</f>
        <v/>
      </c>
      <c r="MZ41">
        <f>IF(ROW()-3&gt;MAX($MY$4:$MY$40),"",INDEX($BR$4:$BR$40,MATCH(ROW()-3,$MY$4:$MY$40,0)))</f>
        <v/>
      </c>
      <c r="NA41">
        <f>IF(COUNTIF('Buyer Groups'!DG94:DR94,0)+COUNTIF('Buyer Groups'!DT94:EN94,0)&gt;0,0,1)</f>
        <v/>
      </c>
      <c r="ND41">
        <f>IF(ROW()-3&gt;MAX($NC$4:$NC$40),"",INDEX($BW$4:$BW$40,MATCH(ROW()-3,$NC$4:$NC$40,0)))</f>
        <v/>
      </c>
      <c r="NE41">
        <f>IF(COUNTIF('Buyer Groups'!DG94:DS94,0)+COUNTIF('Buyer Groups'!DU94:EN94,0)&gt;0,0,1)</f>
        <v/>
      </c>
      <c r="NH41">
        <f>IF(ROW()-3&gt;MAX($NG$4:$NG$40),"",INDEX($CB$4:$CB$40,MATCH(ROW()-3,$NG$4:$NG$40,0)))</f>
        <v/>
      </c>
      <c r="NI41">
        <f>IF(COUNTIF('Buyer Groups'!DG94:DT94,0)+COUNTIF('Buyer Groups'!DV94:EN94,0)&gt;0,0,1)</f>
        <v/>
      </c>
      <c r="NL41">
        <f>IF(ROW()-3&gt;MAX($NK$4:$NK$40),"",INDEX($CG$4:$CG$40,MATCH(ROW()-3,$NK$4:$NK$40,0)))</f>
        <v/>
      </c>
      <c r="NM41">
        <f>IF(COUNTIF('Buyer Groups'!DG94:DU94,0)+COUNTIF('Buyer Groups'!DW94:EN94,0)&gt;0,0,1)</f>
        <v/>
      </c>
      <c r="NP41">
        <f>IF(ROW()-3&gt;MAX($NO$4:$NO$40),"",INDEX($CL$4:$CL$40,MATCH(ROW()-3,$NO$4:$NO$40,0)))</f>
        <v/>
      </c>
      <c r="NQ41">
        <f>IF(COUNTIF('Buyer Groups'!DG94:DV94,0)+COUNTIF('Buyer Groups'!DX94:EN94,0)&gt;0,0,1)</f>
        <v/>
      </c>
      <c r="NT41">
        <f>IF(ROW()-3&gt;MAX($NS$4:$NS$40),"",INDEX($CQ$4:$CQ$40,MATCH(ROW()-3,$NS$4:$NS$40,0)))</f>
        <v/>
      </c>
      <c r="NU41">
        <f>IF(COUNTIF('Buyer Groups'!DG94:DW94,0)+COUNTIF('Buyer Groups'!DY94:EN94,0)&gt;0,0,1)</f>
        <v/>
      </c>
      <c r="NX41">
        <f>IF(ROW()-3&gt;MAX($NW$4:$NW$40),"",INDEX($CV$4:$CV$40,MATCH(ROW()-3,$NW$4:$NW$40,0)))</f>
        <v/>
      </c>
      <c r="NY41">
        <f>IF(COUNTIF('Buyer Groups'!DG94:DX94,0)+COUNTIF('Buyer Groups'!DZ94:EN94,0)&gt;0,0,1)</f>
        <v/>
      </c>
      <c r="OB41">
        <f>IF(ROW()-3&gt;MAX($OA$4:$OA$40),"",INDEX($DA$4:$DA$40,MATCH(ROW()-3,$OA$4:$OA$40,0)))</f>
        <v/>
      </c>
      <c r="OC41">
        <f>IF(COUNTIF('Buyer Groups'!DG94:DY94,0)+COUNTIF('Buyer Groups'!EA94:EN94,0)&gt;0,0,1)</f>
        <v/>
      </c>
      <c r="OF41">
        <f>IF(ROW()-3&gt;MAX($OE$4:$OE$40),"",INDEX($DF$4:$DF$40,MATCH(ROW()-3,$OE$4:$OE$40,0)))</f>
        <v/>
      </c>
      <c r="OG41">
        <f>IF(COUNTIF('Buyer Groups'!DG94:DZ94,0)+COUNTIF('Buyer Groups'!EB94:EN94,0)&gt;0,0,1)</f>
        <v/>
      </c>
      <c r="OJ41">
        <f>IF(ROW()-3&gt;MAX($OI$4:$OI$40),"",INDEX($DK$4:$DK$40,MATCH(ROW()-3,$OI$4:$OI$40,0)))</f>
        <v/>
      </c>
      <c r="OK41">
        <f>IF(COUNTIF('Buyer Groups'!DG94:EA94,0)+COUNTIF('Buyer Groups'!EC94:EN94,0)&gt;0,0,1)</f>
        <v/>
      </c>
      <c r="ON41">
        <f>IF(ROW()-3&gt;MAX($OM$4:$OM$40),"",INDEX($DP$4:$DP$40,MATCH(ROW()-3,$OM$4:$OM$40,0)))</f>
        <v/>
      </c>
      <c r="OO41">
        <f>IF(COUNTIF('Buyer Groups'!DG94:EB94,0)+COUNTIF('Buyer Groups'!ED94:EN94,0)&gt;0,0,1)</f>
        <v/>
      </c>
      <c r="OR41">
        <f>IF(ROW()-3&gt;MAX($OQ$4:$OQ$40),"",INDEX($DU$4:$DU$40,MATCH(ROW()-3,$OQ$4:$OQ$40,0)))</f>
        <v/>
      </c>
      <c r="OS41">
        <f>IF(COUNTIF('Buyer Groups'!DG94:EC94,0)+COUNTIF('Buyer Groups'!EE94:EN94,0)&gt;0,0,1)</f>
        <v/>
      </c>
      <c r="OV41">
        <f>IF(ROW()-3&gt;MAX($OU$4:$OU$40),"",INDEX($DZ$4:$DZ$40,MATCH(ROW()-3,$OU$4:$OU$40,0)))</f>
        <v/>
      </c>
      <c r="OW41">
        <f>IF(COUNTIF('Buyer Groups'!DG94:ED94,0)+COUNTIF('Buyer Groups'!EF94:EN94,0)&gt;0,0,1)</f>
        <v/>
      </c>
      <c r="OZ41">
        <f>IF(ROW()-3&gt;MAX($OY$4:$OY$40),"",INDEX($EE$4:$EE$40,MATCH(ROW()-3,$OY$4:$OY$40,0)))</f>
        <v/>
      </c>
      <c r="PA41">
        <f>IF(COUNTIF('Buyer Groups'!DG94:EE94,0)+COUNTIF('Buyer Groups'!EG94:EN94,0)&gt;0,0,1)</f>
        <v/>
      </c>
      <c r="PD41">
        <f>IF(ROW()-3&gt;MAX($PC$4:$PC$40),"",INDEX($EJ$4:$EJ$40,MATCH(ROW()-3,$PC$4:$PC$40,0)))</f>
        <v/>
      </c>
      <c r="PE41">
        <f>IF(COUNTIF('Buyer Groups'!DG94:EF94,0)+COUNTIF('Buyer Groups'!EH94:EN94,0)&gt;0,0,1)</f>
        <v/>
      </c>
      <c r="PH41">
        <f>IF(ROW()-3&gt;MAX($PG$4:$PG$40),"",INDEX($EO$4:$EO$40,MATCH(ROW()-3,$PG$4:$PG$40,0)))</f>
        <v/>
      </c>
      <c r="PI41">
        <f>IF(COUNTIF('Buyer Groups'!DG94:EG94,0)+COUNTIF('Buyer Groups'!EI94:EN94,0)&gt;0,0,1)</f>
        <v/>
      </c>
      <c r="PL41">
        <f>IF(ROW()-3&gt;MAX($PK$4:$PK$40),"",INDEX($ET$4:$ET$40,MATCH(ROW()-3,$PK$4:$PK$40,0)))</f>
        <v/>
      </c>
      <c r="PM41">
        <f>IF(COUNTIF('Buyer Groups'!DG94:EH94,0)+COUNTIF('Buyer Groups'!EJ94:EN94,0)&gt;0,0,1)</f>
        <v/>
      </c>
      <c r="PP41">
        <f>IF(ROW()-3&gt;MAX($PO$4:$PO$40),"",INDEX($EY$4:$EY$40,MATCH(ROW()-3,$PO$4:$PO$40,0)))</f>
        <v/>
      </c>
      <c r="PQ41">
        <f>IF(COUNTIF('Buyer Groups'!DG94:EI94,0)+COUNTIF('Buyer Groups'!EK94:EN94,0)&gt;0,0,1)</f>
        <v/>
      </c>
      <c r="PT41">
        <f>IF(ROW()-3&gt;MAX($PS$4:$PS$40),"",INDEX($FD$4:$FD$40,MATCH(ROW()-3,$PS$4:$PS$40,0)))</f>
        <v/>
      </c>
      <c r="PU41">
        <f>IF(COUNTIF('Buyer Groups'!DG94:EJ94,0)+COUNTIF('Buyer Groups'!EL94:EN94,0)&gt;0,0,1)</f>
        <v/>
      </c>
      <c r="PX41">
        <f>IF(ROW()-3&gt;MAX($PW$4:$PW$40),"",INDEX($FX$4:$FX$40,MATCH(ROW()-3,$PW$4:$PW$40,0)))</f>
        <v/>
      </c>
      <c r="PY41">
        <f>IF(COUNTIF('Buyer Groups'!DG94:EK94,0)+COUNTIF('Buyer Groups'!EM94:EN94,0)&gt;0,0,1)</f>
        <v/>
      </c>
      <c r="QB41">
        <f>IF(ROW()-3&gt;MAX($QA$4:$QA$40),"",INDEX($FI$4:$FI$40,MATCH(ROW()-3,$QA$4:$QA$40,0)))</f>
        <v/>
      </c>
      <c r="QC41">
        <f>IF(COUNTIF('Buyer Groups'!DG94:EL94,0)+COUNTIF('Buyer Groups'!EN94:EN94,0)&gt;0,0,1)</f>
        <v/>
      </c>
      <c r="QF41">
        <f>IF(ROW()-3&gt;MAX($QE$4:$QE$40),"",INDEX($FN$4:$FN$40,MATCH(ROW()-3,$QE$4:$QE$40,0)))</f>
        <v/>
      </c>
      <c r="QG41">
        <f>IF(COUNTIF('Buyer Groups'!DG94:EM94,0)&gt;0,0,1)</f>
        <v/>
      </c>
      <c r="QJ41">
        <f>IF(ROW()-3&gt;MAX($QI$4:$QI$40),"",INDEX($FS$4:$FS$40,MATCH(ROW()-3,$QI$4:$QI$40,0)))</f>
        <v/>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C42">
        <f>IF(COUNTIF('Live Search'!BM$41:BM$41,0)+COUNTIF('Live Search'!B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F42">
        <f>IF(ROW()-3&gt;MAX($GE$4:$GE$40),"",INDEX($O$4:$O$40,MATCH(ROW()-3,$GE$4:$GE$40,0)))</f>
        <v/>
      </c>
      <c r="GG42">
        <f>IF(COUNTIF('Live Search'!BM$41:BN$41,0)+COUNTIF('Live Search'!B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J42">
        <f>IF(ROW()-3&gt;MAX($GI$4:$GI$40),"",INDEX($T$4:$T$40,MATCH(ROW()-3,$GI$4:$GI$40,0)))</f>
        <v/>
      </c>
      <c r="GK42">
        <f>IF(COUNTIF('Live Search'!BM$41:BP$41,0)+COUNTIF('Live Search'!B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N42">
        <f>IF(ROW()-3&gt;MAX($GM$4:$GM$40),"",INDEX($AD$4:$AD$40,MATCH(ROW()-3,$GM$4:$GM$40,0)))</f>
        <v/>
      </c>
      <c r="GO42">
        <f>IF(COUNTIF('Live Search'!BM$41:BQ$41,0)+COUNTIF('Live Search'!B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R42">
        <f>IF(ROW()-3&gt;MAX($GQ$4:$GQ$40),"",INDEX($AI$4:$AI$40,MATCH(ROW()-3,$GQ$4:$GQ$40,0)))</f>
        <v/>
      </c>
      <c r="GS42">
        <f>IF(COUNTIF('Live Search'!BM$41:BR$41,0)+COUNTIF('Live Search'!B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V42">
        <f>IF(ROW()-3&gt;MAX($GU$4:$GU$40),"",INDEX($AN$4:$AN$40,MATCH(ROW()-3,$GU$4:$GU$40,0)))</f>
        <v/>
      </c>
      <c r="GW42">
        <f>IF(COUNTIF('Live Search'!BM$41:BS$41,0)+COUNTIF('Live Search'!B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GZ42">
        <f>IF(ROW()-3&gt;MAX($GY$4:$GY$40),"",INDEX($AS$4:$AS$40,MATCH(ROW()-3,$GY$4:$GY$40,0)))</f>
        <v/>
      </c>
      <c r="HA42">
        <f>IF(COUNTIF('Live Search'!BM$41:BT$41,0)+COUNTIF('Live Search'!BV$41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D42">
        <f>IF(ROW()-3&gt;MAX($HC$4:$HC$40),"",INDEX($AX$4:$AX$40,MATCH(ROW()-3,$HC$4:$HC$40,0)))</f>
        <v/>
      </c>
      <c r="HE42">
        <f>IF(COUNTIF('Live Search'!BM$41:BU$41,0)+COUNTIF('Live Search'!BW$41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H42">
        <f>IF(ROW()-3&gt;MAX($HG$4:$HG$40),"",INDEX($BC$4:$BC$40,MATCH(ROW()-3,$HG$4:$HG$40,0)))</f>
        <v/>
      </c>
      <c r="HI42">
        <f>IF(COUNTIF('Live Search'!BM$41:BV$41,0)+COUNTIF('Live Search'!BX$41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L42">
        <f>IF(ROW()-3&gt;MAX($HK$4:$HK$40),"",INDEX($BH$4:$BH$40,MATCH(ROW()-3,$HK$4:$HK$40,0)))</f>
        <v/>
      </c>
      <c r="HM42">
        <f>IF(COUNTIF('Live Search'!BM$41:BW$41,0)+COUNTIF('Live Search'!BY$41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P42">
        <f>IF(ROW()-3&gt;MAX($HO$4:$HO$40),"",INDEX($BM$4:$BM$40,MATCH(ROW()-3,$HO$4:$HO$40,0)))</f>
        <v/>
      </c>
      <c r="HQ42">
        <f>IF(COUNTIF('Live Search'!BM$41:BX$41,0)+COUNTIF('Live Search'!BZ$41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T42">
        <f>IF(ROW()-3&gt;MAX($HS$4:$HS$40),"",INDEX($BR$4:$BR$40,MATCH(ROW()-3,$HS$4:$HS$40,0)))</f>
        <v/>
      </c>
      <c r="HU42">
        <f>IF(COUNTIF('Live Search'!BM$41:BY$41,0)+COUNTIF('Live Search'!CA$41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HX42">
        <f>IF(ROW()-3&gt;MAX($HW$4:$HW$40),"",INDEX($BW$4:$BW$40,MATCH(ROW()-3,$HW$4:$HW$40,0)))</f>
        <v/>
      </c>
      <c r="HY42">
        <f>IF(COUNTIF('Live Search'!BM$41:BZ$41,0)+COUNTIF('Live Search'!CB$41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B42">
        <f>IF(ROW()-3&gt;MAX($IA$4:$IA$40),"",INDEX($CB$4:$CB$40,MATCH(ROW()-3,$IA$4:$IA$40,0)))</f>
        <v/>
      </c>
      <c r="IC42">
        <f>IF(COUNTIF('Live Search'!BM$41:CA$41,0)+COUNTIF('Live Search'!CC$41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F42">
        <f>IF(ROW()-3&gt;MAX($IE$4:$IE$40),"",INDEX($CG$4:$CG$40,MATCH(ROW()-3,$IE$4:$IE$40,0)))</f>
        <v/>
      </c>
      <c r="IG42">
        <f>IF(COUNTIF('Live Search'!BM$41:CB$41,0)+COUNTIF('Live Search'!CD$41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J42">
        <f>IF(ROW()-3&gt;MAX($II$4:$II$40),"",INDEX($CL$4:$CL$40,MATCH(ROW()-3,$II$4:$II$40,0)))</f>
        <v/>
      </c>
      <c r="IK42">
        <f>IF(COUNTIF('Live Search'!BM$41:CC$41,0)+COUNTIF('Live Search'!CE$41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N42">
        <f>IF(ROW()-3&gt;MAX($IM$4:$IM$40),"",INDEX($CQ$4:$CQ$40,MATCH(ROW()-3,$IM$4:$IM$40,0)))</f>
        <v/>
      </c>
      <c r="IO42">
        <f>IF(COUNTIF('Live Search'!BM$41:CD$41,0)+COUNTIF('Live Search'!CF$41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R42">
        <f>IF(ROW()-3&gt;MAX($IQ$4:$IQ$40),"",INDEX($CV$4:$CV$40,MATCH(ROW()-3,$IQ$4:$IQ$40,0)))</f>
        <v/>
      </c>
      <c r="IS42">
        <f>IF(COUNTIF('Live Search'!BM$41:CE$41,0)+COUNTIF('Live Search'!CG$41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V42">
        <f>IF(ROW()-3&gt;MAX($IU$4:$IU$40),"",INDEX($DA$4:$DA$40,MATCH(ROW()-3,$IU$4:$IU$40,0)))</f>
        <v/>
      </c>
      <c r="IW42">
        <f>IF(COUNTIF('Live Search'!BM$41:CF$41,0)+COUNTIF('Live Search'!CH$41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IZ42">
        <f>IF(ROW()-3&gt;MAX($IY$4:$IY$40),"",INDEX($DF$4:$DF$40,MATCH(ROW()-3,$IY$4:$IY$40,0)))</f>
        <v/>
      </c>
      <c r="JA42">
        <f>IF(COUNTIF('Live Search'!BM$41:CG$41,0)+COUNTIF('Live Search'!CI$41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D42">
        <f>IF(ROW()-3&gt;MAX($JC$4:$JC$40),"",INDEX($DK$4:$DK$40,MATCH(ROW()-3,$JC$4:$JC$40,0)))</f>
        <v/>
      </c>
      <c r="JE42">
        <f>IF(COUNTIF('Live Search'!BM$41:CH$41,0)+COUNTIF('Live Search'!CJ$41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H42">
        <f>IF(ROW()-3&gt;MAX($JG$4:$JG$40),"",INDEX($DP$4:$DP$40,MATCH(ROW()-3,$JG$4:$JG$40,0)))</f>
        <v/>
      </c>
      <c r="JI42">
        <f>IF(COUNTIF('Live Search'!BM$41:CI$41,0)+COUNTIF('Live Search'!CK$41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L42">
        <f>IF(ROW()-3&gt;MAX($JK$4:$JK$40),"",INDEX($DU$4:$DU$40,MATCH(ROW()-3,$JK$4:$JK$40,0)))</f>
        <v/>
      </c>
      <c r="JM42">
        <f>IF(COUNTIF('Live Search'!BM$41:CJ$41,0)+COUNTIF('Live Search'!CL$41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P42">
        <f>IF(ROW()-3&gt;MAX($JO$4:$JO$40),"",INDEX($DZ$4:$DZ$40,MATCH(ROW()-3,$JO$4:$JO$40,0)))</f>
        <v/>
      </c>
      <c r="JQ42">
        <f>IF(COUNTIF('Live Search'!BM$41:CK$41,0)+COUNTIF('Live Search'!C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T42">
        <f>IF(ROW()-3&gt;MAX($JS$4:$JS$40),"",INDEX($EE$4:$EE$40,MATCH(ROW()-3,$JS$4:$JS$40,0)))</f>
        <v/>
      </c>
      <c r="JU42">
        <f>IF(COUNTIF('Live Search'!BM$41:CL$41,0)+COUNTIF('Live Search'!CN$41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JX42">
        <f>IF(ROW()-3&gt;MAX($JW$4:$JW$40),"",INDEX($EJ$4:$EJ$40,MATCH(ROW()-3,$JW$4:$JW$40,0)))</f>
        <v/>
      </c>
      <c r="JY42">
        <f>IF(COUNTIF('Live Search'!BM$41:CM$41,0)+COUNTIF('Live Search'!CO$41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B42">
        <f>IF(ROW()-3&gt;MAX($KA$4:$KA$40),"",INDEX($EO$4:$EO$40,MATCH(ROW()-3,$KA$4:$KA$40,0)))</f>
        <v/>
      </c>
      <c r="KC42">
        <f>IF(COUNTIF('Live Search'!BM$41:CN$41,0)+COUNTIF('Live Search'!CP$41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F42">
        <f>IF(ROW()-3&gt;MAX($KE$4:$KE$40),"",INDEX($ET$4:$ET$40,MATCH(ROW()-3,$KE$4:$KE$40,0)))</f>
        <v/>
      </c>
      <c r="KG42">
        <f>IF(COUNTIF('Live Search'!BM$41:CO$41,0)+COUNTIF('Live Search'!CQ$41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J42">
        <f>IF(ROW()-3&gt;MAX($KI$4:$KI$40),"",INDEX($EY$4:$EY$40,MATCH(ROW()-3,$KI$4:$KI$40,0)))</f>
        <v/>
      </c>
      <c r="KK42">
        <f>IF(COUNTIF('Live Search'!BM$41:CP$41,0)+COUNTIF('Live Search'!CR$41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N42">
        <f>IF(ROW()-3&gt;MAX($KM$4:$KM$40),"",INDEX($FD$4:$FD$40,MATCH(ROW()-3,$KM$4:$KM$40,0)))</f>
        <v/>
      </c>
      <c r="KO42">
        <f>IF(COUNTIF('Live Search'!BM$41:CT$41,0)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R42">
        <f>IF(ROW()-3&gt;MAX($KQ$4:$KQ$40),"",INDEX($FX$4:$FX$40,MATCH(ROW()-3,$KQ$4:$KQ$40,0)))</f>
        <v/>
      </c>
      <c r="KS42">
        <f>IF(COUNTIF('Live Search'!BM$41:CQ$41,0)+COUNTIF('Live Search'!CS$41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V42">
        <f>IF(ROW()-3&gt;MAX($KU$4:$KU$40),"",INDEX($FI$4:$FI$40,MATCH(ROW()-3,$KU$4:$KU$40,0)))</f>
        <v/>
      </c>
      <c r="KW42">
        <f>IF(COUNTIF('Live Search'!BM$41:CR$41,0)+COUNTIF('Live Search'!CT$41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KZ42">
        <f>IF(ROW()-3&gt;MAX($KY$4:$KY$40),"",INDEX($FN$4:$FN$40,MATCH(ROW()-3,$KY$4:$KY$40,0)))</f>
        <v/>
      </c>
      <c r="LA42">
        <f>IF(COUNTIF('Live Search'!BM$41:CS$41,0)+COUNTIF('Live Search'!CU$41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LD42">
        <f>IF(ROW()-3&gt;MAX($LC$4:$LC$40),"",INDEX($FS$4:$FS$40,MATCH(ROW()-3,$LC$4:$LC$40,0)))</f>
        <v/>
      </c>
      <c r="LE42">
        <f>IF(COUNTIF('Buyer Groups'!DH95:EN95,0)&gt;0,0,1)</f>
        <v/>
      </c>
      <c r="LH42">
        <f>IF(ROW()-3&gt;MAX($LG$4:$LG$40),"",INDEX($O$4:$O$40,MATCH(ROW()-3,$LG$4:$LG$40,0)))</f>
        <v/>
      </c>
      <c r="LI42">
        <f>IF(COUNTIF('Buyer Groups'!DG95:DG95,0)+COUNTIF('Buyer Groups'!DI95:EN95,0)&gt;0,0,1)</f>
        <v/>
      </c>
      <c r="LL42">
        <f>IF(ROW()-3&gt;MAX($LK$4:$LK$40),"",INDEX($T$4:$T$40,MATCH(ROW()-3,$LK$4:$LK$40,0)))</f>
        <v/>
      </c>
      <c r="LM42">
        <f>IF(COUNTIF('Buyer Groups'!DG95:DH95,0)+COUNTIF('Buyer Groups'!DJ95:EN95,0)&gt;0,0,1)</f>
        <v/>
      </c>
      <c r="LP42">
        <f>IF(ROW()-3&gt;MAX($LO$4:$LO$40),"",INDEX($Y$4:$Y$40,MATCH(ROW()-3,$LO$4:$LO$40,0)))</f>
        <v/>
      </c>
      <c r="LQ42">
        <f>IF(COUNTIF('Buyer Groups'!DG95:DI95,0)+COUNTIF('Buyer Groups'!DK95:EN95,0)&gt;0,0,1)</f>
        <v/>
      </c>
      <c r="LT42">
        <f>IF(ROW()-3&gt;MAX($LS$4:$LS$40),"",INDEX($AD$4:$AD$40,MATCH(ROW()-3,$LS$4:$LS$40,0)))</f>
        <v/>
      </c>
      <c r="LU42">
        <f>IF(COUNTIF('Buyer Groups'!DG95:DJ95,0)+COUNTIF('Buyer Groups'!DL95:EN95,0)&gt;0,0,1)</f>
        <v/>
      </c>
      <c r="LX42">
        <f>IF(ROW()-3&gt;MAX($LW$4:$LW$40),"",INDEX($AI$4:$AI$40,MATCH(ROW()-3,$LW$4:$LW$40,0)))</f>
        <v/>
      </c>
      <c r="LY42">
        <f>IF(COUNTIF('Buyer Groups'!DG95:DK95,0)+COUNTIF('Buyer Groups'!DM95:EN95,0)&gt;0,0,1)</f>
        <v/>
      </c>
      <c r="MB42">
        <f>IF(ROW()-3&gt;MAX($MA$4:$MA$40),"",INDEX($AN$4:$AN$40,MATCH(ROW()-3,$MA$4:$MA$40,0)))</f>
        <v/>
      </c>
      <c r="MC42">
        <f>IF(COUNTIF('Buyer Groups'!DG95:DL95,0)+COUNTIF('Buyer Groups'!DN95:EN95,0)&gt;0,0,1)</f>
        <v/>
      </c>
      <c r="MF42">
        <f>IF(ROW()-3&gt;MAX($ME$4:$ME$40),"",INDEX($AS$4:$AS$40,MATCH(ROW()-3,$ME$4:$ME$40,0)))</f>
        <v/>
      </c>
      <c r="MG42">
        <f>IF(COUNTIF('Buyer Groups'!DG95:DM95,0)+COUNTIF('Buyer Groups'!DO95:EN95,0)&gt;0,0,1)</f>
        <v/>
      </c>
      <c r="MJ42">
        <f>IF(ROW()-3&gt;MAX($MI$4:$MI$40),"",INDEX($AX$4:$AX$40,MATCH(ROW()-3,$MI$4:$MI$40,0)))</f>
        <v/>
      </c>
      <c r="MK42">
        <f>IF(COUNTIF('Buyer Groups'!DG95:DN95,0)+COUNTIF('Buyer Groups'!DP95:EN95,0)&gt;0,0,1)</f>
        <v/>
      </c>
      <c r="MN42">
        <f>IF(ROW()-3&gt;MAX($MM$4:$MM$40),"",INDEX($BC$4:$BC$40,MATCH(ROW()-3,$MM$4:$MM$40,0)))</f>
        <v/>
      </c>
      <c r="MO42">
        <f>IF(COUNTIF('Buyer Groups'!DG95:DO95,0)+COUNTIF('Buyer Groups'!DQ95:EN95,0)&gt;0,0,1)</f>
        <v/>
      </c>
      <c r="MR42">
        <f>IF(ROW()-3&gt;MAX($MQ$4:$MQ$40),"",INDEX($BH$4:$BH$40,MATCH(ROW()-3,$MQ$4:$MQ$40,0)))</f>
        <v/>
      </c>
      <c r="MS42">
        <f>IF(COUNTIF('Buyer Groups'!DG95:DP95,0)+COUNTIF('Buyer Groups'!DR95:EN95,0)&gt;0,0,1)</f>
        <v/>
      </c>
      <c r="MV42">
        <f>IF(ROW()-3&gt;MAX($MU$4:$MU$40),"",INDEX($BM$4:$BM$40,MATCH(ROW()-3,$MU$4:$MU$40,0)))</f>
        <v/>
      </c>
      <c r="MW42">
        <f>IF(COUNTIF('Buyer Groups'!DG95:DQ95,0)+COUNTIF('Buyer Groups'!DS95:EN95,0)&gt;0,0,1)</f>
        <v/>
      </c>
      <c r="MZ42">
        <f>IF(ROW()-3&gt;MAX($MY$4:$MY$40),"",INDEX($BR$4:$BR$40,MATCH(ROW()-3,$MY$4:$MY$40,0)))</f>
        <v/>
      </c>
      <c r="NA42">
        <f>IF(COUNTIF('Buyer Groups'!DG95:DR95,0)+COUNTIF('Buyer Groups'!DT95:EN95,0)&gt;0,0,1)</f>
        <v/>
      </c>
      <c r="ND42">
        <f>IF(ROW()-3&gt;MAX($NC$4:$NC$40),"",INDEX($BW$4:$BW$40,MATCH(ROW()-3,$NC$4:$NC$40,0)))</f>
        <v/>
      </c>
      <c r="NE42">
        <f>IF(COUNTIF('Buyer Groups'!DG95:DS95,0)+COUNTIF('Buyer Groups'!DU95:EN95,0)&gt;0,0,1)</f>
        <v/>
      </c>
      <c r="NH42">
        <f>IF(ROW()-3&gt;MAX($NG$4:$NG$40),"",INDEX($CB$4:$CB$40,MATCH(ROW()-3,$NG$4:$NG$40,0)))</f>
        <v/>
      </c>
      <c r="NI42">
        <f>IF(COUNTIF('Buyer Groups'!DG95:DT95,0)+COUNTIF('Buyer Groups'!DV95:EN95,0)&gt;0,0,1)</f>
        <v/>
      </c>
      <c r="NL42">
        <f>IF(ROW()-3&gt;MAX($NK$4:$NK$40),"",INDEX($CG$4:$CG$40,MATCH(ROW()-3,$NK$4:$NK$40,0)))</f>
        <v/>
      </c>
      <c r="NM42">
        <f>IF(COUNTIF('Buyer Groups'!DG95:DU95,0)+COUNTIF('Buyer Groups'!DW95:EN95,0)&gt;0,0,1)</f>
        <v/>
      </c>
      <c r="NP42">
        <f>IF(ROW()-3&gt;MAX($NO$4:$NO$40),"",INDEX($CL$4:$CL$40,MATCH(ROW()-3,$NO$4:$NO$40,0)))</f>
        <v/>
      </c>
      <c r="NQ42">
        <f>IF(COUNTIF('Buyer Groups'!DG95:DV95,0)+COUNTIF('Buyer Groups'!DX95:EN95,0)&gt;0,0,1)</f>
        <v/>
      </c>
      <c r="NT42">
        <f>IF(ROW()-3&gt;MAX($NS$4:$NS$40),"",INDEX($CQ$4:$CQ$40,MATCH(ROW()-3,$NS$4:$NS$40,0)))</f>
        <v/>
      </c>
      <c r="NU42">
        <f>IF(COUNTIF('Buyer Groups'!DG95:DW95,0)+COUNTIF('Buyer Groups'!DY95:EN95,0)&gt;0,0,1)</f>
        <v/>
      </c>
      <c r="NX42">
        <f>IF(ROW()-3&gt;MAX($NW$4:$NW$40),"",INDEX($CV$4:$CV$40,MATCH(ROW()-3,$NW$4:$NW$40,0)))</f>
        <v/>
      </c>
      <c r="NY42">
        <f>IF(COUNTIF('Buyer Groups'!DG95:DX95,0)+COUNTIF('Buyer Groups'!DZ95:EN95,0)&gt;0,0,1)</f>
        <v/>
      </c>
      <c r="OB42">
        <f>IF(ROW()-3&gt;MAX($OA$4:$OA$40),"",INDEX($DA$4:$DA$40,MATCH(ROW()-3,$OA$4:$OA$40,0)))</f>
        <v/>
      </c>
      <c r="OC42">
        <f>IF(COUNTIF('Buyer Groups'!DG95:DY95,0)+COUNTIF('Buyer Groups'!EA95:EN95,0)&gt;0,0,1)</f>
        <v/>
      </c>
      <c r="OF42">
        <f>IF(ROW()-3&gt;MAX($OE$4:$OE$40),"",INDEX($DF$4:$DF$40,MATCH(ROW()-3,$OE$4:$OE$40,0)))</f>
        <v/>
      </c>
      <c r="OG42">
        <f>IF(COUNTIF('Buyer Groups'!DG95:DZ95,0)+COUNTIF('Buyer Groups'!EB95:EN95,0)&gt;0,0,1)</f>
        <v/>
      </c>
      <c r="OJ42">
        <f>IF(ROW()-3&gt;MAX($OI$4:$OI$40),"",INDEX($DK$4:$DK$40,MATCH(ROW()-3,$OI$4:$OI$40,0)))</f>
        <v/>
      </c>
      <c r="OK42">
        <f>IF(COUNTIF('Buyer Groups'!DG95:EA95,0)+COUNTIF('Buyer Groups'!EC95:EN95,0)&gt;0,0,1)</f>
        <v/>
      </c>
      <c r="ON42">
        <f>IF(ROW()-3&gt;MAX($OM$4:$OM$40),"",INDEX($DP$4:$DP$40,MATCH(ROW()-3,$OM$4:$OM$40,0)))</f>
        <v/>
      </c>
      <c r="OO42">
        <f>IF(COUNTIF('Buyer Groups'!DG95:EB95,0)+COUNTIF('Buyer Groups'!ED95:EN95,0)&gt;0,0,1)</f>
        <v/>
      </c>
      <c r="OR42">
        <f>IF(ROW()-3&gt;MAX($OQ$4:$OQ$40),"",INDEX($DU$4:$DU$40,MATCH(ROW()-3,$OQ$4:$OQ$40,0)))</f>
        <v/>
      </c>
      <c r="OS42">
        <f>IF(COUNTIF('Buyer Groups'!DG95:EC95,0)+COUNTIF('Buyer Groups'!EE95:EN95,0)&gt;0,0,1)</f>
        <v/>
      </c>
      <c r="OV42">
        <f>IF(ROW()-3&gt;MAX($OU$4:$OU$40),"",INDEX($DZ$4:$DZ$40,MATCH(ROW()-3,$OU$4:$OU$40,0)))</f>
        <v/>
      </c>
      <c r="OW42">
        <f>IF(COUNTIF('Buyer Groups'!DG95:ED95,0)+COUNTIF('Buyer Groups'!EF95:EN95,0)&gt;0,0,1)</f>
        <v/>
      </c>
      <c r="OZ42">
        <f>IF(ROW()-3&gt;MAX($OY$4:$OY$40),"",INDEX($EE$4:$EE$40,MATCH(ROW()-3,$OY$4:$OY$40,0)))</f>
        <v/>
      </c>
      <c r="PA42">
        <f>IF(COUNTIF('Buyer Groups'!DG95:EE95,0)+COUNTIF('Buyer Groups'!EG95:EN95,0)&gt;0,0,1)</f>
        <v/>
      </c>
      <c r="PD42">
        <f>IF(ROW()-3&gt;MAX($PC$4:$PC$40),"",INDEX($EJ$4:$EJ$40,MATCH(ROW()-3,$PC$4:$PC$40,0)))</f>
        <v/>
      </c>
      <c r="PE42">
        <f>IF(COUNTIF('Buyer Groups'!DG95:EF95,0)+COUNTIF('Buyer Groups'!EH95:EN95,0)&gt;0,0,1)</f>
        <v/>
      </c>
      <c r="PH42">
        <f>IF(ROW()-3&gt;MAX($PG$4:$PG$40),"",INDEX($EO$4:$EO$40,MATCH(ROW()-3,$PG$4:$PG$40,0)))</f>
        <v/>
      </c>
      <c r="PI42">
        <f>IF(COUNTIF('Buyer Groups'!DG95:EG95,0)+COUNTIF('Buyer Groups'!EI95:EN95,0)&gt;0,0,1)</f>
        <v/>
      </c>
      <c r="PL42">
        <f>IF(ROW()-3&gt;MAX($PK$4:$PK$40),"",INDEX($ET$4:$ET$40,MATCH(ROW()-3,$PK$4:$PK$40,0)))</f>
        <v/>
      </c>
      <c r="PM42">
        <f>IF(COUNTIF('Buyer Groups'!DG95:EH95,0)+COUNTIF('Buyer Groups'!EJ95:EN95,0)&gt;0,0,1)</f>
        <v/>
      </c>
      <c r="PP42">
        <f>IF(ROW()-3&gt;MAX($PO$4:$PO$40),"",INDEX($EY$4:$EY$40,MATCH(ROW()-3,$PO$4:$PO$40,0)))</f>
        <v/>
      </c>
      <c r="PQ42">
        <f>IF(COUNTIF('Buyer Groups'!DG95:EI95,0)+COUNTIF('Buyer Groups'!EK95:EN95,0)&gt;0,0,1)</f>
        <v/>
      </c>
      <c r="PT42">
        <f>IF(ROW()-3&gt;MAX($PS$4:$PS$40),"",INDEX($FD$4:$FD$40,MATCH(ROW()-3,$PS$4:$PS$40,0)))</f>
        <v/>
      </c>
      <c r="PU42">
        <f>IF(COUNTIF('Buyer Groups'!DG95:EJ95,0)+COUNTIF('Buyer Groups'!EL95:EN95,0)&gt;0,0,1)</f>
        <v/>
      </c>
      <c r="PX42">
        <f>IF(ROW()-3&gt;MAX($PW$4:$PW$40),"",INDEX($FX$4:$FX$40,MATCH(ROW()-3,$PW$4:$PW$40,0)))</f>
        <v/>
      </c>
      <c r="PY42">
        <f>IF(COUNTIF('Buyer Groups'!DG95:EK95,0)+COUNTIF('Buyer Groups'!EM95:EN95,0)&gt;0,0,1)</f>
        <v/>
      </c>
      <c r="QB42">
        <f>IF(ROW()-3&gt;MAX($QA$4:$QA$40),"",INDEX($FI$4:$FI$40,MATCH(ROW()-3,$QA$4:$QA$40,0)))</f>
        <v/>
      </c>
      <c r="QC42">
        <f>IF(COUNTIF('Buyer Groups'!DG95:EL95,0)+COUNTIF('Buyer Groups'!EN95:EN95,0)&gt;0,0,1)</f>
        <v/>
      </c>
      <c r="QF42">
        <f>IF(ROW()-3&gt;MAX($QE$4:$QE$40),"",INDEX($FN$4:$FN$40,MATCH(ROW()-3,$QE$4:$QE$40,0)))</f>
        <v/>
      </c>
      <c r="QG42">
        <f>IF(COUNTIF('Buyer Groups'!DG95:EM95,0)&gt;0,0,1)</f>
        <v/>
      </c>
      <c r="QJ42">
        <f>IF(ROW()-3&gt;MAX($QI$4:$QI$40),"",INDEX($FS$4:$FS$40,MATCH(ROW()-3,$QI$4:$QI$40,0)))</f>
        <v/>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2026-09-11T06:12:54Z</dcterms:modified>
  <cp:lastModifiedBy>S.M.C</cp:lastModifiedBy>
  <cp:revision>0</cp:revision>
</cp:coreProperties>
</file>