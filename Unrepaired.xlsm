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D">Lists!$GB$4:INDEX(Lists!$GB$4:$GB$42,MAX(Lists!$GA$4:$GA$40)+2)</definedName>
    <definedName name="SUG_MAIN">Lists!$E$4:INDEX(Lists!$E$4:$E$114,MAX(Lists!$D$4:$D$114))</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SUGN_B">Lists!$LH$4:INDEX(Lists!$LH$4:$LH$42,MAX(Lists!$LG$4:$LG$40)+2)</definedName>
    <definedName name="SUGN_C">Lists!$LL$4:INDEX(Lists!$LL$4:$LL$42,MAX(Lists!$LK$4:$LK$40)+2)</definedName>
    <definedName name="SUGN_D">Lists!$LP$4:INDEX(Lists!$LP$4:$LP$42,MAX(Lists!$LO$4:$LO$40)+2)</definedName>
    <definedName name="SUGN_E">Lists!$LT$4:INDEX(Lists!$LT$4:$LT$42,MAX(Lists!$LS$4:$LS$40)+2)</definedName>
    <definedName name="SUGN_F">Lists!$LX$4:INDEX(Lists!$LX$4:$LX$42,MAX(Lists!$LW$4:$LW$40)+2)</definedName>
    <definedName name="SUGN_G">Lists!$MB$4:INDEX(Lists!$MB$4:$MB$42,MAX(Lists!$MA$4:$MA$40)+2)</definedName>
    <definedName name="SUGN_H">Lists!$MF$4:INDEX(Lists!$MF$4:$MF$42,MAX(Lists!$ME$4:$ME$40)+2)</definedName>
    <definedName name="SUGN_I">Lists!$MJ$4:INDEX(Lists!$MJ$4:$MJ$42,MAX(Lists!$MI$4:$MI$40)+2)</definedName>
    <definedName name="SUGN_J">Lists!$MN$4:INDEX(Lists!$MN$4:$MN$42,MAX(Lists!$MM$4:$MM$40)+2)</definedName>
    <definedName name="SUGN_K">Lists!$MR$4:INDEX(Lists!$MR$4:$MR$42,MAX(Lists!$MQ$4:$MQ$40)+2)</definedName>
    <definedName name="SUGN_L">Lists!$MV$4:INDEX(Lists!$MV$4:$MV$42,MAX(Lists!$MU$4:$MU$40)+2)</definedName>
    <definedName name="SUGN_M">Lists!$MZ$4:INDEX(Lists!$MZ$4:$MZ$42,MAX(Lists!$MY$4:$MY$40)+2)</definedName>
    <definedName name="SUGN_N">Lists!$ND$4:INDEX(Lists!$ND$4:$ND$42,MAX(Lists!$NC$4:$NC$40)+2)</definedName>
    <definedName name="SUGN_O">Lists!$NH$4:INDEX(Lists!$NH$4:$NH$42,MAX(Lists!$NG$4:$NG$40)+2)</definedName>
    <definedName name="SUGN_P">Lists!$NL$4:INDEX(Lists!$NL$4:$NL$42,MAX(Lists!$NK$4:$NK$40)+2)</definedName>
    <definedName name="SUGN_Q">Lists!$NP$4:INDEX(Lists!$NP$4:$NP$42,MAX(Lists!$NO$4:$NO$40)+2)</definedName>
    <definedName name="SUGN_R">Lists!$NT$4:INDEX(Lists!$NT$4:$NT$42,MAX(Lists!$NS$4:$NS$40)+2)</definedName>
    <definedName name="SUGN_S">Lists!$NX$4:INDEX(Lists!$NX$4:$NX$42,MAX(Lists!$NW$4:$NW$40)+2)</definedName>
    <definedName name="SUGN_T">Lists!$OB$4:INDEX(Lists!$OB$4:$OB$42,MAX(Lists!$OA$4:$OA$40)+2)</definedName>
    <definedName name="SUGN_U">Lists!$OF$4:INDEX(Lists!$OF$4:$OF$42,MAX(Lists!$OE$4:$OE$40)+2)</definedName>
    <definedName name="SUGN_V">Lists!$OJ$4:INDEX(Lists!$OJ$4:$OJ$42,MAX(Lists!$OI$4:$OI$40)+2)</definedName>
    <definedName name="SUGN_W">Lists!$ON$4:INDEX(Lists!$ON$4:$ON$42,MAX(Lists!$OM$4:$OM$40)+2)</definedName>
    <definedName name="SUGN_X">Lists!$OR$4:INDEX(Lists!$OR$4:$OR$42,MAX(Lists!$OQ$4:$OQ$40)+2)</definedName>
    <definedName name="SUGN_Y">Lists!$OV$4:INDEX(Lists!$OV$4:$OV$42,MAX(Lists!$OU$4:$OU$40)+2)</definedName>
    <definedName name="SUGN_Z">Lists!$OZ$4:INDEX(Lists!$OZ$4:$OZ$42,MAX(Lists!$OY$4:$OY$40)+2)</definedName>
    <definedName name="SUGN_AA">Lists!$PD$4:INDEX(Lists!$PD$4:$PD$42,MAX(Lists!$PC$4:$PC$40)+2)</definedName>
    <definedName name="SUGN_AB">Lists!$PH$4:INDEX(Lists!$PH$4:$PH$42,MAX(Lists!$PG$4:$PG$40)+2)</definedName>
    <definedName name="SUGN_AC">Lists!$PL$4:INDEX(Lists!$PL$4:$PL$42,MAX(Lists!$PK$4:$PK$40)+2)</definedName>
    <definedName name="SUGN_AD">Lists!$PP$4:INDEX(Lists!$PP$4:$PP$42,MAX(Lists!$PO$4:$PO$40)+2)</definedName>
    <definedName name="SUGN_AE">Lists!$PT$4:INDEX(Lists!$PT$4:$PT$42,MAX(Lists!$PS$4:$PS$40)+2)</definedName>
    <definedName name="SUGN_AI">Lists!$PX$4:INDEX(Lists!$PX$4:$PX$42,MAX(Lists!$PW$4:$PW$40)+2)</definedName>
    <definedName name="SUGN_AF">Lists!$QB$4:INDEX(Lists!$QB$4:$QB$42,MAX(Lists!$QA$4:$QA$40)+2)</definedName>
    <definedName name="SUGN_AG">Lists!$QF$4:INDEX(Lists!$QF$4:$QF$42,MAX(Lists!$QE$4:$QE$40)+2)</definedName>
    <definedName name="SUGN_AH">Lists!$QJ$4:INDEX(Lists!$QJ$4:$QJ$42,MAX(Lists!$QI$4:$QI$40)+2)</definedName>
    <definedName name="_xlnm._FilterDatabase" localSheetId="0" hidden="1">'Final Calculation Sheet'!$A$3:$AH$43</definedName>
    <definedName name="_xlnm.Print_Titles" localSheetId="1">'Live Search'!$5:$5</definedName>
    <definedName name="SUGF_A">Lists!$QS$4:INDEX(Lists!$QS$4:$QS$42,MAX(Lists!$QR$4:$QR$40)+2)</definedName>
    <definedName name="SUGF_B">Lists!$QW$4:INDEX(Lists!$QW$4:$QW$42,MAX(Lists!$QV$4:$QV$40)+2)</definedName>
    <definedName name="SUGF_C">Lists!$RA$4:INDEX(Lists!$RA$4:$RA$42,MAX(Lists!$QZ$4:$QZ$40)+2)</definedName>
    <definedName name="SUGF_D">Lists!$RE$4:INDEX(Lists!$RE$4:$RE$42,MAX(Lists!$RD$4:$RD$40)+2)</definedName>
    <definedName name="SUGF_E">Lists!$RI$4:INDEX(Lists!$RI$4:$RI$42,MAX(Lists!$RH$4:$RH$40)+2)</definedName>
    <definedName name="SUGF_F">Lists!$RM$4:INDEX(Lists!$RM$4:$RM$42,MAX(Lists!$RL$4:$RL$40)+2)</definedName>
    <definedName name="SUGF_G">Lists!$RQ$4:INDEX(Lists!$RQ$4:$RQ$42,MAX(Lists!$RP$4:$RP$40)+2)</definedName>
    <definedName name="SUGF_H">Lists!$RU$4:INDEX(Lists!$RU$4:$RU$42,MAX(Lists!$RT$4:$RT$40)+2)</definedName>
    <definedName name="SUGF_I">Lists!$RY$4:INDEX(Lists!$RY$4:$RY$42,MAX(Lists!$RX$4:$RX$40)+2)</definedName>
    <definedName name="SUGF_J">Lists!$SC$4:INDEX(Lists!$SC$4:$SC$42,MAX(Lists!$SB$4:$SB$40)+2)</definedName>
    <definedName name="SUGF_K">Lists!$SG$4:INDEX(Lists!$SG$4:$SG$42,MAX(Lists!$SF$4:$SF$40)+2)</definedName>
    <definedName name="SUGF_L">Lists!$SK$4:INDEX(Lists!$SK$4:$SK$42,MAX(Lists!$SJ$4:$SJ$40)+2)</definedName>
    <definedName name="SUGF_M">Lists!$SO$4:INDEX(Lists!$SO$4:$SO$42,MAX(Lists!$SN$4:$SN$40)+2)</definedName>
    <definedName name="SUGF_N">Lists!$SS$4:INDEX(Lists!$SS$4:$SS$42,MAX(Lists!$SR$4:$SR$40)+2)</definedName>
    <definedName name="SUGF_O">Lists!$SW$4:INDEX(Lists!$SW$4:$SW$42,MAX(Lists!$SV$4:$SV$40)+2)</definedName>
    <definedName name="SUGF_P">Lists!$TA$4:INDEX(Lists!$TA$4:$TA$42,MAX(Lists!$SZ$4:$SZ$40)+2)</definedName>
    <definedName name="SUGF_Q">Lists!$TE$4:INDEX(Lists!$TE$4:$TE$42,MAX(Lists!$TD$4:$TD$40)+2)</definedName>
    <definedName name="SUGF_R">Lists!$TI$4:INDEX(Lists!$TI$4:$TI$42,MAX(Lists!$TH$4:$TH$40)+2)</definedName>
    <definedName name="SUGF_S">Lists!$TM$4:INDEX(Lists!$TM$4:$TM$42,MAX(Lists!$TL$4:$TL$40)+2)</definedName>
    <definedName name="SUGF_T">Lists!$TQ$4:INDEX(Lists!$TQ$4:$TQ$42,MAX(Lists!$TP$4:$TP$40)+2)</definedName>
    <definedName name="SUGF_U">Lists!$TU$4:INDEX(Lists!$TU$4:$TU$42,MAX(Lists!$TT$4:$TT$40)+2)</definedName>
    <definedName name="SUGF_V">Lists!$TY$4:INDEX(Lists!$TY$4:$TY$42,MAX(Lists!$TX$4:$TX$40)+2)</definedName>
    <definedName name="SUGF_W">Lists!$UC$4:INDEX(Lists!$UC$4:$UC$42,MAX(Lists!$UB$4:$UB$40)+2)</definedName>
    <definedName name="SUGF_X">Lists!$UG$4:INDEX(Lists!$UG$4:$UG$42,MAX(Lists!$UF$4:$UF$40)+2)</definedName>
    <definedName name="SUGF_Y">Lists!$UK$4:INDEX(Lists!$UK$4:$UK$42,MAX(Lists!$UJ$4:$UJ$40)+2)</definedName>
    <definedName name="SUGF_Z">Lists!$UO$4:INDEX(Lists!$UO$4:$UO$42,MAX(Lists!$UN$4:$UN$40)+2)</definedName>
    <definedName name="SUGF_AA">Lists!$US$4:INDEX(Lists!$US$4:$US$42,MAX(Lists!$UR$4:$UR$40)+2)</definedName>
    <definedName name="SUGF_AB">Lists!$UW$4:INDEX(Lists!$UW$4:$UW$42,MAX(Lists!$UV$4:$UV$40)+2)</definedName>
    <definedName name="SUGF_AC">Lists!$VA$4:INDEX(Lists!$VA$4:$VA$42,MAX(Lists!$UZ$4:$UZ$40)+2)</definedName>
    <definedName name="SUGF_AD">Lists!$VE$4:INDEX(Lists!$VE$4:$VE$42,MAX(Lists!$VD$4:$VD$40)+2)</definedName>
    <definedName name="SUGF_AE">Lists!$VI$4:INDEX(Lists!$VI$4:$VI$42,MAX(Lists!$VH$4:$VH$40)+2)</definedName>
    <definedName name="SUGF_AF">Lists!$VM$4:INDEX(Lists!$VM$4:$VM$42,MAX(Lists!$VL$4:$VL$40)+2)</definedName>
    <definedName name="SUGF_AG">Lists!$VQ$4:INDEX(Lists!$VQ$4:$VQ$42,MAX(Lists!$VP$4:$VP$40)+2)</definedName>
    <definedName name="SUGF_AH">Lists!$VU$4:INDEX(Lists!$VU$4:$VU$42,MAX(Lists!$VT$4:$VT$40)+2)</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5">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BT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min="38" max="72" width="11" customWidth="1" hidden="1" outlineLevel="1" style="137"/>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30" customHeight="1" s="137">
      <c r="A2" s="78"/>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7">
        <f>IF(COUNTIF($A$2:$AH$2,"&lt;&gt;")=0,"🔍 SEARCH - nothing typed yet, all 37 rows are shown.   ·   type in any yellow box above a column, or pick from its dropdown: every column is searched, the boxes are ANDed together, (blank)/(nonblank) and * / ? work as usual","🔍 MATCHED "&amp;SUM($BT$4:$BT$40)&amp;" of 37 row(s)   ·   the rows that miss are greyed out, nothing is hidden and the totals still cover all 37   ·   clear a box to widen the dropdowns again")</f>
      </c>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IF(IF(OR(AB4="",AB4=0),TODAY(),DATE(VALUE(RIGHT(AB4,4)),VALUE(MID(AB4,4,2)),VALUE(LEFT(AB4,2))))&lt;=DATE(2026,8,24),0,H4*0.0118*CEILING((IF(OR(AB4="",AB4=0),TODAY(),DATE(VALUE(RIGHT(AB4,4)),VALUE(MID(AB4,4,2)),VALUE(LEFT(AB4,2))))-DATE(2026,8,22))/7,1))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L4" s="137">
        <f>IF($A$2="",1,IF($A$2="(blank)",--(A4=""),IF($A$2="(nonblank)",--(A4&lt;&gt;""),--ISNUMBER(SEARCH($A$2,A4)))))</f>
      </c>
      <c r="AM4" s="137">
        <f>IF($B$2="",1,IF($B$2="(blank)",--(B4=""),IF($B$2="(nonblank)",--(B4&lt;&gt;""),--ISNUMBER(SEARCH($B$2,B4)))))</f>
      </c>
      <c r="AN4" s="137">
        <f>IF($C$2="",1,IF($C$2="(blank)",--(C4=""),IF($C$2="(nonblank)",--(C4&lt;&gt;""),--ISNUMBER(SEARCH($C$2,C4)))))</f>
      </c>
      <c r="AO4" s="137">
        <f>IF($D$2="",1,IF($D$2="(blank)",--(D4=""),IF($D$2="(nonblank)",--(D4&lt;&gt;""),--ISNUMBER(SEARCH($D$2,D4)))))</f>
      </c>
      <c r="AP4" s="137">
        <f>IF($E$2="",1,IF($E$2="(blank)",--(E4=""),IF($E$2="(nonblank)",--(E4&lt;&gt;""),--ISNUMBER(SEARCH($E$2,E4)))))</f>
      </c>
      <c r="AQ4" s="137">
        <f>IF($F$2="",1,IF($F$2="(blank)",--(F4=""),IF($F$2="(nonblank)",--(F4&lt;&gt;""),--ISNUMBER(SEARCH($F$2,F4)))))</f>
      </c>
      <c r="AR4" s="137">
        <f>IF($G$2="",1,IF($G$2="(blank)",--(G4=""),IF($G$2="(nonblank)",--(G4&lt;&gt;""),--ISNUMBER(SEARCH($G$2,G4)))))</f>
      </c>
      <c r="AS4" s="137">
        <f>IF($H$2="",1,IF($H$2="(blank)",--(H4=""),IF($H$2="(nonblank)",--(H4&lt;&gt;""),--ISNUMBER(SEARCH($H$2,H4)))))</f>
      </c>
      <c r="AT4" s="137">
        <f>IF($I$2="",1,IF($I$2="(blank)",--(I4=""),IF($I$2="(nonblank)",--(I4&lt;&gt;""),--ISNUMBER(SEARCH($I$2,I4)))))</f>
      </c>
      <c r="AU4" s="137">
        <f>IF($J$2="",1,IF($J$2="(blank)",--(J4=""),IF($J$2="(nonblank)",--(J4&lt;&gt;""),--ISNUMBER(SEARCH($J$2,J4)))))</f>
      </c>
      <c r="AV4" s="137">
        <f>IF($K$2="",1,IF($K$2="(blank)",--(K4=""),IF($K$2="(nonblank)",--(K4&lt;&gt;""),--ISNUMBER(SEARCH($K$2,K4)))))</f>
      </c>
      <c r="AW4" s="137">
        <f>IF($L$2="",1,IF($L$2="(blank)",--(L4=""),IF($L$2="(nonblank)",--(L4&lt;&gt;""),--ISNUMBER(SEARCH($L$2,L4)))))</f>
      </c>
      <c r="AX4" s="137">
        <f>IF($M$2="",1,IF($M$2="(blank)",--(M4=""),IF($M$2="(nonblank)",--(M4&lt;&gt;""),--ISNUMBER(SEARCH($M$2,M4)))))</f>
      </c>
      <c r="AY4" s="137">
        <f>IF($N$2="",1,IF($N$2="(blank)",--(N4=""),IF($N$2="(nonblank)",--(N4&lt;&gt;""),--ISNUMBER(SEARCH($N$2,N4)))))</f>
      </c>
      <c r="AZ4" s="137">
        <f>IF($O$2="",1,IF($O$2="(blank)",--(O4=""),IF($O$2="(nonblank)",--(O4&lt;&gt;""),--ISNUMBER(SEARCH($O$2,O4)))))</f>
      </c>
      <c r="BA4" s="137">
        <f>IF($P$2="",1,IF($P$2="(blank)",--(P4=""),IF($P$2="(nonblank)",--(P4&lt;&gt;""),--ISNUMBER(SEARCH($P$2,P4)))))</f>
      </c>
      <c r="BB4" s="137">
        <f>IF($Q$2="",1,IF($Q$2="(blank)",--(Q4=""),IF($Q$2="(nonblank)",--(Q4&lt;&gt;""),--ISNUMBER(SEARCH($Q$2,Q4)))))</f>
      </c>
      <c r="BC4" s="137">
        <f>IF($R$2="",1,IF($R$2="(blank)",--(R4=""),IF($R$2="(nonblank)",--(R4&lt;&gt;""),--ISNUMBER(SEARCH($R$2,R4)))))</f>
      </c>
      <c r="BD4" s="137">
        <f>IF($S$2="",1,IF($S$2="(blank)",--(S4=""),IF($S$2="(nonblank)",--(S4&lt;&gt;""),--ISNUMBER(SEARCH($S$2,S4)))))</f>
      </c>
      <c r="BE4" s="137">
        <f>IF($T$2="",1,IF($T$2="(blank)",--(T4=""),IF($T$2="(nonblank)",--(T4&lt;&gt;""),--ISNUMBER(SEARCH($T$2,T4)))))</f>
      </c>
      <c r="BF4" s="137">
        <f>IF($U$2="",1,IF($U$2="(blank)",--(U4=""),IF($U$2="(nonblank)",--(U4&lt;&gt;""),--ISNUMBER(SEARCH($U$2,U4)))))</f>
      </c>
      <c r="BG4" s="137">
        <f>IF($V$2="",1,IF($V$2="(blank)",--(V4=""),IF($V$2="(nonblank)",--(V4&lt;&gt;""),--ISNUMBER(SEARCH($V$2,V4)))))</f>
      </c>
      <c r="BH4" s="137">
        <f>IF($W$2="",1,IF($W$2="(blank)",--(W4=""),IF($W$2="(nonblank)",--(W4&lt;&gt;""),--ISNUMBER(SEARCH($W$2,W4)))))</f>
      </c>
      <c r="BI4" s="137">
        <f>IF($X$2="",1,IF($X$2="(blank)",--(X4=""),IF($X$2="(nonblank)",--(X4&lt;&gt;""),--ISNUMBER(SEARCH($X$2,X4)))))</f>
      </c>
      <c r="BJ4" s="137">
        <f>IF($Y$2="",1,IF($Y$2="(blank)",--(Y4=""),IF($Y$2="(nonblank)",--(Y4&lt;&gt;""),--ISNUMBER(SEARCH($Y$2,Y4)))))</f>
      </c>
      <c r="BK4" s="137">
        <f>IF($Z$2="",1,IF($Z$2="(blank)",--(Z4=""),IF($Z$2="(nonblank)",--(Z4&lt;&gt;""),--ISNUMBER(SEARCH($Z$2,Z4)))))</f>
      </c>
      <c r="BL4" s="137">
        <f>IF($AA$2="",1,IF($AA$2="(blank)",--(AA4=""),IF($AA$2="(nonblank)",--(AA4&lt;&gt;""),--ISNUMBER(SEARCH($AA$2,AA4)))))</f>
      </c>
      <c r="BM4" s="137">
        <f>IF($AB$2="",1,IF($AB$2="(blank)",--(AB4=""),IF($AB$2="(nonblank)",--(AB4&lt;&gt;""),--ISNUMBER(SEARCH($AB$2,AB4)))))</f>
      </c>
      <c r="BN4" s="137">
        <f>IF($AC$2="",1,IF($AC$2="(blank)",--(AC4=""),IF($AC$2="(nonblank)",--(AC4&lt;&gt;""),--ISNUMBER(SEARCH($AC$2,AC4)))))</f>
      </c>
      <c r="BO4" s="137">
        <f>IF($AD$2="",1,IF($AD$2="(blank)",--(AD4=""),IF($AD$2="(nonblank)",--(AD4&lt;&gt;""),--ISNUMBER(SEARCH($AD$2,AD4)))))</f>
      </c>
      <c r="BP4" s="137">
        <f>IF($AE$2="",1,IF($AE$2="(blank)",--(AE4=""),IF($AE$2="(nonblank)",--(AE4&lt;&gt;""),--ISNUMBER(SEARCH($AE$2,AE4)))))</f>
      </c>
      <c r="BQ4" s="137">
        <f>IF($AF$2="",1,IF($AF$2="(blank)",--(AF4=""),IF($AF$2="(nonblank)",--(AF4&lt;&gt;""),--ISNUMBER(SEARCH($AF$2,AF4)))))</f>
      </c>
      <c r="BR4" s="137">
        <f>IF($AG$2="",1,IF($AG$2="(blank)",--(AG4=""),IF($AG$2="(nonblank)",--(AG4&lt;&gt;""),--ISNUMBER(SEARCH($AG$2,AG4)))))</f>
      </c>
      <c r="BS4" s="137">
        <f>IF($AH$2="",1,IF($AH$2="(blank)",--(AH4=""),IF($AH$2="(nonblank)",--(AH4&lt;&gt;""),--ISNUMBER(SEARCH($AH$2,AH4)))))</f>
      </c>
      <c r="BT4" s="137">
        <f>IF(COUNTIF($AL4:$BS4,0)&gt;0,0,1)</f>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IF(IF(OR(AB5="",AB5=0),TODAY(),DATE(VALUE(RIGHT(AB5,4)),VALUE(MID(AB5,4,2)),VALUE(LEFT(AB5,2))))&lt;=DATE(2026,8,24),0,H5*0.0118*CEILING((IF(OR(AB5="",AB5=0),TODAY(),DATE(VALUE(RIGHT(AB5,4)),VALUE(MID(AB5,4,2)),VALUE(LEFT(AB5,2))))-DATE(2026,8,22))/7,1))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L5" s="137">
        <f>IF($A$2="",1,IF($A$2="(blank)",--(A5=""),IF($A$2="(nonblank)",--(A5&lt;&gt;""),--ISNUMBER(SEARCH($A$2,A5)))))</f>
      </c>
      <c r="AM5" s="137">
        <f>IF($B$2="",1,IF($B$2="(blank)",--(B5=""),IF($B$2="(nonblank)",--(B5&lt;&gt;""),--ISNUMBER(SEARCH($B$2,B5)))))</f>
      </c>
      <c r="AN5" s="137">
        <f>IF($C$2="",1,IF($C$2="(blank)",--(C5=""),IF($C$2="(nonblank)",--(C5&lt;&gt;""),--ISNUMBER(SEARCH($C$2,C5)))))</f>
      </c>
      <c r="AO5" s="137">
        <f>IF($D$2="",1,IF($D$2="(blank)",--(D5=""),IF($D$2="(nonblank)",--(D5&lt;&gt;""),--ISNUMBER(SEARCH($D$2,D5)))))</f>
      </c>
      <c r="AP5" s="137">
        <f>IF($E$2="",1,IF($E$2="(blank)",--(E5=""),IF($E$2="(nonblank)",--(E5&lt;&gt;""),--ISNUMBER(SEARCH($E$2,E5)))))</f>
      </c>
      <c r="AQ5" s="137">
        <f>IF($F$2="",1,IF($F$2="(blank)",--(F5=""),IF($F$2="(nonblank)",--(F5&lt;&gt;""),--ISNUMBER(SEARCH($F$2,F5)))))</f>
      </c>
      <c r="AR5" s="137">
        <f>IF($G$2="",1,IF($G$2="(blank)",--(G5=""),IF($G$2="(nonblank)",--(G5&lt;&gt;""),--ISNUMBER(SEARCH($G$2,G5)))))</f>
      </c>
      <c r="AS5" s="137">
        <f>IF($H$2="",1,IF($H$2="(blank)",--(H5=""),IF($H$2="(nonblank)",--(H5&lt;&gt;""),--ISNUMBER(SEARCH($H$2,H5)))))</f>
      </c>
      <c r="AT5" s="137">
        <f>IF($I$2="",1,IF($I$2="(blank)",--(I5=""),IF($I$2="(nonblank)",--(I5&lt;&gt;""),--ISNUMBER(SEARCH($I$2,I5)))))</f>
      </c>
      <c r="AU5" s="137">
        <f>IF($J$2="",1,IF($J$2="(blank)",--(J5=""),IF($J$2="(nonblank)",--(J5&lt;&gt;""),--ISNUMBER(SEARCH($J$2,J5)))))</f>
      </c>
      <c r="AV5" s="137">
        <f>IF($K$2="",1,IF($K$2="(blank)",--(K5=""),IF($K$2="(nonblank)",--(K5&lt;&gt;""),--ISNUMBER(SEARCH($K$2,K5)))))</f>
      </c>
      <c r="AW5" s="137">
        <f>IF($L$2="",1,IF($L$2="(blank)",--(L5=""),IF($L$2="(nonblank)",--(L5&lt;&gt;""),--ISNUMBER(SEARCH($L$2,L5)))))</f>
      </c>
      <c r="AX5" s="137">
        <f>IF($M$2="",1,IF($M$2="(blank)",--(M5=""),IF($M$2="(nonblank)",--(M5&lt;&gt;""),--ISNUMBER(SEARCH($M$2,M5)))))</f>
      </c>
      <c r="AY5" s="137">
        <f>IF($N$2="",1,IF($N$2="(blank)",--(N5=""),IF($N$2="(nonblank)",--(N5&lt;&gt;""),--ISNUMBER(SEARCH($N$2,N5)))))</f>
      </c>
      <c r="AZ5" s="137">
        <f>IF($O$2="",1,IF($O$2="(blank)",--(O5=""),IF($O$2="(nonblank)",--(O5&lt;&gt;""),--ISNUMBER(SEARCH($O$2,O5)))))</f>
      </c>
      <c r="BA5" s="137">
        <f>IF($P$2="",1,IF($P$2="(blank)",--(P5=""),IF($P$2="(nonblank)",--(P5&lt;&gt;""),--ISNUMBER(SEARCH($P$2,P5)))))</f>
      </c>
      <c r="BB5" s="137">
        <f>IF($Q$2="",1,IF($Q$2="(blank)",--(Q5=""),IF($Q$2="(nonblank)",--(Q5&lt;&gt;""),--ISNUMBER(SEARCH($Q$2,Q5)))))</f>
      </c>
      <c r="BC5" s="137">
        <f>IF($R$2="",1,IF($R$2="(blank)",--(R5=""),IF($R$2="(nonblank)",--(R5&lt;&gt;""),--ISNUMBER(SEARCH($R$2,R5)))))</f>
      </c>
      <c r="BD5" s="137">
        <f>IF($S$2="",1,IF($S$2="(blank)",--(S5=""),IF($S$2="(nonblank)",--(S5&lt;&gt;""),--ISNUMBER(SEARCH($S$2,S5)))))</f>
      </c>
      <c r="BE5" s="137">
        <f>IF($T$2="",1,IF($T$2="(blank)",--(T5=""),IF($T$2="(nonblank)",--(T5&lt;&gt;""),--ISNUMBER(SEARCH($T$2,T5)))))</f>
      </c>
      <c r="BF5" s="137">
        <f>IF($U$2="",1,IF($U$2="(blank)",--(U5=""),IF($U$2="(nonblank)",--(U5&lt;&gt;""),--ISNUMBER(SEARCH($U$2,U5)))))</f>
      </c>
      <c r="BG5" s="137">
        <f>IF($V$2="",1,IF($V$2="(blank)",--(V5=""),IF($V$2="(nonblank)",--(V5&lt;&gt;""),--ISNUMBER(SEARCH($V$2,V5)))))</f>
      </c>
      <c r="BH5" s="137">
        <f>IF($W$2="",1,IF($W$2="(blank)",--(W5=""),IF($W$2="(nonblank)",--(W5&lt;&gt;""),--ISNUMBER(SEARCH($W$2,W5)))))</f>
      </c>
      <c r="BI5" s="137">
        <f>IF($X$2="",1,IF($X$2="(blank)",--(X5=""),IF($X$2="(nonblank)",--(X5&lt;&gt;""),--ISNUMBER(SEARCH($X$2,X5)))))</f>
      </c>
      <c r="BJ5" s="137">
        <f>IF($Y$2="",1,IF($Y$2="(blank)",--(Y5=""),IF($Y$2="(nonblank)",--(Y5&lt;&gt;""),--ISNUMBER(SEARCH($Y$2,Y5)))))</f>
      </c>
      <c r="BK5" s="137">
        <f>IF($Z$2="",1,IF($Z$2="(blank)",--(Z5=""),IF($Z$2="(nonblank)",--(Z5&lt;&gt;""),--ISNUMBER(SEARCH($Z$2,Z5)))))</f>
      </c>
      <c r="BL5" s="137">
        <f>IF($AA$2="",1,IF($AA$2="(blank)",--(AA5=""),IF($AA$2="(nonblank)",--(AA5&lt;&gt;""),--ISNUMBER(SEARCH($AA$2,AA5)))))</f>
      </c>
      <c r="BM5" s="137">
        <f>IF($AB$2="",1,IF($AB$2="(blank)",--(AB5=""),IF($AB$2="(nonblank)",--(AB5&lt;&gt;""),--ISNUMBER(SEARCH($AB$2,AB5)))))</f>
      </c>
      <c r="BN5" s="137">
        <f>IF($AC$2="",1,IF($AC$2="(blank)",--(AC5=""),IF($AC$2="(nonblank)",--(AC5&lt;&gt;""),--ISNUMBER(SEARCH($AC$2,AC5)))))</f>
      </c>
      <c r="BO5" s="137">
        <f>IF($AD$2="",1,IF($AD$2="(blank)",--(AD5=""),IF($AD$2="(nonblank)",--(AD5&lt;&gt;""),--ISNUMBER(SEARCH($AD$2,AD5)))))</f>
      </c>
      <c r="BP5" s="137">
        <f>IF($AE$2="",1,IF($AE$2="(blank)",--(AE5=""),IF($AE$2="(nonblank)",--(AE5&lt;&gt;""),--ISNUMBER(SEARCH($AE$2,AE5)))))</f>
      </c>
      <c r="BQ5" s="137">
        <f>IF($AF$2="",1,IF($AF$2="(blank)",--(AF5=""),IF($AF$2="(nonblank)",--(AF5&lt;&gt;""),--ISNUMBER(SEARCH($AF$2,AF5)))))</f>
      </c>
      <c r="BR5" s="137">
        <f>IF($AG$2="",1,IF($AG$2="(blank)",--(AG5=""),IF($AG$2="(nonblank)",--(AG5&lt;&gt;""),--ISNUMBER(SEARCH($AG$2,AG5)))))</f>
      </c>
      <c r="BS5" s="137">
        <f>IF($AH$2="",1,IF($AH$2="(blank)",--(AH5=""),IF($AH$2="(nonblank)",--(AH5&lt;&gt;""),--ISNUMBER(SEARCH($AH$2,AH5)))))</f>
      </c>
      <c r="BT5" s="137">
        <f>IF(COUNTIF($AL5:$BS5,0)&gt;0,0,1)</f>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IF(IF(OR(AB6="",AB6=0),TODAY(),DATE(VALUE(RIGHT(AB6,4)),VALUE(MID(AB6,4,2)),VALUE(LEFT(AB6,2))))&lt;=DATE(2026,8,24),0,H6*0.0118*CEILING((IF(OR(AB6="",AB6=0),TODAY(),DATE(VALUE(RIGHT(AB6,4)),VALUE(MID(AB6,4,2)),VALUE(LEFT(AB6,2))))-DATE(2026,8,22))/7,1))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L6" s="137">
        <f>IF($A$2="",1,IF($A$2="(blank)",--(A6=""),IF($A$2="(nonblank)",--(A6&lt;&gt;""),--ISNUMBER(SEARCH($A$2,A6)))))</f>
      </c>
      <c r="AM6" s="137">
        <f>IF($B$2="",1,IF($B$2="(blank)",--(B6=""),IF($B$2="(nonblank)",--(B6&lt;&gt;""),--ISNUMBER(SEARCH($B$2,B6)))))</f>
      </c>
      <c r="AN6" s="137">
        <f>IF($C$2="",1,IF($C$2="(blank)",--(C6=""),IF($C$2="(nonblank)",--(C6&lt;&gt;""),--ISNUMBER(SEARCH($C$2,C6)))))</f>
      </c>
      <c r="AO6" s="137">
        <f>IF($D$2="",1,IF($D$2="(blank)",--(D6=""),IF($D$2="(nonblank)",--(D6&lt;&gt;""),--ISNUMBER(SEARCH($D$2,D6)))))</f>
      </c>
      <c r="AP6" s="137">
        <f>IF($E$2="",1,IF($E$2="(blank)",--(E6=""),IF($E$2="(nonblank)",--(E6&lt;&gt;""),--ISNUMBER(SEARCH($E$2,E6)))))</f>
      </c>
      <c r="AQ6" s="137">
        <f>IF($F$2="",1,IF($F$2="(blank)",--(F6=""),IF($F$2="(nonblank)",--(F6&lt;&gt;""),--ISNUMBER(SEARCH($F$2,F6)))))</f>
      </c>
      <c r="AR6" s="137">
        <f>IF($G$2="",1,IF($G$2="(blank)",--(G6=""),IF($G$2="(nonblank)",--(G6&lt;&gt;""),--ISNUMBER(SEARCH($G$2,G6)))))</f>
      </c>
      <c r="AS6" s="137">
        <f>IF($H$2="",1,IF($H$2="(blank)",--(H6=""),IF($H$2="(nonblank)",--(H6&lt;&gt;""),--ISNUMBER(SEARCH($H$2,H6)))))</f>
      </c>
      <c r="AT6" s="137">
        <f>IF($I$2="",1,IF($I$2="(blank)",--(I6=""),IF($I$2="(nonblank)",--(I6&lt;&gt;""),--ISNUMBER(SEARCH($I$2,I6)))))</f>
      </c>
      <c r="AU6" s="137">
        <f>IF($J$2="",1,IF($J$2="(blank)",--(J6=""),IF($J$2="(nonblank)",--(J6&lt;&gt;""),--ISNUMBER(SEARCH($J$2,J6)))))</f>
      </c>
      <c r="AV6" s="137">
        <f>IF($K$2="",1,IF($K$2="(blank)",--(K6=""),IF($K$2="(nonblank)",--(K6&lt;&gt;""),--ISNUMBER(SEARCH($K$2,K6)))))</f>
      </c>
      <c r="AW6" s="137">
        <f>IF($L$2="",1,IF($L$2="(blank)",--(L6=""),IF($L$2="(nonblank)",--(L6&lt;&gt;""),--ISNUMBER(SEARCH($L$2,L6)))))</f>
      </c>
      <c r="AX6" s="137">
        <f>IF($M$2="",1,IF($M$2="(blank)",--(M6=""),IF($M$2="(nonblank)",--(M6&lt;&gt;""),--ISNUMBER(SEARCH($M$2,M6)))))</f>
      </c>
      <c r="AY6" s="137">
        <f>IF($N$2="",1,IF($N$2="(blank)",--(N6=""),IF($N$2="(nonblank)",--(N6&lt;&gt;""),--ISNUMBER(SEARCH($N$2,N6)))))</f>
      </c>
      <c r="AZ6" s="137">
        <f>IF($O$2="",1,IF($O$2="(blank)",--(O6=""),IF($O$2="(nonblank)",--(O6&lt;&gt;""),--ISNUMBER(SEARCH($O$2,O6)))))</f>
      </c>
      <c r="BA6" s="137">
        <f>IF($P$2="",1,IF($P$2="(blank)",--(P6=""),IF($P$2="(nonblank)",--(P6&lt;&gt;""),--ISNUMBER(SEARCH($P$2,P6)))))</f>
      </c>
      <c r="BB6" s="137">
        <f>IF($Q$2="",1,IF($Q$2="(blank)",--(Q6=""),IF($Q$2="(nonblank)",--(Q6&lt;&gt;""),--ISNUMBER(SEARCH($Q$2,Q6)))))</f>
      </c>
      <c r="BC6" s="137">
        <f>IF($R$2="",1,IF($R$2="(blank)",--(R6=""),IF($R$2="(nonblank)",--(R6&lt;&gt;""),--ISNUMBER(SEARCH($R$2,R6)))))</f>
      </c>
      <c r="BD6" s="137">
        <f>IF($S$2="",1,IF($S$2="(blank)",--(S6=""),IF($S$2="(nonblank)",--(S6&lt;&gt;""),--ISNUMBER(SEARCH($S$2,S6)))))</f>
      </c>
      <c r="BE6" s="137">
        <f>IF($T$2="",1,IF($T$2="(blank)",--(T6=""),IF($T$2="(nonblank)",--(T6&lt;&gt;""),--ISNUMBER(SEARCH($T$2,T6)))))</f>
      </c>
      <c r="BF6" s="137">
        <f>IF($U$2="",1,IF($U$2="(blank)",--(U6=""),IF($U$2="(nonblank)",--(U6&lt;&gt;""),--ISNUMBER(SEARCH($U$2,U6)))))</f>
      </c>
      <c r="BG6" s="137">
        <f>IF($V$2="",1,IF($V$2="(blank)",--(V6=""),IF($V$2="(nonblank)",--(V6&lt;&gt;""),--ISNUMBER(SEARCH($V$2,V6)))))</f>
      </c>
      <c r="BH6" s="137">
        <f>IF($W$2="",1,IF($W$2="(blank)",--(W6=""),IF($W$2="(nonblank)",--(W6&lt;&gt;""),--ISNUMBER(SEARCH($W$2,W6)))))</f>
      </c>
      <c r="BI6" s="137">
        <f>IF($X$2="",1,IF($X$2="(blank)",--(X6=""),IF($X$2="(nonblank)",--(X6&lt;&gt;""),--ISNUMBER(SEARCH($X$2,X6)))))</f>
      </c>
      <c r="BJ6" s="137">
        <f>IF($Y$2="",1,IF($Y$2="(blank)",--(Y6=""),IF($Y$2="(nonblank)",--(Y6&lt;&gt;""),--ISNUMBER(SEARCH($Y$2,Y6)))))</f>
      </c>
      <c r="BK6" s="137">
        <f>IF($Z$2="",1,IF($Z$2="(blank)",--(Z6=""),IF($Z$2="(nonblank)",--(Z6&lt;&gt;""),--ISNUMBER(SEARCH($Z$2,Z6)))))</f>
      </c>
      <c r="BL6" s="137">
        <f>IF($AA$2="",1,IF($AA$2="(blank)",--(AA6=""),IF($AA$2="(nonblank)",--(AA6&lt;&gt;""),--ISNUMBER(SEARCH($AA$2,AA6)))))</f>
      </c>
      <c r="BM6" s="137">
        <f>IF($AB$2="",1,IF($AB$2="(blank)",--(AB6=""),IF($AB$2="(nonblank)",--(AB6&lt;&gt;""),--ISNUMBER(SEARCH($AB$2,AB6)))))</f>
      </c>
      <c r="BN6" s="137">
        <f>IF($AC$2="",1,IF($AC$2="(blank)",--(AC6=""),IF($AC$2="(nonblank)",--(AC6&lt;&gt;""),--ISNUMBER(SEARCH($AC$2,AC6)))))</f>
      </c>
      <c r="BO6" s="137">
        <f>IF($AD$2="",1,IF($AD$2="(blank)",--(AD6=""),IF($AD$2="(nonblank)",--(AD6&lt;&gt;""),--ISNUMBER(SEARCH($AD$2,AD6)))))</f>
      </c>
      <c r="BP6" s="137">
        <f>IF($AE$2="",1,IF($AE$2="(blank)",--(AE6=""),IF($AE$2="(nonblank)",--(AE6&lt;&gt;""),--ISNUMBER(SEARCH($AE$2,AE6)))))</f>
      </c>
      <c r="BQ6" s="137">
        <f>IF($AF$2="",1,IF($AF$2="(blank)",--(AF6=""),IF($AF$2="(nonblank)",--(AF6&lt;&gt;""),--ISNUMBER(SEARCH($AF$2,AF6)))))</f>
      </c>
      <c r="BR6" s="137">
        <f>IF($AG$2="",1,IF($AG$2="(blank)",--(AG6=""),IF($AG$2="(nonblank)",--(AG6&lt;&gt;""),--ISNUMBER(SEARCH($AG$2,AG6)))))</f>
      </c>
      <c r="BS6" s="137">
        <f>IF($AH$2="",1,IF($AH$2="(blank)",--(AH6=""),IF($AH$2="(nonblank)",--(AH6&lt;&gt;""),--ISNUMBER(SEARCH($AH$2,AH6)))))</f>
      </c>
      <c r="BT6" s="137">
        <f>IF(COUNTIF($AL6:$BS6,0)&gt;0,0,1)</f>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IF(IF(OR(AB7="",AB7=0),TODAY(),DATE(VALUE(RIGHT(AB7,4)),VALUE(MID(AB7,4,2)),VALUE(LEFT(AB7,2))))&lt;=DATE(2026,8,24),0,H7*0.0118*CEILING((IF(OR(AB7="",AB7=0),TODAY(),DATE(VALUE(RIGHT(AB7,4)),VALUE(MID(AB7,4,2)),VALUE(LEFT(AB7,2))))-DATE(2026,8,22))/7,1))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L7" s="137">
        <f>IF($A$2="",1,IF($A$2="(blank)",--(A7=""),IF($A$2="(nonblank)",--(A7&lt;&gt;""),--ISNUMBER(SEARCH($A$2,A7)))))</f>
      </c>
      <c r="AM7" s="137">
        <f>IF($B$2="",1,IF($B$2="(blank)",--(B7=""),IF($B$2="(nonblank)",--(B7&lt;&gt;""),--ISNUMBER(SEARCH($B$2,B7)))))</f>
      </c>
      <c r="AN7" s="137">
        <f>IF($C$2="",1,IF($C$2="(blank)",--(C7=""),IF($C$2="(nonblank)",--(C7&lt;&gt;""),--ISNUMBER(SEARCH($C$2,C7)))))</f>
      </c>
      <c r="AO7" s="137">
        <f>IF($D$2="",1,IF($D$2="(blank)",--(D7=""),IF($D$2="(nonblank)",--(D7&lt;&gt;""),--ISNUMBER(SEARCH($D$2,D7)))))</f>
      </c>
      <c r="AP7" s="137">
        <f>IF($E$2="",1,IF($E$2="(blank)",--(E7=""),IF($E$2="(nonblank)",--(E7&lt;&gt;""),--ISNUMBER(SEARCH($E$2,E7)))))</f>
      </c>
      <c r="AQ7" s="137">
        <f>IF($F$2="",1,IF($F$2="(blank)",--(F7=""),IF($F$2="(nonblank)",--(F7&lt;&gt;""),--ISNUMBER(SEARCH($F$2,F7)))))</f>
      </c>
      <c r="AR7" s="137">
        <f>IF($G$2="",1,IF($G$2="(blank)",--(G7=""),IF($G$2="(nonblank)",--(G7&lt;&gt;""),--ISNUMBER(SEARCH($G$2,G7)))))</f>
      </c>
      <c r="AS7" s="137">
        <f>IF($H$2="",1,IF($H$2="(blank)",--(H7=""),IF($H$2="(nonblank)",--(H7&lt;&gt;""),--ISNUMBER(SEARCH($H$2,H7)))))</f>
      </c>
      <c r="AT7" s="137">
        <f>IF($I$2="",1,IF($I$2="(blank)",--(I7=""),IF($I$2="(nonblank)",--(I7&lt;&gt;""),--ISNUMBER(SEARCH($I$2,I7)))))</f>
      </c>
      <c r="AU7" s="137">
        <f>IF($J$2="",1,IF($J$2="(blank)",--(J7=""),IF($J$2="(nonblank)",--(J7&lt;&gt;""),--ISNUMBER(SEARCH($J$2,J7)))))</f>
      </c>
      <c r="AV7" s="137">
        <f>IF($K$2="",1,IF($K$2="(blank)",--(K7=""),IF($K$2="(nonblank)",--(K7&lt;&gt;""),--ISNUMBER(SEARCH($K$2,K7)))))</f>
      </c>
      <c r="AW7" s="137">
        <f>IF($L$2="",1,IF($L$2="(blank)",--(L7=""),IF($L$2="(nonblank)",--(L7&lt;&gt;""),--ISNUMBER(SEARCH($L$2,L7)))))</f>
      </c>
      <c r="AX7" s="137">
        <f>IF($M$2="",1,IF($M$2="(blank)",--(M7=""),IF($M$2="(nonblank)",--(M7&lt;&gt;""),--ISNUMBER(SEARCH($M$2,M7)))))</f>
      </c>
      <c r="AY7" s="137">
        <f>IF($N$2="",1,IF($N$2="(blank)",--(N7=""),IF($N$2="(nonblank)",--(N7&lt;&gt;""),--ISNUMBER(SEARCH($N$2,N7)))))</f>
      </c>
      <c r="AZ7" s="137">
        <f>IF($O$2="",1,IF($O$2="(blank)",--(O7=""),IF($O$2="(nonblank)",--(O7&lt;&gt;""),--ISNUMBER(SEARCH($O$2,O7)))))</f>
      </c>
      <c r="BA7" s="137">
        <f>IF($P$2="",1,IF($P$2="(blank)",--(P7=""),IF($P$2="(nonblank)",--(P7&lt;&gt;""),--ISNUMBER(SEARCH($P$2,P7)))))</f>
      </c>
      <c r="BB7" s="137">
        <f>IF($Q$2="",1,IF($Q$2="(blank)",--(Q7=""),IF($Q$2="(nonblank)",--(Q7&lt;&gt;""),--ISNUMBER(SEARCH($Q$2,Q7)))))</f>
      </c>
      <c r="BC7" s="137">
        <f>IF($R$2="",1,IF($R$2="(blank)",--(R7=""),IF($R$2="(nonblank)",--(R7&lt;&gt;""),--ISNUMBER(SEARCH($R$2,R7)))))</f>
      </c>
      <c r="BD7" s="137">
        <f>IF($S$2="",1,IF($S$2="(blank)",--(S7=""),IF($S$2="(nonblank)",--(S7&lt;&gt;""),--ISNUMBER(SEARCH($S$2,S7)))))</f>
      </c>
      <c r="BE7" s="137">
        <f>IF($T$2="",1,IF($T$2="(blank)",--(T7=""),IF($T$2="(nonblank)",--(T7&lt;&gt;""),--ISNUMBER(SEARCH($T$2,T7)))))</f>
      </c>
      <c r="BF7" s="137">
        <f>IF($U$2="",1,IF($U$2="(blank)",--(U7=""),IF($U$2="(nonblank)",--(U7&lt;&gt;""),--ISNUMBER(SEARCH($U$2,U7)))))</f>
      </c>
      <c r="BG7" s="137">
        <f>IF($V$2="",1,IF($V$2="(blank)",--(V7=""),IF($V$2="(nonblank)",--(V7&lt;&gt;""),--ISNUMBER(SEARCH($V$2,V7)))))</f>
      </c>
      <c r="BH7" s="137">
        <f>IF($W$2="",1,IF($W$2="(blank)",--(W7=""),IF($W$2="(nonblank)",--(W7&lt;&gt;""),--ISNUMBER(SEARCH($W$2,W7)))))</f>
      </c>
      <c r="BI7" s="137">
        <f>IF($X$2="",1,IF($X$2="(blank)",--(X7=""),IF($X$2="(nonblank)",--(X7&lt;&gt;""),--ISNUMBER(SEARCH($X$2,X7)))))</f>
      </c>
      <c r="BJ7" s="137">
        <f>IF($Y$2="",1,IF($Y$2="(blank)",--(Y7=""),IF($Y$2="(nonblank)",--(Y7&lt;&gt;""),--ISNUMBER(SEARCH($Y$2,Y7)))))</f>
      </c>
      <c r="BK7" s="137">
        <f>IF($Z$2="",1,IF($Z$2="(blank)",--(Z7=""),IF($Z$2="(nonblank)",--(Z7&lt;&gt;""),--ISNUMBER(SEARCH($Z$2,Z7)))))</f>
      </c>
      <c r="BL7" s="137">
        <f>IF($AA$2="",1,IF($AA$2="(blank)",--(AA7=""),IF($AA$2="(nonblank)",--(AA7&lt;&gt;""),--ISNUMBER(SEARCH($AA$2,AA7)))))</f>
      </c>
      <c r="BM7" s="137">
        <f>IF($AB$2="",1,IF($AB$2="(blank)",--(AB7=""),IF($AB$2="(nonblank)",--(AB7&lt;&gt;""),--ISNUMBER(SEARCH($AB$2,AB7)))))</f>
      </c>
      <c r="BN7" s="137">
        <f>IF($AC$2="",1,IF($AC$2="(blank)",--(AC7=""),IF($AC$2="(nonblank)",--(AC7&lt;&gt;""),--ISNUMBER(SEARCH($AC$2,AC7)))))</f>
      </c>
      <c r="BO7" s="137">
        <f>IF($AD$2="",1,IF($AD$2="(blank)",--(AD7=""),IF($AD$2="(nonblank)",--(AD7&lt;&gt;""),--ISNUMBER(SEARCH($AD$2,AD7)))))</f>
      </c>
      <c r="BP7" s="137">
        <f>IF($AE$2="",1,IF($AE$2="(blank)",--(AE7=""),IF($AE$2="(nonblank)",--(AE7&lt;&gt;""),--ISNUMBER(SEARCH($AE$2,AE7)))))</f>
      </c>
      <c r="BQ7" s="137">
        <f>IF($AF$2="",1,IF($AF$2="(blank)",--(AF7=""),IF($AF$2="(nonblank)",--(AF7&lt;&gt;""),--ISNUMBER(SEARCH($AF$2,AF7)))))</f>
      </c>
      <c r="BR7" s="137">
        <f>IF($AG$2="",1,IF($AG$2="(blank)",--(AG7=""),IF($AG$2="(nonblank)",--(AG7&lt;&gt;""),--ISNUMBER(SEARCH($AG$2,AG7)))))</f>
      </c>
      <c r="BS7" s="137">
        <f>IF($AH$2="",1,IF($AH$2="(blank)",--(AH7=""),IF($AH$2="(nonblank)",--(AH7&lt;&gt;""),--ISNUMBER(SEARCH($AH$2,AH7)))))</f>
      </c>
      <c r="BT7" s="137">
        <f>IF(COUNTIF($AL7:$BS7,0)&gt;0,0,1)</f>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IF(IF(OR(AB8="",AB8=0),TODAY(),DATE(VALUE(RIGHT(AB8,4)),VALUE(MID(AB8,4,2)),VALUE(LEFT(AB8,2))))&lt;=DATE(2026,8,24),0,H8*0.0118*CEILING((IF(OR(AB8="",AB8=0),TODAY(),DATE(VALUE(RIGHT(AB8,4)),VALUE(MID(AB8,4,2)),VALUE(LEFT(AB8,2))))-DATE(2026,8,22))/7,1))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L8" s="137">
        <f>IF($A$2="",1,IF($A$2="(blank)",--(A8=""),IF($A$2="(nonblank)",--(A8&lt;&gt;""),--ISNUMBER(SEARCH($A$2,A8)))))</f>
      </c>
      <c r="AM8" s="137">
        <f>IF($B$2="",1,IF($B$2="(blank)",--(B8=""),IF($B$2="(nonblank)",--(B8&lt;&gt;""),--ISNUMBER(SEARCH($B$2,B8)))))</f>
      </c>
      <c r="AN8" s="137">
        <f>IF($C$2="",1,IF($C$2="(blank)",--(C8=""),IF($C$2="(nonblank)",--(C8&lt;&gt;""),--ISNUMBER(SEARCH($C$2,C8)))))</f>
      </c>
      <c r="AO8" s="137">
        <f>IF($D$2="",1,IF($D$2="(blank)",--(D8=""),IF($D$2="(nonblank)",--(D8&lt;&gt;""),--ISNUMBER(SEARCH($D$2,D8)))))</f>
      </c>
      <c r="AP8" s="137">
        <f>IF($E$2="",1,IF($E$2="(blank)",--(E8=""),IF($E$2="(nonblank)",--(E8&lt;&gt;""),--ISNUMBER(SEARCH($E$2,E8)))))</f>
      </c>
      <c r="AQ8" s="137">
        <f>IF($F$2="",1,IF($F$2="(blank)",--(F8=""),IF($F$2="(nonblank)",--(F8&lt;&gt;""),--ISNUMBER(SEARCH($F$2,F8)))))</f>
      </c>
      <c r="AR8" s="137">
        <f>IF($G$2="",1,IF($G$2="(blank)",--(G8=""),IF($G$2="(nonblank)",--(G8&lt;&gt;""),--ISNUMBER(SEARCH($G$2,G8)))))</f>
      </c>
      <c r="AS8" s="137">
        <f>IF($H$2="",1,IF($H$2="(blank)",--(H8=""),IF($H$2="(nonblank)",--(H8&lt;&gt;""),--ISNUMBER(SEARCH($H$2,H8)))))</f>
      </c>
      <c r="AT8" s="137">
        <f>IF($I$2="",1,IF($I$2="(blank)",--(I8=""),IF($I$2="(nonblank)",--(I8&lt;&gt;""),--ISNUMBER(SEARCH($I$2,I8)))))</f>
      </c>
      <c r="AU8" s="137">
        <f>IF($J$2="",1,IF($J$2="(blank)",--(J8=""),IF($J$2="(nonblank)",--(J8&lt;&gt;""),--ISNUMBER(SEARCH($J$2,J8)))))</f>
      </c>
      <c r="AV8" s="137">
        <f>IF($K$2="",1,IF($K$2="(blank)",--(K8=""),IF($K$2="(nonblank)",--(K8&lt;&gt;""),--ISNUMBER(SEARCH($K$2,K8)))))</f>
      </c>
      <c r="AW8" s="137">
        <f>IF($L$2="",1,IF($L$2="(blank)",--(L8=""),IF($L$2="(nonblank)",--(L8&lt;&gt;""),--ISNUMBER(SEARCH($L$2,L8)))))</f>
      </c>
      <c r="AX8" s="137">
        <f>IF($M$2="",1,IF($M$2="(blank)",--(M8=""),IF($M$2="(nonblank)",--(M8&lt;&gt;""),--ISNUMBER(SEARCH($M$2,M8)))))</f>
      </c>
      <c r="AY8" s="137">
        <f>IF($N$2="",1,IF($N$2="(blank)",--(N8=""),IF($N$2="(nonblank)",--(N8&lt;&gt;""),--ISNUMBER(SEARCH($N$2,N8)))))</f>
      </c>
      <c r="AZ8" s="137">
        <f>IF($O$2="",1,IF($O$2="(blank)",--(O8=""),IF($O$2="(nonblank)",--(O8&lt;&gt;""),--ISNUMBER(SEARCH($O$2,O8)))))</f>
      </c>
      <c r="BA8" s="137">
        <f>IF($P$2="",1,IF($P$2="(blank)",--(P8=""),IF($P$2="(nonblank)",--(P8&lt;&gt;""),--ISNUMBER(SEARCH($P$2,P8)))))</f>
      </c>
      <c r="BB8" s="137">
        <f>IF($Q$2="",1,IF($Q$2="(blank)",--(Q8=""),IF($Q$2="(nonblank)",--(Q8&lt;&gt;""),--ISNUMBER(SEARCH($Q$2,Q8)))))</f>
      </c>
      <c r="BC8" s="137">
        <f>IF($R$2="",1,IF($R$2="(blank)",--(R8=""),IF($R$2="(nonblank)",--(R8&lt;&gt;""),--ISNUMBER(SEARCH($R$2,R8)))))</f>
      </c>
      <c r="BD8" s="137">
        <f>IF($S$2="",1,IF($S$2="(blank)",--(S8=""),IF($S$2="(nonblank)",--(S8&lt;&gt;""),--ISNUMBER(SEARCH($S$2,S8)))))</f>
      </c>
      <c r="BE8" s="137">
        <f>IF($T$2="",1,IF($T$2="(blank)",--(T8=""),IF($T$2="(nonblank)",--(T8&lt;&gt;""),--ISNUMBER(SEARCH($T$2,T8)))))</f>
      </c>
      <c r="BF8" s="137">
        <f>IF($U$2="",1,IF($U$2="(blank)",--(U8=""),IF($U$2="(nonblank)",--(U8&lt;&gt;""),--ISNUMBER(SEARCH($U$2,U8)))))</f>
      </c>
      <c r="BG8" s="137">
        <f>IF($V$2="",1,IF($V$2="(blank)",--(V8=""),IF($V$2="(nonblank)",--(V8&lt;&gt;""),--ISNUMBER(SEARCH($V$2,V8)))))</f>
      </c>
      <c r="BH8" s="137">
        <f>IF($W$2="",1,IF($W$2="(blank)",--(W8=""),IF($W$2="(nonblank)",--(W8&lt;&gt;""),--ISNUMBER(SEARCH($W$2,W8)))))</f>
      </c>
      <c r="BI8" s="137">
        <f>IF($X$2="",1,IF($X$2="(blank)",--(X8=""),IF($X$2="(nonblank)",--(X8&lt;&gt;""),--ISNUMBER(SEARCH($X$2,X8)))))</f>
      </c>
      <c r="BJ8" s="137">
        <f>IF($Y$2="",1,IF($Y$2="(blank)",--(Y8=""),IF($Y$2="(nonblank)",--(Y8&lt;&gt;""),--ISNUMBER(SEARCH($Y$2,Y8)))))</f>
      </c>
      <c r="BK8" s="137">
        <f>IF($Z$2="",1,IF($Z$2="(blank)",--(Z8=""),IF($Z$2="(nonblank)",--(Z8&lt;&gt;""),--ISNUMBER(SEARCH($Z$2,Z8)))))</f>
      </c>
      <c r="BL8" s="137">
        <f>IF($AA$2="",1,IF($AA$2="(blank)",--(AA8=""),IF($AA$2="(nonblank)",--(AA8&lt;&gt;""),--ISNUMBER(SEARCH($AA$2,AA8)))))</f>
      </c>
      <c r="BM8" s="137">
        <f>IF($AB$2="",1,IF($AB$2="(blank)",--(AB8=""),IF($AB$2="(nonblank)",--(AB8&lt;&gt;""),--ISNUMBER(SEARCH($AB$2,AB8)))))</f>
      </c>
      <c r="BN8" s="137">
        <f>IF($AC$2="",1,IF($AC$2="(blank)",--(AC8=""),IF($AC$2="(nonblank)",--(AC8&lt;&gt;""),--ISNUMBER(SEARCH($AC$2,AC8)))))</f>
      </c>
      <c r="BO8" s="137">
        <f>IF($AD$2="",1,IF($AD$2="(blank)",--(AD8=""),IF($AD$2="(nonblank)",--(AD8&lt;&gt;""),--ISNUMBER(SEARCH($AD$2,AD8)))))</f>
      </c>
      <c r="BP8" s="137">
        <f>IF($AE$2="",1,IF($AE$2="(blank)",--(AE8=""),IF($AE$2="(nonblank)",--(AE8&lt;&gt;""),--ISNUMBER(SEARCH($AE$2,AE8)))))</f>
      </c>
      <c r="BQ8" s="137">
        <f>IF($AF$2="",1,IF($AF$2="(blank)",--(AF8=""),IF($AF$2="(nonblank)",--(AF8&lt;&gt;""),--ISNUMBER(SEARCH($AF$2,AF8)))))</f>
      </c>
      <c r="BR8" s="137">
        <f>IF($AG$2="",1,IF($AG$2="(blank)",--(AG8=""),IF($AG$2="(nonblank)",--(AG8&lt;&gt;""),--ISNUMBER(SEARCH($AG$2,AG8)))))</f>
      </c>
      <c r="BS8" s="137">
        <f>IF($AH$2="",1,IF($AH$2="(blank)",--(AH8=""),IF($AH$2="(nonblank)",--(AH8&lt;&gt;""),--ISNUMBER(SEARCH($AH$2,AH8)))))</f>
      </c>
      <c r="BT8" s="137">
        <f>IF(COUNTIF($AL8:$BS8,0)&gt;0,0,1)</f>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IF(IF(OR(AB9="",AB9=0),TODAY(),DATE(VALUE(RIGHT(AB9,4)),VALUE(MID(AB9,4,2)),VALUE(LEFT(AB9,2))))&lt;=DATE(2026,8,24),0,H9*0.0118*CEILING((IF(OR(AB9="",AB9=0),TODAY(),DATE(VALUE(RIGHT(AB9,4)),VALUE(MID(AB9,4,2)),VALUE(LEFT(AB9,2))))-DATE(2026,8,22))/7,1))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L9" s="137">
        <f>IF($A$2="",1,IF($A$2="(blank)",--(A9=""),IF($A$2="(nonblank)",--(A9&lt;&gt;""),--ISNUMBER(SEARCH($A$2,A9)))))</f>
      </c>
      <c r="AM9" s="137">
        <f>IF($B$2="",1,IF($B$2="(blank)",--(B9=""),IF($B$2="(nonblank)",--(B9&lt;&gt;""),--ISNUMBER(SEARCH($B$2,B9)))))</f>
      </c>
      <c r="AN9" s="137">
        <f>IF($C$2="",1,IF($C$2="(blank)",--(C9=""),IF($C$2="(nonblank)",--(C9&lt;&gt;""),--ISNUMBER(SEARCH($C$2,C9)))))</f>
      </c>
      <c r="AO9" s="137">
        <f>IF($D$2="",1,IF($D$2="(blank)",--(D9=""),IF($D$2="(nonblank)",--(D9&lt;&gt;""),--ISNUMBER(SEARCH($D$2,D9)))))</f>
      </c>
      <c r="AP9" s="137">
        <f>IF($E$2="",1,IF($E$2="(blank)",--(E9=""),IF($E$2="(nonblank)",--(E9&lt;&gt;""),--ISNUMBER(SEARCH($E$2,E9)))))</f>
      </c>
      <c r="AQ9" s="137">
        <f>IF($F$2="",1,IF($F$2="(blank)",--(F9=""),IF($F$2="(nonblank)",--(F9&lt;&gt;""),--ISNUMBER(SEARCH($F$2,F9)))))</f>
      </c>
      <c r="AR9" s="137">
        <f>IF($G$2="",1,IF($G$2="(blank)",--(G9=""),IF($G$2="(nonblank)",--(G9&lt;&gt;""),--ISNUMBER(SEARCH($G$2,G9)))))</f>
      </c>
      <c r="AS9" s="137">
        <f>IF($H$2="",1,IF($H$2="(blank)",--(H9=""),IF($H$2="(nonblank)",--(H9&lt;&gt;""),--ISNUMBER(SEARCH($H$2,H9)))))</f>
      </c>
      <c r="AT9" s="137">
        <f>IF($I$2="",1,IF($I$2="(blank)",--(I9=""),IF($I$2="(nonblank)",--(I9&lt;&gt;""),--ISNUMBER(SEARCH($I$2,I9)))))</f>
      </c>
      <c r="AU9" s="137">
        <f>IF($J$2="",1,IF($J$2="(blank)",--(J9=""),IF($J$2="(nonblank)",--(J9&lt;&gt;""),--ISNUMBER(SEARCH($J$2,J9)))))</f>
      </c>
      <c r="AV9" s="137">
        <f>IF($K$2="",1,IF($K$2="(blank)",--(K9=""),IF($K$2="(nonblank)",--(K9&lt;&gt;""),--ISNUMBER(SEARCH($K$2,K9)))))</f>
      </c>
      <c r="AW9" s="137">
        <f>IF($L$2="",1,IF($L$2="(blank)",--(L9=""),IF($L$2="(nonblank)",--(L9&lt;&gt;""),--ISNUMBER(SEARCH($L$2,L9)))))</f>
      </c>
      <c r="AX9" s="137">
        <f>IF($M$2="",1,IF($M$2="(blank)",--(M9=""),IF($M$2="(nonblank)",--(M9&lt;&gt;""),--ISNUMBER(SEARCH($M$2,M9)))))</f>
      </c>
      <c r="AY9" s="137">
        <f>IF($N$2="",1,IF($N$2="(blank)",--(N9=""),IF($N$2="(nonblank)",--(N9&lt;&gt;""),--ISNUMBER(SEARCH($N$2,N9)))))</f>
      </c>
      <c r="AZ9" s="137">
        <f>IF($O$2="",1,IF($O$2="(blank)",--(O9=""),IF($O$2="(nonblank)",--(O9&lt;&gt;""),--ISNUMBER(SEARCH($O$2,O9)))))</f>
      </c>
      <c r="BA9" s="137">
        <f>IF($P$2="",1,IF($P$2="(blank)",--(P9=""),IF($P$2="(nonblank)",--(P9&lt;&gt;""),--ISNUMBER(SEARCH($P$2,P9)))))</f>
      </c>
      <c r="BB9" s="137">
        <f>IF($Q$2="",1,IF($Q$2="(blank)",--(Q9=""),IF($Q$2="(nonblank)",--(Q9&lt;&gt;""),--ISNUMBER(SEARCH($Q$2,Q9)))))</f>
      </c>
      <c r="BC9" s="137">
        <f>IF($R$2="",1,IF($R$2="(blank)",--(R9=""),IF($R$2="(nonblank)",--(R9&lt;&gt;""),--ISNUMBER(SEARCH($R$2,R9)))))</f>
      </c>
      <c r="BD9" s="137">
        <f>IF($S$2="",1,IF($S$2="(blank)",--(S9=""),IF($S$2="(nonblank)",--(S9&lt;&gt;""),--ISNUMBER(SEARCH($S$2,S9)))))</f>
      </c>
      <c r="BE9" s="137">
        <f>IF($T$2="",1,IF($T$2="(blank)",--(T9=""),IF($T$2="(nonblank)",--(T9&lt;&gt;""),--ISNUMBER(SEARCH($T$2,T9)))))</f>
      </c>
      <c r="BF9" s="137">
        <f>IF($U$2="",1,IF($U$2="(blank)",--(U9=""),IF($U$2="(nonblank)",--(U9&lt;&gt;""),--ISNUMBER(SEARCH($U$2,U9)))))</f>
      </c>
      <c r="BG9" s="137">
        <f>IF($V$2="",1,IF($V$2="(blank)",--(V9=""),IF($V$2="(nonblank)",--(V9&lt;&gt;""),--ISNUMBER(SEARCH($V$2,V9)))))</f>
      </c>
      <c r="BH9" s="137">
        <f>IF($W$2="",1,IF($W$2="(blank)",--(W9=""),IF($W$2="(nonblank)",--(W9&lt;&gt;""),--ISNUMBER(SEARCH($W$2,W9)))))</f>
      </c>
      <c r="BI9" s="137">
        <f>IF($X$2="",1,IF($X$2="(blank)",--(X9=""),IF($X$2="(nonblank)",--(X9&lt;&gt;""),--ISNUMBER(SEARCH($X$2,X9)))))</f>
      </c>
      <c r="BJ9" s="137">
        <f>IF($Y$2="",1,IF($Y$2="(blank)",--(Y9=""),IF($Y$2="(nonblank)",--(Y9&lt;&gt;""),--ISNUMBER(SEARCH($Y$2,Y9)))))</f>
      </c>
      <c r="BK9" s="137">
        <f>IF($Z$2="",1,IF($Z$2="(blank)",--(Z9=""),IF($Z$2="(nonblank)",--(Z9&lt;&gt;""),--ISNUMBER(SEARCH($Z$2,Z9)))))</f>
      </c>
      <c r="BL9" s="137">
        <f>IF($AA$2="",1,IF($AA$2="(blank)",--(AA9=""),IF($AA$2="(nonblank)",--(AA9&lt;&gt;""),--ISNUMBER(SEARCH($AA$2,AA9)))))</f>
      </c>
      <c r="BM9" s="137">
        <f>IF($AB$2="",1,IF($AB$2="(blank)",--(AB9=""),IF($AB$2="(nonblank)",--(AB9&lt;&gt;""),--ISNUMBER(SEARCH($AB$2,AB9)))))</f>
      </c>
      <c r="BN9" s="137">
        <f>IF($AC$2="",1,IF($AC$2="(blank)",--(AC9=""),IF($AC$2="(nonblank)",--(AC9&lt;&gt;""),--ISNUMBER(SEARCH($AC$2,AC9)))))</f>
      </c>
      <c r="BO9" s="137">
        <f>IF($AD$2="",1,IF($AD$2="(blank)",--(AD9=""),IF($AD$2="(nonblank)",--(AD9&lt;&gt;""),--ISNUMBER(SEARCH($AD$2,AD9)))))</f>
      </c>
      <c r="BP9" s="137">
        <f>IF($AE$2="",1,IF($AE$2="(blank)",--(AE9=""),IF($AE$2="(nonblank)",--(AE9&lt;&gt;""),--ISNUMBER(SEARCH($AE$2,AE9)))))</f>
      </c>
      <c r="BQ9" s="137">
        <f>IF($AF$2="",1,IF($AF$2="(blank)",--(AF9=""),IF($AF$2="(nonblank)",--(AF9&lt;&gt;""),--ISNUMBER(SEARCH($AF$2,AF9)))))</f>
      </c>
      <c r="BR9" s="137">
        <f>IF($AG$2="",1,IF($AG$2="(blank)",--(AG9=""),IF($AG$2="(nonblank)",--(AG9&lt;&gt;""),--ISNUMBER(SEARCH($AG$2,AG9)))))</f>
      </c>
      <c r="BS9" s="137">
        <f>IF($AH$2="",1,IF($AH$2="(blank)",--(AH9=""),IF($AH$2="(nonblank)",--(AH9&lt;&gt;""),--ISNUMBER(SEARCH($AH$2,AH9)))))</f>
      </c>
      <c r="BT9" s="137">
        <f>IF(COUNTIF($AL9:$BS9,0)&gt;0,0,1)</f>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IF(IF(OR(AB10="",AB10=0),TODAY(),DATE(VALUE(RIGHT(AB10,4)),VALUE(MID(AB10,4,2)),VALUE(LEFT(AB10,2))))&lt;=DATE(2026,8,24),0,H10*0.0118*CEILING((IF(OR(AB10="",AB10=0),TODAY(),DATE(VALUE(RIGHT(AB10,4)),VALUE(MID(AB10,4,2)),VALUE(LEFT(AB10,2))))-DATE(2026,8,22))/7,1))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L10" s="137">
        <f>IF($A$2="",1,IF($A$2="(blank)",--(A10=""),IF($A$2="(nonblank)",--(A10&lt;&gt;""),--ISNUMBER(SEARCH($A$2,A10)))))</f>
      </c>
      <c r="AM10" s="137">
        <f>IF($B$2="",1,IF($B$2="(blank)",--(B10=""),IF($B$2="(nonblank)",--(B10&lt;&gt;""),--ISNUMBER(SEARCH($B$2,B10)))))</f>
      </c>
      <c r="AN10" s="137">
        <f>IF($C$2="",1,IF($C$2="(blank)",--(C10=""),IF($C$2="(nonblank)",--(C10&lt;&gt;""),--ISNUMBER(SEARCH($C$2,C10)))))</f>
      </c>
      <c r="AO10" s="137">
        <f>IF($D$2="",1,IF($D$2="(blank)",--(D10=""),IF($D$2="(nonblank)",--(D10&lt;&gt;""),--ISNUMBER(SEARCH($D$2,D10)))))</f>
      </c>
      <c r="AP10" s="137">
        <f>IF($E$2="",1,IF($E$2="(blank)",--(E10=""),IF($E$2="(nonblank)",--(E10&lt;&gt;""),--ISNUMBER(SEARCH($E$2,E10)))))</f>
      </c>
      <c r="AQ10" s="137">
        <f>IF($F$2="",1,IF($F$2="(blank)",--(F10=""),IF($F$2="(nonblank)",--(F10&lt;&gt;""),--ISNUMBER(SEARCH($F$2,F10)))))</f>
      </c>
      <c r="AR10" s="137">
        <f>IF($G$2="",1,IF($G$2="(blank)",--(G10=""),IF($G$2="(nonblank)",--(G10&lt;&gt;""),--ISNUMBER(SEARCH($G$2,G10)))))</f>
      </c>
      <c r="AS10" s="137">
        <f>IF($H$2="",1,IF($H$2="(blank)",--(H10=""),IF($H$2="(nonblank)",--(H10&lt;&gt;""),--ISNUMBER(SEARCH($H$2,H10)))))</f>
      </c>
      <c r="AT10" s="137">
        <f>IF($I$2="",1,IF($I$2="(blank)",--(I10=""),IF($I$2="(nonblank)",--(I10&lt;&gt;""),--ISNUMBER(SEARCH($I$2,I10)))))</f>
      </c>
      <c r="AU10" s="137">
        <f>IF($J$2="",1,IF($J$2="(blank)",--(J10=""),IF($J$2="(nonblank)",--(J10&lt;&gt;""),--ISNUMBER(SEARCH($J$2,J10)))))</f>
      </c>
      <c r="AV10" s="137">
        <f>IF($K$2="",1,IF($K$2="(blank)",--(K10=""),IF($K$2="(nonblank)",--(K10&lt;&gt;""),--ISNUMBER(SEARCH($K$2,K10)))))</f>
      </c>
      <c r="AW10" s="137">
        <f>IF($L$2="",1,IF($L$2="(blank)",--(L10=""),IF($L$2="(nonblank)",--(L10&lt;&gt;""),--ISNUMBER(SEARCH($L$2,L10)))))</f>
      </c>
      <c r="AX10" s="137">
        <f>IF($M$2="",1,IF($M$2="(blank)",--(M10=""),IF($M$2="(nonblank)",--(M10&lt;&gt;""),--ISNUMBER(SEARCH($M$2,M10)))))</f>
      </c>
      <c r="AY10" s="137">
        <f>IF($N$2="",1,IF($N$2="(blank)",--(N10=""),IF($N$2="(nonblank)",--(N10&lt;&gt;""),--ISNUMBER(SEARCH($N$2,N10)))))</f>
      </c>
      <c r="AZ10" s="137">
        <f>IF($O$2="",1,IF($O$2="(blank)",--(O10=""),IF($O$2="(nonblank)",--(O10&lt;&gt;""),--ISNUMBER(SEARCH($O$2,O10)))))</f>
      </c>
      <c r="BA10" s="137">
        <f>IF($P$2="",1,IF($P$2="(blank)",--(P10=""),IF($P$2="(nonblank)",--(P10&lt;&gt;""),--ISNUMBER(SEARCH($P$2,P10)))))</f>
      </c>
      <c r="BB10" s="137">
        <f>IF($Q$2="",1,IF($Q$2="(blank)",--(Q10=""),IF($Q$2="(nonblank)",--(Q10&lt;&gt;""),--ISNUMBER(SEARCH($Q$2,Q10)))))</f>
      </c>
      <c r="BC10" s="137">
        <f>IF($R$2="",1,IF($R$2="(blank)",--(R10=""),IF($R$2="(nonblank)",--(R10&lt;&gt;""),--ISNUMBER(SEARCH($R$2,R10)))))</f>
      </c>
      <c r="BD10" s="137">
        <f>IF($S$2="",1,IF($S$2="(blank)",--(S10=""),IF($S$2="(nonblank)",--(S10&lt;&gt;""),--ISNUMBER(SEARCH($S$2,S10)))))</f>
      </c>
      <c r="BE10" s="137">
        <f>IF($T$2="",1,IF($T$2="(blank)",--(T10=""),IF($T$2="(nonblank)",--(T10&lt;&gt;""),--ISNUMBER(SEARCH($T$2,T10)))))</f>
      </c>
      <c r="BF10" s="137">
        <f>IF($U$2="",1,IF($U$2="(blank)",--(U10=""),IF($U$2="(nonblank)",--(U10&lt;&gt;""),--ISNUMBER(SEARCH($U$2,U10)))))</f>
      </c>
      <c r="BG10" s="137">
        <f>IF($V$2="",1,IF($V$2="(blank)",--(V10=""),IF($V$2="(nonblank)",--(V10&lt;&gt;""),--ISNUMBER(SEARCH($V$2,V10)))))</f>
      </c>
      <c r="BH10" s="137">
        <f>IF($W$2="",1,IF($W$2="(blank)",--(W10=""),IF($W$2="(nonblank)",--(W10&lt;&gt;""),--ISNUMBER(SEARCH($W$2,W10)))))</f>
      </c>
      <c r="BI10" s="137">
        <f>IF($X$2="",1,IF($X$2="(blank)",--(X10=""),IF($X$2="(nonblank)",--(X10&lt;&gt;""),--ISNUMBER(SEARCH($X$2,X10)))))</f>
      </c>
      <c r="BJ10" s="137">
        <f>IF($Y$2="",1,IF($Y$2="(blank)",--(Y10=""),IF($Y$2="(nonblank)",--(Y10&lt;&gt;""),--ISNUMBER(SEARCH($Y$2,Y10)))))</f>
      </c>
      <c r="BK10" s="137">
        <f>IF($Z$2="",1,IF($Z$2="(blank)",--(Z10=""),IF($Z$2="(nonblank)",--(Z10&lt;&gt;""),--ISNUMBER(SEARCH($Z$2,Z10)))))</f>
      </c>
      <c r="BL10" s="137">
        <f>IF($AA$2="",1,IF($AA$2="(blank)",--(AA10=""),IF($AA$2="(nonblank)",--(AA10&lt;&gt;""),--ISNUMBER(SEARCH($AA$2,AA10)))))</f>
      </c>
      <c r="BM10" s="137">
        <f>IF($AB$2="",1,IF($AB$2="(blank)",--(AB10=""),IF($AB$2="(nonblank)",--(AB10&lt;&gt;""),--ISNUMBER(SEARCH($AB$2,AB10)))))</f>
      </c>
      <c r="BN10" s="137">
        <f>IF($AC$2="",1,IF($AC$2="(blank)",--(AC10=""),IF($AC$2="(nonblank)",--(AC10&lt;&gt;""),--ISNUMBER(SEARCH($AC$2,AC10)))))</f>
      </c>
      <c r="BO10" s="137">
        <f>IF($AD$2="",1,IF($AD$2="(blank)",--(AD10=""),IF($AD$2="(nonblank)",--(AD10&lt;&gt;""),--ISNUMBER(SEARCH($AD$2,AD10)))))</f>
      </c>
      <c r="BP10" s="137">
        <f>IF($AE$2="",1,IF($AE$2="(blank)",--(AE10=""),IF($AE$2="(nonblank)",--(AE10&lt;&gt;""),--ISNUMBER(SEARCH($AE$2,AE10)))))</f>
      </c>
      <c r="BQ10" s="137">
        <f>IF($AF$2="",1,IF($AF$2="(blank)",--(AF10=""),IF($AF$2="(nonblank)",--(AF10&lt;&gt;""),--ISNUMBER(SEARCH($AF$2,AF10)))))</f>
      </c>
      <c r="BR10" s="137">
        <f>IF($AG$2="",1,IF($AG$2="(blank)",--(AG10=""),IF($AG$2="(nonblank)",--(AG10&lt;&gt;""),--ISNUMBER(SEARCH($AG$2,AG10)))))</f>
      </c>
      <c r="BS10" s="137">
        <f>IF($AH$2="",1,IF($AH$2="(blank)",--(AH10=""),IF($AH$2="(nonblank)",--(AH10&lt;&gt;""),--ISNUMBER(SEARCH($AH$2,AH10)))))</f>
      </c>
      <c r="BT10" s="137">
        <f>IF(COUNTIF($AL10:$BS10,0)&gt;0,0,1)</f>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IF(IF(OR(AB11="",AB11=0),TODAY(),DATE(VALUE(RIGHT(AB11,4)),VALUE(MID(AB11,4,2)),VALUE(LEFT(AB11,2))))&lt;=DATE(2026,8,24),0,H11*0.0118*CEILING((IF(OR(AB11="",AB11=0),TODAY(),DATE(VALUE(RIGHT(AB11,4)),VALUE(MID(AB11,4,2)),VALUE(LEFT(AB11,2))))-DATE(2026,8,22))/7,1))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L11" s="137">
        <f>IF($A$2="",1,IF($A$2="(blank)",--(A11=""),IF($A$2="(nonblank)",--(A11&lt;&gt;""),--ISNUMBER(SEARCH($A$2,A11)))))</f>
      </c>
      <c r="AM11" s="137">
        <f>IF($B$2="",1,IF($B$2="(blank)",--(B11=""),IF($B$2="(nonblank)",--(B11&lt;&gt;""),--ISNUMBER(SEARCH($B$2,B11)))))</f>
      </c>
      <c r="AN11" s="137">
        <f>IF($C$2="",1,IF($C$2="(blank)",--(C11=""),IF($C$2="(nonblank)",--(C11&lt;&gt;""),--ISNUMBER(SEARCH($C$2,C11)))))</f>
      </c>
      <c r="AO11" s="137">
        <f>IF($D$2="",1,IF($D$2="(blank)",--(D11=""),IF($D$2="(nonblank)",--(D11&lt;&gt;""),--ISNUMBER(SEARCH($D$2,D11)))))</f>
      </c>
      <c r="AP11" s="137">
        <f>IF($E$2="",1,IF($E$2="(blank)",--(E11=""),IF($E$2="(nonblank)",--(E11&lt;&gt;""),--ISNUMBER(SEARCH($E$2,E11)))))</f>
      </c>
      <c r="AQ11" s="137">
        <f>IF($F$2="",1,IF($F$2="(blank)",--(F11=""),IF($F$2="(nonblank)",--(F11&lt;&gt;""),--ISNUMBER(SEARCH($F$2,F11)))))</f>
      </c>
      <c r="AR11" s="137">
        <f>IF($G$2="",1,IF($G$2="(blank)",--(G11=""),IF($G$2="(nonblank)",--(G11&lt;&gt;""),--ISNUMBER(SEARCH($G$2,G11)))))</f>
      </c>
      <c r="AS11" s="137">
        <f>IF($H$2="",1,IF($H$2="(blank)",--(H11=""),IF($H$2="(nonblank)",--(H11&lt;&gt;""),--ISNUMBER(SEARCH($H$2,H11)))))</f>
      </c>
      <c r="AT11" s="137">
        <f>IF($I$2="",1,IF($I$2="(blank)",--(I11=""),IF($I$2="(nonblank)",--(I11&lt;&gt;""),--ISNUMBER(SEARCH($I$2,I11)))))</f>
      </c>
      <c r="AU11" s="137">
        <f>IF($J$2="",1,IF($J$2="(blank)",--(J11=""),IF($J$2="(nonblank)",--(J11&lt;&gt;""),--ISNUMBER(SEARCH($J$2,J11)))))</f>
      </c>
      <c r="AV11" s="137">
        <f>IF($K$2="",1,IF($K$2="(blank)",--(K11=""),IF($K$2="(nonblank)",--(K11&lt;&gt;""),--ISNUMBER(SEARCH($K$2,K11)))))</f>
      </c>
      <c r="AW11" s="137">
        <f>IF($L$2="",1,IF($L$2="(blank)",--(L11=""),IF($L$2="(nonblank)",--(L11&lt;&gt;""),--ISNUMBER(SEARCH($L$2,L11)))))</f>
      </c>
      <c r="AX11" s="137">
        <f>IF($M$2="",1,IF($M$2="(blank)",--(M11=""),IF($M$2="(nonblank)",--(M11&lt;&gt;""),--ISNUMBER(SEARCH($M$2,M11)))))</f>
      </c>
      <c r="AY11" s="137">
        <f>IF($N$2="",1,IF($N$2="(blank)",--(N11=""),IF($N$2="(nonblank)",--(N11&lt;&gt;""),--ISNUMBER(SEARCH($N$2,N11)))))</f>
      </c>
      <c r="AZ11" s="137">
        <f>IF($O$2="",1,IF($O$2="(blank)",--(O11=""),IF($O$2="(nonblank)",--(O11&lt;&gt;""),--ISNUMBER(SEARCH($O$2,O11)))))</f>
      </c>
      <c r="BA11" s="137">
        <f>IF($P$2="",1,IF($P$2="(blank)",--(P11=""),IF($P$2="(nonblank)",--(P11&lt;&gt;""),--ISNUMBER(SEARCH($P$2,P11)))))</f>
      </c>
      <c r="BB11" s="137">
        <f>IF($Q$2="",1,IF($Q$2="(blank)",--(Q11=""),IF($Q$2="(nonblank)",--(Q11&lt;&gt;""),--ISNUMBER(SEARCH($Q$2,Q11)))))</f>
      </c>
      <c r="BC11" s="137">
        <f>IF($R$2="",1,IF($R$2="(blank)",--(R11=""),IF($R$2="(nonblank)",--(R11&lt;&gt;""),--ISNUMBER(SEARCH($R$2,R11)))))</f>
      </c>
      <c r="BD11" s="137">
        <f>IF($S$2="",1,IF($S$2="(blank)",--(S11=""),IF($S$2="(nonblank)",--(S11&lt;&gt;""),--ISNUMBER(SEARCH($S$2,S11)))))</f>
      </c>
      <c r="BE11" s="137">
        <f>IF($T$2="",1,IF($T$2="(blank)",--(T11=""),IF($T$2="(nonblank)",--(T11&lt;&gt;""),--ISNUMBER(SEARCH($T$2,T11)))))</f>
      </c>
      <c r="BF11" s="137">
        <f>IF($U$2="",1,IF($U$2="(blank)",--(U11=""),IF($U$2="(nonblank)",--(U11&lt;&gt;""),--ISNUMBER(SEARCH($U$2,U11)))))</f>
      </c>
      <c r="BG11" s="137">
        <f>IF($V$2="",1,IF($V$2="(blank)",--(V11=""),IF($V$2="(nonblank)",--(V11&lt;&gt;""),--ISNUMBER(SEARCH($V$2,V11)))))</f>
      </c>
      <c r="BH11" s="137">
        <f>IF($W$2="",1,IF($W$2="(blank)",--(W11=""),IF($W$2="(nonblank)",--(W11&lt;&gt;""),--ISNUMBER(SEARCH($W$2,W11)))))</f>
      </c>
      <c r="BI11" s="137">
        <f>IF($X$2="",1,IF($X$2="(blank)",--(X11=""),IF($X$2="(nonblank)",--(X11&lt;&gt;""),--ISNUMBER(SEARCH($X$2,X11)))))</f>
      </c>
      <c r="BJ11" s="137">
        <f>IF($Y$2="",1,IF($Y$2="(blank)",--(Y11=""),IF($Y$2="(nonblank)",--(Y11&lt;&gt;""),--ISNUMBER(SEARCH($Y$2,Y11)))))</f>
      </c>
      <c r="BK11" s="137">
        <f>IF($Z$2="",1,IF($Z$2="(blank)",--(Z11=""),IF($Z$2="(nonblank)",--(Z11&lt;&gt;""),--ISNUMBER(SEARCH($Z$2,Z11)))))</f>
      </c>
      <c r="BL11" s="137">
        <f>IF($AA$2="",1,IF($AA$2="(blank)",--(AA11=""),IF($AA$2="(nonblank)",--(AA11&lt;&gt;""),--ISNUMBER(SEARCH($AA$2,AA11)))))</f>
      </c>
      <c r="BM11" s="137">
        <f>IF($AB$2="",1,IF($AB$2="(blank)",--(AB11=""),IF($AB$2="(nonblank)",--(AB11&lt;&gt;""),--ISNUMBER(SEARCH($AB$2,AB11)))))</f>
      </c>
      <c r="BN11" s="137">
        <f>IF($AC$2="",1,IF($AC$2="(blank)",--(AC11=""),IF($AC$2="(nonblank)",--(AC11&lt;&gt;""),--ISNUMBER(SEARCH($AC$2,AC11)))))</f>
      </c>
      <c r="BO11" s="137">
        <f>IF($AD$2="",1,IF($AD$2="(blank)",--(AD11=""),IF($AD$2="(nonblank)",--(AD11&lt;&gt;""),--ISNUMBER(SEARCH($AD$2,AD11)))))</f>
      </c>
      <c r="BP11" s="137">
        <f>IF($AE$2="",1,IF($AE$2="(blank)",--(AE11=""),IF($AE$2="(nonblank)",--(AE11&lt;&gt;""),--ISNUMBER(SEARCH($AE$2,AE11)))))</f>
      </c>
      <c r="BQ11" s="137">
        <f>IF($AF$2="",1,IF($AF$2="(blank)",--(AF11=""),IF($AF$2="(nonblank)",--(AF11&lt;&gt;""),--ISNUMBER(SEARCH($AF$2,AF11)))))</f>
      </c>
      <c r="BR11" s="137">
        <f>IF($AG$2="",1,IF($AG$2="(blank)",--(AG11=""),IF($AG$2="(nonblank)",--(AG11&lt;&gt;""),--ISNUMBER(SEARCH($AG$2,AG11)))))</f>
      </c>
      <c r="BS11" s="137">
        <f>IF($AH$2="",1,IF($AH$2="(blank)",--(AH11=""),IF($AH$2="(nonblank)",--(AH11&lt;&gt;""),--ISNUMBER(SEARCH($AH$2,AH11)))))</f>
      </c>
      <c r="BT11" s="137">
        <f>IF(COUNTIF($AL11:$BS11,0)&gt;0,0,1)</f>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IF(IF(OR(AB12="",AB12=0),TODAY(),DATE(VALUE(RIGHT(AB12,4)),VALUE(MID(AB12,4,2)),VALUE(LEFT(AB12,2))))&lt;=DATE(2026,8,24),0,H12*0.0118*CEILING((IF(OR(AB12="",AB12=0),TODAY(),DATE(VALUE(RIGHT(AB12,4)),VALUE(MID(AB12,4,2)),VALUE(LEFT(AB12,2))))-DATE(2026,8,22))/7,1))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L12" s="137">
        <f>IF($A$2="",1,IF($A$2="(blank)",--(A12=""),IF($A$2="(nonblank)",--(A12&lt;&gt;""),--ISNUMBER(SEARCH($A$2,A12)))))</f>
      </c>
      <c r="AM12" s="137">
        <f>IF($B$2="",1,IF($B$2="(blank)",--(B12=""),IF($B$2="(nonblank)",--(B12&lt;&gt;""),--ISNUMBER(SEARCH($B$2,B12)))))</f>
      </c>
      <c r="AN12" s="137">
        <f>IF($C$2="",1,IF($C$2="(blank)",--(C12=""),IF($C$2="(nonblank)",--(C12&lt;&gt;""),--ISNUMBER(SEARCH($C$2,C12)))))</f>
      </c>
      <c r="AO12" s="137">
        <f>IF($D$2="",1,IF($D$2="(blank)",--(D12=""),IF($D$2="(nonblank)",--(D12&lt;&gt;""),--ISNUMBER(SEARCH($D$2,D12)))))</f>
      </c>
      <c r="AP12" s="137">
        <f>IF($E$2="",1,IF($E$2="(blank)",--(E12=""),IF($E$2="(nonblank)",--(E12&lt;&gt;""),--ISNUMBER(SEARCH($E$2,E12)))))</f>
      </c>
      <c r="AQ12" s="137">
        <f>IF($F$2="",1,IF($F$2="(blank)",--(F12=""),IF($F$2="(nonblank)",--(F12&lt;&gt;""),--ISNUMBER(SEARCH($F$2,F12)))))</f>
      </c>
      <c r="AR12" s="137">
        <f>IF($G$2="",1,IF($G$2="(blank)",--(G12=""),IF($G$2="(nonblank)",--(G12&lt;&gt;""),--ISNUMBER(SEARCH($G$2,G12)))))</f>
      </c>
      <c r="AS12" s="137">
        <f>IF($H$2="",1,IF($H$2="(blank)",--(H12=""),IF($H$2="(nonblank)",--(H12&lt;&gt;""),--ISNUMBER(SEARCH($H$2,H12)))))</f>
      </c>
      <c r="AT12" s="137">
        <f>IF($I$2="",1,IF($I$2="(blank)",--(I12=""),IF($I$2="(nonblank)",--(I12&lt;&gt;""),--ISNUMBER(SEARCH($I$2,I12)))))</f>
      </c>
      <c r="AU12" s="137">
        <f>IF($J$2="",1,IF($J$2="(blank)",--(J12=""),IF($J$2="(nonblank)",--(J12&lt;&gt;""),--ISNUMBER(SEARCH($J$2,J12)))))</f>
      </c>
      <c r="AV12" s="137">
        <f>IF($K$2="",1,IF($K$2="(blank)",--(K12=""),IF($K$2="(nonblank)",--(K12&lt;&gt;""),--ISNUMBER(SEARCH($K$2,K12)))))</f>
      </c>
      <c r="AW12" s="137">
        <f>IF($L$2="",1,IF($L$2="(blank)",--(L12=""),IF($L$2="(nonblank)",--(L12&lt;&gt;""),--ISNUMBER(SEARCH($L$2,L12)))))</f>
      </c>
      <c r="AX12" s="137">
        <f>IF($M$2="",1,IF($M$2="(blank)",--(M12=""),IF($M$2="(nonblank)",--(M12&lt;&gt;""),--ISNUMBER(SEARCH($M$2,M12)))))</f>
      </c>
      <c r="AY12" s="137">
        <f>IF($N$2="",1,IF($N$2="(blank)",--(N12=""),IF($N$2="(nonblank)",--(N12&lt;&gt;""),--ISNUMBER(SEARCH($N$2,N12)))))</f>
      </c>
      <c r="AZ12" s="137">
        <f>IF($O$2="",1,IF($O$2="(blank)",--(O12=""),IF($O$2="(nonblank)",--(O12&lt;&gt;""),--ISNUMBER(SEARCH($O$2,O12)))))</f>
      </c>
      <c r="BA12" s="137">
        <f>IF($P$2="",1,IF($P$2="(blank)",--(P12=""),IF($P$2="(nonblank)",--(P12&lt;&gt;""),--ISNUMBER(SEARCH($P$2,P12)))))</f>
      </c>
      <c r="BB12" s="137">
        <f>IF($Q$2="",1,IF($Q$2="(blank)",--(Q12=""),IF($Q$2="(nonblank)",--(Q12&lt;&gt;""),--ISNUMBER(SEARCH($Q$2,Q12)))))</f>
      </c>
      <c r="BC12" s="137">
        <f>IF($R$2="",1,IF($R$2="(blank)",--(R12=""),IF($R$2="(nonblank)",--(R12&lt;&gt;""),--ISNUMBER(SEARCH($R$2,R12)))))</f>
      </c>
      <c r="BD12" s="137">
        <f>IF($S$2="",1,IF($S$2="(blank)",--(S12=""),IF($S$2="(nonblank)",--(S12&lt;&gt;""),--ISNUMBER(SEARCH($S$2,S12)))))</f>
      </c>
      <c r="BE12" s="137">
        <f>IF($T$2="",1,IF($T$2="(blank)",--(T12=""),IF($T$2="(nonblank)",--(T12&lt;&gt;""),--ISNUMBER(SEARCH($T$2,T12)))))</f>
      </c>
      <c r="BF12" s="137">
        <f>IF($U$2="",1,IF($U$2="(blank)",--(U12=""),IF($U$2="(nonblank)",--(U12&lt;&gt;""),--ISNUMBER(SEARCH($U$2,U12)))))</f>
      </c>
      <c r="BG12" s="137">
        <f>IF($V$2="",1,IF($V$2="(blank)",--(V12=""),IF($V$2="(nonblank)",--(V12&lt;&gt;""),--ISNUMBER(SEARCH($V$2,V12)))))</f>
      </c>
      <c r="BH12" s="137">
        <f>IF($W$2="",1,IF($W$2="(blank)",--(W12=""),IF($W$2="(nonblank)",--(W12&lt;&gt;""),--ISNUMBER(SEARCH($W$2,W12)))))</f>
      </c>
      <c r="BI12" s="137">
        <f>IF($X$2="",1,IF($X$2="(blank)",--(X12=""),IF($X$2="(nonblank)",--(X12&lt;&gt;""),--ISNUMBER(SEARCH($X$2,X12)))))</f>
      </c>
      <c r="BJ12" s="137">
        <f>IF($Y$2="",1,IF($Y$2="(blank)",--(Y12=""),IF($Y$2="(nonblank)",--(Y12&lt;&gt;""),--ISNUMBER(SEARCH($Y$2,Y12)))))</f>
      </c>
      <c r="BK12" s="137">
        <f>IF($Z$2="",1,IF($Z$2="(blank)",--(Z12=""),IF($Z$2="(nonblank)",--(Z12&lt;&gt;""),--ISNUMBER(SEARCH($Z$2,Z12)))))</f>
      </c>
      <c r="BL12" s="137">
        <f>IF($AA$2="",1,IF($AA$2="(blank)",--(AA12=""),IF($AA$2="(nonblank)",--(AA12&lt;&gt;""),--ISNUMBER(SEARCH($AA$2,AA12)))))</f>
      </c>
      <c r="BM12" s="137">
        <f>IF($AB$2="",1,IF($AB$2="(blank)",--(AB12=""),IF($AB$2="(nonblank)",--(AB12&lt;&gt;""),--ISNUMBER(SEARCH($AB$2,AB12)))))</f>
      </c>
      <c r="BN12" s="137">
        <f>IF($AC$2="",1,IF($AC$2="(blank)",--(AC12=""),IF($AC$2="(nonblank)",--(AC12&lt;&gt;""),--ISNUMBER(SEARCH($AC$2,AC12)))))</f>
      </c>
      <c r="BO12" s="137">
        <f>IF($AD$2="",1,IF($AD$2="(blank)",--(AD12=""),IF($AD$2="(nonblank)",--(AD12&lt;&gt;""),--ISNUMBER(SEARCH($AD$2,AD12)))))</f>
      </c>
      <c r="BP12" s="137">
        <f>IF($AE$2="",1,IF($AE$2="(blank)",--(AE12=""),IF($AE$2="(nonblank)",--(AE12&lt;&gt;""),--ISNUMBER(SEARCH($AE$2,AE12)))))</f>
      </c>
      <c r="BQ12" s="137">
        <f>IF($AF$2="",1,IF($AF$2="(blank)",--(AF12=""),IF($AF$2="(nonblank)",--(AF12&lt;&gt;""),--ISNUMBER(SEARCH($AF$2,AF12)))))</f>
      </c>
      <c r="BR12" s="137">
        <f>IF($AG$2="",1,IF($AG$2="(blank)",--(AG12=""),IF($AG$2="(nonblank)",--(AG12&lt;&gt;""),--ISNUMBER(SEARCH($AG$2,AG12)))))</f>
      </c>
      <c r="BS12" s="137">
        <f>IF($AH$2="",1,IF($AH$2="(blank)",--(AH12=""),IF($AH$2="(nonblank)",--(AH12&lt;&gt;""),--ISNUMBER(SEARCH($AH$2,AH12)))))</f>
      </c>
      <c r="BT12" s="137">
        <f>IF(COUNTIF($AL12:$BS12,0)&gt;0,0,1)</f>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IF(IF(OR(AB13="",AB13=0),TODAY(),DATE(VALUE(RIGHT(AB13,4)),VALUE(MID(AB13,4,2)),VALUE(LEFT(AB13,2))))&lt;=DATE(2026,8,24),0,H13*0.0118*CEILING((IF(OR(AB13="",AB13=0),TODAY(),DATE(VALUE(RIGHT(AB13,4)),VALUE(MID(AB13,4,2)),VALUE(LEFT(AB13,2))))-DATE(2026,8,22))/7,1))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L13" s="137">
        <f>IF($A$2="",1,IF($A$2="(blank)",--(A13=""),IF($A$2="(nonblank)",--(A13&lt;&gt;""),--ISNUMBER(SEARCH($A$2,A13)))))</f>
      </c>
      <c r="AM13" s="137">
        <f>IF($B$2="",1,IF($B$2="(blank)",--(B13=""),IF($B$2="(nonblank)",--(B13&lt;&gt;""),--ISNUMBER(SEARCH($B$2,B13)))))</f>
      </c>
      <c r="AN13" s="137">
        <f>IF($C$2="",1,IF($C$2="(blank)",--(C13=""),IF($C$2="(nonblank)",--(C13&lt;&gt;""),--ISNUMBER(SEARCH($C$2,C13)))))</f>
      </c>
      <c r="AO13" s="137">
        <f>IF($D$2="",1,IF($D$2="(blank)",--(D13=""),IF($D$2="(nonblank)",--(D13&lt;&gt;""),--ISNUMBER(SEARCH($D$2,D13)))))</f>
      </c>
      <c r="AP13" s="137">
        <f>IF($E$2="",1,IF($E$2="(blank)",--(E13=""),IF($E$2="(nonblank)",--(E13&lt;&gt;""),--ISNUMBER(SEARCH($E$2,E13)))))</f>
      </c>
      <c r="AQ13" s="137">
        <f>IF($F$2="",1,IF($F$2="(blank)",--(F13=""),IF($F$2="(nonblank)",--(F13&lt;&gt;""),--ISNUMBER(SEARCH($F$2,F13)))))</f>
      </c>
      <c r="AR13" s="137">
        <f>IF($G$2="",1,IF($G$2="(blank)",--(G13=""),IF($G$2="(nonblank)",--(G13&lt;&gt;""),--ISNUMBER(SEARCH($G$2,G13)))))</f>
      </c>
      <c r="AS13" s="137">
        <f>IF($H$2="",1,IF($H$2="(blank)",--(H13=""),IF($H$2="(nonblank)",--(H13&lt;&gt;""),--ISNUMBER(SEARCH($H$2,H13)))))</f>
      </c>
      <c r="AT13" s="137">
        <f>IF($I$2="",1,IF($I$2="(blank)",--(I13=""),IF($I$2="(nonblank)",--(I13&lt;&gt;""),--ISNUMBER(SEARCH($I$2,I13)))))</f>
      </c>
      <c r="AU13" s="137">
        <f>IF($J$2="",1,IF($J$2="(blank)",--(J13=""),IF($J$2="(nonblank)",--(J13&lt;&gt;""),--ISNUMBER(SEARCH($J$2,J13)))))</f>
      </c>
      <c r="AV13" s="137">
        <f>IF($K$2="",1,IF($K$2="(blank)",--(K13=""),IF($K$2="(nonblank)",--(K13&lt;&gt;""),--ISNUMBER(SEARCH($K$2,K13)))))</f>
      </c>
      <c r="AW13" s="137">
        <f>IF($L$2="",1,IF($L$2="(blank)",--(L13=""),IF($L$2="(nonblank)",--(L13&lt;&gt;""),--ISNUMBER(SEARCH($L$2,L13)))))</f>
      </c>
      <c r="AX13" s="137">
        <f>IF($M$2="",1,IF($M$2="(blank)",--(M13=""),IF($M$2="(nonblank)",--(M13&lt;&gt;""),--ISNUMBER(SEARCH($M$2,M13)))))</f>
      </c>
      <c r="AY13" s="137">
        <f>IF($N$2="",1,IF($N$2="(blank)",--(N13=""),IF($N$2="(nonblank)",--(N13&lt;&gt;""),--ISNUMBER(SEARCH($N$2,N13)))))</f>
      </c>
      <c r="AZ13" s="137">
        <f>IF($O$2="",1,IF($O$2="(blank)",--(O13=""),IF($O$2="(nonblank)",--(O13&lt;&gt;""),--ISNUMBER(SEARCH($O$2,O13)))))</f>
      </c>
      <c r="BA13" s="137">
        <f>IF($P$2="",1,IF($P$2="(blank)",--(P13=""),IF($P$2="(nonblank)",--(P13&lt;&gt;""),--ISNUMBER(SEARCH($P$2,P13)))))</f>
      </c>
      <c r="BB13" s="137">
        <f>IF($Q$2="",1,IF($Q$2="(blank)",--(Q13=""),IF($Q$2="(nonblank)",--(Q13&lt;&gt;""),--ISNUMBER(SEARCH($Q$2,Q13)))))</f>
      </c>
      <c r="BC13" s="137">
        <f>IF($R$2="",1,IF($R$2="(blank)",--(R13=""),IF($R$2="(nonblank)",--(R13&lt;&gt;""),--ISNUMBER(SEARCH($R$2,R13)))))</f>
      </c>
      <c r="BD13" s="137">
        <f>IF($S$2="",1,IF($S$2="(blank)",--(S13=""),IF($S$2="(nonblank)",--(S13&lt;&gt;""),--ISNUMBER(SEARCH($S$2,S13)))))</f>
      </c>
      <c r="BE13" s="137">
        <f>IF($T$2="",1,IF($T$2="(blank)",--(T13=""),IF($T$2="(nonblank)",--(T13&lt;&gt;""),--ISNUMBER(SEARCH($T$2,T13)))))</f>
      </c>
      <c r="BF13" s="137">
        <f>IF($U$2="",1,IF($U$2="(blank)",--(U13=""),IF($U$2="(nonblank)",--(U13&lt;&gt;""),--ISNUMBER(SEARCH($U$2,U13)))))</f>
      </c>
      <c r="BG13" s="137">
        <f>IF($V$2="",1,IF($V$2="(blank)",--(V13=""),IF($V$2="(nonblank)",--(V13&lt;&gt;""),--ISNUMBER(SEARCH($V$2,V13)))))</f>
      </c>
      <c r="BH13" s="137">
        <f>IF($W$2="",1,IF($W$2="(blank)",--(W13=""),IF($W$2="(nonblank)",--(W13&lt;&gt;""),--ISNUMBER(SEARCH($W$2,W13)))))</f>
      </c>
      <c r="BI13" s="137">
        <f>IF($X$2="",1,IF($X$2="(blank)",--(X13=""),IF($X$2="(nonblank)",--(X13&lt;&gt;""),--ISNUMBER(SEARCH($X$2,X13)))))</f>
      </c>
      <c r="BJ13" s="137">
        <f>IF($Y$2="",1,IF($Y$2="(blank)",--(Y13=""),IF($Y$2="(nonblank)",--(Y13&lt;&gt;""),--ISNUMBER(SEARCH($Y$2,Y13)))))</f>
      </c>
      <c r="BK13" s="137">
        <f>IF($Z$2="",1,IF($Z$2="(blank)",--(Z13=""),IF($Z$2="(nonblank)",--(Z13&lt;&gt;""),--ISNUMBER(SEARCH($Z$2,Z13)))))</f>
      </c>
      <c r="BL13" s="137">
        <f>IF($AA$2="",1,IF($AA$2="(blank)",--(AA13=""),IF($AA$2="(nonblank)",--(AA13&lt;&gt;""),--ISNUMBER(SEARCH($AA$2,AA13)))))</f>
      </c>
      <c r="BM13" s="137">
        <f>IF($AB$2="",1,IF($AB$2="(blank)",--(AB13=""),IF($AB$2="(nonblank)",--(AB13&lt;&gt;""),--ISNUMBER(SEARCH($AB$2,AB13)))))</f>
      </c>
      <c r="BN13" s="137">
        <f>IF($AC$2="",1,IF($AC$2="(blank)",--(AC13=""),IF($AC$2="(nonblank)",--(AC13&lt;&gt;""),--ISNUMBER(SEARCH($AC$2,AC13)))))</f>
      </c>
      <c r="BO13" s="137">
        <f>IF($AD$2="",1,IF($AD$2="(blank)",--(AD13=""),IF($AD$2="(nonblank)",--(AD13&lt;&gt;""),--ISNUMBER(SEARCH($AD$2,AD13)))))</f>
      </c>
      <c r="BP13" s="137">
        <f>IF($AE$2="",1,IF($AE$2="(blank)",--(AE13=""),IF($AE$2="(nonblank)",--(AE13&lt;&gt;""),--ISNUMBER(SEARCH($AE$2,AE13)))))</f>
      </c>
      <c r="BQ13" s="137">
        <f>IF($AF$2="",1,IF($AF$2="(blank)",--(AF13=""),IF($AF$2="(nonblank)",--(AF13&lt;&gt;""),--ISNUMBER(SEARCH($AF$2,AF13)))))</f>
      </c>
      <c r="BR13" s="137">
        <f>IF($AG$2="",1,IF($AG$2="(blank)",--(AG13=""),IF($AG$2="(nonblank)",--(AG13&lt;&gt;""),--ISNUMBER(SEARCH($AG$2,AG13)))))</f>
      </c>
      <c r="BS13" s="137">
        <f>IF($AH$2="",1,IF($AH$2="(blank)",--(AH13=""),IF($AH$2="(nonblank)",--(AH13&lt;&gt;""),--ISNUMBER(SEARCH($AH$2,AH13)))))</f>
      </c>
      <c r="BT13" s="137">
        <f>IF(COUNTIF($AL13:$BS13,0)&gt;0,0,1)</f>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IF(IF(OR(AB14="",AB14=0),TODAY(),DATE(VALUE(RIGHT(AB14,4)),VALUE(MID(AB14,4,2)),VALUE(LEFT(AB14,2))))&lt;=DATE(2026,8,24),0,H14*0.0118*CEILING((IF(OR(AB14="",AB14=0),TODAY(),DATE(VALUE(RIGHT(AB14,4)),VALUE(MID(AB14,4,2)),VALUE(LEFT(AB14,2))))-DATE(2026,8,22))/7,1))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L14" s="137">
        <f>IF($A$2="",1,IF($A$2="(blank)",--(A14=""),IF($A$2="(nonblank)",--(A14&lt;&gt;""),--ISNUMBER(SEARCH($A$2,A14)))))</f>
      </c>
      <c r="AM14" s="137">
        <f>IF($B$2="",1,IF($B$2="(blank)",--(B14=""),IF($B$2="(nonblank)",--(B14&lt;&gt;""),--ISNUMBER(SEARCH($B$2,B14)))))</f>
      </c>
      <c r="AN14" s="137">
        <f>IF($C$2="",1,IF($C$2="(blank)",--(C14=""),IF($C$2="(nonblank)",--(C14&lt;&gt;""),--ISNUMBER(SEARCH($C$2,C14)))))</f>
      </c>
      <c r="AO14" s="137">
        <f>IF($D$2="",1,IF($D$2="(blank)",--(D14=""),IF($D$2="(nonblank)",--(D14&lt;&gt;""),--ISNUMBER(SEARCH($D$2,D14)))))</f>
      </c>
      <c r="AP14" s="137">
        <f>IF($E$2="",1,IF($E$2="(blank)",--(E14=""),IF($E$2="(nonblank)",--(E14&lt;&gt;""),--ISNUMBER(SEARCH($E$2,E14)))))</f>
      </c>
      <c r="AQ14" s="137">
        <f>IF($F$2="",1,IF($F$2="(blank)",--(F14=""),IF($F$2="(nonblank)",--(F14&lt;&gt;""),--ISNUMBER(SEARCH($F$2,F14)))))</f>
      </c>
      <c r="AR14" s="137">
        <f>IF($G$2="",1,IF($G$2="(blank)",--(G14=""),IF($G$2="(nonblank)",--(G14&lt;&gt;""),--ISNUMBER(SEARCH($G$2,G14)))))</f>
      </c>
      <c r="AS14" s="137">
        <f>IF($H$2="",1,IF($H$2="(blank)",--(H14=""),IF($H$2="(nonblank)",--(H14&lt;&gt;""),--ISNUMBER(SEARCH($H$2,H14)))))</f>
      </c>
      <c r="AT14" s="137">
        <f>IF($I$2="",1,IF($I$2="(blank)",--(I14=""),IF($I$2="(nonblank)",--(I14&lt;&gt;""),--ISNUMBER(SEARCH($I$2,I14)))))</f>
      </c>
      <c r="AU14" s="137">
        <f>IF($J$2="",1,IF($J$2="(blank)",--(J14=""),IF($J$2="(nonblank)",--(J14&lt;&gt;""),--ISNUMBER(SEARCH($J$2,J14)))))</f>
      </c>
      <c r="AV14" s="137">
        <f>IF($K$2="",1,IF($K$2="(blank)",--(K14=""),IF($K$2="(nonblank)",--(K14&lt;&gt;""),--ISNUMBER(SEARCH($K$2,K14)))))</f>
      </c>
      <c r="AW14" s="137">
        <f>IF($L$2="",1,IF($L$2="(blank)",--(L14=""),IF($L$2="(nonblank)",--(L14&lt;&gt;""),--ISNUMBER(SEARCH($L$2,L14)))))</f>
      </c>
      <c r="AX14" s="137">
        <f>IF($M$2="",1,IF($M$2="(blank)",--(M14=""),IF($M$2="(nonblank)",--(M14&lt;&gt;""),--ISNUMBER(SEARCH($M$2,M14)))))</f>
      </c>
      <c r="AY14" s="137">
        <f>IF($N$2="",1,IF($N$2="(blank)",--(N14=""),IF($N$2="(nonblank)",--(N14&lt;&gt;""),--ISNUMBER(SEARCH($N$2,N14)))))</f>
      </c>
      <c r="AZ14" s="137">
        <f>IF($O$2="",1,IF($O$2="(blank)",--(O14=""),IF($O$2="(nonblank)",--(O14&lt;&gt;""),--ISNUMBER(SEARCH($O$2,O14)))))</f>
      </c>
      <c r="BA14" s="137">
        <f>IF($P$2="",1,IF($P$2="(blank)",--(P14=""),IF($P$2="(nonblank)",--(P14&lt;&gt;""),--ISNUMBER(SEARCH($P$2,P14)))))</f>
      </c>
      <c r="BB14" s="137">
        <f>IF($Q$2="",1,IF($Q$2="(blank)",--(Q14=""),IF($Q$2="(nonblank)",--(Q14&lt;&gt;""),--ISNUMBER(SEARCH($Q$2,Q14)))))</f>
      </c>
      <c r="BC14" s="137">
        <f>IF($R$2="",1,IF($R$2="(blank)",--(R14=""),IF($R$2="(nonblank)",--(R14&lt;&gt;""),--ISNUMBER(SEARCH($R$2,R14)))))</f>
      </c>
      <c r="BD14" s="137">
        <f>IF($S$2="",1,IF($S$2="(blank)",--(S14=""),IF($S$2="(nonblank)",--(S14&lt;&gt;""),--ISNUMBER(SEARCH($S$2,S14)))))</f>
      </c>
      <c r="BE14" s="137">
        <f>IF($T$2="",1,IF($T$2="(blank)",--(T14=""),IF($T$2="(nonblank)",--(T14&lt;&gt;""),--ISNUMBER(SEARCH($T$2,T14)))))</f>
      </c>
      <c r="BF14" s="137">
        <f>IF($U$2="",1,IF($U$2="(blank)",--(U14=""),IF($U$2="(nonblank)",--(U14&lt;&gt;""),--ISNUMBER(SEARCH($U$2,U14)))))</f>
      </c>
      <c r="BG14" s="137">
        <f>IF($V$2="",1,IF($V$2="(blank)",--(V14=""),IF($V$2="(nonblank)",--(V14&lt;&gt;""),--ISNUMBER(SEARCH($V$2,V14)))))</f>
      </c>
      <c r="BH14" s="137">
        <f>IF($W$2="",1,IF($W$2="(blank)",--(W14=""),IF($W$2="(nonblank)",--(W14&lt;&gt;""),--ISNUMBER(SEARCH($W$2,W14)))))</f>
      </c>
      <c r="BI14" s="137">
        <f>IF($X$2="",1,IF($X$2="(blank)",--(X14=""),IF($X$2="(nonblank)",--(X14&lt;&gt;""),--ISNUMBER(SEARCH($X$2,X14)))))</f>
      </c>
      <c r="BJ14" s="137">
        <f>IF($Y$2="",1,IF($Y$2="(blank)",--(Y14=""),IF($Y$2="(nonblank)",--(Y14&lt;&gt;""),--ISNUMBER(SEARCH($Y$2,Y14)))))</f>
      </c>
      <c r="BK14" s="137">
        <f>IF($Z$2="",1,IF($Z$2="(blank)",--(Z14=""),IF($Z$2="(nonblank)",--(Z14&lt;&gt;""),--ISNUMBER(SEARCH($Z$2,Z14)))))</f>
      </c>
      <c r="BL14" s="137">
        <f>IF($AA$2="",1,IF($AA$2="(blank)",--(AA14=""),IF($AA$2="(nonblank)",--(AA14&lt;&gt;""),--ISNUMBER(SEARCH($AA$2,AA14)))))</f>
      </c>
      <c r="BM14" s="137">
        <f>IF($AB$2="",1,IF($AB$2="(blank)",--(AB14=""),IF($AB$2="(nonblank)",--(AB14&lt;&gt;""),--ISNUMBER(SEARCH($AB$2,AB14)))))</f>
      </c>
      <c r="BN14" s="137">
        <f>IF($AC$2="",1,IF($AC$2="(blank)",--(AC14=""),IF($AC$2="(nonblank)",--(AC14&lt;&gt;""),--ISNUMBER(SEARCH($AC$2,AC14)))))</f>
      </c>
      <c r="BO14" s="137">
        <f>IF($AD$2="",1,IF($AD$2="(blank)",--(AD14=""),IF($AD$2="(nonblank)",--(AD14&lt;&gt;""),--ISNUMBER(SEARCH($AD$2,AD14)))))</f>
      </c>
      <c r="BP14" s="137">
        <f>IF($AE$2="",1,IF($AE$2="(blank)",--(AE14=""),IF($AE$2="(nonblank)",--(AE14&lt;&gt;""),--ISNUMBER(SEARCH($AE$2,AE14)))))</f>
      </c>
      <c r="BQ14" s="137">
        <f>IF($AF$2="",1,IF($AF$2="(blank)",--(AF14=""),IF($AF$2="(nonblank)",--(AF14&lt;&gt;""),--ISNUMBER(SEARCH($AF$2,AF14)))))</f>
      </c>
      <c r="BR14" s="137">
        <f>IF($AG$2="",1,IF($AG$2="(blank)",--(AG14=""),IF($AG$2="(nonblank)",--(AG14&lt;&gt;""),--ISNUMBER(SEARCH($AG$2,AG14)))))</f>
      </c>
      <c r="BS14" s="137">
        <f>IF($AH$2="",1,IF($AH$2="(blank)",--(AH14=""),IF($AH$2="(nonblank)",--(AH14&lt;&gt;""),--ISNUMBER(SEARCH($AH$2,AH14)))))</f>
      </c>
      <c r="BT14" s="137">
        <f>IF(COUNTIF($AL14:$BS14,0)&gt;0,0,1)</f>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IF(IF(OR(AB15="",AB15=0),TODAY(),DATE(VALUE(RIGHT(AB15,4)),VALUE(MID(AB15,4,2)),VALUE(LEFT(AB15,2))))&lt;=DATE(2026,8,24),0,H15*0.0118*CEILING((IF(OR(AB15="",AB15=0),TODAY(),DATE(VALUE(RIGHT(AB15,4)),VALUE(MID(AB15,4,2)),VALUE(LEFT(AB15,2))))-DATE(2026,8,22))/7,1))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L15" s="137">
        <f>IF($A$2="",1,IF($A$2="(blank)",--(A15=""),IF($A$2="(nonblank)",--(A15&lt;&gt;""),--ISNUMBER(SEARCH($A$2,A15)))))</f>
      </c>
      <c r="AM15" s="137">
        <f>IF($B$2="",1,IF($B$2="(blank)",--(B15=""),IF($B$2="(nonblank)",--(B15&lt;&gt;""),--ISNUMBER(SEARCH($B$2,B15)))))</f>
      </c>
      <c r="AN15" s="137">
        <f>IF($C$2="",1,IF($C$2="(blank)",--(C15=""),IF($C$2="(nonblank)",--(C15&lt;&gt;""),--ISNUMBER(SEARCH($C$2,C15)))))</f>
      </c>
      <c r="AO15" s="137">
        <f>IF($D$2="",1,IF($D$2="(blank)",--(D15=""),IF($D$2="(nonblank)",--(D15&lt;&gt;""),--ISNUMBER(SEARCH($D$2,D15)))))</f>
      </c>
      <c r="AP15" s="137">
        <f>IF($E$2="",1,IF($E$2="(blank)",--(E15=""),IF($E$2="(nonblank)",--(E15&lt;&gt;""),--ISNUMBER(SEARCH($E$2,E15)))))</f>
      </c>
      <c r="AQ15" s="137">
        <f>IF($F$2="",1,IF($F$2="(blank)",--(F15=""),IF($F$2="(nonblank)",--(F15&lt;&gt;""),--ISNUMBER(SEARCH($F$2,F15)))))</f>
      </c>
      <c r="AR15" s="137">
        <f>IF($G$2="",1,IF($G$2="(blank)",--(G15=""),IF($G$2="(nonblank)",--(G15&lt;&gt;""),--ISNUMBER(SEARCH($G$2,G15)))))</f>
      </c>
      <c r="AS15" s="137">
        <f>IF($H$2="",1,IF($H$2="(blank)",--(H15=""),IF($H$2="(nonblank)",--(H15&lt;&gt;""),--ISNUMBER(SEARCH($H$2,H15)))))</f>
      </c>
      <c r="AT15" s="137">
        <f>IF($I$2="",1,IF($I$2="(blank)",--(I15=""),IF($I$2="(nonblank)",--(I15&lt;&gt;""),--ISNUMBER(SEARCH($I$2,I15)))))</f>
      </c>
      <c r="AU15" s="137">
        <f>IF($J$2="",1,IF($J$2="(blank)",--(J15=""),IF($J$2="(nonblank)",--(J15&lt;&gt;""),--ISNUMBER(SEARCH($J$2,J15)))))</f>
      </c>
      <c r="AV15" s="137">
        <f>IF($K$2="",1,IF($K$2="(blank)",--(K15=""),IF($K$2="(nonblank)",--(K15&lt;&gt;""),--ISNUMBER(SEARCH($K$2,K15)))))</f>
      </c>
      <c r="AW15" s="137">
        <f>IF($L$2="",1,IF($L$2="(blank)",--(L15=""),IF($L$2="(nonblank)",--(L15&lt;&gt;""),--ISNUMBER(SEARCH($L$2,L15)))))</f>
      </c>
      <c r="AX15" s="137">
        <f>IF($M$2="",1,IF($M$2="(blank)",--(M15=""),IF($M$2="(nonblank)",--(M15&lt;&gt;""),--ISNUMBER(SEARCH($M$2,M15)))))</f>
      </c>
      <c r="AY15" s="137">
        <f>IF($N$2="",1,IF($N$2="(blank)",--(N15=""),IF($N$2="(nonblank)",--(N15&lt;&gt;""),--ISNUMBER(SEARCH($N$2,N15)))))</f>
      </c>
      <c r="AZ15" s="137">
        <f>IF($O$2="",1,IF($O$2="(blank)",--(O15=""),IF($O$2="(nonblank)",--(O15&lt;&gt;""),--ISNUMBER(SEARCH($O$2,O15)))))</f>
      </c>
      <c r="BA15" s="137">
        <f>IF($P$2="",1,IF($P$2="(blank)",--(P15=""),IF($P$2="(nonblank)",--(P15&lt;&gt;""),--ISNUMBER(SEARCH($P$2,P15)))))</f>
      </c>
      <c r="BB15" s="137">
        <f>IF($Q$2="",1,IF($Q$2="(blank)",--(Q15=""),IF($Q$2="(nonblank)",--(Q15&lt;&gt;""),--ISNUMBER(SEARCH($Q$2,Q15)))))</f>
      </c>
      <c r="BC15" s="137">
        <f>IF($R$2="",1,IF($R$2="(blank)",--(R15=""),IF($R$2="(nonblank)",--(R15&lt;&gt;""),--ISNUMBER(SEARCH($R$2,R15)))))</f>
      </c>
      <c r="BD15" s="137">
        <f>IF($S$2="",1,IF($S$2="(blank)",--(S15=""),IF($S$2="(nonblank)",--(S15&lt;&gt;""),--ISNUMBER(SEARCH($S$2,S15)))))</f>
      </c>
      <c r="BE15" s="137">
        <f>IF($T$2="",1,IF($T$2="(blank)",--(T15=""),IF($T$2="(nonblank)",--(T15&lt;&gt;""),--ISNUMBER(SEARCH($T$2,T15)))))</f>
      </c>
      <c r="BF15" s="137">
        <f>IF($U$2="",1,IF($U$2="(blank)",--(U15=""),IF($U$2="(nonblank)",--(U15&lt;&gt;""),--ISNUMBER(SEARCH($U$2,U15)))))</f>
      </c>
      <c r="BG15" s="137">
        <f>IF($V$2="",1,IF($V$2="(blank)",--(V15=""),IF($V$2="(nonblank)",--(V15&lt;&gt;""),--ISNUMBER(SEARCH($V$2,V15)))))</f>
      </c>
      <c r="BH15" s="137">
        <f>IF($W$2="",1,IF($W$2="(blank)",--(W15=""),IF($W$2="(nonblank)",--(W15&lt;&gt;""),--ISNUMBER(SEARCH($W$2,W15)))))</f>
      </c>
      <c r="BI15" s="137">
        <f>IF($X$2="",1,IF($X$2="(blank)",--(X15=""),IF($X$2="(nonblank)",--(X15&lt;&gt;""),--ISNUMBER(SEARCH($X$2,X15)))))</f>
      </c>
      <c r="BJ15" s="137">
        <f>IF($Y$2="",1,IF($Y$2="(blank)",--(Y15=""),IF($Y$2="(nonblank)",--(Y15&lt;&gt;""),--ISNUMBER(SEARCH($Y$2,Y15)))))</f>
      </c>
      <c r="BK15" s="137">
        <f>IF($Z$2="",1,IF($Z$2="(blank)",--(Z15=""),IF($Z$2="(nonblank)",--(Z15&lt;&gt;""),--ISNUMBER(SEARCH($Z$2,Z15)))))</f>
      </c>
      <c r="BL15" s="137">
        <f>IF($AA$2="",1,IF($AA$2="(blank)",--(AA15=""),IF($AA$2="(nonblank)",--(AA15&lt;&gt;""),--ISNUMBER(SEARCH($AA$2,AA15)))))</f>
      </c>
      <c r="BM15" s="137">
        <f>IF($AB$2="",1,IF($AB$2="(blank)",--(AB15=""),IF($AB$2="(nonblank)",--(AB15&lt;&gt;""),--ISNUMBER(SEARCH($AB$2,AB15)))))</f>
      </c>
      <c r="BN15" s="137">
        <f>IF($AC$2="",1,IF($AC$2="(blank)",--(AC15=""),IF($AC$2="(nonblank)",--(AC15&lt;&gt;""),--ISNUMBER(SEARCH($AC$2,AC15)))))</f>
      </c>
      <c r="BO15" s="137">
        <f>IF($AD$2="",1,IF($AD$2="(blank)",--(AD15=""),IF($AD$2="(nonblank)",--(AD15&lt;&gt;""),--ISNUMBER(SEARCH($AD$2,AD15)))))</f>
      </c>
      <c r="BP15" s="137">
        <f>IF($AE$2="",1,IF($AE$2="(blank)",--(AE15=""),IF($AE$2="(nonblank)",--(AE15&lt;&gt;""),--ISNUMBER(SEARCH($AE$2,AE15)))))</f>
      </c>
      <c r="BQ15" s="137">
        <f>IF($AF$2="",1,IF($AF$2="(blank)",--(AF15=""),IF($AF$2="(nonblank)",--(AF15&lt;&gt;""),--ISNUMBER(SEARCH($AF$2,AF15)))))</f>
      </c>
      <c r="BR15" s="137">
        <f>IF($AG$2="",1,IF($AG$2="(blank)",--(AG15=""),IF($AG$2="(nonblank)",--(AG15&lt;&gt;""),--ISNUMBER(SEARCH($AG$2,AG15)))))</f>
      </c>
      <c r="BS15" s="137">
        <f>IF($AH$2="",1,IF($AH$2="(blank)",--(AH15=""),IF($AH$2="(nonblank)",--(AH15&lt;&gt;""),--ISNUMBER(SEARCH($AH$2,AH15)))))</f>
      </c>
      <c r="BT15" s="137">
        <f>IF(COUNTIF($AL15:$BS15,0)&gt;0,0,1)</f>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IF(IF(OR(AB16="",AB16=0),TODAY(),DATE(VALUE(RIGHT(AB16,4)),VALUE(MID(AB16,4,2)),VALUE(LEFT(AB16,2))))&lt;=DATE(2026,8,24),0,H16*0.0118*CEILING((IF(OR(AB16="",AB16=0),TODAY(),DATE(VALUE(RIGHT(AB16,4)),VALUE(MID(AB16,4,2)),VALUE(LEFT(AB16,2))))-DATE(2026,8,22))/7,1))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L16" s="137">
        <f>IF($A$2="",1,IF($A$2="(blank)",--(A16=""),IF($A$2="(nonblank)",--(A16&lt;&gt;""),--ISNUMBER(SEARCH($A$2,A16)))))</f>
      </c>
      <c r="AM16" s="137">
        <f>IF($B$2="",1,IF($B$2="(blank)",--(B16=""),IF($B$2="(nonblank)",--(B16&lt;&gt;""),--ISNUMBER(SEARCH($B$2,B16)))))</f>
      </c>
      <c r="AN16" s="137">
        <f>IF($C$2="",1,IF($C$2="(blank)",--(C16=""),IF($C$2="(nonblank)",--(C16&lt;&gt;""),--ISNUMBER(SEARCH($C$2,C16)))))</f>
      </c>
      <c r="AO16" s="137">
        <f>IF($D$2="",1,IF($D$2="(blank)",--(D16=""),IF($D$2="(nonblank)",--(D16&lt;&gt;""),--ISNUMBER(SEARCH($D$2,D16)))))</f>
      </c>
      <c r="AP16" s="137">
        <f>IF($E$2="",1,IF($E$2="(blank)",--(E16=""),IF($E$2="(nonblank)",--(E16&lt;&gt;""),--ISNUMBER(SEARCH($E$2,E16)))))</f>
      </c>
      <c r="AQ16" s="137">
        <f>IF($F$2="",1,IF($F$2="(blank)",--(F16=""),IF($F$2="(nonblank)",--(F16&lt;&gt;""),--ISNUMBER(SEARCH($F$2,F16)))))</f>
      </c>
      <c r="AR16" s="137">
        <f>IF($G$2="",1,IF($G$2="(blank)",--(G16=""),IF($G$2="(nonblank)",--(G16&lt;&gt;""),--ISNUMBER(SEARCH($G$2,G16)))))</f>
      </c>
      <c r="AS16" s="137">
        <f>IF($H$2="",1,IF($H$2="(blank)",--(H16=""),IF($H$2="(nonblank)",--(H16&lt;&gt;""),--ISNUMBER(SEARCH($H$2,H16)))))</f>
      </c>
      <c r="AT16" s="137">
        <f>IF($I$2="",1,IF($I$2="(blank)",--(I16=""),IF($I$2="(nonblank)",--(I16&lt;&gt;""),--ISNUMBER(SEARCH($I$2,I16)))))</f>
      </c>
      <c r="AU16" s="137">
        <f>IF($J$2="",1,IF($J$2="(blank)",--(J16=""),IF($J$2="(nonblank)",--(J16&lt;&gt;""),--ISNUMBER(SEARCH($J$2,J16)))))</f>
      </c>
      <c r="AV16" s="137">
        <f>IF($K$2="",1,IF($K$2="(blank)",--(K16=""),IF($K$2="(nonblank)",--(K16&lt;&gt;""),--ISNUMBER(SEARCH($K$2,K16)))))</f>
      </c>
      <c r="AW16" s="137">
        <f>IF($L$2="",1,IF($L$2="(blank)",--(L16=""),IF($L$2="(nonblank)",--(L16&lt;&gt;""),--ISNUMBER(SEARCH($L$2,L16)))))</f>
      </c>
      <c r="AX16" s="137">
        <f>IF($M$2="",1,IF($M$2="(blank)",--(M16=""),IF($M$2="(nonblank)",--(M16&lt;&gt;""),--ISNUMBER(SEARCH($M$2,M16)))))</f>
      </c>
      <c r="AY16" s="137">
        <f>IF($N$2="",1,IF($N$2="(blank)",--(N16=""),IF($N$2="(nonblank)",--(N16&lt;&gt;""),--ISNUMBER(SEARCH($N$2,N16)))))</f>
      </c>
      <c r="AZ16" s="137">
        <f>IF($O$2="",1,IF($O$2="(blank)",--(O16=""),IF($O$2="(nonblank)",--(O16&lt;&gt;""),--ISNUMBER(SEARCH($O$2,O16)))))</f>
      </c>
      <c r="BA16" s="137">
        <f>IF($P$2="",1,IF($P$2="(blank)",--(P16=""),IF($P$2="(nonblank)",--(P16&lt;&gt;""),--ISNUMBER(SEARCH($P$2,P16)))))</f>
      </c>
      <c r="BB16" s="137">
        <f>IF($Q$2="",1,IF($Q$2="(blank)",--(Q16=""),IF($Q$2="(nonblank)",--(Q16&lt;&gt;""),--ISNUMBER(SEARCH($Q$2,Q16)))))</f>
      </c>
      <c r="BC16" s="137">
        <f>IF($R$2="",1,IF($R$2="(blank)",--(R16=""),IF($R$2="(nonblank)",--(R16&lt;&gt;""),--ISNUMBER(SEARCH($R$2,R16)))))</f>
      </c>
      <c r="BD16" s="137">
        <f>IF($S$2="",1,IF($S$2="(blank)",--(S16=""),IF($S$2="(nonblank)",--(S16&lt;&gt;""),--ISNUMBER(SEARCH($S$2,S16)))))</f>
      </c>
      <c r="BE16" s="137">
        <f>IF($T$2="",1,IF($T$2="(blank)",--(T16=""),IF($T$2="(nonblank)",--(T16&lt;&gt;""),--ISNUMBER(SEARCH($T$2,T16)))))</f>
      </c>
      <c r="BF16" s="137">
        <f>IF($U$2="",1,IF($U$2="(blank)",--(U16=""),IF($U$2="(nonblank)",--(U16&lt;&gt;""),--ISNUMBER(SEARCH($U$2,U16)))))</f>
      </c>
      <c r="BG16" s="137">
        <f>IF($V$2="",1,IF($V$2="(blank)",--(V16=""),IF($V$2="(nonblank)",--(V16&lt;&gt;""),--ISNUMBER(SEARCH($V$2,V16)))))</f>
      </c>
      <c r="BH16" s="137">
        <f>IF($W$2="",1,IF($W$2="(blank)",--(W16=""),IF($W$2="(nonblank)",--(W16&lt;&gt;""),--ISNUMBER(SEARCH($W$2,W16)))))</f>
      </c>
      <c r="BI16" s="137">
        <f>IF($X$2="",1,IF($X$2="(blank)",--(X16=""),IF($X$2="(nonblank)",--(X16&lt;&gt;""),--ISNUMBER(SEARCH($X$2,X16)))))</f>
      </c>
      <c r="BJ16" s="137">
        <f>IF($Y$2="",1,IF($Y$2="(blank)",--(Y16=""),IF($Y$2="(nonblank)",--(Y16&lt;&gt;""),--ISNUMBER(SEARCH($Y$2,Y16)))))</f>
      </c>
      <c r="BK16" s="137">
        <f>IF($Z$2="",1,IF($Z$2="(blank)",--(Z16=""),IF($Z$2="(nonblank)",--(Z16&lt;&gt;""),--ISNUMBER(SEARCH($Z$2,Z16)))))</f>
      </c>
      <c r="BL16" s="137">
        <f>IF($AA$2="",1,IF($AA$2="(blank)",--(AA16=""),IF($AA$2="(nonblank)",--(AA16&lt;&gt;""),--ISNUMBER(SEARCH($AA$2,AA16)))))</f>
      </c>
      <c r="BM16" s="137">
        <f>IF($AB$2="",1,IF($AB$2="(blank)",--(AB16=""),IF($AB$2="(nonblank)",--(AB16&lt;&gt;""),--ISNUMBER(SEARCH($AB$2,AB16)))))</f>
      </c>
      <c r="BN16" s="137">
        <f>IF($AC$2="",1,IF($AC$2="(blank)",--(AC16=""),IF($AC$2="(nonblank)",--(AC16&lt;&gt;""),--ISNUMBER(SEARCH($AC$2,AC16)))))</f>
      </c>
      <c r="BO16" s="137">
        <f>IF($AD$2="",1,IF($AD$2="(blank)",--(AD16=""),IF($AD$2="(nonblank)",--(AD16&lt;&gt;""),--ISNUMBER(SEARCH($AD$2,AD16)))))</f>
      </c>
      <c r="BP16" s="137">
        <f>IF($AE$2="",1,IF($AE$2="(blank)",--(AE16=""),IF($AE$2="(nonblank)",--(AE16&lt;&gt;""),--ISNUMBER(SEARCH($AE$2,AE16)))))</f>
      </c>
      <c r="BQ16" s="137">
        <f>IF($AF$2="",1,IF($AF$2="(blank)",--(AF16=""),IF($AF$2="(nonblank)",--(AF16&lt;&gt;""),--ISNUMBER(SEARCH($AF$2,AF16)))))</f>
      </c>
      <c r="BR16" s="137">
        <f>IF($AG$2="",1,IF($AG$2="(blank)",--(AG16=""),IF($AG$2="(nonblank)",--(AG16&lt;&gt;""),--ISNUMBER(SEARCH($AG$2,AG16)))))</f>
      </c>
      <c r="BS16" s="137">
        <f>IF($AH$2="",1,IF($AH$2="(blank)",--(AH16=""),IF($AH$2="(nonblank)",--(AH16&lt;&gt;""),--ISNUMBER(SEARCH($AH$2,AH16)))))</f>
      </c>
      <c r="BT16" s="137">
        <f>IF(COUNTIF($AL16:$BS16,0)&gt;0,0,1)</f>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IF(IF(OR(AB17="",AB17=0),TODAY(),DATE(VALUE(RIGHT(AB17,4)),VALUE(MID(AB17,4,2)),VALUE(LEFT(AB17,2))))&lt;=DATE(2026,8,24),0,H17*0.0118*CEILING((IF(OR(AB17="",AB17=0),TODAY(),DATE(VALUE(RIGHT(AB17,4)),VALUE(MID(AB17,4,2)),VALUE(LEFT(AB17,2))))-DATE(2026,8,22))/7,1))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L17" s="137">
        <f>IF($A$2="",1,IF($A$2="(blank)",--(A17=""),IF($A$2="(nonblank)",--(A17&lt;&gt;""),--ISNUMBER(SEARCH($A$2,A17)))))</f>
      </c>
      <c r="AM17" s="137">
        <f>IF($B$2="",1,IF($B$2="(blank)",--(B17=""),IF($B$2="(nonblank)",--(B17&lt;&gt;""),--ISNUMBER(SEARCH($B$2,B17)))))</f>
      </c>
      <c r="AN17" s="137">
        <f>IF($C$2="",1,IF($C$2="(blank)",--(C17=""),IF($C$2="(nonblank)",--(C17&lt;&gt;""),--ISNUMBER(SEARCH($C$2,C17)))))</f>
      </c>
      <c r="AO17" s="137">
        <f>IF($D$2="",1,IF($D$2="(blank)",--(D17=""),IF($D$2="(nonblank)",--(D17&lt;&gt;""),--ISNUMBER(SEARCH($D$2,D17)))))</f>
      </c>
      <c r="AP17" s="137">
        <f>IF($E$2="",1,IF($E$2="(blank)",--(E17=""),IF($E$2="(nonblank)",--(E17&lt;&gt;""),--ISNUMBER(SEARCH($E$2,E17)))))</f>
      </c>
      <c r="AQ17" s="137">
        <f>IF($F$2="",1,IF($F$2="(blank)",--(F17=""),IF($F$2="(nonblank)",--(F17&lt;&gt;""),--ISNUMBER(SEARCH($F$2,F17)))))</f>
      </c>
      <c r="AR17" s="137">
        <f>IF($G$2="",1,IF($G$2="(blank)",--(G17=""),IF($G$2="(nonblank)",--(G17&lt;&gt;""),--ISNUMBER(SEARCH($G$2,G17)))))</f>
      </c>
      <c r="AS17" s="137">
        <f>IF($H$2="",1,IF($H$2="(blank)",--(H17=""),IF($H$2="(nonblank)",--(H17&lt;&gt;""),--ISNUMBER(SEARCH($H$2,H17)))))</f>
      </c>
      <c r="AT17" s="137">
        <f>IF($I$2="",1,IF($I$2="(blank)",--(I17=""),IF($I$2="(nonblank)",--(I17&lt;&gt;""),--ISNUMBER(SEARCH($I$2,I17)))))</f>
      </c>
      <c r="AU17" s="137">
        <f>IF($J$2="",1,IF($J$2="(blank)",--(J17=""),IF($J$2="(nonblank)",--(J17&lt;&gt;""),--ISNUMBER(SEARCH($J$2,J17)))))</f>
      </c>
      <c r="AV17" s="137">
        <f>IF($K$2="",1,IF($K$2="(blank)",--(K17=""),IF($K$2="(nonblank)",--(K17&lt;&gt;""),--ISNUMBER(SEARCH($K$2,K17)))))</f>
      </c>
      <c r="AW17" s="137">
        <f>IF($L$2="",1,IF($L$2="(blank)",--(L17=""),IF($L$2="(nonblank)",--(L17&lt;&gt;""),--ISNUMBER(SEARCH($L$2,L17)))))</f>
      </c>
      <c r="AX17" s="137">
        <f>IF($M$2="",1,IF($M$2="(blank)",--(M17=""),IF($M$2="(nonblank)",--(M17&lt;&gt;""),--ISNUMBER(SEARCH($M$2,M17)))))</f>
      </c>
      <c r="AY17" s="137">
        <f>IF($N$2="",1,IF($N$2="(blank)",--(N17=""),IF($N$2="(nonblank)",--(N17&lt;&gt;""),--ISNUMBER(SEARCH($N$2,N17)))))</f>
      </c>
      <c r="AZ17" s="137">
        <f>IF($O$2="",1,IF($O$2="(blank)",--(O17=""),IF($O$2="(nonblank)",--(O17&lt;&gt;""),--ISNUMBER(SEARCH($O$2,O17)))))</f>
      </c>
      <c r="BA17" s="137">
        <f>IF($P$2="",1,IF($P$2="(blank)",--(P17=""),IF($P$2="(nonblank)",--(P17&lt;&gt;""),--ISNUMBER(SEARCH($P$2,P17)))))</f>
      </c>
      <c r="BB17" s="137">
        <f>IF($Q$2="",1,IF($Q$2="(blank)",--(Q17=""),IF($Q$2="(nonblank)",--(Q17&lt;&gt;""),--ISNUMBER(SEARCH($Q$2,Q17)))))</f>
      </c>
      <c r="BC17" s="137">
        <f>IF($R$2="",1,IF($R$2="(blank)",--(R17=""),IF($R$2="(nonblank)",--(R17&lt;&gt;""),--ISNUMBER(SEARCH($R$2,R17)))))</f>
      </c>
      <c r="BD17" s="137">
        <f>IF($S$2="",1,IF($S$2="(blank)",--(S17=""),IF($S$2="(nonblank)",--(S17&lt;&gt;""),--ISNUMBER(SEARCH($S$2,S17)))))</f>
      </c>
      <c r="BE17" s="137">
        <f>IF($T$2="",1,IF($T$2="(blank)",--(T17=""),IF($T$2="(nonblank)",--(T17&lt;&gt;""),--ISNUMBER(SEARCH($T$2,T17)))))</f>
      </c>
      <c r="BF17" s="137">
        <f>IF($U$2="",1,IF($U$2="(blank)",--(U17=""),IF($U$2="(nonblank)",--(U17&lt;&gt;""),--ISNUMBER(SEARCH($U$2,U17)))))</f>
      </c>
      <c r="BG17" s="137">
        <f>IF($V$2="",1,IF($V$2="(blank)",--(V17=""),IF($V$2="(nonblank)",--(V17&lt;&gt;""),--ISNUMBER(SEARCH($V$2,V17)))))</f>
      </c>
      <c r="BH17" s="137">
        <f>IF($W$2="",1,IF($W$2="(blank)",--(W17=""),IF($W$2="(nonblank)",--(W17&lt;&gt;""),--ISNUMBER(SEARCH($W$2,W17)))))</f>
      </c>
      <c r="BI17" s="137">
        <f>IF($X$2="",1,IF($X$2="(blank)",--(X17=""),IF($X$2="(nonblank)",--(X17&lt;&gt;""),--ISNUMBER(SEARCH($X$2,X17)))))</f>
      </c>
      <c r="BJ17" s="137">
        <f>IF($Y$2="",1,IF($Y$2="(blank)",--(Y17=""),IF($Y$2="(nonblank)",--(Y17&lt;&gt;""),--ISNUMBER(SEARCH($Y$2,Y17)))))</f>
      </c>
      <c r="BK17" s="137">
        <f>IF($Z$2="",1,IF($Z$2="(blank)",--(Z17=""),IF($Z$2="(nonblank)",--(Z17&lt;&gt;""),--ISNUMBER(SEARCH($Z$2,Z17)))))</f>
      </c>
      <c r="BL17" s="137">
        <f>IF($AA$2="",1,IF($AA$2="(blank)",--(AA17=""),IF($AA$2="(nonblank)",--(AA17&lt;&gt;""),--ISNUMBER(SEARCH($AA$2,AA17)))))</f>
      </c>
      <c r="BM17" s="137">
        <f>IF($AB$2="",1,IF($AB$2="(blank)",--(AB17=""),IF($AB$2="(nonblank)",--(AB17&lt;&gt;""),--ISNUMBER(SEARCH($AB$2,AB17)))))</f>
      </c>
      <c r="BN17" s="137">
        <f>IF($AC$2="",1,IF($AC$2="(blank)",--(AC17=""),IF($AC$2="(nonblank)",--(AC17&lt;&gt;""),--ISNUMBER(SEARCH($AC$2,AC17)))))</f>
      </c>
      <c r="BO17" s="137">
        <f>IF($AD$2="",1,IF($AD$2="(blank)",--(AD17=""),IF($AD$2="(nonblank)",--(AD17&lt;&gt;""),--ISNUMBER(SEARCH($AD$2,AD17)))))</f>
      </c>
      <c r="BP17" s="137">
        <f>IF($AE$2="",1,IF($AE$2="(blank)",--(AE17=""),IF($AE$2="(nonblank)",--(AE17&lt;&gt;""),--ISNUMBER(SEARCH($AE$2,AE17)))))</f>
      </c>
      <c r="BQ17" s="137">
        <f>IF($AF$2="",1,IF($AF$2="(blank)",--(AF17=""),IF($AF$2="(nonblank)",--(AF17&lt;&gt;""),--ISNUMBER(SEARCH($AF$2,AF17)))))</f>
      </c>
      <c r="BR17" s="137">
        <f>IF($AG$2="",1,IF($AG$2="(blank)",--(AG17=""),IF($AG$2="(nonblank)",--(AG17&lt;&gt;""),--ISNUMBER(SEARCH($AG$2,AG17)))))</f>
      </c>
      <c r="BS17" s="137">
        <f>IF($AH$2="",1,IF($AH$2="(blank)",--(AH17=""),IF($AH$2="(nonblank)",--(AH17&lt;&gt;""),--ISNUMBER(SEARCH($AH$2,AH17)))))</f>
      </c>
      <c r="BT17" s="137">
        <f>IF(COUNTIF($AL17:$BS17,0)&gt;0,0,1)</f>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IF(IF(OR(AB18="",AB18=0),TODAY(),DATE(VALUE(RIGHT(AB18,4)),VALUE(MID(AB18,4,2)),VALUE(LEFT(AB18,2))))&lt;=DATE(2026,8,24),0,H18*0.0118*CEILING((IF(OR(AB18="",AB18=0),TODAY(),DATE(VALUE(RIGHT(AB18,4)),VALUE(MID(AB18,4,2)),VALUE(LEFT(AB18,2))))-DATE(2026,8,22))/7,1))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L18" s="137">
        <f>IF($A$2="",1,IF($A$2="(blank)",--(A18=""),IF($A$2="(nonblank)",--(A18&lt;&gt;""),--ISNUMBER(SEARCH($A$2,A18)))))</f>
      </c>
      <c r="AM18" s="137">
        <f>IF($B$2="",1,IF($B$2="(blank)",--(B18=""),IF($B$2="(nonblank)",--(B18&lt;&gt;""),--ISNUMBER(SEARCH($B$2,B18)))))</f>
      </c>
      <c r="AN18" s="137">
        <f>IF($C$2="",1,IF($C$2="(blank)",--(C18=""),IF($C$2="(nonblank)",--(C18&lt;&gt;""),--ISNUMBER(SEARCH($C$2,C18)))))</f>
      </c>
      <c r="AO18" s="137">
        <f>IF($D$2="",1,IF($D$2="(blank)",--(D18=""),IF($D$2="(nonblank)",--(D18&lt;&gt;""),--ISNUMBER(SEARCH($D$2,D18)))))</f>
      </c>
      <c r="AP18" s="137">
        <f>IF($E$2="",1,IF($E$2="(blank)",--(E18=""),IF($E$2="(nonblank)",--(E18&lt;&gt;""),--ISNUMBER(SEARCH($E$2,E18)))))</f>
      </c>
      <c r="AQ18" s="137">
        <f>IF($F$2="",1,IF($F$2="(blank)",--(F18=""),IF($F$2="(nonblank)",--(F18&lt;&gt;""),--ISNUMBER(SEARCH($F$2,F18)))))</f>
      </c>
      <c r="AR18" s="137">
        <f>IF($G$2="",1,IF($G$2="(blank)",--(G18=""),IF($G$2="(nonblank)",--(G18&lt;&gt;""),--ISNUMBER(SEARCH($G$2,G18)))))</f>
      </c>
      <c r="AS18" s="137">
        <f>IF($H$2="",1,IF($H$2="(blank)",--(H18=""),IF($H$2="(nonblank)",--(H18&lt;&gt;""),--ISNUMBER(SEARCH($H$2,H18)))))</f>
      </c>
      <c r="AT18" s="137">
        <f>IF($I$2="",1,IF($I$2="(blank)",--(I18=""),IF($I$2="(nonblank)",--(I18&lt;&gt;""),--ISNUMBER(SEARCH($I$2,I18)))))</f>
      </c>
      <c r="AU18" s="137">
        <f>IF($J$2="",1,IF($J$2="(blank)",--(J18=""),IF($J$2="(nonblank)",--(J18&lt;&gt;""),--ISNUMBER(SEARCH($J$2,J18)))))</f>
      </c>
      <c r="AV18" s="137">
        <f>IF($K$2="",1,IF($K$2="(blank)",--(K18=""),IF($K$2="(nonblank)",--(K18&lt;&gt;""),--ISNUMBER(SEARCH($K$2,K18)))))</f>
      </c>
      <c r="AW18" s="137">
        <f>IF($L$2="",1,IF($L$2="(blank)",--(L18=""),IF($L$2="(nonblank)",--(L18&lt;&gt;""),--ISNUMBER(SEARCH($L$2,L18)))))</f>
      </c>
      <c r="AX18" s="137">
        <f>IF($M$2="",1,IF($M$2="(blank)",--(M18=""),IF($M$2="(nonblank)",--(M18&lt;&gt;""),--ISNUMBER(SEARCH($M$2,M18)))))</f>
      </c>
      <c r="AY18" s="137">
        <f>IF($N$2="",1,IF($N$2="(blank)",--(N18=""),IF($N$2="(nonblank)",--(N18&lt;&gt;""),--ISNUMBER(SEARCH($N$2,N18)))))</f>
      </c>
      <c r="AZ18" s="137">
        <f>IF($O$2="",1,IF($O$2="(blank)",--(O18=""),IF($O$2="(nonblank)",--(O18&lt;&gt;""),--ISNUMBER(SEARCH($O$2,O18)))))</f>
      </c>
      <c r="BA18" s="137">
        <f>IF($P$2="",1,IF($P$2="(blank)",--(P18=""),IF($P$2="(nonblank)",--(P18&lt;&gt;""),--ISNUMBER(SEARCH($P$2,P18)))))</f>
      </c>
      <c r="BB18" s="137">
        <f>IF($Q$2="",1,IF($Q$2="(blank)",--(Q18=""),IF($Q$2="(nonblank)",--(Q18&lt;&gt;""),--ISNUMBER(SEARCH($Q$2,Q18)))))</f>
      </c>
      <c r="BC18" s="137">
        <f>IF($R$2="",1,IF($R$2="(blank)",--(R18=""),IF($R$2="(nonblank)",--(R18&lt;&gt;""),--ISNUMBER(SEARCH($R$2,R18)))))</f>
      </c>
      <c r="BD18" s="137">
        <f>IF($S$2="",1,IF($S$2="(blank)",--(S18=""),IF($S$2="(nonblank)",--(S18&lt;&gt;""),--ISNUMBER(SEARCH($S$2,S18)))))</f>
      </c>
      <c r="BE18" s="137">
        <f>IF($T$2="",1,IF($T$2="(blank)",--(T18=""),IF($T$2="(nonblank)",--(T18&lt;&gt;""),--ISNUMBER(SEARCH($T$2,T18)))))</f>
      </c>
      <c r="BF18" s="137">
        <f>IF($U$2="",1,IF($U$2="(blank)",--(U18=""),IF($U$2="(nonblank)",--(U18&lt;&gt;""),--ISNUMBER(SEARCH($U$2,U18)))))</f>
      </c>
      <c r="BG18" s="137">
        <f>IF($V$2="",1,IF($V$2="(blank)",--(V18=""),IF($V$2="(nonblank)",--(V18&lt;&gt;""),--ISNUMBER(SEARCH($V$2,V18)))))</f>
      </c>
      <c r="BH18" s="137">
        <f>IF($W$2="",1,IF($W$2="(blank)",--(W18=""),IF($W$2="(nonblank)",--(W18&lt;&gt;""),--ISNUMBER(SEARCH($W$2,W18)))))</f>
      </c>
      <c r="BI18" s="137">
        <f>IF($X$2="",1,IF($X$2="(blank)",--(X18=""),IF($X$2="(nonblank)",--(X18&lt;&gt;""),--ISNUMBER(SEARCH($X$2,X18)))))</f>
      </c>
      <c r="BJ18" s="137">
        <f>IF($Y$2="",1,IF($Y$2="(blank)",--(Y18=""),IF($Y$2="(nonblank)",--(Y18&lt;&gt;""),--ISNUMBER(SEARCH($Y$2,Y18)))))</f>
      </c>
      <c r="BK18" s="137">
        <f>IF($Z$2="",1,IF($Z$2="(blank)",--(Z18=""),IF($Z$2="(nonblank)",--(Z18&lt;&gt;""),--ISNUMBER(SEARCH($Z$2,Z18)))))</f>
      </c>
      <c r="BL18" s="137">
        <f>IF($AA$2="",1,IF($AA$2="(blank)",--(AA18=""),IF($AA$2="(nonblank)",--(AA18&lt;&gt;""),--ISNUMBER(SEARCH($AA$2,AA18)))))</f>
      </c>
      <c r="BM18" s="137">
        <f>IF($AB$2="",1,IF($AB$2="(blank)",--(AB18=""),IF($AB$2="(nonblank)",--(AB18&lt;&gt;""),--ISNUMBER(SEARCH($AB$2,AB18)))))</f>
      </c>
      <c r="BN18" s="137">
        <f>IF($AC$2="",1,IF($AC$2="(blank)",--(AC18=""),IF($AC$2="(nonblank)",--(AC18&lt;&gt;""),--ISNUMBER(SEARCH($AC$2,AC18)))))</f>
      </c>
      <c r="BO18" s="137">
        <f>IF($AD$2="",1,IF($AD$2="(blank)",--(AD18=""),IF($AD$2="(nonblank)",--(AD18&lt;&gt;""),--ISNUMBER(SEARCH($AD$2,AD18)))))</f>
      </c>
      <c r="BP18" s="137">
        <f>IF($AE$2="",1,IF($AE$2="(blank)",--(AE18=""),IF($AE$2="(nonblank)",--(AE18&lt;&gt;""),--ISNUMBER(SEARCH($AE$2,AE18)))))</f>
      </c>
      <c r="BQ18" s="137">
        <f>IF($AF$2="",1,IF($AF$2="(blank)",--(AF18=""),IF($AF$2="(nonblank)",--(AF18&lt;&gt;""),--ISNUMBER(SEARCH($AF$2,AF18)))))</f>
      </c>
      <c r="BR18" s="137">
        <f>IF($AG$2="",1,IF($AG$2="(blank)",--(AG18=""),IF($AG$2="(nonblank)",--(AG18&lt;&gt;""),--ISNUMBER(SEARCH($AG$2,AG18)))))</f>
      </c>
      <c r="BS18" s="137">
        <f>IF($AH$2="",1,IF($AH$2="(blank)",--(AH18=""),IF($AH$2="(nonblank)",--(AH18&lt;&gt;""),--ISNUMBER(SEARCH($AH$2,AH18)))))</f>
      </c>
      <c r="BT18" s="137">
        <f>IF(COUNTIF($AL18:$BS18,0)&gt;0,0,1)</f>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IF(IF(OR(AB19="",AB19=0),TODAY(),DATE(VALUE(RIGHT(AB19,4)),VALUE(MID(AB19,4,2)),VALUE(LEFT(AB19,2))))&lt;=DATE(2026,8,24),0,H19*0.0118*CEILING((IF(OR(AB19="",AB19=0),TODAY(),DATE(VALUE(RIGHT(AB19,4)),VALUE(MID(AB19,4,2)),VALUE(LEFT(AB19,2))))-DATE(2026,8,22))/7,1))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L19" s="137">
        <f>IF($A$2="",1,IF($A$2="(blank)",--(A19=""),IF($A$2="(nonblank)",--(A19&lt;&gt;""),--ISNUMBER(SEARCH($A$2,A19)))))</f>
      </c>
      <c r="AM19" s="137">
        <f>IF($B$2="",1,IF($B$2="(blank)",--(B19=""),IF($B$2="(nonblank)",--(B19&lt;&gt;""),--ISNUMBER(SEARCH($B$2,B19)))))</f>
      </c>
      <c r="AN19" s="137">
        <f>IF($C$2="",1,IF($C$2="(blank)",--(C19=""),IF($C$2="(nonblank)",--(C19&lt;&gt;""),--ISNUMBER(SEARCH($C$2,C19)))))</f>
      </c>
      <c r="AO19" s="137">
        <f>IF($D$2="",1,IF($D$2="(blank)",--(D19=""),IF($D$2="(nonblank)",--(D19&lt;&gt;""),--ISNUMBER(SEARCH($D$2,D19)))))</f>
      </c>
      <c r="AP19" s="137">
        <f>IF($E$2="",1,IF($E$2="(blank)",--(E19=""),IF($E$2="(nonblank)",--(E19&lt;&gt;""),--ISNUMBER(SEARCH($E$2,E19)))))</f>
      </c>
      <c r="AQ19" s="137">
        <f>IF($F$2="",1,IF($F$2="(blank)",--(F19=""),IF($F$2="(nonblank)",--(F19&lt;&gt;""),--ISNUMBER(SEARCH($F$2,F19)))))</f>
      </c>
      <c r="AR19" s="137">
        <f>IF($G$2="",1,IF($G$2="(blank)",--(G19=""),IF($G$2="(nonblank)",--(G19&lt;&gt;""),--ISNUMBER(SEARCH($G$2,G19)))))</f>
      </c>
      <c r="AS19" s="137">
        <f>IF($H$2="",1,IF($H$2="(blank)",--(H19=""),IF($H$2="(nonblank)",--(H19&lt;&gt;""),--ISNUMBER(SEARCH($H$2,H19)))))</f>
      </c>
      <c r="AT19" s="137">
        <f>IF($I$2="",1,IF($I$2="(blank)",--(I19=""),IF($I$2="(nonblank)",--(I19&lt;&gt;""),--ISNUMBER(SEARCH($I$2,I19)))))</f>
      </c>
      <c r="AU19" s="137">
        <f>IF($J$2="",1,IF($J$2="(blank)",--(J19=""),IF($J$2="(nonblank)",--(J19&lt;&gt;""),--ISNUMBER(SEARCH($J$2,J19)))))</f>
      </c>
      <c r="AV19" s="137">
        <f>IF($K$2="",1,IF($K$2="(blank)",--(K19=""),IF($K$2="(nonblank)",--(K19&lt;&gt;""),--ISNUMBER(SEARCH($K$2,K19)))))</f>
      </c>
      <c r="AW19" s="137">
        <f>IF($L$2="",1,IF($L$2="(blank)",--(L19=""),IF($L$2="(nonblank)",--(L19&lt;&gt;""),--ISNUMBER(SEARCH($L$2,L19)))))</f>
      </c>
      <c r="AX19" s="137">
        <f>IF($M$2="",1,IF($M$2="(blank)",--(M19=""),IF($M$2="(nonblank)",--(M19&lt;&gt;""),--ISNUMBER(SEARCH($M$2,M19)))))</f>
      </c>
      <c r="AY19" s="137">
        <f>IF($N$2="",1,IF($N$2="(blank)",--(N19=""),IF($N$2="(nonblank)",--(N19&lt;&gt;""),--ISNUMBER(SEARCH($N$2,N19)))))</f>
      </c>
      <c r="AZ19" s="137">
        <f>IF($O$2="",1,IF($O$2="(blank)",--(O19=""),IF($O$2="(nonblank)",--(O19&lt;&gt;""),--ISNUMBER(SEARCH($O$2,O19)))))</f>
      </c>
      <c r="BA19" s="137">
        <f>IF($P$2="",1,IF($P$2="(blank)",--(P19=""),IF($P$2="(nonblank)",--(P19&lt;&gt;""),--ISNUMBER(SEARCH($P$2,P19)))))</f>
      </c>
      <c r="BB19" s="137">
        <f>IF($Q$2="",1,IF($Q$2="(blank)",--(Q19=""),IF($Q$2="(nonblank)",--(Q19&lt;&gt;""),--ISNUMBER(SEARCH($Q$2,Q19)))))</f>
      </c>
      <c r="BC19" s="137">
        <f>IF($R$2="",1,IF($R$2="(blank)",--(R19=""),IF($R$2="(nonblank)",--(R19&lt;&gt;""),--ISNUMBER(SEARCH($R$2,R19)))))</f>
      </c>
      <c r="BD19" s="137">
        <f>IF($S$2="",1,IF($S$2="(blank)",--(S19=""),IF($S$2="(nonblank)",--(S19&lt;&gt;""),--ISNUMBER(SEARCH($S$2,S19)))))</f>
      </c>
      <c r="BE19" s="137">
        <f>IF($T$2="",1,IF($T$2="(blank)",--(T19=""),IF($T$2="(nonblank)",--(T19&lt;&gt;""),--ISNUMBER(SEARCH($T$2,T19)))))</f>
      </c>
      <c r="BF19" s="137">
        <f>IF($U$2="",1,IF($U$2="(blank)",--(U19=""),IF($U$2="(nonblank)",--(U19&lt;&gt;""),--ISNUMBER(SEARCH($U$2,U19)))))</f>
      </c>
      <c r="BG19" s="137">
        <f>IF($V$2="",1,IF($V$2="(blank)",--(V19=""),IF($V$2="(nonblank)",--(V19&lt;&gt;""),--ISNUMBER(SEARCH($V$2,V19)))))</f>
      </c>
      <c r="BH19" s="137">
        <f>IF($W$2="",1,IF($W$2="(blank)",--(W19=""),IF($W$2="(nonblank)",--(W19&lt;&gt;""),--ISNUMBER(SEARCH($W$2,W19)))))</f>
      </c>
      <c r="BI19" s="137">
        <f>IF($X$2="",1,IF($X$2="(blank)",--(X19=""),IF($X$2="(nonblank)",--(X19&lt;&gt;""),--ISNUMBER(SEARCH($X$2,X19)))))</f>
      </c>
      <c r="BJ19" s="137">
        <f>IF($Y$2="",1,IF($Y$2="(blank)",--(Y19=""),IF($Y$2="(nonblank)",--(Y19&lt;&gt;""),--ISNUMBER(SEARCH($Y$2,Y19)))))</f>
      </c>
      <c r="BK19" s="137">
        <f>IF($Z$2="",1,IF($Z$2="(blank)",--(Z19=""),IF($Z$2="(nonblank)",--(Z19&lt;&gt;""),--ISNUMBER(SEARCH($Z$2,Z19)))))</f>
      </c>
      <c r="BL19" s="137">
        <f>IF($AA$2="",1,IF($AA$2="(blank)",--(AA19=""),IF($AA$2="(nonblank)",--(AA19&lt;&gt;""),--ISNUMBER(SEARCH($AA$2,AA19)))))</f>
      </c>
      <c r="BM19" s="137">
        <f>IF($AB$2="",1,IF($AB$2="(blank)",--(AB19=""),IF($AB$2="(nonblank)",--(AB19&lt;&gt;""),--ISNUMBER(SEARCH($AB$2,AB19)))))</f>
      </c>
      <c r="BN19" s="137">
        <f>IF($AC$2="",1,IF($AC$2="(blank)",--(AC19=""),IF($AC$2="(nonblank)",--(AC19&lt;&gt;""),--ISNUMBER(SEARCH($AC$2,AC19)))))</f>
      </c>
      <c r="BO19" s="137">
        <f>IF($AD$2="",1,IF($AD$2="(blank)",--(AD19=""),IF($AD$2="(nonblank)",--(AD19&lt;&gt;""),--ISNUMBER(SEARCH($AD$2,AD19)))))</f>
      </c>
      <c r="BP19" s="137">
        <f>IF($AE$2="",1,IF($AE$2="(blank)",--(AE19=""),IF($AE$2="(nonblank)",--(AE19&lt;&gt;""),--ISNUMBER(SEARCH($AE$2,AE19)))))</f>
      </c>
      <c r="BQ19" s="137">
        <f>IF($AF$2="",1,IF($AF$2="(blank)",--(AF19=""),IF($AF$2="(nonblank)",--(AF19&lt;&gt;""),--ISNUMBER(SEARCH($AF$2,AF19)))))</f>
      </c>
      <c r="BR19" s="137">
        <f>IF($AG$2="",1,IF($AG$2="(blank)",--(AG19=""),IF($AG$2="(nonblank)",--(AG19&lt;&gt;""),--ISNUMBER(SEARCH($AG$2,AG19)))))</f>
      </c>
      <c r="BS19" s="137">
        <f>IF($AH$2="",1,IF($AH$2="(blank)",--(AH19=""),IF($AH$2="(nonblank)",--(AH19&lt;&gt;""),--ISNUMBER(SEARCH($AH$2,AH19)))))</f>
      </c>
      <c r="BT19" s="137">
        <f>IF(COUNTIF($AL19:$BS19,0)&gt;0,0,1)</f>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IF(IF(OR(AB20="",AB20=0),TODAY(),DATE(VALUE(RIGHT(AB20,4)),VALUE(MID(AB20,4,2)),VALUE(LEFT(AB20,2))))&lt;=DATE(2026,8,24),0,H20*0.0118*CEILING((IF(OR(AB20="",AB20=0),TODAY(),DATE(VALUE(RIGHT(AB20,4)),VALUE(MID(AB20,4,2)),VALUE(LEFT(AB20,2))))-DATE(2026,8,22))/7,1))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L20" s="137">
        <f>IF($A$2="",1,IF($A$2="(blank)",--(A20=""),IF($A$2="(nonblank)",--(A20&lt;&gt;""),--ISNUMBER(SEARCH($A$2,A20)))))</f>
      </c>
      <c r="AM20" s="137">
        <f>IF($B$2="",1,IF($B$2="(blank)",--(B20=""),IF($B$2="(nonblank)",--(B20&lt;&gt;""),--ISNUMBER(SEARCH($B$2,B20)))))</f>
      </c>
      <c r="AN20" s="137">
        <f>IF($C$2="",1,IF($C$2="(blank)",--(C20=""),IF($C$2="(nonblank)",--(C20&lt;&gt;""),--ISNUMBER(SEARCH($C$2,C20)))))</f>
      </c>
      <c r="AO20" s="137">
        <f>IF($D$2="",1,IF($D$2="(blank)",--(D20=""),IF($D$2="(nonblank)",--(D20&lt;&gt;""),--ISNUMBER(SEARCH($D$2,D20)))))</f>
      </c>
      <c r="AP20" s="137">
        <f>IF($E$2="",1,IF($E$2="(blank)",--(E20=""),IF($E$2="(nonblank)",--(E20&lt;&gt;""),--ISNUMBER(SEARCH($E$2,E20)))))</f>
      </c>
      <c r="AQ20" s="137">
        <f>IF($F$2="",1,IF($F$2="(blank)",--(F20=""),IF($F$2="(nonblank)",--(F20&lt;&gt;""),--ISNUMBER(SEARCH($F$2,F20)))))</f>
      </c>
      <c r="AR20" s="137">
        <f>IF($G$2="",1,IF($G$2="(blank)",--(G20=""),IF($G$2="(nonblank)",--(G20&lt;&gt;""),--ISNUMBER(SEARCH($G$2,G20)))))</f>
      </c>
      <c r="AS20" s="137">
        <f>IF($H$2="",1,IF($H$2="(blank)",--(H20=""),IF($H$2="(nonblank)",--(H20&lt;&gt;""),--ISNUMBER(SEARCH($H$2,H20)))))</f>
      </c>
      <c r="AT20" s="137">
        <f>IF($I$2="",1,IF($I$2="(blank)",--(I20=""),IF($I$2="(nonblank)",--(I20&lt;&gt;""),--ISNUMBER(SEARCH($I$2,I20)))))</f>
      </c>
      <c r="AU20" s="137">
        <f>IF($J$2="",1,IF($J$2="(blank)",--(J20=""),IF($J$2="(nonblank)",--(J20&lt;&gt;""),--ISNUMBER(SEARCH($J$2,J20)))))</f>
      </c>
      <c r="AV20" s="137">
        <f>IF($K$2="",1,IF($K$2="(blank)",--(K20=""),IF($K$2="(nonblank)",--(K20&lt;&gt;""),--ISNUMBER(SEARCH($K$2,K20)))))</f>
      </c>
      <c r="AW20" s="137">
        <f>IF($L$2="",1,IF($L$2="(blank)",--(L20=""),IF($L$2="(nonblank)",--(L20&lt;&gt;""),--ISNUMBER(SEARCH($L$2,L20)))))</f>
      </c>
      <c r="AX20" s="137">
        <f>IF($M$2="",1,IF($M$2="(blank)",--(M20=""),IF($M$2="(nonblank)",--(M20&lt;&gt;""),--ISNUMBER(SEARCH($M$2,M20)))))</f>
      </c>
      <c r="AY20" s="137">
        <f>IF($N$2="",1,IF($N$2="(blank)",--(N20=""),IF($N$2="(nonblank)",--(N20&lt;&gt;""),--ISNUMBER(SEARCH($N$2,N20)))))</f>
      </c>
      <c r="AZ20" s="137">
        <f>IF($O$2="",1,IF($O$2="(blank)",--(O20=""),IF($O$2="(nonblank)",--(O20&lt;&gt;""),--ISNUMBER(SEARCH($O$2,O20)))))</f>
      </c>
      <c r="BA20" s="137">
        <f>IF($P$2="",1,IF($P$2="(blank)",--(P20=""),IF($P$2="(nonblank)",--(P20&lt;&gt;""),--ISNUMBER(SEARCH($P$2,P20)))))</f>
      </c>
      <c r="BB20" s="137">
        <f>IF($Q$2="",1,IF($Q$2="(blank)",--(Q20=""),IF($Q$2="(nonblank)",--(Q20&lt;&gt;""),--ISNUMBER(SEARCH($Q$2,Q20)))))</f>
      </c>
      <c r="BC20" s="137">
        <f>IF($R$2="",1,IF($R$2="(blank)",--(R20=""),IF($R$2="(nonblank)",--(R20&lt;&gt;""),--ISNUMBER(SEARCH($R$2,R20)))))</f>
      </c>
      <c r="BD20" s="137">
        <f>IF($S$2="",1,IF($S$2="(blank)",--(S20=""),IF($S$2="(nonblank)",--(S20&lt;&gt;""),--ISNUMBER(SEARCH($S$2,S20)))))</f>
      </c>
      <c r="BE20" s="137">
        <f>IF($T$2="",1,IF($T$2="(blank)",--(T20=""),IF($T$2="(nonblank)",--(T20&lt;&gt;""),--ISNUMBER(SEARCH($T$2,T20)))))</f>
      </c>
      <c r="BF20" s="137">
        <f>IF($U$2="",1,IF($U$2="(blank)",--(U20=""),IF($U$2="(nonblank)",--(U20&lt;&gt;""),--ISNUMBER(SEARCH($U$2,U20)))))</f>
      </c>
      <c r="BG20" s="137">
        <f>IF($V$2="",1,IF($V$2="(blank)",--(V20=""),IF($V$2="(nonblank)",--(V20&lt;&gt;""),--ISNUMBER(SEARCH($V$2,V20)))))</f>
      </c>
      <c r="BH20" s="137">
        <f>IF($W$2="",1,IF($W$2="(blank)",--(W20=""),IF($W$2="(nonblank)",--(W20&lt;&gt;""),--ISNUMBER(SEARCH($W$2,W20)))))</f>
      </c>
      <c r="BI20" s="137">
        <f>IF($X$2="",1,IF($X$2="(blank)",--(X20=""),IF($X$2="(nonblank)",--(X20&lt;&gt;""),--ISNUMBER(SEARCH($X$2,X20)))))</f>
      </c>
      <c r="BJ20" s="137">
        <f>IF($Y$2="",1,IF($Y$2="(blank)",--(Y20=""),IF($Y$2="(nonblank)",--(Y20&lt;&gt;""),--ISNUMBER(SEARCH($Y$2,Y20)))))</f>
      </c>
      <c r="BK20" s="137">
        <f>IF($Z$2="",1,IF($Z$2="(blank)",--(Z20=""),IF($Z$2="(nonblank)",--(Z20&lt;&gt;""),--ISNUMBER(SEARCH($Z$2,Z20)))))</f>
      </c>
      <c r="BL20" s="137">
        <f>IF($AA$2="",1,IF($AA$2="(blank)",--(AA20=""),IF($AA$2="(nonblank)",--(AA20&lt;&gt;""),--ISNUMBER(SEARCH($AA$2,AA20)))))</f>
      </c>
      <c r="BM20" s="137">
        <f>IF($AB$2="",1,IF($AB$2="(blank)",--(AB20=""),IF($AB$2="(nonblank)",--(AB20&lt;&gt;""),--ISNUMBER(SEARCH($AB$2,AB20)))))</f>
      </c>
      <c r="BN20" s="137">
        <f>IF($AC$2="",1,IF($AC$2="(blank)",--(AC20=""),IF($AC$2="(nonblank)",--(AC20&lt;&gt;""),--ISNUMBER(SEARCH($AC$2,AC20)))))</f>
      </c>
      <c r="BO20" s="137">
        <f>IF($AD$2="",1,IF($AD$2="(blank)",--(AD20=""),IF($AD$2="(nonblank)",--(AD20&lt;&gt;""),--ISNUMBER(SEARCH($AD$2,AD20)))))</f>
      </c>
      <c r="BP20" s="137">
        <f>IF($AE$2="",1,IF($AE$2="(blank)",--(AE20=""),IF($AE$2="(nonblank)",--(AE20&lt;&gt;""),--ISNUMBER(SEARCH($AE$2,AE20)))))</f>
      </c>
      <c r="BQ20" s="137">
        <f>IF($AF$2="",1,IF($AF$2="(blank)",--(AF20=""),IF($AF$2="(nonblank)",--(AF20&lt;&gt;""),--ISNUMBER(SEARCH($AF$2,AF20)))))</f>
      </c>
      <c r="BR20" s="137">
        <f>IF($AG$2="",1,IF($AG$2="(blank)",--(AG20=""),IF($AG$2="(nonblank)",--(AG20&lt;&gt;""),--ISNUMBER(SEARCH($AG$2,AG20)))))</f>
      </c>
      <c r="BS20" s="137">
        <f>IF($AH$2="",1,IF($AH$2="(blank)",--(AH20=""),IF($AH$2="(nonblank)",--(AH20&lt;&gt;""),--ISNUMBER(SEARCH($AH$2,AH20)))))</f>
      </c>
      <c r="BT20" s="137">
        <f>IF(COUNTIF($AL20:$BS20,0)&gt;0,0,1)</f>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IF(IF(OR(AB21="",AB21=0),TODAY(),DATE(VALUE(RIGHT(AB21,4)),VALUE(MID(AB21,4,2)),VALUE(LEFT(AB21,2))))&lt;=DATE(2026,8,24),0,H21*0.0118*CEILING((IF(OR(AB21="",AB21=0),TODAY(),DATE(VALUE(RIGHT(AB21,4)),VALUE(MID(AB21,4,2)),VALUE(LEFT(AB21,2))))-DATE(2026,8,22))/7,1))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L21" s="137">
        <f>IF($A$2="",1,IF($A$2="(blank)",--(A21=""),IF($A$2="(nonblank)",--(A21&lt;&gt;""),--ISNUMBER(SEARCH($A$2,A21)))))</f>
      </c>
      <c r="AM21" s="137">
        <f>IF($B$2="",1,IF($B$2="(blank)",--(B21=""),IF($B$2="(nonblank)",--(B21&lt;&gt;""),--ISNUMBER(SEARCH($B$2,B21)))))</f>
      </c>
      <c r="AN21" s="137">
        <f>IF($C$2="",1,IF($C$2="(blank)",--(C21=""),IF($C$2="(nonblank)",--(C21&lt;&gt;""),--ISNUMBER(SEARCH($C$2,C21)))))</f>
      </c>
      <c r="AO21" s="137">
        <f>IF($D$2="",1,IF($D$2="(blank)",--(D21=""),IF($D$2="(nonblank)",--(D21&lt;&gt;""),--ISNUMBER(SEARCH($D$2,D21)))))</f>
      </c>
      <c r="AP21" s="137">
        <f>IF($E$2="",1,IF($E$2="(blank)",--(E21=""),IF($E$2="(nonblank)",--(E21&lt;&gt;""),--ISNUMBER(SEARCH($E$2,E21)))))</f>
      </c>
      <c r="AQ21" s="137">
        <f>IF($F$2="",1,IF($F$2="(blank)",--(F21=""),IF($F$2="(nonblank)",--(F21&lt;&gt;""),--ISNUMBER(SEARCH($F$2,F21)))))</f>
      </c>
      <c r="AR21" s="137">
        <f>IF($G$2="",1,IF($G$2="(blank)",--(G21=""),IF($G$2="(nonblank)",--(G21&lt;&gt;""),--ISNUMBER(SEARCH($G$2,G21)))))</f>
      </c>
      <c r="AS21" s="137">
        <f>IF($H$2="",1,IF($H$2="(blank)",--(H21=""),IF($H$2="(nonblank)",--(H21&lt;&gt;""),--ISNUMBER(SEARCH($H$2,H21)))))</f>
      </c>
      <c r="AT21" s="137">
        <f>IF($I$2="",1,IF($I$2="(blank)",--(I21=""),IF($I$2="(nonblank)",--(I21&lt;&gt;""),--ISNUMBER(SEARCH($I$2,I21)))))</f>
      </c>
      <c r="AU21" s="137">
        <f>IF($J$2="",1,IF($J$2="(blank)",--(J21=""),IF($J$2="(nonblank)",--(J21&lt;&gt;""),--ISNUMBER(SEARCH($J$2,J21)))))</f>
      </c>
      <c r="AV21" s="137">
        <f>IF($K$2="",1,IF($K$2="(blank)",--(K21=""),IF($K$2="(nonblank)",--(K21&lt;&gt;""),--ISNUMBER(SEARCH($K$2,K21)))))</f>
      </c>
      <c r="AW21" s="137">
        <f>IF($L$2="",1,IF($L$2="(blank)",--(L21=""),IF($L$2="(nonblank)",--(L21&lt;&gt;""),--ISNUMBER(SEARCH($L$2,L21)))))</f>
      </c>
      <c r="AX21" s="137">
        <f>IF($M$2="",1,IF($M$2="(blank)",--(M21=""),IF($M$2="(nonblank)",--(M21&lt;&gt;""),--ISNUMBER(SEARCH($M$2,M21)))))</f>
      </c>
      <c r="AY21" s="137">
        <f>IF($N$2="",1,IF($N$2="(blank)",--(N21=""),IF($N$2="(nonblank)",--(N21&lt;&gt;""),--ISNUMBER(SEARCH($N$2,N21)))))</f>
      </c>
      <c r="AZ21" s="137">
        <f>IF($O$2="",1,IF($O$2="(blank)",--(O21=""),IF($O$2="(nonblank)",--(O21&lt;&gt;""),--ISNUMBER(SEARCH($O$2,O21)))))</f>
      </c>
      <c r="BA21" s="137">
        <f>IF($P$2="",1,IF($P$2="(blank)",--(P21=""),IF($P$2="(nonblank)",--(P21&lt;&gt;""),--ISNUMBER(SEARCH($P$2,P21)))))</f>
      </c>
      <c r="BB21" s="137">
        <f>IF($Q$2="",1,IF($Q$2="(blank)",--(Q21=""),IF($Q$2="(nonblank)",--(Q21&lt;&gt;""),--ISNUMBER(SEARCH($Q$2,Q21)))))</f>
      </c>
      <c r="BC21" s="137">
        <f>IF($R$2="",1,IF($R$2="(blank)",--(R21=""),IF($R$2="(nonblank)",--(R21&lt;&gt;""),--ISNUMBER(SEARCH($R$2,R21)))))</f>
      </c>
      <c r="BD21" s="137">
        <f>IF($S$2="",1,IF($S$2="(blank)",--(S21=""),IF($S$2="(nonblank)",--(S21&lt;&gt;""),--ISNUMBER(SEARCH($S$2,S21)))))</f>
      </c>
      <c r="BE21" s="137">
        <f>IF($T$2="",1,IF($T$2="(blank)",--(T21=""),IF($T$2="(nonblank)",--(T21&lt;&gt;""),--ISNUMBER(SEARCH($T$2,T21)))))</f>
      </c>
      <c r="BF21" s="137">
        <f>IF($U$2="",1,IF($U$2="(blank)",--(U21=""),IF($U$2="(nonblank)",--(U21&lt;&gt;""),--ISNUMBER(SEARCH($U$2,U21)))))</f>
      </c>
      <c r="BG21" s="137">
        <f>IF($V$2="",1,IF($V$2="(blank)",--(V21=""),IF($V$2="(nonblank)",--(V21&lt;&gt;""),--ISNUMBER(SEARCH($V$2,V21)))))</f>
      </c>
      <c r="BH21" s="137">
        <f>IF($W$2="",1,IF($W$2="(blank)",--(W21=""),IF($W$2="(nonblank)",--(W21&lt;&gt;""),--ISNUMBER(SEARCH($W$2,W21)))))</f>
      </c>
      <c r="BI21" s="137">
        <f>IF($X$2="",1,IF($X$2="(blank)",--(X21=""),IF($X$2="(nonblank)",--(X21&lt;&gt;""),--ISNUMBER(SEARCH($X$2,X21)))))</f>
      </c>
      <c r="BJ21" s="137">
        <f>IF($Y$2="",1,IF($Y$2="(blank)",--(Y21=""),IF($Y$2="(nonblank)",--(Y21&lt;&gt;""),--ISNUMBER(SEARCH($Y$2,Y21)))))</f>
      </c>
      <c r="BK21" s="137">
        <f>IF($Z$2="",1,IF($Z$2="(blank)",--(Z21=""),IF($Z$2="(nonblank)",--(Z21&lt;&gt;""),--ISNUMBER(SEARCH($Z$2,Z21)))))</f>
      </c>
      <c r="BL21" s="137">
        <f>IF($AA$2="",1,IF($AA$2="(blank)",--(AA21=""),IF($AA$2="(nonblank)",--(AA21&lt;&gt;""),--ISNUMBER(SEARCH($AA$2,AA21)))))</f>
      </c>
      <c r="BM21" s="137">
        <f>IF($AB$2="",1,IF($AB$2="(blank)",--(AB21=""),IF($AB$2="(nonblank)",--(AB21&lt;&gt;""),--ISNUMBER(SEARCH($AB$2,AB21)))))</f>
      </c>
      <c r="BN21" s="137">
        <f>IF($AC$2="",1,IF($AC$2="(blank)",--(AC21=""),IF($AC$2="(nonblank)",--(AC21&lt;&gt;""),--ISNUMBER(SEARCH($AC$2,AC21)))))</f>
      </c>
      <c r="BO21" s="137">
        <f>IF($AD$2="",1,IF($AD$2="(blank)",--(AD21=""),IF($AD$2="(nonblank)",--(AD21&lt;&gt;""),--ISNUMBER(SEARCH($AD$2,AD21)))))</f>
      </c>
      <c r="BP21" s="137">
        <f>IF($AE$2="",1,IF($AE$2="(blank)",--(AE21=""),IF($AE$2="(nonblank)",--(AE21&lt;&gt;""),--ISNUMBER(SEARCH($AE$2,AE21)))))</f>
      </c>
      <c r="BQ21" s="137">
        <f>IF($AF$2="",1,IF($AF$2="(blank)",--(AF21=""),IF($AF$2="(nonblank)",--(AF21&lt;&gt;""),--ISNUMBER(SEARCH($AF$2,AF21)))))</f>
      </c>
      <c r="BR21" s="137">
        <f>IF($AG$2="",1,IF($AG$2="(blank)",--(AG21=""),IF($AG$2="(nonblank)",--(AG21&lt;&gt;""),--ISNUMBER(SEARCH($AG$2,AG21)))))</f>
      </c>
      <c r="BS21" s="137">
        <f>IF($AH$2="",1,IF($AH$2="(blank)",--(AH21=""),IF($AH$2="(nonblank)",--(AH21&lt;&gt;""),--ISNUMBER(SEARCH($AH$2,AH21)))))</f>
      </c>
      <c r="BT21" s="137">
        <f>IF(COUNTIF($AL21:$BS21,0)&gt;0,0,1)</f>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IF(IF(OR(AB22="",AB22=0),TODAY(),DATE(VALUE(RIGHT(AB22,4)),VALUE(MID(AB22,4,2)),VALUE(LEFT(AB22,2))))&lt;=DATE(2026,8,24),0,H22*0.0118*CEILING((IF(OR(AB22="",AB22=0),TODAY(),DATE(VALUE(RIGHT(AB22,4)),VALUE(MID(AB22,4,2)),VALUE(LEFT(AB22,2))))-DATE(2026,8,22))/7,1))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L22" s="137">
        <f>IF($A$2="",1,IF($A$2="(blank)",--(A22=""),IF($A$2="(nonblank)",--(A22&lt;&gt;""),--ISNUMBER(SEARCH($A$2,A22)))))</f>
      </c>
      <c r="AM22" s="137">
        <f>IF($B$2="",1,IF($B$2="(blank)",--(B22=""),IF($B$2="(nonblank)",--(B22&lt;&gt;""),--ISNUMBER(SEARCH($B$2,B22)))))</f>
      </c>
      <c r="AN22" s="137">
        <f>IF($C$2="",1,IF($C$2="(blank)",--(C22=""),IF($C$2="(nonblank)",--(C22&lt;&gt;""),--ISNUMBER(SEARCH($C$2,C22)))))</f>
      </c>
      <c r="AO22" s="137">
        <f>IF($D$2="",1,IF($D$2="(blank)",--(D22=""),IF($D$2="(nonblank)",--(D22&lt;&gt;""),--ISNUMBER(SEARCH($D$2,D22)))))</f>
      </c>
      <c r="AP22" s="137">
        <f>IF($E$2="",1,IF($E$2="(blank)",--(E22=""),IF($E$2="(nonblank)",--(E22&lt;&gt;""),--ISNUMBER(SEARCH($E$2,E22)))))</f>
      </c>
      <c r="AQ22" s="137">
        <f>IF($F$2="",1,IF($F$2="(blank)",--(F22=""),IF($F$2="(nonblank)",--(F22&lt;&gt;""),--ISNUMBER(SEARCH($F$2,F22)))))</f>
      </c>
      <c r="AR22" s="137">
        <f>IF($G$2="",1,IF($G$2="(blank)",--(G22=""),IF($G$2="(nonblank)",--(G22&lt;&gt;""),--ISNUMBER(SEARCH($G$2,G22)))))</f>
      </c>
      <c r="AS22" s="137">
        <f>IF($H$2="",1,IF($H$2="(blank)",--(H22=""),IF($H$2="(nonblank)",--(H22&lt;&gt;""),--ISNUMBER(SEARCH($H$2,H22)))))</f>
      </c>
      <c r="AT22" s="137">
        <f>IF($I$2="",1,IF($I$2="(blank)",--(I22=""),IF($I$2="(nonblank)",--(I22&lt;&gt;""),--ISNUMBER(SEARCH($I$2,I22)))))</f>
      </c>
      <c r="AU22" s="137">
        <f>IF($J$2="",1,IF($J$2="(blank)",--(J22=""),IF($J$2="(nonblank)",--(J22&lt;&gt;""),--ISNUMBER(SEARCH($J$2,J22)))))</f>
      </c>
      <c r="AV22" s="137">
        <f>IF($K$2="",1,IF($K$2="(blank)",--(K22=""),IF($K$2="(nonblank)",--(K22&lt;&gt;""),--ISNUMBER(SEARCH($K$2,K22)))))</f>
      </c>
      <c r="AW22" s="137">
        <f>IF($L$2="",1,IF($L$2="(blank)",--(L22=""),IF($L$2="(nonblank)",--(L22&lt;&gt;""),--ISNUMBER(SEARCH($L$2,L22)))))</f>
      </c>
      <c r="AX22" s="137">
        <f>IF($M$2="",1,IF($M$2="(blank)",--(M22=""),IF($M$2="(nonblank)",--(M22&lt;&gt;""),--ISNUMBER(SEARCH($M$2,M22)))))</f>
      </c>
      <c r="AY22" s="137">
        <f>IF($N$2="",1,IF($N$2="(blank)",--(N22=""),IF($N$2="(nonblank)",--(N22&lt;&gt;""),--ISNUMBER(SEARCH($N$2,N22)))))</f>
      </c>
      <c r="AZ22" s="137">
        <f>IF($O$2="",1,IF($O$2="(blank)",--(O22=""),IF($O$2="(nonblank)",--(O22&lt;&gt;""),--ISNUMBER(SEARCH($O$2,O22)))))</f>
      </c>
      <c r="BA22" s="137">
        <f>IF($P$2="",1,IF($P$2="(blank)",--(P22=""),IF($P$2="(nonblank)",--(P22&lt;&gt;""),--ISNUMBER(SEARCH($P$2,P22)))))</f>
      </c>
      <c r="BB22" s="137">
        <f>IF($Q$2="",1,IF($Q$2="(blank)",--(Q22=""),IF($Q$2="(nonblank)",--(Q22&lt;&gt;""),--ISNUMBER(SEARCH($Q$2,Q22)))))</f>
      </c>
      <c r="BC22" s="137">
        <f>IF($R$2="",1,IF($R$2="(blank)",--(R22=""),IF($R$2="(nonblank)",--(R22&lt;&gt;""),--ISNUMBER(SEARCH($R$2,R22)))))</f>
      </c>
      <c r="BD22" s="137">
        <f>IF($S$2="",1,IF($S$2="(blank)",--(S22=""),IF($S$2="(nonblank)",--(S22&lt;&gt;""),--ISNUMBER(SEARCH($S$2,S22)))))</f>
      </c>
      <c r="BE22" s="137">
        <f>IF($T$2="",1,IF($T$2="(blank)",--(T22=""),IF($T$2="(nonblank)",--(T22&lt;&gt;""),--ISNUMBER(SEARCH($T$2,T22)))))</f>
      </c>
      <c r="BF22" s="137">
        <f>IF($U$2="",1,IF($U$2="(blank)",--(U22=""),IF($U$2="(nonblank)",--(U22&lt;&gt;""),--ISNUMBER(SEARCH($U$2,U22)))))</f>
      </c>
      <c r="BG22" s="137">
        <f>IF($V$2="",1,IF($V$2="(blank)",--(V22=""),IF($V$2="(nonblank)",--(V22&lt;&gt;""),--ISNUMBER(SEARCH($V$2,V22)))))</f>
      </c>
      <c r="BH22" s="137">
        <f>IF($W$2="",1,IF($W$2="(blank)",--(W22=""),IF($W$2="(nonblank)",--(W22&lt;&gt;""),--ISNUMBER(SEARCH($W$2,W22)))))</f>
      </c>
      <c r="BI22" s="137">
        <f>IF($X$2="",1,IF($X$2="(blank)",--(X22=""),IF($X$2="(nonblank)",--(X22&lt;&gt;""),--ISNUMBER(SEARCH($X$2,X22)))))</f>
      </c>
      <c r="BJ22" s="137">
        <f>IF($Y$2="",1,IF($Y$2="(blank)",--(Y22=""),IF($Y$2="(nonblank)",--(Y22&lt;&gt;""),--ISNUMBER(SEARCH($Y$2,Y22)))))</f>
      </c>
      <c r="BK22" s="137">
        <f>IF($Z$2="",1,IF($Z$2="(blank)",--(Z22=""),IF($Z$2="(nonblank)",--(Z22&lt;&gt;""),--ISNUMBER(SEARCH($Z$2,Z22)))))</f>
      </c>
      <c r="BL22" s="137">
        <f>IF($AA$2="",1,IF($AA$2="(blank)",--(AA22=""),IF($AA$2="(nonblank)",--(AA22&lt;&gt;""),--ISNUMBER(SEARCH($AA$2,AA22)))))</f>
      </c>
      <c r="BM22" s="137">
        <f>IF($AB$2="",1,IF($AB$2="(blank)",--(AB22=""),IF($AB$2="(nonblank)",--(AB22&lt;&gt;""),--ISNUMBER(SEARCH($AB$2,AB22)))))</f>
      </c>
      <c r="BN22" s="137">
        <f>IF($AC$2="",1,IF($AC$2="(blank)",--(AC22=""),IF($AC$2="(nonblank)",--(AC22&lt;&gt;""),--ISNUMBER(SEARCH($AC$2,AC22)))))</f>
      </c>
      <c r="BO22" s="137">
        <f>IF($AD$2="",1,IF($AD$2="(blank)",--(AD22=""),IF($AD$2="(nonblank)",--(AD22&lt;&gt;""),--ISNUMBER(SEARCH($AD$2,AD22)))))</f>
      </c>
      <c r="BP22" s="137">
        <f>IF($AE$2="",1,IF($AE$2="(blank)",--(AE22=""),IF($AE$2="(nonblank)",--(AE22&lt;&gt;""),--ISNUMBER(SEARCH($AE$2,AE22)))))</f>
      </c>
      <c r="BQ22" s="137">
        <f>IF($AF$2="",1,IF($AF$2="(blank)",--(AF22=""),IF($AF$2="(nonblank)",--(AF22&lt;&gt;""),--ISNUMBER(SEARCH($AF$2,AF22)))))</f>
      </c>
      <c r="BR22" s="137">
        <f>IF($AG$2="",1,IF($AG$2="(blank)",--(AG22=""),IF($AG$2="(nonblank)",--(AG22&lt;&gt;""),--ISNUMBER(SEARCH($AG$2,AG22)))))</f>
      </c>
      <c r="BS22" s="137">
        <f>IF($AH$2="",1,IF($AH$2="(blank)",--(AH22=""),IF($AH$2="(nonblank)",--(AH22&lt;&gt;""),--ISNUMBER(SEARCH($AH$2,AH22)))))</f>
      </c>
      <c r="BT22" s="137">
        <f>IF(COUNTIF($AL22:$BS22,0)&gt;0,0,1)</f>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IF(IF(OR(AB23="",AB23=0),TODAY(),DATE(VALUE(RIGHT(AB23,4)),VALUE(MID(AB23,4,2)),VALUE(LEFT(AB23,2))))&lt;=DATE(2026,8,24),0,H23*0.0118*CEILING((IF(OR(AB23="",AB23=0),TODAY(),DATE(VALUE(RIGHT(AB23,4)),VALUE(MID(AB23,4,2)),VALUE(LEFT(AB23,2))))-DATE(2026,8,22))/7,1))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L23" s="137">
        <f>IF($A$2="",1,IF($A$2="(blank)",--(A23=""),IF($A$2="(nonblank)",--(A23&lt;&gt;""),--ISNUMBER(SEARCH($A$2,A23)))))</f>
      </c>
      <c r="AM23" s="137">
        <f>IF($B$2="",1,IF($B$2="(blank)",--(B23=""),IF($B$2="(nonblank)",--(B23&lt;&gt;""),--ISNUMBER(SEARCH($B$2,B23)))))</f>
      </c>
      <c r="AN23" s="137">
        <f>IF($C$2="",1,IF($C$2="(blank)",--(C23=""),IF($C$2="(nonblank)",--(C23&lt;&gt;""),--ISNUMBER(SEARCH($C$2,C23)))))</f>
      </c>
      <c r="AO23" s="137">
        <f>IF($D$2="",1,IF($D$2="(blank)",--(D23=""),IF($D$2="(nonblank)",--(D23&lt;&gt;""),--ISNUMBER(SEARCH($D$2,D23)))))</f>
      </c>
      <c r="AP23" s="137">
        <f>IF($E$2="",1,IF($E$2="(blank)",--(E23=""),IF($E$2="(nonblank)",--(E23&lt;&gt;""),--ISNUMBER(SEARCH($E$2,E23)))))</f>
      </c>
      <c r="AQ23" s="137">
        <f>IF($F$2="",1,IF($F$2="(blank)",--(F23=""),IF($F$2="(nonblank)",--(F23&lt;&gt;""),--ISNUMBER(SEARCH($F$2,F23)))))</f>
      </c>
      <c r="AR23" s="137">
        <f>IF($G$2="",1,IF($G$2="(blank)",--(G23=""),IF($G$2="(nonblank)",--(G23&lt;&gt;""),--ISNUMBER(SEARCH($G$2,G23)))))</f>
      </c>
      <c r="AS23" s="137">
        <f>IF($H$2="",1,IF($H$2="(blank)",--(H23=""),IF($H$2="(nonblank)",--(H23&lt;&gt;""),--ISNUMBER(SEARCH($H$2,H23)))))</f>
      </c>
      <c r="AT23" s="137">
        <f>IF($I$2="",1,IF($I$2="(blank)",--(I23=""),IF($I$2="(nonblank)",--(I23&lt;&gt;""),--ISNUMBER(SEARCH($I$2,I23)))))</f>
      </c>
      <c r="AU23" s="137">
        <f>IF($J$2="",1,IF($J$2="(blank)",--(J23=""),IF($J$2="(nonblank)",--(J23&lt;&gt;""),--ISNUMBER(SEARCH($J$2,J23)))))</f>
      </c>
      <c r="AV23" s="137">
        <f>IF($K$2="",1,IF($K$2="(blank)",--(K23=""),IF($K$2="(nonblank)",--(K23&lt;&gt;""),--ISNUMBER(SEARCH($K$2,K23)))))</f>
      </c>
      <c r="AW23" s="137">
        <f>IF($L$2="",1,IF($L$2="(blank)",--(L23=""),IF($L$2="(nonblank)",--(L23&lt;&gt;""),--ISNUMBER(SEARCH($L$2,L23)))))</f>
      </c>
      <c r="AX23" s="137">
        <f>IF($M$2="",1,IF($M$2="(blank)",--(M23=""),IF($M$2="(nonblank)",--(M23&lt;&gt;""),--ISNUMBER(SEARCH($M$2,M23)))))</f>
      </c>
      <c r="AY23" s="137">
        <f>IF($N$2="",1,IF($N$2="(blank)",--(N23=""),IF($N$2="(nonblank)",--(N23&lt;&gt;""),--ISNUMBER(SEARCH($N$2,N23)))))</f>
      </c>
      <c r="AZ23" s="137">
        <f>IF($O$2="",1,IF($O$2="(blank)",--(O23=""),IF($O$2="(nonblank)",--(O23&lt;&gt;""),--ISNUMBER(SEARCH($O$2,O23)))))</f>
      </c>
      <c r="BA23" s="137">
        <f>IF($P$2="",1,IF($P$2="(blank)",--(P23=""),IF($P$2="(nonblank)",--(P23&lt;&gt;""),--ISNUMBER(SEARCH($P$2,P23)))))</f>
      </c>
      <c r="BB23" s="137">
        <f>IF($Q$2="",1,IF($Q$2="(blank)",--(Q23=""),IF($Q$2="(nonblank)",--(Q23&lt;&gt;""),--ISNUMBER(SEARCH($Q$2,Q23)))))</f>
      </c>
      <c r="BC23" s="137">
        <f>IF($R$2="",1,IF($R$2="(blank)",--(R23=""),IF($R$2="(nonblank)",--(R23&lt;&gt;""),--ISNUMBER(SEARCH($R$2,R23)))))</f>
      </c>
      <c r="BD23" s="137">
        <f>IF($S$2="",1,IF($S$2="(blank)",--(S23=""),IF($S$2="(nonblank)",--(S23&lt;&gt;""),--ISNUMBER(SEARCH($S$2,S23)))))</f>
      </c>
      <c r="BE23" s="137">
        <f>IF($T$2="",1,IF($T$2="(blank)",--(T23=""),IF($T$2="(nonblank)",--(T23&lt;&gt;""),--ISNUMBER(SEARCH($T$2,T23)))))</f>
      </c>
      <c r="BF23" s="137">
        <f>IF($U$2="",1,IF($U$2="(blank)",--(U23=""),IF($U$2="(nonblank)",--(U23&lt;&gt;""),--ISNUMBER(SEARCH($U$2,U23)))))</f>
      </c>
      <c r="BG23" s="137">
        <f>IF($V$2="",1,IF($V$2="(blank)",--(V23=""),IF($V$2="(nonblank)",--(V23&lt;&gt;""),--ISNUMBER(SEARCH($V$2,V23)))))</f>
      </c>
      <c r="BH23" s="137">
        <f>IF($W$2="",1,IF($W$2="(blank)",--(W23=""),IF($W$2="(nonblank)",--(W23&lt;&gt;""),--ISNUMBER(SEARCH($W$2,W23)))))</f>
      </c>
      <c r="BI23" s="137">
        <f>IF($X$2="",1,IF($X$2="(blank)",--(X23=""),IF($X$2="(nonblank)",--(X23&lt;&gt;""),--ISNUMBER(SEARCH($X$2,X23)))))</f>
      </c>
      <c r="BJ23" s="137">
        <f>IF($Y$2="",1,IF($Y$2="(blank)",--(Y23=""),IF($Y$2="(nonblank)",--(Y23&lt;&gt;""),--ISNUMBER(SEARCH($Y$2,Y23)))))</f>
      </c>
      <c r="BK23" s="137">
        <f>IF($Z$2="",1,IF($Z$2="(blank)",--(Z23=""),IF($Z$2="(nonblank)",--(Z23&lt;&gt;""),--ISNUMBER(SEARCH($Z$2,Z23)))))</f>
      </c>
      <c r="BL23" s="137">
        <f>IF($AA$2="",1,IF($AA$2="(blank)",--(AA23=""),IF($AA$2="(nonblank)",--(AA23&lt;&gt;""),--ISNUMBER(SEARCH($AA$2,AA23)))))</f>
      </c>
      <c r="BM23" s="137">
        <f>IF($AB$2="",1,IF($AB$2="(blank)",--(AB23=""),IF($AB$2="(nonblank)",--(AB23&lt;&gt;""),--ISNUMBER(SEARCH($AB$2,AB23)))))</f>
      </c>
      <c r="BN23" s="137">
        <f>IF($AC$2="",1,IF($AC$2="(blank)",--(AC23=""),IF($AC$2="(nonblank)",--(AC23&lt;&gt;""),--ISNUMBER(SEARCH($AC$2,AC23)))))</f>
      </c>
      <c r="BO23" s="137">
        <f>IF($AD$2="",1,IF($AD$2="(blank)",--(AD23=""),IF($AD$2="(nonblank)",--(AD23&lt;&gt;""),--ISNUMBER(SEARCH($AD$2,AD23)))))</f>
      </c>
      <c r="BP23" s="137">
        <f>IF($AE$2="",1,IF($AE$2="(blank)",--(AE23=""),IF($AE$2="(nonblank)",--(AE23&lt;&gt;""),--ISNUMBER(SEARCH($AE$2,AE23)))))</f>
      </c>
      <c r="BQ23" s="137">
        <f>IF($AF$2="",1,IF($AF$2="(blank)",--(AF23=""),IF($AF$2="(nonblank)",--(AF23&lt;&gt;""),--ISNUMBER(SEARCH($AF$2,AF23)))))</f>
      </c>
      <c r="BR23" s="137">
        <f>IF($AG$2="",1,IF($AG$2="(blank)",--(AG23=""),IF($AG$2="(nonblank)",--(AG23&lt;&gt;""),--ISNUMBER(SEARCH($AG$2,AG23)))))</f>
      </c>
      <c r="BS23" s="137">
        <f>IF($AH$2="",1,IF($AH$2="(blank)",--(AH23=""),IF($AH$2="(nonblank)",--(AH23&lt;&gt;""),--ISNUMBER(SEARCH($AH$2,AH23)))))</f>
      </c>
      <c r="BT23" s="137">
        <f>IF(COUNTIF($AL23:$BS23,0)&gt;0,0,1)</f>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IF(IF(OR(AB24="",AB24=0),TODAY(),DATE(VALUE(RIGHT(AB24,4)),VALUE(MID(AB24,4,2)),VALUE(LEFT(AB24,2))))&lt;=DATE(2026,8,24),0,H24*0.0118*CEILING((IF(OR(AB24="",AB24=0),TODAY(),DATE(VALUE(RIGHT(AB24,4)),VALUE(MID(AB24,4,2)),VALUE(LEFT(AB24,2))))-DATE(2026,8,22))/7,1))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L24" s="137">
        <f>IF($A$2="",1,IF($A$2="(blank)",--(A24=""),IF($A$2="(nonblank)",--(A24&lt;&gt;""),--ISNUMBER(SEARCH($A$2,A24)))))</f>
      </c>
      <c r="AM24" s="137">
        <f>IF($B$2="",1,IF($B$2="(blank)",--(B24=""),IF($B$2="(nonblank)",--(B24&lt;&gt;""),--ISNUMBER(SEARCH($B$2,B24)))))</f>
      </c>
      <c r="AN24" s="137">
        <f>IF($C$2="",1,IF($C$2="(blank)",--(C24=""),IF($C$2="(nonblank)",--(C24&lt;&gt;""),--ISNUMBER(SEARCH($C$2,C24)))))</f>
      </c>
      <c r="AO24" s="137">
        <f>IF($D$2="",1,IF($D$2="(blank)",--(D24=""),IF($D$2="(nonblank)",--(D24&lt;&gt;""),--ISNUMBER(SEARCH($D$2,D24)))))</f>
      </c>
      <c r="AP24" s="137">
        <f>IF($E$2="",1,IF($E$2="(blank)",--(E24=""),IF($E$2="(nonblank)",--(E24&lt;&gt;""),--ISNUMBER(SEARCH($E$2,E24)))))</f>
      </c>
      <c r="AQ24" s="137">
        <f>IF($F$2="",1,IF($F$2="(blank)",--(F24=""),IF($F$2="(nonblank)",--(F24&lt;&gt;""),--ISNUMBER(SEARCH($F$2,F24)))))</f>
      </c>
      <c r="AR24" s="137">
        <f>IF($G$2="",1,IF($G$2="(blank)",--(G24=""),IF($G$2="(nonblank)",--(G24&lt;&gt;""),--ISNUMBER(SEARCH($G$2,G24)))))</f>
      </c>
      <c r="AS24" s="137">
        <f>IF($H$2="",1,IF($H$2="(blank)",--(H24=""),IF($H$2="(nonblank)",--(H24&lt;&gt;""),--ISNUMBER(SEARCH($H$2,H24)))))</f>
      </c>
      <c r="AT24" s="137">
        <f>IF($I$2="",1,IF($I$2="(blank)",--(I24=""),IF($I$2="(nonblank)",--(I24&lt;&gt;""),--ISNUMBER(SEARCH($I$2,I24)))))</f>
      </c>
      <c r="AU24" s="137">
        <f>IF($J$2="",1,IF($J$2="(blank)",--(J24=""),IF($J$2="(nonblank)",--(J24&lt;&gt;""),--ISNUMBER(SEARCH($J$2,J24)))))</f>
      </c>
      <c r="AV24" s="137">
        <f>IF($K$2="",1,IF($K$2="(blank)",--(K24=""),IF($K$2="(nonblank)",--(K24&lt;&gt;""),--ISNUMBER(SEARCH($K$2,K24)))))</f>
      </c>
      <c r="AW24" s="137">
        <f>IF($L$2="",1,IF($L$2="(blank)",--(L24=""),IF($L$2="(nonblank)",--(L24&lt;&gt;""),--ISNUMBER(SEARCH($L$2,L24)))))</f>
      </c>
      <c r="AX24" s="137">
        <f>IF($M$2="",1,IF($M$2="(blank)",--(M24=""),IF($M$2="(nonblank)",--(M24&lt;&gt;""),--ISNUMBER(SEARCH($M$2,M24)))))</f>
      </c>
      <c r="AY24" s="137">
        <f>IF($N$2="",1,IF($N$2="(blank)",--(N24=""),IF($N$2="(nonblank)",--(N24&lt;&gt;""),--ISNUMBER(SEARCH($N$2,N24)))))</f>
      </c>
      <c r="AZ24" s="137">
        <f>IF($O$2="",1,IF($O$2="(blank)",--(O24=""),IF($O$2="(nonblank)",--(O24&lt;&gt;""),--ISNUMBER(SEARCH($O$2,O24)))))</f>
      </c>
      <c r="BA24" s="137">
        <f>IF($P$2="",1,IF($P$2="(blank)",--(P24=""),IF($P$2="(nonblank)",--(P24&lt;&gt;""),--ISNUMBER(SEARCH($P$2,P24)))))</f>
      </c>
      <c r="BB24" s="137">
        <f>IF($Q$2="",1,IF($Q$2="(blank)",--(Q24=""),IF($Q$2="(nonblank)",--(Q24&lt;&gt;""),--ISNUMBER(SEARCH($Q$2,Q24)))))</f>
      </c>
      <c r="BC24" s="137">
        <f>IF($R$2="",1,IF($R$2="(blank)",--(R24=""),IF($R$2="(nonblank)",--(R24&lt;&gt;""),--ISNUMBER(SEARCH($R$2,R24)))))</f>
      </c>
      <c r="BD24" s="137">
        <f>IF($S$2="",1,IF($S$2="(blank)",--(S24=""),IF($S$2="(nonblank)",--(S24&lt;&gt;""),--ISNUMBER(SEARCH($S$2,S24)))))</f>
      </c>
      <c r="BE24" s="137">
        <f>IF($T$2="",1,IF($T$2="(blank)",--(T24=""),IF($T$2="(nonblank)",--(T24&lt;&gt;""),--ISNUMBER(SEARCH($T$2,T24)))))</f>
      </c>
      <c r="BF24" s="137">
        <f>IF($U$2="",1,IF($U$2="(blank)",--(U24=""),IF($U$2="(nonblank)",--(U24&lt;&gt;""),--ISNUMBER(SEARCH($U$2,U24)))))</f>
      </c>
      <c r="BG24" s="137">
        <f>IF($V$2="",1,IF($V$2="(blank)",--(V24=""),IF($V$2="(nonblank)",--(V24&lt;&gt;""),--ISNUMBER(SEARCH($V$2,V24)))))</f>
      </c>
      <c r="BH24" s="137">
        <f>IF($W$2="",1,IF($W$2="(blank)",--(W24=""),IF($W$2="(nonblank)",--(W24&lt;&gt;""),--ISNUMBER(SEARCH($W$2,W24)))))</f>
      </c>
      <c r="BI24" s="137">
        <f>IF($X$2="",1,IF($X$2="(blank)",--(X24=""),IF($X$2="(nonblank)",--(X24&lt;&gt;""),--ISNUMBER(SEARCH($X$2,X24)))))</f>
      </c>
      <c r="BJ24" s="137">
        <f>IF($Y$2="",1,IF($Y$2="(blank)",--(Y24=""),IF($Y$2="(nonblank)",--(Y24&lt;&gt;""),--ISNUMBER(SEARCH($Y$2,Y24)))))</f>
      </c>
      <c r="BK24" s="137">
        <f>IF($Z$2="",1,IF($Z$2="(blank)",--(Z24=""),IF($Z$2="(nonblank)",--(Z24&lt;&gt;""),--ISNUMBER(SEARCH($Z$2,Z24)))))</f>
      </c>
      <c r="BL24" s="137">
        <f>IF($AA$2="",1,IF($AA$2="(blank)",--(AA24=""),IF($AA$2="(nonblank)",--(AA24&lt;&gt;""),--ISNUMBER(SEARCH($AA$2,AA24)))))</f>
      </c>
      <c r="BM24" s="137">
        <f>IF($AB$2="",1,IF($AB$2="(blank)",--(AB24=""),IF($AB$2="(nonblank)",--(AB24&lt;&gt;""),--ISNUMBER(SEARCH($AB$2,AB24)))))</f>
      </c>
      <c r="BN24" s="137">
        <f>IF($AC$2="",1,IF($AC$2="(blank)",--(AC24=""),IF($AC$2="(nonblank)",--(AC24&lt;&gt;""),--ISNUMBER(SEARCH($AC$2,AC24)))))</f>
      </c>
      <c r="BO24" s="137">
        <f>IF($AD$2="",1,IF($AD$2="(blank)",--(AD24=""),IF($AD$2="(nonblank)",--(AD24&lt;&gt;""),--ISNUMBER(SEARCH($AD$2,AD24)))))</f>
      </c>
      <c r="BP24" s="137">
        <f>IF($AE$2="",1,IF($AE$2="(blank)",--(AE24=""),IF($AE$2="(nonblank)",--(AE24&lt;&gt;""),--ISNUMBER(SEARCH($AE$2,AE24)))))</f>
      </c>
      <c r="BQ24" s="137">
        <f>IF($AF$2="",1,IF($AF$2="(blank)",--(AF24=""),IF($AF$2="(nonblank)",--(AF24&lt;&gt;""),--ISNUMBER(SEARCH($AF$2,AF24)))))</f>
      </c>
      <c r="BR24" s="137">
        <f>IF($AG$2="",1,IF($AG$2="(blank)",--(AG24=""),IF($AG$2="(nonblank)",--(AG24&lt;&gt;""),--ISNUMBER(SEARCH($AG$2,AG24)))))</f>
      </c>
      <c r="BS24" s="137">
        <f>IF($AH$2="",1,IF($AH$2="(blank)",--(AH24=""),IF($AH$2="(nonblank)",--(AH24&lt;&gt;""),--ISNUMBER(SEARCH($AH$2,AH24)))))</f>
      </c>
      <c r="BT24" s="137">
        <f>IF(COUNTIF($AL24:$BS24,0)&gt;0,0,1)</f>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IF(IF(OR(AB25="",AB25=0),TODAY(),DATE(VALUE(RIGHT(AB25,4)),VALUE(MID(AB25,4,2)),VALUE(LEFT(AB25,2))))&lt;=DATE(2026,8,24),0,H25*0.0118*CEILING((IF(OR(AB25="",AB25=0),TODAY(),DATE(VALUE(RIGHT(AB25,4)),VALUE(MID(AB25,4,2)),VALUE(LEFT(AB25,2))))-DATE(2026,8,22))/7,1))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L25" s="137">
        <f>IF($A$2="",1,IF($A$2="(blank)",--(A25=""),IF($A$2="(nonblank)",--(A25&lt;&gt;""),--ISNUMBER(SEARCH($A$2,A25)))))</f>
      </c>
      <c r="AM25" s="137">
        <f>IF($B$2="",1,IF($B$2="(blank)",--(B25=""),IF($B$2="(nonblank)",--(B25&lt;&gt;""),--ISNUMBER(SEARCH($B$2,B25)))))</f>
      </c>
      <c r="AN25" s="137">
        <f>IF($C$2="",1,IF($C$2="(blank)",--(C25=""),IF($C$2="(nonblank)",--(C25&lt;&gt;""),--ISNUMBER(SEARCH($C$2,C25)))))</f>
      </c>
      <c r="AO25" s="137">
        <f>IF($D$2="",1,IF($D$2="(blank)",--(D25=""),IF($D$2="(nonblank)",--(D25&lt;&gt;""),--ISNUMBER(SEARCH($D$2,D25)))))</f>
      </c>
      <c r="AP25" s="137">
        <f>IF($E$2="",1,IF($E$2="(blank)",--(E25=""),IF($E$2="(nonblank)",--(E25&lt;&gt;""),--ISNUMBER(SEARCH($E$2,E25)))))</f>
      </c>
      <c r="AQ25" s="137">
        <f>IF($F$2="",1,IF($F$2="(blank)",--(F25=""),IF($F$2="(nonblank)",--(F25&lt;&gt;""),--ISNUMBER(SEARCH($F$2,F25)))))</f>
      </c>
      <c r="AR25" s="137">
        <f>IF($G$2="",1,IF($G$2="(blank)",--(G25=""),IF($G$2="(nonblank)",--(G25&lt;&gt;""),--ISNUMBER(SEARCH($G$2,G25)))))</f>
      </c>
      <c r="AS25" s="137">
        <f>IF($H$2="",1,IF($H$2="(blank)",--(H25=""),IF($H$2="(nonblank)",--(H25&lt;&gt;""),--ISNUMBER(SEARCH($H$2,H25)))))</f>
      </c>
      <c r="AT25" s="137">
        <f>IF($I$2="",1,IF($I$2="(blank)",--(I25=""),IF($I$2="(nonblank)",--(I25&lt;&gt;""),--ISNUMBER(SEARCH($I$2,I25)))))</f>
      </c>
      <c r="AU25" s="137">
        <f>IF($J$2="",1,IF($J$2="(blank)",--(J25=""),IF($J$2="(nonblank)",--(J25&lt;&gt;""),--ISNUMBER(SEARCH($J$2,J25)))))</f>
      </c>
      <c r="AV25" s="137">
        <f>IF($K$2="",1,IF($K$2="(blank)",--(K25=""),IF($K$2="(nonblank)",--(K25&lt;&gt;""),--ISNUMBER(SEARCH($K$2,K25)))))</f>
      </c>
      <c r="AW25" s="137">
        <f>IF($L$2="",1,IF($L$2="(blank)",--(L25=""),IF($L$2="(nonblank)",--(L25&lt;&gt;""),--ISNUMBER(SEARCH($L$2,L25)))))</f>
      </c>
      <c r="AX25" s="137">
        <f>IF($M$2="",1,IF($M$2="(blank)",--(M25=""),IF($M$2="(nonblank)",--(M25&lt;&gt;""),--ISNUMBER(SEARCH($M$2,M25)))))</f>
      </c>
      <c r="AY25" s="137">
        <f>IF($N$2="",1,IF($N$2="(blank)",--(N25=""),IF($N$2="(nonblank)",--(N25&lt;&gt;""),--ISNUMBER(SEARCH($N$2,N25)))))</f>
      </c>
      <c r="AZ25" s="137">
        <f>IF($O$2="",1,IF($O$2="(blank)",--(O25=""),IF($O$2="(nonblank)",--(O25&lt;&gt;""),--ISNUMBER(SEARCH($O$2,O25)))))</f>
      </c>
      <c r="BA25" s="137">
        <f>IF($P$2="",1,IF($P$2="(blank)",--(P25=""),IF($P$2="(nonblank)",--(P25&lt;&gt;""),--ISNUMBER(SEARCH($P$2,P25)))))</f>
      </c>
      <c r="BB25" s="137">
        <f>IF($Q$2="",1,IF($Q$2="(blank)",--(Q25=""),IF($Q$2="(nonblank)",--(Q25&lt;&gt;""),--ISNUMBER(SEARCH($Q$2,Q25)))))</f>
      </c>
      <c r="BC25" s="137">
        <f>IF($R$2="",1,IF($R$2="(blank)",--(R25=""),IF($R$2="(nonblank)",--(R25&lt;&gt;""),--ISNUMBER(SEARCH($R$2,R25)))))</f>
      </c>
      <c r="BD25" s="137">
        <f>IF($S$2="",1,IF($S$2="(blank)",--(S25=""),IF($S$2="(nonblank)",--(S25&lt;&gt;""),--ISNUMBER(SEARCH($S$2,S25)))))</f>
      </c>
      <c r="BE25" s="137">
        <f>IF($T$2="",1,IF($T$2="(blank)",--(T25=""),IF($T$2="(nonblank)",--(T25&lt;&gt;""),--ISNUMBER(SEARCH($T$2,T25)))))</f>
      </c>
      <c r="BF25" s="137">
        <f>IF($U$2="",1,IF($U$2="(blank)",--(U25=""),IF($U$2="(nonblank)",--(U25&lt;&gt;""),--ISNUMBER(SEARCH($U$2,U25)))))</f>
      </c>
      <c r="BG25" s="137">
        <f>IF($V$2="",1,IF($V$2="(blank)",--(V25=""),IF($V$2="(nonblank)",--(V25&lt;&gt;""),--ISNUMBER(SEARCH($V$2,V25)))))</f>
      </c>
      <c r="BH25" s="137">
        <f>IF($W$2="",1,IF($W$2="(blank)",--(W25=""),IF($W$2="(nonblank)",--(W25&lt;&gt;""),--ISNUMBER(SEARCH($W$2,W25)))))</f>
      </c>
      <c r="BI25" s="137">
        <f>IF($X$2="",1,IF($X$2="(blank)",--(X25=""),IF($X$2="(nonblank)",--(X25&lt;&gt;""),--ISNUMBER(SEARCH($X$2,X25)))))</f>
      </c>
      <c r="BJ25" s="137">
        <f>IF($Y$2="",1,IF($Y$2="(blank)",--(Y25=""),IF($Y$2="(nonblank)",--(Y25&lt;&gt;""),--ISNUMBER(SEARCH($Y$2,Y25)))))</f>
      </c>
      <c r="BK25" s="137">
        <f>IF($Z$2="",1,IF($Z$2="(blank)",--(Z25=""),IF($Z$2="(nonblank)",--(Z25&lt;&gt;""),--ISNUMBER(SEARCH($Z$2,Z25)))))</f>
      </c>
      <c r="BL25" s="137">
        <f>IF($AA$2="",1,IF($AA$2="(blank)",--(AA25=""),IF($AA$2="(nonblank)",--(AA25&lt;&gt;""),--ISNUMBER(SEARCH($AA$2,AA25)))))</f>
      </c>
      <c r="BM25" s="137">
        <f>IF($AB$2="",1,IF($AB$2="(blank)",--(AB25=""),IF($AB$2="(nonblank)",--(AB25&lt;&gt;""),--ISNUMBER(SEARCH($AB$2,AB25)))))</f>
      </c>
      <c r="BN25" s="137">
        <f>IF($AC$2="",1,IF($AC$2="(blank)",--(AC25=""),IF($AC$2="(nonblank)",--(AC25&lt;&gt;""),--ISNUMBER(SEARCH($AC$2,AC25)))))</f>
      </c>
      <c r="BO25" s="137">
        <f>IF($AD$2="",1,IF($AD$2="(blank)",--(AD25=""),IF($AD$2="(nonblank)",--(AD25&lt;&gt;""),--ISNUMBER(SEARCH($AD$2,AD25)))))</f>
      </c>
      <c r="BP25" s="137">
        <f>IF($AE$2="",1,IF($AE$2="(blank)",--(AE25=""),IF($AE$2="(nonblank)",--(AE25&lt;&gt;""),--ISNUMBER(SEARCH($AE$2,AE25)))))</f>
      </c>
      <c r="BQ25" s="137">
        <f>IF($AF$2="",1,IF($AF$2="(blank)",--(AF25=""),IF($AF$2="(nonblank)",--(AF25&lt;&gt;""),--ISNUMBER(SEARCH($AF$2,AF25)))))</f>
      </c>
      <c r="BR25" s="137">
        <f>IF($AG$2="",1,IF($AG$2="(blank)",--(AG25=""),IF($AG$2="(nonblank)",--(AG25&lt;&gt;""),--ISNUMBER(SEARCH($AG$2,AG25)))))</f>
      </c>
      <c r="BS25" s="137">
        <f>IF($AH$2="",1,IF($AH$2="(blank)",--(AH25=""),IF($AH$2="(nonblank)",--(AH25&lt;&gt;""),--ISNUMBER(SEARCH($AH$2,AH25)))))</f>
      </c>
      <c r="BT25" s="137">
        <f>IF(COUNTIF($AL25:$BS25,0)&gt;0,0,1)</f>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IF(IF(OR(AB26="",AB26=0),TODAY(),DATE(VALUE(RIGHT(AB26,4)),VALUE(MID(AB26,4,2)),VALUE(LEFT(AB26,2))))&lt;=DATE(2026,8,24),0,H26*0.0118*CEILING((IF(OR(AB26="",AB26=0),TODAY(),DATE(VALUE(RIGHT(AB26,4)),VALUE(MID(AB26,4,2)),VALUE(LEFT(AB26,2))))-DATE(2026,8,22))/7,1))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L26" s="137">
        <f>IF($A$2="",1,IF($A$2="(blank)",--(A26=""),IF($A$2="(nonblank)",--(A26&lt;&gt;""),--ISNUMBER(SEARCH($A$2,A26)))))</f>
      </c>
      <c r="AM26" s="137">
        <f>IF($B$2="",1,IF($B$2="(blank)",--(B26=""),IF($B$2="(nonblank)",--(B26&lt;&gt;""),--ISNUMBER(SEARCH($B$2,B26)))))</f>
      </c>
      <c r="AN26" s="137">
        <f>IF($C$2="",1,IF($C$2="(blank)",--(C26=""),IF($C$2="(nonblank)",--(C26&lt;&gt;""),--ISNUMBER(SEARCH($C$2,C26)))))</f>
      </c>
      <c r="AO26" s="137">
        <f>IF($D$2="",1,IF($D$2="(blank)",--(D26=""),IF($D$2="(nonblank)",--(D26&lt;&gt;""),--ISNUMBER(SEARCH($D$2,D26)))))</f>
      </c>
      <c r="AP26" s="137">
        <f>IF($E$2="",1,IF($E$2="(blank)",--(E26=""),IF($E$2="(nonblank)",--(E26&lt;&gt;""),--ISNUMBER(SEARCH($E$2,E26)))))</f>
      </c>
      <c r="AQ26" s="137">
        <f>IF($F$2="",1,IF($F$2="(blank)",--(F26=""),IF($F$2="(nonblank)",--(F26&lt;&gt;""),--ISNUMBER(SEARCH($F$2,F26)))))</f>
      </c>
      <c r="AR26" s="137">
        <f>IF($G$2="",1,IF($G$2="(blank)",--(G26=""),IF($G$2="(nonblank)",--(G26&lt;&gt;""),--ISNUMBER(SEARCH($G$2,G26)))))</f>
      </c>
      <c r="AS26" s="137">
        <f>IF($H$2="",1,IF($H$2="(blank)",--(H26=""),IF($H$2="(nonblank)",--(H26&lt;&gt;""),--ISNUMBER(SEARCH($H$2,H26)))))</f>
      </c>
      <c r="AT26" s="137">
        <f>IF($I$2="",1,IF($I$2="(blank)",--(I26=""),IF($I$2="(nonblank)",--(I26&lt;&gt;""),--ISNUMBER(SEARCH($I$2,I26)))))</f>
      </c>
      <c r="AU26" s="137">
        <f>IF($J$2="",1,IF($J$2="(blank)",--(J26=""),IF($J$2="(nonblank)",--(J26&lt;&gt;""),--ISNUMBER(SEARCH($J$2,J26)))))</f>
      </c>
      <c r="AV26" s="137">
        <f>IF($K$2="",1,IF($K$2="(blank)",--(K26=""),IF($K$2="(nonblank)",--(K26&lt;&gt;""),--ISNUMBER(SEARCH($K$2,K26)))))</f>
      </c>
      <c r="AW26" s="137">
        <f>IF($L$2="",1,IF($L$2="(blank)",--(L26=""),IF($L$2="(nonblank)",--(L26&lt;&gt;""),--ISNUMBER(SEARCH($L$2,L26)))))</f>
      </c>
      <c r="AX26" s="137">
        <f>IF($M$2="",1,IF($M$2="(blank)",--(M26=""),IF($M$2="(nonblank)",--(M26&lt;&gt;""),--ISNUMBER(SEARCH($M$2,M26)))))</f>
      </c>
      <c r="AY26" s="137">
        <f>IF($N$2="",1,IF($N$2="(blank)",--(N26=""),IF($N$2="(nonblank)",--(N26&lt;&gt;""),--ISNUMBER(SEARCH($N$2,N26)))))</f>
      </c>
      <c r="AZ26" s="137">
        <f>IF($O$2="",1,IF($O$2="(blank)",--(O26=""),IF($O$2="(nonblank)",--(O26&lt;&gt;""),--ISNUMBER(SEARCH($O$2,O26)))))</f>
      </c>
      <c r="BA26" s="137">
        <f>IF($P$2="",1,IF($P$2="(blank)",--(P26=""),IF($P$2="(nonblank)",--(P26&lt;&gt;""),--ISNUMBER(SEARCH($P$2,P26)))))</f>
      </c>
      <c r="BB26" s="137">
        <f>IF($Q$2="",1,IF($Q$2="(blank)",--(Q26=""),IF($Q$2="(nonblank)",--(Q26&lt;&gt;""),--ISNUMBER(SEARCH($Q$2,Q26)))))</f>
      </c>
      <c r="BC26" s="137">
        <f>IF($R$2="",1,IF($R$2="(blank)",--(R26=""),IF($R$2="(nonblank)",--(R26&lt;&gt;""),--ISNUMBER(SEARCH($R$2,R26)))))</f>
      </c>
      <c r="BD26" s="137">
        <f>IF($S$2="",1,IF($S$2="(blank)",--(S26=""),IF($S$2="(nonblank)",--(S26&lt;&gt;""),--ISNUMBER(SEARCH($S$2,S26)))))</f>
      </c>
      <c r="BE26" s="137">
        <f>IF($T$2="",1,IF($T$2="(blank)",--(T26=""),IF($T$2="(nonblank)",--(T26&lt;&gt;""),--ISNUMBER(SEARCH($T$2,T26)))))</f>
      </c>
      <c r="BF26" s="137">
        <f>IF($U$2="",1,IF($U$2="(blank)",--(U26=""),IF($U$2="(nonblank)",--(U26&lt;&gt;""),--ISNUMBER(SEARCH($U$2,U26)))))</f>
      </c>
      <c r="BG26" s="137">
        <f>IF($V$2="",1,IF($V$2="(blank)",--(V26=""),IF($V$2="(nonblank)",--(V26&lt;&gt;""),--ISNUMBER(SEARCH($V$2,V26)))))</f>
      </c>
      <c r="BH26" s="137">
        <f>IF($W$2="",1,IF($W$2="(blank)",--(W26=""),IF($W$2="(nonblank)",--(W26&lt;&gt;""),--ISNUMBER(SEARCH($W$2,W26)))))</f>
      </c>
      <c r="BI26" s="137">
        <f>IF($X$2="",1,IF($X$2="(blank)",--(X26=""),IF($X$2="(nonblank)",--(X26&lt;&gt;""),--ISNUMBER(SEARCH($X$2,X26)))))</f>
      </c>
      <c r="BJ26" s="137">
        <f>IF($Y$2="",1,IF($Y$2="(blank)",--(Y26=""),IF($Y$2="(nonblank)",--(Y26&lt;&gt;""),--ISNUMBER(SEARCH($Y$2,Y26)))))</f>
      </c>
      <c r="BK26" s="137">
        <f>IF($Z$2="",1,IF($Z$2="(blank)",--(Z26=""),IF($Z$2="(nonblank)",--(Z26&lt;&gt;""),--ISNUMBER(SEARCH($Z$2,Z26)))))</f>
      </c>
      <c r="BL26" s="137">
        <f>IF($AA$2="",1,IF($AA$2="(blank)",--(AA26=""),IF($AA$2="(nonblank)",--(AA26&lt;&gt;""),--ISNUMBER(SEARCH($AA$2,AA26)))))</f>
      </c>
      <c r="BM26" s="137">
        <f>IF($AB$2="",1,IF($AB$2="(blank)",--(AB26=""),IF($AB$2="(nonblank)",--(AB26&lt;&gt;""),--ISNUMBER(SEARCH($AB$2,AB26)))))</f>
      </c>
      <c r="BN26" s="137">
        <f>IF($AC$2="",1,IF($AC$2="(blank)",--(AC26=""),IF($AC$2="(nonblank)",--(AC26&lt;&gt;""),--ISNUMBER(SEARCH($AC$2,AC26)))))</f>
      </c>
      <c r="BO26" s="137">
        <f>IF($AD$2="",1,IF($AD$2="(blank)",--(AD26=""),IF($AD$2="(nonblank)",--(AD26&lt;&gt;""),--ISNUMBER(SEARCH($AD$2,AD26)))))</f>
      </c>
      <c r="BP26" s="137">
        <f>IF($AE$2="",1,IF($AE$2="(blank)",--(AE26=""),IF($AE$2="(nonblank)",--(AE26&lt;&gt;""),--ISNUMBER(SEARCH($AE$2,AE26)))))</f>
      </c>
      <c r="BQ26" s="137">
        <f>IF($AF$2="",1,IF($AF$2="(blank)",--(AF26=""),IF($AF$2="(nonblank)",--(AF26&lt;&gt;""),--ISNUMBER(SEARCH($AF$2,AF26)))))</f>
      </c>
      <c r="BR26" s="137">
        <f>IF($AG$2="",1,IF($AG$2="(blank)",--(AG26=""),IF($AG$2="(nonblank)",--(AG26&lt;&gt;""),--ISNUMBER(SEARCH($AG$2,AG26)))))</f>
      </c>
      <c r="BS26" s="137">
        <f>IF($AH$2="",1,IF($AH$2="(blank)",--(AH26=""),IF($AH$2="(nonblank)",--(AH26&lt;&gt;""),--ISNUMBER(SEARCH($AH$2,AH26)))))</f>
      </c>
      <c r="BT26" s="137">
        <f>IF(COUNTIF($AL26:$BS26,0)&gt;0,0,1)</f>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IF(IF(OR(AB27="",AB27=0),TODAY(),DATE(VALUE(RIGHT(AB27,4)),VALUE(MID(AB27,4,2)),VALUE(LEFT(AB27,2))))&lt;=DATE(2026,8,24),0,H27*0.0118*CEILING((IF(OR(AB27="",AB27=0),TODAY(),DATE(VALUE(RIGHT(AB27,4)),VALUE(MID(AB27,4,2)),VALUE(LEFT(AB27,2))))-DATE(2026,8,22))/7,1))</f>
        <v/>
      </c>
      <c r="AA27" s="153" t="n"/>
      <c r="AB27" s="153" t="n"/>
      <c r="AC27" s="157">
        <f>U27+X27+AA27</f>
        <v/>
      </c>
      <c r="AD27" s="157">
        <f>S27-AC27</f>
        <v/>
      </c>
      <c r="AE27" s="153">
        <f>IF(AD27="","",IF(AD27&lt;=5,"SETTLED","OUTSTANDING"))</f>
        <v/>
      </c>
      <c r="AF27" s="153" t="n"/>
      <c r="AG27" s="158" t="n"/>
      <c r="AH27" s="159" t="n"/>
      <c r="AL27" s="137">
        <f>IF($A$2="",1,IF($A$2="(blank)",--(A27=""),IF($A$2="(nonblank)",--(A27&lt;&gt;""),--ISNUMBER(SEARCH($A$2,A27)))))</f>
      </c>
      <c r="AM27" s="137">
        <f>IF($B$2="",1,IF($B$2="(blank)",--(B27=""),IF($B$2="(nonblank)",--(B27&lt;&gt;""),--ISNUMBER(SEARCH($B$2,B27)))))</f>
      </c>
      <c r="AN27" s="137">
        <f>IF($C$2="",1,IF($C$2="(blank)",--(C27=""),IF($C$2="(nonblank)",--(C27&lt;&gt;""),--ISNUMBER(SEARCH($C$2,C27)))))</f>
      </c>
      <c r="AO27" s="137">
        <f>IF($D$2="",1,IF($D$2="(blank)",--(D27=""),IF($D$2="(nonblank)",--(D27&lt;&gt;""),--ISNUMBER(SEARCH($D$2,D27)))))</f>
      </c>
      <c r="AP27" s="137">
        <f>IF($E$2="",1,IF($E$2="(blank)",--(E27=""),IF($E$2="(nonblank)",--(E27&lt;&gt;""),--ISNUMBER(SEARCH($E$2,E27)))))</f>
      </c>
      <c r="AQ27" s="137">
        <f>IF($F$2="",1,IF($F$2="(blank)",--(F27=""),IF($F$2="(nonblank)",--(F27&lt;&gt;""),--ISNUMBER(SEARCH($F$2,F27)))))</f>
      </c>
      <c r="AR27" s="137">
        <f>IF($G$2="",1,IF($G$2="(blank)",--(G27=""),IF($G$2="(nonblank)",--(G27&lt;&gt;""),--ISNUMBER(SEARCH($G$2,G27)))))</f>
      </c>
      <c r="AS27" s="137">
        <f>IF($H$2="",1,IF($H$2="(blank)",--(H27=""),IF($H$2="(nonblank)",--(H27&lt;&gt;""),--ISNUMBER(SEARCH($H$2,H27)))))</f>
      </c>
      <c r="AT27" s="137">
        <f>IF($I$2="",1,IF($I$2="(blank)",--(I27=""),IF($I$2="(nonblank)",--(I27&lt;&gt;""),--ISNUMBER(SEARCH($I$2,I27)))))</f>
      </c>
      <c r="AU27" s="137">
        <f>IF($J$2="",1,IF($J$2="(blank)",--(J27=""),IF($J$2="(nonblank)",--(J27&lt;&gt;""),--ISNUMBER(SEARCH($J$2,J27)))))</f>
      </c>
      <c r="AV27" s="137">
        <f>IF($K$2="",1,IF($K$2="(blank)",--(K27=""),IF($K$2="(nonblank)",--(K27&lt;&gt;""),--ISNUMBER(SEARCH($K$2,K27)))))</f>
      </c>
      <c r="AW27" s="137">
        <f>IF($L$2="",1,IF($L$2="(blank)",--(L27=""),IF($L$2="(nonblank)",--(L27&lt;&gt;""),--ISNUMBER(SEARCH($L$2,L27)))))</f>
      </c>
      <c r="AX27" s="137">
        <f>IF($M$2="",1,IF($M$2="(blank)",--(M27=""),IF($M$2="(nonblank)",--(M27&lt;&gt;""),--ISNUMBER(SEARCH($M$2,M27)))))</f>
      </c>
      <c r="AY27" s="137">
        <f>IF($N$2="",1,IF($N$2="(blank)",--(N27=""),IF($N$2="(nonblank)",--(N27&lt;&gt;""),--ISNUMBER(SEARCH($N$2,N27)))))</f>
      </c>
      <c r="AZ27" s="137">
        <f>IF($O$2="",1,IF($O$2="(blank)",--(O27=""),IF($O$2="(nonblank)",--(O27&lt;&gt;""),--ISNUMBER(SEARCH($O$2,O27)))))</f>
      </c>
      <c r="BA27" s="137">
        <f>IF($P$2="",1,IF($P$2="(blank)",--(P27=""),IF($P$2="(nonblank)",--(P27&lt;&gt;""),--ISNUMBER(SEARCH($P$2,P27)))))</f>
      </c>
      <c r="BB27" s="137">
        <f>IF($Q$2="",1,IF($Q$2="(blank)",--(Q27=""),IF($Q$2="(nonblank)",--(Q27&lt;&gt;""),--ISNUMBER(SEARCH($Q$2,Q27)))))</f>
      </c>
      <c r="BC27" s="137">
        <f>IF($R$2="",1,IF($R$2="(blank)",--(R27=""),IF($R$2="(nonblank)",--(R27&lt;&gt;""),--ISNUMBER(SEARCH($R$2,R27)))))</f>
      </c>
      <c r="BD27" s="137">
        <f>IF($S$2="",1,IF($S$2="(blank)",--(S27=""),IF($S$2="(nonblank)",--(S27&lt;&gt;""),--ISNUMBER(SEARCH($S$2,S27)))))</f>
      </c>
      <c r="BE27" s="137">
        <f>IF($T$2="",1,IF($T$2="(blank)",--(T27=""),IF($T$2="(nonblank)",--(T27&lt;&gt;""),--ISNUMBER(SEARCH($T$2,T27)))))</f>
      </c>
      <c r="BF27" s="137">
        <f>IF($U$2="",1,IF($U$2="(blank)",--(U27=""),IF($U$2="(nonblank)",--(U27&lt;&gt;""),--ISNUMBER(SEARCH($U$2,U27)))))</f>
      </c>
      <c r="BG27" s="137">
        <f>IF($V$2="",1,IF($V$2="(blank)",--(V27=""),IF($V$2="(nonblank)",--(V27&lt;&gt;""),--ISNUMBER(SEARCH($V$2,V27)))))</f>
      </c>
      <c r="BH27" s="137">
        <f>IF($W$2="",1,IF($W$2="(blank)",--(W27=""),IF($W$2="(nonblank)",--(W27&lt;&gt;""),--ISNUMBER(SEARCH($W$2,W27)))))</f>
      </c>
      <c r="BI27" s="137">
        <f>IF($X$2="",1,IF($X$2="(blank)",--(X27=""),IF($X$2="(nonblank)",--(X27&lt;&gt;""),--ISNUMBER(SEARCH($X$2,X27)))))</f>
      </c>
      <c r="BJ27" s="137">
        <f>IF($Y$2="",1,IF($Y$2="(blank)",--(Y27=""),IF($Y$2="(nonblank)",--(Y27&lt;&gt;""),--ISNUMBER(SEARCH($Y$2,Y27)))))</f>
      </c>
      <c r="BK27" s="137">
        <f>IF($Z$2="",1,IF($Z$2="(blank)",--(Z27=""),IF($Z$2="(nonblank)",--(Z27&lt;&gt;""),--ISNUMBER(SEARCH($Z$2,Z27)))))</f>
      </c>
      <c r="BL27" s="137">
        <f>IF($AA$2="",1,IF($AA$2="(blank)",--(AA27=""),IF($AA$2="(nonblank)",--(AA27&lt;&gt;""),--ISNUMBER(SEARCH($AA$2,AA27)))))</f>
      </c>
      <c r="BM27" s="137">
        <f>IF($AB$2="",1,IF($AB$2="(blank)",--(AB27=""),IF($AB$2="(nonblank)",--(AB27&lt;&gt;""),--ISNUMBER(SEARCH($AB$2,AB27)))))</f>
      </c>
      <c r="BN27" s="137">
        <f>IF($AC$2="",1,IF($AC$2="(blank)",--(AC27=""),IF($AC$2="(nonblank)",--(AC27&lt;&gt;""),--ISNUMBER(SEARCH($AC$2,AC27)))))</f>
      </c>
      <c r="BO27" s="137">
        <f>IF($AD$2="",1,IF($AD$2="(blank)",--(AD27=""),IF($AD$2="(nonblank)",--(AD27&lt;&gt;""),--ISNUMBER(SEARCH($AD$2,AD27)))))</f>
      </c>
      <c r="BP27" s="137">
        <f>IF($AE$2="",1,IF($AE$2="(blank)",--(AE27=""),IF($AE$2="(nonblank)",--(AE27&lt;&gt;""),--ISNUMBER(SEARCH($AE$2,AE27)))))</f>
      </c>
      <c r="BQ27" s="137">
        <f>IF($AF$2="",1,IF($AF$2="(blank)",--(AF27=""),IF($AF$2="(nonblank)",--(AF27&lt;&gt;""),--ISNUMBER(SEARCH($AF$2,AF27)))))</f>
      </c>
      <c r="BR27" s="137">
        <f>IF($AG$2="",1,IF($AG$2="(blank)",--(AG27=""),IF($AG$2="(nonblank)",--(AG27&lt;&gt;""),--ISNUMBER(SEARCH($AG$2,AG27)))))</f>
      </c>
      <c r="BS27" s="137">
        <f>IF($AH$2="",1,IF($AH$2="(blank)",--(AH27=""),IF($AH$2="(nonblank)",--(AH27&lt;&gt;""),--ISNUMBER(SEARCH($AH$2,AH27)))))</f>
      </c>
      <c r="BT27" s="137">
        <f>IF(COUNTIF($AL27:$BS27,0)&gt;0,0,1)</f>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IF(IF(OR(AB28="",AB28=0),TODAY(),DATE(VALUE(RIGHT(AB28,4)),VALUE(MID(AB28,4,2)),VALUE(LEFT(AB28,2))))&lt;=DATE(2026,8,24),0,H28*0.0118*CEILING((IF(OR(AB28="",AB28=0),TODAY(),DATE(VALUE(RIGHT(AB28,4)),VALUE(MID(AB28,4,2)),VALUE(LEFT(AB28,2))))-DATE(2026,8,22))/7,1))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L28" s="137">
        <f>IF($A$2="",1,IF($A$2="(blank)",--(A28=""),IF($A$2="(nonblank)",--(A28&lt;&gt;""),--ISNUMBER(SEARCH($A$2,A28)))))</f>
      </c>
      <c r="AM28" s="137">
        <f>IF($B$2="",1,IF($B$2="(blank)",--(B28=""),IF($B$2="(nonblank)",--(B28&lt;&gt;""),--ISNUMBER(SEARCH($B$2,B28)))))</f>
      </c>
      <c r="AN28" s="137">
        <f>IF($C$2="",1,IF($C$2="(blank)",--(C28=""),IF($C$2="(nonblank)",--(C28&lt;&gt;""),--ISNUMBER(SEARCH($C$2,C28)))))</f>
      </c>
      <c r="AO28" s="137">
        <f>IF($D$2="",1,IF($D$2="(blank)",--(D28=""),IF($D$2="(nonblank)",--(D28&lt;&gt;""),--ISNUMBER(SEARCH($D$2,D28)))))</f>
      </c>
      <c r="AP28" s="137">
        <f>IF($E$2="",1,IF($E$2="(blank)",--(E28=""),IF($E$2="(nonblank)",--(E28&lt;&gt;""),--ISNUMBER(SEARCH($E$2,E28)))))</f>
      </c>
      <c r="AQ28" s="137">
        <f>IF($F$2="",1,IF($F$2="(blank)",--(F28=""),IF($F$2="(nonblank)",--(F28&lt;&gt;""),--ISNUMBER(SEARCH($F$2,F28)))))</f>
      </c>
      <c r="AR28" s="137">
        <f>IF($G$2="",1,IF($G$2="(blank)",--(G28=""),IF($G$2="(nonblank)",--(G28&lt;&gt;""),--ISNUMBER(SEARCH($G$2,G28)))))</f>
      </c>
      <c r="AS28" s="137">
        <f>IF($H$2="",1,IF($H$2="(blank)",--(H28=""),IF($H$2="(nonblank)",--(H28&lt;&gt;""),--ISNUMBER(SEARCH($H$2,H28)))))</f>
      </c>
      <c r="AT28" s="137">
        <f>IF($I$2="",1,IF($I$2="(blank)",--(I28=""),IF($I$2="(nonblank)",--(I28&lt;&gt;""),--ISNUMBER(SEARCH($I$2,I28)))))</f>
      </c>
      <c r="AU28" s="137">
        <f>IF($J$2="",1,IF($J$2="(blank)",--(J28=""),IF($J$2="(nonblank)",--(J28&lt;&gt;""),--ISNUMBER(SEARCH($J$2,J28)))))</f>
      </c>
      <c r="AV28" s="137">
        <f>IF($K$2="",1,IF($K$2="(blank)",--(K28=""),IF($K$2="(nonblank)",--(K28&lt;&gt;""),--ISNUMBER(SEARCH($K$2,K28)))))</f>
      </c>
      <c r="AW28" s="137">
        <f>IF($L$2="",1,IF($L$2="(blank)",--(L28=""),IF($L$2="(nonblank)",--(L28&lt;&gt;""),--ISNUMBER(SEARCH($L$2,L28)))))</f>
      </c>
      <c r="AX28" s="137">
        <f>IF($M$2="",1,IF($M$2="(blank)",--(M28=""),IF($M$2="(nonblank)",--(M28&lt;&gt;""),--ISNUMBER(SEARCH($M$2,M28)))))</f>
      </c>
      <c r="AY28" s="137">
        <f>IF($N$2="",1,IF($N$2="(blank)",--(N28=""),IF($N$2="(nonblank)",--(N28&lt;&gt;""),--ISNUMBER(SEARCH($N$2,N28)))))</f>
      </c>
      <c r="AZ28" s="137">
        <f>IF($O$2="",1,IF($O$2="(blank)",--(O28=""),IF($O$2="(nonblank)",--(O28&lt;&gt;""),--ISNUMBER(SEARCH($O$2,O28)))))</f>
      </c>
      <c r="BA28" s="137">
        <f>IF($P$2="",1,IF($P$2="(blank)",--(P28=""),IF($P$2="(nonblank)",--(P28&lt;&gt;""),--ISNUMBER(SEARCH($P$2,P28)))))</f>
      </c>
      <c r="BB28" s="137">
        <f>IF($Q$2="",1,IF($Q$2="(blank)",--(Q28=""),IF($Q$2="(nonblank)",--(Q28&lt;&gt;""),--ISNUMBER(SEARCH($Q$2,Q28)))))</f>
      </c>
      <c r="BC28" s="137">
        <f>IF($R$2="",1,IF($R$2="(blank)",--(R28=""),IF($R$2="(nonblank)",--(R28&lt;&gt;""),--ISNUMBER(SEARCH($R$2,R28)))))</f>
      </c>
      <c r="BD28" s="137">
        <f>IF($S$2="",1,IF($S$2="(blank)",--(S28=""),IF($S$2="(nonblank)",--(S28&lt;&gt;""),--ISNUMBER(SEARCH($S$2,S28)))))</f>
      </c>
      <c r="BE28" s="137">
        <f>IF($T$2="",1,IF($T$2="(blank)",--(T28=""),IF($T$2="(nonblank)",--(T28&lt;&gt;""),--ISNUMBER(SEARCH($T$2,T28)))))</f>
      </c>
      <c r="BF28" s="137">
        <f>IF($U$2="",1,IF($U$2="(blank)",--(U28=""),IF($U$2="(nonblank)",--(U28&lt;&gt;""),--ISNUMBER(SEARCH($U$2,U28)))))</f>
      </c>
      <c r="BG28" s="137">
        <f>IF($V$2="",1,IF($V$2="(blank)",--(V28=""),IF($V$2="(nonblank)",--(V28&lt;&gt;""),--ISNUMBER(SEARCH($V$2,V28)))))</f>
      </c>
      <c r="BH28" s="137">
        <f>IF($W$2="",1,IF($W$2="(blank)",--(W28=""),IF($W$2="(nonblank)",--(W28&lt;&gt;""),--ISNUMBER(SEARCH($W$2,W28)))))</f>
      </c>
      <c r="BI28" s="137">
        <f>IF($X$2="",1,IF($X$2="(blank)",--(X28=""),IF($X$2="(nonblank)",--(X28&lt;&gt;""),--ISNUMBER(SEARCH($X$2,X28)))))</f>
      </c>
      <c r="BJ28" s="137">
        <f>IF($Y$2="",1,IF($Y$2="(blank)",--(Y28=""),IF($Y$2="(nonblank)",--(Y28&lt;&gt;""),--ISNUMBER(SEARCH($Y$2,Y28)))))</f>
      </c>
      <c r="BK28" s="137">
        <f>IF($Z$2="",1,IF($Z$2="(blank)",--(Z28=""),IF($Z$2="(nonblank)",--(Z28&lt;&gt;""),--ISNUMBER(SEARCH($Z$2,Z28)))))</f>
      </c>
      <c r="BL28" s="137">
        <f>IF($AA$2="",1,IF($AA$2="(blank)",--(AA28=""),IF($AA$2="(nonblank)",--(AA28&lt;&gt;""),--ISNUMBER(SEARCH($AA$2,AA28)))))</f>
      </c>
      <c r="BM28" s="137">
        <f>IF($AB$2="",1,IF($AB$2="(blank)",--(AB28=""),IF($AB$2="(nonblank)",--(AB28&lt;&gt;""),--ISNUMBER(SEARCH($AB$2,AB28)))))</f>
      </c>
      <c r="BN28" s="137">
        <f>IF($AC$2="",1,IF($AC$2="(blank)",--(AC28=""),IF($AC$2="(nonblank)",--(AC28&lt;&gt;""),--ISNUMBER(SEARCH($AC$2,AC28)))))</f>
      </c>
      <c r="BO28" s="137">
        <f>IF($AD$2="",1,IF($AD$2="(blank)",--(AD28=""),IF($AD$2="(nonblank)",--(AD28&lt;&gt;""),--ISNUMBER(SEARCH($AD$2,AD28)))))</f>
      </c>
      <c r="BP28" s="137">
        <f>IF($AE$2="",1,IF($AE$2="(blank)",--(AE28=""),IF($AE$2="(nonblank)",--(AE28&lt;&gt;""),--ISNUMBER(SEARCH($AE$2,AE28)))))</f>
      </c>
      <c r="BQ28" s="137">
        <f>IF($AF$2="",1,IF($AF$2="(blank)",--(AF28=""),IF($AF$2="(nonblank)",--(AF28&lt;&gt;""),--ISNUMBER(SEARCH($AF$2,AF28)))))</f>
      </c>
      <c r="BR28" s="137">
        <f>IF($AG$2="",1,IF($AG$2="(blank)",--(AG28=""),IF($AG$2="(nonblank)",--(AG28&lt;&gt;""),--ISNUMBER(SEARCH($AG$2,AG28)))))</f>
      </c>
      <c r="BS28" s="137">
        <f>IF($AH$2="",1,IF($AH$2="(blank)",--(AH28=""),IF($AH$2="(nonblank)",--(AH28&lt;&gt;""),--ISNUMBER(SEARCH($AH$2,AH28)))))</f>
      </c>
      <c r="BT28" s="137">
        <f>IF(COUNTIF($AL28:$BS28,0)&gt;0,0,1)</f>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IF(IF(OR(AB29="",AB29=0),TODAY(),DATE(VALUE(RIGHT(AB29,4)),VALUE(MID(AB29,4,2)),VALUE(LEFT(AB29,2))))&lt;=DATE(2026,8,24),0,H29*0.0118*CEILING((IF(OR(AB29="",AB29=0),TODAY(),DATE(VALUE(RIGHT(AB29,4)),VALUE(MID(AB29,4,2)),VALUE(LEFT(AB29,2))))-DATE(2026,8,22))/7,1))</f>
        <v/>
      </c>
      <c r="AA29" s="153" t="n"/>
      <c r="AB29" s="153" t="n"/>
      <c r="AC29" s="157">
        <f>U29+X29+AA29</f>
        <v/>
      </c>
      <c r="AD29" s="157">
        <f>S29-AC29</f>
        <v/>
      </c>
      <c r="AE29" s="153">
        <f>IF(AD29="","",IF(AD29&lt;=5,"SETTLED","OUTSTANDING"))</f>
        <v/>
      </c>
      <c r="AF29" s="153" t="n"/>
      <c r="AG29" s="158" t="n"/>
      <c r="AH29" s="159" t="n"/>
      <c r="AL29" s="137">
        <f>IF($A$2="",1,IF($A$2="(blank)",--(A29=""),IF($A$2="(nonblank)",--(A29&lt;&gt;""),--ISNUMBER(SEARCH($A$2,A29)))))</f>
      </c>
      <c r="AM29" s="137">
        <f>IF($B$2="",1,IF($B$2="(blank)",--(B29=""),IF($B$2="(nonblank)",--(B29&lt;&gt;""),--ISNUMBER(SEARCH($B$2,B29)))))</f>
      </c>
      <c r="AN29" s="137">
        <f>IF($C$2="",1,IF($C$2="(blank)",--(C29=""),IF($C$2="(nonblank)",--(C29&lt;&gt;""),--ISNUMBER(SEARCH($C$2,C29)))))</f>
      </c>
      <c r="AO29" s="137">
        <f>IF($D$2="",1,IF($D$2="(blank)",--(D29=""),IF($D$2="(nonblank)",--(D29&lt;&gt;""),--ISNUMBER(SEARCH($D$2,D29)))))</f>
      </c>
      <c r="AP29" s="137">
        <f>IF($E$2="",1,IF($E$2="(blank)",--(E29=""),IF($E$2="(nonblank)",--(E29&lt;&gt;""),--ISNUMBER(SEARCH($E$2,E29)))))</f>
      </c>
      <c r="AQ29" s="137">
        <f>IF($F$2="",1,IF($F$2="(blank)",--(F29=""),IF($F$2="(nonblank)",--(F29&lt;&gt;""),--ISNUMBER(SEARCH($F$2,F29)))))</f>
      </c>
      <c r="AR29" s="137">
        <f>IF($G$2="",1,IF($G$2="(blank)",--(G29=""),IF($G$2="(nonblank)",--(G29&lt;&gt;""),--ISNUMBER(SEARCH($G$2,G29)))))</f>
      </c>
      <c r="AS29" s="137">
        <f>IF($H$2="",1,IF($H$2="(blank)",--(H29=""),IF($H$2="(nonblank)",--(H29&lt;&gt;""),--ISNUMBER(SEARCH($H$2,H29)))))</f>
      </c>
      <c r="AT29" s="137">
        <f>IF($I$2="",1,IF($I$2="(blank)",--(I29=""),IF($I$2="(nonblank)",--(I29&lt;&gt;""),--ISNUMBER(SEARCH($I$2,I29)))))</f>
      </c>
      <c r="AU29" s="137">
        <f>IF($J$2="",1,IF($J$2="(blank)",--(J29=""),IF($J$2="(nonblank)",--(J29&lt;&gt;""),--ISNUMBER(SEARCH($J$2,J29)))))</f>
      </c>
      <c r="AV29" s="137">
        <f>IF($K$2="",1,IF($K$2="(blank)",--(K29=""),IF($K$2="(nonblank)",--(K29&lt;&gt;""),--ISNUMBER(SEARCH($K$2,K29)))))</f>
      </c>
      <c r="AW29" s="137">
        <f>IF($L$2="",1,IF($L$2="(blank)",--(L29=""),IF($L$2="(nonblank)",--(L29&lt;&gt;""),--ISNUMBER(SEARCH($L$2,L29)))))</f>
      </c>
      <c r="AX29" s="137">
        <f>IF($M$2="",1,IF($M$2="(blank)",--(M29=""),IF($M$2="(nonblank)",--(M29&lt;&gt;""),--ISNUMBER(SEARCH($M$2,M29)))))</f>
      </c>
      <c r="AY29" s="137">
        <f>IF($N$2="",1,IF($N$2="(blank)",--(N29=""),IF($N$2="(nonblank)",--(N29&lt;&gt;""),--ISNUMBER(SEARCH($N$2,N29)))))</f>
      </c>
      <c r="AZ29" s="137">
        <f>IF($O$2="",1,IF($O$2="(blank)",--(O29=""),IF($O$2="(nonblank)",--(O29&lt;&gt;""),--ISNUMBER(SEARCH($O$2,O29)))))</f>
      </c>
      <c r="BA29" s="137">
        <f>IF($P$2="",1,IF($P$2="(blank)",--(P29=""),IF($P$2="(nonblank)",--(P29&lt;&gt;""),--ISNUMBER(SEARCH($P$2,P29)))))</f>
      </c>
      <c r="BB29" s="137">
        <f>IF($Q$2="",1,IF($Q$2="(blank)",--(Q29=""),IF($Q$2="(nonblank)",--(Q29&lt;&gt;""),--ISNUMBER(SEARCH($Q$2,Q29)))))</f>
      </c>
      <c r="BC29" s="137">
        <f>IF($R$2="",1,IF($R$2="(blank)",--(R29=""),IF($R$2="(nonblank)",--(R29&lt;&gt;""),--ISNUMBER(SEARCH($R$2,R29)))))</f>
      </c>
      <c r="BD29" s="137">
        <f>IF($S$2="",1,IF($S$2="(blank)",--(S29=""),IF($S$2="(nonblank)",--(S29&lt;&gt;""),--ISNUMBER(SEARCH($S$2,S29)))))</f>
      </c>
      <c r="BE29" s="137">
        <f>IF($T$2="",1,IF($T$2="(blank)",--(T29=""),IF($T$2="(nonblank)",--(T29&lt;&gt;""),--ISNUMBER(SEARCH($T$2,T29)))))</f>
      </c>
      <c r="BF29" s="137">
        <f>IF($U$2="",1,IF($U$2="(blank)",--(U29=""),IF($U$2="(nonblank)",--(U29&lt;&gt;""),--ISNUMBER(SEARCH($U$2,U29)))))</f>
      </c>
      <c r="BG29" s="137">
        <f>IF($V$2="",1,IF($V$2="(blank)",--(V29=""),IF($V$2="(nonblank)",--(V29&lt;&gt;""),--ISNUMBER(SEARCH($V$2,V29)))))</f>
      </c>
      <c r="BH29" s="137">
        <f>IF($W$2="",1,IF($W$2="(blank)",--(W29=""),IF($W$2="(nonblank)",--(W29&lt;&gt;""),--ISNUMBER(SEARCH($W$2,W29)))))</f>
      </c>
      <c r="BI29" s="137">
        <f>IF($X$2="",1,IF($X$2="(blank)",--(X29=""),IF($X$2="(nonblank)",--(X29&lt;&gt;""),--ISNUMBER(SEARCH($X$2,X29)))))</f>
      </c>
      <c r="BJ29" s="137">
        <f>IF($Y$2="",1,IF($Y$2="(blank)",--(Y29=""),IF($Y$2="(nonblank)",--(Y29&lt;&gt;""),--ISNUMBER(SEARCH($Y$2,Y29)))))</f>
      </c>
      <c r="BK29" s="137">
        <f>IF($Z$2="",1,IF($Z$2="(blank)",--(Z29=""),IF($Z$2="(nonblank)",--(Z29&lt;&gt;""),--ISNUMBER(SEARCH($Z$2,Z29)))))</f>
      </c>
      <c r="BL29" s="137">
        <f>IF($AA$2="",1,IF($AA$2="(blank)",--(AA29=""),IF($AA$2="(nonblank)",--(AA29&lt;&gt;""),--ISNUMBER(SEARCH($AA$2,AA29)))))</f>
      </c>
      <c r="BM29" s="137">
        <f>IF($AB$2="",1,IF($AB$2="(blank)",--(AB29=""),IF($AB$2="(nonblank)",--(AB29&lt;&gt;""),--ISNUMBER(SEARCH($AB$2,AB29)))))</f>
      </c>
      <c r="BN29" s="137">
        <f>IF($AC$2="",1,IF($AC$2="(blank)",--(AC29=""),IF($AC$2="(nonblank)",--(AC29&lt;&gt;""),--ISNUMBER(SEARCH($AC$2,AC29)))))</f>
      </c>
      <c r="BO29" s="137">
        <f>IF($AD$2="",1,IF($AD$2="(blank)",--(AD29=""),IF($AD$2="(nonblank)",--(AD29&lt;&gt;""),--ISNUMBER(SEARCH($AD$2,AD29)))))</f>
      </c>
      <c r="BP29" s="137">
        <f>IF($AE$2="",1,IF($AE$2="(blank)",--(AE29=""),IF($AE$2="(nonblank)",--(AE29&lt;&gt;""),--ISNUMBER(SEARCH($AE$2,AE29)))))</f>
      </c>
      <c r="BQ29" s="137">
        <f>IF($AF$2="",1,IF($AF$2="(blank)",--(AF29=""),IF($AF$2="(nonblank)",--(AF29&lt;&gt;""),--ISNUMBER(SEARCH($AF$2,AF29)))))</f>
      </c>
      <c r="BR29" s="137">
        <f>IF($AG$2="",1,IF($AG$2="(blank)",--(AG29=""),IF($AG$2="(nonblank)",--(AG29&lt;&gt;""),--ISNUMBER(SEARCH($AG$2,AG29)))))</f>
      </c>
      <c r="BS29" s="137">
        <f>IF($AH$2="",1,IF($AH$2="(blank)",--(AH29=""),IF($AH$2="(nonblank)",--(AH29&lt;&gt;""),--ISNUMBER(SEARCH($AH$2,AH29)))))</f>
      </c>
      <c r="BT29" s="137">
        <f>IF(COUNTIF($AL29:$BS29,0)&gt;0,0,1)</f>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IF(IF(OR(AB30="",AB30=0),TODAY(),DATE(VALUE(RIGHT(AB30,4)),VALUE(MID(AB30,4,2)),VALUE(LEFT(AB30,2))))&lt;=DATE(2026,8,24),0,H30*0.0118*CEILING((IF(OR(AB30="",AB30=0),TODAY(),DATE(VALUE(RIGHT(AB30,4)),VALUE(MID(AB30,4,2)),VALUE(LEFT(AB30,2))))-DATE(2026,8,22))/7,1))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L30" s="137">
        <f>IF($A$2="",1,IF($A$2="(blank)",--(A30=""),IF($A$2="(nonblank)",--(A30&lt;&gt;""),--ISNUMBER(SEARCH($A$2,A30)))))</f>
      </c>
      <c r="AM30" s="137">
        <f>IF($B$2="",1,IF($B$2="(blank)",--(B30=""),IF($B$2="(nonblank)",--(B30&lt;&gt;""),--ISNUMBER(SEARCH($B$2,B30)))))</f>
      </c>
      <c r="AN30" s="137">
        <f>IF($C$2="",1,IF($C$2="(blank)",--(C30=""),IF($C$2="(nonblank)",--(C30&lt;&gt;""),--ISNUMBER(SEARCH($C$2,C30)))))</f>
      </c>
      <c r="AO30" s="137">
        <f>IF($D$2="",1,IF($D$2="(blank)",--(D30=""),IF($D$2="(nonblank)",--(D30&lt;&gt;""),--ISNUMBER(SEARCH($D$2,D30)))))</f>
      </c>
      <c r="AP30" s="137">
        <f>IF($E$2="",1,IF($E$2="(blank)",--(E30=""),IF($E$2="(nonblank)",--(E30&lt;&gt;""),--ISNUMBER(SEARCH($E$2,E30)))))</f>
      </c>
      <c r="AQ30" s="137">
        <f>IF($F$2="",1,IF($F$2="(blank)",--(F30=""),IF($F$2="(nonblank)",--(F30&lt;&gt;""),--ISNUMBER(SEARCH($F$2,F30)))))</f>
      </c>
      <c r="AR30" s="137">
        <f>IF($G$2="",1,IF($G$2="(blank)",--(G30=""),IF($G$2="(nonblank)",--(G30&lt;&gt;""),--ISNUMBER(SEARCH($G$2,G30)))))</f>
      </c>
      <c r="AS30" s="137">
        <f>IF($H$2="",1,IF($H$2="(blank)",--(H30=""),IF($H$2="(nonblank)",--(H30&lt;&gt;""),--ISNUMBER(SEARCH($H$2,H30)))))</f>
      </c>
      <c r="AT30" s="137">
        <f>IF($I$2="",1,IF($I$2="(blank)",--(I30=""),IF($I$2="(nonblank)",--(I30&lt;&gt;""),--ISNUMBER(SEARCH($I$2,I30)))))</f>
      </c>
      <c r="AU30" s="137">
        <f>IF($J$2="",1,IF($J$2="(blank)",--(J30=""),IF($J$2="(nonblank)",--(J30&lt;&gt;""),--ISNUMBER(SEARCH($J$2,J30)))))</f>
      </c>
      <c r="AV30" s="137">
        <f>IF($K$2="",1,IF($K$2="(blank)",--(K30=""),IF($K$2="(nonblank)",--(K30&lt;&gt;""),--ISNUMBER(SEARCH($K$2,K30)))))</f>
      </c>
      <c r="AW30" s="137">
        <f>IF($L$2="",1,IF($L$2="(blank)",--(L30=""),IF($L$2="(nonblank)",--(L30&lt;&gt;""),--ISNUMBER(SEARCH($L$2,L30)))))</f>
      </c>
      <c r="AX30" s="137">
        <f>IF($M$2="",1,IF($M$2="(blank)",--(M30=""),IF($M$2="(nonblank)",--(M30&lt;&gt;""),--ISNUMBER(SEARCH($M$2,M30)))))</f>
      </c>
      <c r="AY30" s="137">
        <f>IF($N$2="",1,IF($N$2="(blank)",--(N30=""),IF($N$2="(nonblank)",--(N30&lt;&gt;""),--ISNUMBER(SEARCH($N$2,N30)))))</f>
      </c>
      <c r="AZ30" s="137">
        <f>IF($O$2="",1,IF($O$2="(blank)",--(O30=""),IF($O$2="(nonblank)",--(O30&lt;&gt;""),--ISNUMBER(SEARCH($O$2,O30)))))</f>
      </c>
      <c r="BA30" s="137">
        <f>IF($P$2="",1,IF($P$2="(blank)",--(P30=""),IF($P$2="(nonblank)",--(P30&lt;&gt;""),--ISNUMBER(SEARCH($P$2,P30)))))</f>
      </c>
      <c r="BB30" s="137">
        <f>IF($Q$2="",1,IF($Q$2="(blank)",--(Q30=""),IF($Q$2="(nonblank)",--(Q30&lt;&gt;""),--ISNUMBER(SEARCH($Q$2,Q30)))))</f>
      </c>
      <c r="BC30" s="137">
        <f>IF($R$2="",1,IF($R$2="(blank)",--(R30=""),IF($R$2="(nonblank)",--(R30&lt;&gt;""),--ISNUMBER(SEARCH($R$2,R30)))))</f>
      </c>
      <c r="BD30" s="137">
        <f>IF($S$2="",1,IF($S$2="(blank)",--(S30=""),IF($S$2="(nonblank)",--(S30&lt;&gt;""),--ISNUMBER(SEARCH($S$2,S30)))))</f>
      </c>
      <c r="BE30" s="137">
        <f>IF($T$2="",1,IF($T$2="(blank)",--(T30=""),IF($T$2="(nonblank)",--(T30&lt;&gt;""),--ISNUMBER(SEARCH($T$2,T30)))))</f>
      </c>
      <c r="BF30" s="137">
        <f>IF($U$2="",1,IF($U$2="(blank)",--(U30=""),IF($U$2="(nonblank)",--(U30&lt;&gt;""),--ISNUMBER(SEARCH($U$2,U30)))))</f>
      </c>
      <c r="BG30" s="137">
        <f>IF($V$2="",1,IF($V$2="(blank)",--(V30=""),IF($V$2="(nonblank)",--(V30&lt;&gt;""),--ISNUMBER(SEARCH($V$2,V30)))))</f>
      </c>
      <c r="BH30" s="137">
        <f>IF($W$2="",1,IF($W$2="(blank)",--(W30=""),IF($W$2="(nonblank)",--(W30&lt;&gt;""),--ISNUMBER(SEARCH($W$2,W30)))))</f>
      </c>
      <c r="BI30" s="137">
        <f>IF($X$2="",1,IF($X$2="(blank)",--(X30=""),IF($X$2="(nonblank)",--(X30&lt;&gt;""),--ISNUMBER(SEARCH($X$2,X30)))))</f>
      </c>
      <c r="BJ30" s="137">
        <f>IF($Y$2="",1,IF($Y$2="(blank)",--(Y30=""),IF($Y$2="(nonblank)",--(Y30&lt;&gt;""),--ISNUMBER(SEARCH($Y$2,Y30)))))</f>
      </c>
      <c r="BK30" s="137">
        <f>IF($Z$2="",1,IF($Z$2="(blank)",--(Z30=""),IF($Z$2="(nonblank)",--(Z30&lt;&gt;""),--ISNUMBER(SEARCH($Z$2,Z30)))))</f>
      </c>
      <c r="BL30" s="137">
        <f>IF($AA$2="",1,IF($AA$2="(blank)",--(AA30=""),IF($AA$2="(nonblank)",--(AA30&lt;&gt;""),--ISNUMBER(SEARCH($AA$2,AA30)))))</f>
      </c>
      <c r="BM30" s="137">
        <f>IF($AB$2="",1,IF($AB$2="(blank)",--(AB30=""),IF($AB$2="(nonblank)",--(AB30&lt;&gt;""),--ISNUMBER(SEARCH($AB$2,AB30)))))</f>
      </c>
      <c r="BN30" s="137">
        <f>IF($AC$2="",1,IF($AC$2="(blank)",--(AC30=""),IF($AC$2="(nonblank)",--(AC30&lt;&gt;""),--ISNUMBER(SEARCH($AC$2,AC30)))))</f>
      </c>
      <c r="BO30" s="137">
        <f>IF($AD$2="",1,IF($AD$2="(blank)",--(AD30=""),IF($AD$2="(nonblank)",--(AD30&lt;&gt;""),--ISNUMBER(SEARCH($AD$2,AD30)))))</f>
      </c>
      <c r="BP30" s="137">
        <f>IF($AE$2="",1,IF($AE$2="(blank)",--(AE30=""),IF($AE$2="(nonblank)",--(AE30&lt;&gt;""),--ISNUMBER(SEARCH($AE$2,AE30)))))</f>
      </c>
      <c r="BQ30" s="137">
        <f>IF($AF$2="",1,IF($AF$2="(blank)",--(AF30=""),IF($AF$2="(nonblank)",--(AF30&lt;&gt;""),--ISNUMBER(SEARCH($AF$2,AF30)))))</f>
      </c>
      <c r="BR30" s="137">
        <f>IF($AG$2="",1,IF($AG$2="(blank)",--(AG30=""),IF($AG$2="(nonblank)",--(AG30&lt;&gt;""),--ISNUMBER(SEARCH($AG$2,AG30)))))</f>
      </c>
      <c r="BS30" s="137">
        <f>IF($AH$2="",1,IF($AH$2="(blank)",--(AH30=""),IF($AH$2="(nonblank)",--(AH30&lt;&gt;""),--ISNUMBER(SEARCH($AH$2,AH30)))))</f>
      </c>
      <c r="BT30" s="137">
        <f>IF(COUNTIF($AL30:$BS30,0)&gt;0,0,1)</f>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IF(IF(OR(AB31="",AB31=0),TODAY(),DATE(VALUE(RIGHT(AB31,4)),VALUE(MID(AB31,4,2)),VALUE(LEFT(AB31,2))))&lt;=DATE(2026,8,24),0,H31*0.0118*CEILING((IF(OR(AB31="",AB31=0),TODAY(),DATE(VALUE(RIGHT(AB31,4)),VALUE(MID(AB31,4,2)),VALUE(LEFT(AB31,2))))-DATE(2026,8,22))/7,1))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L31" s="137">
        <f>IF($A$2="",1,IF($A$2="(blank)",--(A31=""),IF($A$2="(nonblank)",--(A31&lt;&gt;""),--ISNUMBER(SEARCH($A$2,A31)))))</f>
      </c>
      <c r="AM31" s="137">
        <f>IF($B$2="",1,IF($B$2="(blank)",--(B31=""),IF($B$2="(nonblank)",--(B31&lt;&gt;""),--ISNUMBER(SEARCH($B$2,B31)))))</f>
      </c>
      <c r="AN31" s="137">
        <f>IF($C$2="",1,IF($C$2="(blank)",--(C31=""),IF($C$2="(nonblank)",--(C31&lt;&gt;""),--ISNUMBER(SEARCH($C$2,C31)))))</f>
      </c>
      <c r="AO31" s="137">
        <f>IF($D$2="",1,IF($D$2="(blank)",--(D31=""),IF($D$2="(nonblank)",--(D31&lt;&gt;""),--ISNUMBER(SEARCH($D$2,D31)))))</f>
      </c>
      <c r="AP31" s="137">
        <f>IF($E$2="",1,IF($E$2="(blank)",--(E31=""),IF($E$2="(nonblank)",--(E31&lt;&gt;""),--ISNUMBER(SEARCH($E$2,E31)))))</f>
      </c>
      <c r="AQ31" s="137">
        <f>IF($F$2="",1,IF($F$2="(blank)",--(F31=""),IF($F$2="(nonblank)",--(F31&lt;&gt;""),--ISNUMBER(SEARCH($F$2,F31)))))</f>
      </c>
      <c r="AR31" s="137">
        <f>IF($G$2="",1,IF($G$2="(blank)",--(G31=""),IF($G$2="(nonblank)",--(G31&lt;&gt;""),--ISNUMBER(SEARCH($G$2,G31)))))</f>
      </c>
      <c r="AS31" s="137">
        <f>IF($H$2="",1,IF($H$2="(blank)",--(H31=""),IF($H$2="(nonblank)",--(H31&lt;&gt;""),--ISNUMBER(SEARCH($H$2,H31)))))</f>
      </c>
      <c r="AT31" s="137">
        <f>IF($I$2="",1,IF($I$2="(blank)",--(I31=""),IF($I$2="(nonblank)",--(I31&lt;&gt;""),--ISNUMBER(SEARCH($I$2,I31)))))</f>
      </c>
      <c r="AU31" s="137">
        <f>IF($J$2="",1,IF($J$2="(blank)",--(J31=""),IF($J$2="(nonblank)",--(J31&lt;&gt;""),--ISNUMBER(SEARCH($J$2,J31)))))</f>
      </c>
      <c r="AV31" s="137">
        <f>IF($K$2="",1,IF($K$2="(blank)",--(K31=""),IF($K$2="(nonblank)",--(K31&lt;&gt;""),--ISNUMBER(SEARCH($K$2,K31)))))</f>
      </c>
      <c r="AW31" s="137">
        <f>IF($L$2="",1,IF($L$2="(blank)",--(L31=""),IF($L$2="(nonblank)",--(L31&lt;&gt;""),--ISNUMBER(SEARCH($L$2,L31)))))</f>
      </c>
      <c r="AX31" s="137">
        <f>IF($M$2="",1,IF($M$2="(blank)",--(M31=""),IF($M$2="(nonblank)",--(M31&lt;&gt;""),--ISNUMBER(SEARCH($M$2,M31)))))</f>
      </c>
      <c r="AY31" s="137">
        <f>IF($N$2="",1,IF($N$2="(blank)",--(N31=""),IF($N$2="(nonblank)",--(N31&lt;&gt;""),--ISNUMBER(SEARCH($N$2,N31)))))</f>
      </c>
      <c r="AZ31" s="137">
        <f>IF($O$2="",1,IF($O$2="(blank)",--(O31=""),IF($O$2="(nonblank)",--(O31&lt;&gt;""),--ISNUMBER(SEARCH($O$2,O31)))))</f>
      </c>
      <c r="BA31" s="137">
        <f>IF($P$2="",1,IF($P$2="(blank)",--(P31=""),IF($P$2="(nonblank)",--(P31&lt;&gt;""),--ISNUMBER(SEARCH($P$2,P31)))))</f>
      </c>
      <c r="BB31" s="137">
        <f>IF($Q$2="",1,IF($Q$2="(blank)",--(Q31=""),IF($Q$2="(nonblank)",--(Q31&lt;&gt;""),--ISNUMBER(SEARCH($Q$2,Q31)))))</f>
      </c>
      <c r="BC31" s="137">
        <f>IF($R$2="",1,IF($R$2="(blank)",--(R31=""),IF($R$2="(nonblank)",--(R31&lt;&gt;""),--ISNUMBER(SEARCH($R$2,R31)))))</f>
      </c>
      <c r="BD31" s="137">
        <f>IF($S$2="",1,IF($S$2="(blank)",--(S31=""),IF($S$2="(nonblank)",--(S31&lt;&gt;""),--ISNUMBER(SEARCH($S$2,S31)))))</f>
      </c>
      <c r="BE31" s="137">
        <f>IF($T$2="",1,IF($T$2="(blank)",--(T31=""),IF($T$2="(nonblank)",--(T31&lt;&gt;""),--ISNUMBER(SEARCH($T$2,T31)))))</f>
      </c>
      <c r="BF31" s="137">
        <f>IF($U$2="",1,IF($U$2="(blank)",--(U31=""),IF($U$2="(nonblank)",--(U31&lt;&gt;""),--ISNUMBER(SEARCH($U$2,U31)))))</f>
      </c>
      <c r="BG31" s="137">
        <f>IF($V$2="",1,IF($V$2="(blank)",--(V31=""),IF($V$2="(nonblank)",--(V31&lt;&gt;""),--ISNUMBER(SEARCH($V$2,V31)))))</f>
      </c>
      <c r="BH31" s="137">
        <f>IF($W$2="",1,IF($W$2="(blank)",--(W31=""),IF($W$2="(nonblank)",--(W31&lt;&gt;""),--ISNUMBER(SEARCH($W$2,W31)))))</f>
      </c>
      <c r="BI31" s="137">
        <f>IF($X$2="",1,IF($X$2="(blank)",--(X31=""),IF($X$2="(nonblank)",--(X31&lt;&gt;""),--ISNUMBER(SEARCH($X$2,X31)))))</f>
      </c>
      <c r="BJ31" s="137">
        <f>IF($Y$2="",1,IF($Y$2="(blank)",--(Y31=""),IF($Y$2="(nonblank)",--(Y31&lt;&gt;""),--ISNUMBER(SEARCH($Y$2,Y31)))))</f>
      </c>
      <c r="BK31" s="137">
        <f>IF($Z$2="",1,IF($Z$2="(blank)",--(Z31=""),IF($Z$2="(nonblank)",--(Z31&lt;&gt;""),--ISNUMBER(SEARCH($Z$2,Z31)))))</f>
      </c>
      <c r="BL31" s="137">
        <f>IF($AA$2="",1,IF($AA$2="(blank)",--(AA31=""),IF($AA$2="(nonblank)",--(AA31&lt;&gt;""),--ISNUMBER(SEARCH($AA$2,AA31)))))</f>
      </c>
      <c r="BM31" s="137">
        <f>IF($AB$2="",1,IF($AB$2="(blank)",--(AB31=""),IF($AB$2="(nonblank)",--(AB31&lt;&gt;""),--ISNUMBER(SEARCH($AB$2,AB31)))))</f>
      </c>
      <c r="BN31" s="137">
        <f>IF($AC$2="",1,IF($AC$2="(blank)",--(AC31=""),IF($AC$2="(nonblank)",--(AC31&lt;&gt;""),--ISNUMBER(SEARCH($AC$2,AC31)))))</f>
      </c>
      <c r="BO31" s="137">
        <f>IF($AD$2="",1,IF($AD$2="(blank)",--(AD31=""),IF($AD$2="(nonblank)",--(AD31&lt;&gt;""),--ISNUMBER(SEARCH($AD$2,AD31)))))</f>
      </c>
      <c r="BP31" s="137">
        <f>IF($AE$2="",1,IF($AE$2="(blank)",--(AE31=""),IF($AE$2="(nonblank)",--(AE31&lt;&gt;""),--ISNUMBER(SEARCH($AE$2,AE31)))))</f>
      </c>
      <c r="BQ31" s="137">
        <f>IF($AF$2="",1,IF($AF$2="(blank)",--(AF31=""),IF($AF$2="(nonblank)",--(AF31&lt;&gt;""),--ISNUMBER(SEARCH($AF$2,AF31)))))</f>
      </c>
      <c r="BR31" s="137">
        <f>IF($AG$2="",1,IF($AG$2="(blank)",--(AG31=""),IF($AG$2="(nonblank)",--(AG31&lt;&gt;""),--ISNUMBER(SEARCH($AG$2,AG31)))))</f>
      </c>
      <c r="BS31" s="137">
        <f>IF($AH$2="",1,IF($AH$2="(blank)",--(AH31=""),IF($AH$2="(nonblank)",--(AH31&lt;&gt;""),--ISNUMBER(SEARCH($AH$2,AH31)))))</f>
      </c>
      <c r="BT31" s="137">
        <f>IF(COUNTIF($AL31:$BS31,0)&gt;0,0,1)</f>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IF(IF(OR(AB32="",AB32=0),TODAY(),DATE(VALUE(RIGHT(AB32,4)),VALUE(MID(AB32,4,2)),VALUE(LEFT(AB32,2))))&lt;=DATE(2026,8,24),0,H32*0.0118*CEILING((IF(OR(AB32="",AB32=0),TODAY(),DATE(VALUE(RIGHT(AB32,4)),VALUE(MID(AB32,4,2)),VALUE(LEFT(AB32,2))))-DATE(2026,8,22))/7,1))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L32" s="137">
        <f>IF($A$2="",1,IF($A$2="(blank)",--(A32=""),IF($A$2="(nonblank)",--(A32&lt;&gt;""),--ISNUMBER(SEARCH($A$2,A32)))))</f>
      </c>
      <c r="AM32" s="137">
        <f>IF($B$2="",1,IF($B$2="(blank)",--(B32=""),IF($B$2="(nonblank)",--(B32&lt;&gt;""),--ISNUMBER(SEARCH($B$2,B32)))))</f>
      </c>
      <c r="AN32" s="137">
        <f>IF($C$2="",1,IF($C$2="(blank)",--(C32=""),IF($C$2="(nonblank)",--(C32&lt;&gt;""),--ISNUMBER(SEARCH($C$2,C32)))))</f>
      </c>
      <c r="AO32" s="137">
        <f>IF($D$2="",1,IF($D$2="(blank)",--(D32=""),IF($D$2="(nonblank)",--(D32&lt;&gt;""),--ISNUMBER(SEARCH($D$2,D32)))))</f>
      </c>
      <c r="AP32" s="137">
        <f>IF($E$2="",1,IF($E$2="(blank)",--(E32=""),IF($E$2="(nonblank)",--(E32&lt;&gt;""),--ISNUMBER(SEARCH($E$2,E32)))))</f>
      </c>
      <c r="AQ32" s="137">
        <f>IF($F$2="",1,IF($F$2="(blank)",--(F32=""),IF($F$2="(nonblank)",--(F32&lt;&gt;""),--ISNUMBER(SEARCH($F$2,F32)))))</f>
      </c>
      <c r="AR32" s="137">
        <f>IF($G$2="",1,IF($G$2="(blank)",--(G32=""),IF($G$2="(nonblank)",--(G32&lt;&gt;""),--ISNUMBER(SEARCH($G$2,G32)))))</f>
      </c>
      <c r="AS32" s="137">
        <f>IF($H$2="",1,IF($H$2="(blank)",--(H32=""),IF($H$2="(nonblank)",--(H32&lt;&gt;""),--ISNUMBER(SEARCH($H$2,H32)))))</f>
      </c>
      <c r="AT32" s="137">
        <f>IF($I$2="",1,IF($I$2="(blank)",--(I32=""),IF($I$2="(nonblank)",--(I32&lt;&gt;""),--ISNUMBER(SEARCH($I$2,I32)))))</f>
      </c>
      <c r="AU32" s="137">
        <f>IF($J$2="",1,IF($J$2="(blank)",--(J32=""),IF($J$2="(nonblank)",--(J32&lt;&gt;""),--ISNUMBER(SEARCH($J$2,J32)))))</f>
      </c>
      <c r="AV32" s="137">
        <f>IF($K$2="",1,IF($K$2="(blank)",--(K32=""),IF($K$2="(nonblank)",--(K32&lt;&gt;""),--ISNUMBER(SEARCH($K$2,K32)))))</f>
      </c>
      <c r="AW32" s="137">
        <f>IF($L$2="",1,IF($L$2="(blank)",--(L32=""),IF($L$2="(nonblank)",--(L32&lt;&gt;""),--ISNUMBER(SEARCH($L$2,L32)))))</f>
      </c>
      <c r="AX32" s="137">
        <f>IF($M$2="",1,IF($M$2="(blank)",--(M32=""),IF($M$2="(nonblank)",--(M32&lt;&gt;""),--ISNUMBER(SEARCH($M$2,M32)))))</f>
      </c>
      <c r="AY32" s="137">
        <f>IF($N$2="",1,IF($N$2="(blank)",--(N32=""),IF($N$2="(nonblank)",--(N32&lt;&gt;""),--ISNUMBER(SEARCH($N$2,N32)))))</f>
      </c>
      <c r="AZ32" s="137">
        <f>IF($O$2="",1,IF($O$2="(blank)",--(O32=""),IF($O$2="(nonblank)",--(O32&lt;&gt;""),--ISNUMBER(SEARCH($O$2,O32)))))</f>
      </c>
      <c r="BA32" s="137">
        <f>IF($P$2="",1,IF($P$2="(blank)",--(P32=""),IF($P$2="(nonblank)",--(P32&lt;&gt;""),--ISNUMBER(SEARCH($P$2,P32)))))</f>
      </c>
      <c r="BB32" s="137">
        <f>IF($Q$2="",1,IF($Q$2="(blank)",--(Q32=""),IF($Q$2="(nonblank)",--(Q32&lt;&gt;""),--ISNUMBER(SEARCH($Q$2,Q32)))))</f>
      </c>
      <c r="BC32" s="137">
        <f>IF($R$2="",1,IF($R$2="(blank)",--(R32=""),IF($R$2="(nonblank)",--(R32&lt;&gt;""),--ISNUMBER(SEARCH($R$2,R32)))))</f>
      </c>
      <c r="BD32" s="137">
        <f>IF($S$2="",1,IF($S$2="(blank)",--(S32=""),IF($S$2="(nonblank)",--(S32&lt;&gt;""),--ISNUMBER(SEARCH($S$2,S32)))))</f>
      </c>
      <c r="BE32" s="137">
        <f>IF($T$2="",1,IF($T$2="(blank)",--(T32=""),IF($T$2="(nonblank)",--(T32&lt;&gt;""),--ISNUMBER(SEARCH($T$2,T32)))))</f>
      </c>
      <c r="BF32" s="137">
        <f>IF($U$2="",1,IF($U$2="(blank)",--(U32=""),IF($U$2="(nonblank)",--(U32&lt;&gt;""),--ISNUMBER(SEARCH($U$2,U32)))))</f>
      </c>
      <c r="BG32" s="137">
        <f>IF($V$2="",1,IF($V$2="(blank)",--(V32=""),IF($V$2="(nonblank)",--(V32&lt;&gt;""),--ISNUMBER(SEARCH($V$2,V32)))))</f>
      </c>
      <c r="BH32" s="137">
        <f>IF($W$2="",1,IF($W$2="(blank)",--(W32=""),IF($W$2="(nonblank)",--(W32&lt;&gt;""),--ISNUMBER(SEARCH($W$2,W32)))))</f>
      </c>
      <c r="BI32" s="137">
        <f>IF($X$2="",1,IF($X$2="(blank)",--(X32=""),IF($X$2="(nonblank)",--(X32&lt;&gt;""),--ISNUMBER(SEARCH($X$2,X32)))))</f>
      </c>
      <c r="BJ32" s="137">
        <f>IF($Y$2="",1,IF($Y$2="(blank)",--(Y32=""),IF($Y$2="(nonblank)",--(Y32&lt;&gt;""),--ISNUMBER(SEARCH($Y$2,Y32)))))</f>
      </c>
      <c r="BK32" s="137">
        <f>IF($Z$2="",1,IF($Z$2="(blank)",--(Z32=""),IF($Z$2="(nonblank)",--(Z32&lt;&gt;""),--ISNUMBER(SEARCH($Z$2,Z32)))))</f>
      </c>
      <c r="BL32" s="137">
        <f>IF($AA$2="",1,IF($AA$2="(blank)",--(AA32=""),IF($AA$2="(nonblank)",--(AA32&lt;&gt;""),--ISNUMBER(SEARCH($AA$2,AA32)))))</f>
      </c>
      <c r="BM32" s="137">
        <f>IF($AB$2="",1,IF($AB$2="(blank)",--(AB32=""),IF($AB$2="(nonblank)",--(AB32&lt;&gt;""),--ISNUMBER(SEARCH($AB$2,AB32)))))</f>
      </c>
      <c r="BN32" s="137">
        <f>IF($AC$2="",1,IF($AC$2="(blank)",--(AC32=""),IF($AC$2="(nonblank)",--(AC32&lt;&gt;""),--ISNUMBER(SEARCH($AC$2,AC32)))))</f>
      </c>
      <c r="BO32" s="137">
        <f>IF($AD$2="",1,IF($AD$2="(blank)",--(AD32=""),IF($AD$2="(nonblank)",--(AD32&lt;&gt;""),--ISNUMBER(SEARCH($AD$2,AD32)))))</f>
      </c>
      <c r="BP32" s="137">
        <f>IF($AE$2="",1,IF($AE$2="(blank)",--(AE32=""),IF($AE$2="(nonblank)",--(AE32&lt;&gt;""),--ISNUMBER(SEARCH($AE$2,AE32)))))</f>
      </c>
      <c r="BQ32" s="137">
        <f>IF($AF$2="",1,IF($AF$2="(blank)",--(AF32=""),IF($AF$2="(nonblank)",--(AF32&lt;&gt;""),--ISNUMBER(SEARCH($AF$2,AF32)))))</f>
      </c>
      <c r="BR32" s="137">
        <f>IF($AG$2="",1,IF($AG$2="(blank)",--(AG32=""),IF($AG$2="(nonblank)",--(AG32&lt;&gt;""),--ISNUMBER(SEARCH($AG$2,AG32)))))</f>
      </c>
      <c r="BS32" s="137">
        <f>IF($AH$2="",1,IF($AH$2="(blank)",--(AH32=""),IF($AH$2="(nonblank)",--(AH32&lt;&gt;""),--ISNUMBER(SEARCH($AH$2,AH32)))))</f>
      </c>
      <c r="BT32" s="137">
        <f>IF(COUNTIF($AL32:$BS32,0)&gt;0,0,1)</f>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IF(IF(OR(AB33="",AB33=0),TODAY(),DATE(VALUE(RIGHT(AB33,4)),VALUE(MID(AB33,4,2)),VALUE(LEFT(AB33,2))))&lt;=DATE(2026,8,24),0,H33*0.0118*CEILING((IF(OR(AB33="",AB33=0),TODAY(),DATE(VALUE(RIGHT(AB33,4)),VALUE(MID(AB33,4,2)),VALUE(LEFT(AB33,2))))-DATE(2026,8,22))/7,1))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L33" s="137">
        <f>IF($A$2="",1,IF($A$2="(blank)",--(A33=""),IF($A$2="(nonblank)",--(A33&lt;&gt;""),--ISNUMBER(SEARCH($A$2,A33)))))</f>
      </c>
      <c r="AM33" s="137">
        <f>IF($B$2="",1,IF($B$2="(blank)",--(B33=""),IF($B$2="(nonblank)",--(B33&lt;&gt;""),--ISNUMBER(SEARCH($B$2,B33)))))</f>
      </c>
      <c r="AN33" s="137">
        <f>IF($C$2="",1,IF($C$2="(blank)",--(C33=""),IF($C$2="(nonblank)",--(C33&lt;&gt;""),--ISNUMBER(SEARCH($C$2,C33)))))</f>
      </c>
      <c r="AO33" s="137">
        <f>IF($D$2="",1,IF($D$2="(blank)",--(D33=""),IF($D$2="(nonblank)",--(D33&lt;&gt;""),--ISNUMBER(SEARCH($D$2,D33)))))</f>
      </c>
      <c r="AP33" s="137">
        <f>IF($E$2="",1,IF($E$2="(blank)",--(E33=""),IF($E$2="(nonblank)",--(E33&lt;&gt;""),--ISNUMBER(SEARCH($E$2,E33)))))</f>
      </c>
      <c r="AQ33" s="137">
        <f>IF($F$2="",1,IF($F$2="(blank)",--(F33=""),IF($F$2="(nonblank)",--(F33&lt;&gt;""),--ISNUMBER(SEARCH($F$2,F33)))))</f>
      </c>
      <c r="AR33" s="137">
        <f>IF($G$2="",1,IF($G$2="(blank)",--(G33=""),IF($G$2="(nonblank)",--(G33&lt;&gt;""),--ISNUMBER(SEARCH($G$2,G33)))))</f>
      </c>
      <c r="AS33" s="137">
        <f>IF($H$2="",1,IF($H$2="(blank)",--(H33=""),IF($H$2="(nonblank)",--(H33&lt;&gt;""),--ISNUMBER(SEARCH($H$2,H33)))))</f>
      </c>
      <c r="AT33" s="137">
        <f>IF($I$2="",1,IF($I$2="(blank)",--(I33=""),IF($I$2="(nonblank)",--(I33&lt;&gt;""),--ISNUMBER(SEARCH($I$2,I33)))))</f>
      </c>
      <c r="AU33" s="137">
        <f>IF($J$2="",1,IF($J$2="(blank)",--(J33=""),IF($J$2="(nonblank)",--(J33&lt;&gt;""),--ISNUMBER(SEARCH($J$2,J33)))))</f>
      </c>
      <c r="AV33" s="137">
        <f>IF($K$2="",1,IF($K$2="(blank)",--(K33=""),IF($K$2="(nonblank)",--(K33&lt;&gt;""),--ISNUMBER(SEARCH($K$2,K33)))))</f>
      </c>
      <c r="AW33" s="137">
        <f>IF($L$2="",1,IF($L$2="(blank)",--(L33=""),IF($L$2="(nonblank)",--(L33&lt;&gt;""),--ISNUMBER(SEARCH($L$2,L33)))))</f>
      </c>
      <c r="AX33" s="137">
        <f>IF($M$2="",1,IF($M$2="(blank)",--(M33=""),IF($M$2="(nonblank)",--(M33&lt;&gt;""),--ISNUMBER(SEARCH($M$2,M33)))))</f>
      </c>
      <c r="AY33" s="137">
        <f>IF($N$2="",1,IF($N$2="(blank)",--(N33=""),IF($N$2="(nonblank)",--(N33&lt;&gt;""),--ISNUMBER(SEARCH($N$2,N33)))))</f>
      </c>
      <c r="AZ33" s="137">
        <f>IF($O$2="",1,IF($O$2="(blank)",--(O33=""),IF($O$2="(nonblank)",--(O33&lt;&gt;""),--ISNUMBER(SEARCH($O$2,O33)))))</f>
      </c>
      <c r="BA33" s="137">
        <f>IF($P$2="",1,IF($P$2="(blank)",--(P33=""),IF($P$2="(nonblank)",--(P33&lt;&gt;""),--ISNUMBER(SEARCH($P$2,P33)))))</f>
      </c>
      <c r="BB33" s="137">
        <f>IF($Q$2="",1,IF($Q$2="(blank)",--(Q33=""),IF($Q$2="(nonblank)",--(Q33&lt;&gt;""),--ISNUMBER(SEARCH($Q$2,Q33)))))</f>
      </c>
      <c r="BC33" s="137">
        <f>IF($R$2="",1,IF($R$2="(blank)",--(R33=""),IF($R$2="(nonblank)",--(R33&lt;&gt;""),--ISNUMBER(SEARCH($R$2,R33)))))</f>
      </c>
      <c r="BD33" s="137">
        <f>IF($S$2="",1,IF($S$2="(blank)",--(S33=""),IF($S$2="(nonblank)",--(S33&lt;&gt;""),--ISNUMBER(SEARCH($S$2,S33)))))</f>
      </c>
      <c r="BE33" s="137">
        <f>IF($T$2="",1,IF($T$2="(blank)",--(T33=""),IF($T$2="(nonblank)",--(T33&lt;&gt;""),--ISNUMBER(SEARCH($T$2,T33)))))</f>
      </c>
      <c r="BF33" s="137">
        <f>IF($U$2="",1,IF($U$2="(blank)",--(U33=""),IF($U$2="(nonblank)",--(U33&lt;&gt;""),--ISNUMBER(SEARCH($U$2,U33)))))</f>
      </c>
      <c r="BG33" s="137">
        <f>IF($V$2="",1,IF($V$2="(blank)",--(V33=""),IF($V$2="(nonblank)",--(V33&lt;&gt;""),--ISNUMBER(SEARCH($V$2,V33)))))</f>
      </c>
      <c r="BH33" s="137">
        <f>IF($W$2="",1,IF($W$2="(blank)",--(W33=""),IF($W$2="(nonblank)",--(W33&lt;&gt;""),--ISNUMBER(SEARCH($W$2,W33)))))</f>
      </c>
      <c r="BI33" s="137">
        <f>IF($X$2="",1,IF($X$2="(blank)",--(X33=""),IF($X$2="(nonblank)",--(X33&lt;&gt;""),--ISNUMBER(SEARCH($X$2,X33)))))</f>
      </c>
      <c r="BJ33" s="137">
        <f>IF($Y$2="",1,IF($Y$2="(blank)",--(Y33=""),IF($Y$2="(nonblank)",--(Y33&lt;&gt;""),--ISNUMBER(SEARCH($Y$2,Y33)))))</f>
      </c>
      <c r="BK33" s="137">
        <f>IF($Z$2="",1,IF($Z$2="(blank)",--(Z33=""),IF($Z$2="(nonblank)",--(Z33&lt;&gt;""),--ISNUMBER(SEARCH($Z$2,Z33)))))</f>
      </c>
      <c r="BL33" s="137">
        <f>IF($AA$2="",1,IF($AA$2="(blank)",--(AA33=""),IF($AA$2="(nonblank)",--(AA33&lt;&gt;""),--ISNUMBER(SEARCH($AA$2,AA33)))))</f>
      </c>
      <c r="BM33" s="137">
        <f>IF($AB$2="",1,IF($AB$2="(blank)",--(AB33=""),IF($AB$2="(nonblank)",--(AB33&lt;&gt;""),--ISNUMBER(SEARCH($AB$2,AB33)))))</f>
      </c>
      <c r="BN33" s="137">
        <f>IF($AC$2="",1,IF($AC$2="(blank)",--(AC33=""),IF($AC$2="(nonblank)",--(AC33&lt;&gt;""),--ISNUMBER(SEARCH($AC$2,AC33)))))</f>
      </c>
      <c r="BO33" s="137">
        <f>IF($AD$2="",1,IF($AD$2="(blank)",--(AD33=""),IF($AD$2="(nonblank)",--(AD33&lt;&gt;""),--ISNUMBER(SEARCH($AD$2,AD33)))))</f>
      </c>
      <c r="BP33" s="137">
        <f>IF($AE$2="",1,IF($AE$2="(blank)",--(AE33=""),IF($AE$2="(nonblank)",--(AE33&lt;&gt;""),--ISNUMBER(SEARCH($AE$2,AE33)))))</f>
      </c>
      <c r="BQ33" s="137">
        <f>IF($AF$2="",1,IF($AF$2="(blank)",--(AF33=""),IF($AF$2="(nonblank)",--(AF33&lt;&gt;""),--ISNUMBER(SEARCH($AF$2,AF33)))))</f>
      </c>
      <c r="BR33" s="137">
        <f>IF($AG$2="",1,IF($AG$2="(blank)",--(AG33=""),IF($AG$2="(nonblank)",--(AG33&lt;&gt;""),--ISNUMBER(SEARCH($AG$2,AG33)))))</f>
      </c>
      <c r="BS33" s="137">
        <f>IF($AH$2="",1,IF($AH$2="(blank)",--(AH33=""),IF($AH$2="(nonblank)",--(AH33&lt;&gt;""),--ISNUMBER(SEARCH($AH$2,AH33)))))</f>
      </c>
      <c r="BT33" s="137">
        <f>IF(COUNTIF($AL33:$BS33,0)&gt;0,0,1)</f>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IF(IF(OR(AB34="",AB34=0),TODAY(),DATE(VALUE(RIGHT(AB34,4)),VALUE(MID(AB34,4,2)),VALUE(LEFT(AB34,2))))&lt;=DATE(2026,8,24),0,H34*0.0118*CEILING((IF(OR(AB34="",AB34=0),TODAY(),DATE(VALUE(RIGHT(AB34,4)),VALUE(MID(AB34,4,2)),VALUE(LEFT(AB34,2))))-DATE(2026,8,22))/7,1))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L34" s="137">
        <f>IF($A$2="",1,IF($A$2="(blank)",--(A34=""),IF($A$2="(nonblank)",--(A34&lt;&gt;""),--ISNUMBER(SEARCH($A$2,A34)))))</f>
      </c>
      <c r="AM34" s="137">
        <f>IF($B$2="",1,IF($B$2="(blank)",--(B34=""),IF($B$2="(nonblank)",--(B34&lt;&gt;""),--ISNUMBER(SEARCH($B$2,B34)))))</f>
      </c>
      <c r="AN34" s="137">
        <f>IF($C$2="",1,IF($C$2="(blank)",--(C34=""),IF($C$2="(nonblank)",--(C34&lt;&gt;""),--ISNUMBER(SEARCH($C$2,C34)))))</f>
      </c>
      <c r="AO34" s="137">
        <f>IF($D$2="",1,IF($D$2="(blank)",--(D34=""),IF($D$2="(nonblank)",--(D34&lt;&gt;""),--ISNUMBER(SEARCH($D$2,D34)))))</f>
      </c>
      <c r="AP34" s="137">
        <f>IF($E$2="",1,IF($E$2="(blank)",--(E34=""),IF($E$2="(nonblank)",--(E34&lt;&gt;""),--ISNUMBER(SEARCH($E$2,E34)))))</f>
      </c>
      <c r="AQ34" s="137">
        <f>IF($F$2="",1,IF($F$2="(blank)",--(F34=""),IF($F$2="(nonblank)",--(F34&lt;&gt;""),--ISNUMBER(SEARCH($F$2,F34)))))</f>
      </c>
      <c r="AR34" s="137">
        <f>IF($G$2="",1,IF($G$2="(blank)",--(G34=""),IF($G$2="(nonblank)",--(G34&lt;&gt;""),--ISNUMBER(SEARCH($G$2,G34)))))</f>
      </c>
      <c r="AS34" s="137">
        <f>IF($H$2="",1,IF($H$2="(blank)",--(H34=""),IF($H$2="(nonblank)",--(H34&lt;&gt;""),--ISNUMBER(SEARCH($H$2,H34)))))</f>
      </c>
      <c r="AT34" s="137">
        <f>IF($I$2="",1,IF($I$2="(blank)",--(I34=""),IF($I$2="(nonblank)",--(I34&lt;&gt;""),--ISNUMBER(SEARCH($I$2,I34)))))</f>
      </c>
      <c r="AU34" s="137">
        <f>IF($J$2="",1,IF($J$2="(blank)",--(J34=""),IF($J$2="(nonblank)",--(J34&lt;&gt;""),--ISNUMBER(SEARCH($J$2,J34)))))</f>
      </c>
      <c r="AV34" s="137">
        <f>IF($K$2="",1,IF($K$2="(blank)",--(K34=""),IF($K$2="(nonblank)",--(K34&lt;&gt;""),--ISNUMBER(SEARCH($K$2,K34)))))</f>
      </c>
      <c r="AW34" s="137">
        <f>IF($L$2="",1,IF($L$2="(blank)",--(L34=""),IF($L$2="(nonblank)",--(L34&lt;&gt;""),--ISNUMBER(SEARCH($L$2,L34)))))</f>
      </c>
      <c r="AX34" s="137">
        <f>IF($M$2="",1,IF($M$2="(blank)",--(M34=""),IF($M$2="(nonblank)",--(M34&lt;&gt;""),--ISNUMBER(SEARCH($M$2,M34)))))</f>
      </c>
      <c r="AY34" s="137">
        <f>IF($N$2="",1,IF($N$2="(blank)",--(N34=""),IF($N$2="(nonblank)",--(N34&lt;&gt;""),--ISNUMBER(SEARCH($N$2,N34)))))</f>
      </c>
      <c r="AZ34" s="137">
        <f>IF($O$2="",1,IF($O$2="(blank)",--(O34=""),IF($O$2="(nonblank)",--(O34&lt;&gt;""),--ISNUMBER(SEARCH($O$2,O34)))))</f>
      </c>
      <c r="BA34" s="137">
        <f>IF($P$2="",1,IF($P$2="(blank)",--(P34=""),IF($P$2="(nonblank)",--(P34&lt;&gt;""),--ISNUMBER(SEARCH($P$2,P34)))))</f>
      </c>
      <c r="BB34" s="137">
        <f>IF($Q$2="",1,IF($Q$2="(blank)",--(Q34=""),IF($Q$2="(nonblank)",--(Q34&lt;&gt;""),--ISNUMBER(SEARCH($Q$2,Q34)))))</f>
      </c>
      <c r="BC34" s="137">
        <f>IF($R$2="",1,IF($R$2="(blank)",--(R34=""),IF($R$2="(nonblank)",--(R34&lt;&gt;""),--ISNUMBER(SEARCH($R$2,R34)))))</f>
      </c>
      <c r="BD34" s="137">
        <f>IF($S$2="",1,IF($S$2="(blank)",--(S34=""),IF($S$2="(nonblank)",--(S34&lt;&gt;""),--ISNUMBER(SEARCH($S$2,S34)))))</f>
      </c>
      <c r="BE34" s="137">
        <f>IF($T$2="",1,IF($T$2="(blank)",--(T34=""),IF($T$2="(nonblank)",--(T34&lt;&gt;""),--ISNUMBER(SEARCH($T$2,T34)))))</f>
      </c>
      <c r="BF34" s="137">
        <f>IF($U$2="",1,IF($U$2="(blank)",--(U34=""),IF($U$2="(nonblank)",--(U34&lt;&gt;""),--ISNUMBER(SEARCH($U$2,U34)))))</f>
      </c>
      <c r="BG34" s="137">
        <f>IF($V$2="",1,IF($V$2="(blank)",--(V34=""),IF($V$2="(nonblank)",--(V34&lt;&gt;""),--ISNUMBER(SEARCH($V$2,V34)))))</f>
      </c>
      <c r="BH34" s="137">
        <f>IF($W$2="",1,IF($W$2="(blank)",--(W34=""),IF($W$2="(nonblank)",--(W34&lt;&gt;""),--ISNUMBER(SEARCH($W$2,W34)))))</f>
      </c>
      <c r="BI34" s="137">
        <f>IF($X$2="",1,IF($X$2="(blank)",--(X34=""),IF($X$2="(nonblank)",--(X34&lt;&gt;""),--ISNUMBER(SEARCH($X$2,X34)))))</f>
      </c>
      <c r="BJ34" s="137">
        <f>IF($Y$2="",1,IF($Y$2="(blank)",--(Y34=""),IF($Y$2="(nonblank)",--(Y34&lt;&gt;""),--ISNUMBER(SEARCH($Y$2,Y34)))))</f>
      </c>
      <c r="BK34" s="137">
        <f>IF($Z$2="",1,IF($Z$2="(blank)",--(Z34=""),IF($Z$2="(nonblank)",--(Z34&lt;&gt;""),--ISNUMBER(SEARCH($Z$2,Z34)))))</f>
      </c>
      <c r="BL34" s="137">
        <f>IF($AA$2="",1,IF($AA$2="(blank)",--(AA34=""),IF($AA$2="(nonblank)",--(AA34&lt;&gt;""),--ISNUMBER(SEARCH($AA$2,AA34)))))</f>
      </c>
      <c r="BM34" s="137">
        <f>IF($AB$2="",1,IF($AB$2="(blank)",--(AB34=""),IF($AB$2="(nonblank)",--(AB34&lt;&gt;""),--ISNUMBER(SEARCH($AB$2,AB34)))))</f>
      </c>
      <c r="BN34" s="137">
        <f>IF($AC$2="",1,IF($AC$2="(blank)",--(AC34=""),IF($AC$2="(nonblank)",--(AC34&lt;&gt;""),--ISNUMBER(SEARCH($AC$2,AC34)))))</f>
      </c>
      <c r="BO34" s="137">
        <f>IF($AD$2="",1,IF($AD$2="(blank)",--(AD34=""),IF($AD$2="(nonblank)",--(AD34&lt;&gt;""),--ISNUMBER(SEARCH($AD$2,AD34)))))</f>
      </c>
      <c r="BP34" s="137">
        <f>IF($AE$2="",1,IF($AE$2="(blank)",--(AE34=""),IF($AE$2="(nonblank)",--(AE34&lt;&gt;""),--ISNUMBER(SEARCH($AE$2,AE34)))))</f>
      </c>
      <c r="BQ34" s="137">
        <f>IF($AF$2="",1,IF($AF$2="(blank)",--(AF34=""),IF($AF$2="(nonblank)",--(AF34&lt;&gt;""),--ISNUMBER(SEARCH($AF$2,AF34)))))</f>
      </c>
      <c r="BR34" s="137">
        <f>IF($AG$2="",1,IF($AG$2="(blank)",--(AG34=""),IF($AG$2="(nonblank)",--(AG34&lt;&gt;""),--ISNUMBER(SEARCH($AG$2,AG34)))))</f>
      </c>
      <c r="BS34" s="137">
        <f>IF($AH$2="",1,IF($AH$2="(blank)",--(AH34=""),IF($AH$2="(nonblank)",--(AH34&lt;&gt;""),--ISNUMBER(SEARCH($AH$2,AH34)))))</f>
      </c>
      <c r="BT34" s="137">
        <f>IF(COUNTIF($AL34:$BS34,0)&gt;0,0,1)</f>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IF(IF(OR(AB35="",AB35=0),TODAY(),DATE(VALUE(RIGHT(AB35,4)),VALUE(MID(AB35,4,2)),VALUE(LEFT(AB35,2))))&lt;=DATE(2026,8,24),0,H35*0.0118*CEILING((IF(OR(AB35="",AB35=0),TODAY(),DATE(VALUE(RIGHT(AB35,4)),VALUE(MID(AB35,4,2)),VALUE(LEFT(AB35,2))))-DATE(2026,8,22))/7,1))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L35" s="137">
        <f>IF($A$2="",1,IF($A$2="(blank)",--(A35=""),IF($A$2="(nonblank)",--(A35&lt;&gt;""),--ISNUMBER(SEARCH($A$2,A35)))))</f>
      </c>
      <c r="AM35" s="137">
        <f>IF($B$2="",1,IF($B$2="(blank)",--(B35=""),IF($B$2="(nonblank)",--(B35&lt;&gt;""),--ISNUMBER(SEARCH($B$2,B35)))))</f>
      </c>
      <c r="AN35" s="137">
        <f>IF($C$2="",1,IF($C$2="(blank)",--(C35=""),IF($C$2="(nonblank)",--(C35&lt;&gt;""),--ISNUMBER(SEARCH($C$2,C35)))))</f>
      </c>
      <c r="AO35" s="137">
        <f>IF($D$2="",1,IF($D$2="(blank)",--(D35=""),IF($D$2="(nonblank)",--(D35&lt;&gt;""),--ISNUMBER(SEARCH($D$2,D35)))))</f>
      </c>
      <c r="AP35" s="137">
        <f>IF($E$2="",1,IF($E$2="(blank)",--(E35=""),IF($E$2="(nonblank)",--(E35&lt;&gt;""),--ISNUMBER(SEARCH($E$2,E35)))))</f>
      </c>
      <c r="AQ35" s="137">
        <f>IF($F$2="",1,IF($F$2="(blank)",--(F35=""),IF($F$2="(nonblank)",--(F35&lt;&gt;""),--ISNUMBER(SEARCH($F$2,F35)))))</f>
      </c>
      <c r="AR35" s="137">
        <f>IF($G$2="",1,IF($G$2="(blank)",--(G35=""),IF($G$2="(nonblank)",--(G35&lt;&gt;""),--ISNUMBER(SEARCH($G$2,G35)))))</f>
      </c>
      <c r="AS35" s="137">
        <f>IF($H$2="",1,IF($H$2="(blank)",--(H35=""),IF($H$2="(nonblank)",--(H35&lt;&gt;""),--ISNUMBER(SEARCH($H$2,H35)))))</f>
      </c>
      <c r="AT35" s="137">
        <f>IF($I$2="",1,IF($I$2="(blank)",--(I35=""),IF($I$2="(nonblank)",--(I35&lt;&gt;""),--ISNUMBER(SEARCH($I$2,I35)))))</f>
      </c>
      <c r="AU35" s="137">
        <f>IF($J$2="",1,IF($J$2="(blank)",--(J35=""),IF($J$2="(nonblank)",--(J35&lt;&gt;""),--ISNUMBER(SEARCH($J$2,J35)))))</f>
      </c>
      <c r="AV35" s="137">
        <f>IF($K$2="",1,IF($K$2="(blank)",--(K35=""),IF($K$2="(nonblank)",--(K35&lt;&gt;""),--ISNUMBER(SEARCH($K$2,K35)))))</f>
      </c>
      <c r="AW35" s="137">
        <f>IF($L$2="",1,IF($L$2="(blank)",--(L35=""),IF($L$2="(nonblank)",--(L35&lt;&gt;""),--ISNUMBER(SEARCH($L$2,L35)))))</f>
      </c>
      <c r="AX35" s="137">
        <f>IF($M$2="",1,IF($M$2="(blank)",--(M35=""),IF($M$2="(nonblank)",--(M35&lt;&gt;""),--ISNUMBER(SEARCH($M$2,M35)))))</f>
      </c>
      <c r="AY35" s="137">
        <f>IF($N$2="",1,IF($N$2="(blank)",--(N35=""),IF($N$2="(nonblank)",--(N35&lt;&gt;""),--ISNUMBER(SEARCH($N$2,N35)))))</f>
      </c>
      <c r="AZ35" s="137">
        <f>IF($O$2="",1,IF($O$2="(blank)",--(O35=""),IF($O$2="(nonblank)",--(O35&lt;&gt;""),--ISNUMBER(SEARCH($O$2,O35)))))</f>
      </c>
      <c r="BA35" s="137">
        <f>IF($P$2="",1,IF($P$2="(blank)",--(P35=""),IF($P$2="(nonblank)",--(P35&lt;&gt;""),--ISNUMBER(SEARCH($P$2,P35)))))</f>
      </c>
      <c r="BB35" s="137">
        <f>IF($Q$2="",1,IF($Q$2="(blank)",--(Q35=""),IF($Q$2="(nonblank)",--(Q35&lt;&gt;""),--ISNUMBER(SEARCH($Q$2,Q35)))))</f>
      </c>
      <c r="BC35" s="137">
        <f>IF($R$2="",1,IF($R$2="(blank)",--(R35=""),IF($R$2="(nonblank)",--(R35&lt;&gt;""),--ISNUMBER(SEARCH($R$2,R35)))))</f>
      </c>
      <c r="BD35" s="137">
        <f>IF($S$2="",1,IF($S$2="(blank)",--(S35=""),IF($S$2="(nonblank)",--(S35&lt;&gt;""),--ISNUMBER(SEARCH($S$2,S35)))))</f>
      </c>
      <c r="BE35" s="137">
        <f>IF($T$2="",1,IF($T$2="(blank)",--(T35=""),IF($T$2="(nonblank)",--(T35&lt;&gt;""),--ISNUMBER(SEARCH($T$2,T35)))))</f>
      </c>
      <c r="BF35" s="137">
        <f>IF($U$2="",1,IF($U$2="(blank)",--(U35=""),IF($U$2="(nonblank)",--(U35&lt;&gt;""),--ISNUMBER(SEARCH($U$2,U35)))))</f>
      </c>
      <c r="BG35" s="137">
        <f>IF($V$2="",1,IF($V$2="(blank)",--(V35=""),IF($V$2="(nonblank)",--(V35&lt;&gt;""),--ISNUMBER(SEARCH($V$2,V35)))))</f>
      </c>
      <c r="BH35" s="137">
        <f>IF($W$2="",1,IF($W$2="(blank)",--(W35=""),IF($W$2="(nonblank)",--(W35&lt;&gt;""),--ISNUMBER(SEARCH($W$2,W35)))))</f>
      </c>
      <c r="BI35" s="137">
        <f>IF($X$2="",1,IF($X$2="(blank)",--(X35=""),IF($X$2="(nonblank)",--(X35&lt;&gt;""),--ISNUMBER(SEARCH($X$2,X35)))))</f>
      </c>
      <c r="BJ35" s="137">
        <f>IF($Y$2="",1,IF($Y$2="(blank)",--(Y35=""),IF($Y$2="(nonblank)",--(Y35&lt;&gt;""),--ISNUMBER(SEARCH($Y$2,Y35)))))</f>
      </c>
      <c r="BK35" s="137">
        <f>IF($Z$2="",1,IF($Z$2="(blank)",--(Z35=""),IF($Z$2="(nonblank)",--(Z35&lt;&gt;""),--ISNUMBER(SEARCH($Z$2,Z35)))))</f>
      </c>
      <c r="BL35" s="137">
        <f>IF($AA$2="",1,IF($AA$2="(blank)",--(AA35=""),IF($AA$2="(nonblank)",--(AA35&lt;&gt;""),--ISNUMBER(SEARCH($AA$2,AA35)))))</f>
      </c>
      <c r="BM35" s="137">
        <f>IF($AB$2="",1,IF($AB$2="(blank)",--(AB35=""),IF($AB$2="(nonblank)",--(AB35&lt;&gt;""),--ISNUMBER(SEARCH($AB$2,AB35)))))</f>
      </c>
      <c r="BN35" s="137">
        <f>IF($AC$2="",1,IF($AC$2="(blank)",--(AC35=""),IF($AC$2="(nonblank)",--(AC35&lt;&gt;""),--ISNUMBER(SEARCH($AC$2,AC35)))))</f>
      </c>
      <c r="BO35" s="137">
        <f>IF($AD$2="",1,IF($AD$2="(blank)",--(AD35=""),IF($AD$2="(nonblank)",--(AD35&lt;&gt;""),--ISNUMBER(SEARCH($AD$2,AD35)))))</f>
      </c>
      <c r="BP35" s="137">
        <f>IF($AE$2="",1,IF($AE$2="(blank)",--(AE35=""),IF($AE$2="(nonblank)",--(AE35&lt;&gt;""),--ISNUMBER(SEARCH($AE$2,AE35)))))</f>
      </c>
      <c r="BQ35" s="137">
        <f>IF($AF$2="",1,IF($AF$2="(blank)",--(AF35=""),IF($AF$2="(nonblank)",--(AF35&lt;&gt;""),--ISNUMBER(SEARCH($AF$2,AF35)))))</f>
      </c>
      <c r="BR35" s="137">
        <f>IF($AG$2="",1,IF($AG$2="(blank)",--(AG35=""),IF($AG$2="(nonblank)",--(AG35&lt;&gt;""),--ISNUMBER(SEARCH($AG$2,AG35)))))</f>
      </c>
      <c r="BS35" s="137">
        <f>IF($AH$2="",1,IF($AH$2="(blank)",--(AH35=""),IF($AH$2="(nonblank)",--(AH35&lt;&gt;""),--ISNUMBER(SEARCH($AH$2,AH35)))))</f>
      </c>
      <c r="BT35" s="137">
        <f>IF(COUNTIF($AL35:$BS35,0)&gt;0,0,1)</f>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IF(IF(OR(AB36="",AB36=0),TODAY(),DATE(VALUE(RIGHT(AB36,4)),VALUE(MID(AB36,4,2)),VALUE(LEFT(AB36,2))))&lt;=DATE(2026,8,24),0,H36*0.0118*CEILING((IF(OR(AB36="",AB36=0),TODAY(),DATE(VALUE(RIGHT(AB36,4)),VALUE(MID(AB36,4,2)),VALUE(LEFT(AB36,2))))-DATE(2026,8,22))/7,1))</f>
        <v/>
      </c>
      <c r="AA36" s="28" t="n"/>
      <c r="AB36" s="28" t="n"/>
      <c r="AC36" s="15">
        <f>U36+X36+AA36</f>
        <v/>
      </c>
      <c r="AD36" s="19">
        <f>S36-AC36</f>
        <v/>
      </c>
      <c r="AE36" s="20">
        <f>IF(AD36="","",IF(AD36&lt;=5,"SETTLED","OUTSTANDING"))</f>
        <v/>
      </c>
      <c r="AF36" s="20" t="n"/>
      <c r="AG36" s="21" t="n"/>
      <c r="AH36" s="22" t="n"/>
      <c r="AL36" s="137">
        <f>IF($A$2="",1,IF($A$2="(blank)",--(A36=""),IF($A$2="(nonblank)",--(A36&lt;&gt;""),--ISNUMBER(SEARCH($A$2,A36)))))</f>
      </c>
      <c r="AM36" s="137">
        <f>IF($B$2="",1,IF($B$2="(blank)",--(B36=""),IF($B$2="(nonblank)",--(B36&lt;&gt;""),--ISNUMBER(SEARCH($B$2,B36)))))</f>
      </c>
      <c r="AN36" s="137">
        <f>IF($C$2="",1,IF($C$2="(blank)",--(C36=""),IF($C$2="(nonblank)",--(C36&lt;&gt;""),--ISNUMBER(SEARCH($C$2,C36)))))</f>
      </c>
      <c r="AO36" s="137">
        <f>IF($D$2="",1,IF($D$2="(blank)",--(D36=""),IF($D$2="(nonblank)",--(D36&lt;&gt;""),--ISNUMBER(SEARCH($D$2,D36)))))</f>
      </c>
      <c r="AP36" s="137">
        <f>IF($E$2="",1,IF($E$2="(blank)",--(E36=""),IF($E$2="(nonblank)",--(E36&lt;&gt;""),--ISNUMBER(SEARCH($E$2,E36)))))</f>
      </c>
      <c r="AQ36" s="137">
        <f>IF($F$2="",1,IF($F$2="(blank)",--(F36=""),IF($F$2="(nonblank)",--(F36&lt;&gt;""),--ISNUMBER(SEARCH($F$2,F36)))))</f>
      </c>
      <c r="AR36" s="137">
        <f>IF($G$2="",1,IF($G$2="(blank)",--(G36=""),IF($G$2="(nonblank)",--(G36&lt;&gt;""),--ISNUMBER(SEARCH($G$2,G36)))))</f>
      </c>
      <c r="AS36" s="137">
        <f>IF($H$2="",1,IF($H$2="(blank)",--(H36=""),IF($H$2="(nonblank)",--(H36&lt;&gt;""),--ISNUMBER(SEARCH($H$2,H36)))))</f>
      </c>
      <c r="AT36" s="137">
        <f>IF($I$2="",1,IF($I$2="(blank)",--(I36=""),IF($I$2="(nonblank)",--(I36&lt;&gt;""),--ISNUMBER(SEARCH($I$2,I36)))))</f>
      </c>
      <c r="AU36" s="137">
        <f>IF($J$2="",1,IF($J$2="(blank)",--(J36=""),IF($J$2="(nonblank)",--(J36&lt;&gt;""),--ISNUMBER(SEARCH($J$2,J36)))))</f>
      </c>
      <c r="AV36" s="137">
        <f>IF($K$2="",1,IF($K$2="(blank)",--(K36=""),IF($K$2="(nonblank)",--(K36&lt;&gt;""),--ISNUMBER(SEARCH($K$2,K36)))))</f>
      </c>
      <c r="AW36" s="137">
        <f>IF($L$2="",1,IF($L$2="(blank)",--(L36=""),IF($L$2="(nonblank)",--(L36&lt;&gt;""),--ISNUMBER(SEARCH($L$2,L36)))))</f>
      </c>
      <c r="AX36" s="137">
        <f>IF($M$2="",1,IF($M$2="(blank)",--(M36=""),IF($M$2="(nonblank)",--(M36&lt;&gt;""),--ISNUMBER(SEARCH($M$2,M36)))))</f>
      </c>
      <c r="AY36" s="137">
        <f>IF($N$2="",1,IF($N$2="(blank)",--(N36=""),IF($N$2="(nonblank)",--(N36&lt;&gt;""),--ISNUMBER(SEARCH($N$2,N36)))))</f>
      </c>
      <c r="AZ36" s="137">
        <f>IF($O$2="",1,IF($O$2="(blank)",--(O36=""),IF($O$2="(nonblank)",--(O36&lt;&gt;""),--ISNUMBER(SEARCH($O$2,O36)))))</f>
      </c>
      <c r="BA36" s="137">
        <f>IF($P$2="",1,IF($P$2="(blank)",--(P36=""),IF($P$2="(nonblank)",--(P36&lt;&gt;""),--ISNUMBER(SEARCH($P$2,P36)))))</f>
      </c>
      <c r="BB36" s="137">
        <f>IF($Q$2="",1,IF($Q$2="(blank)",--(Q36=""),IF($Q$2="(nonblank)",--(Q36&lt;&gt;""),--ISNUMBER(SEARCH($Q$2,Q36)))))</f>
      </c>
      <c r="BC36" s="137">
        <f>IF($R$2="",1,IF($R$2="(blank)",--(R36=""),IF($R$2="(nonblank)",--(R36&lt;&gt;""),--ISNUMBER(SEARCH($R$2,R36)))))</f>
      </c>
      <c r="BD36" s="137">
        <f>IF($S$2="",1,IF($S$2="(blank)",--(S36=""),IF($S$2="(nonblank)",--(S36&lt;&gt;""),--ISNUMBER(SEARCH($S$2,S36)))))</f>
      </c>
      <c r="BE36" s="137">
        <f>IF($T$2="",1,IF($T$2="(blank)",--(T36=""),IF($T$2="(nonblank)",--(T36&lt;&gt;""),--ISNUMBER(SEARCH($T$2,T36)))))</f>
      </c>
      <c r="BF36" s="137">
        <f>IF($U$2="",1,IF($U$2="(blank)",--(U36=""),IF($U$2="(nonblank)",--(U36&lt;&gt;""),--ISNUMBER(SEARCH($U$2,U36)))))</f>
      </c>
      <c r="BG36" s="137">
        <f>IF($V$2="",1,IF($V$2="(blank)",--(V36=""),IF($V$2="(nonblank)",--(V36&lt;&gt;""),--ISNUMBER(SEARCH($V$2,V36)))))</f>
      </c>
      <c r="BH36" s="137">
        <f>IF($W$2="",1,IF($W$2="(blank)",--(W36=""),IF($W$2="(nonblank)",--(W36&lt;&gt;""),--ISNUMBER(SEARCH($W$2,W36)))))</f>
      </c>
      <c r="BI36" s="137">
        <f>IF($X$2="",1,IF($X$2="(blank)",--(X36=""),IF($X$2="(nonblank)",--(X36&lt;&gt;""),--ISNUMBER(SEARCH($X$2,X36)))))</f>
      </c>
      <c r="BJ36" s="137">
        <f>IF($Y$2="",1,IF($Y$2="(blank)",--(Y36=""),IF($Y$2="(nonblank)",--(Y36&lt;&gt;""),--ISNUMBER(SEARCH($Y$2,Y36)))))</f>
      </c>
      <c r="BK36" s="137">
        <f>IF($Z$2="",1,IF($Z$2="(blank)",--(Z36=""),IF($Z$2="(nonblank)",--(Z36&lt;&gt;""),--ISNUMBER(SEARCH($Z$2,Z36)))))</f>
      </c>
      <c r="BL36" s="137">
        <f>IF($AA$2="",1,IF($AA$2="(blank)",--(AA36=""),IF($AA$2="(nonblank)",--(AA36&lt;&gt;""),--ISNUMBER(SEARCH($AA$2,AA36)))))</f>
      </c>
      <c r="BM36" s="137">
        <f>IF($AB$2="",1,IF($AB$2="(blank)",--(AB36=""),IF($AB$2="(nonblank)",--(AB36&lt;&gt;""),--ISNUMBER(SEARCH($AB$2,AB36)))))</f>
      </c>
      <c r="BN36" s="137">
        <f>IF($AC$2="",1,IF($AC$2="(blank)",--(AC36=""),IF($AC$2="(nonblank)",--(AC36&lt;&gt;""),--ISNUMBER(SEARCH($AC$2,AC36)))))</f>
      </c>
      <c r="BO36" s="137">
        <f>IF($AD$2="",1,IF($AD$2="(blank)",--(AD36=""),IF($AD$2="(nonblank)",--(AD36&lt;&gt;""),--ISNUMBER(SEARCH($AD$2,AD36)))))</f>
      </c>
      <c r="BP36" s="137">
        <f>IF($AE$2="",1,IF($AE$2="(blank)",--(AE36=""),IF($AE$2="(nonblank)",--(AE36&lt;&gt;""),--ISNUMBER(SEARCH($AE$2,AE36)))))</f>
      </c>
      <c r="BQ36" s="137">
        <f>IF($AF$2="",1,IF($AF$2="(blank)",--(AF36=""),IF($AF$2="(nonblank)",--(AF36&lt;&gt;""),--ISNUMBER(SEARCH($AF$2,AF36)))))</f>
      </c>
      <c r="BR36" s="137">
        <f>IF($AG$2="",1,IF($AG$2="(blank)",--(AG36=""),IF($AG$2="(nonblank)",--(AG36&lt;&gt;""),--ISNUMBER(SEARCH($AG$2,AG36)))))</f>
      </c>
      <c r="BS36" s="137">
        <f>IF($AH$2="",1,IF($AH$2="(blank)",--(AH36=""),IF($AH$2="(nonblank)",--(AH36&lt;&gt;""),--ISNUMBER(SEARCH($AH$2,AH36)))))</f>
      </c>
      <c r="BT36" s="137">
        <f>IF(COUNTIF($AL36:$BS36,0)&gt;0,0,1)</f>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IF(IF(OR(AB37="",AB37=0),TODAY(),DATE(VALUE(RIGHT(AB37,4)),VALUE(MID(AB37,4,2)),VALUE(LEFT(AB37,2))))&lt;=DATE(2026,8,24),0,H37*0.0118*CEILING((IF(OR(AB37="",AB37=0),TODAY(),DATE(VALUE(RIGHT(AB37,4)),VALUE(MID(AB37,4,2)),VALUE(LEFT(AB37,2))))-DATE(2026,8,22))/7,1))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L37" s="137">
        <f>IF($A$2="",1,IF($A$2="(blank)",--(A37=""),IF($A$2="(nonblank)",--(A37&lt;&gt;""),--ISNUMBER(SEARCH($A$2,A37)))))</f>
      </c>
      <c r="AM37" s="137">
        <f>IF($B$2="",1,IF($B$2="(blank)",--(B37=""),IF($B$2="(nonblank)",--(B37&lt;&gt;""),--ISNUMBER(SEARCH($B$2,B37)))))</f>
      </c>
      <c r="AN37" s="137">
        <f>IF($C$2="",1,IF($C$2="(blank)",--(C37=""),IF($C$2="(nonblank)",--(C37&lt;&gt;""),--ISNUMBER(SEARCH($C$2,C37)))))</f>
      </c>
      <c r="AO37" s="137">
        <f>IF($D$2="",1,IF($D$2="(blank)",--(D37=""),IF($D$2="(nonblank)",--(D37&lt;&gt;""),--ISNUMBER(SEARCH($D$2,D37)))))</f>
      </c>
      <c r="AP37" s="137">
        <f>IF($E$2="",1,IF($E$2="(blank)",--(E37=""),IF($E$2="(nonblank)",--(E37&lt;&gt;""),--ISNUMBER(SEARCH($E$2,E37)))))</f>
      </c>
      <c r="AQ37" s="137">
        <f>IF($F$2="",1,IF($F$2="(blank)",--(F37=""),IF($F$2="(nonblank)",--(F37&lt;&gt;""),--ISNUMBER(SEARCH($F$2,F37)))))</f>
      </c>
      <c r="AR37" s="137">
        <f>IF($G$2="",1,IF($G$2="(blank)",--(G37=""),IF($G$2="(nonblank)",--(G37&lt;&gt;""),--ISNUMBER(SEARCH($G$2,G37)))))</f>
      </c>
      <c r="AS37" s="137">
        <f>IF($H$2="",1,IF($H$2="(blank)",--(H37=""),IF($H$2="(nonblank)",--(H37&lt;&gt;""),--ISNUMBER(SEARCH($H$2,H37)))))</f>
      </c>
      <c r="AT37" s="137">
        <f>IF($I$2="",1,IF($I$2="(blank)",--(I37=""),IF($I$2="(nonblank)",--(I37&lt;&gt;""),--ISNUMBER(SEARCH($I$2,I37)))))</f>
      </c>
      <c r="AU37" s="137">
        <f>IF($J$2="",1,IF($J$2="(blank)",--(J37=""),IF($J$2="(nonblank)",--(J37&lt;&gt;""),--ISNUMBER(SEARCH($J$2,J37)))))</f>
      </c>
      <c r="AV37" s="137">
        <f>IF($K$2="",1,IF($K$2="(blank)",--(K37=""),IF($K$2="(nonblank)",--(K37&lt;&gt;""),--ISNUMBER(SEARCH($K$2,K37)))))</f>
      </c>
      <c r="AW37" s="137">
        <f>IF($L$2="",1,IF($L$2="(blank)",--(L37=""),IF($L$2="(nonblank)",--(L37&lt;&gt;""),--ISNUMBER(SEARCH($L$2,L37)))))</f>
      </c>
      <c r="AX37" s="137">
        <f>IF($M$2="",1,IF($M$2="(blank)",--(M37=""),IF($M$2="(nonblank)",--(M37&lt;&gt;""),--ISNUMBER(SEARCH($M$2,M37)))))</f>
      </c>
      <c r="AY37" s="137">
        <f>IF($N$2="",1,IF($N$2="(blank)",--(N37=""),IF($N$2="(nonblank)",--(N37&lt;&gt;""),--ISNUMBER(SEARCH($N$2,N37)))))</f>
      </c>
      <c r="AZ37" s="137">
        <f>IF($O$2="",1,IF($O$2="(blank)",--(O37=""),IF($O$2="(nonblank)",--(O37&lt;&gt;""),--ISNUMBER(SEARCH($O$2,O37)))))</f>
      </c>
      <c r="BA37" s="137">
        <f>IF($P$2="",1,IF($P$2="(blank)",--(P37=""),IF($P$2="(nonblank)",--(P37&lt;&gt;""),--ISNUMBER(SEARCH($P$2,P37)))))</f>
      </c>
      <c r="BB37" s="137">
        <f>IF($Q$2="",1,IF($Q$2="(blank)",--(Q37=""),IF($Q$2="(nonblank)",--(Q37&lt;&gt;""),--ISNUMBER(SEARCH($Q$2,Q37)))))</f>
      </c>
      <c r="BC37" s="137">
        <f>IF($R$2="",1,IF($R$2="(blank)",--(R37=""),IF($R$2="(nonblank)",--(R37&lt;&gt;""),--ISNUMBER(SEARCH($R$2,R37)))))</f>
      </c>
      <c r="BD37" s="137">
        <f>IF($S$2="",1,IF($S$2="(blank)",--(S37=""),IF($S$2="(nonblank)",--(S37&lt;&gt;""),--ISNUMBER(SEARCH($S$2,S37)))))</f>
      </c>
      <c r="BE37" s="137">
        <f>IF($T$2="",1,IF($T$2="(blank)",--(T37=""),IF($T$2="(nonblank)",--(T37&lt;&gt;""),--ISNUMBER(SEARCH($T$2,T37)))))</f>
      </c>
      <c r="BF37" s="137">
        <f>IF($U$2="",1,IF($U$2="(blank)",--(U37=""),IF($U$2="(nonblank)",--(U37&lt;&gt;""),--ISNUMBER(SEARCH($U$2,U37)))))</f>
      </c>
      <c r="BG37" s="137">
        <f>IF($V$2="",1,IF($V$2="(blank)",--(V37=""),IF($V$2="(nonblank)",--(V37&lt;&gt;""),--ISNUMBER(SEARCH($V$2,V37)))))</f>
      </c>
      <c r="BH37" s="137">
        <f>IF($W$2="",1,IF($W$2="(blank)",--(W37=""),IF($W$2="(nonblank)",--(W37&lt;&gt;""),--ISNUMBER(SEARCH($W$2,W37)))))</f>
      </c>
      <c r="BI37" s="137">
        <f>IF($X$2="",1,IF($X$2="(blank)",--(X37=""),IF($X$2="(nonblank)",--(X37&lt;&gt;""),--ISNUMBER(SEARCH($X$2,X37)))))</f>
      </c>
      <c r="BJ37" s="137">
        <f>IF($Y$2="",1,IF($Y$2="(blank)",--(Y37=""),IF($Y$2="(nonblank)",--(Y37&lt;&gt;""),--ISNUMBER(SEARCH($Y$2,Y37)))))</f>
      </c>
      <c r="BK37" s="137">
        <f>IF($Z$2="",1,IF($Z$2="(blank)",--(Z37=""),IF($Z$2="(nonblank)",--(Z37&lt;&gt;""),--ISNUMBER(SEARCH($Z$2,Z37)))))</f>
      </c>
      <c r="BL37" s="137">
        <f>IF($AA$2="",1,IF($AA$2="(blank)",--(AA37=""),IF($AA$2="(nonblank)",--(AA37&lt;&gt;""),--ISNUMBER(SEARCH($AA$2,AA37)))))</f>
      </c>
      <c r="BM37" s="137">
        <f>IF($AB$2="",1,IF($AB$2="(blank)",--(AB37=""),IF($AB$2="(nonblank)",--(AB37&lt;&gt;""),--ISNUMBER(SEARCH($AB$2,AB37)))))</f>
      </c>
      <c r="BN37" s="137">
        <f>IF($AC$2="",1,IF($AC$2="(blank)",--(AC37=""),IF($AC$2="(nonblank)",--(AC37&lt;&gt;""),--ISNUMBER(SEARCH($AC$2,AC37)))))</f>
      </c>
      <c r="BO37" s="137">
        <f>IF($AD$2="",1,IF($AD$2="(blank)",--(AD37=""),IF($AD$2="(nonblank)",--(AD37&lt;&gt;""),--ISNUMBER(SEARCH($AD$2,AD37)))))</f>
      </c>
      <c r="BP37" s="137">
        <f>IF($AE$2="",1,IF($AE$2="(blank)",--(AE37=""),IF($AE$2="(nonblank)",--(AE37&lt;&gt;""),--ISNUMBER(SEARCH($AE$2,AE37)))))</f>
      </c>
      <c r="BQ37" s="137">
        <f>IF($AF$2="",1,IF($AF$2="(blank)",--(AF37=""),IF($AF$2="(nonblank)",--(AF37&lt;&gt;""),--ISNUMBER(SEARCH($AF$2,AF37)))))</f>
      </c>
      <c r="BR37" s="137">
        <f>IF($AG$2="",1,IF($AG$2="(blank)",--(AG37=""),IF($AG$2="(nonblank)",--(AG37&lt;&gt;""),--ISNUMBER(SEARCH($AG$2,AG37)))))</f>
      </c>
      <c r="BS37" s="137">
        <f>IF($AH$2="",1,IF($AH$2="(blank)",--(AH37=""),IF($AH$2="(nonblank)",--(AH37&lt;&gt;""),--ISNUMBER(SEARCH($AH$2,AH37)))))</f>
      </c>
      <c r="BT37" s="137">
        <f>IF(COUNTIF($AL37:$BS37,0)&gt;0,0,1)</f>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IF(IF(OR(AB38="",AB38=0),TODAY(),DATE(VALUE(RIGHT(AB38,4)),VALUE(MID(AB38,4,2)),VALUE(LEFT(AB38,2))))&lt;=DATE(2026,8,24),0,H38*0.0118*CEILING((IF(OR(AB38="",AB38=0),TODAY(),DATE(VALUE(RIGHT(AB38,4)),VALUE(MID(AB38,4,2)),VALUE(LEFT(AB38,2))))-DATE(2026,8,22))/7,1))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L38" s="137">
        <f>IF($A$2="",1,IF($A$2="(blank)",--(A38=""),IF($A$2="(nonblank)",--(A38&lt;&gt;""),--ISNUMBER(SEARCH($A$2,A38)))))</f>
      </c>
      <c r="AM38" s="137">
        <f>IF($B$2="",1,IF($B$2="(blank)",--(B38=""),IF($B$2="(nonblank)",--(B38&lt;&gt;""),--ISNUMBER(SEARCH($B$2,B38)))))</f>
      </c>
      <c r="AN38" s="137">
        <f>IF($C$2="",1,IF($C$2="(blank)",--(C38=""),IF($C$2="(nonblank)",--(C38&lt;&gt;""),--ISNUMBER(SEARCH($C$2,C38)))))</f>
      </c>
      <c r="AO38" s="137">
        <f>IF($D$2="",1,IF($D$2="(blank)",--(D38=""),IF($D$2="(nonblank)",--(D38&lt;&gt;""),--ISNUMBER(SEARCH($D$2,D38)))))</f>
      </c>
      <c r="AP38" s="137">
        <f>IF($E$2="",1,IF($E$2="(blank)",--(E38=""),IF($E$2="(nonblank)",--(E38&lt;&gt;""),--ISNUMBER(SEARCH($E$2,E38)))))</f>
      </c>
      <c r="AQ38" s="137">
        <f>IF($F$2="",1,IF($F$2="(blank)",--(F38=""),IF($F$2="(nonblank)",--(F38&lt;&gt;""),--ISNUMBER(SEARCH($F$2,F38)))))</f>
      </c>
      <c r="AR38" s="137">
        <f>IF($G$2="",1,IF($G$2="(blank)",--(G38=""),IF($G$2="(nonblank)",--(G38&lt;&gt;""),--ISNUMBER(SEARCH($G$2,G38)))))</f>
      </c>
      <c r="AS38" s="137">
        <f>IF($H$2="",1,IF($H$2="(blank)",--(H38=""),IF($H$2="(nonblank)",--(H38&lt;&gt;""),--ISNUMBER(SEARCH($H$2,H38)))))</f>
      </c>
      <c r="AT38" s="137">
        <f>IF($I$2="",1,IF($I$2="(blank)",--(I38=""),IF($I$2="(nonblank)",--(I38&lt;&gt;""),--ISNUMBER(SEARCH($I$2,I38)))))</f>
      </c>
      <c r="AU38" s="137">
        <f>IF($J$2="",1,IF($J$2="(blank)",--(J38=""),IF($J$2="(nonblank)",--(J38&lt;&gt;""),--ISNUMBER(SEARCH($J$2,J38)))))</f>
      </c>
      <c r="AV38" s="137">
        <f>IF($K$2="",1,IF($K$2="(blank)",--(K38=""),IF($K$2="(nonblank)",--(K38&lt;&gt;""),--ISNUMBER(SEARCH($K$2,K38)))))</f>
      </c>
      <c r="AW38" s="137">
        <f>IF($L$2="",1,IF($L$2="(blank)",--(L38=""),IF($L$2="(nonblank)",--(L38&lt;&gt;""),--ISNUMBER(SEARCH($L$2,L38)))))</f>
      </c>
      <c r="AX38" s="137">
        <f>IF($M$2="",1,IF($M$2="(blank)",--(M38=""),IF($M$2="(nonblank)",--(M38&lt;&gt;""),--ISNUMBER(SEARCH($M$2,M38)))))</f>
      </c>
      <c r="AY38" s="137">
        <f>IF($N$2="",1,IF($N$2="(blank)",--(N38=""),IF($N$2="(nonblank)",--(N38&lt;&gt;""),--ISNUMBER(SEARCH($N$2,N38)))))</f>
      </c>
      <c r="AZ38" s="137">
        <f>IF($O$2="",1,IF($O$2="(blank)",--(O38=""),IF($O$2="(nonblank)",--(O38&lt;&gt;""),--ISNUMBER(SEARCH($O$2,O38)))))</f>
      </c>
      <c r="BA38" s="137">
        <f>IF($P$2="",1,IF($P$2="(blank)",--(P38=""),IF($P$2="(nonblank)",--(P38&lt;&gt;""),--ISNUMBER(SEARCH($P$2,P38)))))</f>
      </c>
      <c r="BB38" s="137">
        <f>IF($Q$2="",1,IF($Q$2="(blank)",--(Q38=""),IF($Q$2="(nonblank)",--(Q38&lt;&gt;""),--ISNUMBER(SEARCH($Q$2,Q38)))))</f>
      </c>
      <c r="BC38" s="137">
        <f>IF($R$2="",1,IF($R$2="(blank)",--(R38=""),IF($R$2="(nonblank)",--(R38&lt;&gt;""),--ISNUMBER(SEARCH($R$2,R38)))))</f>
      </c>
      <c r="BD38" s="137">
        <f>IF($S$2="",1,IF($S$2="(blank)",--(S38=""),IF($S$2="(nonblank)",--(S38&lt;&gt;""),--ISNUMBER(SEARCH($S$2,S38)))))</f>
      </c>
      <c r="BE38" s="137">
        <f>IF($T$2="",1,IF($T$2="(blank)",--(T38=""),IF($T$2="(nonblank)",--(T38&lt;&gt;""),--ISNUMBER(SEARCH($T$2,T38)))))</f>
      </c>
      <c r="BF38" s="137">
        <f>IF($U$2="",1,IF($U$2="(blank)",--(U38=""),IF($U$2="(nonblank)",--(U38&lt;&gt;""),--ISNUMBER(SEARCH($U$2,U38)))))</f>
      </c>
      <c r="BG38" s="137">
        <f>IF($V$2="",1,IF($V$2="(blank)",--(V38=""),IF($V$2="(nonblank)",--(V38&lt;&gt;""),--ISNUMBER(SEARCH($V$2,V38)))))</f>
      </c>
      <c r="BH38" s="137">
        <f>IF($W$2="",1,IF($W$2="(blank)",--(W38=""),IF($W$2="(nonblank)",--(W38&lt;&gt;""),--ISNUMBER(SEARCH($W$2,W38)))))</f>
      </c>
      <c r="BI38" s="137">
        <f>IF($X$2="",1,IF($X$2="(blank)",--(X38=""),IF($X$2="(nonblank)",--(X38&lt;&gt;""),--ISNUMBER(SEARCH($X$2,X38)))))</f>
      </c>
      <c r="BJ38" s="137">
        <f>IF($Y$2="",1,IF($Y$2="(blank)",--(Y38=""),IF($Y$2="(nonblank)",--(Y38&lt;&gt;""),--ISNUMBER(SEARCH($Y$2,Y38)))))</f>
      </c>
      <c r="BK38" s="137">
        <f>IF($Z$2="",1,IF($Z$2="(blank)",--(Z38=""),IF($Z$2="(nonblank)",--(Z38&lt;&gt;""),--ISNUMBER(SEARCH($Z$2,Z38)))))</f>
      </c>
      <c r="BL38" s="137">
        <f>IF($AA$2="",1,IF($AA$2="(blank)",--(AA38=""),IF($AA$2="(nonblank)",--(AA38&lt;&gt;""),--ISNUMBER(SEARCH($AA$2,AA38)))))</f>
      </c>
      <c r="BM38" s="137">
        <f>IF($AB$2="",1,IF($AB$2="(blank)",--(AB38=""),IF($AB$2="(nonblank)",--(AB38&lt;&gt;""),--ISNUMBER(SEARCH($AB$2,AB38)))))</f>
      </c>
      <c r="BN38" s="137">
        <f>IF($AC$2="",1,IF($AC$2="(blank)",--(AC38=""),IF($AC$2="(nonblank)",--(AC38&lt;&gt;""),--ISNUMBER(SEARCH($AC$2,AC38)))))</f>
      </c>
      <c r="BO38" s="137">
        <f>IF($AD$2="",1,IF($AD$2="(blank)",--(AD38=""),IF($AD$2="(nonblank)",--(AD38&lt;&gt;""),--ISNUMBER(SEARCH($AD$2,AD38)))))</f>
      </c>
      <c r="BP38" s="137">
        <f>IF($AE$2="",1,IF($AE$2="(blank)",--(AE38=""),IF($AE$2="(nonblank)",--(AE38&lt;&gt;""),--ISNUMBER(SEARCH($AE$2,AE38)))))</f>
      </c>
      <c r="BQ38" s="137">
        <f>IF($AF$2="",1,IF($AF$2="(blank)",--(AF38=""),IF($AF$2="(nonblank)",--(AF38&lt;&gt;""),--ISNUMBER(SEARCH($AF$2,AF38)))))</f>
      </c>
      <c r="BR38" s="137">
        <f>IF($AG$2="",1,IF($AG$2="(blank)",--(AG38=""),IF($AG$2="(nonblank)",--(AG38&lt;&gt;""),--ISNUMBER(SEARCH($AG$2,AG38)))))</f>
      </c>
      <c r="BS38" s="137">
        <f>IF($AH$2="",1,IF($AH$2="(blank)",--(AH38=""),IF($AH$2="(nonblank)",--(AH38&lt;&gt;""),--ISNUMBER(SEARCH($AH$2,AH38)))))</f>
      </c>
      <c r="BT38" s="137">
        <f>IF(COUNTIF($AL38:$BS38,0)&gt;0,0,1)</f>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IF(IF(OR(AB39="",AB39=0),TODAY(),DATE(VALUE(RIGHT(AB39,4)),VALUE(MID(AB39,4,2)),VALUE(LEFT(AB39,2))))&lt;=DATE(2026,8,24),0,H39*0.0118*CEILING((IF(OR(AB39="",AB39=0),TODAY(),DATE(VALUE(RIGHT(AB39,4)),VALUE(MID(AB39,4,2)),VALUE(LEFT(AB39,2))))-DATE(2026,8,22))/7,1))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L39" s="137">
        <f>IF($A$2="",1,IF($A$2="(blank)",--(A39=""),IF($A$2="(nonblank)",--(A39&lt;&gt;""),--ISNUMBER(SEARCH($A$2,A39)))))</f>
      </c>
      <c r="AM39" s="137">
        <f>IF($B$2="",1,IF($B$2="(blank)",--(B39=""),IF($B$2="(nonblank)",--(B39&lt;&gt;""),--ISNUMBER(SEARCH($B$2,B39)))))</f>
      </c>
      <c r="AN39" s="137">
        <f>IF($C$2="",1,IF($C$2="(blank)",--(C39=""),IF($C$2="(nonblank)",--(C39&lt;&gt;""),--ISNUMBER(SEARCH($C$2,C39)))))</f>
      </c>
      <c r="AO39" s="137">
        <f>IF($D$2="",1,IF($D$2="(blank)",--(D39=""),IF($D$2="(nonblank)",--(D39&lt;&gt;""),--ISNUMBER(SEARCH($D$2,D39)))))</f>
      </c>
      <c r="AP39" s="137">
        <f>IF($E$2="",1,IF($E$2="(blank)",--(E39=""),IF($E$2="(nonblank)",--(E39&lt;&gt;""),--ISNUMBER(SEARCH($E$2,E39)))))</f>
      </c>
      <c r="AQ39" s="137">
        <f>IF($F$2="",1,IF($F$2="(blank)",--(F39=""),IF($F$2="(nonblank)",--(F39&lt;&gt;""),--ISNUMBER(SEARCH($F$2,F39)))))</f>
      </c>
      <c r="AR39" s="137">
        <f>IF($G$2="",1,IF($G$2="(blank)",--(G39=""),IF($G$2="(nonblank)",--(G39&lt;&gt;""),--ISNUMBER(SEARCH($G$2,G39)))))</f>
      </c>
      <c r="AS39" s="137">
        <f>IF($H$2="",1,IF($H$2="(blank)",--(H39=""),IF($H$2="(nonblank)",--(H39&lt;&gt;""),--ISNUMBER(SEARCH($H$2,H39)))))</f>
      </c>
      <c r="AT39" s="137">
        <f>IF($I$2="",1,IF($I$2="(blank)",--(I39=""),IF($I$2="(nonblank)",--(I39&lt;&gt;""),--ISNUMBER(SEARCH($I$2,I39)))))</f>
      </c>
      <c r="AU39" s="137">
        <f>IF($J$2="",1,IF($J$2="(blank)",--(J39=""),IF($J$2="(nonblank)",--(J39&lt;&gt;""),--ISNUMBER(SEARCH($J$2,J39)))))</f>
      </c>
      <c r="AV39" s="137">
        <f>IF($K$2="",1,IF($K$2="(blank)",--(K39=""),IF($K$2="(nonblank)",--(K39&lt;&gt;""),--ISNUMBER(SEARCH($K$2,K39)))))</f>
      </c>
      <c r="AW39" s="137">
        <f>IF($L$2="",1,IF($L$2="(blank)",--(L39=""),IF($L$2="(nonblank)",--(L39&lt;&gt;""),--ISNUMBER(SEARCH($L$2,L39)))))</f>
      </c>
      <c r="AX39" s="137">
        <f>IF($M$2="",1,IF($M$2="(blank)",--(M39=""),IF($M$2="(nonblank)",--(M39&lt;&gt;""),--ISNUMBER(SEARCH($M$2,M39)))))</f>
      </c>
      <c r="AY39" s="137">
        <f>IF($N$2="",1,IF($N$2="(blank)",--(N39=""),IF($N$2="(nonblank)",--(N39&lt;&gt;""),--ISNUMBER(SEARCH($N$2,N39)))))</f>
      </c>
      <c r="AZ39" s="137">
        <f>IF($O$2="",1,IF($O$2="(blank)",--(O39=""),IF($O$2="(nonblank)",--(O39&lt;&gt;""),--ISNUMBER(SEARCH($O$2,O39)))))</f>
      </c>
      <c r="BA39" s="137">
        <f>IF($P$2="",1,IF($P$2="(blank)",--(P39=""),IF($P$2="(nonblank)",--(P39&lt;&gt;""),--ISNUMBER(SEARCH($P$2,P39)))))</f>
      </c>
      <c r="BB39" s="137">
        <f>IF($Q$2="",1,IF($Q$2="(blank)",--(Q39=""),IF($Q$2="(nonblank)",--(Q39&lt;&gt;""),--ISNUMBER(SEARCH($Q$2,Q39)))))</f>
      </c>
      <c r="BC39" s="137">
        <f>IF($R$2="",1,IF($R$2="(blank)",--(R39=""),IF($R$2="(nonblank)",--(R39&lt;&gt;""),--ISNUMBER(SEARCH($R$2,R39)))))</f>
      </c>
      <c r="BD39" s="137">
        <f>IF($S$2="",1,IF($S$2="(blank)",--(S39=""),IF($S$2="(nonblank)",--(S39&lt;&gt;""),--ISNUMBER(SEARCH($S$2,S39)))))</f>
      </c>
      <c r="BE39" s="137">
        <f>IF($T$2="",1,IF($T$2="(blank)",--(T39=""),IF($T$2="(nonblank)",--(T39&lt;&gt;""),--ISNUMBER(SEARCH($T$2,T39)))))</f>
      </c>
      <c r="BF39" s="137">
        <f>IF($U$2="",1,IF($U$2="(blank)",--(U39=""),IF($U$2="(nonblank)",--(U39&lt;&gt;""),--ISNUMBER(SEARCH($U$2,U39)))))</f>
      </c>
      <c r="BG39" s="137">
        <f>IF($V$2="",1,IF($V$2="(blank)",--(V39=""),IF($V$2="(nonblank)",--(V39&lt;&gt;""),--ISNUMBER(SEARCH($V$2,V39)))))</f>
      </c>
      <c r="BH39" s="137">
        <f>IF($W$2="",1,IF($W$2="(blank)",--(W39=""),IF($W$2="(nonblank)",--(W39&lt;&gt;""),--ISNUMBER(SEARCH($W$2,W39)))))</f>
      </c>
      <c r="BI39" s="137">
        <f>IF($X$2="",1,IF($X$2="(blank)",--(X39=""),IF($X$2="(nonblank)",--(X39&lt;&gt;""),--ISNUMBER(SEARCH($X$2,X39)))))</f>
      </c>
      <c r="BJ39" s="137">
        <f>IF($Y$2="",1,IF($Y$2="(blank)",--(Y39=""),IF($Y$2="(nonblank)",--(Y39&lt;&gt;""),--ISNUMBER(SEARCH($Y$2,Y39)))))</f>
      </c>
      <c r="BK39" s="137">
        <f>IF($Z$2="",1,IF($Z$2="(blank)",--(Z39=""),IF($Z$2="(nonblank)",--(Z39&lt;&gt;""),--ISNUMBER(SEARCH($Z$2,Z39)))))</f>
      </c>
      <c r="BL39" s="137">
        <f>IF($AA$2="",1,IF($AA$2="(blank)",--(AA39=""),IF($AA$2="(nonblank)",--(AA39&lt;&gt;""),--ISNUMBER(SEARCH($AA$2,AA39)))))</f>
      </c>
      <c r="BM39" s="137">
        <f>IF($AB$2="",1,IF($AB$2="(blank)",--(AB39=""),IF($AB$2="(nonblank)",--(AB39&lt;&gt;""),--ISNUMBER(SEARCH($AB$2,AB39)))))</f>
      </c>
      <c r="BN39" s="137">
        <f>IF($AC$2="",1,IF($AC$2="(blank)",--(AC39=""),IF($AC$2="(nonblank)",--(AC39&lt;&gt;""),--ISNUMBER(SEARCH($AC$2,AC39)))))</f>
      </c>
      <c r="BO39" s="137">
        <f>IF($AD$2="",1,IF($AD$2="(blank)",--(AD39=""),IF($AD$2="(nonblank)",--(AD39&lt;&gt;""),--ISNUMBER(SEARCH($AD$2,AD39)))))</f>
      </c>
      <c r="BP39" s="137">
        <f>IF($AE$2="",1,IF($AE$2="(blank)",--(AE39=""),IF($AE$2="(nonblank)",--(AE39&lt;&gt;""),--ISNUMBER(SEARCH($AE$2,AE39)))))</f>
      </c>
      <c r="BQ39" s="137">
        <f>IF($AF$2="",1,IF($AF$2="(blank)",--(AF39=""),IF($AF$2="(nonblank)",--(AF39&lt;&gt;""),--ISNUMBER(SEARCH($AF$2,AF39)))))</f>
      </c>
      <c r="BR39" s="137">
        <f>IF($AG$2="",1,IF($AG$2="(blank)",--(AG39=""),IF($AG$2="(nonblank)",--(AG39&lt;&gt;""),--ISNUMBER(SEARCH($AG$2,AG39)))))</f>
      </c>
      <c r="BS39" s="137">
        <f>IF($AH$2="",1,IF($AH$2="(blank)",--(AH39=""),IF($AH$2="(nonblank)",--(AH39&lt;&gt;""),--ISNUMBER(SEARCH($AH$2,AH39)))))</f>
      </c>
      <c r="BT39" s="137">
        <f>IF(COUNTIF($AL39:$BS39,0)&gt;0,0,1)</f>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IF(IF(OR(AB40="",AB40=0),TODAY(),DATE(VALUE(RIGHT(AB40,4)),VALUE(MID(AB40,4,2)),VALUE(LEFT(AB40,2))))&lt;=DATE(2026,8,24),0,H40*0.0118*CEILING((IF(OR(AB40="",AB40=0),TODAY(),DATE(VALUE(RIGHT(AB40,4)),VALUE(MID(AB40,4,2)),VALUE(LEFT(AB40,2))))-DATE(2026,8,22))/7,1))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L40" s="137">
        <f>IF($A$2="",1,IF($A$2="(blank)",--(A40=""),IF($A$2="(nonblank)",--(A40&lt;&gt;""),--ISNUMBER(SEARCH($A$2,A40)))))</f>
      </c>
      <c r="AM40" s="137">
        <f>IF($B$2="",1,IF($B$2="(blank)",--(B40=""),IF($B$2="(nonblank)",--(B40&lt;&gt;""),--ISNUMBER(SEARCH($B$2,B40)))))</f>
      </c>
      <c r="AN40" s="137">
        <f>IF($C$2="",1,IF($C$2="(blank)",--(C40=""),IF($C$2="(nonblank)",--(C40&lt;&gt;""),--ISNUMBER(SEARCH($C$2,C40)))))</f>
      </c>
      <c r="AO40" s="137">
        <f>IF($D$2="",1,IF($D$2="(blank)",--(D40=""),IF($D$2="(nonblank)",--(D40&lt;&gt;""),--ISNUMBER(SEARCH($D$2,D40)))))</f>
      </c>
      <c r="AP40" s="137">
        <f>IF($E$2="",1,IF($E$2="(blank)",--(E40=""),IF($E$2="(nonblank)",--(E40&lt;&gt;""),--ISNUMBER(SEARCH($E$2,E40)))))</f>
      </c>
      <c r="AQ40" s="137">
        <f>IF($F$2="",1,IF($F$2="(blank)",--(F40=""),IF($F$2="(nonblank)",--(F40&lt;&gt;""),--ISNUMBER(SEARCH($F$2,F40)))))</f>
      </c>
      <c r="AR40" s="137">
        <f>IF($G$2="",1,IF($G$2="(blank)",--(G40=""),IF($G$2="(nonblank)",--(G40&lt;&gt;""),--ISNUMBER(SEARCH($G$2,G40)))))</f>
      </c>
      <c r="AS40" s="137">
        <f>IF($H$2="",1,IF($H$2="(blank)",--(H40=""),IF($H$2="(nonblank)",--(H40&lt;&gt;""),--ISNUMBER(SEARCH($H$2,H40)))))</f>
      </c>
      <c r="AT40" s="137">
        <f>IF($I$2="",1,IF($I$2="(blank)",--(I40=""),IF($I$2="(nonblank)",--(I40&lt;&gt;""),--ISNUMBER(SEARCH($I$2,I40)))))</f>
      </c>
      <c r="AU40" s="137">
        <f>IF($J$2="",1,IF($J$2="(blank)",--(J40=""),IF($J$2="(nonblank)",--(J40&lt;&gt;""),--ISNUMBER(SEARCH($J$2,J40)))))</f>
      </c>
      <c r="AV40" s="137">
        <f>IF($K$2="",1,IF($K$2="(blank)",--(K40=""),IF($K$2="(nonblank)",--(K40&lt;&gt;""),--ISNUMBER(SEARCH($K$2,K40)))))</f>
      </c>
      <c r="AW40" s="137">
        <f>IF($L$2="",1,IF($L$2="(blank)",--(L40=""),IF($L$2="(nonblank)",--(L40&lt;&gt;""),--ISNUMBER(SEARCH($L$2,L40)))))</f>
      </c>
      <c r="AX40" s="137">
        <f>IF($M$2="",1,IF($M$2="(blank)",--(M40=""),IF($M$2="(nonblank)",--(M40&lt;&gt;""),--ISNUMBER(SEARCH($M$2,M40)))))</f>
      </c>
      <c r="AY40" s="137">
        <f>IF($N$2="",1,IF($N$2="(blank)",--(N40=""),IF($N$2="(nonblank)",--(N40&lt;&gt;""),--ISNUMBER(SEARCH($N$2,N40)))))</f>
      </c>
      <c r="AZ40" s="137">
        <f>IF($O$2="",1,IF($O$2="(blank)",--(O40=""),IF($O$2="(nonblank)",--(O40&lt;&gt;""),--ISNUMBER(SEARCH($O$2,O40)))))</f>
      </c>
      <c r="BA40" s="137">
        <f>IF($P$2="",1,IF($P$2="(blank)",--(P40=""),IF($P$2="(nonblank)",--(P40&lt;&gt;""),--ISNUMBER(SEARCH($P$2,P40)))))</f>
      </c>
      <c r="BB40" s="137">
        <f>IF($Q$2="",1,IF($Q$2="(blank)",--(Q40=""),IF($Q$2="(nonblank)",--(Q40&lt;&gt;""),--ISNUMBER(SEARCH($Q$2,Q40)))))</f>
      </c>
      <c r="BC40" s="137">
        <f>IF($R$2="",1,IF($R$2="(blank)",--(R40=""),IF($R$2="(nonblank)",--(R40&lt;&gt;""),--ISNUMBER(SEARCH($R$2,R40)))))</f>
      </c>
      <c r="BD40" s="137">
        <f>IF($S$2="",1,IF($S$2="(blank)",--(S40=""),IF($S$2="(nonblank)",--(S40&lt;&gt;""),--ISNUMBER(SEARCH($S$2,S40)))))</f>
      </c>
      <c r="BE40" s="137">
        <f>IF($T$2="",1,IF($T$2="(blank)",--(T40=""),IF($T$2="(nonblank)",--(T40&lt;&gt;""),--ISNUMBER(SEARCH($T$2,T40)))))</f>
      </c>
      <c r="BF40" s="137">
        <f>IF($U$2="",1,IF($U$2="(blank)",--(U40=""),IF($U$2="(nonblank)",--(U40&lt;&gt;""),--ISNUMBER(SEARCH($U$2,U40)))))</f>
      </c>
      <c r="BG40" s="137">
        <f>IF($V$2="",1,IF($V$2="(blank)",--(V40=""),IF($V$2="(nonblank)",--(V40&lt;&gt;""),--ISNUMBER(SEARCH($V$2,V40)))))</f>
      </c>
      <c r="BH40" s="137">
        <f>IF($W$2="",1,IF($W$2="(blank)",--(W40=""),IF($W$2="(nonblank)",--(W40&lt;&gt;""),--ISNUMBER(SEARCH($W$2,W40)))))</f>
      </c>
      <c r="BI40" s="137">
        <f>IF($X$2="",1,IF($X$2="(blank)",--(X40=""),IF($X$2="(nonblank)",--(X40&lt;&gt;""),--ISNUMBER(SEARCH($X$2,X40)))))</f>
      </c>
      <c r="BJ40" s="137">
        <f>IF($Y$2="",1,IF($Y$2="(blank)",--(Y40=""),IF($Y$2="(nonblank)",--(Y40&lt;&gt;""),--ISNUMBER(SEARCH($Y$2,Y40)))))</f>
      </c>
      <c r="BK40" s="137">
        <f>IF($Z$2="",1,IF($Z$2="(blank)",--(Z40=""),IF($Z$2="(nonblank)",--(Z40&lt;&gt;""),--ISNUMBER(SEARCH($Z$2,Z40)))))</f>
      </c>
      <c r="BL40" s="137">
        <f>IF($AA$2="",1,IF($AA$2="(blank)",--(AA40=""),IF($AA$2="(nonblank)",--(AA40&lt;&gt;""),--ISNUMBER(SEARCH($AA$2,AA40)))))</f>
      </c>
      <c r="BM40" s="137">
        <f>IF($AB$2="",1,IF($AB$2="(blank)",--(AB40=""),IF($AB$2="(nonblank)",--(AB40&lt;&gt;""),--ISNUMBER(SEARCH($AB$2,AB40)))))</f>
      </c>
      <c r="BN40" s="137">
        <f>IF($AC$2="",1,IF($AC$2="(blank)",--(AC40=""),IF($AC$2="(nonblank)",--(AC40&lt;&gt;""),--ISNUMBER(SEARCH($AC$2,AC40)))))</f>
      </c>
      <c r="BO40" s="137">
        <f>IF($AD$2="",1,IF($AD$2="(blank)",--(AD40=""),IF($AD$2="(nonblank)",--(AD40&lt;&gt;""),--ISNUMBER(SEARCH($AD$2,AD40)))))</f>
      </c>
      <c r="BP40" s="137">
        <f>IF($AE$2="",1,IF($AE$2="(blank)",--(AE40=""),IF($AE$2="(nonblank)",--(AE40&lt;&gt;""),--ISNUMBER(SEARCH($AE$2,AE40)))))</f>
      </c>
      <c r="BQ40" s="137">
        <f>IF($AF$2="",1,IF($AF$2="(blank)",--(AF40=""),IF($AF$2="(nonblank)",--(AF40&lt;&gt;""),--ISNUMBER(SEARCH($AF$2,AF40)))))</f>
      </c>
      <c r="BR40" s="137">
        <f>IF($AG$2="",1,IF($AG$2="(blank)",--(AG40=""),IF($AG$2="(nonblank)",--(AG40&lt;&gt;""),--ISNUMBER(SEARCH($AG$2,AG40)))))</f>
      </c>
      <c r="BS40" s="137">
        <f>IF($AH$2="",1,IF($AH$2="(blank)",--(AH40=""),IF($AH$2="(nonblank)",--(AH40&lt;&gt;""),--ISNUMBER(SEARCH($AH$2,AH40)))))</f>
      </c>
      <c r="BT40" s="137">
        <f>IF(COUNTIF($AL40:$BS40,0)&gt;0,0,1)</f>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4:AH40">
    <cfRule type="expression" priority="1" dxfId="50">
      <formula>AND(COUNTIF($A$2:$AH$2,"&lt;&gt;")&gt;0,$BT4=0)</formula>
    </cfRule>
  </conditionalFormatting>
  <conditionalFormatting sqref="A4:A40">
    <cfRule type="expression" priority="2" dxfId="3">
      <formula>AND($A$2&lt;&gt;"",$AL4=1)</formula>
    </cfRule>
  </conditionalFormatting>
  <conditionalFormatting sqref="B4:B40">
    <cfRule type="expression" priority="3" dxfId="3">
      <formula>AND($B$2&lt;&gt;"",$AM4=1)</formula>
    </cfRule>
  </conditionalFormatting>
  <conditionalFormatting sqref="C4:C40">
    <cfRule type="expression" priority="4" dxfId="3">
      <formula>AND($C$2&lt;&gt;"",$AN4=1)</formula>
    </cfRule>
  </conditionalFormatting>
  <conditionalFormatting sqref="D4:D40">
    <cfRule type="expression" priority="5" dxfId="3">
      <formula>AND($D$2&lt;&gt;"",$AO4=1)</formula>
    </cfRule>
  </conditionalFormatting>
  <conditionalFormatting sqref="E4:E40">
    <cfRule type="expression" priority="6" dxfId="3">
      <formula>AND($E$2&lt;&gt;"",$AP4=1)</formula>
    </cfRule>
  </conditionalFormatting>
  <conditionalFormatting sqref="F4:F40">
    <cfRule type="expression" priority="7" dxfId="3">
      <formula>AND($F$2&lt;&gt;"",$AQ4=1)</formula>
    </cfRule>
  </conditionalFormatting>
  <conditionalFormatting sqref="G4:G40">
    <cfRule type="expression" priority="8" dxfId="3">
      <formula>AND($G$2&lt;&gt;"",$AR4=1)</formula>
    </cfRule>
  </conditionalFormatting>
  <conditionalFormatting sqref="H4:H40">
    <cfRule type="expression" priority="9" dxfId="3">
      <formula>AND($H$2&lt;&gt;"",$AS4=1)</formula>
    </cfRule>
  </conditionalFormatting>
  <conditionalFormatting sqref="I4:I40">
    <cfRule type="expression" priority="10" dxfId="3">
      <formula>AND($I$2&lt;&gt;"",$AT4=1)</formula>
    </cfRule>
  </conditionalFormatting>
  <conditionalFormatting sqref="J4:J40">
    <cfRule type="expression" priority="11" dxfId="3">
      <formula>AND($J$2&lt;&gt;"",$AU4=1)</formula>
    </cfRule>
  </conditionalFormatting>
  <conditionalFormatting sqref="K4:K40">
    <cfRule type="expression" priority="12" dxfId="3">
      <formula>AND($K$2&lt;&gt;"",$AV4=1)</formula>
    </cfRule>
  </conditionalFormatting>
  <conditionalFormatting sqref="L4:L40">
    <cfRule type="expression" priority="13" dxfId="3">
      <formula>AND($L$2&lt;&gt;"",$AW4=1)</formula>
    </cfRule>
  </conditionalFormatting>
  <conditionalFormatting sqref="M4:M40">
    <cfRule type="expression" priority="14" dxfId="3">
      <formula>AND($M$2&lt;&gt;"",$AX4=1)</formula>
    </cfRule>
  </conditionalFormatting>
  <conditionalFormatting sqref="N4:N40">
    <cfRule type="expression" priority="15" dxfId="3">
      <formula>AND($N$2&lt;&gt;"",$AY4=1)</formula>
    </cfRule>
  </conditionalFormatting>
  <conditionalFormatting sqref="O4:O40">
    <cfRule type="expression" priority="16" dxfId="3">
      <formula>AND($O$2&lt;&gt;"",$AZ4=1)</formula>
    </cfRule>
  </conditionalFormatting>
  <conditionalFormatting sqref="P4:P40">
    <cfRule type="expression" priority="17" dxfId="3">
      <formula>AND($P$2&lt;&gt;"",$BA4=1)</formula>
    </cfRule>
  </conditionalFormatting>
  <conditionalFormatting sqref="Q4:Q40">
    <cfRule type="expression" priority="18" dxfId="3">
      <formula>AND($Q$2&lt;&gt;"",$BB4=1)</formula>
    </cfRule>
  </conditionalFormatting>
  <conditionalFormatting sqref="R4:R40">
    <cfRule type="expression" priority="19" dxfId="3">
      <formula>AND($R$2&lt;&gt;"",$BC4=1)</formula>
    </cfRule>
  </conditionalFormatting>
  <conditionalFormatting sqref="S4:S40">
    <cfRule type="expression" priority="20" dxfId="3">
      <formula>AND($S$2&lt;&gt;"",$BD4=1)</formula>
    </cfRule>
  </conditionalFormatting>
  <conditionalFormatting sqref="T4:T40">
    <cfRule type="expression" priority="21" dxfId="3">
      <formula>AND($T$2&lt;&gt;"",$BE4=1)</formula>
    </cfRule>
  </conditionalFormatting>
  <conditionalFormatting sqref="U4:U40">
    <cfRule type="expression" priority="22" dxfId="3">
      <formula>AND($U$2&lt;&gt;"",$BF4=1)</formula>
    </cfRule>
  </conditionalFormatting>
  <conditionalFormatting sqref="V4:V40">
    <cfRule type="expression" priority="23" dxfId="3">
      <formula>AND($V$2&lt;&gt;"",$BG4=1)</formula>
    </cfRule>
  </conditionalFormatting>
  <conditionalFormatting sqref="W4:W40">
    <cfRule type="expression" priority="24" dxfId="3">
      <formula>AND($W$2&lt;&gt;"",$BH4=1)</formula>
    </cfRule>
  </conditionalFormatting>
  <conditionalFormatting sqref="X4:X40">
    <cfRule type="expression" priority="25" dxfId="3">
      <formula>AND($X$2&lt;&gt;"",$BI4=1)</formula>
    </cfRule>
  </conditionalFormatting>
  <conditionalFormatting sqref="Y4:Y40">
    <cfRule type="expression" priority="26" dxfId="3">
      <formula>AND($Y$2&lt;&gt;"",$BJ4=1)</formula>
    </cfRule>
  </conditionalFormatting>
  <conditionalFormatting sqref="Z4:Z40">
    <cfRule type="expression" priority="27" dxfId="3">
      <formula>AND($Z$2&lt;&gt;"",$BK4=1)</formula>
    </cfRule>
  </conditionalFormatting>
  <conditionalFormatting sqref="AA4:AA40">
    <cfRule type="expression" priority="28" dxfId="3">
      <formula>AND($AA$2&lt;&gt;"",$BL4=1)</formula>
    </cfRule>
  </conditionalFormatting>
  <conditionalFormatting sqref="AB4:AB40">
    <cfRule type="expression" priority="29" dxfId="3">
      <formula>AND($AB$2&lt;&gt;"",$BM4=1)</formula>
    </cfRule>
  </conditionalFormatting>
  <conditionalFormatting sqref="AC4:AC40">
    <cfRule type="expression" priority="30" dxfId="3">
      <formula>AND($AC$2&lt;&gt;"",$BN4=1)</formula>
    </cfRule>
  </conditionalFormatting>
  <conditionalFormatting sqref="AD4:AD40">
    <cfRule type="expression" priority="31" dxfId="3">
      <formula>AND($AD$2&lt;&gt;"",$BO4=1)</formula>
    </cfRule>
  </conditionalFormatting>
  <conditionalFormatting sqref="AE4:AE40">
    <cfRule type="expression" priority="32" dxfId="3">
      <formula>AND($AE$2&lt;&gt;"",$BP4=1)</formula>
    </cfRule>
  </conditionalFormatting>
  <conditionalFormatting sqref="AF4:AF40">
    <cfRule type="expression" priority="33" dxfId="3">
      <formula>AND($AF$2&lt;&gt;"",$BQ4=1)</formula>
    </cfRule>
  </conditionalFormatting>
  <conditionalFormatting sqref="AG4:AG40">
    <cfRule type="expression" priority="34" dxfId="3">
      <formula>AND($AG$2&lt;&gt;"",$BR4=1)</formula>
    </cfRule>
  </conditionalFormatting>
  <conditionalFormatting sqref="AH4:AH40">
    <cfRule type="expression" priority="35" dxfId="3">
      <formula>AND($AH$2&lt;&gt;"",$BS4=1)</formula>
    </cfRule>
  </conditionalFormatting>
  <conditionalFormatting sqref="AE4:AE41">
    <cfRule type="cellIs" priority="36" operator="equal" dxfId="51">
      <formula>"SETTLED"</formula>
    </cfRule>
    <cfRule type="cellIs" priority="37" operator="equal" dxfId="52">
      <formula>"OUTSTANDING"</formula>
    </cfRule>
  </conditionalFormatting>
  <conditionalFormatting sqref="AD4:AD41">
    <cfRule type="cellIs" priority="38" operator="greaterThan" dxfId="52">
      <formula>5</formula>
    </cfRule>
  </conditionalFormatting>
  <dataValidations count="34">
    <dataValidation sqref="A2" showDropDown="0" showInputMessage="0" showErrorMessage="0" allowBlank="0" type="list">
      <formula1>SUGF_A</formula1>
      <formula2>0</formula2>
    </dataValidation>
    <dataValidation sqref="B2" showDropDown="0" showInputMessage="0" showErrorMessage="0" allowBlank="0" type="list">
      <formula1>SUGF_B</formula1>
      <formula2>0</formula2>
    </dataValidation>
    <dataValidation sqref="C2" showDropDown="0" showInputMessage="0" showErrorMessage="0" allowBlank="0" type="list">
      <formula1>SUGF_C</formula1>
      <formula2>0</formula2>
    </dataValidation>
    <dataValidation sqref="D2" showDropDown="0" showInputMessage="0" showErrorMessage="0" allowBlank="0" type="list">
      <formula1>SUGF_D</formula1>
      <formula2>0</formula2>
    </dataValidation>
    <dataValidation sqref="E2" showDropDown="0" showInputMessage="0" showErrorMessage="0" allowBlank="0" type="list">
      <formula1>SUGF_E</formula1>
      <formula2>0</formula2>
    </dataValidation>
    <dataValidation sqref="F2" showDropDown="0" showInputMessage="0" showErrorMessage="0" allowBlank="0" type="list">
      <formula1>SUGF_F</formula1>
      <formula2>0</formula2>
    </dataValidation>
    <dataValidation sqref="G2" showDropDown="0" showInputMessage="0" showErrorMessage="0" allowBlank="0" type="list">
      <formula1>SUGF_G</formula1>
      <formula2>0</formula2>
    </dataValidation>
    <dataValidation sqref="H2" showDropDown="0" showInputMessage="0" showErrorMessage="0" allowBlank="0" type="list">
      <formula1>SUGF_H</formula1>
      <formula2>0</formula2>
    </dataValidation>
    <dataValidation sqref="I2" showDropDown="0" showInputMessage="0" showErrorMessage="0" allowBlank="0" type="list">
      <formula1>SUGF_I</formula1>
      <formula2>0</formula2>
    </dataValidation>
    <dataValidation sqref="J2" showDropDown="0" showInputMessage="0" showErrorMessage="0" allowBlank="0" type="list">
      <formula1>SUGF_J</formula1>
      <formula2>0</formula2>
    </dataValidation>
    <dataValidation sqref="K2" showDropDown="0" showInputMessage="0" showErrorMessage="0" allowBlank="0" type="list">
      <formula1>SUGF_K</formula1>
      <formula2>0</formula2>
    </dataValidation>
    <dataValidation sqref="L2" showDropDown="0" showInputMessage="0" showErrorMessage="0" allowBlank="0" type="list">
      <formula1>SUGF_L</formula1>
      <formula2>0</formula2>
    </dataValidation>
    <dataValidation sqref="M2" showDropDown="0" showInputMessage="0" showErrorMessage="0" allowBlank="0" type="list">
      <formula1>SUGF_M</formula1>
      <formula2>0</formula2>
    </dataValidation>
    <dataValidation sqref="N2" showDropDown="0" showInputMessage="0" showErrorMessage="0" allowBlank="0" type="list">
      <formula1>SUGF_N</formula1>
      <formula2>0</formula2>
    </dataValidation>
    <dataValidation sqref="O2" showDropDown="0" showInputMessage="0" showErrorMessage="0" allowBlank="0" type="list">
      <formula1>SUGF_O</formula1>
      <formula2>0</formula2>
    </dataValidation>
    <dataValidation sqref="P2" showDropDown="0" showInputMessage="0" showErrorMessage="0" allowBlank="0" type="list">
      <formula1>SUGF_P</formula1>
      <formula2>0</formula2>
    </dataValidation>
    <dataValidation sqref="Q2" showDropDown="0" showInputMessage="0" showErrorMessage="0" allowBlank="0" type="list">
      <formula1>SUGF_Q</formula1>
      <formula2>0</formula2>
    </dataValidation>
    <dataValidation sqref="R2" showDropDown="0" showInputMessage="0" showErrorMessage="0" allowBlank="0" type="list">
      <formula1>SUGF_R</formula1>
      <formula2>0</formula2>
    </dataValidation>
    <dataValidation sqref="S2" showDropDown="0" showInputMessage="0" showErrorMessage="0" allowBlank="0" type="list">
      <formula1>SUGF_S</formula1>
      <formula2>0</formula2>
    </dataValidation>
    <dataValidation sqref="T2" showDropDown="0" showInputMessage="0" showErrorMessage="0" allowBlank="0" type="list">
      <formula1>SUGF_T</formula1>
      <formula2>0</formula2>
    </dataValidation>
    <dataValidation sqref="U2" showDropDown="0" showInputMessage="0" showErrorMessage="0" allowBlank="0" type="list">
      <formula1>SUGF_U</formula1>
      <formula2>0</formula2>
    </dataValidation>
    <dataValidation sqref="V2" showDropDown="0" showInputMessage="0" showErrorMessage="0" allowBlank="0" type="list">
      <formula1>SUGF_V</formula1>
      <formula2>0</formula2>
    </dataValidation>
    <dataValidation sqref="W2" showDropDown="0" showInputMessage="0" showErrorMessage="0" allowBlank="0" type="list">
      <formula1>SUGF_W</formula1>
      <formula2>0</formula2>
    </dataValidation>
    <dataValidation sqref="X2" showDropDown="0" showInputMessage="0" showErrorMessage="0" allowBlank="0" type="list">
      <formula1>SUGF_X</formula1>
      <formula2>0</formula2>
    </dataValidation>
    <dataValidation sqref="Y2" showDropDown="0" showInputMessage="0" showErrorMessage="0" allowBlank="0" type="list">
      <formula1>SUGF_Y</formula1>
      <formula2>0</formula2>
    </dataValidation>
    <dataValidation sqref="Z2" showDropDown="0" showInputMessage="0" showErrorMessage="0" allowBlank="0" type="list">
      <formula1>SUGF_Z</formula1>
      <formula2>0</formula2>
    </dataValidation>
    <dataValidation sqref="AA2" showDropDown="0" showInputMessage="0" showErrorMessage="0" allowBlank="0" type="list">
      <formula1>SUGF_AA</formula1>
      <formula2>0</formula2>
    </dataValidation>
    <dataValidation sqref="AB2" showDropDown="0" showInputMessage="0" showErrorMessage="0" allowBlank="0" type="list">
      <formula1>SUGF_AB</formula1>
      <formula2>0</formula2>
    </dataValidation>
    <dataValidation sqref="AC2" showDropDown="0" showInputMessage="0" showErrorMessage="0" allowBlank="0" type="list">
      <formula1>SUGF_AC</formula1>
      <formula2>0</formula2>
    </dataValidation>
    <dataValidation sqref="AD2" showDropDown="0" showInputMessage="0" showErrorMessage="0" allowBlank="0" type="list">
      <formula1>SUGF_AD</formula1>
      <formula2>0</formula2>
    </dataValidation>
    <dataValidation sqref="AE2" showDropDown="0" showInputMessage="0" showErrorMessage="0" allowBlank="0" type="list">
      <formula1>SUGF_AE</formula1>
      <formula2>0</formula2>
    </dataValidation>
    <dataValidation sqref="AF2" showDropDown="0" showInputMessage="0" showErrorMessage="0" allowBlank="0" type="list">
      <formula1>SUGF_AF</formula1>
      <formula2>0</formula2>
    </dataValidation>
    <dataValidation sqref="AG2" showDropDown="0" showInputMessage="0" showErrorMessage="0" allowBlank="0" type="list">
      <formula1>SUGF_AG</formula1>
      <formula2>0</formula2>
    </dataValidation>
    <dataValidation sqref="AH2" showDropDown="0" showInputMessage="0" showErrorMessage="0" allowBlank="0" type="list">
      <formula1>SUGF_AH</formula1>
      <formula2>0</formula2>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CASCADING DROPDOWNS — every yellow column dropdown (A4:AI4) narrows to values still possible given your other search cells and the search box; pick a buyer and Lot No. only shows that buyer’s lots, and so on. Clear a cell to widen its list again. Buyer Groups has the same cascading behaviour on its SEARCH row.</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EP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 hidden="1" width="13" customWidth="1" style="137" min="111" max="111"/>
    <col hidden="1" width="13" customWidth="1" style="137" min="112" max="112"/>
    <col hidden="1" width="13" customWidth="1" style="137" min="113" max="113"/>
    <col hidden="1" width="13" customWidth="1" style="137" min="114" max="114"/>
    <col hidden="1" width="13" customWidth="1" style="137" min="115" max="115"/>
    <col hidden="1" width="13" customWidth="1" style="137" min="116" max="116"/>
    <col hidden="1" width="13" customWidth="1" style="137" min="117" max="117"/>
    <col hidden="1" width="13" customWidth="1" style="137" min="118" max="118"/>
    <col hidden="1" width="13" customWidth="1" style="137" min="119" max="119"/>
    <col hidden="1" width="13" customWidth="1" style="137" min="120" max="120"/>
    <col hidden="1" width="13" customWidth="1" style="137" min="121" max="121"/>
    <col hidden="1" width="13" customWidth="1" style="137" min="122" max="122"/>
    <col hidden="1" width="13" customWidth="1" style="137" min="123" max="123"/>
    <col hidden="1" width="13" customWidth="1" style="137" min="124" max="124"/>
    <col hidden="1" width="13" customWidth="1" style="137" min="125" max="125"/>
    <col hidden="1" width="13" customWidth="1" style="137" min="126" max="126"/>
    <col hidden="1" width="13" customWidth="1" style="137" min="127" max="127"/>
    <col hidden="1" width="13" customWidth="1" style="137" min="128" max="128"/>
    <col hidden="1" width="13" customWidth="1" style="137" min="129" max="129"/>
    <col hidden="1" width="13" customWidth="1" style="137" min="130" max="130"/>
    <col hidden="1" width="13" customWidth="1" style="137" min="131" max="131"/>
    <col hidden="1" width="13" customWidth="1" style="137" min="132" max="132"/>
    <col hidden="1" width="13" customWidth="1" style="137" min="133" max="133"/>
    <col hidden="1" width="13" customWidth="1" style="137" min="134" max="134"/>
    <col hidden="1" width="13" customWidth="1" style="137" min="135" max="135"/>
    <col hidden="1" width="13" customWidth="1" style="137" min="136" max="136"/>
    <col hidden="1" width="13" customWidth="1" style="137" min="137" max="137"/>
    <col hidden="1" width="13" customWidth="1" style="137" min="138" max="138"/>
    <col hidden="1" width="13" customWidth="1" style="137" min="139" max="139"/>
    <col hidden="1" width="13" customWidth="1" style="137" min="140" max="140"/>
    <col hidden="1" width="13" customWidth="1" style="137" min="141" max="141"/>
    <col hidden="1" width="13" customWidth="1" style="137" min="142" max="142"/>
    <col hidden="1" width="13" customWidth="1" style="137" min="143" max="143"/>
    <col hidden="1" width="13" customWidth="1" style="137" min="144" max="144"/>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cascading dropdown (same style as Live Search): click a search cell and press Alt+↓ to pick a value. Each list narrows to values still possible given your other yellow filters — pick a buyer and Lot No. only shows that buyer’s lots, and so on. Clear a cell to widen its list again.  •  MATCHED LOTS ARE PINNED TO THE TOP — as soon as any SEARCH box holds a value, the strip in rows 7:43 opens above the buyer blocks and lists every matching lot there (same rule as the yellow highlight: contains-text per column, AND across columns, (blank)/(nonblank) supported), while the lots that do NOT match go grey inside the blocks below; the strip hides itself again once the SEARCH row is cleared, and its +/- control on row 44 opens or closes it by hand too. For multi-value ANY (comma) or wildcards use Live Search.  •  LIFT MATCHING BLOCKS — double-click the ▸ MATCHED LOTS bar (row 6) and every buyer block holding a matching lot moves to the top of the list, matched lots first inside the block; double-click the bar again to restore the plain alphabetical order. Typing in the SEARCH row puts the blocks back in that plain order first, so every search starts from the same layout. Blocks are physically moved, never rewritten, so shading, row groups, subtotals and every live link stay intact.  •  NARROWING DROPDOWNS — dropdowns cascade with your other filters (only values that still match remain); in newer Excel, typing a few letters further filters the list as you type, like Google. The highlight and MATCHED LOTS update live. Clear the cell for the full cascading list again.</t>
        </is>
      </c>
    </row>
    <row r="3" ht="21.75" customHeight="1" s="137">
      <c r="A3" s="59" t="inlineStr">
        <is>
          <t>BUYERS  ▸</t>
        </is>
      </c>
      <c r="B3" s="62">
        <f>SUMPRODUCT(1/COUNTIF('Final Calculation Sheet'!$G$4:$G$40,'Final Calculation Sheet'!$G$4:$G$40))</f>
        <v/>
      </c>
      <c r="C3" s="59" t="inlineStr">
        <is>
          <t>LOTS  ▸</t>
        </is>
      </c>
      <c r="D3" s="62">
        <f>COUNTA('Final Calculation Sheet'!$G$4:$G$40)</f>
        <v/>
      </c>
      <c r="DG3" t="inlineStr">
        <is>
          <t>BG match helper B</t>
        </is>
      </c>
      <c r="DH3" t="inlineStr">
        <is>
          <t>BG match helper C</t>
        </is>
      </c>
      <c r="DI3" t="inlineStr">
        <is>
          <t>BG match helper D</t>
        </is>
      </c>
      <c r="DJ3" t="inlineStr">
        <is>
          <t>BG match helper E</t>
        </is>
      </c>
      <c r="DK3" t="inlineStr">
        <is>
          <t>BG match helper F</t>
        </is>
      </c>
      <c r="DL3" t="inlineStr">
        <is>
          <t>BG match helper G</t>
        </is>
      </c>
      <c r="DM3" t="inlineStr">
        <is>
          <t>BG match helper H</t>
        </is>
      </c>
      <c r="DN3" t="inlineStr">
        <is>
          <t>BG match helper I</t>
        </is>
      </c>
      <c r="DO3" t="inlineStr">
        <is>
          <t>BG match helper J</t>
        </is>
      </c>
      <c r="DP3" t="inlineStr">
        <is>
          <t>BG match helper K</t>
        </is>
      </c>
      <c r="DQ3" t="inlineStr">
        <is>
          <t>BG match helper L</t>
        </is>
      </c>
      <c r="DR3" t="inlineStr">
        <is>
          <t>BG match helper M</t>
        </is>
      </c>
      <c r="DS3" t="inlineStr">
        <is>
          <t>BG match helper N</t>
        </is>
      </c>
      <c r="DT3" t="inlineStr">
        <is>
          <t>BG match helper O</t>
        </is>
      </c>
      <c r="DU3" t="inlineStr">
        <is>
          <t>BG match helper P</t>
        </is>
      </c>
      <c r="DV3" t="inlineStr">
        <is>
          <t>BG match helper Q</t>
        </is>
      </c>
      <c r="DW3" t="inlineStr">
        <is>
          <t>BG match helper R</t>
        </is>
      </c>
      <c r="DX3" t="inlineStr">
        <is>
          <t>BG match helper S</t>
        </is>
      </c>
      <c r="DY3" t="inlineStr">
        <is>
          <t>BG match helper T</t>
        </is>
      </c>
      <c r="DZ3" t="inlineStr">
        <is>
          <t>BG match helper U</t>
        </is>
      </c>
      <c r="EA3" t="inlineStr">
        <is>
          <t>BG match helper V</t>
        </is>
      </c>
      <c r="EB3" t="inlineStr">
        <is>
          <t>BG match helper W</t>
        </is>
      </c>
      <c r="EC3" t="inlineStr">
        <is>
          <t>BG match helper X</t>
        </is>
      </c>
      <c r="ED3" t="inlineStr">
        <is>
          <t>BG match helper Y</t>
        </is>
      </c>
      <c r="EE3" t="inlineStr">
        <is>
          <t>BG match helper Z</t>
        </is>
      </c>
      <c r="EF3" t="inlineStr">
        <is>
          <t>BG match helper AA</t>
        </is>
      </c>
      <c r="EG3" t="inlineStr">
        <is>
          <t>BG match helper AB</t>
        </is>
      </c>
      <c r="EH3" t="inlineStr">
        <is>
          <t>BG match helper AC</t>
        </is>
      </c>
      <c r="EI3" t="inlineStr">
        <is>
          <t>BG match helper AD</t>
        </is>
      </c>
      <c r="EJ3" t="inlineStr">
        <is>
          <t>BG match helper AE</t>
        </is>
      </c>
      <c r="EK3" t="inlineStr">
        <is>
          <t>BG match helper AF</t>
        </is>
      </c>
      <c r="EL3" t="inlineStr">
        <is>
          <t>BG match helper AG</t>
        </is>
      </c>
      <c r="EM3" t="inlineStr">
        <is>
          <t>BG match helper AH</t>
        </is>
      </c>
      <c r="EN3" t="inlineStr">
        <is>
          <t>BG match helper AI</t>
        </is>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IF(AND(Lists!$FI$4&lt;&gt;"",ISNUMBER(SEARCH($AG$4,Lists!$FI$4))),1,0)</f>
        <v/>
      </c>
      <c r="CV4">
        <f>IF(ROW()-3&gt;MAX($CU$4:$CU$42),"",INDEX(Lists!$FI$4:$FI$42,MATCH(ROW()-3,$CU$4:$CU$42,0)))</f>
        <v/>
      </c>
      <c r="CW4">
        <f>IF(AND(Lists!$FN$4&lt;&gt;"",ISNUMBER(SEARCH($AH$4,Lists!$FN$4))),1,0)</f>
        <v/>
      </c>
      <c r="CX4">
        <f>IF(ROW()-3&gt;MAX($CW$4:$CW$42),"",INDEX(Lists!$FN$4:$FN$42,MATCH(ROW()-3,$CW$4:$CW$42,0)))</f>
        <v/>
      </c>
      <c r="CY4">
        <f>IF(AND(Lists!$FS$4&lt;&gt;"",ISNUMBER(SEARCH($AI$4,Lists!$FS$4))),1,0)</f>
        <v/>
      </c>
      <c r="CZ4">
        <f>IF(ROW()-3&gt;MAX($CY$4:$CY$42),"",INDEX(Lists!$FS$4:$FS$42,MATCH(ROW()-3,$CY$4:$CY$42,0)))</f>
        <v/>
      </c>
      <c r="DA4">
        <f>IF(AND(Lists!$FX$4&lt;&gt;"",ISNUMBER(SEARCH($AF$4,Lists!$FX$4))),1,0)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CU4+IF(AND(Lists!$FI$5&lt;&gt;"",ISNUMBER(SEARCH($AG$4,Lists!$FI$5))),1,0)</f>
        <v/>
      </c>
      <c r="CV5">
        <f>IF(ROW()-3&gt;MAX($CU$4:$CU$42),"",INDEX(Lists!$FI$4:$FI$42,MATCH(ROW()-3,$CU$4:$CU$42,0)))</f>
        <v/>
      </c>
      <c r="CW5">
        <f>CW4+IF(AND(Lists!$FN$5&lt;&gt;"",ISNUMBER(SEARCH($AH$4,Lists!$FN$5))),1,0)</f>
        <v/>
      </c>
      <c r="CX5">
        <f>IF(ROW()-3&gt;MAX($CW$4:$CW$42),"",INDEX(Lists!$FN$4:$FN$42,MATCH(ROW()-3,$CW$4:$CW$42,0)))</f>
        <v/>
      </c>
      <c r="CY5">
        <f>CY4+IF(AND(Lists!$FS$5&lt;&gt;"",ISNUMBER(SEARCH($AI$4,Lists!$FS$5))),1,0)</f>
        <v/>
      </c>
      <c r="CZ5">
        <f>IF(ROW()-3&gt;MAX($CY$4:$CY$42),"",INDEX(Lists!$FS$4:$FS$42,MATCH(ROW()-3,$CY$4:$CY$42,0)))</f>
        <v/>
      </c>
      <c r="DA5">
        <f>DA4+IF(AND(Lists!$FX$5&lt;&gt;"",ISNUMBER(SEARCH($AF$4,Lists!$FX$5))),1,0)</f>
        <v/>
      </c>
      <c r="DB5">
        <f>IF(ROW()-3&gt;MAX($DA$4:$DA$42),"",INDEX(Lists!$FX$4:$FX$42,MATCH(ROW()-3,$DA$4:$DA$42,0)))</f>
        <v/>
      </c>
    </row>
    <row r="6">
      <c r="A6" s="117" t="inlineStr">
        <is>
          <t>▸ MATCHED LOTS</t>
        </is>
      </c>
      <c r="B6" s="117" t="n"/>
      <c r="C6" s="117" t="str">
        <f>IF(COUNTIF($B$4:$AI$4,"&lt;&gt;")=0,"▸ MATCHED LOTS  —  rows 7:43 sit above the buyer blocks: type in any yellow SEARCH box and every matching lot is pinned here, while the lots that do not match go grey below.  Double-click this row to lift the matching buyers’ whole blocks to the top of the list too.","▸ MATCHED LOTS  —  "&amp;SUM($AJ$6:$AJ$42)&amp;" of 37 lot(s) match   ·   non-matching lots are greyed out in the blocks below   ·   double-click this row to lift the matching buyers’ blocks up, double-click again to put them back"&amp;IF($EP$1=1,"   ·   THE BLOCKS ARE LIFTED - double-click here to put them back",""))</f>
        <v>▸ MATCHED LOTS  —  rows 7:43 sit above the buyer blocks: type in any yellow SEARCH box and every matching lot is pinned here, while the lots that do not match go grey below.  Double-click this row to lift the matching buyers’ whole blocks to the top of the list too.</v>
      </c>
      <c r="D6" s="117" t="n"/>
      <c r="E6" s="117" t="n"/>
      <c r="F6" s="117" t="n"/>
      <c r="G6" s="117" t="n"/>
      <c r="H6" s="117" t="n"/>
      <c r="I6" s="117" t="n"/>
      <c r="J6" s="117" t="n"/>
      <c r="K6" s="117" t="n"/>
      <c r="L6" s="117" t="n"/>
      <c r="M6" s="117" t="n"/>
      <c r="N6" s="117" t="n"/>
      <c r="O6" s="117" t="n"/>
      <c r="P6" s="117" t="n"/>
      <c r="Q6" s="117" t="n"/>
      <c r="R6" s="117" t="n"/>
      <c r="S6" s="117" t="n"/>
      <c r="T6" s="117" t="n"/>
      <c r="U6" s="117" t="n"/>
      <c r="V6" s="117" t="n"/>
      <c r="W6" s="117" t="n"/>
      <c r="X6" s="117" t="n"/>
      <c r="Y6" s="117" t="n"/>
      <c r="Z6" s="117" t="n"/>
      <c r="AA6" s="117" t="n"/>
      <c r="AB6" s="117" t="n"/>
      <c r="AC6" s="117" t="n"/>
      <c r="AD6" s="117" t="n"/>
      <c r="AE6" s="117" t="n"/>
      <c r="AF6" s="117" t="n"/>
      <c r="AG6" s="117" t="n"/>
      <c r="AH6" s="117" t="n"/>
      <c r="AI6" s="117" t="n"/>
      <c r="AJ6">
        <f>IF(AND(IF($B$4="",TRUE(),IF($B$4="(blank)",'Final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Sheet'!$AD$4&lt;=5,"SETTLED","OUTSTANDING"))))))),1,0)</f>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CU5+IF(AND(Lists!$FI$6&lt;&gt;"",ISNUMBER(SEARCH($AG$4,Lists!$FI$6))),1,0)</f>
        <v/>
      </c>
      <c r="CV6">
        <f>IF(ROW()-3&gt;MAX($CU$4:$CU$42),"",INDEX(Lists!$FI$4:$FI$42,MATCH(ROW()-3,$CU$4:$CU$42,0)))</f>
        <v/>
      </c>
      <c r="CW6">
        <f>CW5+IF(AND(Lists!$FN$6&lt;&gt;"",ISNUMBER(SEARCH($AH$4,Lists!$FN$6))),1,0)</f>
        <v/>
      </c>
      <c r="CX6">
        <f>IF(ROW()-3&gt;MAX($CW$4:$CW$42),"",INDEX(Lists!$FN$4:$FN$42,MATCH(ROW()-3,$CW$4:$CW$42,0)))</f>
        <v/>
      </c>
      <c r="CY6">
        <f>CY5+IF(AND(Lists!$FS$6&lt;&gt;"",ISNUMBER(SEARCH($AI$4,Lists!$FS$6))),1,0)</f>
        <v/>
      </c>
      <c r="CZ6">
        <f>IF(ROW()-3&gt;MAX($CY$4:$CY$42),"",INDEX(Lists!$FS$4:$FS$42,MATCH(ROW()-3,$CY$4:$CY$42,0)))</f>
        <v/>
      </c>
      <c r="DA6">
        <f>DA5+IF(AND(Lists!$FX$6&lt;&gt;"",ISNUMBER(SEARCH($AF$4,Lists!$FX$6))),1,0)</f>
        <v/>
      </c>
      <c r="DB6">
        <f>IF(ROW()-3&gt;MAX($DA$4:$DA$42),"",INDEX(Lists!$FX$4:$FX$42,MATCH(ROW()-3,$DA$4:$DA$42,0)))</f>
        <v/>
      </c>
      <c r="DG6">
        <f>IF($B$4="",1,IF($B$4="(blank)",--('Final Calculation Sheet'!$F$4=""),IF($B$4="(nonblank)",--('Final Calculation Sheet'!$F$4&lt;&gt;""),--ISNUMBER(SEARCH($B$4,'Final Calculation Sheet'!$F$4)))))</f>
        <v/>
      </c>
      <c r="DH6">
        <f>IF($C$4="",1,IF($C$4="(blank)",--('Final Calculation Sheet'!$G$4=""),IF($C$4="(nonblank)",--('Final Calculation Sheet'!$G$4&lt;&gt;""),--ISNUMBER(SEARCH($C$4,'Final Calculation Sheet'!$G$4)))))</f>
        <v/>
      </c>
      <c r="DI6">
        <f>IF($D$4="",1,IF($D$4="(blank)",--('Final Calculation Sheet'!$B$4=""),IF($D$4="(nonblank)",--('Final Calculation Sheet'!$B$4&lt;&gt;""),--ISNUMBER(SEARCH($D$4,'Final Calculation Sheet'!$B$4)))))</f>
        <v/>
      </c>
      <c r="DJ6">
        <f>IF($E$4="",1,IF($E$4="(blank)",--('Final Calculation Sheet'!$D$4=""),IF($E$4="(nonblank)",--('Final Calculation Sheet'!$D$4&lt;&gt;""),--ISNUMBER(SEARCH($E$4,'Final Calculation Sheet'!$D$4)))))</f>
        <v/>
      </c>
      <c r="DK6">
        <f>IF($F$4="",1,IF($F$4="(blank)",--('Final Calculation Sheet'!$A$4=""),IF($F$4="(nonblank)",--('Final Calculation Sheet'!$A$4&lt;&gt;""),--ISNUMBER(SEARCH($F$4,'Final Calculation Sheet'!$A$4)))))</f>
        <v/>
      </c>
      <c r="DL6">
        <f>IF($G$4="",1,IF($G$4="(blank)",--('Final Calculation Sheet'!$E$4=""),IF($G$4="(nonblank)",--('Final Calculation Sheet'!$E$4&lt;&gt;""),--ISNUMBER(SEARCH($G$4,'Final Calculation Sheet'!$E$4)))))</f>
        <v/>
      </c>
      <c r="DM6">
        <f>IF($H$4="",1,IF($H$4="(blank)",--('Final Calculation Sheet'!$C$4=""),IF($H$4="(nonblank)",--('Final Calculation Sheet'!$C$4&lt;&gt;""),--ISNUMBER(SEARCH($H$4,'Final Calculation Sheet'!$C$4)))))</f>
        <v/>
      </c>
      <c r="DN6">
        <f>IF($I$4="",1,IF($I$4="(blank)",--('Final Calculation Sheet'!$H$4=""),IF($I$4="(nonblank)",--('Final Calculation Sheet'!$H$4&lt;&gt;""),--ISNUMBER(SEARCH($I$4,'Final Calculation Sheet'!$H$4)))))</f>
        <v/>
      </c>
      <c r="DO6">
        <f>IF($J$4="",1,IF($J$4="(blank)",--('Final Calculation Sheet'!$I$4=""),IF($J$4="(nonblank)",--('Final Calculation Sheet'!$I$4&lt;&gt;""),--ISNUMBER(SEARCH($J$4,'Final Calculation Sheet'!$I$4)))))</f>
        <v/>
      </c>
      <c r="DP6">
        <f>IF($K$4="",1,IF($K$4="(blank)",--('Final Calculation Sheet'!$J$4=""),IF($K$4="(nonblank)",--('Final Calculation Sheet'!$J$4&lt;&gt;""),--ISNUMBER(SEARCH($K$4,'Final Calculation Sheet'!$J$4)))))</f>
        <v/>
      </c>
      <c r="DQ6">
        <f>IF($L$4="",1,IF($L$4="(blank)",--('Final Calculation Sheet'!$K$4=""),IF($L$4="(nonblank)",--('Final Calculation Sheet'!$K$4&lt;&gt;""),--ISNUMBER(SEARCH($L$4,'Final Calculation Sheet'!$K$4)))))</f>
        <v/>
      </c>
      <c r="DR6">
        <f>IF($M$4="",1,IF($M$4="(blank)",--('Final Calculation Sheet'!$L$4=""),IF($M$4="(nonblank)",--('Final Calculation Sheet'!$L$4&lt;&gt;""),--ISNUMBER(SEARCH($M$4,'Final Calculation Sheet'!$L$4)))))</f>
        <v/>
      </c>
      <c r="DS6">
        <f>IF($N$4="",1,IF($N$4="(blank)",--('Final Calculation Sheet'!$M$4=""),IF($N$4="(nonblank)",--('Final Calculation Sheet'!$M$4&lt;&gt;""),--ISNUMBER(SEARCH($N$4,'Final Calculation Sheet'!$M$4)))))</f>
        <v/>
      </c>
      <c r="DT6">
        <f>IF($O$4="",1,IF($O$4="(blank)",--('Final Calculation Sheet'!$N$4=""),IF($O$4="(nonblank)",--('Final Calculation Sheet'!$N$4&lt;&gt;""),--ISNUMBER(SEARCH($O$4,'Final Calculation Sheet'!$N$4)))))</f>
        <v/>
      </c>
      <c r="DU6">
        <f>IF($P$4="",1,IF($P$4="(blank)",--('Final Calculation Sheet'!$O$4=""),IF($P$4="(nonblank)",--('Final Calculation Sheet'!$O$4&lt;&gt;""),--ISNUMBER(SEARCH($P$4,'Final Calculation Sheet'!$O$4)))))</f>
        <v/>
      </c>
      <c r="DV6">
        <f>IF($Q$4="",1,IF($Q$4="(blank)",--('Final Calculation Sheet'!$P$4=""),IF($Q$4="(nonblank)",--('Final Calculation Sheet'!$P$4&lt;&gt;""),--ISNUMBER(SEARCH($Q$4,'Final Calculation Sheet'!$P$4)))))</f>
        <v/>
      </c>
      <c r="DW6">
        <f>IF($R$4="",1,IF($R$4="(blank)",--('Final Calculation Sheet'!$Q$4=""),IF($R$4="(nonblank)",--('Final Calculation Sheet'!$Q$4&lt;&gt;""),--ISNUMBER(SEARCH($R$4,'Final Calculation Sheet'!$Q$4)))))</f>
        <v/>
      </c>
      <c r="DX6">
        <f>IF($S$4="",1,IF($S$4="(blank)",--('Final Calculation Sheet'!$R$4=""),IF($S$4="(nonblank)",--('Final Calculation Sheet'!$R$4&lt;&gt;""),--ISNUMBER(SEARCH($S$4,'Final Calculation Sheet'!$R$4)))))</f>
        <v/>
      </c>
      <c r="DY6">
        <f>IF($T$4="",1,IF($T$4="(blank)",--('Final Calculation Sheet'!$S$4=""),IF($T$4="(nonblank)",--('Final Calculation Sheet'!$S$4&lt;&gt;""),--ISNUMBER(SEARCH($T$4,'Final Calculation Sheet'!$S$4)))))</f>
        <v/>
      </c>
      <c r="DZ6">
        <f>IF($U$4="",1,IF($U$4="(blank)",--('Final Calculation Sheet'!$T$4=""),IF($U$4="(nonblank)",--('Final Calculation Sheet'!$T$4&lt;&gt;""),--ISNUMBER(SEARCH($U$4,'Final Calculation Sheet'!$T$4)))))</f>
        <v/>
      </c>
      <c r="EA6">
        <f>IF($V$4="",1,IF($V$4="(blank)",--('Final Calculation Sheet'!$U$4=""),IF($V$4="(nonblank)",--('Final Calculation Sheet'!$U$4&lt;&gt;""),--ISNUMBER(SEARCH($V$4,'Final Calculation Sheet'!$U$4)))))</f>
        <v/>
      </c>
      <c r="EB6">
        <f>IF($W$4="",1,IF($W$4="(blank)",--('Final Calculation Sheet'!$V$4=""),IF($W$4="(nonblank)",--('Final Calculation Sheet'!$V$4&lt;&gt;""),--ISNUMBER(SEARCH($W$4,'Final Calculation Sheet'!$V$4)))))</f>
        <v/>
      </c>
      <c r="EC6">
        <f>IF($X$4="",1,IF($X$4="(blank)",--('Final Calculation Sheet'!$W$4=""),IF($X$4="(nonblank)",--('Final Calculation Sheet'!$W$4&lt;&gt;""),--ISNUMBER(SEARCH($X$4,'Final Calculation Sheet'!$W$4)))))</f>
        <v/>
      </c>
      <c r="ED6">
        <f>IF($Y$4="",1,IF($Y$4="(blank)",--('Final Calculation Sheet'!$X$4=""),IF($Y$4="(nonblank)",--('Final Calculation Sheet'!$X$4&lt;&gt;""),--ISNUMBER(SEARCH($Y$4,'Final Calculation Sheet'!$X$4)))))</f>
        <v/>
      </c>
      <c r="EE6">
        <f>IF($Z$4="",1,IF($Z$4="(blank)",--('Final Calculation Sheet'!$Y$4=""),IF($Z$4="(nonblank)",--('Final Calculation Sheet'!$Y$4&lt;&gt;""),--ISNUMBER(SEARCH($Z$4,'Final Calculation Sheet'!$Y$4)))))</f>
        <v/>
      </c>
      <c r="EF6">
        <f>IF($AA$4="",1,IF($AA$4="(blank)",--('Final Calculation Sheet'!$Z$4=""),IF($AA$4="(nonblank)",--('Final Calculation Sheet'!$Z$4&lt;&gt;""),--ISNUMBER(SEARCH($AA$4,'Final Calculation Sheet'!$Z$4)))))</f>
        <v/>
      </c>
      <c r="EG6">
        <f>IF($AB$4="",1,IF($AB$4="(blank)",--('Final Calculation Sheet'!$AA$4=""),IF($AB$4="(nonblank)",--('Final Calculation Sheet'!$AA$4&lt;&gt;""),--ISNUMBER(SEARCH($AB$4,'Final Calculation Sheet'!$AA$4)))))</f>
        <v/>
      </c>
      <c r="EH6">
        <f>IF($AC$4="",1,IF($AC$4="(blank)",--('Final Calculation Sheet'!$AB$4=""),IF($AC$4="(nonblank)",--('Final Calculation Sheet'!$AB$4&lt;&gt;""),--ISNUMBER(SEARCH($AC$4,'Final Calculation Sheet'!$AB$4)))))</f>
        <v/>
      </c>
      <c r="EI6">
        <f>IF($AD$4="",1,IF($AD$4="(blank)",--('Final Calculation Sheet'!$AC$4=""),IF($AD$4="(nonblank)",--('Final Calculation Sheet'!$AC$4&lt;&gt;""),--ISNUMBER(SEARCH($AD$4,'Final Calculation Sheet'!$AC$4)))))</f>
        <v/>
      </c>
      <c r="EJ6">
        <f>IF($AE$4="",1,IF($AE$4="(blank)",--('Final Calculation Sheet'!$AD$4=""),IF($AE$4="(nonblank)",--('Final Calculation Sheet'!$AD$4&lt;&gt;""),--ISNUMBER(SEARCH($AE$4,'Final Calculation Sheet'!$AD$4)))))</f>
        <v/>
      </c>
      <c r="EK6">
        <f>IF($AF$4="",1,IF($AF$4="(blank)",--(IF('Final Calculation Sheet'!$AD$4&lt;=5,"SETTLED","OUTSTANDING")=""),IF($AF$4="(nonblank)",--(IF('Final Calculation Sheet'!$AD$4&lt;=5,"SETTLED","OUTSTANDING")&lt;&gt;""),--ISNUMBER(SEARCH($AF$4,IF('Final Calculation Sheet'!$AD$4&lt;=5,"SETTLED","OUTSTANDING"))))))</f>
        <v/>
      </c>
      <c r="EL6">
        <f>IF($AG$4="",1,IF($AG$4="(blank)",--('Final Calculation Sheet'!$AF$4=""),IF($AG$4="(nonblank)",--('Final Calculation Sheet'!$AF$4&lt;&gt;""),--ISNUMBER(SEARCH($AG$4,'Final Calculation Sheet'!$AF$4)))))</f>
        <v/>
      </c>
      <c r="EM6">
        <f>IF($AH$4="",1,IF($AH$4="(blank)",--('Final Calculation Sheet'!$AG$4=""),IF($AH$4="(nonblank)",--('Final Calculation Sheet'!$AG$4&lt;&gt;""),--ISNUMBER(SEARCH($AH$4,'Final Calculation Sheet'!$AG$4)))))</f>
        <v/>
      </c>
      <c r="EN6">
        <f>IF($AI$4="",1,IF($AI$4="(blank)",--('Final Calculation Sheet'!$AH$4=""),IF($AI$4="(nonblank)",--('Final Calculation Sheet'!$AH$4&lt;&gt;""),--ISNUMBER(SEARCH($AI$4,'Final Calculation Sheet'!$AH$4)))))</f>
        <v/>
      </c>
    </row>
    <row r="7" outlineLevel="1" hidden="1">
      <c r="A7" s="118">
        <f>IF($AL$7="","",1)</f>
        <v/>
      </c>
      <c r="B7" s="119">
        <f>IF($AL$7="","",IF(INDEX('Final Calculation Sheet'!$F$4:$F$40,$AL$7)="","",INDEX('Final Calculation Sheet'!$F$4:$F$40,$AL$7)))</f>
        <v/>
      </c>
      <c r="C7" s="119">
        <f>IF($AL$7="","",IF(INDEX('Final Calculation Sheet'!$G$4:$G$40,$AL$7)="","",INDEX('Final Calculation Sheet'!$G$4:$G$40,$AL$7)))</f>
        <v/>
      </c>
      <c r="D7" s="120">
        <f>IF(COUNTIF($B$4:$AI$4,"&lt;&gt;")=0,"↑ Pick a value from any SEARCH dropdown (or type) — ↓ the SEARCH row above is what fills this list",IF($AL7="","",IF(INDEX('Final Calculation Sheet'!$B$4:$B$40,$AL7)="","",INDEX('Final Calculation Sheet'!$B$4:$B$40,$AL7))))</f>
        <v/>
      </c>
      <c r="E7" s="121">
        <f>IF($AL$7="","",IF(INDEX('Final Calculation Sheet'!$D$4:$D$40,$AL$7)="","",INDEX('Final Calculation Sheet'!$D$4:$D$40,$AL$7)))</f>
        <v/>
      </c>
      <c r="F7" s="121">
        <f>IF($AL$7="","",IF(INDEX('Final Calculation Sheet'!$A$4:$A$40,$AL$7)="","",INDEX('Final Calculation Sheet'!$A$4:$A$40,$AL$7)))</f>
        <v/>
      </c>
      <c r="G7" s="121">
        <f>IF($AL$7="","",IF(INDEX('Final Calculation Sheet'!$E$4:$E$40,$AL$7)="","",INDEX('Final Calculation Sheet'!$E$4:$E$40,$AL$7)))</f>
        <v/>
      </c>
      <c r="H7" s="122">
        <f>IF($AL$7="","",IF(INDEX('Final Calculation Sheet'!$C$4:$C$40,$AL$7)="","",INDEX('Final Calculation Sheet'!$C$4:$C$40,$AL$7)))</f>
        <v/>
      </c>
      <c r="I7" s="122">
        <f>IF($AL$7="","",IF(INDEX('Final Calculation Sheet'!$H$4:$H$40,$AL$7)="","",INDEX('Final Calculation Sheet'!$H$4:$H$40,$AL$7)))</f>
        <v/>
      </c>
      <c r="J7" s="122">
        <f>IF($AL$7="","",IF(INDEX('Final Calculation Sheet'!$I$4:$I$40,$AL$7)="","",INDEX('Final Calculation Sheet'!$I$4:$I$40,$AL$7)))</f>
        <v/>
      </c>
      <c r="K7" s="122">
        <f>IF($AL$7="","",IF(INDEX('Final Calculation Sheet'!$J$4:$J$40,$AL$7)="","",INDEX('Final Calculation Sheet'!$J$4:$J$40,$AL$7)))</f>
        <v/>
      </c>
      <c r="L7" s="122">
        <f>IF($AL$7="","",IF(INDEX('Final Calculation Sheet'!$K$4:$K$40,$AL$7)="","",INDEX('Final Calculation Sheet'!$K$4:$K$40,$AL$7)))</f>
        <v/>
      </c>
      <c r="M7" s="122">
        <f>IF($AL$7="","",IF(INDEX('Final Calculation Sheet'!$L$4:$L$40,$AL$7)="","",INDEX('Final Calculation Sheet'!$L$4:$L$40,$AL$7)))</f>
        <v/>
      </c>
      <c r="N7" s="122">
        <f>IF($AL$7="","",IF(INDEX('Final Calculation Sheet'!$M$4:$M$40,$AL$7)="","",INDEX('Final Calculation Sheet'!$M$4:$M$40,$AL$7)))</f>
        <v/>
      </c>
      <c r="O7" s="123">
        <f>IF($AL$7="","",IF(INDEX('Final Calculation Sheet'!$N$4:$N$40,$AL$7)="","",INDEX('Final Calculation Sheet'!$N$4:$N$40,$AL$7)))</f>
        <v/>
      </c>
      <c r="P7" s="122">
        <f>IF($AL$7="","",IF(INDEX('Final Calculation Sheet'!$O$4:$O$40,$AL$7)="","",INDEX('Final Calculation Sheet'!$O$4:$O$40,$AL$7)))</f>
        <v/>
      </c>
      <c r="Q7" s="122">
        <f>IF($AL$7="","",IF(INDEX('Final Calculation Sheet'!$P$4:$P$40,$AL$7)="","",INDEX('Final Calculation Sheet'!$P$4:$P$40,$AL$7)))</f>
        <v/>
      </c>
      <c r="R7" s="124">
        <f>IF($AL$7="","",IF(INDEX('Final Calculation Sheet'!$Q$4:$Q$40,$AL$7)="","",INDEX('Final Calculation Sheet'!$Q$4:$Q$40,$AL$7)))</f>
        <v/>
      </c>
      <c r="S7" s="122">
        <f>IF($AL$7="","",IF(INDEX('Final Calculation Sheet'!$R$4:$R$40,$AL$7)="","",INDEX('Final Calculation Sheet'!$R$4:$R$40,$AL$7)))</f>
        <v/>
      </c>
      <c r="T7" s="122">
        <f>IF($AL$7="","",IF(INDEX('Final Calculation Sheet'!$S$4:$S$40,$AL$7)="","",INDEX('Final Calculation Sheet'!$S$4:$S$40,$AL$7)))</f>
        <v/>
      </c>
      <c r="U7" s="122">
        <f>IF($AL$7="","",IF(INDEX('Final Calculation Sheet'!$T$4:$T$40,$AL$7)="","",INDEX('Final Calculation Sheet'!$T$4:$T$40,$AL$7)))</f>
        <v/>
      </c>
      <c r="V7" s="125">
        <f>IF($AL$7="","",IF(INDEX('Final Calculation Sheet'!$U$4:$U$40,$AL$7)="","",INDEX('Final Calculation Sheet'!$U$4:$U$40,$AL$7)))</f>
        <v/>
      </c>
      <c r="W7" s="122">
        <f>IF($AL$7="","",IF(INDEX('Final Calculation Sheet'!$V$4:$V$40,$AL$7)="","",INDEX('Final Calculation Sheet'!$V$4:$V$40,$AL$7)))</f>
        <v/>
      </c>
      <c r="X7" s="122">
        <f>IF($AL$7="","",IF(INDEX('Final Calculation Sheet'!$W$4:$W$40,$AL$7)="","",INDEX('Final Calculation Sheet'!$W$4:$W$40,$AL$7)))</f>
        <v/>
      </c>
      <c r="Y7" s="122">
        <f>IF($AL$7="","",IF(INDEX('Final Calculation Sheet'!$X$4:$X$40,$AL$7)="","",INDEX('Final Calculation Sheet'!$X$4:$X$40,$AL$7)))</f>
        <v/>
      </c>
      <c r="Z7" s="122">
        <f>IF($AL$7="","",IF(INDEX('Final Calculation Sheet'!$Y$4:$Y$40,$AL$7)="","",INDEX('Final Calculation Sheet'!$Y$4:$Y$40,$AL$7)))</f>
        <v/>
      </c>
      <c r="AA7" s="122">
        <f>IF($AL$7="","",IF(INDEX('Final Calculation Sheet'!$Z$4:$Z$40,$AL$7)="","",INDEX('Final Calculation Sheet'!$Z$4:$Z$40,$AL$7)))</f>
        <v/>
      </c>
      <c r="AB7" s="122">
        <f>IF($AL$7="","",IF(INDEX('Final Calculation Sheet'!$AA$4:$AA$40,$AL$7)="","",INDEX('Final Calculation Sheet'!$AA$4:$AA$40,$AL$7)))</f>
        <v/>
      </c>
      <c r="AC7" s="122">
        <f>IF($AL$7="","",IF(INDEX('Final Calculation Sheet'!$AB$4:$AB$40,$AL$7)="","",INDEX('Final Calculation Sheet'!$AB$4:$AB$40,$AL$7)))</f>
        <v/>
      </c>
      <c r="AD7" s="122">
        <f>IF($AL$7="","",IF(INDEX('Final Calculation Sheet'!$AC$4:$AC$40,$AL$7)="","",INDEX('Final Calculation Sheet'!$AC$4:$AC$40,$AL$7)))</f>
        <v/>
      </c>
      <c r="AE7" s="122">
        <f>IF($AL$7="","",IF(INDEX('Final Calculation Sheet'!$AD$4:$AD$40,$AL$7)="","",INDEX('Final Calculation Sheet'!$AD$4:$AD$40,$AL$7)))</f>
        <v/>
      </c>
      <c r="AF7" s="127">
        <f>IF($AL$7="","",IF(INDEX('Final Calculation Sheet'!$AD$4:$AD$40,$AL$7)&lt;=5,"SETTLED","OUTSTANDING"))</f>
        <v/>
      </c>
      <c r="AG7" s="122">
        <f>IF($AL$7="","",IF(INDEX('Final Calculation Sheet'!$AF$4:$AF$40,$AL$7)="","",INDEX('Final Calculation Sheet'!$AF$4:$AF$40,$AL$7)))</f>
        <v/>
      </c>
      <c r="AH7" s="126">
        <f>IF($AL$7="","",IF(INDEX('Final Calculation Sheet'!$AG$4:$AG$40,$AL$7)="","",INDEX('Final Calculation Sheet'!$AG$4:$AG$40,$AL$7)))</f>
        <v/>
      </c>
      <c r="AI7" s="122">
        <f>IF($AL$7="","",IF(INDEX('Final Calculation Sheet'!$AH$4:$AH$40,$AL$7)="","",INDEX('Final Calculation Sheet'!$AH$4:$AH$40,$AL$7)))</f>
        <v/>
      </c>
      <c r="AJ7">
        <f>IF(AND(IF($B$4="",TRUE(),IF($B$4="(blank)",'Final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Sheet'!$AD$5&lt;=5,"SETTLED","OUTSTANDING"))))))),1,0)</f>
      </c>
      <c r="AK7">
        <f>IF(AJ7=1,COUNTIF(AJ$6:AJ7,1),"")</f>
        <v/>
      </c>
      <c r="AL7">
        <f>IF(COUNTIF($B$4:$AI$4,"&lt;&gt;")=0,"",IFERROR(MATCH(1,$AK$6:$AK$42,0),""))</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CU6+IF(AND(Lists!$FI$7&lt;&gt;"",ISNUMBER(SEARCH($AG$4,Lists!$FI$7))),1,0)</f>
        <v/>
      </c>
      <c r="CV7">
        <f>IF(ROW()-3&gt;MAX($CU$4:$CU$42),"",INDEX(Lists!$FI$4:$FI$42,MATCH(ROW()-3,$CU$4:$CU$42,0)))</f>
        <v/>
      </c>
      <c r="CW7">
        <f>CW6+IF(AND(Lists!$FN$7&lt;&gt;"",ISNUMBER(SEARCH($AH$4,Lists!$FN$7))),1,0)</f>
        <v/>
      </c>
      <c r="CX7">
        <f>IF(ROW()-3&gt;MAX($CW$4:$CW$42),"",INDEX(Lists!$FN$4:$FN$42,MATCH(ROW()-3,$CW$4:$CW$42,0)))</f>
        <v/>
      </c>
      <c r="CY7">
        <f>CY6+IF(AND(Lists!$FS$7&lt;&gt;"",ISNUMBER(SEARCH($AI$4,Lists!$FS$7))),1,0)</f>
        <v/>
      </c>
      <c r="CZ7">
        <f>IF(ROW()-3&gt;MAX($CY$4:$CY$42),"",INDEX(Lists!$FS$4:$FS$42,MATCH(ROW()-3,$CY$4:$CY$42,0)))</f>
        <v/>
      </c>
      <c r="DA7">
        <f>DA6+IF(AND(Lists!$FX$7&lt;&gt;"",ISNUMBER(SEARCH($AF$4,Lists!$FX$7))),1,0)</f>
        <v/>
      </c>
      <c r="DB7">
        <f>IF(ROW()-3&gt;MAX($DA$4:$DA$42),"",INDEX(Lists!$FX$4:$FX$42,MATCH(ROW()-3,$DA$4:$DA$42,0)))</f>
        <v/>
      </c>
      <c r="DG7">
        <f>IF($B$4="",1,IF($B$4="(blank)",--('Final Calculation Sheet'!$F$5=""),IF($B$4="(nonblank)",--('Final Calculation Sheet'!$F$5&lt;&gt;""),--ISNUMBER(SEARCH($B$4,'Final Calculation Sheet'!$F$5)))))</f>
        <v/>
      </c>
      <c r="DH7">
        <f>IF($C$4="",1,IF($C$4="(blank)",--('Final Calculation Sheet'!$G$5=""),IF($C$4="(nonblank)",--('Final Calculation Sheet'!$G$5&lt;&gt;""),--ISNUMBER(SEARCH($C$4,'Final Calculation Sheet'!$G$5)))))</f>
        <v/>
      </c>
      <c r="DI7">
        <f>IF($D$4="",1,IF($D$4="(blank)",--('Final Calculation Sheet'!$B$5=""),IF($D$4="(nonblank)",--('Final Calculation Sheet'!$B$5&lt;&gt;""),--ISNUMBER(SEARCH($D$4,'Final Calculation Sheet'!$B$5)))))</f>
        <v/>
      </c>
      <c r="DJ7">
        <f>IF($E$4="",1,IF($E$4="(blank)",--('Final Calculation Sheet'!$D$5=""),IF($E$4="(nonblank)",--('Final Calculation Sheet'!$D$5&lt;&gt;""),--ISNUMBER(SEARCH($E$4,'Final Calculation Sheet'!$D$5)))))</f>
        <v/>
      </c>
      <c r="DK7">
        <f>IF($F$4="",1,IF($F$4="(blank)",--('Final Calculation Sheet'!$A$5=""),IF($F$4="(nonblank)",--('Final Calculation Sheet'!$A$5&lt;&gt;""),--ISNUMBER(SEARCH($F$4,'Final Calculation Sheet'!$A$5)))))</f>
        <v/>
      </c>
      <c r="DL7">
        <f>IF($G$4="",1,IF($G$4="(blank)",--('Final Calculation Sheet'!$E$5=""),IF($G$4="(nonblank)",--('Final Calculation Sheet'!$E$5&lt;&gt;""),--ISNUMBER(SEARCH($G$4,'Final Calculation Sheet'!$E$5)))))</f>
        <v/>
      </c>
      <c r="DM7">
        <f>IF($H$4="",1,IF($H$4="(blank)",--('Final Calculation Sheet'!$C$5=""),IF($H$4="(nonblank)",--('Final Calculation Sheet'!$C$5&lt;&gt;""),--ISNUMBER(SEARCH($H$4,'Final Calculation Sheet'!$C$5)))))</f>
        <v/>
      </c>
      <c r="DN7">
        <f>IF($I$4="",1,IF($I$4="(blank)",--('Final Calculation Sheet'!$H$5=""),IF($I$4="(nonblank)",--('Final Calculation Sheet'!$H$5&lt;&gt;""),--ISNUMBER(SEARCH($I$4,'Final Calculation Sheet'!$H$5)))))</f>
        <v/>
      </c>
      <c r="DO7">
        <f>IF($J$4="",1,IF($J$4="(blank)",--('Final Calculation Sheet'!$I$5=""),IF($J$4="(nonblank)",--('Final Calculation Sheet'!$I$5&lt;&gt;""),--ISNUMBER(SEARCH($J$4,'Final Calculation Sheet'!$I$5)))))</f>
        <v/>
      </c>
      <c r="DP7">
        <f>IF($K$4="",1,IF($K$4="(blank)",--('Final Calculation Sheet'!$J$5=""),IF($K$4="(nonblank)",--('Final Calculation Sheet'!$J$5&lt;&gt;""),--ISNUMBER(SEARCH($K$4,'Final Calculation Sheet'!$J$5)))))</f>
        <v/>
      </c>
      <c r="DQ7">
        <f>IF($L$4="",1,IF($L$4="(blank)",--('Final Calculation Sheet'!$K$5=""),IF($L$4="(nonblank)",--('Final Calculation Sheet'!$K$5&lt;&gt;""),--ISNUMBER(SEARCH($L$4,'Final Calculation Sheet'!$K$5)))))</f>
        <v/>
      </c>
      <c r="DR7">
        <f>IF($M$4="",1,IF($M$4="(blank)",--('Final Calculation Sheet'!$L$5=""),IF($M$4="(nonblank)",--('Final Calculation Sheet'!$L$5&lt;&gt;""),--ISNUMBER(SEARCH($M$4,'Final Calculation Sheet'!$L$5)))))</f>
        <v/>
      </c>
      <c r="DS7">
        <f>IF($N$4="",1,IF($N$4="(blank)",--('Final Calculation Sheet'!$M$5=""),IF($N$4="(nonblank)",--('Final Calculation Sheet'!$M$5&lt;&gt;""),--ISNUMBER(SEARCH($N$4,'Final Calculation Sheet'!$M$5)))))</f>
        <v/>
      </c>
      <c r="DT7">
        <f>IF($O$4="",1,IF($O$4="(blank)",--('Final Calculation Sheet'!$N$5=""),IF($O$4="(nonblank)",--('Final Calculation Sheet'!$N$5&lt;&gt;""),--ISNUMBER(SEARCH($O$4,'Final Calculation Sheet'!$N$5)))))</f>
        <v/>
      </c>
      <c r="DU7">
        <f>IF($P$4="",1,IF($P$4="(blank)",--('Final Calculation Sheet'!$O$5=""),IF($P$4="(nonblank)",--('Final Calculation Sheet'!$O$5&lt;&gt;""),--ISNUMBER(SEARCH($P$4,'Final Calculation Sheet'!$O$5)))))</f>
        <v/>
      </c>
      <c r="DV7">
        <f>IF($Q$4="",1,IF($Q$4="(blank)",--('Final Calculation Sheet'!$P$5=""),IF($Q$4="(nonblank)",--('Final Calculation Sheet'!$P$5&lt;&gt;""),--ISNUMBER(SEARCH($Q$4,'Final Calculation Sheet'!$P$5)))))</f>
        <v/>
      </c>
      <c r="DW7">
        <f>IF($R$4="",1,IF($R$4="(blank)",--('Final Calculation Sheet'!$Q$5=""),IF($R$4="(nonblank)",--('Final Calculation Sheet'!$Q$5&lt;&gt;""),--ISNUMBER(SEARCH($R$4,'Final Calculation Sheet'!$Q$5)))))</f>
        <v/>
      </c>
      <c r="DX7">
        <f>IF($S$4="",1,IF($S$4="(blank)",--('Final Calculation Sheet'!$R$5=""),IF($S$4="(nonblank)",--('Final Calculation Sheet'!$R$5&lt;&gt;""),--ISNUMBER(SEARCH($S$4,'Final Calculation Sheet'!$R$5)))))</f>
        <v/>
      </c>
      <c r="DY7">
        <f>IF($T$4="",1,IF($T$4="(blank)",--('Final Calculation Sheet'!$S$5=""),IF($T$4="(nonblank)",--('Final Calculation Sheet'!$S$5&lt;&gt;""),--ISNUMBER(SEARCH($T$4,'Final Calculation Sheet'!$S$5)))))</f>
        <v/>
      </c>
      <c r="DZ7">
        <f>IF($U$4="",1,IF($U$4="(blank)",--('Final Calculation Sheet'!$T$5=""),IF($U$4="(nonblank)",--('Final Calculation Sheet'!$T$5&lt;&gt;""),--ISNUMBER(SEARCH($U$4,'Final Calculation Sheet'!$T$5)))))</f>
        <v/>
      </c>
      <c r="EA7">
        <f>IF($V$4="",1,IF($V$4="(blank)",--('Final Calculation Sheet'!$U$5=""),IF($V$4="(nonblank)",--('Final Calculation Sheet'!$U$5&lt;&gt;""),--ISNUMBER(SEARCH($V$4,'Final Calculation Sheet'!$U$5)))))</f>
        <v/>
      </c>
      <c r="EB7">
        <f>IF($W$4="",1,IF($W$4="(blank)",--('Final Calculation Sheet'!$V$5=""),IF($W$4="(nonblank)",--('Final Calculation Sheet'!$V$5&lt;&gt;""),--ISNUMBER(SEARCH($W$4,'Final Calculation Sheet'!$V$5)))))</f>
        <v/>
      </c>
      <c r="EC7">
        <f>IF($X$4="",1,IF($X$4="(blank)",--('Final Calculation Sheet'!$W$5=""),IF($X$4="(nonblank)",--('Final Calculation Sheet'!$W$5&lt;&gt;""),--ISNUMBER(SEARCH($X$4,'Final Calculation Sheet'!$W$5)))))</f>
        <v/>
      </c>
      <c r="ED7">
        <f>IF($Y$4="",1,IF($Y$4="(blank)",--('Final Calculation Sheet'!$X$5=""),IF($Y$4="(nonblank)",--('Final Calculation Sheet'!$X$5&lt;&gt;""),--ISNUMBER(SEARCH($Y$4,'Final Calculation Sheet'!$X$5)))))</f>
        <v/>
      </c>
      <c r="EE7">
        <f>IF($Z$4="",1,IF($Z$4="(blank)",--('Final Calculation Sheet'!$Y$5=""),IF($Z$4="(nonblank)",--('Final Calculation Sheet'!$Y$5&lt;&gt;""),--ISNUMBER(SEARCH($Z$4,'Final Calculation Sheet'!$Y$5)))))</f>
        <v/>
      </c>
      <c r="EF7">
        <f>IF($AA$4="",1,IF($AA$4="(blank)",--('Final Calculation Sheet'!$Z$5=""),IF($AA$4="(nonblank)",--('Final Calculation Sheet'!$Z$5&lt;&gt;""),--ISNUMBER(SEARCH($AA$4,'Final Calculation Sheet'!$Z$5)))))</f>
        <v/>
      </c>
      <c r="EG7">
        <f>IF($AB$4="",1,IF($AB$4="(blank)",--('Final Calculation Sheet'!$AA$5=""),IF($AB$4="(nonblank)",--('Final Calculation Sheet'!$AA$5&lt;&gt;""),--ISNUMBER(SEARCH($AB$4,'Final Calculation Sheet'!$AA$5)))))</f>
        <v/>
      </c>
      <c r="EH7">
        <f>IF($AC$4="",1,IF($AC$4="(blank)",--('Final Calculation Sheet'!$AB$5=""),IF($AC$4="(nonblank)",--('Final Calculation Sheet'!$AB$5&lt;&gt;""),--ISNUMBER(SEARCH($AC$4,'Final Calculation Sheet'!$AB$5)))))</f>
        <v/>
      </c>
      <c r="EI7">
        <f>IF($AD$4="",1,IF($AD$4="(blank)",--('Final Calculation Sheet'!$AC$5=""),IF($AD$4="(nonblank)",--('Final Calculation Sheet'!$AC$5&lt;&gt;""),--ISNUMBER(SEARCH($AD$4,'Final Calculation Sheet'!$AC$5)))))</f>
        <v/>
      </c>
      <c r="EJ7">
        <f>IF($AE$4="",1,IF($AE$4="(blank)",--('Final Calculation Sheet'!$AD$5=""),IF($AE$4="(nonblank)",--('Final Calculation Sheet'!$AD$5&lt;&gt;""),--ISNUMBER(SEARCH($AE$4,'Final Calculation Sheet'!$AD$5)))))</f>
        <v/>
      </c>
      <c r="EK7">
        <f>IF($AF$4="",1,IF($AF$4="(blank)",--(IF('Final Calculation Sheet'!$AD$5&lt;=5,"SETTLED","OUTSTANDING")=""),IF($AF$4="(nonblank)",--(IF('Final Calculation Sheet'!$AD$5&lt;=5,"SETTLED","OUTSTANDING")&lt;&gt;""),--ISNUMBER(SEARCH($AF$4,IF('Final Calculation Sheet'!$AD$5&lt;=5,"SETTLED","OUTSTANDING"))))))</f>
        <v/>
      </c>
      <c r="EL7">
        <f>IF($AG$4="",1,IF($AG$4="(blank)",--('Final Calculation Sheet'!$AF$5=""),IF($AG$4="(nonblank)",--('Final Calculation Sheet'!$AF$5&lt;&gt;""),--ISNUMBER(SEARCH($AG$4,'Final Calculation Sheet'!$AF$5)))))</f>
        <v/>
      </c>
      <c r="EM7">
        <f>IF($AH$4="",1,IF($AH$4="(blank)",--('Final Calculation Sheet'!$AG$5=""),IF($AH$4="(nonblank)",--('Final Calculation Sheet'!$AG$5&lt;&gt;""),--ISNUMBER(SEARCH($AH$4,'Final Calculation Sheet'!$AG$5)))))</f>
        <v/>
      </c>
      <c r="EN7">
        <f>IF($AI$4="",1,IF($AI$4="(blank)",--('Final Calculation Sheet'!$AH$5=""),IF($AI$4="(nonblank)",--('Final Calculation Sheet'!$AH$5&lt;&gt;""),--ISNUMBER(SEARCH($AI$4,'Final Calculation Sheet'!$AH$5)))))</f>
        <v/>
      </c>
    </row>
    <row r="8" outlineLevel="1" hidden="1">
      <c r="A8" s="128">
        <f>IF($AL$8="","",2)</f>
        <v/>
      </c>
      <c r="B8" s="129">
        <f>IF($AL$8="","",IF(INDEX('Final Calculation Sheet'!$F$4:$F$40,$AL$8)="","",INDEX('Final Calculation Sheet'!$F$4:$F$40,$AL$8)))</f>
        <v/>
      </c>
      <c r="C8" s="129">
        <f>IF($AL$8="","",IF(INDEX('Final Calculation Sheet'!$G$4:$G$40,$AL$8)="","",INDEX('Final Calculation Sheet'!$G$4:$G$40,$AL$8)))</f>
        <v/>
      </c>
      <c r="D8" s="130">
        <f>IF($AL$8="","",IF(INDEX('Final Calculation Sheet'!$B$4:$B$40,$AL$8)="","",INDEX('Final Calculation Sheet'!$B$4:$B$40,$AL$8)))</f>
        <v/>
      </c>
      <c r="E8" s="130">
        <f>IF($AL$8="","",IF(INDEX('Final Calculation Sheet'!$D$4:$D$40,$AL$8)="","",INDEX('Final Calculation Sheet'!$D$4:$D$40,$AL$8)))</f>
        <v/>
      </c>
      <c r="F8" s="130">
        <f>IF($AL$8="","",IF(INDEX('Final Calculation Sheet'!$A$4:$A$40,$AL$8)="","",INDEX('Final Calculation Sheet'!$A$4:$A$40,$AL$8)))</f>
        <v/>
      </c>
      <c r="G8" s="130">
        <f>IF($AL$8="","",IF(INDEX('Final Calculation Sheet'!$E$4:$E$40,$AL$8)="","",INDEX('Final Calculation Sheet'!$E$4:$E$40,$AL$8)))</f>
        <v/>
      </c>
      <c r="H8" s="131">
        <f>IF($AL$8="","",IF(INDEX('Final Calculation Sheet'!$C$4:$C$40,$AL$8)="","",INDEX('Final Calculation Sheet'!$C$4:$C$40,$AL$8)))</f>
        <v/>
      </c>
      <c r="I8" s="131">
        <f>IF($AL$8="","",IF(INDEX('Final Calculation Sheet'!$H$4:$H$40,$AL$8)="","",INDEX('Final Calculation Sheet'!$H$4:$H$40,$AL$8)))</f>
        <v/>
      </c>
      <c r="J8" s="131">
        <f>IF($AL$8="","",IF(INDEX('Final Calculation Sheet'!$I$4:$I$40,$AL$8)="","",INDEX('Final Calculation Sheet'!$I$4:$I$40,$AL$8)))</f>
        <v/>
      </c>
      <c r="K8" s="131">
        <f>IF($AL$8="","",IF(INDEX('Final Calculation Sheet'!$J$4:$J$40,$AL$8)="","",INDEX('Final Calculation Sheet'!$J$4:$J$40,$AL$8)))</f>
        <v/>
      </c>
      <c r="L8" s="131">
        <f>IF($AL$8="","",IF(INDEX('Final Calculation Sheet'!$K$4:$K$40,$AL$8)="","",INDEX('Final Calculation Sheet'!$K$4:$K$40,$AL$8)))</f>
        <v/>
      </c>
      <c r="M8" s="131">
        <f>IF($AL$8="","",IF(INDEX('Final Calculation Sheet'!$L$4:$L$40,$AL$8)="","",INDEX('Final Calculation Sheet'!$L$4:$L$40,$AL$8)))</f>
        <v/>
      </c>
      <c r="N8" s="131">
        <f>IF($AL$8="","",IF(INDEX('Final Calculation Sheet'!$M$4:$M$40,$AL$8)="","",INDEX('Final Calculation Sheet'!$M$4:$M$40,$AL$8)))</f>
        <v/>
      </c>
      <c r="O8" s="132">
        <f>IF($AL$8="","",IF(INDEX('Final Calculation Sheet'!$N$4:$N$40,$AL$8)="","",INDEX('Final Calculation Sheet'!$N$4:$N$40,$AL$8)))</f>
        <v/>
      </c>
      <c r="P8" s="131">
        <f>IF($AL$8="","",IF(INDEX('Final Calculation Sheet'!$O$4:$O$40,$AL$8)="","",INDEX('Final Calculation Sheet'!$O$4:$O$40,$AL$8)))</f>
        <v/>
      </c>
      <c r="Q8" s="131">
        <f>IF($AL$8="","",IF(INDEX('Final Calculation Sheet'!$P$4:$P$40,$AL$8)="","",INDEX('Final Calculation Sheet'!$P$4:$P$40,$AL$8)))</f>
        <v/>
      </c>
      <c r="R8" s="133">
        <f>IF($AL$8="","",IF(INDEX('Final Calculation Sheet'!$Q$4:$Q$40,$AL$8)="","",INDEX('Final Calculation Sheet'!$Q$4:$Q$40,$AL$8)))</f>
        <v/>
      </c>
      <c r="S8" s="131">
        <f>IF($AL$8="","",IF(INDEX('Final Calculation Sheet'!$R$4:$R$40,$AL$8)="","",INDEX('Final Calculation Sheet'!$R$4:$R$40,$AL$8)))</f>
        <v/>
      </c>
      <c r="T8" s="131">
        <f>IF($AL$8="","",IF(INDEX('Final Calculation Sheet'!$S$4:$S$40,$AL$8)="","",INDEX('Final Calculation Sheet'!$S$4:$S$40,$AL$8)))</f>
        <v/>
      </c>
      <c r="U8" s="131">
        <f>IF($AL$8="","",IF(INDEX('Final Calculation Sheet'!$T$4:$T$40,$AL$8)="","",INDEX('Final Calculation Sheet'!$T$4:$T$40,$AL$8)))</f>
        <v/>
      </c>
      <c r="V8" s="134">
        <f>IF($AL$8="","",IF(INDEX('Final Calculation Sheet'!$U$4:$U$40,$AL$8)="","",INDEX('Final Calculation Sheet'!$U$4:$U$40,$AL$8)))</f>
        <v/>
      </c>
      <c r="W8" s="131">
        <f>IF($AL$8="","",IF(INDEX('Final Calculation Sheet'!$V$4:$V$40,$AL$8)="","",INDEX('Final Calculation Sheet'!$V$4:$V$40,$AL$8)))</f>
        <v/>
      </c>
      <c r="X8" s="131">
        <f>IF($AL$8="","",IF(INDEX('Final Calculation Sheet'!$W$4:$W$40,$AL$8)="","",INDEX('Final Calculation Sheet'!$W$4:$W$40,$AL$8)))</f>
        <v/>
      </c>
      <c r="Y8" s="131">
        <f>IF($AL$8="","",IF(INDEX('Final Calculation Sheet'!$X$4:$X$40,$AL$8)="","",INDEX('Final Calculation Sheet'!$X$4:$X$40,$AL$8)))</f>
        <v/>
      </c>
      <c r="Z8" s="131">
        <f>IF($AL$8="","",IF(INDEX('Final Calculation Sheet'!$Y$4:$Y$40,$AL$8)="","",INDEX('Final Calculation Sheet'!$Y$4:$Y$40,$AL$8)))</f>
        <v/>
      </c>
      <c r="AA8" s="131">
        <f>IF($AL$8="","",IF(INDEX('Final Calculation Sheet'!$Z$4:$Z$40,$AL$8)="","",INDEX('Final Calculation Sheet'!$Z$4:$Z$40,$AL$8)))</f>
        <v/>
      </c>
      <c r="AB8" s="131">
        <f>IF($AL$8="","",IF(INDEX('Final Calculation Sheet'!$AA$4:$AA$40,$AL$8)="","",INDEX('Final Calculation Sheet'!$AA$4:$AA$40,$AL$8)))</f>
        <v/>
      </c>
      <c r="AC8" s="131">
        <f>IF($AL$8="","",IF(INDEX('Final Calculation Sheet'!$AB$4:$AB$40,$AL$8)="","",INDEX('Final Calculation Sheet'!$AB$4:$AB$40,$AL$8)))</f>
        <v/>
      </c>
      <c r="AD8" s="131">
        <f>IF($AL$8="","",IF(INDEX('Final Calculation Sheet'!$AC$4:$AC$40,$AL$8)="","",INDEX('Final Calculation Sheet'!$AC$4:$AC$40,$AL$8)))</f>
        <v/>
      </c>
      <c r="AE8" s="131">
        <f>IF($AL$8="","",IF(INDEX('Final Calculation Sheet'!$AD$4:$AD$40,$AL$8)="","",INDEX('Final Calculation Sheet'!$AD$4:$AD$40,$AL$8)))</f>
        <v/>
      </c>
      <c r="AF8" s="136">
        <f>IF($AL$8="","",IF(INDEX('Final Calculation Sheet'!$AD$4:$AD$40,$AL$8)&lt;=5,"SETTLED","OUTSTANDING"))</f>
        <v/>
      </c>
      <c r="AG8" s="131">
        <f>IF($AL$8="","",IF(INDEX('Final Calculation Sheet'!$AF$4:$AF$40,$AL$8)="","",INDEX('Final Calculation Sheet'!$AF$4:$AF$40,$AL$8)))</f>
        <v/>
      </c>
      <c r="AH8" s="135">
        <f>IF($AL$8="","",IF(INDEX('Final Calculation Sheet'!$AG$4:$AG$40,$AL$8)="","",INDEX('Final Calculation Sheet'!$AG$4:$AG$40,$AL$8)))</f>
        <v/>
      </c>
      <c r="AI8" s="131">
        <f>IF($AL$8="","",IF(INDEX('Final Calculation Sheet'!$AH$4:$AH$40,$AL$8)="","",INDEX('Final Calculation Sheet'!$AH$4:$AH$40,$AL$8)))</f>
        <v/>
      </c>
      <c r="AJ8">
        <f>IF(AND(IF($B$4="",TRUE(),IF($B$4="(blank)",'Final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Sheet'!$AD$6&lt;=5,"SETTLED","OUTSTANDING"))))))),1,0)</f>
      </c>
      <c r="AK8">
        <f>IF(AJ8=1,COUNTIF(AJ$6:AJ8,1),"")</f>
        <v/>
      </c>
      <c r="AL8">
        <f>IF(COUNTIF($B$4:$AI$4,"&lt;&gt;")=0,"",IFERROR(MATCH(2,$AK$6:$AK$42,0),""))</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CU7+IF(AND(Lists!$FI$8&lt;&gt;"",ISNUMBER(SEARCH($AG$4,Lists!$FI$8))),1,0)</f>
        <v/>
      </c>
      <c r="CV8">
        <f>IF(ROW()-3&gt;MAX($CU$4:$CU$42),"",INDEX(Lists!$FI$4:$FI$42,MATCH(ROW()-3,$CU$4:$CU$42,0)))</f>
        <v/>
      </c>
      <c r="CW8">
        <f>CW7+IF(AND(Lists!$FN$8&lt;&gt;"",ISNUMBER(SEARCH($AH$4,Lists!$FN$8))),1,0)</f>
        <v/>
      </c>
      <c r="CX8">
        <f>IF(ROW()-3&gt;MAX($CW$4:$CW$42),"",INDEX(Lists!$FN$4:$FN$42,MATCH(ROW()-3,$CW$4:$CW$42,0)))</f>
        <v/>
      </c>
      <c r="CY8">
        <f>CY7+IF(AND(Lists!$FS$8&lt;&gt;"",ISNUMBER(SEARCH($AI$4,Lists!$FS$8))),1,0)</f>
        <v/>
      </c>
      <c r="CZ8">
        <f>IF(ROW()-3&gt;MAX($CY$4:$CY$42),"",INDEX(Lists!$FS$4:$FS$42,MATCH(ROW()-3,$CY$4:$CY$42,0)))</f>
        <v/>
      </c>
      <c r="DA8">
        <f>DA7+IF(AND(Lists!$FX$8&lt;&gt;"",ISNUMBER(SEARCH($AF$4,Lists!$FX$8))),1,0)</f>
        <v/>
      </c>
      <c r="DB8">
        <f>IF(ROW()-3&gt;MAX($DA$4:$DA$42),"",INDEX(Lists!$FX$4:$FX$42,MATCH(ROW()-3,$DA$4:$DA$42,0)))</f>
        <v/>
      </c>
      <c r="DG8">
        <f>IF($B$4="",1,IF($B$4="(blank)",--('Final Calculation Sheet'!$F$6=""),IF($B$4="(nonblank)",--('Final Calculation Sheet'!$F$6&lt;&gt;""),--ISNUMBER(SEARCH($B$4,'Final Calculation Sheet'!$F$6)))))</f>
        <v/>
      </c>
      <c r="DH8">
        <f>IF($C$4="",1,IF($C$4="(blank)",--('Final Calculation Sheet'!$G$6=""),IF($C$4="(nonblank)",--('Final Calculation Sheet'!$G$6&lt;&gt;""),--ISNUMBER(SEARCH($C$4,'Final Calculation Sheet'!$G$6)))))</f>
        <v/>
      </c>
      <c r="DI8">
        <f>IF($D$4="",1,IF($D$4="(blank)",--('Final Calculation Sheet'!$B$6=""),IF($D$4="(nonblank)",--('Final Calculation Sheet'!$B$6&lt;&gt;""),--ISNUMBER(SEARCH($D$4,'Final Calculation Sheet'!$B$6)))))</f>
        <v/>
      </c>
      <c r="DJ8">
        <f>IF($E$4="",1,IF($E$4="(blank)",--('Final Calculation Sheet'!$D$6=""),IF($E$4="(nonblank)",--('Final Calculation Sheet'!$D$6&lt;&gt;""),--ISNUMBER(SEARCH($E$4,'Final Calculation Sheet'!$D$6)))))</f>
        <v/>
      </c>
      <c r="DK8">
        <f>IF($F$4="",1,IF($F$4="(blank)",--('Final Calculation Sheet'!$A$6=""),IF($F$4="(nonblank)",--('Final Calculation Sheet'!$A$6&lt;&gt;""),--ISNUMBER(SEARCH($F$4,'Final Calculation Sheet'!$A$6)))))</f>
        <v/>
      </c>
      <c r="DL8">
        <f>IF($G$4="",1,IF($G$4="(blank)",--('Final Calculation Sheet'!$E$6=""),IF($G$4="(nonblank)",--('Final Calculation Sheet'!$E$6&lt;&gt;""),--ISNUMBER(SEARCH($G$4,'Final Calculation Sheet'!$E$6)))))</f>
        <v/>
      </c>
      <c r="DM8">
        <f>IF($H$4="",1,IF($H$4="(blank)",--('Final Calculation Sheet'!$C$6=""),IF($H$4="(nonblank)",--('Final Calculation Sheet'!$C$6&lt;&gt;""),--ISNUMBER(SEARCH($H$4,'Final Calculation Sheet'!$C$6)))))</f>
        <v/>
      </c>
      <c r="DN8">
        <f>IF($I$4="",1,IF($I$4="(blank)",--('Final Calculation Sheet'!$H$6=""),IF($I$4="(nonblank)",--('Final Calculation Sheet'!$H$6&lt;&gt;""),--ISNUMBER(SEARCH($I$4,'Final Calculation Sheet'!$H$6)))))</f>
        <v/>
      </c>
      <c r="DO8">
        <f>IF($J$4="",1,IF($J$4="(blank)",--('Final Calculation Sheet'!$I$6=""),IF($J$4="(nonblank)",--('Final Calculation Sheet'!$I$6&lt;&gt;""),--ISNUMBER(SEARCH($J$4,'Final Calculation Sheet'!$I$6)))))</f>
        <v/>
      </c>
      <c r="DP8">
        <f>IF($K$4="",1,IF($K$4="(blank)",--('Final Calculation Sheet'!$J$6=""),IF($K$4="(nonblank)",--('Final Calculation Sheet'!$J$6&lt;&gt;""),--ISNUMBER(SEARCH($K$4,'Final Calculation Sheet'!$J$6)))))</f>
        <v/>
      </c>
      <c r="DQ8">
        <f>IF($L$4="",1,IF($L$4="(blank)",--('Final Calculation Sheet'!$K$6=""),IF($L$4="(nonblank)",--('Final Calculation Sheet'!$K$6&lt;&gt;""),--ISNUMBER(SEARCH($L$4,'Final Calculation Sheet'!$K$6)))))</f>
        <v/>
      </c>
      <c r="DR8">
        <f>IF($M$4="",1,IF($M$4="(blank)",--('Final Calculation Sheet'!$L$6=""),IF($M$4="(nonblank)",--('Final Calculation Sheet'!$L$6&lt;&gt;""),--ISNUMBER(SEARCH($M$4,'Final Calculation Sheet'!$L$6)))))</f>
        <v/>
      </c>
      <c r="DS8">
        <f>IF($N$4="",1,IF($N$4="(blank)",--('Final Calculation Sheet'!$M$6=""),IF($N$4="(nonblank)",--('Final Calculation Sheet'!$M$6&lt;&gt;""),--ISNUMBER(SEARCH($N$4,'Final Calculation Sheet'!$M$6)))))</f>
        <v/>
      </c>
      <c r="DT8">
        <f>IF($O$4="",1,IF($O$4="(blank)",--('Final Calculation Sheet'!$N$6=""),IF($O$4="(nonblank)",--('Final Calculation Sheet'!$N$6&lt;&gt;""),--ISNUMBER(SEARCH($O$4,'Final Calculation Sheet'!$N$6)))))</f>
        <v/>
      </c>
      <c r="DU8">
        <f>IF($P$4="",1,IF($P$4="(blank)",--('Final Calculation Sheet'!$O$6=""),IF($P$4="(nonblank)",--('Final Calculation Sheet'!$O$6&lt;&gt;""),--ISNUMBER(SEARCH($P$4,'Final Calculation Sheet'!$O$6)))))</f>
        <v/>
      </c>
      <c r="DV8">
        <f>IF($Q$4="",1,IF($Q$4="(blank)",--('Final Calculation Sheet'!$P$6=""),IF($Q$4="(nonblank)",--('Final Calculation Sheet'!$P$6&lt;&gt;""),--ISNUMBER(SEARCH($Q$4,'Final Calculation Sheet'!$P$6)))))</f>
        <v/>
      </c>
      <c r="DW8">
        <f>IF($R$4="",1,IF($R$4="(blank)",--('Final Calculation Sheet'!$Q$6=""),IF($R$4="(nonblank)",--('Final Calculation Sheet'!$Q$6&lt;&gt;""),--ISNUMBER(SEARCH($R$4,'Final Calculation Sheet'!$Q$6)))))</f>
        <v/>
      </c>
      <c r="DX8">
        <f>IF($S$4="",1,IF($S$4="(blank)",--('Final Calculation Sheet'!$R$6=""),IF($S$4="(nonblank)",--('Final Calculation Sheet'!$R$6&lt;&gt;""),--ISNUMBER(SEARCH($S$4,'Final Calculation Sheet'!$R$6)))))</f>
        <v/>
      </c>
      <c r="DY8">
        <f>IF($T$4="",1,IF($T$4="(blank)",--('Final Calculation Sheet'!$S$6=""),IF($T$4="(nonblank)",--('Final Calculation Sheet'!$S$6&lt;&gt;""),--ISNUMBER(SEARCH($T$4,'Final Calculation Sheet'!$S$6)))))</f>
        <v/>
      </c>
      <c r="DZ8">
        <f>IF($U$4="",1,IF($U$4="(blank)",--('Final Calculation Sheet'!$T$6=""),IF($U$4="(nonblank)",--('Final Calculation Sheet'!$T$6&lt;&gt;""),--ISNUMBER(SEARCH($U$4,'Final Calculation Sheet'!$T$6)))))</f>
        <v/>
      </c>
      <c r="EA8">
        <f>IF($V$4="",1,IF($V$4="(blank)",--('Final Calculation Sheet'!$U$6=""),IF($V$4="(nonblank)",--('Final Calculation Sheet'!$U$6&lt;&gt;""),--ISNUMBER(SEARCH($V$4,'Final Calculation Sheet'!$U$6)))))</f>
        <v/>
      </c>
      <c r="EB8">
        <f>IF($W$4="",1,IF($W$4="(blank)",--('Final Calculation Sheet'!$V$6=""),IF($W$4="(nonblank)",--('Final Calculation Sheet'!$V$6&lt;&gt;""),--ISNUMBER(SEARCH($W$4,'Final Calculation Sheet'!$V$6)))))</f>
        <v/>
      </c>
      <c r="EC8">
        <f>IF($X$4="",1,IF($X$4="(blank)",--('Final Calculation Sheet'!$W$6=""),IF($X$4="(nonblank)",--('Final Calculation Sheet'!$W$6&lt;&gt;""),--ISNUMBER(SEARCH($X$4,'Final Calculation Sheet'!$W$6)))))</f>
        <v/>
      </c>
      <c r="ED8">
        <f>IF($Y$4="",1,IF($Y$4="(blank)",--('Final Calculation Sheet'!$X$6=""),IF($Y$4="(nonblank)",--('Final Calculation Sheet'!$X$6&lt;&gt;""),--ISNUMBER(SEARCH($Y$4,'Final Calculation Sheet'!$X$6)))))</f>
        <v/>
      </c>
      <c r="EE8">
        <f>IF($Z$4="",1,IF($Z$4="(blank)",--('Final Calculation Sheet'!$Y$6=""),IF($Z$4="(nonblank)",--('Final Calculation Sheet'!$Y$6&lt;&gt;""),--ISNUMBER(SEARCH($Z$4,'Final Calculation Sheet'!$Y$6)))))</f>
        <v/>
      </c>
      <c r="EF8">
        <f>IF($AA$4="",1,IF($AA$4="(blank)",--('Final Calculation Sheet'!$Z$6=""),IF($AA$4="(nonblank)",--('Final Calculation Sheet'!$Z$6&lt;&gt;""),--ISNUMBER(SEARCH($AA$4,'Final Calculation Sheet'!$Z$6)))))</f>
        <v/>
      </c>
      <c r="EG8">
        <f>IF($AB$4="",1,IF($AB$4="(blank)",--('Final Calculation Sheet'!$AA$6=""),IF($AB$4="(nonblank)",--('Final Calculation Sheet'!$AA$6&lt;&gt;""),--ISNUMBER(SEARCH($AB$4,'Final Calculation Sheet'!$AA$6)))))</f>
        <v/>
      </c>
      <c r="EH8">
        <f>IF($AC$4="",1,IF($AC$4="(blank)",--('Final Calculation Sheet'!$AB$6=""),IF($AC$4="(nonblank)",--('Final Calculation Sheet'!$AB$6&lt;&gt;""),--ISNUMBER(SEARCH($AC$4,'Final Calculation Sheet'!$AB$6)))))</f>
        <v/>
      </c>
      <c r="EI8">
        <f>IF($AD$4="",1,IF($AD$4="(blank)",--('Final Calculation Sheet'!$AC$6=""),IF($AD$4="(nonblank)",--('Final Calculation Sheet'!$AC$6&lt;&gt;""),--ISNUMBER(SEARCH($AD$4,'Final Calculation Sheet'!$AC$6)))))</f>
        <v/>
      </c>
      <c r="EJ8">
        <f>IF($AE$4="",1,IF($AE$4="(blank)",--('Final Calculation Sheet'!$AD$6=""),IF($AE$4="(nonblank)",--('Final Calculation Sheet'!$AD$6&lt;&gt;""),--ISNUMBER(SEARCH($AE$4,'Final Calculation Sheet'!$AD$6)))))</f>
        <v/>
      </c>
      <c r="EK8">
        <f>IF($AF$4="",1,IF($AF$4="(blank)",--(IF('Final Calculation Sheet'!$AD$6&lt;=5,"SETTLED","OUTSTANDING")=""),IF($AF$4="(nonblank)",--(IF('Final Calculation Sheet'!$AD$6&lt;=5,"SETTLED","OUTSTANDING")&lt;&gt;""),--ISNUMBER(SEARCH($AF$4,IF('Final Calculation Sheet'!$AD$6&lt;=5,"SETTLED","OUTSTANDING"))))))</f>
        <v/>
      </c>
      <c r="EL8">
        <f>IF($AG$4="",1,IF($AG$4="(blank)",--('Final Calculation Sheet'!$AF$6=""),IF($AG$4="(nonblank)",--('Final Calculation Sheet'!$AF$6&lt;&gt;""),--ISNUMBER(SEARCH($AG$4,'Final Calculation Sheet'!$AF$6)))))</f>
        <v/>
      </c>
      <c r="EM8">
        <f>IF($AH$4="",1,IF($AH$4="(blank)",--('Final Calculation Sheet'!$AG$6=""),IF($AH$4="(nonblank)",--('Final Calculation Sheet'!$AG$6&lt;&gt;""),--ISNUMBER(SEARCH($AH$4,'Final Calculation Sheet'!$AG$6)))))</f>
        <v/>
      </c>
      <c r="EN8">
        <f>IF($AI$4="",1,IF($AI$4="(blank)",--('Final Calculation Sheet'!$AH$6=""),IF($AI$4="(nonblank)",--('Final Calculation Sheet'!$AH$6&lt;&gt;""),--ISNUMBER(SEARCH($AI$4,'Final Calculation Sheet'!$AH$6)))))</f>
        <v/>
      </c>
    </row>
    <row r="9" outlineLevel="1" hidden="1">
      <c r="A9" s="118">
        <f>IF($AL$9="","",3)</f>
        <v/>
      </c>
      <c r="B9" s="119">
        <f>IF($AL$9="","",IF(INDEX('Final Calculation Sheet'!$F$4:$F$40,$AL$9)="","",INDEX('Final Calculation Sheet'!$F$4:$F$40,$AL$9)))</f>
        <v/>
      </c>
      <c r="C9" s="119">
        <f>IF($AL$9="","",IF(INDEX('Final Calculation Sheet'!$G$4:$G$40,$AL$9)="","",INDEX('Final Calculation Sheet'!$G$4:$G$40,$AL$9)))</f>
        <v/>
      </c>
      <c r="D9" s="121">
        <f>IF($AL$9="","",IF(INDEX('Final Calculation Sheet'!$B$4:$B$40,$AL$9)="","",INDEX('Final Calculation Sheet'!$B$4:$B$40,$AL$9)))</f>
        <v/>
      </c>
      <c r="E9" s="121">
        <f>IF($AL$9="","",IF(INDEX('Final Calculation Sheet'!$D$4:$D$40,$AL$9)="","",INDEX('Final Calculation Sheet'!$D$4:$D$40,$AL$9)))</f>
        <v/>
      </c>
      <c r="F9" s="121">
        <f>IF($AL$9="","",IF(INDEX('Final Calculation Sheet'!$A$4:$A$40,$AL$9)="","",INDEX('Final Calculation Sheet'!$A$4:$A$40,$AL$9)))</f>
        <v/>
      </c>
      <c r="G9" s="121">
        <f>IF($AL$9="","",IF(INDEX('Final Calculation Sheet'!$E$4:$E$40,$AL$9)="","",INDEX('Final Calculation Sheet'!$E$4:$E$40,$AL$9)))</f>
        <v/>
      </c>
      <c r="H9" s="122">
        <f>IF($AL$9="","",IF(INDEX('Final Calculation Sheet'!$C$4:$C$40,$AL$9)="","",INDEX('Final Calculation Sheet'!$C$4:$C$40,$AL$9)))</f>
        <v/>
      </c>
      <c r="I9" s="122">
        <f>IF($AL$9="","",IF(INDEX('Final Calculation Sheet'!$H$4:$H$40,$AL$9)="","",INDEX('Final Calculation Sheet'!$H$4:$H$40,$AL$9)))</f>
        <v/>
      </c>
      <c r="J9" s="122">
        <f>IF($AL$9="","",IF(INDEX('Final Calculation Sheet'!$I$4:$I$40,$AL$9)="","",INDEX('Final Calculation Sheet'!$I$4:$I$40,$AL$9)))</f>
        <v/>
      </c>
      <c r="K9" s="122">
        <f>IF($AL$9="","",IF(INDEX('Final Calculation Sheet'!$J$4:$J$40,$AL$9)="","",INDEX('Final Calculation Sheet'!$J$4:$J$40,$AL$9)))</f>
        <v/>
      </c>
      <c r="L9" s="122">
        <f>IF($AL$9="","",IF(INDEX('Final Calculation Sheet'!$K$4:$K$40,$AL$9)="","",INDEX('Final Calculation Sheet'!$K$4:$K$40,$AL$9)))</f>
        <v/>
      </c>
      <c r="M9" s="122">
        <f>IF($AL$9="","",IF(INDEX('Final Calculation Sheet'!$L$4:$L$40,$AL$9)="","",INDEX('Final Calculation Sheet'!$L$4:$L$40,$AL$9)))</f>
        <v/>
      </c>
      <c r="N9" s="122">
        <f>IF($AL$9="","",IF(INDEX('Final Calculation Sheet'!$M$4:$M$40,$AL$9)="","",INDEX('Final Calculation Sheet'!$M$4:$M$40,$AL$9)))</f>
        <v/>
      </c>
      <c r="O9" s="123">
        <f>IF($AL$9="","",IF(INDEX('Final Calculation Sheet'!$N$4:$N$40,$AL$9)="","",INDEX('Final Calculation Sheet'!$N$4:$N$40,$AL$9)))</f>
        <v/>
      </c>
      <c r="P9" s="122">
        <f>IF($AL$9="","",IF(INDEX('Final Calculation Sheet'!$O$4:$O$40,$AL$9)="","",INDEX('Final Calculation Sheet'!$O$4:$O$40,$AL$9)))</f>
        <v/>
      </c>
      <c r="Q9" s="122">
        <f>IF($AL$9="","",IF(INDEX('Final Calculation Sheet'!$P$4:$P$40,$AL$9)="","",INDEX('Final Calculation Sheet'!$P$4:$P$40,$AL$9)))</f>
        <v/>
      </c>
      <c r="R9" s="124">
        <f>IF($AL$9="","",IF(INDEX('Final Calculation Sheet'!$Q$4:$Q$40,$AL$9)="","",INDEX('Final Calculation Sheet'!$Q$4:$Q$40,$AL$9)))</f>
        <v/>
      </c>
      <c r="S9" s="122">
        <f>IF($AL$9="","",IF(INDEX('Final Calculation Sheet'!$R$4:$R$40,$AL$9)="","",INDEX('Final Calculation Sheet'!$R$4:$R$40,$AL$9)))</f>
        <v/>
      </c>
      <c r="T9" s="122">
        <f>IF($AL$9="","",IF(INDEX('Final Calculation Sheet'!$S$4:$S$40,$AL$9)="","",INDEX('Final Calculation Sheet'!$S$4:$S$40,$AL$9)))</f>
        <v/>
      </c>
      <c r="U9" s="122">
        <f>IF($AL$9="","",IF(INDEX('Final Calculation Sheet'!$T$4:$T$40,$AL$9)="","",INDEX('Final Calculation Sheet'!$T$4:$T$40,$AL$9)))</f>
        <v/>
      </c>
      <c r="V9" s="125">
        <f>IF($AL$9="","",IF(INDEX('Final Calculation Sheet'!$U$4:$U$40,$AL$9)="","",INDEX('Final Calculation Sheet'!$U$4:$U$40,$AL$9)))</f>
        <v/>
      </c>
      <c r="W9" s="122">
        <f>IF($AL$9="","",IF(INDEX('Final Calculation Sheet'!$V$4:$V$40,$AL$9)="","",INDEX('Final Calculation Sheet'!$V$4:$V$40,$AL$9)))</f>
        <v/>
      </c>
      <c r="X9" s="122">
        <f>IF($AL$9="","",IF(INDEX('Final Calculation Sheet'!$W$4:$W$40,$AL$9)="","",INDEX('Final Calculation Sheet'!$W$4:$W$40,$AL$9)))</f>
        <v/>
      </c>
      <c r="Y9" s="122">
        <f>IF($AL$9="","",IF(INDEX('Final Calculation Sheet'!$X$4:$X$40,$AL$9)="","",INDEX('Final Calculation Sheet'!$X$4:$X$40,$AL$9)))</f>
        <v/>
      </c>
      <c r="Z9" s="122">
        <f>IF($AL$9="","",IF(INDEX('Final Calculation Sheet'!$Y$4:$Y$40,$AL$9)="","",INDEX('Final Calculation Sheet'!$Y$4:$Y$40,$AL$9)))</f>
        <v/>
      </c>
      <c r="AA9" s="122">
        <f>IF($AL$9="","",IF(INDEX('Final Calculation Sheet'!$Z$4:$Z$40,$AL$9)="","",INDEX('Final Calculation Sheet'!$Z$4:$Z$40,$AL$9)))</f>
        <v/>
      </c>
      <c r="AB9" s="122">
        <f>IF($AL$9="","",IF(INDEX('Final Calculation Sheet'!$AA$4:$AA$40,$AL$9)="","",INDEX('Final Calculation Sheet'!$AA$4:$AA$40,$AL$9)))</f>
        <v/>
      </c>
      <c r="AC9" s="122">
        <f>IF($AL$9="","",IF(INDEX('Final Calculation Sheet'!$AB$4:$AB$40,$AL$9)="","",INDEX('Final Calculation Sheet'!$AB$4:$AB$40,$AL$9)))</f>
        <v/>
      </c>
      <c r="AD9" s="122">
        <f>IF($AL$9="","",IF(INDEX('Final Calculation Sheet'!$AC$4:$AC$40,$AL$9)="","",INDEX('Final Calculation Sheet'!$AC$4:$AC$40,$AL$9)))</f>
        <v/>
      </c>
      <c r="AE9" s="122">
        <f>IF($AL$9="","",IF(INDEX('Final Calculation Sheet'!$AD$4:$AD$40,$AL$9)="","",INDEX('Final Calculation Sheet'!$AD$4:$AD$40,$AL$9)))</f>
        <v/>
      </c>
      <c r="AF9" s="127">
        <f>IF($AL$9="","",IF(INDEX('Final Calculation Sheet'!$AD$4:$AD$40,$AL$9)&lt;=5,"SETTLED","OUTSTANDING"))</f>
        <v/>
      </c>
      <c r="AG9" s="122">
        <f>IF($AL$9="","",IF(INDEX('Final Calculation Sheet'!$AF$4:$AF$40,$AL$9)="","",INDEX('Final Calculation Sheet'!$AF$4:$AF$40,$AL$9)))</f>
        <v/>
      </c>
      <c r="AH9" s="126">
        <f>IF($AL$9="","",IF(INDEX('Final Calculation Sheet'!$AG$4:$AG$40,$AL$9)="","",INDEX('Final Calculation Sheet'!$AG$4:$AG$40,$AL$9)))</f>
        <v/>
      </c>
      <c r="AI9" s="122">
        <f>IF($AL$9="","",IF(INDEX('Final Calculation Sheet'!$AH$4:$AH$40,$AL$9)="","",INDEX('Final Calculation Sheet'!$AH$4:$AH$40,$AL$9)))</f>
        <v/>
      </c>
      <c r="AJ9">
        <f>IF(AND(IF($B$4="",TRUE(),IF($B$4="(blank)",'Final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Sheet'!$AD$7&lt;=5,"SETTLED","OUTSTANDING"))))))),1,0)</f>
      </c>
      <c r="AK9">
        <f>IF(AJ9=1,COUNTIF(AJ$6:AJ9,1),"")</f>
        <v/>
      </c>
      <c r="AL9">
        <f>IF(COUNTIF($B$4:$AI$4,"&lt;&gt;")=0,"",IFERROR(MATCH(3,$AK$6:$AK$42,0),""))</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CU8+IF(AND(Lists!$FI$9&lt;&gt;"",ISNUMBER(SEARCH($AG$4,Lists!$FI$9))),1,0)</f>
        <v/>
      </c>
      <c r="CV9">
        <f>IF(ROW()-3&gt;MAX($CU$4:$CU$42),"",INDEX(Lists!$FI$4:$FI$42,MATCH(ROW()-3,$CU$4:$CU$42,0)))</f>
        <v/>
      </c>
      <c r="CW9">
        <f>CW8+IF(AND(Lists!$FN$9&lt;&gt;"",ISNUMBER(SEARCH($AH$4,Lists!$FN$9))),1,0)</f>
        <v/>
      </c>
      <c r="CX9">
        <f>IF(ROW()-3&gt;MAX($CW$4:$CW$42),"",INDEX(Lists!$FN$4:$FN$42,MATCH(ROW()-3,$CW$4:$CW$42,0)))</f>
        <v/>
      </c>
      <c r="CY9">
        <f>CY8+IF(AND(Lists!$FS$9&lt;&gt;"",ISNUMBER(SEARCH($AI$4,Lists!$FS$9))),1,0)</f>
        <v/>
      </c>
      <c r="CZ9">
        <f>IF(ROW()-3&gt;MAX($CY$4:$CY$42),"",INDEX(Lists!$FS$4:$FS$42,MATCH(ROW()-3,$CY$4:$CY$42,0)))</f>
        <v/>
      </c>
      <c r="DA9">
        <f>DA8+IF(AND(Lists!$FX$9&lt;&gt;"",ISNUMBER(SEARCH($AF$4,Lists!$FX$9))),1,0)</f>
        <v/>
      </c>
      <c r="DB9">
        <f>IF(ROW()-3&gt;MAX($DA$4:$DA$42),"",INDEX(Lists!$FX$4:$FX$42,MATCH(ROW()-3,$DA$4:$DA$42,0)))</f>
        <v/>
      </c>
      <c r="DG9">
        <f>IF($B$4="",1,IF($B$4="(blank)",--('Final Calculation Sheet'!$F$7=""),IF($B$4="(nonblank)",--('Final Calculation Sheet'!$F$7&lt;&gt;""),--ISNUMBER(SEARCH($B$4,'Final Calculation Sheet'!$F$7)))))</f>
        <v/>
      </c>
      <c r="DH9">
        <f>IF($C$4="",1,IF($C$4="(blank)",--('Final Calculation Sheet'!$G$7=""),IF($C$4="(nonblank)",--('Final Calculation Sheet'!$G$7&lt;&gt;""),--ISNUMBER(SEARCH($C$4,'Final Calculation Sheet'!$G$7)))))</f>
        <v/>
      </c>
      <c r="DI9">
        <f>IF($D$4="",1,IF($D$4="(blank)",--('Final Calculation Sheet'!$B$7=""),IF($D$4="(nonblank)",--('Final Calculation Sheet'!$B$7&lt;&gt;""),--ISNUMBER(SEARCH($D$4,'Final Calculation Sheet'!$B$7)))))</f>
        <v/>
      </c>
      <c r="DJ9">
        <f>IF($E$4="",1,IF($E$4="(blank)",--('Final Calculation Sheet'!$D$7=""),IF($E$4="(nonblank)",--('Final Calculation Sheet'!$D$7&lt;&gt;""),--ISNUMBER(SEARCH($E$4,'Final Calculation Sheet'!$D$7)))))</f>
        <v/>
      </c>
      <c r="DK9">
        <f>IF($F$4="",1,IF($F$4="(blank)",--('Final Calculation Sheet'!$A$7=""),IF($F$4="(nonblank)",--('Final Calculation Sheet'!$A$7&lt;&gt;""),--ISNUMBER(SEARCH($F$4,'Final Calculation Sheet'!$A$7)))))</f>
        <v/>
      </c>
      <c r="DL9">
        <f>IF($G$4="",1,IF($G$4="(blank)",--('Final Calculation Sheet'!$E$7=""),IF($G$4="(nonblank)",--('Final Calculation Sheet'!$E$7&lt;&gt;""),--ISNUMBER(SEARCH($G$4,'Final Calculation Sheet'!$E$7)))))</f>
        <v/>
      </c>
      <c r="DM9">
        <f>IF($H$4="",1,IF($H$4="(blank)",--('Final Calculation Sheet'!$C$7=""),IF($H$4="(nonblank)",--('Final Calculation Sheet'!$C$7&lt;&gt;""),--ISNUMBER(SEARCH($H$4,'Final Calculation Sheet'!$C$7)))))</f>
        <v/>
      </c>
      <c r="DN9">
        <f>IF($I$4="",1,IF($I$4="(blank)",--('Final Calculation Sheet'!$H$7=""),IF($I$4="(nonblank)",--('Final Calculation Sheet'!$H$7&lt;&gt;""),--ISNUMBER(SEARCH($I$4,'Final Calculation Sheet'!$H$7)))))</f>
        <v/>
      </c>
      <c r="DO9">
        <f>IF($J$4="",1,IF($J$4="(blank)",--('Final Calculation Sheet'!$I$7=""),IF($J$4="(nonblank)",--('Final Calculation Sheet'!$I$7&lt;&gt;""),--ISNUMBER(SEARCH($J$4,'Final Calculation Sheet'!$I$7)))))</f>
        <v/>
      </c>
      <c r="DP9">
        <f>IF($K$4="",1,IF($K$4="(blank)",--('Final Calculation Sheet'!$J$7=""),IF($K$4="(nonblank)",--('Final Calculation Sheet'!$J$7&lt;&gt;""),--ISNUMBER(SEARCH($K$4,'Final Calculation Sheet'!$J$7)))))</f>
        <v/>
      </c>
      <c r="DQ9">
        <f>IF($L$4="",1,IF($L$4="(blank)",--('Final Calculation Sheet'!$K$7=""),IF($L$4="(nonblank)",--('Final Calculation Sheet'!$K$7&lt;&gt;""),--ISNUMBER(SEARCH($L$4,'Final Calculation Sheet'!$K$7)))))</f>
        <v/>
      </c>
      <c r="DR9">
        <f>IF($M$4="",1,IF($M$4="(blank)",--('Final Calculation Sheet'!$L$7=""),IF($M$4="(nonblank)",--('Final Calculation Sheet'!$L$7&lt;&gt;""),--ISNUMBER(SEARCH($M$4,'Final Calculation Sheet'!$L$7)))))</f>
        <v/>
      </c>
      <c r="DS9">
        <f>IF($N$4="",1,IF($N$4="(blank)",--('Final Calculation Sheet'!$M$7=""),IF($N$4="(nonblank)",--('Final Calculation Sheet'!$M$7&lt;&gt;""),--ISNUMBER(SEARCH($N$4,'Final Calculation Sheet'!$M$7)))))</f>
        <v/>
      </c>
      <c r="DT9">
        <f>IF($O$4="",1,IF($O$4="(blank)",--('Final Calculation Sheet'!$N$7=""),IF($O$4="(nonblank)",--('Final Calculation Sheet'!$N$7&lt;&gt;""),--ISNUMBER(SEARCH($O$4,'Final Calculation Sheet'!$N$7)))))</f>
        <v/>
      </c>
      <c r="DU9">
        <f>IF($P$4="",1,IF($P$4="(blank)",--('Final Calculation Sheet'!$O$7=""),IF($P$4="(nonblank)",--('Final Calculation Sheet'!$O$7&lt;&gt;""),--ISNUMBER(SEARCH($P$4,'Final Calculation Sheet'!$O$7)))))</f>
        <v/>
      </c>
      <c r="DV9">
        <f>IF($Q$4="",1,IF($Q$4="(blank)",--('Final Calculation Sheet'!$P$7=""),IF($Q$4="(nonblank)",--('Final Calculation Sheet'!$P$7&lt;&gt;""),--ISNUMBER(SEARCH($Q$4,'Final Calculation Sheet'!$P$7)))))</f>
        <v/>
      </c>
      <c r="DW9">
        <f>IF($R$4="",1,IF($R$4="(blank)",--('Final Calculation Sheet'!$Q$7=""),IF($R$4="(nonblank)",--('Final Calculation Sheet'!$Q$7&lt;&gt;""),--ISNUMBER(SEARCH($R$4,'Final Calculation Sheet'!$Q$7)))))</f>
        <v/>
      </c>
      <c r="DX9">
        <f>IF($S$4="",1,IF($S$4="(blank)",--('Final Calculation Sheet'!$R$7=""),IF($S$4="(nonblank)",--('Final Calculation Sheet'!$R$7&lt;&gt;""),--ISNUMBER(SEARCH($S$4,'Final Calculation Sheet'!$R$7)))))</f>
        <v/>
      </c>
      <c r="DY9">
        <f>IF($T$4="",1,IF($T$4="(blank)",--('Final Calculation Sheet'!$S$7=""),IF($T$4="(nonblank)",--('Final Calculation Sheet'!$S$7&lt;&gt;""),--ISNUMBER(SEARCH($T$4,'Final Calculation Sheet'!$S$7)))))</f>
        <v/>
      </c>
      <c r="DZ9">
        <f>IF($U$4="",1,IF($U$4="(blank)",--('Final Calculation Sheet'!$T$7=""),IF($U$4="(nonblank)",--('Final Calculation Sheet'!$T$7&lt;&gt;""),--ISNUMBER(SEARCH($U$4,'Final Calculation Sheet'!$T$7)))))</f>
        <v/>
      </c>
      <c r="EA9">
        <f>IF($V$4="",1,IF($V$4="(blank)",--('Final Calculation Sheet'!$U$7=""),IF($V$4="(nonblank)",--('Final Calculation Sheet'!$U$7&lt;&gt;""),--ISNUMBER(SEARCH($V$4,'Final Calculation Sheet'!$U$7)))))</f>
        <v/>
      </c>
      <c r="EB9">
        <f>IF($W$4="",1,IF($W$4="(blank)",--('Final Calculation Sheet'!$V$7=""),IF($W$4="(nonblank)",--('Final Calculation Sheet'!$V$7&lt;&gt;""),--ISNUMBER(SEARCH($W$4,'Final Calculation Sheet'!$V$7)))))</f>
        <v/>
      </c>
      <c r="EC9">
        <f>IF($X$4="",1,IF($X$4="(blank)",--('Final Calculation Sheet'!$W$7=""),IF($X$4="(nonblank)",--('Final Calculation Sheet'!$W$7&lt;&gt;""),--ISNUMBER(SEARCH($X$4,'Final Calculation Sheet'!$W$7)))))</f>
        <v/>
      </c>
      <c r="ED9">
        <f>IF($Y$4="",1,IF($Y$4="(blank)",--('Final Calculation Sheet'!$X$7=""),IF($Y$4="(nonblank)",--('Final Calculation Sheet'!$X$7&lt;&gt;""),--ISNUMBER(SEARCH($Y$4,'Final Calculation Sheet'!$X$7)))))</f>
        <v/>
      </c>
      <c r="EE9">
        <f>IF($Z$4="",1,IF($Z$4="(blank)",--('Final Calculation Sheet'!$Y$7=""),IF($Z$4="(nonblank)",--('Final Calculation Sheet'!$Y$7&lt;&gt;""),--ISNUMBER(SEARCH($Z$4,'Final Calculation Sheet'!$Y$7)))))</f>
        <v/>
      </c>
      <c r="EF9">
        <f>IF($AA$4="",1,IF($AA$4="(blank)",--('Final Calculation Sheet'!$Z$7=""),IF($AA$4="(nonblank)",--('Final Calculation Sheet'!$Z$7&lt;&gt;""),--ISNUMBER(SEARCH($AA$4,'Final Calculation Sheet'!$Z$7)))))</f>
        <v/>
      </c>
      <c r="EG9">
        <f>IF($AB$4="",1,IF($AB$4="(blank)",--('Final Calculation Sheet'!$AA$7=""),IF($AB$4="(nonblank)",--('Final Calculation Sheet'!$AA$7&lt;&gt;""),--ISNUMBER(SEARCH($AB$4,'Final Calculation Sheet'!$AA$7)))))</f>
        <v/>
      </c>
      <c r="EH9">
        <f>IF($AC$4="",1,IF($AC$4="(blank)",--('Final Calculation Sheet'!$AB$7=""),IF($AC$4="(nonblank)",--('Final Calculation Sheet'!$AB$7&lt;&gt;""),--ISNUMBER(SEARCH($AC$4,'Final Calculation Sheet'!$AB$7)))))</f>
        <v/>
      </c>
      <c r="EI9">
        <f>IF($AD$4="",1,IF($AD$4="(blank)",--('Final Calculation Sheet'!$AC$7=""),IF($AD$4="(nonblank)",--('Final Calculation Sheet'!$AC$7&lt;&gt;""),--ISNUMBER(SEARCH($AD$4,'Final Calculation Sheet'!$AC$7)))))</f>
        <v/>
      </c>
      <c r="EJ9">
        <f>IF($AE$4="",1,IF($AE$4="(blank)",--('Final Calculation Sheet'!$AD$7=""),IF($AE$4="(nonblank)",--('Final Calculation Sheet'!$AD$7&lt;&gt;""),--ISNUMBER(SEARCH($AE$4,'Final Calculation Sheet'!$AD$7)))))</f>
        <v/>
      </c>
      <c r="EK9">
        <f>IF($AF$4="",1,IF($AF$4="(blank)",--(IF('Final Calculation Sheet'!$AD$7&lt;=5,"SETTLED","OUTSTANDING")=""),IF($AF$4="(nonblank)",--(IF('Final Calculation Sheet'!$AD$7&lt;=5,"SETTLED","OUTSTANDING")&lt;&gt;""),--ISNUMBER(SEARCH($AF$4,IF('Final Calculation Sheet'!$AD$7&lt;=5,"SETTLED","OUTSTANDING"))))))</f>
        <v/>
      </c>
      <c r="EL9">
        <f>IF($AG$4="",1,IF($AG$4="(blank)",--('Final Calculation Sheet'!$AF$7=""),IF($AG$4="(nonblank)",--('Final Calculation Sheet'!$AF$7&lt;&gt;""),--ISNUMBER(SEARCH($AG$4,'Final Calculation Sheet'!$AF$7)))))</f>
        <v/>
      </c>
      <c r="EM9">
        <f>IF($AH$4="",1,IF($AH$4="(blank)",--('Final Calculation Sheet'!$AG$7=""),IF($AH$4="(nonblank)",--('Final Calculation Sheet'!$AG$7&lt;&gt;""),--ISNUMBER(SEARCH($AH$4,'Final Calculation Sheet'!$AG$7)))))</f>
        <v/>
      </c>
      <c r="EN9">
        <f>IF($AI$4="",1,IF($AI$4="(blank)",--('Final Calculation Sheet'!$AH$7=""),IF($AI$4="(nonblank)",--('Final Calculation Sheet'!$AH$7&lt;&gt;""),--ISNUMBER(SEARCH($AI$4,'Final Calculation Sheet'!$AH$7)))))</f>
        <v/>
      </c>
    </row>
    <row r="10" outlineLevel="1" hidden="1">
      <c r="A10" s="128">
        <f>IF($AL$10="","",4)</f>
        <v/>
      </c>
      <c r="B10" s="129">
        <f>IF($AL$10="","",IF(INDEX('Final Calculation Sheet'!$F$4:$F$40,$AL$10)="","",INDEX('Final Calculation Sheet'!$F$4:$F$40,$AL$10)))</f>
        <v/>
      </c>
      <c r="C10" s="129">
        <f>IF($AL$10="","",IF(INDEX('Final Calculation Sheet'!$G$4:$G$40,$AL$10)="","",INDEX('Final Calculation Sheet'!$G$4:$G$40,$AL$10)))</f>
        <v/>
      </c>
      <c r="D10" s="130">
        <f>IF($AL$10="","",IF(INDEX('Final Calculation Sheet'!$B$4:$B$40,$AL$10)="","",INDEX('Final Calculation Sheet'!$B$4:$B$40,$AL$10)))</f>
        <v/>
      </c>
      <c r="E10" s="130">
        <f>IF($AL$10="","",IF(INDEX('Final Calculation Sheet'!$D$4:$D$40,$AL$10)="","",INDEX('Final Calculation Sheet'!$D$4:$D$40,$AL$10)))</f>
        <v/>
      </c>
      <c r="F10" s="130">
        <f>IF($AL$10="","",IF(INDEX('Final Calculation Sheet'!$A$4:$A$40,$AL$10)="","",INDEX('Final Calculation Sheet'!$A$4:$A$40,$AL$10)))</f>
        <v/>
      </c>
      <c r="G10" s="130">
        <f>IF($AL$10="","",IF(INDEX('Final Calculation Sheet'!$E$4:$E$40,$AL$10)="","",INDEX('Final Calculation Sheet'!$E$4:$E$40,$AL$10)))</f>
        <v/>
      </c>
      <c r="H10" s="131">
        <f>IF($AL$10="","",IF(INDEX('Final Calculation Sheet'!$C$4:$C$40,$AL$10)="","",INDEX('Final Calculation Sheet'!$C$4:$C$40,$AL$10)))</f>
        <v/>
      </c>
      <c r="I10" s="131">
        <f>IF($AL$10="","",IF(INDEX('Final Calculation Sheet'!$H$4:$H$40,$AL$10)="","",INDEX('Final Calculation Sheet'!$H$4:$H$40,$AL$10)))</f>
        <v/>
      </c>
      <c r="J10" s="131">
        <f>IF($AL$10="","",IF(INDEX('Final Calculation Sheet'!$I$4:$I$40,$AL$10)="","",INDEX('Final Calculation Sheet'!$I$4:$I$40,$AL$10)))</f>
        <v/>
      </c>
      <c r="K10" s="131">
        <f>IF($AL$10="","",IF(INDEX('Final Calculation Sheet'!$J$4:$J$40,$AL$10)="","",INDEX('Final Calculation Sheet'!$J$4:$J$40,$AL$10)))</f>
        <v/>
      </c>
      <c r="L10" s="131">
        <f>IF($AL$10="","",IF(INDEX('Final Calculation Sheet'!$K$4:$K$40,$AL$10)="","",INDEX('Final Calculation Sheet'!$K$4:$K$40,$AL$10)))</f>
        <v/>
      </c>
      <c r="M10" s="131">
        <f>IF($AL$10="","",IF(INDEX('Final Calculation Sheet'!$L$4:$L$40,$AL$10)="","",INDEX('Final Calculation Sheet'!$L$4:$L$40,$AL$10)))</f>
        <v/>
      </c>
      <c r="N10" s="131">
        <f>IF($AL$10="","",IF(INDEX('Final Calculation Sheet'!$M$4:$M$40,$AL$10)="","",INDEX('Final Calculation Sheet'!$M$4:$M$40,$AL$10)))</f>
        <v/>
      </c>
      <c r="O10" s="132">
        <f>IF($AL$10="","",IF(INDEX('Final Calculation Sheet'!$N$4:$N$40,$AL$10)="","",INDEX('Final Calculation Sheet'!$N$4:$N$40,$AL$10)))</f>
        <v/>
      </c>
      <c r="P10" s="131">
        <f>IF($AL$10="","",IF(INDEX('Final Calculation Sheet'!$O$4:$O$40,$AL$10)="","",INDEX('Final Calculation Sheet'!$O$4:$O$40,$AL$10)))</f>
        <v/>
      </c>
      <c r="Q10" s="131">
        <f>IF($AL$10="","",IF(INDEX('Final Calculation Sheet'!$P$4:$P$40,$AL$10)="","",INDEX('Final Calculation Sheet'!$P$4:$P$40,$AL$10)))</f>
        <v/>
      </c>
      <c r="R10" s="133">
        <f>IF($AL$10="","",IF(INDEX('Final Calculation Sheet'!$Q$4:$Q$40,$AL$10)="","",INDEX('Final Calculation Sheet'!$Q$4:$Q$40,$AL$10)))</f>
        <v/>
      </c>
      <c r="S10" s="131">
        <f>IF($AL$10="","",IF(INDEX('Final Calculation Sheet'!$R$4:$R$40,$AL$10)="","",INDEX('Final Calculation Sheet'!$R$4:$R$40,$AL$10)))</f>
        <v/>
      </c>
      <c r="T10" s="131">
        <f>IF($AL$10="","",IF(INDEX('Final Calculation Sheet'!$S$4:$S$40,$AL$10)="","",INDEX('Final Calculation Sheet'!$S$4:$S$40,$AL$10)))</f>
        <v/>
      </c>
      <c r="U10" s="131">
        <f>IF($AL$10="","",IF(INDEX('Final Calculation Sheet'!$T$4:$T$40,$AL$10)="","",INDEX('Final Calculation Sheet'!$T$4:$T$40,$AL$10)))</f>
        <v/>
      </c>
      <c r="V10" s="134">
        <f>IF($AL$10="","",IF(INDEX('Final Calculation Sheet'!$U$4:$U$40,$AL$10)="","",INDEX('Final Calculation Sheet'!$U$4:$U$40,$AL$10)))</f>
        <v/>
      </c>
      <c r="W10" s="131">
        <f>IF($AL$10="","",IF(INDEX('Final Calculation Sheet'!$V$4:$V$40,$AL$10)="","",INDEX('Final Calculation Sheet'!$V$4:$V$40,$AL$10)))</f>
        <v/>
      </c>
      <c r="X10" s="131">
        <f>IF($AL$10="","",IF(INDEX('Final Calculation Sheet'!$W$4:$W$40,$AL$10)="","",INDEX('Final Calculation Sheet'!$W$4:$W$40,$AL$10)))</f>
        <v/>
      </c>
      <c r="Y10" s="131">
        <f>IF($AL$10="","",IF(INDEX('Final Calculation Sheet'!$X$4:$X$40,$AL$10)="","",INDEX('Final Calculation Sheet'!$X$4:$X$40,$AL$10)))</f>
        <v/>
      </c>
      <c r="Z10" s="131">
        <f>IF($AL$10="","",IF(INDEX('Final Calculation Sheet'!$Y$4:$Y$40,$AL$10)="","",INDEX('Final Calculation Sheet'!$Y$4:$Y$40,$AL$10)))</f>
        <v/>
      </c>
      <c r="AA10" s="131">
        <f>IF($AL$10="","",IF(INDEX('Final Calculation Sheet'!$Z$4:$Z$40,$AL$10)="","",INDEX('Final Calculation Sheet'!$Z$4:$Z$40,$AL$10)))</f>
        <v/>
      </c>
      <c r="AB10" s="131">
        <f>IF($AL$10="","",IF(INDEX('Final Calculation Sheet'!$AA$4:$AA$40,$AL$10)="","",INDEX('Final Calculation Sheet'!$AA$4:$AA$40,$AL$10)))</f>
        <v/>
      </c>
      <c r="AC10" s="131">
        <f>IF($AL$10="","",IF(INDEX('Final Calculation Sheet'!$AB$4:$AB$40,$AL$10)="","",INDEX('Final Calculation Sheet'!$AB$4:$AB$40,$AL$10)))</f>
        <v/>
      </c>
      <c r="AD10" s="131">
        <f>IF($AL$10="","",IF(INDEX('Final Calculation Sheet'!$AC$4:$AC$40,$AL$10)="","",INDEX('Final Calculation Sheet'!$AC$4:$AC$40,$AL$10)))</f>
        <v/>
      </c>
      <c r="AE10" s="131">
        <f>IF($AL$10="","",IF(INDEX('Final Calculation Sheet'!$AD$4:$AD$40,$AL$10)="","",INDEX('Final Calculation Sheet'!$AD$4:$AD$40,$AL$10)))</f>
        <v/>
      </c>
      <c r="AF10" s="136">
        <f>IF($AL$10="","",IF(INDEX('Final Calculation Sheet'!$AD$4:$AD$40,$AL$10)&lt;=5,"SETTLED","OUTSTANDING"))</f>
        <v/>
      </c>
      <c r="AG10" s="131">
        <f>IF($AL$10="","",IF(INDEX('Final Calculation Sheet'!$AF$4:$AF$40,$AL$10)="","",INDEX('Final Calculation Sheet'!$AF$4:$AF$40,$AL$10)))</f>
        <v/>
      </c>
      <c r="AH10" s="135">
        <f>IF($AL$10="","",IF(INDEX('Final Calculation Sheet'!$AG$4:$AG$40,$AL$10)="","",INDEX('Final Calculation Sheet'!$AG$4:$AG$40,$AL$10)))</f>
        <v/>
      </c>
      <c r="AI10" s="131">
        <f>IF($AL$10="","",IF(INDEX('Final Calculation Sheet'!$AH$4:$AH$40,$AL$10)="","",INDEX('Final Calculation Sheet'!$AH$4:$AH$40,$AL$10)))</f>
        <v/>
      </c>
      <c r="AJ10">
        <f>IF(AND(IF($B$4="",TRUE(),IF($B$4="(blank)",'Final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Sheet'!$AD$8&lt;=5,"SETTLED","OUTSTANDING"))))))),1,0)</f>
      </c>
      <c r="AK10">
        <f>IF(AJ10=1,COUNTIF(AJ$6:AJ10,1),"")</f>
        <v/>
      </c>
      <c r="AL10">
        <f>IF(COUNTIF($B$4:$AI$4,"&lt;&gt;")=0,"",IFERROR(MATCH(4,$AK$6:$AK$42,0),""))</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CU9+IF(AND(Lists!$FI$10&lt;&gt;"",ISNUMBER(SEARCH($AG$4,Lists!$FI$10))),1,0)</f>
        <v/>
      </c>
      <c r="CV10">
        <f>IF(ROW()-3&gt;MAX($CU$4:$CU$42),"",INDEX(Lists!$FI$4:$FI$42,MATCH(ROW()-3,$CU$4:$CU$42,0)))</f>
        <v/>
      </c>
      <c r="CW10">
        <f>CW9+IF(AND(Lists!$FN$10&lt;&gt;"",ISNUMBER(SEARCH($AH$4,Lists!$FN$10))),1,0)</f>
        <v/>
      </c>
      <c r="CX10">
        <f>IF(ROW()-3&gt;MAX($CW$4:$CW$42),"",INDEX(Lists!$FN$4:$FN$42,MATCH(ROW()-3,$CW$4:$CW$42,0)))</f>
        <v/>
      </c>
      <c r="CY10">
        <f>CY9+IF(AND(Lists!$FS$10&lt;&gt;"",ISNUMBER(SEARCH($AI$4,Lists!$FS$10))),1,0)</f>
        <v/>
      </c>
      <c r="CZ10">
        <f>IF(ROW()-3&gt;MAX($CY$4:$CY$42),"",INDEX(Lists!$FS$4:$FS$42,MATCH(ROW()-3,$CY$4:$CY$42,0)))</f>
        <v/>
      </c>
      <c r="DA10">
        <f>DA9+IF(AND(Lists!$FX$10&lt;&gt;"",ISNUMBER(SEARCH($AF$4,Lists!$FX$10))),1,0)</f>
        <v/>
      </c>
      <c r="DB10">
        <f>IF(ROW()-3&gt;MAX($DA$4:$DA$42),"",INDEX(Lists!$FX$4:$FX$42,MATCH(ROW()-3,$DA$4:$DA$42,0)))</f>
        <v/>
      </c>
      <c r="DG10">
        <f>IF($B$4="",1,IF($B$4="(blank)",--('Final Calculation Sheet'!$F$8=""),IF($B$4="(nonblank)",--('Final Calculation Sheet'!$F$8&lt;&gt;""),--ISNUMBER(SEARCH($B$4,'Final Calculation Sheet'!$F$8)))))</f>
        <v/>
      </c>
      <c r="DH10">
        <f>IF($C$4="",1,IF($C$4="(blank)",--('Final Calculation Sheet'!$G$8=""),IF($C$4="(nonblank)",--('Final Calculation Sheet'!$G$8&lt;&gt;""),--ISNUMBER(SEARCH($C$4,'Final Calculation Sheet'!$G$8)))))</f>
        <v/>
      </c>
      <c r="DI10">
        <f>IF($D$4="",1,IF($D$4="(blank)",--('Final Calculation Sheet'!$B$8=""),IF($D$4="(nonblank)",--('Final Calculation Sheet'!$B$8&lt;&gt;""),--ISNUMBER(SEARCH($D$4,'Final Calculation Sheet'!$B$8)))))</f>
        <v/>
      </c>
      <c r="DJ10">
        <f>IF($E$4="",1,IF($E$4="(blank)",--('Final Calculation Sheet'!$D$8=""),IF($E$4="(nonblank)",--('Final Calculation Sheet'!$D$8&lt;&gt;""),--ISNUMBER(SEARCH($E$4,'Final Calculation Sheet'!$D$8)))))</f>
        <v/>
      </c>
      <c r="DK10">
        <f>IF($F$4="",1,IF($F$4="(blank)",--('Final Calculation Sheet'!$A$8=""),IF($F$4="(nonblank)",--('Final Calculation Sheet'!$A$8&lt;&gt;""),--ISNUMBER(SEARCH($F$4,'Final Calculation Sheet'!$A$8)))))</f>
        <v/>
      </c>
      <c r="DL10">
        <f>IF($G$4="",1,IF($G$4="(blank)",--('Final Calculation Sheet'!$E$8=""),IF($G$4="(nonblank)",--('Final Calculation Sheet'!$E$8&lt;&gt;""),--ISNUMBER(SEARCH($G$4,'Final Calculation Sheet'!$E$8)))))</f>
        <v/>
      </c>
      <c r="DM10">
        <f>IF($H$4="",1,IF($H$4="(blank)",--('Final Calculation Sheet'!$C$8=""),IF($H$4="(nonblank)",--('Final Calculation Sheet'!$C$8&lt;&gt;""),--ISNUMBER(SEARCH($H$4,'Final Calculation Sheet'!$C$8)))))</f>
        <v/>
      </c>
      <c r="DN10">
        <f>IF($I$4="",1,IF($I$4="(blank)",--('Final Calculation Sheet'!$H$8=""),IF($I$4="(nonblank)",--('Final Calculation Sheet'!$H$8&lt;&gt;""),--ISNUMBER(SEARCH($I$4,'Final Calculation Sheet'!$H$8)))))</f>
        <v/>
      </c>
      <c r="DO10">
        <f>IF($J$4="",1,IF($J$4="(blank)",--('Final Calculation Sheet'!$I$8=""),IF($J$4="(nonblank)",--('Final Calculation Sheet'!$I$8&lt;&gt;""),--ISNUMBER(SEARCH($J$4,'Final Calculation Sheet'!$I$8)))))</f>
        <v/>
      </c>
      <c r="DP10">
        <f>IF($K$4="",1,IF($K$4="(blank)",--('Final Calculation Sheet'!$J$8=""),IF($K$4="(nonblank)",--('Final Calculation Sheet'!$J$8&lt;&gt;""),--ISNUMBER(SEARCH($K$4,'Final Calculation Sheet'!$J$8)))))</f>
        <v/>
      </c>
      <c r="DQ10">
        <f>IF($L$4="",1,IF($L$4="(blank)",--('Final Calculation Sheet'!$K$8=""),IF($L$4="(nonblank)",--('Final Calculation Sheet'!$K$8&lt;&gt;""),--ISNUMBER(SEARCH($L$4,'Final Calculation Sheet'!$K$8)))))</f>
        <v/>
      </c>
      <c r="DR10">
        <f>IF($M$4="",1,IF($M$4="(blank)",--('Final Calculation Sheet'!$L$8=""),IF($M$4="(nonblank)",--('Final Calculation Sheet'!$L$8&lt;&gt;""),--ISNUMBER(SEARCH($M$4,'Final Calculation Sheet'!$L$8)))))</f>
        <v/>
      </c>
      <c r="DS10">
        <f>IF($N$4="",1,IF($N$4="(blank)",--('Final Calculation Sheet'!$M$8=""),IF($N$4="(nonblank)",--('Final Calculation Sheet'!$M$8&lt;&gt;""),--ISNUMBER(SEARCH($N$4,'Final Calculation Sheet'!$M$8)))))</f>
        <v/>
      </c>
      <c r="DT10">
        <f>IF($O$4="",1,IF($O$4="(blank)",--('Final Calculation Sheet'!$N$8=""),IF($O$4="(nonblank)",--('Final Calculation Sheet'!$N$8&lt;&gt;""),--ISNUMBER(SEARCH($O$4,'Final Calculation Sheet'!$N$8)))))</f>
        <v/>
      </c>
      <c r="DU10">
        <f>IF($P$4="",1,IF($P$4="(blank)",--('Final Calculation Sheet'!$O$8=""),IF($P$4="(nonblank)",--('Final Calculation Sheet'!$O$8&lt;&gt;""),--ISNUMBER(SEARCH($P$4,'Final Calculation Sheet'!$O$8)))))</f>
        <v/>
      </c>
      <c r="DV10">
        <f>IF($Q$4="",1,IF($Q$4="(blank)",--('Final Calculation Sheet'!$P$8=""),IF($Q$4="(nonblank)",--('Final Calculation Sheet'!$P$8&lt;&gt;""),--ISNUMBER(SEARCH($Q$4,'Final Calculation Sheet'!$P$8)))))</f>
        <v/>
      </c>
      <c r="DW10">
        <f>IF($R$4="",1,IF($R$4="(blank)",--('Final Calculation Sheet'!$Q$8=""),IF($R$4="(nonblank)",--('Final Calculation Sheet'!$Q$8&lt;&gt;""),--ISNUMBER(SEARCH($R$4,'Final Calculation Sheet'!$Q$8)))))</f>
        <v/>
      </c>
      <c r="DX10">
        <f>IF($S$4="",1,IF($S$4="(blank)",--('Final Calculation Sheet'!$R$8=""),IF($S$4="(nonblank)",--('Final Calculation Sheet'!$R$8&lt;&gt;""),--ISNUMBER(SEARCH($S$4,'Final Calculation Sheet'!$R$8)))))</f>
        <v/>
      </c>
      <c r="DY10">
        <f>IF($T$4="",1,IF($T$4="(blank)",--('Final Calculation Sheet'!$S$8=""),IF($T$4="(nonblank)",--('Final Calculation Sheet'!$S$8&lt;&gt;""),--ISNUMBER(SEARCH($T$4,'Final Calculation Sheet'!$S$8)))))</f>
        <v/>
      </c>
      <c r="DZ10">
        <f>IF($U$4="",1,IF($U$4="(blank)",--('Final Calculation Sheet'!$T$8=""),IF($U$4="(nonblank)",--('Final Calculation Sheet'!$T$8&lt;&gt;""),--ISNUMBER(SEARCH($U$4,'Final Calculation Sheet'!$T$8)))))</f>
        <v/>
      </c>
      <c r="EA10">
        <f>IF($V$4="",1,IF($V$4="(blank)",--('Final Calculation Sheet'!$U$8=""),IF($V$4="(nonblank)",--('Final Calculation Sheet'!$U$8&lt;&gt;""),--ISNUMBER(SEARCH($V$4,'Final Calculation Sheet'!$U$8)))))</f>
        <v/>
      </c>
      <c r="EB10">
        <f>IF($W$4="",1,IF($W$4="(blank)",--('Final Calculation Sheet'!$V$8=""),IF($W$4="(nonblank)",--('Final Calculation Sheet'!$V$8&lt;&gt;""),--ISNUMBER(SEARCH($W$4,'Final Calculation Sheet'!$V$8)))))</f>
        <v/>
      </c>
      <c r="EC10">
        <f>IF($X$4="",1,IF($X$4="(blank)",--('Final Calculation Sheet'!$W$8=""),IF($X$4="(nonblank)",--('Final Calculation Sheet'!$W$8&lt;&gt;""),--ISNUMBER(SEARCH($X$4,'Final Calculation Sheet'!$W$8)))))</f>
        <v/>
      </c>
      <c r="ED10">
        <f>IF($Y$4="",1,IF($Y$4="(blank)",--('Final Calculation Sheet'!$X$8=""),IF($Y$4="(nonblank)",--('Final Calculation Sheet'!$X$8&lt;&gt;""),--ISNUMBER(SEARCH($Y$4,'Final Calculation Sheet'!$X$8)))))</f>
        <v/>
      </c>
      <c r="EE10">
        <f>IF($Z$4="",1,IF($Z$4="(blank)",--('Final Calculation Sheet'!$Y$8=""),IF($Z$4="(nonblank)",--('Final Calculation Sheet'!$Y$8&lt;&gt;""),--ISNUMBER(SEARCH($Z$4,'Final Calculation Sheet'!$Y$8)))))</f>
        <v/>
      </c>
      <c r="EF10">
        <f>IF($AA$4="",1,IF($AA$4="(blank)",--('Final Calculation Sheet'!$Z$8=""),IF($AA$4="(nonblank)",--('Final Calculation Sheet'!$Z$8&lt;&gt;""),--ISNUMBER(SEARCH($AA$4,'Final Calculation Sheet'!$Z$8)))))</f>
        <v/>
      </c>
      <c r="EG10">
        <f>IF($AB$4="",1,IF($AB$4="(blank)",--('Final Calculation Sheet'!$AA$8=""),IF($AB$4="(nonblank)",--('Final Calculation Sheet'!$AA$8&lt;&gt;""),--ISNUMBER(SEARCH($AB$4,'Final Calculation Sheet'!$AA$8)))))</f>
        <v/>
      </c>
      <c r="EH10">
        <f>IF($AC$4="",1,IF($AC$4="(blank)",--('Final Calculation Sheet'!$AB$8=""),IF($AC$4="(nonblank)",--('Final Calculation Sheet'!$AB$8&lt;&gt;""),--ISNUMBER(SEARCH($AC$4,'Final Calculation Sheet'!$AB$8)))))</f>
        <v/>
      </c>
      <c r="EI10">
        <f>IF($AD$4="",1,IF($AD$4="(blank)",--('Final Calculation Sheet'!$AC$8=""),IF($AD$4="(nonblank)",--('Final Calculation Sheet'!$AC$8&lt;&gt;""),--ISNUMBER(SEARCH($AD$4,'Final Calculation Sheet'!$AC$8)))))</f>
        <v/>
      </c>
      <c r="EJ10">
        <f>IF($AE$4="",1,IF($AE$4="(blank)",--('Final Calculation Sheet'!$AD$8=""),IF($AE$4="(nonblank)",--('Final Calculation Sheet'!$AD$8&lt;&gt;""),--ISNUMBER(SEARCH($AE$4,'Final Calculation Sheet'!$AD$8)))))</f>
        <v/>
      </c>
      <c r="EK10">
        <f>IF($AF$4="",1,IF($AF$4="(blank)",--(IF('Final Calculation Sheet'!$AD$8&lt;=5,"SETTLED","OUTSTANDING")=""),IF($AF$4="(nonblank)",--(IF('Final Calculation Sheet'!$AD$8&lt;=5,"SETTLED","OUTSTANDING")&lt;&gt;""),--ISNUMBER(SEARCH($AF$4,IF('Final Calculation Sheet'!$AD$8&lt;=5,"SETTLED","OUTSTANDING"))))))</f>
        <v/>
      </c>
      <c r="EL10">
        <f>IF($AG$4="",1,IF($AG$4="(blank)",--('Final Calculation Sheet'!$AF$8=""),IF($AG$4="(nonblank)",--('Final Calculation Sheet'!$AF$8&lt;&gt;""),--ISNUMBER(SEARCH($AG$4,'Final Calculation Sheet'!$AF$8)))))</f>
        <v/>
      </c>
      <c r="EM10">
        <f>IF($AH$4="",1,IF($AH$4="(blank)",--('Final Calculation Sheet'!$AG$8=""),IF($AH$4="(nonblank)",--('Final Calculation Sheet'!$AG$8&lt;&gt;""),--ISNUMBER(SEARCH($AH$4,'Final Calculation Sheet'!$AG$8)))))</f>
        <v/>
      </c>
      <c r="EN10">
        <f>IF($AI$4="",1,IF($AI$4="(blank)",--('Final Calculation Sheet'!$AH$8=""),IF($AI$4="(nonblank)",--('Final Calculation Sheet'!$AH$8&lt;&gt;""),--ISNUMBER(SEARCH($AI$4,'Final Calculation Sheet'!$AH$8)))))</f>
        <v/>
      </c>
    </row>
    <row r="11" outlineLevel="1" hidden="1">
      <c r="A11" s="118">
        <f>IF($AL$11="","",5)</f>
        <v/>
      </c>
      <c r="B11" s="119">
        <f>IF($AL$11="","",IF(INDEX('Final Calculation Sheet'!$F$4:$F$40,$AL$11)="","",INDEX('Final Calculation Sheet'!$F$4:$F$40,$AL$11)))</f>
        <v/>
      </c>
      <c r="C11" s="119">
        <f>IF($AL$11="","",IF(INDEX('Final Calculation Sheet'!$G$4:$G$40,$AL$11)="","",INDEX('Final Calculation Sheet'!$G$4:$G$40,$AL$11)))</f>
        <v/>
      </c>
      <c r="D11" s="121">
        <f>IF($AL$11="","",IF(INDEX('Final Calculation Sheet'!$B$4:$B$40,$AL$11)="","",INDEX('Final Calculation Sheet'!$B$4:$B$40,$AL$11)))</f>
        <v/>
      </c>
      <c r="E11" s="121">
        <f>IF($AL$11="","",IF(INDEX('Final Calculation Sheet'!$D$4:$D$40,$AL$11)="","",INDEX('Final Calculation Sheet'!$D$4:$D$40,$AL$11)))</f>
        <v/>
      </c>
      <c r="F11" s="121">
        <f>IF($AL$11="","",IF(INDEX('Final Calculation Sheet'!$A$4:$A$40,$AL$11)="","",INDEX('Final Calculation Sheet'!$A$4:$A$40,$AL$11)))</f>
        <v/>
      </c>
      <c r="G11" s="121">
        <f>IF($AL$11="","",IF(INDEX('Final Calculation Sheet'!$E$4:$E$40,$AL$11)="","",INDEX('Final Calculation Sheet'!$E$4:$E$40,$AL$11)))</f>
        <v/>
      </c>
      <c r="H11" s="122">
        <f>IF($AL$11="","",IF(INDEX('Final Calculation Sheet'!$C$4:$C$40,$AL$11)="","",INDEX('Final Calculation Sheet'!$C$4:$C$40,$AL$11)))</f>
        <v/>
      </c>
      <c r="I11" s="122">
        <f>IF($AL$11="","",IF(INDEX('Final Calculation Sheet'!$H$4:$H$40,$AL$11)="","",INDEX('Final Calculation Sheet'!$H$4:$H$40,$AL$11)))</f>
        <v/>
      </c>
      <c r="J11" s="122">
        <f>IF($AL$11="","",IF(INDEX('Final Calculation Sheet'!$I$4:$I$40,$AL$11)="","",INDEX('Final Calculation Sheet'!$I$4:$I$40,$AL$11)))</f>
        <v/>
      </c>
      <c r="K11" s="122">
        <f>IF($AL$11="","",IF(INDEX('Final Calculation Sheet'!$J$4:$J$40,$AL$11)="","",INDEX('Final Calculation Sheet'!$J$4:$J$40,$AL$11)))</f>
        <v/>
      </c>
      <c r="L11" s="122">
        <f>IF($AL$11="","",IF(INDEX('Final Calculation Sheet'!$K$4:$K$40,$AL$11)="","",INDEX('Final Calculation Sheet'!$K$4:$K$40,$AL$11)))</f>
        <v/>
      </c>
      <c r="M11" s="122">
        <f>IF($AL$11="","",IF(INDEX('Final Calculation Sheet'!$L$4:$L$40,$AL$11)="","",INDEX('Final Calculation Sheet'!$L$4:$L$40,$AL$11)))</f>
        <v/>
      </c>
      <c r="N11" s="122">
        <f>IF($AL$11="","",IF(INDEX('Final Calculation Sheet'!$M$4:$M$40,$AL$11)="","",INDEX('Final Calculation Sheet'!$M$4:$M$40,$AL$11)))</f>
        <v/>
      </c>
      <c r="O11" s="123">
        <f>IF($AL$11="","",IF(INDEX('Final Calculation Sheet'!$N$4:$N$40,$AL$11)="","",INDEX('Final Calculation Sheet'!$N$4:$N$40,$AL$11)))</f>
        <v/>
      </c>
      <c r="P11" s="122">
        <f>IF($AL$11="","",IF(INDEX('Final Calculation Sheet'!$O$4:$O$40,$AL$11)="","",INDEX('Final Calculation Sheet'!$O$4:$O$40,$AL$11)))</f>
        <v/>
      </c>
      <c r="Q11" s="122">
        <f>IF($AL$11="","",IF(INDEX('Final Calculation Sheet'!$P$4:$P$40,$AL$11)="","",INDEX('Final Calculation Sheet'!$P$4:$P$40,$AL$11)))</f>
        <v/>
      </c>
      <c r="R11" s="124">
        <f>IF($AL$11="","",IF(INDEX('Final Calculation Sheet'!$Q$4:$Q$40,$AL$11)="","",INDEX('Final Calculation Sheet'!$Q$4:$Q$40,$AL$11)))</f>
        <v/>
      </c>
      <c r="S11" s="122">
        <f>IF($AL$11="","",IF(INDEX('Final Calculation Sheet'!$R$4:$R$40,$AL$11)="","",INDEX('Final Calculation Sheet'!$R$4:$R$40,$AL$11)))</f>
        <v/>
      </c>
      <c r="T11" s="122">
        <f>IF($AL$11="","",IF(INDEX('Final Calculation Sheet'!$S$4:$S$40,$AL$11)="","",INDEX('Final Calculation Sheet'!$S$4:$S$40,$AL$11)))</f>
        <v/>
      </c>
      <c r="U11" s="122">
        <f>IF($AL$11="","",IF(INDEX('Final Calculation Sheet'!$T$4:$T$40,$AL$11)="","",INDEX('Final Calculation Sheet'!$T$4:$T$40,$AL$11)))</f>
        <v/>
      </c>
      <c r="V11" s="125">
        <f>IF($AL$11="","",IF(INDEX('Final Calculation Sheet'!$U$4:$U$40,$AL$11)="","",INDEX('Final Calculation Sheet'!$U$4:$U$40,$AL$11)))</f>
        <v/>
      </c>
      <c r="W11" s="122">
        <f>IF($AL$11="","",IF(INDEX('Final Calculation Sheet'!$V$4:$V$40,$AL$11)="","",INDEX('Final Calculation Sheet'!$V$4:$V$40,$AL$11)))</f>
        <v/>
      </c>
      <c r="X11" s="122">
        <f>IF($AL$11="","",IF(INDEX('Final Calculation Sheet'!$W$4:$W$40,$AL$11)="","",INDEX('Final Calculation Sheet'!$W$4:$W$40,$AL$11)))</f>
        <v/>
      </c>
      <c r="Y11" s="122">
        <f>IF($AL$11="","",IF(INDEX('Final Calculation Sheet'!$X$4:$X$40,$AL$11)="","",INDEX('Final Calculation Sheet'!$X$4:$X$40,$AL$11)))</f>
        <v/>
      </c>
      <c r="Z11" s="122">
        <f>IF($AL$11="","",IF(INDEX('Final Calculation Sheet'!$Y$4:$Y$40,$AL$11)="","",INDEX('Final Calculation Sheet'!$Y$4:$Y$40,$AL$11)))</f>
        <v/>
      </c>
      <c r="AA11" s="122">
        <f>IF($AL$11="","",IF(INDEX('Final Calculation Sheet'!$Z$4:$Z$40,$AL$11)="","",INDEX('Final Calculation Sheet'!$Z$4:$Z$40,$AL$11)))</f>
        <v/>
      </c>
      <c r="AB11" s="122">
        <f>IF($AL$11="","",IF(INDEX('Final Calculation Sheet'!$AA$4:$AA$40,$AL$11)="","",INDEX('Final Calculation Sheet'!$AA$4:$AA$40,$AL$11)))</f>
        <v/>
      </c>
      <c r="AC11" s="122">
        <f>IF($AL$11="","",IF(INDEX('Final Calculation Sheet'!$AB$4:$AB$40,$AL$11)="","",INDEX('Final Calculation Sheet'!$AB$4:$AB$40,$AL$11)))</f>
        <v/>
      </c>
      <c r="AD11" s="122">
        <f>IF($AL$11="","",IF(INDEX('Final Calculation Sheet'!$AC$4:$AC$40,$AL$11)="","",INDEX('Final Calculation Sheet'!$AC$4:$AC$40,$AL$11)))</f>
        <v/>
      </c>
      <c r="AE11" s="122">
        <f>IF($AL$11="","",IF(INDEX('Final Calculation Sheet'!$AD$4:$AD$40,$AL$11)="","",INDEX('Final Calculation Sheet'!$AD$4:$AD$40,$AL$11)))</f>
        <v/>
      </c>
      <c r="AF11" s="127">
        <f>IF($AL$11="","",IF(INDEX('Final Calculation Sheet'!$AD$4:$AD$40,$AL$11)&lt;=5,"SETTLED","OUTSTANDING"))</f>
        <v/>
      </c>
      <c r="AG11" s="122">
        <f>IF($AL$11="","",IF(INDEX('Final Calculation Sheet'!$AF$4:$AF$40,$AL$11)="","",INDEX('Final Calculation Sheet'!$AF$4:$AF$40,$AL$11)))</f>
        <v/>
      </c>
      <c r="AH11" s="126">
        <f>IF($AL$11="","",IF(INDEX('Final Calculation Sheet'!$AG$4:$AG$40,$AL$11)="","",INDEX('Final Calculation Sheet'!$AG$4:$AG$40,$AL$11)))</f>
        <v/>
      </c>
      <c r="AI11" s="122">
        <f>IF($AL$11="","",IF(INDEX('Final Calculation Sheet'!$AH$4:$AH$40,$AL$11)="","",INDEX('Final Calculation Sheet'!$AH$4:$AH$40,$AL$11)))</f>
        <v/>
      </c>
      <c r="AJ11">
        <f>IF(AND(IF($B$4="",TRUE(),IF($B$4="(blank)",'Final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Sheet'!$AD$9&lt;=5,"SETTLED","OUTSTANDING"))))))),1,0)</f>
      </c>
      <c r="AK11">
        <f>IF(AJ11=1,COUNTIF(AJ$6:AJ11,1),"")</f>
        <v/>
      </c>
      <c r="AL11">
        <f>IF(COUNTIF($B$4:$AI$4,"&lt;&gt;")=0,"",IFERROR(MATCH(5,$AK$6:$AK$42,0),""))</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CU10+IF(AND(Lists!$FI$11&lt;&gt;"",ISNUMBER(SEARCH($AG$4,Lists!$FI$11))),1,0)</f>
        <v/>
      </c>
      <c r="CV11">
        <f>IF(ROW()-3&gt;MAX($CU$4:$CU$42),"",INDEX(Lists!$FI$4:$FI$42,MATCH(ROW()-3,$CU$4:$CU$42,0)))</f>
        <v/>
      </c>
      <c r="CW11">
        <f>CW10+IF(AND(Lists!$FN$11&lt;&gt;"",ISNUMBER(SEARCH($AH$4,Lists!$FN$11))),1,0)</f>
        <v/>
      </c>
      <c r="CX11">
        <f>IF(ROW()-3&gt;MAX($CW$4:$CW$42),"",INDEX(Lists!$FN$4:$FN$42,MATCH(ROW()-3,$CW$4:$CW$42,0)))</f>
        <v/>
      </c>
      <c r="CY11">
        <f>CY10+IF(AND(Lists!$FS$11&lt;&gt;"",ISNUMBER(SEARCH($AI$4,Lists!$FS$11))),1,0)</f>
        <v/>
      </c>
      <c r="CZ11">
        <f>IF(ROW()-3&gt;MAX($CY$4:$CY$42),"",INDEX(Lists!$FS$4:$FS$42,MATCH(ROW()-3,$CY$4:$CY$42,0)))</f>
        <v/>
      </c>
      <c r="DA11">
        <f>DA10+IF(AND(Lists!$FX$11&lt;&gt;"",ISNUMBER(SEARCH($AF$4,Lists!$FX$11))),1,0)</f>
        <v/>
      </c>
      <c r="DB11">
        <f>IF(ROW()-3&gt;MAX($DA$4:$DA$42),"",INDEX(Lists!$FX$4:$FX$42,MATCH(ROW()-3,$DA$4:$DA$42,0)))</f>
        <v/>
      </c>
      <c r="DG11">
        <f>IF($B$4="",1,IF($B$4="(blank)",--('Final Calculation Sheet'!$F$9=""),IF($B$4="(nonblank)",--('Final Calculation Sheet'!$F$9&lt;&gt;""),--ISNUMBER(SEARCH($B$4,'Final Calculation Sheet'!$F$9)))))</f>
        <v/>
      </c>
      <c r="DH11">
        <f>IF($C$4="",1,IF($C$4="(blank)",--('Final Calculation Sheet'!$G$9=""),IF($C$4="(nonblank)",--('Final Calculation Sheet'!$G$9&lt;&gt;""),--ISNUMBER(SEARCH($C$4,'Final Calculation Sheet'!$G$9)))))</f>
        <v/>
      </c>
      <c r="DI11">
        <f>IF($D$4="",1,IF($D$4="(blank)",--('Final Calculation Sheet'!$B$9=""),IF($D$4="(nonblank)",--('Final Calculation Sheet'!$B$9&lt;&gt;""),--ISNUMBER(SEARCH($D$4,'Final Calculation Sheet'!$B$9)))))</f>
        <v/>
      </c>
      <c r="DJ11">
        <f>IF($E$4="",1,IF($E$4="(blank)",--('Final Calculation Sheet'!$D$9=""),IF($E$4="(nonblank)",--('Final Calculation Sheet'!$D$9&lt;&gt;""),--ISNUMBER(SEARCH($E$4,'Final Calculation Sheet'!$D$9)))))</f>
        <v/>
      </c>
      <c r="DK11">
        <f>IF($F$4="",1,IF($F$4="(blank)",--('Final Calculation Sheet'!$A$9=""),IF($F$4="(nonblank)",--('Final Calculation Sheet'!$A$9&lt;&gt;""),--ISNUMBER(SEARCH($F$4,'Final Calculation Sheet'!$A$9)))))</f>
        <v/>
      </c>
      <c r="DL11">
        <f>IF($G$4="",1,IF($G$4="(blank)",--('Final Calculation Sheet'!$E$9=""),IF($G$4="(nonblank)",--('Final Calculation Sheet'!$E$9&lt;&gt;""),--ISNUMBER(SEARCH($G$4,'Final Calculation Sheet'!$E$9)))))</f>
        <v/>
      </c>
      <c r="DM11">
        <f>IF($H$4="",1,IF($H$4="(blank)",--('Final Calculation Sheet'!$C$9=""),IF($H$4="(nonblank)",--('Final Calculation Sheet'!$C$9&lt;&gt;""),--ISNUMBER(SEARCH($H$4,'Final Calculation Sheet'!$C$9)))))</f>
        <v/>
      </c>
      <c r="DN11">
        <f>IF($I$4="",1,IF($I$4="(blank)",--('Final Calculation Sheet'!$H$9=""),IF($I$4="(nonblank)",--('Final Calculation Sheet'!$H$9&lt;&gt;""),--ISNUMBER(SEARCH($I$4,'Final Calculation Sheet'!$H$9)))))</f>
        <v/>
      </c>
      <c r="DO11">
        <f>IF($J$4="",1,IF($J$4="(blank)",--('Final Calculation Sheet'!$I$9=""),IF($J$4="(nonblank)",--('Final Calculation Sheet'!$I$9&lt;&gt;""),--ISNUMBER(SEARCH($J$4,'Final Calculation Sheet'!$I$9)))))</f>
        <v/>
      </c>
      <c r="DP11">
        <f>IF($K$4="",1,IF($K$4="(blank)",--('Final Calculation Sheet'!$J$9=""),IF($K$4="(nonblank)",--('Final Calculation Sheet'!$J$9&lt;&gt;""),--ISNUMBER(SEARCH($K$4,'Final Calculation Sheet'!$J$9)))))</f>
        <v/>
      </c>
      <c r="DQ11">
        <f>IF($L$4="",1,IF($L$4="(blank)",--('Final Calculation Sheet'!$K$9=""),IF($L$4="(nonblank)",--('Final Calculation Sheet'!$K$9&lt;&gt;""),--ISNUMBER(SEARCH($L$4,'Final Calculation Sheet'!$K$9)))))</f>
        <v/>
      </c>
      <c r="DR11">
        <f>IF($M$4="",1,IF($M$4="(blank)",--('Final Calculation Sheet'!$L$9=""),IF($M$4="(nonblank)",--('Final Calculation Sheet'!$L$9&lt;&gt;""),--ISNUMBER(SEARCH($M$4,'Final Calculation Sheet'!$L$9)))))</f>
        <v/>
      </c>
      <c r="DS11">
        <f>IF($N$4="",1,IF($N$4="(blank)",--('Final Calculation Sheet'!$M$9=""),IF($N$4="(nonblank)",--('Final Calculation Sheet'!$M$9&lt;&gt;""),--ISNUMBER(SEARCH($N$4,'Final Calculation Sheet'!$M$9)))))</f>
        <v/>
      </c>
      <c r="DT11">
        <f>IF($O$4="",1,IF($O$4="(blank)",--('Final Calculation Sheet'!$N$9=""),IF($O$4="(nonblank)",--('Final Calculation Sheet'!$N$9&lt;&gt;""),--ISNUMBER(SEARCH($O$4,'Final Calculation Sheet'!$N$9)))))</f>
        <v/>
      </c>
      <c r="DU11">
        <f>IF($P$4="",1,IF($P$4="(blank)",--('Final Calculation Sheet'!$O$9=""),IF($P$4="(nonblank)",--('Final Calculation Sheet'!$O$9&lt;&gt;""),--ISNUMBER(SEARCH($P$4,'Final Calculation Sheet'!$O$9)))))</f>
        <v/>
      </c>
      <c r="DV11">
        <f>IF($Q$4="",1,IF($Q$4="(blank)",--('Final Calculation Sheet'!$P$9=""),IF($Q$4="(nonblank)",--('Final Calculation Sheet'!$P$9&lt;&gt;""),--ISNUMBER(SEARCH($Q$4,'Final Calculation Sheet'!$P$9)))))</f>
        <v/>
      </c>
      <c r="DW11">
        <f>IF($R$4="",1,IF($R$4="(blank)",--('Final Calculation Sheet'!$Q$9=""),IF($R$4="(nonblank)",--('Final Calculation Sheet'!$Q$9&lt;&gt;""),--ISNUMBER(SEARCH($R$4,'Final Calculation Sheet'!$Q$9)))))</f>
        <v/>
      </c>
      <c r="DX11">
        <f>IF($S$4="",1,IF($S$4="(blank)",--('Final Calculation Sheet'!$R$9=""),IF($S$4="(nonblank)",--('Final Calculation Sheet'!$R$9&lt;&gt;""),--ISNUMBER(SEARCH($S$4,'Final Calculation Sheet'!$R$9)))))</f>
        <v/>
      </c>
      <c r="DY11">
        <f>IF($T$4="",1,IF($T$4="(blank)",--('Final Calculation Sheet'!$S$9=""),IF($T$4="(nonblank)",--('Final Calculation Sheet'!$S$9&lt;&gt;""),--ISNUMBER(SEARCH($T$4,'Final Calculation Sheet'!$S$9)))))</f>
        <v/>
      </c>
      <c r="DZ11">
        <f>IF($U$4="",1,IF($U$4="(blank)",--('Final Calculation Sheet'!$T$9=""),IF($U$4="(nonblank)",--('Final Calculation Sheet'!$T$9&lt;&gt;""),--ISNUMBER(SEARCH($U$4,'Final Calculation Sheet'!$T$9)))))</f>
        <v/>
      </c>
      <c r="EA11">
        <f>IF($V$4="",1,IF($V$4="(blank)",--('Final Calculation Sheet'!$U$9=""),IF($V$4="(nonblank)",--('Final Calculation Sheet'!$U$9&lt;&gt;""),--ISNUMBER(SEARCH($V$4,'Final Calculation Sheet'!$U$9)))))</f>
        <v/>
      </c>
      <c r="EB11">
        <f>IF($W$4="",1,IF($W$4="(blank)",--('Final Calculation Sheet'!$V$9=""),IF($W$4="(nonblank)",--('Final Calculation Sheet'!$V$9&lt;&gt;""),--ISNUMBER(SEARCH($W$4,'Final Calculation Sheet'!$V$9)))))</f>
        <v/>
      </c>
      <c r="EC11">
        <f>IF($X$4="",1,IF($X$4="(blank)",--('Final Calculation Sheet'!$W$9=""),IF($X$4="(nonblank)",--('Final Calculation Sheet'!$W$9&lt;&gt;""),--ISNUMBER(SEARCH($X$4,'Final Calculation Sheet'!$W$9)))))</f>
        <v/>
      </c>
      <c r="ED11">
        <f>IF($Y$4="",1,IF($Y$4="(blank)",--('Final Calculation Sheet'!$X$9=""),IF($Y$4="(nonblank)",--('Final Calculation Sheet'!$X$9&lt;&gt;""),--ISNUMBER(SEARCH($Y$4,'Final Calculation Sheet'!$X$9)))))</f>
        <v/>
      </c>
      <c r="EE11">
        <f>IF($Z$4="",1,IF($Z$4="(blank)",--('Final Calculation Sheet'!$Y$9=""),IF($Z$4="(nonblank)",--('Final Calculation Sheet'!$Y$9&lt;&gt;""),--ISNUMBER(SEARCH($Z$4,'Final Calculation Sheet'!$Y$9)))))</f>
        <v/>
      </c>
      <c r="EF11">
        <f>IF($AA$4="",1,IF($AA$4="(blank)",--('Final Calculation Sheet'!$Z$9=""),IF($AA$4="(nonblank)",--('Final Calculation Sheet'!$Z$9&lt;&gt;""),--ISNUMBER(SEARCH($AA$4,'Final Calculation Sheet'!$Z$9)))))</f>
        <v/>
      </c>
      <c r="EG11">
        <f>IF($AB$4="",1,IF($AB$4="(blank)",--('Final Calculation Sheet'!$AA$9=""),IF($AB$4="(nonblank)",--('Final Calculation Sheet'!$AA$9&lt;&gt;""),--ISNUMBER(SEARCH($AB$4,'Final Calculation Sheet'!$AA$9)))))</f>
        <v/>
      </c>
      <c r="EH11">
        <f>IF($AC$4="",1,IF($AC$4="(blank)",--('Final Calculation Sheet'!$AB$9=""),IF($AC$4="(nonblank)",--('Final Calculation Sheet'!$AB$9&lt;&gt;""),--ISNUMBER(SEARCH($AC$4,'Final Calculation Sheet'!$AB$9)))))</f>
        <v/>
      </c>
      <c r="EI11">
        <f>IF($AD$4="",1,IF($AD$4="(blank)",--('Final Calculation Sheet'!$AC$9=""),IF($AD$4="(nonblank)",--('Final Calculation Sheet'!$AC$9&lt;&gt;""),--ISNUMBER(SEARCH($AD$4,'Final Calculation Sheet'!$AC$9)))))</f>
        <v/>
      </c>
      <c r="EJ11">
        <f>IF($AE$4="",1,IF($AE$4="(blank)",--('Final Calculation Sheet'!$AD$9=""),IF($AE$4="(nonblank)",--('Final Calculation Sheet'!$AD$9&lt;&gt;""),--ISNUMBER(SEARCH($AE$4,'Final Calculation Sheet'!$AD$9)))))</f>
        <v/>
      </c>
      <c r="EK11">
        <f>IF($AF$4="",1,IF($AF$4="(blank)",--(IF('Final Calculation Sheet'!$AD$9&lt;=5,"SETTLED","OUTSTANDING")=""),IF($AF$4="(nonblank)",--(IF('Final Calculation Sheet'!$AD$9&lt;=5,"SETTLED","OUTSTANDING")&lt;&gt;""),--ISNUMBER(SEARCH($AF$4,IF('Final Calculation Sheet'!$AD$9&lt;=5,"SETTLED","OUTSTANDING"))))))</f>
        <v/>
      </c>
      <c r="EL11">
        <f>IF($AG$4="",1,IF($AG$4="(blank)",--('Final Calculation Sheet'!$AF$9=""),IF($AG$4="(nonblank)",--('Final Calculation Sheet'!$AF$9&lt;&gt;""),--ISNUMBER(SEARCH($AG$4,'Final Calculation Sheet'!$AF$9)))))</f>
        <v/>
      </c>
      <c r="EM11">
        <f>IF($AH$4="",1,IF($AH$4="(blank)",--('Final Calculation Sheet'!$AG$9=""),IF($AH$4="(nonblank)",--('Final Calculation Sheet'!$AG$9&lt;&gt;""),--ISNUMBER(SEARCH($AH$4,'Final Calculation Sheet'!$AG$9)))))</f>
        <v/>
      </c>
      <c r="EN11">
        <f>IF($AI$4="",1,IF($AI$4="(blank)",--('Final Calculation Sheet'!$AH$9=""),IF($AI$4="(nonblank)",--('Final Calculation Sheet'!$AH$9&lt;&gt;""),--ISNUMBER(SEARCH($AI$4,'Final Calculation Sheet'!$AH$9)))))</f>
        <v/>
      </c>
    </row>
    <row r="12" outlineLevel="1" hidden="1">
      <c r="A12" s="128">
        <f>IF($AL$12="","",6)</f>
        <v/>
      </c>
      <c r="B12" s="129">
        <f>IF($AL$12="","",IF(INDEX('Final Calculation Sheet'!$F$4:$F$40,$AL$12)="","",INDEX('Final Calculation Sheet'!$F$4:$F$40,$AL$12)))</f>
        <v/>
      </c>
      <c r="C12" s="129">
        <f>IF($AL$12="","",IF(INDEX('Final Calculation Sheet'!$G$4:$G$40,$AL$12)="","",INDEX('Final Calculation Sheet'!$G$4:$G$40,$AL$12)))</f>
        <v/>
      </c>
      <c r="D12" s="130">
        <f>IF($AL$12="","",IF(INDEX('Final Calculation Sheet'!$B$4:$B$40,$AL$12)="","",INDEX('Final Calculation Sheet'!$B$4:$B$40,$AL$12)))</f>
        <v/>
      </c>
      <c r="E12" s="130">
        <f>IF($AL$12="","",IF(INDEX('Final Calculation Sheet'!$D$4:$D$40,$AL$12)="","",INDEX('Final Calculation Sheet'!$D$4:$D$40,$AL$12)))</f>
        <v/>
      </c>
      <c r="F12" s="130">
        <f>IF($AL$12="","",IF(INDEX('Final Calculation Sheet'!$A$4:$A$40,$AL$12)="","",INDEX('Final Calculation Sheet'!$A$4:$A$40,$AL$12)))</f>
        <v/>
      </c>
      <c r="G12" s="130">
        <f>IF($AL$12="","",IF(INDEX('Final Calculation Sheet'!$E$4:$E$40,$AL$12)="","",INDEX('Final Calculation Sheet'!$E$4:$E$40,$AL$12)))</f>
        <v/>
      </c>
      <c r="H12" s="131">
        <f>IF($AL$12="","",IF(INDEX('Final Calculation Sheet'!$C$4:$C$40,$AL$12)="","",INDEX('Final Calculation Sheet'!$C$4:$C$40,$AL$12)))</f>
        <v/>
      </c>
      <c r="I12" s="131">
        <f>IF($AL$12="","",IF(INDEX('Final Calculation Sheet'!$H$4:$H$40,$AL$12)="","",INDEX('Final Calculation Sheet'!$H$4:$H$40,$AL$12)))</f>
        <v/>
      </c>
      <c r="J12" s="131">
        <f>IF($AL$12="","",IF(INDEX('Final Calculation Sheet'!$I$4:$I$40,$AL$12)="","",INDEX('Final Calculation Sheet'!$I$4:$I$40,$AL$12)))</f>
        <v/>
      </c>
      <c r="K12" s="131">
        <f>IF($AL$12="","",IF(INDEX('Final Calculation Sheet'!$J$4:$J$40,$AL$12)="","",INDEX('Final Calculation Sheet'!$J$4:$J$40,$AL$12)))</f>
        <v/>
      </c>
      <c r="L12" s="131">
        <f>IF($AL$12="","",IF(INDEX('Final Calculation Sheet'!$K$4:$K$40,$AL$12)="","",INDEX('Final Calculation Sheet'!$K$4:$K$40,$AL$12)))</f>
        <v/>
      </c>
      <c r="M12" s="131">
        <f>IF($AL$12="","",IF(INDEX('Final Calculation Sheet'!$L$4:$L$40,$AL$12)="","",INDEX('Final Calculation Sheet'!$L$4:$L$40,$AL$12)))</f>
        <v/>
      </c>
      <c r="N12" s="131">
        <f>IF($AL$12="","",IF(INDEX('Final Calculation Sheet'!$M$4:$M$40,$AL$12)="","",INDEX('Final Calculation Sheet'!$M$4:$M$40,$AL$12)))</f>
        <v/>
      </c>
      <c r="O12" s="132">
        <f>IF($AL$12="","",IF(INDEX('Final Calculation Sheet'!$N$4:$N$40,$AL$12)="","",INDEX('Final Calculation Sheet'!$N$4:$N$40,$AL$12)))</f>
        <v/>
      </c>
      <c r="P12" s="131">
        <f>IF($AL$12="","",IF(INDEX('Final Calculation Sheet'!$O$4:$O$40,$AL$12)="","",INDEX('Final Calculation Sheet'!$O$4:$O$40,$AL$12)))</f>
        <v/>
      </c>
      <c r="Q12" s="131">
        <f>IF($AL$12="","",IF(INDEX('Final Calculation Sheet'!$P$4:$P$40,$AL$12)="","",INDEX('Final Calculation Sheet'!$P$4:$P$40,$AL$12)))</f>
        <v/>
      </c>
      <c r="R12" s="133">
        <f>IF($AL$12="","",IF(INDEX('Final Calculation Sheet'!$Q$4:$Q$40,$AL$12)="","",INDEX('Final Calculation Sheet'!$Q$4:$Q$40,$AL$12)))</f>
        <v/>
      </c>
      <c r="S12" s="131">
        <f>IF($AL$12="","",IF(INDEX('Final Calculation Sheet'!$R$4:$R$40,$AL$12)="","",INDEX('Final Calculation Sheet'!$R$4:$R$40,$AL$12)))</f>
        <v/>
      </c>
      <c r="T12" s="131">
        <f>IF($AL$12="","",IF(INDEX('Final Calculation Sheet'!$S$4:$S$40,$AL$12)="","",INDEX('Final Calculation Sheet'!$S$4:$S$40,$AL$12)))</f>
        <v/>
      </c>
      <c r="U12" s="131">
        <f>IF($AL$12="","",IF(INDEX('Final Calculation Sheet'!$T$4:$T$40,$AL$12)="","",INDEX('Final Calculation Sheet'!$T$4:$T$40,$AL$12)))</f>
        <v/>
      </c>
      <c r="V12" s="134">
        <f>IF($AL$12="","",IF(INDEX('Final Calculation Sheet'!$U$4:$U$40,$AL$12)="","",INDEX('Final Calculation Sheet'!$U$4:$U$40,$AL$12)))</f>
        <v/>
      </c>
      <c r="W12" s="131">
        <f>IF($AL$12="","",IF(INDEX('Final Calculation Sheet'!$V$4:$V$40,$AL$12)="","",INDEX('Final Calculation Sheet'!$V$4:$V$40,$AL$12)))</f>
        <v/>
      </c>
      <c r="X12" s="131">
        <f>IF($AL$12="","",IF(INDEX('Final Calculation Sheet'!$W$4:$W$40,$AL$12)="","",INDEX('Final Calculation Sheet'!$W$4:$W$40,$AL$12)))</f>
        <v/>
      </c>
      <c r="Y12" s="131">
        <f>IF($AL$12="","",IF(INDEX('Final Calculation Sheet'!$X$4:$X$40,$AL$12)="","",INDEX('Final Calculation Sheet'!$X$4:$X$40,$AL$12)))</f>
        <v/>
      </c>
      <c r="Z12" s="131">
        <f>IF($AL$12="","",IF(INDEX('Final Calculation Sheet'!$Y$4:$Y$40,$AL$12)="","",INDEX('Final Calculation Sheet'!$Y$4:$Y$40,$AL$12)))</f>
        <v/>
      </c>
      <c r="AA12" s="131">
        <f>IF($AL$12="","",IF(INDEX('Final Calculation Sheet'!$Z$4:$Z$40,$AL$12)="","",INDEX('Final Calculation Sheet'!$Z$4:$Z$40,$AL$12)))</f>
        <v/>
      </c>
      <c r="AB12" s="131">
        <f>IF($AL$12="","",IF(INDEX('Final Calculation Sheet'!$AA$4:$AA$40,$AL$12)="","",INDEX('Final Calculation Sheet'!$AA$4:$AA$40,$AL$12)))</f>
        <v/>
      </c>
      <c r="AC12" s="131">
        <f>IF($AL$12="","",IF(INDEX('Final Calculation Sheet'!$AB$4:$AB$40,$AL$12)="","",INDEX('Final Calculation Sheet'!$AB$4:$AB$40,$AL$12)))</f>
        <v/>
      </c>
      <c r="AD12" s="131">
        <f>IF($AL$12="","",IF(INDEX('Final Calculation Sheet'!$AC$4:$AC$40,$AL$12)="","",INDEX('Final Calculation Sheet'!$AC$4:$AC$40,$AL$12)))</f>
        <v/>
      </c>
      <c r="AE12" s="131">
        <f>IF($AL$12="","",IF(INDEX('Final Calculation Sheet'!$AD$4:$AD$40,$AL$12)="","",INDEX('Final Calculation Sheet'!$AD$4:$AD$40,$AL$12)))</f>
        <v/>
      </c>
      <c r="AF12" s="136">
        <f>IF($AL$12="","",IF(INDEX('Final Calculation Sheet'!$AD$4:$AD$40,$AL$12)&lt;=5,"SETTLED","OUTSTANDING"))</f>
        <v/>
      </c>
      <c r="AG12" s="131">
        <f>IF($AL$12="","",IF(INDEX('Final Calculation Sheet'!$AF$4:$AF$40,$AL$12)="","",INDEX('Final Calculation Sheet'!$AF$4:$AF$40,$AL$12)))</f>
        <v/>
      </c>
      <c r="AH12" s="135">
        <f>IF($AL$12="","",IF(INDEX('Final Calculation Sheet'!$AG$4:$AG$40,$AL$12)="","",INDEX('Final Calculation Sheet'!$AG$4:$AG$40,$AL$12)))</f>
        <v/>
      </c>
      <c r="AI12" s="131">
        <f>IF($AL$12="","",IF(INDEX('Final Calculation Sheet'!$AH$4:$AH$40,$AL$12)="","",INDEX('Final Calculation Sheet'!$AH$4:$AH$40,$AL$12)))</f>
        <v/>
      </c>
      <c r="AJ12">
        <f>IF(AND(IF($B$4="",TRUE(),IF($B$4="(blank)",'Final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Sheet'!$AD$10&lt;=5,"SETTLED","OUTSTANDING"))))))),1,0)</f>
      </c>
      <c r="AK12">
        <f>IF(AJ12=1,COUNTIF(AJ$6:AJ12,1),"")</f>
        <v/>
      </c>
      <c r="AL12">
        <f>IF(COUNTIF($B$4:$AI$4,"&lt;&gt;")=0,"",IFERROR(MATCH(6,$AK$6:$AK$42,0),""))</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CU11+IF(AND(Lists!$FI$12&lt;&gt;"",ISNUMBER(SEARCH($AG$4,Lists!$FI$12))),1,0)</f>
        <v/>
      </c>
      <c r="CV12">
        <f>IF(ROW()-3&gt;MAX($CU$4:$CU$42),"",INDEX(Lists!$FI$4:$FI$42,MATCH(ROW()-3,$CU$4:$CU$42,0)))</f>
        <v/>
      </c>
      <c r="CW12">
        <f>CW11+IF(AND(Lists!$FN$12&lt;&gt;"",ISNUMBER(SEARCH($AH$4,Lists!$FN$12))),1,0)</f>
        <v/>
      </c>
      <c r="CX12">
        <f>IF(ROW()-3&gt;MAX($CW$4:$CW$42),"",INDEX(Lists!$FN$4:$FN$42,MATCH(ROW()-3,$CW$4:$CW$42,0)))</f>
        <v/>
      </c>
      <c r="CY12">
        <f>CY11+IF(AND(Lists!$FS$12&lt;&gt;"",ISNUMBER(SEARCH($AI$4,Lists!$FS$12))),1,0)</f>
        <v/>
      </c>
      <c r="CZ12">
        <f>IF(ROW()-3&gt;MAX($CY$4:$CY$42),"",INDEX(Lists!$FS$4:$FS$42,MATCH(ROW()-3,$CY$4:$CY$42,0)))</f>
        <v/>
      </c>
      <c r="DA12">
        <f>DA11+IF(AND(Lists!$FX$12&lt;&gt;"",ISNUMBER(SEARCH($AF$4,Lists!$FX$12))),1,0)</f>
        <v/>
      </c>
      <c r="DB12">
        <f>IF(ROW()-3&gt;MAX($DA$4:$DA$42),"",INDEX(Lists!$FX$4:$FX$42,MATCH(ROW()-3,$DA$4:$DA$42,0)))</f>
        <v/>
      </c>
      <c r="DG12">
        <f>IF($B$4="",1,IF($B$4="(blank)",--('Final Calculation Sheet'!$F$10=""),IF($B$4="(nonblank)",--('Final Calculation Sheet'!$F$10&lt;&gt;""),--ISNUMBER(SEARCH($B$4,'Final Calculation Sheet'!$F$10)))))</f>
        <v/>
      </c>
      <c r="DH12">
        <f>IF($C$4="",1,IF($C$4="(blank)",--('Final Calculation Sheet'!$G$10=""),IF($C$4="(nonblank)",--('Final Calculation Sheet'!$G$10&lt;&gt;""),--ISNUMBER(SEARCH($C$4,'Final Calculation Sheet'!$G$10)))))</f>
        <v/>
      </c>
      <c r="DI12">
        <f>IF($D$4="",1,IF($D$4="(blank)",--('Final Calculation Sheet'!$B$10=""),IF($D$4="(nonblank)",--('Final Calculation Sheet'!$B$10&lt;&gt;""),--ISNUMBER(SEARCH($D$4,'Final Calculation Sheet'!$B$10)))))</f>
        <v/>
      </c>
      <c r="DJ12">
        <f>IF($E$4="",1,IF($E$4="(blank)",--('Final Calculation Sheet'!$D$10=""),IF($E$4="(nonblank)",--('Final Calculation Sheet'!$D$10&lt;&gt;""),--ISNUMBER(SEARCH($E$4,'Final Calculation Sheet'!$D$10)))))</f>
        <v/>
      </c>
      <c r="DK12">
        <f>IF($F$4="",1,IF($F$4="(blank)",--('Final Calculation Sheet'!$A$10=""),IF($F$4="(nonblank)",--('Final Calculation Sheet'!$A$10&lt;&gt;""),--ISNUMBER(SEARCH($F$4,'Final Calculation Sheet'!$A$10)))))</f>
        <v/>
      </c>
      <c r="DL12">
        <f>IF($G$4="",1,IF($G$4="(blank)",--('Final Calculation Sheet'!$E$10=""),IF($G$4="(nonblank)",--('Final Calculation Sheet'!$E$10&lt;&gt;""),--ISNUMBER(SEARCH($G$4,'Final Calculation Sheet'!$E$10)))))</f>
        <v/>
      </c>
      <c r="DM12">
        <f>IF($H$4="",1,IF($H$4="(blank)",--('Final Calculation Sheet'!$C$10=""),IF($H$4="(nonblank)",--('Final Calculation Sheet'!$C$10&lt;&gt;""),--ISNUMBER(SEARCH($H$4,'Final Calculation Sheet'!$C$10)))))</f>
        <v/>
      </c>
      <c r="DN12">
        <f>IF($I$4="",1,IF($I$4="(blank)",--('Final Calculation Sheet'!$H$10=""),IF($I$4="(nonblank)",--('Final Calculation Sheet'!$H$10&lt;&gt;""),--ISNUMBER(SEARCH($I$4,'Final Calculation Sheet'!$H$10)))))</f>
        <v/>
      </c>
      <c r="DO12">
        <f>IF($J$4="",1,IF($J$4="(blank)",--('Final Calculation Sheet'!$I$10=""),IF($J$4="(nonblank)",--('Final Calculation Sheet'!$I$10&lt;&gt;""),--ISNUMBER(SEARCH($J$4,'Final Calculation Sheet'!$I$10)))))</f>
        <v/>
      </c>
      <c r="DP12">
        <f>IF($K$4="",1,IF($K$4="(blank)",--('Final Calculation Sheet'!$J$10=""),IF($K$4="(nonblank)",--('Final Calculation Sheet'!$J$10&lt;&gt;""),--ISNUMBER(SEARCH($K$4,'Final Calculation Sheet'!$J$10)))))</f>
        <v/>
      </c>
      <c r="DQ12">
        <f>IF($L$4="",1,IF($L$4="(blank)",--('Final Calculation Sheet'!$K$10=""),IF($L$4="(nonblank)",--('Final Calculation Sheet'!$K$10&lt;&gt;""),--ISNUMBER(SEARCH($L$4,'Final Calculation Sheet'!$K$10)))))</f>
        <v/>
      </c>
      <c r="DR12">
        <f>IF($M$4="",1,IF($M$4="(blank)",--('Final Calculation Sheet'!$L$10=""),IF($M$4="(nonblank)",--('Final Calculation Sheet'!$L$10&lt;&gt;""),--ISNUMBER(SEARCH($M$4,'Final Calculation Sheet'!$L$10)))))</f>
        <v/>
      </c>
      <c r="DS12">
        <f>IF($N$4="",1,IF($N$4="(blank)",--('Final Calculation Sheet'!$M$10=""),IF($N$4="(nonblank)",--('Final Calculation Sheet'!$M$10&lt;&gt;""),--ISNUMBER(SEARCH($N$4,'Final Calculation Sheet'!$M$10)))))</f>
        <v/>
      </c>
      <c r="DT12">
        <f>IF($O$4="",1,IF($O$4="(blank)",--('Final Calculation Sheet'!$N$10=""),IF($O$4="(nonblank)",--('Final Calculation Sheet'!$N$10&lt;&gt;""),--ISNUMBER(SEARCH($O$4,'Final Calculation Sheet'!$N$10)))))</f>
        <v/>
      </c>
      <c r="DU12">
        <f>IF($P$4="",1,IF($P$4="(blank)",--('Final Calculation Sheet'!$O$10=""),IF($P$4="(nonblank)",--('Final Calculation Sheet'!$O$10&lt;&gt;""),--ISNUMBER(SEARCH($P$4,'Final Calculation Sheet'!$O$10)))))</f>
        <v/>
      </c>
      <c r="DV12">
        <f>IF($Q$4="",1,IF($Q$4="(blank)",--('Final Calculation Sheet'!$P$10=""),IF($Q$4="(nonblank)",--('Final Calculation Sheet'!$P$10&lt;&gt;""),--ISNUMBER(SEARCH($Q$4,'Final Calculation Sheet'!$P$10)))))</f>
        <v/>
      </c>
      <c r="DW12">
        <f>IF($R$4="",1,IF($R$4="(blank)",--('Final Calculation Sheet'!$Q$10=""),IF($R$4="(nonblank)",--('Final Calculation Sheet'!$Q$10&lt;&gt;""),--ISNUMBER(SEARCH($R$4,'Final Calculation Sheet'!$Q$10)))))</f>
        <v/>
      </c>
      <c r="DX12">
        <f>IF($S$4="",1,IF($S$4="(blank)",--('Final Calculation Sheet'!$R$10=""),IF($S$4="(nonblank)",--('Final Calculation Sheet'!$R$10&lt;&gt;""),--ISNUMBER(SEARCH($S$4,'Final Calculation Sheet'!$R$10)))))</f>
        <v/>
      </c>
      <c r="DY12">
        <f>IF($T$4="",1,IF($T$4="(blank)",--('Final Calculation Sheet'!$S$10=""),IF($T$4="(nonblank)",--('Final Calculation Sheet'!$S$10&lt;&gt;""),--ISNUMBER(SEARCH($T$4,'Final Calculation Sheet'!$S$10)))))</f>
        <v/>
      </c>
      <c r="DZ12">
        <f>IF($U$4="",1,IF($U$4="(blank)",--('Final Calculation Sheet'!$T$10=""),IF($U$4="(nonblank)",--('Final Calculation Sheet'!$T$10&lt;&gt;""),--ISNUMBER(SEARCH($U$4,'Final Calculation Sheet'!$T$10)))))</f>
        <v/>
      </c>
      <c r="EA12">
        <f>IF($V$4="",1,IF($V$4="(blank)",--('Final Calculation Sheet'!$U$10=""),IF($V$4="(nonblank)",--('Final Calculation Sheet'!$U$10&lt;&gt;""),--ISNUMBER(SEARCH($V$4,'Final Calculation Sheet'!$U$10)))))</f>
        <v/>
      </c>
      <c r="EB12">
        <f>IF($W$4="",1,IF($W$4="(blank)",--('Final Calculation Sheet'!$V$10=""),IF($W$4="(nonblank)",--('Final Calculation Sheet'!$V$10&lt;&gt;""),--ISNUMBER(SEARCH($W$4,'Final Calculation Sheet'!$V$10)))))</f>
        <v/>
      </c>
      <c r="EC12">
        <f>IF($X$4="",1,IF($X$4="(blank)",--('Final Calculation Sheet'!$W$10=""),IF($X$4="(nonblank)",--('Final Calculation Sheet'!$W$10&lt;&gt;""),--ISNUMBER(SEARCH($X$4,'Final Calculation Sheet'!$W$10)))))</f>
        <v/>
      </c>
      <c r="ED12">
        <f>IF($Y$4="",1,IF($Y$4="(blank)",--('Final Calculation Sheet'!$X$10=""),IF($Y$4="(nonblank)",--('Final Calculation Sheet'!$X$10&lt;&gt;""),--ISNUMBER(SEARCH($Y$4,'Final Calculation Sheet'!$X$10)))))</f>
        <v/>
      </c>
      <c r="EE12">
        <f>IF($Z$4="",1,IF($Z$4="(blank)",--('Final Calculation Sheet'!$Y$10=""),IF($Z$4="(nonblank)",--('Final Calculation Sheet'!$Y$10&lt;&gt;""),--ISNUMBER(SEARCH($Z$4,'Final Calculation Sheet'!$Y$10)))))</f>
        <v/>
      </c>
      <c r="EF12">
        <f>IF($AA$4="",1,IF($AA$4="(blank)",--('Final Calculation Sheet'!$Z$10=""),IF($AA$4="(nonblank)",--('Final Calculation Sheet'!$Z$10&lt;&gt;""),--ISNUMBER(SEARCH($AA$4,'Final Calculation Sheet'!$Z$10)))))</f>
        <v/>
      </c>
      <c r="EG12">
        <f>IF($AB$4="",1,IF($AB$4="(blank)",--('Final Calculation Sheet'!$AA$10=""),IF($AB$4="(nonblank)",--('Final Calculation Sheet'!$AA$10&lt;&gt;""),--ISNUMBER(SEARCH($AB$4,'Final Calculation Sheet'!$AA$10)))))</f>
        <v/>
      </c>
      <c r="EH12">
        <f>IF($AC$4="",1,IF($AC$4="(blank)",--('Final Calculation Sheet'!$AB$10=""),IF($AC$4="(nonblank)",--('Final Calculation Sheet'!$AB$10&lt;&gt;""),--ISNUMBER(SEARCH($AC$4,'Final Calculation Sheet'!$AB$10)))))</f>
        <v/>
      </c>
      <c r="EI12">
        <f>IF($AD$4="",1,IF($AD$4="(blank)",--('Final Calculation Sheet'!$AC$10=""),IF($AD$4="(nonblank)",--('Final Calculation Sheet'!$AC$10&lt;&gt;""),--ISNUMBER(SEARCH($AD$4,'Final Calculation Sheet'!$AC$10)))))</f>
        <v/>
      </c>
      <c r="EJ12">
        <f>IF($AE$4="",1,IF($AE$4="(blank)",--('Final Calculation Sheet'!$AD$10=""),IF($AE$4="(nonblank)",--('Final Calculation Sheet'!$AD$10&lt;&gt;""),--ISNUMBER(SEARCH($AE$4,'Final Calculation Sheet'!$AD$10)))))</f>
        <v/>
      </c>
      <c r="EK12">
        <f>IF($AF$4="",1,IF($AF$4="(blank)",--(IF('Final Calculation Sheet'!$AD$10&lt;=5,"SETTLED","OUTSTANDING")=""),IF($AF$4="(nonblank)",--(IF('Final Calculation Sheet'!$AD$10&lt;=5,"SETTLED","OUTSTANDING")&lt;&gt;""),--ISNUMBER(SEARCH($AF$4,IF('Final Calculation Sheet'!$AD$10&lt;=5,"SETTLED","OUTSTANDING"))))))</f>
        <v/>
      </c>
      <c r="EL12">
        <f>IF($AG$4="",1,IF($AG$4="(blank)",--('Final Calculation Sheet'!$AF$10=""),IF($AG$4="(nonblank)",--('Final Calculation Sheet'!$AF$10&lt;&gt;""),--ISNUMBER(SEARCH($AG$4,'Final Calculation Sheet'!$AF$10)))))</f>
        <v/>
      </c>
      <c r="EM12">
        <f>IF($AH$4="",1,IF($AH$4="(blank)",--('Final Calculation Sheet'!$AG$10=""),IF($AH$4="(nonblank)",--('Final Calculation Sheet'!$AG$10&lt;&gt;""),--ISNUMBER(SEARCH($AH$4,'Final Calculation Sheet'!$AG$10)))))</f>
        <v/>
      </c>
      <c r="EN12">
        <f>IF($AI$4="",1,IF($AI$4="(blank)",--('Final Calculation Sheet'!$AH$10=""),IF($AI$4="(nonblank)",--('Final Calculation Sheet'!$AH$10&lt;&gt;""),--ISNUMBER(SEARCH($AI$4,'Final Calculation Sheet'!$AH$10)))))</f>
        <v/>
      </c>
    </row>
    <row r="13" outlineLevel="1" hidden="1">
      <c r="A13" s="118">
        <f>IF($AL$13="","",7)</f>
        <v/>
      </c>
      <c r="B13" s="119">
        <f>IF($AL$13="","",IF(INDEX('Final Calculation Sheet'!$F$4:$F$40,$AL$13)="","",INDEX('Final Calculation Sheet'!$F$4:$F$40,$AL$13)))</f>
        <v/>
      </c>
      <c r="C13" s="119">
        <f>IF($AL$13="","",IF(INDEX('Final Calculation Sheet'!$G$4:$G$40,$AL$13)="","",INDEX('Final Calculation Sheet'!$G$4:$G$40,$AL$13)))</f>
        <v/>
      </c>
      <c r="D13" s="121">
        <f>IF($AL$13="","",IF(INDEX('Final Calculation Sheet'!$B$4:$B$40,$AL$13)="","",INDEX('Final Calculation Sheet'!$B$4:$B$40,$AL$13)))</f>
        <v/>
      </c>
      <c r="E13" s="121">
        <f>IF($AL$13="","",IF(INDEX('Final Calculation Sheet'!$D$4:$D$40,$AL$13)="","",INDEX('Final Calculation Sheet'!$D$4:$D$40,$AL$13)))</f>
        <v/>
      </c>
      <c r="F13" s="121">
        <f>IF($AL$13="","",IF(INDEX('Final Calculation Sheet'!$A$4:$A$40,$AL$13)="","",INDEX('Final Calculation Sheet'!$A$4:$A$40,$AL$13)))</f>
        <v/>
      </c>
      <c r="G13" s="121">
        <f>IF($AL$13="","",IF(INDEX('Final Calculation Sheet'!$E$4:$E$40,$AL$13)="","",INDEX('Final Calculation Sheet'!$E$4:$E$40,$AL$13)))</f>
        <v/>
      </c>
      <c r="H13" s="122">
        <f>IF($AL$13="","",IF(INDEX('Final Calculation Sheet'!$C$4:$C$40,$AL$13)="","",INDEX('Final Calculation Sheet'!$C$4:$C$40,$AL$13)))</f>
        <v/>
      </c>
      <c r="I13" s="122">
        <f>IF($AL$13="","",IF(INDEX('Final Calculation Sheet'!$H$4:$H$40,$AL$13)="","",INDEX('Final Calculation Sheet'!$H$4:$H$40,$AL$13)))</f>
        <v/>
      </c>
      <c r="J13" s="122">
        <f>IF($AL$13="","",IF(INDEX('Final Calculation Sheet'!$I$4:$I$40,$AL$13)="","",INDEX('Final Calculation Sheet'!$I$4:$I$40,$AL$13)))</f>
        <v/>
      </c>
      <c r="K13" s="122">
        <f>IF($AL$13="","",IF(INDEX('Final Calculation Sheet'!$J$4:$J$40,$AL$13)="","",INDEX('Final Calculation Sheet'!$J$4:$J$40,$AL$13)))</f>
        <v/>
      </c>
      <c r="L13" s="122">
        <f>IF($AL$13="","",IF(INDEX('Final Calculation Sheet'!$K$4:$K$40,$AL$13)="","",INDEX('Final Calculation Sheet'!$K$4:$K$40,$AL$13)))</f>
        <v/>
      </c>
      <c r="M13" s="122">
        <f>IF($AL$13="","",IF(INDEX('Final Calculation Sheet'!$L$4:$L$40,$AL$13)="","",INDEX('Final Calculation Sheet'!$L$4:$L$40,$AL$13)))</f>
        <v/>
      </c>
      <c r="N13" s="122">
        <f>IF($AL$13="","",IF(INDEX('Final Calculation Sheet'!$M$4:$M$40,$AL$13)="","",INDEX('Final Calculation Sheet'!$M$4:$M$40,$AL$13)))</f>
        <v/>
      </c>
      <c r="O13" s="123">
        <f>IF($AL$13="","",IF(INDEX('Final Calculation Sheet'!$N$4:$N$40,$AL$13)="","",INDEX('Final Calculation Sheet'!$N$4:$N$40,$AL$13)))</f>
        <v/>
      </c>
      <c r="P13" s="122">
        <f>IF($AL$13="","",IF(INDEX('Final Calculation Sheet'!$O$4:$O$40,$AL$13)="","",INDEX('Final Calculation Sheet'!$O$4:$O$40,$AL$13)))</f>
        <v/>
      </c>
      <c r="Q13" s="122">
        <f>IF($AL$13="","",IF(INDEX('Final Calculation Sheet'!$P$4:$P$40,$AL$13)="","",INDEX('Final Calculation Sheet'!$P$4:$P$40,$AL$13)))</f>
        <v/>
      </c>
      <c r="R13" s="124">
        <f>IF($AL$13="","",IF(INDEX('Final Calculation Sheet'!$Q$4:$Q$40,$AL$13)="","",INDEX('Final Calculation Sheet'!$Q$4:$Q$40,$AL$13)))</f>
        <v/>
      </c>
      <c r="S13" s="122">
        <f>IF($AL$13="","",IF(INDEX('Final Calculation Sheet'!$R$4:$R$40,$AL$13)="","",INDEX('Final Calculation Sheet'!$R$4:$R$40,$AL$13)))</f>
        <v/>
      </c>
      <c r="T13" s="122">
        <f>IF($AL$13="","",IF(INDEX('Final Calculation Sheet'!$S$4:$S$40,$AL$13)="","",INDEX('Final Calculation Sheet'!$S$4:$S$40,$AL$13)))</f>
        <v/>
      </c>
      <c r="U13" s="122">
        <f>IF($AL$13="","",IF(INDEX('Final Calculation Sheet'!$T$4:$T$40,$AL$13)="","",INDEX('Final Calculation Sheet'!$T$4:$T$40,$AL$13)))</f>
        <v/>
      </c>
      <c r="V13" s="125">
        <f>IF($AL$13="","",IF(INDEX('Final Calculation Sheet'!$U$4:$U$40,$AL$13)="","",INDEX('Final Calculation Sheet'!$U$4:$U$40,$AL$13)))</f>
        <v/>
      </c>
      <c r="W13" s="122">
        <f>IF($AL$13="","",IF(INDEX('Final Calculation Sheet'!$V$4:$V$40,$AL$13)="","",INDEX('Final Calculation Sheet'!$V$4:$V$40,$AL$13)))</f>
        <v/>
      </c>
      <c r="X13" s="122">
        <f>IF($AL$13="","",IF(INDEX('Final Calculation Sheet'!$W$4:$W$40,$AL$13)="","",INDEX('Final Calculation Sheet'!$W$4:$W$40,$AL$13)))</f>
        <v/>
      </c>
      <c r="Y13" s="122">
        <f>IF($AL$13="","",IF(INDEX('Final Calculation Sheet'!$X$4:$X$40,$AL$13)="","",INDEX('Final Calculation Sheet'!$X$4:$X$40,$AL$13)))</f>
        <v/>
      </c>
      <c r="Z13" s="122">
        <f>IF($AL$13="","",IF(INDEX('Final Calculation Sheet'!$Y$4:$Y$40,$AL$13)="","",INDEX('Final Calculation Sheet'!$Y$4:$Y$40,$AL$13)))</f>
        <v/>
      </c>
      <c r="AA13" s="122">
        <f>IF($AL$13="","",IF(INDEX('Final Calculation Sheet'!$Z$4:$Z$40,$AL$13)="","",INDEX('Final Calculation Sheet'!$Z$4:$Z$40,$AL$13)))</f>
        <v/>
      </c>
      <c r="AB13" s="122">
        <f>IF($AL$13="","",IF(INDEX('Final Calculation Sheet'!$AA$4:$AA$40,$AL$13)="","",INDEX('Final Calculation Sheet'!$AA$4:$AA$40,$AL$13)))</f>
        <v/>
      </c>
      <c r="AC13" s="122">
        <f>IF($AL$13="","",IF(INDEX('Final Calculation Sheet'!$AB$4:$AB$40,$AL$13)="","",INDEX('Final Calculation Sheet'!$AB$4:$AB$40,$AL$13)))</f>
        <v/>
      </c>
      <c r="AD13" s="122">
        <f>IF($AL$13="","",IF(INDEX('Final Calculation Sheet'!$AC$4:$AC$40,$AL$13)="","",INDEX('Final Calculation Sheet'!$AC$4:$AC$40,$AL$13)))</f>
        <v/>
      </c>
      <c r="AE13" s="122">
        <f>IF($AL$13="","",IF(INDEX('Final Calculation Sheet'!$AD$4:$AD$40,$AL$13)="","",INDEX('Final Calculation Sheet'!$AD$4:$AD$40,$AL$13)))</f>
        <v/>
      </c>
      <c r="AF13" s="127">
        <f>IF($AL$13="","",IF(INDEX('Final Calculation Sheet'!$AD$4:$AD$40,$AL$13)&lt;=5,"SETTLED","OUTSTANDING"))</f>
        <v/>
      </c>
      <c r="AG13" s="122">
        <f>IF($AL$13="","",IF(INDEX('Final Calculation Sheet'!$AF$4:$AF$40,$AL$13)="","",INDEX('Final Calculation Sheet'!$AF$4:$AF$40,$AL$13)))</f>
        <v/>
      </c>
      <c r="AH13" s="126">
        <f>IF($AL$13="","",IF(INDEX('Final Calculation Sheet'!$AG$4:$AG$40,$AL$13)="","",INDEX('Final Calculation Sheet'!$AG$4:$AG$40,$AL$13)))</f>
        <v/>
      </c>
      <c r="AI13" s="122">
        <f>IF($AL$13="","",IF(INDEX('Final Calculation Sheet'!$AH$4:$AH$40,$AL$13)="","",INDEX('Final Calculation Sheet'!$AH$4:$AH$40,$AL$13)))</f>
        <v/>
      </c>
      <c r="AJ13">
        <f>IF(AND(IF($B$4="",TRUE(),IF($B$4="(blank)",'Final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Sheet'!$AD$11&lt;=5,"SETTLED","OUTSTANDING"))))))),1,0)</f>
      </c>
      <c r="AK13">
        <f>IF(AJ13=1,COUNTIF(AJ$6:AJ13,1),"")</f>
        <v/>
      </c>
      <c r="AL13">
        <f>IF(COUNTIF($B$4:$AI$4,"&lt;&gt;")=0,"",IFERROR(MATCH(7,$AK$6:$AK$42,0),""))</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CU12+IF(AND(Lists!$FI$13&lt;&gt;"",ISNUMBER(SEARCH($AG$4,Lists!$FI$13))),1,0)</f>
        <v/>
      </c>
      <c r="CV13">
        <f>IF(ROW()-3&gt;MAX($CU$4:$CU$42),"",INDEX(Lists!$FI$4:$FI$42,MATCH(ROW()-3,$CU$4:$CU$42,0)))</f>
        <v/>
      </c>
      <c r="CW13">
        <f>CW12+IF(AND(Lists!$FN$13&lt;&gt;"",ISNUMBER(SEARCH($AH$4,Lists!$FN$13))),1,0)</f>
        <v/>
      </c>
      <c r="CX13">
        <f>IF(ROW()-3&gt;MAX($CW$4:$CW$42),"",INDEX(Lists!$FN$4:$FN$42,MATCH(ROW()-3,$CW$4:$CW$42,0)))</f>
        <v/>
      </c>
      <c r="CY13">
        <f>CY12+IF(AND(Lists!$FS$13&lt;&gt;"",ISNUMBER(SEARCH($AI$4,Lists!$FS$13))),1,0)</f>
        <v/>
      </c>
      <c r="CZ13">
        <f>IF(ROW()-3&gt;MAX($CY$4:$CY$42),"",INDEX(Lists!$FS$4:$FS$42,MATCH(ROW()-3,$CY$4:$CY$42,0)))</f>
        <v/>
      </c>
      <c r="DA13">
        <f>DA12+IF(AND(Lists!$FX$13&lt;&gt;"",ISNUMBER(SEARCH($AF$4,Lists!$FX$13))),1,0)</f>
        <v/>
      </c>
      <c r="DB13">
        <f>IF(ROW()-3&gt;MAX($DA$4:$DA$42),"",INDEX(Lists!$FX$4:$FX$42,MATCH(ROW()-3,$DA$4:$DA$42,0)))</f>
        <v/>
      </c>
      <c r="DG13">
        <f>IF($B$4="",1,IF($B$4="(blank)",--('Final Calculation Sheet'!$F$11=""),IF($B$4="(nonblank)",--('Final Calculation Sheet'!$F$11&lt;&gt;""),--ISNUMBER(SEARCH($B$4,'Final Calculation Sheet'!$F$11)))))</f>
        <v/>
      </c>
      <c r="DH13">
        <f>IF($C$4="",1,IF($C$4="(blank)",--('Final Calculation Sheet'!$G$11=""),IF($C$4="(nonblank)",--('Final Calculation Sheet'!$G$11&lt;&gt;""),--ISNUMBER(SEARCH($C$4,'Final Calculation Sheet'!$G$11)))))</f>
        <v/>
      </c>
      <c r="DI13">
        <f>IF($D$4="",1,IF($D$4="(blank)",--('Final Calculation Sheet'!$B$11=""),IF($D$4="(nonblank)",--('Final Calculation Sheet'!$B$11&lt;&gt;""),--ISNUMBER(SEARCH($D$4,'Final Calculation Sheet'!$B$11)))))</f>
        <v/>
      </c>
      <c r="DJ13">
        <f>IF($E$4="",1,IF($E$4="(blank)",--('Final Calculation Sheet'!$D$11=""),IF($E$4="(nonblank)",--('Final Calculation Sheet'!$D$11&lt;&gt;""),--ISNUMBER(SEARCH($E$4,'Final Calculation Sheet'!$D$11)))))</f>
        <v/>
      </c>
      <c r="DK13">
        <f>IF($F$4="",1,IF($F$4="(blank)",--('Final Calculation Sheet'!$A$11=""),IF($F$4="(nonblank)",--('Final Calculation Sheet'!$A$11&lt;&gt;""),--ISNUMBER(SEARCH($F$4,'Final Calculation Sheet'!$A$11)))))</f>
        <v/>
      </c>
      <c r="DL13">
        <f>IF($G$4="",1,IF($G$4="(blank)",--('Final Calculation Sheet'!$E$11=""),IF($G$4="(nonblank)",--('Final Calculation Sheet'!$E$11&lt;&gt;""),--ISNUMBER(SEARCH($G$4,'Final Calculation Sheet'!$E$11)))))</f>
        <v/>
      </c>
      <c r="DM13">
        <f>IF($H$4="",1,IF($H$4="(blank)",--('Final Calculation Sheet'!$C$11=""),IF($H$4="(nonblank)",--('Final Calculation Sheet'!$C$11&lt;&gt;""),--ISNUMBER(SEARCH($H$4,'Final Calculation Sheet'!$C$11)))))</f>
        <v/>
      </c>
      <c r="DN13">
        <f>IF($I$4="",1,IF($I$4="(blank)",--('Final Calculation Sheet'!$H$11=""),IF($I$4="(nonblank)",--('Final Calculation Sheet'!$H$11&lt;&gt;""),--ISNUMBER(SEARCH($I$4,'Final Calculation Sheet'!$H$11)))))</f>
        <v/>
      </c>
      <c r="DO13">
        <f>IF($J$4="",1,IF($J$4="(blank)",--('Final Calculation Sheet'!$I$11=""),IF($J$4="(nonblank)",--('Final Calculation Sheet'!$I$11&lt;&gt;""),--ISNUMBER(SEARCH($J$4,'Final Calculation Sheet'!$I$11)))))</f>
        <v/>
      </c>
      <c r="DP13">
        <f>IF($K$4="",1,IF($K$4="(blank)",--('Final Calculation Sheet'!$J$11=""),IF($K$4="(nonblank)",--('Final Calculation Sheet'!$J$11&lt;&gt;""),--ISNUMBER(SEARCH($K$4,'Final Calculation Sheet'!$J$11)))))</f>
        <v/>
      </c>
      <c r="DQ13">
        <f>IF($L$4="",1,IF($L$4="(blank)",--('Final Calculation Sheet'!$K$11=""),IF($L$4="(nonblank)",--('Final Calculation Sheet'!$K$11&lt;&gt;""),--ISNUMBER(SEARCH($L$4,'Final Calculation Sheet'!$K$11)))))</f>
        <v/>
      </c>
      <c r="DR13">
        <f>IF($M$4="",1,IF($M$4="(blank)",--('Final Calculation Sheet'!$L$11=""),IF($M$4="(nonblank)",--('Final Calculation Sheet'!$L$11&lt;&gt;""),--ISNUMBER(SEARCH($M$4,'Final Calculation Sheet'!$L$11)))))</f>
        <v/>
      </c>
      <c r="DS13">
        <f>IF($N$4="",1,IF($N$4="(blank)",--('Final Calculation Sheet'!$M$11=""),IF($N$4="(nonblank)",--('Final Calculation Sheet'!$M$11&lt;&gt;""),--ISNUMBER(SEARCH($N$4,'Final Calculation Sheet'!$M$11)))))</f>
        <v/>
      </c>
      <c r="DT13">
        <f>IF($O$4="",1,IF($O$4="(blank)",--('Final Calculation Sheet'!$N$11=""),IF($O$4="(nonblank)",--('Final Calculation Sheet'!$N$11&lt;&gt;""),--ISNUMBER(SEARCH($O$4,'Final Calculation Sheet'!$N$11)))))</f>
        <v/>
      </c>
      <c r="DU13">
        <f>IF($P$4="",1,IF($P$4="(blank)",--('Final Calculation Sheet'!$O$11=""),IF($P$4="(nonblank)",--('Final Calculation Sheet'!$O$11&lt;&gt;""),--ISNUMBER(SEARCH($P$4,'Final Calculation Sheet'!$O$11)))))</f>
        <v/>
      </c>
      <c r="DV13">
        <f>IF($Q$4="",1,IF($Q$4="(blank)",--('Final Calculation Sheet'!$P$11=""),IF($Q$4="(nonblank)",--('Final Calculation Sheet'!$P$11&lt;&gt;""),--ISNUMBER(SEARCH($Q$4,'Final Calculation Sheet'!$P$11)))))</f>
        <v/>
      </c>
      <c r="DW13">
        <f>IF($R$4="",1,IF($R$4="(blank)",--('Final Calculation Sheet'!$Q$11=""),IF($R$4="(nonblank)",--('Final Calculation Sheet'!$Q$11&lt;&gt;""),--ISNUMBER(SEARCH($R$4,'Final Calculation Sheet'!$Q$11)))))</f>
        <v/>
      </c>
      <c r="DX13">
        <f>IF($S$4="",1,IF($S$4="(blank)",--('Final Calculation Sheet'!$R$11=""),IF($S$4="(nonblank)",--('Final Calculation Sheet'!$R$11&lt;&gt;""),--ISNUMBER(SEARCH($S$4,'Final Calculation Sheet'!$R$11)))))</f>
        <v/>
      </c>
      <c r="DY13">
        <f>IF($T$4="",1,IF($T$4="(blank)",--('Final Calculation Sheet'!$S$11=""),IF($T$4="(nonblank)",--('Final Calculation Sheet'!$S$11&lt;&gt;""),--ISNUMBER(SEARCH($T$4,'Final Calculation Sheet'!$S$11)))))</f>
        <v/>
      </c>
      <c r="DZ13">
        <f>IF($U$4="",1,IF($U$4="(blank)",--('Final Calculation Sheet'!$T$11=""),IF($U$4="(nonblank)",--('Final Calculation Sheet'!$T$11&lt;&gt;""),--ISNUMBER(SEARCH($U$4,'Final Calculation Sheet'!$T$11)))))</f>
        <v/>
      </c>
      <c r="EA13">
        <f>IF($V$4="",1,IF($V$4="(blank)",--('Final Calculation Sheet'!$U$11=""),IF($V$4="(nonblank)",--('Final Calculation Sheet'!$U$11&lt;&gt;""),--ISNUMBER(SEARCH($V$4,'Final Calculation Sheet'!$U$11)))))</f>
        <v/>
      </c>
      <c r="EB13">
        <f>IF($W$4="",1,IF($W$4="(blank)",--('Final Calculation Sheet'!$V$11=""),IF($W$4="(nonblank)",--('Final Calculation Sheet'!$V$11&lt;&gt;""),--ISNUMBER(SEARCH($W$4,'Final Calculation Sheet'!$V$11)))))</f>
        <v/>
      </c>
      <c r="EC13">
        <f>IF($X$4="",1,IF($X$4="(blank)",--('Final Calculation Sheet'!$W$11=""),IF($X$4="(nonblank)",--('Final Calculation Sheet'!$W$11&lt;&gt;""),--ISNUMBER(SEARCH($X$4,'Final Calculation Sheet'!$W$11)))))</f>
        <v/>
      </c>
      <c r="ED13">
        <f>IF($Y$4="",1,IF($Y$4="(blank)",--('Final Calculation Sheet'!$X$11=""),IF($Y$4="(nonblank)",--('Final Calculation Sheet'!$X$11&lt;&gt;""),--ISNUMBER(SEARCH($Y$4,'Final Calculation Sheet'!$X$11)))))</f>
        <v/>
      </c>
      <c r="EE13">
        <f>IF($Z$4="",1,IF($Z$4="(blank)",--('Final Calculation Sheet'!$Y$11=""),IF($Z$4="(nonblank)",--('Final Calculation Sheet'!$Y$11&lt;&gt;""),--ISNUMBER(SEARCH($Z$4,'Final Calculation Sheet'!$Y$11)))))</f>
        <v/>
      </c>
      <c r="EF13">
        <f>IF($AA$4="",1,IF($AA$4="(blank)",--('Final Calculation Sheet'!$Z$11=""),IF($AA$4="(nonblank)",--('Final Calculation Sheet'!$Z$11&lt;&gt;""),--ISNUMBER(SEARCH($AA$4,'Final Calculation Sheet'!$Z$11)))))</f>
        <v/>
      </c>
      <c r="EG13">
        <f>IF($AB$4="",1,IF($AB$4="(blank)",--('Final Calculation Sheet'!$AA$11=""),IF($AB$4="(nonblank)",--('Final Calculation Sheet'!$AA$11&lt;&gt;""),--ISNUMBER(SEARCH($AB$4,'Final Calculation Sheet'!$AA$11)))))</f>
        <v/>
      </c>
      <c r="EH13">
        <f>IF($AC$4="",1,IF($AC$4="(blank)",--('Final Calculation Sheet'!$AB$11=""),IF($AC$4="(nonblank)",--('Final Calculation Sheet'!$AB$11&lt;&gt;""),--ISNUMBER(SEARCH($AC$4,'Final Calculation Sheet'!$AB$11)))))</f>
        <v/>
      </c>
      <c r="EI13">
        <f>IF($AD$4="",1,IF($AD$4="(blank)",--('Final Calculation Sheet'!$AC$11=""),IF($AD$4="(nonblank)",--('Final Calculation Sheet'!$AC$11&lt;&gt;""),--ISNUMBER(SEARCH($AD$4,'Final Calculation Sheet'!$AC$11)))))</f>
        <v/>
      </c>
      <c r="EJ13">
        <f>IF($AE$4="",1,IF($AE$4="(blank)",--('Final Calculation Sheet'!$AD$11=""),IF($AE$4="(nonblank)",--('Final Calculation Sheet'!$AD$11&lt;&gt;""),--ISNUMBER(SEARCH($AE$4,'Final Calculation Sheet'!$AD$11)))))</f>
        <v/>
      </c>
      <c r="EK13">
        <f>IF($AF$4="",1,IF($AF$4="(blank)",--(IF('Final Calculation Sheet'!$AD$11&lt;=5,"SETTLED","OUTSTANDING")=""),IF($AF$4="(nonblank)",--(IF('Final Calculation Sheet'!$AD$11&lt;=5,"SETTLED","OUTSTANDING")&lt;&gt;""),--ISNUMBER(SEARCH($AF$4,IF('Final Calculation Sheet'!$AD$11&lt;=5,"SETTLED","OUTSTANDING"))))))</f>
        <v/>
      </c>
      <c r="EL13">
        <f>IF($AG$4="",1,IF($AG$4="(blank)",--('Final Calculation Sheet'!$AF$11=""),IF($AG$4="(nonblank)",--('Final Calculation Sheet'!$AF$11&lt;&gt;""),--ISNUMBER(SEARCH($AG$4,'Final Calculation Sheet'!$AF$11)))))</f>
        <v/>
      </c>
      <c r="EM13">
        <f>IF($AH$4="",1,IF($AH$4="(blank)",--('Final Calculation Sheet'!$AG$11=""),IF($AH$4="(nonblank)",--('Final Calculation Sheet'!$AG$11&lt;&gt;""),--ISNUMBER(SEARCH($AH$4,'Final Calculation Sheet'!$AG$11)))))</f>
        <v/>
      </c>
      <c r="EN13">
        <f>IF($AI$4="",1,IF($AI$4="(blank)",--('Final Calculation Sheet'!$AH$11=""),IF($AI$4="(nonblank)",--('Final Calculation Sheet'!$AH$11&lt;&gt;""),--ISNUMBER(SEARCH($AI$4,'Final Calculation Sheet'!$AH$11)))))</f>
        <v/>
      </c>
    </row>
    <row r="14" outlineLevel="1" hidden="1">
      <c r="A14" s="128">
        <f>IF($AL$14="","",8)</f>
        <v/>
      </c>
      <c r="B14" s="129">
        <f>IF($AL$14="","",IF(INDEX('Final Calculation Sheet'!$F$4:$F$40,$AL$14)="","",INDEX('Final Calculation Sheet'!$F$4:$F$40,$AL$14)))</f>
        <v/>
      </c>
      <c r="C14" s="129">
        <f>IF($AL$14="","",IF(INDEX('Final Calculation Sheet'!$G$4:$G$40,$AL$14)="","",INDEX('Final Calculation Sheet'!$G$4:$G$40,$AL$14)))</f>
        <v/>
      </c>
      <c r="D14" s="130">
        <f>IF($AL$14="","",IF(INDEX('Final Calculation Sheet'!$B$4:$B$40,$AL$14)="","",INDEX('Final Calculation Sheet'!$B$4:$B$40,$AL$14)))</f>
        <v/>
      </c>
      <c r="E14" s="130">
        <f>IF($AL$14="","",IF(INDEX('Final Calculation Sheet'!$D$4:$D$40,$AL$14)="","",INDEX('Final Calculation Sheet'!$D$4:$D$40,$AL$14)))</f>
        <v/>
      </c>
      <c r="F14" s="130">
        <f>IF($AL$14="","",IF(INDEX('Final Calculation Sheet'!$A$4:$A$40,$AL$14)="","",INDEX('Final Calculation Sheet'!$A$4:$A$40,$AL$14)))</f>
        <v/>
      </c>
      <c r="G14" s="130">
        <f>IF($AL$14="","",IF(INDEX('Final Calculation Sheet'!$E$4:$E$40,$AL$14)="","",INDEX('Final Calculation Sheet'!$E$4:$E$40,$AL$14)))</f>
        <v/>
      </c>
      <c r="H14" s="131">
        <f>IF($AL$14="","",IF(INDEX('Final Calculation Sheet'!$C$4:$C$40,$AL$14)="","",INDEX('Final Calculation Sheet'!$C$4:$C$40,$AL$14)))</f>
        <v/>
      </c>
      <c r="I14" s="131">
        <f>IF($AL$14="","",IF(INDEX('Final Calculation Sheet'!$H$4:$H$40,$AL$14)="","",INDEX('Final Calculation Sheet'!$H$4:$H$40,$AL$14)))</f>
        <v/>
      </c>
      <c r="J14" s="131">
        <f>IF($AL$14="","",IF(INDEX('Final Calculation Sheet'!$I$4:$I$40,$AL$14)="","",INDEX('Final Calculation Sheet'!$I$4:$I$40,$AL$14)))</f>
        <v/>
      </c>
      <c r="K14" s="131">
        <f>IF($AL$14="","",IF(INDEX('Final Calculation Sheet'!$J$4:$J$40,$AL$14)="","",INDEX('Final Calculation Sheet'!$J$4:$J$40,$AL$14)))</f>
        <v/>
      </c>
      <c r="L14" s="131">
        <f>IF($AL$14="","",IF(INDEX('Final Calculation Sheet'!$K$4:$K$40,$AL$14)="","",INDEX('Final Calculation Sheet'!$K$4:$K$40,$AL$14)))</f>
        <v/>
      </c>
      <c r="M14" s="131">
        <f>IF($AL$14="","",IF(INDEX('Final Calculation Sheet'!$L$4:$L$40,$AL$14)="","",INDEX('Final Calculation Sheet'!$L$4:$L$40,$AL$14)))</f>
        <v/>
      </c>
      <c r="N14" s="131">
        <f>IF($AL$14="","",IF(INDEX('Final Calculation Sheet'!$M$4:$M$40,$AL$14)="","",INDEX('Final Calculation Sheet'!$M$4:$M$40,$AL$14)))</f>
        <v/>
      </c>
      <c r="O14" s="132">
        <f>IF($AL$14="","",IF(INDEX('Final Calculation Sheet'!$N$4:$N$40,$AL$14)="","",INDEX('Final Calculation Sheet'!$N$4:$N$40,$AL$14)))</f>
        <v/>
      </c>
      <c r="P14" s="131">
        <f>IF($AL$14="","",IF(INDEX('Final Calculation Sheet'!$O$4:$O$40,$AL$14)="","",INDEX('Final Calculation Sheet'!$O$4:$O$40,$AL$14)))</f>
        <v/>
      </c>
      <c r="Q14" s="131">
        <f>IF($AL$14="","",IF(INDEX('Final Calculation Sheet'!$P$4:$P$40,$AL$14)="","",INDEX('Final Calculation Sheet'!$P$4:$P$40,$AL$14)))</f>
        <v/>
      </c>
      <c r="R14" s="133">
        <f>IF($AL$14="","",IF(INDEX('Final Calculation Sheet'!$Q$4:$Q$40,$AL$14)="","",INDEX('Final Calculation Sheet'!$Q$4:$Q$40,$AL$14)))</f>
        <v/>
      </c>
      <c r="S14" s="131">
        <f>IF($AL$14="","",IF(INDEX('Final Calculation Sheet'!$R$4:$R$40,$AL$14)="","",INDEX('Final Calculation Sheet'!$R$4:$R$40,$AL$14)))</f>
        <v/>
      </c>
      <c r="T14" s="131">
        <f>IF($AL$14="","",IF(INDEX('Final Calculation Sheet'!$S$4:$S$40,$AL$14)="","",INDEX('Final Calculation Sheet'!$S$4:$S$40,$AL$14)))</f>
        <v/>
      </c>
      <c r="U14" s="131">
        <f>IF($AL$14="","",IF(INDEX('Final Calculation Sheet'!$T$4:$T$40,$AL$14)="","",INDEX('Final Calculation Sheet'!$T$4:$T$40,$AL$14)))</f>
        <v/>
      </c>
      <c r="V14" s="134">
        <f>IF($AL$14="","",IF(INDEX('Final Calculation Sheet'!$U$4:$U$40,$AL$14)="","",INDEX('Final Calculation Sheet'!$U$4:$U$40,$AL$14)))</f>
        <v/>
      </c>
      <c r="W14" s="131">
        <f>IF($AL$14="","",IF(INDEX('Final Calculation Sheet'!$V$4:$V$40,$AL$14)="","",INDEX('Final Calculation Sheet'!$V$4:$V$40,$AL$14)))</f>
        <v/>
      </c>
      <c r="X14" s="131">
        <f>IF($AL$14="","",IF(INDEX('Final Calculation Sheet'!$W$4:$W$40,$AL$14)="","",INDEX('Final Calculation Sheet'!$W$4:$W$40,$AL$14)))</f>
        <v/>
      </c>
      <c r="Y14" s="131">
        <f>IF($AL$14="","",IF(INDEX('Final Calculation Sheet'!$X$4:$X$40,$AL$14)="","",INDEX('Final Calculation Sheet'!$X$4:$X$40,$AL$14)))</f>
        <v/>
      </c>
      <c r="Z14" s="131">
        <f>IF($AL$14="","",IF(INDEX('Final Calculation Sheet'!$Y$4:$Y$40,$AL$14)="","",INDEX('Final Calculation Sheet'!$Y$4:$Y$40,$AL$14)))</f>
        <v/>
      </c>
      <c r="AA14" s="131">
        <f>IF($AL$14="","",IF(INDEX('Final Calculation Sheet'!$Z$4:$Z$40,$AL$14)="","",INDEX('Final Calculation Sheet'!$Z$4:$Z$40,$AL$14)))</f>
        <v/>
      </c>
      <c r="AB14" s="131">
        <f>IF($AL$14="","",IF(INDEX('Final Calculation Sheet'!$AA$4:$AA$40,$AL$14)="","",INDEX('Final Calculation Sheet'!$AA$4:$AA$40,$AL$14)))</f>
        <v/>
      </c>
      <c r="AC14" s="131">
        <f>IF($AL$14="","",IF(INDEX('Final Calculation Sheet'!$AB$4:$AB$40,$AL$14)="","",INDEX('Final Calculation Sheet'!$AB$4:$AB$40,$AL$14)))</f>
        <v/>
      </c>
      <c r="AD14" s="131">
        <f>IF($AL$14="","",IF(INDEX('Final Calculation Sheet'!$AC$4:$AC$40,$AL$14)="","",INDEX('Final Calculation Sheet'!$AC$4:$AC$40,$AL$14)))</f>
        <v/>
      </c>
      <c r="AE14" s="131">
        <f>IF($AL$14="","",IF(INDEX('Final Calculation Sheet'!$AD$4:$AD$40,$AL$14)="","",INDEX('Final Calculation Sheet'!$AD$4:$AD$40,$AL$14)))</f>
        <v/>
      </c>
      <c r="AF14" s="136">
        <f>IF($AL$14="","",IF(INDEX('Final Calculation Sheet'!$AD$4:$AD$40,$AL$14)&lt;=5,"SETTLED","OUTSTANDING"))</f>
        <v/>
      </c>
      <c r="AG14" s="131">
        <f>IF($AL$14="","",IF(INDEX('Final Calculation Sheet'!$AF$4:$AF$40,$AL$14)="","",INDEX('Final Calculation Sheet'!$AF$4:$AF$40,$AL$14)))</f>
        <v/>
      </c>
      <c r="AH14" s="135">
        <f>IF($AL$14="","",IF(INDEX('Final Calculation Sheet'!$AG$4:$AG$40,$AL$14)="","",INDEX('Final Calculation Sheet'!$AG$4:$AG$40,$AL$14)))</f>
        <v/>
      </c>
      <c r="AI14" s="131">
        <f>IF($AL$14="","",IF(INDEX('Final Calculation Sheet'!$AH$4:$AH$40,$AL$14)="","",INDEX('Final Calculation Sheet'!$AH$4:$AH$40,$AL$14)))</f>
        <v/>
      </c>
      <c r="AJ14">
        <f>IF(AND(IF($B$4="",TRUE(),IF($B$4="(blank)",'Final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Sheet'!$AD$12&lt;=5,"SETTLED","OUTSTANDING"))))))),1,0)</f>
      </c>
      <c r="AK14">
        <f>IF(AJ14=1,COUNTIF(AJ$6:AJ14,1),"")</f>
        <v/>
      </c>
      <c r="AL14">
        <f>IF(COUNTIF($B$4:$AI$4,"&lt;&gt;")=0,"",IFERROR(MATCH(8,$AK$6:$AK$42,0),""))</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CU13+IF(AND(Lists!$FI$14&lt;&gt;"",ISNUMBER(SEARCH($AG$4,Lists!$FI$14))),1,0)</f>
        <v/>
      </c>
      <c r="CV14">
        <f>IF(ROW()-3&gt;MAX($CU$4:$CU$42),"",INDEX(Lists!$FI$4:$FI$42,MATCH(ROW()-3,$CU$4:$CU$42,0)))</f>
        <v/>
      </c>
      <c r="CW14">
        <f>CW13+IF(AND(Lists!$FN$14&lt;&gt;"",ISNUMBER(SEARCH($AH$4,Lists!$FN$14))),1,0)</f>
        <v/>
      </c>
      <c r="CX14">
        <f>IF(ROW()-3&gt;MAX($CW$4:$CW$42),"",INDEX(Lists!$FN$4:$FN$42,MATCH(ROW()-3,$CW$4:$CW$42,0)))</f>
        <v/>
      </c>
      <c r="CY14">
        <f>CY13+IF(AND(Lists!$FS$14&lt;&gt;"",ISNUMBER(SEARCH($AI$4,Lists!$FS$14))),1,0)</f>
        <v/>
      </c>
      <c r="CZ14">
        <f>IF(ROW()-3&gt;MAX($CY$4:$CY$42),"",INDEX(Lists!$FS$4:$FS$42,MATCH(ROW()-3,$CY$4:$CY$42,0)))</f>
        <v/>
      </c>
      <c r="DA14">
        <f>DA13+IF(AND(Lists!$FX$14&lt;&gt;"",ISNUMBER(SEARCH($AF$4,Lists!$FX$14))),1,0)</f>
        <v/>
      </c>
      <c r="DB14">
        <f>IF(ROW()-3&gt;MAX($DA$4:$DA$42),"",INDEX(Lists!$FX$4:$FX$42,MATCH(ROW()-3,$DA$4:$DA$42,0)))</f>
        <v/>
      </c>
      <c r="DG14">
        <f>IF($B$4="",1,IF($B$4="(blank)",--('Final Calculation Sheet'!$F$12=""),IF($B$4="(nonblank)",--('Final Calculation Sheet'!$F$12&lt;&gt;""),--ISNUMBER(SEARCH($B$4,'Final Calculation Sheet'!$F$12)))))</f>
        <v/>
      </c>
      <c r="DH14">
        <f>IF($C$4="",1,IF($C$4="(blank)",--('Final Calculation Sheet'!$G$12=""),IF($C$4="(nonblank)",--('Final Calculation Sheet'!$G$12&lt;&gt;""),--ISNUMBER(SEARCH($C$4,'Final Calculation Sheet'!$G$12)))))</f>
        <v/>
      </c>
      <c r="DI14">
        <f>IF($D$4="",1,IF($D$4="(blank)",--('Final Calculation Sheet'!$B$12=""),IF($D$4="(nonblank)",--('Final Calculation Sheet'!$B$12&lt;&gt;""),--ISNUMBER(SEARCH($D$4,'Final Calculation Sheet'!$B$12)))))</f>
        <v/>
      </c>
      <c r="DJ14">
        <f>IF($E$4="",1,IF($E$4="(blank)",--('Final Calculation Sheet'!$D$12=""),IF($E$4="(nonblank)",--('Final Calculation Sheet'!$D$12&lt;&gt;""),--ISNUMBER(SEARCH($E$4,'Final Calculation Sheet'!$D$12)))))</f>
        <v/>
      </c>
      <c r="DK14">
        <f>IF($F$4="",1,IF($F$4="(blank)",--('Final Calculation Sheet'!$A$12=""),IF($F$4="(nonblank)",--('Final Calculation Sheet'!$A$12&lt;&gt;""),--ISNUMBER(SEARCH($F$4,'Final Calculation Sheet'!$A$12)))))</f>
        <v/>
      </c>
      <c r="DL14">
        <f>IF($G$4="",1,IF($G$4="(blank)",--('Final Calculation Sheet'!$E$12=""),IF($G$4="(nonblank)",--('Final Calculation Sheet'!$E$12&lt;&gt;""),--ISNUMBER(SEARCH($G$4,'Final Calculation Sheet'!$E$12)))))</f>
        <v/>
      </c>
      <c r="DM14">
        <f>IF($H$4="",1,IF($H$4="(blank)",--('Final Calculation Sheet'!$C$12=""),IF($H$4="(nonblank)",--('Final Calculation Sheet'!$C$12&lt;&gt;""),--ISNUMBER(SEARCH($H$4,'Final Calculation Sheet'!$C$12)))))</f>
        <v/>
      </c>
      <c r="DN14">
        <f>IF($I$4="",1,IF($I$4="(blank)",--('Final Calculation Sheet'!$H$12=""),IF($I$4="(nonblank)",--('Final Calculation Sheet'!$H$12&lt;&gt;""),--ISNUMBER(SEARCH($I$4,'Final Calculation Sheet'!$H$12)))))</f>
        <v/>
      </c>
      <c r="DO14">
        <f>IF($J$4="",1,IF($J$4="(blank)",--('Final Calculation Sheet'!$I$12=""),IF($J$4="(nonblank)",--('Final Calculation Sheet'!$I$12&lt;&gt;""),--ISNUMBER(SEARCH($J$4,'Final Calculation Sheet'!$I$12)))))</f>
        <v/>
      </c>
      <c r="DP14">
        <f>IF($K$4="",1,IF($K$4="(blank)",--('Final Calculation Sheet'!$J$12=""),IF($K$4="(nonblank)",--('Final Calculation Sheet'!$J$12&lt;&gt;""),--ISNUMBER(SEARCH($K$4,'Final Calculation Sheet'!$J$12)))))</f>
        <v/>
      </c>
      <c r="DQ14">
        <f>IF($L$4="",1,IF($L$4="(blank)",--('Final Calculation Sheet'!$K$12=""),IF($L$4="(nonblank)",--('Final Calculation Sheet'!$K$12&lt;&gt;""),--ISNUMBER(SEARCH($L$4,'Final Calculation Sheet'!$K$12)))))</f>
        <v/>
      </c>
      <c r="DR14">
        <f>IF($M$4="",1,IF($M$4="(blank)",--('Final Calculation Sheet'!$L$12=""),IF($M$4="(nonblank)",--('Final Calculation Sheet'!$L$12&lt;&gt;""),--ISNUMBER(SEARCH($M$4,'Final Calculation Sheet'!$L$12)))))</f>
        <v/>
      </c>
      <c r="DS14">
        <f>IF($N$4="",1,IF($N$4="(blank)",--('Final Calculation Sheet'!$M$12=""),IF($N$4="(nonblank)",--('Final Calculation Sheet'!$M$12&lt;&gt;""),--ISNUMBER(SEARCH($N$4,'Final Calculation Sheet'!$M$12)))))</f>
        <v/>
      </c>
      <c r="DT14">
        <f>IF($O$4="",1,IF($O$4="(blank)",--('Final Calculation Sheet'!$N$12=""),IF($O$4="(nonblank)",--('Final Calculation Sheet'!$N$12&lt;&gt;""),--ISNUMBER(SEARCH($O$4,'Final Calculation Sheet'!$N$12)))))</f>
        <v/>
      </c>
      <c r="DU14">
        <f>IF($P$4="",1,IF($P$4="(blank)",--('Final Calculation Sheet'!$O$12=""),IF($P$4="(nonblank)",--('Final Calculation Sheet'!$O$12&lt;&gt;""),--ISNUMBER(SEARCH($P$4,'Final Calculation Sheet'!$O$12)))))</f>
        <v/>
      </c>
      <c r="DV14">
        <f>IF($Q$4="",1,IF($Q$4="(blank)",--('Final Calculation Sheet'!$P$12=""),IF($Q$4="(nonblank)",--('Final Calculation Sheet'!$P$12&lt;&gt;""),--ISNUMBER(SEARCH($Q$4,'Final Calculation Sheet'!$P$12)))))</f>
        <v/>
      </c>
      <c r="DW14">
        <f>IF($R$4="",1,IF($R$4="(blank)",--('Final Calculation Sheet'!$Q$12=""),IF($R$4="(nonblank)",--('Final Calculation Sheet'!$Q$12&lt;&gt;""),--ISNUMBER(SEARCH($R$4,'Final Calculation Sheet'!$Q$12)))))</f>
        <v/>
      </c>
      <c r="DX14">
        <f>IF($S$4="",1,IF($S$4="(blank)",--('Final Calculation Sheet'!$R$12=""),IF($S$4="(nonblank)",--('Final Calculation Sheet'!$R$12&lt;&gt;""),--ISNUMBER(SEARCH($S$4,'Final Calculation Sheet'!$R$12)))))</f>
        <v/>
      </c>
      <c r="DY14">
        <f>IF($T$4="",1,IF($T$4="(blank)",--('Final Calculation Sheet'!$S$12=""),IF($T$4="(nonblank)",--('Final Calculation Sheet'!$S$12&lt;&gt;""),--ISNUMBER(SEARCH($T$4,'Final Calculation Sheet'!$S$12)))))</f>
        <v/>
      </c>
      <c r="DZ14">
        <f>IF($U$4="",1,IF($U$4="(blank)",--('Final Calculation Sheet'!$T$12=""),IF($U$4="(nonblank)",--('Final Calculation Sheet'!$T$12&lt;&gt;""),--ISNUMBER(SEARCH($U$4,'Final Calculation Sheet'!$T$12)))))</f>
        <v/>
      </c>
      <c r="EA14">
        <f>IF($V$4="",1,IF($V$4="(blank)",--('Final Calculation Sheet'!$U$12=""),IF($V$4="(nonblank)",--('Final Calculation Sheet'!$U$12&lt;&gt;""),--ISNUMBER(SEARCH($V$4,'Final Calculation Sheet'!$U$12)))))</f>
        <v/>
      </c>
      <c r="EB14">
        <f>IF($W$4="",1,IF($W$4="(blank)",--('Final Calculation Sheet'!$V$12=""),IF($W$4="(nonblank)",--('Final Calculation Sheet'!$V$12&lt;&gt;""),--ISNUMBER(SEARCH($W$4,'Final Calculation Sheet'!$V$12)))))</f>
        <v/>
      </c>
      <c r="EC14">
        <f>IF($X$4="",1,IF($X$4="(blank)",--('Final Calculation Sheet'!$W$12=""),IF($X$4="(nonblank)",--('Final Calculation Sheet'!$W$12&lt;&gt;""),--ISNUMBER(SEARCH($X$4,'Final Calculation Sheet'!$W$12)))))</f>
        <v/>
      </c>
      <c r="ED14">
        <f>IF($Y$4="",1,IF($Y$4="(blank)",--('Final Calculation Sheet'!$X$12=""),IF($Y$4="(nonblank)",--('Final Calculation Sheet'!$X$12&lt;&gt;""),--ISNUMBER(SEARCH($Y$4,'Final Calculation Sheet'!$X$12)))))</f>
        <v/>
      </c>
      <c r="EE14">
        <f>IF($Z$4="",1,IF($Z$4="(blank)",--('Final Calculation Sheet'!$Y$12=""),IF($Z$4="(nonblank)",--('Final Calculation Sheet'!$Y$12&lt;&gt;""),--ISNUMBER(SEARCH($Z$4,'Final Calculation Sheet'!$Y$12)))))</f>
        <v/>
      </c>
      <c r="EF14">
        <f>IF($AA$4="",1,IF($AA$4="(blank)",--('Final Calculation Sheet'!$Z$12=""),IF($AA$4="(nonblank)",--('Final Calculation Sheet'!$Z$12&lt;&gt;""),--ISNUMBER(SEARCH($AA$4,'Final Calculation Sheet'!$Z$12)))))</f>
        <v/>
      </c>
      <c r="EG14">
        <f>IF($AB$4="",1,IF($AB$4="(blank)",--('Final Calculation Sheet'!$AA$12=""),IF($AB$4="(nonblank)",--('Final Calculation Sheet'!$AA$12&lt;&gt;""),--ISNUMBER(SEARCH($AB$4,'Final Calculation Sheet'!$AA$12)))))</f>
        <v/>
      </c>
      <c r="EH14">
        <f>IF($AC$4="",1,IF($AC$4="(blank)",--('Final Calculation Sheet'!$AB$12=""),IF($AC$4="(nonblank)",--('Final Calculation Sheet'!$AB$12&lt;&gt;""),--ISNUMBER(SEARCH($AC$4,'Final Calculation Sheet'!$AB$12)))))</f>
        <v/>
      </c>
      <c r="EI14">
        <f>IF($AD$4="",1,IF($AD$4="(blank)",--('Final Calculation Sheet'!$AC$12=""),IF($AD$4="(nonblank)",--('Final Calculation Sheet'!$AC$12&lt;&gt;""),--ISNUMBER(SEARCH($AD$4,'Final Calculation Sheet'!$AC$12)))))</f>
        <v/>
      </c>
      <c r="EJ14">
        <f>IF($AE$4="",1,IF($AE$4="(blank)",--('Final Calculation Sheet'!$AD$12=""),IF($AE$4="(nonblank)",--('Final Calculation Sheet'!$AD$12&lt;&gt;""),--ISNUMBER(SEARCH($AE$4,'Final Calculation Sheet'!$AD$12)))))</f>
        <v/>
      </c>
      <c r="EK14">
        <f>IF($AF$4="",1,IF($AF$4="(blank)",--(IF('Final Calculation Sheet'!$AD$12&lt;=5,"SETTLED","OUTSTANDING")=""),IF($AF$4="(nonblank)",--(IF('Final Calculation Sheet'!$AD$12&lt;=5,"SETTLED","OUTSTANDING")&lt;&gt;""),--ISNUMBER(SEARCH($AF$4,IF('Final Calculation Sheet'!$AD$12&lt;=5,"SETTLED","OUTSTANDING"))))))</f>
        <v/>
      </c>
      <c r="EL14">
        <f>IF($AG$4="",1,IF($AG$4="(blank)",--('Final Calculation Sheet'!$AF$12=""),IF($AG$4="(nonblank)",--('Final Calculation Sheet'!$AF$12&lt;&gt;""),--ISNUMBER(SEARCH($AG$4,'Final Calculation Sheet'!$AF$12)))))</f>
        <v/>
      </c>
      <c r="EM14">
        <f>IF($AH$4="",1,IF($AH$4="(blank)",--('Final Calculation Sheet'!$AG$12=""),IF($AH$4="(nonblank)",--('Final Calculation Sheet'!$AG$12&lt;&gt;""),--ISNUMBER(SEARCH($AH$4,'Final Calculation Sheet'!$AG$12)))))</f>
        <v/>
      </c>
      <c r="EN14">
        <f>IF($AI$4="",1,IF($AI$4="(blank)",--('Final Calculation Sheet'!$AH$12=""),IF($AI$4="(nonblank)",--('Final Calculation Sheet'!$AH$12&lt;&gt;""),--ISNUMBER(SEARCH($AI$4,'Final Calculation Sheet'!$AH$12)))))</f>
        <v/>
      </c>
    </row>
    <row r="15" outlineLevel="1" hidden="1">
      <c r="A15" s="118">
        <f>IF($AL$15="","",9)</f>
        <v/>
      </c>
      <c r="B15" s="119">
        <f>IF($AL$15="","",IF(INDEX('Final Calculation Sheet'!$F$4:$F$40,$AL$15)="","",INDEX('Final Calculation Sheet'!$F$4:$F$40,$AL$15)))</f>
        <v/>
      </c>
      <c r="C15" s="119">
        <f>IF($AL$15="","",IF(INDEX('Final Calculation Sheet'!$G$4:$G$40,$AL$15)="","",INDEX('Final Calculation Sheet'!$G$4:$G$40,$AL$15)))</f>
        <v/>
      </c>
      <c r="D15" s="121">
        <f>IF($AL$15="","",IF(INDEX('Final Calculation Sheet'!$B$4:$B$40,$AL$15)="","",INDEX('Final Calculation Sheet'!$B$4:$B$40,$AL$15)))</f>
        <v/>
      </c>
      <c r="E15" s="121">
        <f>IF($AL$15="","",IF(INDEX('Final Calculation Sheet'!$D$4:$D$40,$AL$15)="","",INDEX('Final Calculation Sheet'!$D$4:$D$40,$AL$15)))</f>
        <v/>
      </c>
      <c r="F15" s="121">
        <f>IF($AL$15="","",IF(INDEX('Final Calculation Sheet'!$A$4:$A$40,$AL$15)="","",INDEX('Final Calculation Sheet'!$A$4:$A$40,$AL$15)))</f>
        <v/>
      </c>
      <c r="G15" s="121">
        <f>IF($AL$15="","",IF(INDEX('Final Calculation Sheet'!$E$4:$E$40,$AL$15)="","",INDEX('Final Calculation Sheet'!$E$4:$E$40,$AL$15)))</f>
        <v/>
      </c>
      <c r="H15" s="122">
        <f>IF($AL$15="","",IF(INDEX('Final Calculation Sheet'!$C$4:$C$40,$AL$15)="","",INDEX('Final Calculation Sheet'!$C$4:$C$40,$AL$15)))</f>
        <v/>
      </c>
      <c r="I15" s="122">
        <f>IF($AL$15="","",IF(INDEX('Final Calculation Sheet'!$H$4:$H$40,$AL$15)="","",INDEX('Final Calculation Sheet'!$H$4:$H$40,$AL$15)))</f>
        <v/>
      </c>
      <c r="J15" s="122">
        <f>IF($AL$15="","",IF(INDEX('Final Calculation Sheet'!$I$4:$I$40,$AL$15)="","",INDEX('Final Calculation Sheet'!$I$4:$I$40,$AL$15)))</f>
        <v/>
      </c>
      <c r="K15" s="122">
        <f>IF($AL$15="","",IF(INDEX('Final Calculation Sheet'!$J$4:$J$40,$AL$15)="","",INDEX('Final Calculation Sheet'!$J$4:$J$40,$AL$15)))</f>
        <v/>
      </c>
      <c r="L15" s="122">
        <f>IF($AL$15="","",IF(INDEX('Final Calculation Sheet'!$K$4:$K$40,$AL$15)="","",INDEX('Final Calculation Sheet'!$K$4:$K$40,$AL$15)))</f>
        <v/>
      </c>
      <c r="M15" s="122">
        <f>IF($AL$15="","",IF(INDEX('Final Calculation Sheet'!$L$4:$L$40,$AL$15)="","",INDEX('Final Calculation Sheet'!$L$4:$L$40,$AL$15)))</f>
        <v/>
      </c>
      <c r="N15" s="122">
        <f>IF($AL$15="","",IF(INDEX('Final Calculation Sheet'!$M$4:$M$40,$AL$15)="","",INDEX('Final Calculation Sheet'!$M$4:$M$40,$AL$15)))</f>
        <v/>
      </c>
      <c r="O15" s="123">
        <f>IF($AL$15="","",IF(INDEX('Final Calculation Sheet'!$N$4:$N$40,$AL$15)="","",INDEX('Final Calculation Sheet'!$N$4:$N$40,$AL$15)))</f>
        <v/>
      </c>
      <c r="P15" s="122">
        <f>IF($AL$15="","",IF(INDEX('Final Calculation Sheet'!$O$4:$O$40,$AL$15)="","",INDEX('Final Calculation Sheet'!$O$4:$O$40,$AL$15)))</f>
        <v/>
      </c>
      <c r="Q15" s="122">
        <f>IF($AL$15="","",IF(INDEX('Final Calculation Sheet'!$P$4:$P$40,$AL$15)="","",INDEX('Final Calculation Sheet'!$P$4:$P$40,$AL$15)))</f>
        <v/>
      </c>
      <c r="R15" s="124">
        <f>IF($AL$15="","",IF(INDEX('Final Calculation Sheet'!$Q$4:$Q$40,$AL$15)="","",INDEX('Final Calculation Sheet'!$Q$4:$Q$40,$AL$15)))</f>
        <v/>
      </c>
      <c r="S15" s="122">
        <f>IF($AL$15="","",IF(INDEX('Final Calculation Sheet'!$R$4:$R$40,$AL$15)="","",INDEX('Final Calculation Sheet'!$R$4:$R$40,$AL$15)))</f>
        <v/>
      </c>
      <c r="T15" s="122">
        <f>IF($AL$15="","",IF(INDEX('Final Calculation Sheet'!$S$4:$S$40,$AL$15)="","",INDEX('Final Calculation Sheet'!$S$4:$S$40,$AL$15)))</f>
        <v/>
      </c>
      <c r="U15" s="122">
        <f>IF($AL$15="","",IF(INDEX('Final Calculation Sheet'!$T$4:$T$40,$AL$15)="","",INDEX('Final Calculation Sheet'!$T$4:$T$40,$AL$15)))</f>
        <v/>
      </c>
      <c r="V15" s="125">
        <f>IF($AL$15="","",IF(INDEX('Final Calculation Sheet'!$U$4:$U$40,$AL$15)="","",INDEX('Final Calculation Sheet'!$U$4:$U$40,$AL$15)))</f>
        <v/>
      </c>
      <c r="W15" s="122">
        <f>IF($AL$15="","",IF(INDEX('Final Calculation Sheet'!$V$4:$V$40,$AL$15)="","",INDEX('Final Calculation Sheet'!$V$4:$V$40,$AL$15)))</f>
        <v/>
      </c>
      <c r="X15" s="122">
        <f>IF($AL$15="","",IF(INDEX('Final Calculation Sheet'!$W$4:$W$40,$AL$15)="","",INDEX('Final Calculation Sheet'!$W$4:$W$40,$AL$15)))</f>
        <v/>
      </c>
      <c r="Y15" s="122">
        <f>IF($AL$15="","",IF(INDEX('Final Calculation Sheet'!$X$4:$X$40,$AL$15)="","",INDEX('Final Calculation Sheet'!$X$4:$X$40,$AL$15)))</f>
        <v/>
      </c>
      <c r="Z15" s="122">
        <f>IF($AL$15="","",IF(INDEX('Final Calculation Sheet'!$Y$4:$Y$40,$AL$15)="","",INDEX('Final Calculation Sheet'!$Y$4:$Y$40,$AL$15)))</f>
        <v/>
      </c>
      <c r="AA15" s="122">
        <f>IF($AL$15="","",IF(INDEX('Final Calculation Sheet'!$Z$4:$Z$40,$AL$15)="","",INDEX('Final Calculation Sheet'!$Z$4:$Z$40,$AL$15)))</f>
        <v/>
      </c>
      <c r="AB15" s="122">
        <f>IF($AL$15="","",IF(INDEX('Final Calculation Sheet'!$AA$4:$AA$40,$AL$15)="","",INDEX('Final Calculation Sheet'!$AA$4:$AA$40,$AL$15)))</f>
        <v/>
      </c>
      <c r="AC15" s="122">
        <f>IF($AL$15="","",IF(INDEX('Final Calculation Sheet'!$AB$4:$AB$40,$AL$15)="","",INDEX('Final Calculation Sheet'!$AB$4:$AB$40,$AL$15)))</f>
        <v/>
      </c>
      <c r="AD15" s="122">
        <f>IF($AL$15="","",IF(INDEX('Final Calculation Sheet'!$AC$4:$AC$40,$AL$15)="","",INDEX('Final Calculation Sheet'!$AC$4:$AC$40,$AL$15)))</f>
        <v/>
      </c>
      <c r="AE15" s="122">
        <f>IF($AL$15="","",IF(INDEX('Final Calculation Sheet'!$AD$4:$AD$40,$AL$15)="","",INDEX('Final Calculation Sheet'!$AD$4:$AD$40,$AL$15)))</f>
        <v/>
      </c>
      <c r="AF15" s="127">
        <f>IF($AL$15="","",IF(INDEX('Final Calculation Sheet'!$AD$4:$AD$40,$AL$15)&lt;=5,"SETTLED","OUTSTANDING"))</f>
        <v/>
      </c>
      <c r="AG15" s="122">
        <f>IF($AL$15="","",IF(INDEX('Final Calculation Sheet'!$AF$4:$AF$40,$AL$15)="","",INDEX('Final Calculation Sheet'!$AF$4:$AF$40,$AL$15)))</f>
        <v/>
      </c>
      <c r="AH15" s="126">
        <f>IF($AL$15="","",IF(INDEX('Final Calculation Sheet'!$AG$4:$AG$40,$AL$15)="","",INDEX('Final Calculation Sheet'!$AG$4:$AG$40,$AL$15)))</f>
        <v/>
      </c>
      <c r="AI15" s="122">
        <f>IF($AL$15="","",IF(INDEX('Final Calculation Sheet'!$AH$4:$AH$40,$AL$15)="","",INDEX('Final Calculation Sheet'!$AH$4:$AH$40,$AL$15)))</f>
        <v/>
      </c>
      <c r="AJ15">
        <f>IF(AND(IF($B$4="",TRUE(),IF($B$4="(blank)",'Final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Sheet'!$AD$13&lt;=5,"SETTLED","OUTSTANDING"))))))),1,0)</f>
      </c>
      <c r="AK15">
        <f>IF(AJ15=1,COUNTIF(AJ$6:AJ15,1),"")</f>
        <v/>
      </c>
      <c r="AL15">
        <f>IF(COUNTIF($B$4:$AI$4,"&lt;&gt;")=0,"",IFERROR(MATCH(9,$AK$6:$AK$42,0),""))</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CU14+IF(AND(Lists!$FI$15&lt;&gt;"",ISNUMBER(SEARCH($AG$4,Lists!$FI$15))),1,0)</f>
        <v/>
      </c>
      <c r="CV15">
        <f>IF(ROW()-3&gt;MAX($CU$4:$CU$42),"",INDEX(Lists!$FI$4:$FI$42,MATCH(ROW()-3,$CU$4:$CU$42,0)))</f>
        <v/>
      </c>
      <c r="CW15">
        <f>CW14+IF(AND(Lists!$FN$15&lt;&gt;"",ISNUMBER(SEARCH($AH$4,Lists!$FN$15))),1,0)</f>
        <v/>
      </c>
      <c r="CX15">
        <f>IF(ROW()-3&gt;MAX($CW$4:$CW$42),"",INDEX(Lists!$FN$4:$FN$42,MATCH(ROW()-3,$CW$4:$CW$42,0)))</f>
        <v/>
      </c>
      <c r="CY15">
        <f>CY14+IF(AND(Lists!$FS$15&lt;&gt;"",ISNUMBER(SEARCH($AI$4,Lists!$FS$15))),1,0)</f>
        <v/>
      </c>
      <c r="CZ15">
        <f>IF(ROW()-3&gt;MAX($CY$4:$CY$42),"",INDEX(Lists!$FS$4:$FS$42,MATCH(ROW()-3,$CY$4:$CY$42,0)))</f>
        <v/>
      </c>
      <c r="DA15">
        <f>DA14+IF(AND(Lists!$FX$15&lt;&gt;"",ISNUMBER(SEARCH($AF$4,Lists!$FX$15))),1,0)</f>
        <v/>
      </c>
      <c r="DB15">
        <f>IF(ROW()-3&gt;MAX($DA$4:$DA$42),"",INDEX(Lists!$FX$4:$FX$42,MATCH(ROW()-3,$DA$4:$DA$42,0)))</f>
        <v/>
      </c>
      <c r="DG15">
        <f>IF($B$4="",1,IF($B$4="(blank)",--('Final Calculation Sheet'!$F$13=""),IF($B$4="(nonblank)",--('Final Calculation Sheet'!$F$13&lt;&gt;""),--ISNUMBER(SEARCH($B$4,'Final Calculation Sheet'!$F$13)))))</f>
        <v/>
      </c>
      <c r="DH15">
        <f>IF($C$4="",1,IF($C$4="(blank)",--('Final Calculation Sheet'!$G$13=""),IF($C$4="(nonblank)",--('Final Calculation Sheet'!$G$13&lt;&gt;""),--ISNUMBER(SEARCH($C$4,'Final Calculation Sheet'!$G$13)))))</f>
        <v/>
      </c>
      <c r="DI15">
        <f>IF($D$4="",1,IF($D$4="(blank)",--('Final Calculation Sheet'!$B$13=""),IF($D$4="(nonblank)",--('Final Calculation Sheet'!$B$13&lt;&gt;""),--ISNUMBER(SEARCH($D$4,'Final Calculation Sheet'!$B$13)))))</f>
        <v/>
      </c>
      <c r="DJ15">
        <f>IF($E$4="",1,IF($E$4="(blank)",--('Final Calculation Sheet'!$D$13=""),IF($E$4="(nonblank)",--('Final Calculation Sheet'!$D$13&lt;&gt;""),--ISNUMBER(SEARCH($E$4,'Final Calculation Sheet'!$D$13)))))</f>
        <v/>
      </c>
      <c r="DK15">
        <f>IF($F$4="",1,IF($F$4="(blank)",--('Final Calculation Sheet'!$A$13=""),IF($F$4="(nonblank)",--('Final Calculation Sheet'!$A$13&lt;&gt;""),--ISNUMBER(SEARCH($F$4,'Final Calculation Sheet'!$A$13)))))</f>
        <v/>
      </c>
      <c r="DL15">
        <f>IF($G$4="",1,IF($G$4="(blank)",--('Final Calculation Sheet'!$E$13=""),IF($G$4="(nonblank)",--('Final Calculation Sheet'!$E$13&lt;&gt;""),--ISNUMBER(SEARCH($G$4,'Final Calculation Sheet'!$E$13)))))</f>
        <v/>
      </c>
      <c r="DM15">
        <f>IF($H$4="",1,IF($H$4="(blank)",--('Final Calculation Sheet'!$C$13=""),IF($H$4="(nonblank)",--('Final Calculation Sheet'!$C$13&lt;&gt;""),--ISNUMBER(SEARCH($H$4,'Final Calculation Sheet'!$C$13)))))</f>
        <v/>
      </c>
      <c r="DN15">
        <f>IF($I$4="",1,IF($I$4="(blank)",--('Final Calculation Sheet'!$H$13=""),IF($I$4="(nonblank)",--('Final Calculation Sheet'!$H$13&lt;&gt;""),--ISNUMBER(SEARCH($I$4,'Final Calculation Sheet'!$H$13)))))</f>
        <v/>
      </c>
      <c r="DO15">
        <f>IF($J$4="",1,IF($J$4="(blank)",--('Final Calculation Sheet'!$I$13=""),IF($J$4="(nonblank)",--('Final Calculation Sheet'!$I$13&lt;&gt;""),--ISNUMBER(SEARCH($J$4,'Final Calculation Sheet'!$I$13)))))</f>
        <v/>
      </c>
      <c r="DP15">
        <f>IF($K$4="",1,IF($K$4="(blank)",--('Final Calculation Sheet'!$J$13=""),IF($K$4="(nonblank)",--('Final Calculation Sheet'!$J$13&lt;&gt;""),--ISNUMBER(SEARCH($K$4,'Final Calculation Sheet'!$J$13)))))</f>
        <v/>
      </c>
      <c r="DQ15">
        <f>IF($L$4="",1,IF($L$4="(blank)",--('Final Calculation Sheet'!$K$13=""),IF($L$4="(nonblank)",--('Final Calculation Sheet'!$K$13&lt;&gt;""),--ISNUMBER(SEARCH($L$4,'Final Calculation Sheet'!$K$13)))))</f>
        <v/>
      </c>
      <c r="DR15">
        <f>IF($M$4="",1,IF($M$4="(blank)",--('Final Calculation Sheet'!$L$13=""),IF($M$4="(nonblank)",--('Final Calculation Sheet'!$L$13&lt;&gt;""),--ISNUMBER(SEARCH($M$4,'Final Calculation Sheet'!$L$13)))))</f>
        <v/>
      </c>
      <c r="DS15">
        <f>IF($N$4="",1,IF($N$4="(blank)",--('Final Calculation Sheet'!$M$13=""),IF($N$4="(nonblank)",--('Final Calculation Sheet'!$M$13&lt;&gt;""),--ISNUMBER(SEARCH($N$4,'Final Calculation Sheet'!$M$13)))))</f>
        <v/>
      </c>
      <c r="DT15">
        <f>IF($O$4="",1,IF($O$4="(blank)",--('Final Calculation Sheet'!$N$13=""),IF($O$4="(nonblank)",--('Final Calculation Sheet'!$N$13&lt;&gt;""),--ISNUMBER(SEARCH($O$4,'Final Calculation Sheet'!$N$13)))))</f>
        <v/>
      </c>
      <c r="DU15">
        <f>IF($P$4="",1,IF($P$4="(blank)",--('Final Calculation Sheet'!$O$13=""),IF($P$4="(nonblank)",--('Final Calculation Sheet'!$O$13&lt;&gt;""),--ISNUMBER(SEARCH($P$4,'Final Calculation Sheet'!$O$13)))))</f>
        <v/>
      </c>
      <c r="DV15">
        <f>IF($Q$4="",1,IF($Q$4="(blank)",--('Final Calculation Sheet'!$P$13=""),IF($Q$4="(nonblank)",--('Final Calculation Sheet'!$P$13&lt;&gt;""),--ISNUMBER(SEARCH($Q$4,'Final Calculation Sheet'!$P$13)))))</f>
        <v/>
      </c>
      <c r="DW15">
        <f>IF($R$4="",1,IF($R$4="(blank)",--('Final Calculation Sheet'!$Q$13=""),IF($R$4="(nonblank)",--('Final Calculation Sheet'!$Q$13&lt;&gt;""),--ISNUMBER(SEARCH($R$4,'Final Calculation Sheet'!$Q$13)))))</f>
        <v/>
      </c>
      <c r="DX15">
        <f>IF($S$4="",1,IF($S$4="(blank)",--('Final Calculation Sheet'!$R$13=""),IF($S$4="(nonblank)",--('Final Calculation Sheet'!$R$13&lt;&gt;""),--ISNUMBER(SEARCH($S$4,'Final Calculation Sheet'!$R$13)))))</f>
        <v/>
      </c>
      <c r="DY15">
        <f>IF($T$4="",1,IF($T$4="(blank)",--('Final Calculation Sheet'!$S$13=""),IF($T$4="(nonblank)",--('Final Calculation Sheet'!$S$13&lt;&gt;""),--ISNUMBER(SEARCH($T$4,'Final Calculation Sheet'!$S$13)))))</f>
        <v/>
      </c>
      <c r="DZ15">
        <f>IF($U$4="",1,IF($U$4="(blank)",--('Final Calculation Sheet'!$T$13=""),IF($U$4="(nonblank)",--('Final Calculation Sheet'!$T$13&lt;&gt;""),--ISNUMBER(SEARCH($U$4,'Final Calculation Sheet'!$T$13)))))</f>
        <v/>
      </c>
      <c r="EA15">
        <f>IF($V$4="",1,IF($V$4="(blank)",--('Final Calculation Sheet'!$U$13=""),IF($V$4="(nonblank)",--('Final Calculation Sheet'!$U$13&lt;&gt;""),--ISNUMBER(SEARCH($V$4,'Final Calculation Sheet'!$U$13)))))</f>
        <v/>
      </c>
      <c r="EB15">
        <f>IF($W$4="",1,IF($W$4="(blank)",--('Final Calculation Sheet'!$V$13=""),IF($W$4="(nonblank)",--('Final Calculation Sheet'!$V$13&lt;&gt;""),--ISNUMBER(SEARCH($W$4,'Final Calculation Sheet'!$V$13)))))</f>
        <v/>
      </c>
      <c r="EC15">
        <f>IF($X$4="",1,IF($X$4="(blank)",--('Final Calculation Sheet'!$W$13=""),IF($X$4="(nonblank)",--('Final Calculation Sheet'!$W$13&lt;&gt;""),--ISNUMBER(SEARCH($X$4,'Final Calculation Sheet'!$W$13)))))</f>
        <v/>
      </c>
      <c r="ED15">
        <f>IF($Y$4="",1,IF($Y$4="(blank)",--('Final Calculation Sheet'!$X$13=""),IF($Y$4="(nonblank)",--('Final Calculation Sheet'!$X$13&lt;&gt;""),--ISNUMBER(SEARCH($Y$4,'Final Calculation Sheet'!$X$13)))))</f>
        <v/>
      </c>
      <c r="EE15">
        <f>IF($Z$4="",1,IF($Z$4="(blank)",--('Final Calculation Sheet'!$Y$13=""),IF($Z$4="(nonblank)",--('Final Calculation Sheet'!$Y$13&lt;&gt;""),--ISNUMBER(SEARCH($Z$4,'Final Calculation Sheet'!$Y$13)))))</f>
        <v/>
      </c>
      <c r="EF15">
        <f>IF($AA$4="",1,IF($AA$4="(blank)",--('Final Calculation Sheet'!$Z$13=""),IF($AA$4="(nonblank)",--('Final Calculation Sheet'!$Z$13&lt;&gt;""),--ISNUMBER(SEARCH($AA$4,'Final Calculation Sheet'!$Z$13)))))</f>
        <v/>
      </c>
      <c r="EG15">
        <f>IF($AB$4="",1,IF($AB$4="(blank)",--('Final Calculation Sheet'!$AA$13=""),IF($AB$4="(nonblank)",--('Final Calculation Sheet'!$AA$13&lt;&gt;""),--ISNUMBER(SEARCH($AB$4,'Final Calculation Sheet'!$AA$13)))))</f>
        <v/>
      </c>
      <c r="EH15">
        <f>IF($AC$4="",1,IF($AC$4="(blank)",--('Final Calculation Sheet'!$AB$13=""),IF($AC$4="(nonblank)",--('Final Calculation Sheet'!$AB$13&lt;&gt;""),--ISNUMBER(SEARCH($AC$4,'Final Calculation Sheet'!$AB$13)))))</f>
        <v/>
      </c>
      <c r="EI15">
        <f>IF($AD$4="",1,IF($AD$4="(blank)",--('Final Calculation Sheet'!$AC$13=""),IF($AD$4="(nonblank)",--('Final Calculation Sheet'!$AC$13&lt;&gt;""),--ISNUMBER(SEARCH($AD$4,'Final Calculation Sheet'!$AC$13)))))</f>
        <v/>
      </c>
      <c r="EJ15">
        <f>IF($AE$4="",1,IF($AE$4="(blank)",--('Final Calculation Sheet'!$AD$13=""),IF($AE$4="(nonblank)",--('Final Calculation Sheet'!$AD$13&lt;&gt;""),--ISNUMBER(SEARCH($AE$4,'Final Calculation Sheet'!$AD$13)))))</f>
        <v/>
      </c>
      <c r="EK15">
        <f>IF($AF$4="",1,IF($AF$4="(blank)",--(IF('Final Calculation Sheet'!$AD$13&lt;=5,"SETTLED","OUTSTANDING")=""),IF($AF$4="(nonblank)",--(IF('Final Calculation Sheet'!$AD$13&lt;=5,"SETTLED","OUTSTANDING")&lt;&gt;""),--ISNUMBER(SEARCH($AF$4,IF('Final Calculation Sheet'!$AD$13&lt;=5,"SETTLED","OUTSTANDING"))))))</f>
        <v/>
      </c>
      <c r="EL15">
        <f>IF($AG$4="",1,IF($AG$4="(blank)",--('Final Calculation Sheet'!$AF$13=""),IF($AG$4="(nonblank)",--('Final Calculation Sheet'!$AF$13&lt;&gt;""),--ISNUMBER(SEARCH($AG$4,'Final Calculation Sheet'!$AF$13)))))</f>
        <v/>
      </c>
      <c r="EM15">
        <f>IF($AH$4="",1,IF($AH$4="(blank)",--('Final Calculation Sheet'!$AG$13=""),IF($AH$4="(nonblank)",--('Final Calculation Sheet'!$AG$13&lt;&gt;""),--ISNUMBER(SEARCH($AH$4,'Final Calculation Sheet'!$AG$13)))))</f>
        <v/>
      </c>
      <c r="EN15">
        <f>IF($AI$4="",1,IF($AI$4="(blank)",--('Final Calculation Sheet'!$AH$13=""),IF($AI$4="(nonblank)",--('Final Calculation Sheet'!$AH$13&lt;&gt;""),--ISNUMBER(SEARCH($AI$4,'Final Calculation Sheet'!$AH$13)))))</f>
        <v/>
      </c>
    </row>
    <row r="16" outlineLevel="1" hidden="1">
      <c r="A16" s="128">
        <f>IF($AL$16="","",10)</f>
        <v/>
      </c>
      <c r="B16" s="129">
        <f>IF($AL$16="","",IF(INDEX('Final Calculation Sheet'!$F$4:$F$40,$AL$16)="","",INDEX('Final Calculation Sheet'!$F$4:$F$40,$AL$16)))</f>
        <v/>
      </c>
      <c r="C16" s="129">
        <f>IF($AL$16="","",IF(INDEX('Final Calculation Sheet'!$G$4:$G$40,$AL$16)="","",INDEX('Final Calculation Sheet'!$G$4:$G$40,$AL$16)))</f>
        <v/>
      </c>
      <c r="D16" s="130">
        <f>IF($AL$16="","",IF(INDEX('Final Calculation Sheet'!$B$4:$B$40,$AL$16)="","",INDEX('Final Calculation Sheet'!$B$4:$B$40,$AL$16)))</f>
        <v/>
      </c>
      <c r="E16" s="130">
        <f>IF($AL$16="","",IF(INDEX('Final Calculation Sheet'!$D$4:$D$40,$AL$16)="","",INDEX('Final Calculation Sheet'!$D$4:$D$40,$AL$16)))</f>
        <v/>
      </c>
      <c r="F16" s="130">
        <f>IF($AL$16="","",IF(INDEX('Final Calculation Sheet'!$A$4:$A$40,$AL$16)="","",INDEX('Final Calculation Sheet'!$A$4:$A$40,$AL$16)))</f>
        <v/>
      </c>
      <c r="G16" s="130">
        <f>IF($AL$16="","",IF(INDEX('Final Calculation Sheet'!$E$4:$E$40,$AL$16)="","",INDEX('Final Calculation Sheet'!$E$4:$E$40,$AL$16)))</f>
        <v/>
      </c>
      <c r="H16" s="131">
        <f>IF($AL$16="","",IF(INDEX('Final Calculation Sheet'!$C$4:$C$40,$AL$16)="","",INDEX('Final Calculation Sheet'!$C$4:$C$40,$AL$16)))</f>
        <v/>
      </c>
      <c r="I16" s="131">
        <f>IF($AL$16="","",IF(INDEX('Final Calculation Sheet'!$H$4:$H$40,$AL$16)="","",INDEX('Final Calculation Sheet'!$H$4:$H$40,$AL$16)))</f>
        <v/>
      </c>
      <c r="J16" s="131">
        <f>IF($AL$16="","",IF(INDEX('Final Calculation Sheet'!$I$4:$I$40,$AL$16)="","",INDEX('Final Calculation Sheet'!$I$4:$I$40,$AL$16)))</f>
        <v/>
      </c>
      <c r="K16" s="131">
        <f>IF($AL$16="","",IF(INDEX('Final Calculation Sheet'!$J$4:$J$40,$AL$16)="","",INDEX('Final Calculation Sheet'!$J$4:$J$40,$AL$16)))</f>
        <v/>
      </c>
      <c r="L16" s="131">
        <f>IF($AL$16="","",IF(INDEX('Final Calculation Sheet'!$K$4:$K$40,$AL$16)="","",INDEX('Final Calculation Sheet'!$K$4:$K$40,$AL$16)))</f>
        <v/>
      </c>
      <c r="M16" s="131">
        <f>IF($AL$16="","",IF(INDEX('Final Calculation Sheet'!$L$4:$L$40,$AL$16)="","",INDEX('Final Calculation Sheet'!$L$4:$L$40,$AL$16)))</f>
        <v/>
      </c>
      <c r="N16" s="131">
        <f>IF($AL$16="","",IF(INDEX('Final Calculation Sheet'!$M$4:$M$40,$AL$16)="","",INDEX('Final Calculation Sheet'!$M$4:$M$40,$AL$16)))</f>
        <v/>
      </c>
      <c r="O16" s="132">
        <f>IF($AL$16="","",IF(INDEX('Final Calculation Sheet'!$N$4:$N$40,$AL$16)="","",INDEX('Final Calculation Sheet'!$N$4:$N$40,$AL$16)))</f>
        <v/>
      </c>
      <c r="P16" s="131">
        <f>IF($AL$16="","",IF(INDEX('Final Calculation Sheet'!$O$4:$O$40,$AL$16)="","",INDEX('Final Calculation Sheet'!$O$4:$O$40,$AL$16)))</f>
        <v/>
      </c>
      <c r="Q16" s="131">
        <f>IF($AL$16="","",IF(INDEX('Final Calculation Sheet'!$P$4:$P$40,$AL$16)="","",INDEX('Final Calculation Sheet'!$P$4:$P$40,$AL$16)))</f>
        <v/>
      </c>
      <c r="R16" s="133">
        <f>IF($AL$16="","",IF(INDEX('Final Calculation Sheet'!$Q$4:$Q$40,$AL$16)="","",INDEX('Final Calculation Sheet'!$Q$4:$Q$40,$AL$16)))</f>
        <v/>
      </c>
      <c r="S16" s="131">
        <f>IF($AL$16="","",IF(INDEX('Final Calculation Sheet'!$R$4:$R$40,$AL$16)="","",INDEX('Final Calculation Sheet'!$R$4:$R$40,$AL$16)))</f>
        <v/>
      </c>
      <c r="T16" s="131">
        <f>IF($AL$16="","",IF(INDEX('Final Calculation Sheet'!$S$4:$S$40,$AL$16)="","",INDEX('Final Calculation Sheet'!$S$4:$S$40,$AL$16)))</f>
        <v/>
      </c>
      <c r="U16" s="131">
        <f>IF($AL$16="","",IF(INDEX('Final Calculation Sheet'!$T$4:$T$40,$AL$16)="","",INDEX('Final Calculation Sheet'!$T$4:$T$40,$AL$16)))</f>
        <v/>
      </c>
      <c r="V16" s="134">
        <f>IF($AL$16="","",IF(INDEX('Final Calculation Sheet'!$U$4:$U$40,$AL$16)="","",INDEX('Final Calculation Sheet'!$U$4:$U$40,$AL$16)))</f>
        <v/>
      </c>
      <c r="W16" s="131">
        <f>IF($AL$16="","",IF(INDEX('Final Calculation Sheet'!$V$4:$V$40,$AL$16)="","",INDEX('Final Calculation Sheet'!$V$4:$V$40,$AL$16)))</f>
        <v/>
      </c>
      <c r="X16" s="131">
        <f>IF($AL$16="","",IF(INDEX('Final Calculation Sheet'!$W$4:$W$40,$AL$16)="","",INDEX('Final Calculation Sheet'!$W$4:$W$40,$AL$16)))</f>
        <v/>
      </c>
      <c r="Y16" s="131">
        <f>IF($AL$16="","",IF(INDEX('Final Calculation Sheet'!$X$4:$X$40,$AL$16)="","",INDEX('Final Calculation Sheet'!$X$4:$X$40,$AL$16)))</f>
        <v/>
      </c>
      <c r="Z16" s="131">
        <f>IF($AL$16="","",IF(INDEX('Final Calculation Sheet'!$Y$4:$Y$40,$AL$16)="","",INDEX('Final Calculation Sheet'!$Y$4:$Y$40,$AL$16)))</f>
        <v/>
      </c>
      <c r="AA16" s="131">
        <f>IF($AL$16="","",IF(INDEX('Final Calculation Sheet'!$Z$4:$Z$40,$AL$16)="","",INDEX('Final Calculation Sheet'!$Z$4:$Z$40,$AL$16)))</f>
        <v/>
      </c>
      <c r="AB16" s="131">
        <f>IF($AL$16="","",IF(INDEX('Final Calculation Sheet'!$AA$4:$AA$40,$AL$16)="","",INDEX('Final Calculation Sheet'!$AA$4:$AA$40,$AL$16)))</f>
        <v/>
      </c>
      <c r="AC16" s="131">
        <f>IF($AL$16="","",IF(INDEX('Final Calculation Sheet'!$AB$4:$AB$40,$AL$16)="","",INDEX('Final Calculation Sheet'!$AB$4:$AB$40,$AL$16)))</f>
        <v/>
      </c>
      <c r="AD16" s="131">
        <f>IF($AL$16="","",IF(INDEX('Final Calculation Sheet'!$AC$4:$AC$40,$AL$16)="","",INDEX('Final Calculation Sheet'!$AC$4:$AC$40,$AL$16)))</f>
        <v/>
      </c>
      <c r="AE16" s="131">
        <f>IF($AL$16="","",IF(INDEX('Final Calculation Sheet'!$AD$4:$AD$40,$AL$16)="","",INDEX('Final Calculation Sheet'!$AD$4:$AD$40,$AL$16)))</f>
        <v/>
      </c>
      <c r="AF16" s="136">
        <f>IF($AL$16="","",IF(INDEX('Final Calculation Sheet'!$AD$4:$AD$40,$AL$16)&lt;=5,"SETTLED","OUTSTANDING"))</f>
        <v/>
      </c>
      <c r="AG16" s="131">
        <f>IF($AL$16="","",IF(INDEX('Final Calculation Sheet'!$AF$4:$AF$40,$AL$16)="","",INDEX('Final Calculation Sheet'!$AF$4:$AF$40,$AL$16)))</f>
        <v/>
      </c>
      <c r="AH16" s="135">
        <f>IF($AL$16="","",IF(INDEX('Final Calculation Sheet'!$AG$4:$AG$40,$AL$16)="","",INDEX('Final Calculation Sheet'!$AG$4:$AG$40,$AL$16)))</f>
        <v/>
      </c>
      <c r="AI16" s="131">
        <f>IF($AL$16="","",IF(INDEX('Final Calculation Sheet'!$AH$4:$AH$40,$AL$16)="","",INDEX('Final Calculation Sheet'!$AH$4:$AH$40,$AL$16)))</f>
        <v/>
      </c>
      <c r="AJ16">
        <f>IF(AND(IF($B$4="",TRUE(),IF($B$4="(blank)",'Final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Sheet'!$AD$14&lt;=5,"SETTLED","OUTSTANDING"))))))),1,0)</f>
      </c>
      <c r="AK16">
        <f>IF(AJ16=1,COUNTIF(AJ$6:AJ16,1),"")</f>
        <v/>
      </c>
      <c r="AL16">
        <f>IF(COUNTIF($B$4:$AI$4,"&lt;&gt;")=0,"",IFERROR(MATCH(10,$AK$6:$AK$42,0),""))</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CU15+IF(AND(Lists!$FI$16&lt;&gt;"",ISNUMBER(SEARCH($AG$4,Lists!$FI$16))),1,0)</f>
        <v/>
      </c>
      <c r="CV16">
        <f>IF(ROW()-3&gt;MAX($CU$4:$CU$42),"",INDEX(Lists!$FI$4:$FI$42,MATCH(ROW()-3,$CU$4:$CU$42,0)))</f>
        <v/>
      </c>
      <c r="CW16">
        <f>CW15+IF(AND(Lists!$FN$16&lt;&gt;"",ISNUMBER(SEARCH($AH$4,Lists!$FN$16))),1,0)</f>
        <v/>
      </c>
      <c r="CX16">
        <f>IF(ROW()-3&gt;MAX($CW$4:$CW$42),"",INDEX(Lists!$FN$4:$FN$42,MATCH(ROW()-3,$CW$4:$CW$42,0)))</f>
        <v/>
      </c>
      <c r="CY16">
        <f>CY15+IF(AND(Lists!$FS$16&lt;&gt;"",ISNUMBER(SEARCH($AI$4,Lists!$FS$16))),1,0)</f>
        <v/>
      </c>
      <c r="CZ16">
        <f>IF(ROW()-3&gt;MAX($CY$4:$CY$42),"",INDEX(Lists!$FS$4:$FS$42,MATCH(ROW()-3,$CY$4:$CY$42,0)))</f>
        <v/>
      </c>
      <c r="DA16">
        <f>DA15+IF(AND(Lists!$FX$16&lt;&gt;"",ISNUMBER(SEARCH($AF$4,Lists!$FX$16))),1,0)</f>
        <v/>
      </c>
      <c r="DB16">
        <f>IF(ROW()-3&gt;MAX($DA$4:$DA$42),"",INDEX(Lists!$FX$4:$FX$42,MATCH(ROW()-3,$DA$4:$DA$42,0)))</f>
        <v/>
      </c>
      <c r="DG16">
        <f>IF($B$4="",1,IF($B$4="(blank)",--('Final Calculation Sheet'!$F$14=""),IF($B$4="(nonblank)",--('Final Calculation Sheet'!$F$14&lt;&gt;""),--ISNUMBER(SEARCH($B$4,'Final Calculation Sheet'!$F$14)))))</f>
        <v/>
      </c>
      <c r="DH16">
        <f>IF($C$4="",1,IF($C$4="(blank)",--('Final Calculation Sheet'!$G$14=""),IF($C$4="(nonblank)",--('Final Calculation Sheet'!$G$14&lt;&gt;""),--ISNUMBER(SEARCH($C$4,'Final Calculation Sheet'!$G$14)))))</f>
        <v/>
      </c>
      <c r="DI16">
        <f>IF($D$4="",1,IF($D$4="(blank)",--('Final Calculation Sheet'!$B$14=""),IF($D$4="(nonblank)",--('Final Calculation Sheet'!$B$14&lt;&gt;""),--ISNUMBER(SEARCH($D$4,'Final Calculation Sheet'!$B$14)))))</f>
        <v/>
      </c>
      <c r="DJ16">
        <f>IF($E$4="",1,IF($E$4="(blank)",--('Final Calculation Sheet'!$D$14=""),IF($E$4="(nonblank)",--('Final Calculation Sheet'!$D$14&lt;&gt;""),--ISNUMBER(SEARCH($E$4,'Final Calculation Sheet'!$D$14)))))</f>
        <v/>
      </c>
      <c r="DK16">
        <f>IF($F$4="",1,IF($F$4="(blank)",--('Final Calculation Sheet'!$A$14=""),IF($F$4="(nonblank)",--('Final Calculation Sheet'!$A$14&lt;&gt;""),--ISNUMBER(SEARCH($F$4,'Final Calculation Sheet'!$A$14)))))</f>
        <v/>
      </c>
      <c r="DL16">
        <f>IF($G$4="",1,IF($G$4="(blank)",--('Final Calculation Sheet'!$E$14=""),IF($G$4="(nonblank)",--('Final Calculation Sheet'!$E$14&lt;&gt;""),--ISNUMBER(SEARCH($G$4,'Final Calculation Sheet'!$E$14)))))</f>
        <v/>
      </c>
      <c r="DM16">
        <f>IF($H$4="",1,IF($H$4="(blank)",--('Final Calculation Sheet'!$C$14=""),IF($H$4="(nonblank)",--('Final Calculation Sheet'!$C$14&lt;&gt;""),--ISNUMBER(SEARCH($H$4,'Final Calculation Sheet'!$C$14)))))</f>
        <v/>
      </c>
      <c r="DN16">
        <f>IF($I$4="",1,IF($I$4="(blank)",--('Final Calculation Sheet'!$H$14=""),IF($I$4="(nonblank)",--('Final Calculation Sheet'!$H$14&lt;&gt;""),--ISNUMBER(SEARCH($I$4,'Final Calculation Sheet'!$H$14)))))</f>
        <v/>
      </c>
      <c r="DO16">
        <f>IF($J$4="",1,IF($J$4="(blank)",--('Final Calculation Sheet'!$I$14=""),IF($J$4="(nonblank)",--('Final Calculation Sheet'!$I$14&lt;&gt;""),--ISNUMBER(SEARCH($J$4,'Final Calculation Sheet'!$I$14)))))</f>
        <v/>
      </c>
      <c r="DP16">
        <f>IF($K$4="",1,IF($K$4="(blank)",--('Final Calculation Sheet'!$J$14=""),IF($K$4="(nonblank)",--('Final Calculation Sheet'!$J$14&lt;&gt;""),--ISNUMBER(SEARCH($K$4,'Final Calculation Sheet'!$J$14)))))</f>
        <v/>
      </c>
      <c r="DQ16">
        <f>IF($L$4="",1,IF($L$4="(blank)",--('Final Calculation Sheet'!$K$14=""),IF($L$4="(nonblank)",--('Final Calculation Sheet'!$K$14&lt;&gt;""),--ISNUMBER(SEARCH($L$4,'Final Calculation Sheet'!$K$14)))))</f>
        <v/>
      </c>
      <c r="DR16">
        <f>IF($M$4="",1,IF($M$4="(blank)",--('Final Calculation Sheet'!$L$14=""),IF($M$4="(nonblank)",--('Final Calculation Sheet'!$L$14&lt;&gt;""),--ISNUMBER(SEARCH($M$4,'Final Calculation Sheet'!$L$14)))))</f>
        <v/>
      </c>
      <c r="DS16">
        <f>IF($N$4="",1,IF($N$4="(blank)",--('Final Calculation Sheet'!$M$14=""),IF($N$4="(nonblank)",--('Final Calculation Sheet'!$M$14&lt;&gt;""),--ISNUMBER(SEARCH($N$4,'Final Calculation Sheet'!$M$14)))))</f>
        <v/>
      </c>
      <c r="DT16">
        <f>IF($O$4="",1,IF($O$4="(blank)",--('Final Calculation Sheet'!$N$14=""),IF($O$4="(nonblank)",--('Final Calculation Sheet'!$N$14&lt;&gt;""),--ISNUMBER(SEARCH($O$4,'Final Calculation Sheet'!$N$14)))))</f>
        <v/>
      </c>
      <c r="DU16">
        <f>IF($P$4="",1,IF($P$4="(blank)",--('Final Calculation Sheet'!$O$14=""),IF($P$4="(nonblank)",--('Final Calculation Sheet'!$O$14&lt;&gt;""),--ISNUMBER(SEARCH($P$4,'Final Calculation Sheet'!$O$14)))))</f>
        <v/>
      </c>
      <c r="DV16">
        <f>IF($Q$4="",1,IF($Q$4="(blank)",--('Final Calculation Sheet'!$P$14=""),IF($Q$4="(nonblank)",--('Final Calculation Sheet'!$P$14&lt;&gt;""),--ISNUMBER(SEARCH($Q$4,'Final Calculation Sheet'!$P$14)))))</f>
        <v/>
      </c>
      <c r="DW16">
        <f>IF($R$4="",1,IF($R$4="(blank)",--('Final Calculation Sheet'!$Q$14=""),IF($R$4="(nonblank)",--('Final Calculation Sheet'!$Q$14&lt;&gt;""),--ISNUMBER(SEARCH($R$4,'Final Calculation Sheet'!$Q$14)))))</f>
        <v/>
      </c>
      <c r="DX16">
        <f>IF($S$4="",1,IF($S$4="(blank)",--('Final Calculation Sheet'!$R$14=""),IF($S$4="(nonblank)",--('Final Calculation Sheet'!$R$14&lt;&gt;""),--ISNUMBER(SEARCH($S$4,'Final Calculation Sheet'!$R$14)))))</f>
        <v/>
      </c>
      <c r="DY16">
        <f>IF($T$4="",1,IF($T$4="(blank)",--('Final Calculation Sheet'!$S$14=""),IF($T$4="(nonblank)",--('Final Calculation Sheet'!$S$14&lt;&gt;""),--ISNUMBER(SEARCH($T$4,'Final Calculation Sheet'!$S$14)))))</f>
        <v/>
      </c>
      <c r="DZ16">
        <f>IF($U$4="",1,IF($U$4="(blank)",--('Final Calculation Sheet'!$T$14=""),IF($U$4="(nonblank)",--('Final Calculation Sheet'!$T$14&lt;&gt;""),--ISNUMBER(SEARCH($U$4,'Final Calculation Sheet'!$T$14)))))</f>
        <v/>
      </c>
      <c r="EA16">
        <f>IF($V$4="",1,IF($V$4="(blank)",--('Final Calculation Sheet'!$U$14=""),IF($V$4="(nonblank)",--('Final Calculation Sheet'!$U$14&lt;&gt;""),--ISNUMBER(SEARCH($V$4,'Final Calculation Sheet'!$U$14)))))</f>
        <v/>
      </c>
      <c r="EB16">
        <f>IF($W$4="",1,IF($W$4="(blank)",--('Final Calculation Sheet'!$V$14=""),IF($W$4="(nonblank)",--('Final Calculation Sheet'!$V$14&lt;&gt;""),--ISNUMBER(SEARCH($W$4,'Final Calculation Sheet'!$V$14)))))</f>
        <v/>
      </c>
      <c r="EC16">
        <f>IF($X$4="",1,IF($X$4="(blank)",--('Final Calculation Sheet'!$W$14=""),IF($X$4="(nonblank)",--('Final Calculation Sheet'!$W$14&lt;&gt;""),--ISNUMBER(SEARCH($X$4,'Final Calculation Sheet'!$W$14)))))</f>
        <v/>
      </c>
      <c r="ED16">
        <f>IF($Y$4="",1,IF($Y$4="(blank)",--('Final Calculation Sheet'!$X$14=""),IF($Y$4="(nonblank)",--('Final Calculation Sheet'!$X$14&lt;&gt;""),--ISNUMBER(SEARCH($Y$4,'Final Calculation Sheet'!$X$14)))))</f>
        <v/>
      </c>
      <c r="EE16">
        <f>IF($Z$4="",1,IF($Z$4="(blank)",--('Final Calculation Sheet'!$Y$14=""),IF($Z$4="(nonblank)",--('Final Calculation Sheet'!$Y$14&lt;&gt;""),--ISNUMBER(SEARCH($Z$4,'Final Calculation Sheet'!$Y$14)))))</f>
        <v/>
      </c>
      <c r="EF16">
        <f>IF($AA$4="",1,IF($AA$4="(blank)",--('Final Calculation Sheet'!$Z$14=""),IF($AA$4="(nonblank)",--('Final Calculation Sheet'!$Z$14&lt;&gt;""),--ISNUMBER(SEARCH($AA$4,'Final Calculation Sheet'!$Z$14)))))</f>
        <v/>
      </c>
      <c r="EG16">
        <f>IF($AB$4="",1,IF($AB$4="(blank)",--('Final Calculation Sheet'!$AA$14=""),IF($AB$4="(nonblank)",--('Final Calculation Sheet'!$AA$14&lt;&gt;""),--ISNUMBER(SEARCH($AB$4,'Final Calculation Sheet'!$AA$14)))))</f>
        <v/>
      </c>
      <c r="EH16">
        <f>IF($AC$4="",1,IF($AC$4="(blank)",--('Final Calculation Sheet'!$AB$14=""),IF($AC$4="(nonblank)",--('Final Calculation Sheet'!$AB$14&lt;&gt;""),--ISNUMBER(SEARCH($AC$4,'Final Calculation Sheet'!$AB$14)))))</f>
        <v/>
      </c>
      <c r="EI16">
        <f>IF($AD$4="",1,IF($AD$4="(blank)",--('Final Calculation Sheet'!$AC$14=""),IF($AD$4="(nonblank)",--('Final Calculation Sheet'!$AC$14&lt;&gt;""),--ISNUMBER(SEARCH($AD$4,'Final Calculation Sheet'!$AC$14)))))</f>
        <v/>
      </c>
      <c r="EJ16">
        <f>IF($AE$4="",1,IF($AE$4="(blank)",--('Final Calculation Sheet'!$AD$14=""),IF($AE$4="(nonblank)",--('Final Calculation Sheet'!$AD$14&lt;&gt;""),--ISNUMBER(SEARCH($AE$4,'Final Calculation Sheet'!$AD$14)))))</f>
        <v/>
      </c>
      <c r="EK16">
        <f>IF($AF$4="",1,IF($AF$4="(blank)",--(IF('Final Calculation Sheet'!$AD$14&lt;=5,"SETTLED","OUTSTANDING")=""),IF($AF$4="(nonblank)",--(IF('Final Calculation Sheet'!$AD$14&lt;=5,"SETTLED","OUTSTANDING")&lt;&gt;""),--ISNUMBER(SEARCH($AF$4,IF('Final Calculation Sheet'!$AD$14&lt;=5,"SETTLED","OUTSTANDING"))))))</f>
        <v/>
      </c>
      <c r="EL16">
        <f>IF($AG$4="",1,IF($AG$4="(blank)",--('Final Calculation Sheet'!$AF$14=""),IF($AG$4="(nonblank)",--('Final Calculation Sheet'!$AF$14&lt;&gt;""),--ISNUMBER(SEARCH($AG$4,'Final Calculation Sheet'!$AF$14)))))</f>
        <v/>
      </c>
      <c r="EM16">
        <f>IF($AH$4="",1,IF($AH$4="(blank)",--('Final Calculation Sheet'!$AG$14=""),IF($AH$4="(nonblank)",--('Final Calculation Sheet'!$AG$14&lt;&gt;""),--ISNUMBER(SEARCH($AH$4,'Final Calculation Sheet'!$AG$14)))))</f>
        <v/>
      </c>
      <c r="EN16">
        <f>IF($AI$4="",1,IF($AI$4="(blank)",--('Final Calculation Sheet'!$AH$14=""),IF($AI$4="(nonblank)",--('Final Calculation Sheet'!$AH$14&lt;&gt;""),--ISNUMBER(SEARCH($AI$4,'Final Calculation Sheet'!$AH$14)))))</f>
        <v/>
      </c>
    </row>
    <row r="17" outlineLevel="1" hidden="1">
      <c r="A17" s="118">
        <f>IF($AL$17="","",11)</f>
        <v/>
      </c>
      <c r="B17" s="119">
        <f>IF($AL$17="","",IF(INDEX('Final Calculation Sheet'!$F$4:$F$40,$AL$17)="","",INDEX('Final Calculation Sheet'!$F$4:$F$40,$AL$17)))</f>
        <v/>
      </c>
      <c r="C17" s="119">
        <f>IF($AL$17="","",IF(INDEX('Final Calculation Sheet'!$G$4:$G$40,$AL$17)="","",INDEX('Final Calculation Sheet'!$G$4:$G$40,$AL$17)))</f>
        <v/>
      </c>
      <c r="D17" s="121">
        <f>IF($AL$17="","",IF(INDEX('Final Calculation Sheet'!$B$4:$B$40,$AL$17)="","",INDEX('Final Calculation Sheet'!$B$4:$B$40,$AL$17)))</f>
        <v/>
      </c>
      <c r="E17" s="121">
        <f>IF($AL$17="","",IF(INDEX('Final Calculation Sheet'!$D$4:$D$40,$AL$17)="","",INDEX('Final Calculation Sheet'!$D$4:$D$40,$AL$17)))</f>
        <v/>
      </c>
      <c r="F17" s="121">
        <f>IF($AL$17="","",IF(INDEX('Final Calculation Sheet'!$A$4:$A$40,$AL$17)="","",INDEX('Final Calculation Sheet'!$A$4:$A$40,$AL$17)))</f>
        <v/>
      </c>
      <c r="G17" s="121">
        <f>IF($AL$17="","",IF(INDEX('Final Calculation Sheet'!$E$4:$E$40,$AL$17)="","",INDEX('Final Calculation Sheet'!$E$4:$E$40,$AL$17)))</f>
        <v/>
      </c>
      <c r="H17" s="122">
        <f>IF($AL$17="","",IF(INDEX('Final Calculation Sheet'!$C$4:$C$40,$AL$17)="","",INDEX('Final Calculation Sheet'!$C$4:$C$40,$AL$17)))</f>
        <v/>
      </c>
      <c r="I17" s="122">
        <f>IF($AL$17="","",IF(INDEX('Final Calculation Sheet'!$H$4:$H$40,$AL$17)="","",INDEX('Final Calculation Sheet'!$H$4:$H$40,$AL$17)))</f>
        <v/>
      </c>
      <c r="J17" s="122">
        <f>IF($AL$17="","",IF(INDEX('Final Calculation Sheet'!$I$4:$I$40,$AL$17)="","",INDEX('Final Calculation Sheet'!$I$4:$I$40,$AL$17)))</f>
        <v/>
      </c>
      <c r="K17" s="122">
        <f>IF($AL$17="","",IF(INDEX('Final Calculation Sheet'!$J$4:$J$40,$AL$17)="","",INDEX('Final Calculation Sheet'!$J$4:$J$40,$AL$17)))</f>
        <v/>
      </c>
      <c r="L17" s="122">
        <f>IF($AL$17="","",IF(INDEX('Final Calculation Sheet'!$K$4:$K$40,$AL$17)="","",INDEX('Final Calculation Sheet'!$K$4:$K$40,$AL$17)))</f>
        <v/>
      </c>
      <c r="M17" s="122">
        <f>IF($AL$17="","",IF(INDEX('Final Calculation Sheet'!$L$4:$L$40,$AL$17)="","",INDEX('Final Calculation Sheet'!$L$4:$L$40,$AL$17)))</f>
        <v/>
      </c>
      <c r="N17" s="122">
        <f>IF($AL$17="","",IF(INDEX('Final Calculation Sheet'!$M$4:$M$40,$AL$17)="","",INDEX('Final Calculation Sheet'!$M$4:$M$40,$AL$17)))</f>
        <v/>
      </c>
      <c r="O17" s="123">
        <f>IF($AL$17="","",IF(INDEX('Final Calculation Sheet'!$N$4:$N$40,$AL$17)="","",INDEX('Final Calculation Sheet'!$N$4:$N$40,$AL$17)))</f>
        <v/>
      </c>
      <c r="P17" s="122">
        <f>IF($AL$17="","",IF(INDEX('Final Calculation Sheet'!$O$4:$O$40,$AL$17)="","",INDEX('Final Calculation Sheet'!$O$4:$O$40,$AL$17)))</f>
        <v/>
      </c>
      <c r="Q17" s="122">
        <f>IF($AL$17="","",IF(INDEX('Final Calculation Sheet'!$P$4:$P$40,$AL$17)="","",INDEX('Final Calculation Sheet'!$P$4:$P$40,$AL$17)))</f>
        <v/>
      </c>
      <c r="R17" s="124">
        <f>IF($AL$17="","",IF(INDEX('Final Calculation Sheet'!$Q$4:$Q$40,$AL$17)="","",INDEX('Final Calculation Sheet'!$Q$4:$Q$40,$AL$17)))</f>
        <v/>
      </c>
      <c r="S17" s="122">
        <f>IF($AL$17="","",IF(INDEX('Final Calculation Sheet'!$R$4:$R$40,$AL$17)="","",INDEX('Final Calculation Sheet'!$R$4:$R$40,$AL$17)))</f>
        <v/>
      </c>
      <c r="T17" s="122">
        <f>IF($AL$17="","",IF(INDEX('Final Calculation Sheet'!$S$4:$S$40,$AL$17)="","",INDEX('Final Calculation Sheet'!$S$4:$S$40,$AL$17)))</f>
        <v/>
      </c>
      <c r="U17" s="122">
        <f>IF($AL$17="","",IF(INDEX('Final Calculation Sheet'!$T$4:$T$40,$AL$17)="","",INDEX('Final Calculation Sheet'!$T$4:$T$40,$AL$17)))</f>
        <v/>
      </c>
      <c r="V17" s="125">
        <f>IF($AL$17="","",IF(INDEX('Final Calculation Sheet'!$U$4:$U$40,$AL$17)="","",INDEX('Final Calculation Sheet'!$U$4:$U$40,$AL$17)))</f>
        <v/>
      </c>
      <c r="W17" s="122">
        <f>IF($AL$17="","",IF(INDEX('Final Calculation Sheet'!$V$4:$V$40,$AL$17)="","",INDEX('Final Calculation Sheet'!$V$4:$V$40,$AL$17)))</f>
        <v/>
      </c>
      <c r="X17" s="122">
        <f>IF($AL$17="","",IF(INDEX('Final Calculation Sheet'!$W$4:$W$40,$AL$17)="","",INDEX('Final Calculation Sheet'!$W$4:$W$40,$AL$17)))</f>
        <v/>
      </c>
      <c r="Y17" s="122">
        <f>IF($AL$17="","",IF(INDEX('Final Calculation Sheet'!$X$4:$X$40,$AL$17)="","",INDEX('Final Calculation Sheet'!$X$4:$X$40,$AL$17)))</f>
        <v/>
      </c>
      <c r="Z17" s="122">
        <f>IF($AL$17="","",IF(INDEX('Final Calculation Sheet'!$Y$4:$Y$40,$AL$17)="","",INDEX('Final Calculation Sheet'!$Y$4:$Y$40,$AL$17)))</f>
        <v/>
      </c>
      <c r="AA17" s="122">
        <f>IF($AL$17="","",IF(INDEX('Final Calculation Sheet'!$Z$4:$Z$40,$AL$17)="","",INDEX('Final Calculation Sheet'!$Z$4:$Z$40,$AL$17)))</f>
        <v/>
      </c>
      <c r="AB17" s="122">
        <f>IF($AL$17="","",IF(INDEX('Final Calculation Sheet'!$AA$4:$AA$40,$AL$17)="","",INDEX('Final Calculation Sheet'!$AA$4:$AA$40,$AL$17)))</f>
        <v/>
      </c>
      <c r="AC17" s="122">
        <f>IF($AL$17="","",IF(INDEX('Final Calculation Sheet'!$AB$4:$AB$40,$AL$17)="","",INDEX('Final Calculation Sheet'!$AB$4:$AB$40,$AL$17)))</f>
        <v/>
      </c>
      <c r="AD17" s="122">
        <f>IF($AL$17="","",IF(INDEX('Final Calculation Sheet'!$AC$4:$AC$40,$AL$17)="","",INDEX('Final Calculation Sheet'!$AC$4:$AC$40,$AL$17)))</f>
        <v/>
      </c>
      <c r="AE17" s="122">
        <f>IF($AL$17="","",IF(INDEX('Final Calculation Sheet'!$AD$4:$AD$40,$AL$17)="","",INDEX('Final Calculation Sheet'!$AD$4:$AD$40,$AL$17)))</f>
        <v/>
      </c>
      <c r="AF17" s="127">
        <f>IF($AL$17="","",IF(INDEX('Final Calculation Sheet'!$AD$4:$AD$40,$AL$17)&lt;=5,"SETTLED","OUTSTANDING"))</f>
        <v/>
      </c>
      <c r="AG17" s="122">
        <f>IF($AL$17="","",IF(INDEX('Final Calculation Sheet'!$AF$4:$AF$40,$AL$17)="","",INDEX('Final Calculation Sheet'!$AF$4:$AF$40,$AL$17)))</f>
        <v/>
      </c>
      <c r="AH17" s="126">
        <f>IF($AL$17="","",IF(INDEX('Final Calculation Sheet'!$AG$4:$AG$40,$AL$17)="","",INDEX('Final Calculation Sheet'!$AG$4:$AG$40,$AL$17)))</f>
        <v/>
      </c>
      <c r="AI17" s="122">
        <f>IF($AL$17="","",IF(INDEX('Final Calculation Sheet'!$AH$4:$AH$40,$AL$17)="","",INDEX('Final Calculation Sheet'!$AH$4:$AH$40,$AL$17)))</f>
        <v/>
      </c>
      <c r="AJ17">
        <f>IF(AND(IF($B$4="",TRUE(),IF($B$4="(blank)",'Final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Sheet'!$AD$15&lt;=5,"SETTLED","OUTSTANDING"))))))),1,0)</f>
      </c>
      <c r="AK17">
        <f>IF(AJ17=1,COUNTIF(AJ$6:AJ17,1),"")</f>
        <v/>
      </c>
      <c r="AL17">
        <f>IF(COUNTIF($B$4:$AI$4,"&lt;&gt;")=0,"",IFERROR(MATCH(11,$AK$6:$AK$42,0),""))</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CU16+IF(AND(Lists!$FI$17&lt;&gt;"",ISNUMBER(SEARCH($AG$4,Lists!$FI$17))),1,0)</f>
        <v/>
      </c>
      <c r="CV17">
        <f>IF(ROW()-3&gt;MAX($CU$4:$CU$42),"",INDEX(Lists!$FI$4:$FI$42,MATCH(ROW()-3,$CU$4:$CU$42,0)))</f>
        <v/>
      </c>
      <c r="CW17">
        <f>CW16+IF(AND(Lists!$FN$17&lt;&gt;"",ISNUMBER(SEARCH($AH$4,Lists!$FN$17))),1,0)</f>
        <v/>
      </c>
      <c r="CX17">
        <f>IF(ROW()-3&gt;MAX($CW$4:$CW$42),"",INDEX(Lists!$FN$4:$FN$42,MATCH(ROW()-3,$CW$4:$CW$42,0)))</f>
        <v/>
      </c>
      <c r="CY17">
        <f>CY16+IF(AND(Lists!$FS$17&lt;&gt;"",ISNUMBER(SEARCH($AI$4,Lists!$FS$17))),1,0)</f>
        <v/>
      </c>
      <c r="CZ17">
        <f>IF(ROW()-3&gt;MAX($CY$4:$CY$42),"",INDEX(Lists!$FS$4:$FS$42,MATCH(ROW()-3,$CY$4:$CY$42,0)))</f>
        <v/>
      </c>
      <c r="DA17">
        <f>DA16+IF(AND(Lists!$FX$17&lt;&gt;"",ISNUMBER(SEARCH($AF$4,Lists!$FX$17))),1,0)</f>
        <v/>
      </c>
      <c r="DB17">
        <f>IF(ROW()-3&gt;MAX($DA$4:$DA$42),"",INDEX(Lists!$FX$4:$FX$42,MATCH(ROW()-3,$DA$4:$DA$42,0)))</f>
        <v/>
      </c>
      <c r="DG17">
        <f>IF($B$4="",1,IF($B$4="(blank)",--('Final Calculation Sheet'!$F$15=""),IF($B$4="(nonblank)",--('Final Calculation Sheet'!$F$15&lt;&gt;""),--ISNUMBER(SEARCH($B$4,'Final Calculation Sheet'!$F$15)))))</f>
        <v/>
      </c>
      <c r="DH17">
        <f>IF($C$4="",1,IF($C$4="(blank)",--('Final Calculation Sheet'!$G$15=""),IF($C$4="(nonblank)",--('Final Calculation Sheet'!$G$15&lt;&gt;""),--ISNUMBER(SEARCH($C$4,'Final Calculation Sheet'!$G$15)))))</f>
        <v/>
      </c>
      <c r="DI17">
        <f>IF($D$4="",1,IF($D$4="(blank)",--('Final Calculation Sheet'!$B$15=""),IF($D$4="(nonblank)",--('Final Calculation Sheet'!$B$15&lt;&gt;""),--ISNUMBER(SEARCH($D$4,'Final Calculation Sheet'!$B$15)))))</f>
        <v/>
      </c>
      <c r="DJ17">
        <f>IF($E$4="",1,IF($E$4="(blank)",--('Final Calculation Sheet'!$D$15=""),IF($E$4="(nonblank)",--('Final Calculation Sheet'!$D$15&lt;&gt;""),--ISNUMBER(SEARCH($E$4,'Final Calculation Sheet'!$D$15)))))</f>
        <v/>
      </c>
      <c r="DK17">
        <f>IF($F$4="",1,IF($F$4="(blank)",--('Final Calculation Sheet'!$A$15=""),IF($F$4="(nonblank)",--('Final Calculation Sheet'!$A$15&lt;&gt;""),--ISNUMBER(SEARCH($F$4,'Final Calculation Sheet'!$A$15)))))</f>
        <v/>
      </c>
      <c r="DL17">
        <f>IF($G$4="",1,IF($G$4="(blank)",--('Final Calculation Sheet'!$E$15=""),IF($G$4="(nonblank)",--('Final Calculation Sheet'!$E$15&lt;&gt;""),--ISNUMBER(SEARCH($G$4,'Final Calculation Sheet'!$E$15)))))</f>
        <v/>
      </c>
      <c r="DM17">
        <f>IF($H$4="",1,IF($H$4="(blank)",--('Final Calculation Sheet'!$C$15=""),IF($H$4="(nonblank)",--('Final Calculation Sheet'!$C$15&lt;&gt;""),--ISNUMBER(SEARCH($H$4,'Final Calculation Sheet'!$C$15)))))</f>
        <v/>
      </c>
      <c r="DN17">
        <f>IF($I$4="",1,IF($I$4="(blank)",--('Final Calculation Sheet'!$H$15=""),IF($I$4="(nonblank)",--('Final Calculation Sheet'!$H$15&lt;&gt;""),--ISNUMBER(SEARCH($I$4,'Final Calculation Sheet'!$H$15)))))</f>
        <v/>
      </c>
      <c r="DO17">
        <f>IF($J$4="",1,IF($J$4="(blank)",--('Final Calculation Sheet'!$I$15=""),IF($J$4="(nonblank)",--('Final Calculation Sheet'!$I$15&lt;&gt;""),--ISNUMBER(SEARCH($J$4,'Final Calculation Sheet'!$I$15)))))</f>
        <v/>
      </c>
      <c r="DP17">
        <f>IF($K$4="",1,IF($K$4="(blank)",--('Final Calculation Sheet'!$J$15=""),IF($K$4="(nonblank)",--('Final Calculation Sheet'!$J$15&lt;&gt;""),--ISNUMBER(SEARCH($K$4,'Final Calculation Sheet'!$J$15)))))</f>
        <v/>
      </c>
      <c r="DQ17">
        <f>IF($L$4="",1,IF($L$4="(blank)",--('Final Calculation Sheet'!$K$15=""),IF($L$4="(nonblank)",--('Final Calculation Sheet'!$K$15&lt;&gt;""),--ISNUMBER(SEARCH($L$4,'Final Calculation Sheet'!$K$15)))))</f>
        <v/>
      </c>
      <c r="DR17">
        <f>IF($M$4="",1,IF($M$4="(blank)",--('Final Calculation Sheet'!$L$15=""),IF($M$4="(nonblank)",--('Final Calculation Sheet'!$L$15&lt;&gt;""),--ISNUMBER(SEARCH($M$4,'Final Calculation Sheet'!$L$15)))))</f>
        <v/>
      </c>
      <c r="DS17">
        <f>IF($N$4="",1,IF($N$4="(blank)",--('Final Calculation Sheet'!$M$15=""),IF($N$4="(nonblank)",--('Final Calculation Sheet'!$M$15&lt;&gt;""),--ISNUMBER(SEARCH($N$4,'Final Calculation Sheet'!$M$15)))))</f>
        <v/>
      </c>
      <c r="DT17">
        <f>IF($O$4="",1,IF($O$4="(blank)",--('Final Calculation Sheet'!$N$15=""),IF($O$4="(nonblank)",--('Final Calculation Sheet'!$N$15&lt;&gt;""),--ISNUMBER(SEARCH($O$4,'Final Calculation Sheet'!$N$15)))))</f>
        <v/>
      </c>
      <c r="DU17">
        <f>IF($P$4="",1,IF($P$4="(blank)",--('Final Calculation Sheet'!$O$15=""),IF($P$4="(nonblank)",--('Final Calculation Sheet'!$O$15&lt;&gt;""),--ISNUMBER(SEARCH($P$4,'Final Calculation Sheet'!$O$15)))))</f>
        <v/>
      </c>
      <c r="DV17">
        <f>IF($Q$4="",1,IF($Q$4="(blank)",--('Final Calculation Sheet'!$P$15=""),IF($Q$4="(nonblank)",--('Final Calculation Sheet'!$P$15&lt;&gt;""),--ISNUMBER(SEARCH($Q$4,'Final Calculation Sheet'!$P$15)))))</f>
        <v/>
      </c>
      <c r="DW17">
        <f>IF($R$4="",1,IF($R$4="(blank)",--('Final Calculation Sheet'!$Q$15=""),IF($R$4="(nonblank)",--('Final Calculation Sheet'!$Q$15&lt;&gt;""),--ISNUMBER(SEARCH($R$4,'Final Calculation Sheet'!$Q$15)))))</f>
        <v/>
      </c>
      <c r="DX17">
        <f>IF($S$4="",1,IF($S$4="(blank)",--('Final Calculation Sheet'!$R$15=""),IF($S$4="(nonblank)",--('Final Calculation Sheet'!$R$15&lt;&gt;""),--ISNUMBER(SEARCH($S$4,'Final Calculation Sheet'!$R$15)))))</f>
        <v/>
      </c>
      <c r="DY17">
        <f>IF($T$4="",1,IF($T$4="(blank)",--('Final Calculation Sheet'!$S$15=""),IF($T$4="(nonblank)",--('Final Calculation Sheet'!$S$15&lt;&gt;""),--ISNUMBER(SEARCH($T$4,'Final Calculation Sheet'!$S$15)))))</f>
        <v/>
      </c>
      <c r="DZ17">
        <f>IF($U$4="",1,IF($U$4="(blank)",--('Final Calculation Sheet'!$T$15=""),IF($U$4="(nonblank)",--('Final Calculation Sheet'!$T$15&lt;&gt;""),--ISNUMBER(SEARCH($U$4,'Final Calculation Sheet'!$T$15)))))</f>
        <v/>
      </c>
      <c r="EA17">
        <f>IF($V$4="",1,IF($V$4="(blank)",--('Final Calculation Sheet'!$U$15=""),IF($V$4="(nonblank)",--('Final Calculation Sheet'!$U$15&lt;&gt;""),--ISNUMBER(SEARCH($V$4,'Final Calculation Sheet'!$U$15)))))</f>
        <v/>
      </c>
      <c r="EB17">
        <f>IF($W$4="",1,IF($W$4="(blank)",--('Final Calculation Sheet'!$V$15=""),IF($W$4="(nonblank)",--('Final Calculation Sheet'!$V$15&lt;&gt;""),--ISNUMBER(SEARCH($W$4,'Final Calculation Sheet'!$V$15)))))</f>
        <v/>
      </c>
      <c r="EC17">
        <f>IF($X$4="",1,IF($X$4="(blank)",--('Final Calculation Sheet'!$W$15=""),IF($X$4="(nonblank)",--('Final Calculation Sheet'!$W$15&lt;&gt;""),--ISNUMBER(SEARCH($X$4,'Final Calculation Sheet'!$W$15)))))</f>
        <v/>
      </c>
      <c r="ED17">
        <f>IF($Y$4="",1,IF($Y$4="(blank)",--('Final Calculation Sheet'!$X$15=""),IF($Y$4="(nonblank)",--('Final Calculation Sheet'!$X$15&lt;&gt;""),--ISNUMBER(SEARCH($Y$4,'Final Calculation Sheet'!$X$15)))))</f>
        <v/>
      </c>
      <c r="EE17">
        <f>IF($Z$4="",1,IF($Z$4="(blank)",--('Final Calculation Sheet'!$Y$15=""),IF($Z$4="(nonblank)",--('Final Calculation Sheet'!$Y$15&lt;&gt;""),--ISNUMBER(SEARCH($Z$4,'Final Calculation Sheet'!$Y$15)))))</f>
        <v/>
      </c>
      <c r="EF17">
        <f>IF($AA$4="",1,IF($AA$4="(blank)",--('Final Calculation Sheet'!$Z$15=""),IF($AA$4="(nonblank)",--('Final Calculation Sheet'!$Z$15&lt;&gt;""),--ISNUMBER(SEARCH($AA$4,'Final Calculation Sheet'!$Z$15)))))</f>
        <v/>
      </c>
      <c r="EG17">
        <f>IF($AB$4="",1,IF($AB$4="(blank)",--('Final Calculation Sheet'!$AA$15=""),IF($AB$4="(nonblank)",--('Final Calculation Sheet'!$AA$15&lt;&gt;""),--ISNUMBER(SEARCH($AB$4,'Final Calculation Sheet'!$AA$15)))))</f>
        <v/>
      </c>
      <c r="EH17">
        <f>IF($AC$4="",1,IF($AC$4="(blank)",--('Final Calculation Sheet'!$AB$15=""),IF($AC$4="(nonblank)",--('Final Calculation Sheet'!$AB$15&lt;&gt;""),--ISNUMBER(SEARCH($AC$4,'Final Calculation Sheet'!$AB$15)))))</f>
        <v/>
      </c>
      <c r="EI17">
        <f>IF($AD$4="",1,IF($AD$4="(blank)",--('Final Calculation Sheet'!$AC$15=""),IF($AD$4="(nonblank)",--('Final Calculation Sheet'!$AC$15&lt;&gt;""),--ISNUMBER(SEARCH($AD$4,'Final Calculation Sheet'!$AC$15)))))</f>
        <v/>
      </c>
      <c r="EJ17">
        <f>IF($AE$4="",1,IF($AE$4="(blank)",--('Final Calculation Sheet'!$AD$15=""),IF($AE$4="(nonblank)",--('Final Calculation Sheet'!$AD$15&lt;&gt;""),--ISNUMBER(SEARCH($AE$4,'Final Calculation Sheet'!$AD$15)))))</f>
        <v/>
      </c>
      <c r="EK17">
        <f>IF($AF$4="",1,IF($AF$4="(blank)",--(IF('Final Calculation Sheet'!$AD$15&lt;=5,"SETTLED","OUTSTANDING")=""),IF($AF$4="(nonblank)",--(IF('Final Calculation Sheet'!$AD$15&lt;=5,"SETTLED","OUTSTANDING")&lt;&gt;""),--ISNUMBER(SEARCH($AF$4,IF('Final Calculation Sheet'!$AD$15&lt;=5,"SETTLED","OUTSTANDING"))))))</f>
        <v/>
      </c>
      <c r="EL17">
        <f>IF($AG$4="",1,IF($AG$4="(blank)",--('Final Calculation Sheet'!$AF$15=""),IF($AG$4="(nonblank)",--('Final Calculation Sheet'!$AF$15&lt;&gt;""),--ISNUMBER(SEARCH($AG$4,'Final Calculation Sheet'!$AF$15)))))</f>
        <v/>
      </c>
      <c r="EM17">
        <f>IF($AH$4="",1,IF($AH$4="(blank)",--('Final Calculation Sheet'!$AG$15=""),IF($AH$4="(nonblank)",--('Final Calculation Sheet'!$AG$15&lt;&gt;""),--ISNUMBER(SEARCH($AH$4,'Final Calculation Sheet'!$AG$15)))))</f>
        <v/>
      </c>
      <c r="EN17">
        <f>IF($AI$4="",1,IF($AI$4="(blank)",--('Final Calculation Sheet'!$AH$15=""),IF($AI$4="(nonblank)",--('Final Calculation Sheet'!$AH$15&lt;&gt;""),--ISNUMBER(SEARCH($AI$4,'Final Calculation Sheet'!$AH$15)))))</f>
        <v/>
      </c>
    </row>
    <row r="18" outlineLevel="1" hidden="1">
      <c r="A18" s="128">
        <f>IF($AL$18="","",12)</f>
        <v/>
      </c>
      <c r="B18" s="129">
        <f>IF($AL$18="","",IF(INDEX('Final Calculation Sheet'!$F$4:$F$40,$AL$18)="","",INDEX('Final Calculation Sheet'!$F$4:$F$40,$AL$18)))</f>
        <v/>
      </c>
      <c r="C18" s="129">
        <f>IF($AL$18="","",IF(INDEX('Final Calculation Sheet'!$G$4:$G$40,$AL$18)="","",INDEX('Final Calculation Sheet'!$G$4:$G$40,$AL$18)))</f>
        <v/>
      </c>
      <c r="D18" s="130">
        <f>IF($AL$18="","",IF(INDEX('Final Calculation Sheet'!$B$4:$B$40,$AL$18)="","",INDEX('Final Calculation Sheet'!$B$4:$B$40,$AL$18)))</f>
        <v/>
      </c>
      <c r="E18" s="130">
        <f>IF($AL$18="","",IF(INDEX('Final Calculation Sheet'!$D$4:$D$40,$AL$18)="","",INDEX('Final Calculation Sheet'!$D$4:$D$40,$AL$18)))</f>
        <v/>
      </c>
      <c r="F18" s="130">
        <f>IF($AL$18="","",IF(INDEX('Final Calculation Sheet'!$A$4:$A$40,$AL$18)="","",INDEX('Final Calculation Sheet'!$A$4:$A$40,$AL$18)))</f>
        <v/>
      </c>
      <c r="G18" s="130">
        <f>IF($AL$18="","",IF(INDEX('Final Calculation Sheet'!$E$4:$E$40,$AL$18)="","",INDEX('Final Calculation Sheet'!$E$4:$E$40,$AL$18)))</f>
        <v/>
      </c>
      <c r="H18" s="131">
        <f>IF($AL$18="","",IF(INDEX('Final Calculation Sheet'!$C$4:$C$40,$AL$18)="","",INDEX('Final Calculation Sheet'!$C$4:$C$40,$AL$18)))</f>
        <v/>
      </c>
      <c r="I18" s="131">
        <f>IF($AL$18="","",IF(INDEX('Final Calculation Sheet'!$H$4:$H$40,$AL$18)="","",INDEX('Final Calculation Sheet'!$H$4:$H$40,$AL$18)))</f>
        <v/>
      </c>
      <c r="J18" s="131">
        <f>IF($AL$18="","",IF(INDEX('Final Calculation Sheet'!$I$4:$I$40,$AL$18)="","",INDEX('Final Calculation Sheet'!$I$4:$I$40,$AL$18)))</f>
        <v/>
      </c>
      <c r="K18" s="131">
        <f>IF($AL$18="","",IF(INDEX('Final Calculation Sheet'!$J$4:$J$40,$AL$18)="","",INDEX('Final Calculation Sheet'!$J$4:$J$40,$AL$18)))</f>
        <v/>
      </c>
      <c r="L18" s="131">
        <f>IF($AL$18="","",IF(INDEX('Final Calculation Sheet'!$K$4:$K$40,$AL$18)="","",INDEX('Final Calculation Sheet'!$K$4:$K$40,$AL$18)))</f>
        <v/>
      </c>
      <c r="M18" s="131">
        <f>IF($AL$18="","",IF(INDEX('Final Calculation Sheet'!$L$4:$L$40,$AL$18)="","",INDEX('Final Calculation Sheet'!$L$4:$L$40,$AL$18)))</f>
        <v/>
      </c>
      <c r="N18" s="131">
        <f>IF($AL$18="","",IF(INDEX('Final Calculation Sheet'!$M$4:$M$40,$AL$18)="","",INDEX('Final Calculation Sheet'!$M$4:$M$40,$AL$18)))</f>
        <v/>
      </c>
      <c r="O18" s="132">
        <f>IF($AL$18="","",IF(INDEX('Final Calculation Sheet'!$N$4:$N$40,$AL$18)="","",INDEX('Final Calculation Sheet'!$N$4:$N$40,$AL$18)))</f>
        <v/>
      </c>
      <c r="P18" s="131">
        <f>IF($AL$18="","",IF(INDEX('Final Calculation Sheet'!$O$4:$O$40,$AL$18)="","",INDEX('Final Calculation Sheet'!$O$4:$O$40,$AL$18)))</f>
        <v/>
      </c>
      <c r="Q18" s="131">
        <f>IF($AL$18="","",IF(INDEX('Final Calculation Sheet'!$P$4:$P$40,$AL$18)="","",INDEX('Final Calculation Sheet'!$P$4:$P$40,$AL$18)))</f>
        <v/>
      </c>
      <c r="R18" s="133">
        <f>IF($AL$18="","",IF(INDEX('Final Calculation Sheet'!$Q$4:$Q$40,$AL$18)="","",INDEX('Final Calculation Sheet'!$Q$4:$Q$40,$AL$18)))</f>
        <v/>
      </c>
      <c r="S18" s="131">
        <f>IF($AL$18="","",IF(INDEX('Final Calculation Sheet'!$R$4:$R$40,$AL$18)="","",INDEX('Final Calculation Sheet'!$R$4:$R$40,$AL$18)))</f>
        <v/>
      </c>
      <c r="T18" s="131">
        <f>IF($AL$18="","",IF(INDEX('Final Calculation Sheet'!$S$4:$S$40,$AL$18)="","",INDEX('Final Calculation Sheet'!$S$4:$S$40,$AL$18)))</f>
        <v/>
      </c>
      <c r="U18" s="131">
        <f>IF($AL$18="","",IF(INDEX('Final Calculation Sheet'!$T$4:$T$40,$AL$18)="","",INDEX('Final Calculation Sheet'!$T$4:$T$40,$AL$18)))</f>
        <v/>
      </c>
      <c r="V18" s="134">
        <f>IF($AL$18="","",IF(INDEX('Final Calculation Sheet'!$U$4:$U$40,$AL$18)="","",INDEX('Final Calculation Sheet'!$U$4:$U$40,$AL$18)))</f>
        <v/>
      </c>
      <c r="W18" s="131">
        <f>IF($AL$18="","",IF(INDEX('Final Calculation Sheet'!$V$4:$V$40,$AL$18)="","",INDEX('Final Calculation Sheet'!$V$4:$V$40,$AL$18)))</f>
        <v/>
      </c>
      <c r="X18" s="131">
        <f>IF($AL$18="","",IF(INDEX('Final Calculation Sheet'!$W$4:$W$40,$AL$18)="","",INDEX('Final Calculation Sheet'!$W$4:$W$40,$AL$18)))</f>
        <v/>
      </c>
      <c r="Y18" s="131">
        <f>IF($AL$18="","",IF(INDEX('Final Calculation Sheet'!$X$4:$X$40,$AL$18)="","",INDEX('Final Calculation Sheet'!$X$4:$X$40,$AL$18)))</f>
        <v/>
      </c>
      <c r="Z18" s="131">
        <f>IF($AL$18="","",IF(INDEX('Final Calculation Sheet'!$Y$4:$Y$40,$AL$18)="","",INDEX('Final Calculation Sheet'!$Y$4:$Y$40,$AL$18)))</f>
        <v/>
      </c>
      <c r="AA18" s="131">
        <f>IF($AL$18="","",IF(INDEX('Final Calculation Sheet'!$Z$4:$Z$40,$AL$18)="","",INDEX('Final Calculation Sheet'!$Z$4:$Z$40,$AL$18)))</f>
        <v/>
      </c>
      <c r="AB18" s="131">
        <f>IF($AL$18="","",IF(INDEX('Final Calculation Sheet'!$AA$4:$AA$40,$AL$18)="","",INDEX('Final Calculation Sheet'!$AA$4:$AA$40,$AL$18)))</f>
        <v/>
      </c>
      <c r="AC18" s="131">
        <f>IF($AL$18="","",IF(INDEX('Final Calculation Sheet'!$AB$4:$AB$40,$AL$18)="","",INDEX('Final Calculation Sheet'!$AB$4:$AB$40,$AL$18)))</f>
        <v/>
      </c>
      <c r="AD18" s="131">
        <f>IF($AL$18="","",IF(INDEX('Final Calculation Sheet'!$AC$4:$AC$40,$AL$18)="","",INDEX('Final Calculation Sheet'!$AC$4:$AC$40,$AL$18)))</f>
        <v/>
      </c>
      <c r="AE18" s="131">
        <f>IF($AL$18="","",IF(INDEX('Final Calculation Sheet'!$AD$4:$AD$40,$AL$18)="","",INDEX('Final Calculation Sheet'!$AD$4:$AD$40,$AL$18)))</f>
        <v/>
      </c>
      <c r="AF18" s="136">
        <f>IF($AL$18="","",IF(INDEX('Final Calculation Sheet'!$AD$4:$AD$40,$AL$18)&lt;=5,"SETTLED","OUTSTANDING"))</f>
        <v/>
      </c>
      <c r="AG18" s="131">
        <f>IF($AL$18="","",IF(INDEX('Final Calculation Sheet'!$AF$4:$AF$40,$AL$18)="","",INDEX('Final Calculation Sheet'!$AF$4:$AF$40,$AL$18)))</f>
        <v/>
      </c>
      <c r="AH18" s="135">
        <f>IF($AL$18="","",IF(INDEX('Final Calculation Sheet'!$AG$4:$AG$40,$AL$18)="","",INDEX('Final Calculation Sheet'!$AG$4:$AG$40,$AL$18)))</f>
        <v/>
      </c>
      <c r="AI18" s="131">
        <f>IF($AL$18="","",IF(INDEX('Final Calculation Sheet'!$AH$4:$AH$40,$AL$18)="","",INDEX('Final Calculation Sheet'!$AH$4:$AH$40,$AL$18)))</f>
        <v/>
      </c>
      <c r="AJ18">
        <f>IF(AND(IF($B$4="",TRUE(),IF($B$4="(blank)",'Final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Sheet'!$AD$16&lt;=5,"SETTLED","OUTSTANDING"))))))),1,0)</f>
      </c>
      <c r="AK18">
        <f>IF(AJ18=1,COUNTIF(AJ$6:AJ18,1),"")</f>
        <v/>
      </c>
      <c r="AL18">
        <f>IF(COUNTIF($B$4:$AI$4,"&lt;&gt;")=0,"",IFERROR(MATCH(12,$AK$6:$AK$42,0),""))</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CU17+IF(AND(Lists!$FI$18&lt;&gt;"",ISNUMBER(SEARCH($AG$4,Lists!$FI$18))),1,0)</f>
        <v/>
      </c>
      <c r="CV18">
        <f>IF(ROW()-3&gt;MAX($CU$4:$CU$42),"",INDEX(Lists!$FI$4:$FI$42,MATCH(ROW()-3,$CU$4:$CU$42,0)))</f>
        <v/>
      </c>
      <c r="CW18">
        <f>CW17+IF(AND(Lists!$FN$18&lt;&gt;"",ISNUMBER(SEARCH($AH$4,Lists!$FN$18))),1,0)</f>
        <v/>
      </c>
      <c r="CX18">
        <f>IF(ROW()-3&gt;MAX($CW$4:$CW$42),"",INDEX(Lists!$FN$4:$FN$42,MATCH(ROW()-3,$CW$4:$CW$42,0)))</f>
        <v/>
      </c>
      <c r="CY18">
        <f>CY17+IF(AND(Lists!$FS$18&lt;&gt;"",ISNUMBER(SEARCH($AI$4,Lists!$FS$18))),1,0)</f>
        <v/>
      </c>
      <c r="CZ18">
        <f>IF(ROW()-3&gt;MAX($CY$4:$CY$42),"",INDEX(Lists!$FS$4:$FS$42,MATCH(ROW()-3,$CY$4:$CY$42,0)))</f>
        <v/>
      </c>
      <c r="DA18">
        <f>DA17+IF(AND(Lists!$FX$18&lt;&gt;"",ISNUMBER(SEARCH($AF$4,Lists!$FX$18))),1,0)</f>
        <v/>
      </c>
      <c r="DB18">
        <f>IF(ROW()-3&gt;MAX($DA$4:$DA$42),"",INDEX(Lists!$FX$4:$FX$42,MATCH(ROW()-3,$DA$4:$DA$42,0)))</f>
        <v/>
      </c>
      <c r="DG18">
        <f>IF($B$4="",1,IF($B$4="(blank)",--('Final Calculation Sheet'!$F$16=""),IF($B$4="(nonblank)",--('Final Calculation Sheet'!$F$16&lt;&gt;""),--ISNUMBER(SEARCH($B$4,'Final Calculation Sheet'!$F$16)))))</f>
        <v/>
      </c>
      <c r="DH18">
        <f>IF($C$4="",1,IF($C$4="(blank)",--('Final Calculation Sheet'!$G$16=""),IF($C$4="(nonblank)",--('Final Calculation Sheet'!$G$16&lt;&gt;""),--ISNUMBER(SEARCH($C$4,'Final Calculation Sheet'!$G$16)))))</f>
        <v/>
      </c>
      <c r="DI18">
        <f>IF($D$4="",1,IF($D$4="(blank)",--('Final Calculation Sheet'!$B$16=""),IF($D$4="(nonblank)",--('Final Calculation Sheet'!$B$16&lt;&gt;""),--ISNUMBER(SEARCH($D$4,'Final Calculation Sheet'!$B$16)))))</f>
        <v/>
      </c>
      <c r="DJ18">
        <f>IF($E$4="",1,IF($E$4="(blank)",--('Final Calculation Sheet'!$D$16=""),IF($E$4="(nonblank)",--('Final Calculation Sheet'!$D$16&lt;&gt;""),--ISNUMBER(SEARCH($E$4,'Final Calculation Sheet'!$D$16)))))</f>
        <v/>
      </c>
      <c r="DK18">
        <f>IF($F$4="",1,IF($F$4="(blank)",--('Final Calculation Sheet'!$A$16=""),IF($F$4="(nonblank)",--('Final Calculation Sheet'!$A$16&lt;&gt;""),--ISNUMBER(SEARCH($F$4,'Final Calculation Sheet'!$A$16)))))</f>
        <v/>
      </c>
      <c r="DL18">
        <f>IF($G$4="",1,IF($G$4="(blank)",--('Final Calculation Sheet'!$E$16=""),IF($G$4="(nonblank)",--('Final Calculation Sheet'!$E$16&lt;&gt;""),--ISNUMBER(SEARCH($G$4,'Final Calculation Sheet'!$E$16)))))</f>
        <v/>
      </c>
      <c r="DM18">
        <f>IF($H$4="",1,IF($H$4="(blank)",--('Final Calculation Sheet'!$C$16=""),IF($H$4="(nonblank)",--('Final Calculation Sheet'!$C$16&lt;&gt;""),--ISNUMBER(SEARCH($H$4,'Final Calculation Sheet'!$C$16)))))</f>
        <v/>
      </c>
      <c r="DN18">
        <f>IF($I$4="",1,IF($I$4="(blank)",--('Final Calculation Sheet'!$H$16=""),IF($I$4="(nonblank)",--('Final Calculation Sheet'!$H$16&lt;&gt;""),--ISNUMBER(SEARCH($I$4,'Final Calculation Sheet'!$H$16)))))</f>
        <v/>
      </c>
      <c r="DO18">
        <f>IF($J$4="",1,IF($J$4="(blank)",--('Final Calculation Sheet'!$I$16=""),IF($J$4="(nonblank)",--('Final Calculation Sheet'!$I$16&lt;&gt;""),--ISNUMBER(SEARCH($J$4,'Final Calculation Sheet'!$I$16)))))</f>
        <v/>
      </c>
      <c r="DP18">
        <f>IF($K$4="",1,IF($K$4="(blank)",--('Final Calculation Sheet'!$J$16=""),IF($K$4="(nonblank)",--('Final Calculation Sheet'!$J$16&lt;&gt;""),--ISNUMBER(SEARCH($K$4,'Final Calculation Sheet'!$J$16)))))</f>
        <v/>
      </c>
      <c r="DQ18">
        <f>IF($L$4="",1,IF($L$4="(blank)",--('Final Calculation Sheet'!$K$16=""),IF($L$4="(nonblank)",--('Final Calculation Sheet'!$K$16&lt;&gt;""),--ISNUMBER(SEARCH($L$4,'Final Calculation Sheet'!$K$16)))))</f>
        <v/>
      </c>
      <c r="DR18">
        <f>IF($M$4="",1,IF($M$4="(blank)",--('Final Calculation Sheet'!$L$16=""),IF($M$4="(nonblank)",--('Final Calculation Sheet'!$L$16&lt;&gt;""),--ISNUMBER(SEARCH($M$4,'Final Calculation Sheet'!$L$16)))))</f>
        <v/>
      </c>
      <c r="DS18">
        <f>IF($N$4="",1,IF($N$4="(blank)",--('Final Calculation Sheet'!$M$16=""),IF($N$4="(nonblank)",--('Final Calculation Sheet'!$M$16&lt;&gt;""),--ISNUMBER(SEARCH($N$4,'Final Calculation Sheet'!$M$16)))))</f>
        <v/>
      </c>
      <c r="DT18">
        <f>IF($O$4="",1,IF($O$4="(blank)",--('Final Calculation Sheet'!$N$16=""),IF($O$4="(nonblank)",--('Final Calculation Sheet'!$N$16&lt;&gt;""),--ISNUMBER(SEARCH($O$4,'Final Calculation Sheet'!$N$16)))))</f>
        <v/>
      </c>
      <c r="DU18">
        <f>IF($P$4="",1,IF($P$4="(blank)",--('Final Calculation Sheet'!$O$16=""),IF($P$4="(nonblank)",--('Final Calculation Sheet'!$O$16&lt;&gt;""),--ISNUMBER(SEARCH($P$4,'Final Calculation Sheet'!$O$16)))))</f>
        <v/>
      </c>
      <c r="DV18">
        <f>IF($Q$4="",1,IF($Q$4="(blank)",--('Final Calculation Sheet'!$P$16=""),IF($Q$4="(nonblank)",--('Final Calculation Sheet'!$P$16&lt;&gt;""),--ISNUMBER(SEARCH($Q$4,'Final Calculation Sheet'!$P$16)))))</f>
        <v/>
      </c>
      <c r="DW18">
        <f>IF($R$4="",1,IF($R$4="(blank)",--('Final Calculation Sheet'!$Q$16=""),IF($R$4="(nonblank)",--('Final Calculation Sheet'!$Q$16&lt;&gt;""),--ISNUMBER(SEARCH($R$4,'Final Calculation Sheet'!$Q$16)))))</f>
        <v/>
      </c>
      <c r="DX18">
        <f>IF($S$4="",1,IF($S$4="(blank)",--('Final Calculation Sheet'!$R$16=""),IF($S$4="(nonblank)",--('Final Calculation Sheet'!$R$16&lt;&gt;""),--ISNUMBER(SEARCH($S$4,'Final Calculation Sheet'!$R$16)))))</f>
        <v/>
      </c>
      <c r="DY18">
        <f>IF($T$4="",1,IF($T$4="(blank)",--('Final Calculation Sheet'!$S$16=""),IF($T$4="(nonblank)",--('Final Calculation Sheet'!$S$16&lt;&gt;""),--ISNUMBER(SEARCH($T$4,'Final Calculation Sheet'!$S$16)))))</f>
        <v/>
      </c>
      <c r="DZ18">
        <f>IF($U$4="",1,IF($U$4="(blank)",--('Final Calculation Sheet'!$T$16=""),IF($U$4="(nonblank)",--('Final Calculation Sheet'!$T$16&lt;&gt;""),--ISNUMBER(SEARCH($U$4,'Final Calculation Sheet'!$T$16)))))</f>
        <v/>
      </c>
      <c r="EA18">
        <f>IF($V$4="",1,IF($V$4="(blank)",--('Final Calculation Sheet'!$U$16=""),IF($V$4="(nonblank)",--('Final Calculation Sheet'!$U$16&lt;&gt;""),--ISNUMBER(SEARCH($V$4,'Final Calculation Sheet'!$U$16)))))</f>
        <v/>
      </c>
      <c r="EB18">
        <f>IF($W$4="",1,IF($W$4="(blank)",--('Final Calculation Sheet'!$V$16=""),IF($W$4="(nonblank)",--('Final Calculation Sheet'!$V$16&lt;&gt;""),--ISNUMBER(SEARCH($W$4,'Final Calculation Sheet'!$V$16)))))</f>
        <v/>
      </c>
      <c r="EC18">
        <f>IF($X$4="",1,IF($X$4="(blank)",--('Final Calculation Sheet'!$W$16=""),IF($X$4="(nonblank)",--('Final Calculation Sheet'!$W$16&lt;&gt;""),--ISNUMBER(SEARCH($X$4,'Final Calculation Sheet'!$W$16)))))</f>
        <v/>
      </c>
      <c r="ED18">
        <f>IF($Y$4="",1,IF($Y$4="(blank)",--('Final Calculation Sheet'!$X$16=""),IF($Y$4="(nonblank)",--('Final Calculation Sheet'!$X$16&lt;&gt;""),--ISNUMBER(SEARCH($Y$4,'Final Calculation Sheet'!$X$16)))))</f>
        <v/>
      </c>
      <c r="EE18">
        <f>IF($Z$4="",1,IF($Z$4="(blank)",--('Final Calculation Sheet'!$Y$16=""),IF($Z$4="(nonblank)",--('Final Calculation Sheet'!$Y$16&lt;&gt;""),--ISNUMBER(SEARCH($Z$4,'Final Calculation Sheet'!$Y$16)))))</f>
        <v/>
      </c>
      <c r="EF18">
        <f>IF($AA$4="",1,IF($AA$4="(blank)",--('Final Calculation Sheet'!$Z$16=""),IF($AA$4="(nonblank)",--('Final Calculation Sheet'!$Z$16&lt;&gt;""),--ISNUMBER(SEARCH($AA$4,'Final Calculation Sheet'!$Z$16)))))</f>
        <v/>
      </c>
      <c r="EG18">
        <f>IF($AB$4="",1,IF($AB$4="(blank)",--('Final Calculation Sheet'!$AA$16=""),IF($AB$4="(nonblank)",--('Final Calculation Sheet'!$AA$16&lt;&gt;""),--ISNUMBER(SEARCH($AB$4,'Final Calculation Sheet'!$AA$16)))))</f>
        <v/>
      </c>
      <c r="EH18">
        <f>IF($AC$4="",1,IF($AC$4="(blank)",--('Final Calculation Sheet'!$AB$16=""),IF($AC$4="(nonblank)",--('Final Calculation Sheet'!$AB$16&lt;&gt;""),--ISNUMBER(SEARCH($AC$4,'Final Calculation Sheet'!$AB$16)))))</f>
        <v/>
      </c>
      <c r="EI18">
        <f>IF($AD$4="",1,IF($AD$4="(blank)",--('Final Calculation Sheet'!$AC$16=""),IF($AD$4="(nonblank)",--('Final Calculation Sheet'!$AC$16&lt;&gt;""),--ISNUMBER(SEARCH($AD$4,'Final Calculation Sheet'!$AC$16)))))</f>
        <v/>
      </c>
      <c r="EJ18">
        <f>IF($AE$4="",1,IF($AE$4="(blank)",--('Final Calculation Sheet'!$AD$16=""),IF($AE$4="(nonblank)",--('Final Calculation Sheet'!$AD$16&lt;&gt;""),--ISNUMBER(SEARCH($AE$4,'Final Calculation Sheet'!$AD$16)))))</f>
        <v/>
      </c>
      <c r="EK18">
        <f>IF($AF$4="",1,IF($AF$4="(blank)",--(IF('Final Calculation Sheet'!$AD$16&lt;=5,"SETTLED","OUTSTANDING")=""),IF($AF$4="(nonblank)",--(IF('Final Calculation Sheet'!$AD$16&lt;=5,"SETTLED","OUTSTANDING")&lt;&gt;""),--ISNUMBER(SEARCH($AF$4,IF('Final Calculation Sheet'!$AD$16&lt;=5,"SETTLED","OUTSTANDING"))))))</f>
        <v/>
      </c>
      <c r="EL18">
        <f>IF($AG$4="",1,IF($AG$4="(blank)",--('Final Calculation Sheet'!$AF$16=""),IF($AG$4="(nonblank)",--('Final Calculation Sheet'!$AF$16&lt;&gt;""),--ISNUMBER(SEARCH($AG$4,'Final Calculation Sheet'!$AF$16)))))</f>
        <v/>
      </c>
      <c r="EM18">
        <f>IF($AH$4="",1,IF($AH$4="(blank)",--('Final Calculation Sheet'!$AG$16=""),IF($AH$4="(nonblank)",--('Final Calculation Sheet'!$AG$16&lt;&gt;""),--ISNUMBER(SEARCH($AH$4,'Final Calculation Sheet'!$AG$16)))))</f>
        <v/>
      </c>
      <c r="EN18">
        <f>IF($AI$4="",1,IF($AI$4="(blank)",--('Final Calculation Sheet'!$AH$16=""),IF($AI$4="(nonblank)",--('Final Calculation Sheet'!$AH$16&lt;&gt;""),--ISNUMBER(SEARCH($AI$4,'Final Calculation Sheet'!$AH$16)))))</f>
        <v/>
      </c>
    </row>
    <row r="19" outlineLevel="1" hidden="1">
      <c r="A19" s="118">
        <f>IF($AL$19="","",13)</f>
        <v/>
      </c>
      <c r="B19" s="119">
        <f>IF($AL$19="","",IF(INDEX('Final Calculation Sheet'!$F$4:$F$40,$AL$19)="","",INDEX('Final Calculation Sheet'!$F$4:$F$40,$AL$19)))</f>
        <v/>
      </c>
      <c r="C19" s="119">
        <f>IF($AL$19="","",IF(INDEX('Final Calculation Sheet'!$G$4:$G$40,$AL$19)="","",INDEX('Final Calculation Sheet'!$G$4:$G$40,$AL$19)))</f>
        <v/>
      </c>
      <c r="D19" s="121">
        <f>IF($AL$19="","",IF(INDEX('Final Calculation Sheet'!$B$4:$B$40,$AL$19)="","",INDEX('Final Calculation Sheet'!$B$4:$B$40,$AL$19)))</f>
        <v/>
      </c>
      <c r="E19" s="121">
        <f>IF($AL$19="","",IF(INDEX('Final Calculation Sheet'!$D$4:$D$40,$AL$19)="","",INDEX('Final Calculation Sheet'!$D$4:$D$40,$AL$19)))</f>
        <v/>
      </c>
      <c r="F19" s="121">
        <f>IF($AL$19="","",IF(INDEX('Final Calculation Sheet'!$A$4:$A$40,$AL$19)="","",INDEX('Final Calculation Sheet'!$A$4:$A$40,$AL$19)))</f>
        <v/>
      </c>
      <c r="G19" s="121">
        <f>IF($AL$19="","",IF(INDEX('Final Calculation Sheet'!$E$4:$E$40,$AL$19)="","",INDEX('Final Calculation Sheet'!$E$4:$E$40,$AL$19)))</f>
        <v/>
      </c>
      <c r="H19" s="122">
        <f>IF($AL$19="","",IF(INDEX('Final Calculation Sheet'!$C$4:$C$40,$AL$19)="","",INDEX('Final Calculation Sheet'!$C$4:$C$40,$AL$19)))</f>
        <v/>
      </c>
      <c r="I19" s="122">
        <f>IF($AL$19="","",IF(INDEX('Final Calculation Sheet'!$H$4:$H$40,$AL$19)="","",INDEX('Final Calculation Sheet'!$H$4:$H$40,$AL$19)))</f>
        <v/>
      </c>
      <c r="J19" s="122">
        <f>IF($AL$19="","",IF(INDEX('Final Calculation Sheet'!$I$4:$I$40,$AL$19)="","",INDEX('Final Calculation Sheet'!$I$4:$I$40,$AL$19)))</f>
        <v/>
      </c>
      <c r="K19" s="122">
        <f>IF($AL$19="","",IF(INDEX('Final Calculation Sheet'!$J$4:$J$40,$AL$19)="","",INDEX('Final Calculation Sheet'!$J$4:$J$40,$AL$19)))</f>
        <v/>
      </c>
      <c r="L19" s="122">
        <f>IF($AL$19="","",IF(INDEX('Final Calculation Sheet'!$K$4:$K$40,$AL$19)="","",INDEX('Final Calculation Sheet'!$K$4:$K$40,$AL$19)))</f>
        <v/>
      </c>
      <c r="M19" s="122">
        <f>IF($AL$19="","",IF(INDEX('Final Calculation Sheet'!$L$4:$L$40,$AL$19)="","",INDEX('Final Calculation Sheet'!$L$4:$L$40,$AL$19)))</f>
        <v/>
      </c>
      <c r="N19" s="122">
        <f>IF($AL$19="","",IF(INDEX('Final Calculation Sheet'!$M$4:$M$40,$AL$19)="","",INDEX('Final Calculation Sheet'!$M$4:$M$40,$AL$19)))</f>
        <v/>
      </c>
      <c r="O19" s="123">
        <f>IF($AL$19="","",IF(INDEX('Final Calculation Sheet'!$N$4:$N$40,$AL$19)="","",INDEX('Final Calculation Sheet'!$N$4:$N$40,$AL$19)))</f>
        <v/>
      </c>
      <c r="P19" s="122">
        <f>IF($AL$19="","",IF(INDEX('Final Calculation Sheet'!$O$4:$O$40,$AL$19)="","",INDEX('Final Calculation Sheet'!$O$4:$O$40,$AL$19)))</f>
        <v/>
      </c>
      <c r="Q19" s="122">
        <f>IF($AL$19="","",IF(INDEX('Final Calculation Sheet'!$P$4:$P$40,$AL$19)="","",INDEX('Final Calculation Sheet'!$P$4:$P$40,$AL$19)))</f>
        <v/>
      </c>
      <c r="R19" s="124">
        <f>IF($AL$19="","",IF(INDEX('Final Calculation Sheet'!$Q$4:$Q$40,$AL$19)="","",INDEX('Final Calculation Sheet'!$Q$4:$Q$40,$AL$19)))</f>
        <v/>
      </c>
      <c r="S19" s="122">
        <f>IF($AL$19="","",IF(INDEX('Final Calculation Sheet'!$R$4:$R$40,$AL$19)="","",INDEX('Final Calculation Sheet'!$R$4:$R$40,$AL$19)))</f>
        <v/>
      </c>
      <c r="T19" s="122">
        <f>IF($AL$19="","",IF(INDEX('Final Calculation Sheet'!$S$4:$S$40,$AL$19)="","",INDEX('Final Calculation Sheet'!$S$4:$S$40,$AL$19)))</f>
        <v/>
      </c>
      <c r="U19" s="122">
        <f>IF($AL$19="","",IF(INDEX('Final Calculation Sheet'!$T$4:$T$40,$AL$19)="","",INDEX('Final Calculation Sheet'!$T$4:$T$40,$AL$19)))</f>
        <v/>
      </c>
      <c r="V19" s="125">
        <f>IF($AL$19="","",IF(INDEX('Final Calculation Sheet'!$U$4:$U$40,$AL$19)="","",INDEX('Final Calculation Sheet'!$U$4:$U$40,$AL$19)))</f>
        <v/>
      </c>
      <c r="W19" s="122">
        <f>IF($AL$19="","",IF(INDEX('Final Calculation Sheet'!$V$4:$V$40,$AL$19)="","",INDEX('Final Calculation Sheet'!$V$4:$V$40,$AL$19)))</f>
        <v/>
      </c>
      <c r="X19" s="122">
        <f>IF($AL$19="","",IF(INDEX('Final Calculation Sheet'!$W$4:$W$40,$AL$19)="","",INDEX('Final Calculation Sheet'!$W$4:$W$40,$AL$19)))</f>
        <v/>
      </c>
      <c r="Y19" s="122">
        <f>IF($AL$19="","",IF(INDEX('Final Calculation Sheet'!$X$4:$X$40,$AL$19)="","",INDEX('Final Calculation Sheet'!$X$4:$X$40,$AL$19)))</f>
        <v/>
      </c>
      <c r="Z19" s="122">
        <f>IF($AL$19="","",IF(INDEX('Final Calculation Sheet'!$Y$4:$Y$40,$AL$19)="","",INDEX('Final Calculation Sheet'!$Y$4:$Y$40,$AL$19)))</f>
        <v/>
      </c>
      <c r="AA19" s="122">
        <f>IF($AL$19="","",IF(INDEX('Final Calculation Sheet'!$Z$4:$Z$40,$AL$19)="","",INDEX('Final Calculation Sheet'!$Z$4:$Z$40,$AL$19)))</f>
        <v/>
      </c>
      <c r="AB19" s="122">
        <f>IF($AL$19="","",IF(INDEX('Final Calculation Sheet'!$AA$4:$AA$40,$AL$19)="","",INDEX('Final Calculation Sheet'!$AA$4:$AA$40,$AL$19)))</f>
        <v/>
      </c>
      <c r="AC19" s="122">
        <f>IF($AL$19="","",IF(INDEX('Final Calculation Sheet'!$AB$4:$AB$40,$AL$19)="","",INDEX('Final Calculation Sheet'!$AB$4:$AB$40,$AL$19)))</f>
        <v/>
      </c>
      <c r="AD19" s="122">
        <f>IF($AL$19="","",IF(INDEX('Final Calculation Sheet'!$AC$4:$AC$40,$AL$19)="","",INDEX('Final Calculation Sheet'!$AC$4:$AC$40,$AL$19)))</f>
        <v/>
      </c>
      <c r="AE19" s="122">
        <f>IF($AL$19="","",IF(INDEX('Final Calculation Sheet'!$AD$4:$AD$40,$AL$19)="","",INDEX('Final Calculation Sheet'!$AD$4:$AD$40,$AL$19)))</f>
        <v/>
      </c>
      <c r="AF19" s="127">
        <f>IF($AL$19="","",IF(INDEX('Final Calculation Sheet'!$AD$4:$AD$40,$AL$19)&lt;=5,"SETTLED","OUTSTANDING"))</f>
        <v/>
      </c>
      <c r="AG19" s="122">
        <f>IF($AL$19="","",IF(INDEX('Final Calculation Sheet'!$AF$4:$AF$40,$AL$19)="","",INDEX('Final Calculation Sheet'!$AF$4:$AF$40,$AL$19)))</f>
        <v/>
      </c>
      <c r="AH19" s="126">
        <f>IF($AL$19="","",IF(INDEX('Final Calculation Sheet'!$AG$4:$AG$40,$AL$19)="","",INDEX('Final Calculation Sheet'!$AG$4:$AG$40,$AL$19)))</f>
        <v/>
      </c>
      <c r="AI19" s="122">
        <f>IF($AL$19="","",IF(INDEX('Final Calculation Sheet'!$AH$4:$AH$40,$AL$19)="","",INDEX('Final Calculation Sheet'!$AH$4:$AH$40,$AL$19)))</f>
        <v/>
      </c>
      <c r="AJ19">
        <f>IF(AND(IF($B$4="",TRUE(),IF($B$4="(blank)",'Final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Sheet'!$AD$17&lt;=5,"SETTLED","OUTSTANDING"))))))),1,0)</f>
      </c>
      <c r="AK19">
        <f>IF(AJ19=1,COUNTIF(AJ$6:AJ19,1),"")</f>
        <v/>
      </c>
      <c r="AL19">
        <f>IF(COUNTIF($B$4:$AI$4,"&lt;&gt;")=0,"",IFERROR(MATCH(13,$AK$6:$AK$42,0),""))</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CU18+IF(AND(Lists!$FI$19&lt;&gt;"",ISNUMBER(SEARCH($AG$4,Lists!$FI$19))),1,0)</f>
        <v/>
      </c>
      <c r="CV19">
        <f>IF(ROW()-3&gt;MAX($CU$4:$CU$42),"",INDEX(Lists!$FI$4:$FI$42,MATCH(ROW()-3,$CU$4:$CU$42,0)))</f>
        <v/>
      </c>
      <c r="CW19">
        <f>CW18+IF(AND(Lists!$FN$19&lt;&gt;"",ISNUMBER(SEARCH($AH$4,Lists!$FN$19))),1,0)</f>
        <v/>
      </c>
      <c r="CX19">
        <f>IF(ROW()-3&gt;MAX($CW$4:$CW$42),"",INDEX(Lists!$FN$4:$FN$42,MATCH(ROW()-3,$CW$4:$CW$42,0)))</f>
        <v/>
      </c>
      <c r="CY19">
        <f>CY18+IF(AND(Lists!$FS$19&lt;&gt;"",ISNUMBER(SEARCH($AI$4,Lists!$FS$19))),1,0)</f>
        <v/>
      </c>
      <c r="CZ19">
        <f>IF(ROW()-3&gt;MAX($CY$4:$CY$42),"",INDEX(Lists!$FS$4:$FS$42,MATCH(ROW()-3,$CY$4:$CY$42,0)))</f>
        <v/>
      </c>
      <c r="DA19">
        <f>DA18+IF(AND(Lists!$FX$19&lt;&gt;"",ISNUMBER(SEARCH($AF$4,Lists!$FX$19))),1,0)</f>
        <v/>
      </c>
      <c r="DB19">
        <f>IF(ROW()-3&gt;MAX($DA$4:$DA$42),"",INDEX(Lists!$FX$4:$FX$42,MATCH(ROW()-3,$DA$4:$DA$42,0)))</f>
        <v/>
      </c>
      <c r="DG19">
        <f>IF($B$4="",1,IF($B$4="(blank)",--('Final Calculation Sheet'!$F$17=""),IF($B$4="(nonblank)",--('Final Calculation Sheet'!$F$17&lt;&gt;""),--ISNUMBER(SEARCH($B$4,'Final Calculation Sheet'!$F$17)))))</f>
        <v/>
      </c>
      <c r="DH19">
        <f>IF($C$4="",1,IF($C$4="(blank)",--('Final Calculation Sheet'!$G$17=""),IF($C$4="(nonblank)",--('Final Calculation Sheet'!$G$17&lt;&gt;""),--ISNUMBER(SEARCH($C$4,'Final Calculation Sheet'!$G$17)))))</f>
        <v/>
      </c>
      <c r="DI19">
        <f>IF($D$4="",1,IF($D$4="(blank)",--('Final Calculation Sheet'!$B$17=""),IF($D$4="(nonblank)",--('Final Calculation Sheet'!$B$17&lt;&gt;""),--ISNUMBER(SEARCH($D$4,'Final Calculation Sheet'!$B$17)))))</f>
        <v/>
      </c>
      <c r="DJ19">
        <f>IF($E$4="",1,IF($E$4="(blank)",--('Final Calculation Sheet'!$D$17=""),IF($E$4="(nonblank)",--('Final Calculation Sheet'!$D$17&lt;&gt;""),--ISNUMBER(SEARCH($E$4,'Final Calculation Sheet'!$D$17)))))</f>
        <v/>
      </c>
      <c r="DK19">
        <f>IF($F$4="",1,IF($F$4="(blank)",--('Final Calculation Sheet'!$A$17=""),IF($F$4="(nonblank)",--('Final Calculation Sheet'!$A$17&lt;&gt;""),--ISNUMBER(SEARCH($F$4,'Final Calculation Sheet'!$A$17)))))</f>
        <v/>
      </c>
      <c r="DL19">
        <f>IF($G$4="",1,IF($G$4="(blank)",--('Final Calculation Sheet'!$E$17=""),IF($G$4="(nonblank)",--('Final Calculation Sheet'!$E$17&lt;&gt;""),--ISNUMBER(SEARCH($G$4,'Final Calculation Sheet'!$E$17)))))</f>
        <v/>
      </c>
      <c r="DM19">
        <f>IF($H$4="",1,IF($H$4="(blank)",--('Final Calculation Sheet'!$C$17=""),IF($H$4="(nonblank)",--('Final Calculation Sheet'!$C$17&lt;&gt;""),--ISNUMBER(SEARCH($H$4,'Final Calculation Sheet'!$C$17)))))</f>
        <v/>
      </c>
      <c r="DN19">
        <f>IF($I$4="",1,IF($I$4="(blank)",--('Final Calculation Sheet'!$H$17=""),IF($I$4="(nonblank)",--('Final Calculation Sheet'!$H$17&lt;&gt;""),--ISNUMBER(SEARCH($I$4,'Final Calculation Sheet'!$H$17)))))</f>
        <v/>
      </c>
      <c r="DO19">
        <f>IF($J$4="",1,IF($J$4="(blank)",--('Final Calculation Sheet'!$I$17=""),IF($J$4="(nonblank)",--('Final Calculation Sheet'!$I$17&lt;&gt;""),--ISNUMBER(SEARCH($J$4,'Final Calculation Sheet'!$I$17)))))</f>
        <v/>
      </c>
      <c r="DP19">
        <f>IF($K$4="",1,IF($K$4="(blank)",--('Final Calculation Sheet'!$J$17=""),IF($K$4="(nonblank)",--('Final Calculation Sheet'!$J$17&lt;&gt;""),--ISNUMBER(SEARCH($K$4,'Final Calculation Sheet'!$J$17)))))</f>
        <v/>
      </c>
      <c r="DQ19">
        <f>IF($L$4="",1,IF($L$4="(blank)",--('Final Calculation Sheet'!$K$17=""),IF($L$4="(nonblank)",--('Final Calculation Sheet'!$K$17&lt;&gt;""),--ISNUMBER(SEARCH($L$4,'Final Calculation Sheet'!$K$17)))))</f>
        <v/>
      </c>
      <c r="DR19">
        <f>IF($M$4="",1,IF($M$4="(blank)",--('Final Calculation Sheet'!$L$17=""),IF($M$4="(nonblank)",--('Final Calculation Sheet'!$L$17&lt;&gt;""),--ISNUMBER(SEARCH($M$4,'Final Calculation Sheet'!$L$17)))))</f>
        <v/>
      </c>
      <c r="DS19">
        <f>IF($N$4="",1,IF($N$4="(blank)",--('Final Calculation Sheet'!$M$17=""),IF($N$4="(nonblank)",--('Final Calculation Sheet'!$M$17&lt;&gt;""),--ISNUMBER(SEARCH($N$4,'Final Calculation Sheet'!$M$17)))))</f>
        <v/>
      </c>
      <c r="DT19">
        <f>IF($O$4="",1,IF($O$4="(blank)",--('Final Calculation Sheet'!$N$17=""),IF($O$4="(nonblank)",--('Final Calculation Sheet'!$N$17&lt;&gt;""),--ISNUMBER(SEARCH($O$4,'Final Calculation Sheet'!$N$17)))))</f>
        <v/>
      </c>
      <c r="DU19">
        <f>IF($P$4="",1,IF($P$4="(blank)",--('Final Calculation Sheet'!$O$17=""),IF($P$4="(nonblank)",--('Final Calculation Sheet'!$O$17&lt;&gt;""),--ISNUMBER(SEARCH($P$4,'Final Calculation Sheet'!$O$17)))))</f>
        <v/>
      </c>
      <c r="DV19">
        <f>IF($Q$4="",1,IF($Q$4="(blank)",--('Final Calculation Sheet'!$P$17=""),IF($Q$4="(nonblank)",--('Final Calculation Sheet'!$P$17&lt;&gt;""),--ISNUMBER(SEARCH($Q$4,'Final Calculation Sheet'!$P$17)))))</f>
        <v/>
      </c>
      <c r="DW19">
        <f>IF($R$4="",1,IF($R$4="(blank)",--('Final Calculation Sheet'!$Q$17=""),IF($R$4="(nonblank)",--('Final Calculation Sheet'!$Q$17&lt;&gt;""),--ISNUMBER(SEARCH($R$4,'Final Calculation Sheet'!$Q$17)))))</f>
        <v/>
      </c>
      <c r="DX19">
        <f>IF($S$4="",1,IF($S$4="(blank)",--('Final Calculation Sheet'!$R$17=""),IF($S$4="(nonblank)",--('Final Calculation Sheet'!$R$17&lt;&gt;""),--ISNUMBER(SEARCH($S$4,'Final Calculation Sheet'!$R$17)))))</f>
        <v/>
      </c>
      <c r="DY19">
        <f>IF($T$4="",1,IF($T$4="(blank)",--('Final Calculation Sheet'!$S$17=""),IF($T$4="(nonblank)",--('Final Calculation Sheet'!$S$17&lt;&gt;""),--ISNUMBER(SEARCH($T$4,'Final Calculation Sheet'!$S$17)))))</f>
        <v/>
      </c>
      <c r="DZ19">
        <f>IF($U$4="",1,IF($U$4="(blank)",--('Final Calculation Sheet'!$T$17=""),IF($U$4="(nonblank)",--('Final Calculation Sheet'!$T$17&lt;&gt;""),--ISNUMBER(SEARCH($U$4,'Final Calculation Sheet'!$T$17)))))</f>
        <v/>
      </c>
      <c r="EA19">
        <f>IF($V$4="",1,IF($V$4="(blank)",--('Final Calculation Sheet'!$U$17=""),IF($V$4="(nonblank)",--('Final Calculation Sheet'!$U$17&lt;&gt;""),--ISNUMBER(SEARCH($V$4,'Final Calculation Sheet'!$U$17)))))</f>
        <v/>
      </c>
      <c r="EB19">
        <f>IF($W$4="",1,IF($W$4="(blank)",--('Final Calculation Sheet'!$V$17=""),IF($W$4="(nonblank)",--('Final Calculation Sheet'!$V$17&lt;&gt;""),--ISNUMBER(SEARCH($W$4,'Final Calculation Sheet'!$V$17)))))</f>
        <v/>
      </c>
      <c r="EC19">
        <f>IF($X$4="",1,IF($X$4="(blank)",--('Final Calculation Sheet'!$W$17=""),IF($X$4="(nonblank)",--('Final Calculation Sheet'!$W$17&lt;&gt;""),--ISNUMBER(SEARCH($X$4,'Final Calculation Sheet'!$W$17)))))</f>
        <v/>
      </c>
      <c r="ED19">
        <f>IF($Y$4="",1,IF($Y$4="(blank)",--('Final Calculation Sheet'!$X$17=""),IF($Y$4="(nonblank)",--('Final Calculation Sheet'!$X$17&lt;&gt;""),--ISNUMBER(SEARCH($Y$4,'Final Calculation Sheet'!$X$17)))))</f>
        <v/>
      </c>
      <c r="EE19">
        <f>IF($Z$4="",1,IF($Z$4="(blank)",--('Final Calculation Sheet'!$Y$17=""),IF($Z$4="(nonblank)",--('Final Calculation Sheet'!$Y$17&lt;&gt;""),--ISNUMBER(SEARCH($Z$4,'Final Calculation Sheet'!$Y$17)))))</f>
        <v/>
      </c>
      <c r="EF19">
        <f>IF($AA$4="",1,IF($AA$4="(blank)",--('Final Calculation Sheet'!$Z$17=""),IF($AA$4="(nonblank)",--('Final Calculation Sheet'!$Z$17&lt;&gt;""),--ISNUMBER(SEARCH($AA$4,'Final Calculation Sheet'!$Z$17)))))</f>
        <v/>
      </c>
      <c r="EG19">
        <f>IF($AB$4="",1,IF($AB$4="(blank)",--('Final Calculation Sheet'!$AA$17=""),IF($AB$4="(nonblank)",--('Final Calculation Sheet'!$AA$17&lt;&gt;""),--ISNUMBER(SEARCH($AB$4,'Final Calculation Sheet'!$AA$17)))))</f>
        <v/>
      </c>
      <c r="EH19">
        <f>IF($AC$4="",1,IF($AC$4="(blank)",--('Final Calculation Sheet'!$AB$17=""),IF($AC$4="(nonblank)",--('Final Calculation Sheet'!$AB$17&lt;&gt;""),--ISNUMBER(SEARCH($AC$4,'Final Calculation Sheet'!$AB$17)))))</f>
        <v/>
      </c>
      <c r="EI19">
        <f>IF($AD$4="",1,IF($AD$4="(blank)",--('Final Calculation Sheet'!$AC$17=""),IF($AD$4="(nonblank)",--('Final Calculation Sheet'!$AC$17&lt;&gt;""),--ISNUMBER(SEARCH($AD$4,'Final Calculation Sheet'!$AC$17)))))</f>
        <v/>
      </c>
      <c r="EJ19">
        <f>IF($AE$4="",1,IF($AE$4="(blank)",--('Final Calculation Sheet'!$AD$17=""),IF($AE$4="(nonblank)",--('Final Calculation Sheet'!$AD$17&lt;&gt;""),--ISNUMBER(SEARCH($AE$4,'Final Calculation Sheet'!$AD$17)))))</f>
        <v/>
      </c>
      <c r="EK19">
        <f>IF($AF$4="",1,IF($AF$4="(blank)",--(IF('Final Calculation Sheet'!$AD$17&lt;=5,"SETTLED","OUTSTANDING")=""),IF($AF$4="(nonblank)",--(IF('Final Calculation Sheet'!$AD$17&lt;=5,"SETTLED","OUTSTANDING")&lt;&gt;""),--ISNUMBER(SEARCH($AF$4,IF('Final Calculation Sheet'!$AD$17&lt;=5,"SETTLED","OUTSTANDING"))))))</f>
        <v/>
      </c>
      <c r="EL19">
        <f>IF($AG$4="",1,IF($AG$4="(blank)",--('Final Calculation Sheet'!$AF$17=""),IF($AG$4="(nonblank)",--('Final Calculation Sheet'!$AF$17&lt;&gt;""),--ISNUMBER(SEARCH($AG$4,'Final Calculation Sheet'!$AF$17)))))</f>
        <v/>
      </c>
      <c r="EM19">
        <f>IF($AH$4="",1,IF($AH$4="(blank)",--('Final Calculation Sheet'!$AG$17=""),IF($AH$4="(nonblank)",--('Final Calculation Sheet'!$AG$17&lt;&gt;""),--ISNUMBER(SEARCH($AH$4,'Final Calculation Sheet'!$AG$17)))))</f>
        <v/>
      </c>
      <c r="EN19">
        <f>IF($AI$4="",1,IF($AI$4="(blank)",--('Final Calculation Sheet'!$AH$17=""),IF($AI$4="(nonblank)",--('Final Calculation Sheet'!$AH$17&lt;&gt;""),--ISNUMBER(SEARCH($AI$4,'Final Calculation Sheet'!$AH$17)))))</f>
        <v/>
      </c>
    </row>
    <row r="20" outlineLevel="1" hidden="1">
      <c r="A20" s="128">
        <f>IF($AL$20="","",14)</f>
        <v/>
      </c>
      <c r="B20" s="129">
        <f>IF($AL$20="","",IF(INDEX('Final Calculation Sheet'!$F$4:$F$40,$AL$20)="","",INDEX('Final Calculation Sheet'!$F$4:$F$40,$AL$20)))</f>
        <v/>
      </c>
      <c r="C20" s="129">
        <f>IF($AL$20="","",IF(INDEX('Final Calculation Sheet'!$G$4:$G$40,$AL$20)="","",INDEX('Final Calculation Sheet'!$G$4:$G$40,$AL$20)))</f>
        <v/>
      </c>
      <c r="D20" s="130">
        <f>IF($AL$20="","",IF(INDEX('Final Calculation Sheet'!$B$4:$B$40,$AL$20)="","",INDEX('Final Calculation Sheet'!$B$4:$B$40,$AL$20)))</f>
        <v/>
      </c>
      <c r="E20" s="130">
        <f>IF($AL$20="","",IF(INDEX('Final Calculation Sheet'!$D$4:$D$40,$AL$20)="","",INDEX('Final Calculation Sheet'!$D$4:$D$40,$AL$20)))</f>
        <v/>
      </c>
      <c r="F20" s="130">
        <f>IF($AL$20="","",IF(INDEX('Final Calculation Sheet'!$A$4:$A$40,$AL$20)="","",INDEX('Final Calculation Sheet'!$A$4:$A$40,$AL$20)))</f>
        <v/>
      </c>
      <c r="G20" s="130">
        <f>IF($AL$20="","",IF(INDEX('Final Calculation Sheet'!$E$4:$E$40,$AL$20)="","",INDEX('Final Calculation Sheet'!$E$4:$E$40,$AL$20)))</f>
        <v/>
      </c>
      <c r="H20" s="131">
        <f>IF($AL$20="","",IF(INDEX('Final Calculation Sheet'!$C$4:$C$40,$AL$20)="","",INDEX('Final Calculation Sheet'!$C$4:$C$40,$AL$20)))</f>
        <v/>
      </c>
      <c r="I20" s="131">
        <f>IF($AL$20="","",IF(INDEX('Final Calculation Sheet'!$H$4:$H$40,$AL$20)="","",INDEX('Final Calculation Sheet'!$H$4:$H$40,$AL$20)))</f>
        <v/>
      </c>
      <c r="J20" s="131">
        <f>IF($AL$20="","",IF(INDEX('Final Calculation Sheet'!$I$4:$I$40,$AL$20)="","",INDEX('Final Calculation Sheet'!$I$4:$I$40,$AL$20)))</f>
        <v/>
      </c>
      <c r="K20" s="131">
        <f>IF($AL$20="","",IF(INDEX('Final Calculation Sheet'!$J$4:$J$40,$AL$20)="","",INDEX('Final Calculation Sheet'!$J$4:$J$40,$AL$20)))</f>
        <v/>
      </c>
      <c r="L20" s="131">
        <f>IF($AL$20="","",IF(INDEX('Final Calculation Sheet'!$K$4:$K$40,$AL$20)="","",INDEX('Final Calculation Sheet'!$K$4:$K$40,$AL$20)))</f>
        <v/>
      </c>
      <c r="M20" s="131">
        <f>IF($AL$20="","",IF(INDEX('Final Calculation Sheet'!$L$4:$L$40,$AL$20)="","",INDEX('Final Calculation Sheet'!$L$4:$L$40,$AL$20)))</f>
        <v/>
      </c>
      <c r="N20" s="131">
        <f>IF($AL$20="","",IF(INDEX('Final Calculation Sheet'!$M$4:$M$40,$AL$20)="","",INDEX('Final Calculation Sheet'!$M$4:$M$40,$AL$20)))</f>
        <v/>
      </c>
      <c r="O20" s="132">
        <f>IF($AL$20="","",IF(INDEX('Final Calculation Sheet'!$N$4:$N$40,$AL$20)="","",INDEX('Final Calculation Sheet'!$N$4:$N$40,$AL$20)))</f>
        <v/>
      </c>
      <c r="P20" s="131">
        <f>IF($AL$20="","",IF(INDEX('Final Calculation Sheet'!$O$4:$O$40,$AL$20)="","",INDEX('Final Calculation Sheet'!$O$4:$O$40,$AL$20)))</f>
        <v/>
      </c>
      <c r="Q20" s="131">
        <f>IF($AL$20="","",IF(INDEX('Final Calculation Sheet'!$P$4:$P$40,$AL$20)="","",INDEX('Final Calculation Sheet'!$P$4:$P$40,$AL$20)))</f>
        <v/>
      </c>
      <c r="R20" s="133">
        <f>IF($AL$20="","",IF(INDEX('Final Calculation Sheet'!$Q$4:$Q$40,$AL$20)="","",INDEX('Final Calculation Sheet'!$Q$4:$Q$40,$AL$20)))</f>
        <v/>
      </c>
      <c r="S20" s="131">
        <f>IF($AL$20="","",IF(INDEX('Final Calculation Sheet'!$R$4:$R$40,$AL$20)="","",INDEX('Final Calculation Sheet'!$R$4:$R$40,$AL$20)))</f>
        <v/>
      </c>
      <c r="T20" s="131">
        <f>IF($AL$20="","",IF(INDEX('Final Calculation Sheet'!$S$4:$S$40,$AL$20)="","",INDEX('Final Calculation Sheet'!$S$4:$S$40,$AL$20)))</f>
        <v/>
      </c>
      <c r="U20" s="131">
        <f>IF($AL$20="","",IF(INDEX('Final Calculation Sheet'!$T$4:$T$40,$AL$20)="","",INDEX('Final Calculation Sheet'!$T$4:$T$40,$AL$20)))</f>
        <v/>
      </c>
      <c r="V20" s="134">
        <f>IF($AL$20="","",IF(INDEX('Final Calculation Sheet'!$U$4:$U$40,$AL$20)="","",INDEX('Final Calculation Sheet'!$U$4:$U$40,$AL$20)))</f>
        <v/>
      </c>
      <c r="W20" s="131">
        <f>IF($AL$20="","",IF(INDEX('Final Calculation Sheet'!$V$4:$V$40,$AL$20)="","",INDEX('Final Calculation Sheet'!$V$4:$V$40,$AL$20)))</f>
        <v/>
      </c>
      <c r="X20" s="131">
        <f>IF($AL$20="","",IF(INDEX('Final Calculation Sheet'!$W$4:$W$40,$AL$20)="","",INDEX('Final Calculation Sheet'!$W$4:$W$40,$AL$20)))</f>
        <v/>
      </c>
      <c r="Y20" s="131">
        <f>IF($AL$20="","",IF(INDEX('Final Calculation Sheet'!$X$4:$X$40,$AL$20)="","",INDEX('Final Calculation Sheet'!$X$4:$X$40,$AL$20)))</f>
        <v/>
      </c>
      <c r="Z20" s="131">
        <f>IF($AL$20="","",IF(INDEX('Final Calculation Sheet'!$Y$4:$Y$40,$AL$20)="","",INDEX('Final Calculation Sheet'!$Y$4:$Y$40,$AL$20)))</f>
        <v/>
      </c>
      <c r="AA20" s="131">
        <f>IF($AL$20="","",IF(INDEX('Final Calculation Sheet'!$Z$4:$Z$40,$AL$20)="","",INDEX('Final Calculation Sheet'!$Z$4:$Z$40,$AL$20)))</f>
        <v/>
      </c>
      <c r="AB20" s="131">
        <f>IF($AL$20="","",IF(INDEX('Final Calculation Sheet'!$AA$4:$AA$40,$AL$20)="","",INDEX('Final Calculation Sheet'!$AA$4:$AA$40,$AL$20)))</f>
        <v/>
      </c>
      <c r="AC20" s="131">
        <f>IF($AL$20="","",IF(INDEX('Final Calculation Sheet'!$AB$4:$AB$40,$AL$20)="","",INDEX('Final Calculation Sheet'!$AB$4:$AB$40,$AL$20)))</f>
        <v/>
      </c>
      <c r="AD20" s="131">
        <f>IF($AL$20="","",IF(INDEX('Final Calculation Sheet'!$AC$4:$AC$40,$AL$20)="","",INDEX('Final Calculation Sheet'!$AC$4:$AC$40,$AL$20)))</f>
        <v/>
      </c>
      <c r="AE20" s="131">
        <f>IF($AL$20="","",IF(INDEX('Final Calculation Sheet'!$AD$4:$AD$40,$AL$20)="","",INDEX('Final Calculation Sheet'!$AD$4:$AD$40,$AL$20)))</f>
        <v/>
      </c>
      <c r="AF20" s="136">
        <f>IF($AL$20="","",IF(INDEX('Final Calculation Sheet'!$AD$4:$AD$40,$AL$20)&lt;=5,"SETTLED","OUTSTANDING"))</f>
        <v/>
      </c>
      <c r="AG20" s="131">
        <f>IF($AL$20="","",IF(INDEX('Final Calculation Sheet'!$AF$4:$AF$40,$AL$20)="","",INDEX('Final Calculation Sheet'!$AF$4:$AF$40,$AL$20)))</f>
        <v/>
      </c>
      <c r="AH20" s="135">
        <f>IF($AL$20="","",IF(INDEX('Final Calculation Sheet'!$AG$4:$AG$40,$AL$20)="","",INDEX('Final Calculation Sheet'!$AG$4:$AG$40,$AL$20)))</f>
        <v/>
      </c>
      <c r="AI20" s="131">
        <f>IF($AL$20="","",IF(INDEX('Final Calculation Sheet'!$AH$4:$AH$40,$AL$20)="","",INDEX('Final Calculation Sheet'!$AH$4:$AH$40,$AL$20)))</f>
        <v/>
      </c>
      <c r="AJ20">
        <f>IF(AND(IF($B$4="",TRUE(),IF($B$4="(blank)",'Final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Sheet'!$AD$18&lt;=5,"SETTLED","OUTSTANDING"))))))),1,0)</f>
      </c>
      <c r="AK20">
        <f>IF(AJ20=1,COUNTIF(AJ$6:AJ20,1),"")</f>
        <v/>
      </c>
      <c r="AL20">
        <f>IF(COUNTIF($B$4:$AI$4,"&lt;&gt;")=0,"",IFERROR(MATCH(14,$AK$6:$AK$42,0),""))</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CU19+IF(AND(Lists!$FI$20&lt;&gt;"",ISNUMBER(SEARCH($AG$4,Lists!$FI$20))),1,0)</f>
        <v/>
      </c>
      <c r="CV20">
        <f>IF(ROW()-3&gt;MAX($CU$4:$CU$42),"",INDEX(Lists!$FI$4:$FI$42,MATCH(ROW()-3,$CU$4:$CU$42,0)))</f>
        <v/>
      </c>
      <c r="CW20">
        <f>CW19+IF(AND(Lists!$FN$20&lt;&gt;"",ISNUMBER(SEARCH($AH$4,Lists!$FN$20))),1,0)</f>
        <v/>
      </c>
      <c r="CX20">
        <f>IF(ROW()-3&gt;MAX($CW$4:$CW$42),"",INDEX(Lists!$FN$4:$FN$42,MATCH(ROW()-3,$CW$4:$CW$42,0)))</f>
        <v/>
      </c>
      <c r="CY20">
        <f>CY19+IF(AND(Lists!$FS$20&lt;&gt;"",ISNUMBER(SEARCH($AI$4,Lists!$FS$20))),1,0)</f>
        <v/>
      </c>
      <c r="CZ20">
        <f>IF(ROW()-3&gt;MAX($CY$4:$CY$42),"",INDEX(Lists!$FS$4:$FS$42,MATCH(ROW()-3,$CY$4:$CY$42,0)))</f>
        <v/>
      </c>
      <c r="DA20">
        <f>DA19+IF(AND(Lists!$FX$20&lt;&gt;"",ISNUMBER(SEARCH($AF$4,Lists!$FX$20))),1,0)</f>
        <v/>
      </c>
      <c r="DB20">
        <f>IF(ROW()-3&gt;MAX($DA$4:$DA$42),"",INDEX(Lists!$FX$4:$FX$42,MATCH(ROW()-3,$DA$4:$DA$42,0)))</f>
        <v/>
      </c>
      <c r="DG20">
        <f>IF($B$4="",1,IF($B$4="(blank)",--('Final Calculation Sheet'!$F$18=""),IF($B$4="(nonblank)",--('Final Calculation Sheet'!$F$18&lt;&gt;""),--ISNUMBER(SEARCH($B$4,'Final Calculation Sheet'!$F$18)))))</f>
        <v/>
      </c>
      <c r="DH20">
        <f>IF($C$4="",1,IF($C$4="(blank)",--('Final Calculation Sheet'!$G$18=""),IF($C$4="(nonblank)",--('Final Calculation Sheet'!$G$18&lt;&gt;""),--ISNUMBER(SEARCH($C$4,'Final Calculation Sheet'!$G$18)))))</f>
        <v/>
      </c>
      <c r="DI20">
        <f>IF($D$4="",1,IF($D$4="(blank)",--('Final Calculation Sheet'!$B$18=""),IF($D$4="(nonblank)",--('Final Calculation Sheet'!$B$18&lt;&gt;""),--ISNUMBER(SEARCH($D$4,'Final Calculation Sheet'!$B$18)))))</f>
        <v/>
      </c>
      <c r="DJ20">
        <f>IF($E$4="",1,IF($E$4="(blank)",--('Final Calculation Sheet'!$D$18=""),IF($E$4="(nonblank)",--('Final Calculation Sheet'!$D$18&lt;&gt;""),--ISNUMBER(SEARCH($E$4,'Final Calculation Sheet'!$D$18)))))</f>
        <v/>
      </c>
      <c r="DK20">
        <f>IF($F$4="",1,IF($F$4="(blank)",--('Final Calculation Sheet'!$A$18=""),IF($F$4="(nonblank)",--('Final Calculation Sheet'!$A$18&lt;&gt;""),--ISNUMBER(SEARCH($F$4,'Final Calculation Sheet'!$A$18)))))</f>
        <v/>
      </c>
      <c r="DL20">
        <f>IF($G$4="",1,IF($G$4="(blank)",--('Final Calculation Sheet'!$E$18=""),IF($G$4="(nonblank)",--('Final Calculation Sheet'!$E$18&lt;&gt;""),--ISNUMBER(SEARCH($G$4,'Final Calculation Sheet'!$E$18)))))</f>
        <v/>
      </c>
      <c r="DM20">
        <f>IF($H$4="",1,IF($H$4="(blank)",--('Final Calculation Sheet'!$C$18=""),IF($H$4="(nonblank)",--('Final Calculation Sheet'!$C$18&lt;&gt;""),--ISNUMBER(SEARCH($H$4,'Final Calculation Sheet'!$C$18)))))</f>
        <v/>
      </c>
      <c r="DN20">
        <f>IF($I$4="",1,IF($I$4="(blank)",--('Final Calculation Sheet'!$H$18=""),IF($I$4="(nonblank)",--('Final Calculation Sheet'!$H$18&lt;&gt;""),--ISNUMBER(SEARCH($I$4,'Final Calculation Sheet'!$H$18)))))</f>
        <v/>
      </c>
      <c r="DO20">
        <f>IF($J$4="",1,IF($J$4="(blank)",--('Final Calculation Sheet'!$I$18=""),IF($J$4="(nonblank)",--('Final Calculation Sheet'!$I$18&lt;&gt;""),--ISNUMBER(SEARCH($J$4,'Final Calculation Sheet'!$I$18)))))</f>
        <v/>
      </c>
      <c r="DP20">
        <f>IF($K$4="",1,IF($K$4="(blank)",--('Final Calculation Sheet'!$J$18=""),IF($K$4="(nonblank)",--('Final Calculation Sheet'!$J$18&lt;&gt;""),--ISNUMBER(SEARCH($K$4,'Final Calculation Sheet'!$J$18)))))</f>
        <v/>
      </c>
      <c r="DQ20">
        <f>IF($L$4="",1,IF($L$4="(blank)",--('Final Calculation Sheet'!$K$18=""),IF($L$4="(nonblank)",--('Final Calculation Sheet'!$K$18&lt;&gt;""),--ISNUMBER(SEARCH($L$4,'Final Calculation Sheet'!$K$18)))))</f>
        <v/>
      </c>
      <c r="DR20">
        <f>IF($M$4="",1,IF($M$4="(blank)",--('Final Calculation Sheet'!$L$18=""),IF($M$4="(nonblank)",--('Final Calculation Sheet'!$L$18&lt;&gt;""),--ISNUMBER(SEARCH($M$4,'Final Calculation Sheet'!$L$18)))))</f>
        <v/>
      </c>
      <c r="DS20">
        <f>IF($N$4="",1,IF($N$4="(blank)",--('Final Calculation Sheet'!$M$18=""),IF($N$4="(nonblank)",--('Final Calculation Sheet'!$M$18&lt;&gt;""),--ISNUMBER(SEARCH($N$4,'Final Calculation Sheet'!$M$18)))))</f>
        <v/>
      </c>
      <c r="DT20">
        <f>IF($O$4="",1,IF($O$4="(blank)",--('Final Calculation Sheet'!$N$18=""),IF($O$4="(nonblank)",--('Final Calculation Sheet'!$N$18&lt;&gt;""),--ISNUMBER(SEARCH($O$4,'Final Calculation Sheet'!$N$18)))))</f>
        <v/>
      </c>
      <c r="DU20">
        <f>IF($P$4="",1,IF($P$4="(blank)",--('Final Calculation Sheet'!$O$18=""),IF($P$4="(nonblank)",--('Final Calculation Sheet'!$O$18&lt;&gt;""),--ISNUMBER(SEARCH($P$4,'Final Calculation Sheet'!$O$18)))))</f>
        <v/>
      </c>
      <c r="DV20">
        <f>IF($Q$4="",1,IF($Q$4="(blank)",--('Final Calculation Sheet'!$P$18=""),IF($Q$4="(nonblank)",--('Final Calculation Sheet'!$P$18&lt;&gt;""),--ISNUMBER(SEARCH($Q$4,'Final Calculation Sheet'!$P$18)))))</f>
        <v/>
      </c>
      <c r="DW20">
        <f>IF($R$4="",1,IF($R$4="(blank)",--('Final Calculation Sheet'!$Q$18=""),IF($R$4="(nonblank)",--('Final Calculation Sheet'!$Q$18&lt;&gt;""),--ISNUMBER(SEARCH($R$4,'Final Calculation Sheet'!$Q$18)))))</f>
        <v/>
      </c>
      <c r="DX20">
        <f>IF($S$4="",1,IF($S$4="(blank)",--('Final Calculation Sheet'!$R$18=""),IF($S$4="(nonblank)",--('Final Calculation Sheet'!$R$18&lt;&gt;""),--ISNUMBER(SEARCH($S$4,'Final Calculation Sheet'!$R$18)))))</f>
        <v/>
      </c>
      <c r="DY20">
        <f>IF($T$4="",1,IF($T$4="(blank)",--('Final Calculation Sheet'!$S$18=""),IF($T$4="(nonblank)",--('Final Calculation Sheet'!$S$18&lt;&gt;""),--ISNUMBER(SEARCH($T$4,'Final Calculation Sheet'!$S$18)))))</f>
        <v/>
      </c>
      <c r="DZ20">
        <f>IF($U$4="",1,IF($U$4="(blank)",--('Final Calculation Sheet'!$T$18=""),IF($U$4="(nonblank)",--('Final Calculation Sheet'!$T$18&lt;&gt;""),--ISNUMBER(SEARCH($U$4,'Final Calculation Sheet'!$T$18)))))</f>
        <v/>
      </c>
      <c r="EA20">
        <f>IF($V$4="",1,IF($V$4="(blank)",--('Final Calculation Sheet'!$U$18=""),IF($V$4="(nonblank)",--('Final Calculation Sheet'!$U$18&lt;&gt;""),--ISNUMBER(SEARCH($V$4,'Final Calculation Sheet'!$U$18)))))</f>
        <v/>
      </c>
      <c r="EB20">
        <f>IF($W$4="",1,IF($W$4="(blank)",--('Final Calculation Sheet'!$V$18=""),IF($W$4="(nonblank)",--('Final Calculation Sheet'!$V$18&lt;&gt;""),--ISNUMBER(SEARCH($W$4,'Final Calculation Sheet'!$V$18)))))</f>
        <v/>
      </c>
      <c r="EC20">
        <f>IF($X$4="",1,IF($X$4="(blank)",--('Final Calculation Sheet'!$W$18=""),IF($X$4="(nonblank)",--('Final Calculation Sheet'!$W$18&lt;&gt;""),--ISNUMBER(SEARCH($X$4,'Final Calculation Sheet'!$W$18)))))</f>
        <v/>
      </c>
      <c r="ED20">
        <f>IF($Y$4="",1,IF($Y$4="(blank)",--('Final Calculation Sheet'!$X$18=""),IF($Y$4="(nonblank)",--('Final Calculation Sheet'!$X$18&lt;&gt;""),--ISNUMBER(SEARCH($Y$4,'Final Calculation Sheet'!$X$18)))))</f>
        <v/>
      </c>
      <c r="EE20">
        <f>IF($Z$4="",1,IF($Z$4="(blank)",--('Final Calculation Sheet'!$Y$18=""),IF($Z$4="(nonblank)",--('Final Calculation Sheet'!$Y$18&lt;&gt;""),--ISNUMBER(SEARCH($Z$4,'Final Calculation Sheet'!$Y$18)))))</f>
        <v/>
      </c>
      <c r="EF20">
        <f>IF($AA$4="",1,IF($AA$4="(blank)",--('Final Calculation Sheet'!$Z$18=""),IF($AA$4="(nonblank)",--('Final Calculation Sheet'!$Z$18&lt;&gt;""),--ISNUMBER(SEARCH($AA$4,'Final Calculation Sheet'!$Z$18)))))</f>
        <v/>
      </c>
      <c r="EG20">
        <f>IF($AB$4="",1,IF($AB$4="(blank)",--('Final Calculation Sheet'!$AA$18=""),IF($AB$4="(nonblank)",--('Final Calculation Sheet'!$AA$18&lt;&gt;""),--ISNUMBER(SEARCH($AB$4,'Final Calculation Sheet'!$AA$18)))))</f>
        <v/>
      </c>
      <c r="EH20">
        <f>IF($AC$4="",1,IF($AC$4="(blank)",--('Final Calculation Sheet'!$AB$18=""),IF($AC$4="(nonblank)",--('Final Calculation Sheet'!$AB$18&lt;&gt;""),--ISNUMBER(SEARCH($AC$4,'Final Calculation Sheet'!$AB$18)))))</f>
        <v/>
      </c>
      <c r="EI20">
        <f>IF($AD$4="",1,IF($AD$4="(blank)",--('Final Calculation Sheet'!$AC$18=""),IF($AD$4="(nonblank)",--('Final Calculation Sheet'!$AC$18&lt;&gt;""),--ISNUMBER(SEARCH($AD$4,'Final Calculation Sheet'!$AC$18)))))</f>
        <v/>
      </c>
      <c r="EJ20">
        <f>IF($AE$4="",1,IF($AE$4="(blank)",--('Final Calculation Sheet'!$AD$18=""),IF($AE$4="(nonblank)",--('Final Calculation Sheet'!$AD$18&lt;&gt;""),--ISNUMBER(SEARCH($AE$4,'Final Calculation Sheet'!$AD$18)))))</f>
        <v/>
      </c>
      <c r="EK20">
        <f>IF($AF$4="",1,IF($AF$4="(blank)",--(IF('Final Calculation Sheet'!$AD$18&lt;=5,"SETTLED","OUTSTANDING")=""),IF($AF$4="(nonblank)",--(IF('Final Calculation Sheet'!$AD$18&lt;=5,"SETTLED","OUTSTANDING")&lt;&gt;""),--ISNUMBER(SEARCH($AF$4,IF('Final Calculation Sheet'!$AD$18&lt;=5,"SETTLED","OUTSTANDING"))))))</f>
        <v/>
      </c>
      <c r="EL20">
        <f>IF($AG$4="",1,IF($AG$4="(blank)",--('Final Calculation Sheet'!$AF$18=""),IF($AG$4="(nonblank)",--('Final Calculation Sheet'!$AF$18&lt;&gt;""),--ISNUMBER(SEARCH($AG$4,'Final Calculation Sheet'!$AF$18)))))</f>
        <v/>
      </c>
      <c r="EM20">
        <f>IF($AH$4="",1,IF($AH$4="(blank)",--('Final Calculation Sheet'!$AG$18=""),IF($AH$4="(nonblank)",--('Final Calculation Sheet'!$AG$18&lt;&gt;""),--ISNUMBER(SEARCH($AH$4,'Final Calculation Sheet'!$AG$18)))))</f>
        <v/>
      </c>
      <c r="EN20">
        <f>IF($AI$4="",1,IF($AI$4="(blank)",--('Final Calculation Sheet'!$AH$18=""),IF($AI$4="(nonblank)",--('Final Calculation Sheet'!$AH$18&lt;&gt;""),--ISNUMBER(SEARCH($AI$4,'Final Calculation Sheet'!$AH$18)))))</f>
        <v/>
      </c>
    </row>
    <row r="21" outlineLevel="1" hidden="1">
      <c r="A21" s="118">
        <f>IF($AL$21="","",15)</f>
        <v/>
      </c>
      <c r="B21" s="119">
        <f>IF($AL$21="","",IF(INDEX('Final Calculation Sheet'!$F$4:$F$40,$AL$21)="","",INDEX('Final Calculation Sheet'!$F$4:$F$40,$AL$21)))</f>
        <v/>
      </c>
      <c r="C21" s="119">
        <f>IF($AL$21="","",IF(INDEX('Final Calculation Sheet'!$G$4:$G$40,$AL$21)="","",INDEX('Final Calculation Sheet'!$G$4:$G$40,$AL$21)))</f>
        <v/>
      </c>
      <c r="D21" s="121">
        <f>IF($AL$21="","",IF(INDEX('Final Calculation Sheet'!$B$4:$B$40,$AL$21)="","",INDEX('Final Calculation Sheet'!$B$4:$B$40,$AL$21)))</f>
        <v/>
      </c>
      <c r="E21" s="121">
        <f>IF($AL$21="","",IF(INDEX('Final Calculation Sheet'!$D$4:$D$40,$AL$21)="","",INDEX('Final Calculation Sheet'!$D$4:$D$40,$AL$21)))</f>
        <v/>
      </c>
      <c r="F21" s="121">
        <f>IF($AL$21="","",IF(INDEX('Final Calculation Sheet'!$A$4:$A$40,$AL$21)="","",INDEX('Final Calculation Sheet'!$A$4:$A$40,$AL$21)))</f>
        <v/>
      </c>
      <c r="G21" s="121">
        <f>IF($AL$21="","",IF(INDEX('Final Calculation Sheet'!$E$4:$E$40,$AL$21)="","",INDEX('Final Calculation Sheet'!$E$4:$E$40,$AL$21)))</f>
        <v/>
      </c>
      <c r="H21" s="122">
        <f>IF($AL$21="","",IF(INDEX('Final Calculation Sheet'!$C$4:$C$40,$AL$21)="","",INDEX('Final Calculation Sheet'!$C$4:$C$40,$AL$21)))</f>
        <v/>
      </c>
      <c r="I21" s="122">
        <f>IF($AL$21="","",IF(INDEX('Final Calculation Sheet'!$H$4:$H$40,$AL$21)="","",INDEX('Final Calculation Sheet'!$H$4:$H$40,$AL$21)))</f>
        <v/>
      </c>
      <c r="J21" s="122">
        <f>IF($AL$21="","",IF(INDEX('Final Calculation Sheet'!$I$4:$I$40,$AL$21)="","",INDEX('Final Calculation Sheet'!$I$4:$I$40,$AL$21)))</f>
        <v/>
      </c>
      <c r="K21" s="122">
        <f>IF($AL$21="","",IF(INDEX('Final Calculation Sheet'!$J$4:$J$40,$AL$21)="","",INDEX('Final Calculation Sheet'!$J$4:$J$40,$AL$21)))</f>
        <v/>
      </c>
      <c r="L21" s="122">
        <f>IF($AL$21="","",IF(INDEX('Final Calculation Sheet'!$K$4:$K$40,$AL$21)="","",INDEX('Final Calculation Sheet'!$K$4:$K$40,$AL$21)))</f>
        <v/>
      </c>
      <c r="M21" s="122">
        <f>IF($AL$21="","",IF(INDEX('Final Calculation Sheet'!$L$4:$L$40,$AL$21)="","",INDEX('Final Calculation Sheet'!$L$4:$L$40,$AL$21)))</f>
        <v/>
      </c>
      <c r="N21" s="122">
        <f>IF($AL$21="","",IF(INDEX('Final Calculation Sheet'!$M$4:$M$40,$AL$21)="","",INDEX('Final Calculation Sheet'!$M$4:$M$40,$AL$21)))</f>
        <v/>
      </c>
      <c r="O21" s="123">
        <f>IF($AL$21="","",IF(INDEX('Final Calculation Sheet'!$N$4:$N$40,$AL$21)="","",INDEX('Final Calculation Sheet'!$N$4:$N$40,$AL$21)))</f>
        <v/>
      </c>
      <c r="P21" s="122">
        <f>IF($AL$21="","",IF(INDEX('Final Calculation Sheet'!$O$4:$O$40,$AL$21)="","",INDEX('Final Calculation Sheet'!$O$4:$O$40,$AL$21)))</f>
        <v/>
      </c>
      <c r="Q21" s="122">
        <f>IF($AL$21="","",IF(INDEX('Final Calculation Sheet'!$P$4:$P$40,$AL$21)="","",INDEX('Final Calculation Sheet'!$P$4:$P$40,$AL$21)))</f>
        <v/>
      </c>
      <c r="R21" s="124">
        <f>IF($AL$21="","",IF(INDEX('Final Calculation Sheet'!$Q$4:$Q$40,$AL$21)="","",INDEX('Final Calculation Sheet'!$Q$4:$Q$40,$AL$21)))</f>
        <v/>
      </c>
      <c r="S21" s="122">
        <f>IF($AL$21="","",IF(INDEX('Final Calculation Sheet'!$R$4:$R$40,$AL$21)="","",INDEX('Final Calculation Sheet'!$R$4:$R$40,$AL$21)))</f>
        <v/>
      </c>
      <c r="T21" s="122">
        <f>IF($AL$21="","",IF(INDEX('Final Calculation Sheet'!$S$4:$S$40,$AL$21)="","",INDEX('Final Calculation Sheet'!$S$4:$S$40,$AL$21)))</f>
        <v/>
      </c>
      <c r="U21" s="122">
        <f>IF($AL$21="","",IF(INDEX('Final Calculation Sheet'!$T$4:$T$40,$AL$21)="","",INDEX('Final Calculation Sheet'!$T$4:$T$40,$AL$21)))</f>
        <v/>
      </c>
      <c r="V21" s="125">
        <f>IF($AL$21="","",IF(INDEX('Final Calculation Sheet'!$U$4:$U$40,$AL$21)="","",INDEX('Final Calculation Sheet'!$U$4:$U$40,$AL$21)))</f>
        <v/>
      </c>
      <c r="W21" s="122">
        <f>IF($AL$21="","",IF(INDEX('Final Calculation Sheet'!$V$4:$V$40,$AL$21)="","",INDEX('Final Calculation Sheet'!$V$4:$V$40,$AL$21)))</f>
        <v/>
      </c>
      <c r="X21" s="122">
        <f>IF($AL$21="","",IF(INDEX('Final Calculation Sheet'!$W$4:$W$40,$AL$21)="","",INDEX('Final Calculation Sheet'!$W$4:$W$40,$AL$21)))</f>
        <v/>
      </c>
      <c r="Y21" s="122">
        <f>IF($AL$21="","",IF(INDEX('Final Calculation Sheet'!$X$4:$X$40,$AL$21)="","",INDEX('Final Calculation Sheet'!$X$4:$X$40,$AL$21)))</f>
        <v/>
      </c>
      <c r="Z21" s="122">
        <f>IF($AL$21="","",IF(INDEX('Final Calculation Sheet'!$Y$4:$Y$40,$AL$21)="","",INDEX('Final Calculation Sheet'!$Y$4:$Y$40,$AL$21)))</f>
        <v/>
      </c>
      <c r="AA21" s="122">
        <f>IF($AL$21="","",IF(INDEX('Final Calculation Sheet'!$Z$4:$Z$40,$AL$21)="","",INDEX('Final Calculation Sheet'!$Z$4:$Z$40,$AL$21)))</f>
        <v/>
      </c>
      <c r="AB21" s="122">
        <f>IF($AL$21="","",IF(INDEX('Final Calculation Sheet'!$AA$4:$AA$40,$AL$21)="","",INDEX('Final Calculation Sheet'!$AA$4:$AA$40,$AL$21)))</f>
        <v/>
      </c>
      <c r="AC21" s="122">
        <f>IF($AL$21="","",IF(INDEX('Final Calculation Sheet'!$AB$4:$AB$40,$AL$21)="","",INDEX('Final Calculation Sheet'!$AB$4:$AB$40,$AL$21)))</f>
        <v/>
      </c>
      <c r="AD21" s="122">
        <f>IF($AL$21="","",IF(INDEX('Final Calculation Sheet'!$AC$4:$AC$40,$AL$21)="","",INDEX('Final Calculation Sheet'!$AC$4:$AC$40,$AL$21)))</f>
        <v/>
      </c>
      <c r="AE21" s="122">
        <f>IF($AL$21="","",IF(INDEX('Final Calculation Sheet'!$AD$4:$AD$40,$AL$21)="","",INDEX('Final Calculation Sheet'!$AD$4:$AD$40,$AL$21)))</f>
        <v/>
      </c>
      <c r="AF21" s="127">
        <f>IF($AL$21="","",IF(INDEX('Final Calculation Sheet'!$AD$4:$AD$40,$AL$21)&lt;=5,"SETTLED","OUTSTANDING"))</f>
        <v/>
      </c>
      <c r="AG21" s="122">
        <f>IF($AL$21="","",IF(INDEX('Final Calculation Sheet'!$AF$4:$AF$40,$AL$21)="","",INDEX('Final Calculation Sheet'!$AF$4:$AF$40,$AL$21)))</f>
        <v/>
      </c>
      <c r="AH21" s="126">
        <f>IF($AL$21="","",IF(INDEX('Final Calculation Sheet'!$AG$4:$AG$40,$AL$21)="","",INDEX('Final Calculation Sheet'!$AG$4:$AG$40,$AL$21)))</f>
        <v/>
      </c>
      <c r="AI21" s="122">
        <f>IF($AL$21="","",IF(INDEX('Final Calculation Sheet'!$AH$4:$AH$40,$AL$21)="","",INDEX('Final Calculation Sheet'!$AH$4:$AH$40,$AL$21)))</f>
        <v/>
      </c>
      <c r="AJ21">
        <f>IF(AND(IF($B$4="",TRUE(),IF($B$4="(blank)",'Final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Sheet'!$AD$19&lt;=5,"SETTLED","OUTSTANDING"))))))),1,0)</f>
      </c>
      <c r="AK21">
        <f>IF(AJ21=1,COUNTIF(AJ$6:AJ21,1),"")</f>
        <v/>
      </c>
      <c r="AL21">
        <f>IF(COUNTIF($B$4:$AI$4,"&lt;&gt;")=0,"",IFERROR(MATCH(15,$AK$6:$AK$42,0),""))</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CU20+IF(AND(Lists!$FI$21&lt;&gt;"",ISNUMBER(SEARCH($AG$4,Lists!$FI$21))),1,0)</f>
        <v/>
      </c>
      <c r="CV21">
        <f>IF(ROW()-3&gt;MAX($CU$4:$CU$42),"",INDEX(Lists!$FI$4:$FI$42,MATCH(ROW()-3,$CU$4:$CU$42,0)))</f>
        <v/>
      </c>
      <c r="CW21">
        <f>CW20+IF(AND(Lists!$FN$21&lt;&gt;"",ISNUMBER(SEARCH($AH$4,Lists!$FN$21))),1,0)</f>
        <v/>
      </c>
      <c r="CX21">
        <f>IF(ROW()-3&gt;MAX($CW$4:$CW$42),"",INDEX(Lists!$FN$4:$FN$42,MATCH(ROW()-3,$CW$4:$CW$42,0)))</f>
        <v/>
      </c>
      <c r="CY21">
        <f>CY20+IF(AND(Lists!$FS$21&lt;&gt;"",ISNUMBER(SEARCH($AI$4,Lists!$FS$21))),1,0)</f>
        <v/>
      </c>
      <c r="CZ21">
        <f>IF(ROW()-3&gt;MAX($CY$4:$CY$42),"",INDEX(Lists!$FS$4:$FS$42,MATCH(ROW()-3,$CY$4:$CY$42,0)))</f>
        <v/>
      </c>
      <c r="DA21">
        <f>DA20+IF(AND(Lists!$FX$21&lt;&gt;"",ISNUMBER(SEARCH($AF$4,Lists!$FX$21))),1,0)</f>
        <v/>
      </c>
      <c r="DB21">
        <f>IF(ROW()-3&gt;MAX($DA$4:$DA$42),"",INDEX(Lists!$FX$4:$FX$42,MATCH(ROW()-3,$DA$4:$DA$42,0)))</f>
        <v/>
      </c>
      <c r="DG21">
        <f>IF($B$4="",1,IF($B$4="(blank)",--('Final Calculation Sheet'!$F$19=""),IF($B$4="(nonblank)",--('Final Calculation Sheet'!$F$19&lt;&gt;""),--ISNUMBER(SEARCH($B$4,'Final Calculation Sheet'!$F$19)))))</f>
        <v/>
      </c>
      <c r="DH21">
        <f>IF($C$4="",1,IF($C$4="(blank)",--('Final Calculation Sheet'!$G$19=""),IF($C$4="(nonblank)",--('Final Calculation Sheet'!$G$19&lt;&gt;""),--ISNUMBER(SEARCH($C$4,'Final Calculation Sheet'!$G$19)))))</f>
        <v/>
      </c>
      <c r="DI21">
        <f>IF($D$4="",1,IF($D$4="(blank)",--('Final Calculation Sheet'!$B$19=""),IF($D$4="(nonblank)",--('Final Calculation Sheet'!$B$19&lt;&gt;""),--ISNUMBER(SEARCH($D$4,'Final Calculation Sheet'!$B$19)))))</f>
        <v/>
      </c>
      <c r="DJ21">
        <f>IF($E$4="",1,IF($E$4="(blank)",--('Final Calculation Sheet'!$D$19=""),IF($E$4="(nonblank)",--('Final Calculation Sheet'!$D$19&lt;&gt;""),--ISNUMBER(SEARCH($E$4,'Final Calculation Sheet'!$D$19)))))</f>
        <v/>
      </c>
      <c r="DK21">
        <f>IF($F$4="",1,IF($F$4="(blank)",--('Final Calculation Sheet'!$A$19=""),IF($F$4="(nonblank)",--('Final Calculation Sheet'!$A$19&lt;&gt;""),--ISNUMBER(SEARCH($F$4,'Final Calculation Sheet'!$A$19)))))</f>
        <v/>
      </c>
      <c r="DL21">
        <f>IF($G$4="",1,IF($G$4="(blank)",--('Final Calculation Sheet'!$E$19=""),IF($G$4="(nonblank)",--('Final Calculation Sheet'!$E$19&lt;&gt;""),--ISNUMBER(SEARCH($G$4,'Final Calculation Sheet'!$E$19)))))</f>
        <v/>
      </c>
      <c r="DM21">
        <f>IF($H$4="",1,IF($H$4="(blank)",--('Final Calculation Sheet'!$C$19=""),IF($H$4="(nonblank)",--('Final Calculation Sheet'!$C$19&lt;&gt;""),--ISNUMBER(SEARCH($H$4,'Final Calculation Sheet'!$C$19)))))</f>
        <v/>
      </c>
      <c r="DN21">
        <f>IF($I$4="",1,IF($I$4="(blank)",--('Final Calculation Sheet'!$H$19=""),IF($I$4="(nonblank)",--('Final Calculation Sheet'!$H$19&lt;&gt;""),--ISNUMBER(SEARCH($I$4,'Final Calculation Sheet'!$H$19)))))</f>
        <v/>
      </c>
      <c r="DO21">
        <f>IF($J$4="",1,IF($J$4="(blank)",--('Final Calculation Sheet'!$I$19=""),IF($J$4="(nonblank)",--('Final Calculation Sheet'!$I$19&lt;&gt;""),--ISNUMBER(SEARCH($J$4,'Final Calculation Sheet'!$I$19)))))</f>
        <v/>
      </c>
      <c r="DP21">
        <f>IF($K$4="",1,IF($K$4="(blank)",--('Final Calculation Sheet'!$J$19=""),IF($K$4="(nonblank)",--('Final Calculation Sheet'!$J$19&lt;&gt;""),--ISNUMBER(SEARCH($K$4,'Final Calculation Sheet'!$J$19)))))</f>
        <v/>
      </c>
      <c r="DQ21">
        <f>IF($L$4="",1,IF($L$4="(blank)",--('Final Calculation Sheet'!$K$19=""),IF($L$4="(nonblank)",--('Final Calculation Sheet'!$K$19&lt;&gt;""),--ISNUMBER(SEARCH($L$4,'Final Calculation Sheet'!$K$19)))))</f>
        <v/>
      </c>
      <c r="DR21">
        <f>IF($M$4="",1,IF($M$4="(blank)",--('Final Calculation Sheet'!$L$19=""),IF($M$4="(nonblank)",--('Final Calculation Sheet'!$L$19&lt;&gt;""),--ISNUMBER(SEARCH($M$4,'Final Calculation Sheet'!$L$19)))))</f>
        <v/>
      </c>
      <c r="DS21">
        <f>IF($N$4="",1,IF($N$4="(blank)",--('Final Calculation Sheet'!$M$19=""),IF($N$4="(nonblank)",--('Final Calculation Sheet'!$M$19&lt;&gt;""),--ISNUMBER(SEARCH($N$4,'Final Calculation Sheet'!$M$19)))))</f>
        <v/>
      </c>
      <c r="DT21">
        <f>IF($O$4="",1,IF($O$4="(blank)",--('Final Calculation Sheet'!$N$19=""),IF($O$4="(nonblank)",--('Final Calculation Sheet'!$N$19&lt;&gt;""),--ISNUMBER(SEARCH($O$4,'Final Calculation Sheet'!$N$19)))))</f>
        <v/>
      </c>
      <c r="DU21">
        <f>IF($P$4="",1,IF($P$4="(blank)",--('Final Calculation Sheet'!$O$19=""),IF($P$4="(nonblank)",--('Final Calculation Sheet'!$O$19&lt;&gt;""),--ISNUMBER(SEARCH($P$4,'Final Calculation Sheet'!$O$19)))))</f>
        <v/>
      </c>
      <c r="DV21">
        <f>IF($Q$4="",1,IF($Q$4="(blank)",--('Final Calculation Sheet'!$P$19=""),IF($Q$4="(nonblank)",--('Final Calculation Sheet'!$P$19&lt;&gt;""),--ISNUMBER(SEARCH($Q$4,'Final Calculation Sheet'!$P$19)))))</f>
        <v/>
      </c>
      <c r="DW21">
        <f>IF($R$4="",1,IF($R$4="(blank)",--('Final Calculation Sheet'!$Q$19=""),IF($R$4="(nonblank)",--('Final Calculation Sheet'!$Q$19&lt;&gt;""),--ISNUMBER(SEARCH($R$4,'Final Calculation Sheet'!$Q$19)))))</f>
        <v/>
      </c>
      <c r="DX21">
        <f>IF($S$4="",1,IF($S$4="(blank)",--('Final Calculation Sheet'!$R$19=""),IF($S$4="(nonblank)",--('Final Calculation Sheet'!$R$19&lt;&gt;""),--ISNUMBER(SEARCH($S$4,'Final Calculation Sheet'!$R$19)))))</f>
        <v/>
      </c>
      <c r="DY21">
        <f>IF($T$4="",1,IF($T$4="(blank)",--('Final Calculation Sheet'!$S$19=""),IF($T$4="(nonblank)",--('Final Calculation Sheet'!$S$19&lt;&gt;""),--ISNUMBER(SEARCH($T$4,'Final Calculation Sheet'!$S$19)))))</f>
        <v/>
      </c>
      <c r="DZ21">
        <f>IF($U$4="",1,IF($U$4="(blank)",--('Final Calculation Sheet'!$T$19=""),IF($U$4="(nonblank)",--('Final Calculation Sheet'!$T$19&lt;&gt;""),--ISNUMBER(SEARCH($U$4,'Final Calculation Sheet'!$T$19)))))</f>
        <v/>
      </c>
      <c r="EA21">
        <f>IF($V$4="",1,IF($V$4="(blank)",--('Final Calculation Sheet'!$U$19=""),IF($V$4="(nonblank)",--('Final Calculation Sheet'!$U$19&lt;&gt;""),--ISNUMBER(SEARCH($V$4,'Final Calculation Sheet'!$U$19)))))</f>
        <v/>
      </c>
      <c r="EB21">
        <f>IF($W$4="",1,IF($W$4="(blank)",--('Final Calculation Sheet'!$V$19=""),IF($W$4="(nonblank)",--('Final Calculation Sheet'!$V$19&lt;&gt;""),--ISNUMBER(SEARCH($W$4,'Final Calculation Sheet'!$V$19)))))</f>
        <v/>
      </c>
      <c r="EC21">
        <f>IF($X$4="",1,IF($X$4="(blank)",--('Final Calculation Sheet'!$W$19=""),IF($X$4="(nonblank)",--('Final Calculation Sheet'!$W$19&lt;&gt;""),--ISNUMBER(SEARCH($X$4,'Final Calculation Sheet'!$W$19)))))</f>
        <v/>
      </c>
      <c r="ED21">
        <f>IF($Y$4="",1,IF($Y$4="(blank)",--('Final Calculation Sheet'!$X$19=""),IF($Y$4="(nonblank)",--('Final Calculation Sheet'!$X$19&lt;&gt;""),--ISNUMBER(SEARCH($Y$4,'Final Calculation Sheet'!$X$19)))))</f>
        <v/>
      </c>
      <c r="EE21">
        <f>IF($Z$4="",1,IF($Z$4="(blank)",--('Final Calculation Sheet'!$Y$19=""),IF($Z$4="(nonblank)",--('Final Calculation Sheet'!$Y$19&lt;&gt;""),--ISNUMBER(SEARCH($Z$4,'Final Calculation Sheet'!$Y$19)))))</f>
        <v/>
      </c>
      <c r="EF21">
        <f>IF($AA$4="",1,IF($AA$4="(blank)",--('Final Calculation Sheet'!$Z$19=""),IF($AA$4="(nonblank)",--('Final Calculation Sheet'!$Z$19&lt;&gt;""),--ISNUMBER(SEARCH($AA$4,'Final Calculation Sheet'!$Z$19)))))</f>
        <v/>
      </c>
      <c r="EG21">
        <f>IF($AB$4="",1,IF($AB$4="(blank)",--('Final Calculation Sheet'!$AA$19=""),IF($AB$4="(nonblank)",--('Final Calculation Sheet'!$AA$19&lt;&gt;""),--ISNUMBER(SEARCH($AB$4,'Final Calculation Sheet'!$AA$19)))))</f>
        <v/>
      </c>
      <c r="EH21">
        <f>IF($AC$4="",1,IF($AC$4="(blank)",--('Final Calculation Sheet'!$AB$19=""),IF($AC$4="(nonblank)",--('Final Calculation Sheet'!$AB$19&lt;&gt;""),--ISNUMBER(SEARCH($AC$4,'Final Calculation Sheet'!$AB$19)))))</f>
        <v/>
      </c>
      <c r="EI21">
        <f>IF($AD$4="",1,IF($AD$4="(blank)",--('Final Calculation Sheet'!$AC$19=""),IF($AD$4="(nonblank)",--('Final Calculation Sheet'!$AC$19&lt;&gt;""),--ISNUMBER(SEARCH($AD$4,'Final Calculation Sheet'!$AC$19)))))</f>
        <v/>
      </c>
      <c r="EJ21">
        <f>IF($AE$4="",1,IF($AE$4="(blank)",--('Final Calculation Sheet'!$AD$19=""),IF($AE$4="(nonblank)",--('Final Calculation Sheet'!$AD$19&lt;&gt;""),--ISNUMBER(SEARCH($AE$4,'Final Calculation Sheet'!$AD$19)))))</f>
        <v/>
      </c>
      <c r="EK21">
        <f>IF($AF$4="",1,IF($AF$4="(blank)",--(IF('Final Calculation Sheet'!$AD$19&lt;=5,"SETTLED","OUTSTANDING")=""),IF($AF$4="(nonblank)",--(IF('Final Calculation Sheet'!$AD$19&lt;=5,"SETTLED","OUTSTANDING")&lt;&gt;""),--ISNUMBER(SEARCH($AF$4,IF('Final Calculation Sheet'!$AD$19&lt;=5,"SETTLED","OUTSTANDING"))))))</f>
        <v/>
      </c>
      <c r="EL21">
        <f>IF($AG$4="",1,IF($AG$4="(blank)",--('Final Calculation Sheet'!$AF$19=""),IF($AG$4="(nonblank)",--('Final Calculation Sheet'!$AF$19&lt;&gt;""),--ISNUMBER(SEARCH($AG$4,'Final Calculation Sheet'!$AF$19)))))</f>
        <v/>
      </c>
      <c r="EM21">
        <f>IF($AH$4="",1,IF($AH$4="(blank)",--('Final Calculation Sheet'!$AG$19=""),IF($AH$4="(nonblank)",--('Final Calculation Sheet'!$AG$19&lt;&gt;""),--ISNUMBER(SEARCH($AH$4,'Final Calculation Sheet'!$AG$19)))))</f>
        <v/>
      </c>
      <c r="EN21">
        <f>IF($AI$4="",1,IF($AI$4="(blank)",--('Final Calculation Sheet'!$AH$19=""),IF($AI$4="(nonblank)",--('Final Calculation Sheet'!$AH$19&lt;&gt;""),--ISNUMBER(SEARCH($AI$4,'Final Calculation Sheet'!$AH$19)))))</f>
        <v/>
      </c>
    </row>
    <row r="22" outlineLevel="1" hidden="1">
      <c r="A22" s="128">
        <f>IF($AL$22="","",16)</f>
        <v/>
      </c>
      <c r="B22" s="129">
        <f>IF($AL$22="","",IF(INDEX('Final Calculation Sheet'!$F$4:$F$40,$AL$22)="","",INDEX('Final Calculation Sheet'!$F$4:$F$40,$AL$22)))</f>
        <v/>
      </c>
      <c r="C22" s="129">
        <f>IF($AL$22="","",IF(INDEX('Final Calculation Sheet'!$G$4:$G$40,$AL$22)="","",INDEX('Final Calculation Sheet'!$G$4:$G$40,$AL$22)))</f>
        <v/>
      </c>
      <c r="D22" s="130">
        <f>IF($AL$22="","",IF(INDEX('Final Calculation Sheet'!$B$4:$B$40,$AL$22)="","",INDEX('Final Calculation Sheet'!$B$4:$B$40,$AL$22)))</f>
        <v/>
      </c>
      <c r="E22" s="130">
        <f>IF($AL$22="","",IF(INDEX('Final Calculation Sheet'!$D$4:$D$40,$AL$22)="","",INDEX('Final Calculation Sheet'!$D$4:$D$40,$AL$22)))</f>
        <v/>
      </c>
      <c r="F22" s="130">
        <f>IF($AL$22="","",IF(INDEX('Final Calculation Sheet'!$A$4:$A$40,$AL$22)="","",INDEX('Final Calculation Sheet'!$A$4:$A$40,$AL$22)))</f>
        <v/>
      </c>
      <c r="G22" s="130">
        <f>IF($AL$22="","",IF(INDEX('Final Calculation Sheet'!$E$4:$E$40,$AL$22)="","",INDEX('Final Calculation Sheet'!$E$4:$E$40,$AL$22)))</f>
        <v/>
      </c>
      <c r="H22" s="131">
        <f>IF($AL$22="","",IF(INDEX('Final Calculation Sheet'!$C$4:$C$40,$AL$22)="","",INDEX('Final Calculation Sheet'!$C$4:$C$40,$AL$22)))</f>
        <v/>
      </c>
      <c r="I22" s="131">
        <f>IF($AL$22="","",IF(INDEX('Final Calculation Sheet'!$H$4:$H$40,$AL$22)="","",INDEX('Final Calculation Sheet'!$H$4:$H$40,$AL$22)))</f>
        <v/>
      </c>
      <c r="J22" s="131">
        <f>IF($AL$22="","",IF(INDEX('Final Calculation Sheet'!$I$4:$I$40,$AL$22)="","",INDEX('Final Calculation Sheet'!$I$4:$I$40,$AL$22)))</f>
        <v/>
      </c>
      <c r="K22" s="131">
        <f>IF($AL$22="","",IF(INDEX('Final Calculation Sheet'!$J$4:$J$40,$AL$22)="","",INDEX('Final Calculation Sheet'!$J$4:$J$40,$AL$22)))</f>
        <v/>
      </c>
      <c r="L22" s="131">
        <f>IF($AL$22="","",IF(INDEX('Final Calculation Sheet'!$K$4:$K$40,$AL$22)="","",INDEX('Final Calculation Sheet'!$K$4:$K$40,$AL$22)))</f>
        <v/>
      </c>
      <c r="M22" s="131">
        <f>IF($AL$22="","",IF(INDEX('Final Calculation Sheet'!$L$4:$L$40,$AL$22)="","",INDEX('Final Calculation Sheet'!$L$4:$L$40,$AL$22)))</f>
        <v/>
      </c>
      <c r="N22" s="131">
        <f>IF($AL$22="","",IF(INDEX('Final Calculation Sheet'!$M$4:$M$40,$AL$22)="","",INDEX('Final Calculation Sheet'!$M$4:$M$40,$AL$22)))</f>
        <v/>
      </c>
      <c r="O22" s="132">
        <f>IF($AL$22="","",IF(INDEX('Final Calculation Sheet'!$N$4:$N$40,$AL$22)="","",INDEX('Final Calculation Sheet'!$N$4:$N$40,$AL$22)))</f>
        <v/>
      </c>
      <c r="P22" s="131">
        <f>IF($AL$22="","",IF(INDEX('Final Calculation Sheet'!$O$4:$O$40,$AL$22)="","",INDEX('Final Calculation Sheet'!$O$4:$O$40,$AL$22)))</f>
        <v/>
      </c>
      <c r="Q22" s="131">
        <f>IF($AL$22="","",IF(INDEX('Final Calculation Sheet'!$P$4:$P$40,$AL$22)="","",INDEX('Final Calculation Sheet'!$P$4:$P$40,$AL$22)))</f>
        <v/>
      </c>
      <c r="R22" s="133">
        <f>IF($AL$22="","",IF(INDEX('Final Calculation Sheet'!$Q$4:$Q$40,$AL$22)="","",INDEX('Final Calculation Sheet'!$Q$4:$Q$40,$AL$22)))</f>
        <v/>
      </c>
      <c r="S22" s="131">
        <f>IF($AL$22="","",IF(INDEX('Final Calculation Sheet'!$R$4:$R$40,$AL$22)="","",INDEX('Final Calculation Sheet'!$R$4:$R$40,$AL$22)))</f>
        <v/>
      </c>
      <c r="T22" s="131">
        <f>IF($AL$22="","",IF(INDEX('Final Calculation Sheet'!$S$4:$S$40,$AL$22)="","",INDEX('Final Calculation Sheet'!$S$4:$S$40,$AL$22)))</f>
        <v/>
      </c>
      <c r="U22" s="131">
        <f>IF($AL$22="","",IF(INDEX('Final Calculation Sheet'!$T$4:$T$40,$AL$22)="","",INDEX('Final Calculation Sheet'!$T$4:$T$40,$AL$22)))</f>
        <v/>
      </c>
      <c r="V22" s="134">
        <f>IF($AL$22="","",IF(INDEX('Final Calculation Sheet'!$U$4:$U$40,$AL$22)="","",INDEX('Final Calculation Sheet'!$U$4:$U$40,$AL$22)))</f>
        <v/>
      </c>
      <c r="W22" s="131">
        <f>IF($AL$22="","",IF(INDEX('Final Calculation Sheet'!$V$4:$V$40,$AL$22)="","",INDEX('Final Calculation Sheet'!$V$4:$V$40,$AL$22)))</f>
        <v/>
      </c>
      <c r="X22" s="131">
        <f>IF($AL$22="","",IF(INDEX('Final Calculation Sheet'!$W$4:$W$40,$AL$22)="","",INDEX('Final Calculation Sheet'!$W$4:$W$40,$AL$22)))</f>
        <v/>
      </c>
      <c r="Y22" s="131">
        <f>IF($AL$22="","",IF(INDEX('Final Calculation Sheet'!$X$4:$X$40,$AL$22)="","",INDEX('Final Calculation Sheet'!$X$4:$X$40,$AL$22)))</f>
        <v/>
      </c>
      <c r="Z22" s="131">
        <f>IF($AL$22="","",IF(INDEX('Final Calculation Sheet'!$Y$4:$Y$40,$AL$22)="","",INDEX('Final Calculation Sheet'!$Y$4:$Y$40,$AL$22)))</f>
        <v/>
      </c>
      <c r="AA22" s="131">
        <f>IF($AL$22="","",IF(INDEX('Final Calculation Sheet'!$Z$4:$Z$40,$AL$22)="","",INDEX('Final Calculation Sheet'!$Z$4:$Z$40,$AL$22)))</f>
        <v/>
      </c>
      <c r="AB22" s="131">
        <f>IF($AL$22="","",IF(INDEX('Final Calculation Sheet'!$AA$4:$AA$40,$AL$22)="","",INDEX('Final Calculation Sheet'!$AA$4:$AA$40,$AL$22)))</f>
        <v/>
      </c>
      <c r="AC22" s="131">
        <f>IF($AL$22="","",IF(INDEX('Final Calculation Sheet'!$AB$4:$AB$40,$AL$22)="","",INDEX('Final Calculation Sheet'!$AB$4:$AB$40,$AL$22)))</f>
        <v/>
      </c>
      <c r="AD22" s="131">
        <f>IF($AL$22="","",IF(INDEX('Final Calculation Sheet'!$AC$4:$AC$40,$AL$22)="","",INDEX('Final Calculation Sheet'!$AC$4:$AC$40,$AL$22)))</f>
        <v/>
      </c>
      <c r="AE22" s="131">
        <f>IF($AL$22="","",IF(INDEX('Final Calculation Sheet'!$AD$4:$AD$40,$AL$22)="","",INDEX('Final Calculation Sheet'!$AD$4:$AD$40,$AL$22)))</f>
        <v/>
      </c>
      <c r="AF22" s="136">
        <f>IF($AL$22="","",IF(INDEX('Final Calculation Sheet'!$AD$4:$AD$40,$AL$22)&lt;=5,"SETTLED","OUTSTANDING"))</f>
        <v/>
      </c>
      <c r="AG22" s="131">
        <f>IF($AL$22="","",IF(INDEX('Final Calculation Sheet'!$AF$4:$AF$40,$AL$22)="","",INDEX('Final Calculation Sheet'!$AF$4:$AF$40,$AL$22)))</f>
        <v/>
      </c>
      <c r="AH22" s="135">
        <f>IF($AL$22="","",IF(INDEX('Final Calculation Sheet'!$AG$4:$AG$40,$AL$22)="","",INDEX('Final Calculation Sheet'!$AG$4:$AG$40,$AL$22)))</f>
        <v/>
      </c>
      <c r="AI22" s="131">
        <f>IF($AL$22="","",IF(INDEX('Final Calculation Sheet'!$AH$4:$AH$40,$AL$22)="","",INDEX('Final Calculation Sheet'!$AH$4:$AH$40,$AL$22)))</f>
        <v/>
      </c>
      <c r="AJ22">
        <f>IF(AND(IF($B$4="",TRUE(),IF($B$4="(blank)",'Final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Sheet'!$AD$20&lt;=5,"SETTLED","OUTSTANDING"))))))),1,0)</f>
      </c>
      <c r="AK22">
        <f>IF(AJ22=1,COUNTIF(AJ$6:AJ22,1),"")</f>
        <v/>
      </c>
      <c r="AL22">
        <f>IF(COUNTIF($B$4:$AI$4,"&lt;&gt;")=0,"",IFERROR(MATCH(16,$AK$6:$AK$42,0),""))</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CU21+IF(AND(Lists!$FI$22&lt;&gt;"",ISNUMBER(SEARCH($AG$4,Lists!$FI$22))),1,0)</f>
        <v/>
      </c>
      <c r="CV22">
        <f>IF(ROW()-3&gt;MAX($CU$4:$CU$42),"",INDEX(Lists!$FI$4:$FI$42,MATCH(ROW()-3,$CU$4:$CU$42,0)))</f>
        <v/>
      </c>
      <c r="CW22">
        <f>CW21+IF(AND(Lists!$FN$22&lt;&gt;"",ISNUMBER(SEARCH($AH$4,Lists!$FN$22))),1,0)</f>
        <v/>
      </c>
      <c r="CX22">
        <f>IF(ROW()-3&gt;MAX($CW$4:$CW$42),"",INDEX(Lists!$FN$4:$FN$42,MATCH(ROW()-3,$CW$4:$CW$42,0)))</f>
        <v/>
      </c>
      <c r="CY22">
        <f>CY21+IF(AND(Lists!$FS$22&lt;&gt;"",ISNUMBER(SEARCH($AI$4,Lists!$FS$22))),1,0)</f>
        <v/>
      </c>
      <c r="CZ22">
        <f>IF(ROW()-3&gt;MAX($CY$4:$CY$42),"",INDEX(Lists!$FS$4:$FS$42,MATCH(ROW()-3,$CY$4:$CY$42,0)))</f>
        <v/>
      </c>
      <c r="DA22">
        <f>DA21+IF(AND(Lists!$FX$22&lt;&gt;"",ISNUMBER(SEARCH($AF$4,Lists!$FX$22))),1,0)</f>
        <v/>
      </c>
      <c r="DB22">
        <f>IF(ROW()-3&gt;MAX($DA$4:$DA$42),"",INDEX(Lists!$FX$4:$FX$42,MATCH(ROW()-3,$DA$4:$DA$42,0)))</f>
        <v/>
      </c>
      <c r="DG22">
        <f>IF($B$4="",1,IF($B$4="(blank)",--('Final Calculation Sheet'!$F$20=""),IF($B$4="(nonblank)",--('Final Calculation Sheet'!$F$20&lt;&gt;""),--ISNUMBER(SEARCH($B$4,'Final Calculation Sheet'!$F$20)))))</f>
        <v/>
      </c>
      <c r="DH22">
        <f>IF($C$4="",1,IF($C$4="(blank)",--('Final Calculation Sheet'!$G$20=""),IF($C$4="(nonblank)",--('Final Calculation Sheet'!$G$20&lt;&gt;""),--ISNUMBER(SEARCH($C$4,'Final Calculation Sheet'!$G$20)))))</f>
        <v/>
      </c>
      <c r="DI22">
        <f>IF($D$4="",1,IF($D$4="(blank)",--('Final Calculation Sheet'!$B$20=""),IF($D$4="(nonblank)",--('Final Calculation Sheet'!$B$20&lt;&gt;""),--ISNUMBER(SEARCH($D$4,'Final Calculation Sheet'!$B$20)))))</f>
        <v/>
      </c>
      <c r="DJ22">
        <f>IF($E$4="",1,IF($E$4="(blank)",--('Final Calculation Sheet'!$D$20=""),IF($E$4="(nonblank)",--('Final Calculation Sheet'!$D$20&lt;&gt;""),--ISNUMBER(SEARCH($E$4,'Final Calculation Sheet'!$D$20)))))</f>
        <v/>
      </c>
      <c r="DK22">
        <f>IF($F$4="",1,IF($F$4="(blank)",--('Final Calculation Sheet'!$A$20=""),IF($F$4="(nonblank)",--('Final Calculation Sheet'!$A$20&lt;&gt;""),--ISNUMBER(SEARCH($F$4,'Final Calculation Sheet'!$A$20)))))</f>
        <v/>
      </c>
      <c r="DL22">
        <f>IF($G$4="",1,IF($G$4="(blank)",--('Final Calculation Sheet'!$E$20=""),IF($G$4="(nonblank)",--('Final Calculation Sheet'!$E$20&lt;&gt;""),--ISNUMBER(SEARCH($G$4,'Final Calculation Sheet'!$E$20)))))</f>
        <v/>
      </c>
      <c r="DM22">
        <f>IF($H$4="",1,IF($H$4="(blank)",--('Final Calculation Sheet'!$C$20=""),IF($H$4="(nonblank)",--('Final Calculation Sheet'!$C$20&lt;&gt;""),--ISNUMBER(SEARCH($H$4,'Final Calculation Sheet'!$C$20)))))</f>
        <v/>
      </c>
      <c r="DN22">
        <f>IF($I$4="",1,IF($I$4="(blank)",--('Final Calculation Sheet'!$H$20=""),IF($I$4="(nonblank)",--('Final Calculation Sheet'!$H$20&lt;&gt;""),--ISNUMBER(SEARCH($I$4,'Final Calculation Sheet'!$H$20)))))</f>
        <v/>
      </c>
      <c r="DO22">
        <f>IF($J$4="",1,IF($J$4="(blank)",--('Final Calculation Sheet'!$I$20=""),IF($J$4="(nonblank)",--('Final Calculation Sheet'!$I$20&lt;&gt;""),--ISNUMBER(SEARCH($J$4,'Final Calculation Sheet'!$I$20)))))</f>
        <v/>
      </c>
      <c r="DP22">
        <f>IF($K$4="",1,IF($K$4="(blank)",--('Final Calculation Sheet'!$J$20=""),IF($K$4="(nonblank)",--('Final Calculation Sheet'!$J$20&lt;&gt;""),--ISNUMBER(SEARCH($K$4,'Final Calculation Sheet'!$J$20)))))</f>
        <v/>
      </c>
      <c r="DQ22">
        <f>IF($L$4="",1,IF($L$4="(blank)",--('Final Calculation Sheet'!$K$20=""),IF($L$4="(nonblank)",--('Final Calculation Sheet'!$K$20&lt;&gt;""),--ISNUMBER(SEARCH($L$4,'Final Calculation Sheet'!$K$20)))))</f>
        <v/>
      </c>
      <c r="DR22">
        <f>IF($M$4="",1,IF($M$4="(blank)",--('Final Calculation Sheet'!$L$20=""),IF($M$4="(nonblank)",--('Final Calculation Sheet'!$L$20&lt;&gt;""),--ISNUMBER(SEARCH($M$4,'Final Calculation Sheet'!$L$20)))))</f>
        <v/>
      </c>
      <c r="DS22">
        <f>IF($N$4="",1,IF($N$4="(blank)",--('Final Calculation Sheet'!$M$20=""),IF($N$4="(nonblank)",--('Final Calculation Sheet'!$M$20&lt;&gt;""),--ISNUMBER(SEARCH($N$4,'Final Calculation Sheet'!$M$20)))))</f>
        <v/>
      </c>
      <c r="DT22">
        <f>IF($O$4="",1,IF($O$4="(blank)",--('Final Calculation Sheet'!$N$20=""),IF($O$4="(nonblank)",--('Final Calculation Sheet'!$N$20&lt;&gt;""),--ISNUMBER(SEARCH($O$4,'Final Calculation Sheet'!$N$20)))))</f>
        <v/>
      </c>
      <c r="DU22">
        <f>IF($P$4="",1,IF($P$4="(blank)",--('Final Calculation Sheet'!$O$20=""),IF($P$4="(nonblank)",--('Final Calculation Sheet'!$O$20&lt;&gt;""),--ISNUMBER(SEARCH($P$4,'Final Calculation Sheet'!$O$20)))))</f>
        <v/>
      </c>
      <c r="DV22">
        <f>IF($Q$4="",1,IF($Q$4="(blank)",--('Final Calculation Sheet'!$P$20=""),IF($Q$4="(nonblank)",--('Final Calculation Sheet'!$P$20&lt;&gt;""),--ISNUMBER(SEARCH($Q$4,'Final Calculation Sheet'!$P$20)))))</f>
        <v/>
      </c>
      <c r="DW22">
        <f>IF($R$4="",1,IF($R$4="(blank)",--('Final Calculation Sheet'!$Q$20=""),IF($R$4="(nonblank)",--('Final Calculation Sheet'!$Q$20&lt;&gt;""),--ISNUMBER(SEARCH($R$4,'Final Calculation Sheet'!$Q$20)))))</f>
        <v/>
      </c>
      <c r="DX22">
        <f>IF($S$4="",1,IF($S$4="(blank)",--('Final Calculation Sheet'!$R$20=""),IF($S$4="(nonblank)",--('Final Calculation Sheet'!$R$20&lt;&gt;""),--ISNUMBER(SEARCH($S$4,'Final Calculation Sheet'!$R$20)))))</f>
        <v/>
      </c>
      <c r="DY22">
        <f>IF($T$4="",1,IF($T$4="(blank)",--('Final Calculation Sheet'!$S$20=""),IF($T$4="(nonblank)",--('Final Calculation Sheet'!$S$20&lt;&gt;""),--ISNUMBER(SEARCH($T$4,'Final Calculation Sheet'!$S$20)))))</f>
        <v/>
      </c>
      <c r="DZ22">
        <f>IF($U$4="",1,IF($U$4="(blank)",--('Final Calculation Sheet'!$T$20=""),IF($U$4="(nonblank)",--('Final Calculation Sheet'!$T$20&lt;&gt;""),--ISNUMBER(SEARCH($U$4,'Final Calculation Sheet'!$T$20)))))</f>
        <v/>
      </c>
      <c r="EA22">
        <f>IF($V$4="",1,IF($V$4="(blank)",--('Final Calculation Sheet'!$U$20=""),IF($V$4="(nonblank)",--('Final Calculation Sheet'!$U$20&lt;&gt;""),--ISNUMBER(SEARCH($V$4,'Final Calculation Sheet'!$U$20)))))</f>
        <v/>
      </c>
      <c r="EB22">
        <f>IF($W$4="",1,IF($W$4="(blank)",--('Final Calculation Sheet'!$V$20=""),IF($W$4="(nonblank)",--('Final Calculation Sheet'!$V$20&lt;&gt;""),--ISNUMBER(SEARCH($W$4,'Final Calculation Sheet'!$V$20)))))</f>
        <v/>
      </c>
      <c r="EC22">
        <f>IF($X$4="",1,IF($X$4="(blank)",--('Final Calculation Sheet'!$W$20=""),IF($X$4="(nonblank)",--('Final Calculation Sheet'!$W$20&lt;&gt;""),--ISNUMBER(SEARCH($X$4,'Final Calculation Sheet'!$W$20)))))</f>
        <v/>
      </c>
      <c r="ED22">
        <f>IF($Y$4="",1,IF($Y$4="(blank)",--('Final Calculation Sheet'!$X$20=""),IF($Y$4="(nonblank)",--('Final Calculation Sheet'!$X$20&lt;&gt;""),--ISNUMBER(SEARCH($Y$4,'Final Calculation Sheet'!$X$20)))))</f>
        <v/>
      </c>
      <c r="EE22">
        <f>IF($Z$4="",1,IF($Z$4="(blank)",--('Final Calculation Sheet'!$Y$20=""),IF($Z$4="(nonblank)",--('Final Calculation Sheet'!$Y$20&lt;&gt;""),--ISNUMBER(SEARCH($Z$4,'Final Calculation Sheet'!$Y$20)))))</f>
        <v/>
      </c>
      <c r="EF22">
        <f>IF($AA$4="",1,IF($AA$4="(blank)",--('Final Calculation Sheet'!$Z$20=""),IF($AA$4="(nonblank)",--('Final Calculation Sheet'!$Z$20&lt;&gt;""),--ISNUMBER(SEARCH($AA$4,'Final Calculation Sheet'!$Z$20)))))</f>
        <v/>
      </c>
      <c r="EG22">
        <f>IF($AB$4="",1,IF($AB$4="(blank)",--('Final Calculation Sheet'!$AA$20=""),IF($AB$4="(nonblank)",--('Final Calculation Sheet'!$AA$20&lt;&gt;""),--ISNUMBER(SEARCH($AB$4,'Final Calculation Sheet'!$AA$20)))))</f>
        <v/>
      </c>
      <c r="EH22">
        <f>IF($AC$4="",1,IF($AC$4="(blank)",--('Final Calculation Sheet'!$AB$20=""),IF($AC$4="(nonblank)",--('Final Calculation Sheet'!$AB$20&lt;&gt;""),--ISNUMBER(SEARCH($AC$4,'Final Calculation Sheet'!$AB$20)))))</f>
        <v/>
      </c>
      <c r="EI22">
        <f>IF($AD$4="",1,IF($AD$4="(blank)",--('Final Calculation Sheet'!$AC$20=""),IF($AD$4="(nonblank)",--('Final Calculation Sheet'!$AC$20&lt;&gt;""),--ISNUMBER(SEARCH($AD$4,'Final Calculation Sheet'!$AC$20)))))</f>
        <v/>
      </c>
      <c r="EJ22">
        <f>IF($AE$4="",1,IF($AE$4="(blank)",--('Final Calculation Sheet'!$AD$20=""),IF($AE$4="(nonblank)",--('Final Calculation Sheet'!$AD$20&lt;&gt;""),--ISNUMBER(SEARCH($AE$4,'Final Calculation Sheet'!$AD$20)))))</f>
        <v/>
      </c>
      <c r="EK22">
        <f>IF($AF$4="",1,IF($AF$4="(blank)",--(IF('Final Calculation Sheet'!$AD$20&lt;=5,"SETTLED","OUTSTANDING")=""),IF($AF$4="(nonblank)",--(IF('Final Calculation Sheet'!$AD$20&lt;=5,"SETTLED","OUTSTANDING")&lt;&gt;""),--ISNUMBER(SEARCH($AF$4,IF('Final Calculation Sheet'!$AD$20&lt;=5,"SETTLED","OUTSTANDING"))))))</f>
        <v/>
      </c>
      <c r="EL22">
        <f>IF($AG$4="",1,IF($AG$4="(blank)",--('Final Calculation Sheet'!$AF$20=""),IF($AG$4="(nonblank)",--('Final Calculation Sheet'!$AF$20&lt;&gt;""),--ISNUMBER(SEARCH($AG$4,'Final Calculation Sheet'!$AF$20)))))</f>
        <v/>
      </c>
      <c r="EM22">
        <f>IF($AH$4="",1,IF($AH$4="(blank)",--('Final Calculation Sheet'!$AG$20=""),IF($AH$4="(nonblank)",--('Final Calculation Sheet'!$AG$20&lt;&gt;""),--ISNUMBER(SEARCH($AH$4,'Final Calculation Sheet'!$AG$20)))))</f>
        <v/>
      </c>
      <c r="EN22">
        <f>IF($AI$4="",1,IF($AI$4="(blank)",--('Final Calculation Sheet'!$AH$20=""),IF($AI$4="(nonblank)",--('Final Calculation Sheet'!$AH$20&lt;&gt;""),--ISNUMBER(SEARCH($AI$4,'Final Calculation Sheet'!$AH$20)))))</f>
        <v/>
      </c>
    </row>
    <row r="23" outlineLevel="1" hidden="1">
      <c r="A23" s="118">
        <f>IF($AL$23="","",17)</f>
        <v/>
      </c>
      <c r="B23" s="119">
        <f>IF($AL$23="","",IF(INDEX('Final Calculation Sheet'!$F$4:$F$40,$AL$23)="","",INDEX('Final Calculation Sheet'!$F$4:$F$40,$AL$23)))</f>
        <v/>
      </c>
      <c r="C23" s="119">
        <f>IF($AL$23="","",IF(INDEX('Final Calculation Sheet'!$G$4:$G$40,$AL$23)="","",INDEX('Final Calculation Sheet'!$G$4:$G$40,$AL$23)))</f>
        <v/>
      </c>
      <c r="D23" s="121">
        <f>IF($AL$23="","",IF(INDEX('Final Calculation Sheet'!$B$4:$B$40,$AL$23)="","",INDEX('Final Calculation Sheet'!$B$4:$B$40,$AL$23)))</f>
        <v/>
      </c>
      <c r="E23" s="121">
        <f>IF($AL$23="","",IF(INDEX('Final Calculation Sheet'!$D$4:$D$40,$AL$23)="","",INDEX('Final Calculation Sheet'!$D$4:$D$40,$AL$23)))</f>
        <v/>
      </c>
      <c r="F23" s="121">
        <f>IF($AL$23="","",IF(INDEX('Final Calculation Sheet'!$A$4:$A$40,$AL$23)="","",INDEX('Final Calculation Sheet'!$A$4:$A$40,$AL$23)))</f>
        <v/>
      </c>
      <c r="G23" s="121">
        <f>IF($AL$23="","",IF(INDEX('Final Calculation Sheet'!$E$4:$E$40,$AL$23)="","",INDEX('Final Calculation Sheet'!$E$4:$E$40,$AL$23)))</f>
        <v/>
      </c>
      <c r="H23" s="122">
        <f>IF($AL$23="","",IF(INDEX('Final Calculation Sheet'!$C$4:$C$40,$AL$23)="","",INDEX('Final Calculation Sheet'!$C$4:$C$40,$AL$23)))</f>
        <v/>
      </c>
      <c r="I23" s="122">
        <f>IF($AL$23="","",IF(INDEX('Final Calculation Sheet'!$H$4:$H$40,$AL$23)="","",INDEX('Final Calculation Sheet'!$H$4:$H$40,$AL$23)))</f>
        <v/>
      </c>
      <c r="J23" s="122">
        <f>IF($AL$23="","",IF(INDEX('Final Calculation Sheet'!$I$4:$I$40,$AL$23)="","",INDEX('Final Calculation Sheet'!$I$4:$I$40,$AL$23)))</f>
        <v/>
      </c>
      <c r="K23" s="122">
        <f>IF($AL$23="","",IF(INDEX('Final Calculation Sheet'!$J$4:$J$40,$AL$23)="","",INDEX('Final Calculation Sheet'!$J$4:$J$40,$AL$23)))</f>
        <v/>
      </c>
      <c r="L23" s="122">
        <f>IF($AL$23="","",IF(INDEX('Final Calculation Sheet'!$K$4:$K$40,$AL$23)="","",INDEX('Final Calculation Sheet'!$K$4:$K$40,$AL$23)))</f>
        <v/>
      </c>
      <c r="M23" s="122">
        <f>IF($AL$23="","",IF(INDEX('Final Calculation Sheet'!$L$4:$L$40,$AL$23)="","",INDEX('Final Calculation Sheet'!$L$4:$L$40,$AL$23)))</f>
        <v/>
      </c>
      <c r="N23" s="122">
        <f>IF($AL$23="","",IF(INDEX('Final Calculation Sheet'!$M$4:$M$40,$AL$23)="","",INDEX('Final Calculation Sheet'!$M$4:$M$40,$AL$23)))</f>
        <v/>
      </c>
      <c r="O23" s="123">
        <f>IF($AL$23="","",IF(INDEX('Final Calculation Sheet'!$N$4:$N$40,$AL$23)="","",INDEX('Final Calculation Sheet'!$N$4:$N$40,$AL$23)))</f>
        <v/>
      </c>
      <c r="P23" s="122">
        <f>IF($AL$23="","",IF(INDEX('Final Calculation Sheet'!$O$4:$O$40,$AL$23)="","",INDEX('Final Calculation Sheet'!$O$4:$O$40,$AL$23)))</f>
        <v/>
      </c>
      <c r="Q23" s="122">
        <f>IF($AL$23="","",IF(INDEX('Final Calculation Sheet'!$P$4:$P$40,$AL$23)="","",INDEX('Final Calculation Sheet'!$P$4:$P$40,$AL$23)))</f>
        <v/>
      </c>
      <c r="R23" s="124">
        <f>IF($AL$23="","",IF(INDEX('Final Calculation Sheet'!$Q$4:$Q$40,$AL$23)="","",INDEX('Final Calculation Sheet'!$Q$4:$Q$40,$AL$23)))</f>
        <v/>
      </c>
      <c r="S23" s="122">
        <f>IF($AL$23="","",IF(INDEX('Final Calculation Sheet'!$R$4:$R$40,$AL$23)="","",INDEX('Final Calculation Sheet'!$R$4:$R$40,$AL$23)))</f>
        <v/>
      </c>
      <c r="T23" s="122">
        <f>IF($AL$23="","",IF(INDEX('Final Calculation Sheet'!$S$4:$S$40,$AL$23)="","",INDEX('Final Calculation Sheet'!$S$4:$S$40,$AL$23)))</f>
        <v/>
      </c>
      <c r="U23" s="122">
        <f>IF($AL$23="","",IF(INDEX('Final Calculation Sheet'!$T$4:$T$40,$AL$23)="","",INDEX('Final Calculation Sheet'!$T$4:$T$40,$AL$23)))</f>
        <v/>
      </c>
      <c r="V23" s="125">
        <f>IF($AL$23="","",IF(INDEX('Final Calculation Sheet'!$U$4:$U$40,$AL$23)="","",INDEX('Final Calculation Sheet'!$U$4:$U$40,$AL$23)))</f>
        <v/>
      </c>
      <c r="W23" s="122">
        <f>IF($AL$23="","",IF(INDEX('Final Calculation Sheet'!$V$4:$V$40,$AL$23)="","",INDEX('Final Calculation Sheet'!$V$4:$V$40,$AL$23)))</f>
        <v/>
      </c>
      <c r="X23" s="122">
        <f>IF($AL$23="","",IF(INDEX('Final Calculation Sheet'!$W$4:$W$40,$AL$23)="","",INDEX('Final Calculation Sheet'!$W$4:$W$40,$AL$23)))</f>
        <v/>
      </c>
      <c r="Y23" s="122">
        <f>IF($AL$23="","",IF(INDEX('Final Calculation Sheet'!$X$4:$X$40,$AL$23)="","",INDEX('Final Calculation Sheet'!$X$4:$X$40,$AL$23)))</f>
        <v/>
      </c>
      <c r="Z23" s="122">
        <f>IF($AL$23="","",IF(INDEX('Final Calculation Sheet'!$Y$4:$Y$40,$AL$23)="","",INDEX('Final Calculation Sheet'!$Y$4:$Y$40,$AL$23)))</f>
        <v/>
      </c>
      <c r="AA23" s="122">
        <f>IF($AL$23="","",IF(INDEX('Final Calculation Sheet'!$Z$4:$Z$40,$AL$23)="","",INDEX('Final Calculation Sheet'!$Z$4:$Z$40,$AL$23)))</f>
        <v/>
      </c>
      <c r="AB23" s="122">
        <f>IF($AL$23="","",IF(INDEX('Final Calculation Sheet'!$AA$4:$AA$40,$AL$23)="","",INDEX('Final Calculation Sheet'!$AA$4:$AA$40,$AL$23)))</f>
        <v/>
      </c>
      <c r="AC23" s="122">
        <f>IF($AL$23="","",IF(INDEX('Final Calculation Sheet'!$AB$4:$AB$40,$AL$23)="","",INDEX('Final Calculation Sheet'!$AB$4:$AB$40,$AL$23)))</f>
        <v/>
      </c>
      <c r="AD23" s="122">
        <f>IF($AL$23="","",IF(INDEX('Final Calculation Sheet'!$AC$4:$AC$40,$AL$23)="","",INDEX('Final Calculation Sheet'!$AC$4:$AC$40,$AL$23)))</f>
        <v/>
      </c>
      <c r="AE23" s="122">
        <f>IF($AL$23="","",IF(INDEX('Final Calculation Sheet'!$AD$4:$AD$40,$AL$23)="","",INDEX('Final Calculation Sheet'!$AD$4:$AD$40,$AL$23)))</f>
        <v/>
      </c>
      <c r="AF23" s="127">
        <f>IF($AL$23="","",IF(INDEX('Final Calculation Sheet'!$AD$4:$AD$40,$AL$23)&lt;=5,"SETTLED","OUTSTANDING"))</f>
        <v/>
      </c>
      <c r="AG23" s="122">
        <f>IF($AL$23="","",IF(INDEX('Final Calculation Sheet'!$AF$4:$AF$40,$AL$23)="","",INDEX('Final Calculation Sheet'!$AF$4:$AF$40,$AL$23)))</f>
        <v/>
      </c>
      <c r="AH23" s="126">
        <f>IF($AL$23="","",IF(INDEX('Final Calculation Sheet'!$AG$4:$AG$40,$AL$23)="","",INDEX('Final Calculation Sheet'!$AG$4:$AG$40,$AL$23)))</f>
        <v/>
      </c>
      <c r="AI23" s="122">
        <f>IF($AL$23="","",IF(INDEX('Final Calculation Sheet'!$AH$4:$AH$40,$AL$23)="","",INDEX('Final Calculation Sheet'!$AH$4:$AH$40,$AL$23)))</f>
        <v/>
      </c>
      <c r="AJ23">
        <f>IF(AND(IF($B$4="",TRUE(),IF($B$4="(blank)",'Final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Sheet'!$AD$21&lt;=5,"SETTLED","OUTSTANDING"))))))),1,0)</f>
      </c>
      <c r="AK23">
        <f>IF(AJ23=1,COUNTIF(AJ$6:AJ23,1),"")</f>
        <v/>
      </c>
      <c r="AL23">
        <f>IF(COUNTIF($B$4:$AI$4,"&lt;&gt;")=0,"",IFERROR(MATCH(17,$AK$6:$AK$42,0),""))</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CU22+IF(AND(Lists!$FI$23&lt;&gt;"",ISNUMBER(SEARCH($AG$4,Lists!$FI$23))),1,0)</f>
        <v/>
      </c>
      <c r="CV23">
        <f>IF(ROW()-3&gt;MAX($CU$4:$CU$42),"",INDEX(Lists!$FI$4:$FI$42,MATCH(ROW()-3,$CU$4:$CU$42,0)))</f>
        <v/>
      </c>
      <c r="CW23">
        <f>CW22+IF(AND(Lists!$FN$23&lt;&gt;"",ISNUMBER(SEARCH($AH$4,Lists!$FN$23))),1,0)</f>
        <v/>
      </c>
      <c r="CX23">
        <f>IF(ROW()-3&gt;MAX($CW$4:$CW$42),"",INDEX(Lists!$FN$4:$FN$42,MATCH(ROW()-3,$CW$4:$CW$42,0)))</f>
        <v/>
      </c>
      <c r="CY23">
        <f>CY22+IF(AND(Lists!$FS$23&lt;&gt;"",ISNUMBER(SEARCH($AI$4,Lists!$FS$23))),1,0)</f>
        <v/>
      </c>
      <c r="CZ23">
        <f>IF(ROW()-3&gt;MAX($CY$4:$CY$42),"",INDEX(Lists!$FS$4:$FS$42,MATCH(ROW()-3,$CY$4:$CY$42,0)))</f>
        <v/>
      </c>
      <c r="DA23">
        <f>DA22+IF(AND(Lists!$FX$23&lt;&gt;"",ISNUMBER(SEARCH($AF$4,Lists!$FX$23))),1,0)</f>
        <v/>
      </c>
      <c r="DB23">
        <f>IF(ROW()-3&gt;MAX($DA$4:$DA$42),"",INDEX(Lists!$FX$4:$FX$42,MATCH(ROW()-3,$DA$4:$DA$42,0)))</f>
        <v/>
      </c>
      <c r="DG23">
        <f>IF($B$4="",1,IF($B$4="(blank)",--('Final Calculation Sheet'!$F$21=""),IF($B$4="(nonblank)",--('Final Calculation Sheet'!$F$21&lt;&gt;""),--ISNUMBER(SEARCH($B$4,'Final Calculation Sheet'!$F$21)))))</f>
        <v/>
      </c>
      <c r="DH23">
        <f>IF($C$4="",1,IF($C$4="(blank)",--('Final Calculation Sheet'!$G$21=""),IF($C$4="(nonblank)",--('Final Calculation Sheet'!$G$21&lt;&gt;""),--ISNUMBER(SEARCH($C$4,'Final Calculation Sheet'!$G$21)))))</f>
        <v/>
      </c>
      <c r="DI23">
        <f>IF($D$4="",1,IF($D$4="(blank)",--('Final Calculation Sheet'!$B$21=""),IF($D$4="(nonblank)",--('Final Calculation Sheet'!$B$21&lt;&gt;""),--ISNUMBER(SEARCH($D$4,'Final Calculation Sheet'!$B$21)))))</f>
        <v/>
      </c>
      <c r="DJ23">
        <f>IF($E$4="",1,IF($E$4="(blank)",--('Final Calculation Sheet'!$D$21=""),IF($E$4="(nonblank)",--('Final Calculation Sheet'!$D$21&lt;&gt;""),--ISNUMBER(SEARCH($E$4,'Final Calculation Sheet'!$D$21)))))</f>
        <v/>
      </c>
      <c r="DK23">
        <f>IF($F$4="",1,IF($F$4="(blank)",--('Final Calculation Sheet'!$A$21=""),IF($F$4="(nonblank)",--('Final Calculation Sheet'!$A$21&lt;&gt;""),--ISNUMBER(SEARCH($F$4,'Final Calculation Sheet'!$A$21)))))</f>
        <v/>
      </c>
      <c r="DL23">
        <f>IF($G$4="",1,IF($G$4="(blank)",--('Final Calculation Sheet'!$E$21=""),IF($G$4="(nonblank)",--('Final Calculation Sheet'!$E$21&lt;&gt;""),--ISNUMBER(SEARCH($G$4,'Final Calculation Sheet'!$E$21)))))</f>
        <v/>
      </c>
      <c r="DM23">
        <f>IF($H$4="",1,IF($H$4="(blank)",--('Final Calculation Sheet'!$C$21=""),IF($H$4="(nonblank)",--('Final Calculation Sheet'!$C$21&lt;&gt;""),--ISNUMBER(SEARCH($H$4,'Final Calculation Sheet'!$C$21)))))</f>
        <v/>
      </c>
      <c r="DN23">
        <f>IF($I$4="",1,IF($I$4="(blank)",--('Final Calculation Sheet'!$H$21=""),IF($I$4="(nonblank)",--('Final Calculation Sheet'!$H$21&lt;&gt;""),--ISNUMBER(SEARCH($I$4,'Final Calculation Sheet'!$H$21)))))</f>
        <v/>
      </c>
      <c r="DO23">
        <f>IF($J$4="",1,IF($J$4="(blank)",--('Final Calculation Sheet'!$I$21=""),IF($J$4="(nonblank)",--('Final Calculation Sheet'!$I$21&lt;&gt;""),--ISNUMBER(SEARCH($J$4,'Final Calculation Sheet'!$I$21)))))</f>
        <v/>
      </c>
      <c r="DP23">
        <f>IF($K$4="",1,IF($K$4="(blank)",--('Final Calculation Sheet'!$J$21=""),IF($K$4="(nonblank)",--('Final Calculation Sheet'!$J$21&lt;&gt;""),--ISNUMBER(SEARCH($K$4,'Final Calculation Sheet'!$J$21)))))</f>
        <v/>
      </c>
      <c r="DQ23">
        <f>IF($L$4="",1,IF($L$4="(blank)",--('Final Calculation Sheet'!$K$21=""),IF($L$4="(nonblank)",--('Final Calculation Sheet'!$K$21&lt;&gt;""),--ISNUMBER(SEARCH($L$4,'Final Calculation Sheet'!$K$21)))))</f>
        <v/>
      </c>
      <c r="DR23">
        <f>IF($M$4="",1,IF($M$4="(blank)",--('Final Calculation Sheet'!$L$21=""),IF($M$4="(nonblank)",--('Final Calculation Sheet'!$L$21&lt;&gt;""),--ISNUMBER(SEARCH($M$4,'Final Calculation Sheet'!$L$21)))))</f>
        <v/>
      </c>
      <c r="DS23">
        <f>IF($N$4="",1,IF($N$4="(blank)",--('Final Calculation Sheet'!$M$21=""),IF($N$4="(nonblank)",--('Final Calculation Sheet'!$M$21&lt;&gt;""),--ISNUMBER(SEARCH($N$4,'Final Calculation Sheet'!$M$21)))))</f>
        <v/>
      </c>
      <c r="DT23">
        <f>IF($O$4="",1,IF($O$4="(blank)",--('Final Calculation Sheet'!$N$21=""),IF($O$4="(nonblank)",--('Final Calculation Sheet'!$N$21&lt;&gt;""),--ISNUMBER(SEARCH($O$4,'Final Calculation Sheet'!$N$21)))))</f>
        <v/>
      </c>
      <c r="DU23">
        <f>IF($P$4="",1,IF($P$4="(blank)",--('Final Calculation Sheet'!$O$21=""),IF($P$4="(nonblank)",--('Final Calculation Sheet'!$O$21&lt;&gt;""),--ISNUMBER(SEARCH($P$4,'Final Calculation Sheet'!$O$21)))))</f>
        <v/>
      </c>
      <c r="DV23">
        <f>IF($Q$4="",1,IF($Q$4="(blank)",--('Final Calculation Sheet'!$P$21=""),IF($Q$4="(nonblank)",--('Final Calculation Sheet'!$P$21&lt;&gt;""),--ISNUMBER(SEARCH($Q$4,'Final Calculation Sheet'!$P$21)))))</f>
        <v/>
      </c>
      <c r="DW23">
        <f>IF($R$4="",1,IF($R$4="(blank)",--('Final Calculation Sheet'!$Q$21=""),IF($R$4="(nonblank)",--('Final Calculation Sheet'!$Q$21&lt;&gt;""),--ISNUMBER(SEARCH($R$4,'Final Calculation Sheet'!$Q$21)))))</f>
        <v/>
      </c>
      <c r="DX23">
        <f>IF($S$4="",1,IF($S$4="(blank)",--('Final Calculation Sheet'!$R$21=""),IF($S$4="(nonblank)",--('Final Calculation Sheet'!$R$21&lt;&gt;""),--ISNUMBER(SEARCH($S$4,'Final Calculation Sheet'!$R$21)))))</f>
        <v/>
      </c>
      <c r="DY23">
        <f>IF($T$4="",1,IF($T$4="(blank)",--('Final Calculation Sheet'!$S$21=""),IF($T$4="(nonblank)",--('Final Calculation Sheet'!$S$21&lt;&gt;""),--ISNUMBER(SEARCH($T$4,'Final Calculation Sheet'!$S$21)))))</f>
        <v/>
      </c>
      <c r="DZ23">
        <f>IF($U$4="",1,IF($U$4="(blank)",--('Final Calculation Sheet'!$T$21=""),IF($U$4="(nonblank)",--('Final Calculation Sheet'!$T$21&lt;&gt;""),--ISNUMBER(SEARCH($U$4,'Final Calculation Sheet'!$T$21)))))</f>
        <v/>
      </c>
      <c r="EA23">
        <f>IF($V$4="",1,IF($V$4="(blank)",--('Final Calculation Sheet'!$U$21=""),IF($V$4="(nonblank)",--('Final Calculation Sheet'!$U$21&lt;&gt;""),--ISNUMBER(SEARCH($V$4,'Final Calculation Sheet'!$U$21)))))</f>
        <v/>
      </c>
      <c r="EB23">
        <f>IF($W$4="",1,IF($W$4="(blank)",--('Final Calculation Sheet'!$V$21=""),IF($W$4="(nonblank)",--('Final Calculation Sheet'!$V$21&lt;&gt;""),--ISNUMBER(SEARCH($W$4,'Final Calculation Sheet'!$V$21)))))</f>
        <v/>
      </c>
      <c r="EC23">
        <f>IF($X$4="",1,IF($X$4="(blank)",--('Final Calculation Sheet'!$W$21=""),IF($X$4="(nonblank)",--('Final Calculation Sheet'!$W$21&lt;&gt;""),--ISNUMBER(SEARCH($X$4,'Final Calculation Sheet'!$W$21)))))</f>
        <v/>
      </c>
      <c r="ED23">
        <f>IF($Y$4="",1,IF($Y$4="(blank)",--('Final Calculation Sheet'!$X$21=""),IF($Y$4="(nonblank)",--('Final Calculation Sheet'!$X$21&lt;&gt;""),--ISNUMBER(SEARCH($Y$4,'Final Calculation Sheet'!$X$21)))))</f>
        <v/>
      </c>
      <c r="EE23">
        <f>IF($Z$4="",1,IF($Z$4="(blank)",--('Final Calculation Sheet'!$Y$21=""),IF($Z$4="(nonblank)",--('Final Calculation Sheet'!$Y$21&lt;&gt;""),--ISNUMBER(SEARCH($Z$4,'Final Calculation Sheet'!$Y$21)))))</f>
        <v/>
      </c>
      <c r="EF23">
        <f>IF($AA$4="",1,IF($AA$4="(blank)",--('Final Calculation Sheet'!$Z$21=""),IF($AA$4="(nonblank)",--('Final Calculation Sheet'!$Z$21&lt;&gt;""),--ISNUMBER(SEARCH($AA$4,'Final Calculation Sheet'!$Z$21)))))</f>
        <v/>
      </c>
      <c r="EG23">
        <f>IF($AB$4="",1,IF($AB$4="(blank)",--('Final Calculation Sheet'!$AA$21=""),IF($AB$4="(nonblank)",--('Final Calculation Sheet'!$AA$21&lt;&gt;""),--ISNUMBER(SEARCH($AB$4,'Final Calculation Sheet'!$AA$21)))))</f>
        <v/>
      </c>
      <c r="EH23">
        <f>IF($AC$4="",1,IF($AC$4="(blank)",--('Final Calculation Sheet'!$AB$21=""),IF($AC$4="(nonblank)",--('Final Calculation Sheet'!$AB$21&lt;&gt;""),--ISNUMBER(SEARCH($AC$4,'Final Calculation Sheet'!$AB$21)))))</f>
        <v/>
      </c>
      <c r="EI23">
        <f>IF($AD$4="",1,IF($AD$4="(blank)",--('Final Calculation Sheet'!$AC$21=""),IF($AD$4="(nonblank)",--('Final Calculation Sheet'!$AC$21&lt;&gt;""),--ISNUMBER(SEARCH($AD$4,'Final Calculation Sheet'!$AC$21)))))</f>
        <v/>
      </c>
      <c r="EJ23">
        <f>IF($AE$4="",1,IF($AE$4="(blank)",--('Final Calculation Sheet'!$AD$21=""),IF($AE$4="(nonblank)",--('Final Calculation Sheet'!$AD$21&lt;&gt;""),--ISNUMBER(SEARCH($AE$4,'Final Calculation Sheet'!$AD$21)))))</f>
        <v/>
      </c>
      <c r="EK23">
        <f>IF($AF$4="",1,IF($AF$4="(blank)",--(IF('Final Calculation Sheet'!$AD$21&lt;=5,"SETTLED","OUTSTANDING")=""),IF($AF$4="(nonblank)",--(IF('Final Calculation Sheet'!$AD$21&lt;=5,"SETTLED","OUTSTANDING")&lt;&gt;""),--ISNUMBER(SEARCH($AF$4,IF('Final Calculation Sheet'!$AD$21&lt;=5,"SETTLED","OUTSTANDING"))))))</f>
        <v/>
      </c>
      <c r="EL23">
        <f>IF($AG$4="",1,IF($AG$4="(blank)",--('Final Calculation Sheet'!$AF$21=""),IF($AG$4="(nonblank)",--('Final Calculation Sheet'!$AF$21&lt;&gt;""),--ISNUMBER(SEARCH($AG$4,'Final Calculation Sheet'!$AF$21)))))</f>
        <v/>
      </c>
      <c r="EM23">
        <f>IF($AH$4="",1,IF($AH$4="(blank)",--('Final Calculation Sheet'!$AG$21=""),IF($AH$4="(nonblank)",--('Final Calculation Sheet'!$AG$21&lt;&gt;""),--ISNUMBER(SEARCH($AH$4,'Final Calculation Sheet'!$AG$21)))))</f>
        <v/>
      </c>
      <c r="EN23">
        <f>IF($AI$4="",1,IF($AI$4="(blank)",--('Final Calculation Sheet'!$AH$21=""),IF($AI$4="(nonblank)",--('Final Calculation Sheet'!$AH$21&lt;&gt;""),--ISNUMBER(SEARCH($AI$4,'Final Calculation Sheet'!$AH$21)))))</f>
        <v/>
      </c>
    </row>
    <row r="24" outlineLevel="1" hidden="1">
      <c r="A24" s="128">
        <f>IF($AL$24="","",18)</f>
        <v/>
      </c>
      <c r="B24" s="129">
        <f>IF($AL$24="","",IF(INDEX('Final Calculation Sheet'!$F$4:$F$40,$AL$24)="","",INDEX('Final Calculation Sheet'!$F$4:$F$40,$AL$24)))</f>
        <v/>
      </c>
      <c r="C24" s="129">
        <f>IF($AL$24="","",IF(INDEX('Final Calculation Sheet'!$G$4:$G$40,$AL$24)="","",INDEX('Final Calculation Sheet'!$G$4:$G$40,$AL$24)))</f>
        <v/>
      </c>
      <c r="D24" s="130">
        <f>IF($AL$24="","",IF(INDEX('Final Calculation Sheet'!$B$4:$B$40,$AL$24)="","",INDEX('Final Calculation Sheet'!$B$4:$B$40,$AL$24)))</f>
        <v/>
      </c>
      <c r="E24" s="130">
        <f>IF($AL$24="","",IF(INDEX('Final Calculation Sheet'!$D$4:$D$40,$AL$24)="","",INDEX('Final Calculation Sheet'!$D$4:$D$40,$AL$24)))</f>
        <v/>
      </c>
      <c r="F24" s="130">
        <f>IF($AL$24="","",IF(INDEX('Final Calculation Sheet'!$A$4:$A$40,$AL$24)="","",INDEX('Final Calculation Sheet'!$A$4:$A$40,$AL$24)))</f>
        <v/>
      </c>
      <c r="G24" s="130">
        <f>IF($AL$24="","",IF(INDEX('Final Calculation Sheet'!$E$4:$E$40,$AL$24)="","",INDEX('Final Calculation Sheet'!$E$4:$E$40,$AL$24)))</f>
        <v/>
      </c>
      <c r="H24" s="131">
        <f>IF($AL$24="","",IF(INDEX('Final Calculation Sheet'!$C$4:$C$40,$AL$24)="","",INDEX('Final Calculation Sheet'!$C$4:$C$40,$AL$24)))</f>
        <v/>
      </c>
      <c r="I24" s="131">
        <f>IF($AL$24="","",IF(INDEX('Final Calculation Sheet'!$H$4:$H$40,$AL$24)="","",INDEX('Final Calculation Sheet'!$H$4:$H$40,$AL$24)))</f>
        <v/>
      </c>
      <c r="J24" s="131">
        <f>IF($AL$24="","",IF(INDEX('Final Calculation Sheet'!$I$4:$I$40,$AL$24)="","",INDEX('Final Calculation Sheet'!$I$4:$I$40,$AL$24)))</f>
        <v/>
      </c>
      <c r="K24" s="131">
        <f>IF($AL$24="","",IF(INDEX('Final Calculation Sheet'!$J$4:$J$40,$AL$24)="","",INDEX('Final Calculation Sheet'!$J$4:$J$40,$AL$24)))</f>
        <v/>
      </c>
      <c r="L24" s="131">
        <f>IF($AL$24="","",IF(INDEX('Final Calculation Sheet'!$K$4:$K$40,$AL$24)="","",INDEX('Final Calculation Sheet'!$K$4:$K$40,$AL$24)))</f>
        <v/>
      </c>
      <c r="M24" s="131">
        <f>IF($AL$24="","",IF(INDEX('Final Calculation Sheet'!$L$4:$L$40,$AL$24)="","",INDEX('Final Calculation Sheet'!$L$4:$L$40,$AL$24)))</f>
        <v/>
      </c>
      <c r="N24" s="131">
        <f>IF($AL$24="","",IF(INDEX('Final Calculation Sheet'!$M$4:$M$40,$AL$24)="","",INDEX('Final Calculation Sheet'!$M$4:$M$40,$AL$24)))</f>
        <v/>
      </c>
      <c r="O24" s="132">
        <f>IF($AL$24="","",IF(INDEX('Final Calculation Sheet'!$N$4:$N$40,$AL$24)="","",INDEX('Final Calculation Sheet'!$N$4:$N$40,$AL$24)))</f>
        <v/>
      </c>
      <c r="P24" s="131">
        <f>IF($AL$24="","",IF(INDEX('Final Calculation Sheet'!$O$4:$O$40,$AL$24)="","",INDEX('Final Calculation Sheet'!$O$4:$O$40,$AL$24)))</f>
        <v/>
      </c>
      <c r="Q24" s="131">
        <f>IF($AL$24="","",IF(INDEX('Final Calculation Sheet'!$P$4:$P$40,$AL$24)="","",INDEX('Final Calculation Sheet'!$P$4:$P$40,$AL$24)))</f>
        <v/>
      </c>
      <c r="R24" s="133">
        <f>IF($AL$24="","",IF(INDEX('Final Calculation Sheet'!$Q$4:$Q$40,$AL$24)="","",INDEX('Final Calculation Sheet'!$Q$4:$Q$40,$AL$24)))</f>
        <v/>
      </c>
      <c r="S24" s="131">
        <f>IF($AL$24="","",IF(INDEX('Final Calculation Sheet'!$R$4:$R$40,$AL$24)="","",INDEX('Final Calculation Sheet'!$R$4:$R$40,$AL$24)))</f>
        <v/>
      </c>
      <c r="T24" s="131">
        <f>IF($AL$24="","",IF(INDEX('Final Calculation Sheet'!$S$4:$S$40,$AL$24)="","",INDEX('Final Calculation Sheet'!$S$4:$S$40,$AL$24)))</f>
        <v/>
      </c>
      <c r="U24" s="131">
        <f>IF($AL$24="","",IF(INDEX('Final Calculation Sheet'!$T$4:$T$40,$AL$24)="","",INDEX('Final Calculation Sheet'!$T$4:$T$40,$AL$24)))</f>
        <v/>
      </c>
      <c r="V24" s="134">
        <f>IF($AL$24="","",IF(INDEX('Final Calculation Sheet'!$U$4:$U$40,$AL$24)="","",INDEX('Final Calculation Sheet'!$U$4:$U$40,$AL$24)))</f>
        <v/>
      </c>
      <c r="W24" s="131">
        <f>IF($AL$24="","",IF(INDEX('Final Calculation Sheet'!$V$4:$V$40,$AL$24)="","",INDEX('Final Calculation Sheet'!$V$4:$V$40,$AL$24)))</f>
        <v/>
      </c>
      <c r="X24" s="131">
        <f>IF($AL$24="","",IF(INDEX('Final Calculation Sheet'!$W$4:$W$40,$AL$24)="","",INDEX('Final Calculation Sheet'!$W$4:$W$40,$AL$24)))</f>
        <v/>
      </c>
      <c r="Y24" s="131">
        <f>IF($AL$24="","",IF(INDEX('Final Calculation Sheet'!$X$4:$X$40,$AL$24)="","",INDEX('Final Calculation Sheet'!$X$4:$X$40,$AL$24)))</f>
        <v/>
      </c>
      <c r="Z24" s="131">
        <f>IF($AL$24="","",IF(INDEX('Final Calculation Sheet'!$Y$4:$Y$40,$AL$24)="","",INDEX('Final Calculation Sheet'!$Y$4:$Y$40,$AL$24)))</f>
        <v/>
      </c>
      <c r="AA24" s="131">
        <f>IF($AL$24="","",IF(INDEX('Final Calculation Sheet'!$Z$4:$Z$40,$AL$24)="","",INDEX('Final Calculation Sheet'!$Z$4:$Z$40,$AL$24)))</f>
        <v/>
      </c>
      <c r="AB24" s="131">
        <f>IF($AL$24="","",IF(INDEX('Final Calculation Sheet'!$AA$4:$AA$40,$AL$24)="","",INDEX('Final Calculation Sheet'!$AA$4:$AA$40,$AL$24)))</f>
        <v/>
      </c>
      <c r="AC24" s="131">
        <f>IF($AL$24="","",IF(INDEX('Final Calculation Sheet'!$AB$4:$AB$40,$AL$24)="","",INDEX('Final Calculation Sheet'!$AB$4:$AB$40,$AL$24)))</f>
        <v/>
      </c>
      <c r="AD24" s="131">
        <f>IF($AL$24="","",IF(INDEX('Final Calculation Sheet'!$AC$4:$AC$40,$AL$24)="","",INDEX('Final Calculation Sheet'!$AC$4:$AC$40,$AL$24)))</f>
        <v/>
      </c>
      <c r="AE24" s="131">
        <f>IF($AL$24="","",IF(INDEX('Final Calculation Sheet'!$AD$4:$AD$40,$AL$24)="","",INDEX('Final Calculation Sheet'!$AD$4:$AD$40,$AL$24)))</f>
        <v/>
      </c>
      <c r="AF24" s="136">
        <f>IF($AL$24="","",IF(INDEX('Final Calculation Sheet'!$AD$4:$AD$40,$AL$24)&lt;=5,"SETTLED","OUTSTANDING"))</f>
        <v/>
      </c>
      <c r="AG24" s="131">
        <f>IF($AL$24="","",IF(INDEX('Final Calculation Sheet'!$AF$4:$AF$40,$AL$24)="","",INDEX('Final Calculation Sheet'!$AF$4:$AF$40,$AL$24)))</f>
        <v/>
      </c>
      <c r="AH24" s="135">
        <f>IF($AL$24="","",IF(INDEX('Final Calculation Sheet'!$AG$4:$AG$40,$AL$24)="","",INDEX('Final Calculation Sheet'!$AG$4:$AG$40,$AL$24)))</f>
        <v/>
      </c>
      <c r="AI24" s="131">
        <f>IF($AL$24="","",IF(INDEX('Final Calculation Sheet'!$AH$4:$AH$40,$AL$24)="","",INDEX('Final Calculation Sheet'!$AH$4:$AH$40,$AL$24)))</f>
        <v/>
      </c>
      <c r="AJ24">
        <f>IF(AND(IF($B$4="",TRUE(),IF($B$4="(blank)",'Final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Sheet'!$AD$22&lt;=5,"SETTLED","OUTSTANDING"))))))),1,0)</f>
      </c>
      <c r="AK24">
        <f>IF(AJ24=1,COUNTIF(AJ$6:AJ24,1),"")</f>
        <v/>
      </c>
      <c r="AL24">
        <f>IF(COUNTIF($B$4:$AI$4,"&lt;&gt;")=0,"",IFERROR(MATCH(18,$AK$6:$AK$42,0),""))</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CU23+IF(AND(Lists!$FI$24&lt;&gt;"",ISNUMBER(SEARCH($AG$4,Lists!$FI$24))),1,0)</f>
        <v/>
      </c>
      <c r="CV24">
        <f>IF(ROW()-3&gt;MAX($CU$4:$CU$42),"",INDEX(Lists!$FI$4:$FI$42,MATCH(ROW()-3,$CU$4:$CU$42,0)))</f>
        <v/>
      </c>
      <c r="CW24">
        <f>CW23+IF(AND(Lists!$FN$24&lt;&gt;"",ISNUMBER(SEARCH($AH$4,Lists!$FN$24))),1,0)</f>
        <v/>
      </c>
      <c r="CX24">
        <f>IF(ROW()-3&gt;MAX($CW$4:$CW$42),"",INDEX(Lists!$FN$4:$FN$42,MATCH(ROW()-3,$CW$4:$CW$42,0)))</f>
        <v/>
      </c>
      <c r="CY24">
        <f>CY23+IF(AND(Lists!$FS$24&lt;&gt;"",ISNUMBER(SEARCH($AI$4,Lists!$FS$24))),1,0)</f>
        <v/>
      </c>
      <c r="CZ24">
        <f>IF(ROW()-3&gt;MAX($CY$4:$CY$42),"",INDEX(Lists!$FS$4:$FS$42,MATCH(ROW()-3,$CY$4:$CY$42,0)))</f>
        <v/>
      </c>
      <c r="DA24">
        <f>DA23+IF(AND(Lists!$FX$24&lt;&gt;"",ISNUMBER(SEARCH($AF$4,Lists!$FX$24))),1,0)</f>
        <v/>
      </c>
      <c r="DB24">
        <f>IF(ROW()-3&gt;MAX($DA$4:$DA$42),"",INDEX(Lists!$FX$4:$FX$42,MATCH(ROW()-3,$DA$4:$DA$42,0)))</f>
        <v/>
      </c>
      <c r="DG24">
        <f>IF($B$4="",1,IF($B$4="(blank)",--('Final Calculation Sheet'!$F$22=""),IF($B$4="(nonblank)",--('Final Calculation Sheet'!$F$22&lt;&gt;""),--ISNUMBER(SEARCH($B$4,'Final Calculation Sheet'!$F$22)))))</f>
        <v/>
      </c>
      <c r="DH24">
        <f>IF($C$4="",1,IF($C$4="(blank)",--('Final Calculation Sheet'!$G$22=""),IF($C$4="(nonblank)",--('Final Calculation Sheet'!$G$22&lt;&gt;""),--ISNUMBER(SEARCH($C$4,'Final Calculation Sheet'!$G$22)))))</f>
        <v/>
      </c>
      <c r="DI24">
        <f>IF($D$4="",1,IF($D$4="(blank)",--('Final Calculation Sheet'!$B$22=""),IF($D$4="(nonblank)",--('Final Calculation Sheet'!$B$22&lt;&gt;""),--ISNUMBER(SEARCH($D$4,'Final Calculation Sheet'!$B$22)))))</f>
        <v/>
      </c>
      <c r="DJ24">
        <f>IF($E$4="",1,IF($E$4="(blank)",--('Final Calculation Sheet'!$D$22=""),IF($E$4="(nonblank)",--('Final Calculation Sheet'!$D$22&lt;&gt;""),--ISNUMBER(SEARCH($E$4,'Final Calculation Sheet'!$D$22)))))</f>
        <v/>
      </c>
      <c r="DK24">
        <f>IF($F$4="",1,IF($F$4="(blank)",--('Final Calculation Sheet'!$A$22=""),IF($F$4="(nonblank)",--('Final Calculation Sheet'!$A$22&lt;&gt;""),--ISNUMBER(SEARCH($F$4,'Final Calculation Sheet'!$A$22)))))</f>
        <v/>
      </c>
      <c r="DL24">
        <f>IF($G$4="",1,IF($G$4="(blank)",--('Final Calculation Sheet'!$E$22=""),IF($G$4="(nonblank)",--('Final Calculation Sheet'!$E$22&lt;&gt;""),--ISNUMBER(SEARCH($G$4,'Final Calculation Sheet'!$E$22)))))</f>
        <v/>
      </c>
      <c r="DM24">
        <f>IF($H$4="",1,IF($H$4="(blank)",--('Final Calculation Sheet'!$C$22=""),IF($H$4="(nonblank)",--('Final Calculation Sheet'!$C$22&lt;&gt;""),--ISNUMBER(SEARCH($H$4,'Final Calculation Sheet'!$C$22)))))</f>
        <v/>
      </c>
      <c r="DN24">
        <f>IF($I$4="",1,IF($I$4="(blank)",--('Final Calculation Sheet'!$H$22=""),IF($I$4="(nonblank)",--('Final Calculation Sheet'!$H$22&lt;&gt;""),--ISNUMBER(SEARCH($I$4,'Final Calculation Sheet'!$H$22)))))</f>
        <v/>
      </c>
      <c r="DO24">
        <f>IF($J$4="",1,IF($J$4="(blank)",--('Final Calculation Sheet'!$I$22=""),IF($J$4="(nonblank)",--('Final Calculation Sheet'!$I$22&lt;&gt;""),--ISNUMBER(SEARCH($J$4,'Final Calculation Sheet'!$I$22)))))</f>
        <v/>
      </c>
      <c r="DP24">
        <f>IF($K$4="",1,IF($K$4="(blank)",--('Final Calculation Sheet'!$J$22=""),IF($K$4="(nonblank)",--('Final Calculation Sheet'!$J$22&lt;&gt;""),--ISNUMBER(SEARCH($K$4,'Final Calculation Sheet'!$J$22)))))</f>
        <v/>
      </c>
      <c r="DQ24">
        <f>IF($L$4="",1,IF($L$4="(blank)",--('Final Calculation Sheet'!$K$22=""),IF($L$4="(nonblank)",--('Final Calculation Sheet'!$K$22&lt;&gt;""),--ISNUMBER(SEARCH($L$4,'Final Calculation Sheet'!$K$22)))))</f>
        <v/>
      </c>
      <c r="DR24">
        <f>IF($M$4="",1,IF($M$4="(blank)",--('Final Calculation Sheet'!$L$22=""),IF($M$4="(nonblank)",--('Final Calculation Sheet'!$L$22&lt;&gt;""),--ISNUMBER(SEARCH($M$4,'Final Calculation Sheet'!$L$22)))))</f>
        <v/>
      </c>
      <c r="DS24">
        <f>IF($N$4="",1,IF($N$4="(blank)",--('Final Calculation Sheet'!$M$22=""),IF($N$4="(nonblank)",--('Final Calculation Sheet'!$M$22&lt;&gt;""),--ISNUMBER(SEARCH($N$4,'Final Calculation Sheet'!$M$22)))))</f>
        <v/>
      </c>
      <c r="DT24">
        <f>IF($O$4="",1,IF($O$4="(blank)",--('Final Calculation Sheet'!$N$22=""),IF($O$4="(nonblank)",--('Final Calculation Sheet'!$N$22&lt;&gt;""),--ISNUMBER(SEARCH($O$4,'Final Calculation Sheet'!$N$22)))))</f>
        <v/>
      </c>
      <c r="DU24">
        <f>IF($P$4="",1,IF($P$4="(blank)",--('Final Calculation Sheet'!$O$22=""),IF($P$4="(nonblank)",--('Final Calculation Sheet'!$O$22&lt;&gt;""),--ISNUMBER(SEARCH($P$4,'Final Calculation Sheet'!$O$22)))))</f>
        <v/>
      </c>
      <c r="DV24">
        <f>IF($Q$4="",1,IF($Q$4="(blank)",--('Final Calculation Sheet'!$P$22=""),IF($Q$4="(nonblank)",--('Final Calculation Sheet'!$P$22&lt;&gt;""),--ISNUMBER(SEARCH($Q$4,'Final Calculation Sheet'!$P$22)))))</f>
        <v/>
      </c>
      <c r="DW24">
        <f>IF($R$4="",1,IF($R$4="(blank)",--('Final Calculation Sheet'!$Q$22=""),IF($R$4="(nonblank)",--('Final Calculation Sheet'!$Q$22&lt;&gt;""),--ISNUMBER(SEARCH($R$4,'Final Calculation Sheet'!$Q$22)))))</f>
        <v/>
      </c>
      <c r="DX24">
        <f>IF($S$4="",1,IF($S$4="(blank)",--('Final Calculation Sheet'!$R$22=""),IF($S$4="(nonblank)",--('Final Calculation Sheet'!$R$22&lt;&gt;""),--ISNUMBER(SEARCH($S$4,'Final Calculation Sheet'!$R$22)))))</f>
        <v/>
      </c>
      <c r="DY24">
        <f>IF($T$4="",1,IF($T$4="(blank)",--('Final Calculation Sheet'!$S$22=""),IF($T$4="(nonblank)",--('Final Calculation Sheet'!$S$22&lt;&gt;""),--ISNUMBER(SEARCH($T$4,'Final Calculation Sheet'!$S$22)))))</f>
        <v/>
      </c>
      <c r="DZ24">
        <f>IF($U$4="",1,IF($U$4="(blank)",--('Final Calculation Sheet'!$T$22=""),IF($U$4="(nonblank)",--('Final Calculation Sheet'!$T$22&lt;&gt;""),--ISNUMBER(SEARCH($U$4,'Final Calculation Sheet'!$T$22)))))</f>
        <v/>
      </c>
      <c r="EA24">
        <f>IF($V$4="",1,IF($V$4="(blank)",--('Final Calculation Sheet'!$U$22=""),IF($V$4="(nonblank)",--('Final Calculation Sheet'!$U$22&lt;&gt;""),--ISNUMBER(SEARCH($V$4,'Final Calculation Sheet'!$U$22)))))</f>
        <v/>
      </c>
      <c r="EB24">
        <f>IF($W$4="",1,IF($W$4="(blank)",--('Final Calculation Sheet'!$V$22=""),IF($W$4="(nonblank)",--('Final Calculation Sheet'!$V$22&lt;&gt;""),--ISNUMBER(SEARCH($W$4,'Final Calculation Sheet'!$V$22)))))</f>
        <v/>
      </c>
      <c r="EC24">
        <f>IF($X$4="",1,IF($X$4="(blank)",--('Final Calculation Sheet'!$W$22=""),IF($X$4="(nonblank)",--('Final Calculation Sheet'!$W$22&lt;&gt;""),--ISNUMBER(SEARCH($X$4,'Final Calculation Sheet'!$W$22)))))</f>
        <v/>
      </c>
      <c r="ED24">
        <f>IF($Y$4="",1,IF($Y$4="(blank)",--('Final Calculation Sheet'!$X$22=""),IF($Y$4="(nonblank)",--('Final Calculation Sheet'!$X$22&lt;&gt;""),--ISNUMBER(SEARCH($Y$4,'Final Calculation Sheet'!$X$22)))))</f>
        <v/>
      </c>
      <c r="EE24">
        <f>IF($Z$4="",1,IF($Z$4="(blank)",--('Final Calculation Sheet'!$Y$22=""),IF($Z$4="(nonblank)",--('Final Calculation Sheet'!$Y$22&lt;&gt;""),--ISNUMBER(SEARCH($Z$4,'Final Calculation Sheet'!$Y$22)))))</f>
        <v/>
      </c>
      <c r="EF24">
        <f>IF($AA$4="",1,IF($AA$4="(blank)",--('Final Calculation Sheet'!$Z$22=""),IF($AA$4="(nonblank)",--('Final Calculation Sheet'!$Z$22&lt;&gt;""),--ISNUMBER(SEARCH($AA$4,'Final Calculation Sheet'!$Z$22)))))</f>
        <v/>
      </c>
      <c r="EG24">
        <f>IF($AB$4="",1,IF($AB$4="(blank)",--('Final Calculation Sheet'!$AA$22=""),IF($AB$4="(nonblank)",--('Final Calculation Sheet'!$AA$22&lt;&gt;""),--ISNUMBER(SEARCH($AB$4,'Final Calculation Sheet'!$AA$22)))))</f>
        <v/>
      </c>
      <c r="EH24">
        <f>IF($AC$4="",1,IF($AC$4="(blank)",--('Final Calculation Sheet'!$AB$22=""),IF($AC$4="(nonblank)",--('Final Calculation Sheet'!$AB$22&lt;&gt;""),--ISNUMBER(SEARCH($AC$4,'Final Calculation Sheet'!$AB$22)))))</f>
        <v/>
      </c>
      <c r="EI24">
        <f>IF($AD$4="",1,IF($AD$4="(blank)",--('Final Calculation Sheet'!$AC$22=""),IF($AD$4="(nonblank)",--('Final Calculation Sheet'!$AC$22&lt;&gt;""),--ISNUMBER(SEARCH($AD$4,'Final Calculation Sheet'!$AC$22)))))</f>
        <v/>
      </c>
      <c r="EJ24">
        <f>IF($AE$4="",1,IF($AE$4="(blank)",--('Final Calculation Sheet'!$AD$22=""),IF($AE$4="(nonblank)",--('Final Calculation Sheet'!$AD$22&lt;&gt;""),--ISNUMBER(SEARCH($AE$4,'Final Calculation Sheet'!$AD$22)))))</f>
        <v/>
      </c>
      <c r="EK24">
        <f>IF($AF$4="",1,IF($AF$4="(blank)",--(IF('Final Calculation Sheet'!$AD$22&lt;=5,"SETTLED","OUTSTANDING")=""),IF($AF$4="(nonblank)",--(IF('Final Calculation Sheet'!$AD$22&lt;=5,"SETTLED","OUTSTANDING")&lt;&gt;""),--ISNUMBER(SEARCH($AF$4,IF('Final Calculation Sheet'!$AD$22&lt;=5,"SETTLED","OUTSTANDING"))))))</f>
        <v/>
      </c>
      <c r="EL24">
        <f>IF($AG$4="",1,IF($AG$4="(blank)",--('Final Calculation Sheet'!$AF$22=""),IF($AG$4="(nonblank)",--('Final Calculation Sheet'!$AF$22&lt;&gt;""),--ISNUMBER(SEARCH($AG$4,'Final Calculation Sheet'!$AF$22)))))</f>
        <v/>
      </c>
      <c r="EM24">
        <f>IF($AH$4="",1,IF($AH$4="(blank)",--('Final Calculation Sheet'!$AG$22=""),IF($AH$4="(nonblank)",--('Final Calculation Sheet'!$AG$22&lt;&gt;""),--ISNUMBER(SEARCH($AH$4,'Final Calculation Sheet'!$AG$22)))))</f>
        <v/>
      </c>
      <c r="EN24">
        <f>IF($AI$4="",1,IF($AI$4="(blank)",--('Final Calculation Sheet'!$AH$22=""),IF($AI$4="(nonblank)",--('Final Calculation Sheet'!$AH$22&lt;&gt;""),--ISNUMBER(SEARCH($AI$4,'Final Calculation Sheet'!$AH$22)))))</f>
        <v/>
      </c>
    </row>
    <row r="25" outlineLevel="1" hidden="1">
      <c r="A25" s="118">
        <f>IF($AL$25="","",19)</f>
        <v/>
      </c>
      <c r="B25" s="119">
        <f>IF($AL$25="","",IF(INDEX('Final Calculation Sheet'!$F$4:$F$40,$AL$25)="","",INDEX('Final Calculation Sheet'!$F$4:$F$40,$AL$25)))</f>
        <v/>
      </c>
      <c r="C25" s="119">
        <f>IF($AL$25="","",IF(INDEX('Final Calculation Sheet'!$G$4:$G$40,$AL$25)="","",INDEX('Final Calculation Sheet'!$G$4:$G$40,$AL$25)))</f>
        <v/>
      </c>
      <c r="D25" s="121">
        <f>IF($AL$25="","",IF(INDEX('Final Calculation Sheet'!$B$4:$B$40,$AL$25)="","",INDEX('Final Calculation Sheet'!$B$4:$B$40,$AL$25)))</f>
        <v/>
      </c>
      <c r="E25" s="121">
        <f>IF($AL$25="","",IF(INDEX('Final Calculation Sheet'!$D$4:$D$40,$AL$25)="","",INDEX('Final Calculation Sheet'!$D$4:$D$40,$AL$25)))</f>
        <v/>
      </c>
      <c r="F25" s="121">
        <f>IF($AL$25="","",IF(INDEX('Final Calculation Sheet'!$A$4:$A$40,$AL$25)="","",INDEX('Final Calculation Sheet'!$A$4:$A$40,$AL$25)))</f>
        <v/>
      </c>
      <c r="G25" s="121">
        <f>IF($AL$25="","",IF(INDEX('Final Calculation Sheet'!$E$4:$E$40,$AL$25)="","",INDEX('Final Calculation Sheet'!$E$4:$E$40,$AL$25)))</f>
        <v/>
      </c>
      <c r="H25" s="122">
        <f>IF($AL$25="","",IF(INDEX('Final Calculation Sheet'!$C$4:$C$40,$AL$25)="","",INDEX('Final Calculation Sheet'!$C$4:$C$40,$AL$25)))</f>
        <v/>
      </c>
      <c r="I25" s="122">
        <f>IF($AL$25="","",IF(INDEX('Final Calculation Sheet'!$H$4:$H$40,$AL$25)="","",INDEX('Final Calculation Sheet'!$H$4:$H$40,$AL$25)))</f>
        <v/>
      </c>
      <c r="J25" s="122">
        <f>IF($AL$25="","",IF(INDEX('Final Calculation Sheet'!$I$4:$I$40,$AL$25)="","",INDEX('Final Calculation Sheet'!$I$4:$I$40,$AL$25)))</f>
        <v/>
      </c>
      <c r="K25" s="122">
        <f>IF($AL$25="","",IF(INDEX('Final Calculation Sheet'!$J$4:$J$40,$AL$25)="","",INDEX('Final Calculation Sheet'!$J$4:$J$40,$AL$25)))</f>
        <v/>
      </c>
      <c r="L25" s="122">
        <f>IF($AL$25="","",IF(INDEX('Final Calculation Sheet'!$K$4:$K$40,$AL$25)="","",INDEX('Final Calculation Sheet'!$K$4:$K$40,$AL$25)))</f>
        <v/>
      </c>
      <c r="M25" s="122">
        <f>IF($AL$25="","",IF(INDEX('Final Calculation Sheet'!$L$4:$L$40,$AL$25)="","",INDEX('Final Calculation Sheet'!$L$4:$L$40,$AL$25)))</f>
        <v/>
      </c>
      <c r="N25" s="122">
        <f>IF($AL$25="","",IF(INDEX('Final Calculation Sheet'!$M$4:$M$40,$AL$25)="","",INDEX('Final Calculation Sheet'!$M$4:$M$40,$AL$25)))</f>
        <v/>
      </c>
      <c r="O25" s="123">
        <f>IF($AL$25="","",IF(INDEX('Final Calculation Sheet'!$N$4:$N$40,$AL$25)="","",INDEX('Final Calculation Sheet'!$N$4:$N$40,$AL$25)))</f>
        <v/>
      </c>
      <c r="P25" s="122">
        <f>IF($AL$25="","",IF(INDEX('Final Calculation Sheet'!$O$4:$O$40,$AL$25)="","",INDEX('Final Calculation Sheet'!$O$4:$O$40,$AL$25)))</f>
        <v/>
      </c>
      <c r="Q25" s="122">
        <f>IF($AL$25="","",IF(INDEX('Final Calculation Sheet'!$P$4:$P$40,$AL$25)="","",INDEX('Final Calculation Sheet'!$P$4:$P$40,$AL$25)))</f>
        <v/>
      </c>
      <c r="R25" s="124">
        <f>IF($AL$25="","",IF(INDEX('Final Calculation Sheet'!$Q$4:$Q$40,$AL$25)="","",INDEX('Final Calculation Sheet'!$Q$4:$Q$40,$AL$25)))</f>
        <v/>
      </c>
      <c r="S25" s="122">
        <f>IF($AL$25="","",IF(INDEX('Final Calculation Sheet'!$R$4:$R$40,$AL$25)="","",INDEX('Final Calculation Sheet'!$R$4:$R$40,$AL$25)))</f>
        <v/>
      </c>
      <c r="T25" s="122">
        <f>IF($AL$25="","",IF(INDEX('Final Calculation Sheet'!$S$4:$S$40,$AL$25)="","",INDEX('Final Calculation Sheet'!$S$4:$S$40,$AL$25)))</f>
        <v/>
      </c>
      <c r="U25" s="122">
        <f>IF($AL$25="","",IF(INDEX('Final Calculation Sheet'!$T$4:$T$40,$AL$25)="","",INDEX('Final Calculation Sheet'!$T$4:$T$40,$AL$25)))</f>
        <v/>
      </c>
      <c r="V25" s="125">
        <f>IF($AL$25="","",IF(INDEX('Final Calculation Sheet'!$U$4:$U$40,$AL$25)="","",INDEX('Final Calculation Sheet'!$U$4:$U$40,$AL$25)))</f>
        <v/>
      </c>
      <c r="W25" s="122">
        <f>IF($AL$25="","",IF(INDEX('Final Calculation Sheet'!$V$4:$V$40,$AL$25)="","",INDEX('Final Calculation Sheet'!$V$4:$V$40,$AL$25)))</f>
        <v/>
      </c>
      <c r="X25" s="122">
        <f>IF($AL$25="","",IF(INDEX('Final Calculation Sheet'!$W$4:$W$40,$AL$25)="","",INDEX('Final Calculation Sheet'!$W$4:$W$40,$AL$25)))</f>
        <v/>
      </c>
      <c r="Y25" s="122">
        <f>IF($AL$25="","",IF(INDEX('Final Calculation Sheet'!$X$4:$X$40,$AL$25)="","",INDEX('Final Calculation Sheet'!$X$4:$X$40,$AL$25)))</f>
        <v/>
      </c>
      <c r="Z25" s="122">
        <f>IF($AL$25="","",IF(INDEX('Final Calculation Sheet'!$Y$4:$Y$40,$AL$25)="","",INDEX('Final Calculation Sheet'!$Y$4:$Y$40,$AL$25)))</f>
        <v/>
      </c>
      <c r="AA25" s="122">
        <f>IF($AL$25="","",IF(INDEX('Final Calculation Sheet'!$Z$4:$Z$40,$AL$25)="","",INDEX('Final Calculation Sheet'!$Z$4:$Z$40,$AL$25)))</f>
        <v/>
      </c>
      <c r="AB25" s="122">
        <f>IF($AL$25="","",IF(INDEX('Final Calculation Sheet'!$AA$4:$AA$40,$AL$25)="","",INDEX('Final Calculation Sheet'!$AA$4:$AA$40,$AL$25)))</f>
        <v/>
      </c>
      <c r="AC25" s="122">
        <f>IF($AL$25="","",IF(INDEX('Final Calculation Sheet'!$AB$4:$AB$40,$AL$25)="","",INDEX('Final Calculation Sheet'!$AB$4:$AB$40,$AL$25)))</f>
        <v/>
      </c>
      <c r="AD25" s="122">
        <f>IF($AL$25="","",IF(INDEX('Final Calculation Sheet'!$AC$4:$AC$40,$AL$25)="","",INDEX('Final Calculation Sheet'!$AC$4:$AC$40,$AL$25)))</f>
        <v/>
      </c>
      <c r="AE25" s="122">
        <f>IF($AL$25="","",IF(INDEX('Final Calculation Sheet'!$AD$4:$AD$40,$AL$25)="","",INDEX('Final Calculation Sheet'!$AD$4:$AD$40,$AL$25)))</f>
        <v/>
      </c>
      <c r="AF25" s="127">
        <f>IF($AL$25="","",IF(INDEX('Final Calculation Sheet'!$AD$4:$AD$40,$AL$25)&lt;=5,"SETTLED","OUTSTANDING"))</f>
        <v/>
      </c>
      <c r="AG25" s="122">
        <f>IF($AL$25="","",IF(INDEX('Final Calculation Sheet'!$AF$4:$AF$40,$AL$25)="","",INDEX('Final Calculation Sheet'!$AF$4:$AF$40,$AL$25)))</f>
        <v/>
      </c>
      <c r="AH25" s="126">
        <f>IF($AL$25="","",IF(INDEX('Final Calculation Sheet'!$AG$4:$AG$40,$AL$25)="","",INDEX('Final Calculation Sheet'!$AG$4:$AG$40,$AL$25)))</f>
        <v/>
      </c>
      <c r="AI25" s="122">
        <f>IF($AL$25="","",IF(INDEX('Final Calculation Sheet'!$AH$4:$AH$40,$AL$25)="","",INDEX('Final Calculation Sheet'!$AH$4:$AH$40,$AL$25)))</f>
        <v/>
      </c>
      <c r="AJ25">
        <f>IF(AND(IF($B$4="",TRUE(),IF($B$4="(blank)",'Final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Sheet'!$AD$23&lt;=5,"SETTLED","OUTSTANDING"))))))),1,0)</f>
      </c>
      <c r="AK25">
        <f>IF(AJ25=1,COUNTIF(AJ$6:AJ25,1),"")</f>
        <v/>
      </c>
      <c r="AL25">
        <f>IF(COUNTIF($B$4:$AI$4,"&lt;&gt;")=0,"",IFERROR(MATCH(19,$AK$6:$AK$42,0),""))</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CU24+IF(AND(Lists!$FI$25&lt;&gt;"",ISNUMBER(SEARCH($AG$4,Lists!$FI$25))),1,0)</f>
        <v/>
      </c>
      <c r="CV25">
        <f>IF(ROW()-3&gt;MAX($CU$4:$CU$42),"",INDEX(Lists!$FI$4:$FI$42,MATCH(ROW()-3,$CU$4:$CU$42,0)))</f>
        <v/>
      </c>
      <c r="CW25">
        <f>CW24+IF(AND(Lists!$FN$25&lt;&gt;"",ISNUMBER(SEARCH($AH$4,Lists!$FN$25))),1,0)</f>
        <v/>
      </c>
      <c r="CX25">
        <f>IF(ROW()-3&gt;MAX($CW$4:$CW$42),"",INDEX(Lists!$FN$4:$FN$42,MATCH(ROW()-3,$CW$4:$CW$42,0)))</f>
        <v/>
      </c>
      <c r="CY25">
        <f>CY24+IF(AND(Lists!$FS$25&lt;&gt;"",ISNUMBER(SEARCH($AI$4,Lists!$FS$25))),1,0)</f>
        <v/>
      </c>
      <c r="CZ25">
        <f>IF(ROW()-3&gt;MAX($CY$4:$CY$42),"",INDEX(Lists!$FS$4:$FS$42,MATCH(ROW()-3,$CY$4:$CY$42,0)))</f>
        <v/>
      </c>
      <c r="DA25">
        <f>DA24+IF(AND(Lists!$FX$25&lt;&gt;"",ISNUMBER(SEARCH($AF$4,Lists!$FX$25))),1,0)</f>
        <v/>
      </c>
      <c r="DB25">
        <f>IF(ROW()-3&gt;MAX($DA$4:$DA$42),"",INDEX(Lists!$FX$4:$FX$42,MATCH(ROW()-3,$DA$4:$DA$42,0)))</f>
        <v/>
      </c>
      <c r="DG25">
        <f>IF($B$4="",1,IF($B$4="(blank)",--('Final Calculation Sheet'!$F$23=""),IF($B$4="(nonblank)",--('Final Calculation Sheet'!$F$23&lt;&gt;""),--ISNUMBER(SEARCH($B$4,'Final Calculation Sheet'!$F$23)))))</f>
        <v/>
      </c>
      <c r="DH25">
        <f>IF($C$4="",1,IF($C$4="(blank)",--('Final Calculation Sheet'!$G$23=""),IF($C$4="(nonblank)",--('Final Calculation Sheet'!$G$23&lt;&gt;""),--ISNUMBER(SEARCH($C$4,'Final Calculation Sheet'!$G$23)))))</f>
        <v/>
      </c>
      <c r="DI25">
        <f>IF($D$4="",1,IF($D$4="(blank)",--('Final Calculation Sheet'!$B$23=""),IF($D$4="(nonblank)",--('Final Calculation Sheet'!$B$23&lt;&gt;""),--ISNUMBER(SEARCH($D$4,'Final Calculation Sheet'!$B$23)))))</f>
        <v/>
      </c>
      <c r="DJ25">
        <f>IF($E$4="",1,IF($E$4="(blank)",--('Final Calculation Sheet'!$D$23=""),IF($E$4="(nonblank)",--('Final Calculation Sheet'!$D$23&lt;&gt;""),--ISNUMBER(SEARCH($E$4,'Final Calculation Sheet'!$D$23)))))</f>
        <v/>
      </c>
      <c r="DK25">
        <f>IF($F$4="",1,IF($F$4="(blank)",--('Final Calculation Sheet'!$A$23=""),IF($F$4="(nonblank)",--('Final Calculation Sheet'!$A$23&lt;&gt;""),--ISNUMBER(SEARCH($F$4,'Final Calculation Sheet'!$A$23)))))</f>
        <v/>
      </c>
      <c r="DL25">
        <f>IF($G$4="",1,IF($G$4="(blank)",--('Final Calculation Sheet'!$E$23=""),IF($G$4="(nonblank)",--('Final Calculation Sheet'!$E$23&lt;&gt;""),--ISNUMBER(SEARCH($G$4,'Final Calculation Sheet'!$E$23)))))</f>
        <v/>
      </c>
      <c r="DM25">
        <f>IF($H$4="",1,IF($H$4="(blank)",--('Final Calculation Sheet'!$C$23=""),IF($H$4="(nonblank)",--('Final Calculation Sheet'!$C$23&lt;&gt;""),--ISNUMBER(SEARCH($H$4,'Final Calculation Sheet'!$C$23)))))</f>
        <v/>
      </c>
      <c r="DN25">
        <f>IF($I$4="",1,IF($I$4="(blank)",--('Final Calculation Sheet'!$H$23=""),IF($I$4="(nonblank)",--('Final Calculation Sheet'!$H$23&lt;&gt;""),--ISNUMBER(SEARCH($I$4,'Final Calculation Sheet'!$H$23)))))</f>
        <v/>
      </c>
      <c r="DO25">
        <f>IF($J$4="",1,IF($J$4="(blank)",--('Final Calculation Sheet'!$I$23=""),IF($J$4="(nonblank)",--('Final Calculation Sheet'!$I$23&lt;&gt;""),--ISNUMBER(SEARCH($J$4,'Final Calculation Sheet'!$I$23)))))</f>
        <v/>
      </c>
      <c r="DP25">
        <f>IF($K$4="",1,IF($K$4="(blank)",--('Final Calculation Sheet'!$J$23=""),IF($K$4="(nonblank)",--('Final Calculation Sheet'!$J$23&lt;&gt;""),--ISNUMBER(SEARCH($K$4,'Final Calculation Sheet'!$J$23)))))</f>
        <v/>
      </c>
      <c r="DQ25">
        <f>IF($L$4="",1,IF($L$4="(blank)",--('Final Calculation Sheet'!$K$23=""),IF($L$4="(nonblank)",--('Final Calculation Sheet'!$K$23&lt;&gt;""),--ISNUMBER(SEARCH($L$4,'Final Calculation Sheet'!$K$23)))))</f>
        <v/>
      </c>
      <c r="DR25">
        <f>IF($M$4="",1,IF($M$4="(blank)",--('Final Calculation Sheet'!$L$23=""),IF($M$4="(nonblank)",--('Final Calculation Sheet'!$L$23&lt;&gt;""),--ISNUMBER(SEARCH($M$4,'Final Calculation Sheet'!$L$23)))))</f>
        <v/>
      </c>
      <c r="DS25">
        <f>IF($N$4="",1,IF($N$4="(blank)",--('Final Calculation Sheet'!$M$23=""),IF($N$4="(nonblank)",--('Final Calculation Sheet'!$M$23&lt;&gt;""),--ISNUMBER(SEARCH($N$4,'Final Calculation Sheet'!$M$23)))))</f>
        <v/>
      </c>
      <c r="DT25">
        <f>IF($O$4="",1,IF($O$4="(blank)",--('Final Calculation Sheet'!$N$23=""),IF($O$4="(nonblank)",--('Final Calculation Sheet'!$N$23&lt;&gt;""),--ISNUMBER(SEARCH($O$4,'Final Calculation Sheet'!$N$23)))))</f>
        <v/>
      </c>
      <c r="DU25">
        <f>IF($P$4="",1,IF($P$4="(blank)",--('Final Calculation Sheet'!$O$23=""),IF($P$4="(nonblank)",--('Final Calculation Sheet'!$O$23&lt;&gt;""),--ISNUMBER(SEARCH($P$4,'Final Calculation Sheet'!$O$23)))))</f>
        <v/>
      </c>
      <c r="DV25">
        <f>IF($Q$4="",1,IF($Q$4="(blank)",--('Final Calculation Sheet'!$P$23=""),IF($Q$4="(nonblank)",--('Final Calculation Sheet'!$P$23&lt;&gt;""),--ISNUMBER(SEARCH($Q$4,'Final Calculation Sheet'!$P$23)))))</f>
        <v/>
      </c>
      <c r="DW25">
        <f>IF($R$4="",1,IF($R$4="(blank)",--('Final Calculation Sheet'!$Q$23=""),IF($R$4="(nonblank)",--('Final Calculation Sheet'!$Q$23&lt;&gt;""),--ISNUMBER(SEARCH($R$4,'Final Calculation Sheet'!$Q$23)))))</f>
        <v/>
      </c>
      <c r="DX25">
        <f>IF($S$4="",1,IF($S$4="(blank)",--('Final Calculation Sheet'!$R$23=""),IF($S$4="(nonblank)",--('Final Calculation Sheet'!$R$23&lt;&gt;""),--ISNUMBER(SEARCH($S$4,'Final Calculation Sheet'!$R$23)))))</f>
        <v/>
      </c>
      <c r="DY25">
        <f>IF($T$4="",1,IF($T$4="(blank)",--('Final Calculation Sheet'!$S$23=""),IF($T$4="(nonblank)",--('Final Calculation Sheet'!$S$23&lt;&gt;""),--ISNUMBER(SEARCH($T$4,'Final Calculation Sheet'!$S$23)))))</f>
        <v/>
      </c>
      <c r="DZ25">
        <f>IF($U$4="",1,IF($U$4="(blank)",--('Final Calculation Sheet'!$T$23=""),IF($U$4="(nonblank)",--('Final Calculation Sheet'!$T$23&lt;&gt;""),--ISNUMBER(SEARCH($U$4,'Final Calculation Sheet'!$T$23)))))</f>
        <v/>
      </c>
      <c r="EA25">
        <f>IF($V$4="",1,IF($V$4="(blank)",--('Final Calculation Sheet'!$U$23=""),IF($V$4="(nonblank)",--('Final Calculation Sheet'!$U$23&lt;&gt;""),--ISNUMBER(SEARCH($V$4,'Final Calculation Sheet'!$U$23)))))</f>
        <v/>
      </c>
      <c r="EB25">
        <f>IF($W$4="",1,IF($W$4="(blank)",--('Final Calculation Sheet'!$V$23=""),IF($W$4="(nonblank)",--('Final Calculation Sheet'!$V$23&lt;&gt;""),--ISNUMBER(SEARCH($W$4,'Final Calculation Sheet'!$V$23)))))</f>
        <v/>
      </c>
      <c r="EC25">
        <f>IF($X$4="",1,IF($X$4="(blank)",--('Final Calculation Sheet'!$W$23=""),IF($X$4="(nonblank)",--('Final Calculation Sheet'!$W$23&lt;&gt;""),--ISNUMBER(SEARCH($X$4,'Final Calculation Sheet'!$W$23)))))</f>
        <v/>
      </c>
      <c r="ED25">
        <f>IF($Y$4="",1,IF($Y$4="(blank)",--('Final Calculation Sheet'!$X$23=""),IF($Y$4="(nonblank)",--('Final Calculation Sheet'!$X$23&lt;&gt;""),--ISNUMBER(SEARCH($Y$4,'Final Calculation Sheet'!$X$23)))))</f>
        <v/>
      </c>
      <c r="EE25">
        <f>IF($Z$4="",1,IF($Z$4="(blank)",--('Final Calculation Sheet'!$Y$23=""),IF($Z$4="(nonblank)",--('Final Calculation Sheet'!$Y$23&lt;&gt;""),--ISNUMBER(SEARCH($Z$4,'Final Calculation Sheet'!$Y$23)))))</f>
        <v/>
      </c>
      <c r="EF25">
        <f>IF($AA$4="",1,IF($AA$4="(blank)",--('Final Calculation Sheet'!$Z$23=""),IF($AA$4="(nonblank)",--('Final Calculation Sheet'!$Z$23&lt;&gt;""),--ISNUMBER(SEARCH($AA$4,'Final Calculation Sheet'!$Z$23)))))</f>
        <v/>
      </c>
      <c r="EG25">
        <f>IF($AB$4="",1,IF($AB$4="(blank)",--('Final Calculation Sheet'!$AA$23=""),IF($AB$4="(nonblank)",--('Final Calculation Sheet'!$AA$23&lt;&gt;""),--ISNUMBER(SEARCH($AB$4,'Final Calculation Sheet'!$AA$23)))))</f>
        <v/>
      </c>
      <c r="EH25">
        <f>IF($AC$4="",1,IF($AC$4="(blank)",--('Final Calculation Sheet'!$AB$23=""),IF($AC$4="(nonblank)",--('Final Calculation Sheet'!$AB$23&lt;&gt;""),--ISNUMBER(SEARCH($AC$4,'Final Calculation Sheet'!$AB$23)))))</f>
        <v/>
      </c>
      <c r="EI25">
        <f>IF($AD$4="",1,IF($AD$4="(blank)",--('Final Calculation Sheet'!$AC$23=""),IF($AD$4="(nonblank)",--('Final Calculation Sheet'!$AC$23&lt;&gt;""),--ISNUMBER(SEARCH($AD$4,'Final Calculation Sheet'!$AC$23)))))</f>
        <v/>
      </c>
      <c r="EJ25">
        <f>IF($AE$4="",1,IF($AE$4="(blank)",--('Final Calculation Sheet'!$AD$23=""),IF($AE$4="(nonblank)",--('Final Calculation Sheet'!$AD$23&lt;&gt;""),--ISNUMBER(SEARCH($AE$4,'Final Calculation Sheet'!$AD$23)))))</f>
        <v/>
      </c>
      <c r="EK25">
        <f>IF($AF$4="",1,IF($AF$4="(blank)",--(IF('Final Calculation Sheet'!$AD$23&lt;=5,"SETTLED","OUTSTANDING")=""),IF($AF$4="(nonblank)",--(IF('Final Calculation Sheet'!$AD$23&lt;=5,"SETTLED","OUTSTANDING")&lt;&gt;""),--ISNUMBER(SEARCH($AF$4,IF('Final Calculation Sheet'!$AD$23&lt;=5,"SETTLED","OUTSTANDING"))))))</f>
        <v/>
      </c>
      <c r="EL25">
        <f>IF($AG$4="",1,IF($AG$4="(blank)",--('Final Calculation Sheet'!$AF$23=""),IF($AG$4="(nonblank)",--('Final Calculation Sheet'!$AF$23&lt;&gt;""),--ISNUMBER(SEARCH($AG$4,'Final Calculation Sheet'!$AF$23)))))</f>
        <v/>
      </c>
      <c r="EM25">
        <f>IF($AH$4="",1,IF($AH$4="(blank)",--('Final Calculation Sheet'!$AG$23=""),IF($AH$4="(nonblank)",--('Final Calculation Sheet'!$AG$23&lt;&gt;""),--ISNUMBER(SEARCH($AH$4,'Final Calculation Sheet'!$AG$23)))))</f>
        <v/>
      </c>
      <c r="EN25">
        <f>IF($AI$4="",1,IF($AI$4="(blank)",--('Final Calculation Sheet'!$AH$23=""),IF($AI$4="(nonblank)",--('Final Calculation Sheet'!$AH$23&lt;&gt;""),--ISNUMBER(SEARCH($AI$4,'Final Calculation Sheet'!$AH$23)))))</f>
        <v/>
      </c>
    </row>
    <row r="26" outlineLevel="1" hidden="1">
      <c r="A26" s="128">
        <f>IF($AL$26="","",20)</f>
        <v/>
      </c>
      <c r="B26" s="129">
        <f>IF($AL$26="","",IF(INDEX('Final Calculation Sheet'!$F$4:$F$40,$AL$26)="","",INDEX('Final Calculation Sheet'!$F$4:$F$40,$AL$26)))</f>
        <v/>
      </c>
      <c r="C26" s="129">
        <f>IF($AL$26="","",IF(INDEX('Final Calculation Sheet'!$G$4:$G$40,$AL$26)="","",INDEX('Final Calculation Sheet'!$G$4:$G$40,$AL$26)))</f>
        <v/>
      </c>
      <c r="D26" s="130">
        <f>IF($AL$26="","",IF(INDEX('Final Calculation Sheet'!$B$4:$B$40,$AL$26)="","",INDEX('Final Calculation Sheet'!$B$4:$B$40,$AL$26)))</f>
        <v/>
      </c>
      <c r="E26" s="130">
        <f>IF($AL$26="","",IF(INDEX('Final Calculation Sheet'!$D$4:$D$40,$AL$26)="","",INDEX('Final Calculation Sheet'!$D$4:$D$40,$AL$26)))</f>
        <v/>
      </c>
      <c r="F26" s="130">
        <f>IF($AL$26="","",IF(INDEX('Final Calculation Sheet'!$A$4:$A$40,$AL$26)="","",INDEX('Final Calculation Sheet'!$A$4:$A$40,$AL$26)))</f>
        <v/>
      </c>
      <c r="G26" s="130">
        <f>IF($AL$26="","",IF(INDEX('Final Calculation Sheet'!$E$4:$E$40,$AL$26)="","",INDEX('Final Calculation Sheet'!$E$4:$E$40,$AL$26)))</f>
        <v/>
      </c>
      <c r="H26" s="131">
        <f>IF($AL$26="","",IF(INDEX('Final Calculation Sheet'!$C$4:$C$40,$AL$26)="","",INDEX('Final Calculation Sheet'!$C$4:$C$40,$AL$26)))</f>
        <v/>
      </c>
      <c r="I26" s="131">
        <f>IF($AL$26="","",IF(INDEX('Final Calculation Sheet'!$H$4:$H$40,$AL$26)="","",INDEX('Final Calculation Sheet'!$H$4:$H$40,$AL$26)))</f>
        <v/>
      </c>
      <c r="J26" s="131">
        <f>IF($AL$26="","",IF(INDEX('Final Calculation Sheet'!$I$4:$I$40,$AL$26)="","",INDEX('Final Calculation Sheet'!$I$4:$I$40,$AL$26)))</f>
        <v/>
      </c>
      <c r="K26" s="131">
        <f>IF($AL$26="","",IF(INDEX('Final Calculation Sheet'!$J$4:$J$40,$AL$26)="","",INDEX('Final Calculation Sheet'!$J$4:$J$40,$AL$26)))</f>
        <v/>
      </c>
      <c r="L26" s="131">
        <f>IF($AL$26="","",IF(INDEX('Final Calculation Sheet'!$K$4:$K$40,$AL$26)="","",INDEX('Final Calculation Sheet'!$K$4:$K$40,$AL$26)))</f>
        <v/>
      </c>
      <c r="M26" s="131">
        <f>IF($AL$26="","",IF(INDEX('Final Calculation Sheet'!$L$4:$L$40,$AL$26)="","",INDEX('Final Calculation Sheet'!$L$4:$L$40,$AL$26)))</f>
        <v/>
      </c>
      <c r="N26" s="131">
        <f>IF($AL$26="","",IF(INDEX('Final Calculation Sheet'!$M$4:$M$40,$AL$26)="","",INDEX('Final Calculation Sheet'!$M$4:$M$40,$AL$26)))</f>
        <v/>
      </c>
      <c r="O26" s="132">
        <f>IF($AL$26="","",IF(INDEX('Final Calculation Sheet'!$N$4:$N$40,$AL$26)="","",INDEX('Final Calculation Sheet'!$N$4:$N$40,$AL$26)))</f>
        <v/>
      </c>
      <c r="P26" s="131">
        <f>IF($AL$26="","",IF(INDEX('Final Calculation Sheet'!$O$4:$O$40,$AL$26)="","",INDEX('Final Calculation Sheet'!$O$4:$O$40,$AL$26)))</f>
        <v/>
      </c>
      <c r="Q26" s="131">
        <f>IF($AL$26="","",IF(INDEX('Final Calculation Sheet'!$P$4:$P$40,$AL$26)="","",INDEX('Final Calculation Sheet'!$P$4:$P$40,$AL$26)))</f>
        <v/>
      </c>
      <c r="R26" s="133">
        <f>IF($AL$26="","",IF(INDEX('Final Calculation Sheet'!$Q$4:$Q$40,$AL$26)="","",INDEX('Final Calculation Sheet'!$Q$4:$Q$40,$AL$26)))</f>
        <v/>
      </c>
      <c r="S26" s="131">
        <f>IF($AL$26="","",IF(INDEX('Final Calculation Sheet'!$R$4:$R$40,$AL$26)="","",INDEX('Final Calculation Sheet'!$R$4:$R$40,$AL$26)))</f>
        <v/>
      </c>
      <c r="T26" s="131">
        <f>IF($AL$26="","",IF(INDEX('Final Calculation Sheet'!$S$4:$S$40,$AL$26)="","",INDEX('Final Calculation Sheet'!$S$4:$S$40,$AL$26)))</f>
        <v/>
      </c>
      <c r="U26" s="131">
        <f>IF($AL$26="","",IF(INDEX('Final Calculation Sheet'!$T$4:$T$40,$AL$26)="","",INDEX('Final Calculation Sheet'!$T$4:$T$40,$AL$26)))</f>
        <v/>
      </c>
      <c r="V26" s="134">
        <f>IF($AL$26="","",IF(INDEX('Final Calculation Sheet'!$U$4:$U$40,$AL$26)="","",INDEX('Final Calculation Sheet'!$U$4:$U$40,$AL$26)))</f>
        <v/>
      </c>
      <c r="W26" s="131">
        <f>IF($AL$26="","",IF(INDEX('Final Calculation Sheet'!$V$4:$V$40,$AL$26)="","",INDEX('Final Calculation Sheet'!$V$4:$V$40,$AL$26)))</f>
        <v/>
      </c>
      <c r="X26" s="131">
        <f>IF($AL$26="","",IF(INDEX('Final Calculation Sheet'!$W$4:$W$40,$AL$26)="","",INDEX('Final Calculation Sheet'!$W$4:$W$40,$AL$26)))</f>
        <v/>
      </c>
      <c r="Y26" s="131">
        <f>IF($AL$26="","",IF(INDEX('Final Calculation Sheet'!$X$4:$X$40,$AL$26)="","",INDEX('Final Calculation Sheet'!$X$4:$X$40,$AL$26)))</f>
        <v/>
      </c>
      <c r="Z26" s="131">
        <f>IF($AL$26="","",IF(INDEX('Final Calculation Sheet'!$Y$4:$Y$40,$AL$26)="","",INDEX('Final Calculation Sheet'!$Y$4:$Y$40,$AL$26)))</f>
        <v/>
      </c>
      <c r="AA26" s="131">
        <f>IF($AL$26="","",IF(INDEX('Final Calculation Sheet'!$Z$4:$Z$40,$AL$26)="","",INDEX('Final Calculation Sheet'!$Z$4:$Z$40,$AL$26)))</f>
        <v/>
      </c>
      <c r="AB26" s="131">
        <f>IF($AL$26="","",IF(INDEX('Final Calculation Sheet'!$AA$4:$AA$40,$AL$26)="","",INDEX('Final Calculation Sheet'!$AA$4:$AA$40,$AL$26)))</f>
        <v/>
      </c>
      <c r="AC26" s="131">
        <f>IF($AL$26="","",IF(INDEX('Final Calculation Sheet'!$AB$4:$AB$40,$AL$26)="","",INDEX('Final Calculation Sheet'!$AB$4:$AB$40,$AL$26)))</f>
        <v/>
      </c>
      <c r="AD26" s="131">
        <f>IF($AL$26="","",IF(INDEX('Final Calculation Sheet'!$AC$4:$AC$40,$AL$26)="","",INDEX('Final Calculation Sheet'!$AC$4:$AC$40,$AL$26)))</f>
        <v/>
      </c>
      <c r="AE26" s="131">
        <f>IF($AL$26="","",IF(INDEX('Final Calculation Sheet'!$AD$4:$AD$40,$AL$26)="","",INDEX('Final Calculation Sheet'!$AD$4:$AD$40,$AL$26)))</f>
        <v/>
      </c>
      <c r="AF26" s="136">
        <f>IF($AL$26="","",IF(INDEX('Final Calculation Sheet'!$AD$4:$AD$40,$AL$26)&lt;=5,"SETTLED","OUTSTANDING"))</f>
        <v/>
      </c>
      <c r="AG26" s="131">
        <f>IF($AL$26="","",IF(INDEX('Final Calculation Sheet'!$AF$4:$AF$40,$AL$26)="","",INDEX('Final Calculation Sheet'!$AF$4:$AF$40,$AL$26)))</f>
        <v/>
      </c>
      <c r="AH26" s="135">
        <f>IF($AL$26="","",IF(INDEX('Final Calculation Sheet'!$AG$4:$AG$40,$AL$26)="","",INDEX('Final Calculation Sheet'!$AG$4:$AG$40,$AL$26)))</f>
        <v/>
      </c>
      <c r="AI26" s="131">
        <f>IF($AL$26="","",IF(INDEX('Final Calculation Sheet'!$AH$4:$AH$40,$AL$26)="","",INDEX('Final Calculation Sheet'!$AH$4:$AH$40,$AL$26)))</f>
        <v/>
      </c>
      <c r="AJ26">
        <f>IF(AND(IF($B$4="",TRUE(),IF($B$4="(blank)",'Final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Sheet'!$AD$24&lt;=5,"SETTLED","OUTSTANDING"))))))),1,0)</f>
      </c>
      <c r="AK26">
        <f>IF(AJ26=1,COUNTIF(AJ$6:AJ26,1),"")</f>
        <v/>
      </c>
      <c r="AL26">
        <f>IF(COUNTIF($B$4:$AI$4,"&lt;&gt;")=0,"",IFERROR(MATCH(20,$AK$6:$AK$42,0),""))</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CU25+IF(AND(Lists!$FI$26&lt;&gt;"",ISNUMBER(SEARCH($AG$4,Lists!$FI$26))),1,0)</f>
        <v/>
      </c>
      <c r="CV26">
        <f>IF(ROW()-3&gt;MAX($CU$4:$CU$42),"",INDEX(Lists!$FI$4:$FI$42,MATCH(ROW()-3,$CU$4:$CU$42,0)))</f>
        <v/>
      </c>
      <c r="CW26">
        <f>CW25+IF(AND(Lists!$FN$26&lt;&gt;"",ISNUMBER(SEARCH($AH$4,Lists!$FN$26))),1,0)</f>
        <v/>
      </c>
      <c r="CX26">
        <f>IF(ROW()-3&gt;MAX($CW$4:$CW$42),"",INDEX(Lists!$FN$4:$FN$42,MATCH(ROW()-3,$CW$4:$CW$42,0)))</f>
        <v/>
      </c>
      <c r="CY26">
        <f>CY25+IF(AND(Lists!$FS$26&lt;&gt;"",ISNUMBER(SEARCH($AI$4,Lists!$FS$26))),1,0)</f>
        <v/>
      </c>
      <c r="CZ26">
        <f>IF(ROW()-3&gt;MAX($CY$4:$CY$42),"",INDEX(Lists!$FS$4:$FS$42,MATCH(ROW()-3,$CY$4:$CY$42,0)))</f>
        <v/>
      </c>
      <c r="DA26">
        <f>DA25+IF(AND(Lists!$FX$26&lt;&gt;"",ISNUMBER(SEARCH($AF$4,Lists!$FX$26))),1,0)</f>
        <v/>
      </c>
      <c r="DB26">
        <f>IF(ROW()-3&gt;MAX($DA$4:$DA$42),"",INDEX(Lists!$FX$4:$FX$42,MATCH(ROW()-3,$DA$4:$DA$42,0)))</f>
        <v/>
      </c>
      <c r="DG26">
        <f>IF($B$4="",1,IF($B$4="(blank)",--('Final Calculation Sheet'!$F$24=""),IF($B$4="(nonblank)",--('Final Calculation Sheet'!$F$24&lt;&gt;""),--ISNUMBER(SEARCH($B$4,'Final Calculation Sheet'!$F$24)))))</f>
        <v/>
      </c>
      <c r="DH26">
        <f>IF($C$4="",1,IF($C$4="(blank)",--('Final Calculation Sheet'!$G$24=""),IF($C$4="(nonblank)",--('Final Calculation Sheet'!$G$24&lt;&gt;""),--ISNUMBER(SEARCH($C$4,'Final Calculation Sheet'!$G$24)))))</f>
        <v/>
      </c>
      <c r="DI26">
        <f>IF($D$4="",1,IF($D$4="(blank)",--('Final Calculation Sheet'!$B$24=""),IF($D$4="(nonblank)",--('Final Calculation Sheet'!$B$24&lt;&gt;""),--ISNUMBER(SEARCH($D$4,'Final Calculation Sheet'!$B$24)))))</f>
        <v/>
      </c>
      <c r="DJ26">
        <f>IF($E$4="",1,IF($E$4="(blank)",--('Final Calculation Sheet'!$D$24=""),IF($E$4="(nonblank)",--('Final Calculation Sheet'!$D$24&lt;&gt;""),--ISNUMBER(SEARCH($E$4,'Final Calculation Sheet'!$D$24)))))</f>
        <v/>
      </c>
      <c r="DK26">
        <f>IF($F$4="",1,IF($F$4="(blank)",--('Final Calculation Sheet'!$A$24=""),IF($F$4="(nonblank)",--('Final Calculation Sheet'!$A$24&lt;&gt;""),--ISNUMBER(SEARCH($F$4,'Final Calculation Sheet'!$A$24)))))</f>
        <v/>
      </c>
      <c r="DL26">
        <f>IF($G$4="",1,IF($G$4="(blank)",--('Final Calculation Sheet'!$E$24=""),IF($G$4="(nonblank)",--('Final Calculation Sheet'!$E$24&lt;&gt;""),--ISNUMBER(SEARCH($G$4,'Final Calculation Sheet'!$E$24)))))</f>
        <v/>
      </c>
      <c r="DM26">
        <f>IF($H$4="",1,IF($H$4="(blank)",--('Final Calculation Sheet'!$C$24=""),IF($H$4="(nonblank)",--('Final Calculation Sheet'!$C$24&lt;&gt;""),--ISNUMBER(SEARCH($H$4,'Final Calculation Sheet'!$C$24)))))</f>
        <v/>
      </c>
      <c r="DN26">
        <f>IF($I$4="",1,IF($I$4="(blank)",--('Final Calculation Sheet'!$H$24=""),IF($I$4="(nonblank)",--('Final Calculation Sheet'!$H$24&lt;&gt;""),--ISNUMBER(SEARCH($I$4,'Final Calculation Sheet'!$H$24)))))</f>
        <v/>
      </c>
      <c r="DO26">
        <f>IF($J$4="",1,IF($J$4="(blank)",--('Final Calculation Sheet'!$I$24=""),IF($J$4="(nonblank)",--('Final Calculation Sheet'!$I$24&lt;&gt;""),--ISNUMBER(SEARCH($J$4,'Final Calculation Sheet'!$I$24)))))</f>
        <v/>
      </c>
      <c r="DP26">
        <f>IF($K$4="",1,IF($K$4="(blank)",--('Final Calculation Sheet'!$J$24=""),IF($K$4="(nonblank)",--('Final Calculation Sheet'!$J$24&lt;&gt;""),--ISNUMBER(SEARCH($K$4,'Final Calculation Sheet'!$J$24)))))</f>
        <v/>
      </c>
      <c r="DQ26">
        <f>IF($L$4="",1,IF($L$4="(blank)",--('Final Calculation Sheet'!$K$24=""),IF($L$4="(nonblank)",--('Final Calculation Sheet'!$K$24&lt;&gt;""),--ISNUMBER(SEARCH($L$4,'Final Calculation Sheet'!$K$24)))))</f>
        <v/>
      </c>
      <c r="DR26">
        <f>IF($M$4="",1,IF($M$4="(blank)",--('Final Calculation Sheet'!$L$24=""),IF($M$4="(nonblank)",--('Final Calculation Sheet'!$L$24&lt;&gt;""),--ISNUMBER(SEARCH($M$4,'Final Calculation Sheet'!$L$24)))))</f>
        <v/>
      </c>
      <c r="DS26">
        <f>IF($N$4="",1,IF($N$4="(blank)",--('Final Calculation Sheet'!$M$24=""),IF($N$4="(nonblank)",--('Final Calculation Sheet'!$M$24&lt;&gt;""),--ISNUMBER(SEARCH($N$4,'Final Calculation Sheet'!$M$24)))))</f>
        <v/>
      </c>
      <c r="DT26">
        <f>IF($O$4="",1,IF($O$4="(blank)",--('Final Calculation Sheet'!$N$24=""),IF($O$4="(nonblank)",--('Final Calculation Sheet'!$N$24&lt;&gt;""),--ISNUMBER(SEARCH($O$4,'Final Calculation Sheet'!$N$24)))))</f>
        <v/>
      </c>
      <c r="DU26">
        <f>IF($P$4="",1,IF($P$4="(blank)",--('Final Calculation Sheet'!$O$24=""),IF($P$4="(nonblank)",--('Final Calculation Sheet'!$O$24&lt;&gt;""),--ISNUMBER(SEARCH($P$4,'Final Calculation Sheet'!$O$24)))))</f>
        <v/>
      </c>
      <c r="DV26">
        <f>IF($Q$4="",1,IF($Q$4="(blank)",--('Final Calculation Sheet'!$P$24=""),IF($Q$4="(nonblank)",--('Final Calculation Sheet'!$P$24&lt;&gt;""),--ISNUMBER(SEARCH($Q$4,'Final Calculation Sheet'!$P$24)))))</f>
        <v/>
      </c>
      <c r="DW26">
        <f>IF($R$4="",1,IF($R$4="(blank)",--('Final Calculation Sheet'!$Q$24=""),IF($R$4="(nonblank)",--('Final Calculation Sheet'!$Q$24&lt;&gt;""),--ISNUMBER(SEARCH($R$4,'Final Calculation Sheet'!$Q$24)))))</f>
        <v/>
      </c>
      <c r="DX26">
        <f>IF($S$4="",1,IF($S$4="(blank)",--('Final Calculation Sheet'!$R$24=""),IF($S$4="(nonblank)",--('Final Calculation Sheet'!$R$24&lt;&gt;""),--ISNUMBER(SEARCH($S$4,'Final Calculation Sheet'!$R$24)))))</f>
        <v/>
      </c>
      <c r="DY26">
        <f>IF($T$4="",1,IF($T$4="(blank)",--('Final Calculation Sheet'!$S$24=""),IF($T$4="(nonblank)",--('Final Calculation Sheet'!$S$24&lt;&gt;""),--ISNUMBER(SEARCH($T$4,'Final Calculation Sheet'!$S$24)))))</f>
        <v/>
      </c>
      <c r="DZ26">
        <f>IF($U$4="",1,IF($U$4="(blank)",--('Final Calculation Sheet'!$T$24=""),IF($U$4="(nonblank)",--('Final Calculation Sheet'!$T$24&lt;&gt;""),--ISNUMBER(SEARCH($U$4,'Final Calculation Sheet'!$T$24)))))</f>
        <v/>
      </c>
      <c r="EA26">
        <f>IF($V$4="",1,IF($V$4="(blank)",--('Final Calculation Sheet'!$U$24=""),IF($V$4="(nonblank)",--('Final Calculation Sheet'!$U$24&lt;&gt;""),--ISNUMBER(SEARCH($V$4,'Final Calculation Sheet'!$U$24)))))</f>
        <v/>
      </c>
      <c r="EB26">
        <f>IF($W$4="",1,IF($W$4="(blank)",--('Final Calculation Sheet'!$V$24=""),IF($W$4="(nonblank)",--('Final Calculation Sheet'!$V$24&lt;&gt;""),--ISNUMBER(SEARCH($W$4,'Final Calculation Sheet'!$V$24)))))</f>
        <v/>
      </c>
      <c r="EC26">
        <f>IF($X$4="",1,IF($X$4="(blank)",--('Final Calculation Sheet'!$W$24=""),IF($X$4="(nonblank)",--('Final Calculation Sheet'!$W$24&lt;&gt;""),--ISNUMBER(SEARCH($X$4,'Final Calculation Sheet'!$W$24)))))</f>
        <v/>
      </c>
      <c r="ED26">
        <f>IF($Y$4="",1,IF($Y$4="(blank)",--('Final Calculation Sheet'!$X$24=""),IF($Y$4="(nonblank)",--('Final Calculation Sheet'!$X$24&lt;&gt;""),--ISNUMBER(SEARCH($Y$4,'Final Calculation Sheet'!$X$24)))))</f>
        <v/>
      </c>
      <c r="EE26">
        <f>IF($Z$4="",1,IF($Z$4="(blank)",--('Final Calculation Sheet'!$Y$24=""),IF($Z$4="(nonblank)",--('Final Calculation Sheet'!$Y$24&lt;&gt;""),--ISNUMBER(SEARCH($Z$4,'Final Calculation Sheet'!$Y$24)))))</f>
        <v/>
      </c>
      <c r="EF26">
        <f>IF($AA$4="",1,IF($AA$4="(blank)",--('Final Calculation Sheet'!$Z$24=""),IF($AA$4="(nonblank)",--('Final Calculation Sheet'!$Z$24&lt;&gt;""),--ISNUMBER(SEARCH($AA$4,'Final Calculation Sheet'!$Z$24)))))</f>
        <v/>
      </c>
      <c r="EG26">
        <f>IF($AB$4="",1,IF($AB$4="(blank)",--('Final Calculation Sheet'!$AA$24=""),IF($AB$4="(nonblank)",--('Final Calculation Sheet'!$AA$24&lt;&gt;""),--ISNUMBER(SEARCH($AB$4,'Final Calculation Sheet'!$AA$24)))))</f>
        <v/>
      </c>
      <c r="EH26">
        <f>IF($AC$4="",1,IF($AC$4="(blank)",--('Final Calculation Sheet'!$AB$24=""),IF($AC$4="(nonblank)",--('Final Calculation Sheet'!$AB$24&lt;&gt;""),--ISNUMBER(SEARCH($AC$4,'Final Calculation Sheet'!$AB$24)))))</f>
        <v/>
      </c>
      <c r="EI26">
        <f>IF($AD$4="",1,IF($AD$4="(blank)",--('Final Calculation Sheet'!$AC$24=""),IF($AD$4="(nonblank)",--('Final Calculation Sheet'!$AC$24&lt;&gt;""),--ISNUMBER(SEARCH($AD$4,'Final Calculation Sheet'!$AC$24)))))</f>
        <v/>
      </c>
      <c r="EJ26">
        <f>IF($AE$4="",1,IF($AE$4="(blank)",--('Final Calculation Sheet'!$AD$24=""),IF($AE$4="(nonblank)",--('Final Calculation Sheet'!$AD$24&lt;&gt;""),--ISNUMBER(SEARCH($AE$4,'Final Calculation Sheet'!$AD$24)))))</f>
        <v/>
      </c>
      <c r="EK26">
        <f>IF($AF$4="",1,IF($AF$4="(blank)",--(IF('Final Calculation Sheet'!$AD$24&lt;=5,"SETTLED","OUTSTANDING")=""),IF($AF$4="(nonblank)",--(IF('Final Calculation Sheet'!$AD$24&lt;=5,"SETTLED","OUTSTANDING")&lt;&gt;""),--ISNUMBER(SEARCH($AF$4,IF('Final Calculation Sheet'!$AD$24&lt;=5,"SETTLED","OUTSTANDING"))))))</f>
        <v/>
      </c>
      <c r="EL26">
        <f>IF($AG$4="",1,IF($AG$4="(blank)",--('Final Calculation Sheet'!$AF$24=""),IF($AG$4="(nonblank)",--('Final Calculation Sheet'!$AF$24&lt;&gt;""),--ISNUMBER(SEARCH($AG$4,'Final Calculation Sheet'!$AF$24)))))</f>
        <v/>
      </c>
      <c r="EM26">
        <f>IF($AH$4="",1,IF($AH$4="(blank)",--('Final Calculation Sheet'!$AG$24=""),IF($AH$4="(nonblank)",--('Final Calculation Sheet'!$AG$24&lt;&gt;""),--ISNUMBER(SEARCH($AH$4,'Final Calculation Sheet'!$AG$24)))))</f>
        <v/>
      </c>
      <c r="EN26">
        <f>IF($AI$4="",1,IF($AI$4="(blank)",--('Final Calculation Sheet'!$AH$24=""),IF($AI$4="(nonblank)",--('Final Calculation Sheet'!$AH$24&lt;&gt;""),--ISNUMBER(SEARCH($AI$4,'Final Calculation Sheet'!$AH$24)))))</f>
        <v/>
      </c>
    </row>
    <row r="27" outlineLevel="1" hidden="1">
      <c r="A27" s="118">
        <f>IF($AL$27="","",21)</f>
        <v/>
      </c>
      <c r="B27" s="119">
        <f>IF($AL$27="","",IF(INDEX('Final Calculation Sheet'!$F$4:$F$40,$AL$27)="","",INDEX('Final Calculation Sheet'!$F$4:$F$40,$AL$27)))</f>
        <v/>
      </c>
      <c r="C27" s="119">
        <f>IF($AL$27="","",IF(INDEX('Final Calculation Sheet'!$G$4:$G$40,$AL$27)="","",INDEX('Final Calculation Sheet'!$G$4:$G$40,$AL$27)))</f>
        <v/>
      </c>
      <c r="D27" s="121">
        <f>IF($AL$27="","",IF(INDEX('Final Calculation Sheet'!$B$4:$B$40,$AL$27)="","",INDEX('Final Calculation Sheet'!$B$4:$B$40,$AL$27)))</f>
        <v/>
      </c>
      <c r="E27" s="121">
        <f>IF($AL$27="","",IF(INDEX('Final Calculation Sheet'!$D$4:$D$40,$AL$27)="","",INDEX('Final Calculation Sheet'!$D$4:$D$40,$AL$27)))</f>
        <v/>
      </c>
      <c r="F27" s="121">
        <f>IF($AL$27="","",IF(INDEX('Final Calculation Sheet'!$A$4:$A$40,$AL$27)="","",INDEX('Final Calculation Sheet'!$A$4:$A$40,$AL$27)))</f>
        <v/>
      </c>
      <c r="G27" s="121">
        <f>IF($AL$27="","",IF(INDEX('Final Calculation Sheet'!$E$4:$E$40,$AL$27)="","",INDEX('Final Calculation Sheet'!$E$4:$E$40,$AL$27)))</f>
        <v/>
      </c>
      <c r="H27" s="122">
        <f>IF($AL$27="","",IF(INDEX('Final Calculation Sheet'!$C$4:$C$40,$AL$27)="","",INDEX('Final Calculation Sheet'!$C$4:$C$40,$AL$27)))</f>
        <v/>
      </c>
      <c r="I27" s="122">
        <f>IF($AL$27="","",IF(INDEX('Final Calculation Sheet'!$H$4:$H$40,$AL$27)="","",INDEX('Final Calculation Sheet'!$H$4:$H$40,$AL$27)))</f>
        <v/>
      </c>
      <c r="J27" s="122">
        <f>IF($AL$27="","",IF(INDEX('Final Calculation Sheet'!$I$4:$I$40,$AL$27)="","",INDEX('Final Calculation Sheet'!$I$4:$I$40,$AL$27)))</f>
        <v/>
      </c>
      <c r="K27" s="122">
        <f>IF($AL$27="","",IF(INDEX('Final Calculation Sheet'!$J$4:$J$40,$AL$27)="","",INDEX('Final Calculation Sheet'!$J$4:$J$40,$AL$27)))</f>
        <v/>
      </c>
      <c r="L27" s="122">
        <f>IF($AL$27="","",IF(INDEX('Final Calculation Sheet'!$K$4:$K$40,$AL$27)="","",INDEX('Final Calculation Sheet'!$K$4:$K$40,$AL$27)))</f>
        <v/>
      </c>
      <c r="M27" s="122">
        <f>IF($AL$27="","",IF(INDEX('Final Calculation Sheet'!$L$4:$L$40,$AL$27)="","",INDEX('Final Calculation Sheet'!$L$4:$L$40,$AL$27)))</f>
        <v/>
      </c>
      <c r="N27" s="122">
        <f>IF($AL$27="","",IF(INDEX('Final Calculation Sheet'!$M$4:$M$40,$AL$27)="","",INDEX('Final Calculation Sheet'!$M$4:$M$40,$AL$27)))</f>
        <v/>
      </c>
      <c r="O27" s="123">
        <f>IF($AL$27="","",IF(INDEX('Final Calculation Sheet'!$N$4:$N$40,$AL$27)="","",INDEX('Final Calculation Sheet'!$N$4:$N$40,$AL$27)))</f>
        <v/>
      </c>
      <c r="P27" s="122">
        <f>IF($AL$27="","",IF(INDEX('Final Calculation Sheet'!$O$4:$O$40,$AL$27)="","",INDEX('Final Calculation Sheet'!$O$4:$O$40,$AL$27)))</f>
        <v/>
      </c>
      <c r="Q27" s="122">
        <f>IF($AL$27="","",IF(INDEX('Final Calculation Sheet'!$P$4:$P$40,$AL$27)="","",INDEX('Final Calculation Sheet'!$P$4:$P$40,$AL$27)))</f>
        <v/>
      </c>
      <c r="R27" s="124">
        <f>IF($AL$27="","",IF(INDEX('Final Calculation Sheet'!$Q$4:$Q$40,$AL$27)="","",INDEX('Final Calculation Sheet'!$Q$4:$Q$40,$AL$27)))</f>
        <v/>
      </c>
      <c r="S27" s="122">
        <f>IF($AL$27="","",IF(INDEX('Final Calculation Sheet'!$R$4:$R$40,$AL$27)="","",INDEX('Final Calculation Sheet'!$R$4:$R$40,$AL$27)))</f>
        <v/>
      </c>
      <c r="T27" s="122">
        <f>IF($AL$27="","",IF(INDEX('Final Calculation Sheet'!$S$4:$S$40,$AL$27)="","",INDEX('Final Calculation Sheet'!$S$4:$S$40,$AL$27)))</f>
        <v/>
      </c>
      <c r="U27" s="122">
        <f>IF($AL$27="","",IF(INDEX('Final Calculation Sheet'!$T$4:$T$40,$AL$27)="","",INDEX('Final Calculation Sheet'!$T$4:$T$40,$AL$27)))</f>
        <v/>
      </c>
      <c r="V27" s="125">
        <f>IF($AL$27="","",IF(INDEX('Final Calculation Sheet'!$U$4:$U$40,$AL$27)="","",INDEX('Final Calculation Sheet'!$U$4:$U$40,$AL$27)))</f>
        <v/>
      </c>
      <c r="W27" s="122">
        <f>IF($AL$27="","",IF(INDEX('Final Calculation Sheet'!$V$4:$V$40,$AL$27)="","",INDEX('Final Calculation Sheet'!$V$4:$V$40,$AL$27)))</f>
        <v/>
      </c>
      <c r="X27" s="122">
        <f>IF($AL$27="","",IF(INDEX('Final Calculation Sheet'!$W$4:$W$40,$AL$27)="","",INDEX('Final Calculation Sheet'!$W$4:$W$40,$AL$27)))</f>
        <v/>
      </c>
      <c r="Y27" s="122">
        <f>IF($AL$27="","",IF(INDEX('Final Calculation Sheet'!$X$4:$X$40,$AL$27)="","",INDEX('Final Calculation Sheet'!$X$4:$X$40,$AL$27)))</f>
        <v/>
      </c>
      <c r="Z27" s="122">
        <f>IF($AL$27="","",IF(INDEX('Final Calculation Sheet'!$Y$4:$Y$40,$AL$27)="","",INDEX('Final Calculation Sheet'!$Y$4:$Y$40,$AL$27)))</f>
        <v/>
      </c>
      <c r="AA27" s="122">
        <f>IF($AL$27="","",IF(INDEX('Final Calculation Sheet'!$Z$4:$Z$40,$AL$27)="","",INDEX('Final Calculation Sheet'!$Z$4:$Z$40,$AL$27)))</f>
        <v/>
      </c>
      <c r="AB27" s="122">
        <f>IF($AL$27="","",IF(INDEX('Final Calculation Sheet'!$AA$4:$AA$40,$AL$27)="","",INDEX('Final Calculation Sheet'!$AA$4:$AA$40,$AL$27)))</f>
        <v/>
      </c>
      <c r="AC27" s="122">
        <f>IF($AL$27="","",IF(INDEX('Final Calculation Sheet'!$AB$4:$AB$40,$AL$27)="","",INDEX('Final Calculation Sheet'!$AB$4:$AB$40,$AL$27)))</f>
        <v/>
      </c>
      <c r="AD27" s="122">
        <f>IF($AL$27="","",IF(INDEX('Final Calculation Sheet'!$AC$4:$AC$40,$AL$27)="","",INDEX('Final Calculation Sheet'!$AC$4:$AC$40,$AL$27)))</f>
        <v/>
      </c>
      <c r="AE27" s="122">
        <f>IF($AL$27="","",IF(INDEX('Final Calculation Sheet'!$AD$4:$AD$40,$AL$27)="","",INDEX('Final Calculation Sheet'!$AD$4:$AD$40,$AL$27)))</f>
        <v/>
      </c>
      <c r="AF27" s="127">
        <f>IF($AL$27="","",IF(INDEX('Final Calculation Sheet'!$AD$4:$AD$40,$AL$27)&lt;=5,"SETTLED","OUTSTANDING"))</f>
        <v/>
      </c>
      <c r="AG27" s="122">
        <f>IF($AL$27="","",IF(INDEX('Final Calculation Sheet'!$AF$4:$AF$40,$AL$27)="","",INDEX('Final Calculation Sheet'!$AF$4:$AF$40,$AL$27)))</f>
        <v/>
      </c>
      <c r="AH27" s="126">
        <f>IF($AL$27="","",IF(INDEX('Final Calculation Sheet'!$AG$4:$AG$40,$AL$27)="","",INDEX('Final Calculation Sheet'!$AG$4:$AG$40,$AL$27)))</f>
        <v/>
      </c>
      <c r="AI27" s="122">
        <f>IF($AL$27="","",IF(INDEX('Final Calculation Sheet'!$AH$4:$AH$40,$AL$27)="","",INDEX('Final Calculation Sheet'!$AH$4:$AH$40,$AL$27)))</f>
        <v/>
      </c>
      <c r="AJ27">
        <f>IF(AND(IF($B$4="",TRUE(),IF($B$4="(blank)",'Final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Sheet'!$AD$25&lt;=5,"SETTLED","OUTSTANDING"))))))),1,0)</f>
      </c>
      <c r="AK27">
        <f>IF(AJ27=1,COUNTIF(AJ$6:AJ27,1),"")</f>
        <v/>
      </c>
      <c r="AL27">
        <f>IF(COUNTIF($B$4:$AI$4,"&lt;&gt;")=0,"",IFERROR(MATCH(21,$AK$6:$AK$42,0),""))</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CU26+IF(AND(Lists!$FI$27&lt;&gt;"",ISNUMBER(SEARCH($AG$4,Lists!$FI$27))),1,0)</f>
        <v/>
      </c>
      <c r="CV27">
        <f>IF(ROW()-3&gt;MAX($CU$4:$CU$42),"",INDEX(Lists!$FI$4:$FI$42,MATCH(ROW()-3,$CU$4:$CU$42,0)))</f>
        <v/>
      </c>
      <c r="CW27">
        <f>CW26+IF(AND(Lists!$FN$27&lt;&gt;"",ISNUMBER(SEARCH($AH$4,Lists!$FN$27))),1,0)</f>
        <v/>
      </c>
      <c r="CX27">
        <f>IF(ROW()-3&gt;MAX($CW$4:$CW$42),"",INDEX(Lists!$FN$4:$FN$42,MATCH(ROW()-3,$CW$4:$CW$42,0)))</f>
        <v/>
      </c>
      <c r="CY27">
        <f>CY26+IF(AND(Lists!$FS$27&lt;&gt;"",ISNUMBER(SEARCH($AI$4,Lists!$FS$27))),1,0)</f>
        <v/>
      </c>
      <c r="CZ27">
        <f>IF(ROW()-3&gt;MAX($CY$4:$CY$42),"",INDEX(Lists!$FS$4:$FS$42,MATCH(ROW()-3,$CY$4:$CY$42,0)))</f>
        <v/>
      </c>
      <c r="DA27">
        <f>DA26+IF(AND(Lists!$FX$27&lt;&gt;"",ISNUMBER(SEARCH($AF$4,Lists!$FX$27))),1,0)</f>
        <v/>
      </c>
      <c r="DB27">
        <f>IF(ROW()-3&gt;MAX($DA$4:$DA$42),"",INDEX(Lists!$FX$4:$FX$42,MATCH(ROW()-3,$DA$4:$DA$42,0)))</f>
        <v/>
      </c>
      <c r="DG27">
        <f>IF($B$4="",1,IF($B$4="(blank)",--('Final Calculation Sheet'!$F$25=""),IF($B$4="(nonblank)",--('Final Calculation Sheet'!$F$25&lt;&gt;""),--ISNUMBER(SEARCH($B$4,'Final Calculation Sheet'!$F$25)))))</f>
        <v/>
      </c>
      <c r="DH27">
        <f>IF($C$4="",1,IF($C$4="(blank)",--('Final Calculation Sheet'!$G$25=""),IF($C$4="(nonblank)",--('Final Calculation Sheet'!$G$25&lt;&gt;""),--ISNUMBER(SEARCH($C$4,'Final Calculation Sheet'!$G$25)))))</f>
        <v/>
      </c>
      <c r="DI27">
        <f>IF($D$4="",1,IF($D$4="(blank)",--('Final Calculation Sheet'!$B$25=""),IF($D$4="(nonblank)",--('Final Calculation Sheet'!$B$25&lt;&gt;""),--ISNUMBER(SEARCH($D$4,'Final Calculation Sheet'!$B$25)))))</f>
        <v/>
      </c>
      <c r="DJ27">
        <f>IF($E$4="",1,IF($E$4="(blank)",--('Final Calculation Sheet'!$D$25=""),IF($E$4="(nonblank)",--('Final Calculation Sheet'!$D$25&lt;&gt;""),--ISNUMBER(SEARCH($E$4,'Final Calculation Sheet'!$D$25)))))</f>
        <v/>
      </c>
      <c r="DK27">
        <f>IF($F$4="",1,IF($F$4="(blank)",--('Final Calculation Sheet'!$A$25=""),IF($F$4="(nonblank)",--('Final Calculation Sheet'!$A$25&lt;&gt;""),--ISNUMBER(SEARCH($F$4,'Final Calculation Sheet'!$A$25)))))</f>
        <v/>
      </c>
      <c r="DL27">
        <f>IF($G$4="",1,IF($G$4="(blank)",--('Final Calculation Sheet'!$E$25=""),IF($G$4="(nonblank)",--('Final Calculation Sheet'!$E$25&lt;&gt;""),--ISNUMBER(SEARCH($G$4,'Final Calculation Sheet'!$E$25)))))</f>
        <v/>
      </c>
      <c r="DM27">
        <f>IF($H$4="",1,IF($H$4="(blank)",--('Final Calculation Sheet'!$C$25=""),IF($H$4="(nonblank)",--('Final Calculation Sheet'!$C$25&lt;&gt;""),--ISNUMBER(SEARCH($H$4,'Final Calculation Sheet'!$C$25)))))</f>
        <v/>
      </c>
      <c r="DN27">
        <f>IF($I$4="",1,IF($I$4="(blank)",--('Final Calculation Sheet'!$H$25=""),IF($I$4="(nonblank)",--('Final Calculation Sheet'!$H$25&lt;&gt;""),--ISNUMBER(SEARCH($I$4,'Final Calculation Sheet'!$H$25)))))</f>
        <v/>
      </c>
      <c r="DO27">
        <f>IF($J$4="",1,IF($J$4="(blank)",--('Final Calculation Sheet'!$I$25=""),IF($J$4="(nonblank)",--('Final Calculation Sheet'!$I$25&lt;&gt;""),--ISNUMBER(SEARCH($J$4,'Final Calculation Sheet'!$I$25)))))</f>
        <v/>
      </c>
      <c r="DP27">
        <f>IF($K$4="",1,IF($K$4="(blank)",--('Final Calculation Sheet'!$J$25=""),IF($K$4="(nonblank)",--('Final Calculation Sheet'!$J$25&lt;&gt;""),--ISNUMBER(SEARCH($K$4,'Final Calculation Sheet'!$J$25)))))</f>
        <v/>
      </c>
      <c r="DQ27">
        <f>IF($L$4="",1,IF($L$4="(blank)",--('Final Calculation Sheet'!$K$25=""),IF($L$4="(nonblank)",--('Final Calculation Sheet'!$K$25&lt;&gt;""),--ISNUMBER(SEARCH($L$4,'Final Calculation Sheet'!$K$25)))))</f>
        <v/>
      </c>
      <c r="DR27">
        <f>IF($M$4="",1,IF($M$4="(blank)",--('Final Calculation Sheet'!$L$25=""),IF($M$4="(nonblank)",--('Final Calculation Sheet'!$L$25&lt;&gt;""),--ISNUMBER(SEARCH($M$4,'Final Calculation Sheet'!$L$25)))))</f>
        <v/>
      </c>
      <c r="DS27">
        <f>IF($N$4="",1,IF($N$4="(blank)",--('Final Calculation Sheet'!$M$25=""),IF($N$4="(nonblank)",--('Final Calculation Sheet'!$M$25&lt;&gt;""),--ISNUMBER(SEARCH($N$4,'Final Calculation Sheet'!$M$25)))))</f>
        <v/>
      </c>
      <c r="DT27">
        <f>IF($O$4="",1,IF($O$4="(blank)",--('Final Calculation Sheet'!$N$25=""),IF($O$4="(nonblank)",--('Final Calculation Sheet'!$N$25&lt;&gt;""),--ISNUMBER(SEARCH($O$4,'Final Calculation Sheet'!$N$25)))))</f>
        <v/>
      </c>
      <c r="DU27">
        <f>IF($P$4="",1,IF($P$4="(blank)",--('Final Calculation Sheet'!$O$25=""),IF($P$4="(nonblank)",--('Final Calculation Sheet'!$O$25&lt;&gt;""),--ISNUMBER(SEARCH($P$4,'Final Calculation Sheet'!$O$25)))))</f>
        <v/>
      </c>
      <c r="DV27">
        <f>IF($Q$4="",1,IF($Q$4="(blank)",--('Final Calculation Sheet'!$P$25=""),IF($Q$4="(nonblank)",--('Final Calculation Sheet'!$P$25&lt;&gt;""),--ISNUMBER(SEARCH($Q$4,'Final Calculation Sheet'!$P$25)))))</f>
        <v/>
      </c>
      <c r="DW27">
        <f>IF($R$4="",1,IF($R$4="(blank)",--('Final Calculation Sheet'!$Q$25=""),IF($R$4="(nonblank)",--('Final Calculation Sheet'!$Q$25&lt;&gt;""),--ISNUMBER(SEARCH($R$4,'Final Calculation Sheet'!$Q$25)))))</f>
        <v/>
      </c>
      <c r="DX27">
        <f>IF($S$4="",1,IF($S$4="(blank)",--('Final Calculation Sheet'!$R$25=""),IF($S$4="(nonblank)",--('Final Calculation Sheet'!$R$25&lt;&gt;""),--ISNUMBER(SEARCH($S$4,'Final Calculation Sheet'!$R$25)))))</f>
        <v/>
      </c>
      <c r="DY27">
        <f>IF($T$4="",1,IF($T$4="(blank)",--('Final Calculation Sheet'!$S$25=""),IF($T$4="(nonblank)",--('Final Calculation Sheet'!$S$25&lt;&gt;""),--ISNUMBER(SEARCH($T$4,'Final Calculation Sheet'!$S$25)))))</f>
        <v/>
      </c>
      <c r="DZ27">
        <f>IF($U$4="",1,IF($U$4="(blank)",--('Final Calculation Sheet'!$T$25=""),IF($U$4="(nonblank)",--('Final Calculation Sheet'!$T$25&lt;&gt;""),--ISNUMBER(SEARCH($U$4,'Final Calculation Sheet'!$T$25)))))</f>
        <v/>
      </c>
      <c r="EA27">
        <f>IF($V$4="",1,IF($V$4="(blank)",--('Final Calculation Sheet'!$U$25=""),IF($V$4="(nonblank)",--('Final Calculation Sheet'!$U$25&lt;&gt;""),--ISNUMBER(SEARCH($V$4,'Final Calculation Sheet'!$U$25)))))</f>
        <v/>
      </c>
      <c r="EB27">
        <f>IF($W$4="",1,IF($W$4="(blank)",--('Final Calculation Sheet'!$V$25=""),IF($W$4="(nonblank)",--('Final Calculation Sheet'!$V$25&lt;&gt;""),--ISNUMBER(SEARCH($W$4,'Final Calculation Sheet'!$V$25)))))</f>
        <v/>
      </c>
      <c r="EC27">
        <f>IF($X$4="",1,IF($X$4="(blank)",--('Final Calculation Sheet'!$W$25=""),IF($X$4="(nonblank)",--('Final Calculation Sheet'!$W$25&lt;&gt;""),--ISNUMBER(SEARCH($X$4,'Final Calculation Sheet'!$W$25)))))</f>
        <v/>
      </c>
      <c r="ED27">
        <f>IF($Y$4="",1,IF($Y$4="(blank)",--('Final Calculation Sheet'!$X$25=""),IF($Y$4="(nonblank)",--('Final Calculation Sheet'!$X$25&lt;&gt;""),--ISNUMBER(SEARCH($Y$4,'Final Calculation Sheet'!$X$25)))))</f>
        <v/>
      </c>
      <c r="EE27">
        <f>IF($Z$4="",1,IF($Z$4="(blank)",--('Final Calculation Sheet'!$Y$25=""),IF($Z$4="(nonblank)",--('Final Calculation Sheet'!$Y$25&lt;&gt;""),--ISNUMBER(SEARCH($Z$4,'Final Calculation Sheet'!$Y$25)))))</f>
        <v/>
      </c>
      <c r="EF27">
        <f>IF($AA$4="",1,IF($AA$4="(blank)",--('Final Calculation Sheet'!$Z$25=""),IF($AA$4="(nonblank)",--('Final Calculation Sheet'!$Z$25&lt;&gt;""),--ISNUMBER(SEARCH($AA$4,'Final Calculation Sheet'!$Z$25)))))</f>
        <v/>
      </c>
      <c r="EG27">
        <f>IF($AB$4="",1,IF($AB$4="(blank)",--('Final Calculation Sheet'!$AA$25=""),IF($AB$4="(nonblank)",--('Final Calculation Sheet'!$AA$25&lt;&gt;""),--ISNUMBER(SEARCH($AB$4,'Final Calculation Sheet'!$AA$25)))))</f>
        <v/>
      </c>
      <c r="EH27">
        <f>IF($AC$4="",1,IF($AC$4="(blank)",--('Final Calculation Sheet'!$AB$25=""),IF($AC$4="(nonblank)",--('Final Calculation Sheet'!$AB$25&lt;&gt;""),--ISNUMBER(SEARCH($AC$4,'Final Calculation Sheet'!$AB$25)))))</f>
        <v/>
      </c>
      <c r="EI27">
        <f>IF($AD$4="",1,IF($AD$4="(blank)",--('Final Calculation Sheet'!$AC$25=""),IF($AD$4="(nonblank)",--('Final Calculation Sheet'!$AC$25&lt;&gt;""),--ISNUMBER(SEARCH($AD$4,'Final Calculation Sheet'!$AC$25)))))</f>
        <v/>
      </c>
      <c r="EJ27">
        <f>IF($AE$4="",1,IF($AE$4="(blank)",--('Final Calculation Sheet'!$AD$25=""),IF($AE$4="(nonblank)",--('Final Calculation Sheet'!$AD$25&lt;&gt;""),--ISNUMBER(SEARCH($AE$4,'Final Calculation Sheet'!$AD$25)))))</f>
        <v/>
      </c>
      <c r="EK27">
        <f>IF($AF$4="",1,IF($AF$4="(blank)",--(IF('Final Calculation Sheet'!$AD$25&lt;=5,"SETTLED","OUTSTANDING")=""),IF($AF$4="(nonblank)",--(IF('Final Calculation Sheet'!$AD$25&lt;=5,"SETTLED","OUTSTANDING")&lt;&gt;""),--ISNUMBER(SEARCH($AF$4,IF('Final Calculation Sheet'!$AD$25&lt;=5,"SETTLED","OUTSTANDING"))))))</f>
        <v/>
      </c>
      <c r="EL27">
        <f>IF($AG$4="",1,IF($AG$4="(blank)",--('Final Calculation Sheet'!$AF$25=""),IF($AG$4="(nonblank)",--('Final Calculation Sheet'!$AF$25&lt;&gt;""),--ISNUMBER(SEARCH($AG$4,'Final Calculation Sheet'!$AF$25)))))</f>
        <v/>
      </c>
      <c r="EM27">
        <f>IF($AH$4="",1,IF($AH$4="(blank)",--('Final Calculation Sheet'!$AG$25=""),IF($AH$4="(nonblank)",--('Final Calculation Sheet'!$AG$25&lt;&gt;""),--ISNUMBER(SEARCH($AH$4,'Final Calculation Sheet'!$AG$25)))))</f>
        <v/>
      </c>
      <c r="EN27">
        <f>IF($AI$4="",1,IF($AI$4="(blank)",--('Final Calculation Sheet'!$AH$25=""),IF($AI$4="(nonblank)",--('Final Calculation Sheet'!$AH$25&lt;&gt;""),--ISNUMBER(SEARCH($AI$4,'Final Calculation Sheet'!$AH$25)))))</f>
        <v/>
      </c>
    </row>
    <row r="28" outlineLevel="1" hidden="1">
      <c r="A28" s="128">
        <f>IF($AL$28="","",22)</f>
        <v/>
      </c>
      <c r="B28" s="129">
        <f>IF($AL$28="","",IF(INDEX('Final Calculation Sheet'!$F$4:$F$40,$AL$28)="","",INDEX('Final Calculation Sheet'!$F$4:$F$40,$AL$28)))</f>
        <v/>
      </c>
      <c r="C28" s="129">
        <f>IF($AL$28="","",IF(INDEX('Final Calculation Sheet'!$G$4:$G$40,$AL$28)="","",INDEX('Final Calculation Sheet'!$G$4:$G$40,$AL$28)))</f>
        <v/>
      </c>
      <c r="D28" s="130">
        <f>IF($AL$28="","",IF(INDEX('Final Calculation Sheet'!$B$4:$B$40,$AL$28)="","",INDEX('Final Calculation Sheet'!$B$4:$B$40,$AL$28)))</f>
        <v/>
      </c>
      <c r="E28" s="130">
        <f>IF($AL$28="","",IF(INDEX('Final Calculation Sheet'!$D$4:$D$40,$AL$28)="","",INDEX('Final Calculation Sheet'!$D$4:$D$40,$AL$28)))</f>
        <v/>
      </c>
      <c r="F28" s="130">
        <f>IF($AL$28="","",IF(INDEX('Final Calculation Sheet'!$A$4:$A$40,$AL$28)="","",INDEX('Final Calculation Sheet'!$A$4:$A$40,$AL$28)))</f>
        <v/>
      </c>
      <c r="G28" s="130">
        <f>IF($AL$28="","",IF(INDEX('Final Calculation Sheet'!$E$4:$E$40,$AL$28)="","",INDEX('Final Calculation Sheet'!$E$4:$E$40,$AL$28)))</f>
        <v/>
      </c>
      <c r="H28" s="131">
        <f>IF($AL$28="","",IF(INDEX('Final Calculation Sheet'!$C$4:$C$40,$AL$28)="","",INDEX('Final Calculation Sheet'!$C$4:$C$40,$AL$28)))</f>
        <v/>
      </c>
      <c r="I28" s="131">
        <f>IF($AL$28="","",IF(INDEX('Final Calculation Sheet'!$H$4:$H$40,$AL$28)="","",INDEX('Final Calculation Sheet'!$H$4:$H$40,$AL$28)))</f>
        <v/>
      </c>
      <c r="J28" s="131">
        <f>IF($AL$28="","",IF(INDEX('Final Calculation Sheet'!$I$4:$I$40,$AL$28)="","",INDEX('Final Calculation Sheet'!$I$4:$I$40,$AL$28)))</f>
        <v/>
      </c>
      <c r="K28" s="131">
        <f>IF($AL$28="","",IF(INDEX('Final Calculation Sheet'!$J$4:$J$40,$AL$28)="","",INDEX('Final Calculation Sheet'!$J$4:$J$40,$AL$28)))</f>
        <v/>
      </c>
      <c r="L28" s="131">
        <f>IF($AL$28="","",IF(INDEX('Final Calculation Sheet'!$K$4:$K$40,$AL$28)="","",INDEX('Final Calculation Sheet'!$K$4:$K$40,$AL$28)))</f>
        <v/>
      </c>
      <c r="M28" s="131">
        <f>IF($AL$28="","",IF(INDEX('Final Calculation Sheet'!$L$4:$L$40,$AL$28)="","",INDEX('Final Calculation Sheet'!$L$4:$L$40,$AL$28)))</f>
        <v/>
      </c>
      <c r="N28" s="131">
        <f>IF($AL$28="","",IF(INDEX('Final Calculation Sheet'!$M$4:$M$40,$AL$28)="","",INDEX('Final Calculation Sheet'!$M$4:$M$40,$AL$28)))</f>
        <v/>
      </c>
      <c r="O28" s="132">
        <f>IF($AL$28="","",IF(INDEX('Final Calculation Sheet'!$N$4:$N$40,$AL$28)="","",INDEX('Final Calculation Sheet'!$N$4:$N$40,$AL$28)))</f>
        <v/>
      </c>
      <c r="P28" s="131">
        <f>IF($AL$28="","",IF(INDEX('Final Calculation Sheet'!$O$4:$O$40,$AL$28)="","",INDEX('Final Calculation Sheet'!$O$4:$O$40,$AL$28)))</f>
        <v/>
      </c>
      <c r="Q28" s="131">
        <f>IF($AL$28="","",IF(INDEX('Final Calculation Sheet'!$P$4:$P$40,$AL$28)="","",INDEX('Final Calculation Sheet'!$P$4:$P$40,$AL$28)))</f>
        <v/>
      </c>
      <c r="R28" s="133">
        <f>IF($AL$28="","",IF(INDEX('Final Calculation Sheet'!$Q$4:$Q$40,$AL$28)="","",INDEX('Final Calculation Sheet'!$Q$4:$Q$40,$AL$28)))</f>
        <v/>
      </c>
      <c r="S28" s="131">
        <f>IF($AL$28="","",IF(INDEX('Final Calculation Sheet'!$R$4:$R$40,$AL$28)="","",INDEX('Final Calculation Sheet'!$R$4:$R$40,$AL$28)))</f>
        <v/>
      </c>
      <c r="T28" s="131">
        <f>IF($AL$28="","",IF(INDEX('Final Calculation Sheet'!$S$4:$S$40,$AL$28)="","",INDEX('Final Calculation Sheet'!$S$4:$S$40,$AL$28)))</f>
        <v/>
      </c>
      <c r="U28" s="131">
        <f>IF($AL$28="","",IF(INDEX('Final Calculation Sheet'!$T$4:$T$40,$AL$28)="","",INDEX('Final Calculation Sheet'!$T$4:$T$40,$AL$28)))</f>
        <v/>
      </c>
      <c r="V28" s="134">
        <f>IF($AL$28="","",IF(INDEX('Final Calculation Sheet'!$U$4:$U$40,$AL$28)="","",INDEX('Final Calculation Sheet'!$U$4:$U$40,$AL$28)))</f>
        <v/>
      </c>
      <c r="W28" s="131">
        <f>IF($AL$28="","",IF(INDEX('Final Calculation Sheet'!$V$4:$V$40,$AL$28)="","",INDEX('Final Calculation Sheet'!$V$4:$V$40,$AL$28)))</f>
        <v/>
      </c>
      <c r="X28" s="131">
        <f>IF($AL$28="","",IF(INDEX('Final Calculation Sheet'!$W$4:$W$40,$AL$28)="","",INDEX('Final Calculation Sheet'!$W$4:$W$40,$AL$28)))</f>
        <v/>
      </c>
      <c r="Y28" s="131">
        <f>IF($AL$28="","",IF(INDEX('Final Calculation Sheet'!$X$4:$X$40,$AL$28)="","",INDEX('Final Calculation Sheet'!$X$4:$X$40,$AL$28)))</f>
        <v/>
      </c>
      <c r="Z28" s="131">
        <f>IF($AL$28="","",IF(INDEX('Final Calculation Sheet'!$Y$4:$Y$40,$AL$28)="","",INDEX('Final Calculation Sheet'!$Y$4:$Y$40,$AL$28)))</f>
        <v/>
      </c>
      <c r="AA28" s="131">
        <f>IF($AL$28="","",IF(INDEX('Final Calculation Sheet'!$Z$4:$Z$40,$AL$28)="","",INDEX('Final Calculation Sheet'!$Z$4:$Z$40,$AL$28)))</f>
        <v/>
      </c>
      <c r="AB28" s="131">
        <f>IF($AL$28="","",IF(INDEX('Final Calculation Sheet'!$AA$4:$AA$40,$AL$28)="","",INDEX('Final Calculation Sheet'!$AA$4:$AA$40,$AL$28)))</f>
        <v/>
      </c>
      <c r="AC28" s="131">
        <f>IF($AL$28="","",IF(INDEX('Final Calculation Sheet'!$AB$4:$AB$40,$AL$28)="","",INDEX('Final Calculation Sheet'!$AB$4:$AB$40,$AL$28)))</f>
        <v/>
      </c>
      <c r="AD28" s="131">
        <f>IF($AL$28="","",IF(INDEX('Final Calculation Sheet'!$AC$4:$AC$40,$AL$28)="","",INDEX('Final Calculation Sheet'!$AC$4:$AC$40,$AL$28)))</f>
        <v/>
      </c>
      <c r="AE28" s="131">
        <f>IF($AL$28="","",IF(INDEX('Final Calculation Sheet'!$AD$4:$AD$40,$AL$28)="","",INDEX('Final Calculation Sheet'!$AD$4:$AD$40,$AL$28)))</f>
        <v/>
      </c>
      <c r="AF28" s="136">
        <f>IF($AL$28="","",IF(INDEX('Final Calculation Sheet'!$AD$4:$AD$40,$AL$28)&lt;=5,"SETTLED","OUTSTANDING"))</f>
        <v/>
      </c>
      <c r="AG28" s="131">
        <f>IF($AL$28="","",IF(INDEX('Final Calculation Sheet'!$AF$4:$AF$40,$AL$28)="","",INDEX('Final Calculation Sheet'!$AF$4:$AF$40,$AL$28)))</f>
        <v/>
      </c>
      <c r="AH28" s="135">
        <f>IF($AL$28="","",IF(INDEX('Final Calculation Sheet'!$AG$4:$AG$40,$AL$28)="","",INDEX('Final Calculation Sheet'!$AG$4:$AG$40,$AL$28)))</f>
        <v/>
      </c>
      <c r="AI28" s="131">
        <f>IF($AL$28="","",IF(INDEX('Final Calculation Sheet'!$AH$4:$AH$40,$AL$28)="","",INDEX('Final Calculation Sheet'!$AH$4:$AH$40,$AL$28)))</f>
        <v/>
      </c>
      <c r="AJ28">
        <f>IF(AND(IF($B$4="",TRUE(),IF($B$4="(blank)",'Final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Sheet'!$AD$26&lt;=5,"SETTLED","OUTSTANDING"))))))),1,0)</f>
      </c>
      <c r="AK28">
        <f>IF(AJ28=1,COUNTIF(AJ$6:AJ28,1),"")</f>
        <v/>
      </c>
      <c r="AL28">
        <f>IF(COUNTIF($B$4:$AI$4,"&lt;&gt;")=0,"",IFERROR(MATCH(22,$AK$6:$AK$42,0),""))</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CU27+IF(AND(Lists!$FI$28&lt;&gt;"",ISNUMBER(SEARCH($AG$4,Lists!$FI$28))),1,0)</f>
        <v/>
      </c>
      <c r="CV28">
        <f>IF(ROW()-3&gt;MAX($CU$4:$CU$42),"",INDEX(Lists!$FI$4:$FI$42,MATCH(ROW()-3,$CU$4:$CU$42,0)))</f>
        <v/>
      </c>
      <c r="CW28">
        <f>CW27+IF(AND(Lists!$FN$28&lt;&gt;"",ISNUMBER(SEARCH($AH$4,Lists!$FN$28))),1,0)</f>
        <v/>
      </c>
      <c r="CX28">
        <f>IF(ROW()-3&gt;MAX($CW$4:$CW$42),"",INDEX(Lists!$FN$4:$FN$42,MATCH(ROW()-3,$CW$4:$CW$42,0)))</f>
        <v/>
      </c>
      <c r="CY28">
        <f>CY27+IF(AND(Lists!$FS$28&lt;&gt;"",ISNUMBER(SEARCH($AI$4,Lists!$FS$28))),1,0)</f>
        <v/>
      </c>
      <c r="CZ28">
        <f>IF(ROW()-3&gt;MAX($CY$4:$CY$42),"",INDEX(Lists!$FS$4:$FS$42,MATCH(ROW()-3,$CY$4:$CY$42,0)))</f>
        <v/>
      </c>
      <c r="DA28">
        <f>DA27+IF(AND(Lists!$FX$28&lt;&gt;"",ISNUMBER(SEARCH($AF$4,Lists!$FX$28))),1,0)</f>
        <v/>
      </c>
      <c r="DB28">
        <f>IF(ROW()-3&gt;MAX($DA$4:$DA$42),"",INDEX(Lists!$FX$4:$FX$42,MATCH(ROW()-3,$DA$4:$DA$42,0)))</f>
        <v/>
      </c>
      <c r="DG28">
        <f>IF($B$4="",1,IF($B$4="(blank)",--('Final Calculation Sheet'!$F$26=""),IF($B$4="(nonblank)",--('Final Calculation Sheet'!$F$26&lt;&gt;""),--ISNUMBER(SEARCH($B$4,'Final Calculation Sheet'!$F$26)))))</f>
        <v/>
      </c>
      <c r="DH28">
        <f>IF($C$4="",1,IF($C$4="(blank)",--('Final Calculation Sheet'!$G$26=""),IF($C$4="(nonblank)",--('Final Calculation Sheet'!$G$26&lt;&gt;""),--ISNUMBER(SEARCH($C$4,'Final Calculation Sheet'!$G$26)))))</f>
        <v/>
      </c>
      <c r="DI28">
        <f>IF($D$4="",1,IF($D$4="(blank)",--('Final Calculation Sheet'!$B$26=""),IF($D$4="(nonblank)",--('Final Calculation Sheet'!$B$26&lt;&gt;""),--ISNUMBER(SEARCH($D$4,'Final Calculation Sheet'!$B$26)))))</f>
        <v/>
      </c>
      <c r="DJ28">
        <f>IF($E$4="",1,IF($E$4="(blank)",--('Final Calculation Sheet'!$D$26=""),IF($E$4="(nonblank)",--('Final Calculation Sheet'!$D$26&lt;&gt;""),--ISNUMBER(SEARCH($E$4,'Final Calculation Sheet'!$D$26)))))</f>
        <v/>
      </c>
      <c r="DK28">
        <f>IF($F$4="",1,IF($F$4="(blank)",--('Final Calculation Sheet'!$A$26=""),IF($F$4="(nonblank)",--('Final Calculation Sheet'!$A$26&lt;&gt;""),--ISNUMBER(SEARCH($F$4,'Final Calculation Sheet'!$A$26)))))</f>
        <v/>
      </c>
      <c r="DL28">
        <f>IF($G$4="",1,IF($G$4="(blank)",--('Final Calculation Sheet'!$E$26=""),IF($G$4="(nonblank)",--('Final Calculation Sheet'!$E$26&lt;&gt;""),--ISNUMBER(SEARCH($G$4,'Final Calculation Sheet'!$E$26)))))</f>
        <v/>
      </c>
      <c r="DM28">
        <f>IF($H$4="",1,IF($H$4="(blank)",--('Final Calculation Sheet'!$C$26=""),IF($H$4="(nonblank)",--('Final Calculation Sheet'!$C$26&lt;&gt;""),--ISNUMBER(SEARCH($H$4,'Final Calculation Sheet'!$C$26)))))</f>
        <v/>
      </c>
      <c r="DN28">
        <f>IF($I$4="",1,IF($I$4="(blank)",--('Final Calculation Sheet'!$H$26=""),IF($I$4="(nonblank)",--('Final Calculation Sheet'!$H$26&lt;&gt;""),--ISNUMBER(SEARCH($I$4,'Final Calculation Sheet'!$H$26)))))</f>
        <v/>
      </c>
      <c r="DO28">
        <f>IF($J$4="",1,IF($J$4="(blank)",--('Final Calculation Sheet'!$I$26=""),IF($J$4="(nonblank)",--('Final Calculation Sheet'!$I$26&lt;&gt;""),--ISNUMBER(SEARCH($J$4,'Final Calculation Sheet'!$I$26)))))</f>
        <v/>
      </c>
      <c r="DP28">
        <f>IF($K$4="",1,IF($K$4="(blank)",--('Final Calculation Sheet'!$J$26=""),IF($K$4="(nonblank)",--('Final Calculation Sheet'!$J$26&lt;&gt;""),--ISNUMBER(SEARCH($K$4,'Final Calculation Sheet'!$J$26)))))</f>
        <v/>
      </c>
      <c r="DQ28">
        <f>IF($L$4="",1,IF($L$4="(blank)",--('Final Calculation Sheet'!$K$26=""),IF($L$4="(nonblank)",--('Final Calculation Sheet'!$K$26&lt;&gt;""),--ISNUMBER(SEARCH($L$4,'Final Calculation Sheet'!$K$26)))))</f>
        <v/>
      </c>
      <c r="DR28">
        <f>IF($M$4="",1,IF($M$4="(blank)",--('Final Calculation Sheet'!$L$26=""),IF($M$4="(nonblank)",--('Final Calculation Sheet'!$L$26&lt;&gt;""),--ISNUMBER(SEARCH($M$4,'Final Calculation Sheet'!$L$26)))))</f>
        <v/>
      </c>
      <c r="DS28">
        <f>IF($N$4="",1,IF($N$4="(blank)",--('Final Calculation Sheet'!$M$26=""),IF($N$4="(nonblank)",--('Final Calculation Sheet'!$M$26&lt;&gt;""),--ISNUMBER(SEARCH($N$4,'Final Calculation Sheet'!$M$26)))))</f>
        <v/>
      </c>
      <c r="DT28">
        <f>IF($O$4="",1,IF($O$4="(blank)",--('Final Calculation Sheet'!$N$26=""),IF($O$4="(nonblank)",--('Final Calculation Sheet'!$N$26&lt;&gt;""),--ISNUMBER(SEARCH($O$4,'Final Calculation Sheet'!$N$26)))))</f>
        <v/>
      </c>
      <c r="DU28">
        <f>IF($P$4="",1,IF($P$4="(blank)",--('Final Calculation Sheet'!$O$26=""),IF($P$4="(nonblank)",--('Final Calculation Sheet'!$O$26&lt;&gt;""),--ISNUMBER(SEARCH($P$4,'Final Calculation Sheet'!$O$26)))))</f>
        <v/>
      </c>
      <c r="DV28">
        <f>IF($Q$4="",1,IF($Q$4="(blank)",--('Final Calculation Sheet'!$P$26=""),IF($Q$4="(nonblank)",--('Final Calculation Sheet'!$P$26&lt;&gt;""),--ISNUMBER(SEARCH($Q$4,'Final Calculation Sheet'!$P$26)))))</f>
        <v/>
      </c>
      <c r="DW28">
        <f>IF($R$4="",1,IF($R$4="(blank)",--('Final Calculation Sheet'!$Q$26=""),IF($R$4="(nonblank)",--('Final Calculation Sheet'!$Q$26&lt;&gt;""),--ISNUMBER(SEARCH($R$4,'Final Calculation Sheet'!$Q$26)))))</f>
        <v/>
      </c>
      <c r="DX28">
        <f>IF($S$4="",1,IF($S$4="(blank)",--('Final Calculation Sheet'!$R$26=""),IF($S$4="(nonblank)",--('Final Calculation Sheet'!$R$26&lt;&gt;""),--ISNUMBER(SEARCH($S$4,'Final Calculation Sheet'!$R$26)))))</f>
        <v/>
      </c>
      <c r="DY28">
        <f>IF($T$4="",1,IF($T$4="(blank)",--('Final Calculation Sheet'!$S$26=""),IF($T$4="(nonblank)",--('Final Calculation Sheet'!$S$26&lt;&gt;""),--ISNUMBER(SEARCH($T$4,'Final Calculation Sheet'!$S$26)))))</f>
        <v/>
      </c>
      <c r="DZ28">
        <f>IF($U$4="",1,IF($U$4="(blank)",--('Final Calculation Sheet'!$T$26=""),IF($U$4="(nonblank)",--('Final Calculation Sheet'!$T$26&lt;&gt;""),--ISNUMBER(SEARCH($U$4,'Final Calculation Sheet'!$T$26)))))</f>
        <v/>
      </c>
      <c r="EA28">
        <f>IF($V$4="",1,IF($V$4="(blank)",--('Final Calculation Sheet'!$U$26=""),IF($V$4="(nonblank)",--('Final Calculation Sheet'!$U$26&lt;&gt;""),--ISNUMBER(SEARCH($V$4,'Final Calculation Sheet'!$U$26)))))</f>
        <v/>
      </c>
      <c r="EB28">
        <f>IF($W$4="",1,IF($W$4="(blank)",--('Final Calculation Sheet'!$V$26=""),IF($W$4="(nonblank)",--('Final Calculation Sheet'!$V$26&lt;&gt;""),--ISNUMBER(SEARCH($W$4,'Final Calculation Sheet'!$V$26)))))</f>
        <v/>
      </c>
      <c r="EC28">
        <f>IF($X$4="",1,IF($X$4="(blank)",--('Final Calculation Sheet'!$W$26=""),IF($X$4="(nonblank)",--('Final Calculation Sheet'!$W$26&lt;&gt;""),--ISNUMBER(SEARCH($X$4,'Final Calculation Sheet'!$W$26)))))</f>
        <v/>
      </c>
      <c r="ED28">
        <f>IF($Y$4="",1,IF($Y$4="(blank)",--('Final Calculation Sheet'!$X$26=""),IF($Y$4="(nonblank)",--('Final Calculation Sheet'!$X$26&lt;&gt;""),--ISNUMBER(SEARCH($Y$4,'Final Calculation Sheet'!$X$26)))))</f>
        <v/>
      </c>
      <c r="EE28">
        <f>IF($Z$4="",1,IF($Z$4="(blank)",--('Final Calculation Sheet'!$Y$26=""),IF($Z$4="(nonblank)",--('Final Calculation Sheet'!$Y$26&lt;&gt;""),--ISNUMBER(SEARCH($Z$4,'Final Calculation Sheet'!$Y$26)))))</f>
        <v/>
      </c>
      <c r="EF28">
        <f>IF($AA$4="",1,IF($AA$4="(blank)",--('Final Calculation Sheet'!$Z$26=""),IF($AA$4="(nonblank)",--('Final Calculation Sheet'!$Z$26&lt;&gt;""),--ISNUMBER(SEARCH($AA$4,'Final Calculation Sheet'!$Z$26)))))</f>
        <v/>
      </c>
      <c r="EG28">
        <f>IF($AB$4="",1,IF($AB$4="(blank)",--('Final Calculation Sheet'!$AA$26=""),IF($AB$4="(nonblank)",--('Final Calculation Sheet'!$AA$26&lt;&gt;""),--ISNUMBER(SEARCH($AB$4,'Final Calculation Sheet'!$AA$26)))))</f>
        <v/>
      </c>
      <c r="EH28">
        <f>IF($AC$4="",1,IF($AC$4="(blank)",--('Final Calculation Sheet'!$AB$26=""),IF($AC$4="(nonblank)",--('Final Calculation Sheet'!$AB$26&lt;&gt;""),--ISNUMBER(SEARCH($AC$4,'Final Calculation Sheet'!$AB$26)))))</f>
        <v/>
      </c>
      <c r="EI28">
        <f>IF($AD$4="",1,IF($AD$4="(blank)",--('Final Calculation Sheet'!$AC$26=""),IF($AD$4="(nonblank)",--('Final Calculation Sheet'!$AC$26&lt;&gt;""),--ISNUMBER(SEARCH($AD$4,'Final Calculation Sheet'!$AC$26)))))</f>
        <v/>
      </c>
      <c r="EJ28">
        <f>IF($AE$4="",1,IF($AE$4="(blank)",--('Final Calculation Sheet'!$AD$26=""),IF($AE$4="(nonblank)",--('Final Calculation Sheet'!$AD$26&lt;&gt;""),--ISNUMBER(SEARCH($AE$4,'Final Calculation Sheet'!$AD$26)))))</f>
        <v/>
      </c>
      <c r="EK28">
        <f>IF($AF$4="",1,IF($AF$4="(blank)",--(IF('Final Calculation Sheet'!$AD$26&lt;=5,"SETTLED","OUTSTANDING")=""),IF($AF$4="(nonblank)",--(IF('Final Calculation Sheet'!$AD$26&lt;=5,"SETTLED","OUTSTANDING")&lt;&gt;""),--ISNUMBER(SEARCH($AF$4,IF('Final Calculation Sheet'!$AD$26&lt;=5,"SETTLED","OUTSTANDING"))))))</f>
        <v/>
      </c>
      <c r="EL28">
        <f>IF($AG$4="",1,IF($AG$4="(blank)",--('Final Calculation Sheet'!$AF$26=""),IF($AG$4="(nonblank)",--('Final Calculation Sheet'!$AF$26&lt;&gt;""),--ISNUMBER(SEARCH($AG$4,'Final Calculation Sheet'!$AF$26)))))</f>
        <v/>
      </c>
      <c r="EM28">
        <f>IF($AH$4="",1,IF($AH$4="(blank)",--('Final Calculation Sheet'!$AG$26=""),IF($AH$4="(nonblank)",--('Final Calculation Sheet'!$AG$26&lt;&gt;""),--ISNUMBER(SEARCH($AH$4,'Final Calculation Sheet'!$AG$26)))))</f>
        <v/>
      </c>
      <c r="EN28">
        <f>IF($AI$4="",1,IF($AI$4="(blank)",--('Final Calculation Sheet'!$AH$26=""),IF($AI$4="(nonblank)",--('Final Calculation Sheet'!$AH$26&lt;&gt;""),--ISNUMBER(SEARCH($AI$4,'Final Calculation Sheet'!$AH$26)))))</f>
        <v/>
      </c>
    </row>
    <row r="29" outlineLevel="1" hidden="1">
      <c r="A29" s="118">
        <f>IF($AL$29="","",23)</f>
        <v/>
      </c>
      <c r="B29" s="119">
        <f>IF($AL$29="","",IF(INDEX('Final Calculation Sheet'!$F$4:$F$40,$AL$29)="","",INDEX('Final Calculation Sheet'!$F$4:$F$40,$AL$29)))</f>
        <v/>
      </c>
      <c r="C29" s="119">
        <f>IF($AL$29="","",IF(INDEX('Final Calculation Sheet'!$G$4:$G$40,$AL$29)="","",INDEX('Final Calculation Sheet'!$G$4:$G$40,$AL$29)))</f>
        <v/>
      </c>
      <c r="D29" s="121">
        <f>IF($AL$29="","",IF(INDEX('Final Calculation Sheet'!$B$4:$B$40,$AL$29)="","",INDEX('Final Calculation Sheet'!$B$4:$B$40,$AL$29)))</f>
        <v/>
      </c>
      <c r="E29" s="121">
        <f>IF($AL$29="","",IF(INDEX('Final Calculation Sheet'!$D$4:$D$40,$AL$29)="","",INDEX('Final Calculation Sheet'!$D$4:$D$40,$AL$29)))</f>
        <v/>
      </c>
      <c r="F29" s="121">
        <f>IF($AL$29="","",IF(INDEX('Final Calculation Sheet'!$A$4:$A$40,$AL$29)="","",INDEX('Final Calculation Sheet'!$A$4:$A$40,$AL$29)))</f>
        <v/>
      </c>
      <c r="G29" s="121">
        <f>IF($AL$29="","",IF(INDEX('Final Calculation Sheet'!$E$4:$E$40,$AL$29)="","",INDEX('Final Calculation Sheet'!$E$4:$E$40,$AL$29)))</f>
        <v/>
      </c>
      <c r="H29" s="122">
        <f>IF($AL$29="","",IF(INDEX('Final Calculation Sheet'!$C$4:$C$40,$AL$29)="","",INDEX('Final Calculation Sheet'!$C$4:$C$40,$AL$29)))</f>
        <v/>
      </c>
      <c r="I29" s="122">
        <f>IF($AL$29="","",IF(INDEX('Final Calculation Sheet'!$H$4:$H$40,$AL$29)="","",INDEX('Final Calculation Sheet'!$H$4:$H$40,$AL$29)))</f>
        <v/>
      </c>
      <c r="J29" s="122">
        <f>IF($AL$29="","",IF(INDEX('Final Calculation Sheet'!$I$4:$I$40,$AL$29)="","",INDEX('Final Calculation Sheet'!$I$4:$I$40,$AL$29)))</f>
        <v/>
      </c>
      <c r="K29" s="122">
        <f>IF($AL$29="","",IF(INDEX('Final Calculation Sheet'!$J$4:$J$40,$AL$29)="","",INDEX('Final Calculation Sheet'!$J$4:$J$40,$AL$29)))</f>
        <v/>
      </c>
      <c r="L29" s="122">
        <f>IF($AL$29="","",IF(INDEX('Final Calculation Sheet'!$K$4:$K$40,$AL$29)="","",INDEX('Final Calculation Sheet'!$K$4:$K$40,$AL$29)))</f>
        <v/>
      </c>
      <c r="M29" s="122">
        <f>IF($AL$29="","",IF(INDEX('Final Calculation Sheet'!$L$4:$L$40,$AL$29)="","",INDEX('Final Calculation Sheet'!$L$4:$L$40,$AL$29)))</f>
        <v/>
      </c>
      <c r="N29" s="122">
        <f>IF($AL$29="","",IF(INDEX('Final Calculation Sheet'!$M$4:$M$40,$AL$29)="","",INDEX('Final Calculation Sheet'!$M$4:$M$40,$AL$29)))</f>
        <v/>
      </c>
      <c r="O29" s="123">
        <f>IF($AL$29="","",IF(INDEX('Final Calculation Sheet'!$N$4:$N$40,$AL$29)="","",INDEX('Final Calculation Sheet'!$N$4:$N$40,$AL$29)))</f>
        <v/>
      </c>
      <c r="P29" s="122">
        <f>IF($AL$29="","",IF(INDEX('Final Calculation Sheet'!$O$4:$O$40,$AL$29)="","",INDEX('Final Calculation Sheet'!$O$4:$O$40,$AL$29)))</f>
        <v/>
      </c>
      <c r="Q29" s="122">
        <f>IF($AL$29="","",IF(INDEX('Final Calculation Sheet'!$P$4:$P$40,$AL$29)="","",INDEX('Final Calculation Sheet'!$P$4:$P$40,$AL$29)))</f>
        <v/>
      </c>
      <c r="R29" s="124">
        <f>IF($AL$29="","",IF(INDEX('Final Calculation Sheet'!$Q$4:$Q$40,$AL$29)="","",INDEX('Final Calculation Sheet'!$Q$4:$Q$40,$AL$29)))</f>
        <v/>
      </c>
      <c r="S29" s="122">
        <f>IF($AL$29="","",IF(INDEX('Final Calculation Sheet'!$R$4:$R$40,$AL$29)="","",INDEX('Final Calculation Sheet'!$R$4:$R$40,$AL$29)))</f>
        <v/>
      </c>
      <c r="T29" s="122">
        <f>IF($AL$29="","",IF(INDEX('Final Calculation Sheet'!$S$4:$S$40,$AL$29)="","",INDEX('Final Calculation Sheet'!$S$4:$S$40,$AL$29)))</f>
        <v/>
      </c>
      <c r="U29" s="122">
        <f>IF($AL$29="","",IF(INDEX('Final Calculation Sheet'!$T$4:$T$40,$AL$29)="","",INDEX('Final Calculation Sheet'!$T$4:$T$40,$AL$29)))</f>
        <v/>
      </c>
      <c r="V29" s="125">
        <f>IF($AL$29="","",IF(INDEX('Final Calculation Sheet'!$U$4:$U$40,$AL$29)="","",INDEX('Final Calculation Sheet'!$U$4:$U$40,$AL$29)))</f>
        <v/>
      </c>
      <c r="W29" s="122">
        <f>IF($AL$29="","",IF(INDEX('Final Calculation Sheet'!$V$4:$V$40,$AL$29)="","",INDEX('Final Calculation Sheet'!$V$4:$V$40,$AL$29)))</f>
        <v/>
      </c>
      <c r="X29" s="122">
        <f>IF($AL$29="","",IF(INDEX('Final Calculation Sheet'!$W$4:$W$40,$AL$29)="","",INDEX('Final Calculation Sheet'!$W$4:$W$40,$AL$29)))</f>
        <v/>
      </c>
      <c r="Y29" s="122">
        <f>IF($AL$29="","",IF(INDEX('Final Calculation Sheet'!$X$4:$X$40,$AL$29)="","",INDEX('Final Calculation Sheet'!$X$4:$X$40,$AL$29)))</f>
        <v/>
      </c>
      <c r="Z29" s="122">
        <f>IF($AL$29="","",IF(INDEX('Final Calculation Sheet'!$Y$4:$Y$40,$AL$29)="","",INDEX('Final Calculation Sheet'!$Y$4:$Y$40,$AL$29)))</f>
        <v/>
      </c>
      <c r="AA29" s="122">
        <f>IF($AL$29="","",IF(INDEX('Final Calculation Sheet'!$Z$4:$Z$40,$AL$29)="","",INDEX('Final Calculation Sheet'!$Z$4:$Z$40,$AL$29)))</f>
        <v/>
      </c>
      <c r="AB29" s="122">
        <f>IF($AL$29="","",IF(INDEX('Final Calculation Sheet'!$AA$4:$AA$40,$AL$29)="","",INDEX('Final Calculation Sheet'!$AA$4:$AA$40,$AL$29)))</f>
        <v/>
      </c>
      <c r="AC29" s="122">
        <f>IF($AL$29="","",IF(INDEX('Final Calculation Sheet'!$AB$4:$AB$40,$AL$29)="","",INDEX('Final Calculation Sheet'!$AB$4:$AB$40,$AL$29)))</f>
        <v/>
      </c>
      <c r="AD29" s="122">
        <f>IF($AL$29="","",IF(INDEX('Final Calculation Sheet'!$AC$4:$AC$40,$AL$29)="","",INDEX('Final Calculation Sheet'!$AC$4:$AC$40,$AL$29)))</f>
        <v/>
      </c>
      <c r="AE29" s="122">
        <f>IF($AL$29="","",IF(INDEX('Final Calculation Sheet'!$AD$4:$AD$40,$AL$29)="","",INDEX('Final Calculation Sheet'!$AD$4:$AD$40,$AL$29)))</f>
        <v/>
      </c>
      <c r="AF29" s="127">
        <f>IF($AL$29="","",IF(INDEX('Final Calculation Sheet'!$AD$4:$AD$40,$AL$29)&lt;=5,"SETTLED","OUTSTANDING"))</f>
        <v/>
      </c>
      <c r="AG29" s="122">
        <f>IF($AL$29="","",IF(INDEX('Final Calculation Sheet'!$AF$4:$AF$40,$AL$29)="","",INDEX('Final Calculation Sheet'!$AF$4:$AF$40,$AL$29)))</f>
        <v/>
      </c>
      <c r="AH29" s="126">
        <f>IF($AL$29="","",IF(INDEX('Final Calculation Sheet'!$AG$4:$AG$40,$AL$29)="","",INDEX('Final Calculation Sheet'!$AG$4:$AG$40,$AL$29)))</f>
        <v/>
      </c>
      <c r="AI29" s="122">
        <f>IF($AL$29="","",IF(INDEX('Final Calculation Sheet'!$AH$4:$AH$40,$AL$29)="","",INDEX('Final Calculation Sheet'!$AH$4:$AH$40,$AL$29)))</f>
        <v/>
      </c>
      <c r="AJ29">
        <f>IF(AND(IF($B$4="",TRUE(),IF($B$4="(blank)",'Final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Sheet'!$AD$27&lt;=5,"SETTLED","OUTSTANDING"))))))),1,0)</f>
      </c>
      <c r="AK29">
        <f>IF(AJ29=1,COUNTIF(AJ$6:AJ29,1),"")</f>
        <v/>
      </c>
      <c r="AL29">
        <f>IF(COUNTIF($B$4:$AI$4,"&lt;&gt;")=0,"",IFERROR(MATCH(23,$AK$6:$AK$42,0),""))</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CU28+IF(AND(Lists!$FI$29&lt;&gt;"",ISNUMBER(SEARCH($AG$4,Lists!$FI$29))),1,0)</f>
        <v/>
      </c>
      <c r="CV29">
        <f>IF(ROW()-3&gt;MAX($CU$4:$CU$42),"",INDEX(Lists!$FI$4:$FI$42,MATCH(ROW()-3,$CU$4:$CU$42,0)))</f>
        <v/>
      </c>
      <c r="CW29">
        <f>CW28+IF(AND(Lists!$FN$29&lt;&gt;"",ISNUMBER(SEARCH($AH$4,Lists!$FN$29))),1,0)</f>
        <v/>
      </c>
      <c r="CX29">
        <f>IF(ROW()-3&gt;MAX($CW$4:$CW$42),"",INDEX(Lists!$FN$4:$FN$42,MATCH(ROW()-3,$CW$4:$CW$42,0)))</f>
        <v/>
      </c>
      <c r="CY29">
        <f>CY28+IF(AND(Lists!$FS$29&lt;&gt;"",ISNUMBER(SEARCH($AI$4,Lists!$FS$29))),1,0)</f>
        <v/>
      </c>
      <c r="CZ29">
        <f>IF(ROW()-3&gt;MAX($CY$4:$CY$42),"",INDEX(Lists!$FS$4:$FS$42,MATCH(ROW()-3,$CY$4:$CY$42,0)))</f>
        <v/>
      </c>
      <c r="DA29">
        <f>DA28+IF(AND(Lists!$FX$29&lt;&gt;"",ISNUMBER(SEARCH($AF$4,Lists!$FX$29))),1,0)</f>
        <v/>
      </c>
      <c r="DB29">
        <f>IF(ROW()-3&gt;MAX($DA$4:$DA$42),"",INDEX(Lists!$FX$4:$FX$42,MATCH(ROW()-3,$DA$4:$DA$42,0)))</f>
        <v/>
      </c>
      <c r="DG29">
        <f>IF($B$4="",1,IF($B$4="(blank)",--('Final Calculation Sheet'!$F$27=""),IF($B$4="(nonblank)",--('Final Calculation Sheet'!$F$27&lt;&gt;""),--ISNUMBER(SEARCH($B$4,'Final Calculation Sheet'!$F$27)))))</f>
        <v/>
      </c>
      <c r="DH29">
        <f>IF($C$4="",1,IF($C$4="(blank)",--('Final Calculation Sheet'!$G$27=""),IF($C$4="(nonblank)",--('Final Calculation Sheet'!$G$27&lt;&gt;""),--ISNUMBER(SEARCH($C$4,'Final Calculation Sheet'!$G$27)))))</f>
        <v/>
      </c>
      <c r="DI29">
        <f>IF($D$4="",1,IF($D$4="(blank)",--('Final Calculation Sheet'!$B$27=""),IF($D$4="(nonblank)",--('Final Calculation Sheet'!$B$27&lt;&gt;""),--ISNUMBER(SEARCH($D$4,'Final Calculation Sheet'!$B$27)))))</f>
        <v/>
      </c>
      <c r="DJ29">
        <f>IF($E$4="",1,IF($E$4="(blank)",--('Final Calculation Sheet'!$D$27=""),IF($E$4="(nonblank)",--('Final Calculation Sheet'!$D$27&lt;&gt;""),--ISNUMBER(SEARCH($E$4,'Final Calculation Sheet'!$D$27)))))</f>
        <v/>
      </c>
      <c r="DK29">
        <f>IF($F$4="",1,IF($F$4="(blank)",--('Final Calculation Sheet'!$A$27=""),IF($F$4="(nonblank)",--('Final Calculation Sheet'!$A$27&lt;&gt;""),--ISNUMBER(SEARCH($F$4,'Final Calculation Sheet'!$A$27)))))</f>
        <v/>
      </c>
      <c r="DL29">
        <f>IF($G$4="",1,IF($G$4="(blank)",--('Final Calculation Sheet'!$E$27=""),IF($G$4="(nonblank)",--('Final Calculation Sheet'!$E$27&lt;&gt;""),--ISNUMBER(SEARCH($G$4,'Final Calculation Sheet'!$E$27)))))</f>
        <v/>
      </c>
      <c r="DM29">
        <f>IF($H$4="",1,IF($H$4="(blank)",--('Final Calculation Sheet'!$C$27=""),IF($H$4="(nonblank)",--('Final Calculation Sheet'!$C$27&lt;&gt;""),--ISNUMBER(SEARCH($H$4,'Final Calculation Sheet'!$C$27)))))</f>
        <v/>
      </c>
      <c r="DN29">
        <f>IF($I$4="",1,IF($I$4="(blank)",--('Final Calculation Sheet'!$H$27=""),IF($I$4="(nonblank)",--('Final Calculation Sheet'!$H$27&lt;&gt;""),--ISNUMBER(SEARCH($I$4,'Final Calculation Sheet'!$H$27)))))</f>
        <v/>
      </c>
      <c r="DO29">
        <f>IF($J$4="",1,IF($J$4="(blank)",--('Final Calculation Sheet'!$I$27=""),IF($J$4="(nonblank)",--('Final Calculation Sheet'!$I$27&lt;&gt;""),--ISNUMBER(SEARCH($J$4,'Final Calculation Sheet'!$I$27)))))</f>
        <v/>
      </c>
      <c r="DP29">
        <f>IF($K$4="",1,IF($K$4="(blank)",--('Final Calculation Sheet'!$J$27=""),IF($K$4="(nonblank)",--('Final Calculation Sheet'!$J$27&lt;&gt;""),--ISNUMBER(SEARCH($K$4,'Final Calculation Sheet'!$J$27)))))</f>
        <v/>
      </c>
      <c r="DQ29">
        <f>IF($L$4="",1,IF($L$4="(blank)",--('Final Calculation Sheet'!$K$27=""),IF($L$4="(nonblank)",--('Final Calculation Sheet'!$K$27&lt;&gt;""),--ISNUMBER(SEARCH($L$4,'Final Calculation Sheet'!$K$27)))))</f>
        <v/>
      </c>
      <c r="DR29">
        <f>IF($M$4="",1,IF($M$4="(blank)",--('Final Calculation Sheet'!$L$27=""),IF($M$4="(nonblank)",--('Final Calculation Sheet'!$L$27&lt;&gt;""),--ISNUMBER(SEARCH($M$4,'Final Calculation Sheet'!$L$27)))))</f>
        <v/>
      </c>
      <c r="DS29">
        <f>IF($N$4="",1,IF($N$4="(blank)",--('Final Calculation Sheet'!$M$27=""),IF($N$4="(nonblank)",--('Final Calculation Sheet'!$M$27&lt;&gt;""),--ISNUMBER(SEARCH($N$4,'Final Calculation Sheet'!$M$27)))))</f>
        <v/>
      </c>
      <c r="DT29">
        <f>IF($O$4="",1,IF($O$4="(blank)",--('Final Calculation Sheet'!$N$27=""),IF($O$4="(nonblank)",--('Final Calculation Sheet'!$N$27&lt;&gt;""),--ISNUMBER(SEARCH($O$4,'Final Calculation Sheet'!$N$27)))))</f>
        <v/>
      </c>
      <c r="DU29">
        <f>IF($P$4="",1,IF($P$4="(blank)",--('Final Calculation Sheet'!$O$27=""),IF($P$4="(nonblank)",--('Final Calculation Sheet'!$O$27&lt;&gt;""),--ISNUMBER(SEARCH($P$4,'Final Calculation Sheet'!$O$27)))))</f>
        <v/>
      </c>
      <c r="DV29">
        <f>IF($Q$4="",1,IF($Q$4="(blank)",--('Final Calculation Sheet'!$P$27=""),IF($Q$4="(nonblank)",--('Final Calculation Sheet'!$P$27&lt;&gt;""),--ISNUMBER(SEARCH($Q$4,'Final Calculation Sheet'!$P$27)))))</f>
        <v/>
      </c>
      <c r="DW29">
        <f>IF($R$4="",1,IF($R$4="(blank)",--('Final Calculation Sheet'!$Q$27=""),IF($R$4="(nonblank)",--('Final Calculation Sheet'!$Q$27&lt;&gt;""),--ISNUMBER(SEARCH($R$4,'Final Calculation Sheet'!$Q$27)))))</f>
        <v/>
      </c>
      <c r="DX29">
        <f>IF($S$4="",1,IF($S$4="(blank)",--('Final Calculation Sheet'!$R$27=""),IF($S$4="(nonblank)",--('Final Calculation Sheet'!$R$27&lt;&gt;""),--ISNUMBER(SEARCH($S$4,'Final Calculation Sheet'!$R$27)))))</f>
        <v/>
      </c>
      <c r="DY29">
        <f>IF($T$4="",1,IF($T$4="(blank)",--('Final Calculation Sheet'!$S$27=""),IF($T$4="(nonblank)",--('Final Calculation Sheet'!$S$27&lt;&gt;""),--ISNUMBER(SEARCH($T$4,'Final Calculation Sheet'!$S$27)))))</f>
        <v/>
      </c>
      <c r="DZ29">
        <f>IF($U$4="",1,IF($U$4="(blank)",--('Final Calculation Sheet'!$T$27=""),IF($U$4="(nonblank)",--('Final Calculation Sheet'!$T$27&lt;&gt;""),--ISNUMBER(SEARCH($U$4,'Final Calculation Sheet'!$T$27)))))</f>
        <v/>
      </c>
      <c r="EA29">
        <f>IF($V$4="",1,IF($V$4="(blank)",--('Final Calculation Sheet'!$U$27=""),IF($V$4="(nonblank)",--('Final Calculation Sheet'!$U$27&lt;&gt;""),--ISNUMBER(SEARCH($V$4,'Final Calculation Sheet'!$U$27)))))</f>
        <v/>
      </c>
      <c r="EB29">
        <f>IF($W$4="",1,IF($W$4="(blank)",--('Final Calculation Sheet'!$V$27=""),IF($W$4="(nonblank)",--('Final Calculation Sheet'!$V$27&lt;&gt;""),--ISNUMBER(SEARCH($W$4,'Final Calculation Sheet'!$V$27)))))</f>
        <v/>
      </c>
      <c r="EC29">
        <f>IF($X$4="",1,IF($X$4="(blank)",--('Final Calculation Sheet'!$W$27=""),IF($X$4="(nonblank)",--('Final Calculation Sheet'!$W$27&lt;&gt;""),--ISNUMBER(SEARCH($X$4,'Final Calculation Sheet'!$W$27)))))</f>
        <v/>
      </c>
      <c r="ED29">
        <f>IF($Y$4="",1,IF($Y$4="(blank)",--('Final Calculation Sheet'!$X$27=""),IF($Y$4="(nonblank)",--('Final Calculation Sheet'!$X$27&lt;&gt;""),--ISNUMBER(SEARCH($Y$4,'Final Calculation Sheet'!$X$27)))))</f>
        <v/>
      </c>
      <c r="EE29">
        <f>IF($Z$4="",1,IF($Z$4="(blank)",--('Final Calculation Sheet'!$Y$27=""),IF($Z$4="(nonblank)",--('Final Calculation Sheet'!$Y$27&lt;&gt;""),--ISNUMBER(SEARCH($Z$4,'Final Calculation Sheet'!$Y$27)))))</f>
        <v/>
      </c>
      <c r="EF29">
        <f>IF($AA$4="",1,IF($AA$4="(blank)",--('Final Calculation Sheet'!$Z$27=""),IF($AA$4="(nonblank)",--('Final Calculation Sheet'!$Z$27&lt;&gt;""),--ISNUMBER(SEARCH($AA$4,'Final Calculation Sheet'!$Z$27)))))</f>
        <v/>
      </c>
      <c r="EG29">
        <f>IF($AB$4="",1,IF($AB$4="(blank)",--('Final Calculation Sheet'!$AA$27=""),IF($AB$4="(nonblank)",--('Final Calculation Sheet'!$AA$27&lt;&gt;""),--ISNUMBER(SEARCH($AB$4,'Final Calculation Sheet'!$AA$27)))))</f>
        <v/>
      </c>
      <c r="EH29">
        <f>IF($AC$4="",1,IF($AC$4="(blank)",--('Final Calculation Sheet'!$AB$27=""),IF($AC$4="(nonblank)",--('Final Calculation Sheet'!$AB$27&lt;&gt;""),--ISNUMBER(SEARCH($AC$4,'Final Calculation Sheet'!$AB$27)))))</f>
        <v/>
      </c>
      <c r="EI29">
        <f>IF($AD$4="",1,IF($AD$4="(blank)",--('Final Calculation Sheet'!$AC$27=""),IF($AD$4="(nonblank)",--('Final Calculation Sheet'!$AC$27&lt;&gt;""),--ISNUMBER(SEARCH($AD$4,'Final Calculation Sheet'!$AC$27)))))</f>
        <v/>
      </c>
      <c r="EJ29">
        <f>IF($AE$4="",1,IF($AE$4="(blank)",--('Final Calculation Sheet'!$AD$27=""),IF($AE$4="(nonblank)",--('Final Calculation Sheet'!$AD$27&lt;&gt;""),--ISNUMBER(SEARCH($AE$4,'Final Calculation Sheet'!$AD$27)))))</f>
        <v/>
      </c>
      <c r="EK29">
        <f>IF($AF$4="",1,IF($AF$4="(blank)",--(IF('Final Calculation Sheet'!$AD$27&lt;=5,"SETTLED","OUTSTANDING")=""),IF($AF$4="(nonblank)",--(IF('Final Calculation Sheet'!$AD$27&lt;=5,"SETTLED","OUTSTANDING")&lt;&gt;""),--ISNUMBER(SEARCH($AF$4,IF('Final Calculation Sheet'!$AD$27&lt;=5,"SETTLED","OUTSTANDING"))))))</f>
        <v/>
      </c>
      <c r="EL29">
        <f>IF($AG$4="",1,IF($AG$4="(blank)",--('Final Calculation Sheet'!$AF$27=""),IF($AG$4="(nonblank)",--('Final Calculation Sheet'!$AF$27&lt;&gt;""),--ISNUMBER(SEARCH($AG$4,'Final Calculation Sheet'!$AF$27)))))</f>
        <v/>
      </c>
      <c r="EM29">
        <f>IF($AH$4="",1,IF($AH$4="(blank)",--('Final Calculation Sheet'!$AG$27=""),IF($AH$4="(nonblank)",--('Final Calculation Sheet'!$AG$27&lt;&gt;""),--ISNUMBER(SEARCH($AH$4,'Final Calculation Sheet'!$AG$27)))))</f>
        <v/>
      </c>
      <c r="EN29">
        <f>IF($AI$4="",1,IF($AI$4="(blank)",--('Final Calculation Sheet'!$AH$27=""),IF($AI$4="(nonblank)",--('Final Calculation Sheet'!$AH$27&lt;&gt;""),--ISNUMBER(SEARCH($AI$4,'Final Calculation Sheet'!$AH$27)))))</f>
        <v/>
      </c>
    </row>
    <row r="30" outlineLevel="1" hidden="1">
      <c r="A30" s="128">
        <f>IF($AL$30="","",24)</f>
        <v/>
      </c>
      <c r="B30" s="129">
        <f>IF($AL$30="","",IF(INDEX('Final Calculation Sheet'!$F$4:$F$40,$AL$30)="","",INDEX('Final Calculation Sheet'!$F$4:$F$40,$AL$30)))</f>
        <v/>
      </c>
      <c r="C30" s="129">
        <f>IF($AL$30="","",IF(INDEX('Final Calculation Sheet'!$G$4:$G$40,$AL$30)="","",INDEX('Final Calculation Sheet'!$G$4:$G$40,$AL$30)))</f>
        <v/>
      </c>
      <c r="D30" s="130">
        <f>IF($AL$30="","",IF(INDEX('Final Calculation Sheet'!$B$4:$B$40,$AL$30)="","",INDEX('Final Calculation Sheet'!$B$4:$B$40,$AL$30)))</f>
        <v/>
      </c>
      <c r="E30" s="130">
        <f>IF($AL$30="","",IF(INDEX('Final Calculation Sheet'!$D$4:$D$40,$AL$30)="","",INDEX('Final Calculation Sheet'!$D$4:$D$40,$AL$30)))</f>
        <v/>
      </c>
      <c r="F30" s="130">
        <f>IF($AL$30="","",IF(INDEX('Final Calculation Sheet'!$A$4:$A$40,$AL$30)="","",INDEX('Final Calculation Sheet'!$A$4:$A$40,$AL$30)))</f>
        <v/>
      </c>
      <c r="G30" s="130">
        <f>IF($AL$30="","",IF(INDEX('Final Calculation Sheet'!$E$4:$E$40,$AL$30)="","",INDEX('Final Calculation Sheet'!$E$4:$E$40,$AL$30)))</f>
        <v/>
      </c>
      <c r="H30" s="131">
        <f>IF($AL$30="","",IF(INDEX('Final Calculation Sheet'!$C$4:$C$40,$AL$30)="","",INDEX('Final Calculation Sheet'!$C$4:$C$40,$AL$30)))</f>
        <v/>
      </c>
      <c r="I30" s="131">
        <f>IF($AL$30="","",IF(INDEX('Final Calculation Sheet'!$H$4:$H$40,$AL$30)="","",INDEX('Final Calculation Sheet'!$H$4:$H$40,$AL$30)))</f>
        <v/>
      </c>
      <c r="J30" s="131">
        <f>IF($AL$30="","",IF(INDEX('Final Calculation Sheet'!$I$4:$I$40,$AL$30)="","",INDEX('Final Calculation Sheet'!$I$4:$I$40,$AL$30)))</f>
        <v/>
      </c>
      <c r="K30" s="131">
        <f>IF($AL$30="","",IF(INDEX('Final Calculation Sheet'!$J$4:$J$40,$AL$30)="","",INDEX('Final Calculation Sheet'!$J$4:$J$40,$AL$30)))</f>
        <v/>
      </c>
      <c r="L30" s="131">
        <f>IF($AL$30="","",IF(INDEX('Final Calculation Sheet'!$K$4:$K$40,$AL$30)="","",INDEX('Final Calculation Sheet'!$K$4:$K$40,$AL$30)))</f>
        <v/>
      </c>
      <c r="M30" s="131">
        <f>IF($AL$30="","",IF(INDEX('Final Calculation Sheet'!$L$4:$L$40,$AL$30)="","",INDEX('Final Calculation Sheet'!$L$4:$L$40,$AL$30)))</f>
        <v/>
      </c>
      <c r="N30" s="131">
        <f>IF($AL$30="","",IF(INDEX('Final Calculation Sheet'!$M$4:$M$40,$AL$30)="","",INDEX('Final Calculation Sheet'!$M$4:$M$40,$AL$30)))</f>
        <v/>
      </c>
      <c r="O30" s="132">
        <f>IF($AL$30="","",IF(INDEX('Final Calculation Sheet'!$N$4:$N$40,$AL$30)="","",INDEX('Final Calculation Sheet'!$N$4:$N$40,$AL$30)))</f>
        <v/>
      </c>
      <c r="P30" s="131">
        <f>IF($AL$30="","",IF(INDEX('Final Calculation Sheet'!$O$4:$O$40,$AL$30)="","",INDEX('Final Calculation Sheet'!$O$4:$O$40,$AL$30)))</f>
        <v/>
      </c>
      <c r="Q30" s="131">
        <f>IF($AL$30="","",IF(INDEX('Final Calculation Sheet'!$P$4:$P$40,$AL$30)="","",INDEX('Final Calculation Sheet'!$P$4:$P$40,$AL$30)))</f>
        <v/>
      </c>
      <c r="R30" s="133">
        <f>IF($AL$30="","",IF(INDEX('Final Calculation Sheet'!$Q$4:$Q$40,$AL$30)="","",INDEX('Final Calculation Sheet'!$Q$4:$Q$40,$AL$30)))</f>
        <v/>
      </c>
      <c r="S30" s="131">
        <f>IF($AL$30="","",IF(INDEX('Final Calculation Sheet'!$R$4:$R$40,$AL$30)="","",INDEX('Final Calculation Sheet'!$R$4:$R$40,$AL$30)))</f>
        <v/>
      </c>
      <c r="T30" s="131">
        <f>IF($AL$30="","",IF(INDEX('Final Calculation Sheet'!$S$4:$S$40,$AL$30)="","",INDEX('Final Calculation Sheet'!$S$4:$S$40,$AL$30)))</f>
        <v/>
      </c>
      <c r="U30" s="131">
        <f>IF($AL$30="","",IF(INDEX('Final Calculation Sheet'!$T$4:$T$40,$AL$30)="","",INDEX('Final Calculation Sheet'!$T$4:$T$40,$AL$30)))</f>
        <v/>
      </c>
      <c r="V30" s="134">
        <f>IF($AL$30="","",IF(INDEX('Final Calculation Sheet'!$U$4:$U$40,$AL$30)="","",INDEX('Final Calculation Sheet'!$U$4:$U$40,$AL$30)))</f>
        <v/>
      </c>
      <c r="W30" s="131">
        <f>IF($AL$30="","",IF(INDEX('Final Calculation Sheet'!$V$4:$V$40,$AL$30)="","",INDEX('Final Calculation Sheet'!$V$4:$V$40,$AL$30)))</f>
        <v/>
      </c>
      <c r="X30" s="131">
        <f>IF($AL$30="","",IF(INDEX('Final Calculation Sheet'!$W$4:$W$40,$AL$30)="","",INDEX('Final Calculation Sheet'!$W$4:$W$40,$AL$30)))</f>
        <v/>
      </c>
      <c r="Y30" s="131">
        <f>IF($AL$30="","",IF(INDEX('Final Calculation Sheet'!$X$4:$X$40,$AL$30)="","",INDEX('Final Calculation Sheet'!$X$4:$X$40,$AL$30)))</f>
        <v/>
      </c>
      <c r="Z30" s="131">
        <f>IF($AL$30="","",IF(INDEX('Final Calculation Sheet'!$Y$4:$Y$40,$AL$30)="","",INDEX('Final Calculation Sheet'!$Y$4:$Y$40,$AL$30)))</f>
        <v/>
      </c>
      <c r="AA30" s="131">
        <f>IF($AL$30="","",IF(INDEX('Final Calculation Sheet'!$Z$4:$Z$40,$AL$30)="","",INDEX('Final Calculation Sheet'!$Z$4:$Z$40,$AL$30)))</f>
        <v/>
      </c>
      <c r="AB30" s="131">
        <f>IF($AL$30="","",IF(INDEX('Final Calculation Sheet'!$AA$4:$AA$40,$AL$30)="","",INDEX('Final Calculation Sheet'!$AA$4:$AA$40,$AL$30)))</f>
        <v/>
      </c>
      <c r="AC30" s="131">
        <f>IF($AL$30="","",IF(INDEX('Final Calculation Sheet'!$AB$4:$AB$40,$AL$30)="","",INDEX('Final Calculation Sheet'!$AB$4:$AB$40,$AL$30)))</f>
        <v/>
      </c>
      <c r="AD30" s="131">
        <f>IF($AL$30="","",IF(INDEX('Final Calculation Sheet'!$AC$4:$AC$40,$AL$30)="","",INDEX('Final Calculation Sheet'!$AC$4:$AC$40,$AL$30)))</f>
        <v/>
      </c>
      <c r="AE30" s="131">
        <f>IF($AL$30="","",IF(INDEX('Final Calculation Sheet'!$AD$4:$AD$40,$AL$30)="","",INDEX('Final Calculation Sheet'!$AD$4:$AD$40,$AL$30)))</f>
        <v/>
      </c>
      <c r="AF30" s="136">
        <f>IF($AL$30="","",IF(INDEX('Final Calculation Sheet'!$AD$4:$AD$40,$AL$30)&lt;=5,"SETTLED","OUTSTANDING"))</f>
        <v/>
      </c>
      <c r="AG30" s="131">
        <f>IF($AL$30="","",IF(INDEX('Final Calculation Sheet'!$AF$4:$AF$40,$AL$30)="","",INDEX('Final Calculation Sheet'!$AF$4:$AF$40,$AL$30)))</f>
        <v/>
      </c>
      <c r="AH30" s="135">
        <f>IF($AL$30="","",IF(INDEX('Final Calculation Sheet'!$AG$4:$AG$40,$AL$30)="","",INDEX('Final Calculation Sheet'!$AG$4:$AG$40,$AL$30)))</f>
        <v/>
      </c>
      <c r="AI30" s="131">
        <f>IF($AL$30="","",IF(INDEX('Final Calculation Sheet'!$AH$4:$AH$40,$AL$30)="","",INDEX('Final Calculation Sheet'!$AH$4:$AH$40,$AL$30)))</f>
        <v/>
      </c>
      <c r="AJ30">
        <f>IF(AND(IF($B$4="",TRUE(),IF($B$4="(blank)",'Final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Sheet'!$AD$28&lt;=5,"SETTLED","OUTSTANDING"))))))),1,0)</f>
      </c>
      <c r="AK30">
        <f>IF(AJ30=1,COUNTIF(AJ$6:AJ30,1),"")</f>
        <v/>
      </c>
      <c r="AL30">
        <f>IF(COUNTIF($B$4:$AI$4,"&lt;&gt;")=0,"",IFERROR(MATCH(24,$AK$6:$AK$42,0),""))</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CU29+IF(AND(Lists!$FI$30&lt;&gt;"",ISNUMBER(SEARCH($AG$4,Lists!$FI$30))),1,0)</f>
        <v/>
      </c>
      <c r="CV30">
        <f>IF(ROW()-3&gt;MAX($CU$4:$CU$42),"",INDEX(Lists!$FI$4:$FI$42,MATCH(ROW()-3,$CU$4:$CU$42,0)))</f>
        <v/>
      </c>
      <c r="CW30">
        <f>CW29+IF(AND(Lists!$FN$30&lt;&gt;"",ISNUMBER(SEARCH($AH$4,Lists!$FN$30))),1,0)</f>
        <v/>
      </c>
      <c r="CX30">
        <f>IF(ROW()-3&gt;MAX($CW$4:$CW$42),"",INDEX(Lists!$FN$4:$FN$42,MATCH(ROW()-3,$CW$4:$CW$42,0)))</f>
        <v/>
      </c>
      <c r="CY30">
        <f>CY29+IF(AND(Lists!$FS$30&lt;&gt;"",ISNUMBER(SEARCH($AI$4,Lists!$FS$30))),1,0)</f>
        <v/>
      </c>
      <c r="CZ30">
        <f>IF(ROW()-3&gt;MAX($CY$4:$CY$42),"",INDEX(Lists!$FS$4:$FS$42,MATCH(ROW()-3,$CY$4:$CY$42,0)))</f>
        <v/>
      </c>
      <c r="DA30">
        <f>DA29+IF(AND(Lists!$FX$30&lt;&gt;"",ISNUMBER(SEARCH($AF$4,Lists!$FX$30))),1,0)</f>
        <v/>
      </c>
      <c r="DB30">
        <f>IF(ROW()-3&gt;MAX($DA$4:$DA$42),"",INDEX(Lists!$FX$4:$FX$42,MATCH(ROW()-3,$DA$4:$DA$42,0)))</f>
        <v/>
      </c>
      <c r="DG30">
        <f>IF($B$4="",1,IF($B$4="(blank)",--('Final Calculation Sheet'!$F$28=""),IF($B$4="(nonblank)",--('Final Calculation Sheet'!$F$28&lt;&gt;""),--ISNUMBER(SEARCH($B$4,'Final Calculation Sheet'!$F$28)))))</f>
        <v/>
      </c>
      <c r="DH30">
        <f>IF($C$4="",1,IF($C$4="(blank)",--('Final Calculation Sheet'!$G$28=""),IF($C$4="(nonblank)",--('Final Calculation Sheet'!$G$28&lt;&gt;""),--ISNUMBER(SEARCH($C$4,'Final Calculation Sheet'!$G$28)))))</f>
        <v/>
      </c>
      <c r="DI30">
        <f>IF($D$4="",1,IF($D$4="(blank)",--('Final Calculation Sheet'!$B$28=""),IF($D$4="(nonblank)",--('Final Calculation Sheet'!$B$28&lt;&gt;""),--ISNUMBER(SEARCH($D$4,'Final Calculation Sheet'!$B$28)))))</f>
        <v/>
      </c>
      <c r="DJ30">
        <f>IF($E$4="",1,IF($E$4="(blank)",--('Final Calculation Sheet'!$D$28=""),IF($E$4="(nonblank)",--('Final Calculation Sheet'!$D$28&lt;&gt;""),--ISNUMBER(SEARCH($E$4,'Final Calculation Sheet'!$D$28)))))</f>
        <v/>
      </c>
      <c r="DK30">
        <f>IF($F$4="",1,IF($F$4="(blank)",--('Final Calculation Sheet'!$A$28=""),IF($F$4="(nonblank)",--('Final Calculation Sheet'!$A$28&lt;&gt;""),--ISNUMBER(SEARCH($F$4,'Final Calculation Sheet'!$A$28)))))</f>
        <v/>
      </c>
      <c r="DL30">
        <f>IF($G$4="",1,IF($G$4="(blank)",--('Final Calculation Sheet'!$E$28=""),IF($G$4="(nonblank)",--('Final Calculation Sheet'!$E$28&lt;&gt;""),--ISNUMBER(SEARCH($G$4,'Final Calculation Sheet'!$E$28)))))</f>
        <v/>
      </c>
      <c r="DM30">
        <f>IF($H$4="",1,IF($H$4="(blank)",--('Final Calculation Sheet'!$C$28=""),IF($H$4="(nonblank)",--('Final Calculation Sheet'!$C$28&lt;&gt;""),--ISNUMBER(SEARCH($H$4,'Final Calculation Sheet'!$C$28)))))</f>
        <v/>
      </c>
      <c r="DN30">
        <f>IF($I$4="",1,IF($I$4="(blank)",--('Final Calculation Sheet'!$H$28=""),IF($I$4="(nonblank)",--('Final Calculation Sheet'!$H$28&lt;&gt;""),--ISNUMBER(SEARCH($I$4,'Final Calculation Sheet'!$H$28)))))</f>
        <v/>
      </c>
      <c r="DO30">
        <f>IF($J$4="",1,IF($J$4="(blank)",--('Final Calculation Sheet'!$I$28=""),IF($J$4="(nonblank)",--('Final Calculation Sheet'!$I$28&lt;&gt;""),--ISNUMBER(SEARCH($J$4,'Final Calculation Sheet'!$I$28)))))</f>
        <v/>
      </c>
      <c r="DP30">
        <f>IF($K$4="",1,IF($K$4="(blank)",--('Final Calculation Sheet'!$J$28=""),IF($K$4="(nonblank)",--('Final Calculation Sheet'!$J$28&lt;&gt;""),--ISNUMBER(SEARCH($K$4,'Final Calculation Sheet'!$J$28)))))</f>
        <v/>
      </c>
      <c r="DQ30">
        <f>IF($L$4="",1,IF($L$4="(blank)",--('Final Calculation Sheet'!$K$28=""),IF($L$4="(nonblank)",--('Final Calculation Sheet'!$K$28&lt;&gt;""),--ISNUMBER(SEARCH($L$4,'Final Calculation Sheet'!$K$28)))))</f>
        <v/>
      </c>
      <c r="DR30">
        <f>IF($M$4="",1,IF($M$4="(blank)",--('Final Calculation Sheet'!$L$28=""),IF($M$4="(nonblank)",--('Final Calculation Sheet'!$L$28&lt;&gt;""),--ISNUMBER(SEARCH($M$4,'Final Calculation Sheet'!$L$28)))))</f>
        <v/>
      </c>
      <c r="DS30">
        <f>IF($N$4="",1,IF($N$4="(blank)",--('Final Calculation Sheet'!$M$28=""),IF($N$4="(nonblank)",--('Final Calculation Sheet'!$M$28&lt;&gt;""),--ISNUMBER(SEARCH($N$4,'Final Calculation Sheet'!$M$28)))))</f>
        <v/>
      </c>
      <c r="DT30">
        <f>IF($O$4="",1,IF($O$4="(blank)",--('Final Calculation Sheet'!$N$28=""),IF($O$4="(nonblank)",--('Final Calculation Sheet'!$N$28&lt;&gt;""),--ISNUMBER(SEARCH($O$4,'Final Calculation Sheet'!$N$28)))))</f>
        <v/>
      </c>
      <c r="DU30">
        <f>IF($P$4="",1,IF($P$4="(blank)",--('Final Calculation Sheet'!$O$28=""),IF($P$4="(nonblank)",--('Final Calculation Sheet'!$O$28&lt;&gt;""),--ISNUMBER(SEARCH($P$4,'Final Calculation Sheet'!$O$28)))))</f>
        <v/>
      </c>
      <c r="DV30">
        <f>IF($Q$4="",1,IF($Q$4="(blank)",--('Final Calculation Sheet'!$P$28=""),IF($Q$4="(nonblank)",--('Final Calculation Sheet'!$P$28&lt;&gt;""),--ISNUMBER(SEARCH($Q$4,'Final Calculation Sheet'!$P$28)))))</f>
        <v/>
      </c>
      <c r="DW30">
        <f>IF($R$4="",1,IF($R$4="(blank)",--('Final Calculation Sheet'!$Q$28=""),IF($R$4="(nonblank)",--('Final Calculation Sheet'!$Q$28&lt;&gt;""),--ISNUMBER(SEARCH($R$4,'Final Calculation Sheet'!$Q$28)))))</f>
        <v/>
      </c>
      <c r="DX30">
        <f>IF($S$4="",1,IF($S$4="(blank)",--('Final Calculation Sheet'!$R$28=""),IF($S$4="(nonblank)",--('Final Calculation Sheet'!$R$28&lt;&gt;""),--ISNUMBER(SEARCH($S$4,'Final Calculation Sheet'!$R$28)))))</f>
        <v/>
      </c>
      <c r="DY30">
        <f>IF($T$4="",1,IF($T$4="(blank)",--('Final Calculation Sheet'!$S$28=""),IF($T$4="(nonblank)",--('Final Calculation Sheet'!$S$28&lt;&gt;""),--ISNUMBER(SEARCH($T$4,'Final Calculation Sheet'!$S$28)))))</f>
        <v/>
      </c>
      <c r="DZ30">
        <f>IF($U$4="",1,IF($U$4="(blank)",--('Final Calculation Sheet'!$T$28=""),IF($U$4="(nonblank)",--('Final Calculation Sheet'!$T$28&lt;&gt;""),--ISNUMBER(SEARCH($U$4,'Final Calculation Sheet'!$T$28)))))</f>
        <v/>
      </c>
      <c r="EA30">
        <f>IF($V$4="",1,IF($V$4="(blank)",--('Final Calculation Sheet'!$U$28=""),IF($V$4="(nonblank)",--('Final Calculation Sheet'!$U$28&lt;&gt;""),--ISNUMBER(SEARCH($V$4,'Final Calculation Sheet'!$U$28)))))</f>
        <v/>
      </c>
      <c r="EB30">
        <f>IF($W$4="",1,IF($W$4="(blank)",--('Final Calculation Sheet'!$V$28=""),IF($W$4="(nonblank)",--('Final Calculation Sheet'!$V$28&lt;&gt;""),--ISNUMBER(SEARCH($W$4,'Final Calculation Sheet'!$V$28)))))</f>
        <v/>
      </c>
      <c r="EC30">
        <f>IF($X$4="",1,IF($X$4="(blank)",--('Final Calculation Sheet'!$W$28=""),IF($X$4="(nonblank)",--('Final Calculation Sheet'!$W$28&lt;&gt;""),--ISNUMBER(SEARCH($X$4,'Final Calculation Sheet'!$W$28)))))</f>
        <v/>
      </c>
      <c r="ED30">
        <f>IF($Y$4="",1,IF($Y$4="(blank)",--('Final Calculation Sheet'!$X$28=""),IF($Y$4="(nonblank)",--('Final Calculation Sheet'!$X$28&lt;&gt;""),--ISNUMBER(SEARCH($Y$4,'Final Calculation Sheet'!$X$28)))))</f>
        <v/>
      </c>
      <c r="EE30">
        <f>IF($Z$4="",1,IF($Z$4="(blank)",--('Final Calculation Sheet'!$Y$28=""),IF($Z$4="(nonblank)",--('Final Calculation Sheet'!$Y$28&lt;&gt;""),--ISNUMBER(SEARCH($Z$4,'Final Calculation Sheet'!$Y$28)))))</f>
        <v/>
      </c>
      <c r="EF30">
        <f>IF($AA$4="",1,IF($AA$4="(blank)",--('Final Calculation Sheet'!$Z$28=""),IF($AA$4="(nonblank)",--('Final Calculation Sheet'!$Z$28&lt;&gt;""),--ISNUMBER(SEARCH($AA$4,'Final Calculation Sheet'!$Z$28)))))</f>
        <v/>
      </c>
      <c r="EG30">
        <f>IF($AB$4="",1,IF($AB$4="(blank)",--('Final Calculation Sheet'!$AA$28=""),IF($AB$4="(nonblank)",--('Final Calculation Sheet'!$AA$28&lt;&gt;""),--ISNUMBER(SEARCH($AB$4,'Final Calculation Sheet'!$AA$28)))))</f>
        <v/>
      </c>
      <c r="EH30">
        <f>IF($AC$4="",1,IF($AC$4="(blank)",--('Final Calculation Sheet'!$AB$28=""),IF($AC$4="(nonblank)",--('Final Calculation Sheet'!$AB$28&lt;&gt;""),--ISNUMBER(SEARCH($AC$4,'Final Calculation Sheet'!$AB$28)))))</f>
        <v/>
      </c>
      <c r="EI30">
        <f>IF($AD$4="",1,IF($AD$4="(blank)",--('Final Calculation Sheet'!$AC$28=""),IF($AD$4="(nonblank)",--('Final Calculation Sheet'!$AC$28&lt;&gt;""),--ISNUMBER(SEARCH($AD$4,'Final Calculation Sheet'!$AC$28)))))</f>
        <v/>
      </c>
      <c r="EJ30">
        <f>IF($AE$4="",1,IF($AE$4="(blank)",--('Final Calculation Sheet'!$AD$28=""),IF($AE$4="(nonblank)",--('Final Calculation Sheet'!$AD$28&lt;&gt;""),--ISNUMBER(SEARCH($AE$4,'Final Calculation Sheet'!$AD$28)))))</f>
        <v/>
      </c>
      <c r="EK30">
        <f>IF($AF$4="",1,IF($AF$4="(blank)",--(IF('Final Calculation Sheet'!$AD$28&lt;=5,"SETTLED","OUTSTANDING")=""),IF($AF$4="(nonblank)",--(IF('Final Calculation Sheet'!$AD$28&lt;=5,"SETTLED","OUTSTANDING")&lt;&gt;""),--ISNUMBER(SEARCH($AF$4,IF('Final Calculation Sheet'!$AD$28&lt;=5,"SETTLED","OUTSTANDING"))))))</f>
        <v/>
      </c>
      <c r="EL30">
        <f>IF($AG$4="",1,IF($AG$4="(blank)",--('Final Calculation Sheet'!$AF$28=""),IF($AG$4="(nonblank)",--('Final Calculation Sheet'!$AF$28&lt;&gt;""),--ISNUMBER(SEARCH($AG$4,'Final Calculation Sheet'!$AF$28)))))</f>
        <v/>
      </c>
      <c r="EM30">
        <f>IF($AH$4="",1,IF($AH$4="(blank)",--('Final Calculation Sheet'!$AG$28=""),IF($AH$4="(nonblank)",--('Final Calculation Sheet'!$AG$28&lt;&gt;""),--ISNUMBER(SEARCH($AH$4,'Final Calculation Sheet'!$AG$28)))))</f>
        <v/>
      </c>
      <c r="EN30">
        <f>IF($AI$4="",1,IF($AI$4="(blank)",--('Final Calculation Sheet'!$AH$28=""),IF($AI$4="(nonblank)",--('Final Calculation Sheet'!$AH$28&lt;&gt;""),--ISNUMBER(SEARCH($AI$4,'Final Calculation Sheet'!$AH$28)))))</f>
        <v/>
      </c>
    </row>
    <row r="31" outlineLevel="1" hidden="1">
      <c r="A31" s="118">
        <f>IF($AL$31="","",25)</f>
        <v/>
      </c>
      <c r="B31" s="119">
        <f>IF($AL$31="","",IF(INDEX('Final Calculation Sheet'!$F$4:$F$40,$AL$31)="","",INDEX('Final Calculation Sheet'!$F$4:$F$40,$AL$31)))</f>
        <v/>
      </c>
      <c r="C31" s="119">
        <f>IF($AL$31="","",IF(INDEX('Final Calculation Sheet'!$G$4:$G$40,$AL$31)="","",INDEX('Final Calculation Sheet'!$G$4:$G$40,$AL$31)))</f>
        <v/>
      </c>
      <c r="D31" s="121">
        <f>IF($AL$31="","",IF(INDEX('Final Calculation Sheet'!$B$4:$B$40,$AL$31)="","",INDEX('Final Calculation Sheet'!$B$4:$B$40,$AL$31)))</f>
        <v/>
      </c>
      <c r="E31" s="121">
        <f>IF($AL$31="","",IF(INDEX('Final Calculation Sheet'!$D$4:$D$40,$AL$31)="","",INDEX('Final Calculation Sheet'!$D$4:$D$40,$AL$31)))</f>
        <v/>
      </c>
      <c r="F31" s="121">
        <f>IF($AL$31="","",IF(INDEX('Final Calculation Sheet'!$A$4:$A$40,$AL$31)="","",INDEX('Final Calculation Sheet'!$A$4:$A$40,$AL$31)))</f>
        <v/>
      </c>
      <c r="G31" s="121">
        <f>IF($AL$31="","",IF(INDEX('Final Calculation Sheet'!$E$4:$E$40,$AL$31)="","",INDEX('Final Calculation Sheet'!$E$4:$E$40,$AL$31)))</f>
        <v/>
      </c>
      <c r="H31" s="122">
        <f>IF($AL$31="","",IF(INDEX('Final Calculation Sheet'!$C$4:$C$40,$AL$31)="","",INDEX('Final Calculation Sheet'!$C$4:$C$40,$AL$31)))</f>
        <v/>
      </c>
      <c r="I31" s="122">
        <f>IF($AL$31="","",IF(INDEX('Final Calculation Sheet'!$H$4:$H$40,$AL$31)="","",INDEX('Final Calculation Sheet'!$H$4:$H$40,$AL$31)))</f>
        <v/>
      </c>
      <c r="J31" s="122">
        <f>IF($AL$31="","",IF(INDEX('Final Calculation Sheet'!$I$4:$I$40,$AL$31)="","",INDEX('Final Calculation Sheet'!$I$4:$I$40,$AL$31)))</f>
        <v/>
      </c>
      <c r="K31" s="122">
        <f>IF($AL$31="","",IF(INDEX('Final Calculation Sheet'!$J$4:$J$40,$AL$31)="","",INDEX('Final Calculation Sheet'!$J$4:$J$40,$AL$31)))</f>
        <v/>
      </c>
      <c r="L31" s="122">
        <f>IF($AL$31="","",IF(INDEX('Final Calculation Sheet'!$K$4:$K$40,$AL$31)="","",INDEX('Final Calculation Sheet'!$K$4:$K$40,$AL$31)))</f>
        <v/>
      </c>
      <c r="M31" s="122">
        <f>IF($AL$31="","",IF(INDEX('Final Calculation Sheet'!$L$4:$L$40,$AL$31)="","",INDEX('Final Calculation Sheet'!$L$4:$L$40,$AL$31)))</f>
        <v/>
      </c>
      <c r="N31" s="122">
        <f>IF($AL$31="","",IF(INDEX('Final Calculation Sheet'!$M$4:$M$40,$AL$31)="","",INDEX('Final Calculation Sheet'!$M$4:$M$40,$AL$31)))</f>
        <v/>
      </c>
      <c r="O31" s="123">
        <f>IF($AL$31="","",IF(INDEX('Final Calculation Sheet'!$N$4:$N$40,$AL$31)="","",INDEX('Final Calculation Sheet'!$N$4:$N$40,$AL$31)))</f>
        <v/>
      </c>
      <c r="P31" s="122">
        <f>IF($AL$31="","",IF(INDEX('Final Calculation Sheet'!$O$4:$O$40,$AL$31)="","",INDEX('Final Calculation Sheet'!$O$4:$O$40,$AL$31)))</f>
        <v/>
      </c>
      <c r="Q31" s="122">
        <f>IF($AL$31="","",IF(INDEX('Final Calculation Sheet'!$P$4:$P$40,$AL$31)="","",INDEX('Final Calculation Sheet'!$P$4:$P$40,$AL$31)))</f>
        <v/>
      </c>
      <c r="R31" s="124">
        <f>IF($AL$31="","",IF(INDEX('Final Calculation Sheet'!$Q$4:$Q$40,$AL$31)="","",INDEX('Final Calculation Sheet'!$Q$4:$Q$40,$AL$31)))</f>
        <v/>
      </c>
      <c r="S31" s="122">
        <f>IF($AL$31="","",IF(INDEX('Final Calculation Sheet'!$R$4:$R$40,$AL$31)="","",INDEX('Final Calculation Sheet'!$R$4:$R$40,$AL$31)))</f>
        <v/>
      </c>
      <c r="T31" s="122">
        <f>IF($AL$31="","",IF(INDEX('Final Calculation Sheet'!$S$4:$S$40,$AL$31)="","",INDEX('Final Calculation Sheet'!$S$4:$S$40,$AL$31)))</f>
        <v/>
      </c>
      <c r="U31" s="122">
        <f>IF($AL$31="","",IF(INDEX('Final Calculation Sheet'!$T$4:$T$40,$AL$31)="","",INDEX('Final Calculation Sheet'!$T$4:$T$40,$AL$31)))</f>
        <v/>
      </c>
      <c r="V31" s="125">
        <f>IF($AL$31="","",IF(INDEX('Final Calculation Sheet'!$U$4:$U$40,$AL$31)="","",INDEX('Final Calculation Sheet'!$U$4:$U$40,$AL$31)))</f>
        <v/>
      </c>
      <c r="W31" s="122">
        <f>IF($AL$31="","",IF(INDEX('Final Calculation Sheet'!$V$4:$V$40,$AL$31)="","",INDEX('Final Calculation Sheet'!$V$4:$V$40,$AL$31)))</f>
        <v/>
      </c>
      <c r="X31" s="122">
        <f>IF($AL$31="","",IF(INDEX('Final Calculation Sheet'!$W$4:$W$40,$AL$31)="","",INDEX('Final Calculation Sheet'!$W$4:$W$40,$AL$31)))</f>
        <v/>
      </c>
      <c r="Y31" s="122">
        <f>IF($AL$31="","",IF(INDEX('Final Calculation Sheet'!$X$4:$X$40,$AL$31)="","",INDEX('Final Calculation Sheet'!$X$4:$X$40,$AL$31)))</f>
        <v/>
      </c>
      <c r="Z31" s="122">
        <f>IF($AL$31="","",IF(INDEX('Final Calculation Sheet'!$Y$4:$Y$40,$AL$31)="","",INDEX('Final Calculation Sheet'!$Y$4:$Y$40,$AL$31)))</f>
        <v/>
      </c>
      <c r="AA31" s="122">
        <f>IF($AL$31="","",IF(INDEX('Final Calculation Sheet'!$Z$4:$Z$40,$AL$31)="","",INDEX('Final Calculation Sheet'!$Z$4:$Z$40,$AL$31)))</f>
        <v/>
      </c>
      <c r="AB31" s="122">
        <f>IF($AL$31="","",IF(INDEX('Final Calculation Sheet'!$AA$4:$AA$40,$AL$31)="","",INDEX('Final Calculation Sheet'!$AA$4:$AA$40,$AL$31)))</f>
        <v/>
      </c>
      <c r="AC31" s="122">
        <f>IF($AL$31="","",IF(INDEX('Final Calculation Sheet'!$AB$4:$AB$40,$AL$31)="","",INDEX('Final Calculation Sheet'!$AB$4:$AB$40,$AL$31)))</f>
        <v/>
      </c>
      <c r="AD31" s="122">
        <f>IF($AL$31="","",IF(INDEX('Final Calculation Sheet'!$AC$4:$AC$40,$AL$31)="","",INDEX('Final Calculation Sheet'!$AC$4:$AC$40,$AL$31)))</f>
        <v/>
      </c>
      <c r="AE31" s="122">
        <f>IF($AL$31="","",IF(INDEX('Final Calculation Sheet'!$AD$4:$AD$40,$AL$31)="","",INDEX('Final Calculation Sheet'!$AD$4:$AD$40,$AL$31)))</f>
        <v/>
      </c>
      <c r="AF31" s="127">
        <f>IF($AL$31="","",IF(INDEX('Final Calculation Sheet'!$AD$4:$AD$40,$AL$31)&lt;=5,"SETTLED","OUTSTANDING"))</f>
        <v/>
      </c>
      <c r="AG31" s="122">
        <f>IF($AL$31="","",IF(INDEX('Final Calculation Sheet'!$AF$4:$AF$40,$AL$31)="","",INDEX('Final Calculation Sheet'!$AF$4:$AF$40,$AL$31)))</f>
        <v/>
      </c>
      <c r="AH31" s="126">
        <f>IF($AL$31="","",IF(INDEX('Final Calculation Sheet'!$AG$4:$AG$40,$AL$31)="","",INDEX('Final Calculation Sheet'!$AG$4:$AG$40,$AL$31)))</f>
        <v/>
      </c>
      <c r="AI31" s="122">
        <f>IF($AL$31="","",IF(INDEX('Final Calculation Sheet'!$AH$4:$AH$40,$AL$31)="","",INDEX('Final Calculation Sheet'!$AH$4:$AH$40,$AL$31)))</f>
        <v/>
      </c>
      <c r="AJ31">
        <f>IF(AND(IF($B$4="",TRUE(),IF($B$4="(blank)",'Final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Sheet'!$AD$29&lt;=5,"SETTLED","OUTSTANDING"))))))),1,0)</f>
      </c>
      <c r="AK31">
        <f>IF(AJ31=1,COUNTIF(AJ$6:AJ31,1),"")</f>
        <v/>
      </c>
      <c r="AL31">
        <f>IF(COUNTIF($B$4:$AI$4,"&lt;&gt;")=0,"",IFERROR(MATCH(25,$AK$6:$AK$42,0),""))</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CU30+IF(AND(Lists!$FI$31&lt;&gt;"",ISNUMBER(SEARCH($AG$4,Lists!$FI$31))),1,0)</f>
        <v/>
      </c>
      <c r="CV31">
        <f>IF(ROW()-3&gt;MAX($CU$4:$CU$42),"",INDEX(Lists!$FI$4:$FI$42,MATCH(ROW()-3,$CU$4:$CU$42,0)))</f>
        <v/>
      </c>
      <c r="CW31">
        <f>CW30+IF(AND(Lists!$FN$31&lt;&gt;"",ISNUMBER(SEARCH($AH$4,Lists!$FN$31))),1,0)</f>
        <v/>
      </c>
      <c r="CX31">
        <f>IF(ROW()-3&gt;MAX($CW$4:$CW$42),"",INDEX(Lists!$FN$4:$FN$42,MATCH(ROW()-3,$CW$4:$CW$42,0)))</f>
        <v/>
      </c>
      <c r="CY31">
        <f>CY30+IF(AND(Lists!$FS$31&lt;&gt;"",ISNUMBER(SEARCH($AI$4,Lists!$FS$31))),1,0)</f>
        <v/>
      </c>
      <c r="CZ31">
        <f>IF(ROW()-3&gt;MAX($CY$4:$CY$42),"",INDEX(Lists!$FS$4:$FS$42,MATCH(ROW()-3,$CY$4:$CY$42,0)))</f>
        <v/>
      </c>
      <c r="DA31">
        <f>DA30+IF(AND(Lists!$FX$31&lt;&gt;"",ISNUMBER(SEARCH($AF$4,Lists!$FX$31))),1,0)</f>
        <v/>
      </c>
      <c r="DB31">
        <f>IF(ROW()-3&gt;MAX($DA$4:$DA$42),"",INDEX(Lists!$FX$4:$FX$42,MATCH(ROW()-3,$DA$4:$DA$42,0)))</f>
        <v/>
      </c>
      <c r="DG31">
        <f>IF($B$4="",1,IF($B$4="(blank)",--('Final Calculation Sheet'!$F$29=""),IF($B$4="(nonblank)",--('Final Calculation Sheet'!$F$29&lt;&gt;""),--ISNUMBER(SEARCH($B$4,'Final Calculation Sheet'!$F$29)))))</f>
        <v/>
      </c>
      <c r="DH31">
        <f>IF($C$4="",1,IF($C$4="(blank)",--('Final Calculation Sheet'!$G$29=""),IF($C$4="(nonblank)",--('Final Calculation Sheet'!$G$29&lt;&gt;""),--ISNUMBER(SEARCH($C$4,'Final Calculation Sheet'!$G$29)))))</f>
        <v/>
      </c>
      <c r="DI31">
        <f>IF($D$4="",1,IF($D$4="(blank)",--('Final Calculation Sheet'!$B$29=""),IF($D$4="(nonblank)",--('Final Calculation Sheet'!$B$29&lt;&gt;""),--ISNUMBER(SEARCH($D$4,'Final Calculation Sheet'!$B$29)))))</f>
        <v/>
      </c>
      <c r="DJ31">
        <f>IF($E$4="",1,IF($E$4="(blank)",--('Final Calculation Sheet'!$D$29=""),IF($E$4="(nonblank)",--('Final Calculation Sheet'!$D$29&lt;&gt;""),--ISNUMBER(SEARCH($E$4,'Final Calculation Sheet'!$D$29)))))</f>
        <v/>
      </c>
      <c r="DK31">
        <f>IF($F$4="",1,IF($F$4="(blank)",--('Final Calculation Sheet'!$A$29=""),IF($F$4="(nonblank)",--('Final Calculation Sheet'!$A$29&lt;&gt;""),--ISNUMBER(SEARCH($F$4,'Final Calculation Sheet'!$A$29)))))</f>
        <v/>
      </c>
      <c r="DL31">
        <f>IF($G$4="",1,IF($G$4="(blank)",--('Final Calculation Sheet'!$E$29=""),IF($G$4="(nonblank)",--('Final Calculation Sheet'!$E$29&lt;&gt;""),--ISNUMBER(SEARCH($G$4,'Final Calculation Sheet'!$E$29)))))</f>
        <v/>
      </c>
      <c r="DM31">
        <f>IF($H$4="",1,IF($H$4="(blank)",--('Final Calculation Sheet'!$C$29=""),IF($H$4="(nonblank)",--('Final Calculation Sheet'!$C$29&lt;&gt;""),--ISNUMBER(SEARCH($H$4,'Final Calculation Sheet'!$C$29)))))</f>
        <v/>
      </c>
      <c r="DN31">
        <f>IF($I$4="",1,IF($I$4="(blank)",--('Final Calculation Sheet'!$H$29=""),IF($I$4="(nonblank)",--('Final Calculation Sheet'!$H$29&lt;&gt;""),--ISNUMBER(SEARCH($I$4,'Final Calculation Sheet'!$H$29)))))</f>
        <v/>
      </c>
      <c r="DO31">
        <f>IF($J$4="",1,IF($J$4="(blank)",--('Final Calculation Sheet'!$I$29=""),IF($J$4="(nonblank)",--('Final Calculation Sheet'!$I$29&lt;&gt;""),--ISNUMBER(SEARCH($J$4,'Final Calculation Sheet'!$I$29)))))</f>
        <v/>
      </c>
      <c r="DP31">
        <f>IF($K$4="",1,IF($K$4="(blank)",--('Final Calculation Sheet'!$J$29=""),IF($K$4="(nonblank)",--('Final Calculation Sheet'!$J$29&lt;&gt;""),--ISNUMBER(SEARCH($K$4,'Final Calculation Sheet'!$J$29)))))</f>
        <v/>
      </c>
      <c r="DQ31">
        <f>IF($L$4="",1,IF($L$4="(blank)",--('Final Calculation Sheet'!$K$29=""),IF($L$4="(nonblank)",--('Final Calculation Sheet'!$K$29&lt;&gt;""),--ISNUMBER(SEARCH($L$4,'Final Calculation Sheet'!$K$29)))))</f>
        <v/>
      </c>
      <c r="DR31">
        <f>IF($M$4="",1,IF($M$4="(blank)",--('Final Calculation Sheet'!$L$29=""),IF($M$4="(nonblank)",--('Final Calculation Sheet'!$L$29&lt;&gt;""),--ISNUMBER(SEARCH($M$4,'Final Calculation Sheet'!$L$29)))))</f>
        <v/>
      </c>
      <c r="DS31">
        <f>IF($N$4="",1,IF($N$4="(blank)",--('Final Calculation Sheet'!$M$29=""),IF($N$4="(nonblank)",--('Final Calculation Sheet'!$M$29&lt;&gt;""),--ISNUMBER(SEARCH($N$4,'Final Calculation Sheet'!$M$29)))))</f>
        <v/>
      </c>
      <c r="DT31">
        <f>IF($O$4="",1,IF($O$4="(blank)",--('Final Calculation Sheet'!$N$29=""),IF($O$4="(nonblank)",--('Final Calculation Sheet'!$N$29&lt;&gt;""),--ISNUMBER(SEARCH($O$4,'Final Calculation Sheet'!$N$29)))))</f>
        <v/>
      </c>
      <c r="DU31">
        <f>IF($P$4="",1,IF($P$4="(blank)",--('Final Calculation Sheet'!$O$29=""),IF($P$4="(nonblank)",--('Final Calculation Sheet'!$O$29&lt;&gt;""),--ISNUMBER(SEARCH($P$4,'Final Calculation Sheet'!$O$29)))))</f>
        <v/>
      </c>
      <c r="DV31">
        <f>IF($Q$4="",1,IF($Q$4="(blank)",--('Final Calculation Sheet'!$P$29=""),IF($Q$4="(nonblank)",--('Final Calculation Sheet'!$P$29&lt;&gt;""),--ISNUMBER(SEARCH($Q$4,'Final Calculation Sheet'!$P$29)))))</f>
        <v/>
      </c>
      <c r="DW31">
        <f>IF($R$4="",1,IF($R$4="(blank)",--('Final Calculation Sheet'!$Q$29=""),IF($R$4="(nonblank)",--('Final Calculation Sheet'!$Q$29&lt;&gt;""),--ISNUMBER(SEARCH($R$4,'Final Calculation Sheet'!$Q$29)))))</f>
        <v/>
      </c>
      <c r="DX31">
        <f>IF($S$4="",1,IF($S$4="(blank)",--('Final Calculation Sheet'!$R$29=""),IF($S$4="(nonblank)",--('Final Calculation Sheet'!$R$29&lt;&gt;""),--ISNUMBER(SEARCH($S$4,'Final Calculation Sheet'!$R$29)))))</f>
        <v/>
      </c>
      <c r="DY31">
        <f>IF($T$4="",1,IF($T$4="(blank)",--('Final Calculation Sheet'!$S$29=""),IF($T$4="(nonblank)",--('Final Calculation Sheet'!$S$29&lt;&gt;""),--ISNUMBER(SEARCH($T$4,'Final Calculation Sheet'!$S$29)))))</f>
        <v/>
      </c>
      <c r="DZ31">
        <f>IF($U$4="",1,IF($U$4="(blank)",--('Final Calculation Sheet'!$T$29=""),IF($U$4="(nonblank)",--('Final Calculation Sheet'!$T$29&lt;&gt;""),--ISNUMBER(SEARCH($U$4,'Final Calculation Sheet'!$T$29)))))</f>
        <v/>
      </c>
      <c r="EA31">
        <f>IF($V$4="",1,IF($V$4="(blank)",--('Final Calculation Sheet'!$U$29=""),IF($V$4="(nonblank)",--('Final Calculation Sheet'!$U$29&lt;&gt;""),--ISNUMBER(SEARCH($V$4,'Final Calculation Sheet'!$U$29)))))</f>
        <v/>
      </c>
      <c r="EB31">
        <f>IF($W$4="",1,IF($W$4="(blank)",--('Final Calculation Sheet'!$V$29=""),IF($W$4="(nonblank)",--('Final Calculation Sheet'!$V$29&lt;&gt;""),--ISNUMBER(SEARCH($W$4,'Final Calculation Sheet'!$V$29)))))</f>
        <v/>
      </c>
      <c r="EC31">
        <f>IF($X$4="",1,IF($X$4="(blank)",--('Final Calculation Sheet'!$W$29=""),IF($X$4="(nonblank)",--('Final Calculation Sheet'!$W$29&lt;&gt;""),--ISNUMBER(SEARCH($X$4,'Final Calculation Sheet'!$W$29)))))</f>
        <v/>
      </c>
      <c r="ED31">
        <f>IF($Y$4="",1,IF($Y$4="(blank)",--('Final Calculation Sheet'!$X$29=""),IF($Y$4="(nonblank)",--('Final Calculation Sheet'!$X$29&lt;&gt;""),--ISNUMBER(SEARCH($Y$4,'Final Calculation Sheet'!$X$29)))))</f>
        <v/>
      </c>
      <c r="EE31">
        <f>IF($Z$4="",1,IF($Z$4="(blank)",--('Final Calculation Sheet'!$Y$29=""),IF($Z$4="(nonblank)",--('Final Calculation Sheet'!$Y$29&lt;&gt;""),--ISNUMBER(SEARCH($Z$4,'Final Calculation Sheet'!$Y$29)))))</f>
        <v/>
      </c>
      <c r="EF31">
        <f>IF($AA$4="",1,IF($AA$4="(blank)",--('Final Calculation Sheet'!$Z$29=""),IF($AA$4="(nonblank)",--('Final Calculation Sheet'!$Z$29&lt;&gt;""),--ISNUMBER(SEARCH($AA$4,'Final Calculation Sheet'!$Z$29)))))</f>
        <v/>
      </c>
      <c r="EG31">
        <f>IF($AB$4="",1,IF($AB$4="(blank)",--('Final Calculation Sheet'!$AA$29=""),IF($AB$4="(nonblank)",--('Final Calculation Sheet'!$AA$29&lt;&gt;""),--ISNUMBER(SEARCH($AB$4,'Final Calculation Sheet'!$AA$29)))))</f>
        <v/>
      </c>
      <c r="EH31">
        <f>IF($AC$4="",1,IF($AC$4="(blank)",--('Final Calculation Sheet'!$AB$29=""),IF($AC$4="(nonblank)",--('Final Calculation Sheet'!$AB$29&lt;&gt;""),--ISNUMBER(SEARCH($AC$4,'Final Calculation Sheet'!$AB$29)))))</f>
        <v/>
      </c>
      <c r="EI31">
        <f>IF($AD$4="",1,IF($AD$4="(blank)",--('Final Calculation Sheet'!$AC$29=""),IF($AD$4="(nonblank)",--('Final Calculation Sheet'!$AC$29&lt;&gt;""),--ISNUMBER(SEARCH($AD$4,'Final Calculation Sheet'!$AC$29)))))</f>
        <v/>
      </c>
      <c r="EJ31">
        <f>IF($AE$4="",1,IF($AE$4="(blank)",--('Final Calculation Sheet'!$AD$29=""),IF($AE$4="(nonblank)",--('Final Calculation Sheet'!$AD$29&lt;&gt;""),--ISNUMBER(SEARCH($AE$4,'Final Calculation Sheet'!$AD$29)))))</f>
        <v/>
      </c>
      <c r="EK31">
        <f>IF($AF$4="",1,IF($AF$4="(blank)",--(IF('Final Calculation Sheet'!$AD$29&lt;=5,"SETTLED","OUTSTANDING")=""),IF($AF$4="(nonblank)",--(IF('Final Calculation Sheet'!$AD$29&lt;=5,"SETTLED","OUTSTANDING")&lt;&gt;""),--ISNUMBER(SEARCH($AF$4,IF('Final Calculation Sheet'!$AD$29&lt;=5,"SETTLED","OUTSTANDING"))))))</f>
        <v/>
      </c>
      <c r="EL31">
        <f>IF($AG$4="",1,IF($AG$4="(blank)",--('Final Calculation Sheet'!$AF$29=""),IF($AG$4="(nonblank)",--('Final Calculation Sheet'!$AF$29&lt;&gt;""),--ISNUMBER(SEARCH($AG$4,'Final Calculation Sheet'!$AF$29)))))</f>
        <v/>
      </c>
      <c r="EM31">
        <f>IF($AH$4="",1,IF($AH$4="(blank)",--('Final Calculation Sheet'!$AG$29=""),IF($AH$4="(nonblank)",--('Final Calculation Sheet'!$AG$29&lt;&gt;""),--ISNUMBER(SEARCH($AH$4,'Final Calculation Sheet'!$AG$29)))))</f>
        <v/>
      </c>
      <c r="EN31">
        <f>IF($AI$4="",1,IF($AI$4="(blank)",--('Final Calculation Sheet'!$AH$29=""),IF($AI$4="(nonblank)",--('Final Calculation Sheet'!$AH$29&lt;&gt;""),--ISNUMBER(SEARCH($AI$4,'Final Calculation Sheet'!$AH$29)))))</f>
        <v/>
      </c>
    </row>
    <row r="32" outlineLevel="1" hidden="1">
      <c r="A32" s="128">
        <f>IF($AL$32="","",26)</f>
        <v/>
      </c>
      <c r="B32" s="129">
        <f>IF($AL$32="","",IF(INDEX('Final Calculation Sheet'!$F$4:$F$40,$AL$32)="","",INDEX('Final Calculation Sheet'!$F$4:$F$40,$AL$32)))</f>
        <v/>
      </c>
      <c r="C32" s="129">
        <f>IF($AL$32="","",IF(INDEX('Final Calculation Sheet'!$G$4:$G$40,$AL$32)="","",INDEX('Final Calculation Sheet'!$G$4:$G$40,$AL$32)))</f>
        <v/>
      </c>
      <c r="D32" s="130">
        <f>IF($AL$32="","",IF(INDEX('Final Calculation Sheet'!$B$4:$B$40,$AL$32)="","",INDEX('Final Calculation Sheet'!$B$4:$B$40,$AL$32)))</f>
        <v/>
      </c>
      <c r="E32" s="130">
        <f>IF($AL$32="","",IF(INDEX('Final Calculation Sheet'!$D$4:$D$40,$AL$32)="","",INDEX('Final Calculation Sheet'!$D$4:$D$40,$AL$32)))</f>
        <v/>
      </c>
      <c r="F32" s="130">
        <f>IF($AL$32="","",IF(INDEX('Final Calculation Sheet'!$A$4:$A$40,$AL$32)="","",INDEX('Final Calculation Sheet'!$A$4:$A$40,$AL$32)))</f>
        <v/>
      </c>
      <c r="G32" s="130">
        <f>IF($AL$32="","",IF(INDEX('Final Calculation Sheet'!$E$4:$E$40,$AL$32)="","",INDEX('Final Calculation Sheet'!$E$4:$E$40,$AL$32)))</f>
        <v/>
      </c>
      <c r="H32" s="131">
        <f>IF($AL$32="","",IF(INDEX('Final Calculation Sheet'!$C$4:$C$40,$AL$32)="","",INDEX('Final Calculation Sheet'!$C$4:$C$40,$AL$32)))</f>
        <v/>
      </c>
      <c r="I32" s="131">
        <f>IF($AL$32="","",IF(INDEX('Final Calculation Sheet'!$H$4:$H$40,$AL$32)="","",INDEX('Final Calculation Sheet'!$H$4:$H$40,$AL$32)))</f>
        <v/>
      </c>
      <c r="J32" s="131">
        <f>IF($AL$32="","",IF(INDEX('Final Calculation Sheet'!$I$4:$I$40,$AL$32)="","",INDEX('Final Calculation Sheet'!$I$4:$I$40,$AL$32)))</f>
        <v/>
      </c>
      <c r="K32" s="131">
        <f>IF($AL$32="","",IF(INDEX('Final Calculation Sheet'!$J$4:$J$40,$AL$32)="","",INDEX('Final Calculation Sheet'!$J$4:$J$40,$AL$32)))</f>
        <v/>
      </c>
      <c r="L32" s="131">
        <f>IF($AL$32="","",IF(INDEX('Final Calculation Sheet'!$K$4:$K$40,$AL$32)="","",INDEX('Final Calculation Sheet'!$K$4:$K$40,$AL$32)))</f>
        <v/>
      </c>
      <c r="M32" s="131">
        <f>IF($AL$32="","",IF(INDEX('Final Calculation Sheet'!$L$4:$L$40,$AL$32)="","",INDEX('Final Calculation Sheet'!$L$4:$L$40,$AL$32)))</f>
        <v/>
      </c>
      <c r="N32" s="131">
        <f>IF($AL$32="","",IF(INDEX('Final Calculation Sheet'!$M$4:$M$40,$AL$32)="","",INDEX('Final Calculation Sheet'!$M$4:$M$40,$AL$32)))</f>
        <v/>
      </c>
      <c r="O32" s="132">
        <f>IF($AL$32="","",IF(INDEX('Final Calculation Sheet'!$N$4:$N$40,$AL$32)="","",INDEX('Final Calculation Sheet'!$N$4:$N$40,$AL$32)))</f>
        <v/>
      </c>
      <c r="P32" s="131">
        <f>IF($AL$32="","",IF(INDEX('Final Calculation Sheet'!$O$4:$O$40,$AL$32)="","",INDEX('Final Calculation Sheet'!$O$4:$O$40,$AL$32)))</f>
        <v/>
      </c>
      <c r="Q32" s="131">
        <f>IF($AL$32="","",IF(INDEX('Final Calculation Sheet'!$P$4:$P$40,$AL$32)="","",INDEX('Final Calculation Sheet'!$P$4:$P$40,$AL$32)))</f>
        <v/>
      </c>
      <c r="R32" s="133">
        <f>IF($AL$32="","",IF(INDEX('Final Calculation Sheet'!$Q$4:$Q$40,$AL$32)="","",INDEX('Final Calculation Sheet'!$Q$4:$Q$40,$AL$32)))</f>
        <v/>
      </c>
      <c r="S32" s="131">
        <f>IF($AL$32="","",IF(INDEX('Final Calculation Sheet'!$R$4:$R$40,$AL$32)="","",INDEX('Final Calculation Sheet'!$R$4:$R$40,$AL$32)))</f>
        <v/>
      </c>
      <c r="T32" s="131">
        <f>IF($AL$32="","",IF(INDEX('Final Calculation Sheet'!$S$4:$S$40,$AL$32)="","",INDEX('Final Calculation Sheet'!$S$4:$S$40,$AL$32)))</f>
        <v/>
      </c>
      <c r="U32" s="131">
        <f>IF($AL$32="","",IF(INDEX('Final Calculation Sheet'!$T$4:$T$40,$AL$32)="","",INDEX('Final Calculation Sheet'!$T$4:$T$40,$AL$32)))</f>
        <v/>
      </c>
      <c r="V32" s="134">
        <f>IF($AL$32="","",IF(INDEX('Final Calculation Sheet'!$U$4:$U$40,$AL$32)="","",INDEX('Final Calculation Sheet'!$U$4:$U$40,$AL$32)))</f>
        <v/>
      </c>
      <c r="W32" s="131">
        <f>IF($AL$32="","",IF(INDEX('Final Calculation Sheet'!$V$4:$V$40,$AL$32)="","",INDEX('Final Calculation Sheet'!$V$4:$V$40,$AL$32)))</f>
        <v/>
      </c>
      <c r="X32" s="131">
        <f>IF($AL$32="","",IF(INDEX('Final Calculation Sheet'!$W$4:$W$40,$AL$32)="","",INDEX('Final Calculation Sheet'!$W$4:$W$40,$AL$32)))</f>
        <v/>
      </c>
      <c r="Y32" s="131">
        <f>IF($AL$32="","",IF(INDEX('Final Calculation Sheet'!$X$4:$X$40,$AL$32)="","",INDEX('Final Calculation Sheet'!$X$4:$X$40,$AL$32)))</f>
        <v/>
      </c>
      <c r="Z32" s="131">
        <f>IF($AL$32="","",IF(INDEX('Final Calculation Sheet'!$Y$4:$Y$40,$AL$32)="","",INDEX('Final Calculation Sheet'!$Y$4:$Y$40,$AL$32)))</f>
        <v/>
      </c>
      <c r="AA32" s="131">
        <f>IF($AL$32="","",IF(INDEX('Final Calculation Sheet'!$Z$4:$Z$40,$AL$32)="","",INDEX('Final Calculation Sheet'!$Z$4:$Z$40,$AL$32)))</f>
        <v/>
      </c>
      <c r="AB32" s="131">
        <f>IF($AL$32="","",IF(INDEX('Final Calculation Sheet'!$AA$4:$AA$40,$AL$32)="","",INDEX('Final Calculation Sheet'!$AA$4:$AA$40,$AL$32)))</f>
        <v/>
      </c>
      <c r="AC32" s="131">
        <f>IF($AL$32="","",IF(INDEX('Final Calculation Sheet'!$AB$4:$AB$40,$AL$32)="","",INDEX('Final Calculation Sheet'!$AB$4:$AB$40,$AL$32)))</f>
        <v/>
      </c>
      <c r="AD32" s="131">
        <f>IF($AL$32="","",IF(INDEX('Final Calculation Sheet'!$AC$4:$AC$40,$AL$32)="","",INDEX('Final Calculation Sheet'!$AC$4:$AC$40,$AL$32)))</f>
        <v/>
      </c>
      <c r="AE32" s="131">
        <f>IF($AL$32="","",IF(INDEX('Final Calculation Sheet'!$AD$4:$AD$40,$AL$32)="","",INDEX('Final Calculation Sheet'!$AD$4:$AD$40,$AL$32)))</f>
        <v/>
      </c>
      <c r="AF32" s="136">
        <f>IF($AL$32="","",IF(INDEX('Final Calculation Sheet'!$AD$4:$AD$40,$AL$32)&lt;=5,"SETTLED","OUTSTANDING"))</f>
        <v/>
      </c>
      <c r="AG32" s="131">
        <f>IF($AL$32="","",IF(INDEX('Final Calculation Sheet'!$AF$4:$AF$40,$AL$32)="","",INDEX('Final Calculation Sheet'!$AF$4:$AF$40,$AL$32)))</f>
        <v/>
      </c>
      <c r="AH32" s="135">
        <f>IF($AL$32="","",IF(INDEX('Final Calculation Sheet'!$AG$4:$AG$40,$AL$32)="","",INDEX('Final Calculation Sheet'!$AG$4:$AG$40,$AL$32)))</f>
        <v/>
      </c>
      <c r="AI32" s="131">
        <f>IF($AL$32="","",IF(INDEX('Final Calculation Sheet'!$AH$4:$AH$40,$AL$32)="","",INDEX('Final Calculation Sheet'!$AH$4:$AH$40,$AL$32)))</f>
        <v/>
      </c>
      <c r="AJ32">
        <f>IF(AND(IF($B$4="",TRUE(),IF($B$4="(blank)",'Final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Sheet'!$AD$30&lt;=5,"SETTLED","OUTSTANDING"))))))),1,0)</f>
      </c>
      <c r="AK32">
        <f>IF(AJ32=1,COUNTIF(AJ$6:AJ32,1),"")</f>
        <v/>
      </c>
      <c r="AL32">
        <f>IF(COUNTIF($B$4:$AI$4,"&lt;&gt;")=0,"",IFERROR(MATCH(26,$AK$6:$AK$42,0),""))</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CU31+IF(AND(Lists!$FI$32&lt;&gt;"",ISNUMBER(SEARCH($AG$4,Lists!$FI$32))),1,0)</f>
        <v/>
      </c>
      <c r="CV32">
        <f>IF(ROW()-3&gt;MAX($CU$4:$CU$42),"",INDEX(Lists!$FI$4:$FI$42,MATCH(ROW()-3,$CU$4:$CU$42,0)))</f>
        <v/>
      </c>
      <c r="CW32">
        <f>CW31+IF(AND(Lists!$FN$32&lt;&gt;"",ISNUMBER(SEARCH($AH$4,Lists!$FN$32))),1,0)</f>
        <v/>
      </c>
      <c r="CX32">
        <f>IF(ROW()-3&gt;MAX($CW$4:$CW$42),"",INDEX(Lists!$FN$4:$FN$42,MATCH(ROW()-3,$CW$4:$CW$42,0)))</f>
        <v/>
      </c>
      <c r="CY32">
        <f>CY31+IF(AND(Lists!$FS$32&lt;&gt;"",ISNUMBER(SEARCH($AI$4,Lists!$FS$32))),1,0)</f>
        <v/>
      </c>
      <c r="CZ32">
        <f>IF(ROW()-3&gt;MAX($CY$4:$CY$42),"",INDEX(Lists!$FS$4:$FS$42,MATCH(ROW()-3,$CY$4:$CY$42,0)))</f>
        <v/>
      </c>
      <c r="DA32">
        <f>DA31+IF(AND(Lists!$FX$32&lt;&gt;"",ISNUMBER(SEARCH($AF$4,Lists!$FX$32))),1,0)</f>
        <v/>
      </c>
      <c r="DB32">
        <f>IF(ROW()-3&gt;MAX($DA$4:$DA$42),"",INDEX(Lists!$FX$4:$FX$42,MATCH(ROW()-3,$DA$4:$DA$42,0)))</f>
        <v/>
      </c>
      <c r="DG32">
        <f>IF($B$4="",1,IF($B$4="(blank)",--('Final Calculation Sheet'!$F$30=""),IF($B$4="(nonblank)",--('Final Calculation Sheet'!$F$30&lt;&gt;""),--ISNUMBER(SEARCH($B$4,'Final Calculation Sheet'!$F$30)))))</f>
        <v/>
      </c>
      <c r="DH32">
        <f>IF($C$4="",1,IF($C$4="(blank)",--('Final Calculation Sheet'!$G$30=""),IF($C$4="(nonblank)",--('Final Calculation Sheet'!$G$30&lt;&gt;""),--ISNUMBER(SEARCH($C$4,'Final Calculation Sheet'!$G$30)))))</f>
        <v/>
      </c>
      <c r="DI32">
        <f>IF($D$4="",1,IF($D$4="(blank)",--('Final Calculation Sheet'!$B$30=""),IF($D$4="(nonblank)",--('Final Calculation Sheet'!$B$30&lt;&gt;""),--ISNUMBER(SEARCH($D$4,'Final Calculation Sheet'!$B$30)))))</f>
        <v/>
      </c>
      <c r="DJ32">
        <f>IF($E$4="",1,IF($E$4="(blank)",--('Final Calculation Sheet'!$D$30=""),IF($E$4="(nonblank)",--('Final Calculation Sheet'!$D$30&lt;&gt;""),--ISNUMBER(SEARCH($E$4,'Final Calculation Sheet'!$D$30)))))</f>
        <v/>
      </c>
      <c r="DK32">
        <f>IF($F$4="",1,IF($F$4="(blank)",--('Final Calculation Sheet'!$A$30=""),IF($F$4="(nonblank)",--('Final Calculation Sheet'!$A$30&lt;&gt;""),--ISNUMBER(SEARCH($F$4,'Final Calculation Sheet'!$A$30)))))</f>
        <v/>
      </c>
      <c r="DL32">
        <f>IF($G$4="",1,IF($G$4="(blank)",--('Final Calculation Sheet'!$E$30=""),IF($G$4="(nonblank)",--('Final Calculation Sheet'!$E$30&lt;&gt;""),--ISNUMBER(SEARCH($G$4,'Final Calculation Sheet'!$E$30)))))</f>
        <v/>
      </c>
      <c r="DM32">
        <f>IF($H$4="",1,IF($H$4="(blank)",--('Final Calculation Sheet'!$C$30=""),IF($H$4="(nonblank)",--('Final Calculation Sheet'!$C$30&lt;&gt;""),--ISNUMBER(SEARCH($H$4,'Final Calculation Sheet'!$C$30)))))</f>
        <v/>
      </c>
      <c r="DN32">
        <f>IF($I$4="",1,IF($I$4="(blank)",--('Final Calculation Sheet'!$H$30=""),IF($I$4="(nonblank)",--('Final Calculation Sheet'!$H$30&lt;&gt;""),--ISNUMBER(SEARCH($I$4,'Final Calculation Sheet'!$H$30)))))</f>
        <v/>
      </c>
      <c r="DO32">
        <f>IF($J$4="",1,IF($J$4="(blank)",--('Final Calculation Sheet'!$I$30=""),IF($J$4="(nonblank)",--('Final Calculation Sheet'!$I$30&lt;&gt;""),--ISNUMBER(SEARCH($J$4,'Final Calculation Sheet'!$I$30)))))</f>
        <v/>
      </c>
      <c r="DP32">
        <f>IF($K$4="",1,IF($K$4="(blank)",--('Final Calculation Sheet'!$J$30=""),IF($K$4="(nonblank)",--('Final Calculation Sheet'!$J$30&lt;&gt;""),--ISNUMBER(SEARCH($K$4,'Final Calculation Sheet'!$J$30)))))</f>
        <v/>
      </c>
      <c r="DQ32">
        <f>IF($L$4="",1,IF($L$4="(blank)",--('Final Calculation Sheet'!$K$30=""),IF($L$4="(nonblank)",--('Final Calculation Sheet'!$K$30&lt;&gt;""),--ISNUMBER(SEARCH($L$4,'Final Calculation Sheet'!$K$30)))))</f>
        <v/>
      </c>
      <c r="DR32">
        <f>IF($M$4="",1,IF($M$4="(blank)",--('Final Calculation Sheet'!$L$30=""),IF($M$4="(nonblank)",--('Final Calculation Sheet'!$L$30&lt;&gt;""),--ISNUMBER(SEARCH($M$4,'Final Calculation Sheet'!$L$30)))))</f>
        <v/>
      </c>
      <c r="DS32">
        <f>IF($N$4="",1,IF($N$4="(blank)",--('Final Calculation Sheet'!$M$30=""),IF($N$4="(nonblank)",--('Final Calculation Sheet'!$M$30&lt;&gt;""),--ISNUMBER(SEARCH($N$4,'Final Calculation Sheet'!$M$30)))))</f>
        <v/>
      </c>
      <c r="DT32">
        <f>IF($O$4="",1,IF($O$4="(blank)",--('Final Calculation Sheet'!$N$30=""),IF($O$4="(nonblank)",--('Final Calculation Sheet'!$N$30&lt;&gt;""),--ISNUMBER(SEARCH($O$4,'Final Calculation Sheet'!$N$30)))))</f>
        <v/>
      </c>
      <c r="DU32">
        <f>IF($P$4="",1,IF($P$4="(blank)",--('Final Calculation Sheet'!$O$30=""),IF($P$4="(nonblank)",--('Final Calculation Sheet'!$O$30&lt;&gt;""),--ISNUMBER(SEARCH($P$4,'Final Calculation Sheet'!$O$30)))))</f>
        <v/>
      </c>
      <c r="DV32">
        <f>IF($Q$4="",1,IF($Q$4="(blank)",--('Final Calculation Sheet'!$P$30=""),IF($Q$4="(nonblank)",--('Final Calculation Sheet'!$P$30&lt;&gt;""),--ISNUMBER(SEARCH($Q$4,'Final Calculation Sheet'!$P$30)))))</f>
        <v/>
      </c>
      <c r="DW32">
        <f>IF($R$4="",1,IF($R$4="(blank)",--('Final Calculation Sheet'!$Q$30=""),IF($R$4="(nonblank)",--('Final Calculation Sheet'!$Q$30&lt;&gt;""),--ISNUMBER(SEARCH($R$4,'Final Calculation Sheet'!$Q$30)))))</f>
        <v/>
      </c>
      <c r="DX32">
        <f>IF($S$4="",1,IF($S$4="(blank)",--('Final Calculation Sheet'!$R$30=""),IF($S$4="(nonblank)",--('Final Calculation Sheet'!$R$30&lt;&gt;""),--ISNUMBER(SEARCH($S$4,'Final Calculation Sheet'!$R$30)))))</f>
        <v/>
      </c>
      <c r="DY32">
        <f>IF($T$4="",1,IF($T$4="(blank)",--('Final Calculation Sheet'!$S$30=""),IF($T$4="(nonblank)",--('Final Calculation Sheet'!$S$30&lt;&gt;""),--ISNUMBER(SEARCH($T$4,'Final Calculation Sheet'!$S$30)))))</f>
        <v/>
      </c>
      <c r="DZ32">
        <f>IF($U$4="",1,IF($U$4="(blank)",--('Final Calculation Sheet'!$T$30=""),IF($U$4="(nonblank)",--('Final Calculation Sheet'!$T$30&lt;&gt;""),--ISNUMBER(SEARCH($U$4,'Final Calculation Sheet'!$T$30)))))</f>
        <v/>
      </c>
      <c r="EA32">
        <f>IF($V$4="",1,IF($V$4="(blank)",--('Final Calculation Sheet'!$U$30=""),IF($V$4="(nonblank)",--('Final Calculation Sheet'!$U$30&lt;&gt;""),--ISNUMBER(SEARCH($V$4,'Final Calculation Sheet'!$U$30)))))</f>
        <v/>
      </c>
      <c r="EB32">
        <f>IF($W$4="",1,IF($W$4="(blank)",--('Final Calculation Sheet'!$V$30=""),IF($W$4="(nonblank)",--('Final Calculation Sheet'!$V$30&lt;&gt;""),--ISNUMBER(SEARCH($W$4,'Final Calculation Sheet'!$V$30)))))</f>
        <v/>
      </c>
      <c r="EC32">
        <f>IF($X$4="",1,IF($X$4="(blank)",--('Final Calculation Sheet'!$W$30=""),IF($X$4="(nonblank)",--('Final Calculation Sheet'!$W$30&lt;&gt;""),--ISNUMBER(SEARCH($X$4,'Final Calculation Sheet'!$W$30)))))</f>
        <v/>
      </c>
      <c r="ED32">
        <f>IF($Y$4="",1,IF($Y$4="(blank)",--('Final Calculation Sheet'!$X$30=""),IF($Y$4="(nonblank)",--('Final Calculation Sheet'!$X$30&lt;&gt;""),--ISNUMBER(SEARCH($Y$4,'Final Calculation Sheet'!$X$30)))))</f>
        <v/>
      </c>
      <c r="EE32">
        <f>IF($Z$4="",1,IF($Z$4="(blank)",--('Final Calculation Sheet'!$Y$30=""),IF($Z$4="(nonblank)",--('Final Calculation Sheet'!$Y$30&lt;&gt;""),--ISNUMBER(SEARCH($Z$4,'Final Calculation Sheet'!$Y$30)))))</f>
        <v/>
      </c>
      <c r="EF32">
        <f>IF($AA$4="",1,IF($AA$4="(blank)",--('Final Calculation Sheet'!$Z$30=""),IF($AA$4="(nonblank)",--('Final Calculation Sheet'!$Z$30&lt;&gt;""),--ISNUMBER(SEARCH($AA$4,'Final Calculation Sheet'!$Z$30)))))</f>
        <v/>
      </c>
      <c r="EG32">
        <f>IF($AB$4="",1,IF($AB$4="(blank)",--('Final Calculation Sheet'!$AA$30=""),IF($AB$4="(nonblank)",--('Final Calculation Sheet'!$AA$30&lt;&gt;""),--ISNUMBER(SEARCH($AB$4,'Final Calculation Sheet'!$AA$30)))))</f>
        <v/>
      </c>
      <c r="EH32">
        <f>IF($AC$4="",1,IF($AC$4="(blank)",--('Final Calculation Sheet'!$AB$30=""),IF($AC$4="(nonblank)",--('Final Calculation Sheet'!$AB$30&lt;&gt;""),--ISNUMBER(SEARCH($AC$4,'Final Calculation Sheet'!$AB$30)))))</f>
        <v/>
      </c>
      <c r="EI32">
        <f>IF($AD$4="",1,IF($AD$4="(blank)",--('Final Calculation Sheet'!$AC$30=""),IF($AD$4="(nonblank)",--('Final Calculation Sheet'!$AC$30&lt;&gt;""),--ISNUMBER(SEARCH($AD$4,'Final Calculation Sheet'!$AC$30)))))</f>
        <v/>
      </c>
      <c r="EJ32">
        <f>IF($AE$4="",1,IF($AE$4="(blank)",--('Final Calculation Sheet'!$AD$30=""),IF($AE$4="(nonblank)",--('Final Calculation Sheet'!$AD$30&lt;&gt;""),--ISNUMBER(SEARCH($AE$4,'Final Calculation Sheet'!$AD$30)))))</f>
        <v/>
      </c>
      <c r="EK32">
        <f>IF($AF$4="",1,IF($AF$4="(blank)",--(IF('Final Calculation Sheet'!$AD$30&lt;=5,"SETTLED","OUTSTANDING")=""),IF($AF$4="(nonblank)",--(IF('Final Calculation Sheet'!$AD$30&lt;=5,"SETTLED","OUTSTANDING")&lt;&gt;""),--ISNUMBER(SEARCH($AF$4,IF('Final Calculation Sheet'!$AD$30&lt;=5,"SETTLED","OUTSTANDING"))))))</f>
        <v/>
      </c>
      <c r="EL32">
        <f>IF($AG$4="",1,IF($AG$4="(blank)",--('Final Calculation Sheet'!$AF$30=""),IF($AG$4="(nonblank)",--('Final Calculation Sheet'!$AF$30&lt;&gt;""),--ISNUMBER(SEARCH($AG$4,'Final Calculation Sheet'!$AF$30)))))</f>
        <v/>
      </c>
      <c r="EM32">
        <f>IF($AH$4="",1,IF($AH$4="(blank)",--('Final Calculation Sheet'!$AG$30=""),IF($AH$4="(nonblank)",--('Final Calculation Sheet'!$AG$30&lt;&gt;""),--ISNUMBER(SEARCH($AH$4,'Final Calculation Sheet'!$AG$30)))))</f>
        <v/>
      </c>
      <c r="EN32">
        <f>IF($AI$4="",1,IF($AI$4="(blank)",--('Final Calculation Sheet'!$AH$30=""),IF($AI$4="(nonblank)",--('Final Calculation Sheet'!$AH$30&lt;&gt;""),--ISNUMBER(SEARCH($AI$4,'Final Calculation Sheet'!$AH$30)))))</f>
        <v/>
      </c>
    </row>
    <row r="33" outlineLevel="1" hidden="1">
      <c r="A33" s="118">
        <f>IF($AL$33="","",27)</f>
        <v/>
      </c>
      <c r="B33" s="119">
        <f>IF($AL$33="","",IF(INDEX('Final Calculation Sheet'!$F$4:$F$40,$AL$33)="","",INDEX('Final Calculation Sheet'!$F$4:$F$40,$AL$33)))</f>
        <v/>
      </c>
      <c r="C33" s="119">
        <f>IF($AL$33="","",IF(INDEX('Final Calculation Sheet'!$G$4:$G$40,$AL$33)="","",INDEX('Final Calculation Sheet'!$G$4:$G$40,$AL$33)))</f>
        <v/>
      </c>
      <c r="D33" s="121">
        <f>IF($AL$33="","",IF(INDEX('Final Calculation Sheet'!$B$4:$B$40,$AL$33)="","",INDEX('Final Calculation Sheet'!$B$4:$B$40,$AL$33)))</f>
        <v/>
      </c>
      <c r="E33" s="121">
        <f>IF($AL$33="","",IF(INDEX('Final Calculation Sheet'!$D$4:$D$40,$AL$33)="","",INDEX('Final Calculation Sheet'!$D$4:$D$40,$AL$33)))</f>
        <v/>
      </c>
      <c r="F33" s="121">
        <f>IF($AL$33="","",IF(INDEX('Final Calculation Sheet'!$A$4:$A$40,$AL$33)="","",INDEX('Final Calculation Sheet'!$A$4:$A$40,$AL$33)))</f>
        <v/>
      </c>
      <c r="G33" s="121">
        <f>IF($AL$33="","",IF(INDEX('Final Calculation Sheet'!$E$4:$E$40,$AL$33)="","",INDEX('Final Calculation Sheet'!$E$4:$E$40,$AL$33)))</f>
        <v/>
      </c>
      <c r="H33" s="122">
        <f>IF($AL$33="","",IF(INDEX('Final Calculation Sheet'!$C$4:$C$40,$AL$33)="","",INDEX('Final Calculation Sheet'!$C$4:$C$40,$AL$33)))</f>
        <v/>
      </c>
      <c r="I33" s="122">
        <f>IF($AL$33="","",IF(INDEX('Final Calculation Sheet'!$H$4:$H$40,$AL$33)="","",INDEX('Final Calculation Sheet'!$H$4:$H$40,$AL$33)))</f>
        <v/>
      </c>
      <c r="J33" s="122">
        <f>IF($AL$33="","",IF(INDEX('Final Calculation Sheet'!$I$4:$I$40,$AL$33)="","",INDEX('Final Calculation Sheet'!$I$4:$I$40,$AL$33)))</f>
        <v/>
      </c>
      <c r="K33" s="122">
        <f>IF($AL$33="","",IF(INDEX('Final Calculation Sheet'!$J$4:$J$40,$AL$33)="","",INDEX('Final Calculation Sheet'!$J$4:$J$40,$AL$33)))</f>
        <v/>
      </c>
      <c r="L33" s="122">
        <f>IF($AL$33="","",IF(INDEX('Final Calculation Sheet'!$K$4:$K$40,$AL$33)="","",INDEX('Final Calculation Sheet'!$K$4:$K$40,$AL$33)))</f>
        <v/>
      </c>
      <c r="M33" s="122">
        <f>IF($AL$33="","",IF(INDEX('Final Calculation Sheet'!$L$4:$L$40,$AL$33)="","",INDEX('Final Calculation Sheet'!$L$4:$L$40,$AL$33)))</f>
        <v/>
      </c>
      <c r="N33" s="122">
        <f>IF($AL$33="","",IF(INDEX('Final Calculation Sheet'!$M$4:$M$40,$AL$33)="","",INDEX('Final Calculation Sheet'!$M$4:$M$40,$AL$33)))</f>
        <v/>
      </c>
      <c r="O33" s="123">
        <f>IF($AL$33="","",IF(INDEX('Final Calculation Sheet'!$N$4:$N$40,$AL$33)="","",INDEX('Final Calculation Sheet'!$N$4:$N$40,$AL$33)))</f>
        <v/>
      </c>
      <c r="P33" s="122">
        <f>IF($AL$33="","",IF(INDEX('Final Calculation Sheet'!$O$4:$O$40,$AL$33)="","",INDEX('Final Calculation Sheet'!$O$4:$O$40,$AL$33)))</f>
        <v/>
      </c>
      <c r="Q33" s="122">
        <f>IF($AL$33="","",IF(INDEX('Final Calculation Sheet'!$P$4:$P$40,$AL$33)="","",INDEX('Final Calculation Sheet'!$P$4:$P$40,$AL$33)))</f>
        <v/>
      </c>
      <c r="R33" s="124">
        <f>IF($AL$33="","",IF(INDEX('Final Calculation Sheet'!$Q$4:$Q$40,$AL$33)="","",INDEX('Final Calculation Sheet'!$Q$4:$Q$40,$AL$33)))</f>
        <v/>
      </c>
      <c r="S33" s="122">
        <f>IF($AL$33="","",IF(INDEX('Final Calculation Sheet'!$R$4:$R$40,$AL$33)="","",INDEX('Final Calculation Sheet'!$R$4:$R$40,$AL$33)))</f>
        <v/>
      </c>
      <c r="T33" s="122">
        <f>IF($AL$33="","",IF(INDEX('Final Calculation Sheet'!$S$4:$S$40,$AL$33)="","",INDEX('Final Calculation Sheet'!$S$4:$S$40,$AL$33)))</f>
        <v/>
      </c>
      <c r="U33" s="122">
        <f>IF($AL$33="","",IF(INDEX('Final Calculation Sheet'!$T$4:$T$40,$AL$33)="","",INDEX('Final Calculation Sheet'!$T$4:$T$40,$AL$33)))</f>
        <v/>
      </c>
      <c r="V33" s="125">
        <f>IF($AL$33="","",IF(INDEX('Final Calculation Sheet'!$U$4:$U$40,$AL$33)="","",INDEX('Final Calculation Sheet'!$U$4:$U$40,$AL$33)))</f>
        <v/>
      </c>
      <c r="W33" s="122">
        <f>IF($AL$33="","",IF(INDEX('Final Calculation Sheet'!$V$4:$V$40,$AL$33)="","",INDEX('Final Calculation Sheet'!$V$4:$V$40,$AL$33)))</f>
        <v/>
      </c>
      <c r="X33" s="122">
        <f>IF($AL$33="","",IF(INDEX('Final Calculation Sheet'!$W$4:$W$40,$AL$33)="","",INDEX('Final Calculation Sheet'!$W$4:$W$40,$AL$33)))</f>
        <v/>
      </c>
      <c r="Y33" s="122">
        <f>IF($AL$33="","",IF(INDEX('Final Calculation Sheet'!$X$4:$X$40,$AL$33)="","",INDEX('Final Calculation Sheet'!$X$4:$X$40,$AL$33)))</f>
        <v/>
      </c>
      <c r="Z33" s="122">
        <f>IF($AL$33="","",IF(INDEX('Final Calculation Sheet'!$Y$4:$Y$40,$AL$33)="","",INDEX('Final Calculation Sheet'!$Y$4:$Y$40,$AL$33)))</f>
        <v/>
      </c>
      <c r="AA33" s="122">
        <f>IF($AL$33="","",IF(INDEX('Final Calculation Sheet'!$Z$4:$Z$40,$AL$33)="","",INDEX('Final Calculation Sheet'!$Z$4:$Z$40,$AL$33)))</f>
        <v/>
      </c>
      <c r="AB33" s="122">
        <f>IF($AL$33="","",IF(INDEX('Final Calculation Sheet'!$AA$4:$AA$40,$AL$33)="","",INDEX('Final Calculation Sheet'!$AA$4:$AA$40,$AL$33)))</f>
        <v/>
      </c>
      <c r="AC33" s="122">
        <f>IF($AL$33="","",IF(INDEX('Final Calculation Sheet'!$AB$4:$AB$40,$AL$33)="","",INDEX('Final Calculation Sheet'!$AB$4:$AB$40,$AL$33)))</f>
        <v/>
      </c>
      <c r="AD33" s="122">
        <f>IF($AL$33="","",IF(INDEX('Final Calculation Sheet'!$AC$4:$AC$40,$AL$33)="","",INDEX('Final Calculation Sheet'!$AC$4:$AC$40,$AL$33)))</f>
        <v/>
      </c>
      <c r="AE33" s="122">
        <f>IF($AL$33="","",IF(INDEX('Final Calculation Sheet'!$AD$4:$AD$40,$AL$33)="","",INDEX('Final Calculation Sheet'!$AD$4:$AD$40,$AL$33)))</f>
        <v/>
      </c>
      <c r="AF33" s="127">
        <f>IF($AL$33="","",IF(INDEX('Final Calculation Sheet'!$AD$4:$AD$40,$AL$33)&lt;=5,"SETTLED","OUTSTANDING"))</f>
        <v/>
      </c>
      <c r="AG33" s="122">
        <f>IF($AL$33="","",IF(INDEX('Final Calculation Sheet'!$AF$4:$AF$40,$AL$33)="","",INDEX('Final Calculation Sheet'!$AF$4:$AF$40,$AL$33)))</f>
        <v/>
      </c>
      <c r="AH33" s="126">
        <f>IF($AL$33="","",IF(INDEX('Final Calculation Sheet'!$AG$4:$AG$40,$AL$33)="","",INDEX('Final Calculation Sheet'!$AG$4:$AG$40,$AL$33)))</f>
        <v/>
      </c>
      <c r="AI33" s="122">
        <f>IF($AL$33="","",IF(INDEX('Final Calculation Sheet'!$AH$4:$AH$40,$AL$33)="","",INDEX('Final Calculation Sheet'!$AH$4:$AH$40,$AL$33)))</f>
        <v/>
      </c>
      <c r="AJ33">
        <f>IF(AND(IF($B$4="",TRUE(),IF($B$4="(blank)",'Final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Sheet'!$AD$31&lt;=5,"SETTLED","OUTSTANDING"))))))),1,0)</f>
      </c>
      <c r="AK33">
        <f>IF(AJ33=1,COUNTIF(AJ$6:AJ33,1),"")</f>
        <v/>
      </c>
      <c r="AL33">
        <f>IF(COUNTIF($B$4:$AI$4,"&lt;&gt;")=0,"",IFERROR(MATCH(27,$AK$6:$AK$42,0),""))</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CU32+IF(AND(Lists!$FI$33&lt;&gt;"",ISNUMBER(SEARCH($AG$4,Lists!$FI$33))),1,0)</f>
        <v/>
      </c>
      <c r="CV33">
        <f>IF(ROW()-3&gt;MAX($CU$4:$CU$42),"",INDEX(Lists!$FI$4:$FI$42,MATCH(ROW()-3,$CU$4:$CU$42,0)))</f>
        <v/>
      </c>
      <c r="CW33">
        <f>CW32+IF(AND(Lists!$FN$33&lt;&gt;"",ISNUMBER(SEARCH($AH$4,Lists!$FN$33))),1,0)</f>
        <v/>
      </c>
      <c r="CX33">
        <f>IF(ROW()-3&gt;MAX($CW$4:$CW$42),"",INDEX(Lists!$FN$4:$FN$42,MATCH(ROW()-3,$CW$4:$CW$42,0)))</f>
        <v/>
      </c>
      <c r="CY33">
        <f>CY32+IF(AND(Lists!$FS$33&lt;&gt;"",ISNUMBER(SEARCH($AI$4,Lists!$FS$33))),1,0)</f>
        <v/>
      </c>
      <c r="CZ33">
        <f>IF(ROW()-3&gt;MAX($CY$4:$CY$42),"",INDEX(Lists!$FS$4:$FS$42,MATCH(ROW()-3,$CY$4:$CY$42,0)))</f>
        <v/>
      </c>
      <c r="DA33">
        <f>DA32+IF(AND(Lists!$FX$33&lt;&gt;"",ISNUMBER(SEARCH($AF$4,Lists!$FX$33))),1,0)</f>
        <v/>
      </c>
      <c r="DB33">
        <f>IF(ROW()-3&gt;MAX($DA$4:$DA$42),"",INDEX(Lists!$FX$4:$FX$42,MATCH(ROW()-3,$DA$4:$DA$42,0)))</f>
        <v/>
      </c>
      <c r="DG33">
        <f>IF($B$4="",1,IF($B$4="(blank)",--('Final Calculation Sheet'!$F$31=""),IF($B$4="(nonblank)",--('Final Calculation Sheet'!$F$31&lt;&gt;""),--ISNUMBER(SEARCH($B$4,'Final Calculation Sheet'!$F$31)))))</f>
        <v/>
      </c>
      <c r="DH33">
        <f>IF($C$4="",1,IF($C$4="(blank)",--('Final Calculation Sheet'!$G$31=""),IF($C$4="(nonblank)",--('Final Calculation Sheet'!$G$31&lt;&gt;""),--ISNUMBER(SEARCH($C$4,'Final Calculation Sheet'!$G$31)))))</f>
        <v/>
      </c>
      <c r="DI33">
        <f>IF($D$4="",1,IF($D$4="(blank)",--('Final Calculation Sheet'!$B$31=""),IF($D$4="(nonblank)",--('Final Calculation Sheet'!$B$31&lt;&gt;""),--ISNUMBER(SEARCH($D$4,'Final Calculation Sheet'!$B$31)))))</f>
        <v/>
      </c>
      <c r="DJ33">
        <f>IF($E$4="",1,IF($E$4="(blank)",--('Final Calculation Sheet'!$D$31=""),IF($E$4="(nonblank)",--('Final Calculation Sheet'!$D$31&lt;&gt;""),--ISNUMBER(SEARCH($E$4,'Final Calculation Sheet'!$D$31)))))</f>
        <v/>
      </c>
      <c r="DK33">
        <f>IF($F$4="",1,IF($F$4="(blank)",--('Final Calculation Sheet'!$A$31=""),IF($F$4="(nonblank)",--('Final Calculation Sheet'!$A$31&lt;&gt;""),--ISNUMBER(SEARCH($F$4,'Final Calculation Sheet'!$A$31)))))</f>
        <v/>
      </c>
      <c r="DL33">
        <f>IF($G$4="",1,IF($G$4="(blank)",--('Final Calculation Sheet'!$E$31=""),IF($G$4="(nonblank)",--('Final Calculation Sheet'!$E$31&lt;&gt;""),--ISNUMBER(SEARCH($G$4,'Final Calculation Sheet'!$E$31)))))</f>
        <v/>
      </c>
      <c r="DM33">
        <f>IF($H$4="",1,IF($H$4="(blank)",--('Final Calculation Sheet'!$C$31=""),IF($H$4="(nonblank)",--('Final Calculation Sheet'!$C$31&lt;&gt;""),--ISNUMBER(SEARCH($H$4,'Final Calculation Sheet'!$C$31)))))</f>
        <v/>
      </c>
      <c r="DN33">
        <f>IF($I$4="",1,IF($I$4="(blank)",--('Final Calculation Sheet'!$H$31=""),IF($I$4="(nonblank)",--('Final Calculation Sheet'!$H$31&lt;&gt;""),--ISNUMBER(SEARCH($I$4,'Final Calculation Sheet'!$H$31)))))</f>
        <v/>
      </c>
      <c r="DO33">
        <f>IF($J$4="",1,IF($J$4="(blank)",--('Final Calculation Sheet'!$I$31=""),IF($J$4="(nonblank)",--('Final Calculation Sheet'!$I$31&lt;&gt;""),--ISNUMBER(SEARCH($J$4,'Final Calculation Sheet'!$I$31)))))</f>
        <v/>
      </c>
      <c r="DP33">
        <f>IF($K$4="",1,IF($K$4="(blank)",--('Final Calculation Sheet'!$J$31=""),IF($K$4="(nonblank)",--('Final Calculation Sheet'!$J$31&lt;&gt;""),--ISNUMBER(SEARCH($K$4,'Final Calculation Sheet'!$J$31)))))</f>
        <v/>
      </c>
      <c r="DQ33">
        <f>IF($L$4="",1,IF($L$4="(blank)",--('Final Calculation Sheet'!$K$31=""),IF($L$4="(nonblank)",--('Final Calculation Sheet'!$K$31&lt;&gt;""),--ISNUMBER(SEARCH($L$4,'Final Calculation Sheet'!$K$31)))))</f>
        <v/>
      </c>
      <c r="DR33">
        <f>IF($M$4="",1,IF($M$4="(blank)",--('Final Calculation Sheet'!$L$31=""),IF($M$4="(nonblank)",--('Final Calculation Sheet'!$L$31&lt;&gt;""),--ISNUMBER(SEARCH($M$4,'Final Calculation Sheet'!$L$31)))))</f>
        <v/>
      </c>
      <c r="DS33">
        <f>IF($N$4="",1,IF($N$4="(blank)",--('Final Calculation Sheet'!$M$31=""),IF($N$4="(nonblank)",--('Final Calculation Sheet'!$M$31&lt;&gt;""),--ISNUMBER(SEARCH($N$4,'Final Calculation Sheet'!$M$31)))))</f>
        <v/>
      </c>
      <c r="DT33">
        <f>IF($O$4="",1,IF($O$4="(blank)",--('Final Calculation Sheet'!$N$31=""),IF($O$4="(nonblank)",--('Final Calculation Sheet'!$N$31&lt;&gt;""),--ISNUMBER(SEARCH($O$4,'Final Calculation Sheet'!$N$31)))))</f>
        <v/>
      </c>
      <c r="DU33">
        <f>IF($P$4="",1,IF($P$4="(blank)",--('Final Calculation Sheet'!$O$31=""),IF($P$4="(nonblank)",--('Final Calculation Sheet'!$O$31&lt;&gt;""),--ISNUMBER(SEARCH($P$4,'Final Calculation Sheet'!$O$31)))))</f>
        <v/>
      </c>
      <c r="DV33">
        <f>IF($Q$4="",1,IF($Q$4="(blank)",--('Final Calculation Sheet'!$P$31=""),IF($Q$4="(nonblank)",--('Final Calculation Sheet'!$P$31&lt;&gt;""),--ISNUMBER(SEARCH($Q$4,'Final Calculation Sheet'!$P$31)))))</f>
        <v/>
      </c>
      <c r="DW33">
        <f>IF($R$4="",1,IF($R$4="(blank)",--('Final Calculation Sheet'!$Q$31=""),IF($R$4="(nonblank)",--('Final Calculation Sheet'!$Q$31&lt;&gt;""),--ISNUMBER(SEARCH($R$4,'Final Calculation Sheet'!$Q$31)))))</f>
        <v/>
      </c>
      <c r="DX33">
        <f>IF($S$4="",1,IF($S$4="(blank)",--('Final Calculation Sheet'!$R$31=""),IF($S$4="(nonblank)",--('Final Calculation Sheet'!$R$31&lt;&gt;""),--ISNUMBER(SEARCH($S$4,'Final Calculation Sheet'!$R$31)))))</f>
        <v/>
      </c>
      <c r="DY33">
        <f>IF($T$4="",1,IF($T$4="(blank)",--('Final Calculation Sheet'!$S$31=""),IF($T$4="(nonblank)",--('Final Calculation Sheet'!$S$31&lt;&gt;""),--ISNUMBER(SEARCH($T$4,'Final Calculation Sheet'!$S$31)))))</f>
        <v/>
      </c>
      <c r="DZ33">
        <f>IF($U$4="",1,IF($U$4="(blank)",--('Final Calculation Sheet'!$T$31=""),IF($U$4="(nonblank)",--('Final Calculation Sheet'!$T$31&lt;&gt;""),--ISNUMBER(SEARCH($U$4,'Final Calculation Sheet'!$T$31)))))</f>
        <v/>
      </c>
      <c r="EA33">
        <f>IF($V$4="",1,IF($V$4="(blank)",--('Final Calculation Sheet'!$U$31=""),IF($V$4="(nonblank)",--('Final Calculation Sheet'!$U$31&lt;&gt;""),--ISNUMBER(SEARCH($V$4,'Final Calculation Sheet'!$U$31)))))</f>
        <v/>
      </c>
      <c r="EB33">
        <f>IF($W$4="",1,IF($W$4="(blank)",--('Final Calculation Sheet'!$V$31=""),IF($W$4="(nonblank)",--('Final Calculation Sheet'!$V$31&lt;&gt;""),--ISNUMBER(SEARCH($W$4,'Final Calculation Sheet'!$V$31)))))</f>
        <v/>
      </c>
      <c r="EC33">
        <f>IF($X$4="",1,IF($X$4="(blank)",--('Final Calculation Sheet'!$W$31=""),IF($X$4="(nonblank)",--('Final Calculation Sheet'!$W$31&lt;&gt;""),--ISNUMBER(SEARCH($X$4,'Final Calculation Sheet'!$W$31)))))</f>
        <v/>
      </c>
      <c r="ED33">
        <f>IF($Y$4="",1,IF($Y$4="(blank)",--('Final Calculation Sheet'!$X$31=""),IF($Y$4="(nonblank)",--('Final Calculation Sheet'!$X$31&lt;&gt;""),--ISNUMBER(SEARCH($Y$4,'Final Calculation Sheet'!$X$31)))))</f>
        <v/>
      </c>
      <c r="EE33">
        <f>IF($Z$4="",1,IF($Z$4="(blank)",--('Final Calculation Sheet'!$Y$31=""),IF($Z$4="(nonblank)",--('Final Calculation Sheet'!$Y$31&lt;&gt;""),--ISNUMBER(SEARCH($Z$4,'Final Calculation Sheet'!$Y$31)))))</f>
        <v/>
      </c>
      <c r="EF33">
        <f>IF($AA$4="",1,IF($AA$4="(blank)",--('Final Calculation Sheet'!$Z$31=""),IF($AA$4="(nonblank)",--('Final Calculation Sheet'!$Z$31&lt;&gt;""),--ISNUMBER(SEARCH($AA$4,'Final Calculation Sheet'!$Z$31)))))</f>
        <v/>
      </c>
      <c r="EG33">
        <f>IF($AB$4="",1,IF($AB$4="(blank)",--('Final Calculation Sheet'!$AA$31=""),IF($AB$4="(nonblank)",--('Final Calculation Sheet'!$AA$31&lt;&gt;""),--ISNUMBER(SEARCH($AB$4,'Final Calculation Sheet'!$AA$31)))))</f>
        <v/>
      </c>
      <c r="EH33">
        <f>IF($AC$4="",1,IF($AC$4="(blank)",--('Final Calculation Sheet'!$AB$31=""),IF($AC$4="(nonblank)",--('Final Calculation Sheet'!$AB$31&lt;&gt;""),--ISNUMBER(SEARCH($AC$4,'Final Calculation Sheet'!$AB$31)))))</f>
        <v/>
      </c>
      <c r="EI33">
        <f>IF($AD$4="",1,IF($AD$4="(blank)",--('Final Calculation Sheet'!$AC$31=""),IF($AD$4="(nonblank)",--('Final Calculation Sheet'!$AC$31&lt;&gt;""),--ISNUMBER(SEARCH($AD$4,'Final Calculation Sheet'!$AC$31)))))</f>
        <v/>
      </c>
      <c r="EJ33">
        <f>IF($AE$4="",1,IF($AE$4="(blank)",--('Final Calculation Sheet'!$AD$31=""),IF($AE$4="(nonblank)",--('Final Calculation Sheet'!$AD$31&lt;&gt;""),--ISNUMBER(SEARCH($AE$4,'Final Calculation Sheet'!$AD$31)))))</f>
        <v/>
      </c>
      <c r="EK33">
        <f>IF($AF$4="",1,IF($AF$4="(blank)",--(IF('Final Calculation Sheet'!$AD$31&lt;=5,"SETTLED","OUTSTANDING")=""),IF($AF$4="(nonblank)",--(IF('Final Calculation Sheet'!$AD$31&lt;=5,"SETTLED","OUTSTANDING")&lt;&gt;""),--ISNUMBER(SEARCH($AF$4,IF('Final Calculation Sheet'!$AD$31&lt;=5,"SETTLED","OUTSTANDING"))))))</f>
        <v/>
      </c>
      <c r="EL33">
        <f>IF($AG$4="",1,IF($AG$4="(blank)",--('Final Calculation Sheet'!$AF$31=""),IF($AG$4="(nonblank)",--('Final Calculation Sheet'!$AF$31&lt;&gt;""),--ISNUMBER(SEARCH($AG$4,'Final Calculation Sheet'!$AF$31)))))</f>
        <v/>
      </c>
      <c r="EM33">
        <f>IF($AH$4="",1,IF($AH$4="(blank)",--('Final Calculation Sheet'!$AG$31=""),IF($AH$4="(nonblank)",--('Final Calculation Sheet'!$AG$31&lt;&gt;""),--ISNUMBER(SEARCH($AH$4,'Final Calculation Sheet'!$AG$31)))))</f>
        <v/>
      </c>
      <c r="EN33">
        <f>IF($AI$4="",1,IF($AI$4="(blank)",--('Final Calculation Sheet'!$AH$31=""),IF($AI$4="(nonblank)",--('Final Calculation Sheet'!$AH$31&lt;&gt;""),--ISNUMBER(SEARCH($AI$4,'Final Calculation Sheet'!$AH$31)))))</f>
        <v/>
      </c>
    </row>
    <row r="34" outlineLevel="1" hidden="1">
      <c r="A34" s="128">
        <f>IF($AL$34="","",28)</f>
        <v/>
      </c>
      <c r="B34" s="129">
        <f>IF($AL$34="","",IF(INDEX('Final Calculation Sheet'!$F$4:$F$40,$AL$34)="","",INDEX('Final Calculation Sheet'!$F$4:$F$40,$AL$34)))</f>
        <v/>
      </c>
      <c r="C34" s="129">
        <f>IF($AL$34="","",IF(INDEX('Final Calculation Sheet'!$G$4:$G$40,$AL$34)="","",INDEX('Final Calculation Sheet'!$G$4:$G$40,$AL$34)))</f>
        <v/>
      </c>
      <c r="D34" s="130">
        <f>IF($AL$34="","",IF(INDEX('Final Calculation Sheet'!$B$4:$B$40,$AL$34)="","",INDEX('Final Calculation Sheet'!$B$4:$B$40,$AL$34)))</f>
        <v/>
      </c>
      <c r="E34" s="130">
        <f>IF($AL$34="","",IF(INDEX('Final Calculation Sheet'!$D$4:$D$40,$AL$34)="","",INDEX('Final Calculation Sheet'!$D$4:$D$40,$AL$34)))</f>
        <v/>
      </c>
      <c r="F34" s="130">
        <f>IF($AL$34="","",IF(INDEX('Final Calculation Sheet'!$A$4:$A$40,$AL$34)="","",INDEX('Final Calculation Sheet'!$A$4:$A$40,$AL$34)))</f>
        <v/>
      </c>
      <c r="G34" s="130">
        <f>IF($AL$34="","",IF(INDEX('Final Calculation Sheet'!$E$4:$E$40,$AL$34)="","",INDEX('Final Calculation Sheet'!$E$4:$E$40,$AL$34)))</f>
        <v/>
      </c>
      <c r="H34" s="131">
        <f>IF($AL$34="","",IF(INDEX('Final Calculation Sheet'!$C$4:$C$40,$AL$34)="","",INDEX('Final Calculation Sheet'!$C$4:$C$40,$AL$34)))</f>
        <v/>
      </c>
      <c r="I34" s="131">
        <f>IF($AL$34="","",IF(INDEX('Final Calculation Sheet'!$H$4:$H$40,$AL$34)="","",INDEX('Final Calculation Sheet'!$H$4:$H$40,$AL$34)))</f>
        <v/>
      </c>
      <c r="J34" s="131">
        <f>IF($AL$34="","",IF(INDEX('Final Calculation Sheet'!$I$4:$I$40,$AL$34)="","",INDEX('Final Calculation Sheet'!$I$4:$I$40,$AL$34)))</f>
        <v/>
      </c>
      <c r="K34" s="131">
        <f>IF($AL$34="","",IF(INDEX('Final Calculation Sheet'!$J$4:$J$40,$AL$34)="","",INDEX('Final Calculation Sheet'!$J$4:$J$40,$AL$34)))</f>
        <v/>
      </c>
      <c r="L34" s="131">
        <f>IF($AL$34="","",IF(INDEX('Final Calculation Sheet'!$K$4:$K$40,$AL$34)="","",INDEX('Final Calculation Sheet'!$K$4:$K$40,$AL$34)))</f>
        <v/>
      </c>
      <c r="M34" s="131">
        <f>IF($AL$34="","",IF(INDEX('Final Calculation Sheet'!$L$4:$L$40,$AL$34)="","",INDEX('Final Calculation Sheet'!$L$4:$L$40,$AL$34)))</f>
        <v/>
      </c>
      <c r="N34" s="131">
        <f>IF($AL$34="","",IF(INDEX('Final Calculation Sheet'!$M$4:$M$40,$AL$34)="","",INDEX('Final Calculation Sheet'!$M$4:$M$40,$AL$34)))</f>
        <v/>
      </c>
      <c r="O34" s="132">
        <f>IF($AL$34="","",IF(INDEX('Final Calculation Sheet'!$N$4:$N$40,$AL$34)="","",INDEX('Final Calculation Sheet'!$N$4:$N$40,$AL$34)))</f>
        <v/>
      </c>
      <c r="P34" s="131">
        <f>IF($AL$34="","",IF(INDEX('Final Calculation Sheet'!$O$4:$O$40,$AL$34)="","",INDEX('Final Calculation Sheet'!$O$4:$O$40,$AL$34)))</f>
        <v/>
      </c>
      <c r="Q34" s="131">
        <f>IF($AL$34="","",IF(INDEX('Final Calculation Sheet'!$P$4:$P$40,$AL$34)="","",INDEX('Final Calculation Sheet'!$P$4:$P$40,$AL$34)))</f>
        <v/>
      </c>
      <c r="R34" s="133">
        <f>IF($AL$34="","",IF(INDEX('Final Calculation Sheet'!$Q$4:$Q$40,$AL$34)="","",INDEX('Final Calculation Sheet'!$Q$4:$Q$40,$AL$34)))</f>
        <v/>
      </c>
      <c r="S34" s="131">
        <f>IF($AL$34="","",IF(INDEX('Final Calculation Sheet'!$R$4:$R$40,$AL$34)="","",INDEX('Final Calculation Sheet'!$R$4:$R$40,$AL$34)))</f>
        <v/>
      </c>
      <c r="T34" s="131">
        <f>IF($AL$34="","",IF(INDEX('Final Calculation Sheet'!$S$4:$S$40,$AL$34)="","",INDEX('Final Calculation Sheet'!$S$4:$S$40,$AL$34)))</f>
        <v/>
      </c>
      <c r="U34" s="131">
        <f>IF($AL$34="","",IF(INDEX('Final Calculation Sheet'!$T$4:$T$40,$AL$34)="","",INDEX('Final Calculation Sheet'!$T$4:$T$40,$AL$34)))</f>
        <v/>
      </c>
      <c r="V34" s="134">
        <f>IF($AL$34="","",IF(INDEX('Final Calculation Sheet'!$U$4:$U$40,$AL$34)="","",INDEX('Final Calculation Sheet'!$U$4:$U$40,$AL$34)))</f>
        <v/>
      </c>
      <c r="W34" s="131">
        <f>IF($AL$34="","",IF(INDEX('Final Calculation Sheet'!$V$4:$V$40,$AL$34)="","",INDEX('Final Calculation Sheet'!$V$4:$V$40,$AL$34)))</f>
        <v/>
      </c>
      <c r="X34" s="131">
        <f>IF($AL$34="","",IF(INDEX('Final Calculation Sheet'!$W$4:$W$40,$AL$34)="","",INDEX('Final Calculation Sheet'!$W$4:$W$40,$AL$34)))</f>
        <v/>
      </c>
      <c r="Y34" s="131">
        <f>IF($AL$34="","",IF(INDEX('Final Calculation Sheet'!$X$4:$X$40,$AL$34)="","",INDEX('Final Calculation Sheet'!$X$4:$X$40,$AL$34)))</f>
        <v/>
      </c>
      <c r="Z34" s="131">
        <f>IF($AL$34="","",IF(INDEX('Final Calculation Sheet'!$Y$4:$Y$40,$AL$34)="","",INDEX('Final Calculation Sheet'!$Y$4:$Y$40,$AL$34)))</f>
        <v/>
      </c>
      <c r="AA34" s="131">
        <f>IF($AL$34="","",IF(INDEX('Final Calculation Sheet'!$Z$4:$Z$40,$AL$34)="","",INDEX('Final Calculation Sheet'!$Z$4:$Z$40,$AL$34)))</f>
        <v/>
      </c>
      <c r="AB34" s="131">
        <f>IF($AL$34="","",IF(INDEX('Final Calculation Sheet'!$AA$4:$AA$40,$AL$34)="","",INDEX('Final Calculation Sheet'!$AA$4:$AA$40,$AL$34)))</f>
        <v/>
      </c>
      <c r="AC34" s="131">
        <f>IF($AL$34="","",IF(INDEX('Final Calculation Sheet'!$AB$4:$AB$40,$AL$34)="","",INDEX('Final Calculation Sheet'!$AB$4:$AB$40,$AL$34)))</f>
        <v/>
      </c>
      <c r="AD34" s="131">
        <f>IF($AL$34="","",IF(INDEX('Final Calculation Sheet'!$AC$4:$AC$40,$AL$34)="","",INDEX('Final Calculation Sheet'!$AC$4:$AC$40,$AL$34)))</f>
        <v/>
      </c>
      <c r="AE34" s="131">
        <f>IF($AL$34="","",IF(INDEX('Final Calculation Sheet'!$AD$4:$AD$40,$AL$34)="","",INDEX('Final Calculation Sheet'!$AD$4:$AD$40,$AL$34)))</f>
        <v/>
      </c>
      <c r="AF34" s="136">
        <f>IF($AL$34="","",IF(INDEX('Final Calculation Sheet'!$AD$4:$AD$40,$AL$34)&lt;=5,"SETTLED","OUTSTANDING"))</f>
        <v/>
      </c>
      <c r="AG34" s="131">
        <f>IF($AL$34="","",IF(INDEX('Final Calculation Sheet'!$AF$4:$AF$40,$AL$34)="","",INDEX('Final Calculation Sheet'!$AF$4:$AF$40,$AL$34)))</f>
        <v/>
      </c>
      <c r="AH34" s="135">
        <f>IF($AL$34="","",IF(INDEX('Final Calculation Sheet'!$AG$4:$AG$40,$AL$34)="","",INDEX('Final Calculation Sheet'!$AG$4:$AG$40,$AL$34)))</f>
        <v/>
      </c>
      <c r="AI34" s="131">
        <f>IF($AL$34="","",IF(INDEX('Final Calculation Sheet'!$AH$4:$AH$40,$AL$34)="","",INDEX('Final Calculation Sheet'!$AH$4:$AH$40,$AL$34)))</f>
        <v/>
      </c>
      <c r="AJ34">
        <f>IF(AND(IF($B$4="",TRUE(),IF($B$4="(blank)",'Final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Sheet'!$AD$32&lt;=5,"SETTLED","OUTSTANDING"))))))),1,0)</f>
      </c>
      <c r="AK34">
        <f>IF(AJ34=1,COUNTIF(AJ$6:AJ34,1),"")</f>
        <v/>
      </c>
      <c r="AL34">
        <f>IF(COUNTIF($B$4:$AI$4,"&lt;&gt;")=0,"",IFERROR(MATCH(28,$AK$6:$AK$42,0),""))</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CU33+IF(AND(Lists!$FI$34&lt;&gt;"",ISNUMBER(SEARCH($AG$4,Lists!$FI$34))),1,0)</f>
        <v/>
      </c>
      <c r="CV34">
        <f>IF(ROW()-3&gt;MAX($CU$4:$CU$42),"",INDEX(Lists!$FI$4:$FI$42,MATCH(ROW()-3,$CU$4:$CU$42,0)))</f>
        <v/>
      </c>
      <c r="CW34">
        <f>CW33+IF(AND(Lists!$FN$34&lt;&gt;"",ISNUMBER(SEARCH($AH$4,Lists!$FN$34))),1,0)</f>
        <v/>
      </c>
      <c r="CX34">
        <f>IF(ROW()-3&gt;MAX($CW$4:$CW$42),"",INDEX(Lists!$FN$4:$FN$42,MATCH(ROW()-3,$CW$4:$CW$42,0)))</f>
        <v/>
      </c>
      <c r="CY34">
        <f>CY33+IF(AND(Lists!$FS$34&lt;&gt;"",ISNUMBER(SEARCH($AI$4,Lists!$FS$34))),1,0)</f>
        <v/>
      </c>
      <c r="CZ34">
        <f>IF(ROW()-3&gt;MAX($CY$4:$CY$42),"",INDEX(Lists!$FS$4:$FS$42,MATCH(ROW()-3,$CY$4:$CY$42,0)))</f>
        <v/>
      </c>
      <c r="DA34">
        <f>DA33+IF(AND(Lists!$FX$34&lt;&gt;"",ISNUMBER(SEARCH($AF$4,Lists!$FX$34))),1,0)</f>
        <v/>
      </c>
      <c r="DB34">
        <f>IF(ROW()-3&gt;MAX($DA$4:$DA$42),"",INDEX(Lists!$FX$4:$FX$42,MATCH(ROW()-3,$DA$4:$DA$42,0)))</f>
        <v/>
      </c>
      <c r="DG34">
        <f>IF($B$4="",1,IF($B$4="(blank)",--('Final Calculation Sheet'!$F$32=""),IF($B$4="(nonblank)",--('Final Calculation Sheet'!$F$32&lt;&gt;""),--ISNUMBER(SEARCH($B$4,'Final Calculation Sheet'!$F$32)))))</f>
        <v/>
      </c>
      <c r="DH34">
        <f>IF($C$4="",1,IF($C$4="(blank)",--('Final Calculation Sheet'!$G$32=""),IF($C$4="(nonblank)",--('Final Calculation Sheet'!$G$32&lt;&gt;""),--ISNUMBER(SEARCH($C$4,'Final Calculation Sheet'!$G$32)))))</f>
        <v/>
      </c>
      <c r="DI34">
        <f>IF($D$4="",1,IF($D$4="(blank)",--('Final Calculation Sheet'!$B$32=""),IF($D$4="(nonblank)",--('Final Calculation Sheet'!$B$32&lt;&gt;""),--ISNUMBER(SEARCH($D$4,'Final Calculation Sheet'!$B$32)))))</f>
        <v/>
      </c>
      <c r="DJ34">
        <f>IF($E$4="",1,IF($E$4="(blank)",--('Final Calculation Sheet'!$D$32=""),IF($E$4="(nonblank)",--('Final Calculation Sheet'!$D$32&lt;&gt;""),--ISNUMBER(SEARCH($E$4,'Final Calculation Sheet'!$D$32)))))</f>
        <v/>
      </c>
      <c r="DK34">
        <f>IF($F$4="",1,IF($F$4="(blank)",--('Final Calculation Sheet'!$A$32=""),IF($F$4="(nonblank)",--('Final Calculation Sheet'!$A$32&lt;&gt;""),--ISNUMBER(SEARCH($F$4,'Final Calculation Sheet'!$A$32)))))</f>
        <v/>
      </c>
      <c r="DL34">
        <f>IF($G$4="",1,IF($G$4="(blank)",--('Final Calculation Sheet'!$E$32=""),IF($G$4="(nonblank)",--('Final Calculation Sheet'!$E$32&lt;&gt;""),--ISNUMBER(SEARCH($G$4,'Final Calculation Sheet'!$E$32)))))</f>
        <v/>
      </c>
      <c r="DM34">
        <f>IF($H$4="",1,IF($H$4="(blank)",--('Final Calculation Sheet'!$C$32=""),IF($H$4="(nonblank)",--('Final Calculation Sheet'!$C$32&lt;&gt;""),--ISNUMBER(SEARCH($H$4,'Final Calculation Sheet'!$C$32)))))</f>
        <v/>
      </c>
      <c r="DN34">
        <f>IF($I$4="",1,IF($I$4="(blank)",--('Final Calculation Sheet'!$H$32=""),IF($I$4="(nonblank)",--('Final Calculation Sheet'!$H$32&lt;&gt;""),--ISNUMBER(SEARCH($I$4,'Final Calculation Sheet'!$H$32)))))</f>
        <v/>
      </c>
      <c r="DO34">
        <f>IF($J$4="",1,IF($J$4="(blank)",--('Final Calculation Sheet'!$I$32=""),IF($J$4="(nonblank)",--('Final Calculation Sheet'!$I$32&lt;&gt;""),--ISNUMBER(SEARCH($J$4,'Final Calculation Sheet'!$I$32)))))</f>
        <v/>
      </c>
      <c r="DP34">
        <f>IF($K$4="",1,IF($K$4="(blank)",--('Final Calculation Sheet'!$J$32=""),IF($K$4="(nonblank)",--('Final Calculation Sheet'!$J$32&lt;&gt;""),--ISNUMBER(SEARCH($K$4,'Final Calculation Sheet'!$J$32)))))</f>
        <v/>
      </c>
      <c r="DQ34">
        <f>IF($L$4="",1,IF($L$4="(blank)",--('Final Calculation Sheet'!$K$32=""),IF($L$4="(nonblank)",--('Final Calculation Sheet'!$K$32&lt;&gt;""),--ISNUMBER(SEARCH($L$4,'Final Calculation Sheet'!$K$32)))))</f>
        <v/>
      </c>
      <c r="DR34">
        <f>IF($M$4="",1,IF($M$4="(blank)",--('Final Calculation Sheet'!$L$32=""),IF($M$4="(nonblank)",--('Final Calculation Sheet'!$L$32&lt;&gt;""),--ISNUMBER(SEARCH($M$4,'Final Calculation Sheet'!$L$32)))))</f>
        <v/>
      </c>
      <c r="DS34">
        <f>IF($N$4="",1,IF($N$4="(blank)",--('Final Calculation Sheet'!$M$32=""),IF($N$4="(nonblank)",--('Final Calculation Sheet'!$M$32&lt;&gt;""),--ISNUMBER(SEARCH($N$4,'Final Calculation Sheet'!$M$32)))))</f>
        <v/>
      </c>
      <c r="DT34">
        <f>IF($O$4="",1,IF($O$4="(blank)",--('Final Calculation Sheet'!$N$32=""),IF($O$4="(nonblank)",--('Final Calculation Sheet'!$N$32&lt;&gt;""),--ISNUMBER(SEARCH($O$4,'Final Calculation Sheet'!$N$32)))))</f>
        <v/>
      </c>
      <c r="DU34">
        <f>IF($P$4="",1,IF($P$4="(blank)",--('Final Calculation Sheet'!$O$32=""),IF($P$4="(nonblank)",--('Final Calculation Sheet'!$O$32&lt;&gt;""),--ISNUMBER(SEARCH($P$4,'Final Calculation Sheet'!$O$32)))))</f>
        <v/>
      </c>
      <c r="DV34">
        <f>IF($Q$4="",1,IF($Q$4="(blank)",--('Final Calculation Sheet'!$P$32=""),IF($Q$4="(nonblank)",--('Final Calculation Sheet'!$P$32&lt;&gt;""),--ISNUMBER(SEARCH($Q$4,'Final Calculation Sheet'!$P$32)))))</f>
        <v/>
      </c>
      <c r="DW34">
        <f>IF($R$4="",1,IF($R$4="(blank)",--('Final Calculation Sheet'!$Q$32=""),IF($R$4="(nonblank)",--('Final Calculation Sheet'!$Q$32&lt;&gt;""),--ISNUMBER(SEARCH($R$4,'Final Calculation Sheet'!$Q$32)))))</f>
        <v/>
      </c>
      <c r="DX34">
        <f>IF($S$4="",1,IF($S$4="(blank)",--('Final Calculation Sheet'!$R$32=""),IF($S$4="(nonblank)",--('Final Calculation Sheet'!$R$32&lt;&gt;""),--ISNUMBER(SEARCH($S$4,'Final Calculation Sheet'!$R$32)))))</f>
        <v/>
      </c>
      <c r="DY34">
        <f>IF($T$4="",1,IF($T$4="(blank)",--('Final Calculation Sheet'!$S$32=""),IF($T$4="(nonblank)",--('Final Calculation Sheet'!$S$32&lt;&gt;""),--ISNUMBER(SEARCH($T$4,'Final Calculation Sheet'!$S$32)))))</f>
        <v/>
      </c>
      <c r="DZ34">
        <f>IF($U$4="",1,IF($U$4="(blank)",--('Final Calculation Sheet'!$T$32=""),IF($U$4="(nonblank)",--('Final Calculation Sheet'!$T$32&lt;&gt;""),--ISNUMBER(SEARCH($U$4,'Final Calculation Sheet'!$T$32)))))</f>
        <v/>
      </c>
      <c r="EA34">
        <f>IF($V$4="",1,IF($V$4="(blank)",--('Final Calculation Sheet'!$U$32=""),IF($V$4="(nonblank)",--('Final Calculation Sheet'!$U$32&lt;&gt;""),--ISNUMBER(SEARCH($V$4,'Final Calculation Sheet'!$U$32)))))</f>
        <v/>
      </c>
      <c r="EB34">
        <f>IF($W$4="",1,IF($W$4="(blank)",--('Final Calculation Sheet'!$V$32=""),IF($W$4="(nonblank)",--('Final Calculation Sheet'!$V$32&lt;&gt;""),--ISNUMBER(SEARCH($W$4,'Final Calculation Sheet'!$V$32)))))</f>
        <v/>
      </c>
      <c r="EC34">
        <f>IF($X$4="",1,IF($X$4="(blank)",--('Final Calculation Sheet'!$W$32=""),IF($X$4="(nonblank)",--('Final Calculation Sheet'!$W$32&lt;&gt;""),--ISNUMBER(SEARCH($X$4,'Final Calculation Sheet'!$W$32)))))</f>
        <v/>
      </c>
      <c r="ED34">
        <f>IF($Y$4="",1,IF($Y$4="(blank)",--('Final Calculation Sheet'!$X$32=""),IF($Y$4="(nonblank)",--('Final Calculation Sheet'!$X$32&lt;&gt;""),--ISNUMBER(SEARCH($Y$4,'Final Calculation Sheet'!$X$32)))))</f>
        <v/>
      </c>
      <c r="EE34">
        <f>IF($Z$4="",1,IF($Z$4="(blank)",--('Final Calculation Sheet'!$Y$32=""),IF($Z$4="(nonblank)",--('Final Calculation Sheet'!$Y$32&lt;&gt;""),--ISNUMBER(SEARCH($Z$4,'Final Calculation Sheet'!$Y$32)))))</f>
        <v/>
      </c>
      <c r="EF34">
        <f>IF($AA$4="",1,IF($AA$4="(blank)",--('Final Calculation Sheet'!$Z$32=""),IF($AA$4="(nonblank)",--('Final Calculation Sheet'!$Z$32&lt;&gt;""),--ISNUMBER(SEARCH($AA$4,'Final Calculation Sheet'!$Z$32)))))</f>
        <v/>
      </c>
      <c r="EG34">
        <f>IF($AB$4="",1,IF($AB$4="(blank)",--('Final Calculation Sheet'!$AA$32=""),IF($AB$4="(nonblank)",--('Final Calculation Sheet'!$AA$32&lt;&gt;""),--ISNUMBER(SEARCH($AB$4,'Final Calculation Sheet'!$AA$32)))))</f>
        <v/>
      </c>
      <c r="EH34">
        <f>IF($AC$4="",1,IF($AC$4="(blank)",--('Final Calculation Sheet'!$AB$32=""),IF($AC$4="(nonblank)",--('Final Calculation Sheet'!$AB$32&lt;&gt;""),--ISNUMBER(SEARCH($AC$4,'Final Calculation Sheet'!$AB$32)))))</f>
        <v/>
      </c>
      <c r="EI34">
        <f>IF($AD$4="",1,IF($AD$4="(blank)",--('Final Calculation Sheet'!$AC$32=""),IF($AD$4="(nonblank)",--('Final Calculation Sheet'!$AC$32&lt;&gt;""),--ISNUMBER(SEARCH($AD$4,'Final Calculation Sheet'!$AC$32)))))</f>
        <v/>
      </c>
      <c r="EJ34">
        <f>IF($AE$4="",1,IF($AE$4="(blank)",--('Final Calculation Sheet'!$AD$32=""),IF($AE$4="(nonblank)",--('Final Calculation Sheet'!$AD$32&lt;&gt;""),--ISNUMBER(SEARCH($AE$4,'Final Calculation Sheet'!$AD$32)))))</f>
        <v/>
      </c>
      <c r="EK34">
        <f>IF($AF$4="",1,IF($AF$4="(blank)",--(IF('Final Calculation Sheet'!$AD$32&lt;=5,"SETTLED","OUTSTANDING")=""),IF($AF$4="(nonblank)",--(IF('Final Calculation Sheet'!$AD$32&lt;=5,"SETTLED","OUTSTANDING")&lt;&gt;""),--ISNUMBER(SEARCH($AF$4,IF('Final Calculation Sheet'!$AD$32&lt;=5,"SETTLED","OUTSTANDING"))))))</f>
        <v/>
      </c>
      <c r="EL34">
        <f>IF($AG$4="",1,IF($AG$4="(blank)",--('Final Calculation Sheet'!$AF$32=""),IF($AG$4="(nonblank)",--('Final Calculation Sheet'!$AF$32&lt;&gt;""),--ISNUMBER(SEARCH($AG$4,'Final Calculation Sheet'!$AF$32)))))</f>
        <v/>
      </c>
      <c r="EM34">
        <f>IF($AH$4="",1,IF($AH$4="(blank)",--('Final Calculation Sheet'!$AG$32=""),IF($AH$4="(nonblank)",--('Final Calculation Sheet'!$AG$32&lt;&gt;""),--ISNUMBER(SEARCH($AH$4,'Final Calculation Sheet'!$AG$32)))))</f>
        <v/>
      </c>
      <c r="EN34">
        <f>IF($AI$4="",1,IF($AI$4="(blank)",--('Final Calculation Sheet'!$AH$32=""),IF($AI$4="(nonblank)",--('Final Calculation Sheet'!$AH$32&lt;&gt;""),--ISNUMBER(SEARCH($AI$4,'Final Calculation Sheet'!$AH$32)))))</f>
        <v/>
      </c>
    </row>
    <row r="35" outlineLevel="1" hidden="1">
      <c r="A35" s="118">
        <f>IF($AL$35="","",29)</f>
        <v/>
      </c>
      <c r="B35" s="119">
        <f>IF($AL$35="","",IF(INDEX('Final Calculation Sheet'!$F$4:$F$40,$AL$35)="","",INDEX('Final Calculation Sheet'!$F$4:$F$40,$AL$35)))</f>
        <v/>
      </c>
      <c r="C35" s="119">
        <f>IF($AL$35="","",IF(INDEX('Final Calculation Sheet'!$G$4:$G$40,$AL$35)="","",INDEX('Final Calculation Sheet'!$G$4:$G$40,$AL$35)))</f>
        <v/>
      </c>
      <c r="D35" s="121">
        <f>IF($AL$35="","",IF(INDEX('Final Calculation Sheet'!$B$4:$B$40,$AL$35)="","",INDEX('Final Calculation Sheet'!$B$4:$B$40,$AL$35)))</f>
        <v/>
      </c>
      <c r="E35" s="121">
        <f>IF($AL$35="","",IF(INDEX('Final Calculation Sheet'!$D$4:$D$40,$AL$35)="","",INDEX('Final Calculation Sheet'!$D$4:$D$40,$AL$35)))</f>
        <v/>
      </c>
      <c r="F35" s="121">
        <f>IF($AL$35="","",IF(INDEX('Final Calculation Sheet'!$A$4:$A$40,$AL$35)="","",INDEX('Final Calculation Sheet'!$A$4:$A$40,$AL$35)))</f>
        <v/>
      </c>
      <c r="G35" s="121">
        <f>IF($AL$35="","",IF(INDEX('Final Calculation Sheet'!$E$4:$E$40,$AL$35)="","",INDEX('Final Calculation Sheet'!$E$4:$E$40,$AL$35)))</f>
        <v/>
      </c>
      <c r="H35" s="122">
        <f>IF($AL$35="","",IF(INDEX('Final Calculation Sheet'!$C$4:$C$40,$AL$35)="","",INDEX('Final Calculation Sheet'!$C$4:$C$40,$AL$35)))</f>
        <v/>
      </c>
      <c r="I35" s="122">
        <f>IF($AL$35="","",IF(INDEX('Final Calculation Sheet'!$H$4:$H$40,$AL$35)="","",INDEX('Final Calculation Sheet'!$H$4:$H$40,$AL$35)))</f>
        <v/>
      </c>
      <c r="J35" s="122">
        <f>IF($AL$35="","",IF(INDEX('Final Calculation Sheet'!$I$4:$I$40,$AL$35)="","",INDEX('Final Calculation Sheet'!$I$4:$I$40,$AL$35)))</f>
        <v/>
      </c>
      <c r="K35" s="122">
        <f>IF($AL$35="","",IF(INDEX('Final Calculation Sheet'!$J$4:$J$40,$AL$35)="","",INDEX('Final Calculation Sheet'!$J$4:$J$40,$AL$35)))</f>
        <v/>
      </c>
      <c r="L35" s="122">
        <f>IF($AL$35="","",IF(INDEX('Final Calculation Sheet'!$K$4:$K$40,$AL$35)="","",INDEX('Final Calculation Sheet'!$K$4:$K$40,$AL$35)))</f>
        <v/>
      </c>
      <c r="M35" s="122">
        <f>IF($AL$35="","",IF(INDEX('Final Calculation Sheet'!$L$4:$L$40,$AL$35)="","",INDEX('Final Calculation Sheet'!$L$4:$L$40,$AL$35)))</f>
        <v/>
      </c>
      <c r="N35" s="122">
        <f>IF($AL$35="","",IF(INDEX('Final Calculation Sheet'!$M$4:$M$40,$AL$35)="","",INDEX('Final Calculation Sheet'!$M$4:$M$40,$AL$35)))</f>
        <v/>
      </c>
      <c r="O35" s="123">
        <f>IF($AL$35="","",IF(INDEX('Final Calculation Sheet'!$N$4:$N$40,$AL$35)="","",INDEX('Final Calculation Sheet'!$N$4:$N$40,$AL$35)))</f>
        <v/>
      </c>
      <c r="P35" s="122">
        <f>IF($AL$35="","",IF(INDEX('Final Calculation Sheet'!$O$4:$O$40,$AL$35)="","",INDEX('Final Calculation Sheet'!$O$4:$O$40,$AL$35)))</f>
        <v/>
      </c>
      <c r="Q35" s="122">
        <f>IF($AL$35="","",IF(INDEX('Final Calculation Sheet'!$P$4:$P$40,$AL$35)="","",INDEX('Final Calculation Sheet'!$P$4:$P$40,$AL$35)))</f>
        <v/>
      </c>
      <c r="R35" s="124">
        <f>IF($AL$35="","",IF(INDEX('Final Calculation Sheet'!$Q$4:$Q$40,$AL$35)="","",INDEX('Final Calculation Sheet'!$Q$4:$Q$40,$AL$35)))</f>
        <v/>
      </c>
      <c r="S35" s="122">
        <f>IF($AL$35="","",IF(INDEX('Final Calculation Sheet'!$R$4:$R$40,$AL$35)="","",INDEX('Final Calculation Sheet'!$R$4:$R$40,$AL$35)))</f>
        <v/>
      </c>
      <c r="T35" s="122">
        <f>IF($AL$35="","",IF(INDEX('Final Calculation Sheet'!$S$4:$S$40,$AL$35)="","",INDEX('Final Calculation Sheet'!$S$4:$S$40,$AL$35)))</f>
        <v/>
      </c>
      <c r="U35" s="122">
        <f>IF($AL$35="","",IF(INDEX('Final Calculation Sheet'!$T$4:$T$40,$AL$35)="","",INDEX('Final Calculation Sheet'!$T$4:$T$40,$AL$35)))</f>
        <v/>
      </c>
      <c r="V35" s="125">
        <f>IF($AL$35="","",IF(INDEX('Final Calculation Sheet'!$U$4:$U$40,$AL$35)="","",INDEX('Final Calculation Sheet'!$U$4:$U$40,$AL$35)))</f>
        <v/>
      </c>
      <c r="W35" s="122">
        <f>IF($AL$35="","",IF(INDEX('Final Calculation Sheet'!$V$4:$V$40,$AL$35)="","",INDEX('Final Calculation Sheet'!$V$4:$V$40,$AL$35)))</f>
        <v/>
      </c>
      <c r="X35" s="122">
        <f>IF($AL$35="","",IF(INDEX('Final Calculation Sheet'!$W$4:$W$40,$AL$35)="","",INDEX('Final Calculation Sheet'!$W$4:$W$40,$AL$35)))</f>
        <v/>
      </c>
      <c r="Y35" s="122">
        <f>IF($AL$35="","",IF(INDEX('Final Calculation Sheet'!$X$4:$X$40,$AL$35)="","",INDEX('Final Calculation Sheet'!$X$4:$X$40,$AL$35)))</f>
        <v/>
      </c>
      <c r="Z35" s="122">
        <f>IF($AL$35="","",IF(INDEX('Final Calculation Sheet'!$Y$4:$Y$40,$AL$35)="","",INDEX('Final Calculation Sheet'!$Y$4:$Y$40,$AL$35)))</f>
        <v/>
      </c>
      <c r="AA35" s="122">
        <f>IF($AL$35="","",IF(INDEX('Final Calculation Sheet'!$Z$4:$Z$40,$AL$35)="","",INDEX('Final Calculation Sheet'!$Z$4:$Z$40,$AL$35)))</f>
        <v/>
      </c>
      <c r="AB35" s="122">
        <f>IF($AL$35="","",IF(INDEX('Final Calculation Sheet'!$AA$4:$AA$40,$AL$35)="","",INDEX('Final Calculation Sheet'!$AA$4:$AA$40,$AL$35)))</f>
        <v/>
      </c>
      <c r="AC35" s="122">
        <f>IF($AL$35="","",IF(INDEX('Final Calculation Sheet'!$AB$4:$AB$40,$AL$35)="","",INDEX('Final Calculation Sheet'!$AB$4:$AB$40,$AL$35)))</f>
        <v/>
      </c>
      <c r="AD35" s="122">
        <f>IF($AL$35="","",IF(INDEX('Final Calculation Sheet'!$AC$4:$AC$40,$AL$35)="","",INDEX('Final Calculation Sheet'!$AC$4:$AC$40,$AL$35)))</f>
        <v/>
      </c>
      <c r="AE35" s="122">
        <f>IF($AL$35="","",IF(INDEX('Final Calculation Sheet'!$AD$4:$AD$40,$AL$35)="","",INDEX('Final Calculation Sheet'!$AD$4:$AD$40,$AL$35)))</f>
        <v/>
      </c>
      <c r="AF35" s="127">
        <f>IF($AL$35="","",IF(INDEX('Final Calculation Sheet'!$AD$4:$AD$40,$AL$35)&lt;=5,"SETTLED","OUTSTANDING"))</f>
        <v/>
      </c>
      <c r="AG35" s="122">
        <f>IF($AL$35="","",IF(INDEX('Final Calculation Sheet'!$AF$4:$AF$40,$AL$35)="","",INDEX('Final Calculation Sheet'!$AF$4:$AF$40,$AL$35)))</f>
        <v/>
      </c>
      <c r="AH35" s="126">
        <f>IF($AL$35="","",IF(INDEX('Final Calculation Sheet'!$AG$4:$AG$40,$AL$35)="","",INDEX('Final Calculation Sheet'!$AG$4:$AG$40,$AL$35)))</f>
        <v/>
      </c>
      <c r="AI35" s="122">
        <f>IF($AL$35="","",IF(INDEX('Final Calculation Sheet'!$AH$4:$AH$40,$AL$35)="","",INDEX('Final Calculation Sheet'!$AH$4:$AH$40,$AL$35)))</f>
        <v/>
      </c>
      <c r="AJ35">
        <f>IF(AND(IF($B$4="",TRUE(),IF($B$4="(blank)",'Final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Sheet'!$AD$33&lt;=5,"SETTLED","OUTSTANDING"))))))),1,0)</f>
      </c>
      <c r="AK35">
        <f>IF(AJ35=1,COUNTIF(AJ$6:AJ35,1),"")</f>
        <v/>
      </c>
      <c r="AL35">
        <f>IF(COUNTIF($B$4:$AI$4,"&lt;&gt;")=0,"",IFERROR(MATCH(29,$AK$6:$AK$42,0),""))</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CU34+IF(AND(Lists!$FI$35&lt;&gt;"",ISNUMBER(SEARCH($AG$4,Lists!$FI$35))),1,0)</f>
        <v/>
      </c>
      <c r="CV35">
        <f>IF(ROW()-3&gt;MAX($CU$4:$CU$42),"",INDEX(Lists!$FI$4:$FI$42,MATCH(ROW()-3,$CU$4:$CU$42,0)))</f>
        <v/>
      </c>
      <c r="CW35">
        <f>CW34+IF(AND(Lists!$FN$35&lt;&gt;"",ISNUMBER(SEARCH($AH$4,Lists!$FN$35))),1,0)</f>
        <v/>
      </c>
      <c r="CX35">
        <f>IF(ROW()-3&gt;MAX($CW$4:$CW$42),"",INDEX(Lists!$FN$4:$FN$42,MATCH(ROW()-3,$CW$4:$CW$42,0)))</f>
        <v/>
      </c>
      <c r="CY35">
        <f>CY34+IF(AND(Lists!$FS$35&lt;&gt;"",ISNUMBER(SEARCH($AI$4,Lists!$FS$35))),1,0)</f>
        <v/>
      </c>
      <c r="CZ35">
        <f>IF(ROW()-3&gt;MAX($CY$4:$CY$42),"",INDEX(Lists!$FS$4:$FS$42,MATCH(ROW()-3,$CY$4:$CY$42,0)))</f>
        <v/>
      </c>
      <c r="DA35">
        <f>DA34+IF(AND(Lists!$FX$35&lt;&gt;"",ISNUMBER(SEARCH($AF$4,Lists!$FX$35))),1,0)</f>
        <v/>
      </c>
      <c r="DB35">
        <f>IF(ROW()-3&gt;MAX($DA$4:$DA$42),"",INDEX(Lists!$FX$4:$FX$42,MATCH(ROW()-3,$DA$4:$DA$42,0)))</f>
        <v/>
      </c>
      <c r="DG35">
        <f>IF($B$4="",1,IF($B$4="(blank)",--('Final Calculation Sheet'!$F$33=""),IF($B$4="(nonblank)",--('Final Calculation Sheet'!$F$33&lt;&gt;""),--ISNUMBER(SEARCH($B$4,'Final Calculation Sheet'!$F$33)))))</f>
        <v/>
      </c>
      <c r="DH35">
        <f>IF($C$4="",1,IF($C$4="(blank)",--('Final Calculation Sheet'!$G$33=""),IF($C$4="(nonblank)",--('Final Calculation Sheet'!$G$33&lt;&gt;""),--ISNUMBER(SEARCH($C$4,'Final Calculation Sheet'!$G$33)))))</f>
        <v/>
      </c>
      <c r="DI35">
        <f>IF($D$4="",1,IF($D$4="(blank)",--('Final Calculation Sheet'!$B$33=""),IF($D$4="(nonblank)",--('Final Calculation Sheet'!$B$33&lt;&gt;""),--ISNUMBER(SEARCH($D$4,'Final Calculation Sheet'!$B$33)))))</f>
        <v/>
      </c>
      <c r="DJ35">
        <f>IF($E$4="",1,IF($E$4="(blank)",--('Final Calculation Sheet'!$D$33=""),IF($E$4="(nonblank)",--('Final Calculation Sheet'!$D$33&lt;&gt;""),--ISNUMBER(SEARCH($E$4,'Final Calculation Sheet'!$D$33)))))</f>
        <v/>
      </c>
      <c r="DK35">
        <f>IF($F$4="",1,IF($F$4="(blank)",--('Final Calculation Sheet'!$A$33=""),IF($F$4="(nonblank)",--('Final Calculation Sheet'!$A$33&lt;&gt;""),--ISNUMBER(SEARCH($F$4,'Final Calculation Sheet'!$A$33)))))</f>
        <v/>
      </c>
      <c r="DL35">
        <f>IF($G$4="",1,IF($G$4="(blank)",--('Final Calculation Sheet'!$E$33=""),IF($G$4="(nonblank)",--('Final Calculation Sheet'!$E$33&lt;&gt;""),--ISNUMBER(SEARCH($G$4,'Final Calculation Sheet'!$E$33)))))</f>
        <v/>
      </c>
      <c r="DM35">
        <f>IF($H$4="",1,IF($H$4="(blank)",--('Final Calculation Sheet'!$C$33=""),IF($H$4="(nonblank)",--('Final Calculation Sheet'!$C$33&lt;&gt;""),--ISNUMBER(SEARCH($H$4,'Final Calculation Sheet'!$C$33)))))</f>
        <v/>
      </c>
      <c r="DN35">
        <f>IF($I$4="",1,IF($I$4="(blank)",--('Final Calculation Sheet'!$H$33=""),IF($I$4="(nonblank)",--('Final Calculation Sheet'!$H$33&lt;&gt;""),--ISNUMBER(SEARCH($I$4,'Final Calculation Sheet'!$H$33)))))</f>
        <v/>
      </c>
      <c r="DO35">
        <f>IF($J$4="",1,IF($J$4="(blank)",--('Final Calculation Sheet'!$I$33=""),IF($J$4="(nonblank)",--('Final Calculation Sheet'!$I$33&lt;&gt;""),--ISNUMBER(SEARCH($J$4,'Final Calculation Sheet'!$I$33)))))</f>
        <v/>
      </c>
      <c r="DP35">
        <f>IF($K$4="",1,IF($K$4="(blank)",--('Final Calculation Sheet'!$J$33=""),IF($K$4="(nonblank)",--('Final Calculation Sheet'!$J$33&lt;&gt;""),--ISNUMBER(SEARCH($K$4,'Final Calculation Sheet'!$J$33)))))</f>
        <v/>
      </c>
      <c r="DQ35">
        <f>IF($L$4="",1,IF($L$4="(blank)",--('Final Calculation Sheet'!$K$33=""),IF($L$4="(nonblank)",--('Final Calculation Sheet'!$K$33&lt;&gt;""),--ISNUMBER(SEARCH($L$4,'Final Calculation Sheet'!$K$33)))))</f>
        <v/>
      </c>
      <c r="DR35">
        <f>IF($M$4="",1,IF($M$4="(blank)",--('Final Calculation Sheet'!$L$33=""),IF($M$4="(nonblank)",--('Final Calculation Sheet'!$L$33&lt;&gt;""),--ISNUMBER(SEARCH($M$4,'Final Calculation Sheet'!$L$33)))))</f>
        <v/>
      </c>
      <c r="DS35">
        <f>IF($N$4="",1,IF($N$4="(blank)",--('Final Calculation Sheet'!$M$33=""),IF($N$4="(nonblank)",--('Final Calculation Sheet'!$M$33&lt;&gt;""),--ISNUMBER(SEARCH($N$4,'Final Calculation Sheet'!$M$33)))))</f>
        <v/>
      </c>
      <c r="DT35">
        <f>IF($O$4="",1,IF($O$4="(blank)",--('Final Calculation Sheet'!$N$33=""),IF($O$4="(nonblank)",--('Final Calculation Sheet'!$N$33&lt;&gt;""),--ISNUMBER(SEARCH($O$4,'Final Calculation Sheet'!$N$33)))))</f>
        <v/>
      </c>
      <c r="DU35">
        <f>IF($P$4="",1,IF($P$4="(blank)",--('Final Calculation Sheet'!$O$33=""),IF($P$4="(nonblank)",--('Final Calculation Sheet'!$O$33&lt;&gt;""),--ISNUMBER(SEARCH($P$4,'Final Calculation Sheet'!$O$33)))))</f>
        <v/>
      </c>
      <c r="DV35">
        <f>IF($Q$4="",1,IF($Q$4="(blank)",--('Final Calculation Sheet'!$P$33=""),IF($Q$4="(nonblank)",--('Final Calculation Sheet'!$P$33&lt;&gt;""),--ISNUMBER(SEARCH($Q$4,'Final Calculation Sheet'!$P$33)))))</f>
        <v/>
      </c>
      <c r="DW35">
        <f>IF($R$4="",1,IF($R$4="(blank)",--('Final Calculation Sheet'!$Q$33=""),IF($R$4="(nonblank)",--('Final Calculation Sheet'!$Q$33&lt;&gt;""),--ISNUMBER(SEARCH($R$4,'Final Calculation Sheet'!$Q$33)))))</f>
        <v/>
      </c>
      <c r="DX35">
        <f>IF($S$4="",1,IF($S$4="(blank)",--('Final Calculation Sheet'!$R$33=""),IF($S$4="(nonblank)",--('Final Calculation Sheet'!$R$33&lt;&gt;""),--ISNUMBER(SEARCH($S$4,'Final Calculation Sheet'!$R$33)))))</f>
        <v/>
      </c>
      <c r="DY35">
        <f>IF($T$4="",1,IF($T$4="(blank)",--('Final Calculation Sheet'!$S$33=""),IF($T$4="(nonblank)",--('Final Calculation Sheet'!$S$33&lt;&gt;""),--ISNUMBER(SEARCH($T$4,'Final Calculation Sheet'!$S$33)))))</f>
        <v/>
      </c>
      <c r="DZ35">
        <f>IF($U$4="",1,IF($U$4="(blank)",--('Final Calculation Sheet'!$T$33=""),IF($U$4="(nonblank)",--('Final Calculation Sheet'!$T$33&lt;&gt;""),--ISNUMBER(SEARCH($U$4,'Final Calculation Sheet'!$T$33)))))</f>
        <v/>
      </c>
      <c r="EA35">
        <f>IF($V$4="",1,IF($V$4="(blank)",--('Final Calculation Sheet'!$U$33=""),IF($V$4="(nonblank)",--('Final Calculation Sheet'!$U$33&lt;&gt;""),--ISNUMBER(SEARCH($V$4,'Final Calculation Sheet'!$U$33)))))</f>
        <v/>
      </c>
      <c r="EB35">
        <f>IF($W$4="",1,IF($W$4="(blank)",--('Final Calculation Sheet'!$V$33=""),IF($W$4="(nonblank)",--('Final Calculation Sheet'!$V$33&lt;&gt;""),--ISNUMBER(SEARCH($W$4,'Final Calculation Sheet'!$V$33)))))</f>
        <v/>
      </c>
      <c r="EC35">
        <f>IF($X$4="",1,IF($X$4="(blank)",--('Final Calculation Sheet'!$W$33=""),IF($X$4="(nonblank)",--('Final Calculation Sheet'!$W$33&lt;&gt;""),--ISNUMBER(SEARCH($X$4,'Final Calculation Sheet'!$W$33)))))</f>
        <v/>
      </c>
      <c r="ED35">
        <f>IF($Y$4="",1,IF($Y$4="(blank)",--('Final Calculation Sheet'!$X$33=""),IF($Y$4="(nonblank)",--('Final Calculation Sheet'!$X$33&lt;&gt;""),--ISNUMBER(SEARCH($Y$4,'Final Calculation Sheet'!$X$33)))))</f>
        <v/>
      </c>
      <c r="EE35">
        <f>IF($Z$4="",1,IF($Z$4="(blank)",--('Final Calculation Sheet'!$Y$33=""),IF($Z$4="(nonblank)",--('Final Calculation Sheet'!$Y$33&lt;&gt;""),--ISNUMBER(SEARCH($Z$4,'Final Calculation Sheet'!$Y$33)))))</f>
        <v/>
      </c>
      <c r="EF35">
        <f>IF($AA$4="",1,IF($AA$4="(blank)",--('Final Calculation Sheet'!$Z$33=""),IF($AA$4="(nonblank)",--('Final Calculation Sheet'!$Z$33&lt;&gt;""),--ISNUMBER(SEARCH($AA$4,'Final Calculation Sheet'!$Z$33)))))</f>
        <v/>
      </c>
      <c r="EG35">
        <f>IF($AB$4="",1,IF($AB$4="(blank)",--('Final Calculation Sheet'!$AA$33=""),IF($AB$4="(nonblank)",--('Final Calculation Sheet'!$AA$33&lt;&gt;""),--ISNUMBER(SEARCH($AB$4,'Final Calculation Sheet'!$AA$33)))))</f>
        <v/>
      </c>
      <c r="EH35">
        <f>IF($AC$4="",1,IF($AC$4="(blank)",--('Final Calculation Sheet'!$AB$33=""),IF($AC$4="(nonblank)",--('Final Calculation Sheet'!$AB$33&lt;&gt;""),--ISNUMBER(SEARCH($AC$4,'Final Calculation Sheet'!$AB$33)))))</f>
        <v/>
      </c>
      <c r="EI35">
        <f>IF($AD$4="",1,IF($AD$4="(blank)",--('Final Calculation Sheet'!$AC$33=""),IF($AD$4="(nonblank)",--('Final Calculation Sheet'!$AC$33&lt;&gt;""),--ISNUMBER(SEARCH($AD$4,'Final Calculation Sheet'!$AC$33)))))</f>
        <v/>
      </c>
      <c r="EJ35">
        <f>IF($AE$4="",1,IF($AE$4="(blank)",--('Final Calculation Sheet'!$AD$33=""),IF($AE$4="(nonblank)",--('Final Calculation Sheet'!$AD$33&lt;&gt;""),--ISNUMBER(SEARCH($AE$4,'Final Calculation Sheet'!$AD$33)))))</f>
        <v/>
      </c>
      <c r="EK35">
        <f>IF($AF$4="",1,IF($AF$4="(blank)",--(IF('Final Calculation Sheet'!$AD$33&lt;=5,"SETTLED","OUTSTANDING")=""),IF($AF$4="(nonblank)",--(IF('Final Calculation Sheet'!$AD$33&lt;=5,"SETTLED","OUTSTANDING")&lt;&gt;""),--ISNUMBER(SEARCH($AF$4,IF('Final Calculation Sheet'!$AD$33&lt;=5,"SETTLED","OUTSTANDING"))))))</f>
        <v/>
      </c>
      <c r="EL35">
        <f>IF($AG$4="",1,IF($AG$4="(blank)",--('Final Calculation Sheet'!$AF$33=""),IF($AG$4="(nonblank)",--('Final Calculation Sheet'!$AF$33&lt;&gt;""),--ISNUMBER(SEARCH($AG$4,'Final Calculation Sheet'!$AF$33)))))</f>
        <v/>
      </c>
      <c r="EM35">
        <f>IF($AH$4="",1,IF($AH$4="(blank)",--('Final Calculation Sheet'!$AG$33=""),IF($AH$4="(nonblank)",--('Final Calculation Sheet'!$AG$33&lt;&gt;""),--ISNUMBER(SEARCH($AH$4,'Final Calculation Sheet'!$AG$33)))))</f>
        <v/>
      </c>
      <c r="EN35">
        <f>IF($AI$4="",1,IF($AI$4="(blank)",--('Final Calculation Sheet'!$AH$33=""),IF($AI$4="(nonblank)",--('Final Calculation Sheet'!$AH$33&lt;&gt;""),--ISNUMBER(SEARCH($AI$4,'Final Calculation Sheet'!$AH$33)))))</f>
        <v/>
      </c>
    </row>
    <row r="36" outlineLevel="1" hidden="1">
      <c r="A36" s="128">
        <f>IF($AL$36="","",30)</f>
        <v/>
      </c>
      <c r="B36" s="129">
        <f>IF($AL$36="","",IF(INDEX('Final Calculation Sheet'!$F$4:$F$40,$AL$36)="","",INDEX('Final Calculation Sheet'!$F$4:$F$40,$AL$36)))</f>
        <v/>
      </c>
      <c r="C36" s="129">
        <f>IF($AL$36="","",IF(INDEX('Final Calculation Sheet'!$G$4:$G$40,$AL$36)="","",INDEX('Final Calculation Sheet'!$G$4:$G$40,$AL$36)))</f>
        <v/>
      </c>
      <c r="D36" s="130">
        <f>IF($AL$36="","",IF(INDEX('Final Calculation Sheet'!$B$4:$B$40,$AL$36)="","",INDEX('Final Calculation Sheet'!$B$4:$B$40,$AL$36)))</f>
        <v/>
      </c>
      <c r="E36" s="130">
        <f>IF($AL$36="","",IF(INDEX('Final Calculation Sheet'!$D$4:$D$40,$AL$36)="","",INDEX('Final Calculation Sheet'!$D$4:$D$40,$AL$36)))</f>
        <v/>
      </c>
      <c r="F36" s="130">
        <f>IF($AL$36="","",IF(INDEX('Final Calculation Sheet'!$A$4:$A$40,$AL$36)="","",INDEX('Final Calculation Sheet'!$A$4:$A$40,$AL$36)))</f>
        <v/>
      </c>
      <c r="G36" s="130">
        <f>IF($AL$36="","",IF(INDEX('Final Calculation Sheet'!$E$4:$E$40,$AL$36)="","",INDEX('Final Calculation Sheet'!$E$4:$E$40,$AL$36)))</f>
        <v/>
      </c>
      <c r="H36" s="131">
        <f>IF($AL$36="","",IF(INDEX('Final Calculation Sheet'!$C$4:$C$40,$AL$36)="","",INDEX('Final Calculation Sheet'!$C$4:$C$40,$AL$36)))</f>
        <v/>
      </c>
      <c r="I36" s="131">
        <f>IF($AL$36="","",IF(INDEX('Final Calculation Sheet'!$H$4:$H$40,$AL$36)="","",INDEX('Final Calculation Sheet'!$H$4:$H$40,$AL$36)))</f>
        <v/>
      </c>
      <c r="J36" s="131">
        <f>IF($AL$36="","",IF(INDEX('Final Calculation Sheet'!$I$4:$I$40,$AL$36)="","",INDEX('Final Calculation Sheet'!$I$4:$I$40,$AL$36)))</f>
        <v/>
      </c>
      <c r="K36" s="131">
        <f>IF($AL$36="","",IF(INDEX('Final Calculation Sheet'!$J$4:$J$40,$AL$36)="","",INDEX('Final Calculation Sheet'!$J$4:$J$40,$AL$36)))</f>
        <v/>
      </c>
      <c r="L36" s="131">
        <f>IF($AL$36="","",IF(INDEX('Final Calculation Sheet'!$K$4:$K$40,$AL$36)="","",INDEX('Final Calculation Sheet'!$K$4:$K$40,$AL$36)))</f>
        <v/>
      </c>
      <c r="M36" s="131">
        <f>IF($AL$36="","",IF(INDEX('Final Calculation Sheet'!$L$4:$L$40,$AL$36)="","",INDEX('Final Calculation Sheet'!$L$4:$L$40,$AL$36)))</f>
        <v/>
      </c>
      <c r="N36" s="131">
        <f>IF($AL$36="","",IF(INDEX('Final Calculation Sheet'!$M$4:$M$40,$AL$36)="","",INDEX('Final Calculation Sheet'!$M$4:$M$40,$AL$36)))</f>
        <v/>
      </c>
      <c r="O36" s="132">
        <f>IF($AL$36="","",IF(INDEX('Final Calculation Sheet'!$N$4:$N$40,$AL$36)="","",INDEX('Final Calculation Sheet'!$N$4:$N$40,$AL$36)))</f>
        <v/>
      </c>
      <c r="P36" s="131">
        <f>IF($AL$36="","",IF(INDEX('Final Calculation Sheet'!$O$4:$O$40,$AL$36)="","",INDEX('Final Calculation Sheet'!$O$4:$O$40,$AL$36)))</f>
        <v/>
      </c>
      <c r="Q36" s="131">
        <f>IF($AL$36="","",IF(INDEX('Final Calculation Sheet'!$P$4:$P$40,$AL$36)="","",INDEX('Final Calculation Sheet'!$P$4:$P$40,$AL$36)))</f>
        <v/>
      </c>
      <c r="R36" s="133">
        <f>IF($AL$36="","",IF(INDEX('Final Calculation Sheet'!$Q$4:$Q$40,$AL$36)="","",INDEX('Final Calculation Sheet'!$Q$4:$Q$40,$AL$36)))</f>
        <v/>
      </c>
      <c r="S36" s="131">
        <f>IF($AL$36="","",IF(INDEX('Final Calculation Sheet'!$R$4:$R$40,$AL$36)="","",INDEX('Final Calculation Sheet'!$R$4:$R$40,$AL$36)))</f>
        <v/>
      </c>
      <c r="T36" s="131">
        <f>IF($AL$36="","",IF(INDEX('Final Calculation Sheet'!$S$4:$S$40,$AL$36)="","",INDEX('Final Calculation Sheet'!$S$4:$S$40,$AL$36)))</f>
        <v/>
      </c>
      <c r="U36" s="131">
        <f>IF($AL$36="","",IF(INDEX('Final Calculation Sheet'!$T$4:$T$40,$AL$36)="","",INDEX('Final Calculation Sheet'!$T$4:$T$40,$AL$36)))</f>
        <v/>
      </c>
      <c r="V36" s="134">
        <f>IF($AL$36="","",IF(INDEX('Final Calculation Sheet'!$U$4:$U$40,$AL$36)="","",INDEX('Final Calculation Sheet'!$U$4:$U$40,$AL$36)))</f>
        <v/>
      </c>
      <c r="W36" s="131">
        <f>IF($AL$36="","",IF(INDEX('Final Calculation Sheet'!$V$4:$V$40,$AL$36)="","",INDEX('Final Calculation Sheet'!$V$4:$V$40,$AL$36)))</f>
        <v/>
      </c>
      <c r="X36" s="131">
        <f>IF($AL$36="","",IF(INDEX('Final Calculation Sheet'!$W$4:$W$40,$AL$36)="","",INDEX('Final Calculation Sheet'!$W$4:$W$40,$AL$36)))</f>
        <v/>
      </c>
      <c r="Y36" s="131">
        <f>IF($AL$36="","",IF(INDEX('Final Calculation Sheet'!$X$4:$X$40,$AL$36)="","",INDEX('Final Calculation Sheet'!$X$4:$X$40,$AL$36)))</f>
        <v/>
      </c>
      <c r="Z36" s="131">
        <f>IF($AL$36="","",IF(INDEX('Final Calculation Sheet'!$Y$4:$Y$40,$AL$36)="","",INDEX('Final Calculation Sheet'!$Y$4:$Y$40,$AL$36)))</f>
        <v/>
      </c>
      <c r="AA36" s="131">
        <f>IF($AL$36="","",IF(INDEX('Final Calculation Sheet'!$Z$4:$Z$40,$AL$36)="","",INDEX('Final Calculation Sheet'!$Z$4:$Z$40,$AL$36)))</f>
        <v/>
      </c>
      <c r="AB36" s="131">
        <f>IF($AL$36="","",IF(INDEX('Final Calculation Sheet'!$AA$4:$AA$40,$AL$36)="","",INDEX('Final Calculation Sheet'!$AA$4:$AA$40,$AL$36)))</f>
        <v/>
      </c>
      <c r="AC36" s="131">
        <f>IF($AL$36="","",IF(INDEX('Final Calculation Sheet'!$AB$4:$AB$40,$AL$36)="","",INDEX('Final Calculation Sheet'!$AB$4:$AB$40,$AL$36)))</f>
        <v/>
      </c>
      <c r="AD36" s="131">
        <f>IF($AL$36="","",IF(INDEX('Final Calculation Sheet'!$AC$4:$AC$40,$AL$36)="","",INDEX('Final Calculation Sheet'!$AC$4:$AC$40,$AL$36)))</f>
        <v/>
      </c>
      <c r="AE36" s="131">
        <f>IF($AL$36="","",IF(INDEX('Final Calculation Sheet'!$AD$4:$AD$40,$AL$36)="","",INDEX('Final Calculation Sheet'!$AD$4:$AD$40,$AL$36)))</f>
        <v/>
      </c>
      <c r="AF36" s="136">
        <f>IF($AL$36="","",IF(INDEX('Final Calculation Sheet'!$AD$4:$AD$40,$AL$36)&lt;=5,"SETTLED","OUTSTANDING"))</f>
        <v/>
      </c>
      <c r="AG36" s="131">
        <f>IF($AL$36="","",IF(INDEX('Final Calculation Sheet'!$AF$4:$AF$40,$AL$36)="","",INDEX('Final Calculation Sheet'!$AF$4:$AF$40,$AL$36)))</f>
        <v/>
      </c>
      <c r="AH36" s="135">
        <f>IF($AL$36="","",IF(INDEX('Final Calculation Sheet'!$AG$4:$AG$40,$AL$36)="","",INDEX('Final Calculation Sheet'!$AG$4:$AG$40,$AL$36)))</f>
        <v/>
      </c>
      <c r="AI36" s="131">
        <f>IF($AL$36="","",IF(INDEX('Final Calculation Sheet'!$AH$4:$AH$40,$AL$36)="","",INDEX('Final Calculation Sheet'!$AH$4:$AH$40,$AL$36)))</f>
        <v/>
      </c>
      <c r="AJ36">
        <f>IF(AND(IF($B$4="",TRUE(),IF($B$4="(blank)",'Final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Sheet'!$AD$34&lt;=5,"SETTLED","OUTSTANDING"))))))),1,0)</f>
      </c>
      <c r="AK36">
        <f>IF(AJ36=1,COUNTIF(AJ$6:AJ36,1),"")</f>
        <v/>
      </c>
      <c r="AL36">
        <f>IF(COUNTIF($B$4:$AI$4,"&lt;&gt;")=0,"",IFERROR(MATCH(30,$AK$6:$AK$42,0),""))</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CU35+IF(AND(Lists!$FI$36&lt;&gt;"",ISNUMBER(SEARCH($AG$4,Lists!$FI$36))),1,0)</f>
        <v/>
      </c>
      <c r="CV36">
        <f>IF(ROW()-3&gt;MAX($CU$4:$CU$42),"",INDEX(Lists!$FI$4:$FI$42,MATCH(ROW()-3,$CU$4:$CU$42,0)))</f>
        <v/>
      </c>
      <c r="CW36">
        <f>CW35+IF(AND(Lists!$FN$36&lt;&gt;"",ISNUMBER(SEARCH($AH$4,Lists!$FN$36))),1,0)</f>
        <v/>
      </c>
      <c r="CX36">
        <f>IF(ROW()-3&gt;MAX($CW$4:$CW$42),"",INDEX(Lists!$FN$4:$FN$42,MATCH(ROW()-3,$CW$4:$CW$42,0)))</f>
        <v/>
      </c>
      <c r="CY36">
        <f>CY35+IF(AND(Lists!$FS$36&lt;&gt;"",ISNUMBER(SEARCH($AI$4,Lists!$FS$36))),1,0)</f>
        <v/>
      </c>
      <c r="CZ36">
        <f>IF(ROW()-3&gt;MAX($CY$4:$CY$42),"",INDEX(Lists!$FS$4:$FS$42,MATCH(ROW()-3,$CY$4:$CY$42,0)))</f>
        <v/>
      </c>
      <c r="DA36">
        <f>DA35+IF(AND(Lists!$FX$36&lt;&gt;"",ISNUMBER(SEARCH($AF$4,Lists!$FX$36))),1,0)</f>
        <v/>
      </c>
      <c r="DB36">
        <f>IF(ROW()-3&gt;MAX($DA$4:$DA$42),"",INDEX(Lists!$FX$4:$FX$42,MATCH(ROW()-3,$DA$4:$DA$42,0)))</f>
        <v/>
      </c>
      <c r="DG36">
        <f>IF($B$4="",1,IF($B$4="(blank)",--('Final Calculation Sheet'!$F$34=""),IF($B$4="(nonblank)",--('Final Calculation Sheet'!$F$34&lt;&gt;""),--ISNUMBER(SEARCH($B$4,'Final Calculation Sheet'!$F$34)))))</f>
        <v/>
      </c>
      <c r="DH36">
        <f>IF($C$4="",1,IF($C$4="(blank)",--('Final Calculation Sheet'!$G$34=""),IF($C$4="(nonblank)",--('Final Calculation Sheet'!$G$34&lt;&gt;""),--ISNUMBER(SEARCH($C$4,'Final Calculation Sheet'!$G$34)))))</f>
        <v/>
      </c>
      <c r="DI36">
        <f>IF($D$4="",1,IF($D$4="(blank)",--('Final Calculation Sheet'!$B$34=""),IF($D$4="(nonblank)",--('Final Calculation Sheet'!$B$34&lt;&gt;""),--ISNUMBER(SEARCH($D$4,'Final Calculation Sheet'!$B$34)))))</f>
        <v/>
      </c>
      <c r="DJ36">
        <f>IF($E$4="",1,IF($E$4="(blank)",--('Final Calculation Sheet'!$D$34=""),IF($E$4="(nonblank)",--('Final Calculation Sheet'!$D$34&lt;&gt;""),--ISNUMBER(SEARCH($E$4,'Final Calculation Sheet'!$D$34)))))</f>
        <v/>
      </c>
      <c r="DK36">
        <f>IF($F$4="",1,IF($F$4="(blank)",--('Final Calculation Sheet'!$A$34=""),IF($F$4="(nonblank)",--('Final Calculation Sheet'!$A$34&lt;&gt;""),--ISNUMBER(SEARCH($F$4,'Final Calculation Sheet'!$A$34)))))</f>
        <v/>
      </c>
      <c r="DL36">
        <f>IF($G$4="",1,IF($G$4="(blank)",--('Final Calculation Sheet'!$E$34=""),IF($G$4="(nonblank)",--('Final Calculation Sheet'!$E$34&lt;&gt;""),--ISNUMBER(SEARCH($G$4,'Final Calculation Sheet'!$E$34)))))</f>
        <v/>
      </c>
      <c r="DM36">
        <f>IF($H$4="",1,IF($H$4="(blank)",--('Final Calculation Sheet'!$C$34=""),IF($H$4="(nonblank)",--('Final Calculation Sheet'!$C$34&lt;&gt;""),--ISNUMBER(SEARCH($H$4,'Final Calculation Sheet'!$C$34)))))</f>
        <v/>
      </c>
      <c r="DN36">
        <f>IF($I$4="",1,IF($I$4="(blank)",--('Final Calculation Sheet'!$H$34=""),IF($I$4="(nonblank)",--('Final Calculation Sheet'!$H$34&lt;&gt;""),--ISNUMBER(SEARCH($I$4,'Final Calculation Sheet'!$H$34)))))</f>
        <v/>
      </c>
      <c r="DO36">
        <f>IF($J$4="",1,IF($J$4="(blank)",--('Final Calculation Sheet'!$I$34=""),IF($J$4="(nonblank)",--('Final Calculation Sheet'!$I$34&lt;&gt;""),--ISNUMBER(SEARCH($J$4,'Final Calculation Sheet'!$I$34)))))</f>
        <v/>
      </c>
      <c r="DP36">
        <f>IF($K$4="",1,IF($K$4="(blank)",--('Final Calculation Sheet'!$J$34=""),IF($K$4="(nonblank)",--('Final Calculation Sheet'!$J$34&lt;&gt;""),--ISNUMBER(SEARCH($K$4,'Final Calculation Sheet'!$J$34)))))</f>
        <v/>
      </c>
      <c r="DQ36">
        <f>IF($L$4="",1,IF($L$4="(blank)",--('Final Calculation Sheet'!$K$34=""),IF($L$4="(nonblank)",--('Final Calculation Sheet'!$K$34&lt;&gt;""),--ISNUMBER(SEARCH($L$4,'Final Calculation Sheet'!$K$34)))))</f>
        <v/>
      </c>
      <c r="DR36">
        <f>IF($M$4="",1,IF($M$4="(blank)",--('Final Calculation Sheet'!$L$34=""),IF($M$4="(nonblank)",--('Final Calculation Sheet'!$L$34&lt;&gt;""),--ISNUMBER(SEARCH($M$4,'Final Calculation Sheet'!$L$34)))))</f>
        <v/>
      </c>
      <c r="DS36">
        <f>IF($N$4="",1,IF($N$4="(blank)",--('Final Calculation Sheet'!$M$34=""),IF($N$4="(nonblank)",--('Final Calculation Sheet'!$M$34&lt;&gt;""),--ISNUMBER(SEARCH($N$4,'Final Calculation Sheet'!$M$34)))))</f>
        <v/>
      </c>
      <c r="DT36">
        <f>IF($O$4="",1,IF($O$4="(blank)",--('Final Calculation Sheet'!$N$34=""),IF($O$4="(nonblank)",--('Final Calculation Sheet'!$N$34&lt;&gt;""),--ISNUMBER(SEARCH($O$4,'Final Calculation Sheet'!$N$34)))))</f>
        <v/>
      </c>
      <c r="DU36">
        <f>IF($P$4="",1,IF($P$4="(blank)",--('Final Calculation Sheet'!$O$34=""),IF($P$4="(nonblank)",--('Final Calculation Sheet'!$O$34&lt;&gt;""),--ISNUMBER(SEARCH($P$4,'Final Calculation Sheet'!$O$34)))))</f>
        <v/>
      </c>
      <c r="DV36">
        <f>IF($Q$4="",1,IF($Q$4="(blank)",--('Final Calculation Sheet'!$P$34=""),IF($Q$4="(nonblank)",--('Final Calculation Sheet'!$P$34&lt;&gt;""),--ISNUMBER(SEARCH($Q$4,'Final Calculation Sheet'!$P$34)))))</f>
        <v/>
      </c>
      <c r="DW36">
        <f>IF($R$4="",1,IF($R$4="(blank)",--('Final Calculation Sheet'!$Q$34=""),IF($R$4="(nonblank)",--('Final Calculation Sheet'!$Q$34&lt;&gt;""),--ISNUMBER(SEARCH($R$4,'Final Calculation Sheet'!$Q$34)))))</f>
        <v/>
      </c>
      <c r="DX36">
        <f>IF($S$4="",1,IF($S$4="(blank)",--('Final Calculation Sheet'!$R$34=""),IF($S$4="(nonblank)",--('Final Calculation Sheet'!$R$34&lt;&gt;""),--ISNUMBER(SEARCH($S$4,'Final Calculation Sheet'!$R$34)))))</f>
        <v/>
      </c>
      <c r="DY36">
        <f>IF($T$4="",1,IF($T$4="(blank)",--('Final Calculation Sheet'!$S$34=""),IF($T$4="(nonblank)",--('Final Calculation Sheet'!$S$34&lt;&gt;""),--ISNUMBER(SEARCH($T$4,'Final Calculation Sheet'!$S$34)))))</f>
        <v/>
      </c>
      <c r="DZ36">
        <f>IF($U$4="",1,IF($U$4="(blank)",--('Final Calculation Sheet'!$T$34=""),IF($U$4="(nonblank)",--('Final Calculation Sheet'!$T$34&lt;&gt;""),--ISNUMBER(SEARCH($U$4,'Final Calculation Sheet'!$T$34)))))</f>
        <v/>
      </c>
      <c r="EA36">
        <f>IF($V$4="",1,IF($V$4="(blank)",--('Final Calculation Sheet'!$U$34=""),IF($V$4="(nonblank)",--('Final Calculation Sheet'!$U$34&lt;&gt;""),--ISNUMBER(SEARCH($V$4,'Final Calculation Sheet'!$U$34)))))</f>
        <v/>
      </c>
      <c r="EB36">
        <f>IF($W$4="",1,IF($W$4="(blank)",--('Final Calculation Sheet'!$V$34=""),IF($W$4="(nonblank)",--('Final Calculation Sheet'!$V$34&lt;&gt;""),--ISNUMBER(SEARCH($W$4,'Final Calculation Sheet'!$V$34)))))</f>
        <v/>
      </c>
      <c r="EC36">
        <f>IF($X$4="",1,IF($X$4="(blank)",--('Final Calculation Sheet'!$W$34=""),IF($X$4="(nonblank)",--('Final Calculation Sheet'!$W$34&lt;&gt;""),--ISNUMBER(SEARCH($X$4,'Final Calculation Sheet'!$W$34)))))</f>
        <v/>
      </c>
      <c r="ED36">
        <f>IF($Y$4="",1,IF($Y$4="(blank)",--('Final Calculation Sheet'!$X$34=""),IF($Y$4="(nonblank)",--('Final Calculation Sheet'!$X$34&lt;&gt;""),--ISNUMBER(SEARCH($Y$4,'Final Calculation Sheet'!$X$34)))))</f>
        <v/>
      </c>
      <c r="EE36">
        <f>IF($Z$4="",1,IF($Z$4="(blank)",--('Final Calculation Sheet'!$Y$34=""),IF($Z$4="(nonblank)",--('Final Calculation Sheet'!$Y$34&lt;&gt;""),--ISNUMBER(SEARCH($Z$4,'Final Calculation Sheet'!$Y$34)))))</f>
        <v/>
      </c>
      <c r="EF36">
        <f>IF($AA$4="",1,IF($AA$4="(blank)",--('Final Calculation Sheet'!$Z$34=""),IF($AA$4="(nonblank)",--('Final Calculation Sheet'!$Z$34&lt;&gt;""),--ISNUMBER(SEARCH($AA$4,'Final Calculation Sheet'!$Z$34)))))</f>
        <v/>
      </c>
      <c r="EG36">
        <f>IF($AB$4="",1,IF($AB$4="(blank)",--('Final Calculation Sheet'!$AA$34=""),IF($AB$4="(nonblank)",--('Final Calculation Sheet'!$AA$34&lt;&gt;""),--ISNUMBER(SEARCH($AB$4,'Final Calculation Sheet'!$AA$34)))))</f>
        <v/>
      </c>
      <c r="EH36">
        <f>IF($AC$4="",1,IF($AC$4="(blank)",--('Final Calculation Sheet'!$AB$34=""),IF($AC$4="(nonblank)",--('Final Calculation Sheet'!$AB$34&lt;&gt;""),--ISNUMBER(SEARCH($AC$4,'Final Calculation Sheet'!$AB$34)))))</f>
        <v/>
      </c>
      <c r="EI36">
        <f>IF($AD$4="",1,IF($AD$4="(blank)",--('Final Calculation Sheet'!$AC$34=""),IF($AD$4="(nonblank)",--('Final Calculation Sheet'!$AC$34&lt;&gt;""),--ISNUMBER(SEARCH($AD$4,'Final Calculation Sheet'!$AC$34)))))</f>
        <v/>
      </c>
      <c r="EJ36">
        <f>IF($AE$4="",1,IF($AE$4="(blank)",--('Final Calculation Sheet'!$AD$34=""),IF($AE$4="(nonblank)",--('Final Calculation Sheet'!$AD$34&lt;&gt;""),--ISNUMBER(SEARCH($AE$4,'Final Calculation Sheet'!$AD$34)))))</f>
        <v/>
      </c>
      <c r="EK36">
        <f>IF($AF$4="",1,IF($AF$4="(blank)",--(IF('Final Calculation Sheet'!$AD$34&lt;=5,"SETTLED","OUTSTANDING")=""),IF($AF$4="(nonblank)",--(IF('Final Calculation Sheet'!$AD$34&lt;=5,"SETTLED","OUTSTANDING")&lt;&gt;""),--ISNUMBER(SEARCH($AF$4,IF('Final Calculation Sheet'!$AD$34&lt;=5,"SETTLED","OUTSTANDING"))))))</f>
        <v/>
      </c>
      <c r="EL36">
        <f>IF($AG$4="",1,IF($AG$4="(blank)",--('Final Calculation Sheet'!$AF$34=""),IF($AG$4="(nonblank)",--('Final Calculation Sheet'!$AF$34&lt;&gt;""),--ISNUMBER(SEARCH($AG$4,'Final Calculation Sheet'!$AF$34)))))</f>
        <v/>
      </c>
      <c r="EM36">
        <f>IF($AH$4="",1,IF($AH$4="(blank)",--('Final Calculation Sheet'!$AG$34=""),IF($AH$4="(nonblank)",--('Final Calculation Sheet'!$AG$34&lt;&gt;""),--ISNUMBER(SEARCH($AH$4,'Final Calculation Sheet'!$AG$34)))))</f>
        <v/>
      </c>
      <c r="EN36">
        <f>IF($AI$4="",1,IF($AI$4="(blank)",--('Final Calculation Sheet'!$AH$34=""),IF($AI$4="(nonblank)",--('Final Calculation Sheet'!$AH$34&lt;&gt;""),--ISNUMBER(SEARCH($AI$4,'Final Calculation Sheet'!$AH$34)))))</f>
        <v/>
      </c>
    </row>
    <row r="37" outlineLevel="1" hidden="1">
      <c r="A37" s="118">
        <f>IF($AL$37="","",31)</f>
        <v/>
      </c>
      <c r="B37" s="119">
        <f>IF($AL$37="","",IF(INDEX('Final Calculation Sheet'!$F$4:$F$40,$AL$37)="","",INDEX('Final Calculation Sheet'!$F$4:$F$40,$AL$37)))</f>
        <v/>
      </c>
      <c r="C37" s="119">
        <f>IF($AL$37="","",IF(INDEX('Final Calculation Sheet'!$G$4:$G$40,$AL$37)="","",INDEX('Final Calculation Sheet'!$G$4:$G$40,$AL$37)))</f>
        <v/>
      </c>
      <c r="D37" s="121">
        <f>IF($AL$37="","",IF(INDEX('Final Calculation Sheet'!$B$4:$B$40,$AL$37)="","",INDEX('Final Calculation Sheet'!$B$4:$B$40,$AL$37)))</f>
        <v/>
      </c>
      <c r="E37" s="121">
        <f>IF($AL$37="","",IF(INDEX('Final Calculation Sheet'!$D$4:$D$40,$AL$37)="","",INDEX('Final Calculation Sheet'!$D$4:$D$40,$AL$37)))</f>
        <v/>
      </c>
      <c r="F37" s="121">
        <f>IF($AL$37="","",IF(INDEX('Final Calculation Sheet'!$A$4:$A$40,$AL$37)="","",INDEX('Final Calculation Sheet'!$A$4:$A$40,$AL$37)))</f>
        <v/>
      </c>
      <c r="G37" s="121">
        <f>IF($AL$37="","",IF(INDEX('Final Calculation Sheet'!$E$4:$E$40,$AL$37)="","",INDEX('Final Calculation Sheet'!$E$4:$E$40,$AL$37)))</f>
        <v/>
      </c>
      <c r="H37" s="122">
        <f>IF($AL$37="","",IF(INDEX('Final Calculation Sheet'!$C$4:$C$40,$AL$37)="","",INDEX('Final Calculation Sheet'!$C$4:$C$40,$AL$37)))</f>
        <v/>
      </c>
      <c r="I37" s="122">
        <f>IF($AL$37="","",IF(INDEX('Final Calculation Sheet'!$H$4:$H$40,$AL$37)="","",INDEX('Final Calculation Sheet'!$H$4:$H$40,$AL$37)))</f>
        <v/>
      </c>
      <c r="J37" s="122">
        <f>IF($AL$37="","",IF(INDEX('Final Calculation Sheet'!$I$4:$I$40,$AL$37)="","",INDEX('Final Calculation Sheet'!$I$4:$I$40,$AL$37)))</f>
        <v/>
      </c>
      <c r="K37" s="122">
        <f>IF($AL$37="","",IF(INDEX('Final Calculation Sheet'!$J$4:$J$40,$AL$37)="","",INDEX('Final Calculation Sheet'!$J$4:$J$40,$AL$37)))</f>
        <v/>
      </c>
      <c r="L37" s="122">
        <f>IF($AL$37="","",IF(INDEX('Final Calculation Sheet'!$K$4:$K$40,$AL$37)="","",INDEX('Final Calculation Sheet'!$K$4:$K$40,$AL$37)))</f>
        <v/>
      </c>
      <c r="M37" s="122">
        <f>IF($AL$37="","",IF(INDEX('Final Calculation Sheet'!$L$4:$L$40,$AL$37)="","",INDEX('Final Calculation Sheet'!$L$4:$L$40,$AL$37)))</f>
        <v/>
      </c>
      <c r="N37" s="122">
        <f>IF($AL$37="","",IF(INDEX('Final Calculation Sheet'!$M$4:$M$40,$AL$37)="","",INDEX('Final Calculation Sheet'!$M$4:$M$40,$AL$37)))</f>
        <v/>
      </c>
      <c r="O37" s="123">
        <f>IF($AL$37="","",IF(INDEX('Final Calculation Sheet'!$N$4:$N$40,$AL$37)="","",INDEX('Final Calculation Sheet'!$N$4:$N$40,$AL$37)))</f>
        <v/>
      </c>
      <c r="P37" s="122">
        <f>IF($AL$37="","",IF(INDEX('Final Calculation Sheet'!$O$4:$O$40,$AL$37)="","",INDEX('Final Calculation Sheet'!$O$4:$O$40,$AL$37)))</f>
        <v/>
      </c>
      <c r="Q37" s="122">
        <f>IF($AL$37="","",IF(INDEX('Final Calculation Sheet'!$P$4:$P$40,$AL$37)="","",INDEX('Final Calculation Sheet'!$P$4:$P$40,$AL$37)))</f>
        <v/>
      </c>
      <c r="R37" s="124">
        <f>IF($AL$37="","",IF(INDEX('Final Calculation Sheet'!$Q$4:$Q$40,$AL$37)="","",INDEX('Final Calculation Sheet'!$Q$4:$Q$40,$AL$37)))</f>
        <v/>
      </c>
      <c r="S37" s="122">
        <f>IF($AL$37="","",IF(INDEX('Final Calculation Sheet'!$R$4:$R$40,$AL$37)="","",INDEX('Final Calculation Sheet'!$R$4:$R$40,$AL$37)))</f>
        <v/>
      </c>
      <c r="T37" s="122">
        <f>IF($AL$37="","",IF(INDEX('Final Calculation Sheet'!$S$4:$S$40,$AL$37)="","",INDEX('Final Calculation Sheet'!$S$4:$S$40,$AL$37)))</f>
        <v/>
      </c>
      <c r="U37" s="122">
        <f>IF($AL$37="","",IF(INDEX('Final Calculation Sheet'!$T$4:$T$40,$AL$37)="","",INDEX('Final Calculation Sheet'!$T$4:$T$40,$AL$37)))</f>
        <v/>
      </c>
      <c r="V37" s="125">
        <f>IF($AL$37="","",IF(INDEX('Final Calculation Sheet'!$U$4:$U$40,$AL$37)="","",INDEX('Final Calculation Sheet'!$U$4:$U$40,$AL$37)))</f>
        <v/>
      </c>
      <c r="W37" s="122">
        <f>IF($AL$37="","",IF(INDEX('Final Calculation Sheet'!$V$4:$V$40,$AL$37)="","",INDEX('Final Calculation Sheet'!$V$4:$V$40,$AL$37)))</f>
        <v/>
      </c>
      <c r="X37" s="122">
        <f>IF($AL$37="","",IF(INDEX('Final Calculation Sheet'!$W$4:$W$40,$AL$37)="","",INDEX('Final Calculation Sheet'!$W$4:$W$40,$AL$37)))</f>
        <v/>
      </c>
      <c r="Y37" s="122">
        <f>IF($AL$37="","",IF(INDEX('Final Calculation Sheet'!$X$4:$X$40,$AL$37)="","",INDEX('Final Calculation Sheet'!$X$4:$X$40,$AL$37)))</f>
        <v/>
      </c>
      <c r="Z37" s="122">
        <f>IF($AL$37="","",IF(INDEX('Final Calculation Sheet'!$Y$4:$Y$40,$AL$37)="","",INDEX('Final Calculation Sheet'!$Y$4:$Y$40,$AL$37)))</f>
        <v/>
      </c>
      <c r="AA37" s="122">
        <f>IF($AL$37="","",IF(INDEX('Final Calculation Sheet'!$Z$4:$Z$40,$AL$37)="","",INDEX('Final Calculation Sheet'!$Z$4:$Z$40,$AL$37)))</f>
        <v/>
      </c>
      <c r="AB37" s="122">
        <f>IF($AL$37="","",IF(INDEX('Final Calculation Sheet'!$AA$4:$AA$40,$AL$37)="","",INDEX('Final Calculation Sheet'!$AA$4:$AA$40,$AL$37)))</f>
        <v/>
      </c>
      <c r="AC37" s="122">
        <f>IF($AL$37="","",IF(INDEX('Final Calculation Sheet'!$AB$4:$AB$40,$AL$37)="","",INDEX('Final Calculation Sheet'!$AB$4:$AB$40,$AL$37)))</f>
        <v/>
      </c>
      <c r="AD37" s="122">
        <f>IF($AL$37="","",IF(INDEX('Final Calculation Sheet'!$AC$4:$AC$40,$AL$37)="","",INDEX('Final Calculation Sheet'!$AC$4:$AC$40,$AL$37)))</f>
        <v/>
      </c>
      <c r="AE37" s="122">
        <f>IF($AL$37="","",IF(INDEX('Final Calculation Sheet'!$AD$4:$AD$40,$AL$37)="","",INDEX('Final Calculation Sheet'!$AD$4:$AD$40,$AL$37)))</f>
        <v/>
      </c>
      <c r="AF37" s="127">
        <f>IF($AL$37="","",IF(INDEX('Final Calculation Sheet'!$AD$4:$AD$40,$AL$37)&lt;=5,"SETTLED","OUTSTANDING"))</f>
        <v/>
      </c>
      <c r="AG37" s="122">
        <f>IF($AL$37="","",IF(INDEX('Final Calculation Sheet'!$AF$4:$AF$40,$AL$37)="","",INDEX('Final Calculation Sheet'!$AF$4:$AF$40,$AL$37)))</f>
        <v/>
      </c>
      <c r="AH37" s="126">
        <f>IF($AL$37="","",IF(INDEX('Final Calculation Sheet'!$AG$4:$AG$40,$AL$37)="","",INDEX('Final Calculation Sheet'!$AG$4:$AG$40,$AL$37)))</f>
        <v/>
      </c>
      <c r="AI37" s="122">
        <f>IF($AL$37="","",IF(INDEX('Final Calculation Sheet'!$AH$4:$AH$40,$AL$37)="","",INDEX('Final Calculation Sheet'!$AH$4:$AH$40,$AL$37)))</f>
        <v/>
      </c>
      <c r="AJ37">
        <f>IF(AND(IF($B$4="",TRUE(),IF($B$4="(blank)",'Final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Sheet'!$AD$35&lt;=5,"SETTLED","OUTSTANDING"))))))),1,0)</f>
      </c>
      <c r="AK37">
        <f>IF(AJ37=1,COUNTIF(AJ$6:AJ37,1),"")</f>
        <v/>
      </c>
      <c r="AL37">
        <f>IF(COUNTIF($B$4:$AI$4,"&lt;&gt;")=0,"",IFERROR(MATCH(31,$AK$6:$AK$42,0),""))</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CU36+IF(AND(Lists!$FI$37&lt;&gt;"",ISNUMBER(SEARCH($AG$4,Lists!$FI$37))),1,0)</f>
        <v/>
      </c>
      <c r="CV37">
        <f>IF(ROW()-3&gt;MAX($CU$4:$CU$42),"",INDEX(Lists!$FI$4:$FI$42,MATCH(ROW()-3,$CU$4:$CU$42,0)))</f>
        <v/>
      </c>
      <c r="CW37">
        <f>CW36+IF(AND(Lists!$FN$37&lt;&gt;"",ISNUMBER(SEARCH($AH$4,Lists!$FN$37))),1,0)</f>
        <v/>
      </c>
      <c r="CX37">
        <f>IF(ROW()-3&gt;MAX($CW$4:$CW$42),"",INDEX(Lists!$FN$4:$FN$42,MATCH(ROW()-3,$CW$4:$CW$42,0)))</f>
        <v/>
      </c>
      <c r="CY37">
        <f>CY36+IF(AND(Lists!$FS$37&lt;&gt;"",ISNUMBER(SEARCH($AI$4,Lists!$FS$37))),1,0)</f>
        <v/>
      </c>
      <c r="CZ37">
        <f>IF(ROW()-3&gt;MAX($CY$4:$CY$42),"",INDEX(Lists!$FS$4:$FS$42,MATCH(ROW()-3,$CY$4:$CY$42,0)))</f>
        <v/>
      </c>
      <c r="DA37">
        <f>DA36+IF(AND(Lists!$FX$37&lt;&gt;"",ISNUMBER(SEARCH($AF$4,Lists!$FX$37))),1,0)</f>
        <v/>
      </c>
      <c r="DB37">
        <f>IF(ROW()-3&gt;MAX($DA$4:$DA$42),"",INDEX(Lists!$FX$4:$FX$42,MATCH(ROW()-3,$DA$4:$DA$42,0)))</f>
        <v/>
      </c>
      <c r="DG37">
        <f>IF($B$4="",1,IF($B$4="(blank)",--('Final Calculation Sheet'!$F$35=""),IF($B$4="(nonblank)",--('Final Calculation Sheet'!$F$35&lt;&gt;""),--ISNUMBER(SEARCH($B$4,'Final Calculation Sheet'!$F$35)))))</f>
        <v/>
      </c>
      <c r="DH37">
        <f>IF($C$4="",1,IF($C$4="(blank)",--('Final Calculation Sheet'!$G$35=""),IF($C$4="(nonblank)",--('Final Calculation Sheet'!$G$35&lt;&gt;""),--ISNUMBER(SEARCH($C$4,'Final Calculation Sheet'!$G$35)))))</f>
        <v/>
      </c>
      <c r="DI37">
        <f>IF($D$4="",1,IF($D$4="(blank)",--('Final Calculation Sheet'!$B$35=""),IF($D$4="(nonblank)",--('Final Calculation Sheet'!$B$35&lt;&gt;""),--ISNUMBER(SEARCH($D$4,'Final Calculation Sheet'!$B$35)))))</f>
        <v/>
      </c>
      <c r="DJ37">
        <f>IF($E$4="",1,IF($E$4="(blank)",--('Final Calculation Sheet'!$D$35=""),IF($E$4="(nonblank)",--('Final Calculation Sheet'!$D$35&lt;&gt;""),--ISNUMBER(SEARCH($E$4,'Final Calculation Sheet'!$D$35)))))</f>
        <v/>
      </c>
      <c r="DK37">
        <f>IF($F$4="",1,IF($F$4="(blank)",--('Final Calculation Sheet'!$A$35=""),IF($F$4="(nonblank)",--('Final Calculation Sheet'!$A$35&lt;&gt;""),--ISNUMBER(SEARCH($F$4,'Final Calculation Sheet'!$A$35)))))</f>
        <v/>
      </c>
      <c r="DL37">
        <f>IF($G$4="",1,IF($G$4="(blank)",--('Final Calculation Sheet'!$E$35=""),IF($G$4="(nonblank)",--('Final Calculation Sheet'!$E$35&lt;&gt;""),--ISNUMBER(SEARCH($G$4,'Final Calculation Sheet'!$E$35)))))</f>
        <v/>
      </c>
      <c r="DM37">
        <f>IF($H$4="",1,IF($H$4="(blank)",--('Final Calculation Sheet'!$C$35=""),IF($H$4="(nonblank)",--('Final Calculation Sheet'!$C$35&lt;&gt;""),--ISNUMBER(SEARCH($H$4,'Final Calculation Sheet'!$C$35)))))</f>
        <v/>
      </c>
      <c r="DN37">
        <f>IF($I$4="",1,IF($I$4="(blank)",--('Final Calculation Sheet'!$H$35=""),IF($I$4="(nonblank)",--('Final Calculation Sheet'!$H$35&lt;&gt;""),--ISNUMBER(SEARCH($I$4,'Final Calculation Sheet'!$H$35)))))</f>
        <v/>
      </c>
      <c r="DO37">
        <f>IF($J$4="",1,IF($J$4="(blank)",--('Final Calculation Sheet'!$I$35=""),IF($J$4="(nonblank)",--('Final Calculation Sheet'!$I$35&lt;&gt;""),--ISNUMBER(SEARCH($J$4,'Final Calculation Sheet'!$I$35)))))</f>
        <v/>
      </c>
      <c r="DP37">
        <f>IF($K$4="",1,IF($K$4="(blank)",--('Final Calculation Sheet'!$J$35=""),IF($K$4="(nonblank)",--('Final Calculation Sheet'!$J$35&lt;&gt;""),--ISNUMBER(SEARCH($K$4,'Final Calculation Sheet'!$J$35)))))</f>
        <v/>
      </c>
      <c r="DQ37">
        <f>IF($L$4="",1,IF($L$4="(blank)",--('Final Calculation Sheet'!$K$35=""),IF($L$4="(nonblank)",--('Final Calculation Sheet'!$K$35&lt;&gt;""),--ISNUMBER(SEARCH($L$4,'Final Calculation Sheet'!$K$35)))))</f>
        <v/>
      </c>
      <c r="DR37">
        <f>IF($M$4="",1,IF($M$4="(blank)",--('Final Calculation Sheet'!$L$35=""),IF($M$4="(nonblank)",--('Final Calculation Sheet'!$L$35&lt;&gt;""),--ISNUMBER(SEARCH($M$4,'Final Calculation Sheet'!$L$35)))))</f>
        <v/>
      </c>
      <c r="DS37">
        <f>IF($N$4="",1,IF($N$4="(blank)",--('Final Calculation Sheet'!$M$35=""),IF($N$4="(nonblank)",--('Final Calculation Sheet'!$M$35&lt;&gt;""),--ISNUMBER(SEARCH($N$4,'Final Calculation Sheet'!$M$35)))))</f>
        <v/>
      </c>
      <c r="DT37">
        <f>IF($O$4="",1,IF($O$4="(blank)",--('Final Calculation Sheet'!$N$35=""),IF($O$4="(nonblank)",--('Final Calculation Sheet'!$N$35&lt;&gt;""),--ISNUMBER(SEARCH($O$4,'Final Calculation Sheet'!$N$35)))))</f>
        <v/>
      </c>
      <c r="DU37">
        <f>IF($P$4="",1,IF($P$4="(blank)",--('Final Calculation Sheet'!$O$35=""),IF($P$4="(nonblank)",--('Final Calculation Sheet'!$O$35&lt;&gt;""),--ISNUMBER(SEARCH($P$4,'Final Calculation Sheet'!$O$35)))))</f>
        <v/>
      </c>
      <c r="DV37">
        <f>IF($Q$4="",1,IF($Q$4="(blank)",--('Final Calculation Sheet'!$P$35=""),IF($Q$4="(nonblank)",--('Final Calculation Sheet'!$P$35&lt;&gt;""),--ISNUMBER(SEARCH($Q$4,'Final Calculation Sheet'!$P$35)))))</f>
        <v/>
      </c>
      <c r="DW37">
        <f>IF($R$4="",1,IF($R$4="(blank)",--('Final Calculation Sheet'!$Q$35=""),IF($R$4="(nonblank)",--('Final Calculation Sheet'!$Q$35&lt;&gt;""),--ISNUMBER(SEARCH($R$4,'Final Calculation Sheet'!$Q$35)))))</f>
        <v/>
      </c>
      <c r="DX37">
        <f>IF($S$4="",1,IF($S$4="(blank)",--('Final Calculation Sheet'!$R$35=""),IF($S$4="(nonblank)",--('Final Calculation Sheet'!$R$35&lt;&gt;""),--ISNUMBER(SEARCH($S$4,'Final Calculation Sheet'!$R$35)))))</f>
        <v/>
      </c>
      <c r="DY37">
        <f>IF($T$4="",1,IF($T$4="(blank)",--('Final Calculation Sheet'!$S$35=""),IF($T$4="(nonblank)",--('Final Calculation Sheet'!$S$35&lt;&gt;""),--ISNUMBER(SEARCH($T$4,'Final Calculation Sheet'!$S$35)))))</f>
        <v/>
      </c>
      <c r="DZ37">
        <f>IF($U$4="",1,IF($U$4="(blank)",--('Final Calculation Sheet'!$T$35=""),IF($U$4="(nonblank)",--('Final Calculation Sheet'!$T$35&lt;&gt;""),--ISNUMBER(SEARCH($U$4,'Final Calculation Sheet'!$T$35)))))</f>
        <v/>
      </c>
      <c r="EA37">
        <f>IF($V$4="",1,IF($V$4="(blank)",--('Final Calculation Sheet'!$U$35=""),IF($V$4="(nonblank)",--('Final Calculation Sheet'!$U$35&lt;&gt;""),--ISNUMBER(SEARCH($V$4,'Final Calculation Sheet'!$U$35)))))</f>
        <v/>
      </c>
      <c r="EB37">
        <f>IF($W$4="",1,IF($W$4="(blank)",--('Final Calculation Sheet'!$V$35=""),IF($W$4="(nonblank)",--('Final Calculation Sheet'!$V$35&lt;&gt;""),--ISNUMBER(SEARCH($W$4,'Final Calculation Sheet'!$V$35)))))</f>
        <v/>
      </c>
      <c r="EC37">
        <f>IF($X$4="",1,IF($X$4="(blank)",--('Final Calculation Sheet'!$W$35=""),IF($X$4="(nonblank)",--('Final Calculation Sheet'!$W$35&lt;&gt;""),--ISNUMBER(SEARCH($X$4,'Final Calculation Sheet'!$W$35)))))</f>
        <v/>
      </c>
      <c r="ED37">
        <f>IF($Y$4="",1,IF($Y$4="(blank)",--('Final Calculation Sheet'!$X$35=""),IF($Y$4="(nonblank)",--('Final Calculation Sheet'!$X$35&lt;&gt;""),--ISNUMBER(SEARCH($Y$4,'Final Calculation Sheet'!$X$35)))))</f>
        <v/>
      </c>
      <c r="EE37">
        <f>IF($Z$4="",1,IF($Z$4="(blank)",--('Final Calculation Sheet'!$Y$35=""),IF($Z$4="(nonblank)",--('Final Calculation Sheet'!$Y$35&lt;&gt;""),--ISNUMBER(SEARCH($Z$4,'Final Calculation Sheet'!$Y$35)))))</f>
        <v/>
      </c>
      <c r="EF37">
        <f>IF($AA$4="",1,IF($AA$4="(blank)",--('Final Calculation Sheet'!$Z$35=""),IF($AA$4="(nonblank)",--('Final Calculation Sheet'!$Z$35&lt;&gt;""),--ISNUMBER(SEARCH($AA$4,'Final Calculation Sheet'!$Z$35)))))</f>
        <v/>
      </c>
      <c r="EG37">
        <f>IF($AB$4="",1,IF($AB$4="(blank)",--('Final Calculation Sheet'!$AA$35=""),IF($AB$4="(nonblank)",--('Final Calculation Sheet'!$AA$35&lt;&gt;""),--ISNUMBER(SEARCH($AB$4,'Final Calculation Sheet'!$AA$35)))))</f>
        <v/>
      </c>
      <c r="EH37">
        <f>IF($AC$4="",1,IF($AC$4="(blank)",--('Final Calculation Sheet'!$AB$35=""),IF($AC$4="(nonblank)",--('Final Calculation Sheet'!$AB$35&lt;&gt;""),--ISNUMBER(SEARCH($AC$4,'Final Calculation Sheet'!$AB$35)))))</f>
        <v/>
      </c>
      <c r="EI37">
        <f>IF($AD$4="",1,IF($AD$4="(blank)",--('Final Calculation Sheet'!$AC$35=""),IF($AD$4="(nonblank)",--('Final Calculation Sheet'!$AC$35&lt;&gt;""),--ISNUMBER(SEARCH($AD$4,'Final Calculation Sheet'!$AC$35)))))</f>
        <v/>
      </c>
      <c r="EJ37">
        <f>IF($AE$4="",1,IF($AE$4="(blank)",--('Final Calculation Sheet'!$AD$35=""),IF($AE$4="(nonblank)",--('Final Calculation Sheet'!$AD$35&lt;&gt;""),--ISNUMBER(SEARCH($AE$4,'Final Calculation Sheet'!$AD$35)))))</f>
        <v/>
      </c>
      <c r="EK37">
        <f>IF($AF$4="",1,IF($AF$4="(blank)",--(IF('Final Calculation Sheet'!$AD$35&lt;=5,"SETTLED","OUTSTANDING")=""),IF($AF$4="(nonblank)",--(IF('Final Calculation Sheet'!$AD$35&lt;=5,"SETTLED","OUTSTANDING")&lt;&gt;""),--ISNUMBER(SEARCH($AF$4,IF('Final Calculation Sheet'!$AD$35&lt;=5,"SETTLED","OUTSTANDING"))))))</f>
        <v/>
      </c>
      <c r="EL37">
        <f>IF($AG$4="",1,IF($AG$4="(blank)",--('Final Calculation Sheet'!$AF$35=""),IF($AG$4="(nonblank)",--('Final Calculation Sheet'!$AF$35&lt;&gt;""),--ISNUMBER(SEARCH($AG$4,'Final Calculation Sheet'!$AF$35)))))</f>
        <v/>
      </c>
      <c r="EM37">
        <f>IF($AH$4="",1,IF($AH$4="(blank)",--('Final Calculation Sheet'!$AG$35=""),IF($AH$4="(nonblank)",--('Final Calculation Sheet'!$AG$35&lt;&gt;""),--ISNUMBER(SEARCH($AH$4,'Final Calculation Sheet'!$AG$35)))))</f>
        <v/>
      </c>
      <c r="EN37">
        <f>IF($AI$4="",1,IF($AI$4="(blank)",--('Final Calculation Sheet'!$AH$35=""),IF($AI$4="(nonblank)",--('Final Calculation Sheet'!$AH$35&lt;&gt;""),--ISNUMBER(SEARCH($AI$4,'Final Calculation Sheet'!$AH$35)))))</f>
        <v/>
      </c>
    </row>
    <row r="38" outlineLevel="1" hidden="1">
      <c r="A38" s="128">
        <f>IF($AL$38="","",32)</f>
        <v/>
      </c>
      <c r="B38" s="129">
        <f>IF($AL$38="","",IF(INDEX('Final Calculation Sheet'!$F$4:$F$40,$AL$38)="","",INDEX('Final Calculation Sheet'!$F$4:$F$40,$AL$38)))</f>
        <v/>
      </c>
      <c r="C38" s="129">
        <f>IF($AL$38="","",IF(INDEX('Final Calculation Sheet'!$G$4:$G$40,$AL$38)="","",INDEX('Final Calculation Sheet'!$G$4:$G$40,$AL$38)))</f>
        <v/>
      </c>
      <c r="D38" s="130">
        <f>IF($AL$38="","",IF(INDEX('Final Calculation Sheet'!$B$4:$B$40,$AL$38)="","",INDEX('Final Calculation Sheet'!$B$4:$B$40,$AL$38)))</f>
        <v/>
      </c>
      <c r="E38" s="130">
        <f>IF($AL$38="","",IF(INDEX('Final Calculation Sheet'!$D$4:$D$40,$AL$38)="","",INDEX('Final Calculation Sheet'!$D$4:$D$40,$AL$38)))</f>
        <v/>
      </c>
      <c r="F38" s="130">
        <f>IF($AL$38="","",IF(INDEX('Final Calculation Sheet'!$A$4:$A$40,$AL$38)="","",INDEX('Final Calculation Sheet'!$A$4:$A$40,$AL$38)))</f>
        <v/>
      </c>
      <c r="G38" s="130">
        <f>IF($AL$38="","",IF(INDEX('Final Calculation Sheet'!$E$4:$E$40,$AL$38)="","",INDEX('Final Calculation Sheet'!$E$4:$E$40,$AL$38)))</f>
        <v/>
      </c>
      <c r="H38" s="131">
        <f>IF($AL$38="","",IF(INDEX('Final Calculation Sheet'!$C$4:$C$40,$AL$38)="","",INDEX('Final Calculation Sheet'!$C$4:$C$40,$AL$38)))</f>
        <v/>
      </c>
      <c r="I38" s="131">
        <f>IF($AL$38="","",IF(INDEX('Final Calculation Sheet'!$H$4:$H$40,$AL$38)="","",INDEX('Final Calculation Sheet'!$H$4:$H$40,$AL$38)))</f>
        <v/>
      </c>
      <c r="J38" s="131">
        <f>IF($AL$38="","",IF(INDEX('Final Calculation Sheet'!$I$4:$I$40,$AL$38)="","",INDEX('Final Calculation Sheet'!$I$4:$I$40,$AL$38)))</f>
        <v/>
      </c>
      <c r="K38" s="131">
        <f>IF($AL$38="","",IF(INDEX('Final Calculation Sheet'!$J$4:$J$40,$AL$38)="","",INDEX('Final Calculation Sheet'!$J$4:$J$40,$AL$38)))</f>
        <v/>
      </c>
      <c r="L38" s="131">
        <f>IF($AL$38="","",IF(INDEX('Final Calculation Sheet'!$K$4:$K$40,$AL$38)="","",INDEX('Final Calculation Sheet'!$K$4:$K$40,$AL$38)))</f>
        <v/>
      </c>
      <c r="M38" s="131">
        <f>IF($AL$38="","",IF(INDEX('Final Calculation Sheet'!$L$4:$L$40,$AL$38)="","",INDEX('Final Calculation Sheet'!$L$4:$L$40,$AL$38)))</f>
        <v/>
      </c>
      <c r="N38" s="131">
        <f>IF($AL$38="","",IF(INDEX('Final Calculation Sheet'!$M$4:$M$40,$AL$38)="","",INDEX('Final Calculation Sheet'!$M$4:$M$40,$AL$38)))</f>
        <v/>
      </c>
      <c r="O38" s="132">
        <f>IF($AL$38="","",IF(INDEX('Final Calculation Sheet'!$N$4:$N$40,$AL$38)="","",INDEX('Final Calculation Sheet'!$N$4:$N$40,$AL$38)))</f>
        <v/>
      </c>
      <c r="P38" s="131">
        <f>IF($AL$38="","",IF(INDEX('Final Calculation Sheet'!$O$4:$O$40,$AL$38)="","",INDEX('Final Calculation Sheet'!$O$4:$O$40,$AL$38)))</f>
        <v/>
      </c>
      <c r="Q38" s="131">
        <f>IF($AL$38="","",IF(INDEX('Final Calculation Sheet'!$P$4:$P$40,$AL$38)="","",INDEX('Final Calculation Sheet'!$P$4:$P$40,$AL$38)))</f>
        <v/>
      </c>
      <c r="R38" s="133">
        <f>IF($AL$38="","",IF(INDEX('Final Calculation Sheet'!$Q$4:$Q$40,$AL$38)="","",INDEX('Final Calculation Sheet'!$Q$4:$Q$40,$AL$38)))</f>
        <v/>
      </c>
      <c r="S38" s="131">
        <f>IF($AL$38="","",IF(INDEX('Final Calculation Sheet'!$R$4:$R$40,$AL$38)="","",INDEX('Final Calculation Sheet'!$R$4:$R$40,$AL$38)))</f>
        <v/>
      </c>
      <c r="T38" s="131">
        <f>IF($AL$38="","",IF(INDEX('Final Calculation Sheet'!$S$4:$S$40,$AL$38)="","",INDEX('Final Calculation Sheet'!$S$4:$S$40,$AL$38)))</f>
        <v/>
      </c>
      <c r="U38" s="131">
        <f>IF($AL$38="","",IF(INDEX('Final Calculation Sheet'!$T$4:$T$40,$AL$38)="","",INDEX('Final Calculation Sheet'!$T$4:$T$40,$AL$38)))</f>
        <v/>
      </c>
      <c r="V38" s="134">
        <f>IF($AL$38="","",IF(INDEX('Final Calculation Sheet'!$U$4:$U$40,$AL$38)="","",INDEX('Final Calculation Sheet'!$U$4:$U$40,$AL$38)))</f>
        <v/>
      </c>
      <c r="W38" s="131">
        <f>IF($AL$38="","",IF(INDEX('Final Calculation Sheet'!$V$4:$V$40,$AL$38)="","",INDEX('Final Calculation Sheet'!$V$4:$V$40,$AL$38)))</f>
        <v/>
      </c>
      <c r="X38" s="131">
        <f>IF($AL$38="","",IF(INDEX('Final Calculation Sheet'!$W$4:$W$40,$AL$38)="","",INDEX('Final Calculation Sheet'!$W$4:$W$40,$AL$38)))</f>
        <v/>
      </c>
      <c r="Y38" s="131">
        <f>IF($AL$38="","",IF(INDEX('Final Calculation Sheet'!$X$4:$X$40,$AL$38)="","",INDEX('Final Calculation Sheet'!$X$4:$X$40,$AL$38)))</f>
        <v/>
      </c>
      <c r="Z38" s="131">
        <f>IF($AL$38="","",IF(INDEX('Final Calculation Sheet'!$Y$4:$Y$40,$AL$38)="","",INDEX('Final Calculation Sheet'!$Y$4:$Y$40,$AL$38)))</f>
        <v/>
      </c>
      <c r="AA38" s="131">
        <f>IF($AL$38="","",IF(INDEX('Final Calculation Sheet'!$Z$4:$Z$40,$AL$38)="","",INDEX('Final Calculation Sheet'!$Z$4:$Z$40,$AL$38)))</f>
        <v/>
      </c>
      <c r="AB38" s="131">
        <f>IF($AL$38="","",IF(INDEX('Final Calculation Sheet'!$AA$4:$AA$40,$AL$38)="","",INDEX('Final Calculation Sheet'!$AA$4:$AA$40,$AL$38)))</f>
        <v/>
      </c>
      <c r="AC38" s="131">
        <f>IF($AL$38="","",IF(INDEX('Final Calculation Sheet'!$AB$4:$AB$40,$AL$38)="","",INDEX('Final Calculation Sheet'!$AB$4:$AB$40,$AL$38)))</f>
        <v/>
      </c>
      <c r="AD38" s="131">
        <f>IF($AL$38="","",IF(INDEX('Final Calculation Sheet'!$AC$4:$AC$40,$AL$38)="","",INDEX('Final Calculation Sheet'!$AC$4:$AC$40,$AL$38)))</f>
        <v/>
      </c>
      <c r="AE38" s="131">
        <f>IF($AL$38="","",IF(INDEX('Final Calculation Sheet'!$AD$4:$AD$40,$AL$38)="","",INDEX('Final Calculation Sheet'!$AD$4:$AD$40,$AL$38)))</f>
        <v/>
      </c>
      <c r="AF38" s="136">
        <f>IF($AL$38="","",IF(INDEX('Final Calculation Sheet'!$AD$4:$AD$40,$AL$38)&lt;=5,"SETTLED","OUTSTANDING"))</f>
        <v/>
      </c>
      <c r="AG38" s="131">
        <f>IF($AL$38="","",IF(INDEX('Final Calculation Sheet'!$AF$4:$AF$40,$AL$38)="","",INDEX('Final Calculation Sheet'!$AF$4:$AF$40,$AL$38)))</f>
        <v/>
      </c>
      <c r="AH38" s="135">
        <f>IF($AL$38="","",IF(INDEX('Final Calculation Sheet'!$AG$4:$AG$40,$AL$38)="","",INDEX('Final Calculation Sheet'!$AG$4:$AG$40,$AL$38)))</f>
        <v/>
      </c>
      <c r="AI38" s="131">
        <f>IF($AL$38="","",IF(INDEX('Final Calculation Sheet'!$AH$4:$AH$40,$AL$38)="","",INDEX('Final Calculation Sheet'!$AH$4:$AH$40,$AL$38)))</f>
        <v/>
      </c>
      <c r="AJ38">
        <f>IF(AND(IF($B$4="",TRUE(),IF($B$4="(blank)",'Final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Sheet'!$AD$36&lt;=5,"SETTLED","OUTSTANDING"))))))),1,0)</f>
      </c>
      <c r="AK38">
        <f>IF(AJ38=1,COUNTIF(AJ$6:AJ38,1),"")</f>
        <v/>
      </c>
      <c r="AL38">
        <f>IF(COUNTIF($B$4:$AI$4,"&lt;&gt;")=0,"",IFERROR(MATCH(32,$AK$6:$AK$42,0),""))</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CU37+IF(AND(Lists!$FI$38&lt;&gt;"",ISNUMBER(SEARCH($AG$4,Lists!$FI$38))),1,0)</f>
        <v/>
      </c>
      <c r="CV38">
        <f>IF(ROW()-3&gt;MAX($CU$4:$CU$42),"",INDEX(Lists!$FI$4:$FI$42,MATCH(ROW()-3,$CU$4:$CU$42,0)))</f>
        <v/>
      </c>
      <c r="CW38">
        <f>CW37+IF(AND(Lists!$FN$38&lt;&gt;"",ISNUMBER(SEARCH($AH$4,Lists!$FN$38))),1,0)</f>
        <v/>
      </c>
      <c r="CX38">
        <f>IF(ROW()-3&gt;MAX($CW$4:$CW$42),"",INDEX(Lists!$FN$4:$FN$42,MATCH(ROW()-3,$CW$4:$CW$42,0)))</f>
        <v/>
      </c>
      <c r="CY38">
        <f>CY37+IF(AND(Lists!$FS$38&lt;&gt;"",ISNUMBER(SEARCH($AI$4,Lists!$FS$38))),1,0)</f>
        <v/>
      </c>
      <c r="CZ38">
        <f>IF(ROW()-3&gt;MAX($CY$4:$CY$42),"",INDEX(Lists!$FS$4:$FS$42,MATCH(ROW()-3,$CY$4:$CY$42,0)))</f>
        <v/>
      </c>
      <c r="DA38">
        <f>DA37+IF(AND(Lists!$FX$38&lt;&gt;"",ISNUMBER(SEARCH($AF$4,Lists!$FX$38))),1,0)</f>
        <v/>
      </c>
      <c r="DB38">
        <f>IF(ROW()-3&gt;MAX($DA$4:$DA$42),"",INDEX(Lists!$FX$4:$FX$42,MATCH(ROW()-3,$DA$4:$DA$42,0)))</f>
        <v/>
      </c>
      <c r="DG38">
        <f>IF($B$4="",1,IF($B$4="(blank)",--('Final Calculation Sheet'!$F$36=""),IF($B$4="(nonblank)",--('Final Calculation Sheet'!$F$36&lt;&gt;""),--ISNUMBER(SEARCH($B$4,'Final Calculation Sheet'!$F$36)))))</f>
        <v/>
      </c>
      <c r="DH38">
        <f>IF($C$4="",1,IF($C$4="(blank)",--('Final Calculation Sheet'!$G$36=""),IF($C$4="(nonblank)",--('Final Calculation Sheet'!$G$36&lt;&gt;""),--ISNUMBER(SEARCH($C$4,'Final Calculation Sheet'!$G$36)))))</f>
        <v/>
      </c>
      <c r="DI38">
        <f>IF($D$4="",1,IF($D$4="(blank)",--('Final Calculation Sheet'!$B$36=""),IF($D$4="(nonblank)",--('Final Calculation Sheet'!$B$36&lt;&gt;""),--ISNUMBER(SEARCH($D$4,'Final Calculation Sheet'!$B$36)))))</f>
        <v/>
      </c>
      <c r="DJ38">
        <f>IF($E$4="",1,IF($E$4="(blank)",--('Final Calculation Sheet'!$D$36=""),IF($E$4="(nonblank)",--('Final Calculation Sheet'!$D$36&lt;&gt;""),--ISNUMBER(SEARCH($E$4,'Final Calculation Sheet'!$D$36)))))</f>
        <v/>
      </c>
      <c r="DK38">
        <f>IF($F$4="",1,IF($F$4="(blank)",--('Final Calculation Sheet'!$A$36=""),IF($F$4="(nonblank)",--('Final Calculation Sheet'!$A$36&lt;&gt;""),--ISNUMBER(SEARCH($F$4,'Final Calculation Sheet'!$A$36)))))</f>
        <v/>
      </c>
      <c r="DL38">
        <f>IF($G$4="",1,IF($G$4="(blank)",--('Final Calculation Sheet'!$E$36=""),IF($G$4="(nonblank)",--('Final Calculation Sheet'!$E$36&lt;&gt;""),--ISNUMBER(SEARCH($G$4,'Final Calculation Sheet'!$E$36)))))</f>
        <v/>
      </c>
      <c r="DM38">
        <f>IF($H$4="",1,IF($H$4="(blank)",--('Final Calculation Sheet'!$C$36=""),IF($H$4="(nonblank)",--('Final Calculation Sheet'!$C$36&lt;&gt;""),--ISNUMBER(SEARCH($H$4,'Final Calculation Sheet'!$C$36)))))</f>
        <v/>
      </c>
      <c r="DN38">
        <f>IF($I$4="",1,IF($I$4="(blank)",--('Final Calculation Sheet'!$H$36=""),IF($I$4="(nonblank)",--('Final Calculation Sheet'!$H$36&lt;&gt;""),--ISNUMBER(SEARCH($I$4,'Final Calculation Sheet'!$H$36)))))</f>
        <v/>
      </c>
      <c r="DO38">
        <f>IF($J$4="",1,IF($J$4="(blank)",--('Final Calculation Sheet'!$I$36=""),IF($J$4="(nonblank)",--('Final Calculation Sheet'!$I$36&lt;&gt;""),--ISNUMBER(SEARCH($J$4,'Final Calculation Sheet'!$I$36)))))</f>
        <v/>
      </c>
      <c r="DP38">
        <f>IF($K$4="",1,IF($K$4="(blank)",--('Final Calculation Sheet'!$J$36=""),IF($K$4="(nonblank)",--('Final Calculation Sheet'!$J$36&lt;&gt;""),--ISNUMBER(SEARCH($K$4,'Final Calculation Sheet'!$J$36)))))</f>
        <v/>
      </c>
      <c r="DQ38">
        <f>IF($L$4="",1,IF($L$4="(blank)",--('Final Calculation Sheet'!$K$36=""),IF($L$4="(nonblank)",--('Final Calculation Sheet'!$K$36&lt;&gt;""),--ISNUMBER(SEARCH($L$4,'Final Calculation Sheet'!$K$36)))))</f>
        <v/>
      </c>
      <c r="DR38">
        <f>IF($M$4="",1,IF($M$4="(blank)",--('Final Calculation Sheet'!$L$36=""),IF($M$4="(nonblank)",--('Final Calculation Sheet'!$L$36&lt;&gt;""),--ISNUMBER(SEARCH($M$4,'Final Calculation Sheet'!$L$36)))))</f>
        <v/>
      </c>
      <c r="DS38">
        <f>IF($N$4="",1,IF($N$4="(blank)",--('Final Calculation Sheet'!$M$36=""),IF($N$4="(nonblank)",--('Final Calculation Sheet'!$M$36&lt;&gt;""),--ISNUMBER(SEARCH($N$4,'Final Calculation Sheet'!$M$36)))))</f>
        <v/>
      </c>
      <c r="DT38">
        <f>IF($O$4="",1,IF($O$4="(blank)",--('Final Calculation Sheet'!$N$36=""),IF($O$4="(nonblank)",--('Final Calculation Sheet'!$N$36&lt;&gt;""),--ISNUMBER(SEARCH($O$4,'Final Calculation Sheet'!$N$36)))))</f>
        <v/>
      </c>
      <c r="DU38">
        <f>IF($P$4="",1,IF($P$4="(blank)",--('Final Calculation Sheet'!$O$36=""),IF($P$4="(nonblank)",--('Final Calculation Sheet'!$O$36&lt;&gt;""),--ISNUMBER(SEARCH($P$4,'Final Calculation Sheet'!$O$36)))))</f>
        <v/>
      </c>
      <c r="DV38">
        <f>IF($Q$4="",1,IF($Q$4="(blank)",--('Final Calculation Sheet'!$P$36=""),IF($Q$4="(nonblank)",--('Final Calculation Sheet'!$P$36&lt;&gt;""),--ISNUMBER(SEARCH($Q$4,'Final Calculation Sheet'!$P$36)))))</f>
        <v/>
      </c>
      <c r="DW38">
        <f>IF($R$4="",1,IF($R$4="(blank)",--('Final Calculation Sheet'!$Q$36=""),IF($R$4="(nonblank)",--('Final Calculation Sheet'!$Q$36&lt;&gt;""),--ISNUMBER(SEARCH($R$4,'Final Calculation Sheet'!$Q$36)))))</f>
        <v/>
      </c>
      <c r="DX38">
        <f>IF($S$4="",1,IF($S$4="(blank)",--('Final Calculation Sheet'!$R$36=""),IF($S$4="(nonblank)",--('Final Calculation Sheet'!$R$36&lt;&gt;""),--ISNUMBER(SEARCH($S$4,'Final Calculation Sheet'!$R$36)))))</f>
        <v/>
      </c>
      <c r="DY38">
        <f>IF($T$4="",1,IF($T$4="(blank)",--('Final Calculation Sheet'!$S$36=""),IF($T$4="(nonblank)",--('Final Calculation Sheet'!$S$36&lt;&gt;""),--ISNUMBER(SEARCH($T$4,'Final Calculation Sheet'!$S$36)))))</f>
        <v/>
      </c>
      <c r="DZ38">
        <f>IF($U$4="",1,IF($U$4="(blank)",--('Final Calculation Sheet'!$T$36=""),IF($U$4="(nonblank)",--('Final Calculation Sheet'!$T$36&lt;&gt;""),--ISNUMBER(SEARCH($U$4,'Final Calculation Sheet'!$T$36)))))</f>
        <v/>
      </c>
      <c r="EA38">
        <f>IF($V$4="",1,IF($V$4="(blank)",--('Final Calculation Sheet'!$U$36=""),IF($V$4="(nonblank)",--('Final Calculation Sheet'!$U$36&lt;&gt;""),--ISNUMBER(SEARCH($V$4,'Final Calculation Sheet'!$U$36)))))</f>
        <v/>
      </c>
      <c r="EB38">
        <f>IF($W$4="",1,IF($W$4="(blank)",--('Final Calculation Sheet'!$V$36=""),IF($W$4="(nonblank)",--('Final Calculation Sheet'!$V$36&lt;&gt;""),--ISNUMBER(SEARCH($W$4,'Final Calculation Sheet'!$V$36)))))</f>
        <v/>
      </c>
      <c r="EC38">
        <f>IF($X$4="",1,IF($X$4="(blank)",--('Final Calculation Sheet'!$W$36=""),IF($X$4="(nonblank)",--('Final Calculation Sheet'!$W$36&lt;&gt;""),--ISNUMBER(SEARCH($X$4,'Final Calculation Sheet'!$W$36)))))</f>
        <v/>
      </c>
      <c r="ED38">
        <f>IF($Y$4="",1,IF($Y$4="(blank)",--('Final Calculation Sheet'!$X$36=""),IF($Y$4="(nonblank)",--('Final Calculation Sheet'!$X$36&lt;&gt;""),--ISNUMBER(SEARCH($Y$4,'Final Calculation Sheet'!$X$36)))))</f>
        <v/>
      </c>
      <c r="EE38">
        <f>IF($Z$4="",1,IF($Z$4="(blank)",--('Final Calculation Sheet'!$Y$36=""),IF($Z$4="(nonblank)",--('Final Calculation Sheet'!$Y$36&lt;&gt;""),--ISNUMBER(SEARCH($Z$4,'Final Calculation Sheet'!$Y$36)))))</f>
        <v/>
      </c>
      <c r="EF38">
        <f>IF($AA$4="",1,IF($AA$4="(blank)",--('Final Calculation Sheet'!$Z$36=""),IF($AA$4="(nonblank)",--('Final Calculation Sheet'!$Z$36&lt;&gt;""),--ISNUMBER(SEARCH($AA$4,'Final Calculation Sheet'!$Z$36)))))</f>
        <v/>
      </c>
      <c r="EG38">
        <f>IF($AB$4="",1,IF($AB$4="(blank)",--('Final Calculation Sheet'!$AA$36=""),IF($AB$4="(nonblank)",--('Final Calculation Sheet'!$AA$36&lt;&gt;""),--ISNUMBER(SEARCH($AB$4,'Final Calculation Sheet'!$AA$36)))))</f>
        <v/>
      </c>
      <c r="EH38">
        <f>IF($AC$4="",1,IF($AC$4="(blank)",--('Final Calculation Sheet'!$AB$36=""),IF($AC$4="(nonblank)",--('Final Calculation Sheet'!$AB$36&lt;&gt;""),--ISNUMBER(SEARCH($AC$4,'Final Calculation Sheet'!$AB$36)))))</f>
        <v/>
      </c>
      <c r="EI38">
        <f>IF($AD$4="",1,IF($AD$4="(blank)",--('Final Calculation Sheet'!$AC$36=""),IF($AD$4="(nonblank)",--('Final Calculation Sheet'!$AC$36&lt;&gt;""),--ISNUMBER(SEARCH($AD$4,'Final Calculation Sheet'!$AC$36)))))</f>
        <v/>
      </c>
      <c r="EJ38">
        <f>IF($AE$4="",1,IF($AE$4="(blank)",--('Final Calculation Sheet'!$AD$36=""),IF($AE$4="(nonblank)",--('Final Calculation Sheet'!$AD$36&lt;&gt;""),--ISNUMBER(SEARCH($AE$4,'Final Calculation Sheet'!$AD$36)))))</f>
        <v/>
      </c>
      <c r="EK38">
        <f>IF($AF$4="",1,IF($AF$4="(blank)",--(IF('Final Calculation Sheet'!$AD$36&lt;=5,"SETTLED","OUTSTANDING")=""),IF($AF$4="(nonblank)",--(IF('Final Calculation Sheet'!$AD$36&lt;=5,"SETTLED","OUTSTANDING")&lt;&gt;""),--ISNUMBER(SEARCH($AF$4,IF('Final Calculation Sheet'!$AD$36&lt;=5,"SETTLED","OUTSTANDING"))))))</f>
        <v/>
      </c>
      <c r="EL38">
        <f>IF($AG$4="",1,IF($AG$4="(blank)",--('Final Calculation Sheet'!$AF$36=""),IF($AG$4="(nonblank)",--('Final Calculation Sheet'!$AF$36&lt;&gt;""),--ISNUMBER(SEARCH($AG$4,'Final Calculation Sheet'!$AF$36)))))</f>
        <v/>
      </c>
      <c r="EM38">
        <f>IF($AH$4="",1,IF($AH$4="(blank)",--('Final Calculation Sheet'!$AG$36=""),IF($AH$4="(nonblank)",--('Final Calculation Sheet'!$AG$36&lt;&gt;""),--ISNUMBER(SEARCH($AH$4,'Final Calculation Sheet'!$AG$36)))))</f>
        <v/>
      </c>
      <c r="EN38">
        <f>IF($AI$4="",1,IF($AI$4="(blank)",--('Final Calculation Sheet'!$AH$36=""),IF($AI$4="(nonblank)",--('Final Calculation Sheet'!$AH$36&lt;&gt;""),--ISNUMBER(SEARCH($AI$4,'Final Calculation Sheet'!$AH$36)))))</f>
        <v/>
      </c>
    </row>
    <row r="39" outlineLevel="1" hidden="1">
      <c r="A39" s="118">
        <f>IF($AL$39="","",33)</f>
        <v/>
      </c>
      <c r="B39" s="119">
        <f>IF($AL$39="","",IF(INDEX('Final Calculation Sheet'!$F$4:$F$40,$AL$39)="","",INDEX('Final Calculation Sheet'!$F$4:$F$40,$AL$39)))</f>
        <v/>
      </c>
      <c r="C39" s="119">
        <f>IF($AL$39="","",IF(INDEX('Final Calculation Sheet'!$G$4:$G$40,$AL$39)="","",INDEX('Final Calculation Sheet'!$G$4:$G$40,$AL$39)))</f>
        <v/>
      </c>
      <c r="D39" s="121">
        <f>IF($AL$39="","",IF(INDEX('Final Calculation Sheet'!$B$4:$B$40,$AL$39)="","",INDEX('Final Calculation Sheet'!$B$4:$B$40,$AL$39)))</f>
        <v/>
      </c>
      <c r="E39" s="121">
        <f>IF($AL$39="","",IF(INDEX('Final Calculation Sheet'!$D$4:$D$40,$AL$39)="","",INDEX('Final Calculation Sheet'!$D$4:$D$40,$AL$39)))</f>
        <v/>
      </c>
      <c r="F39" s="121">
        <f>IF($AL$39="","",IF(INDEX('Final Calculation Sheet'!$A$4:$A$40,$AL$39)="","",INDEX('Final Calculation Sheet'!$A$4:$A$40,$AL$39)))</f>
        <v/>
      </c>
      <c r="G39" s="121">
        <f>IF($AL$39="","",IF(INDEX('Final Calculation Sheet'!$E$4:$E$40,$AL$39)="","",INDEX('Final Calculation Sheet'!$E$4:$E$40,$AL$39)))</f>
        <v/>
      </c>
      <c r="H39" s="122">
        <f>IF($AL$39="","",IF(INDEX('Final Calculation Sheet'!$C$4:$C$40,$AL$39)="","",INDEX('Final Calculation Sheet'!$C$4:$C$40,$AL$39)))</f>
        <v/>
      </c>
      <c r="I39" s="122">
        <f>IF($AL$39="","",IF(INDEX('Final Calculation Sheet'!$H$4:$H$40,$AL$39)="","",INDEX('Final Calculation Sheet'!$H$4:$H$40,$AL$39)))</f>
        <v/>
      </c>
      <c r="J39" s="122">
        <f>IF($AL$39="","",IF(INDEX('Final Calculation Sheet'!$I$4:$I$40,$AL$39)="","",INDEX('Final Calculation Sheet'!$I$4:$I$40,$AL$39)))</f>
        <v/>
      </c>
      <c r="K39" s="122">
        <f>IF($AL$39="","",IF(INDEX('Final Calculation Sheet'!$J$4:$J$40,$AL$39)="","",INDEX('Final Calculation Sheet'!$J$4:$J$40,$AL$39)))</f>
        <v/>
      </c>
      <c r="L39" s="122">
        <f>IF($AL$39="","",IF(INDEX('Final Calculation Sheet'!$K$4:$K$40,$AL$39)="","",INDEX('Final Calculation Sheet'!$K$4:$K$40,$AL$39)))</f>
        <v/>
      </c>
      <c r="M39" s="122">
        <f>IF($AL$39="","",IF(INDEX('Final Calculation Sheet'!$L$4:$L$40,$AL$39)="","",INDEX('Final Calculation Sheet'!$L$4:$L$40,$AL$39)))</f>
        <v/>
      </c>
      <c r="N39" s="122">
        <f>IF($AL$39="","",IF(INDEX('Final Calculation Sheet'!$M$4:$M$40,$AL$39)="","",INDEX('Final Calculation Sheet'!$M$4:$M$40,$AL$39)))</f>
        <v/>
      </c>
      <c r="O39" s="123">
        <f>IF($AL$39="","",IF(INDEX('Final Calculation Sheet'!$N$4:$N$40,$AL$39)="","",INDEX('Final Calculation Sheet'!$N$4:$N$40,$AL$39)))</f>
        <v/>
      </c>
      <c r="P39" s="122">
        <f>IF($AL$39="","",IF(INDEX('Final Calculation Sheet'!$O$4:$O$40,$AL$39)="","",INDEX('Final Calculation Sheet'!$O$4:$O$40,$AL$39)))</f>
        <v/>
      </c>
      <c r="Q39" s="122">
        <f>IF($AL$39="","",IF(INDEX('Final Calculation Sheet'!$P$4:$P$40,$AL$39)="","",INDEX('Final Calculation Sheet'!$P$4:$P$40,$AL$39)))</f>
        <v/>
      </c>
      <c r="R39" s="124">
        <f>IF($AL$39="","",IF(INDEX('Final Calculation Sheet'!$Q$4:$Q$40,$AL$39)="","",INDEX('Final Calculation Sheet'!$Q$4:$Q$40,$AL$39)))</f>
        <v/>
      </c>
      <c r="S39" s="122">
        <f>IF($AL$39="","",IF(INDEX('Final Calculation Sheet'!$R$4:$R$40,$AL$39)="","",INDEX('Final Calculation Sheet'!$R$4:$R$40,$AL$39)))</f>
        <v/>
      </c>
      <c r="T39" s="122">
        <f>IF($AL$39="","",IF(INDEX('Final Calculation Sheet'!$S$4:$S$40,$AL$39)="","",INDEX('Final Calculation Sheet'!$S$4:$S$40,$AL$39)))</f>
        <v/>
      </c>
      <c r="U39" s="122">
        <f>IF($AL$39="","",IF(INDEX('Final Calculation Sheet'!$T$4:$T$40,$AL$39)="","",INDEX('Final Calculation Sheet'!$T$4:$T$40,$AL$39)))</f>
        <v/>
      </c>
      <c r="V39" s="125">
        <f>IF($AL$39="","",IF(INDEX('Final Calculation Sheet'!$U$4:$U$40,$AL$39)="","",INDEX('Final Calculation Sheet'!$U$4:$U$40,$AL$39)))</f>
        <v/>
      </c>
      <c r="W39" s="122">
        <f>IF($AL$39="","",IF(INDEX('Final Calculation Sheet'!$V$4:$V$40,$AL$39)="","",INDEX('Final Calculation Sheet'!$V$4:$V$40,$AL$39)))</f>
        <v/>
      </c>
      <c r="X39" s="122">
        <f>IF($AL$39="","",IF(INDEX('Final Calculation Sheet'!$W$4:$W$40,$AL$39)="","",INDEX('Final Calculation Sheet'!$W$4:$W$40,$AL$39)))</f>
        <v/>
      </c>
      <c r="Y39" s="122">
        <f>IF($AL$39="","",IF(INDEX('Final Calculation Sheet'!$X$4:$X$40,$AL$39)="","",INDEX('Final Calculation Sheet'!$X$4:$X$40,$AL$39)))</f>
        <v/>
      </c>
      <c r="Z39" s="122">
        <f>IF($AL$39="","",IF(INDEX('Final Calculation Sheet'!$Y$4:$Y$40,$AL$39)="","",INDEX('Final Calculation Sheet'!$Y$4:$Y$40,$AL$39)))</f>
        <v/>
      </c>
      <c r="AA39" s="122">
        <f>IF($AL$39="","",IF(INDEX('Final Calculation Sheet'!$Z$4:$Z$40,$AL$39)="","",INDEX('Final Calculation Sheet'!$Z$4:$Z$40,$AL$39)))</f>
        <v/>
      </c>
      <c r="AB39" s="122">
        <f>IF($AL$39="","",IF(INDEX('Final Calculation Sheet'!$AA$4:$AA$40,$AL$39)="","",INDEX('Final Calculation Sheet'!$AA$4:$AA$40,$AL$39)))</f>
        <v/>
      </c>
      <c r="AC39" s="122">
        <f>IF($AL$39="","",IF(INDEX('Final Calculation Sheet'!$AB$4:$AB$40,$AL$39)="","",INDEX('Final Calculation Sheet'!$AB$4:$AB$40,$AL$39)))</f>
        <v/>
      </c>
      <c r="AD39" s="122">
        <f>IF($AL$39="","",IF(INDEX('Final Calculation Sheet'!$AC$4:$AC$40,$AL$39)="","",INDEX('Final Calculation Sheet'!$AC$4:$AC$40,$AL$39)))</f>
        <v/>
      </c>
      <c r="AE39" s="122">
        <f>IF($AL$39="","",IF(INDEX('Final Calculation Sheet'!$AD$4:$AD$40,$AL$39)="","",INDEX('Final Calculation Sheet'!$AD$4:$AD$40,$AL$39)))</f>
        <v/>
      </c>
      <c r="AF39" s="127">
        <f>IF($AL$39="","",IF(INDEX('Final Calculation Sheet'!$AD$4:$AD$40,$AL$39)&lt;=5,"SETTLED","OUTSTANDING"))</f>
        <v/>
      </c>
      <c r="AG39" s="122">
        <f>IF($AL$39="","",IF(INDEX('Final Calculation Sheet'!$AF$4:$AF$40,$AL$39)="","",INDEX('Final Calculation Sheet'!$AF$4:$AF$40,$AL$39)))</f>
        <v/>
      </c>
      <c r="AH39" s="126">
        <f>IF($AL$39="","",IF(INDEX('Final Calculation Sheet'!$AG$4:$AG$40,$AL$39)="","",INDEX('Final Calculation Sheet'!$AG$4:$AG$40,$AL$39)))</f>
        <v/>
      </c>
      <c r="AI39" s="122">
        <f>IF($AL$39="","",IF(INDEX('Final Calculation Sheet'!$AH$4:$AH$40,$AL$39)="","",INDEX('Final Calculation Sheet'!$AH$4:$AH$40,$AL$39)))</f>
        <v/>
      </c>
      <c r="AJ39">
        <f>IF(AND(IF($B$4="",TRUE(),IF($B$4="(blank)",'Final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Sheet'!$AD$37&lt;=5,"SETTLED","OUTSTANDING"))))))),1,0)</f>
      </c>
      <c r="AK39">
        <f>IF(AJ39=1,COUNTIF(AJ$6:AJ39,1),"")</f>
        <v/>
      </c>
      <c r="AL39">
        <f>IF(COUNTIF($B$4:$AI$4,"&lt;&gt;")=0,"",IFERROR(MATCH(33,$AK$6:$AK$42,0),""))</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CU38+IF(AND(Lists!$FI$39&lt;&gt;"",ISNUMBER(SEARCH($AG$4,Lists!$FI$39))),1,0)</f>
        <v/>
      </c>
      <c r="CV39">
        <f>IF(ROW()-3&gt;MAX($CU$4:$CU$42),"",INDEX(Lists!$FI$4:$FI$42,MATCH(ROW()-3,$CU$4:$CU$42,0)))</f>
        <v/>
      </c>
      <c r="CW39">
        <f>CW38+IF(AND(Lists!$FN$39&lt;&gt;"",ISNUMBER(SEARCH($AH$4,Lists!$FN$39))),1,0)</f>
        <v/>
      </c>
      <c r="CX39">
        <f>IF(ROW()-3&gt;MAX($CW$4:$CW$42),"",INDEX(Lists!$FN$4:$FN$42,MATCH(ROW()-3,$CW$4:$CW$42,0)))</f>
        <v/>
      </c>
      <c r="CY39">
        <f>CY38+IF(AND(Lists!$FS$39&lt;&gt;"",ISNUMBER(SEARCH($AI$4,Lists!$FS$39))),1,0)</f>
        <v/>
      </c>
      <c r="CZ39">
        <f>IF(ROW()-3&gt;MAX($CY$4:$CY$42),"",INDEX(Lists!$FS$4:$FS$42,MATCH(ROW()-3,$CY$4:$CY$42,0)))</f>
        <v/>
      </c>
      <c r="DA39">
        <f>DA38+IF(AND(Lists!$FX$39&lt;&gt;"",ISNUMBER(SEARCH($AF$4,Lists!$FX$39))),1,0)</f>
        <v/>
      </c>
      <c r="DB39">
        <f>IF(ROW()-3&gt;MAX($DA$4:$DA$42),"",INDEX(Lists!$FX$4:$FX$42,MATCH(ROW()-3,$DA$4:$DA$42,0)))</f>
        <v/>
      </c>
      <c r="DG39">
        <f>IF($B$4="",1,IF($B$4="(blank)",--('Final Calculation Sheet'!$F$37=""),IF($B$4="(nonblank)",--('Final Calculation Sheet'!$F$37&lt;&gt;""),--ISNUMBER(SEARCH($B$4,'Final Calculation Sheet'!$F$37)))))</f>
        <v/>
      </c>
      <c r="DH39">
        <f>IF($C$4="",1,IF($C$4="(blank)",--('Final Calculation Sheet'!$G$37=""),IF($C$4="(nonblank)",--('Final Calculation Sheet'!$G$37&lt;&gt;""),--ISNUMBER(SEARCH($C$4,'Final Calculation Sheet'!$G$37)))))</f>
        <v/>
      </c>
      <c r="DI39">
        <f>IF($D$4="",1,IF($D$4="(blank)",--('Final Calculation Sheet'!$B$37=""),IF($D$4="(nonblank)",--('Final Calculation Sheet'!$B$37&lt;&gt;""),--ISNUMBER(SEARCH($D$4,'Final Calculation Sheet'!$B$37)))))</f>
        <v/>
      </c>
      <c r="DJ39">
        <f>IF($E$4="",1,IF($E$4="(blank)",--('Final Calculation Sheet'!$D$37=""),IF($E$4="(nonblank)",--('Final Calculation Sheet'!$D$37&lt;&gt;""),--ISNUMBER(SEARCH($E$4,'Final Calculation Sheet'!$D$37)))))</f>
        <v/>
      </c>
      <c r="DK39">
        <f>IF($F$4="",1,IF($F$4="(blank)",--('Final Calculation Sheet'!$A$37=""),IF($F$4="(nonblank)",--('Final Calculation Sheet'!$A$37&lt;&gt;""),--ISNUMBER(SEARCH($F$4,'Final Calculation Sheet'!$A$37)))))</f>
        <v/>
      </c>
      <c r="DL39">
        <f>IF($G$4="",1,IF($G$4="(blank)",--('Final Calculation Sheet'!$E$37=""),IF($G$4="(nonblank)",--('Final Calculation Sheet'!$E$37&lt;&gt;""),--ISNUMBER(SEARCH($G$4,'Final Calculation Sheet'!$E$37)))))</f>
        <v/>
      </c>
      <c r="DM39">
        <f>IF($H$4="",1,IF($H$4="(blank)",--('Final Calculation Sheet'!$C$37=""),IF($H$4="(nonblank)",--('Final Calculation Sheet'!$C$37&lt;&gt;""),--ISNUMBER(SEARCH($H$4,'Final Calculation Sheet'!$C$37)))))</f>
        <v/>
      </c>
      <c r="DN39">
        <f>IF($I$4="",1,IF($I$4="(blank)",--('Final Calculation Sheet'!$H$37=""),IF($I$4="(nonblank)",--('Final Calculation Sheet'!$H$37&lt;&gt;""),--ISNUMBER(SEARCH($I$4,'Final Calculation Sheet'!$H$37)))))</f>
        <v/>
      </c>
      <c r="DO39">
        <f>IF($J$4="",1,IF($J$4="(blank)",--('Final Calculation Sheet'!$I$37=""),IF($J$4="(nonblank)",--('Final Calculation Sheet'!$I$37&lt;&gt;""),--ISNUMBER(SEARCH($J$4,'Final Calculation Sheet'!$I$37)))))</f>
        <v/>
      </c>
      <c r="DP39">
        <f>IF($K$4="",1,IF($K$4="(blank)",--('Final Calculation Sheet'!$J$37=""),IF($K$4="(nonblank)",--('Final Calculation Sheet'!$J$37&lt;&gt;""),--ISNUMBER(SEARCH($K$4,'Final Calculation Sheet'!$J$37)))))</f>
        <v/>
      </c>
      <c r="DQ39">
        <f>IF($L$4="",1,IF($L$4="(blank)",--('Final Calculation Sheet'!$K$37=""),IF($L$4="(nonblank)",--('Final Calculation Sheet'!$K$37&lt;&gt;""),--ISNUMBER(SEARCH($L$4,'Final Calculation Sheet'!$K$37)))))</f>
        <v/>
      </c>
      <c r="DR39">
        <f>IF($M$4="",1,IF($M$4="(blank)",--('Final Calculation Sheet'!$L$37=""),IF($M$4="(nonblank)",--('Final Calculation Sheet'!$L$37&lt;&gt;""),--ISNUMBER(SEARCH($M$4,'Final Calculation Sheet'!$L$37)))))</f>
        <v/>
      </c>
      <c r="DS39">
        <f>IF($N$4="",1,IF($N$4="(blank)",--('Final Calculation Sheet'!$M$37=""),IF($N$4="(nonblank)",--('Final Calculation Sheet'!$M$37&lt;&gt;""),--ISNUMBER(SEARCH($N$4,'Final Calculation Sheet'!$M$37)))))</f>
        <v/>
      </c>
      <c r="DT39">
        <f>IF($O$4="",1,IF($O$4="(blank)",--('Final Calculation Sheet'!$N$37=""),IF($O$4="(nonblank)",--('Final Calculation Sheet'!$N$37&lt;&gt;""),--ISNUMBER(SEARCH($O$4,'Final Calculation Sheet'!$N$37)))))</f>
        <v/>
      </c>
      <c r="DU39">
        <f>IF($P$4="",1,IF($P$4="(blank)",--('Final Calculation Sheet'!$O$37=""),IF($P$4="(nonblank)",--('Final Calculation Sheet'!$O$37&lt;&gt;""),--ISNUMBER(SEARCH($P$4,'Final Calculation Sheet'!$O$37)))))</f>
        <v/>
      </c>
      <c r="DV39">
        <f>IF($Q$4="",1,IF($Q$4="(blank)",--('Final Calculation Sheet'!$P$37=""),IF($Q$4="(nonblank)",--('Final Calculation Sheet'!$P$37&lt;&gt;""),--ISNUMBER(SEARCH($Q$4,'Final Calculation Sheet'!$P$37)))))</f>
        <v/>
      </c>
      <c r="DW39">
        <f>IF($R$4="",1,IF($R$4="(blank)",--('Final Calculation Sheet'!$Q$37=""),IF($R$4="(nonblank)",--('Final Calculation Sheet'!$Q$37&lt;&gt;""),--ISNUMBER(SEARCH($R$4,'Final Calculation Sheet'!$Q$37)))))</f>
        <v/>
      </c>
      <c r="DX39">
        <f>IF($S$4="",1,IF($S$4="(blank)",--('Final Calculation Sheet'!$R$37=""),IF($S$4="(nonblank)",--('Final Calculation Sheet'!$R$37&lt;&gt;""),--ISNUMBER(SEARCH($S$4,'Final Calculation Sheet'!$R$37)))))</f>
        <v/>
      </c>
      <c r="DY39">
        <f>IF($T$4="",1,IF($T$4="(blank)",--('Final Calculation Sheet'!$S$37=""),IF($T$4="(nonblank)",--('Final Calculation Sheet'!$S$37&lt;&gt;""),--ISNUMBER(SEARCH($T$4,'Final Calculation Sheet'!$S$37)))))</f>
        <v/>
      </c>
      <c r="DZ39">
        <f>IF($U$4="",1,IF($U$4="(blank)",--('Final Calculation Sheet'!$T$37=""),IF($U$4="(nonblank)",--('Final Calculation Sheet'!$T$37&lt;&gt;""),--ISNUMBER(SEARCH($U$4,'Final Calculation Sheet'!$T$37)))))</f>
        <v/>
      </c>
      <c r="EA39">
        <f>IF($V$4="",1,IF($V$4="(blank)",--('Final Calculation Sheet'!$U$37=""),IF($V$4="(nonblank)",--('Final Calculation Sheet'!$U$37&lt;&gt;""),--ISNUMBER(SEARCH($V$4,'Final Calculation Sheet'!$U$37)))))</f>
        <v/>
      </c>
      <c r="EB39">
        <f>IF($W$4="",1,IF($W$4="(blank)",--('Final Calculation Sheet'!$V$37=""),IF($W$4="(nonblank)",--('Final Calculation Sheet'!$V$37&lt;&gt;""),--ISNUMBER(SEARCH($W$4,'Final Calculation Sheet'!$V$37)))))</f>
        <v/>
      </c>
      <c r="EC39">
        <f>IF($X$4="",1,IF($X$4="(blank)",--('Final Calculation Sheet'!$W$37=""),IF($X$4="(nonblank)",--('Final Calculation Sheet'!$W$37&lt;&gt;""),--ISNUMBER(SEARCH($X$4,'Final Calculation Sheet'!$W$37)))))</f>
        <v/>
      </c>
      <c r="ED39">
        <f>IF($Y$4="",1,IF($Y$4="(blank)",--('Final Calculation Sheet'!$X$37=""),IF($Y$4="(nonblank)",--('Final Calculation Sheet'!$X$37&lt;&gt;""),--ISNUMBER(SEARCH($Y$4,'Final Calculation Sheet'!$X$37)))))</f>
        <v/>
      </c>
      <c r="EE39">
        <f>IF($Z$4="",1,IF($Z$4="(blank)",--('Final Calculation Sheet'!$Y$37=""),IF($Z$4="(nonblank)",--('Final Calculation Sheet'!$Y$37&lt;&gt;""),--ISNUMBER(SEARCH($Z$4,'Final Calculation Sheet'!$Y$37)))))</f>
        <v/>
      </c>
      <c r="EF39">
        <f>IF($AA$4="",1,IF($AA$4="(blank)",--('Final Calculation Sheet'!$Z$37=""),IF($AA$4="(nonblank)",--('Final Calculation Sheet'!$Z$37&lt;&gt;""),--ISNUMBER(SEARCH($AA$4,'Final Calculation Sheet'!$Z$37)))))</f>
        <v/>
      </c>
      <c r="EG39">
        <f>IF($AB$4="",1,IF($AB$4="(blank)",--('Final Calculation Sheet'!$AA$37=""),IF($AB$4="(nonblank)",--('Final Calculation Sheet'!$AA$37&lt;&gt;""),--ISNUMBER(SEARCH($AB$4,'Final Calculation Sheet'!$AA$37)))))</f>
        <v/>
      </c>
      <c r="EH39">
        <f>IF($AC$4="",1,IF($AC$4="(blank)",--('Final Calculation Sheet'!$AB$37=""),IF($AC$4="(nonblank)",--('Final Calculation Sheet'!$AB$37&lt;&gt;""),--ISNUMBER(SEARCH($AC$4,'Final Calculation Sheet'!$AB$37)))))</f>
        <v/>
      </c>
      <c r="EI39">
        <f>IF($AD$4="",1,IF($AD$4="(blank)",--('Final Calculation Sheet'!$AC$37=""),IF($AD$4="(nonblank)",--('Final Calculation Sheet'!$AC$37&lt;&gt;""),--ISNUMBER(SEARCH($AD$4,'Final Calculation Sheet'!$AC$37)))))</f>
        <v/>
      </c>
      <c r="EJ39">
        <f>IF($AE$4="",1,IF($AE$4="(blank)",--('Final Calculation Sheet'!$AD$37=""),IF($AE$4="(nonblank)",--('Final Calculation Sheet'!$AD$37&lt;&gt;""),--ISNUMBER(SEARCH($AE$4,'Final Calculation Sheet'!$AD$37)))))</f>
        <v/>
      </c>
      <c r="EK39">
        <f>IF($AF$4="",1,IF($AF$4="(blank)",--(IF('Final Calculation Sheet'!$AD$37&lt;=5,"SETTLED","OUTSTANDING")=""),IF($AF$4="(nonblank)",--(IF('Final Calculation Sheet'!$AD$37&lt;=5,"SETTLED","OUTSTANDING")&lt;&gt;""),--ISNUMBER(SEARCH($AF$4,IF('Final Calculation Sheet'!$AD$37&lt;=5,"SETTLED","OUTSTANDING"))))))</f>
        <v/>
      </c>
      <c r="EL39">
        <f>IF($AG$4="",1,IF($AG$4="(blank)",--('Final Calculation Sheet'!$AF$37=""),IF($AG$4="(nonblank)",--('Final Calculation Sheet'!$AF$37&lt;&gt;""),--ISNUMBER(SEARCH($AG$4,'Final Calculation Sheet'!$AF$37)))))</f>
        <v/>
      </c>
      <c r="EM39">
        <f>IF($AH$4="",1,IF($AH$4="(blank)",--('Final Calculation Sheet'!$AG$37=""),IF($AH$4="(nonblank)",--('Final Calculation Sheet'!$AG$37&lt;&gt;""),--ISNUMBER(SEARCH($AH$4,'Final Calculation Sheet'!$AG$37)))))</f>
        <v/>
      </c>
      <c r="EN39">
        <f>IF($AI$4="",1,IF($AI$4="(blank)",--('Final Calculation Sheet'!$AH$37=""),IF($AI$4="(nonblank)",--('Final Calculation Sheet'!$AH$37&lt;&gt;""),--ISNUMBER(SEARCH($AI$4,'Final Calculation Sheet'!$AH$37)))))</f>
        <v/>
      </c>
    </row>
    <row r="40" outlineLevel="1" hidden="1">
      <c r="A40" s="128">
        <f>IF($AL$40="","",34)</f>
        <v/>
      </c>
      <c r="B40" s="129">
        <f>IF($AL$40="","",IF(INDEX('Final Calculation Sheet'!$F$4:$F$40,$AL$40)="","",INDEX('Final Calculation Sheet'!$F$4:$F$40,$AL$40)))</f>
        <v/>
      </c>
      <c r="C40" s="129">
        <f>IF($AL$40="","",IF(INDEX('Final Calculation Sheet'!$G$4:$G$40,$AL$40)="","",INDEX('Final Calculation Sheet'!$G$4:$G$40,$AL$40)))</f>
        <v/>
      </c>
      <c r="D40" s="130">
        <f>IF($AL$40="","",IF(INDEX('Final Calculation Sheet'!$B$4:$B$40,$AL$40)="","",INDEX('Final Calculation Sheet'!$B$4:$B$40,$AL$40)))</f>
        <v/>
      </c>
      <c r="E40" s="130">
        <f>IF($AL$40="","",IF(INDEX('Final Calculation Sheet'!$D$4:$D$40,$AL$40)="","",INDEX('Final Calculation Sheet'!$D$4:$D$40,$AL$40)))</f>
        <v/>
      </c>
      <c r="F40" s="130">
        <f>IF($AL$40="","",IF(INDEX('Final Calculation Sheet'!$A$4:$A$40,$AL$40)="","",INDEX('Final Calculation Sheet'!$A$4:$A$40,$AL$40)))</f>
        <v/>
      </c>
      <c r="G40" s="130">
        <f>IF($AL$40="","",IF(INDEX('Final Calculation Sheet'!$E$4:$E$40,$AL$40)="","",INDEX('Final Calculation Sheet'!$E$4:$E$40,$AL$40)))</f>
        <v/>
      </c>
      <c r="H40" s="131">
        <f>IF($AL$40="","",IF(INDEX('Final Calculation Sheet'!$C$4:$C$40,$AL$40)="","",INDEX('Final Calculation Sheet'!$C$4:$C$40,$AL$40)))</f>
        <v/>
      </c>
      <c r="I40" s="131">
        <f>IF($AL$40="","",IF(INDEX('Final Calculation Sheet'!$H$4:$H$40,$AL$40)="","",INDEX('Final Calculation Sheet'!$H$4:$H$40,$AL$40)))</f>
        <v/>
      </c>
      <c r="J40" s="131">
        <f>IF($AL$40="","",IF(INDEX('Final Calculation Sheet'!$I$4:$I$40,$AL$40)="","",INDEX('Final Calculation Sheet'!$I$4:$I$40,$AL$40)))</f>
        <v/>
      </c>
      <c r="K40" s="131">
        <f>IF($AL$40="","",IF(INDEX('Final Calculation Sheet'!$J$4:$J$40,$AL$40)="","",INDEX('Final Calculation Sheet'!$J$4:$J$40,$AL$40)))</f>
        <v/>
      </c>
      <c r="L40" s="131">
        <f>IF($AL$40="","",IF(INDEX('Final Calculation Sheet'!$K$4:$K$40,$AL$40)="","",INDEX('Final Calculation Sheet'!$K$4:$K$40,$AL$40)))</f>
        <v/>
      </c>
      <c r="M40" s="131">
        <f>IF($AL$40="","",IF(INDEX('Final Calculation Sheet'!$L$4:$L$40,$AL$40)="","",INDEX('Final Calculation Sheet'!$L$4:$L$40,$AL$40)))</f>
        <v/>
      </c>
      <c r="N40" s="131">
        <f>IF($AL$40="","",IF(INDEX('Final Calculation Sheet'!$M$4:$M$40,$AL$40)="","",INDEX('Final Calculation Sheet'!$M$4:$M$40,$AL$40)))</f>
        <v/>
      </c>
      <c r="O40" s="132">
        <f>IF($AL$40="","",IF(INDEX('Final Calculation Sheet'!$N$4:$N$40,$AL$40)="","",INDEX('Final Calculation Sheet'!$N$4:$N$40,$AL$40)))</f>
        <v/>
      </c>
      <c r="P40" s="131">
        <f>IF($AL$40="","",IF(INDEX('Final Calculation Sheet'!$O$4:$O$40,$AL$40)="","",INDEX('Final Calculation Sheet'!$O$4:$O$40,$AL$40)))</f>
        <v/>
      </c>
      <c r="Q40" s="131">
        <f>IF($AL$40="","",IF(INDEX('Final Calculation Sheet'!$P$4:$P$40,$AL$40)="","",INDEX('Final Calculation Sheet'!$P$4:$P$40,$AL$40)))</f>
        <v/>
      </c>
      <c r="R40" s="133">
        <f>IF($AL$40="","",IF(INDEX('Final Calculation Sheet'!$Q$4:$Q$40,$AL$40)="","",INDEX('Final Calculation Sheet'!$Q$4:$Q$40,$AL$40)))</f>
        <v/>
      </c>
      <c r="S40" s="131">
        <f>IF($AL$40="","",IF(INDEX('Final Calculation Sheet'!$R$4:$R$40,$AL$40)="","",INDEX('Final Calculation Sheet'!$R$4:$R$40,$AL$40)))</f>
        <v/>
      </c>
      <c r="T40" s="131">
        <f>IF($AL$40="","",IF(INDEX('Final Calculation Sheet'!$S$4:$S$40,$AL$40)="","",INDEX('Final Calculation Sheet'!$S$4:$S$40,$AL$40)))</f>
        <v/>
      </c>
      <c r="U40" s="131">
        <f>IF($AL$40="","",IF(INDEX('Final Calculation Sheet'!$T$4:$T$40,$AL$40)="","",INDEX('Final Calculation Sheet'!$T$4:$T$40,$AL$40)))</f>
        <v/>
      </c>
      <c r="V40" s="134">
        <f>IF($AL$40="","",IF(INDEX('Final Calculation Sheet'!$U$4:$U$40,$AL$40)="","",INDEX('Final Calculation Sheet'!$U$4:$U$40,$AL$40)))</f>
        <v/>
      </c>
      <c r="W40" s="131">
        <f>IF($AL$40="","",IF(INDEX('Final Calculation Sheet'!$V$4:$V$40,$AL$40)="","",INDEX('Final Calculation Sheet'!$V$4:$V$40,$AL$40)))</f>
        <v/>
      </c>
      <c r="X40" s="131">
        <f>IF($AL$40="","",IF(INDEX('Final Calculation Sheet'!$W$4:$W$40,$AL$40)="","",INDEX('Final Calculation Sheet'!$W$4:$W$40,$AL$40)))</f>
        <v/>
      </c>
      <c r="Y40" s="131">
        <f>IF($AL$40="","",IF(INDEX('Final Calculation Sheet'!$X$4:$X$40,$AL$40)="","",INDEX('Final Calculation Sheet'!$X$4:$X$40,$AL$40)))</f>
        <v/>
      </c>
      <c r="Z40" s="131">
        <f>IF($AL$40="","",IF(INDEX('Final Calculation Sheet'!$Y$4:$Y$40,$AL$40)="","",INDEX('Final Calculation Sheet'!$Y$4:$Y$40,$AL$40)))</f>
        <v/>
      </c>
      <c r="AA40" s="131">
        <f>IF($AL$40="","",IF(INDEX('Final Calculation Sheet'!$Z$4:$Z$40,$AL$40)="","",INDEX('Final Calculation Sheet'!$Z$4:$Z$40,$AL$40)))</f>
        <v/>
      </c>
      <c r="AB40" s="131">
        <f>IF($AL$40="","",IF(INDEX('Final Calculation Sheet'!$AA$4:$AA$40,$AL$40)="","",INDEX('Final Calculation Sheet'!$AA$4:$AA$40,$AL$40)))</f>
        <v/>
      </c>
      <c r="AC40" s="131">
        <f>IF($AL$40="","",IF(INDEX('Final Calculation Sheet'!$AB$4:$AB$40,$AL$40)="","",INDEX('Final Calculation Sheet'!$AB$4:$AB$40,$AL$40)))</f>
        <v/>
      </c>
      <c r="AD40" s="131">
        <f>IF($AL$40="","",IF(INDEX('Final Calculation Sheet'!$AC$4:$AC$40,$AL$40)="","",INDEX('Final Calculation Sheet'!$AC$4:$AC$40,$AL$40)))</f>
        <v/>
      </c>
      <c r="AE40" s="131">
        <f>IF($AL$40="","",IF(INDEX('Final Calculation Sheet'!$AD$4:$AD$40,$AL$40)="","",INDEX('Final Calculation Sheet'!$AD$4:$AD$40,$AL$40)))</f>
        <v/>
      </c>
      <c r="AF40" s="136">
        <f>IF($AL$40="","",IF(INDEX('Final Calculation Sheet'!$AD$4:$AD$40,$AL$40)&lt;=5,"SETTLED","OUTSTANDING"))</f>
        <v/>
      </c>
      <c r="AG40" s="131">
        <f>IF($AL$40="","",IF(INDEX('Final Calculation Sheet'!$AF$4:$AF$40,$AL$40)="","",INDEX('Final Calculation Sheet'!$AF$4:$AF$40,$AL$40)))</f>
        <v/>
      </c>
      <c r="AH40" s="135">
        <f>IF($AL$40="","",IF(INDEX('Final Calculation Sheet'!$AG$4:$AG$40,$AL$40)="","",INDEX('Final Calculation Sheet'!$AG$4:$AG$40,$AL$40)))</f>
        <v/>
      </c>
      <c r="AI40" s="131">
        <f>IF($AL$40="","",IF(INDEX('Final Calculation Sheet'!$AH$4:$AH$40,$AL$40)="","",INDEX('Final Calculation Sheet'!$AH$4:$AH$40,$AL$40)))</f>
        <v/>
      </c>
      <c r="AJ40">
        <f>IF(AND(IF($B$4="",TRUE(),IF($B$4="(blank)",'Final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Sheet'!$AD$38&lt;=5,"SETTLED","OUTSTANDING"))))))),1,0)</f>
      </c>
      <c r="AK40">
        <f>IF(AJ40=1,COUNTIF(AJ$6:AJ40,1),"")</f>
        <v/>
      </c>
      <c r="AL40">
        <f>IF(COUNTIF($B$4:$AI$4,"&lt;&gt;")=0,"",IFERROR(MATCH(34,$AK$6:$AK$42,0),""))</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CU39+IF(AND(Lists!$FI$40&lt;&gt;"",ISNUMBER(SEARCH($AG$4,Lists!$FI$40))),1,0)</f>
        <v/>
      </c>
      <c r="CV40">
        <f>IF(ROW()-3&gt;MAX($CU$4:$CU$42),"",INDEX(Lists!$FI$4:$FI$42,MATCH(ROW()-3,$CU$4:$CU$42,0)))</f>
        <v/>
      </c>
      <c r="CW40">
        <f>CW39+IF(AND(Lists!$FN$40&lt;&gt;"",ISNUMBER(SEARCH($AH$4,Lists!$FN$40))),1,0)</f>
        <v/>
      </c>
      <c r="CX40">
        <f>IF(ROW()-3&gt;MAX($CW$4:$CW$42),"",INDEX(Lists!$FN$4:$FN$42,MATCH(ROW()-3,$CW$4:$CW$42,0)))</f>
        <v/>
      </c>
      <c r="CY40">
        <f>CY39+IF(AND(Lists!$FS$40&lt;&gt;"",ISNUMBER(SEARCH($AI$4,Lists!$FS$40))),1,0)</f>
        <v/>
      </c>
      <c r="CZ40">
        <f>IF(ROW()-3&gt;MAX($CY$4:$CY$42),"",INDEX(Lists!$FS$4:$FS$42,MATCH(ROW()-3,$CY$4:$CY$42,0)))</f>
        <v/>
      </c>
      <c r="DA40">
        <f>DA39+IF(AND(Lists!$FX$40&lt;&gt;"",ISNUMBER(SEARCH($AF$4,Lists!$FX$40))),1,0)</f>
        <v/>
      </c>
      <c r="DB40">
        <f>IF(ROW()-3&gt;MAX($DA$4:$DA$42),"",INDEX(Lists!$FX$4:$FX$42,MATCH(ROW()-3,$DA$4:$DA$42,0)))</f>
        <v/>
      </c>
      <c r="DG40">
        <f>IF($B$4="",1,IF($B$4="(blank)",--('Final Calculation Sheet'!$F$38=""),IF($B$4="(nonblank)",--('Final Calculation Sheet'!$F$38&lt;&gt;""),--ISNUMBER(SEARCH($B$4,'Final Calculation Sheet'!$F$38)))))</f>
        <v/>
      </c>
      <c r="DH40">
        <f>IF($C$4="",1,IF($C$4="(blank)",--('Final Calculation Sheet'!$G$38=""),IF($C$4="(nonblank)",--('Final Calculation Sheet'!$G$38&lt;&gt;""),--ISNUMBER(SEARCH($C$4,'Final Calculation Sheet'!$G$38)))))</f>
        <v/>
      </c>
      <c r="DI40">
        <f>IF($D$4="",1,IF($D$4="(blank)",--('Final Calculation Sheet'!$B$38=""),IF($D$4="(nonblank)",--('Final Calculation Sheet'!$B$38&lt;&gt;""),--ISNUMBER(SEARCH($D$4,'Final Calculation Sheet'!$B$38)))))</f>
        <v/>
      </c>
      <c r="DJ40">
        <f>IF($E$4="",1,IF($E$4="(blank)",--('Final Calculation Sheet'!$D$38=""),IF($E$4="(nonblank)",--('Final Calculation Sheet'!$D$38&lt;&gt;""),--ISNUMBER(SEARCH($E$4,'Final Calculation Sheet'!$D$38)))))</f>
        <v/>
      </c>
      <c r="DK40">
        <f>IF($F$4="",1,IF($F$4="(blank)",--('Final Calculation Sheet'!$A$38=""),IF($F$4="(nonblank)",--('Final Calculation Sheet'!$A$38&lt;&gt;""),--ISNUMBER(SEARCH($F$4,'Final Calculation Sheet'!$A$38)))))</f>
        <v/>
      </c>
      <c r="DL40">
        <f>IF($G$4="",1,IF($G$4="(blank)",--('Final Calculation Sheet'!$E$38=""),IF($G$4="(nonblank)",--('Final Calculation Sheet'!$E$38&lt;&gt;""),--ISNUMBER(SEARCH($G$4,'Final Calculation Sheet'!$E$38)))))</f>
        <v/>
      </c>
      <c r="DM40">
        <f>IF($H$4="",1,IF($H$4="(blank)",--('Final Calculation Sheet'!$C$38=""),IF($H$4="(nonblank)",--('Final Calculation Sheet'!$C$38&lt;&gt;""),--ISNUMBER(SEARCH($H$4,'Final Calculation Sheet'!$C$38)))))</f>
        <v/>
      </c>
      <c r="DN40">
        <f>IF($I$4="",1,IF($I$4="(blank)",--('Final Calculation Sheet'!$H$38=""),IF($I$4="(nonblank)",--('Final Calculation Sheet'!$H$38&lt;&gt;""),--ISNUMBER(SEARCH($I$4,'Final Calculation Sheet'!$H$38)))))</f>
        <v/>
      </c>
      <c r="DO40">
        <f>IF($J$4="",1,IF($J$4="(blank)",--('Final Calculation Sheet'!$I$38=""),IF($J$4="(nonblank)",--('Final Calculation Sheet'!$I$38&lt;&gt;""),--ISNUMBER(SEARCH($J$4,'Final Calculation Sheet'!$I$38)))))</f>
        <v/>
      </c>
      <c r="DP40">
        <f>IF($K$4="",1,IF($K$4="(blank)",--('Final Calculation Sheet'!$J$38=""),IF($K$4="(nonblank)",--('Final Calculation Sheet'!$J$38&lt;&gt;""),--ISNUMBER(SEARCH($K$4,'Final Calculation Sheet'!$J$38)))))</f>
        <v/>
      </c>
      <c r="DQ40">
        <f>IF($L$4="",1,IF($L$4="(blank)",--('Final Calculation Sheet'!$K$38=""),IF($L$4="(nonblank)",--('Final Calculation Sheet'!$K$38&lt;&gt;""),--ISNUMBER(SEARCH($L$4,'Final Calculation Sheet'!$K$38)))))</f>
        <v/>
      </c>
      <c r="DR40">
        <f>IF($M$4="",1,IF($M$4="(blank)",--('Final Calculation Sheet'!$L$38=""),IF($M$4="(nonblank)",--('Final Calculation Sheet'!$L$38&lt;&gt;""),--ISNUMBER(SEARCH($M$4,'Final Calculation Sheet'!$L$38)))))</f>
        <v/>
      </c>
      <c r="DS40">
        <f>IF($N$4="",1,IF($N$4="(blank)",--('Final Calculation Sheet'!$M$38=""),IF($N$4="(nonblank)",--('Final Calculation Sheet'!$M$38&lt;&gt;""),--ISNUMBER(SEARCH($N$4,'Final Calculation Sheet'!$M$38)))))</f>
        <v/>
      </c>
      <c r="DT40">
        <f>IF($O$4="",1,IF($O$4="(blank)",--('Final Calculation Sheet'!$N$38=""),IF($O$4="(nonblank)",--('Final Calculation Sheet'!$N$38&lt;&gt;""),--ISNUMBER(SEARCH($O$4,'Final Calculation Sheet'!$N$38)))))</f>
        <v/>
      </c>
      <c r="DU40">
        <f>IF($P$4="",1,IF($P$4="(blank)",--('Final Calculation Sheet'!$O$38=""),IF($P$4="(nonblank)",--('Final Calculation Sheet'!$O$38&lt;&gt;""),--ISNUMBER(SEARCH($P$4,'Final Calculation Sheet'!$O$38)))))</f>
        <v/>
      </c>
      <c r="DV40">
        <f>IF($Q$4="",1,IF($Q$4="(blank)",--('Final Calculation Sheet'!$P$38=""),IF($Q$4="(nonblank)",--('Final Calculation Sheet'!$P$38&lt;&gt;""),--ISNUMBER(SEARCH($Q$4,'Final Calculation Sheet'!$P$38)))))</f>
        <v/>
      </c>
      <c r="DW40">
        <f>IF($R$4="",1,IF($R$4="(blank)",--('Final Calculation Sheet'!$Q$38=""),IF($R$4="(nonblank)",--('Final Calculation Sheet'!$Q$38&lt;&gt;""),--ISNUMBER(SEARCH($R$4,'Final Calculation Sheet'!$Q$38)))))</f>
        <v/>
      </c>
      <c r="DX40">
        <f>IF($S$4="",1,IF($S$4="(blank)",--('Final Calculation Sheet'!$R$38=""),IF($S$4="(nonblank)",--('Final Calculation Sheet'!$R$38&lt;&gt;""),--ISNUMBER(SEARCH($S$4,'Final Calculation Sheet'!$R$38)))))</f>
        <v/>
      </c>
      <c r="DY40">
        <f>IF($T$4="",1,IF($T$4="(blank)",--('Final Calculation Sheet'!$S$38=""),IF($T$4="(nonblank)",--('Final Calculation Sheet'!$S$38&lt;&gt;""),--ISNUMBER(SEARCH($T$4,'Final Calculation Sheet'!$S$38)))))</f>
        <v/>
      </c>
      <c r="DZ40">
        <f>IF($U$4="",1,IF($U$4="(blank)",--('Final Calculation Sheet'!$T$38=""),IF($U$4="(nonblank)",--('Final Calculation Sheet'!$T$38&lt;&gt;""),--ISNUMBER(SEARCH($U$4,'Final Calculation Sheet'!$T$38)))))</f>
        <v/>
      </c>
      <c r="EA40">
        <f>IF($V$4="",1,IF($V$4="(blank)",--('Final Calculation Sheet'!$U$38=""),IF($V$4="(nonblank)",--('Final Calculation Sheet'!$U$38&lt;&gt;""),--ISNUMBER(SEARCH($V$4,'Final Calculation Sheet'!$U$38)))))</f>
        <v/>
      </c>
      <c r="EB40">
        <f>IF($W$4="",1,IF($W$4="(blank)",--('Final Calculation Sheet'!$V$38=""),IF($W$4="(nonblank)",--('Final Calculation Sheet'!$V$38&lt;&gt;""),--ISNUMBER(SEARCH($W$4,'Final Calculation Sheet'!$V$38)))))</f>
        <v/>
      </c>
      <c r="EC40">
        <f>IF($X$4="",1,IF($X$4="(blank)",--('Final Calculation Sheet'!$W$38=""),IF($X$4="(nonblank)",--('Final Calculation Sheet'!$W$38&lt;&gt;""),--ISNUMBER(SEARCH($X$4,'Final Calculation Sheet'!$W$38)))))</f>
        <v/>
      </c>
      <c r="ED40">
        <f>IF($Y$4="",1,IF($Y$4="(blank)",--('Final Calculation Sheet'!$X$38=""),IF($Y$4="(nonblank)",--('Final Calculation Sheet'!$X$38&lt;&gt;""),--ISNUMBER(SEARCH($Y$4,'Final Calculation Sheet'!$X$38)))))</f>
        <v/>
      </c>
      <c r="EE40">
        <f>IF($Z$4="",1,IF($Z$4="(blank)",--('Final Calculation Sheet'!$Y$38=""),IF($Z$4="(nonblank)",--('Final Calculation Sheet'!$Y$38&lt;&gt;""),--ISNUMBER(SEARCH($Z$4,'Final Calculation Sheet'!$Y$38)))))</f>
        <v/>
      </c>
      <c r="EF40">
        <f>IF($AA$4="",1,IF($AA$4="(blank)",--('Final Calculation Sheet'!$Z$38=""),IF($AA$4="(nonblank)",--('Final Calculation Sheet'!$Z$38&lt;&gt;""),--ISNUMBER(SEARCH($AA$4,'Final Calculation Sheet'!$Z$38)))))</f>
        <v/>
      </c>
      <c r="EG40">
        <f>IF($AB$4="",1,IF($AB$4="(blank)",--('Final Calculation Sheet'!$AA$38=""),IF($AB$4="(nonblank)",--('Final Calculation Sheet'!$AA$38&lt;&gt;""),--ISNUMBER(SEARCH($AB$4,'Final Calculation Sheet'!$AA$38)))))</f>
        <v/>
      </c>
      <c r="EH40">
        <f>IF($AC$4="",1,IF($AC$4="(blank)",--('Final Calculation Sheet'!$AB$38=""),IF($AC$4="(nonblank)",--('Final Calculation Sheet'!$AB$38&lt;&gt;""),--ISNUMBER(SEARCH($AC$4,'Final Calculation Sheet'!$AB$38)))))</f>
        <v/>
      </c>
      <c r="EI40">
        <f>IF($AD$4="",1,IF($AD$4="(blank)",--('Final Calculation Sheet'!$AC$38=""),IF($AD$4="(nonblank)",--('Final Calculation Sheet'!$AC$38&lt;&gt;""),--ISNUMBER(SEARCH($AD$4,'Final Calculation Sheet'!$AC$38)))))</f>
        <v/>
      </c>
      <c r="EJ40">
        <f>IF($AE$4="",1,IF($AE$4="(blank)",--('Final Calculation Sheet'!$AD$38=""),IF($AE$4="(nonblank)",--('Final Calculation Sheet'!$AD$38&lt;&gt;""),--ISNUMBER(SEARCH($AE$4,'Final Calculation Sheet'!$AD$38)))))</f>
        <v/>
      </c>
      <c r="EK40">
        <f>IF($AF$4="",1,IF($AF$4="(blank)",--(IF('Final Calculation Sheet'!$AD$38&lt;=5,"SETTLED","OUTSTANDING")=""),IF($AF$4="(nonblank)",--(IF('Final Calculation Sheet'!$AD$38&lt;=5,"SETTLED","OUTSTANDING")&lt;&gt;""),--ISNUMBER(SEARCH($AF$4,IF('Final Calculation Sheet'!$AD$38&lt;=5,"SETTLED","OUTSTANDING"))))))</f>
        <v/>
      </c>
      <c r="EL40">
        <f>IF($AG$4="",1,IF($AG$4="(blank)",--('Final Calculation Sheet'!$AF$38=""),IF($AG$4="(nonblank)",--('Final Calculation Sheet'!$AF$38&lt;&gt;""),--ISNUMBER(SEARCH($AG$4,'Final Calculation Sheet'!$AF$38)))))</f>
        <v/>
      </c>
      <c r="EM40">
        <f>IF($AH$4="",1,IF($AH$4="(blank)",--('Final Calculation Sheet'!$AG$38=""),IF($AH$4="(nonblank)",--('Final Calculation Sheet'!$AG$38&lt;&gt;""),--ISNUMBER(SEARCH($AH$4,'Final Calculation Sheet'!$AG$38)))))</f>
        <v/>
      </c>
      <c r="EN40">
        <f>IF($AI$4="",1,IF($AI$4="(blank)",--('Final Calculation Sheet'!$AH$38=""),IF($AI$4="(nonblank)",--('Final Calculation Sheet'!$AH$38&lt;&gt;""),--ISNUMBER(SEARCH($AI$4,'Final Calculation Sheet'!$AH$38)))))</f>
        <v/>
      </c>
    </row>
    <row r="41" outlineLevel="1" hidden="1">
      <c r="A41" s="118">
        <f>IF($AL$41="","",35)</f>
        <v/>
      </c>
      <c r="B41" s="119">
        <f>IF($AL$41="","",IF(INDEX('Final Calculation Sheet'!$F$4:$F$40,$AL$41)="","",INDEX('Final Calculation Sheet'!$F$4:$F$40,$AL$41)))</f>
        <v/>
      </c>
      <c r="C41" s="119">
        <f>IF($AL$41="","",IF(INDEX('Final Calculation Sheet'!$G$4:$G$40,$AL$41)="","",INDEX('Final Calculation Sheet'!$G$4:$G$40,$AL$41)))</f>
        <v/>
      </c>
      <c r="D41" s="121">
        <f>IF($AL$41="","",IF(INDEX('Final Calculation Sheet'!$B$4:$B$40,$AL$41)="","",INDEX('Final Calculation Sheet'!$B$4:$B$40,$AL$41)))</f>
        <v/>
      </c>
      <c r="E41" s="121">
        <f>IF($AL$41="","",IF(INDEX('Final Calculation Sheet'!$D$4:$D$40,$AL$41)="","",INDEX('Final Calculation Sheet'!$D$4:$D$40,$AL$41)))</f>
        <v/>
      </c>
      <c r="F41" s="121">
        <f>IF($AL$41="","",IF(INDEX('Final Calculation Sheet'!$A$4:$A$40,$AL$41)="","",INDEX('Final Calculation Sheet'!$A$4:$A$40,$AL$41)))</f>
        <v/>
      </c>
      <c r="G41" s="121">
        <f>IF($AL$41="","",IF(INDEX('Final Calculation Sheet'!$E$4:$E$40,$AL$41)="","",INDEX('Final Calculation Sheet'!$E$4:$E$40,$AL$41)))</f>
        <v/>
      </c>
      <c r="H41" s="122">
        <f>IF($AL$41="","",IF(INDEX('Final Calculation Sheet'!$C$4:$C$40,$AL$41)="","",INDEX('Final Calculation Sheet'!$C$4:$C$40,$AL$41)))</f>
        <v/>
      </c>
      <c r="I41" s="122">
        <f>IF($AL$41="","",IF(INDEX('Final Calculation Sheet'!$H$4:$H$40,$AL$41)="","",INDEX('Final Calculation Sheet'!$H$4:$H$40,$AL$41)))</f>
        <v/>
      </c>
      <c r="J41" s="122">
        <f>IF($AL$41="","",IF(INDEX('Final Calculation Sheet'!$I$4:$I$40,$AL$41)="","",INDEX('Final Calculation Sheet'!$I$4:$I$40,$AL$41)))</f>
        <v/>
      </c>
      <c r="K41" s="122">
        <f>IF($AL$41="","",IF(INDEX('Final Calculation Sheet'!$J$4:$J$40,$AL$41)="","",INDEX('Final Calculation Sheet'!$J$4:$J$40,$AL$41)))</f>
        <v/>
      </c>
      <c r="L41" s="122">
        <f>IF($AL$41="","",IF(INDEX('Final Calculation Sheet'!$K$4:$K$40,$AL$41)="","",INDEX('Final Calculation Sheet'!$K$4:$K$40,$AL$41)))</f>
        <v/>
      </c>
      <c r="M41" s="122">
        <f>IF($AL$41="","",IF(INDEX('Final Calculation Sheet'!$L$4:$L$40,$AL$41)="","",INDEX('Final Calculation Sheet'!$L$4:$L$40,$AL$41)))</f>
        <v/>
      </c>
      <c r="N41" s="122">
        <f>IF($AL$41="","",IF(INDEX('Final Calculation Sheet'!$M$4:$M$40,$AL$41)="","",INDEX('Final Calculation Sheet'!$M$4:$M$40,$AL$41)))</f>
        <v/>
      </c>
      <c r="O41" s="123">
        <f>IF($AL$41="","",IF(INDEX('Final Calculation Sheet'!$N$4:$N$40,$AL$41)="","",INDEX('Final Calculation Sheet'!$N$4:$N$40,$AL$41)))</f>
        <v/>
      </c>
      <c r="P41" s="122">
        <f>IF($AL$41="","",IF(INDEX('Final Calculation Sheet'!$O$4:$O$40,$AL$41)="","",INDEX('Final Calculation Sheet'!$O$4:$O$40,$AL$41)))</f>
        <v/>
      </c>
      <c r="Q41" s="122">
        <f>IF($AL$41="","",IF(INDEX('Final Calculation Sheet'!$P$4:$P$40,$AL$41)="","",INDEX('Final Calculation Sheet'!$P$4:$P$40,$AL$41)))</f>
        <v/>
      </c>
      <c r="R41" s="124">
        <f>IF($AL$41="","",IF(INDEX('Final Calculation Sheet'!$Q$4:$Q$40,$AL$41)="","",INDEX('Final Calculation Sheet'!$Q$4:$Q$40,$AL$41)))</f>
        <v/>
      </c>
      <c r="S41" s="122">
        <f>IF($AL$41="","",IF(INDEX('Final Calculation Sheet'!$R$4:$R$40,$AL$41)="","",INDEX('Final Calculation Sheet'!$R$4:$R$40,$AL$41)))</f>
        <v/>
      </c>
      <c r="T41" s="122">
        <f>IF($AL$41="","",IF(INDEX('Final Calculation Sheet'!$S$4:$S$40,$AL$41)="","",INDEX('Final Calculation Sheet'!$S$4:$S$40,$AL$41)))</f>
        <v/>
      </c>
      <c r="U41" s="122">
        <f>IF($AL$41="","",IF(INDEX('Final Calculation Sheet'!$T$4:$T$40,$AL$41)="","",INDEX('Final Calculation Sheet'!$T$4:$T$40,$AL$41)))</f>
        <v/>
      </c>
      <c r="V41" s="125">
        <f>IF($AL$41="","",IF(INDEX('Final Calculation Sheet'!$U$4:$U$40,$AL$41)="","",INDEX('Final Calculation Sheet'!$U$4:$U$40,$AL$41)))</f>
        <v/>
      </c>
      <c r="W41" s="122">
        <f>IF($AL$41="","",IF(INDEX('Final Calculation Sheet'!$V$4:$V$40,$AL$41)="","",INDEX('Final Calculation Sheet'!$V$4:$V$40,$AL$41)))</f>
        <v/>
      </c>
      <c r="X41" s="122">
        <f>IF($AL$41="","",IF(INDEX('Final Calculation Sheet'!$W$4:$W$40,$AL$41)="","",INDEX('Final Calculation Sheet'!$W$4:$W$40,$AL$41)))</f>
        <v/>
      </c>
      <c r="Y41" s="122">
        <f>IF($AL$41="","",IF(INDEX('Final Calculation Sheet'!$X$4:$X$40,$AL$41)="","",INDEX('Final Calculation Sheet'!$X$4:$X$40,$AL$41)))</f>
        <v/>
      </c>
      <c r="Z41" s="122">
        <f>IF($AL$41="","",IF(INDEX('Final Calculation Sheet'!$Y$4:$Y$40,$AL$41)="","",INDEX('Final Calculation Sheet'!$Y$4:$Y$40,$AL$41)))</f>
        <v/>
      </c>
      <c r="AA41" s="122">
        <f>IF($AL$41="","",IF(INDEX('Final Calculation Sheet'!$Z$4:$Z$40,$AL$41)="","",INDEX('Final Calculation Sheet'!$Z$4:$Z$40,$AL$41)))</f>
        <v/>
      </c>
      <c r="AB41" s="122">
        <f>IF($AL$41="","",IF(INDEX('Final Calculation Sheet'!$AA$4:$AA$40,$AL$41)="","",INDEX('Final Calculation Sheet'!$AA$4:$AA$40,$AL$41)))</f>
        <v/>
      </c>
      <c r="AC41" s="122">
        <f>IF($AL$41="","",IF(INDEX('Final Calculation Sheet'!$AB$4:$AB$40,$AL$41)="","",INDEX('Final Calculation Sheet'!$AB$4:$AB$40,$AL$41)))</f>
        <v/>
      </c>
      <c r="AD41" s="122">
        <f>IF($AL$41="","",IF(INDEX('Final Calculation Sheet'!$AC$4:$AC$40,$AL$41)="","",INDEX('Final Calculation Sheet'!$AC$4:$AC$40,$AL$41)))</f>
        <v/>
      </c>
      <c r="AE41" s="122">
        <f>IF($AL$41="","",IF(INDEX('Final Calculation Sheet'!$AD$4:$AD$40,$AL$41)="","",INDEX('Final Calculation Sheet'!$AD$4:$AD$40,$AL$41)))</f>
        <v/>
      </c>
      <c r="AF41" s="127">
        <f>IF($AL$41="","",IF(INDEX('Final Calculation Sheet'!$AD$4:$AD$40,$AL$41)&lt;=5,"SETTLED","OUTSTANDING"))</f>
        <v/>
      </c>
      <c r="AG41" s="122">
        <f>IF($AL$41="","",IF(INDEX('Final Calculation Sheet'!$AF$4:$AF$40,$AL$41)="","",INDEX('Final Calculation Sheet'!$AF$4:$AF$40,$AL$41)))</f>
        <v/>
      </c>
      <c r="AH41" s="126">
        <f>IF($AL$41="","",IF(INDEX('Final Calculation Sheet'!$AG$4:$AG$40,$AL$41)="","",INDEX('Final Calculation Sheet'!$AG$4:$AG$40,$AL$41)))</f>
        <v/>
      </c>
      <c r="AI41" s="122">
        <f>IF($AL$41="","",IF(INDEX('Final Calculation Sheet'!$AH$4:$AH$40,$AL$41)="","",INDEX('Final Calculation Sheet'!$AH$4:$AH$40,$AL$41)))</f>
        <v/>
      </c>
      <c r="AJ41">
        <f>IF(AND(IF($B$4="",TRUE(),IF($B$4="(blank)",'Final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Sheet'!$AD$39&lt;=5,"SETTLED","OUTSTANDING"))))))),1,0)</f>
      </c>
      <c r="AK41">
        <f>IF(AJ41=1,COUNTIF(AJ$6:AJ41,1),"")</f>
        <v/>
      </c>
      <c r="AL41">
        <f>IF(COUNTIF($B$4:$AI$4,"&lt;&gt;")=0,"",IFERROR(MATCH(35,$AK$6:$AK$42,0),""))</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CU40+IF(AND(Lists!$FI$41&lt;&gt;"",ISNUMBER(SEARCH($AG$4,Lists!$FI$41))),1,0)</f>
        <v/>
      </c>
      <c r="CV41">
        <f>IF(ROW()-3&gt;MAX($CU$4:$CU$42),"",INDEX(Lists!$FI$4:$FI$42,MATCH(ROW()-3,$CU$4:$CU$42,0)))</f>
        <v/>
      </c>
      <c r="CW41">
        <f>CW40+IF(AND(Lists!$FN$41&lt;&gt;"",ISNUMBER(SEARCH($AH$4,Lists!$FN$41))),1,0)</f>
        <v/>
      </c>
      <c r="CX41">
        <f>IF(ROW()-3&gt;MAX($CW$4:$CW$42),"",INDEX(Lists!$FN$4:$FN$42,MATCH(ROW()-3,$CW$4:$CW$42,0)))</f>
        <v/>
      </c>
      <c r="CY41">
        <f>CY40+IF(AND(Lists!$FS$41&lt;&gt;"",ISNUMBER(SEARCH($AI$4,Lists!$FS$41))),1,0)</f>
        <v/>
      </c>
      <c r="CZ41">
        <f>IF(ROW()-3&gt;MAX($CY$4:$CY$42),"",INDEX(Lists!$FS$4:$FS$42,MATCH(ROW()-3,$CY$4:$CY$42,0)))</f>
        <v/>
      </c>
      <c r="DA41">
        <f>DA40+IF(AND(Lists!$FX$41&lt;&gt;"",ISNUMBER(SEARCH($AF$4,Lists!$FX$41))),1,0)</f>
        <v/>
      </c>
      <c r="DB41">
        <f>IF(ROW()-3&gt;MAX($DA$4:$DA$42),"",INDEX(Lists!$FX$4:$FX$42,MATCH(ROW()-3,$DA$4:$DA$42,0)))</f>
        <v/>
      </c>
      <c r="DG41">
        <f>IF($B$4="",1,IF($B$4="(blank)",--('Final Calculation Sheet'!$F$39=""),IF($B$4="(nonblank)",--('Final Calculation Sheet'!$F$39&lt;&gt;""),--ISNUMBER(SEARCH($B$4,'Final Calculation Sheet'!$F$39)))))</f>
        <v/>
      </c>
      <c r="DH41">
        <f>IF($C$4="",1,IF($C$4="(blank)",--('Final Calculation Sheet'!$G$39=""),IF($C$4="(nonblank)",--('Final Calculation Sheet'!$G$39&lt;&gt;""),--ISNUMBER(SEARCH($C$4,'Final Calculation Sheet'!$G$39)))))</f>
        <v/>
      </c>
      <c r="DI41">
        <f>IF($D$4="",1,IF($D$4="(blank)",--('Final Calculation Sheet'!$B$39=""),IF($D$4="(nonblank)",--('Final Calculation Sheet'!$B$39&lt;&gt;""),--ISNUMBER(SEARCH($D$4,'Final Calculation Sheet'!$B$39)))))</f>
        <v/>
      </c>
      <c r="DJ41">
        <f>IF($E$4="",1,IF($E$4="(blank)",--('Final Calculation Sheet'!$D$39=""),IF($E$4="(nonblank)",--('Final Calculation Sheet'!$D$39&lt;&gt;""),--ISNUMBER(SEARCH($E$4,'Final Calculation Sheet'!$D$39)))))</f>
        <v/>
      </c>
      <c r="DK41">
        <f>IF($F$4="",1,IF($F$4="(blank)",--('Final Calculation Sheet'!$A$39=""),IF($F$4="(nonblank)",--('Final Calculation Sheet'!$A$39&lt;&gt;""),--ISNUMBER(SEARCH($F$4,'Final Calculation Sheet'!$A$39)))))</f>
        <v/>
      </c>
      <c r="DL41">
        <f>IF($G$4="",1,IF($G$4="(blank)",--('Final Calculation Sheet'!$E$39=""),IF($G$4="(nonblank)",--('Final Calculation Sheet'!$E$39&lt;&gt;""),--ISNUMBER(SEARCH($G$4,'Final Calculation Sheet'!$E$39)))))</f>
        <v/>
      </c>
      <c r="DM41">
        <f>IF($H$4="",1,IF($H$4="(blank)",--('Final Calculation Sheet'!$C$39=""),IF($H$4="(nonblank)",--('Final Calculation Sheet'!$C$39&lt;&gt;""),--ISNUMBER(SEARCH($H$4,'Final Calculation Sheet'!$C$39)))))</f>
        <v/>
      </c>
      <c r="DN41">
        <f>IF($I$4="",1,IF($I$4="(blank)",--('Final Calculation Sheet'!$H$39=""),IF($I$4="(nonblank)",--('Final Calculation Sheet'!$H$39&lt;&gt;""),--ISNUMBER(SEARCH($I$4,'Final Calculation Sheet'!$H$39)))))</f>
        <v/>
      </c>
      <c r="DO41">
        <f>IF($J$4="",1,IF($J$4="(blank)",--('Final Calculation Sheet'!$I$39=""),IF($J$4="(nonblank)",--('Final Calculation Sheet'!$I$39&lt;&gt;""),--ISNUMBER(SEARCH($J$4,'Final Calculation Sheet'!$I$39)))))</f>
        <v/>
      </c>
      <c r="DP41">
        <f>IF($K$4="",1,IF($K$4="(blank)",--('Final Calculation Sheet'!$J$39=""),IF($K$4="(nonblank)",--('Final Calculation Sheet'!$J$39&lt;&gt;""),--ISNUMBER(SEARCH($K$4,'Final Calculation Sheet'!$J$39)))))</f>
        <v/>
      </c>
      <c r="DQ41">
        <f>IF($L$4="",1,IF($L$4="(blank)",--('Final Calculation Sheet'!$K$39=""),IF($L$4="(nonblank)",--('Final Calculation Sheet'!$K$39&lt;&gt;""),--ISNUMBER(SEARCH($L$4,'Final Calculation Sheet'!$K$39)))))</f>
        <v/>
      </c>
      <c r="DR41">
        <f>IF($M$4="",1,IF($M$4="(blank)",--('Final Calculation Sheet'!$L$39=""),IF($M$4="(nonblank)",--('Final Calculation Sheet'!$L$39&lt;&gt;""),--ISNUMBER(SEARCH($M$4,'Final Calculation Sheet'!$L$39)))))</f>
        <v/>
      </c>
      <c r="DS41">
        <f>IF($N$4="",1,IF($N$4="(blank)",--('Final Calculation Sheet'!$M$39=""),IF($N$4="(nonblank)",--('Final Calculation Sheet'!$M$39&lt;&gt;""),--ISNUMBER(SEARCH($N$4,'Final Calculation Sheet'!$M$39)))))</f>
        <v/>
      </c>
      <c r="DT41">
        <f>IF($O$4="",1,IF($O$4="(blank)",--('Final Calculation Sheet'!$N$39=""),IF($O$4="(nonblank)",--('Final Calculation Sheet'!$N$39&lt;&gt;""),--ISNUMBER(SEARCH($O$4,'Final Calculation Sheet'!$N$39)))))</f>
        <v/>
      </c>
      <c r="DU41">
        <f>IF($P$4="",1,IF($P$4="(blank)",--('Final Calculation Sheet'!$O$39=""),IF($P$4="(nonblank)",--('Final Calculation Sheet'!$O$39&lt;&gt;""),--ISNUMBER(SEARCH($P$4,'Final Calculation Sheet'!$O$39)))))</f>
        <v/>
      </c>
      <c r="DV41">
        <f>IF($Q$4="",1,IF($Q$4="(blank)",--('Final Calculation Sheet'!$P$39=""),IF($Q$4="(nonblank)",--('Final Calculation Sheet'!$P$39&lt;&gt;""),--ISNUMBER(SEARCH($Q$4,'Final Calculation Sheet'!$P$39)))))</f>
        <v/>
      </c>
      <c r="DW41">
        <f>IF($R$4="",1,IF($R$4="(blank)",--('Final Calculation Sheet'!$Q$39=""),IF($R$4="(nonblank)",--('Final Calculation Sheet'!$Q$39&lt;&gt;""),--ISNUMBER(SEARCH($R$4,'Final Calculation Sheet'!$Q$39)))))</f>
        <v/>
      </c>
      <c r="DX41">
        <f>IF($S$4="",1,IF($S$4="(blank)",--('Final Calculation Sheet'!$R$39=""),IF($S$4="(nonblank)",--('Final Calculation Sheet'!$R$39&lt;&gt;""),--ISNUMBER(SEARCH($S$4,'Final Calculation Sheet'!$R$39)))))</f>
        <v/>
      </c>
      <c r="DY41">
        <f>IF($T$4="",1,IF($T$4="(blank)",--('Final Calculation Sheet'!$S$39=""),IF($T$4="(nonblank)",--('Final Calculation Sheet'!$S$39&lt;&gt;""),--ISNUMBER(SEARCH($T$4,'Final Calculation Sheet'!$S$39)))))</f>
        <v/>
      </c>
      <c r="DZ41">
        <f>IF($U$4="",1,IF($U$4="(blank)",--('Final Calculation Sheet'!$T$39=""),IF($U$4="(nonblank)",--('Final Calculation Sheet'!$T$39&lt;&gt;""),--ISNUMBER(SEARCH($U$4,'Final Calculation Sheet'!$T$39)))))</f>
        <v/>
      </c>
      <c r="EA41">
        <f>IF($V$4="",1,IF($V$4="(blank)",--('Final Calculation Sheet'!$U$39=""),IF($V$4="(nonblank)",--('Final Calculation Sheet'!$U$39&lt;&gt;""),--ISNUMBER(SEARCH($V$4,'Final Calculation Sheet'!$U$39)))))</f>
        <v/>
      </c>
      <c r="EB41">
        <f>IF($W$4="",1,IF($W$4="(blank)",--('Final Calculation Sheet'!$V$39=""),IF($W$4="(nonblank)",--('Final Calculation Sheet'!$V$39&lt;&gt;""),--ISNUMBER(SEARCH($W$4,'Final Calculation Sheet'!$V$39)))))</f>
        <v/>
      </c>
      <c r="EC41">
        <f>IF($X$4="",1,IF($X$4="(blank)",--('Final Calculation Sheet'!$W$39=""),IF($X$4="(nonblank)",--('Final Calculation Sheet'!$W$39&lt;&gt;""),--ISNUMBER(SEARCH($X$4,'Final Calculation Sheet'!$W$39)))))</f>
        <v/>
      </c>
      <c r="ED41">
        <f>IF($Y$4="",1,IF($Y$4="(blank)",--('Final Calculation Sheet'!$X$39=""),IF($Y$4="(nonblank)",--('Final Calculation Sheet'!$X$39&lt;&gt;""),--ISNUMBER(SEARCH($Y$4,'Final Calculation Sheet'!$X$39)))))</f>
        <v/>
      </c>
      <c r="EE41">
        <f>IF($Z$4="",1,IF($Z$4="(blank)",--('Final Calculation Sheet'!$Y$39=""),IF($Z$4="(nonblank)",--('Final Calculation Sheet'!$Y$39&lt;&gt;""),--ISNUMBER(SEARCH($Z$4,'Final Calculation Sheet'!$Y$39)))))</f>
        <v/>
      </c>
      <c r="EF41">
        <f>IF($AA$4="",1,IF($AA$4="(blank)",--('Final Calculation Sheet'!$Z$39=""),IF($AA$4="(nonblank)",--('Final Calculation Sheet'!$Z$39&lt;&gt;""),--ISNUMBER(SEARCH($AA$4,'Final Calculation Sheet'!$Z$39)))))</f>
        <v/>
      </c>
      <c r="EG41">
        <f>IF($AB$4="",1,IF($AB$4="(blank)",--('Final Calculation Sheet'!$AA$39=""),IF($AB$4="(nonblank)",--('Final Calculation Sheet'!$AA$39&lt;&gt;""),--ISNUMBER(SEARCH($AB$4,'Final Calculation Sheet'!$AA$39)))))</f>
        <v/>
      </c>
      <c r="EH41">
        <f>IF($AC$4="",1,IF($AC$4="(blank)",--('Final Calculation Sheet'!$AB$39=""),IF($AC$4="(nonblank)",--('Final Calculation Sheet'!$AB$39&lt;&gt;""),--ISNUMBER(SEARCH($AC$4,'Final Calculation Sheet'!$AB$39)))))</f>
        <v/>
      </c>
      <c r="EI41">
        <f>IF($AD$4="",1,IF($AD$4="(blank)",--('Final Calculation Sheet'!$AC$39=""),IF($AD$4="(nonblank)",--('Final Calculation Sheet'!$AC$39&lt;&gt;""),--ISNUMBER(SEARCH($AD$4,'Final Calculation Sheet'!$AC$39)))))</f>
        <v/>
      </c>
      <c r="EJ41">
        <f>IF($AE$4="",1,IF($AE$4="(blank)",--('Final Calculation Sheet'!$AD$39=""),IF($AE$4="(nonblank)",--('Final Calculation Sheet'!$AD$39&lt;&gt;""),--ISNUMBER(SEARCH($AE$4,'Final Calculation Sheet'!$AD$39)))))</f>
        <v/>
      </c>
      <c r="EK41">
        <f>IF($AF$4="",1,IF($AF$4="(blank)",--(IF('Final Calculation Sheet'!$AD$39&lt;=5,"SETTLED","OUTSTANDING")=""),IF($AF$4="(nonblank)",--(IF('Final Calculation Sheet'!$AD$39&lt;=5,"SETTLED","OUTSTANDING")&lt;&gt;""),--ISNUMBER(SEARCH($AF$4,IF('Final Calculation Sheet'!$AD$39&lt;=5,"SETTLED","OUTSTANDING"))))))</f>
        <v/>
      </c>
      <c r="EL41">
        <f>IF($AG$4="",1,IF($AG$4="(blank)",--('Final Calculation Sheet'!$AF$39=""),IF($AG$4="(nonblank)",--('Final Calculation Sheet'!$AF$39&lt;&gt;""),--ISNUMBER(SEARCH($AG$4,'Final Calculation Sheet'!$AF$39)))))</f>
        <v/>
      </c>
      <c r="EM41">
        <f>IF($AH$4="",1,IF($AH$4="(blank)",--('Final Calculation Sheet'!$AG$39=""),IF($AH$4="(nonblank)",--('Final Calculation Sheet'!$AG$39&lt;&gt;""),--ISNUMBER(SEARCH($AH$4,'Final Calculation Sheet'!$AG$39)))))</f>
        <v/>
      </c>
      <c r="EN41">
        <f>IF($AI$4="",1,IF($AI$4="(blank)",--('Final Calculation Sheet'!$AH$39=""),IF($AI$4="(nonblank)",--('Final Calculation Sheet'!$AH$39&lt;&gt;""),--ISNUMBER(SEARCH($AI$4,'Final Calculation Sheet'!$AH$39)))))</f>
        <v/>
      </c>
    </row>
    <row r="42" outlineLevel="1" hidden="1">
      <c r="A42" s="128">
        <f>IF($AL$42="","",36)</f>
        <v/>
      </c>
      <c r="B42" s="129">
        <f>IF($AL$42="","",IF(INDEX('Final Calculation Sheet'!$F$4:$F$40,$AL$42)="","",INDEX('Final Calculation Sheet'!$F$4:$F$40,$AL$42)))</f>
        <v/>
      </c>
      <c r="C42" s="129">
        <f>IF($AL$42="","",IF(INDEX('Final Calculation Sheet'!$G$4:$G$40,$AL$42)="","",INDEX('Final Calculation Sheet'!$G$4:$G$40,$AL$42)))</f>
        <v/>
      </c>
      <c r="D42" s="130">
        <f>IF($AL$42="","",IF(INDEX('Final Calculation Sheet'!$B$4:$B$40,$AL$42)="","",INDEX('Final Calculation Sheet'!$B$4:$B$40,$AL$42)))</f>
        <v/>
      </c>
      <c r="E42" s="130">
        <f>IF($AL$42="","",IF(INDEX('Final Calculation Sheet'!$D$4:$D$40,$AL$42)="","",INDEX('Final Calculation Sheet'!$D$4:$D$40,$AL$42)))</f>
        <v/>
      </c>
      <c r="F42" s="130">
        <f>IF($AL$42="","",IF(INDEX('Final Calculation Sheet'!$A$4:$A$40,$AL$42)="","",INDEX('Final Calculation Sheet'!$A$4:$A$40,$AL$42)))</f>
        <v/>
      </c>
      <c r="G42" s="130">
        <f>IF($AL$42="","",IF(INDEX('Final Calculation Sheet'!$E$4:$E$40,$AL$42)="","",INDEX('Final Calculation Sheet'!$E$4:$E$40,$AL$42)))</f>
        <v/>
      </c>
      <c r="H42" s="131">
        <f>IF($AL$42="","",IF(INDEX('Final Calculation Sheet'!$C$4:$C$40,$AL$42)="","",INDEX('Final Calculation Sheet'!$C$4:$C$40,$AL$42)))</f>
        <v/>
      </c>
      <c r="I42" s="131">
        <f>IF($AL$42="","",IF(INDEX('Final Calculation Sheet'!$H$4:$H$40,$AL$42)="","",INDEX('Final Calculation Sheet'!$H$4:$H$40,$AL$42)))</f>
        <v/>
      </c>
      <c r="J42" s="131">
        <f>IF($AL$42="","",IF(INDEX('Final Calculation Sheet'!$I$4:$I$40,$AL$42)="","",INDEX('Final Calculation Sheet'!$I$4:$I$40,$AL$42)))</f>
        <v/>
      </c>
      <c r="K42" s="131">
        <f>IF($AL$42="","",IF(INDEX('Final Calculation Sheet'!$J$4:$J$40,$AL$42)="","",INDEX('Final Calculation Sheet'!$J$4:$J$40,$AL$42)))</f>
        <v/>
      </c>
      <c r="L42" s="131">
        <f>IF($AL$42="","",IF(INDEX('Final Calculation Sheet'!$K$4:$K$40,$AL$42)="","",INDEX('Final Calculation Sheet'!$K$4:$K$40,$AL$42)))</f>
        <v/>
      </c>
      <c r="M42" s="131">
        <f>IF($AL$42="","",IF(INDEX('Final Calculation Sheet'!$L$4:$L$40,$AL$42)="","",INDEX('Final Calculation Sheet'!$L$4:$L$40,$AL$42)))</f>
        <v/>
      </c>
      <c r="N42" s="131">
        <f>IF($AL$42="","",IF(INDEX('Final Calculation Sheet'!$M$4:$M$40,$AL$42)="","",INDEX('Final Calculation Sheet'!$M$4:$M$40,$AL$42)))</f>
        <v/>
      </c>
      <c r="O42" s="132">
        <f>IF($AL$42="","",IF(INDEX('Final Calculation Sheet'!$N$4:$N$40,$AL$42)="","",INDEX('Final Calculation Sheet'!$N$4:$N$40,$AL$42)))</f>
        <v/>
      </c>
      <c r="P42" s="131">
        <f>IF($AL$42="","",IF(INDEX('Final Calculation Sheet'!$O$4:$O$40,$AL$42)="","",INDEX('Final Calculation Sheet'!$O$4:$O$40,$AL$42)))</f>
        <v/>
      </c>
      <c r="Q42" s="131">
        <f>IF($AL$42="","",IF(INDEX('Final Calculation Sheet'!$P$4:$P$40,$AL$42)="","",INDEX('Final Calculation Sheet'!$P$4:$P$40,$AL$42)))</f>
        <v/>
      </c>
      <c r="R42" s="133">
        <f>IF($AL$42="","",IF(INDEX('Final Calculation Sheet'!$Q$4:$Q$40,$AL$42)="","",INDEX('Final Calculation Sheet'!$Q$4:$Q$40,$AL$42)))</f>
        <v/>
      </c>
      <c r="S42" s="131">
        <f>IF($AL$42="","",IF(INDEX('Final Calculation Sheet'!$R$4:$R$40,$AL$42)="","",INDEX('Final Calculation Sheet'!$R$4:$R$40,$AL$42)))</f>
        <v/>
      </c>
      <c r="T42" s="131">
        <f>IF($AL$42="","",IF(INDEX('Final Calculation Sheet'!$S$4:$S$40,$AL$42)="","",INDEX('Final Calculation Sheet'!$S$4:$S$40,$AL$42)))</f>
        <v/>
      </c>
      <c r="U42" s="131">
        <f>IF($AL$42="","",IF(INDEX('Final Calculation Sheet'!$T$4:$T$40,$AL$42)="","",INDEX('Final Calculation Sheet'!$T$4:$T$40,$AL$42)))</f>
        <v/>
      </c>
      <c r="V42" s="134">
        <f>IF($AL$42="","",IF(INDEX('Final Calculation Sheet'!$U$4:$U$40,$AL$42)="","",INDEX('Final Calculation Sheet'!$U$4:$U$40,$AL$42)))</f>
        <v/>
      </c>
      <c r="W42" s="131">
        <f>IF($AL$42="","",IF(INDEX('Final Calculation Sheet'!$V$4:$V$40,$AL$42)="","",INDEX('Final Calculation Sheet'!$V$4:$V$40,$AL$42)))</f>
        <v/>
      </c>
      <c r="X42" s="131">
        <f>IF($AL$42="","",IF(INDEX('Final Calculation Sheet'!$W$4:$W$40,$AL$42)="","",INDEX('Final Calculation Sheet'!$W$4:$W$40,$AL$42)))</f>
        <v/>
      </c>
      <c r="Y42" s="131">
        <f>IF($AL$42="","",IF(INDEX('Final Calculation Sheet'!$X$4:$X$40,$AL$42)="","",INDEX('Final Calculation Sheet'!$X$4:$X$40,$AL$42)))</f>
        <v/>
      </c>
      <c r="Z42" s="131">
        <f>IF($AL$42="","",IF(INDEX('Final Calculation Sheet'!$Y$4:$Y$40,$AL$42)="","",INDEX('Final Calculation Sheet'!$Y$4:$Y$40,$AL$42)))</f>
        <v/>
      </c>
      <c r="AA42" s="131">
        <f>IF($AL$42="","",IF(INDEX('Final Calculation Sheet'!$Z$4:$Z$40,$AL$42)="","",INDEX('Final Calculation Sheet'!$Z$4:$Z$40,$AL$42)))</f>
        <v/>
      </c>
      <c r="AB42" s="131">
        <f>IF($AL$42="","",IF(INDEX('Final Calculation Sheet'!$AA$4:$AA$40,$AL$42)="","",INDEX('Final Calculation Sheet'!$AA$4:$AA$40,$AL$42)))</f>
        <v/>
      </c>
      <c r="AC42" s="131">
        <f>IF($AL$42="","",IF(INDEX('Final Calculation Sheet'!$AB$4:$AB$40,$AL$42)="","",INDEX('Final Calculation Sheet'!$AB$4:$AB$40,$AL$42)))</f>
        <v/>
      </c>
      <c r="AD42" s="131">
        <f>IF($AL$42="","",IF(INDEX('Final Calculation Sheet'!$AC$4:$AC$40,$AL$42)="","",INDEX('Final Calculation Sheet'!$AC$4:$AC$40,$AL$42)))</f>
        <v/>
      </c>
      <c r="AE42" s="131">
        <f>IF($AL$42="","",IF(INDEX('Final Calculation Sheet'!$AD$4:$AD$40,$AL$42)="","",INDEX('Final Calculation Sheet'!$AD$4:$AD$40,$AL$42)))</f>
        <v/>
      </c>
      <c r="AF42" s="136">
        <f>IF($AL$42="","",IF(INDEX('Final Calculation Sheet'!$AD$4:$AD$40,$AL$42)&lt;=5,"SETTLED","OUTSTANDING"))</f>
        <v/>
      </c>
      <c r="AG42" s="131">
        <f>IF($AL$42="","",IF(INDEX('Final Calculation Sheet'!$AF$4:$AF$40,$AL$42)="","",INDEX('Final Calculation Sheet'!$AF$4:$AF$40,$AL$42)))</f>
        <v/>
      </c>
      <c r="AH42" s="135">
        <f>IF($AL$42="","",IF(INDEX('Final Calculation Sheet'!$AG$4:$AG$40,$AL$42)="","",INDEX('Final Calculation Sheet'!$AG$4:$AG$40,$AL$42)))</f>
        <v/>
      </c>
      <c r="AI42" s="131">
        <f>IF($AL$42="","",IF(INDEX('Final Calculation Sheet'!$AH$4:$AH$40,$AL$42)="","",INDEX('Final Calculation Sheet'!$AH$4:$AH$40,$AL$42)))</f>
        <v/>
      </c>
      <c r="AJ42">
        <f>IF(AND(IF($B$4="",TRUE(),IF($B$4="(blank)",'Final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Sheet'!$AD$40&lt;=5,"SETTLED","OUTSTANDING"))))))),1,0)</f>
      </c>
      <c r="AK42">
        <f>IF(AJ42=1,COUNTIF(AJ$6:AJ42,1),"")</f>
        <v/>
      </c>
      <c r="AL42">
        <f>IF(COUNTIF($B$4:$AI$4,"&lt;&gt;")=0,"",IFERROR(MATCH(36,$AK$6:$AK$42,0),""))</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CU41+IF(AND(Lists!$FI$42&lt;&gt;"",ISNUMBER(SEARCH($AG$4,Lists!$FI$42))),1,0)</f>
        <v/>
      </c>
      <c r="CV42">
        <f>IF(ROW()-3&gt;MAX($CU$4:$CU$42),"",INDEX(Lists!$FI$4:$FI$42,MATCH(ROW()-3,$CU$4:$CU$42,0)))</f>
        <v/>
      </c>
      <c r="CW42">
        <f>CW41+IF(AND(Lists!$FN$42&lt;&gt;"",ISNUMBER(SEARCH($AH$4,Lists!$FN$42))),1,0)</f>
        <v/>
      </c>
      <c r="CX42">
        <f>IF(ROW()-3&gt;MAX($CW$4:$CW$42),"",INDEX(Lists!$FN$4:$FN$42,MATCH(ROW()-3,$CW$4:$CW$42,0)))</f>
        <v/>
      </c>
      <c r="CY42">
        <f>CY41+IF(AND(Lists!$FS$42&lt;&gt;"",ISNUMBER(SEARCH($AI$4,Lists!$FS$42))),1,0)</f>
        <v/>
      </c>
      <c r="CZ42">
        <f>IF(ROW()-3&gt;MAX($CY$4:$CY$42),"",INDEX(Lists!$FS$4:$FS$42,MATCH(ROW()-3,$CY$4:$CY$42,0)))</f>
        <v/>
      </c>
      <c r="DA42">
        <f>DA41+IF(AND(Lists!$FX$42&lt;&gt;"",ISNUMBER(SEARCH($AF$4,Lists!$FX$42))),1,0)</f>
        <v/>
      </c>
      <c r="DB42">
        <f>IF(ROW()-3&gt;MAX($DA$4:$DA$42),"",INDEX(Lists!$FX$4:$FX$42,MATCH(ROW()-3,$DA$4:$DA$42,0)))</f>
        <v/>
      </c>
      <c r="DG42">
        <f>IF($B$4="",1,IF($B$4="(blank)",--('Final Calculation Sheet'!$F$40=""),IF($B$4="(nonblank)",--('Final Calculation Sheet'!$F$40&lt;&gt;""),--ISNUMBER(SEARCH($B$4,'Final Calculation Sheet'!$F$40)))))</f>
        <v/>
      </c>
      <c r="DH42">
        <f>IF($C$4="",1,IF($C$4="(blank)",--('Final Calculation Sheet'!$G$40=""),IF($C$4="(nonblank)",--('Final Calculation Sheet'!$G$40&lt;&gt;""),--ISNUMBER(SEARCH($C$4,'Final Calculation Sheet'!$G$40)))))</f>
        <v/>
      </c>
      <c r="DI42">
        <f>IF($D$4="",1,IF($D$4="(blank)",--('Final Calculation Sheet'!$B$40=""),IF($D$4="(nonblank)",--('Final Calculation Sheet'!$B$40&lt;&gt;""),--ISNUMBER(SEARCH($D$4,'Final Calculation Sheet'!$B$40)))))</f>
        <v/>
      </c>
      <c r="DJ42">
        <f>IF($E$4="",1,IF($E$4="(blank)",--('Final Calculation Sheet'!$D$40=""),IF($E$4="(nonblank)",--('Final Calculation Sheet'!$D$40&lt;&gt;""),--ISNUMBER(SEARCH($E$4,'Final Calculation Sheet'!$D$40)))))</f>
        <v/>
      </c>
      <c r="DK42">
        <f>IF($F$4="",1,IF($F$4="(blank)",--('Final Calculation Sheet'!$A$40=""),IF($F$4="(nonblank)",--('Final Calculation Sheet'!$A$40&lt;&gt;""),--ISNUMBER(SEARCH($F$4,'Final Calculation Sheet'!$A$40)))))</f>
        <v/>
      </c>
      <c r="DL42">
        <f>IF($G$4="",1,IF($G$4="(blank)",--('Final Calculation Sheet'!$E$40=""),IF($G$4="(nonblank)",--('Final Calculation Sheet'!$E$40&lt;&gt;""),--ISNUMBER(SEARCH($G$4,'Final Calculation Sheet'!$E$40)))))</f>
        <v/>
      </c>
      <c r="DM42">
        <f>IF($H$4="",1,IF($H$4="(blank)",--('Final Calculation Sheet'!$C$40=""),IF($H$4="(nonblank)",--('Final Calculation Sheet'!$C$40&lt;&gt;""),--ISNUMBER(SEARCH($H$4,'Final Calculation Sheet'!$C$40)))))</f>
        <v/>
      </c>
      <c r="DN42">
        <f>IF($I$4="",1,IF($I$4="(blank)",--('Final Calculation Sheet'!$H$40=""),IF($I$4="(nonblank)",--('Final Calculation Sheet'!$H$40&lt;&gt;""),--ISNUMBER(SEARCH($I$4,'Final Calculation Sheet'!$H$40)))))</f>
        <v/>
      </c>
      <c r="DO42">
        <f>IF($J$4="",1,IF($J$4="(blank)",--('Final Calculation Sheet'!$I$40=""),IF($J$4="(nonblank)",--('Final Calculation Sheet'!$I$40&lt;&gt;""),--ISNUMBER(SEARCH($J$4,'Final Calculation Sheet'!$I$40)))))</f>
        <v/>
      </c>
      <c r="DP42">
        <f>IF($K$4="",1,IF($K$4="(blank)",--('Final Calculation Sheet'!$J$40=""),IF($K$4="(nonblank)",--('Final Calculation Sheet'!$J$40&lt;&gt;""),--ISNUMBER(SEARCH($K$4,'Final Calculation Sheet'!$J$40)))))</f>
        <v/>
      </c>
      <c r="DQ42">
        <f>IF($L$4="",1,IF($L$4="(blank)",--('Final Calculation Sheet'!$K$40=""),IF($L$4="(nonblank)",--('Final Calculation Sheet'!$K$40&lt;&gt;""),--ISNUMBER(SEARCH($L$4,'Final Calculation Sheet'!$K$40)))))</f>
        <v/>
      </c>
      <c r="DR42">
        <f>IF($M$4="",1,IF($M$4="(blank)",--('Final Calculation Sheet'!$L$40=""),IF($M$4="(nonblank)",--('Final Calculation Sheet'!$L$40&lt;&gt;""),--ISNUMBER(SEARCH($M$4,'Final Calculation Sheet'!$L$40)))))</f>
        <v/>
      </c>
      <c r="DS42">
        <f>IF($N$4="",1,IF($N$4="(blank)",--('Final Calculation Sheet'!$M$40=""),IF($N$4="(nonblank)",--('Final Calculation Sheet'!$M$40&lt;&gt;""),--ISNUMBER(SEARCH($N$4,'Final Calculation Sheet'!$M$40)))))</f>
        <v/>
      </c>
      <c r="DT42">
        <f>IF($O$4="",1,IF($O$4="(blank)",--('Final Calculation Sheet'!$N$40=""),IF($O$4="(nonblank)",--('Final Calculation Sheet'!$N$40&lt;&gt;""),--ISNUMBER(SEARCH($O$4,'Final Calculation Sheet'!$N$40)))))</f>
        <v/>
      </c>
      <c r="DU42">
        <f>IF($P$4="",1,IF($P$4="(blank)",--('Final Calculation Sheet'!$O$40=""),IF($P$4="(nonblank)",--('Final Calculation Sheet'!$O$40&lt;&gt;""),--ISNUMBER(SEARCH($P$4,'Final Calculation Sheet'!$O$40)))))</f>
        <v/>
      </c>
      <c r="DV42">
        <f>IF($Q$4="",1,IF($Q$4="(blank)",--('Final Calculation Sheet'!$P$40=""),IF($Q$4="(nonblank)",--('Final Calculation Sheet'!$P$40&lt;&gt;""),--ISNUMBER(SEARCH($Q$4,'Final Calculation Sheet'!$P$40)))))</f>
        <v/>
      </c>
      <c r="DW42">
        <f>IF($R$4="",1,IF($R$4="(blank)",--('Final Calculation Sheet'!$Q$40=""),IF($R$4="(nonblank)",--('Final Calculation Sheet'!$Q$40&lt;&gt;""),--ISNUMBER(SEARCH($R$4,'Final Calculation Sheet'!$Q$40)))))</f>
        <v/>
      </c>
      <c r="DX42">
        <f>IF($S$4="",1,IF($S$4="(blank)",--('Final Calculation Sheet'!$R$40=""),IF($S$4="(nonblank)",--('Final Calculation Sheet'!$R$40&lt;&gt;""),--ISNUMBER(SEARCH($S$4,'Final Calculation Sheet'!$R$40)))))</f>
        <v/>
      </c>
      <c r="DY42">
        <f>IF($T$4="",1,IF($T$4="(blank)",--('Final Calculation Sheet'!$S$40=""),IF($T$4="(nonblank)",--('Final Calculation Sheet'!$S$40&lt;&gt;""),--ISNUMBER(SEARCH($T$4,'Final Calculation Sheet'!$S$40)))))</f>
        <v/>
      </c>
      <c r="DZ42">
        <f>IF($U$4="",1,IF($U$4="(blank)",--('Final Calculation Sheet'!$T$40=""),IF($U$4="(nonblank)",--('Final Calculation Sheet'!$T$40&lt;&gt;""),--ISNUMBER(SEARCH($U$4,'Final Calculation Sheet'!$T$40)))))</f>
        <v/>
      </c>
      <c r="EA42">
        <f>IF($V$4="",1,IF($V$4="(blank)",--('Final Calculation Sheet'!$U$40=""),IF($V$4="(nonblank)",--('Final Calculation Sheet'!$U$40&lt;&gt;""),--ISNUMBER(SEARCH($V$4,'Final Calculation Sheet'!$U$40)))))</f>
        <v/>
      </c>
      <c r="EB42">
        <f>IF($W$4="",1,IF($W$4="(blank)",--('Final Calculation Sheet'!$V$40=""),IF($W$4="(nonblank)",--('Final Calculation Sheet'!$V$40&lt;&gt;""),--ISNUMBER(SEARCH($W$4,'Final Calculation Sheet'!$V$40)))))</f>
        <v/>
      </c>
      <c r="EC42">
        <f>IF($X$4="",1,IF($X$4="(blank)",--('Final Calculation Sheet'!$W$40=""),IF($X$4="(nonblank)",--('Final Calculation Sheet'!$W$40&lt;&gt;""),--ISNUMBER(SEARCH($X$4,'Final Calculation Sheet'!$W$40)))))</f>
        <v/>
      </c>
      <c r="ED42">
        <f>IF($Y$4="",1,IF($Y$4="(blank)",--('Final Calculation Sheet'!$X$40=""),IF($Y$4="(nonblank)",--('Final Calculation Sheet'!$X$40&lt;&gt;""),--ISNUMBER(SEARCH($Y$4,'Final Calculation Sheet'!$X$40)))))</f>
        <v/>
      </c>
      <c r="EE42">
        <f>IF($Z$4="",1,IF($Z$4="(blank)",--('Final Calculation Sheet'!$Y$40=""),IF($Z$4="(nonblank)",--('Final Calculation Sheet'!$Y$40&lt;&gt;""),--ISNUMBER(SEARCH($Z$4,'Final Calculation Sheet'!$Y$40)))))</f>
        <v/>
      </c>
      <c r="EF42">
        <f>IF($AA$4="",1,IF($AA$4="(blank)",--('Final Calculation Sheet'!$Z$40=""),IF($AA$4="(nonblank)",--('Final Calculation Sheet'!$Z$40&lt;&gt;""),--ISNUMBER(SEARCH($AA$4,'Final Calculation Sheet'!$Z$40)))))</f>
        <v/>
      </c>
      <c r="EG42">
        <f>IF($AB$4="",1,IF($AB$4="(blank)",--('Final Calculation Sheet'!$AA$40=""),IF($AB$4="(nonblank)",--('Final Calculation Sheet'!$AA$40&lt;&gt;""),--ISNUMBER(SEARCH($AB$4,'Final Calculation Sheet'!$AA$40)))))</f>
        <v/>
      </c>
      <c r="EH42">
        <f>IF($AC$4="",1,IF($AC$4="(blank)",--('Final Calculation Sheet'!$AB$40=""),IF($AC$4="(nonblank)",--('Final Calculation Sheet'!$AB$40&lt;&gt;""),--ISNUMBER(SEARCH($AC$4,'Final Calculation Sheet'!$AB$40)))))</f>
        <v/>
      </c>
      <c r="EI42">
        <f>IF($AD$4="",1,IF($AD$4="(blank)",--('Final Calculation Sheet'!$AC$40=""),IF($AD$4="(nonblank)",--('Final Calculation Sheet'!$AC$40&lt;&gt;""),--ISNUMBER(SEARCH($AD$4,'Final Calculation Sheet'!$AC$40)))))</f>
        <v/>
      </c>
      <c r="EJ42">
        <f>IF($AE$4="",1,IF($AE$4="(blank)",--('Final Calculation Sheet'!$AD$40=""),IF($AE$4="(nonblank)",--('Final Calculation Sheet'!$AD$40&lt;&gt;""),--ISNUMBER(SEARCH($AE$4,'Final Calculation Sheet'!$AD$40)))))</f>
        <v/>
      </c>
      <c r="EK42">
        <f>IF($AF$4="",1,IF($AF$4="(blank)",--(IF('Final Calculation Sheet'!$AD$40&lt;=5,"SETTLED","OUTSTANDING")=""),IF($AF$4="(nonblank)",--(IF('Final Calculation Sheet'!$AD$40&lt;=5,"SETTLED","OUTSTANDING")&lt;&gt;""),--ISNUMBER(SEARCH($AF$4,IF('Final Calculation Sheet'!$AD$40&lt;=5,"SETTLED","OUTSTANDING"))))))</f>
        <v/>
      </c>
      <c r="EL42">
        <f>IF($AG$4="",1,IF($AG$4="(blank)",--('Final Calculation Sheet'!$AF$40=""),IF($AG$4="(nonblank)",--('Final Calculation Sheet'!$AF$40&lt;&gt;""),--ISNUMBER(SEARCH($AG$4,'Final Calculation Sheet'!$AF$40)))))</f>
        <v/>
      </c>
      <c r="EM42">
        <f>IF($AH$4="",1,IF($AH$4="(blank)",--('Final Calculation Sheet'!$AG$40=""),IF($AH$4="(nonblank)",--('Final Calculation Sheet'!$AG$40&lt;&gt;""),--ISNUMBER(SEARCH($AH$4,'Final Calculation Sheet'!$AG$40)))))</f>
        <v/>
      </c>
      <c r="EN42">
        <f>IF($AI$4="",1,IF($AI$4="(blank)",--('Final Calculation Sheet'!$AH$40=""),IF($AI$4="(nonblank)",--('Final Calculation Sheet'!$AH$40&lt;&gt;""),--ISNUMBER(SEARCH($AI$4,'Final Calculation Sheet'!$AH$40)))))</f>
        <v/>
      </c>
    </row>
    <row r="43" outlineLevel="1" hidden="1">
      <c r="A43" s="118">
        <f>IF($AL$43="","",37)</f>
        <v/>
      </c>
      <c r="B43" s="119">
        <f>IF($AL$43="","",IF(INDEX('Final Calculation Sheet'!$F$4:$F$40,$AL$43)="","",INDEX('Final Calculation Sheet'!$F$4:$F$40,$AL$43)))</f>
        <v/>
      </c>
      <c r="C43" s="119">
        <f>IF($AL$43="","",IF(INDEX('Final Calculation Sheet'!$G$4:$G$40,$AL$43)="","",INDEX('Final Calculation Sheet'!$G$4:$G$40,$AL$43)))</f>
        <v/>
      </c>
      <c r="D43" s="121">
        <f>IF($AL$43="","",IF(INDEX('Final Calculation Sheet'!$B$4:$B$40,$AL$43)="","",INDEX('Final Calculation Sheet'!$B$4:$B$40,$AL$43)))</f>
        <v/>
      </c>
      <c r="E43" s="121">
        <f>IF($AL$43="","",IF(INDEX('Final Calculation Sheet'!$D$4:$D$40,$AL$43)="","",INDEX('Final Calculation Sheet'!$D$4:$D$40,$AL$43)))</f>
        <v/>
      </c>
      <c r="F43" s="121">
        <f>IF($AL$43="","",IF(INDEX('Final Calculation Sheet'!$A$4:$A$40,$AL$43)="","",INDEX('Final Calculation Sheet'!$A$4:$A$40,$AL$43)))</f>
        <v/>
      </c>
      <c r="G43" s="121">
        <f>IF($AL$43="","",IF(INDEX('Final Calculation Sheet'!$E$4:$E$40,$AL$43)="","",INDEX('Final Calculation Sheet'!$E$4:$E$40,$AL$43)))</f>
        <v/>
      </c>
      <c r="H43" s="122">
        <f>IF($AL$43="","",IF(INDEX('Final Calculation Sheet'!$C$4:$C$40,$AL$43)="","",INDEX('Final Calculation Sheet'!$C$4:$C$40,$AL$43)))</f>
        <v/>
      </c>
      <c r="I43" s="122">
        <f>IF($AL$43="","",IF(INDEX('Final Calculation Sheet'!$H$4:$H$40,$AL$43)="","",INDEX('Final Calculation Sheet'!$H$4:$H$40,$AL$43)))</f>
        <v/>
      </c>
      <c r="J43" s="122">
        <f>IF($AL$43="","",IF(INDEX('Final Calculation Sheet'!$I$4:$I$40,$AL$43)="","",INDEX('Final Calculation Sheet'!$I$4:$I$40,$AL$43)))</f>
        <v/>
      </c>
      <c r="K43" s="122">
        <f>IF($AL$43="","",IF(INDEX('Final Calculation Sheet'!$J$4:$J$40,$AL$43)="","",INDEX('Final Calculation Sheet'!$J$4:$J$40,$AL$43)))</f>
        <v/>
      </c>
      <c r="L43" s="122">
        <f>IF($AL$43="","",IF(INDEX('Final Calculation Sheet'!$K$4:$K$40,$AL$43)="","",INDEX('Final Calculation Sheet'!$K$4:$K$40,$AL$43)))</f>
        <v/>
      </c>
      <c r="M43" s="122">
        <f>IF($AL$43="","",IF(INDEX('Final Calculation Sheet'!$L$4:$L$40,$AL$43)="","",INDEX('Final Calculation Sheet'!$L$4:$L$40,$AL$43)))</f>
        <v/>
      </c>
      <c r="N43" s="122">
        <f>IF($AL$43="","",IF(INDEX('Final Calculation Sheet'!$M$4:$M$40,$AL$43)="","",INDEX('Final Calculation Sheet'!$M$4:$M$40,$AL$43)))</f>
        <v/>
      </c>
      <c r="O43" s="123">
        <f>IF($AL$43="","",IF(INDEX('Final Calculation Sheet'!$N$4:$N$40,$AL$43)="","",INDEX('Final Calculation Sheet'!$N$4:$N$40,$AL$43)))</f>
        <v/>
      </c>
      <c r="P43" s="122">
        <f>IF($AL$43="","",IF(INDEX('Final Calculation Sheet'!$O$4:$O$40,$AL$43)="","",INDEX('Final Calculation Sheet'!$O$4:$O$40,$AL$43)))</f>
        <v/>
      </c>
      <c r="Q43" s="122">
        <f>IF($AL$43="","",IF(INDEX('Final Calculation Sheet'!$P$4:$P$40,$AL$43)="","",INDEX('Final Calculation Sheet'!$P$4:$P$40,$AL$43)))</f>
        <v/>
      </c>
      <c r="R43" s="124">
        <f>IF($AL$43="","",IF(INDEX('Final Calculation Sheet'!$Q$4:$Q$40,$AL$43)="","",INDEX('Final Calculation Sheet'!$Q$4:$Q$40,$AL$43)))</f>
        <v/>
      </c>
      <c r="S43" s="122">
        <f>IF($AL$43="","",IF(INDEX('Final Calculation Sheet'!$R$4:$R$40,$AL$43)="","",INDEX('Final Calculation Sheet'!$R$4:$R$40,$AL$43)))</f>
        <v/>
      </c>
      <c r="T43" s="122">
        <f>IF($AL$43="","",IF(INDEX('Final Calculation Sheet'!$S$4:$S$40,$AL$43)="","",INDEX('Final Calculation Sheet'!$S$4:$S$40,$AL$43)))</f>
        <v/>
      </c>
      <c r="U43" s="122">
        <f>IF($AL$43="","",IF(INDEX('Final Calculation Sheet'!$T$4:$T$40,$AL$43)="","",INDEX('Final Calculation Sheet'!$T$4:$T$40,$AL$43)))</f>
        <v/>
      </c>
      <c r="V43" s="125">
        <f>IF($AL$43="","",IF(INDEX('Final Calculation Sheet'!$U$4:$U$40,$AL$43)="","",INDEX('Final Calculation Sheet'!$U$4:$U$40,$AL$43)))</f>
        <v/>
      </c>
      <c r="W43" s="122">
        <f>IF($AL$43="","",IF(INDEX('Final Calculation Sheet'!$V$4:$V$40,$AL$43)="","",INDEX('Final Calculation Sheet'!$V$4:$V$40,$AL$43)))</f>
        <v/>
      </c>
      <c r="X43" s="122">
        <f>IF($AL$43="","",IF(INDEX('Final Calculation Sheet'!$W$4:$W$40,$AL$43)="","",INDEX('Final Calculation Sheet'!$W$4:$W$40,$AL$43)))</f>
        <v/>
      </c>
      <c r="Y43" s="122">
        <f>IF($AL$43="","",IF(INDEX('Final Calculation Sheet'!$X$4:$X$40,$AL$43)="","",INDEX('Final Calculation Sheet'!$X$4:$X$40,$AL$43)))</f>
        <v/>
      </c>
      <c r="Z43" s="122">
        <f>IF($AL$43="","",IF(INDEX('Final Calculation Sheet'!$Y$4:$Y$40,$AL$43)="","",INDEX('Final Calculation Sheet'!$Y$4:$Y$40,$AL$43)))</f>
        <v/>
      </c>
      <c r="AA43" s="122">
        <f>IF($AL$43="","",IF(INDEX('Final Calculation Sheet'!$Z$4:$Z$40,$AL$43)="","",INDEX('Final Calculation Sheet'!$Z$4:$Z$40,$AL$43)))</f>
        <v/>
      </c>
      <c r="AB43" s="122">
        <f>IF($AL$43="","",IF(INDEX('Final Calculation Sheet'!$AA$4:$AA$40,$AL$43)="","",INDEX('Final Calculation Sheet'!$AA$4:$AA$40,$AL$43)))</f>
        <v/>
      </c>
      <c r="AC43" s="122">
        <f>IF($AL$43="","",IF(INDEX('Final Calculation Sheet'!$AB$4:$AB$40,$AL$43)="","",INDEX('Final Calculation Sheet'!$AB$4:$AB$40,$AL$43)))</f>
        <v/>
      </c>
      <c r="AD43" s="122">
        <f>IF($AL$43="","",IF(INDEX('Final Calculation Sheet'!$AC$4:$AC$40,$AL$43)="","",INDEX('Final Calculation Sheet'!$AC$4:$AC$40,$AL$43)))</f>
        <v/>
      </c>
      <c r="AE43" s="122">
        <f>IF($AL$43="","",IF(INDEX('Final Calculation Sheet'!$AD$4:$AD$40,$AL$43)="","",INDEX('Final Calculation Sheet'!$AD$4:$AD$40,$AL$43)))</f>
        <v/>
      </c>
      <c r="AF43" s="127">
        <f>IF($AL$43="","",IF(INDEX('Final Calculation Sheet'!$AD$4:$AD$40,$AL$43)&lt;=5,"SETTLED","OUTSTANDING"))</f>
        <v/>
      </c>
      <c r="AG43" s="122">
        <f>IF($AL$43="","",IF(INDEX('Final Calculation Sheet'!$AF$4:$AF$40,$AL$43)="","",INDEX('Final Calculation Sheet'!$AF$4:$AF$40,$AL$43)))</f>
        <v/>
      </c>
      <c r="AH43" s="126">
        <f>IF($AL$43="","",IF(INDEX('Final Calculation Sheet'!$AG$4:$AG$40,$AL$43)="","",INDEX('Final Calculation Sheet'!$AG$4:$AG$40,$AL$43)))</f>
        <v/>
      </c>
      <c r="AI43" s="122">
        <f>IF($AL$43="","",IF(INDEX('Final Calculation Sheet'!$AH$4:$AH$40,$AL$43)="","",INDEX('Final Calculation Sheet'!$AH$4:$AH$40,$AL$43)))</f>
        <v/>
      </c>
      <c r="AL43">
        <f>IF(COUNTIF($B$4:$AI$4,"&lt;&gt;")=0,"",IFERROR(MATCH(37,$AK$6:$AK$42,0),""))</f>
        <v/>
      </c>
    </row>
    <row r="45" outlineLevel="1" ht="15" customHeight="1" s="137">
      <c r="A45" s="67" t="n">
        <v>1</v>
      </c>
      <c r="B45" s="76">
        <f>IF('Final Calculation Sheet'!$F$4="","",'Final Calculation Sheet'!$F$4)</f>
        <v/>
      </c>
      <c r="C45" s="76">
        <f>IF('Final Calculation Sheet'!$G$4="","",'Final Calculation Sheet'!$G$4)</f>
        <v/>
      </c>
      <c r="D45" s="80">
        <f>IF('Final Calculation Sheet'!$B$4="","",'Final Calculation Sheet'!$B$4)</f>
        <v/>
      </c>
      <c r="E45" s="80">
        <f>IF('Final Calculation Sheet'!$D$4="","",'Final Calculation Sheet'!$D$4)</f>
        <v/>
      </c>
      <c r="F45" s="80">
        <f>IF('Final Calculation Sheet'!$A$4="","",'Final Calculation Sheet'!$A$4)</f>
        <v/>
      </c>
      <c r="G45" s="80">
        <f>IF('Final Calculation Sheet'!$E$4="","",'Final Calculation Sheet'!$E$4)</f>
        <v/>
      </c>
      <c r="H45" s="70">
        <f>IF('Final Calculation Sheet'!$C$4="","",'Final Calculation Sheet'!$C$4)</f>
        <v/>
      </c>
      <c r="I45" s="70">
        <f>IF('Final Calculation Sheet'!$H$4="","",'Final Calculation Sheet'!$H$4)</f>
        <v/>
      </c>
      <c r="J45" s="70">
        <f>IF('Final Calculation Sheet'!$I$4="","",'Final Calculation Sheet'!$I$4)</f>
        <v/>
      </c>
      <c r="K45" s="70">
        <f>IF('Final Calculation Sheet'!$J$4="","",'Final Calculation Sheet'!$J$4)</f>
        <v/>
      </c>
      <c r="L45" s="70">
        <f>IF('Final Calculation Sheet'!$K$4="","",'Final Calculation Sheet'!$K$4)</f>
        <v/>
      </c>
      <c r="M45" s="70">
        <f>IF('Final Calculation Sheet'!$L$4="","",'Final Calculation Sheet'!$L$4)</f>
        <v/>
      </c>
      <c r="N45" s="70">
        <f>IF('Final Calculation Sheet'!$M$4="","",'Final Calculation Sheet'!$M$4)</f>
        <v/>
      </c>
      <c r="O45" s="71">
        <f>IF('Final Calculation Sheet'!$N$4="","",'Final Calculation Sheet'!$N$4)</f>
        <v/>
      </c>
      <c r="P45" s="70">
        <f>IF('Final Calculation Sheet'!$O$4="","",'Final Calculation Sheet'!$O$4)</f>
        <v/>
      </c>
      <c r="Q45" s="70">
        <f>IF('Final Calculation Sheet'!$P$4="","",'Final Calculation Sheet'!$P$4)</f>
        <v/>
      </c>
      <c r="R45" s="72">
        <f>IF('Final Calculation Sheet'!$Q$4="","",'Final Calculation Sheet'!$Q$4)</f>
        <v/>
      </c>
      <c r="S45" s="70">
        <f>IF('Final Calculation Sheet'!$R$4="","",'Final Calculation Sheet'!$R$4)</f>
        <v/>
      </c>
      <c r="T45" s="70">
        <f>IF('Final Calculation Sheet'!$S$4="","",'Final Calculation Sheet'!$S$4)</f>
        <v/>
      </c>
      <c r="U45" s="70">
        <f>IF('Final Calculation Sheet'!$T$4="","",'Final Calculation Sheet'!$T$4)</f>
        <v/>
      </c>
      <c r="V45" s="73">
        <f>IF('Final Calculation Sheet'!$U$4="","",'Final Calculation Sheet'!$U$4)</f>
        <v/>
      </c>
      <c r="W45" s="70">
        <f>IF('Final Calculation Sheet'!$V$4="","",'Final Calculation Sheet'!$V$4)</f>
        <v/>
      </c>
      <c r="X45" s="70">
        <f>IF('Final Calculation Sheet'!$W$4="","",'Final Calculation Sheet'!$W$4)</f>
        <v/>
      </c>
      <c r="Y45" s="70">
        <f>IF('Final Calculation Sheet'!$X$4="","",'Final Calculation Sheet'!$X$4)</f>
        <v/>
      </c>
      <c r="Z45" s="70">
        <f>IF('Final Calculation Sheet'!$Y$4="","",'Final Calculation Sheet'!$Y$4)</f>
        <v/>
      </c>
      <c r="AA45" s="70">
        <f>IF('Final Calculation Sheet'!$Z$4="","",'Final Calculation Sheet'!$Z$4)</f>
        <v/>
      </c>
      <c r="AB45" s="70">
        <f>IF('Final Calculation Sheet'!$AA$4="","",'Final Calculation Sheet'!$AA$4)</f>
        <v/>
      </c>
      <c r="AC45" s="70">
        <f>IF('Final Calculation Sheet'!$AB$4="","",'Final Calculation Sheet'!$AB$4)</f>
        <v/>
      </c>
      <c r="AD45" s="70">
        <f>IF('Final Calculation Sheet'!$AC$4="","",'Final Calculation Sheet'!$AC$4)</f>
        <v/>
      </c>
      <c r="AE45" s="70">
        <f>IF('Final Calculation Sheet'!$AD$4="","",'Final Calculation Sheet'!$AD$4)</f>
        <v/>
      </c>
      <c r="AF45" s="75">
        <f>IF('Final Calculation Sheet'!$AD$4="","",IF('Final Calculation Sheet'!$AD$4&lt;=5,"SETTLED","OUTSTANDING"))</f>
        <v/>
      </c>
      <c r="AG45" s="70">
        <f>IF('Final Calculation Sheet'!$AF$4="","",'Final Calculation Sheet'!$AF$4)</f>
        <v/>
      </c>
      <c r="AH45" s="74">
        <f>IF('Final Calculation Sheet'!$AG$4="","",'Final Calculation Sheet'!$AG$4)</f>
        <v/>
      </c>
      <c r="AI45" s="70">
        <f>IF('Final Calculation Sheet'!$AH$4="","",'Final Calculation Sheet'!$AH$4)</f>
        <v/>
      </c>
    </row>
    <row r="46" ht="15" customHeight="1" s="137">
      <c r="A46" s="81" t="inlineStr">
        <is>
          <t>∑</t>
        </is>
      </c>
      <c r="B46" s="83" t="n"/>
      <c r="C46" s="83">
        <f>ROWS($C$45:$C$45)&amp;" lot(s)"</f>
        <v/>
      </c>
      <c r="D46" s="83" t="inlineStr">
        <is>
          <t>SUBTOTAL — AL HAMD TRADE CORPORATION</t>
        </is>
      </c>
      <c r="E46" s="83" t="inlineStr">
        <is>
          <t>–</t>
        </is>
      </c>
      <c r="F46" s="83">
        <f>SUM(F45:F45)</f>
        <v/>
      </c>
      <c r="G46" s="83" t="inlineStr">
        <is>
          <t>–</t>
        </is>
      </c>
      <c r="H46" s="84" t="inlineStr">
        <is>
          <t>–</t>
        </is>
      </c>
      <c r="I46" s="84">
        <f>SUM(I45:I45)</f>
        <v/>
      </c>
      <c r="J46" s="84">
        <f>SUM(J45:J45)</f>
        <v/>
      </c>
      <c r="K46" s="84">
        <f>SUM(K45:K45)</f>
        <v/>
      </c>
      <c r="L46" s="84">
        <f>SUM(L45:L45)</f>
        <v/>
      </c>
      <c r="M46" s="84">
        <f>SUM(M45:M45)</f>
        <v/>
      </c>
      <c r="N46" s="84">
        <f>SUM(N45:N45)</f>
        <v/>
      </c>
      <c r="O46" s="85">
        <f>SUM(O45:O45)</f>
        <v/>
      </c>
      <c r="P46" s="84">
        <f>SUM(P45:P45)</f>
        <v/>
      </c>
      <c r="Q46" s="84">
        <f>SUM(Q45:Q45)</f>
        <v/>
      </c>
      <c r="R46" s="86" t="inlineStr">
        <is>
          <t>–</t>
        </is>
      </c>
      <c r="S46" s="84">
        <f>SUM(S45:S45)</f>
        <v/>
      </c>
      <c r="T46" s="84">
        <f>SUM(T45:T45)</f>
        <v/>
      </c>
      <c r="U46" s="84">
        <f>SUM(U45:U45)</f>
        <v/>
      </c>
      <c r="V46" s="87">
        <f>SUM(V45:V45)</f>
        <v/>
      </c>
      <c r="W46" s="84" t="inlineStr">
        <is>
          <t>–</t>
        </is>
      </c>
      <c r="X46" s="84">
        <f>SUM(X45:X45)</f>
        <v/>
      </c>
      <c r="Y46" s="84">
        <f>SUM(Y45:Y45)</f>
        <v/>
      </c>
      <c r="Z46" s="84" t="inlineStr">
        <is>
          <t>–</t>
        </is>
      </c>
      <c r="AA46" s="84">
        <f>SUM(AA45:AA45)</f>
        <v/>
      </c>
      <c r="AB46" s="84">
        <f>SUM(AB45:AB45)</f>
        <v/>
      </c>
      <c r="AC46" s="84" t="inlineStr">
        <is>
          <t>–</t>
        </is>
      </c>
      <c r="AD46" s="84">
        <f>SUM(AD45:AD45)</f>
        <v/>
      </c>
      <c r="AE46" s="84">
        <f>SUM(AE45:AE45)</f>
        <v/>
      </c>
      <c r="AF46" s="89">
        <f>IF(AE46&lt;=5,"SETTLED","OUTSTANDING")</f>
        <v/>
      </c>
      <c r="AG46" s="84" t="inlineStr">
        <is>
          <t>–</t>
        </is>
      </c>
      <c r="AH46" s="88" t="inlineStr">
        <is>
          <t>–</t>
        </is>
      </c>
      <c r="AI46" s="84" t="inlineStr">
        <is>
          <t>–</t>
        </is>
      </c>
    </row>
    <row r="47" outlineLevel="1" ht="15" customHeight="1" s="137">
      <c r="A47" s="67" t="n">
        <v>1</v>
      </c>
      <c r="B47" s="76">
        <f>IF('Final Calculation Sheet'!$F$6="","",'Final Calculation Sheet'!$F$6)</f>
        <v/>
      </c>
      <c r="C47" s="76">
        <f>IF('Final Calculation Sheet'!$G$6="","",'Final Calculation Sheet'!$G$6)</f>
        <v/>
      </c>
      <c r="D47" s="80">
        <f>IF('Final Calculation Sheet'!$B$6="","",'Final Calculation Sheet'!$B$6)</f>
        <v/>
      </c>
      <c r="E47" s="80">
        <f>IF('Final Calculation Sheet'!$D$6="","",'Final Calculation Sheet'!$D$6)</f>
        <v/>
      </c>
      <c r="F47" s="80">
        <f>IF('Final Calculation Sheet'!$A$6="","",'Final Calculation Sheet'!$A$6)</f>
        <v/>
      </c>
      <c r="G47" s="80">
        <f>IF('Final Calculation Sheet'!$E$6="","",'Final Calculation Sheet'!$E$6)</f>
        <v/>
      </c>
      <c r="H47" s="70">
        <f>IF('Final Calculation Sheet'!$C$6="","",'Final Calculation Sheet'!$C$6)</f>
        <v/>
      </c>
      <c r="I47" s="70">
        <f>IF('Final Calculation Sheet'!$H$6="","",'Final Calculation Sheet'!$H$6)</f>
        <v/>
      </c>
      <c r="J47" s="70">
        <f>IF('Final Calculation Sheet'!$I$6="","",'Final Calculation Sheet'!$I$6)</f>
        <v/>
      </c>
      <c r="K47" s="70">
        <f>IF('Final Calculation Sheet'!$J$6="","",'Final Calculation Sheet'!$J$6)</f>
        <v/>
      </c>
      <c r="L47" s="70">
        <f>IF('Final Calculation Sheet'!$K$6="","",'Final Calculation Sheet'!$K$6)</f>
        <v/>
      </c>
      <c r="M47" s="70">
        <f>IF('Final Calculation Sheet'!$L$6="","",'Final Calculation Sheet'!$L$6)</f>
        <v/>
      </c>
      <c r="N47" s="70">
        <f>IF('Final Calculation Sheet'!$M$6="","",'Final Calculation Sheet'!$M$6)</f>
        <v/>
      </c>
      <c r="O47" s="71">
        <f>IF('Final Calculation Sheet'!$N$6="","",'Final Calculation Sheet'!$N$6)</f>
        <v/>
      </c>
      <c r="P47" s="70">
        <f>IF('Final Calculation Sheet'!$O$6="","",'Final Calculation Sheet'!$O$6)</f>
        <v/>
      </c>
      <c r="Q47" s="70">
        <f>IF('Final Calculation Sheet'!$P$6="","",'Final Calculation Sheet'!$P$6)</f>
        <v/>
      </c>
      <c r="R47" s="72">
        <f>IF('Final Calculation Sheet'!$Q$6="","",'Final Calculation Sheet'!$Q$6)</f>
        <v/>
      </c>
      <c r="S47" s="70">
        <f>IF('Final Calculation Sheet'!$R$6="","",'Final Calculation Sheet'!$R$6)</f>
        <v/>
      </c>
      <c r="T47" s="70">
        <f>IF('Final Calculation Sheet'!$S$6="","",'Final Calculation Sheet'!$S$6)</f>
        <v/>
      </c>
      <c r="U47" s="70">
        <f>IF('Final Calculation Sheet'!$T$6="","",'Final Calculation Sheet'!$T$6)</f>
        <v/>
      </c>
      <c r="V47" s="73">
        <f>IF('Final Calculation Sheet'!$U$6="","",'Final Calculation Sheet'!$U$6)</f>
        <v/>
      </c>
      <c r="W47" s="70">
        <f>IF('Final Calculation Sheet'!$V$6="","",'Final Calculation Sheet'!$V$6)</f>
        <v/>
      </c>
      <c r="X47" s="70">
        <f>IF('Final Calculation Sheet'!$W$6="","",'Final Calculation Sheet'!$W$6)</f>
        <v/>
      </c>
      <c r="Y47" s="70">
        <f>IF('Final Calculation Sheet'!$X$6="","",'Final Calculation Sheet'!$X$6)</f>
        <v/>
      </c>
      <c r="Z47" s="70">
        <f>IF('Final Calculation Sheet'!$Y$6="","",'Final Calculation Sheet'!$Y$6)</f>
        <v/>
      </c>
      <c r="AA47" s="70">
        <f>IF('Final Calculation Sheet'!$Z$6="","",'Final Calculation Sheet'!$Z$6)</f>
        <v/>
      </c>
      <c r="AB47" s="70">
        <f>IF('Final Calculation Sheet'!$AA$6="","",'Final Calculation Sheet'!$AA$6)</f>
        <v/>
      </c>
      <c r="AC47" s="70">
        <f>IF('Final Calculation Sheet'!$AB$6="","",'Final Calculation Sheet'!$AB$6)</f>
        <v/>
      </c>
      <c r="AD47" s="70">
        <f>IF('Final Calculation Sheet'!$AC$6="","",'Final Calculation Sheet'!$AC$6)</f>
        <v/>
      </c>
      <c r="AE47" s="70">
        <f>IF('Final Calculation Sheet'!$AD$6="","",'Final Calculation Sheet'!$AD$6)</f>
        <v/>
      </c>
      <c r="AF47" s="75">
        <f>IF('Final Calculation Sheet'!$AD$6="","",IF('Final Calculation Sheet'!$AD$6&lt;=5,"SETTLED","OUTSTANDING"))</f>
        <v/>
      </c>
      <c r="AG47" s="70">
        <f>IF('Final Calculation Sheet'!$AF$6="","",'Final Calculation Sheet'!$AF$6)</f>
        <v/>
      </c>
      <c r="AH47" s="74">
        <f>IF('Final Calculation Sheet'!$AG$6="","",'Final Calculation Sheet'!$AG$6)</f>
        <v/>
      </c>
      <c r="AI47" s="70">
        <f>IF('Final Calculation Sheet'!$AH$6="","",'Final Calculation Sheet'!$AH$6)</f>
        <v/>
      </c>
    </row>
    <row r="48" outlineLevel="1" ht="15" customHeight="1" s="137">
      <c r="A48" s="90" t="n">
        <v>2</v>
      </c>
      <c r="B48" s="92">
        <f>IF('Final Calculation Sheet'!$F$7="","",'Final Calculation Sheet'!$F$7)</f>
        <v/>
      </c>
      <c r="C48" s="92">
        <f>IF('Final Calculation Sheet'!$G$7="","",'Final Calculation Sheet'!$G$7)</f>
        <v/>
      </c>
      <c r="D48" s="94">
        <f>IF('Final Calculation Sheet'!$B$7="","",'Final Calculation Sheet'!$B$7)</f>
        <v/>
      </c>
      <c r="E48" s="94">
        <f>IF('Final Calculation Sheet'!$D$7="","",'Final Calculation Sheet'!$D$7)</f>
        <v/>
      </c>
      <c r="F48" s="94">
        <f>IF('Final Calculation Sheet'!$A$7="","",'Final Calculation Sheet'!$A$7)</f>
        <v/>
      </c>
      <c r="G48" s="94">
        <f>IF('Final Calculation Sheet'!$E$7="","",'Final Calculation Sheet'!$E$7)</f>
        <v/>
      </c>
      <c r="H48" s="95">
        <f>IF('Final Calculation Sheet'!$C$7="","",'Final Calculation Sheet'!$C$7)</f>
        <v/>
      </c>
      <c r="I48" s="95">
        <f>IF('Final Calculation Sheet'!$H$7="","",'Final Calculation Sheet'!$H$7)</f>
        <v/>
      </c>
      <c r="J48" s="95">
        <f>IF('Final Calculation Sheet'!$I$7="","",'Final Calculation Sheet'!$I$7)</f>
        <v/>
      </c>
      <c r="K48" s="95">
        <f>IF('Final Calculation Sheet'!$J$7="","",'Final Calculation Sheet'!$J$7)</f>
        <v/>
      </c>
      <c r="L48" s="95">
        <f>IF('Final Calculation Sheet'!$K$7="","",'Final Calculation Sheet'!$K$7)</f>
        <v/>
      </c>
      <c r="M48" s="95">
        <f>IF('Final Calculation Sheet'!$L$7="","",'Final Calculation Sheet'!$L$7)</f>
        <v/>
      </c>
      <c r="N48" s="95">
        <f>IF('Final Calculation Sheet'!$M$7="","",'Final Calculation Sheet'!$M$7)</f>
        <v/>
      </c>
      <c r="O48" s="96">
        <f>IF('Final Calculation Sheet'!$N$7="","",'Final Calculation Sheet'!$N$7)</f>
        <v/>
      </c>
      <c r="P48" s="95">
        <f>IF('Final Calculation Sheet'!$O$7="","",'Final Calculation Sheet'!$O$7)</f>
        <v/>
      </c>
      <c r="Q48" s="95">
        <f>IF('Final Calculation Sheet'!$P$7="","",'Final Calculation Sheet'!$P$7)</f>
        <v/>
      </c>
      <c r="R48" s="97">
        <f>IF('Final Calculation Sheet'!$Q$7="","",'Final Calculation Sheet'!$Q$7)</f>
        <v/>
      </c>
      <c r="S48" s="95">
        <f>IF('Final Calculation Sheet'!$R$7="","",'Final Calculation Sheet'!$R$7)</f>
        <v/>
      </c>
      <c r="T48" s="95">
        <f>IF('Final Calculation Sheet'!$S$7="","",'Final Calculation Sheet'!$S$7)</f>
        <v/>
      </c>
      <c r="U48" s="95">
        <f>IF('Final Calculation Sheet'!$T$7="","",'Final Calculation Sheet'!$T$7)</f>
        <v/>
      </c>
      <c r="V48" s="98">
        <f>IF('Final Calculation Sheet'!$U$7="","",'Final Calculation Sheet'!$U$7)</f>
        <v/>
      </c>
      <c r="W48" s="95">
        <f>IF('Final Calculation Sheet'!$V$7="","",'Final Calculation Sheet'!$V$7)</f>
        <v/>
      </c>
      <c r="X48" s="95">
        <f>IF('Final Calculation Sheet'!$W$7="","",'Final Calculation Sheet'!$W$7)</f>
        <v/>
      </c>
      <c r="Y48" s="95">
        <f>IF('Final Calculation Sheet'!$X$7="","",'Final Calculation Sheet'!$X$7)</f>
        <v/>
      </c>
      <c r="Z48" s="95">
        <f>IF('Final Calculation Sheet'!$Y$7="","",'Final Calculation Sheet'!$Y$7)</f>
        <v/>
      </c>
      <c r="AA48" s="95">
        <f>IF('Final Calculation Sheet'!$Z$7="","",'Final Calculation Sheet'!$Z$7)</f>
        <v/>
      </c>
      <c r="AB48" s="95">
        <f>IF('Final Calculation Sheet'!$AA$7="","",'Final Calculation Sheet'!$AA$7)</f>
        <v/>
      </c>
      <c r="AC48" s="95">
        <f>IF('Final Calculation Sheet'!$AB$7="","",'Final Calculation Sheet'!$AB$7)</f>
        <v/>
      </c>
      <c r="AD48" s="95">
        <f>IF('Final Calculation Sheet'!$AC$7="","",'Final Calculation Sheet'!$AC$7)</f>
        <v/>
      </c>
      <c r="AE48" s="95">
        <f>IF('Final Calculation Sheet'!$AD$7="","",'Final Calculation Sheet'!$AD$7)</f>
        <v/>
      </c>
      <c r="AF48" s="100">
        <f>IF('Final Calculation Sheet'!$AD$7="","",IF('Final Calculation Sheet'!$AD$7&lt;=5,"SETTLED","OUTSTANDING"))</f>
        <v/>
      </c>
      <c r="AG48" s="95">
        <f>IF('Final Calculation Sheet'!$AF$7="","",'Final Calculation Sheet'!$AF$7)</f>
        <v/>
      </c>
      <c r="AH48" s="99">
        <f>IF('Final Calculation Sheet'!$AG$7="","",'Final Calculation Sheet'!$AG$7)</f>
        <v/>
      </c>
      <c r="AI48" s="95">
        <f>IF('Final Calculation Sheet'!$AH$7="","",'Final Calculation Sheet'!$AH$7)</f>
        <v/>
      </c>
    </row>
    <row r="49" ht="15" customHeight="1" s="137">
      <c r="A49" s="81" t="inlineStr">
        <is>
          <t>∑</t>
        </is>
      </c>
      <c r="B49" s="83" t="n"/>
      <c r="C49" s="83">
        <f>ROWS($C$47:$C$48)&amp;" lot(s)"</f>
        <v/>
      </c>
      <c r="D49" s="83" t="inlineStr">
        <is>
          <t>SUBTOTAL — F R KHANS ENTERPRISES</t>
        </is>
      </c>
      <c r="E49" s="83" t="inlineStr">
        <is>
          <t>–</t>
        </is>
      </c>
      <c r="F49" s="83">
        <f>SUM(F47:F48)</f>
        <v/>
      </c>
      <c r="G49" s="83" t="inlineStr">
        <is>
          <t>–</t>
        </is>
      </c>
      <c r="H49" s="84" t="inlineStr">
        <is>
          <t>–</t>
        </is>
      </c>
      <c r="I49" s="84">
        <f>SUM(I47:I48)</f>
        <v/>
      </c>
      <c r="J49" s="84">
        <f>SUM(J47:J48)</f>
        <v/>
      </c>
      <c r="K49" s="84">
        <f>SUM(K47:K48)</f>
        <v/>
      </c>
      <c r="L49" s="84">
        <f>SUM(L47:L48)</f>
        <v/>
      </c>
      <c r="M49" s="84">
        <f>SUM(M47:M48)</f>
        <v/>
      </c>
      <c r="N49" s="84">
        <f>SUM(N47:N48)</f>
        <v/>
      </c>
      <c r="O49" s="85">
        <f>SUM(O47:O48)</f>
        <v/>
      </c>
      <c r="P49" s="84">
        <f>SUM(P47:P48)</f>
        <v/>
      </c>
      <c r="Q49" s="84">
        <f>SUM(Q47:Q48)</f>
        <v/>
      </c>
      <c r="R49" s="86" t="inlineStr">
        <is>
          <t>–</t>
        </is>
      </c>
      <c r="S49" s="84">
        <f>SUM(S47:S48)</f>
        <v/>
      </c>
      <c r="T49" s="84">
        <f>SUM(T47:T48)</f>
        <v/>
      </c>
      <c r="U49" s="84">
        <f>SUM(U47:U48)</f>
        <v/>
      </c>
      <c r="V49" s="87">
        <f>SUM(V47:V48)</f>
        <v/>
      </c>
      <c r="W49" s="84" t="inlineStr">
        <is>
          <t>–</t>
        </is>
      </c>
      <c r="X49" s="84">
        <f>SUM(X47:X48)</f>
        <v/>
      </c>
      <c r="Y49" s="84">
        <f>SUM(Y47:Y48)</f>
        <v/>
      </c>
      <c r="Z49" s="84" t="inlineStr">
        <is>
          <t>–</t>
        </is>
      </c>
      <c r="AA49" s="84">
        <f>SUM(AA47:AA48)</f>
        <v/>
      </c>
      <c r="AB49" s="84">
        <f>SUM(AB47:AB48)</f>
        <v/>
      </c>
      <c r="AC49" s="84" t="inlineStr">
        <is>
          <t>–</t>
        </is>
      </c>
      <c r="AD49" s="84">
        <f>SUM(AD47:AD48)</f>
        <v/>
      </c>
      <c r="AE49" s="84">
        <f>SUM(AE47:AE48)</f>
        <v/>
      </c>
      <c r="AF49" s="89">
        <f>IF(AE49&lt;=5,"SETTLED","OUTSTANDING")</f>
        <v/>
      </c>
      <c r="AG49" s="84" t="inlineStr">
        <is>
          <t>–</t>
        </is>
      </c>
      <c r="AH49" s="88" t="inlineStr">
        <is>
          <t>–</t>
        </is>
      </c>
      <c r="AI49" s="84" t="inlineStr">
        <is>
          <t>–</t>
        </is>
      </c>
    </row>
    <row r="50" outlineLevel="1" ht="15" customHeight="1" s="137">
      <c r="A50" s="67" t="n">
        <v>1</v>
      </c>
      <c r="B50" s="76">
        <f>IF('Final Calculation Sheet'!$F$15="","",'Final Calculation Sheet'!$F$15)</f>
        <v/>
      </c>
      <c r="C50" s="76">
        <f>IF('Final Calculation Sheet'!$G$15="","",'Final Calculation Sheet'!$G$15)</f>
        <v/>
      </c>
      <c r="D50" s="80">
        <f>IF('Final Calculation Sheet'!$B$15="","",'Final Calculation Sheet'!$B$15)</f>
        <v/>
      </c>
      <c r="E50" s="80">
        <f>IF('Final Calculation Sheet'!$D$15="","",'Final Calculation Sheet'!$D$15)</f>
        <v/>
      </c>
      <c r="F50" s="80">
        <f>IF('Final Calculation Sheet'!$A$15="","",'Final Calculation Sheet'!$A$15)</f>
        <v/>
      </c>
      <c r="G50" s="80">
        <f>IF('Final Calculation Sheet'!$E$15="","",'Final Calculation Sheet'!$E$15)</f>
        <v/>
      </c>
      <c r="H50" s="70">
        <f>IF('Final Calculation Sheet'!$C$15="","",'Final Calculation Sheet'!$C$15)</f>
        <v/>
      </c>
      <c r="I50" s="70">
        <f>IF('Final Calculation Sheet'!$H$15="","",'Final Calculation Sheet'!$H$15)</f>
        <v/>
      </c>
      <c r="J50" s="70">
        <f>IF('Final Calculation Sheet'!$I$15="","",'Final Calculation Sheet'!$I$15)</f>
        <v/>
      </c>
      <c r="K50" s="70">
        <f>IF('Final Calculation Sheet'!$J$15="","",'Final Calculation Sheet'!$J$15)</f>
        <v/>
      </c>
      <c r="L50" s="70">
        <f>IF('Final Calculation Sheet'!$K$15="","",'Final Calculation Sheet'!$K$15)</f>
        <v/>
      </c>
      <c r="M50" s="70">
        <f>IF('Final Calculation Sheet'!$L$15="","",'Final Calculation Sheet'!$L$15)</f>
        <v/>
      </c>
      <c r="N50" s="70">
        <f>IF('Final Calculation Sheet'!$M$15="","",'Final Calculation Sheet'!$M$15)</f>
        <v/>
      </c>
      <c r="O50" s="71">
        <f>IF('Final Calculation Sheet'!$N$15="","",'Final Calculation Sheet'!$N$15)</f>
        <v/>
      </c>
      <c r="P50" s="70">
        <f>IF('Final Calculation Sheet'!$O$15="","",'Final Calculation Sheet'!$O$15)</f>
        <v/>
      </c>
      <c r="Q50" s="70">
        <f>IF('Final Calculation Sheet'!$P$15="","",'Final Calculation Sheet'!$P$15)</f>
        <v/>
      </c>
      <c r="R50" s="72">
        <f>IF('Final Calculation Sheet'!$Q$15="","",'Final Calculation Sheet'!$Q$15)</f>
        <v/>
      </c>
      <c r="S50" s="70">
        <f>IF('Final Calculation Sheet'!$R$15="","",'Final Calculation Sheet'!$R$15)</f>
        <v/>
      </c>
      <c r="T50" s="70">
        <f>IF('Final Calculation Sheet'!$S$15="","",'Final Calculation Sheet'!$S$15)</f>
        <v/>
      </c>
      <c r="U50" s="70">
        <f>IF('Final Calculation Sheet'!$T$15="","",'Final Calculation Sheet'!$T$15)</f>
        <v/>
      </c>
      <c r="V50" s="73">
        <f>IF('Final Calculation Sheet'!$U$15="","",'Final Calculation Sheet'!$U$15)</f>
        <v/>
      </c>
      <c r="W50" s="70">
        <f>IF('Final Calculation Sheet'!$V$15="","",'Final Calculation Sheet'!$V$15)</f>
        <v/>
      </c>
      <c r="X50" s="70">
        <f>IF('Final Calculation Sheet'!$W$15="","",'Final Calculation Sheet'!$W$15)</f>
        <v/>
      </c>
      <c r="Y50" s="70">
        <f>IF('Final Calculation Sheet'!$X$15="","",'Final Calculation Sheet'!$X$15)</f>
        <v/>
      </c>
      <c r="Z50" s="70">
        <f>IF('Final Calculation Sheet'!$Y$15="","",'Final Calculation Sheet'!$Y$15)</f>
        <v/>
      </c>
      <c r="AA50" s="70">
        <f>IF('Final Calculation Sheet'!$Z$15="","",'Final Calculation Sheet'!$Z$15)</f>
        <v/>
      </c>
      <c r="AB50" s="70">
        <f>IF('Final Calculation Sheet'!$AA$15="","",'Final Calculation Sheet'!$AA$15)</f>
        <v/>
      </c>
      <c r="AC50" s="70">
        <f>IF('Final Calculation Sheet'!$AB$15="","",'Final Calculation Sheet'!$AB$15)</f>
        <v/>
      </c>
      <c r="AD50" s="70">
        <f>IF('Final Calculation Sheet'!$AC$15="","",'Final Calculation Sheet'!$AC$15)</f>
        <v/>
      </c>
      <c r="AE50" s="70">
        <f>IF('Final Calculation Sheet'!$AD$15="","",'Final Calculation Sheet'!$AD$15)</f>
        <v/>
      </c>
      <c r="AF50" s="75">
        <f>IF('Final Calculation Sheet'!$AD$15="","",IF('Final Calculation Sheet'!$AD$15&lt;=5,"SETTLED","OUTSTANDING"))</f>
        <v/>
      </c>
      <c r="AG50" s="70">
        <f>IF('Final Calculation Sheet'!$AF$15="","",'Final Calculation Sheet'!$AF$15)</f>
        <v/>
      </c>
      <c r="AH50" s="74">
        <f>IF('Final Calculation Sheet'!$AG$15="","",'Final Calculation Sheet'!$AG$15)</f>
        <v/>
      </c>
      <c r="AI50" s="70">
        <f>IF('Final Calculation Sheet'!$AH$15="","",'Final Calculation Sheet'!$AH$15)</f>
        <v/>
      </c>
    </row>
    <row r="51" ht="15" customHeight="1" s="137">
      <c r="A51" s="81" t="inlineStr">
        <is>
          <t>∑</t>
        </is>
      </c>
      <c r="B51" s="83" t="n"/>
      <c r="C51" s="83">
        <f>ROWS($C$50:$C$50)&amp;" lot(s)"</f>
        <v/>
      </c>
      <c r="D51" s="83" t="inlineStr">
        <is>
          <t>SUBTOTAL — HIND TRADERS</t>
        </is>
      </c>
      <c r="E51" s="83" t="inlineStr">
        <is>
          <t>–</t>
        </is>
      </c>
      <c r="F51" s="83">
        <f>SUM(F50:F50)</f>
        <v/>
      </c>
      <c r="G51" s="83" t="inlineStr">
        <is>
          <t>–</t>
        </is>
      </c>
      <c r="H51" s="84" t="inlineStr">
        <is>
          <t>–</t>
        </is>
      </c>
      <c r="I51" s="84">
        <f>SUM(I50:I50)</f>
        <v/>
      </c>
      <c r="J51" s="84">
        <f>SUM(J50:J50)</f>
        <v/>
      </c>
      <c r="K51" s="84">
        <f>SUM(K50:K50)</f>
        <v/>
      </c>
      <c r="L51" s="84">
        <f>SUM(L50:L50)</f>
        <v/>
      </c>
      <c r="M51" s="84">
        <f>SUM(M50:M50)</f>
        <v/>
      </c>
      <c r="N51" s="84">
        <f>SUM(N50:N50)</f>
        <v/>
      </c>
      <c r="O51" s="85">
        <f>SUM(O50:O50)</f>
        <v/>
      </c>
      <c r="P51" s="84">
        <f>SUM(P50:P50)</f>
        <v/>
      </c>
      <c r="Q51" s="84">
        <f>SUM(Q50:Q50)</f>
        <v/>
      </c>
      <c r="R51" s="86" t="inlineStr">
        <is>
          <t>–</t>
        </is>
      </c>
      <c r="S51" s="84">
        <f>SUM(S50:S50)</f>
        <v/>
      </c>
      <c r="T51" s="84">
        <f>SUM(T50:T50)</f>
        <v/>
      </c>
      <c r="U51" s="84">
        <f>SUM(U50:U50)</f>
        <v/>
      </c>
      <c r="V51" s="87">
        <f>SUM(V50:V50)</f>
        <v/>
      </c>
      <c r="W51" s="84" t="inlineStr">
        <is>
          <t>–</t>
        </is>
      </c>
      <c r="X51" s="84">
        <f>SUM(X50:X50)</f>
        <v/>
      </c>
      <c r="Y51" s="84">
        <f>SUM(Y50:Y50)</f>
        <v/>
      </c>
      <c r="Z51" s="84" t="inlineStr">
        <is>
          <t>–</t>
        </is>
      </c>
      <c r="AA51" s="84">
        <f>SUM(AA50:AA50)</f>
        <v/>
      </c>
      <c r="AB51" s="84">
        <f>SUM(AB50:AB50)</f>
        <v/>
      </c>
      <c r="AC51" s="84" t="inlineStr">
        <is>
          <t>–</t>
        </is>
      </c>
      <c r="AD51" s="84">
        <f>SUM(AD50:AD50)</f>
        <v/>
      </c>
      <c r="AE51" s="84">
        <f>SUM(AE50:AE50)</f>
        <v/>
      </c>
      <c r="AF51" s="89">
        <f>IF(AE51&lt;=5,"SETTLED","OUTSTANDING")</f>
        <v/>
      </c>
      <c r="AG51" s="84" t="inlineStr">
        <is>
          <t>–</t>
        </is>
      </c>
      <c r="AH51" s="88" t="inlineStr">
        <is>
          <t>–</t>
        </is>
      </c>
      <c r="AI51" s="84" t="inlineStr">
        <is>
          <t>–</t>
        </is>
      </c>
    </row>
    <row r="52" outlineLevel="1" ht="15" customHeight="1" s="137">
      <c r="A52" s="67" t="n">
        <v>1</v>
      </c>
      <c r="B52" s="76">
        <f>IF('Final Calculation Sheet'!$F$38="","",'Final Calculation Sheet'!$F$38)</f>
        <v/>
      </c>
      <c r="C52" s="76">
        <f>IF('Final Calculation Sheet'!$G$38="","",'Final Calculation Sheet'!$G$38)</f>
        <v/>
      </c>
      <c r="D52" s="80">
        <f>IF('Final Calculation Sheet'!$B$38="","",'Final Calculation Sheet'!$B$38)</f>
        <v/>
      </c>
      <c r="E52" s="80">
        <f>IF('Final Calculation Sheet'!$D$38="","",'Final Calculation Sheet'!$D$38)</f>
        <v/>
      </c>
      <c r="F52" s="80">
        <f>IF('Final Calculation Sheet'!$A$38="","",'Final Calculation Sheet'!$A$38)</f>
        <v/>
      </c>
      <c r="G52" s="80">
        <f>IF('Final Calculation Sheet'!$E$38="","",'Final Calculation Sheet'!$E$38)</f>
        <v/>
      </c>
      <c r="H52" s="70">
        <f>IF('Final Calculation Sheet'!$C$38="","",'Final Calculation Sheet'!$C$38)</f>
        <v/>
      </c>
      <c r="I52" s="70">
        <f>IF('Final Calculation Sheet'!$H$38="","",'Final Calculation Sheet'!$H$38)</f>
        <v/>
      </c>
      <c r="J52" s="70">
        <f>IF('Final Calculation Sheet'!$I$38="","",'Final Calculation Sheet'!$I$38)</f>
        <v/>
      </c>
      <c r="K52" s="70">
        <f>IF('Final Calculation Sheet'!$J$38="","",'Final Calculation Sheet'!$J$38)</f>
        <v/>
      </c>
      <c r="L52" s="70">
        <f>IF('Final Calculation Sheet'!$K$38="","",'Final Calculation Sheet'!$K$38)</f>
        <v/>
      </c>
      <c r="M52" s="70">
        <f>IF('Final Calculation Sheet'!$L$38="","",'Final Calculation Sheet'!$L$38)</f>
        <v/>
      </c>
      <c r="N52" s="70">
        <f>IF('Final Calculation Sheet'!$M$38="","",'Final Calculation Sheet'!$M$38)</f>
        <v/>
      </c>
      <c r="O52" s="71">
        <f>IF('Final Calculation Sheet'!$N$38="","",'Final Calculation Sheet'!$N$38)</f>
        <v/>
      </c>
      <c r="P52" s="70">
        <f>IF('Final Calculation Sheet'!$O$38="","",'Final Calculation Sheet'!$O$38)</f>
        <v/>
      </c>
      <c r="Q52" s="70">
        <f>IF('Final Calculation Sheet'!$P$38="","",'Final Calculation Sheet'!$P$38)</f>
        <v/>
      </c>
      <c r="R52" s="72">
        <f>IF('Final Calculation Sheet'!$Q$38="","",'Final Calculation Sheet'!$Q$38)</f>
        <v/>
      </c>
      <c r="S52" s="70">
        <f>IF('Final Calculation Sheet'!$R$38="","",'Final Calculation Sheet'!$R$38)</f>
        <v/>
      </c>
      <c r="T52" s="70">
        <f>IF('Final Calculation Sheet'!$S$38="","",'Final Calculation Sheet'!$S$38)</f>
        <v/>
      </c>
      <c r="U52" s="70">
        <f>IF('Final Calculation Sheet'!$T$38="","",'Final Calculation Sheet'!$T$38)</f>
        <v/>
      </c>
      <c r="V52" s="73">
        <f>IF('Final Calculation Sheet'!$U$38="","",'Final Calculation Sheet'!$U$38)</f>
        <v/>
      </c>
      <c r="W52" s="70">
        <f>IF('Final Calculation Sheet'!$V$38="","",'Final Calculation Sheet'!$V$38)</f>
        <v/>
      </c>
      <c r="X52" s="70">
        <f>IF('Final Calculation Sheet'!$W$38="","",'Final Calculation Sheet'!$W$38)</f>
        <v/>
      </c>
      <c r="Y52" s="70">
        <f>IF('Final Calculation Sheet'!$X$38="","",'Final Calculation Sheet'!$X$38)</f>
        <v/>
      </c>
      <c r="Z52" s="70">
        <f>IF('Final Calculation Sheet'!$Y$38="","",'Final Calculation Sheet'!$Y$38)</f>
        <v/>
      </c>
      <c r="AA52" s="70">
        <f>IF('Final Calculation Sheet'!$Z$38="","",'Final Calculation Sheet'!$Z$38)</f>
        <v/>
      </c>
      <c r="AB52" s="70">
        <f>IF('Final Calculation Sheet'!$AA$38="","",'Final Calculation Sheet'!$AA$38)</f>
        <v/>
      </c>
      <c r="AC52" s="70">
        <f>IF('Final Calculation Sheet'!$AB$38="","",'Final Calculation Sheet'!$AB$38)</f>
        <v/>
      </c>
      <c r="AD52" s="70">
        <f>IF('Final Calculation Sheet'!$AC$38="","",'Final Calculation Sheet'!$AC$38)</f>
        <v/>
      </c>
      <c r="AE52" s="70">
        <f>IF('Final Calculation Sheet'!$AD$38="","",'Final Calculation Sheet'!$AD$38)</f>
        <v/>
      </c>
      <c r="AF52" s="75">
        <f>IF('Final Calculation Sheet'!$AD$38="","",IF('Final Calculation Sheet'!$AD$38&lt;=5,"SETTLED","OUTSTANDING"))</f>
        <v/>
      </c>
      <c r="AG52" s="70">
        <f>IF('Final Calculation Sheet'!$AF$38="","",'Final Calculation Sheet'!$AF$38)</f>
        <v/>
      </c>
      <c r="AH52" s="74">
        <f>IF('Final Calculation Sheet'!$AG$38="","",'Final Calculation Sheet'!$AG$38)</f>
        <v/>
      </c>
      <c r="AI52" s="70">
        <f>IF('Final Calculation Sheet'!$AH$38="","",'Final Calculation Sheet'!$AH$38)</f>
        <v/>
      </c>
    </row>
    <row r="53" ht="15" customHeight="1" s="137">
      <c r="A53" s="81" t="inlineStr">
        <is>
          <t>∑</t>
        </is>
      </c>
      <c r="B53" s="83" t="n"/>
      <c r="C53" s="83">
        <f>ROWS($C$52:$C$52)&amp;" lot(s)"</f>
        <v/>
      </c>
      <c r="D53" s="83" t="inlineStr">
        <is>
          <t>SUBTOTAL — KASHYAP TRADING CO</t>
        </is>
      </c>
      <c r="E53" s="83" t="inlineStr">
        <is>
          <t>–</t>
        </is>
      </c>
      <c r="F53" s="83">
        <f>SUM(F52:F52)</f>
        <v/>
      </c>
      <c r="G53" s="83" t="inlineStr">
        <is>
          <t>–</t>
        </is>
      </c>
      <c r="H53" s="84" t="inlineStr">
        <is>
          <t>–</t>
        </is>
      </c>
      <c r="I53" s="84">
        <f>SUM(I52:I52)</f>
        <v/>
      </c>
      <c r="J53" s="84">
        <f>SUM(J52:J52)</f>
        <v/>
      </c>
      <c r="K53" s="84">
        <f>SUM(K52:K52)</f>
        <v/>
      </c>
      <c r="L53" s="84">
        <f>SUM(L52:L52)</f>
        <v/>
      </c>
      <c r="M53" s="84">
        <f>SUM(M52:M52)</f>
        <v/>
      </c>
      <c r="N53" s="84">
        <f>SUM(N52:N52)</f>
        <v/>
      </c>
      <c r="O53" s="85">
        <f>SUM(O52:O52)</f>
        <v/>
      </c>
      <c r="P53" s="84">
        <f>SUM(P52:P52)</f>
        <v/>
      </c>
      <c r="Q53" s="84">
        <f>SUM(Q52:Q52)</f>
        <v/>
      </c>
      <c r="R53" s="86" t="inlineStr">
        <is>
          <t>–</t>
        </is>
      </c>
      <c r="S53" s="84">
        <f>SUM(S52:S52)</f>
        <v/>
      </c>
      <c r="T53" s="84">
        <f>SUM(T52:T52)</f>
        <v/>
      </c>
      <c r="U53" s="84">
        <f>SUM(U52:U52)</f>
        <v/>
      </c>
      <c r="V53" s="87">
        <f>SUM(V52:V52)</f>
        <v/>
      </c>
      <c r="W53" s="84" t="inlineStr">
        <is>
          <t>–</t>
        </is>
      </c>
      <c r="X53" s="84">
        <f>SUM(X52:X52)</f>
        <v/>
      </c>
      <c r="Y53" s="84">
        <f>SUM(Y52:Y52)</f>
        <v/>
      </c>
      <c r="Z53" s="84" t="inlineStr">
        <is>
          <t>–</t>
        </is>
      </c>
      <c r="AA53" s="84">
        <f>SUM(AA52:AA52)</f>
        <v/>
      </c>
      <c r="AB53" s="84">
        <f>SUM(AB52:AB52)</f>
        <v/>
      </c>
      <c r="AC53" s="84" t="inlineStr">
        <is>
          <t>–</t>
        </is>
      </c>
      <c r="AD53" s="84">
        <f>SUM(AD52:AD52)</f>
        <v/>
      </c>
      <c r="AE53" s="84">
        <f>SUM(AE52:AE52)</f>
        <v/>
      </c>
      <c r="AF53" s="89">
        <f>IF(AE53&lt;=5,"SETTLED","OUTSTANDING")</f>
        <v/>
      </c>
      <c r="AG53" s="84" t="inlineStr">
        <is>
          <t>–</t>
        </is>
      </c>
      <c r="AH53" s="88" t="inlineStr">
        <is>
          <t>–</t>
        </is>
      </c>
      <c r="AI53" s="84" t="inlineStr">
        <is>
          <t>–</t>
        </is>
      </c>
    </row>
    <row r="54" outlineLevel="1" ht="15" customHeight="1" s="137">
      <c r="A54" s="67" t="n">
        <v>1</v>
      </c>
      <c r="B54" s="76">
        <f>IF('Final Calculation Sheet'!$F$27="","",'Final Calculation Sheet'!$F$27)</f>
        <v/>
      </c>
      <c r="C54" s="76">
        <f>IF('Final Calculation Sheet'!$G$27="","",'Final Calculation Sheet'!$G$27)</f>
        <v/>
      </c>
      <c r="D54" s="80">
        <f>IF('Final Calculation Sheet'!$B$27="","",'Final Calculation Sheet'!$B$27)</f>
        <v/>
      </c>
      <c r="E54" s="80">
        <f>IF('Final Calculation Sheet'!$D$27="","",'Final Calculation Sheet'!$D$27)</f>
        <v/>
      </c>
      <c r="F54" s="80">
        <f>IF('Final Calculation Sheet'!$A$27="","",'Final Calculation Sheet'!$A$27)</f>
        <v/>
      </c>
      <c r="G54" s="80">
        <f>IF('Final Calculation Sheet'!$E$27="","",'Final Calculation Sheet'!$E$27)</f>
        <v/>
      </c>
      <c r="H54" s="70">
        <f>IF('Final Calculation Sheet'!$C$27="","",'Final Calculation Sheet'!$C$27)</f>
        <v/>
      </c>
      <c r="I54" s="70">
        <f>IF('Final Calculation Sheet'!$H$27="","",'Final Calculation Sheet'!$H$27)</f>
        <v/>
      </c>
      <c r="J54" s="70">
        <f>IF('Final Calculation Sheet'!$I$27="","",'Final Calculation Sheet'!$I$27)</f>
        <v/>
      </c>
      <c r="K54" s="70">
        <f>IF('Final Calculation Sheet'!$J$27="","",'Final Calculation Sheet'!$J$27)</f>
        <v/>
      </c>
      <c r="L54" s="70">
        <f>IF('Final Calculation Sheet'!$K$27="","",'Final Calculation Sheet'!$K$27)</f>
        <v/>
      </c>
      <c r="M54" s="70">
        <f>IF('Final Calculation Sheet'!$L$27="","",'Final Calculation Sheet'!$L$27)</f>
        <v/>
      </c>
      <c r="N54" s="70">
        <f>IF('Final Calculation Sheet'!$M$27="","",'Final Calculation Sheet'!$M$27)</f>
        <v/>
      </c>
      <c r="O54" s="71">
        <f>IF('Final Calculation Sheet'!$N$27="","",'Final Calculation Sheet'!$N$27)</f>
        <v/>
      </c>
      <c r="P54" s="70">
        <f>IF('Final Calculation Sheet'!$O$27="","",'Final Calculation Sheet'!$O$27)</f>
        <v/>
      </c>
      <c r="Q54" s="70">
        <f>IF('Final Calculation Sheet'!$P$27="","",'Final Calculation Sheet'!$P$27)</f>
        <v/>
      </c>
      <c r="R54" s="72">
        <f>IF('Final Calculation Sheet'!$Q$27="","",'Final Calculation Sheet'!$Q$27)</f>
        <v/>
      </c>
      <c r="S54" s="70">
        <f>IF('Final Calculation Sheet'!$R$27="","",'Final Calculation Sheet'!$R$27)</f>
        <v/>
      </c>
      <c r="T54" s="70">
        <f>IF('Final Calculation Sheet'!$S$27="","",'Final Calculation Sheet'!$S$27)</f>
        <v/>
      </c>
      <c r="U54" s="70">
        <f>IF('Final Calculation Sheet'!$T$27="","",'Final Calculation Sheet'!$T$27)</f>
        <v/>
      </c>
      <c r="V54" s="73">
        <f>IF('Final Calculation Sheet'!$U$27="","",'Final Calculation Sheet'!$U$27)</f>
        <v/>
      </c>
      <c r="W54" s="70">
        <f>IF('Final Calculation Sheet'!$V$27="","",'Final Calculation Sheet'!$V$27)</f>
        <v/>
      </c>
      <c r="X54" s="70">
        <f>IF('Final Calculation Sheet'!$W$27="","",'Final Calculation Sheet'!$W$27)</f>
        <v/>
      </c>
      <c r="Y54" s="70">
        <f>IF('Final Calculation Sheet'!$X$27="","",'Final Calculation Sheet'!$X$27)</f>
        <v/>
      </c>
      <c r="Z54" s="70">
        <f>IF('Final Calculation Sheet'!$Y$27="","",'Final Calculation Sheet'!$Y$27)</f>
        <v/>
      </c>
      <c r="AA54" s="70">
        <f>IF('Final Calculation Sheet'!$Z$27="","",'Final Calculation Sheet'!$Z$27)</f>
        <v/>
      </c>
      <c r="AB54" s="70">
        <f>IF('Final Calculation Sheet'!$AA$27="","",'Final Calculation Sheet'!$AA$27)</f>
        <v/>
      </c>
      <c r="AC54" s="70">
        <f>IF('Final Calculation Sheet'!$AB$27="","",'Final Calculation Sheet'!$AB$27)</f>
        <v/>
      </c>
      <c r="AD54" s="70">
        <f>IF('Final Calculation Sheet'!$AC$27="","",'Final Calculation Sheet'!$AC$27)</f>
        <v/>
      </c>
      <c r="AE54" s="70">
        <f>IF('Final Calculation Sheet'!$AD$27="","",'Final Calculation Sheet'!$AD$27)</f>
        <v/>
      </c>
      <c r="AF54" s="75">
        <f>IF('Final Calculation Sheet'!$AD$27="","",IF('Final Calculation Sheet'!$AD$27&lt;=5,"SETTLED","OUTSTANDING"))</f>
        <v/>
      </c>
      <c r="AG54" s="70">
        <f>IF('Final Calculation Sheet'!$AF$27="","",'Final Calculation Sheet'!$AF$27)</f>
        <v/>
      </c>
      <c r="AH54" s="74">
        <f>IF('Final Calculation Sheet'!$AG$27="","",'Final Calculation Sheet'!$AG$27)</f>
        <v/>
      </c>
      <c r="AI54" s="70">
        <f>IF('Final Calculation Sheet'!$AH$27="","",'Final Calculation Sheet'!$AH$27)</f>
        <v/>
      </c>
    </row>
    <row r="55" ht="15" customHeight="1" s="137">
      <c r="A55" s="81" t="inlineStr">
        <is>
          <t>∑</t>
        </is>
      </c>
      <c r="B55" s="83" t="n"/>
      <c r="C55" s="83">
        <f>ROWS($C$54:$C$54)&amp;" lot(s)"</f>
        <v/>
      </c>
      <c r="D55" s="83" t="inlineStr">
        <is>
          <t>SUBTOTAL — M I SCRAP TRADERS</t>
        </is>
      </c>
      <c r="E55" s="83" t="inlineStr">
        <is>
          <t>–</t>
        </is>
      </c>
      <c r="F55" s="83">
        <f>SUM(F54:F54)</f>
        <v/>
      </c>
      <c r="G55" s="83" t="inlineStr">
        <is>
          <t>–</t>
        </is>
      </c>
      <c r="H55" s="84" t="inlineStr">
        <is>
          <t>–</t>
        </is>
      </c>
      <c r="I55" s="84">
        <f>SUM(I54:I54)</f>
        <v/>
      </c>
      <c r="J55" s="84">
        <f>SUM(J54:J54)</f>
        <v/>
      </c>
      <c r="K55" s="84">
        <f>SUM(K54:K54)</f>
        <v/>
      </c>
      <c r="L55" s="84">
        <f>SUM(L54:L54)</f>
        <v/>
      </c>
      <c r="M55" s="84">
        <f>SUM(M54:M54)</f>
        <v/>
      </c>
      <c r="N55" s="84">
        <f>SUM(N54:N54)</f>
        <v/>
      </c>
      <c r="O55" s="85">
        <f>SUM(O54:O54)</f>
        <v/>
      </c>
      <c r="P55" s="84">
        <f>SUM(P54:P54)</f>
        <v/>
      </c>
      <c r="Q55" s="84">
        <f>SUM(Q54:Q54)</f>
        <v/>
      </c>
      <c r="R55" s="86" t="inlineStr">
        <is>
          <t>–</t>
        </is>
      </c>
      <c r="S55" s="84">
        <f>SUM(S54:S54)</f>
        <v/>
      </c>
      <c r="T55" s="84">
        <f>SUM(T54:T54)</f>
        <v/>
      </c>
      <c r="U55" s="84">
        <f>SUM(U54:U54)</f>
        <v/>
      </c>
      <c r="V55" s="87">
        <f>SUM(V54:V54)</f>
        <v/>
      </c>
      <c r="W55" s="84" t="inlineStr">
        <is>
          <t>–</t>
        </is>
      </c>
      <c r="X55" s="84">
        <f>SUM(X54:X54)</f>
        <v/>
      </c>
      <c r="Y55" s="84">
        <f>SUM(Y54:Y54)</f>
        <v/>
      </c>
      <c r="Z55" s="84" t="inlineStr">
        <is>
          <t>–</t>
        </is>
      </c>
      <c r="AA55" s="84">
        <f>SUM(AA54:AA54)</f>
        <v/>
      </c>
      <c r="AB55" s="84">
        <f>SUM(AB54:AB54)</f>
        <v/>
      </c>
      <c r="AC55" s="84" t="inlineStr">
        <is>
          <t>–</t>
        </is>
      </c>
      <c r="AD55" s="84">
        <f>SUM(AD54:AD54)</f>
        <v/>
      </c>
      <c r="AE55" s="84">
        <f>SUM(AE54:AE54)</f>
        <v/>
      </c>
      <c r="AF55" s="89">
        <f>IF(AE55&lt;=5,"SETTLED","OUTSTANDING")</f>
        <v/>
      </c>
      <c r="AG55" s="84" t="inlineStr">
        <is>
          <t>–</t>
        </is>
      </c>
      <c r="AH55" s="88" t="inlineStr">
        <is>
          <t>–</t>
        </is>
      </c>
      <c r="AI55" s="84" t="inlineStr">
        <is>
          <t>–</t>
        </is>
      </c>
    </row>
    <row r="56" outlineLevel="1" ht="15" customHeight="1" s="137">
      <c r="A56" s="67" t="n">
        <v>1</v>
      </c>
      <c r="B56" s="76">
        <f>IF('Final Calculation Sheet'!$F$5="","",'Final Calculation Sheet'!$F$5)</f>
        <v/>
      </c>
      <c r="C56" s="76">
        <f>IF('Final Calculation Sheet'!$G$5="","",'Final Calculation Sheet'!$G$5)</f>
        <v/>
      </c>
      <c r="D56" s="80">
        <f>IF('Final Calculation Sheet'!$B$5="","",'Final Calculation Sheet'!$B$5)</f>
        <v/>
      </c>
      <c r="E56" s="80">
        <f>IF('Final Calculation Sheet'!$D$5="","",'Final Calculation Sheet'!$D$5)</f>
        <v/>
      </c>
      <c r="F56" s="80">
        <f>IF('Final Calculation Sheet'!$A$5="","",'Final Calculation Sheet'!$A$5)</f>
        <v/>
      </c>
      <c r="G56" s="80">
        <f>IF('Final Calculation Sheet'!$E$5="","",'Final Calculation Sheet'!$E$5)</f>
        <v/>
      </c>
      <c r="H56" s="70">
        <f>IF('Final Calculation Sheet'!$C$5="","",'Final Calculation Sheet'!$C$5)</f>
        <v/>
      </c>
      <c r="I56" s="70">
        <f>IF('Final Calculation Sheet'!$H$5="","",'Final Calculation Sheet'!$H$5)</f>
        <v/>
      </c>
      <c r="J56" s="70">
        <f>IF('Final Calculation Sheet'!$I$5="","",'Final Calculation Sheet'!$I$5)</f>
        <v/>
      </c>
      <c r="K56" s="70">
        <f>IF('Final Calculation Sheet'!$J$5="","",'Final Calculation Sheet'!$J$5)</f>
        <v/>
      </c>
      <c r="L56" s="70">
        <f>IF('Final Calculation Sheet'!$K$5="","",'Final Calculation Sheet'!$K$5)</f>
        <v/>
      </c>
      <c r="M56" s="70">
        <f>IF('Final Calculation Sheet'!$L$5="","",'Final Calculation Sheet'!$L$5)</f>
        <v/>
      </c>
      <c r="N56" s="70">
        <f>IF('Final Calculation Sheet'!$M$5="","",'Final Calculation Sheet'!$M$5)</f>
        <v/>
      </c>
      <c r="O56" s="71">
        <f>IF('Final Calculation Sheet'!$N$5="","",'Final Calculation Sheet'!$N$5)</f>
        <v/>
      </c>
      <c r="P56" s="70">
        <f>IF('Final Calculation Sheet'!$O$5="","",'Final Calculation Sheet'!$O$5)</f>
        <v/>
      </c>
      <c r="Q56" s="70">
        <f>IF('Final Calculation Sheet'!$P$5="","",'Final Calculation Sheet'!$P$5)</f>
        <v/>
      </c>
      <c r="R56" s="72">
        <f>IF('Final Calculation Sheet'!$Q$5="","",'Final Calculation Sheet'!$Q$5)</f>
        <v/>
      </c>
      <c r="S56" s="70">
        <f>IF('Final Calculation Sheet'!$R$5="","",'Final Calculation Sheet'!$R$5)</f>
        <v/>
      </c>
      <c r="T56" s="70">
        <f>IF('Final Calculation Sheet'!$S$5="","",'Final Calculation Sheet'!$S$5)</f>
        <v/>
      </c>
      <c r="U56" s="70">
        <f>IF('Final Calculation Sheet'!$T$5="","",'Final Calculation Sheet'!$T$5)</f>
        <v/>
      </c>
      <c r="V56" s="73">
        <f>IF('Final Calculation Sheet'!$U$5="","",'Final Calculation Sheet'!$U$5)</f>
        <v/>
      </c>
      <c r="W56" s="70">
        <f>IF('Final Calculation Sheet'!$V$5="","",'Final Calculation Sheet'!$V$5)</f>
        <v/>
      </c>
      <c r="X56" s="70">
        <f>IF('Final Calculation Sheet'!$W$5="","",'Final Calculation Sheet'!$W$5)</f>
        <v/>
      </c>
      <c r="Y56" s="70">
        <f>IF('Final Calculation Sheet'!$X$5="","",'Final Calculation Sheet'!$X$5)</f>
        <v/>
      </c>
      <c r="Z56" s="70">
        <f>IF('Final Calculation Sheet'!$Y$5="","",'Final Calculation Sheet'!$Y$5)</f>
        <v/>
      </c>
      <c r="AA56" s="70">
        <f>IF('Final Calculation Sheet'!$Z$5="","",'Final Calculation Sheet'!$Z$5)</f>
        <v/>
      </c>
      <c r="AB56" s="70">
        <f>IF('Final Calculation Sheet'!$AA$5="","",'Final Calculation Sheet'!$AA$5)</f>
        <v/>
      </c>
      <c r="AC56" s="70">
        <f>IF('Final Calculation Sheet'!$AB$5="","",'Final Calculation Sheet'!$AB$5)</f>
        <v/>
      </c>
      <c r="AD56" s="70">
        <f>IF('Final Calculation Sheet'!$AC$5="","",'Final Calculation Sheet'!$AC$5)</f>
        <v/>
      </c>
      <c r="AE56" s="70">
        <f>IF('Final Calculation Sheet'!$AD$5="","",'Final Calculation Sheet'!$AD$5)</f>
        <v/>
      </c>
      <c r="AF56" s="75">
        <f>IF('Final Calculation Sheet'!$AD$5="","",IF('Final Calculation Sheet'!$AD$5&lt;=5,"SETTLED","OUTSTANDING"))</f>
        <v/>
      </c>
      <c r="AG56" s="70">
        <f>IF('Final Calculation Sheet'!$AF$5="","",'Final Calculation Sheet'!$AF$5)</f>
        <v/>
      </c>
      <c r="AH56" s="74">
        <f>IF('Final Calculation Sheet'!$AG$5="","",'Final Calculation Sheet'!$AG$5)</f>
        <v/>
      </c>
      <c r="AI56" s="70">
        <f>IF('Final Calculation Sheet'!$AH$5="","",'Final Calculation Sheet'!$AH$5)</f>
        <v/>
      </c>
    </row>
    <row r="57" outlineLevel="1" ht="15" customHeight="1" s="137">
      <c r="A57" s="90" t="n">
        <v>2</v>
      </c>
      <c r="B57" s="92">
        <f>IF('Final Calculation Sheet'!$F$10="","",'Final Calculation Sheet'!$F$10)</f>
        <v/>
      </c>
      <c r="C57" s="92">
        <f>IF('Final Calculation Sheet'!$G$10="","",'Final Calculation Sheet'!$G$10)</f>
        <v/>
      </c>
      <c r="D57" s="94">
        <f>IF('Final Calculation Sheet'!$B$10="","",'Final Calculation Sheet'!$B$10)</f>
        <v/>
      </c>
      <c r="E57" s="94">
        <f>IF('Final Calculation Sheet'!$D$10="","",'Final Calculation Sheet'!$D$10)</f>
        <v/>
      </c>
      <c r="F57" s="94">
        <f>IF('Final Calculation Sheet'!$A$10="","",'Final Calculation Sheet'!$A$10)</f>
        <v/>
      </c>
      <c r="G57" s="94">
        <f>IF('Final Calculation Sheet'!$E$10="","",'Final Calculation Sheet'!$E$10)</f>
        <v/>
      </c>
      <c r="H57" s="95">
        <f>IF('Final Calculation Sheet'!$C$10="","",'Final Calculation Sheet'!$C$10)</f>
        <v/>
      </c>
      <c r="I57" s="95">
        <f>IF('Final Calculation Sheet'!$H$10="","",'Final Calculation Sheet'!$H$10)</f>
        <v/>
      </c>
      <c r="J57" s="95">
        <f>IF('Final Calculation Sheet'!$I$10="","",'Final Calculation Sheet'!$I$10)</f>
        <v/>
      </c>
      <c r="K57" s="95">
        <f>IF('Final Calculation Sheet'!$J$10="","",'Final Calculation Sheet'!$J$10)</f>
        <v/>
      </c>
      <c r="L57" s="95">
        <f>IF('Final Calculation Sheet'!$K$10="","",'Final Calculation Sheet'!$K$10)</f>
        <v/>
      </c>
      <c r="M57" s="95">
        <f>IF('Final Calculation Sheet'!$L$10="","",'Final Calculation Sheet'!$L$10)</f>
        <v/>
      </c>
      <c r="N57" s="95">
        <f>IF('Final Calculation Sheet'!$M$10="","",'Final Calculation Sheet'!$M$10)</f>
        <v/>
      </c>
      <c r="O57" s="96">
        <f>IF('Final Calculation Sheet'!$N$10="","",'Final Calculation Sheet'!$N$10)</f>
        <v/>
      </c>
      <c r="P57" s="95">
        <f>IF('Final Calculation Sheet'!$O$10="","",'Final Calculation Sheet'!$O$10)</f>
        <v/>
      </c>
      <c r="Q57" s="95">
        <f>IF('Final Calculation Sheet'!$P$10="","",'Final Calculation Sheet'!$P$10)</f>
        <v/>
      </c>
      <c r="R57" s="97">
        <f>IF('Final Calculation Sheet'!$Q$10="","",'Final Calculation Sheet'!$Q$10)</f>
        <v/>
      </c>
      <c r="S57" s="95">
        <f>IF('Final Calculation Sheet'!$R$10="","",'Final Calculation Sheet'!$R$10)</f>
        <v/>
      </c>
      <c r="T57" s="95">
        <f>IF('Final Calculation Sheet'!$S$10="","",'Final Calculation Sheet'!$S$10)</f>
        <v/>
      </c>
      <c r="U57" s="95">
        <f>IF('Final Calculation Sheet'!$T$10="","",'Final Calculation Sheet'!$T$10)</f>
        <v/>
      </c>
      <c r="V57" s="98">
        <f>IF('Final Calculation Sheet'!$U$10="","",'Final Calculation Sheet'!$U$10)</f>
        <v/>
      </c>
      <c r="W57" s="95">
        <f>IF('Final Calculation Sheet'!$V$10="","",'Final Calculation Sheet'!$V$10)</f>
        <v/>
      </c>
      <c r="X57" s="95">
        <f>IF('Final Calculation Sheet'!$W$10="","",'Final Calculation Sheet'!$W$10)</f>
        <v/>
      </c>
      <c r="Y57" s="95">
        <f>IF('Final Calculation Sheet'!$X$10="","",'Final Calculation Sheet'!$X$10)</f>
        <v/>
      </c>
      <c r="Z57" s="95">
        <f>IF('Final Calculation Sheet'!$Y$10="","",'Final Calculation Sheet'!$Y$10)</f>
        <v/>
      </c>
      <c r="AA57" s="95">
        <f>IF('Final Calculation Sheet'!$Z$10="","",'Final Calculation Sheet'!$Z$10)</f>
        <v/>
      </c>
      <c r="AB57" s="95">
        <f>IF('Final Calculation Sheet'!$AA$10="","",'Final Calculation Sheet'!$AA$10)</f>
        <v/>
      </c>
      <c r="AC57" s="95">
        <f>IF('Final Calculation Sheet'!$AB$10="","",'Final Calculation Sheet'!$AB$10)</f>
        <v/>
      </c>
      <c r="AD57" s="95">
        <f>IF('Final Calculation Sheet'!$AC$10="","",'Final Calculation Sheet'!$AC$10)</f>
        <v/>
      </c>
      <c r="AE57" s="95">
        <f>IF('Final Calculation Sheet'!$AD$10="","",'Final Calculation Sheet'!$AD$10)</f>
        <v/>
      </c>
      <c r="AF57" s="100">
        <f>IF('Final Calculation Sheet'!$AD$10="","",IF('Final Calculation Sheet'!$AD$10&lt;=5,"SETTLED","OUTSTANDING"))</f>
        <v/>
      </c>
      <c r="AG57" s="95">
        <f>IF('Final Calculation Sheet'!$AF$10="","",'Final Calculation Sheet'!$AF$10)</f>
        <v/>
      </c>
      <c r="AH57" s="99">
        <f>IF('Final Calculation Sheet'!$AG$10="","",'Final Calculation Sheet'!$AG$10)</f>
        <v/>
      </c>
      <c r="AI57" s="95">
        <f>IF('Final Calculation Sheet'!$AH$10="","",'Final Calculation Sheet'!$AH$10)</f>
        <v/>
      </c>
    </row>
    <row r="58" outlineLevel="1" ht="15" customHeight="1" s="137">
      <c r="A58" s="67" t="n">
        <v>3</v>
      </c>
      <c r="B58" s="76">
        <f>IF('Final Calculation Sheet'!$F$11="","",'Final Calculation Sheet'!$F$11)</f>
        <v/>
      </c>
      <c r="C58" s="76">
        <f>IF('Final Calculation Sheet'!$G$11="","",'Final Calculation Sheet'!$G$11)</f>
        <v/>
      </c>
      <c r="D58" s="80">
        <f>IF('Final Calculation Sheet'!$B$11="","",'Final Calculation Sheet'!$B$11)</f>
        <v/>
      </c>
      <c r="E58" s="80">
        <f>IF('Final Calculation Sheet'!$D$11="","",'Final Calculation Sheet'!$D$11)</f>
        <v/>
      </c>
      <c r="F58" s="80">
        <f>IF('Final Calculation Sheet'!$A$11="","",'Final Calculation Sheet'!$A$11)</f>
        <v/>
      </c>
      <c r="G58" s="80">
        <f>IF('Final Calculation Sheet'!$E$11="","",'Final Calculation Sheet'!$E$11)</f>
        <v/>
      </c>
      <c r="H58" s="70">
        <f>IF('Final Calculation Sheet'!$C$11="","",'Final Calculation Sheet'!$C$11)</f>
        <v/>
      </c>
      <c r="I58" s="70">
        <f>IF('Final Calculation Sheet'!$H$11="","",'Final Calculation Sheet'!$H$11)</f>
        <v/>
      </c>
      <c r="J58" s="70">
        <f>IF('Final Calculation Sheet'!$I$11="","",'Final Calculation Sheet'!$I$11)</f>
        <v/>
      </c>
      <c r="K58" s="70">
        <f>IF('Final Calculation Sheet'!$J$11="","",'Final Calculation Sheet'!$J$11)</f>
        <v/>
      </c>
      <c r="L58" s="70">
        <f>IF('Final Calculation Sheet'!$K$11="","",'Final Calculation Sheet'!$K$11)</f>
        <v/>
      </c>
      <c r="M58" s="70">
        <f>IF('Final Calculation Sheet'!$L$11="","",'Final Calculation Sheet'!$L$11)</f>
        <v/>
      </c>
      <c r="N58" s="70">
        <f>IF('Final Calculation Sheet'!$M$11="","",'Final Calculation Sheet'!$M$11)</f>
        <v/>
      </c>
      <c r="O58" s="71">
        <f>IF('Final Calculation Sheet'!$N$11="","",'Final Calculation Sheet'!$N$11)</f>
        <v/>
      </c>
      <c r="P58" s="70">
        <f>IF('Final Calculation Sheet'!$O$11="","",'Final Calculation Sheet'!$O$11)</f>
        <v/>
      </c>
      <c r="Q58" s="70">
        <f>IF('Final Calculation Sheet'!$P$11="","",'Final Calculation Sheet'!$P$11)</f>
        <v/>
      </c>
      <c r="R58" s="72">
        <f>IF('Final Calculation Sheet'!$Q$11="","",'Final Calculation Sheet'!$Q$11)</f>
        <v/>
      </c>
      <c r="S58" s="70">
        <f>IF('Final Calculation Sheet'!$R$11="","",'Final Calculation Sheet'!$R$11)</f>
        <v/>
      </c>
      <c r="T58" s="70">
        <f>IF('Final Calculation Sheet'!$S$11="","",'Final Calculation Sheet'!$S$11)</f>
        <v/>
      </c>
      <c r="U58" s="70">
        <f>IF('Final Calculation Sheet'!$T$11="","",'Final Calculation Sheet'!$T$11)</f>
        <v/>
      </c>
      <c r="V58" s="73">
        <f>IF('Final Calculation Sheet'!$U$11="","",'Final Calculation Sheet'!$U$11)</f>
        <v/>
      </c>
      <c r="W58" s="70">
        <f>IF('Final Calculation Sheet'!$V$11="","",'Final Calculation Sheet'!$V$11)</f>
        <v/>
      </c>
      <c r="X58" s="70">
        <f>IF('Final Calculation Sheet'!$W$11="","",'Final Calculation Sheet'!$W$11)</f>
        <v/>
      </c>
      <c r="Y58" s="70">
        <f>IF('Final Calculation Sheet'!$X$11="","",'Final Calculation Sheet'!$X$11)</f>
        <v/>
      </c>
      <c r="Z58" s="70">
        <f>IF('Final Calculation Sheet'!$Y$11="","",'Final Calculation Sheet'!$Y$11)</f>
        <v/>
      </c>
      <c r="AA58" s="70">
        <f>IF('Final Calculation Sheet'!$Z$11="","",'Final Calculation Sheet'!$Z$11)</f>
        <v/>
      </c>
      <c r="AB58" s="70">
        <f>IF('Final Calculation Sheet'!$AA$11="","",'Final Calculation Sheet'!$AA$11)</f>
        <v/>
      </c>
      <c r="AC58" s="70">
        <f>IF('Final Calculation Sheet'!$AB$11="","",'Final Calculation Sheet'!$AB$11)</f>
        <v/>
      </c>
      <c r="AD58" s="70">
        <f>IF('Final Calculation Sheet'!$AC$11="","",'Final Calculation Sheet'!$AC$11)</f>
        <v/>
      </c>
      <c r="AE58" s="70">
        <f>IF('Final Calculation Sheet'!$AD$11="","",'Final Calculation Sheet'!$AD$11)</f>
        <v/>
      </c>
      <c r="AF58" s="75">
        <f>IF('Final Calculation Sheet'!$AD$11="","",IF('Final Calculation Sheet'!$AD$11&lt;=5,"SETTLED","OUTSTANDING"))</f>
        <v/>
      </c>
      <c r="AG58" s="70">
        <f>IF('Final Calculation Sheet'!$AF$11="","",'Final Calculation Sheet'!$AF$11)</f>
        <v/>
      </c>
      <c r="AH58" s="74">
        <f>IF('Final Calculation Sheet'!$AG$11="","",'Final Calculation Sheet'!$AG$11)</f>
        <v/>
      </c>
      <c r="AI58" s="70">
        <f>IF('Final Calculation Sheet'!$AH$11="","",'Final Calculation Sheet'!$AH$11)</f>
        <v/>
      </c>
    </row>
    <row r="59" outlineLevel="1" ht="15" customHeight="1" s="137">
      <c r="A59" s="90" t="n">
        <v>4</v>
      </c>
      <c r="B59" s="92">
        <f>IF('Final Calculation Sheet'!$F$12="","",'Final Calculation Sheet'!$F$12)</f>
        <v/>
      </c>
      <c r="C59" s="92">
        <f>IF('Final Calculation Sheet'!$G$12="","",'Final Calculation Sheet'!$G$12)</f>
        <v/>
      </c>
      <c r="D59" s="94">
        <f>IF('Final Calculation Sheet'!$B$12="","",'Final Calculation Sheet'!$B$12)</f>
        <v/>
      </c>
      <c r="E59" s="94">
        <f>IF('Final Calculation Sheet'!$D$12="","",'Final Calculation Sheet'!$D$12)</f>
        <v/>
      </c>
      <c r="F59" s="94">
        <f>IF('Final Calculation Sheet'!$A$12="","",'Final Calculation Sheet'!$A$12)</f>
        <v/>
      </c>
      <c r="G59" s="94">
        <f>IF('Final Calculation Sheet'!$E$12="","",'Final Calculation Sheet'!$E$12)</f>
        <v/>
      </c>
      <c r="H59" s="95">
        <f>IF('Final Calculation Sheet'!$C$12="","",'Final Calculation Sheet'!$C$12)</f>
        <v/>
      </c>
      <c r="I59" s="95">
        <f>IF('Final Calculation Sheet'!$H$12="","",'Final Calculation Sheet'!$H$12)</f>
        <v/>
      </c>
      <c r="J59" s="95">
        <f>IF('Final Calculation Sheet'!$I$12="","",'Final Calculation Sheet'!$I$12)</f>
        <v/>
      </c>
      <c r="K59" s="95">
        <f>IF('Final Calculation Sheet'!$J$12="","",'Final Calculation Sheet'!$J$12)</f>
        <v/>
      </c>
      <c r="L59" s="95">
        <f>IF('Final Calculation Sheet'!$K$12="","",'Final Calculation Sheet'!$K$12)</f>
        <v/>
      </c>
      <c r="M59" s="95">
        <f>IF('Final Calculation Sheet'!$L$12="","",'Final Calculation Sheet'!$L$12)</f>
        <v/>
      </c>
      <c r="N59" s="95">
        <f>IF('Final Calculation Sheet'!$M$12="","",'Final Calculation Sheet'!$M$12)</f>
        <v/>
      </c>
      <c r="O59" s="96">
        <f>IF('Final Calculation Sheet'!$N$12="","",'Final Calculation Sheet'!$N$12)</f>
        <v/>
      </c>
      <c r="P59" s="95">
        <f>IF('Final Calculation Sheet'!$O$12="","",'Final Calculation Sheet'!$O$12)</f>
        <v/>
      </c>
      <c r="Q59" s="95">
        <f>IF('Final Calculation Sheet'!$P$12="","",'Final Calculation Sheet'!$P$12)</f>
        <v/>
      </c>
      <c r="R59" s="97">
        <f>IF('Final Calculation Sheet'!$Q$12="","",'Final Calculation Sheet'!$Q$12)</f>
        <v/>
      </c>
      <c r="S59" s="95">
        <f>IF('Final Calculation Sheet'!$R$12="","",'Final Calculation Sheet'!$R$12)</f>
        <v/>
      </c>
      <c r="T59" s="95">
        <f>IF('Final Calculation Sheet'!$S$12="","",'Final Calculation Sheet'!$S$12)</f>
        <v/>
      </c>
      <c r="U59" s="95">
        <f>IF('Final Calculation Sheet'!$T$12="","",'Final Calculation Sheet'!$T$12)</f>
        <v/>
      </c>
      <c r="V59" s="98">
        <f>IF('Final Calculation Sheet'!$U$12="","",'Final Calculation Sheet'!$U$12)</f>
        <v/>
      </c>
      <c r="W59" s="95">
        <f>IF('Final Calculation Sheet'!$V$12="","",'Final Calculation Sheet'!$V$12)</f>
        <v/>
      </c>
      <c r="X59" s="95">
        <f>IF('Final Calculation Sheet'!$W$12="","",'Final Calculation Sheet'!$W$12)</f>
        <v/>
      </c>
      <c r="Y59" s="95">
        <f>IF('Final Calculation Sheet'!$X$12="","",'Final Calculation Sheet'!$X$12)</f>
        <v/>
      </c>
      <c r="Z59" s="95">
        <f>IF('Final Calculation Sheet'!$Y$12="","",'Final Calculation Sheet'!$Y$12)</f>
        <v/>
      </c>
      <c r="AA59" s="95">
        <f>IF('Final Calculation Sheet'!$Z$12="","",'Final Calculation Sheet'!$Z$12)</f>
        <v/>
      </c>
      <c r="AB59" s="95">
        <f>IF('Final Calculation Sheet'!$AA$12="","",'Final Calculation Sheet'!$AA$12)</f>
        <v/>
      </c>
      <c r="AC59" s="95">
        <f>IF('Final Calculation Sheet'!$AB$12="","",'Final Calculation Sheet'!$AB$12)</f>
        <v/>
      </c>
      <c r="AD59" s="95">
        <f>IF('Final Calculation Sheet'!$AC$12="","",'Final Calculation Sheet'!$AC$12)</f>
        <v/>
      </c>
      <c r="AE59" s="95">
        <f>IF('Final Calculation Sheet'!$AD$12="","",'Final Calculation Sheet'!$AD$12)</f>
        <v/>
      </c>
      <c r="AF59" s="100">
        <f>IF('Final Calculation Sheet'!$AD$12="","",IF('Final Calculation Sheet'!$AD$12&lt;=5,"SETTLED","OUTSTANDING"))</f>
        <v/>
      </c>
      <c r="AG59" s="95">
        <f>IF('Final Calculation Sheet'!$AF$12="","",'Final Calculation Sheet'!$AF$12)</f>
        <v/>
      </c>
      <c r="AH59" s="99">
        <f>IF('Final Calculation Sheet'!$AG$12="","",'Final Calculation Sheet'!$AG$12)</f>
        <v/>
      </c>
      <c r="AI59" s="95">
        <f>IF('Final Calculation Sheet'!$AH$12="","",'Final Calculation Sheet'!$AH$12)</f>
        <v/>
      </c>
    </row>
    <row r="60" outlineLevel="1" ht="15" customHeight="1" s="137">
      <c r="A60" s="67" t="n">
        <v>5</v>
      </c>
      <c r="B60" s="76">
        <f>IF('Final Calculation Sheet'!$F$18="","",'Final Calculation Sheet'!$F$18)</f>
        <v/>
      </c>
      <c r="C60" s="76">
        <f>IF('Final Calculation Sheet'!$G$18="","",'Final Calculation Sheet'!$G$18)</f>
        <v/>
      </c>
      <c r="D60" s="80">
        <f>IF('Final Calculation Sheet'!$B$18="","",'Final Calculation Sheet'!$B$18)</f>
        <v/>
      </c>
      <c r="E60" s="80">
        <f>IF('Final Calculation Sheet'!$D$18="","",'Final Calculation Sheet'!$D$18)</f>
        <v/>
      </c>
      <c r="F60" s="80">
        <f>IF('Final Calculation Sheet'!$A$18="","",'Final Calculation Sheet'!$A$18)</f>
        <v/>
      </c>
      <c r="G60" s="80">
        <f>IF('Final Calculation Sheet'!$E$18="","",'Final Calculation Sheet'!$E$18)</f>
        <v/>
      </c>
      <c r="H60" s="70">
        <f>IF('Final Calculation Sheet'!$C$18="","",'Final Calculation Sheet'!$C$18)</f>
        <v/>
      </c>
      <c r="I60" s="70">
        <f>IF('Final Calculation Sheet'!$H$18="","",'Final Calculation Sheet'!$H$18)</f>
        <v/>
      </c>
      <c r="J60" s="70">
        <f>IF('Final Calculation Sheet'!$I$18="","",'Final Calculation Sheet'!$I$18)</f>
        <v/>
      </c>
      <c r="K60" s="70">
        <f>IF('Final Calculation Sheet'!$J$18="","",'Final Calculation Sheet'!$J$18)</f>
        <v/>
      </c>
      <c r="L60" s="70">
        <f>IF('Final Calculation Sheet'!$K$18="","",'Final Calculation Sheet'!$K$18)</f>
        <v/>
      </c>
      <c r="M60" s="70">
        <f>IF('Final Calculation Sheet'!$L$18="","",'Final Calculation Sheet'!$L$18)</f>
        <v/>
      </c>
      <c r="N60" s="70">
        <f>IF('Final Calculation Sheet'!$M$18="","",'Final Calculation Sheet'!$M$18)</f>
        <v/>
      </c>
      <c r="O60" s="71">
        <f>IF('Final Calculation Sheet'!$N$18="","",'Final Calculation Sheet'!$N$18)</f>
        <v/>
      </c>
      <c r="P60" s="70">
        <f>IF('Final Calculation Sheet'!$O$18="","",'Final Calculation Sheet'!$O$18)</f>
        <v/>
      </c>
      <c r="Q60" s="70">
        <f>IF('Final Calculation Sheet'!$P$18="","",'Final Calculation Sheet'!$P$18)</f>
        <v/>
      </c>
      <c r="R60" s="72">
        <f>IF('Final Calculation Sheet'!$Q$18="","",'Final Calculation Sheet'!$Q$18)</f>
        <v/>
      </c>
      <c r="S60" s="70">
        <f>IF('Final Calculation Sheet'!$R$18="","",'Final Calculation Sheet'!$R$18)</f>
        <v/>
      </c>
      <c r="T60" s="70">
        <f>IF('Final Calculation Sheet'!$S$18="","",'Final Calculation Sheet'!$S$18)</f>
        <v/>
      </c>
      <c r="U60" s="70">
        <f>IF('Final Calculation Sheet'!$T$18="","",'Final Calculation Sheet'!$T$18)</f>
        <v/>
      </c>
      <c r="V60" s="73">
        <f>IF('Final Calculation Sheet'!$U$18="","",'Final Calculation Sheet'!$U$18)</f>
        <v/>
      </c>
      <c r="W60" s="70">
        <f>IF('Final Calculation Sheet'!$V$18="","",'Final Calculation Sheet'!$V$18)</f>
        <v/>
      </c>
      <c r="X60" s="70">
        <f>IF('Final Calculation Sheet'!$W$18="","",'Final Calculation Sheet'!$W$18)</f>
        <v/>
      </c>
      <c r="Y60" s="70">
        <f>IF('Final Calculation Sheet'!$X$18="","",'Final Calculation Sheet'!$X$18)</f>
        <v/>
      </c>
      <c r="Z60" s="70">
        <f>IF('Final Calculation Sheet'!$Y$18="","",'Final Calculation Sheet'!$Y$18)</f>
        <v/>
      </c>
      <c r="AA60" s="70">
        <f>IF('Final Calculation Sheet'!$Z$18="","",'Final Calculation Sheet'!$Z$18)</f>
        <v/>
      </c>
      <c r="AB60" s="70">
        <f>IF('Final Calculation Sheet'!$AA$18="","",'Final Calculation Sheet'!$AA$18)</f>
        <v/>
      </c>
      <c r="AC60" s="70">
        <f>IF('Final Calculation Sheet'!$AB$18="","",'Final Calculation Sheet'!$AB$18)</f>
        <v/>
      </c>
      <c r="AD60" s="70">
        <f>IF('Final Calculation Sheet'!$AC$18="","",'Final Calculation Sheet'!$AC$18)</f>
        <v/>
      </c>
      <c r="AE60" s="70">
        <f>IF('Final Calculation Sheet'!$AD$18="","",'Final Calculation Sheet'!$AD$18)</f>
        <v/>
      </c>
      <c r="AF60" s="75">
        <f>IF('Final Calculation Sheet'!$AD$18="","",IF('Final Calculation Sheet'!$AD$18&lt;=5,"SETTLED","OUTSTANDING"))</f>
        <v/>
      </c>
      <c r="AG60" s="70">
        <f>IF('Final Calculation Sheet'!$AF$18="","",'Final Calculation Sheet'!$AF$18)</f>
        <v/>
      </c>
      <c r="AH60" s="74">
        <f>IF('Final Calculation Sheet'!$AG$18="","",'Final Calculation Sheet'!$AG$18)</f>
        <v/>
      </c>
      <c r="AI60" s="70">
        <f>IF('Final Calculation Sheet'!$AH$18="","",'Final Calculation Sheet'!$AH$18)</f>
        <v/>
      </c>
    </row>
    <row r="61" outlineLevel="1" ht="15" customHeight="1" s="137">
      <c r="A61" s="90" t="n">
        <v>6</v>
      </c>
      <c r="B61" s="92">
        <f>IF('Final Calculation Sheet'!$F$19="","",'Final Calculation Sheet'!$F$19)</f>
        <v/>
      </c>
      <c r="C61" s="92">
        <f>IF('Final Calculation Sheet'!$G$19="","",'Final Calculation Sheet'!$G$19)</f>
        <v/>
      </c>
      <c r="D61" s="94">
        <f>IF('Final Calculation Sheet'!$B$19="","",'Final Calculation Sheet'!$B$19)</f>
        <v/>
      </c>
      <c r="E61" s="94">
        <f>IF('Final Calculation Sheet'!$D$19="","",'Final Calculation Sheet'!$D$19)</f>
        <v/>
      </c>
      <c r="F61" s="94">
        <f>IF('Final Calculation Sheet'!$A$19="","",'Final Calculation Sheet'!$A$19)</f>
        <v/>
      </c>
      <c r="G61" s="94">
        <f>IF('Final Calculation Sheet'!$E$19="","",'Final Calculation Sheet'!$E$19)</f>
        <v/>
      </c>
      <c r="H61" s="95">
        <f>IF('Final Calculation Sheet'!$C$19="","",'Final Calculation Sheet'!$C$19)</f>
        <v/>
      </c>
      <c r="I61" s="95">
        <f>IF('Final Calculation Sheet'!$H$19="","",'Final Calculation Sheet'!$H$19)</f>
        <v/>
      </c>
      <c r="J61" s="95">
        <f>IF('Final Calculation Sheet'!$I$19="","",'Final Calculation Sheet'!$I$19)</f>
        <v/>
      </c>
      <c r="K61" s="95">
        <f>IF('Final Calculation Sheet'!$J$19="","",'Final Calculation Sheet'!$J$19)</f>
        <v/>
      </c>
      <c r="L61" s="95">
        <f>IF('Final Calculation Sheet'!$K$19="","",'Final Calculation Sheet'!$K$19)</f>
        <v/>
      </c>
      <c r="M61" s="95">
        <f>IF('Final Calculation Sheet'!$L$19="","",'Final Calculation Sheet'!$L$19)</f>
        <v/>
      </c>
      <c r="N61" s="95">
        <f>IF('Final Calculation Sheet'!$M$19="","",'Final Calculation Sheet'!$M$19)</f>
        <v/>
      </c>
      <c r="O61" s="96">
        <f>IF('Final Calculation Sheet'!$N$19="","",'Final Calculation Sheet'!$N$19)</f>
        <v/>
      </c>
      <c r="P61" s="95">
        <f>IF('Final Calculation Sheet'!$O$19="","",'Final Calculation Sheet'!$O$19)</f>
        <v/>
      </c>
      <c r="Q61" s="95">
        <f>IF('Final Calculation Sheet'!$P$19="","",'Final Calculation Sheet'!$P$19)</f>
        <v/>
      </c>
      <c r="R61" s="97">
        <f>IF('Final Calculation Sheet'!$Q$19="","",'Final Calculation Sheet'!$Q$19)</f>
        <v/>
      </c>
      <c r="S61" s="95">
        <f>IF('Final Calculation Sheet'!$R$19="","",'Final Calculation Sheet'!$R$19)</f>
        <v/>
      </c>
      <c r="T61" s="95">
        <f>IF('Final Calculation Sheet'!$S$19="","",'Final Calculation Sheet'!$S$19)</f>
        <v/>
      </c>
      <c r="U61" s="95">
        <f>IF('Final Calculation Sheet'!$T$19="","",'Final Calculation Sheet'!$T$19)</f>
        <v/>
      </c>
      <c r="V61" s="98">
        <f>IF('Final Calculation Sheet'!$U$19="","",'Final Calculation Sheet'!$U$19)</f>
        <v/>
      </c>
      <c r="W61" s="95">
        <f>IF('Final Calculation Sheet'!$V$19="","",'Final Calculation Sheet'!$V$19)</f>
        <v/>
      </c>
      <c r="X61" s="95">
        <f>IF('Final Calculation Sheet'!$W$19="","",'Final Calculation Sheet'!$W$19)</f>
        <v/>
      </c>
      <c r="Y61" s="95">
        <f>IF('Final Calculation Sheet'!$X$19="","",'Final Calculation Sheet'!$X$19)</f>
        <v/>
      </c>
      <c r="Z61" s="95">
        <f>IF('Final Calculation Sheet'!$Y$19="","",'Final Calculation Sheet'!$Y$19)</f>
        <v/>
      </c>
      <c r="AA61" s="95">
        <f>IF('Final Calculation Sheet'!$Z$19="","",'Final Calculation Sheet'!$Z$19)</f>
        <v/>
      </c>
      <c r="AB61" s="95">
        <f>IF('Final Calculation Sheet'!$AA$19="","",'Final Calculation Sheet'!$AA$19)</f>
        <v/>
      </c>
      <c r="AC61" s="95">
        <f>IF('Final Calculation Sheet'!$AB$19="","",'Final Calculation Sheet'!$AB$19)</f>
        <v/>
      </c>
      <c r="AD61" s="95">
        <f>IF('Final Calculation Sheet'!$AC$19="","",'Final Calculation Sheet'!$AC$19)</f>
        <v/>
      </c>
      <c r="AE61" s="95">
        <f>IF('Final Calculation Sheet'!$AD$19="","",'Final Calculation Sheet'!$AD$19)</f>
        <v/>
      </c>
      <c r="AF61" s="100">
        <f>IF('Final Calculation Sheet'!$AD$19="","",IF('Final Calculation Sheet'!$AD$19&lt;=5,"SETTLED","OUTSTANDING"))</f>
        <v/>
      </c>
      <c r="AG61" s="95">
        <f>IF('Final Calculation Sheet'!$AF$19="","",'Final Calculation Sheet'!$AF$19)</f>
        <v/>
      </c>
      <c r="AH61" s="99">
        <f>IF('Final Calculation Sheet'!$AG$19="","",'Final Calculation Sheet'!$AG$19)</f>
        <v/>
      </c>
      <c r="AI61" s="95">
        <f>IF('Final Calculation Sheet'!$AH$19="","",'Final Calculation Sheet'!$AH$19)</f>
        <v/>
      </c>
    </row>
    <row r="62" outlineLevel="1" ht="15" customHeight="1" s="137">
      <c r="A62" s="67" t="n">
        <v>7</v>
      </c>
      <c r="B62" s="76">
        <f>IF('Final Calculation Sheet'!$F$22="","",'Final Calculation Sheet'!$F$22)</f>
        <v/>
      </c>
      <c r="C62" s="76">
        <f>IF('Final Calculation Sheet'!$G$22="","",'Final Calculation Sheet'!$G$22)</f>
        <v/>
      </c>
      <c r="D62" s="80">
        <f>IF('Final Calculation Sheet'!$B$22="","",'Final Calculation Sheet'!$B$22)</f>
        <v/>
      </c>
      <c r="E62" s="80">
        <f>IF('Final Calculation Sheet'!$D$22="","",'Final Calculation Sheet'!$D$22)</f>
        <v/>
      </c>
      <c r="F62" s="80">
        <f>IF('Final Calculation Sheet'!$A$22="","",'Final Calculation Sheet'!$A$22)</f>
        <v/>
      </c>
      <c r="G62" s="80">
        <f>IF('Final Calculation Sheet'!$E$22="","",'Final Calculation Sheet'!$E$22)</f>
        <v/>
      </c>
      <c r="H62" s="70">
        <f>IF('Final Calculation Sheet'!$C$22="","",'Final Calculation Sheet'!$C$22)</f>
        <v/>
      </c>
      <c r="I62" s="70">
        <f>IF('Final Calculation Sheet'!$H$22="","",'Final Calculation Sheet'!$H$22)</f>
        <v/>
      </c>
      <c r="J62" s="70">
        <f>IF('Final Calculation Sheet'!$I$22="","",'Final Calculation Sheet'!$I$22)</f>
        <v/>
      </c>
      <c r="K62" s="70">
        <f>IF('Final Calculation Sheet'!$J$22="","",'Final Calculation Sheet'!$J$22)</f>
        <v/>
      </c>
      <c r="L62" s="70">
        <f>IF('Final Calculation Sheet'!$K$22="","",'Final Calculation Sheet'!$K$22)</f>
        <v/>
      </c>
      <c r="M62" s="70">
        <f>IF('Final Calculation Sheet'!$L$22="","",'Final Calculation Sheet'!$L$22)</f>
        <v/>
      </c>
      <c r="N62" s="70">
        <f>IF('Final Calculation Sheet'!$M$22="","",'Final Calculation Sheet'!$M$22)</f>
        <v/>
      </c>
      <c r="O62" s="71">
        <f>IF('Final Calculation Sheet'!$N$22="","",'Final Calculation Sheet'!$N$22)</f>
        <v/>
      </c>
      <c r="P62" s="70">
        <f>IF('Final Calculation Sheet'!$O$22="","",'Final Calculation Sheet'!$O$22)</f>
        <v/>
      </c>
      <c r="Q62" s="70">
        <f>IF('Final Calculation Sheet'!$P$22="","",'Final Calculation Sheet'!$P$22)</f>
        <v/>
      </c>
      <c r="R62" s="72">
        <f>IF('Final Calculation Sheet'!$Q$22="","",'Final Calculation Sheet'!$Q$22)</f>
        <v/>
      </c>
      <c r="S62" s="70">
        <f>IF('Final Calculation Sheet'!$R$22="","",'Final Calculation Sheet'!$R$22)</f>
        <v/>
      </c>
      <c r="T62" s="70">
        <f>IF('Final Calculation Sheet'!$S$22="","",'Final Calculation Sheet'!$S$22)</f>
        <v/>
      </c>
      <c r="U62" s="70">
        <f>IF('Final Calculation Sheet'!$T$22="","",'Final Calculation Sheet'!$T$22)</f>
        <v/>
      </c>
      <c r="V62" s="73">
        <f>IF('Final Calculation Sheet'!$U$22="","",'Final Calculation Sheet'!$U$22)</f>
        <v/>
      </c>
      <c r="W62" s="70">
        <f>IF('Final Calculation Sheet'!$V$22="","",'Final Calculation Sheet'!$V$22)</f>
        <v/>
      </c>
      <c r="X62" s="70">
        <f>IF('Final Calculation Sheet'!$W$22="","",'Final Calculation Sheet'!$W$22)</f>
        <v/>
      </c>
      <c r="Y62" s="70">
        <f>IF('Final Calculation Sheet'!$X$22="","",'Final Calculation Sheet'!$X$22)</f>
        <v/>
      </c>
      <c r="Z62" s="70">
        <f>IF('Final Calculation Sheet'!$Y$22="","",'Final Calculation Sheet'!$Y$22)</f>
        <v/>
      </c>
      <c r="AA62" s="70">
        <f>IF('Final Calculation Sheet'!$Z$22="","",'Final Calculation Sheet'!$Z$22)</f>
        <v/>
      </c>
      <c r="AB62" s="70">
        <f>IF('Final Calculation Sheet'!$AA$22="","",'Final Calculation Sheet'!$AA$22)</f>
        <v/>
      </c>
      <c r="AC62" s="70">
        <f>IF('Final Calculation Sheet'!$AB$22="","",'Final Calculation Sheet'!$AB$22)</f>
        <v/>
      </c>
      <c r="AD62" s="70">
        <f>IF('Final Calculation Sheet'!$AC$22="","",'Final Calculation Sheet'!$AC$22)</f>
        <v/>
      </c>
      <c r="AE62" s="70">
        <f>IF('Final Calculation Sheet'!$AD$22="","",'Final Calculation Sheet'!$AD$22)</f>
        <v/>
      </c>
      <c r="AF62" s="75">
        <f>IF('Final Calculation Sheet'!$AD$22="","",IF('Final Calculation Sheet'!$AD$22&lt;=5,"SETTLED","OUTSTANDING"))</f>
        <v/>
      </c>
      <c r="AG62" s="70">
        <f>IF('Final Calculation Sheet'!$AF$22="","",'Final Calculation Sheet'!$AF$22)</f>
        <v/>
      </c>
      <c r="AH62" s="74">
        <f>IF('Final Calculation Sheet'!$AG$22="","",'Final Calculation Sheet'!$AG$22)</f>
        <v/>
      </c>
      <c r="AI62" s="70">
        <f>IF('Final Calculation Sheet'!$AH$22="","",'Final Calculation Sheet'!$AH$22)</f>
        <v/>
      </c>
    </row>
    <row r="63" outlineLevel="1" ht="15" customHeight="1" s="137">
      <c r="A63" s="90" t="n">
        <v>8</v>
      </c>
      <c r="B63" s="92">
        <f>IF('Final Calculation Sheet'!$F$24="","",'Final Calculation Sheet'!$F$24)</f>
        <v/>
      </c>
      <c r="C63" s="92">
        <f>IF('Final Calculation Sheet'!$G$24="","",'Final Calculation Sheet'!$G$24)</f>
        <v/>
      </c>
      <c r="D63" s="94">
        <f>IF('Final Calculation Sheet'!$B$24="","",'Final Calculation Sheet'!$B$24)</f>
        <v/>
      </c>
      <c r="E63" s="94">
        <f>IF('Final Calculation Sheet'!$D$24="","",'Final Calculation Sheet'!$D$24)</f>
        <v/>
      </c>
      <c r="F63" s="94">
        <f>IF('Final Calculation Sheet'!$A$24="","",'Final Calculation Sheet'!$A$24)</f>
        <v/>
      </c>
      <c r="G63" s="94">
        <f>IF('Final Calculation Sheet'!$E$24="","",'Final Calculation Sheet'!$E$24)</f>
        <v/>
      </c>
      <c r="H63" s="95">
        <f>IF('Final Calculation Sheet'!$C$24="","",'Final Calculation Sheet'!$C$24)</f>
        <v/>
      </c>
      <c r="I63" s="95">
        <f>IF('Final Calculation Sheet'!$H$24="","",'Final Calculation Sheet'!$H$24)</f>
        <v/>
      </c>
      <c r="J63" s="95">
        <f>IF('Final Calculation Sheet'!$I$24="","",'Final Calculation Sheet'!$I$24)</f>
        <v/>
      </c>
      <c r="K63" s="95">
        <f>IF('Final Calculation Sheet'!$J$24="","",'Final Calculation Sheet'!$J$24)</f>
        <v/>
      </c>
      <c r="L63" s="95">
        <f>IF('Final Calculation Sheet'!$K$24="","",'Final Calculation Sheet'!$K$24)</f>
        <v/>
      </c>
      <c r="M63" s="95">
        <f>IF('Final Calculation Sheet'!$L$24="","",'Final Calculation Sheet'!$L$24)</f>
        <v/>
      </c>
      <c r="N63" s="95">
        <f>IF('Final Calculation Sheet'!$M$24="","",'Final Calculation Sheet'!$M$24)</f>
        <v/>
      </c>
      <c r="O63" s="96">
        <f>IF('Final Calculation Sheet'!$N$24="","",'Final Calculation Sheet'!$N$24)</f>
        <v/>
      </c>
      <c r="P63" s="95">
        <f>IF('Final Calculation Sheet'!$O$24="","",'Final Calculation Sheet'!$O$24)</f>
        <v/>
      </c>
      <c r="Q63" s="95">
        <f>IF('Final Calculation Sheet'!$P$24="","",'Final Calculation Sheet'!$P$24)</f>
        <v/>
      </c>
      <c r="R63" s="97">
        <f>IF('Final Calculation Sheet'!$Q$24="","",'Final Calculation Sheet'!$Q$24)</f>
        <v/>
      </c>
      <c r="S63" s="95">
        <f>IF('Final Calculation Sheet'!$R$24="","",'Final Calculation Sheet'!$R$24)</f>
        <v/>
      </c>
      <c r="T63" s="95">
        <f>IF('Final Calculation Sheet'!$S$24="","",'Final Calculation Sheet'!$S$24)</f>
        <v/>
      </c>
      <c r="U63" s="95">
        <f>IF('Final Calculation Sheet'!$T$24="","",'Final Calculation Sheet'!$T$24)</f>
        <v/>
      </c>
      <c r="V63" s="98">
        <f>IF('Final Calculation Sheet'!$U$24="","",'Final Calculation Sheet'!$U$24)</f>
        <v/>
      </c>
      <c r="W63" s="95">
        <f>IF('Final Calculation Sheet'!$V$24="","",'Final Calculation Sheet'!$V$24)</f>
        <v/>
      </c>
      <c r="X63" s="95">
        <f>IF('Final Calculation Sheet'!$W$24="","",'Final Calculation Sheet'!$W$24)</f>
        <v/>
      </c>
      <c r="Y63" s="95">
        <f>IF('Final Calculation Sheet'!$X$24="","",'Final Calculation Sheet'!$X$24)</f>
        <v/>
      </c>
      <c r="Z63" s="95">
        <f>IF('Final Calculation Sheet'!$Y$24="","",'Final Calculation Sheet'!$Y$24)</f>
        <v/>
      </c>
      <c r="AA63" s="95">
        <f>IF('Final Calculation Sheet'!$Z$24="","",'Final Calculation Sheet'!$Z$24)</f>
        <v/>
      </c>
      <c r="AB63" s="95">
        <f>IF('Final Calculation Sheet'!$AA$24="","",'Final Calculation Sheet'!$AA$24)</f>
        <v/>
      </c>
      <c r="AC63" s="95">
        <f>IF('Final Calculation Sheet'!$AB$24="","",'Final Calculation Sheet'!$AB$24)</f>
        <v/>
      </c>
      <c r="AD63" s="95">
        <f>IF('Final Calculation Sheet'!$AC$24="","",'Final Calculation Sheet'!$AC$24)</f>
        <v/>
      </c>
      <c r="AE63" s="95">
        <f>IF('Final Calculation Sheet'!$AD$24="","",'Final Calculation Sheet'!$AD$24)</f>
        <v/>
      </c>
      <c r="AF63" s="100">
        <f>IF('Final Calculation Sheet'!$AD$24="","",IF('Final Calculation Sheet'!$AD$24&lt;=5,"SETTLED","OUTSTANDING"))</f>
        <v/>
      </c>
      <c r="AG63" s="95">
        <f>IF('Final Calculation Sheet'!$AF$24="","",'Final Calculation Sheet'!$AF$24)</f>
        <v/>
      </c>
      <c r="AH63" s="99">
        <f>IF('Final Calculation Sheet'!$AG$24="","",'Final Calculation Sheet'!$AG$24)</f>
        <v/>
      </c>
      <c r="AI63" s="95">
        <f>IF('Final Calculation Sheet'!$AH$24="","",'Final Calculation Sheet'!$AH$24)</f>
        <v/>
      </c>
    </row>
    <row r="64" outlineLevel="1" ht="15" customHeight="1" s="137">
      <c r="A64" s="67" t="n">
        <v>9</v>
      </c>
      <c r="B64" s="76">
        <f>IF('Final Calculation Sheet'!$F$26="","",'Final Calculation Sheet'!$F$26)</f>
        <v/>
      </c>
      <c r="C64" s="76">
        <f>IF('Final Calculation Sheet'!$G$26="","",'Final Calculation Sheet'!$G$26)</f>
        <v/>
      </c>
      <c r="D64" s="80">
        <f>IF('Final Calculation Sheet'!$B$26="","",'Final Calculation Sheet'!$B$26)</f>
        <v/>
      </c>
      <c r="E64" s="80">
        <f>IF('Final Calculation Sheet'!$D$26="","",'Final Calculation Sheet'!$D$26)</f>
        <v/>
      </c>
      <c r="F64" s="80">
        <f>IF('Final Calculation Sheet'!$A$26="","",'Final Calculation Sheet'!$A$26)</f>
        <v/>
      </c>
      <c r="G64" s="80">
        <f>IF('Final Calculation Sheet'!$E$26="","",'Final Calculation Sheet'!$E$26)</f>
        <v/>
      </c>
      <c r="H64" s="70">
        <f>IF('Final Calculation Sheet'!$C$26="","",'Final Calculation Sheet'!$C$26)</f>
        <v/>
      </c>
      <c r="I64" s="70">
        <f>IF('Final Calculation Sheet'!$H$26="","",'Final Calculation Sheet'!$H$26)</f>
        <v/>
      </c>
      <c r="J64" s="70">
        <f>IF('Final Calculation Sheet'!$I$26="","",'Final Calculation Sheet'!$I$26)</f>
        <v/>
      </c>
      <c r="K64" s="70">
        <f>IF('Final Calculation Sheet'!$J$26="","",'Final Calculation Sheet'!$J$26)</f>
        <v/>
      </c>
      <c r="L64" s="70">
        <f>IF('Final Calculation Sheet'!$K$26="","",'Final Calculation Sheet'!$K$26)</f>
        <v/>
      </c>
      <c r="M64" s="70">
        <f>IF('Final Calculation Sheet'!$L$26="","",'Final Calculation Sheet'!$L$26)</f>
        <v/>
      </c>
      <c r="N64" s="70">
        <f>IF('Final Calculation Sheet'!$M$26="","",'Final Calculation Sheet'!$M$26)</f>
        <v/>
      </c>
      <c r="O64" s="71">
        <f>IF('Final Calculation Sheet'!$N$26="","",'Final Calculation Sheet'!$N$26)</f>
        <v/>
      </c>
      <c r="P64" s="70">
        <f>IF('Final Calculation Sheet'!$O$26="","",'Final Calculation Sheet'!$O$26)</f>
        <v/>
      </c>
      <c r="Q64" s="70">
        <f>IF('Final Calculation Sheet'!$P$26="","",'Final Calculation Sheet'!$P$26)</f>
        <v/>
      </c>
      <c r="R64" s="72">
        <f>IF('Final Calculation Sheet'!$Q$26="","",'Final Calculation Sheet'!$Q$26)</f>
        <v/>
      </c>
      <c r="S64" s="70">
        <f>IF('Final Calculation Sheet'!$R$26="","",'Final Calculation Sheet'!$R$26)</f>
        <v/>
      </c>
      <c r="T64" s="70">
        <f>IF('Final Calculation Sheet'!$S$26="","",'Final Calculation Sheet'!$S$26)</f>
        <v/>
      </c>
      <c r="U64" s="70">
        <f>IF('Final Calculation Sheet'!$T$26="","",'Final Calculation Sheet'!$T$26)</f>
        <v/>
      </c>
      <c r="V64" s="73">
        <f>IF('Final Calculation Sheet'!$U$26="","",'Final Calculation Sheet'!$U$26)</f>
        <v/>
      </c>
      <c r="W64" s="70">
        <f>IF('Final Calculation Sheet'!$V$26="","",'Final Calculation Sheet'!$V$26)</f>
        <v/>
      </c>
      <c r="X64" s="70">
        <f>IF('Final Calculation Sheet'!$W$26="","",'Final Calculation Sheet'!$W$26)</f>
        <v/>
      </c>
      <c r="Y64" s="70">
        <f>IF('Final Calculation Sheet'!$X$26="","",'Final Calculation Sheet'!$X$26)</f>
        <v/>
      </c>
      <c r="Z64" s="70">
        <f>IF('Final Calculation Sheet'!$Y$26="","",'Final Calculation Sheet'!$Y$26)</f>
        <v/>
      </c>
      <c r="AA64" s="70">
        <f>IF('Final Calculation Sheet'!$Z$26="","",'Final Calculation Sheet'!$Z$26)</f>
        <v/>
      </c>
      <c r="AB64" s="70">
        <f>IF('Final Calculation Sheet'!$AA$26="","",'Final Calculation Sheet'!$AA$26)</f>
        <v/>
      </c>
      <c r="AC64" s="70">
        <f>IF('Final Calculation Sheet'!$AB$26="","",'Final Calculation Sheet'!$AB$26)</f>
        <v/>
      </c>
      <c r="AD64" s="70">
        <f>IF('Final Calculation Sheet'!$AC$26="","",'Final Calculation Sheet'!$AC$26)</f>
        <v/>
      </c>
      <c r="AE64" s="70">
        <f>IF('Final Calculation Sheet'!$AD$26="","",'Final Calculation Sheet'!$AD$26)</f>
        <v/>
      </c>
      <c r="AF64" s="75">
        <f>IF('Final Calculation Sheet'!$AD$26="","",IF('Final Calculation Sheet'!$AD$26&lt;=5,"SETTLED","OUTSTANDING"))</f>
        <v/>
      </c>
      <c r="AG64" s="70">
        <f>IF('Final Calculation Sheet'!$AF$26="","",'Final Calculation Sheet'!$AF$26)</f>
        <v/>
      </c>
      <c r="AH64" s="74">
        <f>IF('Final Calculation Sheet'!$AG$26="","",'Final Calculation Sheet'!$AG$26)</f>
        <v/>
      </c>
      <c r="AI64" s="70">
        <f>IF('Final Calculation Sheet'!$AH$26="","",'Final Calculation Sheet'!$AH$26)</f>
        <v/>
      </c>
    </row>
    <row r="65" outlineLevel="1" ht="15" customHeight="1" s="137">
      <c r="A65" s="90" t="n">
        <v>10</v>
      </c>
      <c r="B65" s="92">
        <f>IF('Final Calculation Sheet'!$F$30="","",'Final Calculation Sheet'!$F$30)</f>
        <v/>
      </c>
      <c r="C65" s="92">
        <f>IF('Final Calculation Sheet'!$G$30="","",'Final Calculation Sheet'!$G$30)</f>
        <v/>
      </c>
      <c r="D65" s="94">
        <f>IF('Final Calculation Sheet'!$B$30="","",'Final Calculation Sheet'!$B$30)</f>
        <v/>
      </c>
      <c r="E65" s="94">
        <f>IF('Final Calculation Sheet'!$D$30="","",'Final Calculation Sheet'!$D$30)</f>
        <v/>
      </c>
      <c r="F65" s="94">
        <f>IF('Final Calculation Sheet'!$A$30="","",'Final Calculation Sheet'!$A$30)</f>
        <v/>
      </c>
      <c r="G65" s="94">
        <f>IF('Final Calculation Sheet'!$E$30="","",'Final Calculation Sheet'!$E$30)</f>
        <v/>
      </c>
      <c r="H65" s="95">
        <f>IF('Final Calculation Sheet'!$C$30="","",'Final Calculation Sheet'!$C$30)</f>
        <v/>
      </c>
      <c r="I65" s="95">
        <f>IF('Final Calculation Sheet'!$H$30="","",'Final Calculation Sheet'!$H$30)</f>
        <v/>
      </c>
      <c r="J65" s="95">
        <f>IF('Final Calculation Sheet'!$I$30="","",'Final Calculation Sheet'!$I$30)</f>
        <v/>
      </c>
      <c r="K65" s="95">
        <f>IF('Final Calculation Sheet'!$J$30="","",'Final Calculation Sheet'!$J$30)</f>
        <v/>
      </c>
      <c r="L65" s="95">
        <f>IF('Final Calculation Sheet'!$K$30="","",'Final Calculation Sheet'!$K$30)</f>
        <v/>
      </c>
      <c r="M65" s="95">
        <f>IF('Final Calculation Sheet'!$L$30="","",'Final Calculation Sheet'!$L$30)</f>
        <v/>
      </c>
      <c r="N65" s="95">
        <f>IF('Final Calculation Sheet'!$M$30="","",'Final Calculation Sheet'!$M$30)</f>
        <v/>
      </c>
      <c r="O65" s="96">
        <f>IF('Final Calculation Sheet'!$N$30="","",'Final Calculation Sheet'!$N$30)</f>
        <v/>
      </c>
      <c r="P65" s="95">
        <f>IF('Final Calculation Sheet'!$O$30="","",'Final Calculation Sheet'!$O$30)</f>
        <v/>
      </c>
      <c r="Q65" s="95">
        <f>IF('Final Calculation Sheet'!$P$30="","",'Final Calculation Sheet'!$P$30)</f>
        <v/>
      </c>
      <c r="R65" s="97">
        <f>IF('Final Calculation Sheet'!$Q$30="","",'Final Calculation Sheet'!$Q$30)</f>
        <v/>
      </c>
      <c r="S65" s="95">
        <f>IF('Final Calculation Sheet'!$R$30="","",'Final Calculation Sheet'!$R$30)</f>
        <v/>
      </c>
      <c r="T65" s="95">
        <f>IF('Final Calculation Sheet'!$S$30="","",'Final Calculation Sheet'!$S$30)</f>
        <v/>
      </c>
      <c r="U65" s="95">
        <f>IF('Final Calculation Sheet'!$T$30="","",'Final Calculation Sheet'!$T$30)</f>
        <v/>
      </c>
      <c r="V65" s="98">
        <f>IF('Final Calculation Sheet'!$U$30="","",'Final Calculation Sheet'!$U$30)</f>
        <v/>
      </c>
      <c r="W65" s="95">
        <f>IF('Final Calculation Sheet'!$V$30="","",'Final Calculation Sheet'!$V$30)</f>
        <v/>
      </c>
      <c r="X65" s="95">
        <f>IF('Final Calculation Sheet'!$W$30="","",'Final Calculation Sheet'!$W$30)</f>
        <v/>
      </c>
      <c r="Y65" s="95">
        <f>IF('Final Calculation Sheet'!$X$30="","",'Final Calculation Sheet'!$X$30)</f>
        <v/>
      </c>
      <c r="Z65" s="95">
        <f>IF('Final Calculation Sheet'!$Y$30="","",'Final Calculation Sheet'!$Y$30)</f>
        <v/>
      </c>
      <c r="AA65" s="95">
        <f>IF('Final Calculation Sheet'!$Z$30="","",'Final Calculation Sheet'!$Z$30)</f>
        <v/>
      </c>
      <c r="AB65" s="95">
        <f>IF('Final Calculation Sheet'!$AA$30="","",'Final Calculation Sheet'!$AA$30)</f>
        <v/>
      </c>
      <c r="AC65" s="95">
        <f>IF('Final Calculation Sheet'!$AB$30="","",'Final Calculation Sheet'!$AB$30)</f>
        <v/>
      </c>
      <c r="AD65" s="95">
        <f>IF('Final Calculation Sheet'!$AC$30="","",'Final Calculation Sheet'!$AC$30)</f>
        <v/>
      </c>
      <c r="AE65" s="95">
        <f>IF('Final Calculation Sheet'!$AD$30="","",'Final Calculation Sheet'!$AD$30)</f>
        <v/>
      </c>
      <c r="AF65" s="100">
        <f>IF('Final Calculation Sheet'!$AD$30="","",IF('Final Calculation Sheet'!$AD$30&lt;=5,"SETTLED","OUTSTANDING"))</f>
        <v/>
      </c>
      <c r="AG65" s="95">
        <f>IF('Final Calculation Sheet'!$AF$30="","",'Final Calculation Sheet'!$AF$30)</f>
        <v/>
      </c>
      <c r="AH65" s="99">
        <f>IF('Final Calculation Sheet'!$AG$30="","",'Final Calculation Sheet'!$AG$30)</f>
        <v/>
      </c>
      <c r="AI65" s="95">
        <f>IF('Final Calculation Sheet'!$AH$30="","",'Final Calculation Sheet'!$AH$30)</f>
        <v/>
      </c>
    </row>
    <row r="66" outlineLevel="1" ht="15" customHeight="1" s="137">
      <c r="A66" s="67" t="n">
        <v>11</v>
      </c>
      <c r="B66" s="76">
        <f>IF('Final Calculation Sheet'!$F$32="","",'Final Calculation Sheet'!$F$32)</f>
        <v/>
      </c>
      <c r="C66" s="76">
        <f>IF('Final Calculation Sheet'!$G$32="","",'Final Calculation Sheet'!$G$32)</f>
        <v/>
      </c>
      <c r="D66" s="80">
        <f>IF('Final Calculation Sheet'!$B$32="","",'Final Calculation Sheet'!$B$32)</f>
        <v/>
      </c>
      <c r="E66" s="80">
        <f>IF('Final Calculation Sheet'!$D$32="","",'Final Calculation Sheet'!$D$32)</f>
        <v/>
      </c>
      <c r="F66" s="80">
        <f>IF('Final Calculation Sheet'!$A$32="","",'Final Calculation Sheet'!$A$32)</f>
        <v/>
      </c>
      <c r="G66" s="80">
        <f>IF('Final Calculation Sheet'!$E$32="","",'Final Calculation Sheet'!$E$32)</f>
        <v/>
      </c>
      <c r="H66" s="70">
        <f>IF('Final Calculation Sheet'!$C$32="","",'Final Calculation Sheet'!$C$32)</f>
        <v/>
      </c>
      <c r="I66" s="70">
        <f>IF('Final Calculation Sheet'!$H$32="","",'Final Calculation Sheet'!$H$32)</f>
        <v/>
      </c>
      <c r="J66" s="70">
        <f>IF('Final Calculation Sheet'!$I$32="","",'Final Calculation Sheet'!$I$32)</f>
        <v/>
      </c>
      <c r="K66" s="70">
        <f>IF('Final Calculation Sheet'!$J$32="","",'Final Calculation Sheet'!$J$32)</f>
        <v/>
      </c>
      <c r="L66" s="70">
        <f>IF('Final Calculation Sheet'!$K$32="","",'Final Calculation Sheet'!$K$32)</f>
        <v/>
      </c>
      <c r="M66" s="70">
        <f>IF('Final Calculation Sheet'!$L$32="","",'Final Calculation Sheet'!$L$32)</f>
        <v/>
      </c>
      <c r="N66" s="70">
        <f>IF('Final Calculation Sheet'!$M$32="","",'Final Calculation Sheet'!$M$32)</f>
        <v/>
      </c>
      <c r="O66" s="71">
        <f>IF('Final Calculation Sheet'!$N$32="","",'Final Calculation Sheet'!$N$32)</f>
        <v/>
      </c>
      <c r="P66" s="70">
        <f>IF('Final Calculation Sheet'!$O$32="","",'Final Calculation Sheet'!$O$32)</f>
        <v/>
      </c>
      <c r="Q66" s="70">
        <f>IF('Final Calculation Sheet'!$P$32="","",'Final Calculation Sheet'!$P$32)</f>
        <v/>
      </c>
      <c r="R66" s="72">
        <f>IF('Final Calculation Sheet'!$Q$32="","",'Final Calculation Sheet'!$Q$32)</f>
        <v/>
      </c>
      <c r="S66" s="70">
        <f>IF('Final Calculation Sheet'!$R$32="","",'Final Calculation Sheet'!$R$32)</f>
        <v/>
      </c>
      <c r="T66" s="70">
        <f>IF('Final Calculation Sheet'!$S$32="","",'Final Calculation Sheet'!$S$32)</f>
        <v/>
      </c>
      <c r="U66" s="70">
        <f>IF('Final Calculation Sheet'!$T$32="","",'Final Calculation Sheet'!$T$32)</f>
        <v/>
      </c>
      <c r="V66" s="73">
        <f>IF('Final Calculation Sheet'!$U$32="","",'Final Calculation Sheet'!$U$32)</f>
        <v/>
      </c>
      <c r="W66" s="70">
        <f>IF('Final Calculation Sheet'!$V$32="","",'Final Calculation Sheet'!$V$32)</f>
        <v/>
      </c>
      <c r="X66" s="70">
        <f>IF('Final Calculation Sheet'!$W$32="","",'Final Calculation Sheet'!$W$32)</f>
        <v/>
      </c>
      <c r="Y66" s="70">
        <f>IF('Final Calculation Sheet'!$X$32="","",'Final Calculation Sheet'!$X$32)</f>
        <v/>
      </c>
      <c r="Z66" s="70">
        <f>IF('Final Calculation Sheet'!$Y$32="","",'Final Calculation Sheet'!$Y$32)</f>
        <v/>
      </c>
      <c r="AA66" s="70">
        <f>IF('Final Calculation Sheet'!$Z$32="","",'Final Calculation Sheet'!$Z$32)</f>
        <v/>
      </c>
      <c r="AB66" s="70">
        <f>IF('Final Calculation Sheet'!$AA$32="","",'Final Calculation Sheet'!$AA$32)</f>
        <v/>
      </c>
      <c r="AC66" s="70">
        <f>IF('Final Calculation Sheet'!$AB$32="","",'Final Calculation Sheet'!$AB$32)</f>
        <v/>
      </c>
      <c r="AD66" s="70">
        <f>IF('Final Calculation Sheet'!$AC$32="","",'Final Calculation Sheet'!$AC$32)</f>
        <v/>
      </c>
      <c r="AE66" s="70">
        <f>IF('Final Calculation Sheet'!$AD$32="","",'Final Calculation Sheet'!$AD$32)</f>
        <v/>
      </c>
      <c r="AF66" s="75">
        <f>IF('Final Calculation Sheet'!$AD$32="","",IF('Final Calculation Sheet'!$AD$32&lt;=5,"SETTLED","OUTSTANDING"))</f>
        <v/>
      </c>
      <c r="AG66" s="70">
        <f>IF('Final Calculation Sheet'!$AF$32="","",'Final Calculation Sheet'!$AF$32)</f>
        <v/>
      </c>
      <c r="AH66" s="74">
        <f>IF('Final Calculation Sheet'!$AG$32="","",'Final Calculation Sheet'!$AG$32)</f>
        <v/>
      </c>
      <c r="AI66" s="70">
        <f>IF('Final Calculation Sheet'!$AH$32="","",'Final Calculation Sheet'!$AH$32)</f>
        <v/>
      </c>
    </row>
    <row r="67" outlineLevel="1" ht="15" customHeight="1" s="137">
      <c r="A67" s="90" t="n">
        <v>12</v>
      </c>
      <c r="B67" s="92">
        <f>IF('Final Calculation Sheet'!$F$33="","",'Final Calculation Sheet'!$F$33)</f>
        <v/>
      </c>
      <c r="C67" s="92">
        <f>IF('Final Calculation Sheet'!$G$33="","",'Final Calculation Sheet'!$G$33)</f>
        <v/>
      </c>
      <c r="D67" s="94">
        <f>IF('Final Calculation Sheet'!$B$33="","",'Final Calculation Sheet'!$B$33)</f>
        <v/>
      </c>
      <c r="E67" s="94">
        <f>IF('Final Calculation Sheet'!$D$33="","",'Final Calculation Sheet'!$D$33)</f>
        <v/>
      </c>
      <c r="F67" s="94">
        <f>IF('Final Calculation Sheet'!$A$33="","",'Final Calculation Sheet'!$A$33)</f>
        <v/>
      </c>
      <c r="G67" s="94">
        <f>IF('Final Calculation Sheet'!$E$33="","",'Final Calculation Sheet'!$E$33)</f>
        <v/>
      </c>
      <c r="H67" s="95">
        <f>IF('Final Calculation Sheet'!$C$33="","",'Final Calculation Sheet'!$C$33)</f>
        <v/>
      </c>
      <c r="I67" s="95">
        <f>IF('Final Calculation Sheet'!$H$33="","",'Final Calculation Sheet'!$H$33)</f>
        <v/>
      </c>
      <c r="J67" s="95">
        <f>IF('Final Calculation Sheet'!$I$33="","",'Final Calculation Sheet'!$I$33)</f>
        <v/>
      </c>
      <c r="K67" s="95">
        <f>IF('Final Calculation Sheet'!$J$33="","",'Final Calculation Sheet'!$J$33)</f>
        <v/>
      </c>
      <c r="L67" s="95">
        <f>IF('Final Calculation Sheet'!$K$33="","",'Final Calculation Sheet'!$K$33)</f>
        <v/>
      </c>
      <c r="M67" s="95">
        <f>IF('Final Calculation Sheet'!$L$33="","",'Final Calculation Sheet'!$L$33)</f>
        <v/>
      </c>
      <c r="N67" s="95">
        <f>IF('Final Calculation Sheet'!$M$33="","",'Final Calculation Sheet'!$M$33)</f>
        <v/>
      </c>
      <c r="O67" s="96">
        <f>IF('Final Calculation Sheet'!$N$33="","",'Final Calculation Sheet'!$N$33)</f>
        <v/>
      </c>
      <c r="P67" s="95">
        <f>IF('Final Calculation Sheet'!$O$33="","",'Final Calculation Sheet'!$O$33)</f>
        <v/>
      </c>
      <c r="Q67" s="95">
        <f>IF('Final Calculation Sheet'!$P$33="","",'Final Calculation Sheet'!$P$33)</f>
        <v/>
      </c>
      <c r="R67" s="97">
        <f>IF('Final Calculation Sheet'!$Q$33="","",'Final Calculation Sheet'!$Q$33)</f>
        <v/>
      </c>
      <c r="S67" s="95">
        <f>IF('Final Calculation Sheet'!$R$33="","",'Final Calculation Sheet'!$R$33)</f>
        <v/>
      </c>
      <c r="T67" s="95">
        <f>IF('Final Calculation Sheet'!$S$33="","",'Final Calculation Sheet'!$S$33)</f>
        <v/>
      </c>
      <c r="U67" s="95">
        <f>IF('Final Calculation Sheet'!$T$33="","",'Final Calculation Sheet'!$T$33)</f>
        <v/>
      </c>
      <c r="V67" s="98">
        <f>IF('Final Calculation Sheet'!$U$33="","",'Final Calculation Sheet'!$U$33)</f>
        <v/>
      </c>
      <c r="W67" s="95">
        <f>IF('Final Calculation Sheet'!$V$33="","",'Final Calculation Sheet'!$V$33)</f>
        <v/>
      </c>
      <c r="X67" s="95">
        <f>IF('Final Calculation Sheet'!$W$33="","",'Final Calculation Sheet'!$W$33)</f>
        <v/>
      </c>
      <c r="Y67" s="95">
        <f>IF('Final Calculation Sheet'!$X$33="","",'Final Calculation Sheet'!$X$33)</f>
        <v/>
      </c>
      <c r="Z67" s="95">
        <f>IF('Final Calculation Sheet'!$Y$33="","",'Final Calculation Sheet'!$Y$33)</f>
        <v/>
      </c>
      <c r="AA67" s="95">
        <f>IF('Final Calculation Sheet'!$Z$33="","",'Final Calculation Sheet'!$Z$33)</f>
        <v/>
      </c>
      <c r="AB67" s="95">
        <f>IF('Final Calculation Sheet'!$AA$33="","",'Final Calculation Sheet'!$AA$33)</f>
        <v/>
      </c>
      <c r="AC67" s="95">
        <f>IF('Final Calculation Sheet'!$AB$33="","",'Final Calculation Sheet'!$AB$33)</f>
        <v/>
      </c>
      <c r="AD67" s="95">
        <f>IF('Final Calculation Sheet'!$AC$33="","",'Final Calculation Sheet'!$AC$33)</f>
        <v/>
      </c>
      <c r="AE67" s="95">
        <f>IF('Final Calculation Sheet'!$AD$33="","",'Final Calculation Sheet'!$AD$33)</f>
        <v/>
      </c>
      <c r="AF67" s="100">
        <f>IF('Final Calculation Sheet'!$AD$33="","",IF('Final Calculation Sheet'!$AD$33&lt;=5,"SETTLED","OUTSTANDING"))</f>
        <v/>
      </c>
      <c r="AG67" s="95">
        <f>IF('Final Calculation Sheet'!$AF$33="","",'Final Calculation Sheet'!$AF$33)</f>
        <v/>
      </c>
      <c r="AH67" s="99">
        <f>IF('Final Calculation Sheet'!$AG$33="","",'Final Calculation Sheet'!$AG$33)</f>
        <v/>
      </c>
      <c r="AI67" s="95">
        <f>IF('Final Calculation Sheet'!$AH$33="","",'Final Calculation Sheet'!$AH$33)</f>
        <v/>
      </c>
    </row>
    <row r="68" outlineLevel="1" ht="15" customHeight="1" s="137">
      <c r="A68" s="67" t="n">
        <v>13</v>
      </c>
      <c r="B68" s="76">
        <f>IF('Final Calculation Sheet'!$F$37="","",'Final Calculation Sheet'!$F$37)</f>
        <v/>
      </c>
      <c r="C68" s="76">
        <f>IF('Final Calculation Sheet'!$G$37="","",'Final Calculation Sheet'!$G$37)</f>
        <v/>
      </c>
      <c r="D68" s="80">
        <f>IF('Final Calculation Sheet'!$B$37="","",'Final Calculation Sheet'!$B$37)</f>
        <v/>
      </c>
      <c r="E68" s="80">
        <f>IF('Final Calculation Sheet'!$D$37="","",'Final Calculation Sheet'!$D$37)</f>
        <v/>
      </c>
      <c r="F68" s="80">
        <f>IF('Final Calculation Sheet'!$A$37="","",'Final Calculation Sheet'!$A$37)</f>
        <v/>
      </c>
      <c r="G68" s="80">
        <f>IF('Final Calculation Sheet'!$E$37="","",'Final Calculation Sheet'!$E$37)</f>
        <v/>
      </c>
      <c r="H68" s="70">
        <f>IF('Final Calculation Sheet'!$C$37="","",'Final Calculation Sheet'!$C$37)</f>
        <v/>
      </c>
      <c r="I68" s="70">
        <f>IF('Final Calculation Sheet'!$H$37="","",'Final Calculation Sheet'!$H$37)</f>
        <v/>
      </c>
      <c r="J68" s="70">
        <f>IF('Final Calculation Sheet'!$I$37="","",'Final Calculation Sheet'!$I$37)</f>
        <v/>
      </c>
      <c r="K68" s="70">
        <f>IF('Final Calculation Sheet'!$J$37="","",'Final Calculation Sheet'!$J$37)</f>
        <v/>
      </c>
      <c r="L68" s="70">
        <f>IF('Final Calculation Sheet'!$K$37="","",'Final Calculation Sheet'!$K$37)</f>
        <v/>
      </c>
      <c r="M68" s="70">
        <f>IF('Final Calculation Sheet'!$L$37="","",'Final Calculation Sheet'!$L$37)</f>
        <v/>
      </c>
      <c r="N68" s="70">
        <f>IF('Final Calculation Sheet'!$M$37="","",'Final Calculation Sheet'!$M$37)</f>
        <v/>
      </c>
      <c r="O68" s="71">
        <f>IF('Final Calculation Sheet'!$N$37="","",'Final Calculation Sheet'!$N$37)</f>
        <v/>
      </c>
      <c r="P68" s="70">
        <f>IF('Final Calculation Sheet'!$O$37="","",'Final Calculation Sheet'!$O$37)</f>
        <v/>
      </c>
      <c r="Q68" s="70">
        <f>IF('Final Calculation Sheet'!$P$37="","",'Final Calculation Sheet'!$P$37)</f>
        <v/>
      </c>
      <c r="R68" s="72">
        <f>IF('Final Calculation Sheet'!$Q$37="","",'Final Calculation Sheet'!$Q$37)</f>
        <v/>
      </c>
      <c r="S68" s="70">
        <f>IF('Final Calculation Sheet'!$R$37="","",'Final Calculation Sheet'!$R$37)</f>
        <v/>
      </c>
      <c r="T68" s="70">
        <f>IF('Final Calculation Sheet'!$S$37="","",'Final Calculation Sheet'!$S$37)</f>
        <v/>
      </c>
      <c r="U68" s="70">
        <f>IF('Final Calculation Sheet'!$T$37="","",'Final Calculation Sheet'!$T$37)</f>
        <v/>
      </c>
      <c r="V68" s="73">
        <f>IF('Final Calculation Sheet'!$U$37="","",'Final Calculation Sheet'!$U$37)</f>
        <v/>
      </c>
      <c r="W68" s="70">
        <f>IF('Final Calculation Sheet'!$V$37="","",'Final Calculation Sheet'!$V$37)</f>
        <v/>
      </c>
      <c r="X68" s="70">
        <f>IF('Final Calculation Sheet'!$W$37="","",'Final Calculation Sheet'!$W$37)</f>
        <v/>
      </c>
      <c r="Y68" s="70">
        <f>IF('Final Calculation Sheet'!$X$37="","",'Final Calculation Sheet'!$X$37)</f>
        <v/>
      </c>
      <c r="Z68" s="70">
        <f>IF('Final Calculation Sheet'!$Y$37="","",'Final Calculation Sheet'!$Y$37)</f>
        <v/>
      </c>
      <c r="AA68" s="70">
        <f>IF('Final Calculation Sheet'!$Z$37="","",'Final Calculation Sheet'!$Z$37)</f>
        <v/>
      </c>
      <c r="AB68" s="70">
        <f>IF('Final Calculation Sheet'!$AA$37="","",'Final Calculation Sheet'!$AA$37)</f>
        <v/>
      </c>
      <c r="AC68" s="70">
        <f>IF('Final Calculation Sheet'!$AB$37="","",'Final Calculation Sheet'!$AB$37)</f>
        <v/>
      </c>
      <c r="AD68" s="70">
        <f>IF('Final Calculation Sheet'!$AC$37="","",'Final Calculation Sheet'!$AC$37)</f>
        <v/>
      </c>
      <c r="AE68" s="70">
        <f>IF('Final Calculation Sheet'!$AD$37="","",'Final Calculation Sheet'!$AD$37)</f>
        <v/>
      </c>
      <c r="AF68" s="75">
        <f>IF('Final Calculation Sheet'!$AD$37="","",IF('Final Calculation Sheet'!$AD$37&lt;=5,"SETTLED","OUTSTANDING"))</f>
        <v/>
      </c>
      <c r="AG68" s="70">
        <f>IF('Final Calculation Sheet'!$AF$37="","",'Final Calculation Sheet'!$AF$37)</f>
        <v/>
      </c>
      <c r="AH68" s="74">
        <f>IF('Final Calculation Sheet'!$AG$37="","",'Final Calculation Sheet'!$AG$37)</f>
        <v/>
      </c>
      <c r="AI68" s="70">
        <f>IF('Final Calculation Sheet'!$AH$37="","",'Final Calculation Sheet'!$AH$37)</f>
        <v/>
      </c>
    </row>
    <row r="69" ht="15" customHeight="1" s="137">
      <c r="A69" s="81" t="inlineStr">
        <is>
          <t>∑</t>
        </is>
      </c>
      <c r="B69" s="83" t="n"/>
      <c r="C69" s="83">
        <f>ROWS($C$56:$C$68)&amp;" lot(s)"</f>
        <v/>
      </c>
      <c r="D69" s="83" t="inlineStr">
        <is>
          <t>SUBTOTAL — NATIONAL ENTERPRISES</t>
        </is>
      </c>
      <c r="E69" s="83" t="inlineStr">
        <is>
          <t>–</t>
        </is>
      </c>
      <c r="F69" s="83">
        <f>SUM(F56:F68)</f>
        <v/>
      </c>
      <c r="G69" s="83" t="inlineStr">
        <is>
          <t>–</t>
        </is>
      </c>
      <c r="H69" s="84" t="inlineStr">
        <is>
          <t>–</t>
        </is>
      </c>
      <c r="I69" s="84">
        <f>SUM(I56:I68)</f>
        <v/>
      </c>
      <c r="J69" s="84">
        <f>SUM(J56:J68)</f>
        <v/>
      </c>
      <c r="K69" s="84">
        <f>SUM(K56:K68)</f>
        <v/>
      </c>
      <c r="L69" s="84">
        <f>SUM(L56:L68)</f>
        <v/>
      </c>
      <c r="M69" s="84">
        <f>SUM(M56:M68)</f>
        <v/>
      </c>
      <c r="N69" s="84">
        <f>SUM(N56:N68)</f>
        <v/>
      </c>
      <c r="O69" s="85">
        <f>SUM(O56:O68)</f>
        <v/>
      </c>
      <c r="P69" s="84">
        <f>SUM(P56:P68)</f>
        <v/>
      </c>
      <c r="Q69" s="84">
        <f>SUM(Q56:Q68)</f>
        <v/>
      </c>
      <c r="R69" s="86" t="inlineStr">
        <is>
          <t>–</t>
        </is>
      </c>
      <c r="S69" s="84">
        <f>SUM(S56:S68)</f>
        <v/>
      </c>
      <c r="T69" s="84">
        <f>SUM(T56:T68)</f>
        <v/>
      </c>
      <c r="U69" s="84">
        <f>SUM(U56:U68)</f>
        <v/>
      </c>
      <c r="V69" s="87">
        <f>SUM(V56:V68)</f>
        <v/>
      </c>
      <c r="W69" s="84" t="inlineStr">
        <is>
          <t>–</t>
        </is>
      </c>
      <c r="X69" s="84">
        <f>SUM(X56:X68)</f>
        <v/>
      </c>
      <c r="Y69" s="84">
        <f>SUM(Y56:Y68)</f>
        <v/>
      </c>
      <c r="Z69" s="84" t="inlineStr">
        <is>
          <t>–</t>
        </is>
      </c>
      <c r="AA69" s="84">
        <f>SUM(AA56:AA68)</f>
        <v/>
      </c>
      <c r="AB69" s="84">
        <f>SUM(AB56:AB68)</f>
        <v/>
      </c>
      <c r="AC69" s="84" t="inlineStr">
        <is>
          <t>–</t>
        </is>
      </c>
      <c r="AD69" s="84">
        <f>SUM(AD56:AD68)</f>
        <v/>
      </c>
      <c r="AE69" s="84">
        <f>SUM(AE56:AE68)</f>
        <v/>
      </c>
      <c r="AF69" s="89">
        <f>IF(AE69&lt;=5,"SETTLED","OUTSTANDING")</f>
        <v/>
      </c>
      <c r="AG69" s="84" t="inlineStr">
        <is>
          <t>–</t>
        </is>
      </c>
      <c r="AH69" s="88" t="inlineStr">
        <is>
          <t>–</t>
        </is>
      </c>
      <c r="AI69" s="84" t="inlineStr">
        <is>
          <t>–</t>
        </is>
      </c>
    </row>
    <row r="70" outlineLevel="1" ht="15" customHeight="1" s="137">
      <c r="A70" s="67" t="n">
        <v>1</v>
      </c>
      <c r="B70" s="76">
        <f>IF('Final Calculation Sheet'!$F$21="","",'Final Calculation Sheet'!$F$21)</f>
        <v/>
      </c>
      <c r="C70" s="76">
        <f>IF('Final Calculation Sheet'!$G$21="","",'Final Calculation Sheet'!$G$21)</f>
        <v/>
      </c>
      <c r="D70" s="80">
        <f>IF('Final Calculation Sheet'!$B$21="","",'Final Calculation Sheet'!$B$21)</f>
        <v/>
      </c>
      <c r="E70" s="80">
        <f>IF('Final Calculation Sheet'!$D$21="","",'Final Calculation Sheet'!$D$21)</f>
        <v/>
      </c>
      <c r="F70" s="80">
        <f>IF('Final Calculation Sheet'!$A$21="","",'Final Calculation Sheet'!$A$21)</f>
        <v/>
      </c>
      <c r="G70" s="80">
        <f>IF('Final Calculation Sheet'!$E$21="","",'Final Calculation Sheet'!$E$21)</f>
        <v/>
      </c>
      <c r="H70" s="70">
        <f>IF('Final Calculation Sheet'!$C$21="","",'Final Calculation Sheet'!$C$21)</f>
        <v/>
      </c>
      <c r="I70" s="70">
        <f>IF('Final Calculation Sheet'!$H$21="","",'Final Calculation Sheet'!$H$21)</f>
        <v/>
      </c>
      <c r="J70" s="70">
        <f>IF('Final Calculation Sheet'!$I$21="","",'Final Calculation Sheet'!$I$21)</f>
        <v/>
      </c>
      <c r="K70" s="70">
        <f>IF('Final Calculation Sheet'!$J$21="","",'Final Calculation Sheet'!$J$21)</f>
        <v/>
      </c>
      <c r="L70" s="70">
        <f>IF('Final Calculation Sheet'!$K$21="","",'Final Calculation Sheet'!$K$21)</f>
        <v/>
      </c>
      <c r="M70" s="70">
        <f>IF('Final Calculation Sheet'!$L$21="","",'Final Calculation Sheet'!$L$21)</f>
        <v/>
      </c>
      <c r="N70" s="70">
        <f>IF('Final Calculation Sheet'!$M$21="","",'Final Calculation Sheet'!$M$21)</f>
        <v/>
      </c>
      <c r="O70" s="71">
        <f>IF('Final Calculation Sheet'!$N$21="","",'Final Calculation Sheet'!$N$21)</f>
        <v/>
      </c>
      <c r="P70" s="70">
        <f>IF('Final Calculation Sheet'!$O$21="","",'Final Calculation Sheet'!$O$21)</f>
        <v/>
      </c>
      <c r="Q70" s="70">
        <f>IF('Final Calculation Sheet'!$P$21="","",'Final Calculation Sheet'!$P$21)</f>
        <v/>
      </c>
      <c r="R70" s="72">
        <f>IF('Final Calculation Sheet'!$Q$21="","",'Final Calculation Sheet'!$Q$21)</f>
        <v/>
      </c>
      <c r="S70" s="70">
        <f>IF('Final Calculation Sheet'!$R$21="","",'Final Calculation Sheet'!$R$21)</f>
        <v/>
      </c>
      <c r="T70" s="70">
        <f>IF('Final Calculation Sheet'!$S$21="","",'Final Calculation Sheet'!$S$21)</f>
        <v/>
      </c>
      <c r="U70" s="70">
        <f>IF('Final Calculation Sheet'!$T$21="","",'Final Calculation Sheet'!$T$21)</f>
        <v/>
      </c>
      <c r="V70" s="73">
        <f>IF('Final Calculation Sheet'!$U$21="","",'Final Calculation Sheet'!$U$21)</f>
        <v/>
      </c>
      <c r="W70" s="70">
        <f>IF('Final Calculation Sheet'!$V$21="","",'Final Calculation Sheet'!$V$21)</f>
        <v/>
      </c>
      <c r="X70" s="70">
        <f>IF('Final Calculation Sheet'!$W$21="","",'Final Calculation Sheet'!$W$21)</f>
        <v/>
      </c>
      <c r="Y70" s="70">
        <f>IF('Final Calculation Sheet'!$X$21="","",'Final Calculation Sheet'!$X$21)</f>
        <v/>
      </c>
      <c r="Z70" s="70">
        <f>IF('Final Calculation Sheet'!$Y$21="","",'Final Calculation Sheet'!$Y$21)</f>
        <v/>
      </c>
      <c r="AA70" s="70">
        <f>IF('Final Calculation Sheet'!$Z$21="","",'Final Calculation Sheet'!$Z$21)</f>
        <v/>
      </c>
      <c r="AB70" s="70">
        <f>IF('Final Calculation Sheet'!$AA$21="","",'Final Calculation Sheet'!$AA$21)</f>
        <v/>
      </c>
      <c r="AC70" s="70">
        <f>IF('Final Calculation Sheet'!$AB$21="","",'Final Calculation Sheet'!$AB$21)</f>
        <v/>
      </c>
      <c r="AD70" s="70">
        <f>IF('Final Calculation Sheet'!$AC$21="","",'Final Calculation Sheet'!$AC$21)</f>
        <v/>
      </c>
      <c r="AE70" s="70">
        <f>IF('Final Calculation Sheet'!$AD$21="","",'Final Calculation Sheet'!$AD$21)</f>
        <v/>
      </c>
      <c r="AF70" s="75">
        <f>IF('Final Calculation Sheet'!$AD$21="","",IF('Final Calculation Sheet'!$AD$21&lt;=5,"SETTLED","OUTSTANDING"))</f>
        <v/>
      </c>
      <c r="AG70" s="70">
        <f>IF('Final Calculation Sheet'!$AF$21="","",'Final Calculation Sheet'!$AF$21)</f>
        <v/>
      </c>
      <c r="AH70" s="74">
        <f>IF('Final Calculation Sheet'!$AG$21="","",'Final Calculation Sheet'!$AG$21)</f>
        <v/>
      </c>
      <c r="AI70" s="70">
        <f>IF('Final Calculation Sheet'!$AH$21="","",'Final Calculation Sheet'!$AH$21)</f>
        <v/>
      </c>
    </row>
    <row r="71" ht="15" customHeight="1" s="137">
      <c r="A71" s="81" t="inlineStr">
        <is>
          <t>∑</t>
        </is>
      </c>
      <c r="B71" s="83" t="n"/>
      <c r="C71" s="83">
        <f>ROWS($C$70:$C$70)&amp;" lot(s)"</f>
        <v/>
      </c>
      <c r="D71" s="83" t="inlineStr">
        <is>
          <t>SUBTOTAL — NATIONAL SCRAP AND BUILDING MATERIAL SUPPLIER</t>
        </is>
      </c>
      <c r="E71" s="83" t="inlineStr">
        <is>
          <t>–</t>
        </is>
      </c>
      <c r="F71" s="83">
        <f>SUM(F70:F70)</f>
        <v/>
      </c>
      <c r="G71" s="83" t="inlineStr">
        <is>
          <t>–</t>
        </is>
      </c>
      <c r="H71" s="84" t="inlineStr">
        <is>
          <t>–</t>
        </is>
      </c>
      <c r="I71" s="84">
        <f>SUM(I70:I70)</f>
        <v/>
      </c>
      <c r="J71" s="84">
        <f>SUM(J70:J70)</f>
        <v/>
      </c>
      <c r="K71" s="84">
        <f>SUM(K70:K70)</f>
        <v/>
      </c>
      <c r="L71" s="84">
        <f>SUM(L70:L70)</f>
        <v/>
      </c>
      <c r="M71" s="84">
        <f>SUM(M70:M70)</f>
        <v/>
      </c>
      <c r="N71" s="84">
        <f>SUM(N70:N70)</f>
        <v/>
      </c>
      <c r="O71" s="85">
        <f>SUM(O70:O70)</f>
        <v/>
      </c>
      <c r="P71" s="84">
        <f>SUM(P70:P70)</f>
        <v/>
      </c>
      <c r="Q71" s="84">
        <f>SUM(Q70:Q70)</f>
        <v/>
      </c>
      <c r="R71" s="86" t="inlineStr">
        <is>
          <t>–</t>
        </is>
      </c>
      <c r="S71" s="84">
        <f>SUM(S70:S70)</f>
        <v/>
      </c>
      <c r="T71" s="84">
        <f>SUM(T70:T70)</f>
        <v/>
      </c>
      <c r="U71" s="84">
        <f>SUM(U70:U70)</f>
        <v/>
      </c>
      <c r="V71" s="87">
        <f>SUM(V70:V70)</f>
        <v/>
      </c>
      <c r="W71" s="84" t="inlineStr">
        <is>
          <t>–</t>
        </is>
      </c>
      <c r="X71" s="84">
        <f>SUM(X70:X70)</f>
        <v/>
      </c>
      <c r="Y71" s="84">
        <f>SUM(Y70:Y70)</f>
        <v/>
      </c>
      <c r="Z71" s="84" t="inlineStr">
        <is>
          <t>–</t>
        </is>
      </c>
      <c r="AA71" s="84">
        <f>SUM(AA70:AA70)</f>
        <v/>
      </c>
      <c r="AB71" s="84">
        <f>SUM(AB70:AB70)</f>
        <v/>
      </c>
      <c r="AC71" s="84" t="inlineStr">
        <is>
          <t>–</t>
        </is>
      </c>
      <c r="AD71" s="84">
        <f>SUM(AD70:AD70)</f>
        <v/>
      </c>
      <c r="AE71" s="84">
        <f>SUM(AE70:AE70)</f>
        <v/>
      </c>
      <c r="AF71" s="89">
        <f>IF(AE71&lt;=5,"SETTLED","OUTSTANDING")</f>
        <v/>
      </c>
      <c r="AG71" s="84" t="inlineStr">
        <is>
          <t>–</t>
        </is>
      </c>
      <c r="AH71" s="88" t="inlineStr">
        <is>
          <t>–</t>
        </is>
      </c>
      <c r="AI71" s="84" t="inlineStr">
        <is>
          <t>–</t>
        </is>
      </c>
    </row>
    <row r="72" outlineLevel="1" ht="15" customHeight="1" s="137">
      <c r="A72" s="67" t="n">
        <v>1</v>
      </c>
      <c r="B72" s="76">
        <f>IF('Final Calculation Sheet'!$F$8="","",'Final Calculation Sheet'!$F$8)</f>
        <v/>
      </c>
      <c r="C72" s="76">
        <f>IF('Final Calculation Sheet'!$G$8="","",'Final Calculation Sheet'!$G$8)</f>
        <v/>
      </c>
      <c r="D72" s="80">
        <f>IF('Final Calculation Sheet'!$B$8="","",'Final Calculation Sheet'!$B$8)</f>
        <v/>
      </c>
      <c r="E72" s="80">
        <f>IF('Final Calculation Sheet'!$D$8="","",'Final Calculation Sheet'!$D$8)</f>
        <v/>
      </c>
      <c r="F72" s="80">
        <f>IF('Final Calculation Sheet'!$A$8="","",'Final Calculation Sheet'!$A$8)</f>
        <v/>
      </c>
      <c r="G72" s="80">
        <f>IF('Final Calculation Sheet'!$E$8="","",'Final Calculation Sheet'!$E$8)</f>
        <v/>
      </c>
      <c r="H72" s="70">
        <f>IF('Final Calculation Sheet'!$C$8="","",'Final Calculation Sheet'!$C$8)</f>
        <v/>
      </c>
      <c r="I72" s="70">
        <f>IF('Final Calculation Sheet'!$H$8="","",'Final Calculation Sheet'!$H$8)</f>
        <v/>
      </c>
      <c r="J72" s="70">
        <f>IF('Final Calculation Sheet'!$I$8="","",'Final Calculation Sheet'!$I$8)</f>
        <v/>
      </c>
      <c r="K72" s="70">
        <f>IF('Final Calculation Sheet'!$J$8="","",'Final Calculation Sheet'!$J$8)</f>
        <v/>
      </c>
      <c r="L72" s="70">
        <f>IF('Final Calculation Sheet'!$K$8="","",'Final Calculation Sheet'!$K$8)</f>
        <v/>
      </c>
      <c r="M72" s="70">
        <f>IF('Final Calculation Sheet'!$L$8="","",'Final Calculation Sheet'!$L$8)</f>
        <v/>
      </c>
      <c r="N72" s="70">
        <f>IF('Final Calculation Sheet'!$M$8="","",'Final Calculation Sheet'!$M$8)</f>
        <v/>
      </c>
      <c r="O72" s="71">
        <f>IF('Final Calculation Sheet'!$N$8="","",'Final Calculation Sheet'!$N$8)</f>
        <v/>
      </c>
      <c r="P72" s="70">
        <f>IF('Final Calculation Sheet'!$O$8="","",'Final Calculation Sheet'!$O$8)</f>
        <v/>
      </c>
      <c r="Q72" s="70">
        <f>IF('Final Calculation Sheet'!$P$8="","",'Final Calculation Sheet'!$P$8)</f>
        <v/>
      </c>
      <c r="R72" s="72">
        <f>IF('Final Calculation Sheet'!$Q$8="","",'Final Calculation Sheet'!$Q$8)</f>
        <v/>
      </c>
      <c r="S72" s="70">
        <f>IF('Final Calculation Sheet'!$R$8="","",'Final Calculation Sheet'!$R$8)</f>
        <v/>
      </c>
      <c r="T72" s="70">
        <f>IF('Final Calculation Sheet'!$S$8="","",'Final Calculation Sheet'!$S$8)</f>
        <v/>
      </c>
      <c r="U72" s="70">
        <f>IF('Final Calculation Sheet'!$T$8="","",'Final Calculation Sheet'!$T$8)</f>
        <v/>
      </c>
      <c r="V72" s="73">
        <f>IF('Final Calculation Sheet'!$U$8="","",'Final Calculation Sheet'!$U$8)</f>
        <v/>
      </c>
      <c r="W72" s="70">
        <f>IF('Final Calculation Sheet'!$V$8="","",'Final Calculation Sheet'!$V$8)</f>
        <v/>
      </c>
      <c r="X72" s="70">
        <f>IF('Final Calculation Sheet'!$W$8="","",'Final Calculation Sheet'!$W$8)</f>
        <v/>
      </c>
      <c r="Y72" s="70">
        <f>IF('Final Calculation Sheet'!$X$8="","",'Final Calculation Sheet'!$X$8)</f>
        <v/>
      </c>
      <c r="Z72" s="70">
        <f>IF('Final Calculation Sheet'!$Y$8="","",'Final Calculation Sheet'!$Y$8)</f>
        <v/>
      </c>
      <c r="AA72" s="70">
        <f>IF('Final Calculation Sheet'!$Z$8="","",'Final Calculation Sheet'!$Z$8)</f>
        <v/>
      </c>
      <c r="AB72" s="70">
        <f>IF('Final Calculation Sheet'!$AA$8="","",'Final Calculation Sheet'!$AA$8)</f>
        <v/>
      </c>
      <c r="AC72" s="70">
        <f>IF('Final Calculation Sheet'!$AB$8="","",'Final Calculation Sheet'!$AB$8)</f>
        <v/>
      </c>
      <c r="AD72" s="70">
        <f>IF('Final Calculation Sheet'!$AC$8="","",'Final Calculation Sheet'!$AC$8)</f>
        <v/>
      </c>
      <c r="AE72" s="70">
        <f>IF('Final Calculation Sheet'!$AD$8="","",'Final Calculation Sheet'!$AD$8)</f>
        <v/>
      </c>
      <c r="AF72" s="75">
        <f>IF('Final Calculation Sheet'!$AD$8="","",IF('Final Calculation Sheet'!$AD$8&lt;=5,"SETTLED","OUTSTANDING"))</f>
        <v/>
      </c>
      <c r="AG72" s="70">
        <f>IF('Final Calculation Sheet'!$AF$8="","",'Final Calculation Sheet'!$AF$8)</f>
        <v/>
      </c>
      <c r="AH72" s="74">
        <f>IF('Final Calculation Sheet'!$AG$8="","",'Final Calculation Sheet'!$AG$8)</f>
        <v/>
      </c>
      <c r="AI72" s="70">
        <f>IF('Final Calculation Sheet'!$AH$8="","",'Final Calculation Sheet'!$AH$8)</f>
        <v/>
      </c>
    </row>
    <row r="73" outlineLevel="1" ht="15" customHeight="1" s="137">
      <c r="A73" s="90" t="n">
        <v>2</v>
      </c>
      <c r="B73" s="92">
        <f>IF('Final Calculation Sheet'!$F$20="","",'Final Calculation Sheet'!$F$20)</f>
        <v/>
      </c>
      <c r="C73" s="92">
        <f>IF('Final Calculation Sheet'!$G$20="","",'Final Calculation Sheet'!$G$20)</f>
        <v/>
      </c>
      <c r="D73" s="94">
        <f>IF('Final Calculation Sheet'!$B$20="","",'Final Calculation Sheet'!$B$20)</f>
        <v/>
      </c>
      <c r="E73" s="94">
        <f>IF('Final Calculation Sheet'!$D$20="","",'Final Calculation Sheet'!$D$20)</f>
        <v/>
      </c>
      <c r="F73" s="94">
        <f>IF('Final Calculation Sheet'!$A$20="","",'Final Calculation Sheet'!$A$20)</f>
        <v/>
      </c>
      <c r="G73" s="94">
        <f>IF('Final Calculation Sheet'!$E$20="","",'Final Calculation Sheet'!$E$20)</f>
        <v/>
      </c>
      <c r="H73" s="95">
        <f>IF('Final Calculation Sheet'!$C$20="","",'Final Calculation Sheet'!$C$20)</f>
        <v/>
      </c>
      <c r="I73" s="95">
        <f>IF('Final Calculation Sheet'!$H$20="","",'Final Calculation Sheet'!$H$20)</f>
        <v/>
      </c>
      <c r="J73" s="95">
        <f>IF('Final Calculation Sheet'!$I$20="","",'Final Calculation Sheet'!$I$20)</f>
        <v/>
      </c>
      <c r="K73" s="95">
        <f>IF('Final Calculation Sheet'!$J$20="","",'Final Calculation Sheet'!$J$20)</f>
        <v/>
      </c>
      <c r="L73" s="95">
        <f>IF('Final Calculation Sheet'!$K$20="","",'Final Calculation Sheet'!$K$20)</f>
        <v/>
      </c>
      <c r="M73" s="95">
        <f>IF('Final Calculation Sheet'!$L$20="","",'Final Calculation Sheet'!$L$20)</f>
        <v/>
      </c>
      <c r="N73" s="95">
        <f>IF('Final Calculation Sheet'!$M$20="","",'Final Calculation Sheet'!$M$20)</f>
        <v/>
      </c>
      <c r="O73" s="96">
        <f>IF('Final Calculation Sheet'!$N$20="","",'Final Calculation Sheet'!$N$20)</f>
        <v/>
      </c>
      <c r="P73" s="95">
        <f>IF('Final Calculation Sheet'!$O$20="","",'Final Calculation Sheet'!$O$20)</f>
        <v/>
      </c>
      <c r="Q73" s="95">
        <f>IF('Final Calculation Sheet'!$P$20="","",'Final Calculation Sheet'!$P$20)</f>
        <v/>
      </c>
      <c r="R73" s="97">
        <f>IF('Final Calculation Sheet'!$Q$20="","",'Final Calculation Sheet'!$Q$20)</f>
        <v/>
      </c>
      <c r="S73" s="95">
        <f>IF('Final Calculation Sheet'!$R$20="","",'Final Calculation Sheet'!$R$20)</f>
        <v/>
      </c>
      <c r="T73" s="95">
        <f>IF('Final Calculation Sheet'!$S$20="","",'Final Calculation Sheet'!$S$20)</f>
        <v/>
      </c>
      <c r="U73" s="95">
        <f>IF('Final Calculation Sheet'!$T$20="","",'Final Calculation Sheet'!$T$20)</f>
        <v/>
      </c>
      <c r="V73" s="98">
        <f>IF('Final Calculation Sheet'!$U$20="","",'Final Calculation Sheet'!$U$20)</f>
        <v/>
      </c>
      <c r="W73" s="95">
        <f>IF('Final Calculation Sheet'!$V$20="","",'Final Calculation Sheet'!$V$20)</f>
        <v/>
      </c>
      <c r="X73" s="95">
        <f>IF('Final Calculation Sheet'!$W$20="","",'Final Calculation Sheet'!$W$20)</f>
        <v/>
      </c>
      <c r="Y73" s="95">
        <f>IF('Final Calculation Sheet'!$X$20="","",'Final Calculation Sheet'!$X$20)</f>
        <v/>
      </c>
      <c r="Z73" s="95">
        <f>IF('Final Calculation Sheet'!$Y$20="","",'Final Calculation Sheet'!$Y$20)</f>
        <v/>
      </c>
      <c r="AA73" s="95">
        <f>IF('Final Calculation Sheet'!$Z$20="","",'Final Calculation Sheet'!$Z$20)</f>
        <v/>
      </c>
      <c r="AB73" s="95">
        <f>IF('Final Calculation Sheet'!$AA$20="","",'Final Calculation Sheet'!$AA$20)</f>
        <v/>
      </c>
      <c r="AC73" s="95">
        <f>IF('Final Calculation Sheet'!$AB$20="","",'Final Calculation Sheet'!$AB$20)</f>
        <v/>
      </c>
      <c r="AD73" s="95">
        <f>IF('Final Calculation Sheet'!$AC$20="","",'Final Calculation Sheet'!$AC$20)</f>
        <v/>
      </c>
      <c r="AE73" s="95">
        <f>IF('Final Calculation Sheet'!$AD$20="","",'Final Calculation Sheet'!$AD$20)</f>
        <v/>
      </c>
      <c r="AF73" s="100">
        <f>IF('Final Calculation Sheet'!$AD$20="","",IF('Final Calculation Sheet'!$AD$20&lt;=5,"SETTLED","OUTSTANDING"))</f>
        <v/>
      </c>
      <c r="AG73" s="95">
        <f>IF('Final Calculation Sheet'!$AF$20="","",'Final Calculation Sheet'!$AF$20)</f>
        <v/>
      </c>
      <c r="AH73" s="99">
        <f>IF('Final Calculation Sheet'!$AG$20="","",'Final Calculation Sheet'!$AG$20)</f>
        <v/>
      </c>
      <c r="AI73" s="95">
        <f>IF('Final Calculation Sheet'!$AH$20="","",'Final Calculation Sheet'!$AH$20)</f>
        <v/>
      </c>
    </row>
    <row r="74" ht="15" customHeight="1" s="137">
      <c r="A74" s="81" t="inlineStr">
        <is>
          <t>∑</t>
        </is>
      </c>
      <c r="B74" s="83" t="n"/>
      <c r="C74" s="83">
        <f>ROWS($C$72:$C$73)&amp;" lot(s)"</f>
        <v/>
      </c>
      <c r="D74" s="83" t="inlineStr">
        <is>
          <t>SUBTOTAL — OMKAR STEELS</t>
        </is>
      </c>
      <c r="E74" s="83" t="inlineStr">
        <is>
          <t>–</t>
        </is>
      </c>
      <c r="F74" s="83">
        <f>SUM(F72:F73)</f>
        <v/>
      </c>
      <c r="G74" s="83" t="inlineStr">
        <is>
          <t>–</t>
        </is>
      </c>
      <c r="H74" s="84" t="inlineStr">
        <is>
          <t>–</t>
        </is>
      </c>
      <c r="I74" s="84">
        <f>SUM(I72:I73)</f>
        <v/>
      </c>
      <c r="J74" s="84">
        <f>SUM(J72:J73)</f>
        <v/>
      </c>
      <c r="K74" s="84">
        <f>SUM(K72:K73)</f>
        <v/>
      </c>
      <c r="L74" s="84">
        <f>SUM(L72:L73)</f>
        <v/>
      </c>
      <c r="M74" s="84">
        <f>SUM(M72:M73)</f>
        <v/>
      </c>
      <c r="N74" s="84">
        <f>SUM(N72:N73)</f>
        <v/>
      </c>
      <c r="O74" s="85">
        <f>SUM(O72:O73)</f>
        <v/>
      </c>
      <c r="P74" s="84">
        <f>SUM(P72:P73)</f>
        <v/>
      </c>
      <c r="Q74" s="84">
        <f>SUM(Q72:Q73)</f>
        <v/>
      </c>
      <c r="R74" s="86" t="inlineStr">
        <is>
          <t>–</t>
        </is>
      </c>
      <c r="S74" s="84">
        <f>SUM(S72:S73)</f>
        <v/>
      </c>
      <c r="T74" s="84">
        <f>SUM(T72:T73)</f>
        <v/>
      </c>
      <c r="U74" s="84">
        <f>SUM(U72:U73)</f>
        <v/>
      </c>
      <c r="V74" s="87">
        <f>SUM(V72:V73)</f>
        <v/>
      </c>
      <c r="W74" s="84" t="inlineStr">
        <is>
          <t>–</t>
        </is>
      </c>
      <c r="X74" s="84">
        <f>SUM(X72:X73)</f>
        <v/>
      </c>
      <c r="Y74" s="84">
        <f>SUM(Y72:Y73)</f>
        <v/>
      </c>
      <c r="Z74" s="84" t="inlineStr">
        <is>
          <t>–</t>
        </is>
      </c>
      <c r="AA74" s="84">
        <f>SUM(AA72:AA73)</f>
        <v/>
      </c>
      <c r="AB74" s="84">
        <f>SUM(AB72:AB73)</f>
        <v/>
      </c>
      <c r="AC74" s="84" t="inlineStr">
        <is>
          <t>–</t>
        </is>
      </c>
      <c r="AD74" s="84">
        <f>SUM(AD72:AD73)</f>
        <v/>
      </c>
      <c r="AE74" s="84">
        <f>SUM(AE72:AE73)</f>
        <v/>
      </c>
      <c r="AF74" s="89">
        <f>IF(AE74&lt;=5,"SETTLED","OUTSTANDING")</f>
        <v/>
      </c>
      <c r="AG74" s="84" t="inlineStr">
        <is>
          <t>–</t>
        </is>
      </c>
      <c r="AH74" s="88" t="inlineStr">
        <is>
          <t>–</t>
        </is>
      </c>
      <c r="AI74" s="84" t="inlineStr">
        <is>
          <t>–</t>
        </is>
      </c>
    </row>
    <row r="75" outlineLevel="1" ht="15" customHeight="1" s="137">
      <c r="A75" s="67" t="n">
        <v>1</v>
      </c>
      <c r="B75" s="76">
        <f>IF('Final Calculation Sheet'!$F$39="","",'Final Calculation Sheet'!$F$39)</f>
        <v/>
      </c>
      <c r="C75" s="76">
        <f>IF('Final Calculation Sheet'!$G$39="","",'Final Calculation Sheet'!$G$39)</f>
        <v/>
      </c>
      <c r="D75" s="80">
        <f>IF('Final Calculation Sheet'!$B$39="","",'Final Calculation Sheet'!$B$39)</f>
        <v/>
      </c>
      <c r="E75" s="80">
        <f>IF('Final Calculation Sheet'!$D$39="","",'Final Calculation Sheet'!$D$39)</f>
        <v/>
      </c>
      <c r="F75" s="80">
        <f>IF('Final Calculation Sheet'!$A$39="","",'Final Calculation Sheet'!$A$39)</f>
        <v/>
      </c>
      <c r="G75" s="80">
        <f>IF('Final Calculation Sheet'!$E$39="","",'Final Calculation Sheet'!$E$39)</f>
        <v/>
      </c>
      <c r="H75" s="70">
        <f>IF('Final Calculation Sheet'!$C$39="","",'Final Calculation Sheet'!$C$39)</f>
        <v/>
      </c>
      <c r="I75" s="70">
        <f>IF('Final Calculation Sheet'!$H$39="","",'Final Calculation Sheet'!$H$39)</f>
        <v/>
      </c>
      <c r="J75" s="70">
        <f>IF('Final Calculation Sheet'!$I$39="","",'Final Calculation Sheet'!$I$39)</f>
        <v/>
      </c>
      <c r="K75" s="70">
        <f>IF('Final Calculation Sheet'!$J$39="","",'Final Calculation Sheet'!$J$39)</f>
        <v/>
      </c>
      <c r="L75" s="70">
        <f>IF('Final Calculation Sheet'!$K$39="","",'Final Calculation Sheet'!$K$39)</f>
        <v/>
      </c>
      <c r="M75" s="70">
        <f>IF('Final Calculation Sheet'!$L$39="","",'Final Calculation Sheet'!$L$39)</f>
        <v/>
      </c>
      <c r="N75" s="70">
        <f>IF('Final Calculation Sheet'!$M$39="","",'Final Calculation Sheet'!$M$39)</f>
        <v/>
      </c>
      <c r="O75" s="71">
        <f>IF('Final Calculation Sheet'!$N$39="","",'Final Calculation Sheet'!$N$39)</f>
        <v/>
      </c>
      <c r="P75" s="70">
        <f>IF('Final Calculation Sheet'!$O$39="","",'Final Calculation Sheet'!$O$39)</f>
        <v/>
      </c>
      <c r="Q75" s="70">
        <f>IF('Final Calculation Sheet'!$P$39="","",'Final Calculation Sheet'!$P$39)</f>
        <v/>
      </c>
      <c r="R75" s="72">
        <f>IF('Final Calculation Sheet'!$Q$39="","",'Final Calculation Sheet'!$Q$39)</f>
        <v/>
      </c>
      <c r="S75" s="70">
        <f>IF('Final Calculation Sheet'!$R$39="","",'Final Calculation Sheet'!$R$39)</f>
        <v/>
      </c>
      <c r="T75" s="70">
        <f>IF('Final Calculation Sheet'!$S$39="","",'Final Calculation Sheet'!$S$39)</f>
        <v/>
      </c>
      <c r="U75" s="70">
        <f>IF('Final Calculation Sheet'!$T$39="","",'Final Calculation Sheet'!$T$39)</f>
        <v/>
      </c>
      <c r="V75" s="73">
        <f>IF('Final Calculation Sheet'!$U$39="","",'Final Calculation Sheet'!$U$39)</f>
        <v/>
      </c>
      <c r="W75" s="70">
        <f>IF('Final Calculation Sheet'!$V$39="","",'Final Calculation Sheet'!$V$39)</f>
        <v/>
      </c>
      <c r="X75" s="70">
        <f>IF('Final Calculation Sheet'!$W$39="","",'Final Calculation Sheet'!$W$39)</f>
        <v/>
      </c>
      <c r="Y75" s="70">
        <f>IF('Final Calculation Sheet'!$X$39="","",'Final Calculation Sheet'!$X$39)</f>
        <v/>
      </c>
      <c r="Z75" s="70">
        <f>IF('Final Calculation Sheet'!$Y$39="","",'Final Calculation Sheet'!$Y$39)</f>
        <v/>
      </c>
      <c r="AA75" s="70">
        <f>IF('Final Calculation Sheet'!$Z$39="","",'Final Calculation Sheet'!$Z$39)</f>
        <v/>
      </c>
      <c r="AB75" s="70">
        <f>IF('Final Calculation Sheet'!$AA$39="","",'Final Calculation Sheet'!$AA$39)</f>
        <v/>
      </c>
      <c r="AC75" s="70">
        <f>IF('Final Calculation Sheet'!$AB$39="","",'Final Calculation Sheet'!$AB$39)</f>
        <v/>
      </c>
      <c r="AD75" s="70">
        <f>IF('Final Calculation Sheet'!$AC$39="","",'Final Calculation Sheet'!$AC$39)</f>
        <v/>
      </c>
      <c r="AE75" s="70">
        <f>IF('Final Calculation Sheet'!$AD$39="","",'Final Calculation Sheet'!$AD$39)</f>
        <v/>
      </c>
      <c r="AF75" s="75">
        <f>IF('Final Calculation Sheet'!$AD$39="","",IF('Final Calculation Sheet'!$AD$39&lt;=5,"SETTLED","OUTSTANDING"))</f>
        <v/>
      </c>
      <c r="AG75" s="70">
        <f>IF('Final Calculation Sheet'!$AF$39="","",'Final Calculation Sheet'!$AF$39)</f>
        <v/>
      </c>
      <c r="AH75" s="74">
        <f>IF('Final Calculation Sheet'!$AG$39="","",'Final Calculation Sheet'!$AG$39)</f>
        <v/>
      </c>
      <c r="AI75" s="70">
        <f>IF('Final Calculation Sheet'!$AH$39="","",'Final Calculation Sheet'!$AH$39)</f>
        <v/>
      </c>
    </row>
    <row r="76" outlineLevel="1" ht="15" customHeight="1" s="137">
      <c r="A76" s="90" t="n">
        <v>2</v>
      </c>
      <c r="B76" s="92">
        <f>IF('Final Calculation Sheet'!$F$40="","",'Final Calculation Sheet'!$F$40)</f>
        <v/>
      </c>
      <c r="C76" s="92">
        <f>IF('Final Calculation Sheet'!$G$40="","",'Final Calculation Sheet'!$G$40)</f>
        <v/>
      </c>
      <c r="D76" s="94">
        <f>IF('Final Calculation Sheet'!$B$40="","",'Final Calculation Sheet'!$B$40)</f>
        <v/>
      </c>
      <c r="E76" s="94">
        <f>IF('Final Calculation Sheet'!$D$40="","",'Final Calculation Sheet'!$D$40)</f>
        <v/>
      </c>
      <c r="F76" s="94">
        <f>IF('Final Calculation Sheet'!$A$40="","",'Final Calculation Sheet'!$A$40)</f>
        <v/>
      </c>
      <c r="G76" s="94">
        <f>IF('Final Calculation Sheet'!$E$40="","",'Final Calculation Sheet'!$E$40)</f>
        <v/>
      </c>
      <c r="H76" s="95">
        <f>IF('Final Calculation Sheet'!$C$40="","",'Final Calculation Sheet'!$C$40)</f>
        <v/>
      </c>
      <c r="I76" s="95">
        <f>IF('Final Calculation Sheet'!$H$40="","",'Final Calculation Sheet'!$H$40)</f>
        <v/>
      </c>
      <c r="J76" s="95">
        <f>IF('Final Calculation Sheet'!$I$40="","",'Final Calculation Sheet'!$I$40)</f>
        <v/>
      </c>
      <c r="K76" s="95">
        <f>IF('Final Calculation Sheet'!$J$40="","",'Final Calculation Sheet'!$J$40)</f>
        <v/>
      </c>
      <c r="L76" s="95">
        <f>IF('Final Calculation Sheet'!$K$40="","",'Final Calculation Sheet'!$K$40)</f>
        <v/>
      </c>
      <c r="M76" s="95">
        <f>IF('Final Calculation Sheet'!$L$40="","",'Final Calculation Sheet'!$L$40)</f>
        <v/>
      </c>
      <c r="N76" s="95">
        <f>IF('Final Calculation Sheet'!$M$40="","",'Final Calculation Sheet'!$M$40)</f>
        <v/>
      </c>
      <c r="O76" s="96">
        <f>IF('Final Calculation Sheet'!$N$40="","",'Final Calculation Sheet'!$N$40)</f>
        <v/>
      </c>
      <c r="P76" s="95">
        <f>IF('Final Calculation Sheet'!$O$40="","",'Final Calculation Sheet'!$O$40)</f>
        <v/>
      </c>
      <c r="Q76" s="95">
        <f>IF('Final Calculation Sheet'!$P$40="","",'Final Calculation Sheet'!$P$40)</f>
        <v/>
      </c>
      <c r="R76" s="97">
        <f>IF('Final Calculation Sheet'!$Q$40="","",'Final Calculation Sheet'!$Q$40)</f>
        <v/>
      </c>
      <c r="S76" s="95">
        <f>IF('Final Calculation Sheet'!$R$40="","",'Final Calculation Sheet'!$R$40)</f>
        <v/>
      </c>
      <c r="T76" s="95">
        <f>IF('Final Calculation Sheet'!$S$40="","",'Final Calculation Sheet'!$S$40)</f>
        <v/>
      </c>
      <c r="U76" s="95">
        <f>IF('Final Calculation Sheet'!$T$40="","",'Final Calculation Sheet'!$T$40)</f>
        <v/>
      </c>
      <c r="V76" s="98">
        <f>IF('Final Calculation Sheet'!$U$40="","",'Final Calculation Sheet'!$U$40)</f>
        <v/>
      </c>
      <c r="W76" s="95">
        <f>IF('Final Calculation Sheet'!$V$40="","",'Final Calculation Sheet'!$V$40)</f>
        <v/>
      </c>
      <c r="X76" s="95">
        <f>IF('Final Calculation Sheet'!$W$40="","",'Final Calculation Sheet'!$W$40)</f>
        <v/>
      </c>
      <c r="Y76" s="95">
        <f>IF('Final Calculation Sheet'!$X$40="","",'Final Calculation Sheet'!$X$40)</f>
        <v/>
      </c>
      <c r="Z76" s="95">
        <f>IF('Final Calculation Sheet'!$Y$40="","",'Final Calculation Sheet'!$Y$40)</f>
        <v/>
      </c>
      <c r="AA76" s="95">
        <f>IF('Final Calculation Sheet'!$Z$40="","",'Final Calculation Sheet'!$Z$40)</f>
        <v/>
      </c>
      <c r="AB76" s="95">
        <f>IF('Final Calculation Sheet'!$AA$40="","",'Final Calculation Sheet'!$AA$40)</f>
        <v/>
      </c>
      <c r="AC76" s="95">
        <f>IF('Final Calculation Sheet'!$AB$40="","",'Final Calculation Sheet'!$AB$40)</f>
        <v/>
      </c>
      <c r="AD76" s="95">
        <f>IF('Final Calculation Sheet'!$AC$40="","",'Final Calculation Sheet'!$AC$40)</f>
        <v/>
      </c>
      <c r="AE76" s="95">
        <f>IF('Final Calculation Sheet'!$AD$40="","",'Final Calculation Sheet'!$AD$40)</f>
        <v/>
      </c>
      <c r="AF76" s="100">
        <f>IF('Final Calculation Sheet'!$AD$40="","",IF('Final Calculation Sheet'!$AD$40&lt;=5,"SETTLED","OUTSTANDING"))</f>
        <v/>
      </c>
      <c r="AG76" s="95">
        <f>IF('Final Calculation Sheet'!$AF$40="","",'Final Calculation Sheet'!$AF$40)</f>
        <v/>
      </c>
      <c r="AH76" s="99">
        <f>IF('Final Calculation Sheet'!$AG$40="","",'Final Calculation Sheet'!$AG$40)</f>
        <v/>
      </c>
      <c r="AI76" s="95">
        <f>IF('Final Calculation Sheet'!$AH$40="","",'Final Calculation Sheet'!$AH$40)</f>
        <v/>
      </c>
    </row>
    <row r="77" ht="15" customHeight="1" s="137">
      <c r="A77" s="81" t="inlineStr">
        <is>
          <t>∑</t>
        </is>
      </c>
      <c r="B77" s="83" t="n"/>
      <c r="C77" s="83">
        <f>ROWS($C$75:$C$76)&amp;" lot(s)"</f>
        <v/>
      </c>
      <c r="D77" s="83" t="inlineStr">
        <is>
          <t>SUBTOTAL — S M ENTERPRISES</t>
        </is>
      </c>
      <c r="E77" s="83" t="inlineStr">
        <is>
          <t>–</t>
        </is>
      </c>
      <c r="F77" s="83">
        <f>SUM(F75:F76)</f>
        <v/>
      </c>
      <c r="G77" s="83" t="inlineStr">
        <is>
          <t>–</t>
        </is>
      </c>
      <c r="H77" s="84" t="inlineStr">
        <is>
          <t>–</t>
        </is>
      </c>
      <c r="I77" s="84">
        <f>SUM(I75:I76)</f>
        <v/>
      </c>
      <c r="J77" s="84">
        <f>SUM(J75:J76)</f>
        <v/>
      </c>
      <c r="K77" s="84">
        <f>SUM(K75:K76)</f>
        <v/>
      </c>
      <c r="L77" s="84">
        <f>SUM(L75:L76)</f>
        <v/>
      </c>
      <c r="M77" s="84">
        <f>SUM(M75:M76)</f>
        <v/>
      </c>
      <c r="N77" s="84">
        <f>SUM(N75:N76)</f>
        <v/>
      </c>
      <c r="O77" s="85">
        <f>SUM(O75:O76)</f>
        <v/>
      </c>
      <c r="P77" s="84">
        <f>SUM(P75:P76)</f>
        <v/>
      </c>
      <c r="Q77" s="84">
        <f>SUM(Q75:Q76)</f>
        <v/>
      </c>
      <c r="R77" s="86" t="inlineStr">
        <is>
          <t>–</t>
        </is>
      </c>
      <c r="S77" s="84">
        <f>SUM(S75:S76)</f>
        <v/>
      </c>
      <c r="T77" s="84">
        <f>SUM(T75:T76)</f>
        <v/>
      </c>
      <c r="U77" s="84">
        <f>SUM(U75:U76)</f>
        <v/>
      </c>
      <c r="V77" s="87">
        <f>SUM(V75:V76)</f>
        <v/>
      </c>
      <c r="W77" s="84" t="inlineStr">
        <is>
          <t>–</t>
        </is>
      </c>
      <c r="X77" s="84">
        <f>SUM(X75:X76)</f>
        <v/>
      </c>
      <c r="Y77" s="84">
        <f>SUM(Y75:Y76)</f>
        <v/>
      </c>
      <c r="Z77" s="84" t="inlineStr">
        <is>
          <t>–</t>
        </is>
      </c>
      <c r="AA77" s="84">
        <f>SUM(AA75:AA76)</f>
        <v/>
      </c>
      <c r="AB77" s="84">
        <f>SUM(AB75:AB76)</f>
        <v/>
      </c>
      <c r="AC77" s="84" t="inlineStr">
        <is>
          <t>–</t>
        </is>
      </c>
      <c r="AD77" s="84">
        <f>SUM(AD75:AD76)</f>
        <v/>
      </c>
      <c r="AE77" s="84">
        <f>SUM(AE75:AE76)</f>
        <v/>
      </c>
      <c r="AF77" s="89">
        <f>IF(AE77&lt;=5,"SETTLED","OUTSTANDING")</f>
        <v/>
      </c>
      <c r="AG77" s="84" t="inlineStr">
        <is>
          <t>–</t>
        </is>
      </c>
      <c r="AH77" s="88" t="inlineStr">
        <is>
          <t>–</t>
        </is>
      </c>
      <c r="AI77" s="84" t="inlineStr">
        <is>
          <t>–</t>
        </is>
      </c>
    </row>
    <row r="78" outlineLevel="1" ht="15" customHeight="1" s="137">
      <c r="A78" s="67" t="n">
        <v>1</v>
      </c>
      <c r="B78" s="76">
        <f>IF('Final Calculation Sheet'!$F$31="","",'Final Calculation Sheet'!$F$31)</f>
        <v/>
      </c>
      <c r="C78" s="76">
        <f>IF('Final Calculation Sheet'!$G$31="","",'Final Calculation Sheet'!$G$31)</f>
        <v/>
      </c>
      <c r="D78" s="80">
        <f>IF('Final Calculation Sheet'!$B$31="","",'Final Calculation Sheet'!$B$31)</f>
        <v/>
      </c>
      <c r="E78" s="80">
        <f>IF('Final Calculation Sheet'!$D$31="","",'Final Calculation Sheet'!$D$31)</f>
        <v/>
      </c>
      <c r="F78" s="80">
        <f>IF('Final Calculation Sheet'!$A$31="","",'Final Calculation Sheet'!$A$31)</f>
        <v/>
      </c>
      <c r="G78" s="80">
        <f>IF('Final Calculation Sheet'!$E$31="","",'Final Calculation Sheet'!$E$31)</f>
        <v/>
      </c>
      <c r="H78" s="70">
        <f>IF('Final Calculation Sheet'!$C$31="","",'Final Calculation Sheet'!$C$31)</f>
        <v/>
      </c>
      <c r="I78" s="70">
        <f>IF('Final Calculation Sheet'!$H$31="","",'Final Calculation Sheet'!$H$31)</f>
        <v/>
      </c>
      <c r="J78" s="70">
        <f>IF('Final Calculation Sheet'!$I$31="","",'Final Calculation Sheet'!$I$31)</f>
        <v/>
      </c>
      <c r="K78" s="70">
        <f>IF('Final Calculation Sheet'!$J$31="","",'Final Calculation Sheet'!$J$31)</f>
        <v/>
      </c>
      <c r="L78" s="70">
        <f>IF('Final Calculation Sheet'!$K$31="","",'Final Calculation Sheet'!$K$31)</f>
        <v/>
      </c>
      <c r="M78" s="70">
        <f>IF('Final Calculation Sheet'!$L$31="","",'Final Calculation Sheet'!$L$31)</f>
        <v/>
      </c>
      <c r="N78" s="70">
        <f>IF('Final Calculation Sheet'!$M$31="","",'Final Calculation Sheet'!$M$31)</f>
        <v/>
      </c>
      <c r="O78" s="71">
        <f>IF('Final Calculation Sheet'!$N$31="","",'Final Calculation Sheet'!$N$31)</f>
        <v/>
      </c>
      <c r="P78" s="70">
        <f>IF('Final Calculation Sheet'!$O$31="","",'Final Calculation Sheet'!$O$31)</f>
        <v/>
      </c>
      <c r="Q78" s="70">
        <f>IF('Final Calculation Sheet'!$P$31="","",'Final Calculation Sheet'!$P$31)</f>
        <v/>
      </c>
      <c r="R78" s="72">
        <f>IF('Final Calculation Sheet'!$Q$31="","",'Final Calculation Sheet'!$Q$31)</f>
        <v/>
      </c>
      <c r="S78" s="70">
        <f>IF('Final Calculation Sheet'!$R$31="","",'Final Calculation Sheet'!$R$31)</f>
        <v/>
      </c>
      <c r="T78" s="70">
        <f>IF('Final Calculation Sheet'!$S$31="","",'Final Calculation Sheet'!$S$31)</f>
        <v/>
      </c>
      <c r="U78" s="70">
        <f>IF('Final Calculation Sheet'!$T$31="","",'Final Calculation Sheet'!$T$31)</f>
        <v/>
      </c>
      <c r="V78" s="73">
        <f>IF('Final Calculation Sheet'!$U$31="","",'Final Calculation Sheet'!$U$31)</f>
        <v/>
      </c>
      <c r="W78" s="70">
        <f>IF('Final Calculation Sheet'!$V$31="","",'Final Calculation Sheet'!$V$31)</f>
        <v/>
      </c>
      <c r="X78" s="70">
        <f>IF('Final Calculation Sheet'!$W$31="","",'Final Calculation Sheet'!$W$31)</f>
        <v/>
      </c>
      <c r="Y78" s="70">
        <f>IF('Final Calculation Sheet'!$X$31="","",'Final Calculation Sheet'!$X$31)</f>
        <v/>
      </c>
      <c r="Z78" s="70">
        <f>IF('Final Calculation Sheet'!$Y$31="","",'Final Calculation Sheet'!$Y$31)</f>
        <v/>
      </c>
      <c r="AA78" s="70">
        <f>IF('Final Calculation Sheet'!$Z$31="","",'Final Calculation Sheet'!$Z$31)</f>
        <v/>
      </c>
      <c r="AB78" s="70">
        <f>IF('Final Calculation Sheet'!$AA$31="","",'Final Calculation Sheet'!$AA$31)</f>
        <v/>
      </c>
      <c r="AC78" s="70">
        <f>IF('Final Calculation Sheet'!$AB$31="","",'Final Calculation Sheet'!$AB$31)</f>
        <v/>
      </c>
      <c r="AD78" s="70">
        <f>IF('Final Calculation Sheet'!$AC$31="","",'Final Calculation Sheet'!$AC$31)</f>
        <v/>
      </c>
      <c r="AE78" s="70">
        <f>IF('Final Calculation Sheet'!$AD$31="","",'Final Calculation Sheet'!$AD$31)</f>
        <v/>
      </c>
      <c r="AF78" s="75">
        <f>IF('Final Calculation Sheet'!$AD$31="","",IF('Final Calculation Sheet'!$AD$31&lt;=5,"SETTLED","OUTSTANDING"))</f>
        <v/>
      </c>
      <c r="AG78" s="70">
        <f>IF('Final Calculation Sheet'!$AF$31="","",'Final Calculation Sheet'!$AF$31)</f>
        <v/>
      </c>
      <c r="AH78" s="74">
        <f>IF('Final Calculation Sheet'!$AG$31="","",'Final Calculation Sheet'!$AG$31)</f>
        <v/>
      </c>
      <c r="AI78" s="70">
        <f>IF('Final Calculation Sheet'!$AH$31="","",'Final Calculation Sheet'!$AH$31)</f>
        <v/>
      </c>
    </row>
    <row r="79" ht="15" customHeight="1" s="137">
      <c r="A79" s="81" t="inlineStr">
        <is>
          <t>∑</t>
        </is>
      </c>
      <c r="B79" s="83" t="n"/>
      <c r="C79" s="83">
        <f>ROWS($C$78:$C$78)&amp;" lot(s)"</f>
        <v/>
      </c>
      <c r="D79" s="83" t="inlineStr">
        <is>
          <t>SUBTOTAL — SAHARA ENTERPRISES</t>
        </is>
      </c>
      <c r="E79" s="83" t="inlineStr">
        <is>
          <t>–</t>
        </is>
      </c>
      <c r="F79" s="83">
        <f>SUM(F78:F78)</f>
        <v/>
      </c>
      <c r="G79" s="83" t="inlineStr">
        <is>
          <t>–</t>
        </is>
      </c>
      <c r="H79" s="84" t="inlineStr">
        <is>
          <t>–</t>
        </is>
      </c>
      <c r="I79" s="84">
        <f>SUM(I78:I78)</f>
        <v/>
      </c>
      <c r="J79" s="84">
        <f>SUM(J78:J78)</f>
        <v/>
      </c>
      <c r="K79" s="84">
        <f>SUM(K78:K78)</f>
        <v/>
      </c>
      <c r="L79" s="84">
        <f>SUM(L78:L78)</f>
        <v/>
      </c>
      <c r="M79" s="84">
        <f>SUM(M78:M78)</f>
        <v/>
      </c>
      <c r="N79" s="84">
        <f>SUM(N78:N78)</f>
        <v/>
      </c>
      <c r="O79" s="85">
        <f>SUM(O78:O78)</f>
        <v/>
      </c>
      <c r="P79" s="84">
        <f>SUM(P78:P78)</f>
        <v/>
      </c>
      <c r="Q79" s="84">
        <f>SUM(Q78:Q78)</f>
        <v/>
      </c>
      <c r="R79" s="86" t="inlineStr">
        <is>
          <t>–</t>
        </is>
      </c>
      <c r="S79" s="84">
        <f>SUM(S78:S78)</f>
        <v/>
      </c>
      <c r="T79" s="84">
        <f>SUM(T78:T78)</f>
        <v/>
      </c>
      <c r="U79" s="84">
        <f>SUM(U78:U78)</f>
        <v/>
      </c>
      <c r="V79" s="87">
        <f>SUM(V78:V78)</f>
        <v/>
      </c>
      <c r="W79" s="84" t="inlineStr">
        <is>
          <t>–</t>
        </is>
      </c>
      <c r="X79" s="84">
        <f>SUM(X78:X78)</f>
        <v/>
      </c>
      <c r="Y79" s="84">
        <f>SUM(Y78:Y78)</f>
        <v/>
      </c>
      <c r="Z79" s="84" t="inlineStr">
        <is>
          <t>–</t>
        </is>
      </c>
      <c r="AA79" s="84">
        <f>SUM(AA78:AA78)</f>
        <v/>
      </c>
      <c r="AB79" s="84">
        <f>SUM(AB78:AB78)</f>
        <v/>
      </c>
      <c r="AC79" s="84" t="inlineStr">
        <is>
          <t>–</t>
        </is>
      </c>
      <c r="AD79" s="84">
        <f>SUM(AD78:AD78)</f>
        <v/>
      </c>
      <c r="AE79" s="84">
        <f>SUM(AE78:AE78)</f>
        <v/>
      </c>
      <c r="AF79" s="89">
        <f>IF(AE79&lt;=5,"SETTLED","OUTSTANDING")</f>
        <v/>
      </c>
      <c r="AG79" s="84" t="inlineStr">
        <is>
          <t>–</t>
        </is>
      </c>
      <c r="AH79" s="88" t="inlineStr">
        <is>
          <t>–</t>
        </is>
      </c>
      <c r="AI79" s="84" t="inlineStr">
        <is>
          <t>–</t>
        </is>
      </c>
    </row>
    <row r="80" outlineLevel="1" ht="15" customHeight="1" s="137">
      <c r="A80" s="67" t="n">
        <v>1</v>
      </c>
      <c r="B80" s="76">
        <f>IF('Final Calculation Sheet'!$F$9="","",'Final Calculation Sheet'!$F$9)</f>
        <v/>
      </c>
      <c r="C80" s="76">
        <f>IF('Final Calculation Sheet'!$G$9="","",'Final Calculation Sheet'!$G$9)</f>
        <v/>
      </c>
      <c r="D80" s="80">
        <f>IF('Final Calculation Sheet'!$B$9="","",'Final Calculation Sheet'!$B$9)</f>
        <v/>
      </c>
      <c r="E80" s="80">
        <f>IF('Final Calculation Sheet'!$D$9="","",'Final Calculation Sheet'!$D$9)</f>
        <v/>
      </c>
      <c r="F80" s="80">
        <f>IF('Final Calculation Sheet'!$A$9="","",'Final Calculation Sheet'!$A$9)</f>
        <v/>
      </c>
      <c r="G80" s="80">
        <f>IF('Final Calculation Sheet'!$E$9="","",'Final Calculation Sheet'!$E$9)</f>
        <v/>
      </c>
      <c r="H80" s="70">
        <f>IF('Final Calculation Sheet'!$C$9="","",'Final Calculation Sheet'!$C$9)</f>
        <v/>
      </c>
      <c r="I80" s="70">
        <f>IF('Final Calculation Sheet'!$H$9="","",'Final Calculation Sheet'!$H$9)</f>
        <v/>
      </c>
      <c r="J80" s="70">
        <f>IF('Final Calculation Sheet'!$I$9="","",'Final Calculation Sheet'!$I$9)</f>
        <v/>
      </c>
      <c r="K80" s="70">
        <f>IF('Final Calculation Sheet'!$J$9="","",'Final Calculation Sheet'!$J$9)</f>
        <v/>
      </c>
      <c r="L80" s="70">
        <f>IF('Final Calculation Sheet'!$K$9="","",'Final Calculation Sheet'!$K$9)</f>
        <v/>
      </c>
      <c r="M80" s="70">
        <f>IF('Final Calculation Sheet'!$L$9="","",'Final Calculation Sheet'!$L$9)</f>
        <v/>
      </c>
      <c r="N80" s="70">
        <f>IF('Final Calculation Sheet'!$M$9="","",'Final Calculation Sheet'!$M$9)</f>
        <v/>
      </c>
      <c r="O80" s="71">
        <f>IF('Final Calculation Sheet'!$N$9="","",'Final Calculation Sheet'!$N$9)</f>
        <v/>
      </c>
      <c r="P80" s="70">
        <f>IF('Final Calculation Sheet'!$O$9="","",'Final Calculation Sheet'!$O$9)</f>
        <v/>
      </c>
      <c r="Q80" s="70">
        <f>IF('Final Calculation Sheet'!$P$9="","",'Final Calculation Sheet'!$P$9)</f>
        <v/>
      </c>
      <c r="R80" s="72">
        <f>IF('Final Calculation Sheet'!$Q$9="","",'Final Calculation Sheet'!$Q$9)</f>
        <v/>
      </c>
      <c r="S80" s="70">
        <f>IF('Final Calculation Sheet'!$R$9="","",'Final Calculation Sheet'!$R$9)</f>
        <v/>
      </c>
      <c r="T80" s="70">
        <f>IF('Final Calculation Sheet'!$S$9="","",'Final Calculation Sheet'!$S$9)</f>
        <v/>
      </c>
      <c r="U80" s="70">
        <f>IF('Final Calculation Sheet'!$T$9="","",'Final Calculation Sheet'!$T$9)</f>
        <v/>
      </c>
      <c r="V80" s="73">
        <f>IF('Final Calculation Sheet'!$U$9="","",'Final Calculation Sheet'!$U$9)</f>
        <v/>
      </c>
      <c r="W80" s="70">
        <f>IF('Final Calculation Sheet'!$V$9="","",'Final Calculation Sheet'!$V$9)</f>
        <v/>
      </c>
      <c r="X80" s="70">
        <f>IF('Final Calculation Sheet'!$W$9="","",'Final Calculation Sheet'!$W$9)</f>
        <v/>
      </c>
      <c r="Y80" s="70">
        <f>IF('Final Calculation Sheet'!$X$9="","",'Final Calculation Sheet'!$X$9)</f>
        <v/>
      </c>
      <c r="Z80" s="70">
        <f>IF('Final Calculation Sheet'!$Y$9="","",'Final Calculation Sheet'!$Y$9)</f>
        <v/>
      </c>
      <c r="AA80" s="70">
        <f>IF('Final Calculation Sheet'!$Z$9="","",'Final Calculation Sheet'!$Z$9)</f>
        <v/>
      </c>
      <c r="AB80" s="70">
        <f>IF('Final Calculation Sheet'!$AA$9="","",'Final Calculation Sheet'!$AA$9)</f>
        <v/>
      </c>
      <c r="AC80" s="70">
        <f>IF('Final Calculation Sheet'!$AB$9="","",'Final Calculation Sheet'!$AB$9)</f>
        <v/>
      </c>
      <c r="AD80" s="70">
        <f>IF('Final Calculation Sheet'!$AC$9="","",'Final Calculation Sheet'!$AC$9)</f>
        <v/>
      </c>
      <c r="AE80" s="70">
        <f>IF('Final Calculation Sheet'!$AD$9="","",'Final Calculation Sheet'!$AD$9)</f>
        <v/>
      </c>
      <c r="AF80" s="75">
        <f>IF('Final Calculation Sheet'!$AD$9="","",IF('Final Calculation Sheet'!$AD$9&lt;=5,"SETTLED","OUTSTANDING"))</f>
        <v/>
      </c>
      <c r="AG80" s="70">
        <f>IF('Final Calculation Sheet'!$AF$9="","",'Final Calculation Sheet'!$AF$9)</f>
        <v/>
      </c>
      <c r="AH80" s="74">
        <f>IF('Final Calculation Sheet'!$AG$9="","",'Final Calculation Sheet'!$AG$9)</f>
        <v/>
      </c>
      <c r="AI80" s="70">
        <f>IF('Final Calculation Sheet'!$AH$9="","",'Final Calculation Sheet'!$AH$9)</f>
        <v/>
      </c>
    </row>
    <row r="81" outlineLevel="1" ht="15" customHeight="1" s="137">
      <c r="A81" s="90" t="n">
        <v>2</v>
      </c>
      <c r="B81" s="92">
        <f>IF('Final Calculation Sheet'!$F$14="","",'Final Calculation Sheet'!$F$14)</f>
        <v/>
      </c>
      <c r="C81" s="92">
        <f>IF('Final Calculation Sheet'!$G$14="","",'Final Calculation Sheet'!$G$14)</f>
        <v/>
      </c>
      <c r="D81" s="94">
        <f>IF('Final Calculation Sheet'!$B$14="","",'Final Calculation Sheet'!$B$14)</f>
        <v/>
      </c>
      <c r="E81" s="94">
        <f>IF('Final Calculation Sheet'!$D$14="","",'Final Calculation Sheet'!$D$14)</f>
        <v/>
      </c>
      <c r="F81" s="94">
        <f>IF('Final Calculation Sheet'!$A$14="","",'Final Calculation Sheet'!$A$14)</f>
        <v/>
      </c>
      <c r="G81" s="94">
        <f>IF('Final Calculation Sheet'!$E$14="","",'Final Calculation Sheet'!$E$14)</f>
        <v/>
      </c>
      <c r="H81" s="95">
        <f>IF('Final Calculation Sheet'!$C$14="","",'Final Calculation Sheet'!$C$14)</f>
        <v/>
      </c>
      <c r="I81" s="95">
        <f>IF('Final Calculation Sheet'!$H$14="","",'Final Calculation Sheet'!$H$14)</f>
        <v/>
      </c>
      <c r="J81" s="95">
        <f>IF('Final Calculation Sheet'!$I$14="","",'Final Calculation Sheet'!$I$14)</f>
        <v/>
      </c>
      <c r="K81" s="95">
        <f>IF('Final Calculation Sheet'!$J$14="","",'Final Calculation Sheet'!$J$14)</f>
        <v/>
      </c>
      <c r="L81" s="95">
        <f>IF('Final Calculation Sheet'!$K$14="","",'Final Calculation Sheet'!$K$14)</f>
        <v/>
      </c>
      <c r="M81" s="95">
        <f>IF('Final Calculation Sheet'!$L$14="","",'Final Calculation Sheet'!$L$14)</f>
        <v/>
      </c>
      <c r="N81" s="95">
        <f>IF('Final Calculation Sheet'!$M$14="","",'Final Calculation Sheet'!$M$14)</f>
        <v/>
      </c>
      <c r="O81" s="96">
        <f>IF('Final Calculation Sheet'!$N$14="","",'Final Calculation Sheet'!$N$14)</f>
        <v/>
      </c>
      <c r="P81" s="95">
        <f>IF('Final Calculation Sheet'!$O$14="","",'Final Calculation Sheet'!$O$14)</f>
        <v/>
      </c>
      <c r="Q81" s="95">
        <f>IF('Final Calculation Sheet'!$P$14="","",'Final Calculation Sheet'!$P$14)</f>
        <v/>
      </c>
      <c r="R81" s="97">
        <f>IF('Final Calculation Sheet'!$Q$14="","",'Final Calculation Sheet'!$Q$14)</f>
        <v/>
      </c>
      <c r="S81" s="95">
        <f>IF('Final Calculation Sheet'!$R$14="","",'Final Calculation Sheet'!$R$14)</f>
        <v/>
      </c>
      <c r="T81" s="95">
        <f>IF('Final Calculation Sheet'!$S$14="","",'Final Calculation Sheet'!$S$14)</f>
        <v/>
      </c>
      <c r="U81" s="95">
        <f>IF('Final Calculation Sheet'!$T$14="","",'Final Calculation Sheet'!$T$14)</f>
        <v/>
      </c>
      <c r="V81" s="98">
        <f>IF('Final Calculation Sheet'!$U$14="","",'Final Calculation Sheet'!$U$14)</f>
        <v/>
      </c>
      <c r="W81" s="95">
        <f>IF('Final Calculation Sheet'!$V$14="","",'Final Calculation Sheet'!$V$14)</f>
        <v/>
      </c>
      <c r="X81" s="95">
        <f>IF('Final Calculation Sheet'!$W$14="","",'Final Calculation Sheet'!$W$14)</f>
        <v/>
      </c>
      <c r="Y81" s="95">
        <f>IF('Final Calculation Sheet'!$X$14="","",'Final Calculation Sheet'!$X$14)</f>
        <v/>
      </c>
      <c r="Z81" s="95">
        <f>IF('Final Calculation Sheet'!$Y$14="","",'Final Calculation Sheet'!$Y$14)</f>
        <v/>
      </c>
      <c r="AA81" s="95">
        <f>IF('Final Calculation Sheet'!$Z$14="","",'Final Calculation Sheet'!$Z$14)</f>
        <v/>
      </c>
      <c r="AB81" s="95">
        <f>IF('Final Calculation Sheet'!$AA$14="","",'Final Calculation Sheet'!$AA$14)</f>
        <v/>
      </c>
      <c r="AC81" s="95">
        <f>IF('Final Calculation Sheet'!$AB$14="","",'Final Calculation Sheet'!$AB$14)</f>
        <v/>
      </c>
      <c r="AD81" s="95">
        <f>IF('Final Calculation Sheet'!$AC$14="","",'Final Calculation Sheet'!$AC$14)</f>
        <v/>
      </c>
      <c r="AE81" s="95">
        <f>IF('Final Calculation Sheet'!$AD$14="","",'Final Calculation Sheet'!$AD$14)</f>
        <v/>
      </c>
      <c r="AF81" s="100">
        <f>IF('Final Calculation Sheet'!$AD$14="","",IF('Final Calculation Sheet'!$AD$14&lt;=5,"SETTLED","OUTSTANDING"))</f>
        <v/>
      </c>
      <c r="AG81" s="95">
        <f>IF('Final Calculation Sheet'!$AF$14="","",'Final Calculation Sheet'!$AF$14)</f>
        <v/>
      </c>
      <c r="AH81" s="99">
        <f>IF('Final Calculation Sheet'!$AG$14="","",'Final Calculation Sheet'!$AG$14)</f>
        <v/>
      </c>
      <c r="AI81" s="95">
        <f>IF('Final Calculation Sheet'!$AH$14="","",'Final Calculation Sheet'!$AH$14)</f>
        <v/>
      </c>
    </row>
    <row r="82" ht="15" customHeight="1" s="137">
      <c r="A82" s="81" t="inlineStr">
        <is>
          <t>∑</t>
        </is>
      </c>
      <c r="B82" s="83" t="n"/>
      <c r="C82" s="83">
        <f>ROWS($C$80:$C$81)&amp;" lot(s)"</f>
        <v/>
      </c>
      <c r="D82" s="83" t="inlineStr">
        <is>
          <t>SUBTOTAL — SHAR JAHAN TRADERS</t>
        </is>
      </c>
      <c r="E82" s="83" t="inlineStr">
        <is>
          <t>–</t>
        </is>
      </c>
      <c r="F82" s="83">
        <f>SUM(F80:F81)</f>
        <v/>
      </c>
      <c r="G82" s="83" t="inlineStr">
        <is>
          <t>–</t>
        </is>
      </c>
      <c r="H82" s="84" t="inlineStr">
        <is>
          <t>–</t>
        </is>
      </c>
      <c r="I82" s="84">
        <f>SUM(I80:I81)</f>
        <v/>
      </c>
      <c r="J82" s="84">
        <f>SUM(J80:J81)</f>
        <v/>
      </c>
      <c r="K82" s="84">
        <f>SUM(K80:K81)</f>
        <v/>
      </c>
      <c r="L82" s="84">
        <f>SUM(L80:L81)</f>
        <v/>
      </c>
      <c r="M82" s="84">
        <f>SUM(M80:M81)</f>
        <v/>
      </c>
      <c r="N82" s="84">
        <f>SUM(N80:N81)</f>
        <v/>
      </c>
      <c r="O82" s="85">
        <f>SUM(O80:O81)</f>
        <v/>
      </c>
      <c r="P82" s="84">
        <f>SUM(P80:P81)</f>
        <v/>
      </c>
      <c r="Q82" s="84">
        <f>SUM(Q80:Q81)</f>
        <v/>
      </c>
      <c r="R82" s="86" t="inlineStr">
        <is>
          <t>–</t>
        </is>
      </c>
      <c r="S82" s="84">
        <f>SUM(S80:S81)</f>
        <v/>
      </c>
      <c r="T82" s="84">
        <f>SUM(T80:T81)</f>
        <v/>
      </c>
      <c r="U82" s="84">
        <f>SUM(U80:U81)</f>
        <v/>
      </c>
      <c r="V82" s="87">
        <f>SUM(V80:V81)</f>
        <v/>
      </c>
      <c r="W82" s="84" t="inlineStr">
        <is>
          <t>–</t>
        </is>
      </c>
      <c r="X82" s="84">
        <f>SUM(X80:X81)</f>
        <v/>
      </c>
      <c r="Y82" s="84">
        <f>SUM(Y80:Y81)</f>
        <v/>
      </c>
      <c r="Z82" s="84" t="inlineStr">
        <is>
          <t>–</t>
        </is>
      </c>
      <c r="AA82" s="84">
        <f>SUM(AA80:AA81)</f>
        <v/>
      </c>
      <c r="AB82" s="84">
        <f>SUM(AB80:AB81)</f>
        <v/>
      </c>
      <c r="AC82" s="84" t="inlineStr">
        <is>
          <t>–</t>
        </is>
      </c>
      <c r="AD82" s="84">
        <f>SUM(AD80:AD81)</f>
        <v/>
      </c>
      <c r="AE82" s="84">
        <f>SUM(AE80:AE81)</f>
        <v/>
      </c>
      <c r="AF82" s="89">
        <f>IF(AE82&lt;=5,"SETTLED","OUTSTANDING")</f>
        <v/>
      </c>
      <c r="AG82" s="84" t="inlineStr">
        <is>
          <t>–</t>
        </is>
      </c>
      <c r="AH82" s="88" t="inlineStr">
        <is>
          <t>–</t>
        </is>
      </c>
      <c r="AI82" s="84" t="inlineStr">
        <is>
          <t>–</t>
        </is>
      </c>
    </row>
    <row r="83" outlineLevel="1" ht="15" customHeight="1" s="137">
      <c r="A83" s="67" t="n">
        <v>1</v>
      </c>
      <c r="B83" s="76">
        <f>IF('Final Calculation Sheet'!$F$13="","",'Final Calculation Sheet'!$F$13)</f>
        <v/>
      </c>
      <c r="C83" s="76">
        <f>IF('Final Calculation Sheet'!$G$13="","",'Final Calculation Sheet'!$G$13)</f>
        <v/>
      </c>
      <c r="D83" s="80">
        <f>IF('Final Calculation Sheet'!$B$13="","",'Final Calculation Sheet'!$B$13)</f>
        <v/>
      </c>
      <c r="E83" s="80">
        <f>IF('Final Calculation Sheet'!$D$13="","",'Final Calculation Sheet'!$D$13)</f>
        <v/>
      </c>
      <c r="F83" s="80">
        <f>IF('Final Calculation Sheet'!$A$13="","",'Final Calculation Sheet'!$A$13)</f>
        <v/>
      </c>
      <c r="G83" s="80">
        <f>IF('Final Calculation Sheet'!$E$13="","",'Final Calculation Sheet'!$E$13)</f>
        <v/>
      </c>
      <c r="H83" s="70">
        <f>IF('Final Calculation Sheet'!$C$13="","",'Final Calculation Sheet'!$C$13)</f>
        <v/>
      </c>
      <c r="I83" s="70">
        <f>IF('Final Calculation Sheet'!$H$13="","",'Final Calculation Sheet'!$H$13)</f>
        <v/>
      </c>
      <c r="J83" s="70">
        <f>IF('Final Calculation Sheet'!$I$13="","",'Final Calculation Sheet'!$I$13)</f>
        <v/>
      </c>
      <c r="K83" s="70">
        <f>IF('Final Calculation Sheet'!$J$13="","",'Final Calculation Sheet'!$J$13)</f>
        <v/>
      </c>
      <c r="L83" s="70">
        <f>IF('Final Calculation Sheet'!$K$13="","",'Final Calculation Sheet'!$K$13)</f>
        <v/>
      </c>
      <c r="M83" s="70">
        <f>IF('Final Calculation Sheet'!$L$13="","",'Final Calculation Sheet'!$L$13)</f>
        <v/>
      </c>
      <c r="N83" s="70">
        <f>IF('Final Calculation Sheet'!$M$13="","",'Final Calculation Sheet'!$M$13)</f>
        <v/>
      </c>
      <c r="O83" s="71">
        <f>IF('Final Calculation Sheet'!$N$13="","",'Final Calculation Sheet'!$N$13)</f>
        <v/>
      </c>
      <c r="P83" s="70">
        <f>IF('Final Calculation Sheet'!$O$13="","",'Final Calculation Sheet'!$O$13)</f>
        <v/>
      </c>
      <c r="Q83" s="70">
        <f>IF('Final Calculation Sheet'!$P$13="","",'Final Calculation Sheet'!$P$13)</f>
        <v/>
      </c>
      <c r="R83" s="72">
        <f>IF('Final Calculation Sheet'!$Q$13="","",'Final Calculation Sheet'!$Q$13)</f>
        <v/>
      </c>
      <c r="S83" s="70">
        <f>IF('Final Calculation Sheet'!$R$13="","",'Final Calculation Sheet'!$R$13)</f>
        <v/>
      </c>
      <c r="T83" s="70">
        <f>IF('Final Calculation Sheet'!$S$13="","",'Final Calculation Sheet'!$S$13)</f>
        <v/>
      </c>
      <c r="U83" s="70">
        <f>IF('Final Calculation Sheet'!$T$13="","",'Final Calculation Sheet'!$T$13)</f>
        <v/>
      </c>
      <c r="V83" s="73">
        <f>IF('Final Calculation Sheet'!$U$13="","",'Final Calculation Sheet'!$U$13)</f>
        <v/>
      </c>
      <c r="W83" s="70">
        <f>IF('Final Calculation Sheet'!$V$13="","",'Final Calculation Sheet'!$V$13)</f>
        <v/>
      </c>
      <c r="X83" s="70">
        <f>IF('Final Calculation Sheet'!$W$13="","",'Final Calculation Sheet'!$W$13)</f>
        <v/>
      </c>
      <c r="Y83" s="70">
        <f>IF('Final Calculation Sheet'!$X$13="","",'Final Calculation Sheet'!$X$13)</f>
        <v/>
      </c>
      <c r="Z83" s="70">
        <f>IF('Final Calculation Sheet'!$Y$13="","",'Final Calculation Sheet'!$Y$13)</f>
        <v/>
      </c>
      <c r="AA83" s="70">
        <f>IF('Final Calculation Sheet'!$Z$13="","",'Final Calculation Sheet'!$Z$13)</f>
        <v/>
      </c>
      <c r="AB83" s="70">
        <f>IF('Final Calculation Sheet'!$AA$13="","",'Final Calculation Sheet'!$AA$13)</f>
        <v/>
      </c>
      <c r="AC83" s="70">
        <f>IF('Final Calculation Sheet'!$AB$13="","",'Final Calculation Sheet'!$AB$13)</f>
        <v/>
      </c>
      <c r="AD83" s="70">
        <f>IF('Final Calculation Sheet'!$AC$13="","",'Final Calculation Sheet'!$AC$13)</f>
        <v/>
      </c>
      <c r="AE83" s="70">
        <f>IF('Final Calculation Sheet'!$AD$13="","",'Final Calculation Sheet'!$AD$13)</f>
        <v/>
      </c>
      <c r="AF83" s="75">
        <f>IF('Final Calculation Sheet'!$AD$13="","",IF('Final Calculation Sheet'!$AD$13&lt;=5,"SETTLED","OUTSTANDING"))</f>
        <v/>
      </c>
      <c r="AG83" s="70">
        <f>IF('Final Calculation Sheet'!$AF$13="","",'Final Calculation Sheet'!$AF$13)</f>
        <v/>
      </c>
      <c r="AH83" s="74">
        <f>IF('Final Calculation Sheet'!$AG$13="","",'Final Calculation Sheet'!$AG$13)</f>
        <v/>
      </c>
      <c r="AI83" s="70">
        <f>IF('Final Calculation Sheet'!$AH$13="","",'Final Calculation Sheet'!$AH$13)</f>
        <v/>
      </c>
    </row>
    <row r="84" outlineLevel="1" ht="15" customHeight="1" s="137">
      <c r="A84" s="90" t="n">
        <v>2</v>
      </c>
      <c r="B84" s="92">
        <f>IF('Final Calculation Sheet'!$F$16="","",'Final Calculation Sheet'!$F$16)</f>
        <v/>
      </c>
      <c r="C84" s="92">
        <f>IF('Final Calculation Sheet'!$G$16="","",'Final Calculation Sheet'!$G$16)</f>
        <v/>
      </c>
      <c r="D84" s="94">
        <f>IF('Final Calculation Sheet'!$B$16="","",'Final Calculation Sheet'!$B$16)</f>
        <v/>
      </c>
      <c r="E84" s="94">
        <f>IF('Final Calculation Sheet'!$D$16="","",'Final Calculation Sheet'!$D$16)</f>
        <v/>
      </c>
      <c r="F84" s="94">
        <f>IF('Final Calculation Sheet'!$A$16="","",'Final Calculation Sheet'!$A$16)</f>
        <v/>
      </c>
      <c r="G84" s="94">
        <f>IF('Final Calculation Sheet'!$E$16="","",'Final Calculation Sheet'!$E$16)</f>
        <v/>
      </c>
      <c r="H84" s="95">
        <f>IF('Final Calculation Sheet'!$C$16="","",'Final Calculation Sheet'!$C$16)</f>
        <v/>
      </c>
      <c r="I84" s="95">
        <f>IF('Final Calculation Sheet'!$H$16="","",'Final Calculation Sheet'!$H$16)</f>
        <v/>
      </c>
      <c r="J84" s="95">
        <f>IF('Final Calculation Sheet'!$I$16="","",'Final Calculation Sheet'!$I$16)</f>
        <v/>
      </c>
      <c r="K84" s="95">
        <f>IF('Final Calculation Sheet'!$J$16="","",'Final Calculation Sheet'!$J$16)</f>
        <v/>
      </c>
      <c r="L84" s="95">
        <f>IF('Final Calculation Sheet'!$K$16="","",'Final Calculation Sheet'!$K$16)</f>
        <v/>
      </c>
      <c r="M84" s="95">
        <f>IF('Final Calculation Sheet'!$L$16="","",'Final Calculation Sheet'!$L$16)</f>
        <v/>
      </c>
      <c r="N84" s="95">
        <f>IF('Final Calculation Sheet'!$M$16="","",'Final Calculation Sheet'!$M$16)</f>
        <v/>
      </c>
      <c r="O84" s="96">
        <f>IF('Final Calculation Sheet'!$N$16="","",'Final Calculation Sheet'!$N$16)</f>
        <v/>
      </c>
      <c r="P84" s="95">
        <f>IF('Final Calculation Sheet'!$O$16="","",'Final Calculation Sheet'!$O$16)</f>
        <v/>
      </c>
      <c r="Q84" s="95">
        <f>IF('Final Calculation Sheet'!$P$16="","",'Final Calculation Sheet'!$P$16)</f>
        <v/>
      </c>
      <c r="R84" s="97">
        <f>IF('Final Calculation Sheet'!$Q$16="","",'Final Calculation Sheet'!$Q$16)</f>
        <v/>
      </c>
      <c r="S84" s="95">
        <f>IF('Final Calculation Sheet'!$R$16="","",'Final Calculation Sheet'!$R$16)</f>
        <v/>
      </c>
      <c r="T84" s="95">
        <f>IF('Final Calculation Sheet'!$S$16="","",'Final Calculation Sheet'!$S$16)</f>
        <v/>
      </c>
      <c r="U84" s="95">
        <f>IF('Final Calculation Sheet'!$T$16="","",'Final Calculation Sheet'!$T$16)</f>
        <v/>
      </c>
      <c r="V84" s="98">
        <f>IF('Final Calculation Sheet'!$U$16="","",'Final Calculation Sheet'!$U$16)</f>
        <v/>
      </c>
      <c r="W84" s="95">
        <f>IF('Final Calculation Sheet'!$V$16="","",'Final Calculation Sheet'!$V$16)</f>
        <v/>
      </c>
      <c r="X84" s="95">
        <f>IF('Final Calculation Sheet'!$W$16="","",'Final Calculation Sheet'!$W$16)</f>
        <v/>
      </c>
      <c r="Y84" s="95">
        <f>IF('Final Calculation Sheet'!$X$16="","",'Final Calculation Sheet'!$X$16)</f>
        <v/>
      </c>
      <c r="Z84" s="95">
        <f>IF('Final Calculation Sheet'!$Y$16="","",'Final Calculation Sheet'!$Y$16)</f>
        <v/>
      </c>
      <c r="AA84" s="95">
        <f>IF('Final Calculation Sheet'!$Z$16="","",'Final Calculation Sheet'!$Z$16)</f>
        <v/>
      </c>
      <c r="AB84" s="95">
        <f>IF('Final Calculation Sheet'!$AA$16="","",'Final Calculation Sheet'!$AA$16)</f>
        <v/>
      </c>
      <c r="AC84" s="95">
        <f>IF('Final Calculation Sheet'!$AB$16="","",'Final Calculation Sheet'!$AB$16)</f>
        <v/>
      </c>
      <c r="AD84" s="95">
        <f>IF('Final Calculation Sheet'!$AC$16="","",'Final Calculation Sheet'!$AC$16)</f>
        <v/>
      </c>
      <c r="AE84" s="95">
        <f>IF('Final Calculation Sheet'!$AD$16="","",'Final Calculation Sheet'!$AD$16)</f>
        <v/>
      </c>
      <c r="AF84" s="100">
        <f>IF('Final Calculation Sheet'!$AD$16="","",IF('Final Calculation Sheet'!$AD$16&lt;=5,"SETTLED","OUTSTANDING"))</f>
        <v/>
      </c>
      <c r="AG84" s="95">
        <f>IF('Final Calculation Sheet'!$AF$16="","",'Final Calculation Sheet'!$AF$16)</f>
        <v/>
      </c>
      <c r="AH84" s="99">
        <f>IF('Final Calculation Sheet'!$AG$16="","",'Final Calculation Sheet'!$AG$16)</f>
        <v/>
      </c>
      <c r="AI84" s="95">
        <f>IF('Final Calculation Sheet'!$AH$16="","",'Final Calculation Sheet'!$AH$16)</f>
        <v/>
      </c>
    </row>
    <row r="85" outlineLevel="1" ht="15" customHeight="1" s="137">
      <c r="A85" s="67" t="n">
        <v>3</v>
      </c>
      <c r="B85" s="76">
        <f>IF('Final Calculation Sheet'!$F$17="","",'Final Calculation Sheet'!$F$17)</f>
        <v/>
      </c>
      <c r="C85" s="76">
        <f>IF('Final Calculation Sheet'!$G$17="","",'Final Calculation Sheet'!$G$17)</f>
        <v/>
      </c>
      <c r="D85" s="80">
        <f>IF('Final Calculation Sheet'!$B$17="","",'Final Calculation Sheet'!$B$17)</f>
        <v/>
      </c>
      <c r="E85" s="80">
        <f>IF('Final Calculation Sheet'!$D$17="","",'Final Calculation Sheet'!$D$17)</f>
        <v/>
      </c>
      <c r="F85" s="80">
        <f>IF('Final Calculation Sheet'!$A$17="","",'Final Calculation Sheet'!$A$17)</f>
        <v/>
      </c>
      <c r="G85" s="80">
        <f>IF('Final Calculation Sheet'!$E$17="","",'Final Calculation Sheet'!$E$17)</f>
        <v/>
      </c>
      <c r="H85" s="70">
        <f>IF('Final Calculation Sheet'!$C$17="","",'Final Calculation Sheet'!$C$17)</f>
        <v/>
      </c>
      <c r="I85" s="70">
        <f>IF('Final Calculation Sheet'!$H$17="","",'Final Calculation Sheet'!$H$17)</f>
        <v/>
      </c>
      <c r="J85" s="70">
        <f>IF('Final Calculation Sheet'!$I$17="","",'Final Calculation Sheet'!$I$17)</f>
        <v/>
      </c>
      <c r="K85" s="70">
        <f>IF('Final Calculation Sheet'!$J$17="","",'Final Calculation Sheet'!$J$17)</f>
        <v/>
      </c>
      <c r="L85" s="70">
        <f>IF('Final Calculation Sheet'!$K$17="","",'Final Calculation Sheet'!$K$17)</f>
        <v/>
      </c>
      <c r="M85" s="70">
        <f>IF('Final Calculation Sheet'!$L$17="","",'Final Calculation Sheet'!$L$17)</f>
        <v/>
      </c>
      <c r="N85" s="70">
        <f>IF('Final Calculation Sheet'!$M$17="","",'Final Calculation Sheet'!$M$17)</f>
        <v/>
      </c>
      <c r="O85" s="71">
        <f>IF('Final Calculation Sheet'!$N$17="","",'Final Calculation Sheet'!$N$17)</f>
        <v/>
      </c>
      <c r="P85" s="70">
        <f>IF('Final Calculation Sheet'!$O$17="","",'Final Calculation Sheet'!$O$17)</f>
        <v/>
      </c>
      <c r="Q85" s="70">
        <f>IF('Final Calculation Sheet'!$P$17="","",'Final Calculation Sheet'!$P$17)</f>
        <v/>
      </c>
      <c r="R85" s="72">
        <f>IF('Final Calculation Sheet'!$Q$17="","",'Final Calculation Sheet'!$Q$17)</f>
        <v/>
      </c>
      <c r="S85" s="70">
        <f>IF('Final Calculation Sheet'!$R$17="","",'Final Calculation Sheet'!$R$17)</f>
        <v/>
      </c>
      <c r="T85" s="70">
        <f>IF('Final Calculation Sheet'!$S$17="","",'Final Calculation Sheet'!$S$17)</f>
        <v/>
      </c>
      <c r="U85" s="70">
        <f>IF('Final Calculation Sheet'!$T$17="","",'Final Calculation Sheet'!$T$17)</f>
        <v/>
      </c>
      <c r="V85" s="73">
        <f>IF('Final Calculation Sheet'!$U$17="","",'Final Calculation Sheet'!$U$17)</f>
        <v/>
      </c>
      <c r="W85" s="70">
        <f>IF('Final Calculation Sheet'!$V$17="","",'Final Calculation Sheet'!$V$17)</f>
        <v/>
      </c>
      <c r="X85" s="70">
        <f>IF('Final Calculation Sheet'!$W$17="","",'Final Calculation Sheet'!$W$17)</f>
        <v/>
      </c>
      <c r="Y85" s="70">
        <f>IF('Final Calculation Sheet'!$X$17="","",'Final Calculation Sheet'!$X$17)</f>
        <v/>
      </c>
      <c r="Z85" s="70">
        <f>IF('Final Calculation Sheet'!$Y$17="","",'Final Calculation Sheet'!$Y$17)</f>
        <v/>
      </c>
      <c r="AA85" s="70">
        <f>IF('Final Calculation Sheet'!$Z$17="","",'Final Calculation Sheet'!$Z$17)</f>
        <v/>
      </c>
      <c r="AB85" s="70">
        <f>IF('Final Calculation Sheet'!$AA$17="","",'Final Calculation Sheet'!$AA$17)</f>
        <v/>
      </c>
      <c r="AC85" s="70">
        <f>IF('Final Calculation Sheet'!$AB$17="","",'Final Calculation Sheet'!$AB$17)</f>
        <v/>
      </c>
      <c r="AD85" s="70">
        <f>IF('Final Calculation Sheet'!$AC$17="","",'Final Calculation Sheet'!$AC$17)</f>
        <v/>
      </c>
      <c r="AE85" s="70">
        <f>IF('Final Calculation Sheet'!$AD$17="","",'Final Calculation Sheet'!$AD$17)</f>
        <v/>
      </c>
      <c r="AF85" s="75">
        <f>IF('Final Calculation Sheet'!$AD$17="","",IF('Final Calculation Sheet'!$AD$17&lt;=5,"SETTLED","OUTSTANDING"))</f>
        <v/>
      </c>
      <c r="AG85" s="70">
        <f>IF('Final Calculation Sheet'!$AF$17="","",'Final Calculation Sheet'!$AF$17)</f>
        <v/>
      </c>
      <c r="AH85" s="74">
        <f>IF('Final Calculation Sheet'!$AG$17="","",'Final Calculation Sheet'!$AG$17)</f>
        <v/>
      </c>
      <c r="AI85" s="70">
        <f>IF('Final Calculation Sheet'!$AH$17="","",'Final Calculation Sheet'!$AH$17)</f>
        <v/>
      </c>
    </row>
    <row r="86" outlineLevel="1" ht="15" customHeight="1" s="137">
      <c r="A86" s="90" t="n">
        <v>4</v>
      </c>
      <c r="B86" s="92">
        <f>IF('Final Calculation Sheet'!$F$23="","",'Final Calculation Sheet'!$F$23)</f>
        <v/>
      </c>
      <c r="C86" s="92">
        <f>IF('Final Calculation Sheet'!$G$23="","",'Final Calculation Sheet'!$G$23)</f>
        <v/>
      </c>
      <c r="D86" s="94">
        <f>IF('Final Calculation Sheet'!$B$23="","",'Final Calculation Sheet'!$B$23)</f>
        <v/>
      </c>
      <c r="E86" s="94">
        <f>IF('Final Calculation Sheet'!$D$23="","",'Final Calculation Sheet'!$D$23)</f>
        <v/>
      </c>
      <c r="F86" s="94">
        <f>IF('Final Calculation Sheet'!$A$23="","",'Final Calculation Sheet'!$A$23)</f>
        <v/>
      </c>
      <c r="G86" s="94">
        <f>IF('Final Calculation Sheet'!$E$23="","",'Final Calculation Sheet'!$E$23)</f>
        <v/>
      </c>
      <c r="H86" s="95">
        <f>IF('Final Calculation Sheet'!$C$23="","",'Final Calculation Sheet'!$C$23)</f>
        <v/>
      </c>
      <c r="I86" s="95">
        <f>IF('Final Calculation Sheet'!$H$23="","",'Final Calculation Sheet'!$H$23)</f>
        <v/>
      </c>
      <c r="J86" s="95">
        <f>IF('Final Calculation Sheet'!$I$23="","",'Final Calculation Sheet'!$I$23)</f>
        <v/>
      </c>
      <c r="K86" s="95">
        <f>IF('Final Calculation Sheet'!$J$23="","",'Final Calculation Sheet'!$J$23)</f>
        <v/>
      </c>
      <c r="L86" s="95">
        <f>IF('Final Calculation Sheet'!$K$23="","",'Final Calculation Sheet'!$K$23)</f>
        <v/>
      </c>
      <c r="M86" s="95">
        <f>IF('Final Calculation Sheet'!$L$23="","",'Final Calculation Sheet'!$L$23)</f>
        <v/>
      </c>
      <c r="N86" s="95">
        <f>IF('Final Calculation Sheet'!$M$23="","",'Final Calculation Sheet'!$M$23)</f>
        <v/>
      </c>
      <c r="O86" s="96">
        <f>IF('Final Calculation Sheet'!$N$23="","",'Final Calculation Sheet'!$N$23)</f>
        <v/>
      </c>
      <c r="P86" s="95">
        <f>IF('Final Calculation Sheet'!$O$23="","",'Final Calculation Sheet'!$O$23)</f>
        <v/>
      </c>
      <c r="Q86" s="95">
        <f>IF('Final Calculation Sheet'!$P$23="","",'Final Calculation Sheet'!$P$23)</f>
        <v/>
      </c>
      <c r="R86" s="97">
        <f>IF('Final Calculation Sheet'!$Q$23="","",'Final Calculation Sheet'!$Q$23)</f>
        <v/>
      </c>
      <c r="S86" s="95">
        <f>IF('Final Calculation Sheet'!$R$23="","",'Final Calculation Sheet'!$R$23)</f>
        <v/>
      </c>
      <c r="T86" s="95">
        <f>IF('Final Calculation Sheet'!$S$23="","",'Final Calculation Sheet'!$S$23)</f>
        <v/>
      </c>
      <c r="U86" s="95">
        <f>IF('Final Calculation Sheet'!$T$23="","",'Final Calculation Sheet'!$T$23)</f>
        <v/>
      </c>
      <c r="V86" s="98">
        <f>IF('Final Calculation Sheet'!$U$23="","",'Final Calculation Sheet'!$U$23)</f>
        <v/>
      </c>
      <c r="W86" s="95">
        <f>IF('Final Calculation Sheet'!$V$23="","",'Final Calculation Sheet'!$V$23)</f>
        <v/>
      </c>
      <c r="X86" s="95">
        <f>IF('Final Calculation Sheet'!$W$23="","",'Final Calculation Sheet'!$W$23)</f>
        <v/>
      </c>
      <c r="Y86" s="95">
        <f>IF('Final Calculation Sheet'!$X$23="","",'Final Calculation Sheet'!$X$23)</f>
        <v/>
      </c>
      <c r="Z86" s="95">
        <f>IF('Final Calculation Sheet'!$Y$23="","",'Final Calculation Sheet'!$Y$23)</f>
        <v/>
      </c>
      <c r="AA86" s="95">
        <f>IF('Final Calculation Sheet'!$Z$23="","",'Final Calculation Sheet'!$Z$23)</f>
        <v/>
      </c>
      <c r="AB86" s="95">
        <f>IF('Final Calculation Sheet'!$AA$23="","",'Final Calculation Sheet'!$AA$23)</f>
        <v/>
      </c>
      <c r="AC86" s="95">
        <f>IF('Final Calculation Sheet'!$AB$23="","",'Final Calculation Sheet'!$AB$23)</f>
        <v/>
      </c>
      <c r="AD86" s="95">
        <f>IF('Final Calculation Sheet'!$AC$23="","",'Final Calculation Sheet'!$AC$23)</f>
        <v/>
      </c>
      <c r="AE86" s="95">
        <f>IF('Final Calculation Sheet'!$AD$23="","",'Final Calculation Sheet'!$AD$23)</f>
        <v/>
      </c>
      <c r="AF86" s="100">
        <f>IF('Final Calculation Sheet'!$AD$23="","",IF('Final Calculation Sheet'!$AD$23&lt;=5,"SETTLED","OUTSTANDING"))</f>
        <v/>
      </c>
      <c r="AG86" s="95">
        <f>IF('Final Calculation Sheet'!$AF$23="","",'Final Calculation Sheet'!$AF$23)</f>
        <v/>
      </c>
      <c r="AH86" s="99">
        <f>IF('Final Calculation Sheet'!$AG$23="","",'Final Calculation Sheet'!$AG$23)</f>
        <v/>
      </c>
      <c r="AI86" s="95">
        <f>IF('Final Calculation Sheet'!$AH$23="","",'Final Calculation Sheet'!$AH$23)</f>
        <v/>
      </c>
    </row>
    <row r="87" outlineLevel="1" ht="15" customHeight="1" s="137">
      <c r="A87" s="67" t="n">
        <v>5</v>
      </c>
      <c r="B87" s="76">
        <f>IF('Final Calculation Sheet'!$F$29="","",'Final Calculation Sheet'!$F$29)</f>
        <v/>
      </c>
      <c r="C87" s="76">
        <f>IF('Final Calculation Sheet'!$G$29="","",'Final Calculation Sheet'!$G$29)</f>
        <v/>
      </c>
      <c r="D87" s="80">
        <f>IF('Final Calculation Sheet'!$B$29="","",'Final Calculation Sheet'!$B$29)</f>
        <v/>
      </c>
      <c r="E87" s="80">
        <f>IF('Final Calculation Sheet'!$D$29="","",'Final Calculation Sheet'!$D$29)</f>
        <v/>
      </c>
      <c r="F87" s="80">
        <f>IF('Final Calculation Sheet'!$A$29="","",'Final Calculation Sheet'!$A$29)</f>
        <v/>
      </c>
      <c r="G87" s="80">
        <f>IF('Final Calculation Sheet'!$E$29="","",'Final Calculation Sheet'!$E$29)</f>
        <v/>
      </c>
      <c r="H87" s="70">
        <f>IF('Final Calculation Sheet'!$C$29="","",'Final Calculation Sheet'!$C$29)</f>
        <v/>
      </c>
      <c r="I87" s="70">
        <f>IF('Final Calculation Sheet'!$H$29="","",'Final Calculation Sheet'!$H$29)</f>
        <v/>
      </c>
      <c r="J87" s="70">
        <f>IF('Final Calculation Sheet'!$I$29="","",'Final Calculation Sheet'!$I$29)</f>
        <v/>
      </c>
      <c r="K87" s="70">
        <f>IF('Final Calculation Sheet'!$J$29="","",'Final Calculation Sheet'!$J$29)</f>
        <v/>
      </c>
      <c r="L87" s="70">
        <f>IF('Final Calculation Sheet'!$K$29="","",'Final Calculation Sheet'!$K$29)</f>
        <v/>
      </c>
      <c r="M87" s="70">
        <f>IF('Final Calculation Sheet'!$L$29="","",'Final Calculation Sheet'!$L$29)</f>
        <v/>
      </c>
      <c r="N87" s="70">
        <f>IF('Final Calculation Sheet'!$M$29="","",'Final Calculation Sheet'!$M$29)</f>
        <v/>
      </c>
      <c r="O87" s="71">
        <f>IF('Final Calculation Sheet'!$N$29="","",'Final Calculation Sheet'!$N$29)</f>
        <v/>
      </c>
      <c r="P87" s="70">
        <f>IF('Final Calculation Sheet'!$O$29="","",'Final Calculation Sheet'!$O$29)</f>
        <v/>
      </c>
      <c r="Q87" s="70">
        <f>IF('Final Calculation Sheet'!$P$29="","",'Final Calculation Sheet'!$P$29)</f>
        <v/>
      </c>
      <c r="R87" s="72">
        <f>IF('Final Calculation Sheet'!$Q$29="","",'Final Calculation Sheet'!$Q$29)</f>
        <v/>
      </c>
      <c r="S87" s="70">
        <f>IF('Final Calculation Sheet'!$R$29="","",'Final Calculation Sheet'!$R$29)</f>
        <v/>
      </c>
      <c r="T87" s="70">
        <f>IF('Final Calculation Sheet'!$S$29="","",'Final Calculation Sheet'!$S$29)</f>
        <v/>
      </c>
      <c r="U87" s="70">
        <f>IF('Final Calculation Sheet'!$T$29="","",'Final Calculation Sheet'!$T$29)</f>
        <v/>
      </c>
      <c r="V87" s="73">
        <f>IF('Final Calculation Sheet'!$U$29="","",'Final Calculation Sheet'!$U$29)</f>
        <v/>
      </c>
      <c r="W87" s="70">
        <f>IF('Final Calculation Sheet'!$V$29="","",'Final Calculation Sheet'!$V$29)</f>
        <v/>
      </c>
      <c r="X87" s="70">
        <f>IF('Final Calculation Sheet'!$W$29="","",'Final Calculation Sheet'!$W$29)</f>
        <v/>
      </c>
      <c r="Y87" s="70">
        <f>IF('Final Calculation Sheet'!$X$29="","",'Final Calculation Sheet'!$X$29)</f>
        <v/>
      </c>
      <c r="Z87" s="70">
        <f>IF('Final Calculation Sheet'!$Y$29="","",'Final Calculation Sheet'!$Y$29)</f>
        <v/>
      </c>
      <c r="AA87" s="70">
        <f>IF('Final Calculation Sheet'!$Z$29="","",'Final Calculation Sheet'!$Z$29)</f>
        <v/>
      </c>
      <c r="AB87" s="70">
        <f>IF('Final Calculation Sheet'!$AA$29="","",'Final Calculation Sheet'!$AA$29)</f>
        <v/>
      </c>
      <c r="AC87" s="70">
        <f>IF('Final Calculation Sheet'!$AB$29="","",'Final Calculation Sheet'!$AB$29)</f>
        <v/>
      </c>
      <c r="AD87" s="70">
        <f>IF('Final Calculation Sheet'!$AC$29="","",'Final Calculation Sheet'!$AC$29)</f>
        <v/>
      </c>
      <c r="AE87" s="70">
        <f>IF('Final Calculation Sheet'!$AD$29="","",'Final Calculation Sheet'!$AD$29)</f>
        <v/>
      </c>
      <c r="AF87" s="75">
        <f>IF('Final Calculation Sheet'!$AD$29="","",IF('Final Calculation Sheet'!$AD$29&lt;=5,"SETTLED","OUTSTANDING"))</f>
        <v/>
      </c>
      <c r="AG87" s="70">
        <f>IF('Final Calculation Sheet'!$AF$29="","",'Final Calculation Sheet'!$AF$29)</f>
        <v/>
      </c>
      <c r="AH87" s="74">
        <f>IF('Final Calculation Sheet'!$AG$29="","",'Final Calculation Sheet'!$AG$29)</f>
        <v/>
      </c>
      <c r="AI87" s="70">
        <f>IF('Final Calculation Sheet'!$AH$29="","",'Final Calculation Sheet'!$AH$29)</f>
        <v/>
      </c>
    </row>
    <row r="88" outlineLevel="1" ht="15" customHeight="1" s="137">
      <c r="A88" s="90" t="n">
        <v>6</v>
      </c>
      <c r="B88" s="92">
        <f>IF('Final Calculation Sheet'!$F$34="","",'Final Calculation Sheet'!$F$34)</f>
        <v/>
      </c>
      <c r="C88" s="92">
        <f>IF('Final Calculation Sheet'!$G$34="","",'Final Calculation Sheet'!$G$34)</f>
        <v/>
      </c>
      <c r="D88" s="94">
        <f>IF('Final Calculation Sheet'!$B$34="","",'Final Calculation Sheet'!$B$34)</f>
        <v/>
      </c>
      <c r="E88" s="94">
        <f>IF('Final Calculation Sheet'!$D$34="","",'Final Calculation Sheet'!$D$34)</f>
        <v/>
      </c>
      <c r="F88" s="94">
        <f>IF('Final Calculation Sheet'!$A$34="","",'Final Calculation Sheet'!$A$34)</f>
        <v/>
      </c>
      <c r="G88" s="94">
        <f>IF('Final Calculation Sheet'!$E$34="","",'Final Calculation Sheet'!$E$34)</f>
        <v/>
      </c>
      <c r="H88" s="95">
        <f>IF('Final Calculation Sheet'!$C$34="","",'Final Calculation Sheet'!$C$34)</f>
        <v/>
      </c>
      <c r="I88" s="95">
        <f>IF('Final Calculation Sheet'!$H$34="","",'Final Calculation Sheet'!$H$34)</f>
        <v/>
      </c>
      <c r="J88" s="95">
        <f>IF('Final Calculation Sheet'!$I$34="","",'Final Calculation Sheet'!$I$34)</f>
        <v/>
      </c>
      <c r="K88" s="95">
        <f>IF('Final Calculation Sheet'!$J$34="","",'Final Calculation Sheet'!$J$34)</f>
        <v/>
      </c>
      <c r="L88" s="95">
        <f>IF('Final Calculation Sheet'!$K$34="","",'Final Calculation Sheet'!$K$34)</f>
        <v/>
      </c>
      <c r="M88" s="95">
        <f>IF('Final Calculation Sheet'!$L$34="","",'Final Calculation Sheet'!$L$34)</f>
        <v/>
      </c>
      <c r="N88" s="95">
        <f>IF('Final Calculation Sheet'!$M$34="","",'Final Calculation Sheet'!$M$34)</f>
        <v/>
      </c>
      <c r="O88" s="96">
        <f>IF('Final Calculation Sheet'!$N$34="","",'Final Calculation Sheet'!$N$34)</f>
        <v/>
      </c>
      <c r="P88" s="95">
        <f>IF('Final Calculation Sheet'!$O$34="","",'Final Calculation Sheet'!$O$34)</f>
        <v/>
      </c>
      <c r="Q88" s="95">
        <f>IF('Final Calculation Sheet'!$P$34="","",'Final Calculation Sheet'!$P$34)</f>
        <v/>
      </c>
      <c r="R88" s="97">
        <f>IF('Final Calculation Sheet'!$Q$34="","",'Final Calculation Sheet'!$Q$34)</f>
        <v/>
      </c>
      <c r="S88" s="95">
        <f>IF('Final Calculation Sheet'!$R$34="","",'Final Calculation Sheet'!$R$34)</f>
        <v/>
      </c>
      <c r="T88" s="95">
        <f>IF('Final Calculation Sheet'!$S$34="","",'Final Calculation Sheet'!$S$34)</f>
        <v/>
      </c>
      <c r="U88" s="95">
        <f>IF('Final Calculation Sheet'!$T$34="","",'Final Calculation Sheet'!$T$34)</f>
        <v/>
      </c>
      <c r="V88" s="98">
        <f>IF('Final Calculation Sheet'!$U$34="","",'Final Calculation Sheet'!$U$34)</f>
        <v/>
      </c>
      <c r="W88" s="95">
        <f>IF('Final Calculation Sheet'!$V$34="","",'Final Calculation Sheet'!$V$34)</f>
        <v/>
      </c>
      <c r="X88" s="95">
        <f>IF('Final Calculation Sheet'!$W$34="","",'Final Calculation Sheet'!$W$34)</f>
        <v/>
      </c>
      <c r="Y88" s="95">
        <f>IF('Final Calculation Sheet'!$X$34="","",'Final Calculation Sheet'!$X$34)</f>
        <v/>
      </c>
      <c r="Z88" s="95">
        <f>IF('Final Calculation Sheet'!$Y$34="","",'Final Calculation Sheet'!$Y$34)</f>
        <v/>
      </c>
      <c r="AA88" s="95">
        <f>IF('Final Calculation Sheet'!$Z$34="","",'Final Calculation Sheet'!$Z$34)</f>
        <v/>
      </c>
      <c r="AB88" s="95">
        <f>IF('Final Calculation Sheet'!$AA$34="","",'Final Calculation Sheet'!$AA$34)</f>
        <v/>
      </c>
      <c r="AC88" s="95">
        <f>IF('Final Calculation Sheet'!$AB$34="","",'Final Calculation Sheet'!$AB$34)</f>
        <v/>
      </c>
      <c r="AD88" s="95">
        <f>IF('Final Calculation Sheet'!$AC$34="","",'Final Calculation Sheet'!$AC$34)</f>
        <v/>
      </c>
      <c r="AE88" s="95">
        <f>IF('Final Calculation Sheet'!$AD$34="","",'Final Calculation Sheet'!$AD$34)</f>
        <v/>
      </c>
      <c r="AF88" s="100">
        <f>IF('Final Calculation Sheet'!$AD$34="","",IF('Final Calculation Sheet'!$AD$34&lt;=5,"SETTLED","OUTSTANDING"))</f>
        <v/>
      </c>
      <c r="AG88" s="95">
        <f>IF('Final Calculation Sheet'!$AF$34="","",'Final Calculation Sheet'!$AF$34)</f>
        <v/>
      </c>
      <c r="AH88" s="99">
        <f>IF('Final Calculation Sheet'!$AG$34="","",'Final Calculation Sheet'!$AG$34)</f>
        <v/>
      </c>
      <c r="AI88" s="95">
        <f>IF('Final Calculation Sheet'!$AH$34="","",'Final Calculation Sheet'!$AH$34)</f>
        <v/>
      </c>
    </row>
    <row r="89" outlineLevel="1" ht="15" customHeight="1" s="137">
      <c r="A89" s="67" t="n">
        <v>7</v>
      </c>
      <c r="B89" s="76">
        <f>IF('Final Calculation Sheet'!$F$36="","",'Final Calculation Sheet'!$F$36)</f>
        <v/>
      </c>
      <c r="C89" s="76">
        <f>IF('Final Calculation Sheet'!$G$36="","",'Final Calculation Sheet'!$G$36)</f>
        <v/>
      </c>
      <c r="D89" s="80">
        <f>IF('Final Calculation Sheet'!$B$36="","",'Final Calculation Sheet'!$B$36)</f>
        <v/>
      </c>
      <c r="E89" s="80">
        <f>IF('Final Calculation Sheet'!$D$36="","",'Final Calculation Sheet'!$D$36)</f>
        <v/>
      </c>
      <c r="F89" s="80">
        <f>IF('Final Calculation Sheet'!$A$36="","",'Final Calculation Sheet'!$A$36)</f>
        <v/>
      </c>
      <c r="G89" s="80">
        <f>IF('Final Calculation Sheet'!$E$36="","",'Final Calculation Sheet'!$E$36)</f>
        <v/>
      </c>
      <c r="H89" s="70">
        <f>IF('Final Calculation Sheet'!$C$36="","",'Final Calculation Sheet'!$C$36)</f>
        <v/>
      </c>
      <c r="I89" s="70">
        <f>IF('Final Calculation Sheet'!$H$36="","",'Final Calculation Sheet'!$H$36)</f>
        <v/>
      </c>
      <c r="J89" s="70">
        <f>IF('Final Calculation Sheet'!$I$36="","",'Final Calculation Sheet'!$I$36)</f>
        <v/>
      </c>
      <c r="K89" s="70">
        <f>IF('Final Calculation Sheet'!$J$36="","",'Final Calculation Sheet'!$J$36)</f>
        <v/>
      </c>
      <c r="L89" s="70">
        <f>IF('Final Calculation Sheet'!$K$36="","",'Final Calculation Sheet'!$K$36)</f>
        <v/>
      </c>
      <c r="M89" s="70">
        <f>IF('Final Calculation Sheet'!$L$36="","",'Final Calculation Sheet'!$L$36)</f>
        <v/>
      </c>
      <c r="N89" s="70">
        <f>IF('Final Calculation Sheet'!$M$36="","",'Final Calculation Sheet'!$M$36)</f>
        <v/>
      </c>
      <c r="O89" s="71">
        <f>IF('Final Calculation Sheet'!$N$36="","",'Final Calculation Sheet'!$N$36)</f>
        <v/>
      </c>
      <c r="P89" s="70">
        <f>IF('Final Calculation Sheet'!$O$36="","",'Final Calculation Sheet'!$O$36)</f>
        <v/>
      </c>
      <c r="Q89" s="70">
        <f>IF('Final Calculation Sheet'!$P$36="","",'Final Calculation Sheet'!$P$36)</f>
        <v/>
      </c>
      <c r="R89" s="72">
        <f>IF('Final Calculation Sheet'!$Q$36="","",'Final Calculation Sheet'!$Q$36)</f>
        <v/>
      </c>
      <c r="S89" s="70">
        <f>IF('Final Calculation Sheet'!$R$36="","",'Final Calculation Sheet'!$R$36)</f>
        <v/>
      </c>
      <c r="T89" s="70">
        <f>IF('Final Calculation Sheet'!$S$36="","",'Final Calculation Sheet'!$S$36)</f>
        <v/>
      </c>
      <c r="U89" s="70">
        <f>IF('Final Calculation Sheet'!$T$36="","",'Final Calculation Sheet'!$T$36)</f>
        <v/>
      </c>
      <c r="V89" s="73">
        <f>IF('Final Calculation Sheet'!$U$36="","",'Final Calculation Sheet'!$U$36)</f>
        <v/>
      </c>
      <c r="W89" s="70">
        <f>IF('Final Calculation Sheet'!$V$36="","",'Final Calculation Sheet'!$V$36)</f>
        <v/>
      </c>
      <c r="X89" s="70">
        <f>IF('Final Calculation Sheet'!$W$36="","",'Final Calculation Sheet'!$W$36)</f>
        <v/>
      </c>
      <c r="Y89" s="70">
        <f>IF('Final Calculation Sheet'!$X$36="","",'Final Calculation Sheet'!$X$36)</f>
        <v/>
      </c>
      <c r="Z89" s="70">
        <f>IF('Final Calculation Sheet'!$Y$36="","",'Final Calculation Sheet'!$Y$36)</f>
        <v/>
      </c>
      <c r="AA89" s="70">
        <f>IF('Final Calculation Sheet'!$Z$36="","",'Final Calculation Sheet'!$Z$36)</f>
        <v/>
      </c>
      <c r="AB89" s="70">
        <f>IF('Final Calculation Sheet'!$AA$36="","",'Final Calculation Sheet'!$AA$36)</f>
        <v/>
      </c>
      <c r="AC89" s="70">
        <f>IF('Final Calculation Sheet'!$AB$36="","",'Final Calculation Sheet'!$AB$36)</f>
        <v/>
      </c>
      <c r="AD89" s="70">
        <f>IF('Final Calculation Sheet'!$AC$36="","",'Final Calculation Sheet'!$AC$36)</f>
        <v/>
      </c>
      <c r="AE89" s="70">
        <f>IF('Final Calculation Sheet'!$AD$36="","",'Final Calculation Sheet'!$AD$36)</f>
        <v/>
      </c>
      <c r="AF89" s="75">
        <f>IF('Final Calculation Sheet'!$AD$36="","",IF('Final Calculation Sheet'!$AD$36&lt;=5,"SETTLED","OUTSTANDING"))</f>
        <v/>
      </c>
      <c r="AG89" s="70">
        <f>IF('Final Calculation Sheet'!$AF$36="","",'Final Calculation Sheet'!$AF$36)</f>
        <v/>
      </c>
      <c r="AH89" s="74">
        <f>IF('Final Calculation Sheet'!$AG$36="","",'Final Calculation Sheet'!$AG$36)</f>
        <v/>
      </c>
      <c r="AI89" s="70">
        <f>IF('Final Calculation Sheet'!$AH$36="","",'Final Calculation Sheet'!$AH$36)</f>
        <v/>
      </c>
    </row>
    <row r="90" ht="15" customHeight="1" s="137">
      <c r="A90" s="81" t="inlineStr">
        <is>
          <t>∑</t>
        </is>
      </c>
      <c r="B90" s="83" t="n"/>
      <c r="C90" s="83">
        <f>ROWS($C$83:$C$89)&amp;" lot(s)"</f>
        <v/>
      </c>
      <c r="D90" s="83" t="inlineStr">
        <is>
          <t>SUBTOTAL — STERLING ENTERPRISES</t>
        </is>
      </c>
      <c r="E90" s="83" t="inlineStr">
        <is>
          <t>–</t>
        </is>
      </c>
      <c r="F90" s="83">
        <f>SUM(F83:F89)</f>
        <v/>
      </c>
      <c r="G90" s="83" t="inlineStr">
        <is>
          <t>–</t>
        </is>
      </c>
      <c r="H90" s="84" t="inlineStr">
        <is>
          <t>–</t>
        </is>
      </c>
      <c r="I90" s="84">
        <f>SUM(I83:I89)</f>
        <v/>
      </c>
      <c r="J90" s="84">
        <f>SUM(J83:J89)</f>
        <v/>
      </c>
      <c r="K90" s="84">
        <f>SUM(K83:K89)</f>
        <v/>
      </c>
      <c r="L90" s="84">
        <f>SUM(L83:L89)</f>
        <v/>
      </c>
      <c r="M90" s="84">
        <f>SUM(M83:M89)</f>
        <v/>
      </c>
      <c r="N90" s="84">
        <f>SUM(N83:N89)</f>
        <v/>
      </c>
      <c r="O90" s="85">
        <f>SUM(O83:O89)</f>
        <v/>
      </c>
      <c r="P90" s="84">
        <f>SUM(P83:P89)</f>
        <v/>
      </c>
      <c r="Q90" s="84">
        <f>SUM(Q83:Q89)</f>
        <v/>
      </c>
      <c r="R90" s="86" t="inlineStr">
        <is>
          <t>–</t>
        </is>
      </c>
      <c r="S90" s="84">
        <f>SUM(S83:S89)</f>
        <v/>
      </c>
      <c r="T90" s="84">
        <f>SUM(T83:T89)</f>
        <v/>
      </c>
      <c r="U90" s="84">
        <f>SUM(U83:U89)</f>
        <v/>
      </c>
      <c r="V90" s="87">
        <f>SUM(V83:V89)</f>
        <v/>
      </c>
      <c r="W90" s="84" t="inlineStr">
        <is>
          <t>–</t>
        </is>
      </c>
      <c r="X90" s="84">
        <f>SUM(X83:X89)</f>
        <v/>
      </c>
      <c r="Y90" s="84">
        <f>SUM(Y83:Y89)</f>
        <v/>
      </c>
      <c r="Z90" s="84" t="inlineStr">
        <is>
          <t>–</t>
        </is>
      </c>
      <c r="AA90" s="84">
        <f>SUM(AA83:AA89)</f>
        <v/>
      </c>
      <c r="AB90" s="84">
        <f>SUM(AB83:AB89)</f>
        <v/>
      </c>
      <c r="AC90" s="84" t="inlineStr">
        <is>
          <t>–</t>
        </is>
      </c>
      <c r="AD90" s="84">
        <f>SUM(AD83:AD89)</f>
        <v/>
      </c>
      <c r="AE90" s="84">
        <f>SUM(AE83:AE89)</f>
        <v/>
      </c>
      <c r="AF90" s="89">
        <f>IF(AE90&lt;=5,"SETTLED","OUTSTANDING")</f>
        <v/>
      </c>
      <c r="AG90" s="84" t="inlineStr">
        <is>
          <t>–</t>
        </is>
      </c>
      <c r="AH90" s="88" t="inlineStr">
        <is>
          <t>–</t>
        </is>
      </c>
      <c r="AI90" s="84" t="inlineStr">
        <is>
          <t>–</t>
        </is>
      </c>
    </row>
    <row r="91" outlineLevel="1" ht="15" customHeight="1" s="137">
      <c r="A91" s="67" t="n">
        <v>1</v>
      </c>
      <c r="B91" s="76">
        <f>IF('Final Calculation Sheet'!$F$25="","",'Final Calculation Sheet'!$F$25)</f>
        <v/>
      </c>
      <c r="C91" s="76">
        <f>IF('Final Calculation Sheet'!$G$25="","",'Final Calculation Sheet'!$G$25)</f>
        <v/>
      </c>
      <c r="D91" s="80">
        <f>IF('Final Calculation Sheet'!$B$25="","",'Final Calculation Sheet'!$B$25)</f>
        <v/>
      </c>
      <c r="E91" s="80">
        <f>IF('Final Calculation Sheet'!$D$25="","",'Final Calculation Sheet'!$D$25)</f>
        <v/>
      </c>
      <c r="F91" s="80">
        <f>IF('Final Calculation Sheet'!$A$25="","",'Final Calculation Sheet'!$A$25)</f>
        <v/>
      </c>
      <c r="G91" s="80">
        <f>IF('Final Calculation Sheet'!$E$25="","",'Final Calculation Sheet'!$E$25)</f>
        <v/>
      </c>
      <c r="H91" s="70">
        <f>IF('Final Calculation Sheet'!$C$25="","",'Final Calculation Sheet'!$C$25)</f>
        <v/>
      </c>
      <c r="I91" s="70">
        <f>IF('Final Calculation Sheet'!$H$25="","",'Final Calculation Sheet'!$H$25)</f>
        <v/>
      </c>
      <c r="J91" s="70">
        <f>IF('Final Calculation Sheet'!$I$25="","",'Final Calculation Sheet'!$I$25)</f>
        <v/>
      </c>
      <c r="K91" s="70">
        <f>IF('Final Calculation Sheet'!$J$25="","",'Final Calculation Sheet'!$J$25)</f>
        <v/>
      </c>
      <c r="L91" s="70">
        <f>IF('Final Calculation Sheet'!$K$25="","",'Final Calculation Sheet'!$K$25)</f>
        <v/>
      </c>
      <c r="M91" s="70">
        <f>IF('Final Calculation Sheet'!$L$25="","",'Final Calculation Sheet'!$L$25)</f>
        <v/>
      </c>
      <c r="N91" s="70">
        <f>IF('Final Calculation Sheet'!$M$25="","",'Final Calculation Sheet'!$M$25)</f>
        <v/>
      </c>
      <c r="O91" s="71">
        <f>IF('Final Calculation Sheet'!$N$25="","",'Final Calculation Sheet'!$N$25)</f>
        <v/>
      </c>
      <c r="P91" s="70">
        <f>IF('Final Calculation Sheet'!$O$25="","",'Final Calculation Sheet'!$O$25)</f>
        <v/>
      </c>
      <c r="Q91" s="70">
        <f>IF('Final Calculation Sheet'!$P$25="","",'Final Calculation Sheet'!$P$25)</f>
        <v/>
      </c>
      <c r="R91" s="72">
        <f>IF('Final Calculation Sheet'!$Q$25="","",'Final Calculation Sheet'!$Q$25)</f>
        <v/>
      </c>
      <c r="S91" s="70">
        <f>IF('Final Calculation Sheet'!$R$25="","",'Final Calculation Sheet'!$R$25)</f>
        <v/>
      </c>
      <c r="T91" s="70">
        <f>IF('Final Calculation Sheet'!$S$25="","",'Final Calculation Sheet'!$S$25)</f>
        <v/>
      </c>
      <c r="U91" s="70">
        <f>IF('Final Calculation Sheet'!$T$25="","",'Final Calculation Sheet'!$T$25)</f>
        <v/>
      </c>
      <c r="V91" s="73">
        <f>IF('Final Calculation Sheet'!$U$25="","",'Final Calculation Sheet'!$U$25)</f>
        <v/>
      </c>
      <c r="W91" s="70">
        <f>IF('Final Calculation Sheet'!$V$25="","",'Final Calculation Sheet'!$V$25)</f>
        <v/>
      </c>
      <c r="X91" s="70">
        <f>IF('Final Calculation Sheet'!$W$25="","",'Final Calculation Sheet'!$W$25)</f>
        <v/>
      </c>
      <c r="Y91" s="70">
        <f>IF('Final Calculation Sheet'!$X$25="","",'Final Calculation Sheet'!$X$25)</f>
        <v/>
      </c>
      <c r="Z91" s="70">
        <f>IF('Final Calculation Sheet'!$Y$25="","",'Final Calculation Sheet'!$Y$25)</f>
        <v/>
      </c>
      <c r="AA91" s="70">
        <f>IF('Final Calculation Sheet'!$Z$25="","",'Final Calculation Sheet'!$Z$25)</f>
        <v/>
      </c>
      <c r="AB91" s="70">
        <f>IF('Final Calculation Sheet'!$AA$25="","",'Final Calculation Sheet'!$AA$25)</f>
        <v/>
      </c>
      <c r="AC91" s="70">
        <f>IF('Final Calculation Sheet'!$AB$25="","",'Final Calculation Sheet'!$AB$25)</f>
        <v/>
      </c>
      <c r="AD91" s="70">
        <f>IF('Final Calculation Sheet'!$AC$25="","",'Final Calculation Sheet'!$AC$25)</f>
        <v/>
      </c>
      <c r="AE91" s="70">
        <f>IF('Final Calculation Sheet'!$AD$25="","",'Final Calculation Sheet'!$AD$25)</f>
        <v/>
      </c>
      <c r="AF91" s="75">
        <f>IF('Final Calculation Sheet'!$AD$25="","",IF('Final Calculation Sheet'!$AD$25&lt;=5,"SETTLED","OUTSTANDING"))</f>
        <v/>
      </c>
      <c r="AG91" s="70">
        <f>IF('Final Calculation Sheet'!$AF$25="","",'Final Calculation Sheet'!$AF$25)</f>
        <v/>
      </c>
      <c r="AH91" s="74">
        <f>IF('Final Calculation Sheet'!$AG$25="","",'Final Calculation Sheet'!$AG$25)</f>
        <v/>
      </c>
      <c r="AI91" s="70">
        <f>IF('Final Calculation Sheet'!$AH$25="","",'Final Calculation Sheet'!$AH$25)</f>
        <v/>
      </c>
    </row>
    <row r="92" outlineLevel="1" ht="15" customHeight="1" s="137">
      <c r="A92" s="90" t="n">
        <v>2</v>
      </c>
      <c r="B92" s="92">
        <f>IF('Final Calculation Sheet'!$F$28="","",'Final Calculation Sheet'!$F$28)</f>
        <v/>
      </c>
      <c r="C92" s="92">
        <f>IF('Final Calculation Sheet'!$G$28="","",'Final Calculation Sheet'!$G$28)</f>
        <v/>
      </c>
      <c r="D92" s="94">
        <f>IF('Final Calculation Sheet'!$B$28="","",'Final Calculation Sheet'!$B$28)</f>
        <v/>
      </c>
      <c r="E92" s="94">
        <f>IF('Final Calculation Sheet'!$D$28="","",'Final Calculation Sheet'!$D$28)</f>
        <v/>
      </c>
      <c r="F92" s="94">
        <f>IF('Final Calculation Sheet'!$A$28="","",'Final Calculation Sheet'!$A$28)</f>
        <v/>
      </c>
      <c r="G92" s="94">
        <f>IF('Final Calculation Sheet'!$E$28="","",'Final Calculation Sheet'!$E$28)</f>
        <v/>
      </c>
      <c r="H92" s="95">
        <f>IF('Final Calculation Sheet'!$C$28="","",'Final Calculation Sheet'!$C$28)</f>
        <v/>
      </c>
      <c r="I92" s="95">
        <f>IF('Final Calculation Sheet'!$H$28="","",'Final Calculation Sheet'!$H$28)</f>
        <v/>
      </c>
      <c r="J92" s="95">
        <f>IF('Final Calculation Sheet'!$I$28="","",'Final Calculation Sheet'!$I$28)</f>
        <v/>
      </c>
      <c r="K92" s="95">
        <f>IF('Final Calculation Sheet'!$J$28="","",'Final Calculation Sheet'!$J$28)</f>
        <v/>
      </c>
      <c r="L92" s="95">
        <f>IF('Final Calculation Sheet'!$K$28="","",'Final Calculation Sheet'!$K$28)</f>
        <v/>
      </c>
      <c r="M92" s="95">
        <f>IF('Final Calculation Sheet'!$L$28="","",'Final Calculation Sheet'!$L$28)</f>
        <v/>
      </c>
      <c r="N92" s="95">
        <f>IF('Final Calculation Sheet'!$M$28="","",'Final Calculation Sheet'!$M$28)</f>
        <v/>
      </c>
      <c r="O92" s="96">
        <f>IF('Final Calculation Sheet'!$N$28="","",'Final Calculation Sheet'!$N$28)</f>
        <v/>
      </c>
      <c r="P92" s="95">
        <f>IF('Final Calculation Sheet'!$O$28="","",'Final Calculation Sheet'!$O$28)</f>
        <v/>
      </c>
      <c r="Q92" s="95">
        <f>IF('Final Calculation Sheet'!$P$28="","",'Final Calculation Sheet'!$P$28)</f>
        <v/>
      </c>
      <c r="R92" s="97">
        <f>IF('Final Calculation Sheet'!$Q$28="","",'Final Calculation Sheet'!$Q$28)</f>
        <v/>
      </c>
      <c r="S92" s="95">
        <f>IF('Final Calculation Sheet'!$R$28="","",'Final Calculation Sheet'!$R$28)</f>
        <v/>
      </c>
      <c r="T92" s="95">
        <f>IF('Final Calculation Sheet'!$S$28="","",'Final Calculation Sheet'!$S$28)</f>
        <v/>
      </c>
      <c r="U92" s="95">
        <f>IF('Final Calculation Sheet'!$T$28="","",'Final Calculation Sheet'!$T$28)</f>
        <v/>
      </c>
      <c r="V92" s="98">
        <f>IF('Final Calculation Sheet'!$U$28="","",'Final Calculation Sheet'!$U$28)</f>
        <v/>
      </c>
      <c r="W92" s="95">
        <f>IF('Final Calculation Sheet'!$V$28="","",'Final Calculation Sheet'!$V$28)</f>
        <v/>
      </c>
      <c r="X92" s="95">
        <f>IF('Final Calculation Sheet'!$W$28="","",'Final Calculation Sheet'!$W$28)</f>
        <v/>
      </c>
      <c r="Y92" s="95">
        <f>IF('Final Calculation Sheet'!$X$28="","",'Final Calculation Sheet'!$X$28)</f>
        <v/>
      </c>
      <c r="Z92" s="95">
        <f>IF('Final Calculation Sheet'!$Y$28="","",'Final Calculation Sheet'!$Y$28)</f>
        <v/>
      </c>
      <c r="AA92" s="95">
        <f>IF('Final Calculation Sheet'!$Z$28="","",'Final Calculation Sheet'!$Z$28)</f>
        <v/>
      </c>
      <c r="AB92" s="95">
        <f>IF('Final Calculation Sheet'!$AA$28="","",'Final Calculation Sheet'!$AA$28)</f>
        <v/>
      </c>
      <c r="AC92" s="95">
        <f>IF('Final Calculation Sheet'!$AB$28="","",'Final Calculation Sheet'!$AB$28)</f>
        <v/>
      </c>
      <c r="AD92" s="95">
        <f>IF('Final Calculation Sheet'!$AC$28="","",'Final Calculation Sheet'!$AC$28)</f>
        <v/>
      </c>
      <c r="AE92" s="95">
        <f>IF('Final Calculation Sheet'!$AD$28="","",'Final Calculation Sheet'!$AD$28)</f>
        <v/>
      </c>
      <c r="AF92" s="100">
        <f>IF('Final Calculation Sheet'!$AD$28="","",IF('Final Calculation Sheet'!$AD$28&lt;=5,"SETTLED","OUTSTANDING"))</f>
        <v/>
      </c>
      <c r="AG92" s="95">
        <f>IF('Final Calculation Sheet'!$AF$28="","",'Final Calculation Sheet'!$AF$28)</f>
        <v/>
      </c>
      <c r="AH92" s="99">
        <f>IF('Final Calculation Sheet'!$AG$28="","",'Final Calculation Sheet'!$AG$28)</f>
        <v/>
      </c>
      <c r="AI92" s="95">
        <f>IF('Final Calculation Sheet'!$AH$28="","",'Final Calculation Sheet'!$AH$28)</f>
        <v/>
      </c>
    </row>
    <row r="93" outlineLevel="1" ht="15" customHeight="1" s="137">
      <c r="A93" s="67" t="n">
        <v>3</v>
      </c>
      <c r="B93" s="76">
        <f>IF('Final Calculation Sheet'!$F$35="","",'Final Calculation Sheet'!$F$35)</f>
        <v/>
      </c>
      <c r="C93" s="76">
        <f>IF('Final Calculation Sheet'!$G$35="","",'Final Calculation Sheet'!$G$35)</f>
        <v/>
      </c>
      <c r="D93" s="80">
        <f>IF('Final Calculation Sheet'!$B$35="","",'Final Calculation Sheet'!$B$35)</f>
        <v/>
      </c>
      <c r="E93" s="80">
        <f>IF('Final Calculation Sheet'!$D$35="","",'Final Calculation Sheet'!$D$35)</f>
        <v/>
      </c>
      <c r="F93" s="80">
        <f>IF('Final Calculation Sheet'!$A$35="","",'Final Calculation Sheet'!$A$35)</f>
        <v/>
      </c>
      <c r="G93" s="80">
        <f>IF('Final Calculation Sheet'!$E$35="","",'Final Calculation Sheet'!$E$35)</f>
        <v/>
      </c>
      <c r="H93" s="70">
        <f>IF('Final Calculation Sheet'!$C$35="","",'Final Calculation Sheet'!$C$35)</f>
        <v/>
      </c>
      <c r="I93" s="70">
        <f>IF('Final Calculation Sheet'!$H$35="","",'Final Calculation Sheet'!$H$35)</f>
        <v/>
      </c>
      <c r="J93" s="70">
        <f>IF('Final Calculation Sheet'!$I$35="","",'Final Calculation Sheet'!$I$35)</f>
        <v/>
      </c>
      <c r="K93" s="70">
        <f>IF('Final Calculation Sheet'!$J$35="","",'Final Calculation Sheet'!$J$35)</f>
        <v/>
      </c>
      <c r="L93" s="70">
        <f>IF('Final Calculation Sheet'!$K$35="","",'Final Calculation Sheet'!$K$35)</f>
        <v/>
      </c>
      <c r="M93" s="70">
        <f>IF('Final Calculation Sheet'!$L$35="","",'Final Calculation Sheet'!$L$35)</f>
        <v/>
      </c>
      <c r="N93" s="70">
        <f>IF('Final Calculation Sheet'!$M$35="","",'Final Calculation Sheet'!$M$35)</f>
        <v/>
      </c>
      <c r="O93" s="71">
        <f>IF('Final Calculation Sheet'!$N$35="","",'Final Calculation Sheet'!$N$35)</f>
        <v/>
      </c>
      <c r="P93" s="70">
        <f>IF('Final Calculation Sheet'!$O$35="","",'Final Calculation Sheet'!$O$35)</f>
        <v/>
      </c>
      <c r="Q93" s="70">
        <f>IF('Final Calculation Sheet'!$P$35="","",'Final Calculation Sheet'!$P$35)</f>
        <v/>
      </c>
      <c r="R93" s="72">
        <f>IF('Final Calculation Sheet'!$Q$35="","",'Final Calculation Sheet'!$Q$35)</f>
        <v/>
      </c>
      <c r="S93" s="70">
        <f>IF('Final Calculation Sheet'!$R$35="","",'Final Calculation Sheet'!$R$35)</f>
        <v/>
      </c>
      <c r="T93" s="70">
        <f>IF('Final Calculation Sheet'!$S$35="","",'Final Calculation Sheet'!$S$35)</f>
        <v/>
      </c>
      <c r="U93" s="70">
        <f>IF('Final Calculation Sheet'!$T$35="","",'Final Calculation Sheet'!$T$35)</f>
        <v/>
      </c>
      <c r="V93" s="73">
        <f>IF('Final Calculation Sheet'!$U$35="","",'Final Calculation Sheet'!$U$35)</f>
        <v/>
      </c>
      <c r="W93" s="70">
        <f>IF('Final Calculation Sheet'!$V$35="","",'Final Calculation Sheet'!$V$35)</f>
        <v/>
      </c>
      <c r="X93" s="70">
        <f>IF('Final Calculation Sheet'!$W$35="","",'Final Calculation Sheet'!$W$35)</f>
        <v/>
      </c>
      <c r="Y93" s="70">
        <f>IF('Final Calculation Sheet'!$X$35="","",'Final Calculation Sheet'!$X$35)</f>
        <v/>
      </c>
      <c r="Z93" s="70">
        <f>IF('Final Calculation Sheet'!$Y$35="","",'Final Calculation Sheet'!$Y$35)</f>
        <v/>
      </c>
      <c r="AA93" s="70">
        <f>IF('Final Calculation Sheet'!$Z$35="","",'Final Calculation Sheet'!$Z$35)</f>
        <v/>
      </c>
      <c r="AB93" s="70">
        <f>IF('Final Calculation Sheet'!$AA$35="","",'Final Calculation Sheet'!$AA$35)</f>
        <v/>
      </c>
      <c r="AC93" s="70">
        <f>IF('Final Calculation Sheet'!$AB$35="","",'Final Calculation Sheet'!$AB$35)</f>
        <v/>
      </c>
      <c r="AD93" s="70">
        <f>IF('Final Calculation Sheet'!$AC$35="","",'Final Calculation Sheet'!$AC$35)</f>
        <v/>
      </c>
      <c r="AE93" s="70">
        <f>IF('Final Calculation Sheet'!$AD$35="","",'Final Calculation Sheet'!$AD$35)</f>
        <v/>
      </c>
      <c r="AF93" s="75">
        <f>IF('Final Calculation Sheet'!$AD$35="","",IF('Final Calculation Sheet'!$AD$35&lt;=5,"SETTLED","OUTSTANDING"))</f>
        <v/>
      </c>
      <c r="AG93" s="70">
        <f>IF('Final Calculation Sheet'!$AF$35="","",'Final Calculation Sheet'!$AF$35)</f>
        <v/>
      </c>
      <c r="AH93" s="74">
        <f>IF('Final Calculation Sheet'!$AG$35="","",'Final Calculation Sheet'!$AG$35)</f>
        <v/>
      </c>
      <c r="AI93" s="70">
        <f>IF('Final Calculation Sheet'!$AH$35="","",'Final Calculation Sheet'!$AH$35)</f>
        <v/>
      </c>
    </row>
    <row r="94" ht="15" customHeight="1" s="137">
      <c r="A94" s="81" t="inlineStr">
        <is>
          <t>∑</t>
        </is>
      </c>
      <c r="B94" s="83" t="n"/>
      <c r="C94" s="83">
        <f>ROWS($C$91:$C$93)&amp;" lot(s)"</f>
        <v/>
      </c>
      <c r="D94" s="83" t="inlineStr">
        <is>
          <t>SUBTOTAL — WATAN SCRAP TRADERS</t>
        </is>
      </c>
      <c r="E94" s="83" t="inlineStr">
        <is>
          <t>–</t>
        </is>
      </c>
      <c r="F94" s="83">
        <f>SUM(F91:F93)</f>
        <v/>
      </c>
      <c r="G94" s="83" t="inlineStr">
        <is>
          <t>–</t>
        </is>
      </c>
      <c r="H94" s="84" t="inlineStr">
        <is>
          <t>–</t>
        </is>
      </c>
      <c r="I94" s="84">
        <f>SUM(I91:I93)</f>
        <v/>
      </c>
      <c r="J94" s="84">
        <f>SUM(J91:J93)</f>
        <v/>
      </c>
      <c r="K94" s="84">
        <f>SUM(K91:K93)</f>
        <v/>
      </c>
      <c r="L94" s="84">
        <f>SUM(L91:L93)</f>
        <v/>
      </c>
      <c r="M94" s="84">
        <f>SUM(M91:M93)</f>
        <v/>
      </c>
      <c r="N94" s="84">
        <f>SUM(N91:N93)</f>
        <v/>
      </c>
      <c r="O94" s="85">
        <f>SUM(O91:O93)</f>
        <v/>
      </c>
      <c r="P94" s="84">
        <f>SUM(P91:P93)</f>
        <v/>
      </c>
      <c r="Q94" s="84">
        <f>SUM(Q91:Q93)</f>
        <v/>
      </c>
      <c r="R94" s="86" t="inlineStr">
        <is>
          <t>–</t>
        </is>
      </c>
      <c r="S94" s="84">
        <f>SUM(S91:S93)</f>
        <v/>
      </c>
      <c r="T94" s="84">
        <f>SUM(T91:T93)</f>
        <v/>
      </c>
      <c r="U94" s="84">
        <f>SUM(U91:U93)</f>
        <v/>
      </c>
      <c r="V94" s="87">
        <f>SUM(V91:V93)</f>
        <v/>
      </c>
      <c r="W94" s="84" t="inlineStr">
        <is>
          <t>–</t>
        </is>
      </c>
      <c r="X94" s="84">
        <f>SUM(X91:X93)</f>
        <v/>
      </c>
      <c r="Y94" s="84">
        <f>SUM(Y91:Y93)</f>
        <v/>
      </c>
      <c r="Z94" s="84" t="inlineStr">
        <is>
          <t>–</t>
        </is>
      </c>
      <c r="AA94" s="84">
        <f>SUM(AA91:AA93)</f>
        <v/>
      </c>
      <c r="AB94" s="84">
        <f>SUM(AB91:AB93)</f>
        <v/>
      </c>
      <c r="AC94" s="84" t="inlineStr">
        <is>
          <t>–</t>
        </is>
      </c>
      <c r="AD94" s="84">
        <f>SUM(AD91:AD93)</f>
        <v/>
      </c>
      <c r="AE94" s="84">
        <f>SUM(AE91:AE93)</f>
        <v/>
      </c>
      <c r="AF94" s="89">
        <f>IF(AE94&lt;=5,"SETTLED","OUTSTANDING")</f>
        <v/>
      </c>
      <c r="AG94" s="84" t="inlineStr">
        <is>
          <t>–</t>
        </is>
      </c>
      <c r="AH94" s="88" t="inlineStr">
        <is>
          <t>–</t>
        </is>
      </c>
      <c r="AI94" s="84" t="inlineStr">
        <is>
          <t>–</t>
        </is>
      </c>
    </row>
    <row r="95" ht="15" customHeight="1" s="137">
      <c r="A95" s="101" t="inlineStr">
        <is>
          <t>∑</t>
        </is>
      </c>
      <c r="B95" s="102" t="n"/>
      <c r="C95" s="102">
        <f>COUNTA('Final Calculation Sheet'!$G$4:$G$40)&amp;" lot(s)"</f>
        <v/>
      </c>
      <c r="D95" s="102" t="inlineStr">
        <is>
          <t>TOTAL — every buyer together</t>
        </is>
      </c>
      <c r="E95" s="102" t="inlineStr">
        <is>
          <t>–</t>
        </is>
      </c>
      <c r="F95" s="102">
        <f>SUM(F46,F49,F51,F53,F55,F69,F71,F74,F77,F79,F82,F90,F94)</f>
        <v/>
      </c>
      <c r="G95" s="102" t="inlineStr">
        <is>
          <t>–</t>
        </is>
      </c>
      <c r="H95" s="103" t="inlineStr">
        <is>
          <t>–</t>
        </is>
      </c>
      <c r="I95" s="103">
        <f>SUM(I46,I49,I51,I53,I55,I69,I71,I74,I77,I79,I82,I90,I94)</f>
        <v/>
      </c>
      <c r="J95" s="103">
        <f>SUM(J46,J49,J51,J53,J55,J69,J71,J74,J77,J79,J82,J90,J94)</f>
        <v/>
      </c>
      <c r="K95" s="103">
        <f>SUM(K46,K49,K51,K53,K55,K69,K71,K74,K77,K79,K82,K90,K94)</f>
        <v/>
      </c>
      <c r="L95" s="103">
        <f>SUM(L46,L49,L51,L53,L55,L69,L71,L74,L77,L79,L82,L90,L94)</f>
        <v/>
      </c>
      <c r="M95" s="103">
        <f>SUM(M46,M49,M51,M53,M55,M69,M71,M74,M77,M79,M82,M90,M94)</f>
        <v/>
      </c>
      <c r="N95" s="103">
        <f>SUM(N46,N49,N51,N53,N55,N69,N71,N74,N77,N79,N82,N90,N94)</f>
        <v/>
      </c>
      <c r="O95" s="104">
        <f>SUM(O46,O49,O51,O53,O55,O69,O71,O74,O77,O79,O82,O90,O94)</f>
        <v/>
      </c>
      <c r="P95" s="103">
        <f>SUM(P46,P49,P51,P53,P55,P69,P71,P74,P77,P79,P82,P90,P94)</f>
        <v/>
      </c>
      <c r="Q95" s="103">
        <f>SUM(Q46,Q49,Q51,Q53,Q55,Q69,Q71,Q74,Q77,Q79,Q82,Q90,Q94)</f>
        <v/>
      </c>
      <c r="R95" s="105" t="inlineStr">
        <is>
          <t>–</t>
        </is>
      </c>
      <c r="S95" s="103">
        <f>SUM(S46,S49,S51,S53,S55,S69,S71,S74,S77,S79,S82,S90,S94)</f>
        <v/>
      </c>
      <c r="T95" s="103">
        <f>SUM(T46,T49,T51,T53,T55,T69,T71,T74,T77,T79,T82,T90,T94)</f>
        <v/>
      </c>
      <c r="U95" s="103">
        <f>SUM(U46,U49,U51,U53,U55,U69,U71,U74,U77,U79,U82,U90,U94)</f>
        <v/>
      </c>
      <c r="V95" s="106">
        <f>SUM(V46,V49,V51,V53,V55,V69,V71,V74,V77,V79,V82,V90,V94)</f>
        <v/>
      </c>
      <c r="W95" s="103" t="inlineStr">
        <is>
          <t>–</t>
        </is>
      </c>
      <c r="X95" s="103">
        <f>SUM(X46,X49,X51,X53,X55,X69,X71,X74,X77,X79,X82,X90,X94)</f>
        <v/>
      </c>
      <c r="Y95" s="103">
        <f>SUM(Y46,Y49,Y51,Y53,Y55,Y69,Y71,Y74,Y77,Y79,Y82,Y90,Y94)</f>
        <v/>
      </c>
      <c r="Z95" s="103" t="inlineStr">
        <is>
          <t>–</t>
        </is>
      </c>
      <c r="AA95" s="103">
        <f>SUM(AA46,AA49,AA51,AA53,AA55,AA69,AA71,AA74,AA77,AA79,AA82,AA90,AA94)</f>
        <v/>
      </c>
      <c r="AB95" s="103">
        <f>SUM(AB46,AB49,AB51,AB53,AB55,AB69,AB71,AB74,AB77,AB79,AB82,AB90,AB94)</f>
        <v/>
      </c>
      <c r="AC95" s="103" t="inlineStr">
        <is>
          <t>–</t>
        </is>
      </c>
      <c r="AD95" s="103">
        <f>SUM(AD46,AD49,AD51,AD53,AD55,AD69,AD71,AD74,AD77,AD79,AD82,AD90,AD94)</f>
        <v/>
      </c>
      <c r="AE95" s="103">
        <f>SUM(AE46,AE49,AE51,AE53,AE55,AE69,AE71,AE74,AE77,AE79,AE82,AE90,AE94)</f>
        <v/>
      </c>
      <c r="AF95" s="108">
        <f>IF(AE95&lt;=5,"SETTLED","OUTSTANDING")</f>
        <v/>
      </c>
      <c r="AG95" s="103" t="inlineStr">
        <is>
          <t>–</t>
        </is>
      </c>
      <c r="AH95" s="107" t="inlineStr">
        <is>
          <t>–</t>
        </is>
      </c>
      <c r="AI95" s="103" t="inlineStr">
        <is>
          <t>–</t>
        </is>
      </c>
    </row>
    <row r="96" ht="15" customHeight="1" s="137">
      <c r="A96" s="109" t="inlineStr">
        <is>
          <t>∑</t>
        </is>
      </c>
      <c r="B96" s="110" t="n"/>
      <c r="C96" s="110">
        <f>COUNTA('Final Calculation Sheet'!$G$4:$G$40)&amp;" lot(s)"</f>
        <v/>
      </c>
      <c r="D96" s="110" t="inlineStr">
        <is>
          <t>GRAND TOTAL — cross-checked to source</t>
        </is>
      </c>
      <c r="E96" s="110" t="inlineStr">
        <is>
          <t>–</t>
        </is>
      </c>
      <c r="F96" s="110">
        <f>SUM('Final Calculation Sheet'!$A$4:$A$40)</f>
        <v/>
      </c>
      <c r="G96" s="110" t="inlineStr">
        <is>
          <t>–</t>
        </is>
      </c>
      <c r="H96" s="111" t="inlineStr">
        <is>
          <t>–</t>
        </is>
      </c>
      <c r="I96" s="111">
        <f>SUM('Final Calculation Sheet'!$H$4:$H$40)</f>
        <v/>
      </c>
      <c r="J96" s="111">
        <f>SUM('Final Calculation Sheet'!$I$4:$I$40)</f>
        <v/>
      </c>
      <c r="K96" s="111">
        <f>SUM('Final Calculation Sheet'!$J$4:$J$40)</f>
        <v/>
      </c>
      <c r="L96" s="111">
        <f>SUM('Final Calculation Sheet'!$K$4:$K$40)</f>
        <v/>
      </c>
      <c r="M96" s="111">
        <f>SUM('Final Calculation Sheet'!$L$4:$L$40)</f>
        <v/>
      </c>
      <c r="N96" s="111">
        <f>SUM('Final Calculation Sheet'!$M$4:$M$40)</f>
        <v/>
      </c>
      <c r="O96" s="112">
        <f>SUM('Final Calculation Sheet'!$N$4:$N$40)</f>
        <v/>
      </c>
      <c r="P96" s="111">
        <f>SUM('Final Calculation Sheet'!$O$4:$O$40)</f>
        <v/>
      </c>
      <c r="Q96" s="111">
        <f>SUM('Final Calculation Sheet'!$P$4:$P$40)</f>
        <v/>
      </c>
      <c r="R96" s="113" t="inlineStr">
        <is>
          <t>–</t>
        </is>
      </c>
      <c r="S96" s="111">
        <f>SUM('Final Calculation Sheet'!$R$4:$R$40)</f>
        <v/>
      </c>
      <c r="T96" s="111">
        <f>SUM('Final Calculation Sheet'!$S$4:$S$40)</f>
        <v/>
      </c>
      <c r="U96" s="111">
        <f>SUM('Final Calculation Sheet'!$T$4:$T$40)</f>
        <v/>
      </c>
      <c r="V96" s="114">
        <f>SUM('Final Calculation Sheet'!$U$4:$U$40)</f>
        <v/>
      </c>
      <c r="W96" s="111" t="inlineStr">
        <is>
          <t>–</t>
        </is>
      </c>
      <c r="X96" s="111">
        <f>SUM('Final Calculation Sheet'!$W$4:$W$40)</f>
        <v/>
      </c>
      <c r="Y96" s="111">
        <f>SUM('Final Calculation Sheet'!$X$4:$X$40)</f>
        <v/>
      </c>
      <c r="Z96" s="111" t="inlineStr">
        <is>
          <t>–</t>
        </is>
      </c>
      <c r="AA96" s="111">
        <f>SUM('Final Calculation Sheet'!$Z$4:$Z$40)</f>
        <v/>
      </c>
      <c r="AB96" s="111">
        <f>SUM('Final Calculation Sheet'!$AA$4:$AA$40)</f>
        <v/>
      </c>
      <c r="AC96" s="111" t="inlineStr">
        <is>
          <t>–</t>
        </is>
      </c>
      <c r="AD96" s="111">
        <f>SUM('Final Calculation Sheet'!$AC$4:$AC$40)</f>
        <v/>
      </c>
      <c r="AE96" s="111">
        <f>SUM('Final Calculation Sheet'!$AD$4:$AD$40)</f>
        <v/>
      </c>
      <c r="AF96" s="116">
        <f>IF(AE96&lt;=5,"SETTLED","OUTSTANDING")</f>
        <v/>
      </c>
      <c r="AG96" s="111" t="inlineStr">
        <is>
          <t>–</t>
        </is>
      </c>
      <c r="AH96" s="115" t="inlineStr">
        <is>
          <t>–</t>
        </is>
      </c>
      <c r="AI96" s="111" t="inlineStr">
        <is>
          <t>–</t>
        </is>
      </c>
    </row>
  </sheetData>
  <mergeCells count="2">
    <mergeCell ref="A2:AI2"/>
    <mergeCell ref="A1:AI1"/>
  </mergeCells>
  <conditionalFormatting sqref="A45:AI96">
    <cfRule type="expression" priority="1" dxfId="50">
      <formula>AND(ISNUMBER($A45),$B45&lt;&gt;"",COUNTIF($B$4:$AI$4,"&lt;&gt;")&gt;0,COUNTIFS($B$7:$B$43,$B45,$C$7:$C$43,$C45)=0)</formula>
    </cfRule>
  </conditionalFormatting>
  <conditionalFormatting sqref="AE45:AE96">
    <cfRule type="cellIs" priority="2" operator="greaterThan" dxfId="0">
      <formula>5</formula>
    </cfRule>
  </conditionalFormatting>
  <conditionalFormatting sqref="AF45:AF96">
    <cfRule type="cellIs" priority="3" operator="equal" dxfId="2">
      <formula>"SETTLED"</formula>
    </cfRule>
    <cfRule type="cellIs" priority="4" operator="equal" dxfId="0">
      <formula>"OUTSTANDING"</formula>
    </cfRule>
  </conditionalFormatting>
  <conditionalFormatting sqref="B45:B94">
    <cfRule type="expression" priority="5" dxfId="3">
      <formula>AND(ISNUMBER($A45),$B$4&lt;&gt;"",IF($B$4="(blank)",B45="",IF($B$4="(nonblank)",B45&lt;&gt;"",ISNUMBER(SEARCH($B$4,B45)))))</formula>
    </cfRule>
  </conditionalFormatting>
  <conditionalFormatting sqref="B7:B43">
    <cfRule type="expression" priority="42" dxfId="3">
      <formula>AND(ISNUMBER($A7),$B$4&lt;&gt;"",IF($B$4="(blank)",B7="",IF($B$4="(nonblank)",B7&lt;&gt;"",ISNUMBER(SEARCH($B$4,B7)))))</formula>
    </cfRule>
  </conditionalFormatting>
  <conditionalFormatting sqref="C45:C94">
    <cfRule type="expression" priority="6" dxfId="3">
      <formula>AND(ISNUMBER($A45),$C$4&lt;&gt;"",IF($C$4="(blank)",C45="",IF($C$4="(nonblank)",C45&lt;&gt;"",ISNUMBER(SEARCH($C$4,C45)))))</formula>
    </cfRule>
  </conditionalFormatting>
  <conditionalFormatting sqref="C7:C43">
    <cfRule type="expression" priority="43" dxfId="3">
      <formula>AND(ISNUMBER($A7),$C$4&lt;&gt;"",IF($C$4="(blank)",C7="",IF($C$4="(nonblank)",C7&lt;&gt;"",ISNUMBER(SEARCH($C$4,C7)))))</formula>
    </cfRule>
  </conditionalFormatting>
  <conditionalFormatting sqref="D45:D94">
    <cfRule type="expression" priority="7" dxfId="3">
      <formula>AND(ISNUMBER($A45),$D$4&lt;&gt;"",IF($D$4="(blank)",D45="",IF($D$4="(nonblank)",D45&lt;&gt;"",ISNUMBER(SEARCH($D$4,D45)))))</formula>
    </cfRule>
  </conditionalFormatting>
  <conditionalFormatting sqref="D7:D43">
    <cfRule type="expression" priority="44" dxfId="3">
      <formula>AND(ISNUMBER($A7),$D$4&lt;&gt;"",IF($D$4="(blank)",D7="",IF($D$4="(nonblank)",D7&lt;&gt;"",ISNUMBER(SEARCH($D$4,D7)))))</formula>
    </cfRule>
  </conditionalFormatting>
  <conditionalFormatting sqref="E45:E94">
    <cfRule type="expression" priority="8" dxfId="3">
      <formula>AND(ISNUMBER($A45),$E$4&lt;&gt;"",IF($E$4="(blank)",E45="",IF($E$4="(nonblank)",E45&lt;&gt;"",ISNUMBER(SEARCH($E$4,E45)))))</formula>
    </cfRule>
  </conditionalFormatting>
  <conditionalFormatting sqref="E7:E43">
    <cfRule type="expression" priority="45" dxfId="3">
      <formula>AND(ISNUMBER($A7),$E$4&lt;&gt;"",IF($E$4="(blank)",E7="",IF($E$4="(nonblank)",E7&lt;&gt;"",ISNUMBER(SEARCH($E$4,E7)))))</formula>
    </cfRule>
  </conditionalFormatting>
  <conditionalFormatting sqref="F45:F94">
    <cfRule type="expression" priority="9" dxfId="3">
      <formula>AND(ISNUMBER($A45),$F$4&lt;&gt;"",IF($F$4="(blank)",F45="",IF($F$4="(nonblank)",F45&lt;&gt;"",ISNUMBER(SEARCH($F$4,F45)))))</formula>
    </cfRule>
  </conditionalFormatting>
  <conditionalFormatting sqref="F7:F43">
    <cfRule type="expression" priority="46" dxfId="3">
      <formula>AND(ISNUMBER($A7),$F$4&lt;&gt;"",IF($F$4="(blank)",F7="",IF($F$4="(nonblank)",F7&lt;&gt;"",ISNUMBER(SEARCH($F$4,F7)))))</formula>
    </cfRule>
  </conditionalFormatting>
  <conditionalFormatting sqref="G45:G94">
    <cfRule type="expression" priority="10" dxfId="3">
      <formula>AND(ISNUMBER($A45),$G$4&lt;&gt;"",IF($G$4="(blank)",G45="",IF($G$4="(nonblank)",G45&lt;&gt;"",ISNUMBER(SEARCH($G$4,G45)))))</formula>
    </cfRule>
  </conditionalFormatting>
  <conditionalFormatting sqref="G7:G43">
    <cfRule type="expression" priority="47" dxfId="3">
      <formula>AND(ISNUMBER($A7),$G$4&lt;&gt;"",IF($G$4="(blank)",G7="",IF($G$4="(nonblank)",G7&lt;&gt;"",ISNUMBER(SEARCH($G$4,G7)))))</formula>
    </cfRule>
  </conditionalFormatting>
  <conditionalFormatting sqref="H45:H94">
    <cfRule type="expression" priority="11" dxfId="3">
      <formula>AND(ISNUMBER($A45),$H$4&lt;&gt;"",IF($H$4="(blank)",H45="",IF($H$4="(nonblank)",H45&lt;&gt;"",ISNUMBER(SEARCH($H$4,H45)))))</formula>
    </cfRule>
  </conditionalFormatting>
  <conditionalFormatting sqref="H7:H43">
    <cfRule type="expression" priority="48" dxfId="3">
      <formula>AND(ISNUMBER($A7),$H$4&lt;&gt;"",IF($H$4="(blank)",H7="",IF($H$4="(nonblank)",H7&lt;&gt;"",ISNUMBER(SEARCH($H$4,H7)))))</formula>
    </cfRule>
  </conditionalFormatting>
  <conditionalFormatting sqref="I45:I94">
    <cfRule type="expression" priority="12" dxfId="3">
      <formula>AND(ISNUMBER($A45),$I$4&lt;&gt;"",IF($I$4="(blank)",I45="",IF($I$4="(nonblank)",I45&lt;&gt;"",ISNUMBER(SEARCH($I$4,I45)))))</formula>
    </cfRule>
  </conditionalFormatting>
  <conditionalFormatting sqref="I7:I43">
    <cfRule type="expression" priority="49" dxfId="3">
      <formula>AND(ISNUMBER($A7),$I$4&lt;&gt;"",IF($I$4="(blank)",I7="",IF($I$4="(nonblank)",I7&lt;&gt;"",ISNUMBER(SEARCH($I$4,I7)))))</formula>
    </cfRule>
  </conditionalFormatting>
  <conditionalFormatting sqref="J45:J94">
    <cfRule type="expression" priority="13" dxfId="3">
      <formula>AND(ISNUMBER($A45),$J$4&lt;&gt;"",IF($J$4="(blank)",J45="",IF($J$4="(nonblank)",J45&lt;&gt;"",ISNUMBER(SEARCH($J$4,J45)))))</formula>
    </cfRule>
  </conditionalFormatting>
  <conditionalFormatting sqref="J7:J43">
    <cfRule type="expression" priority="50" dxfId="3">
      <formula>AND(ISNUMBER($A7),$J$4&lt;&gt;"",IF($J$4="(blank)",J7="",IF($J$4="(nonblank)",J7&lt;&gt;"",ISNUMBER(SEARCH($J$4,J7)))))</formula>
    </cfRule>
  </conditionalFormatting>
  <conditionalFormatting sqref="K45:K94">
    <cfRule type="expression" priority="14" dxfId="3">
      <formula>AND(ISNUMBER($A45),$K$4&lt;&gt;"",IF($K$4="(blank)",K45="",IF($K$4="(nonblank)",K45&lt;&gt;"",ISNUMBER(SEARCH($K$4,K45)))))</formula>
    </cfRule>
  </conditionalFormatting>
  <conditionalFormatting sqref="K7:K43">
    <cfRule type="expression" priority="51" dxfId="3">
      <formula>AND(ISNUMBER($A7),$K$4&lt;&gt;"",IF($K$4="(blank)",K7="",IF($K$4="(nonblank)",K7&lt;&gt;"",ISNUMBER(SEARCH($K$4,K7)))))</formula>
    </cfRule>
  </conditionalFormatting>
  <conditionalFormatting sqref="L45:L94">
    <cfRule type="expression" priority="15" dxfId="3">
      <formula>AND(ISNUMBER($A45),$L$4&lt;&gt;"",IF($L$4="(blank)",L45="",IF($L$4="(nonblank)",L45&lt;&gt;"",ISNUMBER(SEARCH($L$4,L45)))))</formula>
    </cfRule>
  </conditionalFormatting>
  <conditionalFormatting sqref="L7:L43">
    <cfRule type="expression" priority="52" dxfId="3">
      <formula>AND(ISNUMBER($A7),$L$4&lt;&gt;"",IF($L$4="(blank)",L7="",IF($L$4="(nonblank)",L7&lt;&gt;"",ISNUMBER(SEARCH($L$4,L7)))))</formula>
    </cfRule>
  </conditionalFormatting>
  <conditionalFormatting sqref="M45:M94">
    <cfRule type="expression" priority="16" dxfId="3">
      <formula>AND(ISNUMBER($A45),$M$4&lt;&gt;"",IF($M$4="(blank)",M45="",IF($M$4="(nonblank)",M45&lt;&gt;"",ISNUMBER(SEARCH($M$4,M45)))))</formula>
    </cfRule>
  </conditionalFormatting>
  <conditionalFormatting sqref="M7:M43">
    <cfRule type="expression" priority="53" dxfId="3">
      <formula>AND(ISNUMBER($A7),$M$4&lt;&gt;"",IF($M$4="(blank)",M7="",IF($M$4="(nonblank)",M7&lt;&gt;"",ISNUMBER(SEARCH($M$4,M7)))))</formula>
    </cfRule>
  </conditionalFormatting>
  <conditionalFormatting sqref="N45:N94">
    <cfRule type="expression" priority="17" dxfId="3">
      <formula>AND(ISNUMBER($A45),$N$4&lt;&gt;"",IF($N$4="(blank)",N45="",IF($N$4="(nonblank)",N45&lt;&gt;"",ISNUMBER(SEARCH($N$4,N45)))))</formula>
    </cfRule>
  </conditionalFormatting>
  <conditionalFormatting sqref="N7:N43">
    <cfRule type="expression" priority="54" dxfId="3">
      <formula>AND(ISNUMBER($A7),$N$4&lt;&gt;"",IF($N$4="(blank)",N7="",IF($N$4="(nonblank)",N7&lt;&gt;"",ISNUMBER(SEARCH($N$4,N7)))))</formula>
    </cfRule>
  </conditionalFormatting>
  <conditionalFormatting sqref="O45:O94">
    <cfRule type="expression" priority="18" dxfId="3">
      <formula>AND(ISNUMBER($A45),$O$4&lt;&gt;"",IF($O$4="(blank)",O45="",IF($O$4="(nonblank)",O45&lt;&gt;"",ISNUMBER(SEARCH($O$4,O45)))))</formula>
    </cfRule>
  </conditionalFormatting>
  <conditionalFormatting sqref="O7:O43">
    <cfRule type="expression" priority="55" dxfId="3">
      <formula>AND(ISNUMBER($A7),$O$4&lt;&gt;"",IF($O$4="(blank)",O7="",IF($O$4="(nonblank)",O7&lt;&gt;"",ISNUMBER(SEARCH($O$4,O7)))))</formula>
    </cfRule>
  </conditionalFormatting>
  <conditionalFormatting sqref="P45:P94">
    <cfRule type="expression" priority="19" dxfId="3">
      <formula>AND(ISNUMBER($A45),$P$4&lt;&gt;"",IF($P$4="(blank)",P45="",IF($P$4="(nonblank)",P45&lt;&gt;"",ISNUMBER(SEARCH($P$4,P45)))))</formula>
    </cfRule>
  </conditionalFormatting>
  <conditionalFormatting sqref="P7:P43">
    <cfRule type="expression" priority="56" dxfId="3">
      <formula>AND(ISNUMBER($A7),$P$4&lt;&gt;"",IF($P$4="(blank)",P7="",IF($P$4="(nonblank)",P7&lt;&gt;"",ISNUMBER(SEARCH($P$4,P7)))))</formula>
    </cfRule>
  </conditionalFormatting>
  <conditionalFormatting sqref="Q45:Q94">
    <cfRule type="expression" priority="20" dxfId="3">
      <formula>AND(ISNUMBER($A45),$Q$4&lt;&gt;"",IF($Q$4="(blank)",Q45="",IF($Q$4="(nonblank)",Q45&lt;&gt;"",ISNUMBER(SEARCH($Q$4,Q45)))))</formula>
    </cfRule>
  </conditionalFormatting>
  <conditionalFormatting sqref="Q7:Q43">
    <cfRule type="expression" priority="57" dxfId="3">
      <formula>AND(ISNUMBER($A7),$Q$4&lt;&gt;"",IF($Q$4="(blank)",Q7="",IF($Q$4="(nonblank)",Q7&lt;&gt;"",ISNUMBER(SEARCH($Q$4,Q7)))))</formula>
    </cfRule>
  </conditionalFormatting>
  <conditionalFormatting sqref="R45:R94">
    <cfRule type="expression" priority="21" dxfId="3">
      <formula>AND(ISNUMBER($A45),$R$4&lt;&gt;"",IF($R$4="(blank)",R45="",IF($R$4="(nonblank)",R45&lt;&gt;"",ISNUMBER(SEARCH($R$4,R45)))))</formula>
    </cfRule>
  </conditionalFormatting>
  <conditionalFormatting sqref="R7:R43">
    <cfRule type="expression" priority="58" dxfId="3">
      <formula>AND(ISNUMBER($A7),$R$4&lt;&gt;"",IF($R$4="(blank)",R7="",IF($R$4="(nonblank)",R7&lt;&gt;"",ISNUMBER(SEARCH($R$4,R7)))))</formula>
    </cfRule>
  </conditionalFormatting>
  <conditionalFormatting sqref="S45:S94">
    <cfRule type="expression" priority="22" dxfId="3">
      <formula>AND(ISNUMBER($A45),$S$4&lt;&gt;"",IF($S$4="(blank)",S45="",IF($S$4="(nonblank)",S45&lt;&gt;"",ISNUMBER(SEARCH($S$4,S45)))))</formula>
    </cfRule>
  </conditionalFormatting>
  <conditionalFormatting sqref="S7:S43">
    <cfRule type="expression" priority="59" dxfId="3">
      <formula>AND(ISNUMBER($A7),$S$4&lt;&gt;"",IF($S$4="(blank)",S7="",IF($S$4="(nonblank)",S7&lt;&gt;"",ISNUMBER(SEARCH($S$4,S7)))))</formula>
    </cfRule>
  </conditionalFormatting>
  <conditionalFormatting sqref="T45:T94">
    <cfRule type="expression" priority="23" dxfId="3">
      <formula>AND(ISNUMBER($A45),$T$4&lt;&gt;"",IF($T$4="(blank)",T45="",IF($T$4="(nonblank)",T45&lt;&gt;"",ISNUMBER(SEARCH($T$4,T45)))))</formula>
    </cfRule>
  </conditionalFormatting>
  <conditionalFormatting sqref="T7:T43">
    <cfRule type="expression" priority="60" dxfId="3">
      <formula>AND(ISNUMBER($A7),$T$4&lt;&gt;"",IF($T$4="(blank)",T7="",IF($T$4="(nonblank)",T7&lt;&gt;"",ISNUMBER(SEARCH($T$4,T7)))))</formula>
    </cfRule>
  </conditionalFormatting>
  <conditionalFormatting sqref="U45:U94">
    <cfRule type="expression" priority="24" dxfId="3">
      <formula>AND(ISNUMBER($A45),$U$4&lt;&gt;"",IF($U$4="(blank)",U45="",IF($U$4="(nonblank)",U45&lt;&gt;"",ISNUMBER(SEARCH($U$4,U45)))))</formula>
    </cfRule>
  </conditionalFormatting>
  <conditionalFormatting sqref="U7:U43">
    <cfRule type="expression" priority="61" dxfId="3">
      <formula>AND(ISNUMBER($A7),$U$4&lt;&gt;"",IF($U$4="(blank)",U7="",IF($U$4="(nonblank)",U7&lt;&gt;"",ISNUMBER(SEARCH($U$4,U7)))))</formula>
    </cfRule>
  </conditionalFormatting>
  <conditionalFormatting sqref="V45:V94">
    <cfRule type="expression" priority="25" dxfId="3">
      <formula>AND(ISNUMBER($A45),$V$4&lt;&gt;"",IF($V$4="(blank)",V45="",IF($V$4="(nonblank)",V45&lt;&gt;"",ISNUMBER(SEARCH($V$4,V45)))))</formula>
    </cfRule>
  </conditionalFormatting>
  <conditionalFormatting sqref="V7:V43">
    <cfRule type="expression" priority="62" dxfId="3">
      <formula>AND(ISNUMBER($A7),$V$4&lt;&gt;"",IF($V$4="(blank)",V7="",IF($V$4="(nonblank)",V7&lt;&gt;"",ISNUMBER(SEARCH($V$4,V7)))))</formula>
    </cfRule>
  </conditionalFormatting>
  <conditionalFormatting sqref="W45:W94">
    <cfRule type="expression" priority="26" dxfId="3">
      <formula>AND(ISNUMBER($A45),$W$4&lt;&gt;"",IF($W$4="(blank)",W45="",IF($W$4="(nonblank)",W45&lt;&gt;"",ISNUMBER(SEARCH($W$4,W45)))))</formula>
    </cfRule>
  </conditionalFormatting>
  <conditionalFormatting sqref="W7:W43">
    <cfRule type="expression" priority="63" dxfId="3">
      <formula>AND(ISNUMBER($A7),$W$4&lt;&gt;"",IF($W$4="(blank)",W7="",IF($W$4="(nonblank)",W7&lt;&gt;"",ISNUMBER(SEARCH($W$4,W7)))))</formula>
    </cfRule>
  </conditionalFormatting>
  <conditionalFormatting sqref="X45:X94">
    <cfRule type="expression" priority="27" dxfId="3">
      <formula>AND(ISNUMBER($A45),$X$4&lt;&gt;"",IF($X$4="(blank)",X45="",IF($X$4="(nonblank)",X45&lt;&gt;"",ISNUMBER(SEARCH($X$4,X45)))))</formula>
    </cfRule>
  </conditionalFormatting>
  <conditionalFormatting sqref="X7:X43">
    <cfRule type="expression" priority="64" dxfId="3">
      <formula>AND(ISNUMBER($A7),$X$4&lt;&gt;"",IF($X$4="(blank)",X7="",IF($X$4="(nonblank)",X7&lt;&gt;"",ISNUMBER(SEARCH($X$4,X7)))))</formula>
    </cfRule>
  </conditionalFormatting>
  <conditionalFormatting sqref="Y45:Y94">
    <cfRule type="expression" priority="28" dxfId="3">
      <formula>AND(ISNUMBER($A45),$Y$4&lt;&gt;"",IF($Y$4="(blank)",Y45="",IF($Y$4="(nonblank)",Y45&lt;&gt;"",ISNUMBER(SEARCH($Y$4,Y45)))))</formula>
    </cfRule>
  </conditionalFormatting>
  <conditionalFormatting sqref="Y7:Y43">
    <cfRule type="expression" priority="65" dxfId="3">
      <formula>AND(ISNUMBER($A7),$Y$4&lt;&gt;"",IF($Y$4="(blank)",Y7="",IF($Y$4="(nonblank)",Y7&lt;&gt;"",ISNUMBER(SEARCH($Y$4,Y7)))))</formula>
    </cfRule>
  </conditionalFormatting>
  <conditionalFormatting sqref="Z45:Z94">
    <cfRule type="expression" priority="29" dxfId="3">
      <formula>AND(ISNUMBER($A45),$Z$4&lt;&gt;"",IF($Z$4="(blank)",Z45="",IF($Z$4="(nonblank)",Z45&lt;&gt;"",ISNUMBER(SEARCH($Z$4,Z45)))))</formula>
    </cfRule>
  </conditionalFormatting>
  <conditionalFormatting sqref="Z7:Z43">
    <cfRule type="expression" priority="66" dxfId="3">
      <formula>AND(ISNUMBER($A7),$Z$4&lt;&gt;"",IF($Z$4="(blank)",Z7="",IF($Z$4="(nonblank)",Z7&lt;&gt;"",ISNUMBER(SEARCH($Z$4,Z7)))))</formula>
    </cfRule>
  </conditionalFormatting>
  <conditionalFormatting sqref="AA45:AA94">
    <cfRule type="expression" priority="30" dxfId="3">
      <formula>AND(ISNUMBER($A45),$AA$4&lt;&gt;"",IF($AA$4="(blank)",AA45="",IF($AA$4="(nonblank)",AA45&lt;&gt;"",ISNUMBER(SEARCH($AA$4,AA45)))))</formula>
    </cfRule>
  </conditionalFormatting>
  <conditionalFormatting sqref="AA7:AA43">
    <cfRule type="expression" priority="67" dxfId="3">
      <formula>AND(ISNUMBER($A7),$AA$4&lt;&gt;"",IF($AA$4="(blank)",AA7="",IF($AA$4="(nonblank)",AA7&lt;&gt;"",ISNUMBER(SEARCH($AA$4,AA7)))))</formula>
    </cfRule>
  </conditionalFormatting>
  <conditionalFormatting sqref="AB45:AB94">
    <cfRule type="expression" priority="31" dxfId="3">
      <formula>AND(ISNUMBER($A45),$AB$4&lt;&gt;"",IF($AB$4="(blank)",AB45="",IF($AB$4="(nonblank)",AB45&lt;&gt;"",ISNUMBER(SEARCH($AB$4,AB45)))))</formula>
    </cfRule>
  </conditionalFormatting>
  <conditionalFormatting sqref="AB7:AB43">
    <cfRule type="expression" priority="68" dxfId="3">
      <formula>AND(ISNUMBER($A7),$AB$4&lt;&gt;"",IF($AB$4="(blank)",AB7="",IF($AB$4="(nonblank)",AB7&lt;&gt;"",ISNUMBER(SEARCH($AB$4,AB7)))))</formula>
    </cfRule>
  </conditionalFormatting>
  <conditionalFormatting sqref="AC45:AC94">
    <cfRule type="expression" priority="32" dxfId="3">
      <formula>AND(ISNUMBER($A45),$AC$4&lt;&gt;"",IF($AC$4="(blank)",AC45="",IF($AC$4="(nonblank)",AC45&lt;&gt;"",ISNUMBER(SEARCH($AC$4,AC45)))))</formula>
    </cfRule>
  </conditionalFormatting>
  <conditionalFormatting sqref="AC7:AC43">
    <cfRule type="expression" priority="69" dxfId="3">
      <formula>AND(ISNUMBER($A7),$AC$4&lt;&gt;"",IF($AC$4="(blank)",AC7="",IF($AC$4="(nonblank)",AC7&lt;&gt;"",ISNUMBER(SEARCH($AC$4,AC7)))))</formula>
    </cfRule>
  </conditionalFormatting>
  <conditionalFormatting sqref="AD45:AD94">
    <cfRule type="expression" priority="33" dxfId="3">
      <formula>AND(ISNUMBER($A45),$AD$4&lt;&gt;"",IF($AD$4="(blank)",AD45="",IF($AD$4="(nonblank)",AD45&lt;&gt;"",ISNUMBER(SEARCH($AD$4,AD45)))))</formula>
    </cfRule>
  </conditionalFormatting>
  <conditionalFormatting sqref="AD7:AD43">
    <cfRule type="expression" priority="70" dxfId="3">
      <formula>AND(ISNUMBER($A7),$AD$4&lt;&gt;"",IF($AD$4="(blank)",AD7="",IF($AD$4="(nonblank)",AD7&lt;&gt;"",ISNUMBER(SEARCH($AD$4,AD7)))))</formula>
    </cfRule>
  </conditionalFormatting>
  <conditionalFormatting sqref="AE45:AE94">
    <cfRule type="expression" priority="34" dxfId="3">
      <formula>AND(ISNUMBER($A45),$AE$4&lt;&gt;"",IF($AE$4="(blank)",AE45="",IF($AE$4="(nonblank)",AE45&lt;&gt;"",ISNUMBER(SEARCH($AE$4,AE45)))))</formula>
    </cfRule>
  </conditionalFormatting>
  <conditionalFormatting sqref="AE7:AE43">
    <cfRule type="expression" priority="71" dxfId="3">
      <formula>AND(ISNUMBER($A7),$AE$4&lt;&gt;"",IF($AE$4="(blank)",AE7="",IF($AE$4="(nonblank)",AE7&lt;&gt;"",ISNUMBER(SEARCH($AE$4,AE7)))))</formula>
    </cfRule>
  </conditionalFormatting>
  <conditionalFormatting sqref="AG45:AG94">
    <cfRule type="expression" priority="35" dxfId="3">
      <formula>AND(ISNUMBER($A45),$AG$4&lt;&gt;"",IF($AG$4="(blank)",AG45="",IF($AG$4="(nonblank)",AG45&lt;&gt;"",ISNUMBER(SEARCH($AG$4,AG45)))))</formula>
    </cfRule>
  </conditionalFormatting>
  <conditionalFormatting sqref="AG7:AG43">
    <cfRule type="expression" priority="72" dxfId="3">
      <formula>AND(ISNUMBER($A7),$AG$4&lt;&gt;"",IF($AG$4="(blank)",AG7="",IF($AG$4="(nonblank)",AG7&lt;&gt;"",ISNUMBER(SEARCH($AG$4,AG7)))))</formula>
    </cfRule>
  </conditionalFormatting>
  <conditionalFormatting sqref="AH45:AH94">
    <cfRule type="expression" priority="36" dxfId="3">
      <formula>AND(ISNUMBER($A45),$AH$4&lt;&gt;"",IF($AH$4="(blank)",AH45="",IF($AH$4="(nonblank)",AH45&lt;&gt;"",ISNUMBER(SEARCH($AH$4,AH45)))))</formula>
    </cfRule>
  </conditionalFormatting>
  <conditionalFormatting sqref="AH7:AH43">
    <cfRule type="expression" priority="73" dxfId="3">
      <formula>AND(ISNUMBER($A7),$AH$4&lt;&gt;"",IF($AH$4="(blank)",AH7="",IF($AH$4="(nonblank)",AH7&lt;&gt;"",ISNUMBER(SEARCH($AH$4,AH7)))))</formula>
    </cfRule>
  </conditionalFormatting>
  <conditionalFormatting sqref="AI45:AI94">
    <cfRule type="expression" priority="37" dxfId="3">
      <formula>AND(ISNUMBER($A45),$AI$4&lt;&gt;"",IF($AI$4="(blank)",AI45="",IF($AI$4="(nonblank)",AI45&lt;&gt;"",ISNUMBER(SEARCH($AI$4,AI45)))))</formula>
    </cfRule>
  </conditionalFormatting>
  <conditionalFormatting sqref="AI7:AI43">
    <cfRule type="expression" priority="74" dxfId="3">
      <formula>AND(ISNUMBER($A7),$AI$4&lt;&gt;"",IF($AI$4="(blank)",AI7="",IF($AI$4="(nonblank)",AI7&lt;&gt;"",ISNUMBER(SEARCH($AI$4,AI7)))))</formula>
    </cfRule>
  </conditionalFormatting>
  <conditionalFormatting sqref="AF45:AF94">
    <cfRule type="expression" priority="38" dxfId="3">
      <formula>AND(ISNUMBER($A45),$AF$4&lt;&gt;"",IF($AF$4="(blank)",AF45="",IF($AF$4="(nonblank)",AF45&lt;&gt;"",ISNUMBER(SEARCH($AF$4,AF45)))))</formula>
    </cfRule>
  </conditionalFormatting>
  <conditionalFormatting sqref="AF7:AF43">
    <cfRule type="expression" priority="75" dxfId="3">
      <formula>AND(ISNUMBER($A7),$AF$4&lt;&gt;"",IF($AF$4="(blank)",AF7="",IF($AF$4="(nonblank)",AF7&lt;&gt;"",ISNUMBER(SEARCH($AF$4,AF7)))))</formula>
    </cfRule>
  </conditionalFormatting>
  <conditionalFormatting sqref="AF7:AF43">
    <cfRule type="cellIs" priority="39" operator="equal" dxfId="2">
      <formula>"SETTLED"</formula>
    </cfRule>
    <cfRule type="cellIs" priority="40" operator="equal" dxfId="0">
      <formula>"OUTSTANDING"</formula>
    </cfRule>
  </conditionalFormatting>
  <conditionalFormatting sqref="AE7:AE43">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VU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SUG_* = Live Search cascading dropdowns (cols FY–LD). SUGN_* = Buyer Groups cascading dropdowns (cols LE–QJ), driven by hidden match helpers Buyer Groups!DG:EN.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c r="LE3" t="inlineStr">
        <is>
          <t>BG B cascade: FY (all-other-filters flag)</t>
        </is>
      </c>
      <c r="LF3" t="inlineStr">
        <is>
          <t>BG B cascade: FZ (candidate present flag)</t>
        </is>
      </c>
      <c r="LG3" t="inlineStr">
        <is>
          <t>BG B cascade: GA (running count)</t>
        </is>
      </c>
      <c r="LH3" t="inlineStr">
        <is>
          <t>BG B cascade: GB (dynamic dropdown list)</t>
        </is>
      </c>
      <c r="LI3" t="inlineStr">
        <is>
          <t>BG C cascade: FY (all-other-filters flag)</t>
        </is>
      </c>
      <c r="LJ3" t="inlineStr">
        <is>
          <t>BG C cascade: FZ (candidate present flag)</t>
        </is>
      </c>
      <c r="LK3" t="inlineStr">
        <is>
          <t>BG C cascade: GA (running count)</t>
        </is>
      </c>
      <c r="LL3" t="inlineStr">
        <is>
          <t>BG C cascade: GB (dynamic dropdown list)</t>
        </is>
      </c>
      <c r="LM3" t="inlineStr">
        <is>
          <t>BG D cascade: FY (all-other-filters flag)</t>
        </is>
      </c>
      <c r="LN3" t="inlineStr">
        <is>
          <t>BG D cascade: FZ (candidate present flag)</t>
        </is>
      </c>
      <c r="LO3" t="inlineStr">
        <is>
          <t>BG D cascade: GA (running count)</t>
        </is>
      </c>
      <c r="LP3" t="inlineStr">
        <is>
          <t>BG D cascade: GB (dynamic dropdown list)</t>
        </is>
      </c>
      <c r="LQ3" t="inlineStr">
        <is>
          <t>BG E cascade: FY (all-other-filters flag)</t>
        </is>
      </c>
      <c r="LR3" t="inlineStr">
        <is>
          <t>BG E cascade: FZ (candidate present flag)</t>
        </is>
      </c>
      <c r="LS3" t="inlineStr">
        <is>
          <t>BG E cascade: GA (running count)</t>
        </is>
      </c>
      <c r="LT3" t="inlineStr">
        <is>
          <t>BG E cascade: GB (dynamic dropdown list)</t>
        </is>
      </c>
      <c r="LU3" t="inlineStr">
        <is>
          <t>BG F cascade: FY (all-other-filters flag)</t>
        </is>
      </c>
      <c r="LV3" t="inlineStr">
        <is>
          <t>BG F cascade: FZ (candidate present flag)</t>
        </is>
      </c>
      <c r="LW3" t="inlineStr">
        <is>
          <t>BG F cascade: GA (running count)</t>
        </is>
      </c>
      <c r="LX3" t="inlineStr">
        <is>
          <t>BG F cascade: GB (dynamic dropdown list)</t>
        </is>
      </c>
      <c r="LY3" t="inlineStr">
        <is>
          <t>BG G cascade: FY (all-other-filters flag)</t>
        </is>
      </c>
      <c r="LZ3" t="inlineStr">
        <is>
          <t>BG G cascade: FZ (candidate present flag)</t>
        </is>
      </c>
      <c r="MA3" t="inlineStr">
        <is>
          <t>BG G cascade: GA (running count)</t>
        </is>
      </c>
      <c r="MB3" t="inlineStr">
        <is>
          <t>BG G cascade: GB (dynamic dropdown list)</t>
        </is>
      </c>
      <c r="MC3" t="inlineStr">
        <is>
          <t>BG H cascade: FY (all-other-filters flag)</t>
        </is>
      </c>
      <c r="MD3" t="inlineStr">
        <is>
          <t>BG H cascade: FZ (candidate present flag)</t>
        </is>
      </c>
      <c r="ME3" t="inlineStr">
        <is>
          <t>BG H cascade: GA (running count)</t>
        </is>
      </c>
      <c r="MF3" t="inlineStr">
        <is>
          <t>BG H cascade: GB (dynamic dropdown list)</t>
        </is>
      </c>
      <c r="MG3" t="inlineStr">
        <is>
          <t>BG I cascade: FY (all-other-filters flag)</t>
        </is>
      </c>
      <c r="MH3" t="inlineStr">
        <is>
          <t>BG I cascade: FZ (candidate present flag)</t>
        </is>
      </c>
      <c r="MI3" t="inlineStr">
        <is>
          <t>BG I cascade: GA (running count)</t>
        </is>
      </c>
      <c r="MJ3" t="inlineStr">
        <is>
          <t>BG I cascade: GB (dynamic dropdown list)</t>
        </is>
      </c>
      <c r="MK3" t="inlineStr">
        <is>
          <t>BG J cascade: FY (all-other-filters flag)</t>
        </is>
      </c>
      <c r="ML3" t="inlineStr">
        <is>
          <t>BG J cascade: FZ (candidate present flag)</t>
        </is>
      </c>
      <c r="MM3" t="inlineStr">
        <is>
          <t>BG J cascade: GA (running count)</t>
        </is>
      </c>
      <c r="MN3" t="inlineStr">
        <is>
          <t>BG J cascade: GB (dynamic dropdown list)</t>
        </is>
      </c>
      <c r="MO3" t="inlineStr">
        <is>
          <t>BG K cascade: FY (all-other-filters flag)</t>
        </is>
      </c>
      <c r="MP3" t="inlineStr">
        <is>
          <t>BG K cascade: FZ (candidate present flag)</t>
        </is>
      </c>
      <c r="MQ3" t="inlineStr">
        <is>
          <t>BG K cascade: GA (running count)</t>
        </is>
      </c>
      <c r="MR3" t="inlineStr">
        <is>
          <t>BG K cascade: GB (dynamic dropdown list)</t>
        </is>
      </c>
      <c r="MS3" t="inlineStr">
        <is>
          <t>BG L cascade: FY (all-other-filters flag)</t>
        </is>
      </c>
      <c r="MT3" t="inlineStr">
        <is>
          <t>BG L cascade: FZ (candidate present flag)</t>
        </is>
      </c>
      <c r="MU3" t="inlineStr">
        <is>
          <t>BG L cascade: GA (running count)</t>
        </is>
      </c>
      <c r="MV3" t="inlineStr">
        <is>
          <t>BG L cascade: GB (dynamic dropdown list)</t>
        </is>
      </c>
      <c r="MW3" t="inlineStr">
        <is>
          <t>BG M cascade: FY (all-other-filters flag)</t>
        </is>
      </c>
      <c r="MX3" t="inlineStr">
        <is>
          <t>BG M cascade: FZ (candidate present flag)</t>
        </is>
      </c>
      <c r="MY3" t="inlineStr">
        <is>
          <t>BG M cascade: GA (running count)</t>
        </is>
      </c>
      <c r="MZ3" t="inlineStr">
        <is>
          <t>BG M cascade: GB (dynamic dropdown list)</t>
        </is>
      </c>
      <c r="NA3" t="inlineStr">
        <is>
          <t>BG N cascade: FY (all-other-filters flag)</t>
        </is>
      </c>
      <c r="NB3" t="inlineStr">
        <is>
          <t>BG N cascade: FZ (candidate present flag)</t>
        </is>
      </c>
      <c r="NC3" t="inlineStr">
        <is>
          <t>BG N cascade: GA (running count)</t>
        </is>
      </c>
      <c r="ND3" t="inlineStr">
        <is>
          <t>BG N cascade: GB (dynamic dropdown list)</t>
        </is>
      </c>
      <c r="NE3" t="inlineStr">
        <is>
          <t>BG O cascade: FY (all-other-filters flag)</t>
        </is>
      </c>
      <c r="NF3" t="inlineStr">
        <is>
          <t>BG O cascade: FZ (candidate present flag)</t>
        </is>
      </c>
      <c r="NG3" t="inlineStr">
        <is>
          <t>BG O cascade: GA (running count)</t>
        </is>
      </c>
      <c r="NH3" t="inlineStr">
        <is>
          <t>BG O cascade: GB (dynamic dropdown list)</t>
        </is>
      </c>
      <c r="NI3" t="inlineStr">
        <is>
          <t>BG P cascade: FY (all-other-filters flag)</t>
        </is>
      </c>
      <c r="NJ3" t="inlineStr">
        <is>
          <t>BG P cascade: FZ (candidate present flag)</t>
        </is>
      </c>
      <c r="NK3" t="inlineStr">
        <is>
          <t>BG P cascade: GA (running count)</t>
        </is>
      </c>
      <c r="NL3" t="inlineStr">
        <is>
          <t>BG P cascade: GB (dynamic dropdown list)</t>
        </is>
      </c>
      <c r="NM3" t="inlineStr">
        <is>
          <t>BG Q cascade: FY (all-other-filters flag)</t>
        </is>
      </c>
      <c r="NN3" t="inlineStr">
        <is>
          <t>BG Q cascade: FZ (candidate present flag)</t>
        </is>
      </c>
      <c r="NO3" t="inlineStr">
        <is>
          <t>BG Q cascade: GA (running count)</t>
        </is>
      </c>
      <c r="NP3" t="inlineStr">
        <is>
          <t>BG Q cascade: GB (dynamic dropdown list)</t>
        </is>
      </c>
      <c r="NQ3" t="inlineStr">
        <is>
          <t>BG R cascade: FY (all-other-filters flag)</t>
        </is>
      </c>
      <c r="NR3" t="inlineStr">
        <is>
          <t>BG R cascade: FZ (candidate present flag)</t>
        </is>
      </c>
      <c r="NS3" t="inlineStr">
        <is>
          <t>BG R cascade: GA (running count)</t>
        </is>
      </c>
      <c r="NT3" t="inlineStr">
        <is>
          <t>BG R cascade: GB (dynamic dropdown list)</t>
        </is>
      </c>
      <c r="NU3" t="inlineStr">
        <is>
          <t>BG S cascade: FY (all-other-filters flag)</t>
        </is>
      </c>
      <c r="NV3" t="inlineStr">
        <is>
          <t>BG S cascade: FZ (candidate present flag)</t>
        </is>
      </c>
      <c r="NW3" t="inlineStr">
        <is>
          <t>BG S cascade: GA (running count)</t>
        </is>
      </c>
      <c r="NX3" t="inlineStr">
        <is>
          <t>BG S cascade: GB (dynamic dropdown list)</t>
        </is>
      </c>
      <c r="NY3" t="inlineStr">
        <is>
          <t>BG T cascade: FY (all-other-filters flag)</t>
        </is>
      </c>
      <c r="NZ3" t="inlineStr">
        <is>
          <t>BG T cascade: FZ (candidate present flag)</t>
        </is>
      </c>
      <c r="OA3" t="inlineStr">
        <is>
          <t>BG T cascade: GA (running count)</t>
        </is>
      </c>
      <c r="OB3" t="inlineStr">
        <is>
          <t>BG T cascade: GB (dynamic dropdown list)</t>
        </is>
      </c>
      <c r="OC3" t="inlineStr">
        <is>
          <t>BG U cascade: FY (all-other-filters flag)</t>
        </is>
      </c>
      <c r="OD3" t="inlineStr">
        <is>
          <t>BG U cascade: FZ (candidate present flag)</t>
        </is>
      </c>
      <c r="OE3" t="inlineStr">
        <is>
          <t>BG U cascade: GA (running count)</t>
        </is>
      </c>
      <c r="OF3" t="inlineStr">
        <is>
          <t>BG U cascade: GB (dynamic dropdown list)</t>
        </is>
      </c>
      <c r="OG3" t="inlineStr">
        <is>
          <t>BG V cascade: FY (all-other-filters flag)</t>
        </is>
      </c>
      <c r="OH3" t="inlineStr">
        <is>
          <t>BG V cascade: FZ (candidate present flag)</t>
        </is>
      </c>
      <c r="OI3" t="inlineStr">
        <is>
          <t>BG V cascade: GA (running count)</t>
        </is>
      </c>
      <c r="OJ3" t="inlineStr">
        <is>
          <t>BG V cascade: GB (dynamic dropdown list)</t>
        </is>
      </c>
      <c r="OK3" t="inlineStr">
        <is>
          <t>BG W cascade: FY (all-other-filters flag)</t>
        </is>
      </c>
      <c r="OL3" t="inlineStr">
        <is>
          <t>BG W cascade: FZ (candidate present flag)</t>
        </is>
      </c>
      <c r="OM3" t="inlineStr">
        <is>
          <t>BG W cascade: GA (running count)</t>
        </is>
      </c>
      <c r="ON3" t="inlineStr">
        <is>
          <t>BG W cascade: GB (dynamic dropdown list)</t>
        </is>
      </c>
      <c r="OO3" t="inlineStr">
        <is>
          <t>BG X cascade: FY (all-other-filters flag)</t>
        </is>
      </c>
      <c r="OP3" t="inlineStr">
        <is>
          <t>BG X cascade: FZ (candidate present flag)</t>
        </is>
      </c>
      <c r="OQ3" t="inlineStr">
        <is>
          <t>BG X cascade: GA (running count)</t>
        </is>
      </c>
      <c r="OR3" t="inlineStr">
        <is>
          <t>BG X cascade: GB (dynamic dropdown list)</t>
        </is>
      </c>
      <c r="OS3" t="inlineStr">
        <is>
          <t>BG Y cascade: FY (all-other-filters flag)</t>
        </is>
      </c>
      <c r="OT3" t="inlineStr">
        <is>
          <t>BG Y cascade: FZ (candidate present flag)</t>
        </is>
      </c>
      <c r="OU3" t="inlineStr">
        <is>
          <t>BG Y cascade: GA (running count)</t>
        </is>
      </c>
      <c r="OV3" t="inlineStr">
        <is>
          <t>BG Y cascade: GB (dynamic dropdown list)</t>
        </is>
      </c>
      <c r="OW3" t="inlineStr">
        <is>
          <t>BG Z cascade: FY (all-other-filters flag)</t>
        </is>
      </c>
      <c r="OX3" t="inlineStr">
        <is>
          <t>BG Z cascade: FZ (candidate present flag)</t>
        </is>
      </c>
      <c r="OY3" t="inlineStr">
        <is>
          <t>BG Z cascade: GA (running count)</t>
        </is>
      </c>
      <c r="OZ3" t="inlineStr">
        <is>
          <t>BG Z cascade: GB (dynamic dropdown list)</t>
        </is>
      </c>
      <c r="PA3" t="inlineStr">
        <is>
          <t>BG AA cascade: FY (all-other-filters flag)</t>
        </is>
      </c>
      <c r="PB3" t="inlineStr">
        <is>
          <t>BG AA cascade: FZ (candidate present flag)</t>
        </is>
      </c>
      <c r="PC3" t="inlineStr">
        <is>
          <t>BG AA cascade: GA (running count)</t>
        </is>
      </c>
      <c r="PD3" t="inlineStr">
        <is>
          <t>BG AA cascade: GB (dynamic dropdown list)</t>
        </is>
      </c>
      <c r="PE3" t="inlineStr">
        <is>
          <t>BG AB cascade: FY (all-other-filters flag)</t>
        </is>
      </c>
      <c r="PF3" t="inlineStr">
        <is>
          <t>BG AB cascade: FZ (candidate present flag)</t>
        </is>
      </c>
      <c r="PG3" t="inlineStr">
        <is>
          <t>BG AB cascade: GA (running count)</t>
        </is>
      </c>
      <c r="PH3" t="inlineStr">
        <is>
          <t>BG AB cascade: GB (dynamic dropdown list)</t>
        </is>
      </c>
      <c r="PI3" t="inlineStr">
        <is>
          <t>BG AC cascade: FY (all-other-filters flag)</t>
        </is>
      </c>
      <c r="PJ3" t="inlineStr">
        <is>
          <t>BG AC cascade: FZ (candidate present flag)</t>
        </is>
      </c>
      <c r="PK3" t="inlineStr">
        <is>
          <t>BG AC cascade: GA (running count)</t>
        </is>
      </c>
      <c r="PL3" t="inlineStr">
        <is>
          <t>BG AC cascade: GB (dynamic dropdown list)</t>
        </is>
      </c>
      <c r="PM3" t="inlineStr">
        <is>
          <t>BG AD cascade: FY (all-other-filters flag)</t>
        </is>
      </c>
      <c r="PN3" t="inlineStr">
        <is>
          <t>BG AD cascade: FZ (candidate present flag)</t>
        </is>
      </c>
      <c r="PO3" t="inlineStr">
        <is>
          <t>BG AD cascade: GA (running count)</t>
        </is>
      </c>
      <c r="PP3" t="inlineStr">
        <is>
          <t>BG AD cascade: GB (dynamic dropdown list)</t>
        </is>
      </c>
      <c r="PQ3" t="inlineStr">
        <is>
          <t>BG AE cascade: FY (all-other-filters flag)</t>
        </is>
      </c>
      <c r="PR3" t="inlineStr">
        <is>
          <t>BG AE cascade: FZ (candidate present flag)</t>
        </is>
      </c>
      <c r="PS3" t="inlineStr">
        <is>
          <t>BG AE cascade: GA (running count)</t>
        </is>
      </c>
      <c r="PT3" t="inlineStr">
        <is>
          <t>BG AE cascade: GB (dynamic dropdown list)</t>
        </is>
      </c>
      <c r="PU3" t="inlineStr">
        <is>
          <t>BG AF cascade: FY (all-other-filters flag)</t>
        </is>
      </c>
      <c r="PV3" t="inlineStr">
        <is>
          <t>BG AF cascade: FZ (candidate present flag)</t>
        </is>
      </c>
      <c r="PW3" t="inlineStr">
        <is>
          <t>BG AF cascade: GA (running count)</t>
        </is>
      </c>
      <c r="PX3" t="inlineStr">
        <is>
          <t>BG AF cascade: GB (dynamic dropdown list)</t>
        </is>
      </c>
      <c r="PY3" t="inlineStr">
        <is>
          <t>BG AG cascade: FY (all-other-filters flag)</t>
        </is>
      </c>
      <c r="PZ3" t="inlineStr">
        <is>
          <t>BG AG cascade: FZ (candidate present flag)</t>
        </is>
      </c>
      <c r="QA3" t="inlineStr">
        <is>
          <t>BG AG cascade: GA (running count)</t>
        </is>
      </c>
      <c r="QB3" t="inlineStr">
        <is>
          <t>BG AG cascade: GB (dynamic dropdown list)</t>
        </is>
      </c>
      <c r="QC3" t="inlineStr">
        <is>
          <t>BG AH cascade: FY (all-other-filters flag)</t>
        </is>
      </c>
      <c r="QD3" t="inlineStr">
        <is>
          <t>BG AH cascade: FZ (candidate present flag)</t>
        </is>
      </c>
      <c r="QE3" t="inlineStr">
        <is>
          <t>BG AH cascade: GA (running count)</t>
        </is>
      </c>
      <c r="QF3" t="inlineStr">
        <is>
          <t>BG AH cascade: GB (dynamic dropdown list)</t>
        </is>
      </c>
      <c r="QG3" t="inlineStr">
        <is>
          <t>BG AI cascade: FY (all-other-filters flag)</t>
        </is>
      </c>
      <c r="QH3" t="inlineStr">
        <is>
          <t>BG AI cascade: FZ (candidate present flag)</t>
        </is>
      </c>
      <c r="QI3" t="inlineStr">
        <is>
          <t>BG AI cascade: GA (running count)</t>
        </is>
      </c>
      <c r="QJ3" t="inlineStr">
        <is>
          <t>BG AI cascade: GB (dynamic dropdown list)</t>
        </is>
      </c>
      <c r="QK3" t="inlineStr">
        <is>
          <t xml:space="preserve">FCS AH (Final AH)</t>
        </is>
      </c>
      <c r="QP3" t="inlineStr">
        <is>
          <t xml:space="preserve">FCS A cascade: FY (all-other-filters flag)</t>
        </is>
      </c>
      <c r="QQ3" t="inlineStr">
        <is>
          <t xml:space="preserve">FCS A cascade: FZ (candidate present flag)</t>
        </is>
      </c>
      <c r="QR3" t="inlineStr">
        <is>
          <t xml:space="preserve">FCS A cascade: GA (running count)</t>
        </is>
      </c>
      <c r="QS3" t="inlineStr">
        <is>
          <t xml:space="preserve">FCS A cascade: GB (dynamic dropdown list)</t>
        </is>
      </c>
      <c r="QT3" t="inlineStr">
        <is>
          <t xml:space="preserve">FCS B cascade: FY (all-other-filters flag)</t>
        </is>
      </c>
      <c r="QU3" t="inlineStr">
        <is>
          <t xml:space="preserve">FCS B cascade: FZ (candidate present flag)</t>
        </is>
      </c>
      <c r="QV3" t="inlineStr">
        <is>
          <t xml:space="preserve">FCS B cascade: GA (running count)</t>
        </is>
      </c>
      <c r="QW3" t="inlineStr">
        <is>
          <t xml:space="preserve">FCS B cascade: GB (dynamic dropdown list)</t>
        </is>
      </c>
      <c r="QX3" t="inlineStr">
        <is>
          <t xml:space="preserve">FCS C cascade: FY (all-other-filters flag)</t>
        </is>
      </c>
      <c r="QY3" t="inlineStr">
        <is>
          <t xml:space="preserve">FCS C cascade: FZ (candidate present flag)</t>
        </is>
      </c>
      <c r="QZ3" t="inlineStr">
        <is>
          <t xml:space="preserve">FCS C cascade: GA (running count)</t>
        </is>
      </c>
      <c r="RA3" t="inlineStr">
        <is>
          <t xml:space="preserve">FCS C cascade: GB (dynamic dropdown list)</t>
        </is>
      </c>
      <c r="RB3" t="inlineStr">
        <is>
          <t xml:space="preserve">FCS D cascade: FY (all-other-filters flag)</t>
        </is>
      </c>
      <c r="RC3" t="inlineStr">
        <is>
          <t xml:space="preserve">FCS D cascade: FZ (candidate present flag)</t>
        </is>
      </c>
      <c r="RD3" t="inlineStr">
        <is>
          <t xml:space="preserve">FCS D cascade: GA (running count)</t>
        </is>
      </c>
      <c r="RE3" t="inlineStr">
        <is>
          <t xml:space="preserve">FCS D cascade: GB (dynamic dropdown list)</t>
        </is>
      </c>
      <c r="RF3" t="inlineStr">
        <is>
          <t xml:space="preserve">FCS E cascade: FY (all-other-filters flag)</t>
        </is>
      </c>
      <c r="RG3" t="inlineStr">
        <is>
          <t xml:space="preserve">FCS E cascade: FZ (candidate present flag)</t>
        </is>
      </c>
      <c r="RH3" t="inlineStr">
        <is>
          <t xml:space="preserve">FCS E cascade: GA (running count)</t>
        </is>
      </c>
      <c r="RI3" t="inlineStr">
        <is>
          <t xml:space="preserve">FCS E cascade: GB (dynamic dropdown list)</t>
        </is>
      </c>
      <c r="RJ3" t="inlineStr">
        <is>
          <t xml:space="preserve">FCS F cascade: FY (all-other-filters flag)</t>
        </is>
      </c>
      <c r="RK3" t="inlineStr">
        <is>
          <t xml:space="preserve">FCS F cascade: FZ (candidate present flag)</t>
        </is>
      </c>
      <c r="RL3" t="inlineStr">
        <is>
          <t xml:space="preserve">FCS F cascade: GA (running count)</t>
        </is>
      </c>
      <c r="RM3" t="inlineStr">
        <is>
          <t xml:space="preserve">FCS F cascade: GB (dynamic dropdown list)</t>
        </is>
      </c>
      <c r="RN3" t="inlineStr">
        <is>
          <t xml:space="preserve">FCS G cascade: FY (all-other-filters flag)</t>
        </is>
      </c>
      <c r="RO3" t="inlineStr">
        <is>
          <t xml:space="preserve">FCS G cascade: FZ (candidate present flag)</t>
        </is>
      </c>
      <c r="RP3" t="inlineStr">
        <is>
          <t xml:space="preserve">FCS G cascade: GA (running count)</t>
        </is>
      </c>
      <c r="RQ3" t="inlineStr">
        <is>
          <t xml:space="preserve">FCS G cascade: GB (dynamic dropdown list)</t>
        </is>
      </c>
      <c r="RR3" t="inlineStr">
        <is>
          <t xml:space="preserve">FCS H cascade: FY (all-other-filters flag)</t>
        </is>
      </c>
      <c r="RS3" t="inlineStr">
        <is>
          <t xml:space="preserve">FCS H cascade: FZ (candidate present flag)</t>
        </is>
      </c>
      <c r="RT3" t="inlineStr">
        <is>
          <t xml:space="preserve">FCS H cascade: GA (running count)</t>
        </is>
      </c>
      <c r="RU3" t="inlineStr">
        <is>
          <t xml:space="preserve">FCS H cascade: GB (dynamic dropdown list)</t>
        </is>
      </c>
      <c r="RV3" t="inlineStr">
        <is>
          <t xml:space="preserve">FCS I cascade: FY (all-other-filters flag)</t>
        </is>
      </c>
      <c r="RW3" t="inlineStr">
        <is>
          <t xml:space="preserve">FCS I cascade: FZ (candidate present flag)</t>
        </is>
      </c>
      <c r="RX3" t="inlineStr">
        <is>
          <t xml:space="preserve">FCS I cascade: GA (running count)</t>
        </is>
      </c>
      <c r="RY3" t="inlineStr">
        <is>
          <t xml:space="preserve">FCS I cascade: GB (dynamic dropdown list)</t>
        </is>
      </c>
      <c r="RZ3" t="inlineStr">
        <is>
          <t xml:space="preserve">FCS J cascade: FY (all-other-filters flag)</t>
        </is>
      </c>
      <c r="SA3" t="inlineStr">
        <is>
          <t xml:space="preserve">FCS J cascade: FZ (candidate present flag)</t>
        </is>
      </c>
      <c r="SB3" t="inlineStr">
        <is>
          <t xml:space="preserve">FCS J cascade: GA (running count)</t>
        </is>
      </c>
      <c r="SC3" t="inlineStr">
        <is>
          <t xml:space="preserve">FCS J cascade: GB (dynamic dropdown list)</t>
        </is>
      </c>
      <c r="SD3" t="inlineStr">
        <is>
          <t xml:space="preserve">FCS K cascade: FY (all-other-filters flag)</t>
        </is>
      </c>
      <c r="SE3" t="inlineStr">
        <is>
          <t xml:space="preserve">FCS K cascade: FZ (candidate present flag)</t>
        </is>
      </c>
      <c r="SF3" t="inlineStr">
        <is>
          <t xml:space="preserve">FCS K cascade: GA (running count)</t>
        </is>
      </c>
      <c r="SG3" t="inlineStr">
        <is>
          <t xml:space="preserve">FCS K cascade: GB (dynamic dropdown list)</t>
        </is>
      </c>
      <c r="SH3" t="inlineStr">
        <is>
          <t xml:space="preserve">FCS L cascade: FY (all-other-filters flag)</t>
        </is>
      </c>
      <c r="SI3" t="inlineStr">
        <is>
          <t xml:space="preserve">FCS L cascade: FZ (candidate present flag)</t>
        </is>
      </c>
      <c r="SJ3" t="inlineStr">
        <is>
          <t xml:space="preserve">FCS L cascade: GA (running count)</t>
        </is>
      </c>
      <c r="SK3" t="inlineStr">
        <is>
          <t xml:space="preserve">FCS L cascade: GB (dynamic dropdown list)</t>
        </is>
      </c>
      <c r="SL3" t="inlineStr">
        <is>
          <t xml:space="preserve">FCS M cascade: FY (all-other-filters flag)</t>
        </is>
      </c>
      <c r="SM3" t="inlineStr">
        <is>
          <t xml:space="preserve">FCS M cascade: FZ (candidate present flag)</t>
        </is>
      </c>
      <c r="SN3" t="inlineStr">
        <is>
          <t xml:space="preserve">FCS M cascade: GA (running count)</t>
        </is>
      </c>
      <c r="SO3" t="inlineStr">
        <is>
          <t xml:space="preserve">FCS M cascade: GB (dynamic dropdown list)</t>
        </is>
      </c>
      <c r="SP3" t="inlineStr">
        <is>
          <t xml:space="preserve">FCS N cascade: FY (all-other-filters flag)</t>
        </is>
      </c>
      <c r="SQ3" t="inlineStr">
        <is>
          <t xml:space="preserve">FCS N cascade: FZ (candidate present flag)</t>
        </is>
      </c>
      <c r="SR3" t="inlineStr">
        <is>
          <t xml:space="preserve">FCS N cascade: GA (running count)</t>
        </is>
      </c>
      <c r="SS3" t="inlineStr">
        <is>
          <t xml:space="preserve">FCS N cascade: GB (dynamic dropdown list)</t>
        </is>
      </c>
      <c r="ST3" t="inlineStr">
        <is>
          <t xml:space="preserve">FCS O cascade: FY (all-other-filters flag)</t>
        </is>
      </c>
      <c r="SU3" t="inlineStr">
        <is>
          <t xml:space="preserve">FCS O cascade: FZ (candidate present flag)</t>
        </is>
      </c>
      <c r="SV3" t="inlineStr">
        <is>
          <t xml:space="preserve">FCS O cascade: GA (running count)</t>
        </is>
      </c>
      <c r="SW3" t="inlineStr">
        <is>
          <t xml:space="preserve">FCS O cascade: GB (dynamic dropdown list)</t>
        </is>
      </c>
      <c r="SX3" t="inlineStr">
        <is>
          <t xml:space="preserve">FCS P cascade: FY (all-other-filters flag)</t>
        </is>
      </c>
      <c r="SY3" t="inlineStr">
        <is>
          <t xml:space="preserve">FCS P cascade: FZ (candidate present flag)</t>
        </is>
      </c>
      <c r="SZ3" t="inlineStr">
        <is>
          <t xml:space="preserve">FCS P cascade: GA (running count)</t>
        </is>
      </c>
      <c r="TA3" t="inlineStr">
        <is>
          <t xml:space="preserve">FCS P cascade: GB (dynamic dropdown list)</t>
        </is>
      </c>
      <c r="TB3" t="inlineStr">
        <is>
          <t xml:space="preserve">FCS Q cascade: FY (all-other-filters flag)</t>
        </is>
      </c>
      <c r="TC3" t="inlineStr">
        <is>
          <t xml:space="preserve">FCS Q cascade: FZ (candidate present flag)</t>
        </is>
      </c>
      <c r="TD3" t="inlineStr">
        <is>
          <t xml:space="preserve">FCS Q cascade: GA (running count)</t>
        </is>
      </c>
      <c r="TE3" t="inlineStr">
        <is>
          <t xml:space="preserve">FCS Q cascade: GB (dynamic dropdown list)</t>
        </is>
      </c>
      <c r="TF3" t="inlineStr">
        <is>
          <t xml:space="preserve">FCS R cascade: FY (all-other-filters flag)</t>
        </is>
      </c>
      <c r="TG3" t="inlineStr">
        <is>
          <t xml:space="preserve">FCS R cascade: FZ (candidate present flag)</t>
        </is>
      </c>
      <c r="TH3" t="inlineStr">
        <is>
          <t xml:space="preserve">FCS R cascade: GA (running count)</t>
        </is>
      </c>
      <c r="TI3" t="inlineStr">
        <is>
          <t xml:space="preserve">FCS R cascade: GB (dynamic dropdown list)</t>
        </is>
      </c>
      <c r="TJ3" t="inlineStr">
        <is>
          <t xml:space="preserve">FCS S cascade: FY (all-other-filters flag)</t>
        </is>
      </c>
      <c r="TK3" t="inlineStr">
        <is>
          <t xml:space="preserve">FCS S cascade: FZ (candidate present flag)</t>
        </is>
      </c>
      <c r="TL3" t="inlineStr">
        <is>
          <t xml:space="preserve">FCS S cascade: GA (running count)</t>
        </is>
      </c>
      <c r="TM3" t="inlineStr">
        <is>
          <t xml:space="preserve">FCS S cascade: GB (dynamic dropdown list)</t>
        </is>
      </c>
      <c r="TN3" t="inlineStr">
        <is>
          <t xml:space="preserve">FCS T cascade: FY (all-other-filters flag)</t>
        </is>
      </c>
      <c r="TO3" t="inlineStr">
        <is>
          <t xml:space="preserve">FCS T cascade: FZ (candidate present flag)</t>
        </is>
      </c>
      <c r="TP3" t="inlineStr">
        <is>
          <t xml:space="preserve">FCS T cascade: GA (running count)</t>
        </is>
      </c>
      <c r="TQ3" t="inlineStr">
        <is>
          <t xml:space="preserve">FCS T cascade: GB (dynamic dropdown list)</t>
        </is>
      </c>
      <c r="TR3" t="inlineStr">
        <is>
          <t xml:space="preserve">FCS U cascade: FY (all-other-filters flag)</t>
        </is>
      </c>
      <c r="TS3" t="inlineStr">
        <is>
          <t xml:space="preserve">FCS U cascade: FZ (candidate present flag)</t>
        </is>
      </c>
      <c r="TT3" t="inlineStr">
        <is>
          <t xml:space="preserve">FCS U cascade: GA (running count)</t>
        </is>
      </c>
      <c r="TU3" t="inlineStr">
        <is>
          <t xml:space="preserve">FCS U cascade: GB (dynamic dropdown list)</t>
        </is>
      </c>
      <c r="TV3" t="inlineStr">
        <is>
          <t xml:space="preserve">FCS V cascade: FY (all-other-filters flag)</t>
        </is>
      </c>
      <c r="TW3" t="inlineStr">
        <is>
          <t xml:space="preserve">FCS V cascade: FZ (candidate present flag)</t>
        </is>
      </c>
      <c r="TX3" t="inlineStr">
        <is>
          <t xml:space="preserve">FCS V cascade: GA (running count)</t>
        </is>
      </c>
      <c r="TY3" t="inlineStr">
        <is>
          <t xml:space="preserve">FCS V cascade: GB (dynamic dropdown list)</t>
        </is>
      </c>
      <c r="TZ3" t="inlineStr">
        <is>
          <t xml:space="preserve">FCS W cascade: FY (all-other-filters flag)</t>
        </is>
      </c>
      <c r="UA3" t="inlineStr">
        <is>
          <t xml:space="preserve">FCS W cascade: FZ (candidate present flag)</t>
        </is>
      </c>
      <c r="UB3" t="inlineStr">
        <is>
          <t xml:space="preserve">FCS W cascade: GA (running count)</t>
        </is>
      </c>
      <c r="UC3" t="inlineStr">
        <is>
          <t xml:space="preserve">FCS W cascade: GB (dynamic dropdown list)</t>
        </is>
      </c>
      <c r="UD3" t="inlineStr">
        <is>
          <t xml:space="preserve">FCS X cascade: FY (all-other-filters flag)</t>
        </is>
      </c>
      <c r="UE3" t="inlineStr">
        <is>
          <t xml:space="preserve">FCS X cascade: FZ (candidate present flag)</t>
        </is>
      </c>
      <c r="UF3" t="inlineStr">
        <is>
          <t xml:space="preserve">FCS X cascade: GA (running count)</t>
        </is>
      </c>
      <c r="UG3" t="inlineStr">
        <is>
          <t xml:space="preserve">FCS X cascade: GB (dynamic dropdown list)</t>
        </is>
      </c>
      <c r="UH3" t="inlineStr">
        <is>
          <t xml:space="preserve">FCS Y cascade: FY (all-other-filters flag)</t>
        </is>
      </c>
      <c r="UI3" t="inlineStr">
        <is>
          <t xml:space="preserve">FCS Y cascade: FZ (candidate present flag)</t>
        </is>
      </c>
      <c r="UJ3" t="inlineStr">
        <is>
          <t xml:space="preserve">FCS Y cascade: GA (running count)</t>
        </is>
      </c>
      <c r="UK3" t="inlineStr">
        <is>
          <t xml:space="preserve">FCS Y cascade: GB (dynamic dropdown list)</t>
        </is>
      </c>
      <c r="UL3" t="inlineStr">
        <is>
          <t xml:space="preserve">FCS Z cascade: FY (all-other-filters flag)</t>
        </is>
      </c>
      <c r="UM3" t="inlineStr">
        <is>
          <t xml:space="preserve">FCS Z cascade: FZ (candidate present flag)</t>
        </is>
      </c>
      <c r="UN3" t="inlineStr">
        <is>
          <t xml:space="preserve">FCS Z cascade: GA (running count)</t>
        </is>
      </c>
      <c r="UO3" t="inlineStr">
        <is>
          <t xml:space="preserve">FCS Z cascade: GB (dynamic dropdown list)</t>
        </is>
      </c>
      <c r="UP3" t="inlineStr">
        <is>
          <t xml:space="preserve">FCS AA cascade: FY (all-other-filters flag)</t>
        </is>
      </c>
      <c r="UQ3" t="inlineStr">
        <is>
          <t xml:space="preserve">FCS AA cascade: FZ (candidate present flag)</t>
        </is>
      </c>
      <c r="UR3" t="inlineStr">
        <is>
          <t xml:space="preserve">FCS AA cascade: GA (running count)</t>
        </is>
      </c>
      <c r="US3" t="inlineStr">
        <is>
          <t xml:space="preserve">FCS AA cascade: GB (dynamic dropdown list)</t>
        </is>
      </c>
      <c r="UT3" t="inlineStr">
        <is>
          <t xml:space="preserve">FCS AB cascade: FY (all-other-filters flag)</t>
        </is>
      </c>
      <c r="UU3" t="inlineStr">
        <is>
          <t xml:space="preserve">FCS AB cascade: FZ (candidate present flag)</t>
        </is>
      </c>
      <c r="UV3" t="inlineStr">
        <is>
          <t xml:space="preserve">FCS AB cascade: GA (running count)</t>
        </is>
      </c>
      <c r="UW3" t="inlineStr">
        <is>
          <t xml:space="preserve">FCS AB cascade: GB (dynamic dropdown list)</t>
        </is>
      </c>
      <c r="UX3" t="inlineStr">
        <is>
          <t xml:space="preserve">FCS AC cascade: FY (all-other-filters flag)</t>
        </is>
      </c>
      <c r="UY3" t="inlineStr">
        <is>
          <t xml:space="preserve">FCS AC cascade: FZ (candidate present flag)</t>
        </is>
      </c>
      <c r="UZ3" t="inlineStr">
        <is>
          <t xml:space="preserve">FCS AC cascade: GA (running count)</t>
        </is>
      </c>
      <c r="VA3" t="inlineStr">
        <is>
          <t xml:space="preserve">FCS AC cascade: GB (dynamic dropdown list)</t>
        </is>
      </c>
      <c r="VB3" t="inlineStr">
        <is>
          <t xml:space="preserve">FCS AD cascade: FY (all-other-filters flag)</t>
        </is>
      </c>
      <c r="VC3" t="inlineStr">
        <is>
          <t xml:space="preserve">FCS AD cascade: FZ (candidate present flag)</t>
        </is>
      </c>
      <c r="VD3" t="inlineStr">
        <is>
          <t xml:space="preserve">FCS AD cascade: GA (running count)</t>
        </is>
      </c>
      <c r="VE3" t="inlineStr">
        <is>
          <t xml:space="preserve">FCS AD cascade: GB (dynamic dropdown list)</t>
        </is>
      </c>
      <c r="VF3" t="inlineStr">
        <is>
          <t xml:space="preserve">FCS AE cascade: FY (all-other-filters flag)</t>
        </is>
      </c>
      <c r="VG3" t="inlineStr">
        <is>
          <t xml:space="preserve">FCS AE cascade: FZ (candidate present flag)</t>
        </is>
      </c>
      <c r="VH3" t="inlineStr">
        <is>
          <t xml:space="preserve">FCS AE cascade: GA (running count)</t>
        </is>
      </c>
      <c r="VI3" t="inlineStr">
        <is>
          <t xml:space="preserve">FCS AE cascade: GB (dynamic dropdown list)</t>
        </is>
      </c>
      <c r="VJ3" t="inlineStr">
        <is>
          <t xml:space="preserve">FCS AF cascade: FY (all-other-filters flag)</t>
        </is>
      </c>
      <c r="VK3" t="inlineStr">
        <is>
          <t xml:space="preserve">FCS AF cascade: FZ (candidate present flag)</t>
        </is>
      </c>
      <c r="VL3" t="inlineStr">
        <is>
          <t xml:space="preserve">FCS AF cascade: GA (running count)</t>
        </is>
      </c>
      <c r="VM3" t="inlineStr">
        <is>
          <t xml:space="preserve">FCS AF cascade: GB (dynamic dropdown list)</t>
        </is>
      </c>
      <c r="VN3" t="inlineStr">
        <is>
          <t xml:space="preserve">FCS AG cascade: FY (all-other-filters flag)</t>
        </is>
      </c>
      <c r="VO3" t="inlineStr">
        <is>
          <t xml:space="preserve">FCS AG cascade: FZ (candidate present flag)</t>
        </is>
      </c>
      <c r="VP3" t="inlineStr">
        <is>
          <t xml:space="preserve">FCS AG cascade: GA (running count)</t>
        </is>
      </c>
      <c r="VQ3" t="inlineStr">
        <is>
          <t xml:space="preserve">FCS AG cascade: GB (dynamic dropdown list)</t>
        </is>
      </c>
      <c r="VR3" t="inlineStr">
        <is>
          <t xml:space="preserve">FCS AH cascade: FY (all-other-filters flag)</t>
        </is>
      </c>
      <c r="VS3" t="inlineStr">
        <is>
          <t xml:space="preserve">FCS AH cascade: FZ (candidate present flag)</t>
        </is>
      </c>
      <c r="VT3" t="inlineStr">
        <is>
          <t xml:space="preserve">FCS AH cascade: GA (running count)</t>
        </is>
      </c>
      <c r="VU3" t="inlineStr">
        <is>
          <t xml:space="preserve">FCS AH cascade: GB (dynamic dropdown list)</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D4">
        <f>IF($O$4="",FALSE,SUMPRODUCT(('Final Calculation Sheet'!$F$4:$F$40=$O$4)*($GC$6:$GC$42=1))&gt;0)</f>
        <v/>
      </c>
      <c r="GE4">
        <f>--($GD$4)</f>
        <v/>
      </c>
      <c r="GF4">
        <f>IF(ROW()-3&gt;MAX($GE$4:$GE$40),"",INDEX($O$4:$O$40,MATCH(ROW()-3,$GE$4:$GE$40,0)))</f>
        <v/>
      </c>
      <c r="GH4">
        <f>IF($T$4="",FALSE,SUMPRODUCT(('Final Calculation Sheet'!$G$4:$G$40=$T$4)*($GG$6:$GG$42=1))&gt;0)</f>
        <v/>
      </c>
      <c r="GI4">
        <f>--($GH$4)</f>
        <v/>
      </c>
      <c r="GJ4">
        <f>IF(ROW()-3&gt;MAX($GI$4:$GI$40),"",INDEX($T$4:$T$40,MATCH(ROW()-3,$GI$4:$GI$40,0)))</f>
        <v/>
      </c>
      <c r="GL4">
        <f>IF($AD$4="",FALSE,SUMPRODUCT(('Final Calculation Sheet'!$D$4:$D$40=$AD$4)*($GK$6:$GK$42=1))&gt;0)</f>
        <v/>
      </c>
      <c r="GM4">
        <f>--($GL$4)</f>
        <v/>
      </c>
      <c r="GN4">
        <f>IF(ROW()-3&gt;MAX($GM$4:$GM$40),"",INDEX($AD$4:$AD$40,MATCH(ROW()-3,$GM$4:$GM$40,0)))</f>
        <v/>
      </c>
      <c r="GP4">
        <f>IF($AI$4="",FALSE,SUMPRODUCT(('Final Calculation Sheet'!$A$4:$A$40=$AI$4)*($GO$6:$GO$42=1))&gt;0)</f>
        <v/>
      </c>
      <c r="GQ4">
        <f>--($GP$4)</f>
        <v/>
      </c>
      <c r="GR4">
        <f>IF(ROW()-3&gt;MAX($GQ$4:$GQ$40),"",INDEX($AI$4:$AI$40,MATCH(ROW()-3,$GQ$4:$GQ$40,0)))</f>
        <v/>
      </c>
      <c r="GT4">
        <f>IF($AN$4="",FALSE,SUMPRODUCT(('Final Calculation Sheet'!$E$4:$E$40=$AN$4)*($GS$6:$GS$42=1))&gt;0)</f>
        <v/>
      </c>
      <c r="GU4">
        <f>--($GT$4)</f>
        <v/>
      </c>
      <c r="GV4">
        <f>IF(ROW()-3&gt;MAX($GU$4:$GU$40),"",INDEX($AN$4:$AN$40,MATCH(ROW()-3,$GU$4:$GU$40,0)))</f>
        <v/>
      </c>
      <c r="GX4">
        <f>IF($AS$4="",FALSE,SUMPRODUCT(('Final Calculation Sheet'!$C$4:$C$40=$AS$4)*($GW$6:$GW$42=1))&gt;0)</f>
        <v/>
      </c>
      <c r="GY4">
        <f>--($GX$4)</f>
        <v/>
      </c>
      <c r="GZ4">
        <f>IF(ROW()-3&gt;MAX($GY$4:$GY$40),"",INDEX($AS$4:$AS$40,MATCH(ROW()-3,$GY$4:$GY$40,0)))</f>
        <v/>
      </c>
      <c r="HB4">
        <f>IF($AX$4="",FALSE,SUMPRODUCT(('Final Calculation Sheet'!$H$4:$H$40=$AX$4)*($HA$6:$HA$42=1))&gt;0)</f>
        <v/>
      </c>
      <c r="HC4">
        <f>--($HB$4)</f>
        <v/>
      </c>
      <c r="HD4">
        <f>IF(ROW()-3&gt;MAX($HC$4:$HC$40),"",INDEX($AX$4:$AX$40,MATCH(ROW()-3,$HC$4:$HC$40,0)))</f>
        <v/>
      </c>
      <c r="HF4">
        <f>IF($BC$4="",FALSE,SUMPRODUCT(('Final Calculation Sheet'!$I$4:$I$40=$BC$4)*($HE$6:$HE$42=1))&gt;0)</f>
        <v/>
      </c>
      <c r="HG4">
        <f>--($HF$4)</f>
        <v/>
      </c>
      <c r="HH4">
        <f>IF(ROW()-3&gt;MAX($HG$4:$HG$40),"",INDEX($BC$4:$BC$40,MATCH(ROW()-3,$HG$4:$HG$40,0)))</f>
        <v/>
      </c>
      <c r="HJ4">
        <f>IF($BH$4="",FALSE,SUMPRODUCT(('Final Calculation Sheet'!$J$4:$J$40=$BH$4)*($HI$6:$HI$42=1))&gt;0)</f>
        <v/>
      </c>
      <c r="HK4">
        <f>--($HJ$4)</f>
        <v/>
      </c>
      <c r="HL4">
        <f>IF(ROW()-3&gt;MAX($HK$4:$HK$40),"",INDEX($BH$4:$BH$40,MATCH(ROW()-3,$HK$4:$HK$40,0)))</f>
        <v/>
      </c>
      <c r="HN4">
        <f>IF($BM$4="",FALSE,SUMPRODUCT(('Final Calculation Sheet'!$K$4:$K$40=$BM$4)*($HM$6:$HM$42=1))&gt;0)</f>
        <v/>
      </c>
      <c r="HO4">
        <f>--($HN$4)</f>
        <v/>
      </c>
      <c r="HP4">
        <f>IF(ROW()-3&gt;MAX($HO$4:$HO$40),"",INDEX($BM$4:$BM$40,MATCH(ROW()-3,$HO$4:$HO$40,0)))</f>
        <v/>
      </c>
      <c r="HR4">
        <f>IF($BR$4="",FALSE,SUMPRODUCT(('Final Calculation Sheet'!$L$4:$L$40=$BR$4)*($HQ$6:$HQ$42=1))&gt;0)</f>
        <v/>
      </c>
      <c r="HS4">
        <f>--($HR$4)</f>
        <v/>
      </c>
      <c r="HT4">
        <f>IF(ROW()-3&gt;MAX($HS$4:$HS$40),"",INDEX($BR$4:$BR$40,MATCH(ROW()-3,$HS$4:$HS$40,0)))</f>
        <v/>
      </c>
      <c r="HV4">
        <f>IF($BW$4="",FALSE,SUMPRODUCT(('Final Calculation Sheet'!$M$4:$M$40=$BW$4)*($HU$6:$HU$42=1))&gt;0)</f>
        <v/>
      </c>
      <c r="HW4">
        <f>--($HV$4)</f>
        <v/>
      </c>
      <c r="HX4">
        <f>IF(ROW()-3&gt;MAX($HW$4:$HW$40),"",INDEX($BW$4:$BW$40,MATCH(ROW()-3,$HW$4:$HW$40,0)))</f>
        <v/>
      </c>
      <c r="HZ4">
        <f>IF($CB$4="",FALSE,SUMPRODUCT(('Final Calculation Sheet'!$N$4:$N$40=$CB$4)*($HY$6:$HY$42=1))&gt;0)</f>
        <v/>
      </c>
      <c r="IA4">
        <f>--($HZ$4)</f>
        <v/>
      </c>
      <c r="IB4">
        <f>IF(ROW()-3&gt;MAX($IA$4:$IA$40),"",INDEX($CB$4:$CB$40,MATCH(ROW()-3,$IA$4:$IA$40,0)))</f>
        <v/>
      </c>
      <c r="ID4">
        <f>IF($CG$4="",FALSE,SUMPRODUCT(('Final Calculation Sheet'!$O$4:$O$40=$CG$4)*($IC$6:$IC$42=1))&gt;0)</f>
        <v/>
      </c>
      <c r="IE4">
        <f>--($ID$4)</f>
        <v/>
      </c>
      <c r="IF4">
        <f>IF(ROW()-3&gt;MAX($IE$4:$IE$40),"",INDEX($CG$4:$CG$40,MATCH(ROW()-3,$IE$4:$IE$40,0)))</f>
        <v/>
      </c>
      <c r="IH4">
        <f>IF($CL$4="",FALSE,SUMPRODUCT(('Final Calculation Sheet'!$P$4:$P$40=$CL$4)*($IG$6:$IG$42=1))&gt;0)</f>
        <v/>
      </c>
      <c r="II4">
        <f>--($IH$4)</f>
        <v/>
      </c>
      <c r="IJ4">
        <f>IF(ROW()-3&gt;MAX($II$4:$II$40),"",INDEX($CL$4:$CL$40,MATCH(ROW()-3,$II$4:$II$40,0)))</f>
        <v/>
      </c>
      <c r="IL4">
        <f>IF($CQ$4="",FALSE,SUMPRODUCT(('Final Calculation Sheet'!$Q$4:$Q$40=$CQ$4)*($IK$6:$IK$42=1))&gt;0)</f>
        <v/>
      </c>
      <c r="IM4">
        <f>--($IL$4)</f>
        <v/>
      </c>
      <c r="IN4">
        <f>IF(ROW()-3&gt;MAX($IM$4:$IM$40),"",INDEX($CQ$4:$CQ$40,MATCH(ROW()-3,$IM$4:$IM$40,0)))</f>
        <v/>
      </c>
      <c r="IP4">
        <f>IF($CV$4="",FALSE,SUMPRODUCT(('Final Calculation Sheet'!$R$4:$R$40=$CV$4)*($IO$6:$IO$42=1))&gt;0)</f>
        <v/>
      </c>
      <c r="IQ4">
        <f>--($IP$4)</f>
        <v/>
      </c>
      <c r="IR4">
        <f>IF(ROW()-3&gt;MAX($IQ$4:$IQ$40),"",INDEX($CV$4:$CV$40,MATCH(ROW()-3,$IQ$4:$IQ$40,0)))</f>
        <v/>
      </c>
      <c r="IT4">
        <f>IF($DA$4="",FALSE,SUMPRODUCT(('Final Calculation Sheet'!$S$4:$S$40=$DA$4)*($IS$6:$IS$42=1))&gt;0)</f>
        <v/>
      </c>
      <c r="IU4">
        <f>--($IT$4)</f>
        <v/>
      </c>
      <c r="IV4">
        <f>IF(ROW()-3&gt;MAX($IU$4:$IU$40),"",INDEX($DA$4:$DA$40,MATCH(ROW()-3,$IU$4:$IU$40,0)))</f>
        <v/>
      </c>
      <c r="IX4">
        <f>IF($DF$4="",FALSE,SUMPRODUCT(('Final Calculation Sheet'!$T$4:$T$40=$DF$4)*($IW$6:$IW$42=1))&gt;0)</f>
        <v/>
      </c>
      <c r="IY4">
        <f>--($IX$4)</f>
        <v/>
      </c>
      <c r="IZ4">
        <f>IF(ROW()-3&gt;MAX($IY$4:$IY$40),"",INDEX($DF$4:$DF$40,MATCH(ROW()-3,$IY$4:$IY$40,0)))</f>
        <v/>
      </c>
      <c r="JB4">
        <f>IF($DK$4="",FALSE,SUMPRODUCT(('Final Calculation Sheet'!$U$4:$U$40=$DK$4)*($JA$6:$JA$42=1))&gt;0)</f>
        <v/>
      </c>
      <c r="JC4">
        <f>--($JB$4)</f>
        <v/>
      </c>
      <c r="JD4">
        <f>IF(ROW()-3&gt;MAX($JC$4:$JC$40),"",INDEX($DK$4:$DK$40,MATCH(ROW()-3,$JC$4:$JC$40,0)))</f>
        <v/>
      </c>
      <c r="JF4">
        <f>IF($DP$4="",FALSE,SUMPRODUCT(('Final Calculation Sheet'!$V$4:$V$40=$DP$4)*($JE$6:$JE$42=1))&gt;0)</f>
        <v/>
      </c>
      <c r="JG4">
        <f>--($JF$4)</f>
        <v/>
      </c>
      <c r="JH4">
        <f>IF(ROW()-3&gt;MAX($JG$4:$JG$40),"",INDEX($DP$4:$DP$40,MATCH(ROW()-3,$JG$4:$JG$40,0)))</f>
        <v/>
      </c>
      <c r="JJ4">
        <f>IF($DU$4="",FALSE,SUMPRODUCT(('Final Calculation Sheet'!$W$4:$W$40=$DU$4)*($JI$6:$JI$42=1))&gt;0)</f>
        <v/>
      </c>
      <c r="JK4">
        <f>--($JJ$4)</f>
        <v/>
      </c>
      <c r="JL4">
        <f>IF(ROW()-3&gt;MAX($JK$4:$JK$40),"",INDEX($DU$4:$DU$40,MATCH(ROW()-3,$JK$4:$JK$40,0)))</f>
        <v/>
      </c>
      <c r="JN4">
        <f>IF($DZ$4="",FALSE,SUMPRODUCT(('Final Calculation Sheet'!$X$4:$X$40=$DZ$4)*($JM$6:$JM$42=1))&gt;0)</f>
        <v/>
      </c>
      <c r="JO4">
        <f>--($JN$4)</f>
        <v/>
      </c>
      <c r="JP4">
        <f>IF(ROW()-3&gt;MAX($JO$4:$JO$40),"",INDEX($DZ$4:$DZ$40,MATCH(ROW()-3,$JO$4:$JO$40,0)))</f>
        <v/>
      </c>
      <c r="JR4">
        <f>IF($EE$4="",FALSE,SUMPRODUCT(('Final Calculation Sheet'!$Y$4:$Y$40=$EE$4)*($JQ$6:$JQ$42=1))&gt;0)</f>
        <v/>
      </c>
      <c r="JS4">
        <f>--($JR$4)</f>
        <v/>
      </c>
      <c r="JT4">
        <f>IF(ROW()-3&gt;MAX($JS$4:$JS$40),"",INDEX($EE$4:$EE$40,MATCH(ROW()-3,$JS$4:$JS$40,0)))</f>
        <v/>
      </c>
      <c r="JV4">
        <f>IF($EJ$4="",FALSE,SUMPRODUCT(('Final Calculation Sheet'!$Z$4:$Z$40=$EJ$4)*($JU$6:$JU$42=1))&gt;0)</f>
        <v/>
      </c>
      <c r="JW4">
        <f>--($JV$4)</f>
        <v/>
      </c>
      <c r="JX4">
        <f>IF(ROW()-3&gt;MAX($JW$4:$JW$40),"",INDEX($EJ$4:$EJ$40,MATCH(ROW()-3,$JW$4:$JW$40,0)))</f>
        <v/>
      </c>
      <c r="JZ4">
        <f>IF($EO$4="",FALSE,SUMPRODUCT(('Final Calculation Sheet'!$AA$4:$AA$40=$EO$4)*($JY$6:$JY$42=1))&gt;0)</f>
        <v/>
      </c>
      <c r="KA4">
        <f>--($JZ$4)</f>
        <v/>
      </c>
      <c r="KB4">
        <f>IF(ROW()-3&gt;MAX($KA$4:$KA$40),"",INDEX($EO$4:$EO$40,MATCH(ROW()-3,$KA$4:$KA$40,0)))</f>
        <v/>
      </c>
      <c r="KD4">
        <f>IF($ET$4="",FALSE,SUMPRODUCT(('Final Calculation Sheet'!$AB$4:$AB$40=$ET$4)*($KC$6:$KC$42=1))&gt;0)</f>
        <v/>
      </c>
      <c r="KE4">
        <f>--($KD$4)</f>
        <v/>
      </c>
      <c r="KF4">
        <f>IF(ROW()-3&gt;MAX($KE$4:$KE$40),"",INDEX($ET$4:$ET$40,MATCH(ROW()-3,$KE$4:$KE$40,0)))</f>
        <v/>
      </c>
      <c r="KH4">
        <f>IF($EY$4="",FALSE,SUMPRODUCT(('Final Calculation Sheet'!$AC$4:$AC$40=$EY$4)*($KG$6:$KG$42=1))&gt;0)</f>
        <v/>
      </c>
      <c r="KI4">
        <f>--($KH$4)</f>
        <v/>
      </c>
      <c r="KJ4">
        <f>IF(ROW()-3&gt;MAX($KI$4:$KI$40),"",INDEX($EY$4:$EY$40,MATCH(ROW()-3,$KI$4:$KI$40,0)))</f>
        <v/>
      </c>
      <c r="KL4">
        <f>IF($FD$4="",FALSE,SUMPRODUCT(('Final Calculation Sheet'!$AD$4:$AD$40=$FD$4)*($KK$6:$KK$42=1))&gt;0)</f>
        <v/>
      </c>
      <c r="KM4">
        <f>--($KL$4)</f>
        <v/>
      </c>
      <c r="KN4">
        <f>IF(ROW()-3&gt;MAX($KM$4:$KM$40),"",INDEX($FD$4:$FD$40,MATCH(ROW()-3,$KM$4:$KM$40,0)))</f>
        <v/>
      </c>
      <c r="KP4">
        <f>IF($FX$4="",FALSE,SUMPRODUCT((IF('Final Calculation Sheet'!$AD$4:$AD$40&lt;=5,"SETTLED","OUTSTANDING")=$FX$4)*($KO$6:$KO$42=1))&gt;0)</f>
        <v/>
      </c>
      <c r="KQ4">
        <f>--($KP$4)</f>
        <v/>
      </c>
      <c r="KR4">
        <f>IF(ROW()-3&gt;MAX($KQ$4:$KQ$40),"",INDEX($FX$4:$FX$40,MATCH(ROW()-3,$KQ$4:$KQ$40,0)))</f>
        <v/>
      </c>
      <c r="KT4">
        <f>IF($FI$4="",FALSE,SUMPRODUCT(('Final Calculation Sheet'!$AF$4:$AF$40=$FI$4)*($KS$6:$KS$42=1))&gt;0)</f>
        <v/>
      </c>
      <c r="KU4">
        <f>--($KT$4)</f>
        <v/>
      </c>
      <c r="KV4">
        <f>IF(ROW()-3&gt;MAX($KU$4:$KU$40),"",INDEX($FI$4:$FI$40,MATCH(ROW()-3,$KU$4:$KU$40,0)))</f>
        <v/>
      </c>
      <c r="KX4">
        <f>IF($FN$4="",FALSE,SUMPRODUCT(('Final Calculation Sheet'!$AG$4:$AG$40=$FN$4)*($KW$6:$KW$42=1))&gt;0)</f>
        <v/>
      </c>
      <c r="KY4">
        <f>--($KX$4)</f>
        <v/>
      </c>
      <c r="KZ4">
        <f>IF(ROW()-3&gt;MAX($KY$4:$KY$40),"",INDEX($FN$4:$FN$40,MATCH(ROW()-3,$KY$4:$KY$40,0)))</f>
        <v/>
      </c>
      <c r="LB4">
        <f>IF($FS$4="",FALSE,SUMPRODUCT(('Final Calculation Sheet'!$AH$4:$AH$40=$FS$4)*($LA$6:$LA$42=1))&gt;0)</f>
        <v/>
      </c>
      <c r="LC4">
        <f>--($LB$4)</f>
        <v/>
      </c>
      <c r="LD4">
        <f>IF(ROW()-3&gt;MAX($LC$4:$LC$40),"",INDEX($FS$4:$FS$40,MATCH(ROW()-3,$LC$4:$LC$40,0)))</f>
        <v/>
      </c>
      <c r="LF4">
        <f>IF($O$4="",FALSE,SUMPRODUCT(('Final Calculation Sheet'!$F$4:$F$40=$O$4)*($LE$6:$LE$42=1))&gt;0)</f>
        <v/>
      </c>
      <c r="LG4">
        <f>--($LF$4)</f>
        <v/>
      </c>
      <c r="LH4">
        <f>IF(ROW()-3&gt;MAX($LG$4:$LG$40),"",INDEX($O$4:$O$40,MATCH(ROW()-3,$LG$4:$LG$40,0)))</f>
        <v/>
      </c>
      <c r="LJ4">
        <f>IF($T$4="",FALSE,SUMPRODUCT(('Final Calculation Sheet'!$G$4:$G$40=$T$4)*($LI$6:$LI$42=1))&gt;0)</f>
        <v/>
      </c>
      <c r="LK4">
        <f>--($LJ$4)</f>
        <v/>
      </c>
      <c r="LL4">
        <f>IF(ROW()-3&gt;MAX($LK$4:$LK$40),"",INDEX($T$4:$T$40,MATCH(ROW()-3,$LK$4:$LK$40,0)))</f>
        <v/>
      </c>
      <c r="LN4">
        <f>IF($Y$4="",FALSE,SUMPRODUCT(('Final Calculation Sheet'!$B$4:$B$40=$Y$4)*($LM$6:$LM$42=1))&gt;0)</f>
        <v/>
      </c>
      <c r="LO4">
        <f>--($LN$4)</f>
        <v/>
      </c>
      <c r="LP4">
        <f>IF(ROW()-3&gt;MAX($LO$4:$LO$40),"",INDEX($Y$4:$Y$40,MATCH(ROW()-3,$LO$4:$LO$40,0)))</f>
        <v/>
      </c>
      <c r="LR4">
        <f>IF($AD$4="",FALSE,SUMPRODUCT(('Final Calculation Sheet'!$D$4:$D$40=$AD$4)*($LQ$6:$LQ$42=1))&gt;0)</f>
        <v/>
      </c>
      <c r="LS4">
        <f>--($LR$4)</f>
        <v/>
      </c>
      <c r="LT4">
        <f>IF(ROW()-3&gt;MAX($LS$4:$LS$40),"",INDEX($AD$4:$AD$40,MATCH(ROW()-3,$LS$4:$LS$40,0)))</f>
        <v/>
      </c>
      <c r="LV4">
        <f>IF($AI$4="",FALSE,SUMPRODUCT(('Final Calculation Sheet'!$A$4:$A$40=$AI$4)*($LU$6:$LU$42=1))&gt;0)</f>
        <v/>
      </c>
      <c r="LW4">
        <f>--($LV$4)</f>
        <v/>
      </c>
      <c r="LX4">
        <f>IF(ROW()-3&gt;MAX($LW$4:$LW$40),"",INDEX($AI$4:$AI$40,MATCH(ROW()-3,$LW$4:$LW$40,0)))</f>
        <v/>
      </c>
      <c r="LZ4">
        <f>IF($AN$4="",FALSE,SUMPRODUCT(('Final Calculation Sheet'!$E$4:$E$40=$AN$4)*($LY$6:$LY$42=1))&gt;0)</f>
        <v/>
      </c>
      <c r="MA4">
        <f>--($LZ$4)</f>
        <v/>
      </c>
      <c r="MB4">
        <f>IF(ROW()-3&gt;MAX($MA$4:$MA$40),"",INDEX($AN$4:$AN$40,MATCH(ROW()-3,$MA$4:$MA$40,0)))</f>
        <v/>
      </c>
      <c r="MD4">
        <f>IF($AS$4="",FALSE,SUMPRODUCT(('Final Calculation Sheet'!$C$4:$C$40=$AS$4)*($MC$6:$MC$42=1))&gt;0)</f>
        <v/>
      </c>
      <c r="ME4">
        <f>--($MD$4)</f>
        <v/>
      </c>
      <c r="MF4">
        <f>IF(ROW()-3&gt;MAX($ME$4:$ME$40),"",INDEX($AS$4:$AS$40,MATCH(ROW()-3,$ME$4:$ME$40,0)))</f>
        <v/>
      </c>
      <c r="MH4">
        <f>IF($AX$4="",FALSE,SUMPRODUCT(('Final Calculation Sheet'!$H$4:$H$40=$AX$4)*($MG$6:$MG$42=1))&gt;0)</f>
        <v/>
      </c>
      <c r="MI4">
        <f>--($MH$4)</f>
        <v/>
      </c>
      <c r="MJ4">
        <f>IF(ROW()-3&gt;MAX($MI$4:$MI$40),"",INDEX($AX$4:$AX$40,MATCH(ROW()-3,$MI$4:$MI$40,0)))</f>
        <v/>
      </c>
      <c r="ML4">
        <f>IF($BC$4="",FALSE,SUMPRODUCT(('Final Calculation Sheet'!$I$4:$I$40=$BC$4)*($MK$6:$MK$42=1))&gt;0)</f>
        <v/>
      </c>
      <c r="MM4">
        <f>--($ML$4)</f>
        <v/>
      </c>
      <c r="MN4">
        <f>IF(ROW()-3&gt;MAX($MM$4:$MM$40),"",INDEX($BC$4:$BC$40,MATCH(ROW()-3,$MM$4:$MM$40,0)))</f>
        <v/>
      </c>
      <c r="MP4">
        <f>IF($BH$4="",FALSE,SUMPRODUCT(('Final Calculation Sheet'!$J$4:$J$40=$BH$4)*($MO$6:$MO$42=1))&gt;0)</f>
        <v/>
      </c>
      <c r="MQ4">
        <f>--($MP$4)</f>
        <v/>
      </c>
      <c r="MR4">
        <f>IF(ROW()-3&gt;MAX($MQ$4:$MQ$40),"",INDEX($BH$4:$BH$40,MATCH(ROW()-3,$MQ$4:$MQ$40,0)))</f>
        <v/>
      </c>
      <c r="MT4">
        <f>IF($BM$4="",FALSE,SUMPRODUCT(('Final Calculation Sheet'!$K$4:$K$40=$BM$4)*($MS$6:$MS$42=1))&gt;0)</f>
        <v/>
      </c>
      <c r="MU4">
        <f>--($MT$4)</f>
        <v/>
      </c>
      <c r="MV4">
        <f>IF(ROW()-3&gt;MAX($MU$4:$MU$40),"",INDEX($BM$4:$BM$40,MATCH(ROW()-3,$MU$4:$MU$40,0)))</f>
        <v/>
      </c>
      <c r="MX4">
        <f>IF($BR$4="",FALSE,SUMPRODUCT(('Final Calculation Sheet'!$L$4:$L$40=$BR$4)*($MW$6:$MW$42=1))&gt;0)</f>
        <v/>
      </c>
      <c r="MY4">
        <f>--($MX$4)</f>
        <v/>
      </c>
      <c r="MZ4">
        <f>IF(ROW()-3&gt;MAX($MY$4:$MY$40),"",INDEX($BR$4:$BR$40,MATCH(ROW()-3,$MY$4:$MY$40,0)))</f>
        <v/>
      </c>
      <c r="NB4">
        <f>IF($BW$4="",FALSE,SUMPRODUCT(('Final Calculation Sheet'!$M$4:$M$40=$BW$4)*($NA$6:$NA$42=1))&gt;0)</f>
        <v/>
      </c>
      <c r="NC4">
        <f>--($NB$4)</f>
        <v/>
      </c>
      <c r="ND4">
        <f>IF(ROW()-3&gt;MAX($NC$4:$NC$40),"",INDEX($BW$4:$BW$40,MATCH(ROW()-3,$NC$4:$NC$40,0)))</f>
        <v/>
      </c>
      <c r="NF4">
        <f>IF($CB$4="",FALSE,SUMPRODUCT(('Final Calculation Sheet'!$N$4:$N$40=$CB$4)*($NE$6:$NE$42=1))&gt;0)</f>
        <v/>
      </c>
      <c r="NG4">
        <f>--($NF$4)</f>
        <v/>
      </c>
      <c r="NH4">
        <f>IF(ROW()-3&gt;MAX($NG$4:$NG$40),"",INDEX($CB$4:$CB$40,MATCH(ROW()-3,$NG$4:$NG$40,0)))</f>
        <v/>
      </c>
      <c r="NJ4">
        <f>IF($CG$4="",FALSE,SUMPRODUCT(('Final Calculation Sheet'!$O$4:$O$40=$CG$4)*($NI$6:$NI$42=1))&gt;0)</f>
        <v/>
      </c>
      <c r="NK4">
        <f>--($NJ$4)</f>
        <v/>
      </c>
      <c r="NL4">
        <f>IF(ROW()-3&gt;MAX($NK$4:$NK$40),"",INDEX($CG$4:$CG$40,MATCH(ROW()-3,$NK$4:$NK$40,0)))</f>
        <v/>
      </c>
      <c r="NN4">
        <f>IF($CL$4="",FALSE,SUMPRODUCT(('Final Calculation Sheet'!$P$4:$P$40=$CL$4)*($NM$6:$NM$42=1))&gt;0)</f>
        <v/>
      </c>
      <c r="NO4">
        <f>--($NN$4)</f>
        <v/>
      </c>
      <c r="NP4">
        <f>IF(ROW()-3&gt;MAX($NO$4:$NO$40),"",INDEX($CL$4:$CL$40,MATCH(ROW()-3,$NO$4:$NO$40,0)))</f>
        <v/>
      </c>
      <c r="NR4">
        <f>IF($CQ$4="",FALSE,SUMPRODUCT(('Final Calculation Sheet'!$Q$4:$Q$40=$CQ$4)*($NQ$6:$NQ$42=1))&gt;0)</f>
        <v/>
      </c>
      <c r="NS4">
        <f>--($NR$4)</f>
        <v/>
      </c>
      <c r="NT4">
        <f>IF(ROW()-3&gt;MAX($NS$4:$NS$40),"",INDEX($CQ$4:$CQ$40,MATCH(ROW()-3,$NS$4:$NS$40,0)))</f>
        <v/>
      </c>
      <c r="NV4">
        <f>IF($CV$4="",FALSE,SUMPRODUCT(('Final Calculation Sheet'!$R$4:$R$40=$CV$4)*($NU$6:$NU$42=1))&gt;0)</f>
        <v/>
      </c>
      <c r="NW4">
        <f>--($NV$4)</f>
        <v/>
      </c>
      <c r="NX4">
        <f>IF(ROW()-3&gt;MAX($NW$4:$NW$40),"",INDEX($CV$4:$CV$40,MATCH(ROW()-3,$NW$4:$NW$40,0)))</f>
        <v/>
      </c>
      <c r="NZ4">
        <f>IF($DA$4="",FALSE,SUMPRODUCT(('Final Calculation Sheet'!$S$4:$S$40=$DA$4)*($NY$6:$NY$42=1))&gt;0)</f>
        <v/>
      </c>
      <c r="OA4">
        <f>--($NZ$4)</f>
        <v/>
      </c>
      <c r="OB4">
        <f>IF(ROW()-3&gt;MAX($OA$4:$OA$40),"",INDEX($DA$4:$DA$40,MATCH(ROW()-3,$OA$4:$OA$40,0)))</f>
        <v/>
      </c>
      <c r="OD4">
        <f>IF($DF$4="",FALSE,SUMPRODUCT(('Final Calculation Sheet'!$T$4:$T$40=$DF$4)*($OC$6:$OC$42=1))&gt;0)</f>
        <v/>
      </c>
      <c r="OE4">
        <f>--($OD$4)</f>
        <v/>
      </c>
      <c r="OF4">
        <f>IF(ROW()-3&gt;MAX($OE$4:$OE$40),"",INDEX($DF$4:$DF$40,MATCH(ROW()-3,$OE$4:$OE$40,0)))</f>
        <v/>
      </c>
      <c r="OH4">
        <f>IF($DK$4="",FALSE,SUMPRODUCT(('Final Calculation Sheet'!$U$4:$U$40=$DK$4)*($OG$6:$OG$42=1))&gt;0)</f>
        <v/>
      </c>
      <c r="OI4">
        <f>--($OH$4)</f>
        <v/>
      </c>
      <c r="OJ4">
        <f>IF(ROW()-3&gt;MAX($OI$4:$OI$40),"",INDEX($DK$4:$DK$40,MATCH(ROW()-3,$OI$4:$OI$40,0)))</f>
        <v/>
      </c>
      <c r="OL4">
        <f>IF($DP$4="",FALSE,SUMPRODUCT(('Final Calculation Sheet'!$V$4:$V$40=$DP$4)*($OK$6:$OK$42=1))&gt;0)</f>
        <v/>
      </c>
      <c r="OM4">
        <f>--($OL$4)</f>
        <v/>
      </c>
      <c r="ON4">
        <f>IF(ROW()-3&gt;MAX($OM$4:$OM$40),"",INDEX($DP$4:$DP$40,MATCH(ROW()-3,$OM$4:$OM$40,0)))</f>
        <v/>
      </c>
      <c r="OP4">
        <f>IF($DU$4="",FALSE,SUMPRODUCT(('Final Calculation Sheet'!$W$4:$W$40=$DU$4)*($OO$6:$OO$42=1))&gt;0)</f>
        <v/>
      </c>
      <c r="OQ4">
        <f>--($OP$4)</f>
        <v/>
      </c>
      <c r="OR4">
        <f>IF(ROW()-3&gt;MAX($OQ$4:$OQ$40),"",INDEX($DU$4:$DU$40,MATCH(ROW()-3,$OQ$4:$OQ$40,0)))</f>
        <v/>
      </c>
      <c r="OT4">
        <f>IF($DZ$4="",FALSE,SUMPRODUCT(('Final Calculation Sheet'!$X$4:$X$40=$DZ$4)*($OS$6:$OS$42=1))&gt;0)</f>
        <v/>
      </c>
      <c r="OU4">
        <f>--($OT$4)</f>
        <v/>
      </c>
      <c r="OV4">
        <f>IF(ROW()-3&gt;MAX($OU$4:$OU$40),"",INDEX($DZ$4:$DZ$40,MATCH(ROW()-3,$OU$4:$OU$40,0)))</f>
        <v/>
      </c>
      <c r="OX4">
        <f>IF($EE$4="",FALSE,SUMPRODUCT(('Final Calculation Sheet'!$Y$4:$Y$40=$EE$4)*($OW$6:$OW$42=1))&gt;0)</f>
        <v/>
      </c>
      <c r="OY4">
        <f>--($OX$4)</f>
        <v/>
      </c>
      <c r="OZ4">
        <f>IF(ROW()-3&gt;MAX($OY$4:$OY$40),"",INDEX($EE$4:$EE$40,MATCH(ROW()-3,$OY$4:$OY$40,0)))</f>
        <v/>
      </c>
      <c r="PB4">
        <f>IF($EJ$4="",FALSE,SUMPRODUCT(('Final Calculation Sheet'!$Z$4:$Z$40=$EJ$4)*($PA$6:$PA$42=1))&gt;0)</f>
        <v/>
      </c>
      <c r="PC4">
        <f>--($PB$4)</f>
        <v/>
      </c>
      <c r="PD4">
        <f>IF(ROW()-3&gt;MAX($PC$4:$PC$40),"",INDEX($EJ$4:$EJ$40,MATCH(ROW()-3,$PC$4:$PC$40,0)))</f>
        <v/>
      </c>
      <c r="PF4">
        <f>IF($EO$4="",FALSE,SUMPRODUCT(('Final Calculation Sheet'!$AA$4:$AA$40=$EO$4)*($PE$6:$PE$42=1))&gt;0)</f>
        <v/>
      </c>
      <c r="PG4">
        <f>--($PF$4)</f>
        <v/>
      </c>
      <c r="PH4">
        <f>IF(ROW()-3&gt;MAX($PG$4:$PG$40),"",INDEX($EO$4:$EO$40,MATCH(ROW()-3,$PG$4:$PG$40,0)))</f>
        <v/>
      </c>
      <c r="PJ4">
        <f>IF($ET$4="",FALSE,SUMPRODUCT(('Final Calculation Sheet'!$AB$4:$AB$40=$ET$4)*($PI$6:$PI$42=1))&gt;0)</f>
        <v/>
      </c>
      <c r="PK4">
        <f>--($PJ$4)</f>
        <v/>
      </c>
      <c r="PL4">
        <f>IF(ROW()-3&gt;MAX($PK$4:$PK$40),"",INDEX($ET$4:$ET$40,MATCH(ROW()-3,$PK$4:$PK$40,0)))</f>
        <v/>
      </c>
      <c r="PN4">
        <f>IF($EY$4="",FALSE,SUMPRODUCT(('Final Calculation Sheet'!$AC$4:$AC$40=$EY$4)*($PM$6:$PM$42=1))&gt;0)</f>
        <v/>
      </c>
      <c r="PO4">
        <f>--($PN$4)</f>
        <v/>
      </c>
      <c r="PP4">
        <f>IF(ROW()-3&gt;MAX($PO$4:$PO$40),"",INDEX($EY$4:$EY$40,MATCH(ROW()-3,$PO$4:$PO$40,0)))</f>
        <v/>
      </c>
      <c r="PR4">
        <f>IF($FD$4="",FALSE,SUMPRODUCT(('Final Calculation Sheet'!$AD$4:$AD$40=$FD$4)*($PQ$6:$PQ$42=1))&gt;0)</f>
        <v/>
      </c>
      <c r="PS4">
        <f>--($PR$4)</f>
        <v/>
      </c>
      <c r="PT4">
        <f>IF(ROW()-3&gt;MAX($PS$4:$PS$40),"",INDEX($FD$4:$FD$40,MATCH(ROW()-3,$PS$4:$PS$40,0)))</f>
        <v/>
      </c>
      <c r="PV4">
        <f>IF($FX$4="",FALSE,SUMPRODUCT((IF('Final Calculation Sheet'!$AD$4:$AD$40&lt;=5,"SETTLED","OUTSTANDING")=$FX$4)*($PU$6:$PU$42=1))&gt;0)</f>
        <v/>
      </c>
      <c r="PW4">
        <f>--($PV$4)</f>
        <v/>
      </c>
      <c r="PX4">
        <f>IF(ROW()-3&gt;MAX($PW$4:$PW$40),"",INDEX($FX$4:$FX$40,MATCH(ROW()-3,$PW$4:$PW$40,0)))</f>
        <v/>
      </c>
      <c r="PZ4">
        <f>IF($FI$4="",FALSE,SUMPRODUCT(('Final Calculation Sheet'!$AF$4:$AF$40=$FI$4)*($PY$6:$PY$42=1))&gt;0)</f>
        <v/>
      </c>
      <c r="QA4">
        <f>--($PZ$4)</f>
        <v/>
      </c>
      <c r="QB4">
        <f>IF(ROW()-3&gt;MAX($QA$4:$QA$40),"",INDEX($FI$4:$FI$40,MATCH(ROW()-3,$QA$4:$QA$40,0)))</f>
        <v/>
      </c>
      <c r="QD4">
        <f>IF($FN$4="",FALSE,SUMPRODUCT(('Final Calculation Sheet'!$AG$4:$AG$40=$FN$4)*($QC$6:$QC$42=1))&gt;0)</f>
        <v/>
      </c>
      <c r="QE4">
        <f>--($QD$4)</f>
        <v/>
      </c>
      <c r="QF4">
        <f>IF(ROW()-3&gt;MAX($QE$4:$QE$40),"",INDEX($FN$4:$FN$40,MATCH(ROW()-3,$QE$4:$QE$40,0)))</f>
        <v/>
      </c>
      <c r="QH4">
        <f>IF($FS$4="",FALSE,SUMPRODUCT(('Final Calculation Sheet'!$AH$4:$AH$40=$FS$4)*($QG$6:$QG$42=1))&gt;0)</f>
        <v/>
      </c>
      <c r="QI4">
        <f>--($QH$4)</f>
        <v/>
      </c>
      <c r="QJ4">
        <f>IF(ROW()-3&gt;MAX($QI$4:$QI$40),"",INDEX($FS$4:$FS$40,MATCH(ROW()-3,$QI$4:$QI$40,0)))</f>
        <v/>
      </c>
      <c r="QK4" t="str">
        <f>IF('Final Calculation Sheet'!$AH$4="","",'Final Calculation Sheet'!$AH$4)</f>
      </c>
      <c r="QL4" t="str">
        <f>IF(QK4="","",COUNTIFS(QK$4:QK$40,"&lt;"&amp;QK4,QK$4:QK$40,"&lt;&gt;"&amp;"")+COUNTIF(QK$4:QK4,QK4))</f>
      </c>
      <c r="QM4" t="str">
        <f>IF(ROW()-3&gt;COUNTIF(QK$4:QK$40,"&lt;&gt;"&amp;""),"",INDEX(QK$4:QK$40,MATCH(ROW()-3,QL$4:QL$40,0)))</f>
      </c>
      <c r="QN4" t="str">
        <f>IF(AND(QM4&lt;&gt;"",COUNTIF(QM$4:QM4,QM4)=1),1,0)</f>
      </c>
      <c r="QO4" t="str">
        <f>IF(ROW()-3&gt;MAX(QN$4:QN$40),"",INDEX(QM$4:QM$40,MATCH(ROW()-3,QN$4:QN$40,0)))</f>
      </c>
      <c r="QP4" t="str">
        <f>IF(COUNTIF('Final Calculation Sheet'!$AM4:$BS4,0)&gt;0,0,1)</f>
      </c>
      <c r="QQ4" t="str">
        <f>IF($AI$4="",FALSE,SUMPRODUCT(('Final Calculation Sheet'!$A$4:$A$40=$AI$4)*($QP$4:$QP$40=1))&gt;0)</f>
      </c>
      <c r="QR4" t="str">
        <f>--($QQ$4)</f>
      </c>
      <c r="QS4" t="str">
        <f>IF(ROW()-3&gt;MAX($QR$4:$QR$40),"",INDEX($AI$4:$AI$40,MATCH(ROW()-3,$QR$4:$QR$40,0)))</f>
      </c>
      <c r="QT4" t="str">
        <f>IF(COUNTIF('Final Calculation Sheet'!$AL4:$AL4,0)+COUNTIF('Final Calculation Sheet'!$AN4:$BS4,0)&gt;0,0,1)</f>
      </c>
      <c r="QU4" t="str">
        <f>IF($Y$4="",FALSE,SUMPRODUCT(('Final Calculation Sheet'!$B$4:$B$40=$Y$4)*($QT$4:$QT$40=1))&gt;0)</f>
      </c>
      <c r="QV4" t="str">
        <f>--($QU$4)</f>
      </c>
      <c r="QW4" t="str">
        <f>IF(ROW()-3&gt;MAX($QV$4:$QV$40),"",INDEX($Y$4:$Y$40,MATCH(ROW()-3,$QV$4:$QV$40,0)))</f>
      </c>
      <c r="QX4" t="str">
        <f>IF(COUNTIF('Final Calculation Sheet'!$AL4:$AM4,0)+COUNTIF('Final Calculation Sheet'!$AO4:$BS4,0)&gt;0,0,1)</f>
      </c>
      <c r="QY4" t="str">
        <f>IF($AS$4="",FALSE,SUMPRODUCT(('Final Calculation Sheet'!$C$4:$C$40=$AS$4)*($QX$4:$QX$40=1))&gt;0)</f>
      </c>
      <c r="QZ4" t="str">
        <f>--($QY$4)</f>
      </c>
      <c r="RA4" t="str">
        <f>IF(ROW()-3&gt;MAX($QZ$4:$QZ$40),"",INDEX($AS$4:$AS$40,MATCH(ROW()-3,$QZ$4:$QZ$40,0)))</f>
      </c>
      <c r="RB4" t="str">
        <f>IF(COUNTIF('Final Calculation Sheet'!$AL4:$AN4,0)+COUNTIF('Final Calculation Sheet'!$AP4:$BS4,0)&gt;0,0,1)</f>
      </c>
      <c r="RC4" t="str">
        <f>IF($AD$4="",FALSE,SUMPRODUCT(('Final Calculation Sheet'!$D$4:$D$40=$AD$4)*($RB$4:$RB$40=1))&gt;0)</f>
      </c>
      <c r="RD4" t="str">
        <f>--($RC$4)</f>
      </c>
      <c r="RE4" t="str">
        <f>IF(ROW()-3&gt;MAX($RD$4:$RD$40),"",INDEX($AD$4:$AD$40,MATCH(ROW()-3,$RD$4:$RD$40,0)))</f>
      </c>
      <c r="RF4" t="str">
        <f>IF(COUNTIF('Final Calculation Sheet'!$AL4:$AO4,0)+COUNTIF('Final Calculation Sheet'!$AQ4:$BS4,0)&gt;0,0,1)</f>
      </c>
      <c r="RG4" t="str">
        <f>IF($AN$4="",FALSE,SUMPRODUCT(('Final Calculation Sheet'!$E$4:$E$40=$AN$4)*($RF$4:$RF$40=1))&gt;0)</f>
      </c>
      <c r="RH4" t="str">
        <f>--($RG$4)</f>
      </c>
      <c r="RI4" t="str">
        <f>IF(ROW()-3&gt;MAX($RH$4:$RH$40),"",INDEX($AN$4:$AN$40,MATCH(ROW()-3,$RH$4:$RH$40,0)))</f>
      </c>
      <c r="RJ4" t="str">
        <f>IF(COUNTIF('Final Calculation Sheet'!$AL4:$AP4,0)+COUNTIF('Final Calculation Sheet'!$AR4:$BS4,0)&gt;0,0,1)</f>
      </c>
      <c r="RK4" t="str">
        <f>IF($O$4="",FALSE,SUMPRODUCT(('Final Calculation Sheet'!$F$4:$F$40=$O$4)*($RJ$4:$RJ$40=1))&gt;0)</f>
      </c>
      <c r="RL4" t="str">
        <f>--($RK$4)</f>
      </c>
      <c r="RM4" t="str">
        <f>IF(ROW()-3&gt;MAX($RL$4:$RL$40),"",INDEX($O$4:$O$40,MATCH(ROW()-3,$RL$4:$RL$40,0)))</f>
      </c>
      <c r="RN4" t="str">
        <f>IF(COUNTIF('Final Calculation Sheet'!$AL4:$AQ4,0)+COUNTIF('Final Calculation Sheet'!$AS4:$BS4,0)&gt;0,0,1)</f>
      </c>
      <c r="RO4" t="str">
        <f>IF($T$4="",FALSE,SUMPRODUCT(('Final Calculation Sheet'!$G$4:$G$40=$T$4)*($RN$4:$RN$40=1))&gt;0)</f>
      </c>
      <c r="RP4" t="str">
        <f>--($RO$4)</f>
      </c>
      <c r="RQ4" t="str">
        <f>IF(ROW()-3&gt;MAX($RP$4:$RP$40),"",INDEX($T$4:$T$40,MATCH(ROW()-3,$RP$4:$RP$40,0)))</f>
      </c>
      <c r="RR4" t="str">
        <f>IF(COUNTIF('Final Calculation Sheet'!$AL4:$AR4,0)+COUNTIF('Final Calculation Sheet'!$AT4:$BS4,0)&gt;0,0,1)</f>
      </c>
      <c r="RS4" t="str">
        <f>IF($AX$4="",FALSE,SUMPRODUCT(('Final Calculation Sheet'!$H$4:$H$40=$AX$4)*($RR$4:$RR$40=1))&gt;0)</f>
      </c>
      <c r="RT4" t="str">
        <f>--($RS$4)</f>
      </c>
      <c r="RU4" t="str">
        <f>IF(ROW()-3&gt;MAX($RT$4:$RT$40),"",INDEX($AX$4:$AX$40,MATCH(ROW()-3,$RT$4:$RT$40,0)))</f>
      </c>
      <c r="RV4" t="str">
        <f>IF(COUNTIF('Final Calculation Sheet'!$AL4:$AS4,0)+COUNTIF('Final Calculation Sheet'!$AU4:$BS4,0)&gt;0,0,1)</f>
      </c>
      <c r="RW4" t="str">
        <f>IF($BC$4="",FALSE,SUMPRODUCT(('Final Calculation Sheet'!$I$4:$I$40=$BC$4)*($RV$4:$RV$40=1))&gt;0)</f>
      </c>
      <c r="RX4" t="str">
        <f>--($RW$4)</f>
      </c>
      <c r="RY4" t="str">
        <f>IF(ROW()-3&gt;MAX($RX$4:$RX$40),"",INDEX($BC$4:$BC$40,MATCH(ROW()-3,$RX$4:$RX$40,0)))</f>
      </c>
      <c r="RZ4" t="str">
        <f>IF(COUNTIF('Final Calculation Sheet'!$AL4:$AT4,0)+COUNTIF('Final Calculation Sheet'!$AV4:$BS4,0)&gt;0,0,1)</f>
      </c>
      <c r="SA4" t="str">
        <f>IF($BH$4="",FALSE,SUMPRODUCT(('Final Calculation Sheet'!$J$4:$J$40=$BH$4)*($RZ$4:$RZ$40=1))&gt;0)</f>
      </c>
      <c r="SB4" t="str">
        <f>--($SA$4)</f>
      </c>
      <c r="SC4" t="str">
        <f>IF(ROW()-3&gt;MAX($SB$4:$SB$40),"",INDEX($BH$4:$BH$40,MATCH(ROW()-3,$SB$4:$SB$40,0)))</f>
      </c>
      <c r="SD4" t="str">
        <f>IF(COUNTIF('Final Calculation Sheet'!$AL4:$AU4,0)+COUNTIF('Final Calculation Sheet'!$AW4:$BS4,0)&gt;0,0,1)</f>
      </c>
      <c r="SE4" t="str">
        <f>IF($BM$4="",FALSE,SUMPRODUCT(('Final Calculation Sheet'!$K$4:$K$40=$BM$4)*($SD$4:$SD$40=1))&gt;0)</f>
      </c>
      <c r="SF4" t="str">
        <f>--($SE$4)</f>
      </c>
      <c r="SG4" t="str">
        <f>IF(ROW()-3&gt;MAX($SF$4:$SF$40),"",INDEX($BM$4:$BM$40,MATCH(ROW()-3,$SF$4:$SF$40,0)))</f>
      </c>
      <c r="SH4" t="str">
        <f>IF(COUNTIF('Final Calculation Sheet'!$AL4:$AV4,0)+COUNTIF('Final Calculation Sheet'!$AX4:$BS4,0)&gt;0,0,1)</f>
      </c>
      <c r="SI4" t="str">
        <f>IF($BR$4="",FALSE,SUMPRODUCT(('Final Calculation Sheet'!$L$4:$L$40=$BR$4)*($SH$4:$SH$40=1))&gt;0)</f>
      </c>
      <c r="SJ4" t="str">
        <f>--($SI$4)</f>
      </c>
      <c r="SK4" t="str">
        <f>IF(ROW()-3&gt;MAX($SJ$4:$SJ$40),"",INDEX($BR$4:$BR$40,MATCH(ROW()-3,$SJ$4:$SJ$40,0)))</f>
      </c>
      <c r="SL4" t="str">
        <f>IF(COUNTIF('Final Calculation Sheet'!$AL4:$AW4,0)+COUNTIF('Final Calculation Sheet'!$AY4:$BS4,0)&gt;0,0,1)</f>
      </c>
      <c r="SM4" t="str">
        <f>IF($BW$4="",FALSE,SUMPRODUCT(('Final Calculation Sheet'!$M$4:$M$40=$BW$4)*($SL$4:$SL$40=1))&gt;0)</f>
      </c>
      <c r="SN4" t="str">
        <f>--($SM$4)</f>
      </c>
      <c r="SO4" t="str">
        <f>IF(ROW()-3&gt;MAX($SN$4:$SN$40),"",INDEX($BW$4:$BW$40,MATCH(ROW()-3,$SN$4:$SN$40,0)))</f>
      </c>
      <c r="SP4" t="str">
        <f>IF(COUNTIF('Final Calculation Sheet'!$AL4:$AX4,0)+COUNTIF('Final Calculation Sheet'!$AZ4:$BS4,0)&gt;0,0,1)</f>
      </c>
      <c r="SQ4" t="str">
        <f>IF($CB$4="",FALSE,SUMPRODUCT(('Final Calculation Sheet'!$N$4:$N$40=$CB$4)*($SP$4:$SP$40=1))&gt;0)</f>
      </c>
      <c r="SR4" t="str">
        <f>--($SQ$4)</f>
      </c>
      <c r="SS4" t="str">
        <f>IF(ROW()-3&gt;MAX($SR$4:$SR$40),"",INDEX($CB$4:$CB$40,MATCH(ROW()-3,$SR$4:$SR$40,0)))</f>
      </c>
      <c r="ST4" t="str">
        <f>IF(COUNTIF('Final Calculation Sheet'!$AL4:$AY4,0)+COUNTIF('Final Calculation Sheet'!$BA4:$BS4,0)&gt;0,0,1)</f>
      </c>
      <c r="SU4" t="str">
        <f>IF($CG$4="",FALSE,SUMPRODUCT(('Final Calculation Sheet'!$O$4:$O$40=$CG$4)*($ST$4:$ST$40=1))&gt;0)</f>
      </c>
      <c r="SV4" t="str">
        <f>--($SU$4)</f>
      </c>
      <c r="SW4" t="str">
        <f>IF(ROW()-3&gt;MAX($SV$4:$SV$40),"",INDEX($CG$4:$CG$40,MATCH(ROW()-3,$SV$4:$SV$40,0)))</f>
      </c>
      <c r="SX4" t="str">
        <f>IF(COUNTIF('Final Calculation Sheet'!$AL4:$AZ4,0)+COUNTIF('Final Calculation Sheet'!$BB4:$BS4,0)&gt;0,0,1)</f>
      </c>
      <c r="SY4" t="str">
        <f>IF($CL$4="",FALSE,SUMPRODUCT(('Final Calculation Sheet'!$P$4:$P$40=$CL$4)*($SX$4:$SX$40=1))&gt;0)</f>
      </c>
      <c r="SZ4" t="str">
        <f>--($SY$4)</f>
      </c>
      <c r="TA4" t="str">
        <f>IF(ROW()-3&gt;MAX($SZ$4:$SZ$40),"",INDEX($CL$4:$CL$40,MATCH(ROW()-3,$SZ$4:$SZ$40,0)))</f>
      </c>
      <c r="TB4" t="str">
        <f>IF(COUNTIF('Final Calculation Sheet'!$AL4:$BA4,0)+COUNTIF('Final Calculation Sheet'!$BC4:$BS4,0)&gt;0,0,1)</f>
      </c>
      <c r="TC4" t="str">
        <f>IF($CQ$4="",FALSE,SUMPRODUCT(('Final Calculation Sheet'!$Q$4:$Q$40=$CQ$4)*($TB$4:$TB$40=1))&gt;0)</f>
      </c>
      <c r="TD4" t="str">
        <f>--($TC$4)</f>
      </c>
      <c r="TE4" t="str">
        <f>IF(ROW()-3&gt;MAX($TD$4:$TD$40),"",INDEX($CQ$4:$CQ$40,MATCH(ROW()-3,$TD$4:$TD$40,0)))</f>
      </c>
      <c r="TF4" t="str">
        <f>IF(COUNTIF('Final Calculation Sheet'!$AL4:$BB4,0)+COUNTIF('Final Calculation Sheet'!$BD4:$BS4,0)&gt;0,0,1)</f>
      </c>
      <c r="TG4" t="str">
        <f>IF($CV$4="",FALSE,SUMPRODUCT(('Final Calculation Sheet'!$R$4:$R$40=$CV$4)*($TF$4:$TF$40=1))&gt;0)</f>
      </c>
      <c r="TH4" t="str">
        <f>--($TG$4)</f>
      </c>
      <c r="TI4" t="str">
        <f>IF(ROW()-3&gt;MAX($TH$4:$TH$40),"",INDEX($CV$4:$CV$40,MATCH(ROW()-3,$TH$4:$TH$40,0)))</f>
      </c>
      <c r="TJ4" t="str">
        <f>IF(COUNTIF('Final Calculation Sheet'!$AL4:$BC4,0)+COUNTIF('Final Calculation Sheet'!$BE4:$BS4,0)&gt;0,0,1)</f>
      </c>
      <c r="TK4" t="str">
        <f>IF($DA$4="",FALSE,SUMPRODUCT(('Final Calculation Sheet'!$S$4:$S$40=$DA$4)*($TJ$4:$TJ$40=1))&gt;0)</f>
      </c>
      <c r="TL4" t="str">
        <f>--($TK$4)</f>
      </c>
      <c r="TM4" t="str">
        <f>IF(ROW()-3&gt;MAX($TL$4:$TL$40),"",INDEX($DA$4:$DA$40,MATCH(ROW()-3,$TL$4:$TL$40,0)))</f>
      </c>
      <c r="TN4" t="str">
        <f>IF(COUNTIF('Final Calculation Sheet'!$AL4:$BD4,0)+COUNTIF('Final Calculation Sheet'!$BF4:$BS4,0)&gt;0,0,1)</f>
      </c>
      <c r="TO4" t="str">
        <f>IF($DF$4="",FALSE,SUMPRODUCT(('Final Calculation Sheet'!$T$4:$T$40=$DF$4)*($TN$4:$TN$40=1))&gt;0)</f>
      </c>
      <c r="TP4" t="str">
        <f>--($TO$4)</f>
      </c>
      <c r="TQ4" t="str">
        <f>IF(ROW()-3&gt;MAX($TP$4:$TP$40),"",INDEX($DF$4:$DF$40,MATCH(ROW()-3,$TP$4:$TP$40,0)))</f>
      </c>
      <c r="TR4" t="str">
        <f>IF(COUNTIF('Final Calculation Sheet'!$AL4:$BE4,0)+COUNTIF('Final Calculation Sheet'!$BG4:$BS4,0)&gt;0,0,1)</f>
      </c>
      <c r="TS4" t="str">
        <f>IF($DK$4="",FALSE,SUMPRODUCT(('Final Calculation Sheet'!$U$4:$U$40=$DK$4)*($TR$4:$TR$40=1))&gt;0)</f>
      </c>
      <c r="TT4" t="str">
        <f>--($TS$4)</f>
      </c>
      <c r="TU4" t="str">
        <f>IF(ROW()-3&gt;MAX($TT$4:$TT$40),"",INDEX($DK$4:$DK$40,MATCH(ROW()-3,$TT$4:$TT$40,0)))</f>
      </c>
      <c r="TV4" t="str">
        <f>IF(COUNTIF('Final Calculation Sheet'!$AL4:$BF4,0)+COUNTIF('Final Calculation Sheet'!$BH4:$BS4,0)&gt;0,0,1)</f>
      </c>
      <c r="TW4" t="str">
        <f>IF($DP$4="",FALSE,SUMPRODUCT(('Final Calculation Sheet'!$V$4:$V$40=$DP$4)*($TV$4:$TV$40=1))&gt;0)</f>
      </c>
      <c r="TX4" t="str">
        <f>--($TW$4)</f>
      </c>
      <c r="TY4" t="str">
        <f>IF(ROW()-3&gt;MAX($TX$4:$TX$40),"",INDEX($DP$4:$DP$40,MATCH(ROW()-3,$TX$4:$TX$40,0)))</f>
      </c>
      <c r="TZ4" t="str">
        <f>IF(COUNTIF('Final Calculation Sheet'!$AL4:$BG4,0)+COUNTIF('Final Calculation Sheet'!$BI4:$BS4,0)&gt;0,0,1)</f>
      </c>
      <c r="UA4" t="str">
        <f>IF($DU$4="",FALSE,SUMPRODUCT(('Final Calculation Sheet'!$W$4:$W$40=$DU$4)*($TZ$4:$TZ$40=1))&gt;0)</f>
      </c>
      <c r="UB4" t="str">
        <f>--($UA$4)</f>
      </c>
      <c r="UC4" t="str">
        <f>IF(ROW()-3&gt;MAX($UB$4:$UB$40),"",INDEX($DU$4:$DU$40,MATCH(ROW()-3,$UB$4:$UB$40,0)))</f>
      </c>
      <c r="UD4" t="str">
        <f>IF(COUNTIF('Final Calculation Sheet'!$AL4:$BH4,0)+COUNTIF('Final Calculation Sheet'!$BJ4:$BS4,0)&gt;0,0,1)</f>
      </c>
      <c r="UE4" t="str">
        <f>IF($DZ$4="",FALSE,SUMPRODUCT(('Final Calculation Sheet'!$X$4:$X$40=$DZ$4)*($UD$4:$UD$40=1))&gt;0)</f>
      </c>
      <c r="UF4" t="str">
        <f>--($UE$4)</f>
      </c>
      <c r="UG4" t="str">
        <f>IF(ROW()-3&gt;MAX($UF$4:$UF$40),"",INDEX($DZ$4:$DZ$40,MATCH(ROW()-3,$UF$4:$UF$40,0)))</f>
      </c>
      <c r="UH4" t="str">
        <f>IF(COUNTIF('Final Calculation Sheet'!$AL4:$BI4,0)+COUNTIF('Final Calculation Sheet'!$BK4:$BS4,0)&gt;0,0,1)</f>
      </c>
      <c r="UI4" t="str">
        <f>IF($EE$4="",FALSE,SUMPRODUCT(('Final Calculation Sheet'!$Y$4:$Y$40=$EE$4)*($UH$4:$UH$40=1))&gt;0)</f>
      </c>
      <c r="UJ4" t="str">
        <f>--($UI$4)</f>
      </c>
      <c r="UK4" t="str">
        <f>IF(ROW()-3&gt;MAX($UJ$4:$UJ$40),"",INDEX($EE$4:$EE$40,MATCH(ROW()-3,$UJ$4:$UJ$40,0)))</f>
      </c>
      <c r="UL4" t="str">
        <f>IF(COUNTIF('Final Calculation Sheet'!$AL4:$BJ4,0)+COUNTIF('Final Calculation Sheet'!$BL4:$BS4,0)&gt;0,0,1)</f>
      </c>
      <c r="UM4" t="str">
        <f>IF($EJ$4="",FALSE,SUMPRODUCT(('Final Calculation Sheet'!$Z$4:$Z$40=$EJ$4)*($UL$4:$UL$40=1))&gt;0)</f>
      </c>
      <c r="UN4" t="str">
        <f>--($UM$4)</f>
      </c>
      <c r="UO4" t="str">
        <f>IF(ROW()-3&gt;MAX($UN$4:$UN$40),"",INDEX($EJ$4:$EJ$40,MATCH(ROW()-3,$UN$4:$UN$40,0)))</f>
      </c>
      <c r="UP4" t="str">
        <f>IF(COUNTIF('Final Calculation Sheet'!$AL4:$BK4,0)+COUNTIF('Final Calculation Sheet'!$BM4:$BS4,0)&gt;0,0,1)</f>
      </c>
      <c r="UQ4" t="str">
        <f>IF($EO$4="",FALSE,SUMPRODUCT(('Final Calculation Sheet'!$AA$4:$AA$40=$EO$4)*($UP$4:$UP$40=1))&gt;0)</f>
      </c>
      <c r="UR4" t="str">
        <f>--($UQ$4)</f>
      </c>
      <c r="US4" t="str">
        <f>IF(ROW()-3&gt;MAX($UR$4:$UR$40),"",INDEX($EO$4:$EO$40,MATCH(ROW()-3,$UR$4:$UR$40,0)))</f>
      </c>
      <c r="UT4" t="str">
        <f>IF(COUNTIF('Final Calculation Sheet'!$AL4:$BL4,0)+COUNTIF('Final Calculation Sheet'!$BN4:$BS4,0)&gt;0,0,1)</f>
      </c>
      <c r="UU4" t="str">
        <f>IF($ET$4="",FALSE,SUMPRODUCT(('Final Calculation Sheet'!$AB$4:$AB$40=$ET$4)*($UT$4:$UT$40=1))&gt;0)</f>
      </c>
      <c r="UV4" t="str">
        <f>--($UU$4)</f>
      </c>
      <c r="UW4" t="str">
        <f>IF(ROW()-3&gt;MAX($UV$4:$UV$40),"",INDEX($ET$4:$ET$40,MATCH(ROW()-3,$UV$4:$UV$40,0)))</f>
      </c>
      <c r="UX4" t="str">
        <f>IF(COUNTIF('Final Calculation Sheet'!$AL4:$BM4,0)+COUNTIF('Final Calculation Sheet'!$BO4:$BS4,0)&gt;0,0,1)</f>
      </c>
      <c r="UY4" t="str">
        <f>IF($EY$4="",FALSE,SUMPRODUCT(('Final Calculation Sheet'!$AC$4:$AC$40=$EY$4)*($UX$4:$UX$40=1))&gt;0)</f>
      </c>
      <c r="UZ4" t="str">
        <f>--($UY$4)</f>
      </c>
      <c r="VA4" t="str">
        <f>IF(ROW()-3&gt;MAX($UZ$4:$UZ$40),"",INDEX($EY$4:$EY$40,MATCH(ROW()-3,$UZ$4:$UZ$40,0)))</f>
      </c>
      <c r="VB4" t="str">
        <f>IF(COUNTIF('Final Calculation Sheet'!$AL4:$BN4,0)+COUNTIF('Final Calculation Sheet'!$BP4:$BS4,0)&gt;0,0,1)</f>
      </c>
      <c r="VC4" t="str">
        <f>IF($FD$4="",FALSE,SUMPRODUCT(('Final Calculation Sheet'!$AD$4:$AD$40=$FD$4)*($VB$4:$VB$40=1))&gt;0)</f>
      </c>
      <c r="VD4" t="str">
        <f>--($VC$4)</f>
      </c>
      <c r="VE4" t="str">
        <f>IF(ROW()-3&gt;MAX($VD$4:$VD$40),"",INDEX($FD$4:$FD$40,MATCH(ROW()-3,$VD$4:$VD$40,0)))</f>
      </c>
      <c r="VF4" t="str">
        <f>IF(COUNTIF('Final Calculation Sheet'!$AL4:$BO4,0)+COUNTIF('Final Calculation Sheet'!$BQ4:$BS4,0)&gt;0,0,1)</f>
      </c>
      <c r="VG4" t="str">
        <f>IF($FI$4="",FALSE,SUMPRODUCT(('Final Calculation Sheet'!$AE$4:$AE$40=$FI$4)*($VF$4:$VF$40=1))&gt;0)</f>
      </c>
      <c r="VH4" t="str">
        <f>--($VG$4)</f>
      </c>
      <c r="VI4" t="str">
        <f>IF(ROW()-3&gt;MAX($VH$4:$VH$40),"",INDEX($FI$4:$FI$40,MATCH(ROW()-3,$VH$4:$VH$40,0)))</f>
      </c>
      <c r="VJ4" t="str">
        <f>IF(COUNTIF('Final Calculation Sheet'!$AL4:$BP4,0)+COUNTIF('Final Calculation Sheet'!$BR4:$BS4,0)&gt;0,0,1)</f>
      </c>
      <c r="VK4" t="str">
        <f>IF($FN$4="",FALSE,SUMPRODUCT(('Final Calculation Sheet'!$AF$4:$AF$40=$FN$4)*($VJ$4:$VJ$40=1))&gt;0)</f>
      </c>
      <c r="VL4" t="str">
        <f>--($VK$4)</f>
      </c>
      <c r="VM4" t="str">
        <f>IF(ROW()-3&gt;MAX($VL$4:$VL$40),"",INDEX($FN$4:$FN$40,MATCH(ROW()-3,$VL$4:$VL$40,0)))</f>
      </c>
      <c r="VN4" t="str">
        <f>IF(COUNTIF('Final Calculation Sheet'!$AL4:$BQ4,0)+COUNTIF('Final Calculation Sheet'!$BS4:$BS4,0)&gt;0,0,1)</f>
      </c>
      <c r="VO4" t="str">
        <f>IF($FS$4="",FALSE,SUMPRODUCT(('Final Calculation Sheet'!$AG$4:$AG$40=$FS$4)*($VN$4:$VN$40=1))&gt;0)</f>
      </c>
      <c r="VP4" t="str">
        <f>--($VO$4)</f>
      </c>
      <c r="VQ4" t="str">
        <f>IF(ROW()-3&gt;MAX($VP$4:$VP$40),"",INDEX($FS$4:$FS$40,MATCH(ROW()-3,$VP$4:$VP$40,0)))</f>
      </c>
      <c r="VR4" t="str">
        <f>IF(COUNTIF('Final Calculation Sheet'!$AL4:$BR4,0)&gt;0,0,1)</f>
      </c>
      <c r="VS4" t="str">
        <f>IF($QO$4="",FALSE,SUMPRODUCT(('Final Calculation Sheet'!$AH$4:$AH$40=$QO$4)*($VR$4:$VR$40=1))&gt;0)</f>
      </c>
      <c r="VT4" t="str">
        <f>--($VS$4)</f>
      </c>
      <c r="VU4" t="str">
        <f>IF(ROW()-3&gt;MAX($VT$4:$VT$40),"",INDEX($QO$4:$QO$40,MATCH(ROW()-3,$VT$4:$VT$40,0)))</f>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D5">
        <f>IF($O$5="",FALSE,SUMPRODUCT(('Final Calculation Sheet'!$F$4:$F$40=$O$5)*($GC$6:$GC$42=1))&gt;0)</f>
        <v/>
      </c>
      <c r="GE5">
        <f>$GE$4+--($GD5)</f>
        <v/>
      </c>
      <c r="GF5">
        <f>IF(ROW()-3&gt;MAX($GE$4:$GE$40),"",INDEX($O$4:$O$40,MATCH(ROW()-3,$GE$4:$GE$40,0)))</f>
        <v/>
      </c>
      <c r="GH5">
        <f>IF($T$5="",FALSE,SUMPRODUCT(('Final Calculation Sheet'!$G$4:$G$40=$T$5)*($GG$6:$GG$42=1))&gt;0)</f>
        <v/>
      </c>
      <c r="GI5">
        <f>$GI$4+--($GH5)</f>
        <v/>
      </c>
      <c r="GJ5">
        <f>IF(ROW()-3&gt;MAX($GI$4:$GI$40),"",INDEX($T$4:$T$40,MATCH(ROW()-3,$GI$4:$GI$40,0)))</f>
        <v/>
      </c>
      <c r="GL5">
        <f>IF($AD$5="",FALSE,SUMPRODUCT(('Final Calculation Sheet'!$D$4:$D$40=$AD$5)*($GK$6:$GK$42=1))&gt;0)</f>
        <v/>
      </c>
      <c r="GM5">
        <f>$GM$4+--($GL5)</f>
        <v/>
      </c>
      <c r="GN5">
        <f>IF(ROW()-3&gt;MAX($GM$4:$GM$40),"",INDEX($AD$4:$AD$40,MATCH(ROW()-3,$GM$4:$GM$40,0)))</f>
        <v/>
      </c>
      <c r="GP5">
        <f>IF($AI$5="",FALSE,SUMPRODUCT(('Final Calculation Sheet'!$A$4:$A$40=$AI$5)*($GO$6:$GO$42=1))&gt;0)</f>
        <v/>
      </c>
      <c r="GQ5">
        <f>$GQ$4+--($GP5)</f>
        <v/>
      </c>
      <c r="GR5">
        <f>IF(ROW()-3&gt;MAX($GQ$4:$GQ$40),"",INDEX($AI$4:$AI$40,MATCH(ROW()-3,$GQ$4:$GQ$40,0)))</f>
        <v/>
      </c>
      <c r="GT5">
        <f>IF($AN$5="",FALSE,SUMPRODUCT(('Final Calculation Sheet'!$E$4:$E$40=$AN$5)*($GS$6:$GS$42=1))&gt;0)</f>
        <v/>
      </c>
      <c r="GU5">
        <f>$GU$4+--($GT5)</f>
        <v/>
      </c>
      <c r="GV5">
        <f>IF(ROW()-3&gt;MAX($GU$4:$GU$40),"",INDEX($AN$4:$AN$40,MATCH(ROW()-3,$GU$4:$GU$40,0)))</f>
        <v/>
      </c>
      <c r="GX5">
        <f>IF($AS$5="",FALSE,SUMPRODUCT(('Final Calculation Sheet'!$C$4:$C$40=$AS$5)*($GW$6:$GW$42=1))&gt;0)</f>
        <v/>
      </c>
      <c r="GY5">
        <f>$GY$4+--($GX5)</f>
        <v/>
      </c>
      <c r="GZ5">
        <f>IF(ROW()-3&gt;MAX($GY$4:$GY$40),"",INDEX($AS$4:$AS$40,MATCH(ROW()-3,$GY$4:$GY$40,0)))</f>
        <v/>
      </c>
      <c r="HB5">
        <f>IF($AX$5="",FALSE,SUMPRODUCT(('Final Calculation Sheet'!$H$4:$H$40=$AX$5)*($HA$6:$HA$42=1))&gt;0)</f>
        <v/>
      </c>
      <c r="HC5">
        <f>$HC$4+--($HB5)</f>
        <v/>
      </c>
      <c r="HD5">
        <f>IF(ROW()-3&gt;MAX($HC$4:$HC$40),"",INDEX($AX$4:$AX$40,MATCH(ROW()-3,$HC$4:$HC$40,0)))</f>
        <v/>
      </c>
      <c r="HF5">
        <f>IF($BC$5="",FALSE,SUMPRODUCT(('Final Calculation Sheet'!$I$4:$I$40=$BC$5)*($HE$6:$HE$42=1))&gt;0)</f>
        <v/>
      </c>
      <c r="HG5">
        <f>$HG$4+--($HF5)</f>
        <v/>
      </c>
      <c r="HH5">
        <f>IF(ROW()-3&gt;MAX($HG$4:$HG$40),"",INDEX($BC$4:$BC$40,MATCH(ROW()-3,$HG$4:$HG$40,0)))</f>
        <v/>
      </c>
      <c r="HJ5">
        <f>IF($BH$5="",FALSE,SUMPRODUCT(('Final Calculation Sheet'!$J$4:$J$40=$BH$5)*($HI$6:$HI$42=1))&gt;0)</f>
        <v/>
      </c>
      <c r="HK5">
        <f>$HK$4+--($HJ5)</f>
        <v/>
      </c>
      <c r="HL5">
        <f>IF(ROW()-3&gt;MAX($HK$4:$HK$40),"",INDEX($BH$4:$BH$40,MATCH(ROW()-3,$HK$4:$HK$40,0)))</f>
        <v/>
      </c>
      <c r="HN5">
        <f>IF($BM$5="",FALSE,SUMPRODUCT(('Final Calculation Sheet'!$K$4:$K$40=$BM$5)*($HM$6:$HM$42=1))&gt;0)</f>
        <v/>
      </c>
      <c r="HO5">
        <f>$HO$4+--($HN5)</f>
        <v/>
      </c>
      <c r="HP5">
        <f>IF(ROW()-3&gt;MAX($HO$4:$HO$40),"",INDEX($BM$4:$BM$40,MATCH(ROW()-3,$HO$4:$HO$40,0)))</f>
        <v/>
      </c>
      <c r="HR5">
        <f>IF($BR$5="",FALSE,SUMPRODUCT(('Final Calculation Sheet'!$L$4:$L$40=$BR$5)*($HQ$6:$HQ$42=1))&gt;0)</f>
        <v/>
      </c>
      <c r="HS5">
        <f>$HS$4+--($HR5)</f>
        <v/>
      </c>
      <c r="HT5">
        <f>IF(ROW()-3&gt;MAX($HS$4:$HS$40),"",INDEX($BR$4:$BR$40,MATCH(ROW()-3,$HS$4:$HS$40,0)))</f>
        <v/>
      </c>
      <c r="HV5">
        <f>IF($BW$5="",FALSE,SUMPRODUCT(('Final Calculation Sheet'!$M$4:$M$40=$BW$5)*($HU$6:$HU$42=1))&gt;0)</f>
        <v/>
      </c>
      <c r="HW5">
        <f>$HW$4+--($HV5)</f>
        <v/>
      </c>
      <c r="HX5">
        <f>IF(ROW()-3&gt;MAX($HW$4:$HW$40),"",INDEX($BW$4:$BW$40,MATCH(ROW()-3,$HW$4:$HW$40,0)))</f>
        <v/>
      </c>
      <c r="HZ5">
        <f>IF($CB$5="",FALSE,SUMPRODUCT(('Final Calculation Sheet'!$N$4:$N$40=$CB$5)*($HY$6:$HY$42=1))&gt;0)</f>
        <v/>
      </c>
      <c r="IA5">
        <f>$IA$4+--($HZ5)</f>
        <v/>
      </c>
      <c r="IB5">
        <f>IF(ROW()-3&gt;MAX($IA$4:$IA$40),"",INDEX($CB$4:$CB$40,MATCH(ROW()-3,$IA$4:$IA$40,0)))</f>
        <v/>
      </c>
      <c r="ID5">
        <f>IF($CG$5="",FALSE,SUMPRODUCT(('Final Calculation Sheet'!$O$4:$O$40=$CG$5)*($IC$6:$IC$42=1))&gt;0)</f>
        <v/>
      </c>
      <c r="IE5">
        <f>$IE$4+--($ID5)</f>
        <v/>
      </c>
      <c r="IF5">
        <f>IF(ROW()-3&gt;MAX($IE$4:$IE$40),"",INDEX($CG$4:$CG$40,MATCH(ROW()-3,$IE$4:$IE$40,0)))</f>
        <v/>
      </c>
      <c r="IH5">
        <f>IF($CL$5="",FALSE,SUMPRODUCT(('Final Calculation Sheet'!$P$4:$P$40=$CL$5)*($IG$6:$IG$42=1))&gt;0)</f>
        <v/>
      </c>
      <c r="II5">
        <f>$II$4+--($IH5)</f>
        <v/>
      </c>
      <c r="IJ5">
        <f>IF(ROW()-3&gt;MAX($II$4:$II$40),"",INDEX($CL$4:$CL$40,MATCH(ROW()-3,$II$4:$II$40,0)))</f>
        <v/>
      </c>
      <c r="IL5">
        <f>IF($CQ$5="",FALSE,SUMPRODUCT(('Final Calculation Sheet'!$Q$4:$Q$40=$CQ$5)*($IK$6:$IK$42=1))&gt;0)</f>
        <v/>
      </c>
      <c r="IM5">
        <f>$IM$4+--($IL5)</f>
        <v/>
      </c>
      <c r="IN5">
        <f>IF(ROW()-3&gt;MAX($IM$4:$IM$40),"",INDEX($CQ$4:$CQ$40,MATCH(ROW()-3,$IM$4:$IM$40,0)))</f>
        <v/>
      </c>
      <c r="IP5">
        <f>IF($CV$5="",FALSE,SUMPRODUCT(('Final Calculation Sheet'!$R$4:$R$40=$CV$5)*($IO$6:$IO$42=1))&gt;0)</f>
        <v/>
      </c>
      <c r="IQ5">
        <f>$IQ$4+--($IP5)</f>
        <v/>
      </c>
      <c r="IR5">
        <f>IF(ROW()-3&gt;MAX($IQ$4:$IQ$40),"",INDEX($CV$4:$CV$40,MATCH(ROW()-3,$IQ$4:$IQ$40,0)))</f>
        <v/>
      </c>
      <c r="IT5">
        <f>IF($DA$5="",FALSE,SUMPRODUCT(('Final Calculation Sheet'!$S$4:$S$40=$DA$5)*($IS$6:$IS$42=1))&gt;0)</f>
        <v/>
      </c>
      <c r="IU5">
        <f>$IU$4+--($IT5)</f>
        <v/>
      </c>
      <c r="IV5">
        <f>IF(ROW()-3&gt;MAX($IU$4:$IU$40),"",INDEX($DA$4:$DA$40,MATCH(ROW()-3,$IU$4:$IU$40,0)))</f>
        <v/>
      </c>
      <c r="IX5">
        <f>IF($DF$5="",FALSE,SUMPRODUCT(('Final Calculation Sheet'!$T$4:$T$40=$DF$5)*($IW$6:$IW$42=1))&gt;0)</f>
        <v/>
      </c>
      <c r="IY5">
        <f>$IY$4+--($IX5)</f>
        <v/>
      </c>
      <c r="IZ5">
        <f>IF(ROW()-3&gt;MAX($IY$4:$IY$40),"",INDEX($DF$4:$DF$40,MATCH(ROW()-3,$IY$4:$IY$40,0)))</f>
        <v/>
      </c>
      <c r="JB5">
        <f>IF($DK$5="",FALSE,SUMPRODUCT(('Final Calculation Sheet'!$U$4:$U$40=$DK$5)*($JA$6:$JA$42=1))&gt;0)</f>
        <v/>
      </c>
      <c r="JC5">
        <f>$JC$4+--($JB5)</f>
        <v/>
      </c>
      <c r="JD5">
        <f>IF(ROW()-3&gt;MAX($JC$4:$JC$40),"",INDEX($DK$4:$DK$40,MATCH(ROW()-3,$JC$4:$JC$40,0)))</f>
        <v/>
      </c>
      <c r="JF5">
        <f>IF($DP$5="",FALSE,SUMPRODUCT(('Final Calculation Sheet'!$V$4:$V$40=$DP$5)*($JE$6:$JE$42=1))&gt;0)</f>
        <v/>
      </c>
      <c r="JG5">
        <f>$JG$4+--($JF5)</f>
        <v/>
      </c>
      <c r="JH5">
        <f>IF(ROW()-3&gt;MAX($JG$4:$JG$40),"",INDEX($DP$4:$DP$40,MATCH(ROW()-3,$JG$4:$JG$40,0)))</f>
        <v/>
      </c>
      <c r="JJ5">
        <f>IF($DU$5="",FALSE,SUMPRODUCT(('Final Calculation Sheet'!$W$4:$W$40=$DU$5)*($JI$6:$JI$42=1))&gt;0)</f>
        <v/>
      </c>
      <c r="JK5">
        <f>$JK$4+--($JJ5)</f>
        <v/>
      </c>
      <c r="JL5">
        <f>IF(ROW()-3&gt;MAX($JK$4:$JK$40),"",INDEX($DU$4:$DU$40,MATCH(ROW()-3,$JK$4:$JK$40,0)))</f>
        <v/>
      </c>
      <c r="JN5">
        <f>IF($DZ$5="",FALSE,SUMPRODUCT(('Final Calculation Sheet'!$X$4:$X$40=$DZ$5)*($JM$6:$JM$42=1))&gt;0)</f>
        <v/>
      </c>
      <c r="JO5">
        <f>$JO$4+--($JN5)</f>
        <v/>
      </c>
      <c r="JP5">
        <f>IF(ROW()-3&gt;MAX($JO$4:$JO$40),"",INDEX($DZ$4:$DZ$40,MATCH(ROW()-3,$JO$4:$JO$40,0)))</f>
        <v/>
      </c>
      <c r="JR5">
        <f>IF($EE$5="",FALSE,SUMPRODUCT(('Final Calculation Sheet'!$Y$4:$Y$40=$EE$5)*($JQ$6:$JQ$42=1))&gt;0)</f>
        <v/>
      </c>
      <c r="JS5">
        <f>$JS$4+--($JR5)</f>
        <v/>
      </c>
      <c r="JT5">
        <f>IF(ROW()-3&gt;MAX($JS$4:$JS$40),"",INDEX($EE$4:$EE$40,MATCH(ROW()-3,$JS$4:$JS$40,0)))</f>
        <v/>
      </c>
      <c r="JV5">
        <f>IF($EJ$5="",FALSE,SUMPRODUCT(('Final Calculation Sheet'!$Z$4:$Z$40=$EJ$5)*($JU$6:$JU$42=1))&gt;0)</f>
        <v/>
      </c>
      <c r="JW5">
        <f>$JW$4+--($JV5)</f>
        <v/>
      </c>
      <c r="JX5">
        <f>IF(ROW()-3&gt;MAX($JW$4:$JW$40),"",INDEX($EJ$4:$EJ$40,MATCH(ROW()-3,$JW$4:$JW$40,0)))</f>
        <v/>
      </c>
      <c r="JZ5">
        <f>IF($EO$5="",FALSE,SUMPRODUCT(('Final Calculation Sheet'!$AA$4:$AA$40=$EO$5)*($JY$6:$JY$42=1))&gt;0)</f>
        <v/>
      </c>
      <c r="KA5">
        <f>$KA$4+--($JZ5)</f>
        <v/>
      </c>
      <c r="KB5">
        <f>IF(ROW()-3&gt;MAX($KA$4:$KA$40),"",INDEX($EO$4:$EO$40,MATCH(ROW()-3,$KA$4:$KA$40,0)))</f>
        <v/>
      </c>
      <c r="KD5">
        <f>IF($ET$5="",FALSE,SUMPRODUCT(('Final Calculation Sheet'!$AB$4:$AB$40=$ET$5)*($KC$6:$KC$42=1))&gt;0)</f>
        <v/>
      </c>
      <c r="KE5">
        <f>$KE$4+--($KD5)</f>
        <v/>
      </c>
      <c r="KF5">
        <f>IF(ROW()-3&gt;MAX($KE$4:$KE$40),"",INDEX($ET$4:$ET$40,MATCH(ROW()-3,$KE$4:$KE$40,0)))</f>
        <v/>
      </c>
      <c r="KH5">
        <f>IF($EY$5="",FALSE,SUMPRODUCT(('Final Calculation Sheet'!$AC$4:$AC$40=$EY$5)*($KG$6:$KG$42=1))&gt;0)</f>
        <v/>
      </c>
      <c r="KI5">
        <f>$KI$4+--($KH5)</f>
        <v/>
      </c>
      <c r="KJ5">
        <f>IF(ROW()-3&gt;MAX($KI$4:$KI$40),"",INDEX($EY$4:$EY$40,MATCH(ROW()-3,$KI$4:$KI$40,0)))</f>
        <v/>
      </c>
      <c r="KL5">
        <f>IF($FD$5="",FALSE,SUMPRODUCT(('Final Calculation Sheet'!$AD$4:$AD$40=$FD$5)*($KK$6:$KK$42=1))&gt;0)</f>
        <v/>
      </c>
      <c r="KM5">
        <f>$KM$4+--($KL5)</f>
        <v/>
      </c>
      <c r="KN5">
        <f>IF(ROW()-3&gt;MAX($KM$4:$KM$40),"",INDEX($FD$4:$FD$40,MATCH(ROW()-3,$KM$4:$KM$40,0)))</f>
        <v/>
      </c>
      <c r="KP5">
        <f>IF($FX$5="",FALSE,SUMPRODUCT((IF('Final Calculation Sheet'!$AD$4:$AD$40&lt;=5,"SETTLED","OUTSTANDING")=$FX$5)*($KO$6:$KO$42=1))&gt;0)</f>
        <v/>
      </c>
      <c r="KQ5">
        <f>$KQ$4+--($KP5)</f>
        <v/>
      </c>
      <c r="KR5">
        <f>IF(ROW()-3&gt;MAX($KQ$4:$KQ$40),"",INDEX($FX$4:$FX$40,MATCH(ROW()-3,$KQ$4:$KQ$40,0)))</f>
        <v/>
      </c>
      <c r="KT5">
        <f>IF($FI$5="",FALSE,SUMPRODUCT(('Final Calculation Sheet'!$AF$4:$AF$40=$FI$5)*($KS$6:$KS$42=1))&gt;0)</f>
        <v/>
      </c>
      <c r="KU5">
        <f>$KU$4+--($KT5)</f>
        <v/>
      </c>
      <c r="KV5">
        <f>IF(ROW()-3&gt;MAX($KU$4:$KU$40),"",INDEX($FI$4:$FI$40,MATCH(ROW()-3,$KU$4:$KU$40,0)))</f>
        <v/>
      </c>
      <c r="KX5">
        <f>IF($FN$5="",FALSE,SUMPRODUCT(('Final Calculation Sheet'!$AG$4:$AG$40=$FN$5)*($KW$6:$KW$42=1))&gt;0)</f>
        <v/>
      </c>
      <c r="KY5">
        <f>$KY$4+--($KX5)</f>
        <v/>
      </c>
      <c r="KZ5">
        <f>IF(ROW()-3&gt;MAX($KY$4:$KY$40),"",INDEX($FN$4:$FN$40,MATCH(ROW()-3,$KY$4:$KY$40,0)))</f>
        <v/>
      </c>
      <c r="LB5">
        <f>IF($FS$5="",FALSE,SUMPRODUCT(('Final Calculation Sheet'!$AH$4:$AH$40=$FS$5)*($LA$6:$LA$42=1))&gt;0)</f>
        <v/>
      </c>
      <c r="LC5">
        <f>$LC$4+--($LB5)</f>
        <v/>
      </c>
      <c r="LD5">
        <f>IF(ROW()-3&gt;MAX($LC$4:$LC$40),"",INDEX($FS$4:$FS$40,MATCH(ROW()-3,$LC$4:$LC$40,0)))</f>
        <v/>
      </c>
      <c r="LF5">
        <f>IF($O$5="",FALSE,SUMPRODUCT(('Final Calculation Sheet'!$F$4:$F$40=$O$5)*($LE$6:$LE$42=1))&gt;0)</f>
        <v/>
      </c>
      <c r="LG5">
        <f>$LG$4+--($LF5)</f>
        <v/>
      </c>
      <c r="LH5">
        <f>IF(ROW()-3&gt;MAX($LG$4:$LG$40),"",INDEX($O$4:$O$40,MATCH(ROW()-3,$LG$4:$LG$40,0)))</f>
        <v/>
      </c>
      <c r="LJ5">
        <f>IF($T$5="",FALSE,SUMPRODUCT(('Final Calculation Sheet'!$G$4:$G$40=$T$5)*($LI$6:$LI$42=1))&gt;0)</f>
        <v/>
      </c>
      <c r="LK5">
        <f>$LK$4+--($LJ5)</f>
        <v/>
      </c>
      <c r="LL5">
        <f>IF(ROW()-3&gt;MAX($LK$4:$LK$40),"",INDEX($T$4:$T$40,MATCH(ROW()-3,$LK$4:$LK$40,0)))</f>
        <v/>
      </c>
      <c r="LN5">
        <f>IF($Y$5="",FALSE,SUMPRODUCT(('Final Calculation Sheet'!$B$4:$B$40=$Y$5)*($LM$6:$LM$42=1))&gt;0)</f>
        <v/>
      </c>
      <c r="LO5">
        <f>$LO$4+--($LN5)</f>
        <v/>
      </c>
      <c r="LP5">
        <f>IF(ROW()-3&gt;MAX($LO$4:$LO$40),"",INDEX($Y$4:$Y$40,MATCH(ROW()-3,$LO$4:$LO$40,0)))</f>
        <v/>
      </c>
      <c r="LR5">
        <f>IF($AD$5="",FALSE,SUMPRODUCT(('Final Calculation Sheet'!$D$4:$D$40=$AD$5)*($LQ$6:$LQ$42=1))&gt;0)</f>
        <v/>
      </c>
      <c r="LS5">
        <f>$LS$4+--($LR5)</f>
        <v/>
      </c>
      <c r="LT5">
        <f>IF(ROW()-3&gt;MAX($LS$4:$LS$40),"",INDEX($AD$4:$AD$40,MATCH(ROW()-3,$LS$4:$LS$40,0)))</f>
        <v/>
      </c>
      <c r="LV5">
        <f>IF($AI$5="",FALSE,SUMPRODUCT(('Final Calculation Sheet'!$A$4:$A$40=$AI$5)*($LU$6:$LU$42=1))&gt;0)</f>
        <v/>
      </c>
      <c r="LW5">
        <f>$LW$4+--($LV5)</f>
        <v/>
      </c>
      <c r="LX5">
        <f>IF(ROW()-3&gt;MAX($LW$4:$LW$40),"",INDEX($AI$4:$AI$40,MATCH(ROW()-3,$LW$4:$LW$40,0)))</f>
        <v/>
      </c>
      <c r="LZ5">
        <f>IF($AN$5="",FALSE,SUMPRODUCT(('Final Calculation Sheet'!$E$4:$E$40=$AN$5)*($LY$6:$LY$42=1))&gt;0)</f>
        <v/>
      </c>
      <c r="MA5">
        <f>$MA$4+--($LZ5)</f>
        <v/>
      </c>
      <c r="MB5">
        <f>IF(ROW()-3&gt;MAX($MA$4:$MA$40),"",INDEX($AN$4:$AN$40,MATCH(ROW()-3,$MA$4:$MA$40,0)))</f>
        <v/>
      </c>
      <c r="MD5">
        <f>IF($AS$5="",FALSE,SUMPRODUCT(('Final Calculation Sheet'!$C$4:$C$40=$AS$5)*($MC$6:$MC$42=1))&gt;0)</f>
        <v/>
      </c>
      <c r="ME5">
        <f>$ME$4+--($MD5)</f>
        <v/>
      </c>
      <c r="MF5">
        <f>IF(ROW()-3&gt;MAX($ME$4:$ME$40),"",INDEX($AS$4:$AS$40,MATCH(ROW()-3,$ME$4:$ME$40,0)))</f>
        <v/>
      </c>
      <c r="MH5">
        <f>IF($AX$5="",FALSE,SUMPRODUCT(('Final Calculation Sheet'!$H$4:$H$40=$AX$5)*($MG$6:$MG$42=1))&gt;0)</f>
        <v/>
      </c>
      <c r="MI5">
        <f>$MI$4+--($MH5)</f>
        <v/>
      </c>
      <c r="MJ5">
        <f>IF(ROW()-3&gt;MAX($MI$4:$MI$40),"",INDEX($AX$4:$AX$40,MATCH(ROW()-3,$MI$4:$MI$40,0)))</f>
        <v/>
      </c>
      <c r="ML5">
        <f>IF($BC$5="",FALSE,SUMPRODUCT(('Final Calculation Sheet'!$I$4:$I$40=$BC$5)*($MK$6:$MK$42=1))&gt;0)</f>
        <v/>
      </c>
      <c r="MM5">
        <f>$MM$4+--($ML5)</f>
        <v/>
      </c>
      <c r="MN5">
        <f>IF(ROW()-3&gt;MAX($MM$4:$MM$40),"",INDEX($BC$4:$BC$40,MATCH(ROW()-3,$MM$4:$MM$40,0)))</f>
        <v/>
      </c>
      <c r="MP5">
        <f>IF($BH$5="",FALSE,SUMPRODUCT(('Final Calculation Sheet'!$J$4:$J$40=$BH$5)*($MO$6:$MO$42=1))&gt;0)</f>
        <v/>
      </c>
      <c r="MQ5">
        <f>$MQ$4+--($MP5)</f>
        <v/>
      </c>
      <c r="MR5">
        <f>IF(ROW()-3&gt;MAX($MQ$4:$MQ$40),"",INDEX($BH$4:$BH$40,MATCH(ROW()-3,$MQ$4:$MQ$40,0)))</f>
        <v/>
      </c>
      <c r="MT5">
        <f>IF($BM$5="",FALSE,SUMPRODUCT(('Final Calculation Sheet'!$K$4:$K$40=$BM$5)*($MS$6:$MS$42=1))&gt;0)</f>
        <v/>
      </c>
      <c r="MU5">
        <f>$MU$4+--($MT5)</f>
        <v/>
      </c>
      <c r="MV5">
        <f>IF(ROW()-3&gt;MAX($MU$4:$MU$40),"",INDEX($BM$4:$BM$40,MATCH(ROW()-3,$MU$4:$MU$40,0)))</f>
        <v/>
      </c>
      <c r="MX5">
        <f>IF($BR$5="",FALSE,SUMPRODUCT(('Final Calculation Sheet'!$L$4:$L$40=$BR$5)*($MW$6:$MW$42=1))&gt;0)</f>
        <v/>
      </c>
      <c r="MY5">
        <f>$MY$4+--($MX5)</f>
        <v/>
      </c>
      <c r="MZ5">
        <f>IF(ROW()-3&gt;MAX($MY$4:$MY$40),"",INDEX($BR$4:$BR$40,MATCH(ROW()-3,$MY$4:$MY$40,0)))</f>
        <v/>
      </c>
      <c r="NB5">
        <f>IF($BW$5="",FALSE,SUMPRODUCT(('Final Calculation Sheet'!$M$4:$M$40=$BW$5)*($NA$6:$NA$42=1))&gt;0)</f>
        <v/>
      </c>
      <c r="NC5">
        <f>$NC$4+--($NB5)</f>
        <v/>
      </c>
      <c r="ND5">
        <f>IF(ROW()-3&gt;MAX($NC$4:$NC$40),"",INDEX($BW$4:$BW$40,MATCH(ROW()-3,$NC$4:$NC$40,0)))</f>
        <v/>
      </c>
      <c r="NF5">
        <f>IF($CB$5="",FALSE,SUMPRODUCT(('Final Calculation Sheet'!$N$4:$N$40=$CB$5)*($NE$6:$NE$42=1))&gt;0)</f>
        <v/>
      </c>
      <c r="NG5">
        <f>$NG$4+--($NF5)</f>
        <v/>
      </c>
      <c r="NH5">
        <f>IF(ROW()-3&gt;MAX($NG$4:$NG$40),"",INDEX($CB$4:$CB$40,MATCH(ROW()-3,$NG$4:$NG$40,0)))</f>
        <v/>
      </c>
      <c r="NJ5">
        <f>IF($CG$5="",FALSE,SUMPRODUCT(('Final Calculation Sheet'!$O$4:$O$40=$CG$5)*($NI$6:$NI$42=1))&gt;0)</f>
        <v/>
      </c>
      <c r="NK5">
        <f>$NK$4+--($NJ5)</f>
        <v/>
      </c>
      <c r="NL5">
        <f>IF(ROW()-3&gt;MAX($NK$4:$NK$40),"",INDEX($CG$4:$CG$40,MATCH(ROW()-3,$NK$4:$NK$40,0)))</f>
        <v/>
      </c>
      <c r="NN5">
        <f>IF($CL$5="",FALSE,SUMPRODUCT(('Final Calculation Sheet'!$P$4:$P$40=$CL$5)*($NM$6:$NM$42=1))&gt;0)</f>
        <v/>
      </c>
      <c r="NO5">
        <f>$NO$4+--($NN5)</f>
        <v/>
      </c>
      <c r="NP5">
        <f>IF(ROW()-3&gt;MAX($NO$4:$NO$40),"",INDEX($CL$4:$CL$40,MATCH(ROW()-3,$NO$4:$NO$40,0)))</f>
        <v/>
      </c>
      <c r="NR5">
        <f>IF($CQ$5="",FALSE,SUMPRODUCT(('Final Calculation Sheet'!$Q$4:$Q$40=$CQ$5)*($NQ$6:$NQ$42=1))&gt;0)</f>
        <v/>
      </c>
      <c r="NS5">
        <f>$NS$4+--($NR5)</f>
        <v/>
      </c>
      <c r="NT5">
        <f>IF(ROW()-3&gt;MAX($NS$4:$NS$40),"",INDEX($CQ$4:$CQ$40,MATCH(ROW()-3,$NS$4:$NS$40,0)))</f>
        <v/>
      </c>
      <c r="NV5">
        <f>IF($CV$5="",FALSE,SUMPRODUCT(('Final Calculation Sheet'!$R$4:$R$40=$CV$5)*($NU$6:$NU$42=1))&gt;0)</f>
        <v/>
      </c>
      <c r="NW5">
        <f>$NW$4+--($NV5)</f>
        <v/>
      </c>
      <c r="NX5">
        <f>IF(ROW()-3&gt;MAX($NW$4:$NW$40),"",INDEX($CV$4:$CV$40,MATCH(ROW()-3,$NW$4:$NW$40,0)))</f>
        <v/>
      </c>
      <c r="NZ5">
        <f>IF($DA$5="",FALSE,SUMPRODUCT(('Final Calculation Sheet'!$S$4:$S$40=$DA$5)*($NY$6:$NY$42=1))&gt;0)</f>
        <v/>
      </c>
      <c r="OA5">
        <f>$OA$4+--($NZ5)</f>
        <v/>
      </c>
      <c r="OB5">
        <f>IF(ROW()-3&gt;MAX($OA$4:$OA$40),"",INDEX($DA$4:$DA$40,MATCH(ROW()-3,$OA$4:$OA$40,0)))</f>
        <v/>
      </c>
      <c r="OD5">
        <f>IF($DF$5="",FALSE,SUMPRODUCT(('Final Calculation Sheet'!$T$4:$T$40=$DF$5)*($OC$6:$OC$42=1))&gt;0)</f>
        <v/>
      </c>
      <c r="OE5">
        <f>$OE$4+--($OD5)</f>
        <v/>
      </c>
      <c r="OF5">
        <f>IF(ROW()-3&gt;MAX($OE$4:$OE$40),"",INDEX($DF$4:$DF$40,MATCH(ROW()-3,$OE$4:$OE$40,0)))</f>
        <v/>
      </c>
      <c r="OH5">
        <f>IF($DK$5="",FALSE,SUMPRODUCT(('Final Calculation Sheet'!$U$4:$U$40=$DK$5)*($OG$6:$OG$42=1))&gt;0)</f>
        <v/>
      </c>
      <c r="OI5">
        <f>$OI$4+--($OH5)</f>
        <v/>
      </c>
      <c r="OJ5">
        <f>IF(ROW()-3&gt;MAX($OI$4:$OI$40),"",INDEX($DK$4:$DK$40,MATCH(ROW()-3,$OI$4:$OI$40,0)))</f>
        <v/>
      </c>
      <c r="OL5">
        <f>IF($DP$5="",FALSE,SUMPRODUCT(('Final Calculation Sheet'!$V$4:$V$40=$DP$5)*($OK$6:$OK$42=1))&gt;0)</f>
        <v/>
      </c>
      <c r="OM5">
        <f>$OM$4+--($OL5)</f>
        <v/>
      </c>
      <c r="ON5">
        <f>IF(ROW()-3&gt;MAX($OM$4:$OM$40),"",INDEX($DP$4:$DP$40,MATCH(ROW()-3,$OM$4:$OM$40,0)))</f>
        <v/>
      </c>
      <c r="OP5">
        <f>IF($DU$5="",FALSE,SUMPRODUCT(('Final Calculation Sheet'!$W$4:$W$40=$DU$5)*($OO$6:$OO$42=1))&gt;0)</f>
        <v/>
      </c>
      <c r="OQ5">
        <f>$OQ$4+--($OP5)</f>
        <v/>
      </c>
      <c r="OR5">
        <f>IF(ROW()-3&gt;MAX($OQ$4:$OQ$40),"",INDEX($DU$4:$DU$40,MATCH(ROW()-3,$OQ$4:$OQ$40,0)))</f>
        <v/>
      </c>
      <c r="OT5">
        <f>IF($DZ$5="",FALSE,SUMPRODUCT(('Final Calculation Sheet'!$X$4:$X$40=$DZ$5)*($OS$6:$OS$42=1))&gt;0)</f>
        <v/>
      </c>
      <c r="OU5">
        <f>$OU$4+--($OT5)</f>
        <v/>
      </c>
      <c r="OV5">
        <f>IF(ROW()-3&gt;MAX($OU$4:$OU$40),"",INDEX($DZ$4:$DZ$40,MATCH(ROW()-3,$OU$4:$OU$40,0)))</f>
        <v/>
      </c>
      <c r="OX5">
        <f>IF($EE$5="",FALSE,SUMPRODUCT(('Final Calculation Sheet'!$Y$4:$Y$40=$EE$5)*($OW$6:$OW$42=1))&gt;0)</f>
        <v/>
      </c>
      <c r="OY5">
        <f>$OY$4+--($OX5)</f>
        <v/>
      </c>
      <c r="OZ5">
        <f>IF(ROW()-3&gt;MAX($OY$4:$OY$40),"",INDEX($EE$4:$EE$40,MATCH(ROW()-3,$OY$4:$OY$40,0)))</f>
        <v/>
      </c>
      <c r="PB5">
        <f>IF($EJ$5="",FALSE,SUMPRODUCT(('Final Calculation Sheet'!$Z$4:$Z$40=$EJ$5)*($PA$6:$PA$42=1))&gt;0)</f>
        <v/>
      </c>
      <c r="PC5">
        <f>$PC$4+--($PB5)</f>
        <v/>
      </c>
      <c r="PD5">
        <f>IF(ROW()-3&gt;MAX($PC$4:$PC$40),"",INDEX($EJ$4:$EJ$40,MATCH(ROW()-3,$PC$4:$PC$40,0)))</f>
        <v/>
      </c>
      <c r="PF5">
        <f>IF($EO$5="",FALSE,SUMPRODUCT(('Final Calculation Sheet'!$AA$4:$AA$40=$EO$5)*($PE$6:$PE$42=1))&gt;0)</f>
        <v/>
      </c>
      <c r="PG5">
        <f>$PG$4+--($PF5)</f>
        <v/>
      </c>
      <c r="PH5">
        <f>IF(ROW()-3&gt;MAX($PG$4:$PG$40),"",INDEX($EO$4:$EO$40,MATCH(ROW()-3,$PG$4:$PG$40,0)))</f>
        <v/>
      </c>
      <c r="PJ5">
        <f>IF($ET$5="",FALSE,SUMPRODUCT(('Final Calculation Sheet'!$AB$4:$AB$40=$ET$5)*($PI$6:$PI$42=1))&gt;0)</f>
        <v/>
      </c>
      <c r="PK5">
        <f>$PK$4+--($PJ5)</f>
        <v/>
      </c>
      <c r="PL5">
        <f>IF(ROW()-3&gt;MAX($PK$4:$PK$40),"",INDEX($ET$4:$ET$40,MATCH(ROW()-3,$PK$4:$PK$40,0)))</f>
        <v/>
      </c>
      <c r="PN5">
        <f>IF($EY$5="",FALSE,SUMPRODUCT(('Final Calculation Sheet'!$AC$4:$AC$40=$EY$5)*($PM$6:$PM$42=1))&gt;0)</f>
        <v/>
      </c>
      <c r="PO5">
        <f>$PO$4+--($PN5)</f>
        <v/>
      </c>
      <c r="PP5">
        <f>IF(ROW()-3&gt;MAX($PO$4:$PO$40),"",INDEX($EY$4:$EY$40,MATCH(ROW()-3,$PO$4:$PO$40,0)))</f>
        <v/>
      </c>
      <c r="PR5">
        <f>IF($FD$5="",FALSE,SUMPRODUCT(('Final Calculation Sheet'!$AD$4:$AD$40=$FD$5)*($PQ$6:$PQ$42=1))&gt;0)</f>
        <v/>
      </c>
      <c r="PS5">
        <f>$PS$4+--($PR5)</f>
        <v/>
      </c>
      <c r="PT5">
        <f>IF(ROW()-3&gt;MAX($PS$4:$PS$40),"",INDEX($FD$4:$FD$40,MATCH(ROW()-3,$PS$4:$PS$40,0)))</f>
        <v/>
      </c>
      <c r="PV5">
        <f>IF($FX$5="",FALSE,SUMPRODUCT((IF('Final Calculation Sheet'!$AD$4:$AD$40&lt;=5,"SETTLED","OUTSTANDING")=$FX$5)*($PU$6:$PU$42=1))&gt;0)</f>
        <v/>
      </c>
      <c r="PW5">
        <f>$PW$4+--($PV5)</f>
        <v/>
      </c>
      <c r="PX5">
        <f>IF(ROW()-3&gt;MAX($PW$4:$PW$40),"",INDEX($FX$4:$FX$40,MATCH(ROW()-3,$PW$4:$PW$40,0)))</f>
        <v/>
      </c>
      <c r="PZ5">
        <f>IF($FI$5="",FALSE,SUMPRODUCT(('Final Calculation Sheet'!$AF$4:$AF$40=$FI$5)*($PY$6:$PY$42=1))&gt;0)</f>
        <v/>
      </c>
      <c r="QA5">
        <f>$QA$4+--($PZ5)</f>
        <v/>
      </c>
      <c r="QB5">
        <f>IF(ROW()-3&gt;MAX($QA$4:$QA$40),"",INDEX($FI$4:$FI$40,MATCH(ROW()-3,$QA$4:$QA$40,0)))</f>
        <v/>
      </c>
      <c r="QD5">
        <f>IF($FN$5="",FALSE,SUMPRODUCT(('Final Calculation Sheet'!$AG$4:$AG$40=$FN$5)*($QC$6:$QC$42=1))&gt;0)</f>
        <v/>
      </c>
      <c r="QE5">
        <f>$QE$4+--($QD5)</f>
        <v/>
      </c>
      <c r="QF5">
        <f>IF(ROW()-3&gt;MAX($QE$4:$QE$40),"",INDEX($FN$4:$FN$40,MATCH(ROW()-3,$QE$4:$QE$40,0)))</f>
        <v/>
      </c>
      <c r="QH5">
        <f>IF($FS$5="",FALSE,SUMPRODUCT(('Final Calculation Sheet'!$AH$4:$AH$40=$FS$5)*($QG$6:$QG$42=1))&gt;0)</f>
        <v/>
      </c>
      <c r="QI5">
        <f>$QI$4+--($QH5)</f>
        <v/>
      </c>
      <c r="QJ5">
        <f>IF(ROW()-3&gt;MAX($QI$4:$QI$40),"",INDEX($FS$4:$FS$40,MATCH(ROW()-3,$QI$4:$QI$40,0)))</f>
        <v/>
      </c>
      <c r="QK5" t="str">
        <f>IF('Final Calculation Sheet'!$AH$5="","",'Final Calculation Sheet'!$AH$5)</f>
      </c>
      <c r="QL5" t="str">
        <f>IF(QK5="","",COUNTIFS(QK$4:QK$40,"&lt;"&amp;QK5,QK$4:QK$40,"&lt;&gt;"&amp;"")+COUNTIF(QK$4:QK5,QK5))</f>
      </c>
      <c r="QM5" t="str">
        <f>IF(ROW()-3&gt;COUNTIF(QK$4:QK$40,"&lt;&gt;"&amp;""),"",INDEX(QK$4:QK$40,MATCH(ROW()-3,QL$4:QL$40,0)))</f>
      </c>
      <c r="QN5" t="str">
        <f>=QN4+F(AND(QM5&lt;&gt;"",COUNTIF(QM$4:QM5,QM5)=1),1,0)</f>
      </c>
      <c r="QO5" t="str">
        <f>IF(ROW()-3&gt;MAX(QN$4:QN$40),"",INDEX(QM$4:QM$40,MATCH(ROW()-3,QN$4:QN$40,0)))</f>
      </c>
      <c r="QP5" t="str">
        <f>IF(COUNTIF('Final Calculation Sheet'!$AM5:$BS5,0)&gt;0,0,1)</f>
      </c>
      <c r="QQ5" t="str">
        <f>IF($AI$5="",FALSE,SUMPRODUCT(('Final Calculation Sheet'!$A$4:$A$40=$AI$5)*($QP$4:$QP$40=1))&gt;0)</f>
      </c>
      <c r="QR5" t="str">
        <f>=$QR4+--($QQ5)</f>
      </c>
      <c r="QS5" t="str">
        <f>IF(ROW()-3&gt;MAX($QR$4:$QR$40),"",INDEX($AI$4:$AI$40,MATCH(ROW()-3,$QR$4:$QR$40,0)))</f>
      </c>
      <c r="QT5" t="str">
        <f>IF(COUNTIF('Final Calculation Sheet'!$AL5:$AL5,0)+COUNTIF('Final Calculation Sheet'!$AN5:$BS5,0)&gt;0,0,1)</f>
      </c>
      <c r="QU5" t="str">
        <f>IF($Y$5="",FALSE,SUMPRODUCT(('Final Calculation Sheet'!$B$4:$B$40=$Y$5)*($QT$4:$QT$40=1))&gt;0)</f>
      </c>
      <c r="QV5" t="str">
        <f>=$QV4+--($QU5)</f>
      </c>
      <c r="QW5" t="str">
        <f>IF(ROW()-3&gt;MAX($QV$4:$QV$40),"",INDEX($Y$4:$Y$40,MATCH(ROW()-3,$QV$4:$QV$40,0)))</f>
      </c>
      <c r="QX5" t="str">
        <f>IF(COUNTIF('Final Calculation Sheet'!$AL5:$AM5,0)+COUNTIF('Final Calculation Sheet'!$AO5:$BS5,0)&gt;0,0,1)</f>
      </c>
      <c r="QY5" t="str">
        <f>IF($AS$5="",FALSE,SUMPRODUCT(('Final Calculation Sheet'!$C$4:$C$40=$AS$5)*($QX$4:$QX$40=1))&gt;0)</f>
      </c>
      <c r="QZ5" t="str">
        <f>=$QZ4+--($QY5)</f>
      </c>
      <c r="RA5" t="str">
        <f>IF(ROW()-3&gt;MAX($QZ$4:$QZ$40),"",INDEX($AS$4:$AS$40,MATCH(ROW()-3,$QZ$4:$QZ$40,0)))</f>
      </c>
      <c r="RB5" t="str">
        <f>IF(COUNTIF('Final Calculation Sheet'!$AL5:$AN5,0)+COUNTIF('Final Calculation Sheet'!$AP5:$BS5,0)&gt;0,0,1)</f>
      </c>
      <c r="RC5" t="str">
        <f>IF($AD$5="",FALSE,SUMPRODUCT(('Final Calculation Sheet'!$D$4:$D$40=$AD$5)*($RB$4:$RB$40=1))&gt;0)</f>
      </c>
      <c r="RD5" t="str">
        <f>=$RD4+--($RC5)</f>
      </c>
      <c r="RE5" t="str">
        <f>IF(ROW()-3&gt;MAX($RD$4:$RD$40),"",INDEX($AD$4:$AD$40,MATCH(ROW()-3,$RD$4:$RD$40,0)))</f>
      </c>
      <c r="RF5" t="str">
        <f>IF(COUNTIF('Final Calculation Sheet'!$AL5:$AO5,0)+COUNTIF('Final Calculation Sheet'!$AQ5:$BS5,0)&gt;0,0,1)</f>
      </c>
      <c r="RG5" t="str">
        <f>IF($AN$5="",FALSE,SUMPRODUCT(('Final Calculation Sheet'!$E$4:$E$40=$AN$5)*($RF$4:$RF$40=1))&gt;0)</f>
      </c>
      <c r="RH5" t="str">
        <f>=$RH4+--($RG5)</f>
      </c>
      <c r="RI5" t="str">
        <f>IF(ROW()-3&gt;MAX($RH$4:$RH$40),"",INDEX($AN$4:$AN$40,MATCH(ROW()-3,$RH$4:$RH$40,0)))</f>
      </c>
      <c r="RJ5" t="str">
        <f>IF(COUNTIF('Final Calculation Sheet'!$AL5:$AP5,0)+COUNTIF('Final Calculation Sheet'!$AR5:$BS5,0)&gt;0,0,1)</f>
      </c>
      <c r="RK5" t="str">
        <f>IF($O$5="",FALSE,SUMPRODUCT(('Final Calculation Sheet'!$F$4:$F$40=$O$5)*($RJ$4:$RJ$40=1))&gt;0)</f>
      </c>
      <c r="RL5" t="str">
        <f>=$RL4+--($RK5)</f>
      </c>
      <c r="RM5" t="str">
        <f>IF(ROW()-3&gt;MAX($RL$4:$RL$40),"",INDEX($O$4:$O$40,MATCH(ROW()-3,$RL$4:$RL$40,0)))</f>
      </c>
      <c r="RN5" t="str">
        <f>IF(COUNTIF('Final Calculation Sheet'!$AL5:$AQ5,0)+COUNTIF('Final Calculation Sheet'!$AS5:$BS5,0)&gt;0,0,1)</f>
      </c>
      <c r="RO5" t="str">
        <f>IF($T$5="",FALSE,SUMPRODUCT(('Final Calculation Sheet'!$G$4:$G$40=$T$5)*($RN$4:$RN$40=1))&gt;0)</f>
      </c>
      <c r="RP5" t="str">
        <f>=$RP4+--($RO5)</f>
      </c>
      <c r="RQ5" t="str">
        <f>IF(ROW()-3&gt;MAX($RP$4:$RP$40),"",INDEX($T$4:$T$40,MATCH(ROW()-3,$RP$4:$RP$40,0)))</f>
      </c>
      <c r="RR5" t="str">
        <f>IF(COUNTIF('Final Calculation Sheet'!$AL5:$AR5,0)+COUNTIF('Final Calculation Sheet'!$AT5:$BS5,0)&gt;0,0,1)</f>
      </c>
      <c r="RS5" t="str">
        <f>IF($AX$5="",FALSE,SUMPRODUCT(('Final Calculation Sheet'!$H$4:$H$40=$AX$5)*($RR$4:$RR$40=1))&gt;0)</f>
      </c>
      <c r="RT5" t="str">
        <f>=$RT4+--($RS5)</f>
      </c>
      <c r="RU5" t="str">
        <f>IF(ROW()-3&gt;MAX($RT$4:$RT$40),"",INDEX($AX$4:$AX$40,MATCH(ROW()-3,$RT$4:$RT$40,0)))</f>
      </c>
      <c r="RV5" t="str">
        <f>IF(COUNTIF('Final Calculation Sheet'!$AL5:$AS5,0)+COUNTIF('Final Calculation Sheet'!$AU5:$BS5,0)&gt;0,0,1)</f>
      </c>
      <c r="RW5" t="str">
        <f>IF($BC$5="",FALSE,SUMPRODUCT(('Final Calculation Sheet'!$I$4:$I$40=$BC$5)*($RV$4:$RV$40=1))&gt;0)</f>
      </c>
      <c r="RX5" t="str">
        <f>=$RX4+--($RW5)</f>
      </c>
      <c r="RY5" t="str">
        <f>IF(ROW()-3&gt;MAX($RX$4:$RX$40),"",INDEX($BC$4:$BC$40,MATCH(ROW()-3,$RX$4:$RX$40,0)))</f>
      </c>
      <c r="RZ5" t="str">
        <f>IF(COUNTIF('Final Calculation Sheet'!$AL5:$AT5,0)+COUNTIF('Final Calculation Sheet'!$AV5:$BS5,0)&gt;0,0,1)</f>
      </c>
      <c r="SA5" t="str">
        <f>IF($BH$5="",FALSE,SUMPRODUCT(('Final Calculation Sheet'!$J$4:$J$40=$BH$5)*($RZ$4:$RZ$40=1))&gt;0)</f>
      </c>
      <c r="SB5" t="str">
        <f>=$SB4+--($SA5)</f>
      </c>
      <c r="SC5" t="str">
        <f>IF(ROW()-3&gt;MAX($SB$4:$SB$40),"",INDEX($BH$4:$BH$40,MATCH(ROW()-3,$SB$4:$SB$40,0)))</f>
      </c>
      <c r="SD5" t="str">
        <f>IF(COUNTIF('Final Calculation Sheet'!$AL5:$AU5,0)+COUNTIF('Final Calculation Sheet'!$AW5:$BS5,0)&gt;0,0,1)</f>
      </c>
      <c r="SE5" t="str">
        <f>IF($BM$5="",FALSE,SUMPRODUCT(('Final Calculation Sheet'!$K$4:$K$40=$BM$5)*($SD$4:$SD$40=1))&gt;0)</f>
      </c>
      <c r="SF5" t="str">
        <f>=$SF4+--($SE5)</f>
      </c>
      <c r="SG5" t="str">
        <f>IF(ROW()-3&gt;MAX($SF$4:$SF$40),"",INDEX($BM$4:$BM$40,MATCH(ROW()-3,$SF$4:$SF$40,0)))</f>
      </c>
      <c r="SH5" t="str">
        <f>IF(COUNTIF('Final Calculation Sheet'!$AL5:$AV5,0)+COUNTIF('Final Calculation Sheet'!$AX5:$BS5,0)&gt;0,0,1)</f>
      </c>
      <c r="SI5" t="str">
        <f>IF($BR$5="",FALSE,SUMPRODUCT(('Final Calculation Sheet'!$L$4:$L$40=$BR$5)*($SH$4:$SH$40=1))&gt;0)</f>
      </c>
      <c r="SJ5" t="str">
        <f>=$SJ4+--($SI5)</f>
      </c>
      <c r="SK5" t="str">
        <f>IF(ROW()-3&gt;MAX($SJ$4:$SJ$40),"",INDEX($BR$4:$BR$40,MATCH(ROW()-3,$SJ$4:$SJ$40,0)))</f>
      </c>
      <c r="SL5" t="str">
        <f>IF(COUNTIF('Final Calculation Sheet'!$AL5:$AW5,0)+COUNTIF('Final Calculation Sheet'!$AY5:$BS5,0)&gt;0,0,1)</f>
      </c>
      <c r="SM5" t="str">
        <f>IF($BW$5="",FALSE,SUMPRODUCT(('Final Calculation Sheet'!$M$4:$M$40=$BW$5)*($SL$4:$SL$40=1))&gt;0)</f>
      </c>
      <c r="SN5" t="str">
        <f>=$SN4+--($SM5)</f>
      </c>
      <c r="SO5" t="str">
        <f>IF(ROW()-3&gt;MAX($SN$4:$SN$40),"",INDEX($BW$4:$BW$40,MATCH(ROW()-3,$SN$4:$SN$40,0)))</f>
      </c>
      <c r="SP5" t="str">
        <f>IF(COUNTIF('Final Calculation Sheet'!$AL5:$AX5,0)+COUNTIF('Final Calculation Sheet'!$AZ5:$BS5,0)&gt;0,0,1)</f>
      </c>
      <c r="SQ5" t="str">
        <f>IF($CB$5="",FALSE,SUMPRODUCT(('Final Calculation Sheet'!$N$4:$N$40=$CB$5)*($SP$4:$SP$40=1))&gt;0)</f>
      </c>
      <c r="SR5" t="str">
        <f>=$SR4+--($SQ5)</f>
      </c>
      <c r="SS5" t="str">
        <f>IF(ROW()-3&gt;MAX($SR$4:$SR$40),"",INDEX($CB$4:$CB$40,MATCH(ROW()-3,$SR$4:$SR$40,0)))</f>
      </c>
      <c r="ST5" t="str">
        <f>IF(COUNTIF('Final Calculation Sheet'!$AL5:$AY5,0)+COUNTIF('Final Calculation Sheet'!$BA5:$BS5,0)&gt;0,0,1)</f>
      </c>
      <c r="SU5" t="str">
        <f>IF($CG$5="",FALSE,SUMPRODUCT(('Final Calculation Sheet'!$O$4:$O$40=$CG$5)*($ST$4:$ST$40=1))&gt;0)</f>
      </c>
      <c r="SV5" t="str">
        <f>=$SV4+--($SU5)</f>
      </c>
      <c r="SW5" t="str">
        <f>IF(ROW()-3&gt;MAX($SV$4:$SV$40),"",INDEX($CG$4:$CG$40,MATCH(ROW()-3,$SV$4:$SV$40,0)))</f>
      </c>
      <c r="SX5" t="str">
        <f>IF(COUNTIF('Final Calculation Sheet'!$AL5:$AZ5,0)+COUNTIF('Final Calculation Sheet'!$BB5:$BS5,0)&gt;0,0,1)</f>
      </c>
      <c r="SY5" t="str">
        <f>IF($CL$5="",FALSE,SUMPRODUCT(('Final Calculation Sheet'!$P$4:$P$40=$CL$5)*($SX$4:$SX$40=1))&gt;0)</f>
      </c>
      <c r="SZ5" t="str">
        <f>=$SZ4+--($SY5)</f>
      </c>
      <c r="TA5" t="str">
        <f>IF(ROW()-3&gt;MAX($SZ$4:$SZ$40),"",INDEX($CL$4:$CL$40,MATCH(ROW()-3,$SZ$4:$SZ$40,0)))</f>
      </c>
      <c r="TB5" t="str">
        <f>IF(COUNTIF('Final Calculation Sheet'!$AL5:$BA5,0)+COUNTIF('Final Calculation Sheet'!$BC5:$BS5,0)&gt;0,0,1)</f>
      </c>
      <c r="TC5" t="str">
        <f>IF($CQ$5="",FALSE,SUMPRODUCT(('Final Calculation Sheet'!$Q$4:$Q$40=$CQ$5)*($TB$4:$TB$40=1))&gt;0)</f>
      </c>
      <c r="TD5" t="str">
        <f>=$TD4+--($TC5)</f>
      </c>
      <c r="TE5" t="str">
        <f>IF(ROW()-3&gt;MAX($TD$4:$TD$40),"",INDEX($CQ$4:$CQ$40,MATCH(ROW()-3,$TD$4:$TD$40,0)))</f>
      </c>
      <c r="TF5" t="str">
        <f>IF(COUNTIF('Final Calculation Sheet'!$AL5:$BB5,0)+COUNTIF('Final Calculation Sheet'!$BD5:$BS5,0)&gt;0,0,1)</f>
      </c>
      <c r="TG5" t="str">
        <f>IF($CV$5="",FALSE,SUMPRODUCT(('Final Calculation Sheet'!$R$4:$R$40=$CV$5)*($TF$4:$TF$40=1))&gt;0)</f>
      </c>
      <c r="TH5" t="str">
        <f>=$TH4+--($TG5)</f>
      </c>
      <c r="TI5" t="str">
        <f>IF(ROW()-3&gt;MAX($TH$4:$TH$40),"",INDEX($CV$4:$CV$40,MATCH(ROW()-3,$TH$4:$TH$40,0)))</f>
      </c>
      <c r="TJ5" t="str">
        <f>IF(COUNTIF('Final Calculation Sheet'!$AL5:$BC5,0)+COUNTIF('Final Calculation Sheet'!$BE5:$BS5,0)&gt;0,0,1)</f>
      </c>
      <c r="TK5" t="str">
        <f>IF($DA$5="",FALSE,SUMPRODUCT(('Final Calculation Sheet'!$S$4:$S$40=$DA$5)*($TJ$4:$TJ$40=1))&gt;0)</f>
      </c>
      <c r="TL5" t="str">
        <f>=$TL4+--($TK5)</f>
      </c>
      <c r="TM5" t="str">
        <f>IF(ROW()-3&gt;MAX($TL$4:$TL$40),"",INDEX($DA$4:$DA$40,MATCH(ROW()-3,$TL$4:$TL$40,0)))</f>
      </c>
      <c r="TN5" t="str">
        <f>IF(COUNTIF('Final Calculation Sheet'!$AL5:$BD5,0)+COUNTIF('Final Calculation Sheet'!$BF5:$BS5,0)&gt;0,0,1)</f>
      </c>
      <c r="TO5" t="str">
        <f>IF($DF$5="",FALSE,SUMPRODUCT(('Final Calculation Sheet'!$T$4:$T$40=$DF$5)*($TN$4:$TN$40=1))&gt;0)</f>
      </c>
      <c r="TP5" t="str">
        <f>=$TP4+--($TO5)</f>
      </c>
      <c r="TQ5" t="str">
        <f>IF(ROW()-3&gt;MAX($TP$4:$TP$40),"",INDEX($DF$4:$DF$40,MATCH(ROW()-3,$TP$4:$TP$40,0)))</f>
      </c>
      <c r="TR5" t="str">
        <f>IF(COUNTIF('Final Calculation Sheet'!$AL5:$BE5,0)+COUNTIF('Final Calculation Sheet'!$BG5:$BS5,0)&gt;0,0,1)</f>
      </c>
      <c r="TS5" t="str">
        <f>IF($DK$5="",FALSE,SUMPRODUCT(('Final Calculation Sheet'!$U$4:$U$40=$DK$5)*($TR$4:$TR$40=1))&gt;0)</f>
      </c>
      <c r="TT5" t="str">
        <f>=$TT4+--($TS5)</f>
      </c>
      <c r="TU5" t="str">
        <f>IF(ROW()-3&gt;MAX($TT$4:$TT$40),"",INDEX($DK$4:$DK$40,MATCH(ROW()-3,$TT$4:$TT$40,0)))</f>
      </c>
      <c r="TV5" t="str">
        <f>IF(COUNTIF('Final Calculation Sheet'!$AL5:$BF5,0)+COUNTIF('Final Calculation Sheet'!$BH5:$BS5,0)&gt;0,0,1)</f>
      </c>
      <c r="TW5" t="str">
        <f>IF($DP$5="",FALSE,SUMPRODUCT(('Final Calculation Sheet'!$V$4:$V$40=$DP$5)*($TV$4:$TV$40=1))&gt;0)</f>
      </c>
      <c r="TX5" t="str">
        <f>=$TX4+--($TW5)</f>
      </c>
      <c r="TY5" t="str">
        <f>IF(ROW()-3&gt;MAX($TX$4:$TX$40),"",INDEX($DP$4:$DP$40,MATCH(ROW()-3,$TX$4:$TX$40,0)))</f>
      </c>
      <c r="TZ5" t="str">
        <f>IF(COUNTIF('Final Calculation Sheet'!$AL5:$BG5,0)+COUNTIF('Final Calculation Sheet'!$BI5:$BS5,0)&gt;0,0,1)</f>
      </c>
      <c r="UA5" t="str">
        <f>IF($DU$5="",FALSE,SUMPRODUCT(('Final Calculation Sheet'!$W$4:$W$40=$DU$5)*($TZ$4:$TZ$40=1))&gt;0)</f>
      </c>
      <c r="UB5" t="str">
        <f>=$UB4+--($UA5)</f>
      </c>
      <c r="UC5" t="str">
        <f>IF(ROW()-3&gt;MAX($UB$4:$UB$40),"",INDEX($DU$4:$DU$40,MATCH(ROW()-3,$UB$4:$UB$40,0)))</f>
      </c>
      <c r="UD5" t="str">
        <f>IF(COUNTIF('Final Calculation Sheet'!$AL5:$BH5,0)+COUNTIF('Final Calculation Sheet'!$BJ5:$BS5,0)&gt;0,0,1)</f>
      </c>
      <c r="UE5" t="str">
        <f>IF($DZ$5="",FALSE,SUMPRODUCT(('Final Calculation Sheet'!$X$4:$X$40=$DZ$5)*($UD$4:$UD$40=1))&gt;0)</f>
      </c>
      <c r="UF5" t="str">
        <f>=$UF4+--($UE5)</f>
      </c>
      <c r="UG5" t="str">
        <f>IF(ROW()-3&gt;MAX($UF$4:$UF$40),"",INDEX($DZ$4:$DZ$40,MATCH(ROW()-3,$UF$4:$UF$40,0)))</f>
      </c>
      <c r="UH5" t="str">
        <f>IF(COUNTIF('Final Calculation Sheet'!$AL5:$BI5,0)+COUNTIF('Final Calculation Sheet'!$BK5:$BS5,0)&gt;0,0,1)</f>
      </c>
      <c r="UI5" t="str">
        <f>IF($EE$5="",FALSE,SUMPRODUCT(('Final Calculation Sheet'!$Y$4:$Y$40=$EE$5)*($UH$4:$UH$40=1))&gt;0)</f>
      </c>
      <c r="UJ5" t="str">
        <f>=$UJ4+--($UI5)</f>
      </c>
      <c r="UK5" t="str">
        <f>IF(ROW()-3&gt;MAX($UJ$4:$UJ$40),"",INDEX($EE$4:$EE$40,MATCH(ROW()-3,$UJ$4:$UJ$40,0)))</f>
      </c>
      <c r="UL5" t="str">
        <f>IF(COUNTIF('Final Calculation Sheet'!$AL5:$BJ5,0)+COUNTIF('Final Calculation Sheet'!$BL5:$BS5,0)&gt;0,0,1)</f>
      </c>
      <c r="UM5" t="str">
        <f>IF($EJ$5="",FALSE,SUMPRODUCT(('Final Calculation Sheet'!$Z$4:$Z$40=$EJ$5)*($UL$4:$UL$40=1))&gt;0)</f>
      </c>
      <c r="UN5" t="str">
        <f>=$UN4+--($UM5)</f>
      </c>
      <c r="UO5" t="str">
        <f>IF(ROW()-3&gt;MAX($UN$4:$UN$40),"",INDEX($EJ$4:$EJ$40,MATCH(ROW()-3,$UN$4:$UN$40,0)))</f>
      </c>
      <c r="UP5" t="str">
        <f>IF(COUNTIF('Final Calculation Sheet'!$AL5:$BK5,0)+COUNTIF('Final Calculation Sheet'!$BM5:$BS5,0)&gt;0,0,1)</f>
      </c>
      <c r="UQ5" t="str">
        <f>IF($EO$5="",FALSE,SUMPRODUCT(('Final Calculation Sheet'!$AA$4:$AA$40=$EO$5)*($UP$4:$UP$40=1))&gt;0)</f>
      </c>
      <c r="UR5" t="str">
        <f>=$UR4+--($UQ5)</f>
      </c>
      <c r="US5" t="str">
        <f>IF(ROW()-3&gt;MAX($UR$4:$UR$40),"",INDEX($EO$4:$EO$40,MATCH(ROW()-3,$UR$4:$UR$40,0)))</f>
      </c>
      <c r="UT5" t="str">
        <f>IF(COUNTIF('Final Calculation Sheet'!$AL5:$BL5,0)+COUNTIF('Final Calculation Sheet'!$BN5:$BS5,0)&gt;0,0,1)</f>
      </c>
      <c r="UU5" t="str">
        <f>IF($ET$5="",FALSE,SUMPRODUCT(('Final Calculation Sheet'!$AB$4:$AB$40=$ET$5)*($UT$4:$UT$40=1))&gt;0)</f>
      </c>
      <c r="UV5" t="str">
        <f>=$UV4+--($UU5)</f>
      </c>
      <c r="UW5" t="str">
        <f>IF(ROW()-3&gt;MAX($UV$4:$UV$40),"",INDEX($ET$4:$ET$40,MATCH(ROW()-3,$UV$4:$UV$40,0)))</f>
      </c>
      <c r="UX5" t="str">
        <f>IF(COUNTIF('Final Calculation Sheet'!$AL5:$BM5,0)+COUNTIF('Final Calculation Sheet'!$BO5:$BS5,0)&gt;0,0,1)</f>
      </c>
      <c r="UY5" t="str">
        <f>IF($EY$5="",FALSE,SUMPRODUCT(('Final Calculation Sheet'!$AC$4:$AC$40=$EY$5)*($UX$4:$UX$40=1))&gt;0)</f>
      </c>
      <c r="UZ5" t="str">
        <f>=$UZ4+--($UY5)</f>
      </c>
      <c r="VA5" t="str">
        <f>IF(ROW()-3&gt;MAX($UZ$4:$UZ$40),"",INDEX($EY$4:$EY$40,MATCH(ROW()-3,$UZ$4:$UZ$40,0)))</f>
      </c>
      <c r="VB5" t="str">
        <f>IF(COUNTIF('Final Calculation Sheet'!$AL5:$BN5,0)+COUNTIF('Final Calculation Sheet'!$BP5:$BS5,0)&gt;0,0,1)</f>
      </c>
      <c r="VC5" t="str">
        <f>IF($FD$5="",FALSE,SUMPRODUCT(('Final Calculation Sheet'!$AD$4:$AD$40=$FD$5)*($VB$4:$VB$40=1))&gt;0)</f>
      </c>
      <c r="VD5" t="str">
        <f>=$VD4+--($VC5)</f>
      </c>
      <c r="VE5" t="str">
        <f>IF(ROW()-3&gt;MAX($VD$4:$VD$40),"",INDEX($FD$4:$FD$40,MATCH(ROW()-3,$VD$4:$VD$40,0)))</f>
      </c>
      <c r="VF5" t="str">
        <f>IF(COUNTIF('Final Calculation Sheet'!$AL5:$BO5,0)+COUNTIF('Final Calculation Sheet'!$BQ5:$BS5,0)&gt;0,0,1)</f>
      </c>
      <c r="VG5" t="str">
        <f>IF($FI$5="",FALSE,SUMPRODUCT(('Final Calculation Sheet'!$AE$4:$AE$40=$FI$5)*($VF$4:$VF$40=1))&gt;0)</f>
      </c>
      <c r="VH5" t="str">
        <f>=$VH4+--($VG5)</f>
      </c>
      <c r="VI5" t="str">
        <f>IF(ROW()-3&gt;MAX($VH$4:$VH$40),"",INDEX($FI$4:$FI$40,MATCH(ROW()-3,$VH$4:$VH$40,0)))</f>
      </c>
      <c r="VJ5" t="str">
        <f>IF(COUNTIF('Final Calculation Sheet'!$AL5:$BP5,0)+COUNTIF('Final Calculation Sheet'!$BR5:$BS5,0)&gt;0,0,1)</f>
      </c>
      <c r="VK5" t="str">
        <f>IF($FN$5="",FALSE,SUMPRODUCT(('Final Calculation Sheet'!$AF$4:$AF$40=$FN$5)*($VJ$4:$VJ$40=1))&gt;0)</f>
      </c>
      <c r="VL5" t="str">
        <f>=$VL4+--($VK5)</f>
      </c>
      <c r="VM5" t="str">
        <f>IF(ROW()-3&gt;MAX($VL$4:$VL$40),"",INDEX($FN$4:$FN$40,MATCH(ROW()-3,$VL$4:$VL$40,0)))</f>
      </c>
      <c r="VN5" t="str">
        <f>IF(COUNTIF('Final Calculation Sheet'!$AL5:$BQ5,0)+COUNTIF('Final Calculation Sheet'!$BS5:$BS5,0)&gt;0,0,1)</f>
      </c>
      <c r="VO5" t="str">
        <f>IF($FS$5="",FALSE,SUMPRODUCT(('Final Calculation Sheet'!$AG$4:$AG$40=$FS$5)*($VN$4:$VN$40=1))&gt;0)</f>
      </c>
      <c r="VP5" t="str">
        <f>=$VP4+--($VO5)</f>
      </c>
      <c r="VQ5" t="str">
        <f>IF(ROW()-3&gt;MAX($VP$4:$VP$40),"",INDEX($FS$4:$FS$40,MATCH(ROW()-3,$VP$4:$VP$40,0)))</f>
      </c>
      <c r="VR5" t="str">
        <f>IF(COUNTIF('Final Calculation Sheet'!$AL5:$BR5,0)&gt;0,0,1)</f>
      </c>
      <c r="VS5" t="str">
        <f>IF($QO$5="",FALSE,SUMPRODUCT(('Final Calculation Sheet'!$AH$4:$AH$40=$QO$5)*($VR$4:$VR$40=1))&gt;0)</f>
      </c>
      <c r="VT5" t="str">
        <f>=$VT4+--($VS5)</f>
      </c>
      <c r="VU5" t="str">
        <f>IF(ROW()-3&gt;MAX($VT$4:$VT$40),"",INDEX($QO$4:$QO$40,MATCH(ROW()-3,$VT$4:$VT$40,0)))</f>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IF(ROW()-3&gt;MAX($LC$4:$LC$40),"",INDEX($FS$4:$FS$40,MATCH(ROW()-3,$LC$4:$LC$40,0)))</f>
        <v/>
      </c>
      <c r="LE6">
        <f>IF(COUNTIF('Buyer Groups'!DH6:EN6,0)&gt;0,0,1)</f>
        <v/>
      </c>
      <c r="LF6">
        <f>IF($O$6="",FALSE,SUMPRODUCT(('Final Calculation Sheet'!$F$4:$F$40=$O$6)*($LE$6:$LE$42=1))&gt;0)</f>
        <v/>
      </c>
      <c r="LG6">
        <f>$LG$5+--($LF6)</f>
        <v/>
      </c>
      <c r="LH6">
        <f>IF(ROW()-3&gt;MAX($LG$4:$LG$40),"",INDEX($O$4:$O$40,MATCH(ROW()-3,$LG$4:$LG$40,0)))</f>
        <v/>
      </c>
      <c r="LI6">
        <f>IF(COUNTIF('Buyer Groups'!DG6:DG6,0)+COUNTIF('Buyer Groups'!DI6:EN6,0)&gt;0,0,1)</f>
        <v/>
      </c>
      <c r="LJ6">
        <f>IF($T$6="",FALSE,SUMPRODUCT(('Final Calculation Sheet'!$G$4:$G$40=$T$6)*($LI$6:$LI$42=1))&gt;0)</f>
        <v/>
      </c>
      <c r="LK6">
        <f>$LK$5+--($LJ6)</f>
        <v/>
      </c>
      <c r="LL6">
        <f>IF(ROW()-3&gt;MAX($LK$4:$LK$40),"",INDEX($T$4:$T$40,MATCH(ROW()-3,$LK$4:$LK$40,0)))</f>
        <v/>
      </c>
      <c r="LM6">
        <f>IF(COUNTIF('Buyer Groups'!DG6:DH6,0)+COUNTIF('Buyer Groups'!DJ6:EN6,0)&gt;0,0,1)</f>
        <v/>
      </c>
      <c r="LN6">
        <f>IF($Y$6="",FALSE,SUMPRODUCT(('Final Calculation Sheet'!$B$4:$B$40=$Y$6)*($LM$6:$LM$42=1))&gt;0)</f>
        <v/>
      </c>
      <c r="LO6">
        <f>$LO$5+--($LN6)</f>
        <v/>
      </c>
      <c r="LP6">
        <f>IF(ROW()-3&gt;MAX($LO$4:$LO$40),"",INDEX($Y$4:$Y$40,MATCH(ROW()-3,$LO$4:$LO$40,0)))</f>
        <v/>
      </c>
      <c r="LQ6">
        <f>IF(COUNTIF('Buyer Groups'!DG6:DI6,0)+COUNTIF('Buyer Groups'!DK6:EN6,0)&gt;0,0,1)</f>
        <v/>
      </c>
      <c r="LR6">
        <f>IF($AD$6="",FALSE,SUMPRODUCT(('Final Calculation Sheet'!$D$4:$D$40=$AD$6)*($LQ$6:$LQ$42=1))&gt;0)</f>
        <v/>
      </c>
      <c r="LS6">
        <f>$LS$5+--($LR6)</f>
        <v/>
      </c>
      <c r="LT6">
        <f>IF(ROW()-3&gt;MAX($LS$4:$LS$40),"",INDEX($AD$4:$AD$40,MATCH(ROW()-3,$LS$4:$LS$40,0)))</f>
        <v/>
      </c>
      <c r="LU6">
        <f>IF(COUNTIF('Buyer Groups'!DG6:DJ6,0)+COUNTIF('Buyer Groups'!DL6:EN6,0)&gt;0,0,1)</f>
        <v/>
      </c>
      <c r="LV6">
        <f>IF($AI$6="",FALSE,SUMPRODUCT(('Final Calculation Sheet'!$A$4:$A$40=$AI$6)*($LU$6:$LU$42=1))&gt;0)</f>
        <v/>
      </c>
      <c r="LW6">
        <f>$LW$5+--($LV6)</f>
        <v/>
      </c>
      <c r="LX6">
        <f>IF(ROW()-3&gt;MAX($LW$4:$LW$40),"",INDEX($AI$4:$AI$40,MATCH(ROW()-3,$LW$4:$LW$40,0)))</f>
        <v/>
      </c>
      <c r="LY6">
        <f>IF(COUNTIF('Buyer Groups'!DG6:DK6,0)+COUNTIF('Buyer Groups'!DM6:EN6,0)&gt;0,0,1)</f>
        <v/>
      </c>
      <c r="LZ6">
        <f>IF($AN$6="",FALSE,SUMPRODUCT(('Final Calculation Sheet'!$E$4:$E$40=$AN$6)*($LY$6:$LY$42=1))&gt;0)</f>
        <v/>
      </c>
      <c r="MA6">
        <f>$MA$5+--($LZ6)</f>
        <v/>
      </c>
      <c r="MB6">
        <f>IF(ROW()-3&gt;MAX($MA$4:$MA$40),"",INDEX($AN$4:$AN$40,MATCH(ROW()-3,$MA$4:$MA$40,0)))</f>
        <v/>
      </c>
      <c r="MC6">
        <f>IF(COUNTIF('Buyer Groups'!DG6:DL6,0)+COUNTIF('Buyer Groups'!DN6:EN6,0)&gt;0,0,1)</f>
        <v/>
      </c>
      <c r="MD6">
        <f>IF($AS$6="",FALSE,SUMPRODUCT(('Final Calculation Sheet'!$C$4:$C$40=$AS$6)*($MC$6:$MC$42=1))&gt;0)</f>
        <v/>
      </c>
      <c r="ME6">
        <f>$ME$5+--($MD6)</f>
        <v/>
      </c>
      <c r="MF6">
        <f>IF(ROW()-3&gt;MAX($ME$4:$ME$40),"",INDEX($AS$4:$AS$40,MATCH(ROW()-3,$ME$4:$ME$40,0)))</f>
        <v/>
      </c>
      <c r="MG6">
        <f>IF(COUNTIF('Buyer Groups'!DG6:DM6,0)+COUNTIF('Buyer Groups'!DO6:EN6,0)&gt;0,0,1)</f>
        <v/>
      </c>
      <c r="MH6">
        <f>IF($AX$6="",FALSE,SUMPRODUCT(('Final Calculation Sheet'!$H$4:$H$40=$AX$6)*($MG$6:$MG$42=1))&gt;0)</f>
        <v/>
      </c>
      <c r="MI6">
        <f>$MI$5+--($MH6)</f>
        <v/>
      </c>
      <c r="MJ6">
        <f>IF(ROW()-3&gt;MAX($MI$4:$MI$40),"",INDEX($AX$4:$AX$40,MATCH(ROW()-3,$MI$4:$MI$40,0)))</f>
        <v/>
      </c>
      <c r="MK6">
        <f>IF(COUNTIF('Buyer Groups'!DG6:DN6,0)+COUNTIF('Buyer Groups'!DP6:EN6,0)&gt;0,0,1)</f>
        <v/>
      </c>
      <c r="ML6">
        <f>IF($BC$6="",FALSE,SUMPRODUCT(('Final Calculation Sheet'!$I$4:$I$40=$BC$6)*($MK$6:$MK$42=1))&gt;0)</f>
        <v/>
      </c>
      <c r="MM6">
        <f>$MM$5+--($ML6)</f>
        <v/>
      </c>
      <c r="MN6">
        <f>IF(ROW()-3&gt;MAX($MM$4:$MM$40),"",INDEX($BC$4:$BC$40,MATCH(ROW()-3,$MM$4:$MM$40,0)))</f>
        <v/>
      </c>
      <c r="MO6">
        <f>IF(COUNTIF('Buyer Groups'!DG6:DO6,0)+COUNTIF('Buyer Groups'!DQ6:EN6,0)&gt;0,0,1)</f>
        <v/>
      </c>
      <c r="MP6">
        <f>IF($BH$6="",FALSE,SUMPRODUCT(('Final Calculation Sheet'!$J$4:$J$40=$BH$6)*($MO$6:$MO$42=1))&gt;0)</f>
        <v/>
      </c>
      <c r="MQ6">
        <f>$MQ$5+--($MP6)</f>
        <v/>
      </c>
      <c r="MR6">
        <f>IF(ROW()-3&gt;MAX($MQ$4:$MQ$40),"",INDEX($BH$4:$BH$40,MATCH(ROW()-3,$MQ$4:$MQ$40,0)))</f>
        <v/>
      </c>
      <c r="MS6">
        <f>IF(COUNTIF('Buyer Groups'!DG6:DP6,0)+COUNTIF('Buyer Groups'!DR6:EN6,0)&gt;0,0,1)</f>
        <v/>
      </c>
      <c r="MT6">
        <f>IF($BM$6="",FALSE,SUMPRODUCT(('Final Calculation Sheet'!$K$4:$K$40=$BM$6)*($MS$6:$MS$42=1))&gt;0)</f>
        <v/>
      </c>
      <c r="MU6">
        <f>$MU$5+--($MT6)</f>
        <v/>
      </c>
      <c r="MV6">
        <f>IF(ROW()-3&gt;MAX($MU$4:$MU$40),"",INDEX($BM$4:$BM$40,MATCH(ROW()-3,$MU$4:$MU$40,0)))</f>
        <v/>
      </c>
      <c r="MW6">
        <f>IF(COUNTIF('Buyer Groups'!DG6:DQ6,0)+COUNTIF('Buyer Groups'!DS6:EN6,0)&gt;0,0,1)</f>
        <v/>
      </c>
      <c r="MX6">
        <f>IF($BR$6="",FALSE,SUMPRODUCT(('Final Calculation Sheet'!$L$4:$L$40=$BR$6)*($MW$6:$MW$42=1))&gt;0)</f>
        <v/>
      </c>
      <c r="MY6">
        <f>$MY$5+--($MX6)</f>
        <v/>
      </c>
      <c r="MZ6">
        <f>IF(ROW()-3&gt;MAX($MY$4:$MY$40),"",INDEX($BR$4:$BR$40,MATCH(ROW()-3,$MY$4:$MY$40,0)))</f>
        <v/>
      </c>
      <c r="NA6">
        <f>IF(COUNTIF('Buyer Groups'!DG6:DR6,0)+COUNTIF('Buyer Groups'!DT6:EN6,0)&gt;0,0,1)</f>
        <v/>
      </c>
      <c r="NB6">
        <f>IF($BW$6="",FALSE,SUMPRODUCT(('Final Calculation Sheet'!$M$4:$M$40=$BW$6)*($NA$6:$NA$42=1))&gt;0)</f>
        <v/>
      </c>
      <c r="NC6">
        <f>$NC$5+--($NB6)</f>
        <v/>
      </c>
      <c r="ND6">
        <f>IF(ROW()-3&gt;MAX($NC$4:$NC$40),"",INDEX($BW$4:$BW$40,MATCH(ROW()-3,$NC$4:$NC$40,0)))</f>
        <v/>
      </c>
      <c r="NE6">
        <f>IF(COUNTIF('Buyer Groups'!DG6:DS6,0)+COUNTIF('Buyer Groups'!DU6:EN6,0)&gt;0,0,1)</f>
        <v/>
      </c>
      <c r="NF6">
        <f>IF($CB$6="",FALSE,SUMPRODUCT(('Final Calculation Sheet'!$N$4:$N$40=$CB$6)*($NE$6:$NE$42=1))&gt;0)</f>
        <v/>
      </c>
      <c r="NG6">
        <f>$NG$5+--($NF6)</f>
        <v/>
      </c>
      <c r="NH6">
        <f>IF(ROW()-3&gt;MAX($NG$4:$NG$40),"",INDEX($CB$4:$CB$40,MATCH(ROW()-3,$NG$4:$NG$40,0)))</f>
        <v/>
      </c>
      <c r="NI6">
        <f>IF(COUNTIF('Buyer Groups'!DG6:DT6,0)+COUNTIF('Buyer Groups'!DV6:EN6,0)&gt;0,0,1)</f>
        <v/>
      </c>
      <c r="NJ6">
        <f>IF($CG$6="",FALSE,SUMPRODUCT(('Final Calculation Sheet'!$O$4:$O$40=$CG$6)*($NI$6:$NI$42=1))&gt;0)</f>
        <v/>
      </c>
      <c r="NK6">
        <f>$NK$5+--($NJ6)</f>
        <v/>
      </c>
      <c r="NL6">
        <f>IF(ROW()-3&gt;MAX($NK$4:$NK$40),"",INDEX($CG$4:$CG$40,MATCH(ROW()-3,$NK$4:$NK$40,0)))</f>
        <v/>
      </c>
      <c r="NM6">
        <f>IF(COUNTIF('Buyer Groups'!DG6:DU6,0)+COUNTIF('Buyer Groups'!DW6:EN6,0)&gt;0,0,1)</f>
        <v/>
      </c>
      <c r="NN6">
        <f>IF($CL$6="",FALSE,SUMPRODUCT(('Final Calculation Sheet'!$P$4:$P$40=$CL$6)*($NM$6:$NM$42=1))&gt;0)</f>
        <v/>
      </c>
      <c r="NO6">
        <f>$NO$5+--($NN6)</f>
        <v/>
      </c>
      <c r="NP6">
        <f>IF(ROW()-3&gt;MAX($NO$4:$NO$40),"",INDEX($CL$4:$CL$40,MATCH(ROW()-3,$NO$4:$NO$40,0)))</f>
        <v/>
      </c>
      <c r="NQ6">
        <f>IF(COUNTIF('Buyer Groups'!DG6:DV6,0)+COUNTIF('Buyer Groups'!DX6:EN6,0)&gt;0,0,1)</f>
        <v/>
      </c>
      <c r="NR6">
        <f>IF($CQ$6="",FALSE,SUMPRODUCT(('Final Calculation Sheet'!$Q$4:$Q$40=$CQ$6)*($NQ$6:$NQ$42=1))&gt;0)</f>
        <v/>
      </c>
      <c r="NS6">
        <f>$NS$5+--($NR6)</f>
        <v/>
      </c>
      <c r="NT6">
        <f>IF(ROW()-3&gt;MAX($NS$4:$NS$40),"",INDEX($CQ$4:$CQ$40,MATCH(ROW()-3,$NS$4:$NS$40,0)))</f>
        <v/>
      </c>
      <c r="NU6">
        <f>IF(COUNTIF('Buyer Groups'!DG6:DW6,0)+COUNTIF('Buyer Groups'!DY6:EN6,0)&gt;0,0,1)</f>
        <v/>
      </c>
      <c r="NV6">
        <f>IF($CV$6="",FALSE,SUMPRODUCT(('Final Calculation Sheet'!$R$4:$R$40=$CV$6)*($NU$6:$NU$42=1))&gt;0)</f>
        <v/>
      </c>
      <c r="NW6">
        <f>$NW$5+--($NV6)</f>
        <v/>
      </c>
      <c r="NX6">
        <f>IF(ROW()-3&gt;MAX($NW$4:$NW$40),"",INDEX($CV$4:$CV$40,MATCH(ROW()-3,$NW$4:$NW$40,0)))</f>
        <v/>
      </c>
      <c r="NY6">
        <f>IF(COUNTIF('Buyer Groups'!DG6:DX6,0)+COUNTIF('Buyer Groups'!DZ6:EN6,0)&gt;0,0,1)</f>
        <v/>
      </c>
      <c r="NZ6">
        <f>IF($DA$6="",FALSE,SUMPRODUCT(('Final Calculation Sheet'!$S$4:$S$40=$DA$6)*($NY$6:$NY$42=1))&gt;0)</f>
        <v/>
      </c>
      <c r="OA6">
        <f>$OA$5+--($NZ6)</f>
        <v/>
      </c>
      <c r="OB6">
        <f>IF(ROW()-3&gt;MAX($OA$4:$OA$40),"",INDEX($DA$4:$DA$40,MATCH(ROW()-3,$OA$4:$OA$40,0)))</f>
        <v/>
      </c>
      <c r="OC6">
        <f>IF(COUNTIF('Buyer Groups'!DG6:DY6,0)+COUNTIF('Buyer Groups'!EA6:EN6,0)&gt;0,0,1)</f>
        <v/>
      </c>
      <c r="OD6">
        <f>IF($DF$6="",FALSE,SUMPRODUCT(('Final Calculation Sheet'!$T$4:$T$40=$DF$6)*($OC$6:$OC$42=1))&gt;0)</f>
        <v/>
      </c>
      <c r="OE6">
        <f>$OE$5+--($OD6)</f>
        <v/>
      </c>
      <c r="OF6">
        <f>IF(ROW()-3&gt;MAX($OE$4:$OE$40),"",INDEX($DF$4:$DF$40,MATCH(ROW()-3,$OE$4:$OE$40,0)))</f>
        <v/>
      </c>
      <c r="OG6">
        <f>IF(COUNTIF('Buyer Groups'!DG6:DZ6,0)+COUNTIF('Buyer Groups'!EB6:EN6,0)&gt;0,0,1)</f>
        <v/>
      </c>
      <c r="OH6">
        <f>IF($DK$6="",FALSE,SUMPRODUCT(('Final Calculation Sheet'!$U$4:$U$40=$DK$6)*($OG$6:$OG$42=1))&gt;0)</f>
        <v/>
      </c>
      <c r="OI6">
        <f>$OI$5+--($OH6)</f>
        <v/>
      </c>
      <c r="OJ6">
        <f>IF(ROW()-3&gt;MAX($OI$4:$OI$40),"",INDEX($DK$4:$DK$40,MATCH(ROW()-3,$OI$4:$OI$40,0)))</f>
        <v/>
      </c>
      <c r="OK6">
        <f>IF(COUNTIF('Buyer Groups'!DG6:EA6,0)+COUNTIF('Buyer Groups'!EC6:EN6,0)&gt;0,0,1)</f>
        <v/>
      </c>
      <c r="OL6">
        <f>IF($DP$6="",FALSE,SUMPRODUCT(('Final Calculation Sheet'!$V$4:$V$40=$DP$6)*($OK$6:$OK$42=1))&gt;0)</f>
        <v/>
      </c>
      <c r="OM6">
        <f>$OM$5+--($OL6)</f>
        <v/>
      </c>
      <c r="ON6">
        <f>IF(ROW()-3&gt;MAX($OM$4:$OM$40),"",INDEX($DP$4:$DP$40,MATCH(ROW()-3,$OM$4:$OM$40,0)))</f>
        <v/>
      </c>
      <c r="OO6">
        <f>IF(COUNTIF('Buyer Groups'!DG6:EB6,0)+COUNTIF('Buyer Groups'!ED6:EN6,0)&gt;0,0,1)</f>
        <v/>
      </c>
      <c r="OP6">
        <f>IF($DU$6="",FALSE,SUMPRODUCT(('Final Calculation Sheet'!$W$4:$W$40=$DU$6)*($OO$6:$OO$42=1))&gt;0)</f>
        <v/>
      </c>
      <c r="OQ6">
        <f>$OQ$5+--($OP6)</f>
        <v/>
      </c>
      <c r="OR6">
        <f>IF(ROW()-3&gt;MAX($OQ$4:$OQ$40),"",INDEX($DU$4:$DU$40,MATCH(ROW()-3,$OQ$4:$OQ$40,0)))</f>
        <v/>
      </c>
      <c r="OS6">
        <f>IF(COUNTIF('Buyer Groups'!DG6:EC6,0)+COUNTIF('Buyer Groups'!EE6:EN6,0)&gt;0,0,1)</f>
        <v/>
      </c>
      <c r="OT6">
        <f>IF($DZ$6="",FALSE,SUMPRODUCT(('Final Calculation Sheet'!$X$4:$X$40=$DZ$6)*($OS$6:$OS$42=1))&gt;0)</f>
        <v/>
      </c>
      <c r="OU6">
        <f>$OU$5+--($OT6)</f>
        <v/>
      </c>
      <c r="OV6">
        <f>IF(ROW()-3&gt;MAX($OU$4:$OU$40),"",INDEX($DZ$4:$DZ$40,MATCH(ROW()-3,$OU$4:$OU$40,0)))</f>
        <v/>
      </c>
      <c r="OW6">
        <f>IF(COUNTIF('Buyer Groups'!DG6:ED6,0)+COUNTIF('Buyer Groups'!EF6:EN6,0)&gt;0,0,1)</f>
        <v/>
      </c>
      <c r="OX6">
        <f>IF($EE$6="",FALSE,SUMPRODUCT(('Final Calculation Sheet'!$Y$4:$Y$40=$EE$6)*($OW$6:$OW$42=1))&gt;0)</f>
        <v/>
      </c>
      <c r="OY6">
        <f>$OY$5+--($OX6)</f>
        <v/>
      </c>
      <c r="OZ6">
        <f>IF(ROW()-3&gt;MAX($OY$4:$OY$40),"",INDEX($EE$4:$EE$40,MATCH(ROW()-3,$OY$4:$OY$40,0)))</f>
        <v/>
      </c>
      <c r="PA6">
        <f>IF(COUNTIF('Buyer Groups'!DG6:EE6,0)+COUNTIF('Buyer Groups'!EG6:EN6,0)&gt;0,0,1)</f>
        <v/>
      </c>
      <c r="PB6">
        <f>IF($EJ$6="",FALSE,SUMPRODUCT(('Final Calculation Sheet'!$Z$4:$Z$40=$EJ$6)*($PA$6:$PA$42=1))&gt;0)</f>
        <v/>
      </c>
      <c r="PC6">
        <f>$PC$5+--($PB6)</f>
        <v/>
      </c>
      <c r="PD6">
        <f>IF(ROW()-3&gt;MAX($PC$4:$PC$40),"",INDEX($EJ$4:$EJ$40,MATCH(ROW()-3,$PC$4:$PC$40,0)))</f>
        <v/>
      </c>
      <c r="PE6">
        <f>IF(COUNTIF('Buyer Groups'!DG6:EF6,0)+COUNTIF('Buyer Groups'!EH6:EN6,0)&gt;0,0,1)</f>
        <v/>
      </c>
      <c r="PF6">
        <f>IF($EO$6="",FALSE,SUMPRODUCT(('Final Calculation Sheet'!$AA$4:$AA$40=$EO$6)*($PE$6:$PE$42=1))&gt;0)</f>
        <v/>
      </c>
      <c r="PG6">
        <f>$PG$5+--($PF6)</f>
        <v/>
      </c>
      <c r="PH6">
        <f>IF(ROW()-3&gt;MAX($PG$4:$PG$40),"",INDEX($EO$4:$EO$40,MATCH(ROW()-3,$PG$4:$PG$40,0)))</f>
        <v/>
      </c>
      <c r="PI6">
        <f>IF(COUNTIF('Buyer Groups'!DG6:EG6,0)+COUNTIF('Buyer Groups'!EI6:EN6,0)&gt;0,0,1)</f>
        <v/>
      </c>
      <c r="PJ6">
        <f>IF($ET$6="",FALSE,SUMPRODUCT(('Final Calculation Sheet'!$AB$4:$AB$40=$ET$6)*($PI$6:$PI$42=1))&gt;0)</f>
        <v/>
      </c>
      <c r="PK6">
        <f>$PK$5+--($PJ6)</f>
        <v/>
      </c>
      <c r="PL6">
        <f>IF(ROW()-3&gt;MAX($PK$4:$PK$40),"",INDEX($ET$4:$ET$40,MATCH(ROW()-3,$PK$4:$PK$40,0)))</f>
        <v/>
      </c>
      <c r="PM6">
        <f>IF(COUNTIF('Buyer Groups'!DG6:EH6,0)+COUNTIF('Buyer Groups'!EJ6:EN6,0)&gt;0,0,1)</f>
        <v/>
      </c>
      <c r="PN6">
        <f>IF($EY$6="",FALSE,SUMPRODUCT(('Final Calculation Sheet'!$AC$4:$AC$40=$EY$6)*($PM$6:$PM$42=1))&gt;0)</f>
        <v/>
      </c>
      <c r="PO6">
        <f>$PO$5+--($PN6)</f>
        <v/>
      </c>
      <c r="PP6">
        <f>IF(ROW()-3&gt;MAX($PO$4:$PO$40),"",INDEX($EY$4:$EY$40,MATCH(ROW()-3,$PO$4:$PO$40,0)))</f>
        <v/>
      </c>
      <c r="PQ6">
        <f>IF(COUNTIF('Buyer Groups'!DG6:EI6,0)+COUNTIF('Buyer Groups'!EK6:EN6,0)&gt;0,0,1)</f>
        <v/>
      </c>
      <c r="PR6">
        <f>IF($FD$6="",FALSE,SUMPRODUCT(('Final Calculation Sheet'!$AD$4:$AD$40=$FD$6)*($PQ$6:$PQ$42=1))&gt;0)</f>
        <v/>
      </c>
      <c r="PS6">
        <f>$PS$5+--($PR6)</f>
        <v/>
      </c>
      <c r="PT6">
        <f>IF(ROW()-3&gt;MAX($PS$4:$PS$40),"",INDEX($FD$4:$FD$40,MATCH(ROW()-3,$PS$4:$PS$40,0)))</f>
        <v/>
      </c>
      <c r="PU6">
        <f>IF(COUNTIF('Buyer Groups'!DG6:EJ6,0)+COUNTIF('Buyer Groups'!EL6:EN6,0)&gt;0,0,1)</f>
        <v/>
      </c>
      <c r="PV6">
        <f>IF($FX$6="",FALSE,SUMPRODUCT((IF('Final Calculation Sheet'!$AD$4:$AD$40&lt;=5,"SETTLED","OUTSTANDING")=$FX$6)*($PU$6:$PU$42=1))&gt;0)</f>
        <v/>
      </c>
      <c r="PW6">
        <f>$PW$5+--($PV6)</f>
        <v/>
      </c>
      <c r="PX6">
        <f>IF(ROW()-3&gt;MAX($PW$4:$PW$40),"",INDEX($FX$4:$FX$40,MATCH(ROW()-3,$PW$4:$PW$40,0)))</f>
        <v/>
      </c>
      <c r="PY6">
        <f>IF(COUNTIF('Buyer Groups'!DG6:EK6,0)+COUNTIF('Buyer Groups'!EM6:EN6,0)&gt;0,0,1)</f>
        <v/>
      </c>
      <c r="PZ6">
        <f>IF($FI$6="",FALSE,SUMPRODUCT(('Final Calculation Sheet'!$AF$4:$AF$40=$FI$6)*($PY$6:$PY$42=1))&gt;0)</f>
        <v/>
      </c>
      <c r="QA6">
        <f>$QA$5+--($PZ6)</f>
        <v/>
      </c>
      <c r="QB6">
        <f>IF(ROW()-3&gt;MAX($QA$4:$QA$40),"",INDEX($FI$4:$FI$40,MATCH(ROW()-3,$QA$4:$QA$40,0)))</f>
        <v/>
      </c>
      <c r="QC6">
        <f>IF(COUNTIF('Buyer Groups'!DG6:EL6,0)+COUNTIF('Buyer Groups'!EN6:EN6,0)&gt;0,0,1)</f>
        <v/>
      </c>
      <c r="QD6">
        <f>IF($FN$6="",FALSE,SUMPRODUCT(('Final Calculation Sheet'!$AG$4:$AG$40=$FN$6)*($QC$6:$QC$42=1))&gt;0)</f>
        <v/>
      </c>
      <c r="QE6">
        <f>$QE$5+--($QD6)</f>
        <v/>
      </c>
      <c r="QF6">
        <f>IF(ROW()-3&gt;MAX($QE$4:$QE$40),"",INDEX($FN$4:$FN$40,MATCH(ROW()-3,$QE$4:$QE$40,0)))</f>
        <v/>
      </c>
      <c r="QG6">
        <f>IF(COUNTIF('Buyer Groups'!DG6:EM6,0)&gt;0,0,1)</f>
        <v/>
      </c>
      <c r="QH6">
        <f>IF($FS$6="",FALSE,SUMPRODUCT(('Final Calculation Sheet'!$AH$4:$AH$40=$FS$6)*($QG$6:$QG$42=1))&gt;0)</f>
        <v/>
      </c>
      <c r="QI6">
        <f>$QI$5+--($QH6)</f>
        <v/>
      </c>
      <c r="QJ6">
        <f>IF(ROW()-3&gt;MAX($QI$4:$QI$40),"",INDEX($FS$4:$FS$40,MATCH(ROW()-3,$QI$4:$QI$40,0)))</f>
        <v/>
      </c>
      <c r="QK6" t="str">
        <f>IF('Final Calculation Sheet'!$AH$6="","",'Final Calculation Sheet'!$AH$6)</f>
      </c>
      <c r="QL6" t="str">
        <f>IF(QK6="","",COUNTIFS(QK$4:QK$40,"&lt;"&amp;QK6,QK$4:QK$40,"&lt;&gt;"&amp;"")+COUNTIF(QK$4:QK6,QK6))</f>
      </c>
      <c r="QM6" t="str">
        <f>IF(ROW()-3&gt;COUNTIF(QK$4:QK$40,"&lt;&gt;"&amp;""),"",INDEX(QK$4:QK$40,MATCH(ROW()-3,QL$4:QL$40,0)))</f>
      </c>
      <c r="QN6" t="str">
        <f>=QN5+F(AND(QM6&lt;&gt;"",COUNTIF(QM$4:QM6,QM6)=1),1,0)</f>
      </c>
      <c r="QO6" t="str">
        <f>IF(ROW()-3&gt;MAX(QN$4:QN$40),"",INDEX(QM$4:QM$40,MATCH(ROW()-3,QN$4:QN$40,0)))</f>
      </c>
      <c r="QP6" t="str">
        <f>IF(COUNTIF('Final Calculation Sheet'!$AM6:$BS6,0)&gt;0,0,1)</f>
      </c>
      <c r="QQ6" t="str">
        <f>IF($AI$6="",FALSE,SUMPRODUCT(('Final Calculation Sheet'!$A$4:$A$40=$AI$6)*($QP$4:$QP$40=1))&gt;0)</f>
      </c>
      <c r="QR6" t="str">
        <f>=$QR5+--($QQ6)</f>
      </c>
      <c r="QS6" t="str">
        <f>IF(ROW()-3&gt;MAX($QR$4:$QR$40),"",INDEX($AI$4:$AI$40,MATCH(ROW()-3,$QR$4:$QR$40,0)))</f>
      </c>
      <c r="QT6" t="str">
        <f>IF(COUNTIF('Final Calculation Sheet'!$AL6:$AL6,0)+COUNTIF('Final Calculation Sheet'!$AN6:$BS6,0)&gt;0,0,1)</f>
      </c>
      <c r="QU6" t="str">
        <f>IF($Y$6="",FALSE,SUMPRODUCT(('Final Calculation Sheet'!$B$4:$B$40=$Y$6)*($QT$4:$QT$40=1))&gt;0)</f>
      </c>
      <c r="QV6" t="str">
        <f>=$QV5+--($QU6)</f>
      </c>
      <c r="QW6" t="str">
        <f>IF(ROW()-3&gt;MAX($QV$4:$QV$40),"",INDEX($Y$4:$Y$40,MATCH(ROW()-3,$QV$4:$QV$40,0)))</f>
      </c>
      <c r="QX6" t="str">
        <f>IF(COUNTIF('Final Calculation Sheet'!$AL6:$AM6,0)+COUNTIF('Final Calculation Sheet'!$AO6:$BS6,0)&gt;0,0,1)</f>
      </c>
      <c r="QY6" t="str">
        <f>IF($AS$6="",FALSE,SUMPRODUCT(('Final Calculation Sheet'!$C$4:$C$40=$AS$6)*($QX$4:$QX$40=1))&gt;0)</f>
      </c>
      <c r="QZ6" t="str">
        <f>=$QZ5+--($QY6)</f>
      </c>
      <c r="RA6" t="str">
        <f>IF(ROW()-3&gt;MAX($QZ$4:$QZ$40),"",INDEX($AS$4:$AS$40,MATCH(ROW()-3,$QZ$4:$QZ$40,0)))</f>
      </c>
      <c r="RB6" t="str">
        <f>IF(COUNTIF('Final Calculation Sheet'!$AL6:$AN6,0)+COUNTIF('Final Calculation Sheet'!$AP6:$BS6,0)&gt;0,0,1)</f>
      </c>
      <c r="RC6" t="str">
        <f>IF($AD$6="",FALSE,SUMPRODUCT(('Final Calculation Sheet'!$D$4:$D$40=$AD$6)*($RB$4:$RB$40=1))&gt;0)</f>
      </c>
      <c r="RD6" t="str">
        <f>=$RD5+--($RC6)</f>
      </c>
      <c r="RE6" t="str">
        <f>IF(ROW()-3&gt;MAX($RD$4:$RD$40),"",INDEX($AD$4:$AD$40,MATCH(ROW()-3,$RD$4:$RD$40,0)))</f>
      </c>
      <c r="RF6" t="str">
        <f>IF(COUNTIF('Final Calculation Sheet'!$AL6:$AO6,0)+COUNTIF('Final Calculation Sheet'!$AQ6:$BS6,0)&gt;0,0,1)</f>
      </c>
      <c r="RG6" t="str">
        <f>IF($AN$6="",FALSE,SUMPRODUCT(('Final Calculation Sheet'!$E$4:$E$40=$AN$6)*($RF$4:$RF$40=1))&gt;0)</f>
      </c>
      <c r="RH6" t="str">
        <f>=$RH5+--($RG6)</f>
      </c>
      <c r="RI6" t="str">
        <f>IF(ROW()-3&gt;MAX($RH$4:$RH$40),"",INDEX($AN$4:$AN$40,MATCH(ROW()-3,$RH$4:$RH$40,0)))</f>
      </c>
      <c r="RJ6" t="str">
        <f>IF(COUNTIF('Final Calculation Sheet'!$AL6:$AP6,0)+COUNTIF('Final Calculation Sheet'!$AR6:$BS6,0)&gt;0,0,1)</f>
      </c>
      <c r="RK6" t="str">
        <f>IF($O$6="",FALSE,SUMPRODUCT(('Final Calculation Sheet'!$F$4:$F$40=$O$6)*($RJ$4:$RJ$40=1))&gt;0)</f>
      </c>
      <c r="RL6" t="str">
        <f>=$RL5+--($RK6)</f>
      </c>
      <c r="RM6" t="str">
        <f>IF(ROW()-3&gt;MAX($RL$4:$RL$40),"",INDEX($O$4:$O$40,MATCH(ROW()-3,$RL$4:$RL$40,0)))</f>
      </c>
      <c r="RN6" t="str">
        <f>IF(COUNTIF('Final Calculation Sheet'!$AL6:$AQ6,0)+COUNTIF('Final Calculation Sheet'!$AS6:$BS6,0)&gt;0,0,1)</f>
      </c>
      <c r="RO6" t="str">
        <f>IF($T$6="",FALSE,SUMPRODUCT(('Final Calculation Sheet'!$G$4:$G$40=$T$6)*($RN$4:$RN$40=1))&gt;0)</f>
      </c>
      <c r="RP6" t="str">
        <f>=$RP5+--($RO6)</f>
      </c>
      <c r="RQ6" t="str">
        <f>IF(ROW()-3&gt;MAX($RP$4:$RP$40),"",INDEX($T$4:$T$40,MATCH(ROW()-3,$RP$4:$RP$40,0)))</f>
      </c>
      <c r="RR6" t="str">
        <f>IF(COUNTIF('Final Calculation Sheet'!$AL6:$AR6,0)+COUNTIF('Final Calculation Sheet'!$AT6:$BS6,0)&gt;0,0,1)</f>
      </c>
      <c r="RS6" t="str">
        <f>IF($AX$6="",FALSE,SUMPRODUCT(('Final Calculation Sheet'!$H$4:$H$40=$AX$6)*($RR$4:$RR$40=1))&gt;0)</f>
      </c>
      <c r="RT6" t="str">
        <f>=$RT5+--($RS6)</f>
      </c>
      <c r="RU6" t="str">
        <f>IF(ROW()-3&gt;MAX($RT$4:$RT$40),"",INDEX($AX$4:$AX$40,MATCH(ROW()-3,$RT$4:$RT$40,0)))</f>
      </c>
      <c r="RV6" t="str">
        <f>IF(COUNTIF('Final Calculation Sheet'!$AL6:$AS6,0)+COUNTIF('Final Calculation Sheet'!$AU6:$BS6,0)&gt;0,0,1)</f>
      </c>
      <c r="RW6" t="str">
        <f>IF($BC$6="",FALSE,SUMPRODUCT(('Final Calculation Sheet'!$I$4:$I$40=$BC$6)*($RV$4:$RV$40=1))&gt;0)</f>
      </c>
      <c r="RX6" t="str">
        <f>=$RX5+--($RW6)</f>
      </c>
      <c r="RY6" t="str">
        <f>IF(ROW()-3&gt;MAX($RX$4:$RX$40),"",INDEX($BC$4:$BC$40,MATCH(ROW()-3,$RX$4:$RX$40,0)))</f>
      </c>
      <c r="RZ6" t="str">
        <f>IF(COUNTIF('Final Calculation Sheet'!$AL6:$AT6,0)+COUNTIF('Final Calculation Sheet'!$AV6:$BS6,0)&gt;0,0,1)</f>
      </c>
      <c r="SA6" t="str">
        <f>IF($BH$6="",FALSE,SUMPRODUCT(('Final Calculation Sheet'!$J$4:$J$40=$BH$6)*($RZ$4:$RZ$40=1))&gt;0)</f>
      </c>
      <c r="SB6" t="str">
        <f>=$SB5+--($SA6)</f>
      </c>
      <c r="SC6" t="str">
        <f>IF(ROW()-3&gt;MAX($SB$4:$SB$40),"",INDEX($BH$4:$BH$40,MATCH(ROW()-3,$SB$4:$SB$40,0)))</f>
      </c>
      <c r="SD6" t="str">
        <f>IF(COUNTIF('Final Calculation Sheet'!$AL6:$AU6,0)+COUNTIF('Final Calculation Sheet'!$AW6:$BS6,0)&gt;0,0,1)</f>
      </c>
      <c r="SE6" t="str">
        <f>IF($BM$6="",FALSE,SUMPRODUCT(('Final Calculation Sheet'!$K$4:$K$40=$BM$6)*($SD$4:$SD$40=1))&gt;0)</f>
      </c>
      <c r="SF6" t="str">
        <f>=$SF5+--($SE6)</f>
      </c>
      <c r="SG6" t="str">
        <f>IF(ROW()-3&gt;MAX($SF$4:$SF$40),"",INDEX($BM$4:$BM$40,MATCH(ROW()-3,$SF$4:$SF$40,0)))</f>
      </c>
      <c r="SH6" t="str">
        <f>IF(COUNTIF('Final Calculation Sheet'!$AL6:$AV6,0)+COUNTIF('Final Calculation Sheet'!$AX6:$BS6,0)&gt;0,0,1)</f>
      </c>
      <c r="SI6" t="str">
        <f>IF($BR$6="",FALSE,SUMPRODUCT(('Final Calculation Sheet'!$L$4:$L$40=$BR$6)*($SH$4:$SH$40=1))&gt;0)</f>
      </c>
      <c r="SJ6" t="str">
        <f>=$SJ5+--($SI6)</f>
      </c>
      <c r="SK6" t="str">
        <f>IF(ROW()-3&gt;MAX($SJ$4:$SJ$40),"",INDEX($BR$4:$BR$40,MATCH(ROW()-3,$SJ$4:$SJ$40,0)))</f>
      </c>
      <c r="SL6" t="str">
        <f>IF(COUNTIF('Final Calculation Sheet'!$AL6:$AW6,0)+COUNTIF('Final Calculation Sheet'!$AY6:$BS6,0)&gt;0,0,1)</f>
      </c>
      <c r="SM6" t="str">
        <f>IF($BW$6="",FALSE,SUMPRODUCT(('Final Calculation Sheet'!$M$4:$M$40=$BW$6)*($SL$4:$SL$40=1))&gt;0)</f>
      </c>
      <c r="SN6" t="str">
        <f>=$SN5+--($SM6)</f>
      </c>
      <c r="SO6" t="str">
        <f>IF(ROW()-3&gt;MAX($SN$4:$SN$40),"",INDEX($BW$4:$BW$40,MATCH(ROW()-3,$SN$4:$SN$40,0)))</f>
      </c>
      <c r="SP6" t="str">
        <f>IF(COUNTIF('Final Calculation Sheet'!$AL6:$AX6,0)+COUNTIF('Final Calculation Sheet'!$AZ6:$BS6,0)&gt;0,0,1)</f>
      </c>
      <c r="SQ6" t="str">
        <f>IF($CB$6="",FALSE,SUMPRODUCT(('Final Calculation Sheet'!$N$4:$N$40=$CB$6)*($SP$4:$SP$40=1))&gt;0)</f>
      </c>
      <c r="SR6" t="str">
        <f>=$SR5+--($SQ6)</f>
      </c>
      <c r="SS6" t="str">
        <f>IF(ROW()-3&gt;MAX($SR$4:$SR$40),"",INDEX($CB$4:$CB$40,MATCH(ROW()-3,$SR$4:$SR$40,0)))</f>
      </c>
      <c r="ST6" t="str">
        <f>IF(COUNTIF('Final Calculation Sheet'!$AL6:$AY6,0)+COUNTIF('Final Calculation Sheet'!$BA6:$BS6,0)&gt;0,0,1)</f>
      </c>
      <c r="SU6" t="str">
        <f>IF($CG$6="",FALSE,SUMPRODUCT(('Final Calculation Sheet'!$O$4:$O$40=$CG$6)*($ST$4:$ST$40=1))&gt;0)</f>
      </c>
      <c r="SV6" t="str">
        <f>=$SV5+--($SU6)</f>
      </c>
      <c r="SW6" t="str">
        <f>IF(ROW()-3&gt;MAX($SV$4:$SV$40),"",INDEX($CG$4:$CG$40,MATCH(ROW()-3,$SV$4:$SV$40,0)))</f>
      </c>
      <c r="SX6" t="str">
        <f>IF(COUNTIF('Final Calculation Sheet'!$AL6:$AZ6,0)+COUNTIF('Final Calculation Sheet'!$BB6:$BS6,0)&gt;0,0,1)</f>
      </c>
      <c r="SY6" t="str">
        <f>IF($CL$6="",FALSE,SUMPRODUCT(('Final Calculation Sheet'!$P$4:$P$40=$CL$6)*($SX$4:$SX$40=1))&gt;0)</f>
      </c>
      <c r="SZ6" t="str">
        <f>=$SZ5+--($SY6)</f>
      </c>
      <c r="TA6" t="str">
        <f>IF(ROW()-3&gt;MAX($SZ$4:$SZ$40),"",INDEX($CL$4:$CL$40,MATCH(ROW()-3,$SZ$4:$SZ$40,0)))</f>
      </c>
      <c r="TB6" t="str">
        <f>IF(COUNTIF('Final Calculation Sheet'!$AL6:$BA6,0)+COUNTIF('Final Calculation Sheet'!$BC6:$BS6,0)&gt;0,0,1)</f>
      </c>
      <c r="TC6" t="str">
        <f>IF($CQ$6="",FALSE,SUMPRODUCT(('Final Calculation Sheet'!$Q$4:$Q$40=$CQ$6)*($TB$4:$TB$40=1))&gt;0)</f>
      </c>
      <c r="TD6" t="str">
        <f>=$TD5+--($TC6)</f>
      </c>
      <c r="TE6" t="str">
        <f>IF(ROW()-3&gt;MAX($TD$4:$TD$40),"",INDEX($CQ$4:$CQ$40,MATCH(ROW()-3,$TD$4:$TD$40,0)))</f>
      </c>
      <c r="TF6" t="str">
        <f>IF(COUNTIF('Final Calculation Sheet'!$AL6:$BB6,0)+COUNTIF('Final Calculation Sheet'!$BD6:$BS6,0)&gt;0,0,1)</f>
      </c>
      <c r="TG6" t="str">
        <f>IF($CV$6="",FALSE,SUMPRODUCT(('Final Calculation Sheet'!$R$4:$R$40=$CV$6)*($TF$4:$TF$40=1))&gt;0)</f>
      </c>
      <c r="TH6" t="str">
        <f>=$TH5+--($TG6)</f>
      </c>
      <c r="TI6" t="str">
        <f>IF(ROW()-3&gt;MAX($TH$4:$TH$40),"",INDEX($CV$4:$CV$40,MATCH(ROW()-3,$TH$4:$TH$40,0)))</f>
      </c>
      <c r="TJ6" t="str">
        <f>IF(COUNTIF('Final Calculation Sheet'!$AL6:$BC6,0)+COUNTIF('Final Calculation Sheet'!$BE6:$BS6,0)&gt;0,0,1)</f>
      </c>
      <c r="TK6" t="str">
        <f>IF($DA$6="",FALSE,SUMPRODUCT(('Final Calculation Sheet'!$S$4:$S$40=$DA$6)*($TJ$4:$TJ$40=1))&gt;0)</f>
      </c>
      <c r="TL6" t="str">
        <f>=$TL5+--($TK6)</f>
      </c>
      <c r="TM6" t="str">
        <f>IF(ROW()-3&gt;MAX($TL$4:$TL$40),"",INDEX($DA$4:$DA$40,MATCH(ROW()-3,$TL$4:$TL$40,0)))</f>
      </c>
      <c r="TN6" t="str">
        <f>IF(COUNTIF('Final Calculation Sheet'!$AL6:$BD6,0)+COUNTIF('Final Calculation Sheet'!$BF6:$BS6,0)&gt;0,0,1)</f>
      </c>
      <c r="TO6" t="str">
        <f>IF($DF$6="",FALSE,SUMPRODUCT(('Final Calculation Sheet'!$T$4:$T$40=$DF$6)*($TN$4:$TN$40=1))&gt;0)</f>
      </c>
      <c r="TP6" t="str">
        <f>=$TP5+--($TO6)</f>
      </c>
      <c r="TQ6" t="str">
        <f>IF(ROW()-3&gt;MAX($TP$4:$TP$40),"",INDEX($DF$4:$DF$40,MATCH(ROW()-3,$TP$4:$TP$40,0)))</f>
      </c>
      <c r="TR6" t="str">
        <f>IF(COUNTIF('Final Calculation Sheet'!$AL6:$BE6,0)+COUNTIF('Final Calculation Sheet'!$BG6:$BS6,0)&gt;0,0,1)</f>
      </c>
      <c r="TS6" t="str">
        <f>IF($DK$6="",FALSE,SUMPRODUCT(('Final Calculation Sheet'!$U$4:$U$40=$DK$6)*($TR$4:$TR$40=1))&gt;0)</f>
      </c>
      <c r="TT6" t="str">
        <f>=$TT5+--($TS6)</f>
      </c>
      <c r="TU6" t="str">
        <f>IF(ROW()-3&gt;MAX($TT$4:$TT$40),"",INDEX($DK$4:$DK$40,MATCH(ROW()-3,$TT$4:$TT$40,0)))</f>
      </c>
      <c r="TV6" t="str">
        <f>IF(COUNTIF('Final Calculation Sheet'!$AL6:$BF6,0)+COUNTIF('Final Calculation Sheet'!$BH6:$BS6,0)&gt;0,0,1)</f>
      </c>
      <c r="TW6" t="str">
        <f>IF($DP$6="",FALSE,SUMPRODUCT(('Final Calculation Sheet'!$V$4:$V$40=$DP$6)*($TV$4:$TV$40=1))&gt;0)</f>
      </c>
      <c r="TX6" t="str">
        <f>=$TX5+--($TW6)</f>
      </c>
      <c r="TY6" t="str">
        <f>IF(ROW()-3&gt;MAX($TX$4:$TX$40),"",INDEX($DP$4:$DP$40,MATCH(ROW()-3,$TX$4:$TX$40,0)))</f>
      </c>
      <c r="TZ6" t="str">
        <f>IF(COUNTIF('Final Calculation Sheet'!$AL6:$BG6,0)+COUNTIF('Final Calculation Sheet'!$BI6:$BS6,0)&gt;0,0,1)</f>
      </c>
      <c r="UA6" t="str">
        <f>IF($DU$6="",FALSE,SUMPRODUCT(('Final Calculation Sheet'!$W$4:$W$40=$DU$6)*($TZ$4:$TZ$40=1))&gt;0)</f>
      </c>
      <c r="UB6" t="str">
        <f>=$UB5+--($UA6)</f>
      </c>
      <c r="UC6" t="str">
        <f>IF(ROW()-3&gt;MAX($UB$4:$UB$40),"",INDEX($DU$4:$DU$40,MATCH(ROW()-3,$UB$4:$UB$40,0)))</f>
      </c>
      <c r="UD6" t="str">
        <f>IF(COUNTIF('Final Calculation Sheet'!$AL6:$BH6,0)+COUNTIF('Final Calculation Sheet'!$BJ6:$BS6,0)&gt;0,0,1)</f>
      </c>
      <c r="UE6" t="str">
        <f>IF($DZ$6="",FALSE,SUMPRODUCT(('Final Calculation Sheet'!$X$4:$X$40=$DZ$6)*($UD$4:$UD$40=1))&gt;0)</f>
      </c>
      <c r="UF6" t="str">
        <f>=$UF5+--($UE6)</f>
      </c>
      <c r="UG6" t="str">
        <f>IF(ROW()-3&gt;MAX($UF$4:$UF$40),"",INDEX($DZ$4:$DZ$40,MATCH(ROW()-3,$UF$4:$UF$40,0)))</f>
      </c>
      <c r="UH6" t="str">
        <f>IF(COUNTIF('Final Calculation Sheet'!$AL6:$BI6,0)+COUNTIF('Final Calculation Sheet'!$BK6:$BS6,0)&gt;0,0,1)</f>
      </c>
      <c r="UI6" t="str">
        <f>IF($EE$6="",FALSE,SUMPRODUCT(('Final Calculation Sheet'!$Y$4:$Y$40=$EE$6)*($UH$4:$UH$40=1))&gt;0)</f>
      </c>
      <c r="UJ6" t="str">
        <f>=$UJ5+--($UI6)</f>
      </c>
      <c r="UK6" t="str">
        <f>IF(ROW()-3&gt;MAX($UJ$4:$UJ$40),"",INDEX($EE$4:$EE$40,MATCH(ROW()-3,$UJ$4:$UJ$40,0)))</f>
      </c>
      <c r="UL6" t="str">
        <f>IF(COUNTIF('Final Calculation Sheet'!$AL6:$BJ6,0)+COUNTIF('Final Calculation Sheet'!$BL6:$BS6,0)&gt;0,0,1)</f>
      </c>
      <c r="UM6" t="str">
        <f>IF($EJ$6="",FALSE,SUMPRODUCT(('Final Calculation Sheet'!$Z$4:$Z$40=$EJ$6)*($UL$4:$UL$40=1))&gt;0)</f>
      </c>
      <c r="UN6" t="str">
        <f>=$UN5+--($UM6)</f>
      </c>
      <c r="UO6" t="str">
        <f>IF(ROW()-3&gt;MAX($UN$4:$UN$40),"",INDEX($EJ$4:$EJ$40,MATCH(ROW()-3,$UN$4:$UN$40,0)))</f>
      </c>
      <c r="UP6" t="str">
        <f>IF(COUNTIF('Final Calculation Sheet'!$AL6:$BK6,0)+COUNTIF('Final Calculation Sheet'!$BM6:$BS6,0)&gt;0,0,1)</f>
      </c>
      <c r="UQ6" t="str">
        <f>IF($EO$6="",FALSE,SUMPRODUCT(('Final Calculation Sheet'!$AA$4:$AA$40=$EO$6)*($UP$4:$UP$40=1))&gt;0)</f>
      </c>
      <c r="UR6" t="str">
        <f>=$UR5+--($UQ6)</f>
      </c>
      <c r="US6" t="str">
        <f>IF(ROW()-3&gt;MAX($UR$4:$UR$40),"",INDEX($EO$4:$EO$40,MATCH(ROW()-3,$UR$4:$UR$40,0)))</f>
      </c>
      <c r="UT6" t="str">
        <f>IF(COUNTIF('Final Calculation Sheet'!$AL6:$BL6,0)+COUNTIF('Final Calculation Sheet'!$BN6:$BS6,0)&gt;0,0,1)</f>
      </c>
      <c r="UU6" t="str">
        <f>IF($ET$6="",FALSE,SUMPRODUCT(('Final Calculation Sheet'!$AB$4:$AB$40=$ET$6)*($UT$4:$UT$40=1))&gt;0)</f>
      </c>
      <c r="UV6" t="str">
        <f>=$UV5+--($UU6)</f>
      </c>
      <c r="UW6" t="str">
        <f>IF(ROW()-3&gt;MAX($UV$4:$UV$40),"",INDEX($ET$4:$ET$40,MATCH(ROW()-3,$UV$4:$UV$40,0)))</f>
      </c>
      <c r="UX6" t="str">
        <f>IF(COUNTIF('Final Calculation Sheet'!$AL6:$BM6,0)+COUNTIF('Final Calculation Sheet'!$BO6:$BS6,0)&gt;0,0,1)</f>
      </c>
      <c r="UY6" t="str">
        <f>IF($EY$6="",FALSE,SUMPRODUCT(('Final Calculation Sheet'!$AC$4:$AC$40=$EY$6)*($UX$4:$UX$40=1))&gt;0)</f>
      </c>
      <c r="UZ6" t="str">
        <f>=$UZ5+--($UY6)</f>
      </c>
      <c r="VA6" t="str">
        <f>IF(ROW()-3&gt;MAX($UZ$4:$UZ$40),"",INDEX($EY$4:$EY$40,MATCH(ROW()-3,$UZ$4:$UZ$40,0)))</f>
      </c>
      <c r="VB6" t="str">
        <f>IF(COUNTIF('Final Calculation Sheet'!$AL6:$BN6,0)+COUNTIF('Final Calculation Sheet'!$BP6:$BS6,0)&gt;0,0,1)</f>
      </c>
      <c r="VC6" t="str">
        <f>IF($FD$6="",FALSE,SUMPRODUCT(('Final Calculation Sheet'!$AD$4:$AD$40=$FD$6)*($VB$4:$VB$40=1))&gt;0)</f>
      </c>
      <c r="VD6" t="str">
        <f>=$VD5+--($VC6)</f>
      </c>
      <c r="VE6" t="str">
        <f>IF(ROW()-3&gt;MAX($VD$4:$VD$40),"",INDEX($FD$4:$FD$40,MATCH(ROW()-3,$VD$4:$VD$40,0)))</f>
      </c>
      <c r="VF6" t="str">
        <f>IF(COUNTIF('Final Calculation Sheet'!$AL6:$BO6,0)+COUNTIF('Final Calculation Sheet'!$BQ6:$BS6,0)&gt;0,0,1)</f>
      </c>
      <c r="VG6" t="str">
        <f>IF($FI$6="",FALSE,SUMPRODUCT(('Final Calculation Sheet'!$AE$4:$AE$40=$FI$6)*($VF$4:$VF$40=1))&gt;0)</f>
      </c>
      <c r="VH6" t="str">
        <f>=$VH5+--($VG6)</f>
      </c>
      <c r="VI6" t="str">
        <f>IF(ROW()-3&gt;MAX($VH$4:$VH$40),"",INDEX($FI$4:$FI$40,MATCH(ROW()-3,$VH$4:$VH$40,0)))</f>
      </c>
      <c r="VJ6" t="str">
        <f>IF(COUNTIF('Final Calculation Sheet'!$AL6:$BP6,0)+COUNTIF('Final Calculation Sheet'!$BR6:$BS6,0)&gt;0,0,1)</f>
      </c>
      <c r="VK6" t="str">
        <f>IF($FN$6="",FALSE,SUMPRODUCT(('Final Calculation Sheet'!$AF$4:$AF$40=$FN$6)*($VJ$4:$VJ$40=1))&gt;0)</f>
      </c>
      <c r="VL6" t="str">
        <f>=$VL5+--($VK6)</f>
      </c>
      <c r="VM6" t="str">
        <f>IF(ROW()-3&gt;MAX($VL$4:$VL$40),"",INDEX($FN$4:$FN$40,MATCH(ROW()-3,$VL$4:$VL$40,0)))</f>
      </c>
      <c r="VN6" t="str">
        <f>IF(COUNTIF('Final Calculation Sheet'!$AL6:$BQ6,0)+COUNTIF('Final Calculation Sheet'!$BS6:$BS6,0)&gt;0,0,1)</f>
      </c>
      <c r="VO6" t="str">
        <f>IF($FS$6="",FALSE,SUMPRODUCT(('Final Calculation Sheet'!$AG$4:$AG$40=$FS$6)*($VN$4:$VN$40=1))&gt;0)</f>
      </c>
      <c r="VP6" t="str">
        <f>=$VP5+--($VO6)</f>
      </c>
      <c r="VQ6" t="str">
        <f>IF(ROW()-3&gt;MAX($VP$4:$VP$40),"",INDEX($FS$4:$FS$40,MATCH(ROW()-3,$VP$4:$VP$40,0)))</f>
      </c>
      <c r="VR6" t="str">
        <f>IF(COUNTIF('Final Calculation Sheet'!$AL6:$BR6,0)&gt;0,0,1)</f>
      </c>
      <c r="VS6" t="str">
        <f>IF($QO$6="",FALSE,SUMPRODUCT(('Final Calculation Sheet'!$AH$4:$AH$40=$QO$6)*($VR$4:$VR$40=1))&gt;0)</f>
      </c>
      <c r="VT6" t="str">
        <f>=$VT5+--($VS6)</f>
      </c>
      <c r="VU6" t="str">
        <f>IF(ROW()-3&gt;MAX($VT$4:$VT$40),"",INDEX($QO$4:$QO$40,MATCH(ROW()-3,$VT$4:$VT$40,0)))</f>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IF(ROW()-3&gt;MAX($LC$4:$LC$40),"",INDEX($FS$4:$FS$40,MATCH(ROW()-3,$LC$4:$LC$40,0)))</f>
        <v/>
      </c>
      <c r="LE7">
        <f>IF(COUNTIF('Buyer Groups'!DH7:EN7,0)&gt;0,0,1)</f>
        <v/>
      </c>
      <c r="LF7">
        <f>IF($O$7="",FALSE,SUMPRODUCT(('Final Calculation Sheet'!$F$4:$F$40=$O$7)*($LE$6:$LE$42=1))&gt;0)</f>
        <v/>
      </c>
      <c r="LG7">
        <f>$LG$6+--($LF7)</f>
        <v/>
      </c>
      <c r="LH7">
        <f>IF(ROW()-3&gt;MAX($LG$4:$LG$40),"",INDEX($O$4:$O$40,MATCH(ROW()-3,$LG$4:$LG$40,0)))</f>
        <v/>
      </c>
      <c r="LI7">
        <f>IF(COUNTIF('Buyer Groups'!DG7:DG7,0)+COUNTIF('Buyer Groups'!DI7:EN7,0)&gt;0,0,1)</f>
        <v/>
      </c>
      <c r="LJ7">
        <f>IF($T$7="",FALSE,SUMPRODUCT(('Final Calculation Sheet'!$G$4:$G$40=$T$7)*($LI$6:$LI$42=1))&gt;0)</f>
        <v/>
      </c>
      <c r="LK7">
        <f>$LK$6+--($LJ7)</f>
        <v/>
      </c>
      <c r="LL7">
        <f>IF(ROW()-3&gt;MAX($LK$4:$LK$40),"",INDEX($T$4:$T$40,MATCH(ROW()-3,$LK$4:$LK$40,0)))</f>
        <v/>
      </c>
      <c r="LM7">
        <f>IF(COUNTIF('Buyer Groups'!DG7:DH7,0)+COUNTIF('Buyer Groups'!DJ7:EN7,0)&gt;0,0,1)</f>
        <v/>
      </c>
      <c r="LN7">
        <f>IF($Y$7="",FALSE,SUMPRODUCT(('Final Calculation Sheet'!$B$4:$B$40=$Y$7)*($LM$6:$LM$42=1))&gt;0)</f>
        <v/>
      </c>
      <c r="LO7">
        <f>$LO$6+--($LN7)</f>
        <v/>
      </c>
      <c r="LP7">
        <f>IF(ROW()-3&gt;MAX($LO$4:$LO$40),"",INDEX($Y$4:$Y$40,MATCH(ROW()-3,$LO$4:$LO$40,0)))</f>
        <v/>
      </c>
      <c r="LQ7">
        <f>IF(COUNTIF('Buyer Groups'!DG7:DI7,0)+COUNTIF('Buyer Groups'!DK7:EN7,0)&gt;0,0,1)</f>
        <v/>
      </c>
      <c r="LR7">
        <f>IF($AD$7="",FALSE,SUMPRODUCT(('Final Calculation Sheet'!$D$4:$D$40=$AD$7)*($LQ$6:$LQ$42=1))&gt;0)</f>
        <v/>
      </c>
      <c r="LS7">
        <f>$LS$6+--($LR7)</f>
        <v/>
      </c>
      <c r="LT7">
        <f>IF(ROW()-3&gt;MAX($LS$4:$LS$40),"",INDEX($AD$4:$AD$40,MATCH(ROW()-3,$LS$4:$LS$40,0)))</f>
        <v/>
      </c>
      <c r="LU7">
        <f>IF(COUNTIF('Buyer Groups'!DG7:DJ7,0)+COUNTIF('Buyer Groups'!DL7:EN7,0)&gt;0,0,1)</f>
        <v/>
      </c>
      <c r="LV7">
        <f>IF($AI$7="",FALSE,SUMPRODUCT(('Final Calculation Sheet'!$A$4:$A$40=$AI$7)*($LU$6:$LU$42=1))&gt;0)</f>
        <v/>
      </c>
      <c r="LW7">
        <f>$LW$6+--($LV7)</f>
        <v/>
      </c>
      <c r="LX7">
        <f>IF(ROW()-3&gt;MAX($LW$4:$LW$40),"",INDEX($AI$4:$AI$40,MATCH(ROW()-3,$LW$4:$LW$40,0)))</f>
        <v/>
      </c>
      <c r="LY7">
        <f>IF(COUNTIF('Buyer Groups'!DG7:DK7,0)+COUNTIF('Buyer Groups'!DM7:EN7,0)&gt;0,0,1)</f>
        <v/>
      </c>
      <c r="LZ7">
        <f>IF($AN$7="",FALSE,SUMPRODUCT(('Final Calculation Sheet'!$E$4:$E$40=$AN$7)*($LY$6:$LY$42=1))&gt;0)</f>
        <v/>
      </c>
      <c r="MA7">
        <f>$MA$6+--($LZ7)</f>
        <v/>
      </c>
      <c r="MB7">
        <f>IF(ROW()-3&gt;MAX($MA$4:$MA$40),"",INDEX($AN$4:$AN$40,MATCH(ROW()-3,$MA$4:$MA$40,0)))</f>
        <v/>
      </c>
      <c r="MC7">
        <f>IF(COUNTIF('Buyer Groups'!DG7:DL7,0)+COUNTIF('Buyer Groups'!DN7:EN7,0)&gt;0,0,1)</f>
        <v/>
      </c>
      <c r="MD7">
        <f>IF($AS$7="",FALSE,SUMPRODUCT(('Final Calculation Sheet'!$C$4:$C$40=$AS$7)*($MC$6:$MC$42=1))&gt;0)</f>
        <v/>
      </c>
      <c r="ME7">
        <f>$ME$6+--($MD7)</f>
        <v/>
      </c>
      <c r="MF7">
        <f>IF(ROW()-3&gt;MAX($ME$4:$ME$40),"",INDEX($AS$4:$AS$40,MATCH(ROW()-3,$ME$4:$ME$40,0)))</f>
        <v/>
      </c>
      <c r="MG7">
        <f>IF(COUNTIF('Buyer Groups'!DG7:DM7,0)+COUNTIF('Buyer Groups'!DO7:EN7,0)&gt;0,0,1)</f>
        <v/>
      </c>
      <c r="MH7">
        <f>IF($AX$7="",FALSE,SUMPRODUCT(('Final Calculation Sheet'!$H$4:$H$40=$AX$7)*($MG$6:$MG$42=1))&gt;0)</f>
        <v/>
      </c>
      <c r="MI7">
        <f>$MI$6+--($MH7)</f>
        <v/>
      </c>
      <c r="MJ7">
        <f>IF(ROW()-3&gt;MAX($MI$4:$MI$40),"",INDEX($AX$4:$AX$40,MATCH(ROW()-3,$MI$4:$MI$40,0)))</f>
        <v/>
      </c>
      <c r="MK7">
        <f>IF(COUNTIF('Buyer Groups'!DG7:DN7,0)+COUNTIF('Buyer Groups'!DP7:EN7,0)&gt;0,0,1)</f>
        <v/>
      </c>
      <c r="ML7">
        <f>IF($BC$7="",FALSE,SUMPRODUCT(('Final Calculation Sheet'!$I$4:$I$40=$BC$7)*($MK$6:$MK$42=1))&gt;0)</f>
        <v/>
      </c>
      <c r="MM7">
        <f>$MM$6+--($ML7)</f>
        <v/>
      </c>
      <c r="MN7">
        <f>IF(ROW()-3&gt;MAX($MM$4:$MM$40),"",INDEX($BC$4:$BC$40,MATCH(ROW()-3,$MM$4:$MM$40,0)))</f>
        <v/>
      </c>
      <c r="MO7">
        <f>IF(COUNTIF('Buyer Groups'!DG7:DO7,0)+COUNTIF('Buyer Groups'!DQ7:EN7,0)&gt;0,0,1)</f>
        <v/>
      </c>
      <c r="MP7">
        <f>IF($BH$7="",FALSE,SUMPRODUCT(('Final Calculation Sheet'!$J$4:$J$40=$BH$7)*($MO$6:$MO$42=1))&gt;0)</f>
        <v/>
      </c>
      <c r="MQ7">
        <f>$MQ$6+--($MP7)</f>
        <v/>
      </c>
      <c r="MR7">
        <f>IF(ROW()-3&gt;MAX($MQ$4:$MQ$40),"",INDEX($BH$4:$BH$40,MATCH(ROW()-3,$MQ$4:$MQ$40,0)))</f>
        <v/>
      </c>
      <c r="MS7">
        <f>IF(COUNTIF('Buyer Groups'!DG7:DP7,0)+COUNTIF('Buyer Groups'!DR7:EN7,0)&gt;0,0,1)</f>
        <v/>
      </c>
      <c r="MT7">
        <f>IF($BM$7="",FALSE,SUMPRODUCT(('Final Calculation Sheet'!$K$4:$K$40=$BM$7)*($MS$6:$MS$42=1))&gt;0)</f>
        <v/>
      </c>
      <c r="MU7">
        <f>$MU$6+--($MT7)</f>
        <v/>
      </c>
      <c r="MV7">
        <f>IF(ROW()-3&gt;MAX($MU$4:$MU$40),"",INDEX($BM$4:$BM$40,MATCH(ROW()-3,$MU$4:$MU$40,0)))</f>
        <v/>
      </c>
      <c r="MW7">
        <f>IF(COUNTIF('Buyer Groups'!DG7:DQ7,0)+COUNTIF('Buyer Groups'!DS7:EN7,0)&gt;0,0,1)</f>
        <v/>
      </c>
      <c r="MX7">
        <f>IF($BR$7="",FALSE,SUMPRODUCT(('Final Calculation Sheet'!$L$4:$L$40=$BR$7)*($MW$6:$MW$42=1))&gt;0)</f>
        <v/>
      </c>
      <c r="MY7">
        <f>$MY$6+--($MX7)</f>
        <v/>
      </c>
      <c r="MZ7">
        <f>IF(ROW()-3&gt;MAX($MY$4:$MY$40),"",INDEX($BR$4:$BR$40,MATCH(ROW()-3,$MY$4:$MY$40,0)))</f>
        <v/>
      </c>
      <c r="NA7">
        <f>IF(COUNTIF('Buyer Groups'!DG7:DR7,0)+COUNTIF('Buyer Groups'!DT7:EN7,0)&gt;0,0,1)</f>
        <v/>
      </c>
      <c r="NB7">
        <f>IF($BW$7="",FALSE,SUMPRODUCT(('Final Calculation Sheet'!$M$4:$M$40=$BW$7)*($NA$6:$NA$42=1))&gt;0)</f>
        <v/>
      </c>
      <c r="NC7">
        <f>$NC$6+--($NB7)</f>
        <v/>
      </c>
      <c r="ND7">
        <f>IF(ROW()-3&gt;MAX($NC$4:$NC$40),"",INDEX($BW$4:$BW$40,MATCH(ROW()-3,$NC$4:$NC$40,0)))</f>
        <v/>
      </c>
      <c r="NE7">
        <f>IF(COUNTIF('Buyer Groups'!DG7:DS7,0)+COUNTIF('Buyer Groups'!DU7:EN7,0)&gt;0,0,1)</f>
        <v/>
      </c>
      <c r="NF7">
        <f>IF($CB$7="",FALSE,SUMPRODUCT(('Final Calculation Sheet'!$N$4:$N$40=$CB$7)*($NE$6:$NE$42=1))&gt;0)</f>
        <v/>
      </c>
      <c r="NG7">
        <f>$NG$6+--($NF7)</f>
        <v/>
      </c>
      <c r="NH7">
        <f>IF(ROW()-3&gt;MAX($NG$4:$NG$40),"",INDEX($CB$4:$CB$40,MATCH(ROW()-3,$NG$4:$NG$40,0)))</f>
        <v/>
      </c>
      <c r="NI7">
        <f>IF(COUNTIF('Buyer Groups'!DG7:DT7,0)+COUNTIF('Buyer Groups'!DV7:EN7,0)&gt;0,0,1)</f>
        <v/>
      </c>
      <c r="NJ7">
        <f>IF($CG$7="",FALSE,SUMPRODUCT(('Final Calculation Sheet'!$O$4:$O$40=$CG$7)*($NI$6:$NI$42=1))&gt;0)</f>
        <v/>
      </c>
      <c r="NK7">
        <f>$NK$6+--($NJ7)</f>
        <v/>
      </c>
      <c r="NL7">
        <f>IF(ROW()-3&gt;MAX($NK$4:$NK$40),"",INDEX($CG$4:$CG$40,MATCH(ROW()-3,$NK$4:$NK$40,0)))</f>
        <v/>
      </c>
      <c r="NM7">
        <f>IF(COUNTIF('Buyer Groups'!DG7:DU7,0)+COUNTIF('Buyer Groups'!DW7:EN7,0)&gt;0,0,1)</f>
        <v/>
      </c>
      <c r="NN7">
        <f>IF($CL$7="",FALSE,SUMPRODUCT(('Final Calculation Sheet'!$P$4:$P$40=$CL$7)*($NM$6:$NM$42=1))&gt;0)</f>
        <v/>
      </c>
      <c r="NO7">
        <f>$NO$6+--($NN7)</f>
        <v/>
      </c>
      <c r="NP7">
        <f>IF(ROW()-3&gt;MAX($NO$4:$NO$40),"",INDEX($CL$4:$CL$40,MATCH(ROW()-3,$NO$4:$NO$40,0)))</f>
        <v/>
      </c>
      <c r="NQ7">
        <f>IF(COUNTIF('Buyer Groups'!DG7:DV7,0)+COUNTIF('Buyer Groups'!DX7:EN7,0)&gt;0,0,1)</f>
        <v/>
      </c>
      <c r="NR7">
        <f>IF($CQ$7="",FALSE,SUMPRODUCT(('Final Calculation Sheet'!$Q$4:$Q$40=$CQ$7)*($NQ$6:$NQ$42=1))&gt;0)</f>
        <v/>
      </c>
      <c r="NS7">
        <f>$NS$6+--($NR7)</f>
        <v/>
      </c>
      <c r="NT7">
        <f>IF(ROW()-3&gt;MAX($NS$4:$NS$40),"",INDEX($CQ$4:$CQ$40,MATCH(ROW()-3,$NS$4:$NS$40,0)))</f>
        <v/>
      </c>
      <c r="NU7">
        <f>IF(COUNTIF('Buyer Groups'!DG7:DW7,0)+COUNTIF('Buyer Groups'!DY7:EN7,0)&gt;0,0,1)</f>
        <v/>
      </c>
      <c r="NV7">
        <f>IF($CV$7="",FALSE,SUMPRODUCT(('Final Calculation Sheet'!$R$4:$R$40=$CV$7)*($NU$6:$NU$42=1))&gt;0)</f>
        <v/>
      </c>
      <c r="NW7">
        <f>$NW$6+--($NV7)</f>
        <v/>
      </c>
      <c r="NX7">
        <f>IF(ROW()-3&gt;MAX($NW$4:$NW$40),"",INDEX($CV$4:$CV$40,MATCH(ROW()-3,$NW$4:$NW$40,0)))</f>
        <v/>
      </c>
      <c r="NY7">
        <f>IF(COUNTIF('Buyer Groups'!DG7:DX7,0)+COUNTIF('Buyer Groups'!DZ7:EN7,0)&gt;0,0,1)</f>
        <v/>
      </c>
      <c r="NZ7">
        <f>IF($DA$7="",FALSE,SUMPRODUCT(('Final Calculation Sheet'!$S$4:$S$40=$DA$7)*($NY$6:$NY$42=1))&gt;0)</f>
        <v/>
      </c>
      <c r="OA7">
        <f>$OA$6+--($NZ7)</f>
        <v/>
      </c>
      <c r="OB7">
        <f>IF(ROW()-3&gt;MAX($OA$4:$OA$40),"",INDEX($DA$4:$DA$40,MATCH(ROW()-3,$OA$4:$OA$40,0)))</f>
        <v/>
      </c>
      <c r="OC7">
        <f>IF(COUNTIF('Buyer Groups'!DG7:DY7,0)+COUNTIF('Buyer Groups'!EA7:EN7,0)&gt;0,0,1)</f>
        <v/>
      </c>
      <c r="OD7">
        <f>IF($DF$7="",FALSE,SUMPRODUCT(('Final Calculation Sheet'!$T$4:$T$40=$DF$7)*($OC$6:$OC$42=1))&gt;0)</f>
        <v/>
      </c>
      <c r="OE7">
        <f>$OE$6+--($OD7)</f>
        <v/>
      </c>
      <c r="OF7">
        <f>IF(ROW()-3&gt;MAX($OE$4:$OE$40),"",INDEX($DF$4:$DF$40,MATCH(ROW()-3,$OE$4:$OE$40,0)))</f>
        <v/>
      </c>
      <c r="OG7">
        <f>IF(COUNTIF('Buyer Groups'!DG7:DZ7,0)+COUNTIF('Buyer Groups'!EB7:EN7,0)&gt;0,0,1)</f>
        <v/>
      </c>
      <c r="OH7">
        <f>IF($DK$7="",FALSE,SUMPRODUCT(('Final Calculation Sheet'!$U$4:$U$40=$DK$7)*($OG$6:$OG$42=1))&gt;0)</f>
        <v/>
      </c>
      <c r="OI7">
        <f>$OI$6+--($OH7)</f>
        <v/>
      </c>
      <c r="OJ7">
        <f>IF(ROW()-3&gt;MAX($OI$4:$OI$40),"",INDEX($DK$4:$DK$40,MATCH(ROW()-3,$OI$4:$OI$40,0)))</f>
        <v/>
      </c>
      <c r="OK7">
        <f>IF(COUNTIF('Buyer Groups'!DG7:EA7,0)+COUNTIF('Buyer Groups'!EC7:EN7,0)&gt;0,0,1)</f>
        <v/>
      </c>
      <c r="OL7">
        <f>IF($DP$7="",FALSE,SUMPRODUCT(('Final Calculation Sheet'!$V$4:$V$40=$DP$7)*($OK$6:$OK$42=1))&gt;0)</f>
        <v/>
      </c>
      <c r="OM7">
        <f>$OM$6+--($OL7)</f>
        <v/>
      </c>
      <c r="ON7">
        <f>IF(ROW()-3&gt;MAX($OM$4:$OM$40),"",INDEX($DP$4:$DP$40,MATCH(ROW()-3,$OM$4:$OM$40,0)))</f>
        <v/>
      </c>
      <c r="OO7">
        <f>IF(COUNTIF('Buyer Groups'!DG7:EB7,0)+COUNTIF('Buyer Groups'!ED7:EN7,0)&gt;0,0,1)</f>
        <v/>
      </c>
      <c r="OP7">
        <f>IF($DU$7="",FALSE,SUMPRODUCT(('Final Calculation Sheet'!$W$4:$W$40=$DU$7)*($OO$6:$OO$42=1))&gt;0)</f>
        <v/>
      </c>
      <c r="OQ7">
        <f>$OQ$6+--($OP7)</f>
        <v/>
      </c>
      <c r="OR7">
        <f>IF(ROW()-3&gt;MAX($OQ$4:$OQ$40),"",INDEX($DU$4:$DU$40,MATCH(ROW()-3,$OQ$4:$OQ$40,0)))</f>
        <v/>
      </c>
      <c r="OS7">
        <f>IF(COUNTIF('Buyer Groups'!DG7:EC7,0)+COUNTIF('Buyer Groups'!EE7:EN7,0)&gt;0,0,1)</f>
        <v/>
      </c>
      <c r="OT7">
        <f>IF($DZ$7="",FALSE,SUMPRODUCT(('Final Calculation Sheet'!$X$4:$X$40=$DZ$7)*($OS$6:$OS$42=1))&gt;0)</f>
        <v/>
      </c>
      <c r="OU7">
        <f>$OU$6+--($OT7)</f>
        <v/>
      </c>
      <c r="OV7">
        <f>IF(ROW()-3&gt;MAX($OU$4:$OU$40),"",INDEX($DZ$4:$DZ$40,MATCH(ROW()-3,$OU$4:$OU$40,0)))</f>
        <v/>
      </c>
      <c r="OW7">
        <f>IF(COUNTIF('Buyer Groups'!DG7:ED7,0)+COUNTIF('Buyer Groups'!EF7:EN7,0)&gt;0,0,1)</f>
        <v/>
      </c>
      <c r="OX7">
        <f>IF($EE$7="",FALSE,SUMPRODUCT(('Final Calculation Sheet'!$Y$4:$Y$40=$EE$7)*($OW$6:$OW$42=1))&gt;0)</f>
        <v/>
      </c>
      <c r="OY7">
        <f>$OY$6+--($OX7)</f>
        <v/>
      </c>
      <c r="OZ7">
        <f>IF(ROW()-3&gt;MAX($OY$4:$OY$40),"",INDEX($EE$4:$EE$40,MATCH(ROW()-3,$OY$4:$OY$40,0)))</f>
        <v/>
      </c>
      <c r="PA7">
        <f>IF(COUNTIF('Buyer Groups'!DG7:EE7,0)+COUNTIF('Buyer Groups'!EG7:EN7,0)&gt;0,0,1)</f>
        <v/>
      </c>
      <c r="PB7">
        <f>IF($EJ$7="",FALSE,SUMPRODUCT(('Final Calculation Sheet'!$Z$4:$Z$40=$EJ$7)*($PA$6:$PA$42=1))&gt;0)</f>
        <v/>
      </c>
      <c r="PC7">
        <f>$PC$6+--($PB7)</f>
        <v/>
      </c>
      <c r="PD7">
        <f>IF(ROW()-3&gt;MAX($PC$4:$PC$40),"",INDEX($EJ$4:$EJ$40,MATCH(ROW()-3,$PC$4:$PC$40,0)))</f>
        <v/>
      </c>
      <c r="PE7">
        <f>IF(COUNTIF('Buyer Groups'!DG7:EF7,0)+COUNTIF('Buyer Groups'!EH7:EN7,0)&gt;0,0,1)</f>
        <v/>
      </c>
      <c r="PF7">
        <f>IF($EO$7="",FALSE,SUMPRODUCT(('Final Calculation Sheet'!$AA$4:$AA$40=$EO$7)*($PE$6:$PE$42=1))&gt;0)</f>
        <v/>
      </c>
      <c r="PG7">
        <f>$PG$6+--($PF7)</f>
        <v/>
      </c>
      <c r="PH7">
        <f>IF(ROW()-3&gt;MAX($PG$4:$PG$40),"",INDEX($EO$4:$EO$40,MATCH(ROW()-3,$PG$4:$PG$40,0)))</f>
        <v/>
      </c>
      <c r="PI7">
        <f>IF(COUNTIF('Buyer Groups'!DG7:EG7,0)+COUNTIF('Buyer Groups'!EI7:EN7,0)&gt;0,0,1)</f>
        <v/>
      </c>
      <c r="PJ7">
        <f>IF($ET$7="",FALSE,SUMPRODUCT(('Final Calculation Sheet'!$AB$4:$AB$40=$ET$7)*($PI$6:$PI$42=1))&gt;0)</f>
        <v/>
      </c>
      <c r="PK7">
        <f>$PK$6+--($PJ7)</f>
        <v/>
      </c>
      <c r="PL7">
        <f>IF(ROW()-3&gt;MAX($PK$4:$PK$40),"",INDEX($ET$4:$ET$40,MATCH(ROW()-3,$PK$4:$PK$40,0)))</f>
        <v/>
      </c>
      <c r="PM7">
        <f>IF(COUNTIF('Buyer Groups'!DG7:EH7,0)+COUNTIF('Buyer Groups'!EJ7:EN7,0)&gt;0,0,1)</f>
        <v/>
      </c>
      <c r="PN7">
        <f>IF($EY$7="",FALSE,SUMPRODUCT(('Final Calculation Sheet'!$AC$4:$AC$40=$EY$7)*($PM$6:$PM$42=1))&gt;0)</f>
        <v/>
      </c>
      <c r="PO7">
        <f>$PO$6+--($PN7)</f>
        <v/>
      </c>
      <c r="PP7">
        <f>IF(ROW()-3&gt;MAX($PO$4:$PO$40),"",INDEX($EY$4:$EY$40,MATCH(ROW()-3,$PO$4:$PO$40,0)))</f>
        <v/>
      </c>
      <c r="PQ7">
        <f>IF(COUNTIF('Buyer Groups'!DG7:EI7,0)+COUNTIF('Buyer Groups'!EK7:EN7,0)&gt;0,0,1)</f>
        <v/>
      </c>
      <c r="PR7">
        <f>IF($FD$7="",FALSE,SUMPRODUCT(('Final Calculation Sheet'!$AD$4:$AD$40=$FD$7)*($PQ$6:$PQ$42=1))&gt;0)</f>
        <v/>
      </c>
      <c r="PS7">
        <f>$PS$6+--($PR7)</f>
        <v/>
      </c>
      <c r="PT7">
        <f>IF(ROW()-3&gt;MAX($PS$4:$PS$40),"",INDEX($FD$4:$FD$40,MATCH(ROW()-3,$PS$4:$PS$40,0)))</f>
        <v/>
      </c>
      <c r="PU7">
        <f>IF(COUNTIF('Buyer Groups'!DG7:EJ7,0)+COUNTIF('Buyer Groups'!EL7:EN7,0)&gt;0,0,1)</f>
        <v/>
      </c>
      <c r="PV7">
        <f>IF($FX$7="",FALSE,SUMPRODUCT((IF('Final Calculation Sheet'!$AD$4:$AD$40&lt;=5,"SETTLED","OUTSTANDING")=$FX$7)*($PU$6:$PU$42=1))&gt;0)</f>
        <v/>
      </c>
      <c r="PW7">
        <f>$PW$6+--($PV7)</f>
        <v/>
      </c>
      <c r="PX7">
        <f>IF(ROW()-3&gt;MAX($PW$4:$PW$40),"",INDEX($FX$4:$FX$40,MATCH(ROW()-3,$PW$4:$PW$40,0)))</f>
        <v/>
      </c>
      <c r="PY7">
        <f>IF(COUNTIF('Buyer Groups'!DG7:EK7,0)+COUNTIF('Buyer Groups'!EM7:EN7,0)&gt;0,0,1)</f>
        <v/>
      </c>
      <c r="PZ7">
        <f>IF($FI$7="",FALSE,SUMPRODUCT(('Final Calculation Sheet'!$AF$4:$AF$40=$FI$7)*($PY$6:$PY$42=1))&gt;0)</f>
        <v/>
      </c>
      <c r="QA7">
        <f>$QA$6+--($PZ7)</f>
        <v/>
      </c>
      <c r="QB7">
        <f>IF(ROW()-3&gt;MAX($QA$4:$QA$40),"",INDEX($FI$4:$FI$40,MATCH(ROW()-3,$QA$4:$QA$40,0)))</f>
        <v/>
      </c>
      <c r="QC7">
        <f>IF(COUNTIF('Buyer Groups'!DG7:EL7,0)+COUNTIF('Buyer Groups'!EN7:EN7,0)&gt;0,0,1)</f>
        <v/>
      </c>
      <c r="QD7">
        <f>IF($FN$7="",FALSE,SUMPRODUCT(('Final Calculation Sheet'!$AG$4:$AG$40=$FN$7)*($QC$6:$QC$42=1))&gt;0)</f>
        <v/>
      </c>
      <c r="QE7">
        <f>$QE$6+--($QD7)</f>
        <v/>
      </c>
      <c r="QF7">
        <f>IF(ROW()-3&gt;MAX($QE$4:$QE$40),"",INDEX($FN$4:$FN$40,MATCH(ROW()-3,$QE$4:$QE$40,0)))</f>
        <v/>
      </c>
      <c r="QG7">
        <f>IF(COUNTIF('Buyer Groups'!DG7:EM7,0)&gt;0,0,1)</f>
        <v/>
      </c>
      <c r="QH7">
        <f>IF($FS$7="",FALSE,SUMPRODUCT(('Final Calculation Sheet'!$AH$4:$AH$40=$FS$7)*($QG$6:$QG$42=1))&gt;0)</f>
        <v/>
      </c>
      <c r="QI7">
        <f>$QI$6+--($QH7)</f>
        <v/>
      </c>
      <c r="QJ7">
        <f>IF(ROW()-3&gt;MAX($QI$4:$QI$40),"",INDEX($FS$4:$FS$40,MATCH(ROW()-3,$QI$4:$QI$40,0)))</f>
        <v/>
      </c>
      <c r="QK7" t="str">
        <f>IF('Final Calculation Sheet'!$AH$7="","",'Final Calculation Sheet'!$AH$7)</f>
      </c>
      <c r="QL7" t="str">
        <f>IF(QK7="","",COUNTIFS(QK$4:QK$40,"&lt;"&amp;QK7,QK$4:QK$40,"&lt;&gt;"&amp;"")+COUNTIF(QK$4:QK7,QK7))</f>
      </c>
      <c r="QM7" t="str">
        <f>IF(ROW()-3&gt;COUNTIF(QK$4:QK$40,"&lt;&gt;"&amp;""),"",INDEX(QK$4:QK$40,MATCH(ROW()-3,QL$4:QL$40,0)))</f>
      </c>
      <c r="QN7" t="str">
        <f>=QN6+F(AND(QM7&lt;&gt;"",COUNTIF(QM$4:QM7,QM7)=1),1,0)</f>
      </c>
      <c r="QO7" t="str">
        <f>IF(ROW()-3&gt;MAX(QN$4:QN$40),"",INDEX(QM$4:QM$40,MATCH(ROW()-3,QN$4:QN$40,0)))</f>
      </c>
      <c r="QP7" t="str">
        <f>IF(COUNTIF('Final Calculation Sheet'!$AM7:$BS7,0)&gt;0,0,1)</f>
      </c>
      <c r="QQ7" t="str">
        <f>IF($AI$7="",FALSE,SUMPRODUCT(('Final Calculation Sheet'!$A$4:$A$40=$AI$7)*($QP$4:$QP$40=1))&gt;0)</f>
      </c>
      <c r="QR7" t="str">
        <f>=$QR6+--($QQ7)</f>
      </c>
      <c r="QS7" t="str">
        <f>IF(ROW()-3&gt;MAX($QR$4:$QR$40),"",INDEX($AI$4:$AI$40,MATCH(ROW()-3,$QR$4:$QR$40,0)))</f>
      </c>
      <c r="QT7" t="str">
        <f>IF(COUNTIF('Final Calculation Sheet'!$AL7:$AL7,0)+COUNTIF('Final Calculation Sheet'!$AN7:$BS7,0)&gt;0,0,1)</f>
      </c>
      <c r="QU7" t="str">
        <f>IF($Y$7="",FALSE,SUMPRODUCT(('Final Calculation Sheet'!$B$4:$B$40=$Y$7)*($QT$4:$QT$40=1))&gt;0)</f>
      </c>
      <c r="QV7" t="str">
        <f>=$QV6+--($QU7)</f>
      </c>
      <c r="QW7" t="str">
        <f>IF(ROW()-3&gt;MAX($QV$4:$QV$40),"",INDEX($Y$4:$Y$40,MATCH(ROW()-3,$QV$4:$QV$40,0)))</f>
      </c>
      <c r="QX7" t="str">
        <f>IF(COUNTIF('Final Calculation Sheet'!$AL7:$AM7,0)+COUNTIF('Final Calculation Sheet'!$AO7:$BS7,0)&gt;0,0,1)</f>
      </c>
      <c r="QY7" t="str">
        <f>IF($AS$7="",FALSE,SUMPRODUCT(('Final Calculation Sheet'!$C$4:$C$40=$AS$7)*($QX$4:$QX$40=1))&gt;0)</f>
      </c>
      <c r="QZ7" t="str">
        <f>=$QZ6+--($QY7)</f>
      </c>
      <c r="RA7" t="str">
        <f>IF(ROW()-3&gt;MAX($QZ$4:$QZ$40),"",INDEX($AS$4:$AS$40,MATCH(ROW()-3,$QZ$4:$QZ$40,0)))</f>
      </c>
      <c r="RB7" t="str">
        <f>IF(COUNTIF('Final Calculation Sheet'!$AL7:$AN7,0)+COUNTIF('Final Calculation Sheet'!$AP7:$BS7,0)&gt;0,0,1)</f>
      </c>
      <c r="RC7" t="str">
        <f>IF($AD$7="",FALSE,SUMPRODUCT(('Final Calculation Sheet'!$D$4:$D$40=$AD$7)*($RB$4:$RB$40=1))&gt;0)</f>
      </c>
      <c r="RD7" t="str">
        <f>=$RD6+--($RC7)</f>
      </c>
      <c r="RE7" t="str">
        <f>IF(ROW()-3&gt;MAX($RD$4:$RD$40),"",INDEX($AD$4:$AD$40,MATCH(ROW()-3,$RD$4:$RD$40,0)))</f>
      </c>
      <c r="RF7" t="str">
        <f>IF(COUNTIF('Final Calculation Sheet'!$AL7:$AO7,0)+COUNTIF('Final Calculation Sheet'!$AQ7:$BS7,0)&gt;0,0,1)</f>
      </c>
      <c r="RG7" t="str">
        <f>IF($AN$7="",FALSE,SUMPRODUCT(('Final Calculation Sheet'!$E$4:$E$40=$AN$7)*($RF$4:$RF$40=1))&gt;0)</f>
      </c>
      <c r="RH7" t="str">
        <f>=$RH6+--($RG7)</f>
      </c>
      <c r="RI7" t="str">
        <f>IF(ROW()-3&gt;MAX($RH$4:$RH$40),"",INDEX($AN$4:$AN$40,MATCH(ROW()-3,$RH$4:$RH$40,0)))</f>
      </c>
      <c r="RJ7" t="str">
        <f>IF(COUNTIF('Final Calculation Sheet'!$AL7:$AP7,0)+COUNTIF('Final Calculation Sheet'!$AR7:$BS7,0)&gt;0,0,1)</f>
      </c>
      <c r="RK7" t="str">
        <f>IF($O$7="",FALSE,SUMPRODUCT(('Final Calculation Sheet'!$F$4:$F$40=$O$7)*($RJ$4:$RJ$40=1))&gt;0)</f>
      </c>
      <c r="RL7" t="str">
        <f>=$RL6+--($RK7)</f>
      </c>
      <c r="RM7" t="str">
        <f>IF(ROW()-3&gt;MAX($RL$4:$RL$40),"",INDEX($O$4:$O$40,MATCH(ROW()-3,$RL$4:$RL$40,0)))</f>
      </c>
      <c r="RN7" t="str">
        <f>IF(COUNTIF('Final Calculation Sheet'!$AL7:$AQ7,0)+COUNTIF('Final Calculation Sheet'!$AS7:$BS7,0)&gt;0,0,1)</f>
      </c>
      <c r="RO7" t="str">
        <f>IF($T$7="",FALSE,SUMPRODUCT(('Final Calculation Sheet'!$G$4:$G$40=$T$7)*($RN$4:$RN$40=1))&gt;0)</f>
      </c>
      <c r="RP7" t="str">
        <f>=$RP6+--($RO7)</f>
      </c>
      <c r="RQ7" t="str">
        <f>IF(ROW()-3&gt;MAX($RP$4:$RP$40),"",INDEX($T$4:$T$40,MATCH(ROW()-3,$RP$4:$RP$40,0)))</f>
      </c>
      <c r="RR7" t="str">
        <f>IF(COUNTIF('Final Calculation Sheet'!$AL7:$AR7,0)+COUNTIF('Final Calculation Sheet'!$AT7:$BS7,0)&gt;0,0,1)</f>
      </c>
      <c r="RS7" t="str">
        <f>IF($AX$7="",FALSE,SUMPRODUCT(('Final Calculation Sheet'!$H$4:$H$40=$AX$7)*($RR$4:$RR$40=1))&gt;0)</f>
      </c>
      <c r="RT7" t="str">
        <f>=$RT6+--($RS7)</f>
      </c>
      <c r="RU7" t="str">
        <f>IF(ROW()-3&gt;MAX($RT$4:$RT$40),"",INDEX($AX$4:$AX$40,MATCH(ROW()-3,$RT$4:$RT$40,0)))</f>
      </c>
      <c r="RV7" t="str">
        <f>IF(COUNTIF('Final Calculation Sheet'!$AL7:$AS7,0)+COUNTIF('Final Calculation Sheet'!$AU7:$BS7,0)&gt;0,0,1)</f>
      </c>
      <c r="RW7" t="str">
        <f>IF($BC$7="",FALSE,SUMPRODUCT(('Final Calculation Sheet'!$I$4:$I$40=$BC$7)*($RV$4:$RV$40=1))&gt;0)</f>
      </c>
      <c r="RX7" t="str">
        <f>=$RX6+--($RW7)</f>
      </c>
      <c r="RY7" t="str">
        <f>IF(ROW()-3&gt;MAX($RX$4:$RX$40),"",INDEX($BC$4:$BC$40,MATCH(ROW()-3,$RX$4:$RX$40,0)))</f>
      </c>
      <c r="RZ7" t="str">
        <f>IF(COUNTIF('Final Calculation Sheet'!$AL7:$AT7,0)+COUNTIF('Final Calculation Sheet'!$AV7:$BS7,0)&gt;0,0,1)</f>
      </c>
      <c r="SA7" t="str">
        <f>IF($BH$7="",FALSE,SUMPRODUCT(('Final Calculation Sheet'!$J$4:$J$40=$BH$7)*($RZ$4:$RZ$40=1))&gt;0)</f>
      </c>
      <c r="SB7" t="str">
        <f>=$SB6+--($SA7)</f>
      </c>
      <c r="SC7" t="str">
        <f>IF(ROW()-3&gt;MAX($SB$4:$SB$40),"",INDEX($BH$4:$BH$40,MATCH(ROW()-3,$SB$4:$SB$40,0)))</f>
      </c>
      <c r="SD7" t="str">
        <f>IF(COUNTIF('Final Calculation Sheet'!$AL7:$AU7,0)+COUNTIF('Final Calculation Sheet'!$AW7:$BS7,0)&gt;0,0,1)</f>
      </c>
      <c r="SE7" t="str">
        <f>IF($BM$7="",FALSE,SUMPRODUCT(('Final Calculation Sheet'!$K$4:$K$40=$BM$7)*($SD$4:$SD$40=1))&gt;0)</f>
      </c>
      <c r="SF7" t="str">
        <f>=$SF6+--($SE7)</f>
      </c>
      <c r="SG7" t="str">
        <f>IF(ROW()-3&gt;MAX($SF$4:$SF$40),"",INDEX($BM$4:$BM$40,MATCH(ROW()-3,$SF$4:$SF$40,0)))</f>
      </c>
      <c r="SH7" t="str">
        <f>IF(COUNTIF('Final Calculation Sheet'!$AL7:$AV7,0)+COUNTIF('Final Calculation Sheet'!$AX7:$BS7,0)&gt;0,0,1)</f>
      </c>
      <c r="SI7" t="str">
        <f>IF($BR$7="",FALSE,SUMPRODUCT(('Final Calculation Sheet'!$L$4:$L$40=$BR$7)*($SH$4:$SH$40=1))&gt;0)</f>
      </c>
      <c r="SJ7" t="str">
        <f>=$SJ6+--($SI7)</f>
      </c>
      <c r="SK7" t="str">
        <f>IF(ROW()-3&gt;MAX($SJ$4:$SJ$40),"",INDEX($BR$4:$BR$40,MATCH(ROW()-3,$SJ$4:$SJ$40,0)))</f>
      </c>
      <c r="SL7" t="str">
        <f>IF(COUNTIF('Final Calculation Sheet'!$AL7:$AW7,0)+COUNTIF('Final Calculation Sheet'!$AY7:$BS7,0)&gt;0,0,1)</f>
      </c>
      <c r="SM7" t="str">
        <f>IF($BW$7="",FALSE,SUMPRODUCT(('Final Calculation Sheet'!$M$4:$M$40=$BW$7)*($SL$4:$SL$40=1))&gt;0)</f>
      </c>
      <c r="SN7" t="str">
        <f>=$SN6+--($SM7)</f>
      </c>
      <c r="SO7" t="str">
        <f>IF(ROW()-3&gt;MAX($SN$4:$SN$40),"",INDEX($BW$4:$BW$40,MATCH(ROW()-3,$SN$4:$SN$40,0)))</f>
      </c>
      <c r="SP7" t="str">
        <f>IF(COUNTIF('Final Calculation Sheet'!$AL7:$AX7,0)+COUNTIF('Final Calculation Sheet'!$AZ7:$BS7,0)&gt;0,0,1)</f>
      </c>
      <c r="SQ7" t="str">
        <f>IF($CB$7="",FALSE,SUMPRODUCT(('Final Calculation Sheet'!$N$4:$N$40=$CB$7)*($SP$4:$SP$40=1))&gt;0)</f>
      </c>
      <c r="SR7" t="str">
        <f>=$SR6+--($SQ7)</f>
      </c>
      <c r="SS7" t="str">
        <f>IF(ROW()-3&gt;MAX($SR$4:$SR$40),"",INDEX($CB$4:$CB$40,MATCH(ROW()-3,$SR$4:$SR$40,0)))</f>
      </c>
      <c r="ST7" t="str">
        <f>IF(COUNTIF('Final Calculation Sheet'!$AL7:$AY7,0)+COUNTIF('Final Calculation Sheet'!$BA7:$BS7,0)&gt;0,0,1)</f>
      </c>
      <c r="SU7" t="str">
        <f>IF($CG$7="",FALSE,SUMPRODUCT(('Final Calculation Sheet'!$O$4:$O$40=$CG$7)*($ST$4:$ST$40=1))&gt;0)</f>
      </c>
      <c r="SV7" t="str">
        <f>=$SV6+--($SU7)</f>
      </c>
      <c r="SW7" t="str">
        <f>IF(ROW()-3&gt;MAX($SV$4:$SV$40),"",INDEX($CG$4:$CG$40,MATCH(ROW()-3,$SV$4:$SV$40,0)))</f>
      </c>
      <c r="SX7" t="str">
        <f>IF(COUNTIF('Final Calculation Sheet'!$AL7:$AZ7,0)+COUNTIF('Final Calculation Sheet'!$BB7:$BS7,0)&gt;0,0,1)</f>
      </c>
      <c r="SY7" t="str">
        <f>IF($CL$7="",FALSE,SUMPRODUCT(('Final Calculation Sheet'!$P$4:$P$40=$CL$7)*($SX$4:$SX$40=1))&gt;0)</f>
      </c>
      <c r="SZ7" t="str">
        <f>=$SZ6+--($SY7)</f>
      </c>
      <c r="TA7" t="str">
        <f>IF(ROW()-3&gt;MAX($SZ$4:$SZ$40),"",INDEX($CL$4:$CL$40,MATCH(ROW()-3,$SZ$4:$SZ$40,0)))</f>
      </c>
      <c r="TB7" t="str">
        <f>IF(COUNTIF('Final Calculation Sheet'!$AL7:$BA7,0)+COUNTIF('Final Calculation Sheet'!$BC7:$BS7,0)&gt;0,0,1)</f>
      </c>
      <c r="TC7" t="str">
        <f>IF($CQ$7="",FALSE,SUMPRODUCT(('Final Calculation Sheet'!$Q$4:$Q$40=$CQ$7)*($TB$4:$TB$40=1))&gt;0)</f>
      </c>
      <c r="TD7" t="str">
        <f>=$TD6+--($TC7)</f>
      </c>
      <c r="TE7" t="str">
        <f>IF(ROW()-3&gt;MAX($TD$4:$TD$40),"",INDEX($CQ$4:$CQ$40,MATCH(ROW()-3,$TD$4:$TD$40,0)))</f>
      </c>
      <c r="TF7" t="str">
        <f>IF(COUNTIF('Final Calculation Sheet'!$AL7:$BB7,0)+COUNTIF('Final Calculation Sheet'!$BD7:$BS7,0)&gt;0,0,1)</f>
      </c>
      <c r="TG7" t="str">
        <f>IF($CV$7="",FALSE,SUMPRODUCT(('Final Calculation Sheet'!$R$4:$R$40=$CV$7)*($TF$4:$TF$40=1))&gt;0)</f>
      </c>
      <c r="TH7" t="str">
        <f>=$TH6+--($TG7)</f>
      </c>
      <c r="TI7" t="str">
        <f>IF(ROW()-3&gt;MAX($TH$4:$TH$40),"",INDEX($CV$4:$CV$40,MATCH(ROW()-3,$TH$4:$TH$40,0)))</f>
      </c>
      <c r="TJ7" t="str">
        <f>IF(COUNTIF('Final Calculation Sheet'!$AL7:$BC7,0)+COUNTIF('Final Calculation Sheet'!$BE7:$BS7,0)&gt;0,0,1)</f>
      </c>
      <c r="TK7" t="str">
        <f>IF($DA$7="",FALSE,SUMPRODUCT(('Final Calculation Sheet'!$S$4:$S$40=$DA$7)*($TJ$4:$TJ$40=1))&gt;0)</f>
      </c>
      <c r="TL7" t="str">
        <f>=$TL6+--($TK7)</f>
      </c>
      <c r="TM7" t="str">
        <f>IF(ROW()-3&gt;MAX($TL$4:$TL$40),"",INDEX($DA$4:$DA$40,MATCH(ROW()-3,$TL$4:$TL$40,0)))</f>
      </c>
      <c r="TN7" t="str">
        <f>IF(COUNTIF('Final Calculation Sheet'!$AL7:$BD7,0)+COUNTIF('Final Calculation Sheet'!$BF7:$BS7,0)&gt;0,0,1)</f>
      </c>
      <c r="TO7" t="str">
        <f>IF($DF$7="",FALSE,SUMPRODUCT(('Final Calculation Sheet'!$T$4:$T$40=$DF$7)*($TN$4:$TN$40=1))&gt;0)</f>
      </c>
      <c r="TP7" t="str">
        <f>=$TP6+--($TO7)</f>
      </c>
      <c r="TQ7" t="str">
        <f>IF(ROW()-3&gt;MAX($TP$4:$TP$40),"",INDEX($DF$4:$DF$40,MATCH(ROW()-3,$TP$4:$TP$40,0)))</f>
      </c>
      <c r="TR7" t="str">
        <f>IF(COUNTIF('Final Calculation Sheet'!$AL7:$BE7,0)+COUNTIF('Final Calculation Sheet'!$BG7:$BS7,0)&gt;0,0,1)</f>
      </c>
      <c r="TS7" t="str">
        <f>IF($DK$7="",FALSE,SUMPRODUCT(('Final Calculation Sheet'!$U$4:$U$40=$DK$7)*($TR$4:$TR$40=1))&gt;0)</f>
      </c>
      <c r="TT7" t="str">
        <f>=$TT6+--($TS7)</f>
      </c>
      <c r="TU7" t="str">
        <f>IF(ROW()-3&gt;MAX($TT$4:$TT$40),"",INDEX($DK$4:$DK$40,MATCH(ROW()-3,$TT$4:$TT$40,0)))</f>
      </c>
      <c r="TV7" t="str">
        <f>IF(COUNTIF('Final Calculation Sheet'!$AL7:$BF7,0)+COUNTIF('Final Calculation Sheet'!$BH7:$BS7,0)&gt;0,0,1)</f>
      </c>
      <c r="TW7" t="str">
        <f>IF($DP$7="",FALSE,SUMPRODUCT(('Final Calculation Sheet'!$V$4:$V$40=$DP$7)*($TV$4:$TV$40=1))&gt;0)</f>
      </c>
      <c r="TX7" t="str">
        <f>=$TX6+--($TW7)</f>
      </c>
      <c r="TY7" t="str">
        <f>IF(ROW()-3&gt;MAX($TX$4:$TX$40),"",INDEX($DP$4:$DP$40,MATCH(ROW()-3,$TX$4:$TX$40,0)))</f>
      </c>
      <c r="TZ7" t="str">
        <f>IF(COUNTIF('Final Calculation Sheet'!$AL7:$BG7,0)+COUNTIF('Final Calculation Sheet'!$BI7:$BS7,0)&gt;0,0,1)</f>
      </c>
      <c r="UA7" t="str">
        <f>IF($DU$7="",FALSE,SUMPRODUCT(('Final Calculation Sheet'!$W$4:$W$40=$DU$7)*($TZ$4:$TZ$40=1))&gt;0)</f>
      </c>
      <c r="UB7" t="str">
        <f>=$UB6+--($UA7)</f>
      </c>
      <c r="UC7" t="str">
        <f>IF(ROW()-3&gt;MAX($UB$4:$UB$40),"",INDEX($DU$4:$DU$40,MATCH(ROW()-3,$UB$4:$UB$40,0)))</f>
      </c>
      <c r="UD7" t="str">
        <f>IF(COUNTIF('Final Calculation Sheet'!$AL7:$BH7,0)+COUNTIF('Final Calculation Sheet'!$BJ7:$BS7,0)&gt;0,0,1)</f>
      </c>
      <c r="UE7" t="str">
        <f>IF($DZ$7="",FALSE,SUMPRODUCT(('Final Calculation Sheet'!$X$4:$X$40=$DZ$7)*($UD$4:$UD$40=1))&gt;0)</f>
      </c>
      <c r="UF7" t="str">
        <f>=$UF6+--($UE7)</f>
      </c>
      <c r="UG7" t="str">
        <f>IF(ROW()-3&gt;MAX($UF$4:$UF$40),"",INDEX($DZ$4:$DZ$40,MATCH(ROW()-3,$UF$4:$UF$40,0)))</f>
      </c>
      <c r="UH7" t="str">
        <f>IF(COUNTIF('Final Calculation Sheet'!$AL7:$BI7,0)+COUNTIF('Final Calculation Sheet'!$BK7:$BS7,0)&gt;0,0,1)</f>
      </c>
      <c r="UI7" t="str">
        <f>IF($EE$7="",FALSE,SUMPRODUCT(('Final Calculation Sheet'!$Y$4:$Y$40=$EE$7)*($UH$4:$UH$40=1))&gt;0)</f>
      </c>
      <c r="UJ7" t="str">
        <f>=$UJ6+--($UI7)</f>
      </c>
      <c r="UK7" t="str">
        <f>IF(ROW()-3&gt;MAX($UJ$4:$UJ$40),"",INDEX($EE$4:$EE$40,MATCH(ROW()-3,$UJ$4:$UJ$40,0)))</f>
      </c>
      <c r="UL7" t="str">
        <f>IF(COUNTIF('Final Calculation Sheet'!$AL7:$BJ7,0)+COUNTIF('Final Calculation Sheet'!$BL7:$BS7,0)&gt;0,0,1)</f>
      </c>
      <c r="UM7" t="str">
        <f>IF($EJ$7="",FALSE,SUMPRODUCT(('Final Calculation Sheet'!$Z$4:$Z$40=$EJ$7)*($UL$4:$UL$40=1))&gt;0)</f>
      </c>
      <c r="UN7" t="str">
        <f>=$UN6+--($UM7)</f>
      </c>
      <c r="UO7" t="str">
        <f>IF(ROW()-3&gt;MAX($UN$4:$UN$40),"",INDEX($EJ$4:$EJ$40,MATCH(ROW()-3,$UN$4:$UN$40,0)))</f>
      </c>
      <c r="UP7" t="str">
        <f>IF(COUNTIF('Final Calculation Sheet'!$AL7:$BK7,0)+COUNTIF('Final Calculation Sheet'!$BM7:$BS7,0)&gt;0,0,1)</f>
      </c>
      <c r="UQ7" t="str">
        <f>IF($EO$7="",FALSE,SUMPRODUCT(('Final Calculation Sheet'!$AA$4:$AA$40=$EO$7)*($UP$4:$UP$40=1))&gt;0)</f>
      </c>
      <c r="UR7" t="str">
        <f>=$UR6+--($UQ7)</f>
      </c>
      <c r="US7" t="str">
        <f>IF(ROW()-3&gt;MAX($UR$4:$UR$40),"",INDEX($EO$4:$EO$40,MATCH(ROW()-3,$UR$4:$UR$40,0)))</f>
      </c>
      <c r="UT7" t="str">
        <f>IF(COUNTIF('Final Calculation Sheet'!$AL7:$BL7,0)+COUNTIF('Final Calculation Sheet'!$BN7:$BS7,0)&gt;0,0,1)</f>
      </c>
      <c r="UU7" t="str">
        <f>IF($ET$7="",FALSE,SUMPRODUCT(('Final Calculation Sheet'!$AB$4:$AB$40=$ET$7)*($UT$4:$UT$40=1))&gt;0)</f>
      </c>
      <c r="UV7" t="str">
        <f>=$UV6+--($UU7)</f>
      </c>
      <c r="UW7" t="str">
        <f>IF(ROW()-3&gt;MAX($UV$4:$UV$40),"",INDEX($ET$4:$ET$40,MATCH(ROW()-3,$UV$4:$UV$40,0)))</f>
      </c>
      <c r="UX7" t="str">
        <f>IF(COUNTIF('Final Calculation Sheet'!$AL7:$BM7,0)+COUNTIF('Final Calculation Sheet'!$BO7:$BS7,0)&gt;0,0,1)</f>
      </c>
      <c r="UY7" t="str">
        <f>IF($EY$7="",FALSE,SUMPRODUCT(('Final Calculation Sheet'!$AC$4:$AC$40=$EY$7)*($UX$4:$UX$40=1))&gt;0)</f>
      </c>
      <c r="UZ7" t="str">
        <f>=$UZ6+--($UY7)</f>
      </c>
      <c r="VA7" t="str">
        <f>IF(ROW()-3&gt;MAX($UZ$4:$UZ$40),"",INDEX($EY$4:$EY$40,MATCH(ROW()-3,$UZ$4:$UZ$40,0)))</f>
      </c>
      <c r="VB7" t="str">
        <f>IF(COUNTIF('Final Calculation Sheet'!$AL7:$BN7,0)+COUNTIF('Final Calculation Sheet'!$BP7:$BS7,0)&gt;0,0,1)</f>
      </c>
      <c r="VC7" t="str">
        <f>IF($FD$7="",FALSE,SUMPRODUCT(('Final Calculation Sheet'!$AD$4:$AD$40=$FD$7)*($VB$4:$VB$40=1))&gt;0)</f>
      </c>
      <c r="VD7" t="str">
        <f>=$VD6+--($VC7)</f>
      </c>
      <c r="VE7" t="str">
        <f>IF(ROW()-3&gt;MAX($VD$4:$VD$40),"",INDEX($FD$4:$FD$40,MATCH(ROW()-3,$VD$4:$VD$40,0)))</f>
      </c>
      <c r="VF7" t="str">
        <f>IF(COUNTIF('Final Calculation Sheet'!$AL7:$BO7,0)+COUNTIF('Final Calculation Sheet'!$BQ7:$BS7,0)&gt;0,0,1)</f>
      </c>
      <c r="VG7" t="str">
        <f>IF($FI$7="",FALSE,SUMPRODUCT(('Final Calculation Sheet'!$AE$4:$AE$40=$FI$7)*($VF$4:$VF$40=1))&gt;0)</f>
      </c>
      <c r="VH7" t="str">
        <f>=$VH6+--($VG7)</f>
      </c>
      <c r="VI7" t="str">
        <f>IF(ROW()-3&gt;MAX($VH$4:$VH$40),"",INDEX($FI$4:$FI$40,MATCH(ROW()-3,$VH$4:$VH$40,0)))</f>
      </c>
      <c r="VJ7" t="str">
        <f>IF(COUNTIF('Final Calculation Sheet'!$AL7:$BP7,0)+COUNTIF('Final Calculation Sheet'!$BR7:$BS7,0)&gt;0,0,1)</f>
      </c>
      <c r="VK7" t="str">
        <f>IF($FN$7="",FALSE,SUMPRODUCT(('Final Calculation Sheet'!$AF$4:$AF$40=$FN$7)*($VJ$4:$VJ$40=1))&gt;0)</f>
      </c>
      <c r="VL7" t="str">
        <f>=$VL6+--($VK7)</f>
      </c>
      <c r="VM7" t="str">
        <f>IF(ROW()-3&gt;MAX($VL$4:$VL$40),"",INDEX($FN$4:$FN$40,MATCH(ROW()-3,$VL$4:$VL$40,0)))</f>
      </c>
      <c r="VN7" t="str">
        <f>IF(COUNTIF('Final Calculation Sheet'!$AL7:$BQ7,0)+COUNTIF('Final Calculation Sheet'!$BS7:$BS7,0)&gt;0,0,1)</f>
      </c>
      <c r="VO7" t="str">
        <f>IF($FS$7="",FALSE,SUMPRODUCT(('Final Calculation Sheet'!$AG$4:$AG$40=$FS$7)*($VN$4:$VN$40=1))&gt;0)</f>
      </c>
      <c r="VP7" t="str">
        <f>=$VP6+--($VO7)</f>
      </c>
      <c r="VQ7" t="str">
        <f>IF(ROW()-3&gt;MAX($VP$4:$VP$40),"",INDEX($FS$4:$FS$40,MATCH(ROW()-3,$VP$4:$VP$40,0)))</f>
      </c>
      <c r="VR7" t="str">
        <f>IF(COUNTIF('Final Calculation Sheet'!$AL7:$BR7,0)&gt;0,0,1)</f>
      </c>
      <c r="VS7" t="str">
        <f>IF($QO$7="",FALSE,SUMPRODUCT(('Final Calculation Sheet'!$AH$4:$AH$40=$QO$7)*($VR$4:$VR$40=1))&gt;0)</f>
      </c>
      <c r="VT7" t="str">
        <f>=$VT6+--($VS7)</f>
      </c>
      <c r="VU7" t="str">
        <f>IF(ROW()-3&gt;MAX($VT$4:$VT$40),"",INDEX($QO$4:$QO$40,MATCH(ROW()-3,$VT$4:$VT$40,0)))</f>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IF(ROW()-3&gt;MAX($LC$4:$LC$40),"",INDEX($FS$4:$FS$40,MATCH(ROW()-3,$LC$4:$LC$40,0)))</f>
        <v/>
      </c>
      <c r="LE8">
        <f>IF(COUNTIF('Buyer Groups'!DH8:EN8,0)&gt;0,0,1)</f>
        <v/>
      </c>
      <c r="LF8">
        <f>IF($O$8="",FALSE,SUMPRODUCT(('Final Calculation Sheet'!$F$4:$F$40=$O$8)*($LE$6:$LE$42=1))&gt;0)</f>
        <v/>
      </c>
      <c r="LG8">
        <f>$LG$7+--($LF8)</f>
        <v/>
      </c>
      <c r="LH8">
        <f>IF(ROW()-3&gt;MAX($LG$4:$LG$40),"",INDEX($O$4:$O$40,MATCH(ROW()-3,$LG$4:$LG$40,0)))</f>
        <v/>
      </c>
      <c r="LI8">
        <f>IF(COUNTIF('Buyer Groups'!DG8:DG8,0)+COUNTIF('Buyer Groups'!DI8:EN8,0)&gt;0,0,1)</f>
        <v/>
      </c>
      <c r="LJ8">
        <f>IF($T$8="",FALSE,SUMPRODUCT(('Final Calculation Sheet'!$G$4:$G$40=$T$8)*($LI$6:$LI$42=1))&gt;0)</f>
        <v/>
      </c>
      <c r="LK8">
        <f>$LK$7+--($LJ8)</f>
        <v/>
      </c>
      <c r="LL8">
        <f>IF(ROW()-3&gt;MAX($LK$4:$LK$40),"",INDEX($T$4:$T$40,MATCH(ROW()-3,$LK$4:$LK$40,0)))</f>
        <v/>
      </c>
      <c r="LM8">
        <f>IF(COUNTIF('Buyer Groups'!DG8:DH8,0)+COUNTIF('Buyer Groups'!DJ8:EN8,0)&gt;0,0,1)</f>
        <v/>
      </c>
      <c r="LN8">
        <f>IF($Y$8="",FALSE,SUMPRODUCT(('Final Calculation Sheet'!$B$4:$B$40=$Y$8)*($LM$6:$LM$42=1))&gt;0)</f>
        <v/>
      </c>
      <c r="LO8">
        <f>$LO$7+--($LN8)</f>
        <v/>
      </c>
      <c r="LP8">
        <f>IF(ROW()-3&gt;MAX($LO$4:$LO$40),"",INDEX($Y$4:$Y$40,MATCH(ROW()-3,$LO$4:$LO$40,0)))</f>
        <v/>
      </c>
      <c r="LQ8">
        <f>IF(COUNTIF('Buyer Groups'!DG8:DI8,0)+COUNTIF('Buyer Groups'!DK8:EN8,0)&gt;0,0,1)</f>
        <v/>
      </c>
      <c r="LR8">
        <f>IF($AD$8="",FALSE,SUMPRODUCT(('Final Calculation Sheet'!$D$4:$D$40=$AD$8)*($LQ$6:$LQ$42=1))&gt;0)</f>
        <v/>
      </c>
      <c r="LS8">
        <f>$LS$7+--($LR8)</f>
        <v/>
      </c>
      <c r="LT8">
        <f>IF(ROW()-3&gt;MAX($LS$4:$LS$40),"",INDEX($AD$4:$AD$40,MATCH(ROW()-3,$LS$4:$LS$40,0)))</f>
        <v/>
      </c>
      <c r="LU8">
        <f>IF(COUNTIF('Buyer Groups'!DG8:DJ8,0)+COUNTIF('Buyer Groups'!DL8:EN8,0)&gt;0,0,1)</f>
        <v/>
      </c>
      <c r="LV8">
        <f>IF($AI$8="",FALSE,SUMPRODUCT(('Final Calculation Sheet'!$A$4:$A$40=$AI$8)*($LU$6:$LU$42=1))&gt;0)</f>
        <v/>
      </c>
      <c r="LW8">
        <f>$LW$7+--($LV8)</f>
        <v/>
      </c>
      <c r="LX8">
        <f>IF(ROW()-3&gt;MAX($LW$4:$LW$40),"",INDEX($AI$4:$AI$40,MATCH(ROW()-3,$LW$4:$LW$40,0)))</f>
        <v/>
      </c>
      <c r="LY8">
        <f>IF(COUNTIF('Buyer Groups'!DG8:DK8,0)+COUNTIF('Buyer Groups'!DM8:EN8,0)&gt;0,0,1)</f>
        <v/>
      </c>
      <c r="LZ8">
        <f>IF($AN$8="",FALSE,SUMPRODUCT(('Final Calculation Sheet'!$E$4:$E$40=$AN$8)*($LY$6:$LY$42=1))&gt;0)</f>
        <v/>
      </c>
      <c r="MA8">
        <f>$MA$7+--($LZ8)</f>
        <v/>
      </c>
      <c r="MB8">
        <f>IF(ROW()-3&gt;MAX($MA$4:$MA$40),"",INDEX($AN$4:$AN$40,MATCH(ROW()-3,$MA$4:$MA$40,0)))</f>
        <v/>
      </c>
      <c r="MC8">
        <f>IF(COUNTIF('Buyer Groups'!DG8:DL8,0)+COUNTIF('Buyer Groups'!DN8:EN8,0)&gt;0,0,1)</f>
        <v/>
      </c>
      <c r="MD8">
        <f>IF($AS$8="",FALSE,SUMPRODUCT(('Final Calculation Sheet'!$C$4:$C$40=$AS$8)*($MC$6:$MC$42=1))&gt;0)</f>
        <v/>
      </c>
      <c r="ME8">
        <f>$ME$7+--($MD8)</f>
        <v/>
      </c>
      <c r="MF8">
        <f>IF(ROW()-3&gt;MAX($ME$4:$ME$40),"",INDEX($AS$4:$AS$40,MATCH(ROW()-3,$ME$4:$ME$40,0)))</f>
        <v/>
      </c>
      <c r="MG8">
        <f>IF(COUNTIF('Buyer Groups'!DG8:DM8,0)+COUNTIF('Buyer Groups'!DO8:EN8,0)&gt;0,0,1)</f>
        <v/>
      </c>
      <c r="MH8">
        <f>IF($AX$8="",FALSE,SUMPRODUCT(('Final Calculation Sheet'!$H$4:$H$40=$AX$8)*($MG$6:$MG$42=1))&gt;0)</f>
        <v/>
      </c>
      <c r="MI8">
        <f>$MI$7+--($MH8)</f>
        <v/>
      </c>
      <c r="MJ8">
        <f>IF(ROW()-3&gt;MAX($MI$4:$MI$40),"",INDEX($AX$4:$AX$40,MATCH(ROW()-3,$MI$4:$MI$40,0)))</f>
        <v/>
      </c>
      <c r="MK8">
        <f>IF(COUNTIF('Buyer Groups'!DG8:DN8,0)+COUNTIF('Buyer Groups'!DP8:EN8,0)&gt;0,0,1)</f>
        <v/>
      </c>
      <c r="ML8">
        <f>IF($BC$8="",FALSE,SUMPRODUCT(('Final Calculation Sheet'!$I$4:$I$40=$BC$8)*($MK$6:$MK$42=1))&gt;0)</f>
        <v/>
      </c>
      <c r="MM8">
        <f>$MM$7+--($ML8)</f>
        <v/>
      </c>
      <c r="MN8">
        <f>IF(ROW()-3&gt;MAX($MM$4:$MM$40),"",INDEX($BC$4:$BC$40,MATCH(ROW()-3,$MM$4:$MM$40,0)))</f>
        <v/>
      </c>
      <c r="MO8">
        <f>IF(COUNTIF('Buyer Groups'!DG8:DO8,0)+COUNTIF('Buyer Groups'!DQ8:EN8,0)&gt;0,0,1)</f>
        <v/>
      </c>
      <c r="MP8">
        <f>IF($BH$8="",FALSE,SUMPRODUCT(('Final Calculation Sheet'!$J$4:$J$40=$BH$8)*($MO$6:$MO$42=1))&gt;0)</f>
        <v/>
      </c>
      <c r="MQ8">
        <f>$MQ$7+--($MP8)</f>
        <v/>
      </c>
      <c r="MR8">
        <f>IF(ROW()-3&gt;MAX($MQ$4:$MQ$40),"",INDEX($BH$4:$BH$40,MATCH(ROW()-3,$MQ$4:$MQ$40,0)))</f>
        <v/>
      </c>
      <c r="MS8">
        <f>IF(COUNTIF('Buyer Groups'!DG8:DP8,0)+COUNTIF('Buyer Groups'!DR8:EN8,0)&gt;0,0,1)</f>
        <v/>
      </c>
      <c r="MT8">
        <f>IF($BM$8="",FALSE,SUMPRODUCT(('Final Calculation Sheet'!$K$4:$K$40=$BM$8)*($MS$6:$MS$42=1))&gt;0)</f>
        <v/>
      </c>
      <c r="MU8">
        <f>$MU$7+--($MT8)</f>
        <v/>
      </c>
      <c r="MV8">
        <f>IF(ROW()-3&gt;MAX($MU$4:$MU$40),"",INDEX($BM$4:$BM$40,MATCH(ROW()-3,$MU$4:$MU$40,0)))</f>
        <v/>
      </c>
      <c r="MW8">
        <f>IF(COUNTIF('Buyer Groups'!DG8:DQ8,0)+COUNTIF('Buyer Groups'!DS8:EN8,0)&gt;0,0,1)</f>
        <v/>
      </c>
      <c r="MX8">
        <f>IF($BR$8="",FALSE,SUMPRODUCT(('Final Calculation Sheet'!$L$4:$L$40=$BR$8)*($MW$6:$MW$42=1))&gt;0)</f>
        <v/>
      </c>
      <c r="MY8">
        <f>$MY$7+--($MX8)</f>
        <v/>
      </c>
      <c r="MZ8">
        <f>IF(ROW()-3&gt;MAX($MY$4:$MY$40),"",INDEX($BR$4:$BR$40,MATCH(ROW()-3,$MY$4:$MY$40,0)))</f>
        <v/>
      </c>
      <c r="NA8">
        <f>IF(COUNTIF('Buyer Groups'!DG8:DR8,0)+COUNTIF('Buyer Groups'!DT8:EN8,0)&gt;0,0,1)</f>
        <v/>
      </c>
      <c r="NB8">
        <f>IF($BW$8="",FALSE,SUMPRODUCT(('Final Calculation Sheet'!$M$4:$M$40=$BW$8)*($NA$6:$NA$42=1))&gt;0)</f>
        <v/>
      </c>
      <c r="NC8">
        <f>$NC$7+--($NB8)</f>
        <v/>
      </c>
      <c r="ND8">
        <f>IF(ROW()-3&gt;MAX($NC$4:$NC$40),"",INDEX($BW$4:$BW$40,MATCH(ROW()-3,$NC$4:$NC$40,0)))</f>
        <v/>
      </c>
      <c r="NE8">
        <f>IF(COUNTIF('Buyer Groups'!DG8:DS8,0)+COUNTIF('Buyer Groups'!DU8:EN8,0)&gt;0,0,1)</f>
        <v/>
      </c>
      <c r="NF8">
        <f>IF($CB$8="",FALSE,SUMPRODUCT(('Final Calculation Sheet'!$N$4:$N$40=$CB$8)*($NE$6:$NE$42=1))&gt;0)</f>
        <v/>
      </c>
      <c r="NG8">
        <f>$NG$7+--($NF8)</f>
        <v/>
      </c>
      <c r="NH8">
        <f>IF(ROW()-3&gt;MAX($NG$4:$NG$40),"",INDEX($CB$4:$CB$40,MATCH(ROW()-3,$NG$4:$NG$40,0)))</f>
        <v/>
      </c>
      <c r="NI8">
        <f>IF(COUNTIF('Buyer Groups'!DG8:DT8,0)+COUNTIF('Buyer Groups'!DV8:EN8,0)&gt;0,0,1)</f>
        <v/>
      </c>
      <c r="NJ8">
        <f>IF($CG$8="",FALSE,SUMPRODUCT(('Final Calculation Sheet'!$O$4:$O$40=$CG$8)*($NI$6:$NI$42=1))&gt;0)</f>
        <v/>
      </c>
      <c r="NK8">
        <f>$NK$7+--($NJ8)</f>
        <v/>
      </c>
      <c r="NL8">
        <f>IF(ROW()-3&gt;MAX($NK$4:$NK$40),"",INDEX($CG$4:$CG$40,MATCH(ROW()-3,$NK$4:$NK$40,0)))</f>
        <v/>
      </c>
      <c r="NM8">
        <f>IF(COUNTIF('Buyer Groups'!DG8:DU8,0)+COUNTIF('Buyer Groups'!DW8:EN8,0)&gt;0,0,1)</f>
        <v/>
      </c>
      <c r="NN8">
        <f>IF($CL$8="",FALSE,SUMPRODUCT(('Final Calculation Sheet'!$P$4:$P$40=$CL$8)*($NM$6:$NM$42=1))&gt;0)</f>
        <v/>
      </c>
      <c r="NO8">
        <f>$NO$7+--($NN8)</f>
        <v/>
      </c>
      <c r="NP8">
        <f>IF(ROW()-3&gt;MAX($NO$4:$NO$40),"",INDEX($CL$4:$CL$40,MATCH(ROW()-3,$NO$4:$NO$40,0)))</f>
        <v/>
      </c>
      <c r="NQ8">
        <f>IF(COUNTIF('Buyer Groups'!DG8:DV8,0)+COUNTIF('Buyer Groups'!DX8:EN8,0)&gt;0,0,1)</f>
        <v/>
      </c>
      <c r="NR8">
        <f>IF($CQ$8="",FALSE,SUMPRODUCT(('Final Calculation Sheet'!$Q$4:$Q$40=$CQ$8)*($NQ$6:$NQ$42=1))&gt;0)</f>
        <v/>
      </c>
      <c r="NS8">
        <f>$NS$7+--($NR8)</f>
        <v/>
      </c>
      <c r="NT8">
        <f>IF(ROW()-3&gt;MAX($NS$4:$NS$40),"",INDEX($CQ$4:$CQ$40,MATCH(ROW()-3,$NS$4:$NS$40,0)))</f>
        <v/>
      </c>
      <c r="NU8">
        <f>IF(COUNTIF('Buyer Groups'!DG8:DW8,0)+COUNTIF('Buyer Groups'!DY8:EN8,0)&gt;0,0,1)</f>
        <v/>
      </c>
      <c r="NV8">
        <f>IF($CV$8="",FALSE,SUMPRODUCT(('Final Calculation Sheet'!$R$4:$R$40=$CV$8)*($NU$6:$NU$42=1))&gt;0)</f>
        <v/>
      </c>
      <c r="NW8">
        <f>$NW$7+--($NV8)</f>
        <v/>
      </c>
      <c r="NX8">
        <f>IF(ROW()-3&gt;MAX($NW$4:$NW$40),"",INDEX($CV$4:$CV$40,MATCH(ROW()-3,$NW$4:$NW$40,0)))</f>
        <v/>
      </c>
      <c r="NY8">
        <f>IF(COUNTIF('Buyer Groups'!DG8:DX8,0)+COUNTIF('Buyer Groups'!DZ8:EN8,0)&gt;0,0,1)</f>
        <v/>
      </c>
      <c r="NZ8">
        <f>IF($DA$8="",FALSE,SUMPRODUCT(('Final Calculation Sheet'!$S$4:$S$40=$DA$8)*($NY$6:$NY$42=1))&gt;0)</f>
        <v/>
      </c>
      <c r="OA8">
        <f>$OA$7+--($NZ8)</f>
        <v/>
      </c>
      <c r="OB8">
        <f>IF(ROW()-3&gt;MAX($OA$4:$OA$40),"",INDEX($DA$4:$DA$40,MATCH(ROW()-3,$OA$4:$OA$40,0)))</f>
        <v/>
      </c>
      <c r="OC8">
        <f>IF(COUNTIF('Buyer Groups'!DG8:DY8,0)+COUNTIF('Buyer Groups'!EA8:EN8,0)&gt;0,0,1)</f>
        <v/>
      </c>
      <c r="OD8">
        <f>IF($DF$8="",FALSE,SUMPRODUCT(('Final Calculation Sheet'!$T$4:$T$40=$DF$8)*($OC$6:$OC$42=1))&gt;0)</f>
        <v/>
      </c>
      <c r="OE8">
        <f>$OE$7+--($OD8)</f>
        <v/>
      </c>
      <c r="OF8">
        <f>IF(ROW()-3&gt;MAX($OE$4:$OE$40),"",INDEX($DF$4:$DF$40,MATCH(ROW()-3,$OE$4:$OE$40,0)))</f>
        <v/>
      </c>
      <c r="OG8">
        <f>IF(COUNTIF('Buyer Groups'!DG8:DZ8,0)+COUNTIF('Buyer Groups'!EB8:EN8,0)&gt;0,0,1)</f>
        <v/>
      </c>
      <c r="OH8">
        <f>IF($DK$8="",FALSE,SUMPRODUCT(('Final Calculation Sheet'!$U$4:$U$40=$DK$8)*($OG$6:$OG$42=1))&gt;0)</f>
        <v/>
      </c>
      <c r="OI8">
        <f>$OI$7+--($OH8)</f>
        <v/>
      </c>
      <c r="OJ8">
        <f>IF(ROW()-3&gt;MAX($OI$4:$OI$40),"",INDEX($DK$4:$DK$40,MATCH(ROW()-3,$OI$4:$OI$40,0)))</f>
        <v/>
      </c>
      <c r="OK8">
        <f>IF(COUNTIF('Buyer Groups'!DG8:EA8,0)+COUNTIF('Buyer Groups'!EC8:EN8,0)&gt;0,0,1)</f>
        <v/>
      </c>
      <c r="OL8">
        <f>IF($DP$8="",FALSE,SUMPRODUCT(('Final Calculation Sheet'!$V$4:$V$40=$DP$8)*($OK$6:$OK$42=1))&gt;0)</f>
        <v/>
      </c>
      <c r="OM8">
        <f>$OM$7+--($OL8)</f>
        <v/>
      </c>
      <c r="ON8">
        <f>IF(ROW()-3&gt;MAX($OM$4:$OM$40),"",INDEX($DP$4:$DP$40,MATCH(ROW()-3,$OM$4:$OM$40,0)))</f>
        <v/>
      </c>
      <c r="OO8">
        <f>IF(COUNTIF('Buyer Groups'!DG8:EB8,0)+COUNTIF('Buyer Groups'!ED8:EN8,0)&gt;0,0,1)</f>
        <v/>
      </c>
      <c r="OP8">
        <f>IF($DU$8="",FALSE,SUMPRODUCT(('Final Calculation Sheet'!$W$4:$W$40=$DU$8)*($OO$6:$OO$42=1))&gt;0)</f>
        <v/>
      </c>
      <c r="OQ8">
        <f>$OQ$7+--($OP8)</f>
        <v/>
      </c>
      <c r="OR8">
        <f>IF(ROW()-3&gt;MAX($OQ$4:$OQ$40),"",INDEX($DU$4:$DU$40,MATCH(ROW()-3,$OQ$4:$OQ$40,0)))</f>
        <v/>
      </c>
      <c r="OS8">
        <f>IF(COUNTIF('Buyer Groups'!DG8:EC8,0)+COUNTIF('Buyer Groups'!EE8:EN8,0)&gt;0,0,1)</f>
        <v/>
      </c>
      <c r="OT8">
        <f>IF($DZ$8="",FALSE,SUMPRODUCT(('Final Calculation Sheet'!$X$4:$X$40=$DZ$8)*($OS$6:$OS$42=1))&gt;0)</f>
        <v/>
      </c>
      <c r="OU8">
        <f>$OU$7+--($OT8)</f>
        <v/>
      </c>
      <c r="OV8">
        <f>IF(ROW()-3&gt;MAX($OU$4:$OU$40),"",INDEX($DZ$4:$DZ$40,MATCH(ROW()-3,$OU$4:$OU$40,0)))</f>
        <v/>
      </c>
      <c r="OW8">
        <f>IF(COUNTIF('Buyer Groups'!DG8:ED8,0)+COUNTIF('Buyer Groups'!EF8:EN8,0)&gt;0,0,1)</f>
        <v/>
      </c>
      <c r="OX8">
        <f>IF($EE$8="",FALSE,SUMPRODUCT(('Final Calculation Sheet'!$Y$4:$Y$40=$EE$8)*($OW$6:$OW$42=1))&gt;0)</f>
        <v/>
      </c>
      <c r="OY8">
        <f>$OY$7+--($OX8)</f>
        <v/>
      </c>
      <c r="OZ8">
        <f>IF(ROW()-3&gt;MAX($OY$4:$OY$40),"",INDEX($EE$4:$EE$40,MATCH(ROW()-3,$OY$4:$OY$40,0)))</f>
        <v/>
      </c>
      <c r="PA8">
        <f>IF(COUNTIF('Buyer Groups'!DG8:EE8,0)+COUNTIF('Buyer Groups'!EG8:EN8,0)&gt;0,0,1)</f>
        <v/>
      </c>
      <c r="PB8">
        <f>IF($EJ$8="",FALSE,SUMPRODUCT(('Final Calculation Sheet'!$Z$4:$Z$40=$EJ$8)*($PA$6:$PA$42=1))&gt;0)</f>
        <v/>
      </c>
      <c r="PC8">
        <f>$PC$7+--($PB8)</f>
        <v/>
      </c>
      <c r="PD8">
        <f>IF(ROW()-3&gt;MAX($PC$4:$PC$40),"",INDEX($EJ$4:$EJ$40,MATCH(ROW()-3,$PC$4:$PC$40,0)))</f>
        <v/>
      </c>
      <c r="PE8">
        <f>IF(COUNTIF('Buyer Groups'!DG8:EF8,0)+COUNTIF('Buyer Groups'!EH8:EN8,0)&gt;0,0,1)</f>
        <v/>
      </c>
      <c r="PF8">
        <f>IF($EO$8="",FALSE,SUMPRODUCT(('Final Calculation Sheet'!$AA$4:$AA$40=$EO$8)*($PE$6:$PE$42=1))&gt;0)</f>
        <v/>
      </c>
      <c r="PG8">
        <f>$PG$7+--($PF8)</f>
        <v/>
      </c>
      <c r="PH8">
        <f>IF(ROW()-3&gt;MAX($PG$4:$PG$40),"",INDEX($EO$4:$EO$40,MATCH(ROW()-3,$PG$4:$PG$40,0)))</f>
        <v/>
      </c>
      <c r="PI8">
        <f>IF(COUNTIF('Buyer Groups'!DG8:EG8,0)+COUNTIF('Buyer Groups'!EI8:EN8,0)&gt;0,0,1)</f>
        <v/>
      </c>
      <c r="PJ8">
        <f>IF($ET$8="",FALSE,SUMPRODUCT(('Final Calculation Sheet'!$AB$4:$AB$40=$ET$8)*($PI$6:$PI$42=1))&gt;0)</f>
        <v/>
      </c>
      <c r="PK8">
        <f>$PK$7+--($PJ8)</f>
        <v/>
      </c>
      <c r="PL8">
        <f>IF(ROW()-3&gt;MAX($PK$4:$PK$40),"",INDEX($ET$4:$ET$40,MATCH(ROW()-3,$PK$4:$PK$40,0)))</f>
        <v/>
      </c>
      <c r="PM8">
        <f>IF(COUNTIF('Buyer Groups'!DG8:EH8,0)+COUNTIF('Buyer Groups'!EJ8:EN8,0)&gt;0,0,1)</f>
        <v/>
      </c>
      <c r="PN8">
        <f>IF($EY$8="",FALSE,SUMPRODUCT(('Final Calculation Sheet'!$AC$4:$AC$40=$EY$8)*($PM$6:$PM$42=1))&gt;0)</f>
        <v/>
      </c>
      <c r="PO8">
        <f>$PO$7+--($PN8)</f>
        <v/>
      </c>
      <c r="PP8">
        <f>IF(ROW()-3&gt;MAX($PO$4:$PO$40),"",INDEX($EY$4:$EY$40,MATCH(ROW()-3,$PO$4:$PO$40,0)))</f>
        <v/>
      </c>
      <c r="PQ8">
        <f>IF(COUNTIF('Buyer Groups'!DG8:EI8,0)+COUNTIF('Buyer Groups'!EK8:EN8,0)&gt;0,0,1)</f>
        <v/>
      </c>
      <c r="PR8">
        <f>IF($FD$8="",FALSE,SUMPRODUCT(('Final Calculation Sheet'!$AD$4:$AD$40=$FD$8)*($PQ$6:$PQ$42=1))&gt;0)</f>
        <v/>
      </c>
      <c r="PS8">
        <f>$PS$7+--($PR8)</f>
        <v/>
      </c>
      <c r="PT8">
        <f>IF(ROW()-3&gt;MAX($PS$4:$PS$40),"",INDEX($FD$4:$FD$40,MATCH(ROW()-3,$PS$4:$PS$40,0)))</f>
        <v/>
      </c>
      <c r="PU8">
        <f>IF(COUNTIF('Buyer Groups'!DG8:EJ8,0)+COUNTIF('Buyer Groups'!EL8:EN8,0)&gt;0,0,1)</f>
        <v/>
      </c>
      <c r="PV8">
        <f>IF($FX$8="",FALSE,SUMPRODUCT((IF('Final Calculation Sheet'!$AD$4:$AD$40&lt;=5,"SETTLED","OUTSTANDING")=$FX$8)*($PU$6:$PU$42=1))&gt;0)</f>
        <v/>
      </c>
      <c r="PW8">
        <f>$PW$7+--($PV8)</f>
        <v/>
      </c>
      <c r="PX8">
        <f>IF(ROW()-3&gt;MAX($PW$4:$PW$40),"",INDEX($FX$4:$FX$40,MATCH(ROW()-3,$PW$4:$PW$40,0)))</f>
        <v/>
      </c>
      <c r="PY8">
        <f>IF(COUNTIF('Buyer Groups'!DG8:EK8,0)+COUNTIF('Buyer Groups'!EM8:EN8,0)&gt;0,0,1)</f>
        <v/>
      </c>
      <c r="PZ8">
        <f>IF($FI$8="",FALSE,SUMPRODUCT(('Final Calculation Sheet'!$AF$4:$AF$40=$FI$8)*($PY$6:$PY$42=1))&gt;0)</f>
        <v/>
      </c>
      <c r="QA8">
        <f>$QA$7+--($PZ8)</f>
        <v/>
      </c>
      <c r="QB8">
        <f>IF(ROW()-3&gt;MAX($QA$4:$QA$40),"",INDEX($FI$4:$FI$40,MATCH(ROW()-3,$QA$4:$QA$40,0)))</f>
        <v/>
      </c>
      <c r="QC8">
        <f>IF(COUNTIF('Buyer Groups'!DG8:EL8,0)+COUNTIF('Buyer Groups'!EN8:EN8,0)&gt;0,0,1)</f>
        <v/>
      </c>
      <c r="QD8">
        <f>IF($FN$8="",FALSE,SUMPRODUCT(('Final Calculation Sheet'!$AG$4:$AG$40=$FN$8)*($QC$6:$QC$42=1))&gt;0)</f>
        <v/>
      </c>
      <c r="QE8">
        <f>$QE$7+--($QD8)</f>
        <v/>
      </c>
      <c r="QF8">
        <f>IF(ROW()-3&gt;MAX($QE$4:$QE$40),"",INDEX($FN$4:$FN$40,MATCH(ROW()-3,$QE$4:$QE$40,0)))</f>
        <v/>
      </c>
      <c r="QG8">
        <f>IF(COUNTIF('Buyer Groups'!DG8:EM8,0)&gt;0,0,1)</f>
        <v/>
      </c>
      <c r="QH8">
        <f>IF($FS$8="",FALSE,SUMPRODUCT(('Final Calculation Sheet'!$AH$4:$AH$40=$FS$8)*($QG$6:$QG$42=1))&gt;0)</f>
        <v/>
      </c>
      <c r="QI8">
        <f>$QI$7+--($QH8)</f>
        <v/>
      </c>
      <c r="QJ8">
        <f>IF(ROW()-3&gt;MAX($QI$4:$QI$40),"",INDEX($FS$4:$FS$40,MATCH(ROW()-3,$QI$4:$QI$40,0)))</f>
        <v/>
      </c>
      <c r="QK8" t="str">
        <f>IF('Final Calculation Sheet'!$AH$8="","",'Final Calculation Sheet'!$AH$8)</f>
      </c>
      <c r="QL8" t="str">
        <f>IF(QK8="","",COUNTIFS(QK$4:QK$40,"&lt;"&amp;QK8,QK$4:QK$40,"&lt;&gt;"&amp;"")+COUNTIF(QK$4:QK8,QK8))</f>
      </c>
      <c r="QM8" t="str">
        <f>IF(ROW()-3&gt;COUNTIF(QK$4:QK$40,"&lt;&gt;"&amp;""),"",INDEX(QK$4:QK$40,MATCH(ROW()-3,QL$4:QL$40,0)))</f>
      </c>
      <c r="QN8" t="str">
        <f>=QN7+F(AND(QM8&lt;&gt;"",COUNTIF(QM$4:QM8,QM8)=1),1,0)</f>
      </c>
      <c r="QO8" t="str">
        <f>IF(ROW()-3&gt;MAX(QN$4:QN$40),"",INDEX(QM$4:QM$40,MATCH(ROW()-3,QN$4:QN$40,0)))</f>
      </c>
      <c r="QP8" t="str">
        <f>IF(COUNTIF('Final Calculation Sheet'!$AM8:$BS8,0)&gt;0,0,1)</f>
      </c>
      <c r="QQ8" t="str">
        <f>IF($AI$8="",FALSE,SUMPRODUCT(('Final Calculation Sheet'!$A$4:$A$40=$AI$8)*($QP$4:$QP$40=1))&gt;0)</f>
      </c>
      <c r="QR8" t="str">
        <f>=$QR7+--($QQ8)</f>
      </c>
      <c r="QS8" t="str">
        <f>IF(ROW()-3&gt;MAX($QR$4:$QR$40),"",INDEX($AI$4:$AI$40,MATCH(ROW()-3,$QR$4:$QR$40,0)))</f>
      </c>
      <c r="QT8" t="str">
        <f>IF(COUNTIF('Final Calculation Sheet'!$AL8:$AL8,0)+COUNTIF('Final Calculation Sheet'!$AN8:$BS8,0)&gt;0,0,1)</f>
      </c>
      <c r="QU8" t="str">
        <f>IF($Y$8="",FALSE,SUMPRODUCT(('Final Calculation Sheet'!$B$4:$B$40=$Y$8)*($QT$4:$QT$40=1))&gt;0)</f>
      </c>
      <c r="QV8" t="str">
        <f>=$QV7+--($QU8)</f>
      </c>
      <c r="QW8" t="str">
        <f>IF(ROW()-3&gt;MAX($QV$4:$QV$40),"",INDEX($Y$4:$Y$40,MATCH(ROW()-3,$QV$4:$QV$40,0)))</f>
      </c>
      <c r="QX8" t="str">
        <f>IF(COUNTIF('Final Calculation Sheet'!$AL8:$AM8,0)+COUNTIF('Final Calculation Sheet'!$AO8:$BS8,0)&gt;0,0,1)</f>
      </c>
      <c r="QY8" t="str">
        <f>IF($AS$8="",FALSE,SUMPRODUCT(('Final Calculation Sheet'!$C$4:$C$40=$AS$8)*($QX$4:$QX$40=1))&gt;0)</f>
      </c>
      <c r="QZ8" t="str">
        <f>=$QZ7+--($QY8)</f>
      </c>
      <c r="RA8" t="str">
        <f>IF(ROW()-3&gt;MAX($QZ$4:$QZ$40),"",INDEX($AS$4:$AS$40,MATCH(ROW()-3,$QZ$4:$QZ$40,0)))</f>
      </c>
      <c r="RB8" t="str">
        <f>IF(COUNTIF('Final Calculation Sheet'!$AL8:$AN8,0)+COUNTIF('Final Calculation Sheet'!$AP8:$BS8,0)&gt;0,0,1)</f>
      </c>
      <c r="RC8" t="str">
        <f>IF($AD$8="",FALSE,SUMPRODUCT(('Final Calculation Sheet'!$D$4:$D$40=$AD$8)*($RB$4:$RB$40=1))&gt;0)</f>
      </c>
      <c r="RD8" t="str">
        <f>=$RD7+--($RC8)</f>
      </c>
      <c r="RE8" t="str">
        <f>IF(ROW()-3&gt;MAX($RD$4:$RD$40),"",INDEX($AD$4:$AD$40,MATCH(ROW()-3,$RD$4:$RD$40,0)))</f>
      </c>
      <c r="RF8" t="str">
        <f>IF(COUNTIF('Final Calculation Sheet'!$AL8:$AO8,0)+COUNTIF('Final Calculation Sheet'!$AQ8:$BS8,0)&gt;0,0,1)</f>
      </c>
      <c r="RG8" t="str">
        <f>IF($AN$8="",FALSE,SUMPRODUCT(('Final Calculation Sheet'!$E$4:$E$40=$AN$8)*($RF$4:$RF$40=1))&gt;0)</f>
      </c>
      <c r="RH8" t="str">
        <f>=$RH7+--($RG8)</f>
      </c>
      <c r="RI8" t="str">
        <f>IF(ROW()-3&gt;MAX($RH$4:$RH$40),"",INDEX($AN$4:$AN$40,MATCH(ROW()-3,$RH$4:$RH$40,0)))</f>
      </c>
      <c r="RJ8" t="str">
        <f>IF(COUNTIF('Final Calculation Sheet'!$AL8:$AP8,0)+COUNTIF('Final Calculation Sheet'!$AR8:$BS8,0)&gt;0,0,1)</f>
      </c>
      <c r="RK8" t="str">
        <f>IF($O$8="",FALSE,SUMPRODUCT(('Final Calculation Sheet'!$F$4:$F$40=$O$8)*($RJ$4:$RJ$40=1))&gt;0)</f>
      </c>
      <c r="RL8" t="str">
        <f>=$RL7+--($RK8)</f>
      </c>
      <c r="RM8" t="str">
        <f>IF(ROW()-3&gt;MAX($RL$4:$RL$40),"",INDEX($O$4:$O$40,MATCH(ROW()-3,$RL$4:$RL$40,0)))</f>
      </c>
      <c r="RN8" t="str">
        <f>IF(COUNTIF('Final Calculation Sheet'!$AL8:$AQ8,0)+COUNTIF('Final Calculation Sheet'!$AS8:$BS8,0)&gt;0,0,1)</f>
      </c>
      <c r="RO8" t="str">
        <f>IF($T$8="",FALSE,SUMPRODUCT(('Final Calculation Sheet'!$G$4:$G$40=$T$8)*($RN$4:$RN$40=1))&gt;0)</f>
      </c>
      <c r="RP8" t="str">
        <f>=$RP7+--($RO8)</f>
      </c>
      <c r="RQ8" t="str">
        <f>IF(ROW()-3&gt;MAX($RP$4:$RP$40),"",INDEX($T$4:$T$40,MATCH(ROW()-3,$RP$4:$RP$40,0)))</f>
      </c>
      <c r="RR8" t="str">
        <f>IF(COUNTIF('Final Calculation Sheet'!$AL8:$AR8,0)+COUNTIF('Final Calculation Sheet'!$AT8:$BS8,0)&gt;0,0,1)</f>
      </c>
      <c r="RS8" t="str">
        <f>IF($AX$8="",FALSE,SUMPRODUCT(('Final Calculation Sheet'!$H$4:$H$40=$AX$8)*($RR$4:$RR$40=1))&gt;0)</f>
      </c>
      <c r="RT8" t="str">
        <f>=$RT7+--($RS8)</f>
      </c>
      <c r="RU8" t="str">
        <f>IF(ROW()-3&gt;MAX($RT$4:$RT$40),"",INDEX($AX$4:$AX$40,MATCH(ROW()-3,$RT$4:$RT$40,0)))</f>
      </c>
      <c r="RV8" t="str">
        <f>IF(COUNTIF('Final Calculation Sheet'!$AL8:$AS8,0)+COUNTIF('Final Calculation Sheet'!$AU8:$BS8,0)&gt;0,0,1)</f>
      </c>
      <c r="RW8" t="str">
        <f>IF($BC$8="",FALSE,SUMPRODUCT(('Final Calculation Sheet'!$I$4:$I$40=$BC$8)*($RV$4:$RV$40=1))&gt;0)</f>
      </c>
      <c r="RX8" t="str">
        <f>=$RX7+--($RW8)</f>
      </c>
      <c r="RY8" t="str">
        <f>IF(ROW()-3&gt;MAX($RX$4:$RX$40),"",INDEX($BC$4:$BC$40,MATCH(ROW()-3,$RX$4:$RX$40,0)))</f>
      </c>
      <c r="RZ8" t="str">
        <f>IF(COUNTIF('Final Calculation Sheet'!$AL8:$AT8,0)+COUNTIF('Final Calculation Sheet'!$AV8:$BS8,0)&gt;0,0,1)</f>
      </c>
      <c r="SA8" t="str">
        <f>IF($BH$8="",FALSE,SUMPRODUCT(('Final Calculation Sheet'!$J$4:$J$40=$BH$8)*($RZ$4:$RZ$40=1))&gt;0)</f>
      </c>
      <c r="SB8" t="str">
        <f>=$SB7+--($SA8)</f>
      </c>
      <c r="SC8" t="str">
        <f>IF(ROW()-3&gt;MAX($SB$4:$SB$40),"",INDEX($BH$4:$BH$40,MATCH(ROW()-3,$SB$4:$SB$40,0)))</f>
      </c>
      <c r="SD8" t="str">
        <f>IF(COUNTIF('Final Calculation Sheet'!$AL8:$AU8,0)+COUNTIF('Final Calculation Sheet'!$AW8:$BS8,0)&gt;0,0,1)</f>
      </c>
      <c r="SE8" t="str">
        <f>IF($BM$8="",FALSE,SUMPRODUCT(('Final Calculation Sheet'!$K$4:$K$40=$BM$8)*($SD$4:$SD$40=1))&gt;0)</f>
      </c>
      <c r="SF8" t="str">
        <f>=$SF7+--($SE8)</f>
      </c>
      <c r="SG8" t="str">
        <f>IF(ROW()-3&gt;MAX($SF$4:$SF$40),"",INDEX($BM$4:$BM$40,MATCH(ROW()-3,$SF$4:$SF$40,0)))</f>
      </c>
      <c r="SH8" t="str">
        <f>IF(COUNTIF('Final Calculation Sheet'!$AL8:$AV8,0)+COUNTIF('Final Calculation Sheet'!$AX8:$BS8,0)&gt;0,0,1)</f>
      </c>
      <c r="SI8" t="str">
        <f>IF($BR$8="",FALSE,SUMPRODUCT(('Final Calculation Sheet'!$L$4:$L$40=$BR$8)*($SH$4:$SH$40=1))&gt;0)</f>
      </c>
      <c r="SJ8" t="str">
        <f>=$SJ7+--($SI8)</f>
      </c>
      <c r="SK8" t="str">
        <f>IF(ROW()-3&gt;MAX($SJ$4:$SJ$40),"",INDEX($BR$4:$BR$40,MATCH(ROW()-3,$SJ$4:$SJ$40,0)))</f>
      </c>
      <c r="SL8" t="str">
        <f>IF(COUNTIF('Final Calculation Sheet'!$AL8:$AW8,0)+COUNTIF('Final Calculation Sheet'!$AY8:$BS8,0)&gt;0,0,1)</f>
      </c>
      <c r="SM8" t="str">
        <f>IF($BW$8="",FALSE,SUMPRODUCT(('Final Calculation Sheet'!$M$4:$M$40=$BW$8)*($SL$4:$SL$40=1))&gt;0)</f>
      </c>
      <c r="SN8" t="str">
        <f>=$SN7+--($SM8)</f>
      </c>
      <c r="SO8" t="str">
        <f>IF(ROW()-3&gt;MAX($SN$4:$SN$40),"",INDEX($BW$4:$BW$40,MATCH(ROW()-3,$SN$4:$SN$40,0)))</f>
      </c>
      <c r="SP8" t="str">
        <f>IF(COUNTIF('Final Calculation Sheet'!$AL8:$AX8,0)+COUNTIF('Final Calculation Sheet'!$AZ8:$BS8,0)&gt;0,0,1)</f>
      </c>
      <c r="SQ8" t="str">
        <f>IF($CB$8="",FALSE,SUMPRODUCT(('Final Calculation Sheet'!$N$4:$N$40=$CB$8)*($SP$4:$SP$40=1))&gt;0)</f>
      </c>
      <c r="SR8" t="str">
        <f>=$SR7+--($SQ8)</f>
      </c>
      <c r="SS8" t="str">
        <f>IF(ROW()-3&gt;MAX($SR$4:$SR$40),"",INDEX($CB$4:$CB$40,MATCH(ROW()-3,$SR$4:$SR$40,0)))</f>
      </c>
      <c r="ST8" t="str">
        <f>IF(COUNTIF('Final Calculation Sheet'!$AL8:$AY8,0)+COUNTIF('Final Calculation Sheet'!$BA8:$BS8,0)&gt;0,0,1)</f>
      </c>
      <c r="SU8" t="str">
        <f>IF($CG$8="",FALSE,SUMPRODUCT(('Final Calculation Sheet'!$O$4:$O$40=$CG$8)*($ST$4:$ST$40=1))&gt;0)</f>
      </c>
      <c r="SV8" t="str">
        <f>=$SV7+--($SU8)</f>
      </c>
      <c r="SW8" t="str">
        <f>IF(ROW()-3&gt;MAX($SV$4:$SV$40),"",INDEX($CG$4:$CG$40,MATCH(ROW()-3,$SV$4:$SV$40,0)))</f>
      </c>
      <c r="SX8" t="str">
        <f>IF(COUNTIF('Final Calculation Sheet'!$AL8:$AZ8,0)+COUNTIF('Final Calculation Sheet'!$BB8:$BS8,0)&gt;0,0,1)</f>
      </c>
      <c r="SY8" t="str">
        <f>IF($CL$8="",FALSE,SUMPRODUCT(('Final Calculation Sheet'!$P$4:$P$40=$CL$8)*($SX$4:$SX$40=1))&gt;0)</f>
      </c>
      <c r="SZ8" t="str">
        <f>=$SZ7+--($SY8)</f>
      </c>
      <c r="TA8" t="str">
        <f>IF(ROW()-3&gt;MAX($SZ$4:$SZ$40),"",INDEX($CL$4:$CL$40,MATCH(ROW()-3,$SZ$4:$SZ$40,0)))</f>
      </c>
      <c r="TB8" t="str">
        <f>IF(COUNTIF('Final Calculation Sheet'!$AL8:$BA8,0)+COUNTIF('Final Calculation Sheet'!$BC8:$BS8,0)&gt;0,0,1)</f>
      </c>
      <c r="TC8" t="str">
        <f>IF($CQ$8="",FALSE,SUMPRODUCT(('Final Calculation Sheet'!$Q$4:$Q$40=$CQ$8)*($TB$4:$TB$40=1))&gt;0)</f>
      </c>
      <c r="TD8" t="str">
        <f>=$TD7+--($TC8)</f>
      </c>
      <c r="TE8" t="str">
        <f>IF(ROW()-3&gt;MAX($TD$4:$TD$40),"",INDEX($CQ$4:$CQ$40,MATCH(ROW()-3,$TD$4:$TD$40,0)))</f>
      </c>
      <c r="TF8" t="str">
        <f>IF(COUNTIF('Final Calculation Sheet'!$AL8:$BB8,0)+COUNTIF('Final Calculation Sheet'!$BD8:$BS8,0)&gt;0,0,1)</f>
      </c>
      <c r="TG8" t="str">
        <f>IF($CV$8="",FALSE,SUMPRODUCT(('Final Calculation Sheet'!$R$4:$R$40=$CV$8)*($TF$4:$TF$40=1))&gt;0)</f>
      </c>
      <c r="TH8" t="str">
        <f>=$TH7+--($TG8)</f>
      </c>
      <c r="TI8" t="str">
        <f>IF(ROW()-3&gt;MAX($TH$4:$TH$40),"",INDEX($CV$4:$CV$40,MATCH(ROW()-3,$TH$4:$TH$40,0)))</f>
      </c>
      <c r="TJ8" t="str">
        <f>IF(COUNTIF('Final Calculation Sheet'!$AL8:$BC8,0)+COUNTIF('Final Calculation Sheet'!$BE8:$BS8,0)&gt;0,0,1)</f>
      </c>
      <c r="TK8" t="str">
        <f>IF($DA$8="",FALSE,SUMPRODUCT(('Final Calculation Sheet'!$S$4:$S$40=$DA$8)*($TJ$4:$TJ$40=1))&gt;0)</f>
      </c>
      <c r="TL8" t="str">
        <f>=$TL7+--($TK8)</f>
      </c>
      <c r="TM8" t="str">
        <f>IF(ROW()-3&gt;MAX($TL$4:$TL$40),"",INDEX($DA$4:$DA$40,MATCH(ROW()-3,$TL$4:$TL$40,0)))</f>
      </c>
      <c r="TN8" t="str">
        <f>IF(COUNTIF('Final Calculation Sheet'!$AL8:$BD8,0)+COUNTIF('Final Calculation Sheet'!$BF8:$BS8,0)&gt;0,0,1)</f>
      </c>
      <c r="TO8" t="str">
        <f>IF($DF$8="",FALSE,SUMPRODUCT(('Final Calculation Sheet'!$T$4:$T$40=$DF$8)*($TN$4:$TN$40=1))&gt;0)</f>
      </c>
      <c r="TP8" t="str">
        <f>=$TP7+--($TO8)</f>
      </c>
      <c r="TQ8" t="str">
        <f>IF(ROW()-3&gt;MAX($TP$4:$TP$40),"",INDEX($DF$4:$DF$40,MATCH(ROW()-3,$TP$4:$TP$40,0)))</f>
      </c>
      <c r="TR8" t="str">
        <f>IF(COUNTIF('Final Calculation Sheet'!$AL8:$BE8,0)+COUNTIF('Final Calculation Sheet'!$BG8:$BS8,0)&gt;0,0,1)</f>
      </c>
      <c r="TS8" t="str">
        <f>IF($DK$8="",FALSE,SUMPRODUCT(('Final Calculation Sheet'!$U$4:$U$40=$DK$8)*($TR$4:$TR$40=1))&gt;0)</f>
      </c>
      <c r="TT8" t="str">
        <f>=$TT7+--($TS8)</f>
      </c>
      <c r="TU8" t="str">
        <f>IF(ROW()-3&gt;MAX($TT$4:$TT$40),"",INDEX($DK$4:$DK$40,MATCH(ROW()-3,$TT$4:$TT$40,0)))</f>
      </c>
      <c r="TV8" t="str">
        <f>IF(COUNTIF('Final Calculation Sheet'!$AL8:$BF8,0)+COUNTIF('Final Calculation Sheet'!$BH8:$BS8,0)&gt;0,0,1)</f>
      </c>
      <c r="TW8" t="str">
        <f>IF($DP$8="",FALSE,SUMPRODUCT(('Final Calculation Sheet'!$V$4:$V$40=$DP$8)*($TV$4:$TV$40=1))&gt;0)</f>
      </c>
      <c r="TX8" t="str">
        <f>=$TX7+--($TW8)</f>
      </c>
      <c r="TY8" t="str">
        <f>IF(ROW()-3&gt;MAX($TX$4:$TX$40),"",INDEX($DP$4:$DP$40,MATCH(ROW()-3,$TX$4:$TX$40,0)))</f>
      </c>
      <c r="TZ8" t="str">
        <f>IF(COUNTIF('Final Calculation Sheet'!$AL8:$BG8,0)+COUNTIF('Final Calculation Sheet'!$BI8:$BS8,0)&gt;0,0,1)</f>
      </c>
      <c r="UA8" t="str">
        <f>IF($DU$8="",FALSE,SUMPRODUCT(('Final Calculation Sheet'!$W$4:$W$40=$DU$8)*($TZ$4:$TZ$40=1))&gt;0)</f>
      </c>
      <c r="UB8" t="str">
        <f>=$UB7+--($UA8)</f>
      </c>
      <c r="UC8" t="str">
        <f>IF(ROW()-3&gt;MAX($UB$4:$UB$40),"",INDEX($DU$4:$DU$40,MATCH(ROW()-3,$UB$4:$UB$40,0)))</f>
      </c>
      <c r="UD8" t="str">
        <f>IF(COUNTIF('Final Calculation Sheet'!$AL8:$BH8,0)+COUNTIF('Final Calculation Sheet'!$BJ8:$BS8,0)&gt;0,0,1)</f>
      </c>
      <c r="UE8" t="str">
        <f>IF($DZ$8="",FALSE,SUMPRODUCT(('Final Calculation Sheet'!$X$4:$X$40=$DZ$8)*($UD$4:$UD$40=1))&gt;0)</f>
      </c>
      <c r="UF8" t="str">
        <f>=$UF7+--($UE8)</f>
      </c>
      <c r="UG8" t="str">
        <f>IF(ROW()-3&gt;MAX($UF$4:$UF$40),"",INDEX($DZ$4:$DZ$40,MATCH(ROW()-3,$UF$4:$UF$40,0)))</f>
      </c>
      <c r="UH8" t="str">
        <f>IF(COUNTIF('Final Calculation Sheet'!$AL8:$BI8,0)+COUNTIF('Final Calculation Sheet'!$BK8:$BS8,0)&gt;0,0,1)</f>
      </c>
      <c r="UI8" t="str">
        <f>IF($EE$8="",FALSE,SUMPRODUCT(('Final Calculation Sheet'!$Y$4:$Y$40=$EE$8)*($UH$4:$UH$40=1))&gt;0)</f>
      </c>
      <c r="UJ8" t="str">
        <f>=$UJ7+--($UI8)</f>
      </c>
      <c r="UK8" t="str">
        <f>IF(ROW()-3&gt;MAX($UJ$4:$UJ$40),"",INDEX($EE$4:$EE$40,MATCH(ROW()-3,$UJ$4:$UJ$40,0)))</f>
      </c>
      <c r="UL8" t="str">
        <f>IF(COUNTIF('Final Calculation Sheet'!$AL8:$BJ8,0)+COUNTIF('Final Calculation Sheet'!$BL8:$BS8,0)&gt;0,0,1)</f>
      </c>
      <c r="UM8" t="str">
        <f>IF($EJ$8="",FALSE,SUMPRODUCT(('Final Calculation Sheet'!$Z$4:$Z$40=$EJ$8)*($UL$4:$UL$40=1))&gt;0)</f>
      </c>
      <c r="UN8" t="str">
        <f>=$UN7+--($UM8)</f>
      </c>
      <c r="UO8" t="str">
        <f>IF(ROW()-3&gt;MAX($UN$4:$UN$40),"",INDEX($EJ$4:$EJ$40,MATCH(ROW()-3,$UN$4:$UN$40,0)))</f>
      </c>
      <c r="UP8" t="str">
        <f>IF(COUNTIF('Final Calculation Sheet'!$AL8:$BK8,0)+COUNTIF('Final Calculation Sheet'!$BM8:$BS8,0)&gt;0,0,1)</f>
      </c>
      <c r="UQ8" t="str">
        <f>IF($EO$8="",FALSE,SUMPRODUCT(('Final Calculation Sheet'!$AA$4:$AA$40=$EO$8)*($UP$4:$UP$40=1))&gt;0)</f>
      </c>
      <c r="UR8" t="str">
        <f>=$UR7+--($UQ8)</f>
      </c>
      <c r="US8" t="str">
        <f>IF(ROW()-3&gt;MAX($UR$4:$UR$40),"",INDEX($EO$4:$EO$40,MATCH(ROW()-3,$UR$4:$UR$40,0)))</f>
      </c>
      <c r="UT8" t="str">
        <f>IF(COUNTIF('Final Calculation Sheet'!$AL8:$BL8,0)+COUNTIF('Final Calculation Sheet'!$BN8:$BS8,0)&gt;0,0,1)</f>
      </c>
      <c r="UU8" t="str">
        <f>IF($ET$8="",FALSE,SUMPRODUCT(('Final Calculation Sheet'!$AB$4:$AB$40=$ET$8)*($UT$4:$UT$40=1))&gt;0)</f>
      </c>
      <c r="UV8" t="str">
        <f>=$UV7+--($UU8)</f>
      </c>
      <c r="UW8" t="str">
        <f>IF(ROW()-3&gt;MAX($UV$4:$UV$40),"",INDEX($ET$4:$ET$40,MATCH(ROW()-3,$UV$4:$UV$40,0)))</f>
      </c>
      <c r="UX8" t="str">
        <f>IF(COUNTIF('Final Calculation Sheet'!$AL8:$BM8,0)+COUNTIF('Final Calculation Sheet'!$BO8:$BS8,0)&gt;0,0,1)</f>
      </c>
      <c r="UY8" t="str">
        <f>IF($EY$8="",FALSE,SUMPRODUCT(('Final Calculation Sheet'!$AC$4:$AC$40=$EY$8)*($UX$4:$UX$40=1))&gt;0)</f>
      </c>
      <c r="UZ8" t="str">
        <f>=$UZ7+--($UY8)</f>
      </c>
      <c r="VA8" t="str">
        <f>IF(ROW()-3&gt;MAX($UZ$4:$UZ$40),"",INDEX($EY$4:$EY$40,MATCH(ROW()-3,$UZ$4:$UZ$40,0)))</f>
      </c>
      <c r="VB8" t="str">
        <f>IF(COUNTIF('Final Calculation Sheet'!$AL8:$BN8,0)+COUNTIF('Final Calculation Sheet'!$BP8:$BS8,0)&gt;0,0,1)</f>
      </c>
      <c r="VC8" t="str">
        <f>IF($FD$8="",FALSE,SUMPRODUCT(('Final Calculation Sheet'!$AD$4:$AD$40=$FD$8)*($VB$4:$VB$40=1))&gt;0)</f>
      </c>
      <c r="VD8" t="str">
        <f>=$VD7+--($VC8)</f>
      </c>
      <c r="VE8" t="str">
        <f>IF(ROW()-3&gt;MAX($VD$4:$VD$40),"",INDEX($FD$4:$FD$40,MATCH(ROW()-3,$VD$4:$VD$40,0)))</f>
      </c>
      <c r="VF8" t="str">
        <f>IF(COUNTIF('Final Calculation Sheet'!$AL8:$BO8,0)+COUNTIF('Final Calculation Sheet'!$BQ8:$BS8,0)&gt;0,0,1)</f>
      </c>
      <c r="VG8" t="str">
        <f>IF($FI$8="",FALSE,SUMPRODUCT(('Final Calculation Sheet'!$AE$4:$AE$40=$FI$8)*($VF$4:$VF$40=1))&gt;0)</f>
      </c>
      <c r="VH8" t="str">
        <f>=$VH7+--($VG8)</f>
      </c>
      <c r="VI8" t="str">
        <f>IF(ROW()-3&gt;MAX($VH$4:$VH$40),"",INDEX($FI$4:$FI$40,MATCH(ROW()-3,$VH$4:$VH$40,0)))</f>
      </c>
      <c r="VJ8" t="str">
        <f>IF(COUNTIF('Final Calculation Sheet'!$AL8:$BP8,0)+COUNTIF('Final Calculation Sheet'!$BR8:$BS8,0)&gt;0,0,1)</f>
      </c>
      <c r="VK8" t="str">
        <f>IF($FN$8="",FALSE,SUMPRODUCT(('Final Calculation Sheet'!$AF$4:$AF$40=$FN$8)*($VJ$4:$VJ$40=1))&gt;0)</f>
      </c>
      <c r="VL8" t="str">
        <f>=$VL7+--($VK8)</f>
      </c>
      <c r="VM8" t="str">
        <f>IF(ROW()-3&gt;MAX($VL$4:$VL$40),"",INDEX($FN$4:$FN$40,MATCH(ROW()-3,$VL$4:$VL$40,0)))</f>
      </c>
      <c r="VN8" t="str">
        <f>IF(COUNTIF('Final Calculation Sheet'!$AL8:$BQ8,0)+COUNTIF('Final Calculation Sheet'!$BS8:$BS8,0)&gt;0,0,1)</f>
      </c>
      <c r="VO8" t="str">
        <f>IF($FS$8="",FALSE,SUMPRODUCT(('Final Calculation Sheet'!$AG$4:$AG$40=$FS$8)*($VN$4:$VN$40=1))&gt;0)</f>
      </c>
      <c r="VP8" t="str">
        <f>=$VP7+--($VO8)</f>
      </c>
      <c r="VQ8" t="str">
        <f>IF(ROW()-3&gt;MAX($VP$4:$VP$40),"",INDEX($FS$4:$FS$40,MATCH(ROW()-3,$VP$4:$VP$40,0)))</f>
      </c>
      <c r="VR8" t="str">
        <f>IF(COUNTIF('Final Calculation Sheet'!$AL8:$BR8,0)&gt;0,0,1)</f>
      </c>
      <c r="VS8" t="str">
        <f>IF($QO$8="",FALSE,SUMPRODUCT(('Final Calculation Sheet'!$AH$4:$AH$40=$QO$8)*($VR$4:$VR$40=1))&gt;0)</f>
      </c>
      <c r="VT8" t="str">
        <f>=$VT7+--($VS8)</f>
      </c>
      <c r="VU8" t="str">
        <f>IF(ROW()-3&gt;MAX($VT$4:$VT$40),"",INDEX($QO$4:$QO$40,MATCH(ROW()-3,$VT$4:$VT$40,0)))</f>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IF(ROW()-3&gt;MAX($LC$4:$LC$40),"",INDEX($FS$4:$FS$40,MATCH(ROW()-3,$LC$4:$LC$40,0)))</f>
        <v/>
      </c>
      <c r="LE9">
        <f>IF(COUNTIF('Buyer Groups'!DH9:EN9,0)&gt;0,0,1)</f>
        <v/>
      </c>
      <c r="LF9">
        <f>IF($O$9="",FALSE,SUMPRODUCT(('Final Calculation Sheet'!$F$4:$F$40=$O$9)*($LE$6:$LE$42=1))&gt;0)</f>
        <v/>
      </c>
      <c r="LG9">
        <f>$LG$8+--($LF9)</f>
        <v/>
      </c>
      <c r="LH9">
        <f>IF(ROW()-3&gt;MAX($LG$4:$LG$40),"",INDEX($O$4:$O$40,MATCH(ROW()-3,$LG$4:$LG$40,0)))</f>
        <v/>
      </c>
      <c r="LI9">
        <f>IF(COUNTIF('Buyer Groups'!DG9:DG9,0)+COUNTIF('Buyer Groups'!DI9:EN9,0)&gt;0,0,1)</f>
        <v/>
      </c>
      <c r="LJ9">
        <f>IF($T$9="",FALSE,SUMPRODUCT(('Final Calculation Sheet'!$G$4:$G$40=$T$9)*($LI$6:$LI$42=1))&gt;0)</f>
        <v/>
      </c>
      <c r="LK9">
        <f>$LK$8+--($LJ9)</f>
        <v/>
      </c>
      <c r="LL9">
        <f>IF(ROW()-3&gt;MAX($LK$4:$LK$40),"",INDEX($T$4:$T$40,MATCH(ROW()-3,$LK$4:$LK$40,0)))</f>
        <v/>
      </c>
      <c r="LM9">
        <f>IF(COUNTIF('Buyer Groups'!DG9:DH9,0)+COUNTIF('Buyer Groups'!DJ9:EN9,0)&gt;0,0,1)</f>
        <v/>
      </c>
      <c r="LN9">
        <f>IF($Y$9="",FALSE,SUMPRODUCT(('Final Calculation Sheet'!$B$4:$B$40=$Y$9)*($LM$6:$LM$42=1))&gt;0)</f>
        <v/>
      </c>
      <c r="LO9">
        <f>$LO$8+--($LN9)</f>
        <v/>
      </c>
      <c r="LP9">
        <f>IF(ROW()-3&gt;MAX($LO$4:$LO$40),"",INDEX($Y$4:$Y$40,MATCH(ROW()-3,$LO$4:$LO$40,0)))</f>
        <v/>
      </c>
      <c r="LQ9">
        <f>IF(COUNTIF('Buyer Groups'!DG9:DI9,0)+COUNTIF('Buyer Groups'!DK9:EN9,0)&gt;0,0,1)</f>
        <v/>
      </c>
      <c r="LR9">
        <f>IF($AD$9="",FALSE,SUMPRODUCT(('Final Calculation Sheet'!$D$4:$D$40=$AD$9)*($LQ$6:$LQ$42=1))&gt;0)</f>
        <v/>
      </c>
      <c r="LS9">
        <f>$LS$8+--($LR9)</f>
        <v/>
      </c>
      <c r="LT9">
        <f>IF(ROW()-3&gt;MAX($LS$4:$LS$40),"",INDEX($AD$4:$AD$40,MATCH(ROW()-3,$LS$4:$LS$40,0)))</f>
        <v/>
      </c>
      <c r="LU9">
        <f>IF(COUNTIF('Buyer Groups'!DG9:DJ9,0)+COUNTIF('Buyer Groups'!DL9:EN9,0)&gt;0,0,1)</f>
        <v/>
      </c>
      <c r="LV9">
        <f>IF($AI$9="",FALSE,SUMPRODUCT(('Final Calculation Sheet'!$A$4:$A$40=$AI$9)*($LU$6:$LU$42=1))&gt;0)</f>
        <v/>
      </c>
      <c r="LW9">
        <f>$LW$8+--($LV9)</f>
        <v/>
      </c>
      <c r="LX9">
        <f>IF(ROW()-3&gt;MAX($LW$4:$LW$40),"",INDEX($AI$4:$AI$40,MATCH(ROW()-3,$LW$4:$LW$40,0)))</f>
        <v/>
      </c>
      <c r="LY9">
        <f>IF(COUNTIF('Buyer Groups'!DG9:DK9,0)+COUNTIF('Buyer Groups'!DM9:EN9,0)&gt;0,0,1)</f>
        <v/>
      </c>
      <c r="LZ9">
        <f>IF($AN$9="",FALSE,SUMPRODUCT(('Final Calculation Sheet'!$E$4:$E$40=$AN$9)*($LY$6:$LY$42=1))&gt;0)</f>
        <v/>
      </c>
      <c r="MA9">
        <f>$MA$8+--($LZ9)</f>
        <v/>
      </c>
      <c r="MB9">
        <f>IF(ROW()-3&gt;MAX($MA$4:$MA$40),"",INDEX($AN$4:$AN$40,MATCH(ROW()-3,$MA$4:$MA$40,0)))</f>
        <v/>
      </c>
      <c r="MC9">
        <f>IF(COUNTIF('Buyer Groups'!DG9:DL9,0)+COUNTIF('Buyer Groups'!DN9:EN9,0)&gt;0,0,1)</f>
        <v/>
      </c>
      <c r="MD9">
        <f>IF($AS$9="",FALSE,SUMPRODUCT(('Final Calculation Sheet'!$C$4:$C$40=$AS$9)*($MC$6:$MC$42=1))&gt;0)</f>
        <v/>
      </c>
      <c r="ME9">
        <f>$ME$8+--($MD9)</f>
        <v/>
      </c>
      <c r="MF9">
        <f>IF(ROW()-3&gt;MAX($ME$4:$ME$40),"",INDEX($AS$4:$AS$40,MATCH(ROW()-3,$ME$4:$ME$40,0)))</f>
        <v/>
      </c>
      <c r="MG9">
        <f>IF(COUNTIF('Buyer Groups'!DG9:DM9,0)+COUNTIF('Buyer Groups'!DO9:EN9,0)&gt;0,0,1)</f>
        <v/>
      </c>
      <c r="MH9">
        <f>IF($AX$9="",FALSE,SUMPRODUCT(('Final Calculation Sheet'!$H$4:$H$40=$AX$9)*($MG$6:$MG$42=1))&gt;0)</f>
        <v/>
      </c>
      <c r="MI9">
        <f>$MI$8+--($MH9)</f>
        <v/>
      </c>
      <c r="MJ9">
        <f>IF(ROW()-3&gt;MAX($MI$4:$MI$40),"",INDEX($AX$4:$AX$40,MATCH(ROW()-3,$MI$4:$MI$40,0)))</f>
        <v/>
      </c>
      <c r="MK9">
        <f>IF(COUNTIF('Buyer Groups'!DG9:DN9,0)+COUNTIF('Buyer Groups'!DP9:EN9,0)&gt;0,0,1)</f>
        <v/>
      </c>
      <c r="ML9">
        <f>IF($BC$9="",FALSE,SUMPRODUCT(('Final Calculation Sheet'!$I$4:$I$40=$BC$9)*($MK$6:$MK$42=1))&gt;0)</f>
        <v/>
      </c>
      <c r="MM9">
        <f>$MM$8+--($ML9)</f>
        <v/>
      </c>
      <c r="MN9">
        <f>IF(ROW()-3&gt;MAX($MM$4:$MM$40),"",INDEX($BC$4:$BC$40,MATCH(ROW()-3,$MM$4:$MM$40,0)))</f>
        <v/>
      </c>
      <c r="MO9">
        <f>IF(COUNTIF('Buyer Groups'!DG9:DO9,0)+COUNTIF('Buyer Groups'!DQ9:EN9,0)&gt;0,0,1)</f>
        <v/>
      </c>
      <c r="MP9">
        <f>IF($BH$9="",FALSE,SUMPRODUCT(('Final Calculation Sheet'!$J$4:$J$40=$BH$9)*($MO$6:$MO$42=1))&gt;0)</f>
        <v/>
      </c>
      <c r="MQ9">
        <f>$MQ$8+--($MP9)</f>
        <v/>
      </c>
      <c r="MR9">
        <f>IF(ROW()-3&gt;MAX($MQ$4:$MQ$40),"",INDEX($BH$4:$BH$40,MATCH(ROW()-3,$MQ$4:$MQ$40,0)))</f>
        <v/>
      </c>
      <c r="MS9">
        <f>IF(COUNTIF('Buyer Groups'!DG9:DP9,0)+COUNTIF('Buyer Groups'!DR9:EN9,0)&gt;0,0,1)</f>
        <v/>
      </c>
      <c r="MT9">
        <f>IF($BM$9="",FALSE,SUMPRODUCT(('Final Calculation Sheet'!$K$4:$K$40=$BM$9)*($MS$6:$MS$42=1))&gt;0)</f>
        <v/>
      </c>
      <c r="MU9">
        <f>$MU$8+--($MT9)</f>
        <v/>
      </c>
      <c r="MV9">
        <f>IF(ROW()-3&gt;MAX($MU$4:$MU$40),"",INDEX($BM$4:$BM$40,MATCH(ROW()-3,$MU$4:$MU$40,0)))</f>
        <v/>
      </c>
      <c r="MW9">
        <f>IF(COUNTIF('Buyer Groups'!DG9:DQ9,0)+COUNTIF('Buyer Groups'!DS9:EN9,0)&gt;0,0,1)</f>
        <v/>
      </c>
      <c r="MX9">
        <f>IF($BR$9="",FALSE,SUMPRODUCT(('Final Calculation Sheet'!$L$4:$L$40=$BR$9)*($MW$6:$MW$42=1))&gt;0)</f>
        <v/>
      </c>
      <c r="MY9">
        <f>$MY$8+--($MX9)</f>
        <v/>
      </c>
      <c r="MZ9">
        <f>IF(ROW()-3&gt;MAX($MY$4:$MY$40),"",INDEX($BR$4:$BR$40,MATCH(ROW()-3,$MY$4:$MY$40,0)))</f>
        <v/>
      </c>
      <c r="NA9">
        <f>IF(COUNTIF('Buyer Groups'!DG9:DR9,0)+COUNTIF('Buyer Groups'!DT9:EN9,0)&gt;0,0,1)</f>
        <v/>
      </c>
      <c r="NB9">
        <f>IF($BW$9="",FALSE,SUMPRODUCT(('Final Calculation Sheet'!$M$4:$M$40=$BW$9)*($NA$6:$NA$42=1))&gt;0)</f>
        <v/>
      </c>
      <c r="NC9">
        <f>$NC$8+--($NB9)</f>
        <v/>
      </c>
      <c r="ND9">
        <f>IF(ROW()-3&gt;MAX($NC$4:$NC$40),"",INDEX($BW$4:$BW$40,MATCH(ROW()-3,$NC$4:$NC$40,0)))</f>
        <v/>
      </c>
      <c r="NE9">
        <f>IF(COUNTIF('Buyer Groups'!DG9:DS9,0)+COUNTIF('Buyer Groups'!DU9:EN9,0)&gt;0,0,1)</f>
        <v/>
      </c>
      <c r="NF9">
        <f>IF($CB$9="",FALSE,SUMPRODUCT(('Final Calculation Sheet'!$N$4:$N$40=$CB$9)*($NE$6:$NE$42=1))&gt;0)</f>
        <v/>
      </c>
      <c r="NG9">
        <f>$NG$8+--($NF9)</f>
        <v/>
      </c>
      <c r="NH9">
        <f>IF(ROW()-3&gt;MAX($NG$4:$NG$40),"",INDEX($CB$4:$CB$40,MATCH(ROW()-3,$NG$4:$NG$40,0)))</f>
        <v/>
      </c>
      <c r="NI9">
        <f>IF(COUNTIF('Buyer Groups'!DG9:DT9,0)+COUNTIF('Buyer Groups'!DV9:EN9,0)&gt;0,0,1)</f>
        <v/>
      </c>
      <c r="NJ9">
        <f>IF($CG$9="",FALSE,SUMPRODUCT(('Final Calculation Sheet'!$O$4:$O$40=$CG$9)*($NI$6:$NI$42=1))&gt;0)</f>
        <v/>
      </c>
      <c r="NK9">
        <f>$NK$8+--($NJ9)</f>
        <v/>
      </c>
      <c r="NL9">
        <f>IF(ROW()-3&gt;MAX($NK$4:$NK$40),"",INDEX($CG$4:$CG$40,MATCH(ROW()-3,$NK$4:$NK$40,0)))</f>
        <v/>
      </c>
      <c r="NM9">
        <f>IF(COUNTIF('Buyer Groups'!DG9:DU9,0)+COUNTIF('Buyer Groups'!DW9:EN9,0)&gt;0,0,1)</f>
        <v/>
      </c>
      <c r="NN9">
        <f>IF($CL$9="",FALSE,SUMPRODUCT(('Final Calculation Sheet'!$P$4:$P$40=$CL$9)*($NM$6:$NM$42=1))&gt;0)</f>
        <v/>
      </c>
      <c r="NO9">
        <f>$NO$8+--($NN9)</f>
        <v/>
      </c>
      <c r="NP9">
        <f>IF(ROW()-3&gt;MAX($NO$4:$NO$40),"",INDEX($CL$4:$CL$40,MATCH(ROW()-3,$NO$4:$NO$40,0)))</f>
        <v/>
      </c>
      <c r="NQ9">
        <f>IF(COUNTIF('Buyer Groups'!DG9:DV9,0)+COUNTIF('Buyer Groups'!DX9:EN9,0)&gt;0,0,1)</f>
        <v/>
      </c>
      <c r="NR9">
        <f>IF($CQ$9="",FALSE,SUMPRODUCT(('Final Calculation Sheet'!$Q$4:$Q$40=$CQ$9)*($NQ$6:$NQ$42=1))&gt;0)</f>
        <v/>
      </c>
      <c r="NS9">
        <f>$NS$8+--($NR9)</f>
        <v/>
      </c>
      <c r="NT9">
        <f>IF(ROW()-3&gt;MAX($NS$4:$NS$40),"",INDEX($CQ$4:$CQ$40,MATCH(ROW()-3,$NS$4:$NS$40,0)))</f>
        <v/>
      </c>
      <c r="NU9">
        <f>IF(COUNTIF('Buyer Groups'!DG9:DW9,0)+COUNTIF('Buyer Groups'!DY9:EN9,0)&gt;0,0,1)</f>
        <v/>
      </c>
      <c r="NV9">
        <f>IF($CV$9="",FALSE,SUMPRODUCT(('Final Calculation Sheet'!$R$4:$R$40=$CV$9)*($NU$6:$NU$42=1))&gt;0)</f>
        <v/>
      </c>
      <c r="NW9">
        <f>$NW$8+--($NV9)</f>
        <v/>
      </c>
      <c r="NX9">
        <f>IF(ROW()-3&gt;MAX($NW$4:$NW$40),"",INDEX($CV$4:$CV$40,MATCH(ROW()-3,$NW$4:$NW$40,0)))</f>
        <v/>
      </c>
      <c r="NY9">
        <f>IF(COUNTIF('Buyer Groups'!DG9:DX9,0)+COUNTIF('Buyer Groups'!DZ9:EN9,0)&gt;0,0,1)</f>
        <v/>
      </c>
      <c r="NZ9">
        <f>IF($DA$9="",FALSE,SUMPRODUCT(('Final Calculation Sheet'!$S$4:$S$40=$DA$9)*($NY$6:$NY$42=1))&gt;0)</f>
        <v/>
      </c>
      <c r="OA9">
        <f>$OA$8+--($NZ9)</f>
        <v/>
      </c>
      <c r="OB9">
        <f>IF(ROW()-3&gt;MAX($OA$4:$OA$40),"",INDEX($DA$4:$DA$40,MATCH(ROW()-3,$OA$4:$OA$40,0)))</f>
        <v/>
      </c>
      <c r="OC9">
        <f>IF(COUNTIF('Buyer Groups'!DG9:DY9,0)+COUNTIF('Buyer Groups'!EA9:EN9,0)&gt;0,0,1)</f>
        <v/>
      </c>
      <c r="OD9">
        <f>IF($DF$9="",FALSE,SUMPRODUCT(('Final Calculation Sheet'!$T$4:$T$40=$DF$9)*($OC$6:$OC$42=1))&gt;0)</f>
        <v/>
      </c>
      <c r="OE9">
        <f>$OE$8+--($OD9)</f>
        <v/>
      </c>
      <c r="OF9">
        <f>IF(ROW()-3&gt;MAX($OE$4:$OE$40),"",INDEX($DF$4:$DF$40,MATCH(ROW()-3,$OE$4:$OE$40,0)))</f>
        <v/>
      </c>
      <c r="OG9">
        <f>IF(COUNTIF('Buyer Groups'!DG9:DZ9,0)+COUNTIF('Buyer Groups'!EB9:EN9,0)&gt;0,0,1)</f>
        <v/>
      </c>
      <c r="OH9">
        <f>IF($DK$9="",FALSE,SUMPRODUCT(('Final Calculation Sheet'!$U$4:$U$40=$DK$9)*($OG$6:$OG$42=1))&gt;0)</f>
        <v/>
      </c>
      <c r="OI9">
        <f>$OI$8+--($OH9)</f>
        <v/>
      </c>
      <c r="OJ9">
        <f>IF(ROW()-3&gt;MAX($OI$4:$OI$40),"",INDEX($DK$4:$DK$40,MATCH(ROW()-3,$OI$4:$OI$40,0)))</f>
        <v/>
      </c>
      <c r="OK9">
        <f>IF(COUNTIF('Buyer Groups'!DG9:EA9,0)+COUNTIF('Buyer Groups'!EC9:EN9,0)&gt;0,0,1)</f>
        <v/>
      </c>
      <c r="OL9">
        <f>IF($DP$9="",FALSE,SUMPRODUCT(('Final Calculation Sheet'!$V$4:$V$40=$DP$9)*($OK$6:$OK$42=1))&gt;0)</f>
        <v/>
      </c>
      <c r="OM9">
        <f>$OM$8+--($OL9)</f>
        <v/>
      </c>
      <c r="ON9">
        <f>IF(ROW()-3&gt;MAX($OM$4:$OM$40),"",INDEX($DP$4:$DP$40,MATCH(ROW()-3,$OM$4:$OM$40,0)))</f>
        <v/>
      </c>
      <c r="OO9">
        <f>IF(COUNTIF('Buyer Groups'!DG9:EB9,0)+COUNTIF('Buyer Groups'!ED9:EN9,0)&gt;0,0,1)</f>
        <v/>
      </c>
      <c r="OP9">
        <f>IF($DU$9="",FALSE,SUMPRODUCT(('Final Calculation Sheet'!$W$4:$W$40=$DU$9)*($OO$6:$OO$42=1))&gt;0)</f>
        <v/>
      </c>
      <c r="OQ9">
        <f>$OQ$8+--($OP9)</f>
        <v/>
      </c>
      <c r="OR9">
        <f>IF(ROW()-3&gt;MAX($OQ$4:$OQ$40),"",INDEX($DU$4:$DU$40,MATCH(ROW()-3,$OQ$4:$OQ$40,0)))</f>
        <v/>
      </c>
      <c r="OS9">
        <f>IF(COUNTIF('Buyer Groups'!DG9:EC9,0)+COUNTIF('Buyer Groups'!EE9:EN9,0)&gt;0,0,1)</f>
        <v/>
      </c>
      <c r="OT9">
        <f>IF($DZ$9="",FALSE,SUMPRODUCT(('Final Calculation Sheet'!$X$4:$X$40=$DZ$9)*($OS$6:$OS$42=1))&gt;0)</f>
        <v/>
      </c>
      <c r="OU9">
        <f>$OU$8+--($OT9)</f>
        <v/>
      </c>
      <c r="OV9">
        <f>IF(ROW()-3&gt;MAX($OU$4:$OU$40),"",INDEX($DZ$4:$DZ$40,MATCH(ROW()-3,$OU$4:$OU$40,0)))</f>
        <v/>
      </c>
      <c r="OW9">
        <f>IF(COUNTIF('Buyer Groups'!DG9:ED9,0)+COUNTIF('Buyer Groups'!EF9:EN9,0)&gt;0,0,1)</f>
        <v/>
      </c>
      <c r="OX9">
        <f>IF($EE$9="",FALSE,SUMPRODUCT(('Final Calculation Sheet'!$Y$4:$Y$40=$EE$9)*($OW$6:$OW$42=1))&gt;0)</f>
        <v/>
      </c>
      <c r="OY9">
        <f>$OY$8+--($OX9)</f>
        <v/>
      </c>
      <c r="OZ9">
        <f>IF(ROW()-3&gt;MAX($OY$4:$OY$40),"",INDEX($EE$4:$EE$40,MATCH(ROW()-3,$OY$4:$OY$40,0)))</f>
        <v/>
      </c>
      <c r="PA9">
        <f>IF(COUNTIF('Buyer Groups'!DG9:EE9,0)+COUNTIF('Buyer Groups'!EG9:EN9,0)&gt;0,0,1)</f>
        <v/>
      </c>
      <c r="PB9">
        <f>IF($EJ$9="",FALSE,SUMPRODUCT(('Final Calculation Sheet'!$Z$4:$Z$40=$EJ$9)*($PA$6:$PA$42=1))&gt;0)</f>
        <v/>
      </c>
      <c r="PC9">
        <f>$PC$8+--($PB9)</f>
        <v/>
      </c>
      <c r="PD9">
        <f>IF(ROW()-3&gt;MAX($PC$4:$PC$40),"",INDEX($EJ$4:$EJ$40,MATCH(ROW()-3,$PC$4:$PC$40,0)))</f>
        <v/>
      </c>
      <c r="PE9">
        <f>IF(COUNTIF('Buyer Groups'!DG9:EF9,0)+COUNTIF('Buyer Groups'!EH9:EN9,0)&gt;0,0,1)</f>
        <v/>
      </c>
      <c r="PF9">
        <f>IF($EO$9="",FALSE,SUMPRODUCT(('Final Calculation Sheet'!$AA$4:$AA$40=$EO$9)*($PE$6:$PE$42=1))&gt;0)</f>
        <v/>
      </c>
      <c r="PG9">
        <f>$PG$8+--($PF9)</f>
        <v/>
      </c>
      <c r="PH9">
        <f>IF(ROW()-3&gt;MAX($PG$4:$PG$40),"",INDEX($EO$4:$EO$40,MATCH(ROW()-3,$PG$4:$PG$40,0)))</f>
        <v/>
      </c>
      <c r="PI9">
        <f>IF(COUNTIF('Buyer Groups'!DG9:EG9,0)+COUNTIF('Buyer Groups'!EI9:EN9,0)&gt;0,0,1)</f>
        <v/>
      </c>
      <c r="PJ9">
        <f>IF($ET$9="",FALSE,SUMPRODUCT(('Final Calculation Sheet'!$AB$4:$AB$40=$ET$9)*($PI$6:$PI$42=1))&gt;0)</f>
        <v/>
      </c>
      <c r="PK9">
        <f>$PK$8+--($PJ9)</f>
        <v/>
      </c>
      <c r="PL9">
        <f>IF(ROW()-3&gt;MAX($PK$4:$PK$40),"",INDEX($ET$4:$ET$40,MATCH(ROW()-3,$PK$4:$PK$40,0)))</f>
        <v/>
      </c>
      <c r="PM9">
        <f>IF(COUNTIF('Buyer Groups'!DG9:EH9,0)+COUNTIF('Buyer Groups'!EJ9:EN9,0)&gt;0,0,1)</f>
        <v/>
      </c>
      <c r="PN9">
        <f>IF($EY$9="",FALSE,SUMPRODUCT(('Final Calculation Sheet'!$AC$4:$AC$40=$EY$9)*($PM$6:$PM$42=1))&gt;0)</f>
        <v/>
      </c>
      <c r="PO9">
        <f>$PO$8+--($PN9)</f>
        <v/>
      </c>
      <c r="PP9">
        <f>IF(ROW()-3&gt;MAX($PO$4:$PO$40),"",INDEX($EY$4:$EY$40,MATCH(ROW()-3,$PO$4:$PO$40,0)))</f>
        <v/>
      </c>
      <c r="PQ9">
        <f>IF(COUNTIF('Buyer Groups'!DG9:EI9,0)+COUNTIF('Buyer Groups'!EK9:EN9,0)&gt;0,0,1)</f>
        <v/>
      </c>
      <c r="PR9">
        <f>IF($FD$9="",FALSE,SUMPRODUCT(('Final Calculation Sheet'!$AD$4:$AD$40=$FD$9)*($PQ$6:$PQ$42=1))&gt;0)</f>
        <v/>
      </c>
      <c r="PS9">
        <f>$PS$8+--($PR9)</f>
        <v/>
      </c>
      <c r="PT9">
        <f>IF(ROW()-3&gt;MAX($PS$4:$PS$40),"",INDEX($FD$4:$FD$40,MATCH(ROW()-3,$PS$4:$PS$40,0)))</f>
        <v/>
      </c>
      <c r="PU9">
        <f>IF(COUNTIF('Buyer Groups'!DG9:EJ9,0)+COUNTIF('Buyer Groups'!EL9:EN9,0)&gt;0,0,1)</f>
        <v/>
      </c>
      <c r="PV9">
        <f>IF($FX$9="",FALSE,SUMPRODUCT((IF('Final Calculation Sheet'!$AD$4:$AD$40&lt;=5,"SETTLED","OUTSTANDING")=$FX$9)*($PU$6:$PU$42=1))&gt;0)</f>
        <v/>
      </c>
      <c r="PW9">
        <f>$PW$8+--($PV9)</f>
        <v/>
      </c>
      <c r="PX9">
        <f>IF(ROW()-3&gt;MAX($PW$4:$PW$40),"",INDEX($FX$4:$FX$40,MATCH(ROW()-3,$PW$4:$PW$40,0)))</f>
        <v/>
      </c>
      <c r="PY9">
        <f>IF(COUNTIF('Buyer Groups'!DG9:EK9,0)+COUNTIF('Buyer Groups'!EM9:EN9,0)&gt;0,0,1)</f>
        <v/>
      </c>
      <c r="PZ9">
        <f>IF($FI$9="",FALSE,SUMPRODUCT(('Final Calculation Sheet'!$AF$4:$AF$40=$FI$9)*($PY$6:$PY$42=1))&gt;0)</f>
        <v/>
      </c>
      <c r="QA9">
        <f>$QA$8+--($PZ9)</f>
        <v/>
      </c>
      <c r="QB9">
        <f>IF(ROW()-3&gt;MAX($QA$4:$QA$40),"",INDEX($FI$4:$FI$40,MATCH(ROW()-3,$QA$4:$QA$40,0)))</f>
        <v/>
      </c>
      <c r="QC9">
        <f>IF(COUNTIF('Buyer Groups'!DG9:EL9,0)+COUNTIF('Buyer Groups'!EN9:EN9,0)&gt;0,0,1)</f>
        <v/>
      </c>
      <c r="QD9">
        <f>IF($FN$9="",FALSE,SUMPRODUCT(('Final Calculation Sheet'!$AG$4:$AG$40=$FN$9)*($QC$6:$QC$42=1))&gt;0)</f>
        <v/>
      </c>
      <c r="QE9">
        <f>$QE$8+--($QD9)</f>
        <v/>
      </c>
      <c r="QF9">
        <f>IF(ROW()-3&gt;MAX($QE$4:$QE$40),"",INDEX($FN$4:$FN$40,MATCH(ROW()-3,$QE$4:$QE$40,0)))</f>
        <v/>
      </c>
      <c r="QG9">
        <f>IF(COUNTIF('Buyer Groups'!DG9:EM9,0)&gt;0,0,1)</f>
        <v/>
      </c>
      <c r="QH9">
        <f>IF($FS$9="",FALSE,SUMPRODUCT(('Final Calculation Sheet'!$AH$4:$AH$40=$FS$9)*($QG$6:$QG$42=1))&gt;0)</f>
        <v/>
      </c>
      <c r="QI9">
        <f>$QI$8+--($QH9)</f>
        <v/>
      </c>
      <c r="QJ9">
        <f>IF(ROW()-3&gt;MAX($QI$4:$QI$40),"",INDEX($FS$4:$FS$40,MATCH(ROW()-3,$QI$4:$QI$40,0)))</f>
        <v/>
      </c>
      <c r="QK9" t="str">
        <f>IF('Final Calculation Sheet'!$AH$9="","",'Final Calculation Sheet'!$AH$9)</f>
      </c>
      <c r="QL9" t="str">
        <f>IF(QK9="","",COUNTIFS(QK$4:QK$40,"&lt;"&amp;QK9,QK$4:QK$40,"&lt;&gt;"&amp;"")+COUNTIF(QK$4:QK9,QK9))</f>
      </c>
      <c r="QM9" t="str">
        <f>IF(ROW()-3&gt;COUNTIF(QK$4:QK$40,"&lt;&gt;"&amp;""),"",INDEX(QK$4:QK$40,MATCH(ROW()-3,QL$4:QL$40,0)))</f>
      </c>
      <c r="QN9" t="str">
        <f>=QN8+F(AND(QM9&lt;&gt;"",COUNTIF(QM$4:QM9,QM9)=1),1,0)</f>
      </c>
      <c r="QO9" t="str">
        <f>IF(ROW()-3&gt;MAX(QN$4:QN$40),"",INDEX(QM$4:QM$40,MATCH(ROW()-3,QN$4:QN$40,0)))</f>
      </c>
      <c r="QP9" t="str">
        <f>IF(COUNTIF('Final Calculation Sheet'!$AM9:$BS9,0)&gt;0,0,1)</f>
      </c>
      <c r="QQ9" t="str">
        <f>IF($AI$9="",FALSE,SUMPRODUCT(('Final Calculation Sheet'!$A$4:$A$40=$AI$9)*($QP$4:$QP$40=1))&gt;0)</f>
      </c>
      <c r="QR9" t="str">
        <f>=$QR8+--($QQ9)</f>
      </c>
      <c r="QS9" t="str">
        <f>IF(ROW()-3&gt;MAX($QR$4:$QR$40),"",INDEX($AI$4:$AI$40,MATCH(ROW()-3,$QR$4:$QR$40,0)))</f>
      </c>
      <c r="QT9" t="str">
        <f>IF(COUNTIF('Final Calculation Sheet'!$AL9:$AL9,0)+COUNTIF('Final Calculation Sheet'!$AN9:$BS9,0)&gt;0,0,1)</f>
      </c>
      <c r="QU9" t="str">
        <f>IF($Y$9="",FALSE,SUMPRODUCT(('Final Calculation Sheet'!$B$4:$B$40=$Y$9)*($QT$4:$QT$40=1))&gt;0)</f>
      </c>
      <c r="QV9" t="str">
        <f>=$QV8+--($QU9)</f>
      </c>
      <c r="QW9" t="str">
        <f>IF(ROW()-3&gt;MAX($QV$4:$QV$40),"",INDEX($Y$4:$Y$40,MATCH(ROW()-3,$QV$4:$QV$40,0)))</f>
      </c>
      <c r="QX9" t="str">
        <f>IF(COUNTIF('Final Calculation Sheet'!$AL9:$AM9,0)+COUNTIF('Final Calculation Sheet'!$AO9:$BS9,0)&gt;0,0,1)</f>
      </c>
      <c r="QY9" t="str">
        <f>IF($AS$9="",FALSE,SUMPRODUCT(('Final Calculation Sheet'!$C$4:$C$40=$AS$9)*($QX$4:$QX$40=1))&gt;0)</f>
      </c>
      <c r="QZ9" t="str">
        <f>=$QZ8+--($QY9)</f>
      </c>
      <c r="RA9" t="str">
        <f>IF(ROW()-3&gt;MAX($QZ$4:$QZ$40),"",INDEX($AS$4:$AS$40,MATCH(ROW()-3,$QZ$4:$QZ$40,0)))</f>
      </c>
      <c r="RB9" t="str">
        <f>IF(COUNTIF('Final Calculation Sheet'!$AL9:$AN9,0)+COUNTIF('Final Calculation Sheet'!$AP9:$BS9,0)&gt;0,0,1)</f>
      </c>
      <c r="RC9" t="str">
        <f>IF($AD$9="",FALSE,SUMPRODUCT(('Final Calculation Sheet'!$D$4:$D$40=$AD$9)*($RB$4:$RB$40=1))&gt;0)</f>
      </c>
      <c r="RD9" t="str">
        <f>=$RD8+--($RC9)</f>
      </c>
      <c r="RE9" t="str">
        <f>IF(ROW()-3&gt;MAX($RD$4:$RD$40),"",INDEX($AD$4:$AD$40,MATCH(ROW()-3,$RD$4:$RD$40,0)))</f>
      </c>
      <c r="RF9" t="str">
        <f>IF(COUNTIF('Final Calculation Sheet'!$AL9:$AO9,0)+COUNTIF('Final Calculation Sheet'!$AQ9:$BS9,0)&gt;0,0,1)</f>
      </c>
      <c r="RG9" t="str">
        <f>IF($AN$9="",FALSE,SUMPRODUCT(('Final Calculation Sheet'!$E$4:$E$40=$AN$9)*($RF$4:$RF$40=1))&gt;0)</f>
      </c>
      <c r="RH9" t="str">
        <f>=$RH8+--($RG9)</f>
      </c>
      <c r="RI9" t="str">
        <f>IF(ROW()-3&gt;MAX($RH$4:$RH$40),"",INDEX($AN$4:$AN$40,MATCH(ROW()-3,$RH$4:$RH$40,0)))</f>
      </c>
      <c r="RJ9" t="str">
        <f>IF(COUNTIF('Final Calculation Sheet'!$AL9:$AP9,0)+COUNTIF('Final Calculation Sheet'!$AR9:$BS9,0)&gt;0,0,1)</f>
      </c>
      <c r="RK9" t="str">
        <f>IF($O$9="",FALSE,SUMPRODUCT(('Final Calculation Sheet'!$F$4:$F$40=$O$9)*($RJ$4:$RJ$40=1))&gt;0)</f>
      </c>
      <c r="RL9" t="str">
        <f>=$RL8+--($RK9)</f>
      </c>
      <c r="RM9" t="str">
        <f>IF(ROW()-3&gt;MAX($RL$4:$RL$40),"",INDEX($O$4:$O$40,MATCH(ROW()-3,$RL$4:$RL$40,0)))</f>
      </c>
      <c r="RN9" t="str">
        <f>IF(COUNTIF('Final Calculation Sheet'!$AL9:$AQ9,0)+COUNTIF('Final Calculation Sheet'!$AS9:$BS9,0)&gt;0,0,1)</f>
      </c>
      <c r="RO9" t="str">
        <f>IF($T$9="",FALSE,SUMPRODUCT(('Final Calculation Sheet'!$G$4:$G$40=$T$9)*($RN$4:$RN$40=1))&gt;0)</f>
      </c>
      <c r="RP9" t="str">
        <f>=$RP8+--($RO9)</f>
      </c>
      <c r="RQ9" t="str">
        <f>IF(ROW()-3&gt;MAX($RP$4:$RP$40),"",INDEX($T$4:$T$40,MATCH(ROW()-3,$RP$4:$RP$40,0)))</f>
      </c>
      <c r="RR9" t="str">
        <f>IF(COUNTIF('Final Calculation Sheet'!$AL9:$AR9,0)+COUNTIF('Final Calculation Sheet'!$AT9:$BS9,0)&gt;0,0,1)</f>
      </c>
      <c r="RS9" t="str">
        <f>IF($AX$9="",FALSE,SUMPRODUCT(('Final Calculation Sheet'!$H$4:$H$40=$AX$9)*($RR$4:$RR$40=1))&gt;0)</f>
      </c>
      <c r="RT9" t="str">
        <f>=$RT8+--($RS9)</f>
      </c>
      <c r="RU9" t="str">
        <f>IF(ROW()-3&gt;MAX($RT$4:$RT$40),"",INDEX($AX$4:$AX$40,MATCH(ROW()-3,$RT$4:$RT$40,0)))</f>
      </c>
      <c r="RV9" t="str">
        <f>IF(COUNTIF('Final Calculation Sheet'!$AL9:$AS9,0)+COUNTIF('Final Calculation Sheet'!$AU9:$BS9,0)&gt;0,0,1)</f>
      </c>
      <c r="RW9" t="str">
        <f>IF($BC$9="",FALSE,SUMPRODUCT(('Final Calculation Sheet'!$I$4:$I$40=$BC$9)*($RV$4:$RV$40=1))&gt;0)</f>
      </c>
      <c r="RX9" t="str">
        <f>=$RX8+--($RW9)</f>
      </c>
      <c r="RY9" t="str">
        <f>IF(ROW()-3&gt;MAX($RX$4:$RX$40),"",INDEX($BC$4:$BC$40,MATCH(ROW()-3,$RX$4:$RX$40,0)))</f>
      </c>
      <c r="RZ9" t="str">
        <f>IF(COUNTIF('Final Calculation Sheet'!$AL9:$AT9,0)+COUNTIF('Final Calculation Sheet'!$AV9:$BS9,0)&gt;0,0,1)</f>
      </c>
      <c r="SA9" t="str">
        <f>IF($BH$9="",FALSE,SUMPRODUCT(('Final Calculation Sheet'!$J$4:$J$40=$BH$9)*($RZ$4:$RZ$40=1))&gt;0)</f>
      </c>
      <c r="SB9" t="str">
        <f>=$SB8+--($SA9)</f>
      </c>
      <c r="SC9" t="str">
        <f>IF(ROW()-3&gt;MAX($SB$4:$SB$40),"",INDEX($BH$4:$BH$40,MATCH(ROW()-3,$SB$4:$SB$40,0)))</f>
      </c>
      <c r="SD9" t="str">
        <f>IF(COUNTIF('Final Calculation Sheet'!$AL9:$AU9,0)+COUNTIF('Final Calculation Sheet'!$AW9:$BS9,0)&gt;0,0,1)</f>
      </c>
      <c r="SE9" t="str">
        <f>IF($BM$9="",FALSE,SUMPRODUCT(('Final Calculation Sheet'!$K$4:$K$40=$BM$9)*($SD$4:$SD$40=1))&gt;0)</f>
      </c>
      <c r="SF9" t="str">
        <f>=$SF8+--($SE9)</f>
      </c>
      <c r="SG9" t="str">
        <f>IF(ROW()-3&gt;MAX($SF$4:$SF$40),"",INDEX($BM$4:$BM$40,MATCH(ROW()-3,$SF$4:$SF$40,0)))</f>
      </c>
      <c r="SH9" t="str">
        <f>IF(COUNTIF('Final Calculation Sheet'!$AL9:$AV9,0)+COUNTIF('Final Calculation Sheet'!$AX9:$BS9,0)&gt;0,0,1)</f>
      </c>
      <c r="SI9" t="str">
        <f>IF($BR$9="",FALSE,SUMPRODUCT(('Final Calculation Sheet'!$L$4:$L$40=$BR$9)*($SH$4:$SH$40=1))&gt;0)</f>
      </c>
      <c r="SJ9" t="str">
        <f>=$SJ8+--($SI9)</f>
      </c>
      <c r="SK9" t="str">
        <f>IF(ROW()-3&gt;MAX($SJ$4:$SJ$40),"",INDEX($BR$4:$BR$40,MATCH(ROW()-3,$SJ$4:$SJ$40,0)))</f>
      </c>
      <c r="SL9" t="str">
        <f>IF(COUNTIF('Final Calculation Sheet'!$AL9:$AW9,0)+COUNTIF('Final Calculation Sheet'!$AY9:$BS9,0)&gt;0,0,1)</f>
      </c>
      <c r="SM9" t="str">
        <f>IF($BW$9="",FALSE,SUMPRODUCT(('Final Calculation Sheet'!$M$4:$M$40=$BW$9)*($SL$4:$SL$40=1))&gt;0)</f>
      </c>
      <c r="SN9" t="str">
        <f>=$SN8+--($SM9)</f>
      </c>
      <c r="SO9" t="str">
        <f>IF(ROW()-3&gt;MAX($SN$4:$SN$40),"",INDEX($BW$4:$BW$40,MATCH(ROW()-3,$SN$4:$SN$40,0)))</f>
      </c>
      <c r="SP9" t="str">
        <f>IF(COUNTIF('Final Calculation Sheet'!$AL9:$AX9,0)+COUNTIF('Final Calculation Sheet'!$AZ9:$BS9,0)&gt;0,0,1)</f>
      </c>
      <c r="SQ9" t="str">
        <f>IF($CB$9="",FALSE,SUMPRODUCT(('Final Calculation Sheet'!$N$4:$N$40=$CB$9)*($SP$4:$SP$40=1))&gt;0)</f>
      </c>
      <c r="SR9" t="str">
        <f>=$SR8+--($SQ9)</f>
      </c>
      <c r="SS9" t="str">
        <f>IF(ROW()-3&gt;MAX($SR$4:$SR$40),"",INDEX($CB$4:$CB$40,MATCH(ROW()-3,$SR$4:$SR$40,0)))</f>
      </c>
      <c r="ST9" t="str">
        <f>IF(COUNTIF('Final Calculation Sheet'!$AL9:$AY9,0)+COUNTIF('Final Calculation Sheet'!$BA9:$BS9,0)&gt;0,0,1)</f>
      </c>
      <c r="SU9" t="str">
        <f>IF($CG$9="",FALSE,SUMPRODUCT(('Final Calculation Sheet'!$O$4:$O$40=$CG$9)*($ST$4:$ST$40=1))&gt;0)</f>
      </c>
      <c r="SV9" t="str">
        <f>=$SV8+--($SU9)</f>
      </c>
      <c r="SW9" t="str">
        <f>IF(ROW()-3&gt;MAX($SV$4:$SV$40),"",INDEX($CG$4:$CG$40,MATCH(ROW()-3,$SV$4:$SV$40,0)))</f>
      </c>
      <c r="SX9" t="str">
        <f>IF(COUNTIF('Final Calculation Sheet'!$AL9:$AZ9,0)+COUNTIF('Final Calculation Sheet'!$BB9:$BS9,0)&gt;0,0,1)</f>
      </c>
      <c r="SY9" t="str">
        <f>IF($CL$9="",FALSE,SUMPRODUCT(('Final Calculation Sheet'!$P$4:$P$40=$CL$9)*($SX$4:$SX$40=1))&gt;0)</f>
      </c>
      <c r="SZ9" t="str">
        <f>=$SZ8+--($SY9)</f>
      </c>
      <c r="TA9" t="str">
        <f>IF(ROW()-3&gt;MAX($SZ$4:$SZ$40),"",INDEX($CL$4:$CL$40,MATCH(ROW()-3,$SZ$4:$SZ$40,0)))</f>
      </c>
      <c r="TB9" t="str">
        <f>IF(COUNTIF('Final Calculation Sheet'!$AL9:$BA9,0)+COUNTIF('Final Calculation Sheet'!$BC9:$BS9,0)&gt;0,0,1)</f>
      </c>
      <c r="TC9" t="str">
        <f>IF($CQ$9="",FALSE,SUMPRODUCT(('Final Calculation Sheet'!$Q$4:$Q$40=$CQ$9)*($TB$4:$TB$40=1))&gt;0)</f>
      </c>
      <c r="TD9" t="str">
        <f>=$TD8+--($TC9)</f>
      </c>
      <c r="TE9" t="str">
        <f>IF(ROW()-3&gt;MAX($TD$4:$TD$40),"",INDEX($CQ$4:$CQ$40,MATCH(ROW()-3,$TD$4:$TD$40,0)))</f>
      </c>
      <c r="TF9" t="str">
        <f>IF(COUNTIF('Final Calculation Sheet'!$AL9:$BB9,0)+COUNTIF('Final Calculation Sheet'!$BD9:$BS9,0)&gt;0,0,1)</f>
      </c>
      <c r="TG9" t="str">
        <f>IF($CV$9="",FALSE,SUMPRODUCT(('Final Calculation Sheet'!$R$4:$R$40=$CV$9)*($TF$4:$TF$40=1))&gt;0)</f>
      </c>
      <c r="TH9" t="str">
        <f>=$TH8+--($TG9)</f>
      </c>
      <c r="TI9" t="str">
        <f>IF(ROW()-3&gt;MAX($TH$4:$TH$40),"",INDEX($CV$4:$CV$40,MATCH(ROW()-3,$TH$4:$TH$40,0)))</f>
      </c>
      <c r="TJ9" t="str">
        <f>IF(COUNTIF('Final Calculation Sheet'!$AL9:$BC9,0)+COUNTIF('Final Calculation Sheet'!$BE9:$BS9,0)&gt;0,0,1)</f>
      </c>
      <c r="TK9" t="str">
        <f>IF($DA$9="",FALSE,SUMPRODUCT(('Final Calculation Sheet'!$S$4:$S$40=$DA$9)*($TJ$4:$TJ$40=1))&gt;0)</f>
      </c>
      <c r="TL9" t="str">
        <f>=$TL8+--($TK9)</f>
      </c>
      <c r="TM9" t="str">
        <f>IF(ROW()-3&gt;MAX($TL$4:$TL$40),"",INDEX($DA$4:$DA$40,MATCH(ROW()-3,$TL$4:$TL$40,0)))</f>
      </c>
      <c r="TN9" t="str">
        <f>IF(COUNTIF('Final Calculation Sheet'!$AL9:$BD9,0)+COUNTIF('Final Calculation Sheet'!$BF9:$BS9,0)&gt;0,0,1)</f>
      </c>
      <c r="TO9" t="str">
        <f>IF($DF$9="",FALSE,SUMPRODUCT(('Final Calculation Sheet'!$T$4:$T$40=$DF$9)*($TN$4:$TN$40=1))&gt;0)</f>
      </c>
      <c r="TP9" t="str">
        <f>=$TP8+--($TO9)</f>
      </c>
      <c r="TQ9" t="str">
        <f>IF(ROW()-3&gt;MAX($TP$4:$TP$40),"",INDEX($DF$4:$DF$40,MATCH(ROW()-3,$TP$4:$TP$40,0)))</f>
      </c>
      <c r="TR9" t="str">
        <f>IF(COUNTIF('Final Calculation Sheet'!$AL9:$BE9,0)+COUNTIF('Final Calculation Sheet'!$BG9:$BS9,0)&gt;0,0,1)</f>
      </c>
      <c r="TS9" t="str">
        <f>IF($DK$9="",FALSE,SUMPRODUCT(('Final Calculation Sheet'!$U$4:$U$40=$DK$9)*($TR$4:$TR$40=1))&gt;0)</f>
      </c>
      <c r="TT9" t="str">
        <f>=$TT8+--($TS9)</f>
      </c>
      <c r="TU9" t="str">
        <f>IF(ROW()-3&gt;MAX($TT$4:$TT$40),"",INDEX($DK$4:$DK$40,MATCH(ROW()-3,$TT$4:$TT$40,0)))</f>
      </c>
      <c r="TV9" t="str">
        <f>IF(COUNTIF('Final Calculation Sheet'!$AL9:$BF9,0)+COUNTIF('Final Calculation Sheet'!$BH9:$BS9,0)&gt;0,0,1)</f>
      </c>
      <c r="TW9" t="str">
        <f>IF($DP$9="",FALSE,SUMPRODUCT(('Final Calculation Sheet'!$V$4:$V$40=$DP$9)*($TV$4:$TV$40=1))&gt;0)</f>
      </c>
      <c r="TX9" t="str">
        <f>=$TX8+--($TW9)</f>
      </c>
      <c r="TY9" t="str">
        <f>IF(ROW()-3&gt;MAX($TX$4:$TX$40),"",INDEX($DP$4:$DP$40,MATCH(ROW()-3,$TX$4:$TX$40,0)))</f>
      </c>
      <c r="TZ9" t="str">
        <f>IF(COUNTIF('Final Calculation Sheet'!$AL9:$BG9,0)+COUNTIF('Final Calculation Sheet'!$BI9:$BS9,0)&gt;0,0,1)</f>
      </c>
      <c r="UA9" t="str">
        <f>IF($DU$9="",FALSE,SUMPRODUCT(('Final Calculation Sheet'!$W$4:$W$40=$DU$9)*($TZ$4:$TZ$40=1))&gt;0)</f>
      </c>
      <c r="UB9" t="str">
        <f>=$UB8+--($UA9)</f>
      </c>
      <c r="UC9" t="str">
        <f>IF(ROW()-3&gt;MAX($UB$4:$UB$40),"",INDEX($DU$4:$DU$40,MATCH(ROW()-3,$UB$4:$UB$40,0)))</f>
      </c>
      <c r="UD9" t="str">
        <f>IF(COUNTIF('Final Calculation Sheet'!$AL9:$BH9,0)+COUNTIF('Final Calculation Sheet'!$BJ9:$BS9,0)&gt;0,0,1)</f>
      </c>
      <c r="UE9" t="str">
        <f>IF($DZ$9="",FALSE,SUMPRODUCT(('Final Calculation Sheet'!$X$4:$X$40=$DZ$9)*($UD$4:$UD$40=1))&gt;0)</f>
      </c>
      <c r="UF9" t="str">
        <f>=$UF8+--($UE9)</f>
      </c>
      <c r="UG9" t="str">
        <f>IF(ROW()-3&gt;MAX($UF$4:$UF$40),"",INDEX($DZ$4:$DZ$40,MATCH(ROW()-3,$UF$4:$UF$40,0)))</f>
      </c>
      <c r="UH9" t="str">
        <f>IF(COUNTIF('Final Calculation Sheet'!$AL9:$BI9,0)+COUNTIF('Final Calculation Sheet'!$BK9:$BS9,0)&gt;0,0,1)</f>
      </c>
      <c r="UI9" t="str">
        <f>IF($EE$9="",FALSE,SUMPRODUCT(('Final Calculation Sheet'!$Y$4:$Y$40=$EE$9)*($UH$4:$UH$40=1))&gt;0)</f>
      </c>
      <c r="UJ9" t="str">
        <f>=$UJ8+--($UI9)</f>
      </c>
      <c r="UK9" t="str">
        <f>IF(ROW()-3&gt;MAX($UJ$4:$UJ$40),"",INDEX($EE$4:$EE$40,MATCH(ROW()-3,$UJ$4:$UJ$40,0)))</f>
      </c>
      <c r="UL9" t="str">
        <f>IF(COUNTIF('Final Calculation Sheet'!$AL9:$BJ9,0)+COUNTIF('Final Calculation Sheet'!$BL9:$BS9,0)&gt;0,0,1)</f>
      </c>
      <c r="UM9" t="str">
        <f>IF($EJ$9="",FALSE,SUMPRODUCT(('Final Calculation Sheet'!$Z$4:$Z$40=$EJ$9)*($UL$4:$UL$40=1))&gt;0)</f>
      </c>
      <c r="UN9" t="str">
        <f>=$UN8+--($UM9)</f>
      </c>
      <c r="UO9" t="str">
        <f>IF(ROW()-3&gt;MAX($UN$4:$UN$40),"",INDEX($EJ$4:$EJ$40,MATCH(ROW()-3,$UN$4:$UN$40,0)))</f>
      </c>
      <c r="UP9" t="str">
        <f>IF(COUNTIF('Final Calculation Sheet'!$AL9:$BK9,0)+COUNTIF('Final Calculation Sheet'!$BM9:$BS9,0)&gt;0,0,1)</f>
      </c>
      <c r="UQ9" t="str">
        <f>IF($EO$9="",FALSE,SUMPRODUCT(('Final Calculation Sheet'!$AA$4:$AA$40=$EO$9)*($UP$4:$UP$40=1))&gt;0)</f>
      </c>
      <c r="UR9" t="str">
        <f>=$UR8+--($UQ9)</f>
      </c>
      <c r="US9" t="str">
        <f>IF(ROW()-3&gt;MAX($UR$4:$UR$40),"",INDEX($EO$4:$EO$40,MATCH(ROW()-3,$UR$4:$UR$40,0)))</f>
      </c>
      <c r="UT9" t="str">
        <f>IF(COUNTIF('Final Calculation Sheet'!$AL9:$BL9,0)+COUNTIF('Final Calculation Sheet'!$BN9:$BS9,0)&gt;0,0,1)</f>
      </c>
      <c r="UU9" t="str">
        <f>IF($ET$9="",FALSE,SUMPRODUCT(('Final Calculation Sheet'!$AB$4:$AB$40=$ET$9)*($UT$4:$UT$40=1))&gt;0)</f>
      </c>
      <c r="UV9" t="str">
        <f>=$UV8+--($UU9)</f>
      </c>
      <c r="UW9" t="str">
        <f>IF(ROW()-3&gt;MAX($UV$4:$UV$40),"",INDEX($ET$4:$ET$40,MATCH(ROW()-3,$UV$4:$UV$40,0)))</f>
      </c>
      <c r="UX9" t="str">
        <f>IF(COUNTIF('Final Calculation Sheet'!$AL9:$BM9,0)+COUNTIF('Final Calculation Sheet'!$BO9:$BS9,0)&gt;0,0,1)</f>
      </c>
      <c r="UY9" t="str">
        <f>IF($EY$9="",FALSE,SUMPRODUCT(('Final Calculation Sheet'!$AC$4:$AC$40=$EY$9)*($UX$4:$UX$40=1))&gt;0)</f>
      </c>
      <c r="UZ9" t="str">
        <f>=$UZ8+--($UY9)</f>
      </c>
      <c r="VA9" t="str">
        <f>IF(ROW()-3&gt;MAX($UZ$4:$UZ$40),"",INDEX($EY$4:$EY$40,MATCH(ROW()-3,$UZ$4:$UZ$40,0)))</f>
      </c>
      <c r="VB9" t="str">
        <f>IF(COUNTIF('Final Calculation Sheet'!$AL9:$BN9,0)+COUNTIF('Final Calculation Sheet'!$BP9:$BS9,0)&gt;0,0,1)</f>
      </c>
      <c r="VC9" t="str">
        <f>IF($FD$9="",FALSE,SUMPRODUCT(('Final Calculation Sheet'!$AD$4:$AD$40=$FD$9)*($VB$4:$VB$40=1))&gt;0)</f>
      </c>
      <c r="VD9" t="str">
        <f>=$VD8+--($VC9)</f>
      </c>
      <c r="VE9" t="str">
        <f>IF(ROW()-3&gt;MAX($VD$4:$VD$40),"",INDEX($FD$4:$FD$40,MATCH(ROW()-3,$VD$4:$VD$40,0)))</f>
      </c>
      <c r="VF9" t="str">
        <f>IF(COUNTIF('Final Calculation Sheet'!$AL9:$BO9,0)+COUNTIF('Final Calculation Sheet'!$BQ9:$BS9,0)&gt;0,0,1)</f>
      </c>
      <c r="VG9" t="str">
        <f>IF($FI$9="",FALSE,SUMPRODUCT(('Final Calculation Sheet'!$AE$4:$AE$40=$FI$9)*($VF$4:$VF$40=1))&gt;0)</f>
      </c>
      <c r="VH9" t="str">
        <f>=$VH8+--($VG9)</f>
      </c>
      <c r="VI9" t="str">
        <f>IF(ROW()-3&gt;MAX($VH$4:$VH$40),"",INDEX($FI$4:$FI$40,MATCH(ROW()-3,$VH$4:$VH$40,0)))</f>
      </c>
      <c r="VJ9" t="str">
        <f>IF(COUNTIF('Final Calculation Sheet'!$AL9:$BP9,0)+COUNTIF('Final Calculation Sheet'!$BR9:$BS9,0)&gt;0,0,1)</f>
      </c>
      <c r="VK9" t="str">
        <f>IF($FN$9="",FALSE,SUMPRODUCT(('Final Calculation Sheet'!$AF$4:$AF$40=$FN$9)*($VJ$4:$VJ$40=1))&gt;0)</f>
      </c>
      <c r="VL9" t="str">
        <f>=$VL8+--($VK9)</f>
      </c>
      <c r="VM9" t="str">
        <f>IF(ROW()-3&gt;MAX($VL$4:$VL$40),"",INDEX($FN$4:$FN$40,MATCH(ROW()-3,$VL$4:$VL$40,0)))</f>
      </c>
      <c r="VN9" t="str">
        <f>IF(COUNTIF('Final Calculation Sheet'!$AL9:$BQ9,0)+COUNTIF('Final Calculation Sheet'!$BS9:$BS9,0)&gt;0,0,1)</f>
      </c>
      <c r="VO9" t="str">
        <f>IF($FS$9="",FALSE,SUMPRODUCT(('Final Calculation Sheet'!$AG$4:$AG$40=$FS$9)*($VN$4:$VN$40=1))&gt;0)</f>
      </c>
      <c r="VP9" t="str">
        <f>=$VP8+--($VO9)</f>
      </c>
      <c r="VQ9" t="str">
        <f>IF(ROW()-3&gt;MAX($VP$4:$VP$40),"",INDEX($FS$4:$FS$40,MATCH(ROW()-3,$VP$4:$VP$40,0)))</f>
      </c>
      <c r="VR9" t="str">
        <f>IF(COUNTIF('Final Calculation Sheet'!$AL9:$BR9,0)&gt;0,0,1)</f>
      </c>
      <c r="VS9" t="str">
        <f>IF($QO$9="",FALSE,SUMPRODUCT(('Final Calculation Sheet'!$AH$4:$AH$40=$QO$9)*($VR$4:$VR$40=1))&gt;0)</f>
      </c>
      <c r="VT9" t="str">
        <f>=$VT8+--($VS9)</f>
      </c>
      <c r="VU9" t="str">
        <f>IF(ROW()-3&gt;MAX($VT$4:$VT$40),"",INDEX($QO$4:$QO$40,MATCH(ROW()-3,$VT$4:$VT$40,0)))</f>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IF(ROW()-3&gt;MAX($LC$4:$LC$40),"",INDEX($FS$4:$FS$40,MATCH(ROW()-3,$LC$4:$LC$40,0)))</f>
        <v/>
      </c>
      <c r="LE10">
        <f>IF(COUNTIF('Buyer Groups'!DH10:EN10,0)&gt;0,0,1)</f>
        <v/>
      </c>
      <c r="LF10">
        <f>IF($O$10="",FALSE,SUMPRODUCT(('Final Calculation Sheet'!$F$4:$F$40=$O$10)*($LE$6:$LE$42=1))&gt;0)</f>
        <v/>
      </c>
      <c r="LG10">
        <f>$LG$9+--($LF10)</f>
        <v/>
      </c>
      <c r="LH10">
        <f>IF(ROW()-3&gt;MAX($LG$4:$LG$40),"",INDEX($O$4:$O$40,MATCH(ROW()-3,$LG$4:$LG$40,0)))</f>
        <v/>
      </c>
      <c r="LI10">
        <f>IF(COUNTIF('Buyer Groups'!DG10:DG10,0)+COUNTIF('Buyer Groups'!DI10:EN10,0)&gt;0,0,1)</f>
        <v/>
      </c>
      <c r="LJ10">
        <f>IF($T$10="",FALSE,SUMPRODUCT(('Final Calculation Sheet'!$G$4:$G$40=$T$10)*($LI$6:$LI$42=1))&gt;0)</f>
        <v/>
      </c>
      <c r="LK10">
        <f>$LK$9+--($LJ10)</f>
        <v/>
      </c>
      <c r="LL10">
        <f>IF(ROW()-3&gt;MAX($LK$4:$LK$40),"",INDEX($T$4:$T$40,MATCH(ROW()-3,$LK$4:$LK$40,0)))</f>
        <v/>
      </c>
      <c r="LM10">
        <f>IF(COUNTIF('Buyer Groups'!DG10:DH10,0)+COUNTIF('Buyer Groups'!DJ10:EN10,0)&gt;0,0,1)</f>
        <v/>
      </c>
      <c r="LN10">
        <f>IF($Y$10="",FALSE,SUMPRODUCT(('Final Calculation Sheet'!$B$4:$B$40=$Y$10)*($LM$6:$LM$42=1))&gt;0)</f>
        <v/>
      </c>
      <c r="LO10">
        <f>$LO$9+--($LN10)</f>
        <v/>
      </c>
      <c r="LP10">
        <f>IF(ROW()-3&gt;MAX($LO$4:$LO$40),"",INDEX($Y$4:$Y$40,MATCH(ROW()-3,$LO$4:$LO$40,0)))</f>
        <v/>
      </c>
      <c r="LQ10">
        <f>IF(COUNTIF('Buyer Groups'!DG10:DI10,0)+COUNTIF('Buyer Groups'!DK10:EN10,0)&gt;0,0,1)</f>
        <v/>
      </c>
      <c r="LR10">
        <f>IF($AD$10="",FALSE,SUMPRODUCT(('Final Calculation Sheet'!$D$4:$D$40=$AD$10)*($LQ$6:$LQ$42=1))&gt;0)</f>
        <v/>
      </c>
      <c r="LS10">
        <f>$LS$9+--($LR10)</f>
        <v/>
      </c>
      <c r="LT10">
        <f>IF(ROW()-3&gt;MAX($LS$4:$LS$40),"",INDEX($AD$4:$AD$40,MATCH(ROW()-3,$LS$4:$LS$40,0)))</f>
        <v/>
      </c>
      <c r="LU10">
        <f>IF(COUNTIF('Buyer Groups'!DG10:DJ10,0)+COUNTIF('Buyer Groups'!DL10:EN10,0)&gt;0,0,1)</f>
        <v/>
      </c>
      <c r="LV10">
        <f>IF($AI$10="",FALSE,SUMPRODUCT(('Final Calculation Sheet'!$A$4:$A$40=$AI$10)*($LU$6:$LU$42=1))&gt;0)</f>
        <v/>
      </c>
      <c r="LW10">
        <f>$LW$9+--($LV10)</f>
        <v/>
      </c>
      <c r="LX10">
        <f>IF(ROW()-3&gt;MAX($LW$4:$LW$40),"",INDEX($AI$4:$AI$40,MATCH(ROW()-3,$LW$4:$LW$40,0)))</f>
        <v/>
      </c>
      <c r="LY10">
        <f>IF(COUNTIF('Buyer Groups'!DG10:DK10,0)+COUNTIF('Buyer Groups'!DM10:EN10,0)&gt;0,0,1)</f>
        <v/>
      </c>
      <c r="LZ10">
        <f>IF($AN$10="",FALSE,SUMPRODUCT(('Final Calculation Sheet'!$E$4:$E$40=$AN$10)*($LY$6:$LY$42=1))&gt;0)</f>
        <v/>
      </c>
      <c r="MA10">
        <f>$MA$9+--($LZ10)</f>
        <v/>
      </c>
      <c r="MB10">
        <f>IF(ROW()-3&gt;MAX($MA$4:$MA$40),"",INDEX($AN$4:$AN$40,MATCH(ROW()-3,$MA$4:$MA$40,0)))</f>
        <v/>
      </c>
      <c r="MC10">
        <f>IF(COUNTIF('Buyer Groups'!DG10:DL10,0)+COUNTIF('Buyer Groups'!DN10:EN10,0)&gt;0,0,1)</f>
        <v/>
      </c>
      <c r="MD10">
        <f>IF($AS$10="",FALSE,SUMPRODUCT(('Final Calculation Sheet'!$C$4:$C$40=$AS$10)*($MC$6:$MC$42=1))&gt;0)</f>
        <v/>
      </c>
      <c r="ME10">
        <f>$ME$9+--($MD10)</f>
        <v/>
      </c>
      <c r="MF10">
        <f>IF(ROW()-3&gt;MAX($ME$4:$ME$40),"",INDEX($AS$4:$AS$40,MATCH(ROW()-3,$ME$4:$ME$40,0)))</f>
        <v/>
      </c>
      <c r="MG10">
        <f>IF(COUNTIF('Buyer Groups'!DG10:DM10,0)+COUNTIF('Buyer Groups'!DO10:EN10,0)&gt;0,0,1)</f>
        <v/>
      </c>
      <c r="MH10">
        <f>IF($AX$10="",FALSE,SUMPRODUCT(('Final Calculation Sheet'!$H$4:$H$40=$AX$10)*($MG$6:$MG$42=1))&gt;0)</f>
        <v/>
      </c>
      <c r="MI10">
        <f>$MI$9+--($MH10)</f>
        <v/>
      </c>
      <c r="MJ10">
        <f>IF(ROW()-3&gt;MAX($MI$4:$MI$40),"",INDEX($AX$4:$AX$40,MATCH(ROW()-3,$MI$4:$MI$40,0)))</f>
        <v/>
      </c>
      <c r="MK10">
        <f>IF(COUNTIF('Buyer Groups'!DG10:DN10,0)+COUNTIF('Buyer Groups'!DP10:EN10,0)&gt;0,0,1)</f>
        <v/>
      </c>
      <c r="ML10">
        <f>IF($BC$10="",FALSE,SUMPRODUCT(('Final Calculation Sheet'!$I$4:$I$40=$BC$10)*($MK$6:$MK$42=1))&gt;0)</f>
        <v/>
      </c>
      <c r="MM10">
        <f>$MM$9+--($ML10)</f>
        <v/>
      </c>
      <c r="MN10">
        <f>IF(ROW()-3&gt;MAX($MM$4:$MM$40),"",INDEX($BC$4:$BC$40,MATCH(ROW()-3,$MM$4:$MM$40,0)))</f>
        <v/>
      </c>
      <c r="MO10">
        <f>IF(COUNTIF('Buyer Groups'!DG10:DO10,0)+COUNTIF('Buyer Groups'!DQ10:EN10,0)&gt;0,0,1)</f>
        <v/>
      </c>
      <c r="MP10">
        <f>IF($BH$10="",FALSE,SUMPRODUCT(('Final Calculation Sheet'!$J$4:$J$40=$BH$10)*($MO$6:$MO$42=1))&gt;0)</f>
        <v/>
      </c>
      <c r="MQ10">
        <f>$MQ$9+--($MP10)</f>
        <v/>
      </c>
      <c r="MR10">
        <f>IF(ROW()-3&gt;MAX($MQ$4:$MQ$40),"",INDEX($BH$4:$BH$40,MATCH(ROW()-3,$MQ$4:$MQ$40,0)))</f>
        <v/>
      </c>
      <c r="MS10">
        <f>IF(COUNTIF('Buyer Groups'!DG10:DP10,0)+COUNTIF('Buyer Groups'!DR10:EN10,0)&gt;0,0,1)</f>
        <v/>
      </c>
      <c r="MT10">
        <f>IF($BM$10="",FALSE,SUMPRODUCT(('Final Calculation Sheet'!$K$4:$K$40=$BM$10)*($MS$6:$MS$42=1))&gt;0)</f>
        <v/>
      </c>
      <c r="MU10">
        <f>$MU$9+--($MT10)</f>
        <v/>
      </c>
      <c r="MV10">
        <f>IF(ROW()-3&gt;MAX($MU$4:$MU$40),"",INDEX($BM$4:$BM$40,MATCH(ROW()-3,$MU$4:$MU$40,0)))</f>
        <v/>
      </c>
      <c r="MW10">
        <f>IF(COUNTIF('Buyer Groups'!DG10:DQ10,0)+COUNTIF('Buyer Groups'!DS10:EN10,0)&gt;0,0,1)</f>
        <v/>
      </c>
      <c r="MX10">
        <f>IF($BR$10="",FALSE,SUMPRODUCT(('Final Calculation Sheet'!$L$4:$L$40=$BR$10)*($MW$6:$MW$42=1))&gt;0)</f>
        <v/>
      </c>
      <c r="MY10">
        <f>$MY$9+--($MX10)</f>
        <v/>
      </c>
      <c r="MZ10">
        <f>IF(ROW()-3&gt;MAX($MY$4:$MY$40),"",INDEX($BR$4:$BR$40,MATCH(ROW()-3,$MY$4:$MY$40,0)))</f>
        <v/>
      </c>
      <c r="NA10">
        <f>IF(COUNTIF('Buyer Groups'!DG10:DR10,0)+COUNTIF('Buyer Groups'!DT10:EN10,0)&gt;0,0,1)</f>
        <v/>
      </c>
      <c r="NB10">
        <f>IF($BW$10="",FALSE,SUMPRODUCT(('Final Calculation Sheet'!$M$4:$M$40=$BW$10)*($NA$6:$NA$42=1))&gt;0)</f>
        <v/>
      </c>
      <c r="NC10">
        <f>$NC$9+--($NB10)</f>
        <v/>
      </c>
      <c r="ND10">
        <f>IF(ROW()-3&gt;MAX($NC$4:$NC$40),"",INDEX($BW$4:$BW$40,MATCH(ROW()-3,$NC$4:$NC$40,0)))</f>
        <v/>
      </c>
      <c r="NE10">
        <f>IF(COUNTIF('Buyer Groups'!DG10:DS10,0)+COUNTIF('Buyer Groups'!DU10:EN10,0)&gt;0,0,1)</f>
        <v/>
      </c>
      <c r="NF10">
        <f>IF($CB$10="",FALSE,SUMPRODUCT(('Final Calculation Sheet'!$N$4:$N$40=$CB$10)*($NE$6:$NE$42=1))&gt;0)</f>
        <v/>
      </c>
      <c r="NG10">
        <f>$NG$9+--($NF10)</f>
        <v/>
      </c>
      <c r="NH10">
        <f>IF(ROW()-3&gt;MAX($NG$4:$NG$40),"",INDEX($CB$4:$CB$40,MATCH(ROW()-3,$NG$4:$NG$40,0)))</f>
        <v/>
      </c>
      <c r="NI10">
        <f>IF(COUNTIF('Buyer Groups'!DG10:DT10,0)+COUNTIF('Buyer Groups'!DV10:EN10,0)&gt;0,0,1)</f>
        <v/>
      </c>
      <c r="NJ10">
        <f>IF($CG$10="",FALSE,SUMPRODUCT(('Final Calculation Sheet'!$O$4:$O$40=$CG$10)*($NI$6:$NI$42=1))&gt;0)</f>
        <v/>
      </c>
      <c r="NK10">
        <f>$NK$9+--($NJ10)</f>
        <v/>
      </c>
      <c r="NL10">
        <f>IF(ROW()-3&gt;MAX($NK$4:$NK$40),"",INDEX($CG$4:$CG$40,MATCH(ROW()-3,$NK$4:$NK$40,0)))</f>
        <v/>
      </c>
      <c r="NM10">
        <f>IF(COUNTIF('Buyer Groups'!DG10:DU10,0)+COUNTIF('Buyer Groups'!DW10:EN10,0)&gt;0,0,1)</f>
        <v/>
      </c>
      <c r="NN10">
        <f>IF($CL$10="",FALSE,SUMPRODUCT(('Final Calculation Sheet'!$P$4:$P$40=$CL$10)*($NM$6:$NM$42=1))&gt;0)</f>
        <v/>
      </c>
      <c r="NO10">
        <f>$NO$9+--($NN10)</f>
        <v/>
      </c>
      <c r="NP10">
        <f>IF(ROW()-3&gt;MAX($NO$4:$NO$40),"",INDEX($CL$4:$CL$40,MATCH(ROW()-3,$NO$4:$NO$40,0)))</f>
        <v/>
      </c>
      <c r="NQ10">
        <f>IF(COUNTIF('Buyer Groups'!DG10:DV10,0)+COUNTIF('Buyer Groups'!DX10:EN10,0)&gt;0,0,1)</f>
        <v/>
      </c>
      <c r="NR10">
        <f>IF($CQ$10="",FALSE,SUMPRODUCT(('Final Calculation Sheet'!$Q$4:$Q$40=$CQ$10)*($NQ$6:$NQ$42=1))&gt;0)</f>
        <v/>
      </c>
      <c r="NS10">
        <f>$NS$9+--($NR10)</f>
        <v/>
      </c>
      <c r="NT10">
        <f>IF(ROW()-3&gt;MAX($NS$4:$NS$40),"",INDEX($CQ$4:$CQ$40,MATCH(ROW()-3,$NS$4:$NS$40,0)))</f>
        <v/>
      </c>
      <c r="NU10">
        <f>IF(COUNTIF('Buyer Groups'!DG10:DW10,0)+COUNTIF('Buyer Groups'!DY10:EN10,0)&gt;0,0,1)</f>
        <v/>
      </c>
      <c r="NV10">
        <f>IF($CV$10="",FALSE,SUMPRODUCT(('Final Calculation Sheet'!$R$4:$R$40=$CV$10)*($NU$6:$NU$42=1))&gt;0)</f>
        <v/>
      </c>
      <c r="NW10">
        <f>$NW$9+--($NV10)</f>
        <v/>
      </c>
      <c r="NX10">
        <f>IF(ROW()-3&gt;MAX($NW$4:$NW$40),"",INDEX($CV$4:$CV$40,MATCH(ROW()-3,$NW$4:$NW$40,0)))</f>
        <v/>
      </c>
      <c r="NY10">
        <f>IF(COUNTIF('Buyer Groups'!DG10:DX10,0)+COUNTIF('Buyer Groups'!DZ10:EN10,0)&gt;0,0,1)</f>
        <v/>
      </c>
      <c r="NZ10">
        <f>IF($DA$10="",FALSE,SUMPRODUCT(('Final Calculation Sheet'!$S$4:$S$40=$DA$10)*($NY$6:$NY$42=1))&gt;0)</f>
        <v/>
      </c>
      <c r="OA10">
        <f>$OA$9+--($NZ10)</f>
        <v/>
      </c>
      <c r="OB10">
        <f>IF(ROW()-3&gt;MAX($OA$4:$OA$40),"",INDEX($DA$4:$DA$40,MATCH(ROW()-3,$OA$4:$OA$40,0)))</f>
        <v/>
      </c>
      <c r="OC10">
        <f>IF(COUNTIF('Buyer Groups'!DG10:DY10,0)+COUNTIF('Buyer Groups'!EA10:EN10,0)&gt;0,0,1)</f>
        <v/>
      </c>
      <c r="OD10">
        <f>IF($DF$10="",FALSE,SUMPRODUCT(('Final Calculation Sheet'!$T$4:$T$40=$DF$10)*($OC$6:$OC$42=1))&gt;0)</f>
        <v/>
      </c>
      <c r="OE10">
        <f>$OE$9+--($OD10)</f>
        <v/>
      </c>
      <c r="OF10">
        <f>IF(ROW()-3&gt;MAX($OE$4:$OE$40),"",INDEX($DF$4:$DF$40,MATCH(ROW()-3,$OE$4:$OE$40,0)))</f>
        <v/>
      </c>
      <c r="OG10">
        <f>IF(COUNTIF('Buyer Groups'!DG10:DZ10,0)+COUNTIF('Buyer Groups'!EB10:EN10,0)&gt;0,0,1)</f>
        <v/>
      </c>
      <c r="OH10">
        <f>IF($DK$10="",FALSE,SUMPRODUCT(('Final Calculation Sheet'!$U$4:$U$40=$DK$10)*($OG$6:$OG$42=1))&gt;0)</f>
        <v/>
      </c>
      <c r="OI10">
        <f>$OI$9+--($OH10)</f>
        <v/>
      </c>
      <c r="OJ10">
        <f>IF(ROW()-3&gt;MAX($OI$4:$OI$40),"",INDEX($DK$4:$DK$40,MATCH(ROW()-3,$OI$4:$OI$40,0)))</f>
        <v/>
      </c>
      <c r="OK10">
        <f>IF(COUNTIF('Buyer Groups'!DG10:EA10,0)+COUNTIF('Buyer Groups'!EC10:EN10,0)&gt;0,0,1)</f>
        <v/>
      </c>
      <c r="OL10">
        <f>IF($DP$10="",FALSE,SUMPRODUCT(('Final Calculation Sheet'!$V$4:$V$40=$DP$10)*($OK$6:$OK$42=1))&gt;0)</f>
        <v/>
      </c>
      <c r="OM10">
        <f>$OM$9+--($OL10)</f>
        <v/>
      </c>
      <c r="ON10">
        <f>IF(ROW()-3&gt;MAX($OM$4:$OM$40),"",INDEX($DP$4:$DP$40,MATCH(ROW()-3,$OM$4:$OM$40,0)))</f>
        <v/>
      </c>
      <c r="OO10">
        <f>IF(COUNTIF('Buyer Groups'!DG10:EB10,0)+COUNTIF('Buyer Groups'!ED10:EN10,0)&gt;0,0,1)</f>
        <v/>
      </c>
      <c r="OP10">
        <f>IF($DU$10="",FALSE,SUMPRODUCT(('Final Calculation Sheet'!$W$4:$W$40=$DU$10)*($OO$6:$OO$42=1))&gt;0)</f>
        <v/>
      </c>
      <c r="OQ10">
        <f>$OQ$9+--($OP10)</f>
        <v/>
      </c>
      <c r="OR10">
        <f>IF(ROW()-3&gt;MAX($OQ$4:$OQ$40),"",INDEX($DU$4:$DU$40,MATCH(ROW()-3,$OQ$4:$OQ$40,0)))</f>
        <v/>
      </c>
      <c r="OS10">
        <f>IF(COUNTIF('Buyer Groups'!DG10:EC10,0)+COUNTIF('Buyer Groups'!EE10:EN10,0)&gt;0,0,1)</f>
        <v/>
      </c>
      <c r="OT10">
        <f>IF($DZ$10="",FALSE,SUMPRODUCT(('Final Calculation Sheet'!$X$4:$X$40=$DZ$10)*($OS$6:$OS$42=1))&gt;0)</f>
        <v/>
      </c>
      <c r="OU10">
        <f>$OU$9+--($OT10)</f>
        <v/>
      </c>
      <c r="OV10">
        <f>IF(ROW()-3&gt;MAX($OU$4:$OU$40),"",INDEX($DZ$4:$DZ$40,MATCH(ROW()-3,$OU$4:$OU$40,0)))</f>
        <v/>
      </c>
      <c r="OW10">
        <f>IF(COUNTIF('Buyer Groups'!DG10:ED10,0)+COUNTIF('Buyer Groups'!EF10:EN10,0)&gt;0,0,1)</f>
        <v/>
      </c>
      <c r="OX10">
        <f>IF($EE$10="",FALSE,SUMPRODUCT(('Final Calculation Sheet'!$Y$4:$Y$40=$EE$10)*($OW$6:$OW$42=1))&gt;0)</f>
        <v/>
      </c>
      <c r="OY10">
        <f>$OY$9+--($OX10)</f>
        <v/>
      </c>
      <c r="OZ10">
        <f>IF(ROW()-3&gt;MAX($OY$4:$OY$40),"",INDEX($EE$4:$EE$40,MATCH(ROW()-3,$OY$4:$OY$40,0)))</f>
        <v/>
      </c>
      <c r="PA10">
        <f>IF(COUNTIF('Buyer Groups'!DG10:EE10,0)+COUNTIF('Buyer Groups'!EG10:EN10,0)&gt;0,0,1)</f>
        <v/>
      </c>
      <c r="PB10">
        <f>IF($EJ$10="",FALSE,SUMPRODUCT(('Final Calculation Sheet'!$Z$4:$Z$40=$EJ$10)*($PA$6:$PA$42=1))&gt;0)</f>
        <v/>
      </c>
      <c r="PC10">
        <f>$PC$9+--($PB10)</f>
        <v/>
      </c>
      <c r="PD10">
        <f>IF(ROW()-3&gt;MAX($PC$4:$PC$40),"",INDEX($EJ$4:$EJ$40,MATCH(ROW()-3,$PC$4:$PC$40,0)))</f>
        <v/>
      </c>
      <c r="PE10">
        <f>IF(COUNTIF('Buyer Groups'!DG10:EF10,0)+COUNTIF('Buyer Groups'!EH10:EN10,0)&gt;0,0,1)</f>
        <v/>
      </c>
      <c r="PF10">
        <f>IF($EO$10="",FALSE,SUMPRODUCT(('Final Calculation Sheet'!$AA$4:$AA$40=$EO$10)*($PE$6:$PE$42=1))&gt;0)</f>
        <v/>
      </c>
      <c r="PG10">
        <f>$PG$9+--($PF10)</f>
        <v/>
      </c>
      <c r="PH10">
        <f>IF(ROW()-3&gt;MAX($PG$4:$PG$40),"",INDEX($EO$4:$EO$40,MATCH(ROW()-3,$PG$4:$PG$40,0)))</f>
        <v/>
      </c>
      <c r="PI10">
        <f>IF(COUNTIF('Buyer Groups'!DG10:EG10,0)+COUNTIF('Buyer Groups'!EI10:EN10,0)&gt;0,0,1)</f>
        <v/>
      </c>
      <c r="PJ10">
        <f>IF($ET$10="",FALSE,SUMPRODUCT(('Final Calculation Sheet'!$AB$4:$AB$40=$ET$10)*($PI$6:$PI$42=1))&gt;0)</f>
        <v/>
      </c>
      <c r="PK10">
        <f>$PK$9+--($PJ10)</f>
        <v/>
      </c>
      <c r="PL10">
        <f>IF(ROW()-3&gt;MAX($PK$4:$PK$40),"",INDEX($ET$4:$ET$40,MATCH(ROW()-3,$PK$4:$PK$40,0)))</f>
        <v/>
      </c>
      <c r="PM10">
        <f>IF(COUNTIF('Buyer Groups'!DG10:EH10,0)+COUNTIF('Buyer Groups'!EJ10:EN10,0)&gt;0,0,1)</f>
        <v/>
      </c>
      <c r="PN10">
        <f>IF($EY$10="",FALSE,SUMPRODUCT(('Final Calculation Sheet'!$AC$4:$AC$40=$EY$10)*($PM$6:$PM$42=1))&gt;0)</f>
        <v/>
      </c>
      <c r="PO10">
        <f>$PO$9+--($PN10)</f>
        <v/>
      </c>
      <c r="PP10">
        <f>IF(ROW()-3&gt;MAX($PO$4:$PO$40),"",INDEX($EY$4:$EY$40,MATCH(ROW()-3,$PO$4:$PO$40,0)))</f>
        <v/>
      </c>
      <c r="PQ10">
        <f>IF(COUNTIF('Buyer Groups'!DG10:EI10,0)+COUNTIF('Buyer Groups'!EK10:EN10,0)&gt;0,0,1)</f>
        <v/>
      </c>
      <c r="PR10">
        <f>IF($FD$10="",FALSE,SUMPRODUCT(('Final Calculation Sheet'!$AD$4:$AD$40=$FD$10)*($PQ$6:$PQ$42=1))&gt;0)</f>
        <v/>
      </c>
      <c r="PS10">
        <f>$PS$9+--($PR10)</f>
        <v/>
      </c>
      <c r="PT10">
        <f>IF(ROW()-3&gt;MAX($PS$4:$PS$40),"",INDEX($FD$4:$FD$40,MATCH(ROW()-3,$PS$4:$PS$40,0)))</f>
        <v/>
      </c>
      <c r="PU10">
        <f>IF(COUNTIF('Buyer Groups'!DG10:EJ10,0)+COUNTIF('Buyer Groups'!EL10:EN10,0)&gt;0,0,1)</f>
        <v/>
      </c>
      <c r="PV10">
        <f>IF($FX$10="",FALSE,SUMPRODUCT((IF('Final Calculation Sheet'!$AD$4:$AD$40&lt;=5,"SETTLED","OUTSTANDING")=$FX$10)*($PU$6:$PU$42=1))&gt;0)</f>
        <v/>
      </c>
      <c r="PW10">
        <f>$PW$9+--($PV10)</f>
        <v/>
      </c>
      <c r="PX10">
        <f>IF(ROW()-3&gt;MAX($PW$4:$PW$40),"",INDEX($FX$4:$FX$40,MATCH(ROW()-3,$PW$4:$PW$40,0)))</f>
        <v/>
      </c>
      <c r="PY10">
        <f>IF(COUNTIF('Buyer Groups'!DG10:EK10,0)+COUNTIF('Buyer Groups'!EM10:EN10,0)&gt;0,0,1)</f>
        <v/>
      </c>
      <c r="PZ10">
        <f>IF($FI$10="",FALSE,SUMPRODUCT(('Final Calculation Sheet'!$AF$4:$AF$40=$FI$10)*($PY$6:$PY$42=1))&gt;0)</f>
        <v/>
      </c>
      <c r="QA10">
        <f>$QA$9+--($PZ10)</f>
        <v/>
      </c>
      <c r="QB10">
        <f>IF(ROW()-3&gt;MAX($QA$4:$QA$40),"",INDEX($FI$4:$FI$40,MATCH(ROW()-3,$QA$4:$QA$40,0)))</f>
        <v/>
      </c>
      <c r="QC10">
        <f>IF(COUNTIF('Buyer Groups'!DG10:EL10,0)+COUNTIF('Buyer Groups'!EN10:EN10,0)&gt;0,0,1)</f>
        <v/>
      </c>
      <c r="QD10">
        <f>IF($FN$10="",FALSE,SUMPRODUCT(('Final Calculation Sheet'!$AG$4:$AG$40=$FN$10)*($QC$6:$QC$42=1))&gt;0)</f>
        <v/>
      </c>
      <c r="QE10">
        <f>$QE$9+--($QD10)</f>
        <v/>
      </c>
      <c r="QF10">
        <f>IF(ROW()-3&gt;MAX($QE$4:$QE$40),"",INDEX($FN$4:$FN$40,MATCH(ROW()-3,$QE$4:$QE$40,0)))</f>
        <v/>
      </c>
      <c r="QG10">
        <f>IF(COUNTIF('Buyer Groups'!DG10:EM10,0)&gt;0,0,1)</f>
        <v/>
      </c>
      <c r="QH10">
        <f>IF($FS$10="",FALSE,SUMPRODUCT(('Final Calculation Sheet'!$AH$4:$AH$40=$FS$10)*($QG$6:$QG$42=1))&gt;0)</f>
        <v/>
      </c>
      <c r="QI10">
        <f>$QI$9+--($QH10)</f>
        <v/>
      </c>
      <c r="QJ10">
        <f>IF(ROW()-3&gt;MAX($QI$4:$QI$40),"",INDEX($FS$4:$FS$40,MATCH(ROW()-3,$QI$4:$QI$40,0)))</f>
        <v/>
      </c>
      <c r="QK10" t="str">
        <f>IF('Final Calculation Sheet'!$AH$10="","",'Final Calculation Sheet'!$AH$10)</f>
      </c>
      <c r="QL10" t="str">
        <f>IF(QK10="","",COUNTIFS(QK$4:QK$40,"&lt;"&amp;QK10,QK$4:QK$40,"&lt;&gt;"&amp;"")+COUNTIF(QK$4:QK10,QK10))</f>
      </c>
      <c r="QM10" t="str">
        <f>IF(ROW()-3&gt;COUNTIF(QK$4:QK$40,"&lt;&gt;"&amp;""),"",INDEX(QK$4:QK$40,MATCH(ROW()-3,QL$4:QL$40,0)))</f>
      </c>
      <c r="QN10" t="str">
        <f>=QN9+F(AND(QM10&lt;&gt;"",COUNTIF(QM$4:QM10,QM10)=1),1,0)</f>
      </c>
      <c r="QO10" t="str">
        <f>IF(ROW()-3&gt;MAX(QN$4:QN$40),"",INDEX(QM$4:QM$40,MATCH(ROW()-3,QN$4:QN$40,0)))</f>
      </c>
      <c r="QP10" t="str">
        <f>IF(COUNTIF('Final Calculation Sheet'!$AM10:$BS10,0)&gt;0,0,1)</f>
      </c>
      <c r="QQ10" t="str">
        <f>IF($AI$10="",FALSE,SUMPRODUCT(('Final Calculation Sheet'!$A$4:$A$40=$AI$10)*($QP$4:$QP$40=1))&gt;0)</f>
      </c>
      <c r="QR10" t="str">
        <f>=$QR9+--($QQ10)</f>
      </c>
      <c r="QS10" t="str">
        <f>IF(ROW()-3&gt;MAX($QR$4:$QR$40),"",INDEX($AI$4:$AI$40,MATCH(ROW()-3,$QR$4:$QR$40,0)))</f>
      </c>
      <c r="QT10" t="str">
        <f>IF(COUNTIF('Final Calculation Sheet'!$AL10:$AL10,0)+COUNTIF('Final Calculation Sheet'!$AN10:$BS10,0)&gt;0,0,1)</f>
      </c>
      <c r="QU10" t="str">
        <f>IF($Y$10="",FALSE,SUMPRODUCT(('Final Calculation Sheet'!$B$4:$B$40=$Y$10)*($QT$4:$QT$40=1))&gt;0)</f>
      </c>
      <c r="QV10" t="str">
        <f>=$QV9+--($QU10)</f>
      </c>
      <c r="QW10" t="str">
        <f>IF(ROW()-3&gt;MAX($QV$4:$QV$40),"",INDEX($Y$4:$Y$40,MATCH(ROW()-3,$QV$4:$QV$40,0)))</f>
      </c>
      <c r="QX10" t="str">
        <f>IF(COUNTIF('Final Calculation Sheet'!$AL10:$AM10,0)+COUNTIF('Final Calculation Sheet'!$AO10:$BS10,0)&gt;0,0,1)</f>
      </c>
      <c r="QY10" t="str">
        <f>IF($AS$10="",FALSE,SUMPRODUCT(('Final Calculation Sheet'!$C$4:$C$40=$AS$10)*($QX$4:$QX$40=1))&gt;0)</f>
      </c>
      <c r="QZ10" t="str">
        <f>=$QZ9+--($QY10)</f>
      </c>
      <c r="RA10" t="str">
        <f>IF(ROW()-3&gt;MAX($QZ$4:$QZ$40),"",INDEX($AS$4:$AS$40,MATCH(ROW()-3,$QZ$4:$QZ$40,0)))</f>
      </c>
      <c r="RB10" t="str">
        <f>IF(COUNTIF('Final Calculation Sheet'!$AL10:$AN10,0)+COUNTIF('Final Calculation Sheet'!$AP10:$BS10,0)&gt;0,0,1)</f>
      </c>
      <c r="RC10" t="str">
        <f>IF($AD$10="",FALSE,SUMPRODUCT(('Final Calculation Sheet'!$D$4:$D$40=$AD$10)*($RB$4:$RB$40=1))&gt;0)</f>
      </c>
      <c r="RD10" t="str">
        <f>=$RD9+--($RC10)</f>
      </c>
      <c r="RE10" t="str">
        <f>IF(ROW()-3&gt;MAX($RD$4:$RD$40),"",INDEX($AD$4:$AD$40,MATCH(ROW()-3,$RD$4:$RD$40,0)))</f>
      </c>
      <c r="RF10" t="str">
        <f>IF(COUNTIF('Final Calculation Sheet'!$AL10:$AO10,0)+COUNTIF('Final Calculation Sheet'!$AQ10:$BS10,0)&gt;0,0,1)</f>
      </c>
      <c r="RG10" t="str">
        <f>IF($AN$10="",FALSE,SUMPRODUCT(('Final Calculation Sheet'!$E$4:$E$40=$AN$10)*($RF$4:$RF$40=1))&gt;0)</f>
      </c>
      <c r="RH10" t="str">
        <f>=$RH9+--($RG10)</f>
      </c>
      <c r="RI10" t="str">
        <f>IF(ROW()-3&gt;MAX($RH$4:$RH$40),"",INDEX($AN$4:$AN$40,MATCH(ROW()-3,$RH$4:$RH$40,0)))</f>
      </c>
      <c r="RJ10" t="str">
        <f>IF(COUNTIF('Final Calculation Sheet'!$AL10:$AP10,0)+COUNTIF('Final Calculation Sheet'!$AR10:$BS10,0)&gt;0,0,1)</f>
      </c>
      <c r="RK10" t="str">
        <f>IF($O$10="",FALSE,SUMPRODUCT(('Final Calculation Sheet'!$F$4:$F$40=$O$10)*($RJ$4:$RJ$40=1))&gt;0)</f>
      </c>
      <c r="RL10" t="str">
        <f>=$RL9+--($RK10)</f>
      </c>
      <c r="RM10" t="str">
        <f>IF(ROW()-3&gt;MAX($RL$4:$RL$40),"",INDEX($O$4:$O$40,MATCH(ROW()-3,$RL$4:$RL$40,0)))</f>
      </c>
      <c r="RN10" t="str">
        <f>IF(COUNTIF('Final Calculation Sheet'!$AL10:$AQ10,0)+COUNTIF('Final Calculation Sheet'!$AS10:$BS10,0)&gt;0,0,1)</f>
      </c>
      <c r="RO10" t="str">
        <f>IF($T$10="",FALSE,SUMPRODUCT(('Final Calculation Sheet'!$G$4:$G$40=$T$10)*($RN$4:$RN$40=1))&gt;0)</f>
      </c>
      <c r="RP10" t="str">
        <f>=$RP9+--($RO10)</f>
      </c>
      <c r="RQ10" t="str">
        <f>IF(ROW()-3&gt;MAX($RP$4:$RP$40),"",INDEX($T$4:$T$40,MATCH(ROW()-3,$RP$4:$RP$40,0)))</f>
      </c>
      <c r="RR10" t="str">
        <f>IF(COUNTIF('Final Calculation Sheet'!$AL10:$AR10,0)+COUNTIF('Final Calculation Sheet'!$AT10:$BS10,0)&gt;0,0,1)</f>
      </c>
      <c r="RS10" t="str">
        <f>IF($AX$10="",FALSE,SUMPRODUCT(('Final Calculation Sheet'!$H$4:$H$40=$AX$10)*($RR$4:$RR$40=1))&gt;0)</f>
      </c>
      <c r="RT10" t="str">
        <f>=$RT9+--($RS10)</f>
      </c>
      <c r="RU10" t="str">
        <f>IF(ROW()-3&gt;MAX($RT$4:$RT$40),"",INDEX($AX$4:$AX$40,MATCH(ROW()-3,$RT$4:$RT$40,0)))</f>
      </c>
      <c r="RV10" t="str">
        <f>IF(COUNTIF('Final Calculation Sheet'!$AL10:$AS10,0)+COUNTIF('Final Calculation Sheet'!$AU10:$BS10,0)&gt;0,0,1)</f>
      </c>
      <c r="RW10" t="str">
        <f>IF($BC$10="",FALSE,SUMPRODUCT(('Final Calculation Sheet'!$I$4:$I$40=$BC$10)*($RV$4:$RV$40=1))&gt;0)</f>
      </c>
      <c r="RX10" t="str">
        <f>=$RX9+--($RW10)</f>
      </c>
      <c r="RY10" t="str">
        <f>IF(ROW()-3&gt;MAX($RX$4:$RX$40),"",INDEX($BC$4:$BC$40,MATCH(ROW()-3,$RX$4:$RX$40,0)))</f>
      </c>
      <c r="RZ10" t="str">
        <f>IF(COUNTIF('Final Calculation Sheet'!$AL10:$AT10,0)+COUNTIF('Final Calculation Sheet'!$AV10:$BS10,0)&gt;0,0,1)</f>
      </c>
      <c r="SA10" t="str">
        <f>IF($BH$10="",FALSE,SUMPRODUCT(('Final Calculation Sheet'!$J$4:$J$40=$BH$10)*($RZ$4:$RZ$40=1))&gt;0)</f>
      </c>
      <c r="SB10" t="str">
        <f>=$SB9+--($SA10)</f>
      </c>
      <c r="SC10" t="str">
        <f>IF(ROW()-3&gt;MAX($SB$4:$SB$40),"",INDEX($BH$4:$BH$40,MATCH(ROW()-3,$SB$4:$SB$40,0)))</f>
      </c>
      <c r="SD10" t="str">
        <f>IF(COUNTIF('Final Calculation Sheet'!$AL10:$AU10,0)+COUNTIF('Final Calculation Sheet'!$AW10:$BS10,0)&gt;0,0,1)</f>
      </c>
      <c r="SE10" t="str">
        <f>IF($BM$10="",FALSE,SUMPRODUCT(('Final Calculation Sheet'!$K$4:$K$40=$BM$10)*($SD$4:$SD$40=1))&gt;0)</f>
      </c>
      <c r="SF10" t="str">
        <f>=$SF9+--($SE10)</f>
      </c>
      <c r="SG10" t="str">
        <f>IF(ROW()-3&gt;MAX($SF$4:$SF$40),"",INDEX($BM$4:$BM$40,MATCH(ROW()-3,$SF$4:$SF$40,0)))</f>
      </c>
      <c r="SH10" t="str">
        <f>IF(COUNTIF('Final Calculation Sheet'!$AL10:$AV10,0)+COUNTIF('Final Calculation Sheet'!$AX10:$BS10,0)&gt;0,0,1)</f>
      </c>
      <c r="SI10" t="str">
        <f>IF($BR$10="",FALSE,SUMPRODUCT(('Final Calculation Sheet'!$L$4:$L$40=$BR$10)*($SH$4:$SH$40=1))&gt;0)</f>
      </c>
      <c r="SJ10" t="str">
        <f>=$SJ9+--($SI10)</f>
      </c>
      <c r="SK10" t="str">
        <f>IF(ROW()-3&gt;MAX($SJ$4:$SJ$40),"",INDEX($BR$4:$BR$40,MATCH(ROW()-3,$SJ$4:$SJ$40,0)))</f>
      </c>
      <c r="SL10" t="str">
        <f>IF(COUNTIF('Final Calculation Sheet'!$AL10:$AW10,0)+COUNTIF('Final Calculation Sheet'!$AY10:$BS10,0)&gt;0,0,1)</f>
      </c>
      <c r="SM10" t="str">
        <f>IF($BW$10="",FALSE,SUMPRODUCT(('Final Calculation Sheet'!$M$4:$M$40=$BW$10)*($SL$4:$SL$40=1))&gt;0)</f>
      </c>
      <c r="SN10" t="str">
        <f>=$SN9+--($SM10)</f>
      </c>
      <c r="SO10" t="str">
        <f>IF(ROW()-3&gt;MAX($SN$4:$SN$40),"",INDEX($BW$4:$BW$40,MATCH(ROW()-3,$SN$4:$SN$40,0)))</f>
      </c>
      <c r="SP10" t="str">
        <f>IF(COUNTIF('Final Calculation Sheet'!$AL10:$AX10,0)+COUNTIF('Final Calculation Sheet'!$AZ10:$BS10,0)&gt;0,0,1)</f>
      </c>
      <c r="SQ10" t="str">
        <f>IF($CB$10="",FALSE,SUMPRODUCT(('Final Calculation Sheet'!$N$4:$N$40=$CB$10)*($SP$4:$SP$40=1))&gt;0)</f>
      </c>
      <c r="SR10" t="str">
        <f>=$SR9+--($SQ10)</f>
      </c>
      <c r="SS10" t="str">
        <f>IF(ROW()-3&gt;MAX($SR$4:$SR$40),"",INDEX($CB$4:$CB$40,MATCH(ROW()-3,$SR$4:$SR$40,0)))</f>
      </c>
      <c r="ST10" t="str">
        <f>IF(COUNTIF('Final Calculation Sheet'!$AL10:$AY10,0)+COUNTIF('Final Calculation Sheet'!$BA10:$BS10,0)&gt;0,0,1)</f>
      </c>
      <c r="SU10" t="str">
        <f>IF($CG$10="",FALSE,SUMPRODUCT(('Final Calculation Sheet'!$O$4:$O$40=$CG$10)*($ST$4:$ST$40=1))&gt;0)</f>
      </c>
      <c r="SV10" t="str">
        <f>=$SV9+--($SU10)</f>
      </c>
      <c r="SW10" t="str">
        <f>IF(ROW()-3&gt;MAX($SV$4:$SV$40),"",INDEX($CG$4:$CG$40,MATCH(ROW()-3,$SV$4:$SV$40,0)))</f>
      </c>
      <c r="SX10" t="str">
        <f>IF(COUNTIF('Final Calculation Sheet'!$AL10:$AZ10,0)+COUNTIF('Final Calculation Sheet'!$BB10:$BS10,0)&gt;0,0,1)</f>
      </c>
      <c r="SY10" t="str">
        <f>IF($CL$10="",FALSE,SUMPRODUCT(('Final Calculation Sheet'!$P$4:$P$40=$CL$10)*($SX$4:$SX$40=1))&gt;0)</f>
      </c>
      <c r="SZ10" t="str">
        <f>=$SZ9+--($SY10)</f>
      </c>
      <c r="TA10" t="str">
        <f>IF(ROW()-3&gt;MAX($SZ$4:$SZ$40),"",INDEX($CL$4:$CL$40,MATCH(ROW()-3,$SZ$4:$SZ$40,0)))</f>
      </c>
      <c r="TB10" t="str">
        <f>IF(COUNTIF('Final Calculation Sheet'!$AL10:$BA10,0)+COUNTIF('Final Calculation Sheet'!$BC10:$BS10,0)&gt;0,0,1)</f>
      </c>
      <c r="TC10" t="str">
        <f>IF($CQ$10="",FALSE,SUMPRODUCT(('Final Calculation Sheet'!$Q$4:$Q$40=$CQ$10)*($TB$4:$TB$40=1))&gt;0)</f>
      </c>
      <c r="TD10" t="str">
        <f>=$TD9+--($TC10)</f>
      </c>
      <c r="TE10" t="str">
        <f>IF(ROW()-3&gt;MAX($TD$4:$TD$40),"",INDEX($CQ$4:$CQ$40,MATCH(ROW()-3,$TD$4:$TD$40,0)))</f>
      </c>
      <c r="TF10" t="str">
        <f>IF(COUNTIF('Final Calculation Sheet'!$AL10:$BB10,0)+COUNTIF('Final Calculation Sheet'!$BD10:$BS10,0)&gt;0,0,1)</f>
      </c>
      <c r="TG10" t="str">
        <f>IF($CV$10="",FALSE,SUMPRODUCT(('Final Calculation Sheet'!$R$4:$R$40=$CV$10)*($TF$4:$TF$40=1))&gt;0)</f>
      </c>
      <c r="TH10" t="str">
        <f>=$TH9+--($TG10)</f>
      </c>
      <c r="TI10" t="str">
        <f>IF(ROW()-3&gt;MAX($TH$4:$TH$40),"",INDEX($CV$4:$CV$40,MATCH(ROW()-3,$TH$4:$TH$40,0)))</f>
      </c>
      <c r="TJ10" t="str">
        <f>IF(COUNTIF('Final Calculation Sheet'!$AL10:$BC10,0)+COUNTIF('Final Calculation Sheet'!$BE10:$BS10,0)&gt;0,0,1)</f>
      </c>
      <c r="TK10" t="str">
        <f>IF($DA$10="",FALSE,SUMPRODUCT(('Final Calculation Sheet'!$S$4:$S$40=$DA$10)*($TJ$4:$TJ$40=1))&gt;0)</f>
      </c>
      <c r="TL10" t="str">
        <f>=$TL9+--($TK10)</f>
      </c>
      <c r="TM10" t="str">
        <f>IF(ROW()-3&gt;MAX($TL$4:$TL$40),"",INDEX($DA$4:$DA$40,MATCH(ROW()-3,$TL$4:$TL$40,0)))</f>
      </c>
      <c r="TN10" t="str">
        <f>IF(COUNTIF('Final Calculation Sheet'!$AL10:$BD10,0)+COUNTIF('Final Calculation Sheet'!$BF10:$BS10,0)&gt;0,0,1)</f>
      </c>
      <c r="TO10" t="str">
        <f>IF($DF$10="",FALSE,SUMPRODUCT(('Final Calculation Sheet'!$T$4:$T$40=$DF$10)*($TN$4:$TN$40=1))&gt;0)</f>
      </c>
      <c r="TP10" t="str">
        <f>=$TP9+--($TO10)</f>
      </c>
      <c r="TQ10" t="str">
        <f>IF(ROW()-3&gt;MAX($TP$4:$TP$40),"",INDEX($DF$4:$DF$40,MATCH(ROW()-3,$TP$4:$TP$40,0)))</f>
      </c>
      <c r="TR10" t="str">
        <f>IF(COUNTIF('Final Calculation Sheet'!$AL10:$BE10,0)+COUNTIF('Final Calculation Sheet'!$BG10:$BS10,0)&gt;0,0,1)</f>
      </c>
      <c r="TS10" t="str">
        <f>IF($DK$10="",FALSE,SUMPRODUCT(('Final Calculation Sheet'!$U$4:$U$40=$DK$10)*($TR$4:$TR$40=1))&gt;0)</f>
      </c>
      <c r="TT10" t="str">
        <f>=$TT9+--($TS10)</f>
      </c>
      <c r="TU10" t="str">
        <f>IF(ROW()-3&gt;MAX($TT$4:$TT$40),"",INDEX($DK$4:$DK$40,MATCH(ROW()-3,$TT$4:$TT$40,0)))</f>
      </c>
      <c r="TV10" t="str">
        <f>IF(COUNTIF('Final Calculation Sheet'!$AL10:$BF10,0)+COUNTIF('Final Calculation Sheet'!$BH10:$BS10,0)&gt;0,0,1)</f>
      </c>
      <c r="TW10" t="str">
        <f>IF($DP$10="",FALSE,SUMPRODUCT(('Final Calculation Sheet'!$V$4:$V$40=$DP$10)*($TV$4:$TV$40=1))&gt;0)</f>
      </c>
      <c r="TX10" t="str">
        <f>=$TX9+--($TW10)</f>
      </c>
      <c r="TY10" t="str">
        <f>IF(ROW()-3&gt;MAX($TX$4:$TX$40),"",INDEX($DP$4:$DP$40,MATCH(ROW()-3,$TX$4:$TX$40,0)))</f>
      </c>
      <c r="TZ10" t="str">
        <f>IF(COUNTIF('Final Calculation Sheet'!$AL10:$BG10,0)+COUNTIF('Final Calculation Sheet'!$BI10:$BS10,0)&gt;0,0,1)</f>
      </c>
      <c r="UA10" t="str">
        <f>IF($DU$10="",FALSE,SUMPRODUCT(('Final Calculation Sheet'!$W$4:$W$40=$DU$10)*($TZ$4:$TZ$40=1))&gt;0)</f>
      </c>
      <c r="UB10" t="str">
        <f>=$UB9+--($UA10)</f>
      </c>
      <c r="UC10" t="str">
        <f>IF(ROW()-3&gt;MAX($UB$4:$UB$40),"",INDEX($DU$4:$DU$40,MATCH(ROW()-3,$UB$4:$UB$40,0)))</f>
      </c>
      <c r="UD10" t="str">
        <f>IF(COUNTIF('Final Calculation Sheet'!$AL10:$BH10,0)+COUNTIF('Final Calculation Sheet'!$BJ10:$BS10,0)&gt;0,0,1)</f>
      </c>
      <c r="UE10" t="str">
        <f>IF($DZ$10="",FALSE,SUMPRODUCT(('Final Calculation Sheet'!$X$4:$X$40=$DZ$10)*($UD$4:$UD$40=1))&gt;0)</f>
      </c>
      <c r="UF10" t="str">
        <f>=$UF9+--($UE10)</f>
      </c>
      <c r="UG10" t="str">
        <f>IF(ROW()-3&gt;MAX($UF$4:$UF$40),"",INDEX($DZ$4:$DZ$40,MATCH(ROW()-3,$UF$4:$UF$40,0)))</f>
      </c>
      <c r="UH10" t="str">
        <f>IF(COUNTIF('Final Calculation Sheet'!$AL10:$BI10,0)+COUNTIF('Final Calculation Sheet'!$BK10:$BS10,0)&gt;0,0,1)</f>
      </c>
      <c r="UI10" t="str">
        <f>IF($EE$10="",FALSE,SUMPRODUCT(('Final Calculation Sheet'!$Y$4:$Y$40=$EE$10)*($UH$4:$UH$40=1))&gt;0)</f>
      </c>
      <c r="UJ10" t="str">
        <f>=$UJ9+--($UI10)</f>
      </c>
      <c r="UK10" t="str">
        <f>IF(ROW()-3&gt;MAX($UJ$4:$UJ$40),"",INDEX($EE$4:$EE$40,MATCH(ROW()-3,$UJ$4:$UJ$40,0)))</f>
      </c>
      <c r="UL10" t="str">
        <f>IF(COUNTIF('Final Calculation Sheet'!$AL10:$BJ10,0)+COUNTIF('Final Calculation Sheet'!$BL10:$BS10,0)&gt;0,0,1)</f>
      </c>
      <c r="UM10" t="str">
        <f>IF($EJ$10="",FALSE,SUMPRODUCT(('Final Calculation Sheet'!$Z$4:$Z$40=$EJ$10)*($UL$4:$UL$40=1))&gt;0)</f>
      </c>
      <c r="UN10" t="str">
        <f>=$UN9+--($UM10)</f>
      </c>
      <c r="UO10" t="str">
        <f>IF(ROW()-3&gt;MAX($UN$4:$UN$40),"",INDEX($EJ$4:$EJ$40,MATCH(ROW()-3,$UN$4:$UN$40,0)))</f>
      </c>
      <c r="UP10" t="str">
        <f>IF(COUNTIF('Final Calculation Sheet'!$AL10:$BK10,0)+COUNTIF('Final Calculation Sheet'!$BM10:$BS10,0)&gt;0,0,1)</f>
      </c>
      <c r="UQ10" t="str">
        <f>IF($EO$10="",FALSE,SUMPRODUCT(('Final Calculation Sheet'!$AA$4:$AA$40=$EO$10)*($UP$4:$UP$40=1))&gt;0)</f>
      </c>
      <c r="UR10" t="str">
        <f>=$UR9+--($UQ10)</f>
      </c>
      <c r="US10" t="str">
        <f>IF(ROW()-3&gt;MAX($UR$4:$UR$40),"",INDEX($EO$4:$EO$40,MATCH(ROW()-3,$UR$4:$UR$40,0)))</f>
      </c>
      <c r="UT10" t="str">
        <f>IF(COUNTIF('Final Calculation Sheet'!$AL10:$BL10,0)+COUNTIF('Final Calculation Sheet'!$BN10:$BS10,0)&gt;0,0,1)</f>
      </c>
      <c r="UU10" t="str">
        <f>IF($ET$10="",FALSE,SUMPRODUCT(('Final Calculation Sheet'!$AB$4:$AB$40=$ET$10)*($UT$4:$UT$40=1))&gt;0)</f>
      </c>
      <c r="UV10" t="str">
        <f>=$UV9+--($UU10)</f>
      </c>
      <c r="UW10" t="str">
        <f>IF(ROW()-3&gt;MAX($UV$4:$UV$40),"",INDEX($ET$4:$ET$40,MATCH(ROW()-3,$UV$4:$UV$40,0)))</f>
      </c>
      <c r="UX10" t="str">
        <f>IF(COUNTIF('Final Calculation Sheet'!$AL10:$BM10,0)+COUNTIF('Final Calculation Sheet'!$BO10:$BS10,0)&gt;0,0,1)</f>
      </c>
      <c r="UY10" t="str">
        <f>IF($EY$10="",FALSE,SUMPRODUCT(('Final Calculation Sheet'!$AC$4:$AC$40=$EY$10)*($UX$4:$UX$40=1))&gt;0)</f>
      </c>
      <c r="UZ10" t="str">
        <f>=$UZ9+--($UY10)</f>
      </c>
      <c r="VA10" t="str">
        <f>IF(ROW()-3&gt;MAX($UZ$4:$UZ$40),"",INDEX($EY$4:$EY$40,MATCH(ROW()-3,$UZ$4:$UZ$40,0)))</f>
      </c>
      <c r="VB10" t="str">
        <f>IF(COUNTIF('Final Calculation Sheet'!$AL10:$BN10,0)+COUNTIF('Final Calculation Sheet'!$BP10:$BS10,0)&gt;0,0,1)</f>
      </c>
      <c r="VC10" t="str">
        <f>IF($FD$10="",FALSE,SUMPRODUCT(('Final Calculation Sheet'!$AD$4:$AD$40=$FD$10)*($VB$4:$VB$40=1))&gt;0)</f>
      </c>
      <c r="VD10" t="str">
        <f>=$VD9+--($VC10)</f>
      </c>
      <c r="VE10" t="str">
        <f>IF(ROW()-3&gt;MAX($VD$4:$VD$40),"",INDEX($FD$4:$FD$40,MATCH(ROW()-3,$VD$4:$VD$40,0)))</f>
      </c>
      <c r="VF10" t="str">
        <f>IF(COUNTIF('Final Calculation Sheet'!$AL10:$BO10,0)+COUNTIF('Final Calculation Sheet'!$BQ10:$BS10,0)&gt;0,0,1)</f>
      </c>
      <c r="VG10" t="str">
        <f>IF($FI$10="",FALSE,SUMPRODUCT(('Final Calculation Sheet'!$AE$4:$AE$40=$FI$10)*($VF$4:$VF$40=1))&gt;0)</f>
      </c>
      <c r="VH10" t="str">
        <f>=$VH9+--($VG10)</f>
      </c>
      <c r="VI10" t="str">
        <f>IF(ROW()-3&gt;MAX($VH$4:$VH$40),"",INDEX($FI$4:$FI$40,MATCH(ROW()-3,$VH$4:$VH$40,0)))</f>
      </c>
      <c r="VJ10" t="str">
        <f>IF(COUNTIF('Final Calculation Sheet'!$AL10:$BP10,0)+COUNTIF('Final Calculation Sheet'!$BR10:$BS10,0)&gt;0,0,1)</f>
      </c>
      <c r="VK10" t="str">
        <f>IF($FN$10="",FALSE,SUMPRODUCT(('Final Calculation Sheet'!$AF$4:$AF$40=$FN$10)*($VJ$4:$VJ$40=1))&gt;0)</f>
      </c>
      <c r="VL10" t="str">
        <f>=$VL9+--($VK10)</f>
      </c>
      <c r="VM10" t="str">
        <f>IF(ROW()-3&gt;MAX($VL$4:$VL$40),"",INDEX($FN$4:$FN$40,MATCH(ROW()-3,$VL$4:$VL$40,0)))</f>
      </c>
      <c r="VN10" t="str">
        <f>IF(COUNTIF('Final Calculation Sheet'!$AL10:$BQ10,0)+COUNTIF('Final Calculation Sheet'!$BS10:$BS10,0)&gt;0,0,1)</f>
      </c>
      <c r="VO10" t="str">
        <f>IF($FS$10="",FALSE,SUMPRODUCT(('Final Calculation Sheet'!$AG$4:$AG$40=$FS$10)*($VN$4:$VN$40=1))&gt;0)</f>
      </c>
      <c r="VP10" t="str">
        <f>=$VP9+--($VO10)</f>
      </c>
      <c r="VQ10" t="str">
        <f>IF(ROW()-3&gt;MAX($VP$4:$VP$40),"",INDEX($FS$4:$FS$40,MATCH(ROW()-3,$VP$4:$VP$40,0)))</f>
      </c>
      <c r="VR10" t="str">
        <f>IF(COUNTIF('Final Calculation Sheet'!$AL10:$BR10,0)&gt;0,0,1)</f>
      </c>
      <c r="VS10" t="str">
        <f>IF($QO$10="",FALSE,SUMPRODUCT(('Final Calculation Sheet'!$AH$4:$AH$40=$QO$10)*($VR$4:$VR$40=1))&gt;0)</f>
      </c>
      <c r="VT10" t="str">
        <f>=$VT9+--($VS10)</f>
      </c>
      <c r="VU10" t="str">
        <f>IF(ROW()-3&gt;MAX($VT$4:$VT$40),"",INDEX($QO$4:$QO$40,MATCH(ROW()-3,$VT$4:$VT$40,0)))</f>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IF(ROW()-3&gt;MAX($LC$4:$LC$40),"",INDEX($FS$4:$FS$40,MATCH(ROW()-3,$LC$4:$LC$40,0)))</f>
        <v/>
      </c>
      <c r="LE11">
        <f>IF(COUNTIF('Buyer Groups'!DH11:EN11,0)&gt;0,0,1)</f>
        <v/>
      </c>
      <c r="LF11">
        <f>IF($O$11="",FALSE,SUMPRODUCT(('Final Calculation Sheet'!$F$4:$F$40=$O$11)*($LE$6:$LE$42=1))&gt;0)</f>
        <v/>
      </c>
      <c r="LG11">
        <f>$LG$10+--($LF11)</f>
        <v/>
      </c>
      <c r="LH11">
        <f>IF(ROW()-3&gt;MAX($LG$4:$LG$40),"",INDEX($O$4:$O$40,MATCH(ROW()-3,$LG$4:$LG$40,0)))</f>
        <v/>
      </c>
      <c r="LI11">
        <f>IF(COUNTIF('Buyer Groups'!DG11:DG11,0)+COUNTIF('Buyer Groups'!DI11:EN11,0)&gt;0,0,1)</f>
        <v/>
      </c>
      <c r="LJ11">
        <f>IF($T$11="",FALSE,SUMPRODUCT(('Final Calculation Sheet'!$G$4:$G$40=$T$11)*($LI$6:$LI$42=1))&gt;0)</f>
        <v/>
      </c>
      <c r="LK11">
        <f>$LK$10+--($LJ11)</f>
        <v/>
      </c>
      <c r="LL11">
        <f>IF(ROW()-3&gt;MAX($LK$4:$LK$40),"",INDEX($T$4:$T$40,MATCH(ROW()-3,$LK$4:$LK$40,0)))</f>
        <v/>
      </c>
      <c r="LM11">
        <f>IF(COUNTIF('Buyer Groups'!DG11:DH11,0)+COUNTIF('Buyer Groups'!DJ11:EN11,0)&gt;0,0,1)</f>
        <v/>
      </c>
      <c r="LN11">
        <f>IF($Y$11="",FALSE,SUMPRODUCT(('Final Calculation Sheet'!$B$4:$B$40=$Y$11)*($LM$6:$LM$42=1))&gt;0)</f>
        <v/>
      </c>
      <c r="LO11">
        <f>$LO$10+--($LN11)</f>
        <v/>
      </c>
      <c r="LP11">
        <f>IF(ROW()-3&gt;MAX($LO$4:$LO$40),"",INDEX($Y$4:$Y$40,MATCH(ROW()-3,$LO$4:$LO$40,0)))</f>
        <v/>
      </c>
      <c r="LQ11">
        <f>IF(COUNTIF('Buyer Groups'!DG11:DI11,0)+COUNTIF('Buyer Groups'!DK11:EN11,0)&gt;0,0,1)</f>
        <v/>
      </c>
      <c r="LR11">
        <f>IF($AD$11="",FALSE,SUMPRODUCT(('Final Calculation Sheet'!$D$4:$D$40=$AD$11)*($LQ$6:$LQ$42=1))&gt;0)</f>
        <v/>
      </c>
      <c r="LS11">
        <f>$LS$10+--($LR11)</f>
        <v/>
      </c>
      <c r="LT11">
        <f>IF(ROW()-3&gt;MAX($LS$4:$LS$40),"",INDEX($AD$4:$AD$40,MATCH(ROW()-3,$LS$4:$LS$40,0)))</f>
        <v/>
      </c>
      <c r="LU11">
        <f>IF(COUNTIF('Buyer Groups'!DG11:DJ11,0)+COUNTIF('Buyer Groups'!DL11:EN11,0)&gt;0,0,1)</f>
        <v/>
      </c>
      <c r="LV11">
        <f>IF($AI$11="",FALSE,SUMPRODUCT(('Final Calculation Sheet'!$A$4:$A$40=$AI$11)*($LU$6:$LU$42=1))&gt;0)</f>
        <v/>
      </c>
      <c r="LW11">
        <f>$LW$10+--($LV11)</f>
        <v/>
      </c>
      <c r="LX11">
        <f>IF(ROW()-3&gt;MAX($LW$4:$LW$40),"",INDEX($AI$4:$AI$40,MATCH(ROW()-3,$LW$4:$LW$40,0)))</f>
        <v/>
      </c>
      <c r="LY11">
        <f>IF(COUNTIF('Buyer Groups'!DG11:DK11,0)+COUNTIF('Buyer Groups'!DM11:EN11,0)&gt;0,0,1)</f>
        <v/>
      </c>
      <c r="LZ11">
        <f>IF($AN$11="",FALSE,SUMPRODUCT(('Final Calculation Sheet'!$E$4:$E$40=$AN$11)*($LY$6:$LY$42=1))&gt;0)</f>
        <v/>
      </c>
      <c r="MA11">
        <f>$MA$10+--($LZ11)</f>
        <v/>
      </c>
      <c r="MB11">
        <f>IF(ROW()-3&gt;MAX($MA$4:$MA$40),"",INDEX($AN$4:$AN$40,MATCH(ROW()-3,$MA$4:$MA$40,0)))</f>
        <v/>
      </c>
      <c r="MC11">
        <f>IF(COUNTIF('Buyer Groups'!DG11:DL11,0)+COUNTIF('Buyer Groups'!DN11:EN11,0)&gt;0,0,1)</f>
        <v/>
      </c>
      <c r="MD11">
        <f>IF($AS$11="",FALSE,SUMPRODUCT(('Final Calculation Sheet'!$C$4:$C$40=$AS$11)*($MC$6:$MC$42=1))&gt;0)</f>
        <v/>
      </c>
      <c r="ME11">
        <f>$ME$10+--($MD11)</f>
        <v/>
      </c>
      <c r="MF11">
        <f>IF(ROW()-3&gt;MAX($ME$4:$ME$40),"",INDEX($AS$4:$AS$40,MATCH(ROW()-3,$ME$4:$ME$40,0)))</f>
        <v/>
      </c>
      <c r="MG11">
        <f>IF(COUNTIF('Buyer Groups'!DG11:DM11,0)+COUNTIF('Buyer Groups'!DO11:EN11,0)&gt;0,0,1)</f>
        <v/>
      </c>
      <c r="MH11">
        <f>IF($AX$11="",FALSE,SUMPRODUCT(('Final Calculation Sheet'!$H$4:$H$40=$AX$11)*($MG$6:$MG$42=1))&gt;0)</f>
        <v/>
      </c>
      <c r="MI11">
        <f>$MI$10+--($MH11)</f>
        <v/>
      </c>
      <c r="MJ11">
        <f>IF(ROW()-3&gt;MAX($MI$4:$MI$40),"",INDEX($AX$4:$AX$40,MATCH(ROW()-3,$MI$4:$MI$40,0)))</f>
        <v/>
      </c>
      <c r="MK11">
        <f>IF(COUNTIF('Buyer Groups'!DG11:DN11,0)+COUNTIF('Buyer Groups'!DP11:EN11,0)&gt;0,0,1)</f>
        <v/>
      </c>
      <c r="ML11">
        <f>IF($BC$11="",FALSE,SUMPRODUCT(('Final Calculation Sheet'!$I$4:$I$40=$BC$11)*($MK$6:$MK$42=1))&gt;0)</f>
        <v/>
      </c>
      <c r="MM11">
        <f>$MM$10+--($ML11)</f>
        <v/>
      </c>
      <c r="MN11">
        <f>IF(ROW()-3&gt;MAX($MM$4:$MM$40),"",INDEX($BC$4:$BC$40,MATCH(ROW()-3,$MM$4:$MM$40,0)))</f>
        <v/>
      </c>
      <c r="MO11">
        <f>IF(COUNTIF('Buyer Groups'!DG11:DO11,0)+COUNTIF('Buyer Groups'!DQ11:EN11,0)&gt;0,0,1)</f>
        <v/>
      </c>
      <c r="MP11">
        <f>IF($BH$11="",FALSE,SUMPRODUCT(('Final Calculation Sheet'!$J$4:$J$40=$BH$11)*($MO$6:$MO$42=1))&gt;0)</f>
        <v/>
      </c>
      <c r="MQ11">
        <f>$MQ$10+--($MP11)</f>
        <v/>
      </c>
      <c r="MR11">
        <f>IF(ROW()-3&gt;MAX($MQ$4:$MQ$40),"",INDEX($BH$4:$BH$40,MATCH(ROW()-3,$MQ$4:$MQ$40,0)))</f>
        <v/>
      </c>
      <c r="MS11">
        <f>IF(COUNTIF('Buyer Groups'!DG11:DP11,0)+COUNTIF('Buyer Groups'!DR11:EN11,0)&gt;0,0,1)</f>
        <v/>
      </c>
      <c r="MT11">
        <f>IF($BM$11="",FALSE,SUMPRODUCT(('Final Calculation Sheet'!$K$4:$K$40=$BM$11)*($MS$6:$MS$42=1))&gt;0)</f>
        <v/>
      </c>
      <c r="MU11">
        <f>$MU$10+--($MT11)</f>
        <v/>
      </c>
      <c r="MV11">
        <f>IF(ROW()-3&gt;MAX($MU$4:$MU$40),"",INDEX($BM$4:$BM$40,MATCH(ROW()-3,$MU$4:$MU$40,0)))</f>
        <v/>
      </c>
      <c r="MW11">
        <f>IF(COUNTIF('Buyer Groups'!DG11:DQ11,0)+COUNTIF('Buyer Groups'!DS11:EN11,0)&gt;0,0,1)</f>
        <v/>
      </c>
      <c r="MX11">
        <f>IF($BR$11="",FALSE,SUMPRODUCT(('Final Calculation Sheet'!$L$4:$L$40=$BR$11)*($MW$6:$MW$42=1))&gt;0)</f>
        <v/>
      </c>
      <c r="MY11">
        <f>$MY$10+--($MX11)</f>
        <v/>
      </c>
      <c r="MZ11">
        <f>IF(ROW()-3&gt;MAX($MY$4:$MY$40),"",INDEX($BR$4:$BR$40,MATCH(ROW()-3,$MY$4:$MY$40,0)))</f>
        <v/>
      </c>
      <c r="NA11">
        <f>IF(COUNTIF('Buyer Groups'!DG11:DR11,0)+COUNTIF('Buyer Groups'!DT11:EN11,0)&gt;0,0,1)</f>
        <v/>
      </c>
      <c r="NB11">
        <f>IF($BW$11="",FALSE,SUMPRODUCT(('Final Calculation Sheet'!$M$4:$M$40=$BW$11)*($NA$6:$NA$42=1))&gt;0)</f>
        <v/>
      </c>
      <c r="NC11">
        <f>$NC$10+--($NB11)</f>
        <v/>
      </c>
      <c r="ND11">
        <f>IF(ROW()-3&gt;MAX($NC$4:$NC$40),"",INDEX($BW$4:$BW$40,MATCH(ROW()-3,$NC$4:$NC$40,0)))</f>
        <v/>
      </c>
      <c r="NE11">
        <f>IF(COUNTIF('Buyer Groups'!DG11:DS11,0)+COUNTIF('Buyer Groups'!DU11:EN11,0)&gt;0,0,1)</f>
        <v/>
      </c>
      <c r="NF11">
        <f>IF($CB$11="",FALSE,SUMPRODUCT(('Final Calculation Sheet'!$N$4:$N$40=$CB$11)*($NE$6:$NE$42=1))&gt;0)</f>
        <v/>
      </c>
      <c r="NG11">
        <f>$NG$10+--($NF11)</f>
        <v/>
      </c>
      <c r="NH11">
        <f>IF(ROW()-3&gt;MAX($NG$4:$NG$40),"",INDEX($CB$4:$CB$40,MATCH(ROW()-3,$NG$4:$NG$40,0)))</f>
        <v/>
      </c>
      <c r="NI11">
        <f>IF(COUNTIF('Buyer Groups'!DG11:DT11,0)+COUNTIF('Buyer Groups'!DV11:EN11,0)&gt;0,0,1)</f>
        <v/>
      </c>
      <c r="NJ11">
        <f>IF($CG$11="",FALSE,SUMPRODUCT(('Final Calculation Sheet'!$O$4:$O$40=$CG$11)*($NI$6:$NI$42=1))&gt;0)</f>
        <v/>
      </c>
      <c r="NK11">
        <f>$NK$10+--($NJ11)</f>
        <v/>
      </c>
      <c r="NL11">
        <f>IF(ROW()-3&gt;MAX($NK$4:$NK$40),"",INDEX($CG$4:$CG$40,MATCH(ROW()-3,$NK$4:$NK$40,0)))</f>
        <v/>
      </c>
      <c r="NM11">
        <f>IF(COUNTIF('Buyer Groups'!DG11:DU11,0)+COUNTIF('Buyer Groups'!DW11:EN11,0)&gt;0,0,1)</f>
        <v/>
      </c>
      <c r="NN11">
        <f>IF($CL$11="",FALSE,SUMPRODUCT(('Final Calculation Sheet'!$P$4:$P$40=$CL$11)*($NM$6:$NM$42=1))&gt;0)</f>
        <v/>
      </c>
      <c r="NO11">
        <f>$NO$10+--($NN11)</f>
        <v/>
      </c>
      <c r="NP11">
        <f>IF(ROW()-3&gt;MAX($NO$4:$NO$40),"",INDEX($CL$4:$CL$40,MATCH(ROW()-3,$NO$4:$NO$40,0)))</f>
        <v/>
      </c>
      <c r="NQ11">
        <f>IF(COUNTIF('Buyer Groups'!DG11:DV11,0)+COUNTIF('Buyer Groups'!DX11:EN11,0)&gt;0,0,1)</f>
        <v/>
      </c>
      <c r="NR11">
        <f>IF($CQ$11="",FALSE,SUMPRODUCT(('Final Calculation Sheet'!$Q$4:$Q$40=$CQ$11)*($NQ$6:$NQ$42=1))&gt;0)</f>
        <v/>
      </c>
      <c r="NS11">
        <f>$NS$10+--($NR11)</f>
        <v/>
      </c>
      <c r="NT11">
        <f>IF(ROW()-3&gt;MAX($NS$4:$NS$40),"",INDEX($CQ$4:$CQ$40,MATCH(ROW()-3,$NS$4:$NS$40,0)))</f>
        <v/>
      </c>
      <c r="NU11">
        <f>IF(COUNTIF('Buyer Groups'!DG11:DW11,0)+COUNTIF('Buyer Groups'!DY11:EN11,0)&gt;0,0,1)</f>
        <v/>
      </c>
      <c r="NV11">
        <f>IF($CV$11="",FALSE,SUMPRODUCT(('Final Calculation Sheet'!$R$4:$R$40=$CV$11)*($NU$6:$NU$42=1))&gt;0)</f>
        <v/>
      </c>
      <c r="NW11">
        <f>$NW$10+--($NV11)</f>
        <v/>
      </c>
      <c r="NX11">
        <f>IF(ROW()-3&gt;MAX($NW$4:$NW$40),"",INDEX($CV$4:$CV$40,MATCH(ROW()-3,$NW$4:$NW$40,0)))</f>
        <v/>
      </c>
      <c r="NY11">
        <f>IF(COUNTIF('Buyer Groups'!DG11:DX11,0)+COUNTIF('Buyer Groups'!DZ11:EN11,0)&gt;0,0,1)</f>
        <v/>
      </c>
      <c r="NZ11">
        <f>IF($DA$11="",FALSE,SUMPRODUCT(('Final Calculation Sheet'!$S$4:$S$40=$DA$11)*($NY$6:$NY$42=1))&gt;0)</f>
        <v/>
      </c>
      <c r="OA11">
        <f>$OA$10+--($NZ11)</f>
        <v/>
      </c>
      <c r="OB11">
        <f>IF(ROW()-3&gt;MAX($OA$4:$OA$40),"",INDEX($DA$4:$DA$40,MATCH(ROW()-3,$OA$4:$OA$40,0)))</f>
        <v/>
      </c>
      <c r="OC11">
        <f>IF(COUNTIF('Buyer Groups'!DG11:DY11,0)+COUNTIF('Buyer Groups'!EA11:EN11,0)&gt;0,0,1)</f>
        <v/>
      </c>
      <c r="OD11">
        <f>IF($DF$11="",FALSE,SUMPRODUCT(('Final Calculation Sheet'!$T$4:$T$40=$DF$11)*($OC$6:$OC$42=1))&gt;0)</f>
        <v/>
      </c>
      <c r="OE11">
        <f>$OE$10+--($OD11)</f>
        <v/>
      </c>
      <c r="OF11">
        <f>IF(ROW()-3&gt;MAX($OE$4:$OE$40),"",INDEX($DF$4:$DF$40,MATCH(ROW()-3,$OE$4:$OE$40,0)))</f>
        <v/>
      </c>
      <c r="OG11">
        <f>IF(COUNTIF('Buyer Groups'!DG11:DZ11,0)+COUNTIF('Buyer Groups'!EB11:EN11,0)&gt;0,0,1)</f>
        <v/>
      </c>
      <c r="OH11">
        <f>IF($DK$11="",FALSE,SUMPRODUCT(('Final Calculation Sheet'!$U$4:$U$40=$DK$11)*($OG$6:$OG$42=1))&gt;0)</f>
        <v/>
      </c>
      <c r="OI11">
        <f>$OI$10+--($OH11)</f>
        <v/>
      </c>
      <c r="OJ11">
        <f>IF(ROW()-3&gt;MAX($OI$4:$OI$40),"",INDEX($DK$4:$DK$40,MATCH(ROW()-3,$OI$4:$OI$40,0)))</f>
        <v/>
      </c>
      <c r="OK11">
        <f>IF(COUNTIF('Buyer Groups'!DG11:EA11,0)+COUNTIF('Buyer Groups'!EC11:EN11,0)&gt;0,0,1)</f>
        <v/>
      </c>
      <c r="OL11">
        <f>IF($DP$11="",FALSE,SUMPRODUCT(('Final Calculation Sheet'!$V$4:$V$40=$DP$11)*($OK$6:$OK$42=1))&gt;0)</f>
        <v/>
      </c>
      <c r="OM11">
        <f>$OM$10+--($OL11)</f>
        <v/>
      </c>
      <c r="ON11">
        <f>IF(ROW()-3&gt;MAX($OM$4:$OM$40),"",INDEX($DP$4:$DP$40,MATCH(ROW()-3,$OM$4:$OM$40,0)))</f>
        <v/>
      </c>
      <c r="OO11">
        <f>IF(COUNTIF('Buyer Groups'!DG11:EB11,0)+COUNTIF('Buyer Groups'!ED11:EN11,0)&gt;0,0,1)</f>
        <v/>
      </c>
      <c r="OP11">
        <f>IF($DU$11="",FALSE,SUMPRODUCT(('Final Calculation Sheet'!$W$4:$W$40=$DU$11)*($OO$6:$OO$42=1))&gt;0)</f>
        <v/>
      </c>
      <c r="OQ11">
        <f>$OQ$10+--($OP11)</f>
        <v/>
      </c>
      <c r="OR11">
        <f>IF(ROW()-3&gt;MAX($OQ$4:$OQ$40),"",INDEX($DU$4:$DU$40,MATCH(ROW()-3,$OQ$4:$OQ$40,0)))</f>
        <v/>
      </c>
      <c r="OS11">
        <f>IF(COUNTIF('Buyer Groups'!DG11:EC11,0)+COUNTIF('Buyer Groups'!EE11:EN11,0)&gt;0,0,1)</f>
        <v/>
      </c>
      <c r="OT11">
        <f>IF($DZ$11="",FALSE,SUMPRODUCT(('Final Calculation Sheet'!$X$4:$X$40=$DZ$11)*($OS$6:$OS$42=1))&gt;0)</f>
        <v/>
      </c>
      <c r="OU11">
        <f>$OU$10+--($OT11)</f>
        <v/>
      </c>
      <c r="OV11">
        <f>IF(ROW()-3&gt;MAX($OU$4:$OU$40),"",INDEX($DZ$4:$DZ$40,MATCH(ROW()-3,$OU$4:$OU$40,0)))</f>
        <v/>
      </c>
      <c r="OW11">
        <f>IF(COUNTIF('Buyer Groups'!DG11:ED11,0)+COUNTIF('Buyer Groups'!EF11:EN11,0)&gt;0,0,1)</f>
        <v/>
      </c>
      <c r="OX11">
        <f>IF($EE$11="",FALSE,SUMPRODUCT(('Final Calculation Sheet'!$Y$4:$Y$40=$EE$11)*($OW$6:$OW$42=1))&gt;0)</f>
        <v/>
      </c>
      <c r="OY11">
        <f>$OY$10+--($OX11)</f>
        <v/>
      </c>
      <c r="OZ11">
        <f>IF(ROW()-3&gt;MAX($OY$4:$OY$40),"",INDEX($EE$4:$EE$40,MATCH(ROW()-3,$OY$4:$OY$40,0)))</f>
        <v/>
      </c>
      <c r="PA11">
        <f>IF(COUNTIF('Buyer Groups'!DG11:EE11,0)+COUNTIF('Buyer Groups'!EG11:EN11,0)&gt;0,0,1)</f>
        <v/>
      </c>
      <c r="PB11">
        <f>IF($EJ$11="",FALSE,SUMPRODUCT(('Final Calculation Sheet'!$Z$4:$Z$40=$EJ$11)*($PA$6:$PA$42=1))&gt;0)</f>
        <v/>
      </c>
      <c r="PC11">
        <f>$PC$10+--($PB11)</f>
        <v/>
      </c>
      <c r="PD11">
        <f>IF(ROW()-3&gt;MAX($PC$4:$PC$40),"",INDEX($EJ$4:$EJ$40,MATCH(ROW()-3,$PC$4:$PC$40,0)))</f>
        <v/>
      </c>
      <c r="PE11">
        <f>IF(COUNTIF('Buyer Groups'!DG11:EF11,0)+COUNTIF('Buyer Groups'!EH11:EN11,0)&gt;0,0,1)</f>
        <v/>
      </c>
      <c r="PF11">
        <f>IF($EO$11="",FALSE,SUMPRODUCT(('Final Calculation Sheet'!$AA$4:$AA$40=$EO$11)*($PE$6:$PE$42=1))&gt;0)</f>
        <v/>
      </c>
      <c r="PG11">
        <f>$PG$10+--($PF11)</f>
        <v/>
      </c>
      <c r="PH11">
        <f>IF(ROW()-3&gt;MAX($PG$4:$PG$40),"",INDEX($EO$4:$EO$40,MATCH(ROW()-3,$PG$4:$PG$40,0)))</f>
        <v/>
      </c>
      <c r="PI11">
        <f>IF(COUNTIF('Buyer Groups'!DG11:EG11,0)+COUNTIF('Buyer Groups'!EI11:EN11,0)&gt;0,0,1)</f>
        <v/>
      </c>
      <c r="PJ11">
        <f>IF($ET$11="",FALSE,SUMPRODUCT(('Final Calculation Sheet'!$AB$4:$AB$40=$ET$11)*($PI$6:$PI$42=1))&gt;0)</f>
        <v/>
      </c>
      <c r="PK11">
        <f>$PK$10+--($PJ11)</f>
        <v/>
      </c>
      <c r="PL11">
        <f>IF(ROW()-3&gt;MAX($PK$4:$PK$40),"",INDEX($ET$4:$ET$40,MATCH(ROW()-3,$PK$4:$PK$40,0)))</f>
        <v/>
      </c>
      <c r="PM11">
        <f>IF(COUNTIF('Buyer Groups'!DG11:EH11,0)+COUNTIF('Buyer Groups'!EJ11:EN11,0)&gt;0,0,1)</f>
        <v/>
      </c>
      <c r="PN11">
        <f>IF($EY$11="",FALSE,SUMPRODUCT(('Final Calculation Sheet'!$AC$4:$AC$40=$EY$11)*($PM$6:$PM$42=1))&gt;0)</f>
        <v/>
      </c>
      <c r="PO11">
        <f>$PO$10+--($PN11)</f>
        <v/>
      </c>
      <c r="PP11">
        <f>IF(ROW()-3&gt;MAX($PO$4:$PO$40),"",INDEX($EY$4:$EY$40,MATCH(ROW()-3,$PO$4:$PO$40,0)))</f>
        <v/>
      </c>
      <c r="PQ11">
        <f>IF(COUNTIF('Buyer Groups'!DG11:EI11,0)+COUNTIF('Buyer Groups'!EK11:EN11,0)&gt;0,0,1)</f>
        <v/>
      </c>
      <c r="PR11">
        <f>IF($FD$11="",FALSE,SUMPRODUCT(('Final Calculation Sheet'!$AD$4:$AD$40=$FD$11)*($PQ$6:$PQ$42=1))&gt;0)</f>
        <v/>
      </c>
      <c r="PS11">
        <f>$PS$10+--($PR11)</f>
        <v/>
      </c>
      <c r="PT11">
        <f>IF(ROW()-3&gt;MAX($PS$4:$PS$40),"",INDEX($FD$4:$FD$40,MATCH(ROW()-3,$PS$4:$PS$40,0)))</f>
        <v/>
      </c>
      <c r="PU11">
        <f>IF(COUNTIF('Buyer Groups'!DG11:EJ11,0)+COUNTIF('Buyer Groups'!EL11:EN11,0)&gt;0,0,1)</f>
        <v/>
      </c>
      <c r="PV11">
        <f>IF($FX$11="",FALSE,SUMPRODUCT((IF('Final Calculation Sheet'!$AD$4:$AD$40&lt;=5,"SETTLED","OUTSTANDING")=$FX$11)*($PU$6:$PU$42=1))&gt;0)</f>
        <v/>
      </c>
      <c r="PW11">
        <f>$PW$10+--($PV11)</f>
        <v/>
      </c>
      <c r="PX11">
        <f>IF(ROW()-3&gt;MAX($PW$4:$PW$40),"",INDEX($FX$4:$FX$40,MATCH(ROW()-3,$PW$4:$PW$40,0)))</f>
        <v/>
      </c>
      <c r="PY11">
        <f>IF(COUNTIF('Buyer Groups'!DG11:EK11,0)+COUNTIF('Buyer Groups'!EM11:EN11,0)&gt;0,0,1)</f>
        <v/>
      </c>
      <c r="PZ11">
        <f>IF($FI$11="",FALSE,SUMPRODUCT(('Final Calculation Sheet'!$AF$4:$AF$40=$FI$11)*($PY$6:$PY$42=1))&gt;0)</f>
        <v/>
      </c>
      <c r="QA11">
        <f>$QA$10+--($PZ11)</f>
        <v/>
      </c>
      <c r="QB11">
        <f>IF(ROW()-3&gt;MAX($QA$4:$QA$40),"",INDEX($FI$4:$FI$40,MATCH(ROW()-3,$QA$4:$QA$40,0)))</f>
        <v/>
      </c>
      <c r="QC11">
        <f>IF(COUNTIF('Buyer Groups'!DG11:EL11,0)+COUNTIF('Buyer Groups'!EN11:EN11,0)&gt;0,0,1)</f>
        <v/>
      </c>
      <c r="QD11">
        <f>IF($FN$11="",FALSE,SUMPRODUCT(('Final Calculation Sheet'!$AG$4:$AG$40=$FN$11)*($QC$6:$QC$42=1))&gt;0)</f>
        <v/>
      </c>
      <c r="QE11">
        <f>$QE$10+--($QD11)</f>
        <v/>
      </c>
      <c r="QF11">
        <f>IF(ROW()-3&gt;MAX($QE$4:$QE$40),"",INDEX($FN$4:$FN$40,MATCH(ROW()-3,$QE$4:$QE$40,0)))</f>
        <v/>
      </c>
      <c r="QG11">
        <f>IF(COUNTIF('Buyer Groups'!DG11:EM11,0)&gt;0,0,1)</f>
        <v/>
      </c>
      <c r="QH11">
        <f>IF($FS$11="",FALSE,SUMPRODUCT(('Final Calculation Sheet'!$AH$4:$AH$40=$FS$11)*($QG$6:$QG$42=1))&gt;0)</f>
        <v/>
      </c>
      <c r="QI11">
        <f>$QI$10+--($QH11)</f>
        <v/>
      </c>
      <c r="QJ11">
        <f>IF(ROW()-3&gt;MAX($QI$4:$QI$40),"",INDEX($FS$4:$FS$40,MATCH(ROW()-3,$QI$4:$QI$40,0)))</f>
        <v/>
      </c>
      <c r="QK11" t="str">
        <f>IF('Final Calculation Sheet'!$AH$11="","",'Final Calculation Sheet'!$AH$11)</f>
      </c>
      <c r="QL11" t="str">
        <f>IF(QK11="","",COUNTIFS(QK$4:QK$40,"&lt;"&amp;QK11,QK$4:QK$40,"&lt;&gt;"&amp;"")+COUNTIF(QK$4:QK11,QK11))</f>
      </c>
      <c r="QM11" t="str">
        <f>IF(ROW()-3&gt;COUNTIF(QK$4:QK$40,"&lt;&gt;"&amp;""),"",INDEX(QK$4:QK$40,MATCH(ROW()-3,QL$4:QL$40,0)))</f>
      </c>
      <c r="QN11" t="str">
        <f>=QN10+F(AND(QM11&lt;&gt;"",COUNTIF(QM$4:QM11,QM11)=1),1,0)</f>
      </c>
      <c r="QO11" t="str">
        <f>IF(ROW()-3&gt;MAX(QN$4:QN$40),"",INDEX(QM$4:QM$40,MATCH(ROW()-3,QN$4:QN$40,0)))</f>
      </c>
      <c r="QP11" t="str">
        <f>IF(COUNTIF('Final Calculation Sheet'!$AM11:$BS11,0)&gt;0,0,1)</f>
      </c>
      <c r="QQ11" t="str">
        <f>IF($AI$11="",FALSE,SUMPRODUCT(('Final Calculation Sheet'!$A$4:$A$40=$AI$11)*($QP$4:$QP$40=1))&gt;0)</f>
      </c>
      <c r="QR11" t="str">
        <f>=$QR10+--($QQ11)</f>
      </c>
      <c r="QS11" t="str">
        <f>IF(ROW()-3&gt;MAX($QR$4:$QR$40),"",INDEX($AI$4:$AI$40,MATCH(ROW()-3,$QR$4:$QR$40,0)))</f>
      </c>
      <c r="QT11" t="str">
        <f>IF(COUNTIF('Final Calculation Sheet'!$AL11:$AL11,0)+COUNTIF('Final Calculation Sheet'!$AN11:$BS11,0)&gt;0,0,1)</f>
      </c>
      <c r="QU11" t="str">
        <f>IF($Y$11="",FALSE,SUMPRODUCT(('Final Calculation Sheet'!$B$4:$B$40=$Y$11)*($QT$4:$QT$40=1))&gt;0)</f>
      </c>
      <c r="QV11" t="str">
        <f>=$QV10+--($QU11)</f>
      </c>
      <c r="QW11" t="str">
        <f>IF(ROW()-3&gt;MAX($QV$4:$QV$40),"",INDEX($Y$4:$Y$40,MATCH(ROW()-3,$QV$4:$QV$40,0)))</f>
      </c>
      <c r="QX11" t="str">
        <f>IF(COUNTIF('Final Calculation Sheet'!$AL11:$AM11,0)+COUNTIF('Final Calculation Sheet'!$AO11:$BS11,0)&gt;0,0,1)</f>
      </c>
      <c r="QY11" t="str">
        <f>IF($AS$11="",FALSE,SUMPRODUCT(('Final Calculation Sheet'!$C$4:$C$40=$AS$11)*($QX$4:$QX$40=1))&gt;0)</f>
      </c>
      <c r="QZ11" t="str">
        <f>=$QZ10+--($QY11)</f>
      </c>
      <c r="RA11" t="str">
        <f>IF(ROW()-3&gt;MAX($QZ$4:$QZ$40),"",INDEX($AS$4:$AS$40,MATCH(ROW()-3,$QZ$4:$QZ$40,0)))</f>
      </c>
      <c r="RB11" t="str">
        <f>IF(COUNTIF('Final Calculation Sheet'!$AL11:$AN11,0)+COUNTIF('Final Calculation Sheet'!$AP11:$BS11,0)&gt;0,0,1)</f>
      </c>
      <c r="RC11" t="str">
        <f>IF($AD$11="",FALSE,SUMPRODUCT(('Final Calculation Sheet'!$D$4:$D$40=$AD$11)*($RB$4:$RB$40=1))&gt;0)</f>
      </c>
      <c r="RD11" t="str">
        <f>=$RD10+--($RC11)</f>
      </c>
      <c r="RE11" t="str">
        <f>IF(ROW()-3&gt;MAX($RD$4:$RD$40),"",INDEX($AD$4:$AD$40,MATCH(ROW()-3,$RD$4:$RD$40,0)))</f>
      </c>
      <c r="RF11" t="str">
        <f>IF(COUNTIF('Final Calculation Sheet'!$AL11:$AO11,0)+COUNTIF('Final Calculation Sheet'!$AQ11:$BS11,0)&gt;0,0,1)</f>
      </c>
      <c r="RG11" t="str">
        <f>IF($AN$11="",FALSE,SUMPRODUCT(('Final Calculation Sheet'!$E$4:$E$40=$AN$11)*($RF$4:$RF$40=1))&gt;0)</f>
      </c>
      <c r="RH11" t="str">
        <f>=$RH10+--($RG11)</f>
      </c>
      <c r="RI11" t="str">
        <f>IF(ROW()-3&gt;MAX($RH$4:$RH$40),"",INDEX($AN$4:$AN$40,MATCH(ROW()-3,$RH$4:$RH$40,0)))</f>
      </c>
      <c r="RJ11" t="str">
        <f>IF(COUNTIF('Final Calculation Sheet'!$AL11:$AP11,0)+COUNTIF('Final Calculation Sheet'!$AR11:$BS11,0)&gt;0,0,1)</f>
      </c>
      <c r="RK11" t="str">
        <f>IF($O$11="",FALSE,SUMPRODUCT(('Final Calculation Sheet'!$F$4:$F$40=$O$11)*($RJ$4:$RJ$40=1))&gt;0)</f>
      </c>
      <c r="RL11" t="str">
        <f>=$RL10+--($RK11)</f>
      </c>
      <c r="RM11" t="str">
        <f>IF(ROW()-3&gt;MAX($RL$4:$RL$40),"",INDEX($O$4:$O$40,MATCH(ROW()-3,$RL$4:$RL$40,0)))</f>
      </c>
      <c r="RN11" t="str">
        <f>IF(COUNTIF('Final Calculation Sheet'!$AL11:$AQ11,0)+COUNTIF('Final Calculation Sheet'!$AS11:$BS11,0)&gt;0,0,1)</f>
      </c>
      <c r="RO11" t="str">
        <f>IF($T$11="",FALSE,SUMPRODUCT(('Final Calculation Sheet'!$G$4:$G$40=$T$11)*($RN$4:$RN$40=1))&gt;0)</f>
      </c>
      <c r="RP11" t="str">
        <f>=$RP10+--($RO11)</f>
      </c>
      <c r="RQ11" t="str">
        <f>IF(ROW()-3&gt;MAX($RP$4:$RP$40),"",INDEX($T$4:$T$40,MATCH(ROW()-3,$RP$4:$RP$40,0)))</f>
      </c>
      <c r="RR11" t="str">
        <f>IF(COUNTIF('Final Calculation Sheet'!$AL11:$AR11,0)+COUNTIF('Final Calculation Sheet'!$AT11:$BS11,0)&gt;0,0,1)</f>
      </c>
      <c r="RS11" t="str">
        <f>IF($AX$11="",FALSE,SUMPRODUCT(('Final Calculation Sheet'!$H$4:$H$40=$AX$11)*($RR$4:$RR$40=1))&gt;0)</f>
      </c>
      <c r="RT11" t="str">
        <f>=$RT10+--($RS11)</f>
      </c>
      <c r="RU11" t="str">
        <f>IF(ROW()-3&gt;MAX($RT$4:$RT$40),"",INDEX($AX$4:$AX$40,MATCH(ROW()-3,$RT$4:$RT$40,0)))</f>
      </c>
      <c r="RV11" t="str">
        <f>IF(COUNTIF('Final Calculation Sheet'!$AL11:$AS11,0)+COUNTIF('Final Calculation Sheet'!$AU11:$BS11,0)&gt;0,0,1)</f>
      </c>
      <c r="RW11" t="str">
        <f>IF($BC$11="",FALSE,SUMPRODUCT(('Final Calculation Sheet'!$I$4:$I$40=$BC$11)*($RV$4:$RV$40=1))&gt;0)</f>
      </c>
      <c r="RX11" t="str">
        <f>=$RX10+--($RW11)</f>
      </c>
      <c r="RY11" t="str">
        <f>IF(ROW()-3&gt;MAX($RX$4:$RX$40),"",INDEX($BC$4:$BC$40,MATCH(ROW()-3,$RX$4:$RX$40,0)))</f>
      </c>
      <c r="RZ11" t="str">
        <f>IF(COUNTIF('Final Calculation Sheet'!$AL11:$AT11,0)+COUNTIF('Final Calculation Sheet'!$AV11:$BS11,0)&gt;0,0,1)</f>
      </c>
      <c r="SA11" t="str">
        <f>IF($BH$11="",FALSE,SUMPRODUCT(('Final Calculation Sheet'!$J$4:$J$40=$BH$11)*($RZ$4:$RZ$40=1))&gt;0)</f>
      </c>
      <c r="SB11" t="str">
        <f>=$SB10+--($SA11)</f>
      </c>
      <c r="SC11" t="str">
        <f>IF(ROW()-3&gt;MAX($SB$4:$SB$40),"",INDEX($BH$4:$BH$40,MATCH(ROW()-3,$SB$4:$SB$40,0)))</f>
      </c>
      <c r="SD11" t="str">
        <f>IF(COUNTIF('Final Calculation Sheet'!$AL11:$AU11,0)+COUNTIF('Final Calculation Sheet'!$AW11:$BS11,0)&gt;0,0,1)</f>
      </c>
      <c r="SE11" t="str">
        <f>IF($BM$11="",FALSE,SUMPRODUCT(('Final Calculation Sheet'!$K$4:$K$40=$BM$11)*($SD$4:$SD$40=1))&gt;0)</f>
      </c>
      <c r="SF11" t="str">
        <f>=$SF10+--($SE11)</f>
      </c>
      <c r="SG11" t="str">
        <f>IF(ROW()-3&gt;MAX($SF$4:$SF$40),"",INDEX($BM$4:$BM$40,MATCH(ROW()-3,$SF$4:$SF$40,0)))</f>
      </c>
      <c r="SH11" t="str">
        <f>IF(COUNTIF('Final Calculation Sheet'!$AL11:$AV11,0)+COUNTIF('Final Calculation Sheet'!$AX11:$BS11,0)&gt;0,0,1)</f>
      </c>
      <c r="SI11" t="str">
        <f>IF($BR$11="",FALSE,SUMPRODUCT(('Final Calculation Sheet'!$L$4:$L$40=$BR$11)*($SH$4:$SH$40=1))&gt;0)</f>
      </c>
      <c r="SJ11" t="str">
        <f>=$SJ10+--($SI11)</f>
      </c>
      <c r="SK11" t="str">
        <f>IF(ROW()-3&gt;MAX($SJ$4:$SJ$40),"",INDEX($BR$4:$BR$40,MATCH(ROW()-3,$SJ$4:$SJ$40,0)))</f>
      </c>
      <c r="SL11" t="str">
        <f>IF(COUNTIF('Final Calculation Sheet'!$AL11:$AW11,0)+COUNTIF('Final Calculation Sheet'!$AY11:$BS11,0)&gt;0,0,1)</f>
      </c>
      <c r="SM11" t="str">
        <f>IF($BW$11="",FALSE,SUMPRODUCT(('Final Calculation Sheet'!$M$4:$M$40=$BW$11)*($SL$4:$SL$40=1))&gt;0)</f>
      </c>
      <c r="SN11" t="str">
        <f>=$SN10+--($SM11)</f>
      </c>
      <c r="SO11" t="str">
        <f>IF(ROW()-3&gt;MAX($SN$4:$SN$40),"",INDEX($BW$4:$BW$40,MATCH(ROW()-3,$SN$4:$SN$40,0)))</f>
      </c>
      <c r="SP11" t="str">
        <f>IF(COUNTIF('Final Calculation Sheet'!$AL11:$AX11,0)+COUNTIF('Final Calculation Sheet'!$AZ11:$BS11,0)&gt;0,0,1)</f>
      </c>
      <c r="SQ11" t="str">
        <f>IF($CB$11="",FALSE,SUMPRODUCT(('Final Calculation Sheet'!$N$4:$N$40=$CB$11)*($SP$4:$SP$40=1))&gt;0)</f>
      </c>
      <c r="SR11" t="str">
        <f>=$SR10+--($SQ11)</f>
      </c>
      <c r="SS11" t="str">
        <f>IF(ROW()-3&gt;MAX($SR$4:$SR$40),"",INDEX($CB$4:$CB$40,MATCH(ROW()-3,$SR$4:$SR$40,0)))</f>
      </c>
      <c r="ST11" t="str">
        <f>IF(COUNTIF('Final Calculation Sheet'!$AL11:$AY11,0)+COUNTIF('Final Calculation Sheet'!$BA11:$BS11,0)&gt;0,0,1)</f>
      </c>
      <c r="SU11" t="str">
        <f>IF($CG$11="",FALSE,SUMPRODUCT(('Final Calculation Sheet'!$O$4:$O$40=$CG$11)*($ST$4:$ST$40=1))&gt;0)</f>
      </c>
      <c r="SV11" t="str">
        <f>=$SV10+--($SU11)</f>
      </c>
      <c r="SW11" t="str">
        <f>IF(ROW()-3&gt;MAX($SV$4:$SV$40),"",INDEX($CG$4:$CG$40,MATCH(ROW()-3,$SV$4:$SV$40,0)))</f>
      </c>
      <c r="SX11" t="str">
        <f>IF(COUNTIF('Final Calculation Sheet'!$AL11:$AZ11,0)+COUNTIF('Final Calculation Sheet'!$BB11:$BS11,0)&gt;0,0,1)</f>
      </c>
      <c r="SY11" t="str">
        <f>IF($CL$11="",FALSE,SUMPRODUCT(('Final Calculation Sheet'!$P$4:$P$40=$CL$11)*($SX$4:$SX$40=1))&gt;0)</f>
      </c>
      <c r="SZ11" t="str">
        <f>=$SZ10+--($SY11)</f>
      </c>
      <c r="TA11" t="str">
        <f>IF(ROW()-3&gt;MAX($SZ$4:$SZ$40),"",INDEX($CL$4:$CL$40,MATCH(ROW()-3,$SZ$4:$SZ$40,0)))</f>
      </c>
      <c r="TB11" t="str">
        <f>IF(COUNTIF('Final Calculation Sheet'!$AL11:$BA11,0)+COUNTIF('Final Calculation Sheet'!$BC11:$BS11,0)&gt;0,0,1)</f>
      </c>
      <c r="TC11" t="str">
        <f>IF($CQ$11="",FALSE,SUMPRODUCT(('Final Calculation Sheet'!$Q$4:$Q$40=$CQ$11)*($TB$4:$TB$40=1))&gt;0)</f>
      </c>
      <c r="TD11" t="str">
        <f>=$TD10+--($TC11)</f>
      </c>
      <c r="TE11" t="str">
        <f>IF(ROW()-3&gt;MAX($TD$4:$TD$40),"",INDEX($CQ$4:$CQ$40,MATCH(ROW()-3,$TD$4:$TD$40,0)))</f>
      </c>
      <c r="TF11" t="str">
        <f>IF(COUNTIF('Final Calculation Sheet'!$AL11:$BB11,0)+COUNTIF('Final Calculation Sheet'!$BD11:$BS11,0)&gt;0,0,1)</f>
      </c>
      <c r="TG11" t="str">
        <f>IF($CV$11="",FALSE,SUMPRODUCT(('Final Calculation Sheet'!$R$4:$R$40=$CV$11)*($TF$4:$TF$40=1))&gt;0)</f>
      </c>
      <c r="TH11" t="str">
        <f>=$TH10+--($TG11)</f>
      </c>
      <c r="TI11" t="str">
        <f>IF(ROW()-3&gt;MAX($TH$4:$TH$40),"",INDEX($CV$4:$CV$40,MATCH(ROW()-3,$TH$4:$TH$40,0)))</f>
      </c>
      <c r="TJ11" t="str">
        <f>IF(COUNTIF('Final Calculation Sheet'!$AL11:$BC11,0)+COUNTIF('Final Calculation Sheet'!$BE11:$BS11,0)&gt;0,0,1)</f>
      </c>
      <c r="TK11" t="str">
        <f>IF($DA$11="",FALSE,SUMPRODUCT(('Final Calculation Sheet'!$S$4:$S$40=$DA$11)*($TJ$4:$TJ$40=1))&gt;0)</f>
      </c>
      <c r="TL11" t="str">
        <f>=$TL10+--($TK11)</f>
      </c>
      <c r="TM11" t="str">
        <f>IF(ROW()-3&gt;MAX($TL$4:$TL$40),"",INDEX($DA$4:$DA$40,MATCH(ROW()-3,$TL$4:$TL$40,0)))</f>
      </c>
      <c r="TN11" t="str">
        <f>IF(COUNTIF('Final Calculation Sheet'!$AL11:$BD11,0)+COUNTIF('Final Calculation Sheet'!$BF11:$BS11,0)&gt;0,0,1)</f>
      </c>
      <c r="TO11" t="str">
        <f>IF($DF$11="",FALSE,SUMPRODUCT(('Final Calculation Sheet'!$T$4:$T$40=$DF$11)*($TN$4:$TN$40=1))&gt;0)</f>
      </c>
      <c r="TP11" t="str">
        <f>=$TP10+--($TO11)</f>
      </c>
      <c r="TQ11" t="str">
        <f>IF(ROW()-3&gt;MAX($TP$4:$TP$40),"",INDEX($DF$4:$DF$40,MATCH(ROW()-3,$TP$4:$TP$40,0)))</f>
      </c>
      <c r="TR11" t="str">
        <f>IF(COUNTIF('Final Calculation Sheet'!$AL11:$BE11,0)+COUNTIF('Final Calculation Sheet'!$BG11:$BS11,0)&gt;0,0,1)</f>
      </c>
      <c r="TS11" t="str">
        <f>IF($DK$11="",FALSE,SUMPRODUCT(('Final Calculation Sheet'!$U$4:$U$40=$DK$11)*($TR$4:$TR$40=1))&gt;0)</f>
      </c>
      <c r="TT11" t="str">
        <f>=$TT10+--($TS11)</f>
      </c>
      <c r="TU11" t="str">
        <f>IF(ROW()-3&gt;MAX($TT$4:$TT$40),"",INDEX($DK$4:$DK$40,MATCH(ROW()-3,$TT$4:$TT$40,0)))</f>
      </c>
      <c r="TV11" t="str">
        <f>IF(COUNTIF('Final Calculation Sheet'!$AL11:$BF11,0)+COUNTIF('Final Calculation Sheet'!$BH11:$BS11,0)&gt;0,0,1)</f>
      </c>
      <c r="TW11" t="str">
        <f>IF($DP$11="",FALSE,SUMPRODUCT(('Final Calculation Sheet'!$V$4:$V$40=$DP$11)*($TV$4:$TV$40=1))&gt;0)</f>
      </c>
      <c r="TX11" t="str">
        <f>=$TX10+--($TW11)</f>
      </c>
      <c r="TY11" t="str">
        <f>IF(ROW()-3&gt;MAX($TX$4:$TX$40),"",INDEX($DP$4:$DP$40,MATCH(ROW()-3,$TX$4:$TX$40,0)))</f>
      </c>
      <c r="TZ11" t="str">
        <f>IF(COUNTIF('Final Calculation Sheet'!$AL11:$BG11,0)+COUNTIF('Final Calculation Sheet'!$BI11:$BS11,0)&gt;0,0,1)</f>
      </c>
      <c r="UA11" t="str">
        <f>IF($DU$11="",FALSE,SUMPRODUCT(('Final Calculation Sheet'!$W$4:$W$40=$DU$11)*($TZ$4:$TZ$40=1))&gt;0)</f>
      </c>
      <c r="UB11" t="str">
        <f>=$UB10+--($UA11)</f>
      </c>
      <c r="UC11" t="str">
        <f>IF(ROW()-3&gt;MAX($UB$4:$UB$40),"",INDEX($DU$4:$DU$40,MATCH(ROW()-3,$UB$4:$UB$40,0)))</f>
      </c>
      <c r="UD11" t="str">
        <f>IF(COUNTIF('Final Calculation Sheet'!$AL11:$BH11,0)+COUNTIF('Final Calculation Sheet'!$BJ11:$BS11,0)&gt;0,0,1)</f>
      </c>
      <c r="UE11" t="str">
        <f>IF($DZ$11="",FALSE,SUMPRODUCT(('Final Calculation Sheet'!$X$4:$X$40=$DZ$11)*($UD$4:$UD$40=1))&gt;0)</f>
      </c>
      <c r="UF11" t="str">
        <f>=$UF10+--($UE11)</f>
      </c>
      <c r="UG11" t="str">
        <f>IF(ROW()-3&gt;MAX($UF$4:$UF$40),"",INDEX($DZ$4:$DZ$40,MATCH(ROW()-3,$UF$4:$UF$40,0)))</f>
      </c>
      <c r="UH11" t="str">
        <f>IF(COUNTIF('Final Calculation Sheet'!$AL11:$BI11,0)+COUNTIF('Final Calculation Sheet'!$BK11:$BS11,0)&gt;0,0,1)</f>
      </c>
      <c r="UI11" t="str">
        <f>IF($EE$11="",FALSE,SUMPRODUCT(('Final Calculation Sheet'!$Y$4:$Y$40=$EE$11)*($UH$4:$UH$40=1))&gt;0)</f>
      </c>
      <c r="UJ11" t="str">
        <f>=$UJ10+--($UI11)</f>
      </c>
      <c r="UK11" t="str">
        <f>IF(ROW()-3&gt;MAX($UJ$4:$UJ$40),"",INDEX($EE$4:$EE$40,MATCH(ROW()-3,$UJ$4:$UJ$40,0)))</f>
      </c>
      <c r="UL11" t="str">
        <f>IF(COUNTIF('Final Calculation Sheet'!$AL11:$BJ11,0)+COUNTIF('Final Calculation Sheet'!$BL11:$BS11,0)&gt;0,0,1)</f>
      </c>
      <c r="UM11" t="str">
        <f>IF($EJ$11="",FALSE,SUMPRODUCT(('Final Calculation Sheet'!$Z$4:$Z$40=$EJ$11)*($UL$4:$UL$40=1))&gt;0)</f>
      </c>
      <c r="UN11" t="str">
        <f>=$UN10+--($UM11)</f>
      </c>
      <c r="UO11" t="str">
        <f>IF(ROW()-3&gt;MAX($UN$4:$UN$40),"",INDEX($EJ$4:$EJ$40,MATCH(ROW()-3,$UN$4:$UN$40,0)))</f>
      </c>
      <c r="UP11" t="str">
        <f>IF(COUNTIF('Final Calculation Sheet'!$AL11:$BK11,0)+COUNTIF('Final Calculation Sheet'!$BM11:$BS11,0)&gt;0,0,1)</f>
      </c>
      <c r="UQ11" t="str">
        <f>IF($EO$11="",FALSE,SUMPRODUCT(('Final Calculation Sheet'!$AA$4:$AA$40=$EO$11)*($UP$4:$UP$40=1))&gt;0)</f>
      </c>
      <c r="UR11" t="str">
        <f>=$UR10+--($UQ11)</f>
      </c>
      <c r="US11" t="str">
        <f>IF(ROW()-3&gt;MAX($UR$4:$UR$40),"",INDEX($EO$4:$EO$40,MATCH(ROW()-3,$UR$4:$UR$40,0)))</f>
      </c>
      <c r="UT11" t="str">
        <f>IF(COUNTIF('Final Calculation Sheet'!$AL11:$BL11,0)+COUNTIF('Final Calculation Sheet'!$BN11:$BS11,0)&gt;0,0,1)</f>
      </c>
      <c r="UU11" t="str">
        <f>IF($ET$11="",FALSE,SUMPRODUCT(('Final Calculation Sheet'!$AB$4:$AB$40=$ET$11)*($UT$4:$UT$40=1))&gt;0)</f>
      </c>
      <c r="UV11" t="str">
        <f>=$UV10+--($UU11)</f>
      </c>
      <c r="UW11" t="str">
        <f>IF(ROW()-3&gt;MAX($UV$4:$UV$40),"",INDEX($ET$4:$ET$40,MATCH(ROW()-3,$UV$4:$UV$40,0)))</f>
      </c>
      <c r="UX11" t="str">
        <f>IF(COUNTIF('Final Calculation Sheet'!$AL11:$BM11,0)+COUNTIF('Final Calculation Sheet'!$BO11:$BS11,0)&gt;0,0,1)</f>
      </c>
      <c r="UY11" t="str">
        <f>IF($EY$11="",FALSE,SUMPRODUCT(('Final Calculation Sheet'!$AC$4:$AC$40=$EY$11)*($UX$4:$UX$40=1))&gt;0)</f>
      </c>
      <c r="UZ11" t="str">
        <f>=$UZ10+--($UY11)</f>
      </c>
      <c r="VA11" t="str">
        <f>IF(ROW()-3&gt;MAX($UZ$4:$UZ$40),"",INDEX($EY$4:$EY$40,MATCH(ROW()-3,$UZ$4:$UZ$40,0)))</f>
      </c>
      <c r="VB11" t="str">
        <f>IF(COUNTIF('Final Calculation Sheet'!$AL11:$BN11,0)+COUNTIF('Final Calculation Sheet'!$BP11:$BS11,0)&gt;0,0,1)</f>
      </c>
      <c r="VC11" t="str">
        <f>IF($FD$11="",FALSE,SUMPRODUCT(('Final Calculation Sheet'!$AD$4:$AD$40=$FD$11)*($VB$4:$VB$40=1))&gt;0)</f>
      </c>
      <c r="VD11" t="str">
        <f>=$VD10+--($VC11)</f>
      </c>
      <c r="VE11" t="str">
        <f>IF(ROW()-3&gt;MAX($VD$4:$VD$40),"",INDEX($FD$4:$FD$40,MATCH(ROW()-3,$VD$4:$VD$40,0)))</f>
      </c>
      <c r="VF11" t="str">
        <f>IF(COUNTIF('Final Calculation Sheet'!$AL11:$BO11,0)+COUNTIF('Final Calculation Sheet'!$BQ11:$BS11,0)&gt;0,0,1)</f>
      </c>
      <c r="VG11" t="str">
        <f>IF($FI$11="",FALSE,SUMPRODUCT(('Final Calculation Sheet'!$AE$4:$AE$40=$FI$11)*($VF$4:$VF$40=1))&gt;0)</f>
      </c>
      <c r="VH11" t="str">
        <f>=$VH10+--($VG11)</f>
      </c>
      <c r="VI11" t="str">
        <f>IF(ROW()-3&gt;MAX($VH$4:$VH$40),"",INDEX($FI$4:$FI$40,MATCH(ROW()-3,$VH$4:$VH$40,0)))</f>
      </c>
      <c r="VJ11" t="str">
        <f>IF(COUNTIF('Final Calculation Sheet'!$AL11:$BP11,0)+COUNTIF('Final Calculation Sheet'!$BR11:$BS11,0)&gt;0,0,1)</f>
      </c>
      <c r="VK11" t="str">
        <f>IF($FN$11="",FALSE,SUMPRODUCT(('Final Calculation Sheet'!$AF$4:$AF$40=$FN$11)*($VJ$4:$VJ$40=1))&gt;0)</f>
      </c>
      <c r="VL11" t="str">
        <f>=$VL10+--($VK11)</f>
      </c>
      <c r="VM11" t="str">
        <f>IF(ROW()-3&gt;MAX($VL$4:$VL$40),"",INDEX($FN$4:$FN$40,MATCH(ROW()-3,$VL$4:$VL$40,0)))</f>
      </c>
      <c r="VN11" t="str">
        <f>IF(COUNTIF('Final Calculation Sheet'!$AL11:$BQ11,0)+COUNTIF('Final Calculation Sheet'!$BS11:$BS11,0)&gt;0,0,1)</f>
      </c>
      <c r="VO11" t="str">
        <f>IF($FS$11="",FALSE,SUMPRODUCT(('Final Calculation Sheet'!$AG$4:$AG$40=$FS$11)*($VN$4:$VN$40=1))&gt;0)</f>
      </c>
      <c r="VP11" t="str">
        <f>=$VP10+--($VO11)</f>
      </c>
      <c r="VQ11" t="str">
        <f>IF(ROW()-3&gt;MAX($VP$4:$VP$40),"",INDEX($FS$4:$FS$40,MATCH(ROW()-3,$VP$4:$VP$40,0)))</f>
      </c>
      <c r="VR11" t="str">
        <f>IF(COUNTIF('Final Calculation Sheet'!$AL11:$BR11,0)&gt;0,0,1)</f>
      </c>
      <c r="VS11" t="str">
        <f>IF($QO$11="",FALSE,SUMPRODUCT(('Final Calculation Sheet'!$AH$4:$AH$40=$QO$11)*($VR$4:$VR$40=1))&gt;0)</f>
      </c>
      <c r="VT11" t="str">
        <f>=$VT10+--($VS11)</f>
      </c>
      <c r="VU11" t="str">
        <f>IF(ROW()-3&gt;MAX($VT$4:$VT$40),"",INDEX($QO$4:$QO$40,MATCH(ROW()-3,$VT$4:$VT$40,0)))</f>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IF(ROW()-3&gt;MAX($LC$4:$LC$40),"",INDEX($FS$4:$FS$40,MATCH(ROW()-3,$LC$4:$LC$40,0)))</f>
        <v/>
      </c>
      <c r="LE12">
        <f>IF(COUNTIF('Buyer Groups'!DH12:EN12,0)&gt;0,0,1)</f>
        <v/>
      </c>
      <c r="LF12">
        <f>IF($O$12="",FALSE,SUMPRODUCT(('Final Calculation Sheet'!$F$4:$F$40=$O$12)*($LE$6:$LE$42=1))&gt;0)</f>
        <v/>
      </c>
      <c r="LG12">
        <f>$LG$11+--($LF12)</f>
        <v/>
      </c>
      <c r="LH12">
        <f>IF(ROW()-3&gt;MAX($LG$4:$LG$40),"",INDEX($O$4:$O$40,MATCH(ROW()-3,$LG$4:$LG$40,0)))</f>
        <v/>
      </c>
      <c r="LI12">
        <f>IF(COUNTIF('Buyer Groups'!DG12:DG12,0)+COUNTIF('Buyer Groups'!DI12:EN12,0)&gt;0,0,1)</f>
        <v/>
      </c>
      <c r="LJ12">
        <f>IF($T$12="",FALSE,SUMPRODUCT(('Final Calculation Sheet'!$G$4:$G$40=$T$12)*($LI$6:$LI$42=1))&gt;0)</f>
        <v/>
      </c>
      <c r="LK12">
        <f>$LK$11+--($LJ12)</f>
        <v/>
      </c>
      <c r="LL12">
        <f>IF(ROW()-3&gt;MAX($LK$4:$LK$40),"",INDEX($T$4:$T$40,MATCH(ROW()-3,$LK$4:$LK$40,0)))</f>
        <v/>
      </c>
      <c r="LM12">
        <f>IF(COUNTIF('Buyer Groups'!DG12:DH12,0)+COUNTIF('Buyer Groups'!DJ12:EN12,0)&gt;0,0,1)</f>
        <v/>
      </c>
      <c r="LN12">
        <f>IF($Y$12="",FALSE,SUMPRODUCT(('Final Calculation Sheet'!$B$4:$B$40=$Y$12)*($LM$6:$LM$42=1))&gt;0)</f>
        <v/>
      </c>
      <c r="LO12">
        <f>$LO$11+--($LN12)</f>
        <v/>
      </c>
      <c r="LP12">
        <f>IF(ROW()-3&gt;MAX($LO$4:$LO$40),"",INDEX($Y$4:$Y$40,MATCH(ROW()-3,$LO$4:$LO$40,0)))</f>
        <v/>
      </c>
      <c r="LQ12">
        <f>IF(COUNTIF('Buyer Groups'!DG12:DI12,0)+COUNTIF('Buyer Groups'!DK12:EN12,0)&gt;0,0,1)</f>
        <v/>
      </c>
      <c r="LR12">
        <f>IF($AD$12="",FALSE,SUMPRODUCT(('Final Calculation Sheet'!$D$4:$D$40=$AD$12)*($LQ$6:$LQ$42=1))&gt;0)</f>
        <v/>
      </c>
      <c r="LS12">
        <f>$LS$11+--($LR12)</f>
        <v/>
      </c>
      <c r="LT12">
        <f>IF(ROW()-3&gt;MAX($LS$4:$LS$40),"",INDEX($AD$4:$AD$40,MATCH(ROW()-3,$LS$4:$LS$40,0)))</f>
        <v/>
      </c>
      <c r="LU12">
        <f>IF(COUNTIF('Buyer Groups'!DG12:DJ12,0)+COUNTIF('Buyer Groups'!DL12:EN12,0)&gt;0,0,1)</f>
        <v/>
      </c>
      <c r="LV12">
        <f>IF($AI$12="",FALSE,SUMPRODUCT(('Final Calculation Sheet'!$A$4:$A$40=$AI$12)*($LU$6:$LU$42=1))&gt;0)</f>
        <v/>
      </c>
      <c r="LW12">
        <f>$LW$11+--($LV12)</f>
        <v/>
      </c>
      <c r="LX12">
        <f>IF(ROW()-3&gt;MAX($LW$4:$LW$40),"",INDEX($AI$4:$AI$40,MATCH(ROW()-3,$LW$4:$LW$40,0)))</f>
        <v/>
      </c>
      <c r="LY12">
        <f>IF(COUNTIF('Buyer Groups'!DG12:DK12,0)+COUNTIF('Buyer Groups'!DM12:EN12,0)&gt;0,0,1)</f>
        <v/>
      </c>
      <c r="LZ12">
        <f>IF($AN$12="",FALSE,SUMPRODUCT(('Final Calculation Sheet'!$E$4:$E$40=$AN$12)*($LY$6:$LY$42=1))&gt;0)</f>
        <v/>
      </c>
      <c r="MA12">
        <f>$MA$11+--($LZ12)</f>
        <v/>
      </c>
      <c r="MB12">
        <f>IF(ROW()-3&gt;MAX($MA$4:$MA$40),"",INDEX($AN$4:$AN$40,MATCH(ROW()-3,$MA$4:$MA$40,0)))</f>
        <v/>
      </c>
      <c r="MC12">
        <f>IF(COUNTIF('Buyer Groups'!DG12:DL12,0)+COUNTIF('Buyer Groups'!DN12:EN12,0)&gt;0,0,1)</f>
        <v/>
      </c>
      <c r="MD12">
        <f>IF($AS$12="",FALSE,SUMPRODUCT(('Final Calculation Sheet'!$C$4:$C$40=$AS$12)*($MC$6:$MC$42=1))&gt;0)</f>
        <v/>
      </c>
      <c r="ME12">
        <f>$ME$11+--($MD12)</f>
        <v/>
      </c>
      <c r="MF12">
        <f>IF(ROW()-3&gt;MAX($ME$4:$ME$40),"",INDEX($AS$4:$AS$40,MATCH(ROW()-3,$ME$4:$ME$40,0)))</f>
        <v/>
      </c>
      <c r="MG12">
        <f>IF(COUNTIF('Buyer Groups'!DG12:DM12,0)+COUNTIF('Buyer Groups'!DO12:EN12,0)&gt;0,0,1)</f>
        <v/>
      </c>
      <c r="MH12">
        <f>IF($AX$12="",FALSE,SUMPRODUCT(('Final Calculation Sheet'!$H$4:$H$40=$AX$12)*($MG$6:$MG$42=1))&gt;0)</f>
        <v/>
      </c>
      <c r="MI12">
        <f>$MI$11+--($MH12)</f>
        <v/>
      </c>
      <c r="MJ12">
        <f>IF(ROW()-3&gt;MAX($MI$4:$MI$40),"",INDEX($AX$4:$AX$40,MATCH(ROW()-3,$MI$4:$MI$40,0)))</f>
        <v/>
      </c>
      <c r="MK12">
        <f>IF(COUNTIF('Buyer Groups'!DG12:DN12,0)+COUNTIF('Buyer Groups'!DP12:EN12,0)&gt;0,0,1)</f>
        <v/>
      </c>
      <c r="ML12">
        <f>IF($BC$12="",FALSE,SUMPRODUCT(('Final Calculation Sheet'!$I$4:$I$40=$BC$12)*($MK$6:$MK$42=1))&gt;0)</f>
        <v/>
      </c>
      <c r="MM12">
        <f>$MM$11+--($ML12)</f>
        <v/>
      </c>
      <c r="MN12">
        <f>IF(ROW()-3&gt;MAX($MM$4:$MM$40),"",INDEX($BC$4:$BC$40,MATCH(ROW()-3,$MM$4:$MM$40,0)))</f>
        <v/>
      </c>
      <c r="MO12">
        <f>IF(COUNTIF('Buyer Groups'!DG12:DO12,0)+COUNTIF('Buyer Groups'!DQ12:EN12,0)&gt;0,0,1)</f>
        <v/>
      </c>
      <c r="MP12">
        <f>IF($BH$12="",FALSE,SUMPRODUCT(('Final Calculation Sheet'!$J$4:$J$40=$BH$12)*($MO$6:$MO$42=1))&gt;0)</f>
        <v/>
      </c>
      <c r="MQ12">
        <f>$MQ$11+--($MP12)</f>
        <v/>
      </c>
      <c r="MR12">
        <f>IF(ROW()-3&gt;MAX($MQ$4:$MQ$40),"",INDEX($BH$4:$BH$40,MATCH(ROW()-3,$MQ$4:$MQ$40,0)))</f>
        <v/>
      </c>
      <c r="MS12">
        <f>IF(COUNTIF('Buyer Groups'!DG12:DP12,0)+COUNTIF('Buyer Groups'!DR12:EN12,0)&gt;0,0,1)</f>
        <v/>
      </c>
      <c r="MT12">
        <f>IF($BM$12="",FALSE,SUMPRODUCT(('Final Calculation Sheet'!$K$4:$K$40=$BM$12)*($MS$6:$MS$42=1))&gt;0)</f>
        <v/>
      </c>
      <c r="MU12">
        <f>$MU$11+--($MT12)</f>
        <v/>
      </c>
      <c r="MV12">
        <f>IF(ROW()-3&gt;MAX($MU$4:$MU$40),"",INDEX($BM$4:$BM$40,MATCH(ROW()-3,$MU$4:$MU$40,0)))</f>
        <v/>
      </c>
      <c r="MW12">
        <f>IF(COUNTIF('Buyer Groups'!DG12:DQ12,0)+COUNTIF('Buyer Groups'!DS12:EN12,0)&gt;0,0,1)</f>
        <v/>
      </c>
      <c r="MX12">
        <f>IF($BR$12="",FALSE,SUMPRODUCT(('Final Calculation Sheet'!$L$4:$L$40=$BR$12)*($MW$6:$MW$42=1))&gt;0)</f>
        <v/>
      </c>
      <c r="MY12">
        <f>$MY$11+--($MX12)</f>
        <v/>
      </c>
      <c r="MZ12">
        <f>IF(ROW()-3&gt;MAX($MY$4:$MY$40),"",INDEX($BR$4:$BR$40,MATCH(ROW()-3,$MY$4:$MY$40,0)))</f>
        <v/>
      </c>
      <c r="NA12">
        <f>IF(COUNTIF('Buyer Groups'!DG12:DR12,0)+COUNTIF('Buyer Groups'!DT12:EN12,0)&gt;0,0,1)</f>
        <v/>
      </c>
      <c r="NB12">
        <f>IF($BW$12="",FALSE,SUMPRODUCT(('Final Calculation Sheet'!$M$4:$M$40=$BW$12)*($NA$6:$NA$42=1))&gt;0)</f>
        <v/>
      </c>
      <c r="NC12">
        <f>$NC$11+--($NB12)</f>
        <v/>
      </c>
      <c r="ND12">
        <f>IF(ROW()-3&gt;MAX($NC$4:$NC$40),"",INDEX($BW$4:$BW$40,MATCH(ROW()-3,$NC$4:$NC$40,0)))</f>
        <v/>
      </c>
      <c r="NE12">
        <f>IF(COUNTIF('Buyer Groups'!DG12:DS12,0)+COUNTIF('Buyer Groups'!DU12:EN12,0)&gt;0,0,1)</f>
        <v/>
      </c>
      <c r="NF12">
        <f>IF($CB$12="",FALSE,SUMPRODUCT(('Final Calculation Sheet'!$N$4:$N$40=$CB$12)*($NE$6:$NE$42=1))&gt;0)</f>
        <v/>
      </c>
      <c r="NG12">
        <f>$NG$11+--($NF12)</f>
        <v/>
      </c>
      <c r="NH12">
        <f>IF(ROW()-3&gt;MAX($NG$4:$NG$40),"",INDEX($CB$4:$CB$40,MATCH(ROW()-3,$NG$4:$NG$40,0)))</f>
        <v/>
      </c>
      <c r="NI12">
        <f>IF(COUNTIF('Buyer Groups'!DG12:DT12,0)+COUNTIF('Buyer Groups'!DV12:EN12,0)&gt;0,0,1)</f>
        <v/>
      </c>
      <c r="NJ12">
        <f>IF($CG$12="",FALSE,SUMPRODUCT(('Final Calculation Sheet'!$O$4:$O$40=$CG$12)*($NI$6:$NI$42=1))&gt;0)</f>
        <v/>
      </c>
      <c r="NK12">
        <f>$NK$11+--($NJ12)</f>
        <v/>
      </c>
      <c r="NL12">
        <f>IF(ROW()-3&gt;MAX($NK$4:$NK$40),"",INDEX($CG$4:$CG$40,MATCH(ROW()-3,$NK$4:$NK$40,0)))</f>
        <v/>
      </c>
      <c r="NM12">
        <f>IF(COUNTIF('Buyer Groups'!DG12:DU12,0)+COUNTIF('Buyer Groups'!DW12:EN12,0)&gt;0,0,1)</f>
        <v/>
      </c>
      <c r="NN12">
        <f>IF($CL$12="",FALSE,SUMPRODUCT(('Final Calculation Sheet'!$P$4:$P$40=$CL$12)*($NM$6:$NM$42=1))&gt;0)</f>
        <v/>
      </c>
      <c r="NO12">
        <f>$NO$11+--($NN12)</f>
        <v/>
      </c>
      <c r="NP12">
        <f>IF(ROW()-3&gt;MAX($NO$4:$NO$40),"",INDEX($CL$4:$CL$40,MATCH(ROW()-3,$NO$4:$NO$40,0)))</f>
        <v/>
      </c>
      <c r="NQ12">
        <f>IF(COUNTIF('Buyer Groups'!DG12:DV12,0)+COUNTIF('Buyer Groups'!DX12:EN12,0)&gt;0,0,1)</f>
        <v/>
      </c>
      <c r="NR12">
        <f>IF($CQ$12="",FALSE,SUMPRODUCT(('Final Calculation Sheet'!$Q$4:$Q$40=$CQ$12)*($NQ$6:$NQ$42=1))&gt;0)</f>
        <v/>
      </c>
      <c r="NS12">
        <f>$NS$11+--($NR12)</f>
        <v/>
      </c>
      <c r="NT12">
        <f>IF(ROW()-3&gt;MAX($NS$4:$NS$40),"",INDEX($CQ$4:$CQ$40,MATCH(ROW()-3,$NS$4:$NS$40,0)))</f>
        <v/>
      </c>
      <c r="NU12">
        <f>IF(COUNTIF('Buyer Groups'!DG12:DW12,0)+COUNTIF('Buyer Groups'!DY12:EN12,0)&gt;0,0,1)</f>
        <v/>
      </c>
      <c r="NV12">
        <f>IF($CV$12="",FALSE,SUMPRODUCT(('Final Calculation Sheet'!$R$4:$R$40=$CV$12)*($NU$6:$NU$42=1))&gt;0)</f>
        <v/>
      </c>
      <c r="NW12">
        <f>$NW$11+--($NV12)</f>
        <v/>
      </c>
      <c r="NX12">
        <f>IF(ROW()-3&gt;MAX($NW$4:$NW$40),"",INDEX($CV$4:$CV$40,MATCH(ROW()-3,$NW$4:$NW$40,0)))</f>
        <v/>
      </c>
      <c r="NY12">
        <f>IF(COUNTIF('Buyer Groups'!DG12:DX12,0)+COUNTIF('Buyer Groups'!DZ12:EN12,0)&gt;0,0,1)</f>
        <v/>
      </c>
      <c r="NZ12">
        <f>IF($DA$12="",FALSE,SUMPRODUCT(('Final Calculation Sheet'!$S$4:$S$40=$DA$12)*($NY$6:$NY$42=1))&gt;0)</f>
        <v/>
      </c>
      <c r="OA12">
        <f>$OA$11+--($NZ12)</f>
        <v/>
      </c>
      <c r="OB12">
        <f>IF(ROW()-3&gt;MAX($OA$4:$OA$40),"",INDEX($DA$4:$DA$40,MATCH(ROW()-3,$OA$4:$OA$40,0)))</f>
        <v/>
      </c>
      <c r="OC12">
        <f>IF(COUNTIF('Buyer Groups'!DG12:DY12,0)+COUNTIF('Buyer Groups'!EA12:EN12,0)&gt;0,0,1)</f>
        <v/>
      </c>
      <c r="OD12">
        <f>IF($DF$12="",FALSE,SUMPRODUCT(('Final Calculation Sheet'!$T$4:$T$40=$DF$12)*($OC$6:$OC$42=1))&gt;0)</f>
        <v/>
      </c>
      <c r="OE12">
        <f>$OE$11+--($OD12)</f>
        <v/>
      </c>
      <c r="OF12">
        <f>IF(ROW()-3&gt;MAX($OE$4:$OE$40),"",INDEX($DF$4:$DF$40,MATCH(ROW()-3,$OE$4:$OE$40,0)))</f>
        <v/>
      </c>
      <c r="OG12">
        <f>IF(COUNTIF('Buyer Groups'!DG12:DZ12,0)+COUNTIF('Buyer Groups'!EB12:EN12,0)&gt;0,0,1)</f>
        <v/>
      </c>
      <c r="OH12">
        <f>IF($DK$12="",FALSE,SUMPRODUCT(('Final Calculation Sheet'!$U$4:$U$40=$DK$12)*($OG$6:$OG$42=1))&gt;0)</f>
        <v/>
      </c>
      <c r="OI12">
        <f>$OI$11+--($OH12)</f>
        <v/>
      </c>
      <c r="OJ12">
        <f>IF(ROW()-3&gt;MAX($OI$4:$OI$40),"",INDEX($DK$4:$DK$40,MATCH(ROW()-3,$OI$4:$OI$40,0)))</f>
        <v/>
      </c>
      <c r="OK12">
        <f>IF(COUNTIF('Buyer Groups'!DG12:EA12,0)+COUNTIF('Buyer Groups'!EC12:EN12,0)&gt;0,0,1)</f>
        <v/>
      </c>
      <c r="OL12">
        <f>IF($DP$12="",FALSE,SUMPRODUCT(('Final Calculation Sheet'!$V$4:$V$40=$DP$12)*($OK$6:$OK$42=1))&gt;0)</f>
        <v/>
      </c>
      <c r="OM12">
        <f>$OM$11+--($OL12)</f>
        <v/>
      </c>
      <c r="ON12">
        <f>IF(ROW()-3&gt;MAX($OM$4:$OM$40),"",INDEX($DP$4:$DP$40,MATCH(ROW()-3,$OM$4:$OM$40,0)))</f>
        <v/>
      </c>
      <c r="OO12">
        <f>IF(COUNTIF('Buyer Groups'!DG12:EB12,0)+COUNTIF('Buyer Groups'!ED12:EN12,0)&gt;0,0,1)</f>
        <v/>
      </c>
      <c r="OP12">
        <f>IF($DU$12="",FALSE,SUMPRODUCT(('Final Calculation Sheet'!$W$4:$W$40=$DU$12)*($OO$6:$OO$42=1))&gt;0)</f>
        <v/>
      </c>
      <c r="OQ12">
        <f>$OQ$11+--($OP12)</f>
        <v/>
      </c>
      <c r="OR12">
        <f>IF(ROW()-3&gt;MAX($OQ$4:$OQ$40),"",INDEX($DU$4:$DU$40,MATCH(ROW()-3,$OQ$4:$OQ$40,0)))</f>
        <v/>
      </c>
      <c r="OS12">
        <f>IF(COUNTIF('Buyer Groups'!DG12:EC12,0)+COUNTIF('Buyer Groups'!EE12:EN12,0)&gt;0,0,1)</f>
        <v/>
      </c>
      <c r="OT12">
        <f>IF($DZ$12="",FALSE,SUMPRODUCT(('Final Calculation Sheet'!$X$4:$X$40=$DZ$12)*($OS$6:$OS$42=1))&gt;0)</f>
        <v/>
      </c>
      <c r="OU12">
        <f>$OU$11+--($OT12)</f>
        <v/>
      </c>
      <c r="OV12">
        <f>IF(ROW()-3&gt;MAX($OU$4:$OU$40),"",INDEX($DZ$4:$DZ$40,MATCH(ROW()-3,$OU$4:$OU$40,0)))</f>
        <v/>
      </c>
      <c r="OW12">
        <f>IF(COUNTIF('Buyer Groups'!DG12:ED12,0)+COUNTIF('Buyer Groups'!EF12:EN12,0)&gt;0,0,1)</f>
        <v/>
      </c>
      <c r="OX12">
        <f>IF($EE$12="",FALSE,SUMPRODUCT(('Final Calculation Sheet'!$Y$4:$Y$40=$EE$12)*($OW$6:$OW$42=1))&gt;0)</f>
        <v/>
      </c>
      <c r="OY12">
        <f>$OY$11+--($OX12)</f>
        <v/>
      </c>
      <c r="OZ12">
        <f>IF(ROW()-3&gt;MAX($OY$4:$OY$40),"",INDEX($EE$4:$EE$40,MATCH(ROW()-3,$OY$4:$OY$40,0)))</f>
        <v/>
      </c>
      <c r="PA12">
        <f>IF(COUNTIF('Buyer Groups'!DG12:EE12,0)+COUNTIF('Buyer Groups'!EG12:EN12,0)&gt;0,0,1)</f>
        <v/>
      </c>
      <c r="PB12">
        <f>IF($EJ$12="",FALSE,SUMPRODUCT(('Final Calculation Sheet'!$Z$4:$Z$40=$EJ$12)*($PA$6:$PA$42=1))&gt;0)</f>
        <v/>
      </c>
      <c r="PC12">
        <f>$PC$11+--($PB12)</f>
        <v/>
      </c>
      <c r="PD12">
        <f>IF(ROW()-3&gt;MAX($PC$4:$PC$40),"",INDEX($EJ$4:$EJ$40,MATCH(ROW()-3,$PC$4:$PC$40,0)))</f>
        <v/>
      </c>
      <c r="PE12">
        <f>IF(COUNTIF('Buyer Groups'!DG12:EF12,0)+COUNTIF('Buyer Groups'!EH12:EN12,0)&gt;0,0,1)</f>
        <v/>
      </c>
      <c r="PF12">
        <f>IF($EO$12="",FALSE,SUMPRODUCT(('Final Calculation Sheet'!$AA$4:$AA$40=$EO$12)*($PE$6:$PE$42=1))&gt;0)</f>
        <v/>
      </c>
      <c r="PG12">
        <f>$PG$11+--($PF12)</f>
        <v/>
      </c>
      <c r="PH12">
        <f>IF(ROW()-3&gt;MAX($PG$4:$PG$40),"",INDEX($EO$4:$EO$40,MATCH(ROW()-3,$PG$4:$PG$40,0)))</f>
        <v/>
      </c>
      <c r="PI12">
        <f>IF(COUNTIF('Buyer Groups'!DG12:EG12,0)+COUNTIF('Buyer Groups'!EI12:EN12,0)&gt;0,0,1)</f>
        <v/>
      </c>
      <c r="PJ12">
        <f>IF($ET$12="",FALSE,SUMPRODUCT(('Final Calculation Sheet'!$AB$4:$AB$40=$ET$12)*($PI$6:$PI$42=1))&gt;0)</f>
        <v/>
      </c>
      <c r="PK12">
        <f>$PK$11+--($PJ12)</f>
        <v/>
      </c>
      <c r="PL12">
        <f>IF(ROW()-3&gt;MAX($PK$4:$PK$40),"",INDEX($ET$4:$ET$40,MATCH(ROW()-3,$PK$4:$PK$40,0)))</f>
        <v/>
      </c>
      <c r="PM12">
        <f>IF(COUNTIF('Buyer Groups'!DG12:EH12,0)+COUNTIF('Buyer Groups'!EJ12:EN12,0)&gt;0,0,1)</f>
        <v/>
      </c>
      <c r="PN12">
        <f>IF($EY$12="",FALSE,SUMPRODUCT(('Final Calculation Sheet'!$AC$4:$AC$40=$EY$12)*($PM$6:$PM$42=1))&gt;0)</f>
        <v/>
      </c>
      <c r="PO12">
        <f>$PO$11+--($PN12)</f>
        <v/>
      </c>
      <c r="PP12">
        <f>IF(ROW()-3&gt;MAX($PO$4:$PO$40),"",INDEX($EY$4:$EY$40,MATCH(ROW()-3,$PO$4:$PO$40,0)))</f>
        <v/>
      </c>
      <c r="PQ12">
        <f>IF(COUNTIF('Buyer Groups'!DG12:EI12,0)+COUNTIF('Buyer Groups'!EK12:EN12,0)&gt;0,0,1)</f>
        <v/>
      </c>
      <c r="PR12">
        <f>IF($FD$12="",FALSE,SUMPRODUCT(('Final Calculation Sheet'!$AD$4:$AD$40=$FD$12)*($PQ$6:$PQ$42=1))&gt;0)</f>
        <v/>
      </c>
      <c r="PS12">
        <f>$PS$11+--($PR12)</f>
        <v/>
      </c>
      <c r="PT12">
        <f>IF(ROW()-3&gt;MAX($PS$4:$PS$40),"",INDEX($FD$4:$FD$40,MATCH(ROW()-3,$PS$4:$PS$40,0)))</f>
        <v/>
      </c>
      <c r="PU12">
        <f>IF(COUNTIF('Buyer Groups'!DG12:EJ12,0)+COUNTIF('Buyer Groups'!EL12:EN12,0)&gt;0,0,1)</f>
        <v/>
      </c>
      <c r="PV12">
        <f>IF($FX$12="",FALSE,SUMPRODUCT((IF('Final Calculation Sheet'!$AD$4:$AD$40&lt;=5,"SETTLED","OUTSTANDING")=$FX$12)*($PU$6:$PU$42=1))&gt;0)</f>
        <v/>
      </c>
      <c r="PW12">
        <f>$PW$11+--($PV12)</f>
        <v/>
      </c>
      <c r="PX12">
        <f>IF(ROW()-3&gt;MAX($PW$4:$PW$40),"",INDEX($FX$4:$FX$40,MATCH(ROW()-3,$PW$4:$PW$40,0)))</f>
        <v/>
      </c>
      <c r="PY12">
        <f>IF(COUNTIF('Buyer Groups'!DG12:EK12,0)+COUNTIF('Buyer Groups'!EM12:EN12,0)&gt;0,0,1)</f>
        <v/>
      </c>
      <c r="PZ12">
        <f>IF($FI$12="",FALSE,SUMPRODUCT(('Final Calculation Sheet'!$AF$4:$AF$40=$FI$12)*($PY$6:$PY$42=1))&gt;0)</f>
        <v/>
      </c>
      <c r="QA12">
        <f>$QA$11+--($PZ12)</f>
        <v/>
      </c>
      <c r="QB12">
        <f>IF(ROW()-3&gt;MAX($QA$4:$QA$40),"",INDEX($FI$4:$FI$40,MATCH(ROW()-3,$QA$4:$QA$40,0)))</f>
        <v/>
      </c>
      <c r="QC12">
        <f>IF(COUNTIF('Buyer Groups'!DG12:EL12,0)+COUNTIF('Buyer Groups'!EN12:EN12,0)&gt;0,0,1)</f>
        <v/>
      </c>
      <c r="QD12">
        <f>IF($FN$12="",FALSE,SUMPRODUCT(('Final Calculation Sheet'!$AG$4:$AG$40=$FN$12)*($QC$6:$QC$42=1))&gt;0)</f>
        <v/>
      </c>
      <c r="QE12">
        <f>$QE$11+--($QD12)</f>
        <v/>
      </c>
      <c r="QF12">
        <f>IF(ROW()-3&gt;MAX($QE$4:$QE$40),"",INDEX($FN$4:$FN$40,MATCH(ROW()-3,$QE$4:$QE$40,0)))</f>
        <v/>
      </c>
      <c r="QG12">
        <f>IF(COUNTIF('Buyer Groups'!DG12:EM12,0)&gt;0,0,1)</f>
        <v/>
      </c>
      <c r="QH12">
        <f>IF($FS$12="",FALSE,SUMPRODUCT(('Final Calculation Sheet'!$AH$4:$AH$40=$FS$12)*($QG$6:$QG$42=1))&gt;0)</f>
        <v/>
      </c>
      <c r="QI12">
        <f>$QI$11+--($QH12)</f>
        <v/>
      </c>
      <c r="QJ12">
        <f>IF(ROW()-3&gt;MAX($QI$4:$QI$40),"",INDEX($FS$4:$FS$40,MATCH(ROW()-3,$QI$4:$QI$40,0)))</f>
        <v/>
      </c>
      <c r="QK12" t="str">
        <f>IF('Final Calculation Sheet'!$AH$12="","",'Final Calculation Sheet'!$AH$12)</f>
      </c>
      <c r="QL12" t="str">
        <f>IF(QK12="","",COUNTIFS(QK$4:QK$40,"&lt;"&amp;QK12,QK$4:QK$40,"&lt;&gt;"&amp;"")+COUNTIF(QK$4:QK12,QK12))</f>
      </c>
      <c r="QM12" t="str">
        <f>IF(ROW()-3&gt;COUNTIF(QK$4:QK$40,"&lt;&gt;"&amp;""),"",INDEX(QK$4:QK$40,MATCH(ROW()-3,QL$4:QL$40,0)))</f>
      </c>
      <c r="QN12" t="str">
        <f>=QN11+F(AND(QM12&lt;&gt;"",COUNTIF(QM$4:QM12,QM12)=1),1,0)</f>
      </c>
      <c r="QO12" t="str">
        <f>IF(ROW()-3&gt;MAX(QN$4:QN$40),"",INDEX(QM$4:QM$40,MATCH(ROW()-3,QN$4:QN$40,0)))</f>
      </c>
      <c r="QP12" t="str">
        <f>IF(COUNTIF('Final Calculation Sheet'!$AM12:$BS12,0)&gt;0,0,1)</f>
      </c>
      <c r="QQ12" t="str">
        <f>IF($AI$12="",FALSE,SUMPRODUCT(('Final Calculation Sheet'!$A$4:$A$40=$AI$12)*($QP$4:$QP$40=1))&gt;0)</f>
      </c>
      <c r="QR12" t="str">
        <f>=$QR11+--($QQ12)</f>
      </c>
      <c r="QS12" t="str">
        <f>IF(ROW()-3&gt;MAX($QR$4:$QR$40),"",INDEX($AI$4:$AI$40,MATCH(ROW()-3,$QR$4:$QR$40,0)))</f>
      </c>
      <c r="QT12" t="str">
        <f>IF(COUNTIF('Final Calculation Sheet'!$AL12:$AL12,0)+COUNTIF('Final Calculation Sheet'!$AN12:$BS12,0)&gt;0,0,1)</f>
      </c>
      <c r="QU12" t="str">
        <f>IF($Y$12="",FALSE,SUMPRODUCT(('Final Calculation Sheet'!$B$4:$B$40=$Y$12)*($QT$4:$QT$40=1))&gt;0)</f>
      </c>
      <c r="QV12" t="str">
        <f>=$QV11+--($QU12)</f>
      </c>
      <c r="QW12" t="str">
        <f>IF(ROW()-3&gt;MAX($QV$4:$QV$40),"",INDEX($Y$4:$Y$40,MATCH(ROW()-3,$QV$4:$QV$40,0)))</f>
      </c>
      <c r="QX12" t="str">
        <f>IF(COUNTIF('Final Calculation Sheet'!$AL12:$AM12,0)+COUNTIF('Final Calculation Sheet'!$AO12:$BS12,0)&gt;0,0,1)</f>
      </c>
      <c r="QY12" t="str">
        <f>IF($AS$12="",FALSE,SUMPRODUCT(('Final Calculation Sheet'!$C$4:$C$40=$AS$12)*($QX$4:$QX$40=1))&gt;0)</f>
      </c>
      <c r="QZ12" t="str">
        <f>=$QZ11+--($QY12)</f>
      </c>
      <c r="RA12" t="str">
        <f>IF(ROW()-3&gt;MAX($QZ$4:$QZ$40),"",INDEX($AS$4:$AS$40,MATCH(ROW()-3,$QZ$4:$QZ$40,0)))</f>
      </c>
      <c r="RB12" t="str">
        <f>IF(COUNTIF('Final Calculation Sheet'!$AL12:$AN12,0)+COUNTIF('Final Calculation Sheet'!$AP12:$BS12,0)&gt;0,0,1)</f>
      </c>
      <c r="RC12" t="str">
        <f>IF($AD$12="",FALSE,SUMPRODUCT(('Final Calculation Sheet'!$D$4:$D$40=$AD$12)*($RB$4:$RB$40=1))&gt;0)</f>
      </c>
      <c r="RD12" t="str">
        <f>=$RD11+--($RC12)</f>
      </c>
      <c r="RE12" t="str">
        <f>IF(ROW()-3&gt;MAX($RD$4:$RD$40),"",INDEX($AD$4:$AD$40,MATCH(ROW()-3,$RD$4:$RD$40,0)))</f>
      </c>
      <c r="RF12" t="str">
        <f>IF(COUNTIF('Final Calculation Sheet'!$AL12:$AO12,0)+COUNTIF('Final Calculation Sheet'!$AQ12:$BS12,0)&gt;0,0,1)</f>
      </c>
      <c r="RG12" t="str">
        <f>IF($AN$12="",FALSE,SUMPRODUCT(('Final Calculation Sheet'!$E$4:$E$40=$AN$12)*($RF$4:$RF$40=1))&gt;0)</f>
      </c>
      <c r="RH12" t="str">
        <f>=$RH11+--($RG12)</f>
      </c>
      <c r="RI12" t="str">
        <f>IF(ROW()-3&gt;MAX($RH$4:$RH$40),"",INDEX($AN$4:$AN$40,MATCH(ROW()-3,$RH$4:$RH$40,0)))</f>
      </c>
      <c r="RJ12" t="str">
        <f>IF(COUNTIF('Final Calculation Sheet'!$AL12:$AP12,0)+COUNTIF('Final Calculation Sheet'!$AR12:$BS12,0)&gt;0,0,1)</f>
      </c>
      <c r="RK12" t="str">
        <f>IF($O$12="",FALSE,SUMPRODUCT(('Final Calculation Sheet'!$F$4:$F$40=$O$12)*($RJ$4:$RJ$40=1))&gt;0)</f>
      </c>
      <c r="RL12" t="str">
        <f>=$RL11+--($RK12)</f>
      </c>
      <c r="RM12" t="str">
        <f>IF(ROW()-3&gt;MAX($RL$4:$RL$40),"",INDEX($O$4:$O$40,MATCH(ROW()-3,$RL$4:$RL$40,0)))</f>
      </c>
      <c r="RN12" t="str">
        <f>IF(COUNTIF('Final Calculation Sheet'!$AL12:$AQ12,0)+COUNTIF('Final Calculation Sheet'!$AS12:$BS12,0)&gt;0,0,1)</f>
      </c>
      <c r="RO12" t="str">
        <f>IF($T$12="",FALSE,SUMPRODUCT(('Final Calculation Sheet'!$G$4:$G$40=$T$12)*($RN$4:$RN$40=1))&gt;0)</f>
      </c>
      <c r="RP12" t="str">
        <f>=$RP11+--($RO12)</f>
      </c>
      <c r="RQ12" t="str">
        <f>IF(ROW()-3&gt;MAX($RP$4:$RP$40),"",INDEX($T$4:$T$40,MATCH(ROW()-3,$RP$4:$RP$40,0)))</f>
      </c>
      <c r="RR12" t="str">
        <f>IF(COUNTIF('Final Calculation Sheet'!$AL12:$AR12,0)+COUNTIF('Final Calculation Sheet'!$AT12:$BS12,0)&gt;0,0,1)</f>
      </c>
      <c r="RS12" t="str">
        <f>IF($AX$12="",FALSE,SUMPRODUCT(('Final Calculation Sheet'!$H$4:$H$40=$AX$12)*($RR$4:$RR$40=1))&gt;0)</f>
      </c>
      <c r="RT12" t="str">
        <f>=$RT11+--($RS12)</f>
      </c>
      <c r="RU12" t="str">
        <f>IF(ROW()-3&gt;MAX($RT$4:$RT$40),"",INDEX($AX$4:$AX$40,MATCH(ROW()-3,$RT$4:$RT$40,0)))</f>
      </c>
      <c r="RV12" t="str">
        <f>IF(COUNTIF('Final Calculation Sheet'!$AL12:$AS12,0)+COUNTIF('Final Calculation Sheet'!$AU12:$BS12,0)&gt;0,0,1)</f>
      </c>
      <c r="RW12" t="str">
        <f>IF($BC$12="",FALSE,SUMPRODUCT(('Final Calculation Sheet'!$I$4:$I$40=$BC$12)*($RV$4:$RV$40=1))&gt;0)</f>
      </c>
      <c r="RX12" t="str">
        <f>=$RX11+--($RW12)</f>
      </c>
      <c r="RY12" t="str">
        <f>IF(ROW()-3&gt;MAX($RX$4:$RX$40),"",INDEX($BC$4:$BC$40,MATCH(ROW()-3,$RX$4:$RX$40,0)))</f>
      </c>
      <c r="RZ12" t="str">
        <f>IF(COUNTIF('Final Calculation Sheet'!$AL12:$AT12,0)+COUNTIF('Final Calculation Sheet'!$AV12:$BS12,0)&gt;0,0,1)</f>
      </c>
      <c r="SA12" t="str">
        <f>IF($BH$12="",FALSE,SUMPRODUCT(('Final Calculation Sheet'!$J$4:$J$40=$BH$12)*($RZ$4:$RZ$40=1))&gt;0)</f>
      </c>
      <c r="SB12" t="str">
        <f>=$SB11+--($SA12)</f>
      </c>
      <c r="SC12" t="str">
        <f>IF(ROW()-3&gt;MAX($SB$4:$SB$40),"",INDEX($BH$4:$BH$40,MATCH(ROW()-3,$SB$4:$SB$40,0)))</f>
      </c>
      <c r="SD12" t="str">
        <f>IF(COUNTIF('Final Calculation Sheet'!$AL12:$AU12,0)+COUNTIF('Final Calculation Sheet'!$AW12:$BS12,0)&gt;0,0,1)</f>
      </c>
      <c r="SE12" t="str">
        <f>IF($BM$12="",FALSE,SUMPRODUCT(('Final Calculation Sheet'!$K$4:$K$40=$BM$12)*($SD$4:$SD$40=1))&gt;0)</f>
      </c>
      <c r="SF12" t="str">
        <f>=$SF11+--($SE12)</f>
      </c>
      <c r="SG12" t="str">
        <f>IF(ROW()-3&gt;MAX($SF$4:$SF$40),"",INDEX($BM$4:$BM$40,MATCH(ROW()-3,$SF$4:$SF$40,0)))</f>
      </c>
      <c r="SH12" t="str">
        <f>IF(COUNTIF('Final Calculation Sheet'!$AL12:$AV12,0)+COUNTIF('Final Calculation Sheet'!$AX12:$BS12,0)&gt;0,0,1)</f>
      </c>
      <c r="SI12" t="str">
        <f>IF($BR$12="",FALSE,SUMPRODUCT(('Final Calculation Sheet'!$L$4:$L$40=$BR$12)*($SH$4:$SH$40=1))&gt;0)</f>
      </c>
      <c r="SJ12" t="str">
        <f>=$SJ11+--($SI12)</f>
      </c>
      <c r="SK12" t="str">
        <f>IF(ROW()-3&gt;MAX($SJ$4:$SJ$40),"",INDEX($BR$4:$BR$40,MATCH(ROW()-3,$SJ$4:$SJ$40,0)))</f>
      </c>
      <c r="SL12" t="str">
        <f>IF(COUNTIF('Final Calculation Sheet'!$AL12:$AW12,0)+COUNTIF('Final Calculation Sheet'!$AY12:$BS12,0)&gt;0,0,1)</f>
      </c>
      <c r="SM12" t="str">
        <f>IF($BW$12="",FALSE,SUMPRODUCT(('Final Calculation Sheet'!$M$4:$M$40=$BW$12)*($SL$4:$SL$40=1))&gt;0)</f>
      </c>
      <c r="SN12" t="str">
        <f>=$SN11+--($SM12)</f>
      </c>
      <c r="SO12" t="str">
        <f>IF(ROW()-3&gt;MAX($SN$4:$SN$40),"",INDEX($BW$4:$BW$40,MATCH(ROW()-3,$SN$4:$SN$40,0)))</f>
      </c>
      <c r="SP12" t="str">
        <f>IF(COUNTIF('Final Calculation Sheet'!$AL12:$AX12,0)+COUNTIF('Final Calculation Sheet'!$AZ12:$BS12,0)&gt;0,0,1)</f>
      </c>
      <c r="SQ12" t="str">
        <f>IF($CB$12="",FALSE,SUMPRODUCT(('Final Calculation Sheet'!$N$4:$N$40=$CB$12)*($SP$4:$SP$40=1))&gt;0)</f>
      </c>
      <c r="SR12" t="str">
        <f>=$SR11+--($SQ12)</f>
      </c>
      <c r="SS12" t="str">
        <f>IF(ROW()-3&gt;MAX($SR$4:$SR$40),"",INDEX($CB$4:$CB$40,MATCH(ROW()-3,$SR$4:$SR$40,0)))</f>
      </c>
      <c r="ST12" t="str">
        <f>IF(COUNTIF('Final Calculation Sheet'!$AL12:$AY12,0)+COUNTIF('Final Calculation Sheet'!$BA12:$BS12,0)&gt;0,0,1)</f>
      </c>
      <c r="SU12" t="str">
        <f>IF($CG$12="",FALSE,SUMPRODUCT(('Final Calculation Sheet'!$O$4:$O$40=$CG$12)*($ST$4:$ST$40=1))&gt;0)</f>
      </c>
      <c r="SV12" t="str">
        <f>=$SV11+--($SU12)</f>
      </c>
      <c r="SW12" t="str">
        <f>IF(ROW()-3&gt;MAX($SV$4:$SV$40),"",INDEX($CG$4:$CG$40,MATCH(ROW()-3,$SV$4:$SV$40,0)))</f>
      </c>
      <c r="SX12" t="str">
        <f>IF(COUNTIF('Final Calculation Sheet'!$AL12:$AZ12,0)+COUNTIF('Final Calculation Sheet'!$BB12:$BS12,0)&gt;0,0,1)</f>
      </c>
      <c r="SY12" t="str">
        <f>IF($CL$12="",FALSE,SUMPRODUCT(('Final Calculation Sheet'!$P$4:$P$40=$CL$12)*($SX$4:$SX$40=1))&gt;0)</f>
      </c>
      <c r="SZ12" t="str">
        <f>=$SZ11+--($SY12)</f>
      </c>
      <c r="TA12" t="str">
        <f>IF(ROW()-3&gt;MAX($SZ$4:$SZ$40),"",INDEX($CL$4:$CL$40,MATCH(ROW()-3,$SZ$4:$SZ$40,0)))</f>
      </c>
      <c r="TB12" t="str">
        <f>IF(COUNTIF('Final Calculation Sheet'!$AL12:$BA12,0)+COUNTIF('Final Calculation Sheet'!$BC12:$BS12,0)&gt;0,0,1)</f>
      </c>
      <c r="TC12" t="str">
        <f>IF($CQ$12="",FALSE,SUMPRODUCT(('Final Calculation Sheet'!$Q$4:$Q$40=$CQ$12)*($TB$4:$TB$40=1))&gt;0)</f>
      </c>
      <c r="TD12" t="str">
        <f>=$TD11+--($TC12)</f>
      </c>
      <c r="TE12" t="str">
        <f>IF(ROW()-3&gt;MAX($TD$4:$TD$40),"",INDEX($CQ$4:$CQ$40,MATCH(ROW()-3,$TD$4:$TD$40,0)))</f>
      </c>
      <c r="TF12" t="str">
        <f>IF(COUNTIF('Final Calculation Sheet'!$AL12:$BB12,0)+COUNTIF('Final Calculation Sheet'!$BD12:$BS12,0)&gt;0,0,1)</f>
      </c>
      <c r="TG12" t="str">
        <f>IF($CV$12="",FALSE,SUMPRODUCT(('Final Calculation Sheet'!$R$4:$R$40=$CV$12)*($TF$4:$TF$40=1))&gt;0)</f>
      </c>
      <c r="TH12" t="str">
        <f>=$TH11+--($TG12)</f>
      </c>
      <c r="TI12" t="str">
        <f>IF(ROW()-3&gt;MAX($TH$4:$TH$40),"",INDEX($CV$4:$CV$40,MATCH(ROW()-3,$TH$4:$TH$40,0)))</f>
      </c>
      <c r="TJ12" t="str">
        <f>IF(COUNTIF('Final Calculation Sheet'!$AL12:$BC12,0)+COUNTIF('Final Calculation Sheet'!$BE12:$BS12,0)&gt;0,0,1)</f>
      </c>
      <c r="TK12" t="str">
        <f>IF($DA$12="",FALSE,SUMPRODUCT(('Final Calculation Sheet'!$S$4:$S$40=$DA$12)*($TJ$4:$TJ$40=1))&gt;0)</f>
      </c>
      <c r="TL12" t="str">
        <f>=$TL11+--($TK12)</f>
      </c>
      <c r="TM12" t="str">
        <f>IF(ROW()-3&gt;MAX($TL$4:$TL$40),"",INDEX($DA$4:$DA$40,MATCH(ROW()-3,$TL$4:$TL$40,0)))</f>
      </c>
      <c r="TN12" t="str">
        <f>IF(COUNTIF('Final Calculation Sheet'!$AL12:$BD12,0)+COUNTIF('Final Calculation Sheet'!$BF12:$BS12,0)&gt;0,0,1)</f>
      </c>
      <c r="TO12" t="str">
        <f>IF($DF$12="",FALSE,SUMPRODUCT(('Final Calculation Sheet'!$T$4:$T$40=$DF$12)*($TN$4:$TN$40=1))&gt;0)</f>
      </c>
      <c r="TP12" t="str">
        <f>=$TP11+--($TO12)</f>
      </c>
      <c r="TQ12" t="str">
        <f>IF(ROW()-3&gt;MAX($TP$4:$TP$40),"",INDEX($DF$4:$DF$40,MATCH(ROW()-3,$TP$4:$TP$40,0)))</f>
      </c>
      <c r="TR12" t="str">
        <f>IF(COUNTIF('Final Calculation Sheet'!$AL12:$BE12,0)+COUNTIF('Final Calculation Sheet'!$BG12:$BS12,0)&gt;0,0,1)</f>
      </c>
      <c r="TS12" t="str">
        <f>IF($DK$12="",FALSE,SUMPRODUCT(('Final Calculation Sheet'!$U$4:$U$40=$DK$12)*($TR$4:$TR$40=1))&gt;0)</f>
      </c>
      <c r="TT12" t="str">
        <f>=$TT11+--($TS12)</f>
      </c>
      <c r="TU12" t="str">
        <f>IF(ROW()-3&gt;MAX($TT$4:$TT$40),"",INDEX($DK$4:$DK$40,MATCH(ROW()-3,$TT$4:$TT$40,0)))</f>
      </c>
      <c r="TV12" t="str">
        <f>IF(COUNTIF('Final Calculation Sheet'!$AL12:$BF12,0)+COUNTIF('Final Calculation Sheet'!$BH12:$BS12,0)&gt;0,0,1)</f>
      </c>
      <c r="TW12" t="str">
        <f>IF($DP$12="",FALSE,SUMPRODUCT(('Final Calculation Sheet'!$V$4:$V$40=$DP$12)*($TV$4:$TV$40=1))&gt;0)</f>
      </c>
      <c r="TX12" t="str">
        <f>=$TX11+--($TW12)</f>
      </c>
      <c r="TY12" t="str">
        <f>IF(ROW()-3&gt;MAX($TX$4:$TX$40),"",INDEX($DP$4:$DP$40,MATCH(ROW()-3,$TX$4:$TX$40,0)))</f>
      </c>
      <c r="TZ12" t="str">
        <f>IF(COUNTIF('Final Calculation Sheet'!$AL12:$BG12,0)+COUNTIF('Final Calculation Sheet'!$BI12:$BS12,0)&gt;0,0,1)</f>
      </c>
      <c r="UA12" t="str">
        <f>IF($DU$12="",FALSE,SUMPRODUCT(('Final Calculation Sheet'!$W$4:$W$40=$DU$12)*($TZ$4:$TZ$40=1))&gt;0)</f>
      </c>
      <c r="UB12" t="str">
        <f>=$UB11+--($UA12)</f>
      </c>
      <c r="UC12" t="str">
        <f>IF(ROW()-3&gt;MAX($UB$4:$UB$40),"",INDEX($DU$4:$DU$40,MATCH(ROW()-3,$UB$4:$UB$40,0)))</f>
      </c>
      <c r="UD12" t="str">
        <f>IF(COUNTIF('Final Calculation Sheet'!$AL12:$BH12,0)+COUNTIF('Final Calculation Sheet'!$BJ12:$BS12,0)&gt;0,0,1)</f>
      </c>
      <c r="UE12" t="str">
        <f>IF($DZ$12="",FALSE,SUMPRODUCT(('Final Calculation Sheet'!$X$4:$X$40=$DZ$12)*($UD$4:$UD$40=1))&gt;0)</f>
      </c>
      <c r="UF12" t="str">
        <f>=$UF11+--($UE12)</f>
      </c>
      <c r="UG12" t="str">
        <f>IF(ROW()-3&gt;MAX($UF$4:$UF$40),"",INDEX($DZ$4:$DZ$40,MATCH(ROW()-3,$UF$4:$UF$40,0)))</f>
      </c>
      <c r="UH12" t="str">
        <f>IF(COUNTIF('Final Calculation Sheet'!$AL12:$BI12,0)+COUNTIF('Final Calculation Sheet'!$BK12:$BS12,0)&gt;0,0,1)</f>
      </c>
      <c r="UI12" t="str">
        <f>IF($EE$12="",FALSE,SUMPRODUCT(('Final Calculation Sheet'!$Y$4:$Y$40=$EE$12)*($UH$4:$UH$40=1))&gt;0)</f>
      </c>
      <c r="UJ12" t="str">
        <f>=$UJ11+--($UI12)</f>
      </c>
      <c r="UK12" t="str">
        <f>IF(ROW()-3&gt;MAX($UJ$4:$UJ$40),"",INDEX($EE$4:$EE$40,MATCH(ROW()-3,$UJ$4:$UJ$40,0)))</f>
      </c>
      <c r="UL12" t="str">
        <f>IF(COUNTIF('Final Calculation Sheet'!$AL12:$BJ12,0)+COUNTIF('Final Calculation Sheet'!$BL12:$BS12,0)&gt;0,0,1)</f>
      </c>
      <c r="UM12" t="str">
        <f>IF($EJ$12="",FALSE,SUMPRODUCT(('Final Calculation Sheet'!$Z$4:$Z$40=$EJ$12)*($UL$4:$UL$40=1))&gt;0)</f>
      </c>
      <c r="UN12" t="str">
        <f>=$UN11+--($UM12)</f>
      </c>
      <c r="UO12" t="str">
        <f>IF(ROW()-3&gt;MAX($UN$4:$UN$40),"",INDEX($EJ$4:$EJ$40,MATCH(ROW()-3,$UN$4:$UN$40,0)))</f>
      </c>
      <c r="UP12" t="str">
        <f>IF(COUNTIF('Final Calculation Sheet'!$AL12:$BK12,0)+COUNTIF('Final Calculation Sheet'!$BM12:$BS12,0)&gt;0,0,1)</f>
      </c>
      <c r="UQ12" t="str">
        <f>IF($EO$12="",FALSE,SUMPRODUCT(('Final Calculation Sheet'!$AA$4:$AA$40=$EO$12)*($UP$4:$UP$40=1))&gt;0)</f>
      </c>
      <c r="UR12" t="str">
        <f>=$UR11+--($UQ12)</f>
      </c>
      <c r="US12" t="str">
        <f>IF(ROW()-3&gt;MAX($UR$4:$UR$40),"",INDEX($EO$4:$EO$40,MATCH(ROW()-3,$UR$4:$UR$40,0)))</f>
      </c>
      <c r="UT12" t="str">
        <f>IF(COUNTIF('Final Calculation Sheet'!$AL12:$BL12,0)+COUNTIF('Final Calculation Sheet'!$BN12:$BS12,0)&gt;0,0,1)</f>
      </c>
      <c r="UU12" t="str">
        <f>IF($ET$12="",FALSE,SUMPRODUCT(('Final Calculation Sheet'!$AB$4:$AB$40=$ET$12)*($UT$4:$UT$40=1))&gt;0)</f>
      </c>
      <c r="UV12" t="str">
        <f>=$UV11+--($UU12)</f>
      </c>
      <c r="UW12" t="str">
        <f>IF(ROW()-3&gt;MAX($UV$4:$UV$40),"",INDEX($ET$4:$ET$40,MATCH(ROW()-3,$UV$4:$UV$40,0)))</f>
      </c>
      <c r="UX12" t="str">
        <f>IF(COUNTIF('Final Calculation Sheet'!$AL12:$BM12,0)+COUNTIF('Final Calculation Sheet'!$BO12:$BS12,0)&gt;0,0,1)</f>
      </c>
      <c r="UY12" t="str">
        <f>IF($EY$12="",FALSE,SUMPRODUCT(('Final Calculation Sheet'!$AC$4:$AC$40=$EY$12)*($UX$4:$UX$40=1))&gt;0)</f>
      </c>
      <c r="UZ12" t="str">
        <f>=$UZ11+--($UY12)</f>
      </c>
      <c r="VA12" t="str">
        <f>IF(ROW()-3&gt;MAX($UZ$4:$UZ$40),"",INDEX($EY$4:$EY$40,MATCH(ROW()-3,$UZ$4:$UZ$40,0)))</f>
      </c>
      <c r="VB12" t="str">
        <f>IF(COUNTIF('Final Calculation Sheet'!$AL12:$BN12,0)+COUNTIF('Final Calculation Sheet'!$BP12:$BS12,0)&gt;0,0,1)</f>
      </c>
      <c r="VC12" t="str">
        <f>IF($FD$12="",FALSE,SUMPRODUCT(('Final Calculation Sheet'!$AD$4:$AD$40=$FD$12)*($VB$4:$VB$40=1))&gt;0)</f>
      </c>
      <c r="VD12" t="str">
        <f>=$VD11+--($VC12)</f>
      </c>
      <c r="VE12" t="str">
        <f>IF(ROW()-3&gt;MAX($VD$4:$VD$40),"",INDEX($FD$4:$FD$40,MATCH(ROW()-3,$VD$4:$VD$40,0)))</f>
      </c>
      <c r="VF12" t="str">
        <f>IF(COUNTIF('Final Calculation Sheet'!$AL12:$BO12,0)+COUNTIF('Final Calculation Sheet'!$BQ12:$BS12,0)&gt;0,0,1)</f>
      </c>
      <c r="VG12" t="str">
        <f>IF($FI$12="",FALSE,SUMPRODUCT(('Final Calculation Sheet'!$AE$4:$AE$40=$FI$12)*($VF$4:$VF$40=1))&gt;0)</f>
      </c>
      <c r="VH12" t="str">
        <f>=$VH11+--($VG12)</f>
      </c>
      <c r="VI12" t="str">
        <f>IF(ROW()-3&gt;MAX($VH$4:$VH$40),"",INDEX($FI$4:$FI$40,MATCH(ROW()-3,$VH$4:$VH$40,0)))</f>
      </c>
      <c r="VJ12" t="str">
        <f>IF(COUNTIF('Final Calculation Sheet'!$AL12:$BP12,0)+COUNTIF('Final Calculation Sheet'!$BR12:$BS12,0)&gt;0,0,1)</f>
      </c>
      <c r="VK12" t="str">
        <f>IF($FN$12="",FALSE,SUMPRODUCT(('Final Calculation Sheet'!$AF$4:$AF$40=$FN$12)*($VJ$4:$VJ$40=1))&gt;0)</f>
      </c>
      <c r="VL12" t="str">
        <f>=$VL11+--($VK12)</f>
      </c>
      <c r="VM12" t="str">
        <f>IF(ROW()-3&gt;MAX($VL$4:$VL$40),"",INDEX($FN$4:$FN$40,MATCH(ROW()-3,$VL$4:$VL$40,0)))</f>
      </c>
      <c r="VN12" t="str">
        <f>IF(COUNTIF('Final Calculation Sheet'!$AL12:$BQ12,0)+COUNTIF('Final Calculation Sheet'!$BS12:$BS12,0)&gt;0,0,1)</f>
      </c>
      <c r="VO12" t="str">
        <f>IF($FS$12="",FALSE,SUMPRODUCT(('Final Calculation Sheet'!$AG$4:$AG$40=$FS$12)*($VN$4:$VN$40=1))&gt;0)</f>
      </c>
      <c r="VP12" t="str">
        <f>=$VP11+--($VO12)</f>
      </c>
      <c r="VQ12" t="str">
        <f>IF(ROW()-3&gt;MAX($VP$4:$VP$40),"",INDEX($FS$4:$FS$40,MATCH(ROW()-3,$VP$4:$VP$40,0)))</f>
      </c>
      <c r="VR12" t="str">
        <f>IF(COUNTIF('Final Calculation Sheet'!$AL12:$BR12,0)&gt;0,0,1)</f>
      </c>
      <c r="VS12" t="str">
        <f>IF($QO$12="",FALSE,SUMPRODUCT(('Final Calculation Sheet'!$AH$4:$AH$40=$QO$12)*($VR$4:$VR$40=1))&gt;0)</f>
      </c>
      <c r="VT12" t="str">
        <f>=$VT11+--($VS12)</f>
      </c>
      <c r="VU12" t="str">
        <f>IF(ROW()-3&gt;MAX($VT$4:$VT$40),"",INDEX($QO$4:$QO$40,MATCH(ROW()-3,$VT$4:$VT$40,0)))</f>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IF(ROW()-3&gt;MAX($LC$4:$LC$40),"",INDEX($FS$4:$FS$40,MATCH(ROW()-3,$LC$4:$LC$40,0)))</f>
        <v/>
      </c>
      <c r="LE13">
        <f>IF(COUNTIF('Buyer Groups'!DH13:EN13,0)&gt;0,0,1)</f>
        <v/>
      </c>
      <c r="LF13">
        <f>IF($O$13="",FALSE,SUMPRODUCT(('Final Calculation Sheet'!$F$4:$F$40=$O$13)*($LE$6:$LE$42=1))&gt;0)</f>
        <v/>
      </c>
      <c r="LG13">
        <f>$LG$12+--($LF13)</f>
        <v/>
      </c>
      <c r="LH13">
        <f>IF(ROW()-3&gt;MAX($LG$4:$LG$40),"",INDEX($O$4:$O$40,MATCH(ROW()-3,$LG$4:$LG$40,0)))</f>
        <v/>
      </c>
      <c r="LI13">
        <f>IF(COUNTIF('Buyer Groups'!DG13:DG13,0)+COUNTIF('Buyer Groups'!DI13:EN13,0)&gt;0,0,1)</f>
        <v/>
      </c>
      <c r="LJ13">
        <f>IF($T$13="",FALSE,SUMPRODUCT(('Final Calculation Sheet'!$G$4:$G$40=$T$13)*($LI$6:$LI$42=1))&gt;0)</f>
        <v/>
      </c>
      <c r="LK13">
        <f>$LK$12+--($LJ13)</f>
        <v/>
      </c>
      <c r="LL13">
        <f>IF(ROW()-3&gt;MAX($LK$4:$LK$40),"",INDEX($T$4:$T$40,MATCH(ROW()-3,$LK$4:$LK$40,0)))</f>
        <v/>
      </c>
      <c r="LM13">
        <f>IF(COUNTIF('Buyer Groups'!DG13:DH13,0)+COUNTIF('Buyer Groups'!DJ13:EN13,0)&gt;0,0,1)</f>
        <v/>
      </c>
      <c r="LN13">
        <f>IF($Y$13="",FALSE,SUMPRODUCT(('Final Calculation Sheet'!$B$4:$B$40=$Y$13)*($LM$6:$LM$42=1))&gt;0)</f>
        <v/>
      </c>
      <c r="LO13">
        <f>$LO$12+--($LN13)</f>
        <v/>
      </c>
      <c r="LP13">
        <f>IF(ROW()-3&gt;MAX($LO$4:$LO$40),"",INDEX($Y$4:$Y$40,MATCH(ROW()-3,$LO$4:$LO$40,0)))</f>
        <v/>
      </c>
      <c r="LQ13">
        <f>IF(COUNTIF('Buyer Groups'!DG13:DI13,0)+COUNTIF('Buyer Groups'!DK13:EN13,0)&gt;0,0,1)</f>
        <v/>
      </c>
      <c r="LR13">
        <f>IF($AD$13="",FALSE,SUMPRODUCT(('Final Calculation Sheet'!$D$4:$D$40=$AD$13)*($LQ$6:$LQ$42=1))&gt;0)</f>
        <v/>
      </c>
      <c r="LS13">
        <f>$LS$12+--($LR13)</f>
        <v/>
      </c>
      <c r="LT13">
        <f>IF(ROW()-3&gt;MAX($LS$4:$LS$40),"",INDEX($AD$4:$AD$40,MATCH(ROW()-3,$LS$4:$LS$40,0)))</f>
        <v/>
      </c>
      <c r="LU13">
        <f>IF(COUNTIF('Buyer Groups'!DG13:DJ13,0)+COUNTIF('Buyer Groups'!DL13:EN13,0)&gt;0,0,1)</f>
        <v/>
      </c>
      <c r="LV13">
        <f>IF($AI$13="",FALSE,SUMPRODUCT(('Final Calculation Sheet'!$A$4:$A$40=$AI$13)*($LU$6:$LU$42=1))&gt;0)</f>
        <v/>
      </c>
      <c r="LW13">
        <f>$LW$12+--($LV13)</f>
        <v/>
      </c>
      <c r="LX13">
        <f>IF(ROW()-3&gt;MAX($LW$4:$LW$40),"",INDEX($AI$4:$AI$40,MATCH(ROW()-3,$LW$4:$LW$40,0)))</f>
        <v/>
      </c>
      <c r="LY13">
        <f>IF(COUNTIF('Buyer Groups'!DG13:DK13,0)+COUNTIF('Buyer Groups'!DM13:EN13,0)&gt;0,0,1)</f>
        <v/>
      </c>
      <c r="LZ13">
        <f>IF($AN$13="",FALSE,SUMPRODUCT(('Final Calculation Sheet'!$E$4:$E$40=$AN$13)*($LY$6:$LY$42=1))&gt;0)</f>
        <v/>
      </c>
      <c r="MA13">
        <f>$MA$12+--($LZ13)</f>
        <v/>
      </c>
      <c r="MB13">
        <f>IF(ROW()-3&gt;MAX($MA$4:$MA$40),"",INDEX($AN$4:$AN$40,MATCH(ROW()-3,$MA$4:$MA$40,0)))</f>
        <v/>
      </c>
      <c r="MC13">
        <f>IF(COUNTIF('Buyer Groups'!DG13:DL13,0)+COUNTIF('Buyer Groups'!DN13:EN13,0)&gt;0,0,1)</f>
        <v/>
      </c>
      <c r="MD13">
        <f>IF($AS$13="",FALSE,SUMPRODUCT(('Final Calculation Sheet'!$C$4:$C$40=$AS$13)*($MC$6:$MC$42=1))&gt;0)</f>
        <v/>
      </c>
      <c r="ME13">
        <f>$ME$12+--($MD13)</f>
        <v/>
      </c>
      <c r="MF13">
        <f>IF(ROW()-3&gt;MAX($ME$4:$ME$40),"",INDEX($AS$4:$AS$40,MATCH(ROW()-3,$ME$4:$ME$40,0)))</f>
        <v/>
      </c>
      <c r="MG13">
        <f>IF(COUNTIF('Buyer Groups'!DG13:DM13,0)+COUNTIF('Buyer Groups'!DO13:EN13,0)&gt;0,0,1)</f>
        <v/>
      </c>
      <c r="MH13">
        <f>IF($AX$13="",FALSE,SUMPRODUCT(('Final Calculation Sheet'!$H$4:$H$40=$AX$13)*($MG$6:$MG$42=1))&gt;0)</f>
        <v/>
      </c>
      <c r="MI13">
        <f>$MI$12+--($MH13)</f>
        <v/>
      </c>
      <c r="MJ13">
        <f>IF(ROW()-3&gt;MAX($MI$4:$MI$40),"",INDEX($AX$4:$AX$40,MATCH(ROW()-3,$MI$4:$MI$40,0)))</f>
        <v/>
      </c>
      <c r="MK13">
        <f>IF(COUNTIF('Buyer Groups'!DG13:DN13,0)+COUNTIF('Buyer Groups'!DP13:EN13,0)&gt;0,0,1)</f>
        <v/>
      </c>
      <c r="ML13">
        <f>IF($BC$13="",FALSE,SUMPRODUCT(('Final Calculation Sheet'!$I$4:$I$40=$BC$13)*($MK$6:$MK$42=1))&gt;0)</f>
        <v/>
      </c>
      <c r="MM13">
        <f>$MM$12+--($ML13)</f>
        <v/>
      </c>
      <c r="MN13">
        <f>IF(ROW()-3&gt;MAX($MM$4:$MM$40),"",INDEX($BC$4:$BC$40,MATCH(ROW()-3,$MM$4:$MM$40,0)))</f>
        <v/>
      </c>
      <c r="MO13">
        <f>IF(COUNTIF('Buyer Groups'!DG13:DO13,0)+COUNTIF('Buyer Groups'!DQ13:EN13,0)&gt;0,0,1)</f>
        <v/>
      </c>
      <c r="MP13">
        <f>IF($BH$13="",FALSE,SUMPRODUCT(('Final Calculation Sheet'!$J$4:$J$40=$BH$13)*($MO$6:$MO$42=1))&gt;0)</f>
        <v/>
      </c>
      <c r="MQ13">
        <f>$MQ$12+--($MP13)</f>
        <v/>
      </c>
      <c r="MR13">
        <f>IF(ROW()-3&gt;MAX($MQ$4:$MQ$40),"",INDEX($BH$4:$BH$40,MATCH(ROW()-3,$MQ$4:$MQ$40,0)))</f>
        <v/>
      </c>
      <c r="MS13">
        <f>IF(COUNTIF('Buyer Groups'!DG13:DP13,0)+COUNTIF('Buyer Groups'!DR13:EN13,0)&gt;0,0,1)</f>
        <v/>
      </c>
      <c r="MT13">
        <f>IF($BM$13="",FALSE,SUMPRODUCT(('Final Calculation Sheet'!$K$4:$K$40=$BM$13)*($MS$6:$MS$42=1))&gt;0)</f>
        <v/>
      </c>
      <c r="MU13">
        <f>$MU$12+--($MT13)</f>
        <v/>
      </c>
      <c r="MV13">
        <f>IF(ROW()-3&gt;MAX($MU$4:$MU$40),"",INDEX($BM$4:$BM$40,MATCH(ROW()-3,$MU$4:$MU$40,0)))</f>
        <v/>
      </c>
      <c r="MW13">
        <f>IF(COUNTIF('Buyer Groups'!DG13:DQ13,0)+COUNTIF('Buyer Groups'!DS13:EN13,0)&gt;0,0,1)</f>
        <v/>
      </c>
      <c r="MX13">
        <f>IF($BR$13="",FALSE,SUMPRODUCT(('Final Calculation Sheet'!$L$4:$L$40=$BR$13)*($MW$6:$MW$42=1))&gt;0)</f>
        <v/>
      </c>
      <c r="MY13">
        <f>$MY$12+--($MX13)</f>
        <v/>
      </c>
      <c r="MZ13">
        <f>IF(ROW()-3&gt;MAX($MY$4:$MY$40),"",INDEX($BR$4:$BR$40,MATCH(ROW()-3,$MY$4:$MY$40,0)))</f>
        <v/>
      </c>
      <c r="NA13">
        <f>IF(COUNTIF('Buyer Groups'!DG13:DR13,0)+COUNTIF('Buyer Groups'!DT13:EN13,0)&gt;0,0,1)</f>
        <v/>
      </c>
      <c r="NB13">
        <f>IF($BW$13="",FALSE,SUMPRODUCT(('Final Calculation Sheet'!$M$4:$M$40=$BW$13)*($NA$6:$NA$42=1))&gt;0)</f>
        <v/>
      </c>
      <c r="NC13">
        <f>$NC$12+--($NB13)</f>
        <v/>
      </c>
      <c r="ND13">
        <f>IF(ROW()-3&gt;MAX($NC$4:$NC$40),"",INDEX($BW$4:$BW$40,MATCH(ROW()-3,$NC$4:$NC$40,0)))</f>
        <v/>
      </c>
      <c r="NE13">
        <f>IF(COUNTIF('Buyer Groups'!DG13:DS13,0)+COUNTIF('Buyer Groups'!DU13:EN13,0)&gt;0,0,1)</f>
        <v/>
      </c>
      <c r="NF13">
        <f>IF($CB$13="",FALSE,SUMPRODUCT(('Final Calculation Sheet'!$N$4:$N$40=$CB$13)*($NE$6:$NE$42=1))&gt;0)</f>
        <v/>
      </c>
      <c r="NG13">
        <f>$NG$12+--($NF13)</f>
        <v/>
      </c>
      <c r="NH13">
        <f>IF(ROW()-3&gt;MAX($NG$4:$NG$40),"",INDEX($CB$4:$CB$40,MATCH(ROW()-3,$NG$4:$NG$40,0)))</f>
        <v/>
      </c>
      <c r="NI13">
        <f>IF(COUNTIF('Buyer Groups'!DG13:DT13,0)+COUNTIF('Buyer Groups'!DV13:EN13,0)&gt;0,0,1)</f>
        <v/>
      </c>
      <c r="NJ13">
        <f>IF($CG$13="",FALSE,SUMPRODUCT(('Final Calculation Sheet'!$O$4:$O$40=$CG$13)*($NI$6:$NI$42=1))&gt;0)</f>
        <v/>
      </c>
      <c r="NK13">
        <f>$NK$12+--($NJ13)</f>
        <v/>
      </c>
      <c r="NL13">
        <f>IF(ROW()-3&gt;MAX($NK$4:$NK$40),"",INDEX($CG$4:$CG$40,MATCH(ROW()-3,$NK$4:$NK$40,0)))</f>
        <v/>
      </c>
      <c r="NM13">
        <f>IF(COUNTIF('Buyer Groups'!DG13:DU13,0)+COUNTIF('Buyer Groups'!DW13:EN13,0)&gt;0,0,1)</f>
        <v/>
      </c>
      <c r="NN13">
        <f>IF($CL$13="",FALSE,SUMPRODUCT(('Final Calculation Sheet'!$P$4:$P$40=$CL$13)*($NM$6:$NM$42=1))&gt;0)</f>
        <v/>
      </c>
      <c r="NO13">
        <f>$NO$12+--($NN13)</f>
        <v/>
      </c>
      <c r="NP13">
        <f>IF(ROW()-3&gt;MAX($NO$4:$NO$40),"",INDEX($CL$4:$CL$40,MATCH(ROW()-3,$NO$4:$NO$40,0)))</f>
        <v/>
      </c>
      <c r="NQ13">
        <f>IF(COUNTIF('Buyer Groups'!DG13:DV13,0)+COUNTIF('Buyer Groups'!DX13:EN13,0)&gt;0,0,1)</f>
        <v/>
      </c>
      <c r="NR13">
        <f>IF($CQ$13="",FALSE,SUMPRODUCT(('Final Calculation Sheet'!$Q$4:$Q$40=$CQ$13)*($NQ$6:$NQ$42=1))&gt;0)</f>
        <v/>
      </c>
      <c r="NS13">
        <f>$NS$12+--($NR13)</f>
        <v/>
      </c>
      <c r="NT13">
        <f>IF(ROW()-3&gt;MAX($NS$4:$NS$40),"",INDEX($CQ$4:$CQ$40,MATCH(ROW()-3,$NS$4:$NS$40,0)))</f>
        <v/>
      </c>
      <c r="NU13">
        <f>IF(COUNTIF('Buyer Groups'!DG13:DW13,0)+COUNTIF('Buyer Groups'!DY13:EN13,0)&gt;0,0,1)</f>
        <v/>
      </c>
      <c r="NV13">
        <f>IF($CV$13="",FALSE,SUMPRODUCT(('Final Calculation Sheet'!$R$4:$R$40=$CV$13)*($NU$6:$NU$42=1))&gt;0)</f>
        <v/>
      </c>
      <c r="NW13">
        <f>$NW$12+--($NV13)</f>
        <v/>
      </c>
      <c r="NX13">
        <f>IF(ROW()-3&gt;MAX($NW$4:$NW$40),"",INDEX($CV$4:$CV$40,MATCH(ROW()-3,$NW$4:$NW$40,0)))</f>
        <v/>
      </c>
      <c r="NY13">
        <f>IF(COUNTIF('Buyer Groups'!DG13:DX13,0)+COUNTIF('Buyer Groups'!DZ13:EN13,0)&gt;0,0,1)</f>
        <v/>
      </c>
      <c r="NZ13">
        <f>IF($DA$13="",FALSE,SUMPRODUCT(('Final Calculation Sheet'!$S$4:$S$40=$DA$13)*($NY$6:$NY$42=1))&gt;0)</f>
        <v/>
      </c>
      <c r="OA13">
        <f>$OA$12+--($NZ13)</f>
        <v/>
      </c>
      <c r="OB13">
        <f>IF(ROW()-3&gt;MAX($OA$4:$OA$40),"",INDEX($DA$4:$DA$40,MATCH(ROW()-3,$OA$4:$OA$40,0)))</f>
        <v/>
      </c>
      <c r="OC13">
        <f>IF(COUNTIF('Buyer Groups'!DG13:DY13,0)+COUNTIF('Buyer Groups'!EA13:EN13,0)&gt;0,0,1)</f>
        <v/>
      </c>
      <c r="OD13">
        <f>IF($DF$13="",FALSE,SUMPRODUCT(('Final Calculation Sheet'!$T$4:$T$40=$DF$13)*($OC$6:$OC$42=1))&gt;0)</f>
        <v/>
      </c>
      <c r="OE13">
        <f>$OE$12+--($OD13)</f>
        <v/>
      </c>
      <c r="OF13">
        <f>IF(ROW()-3&gt;MAX($OE$4:$OE$40),"",INDEX($DF$4:$DF$40,MATCH(ROW()-3,$OE$4:$OE$40,0)))</f>
        <v/>
      </c>
      <c r="OG13">
        <f>IF(COUNTIF('Buyer Groups'!DG13:DZ13,0)+COUNTIF('Buyer Groups'!EB13:EN13,0)&gt;0,0,1)</f>
        <v/>
      </c>
      <c r="OH13">
        <f>IF($DK$13="",FALSE,SUMPRODUCT(('Final Calculation Sheet'!$U$4:$U$40=$DK$13)*($OG$6:$OG$42=1))&gt;0)</f>
        <v/>
      </c>
      <c r="OI13">
        <f>$OI$12+--($OH13)</f>
        <v/>
      </c>
      <c r="OJ13">
        <f>IF(ROW()-3&gt;MAX($OI$4:$OI$40),"",INDEX($DK$4:$DK$40,MATCH(ROW()-3,$OI$4:$OI$40,0)))</f>
        <v/>
      </c>
      <c r="OK13">
        <f>IF(COUNTIF('Buyer Groups'!DG13:EA13,0)+COUNTIF('Buyer Groups'!EC13:EN13,0)&gt;0,0,1)</f>
        <v/>
      </c>
      <c r="OL13">
        <f>IF($DP$13="",FALSE,SUMPRODUCT(('Final Calculation Sheet'!$V$4:$V$40=$DP$13)*($OK$6:$OK$42=1))&gt;0)</f>
        <v/>
      </c>
      <c r="OM13">
        <f>$OM$12+--($OL13)</f>
        <v/>
      </c>
      <c r="ON13">
        <f>IF(ROW()-3&gt;MAX($OM$4:$OM$40),"",INDEX($DP$4:$DP$40,MATCH(ROW()-3,$OM$4:$OM$40,0)))</f>
        <v/>
      </c>
      <c r="OO13">
        <f>IF(COUNTIF('Buyer Groups'!DG13:EB13,0)+COUNTIF('Buyer Groups'!ED13:EN13,0)&gt;0,0,1)</f>
        <v/>
      </c>
      <c r="OP13">
        <f>IF($DU$13="",FALSE,SUMPRODUCT(('Final Calculation Sheet'!$W$4:$W$40=$DU$13)*($OO$6:$OO$42=1))&gt;0)</f>
        <v/>
      </c>
      <c r="OQ13">
        <f>$OQ$12+--($OP13)</f>
        <v/>
      </c>
      <c r="OR13">
        <f>IF(ROW()-3&gt;MAX($OQ$4:$OQ$40),"",INDEX($DU$4:$DU$40,MATCH(ROW()-3,$OQ$4:$OQ$40,0)))</f>
        <v/>
      </c>
      <c r="OS13">
        <f>IF(COUNTIF('Buyer Groups'!DG13:EC13,0)+COUNTIF('Buyer Groups'!EE13:EN13,0)&gt;0,0,1)</f>
        <v/>
      </c>
      <c r="OT13">
        <f>IF($DZ$13="",FALSE,SUMPRODUCT(('Final Calculation Sheet'!$X$4:$X$40=$DZ$13)*($OS$6:$OS$42=1))&gt;0)</f>
        <v/>
      </c>
      <c r="OU13">
        <f>$OU$12+--($OT13)</f>
        <v/>
      </c>
      <c r="OV13">
        <f>IF(ROW()-3&gt;MAX($OU$4:$OU$40),"",INDEX($DZ$4:$DZ$40,MATCH(ROW()-3,$OU$4:$OU$40,0)))</f>
        <v/>
      </c>
      <c r="OW13">
        <f>IF(COUNTIF('Buyer Groups'!DG13:ED13,0)+COUNTIF('Buyer Groups'!EF13:EN13,0)&gt;0,0,1)</f>
        <v/>
      </c>
      <c r="OX13">
        <f>IF($EE$13="",FALSE,SUMPRODUCT(('Final Calculation Sheet'!$Y$4:$Y$40=$EE$13)*($OW$6:$OW$42=1))&gt;0)</f>
        <v/>
      </c>
      <c r="OY13">
        <f>$OY$12+--($OX13)</f>
        <v/>
      </c>
      <c r="OZ13">
        <f>IF(ROW()-3&gt;MAX($OY$4:$OY$40),"",INDEX($EE$4:$EE$40,MATCH(ROW()-3,$OY$4:$OY$40,0)))</f>
        <v/>
      </c>
      <c r="PA13">
        <f>IF(COUNTIF('Buyer Groups'!DG13:EE13,0)+COUNTIF('Buyer Groups'!EG13:EN13,0)&gt;0,0,1)</f>
        <v/>
      </c>
      <c r="PB13">
        <f>IF($EJ$13="",FALSE,SUMPRODUCT(('Final Calculation Sheet'!$Z$4:$Z$40=$EJ$13)*($PA$6:$PA$42=1))&gt;0)</f>
        <v/>
      </c>
      <c r="PC13">
        <f>$PC$12+--($PB13)</f>
        <v/>
      </c>
      <c r="PD13">
        <f>IF(ROW()-3&gt;MAX($PC$4:$PC$40),"",INDEX($EJ$4:$EJ$40,MATCH(ROW()-3,$PC$4:$PC$40,0)))</f>
        <v/>
      </c>
      <c r="PE13">
        <f>IF(COUNTIF('Buyer Groups'!DG13:EF13,0)+COUNTIF('Buyer Groups'!EH13:EN13,0)&gt;0,0,1)</f>
        <v/>
      </c>
      <c r="PF13">
        <f>IF($EO$13="",FALSE,SUMPRODUCT(('Final Calculation Sheet'!$AA$4:$AA$40=$EO$13)*($PE$6:$PE$42=1))&gt;0)</f>
        <v/>
      </c>
      <c r="PG13">
        <f>$PG$12+--($PF13)</f>
        <v/>
      </c>
      <c r="PH13">
        <f>IF(ROW()-3&gt;MAX($PG$4:$PG$40),"",INDEX($EO$4:$EO$40,MATCH(ROW()-3,$PG$4:$PG$40,0)))</f>
        <v/>
      </c>
      <c r="PI13">
        <f>IF(COUNTIF('Buyer Groups'!DG13:EG13,0)+COUNTIF('Buyer Groups'!EI13:EN13,0)&gt;0,0,1)</f>
        <v/>
      </c>
      <c r="PJ13">
        <f>IF($ET$13="",FALSE,SUMPRODUCT(('Final Calculation Sheet'!$AB$4:$AB$40=$ET$13)*($PI$6:$PI$42=1))&gt;0)</f>
        <v/>
      </c>
      <c r="PK13">
        <f>$PK$12+--($PJ13)</f>
        <v/>
      </c>
      <c r="PL13">
        <f>IF(ROW()-3&gt;MAX($PK$4:$PK$40),"",INDEX($ET$4:$ET$40,MATCH(ROW()-3,$PK$4:$PK$40,0)))</f>
        <v/>
      </c>
      <c r="PM13">
        <f>IF(COUNTIF('Buyer Groups'!DG13:EH13,0)+COUNTIF('Buyer Groups'!EJ13:EN13,0)&gt;0,0,1)</f>
        <v/>
      </c>
      <c r="PN13">
        <f>IF($EY$13="",FALSE,SUMPRODUCT(('Final Calculation Sheet'!$AC$4:$AC$40=$EY$13)*($PM$6:$PM$42=1))&gt;0)</f>
        <v/>
      </c>
      <c r="PO13">
        <f>$PO$12+--($PN13)</f>
        <v/>
      </c>
      <c r="PP13">
        <f>IF(ROW()-3&gt;MAX($PO$4:$PO$40),"",INDEX($EY$4:$EY$40,MATCH(ROW()-3,$PO$4:$PO$40,0)))</f>
        <v/>
      </c>
      <c r="PQ13">
        <f>IF(COUNTIF('Buyer Groups'!DG13:EI13,0)+COUNTIF('Buyer Groups'!EK13:EN13,0)&gt;0,0,1)</f>
        <v/>
      </c>
      <c r="PR13">
        <f>IF($FD$13="",FALSE,SUMPRODUCT(('Final Calculation Sheet'!$AD$4:$AD$40=$FD$13)*($PQ$6:$PQ$42=1))&gt;0)</f>
        <v/>
      </c>
      <c r="PS13">
        <f>$PS$12+--($PR13)</f>
        <v/>
      </c>
      <c r="PT13">
        <f>IF(ROW()-3&gt;MAX($PS$4:$PS$40),"",INDEX($FD$4:$FD$40,MATCH(ROW()-3,$PS$4:$PS$40,0)))</f>
        <v/>
      </c>
      <c r="PU13">
        <f>IF(COUNTIF('Buyer Groups'!DG13:EJ13,0)+COUNTIF('Buyer Groups'!EL13:EN13,0)&gt;0,0,1)</f>
        <v/>
      </c>
      <c r="PV13">
        <f>IF($FX$13="",FALSE,SUMPRODUCT((IF('Final Calculation Sheet'!$AD$4:$AD$40&lt;=5,"SETTLED","OUTSTANDING")=$FX$13)*($PU$6:$PU$42=1))&gt;0)</f>
        <v/>
      </c>
      <c r="PW13">
        <f>$PW$12+--($PV13)</f>
        <v/>
      </c>
      <c r="PX13">
        <f>IF(ROW()-3&gt;MAX($PW$4:$PW$40),"",INDEX($FX$4:$FX$40,MATCH(ROW()-3,$PW$4:$PW$40,0)))</f>
        <v/>
      </c>
      <c r="PY13">
        <f>IF(COUNTIF('Buyer Groups'!DG13:EK13,0)+COUNTIF('Buyer Groups'!EM13:EN13,0)&gt;0,0,1)</f>
        <v/>
      </c>
      <c r="PZ13">
        <f>IF($FI$13="",FALSE,SUMPRODUCT(('Final Calculation Sheet'!$AF$4:$AF$40=$FI$13)*($PY$6:$PY$42=1))&gt;0)</f>
        <v/>
      </c>
      <c r="QA13">
        <f>$QA$12+--($PZ13)</f>
        <v/>
      </c>
      <c r="QB13">
        <f>IF(ROW()-3&gt;MAX($QA$4:$QA$40),"",INDEX($FI$4:$FI$40,MATCH(ROW()-3,$QA$4:$QA$40,0)))</f>
        <v/>
      </c>
      <c r="QC13">
        <f>IF(COUNTIF('Buyer Groups'!DG13:EL13,0)+COUNTIF('Buyer Groups'!EN13:EN13,0)&gt;0,0,1)</f>
        <v/>
      </c>
      <c r="QD13">
        <f>IF($FN$13="",FALSE,SUMPRODUCT(('Final Calculation Sheet'!$AG$4:$AG$40=$FN$13)*($QC$6:$QC$42=1))&gt;0)</f>
        <v/>
      </c>
      <c r="QE13">
        <f>$QE$12+--($QD13)</f>
        <v/>
      </c>
      <c r="QF13">
        <f>IF(ROW()-3&gt;MAX($QE$4:$QE$40),"",INDEX($FN$4:$FN$40,MATCH(ROW()-3,$QE$4:$QE$40,0)))</f>
        <v/>
      </c>
      <c r="QG13">
        <f>IF(COUNTIF('Buyer Groups'!DG13:EM13,0)&gt;0,0,1)</f>
        <v/>
      </c>
      <c r="QH13">
        <f>IF($FS$13="",FALSE,SUMPRODUCT(('Final Calculation Sheet'!$AH$4:$AH$40=$FS$13)*($QG$6:$QG$42=1))&gt;0)</f>
        <v/>
      </c>
      <c r="QI13">
        <f>$QI$12+--($QH13)</f>
        <v/>
      </c>
      <c r="QJ13">
        <f>IF(ROW()-3&gt;MAX($QI$4:$QI$40),"",INDEX($FS$4:$FS$40,MATCH(ROW()-3,$QI$4:$QI$40,0)))</f>
        <v/>
      </c>
      <c r="QK13" t="str">
        <f>IF('Final Calculation Sheet'!$AH$13="","",'Final Calculation Sheet'!$AH$13)</f>
      </c>
      <c r="QL13" t="str">
        <f>IF(QK13="","",COUNTIFS(QK$4:QK$40,"&lt;"&amp;QK13,QK$4:QK$40,"&lt;&gt;"&amp;"")+COUNTIF(QK$4:QK13,QK13))</f>
      </c>
      <c r="QM13" t="str">
        <f>IF(ROW()-3&gt;COUNTIF(QK$4:QK$40,"&lt;&gt;"&amp;""),"",INDEX(QK$4:QK$40,MATCH(ROW()-3,QL$4:QL$40,0)))</f>
      </c>
      <c r="QN13" t="str">
        <f>=QN12+F(AND(QM13&lt;&gt;"",COUNTIF(QM$4:QM13,QM13)=1),1,0)</f>
      </c>
      <c r="QO13" t="str">
        <f>IF(ROW()-3&gt;MAX(QN$4:QN$40),"",INDEX(QM$4:QM$40,MATCH(ROW()-3,QN$4:QN$40,0)))</f>
      </c>
      <c r="QP13" t="str">
        <f>IF(COUNTIF('Final Calculation Sheet'!$AM13:$BS13,0)&gt;0,0,1)</f>
      </c>
      <c r="QQ13" t="str">
        <f>IF($AI$13="",FALSE,SUMPRODUCT(('Final Calculation Sheet'!$A$4:$A$40=$AI$13)*($QP$4:$QP$40=1))&gt;0)</f>
      </c>
      <c r="QR13" t="str">
        <f>=$QR12+--($QQ13)</f>
      </c>
      <c r="QS13" t="str">
        <f>IF(ROW()-3&gt;MAX($QR$4:$QR$40),"",INDEX($AI$4:$AI$40,MATCH(ROW()-3,$QR$4:$QR$40,0)))</f>
      </c>
      <c r="QT13" t="str">
        <f>IF(COUNTIF('Final Calculation Sheet'!$AL13:$AL13,0)+COUNTIF('Final Calculation Sheet'!$AN13:$BS13,0)&gt;0,0,1)</f>
      </c>
      <c r="QU13" t="str">
        <f>IF($Y$13="",FALSE,SUMPRODUCT(('Final Calculation Sheet'!$B$4:$B$40=$Y$13)*($QT$4:$QT$40=1))&gt;0)</f>
      </c>
      <c r="QV13" t="str">
        <f>=$QV12+--($QU13)</f>
      </c>
      <c r="QW13" t="str">
        <f>IF(ROW()-3&gt;MAX($QV$4:$QV$40),"",INDEX($Y$4:$Y$40,MATCH(ROW()-3,$QV$4:$QV$40,0)))</f>
      </c>
      <c r="QX13" t="str">
        <f>IF(COUNTIF('Final Calculation Sheet'!$AL13:$AM13,0)+COUNTIF('Final Calculation Sheet'!$AO13:$BS13,0)&gt;0,0,1)</f>
      </c>
      <c r="QY13" t="str">
        <f>IF($AS$13="",FALSE,SUMPRODUCT(('Final Calculation Sheet'!$C$4:$C$40=$AS$13)*($QX$4:$QX$40=1))&gt;0)</f>
      </c>
      <c r="QZ13" t="str">
        <f>=$QZ12+--($QY13)</f>
      </c>
      <c r="RA13" t="str">
        <f>IF(ROW()-3&gt;MAX($QZ$4:$QZ$40),"",INDEX($AS$4:$AS$40,MATCH(ROW()-3,$QZ$4:$QZ$40,0)))</f>
      </c>
      <c r="RB13" t="str">
        <f>IF(COUNTIF('Final Calculation Sheet'!$AL13:$AN13,0)+COUNTIF('Final Calculation Sheet'!$AP13:$BS13,0)&gt;0,0,1)</f>
      </c>
      <c r="RC13" t="str">
        <f>IF($AD$13="",FALSE,SUMPRODUCT(('Final Calculation Sheet'!$D$4:$D$40=$AD$13)*($RB$4:$RB$40=1))&gt;0)</f>
      </c>
      <c r="RD13" t="str">
        <f>=$RD12+--($RC13)</f>
      </c>
      <c r="RE13" t="str">
        <f>IF(ROW()-3&gt;MAX($RD$4:$RD$40),"",INDEX($AD$4:$AD$40,MATCH(ROW()-3,$RD$4:$RD$40,0)))</f>
      </c>
      <c r="RF13" t="str">
        <f>IF(COUNTIF('Final Calculation Sheet'!$AL13:$AO13,0)+COUNTIF('Final Calculation Sheet'!$AQ13:$BS13,0)&gt;0,0,1)</f>
      </c>
      <c r="RG13" t="str">
        <f>IF($AN$13="",FALSE,SUMPRODUCT(('Final Calculation Sheet'!$E$4:$E$40=$AN$13)*($RF$4:$RF$40=1))&gt;0)</f>
      </c>
      <c r="RH13" t="str">
        <f>=$RH12+--($RG13)</f>
      </c>
      <c r="RI13" t="str">
        <f>IF(ROW()-3&gt;MAX($RH$4:$RH$40),"",INDEX($AN$4:$AN$40,MATCH(ROW()-3,$RH$4:$RH$40,0)))</f>
      </c>
      <c r="RJ13" t="str">
        <f>IF(COUNTIF('Final Calculation Sheet'!$AL13:$AP13,0)+COUNTIF('Final Calculation Sheet'!$AR13:$BS13,0)&gt;0,0,1)</f>
      </c>
      <c r="RK13" t="str">
        <f>IF($O$13="",FALSE,SUMPRODUCT(('Final Calculation Sheet'!$F$4:$F$40=$O$13)*($RJ$4:$RJ$40=1))&gt;0)</f>
      </c>
      <c r="RL13" t="str">
        <f>=$RL12+--($RK13)</f>
      </c>
      <c r="RM13" t="str">
        <f>IF(ROW()-3&gt;MAX($RL$4:$RL$40),"",INDEX($O$4:$O$40,MATCH(ROW()-3,$RL$4:$RL$40,0)))</f>
      </c>
      <c r="RN13" t="str">
        <f>IF(COUNTIF('Final Calculation Sheet'!$AL13:$AQ13,0)+COUNTIF('Final Calculation Sheet'!$AS13:$BS13,0)&gt;0,0,1)</f>
      </c>
      <c r="RO13" t="str">
        <f>IF($T$13="",FALSE,SUMPRODUCT(('Final Calculation Sheet'!$G$4:$G$40=$T$13)*($RN$4:$RN$40=1))&gt;0)</f>
      </c>
      <c r="RP13" t="str">
        <f>=$RP12+--($RO13)</f>
      </c>
      <c r="RQ13" t="str">
        <f>IF(ROW()-3&gt;MAX($RP$4:$RP$40),"",INDEX($T$4:$T$40,MATCH(ROW()-3,$RP$4:$RP$40,0)))</f>
      </c>
      <c r="RR13" t="str">
        <f>IF(COUNTIF('Final Calculation Sheet'!$AL13:$AR13,0)+COUNTIF('Final Calculation Sheet'!$AT13:$BS13,0)&gt;0,0,1)</f>
      </c>
      <c r="RS13" t="str">
        <f>IF($AX$13="",FALSE,SUMPRODUCT(('Final Calculation Sheet'!$H$4:$H$40=$AX$13)*($RR$4:$RR$40=1))&gt;0)</f>
      </c>
      <c r="RT13" t="str">
        <f>=$RT12+--($RS13)</f>
      </c>
      <c r="RU13" t="str">
        <f>IF(ROW()-3&gt;MAX($RT$4:$RT$40),"",INDEX($AX$4:$AX$40,MATCH(ROW()-3,$RT$4:$RT$40,0)))</f>
      </c>
      <c r="RV13" t="str">
        <f>IF(COUNTIF('Final Calculation Sheet'!$AL13:$AS13,0)+COUNTIF('Final Calculation Sheet'!$AU13:$BS13,0)&gt;0,0,1)</f>
      </c>
      <c r="RW13" t="str">
        <f>IF($BC$13="",FALSE,SUMPRODUCT(('Final Calculation Sheet'!$I$4:$I$40=$BC$13)*($RV$4:$RV$40=1))&gt;0)</f>
      </c>
      <c r="RX13" t="str">
        <f>=$RX12+--($RW13)</f>
      </c>
      <c r="RY13" t="str">
        <f>IF(ROW()-3&gt;MAX($RX$4:$RX$40),"",INDEX($BC$4:$BC$40,MATCH(ROW()-3,$RX$4:$RX$40,0)))</f>
      </c>
      <c r="RZ13" t="str">
        <f>IF(COUNTIF('Final Calculation Sheet'!$AL13:$AT13,0)+COUNTIF('Final Calculation Sheet'!$AV13:$BS13,0)&gt;0,0,1)</f>
      </c>
      <c r="SA13" t="str">
        <f>IF($BH$13="",FALSE,SUMPRODUCT(('Final Calculation Sheet'!$J$4:$J$40=$BH$13)*($RZ$4:$RZ$40=1))&gt;0)</f>
      </c>
      <c r="SB13" t="str">
        <f>=$SB12+--($SA13)</f>
      </c>
      <c r="SC13" t="str">
        <f>IF(ROW()-3&gt;MAX($SB$4:$SB$40),"",INDEX($BH$4:$BH$40,MATCH(ROW()-3,$SB$4:$SB$40,0)))</f>
      </c>
      <c r="SD13" t="str">
        <f>IF(COUNTIF('Final Calculation Sheet'!$AL13:$AU13,0)+COUNTIF('Final Calculation Sheet'!$AW13:$BS13,0)&gt;0,0,1)</f>
      </c>
      <c r="SE13" t="str">
        <f>IF($BM$13="",FALSE,SUMPRODUCT(('Final Calculation Sheet'!$K$4:$K$40=$BM$13)*($SD$4:$SD$40=1))&gt;0)</f>
      </c>
      <c r="SF13" t="str">
        <f>=$SF12+--($SE13)</f>
      </c>
      <c r="SG13" t="str">
        <f>IF(ROW()-3&gt;MAX($SF$4:$SF$40),"",INDEX($BM$4:$BM$40,MATCH(ROW()-3,$SF$4:$SF$40,0)))</f>
      </c>
      <c r="SH13" t="str">
        <f>IF(COUNTIF('Final Calculation Sheet'!$AL13:$AV13,0)+COUNTIF('Final Calculation Sheet'!$AX13:$BS13,0)&gt;0,0,1)</f>
      </c>
      <c r="SI13" t="str">
        <f>IF($BR$13="",FALSE,SUMPRODUCT(('Final Calculation Sheet'!$L$4:$L$40=$BR$13)*($SH$4:$SH$40=1))&gt;0)</f>
      </c>
      <c r="SJ13" t="str">
        <f>=$SJ12+--($SI13)</f>
      </c>
      <c r="SK13" t="str">
        <f>IF(ROW()-3&gt;MAX($SJ$4:$SJ$40),"",INDEX($BR$4:$BR$40,MATCH(ROW()-3,$SJ$4:$SJ$40,0)))</f>
      </c>
      <c r="SL13" t="str">
        <f>IF(COUNTIF('Final Calculation Sheet'!$AL13:$AW13,0)+COUNTIF('Final Calculation Sheet'!$AY13:$BS13,0)&gt;0,0,1)</f>
      </c>
      <c r="SM13" t="str">
        <f>IF($BW$13="",FALSE,SUMPRODUCT(('Final Calculation Sheet'!$M$4:$M$40=$BW$13)*($SL$4:$SL$40=1))&gt;0)</f>
      </c>
      <c r="SN13" t="str">
        <f>=$SN12+--($SM13)</f>
      </c>
      <c r="SO13" t="str">
        <f>IF(ROW()-3&gt;MAX($SN$4:$SN$40),"",INDEX($BW$4:$BW$40,MATCH(ROW()-3,$SN$4:$SN$40,0)))</f>
      </c>
      <c r="SP13" t="str">
        <f>IF(COUNTIF('Final Calculation Sheet'!$AL13:$AX13,0)+COUNTIF('Final Calculation Sheet'!$AZ13:$BS13,0)&gt;0,0,1)</f>
      </c>
      <c r="SQ13" t="str">
        <f>IF($CB$13="",FALSE,SUMPRODUCT(('Final Calculation Sheet'!$N$4:$N$40=$CB$13)*($SP$4:$SP$40=1))&gt;0)</f>
      </c>
      <c r="SR13" t="str">
        <f>=$SR12+--($SQ13)</f>
      </c>
      <c r="SS13" t="str">
        <f>IF(ROW()-3&gt;MAX($SR$4:$SR$40),"",INDEX($CB$4:$CB$40,MATCH(ROW()-3,$SR$4:$SR$40,0)))</f>
      </c>
      <c r="ST13" t="str">
        <f>IF(COUNTIF('Final Calculation Sheet'!$AL13:$AY13,0)+COUNTIF('Final Calculation Sheet'!$BA13:$BS13,0)&gt;0,0,1)</f>
      </c>
      <c r="SU13" t="str">
        <f>IF($CG$13="",FALSE,SUMPRODUCT(('Final Calculation Sheet'!$O$4:$O$40=$CG$13)*($ST$4:$ST$40=1))&gt;0)</f>
      </c>
      <c r="SV13" t="str">
        <f>=$SV12+--($SU13)</f>
      </c>
      <c r="SW13" t="str">
        <f>IF(ROW()-3&gt;MAX($SV$4:$SV$40),"",INDEX($CG$4:$CG$40,MATCH(ROW()-3,$SV$4:$SV$40,0)))</f>
      </c>
      <c r="SX13" t="str">
        <f>IF(COUNTIF('Final Calculation Sheet'!$AL13:$AZ13,0)+COUNTIF('Final Calculation Sheet'!$BB13:$BS13,0)&gt;0,0,1)</f>
      </c>
      <c r="SY13" t="str">
        <f>IF($CL$13="",FALSE,SUMPRODUCT(('Final Calculation Sheet'!$P$4:$P$40=$CL$13)*($SX$4:$SX$40=1))&gt;0)</f>
      </c>
      <c r="SZ13" t="str">
        <f>=$SZ12+--($SY13)</f>
      </c>
      <c r="TA13" t="str">
        <f>IF(ROW()-3&gt;MAX($SZ$4:$SZ$40),"",INDEX($CL$4:$CL$40,MATCH(ROW()-3,$SZ$4:$SZ$40,0)))</f>
      </c>
      <c r="TB13" t="str">
        <f>IF(COUNTIF('Final Calculation Sheet'!$AL13:$BA13,0)+COUNTIF('Final Calculation Sheet'!$BC13:$BS13,0)&gt;0,0,1)</f>
      </c>
      <c r="TC13" t="str">
        <f>IF($CQ$13="",FALSE,SUMPRODUCT(('Final Calculation Sheet'!$Q$4:$Q$40=$CQ$13)*($TB$4:$TB$40=1))&gt;0)</f>
      </c>
      <c r="TD13" t="str">
        <f>=$TD12+--($TC13)</f>
      </c>
      <c r="TE13" t="str">
        <f>IF(ROW()-3&gt;MAX($TD$4:$TD$40),"",INDEX($CQ$4:$CQ$40,MATCH(ROW()-3,$TD$4:$TD$40,0)))</f>
      </c>
      <c r="TF13" t="str">
        <f>IF(COUNTIF('Final Calculation Sheet'!$AL13:$BB13,0)+COUNTIF('Final Calculation Sheet'!$BD13:$BS13,0)&gt;0,0,1)</f>
      </c>
      <c r="TG13" t="str">
        <f>IF($CV$13="",FALSE,SUMPRODUCT(('Final Calculation Sheet'!$R$4:$R$40=$CV$13)*($TF$4:$TF$40=1))&gt;0)</f>
      </c>
      <c r="TH13" t="str">
        <f>=$TH12+--($TG13)</f>
      </c>
      <c r="TI13" t="str">
        <f>IF(ROW()-3&gt;MAX($TH$4:$TH$40),"",INDEX($CV$4:$CV$40,MATCH(ROW()-3,$TH$4:$TH$40,0)))</f>
      </c>
      <c r="TJ13" t="str">
        <f>IF(COUNTIF('Final Calculation Sheet'!$AL13:$BC13,0)+COUNTIF('Final Calculation Sheet'!$BE13:$BS13,0)&gt;0,0,1)</f>
      </c>
      <c r="TK13" t="str">
        <f>IF($DA$13="",FALSE,SUMPRODUCT(('Final Calculation Sheet'!$S$4:$S$40=$DA$13)*($TJ$4:$TJ$40=1))&gt;0)</f>
      </c>
      <c r="TL13" t="str">
        <f>=$TL12+--($TK13)</f>
      </c>
      <c r="TM13" t="str">
        <f>IF(ROW()-3&gt;MAX($TL$4:$TL$40),"",INDEX($DA$4:$DA$40,MATCH(ROW()-3,$TL$4:$TL$40,0)))</f>
      </c>
      <c r="TN13" t="str">
        <f>IF(COUNTIF('Final Calculation Sheet'!$AL13:$BD13,0)+COUNTIF('Final Calculation Sheet'!$BF13:$BS13,0)&gt;0,0,1)</f>
      </c>
      <c r="TO13" t="str">
        <f>IF($DF$13="",FALSE,SUMPRODUCT(('Final Calculation Sheet'!$T$4:$T$40=$DF$13)*($TN$4:$TN$40=1))&gt;0)</f>
      </c>
      <c r="TP13" t="str">
        <f>=$TP12+--($TO13)</f>
      </c>
      <c r="TQ13" t="str">
        <f>IF(ROW()-3&gt;MAX($TP$4:$TP$40),"",INDEX($DF$4:$DF$40,MATCH(ROW()-3,$TP$4:$TP$40,0)))</f>
      </c>
      <c r="TR13" t="str">
        <f>IF(COUNTIF('Final Calculation Sheet'!$AL13:$BE13,0)+COUNTIF('Final Calculation Sheet'!$BG13:$BS13,0)&gt;0,0,1)</f>
      </c>
      <c r="TS13" t="str">
        <f>IF($DK$13="",FALSE,SUMPRODUCT(('Final Calculation Sheet'!$U$4:$U$40=$DK$13)*($TR$4:$TR$40=1))&gt;0)</f>
      </c>
      <c r="TT13" t="str">
        <f>=$TT12+--($TS13)</f>
      </c>
      <c r="TU13" t="str">
        <f>IF(ROW()-3&gt;MAX($TT$4:$TT$40),"",INDEX($DK$4:$DK$40,MATCH(ROW()-3,$TT$4:$TT$40,0)))</f>
      </c>
      <c r="TV13" t="str">
        <f>IF(COUNTIF('Final Calculation Sheet'!$AL13:$BF13,0)+COUNTIF('Final Calculation Sheet'!$BH13:$BS13,0)&gt;0,0,1)</f>
      </c>
      <c r="TW13" t="str">
        <f>IF($DP$13="",FALSE,SUMPRODUCT(('Final Calculation Sheet'!$V$4:$V$40=$DP$13)*($TV$4:$TV$40=1))&gt;0)</f>
      </c>
      <c r="TX13" t="str">
        <f>=$TX12+--($TW13)</f>
      </c>
      <c r="TY13" t="str">
        <f>IF(ROW()-3&gt;MAX($TX$4:$TX$40),"",INDEX($DP$4:$DP$40,MATCH(ROW()-3,$TX$4:$TX$40,0)))</f>
      </c>
      <c r="TZ13" t="str">
        <f>IF(COUNTIF('Final Calculation Sheet'!$AL13:$BG13,0)+COUNTIF('Final Calculation Sheet'!$BI13:$BS13,0)&gt;0,0,1)</f>
      </c>
      <c r="UA13" t="str">
        <f>IF($DU$13="",FALSE,SUMPRODUCT(('Final Calculation Sheet'!$W$4:$W$40=$DU$13)*($TZ$4:$TZ$40=1))&gt;0)</f>
      </c>
      <c r="UB13" t="str">
        <f>=$UB12+--($UA13)</f>
      </c>
      <c r="UC13" t="str">
        <f>IF(ROW()-3&gt;MAX($UB$4:$UB$40),"",INDEX($DU$4:$DU$40,MATCH(ROW()-3,$UB$4:$UB$40,0)))</f>
      </c>
      <c r="UD13" t="str">
        <f>IF(COUNTIF('Final Calculation Sheet'!$AL13:$BH13,0)+COUNTIF('Final Calculation Sheet'!$BJ13:$BS13,0)&gt;0,0,1)</f>
      </c>
      <c r="UE13" t="str">
        <f>IF($DZ$13="",FALSE,SUMPRODUCT(('Final Calculation Sheet'!$X$4:$X$40=$DZ$13)*($UD$4:$UD$40=1))&gt;0)</f>
      </c>
      <c r="UF13" t="str">
        <f>=$UF12+--($UE13)</f>
      </c>
      <c r="UG13" t="str">
        <f>IF(ROW()-3&gt;MAX($UF$4:$UF$40),"",INDEX($DZ$4:$DZ$40,MATCH(ROW()-3,$UF$4:$UF$40,0)))</f>
      </c>
      <c r="UH13" t="str">
        <f>IF(COUNTIF('Final Calculation Sheet'!$AL13:$BI13,0)+COUNTIF('Final Calculation Sheet'!$BK13:$BS13,0)&gt;0,0,1)</f>
      </c>
      <c r="UI13" t="str">
        <f>IF($EE$13="",FALSE,SUMPRODUCT(('Final Calculation Sheet'!$Y$4:$Y$40=$EE$13)*($UH$4:$UH$40=1))&gt;0)</f>
      </c>
      <c r="UJ13" t="str">
        <f>=$UJ12+--($UI13)</f>
      </c>
      <c r="UK13" t="str">
        <f>IF(ROW()-3&gt;MAX($UJ$4:$UJ$40),"",INDEX($EE$4:$EE$40,MATCH(ROW()-3,$UJ$4:$UJ$40,0)))</f>
      </c>
      <c r="UL13" t="str">
        <f>IF(COUNTIF('Final Calculation Sheet'!$AL13:$BJ13,0)+COUNTIF('Final Calculation Sheet'!$BL13:$BS13,0)&gt;0,0,1)</f>
      </c>
      <c r="UM13" t="str">
        <f>IF($EJ$13="",FALSE,SUMPRODUCT(('Final Calculation Sheet'!$Z$4:$Z$40=$EJ$13)*($UL$4:$UL$40=1))&gt;0)</f>
      </c>
      <c r="UN13" t="str">
        <f>=$UN12+--($UM13)</f>
      </c>
      <c r="UO13" t="str">
        <f>IF(ROW()-3&gt;MAX($UN$4:$UN$40),"",INDEX($EJ$4:$EJ$40,MATCH(ROW()-3,$UN$4:$UN$40,0)))</f>
      </c>
      <c r="UP13" t="str">
        <f>IF(COUNTIF('Final Calculation Sheet'!$AL13:$BK13,0)+COUNTIF('Final Calculation Sheet'!$BM13:$BS13,0)&gt;0,0,1)</f>
      </c>
      <c r="UQ13" t="str">
        <f>IF($EO$13="",FALSE,SUMPRODUCT(('Final Calculation Sheet'!$AA$4:$AA$40=$EO$13)*($UP$4:$UP$40=1))&gt;0)</f>
      </c>
      <c r="UR13" t="str">
        <f>=$UR12+--($UQ13)</f>
      </c>
      <c r="US13" t="str">
        <f>IF(ROW()-3&gt;MAX($UR$4:$UR$40),"",INDEX($EO$4:$EO$40,MATCH(ROW()-3,$UR$4:$UR$40,0)))</f>
      </c>
      <c r="UT13" t="str">
        <f>IF(COUNTIF('Final Calculation Sheet'!$AL13:$BL13,0)+COUNTIF('Final Calculation Sheet'!$BN13:$BS13,0)&gt;0,0,1)</f>
      </c>
      <c r="UU13" t="str">
        <f>IF($ET$13="",FALSE,SUMPRODUCT(('Final Calculation Sheet'!$AB$4:$AB$40=$ET$13)*($UT$4:$UT$40=1))&gt;0)</f>
      </c>
      <c r="UV13" t="str">
        <f>=$UV12+--($UU13)</f>
      </c>
      <c r="UW13" t="str">
        <f>IF(ROW()-3&gt;MAX($UV$4:$UV$40),"",INDEX($ET$4:$ET$40,MATCH(ROW()-3,$UV$4:$UV$40,0)))</f>
      </c>
      <c r="UX13" t="str">
        <f>IF(COUNTIF('Final Calculation Sheet'!$AL13:$BM13,0)+COUNTIF('Final Calculation Sheet'!$BO13:$BS13,0)&gt;0,0,1)</f>
      </c>
      <c r="UY13" t="str">
        <f>IF($EY$13="",FALSE,SUMPRODUCT(('Final Calculation Sheet'!$AC$4:$AC$40=$EY$13)*($UX$4:$UX$40=1))&gt;0)</f>
      </c>
      <c r="UZ13" t="str">
        <f>=$UZ12+--($UY13)</f>
      </c>
      <c r="VA13" t="str">
        <f>IF(ROW()-3&gt;MAX($UZ$4:$UZ$40),"",INDEX($EY$4:$EY$40,MATCH(ROW()-3,$UZ$4:$UZ$40,0)))</f>
      </c>
      <c r="VB13" t="str">
        <f>IF(COUNTIF('Final Calculation Sheet'!$AL13:$BN13,0)+COUNTIF('Final Calculation Sheet'!$BP13:$BS13,0)&gt;0,0,1)</f>
      </c>
      <c r="VC13" t="str">
        <f>IF($FD$13="",FALSE,SUMPRODUCT(('Final Calculation Sheet'!$AD$4:$AD$40=$FD$13)*($VB$4:$VB$40=1))&gt;0)</f>
      </c>
      <c r="VD13" t="str">
        <f>=$VD12+--($VC13)</f>
      </c>
      <c r="VE13" t="str">
        <f>IF(ROW()-3&gt;MAX($VD$4:$VD$40),"",INDEX($FD$4:$FD$40,MATCH(ROW()-3,$VD$4:$VD$40,0)))</f>
      </c>
      <c r="VF13" t="str">
        <f>IF(COUNTIF('Final Calculation Sheet'!$AL13:$BO13,0)+COUNTIF('Final Calculation Sheet'!$BQ13:$BS13,0)&gt;0,0,1)</f>
      </c>
      <c r="VG13" t="str">
        <f>IF($FI$13="",FALSE,SUMPRODUCT(('Final Calculation Sheet'!$AE$4:$AE$40=$FI$13)*($VF$4:$VF$40=1))&gt;0)</f>
      </c>
      <c r="VH13" t="str">
        <f>=$VH12+--($VG13)</f>
      </c>
      <c r="VI13" t="str">
        <f>IF(ROW()-3&gt;MAX($VH$4:$VH$40),"",INDEX($FI$4:$FI$40,MATCH(ROW()-3,$VH$4:$VH$40,0)))</f>
      </c>
      <c r="VJ13" t="str">
        <f>IF(COUNTIF('Final Calculation Sheet'!$AL13:$BP13,0)+COUNTIF('Final Calculation Sheet'!$BR13:$BS13,0)&gt;0,0,1)</f>
      </c>
      <c r="VK13" t="str">
        <f>IF($FN$13="",FALSE,SUMPRODUCT(('Final Calculation Sheet'!$AF$4:$AF$40=$FN$13)*($VJ$4:$VJ$40=1))&gt;0)</f>
      </c>
      <c r="VL13" t="str">
        <f>=$VL12+--($VK13)</f>
      </c>
      <c r="VM13" t="str">
        <f>IF(ROW()-3&gt;MAX($VL$4:$VL$40),"",INDEX($FN$4:$FN$40,MATCH(ROW()-3,$VL$4:$VL$40,0)))</f>
      </c>
      <c r="VN13" t="str">
        <f>IF(COUNTIF('Final Calculation Sheet'!$AL13:$BQ13,0)+COUNTIF('Final Calculation Sheet'!$BS13:$BS13,0)&gt;0,0,1)</f>
      </c>
      <c r="VO13" t="str">
        <f>IF($FS$13="",FALSE,SUMPRODUCT(('Final Calculation Sheet'!$AG$4:$AG$40=$FS$13)*($VN$4:$VN$40=1))&gt;0)</f>
      </c>
      <c r="VP13" t="str">
        <f>=$VP12+--($VO13)</f>
      </c>
      <c r="VQ13" t="str">
        <f>IF(ROW()-3&gt;MAX($VP$4:$VP$40),"",INDEX($FS$4:$FS$40,MATCH(ROW()-3,$VP$4:$VP$40,0)))</f>
      </c>
      <c r="VR13" t="str">
        <f>IF(COUNTIF('Final Calculation Sheet'!$AL13:$BR13,0)&gt;0,0,1)</f>
      </c>
      <c r="VS13" t="str">
        <f>IF($QO$13="",FALSE,SUMPRODUCT(('Final Calculation Sheet'!$AH$4:$AH$40=$QO$13)*($VR$4:$VR$40=1))&gt;0)</f>
      </c>
      <c r="VT13" t="str">
        <f>=$VT12+--($VS13)</f>
      </c>
      <c r="VU13" t="str">
        <f>IF(ROW()-3&gt;MAX($VT$4:$VT$40),"",INDEX($QO$4:$QO$40,MATCH(ROW()-3,$VT$4:$VT$40,0)))</f>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IF(ROW()-3&gt;MAX($LC$4:$LC$40),"",INDEX($FS$4:$FS$40,MATCH(ROW()-3,$LC$4:$LC$40,0)))</f>
        <v/>
      </c>
      <c r="LE14">
        <f>IF(COUNTIF('Buyer Groups'!DH14:EN14,0)&gt;0,0,1)</f>
        <v/>
      </c>
      <c r="LF14">
        <f>IF($O$14="",FALSE,SUMPRODUCT(('Final Calculation Sheet'!$F$4:$F$40=$O$14)*($LE$6:$LE$42=1))&gt;0)</f>
        <v/>
      </c>
      <c r="LG14">
        <f>$LG$13+--($LF14)</f>
        <v/>
      </c>
      <c r="LH14">
        <f>IF(ROW()-3&gt;MAX($LG$4:$LG$40),"",INDEX($O$4:$O$40,MATCH(ROW()-3,$LG$4:$LG$40,0)))</f>
        <v/>
      </c>
      <c r="LI14">
        <f>IF(COUNTIF('Buyer Groups'!DG14:DG14,0)+COUNTIF('Buyer Groups'!DI14:EN14,0)&gt;0,0,1)</f>
        <v/>
      </c>
      <c r="LJ14">
        <f>IF($T$14="",FALSE,SUMPRODUCT(('Final Calculation Sheet'!$G$4:$G$40=$T$14)*($LI$6:$LI$42=1))&gt;0)</f>
        <v/>
      </c>
      <c r="LK14">
        <f>$LK$13+--($LJ14)</f>
        <v/>
      </c>
      <c r="LL14">
        <f>IF(ROW()-3&gt;MAX($LK$4:$LK$40),"",INDEX($T$4:$T$40,MATCH(ROW()-3,$LK$4:$LK$40,0)))</f>
        <v/>
      </c>
      <c r="LM14">
        <f>IF(COUNTIF('Buyer Groups'!DG14:DH14,0)+COUNTIF('Buyer Groups'!DJ14:EN14,0)&gt;0,0,1)</f>
        <v/>
      </c>
      <c r="LN14">
        <f>IF($Y$14="",FALSE,SUMPRODUCT(('Final Calculation Sheet'!$B$4:$B$40=$Y$14)*($LM$6:$LM$42=1))&gt;0)</f>
        <v/>
      </c>
      <c r="LO14">
        <f>$LO$13+--($LN14)</f>
        <v/>
      </c>
      <c r="LP14">
        <f>IF(ROW()-3&gt;MAX($LO$4:$LO$40),"",INDEX($Y$4:$Y$40,MATCH(ROW()-3,$LO$4:$LO$40,0)))</f>
        <v/>
      </c>
      <c r="LQ14">
        <f>IF(COUNTIF('Buyer Groups'!DG14:DI14,0)+COUNTIF('Buyer Groups'!DK14:EN14,0)&gt;0,0,1)</f>
        <v/>
      </c>
      <c r="LR14">
        <f>IF($AD$14="",FALSE,SUMPRODUCT(('Final Calculation Sheet'!$D$4:$D$40=$AD$14)*($LQ$6:$LQ$42=1))&gt;0)</f>
        <v/>
      </c>
      <c r="LS14">
        <f>$LS$13+--($LR14)</f>
        <v/>
      </c>
      <c r="LT14">
        <f>IF(ROW()-3&gt;MAX($LS$4:$LS$40),"",INDEX($AD$4:$AD$40,MATCH(ROW()-3,$LS$4:$LS$40,0)))</f>
        <v/>
      </c>
      <c r="LU14">
        <f>IF(COUNTIF('Buyer Groups'!DG14:DJ14,0)+COUNTIF('Buyer Groups'!DL14:EN14,0)&gt;0,0,1)</f>
        <v/>
      </c>
      <c r="LV14">
        <f>IF($AI$14="",FALSE,SUMPRODUCT(('Final Calculation Sheet'!$A$4:$A$40=$AI$14)*($LU$6:$LU$42=1))&gt;0)</f>
        <v/>
      </c>
      <c r="LW14">
        <f>$LW$13+--($LV14)</f>
        <v/>
      </c>
      <c r="LX14">
        <f>IF(ROW()-3&gt;MAX($LW$4:$LW$40),"",INDEX($AI$4:$AI$40,MATCH(ROW()-3,$LW$4:$LW$40,0)))</f>
        <v/>
      </c>
      <c r="LY14">
        <f>IF(COUNTIF('Buyer Groups'!DG14:DK14,0)+COUNTIF('Buyer Groups'!DM14:EN14,0)&gt;0,0,1)</f>
        <v/>
      </c>
      <c r="LZ14">
        <f>IF($AN$14="",FALSE,SUMPRODUCT(('Final Calculation Sheet'!$E$4:$E$40=$AN$14)*($LY$6:$LY$42=1))&gt;0)</f>
        <v/>
      </c>
      <c r="MA14">
        <f>$MA$13+--($LZ14)</f>
        <v/>
      </c>
      <c r="MB14">
        <f>IF(ROW()-3&gt;MAX($MA$4:$MA$40),"",INDEX($AN$4:$AN$40,MATCH(ROW()-3,$MA$4:$MA$40,0)))</f>
        <v/>
      </c>
      <c r="MC14">
        <f>IF(COUNTIF('Buyer Groups'!DG14:DL14,0)+COUNTIF('Buyer Groups'!DN14:EN14,0)&gt;0,0,1)</f>
        <v/>
      </c>
      <c r="MD14">
        <f>IF($AS$14="",FALSE,SUMPRODUCT(('Final Calculation Sheet'!$C$4:$C$40=$AS$14)*($MC$6:$MC$42=1))&gt;0)</f>
        <v/>
      </c>
      <c r="ME14">
        <f>$ME$13+--($MD14)</f>
        <v/>
      </c>
      <c r="MF14">
        <f>IF(ROW()-3&gt;MAX($ME$4:$ME$40),"",INDEX($AS$4:$AS$40,MATCH(ROW()-3,$ME$4:$ME$40,0)))</f>
        <v/>
      </c>
      <c r="MG14">
        <f>IF(COUNTIF('Buyer Groups'!DG14:DM14,0)+COUNTIF('Buyer Groups'!DO14:EN14,0)&gt;0,0,1)</f>
        <v/>
      </c>
      <c r="MH14">
        <f>IF($AX$14="",FALSE,SUMPRODUCT(('Final Calculation Sheet'!$H$4:$H$40=$AX$14)*($MG$6:$MG$42=1))&gt;0)</f>
        <v/>
      </c>
      <c r="MI14">
        <f>$MI$13+--($MH14)</f>
        <v/>
      </c>
      <c r="MJ14">
        <f>IF(ROW()-3&gt;MAX($MI$4:$MI$40),"",INDEX($AX$4:$AX$40,MATCH(ROW()-3,$MI$4:$MI$40,0)))</f>
        <v/>
      </c>
      <c r="MK14">
        <f>IF(COUNTIF('Buyer Groups'!DG14:DN14,0)+COUNTIF('Buyer Groups'!DP14:EN14,0)&gt;0,0,1)</f>
        <v/>
      </c>
      <c r="ML14">
        <f>IF($BC$14="",FALSE,SUMPRODUCT(('Final Calculation Sheet'!$I$4:$I$40=$BC$14)*($MK$6:$MK$42=1))&gt;0)</f>
        <v/>
      </c>
      <c r="MM14">
        <f>$MM$13+--($ML14)</f>
        <v/>
      </c>
      <c r="MN14">
        <f>IF(ROW()-3&gt;MAX($MM$4:$MM$40),"",INDEX($BC$4:$BC$40,MATCH(ROW()-3,$MM$4:$MM$40,0)))</f>
        <v/>
      </c>
      <c r="MO14">
        <f>IF(COUNTIF('Buyer Groups'!DG14:DO14,0)+COUNTIF('Buyer Groups'!DQ14:EN14,0)&gt;0,0,1)</f>
        <v/>
      </c>
      <c r="MP14">
        <f>IF($BH$14="",FALSE,SUMPRODUCT(('Final Calculation Sheet'!$J$4:$J$40=$BH$14)*($MO$6:$MO$42=1))&gt;0)</f>
        <v/>
      </c>
      <c r="MQ14">
        <f>$MQ$13+--($MP14)</f>
        <v/>
      </c>
      <c r="MR14">
        <f>IF(ROW()-3&gt;MAX($MQ$4:$MQ$40),"",INDEX($BH$4:$BH$40,MATCH(ROW()-3,$MQ$4:$MQ$40,0)))</f>
        <v/>
      </c>
      <c r="MS14">
        <f>IF(COUNTIF('Buyer Groups'!DG14:DP14,0)+COUNTIF('Buyer Groups'!DR14:EN14,0)&gt;0,0,1)</f>
        <v/>
      </c>
      <c r="MT14">
        <f>IF($BM$14="",FALSE,SUMPRODUCT(('Final Calculation Sheet'!$K$4:$K$40=$BM$14)*($MS$6:$MS$42=1))&gt;0)</f>
        <v/>
      </c>
      <c r="MU14">
        <f>$MU$13+--($MT14)</f>
        <v/>
      </c>
      <c r="MV14">
        <f>IF(ROW()-3&gt;MAX($MU$4:$MU$40),"",INDEX($BM$4:$BM$40,MATCH(ROW()-3,$MU$4:$MU$40,0)))</f>
        <v/>
      </c>
      <c r="MW14">
        <f>IF(COUNTIF('Buyer Groups'!DG14:DQ14,0)+COUNTIF('Buyer Groups'!DS14:EN14,0)&gt;0,0,1)</f>
        <v/>
      </c>
      <c r="MX14">
        <f>IF($BR$14="",FALSE,SUMPRODUCT(('Final Calculation Sheet'!$L$4:$L$40=$BR$14)*($MW$6:$MW$42=1))&gt;0)</f>
        <v/>
      </c>
      <c r="MY14">
        <f>$MY$13+--($MX14)</f>
        <v/>
      </c>
      <c r="MZ14">
        <f>IF(ROW()-3&gt;MAX($MY$4:$MY$40),"",INDEX($BR$4:$BR$40,MATCH(ROW()-3,$MY$4:$MY$40,0)))</f>
        <v/>
      </c>
      <c r="NA14">
        <f>IF(COUNTIF('Buyer Groups'!DG14:DR14,0)+COUNTIF('Buyer Groups'!DT14:EN14,0)&gt;0,0,1)</f>
        <v/>
      </c>
      <c r="NB14">
        <f>IF($BW$14="",FALSE,SUMPRODUCT(('Final Calculation Sheet'!$M$4:$M$40=$BW$14)*($NA$6:$NA$42=1))&gt;0)</f>
        <v/>
      </c>
      <c r="NC14">
        <f>$NC$13+--($NB14)</f>
        <v/>
      </c>
      <c r="ND14">
        <f>IF(ROW()-3&gt;MAX($NC$4:$NC$40),"",INDEX($BW$4:$BW$40,MATCH(ROW()-3,$NC$4:$NC$40,0)))</f>
        <v/>
      </c>
      <c r="NE14">
        <f>IF(COUNTIF('Buyer Groups'!DG14:DS14,0)+COUNTIF('Buyer Groups'!DU14:EN14,0)&gt;0,0,1)</f>
        <v/>
      </c>
      <c r="NF14">
        <f>IF($CB$14="",FALSE,SUMPRODUCT(('Final Calculation Sheet'!$N$4:$N$40=$CB$14)*($NE$6:$NE$42=1))&gt;0)</f>
        <v/>
      </c>
      <c r="NG14">
        <f>$NG$13+--($NF14)</f>
        <v/>
      </c>
      <c r="NH14">
        <f>IF(ROW()-3&gt;MAX($NG$4:$NG$40),"",INDEX($CB$4:$CB$40,MATCH(ROW()-3,$NG$4:$NG$40,0)))</f>
        <v/>
      </c>
      <c r="NI14">
        <f>IF(COUNTIF('Buyer Groups'!DG14:DT14,0)+COUNTIF('Buyer Groups'!DV14:EN14,0)&gt;0,0,1)</f>
        <v/>
      </c>
      <c r="NJ14">
        <f>IF($CG$14="",FALSE,SUMPRODUCT(('Final Calculation Sheet'!$O$4:$O$40=$CG$14)*($NI$6:$NI$42=1))&gt;0)</f>
        <v/>
      </c>
      <c r="NK14">
        <f>$NK$13+--($NJ14)</f>
        <v/>
      </c>
      <c r="NL14">
        <f>IF(ROW()-3&gt;MAX($NK$4:$NK$40),"",INDEX($CG$4:$CG$40,MATCH(ROW()-3,$NK$4:$NK$40,0)))</f>
        <v/>
      </c>
      <c r="NM14">
        <f>IF(COUNTIF('Buyer Groups'!DG14:DU14,0)+COUNTIF('Buyer Groups'!DW14:EN14,0)&gt;0,0,1)</f>
        <v/>
      </c>
      <c r="NN14">
        <f>IF($CL$14="",FALSE,SUMPRODUCT(('Final Calculation Sheet'!$P$4:$P$40=$CL$14)*($NM$6:$NM$42=1))&gt;0)</f>
        <v/>
      </c>
      <c r="NO14">
        <f>$NO$13+--($NN14)</f>
        <v/>
      </c>
      <c r="NP14">
        <f>IF(ROW()-3&gt;MAX($NO$4:$NO$40),"",INDEX($CL$4:$CL$40,MATCH(ROW()-3,$NO$4:$NO$40,0)))</f>
        <v/>
      </c>
      <c r="NQ14">
        <f>IF(COUNTIF('Buyer Groups'!DG14:DV14,0)+COUNTIF('Buyer Groups'!DX14:EN14,0)&gt;0,0,1)</f>
        <v/>
      </c>
      <c r="NR14">
        <f>IF($CQ$14="",FALSE,SUMPRODUCT(('Final Calculation Sheet'!$Q$4:$Q$40=$CQ$14)*($NQ$6:$NQ$42=1))&gt;0)</f>
        <v/>
      </c>
      <c r="NS14">
        <f>$NS$13+--($NR14)</f>
        <v/>
      </c>
      <c r="NT14">
        <f>IF(ROW()-3&gt;MAX($NS$4:$NS$40),"",INDEX($CQ$4:$CQ$40,MATCH(ROW()-3,$NS$4:$NS$40,0)))</f>
        <v/>
      </c>
      <c r="NU14">
        <f>IF(COUNTIF('Buyer Groups'!DG14:DW14,0)+COUNTIF('Buyer Groups'!DY14:EN14,0)&gt;0,0,1)</f>
        <v/>
      </c>
      <c r="NV14">
        <f>IF($CV$14="",FALSE,SUMPRODUCT(('Final Calculation Sheet'!$R$4:$R$40=$CV$14)*($NU$6:$NU$42=1))&gt;0)</f>
        <v/>
      </c>
      <c r="NW14">
        <f>$NW$13+--($NV14)</f>
        <v/>
      </c>
      <c r="NX14">
        <f>IF(ROW()-3&gt;MAX($NW$4:$NW$40),"",INDEX($CV$4:$CV$40,MATCH(ROW()-3,$NW$4:$NW$40,0)))</f>
        <v/>
      </c>
      <c r="NY14">
        <f>IF(COUNTIF('Buyer Groups'!DG14:DX14,0)+COUNTIF('Buyer Groups'!DZ14:EN14,0)&gt;0,0,1)</f>
        <v/>
      </c>
      <c r="NZ14">
        <f>IF($DA$14="",FALSE,SUMPRODUCT(('Final Calculation Sheet'!$S$4:$S$40=$DA$14)*($NY$6:$NY$42=1))&gt;0)</f>
        <v/>
      </c>
      <c r="OA14">
        <f>$OA$13+--($NZ14)</f>
        <v/>
      </c>
      <c r="OB14">
        <f>IF(ROW()-3&gt;MAX($OA$4:$OA$40),"",INDEX($DA$4:$DA$40,MATCH(ROW()-3,$OA$4:$OA$40,0)))</f>
        <v/>
      </c>
      <c r="OC14">
        <f>IF(COUNTIF('Buyer Groups'!DG14:DY14,0)+COUNTIF('Buyer Groups'!EA14:EN14,0)&gt;0,0,1)</f>
        <v/>
      </c>
      <c r="OD14">
        <f>IF($DF$14="",FALSE,SUMPRODUCT(('Final Calculation Sheet'!$T$4:$T$40=$DF$14)*($OC$6:$OC$42=1))&gt;0)</f>
        <v/>
      </c>
      <c r="OE14">
        <f>$OE$13+--($OD14)</f>
        <v/>
      </c>
      <c r="OF14">
        <f>IF(ROW()-3&gt;MAX($OE$4:$OE$40),"",INDEX($DF$4:$DF$40,MATCH(ROW()-3,$OE$4:$OE$40,0)))</f>
        <v/>
      </c>
      <c r="OG14">
        <f>IF(COUNTIF('Buyer Groups'!DG14:DZ14,0)+COUNTIF('Buyer Groups'!EB14:EN14,0)&gt;0,0,1)</f>
        <v/>
      </c>
      <c r="OH14">
        <f>IF($DK$14="",FALSE,SUMPRODUCT(('Final Calculation Sheet'!$U$4:$U$40=$DK$14)*($OG$6:$OG$42=1))&gt;0)</f>
        <v/>
      </c>
      <c r="OI14">
        <f>$OI$13+--($OH14)</f>
        <v/>
      </c>
      <c r="OJ14">
        <f>IF(ROW()-3&gt;MAX($OI$4:$OI$40),"",INDEX($DK$4:$DK$40,MATCH(ROW()-3,$OI$4:$OI$40,0)))</f>
        <v/>
      </c>
      <c r="OK14">
        <f>IF(COUNTIF('Buyer Groups'!DG14:EA14,0)+COUNTIF('Buyer Groups'!EC14:EN14,0)&gt;0,0,1)</f>
        <v/>
      </c>
      <c r="OL14">
        <f>IF($DP$14="",FALSE,SUMPRODUCT(('Final Calculation Sheet'!$V$4:$V$40=$DP$14)*($OK$6:$OK$42=1))&gt;0)</f>
        <v/>
      </c>
      <c r="OM14">
        <f>$OM$13+--($OL14)</f>
        <v/>
      </c>
      <c r="ON14">
        <f>IF(ROW()-3&gt;MAX($OM$4:$OM$40),"",INDEX($DP$4:$DP$40,MATCH(ROW()-3,$OM$4:$OM$40,0)))</f>
        <v/>
      </c>
      <c r="OO14">
        <f>IF(COUNTIF('Buyer Groups'!DG14:EB14,0)+COUNTIF('Buyer Groups'!ED14:EN14,0)&gt;0,0,1)</f>
        <v/>
      </c>
      <c r="OP14">
        <f>IF($DU$14="",FALSE,SUMPRODUCT(('Final Calculation Sheet'!$W$4:$W$40=$DU$14)*($OO$6:$OO$42=1))&gt;0)</f>
        <v/>
      </c>
      <c r="OQ14">
        <f>$OQ$13+--($OP14)</f>
        <v/>
      </c>
      <c r="OR14">
        <f>IF(ROW()-3&gt;MAX($OQ$4:$OQ$40),"",INDEX($DU$4:$DU$40,MATCH(ROW()-3,$OQ$4:$OQ$40,0)))</f>
        <v/>
      </c>
      <c r="OS14">
        <f>IF(COUNTIF('Buyer Groups'!DG14:EC14,0)+COUNTIF('Buyer Groups'!EE14:EN14,0)&gt;0,0,1)</f>
        <v/>
      </c>
      <c r="OT14">
        <f>IF($DZ$14="",FALSE,SUMPRODUCT(('Final Calculation Sheet'!$X$4:$X$40=$DZ$14)*($OS$6:$OS$42=1))&gt;0)</f>
        <v/>
      </c>
      <c r="OU14">
        <f>$OU$13+--($OT14)</f>
        <v/>
      </c>
      <c r="OV14">
        <f>IF(ROW()-3&gt;MAX($OU$4:$OU$40),"",INDEX($DZ$4:$DZ$40,MATCH(ROW()-3,$OU$4:$OU$40,0)))</f>
        <v/>
      </c>
      <c r="OW14">
        <f>IF(COUNTIF('Buyer Groups'!DG14:ED14,0)+COUNTIF('Buyer Groups'!EF14:EN14,0)&gt;0,0,1)</f>
        <v/>
      </c>
      <c r="OX14">
        <f>IF($EE$14="",FALSE,SUMPRODUCT(('Final Calculation Sheet'!$Y$4:$Y$40=$EE$14)*($OW$6:$OW$42=1))&gt;0)</f>
        <v/>
      </c>
      <c r="OY14">
        <f>$OY$13+--($OX14)</f>
        <v/>
      </c>
      <c r="OZ14">
        <f>IF(ROW()-3&gt;MAX($OY$4:$OY$40),"",INDEX($EE$4:$EE$40,MATCH(ROW()-3,$OY$4:$OY$40,0)))</f>
        <v/>
      </c>
      <c r="PA14">
        <f>IF(COUNTIF('Buyer Groups'!DG14:EE14,0)+COUNTIF('Buyer Groups'!EG14:EN14,0)&gt;0,0,1)</f>
        <v/>
      </c>
      <c r="PB14">
        <f>IF($EJ$14="",FALSE,SUMPRODUCT(('Final Calculation Sheet'!$Z$4:$Z$40=$EJ$14)*($PA$6:$PA$42=1))&gt;0)</f>
        <v/>
      </c>
      <c r="PC14">
        <f>$PC$13+--($PB14)</f>
        <v/>
      </c>
      <c r="PD14">
        <f>IF(ROW()-3&gt;MAX($PC$4:$PC$40),"",INDEX($EJ$4:$EJ$40,MATCH(ROW()-3,$PC$4:$PC$40,0)))</f>
        <v/>
      </c>
      <c r="PE14">
        <f>IF(COUNTIF('Buyer Groups'!DG14:EF14,0)+COUNTIF('Buyer Groups'!EH14:EN14,0)&gt;0,0,1)</f>
        <v/>
      </c>
      <c r="PF14">
        <f>IF($EO$14="",FALSE,SUMPRODUCT(('Final Calculation Sheet'!$AA$4:$AA$40=$EO$14)*($PE$6:$PE$42=1))&gt;0)</f>
        <v/>
      </c>
      <c r="PG14">
        <f>$PG$13+--($PF14)</f>
        <v/>
      </c>
      <c r="PH14">
        <f>IF(ROW()-3&gt;MAX($PG$4:$PG$40),"",INDEX($EO$4:$EO$40,MATCH(ROW()-3,$PG$4:$PG$40,0)))</f>
        <v/>
      </c>
      <c r="PI14">
        <f>IF(COUNTIF('Buyer Groups'!DG14:EG14,0)+COUNTIF('Buyer Groups'!EI14:EN14,0)&gt;0,0,1)</f>
        <v/>
      </c>
      <c r="PJ14">
        <f>IF($ET$14="",FALSE,SUMPRODUCT(('Final Calculation Sheet'!$AB$4:$AB$40=$ET$14)*($PI$6:$PI$42=1))&gt;0)</f>
        <v/>
      </c>
      <c r="PK14">
        <f>$PK$13+--($PJ14)</f>
        <v/>
      </c>
      <c r="PL14">
        <f>IF(ROW()-3&gt;MAX($PK$4:$PK$40),"",INDEX($ET$4:$ET$40,MATCH(ROW()-3,$PK$4:$PK$40,0)))</f>
        <v/>
      </c>
      <c r="PM14">
        <f>IF(COUNTIF('Buyer Groups'!DG14:EH14,0)+COUNTIF('Buyer Groups'!EJ14:EN14,0)&gt;0,0,1)</f>
        <v/>
      </c>
      <c r="PN14">
        <f>IF($EY$14="",FALSE,SUMPRODUCT(('Final Calculation Sheet'!$AC$4:$AC$40=$EY$14)*($PM$6:$PM$42=1))&gt;0)</f>
        <v/>
      </c>
      <c r="PO14">
        <f>$PO$13+--($PN14)</f>
        <v/>
      </c>
      <c r="PP14">
        <f>IF(ROW()-3&gt;MAX($PO$4:$PO$40),"",INDEX($EY$4:$EY$40,MATCH(ROW()-3,$PO$4:$PO$40,0)))</f>
        <v/>
      </c>
      <c r="PQ14">
        <f>IF(COUNTIF('Buyer Groups'!DG14:EI14,0)+COUNTIF('Buyer Groups'!EK14:EN14,0)&gt;0,0,1)</f>
        <v/>
      </c>
      <c r="PR14">
        <f>IF($FD$14="",FALSE,SUMPRODUCT(('Final Calculation Sheet'!$AD$4:$AD$40=$FD$14)*($PQ$6:$PQ$42=1))&gt;0)</f>
        <v/>
      </c>
      <c r="PS14">
        <f>$PS$13+--($PR14)</f>
        <v/>
      </c>
      <c r="PT14">
        <f>IF(ROW()-3&gt;MAX($PS$4:$PS$40),"",INDEX($FD$4:$FD$40,MATCH(ROW()-3,$PS$4:$PS$40,0)))</f>
        <v/>
      </c>
      <c r="PU14">
        <f>IF(COUNTIF('Buyer Groups'!DG14:EJ14,0)+COUNTIF('Buyer Groups'!EL14:EN14,0)&gt;0,0,1)</f>
        <v/>
      </c>
      <c r="PV14">
        <f>IF($FX$14="",FALSE,SUMPRODUCT((IF('Final Calculation Sheet'!$AD$4:$AD$40&lt;=5,"SETTLED","OUTSTANDING")=$FX$14)*($PU$6:$PU$42=1))&gt;0)</f>
        <v/>
      </c>
      <c r="PW14">
        <f>$PW$13+--($PV14)</f>
        <v/>
      </c>
      <c r="PX14">
        <f>IF(ROW()-3&gt;MAX($PW$4:$PW$40),"",INDEX($FX$4:$FX$40,MATCH(ROW()-3,$PW$4:$PW$40,0)))</f>
        <v/>
      </c>
      <c r="PY14">
        <f>IF(COUNTIF('Buyer Groups'!DG14:EK14,0)+COUNTIF('Buyer Groups'!EM14:EN14,0)&gt;0,0,1)</f>
        <v/>
      </c>
      <c r="PZ14">
        <f>IF($FI$14="",FALSE,SUMPRODUCT(('Final Calculation Sheet'!$AF$4:$AF$40=$FI$14)*($PY$6:$PY$42=1))&gt;0)</f>
        <v/>
      </c>
      <c r="QA14">
        <f>$QA$13+--($PZ14)</f>
        <v/>
      </c>
      <c r="QB14">
        <f>IF(ROW()-3&gt;MAX($QA$4:$QA$40),"",INDEX($FI$4:$FI$40,MATCH(ROW()-3,$QA$4:$QA$40,0)))</f>
        <v/>
      </c>
      <c r="QC14">
        <f>IF(COUNTIF('Buyer Groups'!DG14:EL14,0)+COUNTIF('Buyer Groups'!EN14:EN14,0)&gt;0,0,1)</f>
        <v/>
      </c>
      <c r="QD14">
        <f>IF($FN$14="",FALSE,SUMPRODUCT(('Final Calculation Sheet'!$AG$4:$AG$40=$FN$14)*($QC$6:$QC$42=1))&gt;0)</f>
        <v/>
      </c>
      <c r="QE14">
        <f>$QE$13+--($QD14)</f>
        <v/>
      </c>
      <c r="QF14">
        <f>IF(ROW()-3&gt;MAX($QE$4:$QE$40),"",INDEX($FN$4:$FN$40,MATCH(ROW()-3,$QE$4:$QE$40,0)))</f>
        <v/>
      </c>
      <c r="QG14">
        <f>IF(COUNTIF('Buyer Groups'!DG14:EM14,0)&gt;0,0,1)</f>
        <v/>
      </c>
      <c r="QH14">
        <f>IF($FS$14="",FALSE,SUMPRODUCT(('Final Calculation Sheet'!$AH$4:$AH$40=$FS$14)*($QG$6:$QG$42=1))&gt;0)</f>
        <v/>
      </c>
      <c r="QI14">
        <f>$QI$13+--($QH14)</f>
        <v/>
      </c>
      <c r="QJ14">
        <f>IF(ROW()-3&gt;MAX($QI$4:$QI$40),"",INDEX($FS$4:$FS$40,MATCH(ROW()-3,$QI$4:$QI$40,0)))</f>
        <v/>
      </c>
      <c r="QK14" t="str">
        <f>IF('Final Calculation Sheet'!$AH$14="","",'Final Calculation Sheet'!$AH$14)</f>
      </c>
      <c r="QL14" t="str">
        <f>IF(QK14="","",COUNTIFS(QK$4:QK$40,"&lt;"&amp;QK14,QK$4:QK$40,"&lt;&gt;"&amp;"")+COUNTIF(QK$4:QK14,QK14))</f>
      </c>
      <c r="QM14" t="str">
        <f>IF(ROW()-3&gt;COUNTIF(QK$4:QK$40,"&lt;&gt;"&amp;""),"",INDEX(QK$4:QK$40,MATCH(ROW()-3,QL$4:QL$40,0)))</f>
      </c>
      <c r="QN14" t="str">
        <f>=QN13+F(AND(QM14&lt;&gt;"",COUNTIF(QM$4:QM14,QM14)=1),1,0)</f>
      </c>
      <c r="QO14" t="str">
        <f>IF(ROW()-3&gt;MAX(QN$4:QN$40),"",INDEX(QM$4:QM$40,MATCH(ROW()-3,QN$4:QN$40,0)))</f>
      </c>
      <c r="QP14" t="str">
        <f>IF(COUNTIF('Final Calculation Sheet'!$AM14:$BS14,0)&gt;0,0,1)</f>
      </c>
      <c r="QQ14" t="str">
        <f>IF($AI$14="",FALSE,SUMPRODUCT(('Final Calculation Sheet'!$A$4:$A$40=$AI$14)*($QP$4:$QP$40=1))&gt;0)</f>
      </c>
      <c r="QR14" t="str">
        <f>=$QR13+--($QQ14)</f>
      </c>
      <c r="QS14" t="str">
        <f>IF(ROW()-3&gt;MAX($QR$4:$QR$40),"",INDEX($AI$4:$AI$40,MATCH(ROW()-3,$QR$4:$QR$40,0)))</f>
      </c>
      <c r="QT14" t="str">
        <f>IF(COUNTIF('Final Calculation Sheet'!$AL14:$AL14,0)+COUNTIF('Final Calculation Sheet'!$AN14:$BS14,0)&gt;0,0,1)</f>
      </c>
      <c r="QU14" t="str">
        <f>IF($Y$14="",FALSE,SUMPRODUCT(('Final Calculation Sheet'!$B$4:$B$40=$Y$14)*($QT$4:$QT$40=1))&gt;0)</f>
      </c>
      <c r="QV14" t="str">
        <f>=$QV13+--($QU14)</f>
      </c>
      <c r="QW14" t="str">
        <f>IF(ROW()-3&gt;MAX($QV$4:$QV$40),"",INDEX($Y$4:$Y$40,MATCH(ROW()-3,$QV$4:$QV$40,0)))</f>
      </c>
      <c r="QX14" t="str">
        <f>IF(COUNTIF('Final Calculation Sheet'!$AL14:$AM14,0)+COUNTIF('Final Calculation Sheet'!$AO14:$BS14,0)&gt;0,0,1)</f>
      </c>
      <c r="QY14" t="str">
        <f>IF($AS$14="",FALSE,SUMPRODUCT(('Final Calculation Sheet'!$C$4:$C$40=$AS$14)*($QX$4:$QX$40=1))&gt;0)</f>
      </c>
      <c r="QZ14" t="str">
        <f>=$QZ13+--($QY14)</f>
      </c>
      <c r="RA14" t="str">
        <f>IF(ROW()-3&gt;MAX($QZ$4:$QZ$40),"",INDEX($AS$4:$AS$40,MATCH(ROW()-3,$QZ$4:$QZ$40,0)))</f>
      </c>
      <c r="RB14" t="str">
        <f>IF(COUNTIF('Final Calculation Sheet'!$AL14:$AN14,0)+COUNTIF('Final Calculation Sheet'!$AP14:$BS14,0)&gt;0,0,1)</f>
      </c>
      <c r="RC14" t="str">
        <f>IF($AD$14="",FALSE,SUMPRODUCT(('Final Calculation Sheet'!$D$4:$D$40=$AD$14)*($RB$4:$RB$40=1))&gt;0)</f>
      </c>
      <c r="RD14" t="str">
        <f>=$RD13+--($RC14)</f>
      </c>
      <c r="RE14" t="str">
        <f>IF(ROW()-3&gt;MAX($RD$4:$RD$40),"",INDEX($AD$4:$AD$40,MATCH(ROW()-3,$RD$4:$RD$40,0)))</f>
      </c>
      <c r="RF14" t="str">
        <f>IF(COUNTIF('Final Calculation Sheet'!$AL14:$AO14,0)+COUNTIF('Final Calculation Sheet'!$AQ14:$BS14,0)&gt;0,0,1)</f>
      </c>
      <c r="RG14" t="str">
        <f>IF($AN$14="",FALSE,SUMPRODUCT(('Final Calculation Sheet'!$E$4:$E$40=$AN$14)*($RF$4:$RF$40=1))&gt;0)</f>
      </c>
      <c r="RH14" t="str">
        <f>=$RH13+--($RG14)</f>
      </c>
      <c r="RI14" t="str">
        <f>IF(ROW()-3&gt;MAX($RH$4:$RH$40),"",INDEX($AN$4:$AN$40,MATCH(ROW()-3,$RH$4:$RH$40,0)))</f>
      </c>
      <c r="RJ14" t="str">
        <f>IF(COUNTIF('Final Calculation Sheet'!$AL14:$AP14,0)+COUNTIF('Final Calculation Sheet'!$AR14:$BS14,0)&gt;0,0,1)</f>
      </c>
      <c r="RK14" t="str">
        <f>IF($O$14="",FALSE,SUMPRODUCT(('Final Calculation Sheet'!$F$4:$F$40=$O$14)*($RJ$4:$RJ$40=1))&gt;0)</f>
      </c>
      <c r="RL14" t="str">
        <f>=$RL13+--($RK14)</f>
      </c>
      <c r="RM14" t="str">
        <f>IF(ROW()-3&gt;MAX($RL$4:$RL$40),"",INDEX($O$4:$O$40,MATCH(ROW()-3,$RL$4:$RL$40,0)))</f>
      </c>
      <c r="RN14" t="str">
        <f>IF(COUNTIF('Final Calculation Sheet'!$AL14:$AQ14,0)+COUNTIF('Final Calculation Sheet'!$AS14:$BS14,0)&gt;0,0,1)</f>
      </c>
      <c r="RO14" t="str">
        <f>IF($T$14="",FALSE,SUMPRODUCT(('Final Calculation Sheet'!$G$4:$G$40=$T$14)*($RN$4:$RN$40=1))&gt;0)</f>
      </c>
      <c r="RP14" t="str">
        <f>=$RP13+--($RO14)</f>
      </c>
      <c r="RQ14" t="str">
        <f>IF(ROW()-3&gt;MAX($RP$4:$RP$40),"",INDEX($T$4:$T$40,MATCH(ROW()-3,$RP$4:$RP$40,0)))</f>
      </c>
      <c r="RR14" t="str">
        <f>IF(COUNTIF('Final Calculation Sheet'!$AL14:$AR14,0)+COUNTIF('Final Calculation Sheet'!$AT14:$BS14,0)&gt;0,0,1)</f>
      </c>
      <c r="RS14" t="str">
        <f>IF($AX$14="",FALSE,SUMPRODUCT(('Final Calculation Sheet'!$H$4:$H$40=$AX$14)*($RR$4:$RR$40=1))&gt;0)</f>
      </c>
      <c r="RT14" t="str">
        <f>=$RT13+--($RS14)</f>
      </c>
      <c r="RU14" t="str">
        <f>IF(ROW()-3&gt;MAX($RT$4:$RT$40),"",INDEX($AX$4:$AX$40,MATCH(ROW()-3,$RT$4:$RT$40,0)))</f>
      </c>
      <c r="RV14" t="str">
        <f>IF(COUNTIF('Final Calculation Sheet'!$AL14:$AS14,0)+COUNTIF('Final Calculation Sheet'!$AU14:$BS14,0)&gt;0,0,1)</f>
      </c>
      <c r="RW14" t="str">
        <f>IF($BC$14="",FALSE,SUMPRODUCT(('Final Calculation Sheet'!$I$4:$I$40=$BC$14)*($RV$4:$RV$40=1))&gt;0)</f>
      </c>
      <c r="RX14" t="str">
        <f>=$RX13+--($RW14)</f>
      </c>
      <c r="RY14" t="str">
        <f>IF(ROW()-3&gt;MAX($RX$4:$RX$40),"",INDEX($BC$4:$BC$40,MATCH(ROW()-3,$RX$4:$RX$40,0)))</f>
      </c>
      <c r="RZ14" t="str">
        <f>IF(COUNTIF('Final Calculation Sheet'!$AL14:$AT14,0)+COUNTIF('Final Calculation Sheet'!$AV14:$BS14,0)&gt;0,0,1)</f>
      </c>
      <c r="SA14" t="str">
        <f>IF($BH$14="",FALSE,SUMPRODUCT(('Final Calculation Sheet'!$J$4:$J$40=$BH$14)*($RZ$4:$RZ$40=1))&gt;0)</f>
      </c>
      <c r="SB14" t="str">
        <f>=$SB13+--($SA14)</f>
      </c>
      <c r="SC14" t="str">
        <f>IF(ROW()-3&gt;MAX($SB$4:$SB$40),"",INDEX($BH$4:$BH$40,MATCH(ROW()-3,$SB$4:$SB$40,0)))</f>
      </c>
      <c r="SD14" t="str">
        <f>IF(COUNTIF('Final Calculation Sheet'!$AL14:$AU14,0)+COUNTIF('Final Calculation Sheet'!$AW14:$BS14,0)&gt;0,0,1)</f>
      </c>
      <c r="SE14" t="str">
        <f>IF($BM$14="",FALSE,SUMPRODUCT(('Final Calculation Sheet'!$K$4:$K$40=$BM$14)*($SD$4:$SD$40=1))&gt;0)</f>
      </c>
      <c r="SF14" t="str">
        <f>=$SF13+--($SE14)</f>
      </c>
      <c r="SG14" t="str">
        <f>IF(ROW()-3&gt;MAX($SF$4:$SF$40),"",INDEX($BM$4:$BM$40,MATCH(ROW()-3,$SF$4:$SF$40,0)))</f>
      </c>
      <c r="SH14" t="str">
        <f>IF(COUNTIF('Final Calculation Sheet'!$AL14:$AV14,0)+COUNTIF('Final Calculation Sheet'!$AX14:$BS14,0)&gt;0,0,1)</f>
      </c>
      <c r="SI14" t="str">
        <f>IF($BR$14="",FALSE,SUMPRODUCT(('Final Calculation Sheet'!$L$4:$L$40=$BR$14)*($SH$4:$SH$40=1))&gt;0)</f>
      </c>
      <c r="SJ14" t="str">
        <f>=$SJ13+--($SI14)</f>
      </c>
      <c r="SK14" t="str">
        <f>IF(ROW()-3&gt;MAX($SJ$4:$SJ$40),"",INDEX($BR$4:$BR$40,MATCH(ROW()-3,$SJ$4:$SJ$40,0)))</f>
      </c>
      <c r="SL14" t="str">
        <f>IF(COUNTIF('Final Calculation Sheet'!$AL14:$AW14,0)+COUNTIF('Final Calculation Sheet'!$AY14:$BS14,0)&gt;0,0,1)</f>
      </c>
      <c r="SM14" t="str">
        <f>IF($BW$14="",FALSE,SUMPRODUCT(('Final Calculation Sheet'!$M$4:$M$40=$BW$14)*($SL$4:$SL$40=1))&gt;0)</f>
      </c>
      <c r="SN14" t="str">
        <f>=$SN13+--($SM14)</f>
      </c>
      <c r="SO14" t="str">
        <f>IF(ROW()-3&gt;MAX($SN$4:$SN$40),"",INDEX($BW$4:$BW$40,MATCH(ROW()-3,$SN$4:$SN$40,0)))</f>
      </c>
      <c r="SP14" t="str">
        <f>IF(COUNTIF('Final Calculation Sheet'!$AL14:$AX14,0)+COUNTIF('Final Calculation Sheet'!$AZ14:$BS14,0)&gt;0,0,1)</f>
      </c>
      <c r="SQ14" t="str">
        <f>IF($CB$14="",FALSE,SUMPRODUCT(('Final Calculation Sheet'!$N$4:$N$40=$CB$14)*($SP$4:$SP$40=1))&gt;0)</f>
      </c>
      <c r="SR14" t="str">
        <f>=$SR13+--($SQ14)</f>
      </c>
      <c r="SS14" t="str">
        <f>IF(ROW()-3&gt;MAX($SR$4:$SR$40),"",INDEX($CB$4:$CB$40,MATCH(ROW()-3,$SR$4:$SR$40,0)))</f>
      </c>
      <c r="ST14" t="str">
        <f>IF(COUNTIF('Final Calculation Sheet'!$AL14:$AY14,0)+COUNTIF('Final Calculation Sheet'!$BA14:$BS14,0)&gt;0,0,1)</f>
      </c>
      <c r="SU14" t="str">
        <f>IF($CG$14="",FALSE,SUMPRODUCT(('Final Calculation Sheet'!$O$4:$O$40=$CG$14)*($ST$4:$ST$40=1))&gt;0)</f>
      </c>
      <c r="SV14" t="str">
        <f>=$SV13+--($SU14)</f>
      </c>
      <c r="SW14" t="str">
        <f>IF(ROW()-3&gt;MAX($SV$4:$SV$40),"",INDEX($CG$4:$CG$40,MATCH(ROW()-3,$SV$4:$SV$40,0)))</f>
      </c>
      <c r="SX14" t="str">
        <f>IF(COUNTIF('Final Calculation Sheet'!$AL14:$AZ14,0)+COUNTIF('Final Calculation Sheet'!$BB14:$BS14,0)&gt;0,0,1)</f>
      </c>
      <c r="SY14" t="str">
        <f>IF($CL$14="",FALSE,SUMPRODUCT(('Final Calculation Sheet'!$P$4:$P$40=$CL$14)*($SX$4:$SX$40=1))&gt;0)</f>
      </c>
      <c r="SZ14" t="str">
        <f>=$SZ13+--($SY14)</f>
      </c>
      <c r="TA14" t="str">
        <f>IF(ROW()-3&gt;MAX($SZ$4:$SZ$40),"",INDEX($CL$4:$CL$40,MATCH(ROW()-3,$SZ$4:$SZ$40,0)))</f>
      </c>
      <c r="TB14" t="str">
        <f>IF(COUNTIF('Final Calculation Sheet'!$AL14:$BA14,0)+COUNTIF('Final Calculation Sheet'!$BC14:$BS14,0)&gt;0,0,1)</f>
      </c>
      <c r="TC14" t="str">
        <f>IF($CQ$14="",FALSE,SUMPRODUCT(('Final Calculation Sheet'!$Q$4:$Q$40=$CQ$14)*($TB$4:$TB$40=1))&gt;0)</f>
      </c>
      <c r="TD14" t="str">
        <f>=$TD13+--($TC14)</f>
      </c>
      <c r="TE14" t="str">
        <f>IF(ROW()-3&gt;MAX($TD$4:$TD$40),"",INDEX($CQ$4:$CQ$40,MATCH(ROW()-3,$TD$4:$TD$40,0)))</f>
      </c>
      <c r="TF14" t="str">
        <f>IF(COUNTIF('Final Calculation Sheet'!$AL14:$BB14,0)+COUNTIF('Final Calculation Sheet'!$BD14:$BS14,0)&gt;0,0,1)</f>
      </c>
      <c r="TG14" t="str">
        <f>IF($CV$14="",FALSE,SUMPRODUCT(('Final Calculation Sheet'!$R$4:$R$40=$CV$14)*($TF$4:$TF$40=1))&gt;0)</f>
      </c>
      <c r="TH14" t="str">
        <f>=$TH13+--($TG14)</f>
      </c>
      <c r="TI14" t="str">
        <f>IF(ROW()-3&gt;MAX($TH$4:$TH$40),"",INDEX($CV$4:$CV$40,MATCH(ROW()-3,$TH$4:$TH$40,0)))</f>
      </c>
      <c r="TJ14" t="str">
        <f>IF(COUNTIF('Final Calculation Sheet'!$AL14:$BC14,0)+COUNTIF('Final Calculation Sheet'!$BE14:$BS14,0)&gt;0,0,1)</f>
      </c>
      <c r="TK14" t="str">
        <f>IF($DA$14="",FALSE,SUMPRODUCT(('Final Calculation Sheet'!$S$4:$S$40=$DA$14)*($TJ$4:$TJ$40=1))&gt;0)</f>
      </c>
      <c r="TL14" t="str">
        <f>=$TL13+--($TK14)</f>
      </c>
      <c r="TM14" t="str">
        <f>IF(ROW()-3&gt;MAX($TL$4:$TL$40),"",INDEX($DA$4:$DA$40,MATCH(ROW()-3,$TL$4:$TL$40,0)))</f>
      </c>
      <c r="TN14" t="str">
        <f>IF(COUNTIF('Final Calculation Sheet'!$AL14:$BD14,0)+COUNTIF('Final Calculation Sheet'!$BF14:$BS14,0)&gt;0,0,1)</f>
      </c>
      <c r="TO14" t="str">
        <f>IF($DF$14="",FALSE,SUMPRODUCT(('Final Calculation Sheet'!$T$4:$T$40=$DF$14)*($TN$4:$TN$40=1))&gt;0)</f>
      </c>
      <c r="TP14" t="str">
        <f>=$TP13+--($TO14)</f>
      </c>
      <c r="TQ14" t="str">
        <f>IF(ROW()-3&gt;MAX($TP$4:$TP$40),"",INDEX($DF$4:$DF$40,MATCH(ROW()-3,$TP$4:$TP$40,0)))</f>
      </c>
      <c r="TR14" t="str">
        <f>IF(COUNTIF('Final Calculation Sheet'!$AL14:$BE14,0)+COUNTIF('Final Calculation Sheet'!$BG14:$BS14,0)&gt;0,0,1)</f>
      </c>
      <c r="TS14" t="str">
        <f>IF($DK$14="",FALSE,SUMPRODUCT(('Final Calculation Sheet'!$U$4:$U$40=$DK$14)*($TR$4:$TR$40=1))&gt;0)</f>
      </c>
      <c r="TT14" t="str">
        <f>=$TT13+--($TS14)</f>
      </c>
      <c r="TU14" t="str">
        <f>IF(ROW()-3&gt;MAX($TT$4:$TT$40),"",INDEX($DK$4:$DK$40,MATCH(ROW()-3,$TT$4:$TT$40,0)))</f>
      </c>
      <c r="TV14" t="str">
        <f>IF(COUNTIF('Final Calculation Sheet'!$AL14:$BF14,0)+COUNTIF('Final Calculation Sheet'!$BH14:$BS14,0)&gt;0,0,1)</f>
      </c>
      <c r="TW14" t="str">
        <f>IF($DP$14="",FALSE,SUMPRODUCT(('Final Calculation Sheet'!$V$4:$V$40=$DP$14)*($TV$4:$TV$40=1))&gt;0)</f>
      </c>
      <c r="TX14" t="str">
        <f>=$TX13+--($TW14)</f>
      </c>
      <c r="TY14" t="str">
        <f>IF(ROW()-3&gt;MAX($TX$4:$TX$40),"",INDEX($DP$4:$DP$40,MATCH(ROW()-3,$TX$4:$TX$40,0)))</f>
      </c>
      <c r="TZ14" t="str">
        <f>IF(COUNTIF('Final Calculation Sheet'!$AL14:$BG14,0)+COUNTIF('Final Calculation Sheet'!$BI14:$BS14,0)&gt;0,0,1)</f>
      </c>
      <c r="UA14" t="str">
        <f>IF($DU$14="",FALSE,SUMPRODUCT(('Final Calculation Sheet'!$W$4:$W$40=$DU$14)*($TZ$4:$TZ$40=1))&gt;0)</f>
      </c>
      <c r="UB14" t="str">
        <f>=$UB13+--($UA14)</f>
      </c>
      <c r="UC14" t="str">
        <f>IF(ROW()-3&gt;MAX($UB$4:$UB$40),"",INDEX($DU$4:$DU$40,MATCH(ROW()-3,$UB$4:$UB$40,0)))</f>
      </c>
      <c r="UD14" t="str">
        <f>IF(COUNTIF('Final Calculation Sheet'!$AL14:$BH14,0)+COUNTIF('Final Calculation Sheet'!$BJ14:$BS14,0)&gt;0,0,1)</f>
      </c>
      <c r="UE14" t="str">
        <f>IF($DZ$14="",FALSE,SUMPRODUCT(('Final Calculation Sheet'!$X$4:$X$40=$DZ$14)*($UD$4:$UD$40=1))&gt;0)</f>
      </c>
      <c r="UF14" t="str">
        <f>=$UF13+--($UE14)</f>
      </c>
      <c r="UG14" t="str">
        <f>IF(ROW()-3&gt;MAX($UF$4:$UF$40),"",INDEX($DZ$4:$DZ$40,MATCH(ROW()-3,$UF$4:$UF$40,0)))</f>
      </c>
      <c r="UH14" t="str">
        <f>IF(COUNTIF('Final Calculation Sheet'!$AL14:$BI14,0)+COUNTIF('Final Calculation Sheet'!$BK14:$BS14,0)&gt;0,0,1)</f>
      </c>
      <c r="UI14" t="str">
        <f>IF($EE$14="",FALSE,SUMPRODUCT(('Final Calculation Sheet'!$Y$4:$Y$40=$EE$14)*($UH$4:$UH$40=1))&gt;0)</f>
      </c>
      <c r="UJ14" t="str">
        <f>=$UJ13+--($UI14)</f>
      </c>
      <c r="UK14" t="str">
        <f>IF(ROW()-3&gt;MAX($UJ$4:$UJ$40),"",INDEX($EE$4:$EE$40,MATCH(ROW()-3,$UJ$4:$UJ$40,0)))</f>
      </c>
      <c r="UL14" t="str">
        <f>IF(COUNTIF('Final Calculation Sheet'!$AL14:$BJ14,0)+COUNTIF('Final Calculation Sheet'!$BL14:$BS14,0)&gt;0,0,1)</f>
      </c>
      <c r="UM14" t="str">
        <f>IF($EJ$14="",FALSE,SUMPRODUCT(('Final Calculation Sheet'!$Z$4:$Z$40=$EJ$14)*($UL$4:$UL$40=1))&gt;0)</f>
      </c>
      <c r="UN14" t="str">
        <f>=$UN13+--($UM14)</f>
      </c>
      <c r="UO14" t="str">
        <f>IF(ROW()-3&gt;MAX($UN$4:$UN$40),"",INDEX($EJ$4:$EJ$40,MATCH(ROW()-3,$UN$4:$UN$40,0)))</f>
      </c>
      <c r="UP14" t="str">
        <f>IF(COUNTIF('Final Calculation Sheet'!$AL14:$BK14,0)+COUNTIF('Final Calculation Sheet'!$BM14:$BS14,0)&gt;0,0,1)</f>
      </c>
      <c r="UQ14" t="str">
        <f>IF($EO$14="",FALSE,SUMPRODUCT(('Final Calculation Sheet'!$AA$4:$AA$40=$EO$14)*($UP$4:$UP$40=1))&gt;0)</f>
      </c>
      <c r="UR14" t="str">
        <f>=$UR13+--($UQ14)</f>
      </c>
      <c r="US14" t="str">
        <f>IF(ROW()-3&gt;MAX($UR$4:$UR$40),"",INDEX($EO$4:$EO$40,MATCH(ROW()-3,$UR$4:$UR$40,0)))</f>
      </c>
      <c r="UT14" t="str">
        <f>IF(COUNTIF('Final Calculation Sheet'!$AL14:$BL14,0)+COUNTIF('Final Calculation Sheet'!$BN14:$BS14,0)&gt;0,0,1)</f>
      </c>
      <c r="UU14" t="str">
        <f>IF($ET$14="",FALSE,SUMPRODUCT(('Final Calculation Sheet'!$AB$4:$AB$40=$ET$14)*($UT$4:$UT$40=1))&gt;0)</f>
      </c>
      <c r="UV14" t="str">
        <f>=$UV13+--($UU14)</f>
      </c>
      <c r="UW14" t="str">
        <f>IF(ROW()-3&gt;MAX($UV$4:$UV$40),"",INDEX($ET$4:$ET$40,MATCH(ROW()-3,$UV$4:$UV$40,0)))</f>
      </c>
      <c r="UX14" t="str">
        <f>IF(COUNTIF('Final Calculation Sheet'!$AL14:$BM14,0)+COUNTIF('Final Calculation Sheet'!$BO14:$BS14,0)&gt;0,0,1)</f>
      </c>
      <c r="UY14" t="str">
        <f>IF($EY$14="",FALSE,SUMPRODUCT(('Final Calculation Sheet'!$AC$4:$AC$40=$EY$14)*($UX$4:$UX$40=1))&gt;0)</f>
      </c>
      <c r="UZ14" t="str">
        <f>=$UZ13+--($UY14)</f>
      </c>
      <c r="VA14" t="str">
        <f>IF(ROW()-3&gt;MAX($UZ$4:$UZ$40),"",INDEX($EY$4:$EY$40,MATCH(ROW()-3,$UZ$4:$UZ$40,0)))</f>
      </c>
      <c r="VB14" t="str">
        <f>IF(COUNTIF('Final Calculation Sheet'!$AL14:$BN14,0)+COUNTIF('Final Calculation Sheet'!$BP14:$BS14,0)&gt;0,0,1)</f>
      </c>
      <c r="VC14" t="str">
        <f>IF($FD$14="",FALSE,SUMPRODUCT(('Final Calculation Sheet'!$AD$4:$AD$40=$FD$14)*($VB$4:$VB$40=1))&gt;0)</f>
      </c>
      <c r="VD14" t="str">
        <f>=$VD13+--($VC14)</f>
      </c>
      <c r="VE14" t="str">
        <f>IF(ROW()-3&gt;MAX($VD$4:$VD$40),"",INDEX($FD$4:$FD$40,MATCH(ROW()-3,$VD$4:$VD$40,0)))</f>
      </c>
      <c r="VF14" t="str">
        <f>IF(COUNTIF('Final Calculation Sheet'!$AL14:$BO14,0)+COUNTIF('Final Calculation Sheet'!$BQ14:$BS14,0)&gt;0,0,1)</f>
      </c>
      <c r="VG14" t="str">
        <f>IF($FI$14="",FALSE,SUMPRODUCT(('Final Calculation Sheet'!$AE$4:$AE$40=$FI$14)*($VF$4:$VF$40=1))&gt;0)</f>
      </c>
      <c r="VH14" t="str">
        <f>=$VH13+--($VG14)</f>
      </c>
      <c r="VI14" t="str">
        <f>IF(ROW()-3&gt;MAX($VH$4:$VH$40),"",INDEX($FI$4:$FI$40,MATCH(ROW()-3,$VH$4:$VH$40,0)))</f>
      </c>
      <c r="VJ14" t="str">
        <f>IF(COUNTIF('Final Calculation Sheet'!$AL14:$BP14,0)+COUNTIF('Final Calculation Sheet'!$BR14:$BS14,0)&gt;0,0,1)</f>
      </c>
      <c r="VK14" t="str">
        <f>IF($FN$14="",FALSE,SUMPRODUCT(('Final Calculation Sheet'!$AF$4:$AF$40=$FN$14)*($VJ$4:$VJ$40=1))&gt;0)</f>
      </c>
      <c r="VL14" t="str">
        <f>=$VL13+--($VK14)</f>
      </c>
      <c r="VM14" t="str">
        <f>IF(ROW()-3&gt;MAX($VL$4:$VL$40),"",INDEX($FN$4:$FN$40,MATCH(ROW()-3,$VL$4:$VL$40,0)))</f>
      </c>
      <c r="VN14" t="str">
        <f>IF(COUNTIF('Final Calculation Sheet'!$AL14:$BQ14,0)+COUNTIF('Final Calculation Sheet'!$BS14:$BS14,0)&gt;0,0,1)</f>
      </c>
      <c r="VO14" t="str">
        <f>IF($FS$14="",FALSE,SUMPRODUCT(('Final Calculation Sheet'!$AG$4:$AG$40=$FS$14)*($VN$4:$VN$40=1))&gt;0)</f>
      </c>
      <c r="VP14" t="str">
        <f>=$VP13+--($VO14)</f>
      </c>
      <c r="VQ14" t="str">
        <f>IF(ROW()-3&gt;MAX($VP$4:$VP$40),"",INDEX($FS$4:$FS$40,MATCH(ROW()-3,$VP$4:$VP$40,0)))</f>
      </c>
      <c r="VR14" t="str">
        <f>IF(COUNTIF('Final Calculation Sheet'!$AL14:$BR14,0)&gt;0,0,1)</f>
      </c>
      <c r="VS14" t="str">
        <f>IF($QO$14="",FALSE,SUMPRODUCT(('Final Calculation Sheet'!$AH$4:$AH$40=$QO$14)*($VR$4:$VR$40=1))&gt;0)</f>
      </c>
      <c r="VT14" t="str">
        <f>=$VT13+--($VS14)</f>
      </c>
      <c r="VU14" t="str">
        <f>IF(ROW()-3&gt;MAX($VT$4:$VT$40),"",INDEX($QO$4:$QO$40,MATCH(ROW()-3,$VT$4:$VT$40,0)))</f>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IF(ROW()-3&gt;MAX($LC$4:$LC$40),"",INDEX($FS$4:$FS$40,MATCH(ROW()-3,$LC$4:$LC$40,0)))</f>
        <v/>
      </c>
      <c r="LE15">
        <f>IF(COUNTIF('Buyer Groups'!DH15:EN15,0)&gt;0,0,1)</f>
        <v/>
      </c>
      <c r="LF15">
        <f>IF($O$15="",FALSE,SUMPRODUCT(('Final Calculation Sheet'!$F$4:$F$40=$O$15)*($LE$6:$LE$42=1))&gt;0)</f>
        <v/>
      </c>
      <c r="LG15">
        <f>$LG$14+--($LF15)</f>
        <v/>
      </c>
      <c r="LH15">
        <f>IF(ROW()-3&gt;MAX($LG$4:$LG$40),"",INDEX($O$4:$O$40,MATCH(ROW()-3,$LG$4:$LG$40,0)))</f>
        <v/>
      </c>
      <c r="LI15">
        <f>IF(COUNTIF('Buyer Groups'!DG15:DG15,0)+COUNTIF('Buyer Groups'!DI15:EN15,0)&gt;0,0,1)</f>
        <v/>
      </c>
      <c r="LJ15">
        <f>IF($T$15="",FALSE,SUMPRODUCT(('Final Calculation Sheet'!$G$4:$G$40=$T$15)*($LI$6:$LI$42=1))&gt;0)</f>
        <v/>
      </c>
      <c r="LK15">
        <f>$LK$14+--($LJ15)</f>
        <v/>
      </c>
      <c r="LL15">
        <f>IF(ROW()-3&gt;MAX($LK$4:$LK$40),"",INDEX($T$4:$T$40,MATCH(ROW()-3,$LK$4:$LK$40,0)))</f>
        <v/>
      </c>
      <c r="LM15">
        <f>IF(COUNTIF('Buyer Groups'!DG15:DH15,0)+COUNTIF('Buyer Groups'!DJ15:EN15,0)&gt;0,0,1)</f>
        <v/>
      </c>
      <c r="LN15">
        <f>IF($Y$15="",FALSE,SUMPRODUCT(('Final Calculation Sheet'!$B$4:$B$40=$Y$15)*($LM$6:$LM$42=1))&gt;0)</f>
        <v/>
      </c>
      <c r="LO15">
        <f>$LO$14+--($LN15)</f>
        <v/>
      </c>
      <c r="LP15">
        <f>IF(ROW()-3&gt;MAX($LO$4:$LO$40),"",INDEX($Y$4:$Y$40,MATCH(ROW()-3,$LO$4:$LO$40,0)))</f>
        <v/>
      </c>
      <c r="LQ15">
        <f>IF(COUNTIF('Buyer Groups'!DG15:DI15,0)+COUNTIF('Buyer Groups'!DK15:EN15,0)&gt;0,0,1)</f>
        <v/>
      </c>
      <c r="LR15">
        <f>IF($AD$15="",FALSE,SUMPRODUCT(('Final Calculation Sheet'!$D$4:$D$40=$AD$15)*($LQ$6:$LQ$42=1))&gt;0)</f>
        <v/>
      </c>
      <c r="LS15">
        <f>$LS$14+--($LR15)</f>
        <v/>
      </c>
      <c r="LT15">
        <f>IF(ROW()-3&gt;MAX($LS$4:$LS$40),"",INDEX($AD$4:$AD$40,MATCH(ROW()-3,$LS$4:$LS$40,0)))</f>
        <v/>
      </c>
      <c r="LU15">
        <f>IF(COUNTIF('Buyer Groups'!DG15:DJ15,0)+COUNTIF('Buyer Groups'!DL15:EN15,0)&gt;0,0,1)</f>
        <v/>
      </c>
      <c r="LV15">
        <f>IF($AI$15="",FALSE,SUMPRODUCT(('Final Calculation Sheet'!$A$4:$A$40=$AI$15)*($LU$6:$LU$42=1))&gt;0)</f>
        <v/>
      </c>
      <c r="LW15">
        <f>$LW$14+--($LV15)</f>
        <v/>
      </c>
      <c r="LX15">
        <f>IF(ROW()-3&gt;MAX($LW$4:$LW$40),"",INDEX($AI$4:$AI$40,MATCH(ROW()-3,$LW$4:$LW$40,0)))</f>
        <v/>
      </c>
      <c r="LY15">
        <f>IF(COUNTIF('Buyer Groups'!DG15:DK15,0)+COUNTIF('Buyer Groups'!DM15:EN15,0)&gt;0,0,1)</f>
        <v/>
      </c>
      <c r="LZ15">
        <f>IF($AN$15="",FALSE,SUMPRODUCT(('Final Calculation Sheet'!$E$4:$E$40=$AN$15)*($LY$6:$LY$42=1))&gt;0)</f>
        <v/>
      </c>
      <c r="MA15">
        <f>$MA$14+--($LZ15)</f>
        <v/>
      </c>
      <c r="MB15">
        <f>IF(ROW()-3&gt;MAX($MA$4:$MA$40),"",INDEX($AN$4:$AN$40,MATCH(ROW()-3,$MA$4:$MA$40,0)))</f>
        <v/>
      </c>
      <c r="MC15">
        <f>IF(COUNTIF('Buyer Groups'!DG15:DL15,0)+COUNTIF('Buyer Groups'!DN15:EN15,0)&gt;0,0,1)</f>
        <v/>
      </c>
      <c r="MD15">
        <f>IF($AS$15="",FALSE,SUMPRODUCT(('Final Calculation Sheet'!$C$4:$C$40=$AS$15)*($MC$6:$MC$42=1))&gt;0)</f>
        <v/>
      </c>
      <c r="ME15">
        <f>$ME$14+--($MD15)</f>
        <v/>
      </c>
      <c r="MF15">
        <f>IF(ROW()-3&gt;MAX($ME$4:$ME$40),"",INDEX($AS$4:$AS$40,MATCH(ROW()-3,$ME$4:$ME$40,0)))</f>
        <v/>
      </c>
      <c r="MG15">
        <f>IF(COUNTIF('Buyer Groups'!DG15:DM15,0)+COUNTIF('Buyer Groups'!DO15:EN15,0)&gt;0,0,1)</f>
        <v/>
      </c>
      <c r="MH15">
        <f>IF($AX$15="",FALSE,SUMPRODUCT(('Final Calculation Sheet'!$H$4:$H$40=$AX$15)*($MG$6:$MG$42=1))&gt;0)</f>
        <v/>
      </c>
      <c r="MI15">
        <f>$MI$14+--($MH15)</f>
        <v/>
      </c>
      <c r="MJ15">
        <f>IF(ROW()-3&gt;MAX($MI$4:$MI$40),"",INDEX($AX$4:$AX$40,MATCH(ROW()-3,$MI$4:$MI$40,0)))</f>
        <v/>
      </c>
      <c r="MK15">
        <f>IF(COUNTIF('Buyer Groups'!DG15:DN15,0)+COUNTIF('Buyer Groups'!DP15:EN15,0)&gt;0,0,1)</f>
        <v/>
      </c>
      <c r="ML15">
        <f>IF($BC$15="",FALSE,SUMPRODUCT(('Final Calculation Sheet'!$I$4:$I$40=$BC$15)*($MK$6:$MK$42=1))&gt;0)</f>
        <v/>
      </c>
      <c r="MM15">
        <f>$MM$14+--($ML15)</f>
        <v/>
      </c>
      <c r="MN15">
        <f>IF(ROW()-3&gt;MAX($MM$4:$MM$40),"",INDEX($BC$4:$BC$40,MATCH(ROW()-3,$MM$4:$MM$40,0)))</f>
        <v/>
      </c>
      <c r="MO15">
        <f>IF(COUNTIF('Buyer Groups'!DG15:DO15,0)+COUNTIF('Buyer Groups'!DQ15:EN15,0)&gt;0,0,1)</f>
        <v/>
      </c>
      <c r="MP15">
        <f>IF($BH$15="",FALSE,SUMPRODUCT(('Final Calculation Sheet'!$J$4:$J$40=$BH$15)*($MO$6:$MO$42=1))&gt;0)</f>
        <v/>
      </c>
      <c r="MQ15">
        <f>$MQ$14+--($MP15)</f>
        <v/>
      </c>
      <c r="MR15">
        <f>IF(ROW()-3&gt;MAX($MQ$4:$MQ$40),"",INDEX($BH$4:$BH$40,MATCH(ROW()-3,$MQ$4:$MQ$40,0)))</f>
        <v/>
      </c>
      <c r="MS15">
        <f>IF(COUNTIF('Buyer Groups'!DG15:DP15,0)+COUNTIF('Buyer Groups'!DR15:EN15,0)&gt;0,0,1)</f>
        <v/>
      </c>
      <c r="MT15">
        <f>IF($BM$15="",FALSE,SUMPRODUCT(('Final Calculation Sheet'!$K$4:$K$40=$BM$15)*($MS$6:$MS$42=1))&gt;0)</f>
        <v/>
      </c>
      <c r="MU15">
        <f>$MU$14+--($MT15)</f>
        <v/>
      </c>
      <c r="MV15">
        <f>IF(ROW()-3&gt;MAX($MU$4:$MU$40),"",INDEX($BM$4:$BM$40,MATCH(ROW()-3,$MU$4:$MU$40,0)))</f>
        <v/>
      </c>
      <c r="MW15">
        <f>IF(COUNTIF('Buyer Groups'!DG15:DQ15,0)+COUNTIF('Buyer Groups'!DS15:EN15,0)&gt;0,0,1)</f>
        <v/>
      </c>
      <c r="MX15">
        <f>IF($BR$15="",FALSE,SUMPRODUCT(('Final Calculation Sheet'!$L$4:$L$40=$BR$15)*($MW$6:$MW$42=1))&gt;0)</f>
        <v/>
      </c>
      <c r="MY15">
        <f>$MY$14+--($MX15)</f>
        <v/>
      </c>
      <c r="MZ15">
        <f>IF(ROW()-3&gt;MAX($MY$4:$MY$40),"",INDEX($BR$4:$BR$40,MATCH(ROW()-3,$MY$4:$MY$40,0)))</f>
        <v/>
      </c>
      <c r="NA15">
        <f>IF(COUNTIF('Buyer Groups'!DG15:DR15,0)+COUNTIF('Buyer Groups'!DT15:EN15,0)&gt;0,0,1)</f>
        <v/>
      </c>
      <c r="NB15">
        <f>IF($BW$15="",FALSE,SUMPRODUCT(('Final Calculation Sheet'!$M$4:$M$40=$BW$15)*($NA$6:$NA$42=1))&gt;0)</f>
        <v/>
      </c>
      <c r="NC15">
        <f>$NC$14+--($NB15)</f>
        <v/>
      </c>
      <c r="ND15">
        <f>IF(ROW()-3&gt;MAX($NC$4:$NC$40),"",INDEX($BW$4:$BW$40,MATCH(ROW()-3,$NC$4:$NC$40,0)))</f>
        <v/>
      </c>
      <c r="NE15">
        <f>IF(COUNTIF('Buyer Groups'!DG15:DS15,0)+COUNTIF('Buyer Groups'!DU15:EN15,0)&gt;0,0,1)</f>
        <v/>
      </c>
      <c r="NF15">
        <f>IF($CB$15="",FALSE,SUMPRODUCT(('Final Calculation Sheet'!$N$4:$N$40=$CB$15)*($NE$6:$NE$42=1))&gt;0)</f>
        <v/>
      </c>
      <c r="NG15">
        <f>$NG$14+--($NF15)</f>
        <v/>
      </c>
      <c r="NH15">
        <f>IF(ROW()-3&gt;MAX($NG$4:$NG$40),"",INDEX($CB$4:$CB$40,MATCH(ROW()-3,$NG$4:$NG$40,0)))</f>
        <v/>
      </c>
      <c r="NI15">
        <f>IF(COUNTIF('Buyer Groups'!DG15:DT15,0)+COUNTIF('Buyer Groups'!DV15:EN15,0)&gt;0,0,1)</f>
        <v/>
      </c>
      <c r="NJ15">
        <f>IF($CG$15="",FALSE,SUMPRODUCT(('Final Calculation Sheet'!$O$4:$O$40=$CG$15)*($NI$6:$NI$42=1))&gt;0)</f>
        <v/>
      </c>
      <c r="NK15">
        <f>$NK$14+--($NJ15)</f>
        <v/>
      </c>
      <c r="NL15">
        <f>IF(ROW()-3&gt;MAX($NK$4:$NK$40),"",INDEX($CG$4:$CG$40,MATCH(ROW()-3,$NK$4:$NK$40,0)))</f>
        <v/>
      </c>
      <c r="NM15">
        <f>IF(COUNTIF('Buyer Groups'!DG15:DU15,0)+COUNTIF('Buyer Groups'!DW15:EN15,0)&gt;0,0,1)</f>
        <v/>
      </c>
      <c r="NN15">
        <f>IF($CL$15="",FALSE,SUMPRODUCT(('Final Calculation Sheet'!$P$4:$P$40=$CL$15)*($NM$6:$NM$42=1))&gt;0)</f>
        <v/>
      </c>
      <c r="NO15">
        <f>$NO$14+--($NN15)</f>
        <v/>
      </c>
      <c r="NP15">
        <f>IF(ROW()-3&gt;MAX($NO$4:$NO$40),"",INDEX($CL$4:$CL$40,MATCH(ROW()-3,$NO$4:$NO$40,0)))</f>
        <v/>
      </c>
      <c r="NQ15">
        <f>IF(COUNTIF('Buyer Groups'!DG15:DV15,0)+COUNTIF('Buyer Groups'!DX15:EN15,0)&gt;0,0,1)</f>
        <v/>
      </c>
      <c r="NR15">
        <f>IF($CQ$15="",FALSE,SUMPRODUCT(('Final Calculation Sheet'!$Q$4:$Q$40=$CQ$15)*($NQ$6:$NQ$42=1))&gt;0)</f>
        <v/>
      </c>
      <c r="NS15">
        <f>$NS$14+--($NR15)</f>
        <v/>
      </c>
      <c r="NT15">
        <f>IF(ROW()-3&gt;MAX($NS$4:$NS$40),"",INDEX($CQ$4:$CQ$40,MATCH(ROW()-3,$NS$4:$NS$40,0)))</f>
        <v/>
      </c>
      <c r="NU15">
        <f>IF(COUNTIF('Buyer Groups'!DG15:DW15,0)+COUNTIF('Buyer Groups'!DY15:EN15,0)&gt;0,0,1)</f>
        <v/>
      </c>
      <c r="NV15">
        <f>IF($CV$15="",FALSE,SUMPRODUCT(('Final Calculation Sheet'!$R$4:$R$40=$CV$15)*($NU$6:$NU$42=1))&gt;0)</f>
        <v/>
      </c>
      <c r="NW15">
        <f>$NW$14+--($NV15)</f>
        <v/>
      </c>
      <c r="NX15">
        <f>IF(ROW()-3&gt;MAX($NW$4:$NW$40),"",INDEX($CV$4:$CV$40,MATCH(ROW()-3,$NW$4:$NW$40,0)))</f>
        <v/>
      </c>
      <c r="NY15">
        <f>IF(COUNTIF('Buyer Groups'!DG15:DX15,0)+COUNTIF('Buyer Groups'!DZ15:EN15,0)&gt;0,0,1)</f>
        <v/>
      </c>
      <c r="NZ15">
        <f>IF($DA$15="",FALSE,SUMPRODUCT(('Final Calculation Sheet'!$S$4:$S$40=$DA$15)*($NY$6:$NY$42=1))&gt;0)</f>
        <v/>
      </c>
      <c r="OA15">
        <f>$OA$14+--($NZ15)</f>
        <v/>
      </c>
      <c r="OB15">
        <f>IF(ROW()-3&gt;MAX($OA$4:$OA$40),"",INDEX($DA$4:$DA$40,MATCH(ROW()-3,$OA$4:$OA$40,0)))</f>
        <v/>
      </c>
      <c r="OC15">
        <f>IF(COUNTIF('Buyer Groups'!DG15:DY15,0)+COUNTIF('Buyer Groups'!EA15:EN15,0)&gt;0,0,1)</f>
        <v/>
      </c>
      <c r="OD15">
        <f>IF($DF$15="",FALSE,SUMPRODUCT(('Final Calculation Sheet'!$T$4:$T$40=$DF$15)*($OC$6:$OC$42=1))&gt;0)</f>
        <v/>
      </c>
      <c r="OE15">
        <f>$OE$14+--($OD15)</f>
        <v/>
      </c>
      <c r="OF15">
        <f>IF(ROW()-3&gt;MAX($OE$4:$OE$40),"",INDEX($DF$4:$DF$40,MATCH(ROW()-3,$OE$4:$OE$40,0)))</f>
        <v/>
      </c>
      <c r="OG15">
        <f>IF(COUNTIF('Buyer Groups'!DG15:DZ15,0)+COUNTIF('Buyer Groups'!EB15:EN15,0)&gt;0,0,1)</f>
        <v/>
      </c>
      <c r="OH15">
        <f>IF($DK$15="",FALSE,SUMPRODUCT(('Final Calculation Sheet'!$U$4:$U$40=$DK$15)*($OG$6:$OG$42=1))&gt;0)</f>
        <v/>
      </c>
      <c r="OI15">
        <f>$OI$14+--($OH15)</f>
        <v/>
      </c>
      <c r="OJ15">
        <f>IF(ROW()-3&gt;MAX($OI$4:$OI$40),"",INDEX($DK$4:$DK$40,MATCH(ROW()-3,$OI$4:$OI$40,0)))</f>
        <v/>
      </c>
      <c r="OK15">
        <f>IF(COUNTIF('Buyer Groups'!DG15:EA15,0)+COUNTIF('Buyer Groups'!EC15:EN15,0)&gt;0,0,1)</f>
        <v/>
      </c>
      <c r="OL15">
        <f>IF($DP$15="",FALSE,SUMPRODUCT(('Final Calculation Sheet'!$V$4:$V$40=$DP$15)*($OK$6:$OK$42=1))&gt;0)</f>
        <v/>
      </c>
      <c r="OM15">
        <f>$OM$14+--($OL15)</f>
        <v/>
      </c>
      <c r="ON15">
        <f>IF(ROW()-3&gt;MAX($OM$4:$OM$40),"",INDEX($DP$4:$DP$40,MATCH(ROW()-3,$OM$4:$OM$40,0)))</f>
        <v/>
      </c>
      <c r="OO15">
        <f>IF(COUNTIF('Buyer Groups'!DG15:EB15,0)+COUNTIF('Buyer Groups'!ED15:EN15,0)&gt;0,0,1)</f>
        <v/>
      </c>
      <c r="OP15">
        <f>IF($DU$15="",FALSE,SUMPRODUCT(('Final Calculation Sheet'!$W$4:$W$40=$DU$15)*($OO$6:$OO$42=1))&gt;0)</f>
        <v/>
      </c>
      <c r="OQ15">
        <f>$OQ$14+--($OP15)</f>
        <v/>
      </c>
      <c r="OR15">
        <f>IF(ROW()-3&gt;MAX($OQ$4:$OQ$40),"",INDEX($DU$4:$DU$40,MATCH(ROW()-3,$OQ$4:$OQ$40,0)))</f>
        <v/>
      </c>
      <c r="OS15">
        <f>IF(COUNTIF('Buyer Groups'!DG15:EC15,0)+COUNTIF('Buyer Groups'!EE15:EN15,0)&gt;0,0,1)</f>
        <v/>
      </c>
      <c r="OT15">
        <f>IF($DZ$15="",FALSE,SUMPRODUCT(('Final Calculation Sheet'!$X$4:$X$40=$DZ$15)*($OS$6:$OS$42=1))&gt;0)</f>
        <v/>
      </c>
      <c r="OU15">
        <f>$OU$14+--($OT15)</f>
        <v/>
      </c>
      <c r="OV15">
        <f>IF(ROW()-3&gt;MAX($OU$4:$OU$40),"",INDEX($DZ$4:$DZ$40,MATCH(ROW()-3,$OU$4:$OU$40,0)))</f>
        <v/>
      </c>
      <c r="OW15">
        <f>IF(COUNTIF('Buyer Groups'!DG15:ED15,0)+COUNTIF('Buyer Groups'!EF15:EN15,0)&gt;0,0,1)</f>
        <v/>
      </c>
      <c r="OX15">
        <f>IF($EE$15="",FALSE,SUMPRODUCT(('Final Calculation Sheet'!$Y$4:$Y$40=$EE$15)*($OW$6:$OW$42=1))&gt;0)</f>
        <v/>
      </c>
      <c r="OY15">
        <f>$OY$14+--($OX15)</f>
        <v/>
      </c>
      <c r="OZ15">
        <f>IF(ROW()-3&gt;MAX($OY$4:$OY$40),"",INDEX($EE$4:$EE$40,MATCH(ROW()-3,$OY$4:$OY$40,0)))</f>
        <v/>
      </c>
      <c r="PA15">
        <f>IF(COUNTIF('Buyer Groups'!DG15:EE15,0)+COUNTIF('Buyer Groups'!EG15:EN15,0)&gt;0,0,1)</f>
        <v/>
      </c>
      <c r="PB15">
        <f>IF($EJ$15="",FALSE,SUMPRODUCT(('Final Calculation Sheet'!$Z$4:$Z$40=$EJ$15)*($PA$6:$PA$42=1))&gt;0)</f>
        <v/>
      </c>
      <c r="PC15">
        <f>$PC$14+--($PB15)</f>
        <v/>
      </c>
      <c r="PD15">
        <f>IF(ROW()-3&gt;MAX($PC$4:$PC$40),"",INDEX($EJ$4:$EJ$40,MATCH(ROW()-3,$PC$4:$PC$40,0)))</f>
        <v/>
      </c>
      <c r="PE15">
        <f>IF(COUNTIF('Buyer Groups'!DG15:EF15,0)+COUNTIF('Buyer Groups'!EH15:EN15,0)&gt;0,0,1)</f>
        <v/>
      </c>
      <c r="PF15">
        <f>IF($EO$15="",FALSE,SUMPRODUCT(('Final Calculation Sheet'!$AA$4:$AA$40=$EO$15)*($PE$6:$PE$42=1))&gt;0)</f>
        <v/>
      </c>
      <c r="PG15">
        <f>$PG$14+--($PF15)</f>
        <v/>
      </c>
      <c r="PH15">
        <f>IF(ROW()-3&gt;MAX($PG$4:$PG$40),"",INDEX($EO$4:$EO$40,MATCH(ROW()-3,$PG$4:$PG$40,0)))</f>
        <v/>
      </c>
      <c r="PI15">
        <f>IF(COUNTIF('Buyer Groups'!DG15:EG15,0)+COUNTIF('Buyer Groups'!EI15:EN15,0)&gt;0,0,1)</f>
        <v/>
      </c>
      <c r="PJ15">
        <f>IF($ET$15="",FALSE,SUMPRODUCT(('Final Calculation Sheet'!$AB$4:$AB$40=$ET$15)*($PI$6:$PI$42=1))&gt;0)</f>
        <v/>
      </c>
      <c r="PK15">
        <f>$PK$14+--($PJ15)</f>
        <v/>
      </c>
      <c r="PL15">
        <f>IF(ROW()-3&gt;MAX($PK$4:$PK$40),"",INDEX($ET$4:$ET$40,MATCH(ROW()-3,$PK$4:$PK$40,0)))</f>
        <v/>
      </c>
      <c r="PM15">
        <f>IF(COUNTIF('Buyer Groups'!DG15:EH15,0)+COUNTIF('Buyer Groups'!EJ15:EN15,0)&gt;0,0,1)</f>
        <v/>
      </c>
      <c r="PN15">
        <f>IF($EY$15="",FALSE,SUMPRODUCT(('Final Calculation Sheet'!$AC$4:$AC$40=$EY$15)*($PM$6:$PM$42=1))&gt;0)</f>
        <v/>
      </c>
      <c r="PO15">
        <f>$PO$14+--($PN15)</f>
        <v/>
      </c>
      <c r="PP15">
        <f>IF(ROW()-3&gt;MAX($PO$4:$PO$40),"",INDEX($EY$4:$EY$40,MATCH(ROW()-3,$PO$4:$PO$40,0)))</f>
        <v/>
      </c>
      <c r="PQ15">
        <f>IF(COUNTIF('Buyer Groups'!DG15:EI15,0)+COUNTIF('Buyer Groups'!EK15:EN15,0)&gt;0,0,1)</f>
        <v/>
      </c>
      <c r="PR15">
        <f>IF($FD$15="",FALSE,SUMPRODUCT(('Final Calculation Sheet'!$AD$4:$AD$40=$FD$15)*($PQ$6:$PQ$42=1))&gt;0)</f>
        <v/>
      </c>
      <c r="PS15">
        <f>$PS$14+--($PR15)</f>
        <v/>
      </c>
      <c r="PT15">
        <f>IF(ROW()-3&gt;MAX($PS$4:$PS$40),"",INDEX($FD$4:$FD$40,MATCH(ROW()-3,$PS$4:$PS$40,0)))</f>
        <v/>
      </c>
      <c r="PU15">
        <f>IF(COUNTIF('Buyer Groups'!DG15:EJ15,0)+COUNTIF('Buyer Groups'!EL15:EN15,0)&gt;0,0,1)</f>
        <v/>
      </c>
      <c r="PV15">
        <f>IF($FX$15="",FALSE,SUMPRODUCT((IF('Final Calculation Sheet'!$AD$4:$AD$40&lt;=5,"SETTLED","OUTSTANDING")=$FX$15)*($PU$6:$PU$42=1))&gt;0)</f>
        <v/>
      </c>
      <c r="PW15">
        <f>$PW$14+--($PV15)</f>
        <v/>
      </c>
      <c r="PX15">
        <f>IF(ROW()-3&gt;MAX($PW$4:$PW$40),"",INDEX($FX$4:$FX$40,MATCH(ROW()-3,$PW$4:$PW$40,0)))</f>
        <v/>
      </c>
      <c r="PY15">
        <f>IF(COUNTIF('Buyer Groups'!DG15:EK15,0)+COUNTIF('Buyer Groups'!EM15:EN15,0)&gt;0,0,1)</f>
        <v/>
      </c>
      <c r="PZ15">
        <f>IF($FI$15="",FALSE,SUMPRODUCT(('Final Calculation Sheet'!$AF$4:$AF$40=$FI$15)*($PY$6:$PY$42=1))&gt;0)</f>
        <v/>
      </c>
      <c r="QA15">
        <f>$QA$14+--($PZ15)</f>
        <v/>
      </c>
      <c r="QB15">
        <f>IF(ROW()-3&gt;MAX($QA$4:$QA$40),"",INDEX($FI$4:$FI$40,MATCH(ROW()-3,$QA$4:$QA$40,0)))</f>
        <v/>
      </c>
      <c r="QC15">
        <f>IF(COUNTIF('Buyer Groups'!DG15:EL15,0)+COUNTIF('Buyer Groups'!EN15:EN15,0)&gt;0,0,1)</f>
        <v/>
      </c>
      <c r="QD15">
        <f>IF($FN$15="",FALSE,SUMPRODUCT(('Final Calculation Sheet'!$AG$4:$AG$40=$FN$15)*($QC$6:$QC$42=1))&gt;0)</f>
        <v/>
      </c>
      <c r="QE15">
        <f>$QE$14+--($QD15)</f>
        <v/>
      </c>
      <c r="QF15">
        <f>IF(ROW()-3&gt;MAX($QE$4:$QE$40),"",INDEX($FN$4:$FN$40,MATCH(ROW()-3,$QE$4:$QE$40,0)))</f>
        <v/>
      </c>
      <c r="QG15">
        <f>IF(COUNTIF('Buyer Groups'!DG15:EM15,0)&gt;0,0,1)</f>
        <v/>
      </c>
      <c r="QH15">
        <f>IF($FS$15="",FALSE,SUMPRODUCT(('Final Calculation Sheet'!$AH$4:$AH$40=$FS$15)*($QG$6:$QG$42=1))&gt;0)</f>
        <v/>
      </c>
      <c r="QI15">
        <f>$QI$14+--($QH15)</f>
        <v/>
      </c>
      <c r="QJ15">
        <f>IF(ROW()-3&gt;MAX($QI$4:$QI$40),"",INDEX($FS$4:$FS$40,MATCH(ROW()-3,$QI$4:$QI$40,0)))</f>
        <v/>
      </c>
      <c r="QK15" t="str">
        <f>IF('Final Calculation Sheet'!$AH$15="","",'Final Calculation Sheet'!$AH$15)</f>
      </c>
      <c r="QL15" t="str">
        <f>IF(QK15="","",COUNTIFS(QK$4:QK$40,"&lt;"&amp;QK15,QK$4:QK$40,"&lt;&gt;"&amp;"")+COUNTIF(QK$4:QK15,QK15))</f>
      </c>
      <c r="QM15" t="str">
        <f>IF(ROW()-3&gt;COUNTIF(QK$4:QK$40,"&lt;&gt;"&amp;""),"",INDEX(QK$4:QK$40,MATCH(ROW()-3,QL$4:QL$40,0)))</f>
      </c>
      <c r="QN15" t="str">
        <f>=QN14+F(AND(QM15&lt;&gt;"",COUNTIF(QM$4:QM15,QM15)=1),1,0)</f>
      </c>
      <c r="QO15" t="str">
        <f>IF(ROW()-3&gt;MAX(QN$4:QN$40),"",INDEX(QM$4:QM$40,MATCH(ROW()-3,QN$4:QN$40,0)))</f>
      </c>
      <c r="QP15" t="str">
        <f>IF(COUNTIF('Final Calculation Sheet'!$AM15:$BS15,0)&gt;0,0,1)</f>
      </c>
      <c r="QQ15" t="str">
        <f>IF($AI$15="",FALSE,SUMPRODUCT(('Final Calculation Sheet'!$A$4:$A$40=$AI$15)*($QP$4:$QP$40=1))&gt;0)</f>
      </c>
      <c r="QR15" t="str">
        <f>=$QR14+--($QQ15)</f>
      </c>
      <c r="QS15" t="str">
        <f>IF(ROW()-3&gt;MAX($QR$4:$QR$40),"",INDEX($AI$4:$AI$40,MATCH(ROW()-3,$QR$4:$QR$40,0)))</f>
      </c>
      <c r="QT15" t="str">
        <f>IF(COUNTIF('Final Calculation Sheet'!$AL15:$AL15,0)+COUNTIF('Final Calculation Sheet'!$AN15:$BS15,0)&gt;0,0,1)</f>
      </c>
      <c r="QU15" t="str">
        <f>IF($Y$15="",FALSE,SUMPRODUCT(('Final Calculation Sheet'!$B$4:$B$40=$Y$15)*($QT$4:$QT$40=1))&gt;0)</f>
      </c>
      <c r="QV15" t="str">
        <f>=$QV14+--($QU15)</f>
      </c>
      <c r="QW15" t="str">
        <f>IF(ROW()-3&gt;MAX($QV$4:$QV$40),"",INDEX($Y$4:$Y$40,MATCH(ROW()-3,$QV$4:$QV$40,0)))</f>
      </c>
      <c r="QX15" t="str">
        <f>IF(COUNTIF('Final Calculation Sheet'!$AL15:$AM15,0)+COUNTIF('Final Calculation Sheet'!$AO15:$BS15,0)&gt;0,0,1)</f>
      </c>
      <c r="QY15" t="str">
        <f>IF($AS$15="",FALSE,SUMPRODUCT(('Final Calculation Sheet'!$C$4:$C$40=$AS$15)*($QX$4:$QX$40=1))&gt;0)</f>
      </c>
      <c r="QZ15" t="str">
        <f>=$QZ14+--($QY15)</f>
      </c>
      <c r="RA15" t="str">
        <f>IF(ROW()-3&gt;MAX($QZ$4:$QZ$40),"",INDEX($AS$4:$AS$40,MATCH(ROW()-3,$QZ$4:$QZ$40,0)))</f>
      </c>
      <c r="RB15" t="str">
        <f>IF(COUNTIF('Final Calculation Sheet'!$AL15:$AN15,0)+COUNTIF('Final Calculation Sheet'!$AP15:$BS15,0)&gt;0,0,1)</f>
      </c>
      <c r="RC15" t="str">
        <f>IF($AD$15="",FALSE,SUMPRODUCT(('Final Calculation Sheet'!$D$4:$D$40=$AD$15)*($RB$4:$RB$40=1))&gt;0)</f>
      </c>
      <c r="RD15" t="str">
        <f>=$RD14+--($RC15)</f>
      </c>
      <c r="RE15" t="str">
        <f>IF(ROW()-3&gt;MAX($RD$4:$RD$40),"",INDEX($AD$4:$AD$40,MATCH(ROW()-3,$RD$4:$RD$40,0)))</f>
      </c>
      <c r="RF15" t="str">
        <f>IF(COUNTIF('Final Calculation Sheet'!$AL15:$AO15,0)+COUNTIF('Final Calculation Sheet'!$AQ15:$BS15,0)&gt;0,0,1)</f>
      </c>
      <c r="RG15" t="str">
        <f>IF($AN$15="",FALSE,SUMPRODUCT(('Final Calculation Sheet'!$E$4:$E$40=$AN$15)*($RF$4:$RF$40=1))&gt;0)</f>
      </c>
      <c r="RH15" t="str">
        <f>=$RH14+--($RG15)</f>
      </c>
      <c r="RI15" t="str">
        <f>IF(ROW()-3&gt;MAX($RH$4:$RH$40),"",INDEX($AN$4:$AN$40,MATCH(ROW()-3,$RH$4:$RH$40,0)))</f>
      </c>
      <c r="RJ15" t="str">
        <f>IF(COUNTIF('Final Calculation Sheet'!$AL15:$AP15,0)+COUNTIF('Final Calculation Sheet'!$AR15:$BS15,0)&gt;0,0,1)</f>
      </c>
      <c r="RK15" t="str">
        <f>IF($O$15="",FALSE,SUMPRODUCT(('Final Calculation Sheet'!$F$4:$F$40=$O$15)*($RJ$4:$RJ$40=1))&gt;0)</f>
      </c>
      <c r="RL15" t="str">
        <f>=$RL14+--($RK15)</f>
      </c>
      <c r="RM15" t="str">
        <f>IF(ROW()-3&gt;MAX($RL$4:$RL$40),"",INDEX($O$4:$O$40,MATCH(ROW()-3,$RL$4:$RL$40,0)))</f>
      </c>
      <c r="RN15" t="str">
        <f>IF(COUNTIF('Final Calculation Sheet'!$AL15:$AQ15,0)+COUNTIF('Final Calculation Sheet'!$AS15:$BS15,0)&gt;0,0,1)</f>
      </c>
      <c r="RO15" t="str">
        <f>IF($T$15="",FALSE,SUMPRODUCT(('Final Calculation Sheet'!$G$4:$G$40=$T$15)*($RN$4:$RN$40=1))&gt;0)</f>
      </c>
      <c r="RP15" t="str">
        <f>=$RP14+--($RO15)</f>
      </c>
      <c r="RQ15" t="str">
        <f>IF(ROW()-3&gt;MAX($RP$4:$RP$40),"",INDEX($T$4:$T$40,MATCH(ROW()-3,$RP$4:$RP$40,0)))</f>
      </c>
      <c r="RR15" t="str">
        <f>IF(COUNTIF('Final Calculation Sheet'!$AL15:$AR15,0)+COUNTIF('Final Calculation Sheet'!$AT15:$BS15,0)&gt;0,0,1)</f>
      </c>
      <c r="RS15" t="str">
        <f>IF($AX$15="",FALSE,SUMPRODUCT(('Final Calculation Sheet'!$H$4:$H$40=$AX$15)*($RR$4:$RR$40=1))&gt;0)</f>
      </c>
      <c r="RT15" t="str">
        <f>=$RT14+--($RS15)</f>
      </c>
      <c r="RU15" t="str">
        <f>IF(ROW()-3&gt;MAX($RT$4:$RT$40),"",INDEX($AX$4:$AX$40,MATCH(ROW()-3,$RT$4:$RT$40,0)))</f>
      </c>
      <c r="RV15" t="str">
        <f>IF(COUNTIF('Final Calculation Sheet'!$AL15:$AS15,0)+COUNTIF('Final Calculation Sheet'!$AU15:$BS15,0)&gt;0,0,1)</f>
      </c>
      <c r="RW15" t="str">
        <f>IF($BC$15="",FALSE,SUMPRODUCT(('Final Calculation Sheet'!$I$4:$I$40=$BC$15)*($RV$4:$RV$40=1))&gt;0)</f>
      </c>
      <c r="RX15" t="str">
        <f>=$RX14+--($RW15)</f>
      </c>
      <c r="RY15" t="str">
        <f>IF(ROW()-3&gt;MAX($RX$4:$RX$40),"",INDEX($BC$4:$BC$40,MATCH(ROW()-3,$RX$4:$RX$40,0)))</f>
      </c>
      <c r="RZ15" t="str">
        <f>IF(COUNTIF('Final Calculation Sheet'!$AL15:$AT15,0)+COUNTIF('Final Calculation Sheet'!$AV15:$BS15,0)&gt;0,0,1)</f>
      </c>
      <c r="SA15" t="str">
        <f>IF($BH$15="",FALSE,SUMPRODUCT(('Final Calculation Sheet'!$J$4:$J$40=$BH$15)*($RZ$4:$RZ$40=1))&gt;0)</f>
      </c>
      <c r="SB15" t="str">
        <f>=$SB14+--($SA15)</f>
      </c>
      <c r="SC15" t="str">
        <f>IF(ROW()-3&gt;MAX($SB$4:$SB$40),"",INDEX($BH$4:$BH$40,MATCH(ROW()-3,$SB$4:$SB$40,0)))</f>
      </c>
      <c r="SD15" t="str">
        <f>IF(COUNTIF('Final Calculation Sheet'!$AL15:$AU15,0)+COUNTIF('Final Calculation Sheet'!$AW15:$BS15,0)&gt;0,0,1)</f>
      </c>
      <c r="SE15" t="str">
        <f>IF($BM$15="",FALSE,SUMPRODUCT(('Final Calculation Sheet'!$K$4:$K$40=$BM$15)*($SD$4:$SD$40=1))&gt;0)</f>
      </c>
      <c r="SF15" t="str">
        <f>=$SF14+--($SE15)</f>
      </c>
      <c r="SG15" t="str">
        <f>IF(ROW()-3&gt;MAX($SF$4:$SF$40),"",INDEX($BM$4:$BM$40,MATCH(ROW()-3,$SF$4:$SF$40,0)))</f>
      </c>
      <c r="SH15" t="str">
        <f>IF(COUNTIF('Final Calculation Sheet'!$AL15:$AV15,0)+COUNTIF('Final Calculation Sheet'!$AX15:$BS15,0)&gt;0,0,1)</f>
      </c>
      <c r="SI15" t="str">
        <f>IF($BR$15="",FALSE,SUMPRODUCT(('Final Calculation Sheet'!$L$4:$L$40=$BR$15)*($SH$4:$SH$40=1))&gt;0)</f>
      </c>
      <c r="SJ15" t="str">
        <f>=$SJ14+--($SI15)</f>
      </c>
      <c r="SK15" t="str">
        <f>IF(ROW()-3&gt;MAX($SJ$4:$SJ$40),"",INDEX($BR$4:$BR$40,MATCH(ROW()-3,$SJ$4:$SJ$40,0)))</f>
      </c>
      <c r="SL15" t="str">
        <f>IF(COUNTIF('Final Calculation Sheet'!$AL15:$AW15,0)+COUNTIF('Final Calculation Sheet'!$AY15:$BS15,0)&gt;0,0,1)</f>
      </c>
      <c r="SM15" t="str">
        <f>IF($BW$15="",FALSE,SUMPRODUCT(('Final Calculation Sheet'!$M$4:$M$40=$BW$15)*($SL$4:$SL$40=1))&gt;0)</f>
      </c>
      <c r="SN15" t="str">
        <f>=$SN14+--($SM15)</f>
      </c>
      <c r="SO15" t="str">
        <f>IF(ROW()-3&gt;MAX($SN$4:$SN$40),"",INDEX($BW$4:$BW$40,MATCH(ROW()-3,$SN$4:$SN$40,0)))</f>
      </c>
      <c r="SP15" t="str">
        <f>IF(COUNTIF('Final Calculation Sheet'!$AL15:$AX15,0)+COUNTIF('Final Calculation Sheet'!$AZ15:$BS15,0)&gt;0,0,1)</f>
      </c>
      <c r="SQ15" t="str">
        <f>IF($CB$15="",FALSE,SUMPRODUCT(('Final Calculation Sheet'!$N$4:$N$40=$CB$15)*($SP$4:$SP$40=1))&gt;0)</f>
      </c>
      <c r="SR15" t="str">
        <f>=$SR14+--($SQ15)</f>
      </c>
      <c r="SS15" t="str">
        <f>IF(ROW()-3&gt;MAX($SR$4:$SR$40),"",INDEX($CB$4:$CB$40,MATCH(ROW()-3,$SR$4:$SR$40,0)))</f>
      </c>
      <c r="ST15" t="str">
        <f>IF(COUNTIF('Final Calculation Sheet'!$AL15:$AY15,0)+COUNTIF('Final Calculation Sheet'!$BA15:$BS15,0)&gt;0,0,1)</f>
      </c>
      <c r="SU15" t="str">
        <f>IF($CG$15="",FALSE,SUMPRODUCT(('Final Calculation Sheet'!$O$4:$O$40=$CG$15)*($ST$4:$ST$40=1))&gt;0)</f>
      </c>
      <c r="SV15" t="str">
        <f>=$SV14+--($SU15)</f>
      </c>
      <c r="SW15" t="str">
        <f>IF(ROW()-3&gt;MAX($SV$4:$SV$40),"",INDEX($CG$4:$CG$40,MATCH(ROW()-3,$SV$4:$SV$40,0)))</f>
      </c>
      <c r="SX15" t="str">
        <f>IF(COUNTIF('Final Calculation Sheet'!$AL15:$AZ15,0)+COUNTIF('Final Calculation Sheet'!$BB15:$BS15,0)&gt;0,0,1)</f>
      </c>
      <c r="SY15" t="str">
        <f>IF($CL$15="",FALSE,SUMPRODUCT(('Final Calculation Sheet'!$P$4:$P$40=$CL$15)*($SX$4:$SX$40=1))&gt;0)</f>
      </c>
      <c r="SZ15" t="str">
        <f>=$SZ14+--($SY15)</f>
      </c>
      <c r="TA15" t="str">
        <f>IF(ROW()-3&gt;MAX($SZ$4:$SZ$40),"",INDEX($CL$4:$CL$40,MATCH(ROW()-3,$SZ$4:$SZ$40,0)))</f>
      </c>
      <c r="TB15" t="str">
        <f>IF(COUNTIF('Final Calculation Sheet'!$AL15:$BA15,0)+COUNTIF('Final Calculation Sheet'!$BC15:$BS15,0)&gt;0,0,1)</f>
      </c>
      <c r="TC15" t="str">
        <f>IF($CQ$15="",FALSE,SUMPRODUCT(('Final Calculation Sheet'!$Q$4:$Q$40=$CQ$15)*($TB$4:$TB$40=1))&gt;0)</f>
      </c>
      <c r="TD15" t="str">
        <f>=$TD14+--($TC15)</f>
      </c>
      <c r="TE15" t="str">
        <f>IF(ROW()-3&gt;MAX($TD$4:$TD$40),"",INDEX($CQ$4:$CQ$40,MATCH(ROW()-3,$TD$4:$TD$40,0)))</f>
      </c>
      <c r="TF15" t="str">
        <f>IF(COUNTIF('Final Calculation Sheet'!$AL15:$BB15,0)+COUNTIF('Final Calculation Sheet'!$BD15:$BS15,0)&gt;0,0,1)</f>
      </c>
      <c r="TG15" t="str">
        <f>IF($CV$15="",FALSE,SUMPRODUCT(('Final Calculation Sheet'!$R$4:$R$40=$CV$15)*($TF$4:$TF$40=1))&gt;0)</f>
      </c>
      <c r="TH15" t="str">
        <f>=$TH14+--($TG15)</f>
      </c>
      <c r="TI15" t="str">
        <f>IF(ROW()-3&gt;MAX($TH$4:$TH$40),"",INDEX($CV$4:$CV$40,MATCH(ROW()-3,$TH$4:$TH$40,0)))</f>
      </c>
      <c r="TJ15" t="str">
        <f>IF(COUNTIF('Final Calculation Sheet'!$AL15:$BC15,0)+COUNTIF('Final Calculation Sheet'!$BE15:$BS15,0)&gt;0,0,1)</f>
      </c>
      <c r="TK15" t="str">
        <f>IF($DA$15="",FALSE,SUMPRODUCT(('Final Calculation Sheet'!$S$4:$S$40=$DA$15)*($TJ$4:$TJ$40=1))&gt;0)</f>
      </c>
      <c r="TL15" t="str">
        <f>=$TL14+--($TK15)</f>
      </c>
      <c r="TM15" t="str">
        <f>IF(ROW()-3&gt;MAX($TL$4:$TL$40),"",INDEX($DA$4:$DA$40,MATCH(ROW()-3,$TL$4:$TL$40,0)))</f>
      </c>
      <c r="TN15" t="str">
        <f>IF(COUNTIF('Final Calculation Sheet'!$AL15:$BD15,0)+COUNTIF('Final Calculation Sheet'!$BF15:$BS15,0)&gt;0,0,1)</f>
      </c>
      <c r="TO15" t="str">
        <f>IF($DF$15="",FALSE,SUMPRODUCT(('Final Calculation Sheet'!$T$4:$T$40=$DF$15)*($TN$4:$TN$40=1))&gt;0)</f>
      </c>
      <c r="TP15" t="str">
        <f>=$TP14+--($TO15)</f>
      </c>
      <c r="TQ15" t="str">
        <f>IF(ROW()-3&gt;MAX($TP$4:$TP$40),"",INDEX($DF$4:$DF$40,MATCH(ROW()-3,$TP$4:$TP$40,0)))</f>
      </c>
      <c r="TR15" t="str">
        <f>IF(COUNTIF('Final Calculation Sheet'!$AL15:$BE15,0)+COUNTIF('Final Calculation Sheet'!$BG15:$BS15,0)&gt;0,0,1)</f>
      </c>
      <c r="TS15" t="str">
        <f>IF($DK$15="",FALSE,SUMPRODUCT(('Final Calculation Sheet'!$U$4:$U$40=$DK$15)*($TR$4:$TR$40=1))&gt;0)</f>
      </c>
      <c r="TT15" t="str">
        <f>=$TT14+--($TS15)</f>
      </c>
      <c r="TU15" t="str">
        <f>IF(ROW()-3&gt;MAX($TT$4:$TT$40),"",INDEX($DK$4:$DK$40,MATCH(ROW()-3,$TT$4:$TT$40,0)))</f>
      </c>
      <c r="TV15" t="str">
        <f>IF(COUNTIF('Final Calculation Sheet'!$AL15:$BF15,0)+COUNTIF('Final Calculation Sheet'!$BH15:$BS15,0)&gt;0,0,1)</f>
      </c>
      <c r="TW15" t="str">
        <f>IF($DP$15="",FALSE,SUMPRODUCT(('Final Calculation Sheet'!$V$4:$V$40=$DP$15)*($TV$4:$TV$40=1))&gt;0)</f>
      </c>
      <c r="TX15" t="str">
        <f>=$TX14+--($TW15)</f>
      </c>
      <c r="TY15" t="str">
        <f>IF(ROW()-3&gt;MAX($TX$4:$TX$40),"",INDEX($DP$4:$DP$40,MATCH(ROW()-3,$TX$4:$TX$40,0)))</f>
      </c>
      <c r="TZ15" t="str">
        <f>IF(COUNTIF('Final Calculation Sheet'!$AL15:$BG15,0)+COUNTIF('Final Calculation Sheet'!$BI15:$BS15,0)&gt;0,0,1)</f>
      </c>
      <c r="UA15" t="str">
        <f>IF($DU$15="",FALSE,SUMPRODUCT(('Final Calculation Sheet'!$W$4:$W$40=$DU$15)*($TZ$4:$TZ$40=1))&gt;0)</f>
      </c>
      <c r="UB15" t="str">
        <f>=$UB14+--($UA15)</f>
      </c>
      <c r="UC15" t="str">
        <f>IF(ROW()-3&gt;MAX($UB$4:$UB$40),"",INDEX($DU$4:$DU$40,MATCH(ROW()-3,$UB$4:$UB$40,0)))</f>
      </c>
      <c r="UD15" t="str">
        <f>IF(COUNTIF('Final Calculation Sheet'!$AL15:$BH15,0)+COUNTIF('Final Calculation Sheet'!$BJ15:$BS15,0)&gt;0,0,1)</f>
      </c>
      <c r="UE15" t="str">
        <f>IF($DZ$15="",FALSE,SUMPRODUCT(('Final Calculation Sheet'!$X$4:$X$40=$DZ$15)*($UD$4:$UD$40=1))&gt;0)</f>
      </c>
      <c r="UF15" t="str">
        <f>=$UF14+--($UE15)</f>
      </c>
      <c r="UG15" t="str">
        <f>IF(ROW()-3&gt;MAX($UF$4:$UF$40),"",INDEX($DZ$4:$DZ$40,MATCH(ROW()-3,$UF$4:$UF$40,0)))</f>
      </c>
      <c r="UH15" t="str">
        <f>IF(COUNTIF('Final Calculation Sheet'!$AL15:$BI15,0)+COUNTIF('Final Calculation Sheet'!$BK15:$BS15,0)&gt;0,0,1)</f>
      </c>
      <c r="UI15" t="str">
        <f>IF($EE$15="",FALSE,SUMPRODUCT(('Final Calculation Sheet'!$Y$4:$Y$40=$EE$15)*($UH$4:$UH$40=1))&gt;0)</f>
      </c>
      <c r="UJ15" t="str">
        <f>=$UJ14+--($UI15)</f>
      </c>
      <c r="UK15" t="str">
        <f>IF(ROW()-3&gt;MAX($UJ$4:$UJ$40),"",INDEX($EE$4:$EE$40,MATCH(ROW()-3,$UJ$4:$UJ$40,0)))</f>
      </c>
      <c r="UL15" t="str">
        <f>IF(COUNTIF('Final Calculation Sheet'!$AL15:$BJ15,0)+COUNTIF('Final Calculation Sheet'!$BL15:$BS15,0)&gt;0,0,1)</f>
      </c>
      <c r="UM15" t="str">
        <f>IF($EJ$15="",FALSE,SUMPRODUCT(('Final Calculation Sheet'!$Z$4:$Z$40=$EJ$15)*($UL$4:$UL$40=1))&gt;0)</f>
      </c>
      <c r="UN15" t="str">
        <f>=$UN14+--($UM15)</f>
      </c>
      <c r="UO15" t="str">
        <f>IF(ROW()-3&gt;MAX($UN$4:$UN$40),"",INDEX($EJ$4:$EJ$40,MATCH(ROW()-3,$UN$4:$UN$40,0)))</f>
      </c>
      <c r="UP15" t="str">
        <f>IF(COUNTIF('Final Calculation Sheet'!$AL15:$BK15,0)+COUNTIF('Final Calculation Sheet'!$BM15:$BS15,0)&gt;0,0,1)</f>
      </c>
      <c r="UQ15" t="str">
        <f>IF($EO$15="",FALSE,SUMPRODUCT(('Final Calculation Sheet'!$AA$4:$AA$40=$EO$15)*($UP$4:$UP$40=1))&gt;0)</f>
      </c>
      <c r="UR15" t="str">
        <f>=$UR14+--($UQ15)</f>
      </c>
      <c r="US15" t="str">
        <f>IF(ROW()-3&gt;MAX($UR$4:$UR$40),"",INDEX($EO$4:$EO$40,MATCH(ROW()-3,$UR$4:$UR$40,0)))</f>
      </c>
      <c r="UT15" t="str">
        <f>IF(COUNTIF('Final Calculation Sheet'!$AL15:$BL15,0)+COUNTIF('Final Calculation Sheet'!$BN15:$BS15,0)&gt;0,0,1)</f>
      </c>
      <c r="UU15" t="str">
        <f>IF($ET$15="",FALSE,SUMPRODUCT(('Final Calculation Sheet'!$AB$4:$AB$40=$ET$15)*($UT$4:$UT$40=1))&gt;0)</f>
      </c>
      <c r="UV15" t="str">
        <f>=$UV14+--($UU15)</f>
      </c>
      <c r="UW15" t="str">
        <f>IF(ROW()-3&gt;MAX($UV$4:$UV$40),"",INDEX($ET$4:$ET$40,MATCH(ROW()-3,$UV$4:$UV$40,0)))</f>
      </c>
      <c r="UX15" t="str">
        <f>IF(COUNTIF('Final Calculation Sheet'!$AL15:$BM15,0)+COUNTIF('Final Calculation Sheet'!$BO15:$BS15,0)&gt;0,0,1)</f>
      </c>
      <c r="UY15" t="str">
        <f>IF($EY$15="",FALSE,SUMPRODUCT(('Final Calculation Sheet'!$AC$4:$AC$40=$EY$15)*($UX$4:$UX$40=1))&gt;0)</f>
      </c>
      <c r="UZ15" t="str">
        <f>=$UZ14+--($UY15)</f>
      </c>
      <c r="VA15" t="str">
        <f>IF(ROW()-3&gt;MAX($UZ$4:$UZ$40),"",INDEX($EY$4:$EY$40,MATCH(ROW()-3,$UZ$4:$UZ$40,0)))</f>
      </c>
      <c r="VB15" t="str">
        <f>IF(COUNTIF('Final Calculation Sheet'!$AL15:$BN15,0)+COUNTIF('Final Calculation Sheet'!$BP15:$BS15,0)&gt;0,0,1)</f>
      </c>
      <c r="VC15" t="str">
        <f>IF($FD$15="",FALSE,SUMPRODUCT(('Final Calculation Sheet'!$AD$4:$AD$40=$FD$15)*($VB$4:$VB$40=1))&gt;0)</f>
      </c>
      <c r="VD15" t="str">
        <f>=$VD14+--($VC15)</f>
      </c>
      <c r="VE15" t="str">
        <f>IF(ROW()-3&gt;MAX($VD$4:$VD$40),"",INDEX($FD$4:$FD$40,MATCH(ROW()-3,$VD$4:$VD$40,0)))</f>
      </c>
      <c r="VF15" t="str">
        <f>IF(COUNTIF('Final Calculation Sheet'!$AL15:$BO15,0)+COUNTIF('Final Calculation Sheet'!$BQ15:$BS15,0)&gt;0,0,1)</f>
      </c>
      <c r="VG15" t="str">
        <f>IF($FI$15="",FALSE,SUMPRODUCT(('Final Calculation Sheet'!$AE$4:$AE$40=$FI$15)*($VF$4:$VF$40=1))&gt;0)</f>
      </c>
      <c r="VH15" t="str">
        <f>=$VH14+--($VG15)</f>
      </c>
      <c r="VI15" t="str">
        <f>IF(ROW()-3&gt;MAX($VH$4:$VH$40),"",INDEX($FI$4:$FI$40,MATCH(ROW()-3,$VH$4:$VH$40,0)))</f>
      </c>
      <c r="VJ15" t="str">
        <f>IF(COUNTIF('Final Calculation Sheet'!$AL15:$BP15,0)+COUNTIF('Final Calculation Sheet'!$BR15:$BS15,0)&gt;0,0,1)</f>
      </c>
      <c r="VK15" t="str">
        <f>IF($FN$15="",FALSE,SUMPRODUCT(('Final Calculation Sheet'!$AF$4:$AF$40=$FN$15)*($VJ$4:$VJ$40=1))&gt;0)</f>
      </c>
      <c r="VL15" t="str">
        <f>=$VL14+--($VK15)</f>
      </c>
      <c r="VM15" t="str">
        <f>IF(ROW()-3&gt;MAX($VL$4:$VL$40),"",INDEX($FN$4:$FN$40,MATCH(ROW()-3,$VL$4:$VL$40,0)))</f>
      </c>
      <c r="VN15" t="str">
        <f>IF(COUNTIF('Final Calculation Sheet'!$AL15:$BQ15,0)+COUNTIF('Final Calculation Sheet'!$BS15:$BS15,0)&gt;0,0,1)</f>
      </c>
      <c r="VO15" t="str">
        <f>IF($FS$15="",FALSE,SUMPRODUCT(('Final Calculation Sheet'!$AG$4:$AG$40=$FS$15)*($VN$4:$VN$40=1))&gt;0)</f>
      </c>
      <c r="VP15" t="str">
        <f>=$VP14+--($VO15)</f>
      </c>
      <c r="VQ15" t="str">
        <f>IF(ROW()-3&gt;MAX($VP$4:$VP$40),"",INDEX($FS$4:$FS$40,MATCH(ROW()-3,$VP$4:$VP$40,0)))</f>
      </c>
      <c r="VR15" t="str">
        <f>IF(COUNTIF('Final Calculation Sheet'!$AL15:$BR15,0)&gt;0,0,1)</f>
      </c>
      <c r="VS15" t="str">
        <f>IF($QO$15="",FALSE,SUMPRODUCT(('Final Calculation Sheet'!$AH$4:$AH$40=$QO$15)*($VR$4:$VR$40=1))&gt;0)</f>
      </c>
      <c r="VT15" t="str">
        <f>=$VT14+--($VS15)</f>
      </c>
      <c r="VU15" t="str">
        <f>IF(ROW()-3&gt;MAX($VT$4:$VT$40),"",INDEX($QO$4:$QO$40,MATCH(ROW()-3,$VT$4:$VT$40,0)))</f>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IF(ROW()-3&gt;MAX($LC$4:$LC$40),"",INDEX($FS$4:$FS$40,MATCH(ROW()-3,$LC$4:$LC$40,0)))</f>
        <v/>
      </c>
      <c r="LE16">
        <f>IF(COUNTIF('Buyer Groups'!DH16:EN16,0)&gt;0,0,1)</f>
        <v/>
      </c>
      <c r="LF16">
        <f>IF($O$16="",FALSE,SUMPRODUCT(('Final Calculation Sheet'!$F$4:$F$40=$O$16)*($LE$6:$LE$42=1))&gt;0)</f>
        <v/>
      </c>
      <c r="LG16">
        <f>$LG$15+--($LF16)</f>
        <v/>
      </c>
      <c r="LH16">
        <f>IF(ROW()-3&gt;MAX($LG$4:$LG$40),"",INDEX($O$4:$O$40,MATCH(ROW()-3,$LG$4:$LG$40,0)))</f>
        <v/>
      </c>
      <c r="LI16">
        <f>IF(COUNTIF('Buyer Groups'!DG16:DG16,0)+COUNTIF('Buyer Groups'!DI16:EN16,0)&gt;0,0,1)</f>
        <v/>
      </c>
      <c r="LJ16">
        <f>IF($T$16="",FALSE,SUMPRODUCT(('Final Calculation Sheet'!$G$4:$G$40=$T$16)*($LI$6:$LI$42=1))&gt;0)</f>
        <v/>
      </c>
      <c r="LK16">
        <f>$LK$15+--($LJ16)</f>
        <v/>
      </c>
      <c r="LL16">
        <f>IF(ROW()-3&gt;MAX($LK$4:$LK$40),"",INDEX($T$4:$T$40,MATCH(ROW()-3,$LK$4:$LK$40,0)))</f>
        <v/>
      </c>
      <c r="LM16">
        <f>IF(COUNTIF('Buyer Groups'!DG16:DH16,0)+COUNTIF('Buyer Groups'!DJ16:EN16,0)&gt;0,0,1)</f>
        <v/>
      </c>
      <c r="LN16">
        <f>IF($Y$16="",FALSE,SUMPRODUCT(('Final Calculation Sheet'!$B$4:$B$40=$Y$16)*($LM$6:$LM$42=1))&gt;0)</f>
        <v/>
      </c>
      <c r="LO16">
        <f>$LO$15+--($LN16)</f>
        <v/>
      </c>
      <c r="LP16">
        <f>IF(ROW()-3&gt;MAX($LO$4:$LO$40),"",INDEX($Y$4:$Y$40,MATCH(ROW()-3,$LO$4:$LO$40,0)))</f>
        <v/>
      </c>
      <c r="LQ16">
        <f>IF(COUNTIF('Buyer Groups'!DG16:DI16,0)+COUNTIF('Buyer Groups'!DK16:EN16,0)&gt;0,0,1)</f>
        <v/>
      </c>
      <c r="LR16">
        <f>IF($AD$16="",FALSE,SUMPRODUCT(('Final Calculation Sheet'!$D$4:$D$40=$AD$16)*($LQ$6:$LQ$42=1))&gt;0)</f>
        <v/>
      </c>
      <c r="LS16">
        <f>$LS$15+--($LR16)</f>
        <v/>
      </c>
      <c r="LT16">
        <f>IF(ROW()-3&gt;MAX($LS$4:$LS$40),"",INDEX($AD$4:$AD$40,MATCH(ROW()-3,$LS$4:$LS$40,0)))</f>
        <v/>
      </c>
      <c r="LU16">
        <f>IF(COUNTIF('Buyer Groups'!DG16:DJ16,0)+COUNTIF('Buyer Groups'!DL16:EN16,0)&gt;0,0,1)</f>
        <v/>
      </c>
      <c r="LV16">
        <f>IF($AI$16="",FALSE,SUMPRODUCT(('Final Calculation Sheet'!$A$4:$A$40=$AI$16)*($LU$6:$LU$42=1))&gt;0)</f>
        <v/>
      </c>
      <c r="LW16">
        <f>$LW$15+--($LV16)</f>
        <v/>
      </c>
      <c r="LX16">
        <f>IF(ROW()-3&gt;MAX($LW$4:$LW$40),"",INDEX($AI$4:$AI$40,MATCH(ROW()-3,$LW$4:$LW$40,0)))</f>
        <v/>
      </c>
      <c r="LY16">
        <f>IF(COUNTIF('Buyer Groups'!DG16:DK16,0)+COUNTIF('Buyer Groups'!DM16:EN16,0)&gt;0,0,1)</f>
        <v/>
      </c>
      <c r="LZ16">
        <f>IF($AN$16="",FALSE,SUMPRODUCT(('Final Calculation Sheet'!$E$4:$E$40=$AN$16)*($LY$6:$LY$42=1))&gt;0)</f>
        <v/>
      </c>
      <c r="MA16">
        <f>$MA$15+--($LZ16)</f>
        <v/>
      </c>
      <c r="MB16">
        <f>IF(ROW()-3&gt;MAX($MA$4:$MA$40),"",INDEX($AN$4:$AN$40,MATCH(ROW()-3,$MA$4:$MA$40,0)))</f>
        <v/>
      </c>
      <c r="MC16">
        <f>IF(COUNTIF('Buyer Groups'!DG16:DL16,0)+COUNTIF('Buyer Groups'!DN16:EN16,0)&gt;0,0,1)</f>
        <v/>
      </c>
      <c r="MD16">
        <f>IF($AS$16="",FALSE,SUMPRODUCT(('Final Calculation Sheet'!$C$4:$C$40=$AS$16)*($MC$6:$MC$42=1))&gt;0)</f>
        <v/>
      </c>
      <c r="ME16">
        <f>$ME$15+--($MD16)</f>
        <v/>
      </c>
      <c r="MF16">
        <f>IF(ROW()-3&gt;MAX($ME$4:$ME$40),"",INDEX($AS$4:$AS$40,MATCH(ROW()-3,$ME$4:$ME$40,0)))</f>
        <v/>
      </c>
      <c r="MG16">
        <f>IF(COUNTIF('Buyer Groups'!DG16:DM16,0)+COUNTIF('Buyer Groups'!DO16:EN16,0)&gt;0,0,1)</f>
        <v/>
      </c>
      <c r="MH16">
        <f>IF($AX$16="",FALSE,SUMPRODUCT(('Final Calculation Sheet'!$H$4:$H$40=$AX$16)*($MG$6:$MG$42=1))&gt;0)</f>
        <v/>
      </c>
      <c r="MI16">
        <f>$MI$15+--($MH16)</f>
        <v/>
      </c>
      <c r="MJ16">
        <f>IF(ROW()-3&gt;MAX($MI$4:$MI$40),"",INDEX($AX$4:$AX$40,MATCH(ROW()-3,$MI$4:$MI$40,0)))</f>
        <v/>
      </c>
      <c r="MK16">
        <f>IF(COUNTIF('Buyer Groups'!DG16:DN16,0)+COUNTIF('Buyer Groups'!DP16:EN16,0)&gt;0,0,1)</f>
        <v/>
      </c>
      <c r="ML16">
        <f>IF($BC$16="",FALSE,SUMPRODUCT(('Final Calculation Sheet'!$I$4:$I$40=$BC$16)*($MK$6:$MK$42=1))&gt;0)</f>
        <v/>
      </c>
      <c r="MM16">
        <f>$MM$15+--($ML16)</f>
        <v/>
      </c>
      <c r="MN16">
        <f>IF(ROW()-3&gt;MAX($MM$4:$MM$40),"",INDEX($BC$4:$BC$40,MATCH(ROW()-3,$MM$4:$MM$40,0)))</f>
        <v/>
      </c>
      <c r="MO16">
        <f>IF(COUNTIF('Buyer Groups'!DG16:DO16,0)+COUNTIF('Buyer Groups'!DQ16:EN16,0)&gt;0,0,1)</f>
        <v/>
      </c>
      <c r="MP16">
        <f>IF($BH$16="",FALSE,SUMPRODUCT(('Final Calculation Sheet'!$J$4:$J$40=$BH$16)*($MO$6:$MO$42=1))&gt;0)</f>
        <v/>
      </c>
      <c r="MQ16">
        <f>$MQ$15+--($MP16)</f>
        <v/>
      </c>
      <c r="MR16">
        <f>IF(ROW()-3&gt;MAX($MQ$4:$MQ$40),"",INDEX($BH$4:$BH$40,MATCH(ROW()-3,$MQ$4:$MQ$40,0)))</f>
        <v/>
      </c>
      <c r="MS16">
        <f>IF(COUNTIF('Buyer Groups'!DG16:DP16,0)+COUNTIF('Buyer Groups'!DR16:EN16,0)&gt;0,0,1)</f>
        <v/>
      </c>
      <c r="MT16">
        <f>IF($BM$16="",FALSE,SUMPRODUCT(('Final Calculation Sheet'!$K$4:$K$40=$BM$16)*($MS$6:$MS$42=1))&gt;0)</f>
        <v/>
      </c>
      <c r="MU16">
        <f>$MU$15+--($MT16)</f>
        <v/>
      </c>
      <c r="MV16">
        <f>IF(ROW()-3&gt;MAX($MU$4:$MU$40),"",INDEX($BM$4:$BM$40,MATCH(ROW()-3,$MU$4:$MU$40,0)))</f>
        <v/>
      </c>
      <c r="MW16">
        <f>IF(COUNTIF('Buyer Groups'!DG16:DQ16,0)+COUNTIF('Buyer Groups'!DS16:EN16,0)&gt;0,0,1)</f>
        <v/>
      </c>
      <c r="MX16">
        <f>IF($BR$16="",FALSE,SUMPRODUCT(('Final Calculation Sheet'!$L$4:$L$40=$BR$16)*($MW$6:$MW$42=1))&gt;0)</f>
        <v/>
      </c>
      <c r="MY16">
        <f>$MY$15+--($MX16)</f>
        <v/>
      </c>
      <c r="MZ16">
        <f>IF(ROW()-3&gt;MAX($MY$4:$MY$40),"",INDEX($BR$4:$BR$40,MATCH(ROW()-3,$MY$4:$MY$40,0)))</f>
        <v/>
      </c>
      <c r="NA16">
        <f>IF(COUNTIF('Buyer Groups'!DG16:DR16,0)+COUNTIF('Buyer Groups'!DT16:EN16,0)&gt;0,0,1)</f>
        <v/>
      </c>
      <c r="NB16">
        <f>IF($BW$16="",FALSE,SUMPRODUCT(('Final Calculation Sheet'!$M$4:$M$40=$BW$16)*($NA$6:$NA$42=1))&gt;0)</f>
        <v/>
      </c>
      <c r="NC16">
        <f>$NC$15+--($NB16)</f>
        <v/>
      </c>
      <c r="ND16">
        <f>IF(ROW()-3&gt;MAX($NC$4:$NC$40),"",INDEX($BW$4:$BW$40,MATCH(ROW()-3,$NC$4:$NC$40,0)))</f>
        <v/>
      </c>
      <c r="NE16">
        <f>IF(COUNTIF('Buyer Groups'!DG16:DS16,0)+COUNTIF('Buyer Groups'!DU16:EN16,0)&gt;0,0,1)</f>
        <v/>
      </c>
      <c r="NF16">
        <f>IF($CB$16="",FALSE,SUMPRODUCT(('Final Calculation Sheet'!$N$4:$N$40=$CB$16)*($NE$6:$NE$42=1))&gt;0)</f>
        <v/>
      </c>
      <c r="NG16">
        <f>$NG$15+--($NF16)</f>
        <v/>
      </c>
      <c r="NH16">
        <f>IF(ROW()-3&gt;MAX($NG$4:$NG$40),"",INDEX($CB$4:$CB$40,MATCH(ROW()-3,$NG$4:$NG$40,0)))</f>
        <v/>
      </c>
      <c r="NI16">
        <f>IF(COUNTIF('Buyer Groups'!DG16:DT16,0)+COUNTIF('Buyer Groups'!DV16:EN16,0)&gt;0,0,1)</f>
        <v/>
      </c>
      <c r="NJ16">
        <f>IF($CG$16="",FALSE,SUMPRODUCT(('Final Calculation Sheet'!$O$4:$O$40=$CG$16)*($NI$6:$NI$42=1))&gt;0)</f>
        <v/>
      </c>
      <c r="NK16">
        <f>$NK$15+--($NJ16)</f>
        <v/>
      </c>
      <c r="NL16">
        <f>IF(ROW()-3&gt;MAX($NK$4:$NK$40),"",INDEX($CG$4:$CG$40,MATCH(ROW()-3,$NK$4:$NK$40,0)))</f>
        <v/>
      </c>
      <c r="NM16">
        <f>IF(COUNTIF('Buyer Groups'!DG16:DU16,0)+COUNTIF('Buyer Groups'!DW16:EN16,0)&gt;0,0,1)</f>
        <v/>
      </c>
      <c r="NN16">
        <f>IF($CL$16="",FALSE,SUMPRODUCT(('Final Calculation Sheet'!$P$4:$P$40=$CL$16)*($NM$6:$NM$42=1))&gt;0)</f>
        <v/>
      </c>
      <c r="NO16">
        <f>$NO$15+--($NN16)</f>
        <v/>
      </c>
      <c r="NP16">
        <f>IF(ROW()-3&gt;MAX($NO$4:$NO$40),"",INDEX($CL$4:$CL$40,MATCH(ROW()-3,$NO$4:$NO$40,0)))</f>
        <v/>
      </c>
      <c r="NQ16">
        <f>IF(COUNTIF('Buyer Groups'!DG16:DV16,0)+COUNTIF('Buyer Groups'!DX16:EN16,0)&gt;0,0,1)</f>
        <v/>
      </c>
      <c r="NR16">
        <f>IF($CQ$16="",FALSE,SUMPRODUCT(('Final Calculation Sheet'!$Q$4:$Q$40=$CQ$16)*($NQ$6:$NQ$42=1))&gt;0)</f>
        <v/>
      </c>
      <c r="NS16">
        <f>$NS$15+--($NR16)</f>
        <v/>
      </c>
      <c r="NT16">
        <f>IF(ROW()-3&gt;MAX($NS$4:$NS$40),"",INDEX($CQ$4:$CQ$40,MATCH(ROW()-3,$NS$4:$NS$40,0)))</f>
        <v/>
      </c>
      <c r="NU16">
        <f>IF(COUNTIF('Buyer Groups'!DG16:DW16,0)+COUNTIF('Buyer Groups'!DY16:EN16,0)&gt;0,0,1)</f>
        <v/>
      </c>
      <c r="NV16">
        <f>IF($CV$16="",FALSE,SUMPRODUCT(('Final Calculation Sheet'!$R$4:$R$40=$CV$16)*($NU$6:$NU$42=1))&gt;0)</f>
        <v/>
      </c>
      <c r="NW16">
        <f>$NW$15+--($NV16)</f>
        <v/>
      </c>
      <c r="NX16">
        <f>IF(ROW()-3&gt;MAX($NW$4:$NW$40),"",INDEX($CV$4:$CV$40,MATCH(ROW()-3,$NW$4:$NW$40,0)))</f>
        <v/>
      </c>
      <c r="NY16">
        <f>IF(COUNTIF('Buyer Groups'!DG16:DX16,0)+COUNTIF('Buyer Groups'!DZ16:EN16,0)&gt;0,0,1)</f>
        <v/>
      </c>
      <c r="NZ16">
        <f>IF($DA$16="",FALSE,SUMPRODUCT(('Final Calculation Sheet'!$S$4:$S$40=$DA$16)*($NY$6:$NY$42=1))&gt;0)</f>
        <v/>
      </c>
      <c r="OA16">
        <f>$OA$15+--($NZ16)</f>
        <v/>
      </c>
      <c r="OB16">
        <f>IF(ROW()-3&gt;MAX($OA$4:$OA$40),"",INDEX($DA$4:$DA$40,MATCH(ROW()-3,$OA$4:$OA$40,0)))</f>
        <v/>
      </c>
      <c r="OC16">
        <f>IF(COUNTIF('Buyer Groups'!DG16:DY16,0)+COUNTIF('Buyer Groups'!EA16:EN16,0)&gt;0,0,1)</f>
        <v/>
      </c>
      <c r="OD16">
        <f>IF($DF$16="",FALSE,SUMPRODUCT(('Final Calculation Sheet'!$T$4:$T$40=$DF$16)*($OC$6:$OC$42=1))&gt;0)</f>
        <v/>
      </c>
      <c r="OE16">
        <f>$OE$15+--($OD16)</f>
        <v/>
      </c>
      <c r="OF16">
        <f>IF(ROW()-3&gt;MAX($OE$4:$OE$40),"",INDEX($DF$4:$DF$40,MATCH(ROW()-3,$OE$4:$OE$40,0)))</f>
        <v/>
      </c>
      <c r="OG16">
        <f>IF(COUNTIF('Buyer Groups'!DG16:DZ16,0)+COUNTIF('Buyer Groups'!EB16:EN16,0)&gt;0,0,1)</f>
        <v/>
      </c>
      <c r="OH16">
        <f>IF($DK$16="",FALSE,SUMPRODUCT(('Final Calculation Sheet'!$U$4:$U$40=$DK$16)*($OG$6:$OG$42=1))&gt;0)</f>
        <v/>
      </c>
      <c r="OI16">
        <f>$OI$15+--($OH16)</f>
        <v/>
      </c>
      <c r="OJ16">
        <f>IF(ROW()-3&gt;MAX($OI$4:$OI$40),"",INDEX($DK$4:$DK$40,MATCH(ROW()-3,$OI$4:$OI$40,0)))</f>
        <v/>
      </c>
      <c r="OK16">
        <f>IF(COUNTIF('Buyer Groups'!DG16:EA16,0)+COUNTIF('Buyer Groups'!EC16:EN16,0)&gt;0,0,1)</f>
        <v/>
      </c>
      <c r="OL16">
        <f>IF($DP$16="",FALSE,SUMPRODUCT(('Final Calculation Sheet'!$V$4:$V$40=$DP$16)*($OK$6:$OK$42=1))&gt;0)</f>
        <v/>
      </c>
      <c r="OM16">
        <f>$OM$15+--($OL16)</f>
        <v/>
      </c>
      <c r="ON16">
        <f>IF(ROW()-3&gt;MAX($OM$4:$OM$40),"",INDEX($DP$4:$DP$40,MATCH(ROW()-3,$OM$4:$OM$40,0)))</f>
        <v/>
      </c>
      <c r="OO16">
        <f>IF(COUNTIF('Buyer Groups'!DG16:EB16,0)+COUNTIF('Buyer Groups'!ED16:EN16,0)&gt;0,0,1)</f>
        <v/>
      </c>
      <c r="OP16">
        <f>IF($DU$16="",FALSE,SUMPRODUCT(('Final Calculation Sheet'!$W$4:$W$40=$DU$16)*($OO$6:$OO$42=1))&gt;0)</f>
        <v/>
      </c>
      <c r="OQ16">
        <f>$OQ$15+--($OP16)</f>
        <v/>
      </c>
      <c r="OR16">
        <f>IF(ROW()-3&gt;MAX($OQ$4:$OQ$40),"",INDEX($DU$4:$DU$40,MATCH(ROW()-3,$OQ$4:$OQ$40,0)))</f>
        <v/>
      </c>
      <c r="OS16">
        <f>IF(COUNTIF('Buyer Groups'!DG16:EC16,0)+COUNTIF('Buyer Groups'!EE16:EN16,0)&gt;0,0,1)</f>
        <v/>
      </c>
      <c r="OT16">
        <f>IF($DZ$16="",FALSE,SUMPRODUCT(('Final Calculation Sheet'!$X$4:$X$40=$DZ$16)*($OS$6:$OS$42=1))&gt;0)</f>
        <v/>
      </c>
      <c r="OU16">
        <f>$OU$15+--($OT16)</f>
        <v/>
      </c>
      <c r="OV16">
        <f>IF(ROW()-3&gt;MAX($OU$4:$OU$40),"",INDEX($DZ$4:$DZ$40,MATCH(ROW()-3,$OU$4:$OU$40,0)))</f>
        <v/>
      </c>
      <c r="OW16">
        <f>IF(COUNTIF('Buyer Groups'!DG16:ED16,0)+COUNTIF('Buyer Groups'!EF16:EN16,0)&gt;0,0,1)</f>
        <v/>
      </c>
      <c r="OX16">
        <f>IF($EE$16="",FALSE,SUMPRODUCT(('Final Calculation Sheet'!$Y$4:$Y$40=$EE$16)*($OW$6:$OW$42=1))&gt;0)</f>
        <v/>
      </c>
      <c r="OY16">
        <f>$OY$15+--($OX16)</f>
        <v/>
      </c>
      <c r="OZ16">
        <f>IF(ROW()-3&gt;MAX($OY$4:$OY$40),"",INDEX($EE$4:$EE$40,MATCH(ROW()-3,$OY$4:$OY$40,0)))</f>
        <v/>
      </c>
      <c r="PA16">
        <f>IF(COUNTIF('Buyer Groups'!DG16:EE16,0)+COUNTIF('Buyer Groups'!EG16:EN16,0)&gt;0,0,1)</f>
        <v/>
      </c>
      <c r="PB16">
        <f>IF($EJ$16="",FALSE,SUMPRODUCT(('Final Calculation Sheet'!$Z$4:$Z$40=$EJ$16)*($PA$6:$PA$42=1))&gt;0)</f>
        <v/>
      </c>
      <c r="PC16">
        <f>$PC$15+--($PB16)</f>
        <v/>
      </c>
      <c r="PD16">
        <f>IF(ROW()-3&gt;MAX($PC$4:$PC$40),"",INDEX($EJ$4:$EJ$40,MATCH(ROW()-3,$PC$4:$PC$40,0)))</f>
        <v/>
      </c>
      <c r="PE16">
        <f>IF(COUNTIF('Buyer Groups'!DG16:EF16,0)+COUNTIF('Buyer Groups'!EH16:EN16,0)&gt;0,0,1)</f>
        <v/>
      </c>
      <c r="PF16">
        <f>IF($EO$16="",FALSE,SUMPRODUCT(('Final Calculation Sheet'!$AA$4:$AA$40=$EO$16)*($PE$6:$PE$42=1))&gt;0)</f>
        <v/>
      </c>
      <c r="PG16">
        <f>$PG$15+--($PF16)</f>
        <v/>
      </c>
      <c r="PH16">
        <f>IF(ROW()-3&gt;MAX($PG$4:$PG$40),"",INDEX($EO$4:$EO$40,MATCH(ROW()-3,$PG$4:$PG$40,0)))</f>
        <v/>
      </c>
      <c r="PI16">
        <f>IF(COUNTIF('Buyer Groups'!DG16:EG16,0)+COUNTIF('Buyer Groups'!EI16:EN16,0)&gt;0,0,1)</f>
        <v/>
      </c>
      <c r="PJ16">
        <f>IF($ET$16="",FALSE,SUMPRODUCT(('Final Calculation Sheet'!$AB$4:$AB$40=$ET$16)*($PI$6:$PI$42=1))&gt;0)</f>
        <v/>
      </c>
      <c r="PK16">
        <f>$PK$15+--($PJ16)</f>
        <v/>
      </c>
      <c r="PL16">
        <f>IF(ROW()-3&gt;MAX($PK$4:$PK$40),"",INDEX($ET$4:$ET$40,MATCH(ROW()-3,$PK$4:$PK$40,0)))</f>
        <v/>
      </c>
      <c r="PM16">
        <f>IF(COUNTIF('Buyer Groups'!DG16:EH16,0)+COUNTIF('Buyer Groups'!EJ16:EN16,0)&gt;0,0,1)</f>
        <v/>
      </c>
      <c r="PN16">
        <f>IF($EY$16="",FALSE,SUMPRODUCT(('Final Calculation Sheet'!$AC$4:$AC$40=$EY$16)*($PM$6:$PM$42=1))&gt;0)</f>
        <v/>
      </c>
      <c r="PO16">
        <f>$PO$15+--($PN16)</f>
        <v/>
      </c>
      <c r="PP16">
        <f>IF(ROW()-3&gt;MAX($PO$4:$PO$40),"",INDEX($EY$4:$EY$40,MATCH(ROW()-3,$PO$4:$PO$40,0)))</f>
        <v/>
      </c>
      <c r="PQ16">
        <f>IF(COUNTIF('Buyer Groups'!DG16:EI16,0)+COUNTIF('Buyer Groups'!EK16:EN16,0)&gt;0,0,1)</f>
        <v/>
      </c>
      <c r="PR16">
        <f>IF($FD$16="",FALSE,SUMPRODUCT(('Final Calculation Sheet'!$AD$4:$AD$40=$FD$16)*($PQ$6:$PQ$42=1))&gt;0)</f>
        <v/>
      </c>
      <c r="PS16">
        <f>$PS$15+--($PR16)</f>
        <v/>
      </c>
      <c r="PT16">
        <f>IF(ROW()-3&gt;MAX($PS$4:$PS$40),"",INDEX($FD$4:$FD$40,MATCH(ROW()-3,$PS$4:$PS$40,0)))</f>
        <v/>
      </c>
      <c r="PU16">
        <f>IF(COUNTIF('Buyer Groups'!DG16:EJ16,0)+COUNTIF('Buyer Groups'!EL16:EN16,0)&gt;0,0,1)</f>
        <v/>
      </c>
      <c r="PV16">
        <f>IF($FX$16="",FALSE,SUMPRODUCT((IF('Final Calculation Sheet'!$AD$4:$AD$40&lt;=5,"SETTLED","OUTSTANDING")=$FX$16)*($PU$6:$PU$42=1))&gt;0)</f>
        <v/>
      </c>
      <c r="PW16">
        <f>$PW$15+--($PV16)</f>
        <v/>
      </c>
      <c r="PX16">
        <f>IF(ROW()-3&gt;MAX($PW$4:$PW$40),"",INDEX($FX$4:$FX$40,MATCH(ROW()-3,$PW$4:$PW$40,0)))</f>
        <v/>
      </c>
      <c r="PY16">
        <f>IF(COUNTIF('Buyer Groups'!DG16:EK16,0)+COUNTIF('Buyer Groups'!EM16:EN16,0)&gt;0,0,1)</f>
        <v/>
      </c>
      <c r="PZ16">
        <f>IF($FI$16="",FALSE,SUMPRODUCT(('Final Calculation Sheet'!$AF$4:$AF$40=$FI$16)*($PY$6:$PY$42=1))&gt;0)</f>
        <v/>
      </c>
      <c r="QA16">
        <f>$QA$15+--($PZ16)</f>
        <v/>
      </c>
      <c r="QB16">
        <f>IF(ROW()-3&gt;MAX($QA$4:$QA$40),"",INDEX($FI$4:$FI$40,MATCH(ROW()-3,$QA$4:$QA$40,0)))</f>
        <v/>
      </c>
      <c r="QC16">
        <f>IF(COUNTIF('Buyer Groups'!DG16:EL16,0)+COUNTIF('Buyer Groups'!EN16:EN16,0)&gt;0,0,1)</f>
        <v/>
      </c>
      <c r="QD16">
        <f>IF($FN$16="",FALSE,SUMPRODUCT(('Final Calculation Sheet'!$AG$4:$AG$40=$FN$16)*($QC$6:$QC$42=1))&gt;0)</f>
        <v/>
      </c>
      <c r="QE16">
        <f>$QE$15+--($QD16)</f>
        <v/>
      </c>
      <c r="QF16">
        <f>IF(ROW()-3&gt;MAX($QE$4:$QE$40),"",INDEX($FN$4:$FN$40,MATCH(ROW()-3,$QE$4:$QE$40,0)))</f>
        <v/>
      </c>
      <c r="QG16">
        <f>IF(COUNTIF('Buyer Groups'!DG16:EM16,0)&gt;0,0,1)</f>
        <v/>
      </c>
      <c r="QH16">
        <f>IF($FS$16="",FALSE,SUMPRODUCT(('Final Calculation Sheet'!$AH$4:$AH$40=$FS$16)*($QG$6:$QG$42=1))&gt;0)</f>
        <v/>
      </c>
      <c r="QI16">
        <f>$QI$15+--($QH16)</f>
        <v/>
      </c>
      <c r="QJ16">
        <f>IF(ROW()-3&gt;MAX($QI$4:$QI$40),"",INDEX($FS$4:$FS$40,MATCH(ROW()-3,$QI$4:$QI$40,0)))</f>
        <v/>
      </c>
      <c r="QK16" t="str">
        <f>IF('Final Calculation Sheet'!$AH$16="","",'Final Calculation Sheet'!$AH$16)</f>
      </c>
      <c r="QL16" t="str">
        <f>IF(QK16="","",COUNTIFS(QK$4:QK$40,"&lt;"&amp;QK16,QK$4:QK$40,"&lt;&gt;"&amp;"")+COUNTIF(QK$4:QK16,QK16))</f>
      </c>
      <c r="QM16" t="str">
        <f>IF(ROW()-3&gt;COUNTIF(QK$4:QK$40,"&lt;&gt;"&amp;""),"",INDEX(QK$4:QK$40,MATCH(ROW()-3,QL$4:QL$40,0)))</f>
      </c>
      <c r="QN16" t="str">
        <f>=QN15+F(AND(QM16&lt;&gt;"",COUNTIF(QM$4:QM16,QM16)=1),1,0)</f>
      </c>
      <c r="QO16" t="str">
        <f>IF(ROW()-3&gt;MAX(QN$4:QN$40),"",INDEX(QM$4:QM$40,MATCH(ROW()-3,QN$4:QN$40,0)))</f>
      </c>
      <c r="QP16" t="str">
        <f>IF(COUNTIF('Final Calculation Sheet'!$AM16:$BS16,0)&gt;0,0,1)</f>
      </c>
      <c r="QQ16" t="str">
        <f>IF($AI$16="",FALSE,SUMPRODUCT(('Final Calculation Sheet'!$A$4:$A$40=$AI$16)*($QP$4:$QP$40=1))&gt;0)</f>
      </c>
      <c r="QR16" t="str">
        <f>=$QR15+--($QQ16)</f>
      </c>
      <c r="QS16" t="str">
        <f>IF(ROW()-3&gt;MAX($QR$4:$QR$40),"",INDEX($AI$4:$AI$40,MATCH(ROW()-3,$QR$4:$QR$40,0)))</f>
      </c>
      <c r="QT16" t="str">
        <f>IF(COUNTIF('Final Calculation Sheet'!$AL16:$AL16,0)+COUNTIF('Final Calculation Sheet'!$AN16:$BS16,0)&gt;0,0,1)</f>
      </c>
      <c r="QU16" t="str">
        <f>IF($Y$16="",FALSE,SUMPRODUCT(('Final Calculation Sheet'!$B$4:$B$40=$Y$16)*($QT$4:$QT$40=1))&gt;0)</f>
      </c>
      <c r="QV16" t="str">
        <f>=$QV15+--($QU16)</f>
      </c>
      <c r="QW16" t="str">
        <f>IF(ROW()-3&gt;MAX($QV$4:$QV$40),"",INDEX($Y$4:$Y$40,MATCH(ROW()-3,$QV$4:$QV$40,0)))</f>
      </c>
      <c r="QX16" t="str">
        <f>IF(COUNTIF('Final Calculation Sheet'!$AL16:$AM16,0)+COUNTIF('Final Calculation Sheet'!$AO16:$BS16,0)&gt;0,0,1)</f>
      </c>
      <c r="QY16" t="str">
        <f>IF($AS$16="",FALSE,SUMPRODUCT(('Final Calculation Sheet'!$C$4:$C$40=$AS$16)*($QX$4:$QX$40=1))&gt;0)</f>
      </c>
      <c r="QZ16" t="str">
        <f>=$QZ15+--($QY16)</f>
      </c>
      <c r="RA16" t="str">
        <f>IF(ROW()-3&gt;MAX($QZ$4:$QZ$40),"",INDEX($AS$4:$AS$40,MATCH(ROW()-3,$QZ$4:$QZ$40,0)))</f>
      </c>
      <c r="RB16" t="str">
        <f>IF(COUNTIF('Final Calculation Sheet'!$AL16:$AN16,0)+COUNTIF('Final Calculation Sheet'!$AP16:$BS16,0)&gt;0,0,1)</f>
      </c>
      <c r="RC16" t="str">
        <f>IF($AD$16="",FALSE,SUMPRODUCT(('Final Calculation Sheet'!$D$4:$D$40=$AD$16)*($RB$4:$RB$40=1))&gt;0)</f>
      </c>
      <c r="RD16" t="str">
        <f>=$RD15+--($RC16)</f>
      </c>
      <c r="RE16" t="str">
        <f>IF(ROW()-3&gt;MAX($RD$4:$RD$40),"",INDEX($AD$4:$AD$40,MATCH(ROW()-3,$RD$4:$RD$40,0)))</f>
      </c>
      <c r="RF16" t="str">
        <f>IF(COUNTIF('Final Calculation Sheet'!$AL16:$AO16,0)+COUNTIF('Final Calculation Sheet'!$AQ16:$BS16,0)&gt;0,0,1)</f>
      </c>
      <c r="RG16" t="str">
        <f>IF($AN$16="",FALSE,SUMPRODUCT(('Final Calculation Sheet'!$E$4:$E$40=$AN$16)*($RF$4:$RF$40=1))&gt;0)</f>
      </c>
      <c r="RH16" t="str">
        <f>=$RH15+--($RG16)</f>
      </c>
      <c r="RI16" t="str">
        <f>IF(ROW()-3&gt;MAX($RH$4:$RH$40),"",INDEX($AN$4:$AN$40,MATCH(ROW()-3,$RH$4:$RH$40,0)))</f>
      </c>
      <c r="RJ16" t="str">
        <f>IF(COUNTIF('Final Calculation Sheet'!$AL16:$AP16,0)+COUNTIF('Final Calculation Sheet'!$AR16:$BS16,0)&gt;0,0,1)</f>
      </c>
      <c r="RK16" t="str">
        <f>IF($O$16="",FALSE,SUMPRODUCT(('Final Calculation Sheet'!$F$4:$F$40=$O$16)*($RJ$4:$RJ$40=1))&gt;0)</f>
      </c>
      <c r="RL16" t="str">
        <f>=$RL15+--($RK16)</f>
      </c>
      <c r="RM16" t="str">
        <f>IF(ROW()-3&gt;MAX($RL$4:$RL$40),"",INDEX($O$4:$O$40,MATCH(ROW()-3,$RL$4:$RL$40,0)))</f>
      </c>
      <c r="RN16" t="str">
        <f>IF(COUNTIF('Final Calculation Sheet'!$AL16:$AQ16,0)+COUNTIF('Final Calculation Sheet'!$AS16:$BS16,0)&gt;0,0,1)</f>
      </c>
      <c r="RO16" t="str">
        <f>IF($T$16="",FALSE,SUMPRODUCT(('Final Calculation Sheet'!$G$4:$G$40=$T$16)*($RN$4:$RN$40=1))&gt;0)</f>
      </c>
      <c r="RP16" t="str">
        <f>=$RP15+--($RO16)</f>
      </c>
      <c r="RQ16" t="str">
        <f>IF(ROW()-3&gt;MAX($RP$4:$RP$40),"",INDEX($T$4:$T$40,MATCH(ROW()-3,$RP$4:$RP$40,0)))</f>
      </c>
      <c r="RR16" t="str">
        <f>IF(COUNTIF('Final Calculation Sheet'!$AL16:$AR16,0)+COUNTIF('Final Calculation Sheet'!$AT16:$BS16,0)&gt;0,0,1)</f>
      </c>
      <c r="RS16" t="str">
        <f>IF($AX$16="",FALSE,SUMPRODUCT(('Final Calculation Sheet'!$H$4:$H$40=$AX$16)*($RR$4:$RR$40=1))&gt;0)</f>
      </c>
      <c r="RT16" t="str">
        <f>=$RT15+--($RS16)</f>
      </c>
      <c r="RU16" t="str">
        <f>IF(ROW()-3&gt;MAX($RT$4:$RT$40),"",INDEX($AX$4:$AX$40,MATCH(ROW()-3,$RT$4:$RT$40,0)))</f>
      </c>
      <c r="RV16" t="str">
        <f>IF(COUNTIF('Final Calculation Sheet'!$AL16:$AS16,0)+COUNTIF('Final Calculation Sheet'!$AU16:$BS16,0)&gt;0,0,1)</f>
      </c>
      <c r="RW16" t="str">
        <f>IF($BC$16="",FALSE,SUMPRODUCT(('Final Calculation Sheet'!$I$4:$I$40=$BC$16)*($RV$4:$RV$40=1))&gt;0)</f>
      </c>
      <c r="RX16" t="str">
        <f>=$RX15+--($RW16)</f>
      </c>
      <c r="RY16" t="str">
        <f>IF(ROW()-3&gt;MAX($RX$4:$RX$40),"",INDEX($BC$4:$BC$40,MATCH(ROW()-3,$RX$4:$RX$40,0)))</f>
      </c>
      <c r="RZ16" t="str">
        <f>IF(COUNTIF('Final Calculation Sheet'!$AL16:$AT16,0)+COUNTIF('Final Calculation Sheet'!$AV16:$BS16,0)&gt;0,0,1)</f>
      </c>
      <c r="SA16" t="str">
        <f>IF($BH$16="",FALSE,SUMPRODUCT(('Final Calculation Sheet'!$J$4:$J$40=$BH$16)*($RZ$4:$RZ$40=1))&gt;0)</f>
      </c>
      <c r="SB16" t="str">
        <f>=$SB15+--($SA16)</f>
      </c>
      <c r="SC16" t="str">
        <f>IF(ROW()-3&gt;MAX($SB$4:$SB$40),"",INDEX($BH$4:$BH$40,MATCH(ROW()-3,$SB$4:$SB$40,0)))</f>
      </c>
      <c r="SD16" t="str">
        <f>IF(COUNTIF('Final Calculation Sheet'!$AL16:$AU16,0)+COUNTIF('Final Calculation Sheet'!$AW16:$BS16,0)&gt;0,0,1)</f>
      </c>
      <c r="SE16" t="str">
        <f>IF($BM$16="",FALSE,SUMPRODUCT(('Final Calculation Sheet'!$K$4:$K$40=$BM$16)*($SD$4:$SD$40=1))&gt;0)</f>
      </c>
      <c r="SF16" t="str">
        <f>=$SF15+--($SE16)</f>
      </c>
      <c r="SG16" t="str">
        <f>IF(ROW()-3&gt;MAX($SF$4:$SF$40),"",INDEX($BM$4:$BM$40,MATCH(ROW()-3,$SF$4:$SF$40,0)))</f>
      </c>
      <c r="SH16" t="str">
        <f>IF(COUNTIF('Final Calculation Sheet'!$AL16:$AV16,0)+COUNTIF('Final Calculation Sheet'!$AX16:$BS16,0)&gt;0,0,1)</f>
      </c>
      <c r="SI16" t="str">
        <f>IF($BR$16="",FALSE,SUMPRODUCT(('Final Calculation Sheet'!$L$4:$L$40=$BR$16)*($SH$4:$SH$40=1))&gt;0)</f>
      </c>
      <c r="SJ16" t="str">
        <f>=$SJ15+--($SI16)</f>
      </c>
      <c r="SK16" t="str">
        <f>IF(ROW()-3&gt;MAX($SJ$4:$SJ$40),"",INDEX($BR$4:$BR$40,MATCH(ROW()-3,$SJ$4:$SJ$40,0)))</f>
      </c>
      <c r="SL16" t="str">
        <f>IF(COUNTIF('Final Calculation Sheet'!$AL16:$AW16,0)+COUNTIF('Final Calculation Sheet'!$AY16:$BS16,0)&gt;0,0,1)</f>
      </c>
      <c r="SM16" t="str">
        <f>IF($BW$16="",FALSE,SUMPRODUCT(('Final Calculation Sheet'!$M$4:$M$40=$BW$16)*($SL$4:$SL$40=1))&gt;0)</f>
      </c>
      <c r="SN16" t="str">
        <f>=$SN15+--($SM16)</f>
      </c>
      <c r="SO16" t="str">
        <f>IF(ROW()-3&gt;MAX($SN$4:$SN$40),"",INDEX($BW$4:$BW$40,MATCH(ROW()-3,$SN$4:$SN$40,0)))</f>
      </c>
      <c r="SP16" t="str">
        <f>IF(COUNTIF('Final Calculation Sheet'!$AL16:$AX16,0)+COUNTIF('Final Calculation Sheet'!$AZ16:$BS16,0)&gt;0,0,1)</f>
      </c>
      <c r="SQ16" t="str">
        <f>IF($CB$16="",FALSE,SUMPRODUCT(('Final Calculation Sheet'!$N$4:$N$40=$CB$16)*($SP$4:$SP$40=1))&gt;0)</f>
      </c>
      <c r="SR16" t="str">
        <f>=$SR15+--($SQ16)</f>
      </c>
      <c r="SS16" t="str">
        <f>IF(ROW()-3&gt;MAX($SR$4:$SR$40),"",INDEX($CB$4:$CB$40,MATCH(ROW()-3,$SR$4:$SR$40,0)))</f>
      </c>
      <c r="ST16" t="str">
        <f>IF(COUNTIF('Final Calculation Sheet'!$AL16:$AY16,0)+COUNTIF('Final Calculation Sheet'!$BA16:$BS16,0)&gt;0,0,1)</f>
      </c>
      <c r="SU16" t="str">
        <f>IF($CG$16="",FALSE,SUMPRODUCT(('Final Calculation Sheet'!$O$4:$O$40=$CG$16)*($ST$4:$ST$40=1))&gt;0)</f>
      </c>
      <c r="SV16" t="str">
        <f>=$SV15+--($SU16)</f>
      </c>
      <c r="SW16" t="str">
        <f>IF(ROW()-3&gt;MAX($SV$4:$SV$40),"",INDEX($CG$4:$CG$40,MATCH(ROW()-3,$SV$4:$SV$40,0)))</f>
      </c>
      <c r="SX16" t="str">
        <f>IF(COUNTIF('Final Calculation Sheet'!$AL16:$AZ16,0)+COUNTIF('Final Calculation Sheet'!$BB16:$BS16,0)&gt;0,0,1)</f>
      </c>
      <c r="SY16" t="str">
        <f>IF($CL$16="",FALSE,SUMPRODUCT(('Final Calculation Sheet'!$P$4:$P$40=$CL$16)*($SX$4:$SX$40=1))&gt;0)</f>
      </c>
      <c r="SZ16" t="str">
        <f>=$SZ15+--($SY16)</f>
      </c>
      <c r="TA16" t="str">
        <f>IF(ROW()-3&gt;MAX($SZ$4:$SZ$40),"",INDEX($CL$4:$CL$40,MATCH(ROW()-3,$SZ$4:$SZ$40,0)))</f>
      </c>
      <c r="TB16" t="str">
        <f>IF(COUNTIF('Final Calculation Sheet'!$AL16:$BA16,0)+COUNTIF('Final Calculation Sheet'!$BC16:$BS16,0)&gt;0,0,1)</f>
      </c>
      <c r="TC16" t="str">
        <f>IF($CQ$16="",FALSE,SUMPRODUCT(('Final Calculation Sheet'!$Q$4:$Q$40=$CQ$16)*($TB$4:$TB$40=1))&gt;0)</f>
      </c>
      <c r="TD16" t="str">
        <f>=$TD15+--($TC16)</f>
      </c>
      <c r="TE16" t="str">
        <f>IF(ROW()-3&gt;MAX($TD$4:$TD$40),"",INDEX($CQ$4:$CQ$40,MATCH(ROW()-3,$TD$4:$TD$40,0)))</f>
      </c>
      <c r="TF16" t="str">
        <f>IF(COUNTIF('Final Calculation Sheet'!$AL16:$BB16,0)+COUNTIF('Final Calculation Sheet'!$BD16:$BS16,0)&gt;0,0,1)</f>
      </c>
      <c r="TG16" t="str">
        <f>IF($CV$16="",FALSE,SUMPRODUCT(('Final Calculation Sheet'!$R$4:$R$40=$CV$16)*($TF$4:$TF$40=1))&gt;0)</f>
      </c>
      <c r="TH16" t="str">
        <f>=$TH15+--($TG16)</f>
      </c>
      <c r="TI16" t="str">
        <f>IF(ROW()-3&gt;MAX($TH$4:$TH$40),"",INDEX($CV$4:$CV$40,MATCH(ROW()-3,$TH$4:$TH$40,0)))</f>
      </c>
      <c r="TJ16" t="str">
        <f>IF(COUNTIF('Final Calculation Sheet'!$AL16:$BC16,0)+COUNTIF('Final Calculation Sheet'!$BE16:$BS16,0)&gt;0,0,1)</f>
      </c>
      <c r="TK16" t="str">
        <f>IF($DA$16="",FALSE,SUMPRODUCT(('Final Calculation Sheet'!$S$4:$S$40=$DA$16)*($TJ$4:$TJ$40=1))&gt;0)</f>
      </c>
      <c r="TL16" t="str">
        <f>=$TL15+--($TK16)</f>
      </c>
      <c r="TM16" t="str">
        <f>IF(ROW()-3&gt;MAX($TL$4:$TL$40),"",INDEX($DA$4:$DA$40,MATCH(ROW()-3,$TL$4:$TL$40,0)))</f>
      </c>
      <c r="TN16" t="str">
        <f>IF(COUNTIF('Final Calculation Sheet'!$AL16:$BD16,0)+COUNTIF('Final Calculation Sheet'!$BF16:$BS16,0)&gt;0,0,1)</f>
      </c>
      <c r="TO16" t="str">
        <f>IF($DF$16="",FALSE,SUMPRODUCT(('Final Calculation Sheet'!$T$4:$T$40=$DF$16)*($TN$4:$TN$40=1))&gt;0)</f>
      </c>
      <c r="TP16" t="str">
        <f>=$TP15+--($TO16)</f>
      </c>
      <c r="TQ16" t="str">
        <f>IF(ROW()-3&gt;MAX($TP$4:$TP$40),"",INDEX($DF$4:$DF$40,MATCH(ROW()-3,$TP$4:$TP$40,0)))</f>
      </c>
      <c r="TR16" t="str">
        <f>IF(COUNTIF('Final Calculation Sheet'!$AL16:$BE16,0)+COUNTIF('Final Calculation Sheet'!$BG16:$BS16,0)&gt;0,0,1)</f>
      </c>
      <c r="TS16" t="str">
        <f>IF($DK$16="",FALSE,SUMPRODUCT(('Final Calculation Sheet'!$U$4:$U$40=$DK$16)*($TR$4:$TR$40=1))&gt;0)</f>
      </c>
      <c r="TT16" t="str">
        <f>=$TT15+--($TS16)</f>
      </c>
      <c r="TU16" t="str">
        <f>IF(ROW()-3&gt;MAX($TT$4:$TT$40),"",INDEX($DK$4:$DK$40,MATCH(ROW()-3,$TT$4:$TT$40,0)))</f>
      </c>
      <c r="TV16" t="str">
        <f>IF(COUNTIF('Final Calculation Sheet'!$AL16:$BF16,0)+COUNTIF('Final Calculation Sheet'!$BH16:$BS16,0)&gt;0,0,1)</f>
      </c>
      <c r="TW16" t="str">
        <f>IF($DP$16="",FALSE,SUMPRODUCT(('Final Calculation Sheet'!$V$4:$V$40=$DP$16)*($TV$4:$TV$40=1))&gt;0)</f>
      </c>
      <c r="TX16" t="str">
        <f>=$TX15+--($TW16)</f>
      </c>
      <c r="TY16" t="str">
        <f>IF(ROW()-3&gt;MAX($TX$4:$TX$40),"",INDEX($DP$4:$DP$40,MATCH(ROW()-3,$TX$4:$TX$40,0)))</f>
      </c>
      <c r="TZ16" t="str">
        <f>IF(COUNTIF('Final Calculation Sheet'!$AL16:$BG16,0)+COUNTIF('Final Calculation Sheet'!$BI16:$BS16,0)&gt;0,0,1)</f>
      </c>
      <c r="UA16" t="str">
        <f>IF($DU$16="",FALSE,SUMPRODUCT(('Final Calculation Sheet'!$W$4:$W$40=$DU$16)*($TZ$4:$TZ$40=1))&gt;0)</f>
      </c>
      <c r="UB16" t="str">
        <f>=$UB15+--($UA16)</f>
      </c>
      <c r="UC16" t="str">
        <f>IF(ROW()-3&gt;MAX($UB$4:$UB$40),"",INDEX($DU$4:$DU$40,MATCH(ROW()-3,$UB$4:$UB$40,0)))</f>
      </c>
      <c r="UD16" t="str">
        <f>IF(COUNTIF('Final Calculation Sheet'!$AL16:$BH16,0)+COUNTIF('Final Calculation Sheet'!$BJ16:$BS16,0)&gt;0,0,1)</f>
      </c>
      <c r="UE16" t="str">
        <f>IF($DZ$16="",FALSE,SUMPRODUCT(('Final Calculation Sheet'!$X$4:$X$40=$DZ$16)*($UD$4:$UD$40=1))&gt;0)</f>
      </c>
      <c r="UF16" t="str">
        <f>=$UF15+--($UE16)</f>
      </c>
      <c r="UG16" t="str">
        <f>IF(ROW()-3&gt;MAX($UF$4:$UF$40),"",INDEX($DZ$4:$DZ$40,MATCH(ROW()-3,$UF$4:$UF$40,0)))</f>
      </c>
      <c r="UH16" t="str">
        <f>IF(COUNTIF('Final Calculation Sheet'!$AL16:$BI16,0)+COUNTIF('Final Calculation Sheet'!$BK16:$BS16,0)&gt;0,0,1)</f>
      </c>
      <c r="UI16" t="str">
        <f>IF($EE$16="",FALSE,SUMPRODUCT(('Final Calculation Sheet'!$Y$4:$Y$40=$EE$16)*($UH$4:$UH$40=1))&gt;0)</f>
      </c>
      <c r="UJ16" t="str">
        <f>=$UJ15+--($UI16)</f>
      </c>
      <c r="UK16" t="str">
        <f>IF(ROW()-3&gt;MAX($UJ$4:$UJ$40),"",INDEX($EE$4:$EE$40,MATCH(ROW()-3,$UJ$4:$UJ$40,0)))</f>
      </c>
      <c r="UL16" t="str">
        <f>IF(COUNTIF('Final Calculation Sheet'!$AL16:$BJ16,0)+COUNTIF('Final Calculation Sheet'!$BL16:$BS16,0)&gt;0,0,1)</f>
      </c>
      <c r="UM16" t="str">
        <f>IF($EJ$16="",FALSE,SUMPRODUCT(('Final Calculation Sheet'!$Z$4:$Z$40=$EJ$16)*($UL$4:$UL$40=1))&gt;0)</f>
      </c>
      <c r="UN16" t="str">
        <f>=$UN15+--($UM16)</f>
      </c>
      <c r="UO16" t="str">
        <f>IF(ROW()-3&gt;MAX($UN$4:$UN$40),"",INDEX($EJ$4:$EJ$40,MATCH(ROW()-3,$UN$4:$UN$40,0)))</f>
      </c>
      <c r="UP16" t="str">
        <f>IF(COUNTIF('Final Calculation Sheet'!$AL16:$BK16,0)+COUNTIF('Final Calculation Sheet'!$BM16:$BS16,0)&gt;0,0,1)</f>
      </c>
      <c r="UQ16" t="str">
        <f>IF($EO$16="",FALSE,SUMPRODUCT(('Final Calculation Sheet'!$AA$4:$AA$40=$EO$16)*($UP$4:$UP$40=1))&gt;0)</f>
      </c>
      <c r="UR16" t="str">
        <f>=$UR15+--($UQ16)</f>
      </c>
      <c r="US16" t="str">
        <f>IF(ROW()-3&gt;MAX($UR$4:$UR$40),"",INDEX($EO$4:$EO$40,MATCH(ROW()-3,$UR$4:$UR$40,0)))</f>
      </c>
      <c r="UT16" t="str">
        <f>IF(COUNTIF('Final Calculation Sheet'!$AL16:$BL16,0)+COUNTIF('Final Calculation Sheet'!$BN16:$BS16,0)&gt;0,0,1)</f>
      </c>
      <c r="UU16" t="str">
        <f>IF($ET$16="",FALSE,SUMPRODUCT(('Final Calculation Sheet'!$AB$4:$AB$40=$ET$16)*($UT$4:$UT$40=1))&gt;0)</f>
      </c>
      <c r="UV16" t="str">
        <f>=$UV15+--($UU16)</f>
      </c>
      <c r="UW16" t="str">
        <f>IF(ROW()-3&gt;MAX($UV$4:$UV$40),"",INDEX($ET$4:$ET$40,MATCH(ROW()-3,$UV$4:$UV$40,0)))</f>
      </c>
      <c r="UX16" t="str">
        <f>IF(COUNTIF('Final Calculation Sheet'!$AL16:$BM16,0)+COUNTIF('Final Calculation Sheet'!$BO16:$BS16,0)&gt;0,0,1)</f>
      </c>
      <c r="UY16" t="str">
        <f>IF($EY$16="",FALSE,SUMPRODUCT(('Final Calculation Sheet'!$AC$4:$AC$40=$EY$16)*($UX$4:$UX$40=1))&gt;0)</f>
      </c>
      <c r="UZ16" t="str">
        <f>=$UZ15+--($UY16)</f>
      </c>
      <c r="VA16" t="str">
        <f>IF(ROW()-3&gt;MAX($UZ$4:$UZ$40),"",INDEX($EY$4:$EY$40,MATCH(ROW()-3,$UZ$4:$UZ$40,0)))</f>
      </c>
      <c r="VB16" t="str">
        <f>IF(COUNTIF('Final Calculation Sheet'!$AL16:$BN16,0)+COUNTIF('Final Calculation Sheet'!$BP16:$BS16,0)&gt;0,0,1)</f>
      </c>
      <c r="VC16" t="str">
        <f>IF($FD$16="",FALSE,SUMPRODUCT(('Final Calculation Sheet'!$AD$4:$AD$40=$FD$16)*($VB$4:$VB$40=1))&gt;0)</f>
      </c>
      <c r="VD16" t="str">
        <f>=$VD15+--($VC16)</f>
      </c>
      <c r="VE16" t="str">
        <f>IF(ROW()-3&gt;MAX($VD$4:$VD$40),"",INDEX($FD$4:$FD$40,MATCH(ROW()-3,$VD$4:$VD$40,0)))</f>
      </c>
      <c r="VF16" t="str">
        <f>IF(COUNTIF('Final Calculation Sheet'!$AL16:$BO16,0)+COUNTIF('Final Calculation Sheet'!$BQ16:$BS16,0)&gt;0,0,1)</f>
      </c>
      <c r="VG16" t="str">
        <f>IF($FI$16="",FALSE,SUMPRODUCT(('Final Calculation Sheet'!$AE$4:$AE$40=$FI$16)*($VF$4:$VF$40=1))&gt;0)</f>
      </c>
      <c r="VH16" t="str">
        <f>=$VH15+--($VG16)</f>
      </c>
      <c r="VI16" t="str">
        <f>IF(ROW()-3&gt;MAX($VH$4:$VH$40),"",INDEX($FI$4:$FI$40,MATCH(ROW()-3,$VH$4:$VH$40,0)))</f>
      </c>
      <c r="VJ16" t="str">
        <f>IF(COUNTIF('Final Calculation Sheet'!$AL16:$BP16,0)+COUNTIF('Final Calculation Sheet'!$BR16:$BS16,0)&gt;0,0,1)</f>
      </c>
      <c r="VK16" t="str">
        <f>IF($FN$16="",FALSE,SUMPRODUCT(('Final Calculation Sheet'!$AF$4:$AF$40=$FN$16)*($VJ$4:$VJ$40=1))&gt;0)</f>
      </c>
      <c r="VL16" t="str">
        <f>=$VL15+--($VK16)</f>
      </c>
      <c r="VM16" t="str">
        <f>IF(ROW()-3&gt;MAX($VL$4:$VL$40),"",INDEX($FN$4:$FN$40,MATCH(ROW()-3,$VL$4:$VL$40,0)))</f>
      </c>
      <c r="VN16" t="str">
        <f>IF(COUNTIF('Final Calculation Sheet'!$AL16:$BQ16,0)+COUNTIF('Final Calculation Sheet'!$BS16:$BS16,0)&gt;0,0,1)</f>
      </c>
      <c r="VO16" t="str">
        <f>IF($FS$16="",FALSE,SUMPRODUCT(('Final Calculation Sheet'!$AG$4:$AG$40=$FS$16)*($VN$4:$VN$40=1))&gt;0)</f>
      </c>
      <c r="VP16" t="str">
        <f>=$VP15+--($VO16)</f>
      </c>
      <c r="VQ16" t="str">
        <f>IF(ROW()-3&gt;MAX($VP$4:$VP$40),"",INDEX($FS$4:$FS$40,MATCH(ROW()-3,$VP$4:$VP$40,0)))</f>
      </c>
      <c r="VR16" t="str">
        <f>IF(COUNTIF('Final Calculation Sheet'!$AL16:$BR16,0)&gt;0,0,1)</f>
      </c>
      <c r="VS16" t="str">
        <f>IF($QO$16="",FALSE,SUMPRODUCT(('Final Calculation Sheet'!$AH$4:$AH$40=$QO$16)*($VR$4:$VR$40=1))&gt;0)</f>
      </c>
      <c r="VT16" t="str">
        <f>=$VT15+--($VS16)</f>
      </c>
      <c r="VU16" t="str">
        <f>IF(ROW()-3&gt;MAX($VT$4:$VT$40),"",INDEX($QO$4:$QO$40,MATCH(ROW()-3,$VT$4:$VT$40,0)))</f>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IF(ROW()-3&gt;MAX($LC$4:$LC$40),"",INDEX($FS$4:$FS$40,MATCH(ROW()-3,$LC$4:$LC$40,0)))</f>
        <v/>
      </c>
      <c r="LE17">
        <f>IF(COUNTIF('Buyer Groups'!DH17:EN17,0)&gt;0,0,1)</f>
        <v/>
      </c>
      <c r="LF17">
        <f>IF($O$17="",FALSE,SUMPRODUCT(('Final Calculation Sheet'!$F$4:$F$40=$O$17)*($LE$6:$LE$42=1))&gt;0)</f>
        <v/>
      </c>
      <c r="LG17">
        <f>$LG$16+--($LF17)</f>
        <v/>
      </c>
      <c r="LH17">
        <f>IF(ROW()-3&gt;MAX($LG$4:$LG$40),"",INDEX($O$4:$O$40,MATCH(ROW()-3,$LG$4:$LG$40,0)))</f>
        <v/>
      </c>
      <c r="LI17">
        <f>IF(COUNTIF('Buyer Groups'!DG17:DG17,0)+COUNTIF('Buyer Groups'!DI17:EN17,0)&gt;0,0,1)</f>
        <v/>
      </c>
      <c r="LJ17">
        <f>IF($T$17="",FALSE,SUMPRODUCT(('Final Calculation Sheet'!$G$4:$G$40=$T$17)*($LI$6:$LI$42=1))&gt;0)</f>
        <v/>
      </c>
      <c r="LK17">
        <f>$LK$16+--($LJ17)</f>
        <v/>
      </c>
      <c r="LL17">
        <f>IF(ROW()-3&gt;MAX($LK$4:$LK$40),"",INDEX($T$4:$T$40,MATCH(ROW()-3,$LK$4:$LK$40,0)))</f>
        <v/>
      </c>
      <c r="LM17">
        <f>IF(COUNTIF('Buyer Groups'!DG17:DH17,0)+COUNTIF('Buyer Groups'!DJ17:EN17,0)&gt;0,0,1)</f>
        <v/>
      </c>
      <c r="LN17">
        <f>IF($Y$17="",FALSE,SUMPRODUCT(('Final Calculation Sheet'!$B$4:$B$40=$Y$17)*($LM$6:$LM$42=1))&gt;0)</f>
        <v/>
      </c>
      <c r="LO17">
        <f>$LO$16+--($LN17)</f>
        <v/>
      </c>
      <c r="LP17">
        <f>IF(ROW()-3&gt;MAX($LO$4:$LO$40),"",INDEX($Y$4:$Y$40,MATCH(ROW()-3,$LO$4:$LO$40,0)))</f>
        <v/>
      </c>
      <c r="LQ17">
        <f>IF(COUNTIF('Buyer Groups'!DG17:DI17,0)+COUNTIF('Buyer Groups'!DK17:EN17,0)&gt;0,0,1)</f>
        <v/>
      </c>
      <c r="LR17">
        <f>IF($AD$17="",FALSE,SUMPRODUCT(('Final Calculation Sheet'!$D$4:$D$40=$AD$17)*($LQ$6:$LQ$42=1))&gt;0)</f>
        <v/>
      </c>
      <c r="LS17">
        <f>$LS$16+--($LR17)</f>
        <v/>
      </c>
      <c r="LT17">
        <f>IF(ROW()-3&gt;MAX($LS$4:$LS$40),"",INDEX($AD$4:$AD$40,MATCH(ROW()-3,$LS$4:$LS$40,0)))</f>
        <v/>
      </c>
      <c r="LU17">
        <f>IF(COUNTIF('Buyer Groups'!DG17:DJ17,0)+COUNTIF('Buyer Groups'!DL17:EN17,0)&gt;0,0,1)</f>
        <v/>
      </c>
      <c r="LV17">
        <f>IF($AI$17="",FALSE,SUMPRODUCT(('Final Calculation Sheet'!$A$4:$A$40=$AI$17)*($LU$6:$LU$42=1))&gt;0)</f>
        <v/>
      </c>
      <c r="LW17">
        <f>$LW$16+--($LV17)</f>
        <v/>
      </c>
      <c r="LX17">
        <f>IF(ROW()-3&gt;MAX($LW$4:$LW$40),"",INDEX($AI$4:$AI$40,MATCH(ROW()-3,$LW$4:$LW$40,0)))</f>
        <v/>
      </c>
      <c r="LY17">
        <f>IF(COUNTIF('Buyer Groups'!DG17:DK17,0)+COUNTIF('Buyer Groups'!DM17:EN17,0)&gt;0,0,1)</f>
        <v/>
      </c>
      <c r="LZ17">
        <f>IF($AN$17="",FALSE,SUMPRODUCT(('Final Calculation Sheet'!$E$4:$E$40=$AN$17)*($LY$6:$LY$42=1))&gt;0)</f>
        <v/>
      </c>
      <c r="MA17">
        <f>$MA$16+--($LZ17)</f>
        <v/>
      </c>
      <c r="MB17">
        <f>IF(ROW()-3&gt;MAX($MA$4:$MA$40),"",INDEX($AN$4:$AN$40,MATCH(ROW()-3,$MA$4:$MA$40,0)))</f>
        <v/>
      </c>
      <c r="MC17">
        <f>IF(COUNTIF('Buyer Groups'!DG17:DL17,0)+COUNTIF('Buyer Groups'!DN17:EN17,0)&gt;0,0,1)</f>
        <v/>
      </c>
      <c r="MD17">
        <f>IF($AS$17="",FALSE,SUMPRODUCT(('Final Calculation Sheet'!$C$4:$C$40=$AS$17)*($MC$6:$MC$42=1))&gt;0)</f>
        <v/>
      </c>
      <c r="ME17">
        <f>$ME$16+--($MD17)</f>
        <v/>
      </c>
      <c r="MF17">
        <f>IF(ROW()-3&gt;MAX($ME$4:$ME$40),"",INDEX($AS$4:$AS$40,MATCH(ROW()-3,$ME$4:$ME$40,0)))</f>
        <v/>
      </c>
      <c r="MG17">
        <f>IF(COUNTIF('Buyer Groups'!DG17:DM17,0)+COUNTIF('Buyer Groups'!DO17:EN17,0)&gt;0,0,1)</f>
        <v/>
      </c>
      <c r="MH17">
        <f>IF($AX$17="",FALSE,SUMPRODUCT(('Final Calculation Sheet'!$H$4:$H$40=$AX$17)*($MG$6:$MG$42=1))&gt;0)</f>
        <v/>
      </c>
      <c r="MI17">
        <f>$MI$16+--($MH17)</f>
        <v/>
      </c>
      <c r="MJ17">
        <f>IF(ROW()-3&gt;MAX($MI$4:$MI$40),"",INDEX($AX$4:$AX$40,MATCH(ROW()-3,$MI$4:$MI$40,0)))</f>
        <v/>
      </c>
      <c r="MK17">
        <f>IF(COUNTIF('Buyer Groups'!DG17:DN17,0)+COUNTIF('Buyer Groups'!DP17:EN17,0)&gt;0,0,1)</f>
        <v/>
      </c>
      <c r="ML17">
        <f>IF($BC$17="",FALSE,SUMPRODUCT(('Final Calculation Sheet'!$I$4:$I$40=$BC$17)*($MK$6:$MK$42=1))&gt;0)</f>
        <v/>
      </c>
      <c r="MM17">
        <f>$MM$16+--($ML17)</f>
        <v/>
      </c>
      <c r="MN17">
        <f>IF(ROW()-3&gt;MAX($MM$4:$MM$40),"",INDEX($BC$4:$BC$40,MATCH(ROW()-3,$MM$4:$MM$40,0)))</f>
        <v/>
      </c>
      <c r="MO17">
        <f>IF(COUNTIF('Buyer Groups'!DG17:DO17,0)+COUNTIF('Buyer Groups'!DQ17:EN17,0)&gt;0,0,1)</f>
        <v/>
      </c>
      <c r="MP17">
        <f>IF($BH$17="",FALSE,SUMPRODUCT(('Final Calculation Sheet'!$J$4:$J$40=$BH$17)*($MO$6:$MO$42=1))&gt;0)</f>
        <v/>
      </c>
      <c r="MQ17">
        <f>$MQ$16+--($MP17)</f>
        <v/>
      </c>
      <c r="MR17">
        <f>IF(ROW()-3&gt;MAX($MQ$4:$MQ$40),"",INDEX($BH$4:$BH$40,MATCH(ROW()-3,$MQ$4:$MQ$40,0)))</f>
        <v/>
      </c>
      <c r="MS17">
        <f>IF(COUNTIF('Buyer Groups'!DG17:DP17,0)+COUNTIF('Buyer Groups'!DR17:EN17,0)&gt;0,0,1)</f>
        <v/>
      </c>
      <c r="MT17">
        <f>IF($BM$17="",FALSE,SUMPRODUCT(('Final Calculation Sheet'!$K$4:$K$40=$BM$17)*($MS$6:$MS$42=1))&gt;0)</f>
        <v/>
      </c>
      <c r="MU17">
        <f>$MU$16+--($MT17)</f>
        <v/>
      </c>
      <c r="MV17">
        <f>IF(ROW()-3&gt;MAX($MU$4:$MU$40),"",INDEX($BM$4:$BM$40,MATCH(ROW()-3,$MU$4:$MU$40,0)))</f>
        <v/>
      </c>
      <c r="MW17">
        <f>IF(COUNTIF('Buyer Groups'!DG17:DQ17,0)+COUNTIF('Buyer Groups'!DS17:EN17,0)&gt;0,0,1)</f>
        <v/>
      </c>
      <c r="MX17">
        <f>IF($BR$17="",FALSE,SUMPRODUCT(('Final Calculation Sheet'!$L$4:$L$40=$BR$17)*($MW$6:$MW$42=1))&gt;0)</f>
        <v/>
      </c>
      <c r="MY17">
        <f>$MY$16+--($MX17)</f>
        <v/>
      </c>
      <c r="MZ17">
        <f>IF(ROW()-3&gt;MAX($MY$4:$MY$40),"",INDEX($BR$4:$BR$40,MATCH(ROW()-3,$MY$4:$MY$40,0)))</f>
        <v/>
      </c>
      <c r="NA17">
        <f>IF(COUNTIF('Buyer Groups'!DG17:DR17,0)+COUNTIF('Buyer Groups'!DT17:EN17,0)&gt;0,0,1)</f>
        <v/>
      </c>
      <c r="NB17">
        <f>IF($BW$17="",FALSE,SUMPRODUCT(('Final Calculation Sheet'!$M$4:$M$40=$BW$17)*($NA$6:$NA$42=1))&gt;0)</f>
        <v/>
      </c>
      <c r="NC17">
        <f>$NC$16+--($NB17)</f>
        <v/>
      </c>
      <c r="ND17">
        <f>IF(ROW()-3&gt;MAX($NC$4:$NC$40),"",INDEX($BW$4:$BW$40,MATCH(ROW()-3,$NC$4:$NC$40,0)))</f>
        <v/>
      </c>
      <c r="NE17">
        <f>IF(COUNTIF('Buyer Groups'!DG17:DS17,0)+COUNTIF('Buyer Groups'!DU17:EN17,0)&gt;0,0,1)</f>
        <v/>
      </c>
      <c r="NF17">
        <f>IF($CB$17="",FALSE,SUMPRODUCT(('Final Calculation Sheet'!$N$4:$N$40=$CB$17)*($NE$6:$NE$42=1))&gt;0)</f>
        <v/>
      </c>
      <c r="NG17">
        <f>$NG$16+--($NF17)</f>
        <v/>
      </c>
      <c r="NH17">
        <f>IF(ROW()-3&gt;MAX($NG$4:$NG$40),"",INDEX($CB$4:$CB$40,MATCH(ROW()-3,$NG$4:$NG$40,0)))</f>
        <v/>
      </c>
      <c r="NI17">
        <f>IF(COUNTIF('Buyer Groups'!DG17:DT17,0)+COUNTIF('Buyer Groups'!DV17:EN17,0)&gt;0,0,1)</f>
        <v/>
      </c>
      <c r="NJ17">
        <f>IF($CG$17="",FALSE,SUMPRODUCT(('Final Calculation Sheet'!$O$4:$O$40=$CG$17)*($NI$6:$NI$42=1))&gt;0)</f>
        <v/>
      </c>
      <c r="NK17">
        <f>$NK$16+--($NJ17)</f>
        <v/>
      </c>
      <c r="NL17">
        <f>IF(ROW()-3&gt;MAX($NK$4:$NK$40),"",INDEX($CG$4:$CG$40,MATCH(ROW()-3,$NK$4:$NK$40,0)))</f>
        <v/>
      </c>
      <c r="NM17">
        <f>IF(COUNTIF('Buyer Groups'!DG17:DU17,0)+COUNTIF('Buyer Groups'!DW17:EN17,0)&gt;0,0,1)</f>
        <v/>
      </c>
      <c r="NN17">
        <f>IF($CL$17="",FALSE,SUMPRODUCT(('Final Calculation Sheet'!$P$4:$P$40=$CL$17)*($NM$6:$NM$42=1))&gt;0)</f>
        <v/>
      </c>
      <c r="NO17">
        <f>$NO$16+--($NN17)</f>
        <v/>
      </c>
      <c r="NP17">
        <f>IF(ROW()-3&gt;MAX($NO$4:$NO$40),"",INDEX($CL$4:$CL$40,MATCH(ROW()-3,$NO$4:$NO$40,0)))</f>
        <v/>
      </c>
      <c r="NQ17">
        <f>IF(COUNTIF('Buyer Groups'!DG17:DV17,0)+COUNTIF('Buyer Groups'!DX17:EN17,0)&gt;0,0,1)</f>
        <v/>
      </c>
      <c r="NR17">
        <f>IF($CQ$17="",FALSE,SUMPRODUCT(('Final Calculation Sheet'!$Q$4:$Q$40=$CQ$17)*($NQ$6:$NQ$42=1))&gt;0)</f>
        <v/>
      </c>
      <c r="NS17">
        <f>$NS$16+--($NR17)</f>
        <v/>
      </c>
      <c r="NT17">
        <f>IF(ROW()-3&gt;MAX($NS$4:$NS$40),"",INDEX($CQ$4:$CQ$40,MATCH(ROW()-3,$NS$4:$NS$40,0)))</f>
        <v/>
      </c>
      <c r="NU17">
        <f>IF(COUNTIF('Buyer Groups'!DG17:DW17,0)+COUNTIF('Buyer Groups'!DY17:EN17,0)&gt;0,0,1)</f>
        <v/>
      </c>
      <c r="NV17">
        <f>IF($CV$17="",FALSE,SUMPRODUCT(('Final Calculation Sheet'!$R$4:$R$40=$CV$17)*($NU$6:$NU$42=1))&gt;0)</f>
        <v/>
      </c>
      <c r="NW17">
        <f>$NW$16+--($NV17)</f>
        <v/>
      </c>
      <c r="NX17">
        <f>IF(ROW()-3&gt;MAX($NW$4:$NW$40),"",INDEX($CV$4:$CV$40,MATCH(ROW()-3,$NW$4:$NW$40,0)))</f>
        <v/>
      </c>
      <c r="NY17">
        <f>IF(COUNTIF('Buyer Groups'!DG17:DX17,0)+COUNTIF('Buyer Groups'!DZ17:EN17,0)&gt;0,0,1)</f>
        <v/>
      </c>
      <c r="NZ17">
        <f>IF($DA$17="",FALSE,SUMPRODUCT(('Final Calculation Sheet'!$S$4:$S$40=$DA$17)*($NY$6:$NY$42=1))&gt;0)</f>
        <v/>
      </c>
      <c r="OA17">
        <f>$OA$16+--($NZ17)</f>
        <v/>
      </c>
      <c r="OB17">
        <f>IF(ROW()-3&gt;MAX($OA$4:$OA$40),"",INDEX($DA$4:$DA$40,MATCH(ROW()-3,$OA$4:$OA$40,0)))</f>
        <v/>
      </c>
      <c r="OC17">
        <f>IF(COUNTIF('Buyer Groups'!DG17:DY17,0)+COUNTIF('Buyer Groups'!EA17:EN17,0)&gt;0,0,1)</f>
        <v/>
      </c>
      <c r="OD17">
        <f>IF($DF$17="",FALSE,SUMPRODUCT(('Final Calculation Sheet'!$T$4:$T$40=$DF$17)*($OC$6:$OC$42=1))&gt;0)</f>
        <v/>
      </c>
      <c r="OE17">
        <f>$OE$16+--($OD17)</f>
        <v/>
      </c>
      <c r="OF17">
        <f>IF(ROW()-3&gt;MAX($OE$4:$OE$40),"",INDEX($DF$4:$DF$40,MATCH(ROW()-3,$OE$4:$OE$40,0)))</f>
        <v/>
      </c>
      <c r="OG17">
        <f>IF(COUNTIF('Buyer Groups'!DG17:DZ17,0)+COUNTIF('Buyer Groups'!EB17:EN17,0)&gt;0,0,1)</f>
        <v/>
      </c>
      <c r="OH17">
        <f>IF($DK$17="",FALSE,SUMPRODUCT(('Final Calculation Sheet'!$U$4:$U$40=$DK$17)*($OG$6:$OG$42=1))&gt;0)</f>
        <v/>
      </c>
      <c r="OI17">
        <f>$OI$16+--($OH17)</f>
        <v/>
      </c>
      <c r="OJ17">
        <f>IF(ROW()-3&gt;MAX($OI$4:$OI$40),"",INDEX($DK$4:$DK$40,MATCH(ROW()-3,$OI$4:$OI$40,0)))</f>
        <v/>
      </c>
      <c r="OK17">
        <f>IF(COUNTIF('Buyer Groups'!DG17:EA17,0)+COUNTIF('Buyer Groups'!EC17:EN17,0)&gt;0,0,1)</f>
        <v/>
      </c>
      <c r="OL17">
        <f>IF($DP$17="",FALSE,SUMPRODUCT(('Final Calculation Sheet'!$V$4:$V$40=$DP$17)*($OK$6:$OK$42=1))&gt;0)</f>
        <v/>
      </c>
      <c r="OM17">
        <f>$OM$16+--($OL17)</f>
        <v/>
      </c>
      <c r="ON17">
        <f>IF(ROW()-3&gt;MAX($OM$4:$OM$40),"",INDEX($DP$4:$DP$40,MATCH(ROW()-3,$OM$4:$OM$40,0)))</f>
        <v/>
      </c>
      <c r="OO17">
        <f>IF(COUNTIF('Buyer Groups'!DG17:EB17,0)+COUNTIF('Buyer Groups'!ED17:EN17,0)&gt;0,0,1)</f>
        <v/>
      </c>
      <c r="OP17">
        <f>IF($DU$17="",FALSE,SUMPRODUCT(('Final Calculation Sheet'!$W$4:$W$40=$DU$17)*($OO$6:$OO$42=1))&gt;0)</f>
        <v/>
      </c>
      <c r="OQ17">
        <f>$OQ$16+--($OP17)</f>
        <v/>
      </c>
      <c r="OR17">
        <f>IF(ROW()-3&gt;MAX($OQ$4:$OQ$40),"",INDEX($DU$4:$DU$40,MATCH(ROW()-3,$OQ$4:$OQ$40,0)))</f>
        <v/>
      </c>
      <c r="OS17">
        <f>IF(COUNTIF('Buyer Groups'!DG17:EC17,0)+COUNTIF('Buyer Groups'!EE17:EN17,0)&gt;0,0,1)</f>
        <v/>
      </c>
      <c r="OT17">
        <f>IF($DZ$17="",FALSE,SUMPRODUCT(('Final Calculation Sheet'!$X$4:$X$40=$DZ$17)*($OS$6:$OS$42=1))&gt;0)</f>
        <v/>
      </c>
      <c r="OU17">
        <f>$OU$16+--($OT17)</f>
        <v/>
      </c>
      <c r="OV17">
        <f>IF(ROW()-3&gt;MAX($OU$4:$OU$40),"",INDEX($DZ$4:$DZ$40,MATCH(ROW()-3,$OU$4:$OU$40,0)))</f>
        <v/>
      </c>
      <c r="OW17">
        <f>IF(COUNTIF('Buyer Groups'!DG17:ED17,0)+COUNTIF('Buyer Groups'!EF17:EN17,0)&gt;0,0,1)</f>
        <v/>
      </c>
      <c r="OX17">
        <f>IF($EE$17="",FALSE,SUMPRODUCT(('Final Calculation Sheet'!$Y$4:$Y$40=$EE$17)*($OW$6:$OW$42=1))&gt;0)</f>
        <v/>
      </c>
      <c r="OY17">
        <f>$OY$16+--($OX17)</f>
        <v/>
      </c>
      <c r="OZ17">
        <f>IF(ROW()-3&gt;MAX($OY$4:$OY$40),"",INDEX($EE$4:$EE$40,MATCH(ROW()-3,$OY$4:$OY$40,0)))</f>
        <v/>
      </c>
      <c r="PA17">
        <f>IF(COUNTIF('Buyer Groups'!DG17:EE17,0)+COUNTIF('Buyer Groups'!EG17:EN17,0)&gt;0,0,1)</f>
        <v/>
      </c>
      <c r="PB17">
        <f>IF($EJ$17="",FALSE,SUMPRODUCT(('Final Calculation Sheet'!$Z$4:$Z$40=$EJ$17)*($PA$6:$PA$42=1))&gt;0)</f>
        <v/>
      </c>
      <c r="PC17">
        <f>$PC$16+--($PB17)</f>
        <v/>
      </c>
      <c r="PD17">
        <f>IF(ROW()-3&gt;MAX($PC$4:$PC$40),"",INDEX($EJ$4:$EJ$40,MATCH(ROW()-3,$PC$4:$PC$40,0)))</f>
        <v/>
      </c>
      <c r="PE17">
        <f>IF(COUNTIF('Buyer Groups'!DG17:EF17,0)+COUNTIF('Buyer Groups'!EH17:EN17,0)&gt;0,0,1)</f>
        <v/>
      </c>
      <c r="PF17">
        <f>IF($EO$17="",FALSE,SUMPRODUCT(('Final Calculation Sheet'!$AA$4:$AA$40=$EO$17)*($PE$6:$PE$42=1))&gt;0)</f>
        <v/>
      </c>
      <c r="PG17">
        <f>$PG$16+--($PF17)</f>
        <v/>
      </c>
      <c r="PH17">
        <f>IF(ROW()-3&gt;MAX($PG$4:$PG$40),"",INDEX($EO$4:$EO$40,MATCH(ROW()-3,$PG$4:$PG$40,0)))</f>
        <v/>
      </c>
      <c r="PI17">
        <f>IF(COUNTIF('Buyer Groups'!DG17:EG17,0)+COUNTIF('Buyer Groups'!EI17:EN17,0)&gt;0,0,1)</f>
        <v/>
      </c>
      <c r="PJ17">
        <f>IF($ET$17="",FALSE,SUMPRODUCT(('Final Calculation Sheet'!$AB$4:$AB$40=$ET$17)*($PI$6:$PI$42=1))&gt;0)</f>
        <v/>
      </c>
      <c r="PK17">
        <f>$PK$16+--($PJ17)</f>
        <v/>
      </c>
      <c r="PL17">
        <f>IF(ROW()-3&gt;MAX($PK$4:$PK$40),"",INDEX($ET$4:$ET$40,MATCH(ROW()-3,$PK$4:$PK$40,0)))</f>
        <v/>
      </c>
      <c r="PM17">
        <f>IF(COUNTIF('Buyer Groups'!DG17:EH17,0)+COUNTIF('Buyer Groups'!EJ17:EN17,0)&gt;0,0,1)</f>
        <v/>
      </c>
      <c r="PN17">
        <f>IF($EY$17="",FALSE,SUMPRODUCT(('Final Calculation Sheet'!$AC$4:$AC$40=$EY$17)*($PM$6:$PM$42=1))&gt;0)</f>
        <v/>
      </c>
      <c r="PO17">
        <f>$PO$16+--($PN17)</f>
        <v/>
      </c>
      <c r="PP17">
        <f>IF(ROW()-3&gt;MAX($PO$4:$PO$40),"",INDEX($EY$4:$EY$40,MATCH(ROW()-3,$PO$4:$PO$40,0)))</f>
        <v/>
      </c>
      <c r="PQ17">
        <f>IF(COUNTIF('Buyer Groups'!DG17:EI17,0)+COUNTIF('Buyer Groups'!EK17:EN17,0)&gt;0,0,1)</f>
        <v/>
      </c>
      <c r="PR17">
        <f>IF($FD$17="",FALSE,SUMPRODUCT(('Final Calculation Sheet'!$AD$4:$AD$40=$FD$17)*($PQ$6:$PQ$42=1))&gt;0)</f>
        <v/>
      </c>
      <c r="PS17">
        <f>$PS$16+--($PR17)</f>
        <v/>
      </c>
      <c r="PT17">
        <f>IF(ROW()-3&gt;MAX($PS$4:$PS$40),"",INDEX($FD$4:$FD$40,MATCH(ROW()-3,$PS$4:$PS$40,0)))</f>
        <v/>
      </c>
      <c r="PU17">
        <f>IF(COUNTIF('Buyer Groups'!DG17:EJ17,0)+COUNTIF('Buyer Groups'!EL17:EN17,0)&gt;0,0,1)</f>
        <v/>
      </c>
      <c r="PV17">
        <f>IF($FX$17="",FALSE,SUMPRODUCT((IF('Final Calculation Sheet'!$AD$4:$AD$40&lt;=5,"SETTLED","OUTSTANDING")=$FX$17)*($PU$6:$PU$42=1))&gt;0)</f>
        <v/>
      </c>
      <c r="PW17">
        <f>$PW$16+--($PV17)</f>
        <v/>
      </c>
      <c r="PX17">
        <f>IF(ROW()-3&gt;MAX($PW$4:$PW$40),"",INDEX($FX$4:$FX$40,MATCH(ROW()-3,$PW$4:$PW$40,0)))</f>
        <v/>
      </c>
      <c r="PY17">
        <f>IF(COUNTIF('Buyer Groups'!DG17:EK17,0)+COUNTIF('Buyer Groups'!EM17:EN17,0)&gt;0,0,1)</f>
        <v/>
      </c>
      <c r="PZ17">
        <f>IF($FI$17="",FALSE,SUMPRODUCT(('Final Calculation Sheet'!$AF$4:$AF$40=$FI$17)*($PY$6:$PY$42=1))&gt;0)</f>
        <v/>
      </c>
      <c r="QA17">
        <f>$QA$16+--($PZ17)</f>
        <v/>
      </c>
      <c r="QB17">
        <f>IF(ROW()-3&gt;MAX($QA$4:$QA$40),"",INDEX($FI$4:$FI$40,MATCH(ROW()-3,$QA$4:$QA$40,0)))</f>
        <v/>
      </c>
      <c r="QC17">
        <f>IF(COUNTIF('Buyer Groups'!DG17:EL17,0)+COUNTIF('Buyer Groups'!EN17:EN17,0)&gt;0,0,1)</f>
        <v/>
      </c>
      <c r="QD17">
        <f>IF($FN$17="",FALSE,SUMPRODUCT(('Final Calculation Sheet'!$AG$4:$AG$40=$FN$17)*($QC$6:$QC$42=1))&gt;0)</f>
        <v/>
      </c>
      <c r="QE17">
        <f>$QE$16+--($QD17)</f>
        <v/>
      </c>
      <c r="QF17">
        <f>IF(ROW()-3&gt;MAX($QE$4:$QE$40),"",INDEX($FN$4:$FN$40,MATCH(ROW()-3,$QE$4:$QE$40,0)))</f>
        <v/>
      </c>
      <c r="QG17">
        <f>IF(COUNTIF('Buyer Groups'!DG17:EM17,0)&gt;0,0,1)</f>
        <v/>
      </c>
      <c r="QH17">
        <f>IF($FS$17="",FALSE,SUMPRODUCT(('Final Calculation Sheet'!$AH$4:$AH$40=$FS$17)*($QG$6:$QG$42=1))&gt;0)</f>
        <v/>
      </c>
      <c r="QI17">
        <f>$QI$16+--($QH17)</f>
        <v/>
      </c>
      <c r="QJ17">
        <f>IF(ROW()-3&gt;MAX($QI$4:$QI$40),"",INDEX($FS$4:$FS$40,MATCH(ROW()-3,$QI$4:$QI$40,0)))</f>
        <v/>
      </c>
      <c r="QK17" t="str">
        <f>IF('Final Calculation Sheet'!$AH$17="","",'Final Calculation Sheet'!$AH$17)</f>
      </c>
      <c r="QL17" t="str">
        <f>IF(QK17="","",COUNTIFS(QK$4:QK$40,"&lt;"&amp;QK17,QK$4:QK$40,"&lt;&gt;"&amp;"")+COUNTIF(QK$4:QK17,QK17))</f>
      </c>
      <c r="QM17" t="str">
        <f>IF(ROW()-3&gt;COUNTIF(QK$4:QK$40,"&lt;&gt;"&amp;""),"",INDEX(QK$4:QK$40,MATCH(ROW()-3,QL$4:QL$40,0)))</f>
      </c>
      <c r="QN17" t="str">
        <f>=QN16+F(AND(QM17&lt;&gt;"",COUNTIF(QM$4:QM17,QM17)=1),1,0)</f>
      </c>
      <c r="QO17" t="str">
        <f>IF(ROW()-3&gt;MAX(QN$4:QN$40),"",INDEX(QM$4:QM$40,MATCH(ROW()-3,QN$4:QN$40,0)))</f>
      </c>
      <c r="QP17" t="str">
        <f>IF(COUNTIF('Final Calculation Sheet'!$AM17:$BS17,0)&gt;0,0,1)</f>
      </c>
      <c r="QQ17" t="str">
        <f>IF($AI$17="",FALSE,SUMPRODUCT(('Final Calculation Sheet'!$A$4:$A$40=$AI$17)*($QP$4:$QP$40=1))&gt;0)</f>
      </c>
      <c r="QR17" t="str">
        <f>=$QR16+--($QQ17)</f>
      </c>
      <c r="QS17" t="str">
        <f>IF(ROW()-3&gt;MAX($QR$4:$QR$40),"",INDEX($AI$4:$AI$40,MATCH(ROW()-3,$QR$4:$QR$40,0)))</f>
      </c>
      <c r="QT17" t="str">
        <f>IF(COUNTIF('Final Calculation Sheet'!$AL17:$AL17,0)+COUNTIF('Final Calculation Sheet'!$AN17:$BS17,0)&gt;0,0,1)</f>
      </c>
      <c r="QU17" t="str">
        <f>IF($Y$17="",FALSE,SUMPRODUCT(('Final Calculation Sheet'!$B$4:$B$40=$Y$17)*($QT$4:$QT$40=1))&gt;0)</f>
      </c>
      <c r="QV17" t="str">
        <f>=$QV16+--($QU17)</f>
      </c>
      <c r="QW17" t="str">
        <f>IF(ROW()-3&gt;MAX($QV$4:$QV$40),"",INDEX($Y$4:$Y$40,MATCH(ROW()-3,$QV$4:$QV$40,0)))</f>
      </c>
      <c r="QX17" t="str">
        <f>IF(COUNTIF('Final Calculation Sheet'!$AL17:$AM17,0)+COUNTIF('Final Calculation Sheet'!$AO17:$BS17,0)&gt;0,0,1)</f>
      </c>
      <c r="QY17" t="str">
        <f>IF($AS$17="",FALSE,SUMPRODUCT(('Final Calculation Sheet'!$C$4:$C$40=$AS$17)*($QX$4:$QX$40=1))&gt;0)</f>
      </c>
      <c r="QZ17" t="str">
        <f>=$QZ16+--($QY17)</f>
      </c>
      <c r="RA17" t="str">
        <f>IF(ROW()-3&gt;MAX($QZ$4:$QZ$40),"",INDEX($AS$4:$AS$40,MATCH(ROW()-3,$QZ$4:$QZ$40,0)))</f>
      </c>
      <c r="RB17" t="str">
        <f>IF(COUNTIF('Final Calculation Sheet'!$AL17:$AN17,0)+COUNTIF('Final Calculation Sheet'!$AP17:$BS17,0)&gt;0,0,1)</f>
      </c>
      <c r="RC17" t="str">
        <f>IF($AD$17="",FALSE,SUMPRODUCT(('Final Calculation Sheet'!$D$4:$D$40=$AD$17)*($RB$4:$RB$40=1))&gt;0)</f>
      </c>
      <c r="RD17" t="str">
        <f>=$RD16+--($RC17)</f>
      </c>
      <c r="RE17" t="str">
        <f>IF(ROW()-3&gt;MAX($RD$4:$RD$40),"",INDEX($AD$4:$AD$40,MATCH(ROW()-3,$RD$4:$RD$40,0)))</f>
      </c>
      <c r="RF17" t="str">
        <f>IF(COUNTIF('Final Calculation Sheet'!$AL17:$AO17,0)+COUNTIF('Final Calculation Sheet'!$AQ17:$BS17,0)&gt;0,0,1)</f>
      </c>
      <c r="RG17" t="str">
        <f>IF($AN$17="",FALSE,SUMPRODUCT(('Final Calculation Sheet'!$E$4:$E$40=$AN$17)*($RF$4:$RF$40=1))&gt;0)</f>
      </c>
      <c r="RH17" t="str">
        <f>=$RH16+--($RG17)</f>
      </c>
      <c r="RI17" t="str">
        <f>IF(ROW()-3&gt;MAX($RH$4:$RH$40),"",INDEX($AN$4:$AN$40,MATCH(ROW()-3,$RH$4:$RH$40,0)))</f>
      </c>
      <c r="RJ17" t="str">
        <f>IF(COUNTIF('Final Calculation Sheet'!$AL17:$AP17,0)+COUNTIF('Final Calculation Sheet'!$AR17:$BS17,0)&gt;0,0,1)</f>
      </c>
      <c r="RK17" t="str">
        <f>IF($O$17="",FALSE,SUMPRODUCT(('Final Calculation Sheet'!$F$4:$F$40=$O$17)*($RJ$4:$RJ$40=1))&gt;0)</f>
      </c>
      <c r="RL17" t="str">
        <f>=$RL16+--($RK17)</f>
      </c>
      <c r="RM17" t="str">
        <f>IF(ROW()-3&gt;MAX($RL$4:$RL$40),"",INDEX($O$4:$O$40,MATCH(ROW()-3,$RL$4:$RL$40,0)))</f>
      </c>
      <c r="RN17" t="str">
        <f>IF(COUNTIF('Final Calculation Sheet'!$AL17:$AQ17,0)+COUNTIF('Final Calculation Sheet'!$AS17:$BS17,0)&gt;0,0,1)</f>
      </c>
      <c r="RO17" t="str">
        <f>IF($T$17="",FALSE,SUMPRODUCT(('Final Calculation Sheet'!$G$4:$G$40=$T$17)*($RN$4:$RN$40=1))&gt;0)</f>
      </c>
      <c r="RP17" t="str">
        <f>=$RP16+--($RO17)</f>
      </c>
      <c r="RQ17" t="str">
        <f>IF(ROW()-3&gt;MAX($RP$4:$RP$40),"",INDEX($T$4:$T$40,MATCH(ROW()-3,$RP$4:$RP$40,0)))</f>
      </c>
      <c r="RR17" t="str">
        <f>IF(COUNTIF('Final Calculation Sheet'!$AL17:$AR17,0)+COUNTIF('Final Calculation Sheet'!$AT17:$BS17,0)&gt;0,0,1)</f>
      </c>
      <c r="RS17" t="str">
        <f>IF($AX$17="",FALSE,SUMPRODUCT(('Final Calculation Sheet'!$H$4:$H$40=$AX$17)*($RR$4:$RR$40=1))&gt;0)</f>
      </c>
      <c r="RT17" t="str">
        <f>=$RT16+--($RS17)</f>
      </c>
      <c r="RU17" t="str">
        <f>IF(ROW()-3&gt;MAX($RT$4:$RT$40),"",INDEX($AX$4:$AX$40,MATCH(ROW()-3,$RT$4:$RT$40,0)))</f>
      </c>
      <c r="RV17" t="str">
        <f>IF(COUNTIF('Final Calculation Sheet'!$AL17:$AS17,0)+COUNTIF('Final Calculation Sheet'!$AU17:$BS17,0)&gt;0,0,1)</f>
      </c>
      <c r="RW17" t="str">
        <f>IF($BC$17="",FALSE,SUMPRODUCT(('Final Calculation Sheet'!$I$4:$I$40=$BC$17)*($RV$4:$RV$40=1))&gt;0)</f>
      </c>
      <c r="RX17" t="str">
        <f>=$RX16+--($RW17)</f>
      </c>
      <c r="RY17" t="str">
        <f>IF(ROW()-3&gt;MAX($RX$4:$RX$40),"",INDEX($BC$4:$BC$40,MATCH(ROW()-3,$RX$4:$RX$40,0)))</f>
      </c>
      <c r="RZ17" t="str">
        <f>IF(COUNTIF('Final Calculation Sheet'!$AL17:$AT17,0)+COUNTIF('Final Calculation Sheet'!$AV17:$BS17,0)&gt;0,0,1)</f>
      </c>
      <c r="SA17" t="str">
        <f>IF($BH$17="",FALSE,SUMPRODUCT(('Final Calculation Sheet'!$J$4:$J$40=$BH$17)*($RZ$4:$RZ$40=1))&gt;0)</f>
      </c>
      <c r="SB17" t="str">
        <f>=$SB16+--($SA17)</f>
      </c>
      <c r="SC17" t="str">
        <f>IF(ROW()-3&gt;MAX($SB$4:$SB$40),"",INDEX($BH$4:$BH$40,MATCH(ROW()-3,$SB$4:$SB$40,0)))</f>
      </c>
      <c r="SD17" t="str">
        <f>IF(COUNTIF('Final Calculation Sheet'!$AL17:$AU17,0)+COUNTIF('Final Calculation Sheet'!$AW17:$BS17,0)&gt;0,0,1)</f>
      </c>
      <c r="SE17" t="str">
        <f>IF($BM$17="",FALSE,SUMPRODUCT(('Final Calculation Sheet'!$K$4:$K$40=$BM$17)*($SD$4:$SD$40=1))&gt;0)</f>
      </c>
      <c r="SF17" t="str">
        <f>=$SF16+--($SE17)</f>
      </c>
      <c r="SG17" t="str">
        <f>IF(ROW()-3&gt;MAX($SF$4:$SF$40),"",INDEX($BM$4:$BM$40,MATCH(ROW()-3,$SF$4:$SF$40,0)))</f>
      </c>
      <c r="SH17" t="str">
        <f>IF(COUNTIF('Final Calculation Sheet'!$AL17:$AV17,0)+COUNTIF('Final Calculation Sheet'!$AX17:$BS17,0)&gt;0,0,1)</f>
      </c>
      <c r="SI17" t="str">
        <f>IF($BR$17="",FALSE,SUMPRODUCT(('Final Calculation Sheet'!$L$4:$L$40=$BR$17)*($SH$4:$SH$40=1))&gt;0)</f>
      </c>
      <c r="SJ17" t="str">
        <f>=$SJ16+--($SI17)</f>
      </c>
      <c r="SK17" t="str">
        <f>IF(ROW()-3&gt;MAX($SJ$4:$SJ$40),"",INDEX($BR$4:$BR$40,MATCH(ROW()-3,$SJ$4:$SJ$40,0)))</f>
      </c>
      <c r="SL17" t="str">
        <f>IF(COUNTIF('Final Calculation Sheet'!$AL17:$AW17,0)+COUNTIF('Final Calculation Sheet'!$AY17:$BS17,0)&gt;0,0,1)</f>
      </c>
      <c r="SM17" t="str">
        <f>IF($BW$17="",FALSE,SUMPRODUCT(('Final Calculation Sheet'!$M$4:$M$40=$BW$17)*($SL$4:$SL$40=1))&gt;0)</f>
      </c>
      <c r="SN17" t="str">
        <f>=$SN16+--($SM17)</f>
      </c>
      <c r="SO17" t="str">
        <f>IF(ROW()-3&gt;MAX($SN$4:$SN$40),"",INDEX($BW$4:$BW$40,MATCH(ROW()-3,$SN$4:$SN$40,0)))</f>
      </c>
      <c r="SP17" t="str">
        <f>IF(COUNTIF('Final Calculation Sheet'!$AL17:$AX17,0)+COUNTIF('Final Calculation Sheet'!$AZ17:$BS17,0)&gt;0,0,1)</f>
      </c>
      <c r="SQ17" t="str">
        <f>IF($CB$17="",FALSE,SUMPRODUCT(('Final Calculation Sheet'!$N$4:$N$40=$CB$17)*($SP$4:$SP$40=1))&gt;0)</f>
      </c>
      <c r="SR17" t="str">
        <f>=$SR16+--($SQ17)</f>
      </c>
      <c r="SS17" t="str">
        <f>IF(ROW()-3&gt;MAX($SR$4:$SR$40),"",INDEX($CB$4:$CB$40,MATCH(ROW()-3,$SR$4:$SR$40,0)))</f>
      </c>
      <c r="ST17" t="str">
        <f>IF(COUNTIF('Final Calculation Sheet'!$AL17:$AY17,0)+COUNTIF('Final Calculation Sheet'!$BA17:$BS17,0)&gt;0,0,1)</f>
      </c>
      <c r="SU17" t="str">
        <f>IF($CG$17="",FALSE,SUMPRODUCT(('Final Calculation Sheet'!$O$4:$O$40=$CG$17)*($ST$4:$ST$40=1))&gt;0)</f>
      </c>
      <c r="SV17" t="str">
        <f>=$SV16+--($SU17)</f>
      </c>
      <c r="SW17" t="str">
        <f>IF(ROW()-3&gt;MAX($SV$4:$SV$40),"",INDEX($CG$4:$CG$40,MATCH(ROW()-3,$SV$4:$SV$40,0)))</f>
      </c>
      <c r="SX17" t="str">
        <f>IF(COUNTIF('Final Calculation Sheet'!$AL17:$AZ17,0)+COUNTIF('Final Calculation Sheet'!$BB17:$BS17,0)&gt;0,0,1)</f>
      </c>
      <c r="SY17" t="str">
        <f>IF($CL$17="",FALSE,SUMPRODUCT(('Final Calculation Sheet'!$P$4:$P$40=$CL$17)*($SX$4:$SX$40=1))&gt;0)</f>
      </c>
      <c r="SZ17" t="str">
        <f>=$SZ16+--($SY17)</f>
      </c>
      <c r="TA17" t="str">
        <f>IF(ROW()-3&gt;MAX($SZ$4:$SZ$40),"",INDEX($CL$4:$CL$40,MATCH(ROW()-3,$SZ$4:$SZ$40,0)))</f>
      </c>
      <c r="TB17" t="str">
        <f>IF(COUNTIF('Final Calculation Sheet'!$AL17:$BA17,0)+COUNTIF('Final Calculation Sheet'!$BC17:$BS17,0)&gt;0,0,1)</f>
      </c>
      <c r="TC17" t="str">
        <f>IF($CQ$17="",FALSE,SUMPRODUCT(('Final Calculation Sheet'!$Q$4:$Q$40=$CQ$17)*($TB$4:$TB$40=1))&gt;0)</f>
      </c>
      <c r="TD17" t="str">
        <f>=$TD16+--($TC17)</f>
      </c>
      <c r="TE17" t="str">
        <f>IF(ROW()-3&gt;MAX($TD$4:$TD$40),"",INDEX($CQ$4:$CQ$40,MATCH(ROW()-3,$TD$4:$TD$40,0)))</f>
      </c>
      <c r="TF17" t="str">
        <f>IF(COUNTIF('Final Calculation Sheet'!$AL17:$BB17,0)+COUNTIF('Final Calculation Sheet'!$BD17:$BS17,0)&gt;0,0,1)</f>
      </c>
      <c r="TG17" t="str">
        <f>IF($CV$17="",FALSE,SUMPRODUCT(('Final Calculation Sheet'!$R$4:$R$40=$CV$17)*($TF$4:$TF$40=1))&gt;0)</f>
      </c>
      <c r="TH17" t="str">
        <f>=$TH16+--($TG17)</f>
      </c>
      <c r="TI17" t="str">
        <f>IF(ROW()-3&gt;MAX($TH$4:$TH$40),"",INDEX($CV$4:$CV$40,MATCH(ROW()-3,$TH$4:$TH$40,0)))</f>
      </c>
      <c r="TJ17" t="str">
        <f>IF(COUNTIF('Final Calculation Sheet'!$AL17:$BC17,0)+COUNTIF('Final Calculation Sheet'!$BE17:$BS17,0)&gt;0,0,1)</f>
      </c>
      <c r="TK17" t="str">
        <f>IF($DA$17="",FALSE,SUMPRODUCT(('Final Calculation Sheet'!$S$4:$S$40=$DA$17)*($TJ$4:$TJ$40=1))&gt;0)</f>
      </c>
      <c r="TL17" t="str">
        <f>=$TL16+--($TK17)</f>
      </c>
      <c r="TM17" t="str">
        <f>IF(ROW()-3&gt;MAX($TL$4:$TL$40),"",INDEX($DA$4:$DA$40,MATCH(ROW()-3,$TL$4:$TL$40,0)))</f>
      </c>
      <c r="TN17" t="str">
        <f>IF(COUNTIF('Final Calculation Sheet'!$AL17:$BD17,0)+COUNTIF('Final Calculation Sheet'!$BF17:$BS17,0)&gt;0,0,1)</f>
      </c>
      <c r="TO17" t="str">
        <f>IF($DF$17="",FALSE,SUMPRODUCT(('Final Calculation Sheet'!$T$4:$T$40=$DF$17)*($TN$4:$TN$40=1))&gt;0)</f>
      </c>
      <c r="TP17" t="str">
        <f>=$TP16+--($TO17)</f>
      </c>
      <c r="TQ17" t="str">
        <f>IF(ROW()-3&gt;MAX($TP$4:$TP$40),"",INDEX($DF$4:$DF$40,MATCH(ROW()-3,$TP$4:$TP$40,0)))</f>
      </c>
      <c r="TR17" t="str">
        <f>IF(COUNTIF('Final Calculation Sheet'!$AL17:$BE17,0)+COUNTIF('Final Calculation Sheet'!$BG17:$BS17,0)&gt;0,0,1)</f>
      </c>
      <c r="TS17" t="str">
        <f>IF($DK$17="",FALSE,SUMPRODUCT(('Final Calculation Sheet'!$U$4:$U$40=$DK$17)*($TR$4:$TR$40=1))&gt;0)</f>
      </c>
      <c r="TT17" t="str">
        <f>=$TT16+--($TS17)</f>
      </c>
      <c r="TU17" t="str">
        <f>IF(ROW()-3&gt;MAX($TT$4:$TT$40),"",INDEX($DK$4:$DK$40,MATCH(ROW()-3,$TT$4:$TT$40,0)))</f>
      </c>
      <c r="TV17" t="str">
        <f>IF(COUNTIF('Final Calculation Sheet'!$AL17:$BF17,0)+COUNTIF('Final Calculation Sheet'!$BH17:$BS17,0)&gt;0,0,1)</f>
      </c>
      <c r="TW17" t="str">
        <f>IF($DP$17="",FALSE,SUMPRODUCT(('Final Calculation Sheet'!$V$4:$V$40=$DP$17)*($TV$4:$TV$40=1))&gt;0)</f>
      </c>
      <c r="TX17" t="str">
        <f>=$TX16+--($TW17)</f>
      </c>
      <c r="TY17" t="str">
        <f>IF(ROW()-3&gt;MAX($TX$4:$TX$40),"",INDEX($DP$4:$DP$40,MATCH(ROW()-3,$TX$4:$TX$40,0)))</f>
      </c>
      <c r="TZ17" t="str">
        <f>IF(COUNTIF('Final Calculation Sheet'!$AL17:$BG17,0)+COUNTIF('Final Calculation Sheet'!$BI17:$BS17,0)&gt;0,0,1)</f>
      </c>
      <c r="UA17" t="str">
        <f>IF($DU$17="",FALSE,SUMPRODUCT(('Final Calculation Sheet'!$W$4:$W$40=$DU$17)*($TZ$4:$TZ$40=1))&gt;0)</f>
      </c>
      <c r="UB17" t="str">
        <f>=$UB16+--($UA17)</f>
      </c>
      <c r="UC17" t="str">
        <f>IF(ROW()-3&gt;MAX($UB$4:$UB$40),"",INDEX($DU$4:$DU$40,MATCH(ROW()-3,$UB$4:$UB$40,0)))</f>
      </c>
      <c r="UD17" t="str">
        <f>IF(COUNTIF('Final Calculation Sheet'!$AL17:$BH17,0)+COUNTIF('Final Calculation Sheet'!$BJ17:$BS17,0)&gt;0,0,1)</f>
      </c>
      <c r="UE17" t="str">
        <f>IF($DZ$17="",FALSE,SUMPRODUCT(('Final Calculation Sheet'!$X$4:$X$40=$DZ$17)*($UD$4:$UD$40=1))&gt;0)</f>
      </c>
      <c r="UF17" t="str">
        <f>=$UF16+--($UE17)</f>
      </c>
      <c r="UG17" t="str">
        <f>IF(ROW()-3&gt;MAX($UF$4:$UF$40),"",INDEX($DZ$4:$DZ$40,MATCH(ROW()-3,$UF$4:$UF$40,0)))</f>
      </c>
      <c r="UH17" t="str">
        <f>IF(COUNTIF('Final Calculation Sheet'!$AL17:$BI17,0)+COUNTIF('Final Calculation Sheet'!$BK17:$BS17,0)&gt;0,0,1)</f>
      </c>
      <c r="UI17" t="str">
        <f>IF($EE$17="",FALSE,SUMPRODUCT(('Final Calculation Sheet'!$Y$4:$Y$40=$EE$17)*($UH$4:$UH$40=1))&gt;0)</f>
      </c>
      <c r="UJ17" t="str">
        <f>=$UJ16+--($UI17)</f>
      </c>
      <c r="UK17" t="str">
        <f>IF(ROW()-3&gt;MAX($UJ$4:$UJ$40),"",INDEX($EE$4:$EE$40,MATCH(ROW()-3,$UJ$4:$UJ$40,0)))</f>
      </c>
      <c r="UL17" t="str">
        <f>IF(COUNTIF('Final Calculation Sheet'!$AL17:$BJ17,0)+COUNTIF('Final Calculation Sheet'!$BL17:$BS17,0)&gt;0,0,1)</f>
      </c>
      <c r="UM17" t="str">
        <f>IF($EJ$17="",FALSE,SUMPRODUCT(('Final Calculation Sheet'!$Z$4:$Z$40=$EJ$17)*($UL$4:$UL$40=1))&gt;0)</f>
      </c>
      <c r="UN17" t="str">
        <f>=$UN16+--($UM17)</f>
      </c>
      <c r="UO17" t="str">
        <f>IF(ROW()-3&gt;MAX($UN$4:$UN$40),"",INDEX($EJ$4:$EJ$40,MATCH(ROW()-3,$UN$4:$UN$40,0)))</f>
      </c>
      <c r="UP17" t="str">
        <f>IF(COUNTIF('Final Calculation Sheet'!$AL17:$BK17,0)+COUNTIF('Final Calculation Sheet'!$BM17:$BS17,0)&gt;0,0,1)</f>
      </c>
      <c r="UQ17" t="str">
        <f>IF($EO$17="",FALSE,SUMPRODUCT(('Final Calculation Sheet'!$AA$4:$AA$40=$EO$17)*($UP$4:$UP$40=1))&gt;0)</f>
      </c>
      <c r="UR17" t="str">
        <f>=$UR16+--($UQ17)</f>
      </c>
      <c r="US17" t="str">
        <f>IF(ROW()-3&gt;MAX($UR$4:$UR$40),"",INDEX($EO$4:$EO$40,MATCH(ROW()-3,$UR$4:$UR$40,0)))</f>
      </c>
      <c r="UT17" t="str">
        <f>IF(COUNTIF('Final Calculation Sheet'!$AL17:$BL17,0)+COUNTIF('Final Calculation Sheet'!$BN17:$BS17,0)&gt;0,0,1)</f>
      </c>
      <c r="UU17" t="str">
        <f>IF($ET$17="",FALSE,SUMPRODUCT(('Final Calculation Sheet'!$AB$4:$AB$40=$ET$17)*($UT$4:$UT$40=1))&gt;0)</f>
      </c>
      <c r="UV17" t="str">
        <f>=$UV16+--($UU17)</f>
      </c>
      <c r="UW17" t="str">
        <f>IF(ROW()-3&gt;MAX($UV$4:$UV$40),"",INDEX($ET$4:$ET$40,MATCH(ROW()-3,$UV$4:$UV$40,0)))</f>
      </c>
      <c r="UX17" t="str">
        <f>IF(COUNTIF('Final Calculation Sheet'!$AL17:$BM17,0)+COUNTIF('Final Calculation Sheet'!$BO17:$BS17,0)&gt;0,0,1)</f>
      </c>
      <c r="UY17" t="str">
        <f>IF($EY$17="",FALSE,SUMPRODUCT(('Final Calculation Sheet'!$AC$4:$AC$40=$EY$17)*($UX$4:$UX$40=1))&gt;0)</f>
      </c>
      <c r="UZ17" t="str">
        <f>=$UZ16+--($UY17)</f>
      </c>
      <c r="VA17" t="str">
        <f>IF(ROW()-3&gt;MAX($UZ$4:$UZ$40),"",INDEX($EY$4:$EY$40,MATCH(ROW()-3,$UZ$4:$UZ$40,0)))</f>
      </c>
      <c r="VB17" t="str">
        <f>IF(COUNTIF('Final Calculation Sheet'!$AL17:$BN17,0)+COUNTIF('Final Calculation Sheet'!$BP17:$BS17,0)&gt;0,0,1)</f>
      </c>
      <c r="VC17" t="str">
        <f>IF($FD$17="",FALSE,SUMPRODUCT(('Final Calculation Sheet'!$AD$4:$AD$40=$FD$17)*($VB$4:$VB$40=1))&gt;0)</f>
      </c>
      <c r="VD17" t="str">
        <f>=$VD16+--($VC17)</f>
      </c>
      <c r="VE17" t="str">
        <f>IF(ROW()-3&gt;MAX($VD$4:$VD$40),"",INDEX($FD$4:$FD$40,MATCH(ROW()-3,$VD$4:$VD$40,0)))</f>
      </c>
      <c r="VF17" t="str">
        <f>IF(COUNTIF('Final Calculation Sheet'!$AL17:$BO17,0)+COUNTIF('Final Calculation Sheet'!$BQ17:$BS17,0)&gt;0,0,1)</f>
      </c>
      <c r="VG17" t="str">
        <f>IF($FI$17="",FALSE,SUMPRODUCT(('Final Calculation Sheet'!$AE$4:$AE$40=$FI$17)*($VF$4:$VF$40=1))&gt;0)</f>
      </c>
      <c r="VH17" t="str">
        <f>=$VH16+--($VG17)</f>
      </c>
      <c r="VI17" t="str">
        <f>IF(ROW()-3&gt;MAX($VH$4:$VH$40),"",INDEX($FI$4:$FI$40,MATCH(ROW()-3,$VH$4:$VH$40,0)))</f>
      </c>
      <c r="VJ17" t="str">
        <f>IF(COUNTIF('Final Calculation Sheet'!$AL17:$BP17,0)+COUNTIF('Final Calculation Sheet'!$BR17:$BS17,0)&gt;0,0,1)</f>
      </c>
      <c r="VK17" t="str">
        <f>IF($FN$17="",FALSE,SUMPRODUCT(('Final Calculation Sheet'!$AF$4:$AF$40=$FN$17)*($VJ$4:$VJ$40=1))&gt;0)</f>
      </c>
      <c r="VL17" t="str">
        <f>=$VL16+--($VK17)</f>
      </c>
      <c r="VM17" t="str">
        <f>IF(ROW()-3&gt;MAX($VL$4:$VL$40),"",INDEX($FN$4:$FN$40,MATCH(ROW()-3,$VL$4:$VL$40,0)))</f>
      </c>
      <c r="VN17" t="str">
        <f>IF(COUNTIF('Final Calculation Sheet'!$AL17:$BQ17,0)+COUNTIF('Final Calculation Sheet'!$BS17:$BS17,0)&gt;0,0,1)</f>
      </c>
      <c r="VO17" t="str">
        <f>IF($FS$17="",FALSE,SUMPRODUCT(('Final Calculation Sheet'!$AG$4:$AG$40=$FS$17)*($VN$4:$VN$40=1))&gt;0)</f>
      </c>
      <c r="VP17" t="str">
        <f>=$VP16+--($VO17)</f>
      </c>
      <c r="VQ17" t="str">
        <f>IF(ROW()-3&gt;MAX($VP$4:$VP$40),"",INDEX($FS$4:$FS$40,MATCH(ROW()-3,$VP$4:$VP$40,0)))</f>
      </c>
      <c r="VR17" t="str">
        <f>IF(COUNTIF('Final Calculation Sheet'!$AL17:$BR17,0)&gt;0,0,1)</f>
      </c>
      <c r="VS17" t="str">
        <f>IF($QO$17="",FALSE,SUMPRODUCT(('Final Calculation Sheet'!$AH$4:$AH$40=$QO$17)*($VR$4:$VR$40=1))&gt;0)</f>
      </c>
      <c r="VT17" t="str">
        <f>=$VT16+--($VS17)</f>
      </c>
      <c r="VU17" t="str">
        <f>IF(ROW()-3&gt;MAX($VT$4:$VT$40),"",INDEX($QO$4:$QO$40,MATCH(ROW()-3,$VT$4:$VT$40,0)))</f>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IF(ROW()-3&gt;MAX($LC$4:$LC$40),"",INDEX($FS$4:$FS$40,MATCH(ROW()-3,$LC$4:$LC$40,0)))</f>
        <v/>
      </c>
      <c r="LE18">
        <f>IF(COUNTIF('Buyer Groups'!DH18:EN18,0)&gt;0,0,1)</f>
        <v/>
      </c>
      <c r="LF18">
        <f>IF($O$18="",FALSE,SUMPRODUCT(('Final Calculation Sheet'!$F$4:$F$40=$O$18)*($LE$6:$LE$42=1))&gt;0)</f>
        <v/>
      </c>
      <c r="LG18">
        <f>$LG$17+--($LF18)</f>
        <v/>
      </c>
      <c r="LH18">
        <f>IF(ROW()-3&gt;MAX($LG$4:$LG$40),"",INDEX($O$4:$O$40,MATCH(ROW()-3,$LG$4:$LG$40,0)))</f>
        <v/>
      </c>
      <c r="LI18">
        <f>IF(COUNTIF('Buyer Groups'!DG18:DG18,0)+COUNTIF('Buyer Groups'!DI18:EN18,0)&gt;0,0,1)</f>
        <v/>
      </c>
      <c r="LJ18">
        <f>IF($T$18="",FALSE,SUMPRODUCT(('Final Calculation Sheet'!$G$4:$G$40=$T$18)*($LI$6:$LI$42=1))&gt;0)</f>
        <v/>
      </c>
      <c r="LK18">
        <f>$LK$17+--($LJ18)</f>
        <v/>
      </c>
      <c r="LL18">
        <f>IF(ROW()-3&gt;MAX($LK$4:$LK$40),"",INDEX($T$4:$T$40,MATCH(ROW()-3,$LK$4:$LK$40,0)))</f>
        <v/>
      </c>
      <c r="LM18">
        <f>IF(COUNTIF('Buyer Groups'!DG18:DH18,0)+COUNTIF('Buyer Groups'!DJ18:EN18,0)&gt;0,0,1)</f>
        <v/>
      </c>
      <c r="LN18">
        <f>IF($Y$18="",FALSE,SUMPRODUCT(('Final Calculation Sheet'!$B$4:$B$40=$Y$18)*($LM$6:$LM$42=1))&gt;0)</f>
        <v/>
      </c>
      <c r="LO18">
        <f>$LO$17+--($LN18)</f>
        <v/>
      </c>
      <c r="LP18">
        <f>IF(ROW()-3&gt;MAX($LO$4:$LO$40),"",INDEX($Y$4:$Y$40,MATCH(ROW()-3,$LO$4:$LO$40,0)))</f>
        <v/>
      </c>
      <c r="LQ18">
        <f>IF(COUNTIF('Buyer Groups'!DG18:DI18,0)+COUNTIF('Buyer Groups'!DK18:EN18,0)&gt;0,0,1)</f>
        <v/>
      </c>
      <c r="LR18">
        <f>IF($AD$18="",FALSE,SUMPRODUCT(('Final Calculation Sheet'!$D$4:$D$40=$AD$18)*($LQ$6:$LQ$42=1))&gt;0)</f>
        <v/>
      </c>
      <c r="LS18">
        <f>$LS$17+--($LR18)</f>
        <v/>
      </c>
      <c r="LT18">
        <f>IF(ROW()-3&gt;MAX($LS$4:$LS$40),"",INDEX($AD$4:$AD$40,MATCH(ROW()-3,$LS$4:$LS$40,0)))</f>
        <v/>
      </c>
      <c r="LU18">
        <f>IF(COUNTIF('Buyer Groups'!DG18:DJ18,0)+COUNTIF('Buyer Groups'!DL18:EN18,0)&gt;0,0,1)</f>
        <v/>
      </c>
      <c r="LV18">
        <f>IF($AI$18="",FALSE,SUMPRODUCT(('Final Calculation Sheet'!$A$4:$A$40=$AI$18)*($LU$6:$LU$42=1))&gt;0)</f>
        <v/>
      </c>
      <c r="LW18">
        <f>$LW$17+--($LV18)</f>
        <v/>
      </c>
      <c r="LX18">
        <f>IF(ROW()-3&gt;MAX($LW$4:$LW$40),"",INDEX($AI$4:$AI$40,MATCH(ROW()-3,$LW$4:$LW$40,0)))</f>
        <v/>
      </c>
      <c r="LY18">
        <f>IF(COUNTIF('Buyer Groups'!DG18:DK18,0)+COUNTIF('Buyer Groups'!DM18:EN18,0)&gt;0,0,1)</f>
        <v/>
      </c>
      <c r="LZ18">
        <f>IF($AN$18="",FALSE,SUMPRODUCT(('Final Calculation Sheet'!$E$4:$E$40=$AN$18)*($LY$6:$LY$42=1))&gt;0)</f>
        <v/>
      </c>
      <c r="MA18">
        <f>$MA$17+--($LZ18)</f>
        <v/>
      </c>
      <c r="MB18">
        <f>IF(ROW()-3&gt;MAX($MA$4:$MA$40),"",INDEX($AN$4:$AN$40,MATCH(ROW()-3,$MA$4:$MA$40,0)))</f>
        <v/>
      </c>
      <c r="MC18">
        <f>IF(COUNTIF('Buyer Groups'!DG18:DL18,0)+COUNTIF('Buyer Groups'!DN18:EN18,0)&gt;0,0,1)</f>
        <v/>
      </c>
      <c r="MD18">
        <f>IF($AS$18="",FALSE,SUMPRODUCT(('Final Calculation Sheet'!$C$4:$C$40=$AS$18)*($MC$6:$MC$42=1))&gt;0)</f>
        <v/>
      </c>
      <c r="ME18">
        <f>$ME$17+--($MD18)</f>
        <v/>
      </c>
      <c r="MF18">
        <f>IF(ROW()-3&gt;MAX($ME$4:$ME$40),"",INDEX($AS$4:$AS$40,MATCH(ROW()-3,$ME$4:$ME$40,0)))</f>
        <v/>
      </c>
      <c r="MG18">
        <f>IF(COUNTIF('Buyer Groups'!DG18:DM18,0)+COUNTIF('Buyer Groups'!DO18:EN18,0)&gt;0,0,1)</f>
        <v/>
      </c>
      <c r="MH18">
        <f>IF($AX$18="",FALSE,SUMPRODUCT(('Final Calculation Sheet'!$H$4:$H$40=$AX$18)*($MG$6:$MG$42=1))&gt;0)</f>
        <v/>
      </c>
      <c r="MI18">
        <f>$MI$17+--($MH18)</f>
        <v/>
      </c>
      <c r="MJ18">
        <f>IF(ROW()-3&gt;MAX($MI$4:$MI$40),"",INDEX($AX$4:$AX$40,MATCH(ROW()-3,$MI$4:$MI$40,0)))</f>
        <v/>
      </c>
      <c r="MK18">
        <f>IF(COUNTIF('Buyer Groups'!DG18:DN18,0)+COUNTIF('Buyer Groups'!DP18:EN18,0)&gt;0,0,1)</f>
        <v/>
      </c>
      <c r="ML18">
        <f>IF($BC$18="",FALSE,SUMPRODUCT(('Final Calculation Sheet'!$I$4:$I$40=$BC$18)*($MK$6:$MK$42=1))&gt;0)</f>
        <v/>
      </c>
      <c r="MM18">
        <f>$MM$17+--($ML18)</f>
        <v/>
      </c>
      <c r="MN18">
        <f>IF(ROW()-3&gt;MAX($MM$4:$MM$40),"",INDEX($BC$4:$BC$40,MATCH(ROW()-3,$MM$4:$MM$40,0)))</f>
        <v/>
      </c>
      <c r="MO18">
        <f>IF(COUNTIF('Buyer Groups'!DG18:DO18,0)+COUNTIF('Buyer Groups'!DQ18:EN18,0)&gt;0,0,1)</f>
        <v/>
      </c>
      <c r="MP18">
        <f>IF($BH$18="",FALSE,SUMPRODUCT(('Final Calculation Sheet'!$J$4:$J$40=$BH$18)*($MO$6:$MO$42=1))&gt;0)</f>
        <v/>
      </c>
      <c r="MQ18">
        <f>$MQ$17+--($MP18)</f>
        <v/>
      </c>
      <c r="MR18">
        <f>IF(ROW()-3&gt;MAX($MQ$4:$MQ$40),"",INDEX($BH$4:$BH$40,MATCH(ROW()-3,$MQ$4:$MQ$40,0)))</f>
        <v/>
      </c>
      <c r="MS18">
        <f>IF(COUNTIF('Buyer Groups'!DG18:DP18,0)+COUNTIF('Buyer Groups'!DR18:EN18,0)&gt;0,0,1)</f>
        <v/>
      </c>
      <c r="MT18">
        <f>IF($BM$18="",FALSE,SUMPRODUCT(('Final Calculation Sheet'!$K$4:$K$40=$BM$18)*($MS$6:$MS$42=1))&gt;0)</f>
        <v/>
      </c>
      <c r="MU18">
        <f>$MU$17+--($MT18)</f>
        <v/>
      </c>
      <c r="MV18">
        <f>IF(ROW()-3&gt;MAX($MU$4:$MU$40),"",INDEX($BM$4:$BM$40,MATCH(ROW()-3,$MU$4:$MU$40,0)))</f>
        <v/>
      </c>
      <c r="MW18">
        <f>IF(COUNTIF('Buyer Groups'!DG18:DQ18,0)+COUNTIF('Buyer Groups'!DS18:EN18,0)&gt;0,0,1)</f>
        <v/>
      </c>
      <c r="MX18">
        <f>IF($BR$18="",FALSE,SUMPRODUCT(('Final Calculation Sheet'!$L$4:$L$40=$BR$18)*($MW$6:$MW$42=1))&gt;0)</f>
        <v/>
      </c>
      <c r="MY18">
        <f>$MY$17+--($MX18)</f>
        <v/>
      </c>
      <c r="MZ18">
        <f>IF(ROW()-3&gt;MAX($MY$4:$MY$40),"",INDEX($BR$4:$BR$40,MATCH(ROW()-3,$MY$4:$MY$40,0)))</f>
        <v/>
      </c>
      <c r="NA18">
        <f>IF(COUNTIF('Buyer Groups'!DG18:DR18,0)+COUNTIF('Buyer Groups'!DT18:EN18,0)&gt;0,0,1)</f>
        <v/>
      </c>
      <c r="NB18">
        <f>IF($BW$18="",FALSE,SUMPRODUCT(('Final Calculation Sheet'!$M$4:$M$40=$BW$18)*($NA$6:$NA$42=1))&gt;0)</f>
        <v/>
      </c>
      <c r="NC18">
        <f>$NC$17+--($NB18)</f>
        <v/>
      </c>
      <c r="ND18">
        <f>IF(ROW()-3&gt;MAX($NC$4:$NC$40),"",INDEX($BW$4:$BW$40,MATCH(ROW()-3,$NC$4:$NC$40,0)))</f>
        <v/>
      </c>
      <c r="NE18">
        <f>IF(COUNTIF('Buyer Groups'!DG18:DS18,0)+COUNTIF('Buyer Groups'!DU18:EN18,0)&gt;0,0,1)</f>
        <v/>
      </c>
      <c r="NF18">
        <f>IF($CB$18="",FALSE,SUMPRODUCT(('Final Calculation Sheet'!$N$4:$N$40=$CB$18)*($NE$6:$NE$42=1))&gt;0)</f>
        <v/>
      </c>
      <c r="NG18">
        <f>$NG$17+--($NF18)</f>
        <v/>
      </c>
      <c r="NH18">
        <f>IF(ROW()-3&gt;MAX($NG$4:$NG$40),"",INDEX($CB$4:$CB$40,MATCH(ROW()-3,$NG$4:$NG$40,0)))</f>
        <v/>
      </c>
      <c r="NI18">
        <f>IF(COUNTIF('Buyer Groups'!DG18:DT18,0)+COUNTIF('Buyer Groups'!DV18:EN18,0)&gt;0,0,1)</f>
        <v/>
      </c>
      <c r="NJ18">
        <f>IF($CG$18="",FALSE,SUMPRODUCT(('Final Calculation Sheet'!$O$4:$O$40=$CG$18)*($NI$6:$NI$42=1))&gt;0)</f>
        <v/>
      </c>
      <c r="NK18">
        <f>$NK$17+--($NJ18)</f>
        <v/>
      </c>
      <c r="NL18">
        <f>IF(ROW()-3&gt;MAX($NK$4:$NK$40),"",INDEX($CG$4:$CG$40,MATCH(ROW()-3,$NK$4:$NK$40,0)))</f>
        <v/>
      </c>
      <c r="NM18">
        <f>IF(COUNTIF('Buyer Groups'!DG18:DU18,0)+COUNTIF('Buyer Groups'!DW18:EN18,0)&gt;0,0,1)</f>
        <v/>
      </c>
      <c r="NN18">
        <f>IF($CL$18="",FALSE,SUMPRODUCT(('Final Calculation Sheet'!$P$4:$P$40=$CL$18)*($NM$6:$NM$42=1))&gt;0)</f>
        <v/>
      </c>
      <c r="NO18">
        <f>$NO$17+--($NN18)</f>
        <v/>
      </c>
      <c r="NP18">
        <f>IF(ROW()-3&gt;MAX($NO$4:$NO$40),"",INDEX($CL$4:$CL$40,MATCH(ROW()-3,$NO$4:$NO$40,0)))</f>
        <v/>
      </c>
      <c r="NQ18">
        <f>IF(COUNTIF('Buyer Groups'!DG18:DV18,0)+COUNTIF('Buyer Groups'!DX18:EN18,0)&gt;0,0,1)</f>
        <v/>
      </c>
      <c r="NR18">
        <f>IF($CQ$18="",FALSE,SUMPRODUCT(('Final Calculation Sheet'!$Q$4:$Q$40=$CQ$18)*($NQ$6:$NQ$42=1))&gt;0)</f>
        <v/>
      </c>
      <c r="NS18">
        <f>$NS$17+--($NR18)</f>
        <v/>
      </c>
      <c r="NT18">
        <f>IF(ROW()-3&gt;MAX($NS$4:$NS$40),"",INDEX($CQ$4:$CQ$40,MATCH(ROW()-3,$NS$4:$NS$40,0)))</f>
        <v/>
      </c>
      <c r="NU18">
        <f>IF(COUNTIF('Buyer Groups'!DG18:DW18,0)+COUNTIF('Buyer Groups'!DY18:EN18,0)&gt;0,0,1)</f>
        <v/>
      </c>
      <c r="NV18">
        <f>IF($CV$18="",FALSE,SUMPRODUCT(('Final Calculation Sheet'!$R$4:$R$40=$CV$18)*($NU$6:$NU$42=1))&gt;0)</f>
        <v/>
      </c>
      <c r="NW18">
        <f>$NW$17+--($NV18)</f>
        <v/>
      </c>
      <c r="NX18">
        <f>IF(ROW()-3&gt;MAX($NW$4:$NW$40),"",INDEX($CV$4:$CV$40,MATCH(ROW()-3,$NW$4:$NW$40,0)))</f>
        <v/>
      </c>
      <c r="NY18">
        <f>IF(COUNTIF('Buyer Groups'!DG18:DX18,0)+COUNTIF('Buyer Groups'!DZ18:EN18,0)&gt;0,0,1)</f>
        <v/>
      </c>
      <c r="NZ18">
        <f>IF($DA$18="",FALSE,SUMPRODUCT(('Final Calculation Sheet'!$S$4:$S$40=$DA$18)*($NY$6:$NY$42=1))&gt;0)</f>
        <v/>
      </c>
      <c r="OA18">
        <f>$OA$17+--($NZ18)</f>
        <v/>
      </c>
      <c r="OB18">
        <f>IF(ROW()-3&gt;MAX($OA$4:$OA$40),"",INDEX($DA$4:$DA$40,MATCH(ROW()-3,$OA$4:$OA$40,0)))</f>
        <v/>
      </c>
      <c r="OC18">
        <f>IF(COUNTIF('Buyer Groups'!DG18:DY18,0)+COUNTIF('Buyer Groups'!EA18:EN18,0)&gt;0,0,1)</f>
        <v/>
      </c>
      <c r="OD18">
        <f>IF($DF$18="",FALSE,SUMPRODUCT(('Final Calculation Sheet'!$T$4:$T$40=$DF$18)*($OC$6:$OC$42=1))&gt;0)</f>
        <v/>
      </c>
      <c r="OE18">
        <f>$OE$17+--($OD18)</f>
        <v/>
      </c>
      <c r="OF18">
        <f>IF(ROW()-3&gt;MAX($OE$4:$OE$40),"",INDEX($DF$4:$DF$40,MATCH(ROW()-3,$OE$4:$OE$40,0)))</f>
        <v/>
      </c>
      <c r="OG18">
        <f>IF(COUNTIF('Buyer Groups'!DG18:DZ18,0)+COUNTIF('Buyer Groups'!EB18:EN18,0)&gt;0,0,1)</f>
        <v/>
      </c>
      <c r="OH18">
        <f>IF($DK$18="",FALSE,SUMPRODUCT(('Final Calculation Sheet'!$U$4:$U$40=$DK$18)*($OG$6:$OG$42=1))&gt;0)</f>
        <v/>
      </c>
      <c r="OI18">
        <f>$OI$17+--($OH18)</f>
        <v/>
      </c>
      <c r="OJ18">
        <f>IF(ROW()-3&gt;MAX($OI$4:$OI$40),"",INDEX($DK$4:$DK$40,MATCH(ROW()-3,$OI$4:$OI$40,0)))</f>
        <v/>
      </c>
      <c r="OK18">
        <f>IF(COUNTIF('Buyer Groups'!DG18:EA18,0)+COUNTIF('Buyer Groups'!EC18:EN18,0)&gt;0,0,1)</f>
        <v/>
      </c>
      <c r="OL18">
        <f>IF($DP$18="",FALSE,SUMPRODUCT(('Final Calculation Sheet'!$V$4:$V$40=$DP$18)*($OK$6:$OK$42=1))&gt;0)</f>
        <v/>
      </c>
      <c r="OM18">
        <f>$OM$17+--($OL18)</f>
        <v/>
      </c>
      <c r="ON18">
        <f>IF(ROW()-3&gt;MAX($OM$4:$OM$40),"",INDEX($DP$4:$DP$40,MATCH(ROW()-3,$OM$4:$OM$40,0)))</f>
        <v/>
      </c>
      <c r="OO18">
        <f>IF(COUNTIF('Buyer Groups'!DG18:EB18,0)+COUNTIF('Buyer Groups'!ED18:EN18,0)&gt;0,0,1)</f>
        <v/>
      </c>
      <c r="OP18">
        <f>IF($DU$18="",FALSE,SUMPRODUCT(('Final Calculation Sheet'!$W$4:$W$40=$DU$18)*($OO$6:$OO$42=1))&gt;0)</f>
        <v/>
      </c>
      <c r="OQ18">
        <f>$OQ$17+--($OP18)</f>
        <v/>
      </c>
      <c r="OR18">
        <f>IF(ROW()-3&gt;MAX($OQ$4:$OQ$40),"",INDEX($DU$4:$DU$40,MATCH(ROW()-3,$OQ$4:$OQ$40,0)))</f>
        <v/>
      </c>
      <c r="OS18">
        <f>IF(COUNTIF('Buyer Groups'!DG18:EC18,0)+COUNTIF('Buyer Groups'!EE18:EN18,0)&gt;0,0,1)</f>
        <v/>
      </c>
      <c r="OT18">
        <f>IF($DZ$18="",FALSE,SUMPRODUCT(('Final Calculation Sheet'!$X$4:$X$40=$DZ$18)*($OS$6:$OS$42=1))&gt;0)</f>
        <v/>
      </c>
      <c r="OU18">
        <f>$OU$17+--($OT18)</f>
        <v/>
      </c>
      <c r="OV18">
        <f>IF(ROW()-3&gt;MAX($OU$4:$OU$40),"",INDEX($DZ$4:$DZ$40,MATCH(ROW()-3,$OU$4:$OU$40,0)))</f>
        <v/>
      </c>
      <c r="OW18">
        <f>IF(COUNTIF('Buyer Groups'!DG18:ED18,0)+COUNTIF('Buyer Groups'!EF18:EN18,0)&gt;0,0,1)</f>
        <v/>
      </c>
      <c r="OX18">
        <f>IF($EE$18="",FALSE,SUMPRODUCT(('Final Calculation Sheet'!$Y$4:$Y$40=$EE$18)*($OW$6:$OW$42=1))&gt;0)</f>
        <v/>
      </c>
      <c r="OY18">
        <f>$OY$17+--($OX18)</f>
        <v/>
      </c>
      <c r="OZ18">
        <f>IF(ROW()-3&gt;MAX($OY$4:$OY$40),"",INDEX($EE$4:$EE$40,MATCH(ROW()-3,$OY$4:$OY$40,0)))</f>
        <v/>
      </c>
      <c r="PA18">
        <f>IF(COUNTIF('Buyer Groups'!DG18:EE18,0)+COUNTIF('Buyer Groups'!EG18:EN18,0)&gt;0,0,1)</f>
        <v/>
      </c>
      <c r="PB18">
        <f>IF($EJ$18="",FALSE,SUMPRODUCT(('Final Calculation Sheet'!$Z$4:$Z$40=$EJ$18)*($PA$6:$PA$42=1))&gt;0)</f>
        <v/>
      </c>
      <c r="PC18">
        <f>$PC$17+--($PB18)</f>
        <v/>
      </c>
      <c r="PD18">
        <f>IF(ROW()-3&gt;MAX($PC$4:$PC$40),"",INDEX($EJ$4:$EJ$40,MATCH(ROW()-3,$PC$4:$PC$40,0)))</f>
        <v/>
      </c>
      <c r="PE18">
        <f>IF(COUNTIF('Buyer Groups'!DG18:EF18,0)+COUNTIF('Buyer Groups'!EH18:EN18,0)&gt;0,0,1)</f>
        <v/>
      </c>
      <c r="PF18">
        <f>IF($EO$18="",FALSE,SUMPRODUCT(('Final Calculation Sheet'!$AA$4:$AA$40=$EO$18)*($PE$6:$PE$42=1))&gt;0)</f>
        <v/>
      </c>
      <c r="PG18">
        <f>$PG$17+--($PF18)</f>
        <v/>
      </c>
      <c r="PH18">
        <f>IF(ROW()-3&gt;MAX($PG$4:$PG$40),"",INDEX($EO$4:$EO$40,MATCH(ROW()-3,$PG$4:$PG$40,0)))</f>
        <v/>
      </c>
      <c r="PI18">
        <f>IF(COUNTIF('Buyer Groups'!DG18:EG18,0)+COUNTIF('Buyer Groups'!EI18:EN18,0)&gt;0,0,1)</f>
        <v/>
      </c>
      <c r="PJ18">
        <f>IF($ET$18="",FALSE,SUMPRODUCT(('Final Calculation Sheet'!$AB$4:$AB$40=$ET$18)*($PI$6:$PI$42=1))&gt;0)</f>
        <v/>
      </c>
      <c r="PK18">
        <f>$PK$17+--($PJ18)</f>
        <v/>
      </c>
      <c r="PL18">
        <f>IF(ROW()-3&gt;MAX($PK$4:$PK$40),"",INDEX($ET$4:$ET$40,MATCH(ROW()-3,$PK$4:$PK$40,0)))</f>
        <v/>
      </c>
      <c r="PM18">
        <f>IF(COUNTIF('Buyer Groups'!DG18:EH18,0)+COUNTIF('Buyer Groups'!EJ18:EN18,0)&gt;0,0,1)</f>
        <v/>
      </c>
      <c r="PN18">
        <f>IF($EY$18="",FALSE,SUMPRODUCT(('Final Calculation Sheet'!$AC$4:$AC$40=$EY$18)*($PM$6:$PM$42=1))&gt;0)</f>
        <v/>
      </c>
      <c r="PO18">
        <f>$PO$17+--($PN18)</f>
        <v/>
      </c>
      <c r="PP18">
        <f>IF(ROW()-3&gt;MAX($PO$4:$PO$40),"",INDEX($EY$4:$EY$40,MATCH(ROW()-3,$PO$4:$PO$40,0)))</f>
        <v/>
      </c>
      <c r="PQ18">
        <f>IF(COUNTIF('Buyer Groups'!DG18:EI18,0)+COUNTIF('Buyer Groups'!EK18:EN18,0)&gt;0,0,1)</f>
        <v/>
      </c>
      <c r="PR18">
        <f>IF($FD$18="",FALSE,SUMPRODUCT(('Final Calculation Sheet'!$AD$4:$AD$40=$FD$18)*($PQ$6:$PQ$42=1))&gt;0)</f>
        <v/>
      </c>
      <c r="PS18">
        <f>$PS$17+--($PR18)</f>
        <v/>
      </c>
      <c r="PT18">
        <f>IF(ROW()-3&gt;MAX($PS$4:$PS$40),"",INDEX($FD$4:$FD$40,MATCH(ROW()-3,$PS$4:$PS$40,0)))</f>
        <v/>
      </c>
      <c r="PU18">
        <f>IF(COUNTIF('Buyer Groups'!DG18:EJ18,0)+COUNTIF('Buyer Groups'!EL18:EN18,0)&gt;0,0,1)</f>
        <v/>
      </c>
      <c r="PV18">
        <f>IF($FX$18="",FALSE,SUMPRODUCT((IF('Final Calculation Sheet'!$AD$4:$AD$40&lt;=5,"SETTLED","OUTSTANDING")=$FX$18)*($PU$6:$PU$42=1))&gt;0)</f>
        <v/>
      </c>
      <c r="PW18">
        <f>$PW$17+--($PV18)</f>
        <v/>
      </c>
      <c r="PX18">
        <f>IF(ROW()-3&gt;MAX($PW$4:$PW$40),"",INDEX($FX$4:$FX$40,MATCH(ROW()-3,$PW$4:$PW$40,0)))</f>
        <v/>
      </c>
      <c r="PY18">
        <f>IF(COUNTIF('Buyer Groups'!DG18:EK18,0)+COUNTIF('Buyer Groups'!EM18:EN18,0)&gt;0,0,1)</f>
        <v/>
      </c>
      <c r="PZ18">
        <f>IF($FI$18="",FALSE,SUMPRODUCT(('Final Calculation Sheet'!$AF$4:$AF$40=$FI$18)*($PY$6:$PY$42=1))&gt;0)</f>
        <v/>
      </c>
      <c r="QA18">
        <f>$QA$17+--($PZ18)</f>
        <v/>
      </c>
      <c r="QB18">
        <f>IF(ROW()-3&gt;MAX($QA$4:$QA$40),"",INDEX($FI$4:$FI$40,MATCH(ROW()-3,$QA$4:$QA$40,0)))</f>
        <v/>
      </c>
      <c r="QC18">
        <f>IF(COUNTIF('Buyer Groups'!DG18:EL18,0)+COUNTIF('Buyer Groups'!EN18:EN18,0)&gt;0,0,1)</f>
        <v/>
      </c>
      <c r="QD18">
        <f>IF($FN$18="",FALSE,SUMPRODUCT(('Final Calculation Sheet'!$AG$4:$AG$40=$FN$18)*($QC$6:$QC$42=1))&gt;0)</f>
        <v/>
      </c>
      <c r="QE18">
        <f>$QE$17+--($QD18)</f>
        <v/>
      </c>
      <c r="QF18">
        <f>IF(ROW()-3&gt;MAX($QE$4:$QE$40),"",INDEX($FN$4:$FN$40,MATCH(ROW()-3,$QE$4:$QE$40,0)))</f>
        <v/>
      </c>
      <c r="QG18">
        <f>IF(COUNTIF('Buyer Groups'!DG18:EM18,0)&gt;0,0,1)</f>
        <v/>
      </c>
      <c r="QH18">
        <f>IF($FS$18="",FALSE,SUMPRODUCT(('Final Calculation Sheet'!$AH$4:$AH$40=$FS$18)*($QG$6:$QG$42=1))&gt;0)</f>
        <v/>
      </c>
      <c r="QI18">
        <f>$QI$17+--($QH18)</f>
        <v/>
      </c>
      <c r="QJ18">
        <f>IF(ROW()-3&gt;MAX($QI$4:$QI$40),"",INDEX($FS$4:$FS$40,MATCH(ROW()-3,$QI$4:$QI$40,0)))</f>
        <v/>
      </c>
      <c r="QK18" t="str">
        <f>IF('Final Calculation Sheet'!$AH$18="","",'Final Calculation Sheet'!$AH$18)</f>
      </c>
      <c r="QL18" t="str">
        <f>IF(QK18="","",COUNTIFS(QK$4:QK$40,"&lt;"&amp;QK18,QK$4:QK$40,"&lt;&gt;"&amp;"")+COUNTIF(QK$4:QK18,QK18))</f>
      </c>
      <c r="QM18" t="str">
        <f>IF(ROW()-3&gt;COUNTIF(QK$4:QK$40,"&lt;&gt;"&amp;""),"",INDEX(QK$4:QK$40,MATCH(ROW()-3,QL$4:QL$40,0)))</f>
      </c>
      <c r="QN18" t="str">
        <f>=QN17+F(AND(QM18&lt;&gt;"",COUNTIF(QM$4:QM18,QM18)=1),1,0)</f>
      </c>
      <c r="QO18" t="str">
        <f>IF(ROW()-3&gt;MAX(QN$4:QN$40),"",INDEX(QM$4:QM$40,MATCH(ROW()-3,QN$4:QN$40,0)))</f>
      </c>
      <c r="QP18" t="str">
        <f>IF(COUNTIF('Final Calculation Sheet'!$AM18:$BS18,0)&gt;0,0,1)</f>
      </c>
      <c r="QQ18" t="str">
        <f>IF($AI$18="",FALSE,SUMPRODUCT(('Final Calculation Sheet'!$A$4:$A$40=$AI$18)*($QP$4:$QP$40=1))&gt;0)</f>
      </c>
      <c r="QR18" t="str">
        <f>=$QR17+--($QQ18)</f>
      </c>
      <c r="QS18" t="str">
        <f>IF(ROW()-3&gt;MAX($QR$4:$QR$40),"",INDEX($AI$4:$AI$40,MATCH(ROW()-3,$QR$4:$QR$40,0)))</f>
      </c>
      <c r="QT18" t="str">
        <f>IF(COUNTIF('Final Calculation Sheet'!$AL18:$AL18,0)+COUNTIF('Final Calculation Sheet'!$AN18:$BS18,0)&gt;0,0,1)</f>
      </c>
      <c r="QU18" t="str">
        <f>IF($Y$18="",FALSE,SUMPRODUCT(('Final Calculation Sheet'!$B$4:$B$40=$Y$18)*($QT$4:$QT$40=1))&gt;0)</f>
      </c>
      <c r="QV18" t="str">
        <f>=$QV17+--($QU18)</f>
      </c>
      <c r="QW18" t="str">
        <f>IF(ROW()-3&gt;MAX($QV$4:$QV$40),"",INDEX($Y$4:$Y$40,MATCH(ROW()-3,$QV$4:$QV$40,0)))</f>
      </c>
      <c r="QX18" t="str">
        <f>IF(COUNTIF('Final Calculation Sheet'!$AL18:$AM18,0)+COUNTIF('Final Calculation Sheet'!$AO18:$BS18,0)&gt;0,0,1)</f>
      </c>
      <c r="QY18" t="str">
        <f>IF($AS$18="",FALSE,SUMPRODUCT(('Final Calculation Sheet'!$C$4:$C$40=$AS$18)*($QX$4:$QX$40=1))&gt;0)</f>
      </c>
      <c r="QZ18" t="str">
        <f>=$QZ17+--($QY18)</f>
      </c>
      <c r="RA18" t="str">
        <f>IF(ROW()-3&gt;MAX($QZ$4:$QZ$40),"",INDEX($AS$4:$AS$40,MATCH(ROW()-3,$QZ$4:$QZ$40,0)))</f>
      </c>
      <c r="RB18" t="str">
        <f>IF(COUNTIF('Final Calculation Sheet'!$AL18:$AN18,0)+COUNTIF('Final Calculation Sheet'!$AP18:$BS18,0)&gt;0,0,1)</f>
      </c>
      <c r="RC18" t="str">
        <f>IF($AD$18="",FALSE,SUMPRODUCT(('Final Calculation Sheet'!$D$4:$D$40=$AD$18)*($RB$4:$RB$40=1))&gt;0)</f>
      </c>
      <c r="RD18" t="str">
        <f>=$RD17+--($RC18)</f>
      </c>
      <c r="RE18" t="str">
        <f>IF(ROW()-3&gt;MAX($RD$4:$RD$40),"",INDEX($AD$4:$AD$40,MATCH(ROW()-3,$RD$4:$RD$40,0)))</f>
      </c>
      <c r="RF18" t="str">
        <f>IF(COUNTIF('Final Calculation Sheet'!$AL18:$AO18,0)+COUNTIF('Final Calculation Sheet'!$AQ18:$BS18,0)&gt;0,0,1)</f>
      </c>
      <c r="RG18" t="str">
        <f>IF($AN$18="",FALSE,SUMPRODUCT(('Final Calculation Sheet'!$E$4:$E$40=$AN$18)*($RF$4:$RF$40=1))&gt;0)</f>
      </c>
      <c r="RH18" t="str">
        <f>=$RH17+--($RG18)</f>
      </c>
      <c r="RI18" t="str">
        <f>IF(ROW()-3&gt;MAX($RH$4:$RH$40),"",INDEX($AN$4:$AN$40,MATCH(ROW()-3,$RH$4:$RH$40,0)))</f>
      </c>
      <c r="RJ18" t="str">
        <f>IF(COUNTIF('Final Calculation Sheet'!$AL18:$AP18,0)+COUNTIF('Final Calculation Sheet'!$AR18:$BS18,0)&gt;0,0,1)</f>
      </c>
      <c r="RK18" t="str">
        <f>IF($O$18="",FALSE,SUMPRODUCT(('Final Calculation Sheet'!$F$4:$F$40=$O$18)*($RJ$4:$RJ$40=1))&gt;0)</f>
      </c>
      <c r="RL18" t="str">
        <f>=$RL17+--($RK18)</f>
      </c>
      <c r="RM18" t="str">
        <f>IF(ROW()-3&gt;MAX($RL$4:$RL$40),"",INDEX($O$4:$O$40,MATCH(ROW()-3,$RL$4:$RL$40,0)))</f>
      </c>
      <c r="RN18" t="str">
        <f>IF(COUNTIF('Final Calculation Sheet'!$AL18:$AQ18,0)+COUNTIF('Final Calculation Sheet'!$AS18:$BS18,0)&gt;0,0,1)</f>
      </c>
      <c r="RO18" t="str">
        <f>IF($T$18="",FALSE,SUMPRODUCT(('Final Calculation Sheet'!$G$4:$G$40=$T$18)*($RN$4:$RN$40=1))&gt;0)</f>
      </c>
      <c r="RP18" t="str">
        <f>=$RP17+--($RO18)</f>
      </c>
      <c r="RQ18" t="str">
        <f>IF(ROW()-3&gt;MAX($RP$4:$RP$40),"",INDEX($T$4:$T$40,MATCH(ROW()-3,$RP$4:$RP$40,0)))</f>
      </c>
      <c r="RR18" t="str">
        <f>IF(COUNTIF('Final Calculation Sheet'!$AL18:$AR18,0)+COUNTIF('Final Calculation Sheet'!$AT18:$BS18,0)&gt;0,0,1)</f>
      </c>
      <c r="RS18" t="str">
        <f>IF($AX$18="",FALSE,SUMPRODUCT(('Final Calculation Sheet'!$H$4:$H$40=$AX$18)*($RR$4:$RR$40=1))&gt;0)</f>
      </c>
      <c r="RT18" t="str">
        <f>=$RT17+--($RS18)</f>
      </c>
      <c r="RU18" t="str">
        <f>IF(ROW()-3&gt;MAX($RT$4:$RT$40),"",INDEX($AX$4:$AX$40,MATCH(ROW()-3,$RT$4:$RT$40,0)))</f>
      </c>
      <c r="RV18" t="str">
        <f>IF(COUNTIF('Final Calculation Sheet'!$AL18:$AS18,0)+COUNTIF('Final Calculation Sheet'!$AU18:$BS18,0)&gt;0,0,1)</f>
      </c>
      <c r="RW18" t="str">
        <f>IF($BC$18="",FALSE,SUMPRODUCT(('Final Calculation Sheet'!$I$4:$I$40=$BC$18)*($RV$4:$RV$40=1))&gt;0)</f>
      </c>
      <c r="RX18" t="str">
        <f>=$RX17+--($RW18)</f>
      </c>
      <c r="RY18" t="str">
        <f>IF(ROW()-3&gt;MAX($RX$4:$RX$40),"",INDEX($BC$4:$BC$40,MATCH(ROW()-3,$RX$4:$RX$40,0)))</f>
      </c>
      <c r="RZ18" t="str">
        <f>IF(COUNTIF('Final Calculation Sheet'!$AL18:$AT18,0)+COUNTIF('Final Calculation Sheet'!$AV18:$BS18,0)&gt;0,0,1)</f>
      </c>
      <c r="SA18" t="str">
        <f>IF($BH$18="",FALSE,SUMPRODUCT(('Final Calculation Sheet'!$J$4:$J$40=$BH$18)*($RZ$4:$RZ$40=1))&gt;0)</f>
      </c>
      <c r="SB18" t="str">
        <f>=$SB17+--($SA18)</f>
      </c>
      <c r="SC18" t="str">
        <f>IF(ROW()-3&gt;MAX($SB$4:$SB$40),"",INDEX($BH$4:$BH$40,MATCH(ROW()-3,$SB$4:$SB$40,0)))</f>
      </c>
      <c r="SD18" t="str">
        <f>IF(COUNTIF('Final Calculation Sheet'!$AL18:$AU18,0)+COUNTIF('Final Calculation Sheet'!$AW18:$BS18,0)&gt;0,0,1)</f>
      </c>
      <c r="SE18" t="str">
        <f>IF($BM$18="",FALSE,SUMPRODUCT(('Final Calculation Sheet'!$K$4:$K$40=$BM$18)*($SD$4:$SD$40=1))&gt;0)</f>
      </c>
      <c r="SF18" t="str">
        <f>=$SF17+--($SE18)</f>
      </c>
      <c r="SG18" t="str">
        <f>IF(ROW()-3&gt;MAX($SF$4:$SF$40),"",INDEX($BM$4:$BM$40,MATCH(ROW()-3,$SF$4:$SF$40,0)))</f>
      </c>
      <c r="SH18" t="str">
        <f>IF(COUNTIF('Final Calculation Sheet'!$AL18:$AV18,0)+COUNTIF('Final Calculation Sheet'!$AX18:$BS18,0)&gt;0,0,1)</f>
      </c>
      <c r="SI18" t="str">
        <f>IF($BR$18="",FALSE,SUMPRODUCT(('Final Calculation Sheet'!$L$4:$L$40=$BR$18)*($SH$4:$SH$40=1))&gt;0)</f>
      </c>
      <c r="SJ18" t="str">
        <f>=$SJ17+--($SI18)</f>
      </c>
      <c r="SK18" t="str">
        <f>IF(ROW()-3&gt;MAX($SJ$4:$SJ$40),"",INDEX($BR$4:$BR$40,MATCH(ROW()-3,$SJ$4:$SJ$40,0)))</f>
      </c>
      <c r="SL18" t="str">
        <f>IF(COUNTIF('Final Calculation Sheet'!$AL18:$AW18,0)+COUNTIF('Final Calculation Sheet'!$AY18:$BS18,0)&gt;0,0,1)</f>
      </c>
      <c r="SM18" t="str">
        <f>IF($BW$18="",FALSE,SUMPRODUCT(('Final Calculation Sheet'!$M$4:$M$40=$BW$18)*($SL$4:$SL$40=1))&gt;0)</f>
      </c>
      <c r="SN18" t="str">
        <f>=$SN17+--($SM18)</f>
      </c>
      <c r="SO18" t="str">
        <f>IF(ROW()-3&gt;MAX($SN$4:$SN$40),"",INDEX($BW$4:$BW$40,MATCH(ROW()-3,$SN$4:$SN$40,0)))</f>
      </c>
      <c r="SP18" t="str">
        <f>IF(COUNTIF('Final Calculation Sheet'!$AL18:$AX18,0)+COUNTIF('Final Calculation Sheet'!$AZ18:$BS18,0)&gt;0,0,1)</f>
      </c>
      <c r="SQ18" t="str">
        <f>IF($CB$18="",FALSE,SUMPRODUCT(('Final Calculation Sheet'!$N$4:$N$40=$CB$18)*($SP$4:$SP$40=1))&gt;0)</f>
      </c>
      <c r="SR18" t="str">
        <f>=$SR17+--($SQ18)</f>
      </c>
      <c r="SS18" t="str">
        <f>IF(ROW()-3&gt;MAX($SR$4:$SR$40),"",INDEX($CB$4:$CB$40,MATCH(ROW()-3,$SR$4:$SR$40,0)))</f>
      </c>
      <c r="ST18" t="str">
        <f>IF(COUNTIF('Final Calculation Sheet'!$AL18:$AY18,0)+COUNTIF('Final Calculation Sheet'!$BA18:$BS18,0)&gt;0,0,1)</f>
      </c>
      <c r="SU18" t="str">
        <f>IF($CG$18="",FALSE,SUMPRODUCT(('Final Calculation Sheet'!$O$4:$O$40=$CG$18)*($ST$4:$ST$40=1))&gt;0)</f>
      </c>
      <c r="SV18" t="str">
        <f>=$SV17+--($SU18)</f>
      </c>
      <c r="SW18" t="str">
        <f>IF(ROW()-3&gt;MAX($SV$4:$SV$40),"",INDEX($CG$4:$CG$40,MATCH(ROW()-3,$SV$4:$SV$40,0)))</f>
      </c>
      <c r="SX18" t="str">
        <f>IF(COUNTIF('Final Calculation Sheet'!$AL18:$AZ18,0)+COUNTIF('Final Calculation Sheet'!$BB18:$BS18,0)&gt;0,0,1)</f>
      </c>
      <c r="SY18" t="str">
        <f>IF($CL$18="",FALSE,SUMPRODUCT(('Final Calculation Sheet'!$P$4:$P$40=$CL$18)*($SX$4:$SX$40=1))&gt;0)</f>
      </c>
      <c r="SZ18" t="str">
        <f>=$SZ17+--($SY18)</f>
      </c>
      <c r="TA18" t="str">
        <f>IF(ROW()-3&gt;MAX($SZ$4:$SZ$40),"",INDEX($CL$4:$CL$40,MATCH(ROW()-3,$SZ$4:$SZ$40,0)))</f>
      </c>
      <c r="TB18" t="str">
        <f>IF(COUNTIF('Final Calculation Sheet'!$AL18:$BA18,0)+COUNTIF('Final Calculation Sheet'!$BC18:$BS18,0)&gt;0,0,1)</f>
      </c>
      <c r="TC18" t="str">
        <f>IF($CQ$18="",FALSE,SUMPRODUCT(('Final Calculation Sheet'!$Q$4:$Q$40=$CQ$18)*($TB$4:$TB$40=1))&gt;0)</f>
      </c>
      <c r="TD18" t="str">
        <f>=$TD17+--($TC18)</f>
      </c>
      <c r="TE18" t="str">
        <f>IF(ROW()-3&gt;MAX($TD$4:$TD$40),"",INDEX($CQ$4:$CQ$40,MATCH(ROW()-3,$TD$4:$TD$40,0)))</f>
      </c>
      <c r="TF18" t="str">
        <f>IF(COUNTIF('Final Calculation Sheet'!$AL18:$BB18,0)+COUNTIF('Final Calculation Sheet'!$BD18:$BS18,0)&gt;0,0,1)</f>
      </c>
      <c r="TG18" t="str">
        <f>IF($CV$18="",FALSE,SUMPRODUCT(('Final Calculation Sheet'!$R$4:$R$40=$CV$18)*($TF$4:$TF$40=1))&gt;0)</f>
      </c>
      <c r="TH18" t="str">
        <f>=$TH17+--($TG18)</f>
      </c>
      <c r="TI18" t="str">
        <f>IF(ROW()-3&gt;MAX($TH$4:$TH$40),"",INDEX($CV$4:$CV$40,MATCH(ROW()-3,$TH$4:$TH$40,0)))</f>
      </c>
      <c r="TJ18" t="str">
        <f>IF(COUNTIF('Final Calculation Sheet'!$AL18:$BC18,0)+COUNTIF('Final Calculation Sheet'!$BE18:$BS18,0)&gt;0,0,1)</f>
      </c>
      <c r="TK18" t="str">
        <f>IF($DA$18="",FALSE,SUMPRODUCT(('Final Calculation Sheet'!$S$4:$S$40=$DA$18)*($TJ$4:$TJ$40=1))&gt;0)</f>
      </c>
      <c r="TL18" t="str">
        <f>=$TL17+--($TK18)</f>
      </c>
      <c r="TM18" t="str">
        <f>IF(ROW()-3&gt;MAX($TL$4:$TL$40),"",INDEX($DA$4:$DA$40,MATCH(ROW()-3,$TL$4:$TL$40,0)))</f>
      </c>
      <c r="TN18" t="str">
        <f>IF(COUNTIF('Final Calculation Sheet'!$AL18:$BD18,0)+COUNTIF('Final Calculation Sheet'!$BF18:$BS18,0)&gt;0,0,1)</f>
      </c>
      <c r="TO18" t="str">
        <f>IF($DF$18="",FALSE,SUMPRODUCT(('Final Calculation Sheet'!$T$4:$T$40=$DF$18)*($TN$4:$TN$40=1))&gt;0)</f>
      </c>
      <c r="TP18" t="str">
        <f>=$TP17+--($TO18)</f>
      </c>
      <c r="TQ18" t="str">
        <f>IF(ROW()-3&gt;MAX($TP$4:$TP$40),"",INDEX($DF$4:$DF$40,MATCH(ROW()-3,$TP$4:$TP$40,0)))</f>
      </c>
      <c r="TR18" t="str">
        <f>IF(COUNTIF('Final Calculation Sheet'!$AL18:$BE18,0)+COUNTIF('Final Calculation Sheet'!$BG18:$BS18,0)&gt;0,0,1)</f>
      </c>
      <c r="TS18" t="str">
        <f>IF($DK$18="",FALSE,SUMPRODUCT(('Final Calculation Sheet'!$U$4:$U$40=$DK$18)*($TR$4:$TR$40=1))&gt;0)</f>
      </c>
      <c r="TT18" t="str">
        <f>=$TT17+--($TS18)</f>
      </c>
      <c r="TU18" t="str">
        <f>IF(ROW()-3&gt;MAX($TT$4:$TT$40),"",INDEX($DK$4:$DK$40,MATCH(ROW()-3,$TT$4:$TT$40,0)))</f>
      </c>
      <c r="TV18" t="str">
        <f>IF(COUNTIF('Final Calculation Sheet'!$AL18:$BF18,0)+COUNTIF('Final Calculation Sheet'!$BH18:$BS18,0)&gt;0,0,1)</f>
      </c>
      <c r="TW18" t="str">
        <f>IF($DP$18="",FALSE,SUMPRODUCT(('Final Calculation Sheet'!$V$4:$V$40=$DP$18)*($TV$4:$TV$40=1))&gt;0)</f>
      </c>
      <c r="TX18" t="str">
        <f>=$TX17+--($TW18)</f>
      </c>
      <c r="TY18" t="str">
        <f>IF(ROW()-3&gt;MAX($TX$4:$TX$40),"",INDEX($DP$4:$DP$40,MATCH(ROW()-3,$TX$4:$TX$40,0)))</f>
      </c>
      <c r="TZ18" t="str">
        <f>IF(COUNTIF('Final Calculation Sheet'!$AL18:$BG18,0)+COUNTIF('Final Calculation Sheet'!$BI18:$BS18,0)&gt;0,0,1)</f>
      </c>
      <c r="UA18" t="str">
        <f>IF($DU$18="",FALSE,SUMPRODUCT(('Final Calculation Sheet'!$W$4:$W$40=$DU$18)*($TZ$4:$TZ$40=1))&gt;0)</f>
      </c>
      <c r="UB18" t="str">
        <f>=$UB17+--($UA18)</f>
      </c>
      <c r="UC18" t="str">
        <f>IF(ROW()-3&gt;MAX($UB$4:$UB$40),"",INDEX($DU$4:$DU$40,MATCH(ROW()-3,$UB$4:$UB$40,0)))</f>
      </c>
      <c r="UD18" t="str">
        <f>IF(COUNTIF('Final Calculation Sheet'!$AL18:$BH18,0)+COUNTIF('Final Calculation Sheet'!$BJ18:$BS18,0)&gt;0,0,1)</f>
      </c>
      <c r="UE18" t="str">
        <f>IF($DZ$18="",FALSE,SUMPRODUCT(('Final Calculation Sheet'!$X$4:$X$40=$DZ$18)*($UD$4:$UD$40=1))&gt;0)</f>
      </c>
      <c r="UF18" t="str">
        <f>=$UF17+--($UE18)</f>
      </c>
      <c r="UG18" t="str">
        <f>IF(ROW()-3&gt;MAX($UF$4:$UF$40),"",INDEX($DZ$4:$DZ$40,MATCH(ROW()-3,$UF$4:$UF$40,0)))</f>
      </c>
      <c r="UH18" t="str">
        <f>IF(COUNTIF('Final Calculation Sheet'!$AL18:$BI18,0)+COUNTIF('Final Calculation Sheet'!$BK18:$BS18,0)&gt;0,0,1)</f>
      </c>
      <c r="UI18" t="str">
        <f>IF($EE$18="",FALSE,SUMPRODUCT(('Final Calculation Sheet'!$Y$4:$Y$40=$EE$18)*($UH$4:$UH$40=1))&gt;0)</f>
      </c>
      <c r="UJ18" t="str">
        <f>=$UJ17+--($UI18)</f>
      </c>
      <c r="UK18" t="str">
        <f>IF(ROW()-3&gt;MAX($UJ$4:$UJ$40),"",INDEX($EE$4:$EE$40,MATCH(ROW()-3,$UJ$4:$UJ$40,0)))</f>
      </c>
      <c r="UL18" t="str">
        <f>IF(COUNTIF('Final Calculation Sheet'!$AL18:$BJ18,0)+COUNTIF('Final Calculation Sheet'!$BL18:$BS18,0)&gt;0,0,1)</f>
      </c>
      <c r="UM18" t="str">
        <f>IF($EJ$18="",FALSE,SUMPRODUCT(('Final Calculation Sheet'!$Z$4:$Z$40=$EJ$18)*($UL$4:$UL$40=1))&gt;0)</f>
      </c>
      <c r="UN18" t="str">
        <f>=$UN17+--($UM18)</f>
      </c>
      <c r="UO18" t="str">
        <f>IF(ROW()-3&gt;MAX($UN$4:$UN$40),"",INDEX($EJ$4:$EJ$40,MATCH(ROW()-3,$UN$4:$UN$40,0)))</f>
      </c>
      <c r="UP18" t="str">
        <f>IF(COUNTIF('Final Calculation Sheet'!$AL18:$BK18,0)+COUNTIF('Final Calculation Sheet'!$BM18:$BS18,0)&gt;0,0,1)</f>
      </c>
      <c r="UQ18" t="str">
        <f>IF($EO$18="",FALSE,SUMPRODUCT(('Final Calculation Sheet'!$AA$4:$AA$40=$EO$18)*($UP$4:$UP$40=1))&gt;0)</f>
      </c>
      <c r="UR18" t="str">
        <f>=$UR17+--($UQ18)</f>
      </c>
      <c r="US18" t="str">
        <f>IF(ROW()-3&gt;MAX($UR$4:$UR$40),"",INDEX($EO$4:$EO$40,MATCH(ROW()-3,$UR$4:$UR$40,0)))</f>
      </c>
      <c r="UT18" t="str">
        <f>IF(COUNTIF('Final Calculation Sheet'!$AL18:$BL18,0)+COUNTIF('Final Calculation Sheet'!$BN18:$BS18,0)&gt;0,0,1)</f>
      </c>
      <c r="UU18" t="str">
        <f>IF($ET$18="",FALSE,SUMPRODUCT(('Final Calculation Sheet'!$AB$4:$AB$40=$ET$18)*($UT$4:$UT$40=1))&gt;0)</f>
      </c>
      <c r="UV18" t="str">
        <f>=$UV17+--($UU18)</f>
      </c>
      <c r="UW18" t="str">
        <f>IF(ROW()-3&gt;MAX($UV$4:$UV$40),"",INDEX($ET$4:$ET$40,MATCH(ROW()-3,$UV$4:$UV$40,0)))</f>
      </c>
      <c r="UX18" t="str">
        <f>IF(COUNTIF('Final Calculation Sheet'!$AL18:$BM18,0)+COUNTIF('Final Calculation Sheet'!$BO18:$BS18,0)&gt;0,0,1)</f>
      </c>
      <c r="UY18" t="str">
        <f>IF($EY$18="",FALSE,SUMPRODUCT(('Final Calculation Sheet'!$AC$4:$AC$40=$EY$18)*($UX$4:$UX$40=1))&gt;0)</f>
      </c>
      <c r="UZ18" t="str">
        <f>=$UZ17+--($UY18)</f>
      </c>
      <c r="VA18" t="str">
        <f>IF(ROW()-3&gt;MAX($UZ$4:$UZ$40),"",INDEX($EY$4:$EY$40,MATCH(ROW()-3,$UZ$4:$UZ$40,0)))</f>
      </c>
      <c r="VB18" t="str">
        <f>IF(COUNTIF('Final Calculation Sheet'!$AL18:$BN18,0)+COUNTIF('Final Calculation Sheet'!$BP18:$BS18,0)&gt;0,0,1)</f>
      </c>
      <c r="VC18" t="str">
        <f>IF($FD$18="",FALSE,SUMPRODUCT(('Final Calculation Sheet'!$AD$4:$AD$40=$FD$18)*($VB$4:$VB$40=1))&gt;0)</f>
      </c>
      <c r="VD18" t="str">
        <f>=$VD17+--($VC18)</f>
      </c>
      <c r="VE18" t="str">
        <f>IF(ROW()-3&gt;MAX($VD$4:$VD$40),"",INDEX($FD$4:$FD$40,MATCH(ROW()-3,$VD$4:$VD$40,0)))</f>
      </c>
      <c r="VF18" t="str">
        <f>IF(COUNTIF('Final Calculation Sheet'!$AL18:$BO18,0)+COUNTIF('Final Calculation Sheet'!$BQ18:$BS18,0)&gt;0,0,1)</f>
      </c>
      <c r="VG18" t="str">
        <f>IF($FI$18="",FALSE,SUMPRODUCT(('Final Calculation Sheet'!$AE$4:$AE$40=$FI$18)*($VF$4:$VF$40=1))&gt;0)</f>
      </c>
      <c r="VH18" t="str">
        <f>=$VH17+--($VG18)</f>
      </c>
      <c r="VI18" t="str">
        <f>IF(ROW()-3&gt;MAX($VH$4:$VH$40),"",INDEX($FI$4:$FI$40,MATCH(ROW()-3,$VH$4:$VH$40,0)))</f>
      </c>
      <c r="VJ18" t="str">
        <f>IF(COUNTIF('Final Calculation Sheet'!$AL18:$BP18,0)+COUNTIF('Final Calculation Sheet'!$BR18:$BS18,0)&gt;0,0,1)</f>
      </c>
      <c r="VK18" t="str">
        <f>IF($FN$18="",FALSE,SUMPRODUCT(('Final Calculation Sheet'!$AF$4:$AF$40=$FN$18)*($VJ$4:$VJ$40=1))&gt;0)</f>
      </c>
      <c r="VL18" t="str">
        <f>=$VL17+--($VK18)</f>
      </c>
      <c r="VM18" t="str">
        <f>IF(ROW()-3&gt;MAX($VL$4:$VL$40),"",INDEX($FN$4:$FN$40,MATCH(ROW()-3,$VL$4:$VL$40,0)))</f>
      </c>
      <c r="VN18" t="str">
        <f>IF(COUNTIF('Final Calculation Sheet'!$AL18:$BQ18,0)+COUNTIF('Final Calculation Sheet'!$BS18:$BS18,0)&gt;0,0,1)</f>
      </c>
      <c r="VO18" t="str">
        <f>IF($FS$18="",FALSE,SUMPRODUCT(('Final Calculation Sheet'!$AG$4:$AG$40=$FS$18)*($VN$4:$VN$40=1))&gt;0)</f>
      </c>
      <c r="VP18" t="str">
        <f>=$VP17+--($VO18)</f>
      </c>
      <c r="VQ18" t="str">
        <f>IF(ROW()-3&gt;MAX($VP$4:$VP$40),"",INDEX($FS$4:$FS$40,MATCH(ROW()-3,$VP$4:$VP$40,0)))</f>
      </c>
      <c r="VR18" t="str">
        <f>IF(COUNTIF('Final Calculation Sheet'!$AL18:$BR18,0)&gt;0,0,1)</f>
      </c>
      <c r="VS18" t="str">
        <f>IF($QO$18="",FALSE,SUMPRODUCT(('Final Calculation Sheet'!$AH$4:$AH$40=$QO$18)*($VR$4:$VR$40=1))&gt;0)</f>
      </c>
      <c r="VT18" t="str">
        <f>=$VT17+--($VS18)</f>
      </c>
      <c r="VU18" t="str">
        <f>IF(ROW()-3&gt;MAX($VT$4:$VT$40),"",INDEX($QO$4:$QO$40,MATCH(ROW()-3,$VT$4:$VT$40,0)))</f>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IF(ROW()-3&gt;MAX($LC$4:$LC$40),"",INDEX($FS$4:$FS$40,MATCH(ROW()-3,$LC$4:$LC$40,0)))</f>
        <v/>
      </c>
      <c r="LE19">
        <f>IF(COUNTIF('Buyer Groups'!DH19:EN19,0)&gt;0,0,1)</f>
        <v/>
      </c>
      <c r="LF19">
        <f>IF($O$19="",FALSE,SUMPRODUCT(('Final Calculation Sheet'!$F$4:$F$40=$O$19)*($LE$6:$LE$42=1))&gt;0)</f>
        <v/>
      </c>
      <c r="LG19">
        <f>$LG$18+--($LF19)</f>
        <v/>
      </c>
      <c r="LH19">
        <f>IF(ROW()-3&gt;MAX($LG$4:$LG$40),"",INDEX($O$4:$O$40,MATCH(ROW()-3,$LG$4:$LG$40,0)))</f>
        <v/>
      </c>
      <c r="LI19">
        <f>IF(COUNTIF('Buyer Groups'!DG19:DG19,0)+COUNTIF('Buyer Groups'!DI19:EN19,0)&gt;0,0,1)</f>
        <v/>
      </c>
      <c r="LJ19">
        <f>IF($T$19="",FALSE,SUMPRODUCT(('Final Calculation Sheet'!$G$4:$G$40=$T$19)*($LI$6:$LI$42=1))&gt;0)</f>
        <v/>
      </c>
      <c r="LK19">
        <f>$LK$18+--($LJ19)</f>
        <v/>
      </c>
      <c r="LL19">
        <f>IF(ROW()-3&gt;MAX($LK$4:$LK$40),"",INDEX($T$4:$T$40,MATCH(ROW()-3,$LK$4:$LK$40,0)))</f>
        <v/>
      </c>
      <c r="LM19">
        <f>IF(COUNTIF('Buyer Groups'!DG19:DH19,0)+COUNTIF('Buyer Groups'!DJ19:EN19,0)&gt;0,0,1)</f>
        <v/>
      </c>
      <c r="LN19">
        <f>IF($Y$19="",FALSE,SUMPRODUCT(('Final Calculation Sheet'!$B$4:$B$40=$Y$19)*($LM$6:$LM$42=1))&gt;0)</f>
        <v/>
      </c>
      <c r="LO19">
        <f>$LO$18+--($LN19)</f>
        <v/>
      </c>
      <c r="LP19">
        <f>IF(ROW()-3&gt;MAX($LO$4:$LO$40),"",INDEX($Y$4:$Y$40,MATCH(ROW()-3,$LO$4:$LO$40,0)))</f>
        <v/>
      </c>
      <c r="LQ19">
        <f>IF(COUNTIF('Buyer Groups'!DG19:DI19,0)+COUNTIF('Buyer Groups'!DK19:EN19,0)&gt;0,0,1)</f>
        <v/>
      </c>
      <c r="LR19">
        <f>IF($AD$19="",FALSE,SUMPRODUCT(('Final Calculation Sheet'!$D$4:$D$40=$AD$19)*($LQ$6:$LQ$42=1))&gt;0)</f>
        <v/>
      </c>
      <c r="LS19">
        <f>$LS$18+--($LR19)</f>
        <v/>
      </c>
      <c r="LT19">
        <f>IF(ROW()-3&gt;MAX($LS$4:$LS$40),"",INDEX($AD$4:$AD$40,MATCH(ROW()-3,$LS$4:$LS$40,0)))</f>
        <v/>
      </c>
      <c r="LU19">
        <f>IF(COUNTIF('Buyer Groups'!DG19:DJ19,0)+COUNTIF('Buyer Groups'!DL19:EN19,0)&gt;0,0,1)</f>
        <v/>
      </c>
      <c r="LV19">
        <f>IF($AI$19="",FALSE,SUMPRODUCT(('Final Calculation Sheet'!$A$4:$A$40=$AI$19)*($LU$6:$LU$42=1))&gt;0)</f>
        <v/>
      </c>
      <c r="LW19">
        <f>$LW$18+--($LV19)</f>
        <v/>
      </c>
      <c r="LX19">
        <f>IF(ROW()-3&gt;MAX($LW$4:$LW$40),"",INDEX($AI$4:$AI$40,MATCH(ROW()-3,$LW$4:$LW$40,0)))</f>
        <v/>
      </c>
      <c r="LY19">
        <f>IF(COUNTIF('Buyer Groups'!DG19:DK19,0)+COUNTIF('Buyer Groups'!DM19:EN19,0)&gt;0,0,1)</f>
        <v/>
      </c>
      <c r="LZ19">
        <f>IF($AN$19="",FALSE,SUMPRODUCT(('Final Calculation Sheet'!$E$4:$E$40=$AN$19)*($LY$6:$LY$42=1))&gt;0)</f>
        <v/>
      </c>
      <c r="MA19">
        <f>$MA$18+--($LZ19)</f>
        <v/>
      </c>
      <c r="MB19">
        <f>IF(ROW()-3&gt;MAX($MA$4:$MA$40),"",INDEX($AN$4:$AN$40,MATCH(ROW()-3,$MA$4:$MA$40,0)))</f>
        <v/>
      </c>
      <c r="MC19">
        <f>IF(COUNTIF('Buyer Groups'!DG19:DL19,0)+COUNTIF('Buyer Groups'!DN19:EN19,0)&gt;0,0,1)</f>
        <v/>
      </c>
      <c r="MD19">
        <f>IF($AS$19="",FALSE,SUMPRODUCT(('Final Calculation Sheet'!$C$4:$C$40=$AS$19)*($MC$6:$MC$42=1))&gt;0)</f>
        <v/>
      </c>
      <c r="ME19">
        <f>$ME$18+--($MD19)</f>
        <v/>
      </c>
      <c r="MF19">
        <f>IF(ROW()-3&gt;MAX($ME$4:$ME$40),"",INDEX($AS$4:$AS$40,MATCH(ROW()-3,$ME$4:$ME$40,0)))</f>
        <v/>
      </c>
      <c r="MG19">
        <f>IF(COUNTIF('Buyer Groups'!DG19:DM19,0)+COUNTIF('Buyer Groups'!DO19:EN19,0)&gt;0,0,1)</f>
        <v/>
      </c>
      <c r="MH19">
        <f>IF($AX$19="",FALSE,SUMPRODUCT(('Final Calculation Sheet'!$H$4:$H$40=$AX$19)*($MG$6:$MG$42=1))&gt;0)</f>
        <v/>
      </c>
      <c r="MI19">
        <f>$MI$18+--($MH19)</f>
        <v/>
      </c>
      <c r="MJ19">
        <f>IF(ROW()-3&gt;MAX($MI$4:$MI$40),"",INDEX($AX$4:$AX$40,MATCH(ROW()-3,$MI$4:$MI$40,0)))</f>
        <v/>
      </c>
      <c r="MK19">
        <f>IF(COUNTIF('Buyer Groups'!DG19:DN19,0)+COUNTIF('Buyer Groups'!DP19:EN19,0)&gt;0,0,1)</f>
        <v/>
      </c>
      <c r="ML19">
        <f>IF($BC$19="",FALSE,SUMPRODUCT(('Final Calculation Sheet'!$I$4:$I$40=$BC$19)*($MK$6:$MK$42=1))&gt;0)</f>
        <v/>
      </c>
      <c r="MM19">
        <f>$MM$18+--($ML19)</f>
        <v/>
      </c>
      <c r="MN19">
        <f>IF(ROW()-3&gt;MAX($MM$4:$MM$40),"",INDEX($BC$4:$BC$40,MATCH(ROW()-3,$MM$4:$MM$40,0)))</f>
        <v/>
      </c>
      <c r="MO19">
        <f>IF(COUNTIF('Buyer Groups'!DG19:DO19,0)+COUNTIF('Buyer Groups'!DQ19:EN19,0)&gt;0,0,1)</f>
        <v/>
      </c>
      <c r="MP19">
        <f>IF($BH$19="",FALSE,SUMPRODUCT(('Final Calculation Sheet'!$J$4:$J$40=$BH$19)*($MO$6:$MO$42=1))&gt;0)</f>
        <v/>
      </c>
      <c r="MQ19">
        <f>$MQ$18+--($MP19)</f>
        <v/>
      </c>
      <c r="MR19">
        <f>IF(ROW()-3&gt;MAX($MQ$4:$MQ$40),"",INDEX($BH$4:$BH$40,MATCH(ROW()-3,$MQ$4:$MQ$40,0)))</f>
        <v/>
      </c>
      <c r="MS19">
        <f>IF(COUNTIF('Buyer Groups'!DG19:DP19,0)+COUNTIF('Buyer Groups'!DR19:EN19,0)&gt;0,0,1)</f>
        <v/>
      </c>
      <c r="MT19">
        <f>IF($BM$19="",FALSE,SUMPRODUCT(('Final Calculation Sheet'!$K$4:$K$40=$BM$19)*($MS$6:$MS$42=1))&gt;0)</f>
        <v/>
      </c>
      <c r="MU19">
        <f>$MU$18+--($MT19)</f>
        <v/>
      </c>
      <c r="MV19">
        <f>IF(ROW()-3&gt;MAX($MU$4:$MU$40),"",INDEX($BM$4:$BM$40,MATCH(ROW()-3,$MU$4:$MU$40,0)))</f>
        <v/>
      </c>
      <c r="MW19">
        <f>IF(COUNTIF('Buyer Groups'!DG19:DQ19,0)+COUNTIF('Buyer Groups'!DS19:EN19,0)&gt;0,0,1)</f>
        <v/>
      </c>
      <c r="MX19">
        <f>IF($BR$19="",FALSE,SUMPRODUCT(('Final Calculation Sheet'!$L$4:$L$40=$BR$19)*($MW$6:$MW$42=1))&gt;0)</f>
        <v/>
      </c>
      <c r="MY19">
        <f>$MY$18+--($MX19)</f>
        <v/>
      </c>
      <c r="MZ19">
        <f>IF(ROW()-3&gt;MAX($MY$4:$MY$40),"",INDEX($BR$4:$BR$40,MATCH(ROW()-3,$MY$4:$MY$40,0)))</f>
        <v/>
      </c>
      <c r="NA19">
        <f>IF(COUNTIF('Buyer Groups'!DG19:DR19,0)+COUNTIF('Buyer Groups'!DT19:EN19,0)&gt;0,0,1)</f>
        <v/>
      </c>
      <c r="NB19">
        <f>IF($BW$19="",FALSE,SUMPRODUCT(('Final Calculation Sheet'!$M$4:$M$40=$BW$19)*($NA$6:$NA$42=1))&gt;0)</f>
        <v/>
      </c>
      <c r="NC19">
        <f>$NC$18+--($NB19)</f>
        <v/>
      </c>
      <c r="ND19">
        <f>IF(ROW()-3&gt;MAX($NC$4:$NC$40),"",INDEX($BW$4:$BW$40,MATCH(ROW()-3,$NC$4:$NC$40,0)))</f>
        <v/>
      </c>
      <c r="NE19">
        <f>IF(COUNTIF('Buyer Groups'!DG19:DS19,0)+COUNTIF('Buyer Groups'!DU19:EN19,0)&gt;0,0,1)</f>
        <v/>
      </c>
      <c r="NF19">
        <f>IF($CB$19="",FALSE,SUMPRODUCT(('Final Calculation Sheet'!$N$4:$N$40=$CB$19)*($NE$6:$NE$42=1))&gt;0)</f>
        <v/>
      </c>
      <c r="NG19">
        <f>$NG$18+--($NF19)</f>
        <v/>
      </c>
      <c r="NH19">
        <f>IF(ROW()-3&gt;MAX($NG$4:$NG$40),"",INDEX($CB$4:$CB$40,MATCH(ROW()-3,$NG$4:$NG$40,0)))</f>
        <v/>
      </c>
      <c r="NI19">
        <f>IF(COUNTIF('Buyer Groups'!DG19:DT19,0)+COUNTIF('Buyer Groups'!DV19:EN19,0)&gt;0,0,1)</f>
        <v/>
      </c>
      <c r="NJ19">
        <f>IF($CG$19="",FALSE,SUMPRODUCT(('Final Calculation Sheet'!$O$4:$O$40=$CG$19)*($NI$6:$NI$42=1))&gt;0)</f>
        <v/>
      </c>
      <c r="NK19">
        <f>$NK$18+--($NJ19)</f>
        <v/>
      </c>
      <c r="NL19">
        <f>IF(ROW()-3&gt;MAX($NK$4:$NK$40),"",INDEX($CG$4:$CG$40,MATCH(ROW()-3,$NK$4:$NK$40,0)))</f>
        <v/>
      </c>
      <c r="NM19">
        <f>IF(COUNTIF('Buyer Groups'!DG19:DU19,0)+COUNTIF('Buyer Groups'!DW19:EN19,0)&gt;0,0,1)</f>
        <v/>
      </c>
      <c r="NN19">
        <f>IF($CL$19="",FALSE,SUMPRODUCT(('Final Calculation Sheet'!$P$4:$P$40=$CL$19)*($NM$6:$NM$42=1))&gt;0)</f>
        <v/>
      </c>
      <c r="NO19">
        <f>$NO$18+--($NN19)</f>
        <v/>
      </c>
      <c r="NP19">
        <f>IF(ROW()-3&gt;MAX($NO$4:$NO$40),"",INDEX($CL$4:$CL$40,MATCH(ROW()-3,$NO$4:$NO$40,0)))</f>
        <v/>
      </c>
      <c r="NQ19">
        <f>IF(COUNTIF('Buyer Groups'!DG19:DV19,0)+COUNTIF('Buyer Groups'!DX19:EN19,0)&gt;0,0,1)</f>
        <v/>
      </c>
      <c r="NR19">
        <f>IF($CQ$19="",FALSE,SUMPRODUCT(('Final Calculation Sheet'!$Q$4:$Q$40=$CQ$19)*($NQ$6:$NQ$42=1))&gt;0)</f>
        <v/>
      </c>
      <c r="NS19">
        <f>$NS$18+--($NR19)</f>
        <v/>
      </c>
      <c r="NT19">
        <f>IF(ROW()-3&gt;MAX($NS$4:$NS$40),"",INDEX($CQ$4:$CQ$40,MATCH(ROW()-3,$NS$4:$NS$40,0)))</f>
        <v/>
      </c>
      <c r="NU19">
        <f>IF(COUNTIF('Buyer Groups'!DG19:DW19,0)+COUNTIF('Buyer Groups'!DY19:EN19,0)&gt;0,0,1)</f>
        <v/>
      </c>
      <c r="NV19">
        <f>IF($CV$19="",FALSE,SUMPRODUCT(('Final Calculation Sheet'!$R$4:$R$40=$CV$19)*($NU$6:$NU$42=1))&gt;0)</f>
        <v/>
      </c>
      <c r="NW19">
        <f>$NW$18+--($NV19)</f>
        <v/>
      </c>
      <c r="NX19">
        <f>IF(ROW()-3&gt;MAX($NW$4:$NW$40),"",INDEX($CV$4:$CV$40,MATCH(ROW()-3,$NW$4:$NW$40,0)))</f>
        <v/>
      </c>
      <c r="NY19">
        <f>IF(COUNTIF('Buyer Groups'!DG19:DX19,0)+COUNTIF('Buyer Groups'!DZ19:EN19,0)&gt;0,0,1)</f>
        <v/>
      </c>
      <c r="NZ19">
        <f>IF($DA$19="",FALSE,SUMPRODUCT(('Final Calculation Sheet'!$S$4:$S$40=$DA$19)*($NY$6:$NY$42=1))&gt;0)</f>
        <v/>
      </c>
      <c r="OA19">
        <f>$OA$18+--($NZ19)</f>
        <v/>
      </c>
      <c r="OB19">
        <f>IF(ROW()-3&gt;MAX($OA$4:$OA$40),"",INDEX($DA$4:$DA$40,MATCH(ROW()-3,$OA$4:$OA$40,0)))</f>
        <v/>
      </c>
      <c r="OC19">
        <f>IF(COUNTIF('Buyer Groups'!DG19:DY19,0)+COUNTIF('Buyer Groups'!EA19:EN19,0)&gt;0,0,1)</f>
        <v/>
      </c>
      <c r="OD19">
        <f>IF($DF$19="",FALSE,SUMPRODUCT(('Final Calculation Sheet'!$T$4:$T$40=$DF$19)*($OC$6:$OC$42=1))&gt;0)</f>
        <v/>
      </c>
      <c r="OE19">
        <f>$OE$18+--($OD19)</f>
        <v/>
      </c>
      <c r="OF19">
        <f>IF(ROW()-3&gt;MAX($OE$4:$OE$40),"",INDEX($DF$4:$DF$40,MATCH(ROW()-3,$OE$4:$OE$40,0)))</f>
        <v/>
      </c>
      <c r="OG19">
        <f>IF(COUNTIF('Buyer Groups'!DG19:DZ19,0)+COUNTIF('Buyer Groups'!EB19:EN19,0)&gt;0,0,1)</f>
        <v/>
      </c>
      <c r="OH19">
        <f>IF($DK$19="",FALSE,SUMPRODUCT(('Final Calculation Sheet'!$U$4:$U$40=$DK$19)*($OG$6:$OG$42=1))&gt;0)</f>
        <v/>
      </c>
      <c r="OI19">
        <f>$OI$18+--($OH19)</f>
        <v/>
      </c>
      <c r="OJ19">
        <f>IF(ROW()-3&gt;MAX($OI$4:$OI$40),"",INDEX($DK$4:$DK$40,MATCH(ROW()-3,$OI$4:$OI$40,0)))</f>
        <v/>
      </c>
      <c r="OK19">
        <f>IF(COUNTIF('Buyer Groups'!DG19:EA19,0)+COUNTIF('Buyer Groups'!EC19:EN19,0)&gt;0,0,1)</f>
        <v/>
      </c>
      <c r="OL19">
        <f>IF($DP$19="",FALSE,SUMPRODUCT(('Final Calculation Sheet'!$V$4:$V$40=$DP$19)*($OK$6:$OK$42=1))&gt;0)</f>
        <v/>
      </c>
      <c r="OM19">
        <f>$OM$18+--($OL19)</f>
        <v/>
      </c>
      <c r="ON19">
        <f>IF(ROW()-3&gt;MAX($OM$4:$OM$40),"",INDEX($DP$4:$DP$40,MATCH(ROW()-3,$OM$4:$OM$40,0)))</f>
        <v/>
      </c>
      <c r="OO19">
        <f>IF(COUNTIF('Buyer Groups'!DG19:EB19,0)+COUNTIF('Buyer Groups'!ED19:EN19,0)&gt;0,0,1)</f>
        <v/>
      </c>
      <c r="OP19">
        <f>IF($DU$19="",FALSE,SUMPRODUCT(('Final Calculation Sheet'!$W$4:$W$40=$DU$19)*($OO$6:$OO$42=1))&gt;0)</f>
        <v/>
      </c>
      <c r="OQ19">
        <f>$OQ$18+--($OP19)</f>
        <v/>
      </c>
      <c r="OR19">
        <f>IF(ROW()-3&gt;MAX($OQ$4:$OQ$40),"",INDEX($DU$4:$DU$40,MATCH(ROW()-3,$OQ$4:$OQ$40,0)))</f>
        <v/>
      </c>
      <c r="OS19">
        <f>IF(COUNTIF('Buyer Groups'!DG19:EC19,0)+COUNTIF('Buyer Groups'!EE19:EN19,0)&gt;0,0,1)</f>
        <v/>
      </c>
      <c r="OT19">
        <f>IF($DZ$19="",FALSE,SUMPRODUCT(('Final Calculation Sheet'!$X$4:$X$40=$DZ$19)*($OS$6:$OS$42=1))&gt;0)</f>
        <v/>
      </c>
      <c r="OU19">
        <f>$OU$18+--($OT19)</f>
        <v/>
      </c>
      <c r="OV19">
        <f>IF(ROW()-3&gt;MAX($OU$4:$OU$40),"",INDEX($DZ$4:$DZ$40,MATCH(ROW()-3,$OU$4:$OU$40,0)))</f>
        <v/>
      </c>
      <c r="OW19">
        <f>IF(COUNTIF('Buyer Groups'!DG19:ED19,0)+COUNTIF('Buyer Groups'!EF19:EN19,0)&gt;0,0,1)</f>
        <v/>
      </c>
      <c r="OX19">
        <f>IF($EE$19="",FALSE,SUMPRODUCT(('Final Calculation Sheet'!$Y$4:$Y$40=$EE$19)*($OW$6:$OW$42=1))&gt;0)</f>
        <v/>
      </c>
      <c r="OY19">
        <f>$OY$18+--($OX19)</f>
        <v/>
      </c>
      <c r="OZ19">
        <f>IF(ROW()-3&gt;MAX($OY$4:$OY$40),"",INDEX($EE$4:$EE$40,MATCH(ROW()-3,$OY$4:$OY$40,0)))</f>
        <v/>
      </c>
      <c r="PA19">
        <f>IF(COUNTIF('Buyer Groups'!DG19:EE19,0)+COUNTIF('Buyer Groups'!EG19:EN19,0)&gt;0,0,1)</f>
        <v/>
      </c>
      <c r="PB19">
        <f>IF($EJ$19="",FALSE,SUMPRODUCT(('Final Calculation Sheet'!$Z$4:$Z$40=$EJ$19)*($PA$6:$PA$42=1))&gt;0)</f>
        <v/>
      </c>
      <c r="PC19">
        <f>$PC$18+--($PB19)</f>
        <v/>
      </c>
      <c r="PD19">
        <f>IF(ROW()-3&gt;MAX($PC$4:$PC$40),"",INDEX($EJ$4:$EJ$40,MATCH(ROW()-3,$PC$4:$PC$40,0)))</f>
        <v/>
      </c>
      <c r="PE19">
        <f>IF(COUNTIF('Buyer Groups'!DG19:EF19,0)+COUNTIF('Buyer Groups'!EH19:EN19,0)&gt;0,0,1)</f>
        <v/>
      </c>
      <c r="PF19">
        <f>IF($EO$19="",FALSE,SUMPRODUCT(('Final Calculation Sheet'!$AA$4:$AA$40=$EO$19)*($PE$6:$PE$42=1))&gt;0)</f>
        <v/>
      </c>
      <c r="PG19">
        <f>$PG$18+--($PF19)</f>
        <v/>
      </c>
      <c r="PH19">
        <f>IF(ROW()-3&gt;MAX($PG$4:$PG$40),"",INDEX($EO$4:$EO$40,MATCH(ROW()-3,$PG$4:$PG$40,0)))</f>
        <v/>
      </c>
      <c r="PI19">
        <f>IF(COUNTIF('Buyer Groups'!DG19:EG19,0)+COUNTIF('Buyer Groups'!EI19:EN19,0)&gt;0,0,1)</f>
        <v/>
      </c>
      <c r="PJ19">
        <f>IF($ET$19="",FALSE,SUMPRODUCT(('Final Calculation Sheet'!$AB$4:$AB$40=$ET$19)*($PI$6:$PI$42=1))&gt;0)</f>
        <v/>
      </c>
      <c r="PK19">
        <f>$PK$18+--($PJ19)</f>
        <v/>
      </c>
      <c r="PL19">
        <f>IF(ROW()-3&gt;MAX($PK$4:$PK$40),"",INDEX($ET$4:$ET$40,MATCH(ROW()-3,$PK$4:$PK$40,0)))</f>
        <v/>
      </c>
      <c r="PM19">
        <f>IF(COUNTIF('Buyer Groups'!DG19:EH19,0)+COUNTIF('Buyer Groups'!EJ19:EN19,0)&gt;0,0,1)</f>
        <v/>
      </c>
      <c r="PN19">
        <f>IF($EY$19="",FALSE,SUMPRODUCT(('Final Calculation Sheet'!$AC$4:$AC$40=$EY$19)*($PM$6:$PM$42=1))&gt;0)</f>
        <v/>
      </c>
      <c r="PO19">
        <f>$PO$18+--($PN19)</f>
        <v/>
      </c>
      <c r="PP19">
        <f>IF(ROW()-3&gt;MAX($PO$4:$PO$40),"",INDEX($EY$4:$EY$40,MATCH(ROW()-3,$PO$4:$PO$40,0)))</f>
        <v/>
      </c>
      <c r="PQ19">
        <f>IF(COUNTIF('Buyer Groups'!DG19:EI19,0)+COUNTIF('Buyer Groups'!EK19:EN19,0)&gt;0,0,1)</f>
        <v/>
      </c>
      <c r="PR19">
        <f>IF($FD$19="",FALSE,SUMPRODUCT(('Final Calculation Sheet'!$AD$4:$AD$40=$FD$19)*($PQ$6:$PQ$42=1))&gt;0)</f>
        <v/>
      </c>
      <c r="PS19">
        <f>$PS$18+--($PR19)</f>
        <v/>
      </c>
      <c r="PT19">
        <f>IF(ROW()-3&gt;MAX($PS$4:$PS$40),"",INDEX($FD$4:$FD$40,MATCH(ROW()-3,$PS$4:$PS$40,0)))</f>
        <v/>
      </c>
      <c r="PU19">
        <f>IF(COUNTIF('Buyer Groups'!DG19:EJ19,0)+COUNTIF('Buyer Groups'!EL19:EN19,0)&gt;0,0,1)</f>
        <v/>
      </c>
      <c r="PV19">
        <f>IF($FX$19="",FALSE,SUMPRODUCT((IF('Final Calculation Sheet'!$AD$4:$AD$40&lt;=5,"SETTLED","OUTSTANDING")=$FX$19)*($PU$6:$PU$42=1))&gt;0)</f>
        <v/>
      </c>
      <c r="PW19">
        <f>$PW$18+--($PV19)</f>
        <v/>
      </c>
      <c r="PX19">
        <f>IF(ROW()-3&gt;MAX($PW$4:$PW$40),"",INDEX($FX$4:$FX$40,MATCH(ROW()-3,$PW$4:$PW$40,0)))</f>
        <v/>
      </c>
      <c r="PY19">
        <f>IF(COUNTIF('Buyer Groups'!DG19:EK19,0)+COUNTIF('Buyer Groups'!EM19:EN19,0)&gt;0,0,1)</f>
        <v/>
      </c>
      <c r="PZ19">
        <f>IF($FI$19="",FALSE,SUMPRODUCT(('Final Calculation Sheet'!$AF$4:$AF$40=$FI$19)*($PY$6:$PY$42=1))&gt;0)</f>
        <v/>
      </c>
      <c r="QA19">
        <f>$QA$18+--($PZ19)</f>
        <v/>
      </c>
      <c r="QB19">
        <f>IF(ROW()-3&gt;MAX($QA$4:$QA$40),"",INDEX($FI$4:$FI$40,MATCH(ROW()-3,$QA$4:$QA$40,0)))</f>
        <v/>
      </c>
      <c r="QC19">
        <f>IF(COUNTIF('Buyer Groups'!DG19:EL19,0)+COUNTIF('Buyer Groups'!EN19:EN19,0)&gt;0,0,1)</f>
        <v/>
      </c>
      <c r="QD19">
        <f>IF($FN$19="",FALSE,SUMPRODUCT(('Final Calculation Sheet'!$AG$4:$AG$40=$FN$19)*($QC$6:$QC$42=1))&gt;0)</f>
        <v/>
      </c>
      <c r="QE19">
        <f>$QE$18+--($QD19)</f>
        <v/>
      </c>
      <c r="QF19">
        <f>IF(ROW()-3&gt;MAX($QE$4:$QE$40),"",INDEX($FN$4:$FN$40,MATCH(ROW()-3,$QE$4:$QE$40,0)))</f>
        <v/>
      </c>
      <c r="QG19">
        <f>IF(COUNTIF('Buyer Groups'!DG19:EM19,0)&gt;0,0,1)</f>
        <v/>
      </c>
      <c r="QH19">
        <f>IF($FS$19="",FALSE,SUMPRODUCT(('Final Calculation Sheet'!$AH$4:$AH$40=$FS$19)*($QG$6:$QG$42=1))&gt;0)</f>
        <v/>
      </c>
      <c r="QI19">
        <f>$QI$18+--($QH19)</f>
        <v/>
      </c>
      <c r="QJ19">
        <f>IF(ROW()-3&gt;MAX($QI$4:$QI$40),"",INDEX($FS$4:$FS$40,MATCH(ROW()-3,$QI$4:$QI$40,0)))</f>
        <v/>
      </c>
      <c r="QK19" t="str">
        <f>IF('Final Calculation Sheet'!$AH$19="","",'Final Calculation Sheet'!$AH$19)</f>
      </c>
      <c r="QL19" t="str">
        <f>IF(QK19="","",COUNTIFS(QK$4:QK$40,"&lt;"&amp;QK19,QK$4:QK$40,"&lt;&gt;"&amp;"")+COUNTIF(QK$4:QK19,QK19))</f>
      </c>
      <c r="QM19" t="str">
        <f>IF(ROW()-3&gt;COUNTIF(QK$4:QK$40,"&lt;&gt;"&amp;""),"",INDEX(QK$4:QK$40,MATCH(ROW()-3,QL$4:QL$40,0)))</f>
      </c>
      <c r="QN19" t="str">
        <f>=QN18+F(AND(QM19&lt;&gt;"",COUNTIF(QM$4:QM19,QM19)=1),1,0)</f>
      </c>
      <c r="QO19" t="str">
        <f>IF(ROW()-3&gt;MAX(QN$4:QN$40),"",INDEX(QM$4:QM$40,MATCH(ROW()-3,QN$4:QN$40,0)))</f>
      </c>
      <c r="QP19" t="str">
        <f>IF(COUNTIF('Final Calculation Sheet'!$AM19:$BS19,0)&gt;0,0,1)</f>
      </c>
      <c r="QQ19" t="str">
        <f>IF($AI$19="",FALSE,SUMPRODUCT(('Final Calculation Sheet'!$A$4:$A$40=$AI$19)*($QP$4:$QP$40=1))&gt;0)</f>
      </c>
      <c r="QR19" t="str">
        <f>=$QR18+--($QQ19)</f>
      </c>
      <c r="QS19" t="str">
        <f>IF(ROW()-3&gt;MAX($QR$4:$QR$40),"",INDEX($AI$4:$AI$40,MATCH(ROW()-3,$QR$4:$QR$40,0)))</f>
      </c>
      <c r="QT19" t="str">
        <f>IF(COUNTIF('Final Calculation Sheet'!$AL19:$AL19,0)+COUNTIF('Final Calculation Sheet'!$AN19:$BS19,0)&gt;0,0,1)</f>
      </c>
      <c r="QU19" t="str">
        <f>IF($Y$19="",FALSE,SUMPRODUCT(('Final Calculation Sheet'!$B$4:$B$40=$Y$19)*($QT$4:$QT$40=1))&gt;0)</f>
      </c>
      <c r="QV19" t="str">
        <f>=$QV18+--($QU19)</f>
      </c>
      <c r="QW19" t="str">
        <f>IF(ROW()-3&gt;MAX($QV$4:$QV$40),"",INDEX($Y$4:$Y$40,MATCH(ROW()-3,$QV$4:$QV$40,0)))</f>
      </c>
      <c r="QX19" t="str">
        <f>IF(COUNTIF('Final Calculation Sheet'!$AL19:$AM19,0)+COUNTIF('Final Calculation Sheet'!$AO19:$BS19,0)&gt;0,0,1)</f>
      </c>
      <c r="QY19" t="str">
        <f>IF($AS$19="",FALSE,SUMPRODUCT(('Final Calculation Sheet'!$C$4:$C$40=$AS$19)*($QX$4:$QX$40=1))&gt;0)</f>
      </c>
      <c r="QZ19" t="str">
        <f>=$QZ18+--($QY19)</f>
      </c>
      <c r="RA19" t="str">
        <f>IF(ROW()-3&gt;MAX($QZ$4:$QZ$40),"",INDEX($AS$4:$AS$40,MATCH(ROW()-3,$QZ$4:$QZ$40,0)))</f>
      </c>
      <c r="RB19" t="str">
        <f>IF(COUNTIF('Final Calculation Sheet'!$AL19:$AN19,0)+COUNTIF('Final Calculation Sheet'!$AP19:$BS19,0)&gt;0,0,1)</f>
      </c>
      <c r="RC19" t="str">
        <f>IF($AD$19="",FALSE,SUMPRODUCT(('Final Calculation Sheet'!$D$4:$D$40=$AD$19)*($RB$4:$RB$40=1))&gt;0)</f>
      </c>
      <c r="RD19" t="str">
        <f>=$RD18+--($RC19)</f>
      </c>
      <c r="RE19" t="str">
        <f>IF(ROW()-3&gt;MAX($RD$4:$RD$40),"",INDEX($AD$4:$AD$40,MATCH(ROW()-3,$RD$4:$RD$40,0)))</f>
      </c>
      <c r="RF19" t="str">
        <f>IF(COUNTIF('Final Calculation Sheet'!$AL19:$AO19,0)+COUNTIF('Final Calculation Sheet'!$AQ19:$BS19,0)&gt;0,0,1)</f>
      </c>
      <c r="RG19" t="str">
        <f>IF($AN$19="",FALSE,SUMPRODUCT(('Final Calculation Sheet'!$E$4:$E$40=$AN$19)*($RF$4:$RF$40=1))&gt;0)</f>
      </c>
      <c r="RH19" t="str">
        <f>=$RH18+--($RG19)</f>
      </c>
      <c r="RI19" t="str">
        <f>IF(ROW()-3&gt;MAX($RH$4:$RH$40),"",INDEX($AN$4:$AN$40,MATCH(ROW()-3,$RH$4:$RH$40,0)))</f>
      </c>
      <c r="RJ19" t="str">
        <f>IF(COUNTIF('Final Calculation Sheet'!$AL19:$AP19,0)+COUNTIF('Final Calculation Sheet'!$AR19:$BS19,0)&gt;0,0,1)</f>
      </c>
      <c r="RK19" t="str">
        <f>IF($O$19="",FALSE,SUMPRODUCT(('Final Calculation Sheet'!$F$4:$F$40=$O$19)*($RJ$4:$RJ$40=1))&gt;0)</f>
      </c>
      <c r="RL19" t="str">
        <f>=$RL18+--($RK19)</f>
      </c>
      <c r="RM19" t="str">
        <f>IF(ROW()-3&gt;MAX($RL$4:$RL$40),"",INDEX($O$4:$O$40,MATCH(ROW()-3,$RL$4:$RL$40,0)))</f>
      </c>
      <c r="RN19" t="str">
        <f>IF(COUNTIF('Final Calculation Sheet'!$AL19:$AQ19,0)+COUNTIF('Final Calculation Sheet'!$AS19:$BS19,0)&gt;0,0,1)</f>
      </c>
      <c r="RO19" t="str">
        <f>IF($T$19="",FALSE,SUMPRODUCT(('Final Calculation Sheet'!$G$4:$G$40=$T$19)*($RN$4:$RN$40=1))&gt;0)</f>
      </c>
      <c r="RP19" t="str">
        <f>=$RP18+--($RO19)</f>
      </c>
      <c r="RQ19" t="str">
        <f>IF(ROW()-3&gt;MAX($RP$4:$RP$40),"",INDEX($T$4:$T$40,MATCH(ROW()-3,$RP$4:$RP$40,0)))</f>
      </c>
      <c r="RR19" t="str">
        <f>IF(COUNTIF('Final Calculation Sheet'!$AL19:$AR19,0)+COUNTIF('Final Calculation Sheet'!$AT19:$BS19,0)&gt;0,0,1)</f>
      </c>
      <c r="RS19" t="str">
        <f>IF($AX$19="",FALSE,SUMPRODUCT(('Final Calculation Sheet'!$H$4:$H$40=$AX$19)*($RR$4:$RR$40=1))&gt;0)</f>
      </c>
      <c r="RT19" t="str">
        <f>=$RT18+--($RS19)</f>
      </c>
      <c r="RU19" t="str">
        <f>IF(ROW()-3&gt;MAX($RT$4:$RT$40),"",INDEX($AX$4:$AX$40,MATCH(ROW()-3,$RT$4:$RT$40,0)))</f>
      </c>
      <c r="RV19" t="str">
        <f>IF(COUNTIF('Final Calculation Sheet'!$AL19:$AS19,0)+COUNTIF('Final Calculation Sheet'!$AU19:$BS19,0)&gt;0,0,1)</f>
      </c>
      <c r="RW19" t="str">
        <f>IF($BC$19="",FALSE,SUMPRODUCT(('Final Calculation Sheet'!$I$4:$I$40=$BC$19)*($RV$4:$RV$40=1))&gt;0)</f>
      </c>
      <c r="RX19" t="str">
        <f>=$RX18+--($RW19)</f>
      </c>
      <c r="RY19" t="str">
        <f>IF(ROW()-3&gt;MAX($RX$4:$RX$40),"",INDEX($BC$4:$BC$40,MATCH(ROW()-3,$RX$4:$RX$40,0)))</f>
      </c>
      <c r="RZ19" t="str">
        <f>IF(COUNTIF('Final Calculation Sheet'!$AL19:$AT19,0)+COUNTIF('Final Calculation Sheet'!$AV19:$BS19,0)&gt;0,0,1)</f>
      </c>
      <c r="SA19" t="str">
        <f>IF($BH$19="",FALSE,SUMPRODUCT(('Final Calculation Sheet'!$J$4:$J$40=$BH$19)*($RZ$4:$RZ$40=1))&gt;0)</f>
      </c>
      <c r="SB19" t="str">
        <f>=$SB18+--($SA19)</f>
      </c>
      <c r="SC19" t="str">
        <f>IF(ROW()-3&gt;MAX($SB$4:$SB$40),"",INDEX($BH$4:$BH$40,MATCH(ROW()-3,$SB$4:$SB$40,0)))</f>
      </c>
      <c r="SD19" t="str">
        <f>IF(COUNTIF('Final Calculation Sheet'!$AL19:$AU19,0)+COUNTIF('Final Calculation Sheet'!$AW19:$BS19,0)&gt;0,0,1)</f>
      </c>
      <c r="SE19" t="str">
        <f>IF($BM$19="",FALSE,SUMPRODUCT(('Final Calculation Sheet'!$K$4:$K$40=$BM$19)*($SD$4:$SD$40=1))&gt;0)</f>
      </c>
      <c r="SF19" t="str">
        <f>=$SF18+--($SE19)</f>
      </c>
      <c r="SG19" t="str">
        <f>IF(ROW()-3&gt;MAX($SF$4:$SF$40),"",INDEX($BM$4:$BM$40,MATCH(ROW()-3,$SF$4:$SF$40,0)))</f>
      </c>
      <c r="SH19" t="str">
        <f>IF(COUNTIF('Final Calculation Sheet'!$AL19:$AV19,0)+COUNTIF('Final Calculation Sheet'!$AX19:$BS19,0)&gt;0,0,1)</f>
      </c>
      <c r="SI19" t="str">
        <f>IF($BR$19="",FALSE,SUMPRODUCT(('Final Calculation Sheet'!$L$4:$L$40=$BR$19)*($SH$4:$SH$40=1))&gt;0)</f>
      </c>
      <c r="SJ19" t="str">
        <f>=$SJ18+--($SI19)</f>
      </c>
      <c r="SK19" t="str">
        <f>IF(ROW()-3&gt;MAX($SJ$4:$SJ$40),"",INDEX($BR$4:$BR$40,MATCH(ROW()-3,$SJ$4:$SJ$40,0)))</f>
      </c>
      <c r="SL19" t="str">
        <f>IF(COUNTIF('Final Calculation Sheet'!$AL19:$AW19,0)+COUNTIF('Final Calculation Sheet'!$AY19:$BS19,0)&gt;0,0,1)</f>
      </c>
      <c r="SM19" t="str">
        <f>IF($BW$19="",FALSE,SUMPRODUCT(('Final Calculation Sheet'!$M$4:$M$40=$BW$19)*($SL$4:$SL$40=1))&gt;0)</f>
      </c>
      <c r="SN19" t="str">
        <f>=$SN18+--($SM19)</f>
      </c>
      <c r="SO19" t="str">
        <f>IF(ROW()-3&gt;MAX($SN$4:$SN$40),"",INDEX($BW$4:$BW$40,MATCH(ROW()-3,$SN$4:$SN$40,0)))</f>
      </c>
      <c r="SP19" t="str">
        <f>IF(COUNTIF('Final Calculation Sheet'!$AL19:$AX19,0)+COUNTIF('Final Calculation Sheet'!$AZ19:$BS19,0)&gt;0,0,1)</f>
      </c>
      <c r="SQ19" t="str">
        <f>IF($CB$19="",FALSE,SUMPRODUCT(('Final Calculation Sheet'!$N$4:$N$40=$CB$19)*($SP$4:$SP$40=1))&gt;0)</f>
      </c>
      <c r="SR19" t="str">
        <f>=$SR18+--($SQ19)</f>
      </c>
      <c r="SS19" t="str">
        <f>IF(ROW()-3&gt;MAX($SR$4:$SR$40),"",INDEX($CB$4:$CB$40,MATCH(ROW()-3,$SR$4:$SR$40,0)))</f>
      </c>
      <c r="ST19" t="str">
        <f>IF(COUNTIF('Final Calculation Sheet'!$AL19:$AY19,0)+COUNTIF('Final Calculation Sheet'!$BA19:$BS19,0)&gt;0,0,1)</f>
      </c>
      <c r="SU19" t="str">
        <f>IF($CG$19="",FALSE,SUMPRODUCT(('Final Calculation Sheet'!$O$4:$O$40=$CG$19)*($ST$4:$ST$40=1))&gt;0)</f>
      </c>
      <c r="SV19" t="str">
        <f>=$SV18+--($SU19)</f>
      </c>
      <c r="SW19" t="str">
        <f>IF(ROW()-3&gt;MAX($SV$4:$SV$40),"",INDEX($CG$4:$CG$40,MATCH(ROW()-3,$SV$4:$SV$40,0)))</f>
      </c>
      <c r="SX19" t="str">
        <f>IF(COUNTIF('Final Calculation Sheet'!$AL19:$AZ19,0)+COUNTIF('Final Calculation Sheet'!$BB19:$BS19,0)&gt;0,0,1)</f>
      </c>
      <c r="SY19" t="str">
        <f>IF($CL$19="",FALSE,SUMPRODUCT(('Final Calculation Sheet'!$P$4:$P$40=$CL$19)*($SX$4:$SX$40=1))&gt;0)</f>
      </c>
      <c r="SZ19" t="str">
        <f>=$SZ18+--($SY19)</f>
      </c>
      <c r="TA19" t="str">
        <f>IF(ROW()-3&gt;MAX($SZ$4:$SZ$40),"",INDEX($CL$4:$CL$40,MATCH(ROW()-3,$SZ$4:$SZ$40,0)))</f>
      </c>
      <c r="TB19" t="str">
        <f>IF(COUNTIF('Final Calculation Sheet'!$AL19:$BA19,0)+COUNTIF('Final Calculation Sheet'!$BC19:$BS19,0)&gt;0,0,1)</f>
      </c>
      <c r="TC19" t="str">
        <f>IF($CQ$19="",FALSE,SUMPRODUCT(('Final Calculation Sheet'!$Q$4:$Q$40=$CQ$19)*($TB$4:$TB$40=1))&gt;0)</f>
      </c>
      <c r="TD19" t="str">
        <f>=$TD18+--($TC19)</f>
      </c>
      <c r="TE19" t="str">
        <f>IF(ROW()-3&gt;MAX($TD$4:$TD$40),"",INDEX($CQ$4:$CQ$40,MATCH(ROW()-3,$TD$4:$TD$40,0)))</f>
      </c>
      <c r="TF19" t="str">
        <f>IF(COUNTIF('Final Calculation Sheet'!$AL19:$BB19,0)+COUNTIF('Final Calculation Sheet'!$BD19:$BS19,0)&gt;0,0,1)</f>
      </c>
      <c r="TG19" t="str">
        <f>IF($CV$19="",FALSE,SUMPRODUCT(('Final Calculation Sheet'!$R$4:$R$40=$CV$19)*($TF$4:$TF$40=1))&gt;0)</f>
      </c>
      <c r="TH19" t="str">
        <f>=$TH18+--($TG19)</f>
      </c>
      <c r="TI19" t="str">
        <f>IF(ROW()-3&gt;MAX($TH$4:$TH$40),"",INDEX($CV$4:$CV$40,MATCH(ROW()-3,$TH$4:$TH$40,0)))</f>
      </c>
      <c r="TJ19" t="str">
        <f>IF(COUNTIF('Final Calculation Sheet'!$AL19:$BC19,0)+COUNTIF('Final Calculation Sheet'!$BE19:$BS19,0)&gt;0,0,1)</f>
      </c>
      <c r="TK19" t="str">
        <f>IF($DA$19="",FALSE,SUMPRODUCT(('Final Calculation Sheet'!$S$4:$S$40=$DA$19)*($TJ$4:$TJ$40=1))&gt;0)</f>
      </c>
      <c r="TL19" t="str">
        <f>=$TL18+--($TK19)</f>
      </c>
      <c r="TM19" t="str">
        <f>IF(ROW()-3&gt;MAX($TL$4:$TL$40),"",INDEX($DA$4:$DA$40,MATCH(ROW()-3,$TL$4:$TL$40,0)))</f>
      </c>
      <c r="TN19" t="str">
        <f>IF(COUNTIF('Final Calculation Sheet'!$AL19:$BD19,0)+COUNTIF('Final Calculation Sheet'!$BF19:$BS19,0)&gt;0,0,1)</f>
      </c>
      <c r="TO19" t="str">
        <f>IF($DF$19="",FALSE,SUMPRODUCT(('Final Calculation Sheet'!$T$4:$T$40=$DF$19)*($TN$4:$TN$40=1))&gt;0)</f>
      </c>
      <c r="TP19" t="str">
        <f>=$TP18+--($TO19)</f>
      </c>
      <c r="TQ19" t="str">
        <f>IF(ROW()-3&gt;MAX($TP$4:$TP$40),"",INDEX($DF$4:$DF$40,MATCH(ROW()-3,$TP$4:$TP$40,0)))</f>
      </c>
      <c r="TR19" t="str">
        <f>IF(COUNTIF('Final Calculation Sheet'!$AL19:$BE19,0)+COUNTIF('Final Calculation Sheet'!$BG19:$BS19,0)&gt;0,0,1)</f>
      </c>
      <c r="TS19" t="str">
        <f>IF($DK$19="",FALSE,SUMPRODUCT(('Final Calculation Sheet'!$U$4:$U$40=$DK$19)*($TR$4:$TR$40=1))&gt;0)</f>
      </c>
      <c r="TT19" t="str">
        <f>=$TT18+--($TS19)</f>
      </c>
      <c r="TU19" t="str">
        <f>IF(ROW()-3&gt;MAX($TT$4:$TT$40),"",INDEX($DK$4:$DK$40,MATCH(ROW()-3,$TT$4:$TT$40,0)))</f>
      </c>
      <c r="TV19" t="str">
        <f>IF(COUNTIF('Final Calculation Sheet'!$AL19:$BF19,0)+COUNTIF('Final Calculation Sheet'!$BH19:$BS19,0)&gt;0,0,1)</f>
      </c>
      <c r="TW19" t="str">
        <f>IF($DP$19="",FALSE,SUMPRODUCT(('Final Calculation Sheet'!$V$4:$V$40=$DP$19)*($TV$4:$TV$40=1))&gt;0)</f>
      </c>
      <c r="TX19" t="str">
        <f>=$TX18+--($TW19)</f>
      </c>
      <c r="TY19" t="str">
        <f>IF(ROW()-3&gt;MAX($TX$4:$TX$40),"",INDEX($DP$4:$DP$40,MATCH(ROW()-3,$TX$4:$TX$40,0)))</f>
      </c>
      <c r="TZ19" t="str">
        <f>IF(COUNTIF('Final Calculation Sheet'!$AL19:$BG19,0)+COUNTIF('Final Calculation Sheet'!$BI19:$BS19,0)&gt;0,0,1)</f>
      </c>
      <c r="UA19" t="str">
        <f>IF($DU$19="",FALSE,SUMPRODUCT(('Final Calculation Sheet'!$W$4:$W$40=$DU$19)*($TZ$4:$TZ$40=1))&gt;0)</f>
      </c>
      <c r="UB19" t="str">
        <f>=$UB18+--($UA19)</f>
      </c>
      <c r="UC19" t="str">
        <f>IF(ROW()-3&gt;MAX($UB$4:$UB$40),"",INDEX($DU$4:$DU$40,MATCH(ROW()-3,$UB$4:$UB$40,0)))</f>
      </c>
      <c r="UD19" t="str">
        <f>IF(COUNTIF('Final Calculation Sheet'!$AL19:$BH19,0)+COUNTIF('Final Calculation Sheet'!$BJ19:$BS19,0)&gt;0,0,1)</f>
      </c>
      <c r="UE19" t="str">
        <f>IF($DZ$19="",FALSE,SUMPRODUCT(('Final Calculation Sheet'!$X$4:$X$40=$DZ$19)*($UD$4:$UD$40=1))&gt;0)</f>
      </c>
      <c r="UF19" t="str">
        <f>=$UF18+--($UE19)</f>
      </c>
      <c r="UG19" t="str">
        <f>IF(ROW()-3&gt;MAX($UF$4:$UF$40),"",INDEX($DZ$4:$DZ$40,MATCH(ROW()-3,$UF$4:$UF$40,0)))</f>
      </c>
      <c r="UH19" t="str">
        <f>IF(COUNTIF('Final Calculation Sheet'!$AL19:$BI19,0)+COUNTIF('Final Calculation Sheet'!$BK19:$BS19,0)&gt;0,0,1)</f>
      </c>
      <c r="UI19" t="str">
        <f>IF($EE$19="",FALSE,SUMPRODUCT(('Final Calculation Sheet'!$Y$4:$Y$40=$EE$19)*($UH$4:$UH$40=1))&gt;0)</f>
      </c>
      <c r="UJ19" t="str">
        <f>=$UJ18+--($UI19)</f>
      </c>
      <c r="UK19" t="str">
        <f>IF(ROW()-3&gt;MAX($UJ$4:$UJ$40),"",INDEX($EE$4:$EE$40,MATCH(ROW()-3,$UJ$4:$UJ$40,0)))</f>
      </c>
      <c r="UL19" t="str">
        <f>IF(COUNTIF('Final Calculation Sheet'!$AL19:$BJ19,0)+COUNTIF('Final Calculation Sheet'!$BL19:$BS19,0)&gt;0,0,1)</f>
      </c>
      <c r="UM19" t="str">
        <f>IF($EJ$19="",FALSE,SUMPRODUCT(('Final Calculation Sheet'!$Z$4:$Z$40=$EJ$19)*($UL$4:$UL$40=1))&gt;0)</f>
      </c>
      <c r="UN19" t="str">
        <f>=$UN18+--($UM19)</f>
      </c>
      <c r="UO19" t="str">
        <f>IF(ROW()-3&gt;MAX($UN$4:$UN$40),"",INDEX($EJ$4:$EJ$40,MATCH(ROW()-3,$UN$4:$UN$40,0)))</f>
      </c>
      <c r="UP19" t="str">
        <f>IF(COUNTIF('Final Calculation Sheet'!$AL19:$BK19,0)+COUNTIF('Final Calculation Sheet'!$BM19:$BS19,0)&gt;0,0,1)</f>
      </c>
      <c r="UQ19" t="str">
        <f>IF($EO$19="",FALSE,SUMPRODUCT(('Final Calculation Sheet'!$AA$4:$AA$40=$EO$19)*($UP$4:$UP$40=1))&gt;0)</f>
      </c>
      <c r="UR19" t="str">
        <f>=$UR18+--($UQ19)</f>
      </c>
      <c r="US19" t="str">
        <f>IF(ROW()-3&gt;MAX($UR$4:$UR$40),"",INDEX($EO$4:$EO$40,MATCH(ROW()-3,$UR$4:$UR$40,0)))</f>
      </c>
      <c r="UT19" t="str">
        <f>IF(COUNTIF('Final Calculation Sheet'!$AL19:$BL19,0)+COUNTIF('Final Calculation Sheet'!$BN19:$BS19,0)&gt;0,0,1)</f>
      </c>
      <c r="UU19" t="str">
        <f>IF($ET$19="",FALSE,SUMPRODUCT(('Final Calculation Sheet'!$AB$4:$AB$40=$ET$19)*($UT$4:$UT$40=1))&gt;0)</f>
      </c>
      <c r="UV19" t="str">
        <f>=$UV18+--($UU19)</f>
      </c>
      <c r="UW19" t="str">
        <f>IF(ROW()-3&gt;MAX($UV$4:$UV$40),"",INDEX($ET$4:$ET$40,MATCH(ROW()-3,$UV$4:$UV$40,0)))</f>
      </c>
      <c r="UX19" t="str">
        <f>IF(COUNTIF('Final Calculation Sheet'!$AL19:$BM19,0)+COUNTIF('Final Calculation Sheet'!$BO19:$BS19,0)&gt;0,0,1)</f>
      </c>
      <c r="UY19" t="str">
        <f>IF($EY$19="",FALSE,SUMPRODUCT(('Final Calculation Sheet'!$AC$4:$AC$40=$EY$19)*($UX$4:$UX$40=1))&gt;0)</f>
      </c>
      <c r="UZ19" t="str">
        <f>=$UZ18+--($UY19)</f>
      </c>
      <c r="VA19" t="str">
        <f>IF(ROW()-3&gt;MAX($UZ$4:$UZ$40),"",INDEX($EY$4:$EY$40,MATCH(ROW()-3,$UZ$4:$UZ$40,0)))</f>
      </c>
      <c r="VB19" t="str">
        <f>IF(COUNTIF('Final Calculation Sheet'!$AL19:$BN19,0)+COUNTIF('Final Calculation Sheet'!$BP19:$BS19,0)&gt;0,0,1)</f>
      </c>
      <c r="VC19" t="str">
        <f>IF($FD$19="",FALSE,SUMPRODUCT(('Final Calculation Sheet'!$AD$4:$AD$40=$FD$19)*($VB$4:$VB$40=1))&gt;0)</f>
      </c>
      <c r="VD19" t="str">
        <f>=$VD18+--($VC19)</f>
      </c>
      <c r="VE19" t="str">
        <f>IF(ROW()-3&gt;MAX($VD$4:$VD$40),"",INDEX($FD$4:$FD$40,MATCH(ROW()-3,$VD$4:$VD$40,0)))</f>
      </c>
      <c r="VF19" t="str">
        <f>IF(COUNTIF('Final Calculation Sheet'!$AL19:$BO19,0)+COUNTIF('Final Calculation Sheet'!$BQ19:$BS19,0)&gt;0,0,1)</f>
      </c>
      <c r="VG19" t="str">
        <f>IF($FI$19="",FALSE,SUMPRODUCT(('Final Calculation Sheet'!$AE$4:$AE$40=$FI$19)*($VF$4:$VF$40=1))&gt;0)</f>
      </c>
      <c r="VH19" t="str">
        <f>=$VH18+--($VG19)</f>
      </c>
      <c r="VI19" t="str">
        <f>IF(ROW()-3&gt;MAX($VH$4:$VH$40),"",INDEX($FI$4:$FI$40,MATCH(ROW()-3,$VH$4:$VH$40,0)))</f>
      </c>
      <c r="VJ19" t="str">
        <f>IF(COUNTIF('Final Calculation Sheet'!$AL19:$BP19,0)+COUNTIF('Final Calculation Sheet'!$BR19:$BS19,0)&gt;0,0,1)</f>
      </c>
      <c r="VK19" t="str">
        <f>IF($FN$19="",FALSE,SUMPRODUCT(('Final Calculation Sheet'!$AF$4:$AF$40=$FN$19)*($VJ$4:$VJ$40=1))&gt;0)</f>
      </c>
      <c r="VL19" t="str">
        <f>=$VL18+--($VK19)</f>
      </c>
      <c r="VM19" t="str">
        <f>IF(ROW()-3&gt;MAX($VL$4:$VL$40),"",INDEX($FN$4:$FN$40,MATCH(ROW()-3,$VL$4:$VL$40,0)))</f>
      </c>
      <c r="VN19" t="str">
        <f>IF(COUNTIF('Final Calculation Sheet'!$AL19:$BQ19,0)+COUNTIF('Final Calculation Sheet'!$BS19:$BS19,0)&gt;0,0,1)</f>
      </c>
      <c r="VO19" t="str">
        <f>IF($FS$19="",FALSE,SUMPRODUCT(('Final Calculation Sheet'!$AG$4:$AG$40=$FS$19)*($VN$4:$VN$40=1))&gt;0)</f>
      </c>
      <c r="VP19" t="str">
        <f>=$VP18+--($VO19)</f>
      </c>
      <c r="VQ19" t="str">
        <f>IF(ROW()-3&gt;MAX($VP$4:$VP$40),"",INDEX($FS$4:$FS$40,MATCH(ROW()-3,$VP$4:$VP$40,0)))</f>
      </c>
      <c r="VR19" t="str">
        <f>IF(COUNTIF('Final Calculation Sheet'!$AL19:$BR19,0)&gt;0,0,1)</f>
      </c>
      <c r="VS19" t="str">
        <f>IF($QO$19="",FALSE,SUMPRODUCT(('Final Calculation Sheet'!$AH$4:$AH$40=$QO$19)*($VR$4:$VR$40=1))&gt;0)</f>
      </c>
      <c r="VT19" t="str">
        <f>=$VT18+--($VS19)</f>
      </c>
      <c r="VU19" t="str">
        <f>IF(ROW()-3&gt;MAX($VT$4:$VT$40),"",INDEX($QO$4:$QO$40,MATCH(ROW()-3,$VT$4:$VT$40,0)))</f>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IF(ROW()-3&gt;MAX($LC$4:$LC$40),"",INDEX($FS$4:$FS$40,MATCH(ROW()-3,$LC$4:$LC$40,0)))</f>
        <v/>
      </c>
      <c r="LE20">
        <f>IF(COUNTIF('Buyer Groups'!DH20:EN20,0)&gt;0,0,1)</f>
        <v/>
      </c>
      <c r="LF20">
        <f>IF($O$20="",FALSE,SUMPRODUCT(('Final Calculation Sheet'!$F$4:$F$40=$O$20)*($LE$6:$LE$42=1))&gt;0)</f>
        <v/>
      </c>
      <c r="LG20">
        <f>$LG$19+--($LF20)</f>
        <v/>
      </c>
      <c r="LH20">
        <f>IF(ROW()-3&gt;MAX($LG$4:$LG$40),"",INDEX($O$4:$O$40,MATCH(ROW()-3,$LG$4:$LG$40,0)))</f>
        <v/>
      </c>
      <c r="LI20">
        <f>IF(COUNTIF('Buyer Groups'!DG20:DG20,0)+COUNTIF('Buyer Groups'!DI20:EN20,0)&gt;0,0,1)</f>
        <v/>
      </c>
      <c r="LJ20">
        <f>IF($T$20="",FALSE,SUMPRODUCT(('Final Calculation Sheet'!$G$4:$G$40=$T$20)*($LI$6:$LI$42=1))&gt;0)</f>
        <v/>
      </c>
      <c r="LK20">
        <f>$LK$19+--($LJ20)</f>
        <v/>
      </c>
      <c r="LL20">
        <f>IF(ROW()-3&gt;MAX($LK$4:$LK$40),"",INDEX($T$4:$T$40,MATCH(ROW()-3,$LK$4:$LK$40,0)))</f>
        <v/>
      </c>
      <c r="LM20">
        <f>IF(COUNTIF('Buyer Groups'!DG20:DH20,0)+COUNTIF('Buyer Groups'!DJ20:EN20,0)&gt;0,0,1)</f>
        <v/>
      </c>
      <c r="LN20">
        <f>IF($Y$20="",FALSE,SUMPRODUCT(('Final Calculation Sheet'!$B$4:$B$40=$Y$20)*($LM$6:$LM$42=1))&gt;0)</f>
        <v/>
      </c>
      <c r="LO20">
        <f>$LO$19+--($LN20)</f>
        <v/>
      </c>
      <c r="LP20">
        <f>IF(ROW()-3&gt;MAX($LO$4:$LO$40),"",INDEX($Y$4:$Y$40,MATCH(ROW()-3,$LO$4:$LO$40,0)))</f>
        <v/>
      </c>
      <c r="LQ20">
        <f>IF(COUNTIF('Buyer Groups'!DG20:DI20,0)+COUNTIF('Buyer Groups'!DK20:EN20,0)&gt;0,0,1)</f>
        <v/>
      </c>
      <c r="LR20">
        <f>IF($AD$20="",FALSE,SUMPRODUCT(('Final Calculation Sheet'!$D$4:$D$40=$AD$20)*($LQ$6:$LQ$42=1))&gt;0)</f>
        <v/>
      </c>
      <c r="LS20">
        <f>$LS$19+--($LR20)</f>
        <v/>
      </c>
      <c r="LT20">
        <f>IF(ROW()-3&gt;MAX($LS$4:$LS$40),"",INDEX($AD$4:$AD$40,MATCH(ROW()-3,$LS$4:$LS$40,0)))</f>
        <v/>
      </c>
      <c r="LU20">
        <f>IF(COUNTIF('Buyer Groups'!DG20:DJ20,0)+COUNTIF('Buyer Groups'!DL20:EN20,0)&gt;0,0,1)</f>
        <v/>
      </c>
      <c r="LV20">
        <f>IF($AI$20="",FALSE,SUMPRODUCT(('Final Calculation Sheet'!$A$4:$A$40=$AI$20)*($LU$6:$LU$42=1))&gt;0)</f>
        <v/>
      </c>
      <c r="LW20">
        <f>$LW$19+--($LV20)</f>
        <v/>
      </c>
      <c r="LX20">
        <f>IF(ROW()-3&gt;MAX($LW$4:$LW$40),"",INDEX($AI$4:$AI$40,MATCH(ROW()-3,$LW$4:$LW$40,0)))</f>
        <v/>
      </c>
      <c r="LY20">
        <f>IF(COUNTIF('Buyer Groups'!DG20:DK20,0)+COUNTIF('Buyer Groups'!DM20:EN20,0)&gt;0,0,1)</f>
        <v/>
      </c>
      <c r="LZ20">
        <f>IF($AN$20="",FALSE,SUMPRODUCT(('Final Calculation Sheet'!$E$4:$E$40=$AN$20)*($LY$6:$LY$42=1))&gt;0)</f>
        <v/>
      </c>
      <c r="MA20">
        <f>$MA$19+--($LZ20)</f>
        <v/>
      </c>
      <c r="MB20">
        <f>IF(ROW()-3&gt;MAX($MA$4:$MA$40),"",INDEX($AN$4:$AN$40,MATCH(ROW()-3,$MA$4:$MA$40,0)))</f>
        <v/>
      </c>
      <c r="MC20">
        <f>IF(COUNTIF('Buyer Groups'!DG20:DL20,0)+COUNTIF('Buyer Groups'!DN20:EN20,0)&gt;0,0,1)</f>
        <v/>
      </c>
      <c r="MD20">
        <f>IF($AS$20="",FALSE,SUMPRODUCT(('Final Calculation Sheet'!$C$4:$C$40=$AS$20)*($MC$6:$MC$42=1))&gt;0)</f>
        <v/>
      </c>
      <c r="ME20">
        <f>$ME$19+--($MD20)</f>
        <v/>
      </c>
      <c r="MF20">
        <f>IF(ROW()-3&gt;MAX($ME$4:$ME$40),"",INDEX($AS$4:$AS$40,MATCH(ROW()-3,$ME$4:$ME$40,0)))</f>
        <v/>
      </c>
      <c r="MG20">
        <f>IF(COUNTIF('Buyer Groups'!DG20:DM20,0)+COUNTIF('Buyer Groups'!DO20:EN20,0)&gt;0,0,1)</f>
        <v/>
      </c>
      <c r="MH20">
        <f>IF($AX$20="",FALSE,SUMPRODUCT(('Final Calculation Sheet'!$H$4:$H$40=$AX$20)*($MG$6:$MG$42=1))&gt;0)</f>
        <v/>
      </c>
      <c r="MI20">
        <f>$MI$19+--($MH20)</f>
        <v/>
      </c>
      <c r="MJ20">
        <f>IF(ROW()-3&gt;MAX($MI$4:$MI$40),"",INDEX($AX$4:$AX$40,MATCH(ROW()-3,$MI$4:$MI$40,0)))</f>
        <v/>
      </c>
      <c r="MK20">
        <f>IF(COUNTIF('Buyer Groups'!DG20:DN20,0)+COUNTIF('Buyer Groups'!DP20:EN20,0)&gt;0,0,1)</f>
        <v/>
      </c>
      <c r="ML20">
        <f>IF($BC$20="",FALSE,SUMPRODUCT(('Final Calculation Sheet'!$I$4:$I$40=$BC$20)*($MK$6:$MK$42=1))&gt;0)</f>
        <v/>
      </c>
      <c r="MM20">
        <f>$MM$19+--($ML20)</f>
        <v/>
      </c>
      <c r="MN20">
        <f>IF(ROW()-3&gt;MAX($MM$4:$MM$40),"",INDEX($BC$4:$BC$40,MATCH(ROW()-3,$MM$4:$MM$40,0)))</f>
        <v/>
      </c>
      <c r="MO20">
        <f>IF(COUNTIF('Buyer Groups'!DG20:DO20,0)+COUNTIF('Buyer Groups'!DQ20:EN20,0)&gt;0,0,1)</f>
        <v/>
      </c>
      <c r="MP20">
        <f>IF($BH$20="",FALSE,SUMPRODUCT(('Final Calculation Sheet'!$J$4:$J$40=$BH$20)*($MO$6:$MO$42=1))&gt;0)</f>
        <v/>
      </c>
      <c r="MQ20">
        <f>$MQ$19+--($MP20)</f>
        <v/>
      </c>
      <c r="MR20">
        <f>IF(ROW()-3&gt;MAX($MQ$4:$MQ$40),"",INDEX($BH$4:$BH$40,MATCH(ROW()-3,$MQ$4:$MQ$40,0)))</f>
        <v/>
      </c>
      <c r="MS20">
        <f>IF(COUNTIF('Buyer Groups'!DG20:DP20,0)+COUNTIF('Buyer Groups'!DR20:EN20,0)&gt;0,0,1)</f>
        <v/>
      </c>
      <c r="MT20">
        <f>IF($BM$20="",FALSE,SUMPRODUCT(('Final Calculation Sheet'!$K$4:$K$40=$BM$20)*($MS$6:$MS$42=1))&gt;0)</f>
        <v/>
      </c>
      <c r="MU20">
        <f>$MU$19+--($MT20)</f>
        <v/>
      </c>
      <c r="MV20">
        <f>IF(ROW()-3&gt;MAX($MU$4:$MU$40),"",INDEX($BM$4:$BM$40,MATCH(ROW()-3,$MU$4:$MU$40,0)))</f>
        <v/>
      </c>
      <c r="MW20">
        <f>IF(COUNTIF('Buyer Groups'!DG20:DQ20,0)+COUNTIF('Buyer Groups'!DS20:EN20,0)&gt;0,0,1)</f>
        <v/>
      </c>
      <c r="MX20">
        <f>IF($BR$20="",FALSE,SUMPRODUCT(('Final Calculation Sheet'!$L$4:$L$40=$BR$20)*($MW$6:$MW$42=1))&gt;0)</f>
        <v/>
      </c>
      <c r="MY20">
        <f>$MY$19+--($MX20)</f>
        <v/>
      </c>
      <c r="MZ20">
        <f>IF(ROW()-3&gt;MAX($MY$4:$MY$40),"",INDEX($BR$4:$BR$40,MATCH(ROW()-3,$MY$4:$MY$40,0)))</f>
        <v/>
      </c>
      <c r="NA20">
        <f>IF(COUNTIF('Buyer Groups'!DG20:DR20,0)+COUNTIF('Buyer Groups'!DT20:EN20,0)&gt;0,0,1)</f>
        <v/>
      </c>
      <c r="NB20">
        <f>IF($BW$20="",FALSE,SUMPRODUCT(('Final Calculation Sheet'!$M$4:$M$40=$BW$20)*($NA$6:$NA$42=1))&gt;0)</f>
        <v/>
      </c>
      <c r="NC20">
        <f>$NC$19+--($NB20)</f>
        <v/>
      </c>
      <c r="ND20">
        <f>IF(ROW()-3&gt;MAX($NC$4:$NC$40),"",INDEX($BW$4:$BW$40,MATCH(ROW()-3,$NC$4:$NC$40,0)))</f>
        <v/>
      </c>
      <c r="NE20">
        <f>IF(COUNTIF('Buyer Groups'!DG20:DS20,0)+COUNTIF('Buyer Groups'!DU20:EN20,0)&gt;0,0,1)</f>
        <v/>
      </c>
      <c r="NF20">
        <f>IF($CB$20="",FALSE,SUMPRODUCT(('Final Calculation Sheet'!$N$4:$N$40=$CB$20)*($NE$6:$NE$42=1))&gt;0)</f>
        <v/>
      </c>
      <c r="NG20">
        <f>$NG$19+--($NF20)</f>
        <v/>
      </c>
      <c r="NH20">
        <f>IF(ROW()-3&gt;MAX($NG$4:$NG$40),"",INDEX($CB$4:$CB$40,MATCH(ROW()-3,$NG$4:$NG$40,0)))</f>
        <v/>
      </c>
      <c r="NI20">
        <f>IF(COUNTIF('Buyer Groups'!DG20:DT20,0)+COUNTIF('Buyer Groups'!DV20:EN20,0)&gt;0,0,1)</f>
        <v/>
      </c>
      <c r="NJ20">
        <f>IF($CG$20="",FALSE,SUMPRODUCT(('Final Calculation Sheet'!$O$4:$O$40=$CG$20)*($NI$6:$NI$42=1))&gt;0)</f>
        <v/>
      </c>
      <c r="NK20">
        <f>$NK$19+--($NJ20)</f>
        <v/>
      </c>
      <c r="NL20">
        <f>IF(ROW()-3&gt;MAX($NK$4:$NK$40),"",INDEX($CG$4:$CG$40,MATCH(ROW()-3,$NK$4:$NK$40,0)))</f>
        <v/>
      </c>
      <c r="NM20">
        <f>IF(COUNTIF('Buyer Groups'!DG20:DU20,0)+COUNTIF('Buyer Groups'!DW20:EN20,0)&gt;0,0,1)</f>
        <v/>
      </c>
      <c r="NN20">
        <f>IF($CL$20="",FALSE,SUMPRODUCT(('Final Calculation Sheet'!$P$4:$P$40=$CL$20)*($NM$6:$NM$42=1))&gt;0)</f>
        <v/>
      </c>
      <c r="NO20">
        <f>$NO$19+--($NN20)</f>
        <v/>
      </c>
      <c r="NP20">
        <f>IF(ROW()-3&gt;MAX($NO$4:$NO$40),"",INDEX($CL$4:$CL$40,MATCH(ROW()-3,$NO$4:$NO$40,0)))</f>
        <v/>
      </c>
      <c r="NQ20">
        <f>IF(COUNTIF('Buyer Groups'!DG20:DV20,0)+COUNTIF('Buyer Groups'!DX20:EN20,0)&gt;0,0,1)</f>
        <v/>
      </c>
      <c r="NR20">
        <f>IF($CQ$20="",FALSE,SUMPRODUCT(('Final Calculation Sheet'!$Q$4:$Q$40=$CQ$20)*($NQ$6:$NQ$42=1))&gt;0)</f>
        <v/>
      </c>
      <c r="NS20">
        <f>$NS$19+--($NR20)</f>
        <v/>
      </c>
      <c r="NT20">
        <f>IF(ROW()-3&gt;MAX($NS$4:$NS$40),"",INDEX($CQ$4:$CQ$40,MATCH(ROW()-3,$NS$4:$NS$40,0)))</f>
        <v/>
      </c>
      <c r="NU20">
        <f>IF(COUNTIF('Buyer Groups'!DG20:DW20,0)+COUNTIF('Buyer Groups'!DY20:EN20,0)&gt;0,0,1)</f>
        <v/>
      </c>
      <c r="NV20">
        <f>IF($CV$20="",FALSE,SUMPRODUCT(('Final Calculation Sheet'!$R$4:$R$40=$CV$20)*($NU$6:$NU$42=1))&gt;0)</f>
        <v/>
      </c>
      <c r="NW20">
        <f>$NW$19+--($NV20)</f>
        <v/>
      </c>
      <c r="NX20">
        <f>IF(ROW()-3&gt;MAX($NW$4:$NW$40),"",INDEX($CV$4:$CV$40,MATCH(ROW()-3,$NW$4:$NW$40,0)))</f>
        <v/>
      </c>
      <c r="NY20">
        <f>IF(COUNTIF('Buyer Groups'!DG20:DX20,0)+COUNTIF('Buyer Groups'!DZ20:EN20,0)&gt;0,0,1)</f>
        <v/>
      </c>
      <c r="NZ20">
        <f>IF($DA$20="",FALSE,SUMPRODUCT(('Final Calculation Sheet'!$S$4:$S$40=$DA$20)*($NY$6:$NY$42=1))&gt;0)</f>
        <v/>
      </c>
      <c r="OA20">
        <f>$OA$19+--($NZ20)</f>
        <v/>
      </c>
      <c r="OB20">
        <f>IF(ROW()-3&gt;MAX($OA$4:$OA$40),"",INDEX($DA$4:$DA$40,MATCH(ROW()-3,$OA$4:$OA$40,0)))</f>
        <v/>
      </c>
      <c r="OC20">
        <f>IF(COUNTIF('Buyer Groups'!DG20:DY20,0)+COUNTIF('Buyer Groups'!EA20:EN20,0)&gt;0,0,1)</f>
        <v/>
      </c>
      <c r="OD20">
        <f>IF($DF$20="",FALSE,SUMPRODUCT(('Final Calculation Sheet'!$T$4:$T$40=$DF$20)*($OC$6:$OC$42=1))&gt;0)</f>
        <v/>
      </c>
      <c r="OE20">
        <f>$OE$19+--($OD20)</f>
        <v/>
      </c>
      <c r="OF20">
        <f>IF(ROW()-3&gt;MAX($OE$4:$OE$40),"",INDEX($DF$4:$DF$40,MATCH(ROW()-3,$OE$4:$OE$40,0)))</f>
        <v/>
      </c>
      <c r="OG20">
        <f>IF(COUNTIF('Buyer Groups'!DG20:DZ20,0)+COUNTIF('Buyer Groups'!EB20:EN20,0)&gt;0,0,1)</f>
        <v/>
      </c>
      <c r="OH20">
        <f>IF($DK$20="",FALSE,SUMPRODUCT(('Final Calculation Sheet'!$U$4:$U$40=$DK$20)*($OG$6:$OG$42=1))&gt;0)</f>
        <v/>
      </c>
      <c r="OI20">
        <f>$OI$19+--($OH20)</f>
        <v/>
      </c>
      <c r="OJ20">
        <f>IF(ROW()-3&gt;MAX($OI$4:$OI$40),"",INDEX($DK$4:$DK$40,MATCH(ROW()-3,$OI$4:$OI$40,0)))</f>
        <v/>
      </c>
      <c r="OK20">
        <f>IF(COUNTIF('Buyer Groups'!DG20:EA20,0)+COUNTIF('Buyer Groups'!EC20:EN20,0)&gt;0,0,1)</f>
        <v/>
      </c>
      <c r="OL20">
        <f>IF($DP$20="",FALSE,SUMPRODUCT(('Final Calculation Sheet'!$V$4:$V$40=$DP$20)*($OK$6:$OK$42=1))&gt;0)</f>
        <v/>
      </c>
      <c r="OM20">
        <f>$OM$19+--($OL20)</f>
        <v/>
      </c>
      <c r="ON20">
        <f>IF(ROW()-3&gt;MAX($OM$4:$OM$40),"",INDEX($DP$4:$DP$40,MATCH(ROW()-3,$OM$4:$OM$40,0)))</f>
        <v/>
      </c>
      <c r="OO20">
        <f>IF(COUNTIF('Buyer Groups'!DG20:EB20,0)+COUNTIF('Buyer Groups'!ED20:EN20,0)&gt;0,0,1)</f>
        <v/>
      </c>
      <c r="OP20">
        <f>IF($DU$20="",FALSE,SUMPRODUCT(('Final Calculation Sheet'!$W$4:$W$40=$DU$20)*($OO$6:$OO$42=1))&gt;0)</f>
        <v/>
      </c>
      <c r="OQ20">
        <f>$OQ$19+--($OP20)</f>
        <v/>
      </c>
      <c r="OR20">
        <f>IF(ROW()-3&gt;MAX($OQ$4:$OQ$40),"",INDEX($DU$4:$DU$40,MATCH(ROW()-3,$OQ$4:$OQ$40,0)))</f>
        <v/>
      </c>
      <c r="OS20">
        <f>IF(COUNTIF('Buyer Groups'!DG20:EC20,0)+COUNTIF('Buyer Groups'!EE20:EN20,0)&gt;0,0,1)</f>
        <v/>
      </c>
      <c r="OT20">
        <f>IF($DZ$20="",FALSE,SUMPRODUCT(('Final Calculation Sheet'!$X$4:$X$40=$DZ$20)*($OS$6:$OS$42=1))&gt;0)</f>
        <v/>
      </c>
      <c r="OU20">
        <f>$OU$19+--($OT20)</f>
        <v/>
      </c>
      <c r="OV20">
        <f>IF(ROW()-3&gt;MAX($OU$4:$OU$40),"",INDEX($DZ$4:$DZ$40,MATCH(ROW()-3,$OU$4:$OU$40,0)))</f>
        <v/>
      </c>
      <c r="OW20">
        <f>IF(COUNTIF('Buyer Groups'!DG20:ED20,0)+COUNTIF('Buyer Groups'!EF20:EN20,0)&gt;0,0,1)</f>
        <v/>
      </c>
      <c r="OX20">
        <f>IF($EE$20="",FALSE,SUMPRODUCT(('Final Calculation Sheet'!$Y$4:$Y$40=$EE$20)*($OW$6:$OW$42=1))&gt;0)</f>
        <v/>
      </c>
      <c r="OY20">
        <f>$OY$19+--($OX20)</f>
        <v/>
      </c>
      <c r="OZ20">
        <f>IF(ROW()-3&gt;MAX($OY$4:$OY$40),"",INDEX($EE$4:$EE$40,MATCH(ROW()-3,$OY$4:$OY$40,0)))</f>
        <v/>
      </c>
      <c r="PA20">
        <f>IF(COUNTIF('Buyer Groups'!DG20:EE20,0)+COUNTIF('Buyer Groups'!EG20:EN20,0)&gt;0,0,1)</f>
        <v/>
      </c>
      <c r="PB20">
        <f>IF($EJ$20="",FALSE,SUMPRODUCT(('Final Calculation Sheet'!$Z$4:$Z$40=$EJ$20)*($PA$6:$PA$42=1))&gt;0)</f>
        <v/>
      </c>
      <c r="PC20">
        <f>$PC$19+--($PB20)</f>
        <v/>
      </c>
      <c r="PD20">
        <f>IF(ROW()-3&gt;MAX($PC$4:$PC$40),"",INDEX($EJ$4:$EJ$40,MATCH(ROW()-3,$PC$4:$PC$40,0)))</f>
        <v/>
      </c>
      <c r="PE20">
        <f>IF(COUNTIF('Buyer Groups'!DG20:EF20,0)+COUNTIF('Buyer Groups'!EH20:EN20,0)&gt;0,0,1)</f>
        <v/>
      </c>
      <c r="PF20">
        <f>IF($EO$20="",FALSE,SUMPRODUCT(('Final Calculation Sheet'!$AA$4:$AA$40=$EO$20)*($PE$6:$PE$42=1))&gt;0)</f>
        <v/>
      </c>
      <c r="PG20">
        <f>$PG$19+--($PF20)</f>
        <v/>
      </c>
      <c r="PH20">
        <f>IF(ROW()-3&gt;MAX($PG$4:$PG$40),"",INDEX($EO$4:$EO$40,MATCH(ROW()-3,$PG$4:$PG$40,0)))</f>
        <v/>
      </c>
      <c r="PI20">
        <f>IF(COUNTIF('Buyer Groups'!DG20:EG20,0)+COUNTIF('Buyer Groups'!EI20:EN20,0)&gt;0,0,1)</f>
        <v/>
      </c>
      <c r="PJ20">
        <f>IF($ET$20="",FALSE,SUMPRODUCT(('Final Calculation Sheet'!$AB$4:$AB$40=$ET$20)*($PI$6:$PI$42=1))&gt;0)</f>
        <v/>
      </c>
      <c r="PK20">
        <f>$PK$19+--($PJ20)</f>
        <v/>
      </c>
      <c r="PL20">
        <f>IF(ROW()-3&gt;MAX($PK$4:$PK$40),"",INDEX($ET$4:$ET$40,MATCH(ROW()-3,$PK$4:$PK$40,0)))</f>
        <v/>
      </c>
      <c r="PM20">
        <f>IF(COUNTIF('Buyer Groups'!DG20:EH20,0)+COUNTIF('Buyer Groups'!EJ20:EN20,0)&gt;0,0,1)</f>
        <v/>
      </c>
      <c r="PN20">
        <f>IF($EY$20="",FALSE,SUMPRODUCT(('Final Calculation Sheet'!$AC$4:$AC$40=$EY$20)*($PM$6:$PM$42=1))&gt;0)</f>
        <v/>
      </c>
      <c r="PO20">
        <f>$PO$19+--($PN20)</f>
        <v/>
      </c>
      <c r="PP20">
        <f>IF(ROW()-3&gt;MAX($PO$4:$PO$40),"",INDEX($EY$4:$EY$40,MATCH(ROW()-3,$PO$4:$PO$40,0)))</f>
        <v/>
      </c>
      <c r="PQ20">
        <f>IF(COUNTIF('Buyer Groups'!DG20:EI20,0)+COUNTIF('Buyer Groups'!EK20:EN20,0)&gt;0,0,1)</f>
        <v/>
      </c>
      <c r="PR20">
        <f>IF($FD$20="",FALSE,SUMPRODUCT(('Final Calculation Sheet'!$AD$4:$AD$40=$FD$20)*($PQ$6:$PQ$42=1))&gt;0)</f>
        <v/>
      </c>
      <c r="PS20">
        <f>$PS$19+--($PR20)</f>
        <v/>
      </c>
      <c r="PT20">
        <f>IF(ROW()-3&gt;MAX($PS$4:$PS$40),"",INDEX($FD$4:$FD$40,MATCH(ROW()-3,$PS$4:$PS$40,0)))</f>
        <v/>
      </c>
      <c r="PU20">
        <f>IF(COUNTIF('Buyer Groups'!DG20:EJ20,0)+COUNTIF('Buyer Groups'!EL20:EN20,0)&gt;0,0,1)</f>
        <v/>
      </c>
      <c r="PV20">
        <f>IF($FX$20="",FALSE,SUMPRODUCT((IF('Final Calculation Sheet'!$AD$4:$AD$40&lt;=5,"SETTLED","OUTSTANDING")=$FX$20)*($PU$6:$PU$42=1))&gt;0)</f>
        <v/>
      </c>
      <c r="PW20">
        <f>$PW$19+--($PV20)</f>
        <v/>
      </c>
      <c r="PX20">
        <f>IF(ROW()-3&gt;MAX($PW$4:$PW$40),"",INDEX($FX$4:$FX$40,MATCH(ROW()-3,$PW$4:$PW$40,0)))</f>
        <v/>
      </c>
      <c r="PY20">
        <f>IF(COUNTIF('Buyer Groups'!DG20:EK20,0)+COUNTIF('Buyer Groups'!EM20:EN20,0)&gt;0,0,1)</f>
        <v/>
      </c>
      <c r="PZ20">
        <f>IF($FI$20="",FALSE,SUMPRODUCT(('Final Calculation Sheet'!$AF$4:$AF$40=$FI$20)*($PY$6:$PY$42=1))&gt;0)</f>
        <v/>
      </c>
      <c r="QA20">
        <f>$QA$19+--($PZ20)</f>
        <v/>
      </c>
      <c r="QB20">
        <f>IF(ROW()-3&gt;MAX($QA$4:$QA$40),"",INDEX($FI$4:$FI$40,MATCH(ROW()-3,$QA$4:$QA$40,0)))</f>
        <v/>
      </c>
      <c r="QC20">
        <f>IF(COUNTIF('Buyer Groups'!DG20:EL20,0)+COUNTIF('Buyer Groups'!EN20:EN20,0)&gt;0,0,1)</f>
        <v/>
      </c>
      <c r="QD20">
        <f>IF($FN$20="",FALSE,SUMPRODUCT(('Final Calculation Sheet'!$AG$4:$AG$40=$FN$20)*($QC$6:$QC$42=1))&gt;0)</f>
        <v/>
      </c>
      <c r="QE20">
        <f>$QE$19+--($QD20)</f>
        <v/>
      </c>
      <c r="QF20">
        <f>IF(ROW()-3&gt;MAX($QE$4:$QE$40),"",INDEX($FN$4:$FN$40,MATCH(ROW()-3,$QE$4:$QE$40,0)))</f>
        <v/>
      </c>
      <c r="QG20">
        <f>IF(COUNTIF('Buyer Groups'!DG20:EM20,0)&gt;0,0,1)</f>
        <v/>
      </c>
      <c r="QH20">
        <f>IF($FS$20="",FALSE,SUMPRODUCT(('Final Calculation Sheet'!$AH$4:$AH$40=$FS$20)*($QG$6:$QG$42=1))&gt;0)</f>
        <v/>
      </c>
      <c r="QI20">
        <f>$QI$19+--($QH20)</f>
        <v/>
      </c>
      <c r="QJ20">
        <f>IF(ROW()-3&gt;MAX($QI$4:$QI$40),"",INDEX($FS$4:$FS$40,MATCH(ROW()-3,$QI$4:$QI$40,0)))</f>
        <v/>
      </c>
      <c r="QK20" t="str">
        <f>IF('Final Calculation Sheet'!$AH$20="","",'Final Calculation Sheet'!$AH$20)</f>
      </c>
      <c r="QL20" t="str">
        <f>IF(QK20="","",COUNTIFS(QK$4:QK$40,"&lt;"&amp;QK20,QK$4:QK$40,"&lt;&gt;"&amp;"")+COUNTIF(QK$4:QK20,QK20))</f>
      </c>
      <c r="QM20" t="str">
        <f>IF(ROW()-3&gt;COUNTIF(QK$4:QK$40,"&lt;&gt;"&amp;""),"",INDEX(QK$4:QK$40,MATCH(ROW()-3,QL$4:QL$40,0)))</f>
      </c>
      <c r="QN20" t="str">
        <f>=QN19+F(AND(QM20&lt;&gt;"",COUNTIF(QM$4:QM20,QM20)=1),1,0)</f>
      </c>
      <c r="QO20" t="str">
        <f>IF(ROW()-3&gt;MAX(QN$4:QN$40),"",INDEX(QM$4:QM$40,MATCH(ROW()-3,QN$4:QN$40,0)))</f>
      </c>
      <c r="QP20" t="str">
        <f>IF(COUNTIF('Final Calculation Sheet'!$AM20:$BS20,0)&gt;0,0,1)</f>
      </c>
      <c r="QQ20" t="str">
        <f>IF($AI$20="",FALSE,SUMPRODUCT(('Final Calculation Sheet'!$A$4:$A$40=$AI$20)*($QP$4:$QP$40=1))&gt;0)</f>
      </c>
      <c r="QR20" t="str">
        <f>=$QR19+--($QQ20)</f>
      </c>
      <c r="QS20" t="str">
        <f>IF(ROW()-3&gt;MAX($QR$4:$QR$40),"",INDEX($AI$4:$AI$40,MATCH(ROW()-3,$QR$4:$QR$40,0)))</f>
      </c>
      <c r="QT20" t="str">
        <f>IF(COUNTIF('Final Calculation Sheet'!$AL20:$AL20,0)+COUNTIF('Final Calculation Sheet'!$AN20:$BS20,0)&gt;0,0,1)</f>
      </c>
      <c r="QU20" t="str">
        <f>IF($Y$20="",FALSE,SUMPRODUCT(('Final Calculation Sheet'!$B$4:$B$40=$Y$20)*($QT$4:$QT$40=1))&gt;0)</f>
      </c>
      <c r="QV20" t="str">
        <f>=$QV19+--($QU20)</f>
      </c>
      <c r="QW20" t="str">
        <f>IF(ROW()-3&gt;MAX($QV$4:$QV$40),"",INDEX($Y$4:$Y$40,MATCH(ROW()-3,$QV$4:$QV$40,0)))</f>
      </c>
      <c r="QX20" t="str">
        <f>IF(COUNTIF('Final Calculation Sheet'!$AL20:$AM20,0)+COUNTIF('Final Calculation Sheet'!$AO20:$BS20,0)&gt;0,0,1)</f>
      </c>
      <c r="QY20" t="str">
        <f>IF($AS$20="",FALSE,SUMPRODUCT(('Final Calculation Sheet'!$C$4:$C$40=$AS$20)*($QX$4:$QX$40=1))&gt;0)</f>
      </c>
      <c r="QZ20" t="str">
        <f>=$QZ19+--($QY20)</f>
      </c>
      <c r="RA20" t="str">
        <f>IF(ROW()-3&gt;MAX($QZ$4:$QZ$40),"",INDEX($AS$4:$AS$40,MATCH(ROW()-3,$QZ$4:$QZ$40,0)))</f>
      </c>
      <c r="RB20" t="str">
        <f>IF(COUNTIF('Final Calculation Sheet'!$AL20:$AN20,0)+COUNTIF('Final Calculation Sheet'!$AP20:$BS20,0)&gt;0,0,1)</f>
      </c>
      <c r="RC20" t="str">
        <f>IF($AD$20="",FALSE,SUMPRODUCT(('Final Calculation Sheet'!$D$4:$D$40=$AD$20)*($RB$4:$RB$40=1))&gt;0)</f>
      </c>
      <c r="RD20" t="str">
        <f>=$RD19+--($RC20)</f>
      </c>
      <c r="RE20" t="str">
        <f>IF(ROW()-3&gt;MAX($RD$4:$RD$40),"",INDEX($AD$4:$AD$40,MATCH(ROW()-3,$RD$4:$RD$40,0)))</f>
      </c>
      <c r="RF20" t="str">
        <f>IF(COUNTIF('Final Calculation Sheet'!$AL20:$AO20,0)+COUNTIF('Final Calculation Sheet'!$AQ20:$BS20,0)&gt;0,0,1)</f>
      </c>
      <c r="RG20" t="str">
        <f>IF($AN$20="",FALSE,SUMPRODUCT(('Final Calculation Sheet'!$E$4:$E$40=$AN$20)*($RF$4:$RF$40=1))&gt;0)</f>
      </c>
      <c r="RH20" t="str">
        <f>=$RH19+--($RG20)</f>
      </c>
      <c r="RI20" t="str">
        <f>IF(ROW()-3&gt;MAX($RH$4:$RH$40),"",INDEX($AN$4:$AN$40,MATCH(ROW()-3,$RH$4:$RH$40,0)))</f>
      </c>
      <c r="RJ20" t="str">
        <f>IF(COUNTIF('Final Calculation Sheet'!$AL20:$AP20,0)+COUNTIF('Final Calculation Sheet'!$AR20:$BS20,0)&gt;0,0,1)</f>
      </c>
      <c r="RK20" t="str">
        <f>IF($O$20="",FALSE,SUMPRODUCT(('Final Calculation Sheet'!$F$4:$F$40=$O$20)*($RJ$4:$RJ$40=1))&gt;0)</f>
      </c>
      <c r="RL20" t="str">
        <f>=$RL19+--($RK20)</f>
      </c>
      <c r="RM20" t="str">
        <f>IF(ROW()-3&gt;MAX($RL$4:$RL$40),"",INDEX($O$4:$O$40,MATCH(ROW()-3,$RL$4:$RL$40,0)))</f>
      </c>
      <c r="RN20" t="str">
        <f>IF(COUNTIF('Final Calculation Sheet'!$AL20:$AQ20,0)+COUNTIF('Final Calculation Sheet'!$AS20:$BS20,0)&gt;0,0,1)</f>
      </c>
      <c r="RO20" t="str">
        <f>IF($T$20="",FALSE,SUMPRODUCT(('Final Calculation Sheet'!$G$4:$G$40=$T$20)*($RN$4:$RN$40=1))&gt;0)</f>
      </c>
      <c r="RP20" t="str">
        <f>=$RP19+--($RO20)</f>
      </c>
      <c r="RQ20" t="str">
        <f>IF(ROW()-3&gt;MAX($RP$4:$RP$40),"",INDEX($T$4:$T$40,MATCH(ROW()-3,$RP$4:$RP$40,0)))</f>
      </c>
      <c r="RR20" t="str">
        <f>IF(COUNTIF('Final Calculation Sheet'!$AL20:$AR20,0)+COUNTIF('Final Calculation Sheet'!$AT20:$BS20,0)&gt;0,0,1)</f>
      </c>
      <c r="RS20" t="str">
        <f>IF($AX$20="",FALSE,SUMPRODUCT(('Final Calculation Sheet'!$H$4:$H$40=$AX$20)*($RR$4:$RR$40=1))&gt;0)</f>
      </c>
      <c r="RT20" t="str">
        <f>=$RT19+--($RS20)</f>
      </c>
      <c r="RU20" t="str">
        <f>IF(ROW()-3&gt;MAX($RT$4:$RT$40),"",INDEX($AX$4:$AX$40,MATCH(ROW()-3,$RT$4:$RT$40,0)))</f>
      </c>
      <c r="RV20" t="str">
        <f>IF(COUNTIF('Final Calculation Sheet'!$AL20:$AS20,0)+COUNTIF('Final Calculation Sheet'!$AU20:$BS20,0)&gt;0,0,1)</f>
      </c>
      <c r="RW20" t="str">
        <f>IF($BC$20="",FALSE,SUMPRODUCT(('Final Calculation Sheet'!$I$4:$I$40=$BC$20)*($RV$4:$RV$40=1))&gt;0)</f>
      </c>
      <c r="RX20" t="str">
        <f>=$RX19+--($RW20)</f>
      </c>
      <c r="RY20" t="str">
        <f>IF(ROW()-3&gt;MAX($RX$4:$RX$40),"",INDEX($BC$4:$BC$40,MATCH(ROW()-3,$RX$4:$RX$40,0)))</f>
      </c>
      <c r="RZ20" t="str">
        <f>IF(COUNTIF('Final Calculation Sheet'!$AL20:$AT20,0)+COUNTIF('Final Calculation Sheet'!$AV20:$BS20,0)&gt;0,0,1)</f>
      </c>
      <c r="SA20" t="str">
        <f>IF($BH$20="",FALSE,SUMPRODUCT(('Final Calculation Sheet'!$J$4:$J$40=$BH$20)*($RZ$4:$RZ$40=1))&gt;0)</f>
      </c>
      <c r="SB20" t="str">
        <f>=$SB19+--($SA20)</f>
      </c>
      <c r="SC20" t="str">
        <f>IF(ROW()-3&gt;MAX($SB$4:$SB$40),"",INDEX($BH$4:$BH$40,MATCH(ROW()-3,$SB$4:$SB$40,0)))</f>
      </c>
      <c r="SD20" t="str">
        <f>IF(COUNTIF('Final Calculation Sheet'!$AL20:$AU20,0)+COUNTIF('Final Calculation Sheet'!$AW20:$BS20,0)&gt;0,0,1)</f>
      </c>
      <c r="SE20" t="str">
        <f>IF($BM$20="",FALSE,SUMPRODUCT(('Final Calculation Sheet'!$K$4:$K$40=$BM$20)*($SD$4:$SD$40=1))&gt;0)</f>
      </c>
      <c r="SF20" t="str">
        <f>=$SF19+--($SE20)</f>
      </c>
      <c r="SG20" t="str">
        <f>IF(ROW()-3&gt;MAX($SF$4:$SF$40),"",INDEX($BM$4:$BM$40,MATCH(ROW()-3,$SF$4:$SF$40,0)))</f>
      </c>
      <c r="SH20" t="str">
        <f>IF(COUNTIF('Final Calculation Sheet'!$AL20:$AV20,0)+COUNTIF('Final Calculation Sheet'!$AX20:$BS20,0)&gt;0,0,1)</f>
      </c>
      <c r="SI20" t="str">
        <f>IF($BR$20="",FALSE,SUMPRODUCT(('Final Calculation Sheet'!$L$4:$L$40=$BR$20)*($SH$4:$SH$40=1))&gt;0)</f>
      </c>
      <c r="SJ20" t="str">
        <f>=$SJ19+--($SI20)</f>
      </c>
      <c r="SK20" t="str">
        <f>IF(ROW()-3&gt;MAX($SJ$4:$SJ$40),"",INDEX($BR$4:$BR$40,MATCH(ROW()-3,$SJ$4:$SJ$40,0)))</f>
      </c>
      <c r="SL20" t="str">
        <f>IF(COUNTIF('Final Calculation Sheet'!$AL20:$AW20,0)+COUNTIF('Final Calculation Sheet'!$AY20:$BS20,0)&gt;0,0,1)</f>
      </c>
      <c r="SM20" t="str">
        <f>IF($BW$20="",FALSE,SUMPRODUCT(('Final Calculation Sheet'!$M$4:$M$40=$BW$20)*($SL$4:$SL$40=1))&gt;0)</f>
      </c>
      <c r="SN20" t="str">
        <f>=$SN19+--($SM20)</f>
      </c>
      <c r="SO20" t="str">
        <f>IF(ROW()-3&gt;MAX($SN$4:$SN$40),"",INDEX($BW$4:$BW$40,MATCH(ROW()-3,$SN$4:$SN$40,0)))</f>
      </c>
      <c r="SP20" t="str">
        <f>IF(COUNTIF('Final Calculation Sheet'!$AL20:$AX20,0)+COUNTIF('Final Calculation Sheet'!$AZ20:$BS20,0)&gt;0,0,1)</f>
      </c>
      <c r="SQ20" t="str">
        <f>IF($CB$20="",FALSE,SUMPRODUCT(('Final Calculation Sheet'!$N$4:$N$40=$CB$20)*($SP$4:$SP$40=1))&gt;0)</f>
      </c>
      <c r="SR20" t="str">
        <f>=$SR19+--($SQ20)</f>
      </c>
      <c r="SS20" t="str">
        <f>IF(ROW()-3&gt;MAX($SR$4:$SR$40),"",INDEX($CB$4:$CB$40,MATCH(ROW()-3,$SR$4:$SR$40,0)))</f>
      </c>
      <c r="ST20" t="str">
        <f>IF(COUNTIF('Final Calculation Sheet'!$AL20:$AY20,0)+COUNTIF('Final Calculation Sheet'!$BA20:$BS20,0)&gt;0,0,1)</f>
      </c>
      <c r="SU20" t="str">
        <f>IF($CG$20="",FALSE,SUMPRODUCT(('Final Calculation Sheet'!$O$4:$O$40=$CG$20)*($ST$4:$ST$40=1))&gt;0)</f>
      </c>
      <c r="SV20" t="str">
        <f>=$SV19+--($SU20)</f>
      </c>
      <c r="SW20" t="str">
        <f>IF(ROW()-3&gt;MAX($SV$4:$SV$40),"",INDEX($CG$4:$CG$40,MATCH(ROW()-3,$SV$4:$SV$40,0)))</f>
      </c>
      <c r="SX20" t="str">
        <f>IF(COUNTIF('Final Calculation Sheet'!$AL20:$AZ20,0)+COUNTIF('Final Calculation Sheet'!$BB20:$BS20,0)&gt;0,0,1)</f>
      </c>
      <c r="SY20" t="str">
        <f>IF($CL$20="",FALSE,SUMPRODUCT(('Final Calculation Sheet'!$P$4:$P$40=$CL$20)*($SX$4:$SX$40=1))&gt;0)</f>
      </c>
      <c r="SZ20" t="str">
        <f>=$SZ19+--($SY20)</f>
      </c>
      <c r="TA20" t="str">
        <f>IF(ROW()-3&gt;MAX($SZ$4:$SZ$40),"",INDEX($CL$4:$CL$40,MATCH(ROW()-3,$SZ$4:$SZ$40,0)))</f>
      </c>
      <c r="TB20" t="str">
        <f>IF(COUNTIF('Final Calculation Sheet'!$AL20:$BA20,0)+COUNTIF('Final Calculation Sheet'!$BC20:$BS20,0)&gt;0,0,1)</f>
      </c>
      <c r="TC20" t="str">
        <f>IF($CQ$20="",FALSE,SUMPRODUCT(('Final Calculation Sheet'!$Q$4:$Q$40=$CQ$20)*($TB$4:$TB$40=1))&gt;0)</f>
      </c>
      <c r="TD20" t="str">
        <f>=$TD19+--($TC20)</f>
      </c>
      <c r="TE20" t="str">
        <f>IF(ROW()-3&gt;MAX($TD$4:$TD$40),"",INDEX($CQ$4:$CQ$40,MATCH(ROW()-3,$TD$4:$TD$40,0)))</f>
      </c>
      <c r="TF20" t="str">
        <f>IF(COUNTIF('Final Calculation Sheet'!$AL20:$BB20,0)+COUNTIF('Final Calculation Sheet'!$BD20:$BS20,0)&gt;0,0,1)</f>
      </c>
      <c r="TG20" t="str">
        <f>IF($CV$20="",FALSE,SUMPRODUCT(('Final Calculation Sheet'!$R$4:$R$40=$CV$20)*($TF$4:$TF$40=1))&gt;0)</f>
      </c>
      <c r="TH20" t="str">
        <f>=$TH19+--($TG20)</f>
      </c>
      <c r="TI20" t="str">
        <f>IF(ROW()-3&gt;MAX($TH$4:$TH$40),"",INDEX($CV$4:$CV$40,MATCH(ROW()-3,$TH$4:$TH$40,0)))</f>
      </c>
      <c r="TJ20" t="str">
        <f>IF(COUNTIF('Final Calculation Sheet'!$AL20:$BC20,0)+COUNTIF('Final Calculation Sheet'!$BE20:$BS20,0)&gt;0,0,1)</f>
      </c>
      <c r="TK20" t="str">
        <f>IF($DA$20="",FALSE,SUMPRODUCT(('Final Calculation Sheet'!$S$4:$S$40=$DA$20)*($TJ$4:$TJ$40=1))&gt;0)</f>
      </c>
      <c r="TL20" t="str">
        <f>=$TL19+--($TK20)</f>
      </c>
      <c r="TM20" t="str">
        <f>IF(ROW()-3&gt;MAX($TL$4:$TL$40),"",INDEX($DA$4:$DA$40,MATCH(ROW()-3,$TL$4:$TL$40,0)))</f>
      </c>
      <c r="TN20" t="str">
        <f>IF(COUNTIF('Final Calculation Sheet'!$AL20:$BD20,0)+COUNTIF('Final Calculation Sheet'!$BF20:$BS20,0)&gt;0,0,1)</f>
      </c>
      <c r="TO20" t="str">
        <f>IF($DF$20="",FALSE,SUMPRODUCT(('Final Calculation Sheet'!$T$4:$T$40=$DF$20)*($TN$4:$TN$40=1))&gt;0)</f>
      </c>
      <c r="TP20" t="str">
        <f>=$TP19+--($TO20)</f>
      </c>
      <c r="TQ20" t="str">
        <f>IF(ROW()-3&gt;MAX($TP$4:$TP$40),"",INDEX($DF$4:$DF$40,MATCH(ROW()-3,$TP$4:$TP$40,0)))</f>
      </c>
      <c r="TR20" t="str">
        <f>IF(COUNTIF('Final Calculation Sheet'!$AL20:$BE20,0)+COUNTIF('Final Calculation Sheet'!$BG20:$BS20,0)&gt;0,0,1)</f>
      </c>
      <c r="TS20" t="str">
        <f>IF($DK$20="",FALSE,SUMPRODUCT(('Final Calculation Sheet'!$U$4:$U$40=$DK$20)*($TR$4:$TR$40=1))&gt;0)</f>
      </c>
      <c r="TT20" t="str">
        <f>=$TT19+--($TS20)</f>
      </c>
      <c r="TU20" t="str">
        <f>IF(ROW()-3&gt;MAX($TT$4:$TT$40),"",INDEX($DK$4:$DK$40,MATCH(ROW()-3,$TT$4:$TT$40,0)))</f>
      </c>
      <c r="TV20" t="str">
        <f>IF(COUNTIF('Final Calculation Sheet'!$AL20:$BF20,0)+COUNTIF('Final Calculation Sheet'!$BH20:$BS20,0)&gt;0,0,1)</f>
      </c>
      <c r="TW20" t="str">
        <f>IF($DP$20="",FALSE,SUMPRODUCT(('Final Calculation Sheet'!$V$4:$V$40=$DP$20)*($TV$4:$TV$40=1))&gt;0)</f>
      </c>
      <c r="TX20" t="str">
        <f>=$TX19+--($TW20)</f>
      </c>
      <c r="TY20" t="str">
        <f>IF(ROW()-3&gt;MAX($TX$4:$TX$40),"",INDEX($DP$4:$DP$40,MATCH(ROW()-3,$TX$4:$TX$40,0)))</f>
      </c>
      <c r="TZ20" t="str">
        <f>IF(COUNTIF('Final Calculation Sheet'!$AL20:$BG20,0)+COUNTIF('Final Calculation Sheet'!$BI20:$BS20,0)&gt;0,0,1)</f>
      </c>
      <c r="UA20" t="str">
        <f>IF($DU$20="",FALSE,SUMPRODUCT(('Final Calculation Sheet'!$W$4:$W$40=$DU$20)*($TZ$4:$TZ$40=1))&gt;0)</f>
      </c>
      <c r="UB20" t="str">
        <f>=$UB19+--($UA20)</f>
      </c>
      <c r="UC20" t="str">
        <f>IF(ROW()-3&gt;MAX($UB$4:$UB$40),"",INDEX($DU$4:$DU$40,MATCH(ROW()-3,$UB$4:$UB$40,0)))</f>
      </c>
      <c r="UD20" t="str">
        <f>IF(COUNTIF('Final Calculation Sheet'!$AL20:$BH20,0)+COUNTIF('Final Calculation Sheet'!$BJ20:$BS20,0)&gt;0,0,1)</f>
      </c>
      <c r="UE20" t="str">
        <f>IF($DZ$20="",FALSE,SUMPRODUCT(('Final Calculation Sheet'!$X$4:$X$40=$DZ$20)*($UD$4:$UD$40=1))&gt;0)</f>
      </c>
      <c r="UF20" t="str">
        <f>=$UF19+--($UE20)</f>
      </c>
      <c r="UG20" t="str">
        <f>IF(ROW()-3&gt;MAX($UF$4:$UF$40),"",INDEX($DZ$4:$DZ$40,MATCH(ROW()-3,$UF$4:$UF$40,0)))</f>
      </c>
      <c r="UH20" t="str">
        <f>IF(COUNTIF('Final Calculation Sheet'!$AL20:$BI20,0)+COUNTIF('Final Calculation Sheet'!$BK20:$BS20,0)&gt;0,0,1)</f>
      </c>
      <c r="UI20" t="str">
        <f>IF($EE$20="",FALSE,SUMPRODUCT(('Final Calculation Sheet'!$Y$4:$Y$40=$EE$20)*($UH$4:$UH$40=1))&gt;0)</f>
      </c>
      <c r="UJ20" t="str">
        <f>=$UJ19+--($UI20)</f>
      </c>
      <c r="UK20" t="str">
        <f>IF(ROW()-3&gt;MAX($UJ$4:$UJ$40),"",INDEX($EE$4:$EE$40,MATCH(ROW()-3,$UJ$4:$UJ$40,0)))</f>
      </c>
      <c r="UL20" t="str">
        <f>IF(COUNTIF('Final Calculation Sheet'!$AL20:$BJ20,0)+COUNTIF('Final Calculation Sheet'!$BL20:$BS20,0)&gt;0,0,1)</f>
      </c>
      <c r="UM20" t="str">
        <f>IF($EJ$20="",FALSE,SUMPRODUCT(('Final Calculation Sheet'!$Z$4:$Z$40=$EJ$20)*($UL$4:$UL$40=1))&gt;0)</f>
      </c>
      <c r="UN20" t="str">
        <f>=$UN19+--($UM20)</f>
      </c>
      <c r="UO20" t="str">
        <f>IF(ROW()-3&gt;MAX($UN$4:$UN$40),"",INDEX($EJ$4:$EJ$40,MATCH(ROW()-3,$UN$4:$UN$40,0)))</f>
      </c>
      <c r="UP20" t="str">
        <f>IF(COUNTIF('Final Calculation Sheet'!$AL20:$BK20,0)+COUNTIF('Final Calculation Sheet'!$BM20:$BS20,0)&gt;0,0,1)</f>
      </c>
      <c r="UQ20" t="str">
        <f>IF($EO$20="",FALSE,SUMPRODUCT(('Final Calculation Sheet'!$AA$4:$AA$40=$EO$20)*($UP$4:$UP$40=1))&gt;0)</f>
      </c>
      <c r="UR20" t="str">
        <f>=$UR19+--($UQ20)</f>
      </c>
      <c r="US20" t="str">
        <f>IF(ROW()-3&gt;MAX($UR$4:$UR$40),"",INDEX($EO$4:$EO$40,MATCH(ROW()-3,$UR$4:$UR$40,0)))</f>
      </c>
      <c r="UT20" t="str">
        <f>IF(COUNTIF('Final Calculation Sheet'!$AL20:$BL20,0)+COUNTIF('Final Calculation Sheet'!$BN20:$BS20,0)&gt;0,0,1)</f>
      </c>
      <c r="UU20" t="str">
        <f>IF($ET$20="",FALSE,SUMPRODUCT(('Final Calculation Sheet'!$AB$4:$AB$40=$ET$20)*($UT$4:$UT$40=1))&gt;0)</f>
      </c>
      <c r="UV20" t="str">
        <f>=$UV19+--($UU20)</f>
      </c>
      <c r="UW20" t="str">
        <f>IF(ROW()-3&gt;MAX($UV$4:$UV$40),"",INDEX($ET$4:$ET$40,MATCH(ROW()-3,$UV$4:$UV$40,0)))</f>
      </c>
      <c r="UX20" t="str">
        <f>IF(COUNTIF('Final Calculation Sheet'!$AL20:$BM20,0)+COUNTIF('Final Calculation Sheet'!$BO20:$BS20,0)&gt;0,0,1)</f>
      </c>
      <c r="UY20" t="str">
        <f>IF($EY$20="",FALSE,SUMPRODUCT(('Final Calculation Sheet'!$AC$4:$AC$40=$EY$20)*($UX$4:$UX$40=1))&gt;0)</f>
      </c>
      <c r="UZ20" t="str">
        <f>=$UZ19+--($UY20)</f>
      </c>
      <c r="VA20" t="str">
        <f>IF(ROW()-3&gt;MAX($UZ$4:$UZ$40),"",INDEX($EY$4:$EY$40,MATCH(ROW()-3,$UZ$4:$UZ$40,0)))</f>
      </c>
      <c r="VB20" t="str">
        <f>IF(COUNTIF('Final Calculation Sheet'!$AL20:$BN20,0)+COUNTIF('Final Calculation Sheet'!$BP20:$BS20,0)&gt;0,0,1)</f>
      </c>
      <c r="VC20" t="str">
        <f>IF($FD$20="",FALSE,SUMPRODUCT(('Final Calculation Sheet'!$AD$4:$AD$40=$FD$20)*($VB$4:$VB$40=1))&gt;0)</f>
      </c>
      <c r="VD20" t="str">
        <f>=$VD19+--($VC20)</f>
      </c>
      <c r="VE20" t="str">
        <f>IF(ROW()-3&gt;MAX($VD$4:$VD$40),"",INDEX($FD$4:$FD$40,MATCH(ROW()-3,$VD$4:$VD$40,0)))</f>
      </c>
      <c r="VF20" t="str">
        <f>IF(COUNTIF('Final Calculation Sheet'!$AL20:$BO20,0)+COUNTIF('Final Calculation Sheet'!$BQ20:$BS20,0)&gt;0,0,1)</f>
      </c>
      <c r="VG20" t="str">
        <f>IF($FI$20="",FALSE,SUMPRODUCT(('Final Calculation Sheet'!$AE$4:$AE$40=$FI$20)*($VF$4:$VF$40=1))&gt;0)</f>
      </c>
      <c r="VH20" t="str">
        <f>=$VH19+--($VG20)</f>
      </c>
      <c r="VI20" t="str">
        <f>IF(ROW()-3&gt;MAX($VH$4:$VH$40),"",INDEX($FI$4:$FI$40,MATCH(ROW()-3,$VH$4:$VH$40,0)))</f>
      </c>
      <c r="VJ20" t="str">
        <f>IF(COUNTIF('Final Calculation Sheet'!$AL20:$BP20,0)+COUNTIF('Final Calculation Sheet'!$BR20:$BS20,0)&gt;0,0,1)</f>
      </c>
      <c r="VK20" t="str">
        <f>IF($FN$20="",FALSE,SUMPRODUCT(('Final Calculation Sheet'!$AF$4:$AF$40=$FN$20)*($VJ$4:$VJ$40=1))&gt;0)</f>
      </c>
      <c r="VL20" t="str">
        <f>=$VL19+--($VK20)</f>
      </c>
      <c r="VM20" t="str">
        <f>IF(ROW()-3&gt;MAX($VL$4:$VL$40),"",INDEX($FN$4:$FN$40,MATCH(ROW()-3,$VL$4:$VL$40,0)))</f>
      </c>
      <c r="VN20" t="str">
        <f>IF(COUNTIF('Final Calculation Sheet'!$AL20:$BQ20,0)+COUNTIF('Final Calculation Sheet'!$BS20:$BS20,0)&gt;0,0,1)</f>
      </c>
      <c r="VO20" t="str">
        <f>IF($FS$20="",FALSE,SUMPRODUCT(('Final Calculation Sheet'!$AG$4:$AG$40=$FS$20)*($VN$4:$VN$40=1))&gt;0)</f>
      </c>
      <c r="VP20" t="str">
        <f>=$VP19+--($VO20)</f>
      </c>
      <c r="VQ20" t="str">
        <f>IF(ROW()-3&gt;MAX($VP$4:$VP$40),"",INDEX($FS$4:$FS$40,MATCH(ROW()-3,$VP$4:$VP$40,0)))</f>
      </c>
      <c r="VR20" t="str">
        <f>IF(COUNTIF('Final Calculation Sheet'!$AL20:$BR20,0)&gt;0,0,1)</f>
      </c>
      <c r="VS20" t="str">
        <f>IF($QO$20="",FALSE,SUMPRODUCT(('Final Calculation Sheet'!$AH$4:$AH$40=$QO$20)*($VR$4:$VR$40=1))&gt;0)</f>
      </c>
      <c r="VT20" t="str">
        <f>=$VT19+--($VS20)</f>
      </c>
      <c r="VU20" t="str">
        <f>IF(ROW()-3&gt;MAX($VT$4:$VT$40),"",INDEX($QO$4:$QO$40,MATCH(ROW()-3,$VT$4:$VT$40,0)))</f>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IF(ROW()-3&gt;MAX($LC$4:$LC$40),"",INDEX($FS$4:$FS$40,MATCH(ROW()-3,$LC$4:$LC$40,0)))</f>
        <v/>
      </c>
      <c r="LE21">
        <f>IF(COUNTIF('Buyer Groups'!DH21:EN21,0)&gt;0,0,1)</f>
        <v/>
      </c>
      <c r="LF21">
        <f>IF($O$21="",FALSE,SUMPRODUCT(('Final Calculation Sheet'!$F$4:$F$40=$O$21)*($LE$6:$LE$42=1))&gt;0)</f>
        <v/>
      </c>
      <c r="LG21">
        <f>$LG$20+--($LF21)</f>
        <v/>
      </c>
      <c r="LH21">
        <f>IF(ROW()-3&gt;MAX($LG$4:$LG$40),"",INDEX($O$4:$O$40,MATCH(ROW()-3,$LG$4:$LG$40,0)))</f>
        <v/>
      </c>
      <c r="LI21">
        <f>IF(COUNTIF('Buyer Groups'!DG21:DG21,0)+COUNTIF('Buyer Groups'!DI21:EN21,0)&gt;0,0,1)</f>
        <v/>
      </c>
      <c r="LJ21">
        <f>IF($T$21="",FALSE,SUMPRODUCT(('Final Calculation Sheet'!$G$4:$G$40=$T$21)*($LI$6:$LI$42=1))&gt;0)</f>
        <v/>
      </c>
      <c r="LK21">
        <f>$LK$20+--($LJ21)</f>
        <v/>
      </c>
      <c r="LL21">
        <f>IF(ROW()-3&gt;MAX($LK$4:$LK$40),"",INDEX($T$4:$T$40,MATCH(ROW()-3,$LK$4:$LK$40,0)))</f>
        <v/>
      </c>
      <c r="LM21">
        <f>IF(COUNTIF('Buyer Groups'!DG21:DH21,0)+COUNTIF('Buyer Groups'!DJ21:EN21,0)&gt;0,0,1)</f>
        <v/>
      </c>
      <c r="LN21">
        <f>IF($Y$21="",FALSE,SUMPRODUCT(('Final Calculation Sheet'!$B$4:$B$40=$Y$21)*($LM$6:$LM$42=1))&gt;0)</f>
        <v/>
      </c>
      <c r="LO21">
        <f>$LO$20+--($LN21)</f>
        <v/>
      </c>
      <c r="LP21">
        <f>IF(ROW()-3&gt;MAX($LO$4:$LO$40),"",INDEX($Y$4:$Y$40,MATCH(ROW()-3,$LO$4:$LO$40,0)))</f>
        <v/>
      </c>
      <c r="LQ21">
        <f>IF(COUNTIF('Buyer Groups'!DG21:DI21,0)+COUNTIF('Buyer Groups'!DK21:EN21,0)&gt;0,0,1)</f>
        <v/>
      </c>
      <c r="LR21">
        <f>IF($AD$21="",FALSE,SUMPRODUCT(('Final Calculation Sheet'!$D$4:$D$40=$AD$21)*($LQ$6:$LQ$42=1))&gt;0)</f>
        <v/>
      </c>
      <c r="LS21">
        <f>$LS$20+--($LR21)</f>
        <v/>
      </c>
      <c r="LT21">
        <f>IF(ROW()-3&gt;MAX($LS$4:$LS$40),"",INDEX($AD$4:$AD$40,MATCH(ROW()-3,$LS$4:$LS$40,0)))</f>
        <v/>
      </c>
      <c r="LU21">
        <f>IF(COUNTIF('Buyer Groups'!DG21:DJ21,0)+COUNTIF('Buyer Groups'!DL21:EN21,0)&gt;0,0,1)</f>
        <v/>
      </c>
      <c r="LV21">
        <f>IF($AI$21="",FALSE,SUMPRODUCT(('Final Calculation Sheet'!$A$4:$A$40=$AI$21)*($LU$6:$LU$42=1))&gt;0)</f>
        <v/>
      </c>
      <c r="LW21">
        <f>$LW$20+--($LV21)</f>
        <v/>
      </c>
      <c r="LX21">
        <f>IF(ROW()-3&gt;MAX($LW$4:$LW$40),"",INDEX($AI$4:$AI$40,MATCH(ROW()-3,$LW$4:$LW$40,0)))</f>
        <v/>
      </c>
      <c r="LY21">
        <f>IF(COUNTIF('Buyer Groups'!DG21:DK21,0)+COUNTIF('Buyer Groups'!DM21:EN21,0)&gt;0,0,1)</f>
        <v/>
      </c>
      <c r="LZ21">
        <f>IF($AN$21="",FALSE,SUMPRODUCT(('Final Calculation Sheet'!$E$4:$E$40=$AN$21)*($LY$6:$LY$42=1))&gt;0)</f>
        <v/>
      </c>
      <c r="MA21">
        <f>$MA$20+--($LZ21)</f>
        <v/>
      </c>
      <c r="MB21">
        <f>IF(ROW()-3&gt;MAX($MA$4:$MA$40),"",INDEX($AN$4:$AN$40,MATCH(ROW()-3,$MA$4:$MA$40,0)))</f>
        <v/>
      </c>
      <c r="MC21">
        <f>IF(COUNTIF('Buyer Groups'!DG21:DL21,0)+COUNTIF('Buyer Groups'!DN21:EN21,0)&gt;0,0,1)</f>
        <v/>
      </c>
      <c r="MD21">
        <f>IF($AS$21="",FALSE,SUMPRODUCT(('Final Calculation Sheet'!$C$4:$C$40=$AS$21)*($MC$6:$MC$42=1))&gt;0)</f>
        <v/>
      </c>
      <c r="ME21">
        <f>$ME$20+--($MD21)</f>
        <v/>
      </c>
      <c r="MF21">
        <f>IF(ROW()-3&gt;MAX($ME$4:$ME$40),"",INDEX($AS$4:$AS$40,MATCH(ROW()-3,$ME$4:$ME$40,0)))</f>
        <v/>
      </c>
      <c r="MG21">
        <f>IF(COUNTIF('Buyer Groups'!DG21:DM21,0)+COUNTIF('Buyer Groups'!DO21:EN21,0)&gt;0,0,1)</f>
        <v/>
      </c>
      <c r="MH21">
        <f>IF($AX$21="",FALSE,SUMPRODUCT(('Final Calculation Sheet'!$H$4:$H$40=$AX$21)*($MG$6:$MG$42=1))&gt;0)</f>
        <v/>
      </c>
      <c r="MI21">
        <f>$MI$20+--($MH21)</f>
        <v/>
      </c>
      <c r="MJ21">
        <f>IF(ROW()-3&gt;MAX($MI$4:$MI$40),"",INDEX($AX$4:$AX$40,MATCH(ROW()-3,$MI$4:$MI$40,0)))</f>
        <v/>
      </c>
      <c r="MK21">
        <f>IF(COUNTIF('Buyer Groups'!DG21:DN21,0)+COUNTIF('Buyer Groups'!DP21:EN21,0)&gt;0,0,1)</f>
        <v/>
      </c>
      <c r="ML21">
        <f>IF($BC$21="",FALSE,SUMPRODUCT(('Final Calculation Sheet'!$I$4:$I$40=$BC$21)*($MK$6:$MK$42=1))&gt;0)</f>
        <v/>
      </c>
      <c r="MM21">
        <f>$MM$20+--($ML21)</f>
        <v/>
      </c>
      <c r="MN21">
        <f>IF(ROW()-3&gt;MAX($MM$4:$MM$40),"",INDEX($BC$4:$BC$40,MATCH(ROW()-3,$MM$4:$MM$40,0)))</f>
        <v/>
      </c>
      <c r="MO21">
        <f>IF(COUNTIF('Buyer Groups'!DG21:DO21,0)+COUNTIF('Buyer Groups'!DQ21:EN21,0)&gt;0,0,1)</f>
        <v/>
      </c>
      <c r="MP21">
        <f>IF($BH$21="",FALSE,SUMPRODUCT(('Final Calculation Sheet'!$J$4:$J$40=$BH$21)*($MO$6:$MO$42=1))&gt;0)</f>
        <v/>
      </c>
      <c r="MQ21">
        <f>$MQ$20+--($MP21)</f>
        <v/>
      </c>
      <c r="MR21">
        <f>IF(ROW()-3&gt;MAX($MQ$4:$MQ$40),"",INDEX($BH$4:$BH$40,MATCH(ROW()-3,$MQ$4:$MQ$40,0)))</f>
        <v/>
      </c>
      <c r="MS21">
        <f>IF(COUNTIF('Buyer Groups'!DG21:DP21,0)+COUNTIF('Buyer Groups'!DR21:EN21,0)&gt;0,0,1)</f>
        <v/>
      </c>
      <c r="MT21">
        <f>IF($BM$21="",FALSE,SUMPRODUCT(('Final Calculation Sheet'!$K$4:$K$40=$BM$21)*($MS$6:$MS$42=1))&gt;0)</f>
        <v/>
      </c>
      <c r="MU21">
        <f>$MU$20+--($MT21)</f>
        <v/>
      </c>
      <c r="MV21">
        <f>IF(ROW()-3&gt;MAX($MU$4:$MU$40),"",INDEX($BM$4:$BM$40,MATCH(ROW()-3,$MU$4:$MU$40,0)))</f>
        <v/>
      </c>
      <c r="MW21">
        <f>IF(COUNTIF('Buyer Groups'!DG21:DQ21,0)+COUNTIF('Buyer Groups'!DS21:EN21,0)&gt;0,0,1)</f>
        <v/>
      </c>
      <c r="MX21">
        <f>IF($BR$21="",FALSE,SUMPRODUCT(('Final Calculation Sheet'!$L$4:$L$40=$BR$21)*($MW$6:$MW$42=1))&gt;0)</f>
        <v/>
      </c>
      <c r="MY21">
        <f>$MY$20+--($MX21)</f>
        <v/>
      </c>
      <c r="MZ21">
        <f>IF(ROW()-3&gt;MAX($MY$4:$MY$40),"",INDEX($BR$4:$BR$40,MATCH(ROW()-3,$MY$4:$MY$40,0)))</f>
        <v/>
      </c>
      <c r="NA21">
        <f>IF(COUNTIF('Buyer Groups'!DG21:DR21,0)+COUNTIF('Buyer Groups'!DT21:EN21,0)&gt;0,0,1)</f>
        <v/>
      </c>
      <c r="NB21">
        <f>IF($BW$21="",FALSE,SUMPRODUCT(('Final Calculation Sheet'!$M$4:$M$40=$BW$21)*($NA$6:$NA$42=1))&gt;0)</f>
        <v/>
      </c>
      <c r="NC21">
        <f>$NC$20+--($NB21)</f>
        <v/>
      </c>
      <c r="ND21">
        <f>IF(ROW()-3&gt;MAX($NC$4:$NC$40),"",INDEX($BW$4:$BW$40,MATCH(ROW()-3,$NC$4:$NC$40,0)))</f>
        <v/>
      </c>
      <c r="NE21">
        <f>IF(COUNTIF('Buyer Groups'!DG21:DS21,0)+COUNTIF('Buyer Groups'!DU21:EN21,0)&gt;0,0,1)</f>
        <v/>
      </c>
      <c r="NF21">
        <f>IF($CB$21="",FALSE,SUMPRODUCT(('Final Calculation Sheet'!$N$4:$N$40=$CB$21)*($NE$6:$NE$42=1))&gt;0)</f>
        <v/>
      </c>
      <c r="NG21">
        <f>$NG$20+--($NF21)</f>
        <v/>
      </c>
      <c r="NH21">
        <f>IF(ROW()-3&gt;MAX($NG$4:$NG$40),"",INDEX($CB$4:$CB$40,MATCH(ROW()-3,$NG$4:$NG$40,0)))</f>
        <v/>
      </c>
      <c r="NI21">
        <f>IF(COUNTIF('Buyer Groups'!DG21:DT21,0)+COUNTIF('Buyer Groups'!DV21:EN21,0)&gt;0,0,1)</f>
        <v/>
      </c>
      <c r="NJ21">
        <f>IF($CG$21="",FALSE,SUMPRODUCT(('Final Calculation Sheet'!$O$4:$O$40=$CG$21)*($NI$6:$NI$42=1))&gt;0)</f>
        <v/>
      </c>
      <c r="NK21">
        <f>$NK$20+--($NJ21)</f>
        <v/>
      </c>
      <c r="NL21">
        <f>IF(ROW()-3&gt;MAX($NK$4:$NK$40),"",INDEX($CG$4:$CG$40,MATCH(ROW()-3,$NK$4:$NK$40,0)))</f>
        <v/>
      </c>
      <c r="NM21">
        <f>IF(COUNTIF('Buyer Groups'!DG21:DU21,0)+COUNTIF('Buyer Groups'!DW21:EN21,0)&gt;0,0,1)</f>
        <v/>
      </c>
      <c r="NN21">
        <f>IF($CL$21="",FALSE,SUMPRODUCT(('Final Calculation Sheet'!$P$4:$P$40=$CL$21)*($NM$6:$NM$42=1))&gt;0)</f>
        <v/>
      </c>
      <c r="NO21">
        <f>$NO$20+--($NN21)</f>
        <v/>
      </c>
      <c r="NP21">
        <f>IF(ROW()-3&gt;MAX($NO$4:$NO$40),"",INDEX($CL$4:$CL$40,MATCH(ROW()-3,$NO$4:$NO$40,0)))</f>
        <v/>
      </c>
      <c r="NQ21">
        <f>IF(COUNTIF('Buyer Groups'!DG21:DV21,0)+COUNTIF('Buyer Groups'!DX21:EN21,0)&gt;0,0,1)</f>
        <v/>
      </c>
      <c r="NR21">
        <f>IF($CQ$21="",FALSE,SUMPRODUCT(('Final Calculation Sheet'!$Q$4:$Q$40=$CQ$21)*($NQ$6:$NQ$42=1))&gt;0)</f>
        <v/>
      </c>
      <c r="NS21">
        <f>$NS$20+--($NR21)</f>
        <v/>
      </c>
      <c r="NT21">
        <f>IF(ROW()-3&gt;MAX($NS$4:$NS$40),"",INDEX($CQ$4:$CQ$40,MATCH(ROW()-3,$NS$4:$NS$40,0)))</f>
        <v/>
      </c>
      <c r="NU21">
        <f>IF(COUNTIF('Buyer Groups'!DG21:DW21,0)+COUNTIF('Buyer Groups'!DY21:EN21,0)&gt;0,0,1)</f>
        <v/>
      </c>
      <c r="NV21">
        <f>IF($CV$21="",FALSE,SUMPRODUCT(('Final Calculation Sheet'!$R$4:$R$40=$CV$21)*($NU$6:$NU$42=1))&gt;0)</f>
        <v/>
      </c>
      <c r="NW21">
        <f>$NW$20+--($NV21)</f>
        <v/>
      </c>
      <c r="NX21">
        <f>IF(ROW()-3&gt;MAX($NW$4:$NW$40),"",INDEX($CV$4:$CV$40,MATCH(ROW()-3,$NW$4:$NW$40,0)))</f>
        <v/>
      </c>
      <c r="NY21">
        <f>IF(COUNTIF('Buyer Groups'!DG21:DX21,0)+COUNTIF('Buyer Groups'!DZ21:EN21,0)&gt;0,0,1)</f>
        <v/>
      </c>
      <c r="NZ21">
        <f>IF($DA$21="",FALSE,SUMPRODUCT(('Final Calculation Sheet'!$S$4:$S$40=$DA$21)*($NY$6:$NY$42=1))&gt;0)</f>
        <v/>
      </c>
      <c r="OA21">
        <f>$OA$20+--($NZ21)</f>
        <v/>
      </c>
      <c r="OB21">
        <f>IF(ROW()-3&gt;MAX($OA$4:$OA$40),"",INDEX($DA$4:$DA$40,MATCH(ROW()-3,$OA$4:$OA$40,0)))</f>
        <v/>
      </c>
      <c r="OC21">
        <f>IF(COUNTIF('Buyer Groups'!DG21:DY21,0)+COUNTIF('Buyer Groups'!EA21:EN21,0)&gt;0,0,1)</f>
        <v/>
      </c>
      <c r="OD21">
        <f>IF($DF$21="",FALSE,SUMPRODUCT(('Final Calculation Sheet'!$T$4:$T$40=$DF$21)*($OC$6:$OC$42=1))&gt;0)</f>
        <v/>
      </c>
      <c r="OE21">
        <f>$OE$20+--($OD21)</f>
        <v/>
      </c>
      <c r="OF21">
        <f>IF(ROW()-3&gt;MAX($OE$4:$OE$40),"",INDEX($DF$4:$DF$40,MATCH(ROW()-3,$OE$4:$OE$40,0)))</f>
        <v/>
      </c>
      <c r="OG21">
        <f>IF(COUNTIF('Buyer Groups'!DG21:DZ21,0)+COUNTIF('Buyer Groups'!EB21:EN21,0)&gt;0,0,1)</f>
        <v/>
      </c>
      <c r="OH21">
        <f>IF($DK$21="",FALSE,SUMPRODUCT(('Final Calculation Sheet'!$U$4:$U$40=$DK$21)*($OG$6:$OG$42=1))&gt;0)</f>
        <v/>
      </c>
      <c r="OI21">
        <f>$OI$20+--($OH21)</f>
        <v/>
      </c>
      <c r="OJ21">
        <f>IF(ROW()-3&gt;MAX($OI$4:$OI$40),"",INDEX($DK$4:$DK$40,MATCH(ROW()-3,$OI$4:$OI$40,0)))</f>
        <v/>
      </c>
      <c r="OK21">
        <f>IF(COUNTIF('Buyer Groups'!DG21:EA21,0)+COUNTIF('Buyer Groups'!EC21:EN21,0)&gt;0,0,1)</f>
        <v/>
      </c>
      <c r="OL21">
        <f>IF($DP$21="",FALSE,SUMPRODUCT(('Final Calculation Sheet'!$V$4:$V$40=$DP$21)*($OK$6:$OK$42=1))&gt;0)</f>
        <v/>
      </c>
      <c r="OM21">
        <f>$OM$20+--($OL21)</f>
        <v/>
      </c>
      <c r="ON21">
        <f>IF(ROW()-3&gt;MAX($OM$4:$OM$40),"",INDEX($DP$4:$DP$40,MATCH(ROW()-3,$OM$4:$OM$40,0)))</f>
        <v/>
      </c>
      <c r="OO21">
        <f>IF(COUNTIF('Buyer Groups'!DG21:EB21,0)+COUNTIF('Buyer Groups'!ED21:EN21,0)&gt;0,0,1)</f>
        <v/>
      </c>
      <c r="OP21">
        <f>IF($DU$21="",FALSE,SUMPRODUCT(('Final Calculation Sheet'!$W$4:$W$40=$DU$21)*($OO$6:$OO$42=1))&gt;0)</f>
        <v/>
      </c>
      <c r="OQ21">
        <f>$OQ$20+--($OP21)</f>
        <v/>
      </c>
      <c r="OR21">
        <f>IF(ROW()-3&gt;MAX($OQ$4:$OQ$40),"",INDEX($DU$4:$DU$40,MATCH(ROW()-3,$OQ$4:$OQ$40,0)))</f>
        <v/>
      </c>
      <c r="OS21">
        <f>IF(COUNTIF('Buyer Groups'!DG21:EC21,0)+COUNTIF('Buyer Groups'!EE21:EN21,0)&gt;0,0,1)</f>
        <v/>
      </c>
      <c r="OT21">
        <f>IF($DZ$21="",FALSE,SUMPRODUCT(('Final Calculation Sheet'!$X$4:$X$40=$DZ$21)*($OS$6:$OS$42=1))&gt;0)</f>
        <v/>
      </c>
      <c r="OU21">
        <f>$OU$20+--($OT21)</f>
        <v/>
      </c>
      <c r="OV21">
        <f>IF(ROW()-3&gt;MAX($OU$4:$OU$40),"",INDEX($DZ$4:$DZ$40,MATCH(ROW()-3,$OU$4:$OU$40,0)))</f>
        <v/>
      </c>
      <c r="OW21">
        <f>IF(COUNTIF('Buyer Groups'!DG21:ED21,0)+COUNTIF('Buyer Groups'!EF21:EN21,0)&gt;0,0,1)</f>
        <v/>
      </c>
      <c r="OX21">
        <f>IF($EE$21="",FALSE,SUMPRODUCT(('Final Calculation Sheet'!$Y$4:$Y$40=$EE$21)*($OW$6:$OW$42=1))&gt;0)</f>
        <v/>
      </c>
      <c r="OY21">
        <f>$OY$20+--($OX21)</f>
        <v/>
      </c>
      <c r="OZ21">
        <f>IF(ROW()-3&gt;MAX($OY$4:$OY$40),"",INDEX($EE$4:$EE$40,MATCH(ROW()-3,$OY$4:$OY$40,0)))</f>
        <v/>
      </c>
      <c r="PA21">
        <f>IF(COUNTIF('Buyer Groups'!DG21:EE21,0)+COUNTIF('Buyer Groups'!EG21:EN21,0)&gt;0,0,1)</f>
        <v/>
      </c>
      <c r="PB21">
        <f>IF($EJ$21="",FALSE,SUMPRODUCT(('Final Calculation Sheet'!$Z$4:$Z$40=$EJ$21)*($PA$6:$PA$42=1))&gt;0)</f>
        <v/>
      </c>
      <c r="PC21">
        <f>$PC$20+--($PB21)</f>
        <v/>
      </c>
      <c r="PD21">
        <f>IF(ROW()-3&gt;MAX($PC$4:$PC$40),"",INDEX($EJ$4:$EJ$40,MATCH(ROW()-3,$PC$4:$PC$40,0)))</f>
        <v/>
      </c>
      <c r="PE21">
        <f>IF(COUNTIF('Buyer Groups'!DG21:EF21,0)+COUNTIF('Buyer Groups'!EH21:EN21,0)&gt;0,0,1)</f>
        <v/>
      </c>
      <c r="PF21">
        <f>IF($EO$21="",FALSE,SUMPRODUCT(('Final Calculation Sheet'!$AA$4:$AA$40=$EO$21)*($PE$6:$PE$42=1))&gt;0)</f>
        <v/>
      </c>
      <c r="PG21">
        <f>$PG$20+--($PF21)</f>
        <v/>
      </c>
      <c r="PH21">
        <f>IF(ROW()-3&gt;MAX($PG$4:$PG$40),"",INDEX($EO$4:$EO$40,MATCH(ROW()-3,$PG$4:$PG$40,0)))</f>
        <v/>
      </c>
      <c r="PI21">
        <f>IF(COUNTIF('Buyer Groups'!DG21:EG21,0)+COUNTIF('Buyer Groups'!EI21:EN21,0)&gt;0,0,1)</f>
        <v/>
      </c>
      <c r="PJ21">
        <f>IF($ET$21="",FALSE,SUMPRODUCT(('Final Calculation Sheet'!$AB$4:$AB$40=$ET$21)*($PI$6:$PI$42=1))&gt;0)</f>
        <v/>
      </c>
      <c r="PK21">
        <f>$PK$20+--($PJ21)</f>
        <v/>
      </c>
      <c r="PL21">
        <f>IF(ROW()-3&gt;MAX($PK$4:$PK$40),"",INDEX($ET$4:$ET$40,MATCH(ROW()-3,$PK$4:$PK$40,0)))</f>
        <v/>
      </c>
      <c r="PM21">
        <f>IF(COUNTIF('Buyer Groups'!DG21:EH21,0)+COUNTIF('Buyer Groups'!EJ21:EN21,0)&gt;0,0,1)</f>
        <v/>
      </c>
      <c r="PN21">
        <f>IF($EY$21="",FALSE,SUMPRODUCT(('Final Calculation Sheet'!$AC$4:$AC$40=$EY$21)*($PM$6:$PM$42=1))&gt;0)</f>
        <v/>
      </c>
      <c r="PO21">
        <f>$PO$20+--($PN21)</f>
        <v/>
      </c>
      <c r="PP21">
        <f>IF(ROW()-3&gt;MAX($PO$4:$PO$40),"",INDEX($EY$4:$EY$40,MATCH(ROW()-3,$PO$4:$PO$40,0)))</f>
        <v/>
      </c>
      <c r="PQ21">
        <f>IF(COUNTIF('Buyer Groups'!DG21:EI21,0)+COUNTIF('Buyer Groups'!EK21:EN21,0)&gt;0,0,1)</f>
        <v/>
      </c>
      <c r="PR21">
        <f>IF($FD$21="",FALSE,SUMPRODUCT(('Final Calculation Sheet'!$AD$4:$AD$40=$FD$21)*($PQ$6:$PQ$42=1))&gt;0)</f>
        <v/>
      </c>
      <c r="PS21">
        <f>$PS$20+--($PR21)</f>
        <v/>
      </c>
      <c r="PT21">
        <f>IF(ROW()-3&gt;MAX($PS$4:$PS$40),"",INDEX($FD$4:$FD$40,MATCH(ROW()-3,$PS$4:$PS$40,0)))</f>
        <v/>
      </c>
      <c r="PU21">
        <f>IF(COUNTIF('Buyer Groups'!DG21:EJ21,0)+COUNTIF('Buyer Groups'!EL21:EN21,0)&gt;0,0,1)</f>
        <v/>
      </c>
      <c r="PV21">
        <f>IF($FX$21="",FALSE,SUMPRODUCT((IF('Final Calculation Sheet'!$AD$4:$AD$40&lt;=5,"SETTLED","OUTSTANDING")=$FX$21)*($PU$6:$PU$42=1))&gt;0)</f>
        <v/>
      </c>
      <c r="PW21">
        <f>$PW$20+--($PV21)</f>
        <v/>
      </c>
      <c r="PX21">
        <f>IF(ROW()-3&gt;MAX($PW$4:$PW$40),"",INDEX($FX$4:$FX$40,MATCH(ROW()-3,$PW$4:$PW$40,0)))</f>
        <v/>
      </c>
      <c r="PY21">
        <f>IF(COUNTIF('Buyer Groups'!DG21:EK21,0)+COUNTIF('Buyer Groups'!EM21:EN21,0)&gt;0,0,1)</f>
        <v/>
      </c>
      <c r="PZ21">
        <f>IF($FI$21="",FALSE,SUMPRODUCT(('Final Calculation Sheet'!$AF$4:$AF$40=$FI$21)*($PY$6:$PY$42=1))&gt;0)</f>
        <v/>
      </c>
      <c r="QA21">
        <f>$QA$20+--($PZ21)</f>
        <v/>
      </c>
      <c r="QB21">
        <f>IF(ROW()-3&gt;MAX($QA$4:$QA$40),"",INDEX($FI$4:$FI$40,MATCH(ROW()-3,$QA$4:$QA$40,0)))</f>
        <v/>
      </c>
      <c r="QC21">
        <f>IF(COUNTIF('Buyer Groups'!DG21:EL21,0)+COUNTIF('Buyer Groups'!EN21:EN21,0)&gt;0,0,1)</f>
        <v/>
      </c>
      <c r="QD21">
        <f>IF($FN$21="",FALSE,SUMPRODUCT(('Final Calculation Sheet'!$AG$4:$AG$40=$FN$21)*($QC$6:$QC$42=1))&gt;0)</f>
        <v/>
      </c>
      <c r="QE21">
        <f>$QE$20+--($QD21)</f>
        <v/>
      </c>
      <c r="QF21">
        <f>IF(ROW()-3&gt;MAX($QE$4:$QE$40),"",INDEX($FN$4:$FN$40,MATCH(ROW()-3,$QE$4:$QE$40,0)))</f>
        <v/>
      </c>
      <c r="QG21">
        <f>IF(COUNTIF('Buyer Groups'!DG21:EM21,0)&gt;0,0,1)</f>
        <v/>
      </c>
      <c r="QH21">
        <f>IF($FS$21="",FALSE,SUMPRODUCT(('Final Calculation Sheet'!$AH$4:$AH$40=$FS$21)*($QG$6:$QG$42=1))&gt;0)</f>
        <v/>
      </c>
      <c r="QI21">
        <f>$QI$20+--($QH21)</f>
        <v/>
      </c>
      <c r="QJ21">
        <f>IF(ROW()-3&gt;MAX($QI$4:$QI$40),"",INDEX($FS$4:$FS$40,MATCH(ROW()-3,$QI$4:$QI$40,0)))</f>
        <v/>
      </c>
      <c r="QK21" t="str">
        <f>IF('Final Calculation Sheet'!$AH$21="","",'Final Calculation Sheet'!$AH$21)</f>
      </c>
      <c r="QL21" t="str">
        <f>IF(QK21="","",COUNTIFS(QK$4:QK$40,"&lt;"&amp;QK21,QK$4:QK$40,"&lt;&gt;"&amp;"")+COUNTIF(QK$4:QK21,QK21))</f>
      </c>
      <c r="QM21" t="str">
        <f>IF(ROW()-3&gt;COUNTIF(QK$4:QK$40,"&lt;&gt;"&amp;""),"",INDEX(QK$4:QK$40,MATCH(ROW()-3,QL$4:QL$40,0)))</f>
      </c>
      <c r="QN21" t="str">
        <f>=QN20+F(AND(QM21&lt;&gt;"",COUNTIF(QM$4:QM21,QM21)=1),1,0)</f>
      </c>
      <c r="QO21" t="str">
        <f>IF(ROW()-3&gt;MAX(QN$4:QN$40),"",INDEX(QM$4:QM$40,MATCH(ROW()-3,QN$4:QN$40,0)))</f>
      </c>
      <c r="QP21" t="str">
        <f>IF(COUNTIF('Final Calculation Sheet'!$AM21:$BS21,0)&gt;0,0,1)</f>
      </c>
      <c r="QQ21" t="str">
        <f>IF($AI$21="",FALSE,SUMPRODUCT(('Final Calculation Sheet'!$A$4:$A$40=$AI$21)*($QP$4:$QP$40=1))&gt;0)</f>
      </c>
      <c r="QR21" t="str">
        <f>=$QR20+--($QQ21)</f>
      </c>
      <c r="QS21" t="str">
        <f>IF(ROW()-3&gt;MAX($QR$4:$QR$40),"",INDEX($AI$4:$AI$40,MATCH(ROW()-3,$QR$4:$QR$40,0)))</f>
      </c>
      <c r="QT21" t="str">
        <f>IF(COUNTIF('Final Calculation Sheet'!$AL21:$AL21,0)+COUNTIF('Final Calculation Sheet'!$AN21:$BS21,0)&gt;0,0,1)</f>
      </c>
      <c r="QU21" t="str">
        <f>IF($Y$21="",FALSE,SUMPRODUCT(('Final Calculation Sheet'!$B$4:$B$40=$Y$21)*($QT$4:$QT$40=1))&gt;0)</f>
      </c>
      <c r="QV21" t="str">
        <f>=$QV20+--($QU21)</f>
      </c>
      <c r="QW21" t="str">
        <f>IF(ROW()-3&gt;MAX($QV$4:$QV$40),"",INDEX($Y$4:$Y$40,MATCH(ROW()-3,$QV$4:$QV$40,0)))</f>
      </c>
      <c r="QX21" t="str">
        <f>IF(COUNTIF('Final Calculation Sheet'!$AL21:$AM21,0)+COUNTIF('Final Calculation Sheet'!$AO21:$BS21,0)&gt;0,0,1)</f>
      </c>
      <c r="QY21" t="str">
        <f>IF($AS$21="",FALSE,SUMPRODUCT(('Final Calculation Sheet'!$C$4:$C$40=$AS$21)*($QX$4:$QX$40=1))&gt;0)</f>
      </c>
      <c r="QZ21" t="str">
        <f>=$QZ20+--($QY21)</f>
      </c>
      <c r="RA21" t="str">
        <f>IF(ROW()-3&gt;MAX($QZ$4:$QZ$40),"",INDEX($AS$4:$AS$40,MATCH(ROW()-3,$QZ$4:$QZ$40,0)))</f>
      </c>
      <c r="RB21" t="str">
        <f>IF(COUNTIF('Final Calculation Sheet'!$AL21:$AN21,0)+COUNTIF('Final Calculation Sheet'!$AP21:$BS21,0)&gt;0,0,1)</f>
      </c>
      <c r="RC21" t="str">
        <f>IF($AD$21="",FALSE,SUMPRODUCT(('Final Calculation Sheet'!$D$4:$D$40=$AD$21)*($RB$4:$RB$40=1))&gt;0)</f>
      </c>
      <c r="RD21" t="str">
        <f>=$RD20+--($RC21)</f>
      </c>
      <c r="RE21" t="str">
        <f>IF(ROW()-3&gt;MAX($RD$4:$RD$40),"",INDEX($AD$4:$AD$40,MATCH(ROW()-3,$RD$4:$RD$40,0)))</f>
      </c>
      <c r="RF21" t="str">
        <f>IF(COUNTIF('Final Calculation Sheet'!$AL21:$AO21,0)+COUNTIF('Final Calculation Sheet'!$AQ21:$BS21,0)&gt;0,0,1)</f>
      </c>
      <c r="RG21" t="str">
        <f>IF($AN$21="",FALSE,SUMPRODUCT(('Final Calculation Sheet'!$E$4:$E$40=$AN$21)*($RF$4:$RF$40=1))&gt;0)</f>
      </c>
      <c r="RH21" t="str">
        <f>=$RH20+--($RG21)</f>
      </c>
      <c r="RI21" t="str">
        <f>IF(ROW()-3&gt;MAX($RH$4:$RH$40),"",INDEX($AN$4:$AN$40,MATCH(ROW()-3,$RH$4:$RH$40,0)))</f>
      </c>
      <c r="RJ21" t="str">
        <f>IF(COUNTIF('Final Calculation Sheet'!$AL21:$AP21,0)+COUNTIF('Final Calculation Sheet'!$AR21:$BS21,0)&gt;0,0,1)</f>
      </c>
      <c r="RK21" t="str">
        <f>IF($O$21="",FALSE,SUMPRODUCT(('Final Calculation Sheet'!$F$4:$F$40=$O$21)*($RJ$4:$RJ$40=1))&gt;0)</f>
      </c>
      <c r="RL21" t="str">
        <f>=$RL20+--($RK21)</f>
      </c>
      <c r="RM21" t="str">
        <f>IF(ROW()-3&gt;MAX($RL$4:$RL$40),"",INDEX($O$4:$O$40,MATCH(ROW()-3,$RL$4:$RL$40,0)))</f>
      </c>
      <c r="RN21" t="str">
        <f>IF(COUNTIF('Final Calculation Sheet'!$AL21:$AQ21,0)+COUNTIF('Final Calculation Sheet'!$AS21:$BS21,0)&gt;0,0,1)</f>
      </c>
      <c r="RO21" t="str">
        <f>IF($T$21="",FALSE,SUMPRODUCT(('Final Calculation Sheet'!$G$4:$G$40=$T$21)*($RN$4:$RN$40=1))&gt;0)</f>
      </c>
      <c r="RP21" t="str">
        <f>=$RP20+--($RO21)</f>
      </c>
      <c r="RQ21" t="str">
        <f>IF(ROW()-3&gt;MAX($RP$4:$RP$40),"",INDEX($T$4:$T$40,MATCH(ROW()-3,$RP$4:$RP$40,0)))</f>
      </c>
      <c r="RR21" t="str">
        <f>IF(COUNTIF('Final Calculation Sheet'!$AL21:$AR21,0)+COUNTIF('Final Calculation Sheet'!$AT21:$BS21,0)&gt;0,0,1)</f>
      </c>
      <c r="RS21" t="str">
        <f>IF($AX$21="",FALSE,SUMPRODUCT(('Final Calculation Sheet'!$H$4:$H$40=$AX$21)*($RR$4:$RR$40=1))&gt;0)</f>
      </c>
      <c r="RT21" t="str">
        <f>=$RT20+--($RS21)</f>
      </c>
      <c r="RU21" t="str">
        <f>IF(ROW()-3&gt;MAX($RT$4:$RT$40),"",INDEX($AX$4:$AX$40,MATCH(ROW()-3,$RT$4:$RT$40,0)))</f>
      </c>
      <c r="RV21" t="str">
        <f>IF(COUNTIF('Final Calculation Sheet'!$AL21:$AS21,0)+COUNTIF('Final Calculation Sheet'!$AU21:$BS21,0)&gt;0,0,1)</f>
      </c>
      <c r="RW21" t="str">
        <f>IF($BC$21="",FALSE,SUMPRODUCT(('Final Calculation Sheet'!$I$4:$I$40=$BC$21)*($RV$4:$RV$40=1))&gt;0)</f>
      </c>
      <c r="RX21" t="str">
        <f>=$RX20+--($RW21)</f>
      </c>
      <c r="RY21" t="str">
        <f>IF(ROW()-3&gt;MAX($RX$4:$RX$40),"",INDEX($BC$4:$BC$40,MATCH(ROW()-3,$RX$4:$RX$40,0)))</f>
      </c>
      <c r="RZ21" t="str">
        <f>IF(COUNTIF('Final Calculation Sheet'!$AL21:$AT21,0)+COUNTIF('Final Calculation Sheet'!$AV21:$BS21,0)&gt;0,0,1)</f>
      </c>
      <c r="SA21" t="str">
        <f>IF($BH$21="",FALSE,SUMPRODUCT(('Final Calculation Sheet'!$J$4:$J$40=$BH$21)*($RZ$4:$RZ$40=1))&gt;0)</f>
      </c>
      <c r="SB21" t="str">
        <f>=$SB20+--($SA21)</f>
      </c>
      <c r="SC21" t="str">
        <f>IF(ROW()-3&gt;MAX($SB$4:$SB$40),"",INDEX($BH$4:$BH$40,MATCH(ROW()-3,$SB$4:$SB$40,0)))</f>
      </c>
      <c r="SD21" t="str">
        <f>IF(COUNTIF('Final Calculation Sheet'!$AL21:$AU21,0)+COUNTIF('Final Calculation Sheet'!$AW21:$BS21,0)&gt;0,0,1)</f>
      </c>
      <c r="SE21" t="str">
        <f>IF($BM$21="",FALSE,SUMPRODUCT(('Final Calculation Sheet'!$K$4:$K$40=$BM$21)*($SD$4:$SD$40=1))&gt;0)</f>
      </c>
      <c r="SF21" t="str">
        <f>=$SF20+--($SE21)</f>
      </c>
      <c r="SG21" t="str">
        <f>IF(ROW()-3&gt;MAX($SF$4:$SF$40),"",INDEX($BM$4:$BM$40,MATCH(ROW()-3,$SF$4:$SF$40,0)))</f>
      </c>
      <c r="SH21" t="str">
        <f>IF(COUNTIF('Final Calculation Sheet'!$AL21:$AV21,0)+COUNTIF('Final Calculation Sheet'!$AX21:$BS21,0)&gt;0,0,1)</f>
      </c>
      <c r="SI21" t="str">
        <f>IF($BR$21="",FALSE,SUMPRODUCT(('Final Calculation Sheet'!$L$4:$L$40=$BR$21)*($SH$4:$SH$40=1))&gt;0)</f>
      </c>
      <c r="SJ21" t="str">
        <f>=$SJ20+--($SI21)</f>
      </c>
      <c r="SK21" t="str">
        <f>IF(ROW()-3&gt;MAX($SJ$4:$SJ$40),"",INDEX($BR$4:$BR$40,MATCH(ROW()-3,$SJ$4:$SJ$40,0)))</f>
      </c>
      <c r="SL21" t="str">
        <f>IF(COUNTIF('Final Calculation Sheet'!$AL21:$AW21,0)+COUNTIF('Final Calculation Sheet'!$AY21:$BS21,0)&gt;0,0,1)</f>
      </c>
      <c r="SM21" t="str">
        <f>IF($BW$21="",FALSE,SUMPRODUCT(('Final Calculation Sheet'!$M$4:$M$40=$BW$21)*($SL$4:$SL$40=1))&gt;0)</f>
      </c>
      <c r="SN21" t="str">
        <f>=$SN20+--($SM21)</f>
      </c>
      <c r="SO21" t="str">
        <f>IF(ROW()-3&gt;MAX($SN$4:$SN$40),"",INDEX($BW$4:$BW$40,MATCH(ROW()-3,$SN$4:$SN$40,0)))</f>
      </c>
      <c r="SP21" t="str">
        <f>IF(COUNTIF('Final Calculation Sheet'!$AL21:$AX21,0)+COUNTIF('Final Calculation Sheet'!$AZ21:$BS21,0)&gt;0,0,1)</f>
      </c>
      <c r="SQ21" t="str">
        <f>IF($CB$21="",FALSE,SUMPRODUCT(('Final Calculation Sheet'!$N$4:$N$40=$CB$21)*($SP$4:$SP$40=1))&gt;0)</f>
      </c>
      <c r="SR21" t="str">
        <f>=$SR20+--($SQ21)</f>
      </c>
      <c r="SS21" t="str">
        <f>IF(ROW()-3&gt;MAX($SR$4:$SR$40),"",INDEX($CB$4:$CB$40,MATCH(ROW()-3,$SR$4:$SR$40,0)))</f>
      </c>
      <c r="ST21" t="str">
        <f>IF(COUNTIF('Final Calculation Sheet'!$AL21:$AY21,0)+COUNTIF('Final Calculation Sheet'!$BA21:$BS21,0)&gt;0,0,1)</f>
      </c>
      <c r="SU21" t="str">
        <f>IF($CG$21="",FALSE,SUMPRODUCT(('Final Calculation Sheet'!$O$4:$O$40=$CG$21)*($ST$4:$ST$40=1))&gt;0)</f>
      </c>
      <c r="SV21" t="str">
        <f>=$SV20+--($SU21)</f>
      </c>
      <c r="SW21" t="str">
        <f>IF(ROW()-3&gt;MAX($SV$4:$SV$40),"",INDEX($CG$4:$CG$40,MATCH(ROW()-3,$SV$4:$SV$40,0)))</f>
      </c>
      <c r="SX21" t="str">
        <f>IF(COUNTIF('Final Calculation Sheet'!$AL21:$AZ21,0)+COUNTIF('Final Calculation Sheet'!$BB21:$BS21,0)&gt;0,0,1)</f>
      </c>
      <c r="SY21" t="str">
        <f>IF($CL$21="",FALSE,SUMPRODUCT(('Final Calculation Sheet'!$P$4:$P$40=$CL$21)*($SX$4:$SX$40=1))&gt;0)</f>
      </c>
      <c r="SZ21" t="str">
        <f>=$SZ20+--($SY21)</f>
      </c>
      <c r="TA21" t="str">
        <f>IF(ROW()-3&gt;MAX($SZ$4:$SZ$40),"",INDEX($CL$4:$CL$40,MATCH(ROW()-3,$SZ$4:$SZ$40,0)))</f>
      </c>
      <c r="TB21" t="str">
        <f>IF(COUNTIF('Final Calculation Sheet'!$AL21:$BA21,0)+COUNTIF('Final Calculation Sheet'!$BC21:$BS21,0)&gt;0,0,1)</f>
      </c>
      <c r="TC21" t="str">
        <f>IF($CQ$21="",FALSE,SUMPRODUCT(('Final Calculation Sheet'!$Q$4:$Q$40=$CQ$21)*($TB$4:$TB$40=1))&gt;0)</f>
      </c>
      <c r="TD21" t="str">
        <f>=$TD20+--($TC21)</f>
      </c>
      <c r="TE21" t="str">
        <f>IF(ROW()-3&gt;MAX($TD$4:$TD$40),"",INDEX($CQ$4:$CQ$40,MATCH(ROW()-3,$TD$4:$TD$40,0)))</f>
      </c>
      <c r="TF21" t="str">
        <f>IF(COUNTIF('Final Calculation Sheet'!$AL21:$BB21,0)+COUNTIF('Final Calculation Sheet'!$BD21:$BS21,0)&gt;0,0,1)</f>
      </c>
      <c r="TG21" t="str">
        <f>IF($CV$21="",FALSE,SUMPRODUCT(('Final Calculation Sheet'!$R$4:$R$40=$CV$21)*($TF$4:$TF$40=1))&gt;0)</f>
      </c>
      <c r="TH21" t="str">
        <f>=$TH20+--($TG21)</f>
      </c>
      <c r="TI21" t="str">
        <f>IF(ROW()-3&gt;MAX($TH$4:$TH$40),"",INDEX($CV$4:$CV$40,MATCH(ROW()-3,$TH$4:$TH$40,0)))</f>
      </c>
      <c r="TJ21" t="str">
        <f>IF(COUNTIF('Final Calculation Sheet'!$AL21:$BC21,0)+COUNTIF('Final Calculation Sheet'!$BE21:$BS21,0)&gt;0,0,1)</f>
      </c>
      <c r="TK21" t="str">
        <f>IF($DA$21="",FALSE,SUMPRODUCT(('Final Calculation Sheet'!$S$4:$S$40=$DA$21)*($TJ$4:$TJ$40=1))&gt;0)</f>
      </c>
      <c r="TL21" t="str">
        <f>=$TL20+--($TK21)</f>
      </c>
      <c r="TM21" t="str">
        <f>IF(ROW()-3&gt;MAX($TL$4:$TL$40),"",INDEX($DA$4:$DA$40,MATCH(ROW()-3,$TL$4:$TL$40,0)))</f>
      </c>
      <c r="TN21" t="str">
        <f>IF(COUNTIF('Final Calculation Sheet'!$AL21:$BD21,0)+COUNTIF('Final Calculation Sheet'!$BF21:$BS21,0)&gt;0,0,1)</f>
      </c>
      <c r="TO21" t="str">
        <f>IF($DF$21="",FALSE,SUMPRODUCT(('Final Calculation Sheet'!$T$4:$T$40=$DF$21)*($TN$4:$TN$40=1))&gt;0)</f>
      </c>
      <c r="TP21" t="str">
        <f>=$TP20+--($TO21)</f>
      </c>
      <c r="TQ21" t="str">
        <f>IF(ROW()-3&gt;MAX($TP$4:$TP$40),"",INDEX($DF$4:$DF$40,MATCH(ROW()-3,$TP$4:$TP$40,0)))</f>
      </c>
      <c r="TR21" t="str">
        <f>IF(COUNTIF('Final Calculation Sheet'!$AL21:$BE21,0)+COUNTIF('Final Calculation Sheet'!$BG21:$BS21,0)&gt;0,0,1)</f>
      </c>
      <c r="TS21" t="str">
        <f>IF($DK$21="",FALSE,SUMPRODUCT(('Final Calculation Sheet'!$U$4:$U$40=$DK$21)*($TR$4:$TR$40=1))&gt;0)</f>
      </c>
      <c r="TT21" t="str">
        <f>=$TT20+--($TS21)</f>
      </c>
      <c r="TU21" t="str">
        <f>IF(ROW()-3&gt;MAX($TT$4:$TT$40),"",INDEX($DK$4:$DK$40,MATCH(ROW()-3,$TT$4:$TT$40,0)))</f>
      </c>
      <c r="TV21" t="str">
        <f>IF(COUNTIF('Final Calculation Sheet'!$AL21:$BF21,0)+COUNTIF('Final Calculation Sheet'!$BH21:$BS21,0)&gt;0,0,1)</f>
      </c>
      <c r="TW21" t="str">
        <f>IF($DP$21="",FALSE,SUMPRODUCT(('Final Calculation Sheet'!$V$4:$V$40=$DP$21)*($TV$4:$TV$40=1))&gt;0)</f>
      </c>
      <c r="TX21" t="str">
        <f>=$TX20+--($TW21)</f>
      </c>
      <c r="TY21" t="str">
        <f>IF(ROW()-3&gt;MAX($TX$4:$TX$40),"",INDEX($DP$4:$DP$40,MATCH(ROW()-3,$TX$4:$TX$40,0)))</f>
      </c>
      <c r="TZ21" t="str">
        <f>IF(COUNTIF('Final Calculation Sheet'!$AL21:$BG21,0)+COUNTIF('Final Calculation Sheet'!$BI21:$BS21,0)&gt;0,0,1)</f>
      </c>
      <c r="UA21" t="str">
        <f>IF($DU$21="",FALSE,SUMPRODUCT(('Final Calculation Sheet'!$W$4:$W$40=$DU$21)*($TZ$4:$TZ$40=1))&gt;0)</f>
      </c>
      <c r="UB21" t="str">
        <f>=$UB20+--($UA21)</f>
      </c>
      <c r="UC21" t="str">
        <f>IF(ROW()-3&gt;MAX($UB$4:$UB$40),"",INDEX($DU$4:$DU$40,MATCH(ROW()-3,$UB$4:$UB$40,0)))</f>
      </c>
      <c r="UD21" t="str">
        <f>IF(COUNTIF('Final Calculation Sheet'!$AL21:$BH21,0)+COUNTIF('Final Calculation Sheet'!$BJ21:$BS21,0)&gt;0,0,1)</f>
      </c>
      <c r="UE21" t="str">
        <f>IF($DZ$21="",FALSE,SUMPRODUCT(('Final Calculation Sheet'!$X$4:$X$40=$DZ$21)*($UD$4:$UD$40=1))&gt;0)</f>
      </c>
      <c r="UF21" t="str">
        <f>=$UF20+--($UE21)</f>
      </c>
      <c r="UG21" t="str">
        <f>IF(ROW()-3&gt;MAX($UF$4:$UF$40),"",INDEX($DZ$4:$DZ$40,MATCH(ROW()-3,$UF$4:$UF$40,0)))</f>
      </c>
      <c r="UH21" t="str">
        <f>IF(COUNTIF('Final Calculation Sheet'!$AL21:$BI21,0)+COUNTIF('Final Calculation Sheet'!$BK21:$BS21,0)&gt;0,0,1)</f>
      </c>
      <c r="UI21" t="str">
        <f>IF($EE$21="",FALSE,SUMPRODUCT(('Final Calculation Sheet'!$Y$4:$Y$40=$EE$21)*($UH$4:$UH$40=1))&gt;0)</f>
      </c>
      <c r="UJ21" t="str">
        <f>=$UJ20+--($UI21)</f>
      </c>
      <c r="UK21" t="str">
        <f>IF(ROW()-3&gt;MAX($UJ$4:$UJ$40),"",INDEX($EE$4:$EE$40,MATCH(ROW()-3,$UJ$4:$UJ$40,0)))</f>
      </c>
      <c r="UL21" t="str">
        <f>IF(COUNTIF('Final Calculation Sheet'!$AL21:$BJ21,0)+COUNTIF('Final Calculation Sheet'!$BL21:$BS21,0)&gt;0,0,1)</f>
      </c>
      <c r="UM21" t="str">
        <f>IF($EJ$21="",FALSE,SUMPRODUCT(('Final Calculation Sheet'!$Z$4:$Z$40=$EJ$21)*($UL$4:$UL$40=1))&gt;0)</f>
      </c>
      <c r="UN21" t="str">
        <f>=$UN20+--($UM21)</f>
      </c>
      <c r="UO21" t="str">
        <f>IF(ROW()-3&gt;MAX($UN$4:$UN$40),"",INDEX($EJ$4:$EJ$40,MATCH(ROW()-3,$UN$4:$UN$40,0)))</f>
      </c>
      <c r="UP21" t="str">
        <f>IF(COUNTIF('Final Calculation Sheet'!$AL21:$BK21,0)+COUNTIF('Final Calculation Sheet'!$BM21:$BS21,0)&gt;0,0,1)</f>
      </c>
      <c r="UQ21" t="str">
        <f>IF($EO$21="",FALSE,SUMPRODUCT(('Final Calculation Sheet'!$AA$4:$AA$40=$EO$21)*($UP$4:$UP$40=1))&gt;0)</f>
      </c>
      <c r="UR21" t="str">
        <f>=$UR20+--($UQ21)</f>
      </c>
      <c r="US21" t="str">
        <f>IF(ROW()-3&gt;MAX($UR$4:$UR$40),"",INDEX($EO$4:$EO$40,MATCH(ROW()-3,$UR$4:$UR$40,0)))</f>
      </c>
      <c r="UT21" t="str">
        <f>IF(COUNTIF('Final Calculation Sheet'!$AL21:$BL21,0)+COUNTIF('Final Calculation Sheet'!$BN21:$BS21,0)&gt;0,0,1)</f>
      </c>
      <c r="UU21" t="str">
        <f>IF($ET$21="",FALSE,SUMPRODUCT(('Final Calculation Sheet'!$AB$4:$AB$40=$ET$21)*($UT$4:$UT$40=1))&gt;0)</f>
      </c>
      <c r="UV21" t="str">
        <f>=$UV20+--($UU21)</f>
      </c>
      <c r="UW21" t="str">
        <f>IF(ROW()-3&gt;MAX($UV$4:$UV$40),"",INDEX($ET$4:$ET$40,MATCH(ROW()-3,$UV$4:$UV$40,0)))</f>
      </c>
      <c r="UX21" t="str">
        <f>IF(COUNTIF('Final Calculation Sheet'!$AL21:$BM21,0)+COUNTIF('Final Calculation Sheet'!$BO21:$BS21,0)&gt;0,0,1)</f>
      </c>
      <c r="UY21" t="str">
        <f>IF($EY$21="",FALSE,SUMPRODUCT(('Final Calculation Sheet'!$AC$4:$AC$40=$EY$21)*($UX$4:$UX$40=1))&gt;0)</f>
      </c>
      <c r="UZ21" t="str">
        <f>=$UZ20+--($UY21)</f>
      </c>
      <c r="VA21" t="str">
        <f>IF(ROW()-3&gt;MAX($UZ$4:$UZ$40),"",INDEX($EY$4:$EY$40,MATCH(ROW()-3,$UZ$4:$UZ$40,0)))</f>
      </c>
      <c r="VB21" t="str">
        <f>IF(COUNTIF('Final Calculation Sheet'!$AL21:$BN21,0)+COUNTIF('Final Calculation Sheet'!$BP21:$BS21,0)&gt;0,0,1)</f>
      </c>
      <c r="VC21" t="str">
        <f>IF($FD$21="",FALSE,SUMPRODUCT(('Final Calculation Sheet'!$AD$4:$AD$40=$FD$21)*($VB$4:$VB$40=1))&gt;0)</f>
      </c>
      <c r="VD21" t="str">
        <f>=$VD20+--($VC21)</f>
      </c>
      <c r="VE21" t="str">
        <f>IF(ROW()-3&gt;MAX($VD$4:$VD$40),"",INDEX($FD$4:$FD$40,MATCH(ROW()-3,$VD$4:$VD$40,0)))</f>
      </c>
      <c r="VF21" t="str">
        <f>IF(COUNTIF('Final Calculation Sheet'!$AL21:$BO21,0)+COUNTIF('Final Calculation Sheet'!$BQ21:$BS21,0)&gt;0,0,1)</f>
      </c>
      <c r="VG21" t="str">
        <f>IF($FI$21="",FALSE,SUMPRODUCT(('Final Calculation Sheet'!$AE$4:$AE$40=$FI$21)*($VF$4:$VF$40=1))&gt;0)</f>
      </c>
      <c r="VH21" t="str">
        <f>=$VH20+--($VG21)</f>
      </c>
      <c r="VI21" t="str">
        <f>IF(ROW()-3&gt;MAX($VH$4:$VH$40),"",INDEX($FI$4:$FI$40,MATCH(ROW()-3,$VH$4:$VH$40,0)))</f>
      </c>
      <c r="VJ21" t="str">
        <f>IF(COUNTIF('Final Calculation Sheet'!$AL21:$BP21,0)+COUNTIF('Final Calculation Sheet'!$BR21:$BS21,0)&gt;0,0,1)</f>
      </c>
      <c r="VK21" t="str">
        <f>IF($FN$21="",FALSE,SUMPRODUCT(('Final Calculation Sheet'!$AF$4:$AF$40=$FN$21)*($VJ$4:$VJ$40=1))&gt;0)</f>
      </c>
      <c r="VL21" t="str">
        <f>=$VL20+--($VK21)</f>
      </c>
      <c r="VM21" t="str">
        <f>IF(ROW()-3&gt;MAX($VL$4:$VL$40),"",INDEX($FN$4:$FN$40,MATCH(ROW()-3,$VL$4:$VL$40,0)))</f>
      </c>
      <c r="VN21" t="str">
        <f>IF(COUNTIF('Final Calculation Sheet'!$AL21:$BQ21,0)+COUNTIF('Final Calculation Sheet'!$BS21:$BS21,0)&gt;0,0,1)</f>
      </c>
      <c r="VO21" t="str">
        <f>IF($FS$21="",FALSE,SUMPRODUCT(('Final Calculation Sheet'!$AG$4:$AG$40=$FS$21)*($VN$4:$VN$40=1))&gt;0)</f>
      </c>
      <c r="VP21" t="str">
        <f>=$VP20+--($VO21)</f>
      </c>
      <c r="VQ21" t="str">
        <f>IF(ROW()-3&gt;MAX($VP$4:$VP$40),"",INDEX($FS$4:$FS$40,MATCH(ROW()-3,$VP$4:$VP$40,0)))</f>
      </c>
      <c r="VR21" t="str">
        <f>IF(COUNTIF('Final Calculation Sheet'!$AL21:$BR21,0)&gt;0,0,1)</f>
      </c>
      <c r="VS21" t="str">
        <f>IF($QO$21="",FALSE,SUMPRODUCT(('Final Calculation Sheet'!$AH$4:$AH$40=$QO$21)*($VR$4:$VR$40=1))&gt;0)</f>
      </c>
      <c r="VT21" t="str">
        <f>=$VT20+--($VS21)</f>
      </c>
      <c r="VU21" t="str">
        <f>IF(ROW()-3&gt;MAX($VT$4:$VT$40),"",INDEX($QO$4:$QO$40,MATCH(ROW()-3,$VT$4:$VT$40,0)))</f>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IF(ROW()-3&gt;MAX($LC$4:$LC$40),"",INDEX($FS$4:$FS$40,MATCH(ROW()-3,$LC$4:$LC$40,0)))</f>
        <v/>
      </c>
      <c r="LE22">
        <f>IF(COUNTIF('Buyer Groups'!DH22:EN22,0)&gt;0,0,1)</f>
        <v/>
      </c>
      <c r="LF22">
        <f>IF($O$22="",FALSE,SUMPRODUCT(('Final Calculation Sheet'!$F$4:$F$40=$O$22)*($LE$6:$LE$42=1))&gt;0)</f>
        <v/>
      </c>
      <c r="LG22">
        <f>$LG$21+--($LF22)</f>
        <v/>
      </c>
      <c r="LH22">
        <f>IF(ROW()-3&gt;MAX($LG$4:$LG$40),"",INDEX($O$4:$O$40,MATCH(ROW()-3,$LG$4:$LG$40,0)))</f>
        <v/>
      </c>
      <c r="LI22">
        <f>IF(COUNTIF('Buyer Groups'!DG22:DG22,0)+COUNTIF('Buyer Groups'!DI22:EN22,0)&gt;0,0,1)</f>
        <v/>
      </c>
      <c r="LJ22">
        <f>IF($T$22="",FALSE,SUMPRODUCT(('Final Calculation Sheet'!$G$4:$G$40=$T$22)*($LI$6:$LI$42=1))&gt;0)</f>
        <v/>
      </c>
      <c r="LK22">
        <f>$LK$21+--($LJ22)</f>
        <v/>
      </c>
      <c r="LL22">
        <f>IF(ROW()-3&gt;MAX($LK$4:$LK$40),"",INDEX($T$4:$T$40,MATCH(ROW()-3,$LK$4:$LK$40,0)))</f>
        <v/>
      </c>
      <c r="LM22">
        <f>IF(COUNTIF('Buyer Groups'!DG22:DH22,0)+COUNTIF('Buyer Groups'!DJ22:EN22,0)&gt;0,0,1)</f>
        <v/>
      </c>
      <c r="LN22">
        <f>IF($Y$22="",FALSE,SUMPRODUCT(('Final Calculation Sheet'!$B$4:$B$40=$Y$22)*($LM$6:$LM$42=1))&gt;0)</f>
        <v/>
      </c>
      <c r="LO22">
        <f>$LO$21+--($LN22)</f>
        <v/>
      </c>
      <c r="LP22">
        <f>IF(ROW()-3&gt;MAX($LO$4:$LO$40),"",INDEX($Y$4:$Y$40,MATCH(ROW()-3,$LO$4:$LO$40,0)))</f>
        <v/>
      </c>
      <c r="LQ22">
        <f>IF(COUNTIF('Buyer Groups'!DG22:DI22,0)+COUNTIF('Buyer Groups'!DK22:EN22,0)&gt;0,0,1)</f>
        <v/>
      </c>
      <c r="LR22">
        <f>IF($AD$22="",FALSE,SUMPRODUCT(('Final Calculation Sheet'!$D$4:$D$40=$AD$22)*($LQ$6:$LQ$42=1))&gt;0)</f>
        <v/>
      </c>
      <c r="LS22">
        <f>$LS$21+--($LR22)</f>
        <v/>
      </c>
      <c r="LT22">
        <f>IF(ROW()-3&gt;MAX($LS$4:$LS$40),"",INDEX($AD$4:$AD$40,MATCH(ROW()-3,$LS$4:$LS$40,0)))</f>
        <v/>
      </c>
      <c r="LU22">
        <f>IF(COUNTIF('Buyer Groups'!DG22:DJ22,0)+COUNTIF('Buyer Groups'!DL22:EN22,0)&gt;0,0,1)</f>
        <v/>
      </c>
      <c r="LV22">
        <f>IF($AI$22="",FALSE,SUMPRODUCT(('Final Calculation Sheet'!$A$4:$A$40=$AI$22)*($LU$6:$LU$42=1))&gt;0)</f>
        <v/>
      </c>
      <c r="LW22">
        <f>$LW$21+--($LV22)</f>
        <v/>
      </c>
      <c r="LX22">
        <f>IF(ROW()-3&gt;MAX($LW$4:$LW$40),"",INDEX($AI$4:$AI$40,MATCH(ROW()-3,$LW$4:$LW$40,0)))</f>
        <v/>
      </c>
      <c r="LY22">
        <f>IF(COUNTIF('Buyer Groups'!DG22:DK22,0)+COUNTIF('Buyer Groups'!DM22:EN22,0)&gt;0,0,1)</f>
        <v/>
      </c>
      <c r="LZ22">
        <f>IF($AN$22="",FALSE,SUMPRODUCT(('Final Calculation Sheet'!$E$4:$E$40=$AN$22)*($LY$6:$LY$42=1))&gt;0)</f>
        <v/>
      </c>
      <c r="MA22">
        <f>$MA$21+--($LZ22)</f>
        <v/>
      </c>
      <c r="MB22">
        <f>IF(ROW()-3&gt;MAX($MA$4:$MA$40),"",INDEX($AN$4:$AN$40,MATCH(ROW()-3,$MA$4:$MA$40,0)))</f>
        <v/>
      </c>
      <c r="MC22">
        <f>IF(COUNTIF('Buyer Groups'!DG22:DL22,0)+COUNTIF('Buyer Groups'!DN22:EN22,0)&gt;0,0,1)</f>
        <v/>
      </c>
      <c r="MD22">
        <f>IF($AS$22="",FALSE,SUMPRODUCT(('Final Calculation Sheet'!$C$4:$C$40=$AS$22)*($MC$6:$MC$42=1))&gt;0)</f>
        <v/>
      </c>
      <c r="ME22">
        <f>$ME$21+--($MD22)</f>
        <v/>
      </c>
      <c r="MF22">
        <f>IF(ROW()-3&gt;MAX($ME$4:$ME$40),"",INDEX($AS$4:$AS$40,MATCH(ROW()-3,$ME$4:$ME$40,0)))</f>
        <v/>
      </c>
      <c r="MG22">
        <f>IF(COUNTIF('Buyer Groups'!DG22:DM22,0)+COUNTIF('Buyer Groups'!DO22:EN22,0)&gt;0,0,1)</f>
        <v/>
      </c>
      <c r="MH22">
        <f>IF($AX$22="",FALSE,SUMPRODUCT(('Final Calculation Sheet'!$H$4:$H$40=$AX$22)*($MG$6:$MG$42=1))&gt;0)</f>
        <v/>
      </c>
      <c r="MI22">
        <f>$MI$21+--($MH22)</f>
        <v/>
      </c>
      <c r="MJ22">
        <f>IF(ROW()-3&gt;MAX($MI$4:$MI$40),"",INDEX($AX$4:$AX$40,MATCH(ROW()-3,$MI$4:$MI$40,0)))</f>
        <v/>
      </c>
      <c r="MK22">
        <f>IF(COUNTIF('Buyer Groups'!DG22:DN22,0)+COUNTIF('Buyer Groups'!DP22:EN22,0)&gt;0,0,1)</f>
        <v/>
      </c>
      <c r="ML22">
        <f>IF($BC$22="",FALSE,SUMPRODUCT(('Final Calculation Sheet'!$I$4:$I$40=$BC$22)*($MK$6:$MK$42=1))&gt;0)</f>
        <v/>
      </c>
      <c r="MM22">
        <f>$MM$21+--($ML22)</f>
        <v/>
      </c>
      <c r="MN22">
        <f>IF(ROW()-3&gt;MAX($MM$4:$MM$40),"",INDEX($BC$4:$BC$40,MATCH(ROW()-3,$MM$4:$MM$40,0)))</f>
        <v/>
      </c>
      <c r="MO22">
        <f>IF(COUNTIF('Buyer Groups'!DG22:DO22,0)+COUNTIF('Buyer Groups'!DQ22:EN22,0)&gt;0,0,1)</f>
        <v/>
      </c>
      <c r="MP22">
        <f>IF($BH$22="",FALSE,SUMPRODUCT(('Final Calculation Sheet'!$J$4:$J$40=$BH$22)*($MO$6:$MO$42=1))&gt;0)</f>
        <v/>
      </c>
      <c r="MQ22">
        <f>$MQ$21+--($MP22)</f>
        <v/>
      </c>
      <c r="MR22">
        <f>IF(ROW()-3&gt;MAX($MQ$4:$MQ$40),"",INDEX($BH$4:$BH$40,MATCH(ROW()-3,$MQ$4:$MQ$40,0)))</f>
        <v/>
      </c>
      <c r="MS22">
        <f>IF(COUNTIF('Buyer Groups'!DG22:DP22,0)+COUNTIF('Buyer Groups'!DR22:EN22,0)&gt;0,0,1)</f>
        <v/>
      </c>
      <c r="MT22">
        <f>IF($BM$22="",FALSE,SUMPRODUCT(('Final Calculation Sheet'!$K$4:$K$40=$BM$22)*($MS$6:$MS$42=1))&gt;0)</f>
        <v/>
      </c>
      <c r="MU22">
        <f>$MU$21+--($MT22)</f>
        <v/>
      </c>
      <c r="MV22">
        <f>IF(ROW()-3&gt;MAX($MU$4:$MU$40),"",INDEX($BM$4:$BM$40,MATCH(ROW()-3,$MU$4:$MU$40,0)))</f>
        <v/>
      </c>
      <c r="MW22">
        <f>IF(COUNTIF('Buyer Groups'!DG22:DQ22,0)+COUNTIF('Buyer Groups'!DS22:EN22,0)&gt;0,0,1)</f>
        <v/>
      </c>
      <c r="MX22">
        <f>IF($BR$22="",FALSE,SUMPRODUCT(('Final Calculation Sheet'!$L$4:$L$40=$BR$22)*($MW$6:$MW$42=1))&gt;0)</f>
        <v/>
      </c>
      <c r="MY22">
        <f>$MY$21+--($MX22)</f>
        <v/>
      </c>
      <c r="MZ22">
        <f>IF(ROW()-3&gt;MAX($MY$4:$MY$40),"",INDEX($BR$4:$BR$40,MATCH(ROW()-3,$MY$4:$MY$40,0)))</f>
        <v/>
      </c>
      <c r="NA22">
        <f>IF(COUNTIF('Buyer Groups'!DG22:DR22,0)+COUNTIF('Buyer Groups'!DT22:EN22,0)&gt;0,0,1)</f>
        <v/>
      </c>
      <c r="NB22">
        <f>IF($BW$22="",FALSE,SUMPRODUCT(('Final Calculation Sheet'!$M$4:$M$40=$BW$22)*($NA$6:$NA$42=1))&gt;0)</f>
        <v/>
      </c>
      <c r="NC22">
        <f>$NC$21+--($NB22)</f>
        <v/>
      </c>
      <c r="ND22">
        <f>IF(ROW()-3&gt;MAX($NC$4:$NC$40),"",INDEX($BW$4:$BW$40,MATCH(ROW()-3,$NC$4:$NC$40,0)))</f>
        <v/>
      </c>
      <c r="NE22">
        <f>IF(COUNTIF('Buyer Groups'!DG22:DS22,0)+COUNTIF('Buyer Groups'!DU22:EN22,0)&gt;0,0,1)</f>
        <v/>
      </c>
      <c r="NF22">
        <f>IF($CB$22="",FALSE,SUMPRODUCT(('Final Calculation Sheet'!$N$4:$N$40=$CB$22)*($NE$6:$NE$42=1))&gt;0)</f>
        <v/>
      </c>
      <c r="NG22">
        <f>$NG$21+--($NF22)</f>
        <v/>
      </c>
      <c r="NH22">
        <f>IF(ROW()-3&gt;MAX($NG$4:$NG$40),"",INDEX($CB$4:$CB$40,MATCH(ROW()-3,$NG$4:$NG$40,0)))</f>
        <v/>
      </c>
      <c r="NI22">
        <f>IF(COUNTIF('Buyer Groups'!DG22:DT22,0)+COUNTIF('Buyer Groups'!DV22:EN22,0)&gt;0,0,1)</f>
        <v/>
      </c>
      <c r="NJ22">
        <f>IF($CG$22="",FALSE,SUMPRODUCT(('Final Calculation Sheet'!$O$4:$O$40=$CG$22)*($NI$6:$NI$42=1))&gt;0)</f>
        <v/>
      </c>
      <c r="NK22">
        <f>$NK$21+--($NJ22)</f>
        <v/>
      </c>
      <c r="NL22">
        <f>IF(ROW()-3&gt;MAX($NK$4:$NK$40),"",INDEX($CG$4:$CG$40,MATCH(ROW()-3,$NK$4:$NK$40,0)))</f>
        <v/>
      </c>
      <c r="NM22">
        <f>IF(COUNTIF('Buyer Groups'!DG22:DU22,0)+COUNTIF('Buyer Groups'!DW22:EN22,0)&gt;0,0,1)</f>
        <v/>
      </c>
      <c r="NN22">
        <f>IF($CL$22="",FALSE,SUMPRODUCT(('Final Calculation Sheet'!$P$4:$P$40=$CL$22)*($NM$6:$NM$42=1))&gt;0)</f>
        <v/>
      </c>
      <c r="NO22">
        <f>$NO$21+--($NN22)</f>
        <v/>
      </c>
      <c r="NP22">
        <f>IF(ROW()-3&gt;MAX($NO$4:$NO$40),"",INDEX($CL$4:$CL$40,MATCH(ROW()-3,$NO$4:$NO$40,0)))</f>
        <v/>
      </c>
      <c r="NQ22">
        <f>IF(COUNTIF('Buyer Groups'!DG22:DV22,0)+COUNTIF('Buyer Groups'!DX22:EN22,0)&gt;0,0,1)</f>
        <v/>
      </c>
      <c r="NR22">
        <f>IF($CQ$22="",FALSE,SUMPRODUCT(('Final Calculation Sheet'!$Q$4:$Q$40=$CQ$22)*($NQ$6:$NQ$42=1))&gt;0)</f>
        <v/>
      </c>
      <c r="NS22">
        <f>$NS$21+--($NR22)</f>
        <v/>
      </c>
      <c r="NT22">
        <f>IF(ROW()-3&gt;MAX($NS$4:$NS$40),"",INDEX($CQ$4:$CQ$40,MATCH(ROW()-3,$NS$4:$NS$40,0)))</f>
        <v/>
      </c>
      <c r="NU22">
        <f>IF(COUNTIF('Buyer Groups'!DG22:DW22,0)+COUNTIF('Buyer Groups'!DY22:EN22,0)&gt;0,0,1)</f>
        <v/>
      </c>
      <c r="NV22">
        <f>IF($CV$22="",FALSE,SUMPRODUCT(('Final Calculation Sheet'!$R$4:$R$40=$CV$22)*($NU$6:$NU$42=1))&gt;0)</f>
        <v/>
      </c>
      <c r="NW22">
        <f>$NW$21+--($NV22)</f>
        <v/>
      </c>
      <c r="NX22">
        <f>IF(ROW()-3&gt;MAX($NW$4:$NW$40),"",INDEX($CV$4:$CV$40,MATCH(ROW()-3,$NW$4:$NW$40,0)))</f>
        <v/>
      </c>
      <c r="NY22">
        <f>IF(COUNTIF('Buyer Groups'!DG22:DX22,0)+COUNTIF('Buyer Groups'!DZ22:EN22,0)&gt;0,0,1)</f>
        <v/>
      </c>
      <c r="NZ22">
        <f>IF($DA$22="",FALSE,SUMPRODUCT(('Final Calculation Sheet'!$S$4:$S$40=$DA$22)*($NY$6:$NY$42=1))&gt;0)</f>
        <v/>
      </c>
      <c r="OA22">
        <f>$OA$21+--($NZ22)</f>
        <v/>
      </c>
      <c r="OB22">
        <f>IF(ROW()-3&gt;MAX($OA$4:$OA$40),"",INDEX($DA$4:$DA$40,MATCH(ROW()-3,$OA$4:$OA$40,0)))</f>
        <v/>
      </c>
      <c r="OC22">
        <f>IF(COUNTIF('Buyer Groups'!DG22:DY22,0)+COUNTIF('Buyer Groups'!EA22:EN22,0)&gt;0,0,1)</f>
        <v/>
      </c>
      <c r="OD22">
        <f>IF($DF$22="",FALSE,SUMPRODUCT(('Final Calculation Sheet'!$T$4:$T$40=$DF$22)*($OC$6:$OC$42=1))&gt;0)</f>
        <v/>
      </c>
      <c r="OE22">
        <f>$OE$21+--($OD22)</f>
        <v/>
      </c>
      <c r="OF22">
        <f>IF(ROW()-3&gt;MAX($OE$4:$OE$40),"",INDEX($DF$4:$DF$40,MATCH(ROW()-3,$OE$4:$OE$40,0)))</f>
        <v/>
      </c>
      <c r="OG22">
        <f>IF(COUNTIF('Buyer Groups'!DG22:DZ22,0)+COUNTIF('Buyer Groups'!EB22:EN22,0)&gt;0,0,1)</f>
        <v/>
      </c>
      <c r="OH22">
        <f>IF($DK$22="",FALSE,SUMPRODUCT(('Final Calculation Sheet'!$U$4:$U$40=$DK$22)*($OG$6:$OG$42=1))&gt;0)</f>
        <v/>
      </c>
      <c r="OI22">
        <f>$OI$21+--($OH22)</f>
        <v/>
      </c>
      <c r="OJ22">
        <f>IF(ROW()-3&gt;MAX($OI$4:$OI$40),"",INDEX($DK$4:$DK$40,MATCH(ROW()-3,$OI$4:$OI$40,0)))</f>
        <v/>
      </c>
      <c r="OK22">
        <f>IF(COUNTIF('Buyer Groups'!DG22:EA22,0)+COUNTIF('Buyer Groups'!EC22:EN22,0)&gt;0,0,1)</f>
        <v/>
      </c>
      <c r="OL22">
        <f>IF($DP$22="",FALSE,SUMPRODUCT(('Final Calculation Sheet'!$V$4:$V$40=$DP$22)*($OK$6:$OK$42=1))&gt;0)</f>
        <v/>
      </c>
      <c r="OM22">
        <f>$OM$21+--($OL22)</f>
        <v/>
      </c>
      <c r="ON22">
        <f>IF(ROW()-3&gt;MAX($OM$4:$OM$40),"",INDEX($DP$4:$DP$40,MATCH(ROW()-3,$OM$4:$OM$40,0)))</f>
        <v/>
      </c>
      <c r="OO22">
        <f>IF(COUNTIF('Buyer Groups'!DG22:EB22,0)+COUNTIF('Buyer Groups'!ED22:EN22,0)&gt;0,0,1)</f>
        <v/>
      </c>
      <c r="OP22">
        <f>IF($DU$22="",FALSE,SUMPRODUCT(('Final Calculation Sheet'!$W$4:$W$40=$DU$22)*($OO$6:$OO$42=1))&gt;0)</f>
        <v/>
      </c>
      <c r="OQ22">
        <f>$OQ$21+--($OP22)</f>
        <v/>
      </c>
      <c r="OR22">
        <f>IF(ROW()-3&gt;MAX($OQ$4:$OQ$40),"",INDEX($DU$4:$DU$40,MATCH(ROW()-3,$OQ$4:$OQ$40,0)))</f>
        <v/>
      </c>
      <c r="OS22">
        <f>IF(COUNTIF('Buyer Groups'!DG22:EC22,0)+COUNTIF('Buyer Groups'!EE22:EN22,0)&gt;0,0,1)</f>
        <v/>
      </c>
      <c r="OT22">
        <f>IF($DZ$22="",FALSE,SUMPRODUCT(('Final Calculation Sheet'!$X$4:$X$40=$DZ$22)*($OS$6:$OS$42=1))&gt;0)</f>
        <v/>
      </c>
      <c r="OU22">
        <f>$OU$21+--($OT22)</f>
        <v/>
      </c>
      <c r="OV22">
        <f>IF(ROW()-3&gt;MAX($OU$4:$OU$40),"",INDEX($DZ$4:$DZ$40,MATCH(ROW()-3,$OU$4:$OU$40,0)))</f>
        <v/>
      </c>
      <c r="OW22">
        <f>IF(COUNTIF('Buyer Groups'!DG22:ED22,0)+COUNTIF('Buyer Groups'!EF22:EN22,0)&gt;0,0,1)</f>
        <v/>
      </c>
      <c r="OX22">
        <f>IF($EE$22="",FALSE,SUMPRODUCT(('Final Calculation Sheet'!$Y$4:$Y$40=$EE$22)*($OW$6:$OW$42=1))&gt;0)</f>
        <v/>
      </c>
      <c r="OY22">
        <f>$OY$21+--($OX22)</f>
        <v/>
      </c>
      <c r="OZ22">
        <f>IF(ROW()-3&gt;MAX($OY$4:$OY$40),"",INDEX($EE$4:$EE$40,MATCH(ROW()-3,$OY$4:$OY$40,0)))</f>
        <v/>
      </c>
      <c r="PA22">
        <f>IF(COUNTIF('Buyer Groups'!DG22:EE22,0)+COUNTIF('Buyer Groups'!EG22:EN22,0)&gt;0,0,1)</f>
        <v/>
      </c>
      <c r="PB22">
        <f>IF($EJ$22="",FALSE,SUMPRODUCT(('Final Calculation Sheet'!$Z$4:$Z$40=$EJ$22)*($PA$6:$PA$42=1))&gt;0)</f>
        <v/>
      </c>
      <c r="PC22">
        <f>$PC$21+--($PB22)</f>
        <v/>
      </c>
      <c r="PD22">
        <f>IF(ROW()-3&gt;MAX($PC$4:$PC$40),"",INDEX($EJ$4:$EJ$40,MATCH(ROW()-3,$PC$4:$PC$40,0)))</f>
        <v/>
      </c>
      <c r="PE22">
        <f>IF(COUNTIF('Buyer Groups'!DG22:EF22,0)+COUNTIF('Buyer Groups'!EH22:EN22,0)&gt;0,0,1)</f>
        <v/>
      </c>
      <c r="PF22">
        <f>IF($EO$22="",FALSE,SUMPRODUCT(('Final Calculation Sheet'!$AA$4:$AA$40=$EO$22)*($PE$6:$PE$42=1))&gt;0)</f>
        <v/>
      </c>
      <c r="PG22">
        <f>$PG$21+--($PF22)</f>
        <v/>
      </c>
      <c r="PH22">
        <f>IF(ROW()-3&gt;MAX($PG$4:$PG$40),"",INDEX($EO$4:$EO$40,MATCH(ROW()-3,$PG$4:$PG$40,0)))</f>
        <v/>
      </c>
      <c r="PI22">
        <f>IF(COUNTIF('Buyer Groups'!DG22:EG22,0)+COUNTIF('Buyer Groups'!EI22:EN22,0)&gt;0,0,1)</f>
        <v/>
      </c>
      <c r="PJ22">
        <f>IF($ET$22="",FALSE,SUMPRODUCT(('Final Calculation Sheet'!$AB$4:$AB$40=$ET$22)*($PI$6:$PI$42=1))&gt;0)</f>
        <v/>
      </c>
      <c r="PK22">
        <f>$PK$21+--($PJ22)</f>
        <v/>
      </c>
      <c r="PL22">
        <f>IF(ROW()-3&gt;MAX($PK$4:$PK$40),"",INDEX($ET$4:$ET$40,MATCH(ROW()-3,$PK$4:$PK$40,0)))</f>
        <v/>
      </c>
      <c r="PM22">
        <f>IF(COUNTIF('Buyer Groups'!DG22:EH22,0)+COUNTIF('Buyer Groups'!EJ22:EN22,0)&gt;0,0,1)</f>
        <v/>
      </c>
      <c r="PN22">
        <f>IF($EY$22="",FALSE,SUMPRODUCT(('Final Calculation Sheet'!$AC$4:$AC$40=$EY$22)*($PM$6:$PM$42=1))&gt;0)</f>
        <v/>
      </c>
      <c r="PO22">
        <f>$PO$21+--($PN22)</f>
        <v/>
      </c>
      <c r="PP22">
        <f>IF(ROW()-3&gt;MAX($PO$4:$PO$40),"",INDEX($EY$4:$EY$40,MATCH(ROW()-3,$PO$4:$PO$40,0)))</f>
        <v/>
      </c>
      <c r="PQ22">
        <f>IF(COUNTIF('Buyer Groups'!DG22:EI22,0)+COUNTIF('Buyer Groups'!EK22:EN22,0)&gt;0,0,1)</f>
        <v/>
      </c>
      <c r="PR22">
        <f>IF($FD$22="",FALSE,SUMPRODUCT(('Final Calculation Sheet'!$AD$4:$AD$40=$FD$22)*($PQ$6:$PQ$42=1))&gt;0)</f>
        <v/>
      </c>
      <c r="PS22">
        <f>$PS$21+--($PR22)</f>
        <v/>
      </c>
      <c r="PT22">
        <f>IF(ROW()-3&gt;MAX($PS$4:$PS$40),"",INDEX($FD$4:$FD$40,MATCH(ROW()-3,$PS$4:$PS$40,0)))</f>
        <v/>
      </c>
      <c r="PU22">
        <f>IF(COUNTIF('Buyer Groups'!DG22:EJ22,0)+COUNTIF('Buyer Groups'!EL22:EN22,0)&gt;0,0,1)</f>
        <v/>
      </c>
      <c r="PV22">
        <f>IF($FX$22="",FALSE,SUMPRODUCT((IF('Final Calculation Sheet'!$AD$4:$AD$40&lt;=5,"SETTLED","OUTSTANDING")=$FX$22)*($PU$6:$PU$42=1))&gt;0)</f>
        <v/>
      </c>
      <c r="PW22">
        <f>$PW$21+--($PV22)</f>
        <v/>
      </c>
      <c r="PX22">
        <f>IF(ROW()-3&gt;MAX($PW$4:$PW$40),"",INDEX($FX$4:$FX$40,MATCH(ROW()-3,$PW$4:$PW$40,0)))</f>
        <v/>
      </c>
      <c r="PY22">
        <f>IF(COUNTIF('Buyer Groups'!DG22:EK22,0)+COUNTIF('Buyer Groups'!EM22:EN22,0)&gt;0,0,1)</f>
        <v/>
      </c>
      <c r="PZ22">
        <f>IF($FI$22="",FALSE,SUMPRODUCT(('Final Calculation Sheet'!$AF$4:$AF$40=$FI$22)*($PY$6:$PY$42=1))&gt;0)</f>
        <v/>
      </c>
      <c r="QA22">
        <f>$QA$21+--($PZ22)</f>
        <v/>
      </c>
      <c r="QB22">
        <f>IF(ROW()-3&gt;MAX($QA$4:$QA$40),"",INDEX($FI$4:$FI$40,MATCH(ROW()-3,$QA$4:$QA$40,0)))</f>
        <v/>
      </c>
      <c r="QC22">
        <f>IF(COUNTIF('Buyer Groups'!DG22:EL22,0)+COUNTIF('Buyer Groups'!EN22:EN22,0)&gt;0,0,1)</f>
        <v/>
      </c>
      <c r="QD22">
        <f>IF($FN$22="",FALSE,SUMPRODUCT(('Final Calculation Sheet'!$AG$4:$AG$40=$FN$22)*($QC$6:$QC$42=1))&gt;0)</f>
        <v/>
      </c>
      <c r="QE22">
        <f>$QE$21+--($QD22)</f>
        <v/>
      </c>
      <c r="QF22">
        <f>IF(ROW()-3&gt;MAX($QE$4:$QE$40),"",INDEX($FN$4:$FN$40,MATCH(ROW()-3,$QE$4:$QE$40,0)))</f>
        <v/>
      </c>
      <c r="QG22">
        <f>IF(COUNTIF('Buyer Groups'!DG22:EM22,0)&gt;0,0,1)</f>
        <v/>
      </c>
      <c r="QH22">
        <f>IF($FS$22="",FALSE,SUMPRODUCT(('Final Calculation Sheet'!$AH$4:$AH$40=$FS$22)*($QG$6:$QG$42=1))&gt;0)</f>
        <v/>
      </c>
      <c r="QI22">
        <f>$QI$21+--($QH22)</f>
        <v/>
      </c>
      <c r="QJ22">
        <f>IF(ROW()-3&gt;MAX($QI$4:$QI$40),"",INDEX($FS$4:$FS$40,MATCH(ROW()-3,$QI$4:$QI$40,0)))</f>
        <v/>
      </c>
      <c r="QK22" t="str">
        <f>IF('Final Calculation Sheet'!$AH$22="","",'Final Calculation Sheet'!$AH$22)</f>
      </c>
      <c r="QL22" t="str">
        <f>IF(QK22="","",COUNTIFS(QK$4:QK$40,"&lt;"&amp;QK22,QK$4:QK$40,"&lt;&gt;"&amp;"")+COUNTIF(QK$4:QK22,QK22))</f>
      </c>
      <c r="QM22" t="str">
        <f>IF(ROW()-3&gt;COUNTIF(QK$4:QK$40,"&lt;&gt;"&amp;""),"",INDEX(QK$4:QK$40,MATCH(ROW()-3,QL$4:QL$40,0)))</f>
      </c>
      <c r="QN22" t="str">
        <f>=QN21+F(AND(QM22&lt;&gt;"",COUNTIF(QM$4:QM22,QM22)=1),1,0)</f>
      </c>
      <c r="QO22" t="str">
        <f>IF(ROW()-3&gt;MAX(QN$4:QN$40),"",INDEX(QM$4:QM$40,MATCH(ROW()-3,QN$4:QN$40,0)))</f>
      </c>
      <c r="QP22" t="str">
        <f>IF(COUNTIF('Final Calculation Sheet'!$AM22:$BS22,0)&gt;0,0,1)</f>
      </c>
      <c r="QQ22" t="str">
        <f>IF($AI$22="",FALSE,SUMPRODUCT(('Final Calculation Sheet'!$A$4:$A$40=$AI$22)*($QP$4:$QP$40=1))&gt;0)</f>
      </c>
      <c r="QR22" t="str">
        <f>=$QR21+--($QQ22)</f>
      </c>
      <c r="QS22" t="str">
        <f>IF(ROW()-3&gt;MAX($QR$4:$QR$40),"",INDEX($AI$4:$AI$40,MATCH(ROW()-3,$QR$4:$QR$40,0)))</f>
      </c>
      <c r="QT22" t="str">
        <f>IF(COUNTIF('Final Calculation Sheet'!$AL22:$AL22,0)+COUNTIF('Final Calculation Sheet'!$AN22:$BS22,0)&gt;0,0,1)</f>
      </c>
      <c r="QU22" t="str">
        <f>IF($Y$22="",FALSE,SUMPRODUCT(('Final Calculation Sheet'!$B$4:$B$40=$Y$22)*($QT$4:$QT$40=1))&gt;0)</f>
      </c>
      <c r="QV22" t="str">
        <f>=$QV21+--($QU22)</f>
      </c>
      <c r="QW22" t="str">
        <f>IF(ROW()-3&gt;MAX($QV$4:$QV$40),"",INDEX($Y$4:$Y$40,MATCH(ROW()-3,$QV$4:$QV$40,0)))</f>
      </c>
      <c r="QX22" t="str">
        <f>IF(COUNTIF('Final Calculation Sheet'!$AL22:$AM22,0)+COUNTIF('Final Calculation Sheet'!$AO22:$BS22,0)&gt;0,0,1)</f>
      </c>
      <c r="QY22" t="str">
        <f>IF($AS$22="",FALSE,SUMPRODUCT(('Final Calculation Sheet'!$C$4:$C$40=$AS$22)*($QX$4:$QX$40=1))&gt;0)</f>
      </c>
      <c r="QZ22" t="str">
        <f>=$QZ21+--($QY22)</f>
      </c>
      <c r="RA22" t="str">
        <f>IF(ROW()-3&gt;MAX($QZ$4:$QZ$40),"",INDEX($AS$4:$AS$40,MATCH(ROW()-3,$QZ$4:$QZ$40,0)))</f>
      </c>
      <c r="RB22" t="str">
        <f>IF(COUNTIF('Final Calculation Sheet'!$AL22:$AN22,0)+COUNTIF('Final Calculation Sheet'!$AP22:$BS22,0)&gt;0,0,1)</f>
      </c>
      <c r="RC22" t="str">
        <f>IF($AD$22="",FALSE,SUMPRODUCT(('Final Calculation Sheet'!$D$4:$D$40=$AD$22)*($RB$4:$RB$40=1))&gt;0)</f>
      </c>
      <c r="RD22" t="str">
        <f>=$RD21+--($RC22)</f>
      </c>
      <c r="RE22" t="str">
        <f>IF(ROW()-3&gt;MAX($RD$4:$RD$40),"",INDEX($AD$4:$AD$40,MATCH(ROW()-3,$RD$4:$RD$40,0)))</f>
      </c>
      <c r="RF22" t="str">
        <f>IF(COUNTIF('Final Calculation Sheet'!$AL22:$AO22,0)+COUNTIF('Final Calculation Sheet'!$AQ22:$BS22,0)&gt;0,0,1)</f>
      </c>
      <c r="RG22" t="str">
        <f>IF($AN$22="",FALSE,SUMPRODUCT(('Final Calculation Sheet'!$E$4:$E$40=$AN$22)*($RF$4:$RF$40=1))&gt;0)</f>
      </c>
      <c r="RH22" t="str">
        <f>=$RH21+--($RG22)</f>
      </c>
      <c r="RI22" t="str">
        <f>IF(ROW()-3&gt;MAX($RH$4:$RH$40),"",INDEX($AN$4:$AN$40,MATCH(ROW()-3,$RH$4:$RH$40,0)))</f>
      </c>
      <c r="RJ22" t="str">
        <f>IF(COUNTIF('Final Calculation Sheet'!$AL22:$AP22,0)+COUNTIF('Final Calculation Sheet'!$AR22:$BS22,0)&gt;0,0,1)</f>
      </c>
      <c r="RK22" t="str">
        <f>IF($O$22="",FALSE,SUMPRODUCT(('Final Calculation Sheet'!$F$4:$F$40=$O$22)*($RJ$4:$RJ$40=1))&gt;0)</f>
      </c>
      <c r="RL22" t="str">
        <f>=$RL21+--($RK22)</f>
      </c>
      <c r="RM22" t="str">
        <f>IF(ROW()-3&gt;MAX($RL$4:$RL$40),"",INDEX($O$4:$O$40,MATCH(ROW()-3,$RL$4:$RL$40,0)))</f>
      </c>
      <c r="RN22" t="str">
        <f>IF(COUNTIF('Final Calculation Sheet'!$AL22:$AQ22,0)+COUNTIF('Final Calculation Sheet'!$AS22:$BS22,0)&gt;0,0,1)</f>
      </c>
      <c r="RO22" t="str">
        <f>IF($T$22="",FALSE,SUMPRODUCT(('Final Calculation Sheet'!$G$4:$G$40=$T$22)*($RN$4:$RN$40=1))&gt;0)</f>
      </c>
      <c r="RP22" t="str">
        <f>=$RP21+--($RO22)</f>
      </c>
      <c r="RQ22" t="str">
        <f>IF(ROW()-3&gt;MAX($RP$4:$RP$40),"",INDEX($T$4:$T$40,MATCH(ROW()-3,$RP$4:$RP$40,0)))</f>
      </c>
      <c r="RR22" t="str">
        <f>IF(COUNTIF('Final Calculation Sheet'!$AL22:$AR22,0)+COUNTIF('Final Calculation Sheet'!$AT22:$BS22,0)&gt;0,0,1)</f>
      </c>
      <c r="RS22" t="str">
        <f>IF($AX$22="",FALSE,SUMPRODUCT(('Final Calculation Sheet'!$H$4:$H$40=$AX$22)*($RR$4:$RR$40=1))&gt;0)</f>
      </c>
      <c r="RT22" t="str">
        <f>=$RT21+--($RS22)</f>
      </c>
      <c r="RU22" t="str">
        <f>IF(ROW()-3&gt;MAX($RT$4:$RT$40),"",INDEX($AX$4:$AX$40,MATCH(ROW()-3,$RT$4:$RT$40,0)))</f>
      </c>
      <c r="RV22" t="str">
        <f>IF(COUNTIF('Final Calculation Sheet'!$AL22:$AS22,0)+COUNTIF('Final Calculation Sheet'!$AU22:$BS22,0)&gt;0,0,1)</f>
      </c>
      <c r="RW22" t="str">
        <f>IF($BC$22="",FALSE,SUMPRODUCT(('Final Calculation Sheet'!$I$4:$I$40=$BC$22)*($RV$4:$RV$40=1))&gt;0)</f>
      </c>
      <c r="RX22" t="str">
        <f>=$RX21+--($RW22)</f>
      </c>
      <c r="RY22" t="str">
        <f>IF(ROW()-3&gt;MAX($RX$4:$RX$40),"",INDEX($BC$4:$BC$40,MATCH(ROW()-3,$RX$4:$RX$40,0)))</f>
      </c>
      <c r="RZ22" t="str">
        <f>IF(COUNTIF('Final Calculation Sheet'!$AL22:$AT22,0)+COUNTIF('Final Calculation Sheet'!$AV22:$BS22,0)&gt;0,0,1)</f>
      </c>
      <c r="SA22" t="str">
        <f>IF($BH$22="",FALSE,SUMPRODUCT(('Final Calculation Sheet'!$J$4:$J$40=$BH$22)*($RZ$4:$RZ$40=1))&gt;0)</f>
      </c>
      <c r="SB22" t="str">
        <f>=$SB21+--($SA22)</f>
      </c>
      <c r="SC22" t="str">
        <f>IF(ROW()-3&gt;MAX($SB$4:$SB$40),"",INDEX($BH$4:$BH$40,MATCH(ROW()-3,$SB$4:$SB$40,0)))</f>
      </c>
      <c r="SD22" t="str">
        <f>IF(COUNTIF('Final Calculation Sheet'!$AL22:$AU22,0)+COUNTIF('Final Calculation Sheet'!$AW22:$BS22,0)&gt;0,0,1)</f>
      </c>
      <c r="SE22" t="str">
        <f>IF($BM$22="",FALSE,SUMPRODUCT(('Final Calculation Sheet'!$K$4:$K$40=$BM$22)*($SD$4:$SD$40=1))&gt;0)</f>
      </c>
      <c r="SF22" t="str">
        <f>=$SF21+--($SE22)</f>
      </c>
      <c r="SG22" t="str">
        <f>IF(ROW()-3&gt;MAX($SF$4:$SF$40),"",INDEX($BM$4:$BM$40,MATCH(ROW()-3,$SF$4:$SF$40,0)))</f>
      </c>
      <c r="SH22" t="str">
        <f>IF(COUNTIF('Final Calculation Sheet'!$AL22:$AV22,0)+COUNTIF('Final Calculation Sheet'!$AX22:$BS22,0)&gt;0,0,1)</f>
      </c>
      <c r="SI22" t="str">
        <f>IF($BR$22="",FALSE,SUMPRODUCT(('Final Calculation Sheet'!$L$4:$L$40=$BR$22)*($SH$4:$SH$40=1))&gt;0)</f>
      </c>
      <c r="SJ22" t="str">
        <f>=$SJ21+--($SI22)</f>
      </c>
      <c r="SK22" t="str">
        <f>IF(ROW()-3&gt;MAX($SJ$4:$SJ$40),"",INDEX($BR$4:$BR$40,MATCH(ROW()-3,$SJ$4:$SJ$40,0)))</f>
      </c>
      <c r="SL22" t="str">
        <f>IF(COUNTIF('Final Calculation Sheet'!$AL22:$AW22,0)+COUNTIF('Final Calculation Sheet'!$AY22:$BS22,0)&gt;0,0,1)</f>
      </c>
      <c r="SM22" t="str">
        <f>IF($BW$22="",FALSE,SUMPRODUCT(('Final Calculation Sheet'!$M$4:$M$40=$BW$22)*($SL$4:$SL$40=1))&gt;0)</f>
      </c>
      <c r="SN22" t="str">
        <f>=$SN21+--($SM22)</f>
      </c>
      <c r="SO22" t="str">
        <f>IF(ROW()-3&gt;MAX($SN$4:$SN$40),"",INDEX($BW$4:$BW$40,MATCH(ROW()-3,$SN$4:$SN$40,0)))</f>
      </c>
      <c r="SP22" t="str">
        <f>IF(COUNTIF('Final Calculation Sheet'!$AL22:$AX22,0)+COUNTIF('Final Calculation Sheet'!$AZ22:$BS22,0)&gt;0,0,1)</f>
      </c>
      <c r="SQ22" t="str">
        <f>IF($CB$22="",FALSE,SUMPRODUCT(('Final Calculation Sheet'!$N$4:$N$40=$CB$22)*($SP$4:$SP$40=1))&gt;0)</f>
      </c>
      <c r="SR22" t="str">
        <f>=$SR21+--($SQ22)</f>
      </c>
      <c r="SS22" t="str">
        <f>IF(ROW()-3&gt;MAX($SR$4:$SR$40),"",INDEX($CB$4:$CB$40,MATCH(ROW()-3,$SR$4:$SR$40,0)))</f>
      </c>
      <c r="ST22" t="str">
        <f>IF(COUNTIF('Final Calculation Sheet'!$AL22:$AY22,0)+COUNTIF('Final Calculation Sheet'!$BA22:$BS22,0)&gt;0,0,1)</f>
      </c>
      <c r="SU22" t="str">
        <f>IF($CG$22="",FALSE,SUMPRODUCT(('Final Calculation Sheet'!$O$4:$O$40=$CG$22)*($ST$4:$ST$40=1))&gt;0)</f>
      </c>
      <c r="SV22" t="str">
        <f>=$SV21+--($SU22)</f>
      </c>
      <c r="SW22" t="str">
        <f>IF(ROW()-3&gt;MAX($SV$4:$SV$40),"",INDEX($CG$4:$CG$40,MATCH(ROW()-3,$SV$4:$SV$40,0)))</f>
      </c>
      <c r="SX22" t="str">
        <f>IF(COUNTIF('Final Calculation Sheet'!$AL22:$AZ22,0)+COUNTIF('Final Calculation Sheet'!$BB22:$BS22,0)&gt;0,0,1)</f>
      </c>
      <c r="SY22" t="str">
        <f>IF($CL$22="",FALSE,SUMPRODUCT(('Final Calculation Sheet'!$P$4:$P$40=$CL$22)*($SX$4:$SX$40=1))&gt;0)</f>
      </c>
      <c r="SZ22" t="str">
        <f>=$SZ21+--($SY22)</f>
      </c>
      <c r="TA22" t="str">
        <f>IF(ROW()-3&gt;MAX($SZ$4:$SZ$40),"",INDEX($CL$4:$CL$40,MATCH(ROW()-3,$SZ$4:$SZ$40,0)))</f>
      </c>
      <c r="TB22" t="str">
        <f>IF(COUNTIF('Final Calculation Sheet'!$AL22:$BA22,0)+COUNTIF('Final Calculation Sheet'!$BC22:$BS22,0)&gt;0,0,1)</f>
      </c>
      <c r="TC22" t="str">
        <f>IF($CQ$22="",FALSE,SUMPRODUCT(('Final Calculation Sheet'!$Q$4:$Q$40=$CQ$22)*($TB$4:$TB$40=1))&gt;0)</f>
      </c>
      <c r="TD22" t="str">
        <f>=$TD21+--($TC22)</f>
      </c>
      <c r="TE22" t="str">
        <f>IF(ROW()-3&gt;MAX($TD$4:$TD$40),"",INDEX($CQ$4:$CQ$40,MATCH(ROW()-3,$TD$4:$TD$40,0)))</f>
      </c>
      <c r="TF22" t="str">
        <f>IF(COUNTIF('Final Calculation Sheet'!$AL22:$BB22,0)+COUNTIF('Final Calculation Sheet'!$BD22:$BS22,0)&gt;0,0,1)</f>
      </c>
      <c r="TG22" t="str">
        <f>IF($CV$22="",FALSE,SUMPRODUCT(('Final Calculation Sheet'!$R$4:$R$40=$CV$22)*($TF$4:$TF$40=1))&gt;0)</f>
      </c>
      <c r="TH22" t="str">
        <f>=$TH21+--($TG22)</f>
      </c>
      <c r="TI22" t="str">
        <f>IF(ROW()-3&gt;MAX($TH$4:$TH$40),"",INDEX($CV$4:$CV$40,MATCH(ROW()-3,$TH$4:$TH$40,0)))</f>
      </c>
      <c r="TJ22" t="str">
        <f>IF(COUNTIF('Final Calculation Sheet'!$AL22:$BC22,0)+COUNTIF('Final Calculation Sheet'!$BE22:$BS22,0)&gt;0,0,1)</f>
      </c>
      <c r="TK22" t="str">
        <f>IF($DA$22="",FALSE,SUMPRODUCT(('Final Calculation Sheet'!$S$4:$S$40=$DA$22)*($TJ$4:$TJ$40=1))&gt;0)</f>
      </c>
      <c r="TL22" t="str">
        <f>=$TL21+--($TK22)</f>
      </c>
      <c r="TM22" t="str">
        <f>IF(ROW()-3&gt;MAX($TL$4:$TL$40),"",INDEX($DA$4:$DA$40,MATCH(ROW()-3,$TL$4:$TL$40,0)))</f>
      </c>
      <c r="TN22" t="str">
        <f>IF(COUNTIF('Final Calculation Sheet'!$AL22:$BD22,0)+COUNTIF('Final Calculation Sheet'!$BF22:$BS22,0)&gt;0,0,1)</f>
      </c>
      <c r="TO22" t="str">
        <f>IF($DF$22="",FALSE,SUMPRODUCT(('Final Calculation Sheet'!$T$4:$T$40=$DF$22)*($TN$4:$TN$40=1))&gt;0)</f>
      </c>
      <c r="TP22" t="str">
        <f>=$TP21+--($TO22)</f>
      </c>
      <c r="TQ22" t="str">
        <f>IF(ROW()-3&gt;MAX($TP$4:$TP$40),"",INDEX($DF$4:$DF$40,MATCH(ROW()-3,$TP$4:$TP$40,0)))</f>
      </c>
      <c r="TR22" t="str">
        <f>IF(COUNTIF('Final Calculation Sheet'!$AL22:$BE22,0)+COUNTIF('Final Calculation Sheet'!$BG22:$BS22,0)&gt;0,0,1)</f>
      </c>
      <c r="TS22" t="str">
        <f>IF($DK$22="",FALSE,SUMPRODUCT(('Final Calculation Sheet'!$U$4:$U$40=$DK$22)*($TR$4:$TR$40=1))&gt;0)</f>
      </c>
      <c r="TT22" t="str">
        <f>=$TT21+--($TS22)</f>
      </c>
      <c r="TU22" t="str">
        <f>IF(ROW()-3&gt;MAX($TT$4:$TT$40),"",INDEX($DK$4:$DK$40,MATCH(ROW()-3,$TT$4:$TT$40,0)))</f>
      </c>
      <c r="TV22" t="str">
        <f>IF(COUNTIF('Final Calculation Sheet'!$AL22:$BF22,0)+COUNTIF('Final Calculation Sheet'!$BH22:$BS22,0)&gt;0,0,1)</f>
      </c>
      <c r="TW22" t="str">
        <f>IF($DP$22="",FALSE,SUMPRODUCT(('Final Calculation Sheet'!$V$4:$V$40=$DP$22)*($TV$4:$TV$40=1))&gt;0)</f>
      </c>
      <c r="TX22" t="str">
        <f>=$TX21+--($TW22)</f>
      </c>
      <c r="TY22" t="str">
        <f>IF(ROW()-3&gt;MAX($TX$4:$TX$40),"",INDEX($DP$4:$DP$40,MATCH(ROW()-3,$TX$4:$TX$40,0)))</f>
      </c>
      <c r="TZ22" t="str">
        <f>IF(COUNTIF('Final Calculation Sheet'!$AL22:$BG22,0)+COUNTIF('Final Calculation Sheet'!$BI22:$BS22,0)&gt;0,0,1)</f>
      </c>
      <c r="UA22" t="str">
        <f>IF($DU$22="",FALSE,SUMPRODUCT(('Final Calculation Sheet'!$W$4:$W$40=$DU$22)*($TZ$4:$TZ$40=1))&gt;0)</f>
      </c>
      <c r="UB22" t="str">
        <f>=$UB21+--($UA22)</f>
      </c>
      <c r="UC22" t="str">
        <f>IF(ROW()-3&gt;MAX($UB$4:$UB$40),"",INDEX($DU$4:$DU$40,MATCH(ROW()-3,$UB$4:$UB$40,0)))</f>
      </c>
      <c r="UD22" t="str">
        <f>IF(COUNTIF('Final Calculation Sheet'!$AL22:$BH22,0)+COUNTIF('Final Calculation Sheet'!$BJ22:$BS22,0)&gt;0,0,1)</f>
      </c>
      <c r="UE22" t="str">
        <f>IF($DZ$22="",FALSE,SUMPRODUCT(('Final Calculation Sheet'!$X$4:$X$40=$DZ$22)*($UD$4:$UD$40=1))&gt;0)</f>
      </c>
      <c r="UF22" t="str">
        <f>=$UF21+--($UE22)</f>
      </c>
      <c r="UG22" t="str">
        <f>IF(ROW()-3&gt;MAX($UF$4:$UF$40),"",INDEX($DZ$4:$DZ$40,MATCH(ROW()-3,$UF$4:$UF$40,0)))</f>
      </c>
      <c r="UH22" t="str">
        <f>IF(COUNTIF('Final Calculation Sheet'!$AL22:$BI22,0)+COUNTIF('Final Calculation Sheet'!$BK22:$BS22,0)&gt;0,0,1)</f>
      </c>
      <c r="UI22" t="str">
        <f>IF($EE$22="",FALSE,SUMPRODUCT(('Final Calculation Sheet'!$Y$4:$Y$40=$EE$22)*($UH$4:$UH$40=1))&gt;0)</f>
      </c>
      <c r="UJ22" t="str">
        <f>=$UJ21+--($UI22)</f>
      </c>
      <c r="UK22" t="str">
        <f>IF(ROW()-3&gt;MAX($UJ$4:$UJ$40),"",INDEX($EE$4:$EE$40,MATCH(ROW()-3,$UJ$4:$UJ$40,0)))</f>
      </c>
      <c r="UL22" t="str">
        <f>IF(COUNTIF('Final Calculation Sheet'!$AL22:$BJ22,0)+COUNTIF('Final Calculation Sheet'!$BL22:$BS22,0)&gt;0,0,1)</f>
      </c>
      <c r="UM22" t="str">
        <f>IF($EJ$22="",FALSE,SUMPRODUCT(('Final Calculation Sheet'!$Z$4:$Z$40=$EJ$22)*($UL$4:$UL$40=1))&gt;0)</f>
      </c>
      <c r="UN22" t="str">
        <f>=$UN21+--($UM22)</f>
      </c>
      <c r="UO22" t="str">
        <f>IF(ROW()-3&gt;MAX($UN$4:$UN$40),"",INDEX($EJ$4:$EJ$40,MATCH(ROW()-3,$UN$4:$UN$40,0)))</f>
      </c>
      <c r="UP22" t="str">
        <f>IF(COUNTIF('Final Calculation Sheet'!$AL22:$BK22,0)+COUNTIF('Final Calculation Sheet'!$BM22:$BS22,0)&gt;0,0,1)</f>
      </c>
      <c r="UQ22" t="str">
        <f>IF($EO$22="",FALSE,SUMPRODUCT(('Final Calculation Sheet'!$AA$4:$AA$40=$EO$22)*($UP$4:$UP$40=1))&gt;0)</f>
      </c>
      <c r="UR22" t="str">
        <f>=$UR21+--($UQ22)</f>
      </c>
      <c r="US22" t="str">
        <f>IF(ROW()-3&gt;MAX($UR$4:$UR$40),"",INDEX($EO$4:$EO$40,MATCH(ROW()-3,$UR$4:$UR$40,0)))</f>
      </c>
      <c r="UT22" t="str">
        <f>IF(COUNTIF('Final Calculation Sheet'!$AL22:$BL22,0)+COUNTIF('Final Calculation Sheet'!$BN22:$BS22,0)&gt;0,0,1)</f>
      </c>
      <c r="UU22" t="str">
        <f>IF($ET$22="",FALSE,SUMPRODUCT(('Final Calculation Sheet'!$AB$4:$AB$40=$ET$22)*($UT$4:$UT$40=1))&gt;0)</f>
      </c>
      <c r="UV22" t="str">
        <f>=$UV21+--($UU22)</f>
      </c>
      <c r="UW22" t="str">
        <f>IF(ROW()-3&gt;MAX($UV$4:$UV$40),"",INDEX($ET$4:$ET$40,MATCH(ROW()-3,$UV$4:$UV$40,0)))</f>
      </c>
      <c r="UX22" t="str">
        <f>IF(COUNTIF('Final Calculation Sheet'!$AL22:$BM22,0)+COUNTIF('Final Calculation Sheet'!$BO22:$BS22,0)&gt;0,0,1)</f>
      </c>
      <c r="UY22" t="str">
        <f>IF($EY$22="",FALSE,SUMPRODUCT(('Final Calculation Sheet'!$AC$4:$AC$40=$EY$22)*($UX$4:$UX$40=1))&gt;0)</f>
      </c>
      <c r="UZ22" t="str">
        <f>=$UZ21+--($UY22)</f>
      </c>
      <c r="VA22" t="str">
        <f>IF(ROW()-3&gt;MAX($UZ$4:$UZ$40),"",INDEX($EY$4:$EY$40,MATCH(ROW()-3,$UZ$4:$UZ$40,0)))</f>
      </c>
      <c r="VB22" t="str">
        <f>IF(COUNTIF('Final Calculation Sheet'!$AL22:$BN22,0)+COUNTIF('Final Calculation Sheet'!$BP22:$BS22,0)&gt;0,0,1)</f>
      </c>
      <c r="VC22" t="str">
        <f>IF($FD$22="",FALSE,SUMPRODUCT(('Final Calculation Sheet'!$AD$4:$AD$40=$FD$22)*($VB$4:$VB$40=1))&gt;0)</f>
      </c>
      <c r="VD22" t="str">
        <f>=$VD21+--($VC22)</f>
      </c>
      <c r="VE22" t="str">
        <f>IF(ROW()-3&gt;MAX($VD$4:$VD$40),"",INDEX($FD$4:$FD$40,MATCH(ROW()-3,$VD$4:$VD$40,0)))</f>
      </c>
      <c r="VF22" t="str">
        <f>IF(COUNTIF('Final Calculation Sheet'!$AL22:$BO22,0)+COUNTIF('Final Calculation Sheet'!$BQ22:$BS22,0)&gt;0,0,1)</f>
      </c>
      <c r="VG22" t="str">
        <f>IF($FI$22="",FALSE,SUMPRODUCT(('Final Calculation Sheet'!$AE$4:$AE$40=$FI$22)*($VF$4:$VF$40=1))&gt;0)</f>
      </c>
      <c r="VH22" t="str">
        <f>=$VH21+--($VG22)</f>
      </c>
      <c r="VI22" t="str">
        <f>IF(ROW()-3&gt;MAX($VH$4:$VH$40),"",INDEX($FI$4:$FI$40,MATCH(ROW()-3,$VH$4:$VH$40,0)))</f>
      </c>
      <c r="VJ22" t="str">
        <f>IF(COUNTIF('Final Calculation Sheet'!$AL22:$BP22,0)+COUNTIF('Final Calculation Sheet'!$BR22:$BS22,0)&gt;0,0,1)</f>
      </c>
      <c r="VK22" t="str">
        <f>IF($FN$22="",FALSE,SUMPRODUCT(('Final Calculation Sheet'!$AF$4:$AF$40=$FN$22)*($VJ$4:$VJ$40=1))&gt;0)</f>
      </c>
      <c r="VL22" t="str">
        <f>=$VL21+--($VK22)</f>
      </c>
      <c r="VM22" t="str">
        <f>IF(ROW()-3&gt;MAX($VL$4:$VL$40),"",INDEX($FN$4:$FN$40,MATCH(ROW()-3,$VL$4:$VL$40,0)))</f>
      </c>
      <c r="VN22" t="str">
        <f>IF(COUNTIF('Final Calculation Sheet'!$AL22:$BQ22,0)+COUNTIF('Final Calculation Sheet'!$BS22:$BS22,0)&gt;0,0,1)</f>
      </c>
      <c r="VO22" t="str">
        <f>IF($FS$22="",FALSE,SUMPRODUCT(('Final Calculation Sheet'!$AG$4:$AG$40=$FS$22)*($VN$4:$VN$40=1))&gt;0)</f>
      </c>
      <c r="VP22" t="str">
        <f>=$VP21+--($VO22)</f>
      </c>
      <c r="VQ22" t="str">
        <f>IF(ROW()-3&gt;MAX($VP$4:$VP$40),"",INDEX($FS$4:$FS$40,MATCH(ROW()-3,$VP$4:$VP$40,0)))</f>
      </c>
      <c r="VR22" t="str">
        <f>IF(COUNTIF('Final Calculation Sheet'!$AL22:$BR22,0)&gt;0,0,1)</f>
      </c>
      <c r="VS22" t="str">
        <f>IF($QO$22="",FALSE,SUMPRODUCT(('Final Calculation Sheet'!$AH$4:$AH$40=$QO$22)*($VR$4:$VR$40=1))&gt;0)</f>
      </c>
      <c r="VT22" t="str">
        <f>=$VT21+--($VS22)</f>
      </c>
      <c r="VU22" t="str">
        <f>IF(ROW()-3&gt;MAX($VT$4:$VT$40),"",INDEX($QO$4:$QO$40,MATCH(ROW()-3,$VT$4:$VT$40,0)))</f>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IF(ROW()-3&gt;MAX($LC$4:$LC$40),"",INDEX($FS$4:$FS$40,MATCH(ROW()-3,$LC$4:$LC$40,0)))</f>
        <v/>
      </c>
      <c r="LE23">
        <f>IF(COUNTIF('Buyer Groups'!DH23:EN23,0)&gt;0,0,1)</f>
        <v/>
      </c>
      <c r="LF23">
        <f>IF($O$23="",FALSE,SUMPRODUCT(('Final Calculation Sheet'!$F$4:$F$40=$O$23)*($LE$6:$LE$42=1))&gt;0)</f>
        <v/>
      </c>
      <c r="LG23">
        <f>$LG$22+--($LF23)</f>
        <v/>
      </c>
      <c r="LH23">
        <f>IF(ROW()-3&gt;MAX($LG$4:$LG$40),"",INDEX($O$4:$O$40,MATCH(ROW()-3,$LG$4:$LG$40,0)))</f>
        <v/>
      </c>
      <c r="LI23">
        <f>IF(COUNTIF('Buyer Groups'!DG23:DG23,0)+COUNTIF('Buyer Groups'!DI23:EN23,0)&gt;0,0,1)</f>
        <v/>
      </c>
      <c r="LJ23">
        <f>IF($T$23="",FALSE,SUMPRODUCT(('Final Calculation Sheet'!$G$4:$G$40=$T$23)*($LI$6:$LI$42=1))&gt;0)</f>
        <v/>
      </c>
      <c r="LK23">
        <f>$LK$22+--($LJ23)</f>
        <v/>
      </c>
      <c r="LL23">
        <f>IF(ROW()-3&gt;MAX($LK$4:$LK$40),"",INDEX($T$4:$T$40,MATCH(ROW()-3,$LK$4:$LK$40,0)))</f>
        <v/>
      </c>
      <c r="LM23">
        <f>IF(COUNTIF('Buyer Groups'!DG23:DH23,0)+COUNTIF('Buyer Groups'!DJ23:EN23,0)&gt;0,0,1)</f>
        <v/>
      </c>
      <c r="LN23">
        <f>IF($Y$23="",FALSE,SUMPRODUCT(('Final Calculation Sheet'!$B$4:$B$40=$Y$23)*($LM$6:$LM$42=1))&gt;0)</f>
        <v/>
      </c>
      <c r="LO23">
        <f>$LO$22+--($LN23)</f>
        <v/>
      </c>
      <c r="LP23">
        <f>IF(ROW()-3&gt;MAX($LO$4:$LO$40),"",INDEX($Y$4:$Y$40,MATCH(ROW()-3,$LO$4:$LO$40,0)))</f>
        <v/>
      </c>
      <c r="LQ23">
        <f>IF(COUNTIF('Buyer Groups'!DG23:DI23,0)+COUNTIF('Buyer Groups'!DK23:EN23,0)&gt;0,0,1)</f>
        <v/>
      </c>
      <c r="LR23">
        <f>IF($AD$23="",FALSE,SUMPRODUCT(('Final Calculation Sheet'!$D$4:$D$40=$AD$23)*($LQ$6:$LQ$42=1))&gt;0)</f>
        <v/>
      </c>
      <c r="LS23">
        <f>$LS$22+--($LR23)</f>
        <v/>
      </c>
      <c r="LT23">
        <f>IF(ROW()-3&gt;MAX($LS$4:$LS$40),"",INDEX($AD$4:$AD$40,MATCH(ROW()-3,$LS$4:$LS$40,0)))</f>
        <v/>
      </c>
      <c r="LU23">
        <f>IF(COUNTIF('Buyer Groups'!DG23:DJ23,0)+COUNTIF('Buyer Groups'!DL23:EN23,0)&gt;0,0,1)</f>
        <v/>
      </c>
      <c r="LV23">
        <f>IF($AI$23="",FALSE,SUMPRODUCT(('Final Calculation Sheet'!$A$4:$A$40=$AI$23)*($LU$6:$LU$42=1))&gt;0)</f>
        <v/>
      </c>
      <c r="LW23">
        <f>$LW$22+--($LV23)</f>
        <v/>
      </c>
      <c r="LX23">
        <f>IF(ROW()-3&gt;MAX($LW$4:$LW$40),"",INDEX($AI$4:$AI$40,MATCH(ROW()-3,$LW$4:$LW$40,0)))</f>
        <v/>
      </c>
      <c r="LY23">
        <f>IF(COUNTIF('Buyer Groups'!DG23:DK23,0)+COUNTIF('Buyer Groups'!DM23:EN23,0)&gt;0,0,1)</f>
        <v/>
      </c>
      <c r="LZ23">
        <f>IF($AN$23="",FALSE,SUMPRODUCT(('Final Calculation Sheet'!$E$4:$E$40=$AN$23)*($LY$6:$LY$42=1))&gt;0)</f>
        <v/>
      </c>
      <c r="MA23">
        <f>$MA$22+--($LZ23)</f>
        <v/>
      </c>
      <c r="MB23">
        <f>IF(ROW()-3&gt;MAX($MA$4:$MA$40),"",INDEX($AN$4:$AN$40,MATCH(ROW()-3,$MA$4:$MA$40,0)))</f>
        <v/>
      </c>
      <c r="MC23">
        <f>IF(COUNTIF('Buyer Groups'!DG23:DL23,0)+COUNTIF('Buyer Groups'!DN23:EN23,0)&gt;0,0,1)</f>
        <v/>
      </c>
      <c r="MD23">
        <f>IF($AS$23="",FALSE,SUMPRODUCT(('Final Calculation Sheet'!$C$4:$C$40=$AS$23)*($MC$6:$MC$42=1))&gt;0)</f>
        <v/>
      </c>
      <c r="ME23">
        <f>$ME$22+--($MD23)</f>
        <v/>
      </c>
      <c r="MF23">
        <f>IF(ROW()-3&gt;MAX($ME$4:$ME$40),"",INDEX($AS$4:$AS$40,MATCH(ROW()-3,$ME$4:$ME$40,0)))</f>
        <v/>
      </c>
      <c r="MG23">
        <f>IF(COUNTIF('Buyer Groups'!DG23:DM23,0)+COUNTIF('Buyer Groups'!DO23:EN23,0)&gt;0,0,1)</f>
        <v/>
      </c>
      <c r="MH23">
        <f>IF($AX$23="",FALSE,SUMPRODUCT(('Final Calculation Sheet'!$H$4:$H$40=$AX$23)*($MG$6:$MG$42=1))&gt;0)</f>
        <v/>
      </c>
      <c r="MI23">
        <f>$MI$22+--($MH23)</f>
        <v/>
      </c>
      <c r="MJ23">
        <f>IF(ROW()-3&gt;MAX($MI$4:$MI$40),"",INDEX($AX$4:$AX$40,MATCH(ROW()-3,$MI$4:$MI$40,0)))</f>
        <v/>
      </c>
      <c r="MK23">
        <f>IF(COUNTIF('Buyer Groups'!DG23:DN23,0)+COUNTIF('Buyer Groups'!DP23:EN23,0)&gt;0,0,1)</f>
        <v/>
      </c>
      <c r="ML23">
        <f>IF($BC$23="",FALSE,SUMPRODUCT(('Final Calculation Sheet'!$I$4:$I$40=$BC$23)*($MK$6:$MK$42=1))&gt;0)</f>
        <v/>
      </c>
      <c r="MM23">
        <f>$MM$22+--($ML23)</f>
        <v/>
      </c>
      <c r="MN23">
        <f>IF(ROW()-3&gt;MAX($MM$4:$MM$40),"",INDEX($BC$4:$BC$40,MATCH(ROW()-3,$MM$4:$MM$40,0)))</f>
        <v/>
      </c>
      <c r="MO23">
        <f>IF(COUNTIF('Buyer Groups'!DG23:DO23,0)+COUNTIF('Buyer Groups'!DQ23:EN23,0)&gt;0,0,1)</f>
        <v/>
      </c>
      <c r="MP23">
        <f>IF($BH$23="",FALSE,SUMPRODUCT(('Final Calculation Sheet'!$J$4:$J$40=$BH$23)*($MO$6:$MO$42=1))&gt;0)</f>
        <v/>
      </c>
      <c r="MQ23">
        <f>$MQ$22+--($MP23)</f>
        <v/>
      </c>
      <c r="MR23">
        <f>IF(ROW()-3&gt;MAX($MQ$4:$MQ$40),"",INDEX($BH$4:$BH$40,MATCH(ROW()-3,$MQ$4:$MQ$40,0)))</f>
        <v/>
      </c>
      <c r="MS23">
        <f>IF(COUNTIF('Buyer Groups'!DG23:DP23,0)+COUNTIF('Buyer Groups'!DR23:EN23,0)&gt;0,0,1)</f>
        <v/>
      </c>
      <c r="MT23">
        <f>IF($BM$23="",FALSE,SUMPRODUCT(('Final Calculation Sheet'!$K$4:$K$40=$BM$23)*($MS$6:$MS$42=1))&gt;0)</f>
        <v/>
      </c>
      <c r="MU23">
        <f>$MU$22+--($MT23)</f>
        <v/>
      </c>
      <c r="MV23">
        <f>IF(ROW()-3&gt;MAX($MU$4:$MU$40),"",INDEX($BM$4:$BM$40,MATCH(ROW()-3,$MU$4:$MU$40,0)))</f>
        <v/>
      </c>
      <c r="MW23">
        <f>IF(COUNTIF('Buyer Groups'!DG23:DQ23,0)+COUNTIF('Buyer Groups'!DS23:EN23,0)&gt;0,0,1)</f>
        <v/>
      </c>
      <c r="MX23">
        <f>IF($BR$23="",FALSE,SUMPRODUCT(('Final Calculation Sheet'!$L$4:$L$40=$BR$23)*($MW$6:$MW$42=1))&gt;0)</f>
        <v/>
      </c>
      <c r="MY23">
        <f>$MY$22+--($MX23)</f>
        <v/>
      </c>
      <c r="MZ23">
        <f>IF(ROW()-3&gt;MAX($MY$4:$MY$40),"",INDEX($BR$4:$BR$40,MATCH(ROW()-3,$MY$4:$MY$40,0)))</f>
        <v/>
      </c>
      <c r="NA23">
        <f>IF(COUNTIF('Buyer Groups'!DG23:DR23,0)+COUNTIF('Buyer Groups'!DT23:EN23,0)&gt;0,0,1)</f>
        <v/>
      </c>
      <c r="NB23">
        <f>IF($BW$23="",FALSE,SUMPRODUCT(('Final Calculation Sheet'!$M$4:$M$40=$BW$23)*($NA$6:$NA$42=1))&gt;0)</f>
        <v/>
      </c>
      <c r="NC23">
        <f>$NC$22+--($NB23)</f>
        <v/>
      </c>
      <c r="ND23">
        <f>IF(ROW()-3&gt;MAX($NC$4:$NC$40),"",INDEX($BW$4:$BW$40,MATCH(ROW()-3,$NC$4:$NC$40,0)))</f>
        <v/>
      </c>
      <c r="NE23">
        <f>IF(COUNTIF('Buyer Groups'!DG23:DS23,0)+COUNTIF('Buyer Groups'!DU23:EN23,0)&gt;0,0,1)</f>
        <v/>
      </c>
      <c r="NF23">
        <f>IF($CB$23="",FALSE,SUMPRODUCT(('Final Calculation Sheet'!$N$4:$N$40=$CB$23)*($NE$6:$NE$42=1))&gt;0)</f>
        <v/>
      </c>
      <c r="NG23">
        <f>$NG$22+--($NF23)</f>
        <v/>
      </c>
      <c r="NH23">
        <f>IF(ROW()-3&gt;MAX($NG$4:$NG$40),"",INDEX($CB$4:$CB$40,MATCH(ROW()-3,$NG$4:$NG$40,0)))</f>
        <v/>
      </c>
      <c r="NI23">
        <f>IF(COUNTIF('Buyer Groups'!DG23:DT23,0)+COUNTIF('Buyer Groups'!DV23:EN23,0)&gt;0,0,1)</f>
        <v/>
      </c>
      <c r="NJ23">
        <f>IF($CG$23="",FALSE,SUMPRODUCT(('Final Calculation Sheet'!$O$4:$O$40=$CG$23)*($NI$6:$NI$42=1))&gt;0)</f>
        <v/>
      </c>
      <c r="NK23">
        <f>$NK$22+--($NJ23)</f>
        <v/>
      </c>
      <c r="NL23">
        <f>IF(ROW()-3&gt;MAX($NK$4:$NK$40),"",INDEX($CG$4:$CG$40,MATCH(ROW()-3,$NK$4:$NK$40,0)))</f>
        <v/>
      </c>
      <c r="NM23">
        <f>IF(COUNTIF('Buyer Groups'!DG23:DU23,0)+COUNTIF('Buyer Groups'!DW23:EN23,0)&gt;0,0,1)</f>
        <v/>
      </c>
      <c r="NN23">
        <f>IF($CL$23="",FALSE,SUMPRODUCT(('Final Calculation Sheet'!$P$4:$P$40=$CL$23)*($NM$6:$NM$42=1))&gt;0)</f>
        <v/>
      </c>
      <c r="NO23">
        <f>$NO$22+--($NN23)</f>
        <v/>
      </c>
      <c r="NP23">
        <f>IF(ROW()-3&gt;MAX($NO$4:$NO$40),"",INDEX($CL$4:$CL$40,MATCH(ROW()-3,$NO$4:$NO$40,0)))</f>
        <v/>
      </c>
      <c r="NQ23">
        <f>IF(COUNTIF('Buyer Groups'!DG23:DV23,0)+COUNTIF('Buyer Groups'!DX23:EN23,0)&gt;0,0,1)</f>
        <v/>
      </c>
      <c r="NR23">
        <f>IF($CQ$23="",FALSE,SUMPRODUCT(('Final Calculation Sheet'!$Q$4:$Q$40=$CQ$23)*($NQ$6:$NQ$42=1))&gt;0)</f>
        <v/>
      </c>
      <c r="NS23">
        <f>$NS$22+--($NR23)</f>
        <v/>
      </c>
      <c r="NT23">
        <f>IF(ROW()-3&gt;MAX($NS$4:$NS$40),"",INDEX($CQ$4:$CQ$40,MATCH(ROW()-3,$NS$4:$NS$40,0)))</f>
        <v/>
      </c>
      <c r="NU23">
        <f>IF(COUNTIF('Buyer Groups'!DG23:DW23,0)+COUNTIF('Buyer Groups'!DY23:EN23,0)&gt;0,0,1)</f>
        <v/>
      </c>
      <c r="NV23">
        <f>IF($CV$23="",FALSE,SUMPRODUCT(('Final Calculation Sheet'!$R$4:$R$40=$CV$23)*($NU$6:$NU$42=1))&gt;0)</f>
        <v/>
      </c>
      <c r="NW23">
        <f>$NW$22+--($NV23)</f>
        <v/>
      </c>
      <c r="NX23">
        <f>IF(ROW()-3&gt;MAX($NW$4:$NW$40),"",INDEX($CV$4:$CV$40,MATCH(ROW()-3,$NW$4:$NW$40,0)))</f>
        <v/>
      </c>
      <c r="NY23">
        <f>IF(COUNTIF('Buyer Groups'!DG23:DX23,0)+COUNTIF('Buyer Groups'!DZ23:EN23,0)&gt;0,0,1)</f>
        <v/>
      </c>
      <c r="NZ23">
        <f>IF($DA$23="",FALSE,SUMPRODUCT(('Final Calculation Sheet'!$S$4:$S$40=$DA$23)*($NY$6:$NY$42=1))&gt;0)</f>
        <v/>
      </c>
      <c r="OA23">
        <f>$OA$22+--($NZ23)</f>
        <v/>
      </c>
      <c r="OB23">
        <f>IF(ROW()-3&gt;MAX($OA$4:$OA$40),"",INDEX($DA$4:$DA$40,MATCH(ROW()-3,$OA$4:$OA$40,0)))</f>
        <v/>
      </c>
      <c r="OC23">
        <f>IF(COUNTIF('Buyer Groups'!DG23:DY23,0)+COUNTIF('Buyer Groups'!EA23:EN23,0)&gt;0,0,1)</f>
        <v/>
      </c>
      <c r="OD23">
        <f>IF($DF$23="",FALSE,SUMPRODUCT(('Final Calculation Sheet'!$T$4:$T$40=$DF$23)*($OC$6:$OC$42=1))&gt;0)</f>
        <v/>
      </c>
      <c r="OE23">
        <f>$OE$22+--($OD23)</f>
        <v/>
      </c>
      <c r="OF23">
        <f>IF(ROW()-3&gt;MAX($OE$4:$OE$40),"",INDEX($DF$4:$DF$40,MATCH(ROW()-3,$OE$4:$OE$40,0)))</f>
        <v/>
      </c>
      <c r="OG23">
        <f>IF(COUNTIF('Buyer Groups'!DG23:DZ23,0)+COUNTIF('Buyer Groups'!EB23:EN23,0)&gt;0,0,1)</f>
        <v/>
      </c>
      <c r="OH23">
        <f>IF($DK$23="",FALSE,SUMPRODUCT(('Final Calculation Sheet'!$U$4:$U$40=$DK$23)*($OG$6:$OG$42=1))&gt;0)</f>
        <v/>
      </c>
      <c r="OI23">
        <f>$OI$22+--($OH23)</f>
        <v/>
      </c>
      <c r="OJ23">
        <f>IF(ROW()-3&gt;MAX($OI$4:$OI$40),"",INDEX($DK$4:$DK$40,MATCH(ROW()-3,$OI$4:$OI$40,0)))</f>
        <v/>
      </c>
      <c r="OK23">
        <f>IF(COUNTIF('Buyer Groups'!DG23:EA23,0)+COUNTIF('Buyer Groups'!EC23:EN23,0)&gt;0,0,1)</f>
        <v/>
      </c>
      <c r="OL23">
        <f>IF($DP$23="",FALSE,SUMPRODUCT(('Final Calculation Sheet'!$V$4:$V$40=$DP$23)*($OK$6:$OK$42=1))&gt;0)</f>
        <v/>
      </c>
      <c r="OM23">
        <f>$OM$22+--($OL23)</f>
        <v/>
      </c>
      <c r="ON23">
        <f>IF(ROW()-3&gt;MAX($OM$4:$OM$40),"",INDEX($DP$4:$DP$40,MATCH(ROW()-3,$OM$4:$OM$40,0)))</f>
        <v/>
      </c>
      <c r="OO23">
        <f>IF(COUNTIF('Buyer Groups'!DG23:EB23,0)+COUNTIF('Buyer Groups'!ED23:EN23,0)&gt;0,0,1)</f>
        <v/>
      </c>
      <c r="OP23">
        <f>IF($DU$23="",FALSE,SUMPRODUCT(('Final Calculation Sheet'!$W$4:$W$40=$DU$23)*($OO$6:$OO$42=1))&gt;0)</f>
        <v/>
      </c>
      <c r="OQ23">
        <f>$OQ$22+--($OP23)</f>
        <v/>
      </c>
      <c r="OR23">
        <f>IF(ROW()-3&gt;MAX($OQ$4:$OQ$40),"",INDEX($DU$4:$DU$40,MATCH(ROW()-3,$OQ$4:$OQ$40,0)))</f>
        <v/>
      </c>
      <c r="OS23">
        <f>IF(COUNTIF('Buyer Groups'!DG23:EC23,0)+COUNTIF('Buyer Groups'!EE23:EN23,0)&gt;0,0,1)</f>
        <v/>
      </c>
      <c r="OT23">
        <f>IF($DZ$23="",FALSE,SUMPRODUCT(('Final Calculation Sheet'!$X$4:$X$40=$DZ$23)*($OS$6:$OS$42=1))&gt;0)</f>
        <v/>
      </c>
      <c r="OU23">
        <f>$OU$22+--($OT23)</f>
        <v/>
      </c>
      <c r="OV23">
        <f>IF(ROW()-3&gt;MAX($OU$4:$OU$40),"",INDEX($DZ$4:$DZ$40,MATCH(ROW()-3,$OU$4:$OU$40,0)))</f>
        <v/>
      </c>
      <c r="OW23">
        <f>IF(COUNTIF('Buyer Groups'!DG23:ED23,0)+COUNTIF('Buyer Groups'!EF23:EN23,0)&gt;0,0,1)</f>
        <v/>
      </c>
      <c r="OX23">
        <f>IF($EE$23="",FALSE,SUMPRODUCT(('Final Calculation Sheet'!$Y$4:$Y$40=$EE$23)*($OW$6:$OW$42=1))&gt;0)</f>
        <v/>
      </c>
      <c r="OY23">
        <f>$OY$22+--($OX23)</f>
        <v/>
      </c>
      <c r="OZ23">
        <f>IF(ROW()-3&gt;MAX($OY$4:$OY$40),"",INDEX($EE$4:$EE$40,MATCH(ROW()-3,$OY$4:$OY$40,0)))</f>
        <v/>
      </c>
      <c r="PA23">
        <f>IF(COUNTIF('Buyer Groups'!DG23:EE23,0)+COUNTIF('Buyer Groups'!EG23:EN23,0)&gt;0,0,1)</f>
        <v/>
      </c>
      <c r="PB23">
        <f>IF($EJ$23="",FALSE,SUMPRODUCT(('Final Calculation Sheet'!$Z$4:$Z$40=$EJ$23)*($PA$6:$PA$42=1))&gt;0)</f>
        <v/>
      </c>
      <c r="PC23">
        <f>$PC$22+--($PB23)</f>
        <v/>
      </c>
      <c r="PD23">
        <f>IF(ROW()-3&gt;MAX($PC$4:$PC$40),"",INDEX($EJ$4:$EJ$40,MATCH(ROW()-3,$PC$4:$PC$40,0)))</f>
        <v/>
      </c>
      <c r="PE23">
        <f>IF(COUNTIF('Buyer Groups'!DG23:EF23,0)+COUNTIF('Buyer Groups'!EH23:EN23,0)&gt;0,0,1)</f>
        <v/>
      </c>
      <c r="PF23">
        <f>IF($EO$23="",FALSE,SUMPRODUCT(('Final Calculation Sheet'!$AA$4:$AA$40=$EO$23)*($PE$6:$PE$42=1))&gt;0)</f>
        <v/>
      </c>
      <c r="PG23">
        <f>$PG$22+--($PF23)</f>
        <v/>
      </c>
      <c r="PH23">
        <f>IF(ROW()-3&gt;MAX($PG$4:$PG$40),"",INDEX($EO$4:$EO$40,MATCH(ROW()-3,$PG$4:$PG$40,0)))</f>
        <v/>
      </c>
      <c r="PI23">
        <f>IF(COUNTIF('Buyer Groups'!DG23:EG23,0)+COUNTIF('Buyer Groups'!EI23:EN23,0)&gt;0,0,1)</f>
        <v/>
      </c>
      <c r="PJ23">
        <f>IF($ET$23="",FALSE,SUMPRODUCT(('Final Calculation Sheet'!$AB$4:$AB$40=$ET$23)*($PI$6:$PI$42=1))&gt;0)</f>
        <v/>
      </c>
      <c r="PK23">
        <f>$PK$22+--($PJ23)</f>
        <v/>
      </c>
      <c r="PL23">
        <f>IF(ROW()-3&gt;MAX($PK$4:$PK$40),"",INDEX($ET$4:$ET$40,MATCH(ROW()-3,$PK$4:$PK$40,0)))</f>
        <v/>
      </c>
      <c r="PM23">
        <f>IF(COUNTIF('Buyer Groups'!DG23:EH23,0)+COUNTIF('Buyer Groups'!EJ23:EN23,0)&gt;0,0,1)</f>
        <v/>
      </c>
      <c r="PN23">
        <f>IF($EY$23="",FALSE,SUMPRODUCT(('Final Calculation Sheet'!$AC$4:$AC$40=$EY$23)*($PM$6:$PM$42=1))&gt;0)</f>
        <v/>
      </c>
      <c r="PO23">
        <f>$PO$22+--($PN23)</f>
        <v/>
      </c>
      <c r="PP23">
        <f>IF(ROW()-3&gt;MAX($PO$4:$PO$40),"",INDEX($EY$4:$EY$40,MATCH(ROW()-3,$PO$4:$PO$40,0)))</f>
        <v/>
      </c>
      <c r="PQ23">
        <f>IF(COUNTIF('Buyer Groups'!DG23:EI23,0)+COUNTIF('Buyer Groups'!EK23:EN23,0)&gt;0,0,1)</f>
        <v/>
      </c>
      <c r="PR23">
        <f>IF($FD$23="",FALSE,SUMPRODUCT(('Final Calculation Sheet'!$AD$4:$AD$40=$FD$23)*($PQ$6:$PQ$42=1))&gt;0)</f>
        <v/>
      </c>
      <c r="PS23">
        <f>$PS$22+--($PR23)</f>
        <v/>
      </c>
      <c r="PT23">
        <f>IF(ROW()-3&gt;MAX($PS$4:$PS$40),"",INDEX($FD$4:$FD$40,MATCH(ROW()-3,$PS$4:$PS$40,0)))</f>
        <v/>
      </c>
      <c r="PU23">
        <f>IF(COUNTIF('Buyer Groups'!DG23:EJ23,0)+COUNTIF('Buyer Groups'!EL23:EN23,0)&gt;0,0,1)</f>
        <v/>
      </c>
      <c r="PV23">
        <f>IF($FX$23="",FALSE,SUMPRODUCT((IF('Final Calculation Sheet'!$AD$4:$AD$40&lt;=5,"SETTLED","OUTSTANDING")=$FX$23)*($PU$6:$PU$42=1))&gt;0)</f>
        <v/>
      </c>
      <c r="PW23">
        <f>$PW$22+--($PV23)</f>
        <v/>
      </c>
      <c r="PX23">
        <f>IF(ROW()-3&gt;MAX($PW$4:$PW$40),"",INDEX($FX$4:$FX$40,MATCH(ROW()-3,$PW$4:$PW$40,0)))</f>
        <v/>
      </c>
      <c r="PY23">
        <f>IF(COUNTIF('Buyer Groups'!DG23:EK23,0)+COUNTIF('Buyer Groups'!EM23:EN23,0)&gt;0,0,1)</f>
        <v/>
      </c>
      <c r="PZ23">
        <f>IF($FI$23="",FALSE,SUMPRODUCT(('Final Calculation Sheet'!$AF$4:$AF$40=$FI$23)*($PY$6:$PY$42=1))&gt;0)</f>
        <v/>
      </c>
      <c r="QA23">
        <f>$QA$22+--($PZ23)</f>
        <v/>
      </c>
      <c r="QB23">
        <f>IF(ROW()-3&gt;MAX($QA$4:$QA$40),"",INDEX($FI$4:$FI$40,MATCH(ROW()-3,$QA$4:$QA$40,0)))</f>
        <v/>
      </c>
      <c r="QC23">
        <f>IF(COUNTIF('Buyer Groups'!DG23:EL23,0)+COUNTIF('Buyer Groups'!EN23:EN23,0)&gt;0,0,1)</f>
        <v/>
      </c>
      <c r="QD23">
        <f>IF($FN$23="",FALSE,SUMPRODUCT(('Final Calculation Sheet'!$AG$4:$AG$40=$FN$23)*($QC$6:$QC$42=1))&gt;0)</f>
        <v/>
      </c>
      <c r="QE23">
        <f>$QE$22+--($QD23)</f>
        <v/>
      </c>
      <c r="QF23">
        <f>IF(ROW()-3&gt;MAX($QE$4:$QE$40),"",INDEX($FN$4:$FN$40,MATCH(ROW()-3,$QE$4:$QE$40,0)))</f>
        <v/>
      </c>
      <c r="QG23">
        <f>IF(COUNTIF('Buyer Groups'!DG23:EM23,0)&gt;0,0,1)</f>
        <v/>
      </c>
      <c r="QH23">
        <f>IF($FS$23="",FALSE,SUMPRODUCT(('Final Calculation Sheet'!$AH$4:$AH$40=$FS$23)*($QG$6:$QG$42=1))&gt;0)</f>
        <v/>
      </c>
      <c r="QI23">
        <f>$QI$22+--($QH23)</f>
        <v/>
      </c>
      <c r="QJ23">
        <f>IF(ROW()-3&gt;MAX($QI$4:$QI$40),"",INDEX($FS$4:$FS$40,MATCH(ROW()-3,$QI$4:$QI$40,0)))</f>
        <v/>
      </c>
      <c r="QK23" t="str">
        <f>IF('Final Calculation Sheet'!$AH$23="","",'Final Calculation Sheet'!$AH$23)</f>
      </c>
      <c r="QL23" t="str">
        <f>IF(QK23="","",COUNTIFS(QK$4:QK$40,"&lt;"&amp;QK23,QK$4:QK$40,"&lt;&gt;"&amp;"")+COUNTIF(QK$4:QK23,QK23))</f>
      </c>
      <c r="QM23" t="str">
        <f>IF(ROW()-3&gt;COUNTIF(QK$4:QK$40,"&lt;&gt;"&amp;""),"",INDEX(QK$4:QK$40,MATCH(ROW()-3,QL$4:QL$40,0)))</f>
      </c>
      <c r="QN23" t="str">
        <f>=QN22+F(AND(QM23&lt;&gt;"",COUNTIF(QM$4:QM23,QM23)=1),1,0)</f>
      </c>
      <c r="QO23" t="str">
        <f>IF(ROW()-3&gt;MAX(QN$4:QN$40),"",INDEX(QM$4:QM$40,MATCH(ROW()-3,QN$4:QN$40,0)))</f>
      </c>
      <c r="QP23" t="str">
        <f>IF(COUNTIF('Final Calculation Sheet'!$AM23:$BS23,0)&gt;0,0,1)</f>
      </c>
      <c r="QQ23" t="str">
        <f>IF($AI$23="",FALSE,SUMPRODUCT(('Final Calculation Sheet'!$A$4:$A$40=$AI$23)*($QP$4:$QP$40=1))&gt;0)</f>
      </c>
      <c r="QR23" t="str">
        <f>=$QR22+--($QQ23)</f>
      </c>
      <c r="QS23" t="str">
        <f>IF(ROW()-3&gt;MAX($QR$4:$QR$40),"",INDEX($AI$4:$AI$40,MATCH(ROW()-3,$QR$4:$QR$40,0)))</f>
      </c>
      <c r="QT23" t="str">
        <f>IF(COUNTIF('Final Calculation Sheet'!$AL23:$AL23,0)+COUNTIF('Final Calculation Sheet'!$AN23:$BS23,0)&gt;0,0,1)</f>
      </c>
      <c r="QU23" t="str">
        <f>IF($Y$23="",FALSE,SUMPRODUCT(('Final Calculation Sheet'!$B$4:$B$40=$Y$23)*($QT$4:$QT$40=1))&gt;0)</f>
      </c>
      <c r="QV23" t="str">
        <f>=$QV22+--($QU23)</f>
      </c>
      <c r="QW23" t="str">
        <f>IF(ROW()-3&gt;MAX($QV$4:$QV$40),"",INDEX($Y$4:$Y$40,MATCH(ROW()-3,$QV$4:$QV$40,0)))</f>
      </c>
      <c r="QX23" t="str">
        <f>IF(COUNTIF('Final Calculation Sheet'!$AL23:$AM23,0)+COUNTIF('Final Calculation Sheet'!$AO23:$BS23,0)&gt;0,0,1)</f>
      </c>
      <c r="QY23" t="str">
        <f>IF($AS$23="",FALSE,SUMPRODUCT(('Final Calculation Sheet'!$C$4:$C$40=$AS$23)*($QX$4:$QX$40=1))&gt;0)</f>
      </c>
      <c r="QZ23" t="str">
        <f>=$QZ22+--($QY23)</f>
      </c>
      <c r="RA23" t="str">
        <f>IF(ROW()-3&gt;MAX($QZ$4:$QZ$40),"",INDEX($AS$4:$AS$40,MATCH(ROW()-3,$QZ$4:$QZ$40,0)))</f>
      </c>
      <c r="RB23" t="str">
        <f>IF(COUNTIF('Final Calculation Sheet'!$AL23:$AN23,0)+COUNTIF('Final Calculation Sheet'!$AP23:$BS23,0)&gt;0,0,1)</f>
      </c>
      <c r="RC23" t="str">
        <f>IF($AD$23="",FALSE,SUMPRODUCT(('Final Calculation Sheet'!$D$4:$D$40=$AD$23)*($RB$4:$RB$40=1))&gt;0)</f>
      </c>
      <c r="RD23" t="str">
        <f>=$RD22+--($RC23)</f>
      </c>
      <c r="RE23" t="str">
        <f>IF(ROW()-3&gt;MAX($RD$4:$RD$40),"",INDEX($AD$4:$AD$40,MATCH(ROW()-3,$RD$4:$RD$40,0)))</f>
      </c>
      <c r="RF23" t="str">
        <f>IF(COUNTIF('Final Calculation Sheet'!$AL23:$AO23,0)+COUNTIF('Final Calculation Sheet'!$AQ23:$BS23,0)&gt;0,0,1)</f>
      </c>
      <c r="RG23" t="str">
        <f>IF($AN$23="",FALSE,SUMPRODUCT(('Final Calculation Sheet'!$E$4:$E$40=$AN$23)*($RF$4:$RF$40=1))&gt;0)</f>
      </c>
      <c r="RH23" t="str">
        <f>=$RH22+--($RG23)</f>
      </c>
      <c r="RI23" t="str">
        <f>IF(ROW()-3&gt;MAX($RH$4:$RH$40),"",INDEX($AN$4:$AN$40,MATCH(ROW()-3,$RH$4:$RH$40,0)))</f>
      </c>
      <c r="RJ23" t="str">
        <f>IF(COUNTIF('Final Calculation Sheet'!$AL23:$AP23,0)+COUNTIF('Final Calculation Sheet'!$AR23:$BS23,0)&gt;0,0,1)</f>
      </c>
      <c r="RK23" t="str">
        <f>IF($O$23="",FALSE,SUMPRODUCT(('Final Calculation Sheet'!$F$4:$F$40=$O$23)*($RJ$4:$RJ$40=1))&gt;0)</f>
      </c>
      <c r="RL23" t="str">
        <f>=$RL22+--($RK23)</f>
      </c>
      <c r="RM23" t="str">
        <f>IF(ROW()-3&gt;MAX($RL$4:$RL$40),"",INDEX($O$4:$O$40,MATCH(ROW()-3,$RL$4:$RL$40,0)))</f>
      </c>
      <c r="RN23" t="str">
        <f>IF(COUNTIF('Final Calculation Sheet'!$AL23:$AQ23,0)+COUNTIF('Final Calculation Sheet'!$AS23:$BS23,0)&gt;0,0,1)</f>
      </c>
      <c r="RO23" t="str">
        <f>IF($T$23="",FALSE,SUMPRODUCT(('Final Calculation Sheet'!$G$4:$G$40=$T$23)*($RN$4:$RN$40=1))&gt;0)</f>
      </c>
      <c r="RP23" t="str">
        <f>=$RP22+--($RO23)</f>
      </c>
      <c r="RQ23" t="str">
        <f>IF(ROW()-3&gt;MAX($RP$4:$RP$40),"",INDEX($T$4:$T$40,MATCH(ROW()-3,$RP$4:$RP$40,0)))</f>
      </c>
      <c r="RR23" t="str">
        <f>IF(COUNTIF('Final Calculation Sheet'!$AL23:$AR23,0)+COUNTIF('Final Calculation Sheet'!$AT23:$BS23,0)&gt;0,0,1)</f>
      </c>
      <c r="RS23" t="str">
        <f>IF($AX$23="",FALSE,SUMPRODUCT(('Final Calculation Sheet'!$H$4:$H$40=$AX$23)*($RR$4:$RR$40=1))&gt;0)</f>
      </c>
      <c r="RT23" t="str">
        <f>=$RT22+--($RS23)</f>
      </c>
      <c r="RU23" t="str">
        <f>IF(ROW()-3&gt;MAX($RT$4:$RT$40),"",INDEX($AX$4:$AX$40,MATCH(ROW()-3,$RT$4:$RT$40,0)))</f>
      </c>
      <c r="RV23" t="str">
        <f>IF(COUNTIF('Final Calculation Sheet'!$AL23:$AS23,0)+COUNTIF('Final Calculation Sheet'!$AU23:$BS23,0)&gt;0,0,1)</f>
      </c>
      <c r="RW23" t="str">
        <f>IF($BC$23="",FALSE,SUMPRODUCT(('Final Calculation Sheet'!$I$4:$I$40=$BC$23)*($RV$4:$RV$40=1))&gt;0)</f>
      </c>
      <c r="RX23" t="str">
        <f>=$RX22+--($RW23)</f>
      </c>
      <c r="RY23" t="str">
        <f>IF(ROW()-3&gt;MAX($RX$4:$RX$40),"",INDEX($BC$4:$BC$40,MATCH(ROW()-3,$RX$4:$RX$40,0)))</f>
      </c>
      <c r="RZ23" t="str">
        <f>IF(COUNTIF('Final Calculation Sheet'!$AL23:$AT23,0)+COUNTIF('Final Calculation Sheet'!$AV23:$BS23,0)&gt;0,0,1)</f>
      </c>
      <c r="SA23" t="str">
        <f>IF($BH$23="",FALSE,SUMPRODUCT(('Final Calculation Sheet'!$J$4:$J$40=$BH$23)*($RZ$4:$RZ$40=1))&gt;0)</f>
      </c>
      <c r="SB23" t="str">
        <f>=$SB22+--($SA23)</f>
      </c>
      <c r="SC23" t="str">
        <f>IF(ROW()-3&gt;MAX($SB$4:$SB$40),"",INDEX($BH$4:$BH$40,MATCH(ROW()-3,$SB$4:$SB$40,0)))</f>
      </c>
      <c r="SD23" t="str">
        <f>IF(COUNTIF('Final Calculation Sheet'!$AL23:$AU23,0)+COUNTIF('Final Calculation Sheet'!$AW23:$BS23,0)&gt;0,0,1)</f>
      </c>
      <c r="SE23" t="str">
        <f>IF($BM$23="",FALSE,SUMPRODUCT(('Final Calculation Sheet'!$K$4:$K$40=$BM$23)*($SD$4:$SD$40=1))&gt;0)</f>
      </c>
      <c r="SF23" t="str">
        <f>=$SF22+--($SE23)</f>
      </c>
      <c r="SG23" t="str">
        <f>IF(ROW()-3&gt;MAX($SF$4:$SF$40),"",INDEX($BM$4:$BM$40,MATCH(ROW()-3,$SF$4:$SF$40,0)))</f>
      </c>
      <c r="SH23" t="str">
        <f>IF(COUNTIF('Final Calculation Sheet'!$AL23:$AV23,0)+COUNTIF('Final Calculation Sheet'!$AX23:$BS23,0)&gt;0,0,1)</f>
      </c>
      <c r="SI23" t="str">
        <f>IF($BR$23="",FALSE,SUMPRODUCT(('Final Calculation Sheet'!$L$4:$L$40=$BR$23)*($SH$4:$SH$40=1))&gt;0)</f>
      </c>
      <c r="SJ23" t="str">
        <f>=$SJ22+--($SI23)</f>
      </c>
      <c r="SK23" t="str">
        <f>IF(ROW()-3&gt;MAX($SJ$4:$SJ$40),"",INDEX($BR$4:$BR$40,MATCH(ROW()-3,$SJ$4:$SJ$40,0)))</f>
      </c>
      <c r="SL23" t="str">
        <f>IF(COUNTIF('Final Calculation Sheet'!$AL23:$AW23,0)+COUNTIF('Final Calculation Sheet'!$AY23:$BS23,0)&gt;0,0,1)</f>
      </c>
      <c r="SM23" t="str">
        <f>IF($BW$23="",FALSE,SUMPRODUCT(('Final Calculation Sheet'!$M$4:$M$40=$BW$23)*($SL$4:$SL$40=1))&gt;0)</f>
      </c>
      <c r="SN23" t="str">
        <f>=$SN22+--($SM23)</f>
      </c>
      <c r="SO23" t="str">
        <f>IF(ROW()-3&gt;MAX($SN$4:$SN$40),"",INDEX($BW$4:$BW$40,MATCH(ROW()-3,$SN$4:$SN$40,0)))</f>
      </c>
      <c r="SP23" t="str">
        <f>IF(COUNTIF('Final Calculation Sheet'!$AL23:$AX23,0)+COUNTIF('Final Calculation Sheet'!$AZ23:$BS23,0)&gt;0,0,1)</f>
      </c>
      <c r="SQ23" t="str">
        <f>IF($CB$23="",FALSE,SUMPRODUCT(('Final Calculation Sheet'!$N$4:$N$40=$CB$23)*($SP$4:$SP$40=1))&gt;0)</f>
      </c>
      <c r="SR23" t="str">
        <f>=$SR22+--($SQ23)</f>
      </c>
      <c r="SS23" t="str">
        <f>IF(ROW()-3&gt;MAX($SR$4:$SR$40),"",INDEX($CB$4:$CB$40,MATCH(ROW()-3,$SR$4:$SR$40,0)))</f>
      </c>
      <c r="ST23" t="str">
        <f>IF(COUNTIF('Final Calculation Sheet'!$AL23:$AY23,0)+COUNTIF('Final Calculation Sheet'!$BA23:$BS23,0)&gt;0,0,1)</f>
      </c>
      <c r="SU23" t="str">
        <f>IF($CG$23="",FALSE,SUMPRODUCT(('Final Calculation Sheet'!$O$4:$O$40=$CG$23)*($ST$4:$ST$40=1))&gt;0)</f>
      </c>
      <c r="SV23" t="str">
        <f>=$SV22+--($SU23)</f>
      </c>
      <c r="SW23" t="str">
        <f>IF(ROW()-3&gt;MAX($SV$4:$SV$40),"",INDEX($CG$4:$CG$40,MATCH(ROW()-3,$SV$4:$SV$40,0)))</f>
      </c>
      <c r="SX23" t="str">
        <f>IF(COUNTIF('Final Calculation Sheet'!$AL23:$AZ23,0)+COUNTIF('Final Calculation Sheet'!$BB23:$BS23,0)&gt;0,0,1)</f>
      </c>
      <c r="SY23" t="str">
        <f>IF($CL$23="",FALSE,SUMPRODUCT(('Final Calculation Sheet'!$P$4:$P$40=$CL$23)*($SX$4:$SX$40=1))&gt;0)</f>
      </c>
      <c r="SZ23" t="str">
        <f>=$SZ22+--($SY23)</f>
      </c>
      <c r="TA23" t="str">
        <f>IF(ROW()-3&gt;MAX($SZ$4:$SZ$40),"",INDEX($CL$4:$CL$40,MATCH(ROW()-3,$SZ$4:$SZ$40,0)))</f>
      </c>
      <c r="TB23" t="str">
        <f>IF(COUNTIF('Final Calculation Sheet'!$AL23:$BA23,0)+COUNTIF('Final Calculation Sheet'!$BC23:$BS23,0)&gt;0,0,1)</f>
      </c>
      <c r="TC23" t="str">
        <f>IF($CQ$23="",FALSE,SUMPRODUCT(('Final Calculation Sheet'!$Q$4:$Q$40=$CQ$23)*($TB$4:$TB$40=1))&gt;0)</f>
      </c>
      <c r="TD23" t="str">
        <f>=$TD22+--($TC23)</f>
      </c>
      <c r="TE23" t="str">
        <f>IF(ROW()-3&gt;MAX($TD$4:$TD$40),"",INDEX($CQ$4:$CQ$40,MATCH(ROW()-3,$TD$4:$TD$40,0)))</f>
      </c>
      <c r="TF23" t="str">
        <f>IF(COUNTIF('Final Calculation Sheet'!$AL23:$BB23,0)+COUNTIF('Final Calculation Sheet'!$BD23:$BS23,0)&gt;0,0,1)</f>
      </c>
      <c r="TG23" t="str">
        <f>IF($CV$23="",FALSE,SUMPRODUCT(('Final Calculation Sheet'!$R$4:$R$40=$CV$23)*($TF$4:$TF$40=1))&gt;0)</f>
      </c>
      <c r="TH23" t="str">
        <f>=$TH22+--($TG23)</f>
      </c>
      <c r="TI23" t="str">
        <f>IF(ROW()-3&gt;MAX($TH$4:$TH$40),"",INDEX($CV$4:$CV$40,MATCH(ROW()-3,$TH$4:$TH$40,0)))</f>
      </c>
      <c r="TJ23" t="str">
        <f>IF(COUNTIF('Final Calculation Sheet'!$AL23:$BC23,0)+COUNTIF('Final Calculation Sheet'!$BE23:$BS23,0)&gt;0,0,1)</f>
      </c>
      <c r="TK23" t="str">
        <f>IF($DA$23="",FALSE,SUMPRODUCT(('Final Calculation Sheet'!$S$4:$S$40=$DA$23)*($TJ$4:$TJ$40=1))&gt;0)</f>
      </c>
      <c r="TL23" t="str">
        <f>=$TL22+--($TK23)</f>
      </c>
      <c r="TM23" t="str">
        <f>IF(ROW()-3&gt;MAX($TL$4:$TL$40),"",INDEX($DA$4:$DA$40,MATCH(ROW()-3,$TL$4:$TL$40,0)))</f>
      </c>
      <c r="TN23" t="str">
        <f>IF(COUNTIF('Final Calculation Sheet'!$AL23:$BD23,0)+COUNTIF('Final Calculation Sheet'!$BF23:$BS23,0)&gt;0,0,1)</f>
      </c>
      <c r="TO23" t="str">
        <f>IF($DF$23="",FALSE,SUMPRODUCT(('Final Calculation Sheet'!$T$4:$T$40=$DF$23)*($TN$4:$TN$40=1))&gt;0)</f>
      </c>
      <c r="TP23" t="str">
        <f>=$TP22+--($TO23)</f>
      </c>
      <c r="TQ23" t="str">
        <f>IF(ROW()-3&gt;MAX($TP$4:$TP$40),"",INDEX($DF$4:$DF$40,MATCH(ROW()-3,$TP$4:$TP$40,0)))</f>
      </c>
      <c r="TR23" t="str">
        <f>IF(COUNTIF('Final Calculation Sheet'!$AL23:$BE23,0)+COUNTIF('Final Calculation Sheet'!$BG23:$BS23,0)&gt;0,0,1)</f>
      </c>
      <c r="TS23" t="str">
        <f>IF($DK$23="",FALSE,SUMPRODUCT(('Final Calculation Sheet'!$U$4:$U$40=$DK$23)*($TR$4:$TR$40=1))&gt;0)</f>
      </c>
      <c r="TT23" t="str">
        <f>=$TT22+--($TS23)</f>
      </c>
      <c r="TU23" t="str">
        <f>IF(ROW()-3&gt;MAX($TT$4:$TT$40),"",INDEX($DK$4:$DK$40,MATCH(ROW()-3,$TT$4:$TT$40,0)))</f>
      </c>
      <c r="TV23" t="str">
        <f>IF(COUNTIF('Final Calculation Sheet'!$AL23:$BF23,0)+COUNTIF('Final Calculation Sheet'!$BH23:$BS23,0)&gt;0,0,1)</f>
      </c>
      <c r="TW23" t="str">
        <f>IF($DP$23="",FALSE,SUMPRODUCT(('Final Calculation Sheet'!$V$4:$V$40=$DP$23)*($TV$4:$TV$40=1))&gt;0)</f>
      </c>
      <c r="TX23" t="str">
        <f>=$TX22+--($TW23)</f>
      </c>
      <c r="TY23" t="str">
        <f>IF(ROW()-3&gt;MAX($TX$4:$TX$40),"",INDEX($DP$4:$DP$40,MATCH(ROW()-3,$TX$4:$TX$40,0)))</f>
      </c>
      <c r="TZ23" t="str">
        <f>IF(COUNTIF('Final Calculation Sheet'!$AL23:$BG23,0)+COUNTIF('Final Calculation Sheet'!$BI23:$BS23,0)&gt;0,0,1)</f>
      </c>
      <c r="UA23" t="str">
        <f>IF($DU$23="",FALSE,SUMPRODUCT(('Final Calculation Sheet'!$W$4:$W$40=$DU$23)*($TZ$4:$TZ$40=1))&gt;0)</f>
      </c>
      <c r="UB23" t="str">
        <f>=$UB22+--($UA23)</f>
      </c>
      <c r="UC23" t="str">
        <f>IF(ROW()-3&gt;MAX($UB$4:$UB$40),"",INDEX($DU$4:$DU$40,MATCH(ROW()-3,$UB$4:$UB$40,0)))</f>
      </c>
      <c r="UD23" t="str">
        <f>IF(COUNTIF('Final Calculation Sheet'!$AL23:$BH23,0)+COUNTIF('Final Calculation Sheet'!$BJ23:$BS23,0)&gt;0,0,1)</f>
      </c>
      <c r="UE23" t="str">
        <f>IF($DZ$23="",FALSE,SUMPRODUCT(('Final Calculation Sheet'!$X$4:$X$40=$DZ$23)*($UD$4:$UD$40=1))&gt;0)</f>
      </c>
      <c r="UF23" t="str">
        <f>=$UF22+--($UE23)</f>
      </c>
      <c r="UG23" t="str">
        <f>IF(ROW()-3&gt;MAX($UF$4:$UF$40),"",INDEX($DZ$4:$DZ$40,MATCH(ROW()-3,$UF$4:$UF$40,0)))</f>
      </c>
      <c r="UH23" t="str">
        <f>IF(COUNTIF('Final Calculation Sheet'!$AL23:$BI23,0)+COUNTIF('Final Calculation Sheet'!$BK23:$BS23,0)&gt;0,0,1)</f>
      </c>
      <c r="UI23" t="str">
        <f>IF($EE$23="",FALSE,SUMPRODUCT(('Final Calculation Sheet'!$Y$4:$Y$40=$EE$23)*($UH$4:$UH$40=1))&gt;0)</f>
      </c>
      <c r="UJ23" t="str">
        <f>=$UJ22+--($UI23)</f>
      </c>
      <c r="UK23" t="str">
        <f>IF(ROW()-3&gt;MAX($UJ$4:$UJ$40),"",INDEX($EE$4:$EE$40,MATCH(ROW()-3,$UJ$4:$UJ$40,0)))</f>
      </c>
      <c r="UL23" t="str">
        <f>IF(COUNTIF('Final Calculation Sheet'!$AL23:$BJ23,0)+COUNTIF('Final Calculation Sheet'!$BL23:$BS23,0)&gt;0,0,1)</f>
      </c>
      <c r="UM23" t="str">
        <f>IF($EJ$23="",FALSE,SUMPRODUCT(('Final Calculation Sheet'!$Z$4:$Z$40=$EJ$23)*($UL$4:$UL$40=1))&gt;0)</f>
      </c>
      <c r="UN23" t="str">
        <f>=$UN22+--($UM23)</f>
      </c>
      <c r="UO23" t="str">
        <f>IF(ROW()-3&gt;MAX($UN$4:$UN$40),"",INDEX($EJ$4:$EJ$40,MATCH(ROW()-3,$UN$4:$UN$40,0)))</f>
      </c>
      <c r="UP23" t="str">
        <f>IF(COUNTIF('Final Calculation Sheet'!$AL23:$BK23,0)+COUNTIF('Final Calculation Sheet'!$BM23:$BS23,0)&gt;0,0,1)</f>
      </c>
      <c r="UQ23" t="str">
        <f>IF($EO$23="",FALSE,SUMPRODUCT(('Final Calculation Sheet'!$AA$4:$AA$40=$EO$23)*($UP$4:$UP$40=1))&gt;0)</f>
      </c>
      <c r="UR23" t="str">
        <f>=$UR22+--($UQ23)</f>
      </c>
      <c r="US23" t="str">
        <f>IF(ROW()-3&gt;MAX($UR$4:$UR$40),"",INDEX($EO$4:$EO$40,MATCH(ROW()-3,$UR$4:$UR$40,0)))</f>
      </c>
      <c r="UT23" t="str">
        <f>IF(COUNTIF('Final Calculation Sheet'!$AL23:$BL23,0)+COUNTIF('Final Calculation Sheet'!$BN23:$BS23,0)&gt;0,0,1)</f>
      </c>
      <c r="UU23" t="str">
        <f>IF($ET$23="",FALSE,SUMPRODUCT(('Final Calculation Sheet'!$AB$4:$AB$40=$ET$23)*($UT$4:$UT$40=1))&gt;0)</f>
      </c>
      <c r="UV23" t="str">
        <f>=$UV22+--($UU23)</f>
      </c>
      <c r="UW23" t="str">
        <f>IF(ROW()-3&gt;MAX($UV$4:$UV$40),"",INDEX($ET$4:$ET$40,MATCH(ROW()-3,$UV$4:$UV$40,0)))</f>
      </c>
      <c r="UX23" t="str">
        <f>IF(COUNTIF('Final Calculation Sheet'!$AL23:$BM23,0)+COUNTIF('Final Calculation Sheet'!$BO23:$BS23,0)&gt;0,0,1)</f>
      </c>
      <c r="UY23" t="str">
        <f>IF($EY$23="",FALSE,SUMPRODUCT(('Final Calculation Sheet'!$AC$4:$AC$40=$EY$23)*($UX$4:$UX$40=1))&gt;0)</f>
      </c>
      <c r="UZ23" t="str">
        <f>=$UZ22+--($UY23)</f>
      </c>
      <c r="VA23" t="str">
        <f>IF(ROW()-3&gt;MAX($UZ$4:$UZ$40),"",INDEX($EY$4:$EY$40,MATCH(ROW()-3,$UZ$4:$UZ$40,0)))</f>
      </c>
      <c r="VB23" t="str">
        <f>IF(COUNTIF('Final Calculation Sheet'!$AL23:$BN23,0)+COUNTIF('Final Calculation Sheet'!$BP23:$BS23,0)&gt;0,0,1)</f>
      </c>
      <c r="VC23" t="str">
        <f>IF($FD$23="",FALSE,SUMPRODUCT(('Final Calculation Sheet'!$AD$4:$AD$40=$FD$23)*($VB$4:$VB$40=1))&gt;0)</f>
      </c>
      <c r="VD23" t="str">
        <f>=$VD22+--($VC23)</f>
      </c>
      <c r="VE23" t="str">
        <f>IF(ROW()-3&gt;MAX($VD$4:$VD$40),"",INDEX($FD$4:$FD$40,MATCH(ROW()-3,$VD$4:$VD$40,0)))</f>
      </c>
      <c r="VF23" t="str">
        <f>IF(COUNTIF('Final Calculation Sheet'!$AL23:$BO23,0)+COUNTIF('Final Calculation Sheet'!$BQ23:$BS23,0)&gt;0,0,1)</f>
      </c>
      <c r="VG23" t="str">
        <f>IF($FI$23="",FALSE,SUMPRODUCT(('Final Calculation Sheet'!$AE$4:$AE$40=$FI$23)*($VF$4:$VF$40=1))&gt;0)</f>
      </c>
      <c r="VH23" t="str">
        <f>=$VH22+--($VG23)</f>
      </c>
      <c r="VI23" t="str">
        <f>IF(ROW()-3&gt;MAX($VH$4:$VH$40),"",INDEX($FI$4:$FI$40,MATCH(ROW()-3,$VH$4:$VH$40,0)))</f>
      </c>
      <c r="VJ23" t="str">
        <f>IF(COUNTIF('Final Calculation Sheet'!$AL23:$BP23,0)+COUNTIF('Final Calculation Sheet'!$BR23:$BS23,0)&gt;0,0,1)</f>
      </c>
      <c r="VK23" t="str">
        <f>IF($FN$23="",FALSE,SUMPRODUCT(('Final Calculation Sheet'!$AF$4:$AF$40=$FN$23)*($VJ$4:$VJ$40=1))&gt;0)</f>
      </c>
      <c r="VL23" t="str">
        <f>=$VL22+--($VK23)</f>
      </c>
      <c r="VM23" t="str">
        <f>IF(ROW()-3&gt;MAX($VL$4:$VL$40),"",INDEX($FN$4:$FN$40,MATCH(ROW()-3,$VL$4:$VL$40,0)))</f>
      </c>
      <c r="VN23" t="str">
        <f>IF(COUNTIF('Final Calculation Sheet'!$AL23:$BQ23,0)+COUNTIF('Final Calculation Sheet'!$BS23:$BS23,0)&gt;0,0,1)</f>
      </c>
      <c r="VO23" t="str">
        <f>IF($FS$23="",FALSE,SUMPRODUCT(('Final Calculation Sheet'!$AG$4:$AG$40=$FS$23)*($VN$4:$VN$40=1))&gt;0)</f>
      </c>
      <c r="VP23" t="str">
        <f>=$VP22+--($VO23)</f>
      </c>
      <c r="VQ23" t="str">
        <f>IF(ROW()-3&gt;MAX($VP$4:$VP$40),"",INDEX($FS$4:$FS$40,MATCH(ROW()-3,$VP$4:$VP$40,0)))</f>
      </c>
      <c r="VR23" t="str">
        <f>IF(COUNTIF('Final Calculation Sheet'!$AL23:$BR23,0)&gt;0,0,1)</f>
      </c>
      <c r="VS23" t="str">
        <f>IF($QO$23="",FALSE,SUMPRODUCT(('Final Calculation Sheet'!$AH$4:$AH$40=$QO$23)*($VR$4:$VR$40=1))&gt;0)</f>
      </c>
      <c r="VT23" t="str">
        <f>=$VT22+--($VS23)</f>
      </c>
      <c r="VU23" t="str">
        <f>IF(ROW()-3&gt;MAX($VT$4:$VT$40),"",INDEX($QO$4:$QO$40,MATCH(ROW()-3,$VT$4:$VT$40,0)))</f>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IF(ROW()-3&gt;MAX($LC$4:$LC$40),"",INDEX($FS$4:$FS$40,MATCH(ROW()-3,$LC$4:$LC$40,0)))</f>
        <v/>
      </c>
      <c r="LE24">
        <f>IF(COUNTIF('Buyer Groups'!DH24:EN24,0)&gt;0,0,1)</f>
        <v/>
      </c>
      <c r="LF24">
        <f>IF($O$24="",FALSE,SUMPRODUCT(('Final Calculation Sheet'!$F$4:$F$40=$O$24)*($LE$6:$LE$42=1))&gt;0)</f>
        <v/>
      </c>
      <c r="LG24">
        <f>$LG$23+--($LF24)</f>
        <v/>
      </c>
      <c r="LH24">
        <f>IF(ROW()-3&gt;MAX($LG$4:$LG$40),"",INDEX($O$4:$O$40,MATCH(ROW()-3,$LG$4:$LG$40,0)))</f>
        <v/>
      </c>
      <c r="LI24">
        <f>IF(COUNTIF('Buyer Groups'!DG24:DG24,0)+COUNTIF('Buyer Groups'!DI24:EN24,0)&gt;0,0,1)</f>
        <v/>
      </c>
      <c r="LJ24">
        <f>IF($T$24="",FALSE,SUMPRODUCT(('Final Calculation Sheet'!$G$4:$G$40=$T$24)*($LI$6:$LI$42=1))&gt;0)</f>
        <v/>
      </c>
      <c r="LK24">
        <f>$LK$23+--($LJ24)</f>
        <v/>
      </c>
      <c r="LL24">
        <f>IF(ROW()-3&gt;MAX($LK$4:$LK$40),"",INDEX($T$4:$T$40,MATCH(ROW()-3,$LK$4:$LK$40,0)))</f>
        <v/>
      </c>
      <c r="LM24">
        <f>IF(COUNTIF('Buyer Groups'!DG24:DH24,0)+COUNTIF('Buyer Groups'!DJ24:EN24,0)&gt;0,0,1)</f>
        <v/>
      </c>
      <c r="LN24">
        <f>IF($Y$24="",FALSE,SUMPRODUCT(('Final Calculation Sheet'!$B$4:$B$40=$Y$24)*($LM$6:$LM$42=1))&gt;0)</f>
        <v/>
      </c>
      <c r="LO24">
        <f>$LO$23+--($LN24)</f>
        <v/>
      </c>
      <c r="LP24">
        <f>IF(ROW()-3&gt;MAX($LO$4:$LO$40),"",INDEX($Y$4:$Y$40,MATCH(ROW()-3,$LO$4:$LO$40,0)))</f>
        <v/>
      </c>
      <c r="LQ24">
        <f>IF(COUNTIF('Buyer Groups'!DG24:DI24,0)+COUNTIF('Buyer Groups'!DK24:EN24,0)&gt;0,0,1)</f>
        <v/>
      </c>
      <c r="LR24">
        <f>IF($AD$24="",FALSE,SUMPRODUCT(('Final Calculation Sheet'!$D$4:$D$40=$AD$24)*($LQ$6:$LQ$42=1))&gt;0)</f>
        <v/>
      </c>
      <c r="LS24">
        <f>$LS$23+--($LR24)</f>
        <v/>
      </c>
      <c r="LT24">
        <f>IF(ROW()-3&gt;MAX($LS$4:$LS$40),"",INDEX($AD$4:$AD$40,MATCH(ROW()-3,$LS$4:$LS$40,0)))</f>
        <v/>
      </c>
      <c r="LU24">
        <f>IF(COUNTIF('Buyer Groups'!DG24:DJ24,0)+COUNTIF('Buyer Groups'!DL24:EN24,0)&gt;0,0,1)</f>
        <v/>
      </c>
      <c r="LV24">
        <f>IF($AI$24="",FALSE,SUMPRODUCT(('Final Calculation Sheet'!$A$4:$A$40=$AI$24)*($LU$6:$LU$42=1))&gt;0)</f>
        <v/>
      </c>
      <c r="LW24">
        <f>$LW$23+--($LV24)</f>
        <v/>
      </c>
      <c r="LX24">
        <f>IF(ROW()-3&gt;MAX($LW$4:$LW$40),"",INDEX($AI$4:$AI$40,MATCH(ROW()-3,$LW$4:$LW$40,0)))</f>
        <v/>
      </c>
      <c r="LY24">
        <f>IF(COUNTIF('Buyer Groups'!DG24:DK24,0)+COUNTIF('Buyer Groups'!DM24:EN24,0)&gt;0,0,1)</f>
        <v/>
      </c>
      <c r="LZ24">
        <f>IF($AN$24="",FALSE,SUMPRODUCT(('Final Calculation Sheet'!$E$4:$E$40=$AN$24)*($LY$6:$LY$42=1))&gt;0)</f>
        <v/>
      </c>
      <c r="MA24">
        <f>$MA$23+--($LZ24)</f>
        <v/>
      </c>
      <c r="MB24">
        <f>IF(ROW()-3&gt;MAX($MA$4:$MA$40),"",INDEX($AN$4:$AN$40,MATCH(ROW()-3,$MA$4:$MA$40,0)))</f>
        <v/>
      </c>
      <c r="MC24">
        <f>IF(COUNTIF('Buyer Groups'!DG24:DL24,0)+COUNTIF('Buyer Groups'!DN24:EN24,0)&gt;0,0,1)</f>
        <v/>
      </c>
      <c r="MD24">
        <f>IF($AS$24="",FALSE,SUMPRODUCT(('Final Calculation Sheet'!$C$4:$C$40=$AS$24)*($MC$6:$MC$42=1))&gt;0)</f>
        <v/>
      </c>
      <c r="ME24">
        <f>$ME$23+--($MD24)</f>
        <v/>
      </c>
      <c r="MF24">
        <f>IF(ROW()-3&gt;MAX($ME$4:$ME$40),"",INDEX($AS$4:$AS$40,MATCH(ROW()-3,$ME$4:$ME$40,0)))</f>
        <v/>
      </c>
      <c r="MG24">
        <f>IF(COUNTIF('Buyer Groups'!DG24:DM24,0)+COUNTIF('Buyer Groups'!DO24:EN24,0)&gt;0,0,1)</f>
        <v/>
      </c>
      <c r="MH24">
        <f>IF($AX$24="",FALSE,SUMPRODUCT(('Final Calculation Sheet'!$H$4:$H$40=$AX$24)*($MG$6:$MG$42=1))&gt;0)</f>
        <v/>
      </c>
      <c r="MI24">
        <f>$MI$23+--($MH24)</f>
        <v/>
      </c>
      <c r="MJ24">
        <f>IF(ROW()-3&gt;MAX($MI$4:$MI$40),"",INDEX($AX$4:$AX$40,MATCH(ROW()-3,$MI$4:$MI$40,0)))</f>
        <v/>
      </c>
      <c r="MK24">
        <f>IF(COUNTIF('Buyer Groups'!DG24:DN24,0)+COUNTIF('Buyer Groups'!DP24:EN24,0)&gt;0,0,1)</f>
        <v/>
      </c>
      <c r="ML24">
        <f>IF($BC$24="",FALSE,SUMPRODUCT(('Final Calculation Sheet'!$I$4:$I$40=$BC$24)*($MK$6:$MK$42=1))&gt;0)</f>
        <v/>
      </c>
      <c r="MM24">
        <f>$MM$23+--($ML24)</f>
        <v/>
      </c>
      <c r="MN24">
        <f>IF(ROW()-3&gt;MAX($MM$4:$MM$40),"",INDEX($BC$4:$BC$40,MATCH(ROW()-3,$MM$4:$MM$40,0)))</f>
        <v/>
      </c>
      <c r="MO24">
        <f>IF(COUNTIF('Buyer Groups'!DG24:DO24,0)+COUNTIF('Buyer Groups'!DQ24:EN24,0)&gt;0,0,1)</f>
        <v/>
      </c>
      <c r="MP24">
        <f>IF($BH$24="",FALSE,SUMPRODUCT(('Final Calculation Sheet'!$J$4:$J$40=$BH$24)*($MO$6:$MO$42=1))&gt;0)</f>
        <v/>
      </c>
      <c r="MQ24">
        <f>$MQ$23+--($MP24)</f>
        <v/>
      </c>
      <c r="MR24">
        <f>IF(ROW()-3&gt;MAX($MQ$4:$MQ$40),"",INDEX($BH$4:$BH$40,MATCH(ROW()-3,$MQ$4:$MQ$40,0)))</f>
        <v/>
      </c>
      <c r="MS24">
        <f>IF(COUNTIF('Buyer Groups'!DG24:DP24,0)+COUNTIF('Buyer Groups'!DR24:EN24,0)&gt;0,0,1)</f>
        <v/>
      </c>
      <c r="MT24">
        <f>IF($BM$24="",FALSE,SUMPRODUCT(('Final Calculation Sheet'!$K$4:$K$40=$BM$24)*($MS$6:$MS$42=1))&gt;0)</f>
        <v/>
      </c>
      <c r="MU24">
        <f>$MU$23+--($MT24)</f>
        <v/>
      </c>
      <c r="MV24">
        <f>IF(ROW()-3&gt;MAX($MU$4:$MU$40),"",INDEX($BM$4:$BM$40,MATCH(ROW()-3,$MU$4:$MU$40,0)))</f>
        <v/>
      </c>
      <c r="MW24">
        <f>IF(COUNTIF('Buyer Groups'!DG24:DQ24,0)+COUNTIF('Buyer Groups'!DS24:EN24,0)&gt;0,0,1)</f>
        <v/>
      </c>
      <c r="MX24">
        <f>IF($BR$24="",FALSE,SUMPRODUCT(('Final Calculation Sheet'!$L$4:$L$40=$BR$24)*($MW$6:$MW$42=1))&gt;0)</f>
        <v/>
      </c>
      <c r="MY24">
        <f>$MY$23+--($MX24)</f>
        <v/>
      </c>
      <c r="MZ24">
        <f>IF(ROW()-3&gt;MAX($MY$4:$MY$40),"",INDEX($BR$4:$BR$40,MATCH(ROW()-3,$MY$4:$MY$40,0)))</f>
        <v/>
      </c>
      <c r="NA24">
        <f>IF(COUNTIF('Buyer Groups'!DG24:DR24,0)+COUNTIF('Buyer Groups'!DT24:EN24,0)&gt;0,0,1)</f>
        <v/>
      </c>
      <c r="NB24">
        <f>IF($BW$24="",FALSE,SUMPRODUCT(('Final Calculation Sheet'!$M$4:$M$40=$BW$24)*($NA$6:$NA$42=1))&gt;0)</f>
        <v/>
      </c>
      <c r="NC24">
        <f>$NC$23+--($NB24)</f>
        <v/>
      </c>
      <c r="ND24">
        <f>IF(ROW()-3&gt;MAX($NC$4:$NC$40),"",INDEX($BW$4:$BW$40,MATCH(ROW()-3,$NC$4:$NC$40,0)))</f>
        <v/>
      </c>
      <c r="NE24">
        <f>IF(COUNTIF('Buyer Groups'!DG24:DS24,0)+COUNTIF('Buyer Groups'!DU24:EN24,0)&gt;0,0,1)</f>
        <v/>
      </c>
      <c r="NF24">
        <f>IF($CB$24="",FALSE,SUMPRODUCT(('Final Calculation Sheet'!$N$4:$N$40=$CB$24)*($NE$6:$NE$42=1))&gt;0)</f>
        <v/>
      </c>
      <c r="NG24">
        <f>$NG$23+--($NF24)</f>
        <v/>
      </c>
      <c r="NH24">
        <f>IF(ROW()-3&gt;MAX($NG$4:$NG$40),"",INDEX($CB$4:$CB$40,MATCH(ROW()-3,$NG$4:$NG$40,0)))</f>
        <v/>
      </c>
      <c r="NI24">
        <f>IF(COUNTIF('Buyer Groups'!DG24:DT24,0)+COUNTIF('Buyer Groups'!DV24:EN24,0)&gt;0,0,1)</f>
        <v/>
      </c>
      <c r="NJ24">
        <f>IF($CG$24="",FALSE,SUMPRODUCT(('Final Calculation Sheet'!$O$4:$O$40=$CG$24)*($NI$6:$NI$42=1))&gt;0)</f>
        <v/>
      </c>
      <c r="NK24">
        <f>$NK$23+--($NJ24)</f>
        <v/>
      </c>
      <c r="NL24">
        <f>IF(ROW()-3&gt;MAX($NK$4:$NK$40),"",INDEX($CG$4:$CG$40,MATCH(ROW()-3,$NK$4:$NK$40,0)))</f>
        <v/>
      </c>
      <c r="NM24">
        <f>IF(COUNTIF('Buyer Groups'!DG24:DU24,0)+COUNTIF('Buyer Groups'!DW24:EN24,0)&gt;0,0,1)</f>
        <v/>
      </c>
      <c r="NN24">
        <f>IF($CL$24="",FALSE,SUMPRODUCT(('Final Calculation Sheet'!$P$4:$P$40=$CL$24)*($NM$6:$NM$42=1))&gt;0)</f>
        <v/>
      </c>
      <c r="NO24">
        <f>$NO$23+--($NN24)</f>
        <v/>
      </c>
      <c r="NP24">
        <f>IF(ROW()-3&gt;MAX($NO$4:$NO$40),"",INDEX($CL$4:$CL$40,MATCH(ROW()-3,$NO$4:$NO$40,0)))</f>
        <v/>
      </c>
      <c r="NQ24">
        <f>IF(COUNTIF('Buyer Groups'!DG24:DV24,0)+COUNTIF('Buyer Groups'!DX24:EN24,0)&gt;0,0,1)</f>
        <v/>
      </c>
      <c r="NR24">
        <f>IF($CQ$24="",FALSE,SUMPRODUCT(('Final Calculation Sheet'!$Q$4:$Q$40=$CQ$24)*($NQ$6:$NQ$42=1))&gt;0)</f>
        <v/>
      </c>
      <c r="NS24">
        <f>$NS$23+--($NR24)</f>
        <v/>
      </c>
      <c r="NT24">
        <f>IF(ROW()-3&gt;MAX($NS$4:$NS$40),"",INDEX($CQ$4:$CQ$40,MATCH(ROW()-3,$NS$4:$NS$40,0)))</f>
        <v/>
      </c>
      <c r="NU24">
        <f>IF(COUNTIF('Buyer Groups'!DG24:DW24,0)+COUNTIF('Buyer Groups'!DY24:EN24,0)&gt;0,0,1)</f>
        <v/>
      </c>
      <c r="NV24">
        <f>IF($CV$24="",FALSE,SUMPRODUCT(('Final Calculation Sheet'!$R$4:$R$40=$CV$24)*($NU$6:$NU$42=1))&gt;0)</f>
        <v/>
      </c>
      <c r="NW24">
        <f>$NW$23+--($NV24)</f>
        <v/>
      </c>
      <c r="NX24">
        <f>IF(ROW()-3&gt;MAX($NW$4:$NW$40),"",INDEX($CV$4:$CV$40,MATCH(ROW()-3,$NW$4:$NW$40,0)))</f>
        <v/>
      </c>
      <c r="NY24">
        <f>IF(COUNTIF('Buyer Groups'!DG24:DX24,0)+COUNTIF('Buyer Groups'!DZ24:EN24,0)&gt;0,0,1)</f>
        <v/>
      </c>
      <c r="NZ24">
        <f>IF($DA$24="",FALSE,SUMPRODUCT(('Final Calculation Sheet'!$S$4:$S$40=$DA$24)*($NY$6:$NY$42=1))&gt;0)</f>
        <v/>
      </c>
      <c r="OA24">
        <f>$OA$23+--($NZ24)</f>
        <v/>
      </c>
      <c r="OB24">
        <f>IF(ROW()-3&gt;MAX($OA$4:$OA$40),"",INDEX($DA$4:$DA$40,MATCH(ROW()-3,$OA$4:$OA$40,0)))</f>
        <v/>
      </c>
      <c r="OC24">
        <f>IF(COUNTIF('Buyer Groups'!DG24:DY24,0)+COUNTIF('Buyer Groups'!EA24:EN24,0)&gt;0,0,1)</f>
        <v/>
      </c>
      <c r="OD24">
        <f>IF($DF$24="",FALSE,SUMPRODUCT(('Final Calculation Sheet'!$T$4:$T$40=$DF$24)*($OC$6:$OC$42=1))&gt;0)</f>
        <v/>
      </c>
      <c r="OE24">
        <f>$OE$23+--($OD24)</f>
        <v/>
      </c>
      <c r="OF24">
        <f>IF(ROW()-3&gt;MAX($OE$4:$OE$40),"",INDEX($DF$4:$DF$40,MATCH(ROW()-3,$OE$4:$OE$40,0)))</f>
        <v/>
      </c>
      <c r="OG24">
        <f>IF(COUNTIF('Buyer Groups'!DG24:DZ24,0)+COUNTIF('Buyer Groups'!EB24:EN24,0)&gt;0,0,1)</f>
        <v/>
      </c>
      <c r="OH24">
        <f>IF($DK$24="",FALSE,SUMPRODUCT(('Final Calculation Sheet'!$U$4:$U$40=$DK$24)*($OG$6:$OG$42=1))&gt;0)</f>
        <v/>
      </c>
      <c r="OI24">
        <f>$OI$23+--($OH24)</f>
        <v/>
      </c>
      <c r="OJ24">
        <f>IF(ROW()-3&gt;MAX($OI$4:$OI$40),"",INDEX($DK$4:$DK$40,MATCH(ROW()-3,$OI$4:$OI$40,0)))</f>
        <v/>
      </c>
      <c r="OK24">
        <f>IF(COUNTIF('Buyer Groups'!DG24:EA24,0)+COUNTIF('Buyer Groups'!EC24:EN24,0)&gt;0,0,1)</f>
        <v/>
      </c>
      <c r="OL24">
        <f>IF($DP$24="",FALSE,SUMPRODUCT(('Final Calculation Sheet'!$V$4:$V$40=$DP$24)*($OK$6:$OK$42=1))&gt;0)</f>
        <v/>
      </c>
      <c r="OM24">
        <f>$OM$23+--($OL24)</f>
        <v/>
      </c>
      <c r="ON24">
        <f>IF(ROW()-3&gt;MAX($OM$4:$OM$40),"",INDEX($DP$4:$DP$40,MATCH(ROW()-3,$OM$4:$OM$40,0)))</f>
        <v/>
      </c>
      <c r="OO24">
        <f>IF(COUNTIF('Buyer Groups'!DG24:EB24,0)+COUNTIF('Buyer Groups'!ED24:EN24,0)&gt;0,0,1)</f>
        <v/>
      </c>
      <c r="OP24">
        <f>IF($DU$24="",FALSE,SUMPRODUCT(('Final Calculation Sheet'!$W$4:$W$40=$DU$24)*($OO$6:$OO$42=1))&gt;0)</f>
        <v/>
      </c>
      <c r="OQ24">
        <f>$OQ$23+--($OP24)</f>
        <v/>
      </c>
      <c r="OR24">
        <f>IF(ROW()-3&gt;MAX($OQ$4:$OQ$40),"",INDEX($DU$4:$DU$40,MATCH(ROW()-3,$OQ$4:$OQ$40,0)))</f>
        <v/>
      </c>
      <c r="OS24">
        <f>IF(COUNTIF('Buyer Groups'!DG24:EC24,0)+COUNTIF('Buyer Groups'!EE24:EN24,0)&gt;0,0,1)</f>
        <v/>
      </c>
      <c r="OT24">
        <f>IF($DZ$24="",FALSE,SUMPRODUCT(('Final Calculation Sheet'!$X$4:$X$40=$DZ$24)*($OS$6:$OS$42=1))&gt;0)</f>
        <v/>
      </c>
      <c r="OU24">
        <f>$OU$23+--($OT24)</f>
        <v/>
      </c>
      <c r="OV24">
        <f>IF(ROW()-3&gt;MAX($OU$4:$OU$40),"",INDEX($DZ$4:$DZ$40,MATCH(ROW()-3,$OU$4:$OU$40,0)))</f>
        <v/>
      </c>
      <c r="OW24">
        <f>IF(COUNTIF('Buyer Groups'!DG24:ED24,0)+COUNTIF('Buyer Groups'!EF24:EN24,0)&gt;0,0,1)</f>
        <v/>
      </c>
      <c r="OX24">
        <f>IF($EE$24="",FALSE,SUMPRODUCT(('Final Calculation Sheet'!$Y$4:$Y$40=$EE$24)*($OW$6:$OW$42=1))&gt;0)</f>
        <v/>
      </c>
      <c r="OY24">
        <f>$OY$23+--($OX24)</f>
        <v/>
      </c>
      <c r="OZ24">
        <f>IF(ROW()-3&gt;MAX($OY$4:$OY$40),"",INDEX($EE$4:$EE$40,MATCH(ROW()-3,$OY$4:$OY$40,0)))</f>
        <v/>
      </c>
      <c r="PA24">
        <f>IF(COUNTIF('Buyer Groups'!DG24:EE24,0)+COUNTIF('Buyer Groups'!EG24:EN24,0)&gt;0,0,1)</f>
        <v/>
      </c>
      <c r="PB24">
        <f>IF($EJ$24="",FALSE,SUMPRODUCT(('Final Calculation Sheet'!$Z$4:$Z$40=$EJ$24)*($PA$6:$PA$42=1))&gt;0)</f>
        <v/>
      </c>
      <c r="PC24">
        <f>$PC$23+--($PB24)</f>
        <v/>
      </c>
      <c r="PD24">
        <f>IF(ROW()-3&gt;MAX($PC$4:$PC$40),"",INDEX($EJ$4:$EJ$40,MATCH(ROW()-3,$PC$4:$PC$40,0)))</f>
        <v/>
      </c>
      <c r="PE24">
        <f>IF(COUNTIF('Buyer Groups'!DG24:EF24,0)+COUNTIF('Buyer Groups'!EH24:EN24,0)&gt;0,0,1)</f>
        <v/>
      </c>
      <c r="PF24">
        <f>IF($EO$24="",FALSE,SUMPRODUCT(('Final Calculation Sheet'!$AA$4:$AA$40=$EO$24)*($PE$6:$PE$42=1))&gt;0)</f>
        <v/>
      </c>
      <c r="PG24">
        <f>$PG$23+--($PF24)</f>
        <v/>
      </c>
      <c r="PH24">
        <f>IF(ROW()-3&gt;MAX($PG$4:$PG$40),"",INDEX($EO$4:$EO$40,MATCH(ROW()-3,$PG$4:$PG$40,0)))</f>
        <v/>
      </c>
      <c r="PI24">
        <f>IF(COUNTIF('Buyer Groups'!DG24:EG24,0)+COUNTIF('Buyer Groups'!EI24:EN24,0)&gt;0,0,1)</f>
        <v/>
      </c>
      <c r="PJ24">
        <f>IF($ET$24="",FALSE,SUMPRODUCT(('Final Calculation Sheet'!$AB$4:$AB$40=$ET$24)*($PI$6:$PI$42=1))&gt;0)</f>
        <v/>
      </c>
      <c r="PK24">
        <f>$PK$23+--($PJ24)</f>
        <v/>
      </c>
      <c r="PL24">
        <f>IF(ROW()-3&gt;MAX($PK$4:$PK$40),"",INDEX($ET$4:$ET$40,MATCH(ROW()-3,$PK$4:$PK$40,0)))</f>
        <v/>
      </c>
      <c r="PM24">
        <f>IF(COUNTIF('Buyer Groups'!DG24:EH24,0)+COUNTIF('Buyer Groups'!EJ24:EN24,0)&gt;0,0,1)</f>
        <v/>
      </c>
      <c r="PN24">
        <f>IF($EY$24="",FALSE,SUMPRODUCT(('Final Calculation Sheet'!$AC$4:$AC$40=$EY$24)*($PM$6:$PM$42=1))&gt;0)</f>
        <v/>
      </c>
      <c r="PO24">
        <f>$PO$23+--($PN24)</f>
        <v/>
      </c>
      <c r="PP24">
        <f>IF(ROW()-3&gt;MAX($PO$4:$PO$40),"",INDEX($EY$4:$EY$40,MATCH(ROW()-3,$PO$4:$PO$40,0)))</f>
        <v/>
      </c>
      <c r="PQ24">
        <f>IF(COUNTIF('Buyer Groups'!DG24:EI24,0)+COUNTIF('Buyer Groups'!EK24:EN24,0)&gt;0,0,1)</f>
        <v/>
      </c>
      <c r="PR24">
        <f>IF($FD$24="",FALSE,SUMPRODUCT(('Final Calculation Sheet'!$AD$4:$AD$40=$FD$24)*($PQ$6:$PQ$42=1))&gt;0)</f>
        <v/>
      </c>
      <c r="PS24">
        <f>$PS$23+--($PR24)</f>
        <v/>
      </c>
      <c r="PT24">
        <f>IF(ROW()-3&gt;MAX($PS$4:$PS$40),"",INDEX($FD$4:$FD$40,MATCH(ROW()-3,$PS$4:$PS$40,0)))</f>
        <v/>
      </c>
      <c r="PU24">
        <f>IF(COUNTIF('Buyer Groups'!DG24:EJ24,0)+COUNTIF('Buyer Groups'!EL24:EN24,0)&gt;0,0,1)</f>
        <v/>
      </c>
      <c r="PV24">
        <f>IF($FX$24="",FALSE,SUMPRODUCT((IF('Final Calculation Sheet'!$AD$4:$AD$40&lt;=5,"SETTLED","OUTSTANDING")=$FX$24)*($PU$6:$PU$42=1))&gt;0)</f>
        <v/>
      </c>
      <c r="PW24">
        <f>$PW$23+--($PV24)</f>
        <v/>
      </c>
      <c r="PX24">
        <f>IF(ROW()-3&gt;MAX($PW$4:$PW$40),"",INDEX($FX$4:$FX$40,MATCH(ROW()-3,$PW$4:$PW$40,0)))</f>
        <v/>
      </c>
      <c r="PY24">
        <f>IF(COUNTIF('Buyer Groups'!DG24:EK24,0)+COUNTIF('Buyer Groups'!EM24:EN24,0)&gt;0,0,1)</f>
        <v/>
      </c>
      <c r="PZ24">
        <f>IF($FI$24="",FALSE,SUMPRODUCT(('Final Calculation Sheet'!$AF$4:$AF$40=$FI$24)*($PY$6:$PY$42=1))&gt;0)</f>
        <v/>
      </c>
      <c r="QA24">
        <f>$QA$23+--($PZ24)</f>
        <v/>
      </c>
      <c r="QB24">
        <f>IF(ROW()-3&gt;MAX($QA$4:$QA$40),"",INDEX($FI$4:$FI$40,MATCH(ROW()-3,$QA$4:$QA$40,0)))</f>
        <v/>
      </c>
      <c r="QC24">
        <f>IF(COUNTIF('Buyer Groups'!DG24:EL24,0)+COUNTIF('Buyer Groups'!EN24:EN24,0)&gt;0,0,1)</f>
        <v/>
      </c>
      <c r="QD24">
        <f>IF($FN$24="",FALSE,SUMPRODUCT(('Final Calculation Sheet'!$AG$4:$AG$40=$FN$24)*($QC$6:$QC$42=1))&gt;0)</f>
        <v/>
      </c>
      <c r="QE24">
        <f>$QE$23+--($QD24)</f>
        <v/>
      </c>
      <c r="QF24">
        <f>IF(ROW()-3&gt;MAX($QE$4:$QE$40),"",INDEX($FN$4:$FN$40,MATCH(ROW()-3,$QE$4:$QE$40,0)))</f>
        <v/>
      </c>
      <c r="QG24">
        <f>IF(COUNTIF('Buyer Groups'!DG24:EM24,0)&gt;0,0,1)</f>
        <v/>
      </c>
      <c r="QH24">
        <f>IF($FS$24="",FALSE,SUMPRODUCT(('Final Calculation Sheet'!$AH$4:$AH$40=$FS$24)*($QG$6:$QG$42=1))&gt;0)</f>
        <v/>
      </c>
      <c r="QI24">
        <f>$QI$23+--($QH24)</f>
        <v/>
      </c>
      <c r="QJ24">
        <f>IF(ROW()-3&gt;MAX($QI$4:$QI$40),"",INDEX($FS$4:$FS$40,MATCH(ROW()-3,$QI$4:$QI$40,0)))</f>
        <v/>
      </c>
      <c r="QK24" t="str">
        <f>IF('Final Calculation Sheet'!$AH$24="","",'Final Calculation Sheet'!$AH$24)</f>
      </c>
      <c r="QL24" t="str">
        <f>IF(QK24="","",COUNTIFS(QK$4:QK$40,"&lt;"&amp;QK24,QK$4:QK$40,"&lt;&gt;"&amp;"")+COUNTIF(QK$4:QK24,QK24))</f>
      </c>
      <c r="QM24" t="str">
        <f>IF(ROW()-3&gt;COUNTIF(QK$4:QK$40,"&lt;&gt;"&amp;""),"",INDEX(QK$4:QK$40,MATCH(ROW()-3,QL$4:QL$40,0)))</f>
      </c>
      <c r="QN24" t="str">
        <f>=QN23+F(AND(QM24&lt;&gt;"",COUNTIF(QM$4:QM24,QM24)=1),1,0)</f>
      </c>
      <c r="QO24" t="str">
        <f>IF(ROW()-3&gt;MAX(QN$4:QN$40),"",INDEX(QM$4:QM$40,MATCH(ROW()-3,QN$4:QN$40,0)))</f>
      </c>
      <c r="QP24" t="str">
        <f>IF(COUNTIF('Final Calculation Sheet'!$AM24:$BS24,0)&gt;0,0,1)</f>
      </c>
      <c r="QQ24" t="str">
        <f>IF($AI$24="",FALSE,SUMPRODUCT(('Final Calculation Sheet'!$A$4:$A$40=$AI$24)*($QP$4:$QP$40=1))&gt;0)</f>
      </c>
      <c r="QR24" t="str">
        <f>=$QR23+--($QQ24)</f>
      </c>
      <c r="QS24" t="str">
        <f>IF(ROW()-3&gt;MAX($QR$4:$QR$40),"",INDEX($AI$4:$AI$40,MATCH(ROW()-3,$QR$4:$QR$40,0)))</f>
      </c>
      <c r="QT24" t="str">
        <f>IF(COUNTIF('Final Calculation Sheet'!$AL24:$AL24,0)+COUNTIF('Final Calculation Sheet'!$AN24:$BS24,0)&gt;0,0,1)</f>
      </c>
      <c r="QU24" t="str">
        <f>IF($Y$24="",FALSE,SUMPRODUCT(('Final Calculation Sheet'!$B$4:$B$40=$Y$24)*($QT$4:$QT$40=1))&gt;0)</f>
      </c>
      <c r="QV24" t="str">
        <f>=$QV23+--($QU24)</f>
      </c>
      <c r="QW24" t="str">
        <f>IF(ROW()-3&gt;MAX($QV$4:$QV$40),"",INDEX($Y$4:$Y$40,MATCH(ROW()-3,$QV$4:$QV$40,0)))</f>
      </c>
      <c r="QX24" t="str">
        <f>IF(COUNTIF('Final Calculation Sheet'!$AL24:$AM24,0)+COUNTIF('Final Calculation Sheet'!$AO24:$BS24,0)&gt;0,0,1)</f>
      </c>
      <c r="QY24" t="str">
        <f>IF($AS$24="",FALSE,SUMPRODUCT(('Final Calculation Sheet'!$C$4:$C$40=$AS$24)*($QX$4:$QX$40=1))&gt;0)</f>
      </c>
      <c r="QZ24" t="str">
        <f>=$QZ23+--($QY24)</f>
      </c>
      <c r="RA24" t="str">
        <f>IF(ROW()-3&gt;MAX($QZ$4:$QZ$40),"",INDEX($AS$4:$AS$40,MATCH(ROW()-3,$QZ$4:$QZ$40,0)))</f>
      </c>
      <c r="RB24" t="str">
        <f>IF(COUNTIF('Final Calculation Sheet'!$AL24:$AN24,0)+COUNTIF('Final Calculation Sheet'!$AP24:$BS24,0)&gt;0,0,1)</f>
      </c>
      <c r="RC24" t="str">
        <f>IF($AD$24="",FALSE,SUMPRODUCT(('Final Calculation Sheet'!$D$4:$D$40=$AD$24)*($RB$4:$RB$40=1))&gt;0)</f>
      </c>
      <c r="RD24" t="str">
        <f>=$RD23+--($RC24)</f>
      </c>
      <c r="RE24" t="str">
        <f>IF(ROW()-3&gt;MAX($RD$4:$RD$40),"",INDEX($AD$4:$AD$40,MATCH(ROW()-3,$RD$4:$RD$40,0)))</f>
      </c>
      <c r="RF24" t="str">
        <f>IF(COUNTIF('Final Calculation Sheet'!$AL24:$AO24,0)+COUNTIF('Final Calculation Sheet'!$AQ24:$BS24,0)&gt;0,0,1)</f>
      </c>
      <c r="RG24" t="str">
        <f>IF($AN$24="",FALSE,SUMPRODUCT(('Final Calculation Sheet'!$E$4:$E$40=$AN$24)*($RF$4:$RF$40=1))&gt;0)</f>
      </c>
      <c r="RH24" t="str">
        <f>=$RH23+--($RG24)</f>
      </c>
      <c r="RI24" t="str">
        <f>IF(ROW()-3&gt;MAX($RH$4:$RH$40),"",INDEX($AN$4:$AN$40,MATCH(ROW()-3,$RH$4:$RH$40,0)))</f>
      </c>
      <c r="RJ24" t="str">
        <f>IF(COUNTIF('Final Calculation Sheet'!$AL24:$AP24,0)+COUNTIF('Final Calculation Sheet'!$AR24:$BS24,0)&gt;0,0,1)</f>
      </c>
      <c r="RK24" t="str">
        <f>IF($O$24="",FALSE,SUMPRODUCT(('Final Calculation Sheet'!$F$4:$F$40=$O$24)*($RJ$4:$RJ$40=1))&gt;0)</f>
      </c>
      <c r="RL24" t="str">
        <f>=$RL23+--($RK24)</f>
      </c>
      <c r="RM24" t="str">
        <f>IF(ROW()-3&gt;MAX($RL$4:$RL$40),"",INDEX($O$4:$O$40,MATCH(ROW()-3,$RL$4:$RL$40,0)))</f>
      </c>
      <c r="RN24" t="str">
        <f>IF(COUNTIF('Final Calculation Sheet'!$AL24:$AQ24,0)+COUNTIF('Final Calculation Sheet'!$AS24:$BS24,0)&gt;0,0,1)</f>
      </c>
      <c r="RO24" t="str">
        <f>IF($T$24="",FALSE,SUMPRODUCT(('Final Calculation Sheet'!$G$4:$G$40=$T$24)*($RN$4:$RN$40=1))&gt;0)</f>
      </c>
      <c r="RP24" t="str">
        <f>=$RP23+--($RO24)</f>
      </c>
      <c r="RQ24" t="str">
        <f>IF(ROW()-3&gt;MAX($RP$4:$RP$40),"",INDEX($T$4:$T$40,MATCH(ROW()-3,$RP$4:$RP$40,0)))</f>
      </c>
      <c r="RR24" t="str">
        <f>IF(COUNTIF('Final Calculation Sheet'!$AL24:$AR24,0)+COUNTIF('Final Calculation Sheet'!$AT24:$BS24,0)&gt;0,0,1)</f>
      </c>
      <c r="RS24" t="str">
        <f>IF($AX$24="",FALSE,SUMPRODUCT(('Final Calculation Sheet'!$H$4:$H$40=$AX$24)*($RR$4:$RR$40=1))&gt;0)</f>
      </c>
      <c r="RT24" t="str">
        <f>=$RT23+--($RS24)</f>
      </c>
      <c r="RU24" t="str">
        <f>IF(ROW()-3&gt;MAX($RT$4:$RT$40),"",INDEX($AX$4:$AX$40,MATCH(ROW()-3,$RT$4:$RT$40,0)))</f>
      </c>
      <c r="RV24" t="str">
        <f>IF(COUNTIF('Final Calculation Sheet'!$AL24:$AS24,0)+COUNTIF('Final Calculation Sheet'!$AU24:$BS24,0)&gt;0,0,1)</f>
      </c>
      <c r="RW24" t="str">
        <f>IF($BC$24="",FALSE,SUMPRODUCT(('Final Calculation Sheet'!$I$4:$I$40=$BC$24)*($RV$4:$RV$40=1))&gt;0)</f>
      </c>
      <c r="RX24" t="str">
        <f>=$RX23+--($RW24)</f>
      </c>
      <c r="RY24" t="str">
        <f>IF(ROW()-3&gt;MAX($RX$4:$RX$40),"",INDEX($BC$4:$BC$40,MATCH(ROW()-3,$RX$4:$RX$40,0)))</f>
      </c>
      <c r="RZ24" t="str">
        <f>IF(COUNTIF('Final Calculation Sheet'!$AL24:$AT24,0)+COUNTIF('Final Calculation Sheet'!$AV24:$BS24,0)&gt;0,0,1)</f>
      </c>
      <c r="SA24" t="str">
        <f>IF($BH$24="",FALSE,SUMPRODUCT(('Final Calculation Sheet'!$J$4:$J$40=$BH$24)*($RZ$4:$RZ$40=1))&gt;0)</f>
      </c>
      <c r="SB24" t="str">
        <f>=$SB23+--($SA24)</f>
      </c>
      <c r="SC24" t="str">
        <f>IF(ROW()-3&gt;MAX($SB$4:$SB$40),"",INDEX($BH$4:$BH$40,MATCH(ROW()-3,$SB$4:$SB$40,0)))</f>
      </c>
      <c r="SD24" t="str">
        <f>IF(COUNTIF('Final Calculation Sheet'!$AL24:$AU24,0)+COUNTIF('Final Calculation Sheet'!$AW24:$BS24,0)&gt;0,0,1)</f>
      </c>
      <c r="SE24" t="str">
        <f>IF($BM$24="",FALSE,SUMPRODUCT(('Final Calculation Sheet'!$K$4:$K$40=$BM$24)*($SD$4:$SD$40=1))&gt;0)</f>
      </c>
      <c r="SF24" t="str">
        <f>=$SF23+--($SE24)</f>
      </c>
      <c r="SG24" t="str">
        <f>IF(ROW()-3&gt;MAX($SF$4:$SF$40),"",INDEX($BM$4:$BM$40,MATCH(ROW()-3,$SF$4:$SF$40,0)))</f>
      </c>
      <c r="SH24" t="str">
        <f>IF(COUNTIF('Final Calculation Sheet'!$AL24:$AV24,0)+COUNTIF('Final Calculation Sheet'!$AX24:$BS24,0)&gt;0,0,1)</f>
      </c>
      <c r="SI24" t="str">
        <f>IF($BR$24="",FALSE,SUMPRODUCT(('Final Calculation Sheet'!$L$4:$L$40=$BR$24)*($SH$4:$SH$40=1))&gt;0)</f>
      </c>
      <c r="SJ24" t="str">
        <f>=$SJ23+--($SI24)</f>
      </c>
      <c r="SK24" t="str">
        <f>IF(ROW()-3&gt;MAX($SJ$4:$SJ$40),"",INDEX($BR$4:$BR$40,MATCH(ROW()-3,$SJ$4:$SJ$40,0)))</f>
      </c>
      <c r="SL24" t="str">
        <f>IF(COUNTIF('Final Calculation Sheet'!$AL24:$AW24,0)+COUNTIF('Final Calculation Sheet'!$AY24:$BS24,0)&gt;0,0,1)</f>
      </c>
      <c r="SM24" t="str">
        <f>IF($BW$24="",FALSE,SUMPRODUCT(('Final Calculation Sheet'!$M$4:$M$40=$BW$24)*($SL$4:$SL$40=1))&gt;0)</f>
      </c>
      <c r="SN24" t="str">
        <f>=$SN23+--($SM24)</f>
      </c>
      <c r="SO24" t="str">
        <f>IF(ROW()-3&gt;MAX($SN$4:$SN$40),"",INDEX($BW$4:$BW$40,MATCH(ROW()-3,$SN$4:$SN$40,0)))</f>
      </c>
      <c r="SP24" t="str">
        <f>IF(COUNTIF('Final Calculation Sheet'!$AL24:$AX24,0)+COUNTIF('Final Calculation Sheet'!$AZ24:$BS24,0)&gt;0,0,1)</f>
      </c>
      <c r="SQ24" t="str">
        <f>IF($CB$24="",FALSE,SUMPRODUCT(('Final Calculation Sheet'!$N$4:$N$40=$CB$24)*($SP$4:$SP$40=1))&gt;0)</f>
      </c>
      <c r="SR24" t="str">
        <f>=$SR23+--($SQ24)</f>
      </c>
      <c r="SS24" t="str">
        <f>IF(ROW()-3&gt;MAX($SR$4:$SR$40),"",INDEX($CB$4:$CB$40,MATCH(ROW()-3,$SR$4:$SR$40,0)))</f>
      </c>
      <c r="ST24" t="str">
        <f>IF(COUNTIF('Final Calculation Sheet'!$AL24:$AY24,0)+COUNTIF('Final Calculation Sheet'!$BA24:$BS24,0)&gt;0,0,1)</f>
      </c>
      <c r="SU24" t="str">
        <f>IF($CG$24="",FALSE,SUMPRODUCT(('Final Calculation Sheet'!$O$4:$O$40=$CG$24)*($ST$4:$ST$40=1))&gt;0)</f>
      </c>
      <c r="SV24" t="str">
        <f>=$SV23+--($SU24)</f>
      </c>
      <c r="SW24" t="str">
        <f>IF(ROW()-3&gt;MAX($SV$4:$SV$40),"",INDEX($CG$4:$CG$40,MATCH(ROW()-3,$SV$4:$SV$40,0)))</f>
      </c>
      <c r="SX24" t="str">
        <f>IF(COUNTIF('Final Calculation Sheet'!$AL24:$AZ24,0)+COUNTIF('Final Calculation Sheet'!$BB24:$BS24,0)&gt;0,0,1)</f>
      </c>
      <c r="SY24" t="str">
        <f>IF($CL$24="",FALSE,SUMPRODUCT(('Final Calculation Sheet'!$P$4:$P$40=$CL$24)*($SX$4:$SX$40=1))&gt;0)</f>
      </c>
      <c r="SZ24" t="str">
        <f>=$SZ23+--($SY24)</f>
      </c>
      <c r="TA24" t="str">
        <f>IF(ROW()-3&gt;MAX($SZ$4:$SZ$40),"",INDEX($CL$4:$CL$40,MATCH(ROW()-3,$SZ$4:$SZ$40,0)))</f>
      </c>
      <c r="TB24" t="str">
        <f>IF(COUNTIF('Final Calculation Sheet'!$AL24:$BA24,0)+COUNTIF('Final Calculation Sheet'!$BC24:$BS24,0)&gt;0,0,1)</f>
      </c>
      <c r="TC24" t="str">
        <f>IF($CQ$24="",FALSE,SUMPRODUCT(('Final Calculation Sheet'!$Q$4:$Q$40=$CQ$24)*($TB$4:$TB$40=1))&gt;0)</f>
      </c>
      <c r="TD24" t="str">
        <f>=$TD23+--($TC24)</f>
      </c>
      <c r="TE24" t="str">
        <f>IF(ROW()-3&gt;MAX($TD$4:$TD$40),"",INDEX($CQ$4:$CQ$40,MATCH(ROW()-3,$TD$4:$TD$40,0)))</f>
      </c>
      <c r="TF24" t="str">
        <f>IF(COUNTIF('Final Calculation Sheet'!$AL24:$BB24,0)+COUNTIF('Final Calculation Sheet'!$BD24:$BS24,0)&gt;0,0,1)</f>
      </c>
      <c r="TG24" t="str">
        <f>IF($CV$24="",FALSE,SUMPRODUCT(('Final Calculation Sheet'!$R$4:$R$40=$CV$24)*($TF$4:$TF$40=1))&gt;0)</f>
      </c>
      <c r="TH24" t="str">
        <f>=$TH23+--($TG24)</f>
      </c>
      <c r="TI24" t="str">
        <f>IF(ROW()-3&gt;MAX($TH$4:$TH$40),"",INDEX($CV$4:$CV$40,MATCH(ROW()-3,$TH$4:$TH$40,0)))</f>
      </c>
      <c r="TJ24" t="str">
        <f>IF(COUNTIF('Final Calculation Sheet'!$AL24:$BC24,0)+COUNTIF('Final Calculation Sheet'!$BE24:$BS24,0)&gt;0,0,1)</f>
      </c>
      <c r="TK24" t="str">
        <f>IF($DA$24="",FALSE,SUMPRODUCT(('Final Calculation Sheet'!$S$4:$S$40=$DA$24)*($TJ$4:$TJ$40=1))&gt;0)</f>
      </c>
      <c r="TL24" t="str">
        <f>=$TL23+--($TK24)</f>
      </c>
      <c r="TM24" t="str">
        <f>IF(ROW()-3&gt;MAX($TL$4:$TL$40),"",INDEX($DA$4:$DA$40,MATCH(ROW()-3,$TL$4:$TL$40,0)))</f>
      </c>
      <c r="TN24" t="str">
        <f>IF(COUNTIF('Final Calculation Sheet'!$AL24:$BD24,0)+COUNTIF('Final Calculation Sheet'!$BF24:$BS24,0)&gt;0,0,1)</f>
      </c>
      <c r="TO24" t="str">
        <f>IF($DF$24="",FALSE,SUMPRODUCT(('Final Calculation Sheet'!$T$4:$T$40=$DF$24)*($TN$4:$TN$40=1))&gt;0)</f>
      </c>
      <c r="TP24" t="str">
        <f>=$TP23+--($TO24)</f>
      </c>
      <c r="TQ24" t="str">
        <f>IF(ROW()-3&gt;MAX($TP$4:$TP$40),"",INDEX($DF$4:$DF$40,MATCH(ROW()-3,$TP$4:$TP$40,0)))</f>
      </c>
      <c r="TR24" t="str">
        <f>IF(COUNTIF('Final Calculation Sheet'!$AL24:$BE24,0)+COUNTIF('Final Calculation Sheet'!$BG24:$BS24,0)&gt;0,0,1)</f>
      </c>
      <c r="TS24" t="str">
        <f>IF($DK$24="",FALSE,SUMPRODUCT(('Final Calculation Sheet'!$U$4:$U$40=$DK$24)*($TR$4:$TR$40=1))&gt;0)</f>
      </c>
      <c r="TT24" t="str">
        <f>=$TT23+--($TS24)</f>
      </c>
      <c r="TU24" t="str">
        <f>IF(ROW()-3&gt;MAX($TT$4:$TT$40),"",INDEX($DK$4:$DK$40,MATCH(ROW()-3,$TT$4:$TT$40,0)))</f>
      </c>
      <c r="TV24" t="str">
        <f>IF(COUNTIF('Final Calculation Sheet'!$AL24:$BF24,0)+COUNTIF('Final Calculation Sheet'!$BH24:$BS24,0)&gt;0,0,1)</f>
      </c>
      <c r="TW24" t="str">
        <f>IF($DP$24="",FALSE,SUMPRODUCT(('Final Calculation Sheet'!$V$4:$V$40=$DP$24)*($TV$4:$TV$40=1))&gt;0)</f>
      </c>
      <c r="TX24" t="str">
        <f>=$TX23+--($TW24)</f>
      </c>
      <c r="TY24" t="str">
        <f>IF(ROW()-3&gt;MAX($TX$4:$TX$40),"",INDEX($DP$4:$DP$40,MATCH(ROW()-3,$TX$4:$TX$40,0)))</f>
      </c>
      <c r="TZ24" t="str">
        <f>IF(COUNTIF('Final Calculation Sheet'!$AL24:$BG24,0)+COUNTIF('Final Calculation Sheet'!$BI24:$BS24,0)&gt;0,0,1)</f>
      </c>
      <c r="UA24" t="str">
        <f>IF($DU$24="",FALSE,SUMPRODUCT(('Final Calculation Sheet'!$W$4:$W$40=$DU$24)*($TZ$4:$TZ$40=1))&gt;0)</f>
      </c>
      <c r="UB24" t="str">
        <f>=$UB23+--($UA24)</f>
      </c>
      <c r="UC24" t="str">
        <f>IF(ROW()-3&gt;MAX($UB$4:$UB$40),"",INDEX($DU$4:$DU$40,MATCH(ROW()-3,$UB$4:$UB$40,0)))</f>
      </c>
      <c r="UD24" t="str">
        <f>IF(COUNTIF('Final Calculation Sheet'!$AL24:$BH24,0)+COUNTIF('Final Calculation Sheet'!$BJ24:$BS24,0)&gt;0,0,1)</f>
      </c>
      <c r="UE24" t="str">
        <f>IF($DZ$24="",FALSE,SUMPRODUCT(('Final Calculation Sheet'!$X$4:$X$40=$DZ$24)*($UD$4:$UD$40=1))&gt;0)</f>
      </c>
      <c r="UF24" t="str">
        <f>=$UF23+--($UE24)</f>
      </c>
      <c r="UG24" t="str">
        <f>IF(ROW()-3&gt;MAX($UF$4:$UF$40),"",INDEX($DZ$4:$DZ$40,MATCH(ROW()-3,$UF$4:$UF$40,0)))</f>
      </c>
      <c r="UH24" t="str">
        <f>IF(COUNTIF('Final Calculation Sheet'!$AL24:$BI24,0)+COUNTIF('Final Calculation Sheet'!$BK24:$BS24,0)&gt;0,0,1)</f>
      </c>
      <c r="UI24" t="str">
        <f>IF($EE$24="",FALSE,SUMPRODUCT(('Final Calculation Sheet'!$Y$4:$Y$40=$EE$24)*($UH$4:$UH$40=1))&gt;0)</f>
      </c>
      <c r="UJ24" t="str">
        <f>=$UJ23+--($UI24)</f>
      </c>
      <c r="UK24" t="str">
        <f>IF(ROW()-3&gt;MAX($UJ$4:$UJ$40),"",INDEX($EE$4:$EE$40,MATCH(ROW()-3,$UJ$4:$UJ$40,0)))</f>
      </c>
      <c r="UL24" t="str">
        <f>IF(COUNTIF('Final Calculation Sheet'!$AL24:$BJ24,0)+COUNTIF('Final Calculation Sheet'!$BL24:$BS24,0)&gt;0,0,1)</f>
      </c>
      <c r="UM24" t="str">
        <f>IF($EJ$24="",FALSE,SUMPRODUCT(('Final Calculation Sheet'!$Z$4:$Z$40=$EJ$24)*($UL$4:$UL$40=1))&gt;0)</f>
      </c>
      <c r="UN24" t="str">
        <f>=$UN23+--($UM24)</f>
      </c>
      <c r="UO24" t="str">
        <f>IF(ROW()-3&gt;MAX($UN$4:$UN$40),"",INDEX($EJ$4:$EJ$40,MATCH(ROW()-3,$UN$4:$UN$40,0)))</f>
      </c>
      <c r="UP24" t="str">
        <f>IF(COUNTIF('Final Calculation Sheet'!$AL24:$BK24,0)+COUNTIF('Final Calculation Sheet'!$BM24:$BS24,0)&gt;0,0,1)</f>
      </c>
      <c r="UQ24" t="str">
        <f>IF($EO$24="",FALSE,SUMPRODUCT(('Final Calculation Sheet'!$AA$4:$AA$40=$EO$24)*($UP$4:$UP$40=1))&gt;0)</f>
      </c>
      <c r="UR24" t="str">
        <f>=$UR23+--($UQ24)</f>
      </c>
      <c r="US24" t="str">
        <f>IF(ROW()-3&gt;MAX($UR$4:$UR$40),"",INDEX($EO$4:$EO$40,MATCH(ROW()-3,$UR$4:$UR$40,0)))</f>
      </c>
      <c r="UT24" t="str">
        <f>IF(COUNTIF('Final Calculation Sheet'!$AL24:$BL24,0)+COUNTIF('Final Calculation Sheet'!$BN24:$BS24,0)&gt;0,0,1)</f>
      </c>
      <c r="UU24" t="str">
        <f>IF($ET$24="",FALSE,SUMPRODUCT(('Final Calculation Sheet'!$AB$4:$AB$40=$ET$24)*($UT$4:$UT$40=1))&gt;0)</f>
      </c>
      <c r="UV24" t="str">
        <f>=$UV23+--($UU24)</f>
      </c>
      <c r="UW24" t="str">
        <f>IF(ROW()-3&gt;MAX($UV$4:$UV$40),"",INDEX($ET$4:$ET$40,MATCH(ROW()-3,$UV$4:$UV$40,0)))</f>
      </c>
      <c r="UX24" t="str">
        <f>IF(COUNTIF('Final Calculation Sheet'!$AL24:$BM24,0)+COUNTIF('Final Calculation Sheet'!$BO24:$BS24,0)&gt;0,0,1)</f>
      </c>
      <c r="UY24" t="str">
        <f>IF($EY$24="",FALSE,SUMPRODUCT(('Final Calculation Sheet'!$AC$4:$AC$40=$EY$24)*($UX$4:$UX$40=1))&gt;0)</f>
      </c>
      <c r="UZ24" t="str">
        <f>=$UZ23+--($UY24)</f>
      </c>
      <c r="VA24" t="str">
        <f>IF(ROW()-3&gt;MAX($UZ$4:$UZ$40),"",INDEX($EY$4:$EY$40,MATCH(ROW()-3,$UZ$4:$UZ$40,0)))</f>
      </c>
      <c r="VB24" t="str">
        <f>IF(COUNTIF('Final Calculation Sheet'!$AL24:$BN24,0)+COUNTIF('Final Calculation Sheet'!$BP24:$BS24,0)&gt;0,0,1)</f>
      </c>
      <c r="VC24" t="str">
        <f>IF($FD$24="",FALSE,SUMPRODUCT(('Final Calculation Sheet'!$AD$4:$AD$40=$FD$24)*($VB$4:$VB$40=1))&gt;0)</f>
      </c>
      <c r="VD24" t="str">
        <f>=$VD23+--($VC24)</f>
      </c>
      <c r="VE24" t="str">
        <f>IF(ROW()-3&gt;MAX($VD$4:$VD$40),"",INDEX($FD$4:$FD$40,MATCH(ROW()-3,$VD$4:$VD$40,0)))</f>
      </c>
      <c r="VF24" t="str">
        <f>IF(COUNTIF('Final Calculation Sheet'!$AL24:$BO24,0)+COUNTIF('Final Calculation Sheet'!$BQ24:$BS24,0)&gt;0,0,1)</f>
      </c>
      <c r="VG24" t="str">
        <f>IF($FI$24="",FALSE,SUMPRODUCT(('Final Calculation Sheet'!$AE$4:$AE$40=$FI$24)*($VF$4:$VF$40=1))&gt;0)</f>
      </c>
      <c r="VH24" t="str">
        <f>=$VH23+--($VG24)</f>
      </c>
      <c r="VI24" t="str">
        <f>IF(ROW()-3&gt;MAX($VH$4:$VH$40),"",INDEX($FI$4:$FI$40,MATCH(ROW()-3,$VH$4:$VH$40,0)))</f>
      </c>
      <c r="VJ24" t="str">
        <f>IF(COUNTIF('Final Calculation Sheet'!$AL24:$BP24,0)+COUNTIF('Final Calculation Sheet'!$BR24:$BS24,0)&gt;0,0,1)</f>
      </c>
      <c r="VK24" t="str">
        <f>IF($FN$24="",FALSE,SUMPRODUCT(('Final Calculation Sheet'!$AF$4:$AF$40=$FN$24)*($VJ$4:$VJ$40=1))&gt;0)</f>
      </c>
      <c r="VL24" t="str">
        <f>=$VL23+--($VK24)</f>
      </c>
      <c r="VM24" t="str">
        <f>IF(ROW()-3&gt;MAX($VL$4:$VL$40),"",INDEX($FN$4:$FN$40,MATCH(ROW()-3,$VL$4:$VL$40,0)))</f>
      </c>
      <c r="VN24" t="str">
        <f>IF(COUNTIF('Final Calculation Sheet'!$AL24:$BQ24,0)+COUNTIF('Final Calculation Sheet'!$BS24:$BS24,0)&gt;0,0,1)</f>
      </c>
      <c r="VO24" t="str">
        <f>IF($FS$24="",FALSE,SUMPRODUCT(('Final Calculation Sheet'!$AG$4:$AG$40=$FS$24)*($VN$4:$VN$40=1))&gt;0)</f>
      </c>
      <c r="VP24" t="str">
        <f>=$VP23+--($VO24)</f>
      </c>
      <c r="VQ24" t="str">
        <f>IF(ROW()-3&gt;MAX($VP$4:$VP$40),"",INDEX($FS$4:$FS$40,MATCH(ROW()-3,$VP$4:$VP$40,0)))</f>
      </c>
      <c r="VR24" t="str">
        <f>IF(COUNTIF('Final Calculation Sheet'!$AL24:$BR24,0)&gt;0,0,1)</f>
      </c>
      <c r="VS24" t="str">
        <f>IF($QO$24="",FALSE,SUMPRODUCT(('Final Calculation Sheet'!$AH$4:$AH$40=$QO$24)*($VR$4:$VR$40=1))&gt;0)</f>
      </c>
      <c r="VT24" t="str">
        <f>=$VT23+--($VS24)</f>
      </c>
      <c r="VU24" t="str">
        <f>IF(ROW()-3&gt;MAX($VT$4:$VT$40),"",INDEX($QO$4:$QO$40,MATCH(ROW()-3,$VT$4:$VT$40,0)))</f>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IF(ROW()-3&gt;MAX($LC$4:$LC$40),"",INDEX($FS$4:$FS$40,MATCH(ROW()-3,$LC$4:$LC$40,0)))</f>
        <v/>
      </c>
      <c r="LE25">
        <f>IF(COUNTIF('Buyer Groups'!DH25:EN25,0)&gt;0,0,1)</f>
        <v/>
      </c>
      <c r="LF25">
        <f>IF($O$25="",FALSE,SUMPRODUCT(('Final Calculation Sheet'!$F$4:$F$40=$O$25)*($LE$6:$LE$42=1))&gt;0)</f>
        <v/>
      </c>
      <c r="LG25">
        <f>$LG$24+--($LF25)</f>
        <v/>
      </c>
      <c r="LH25">
        <f>IF(ROW()-3&gt;MAX($LG$4:$LG$40),"",INDEX($O$4:$O$40,MATCH(ROW()-3,$LG$4:$LG$40,0)))</f>
        <v/>
      </c>
      <c r="LI25">
        <f>IF(COUNTIF('Buyer Groups'!DG25:DG25,0)+COUNTIF('Buyer Groups'!DI25:EN25,0)&gt;0,0,1)</f>
        <v/>
      </c>
      <c r="LJ25">
        <f>IF($T$25="",FALSE,SUMPRODUCT(('Final Calculation Sheet'!$G$4:$G$40=$T$25)*($LI$6:$LI$42=1))&gt;0)</f>
        <v/>
      </c>
      <c r="LK25">
        <f>$LK$24+--($LJ25)</f>
        <v/>
      </c>
      <c r="LL25">
        <f>IF(ROW()-3&gt;MAX($LK$4:$LK$40),"",INDEX($T$4:$T$40,MATCH(ROW()-3,$LK$4:$LK$40,0)))</f>
        <v/>
      </c>
      <c r="LM25">
        <f>IF(COUNTIF('Buyer Groups'!DG25:DH25,0)+COUNTIF('Buyer Groups'!DJ25:EN25,0)&gt;0,0,1)</f>
        <v/>
      </c>
      <c r="LN25">
        <f>IF($Y$25="",FALSE,SUMPRODUCT(('Final Calculation Sheet'!$B$4:$B$40=$Y$25)*($LM$6:$LM$42=1))&gt;0)</f>
        <v/>
      </c>
      <c r="LO25">
        <f>$LO$24+--($LN25)</f>
        <v/>
      </c>
      <c r="LP25">
        <f>IF(ROW()-3&gt;MAX($LO$4:$LO$40),"",INDEX($Y$4:$Y$40,MATCH(ROW()-3,$LO$4:$LO$40,0)))</f>
        <v/>
      </c>
      <c r="LQ25">
        <f>IF(COUNTIF('Buyer Groups'!DG25:DI25,0)+COUNTIF('Buyer Groups'!DK25:EN25,0)&gt;0,0,1)</f>
        <v/>
      </c>
      <c r="LR25">
        <f>IF($AD$25="",FALSE,SUMPRODUCT(('Final Calculation Sheet'!$D$4:$D$40=$AD$25)*($LQ$6:$LQ$42=1))&gt;0)</f>
        <v/>
      </c>
      <c r="LS25">
        <f>$LS$24+--($LR25)</f>
        <v/>
      </c>
      <c r="LT25">
        <f>IF(ROW()-3&gt;MAX($LS$4:$LS$40),"",INDEX($AD$4:$AD$40,MATCH(ROW()-3,$LS$4:$LS$40,0)))</f>
        <v/>
      </c>
      <c r="LU25">
        <f>IF(COUNTIF('Buyer Groups'!DG25:DJ25,0)+COUNTIF('Buyer Groups'!DL25:EN25,0)&gt;0,0,1)</f>
        <v/>
      </c>
      <c r="LV25">
        <f>IF($AI$25="",FALSE,SUMPRODUCT(('Final Calculation Sheet'!$A$4:$A$40=$AI$25)*($LU$6:$LU$42=1))&gt;0)</f>
        <v/>
      </c>
      <c r="LW25">
        <f>$LW$24+--($LV25)</f>
        <v/>
      </c>
      <c r="LX25">
        <f>IF(ROW()-3&gt;MAX($LW$4:$LW$40),"",INDEX($AI$4:$AI$40,MATCH(ROW()-3,$LW$4:$LW$40,0)))</f>
        <v/>
      </c>
      <c r="LY25">
        <f>IF(COUNTIF('Buyer Groups'!DG25:DK25,0)+COUNTIF('Buyer Groups'!DM25:EN25,0)&gt;0,0,1)</f>
        <v/>
      </c>
      <c r="LZ25">
        <f>IF($AN$25="",FALSE,SUMPRODUCT(('Final Calculation Sheet'!$E$4:$E$40=$AN$25)*($LY$6:$LY$42=1))&gt;0)</f>
        <v/>
      </c>
      <c r="MA25">
        <f>$MA$24+--($LZ25)</f>
        <v/>
      </c>
      <c r="MB25">
        <f>IF(ROW()-3&gt;MAX($MA$4:$MA$40),"",INDEX($AN$4:$AN$40,MATCH(ROW()-3,$MA$4:$MA$40,0)))</f>
        <v/>
      </c>
      <c r="MC25">
        <f>IF(COUNTIF('Buyer Groups'!DG25:DL25,0)+COUNTIF('Buyer Groups'!DN25:EN25,0)&gt;0,0,1)</f>
        <v/>
      </c>
      <c r="MD25">
        <f>IF($AS$25="",FALSE,SUMPRODUCT(('Final Calculation Sheet'!$C$4:$C$40=$AS$25)*($MC$6:$MC$42=1))&gt;0)</f>
        <v/>
      </c>
      <c r="ME25">
        <f>$ME$24+--($MD25)</f>
        <v/>
      </c>
      <c r="MF25">
        <f>IF(ROW()-3&gt;MAX($ME$4:$ME$40),"",INDEX($AS$4:$AS$40,MATCH(ROW()-3,$ME$4:$ME$40,0)))</f>
        <v/>
      </c>
      <c r="MG25">
        <f>IF(COUNTIF('Buyer Groups'!DG25:DM25,0)+COUNTIF('Buyer Groups'!DO25:EN25,0)&gt;0,0,1)</f>
        <v/>
      </c>
      <c r="MH25">
        <f>IF($AX$25="",FALSE,SUMPRODUCT(('Final Calculation Sheet'!$H$4:$H$40=$AX$25)*($MG$6:$MG$42=1))&gt;0)</f>
        <v/>
      </c>
      <c r="MI25">
        <f>$MI$24+--($MH25)</f>
        <v/>
      </c>
      <c r="MJ25">
        <f>IF(ROW()-3&gt;MAX($MI$4:$MI$40),"",INDEX($AX$4:$AX$40,MATCH(ROW()-3,$MI$4:$MI$40,0)))</f>
        <v/>
      </c>
      <c r="MK25">
        <f>IF(COUNTIF('Buyer Groups'!DG25:DN25,0)+COUNTIF('Buyer Groups'!DP25:EN25,0)&gt;0,0,1)</f>
        <v/>
      </c>
      <c r="ML25">
        <f>IF($BC$25="",FALSE,SUMPRODUCT(('Final Calculation Sheet'!$I$4:$I$40=$BC$25)*($MK$6:$MK$42=1))&gt;0)</f>
        <v/>
      </c>
      <c r="MM25">
        <f>$MM$24+--($ML25)</f>
        <v/>
      </c>
      <c r="MN25">
        <f>IF(ROW()-3&gt;MAX($MM$4:$MM$40),"",INDEX($BC$4:$BC$40,MATCH(ROW()-3,$MM$4:$MM$40,0)))</f>
        <v/>
      </c>
      <c r="MO25">
        <f>IF(COUNTIF('Buyer Groups'!DG25:DO25,0)+COUNTIF('Buyer Groups'!DQ25:EN25,0)&gt;0,0,1)</f>
        <v/>
      </c>
      <c r="MP25">
        <f>IF($BH$25="",FALSE,SUMPRODUCT(('Final Calculation Sheet'!$J$4:$J$40=$BH$25)*($MO$6:$MO$42=1))&gt;0)</f>
        <v/>
      </c>
      <c r="MQ25">
        <f>$MQ$24+--($MP25)</f>
        <v/>
      </c>
      <c r="MR25">
        <f>IF(ROW()-3&gt;MAX($MQ$4:$MQ$40),"",INDEX($BH$4:$BH$40,MATCH(ROW()-3,$MQ$4:$MQ$40,0)))</f>
        <v/>
      </c>
      <c r="MS25">
        <f>IF(COUNTIF('Buyer Groups'!DG25:DP25,0)+COUNTIF('Buyer Groups'!DR25:EN25,0)&gt;0,0,1)</f>
        <v/>
      </c>
      <c r="MT25">
        <f>IF($BM$25="",FALSE,SUMPRODUCT(('Final Calculation Sheet'!$K$4:$K$40=$BM$25)*($MS$6:$MS$42=1))&gt;0)</f>
        <v/>
      </c>
      <c r="MU25">
        <f>$MU$24+--($MT25)</f>
        <v/>
      </c>
      <c r="MV25">
        <f>IF(ROW()-3&gt;MAX($MU$4:$MU$40),"",INDEX($BM$4:$BM$40,MATCH(ROW()-3,$MU$4:$MU$40,0)))</f>
        <v/>
      </c>
      <c r="MW25">
        <f>IF(COUNTIF('Buyer Groups'!DG25:DQ25,0)+COUNTIF('Buyer Groups'!DS25:EN25,0)&gt;0,0,1)</f>
        <v/>
      </c>
      <c r="MX25">
        <f>IF($BR$25="",FALSE,SUMPRODUCT(('Final Calculation Sheet'!$L$4:$L$40=$BR$25)*($MW$6:$MW$42=1))&gt;0)</f>
        <v/>
      </c>
      <c r="MY25">
        <f>$MY$24+--($MX25)</f>
        <v/>
      </c>
      <c r="MZ25">
        <f>IF(ROW()-3&gt;MAX($MY$4:$MY$40),"",INDEX($BR$4:$BR$40,MATCH(ROW()-3,$MY$4:$MY$40,0)))</f>
        <v/>
      </c>
      <c r="NA25">
        <f>IF(COUNTIF('Buyer Groups'!DG25:DR25,0)+COUNTIF('Buyer Groups'!DT25:EN25,0)&gt;0,0,1)</f>
        <v/>
      </c>
      <c r="NB25">
        <f>IF($BW$25="",FALSE,SUMPRODUCT(('Final Calculation Sheet'!$M$4:$M$40=$BW$25)*($NA$6:$NA$42=1))&gt;0)</f>
        <v/>
      </c>
      <c r="NC25">
        <f>$NC$24+--($NB25)</f>
        <v/>
      </c>
      <c r="ND25">
        <f>IF(ROW()-3&gt;MAX($NC$4:$NC$40),"",INDEX($BW$4:$BW$40,MATCH(ROW()-3,$NC$4:$NC$40,0)))</f>
        <v/>
      </c>
      <c r="NE25">
        <f>IF(COUNTIF('Buyer Groups'!DG25:DS25,0)+COUNTIF('Buyer Groups'!DU25:EN25,0)&gt;0,0,1)</f>
        <v/>
      </c>
      <c r="NF25">
        <f>IF($CB$25="",FALSE,SUMPRODUCT(('Final Calculation Sheet'!$N$4:$N$40=$CB$25)*($NE$6:$NE$42=1))&gt;0)</f>
        <v/>
      </c>
      <c r="NG25">
        <f>$NG$24+--($NF25)</f>
        <v/>
      </c>
      <c r="NH25">
        <f>IF(ROW()-3&gt;MAX($NG$4:$NG$40),"",INDEX($CB$4:$CB$40,MATCH(ROW()-3,$NG$4:$NG$40,0)))</f>
        <v/>
      </c>
      <c r="NI25">
        <f>IF(COUNTIF('Buyer Groups'!DG25:DT25,0)+COUNTIF('Buyer Groups'!DV25:EN25,0)&gt;0,0,1)</f>
        <v/>
      </c>
      <c r="NJ25">
        <f>IF($CG$25="",FALSE,SUMPRODUCT(('Final Calculation Sheet'!$O$4:$O$40=$CG$25)*($NI$6:$NI$42=1))&gt;0)</f>
        <v/>
      </c>
      <c r="NK25">
        <f>$NK$24+--($NJ25)</f>
        <v/>
      </c>
      <c r="NL25">
        <f>IF(ROW()-3&gt;MAX($NK$4:$NK$40),"",INDEX($CG$4:$CG$40,MATCH(ROW()-3,$NK$4:$NK$40,0)))</f>
        <v/>
      </c>
      <c r="NM25">
        <f>IF(COUNTIF('Buyer Groups'!DG25:DU25,0)+COUNTIF('Buyer Groups'!DW25:EN25,0)&gt;0,0,1)</f>
        <v/>
      </c>
      <c r="NN25">
        <f>IF($CL$25="",FALSE,SUMPRODUCT(('Final Calculation Sheet'!$P$4:$P$40=$CL$25)*($NM$6:$NM$42=1))&gt;0)</f>
        <v/>
      </c>
      <c r="NO25">
        <f>$NO$24+--($NN25)</f>
        <v/>
      </c>
      <c r="NP25">
        <f>IF(ROW()-3&gt;MAX($NO$4:$NO$40),"",INDEX($CL$4:$CL$40,MATCH(ROW()-3,$NO$4:$NO$40,0)))</f>
        <v/>
      </c>
      <c r="NQ25">
        <f>IF(COUNTIF('Buyer Groups'!DG25:DV25,0)+COUNTIF('Buyer Groups'!DX25:EN25,0)&gt;0,0,1)</f>
        <v/>
      </c>
      <c r="NR25">
        <f>IF($CQ$25="",FALSE,SUMPRODUCT(('Final Calculation Sheet'!$Q$4:$Q$40=$CQ$25)*($NQ$6:$NQ$42=1))&gt;0)</f>
        <v/>
      </c>
      <c r="NS25">
        <f>$NS$24+--($NR25)</f>
        <v/>
      </c>
      <c r="NT25">
        <f>IF(ROW()-3&gt;MAX($NS$4:$NS$40),"",INDEX($CQ$4:$CQ$40,MATCH(ROW()-3,$NS$4:$NS$40,0)))</f>
        <v/>
      </c>
      <c r="NU25">
        <f>IF(COUNTIF('Buyer Groups'!DG25:DW25,0)+COUNTIF('Buyer Groups'!DY25:EN25,0)&gt;0,0,1)</f>
        <v/>
      </c>
      <c r="NV25">
        <f>IF($CV$25="",FALSE,SUMPRODUCT(('Final Calculation Sheet'!$R$4:$R$40=$CV$25)*($NU$6:$NU$42=1))&gt;0)</f>
        <v/>
      </c>
      <c r="NW25">
        <f>$NW$24+--($NV25)</f>
        <v/>
      </c>
      <c r="NX25">
        <f>IF(ROW()-3&gt;MAX($NW$4:$NW$40),"",INDEX($CV$4:$CV$40,MATCH(ROW()-3,$NW$4:$NW$40,0)))</f>
        <v/>
      </c>
      <c r="NY25">
        <f>IF(COUNTIF('Buyer Groups'!DG25:DX25,0)+COUNTIF('Buyer Groups'!DZ25:EN25,0)&gt;0,0,1)</f>
        <v/>
      </c>
      <c r="NZ25">
        <f>IF($DA$25="",FALSE,SUMPRODUCT(('Final Calculation Sheet'!$S$4:$S$40=$DA$25)*($NY$6:$NY$42=1))&gt;0)</f>
        <v/>
      </c>
      <c r="OA25">
        <f>$OA$24+--($NZ25)</f>
        <v/>
      </c>
      <c r="OB25">
        <f>IF(ROW()-3&gt;MAX($OA$4:$OA$40),"",INDEX($DA$4:$DA$40,MATCH(ROW()-3,$OA$4:$OA$40,0)))</f>
        <v/>
      </c>
      <c r="OC25">
        <f>IF(COUNTIF('Buyer Groups'!DG25:DY25,0)+COUNTIF('Buyer Groups'!EA25:EN25,0)&gt;0,0,1)</f>
        <v/>
      </c>
      <c r="OD25">
        <f>IF($DF$25="",FALSE,SUMPRODUCT(('Final Calculation Sheet'!$T$4:$T$40=$DF$25)*($OC$6:$OC$42=1))&gt;0)</f>
        <v/>
      </c>
      <c r="OE25">
        <f>$OE$24+--($OD25)</f>
        <v/>
      </c>
      <c r="OF25">
        <f>IF(ROW()-3&gt;MAX($OE$4:$OE$40),"",INDEX($DF$4:$DF$40,MATCH(ROW()-3,$OE$4:$OE$40,0)))</f>
        <v/>
      </c>
      <c r="OG25">
        <f>IF(COUNTIF('Buyer Groups'!DG25:DZ25,0)+COUNTIF('Buyer Groups'!EB25:EN25,0)&gt;0,0,1)</f>
        <v/>
      </c>
      <c r="OH25">
        <f>IF($DK$25="",FALSE,SUMPRODUCT(('Final Calculation Sheet'!$U$4:$U$40=$DK$25)*($OG$6:$OG$42=1))&gt;0)</f>
        <v/>
      </c>
      <c r="OI25">
        <f>$OI$24+--($OH25)</f>
        <v/>
      </c>
      <c r="OJ25">
        <f>IF(ROW()-3&gt;MAX($OI$4:$OI$40),"",INDEX($DK$4:$DK$40,MATCH(ROW()-3,$OI$4:$OI$40,0)))</f>
        <v/>
      </c>
      <c r="OK25">
        <f>IF(COUNTIF('Buyer Groups'!DG25:EA25,0)+COUNTIF('Buyer Groups'!EC25:EN25,0)&gt;0,0,1)</f>
        <v/>
      </c>
      <c r="OL25">
        <f>IF($DP$25="",FALSE,SUMPRODUCT(('Final Calculation Sheet'!$V$4:$V$40=$DP$25)*($OK$6:$OK$42=1))&gt;0)</f>
        <v/>
      </c>
      <c r="OM25">
        <f>$OM$24+--($OL25)</f>
        <v/>
      </c>
      <c r="ON25">
        <f>IF(ROW()-3&gt;MAX($OM$4:$OM$40),"",INDEX($DP$4:$DP$40,MATCH(ROW()-3,$OM$4:$OM$40,0)))</f>
        <v/>
      </c>
      <c r="OO25">
        <f>IF(COUNTIF('Buyer Groups'!DG25:EB25,0)+COUNTIF('Buyer Groups'!ED25:EN25,0)&gt;0,0,1)</f>
        <v/>
      </c>
      <c r="OP25">
        <f>IF($DU$25="",FALSE,SUMPRODUCT(('Final Calculation Sheet'!$W$4:$W$40=$DU$25)*($OO$6:$OO$42=1))&gt;0)</f>
        <v/>
      </c>
      <c r="OQ25">
        <f>$OQ$24+--($OP25)</f>
        <v/>
      </c>
      <c r="OR25">
        <f>IF(ROW()-3&gt;MAX($OQ$4:$OQ$40),"",INDEX($DU$4:$DU$40,MATCH(ROW()-3,$OQ$4:$OQ$40,0)))</f>
        <v/>
      </c>
      <c r="OS25">
        <f>IF(COUNTIF('Buyer Groups'!DG25:EC25,0)+COUNTIF('Buyer Groups'!EE25:EN25,0)&gt;0,0,1)</f>
        <v/>
      </c>
      <c r="OT25">
        <f>IF($DZ$25="",FALSE,SUMPRODUCT(('Final Calculation Sheet'!$X$4:$X$40=$DZ$25)*($OS$6:$OS$42=1))&gt;0)</f>
        <v/>
      </c>
      <c r="OU25">
        <f>$OU$24+--($OT25)</f>
        <v/>
      </c>
      <c r="OV25">
        <f>IF(ROW()-3&gt;MAX($OU$4:$OU$40),"",INDEX($DZ$4:$DZ$40,MATCH(ROW()-3,$OU$4:$OU$40,0)))</f>
        <v/>
      </c>
      <c r="OW25">
        <f>IF(COUNTIF('Buyer Groups'!DG25:ED25,0)+COUNTIF('Buyer Groups'!EF25:EN25,0)&gt;0,0,1)</f>
        <v/>
      </c>
      <c r="OX25">
        <f>IF($EE$25="",FALSE,SUMPRODUCT(('Final Calculation Sheet'!$Y$4:$Y$40=$EE$25)*($OW$6:$OW$42=1))&gt;0)</f>
        <v/>
      </c>
      <c r="OY25">
        <f>$OY$24+--($OX25)</f>
        <v/>
      </c>
      <c r="OZ25">
        <f>IF(ROW()-3&gt;MAX($OY$4:$OY$40),"",INDEX($EE$4:$EE$40,MATCH(ROW()-3,$OY$4:$OY$40,0)))</f>
        <v/>
      </c>
      <c r="PA25">
        <f>IF(COUNTIF('Buyer Groups'!DG25:EE25,0)+COUNTIF('Buyer Groups'!EG25:EN25,0)&gt;0,0,1)</f>
        <v/>
      </c>
      <c r="PB25">
        <f>IF($EJ$25="",FALSE,SUMPRODUCT(('Final Calculation Sheet'!$Z$4:$Z$40=$EJ$25)*($PA$6:$PA$42=1))&gt;0)</f>
        <v/>
      </c>
      <c r="PC25">
        <f>$PC$24+--($PB25)</f>
        <v/>
      </c>
      <c r="PD25">
        <f>IF(ROW()-3&gt;MAX($PC$4:$PC$40),"",INDEX($EJ$4:$EJ$40,MATCH(ROW()-3,$PC$4:$PC$40,0)))</f>
        <v/>
      </c>
      <c r="PE25">
        <f>IF(COUNTIF('Buyer Groups'!DG25:EF25,0)+COUNTIF('Buyer Groups'!EH25:EN25,0)&gt;0,0,1)</f>
        <v/>
      </c>
      <c r="PF25">
        <f>IF($EO$25="",FALSE,SUMPRODUCT(('Final Calculation Sheet'!$AA$4:$AA$40=$EO$25)*($PE$6:$PE$42=1))&gt;0)</f>
        <v/>
      </c>
      <c r="PG25">
        <f>$PG$24+--($PF25)</f>
        <v/>
      </c>
      <c r="PH25">
        <f>IF(ROW()-3&gt;MAX($PG$4:$PG$40),"",INDEX($EO$4:$EO$40,MATCH(ROW()-3,$PG$4:$PG$40,0)))</f>
        <v/>
      </c>
      <c r="PI25">
        <f>IF(COUNTIF('Buyer Groups'!DG25:EG25,0)+COUNTIF('Buyer Groups'!EI25:EN25,0)&gt;0,0,1)</f>
        <v/>
      </c>
      <c r="PJ25">
        <f>IF($ET$25="",FALSE,SUMPRODUCT(('Final Calculation Sheet'!$AB$4:$AB$40=$ET$25)*($PI$6:$PI$42=1))&gt;0)</f>
        <v/>
      </c>
      <c r="PK25">
        <f>$PK$24+--($PJ25)</f>
        <v/>
      </c>
      <c r="PL25">
        <f>IF(ROW()-3&gt;MAX($PK$4:$PK$40),"",INDEX($ET$4:$ET$40,MATCH(ROW()-3,$PK$4:$PK$40,0)))</f>
        <v/>
      </c>
      <c r="PM25">
        <f>IF(COUNTIF('Buyer Groups'!DG25:EH25,0)+COUNTIF('Buyer Groups'!EJ25:EN25,0)&gt;0,0,1)</f>
        <v/>
      </c>
      <c r="PN25">
        <f>IF($EY$25="",FALSE,SUMPRODUCT(('Final Calculation Sheet'!$AC$4:$AC$40=$EY$25)*($PM$6:$PM$42=1))&gt;0)</f>
        <v/>
      </c>
      <c r="PO25">
        <f>$PO$24+--($PN25)</f>
        <v/>
      </c>
      <c r="PP25">
        <f>IF(ROW()-3&gt;MAX($PO$4:$PO$40),"",INDEX($EY$4:$EY$40,MATCH(ROW()-3,$PO$4:$PO$40,0)))</f>
        <v/>
      </c>
      <c r="PQ25">
        <f>IF(COUNTIF('Buyer Groups'!DG25:EI25,0)+COUNTIF('Buyer Groups'!EK25:EN25,0)&gt;0,0,1)</f>
        <v/>
      </c>
      <c r="PR25">
        <f>IF($FD$25="",FALSE,SUMPRODUCT(('Final Calculation Sheet'!$AD$4:$AD$40=$FD$25)*($PQ$6:$PQ$42=1))&gt;0)</f>
        <v/>
      </c>
      <c r="PS25">
        <f>$PS$24+--($PR25)</f>
        <v/>
      </c>
      <c r="PT25">
        <f>IF(ROW()-3&gt;MAX($PS$4:$PS$40),"",INDEX($FD$4:$FD$40,MATCH(ROW()-3,$PS$4:$PS$40,0)))</f>
        <v/>
      </c>
      <c r="PU25">
        <f>IF(COUNTIF('Buyer Groups'!DG25:EJ25,0)+COUNTIF('Buyer Groups'!EL25:EN25,0)&gt;0,0,1)</f>
        <v/>
      </c>
      <c r="PV25">
        <f>IF($FX$25="",FALSE,SUMPRODUCT((IF('Final Calculation Sheet'!$AD$4:$AD$40&lt;=5,"SETTLED","OUTSTANDING")=$FX$25)*($PU$6:$PU$42=1))&gt;0)</f>
        <v/>
      </c>
      <c r="PW25">
        <f>$PW$24+--($PV25)</f>
        <v/>
      </c>
      <c r="PX25">
        <f>IF(ROW()-3&gt;MAX($PW$4:$PW$40),"",INDEX($FX$4:$FX$40,MATCH(ROW()-3,$PW$4:$PW$40,0)))</f>
        <v/>
      </c>
      <c r="PY25">
        <f>IF(COUNTIF('Buyer Groups'!DG25:EK25,0)+COUNTIF('Buyer Groups'!EM25:EN25,0)&gt;0,0,1)</f>
        <v/>
      </c>
      <c r="PZ25">
        <f>IF($FI$25="",FALSE,SUMPRODUCT(('Final Calculation Sheet'!$AF$4:$AF$40=$FI$25)*($PY$6:$PY$42=1))&gt;0)</f>
        <v/>
      </c>
      <c r="QA25">
        <f>$QA$24+--($PZ25)</f>
        <v/>
      </c>
      <c r="QB25">
        <f>IF(ROW()-3&gt;MAX($QA$4:$QA$40),"",INDEX($FI$4:$FI$40,MATCH(ROW()-3,$QA$4:$QA$40,0)))</f>
        <v/>
      </c>
      <c r="QC25">
        <f>IF(COUNTIF('Buyer Groups'!DG25:EL25,0)+COUNTIF('Buyer Groups'!EN25:EN25,0)&gt;0,0,1)</f>
        <v/>
      </c>
      <c r="QD25">
        <f>IF($FN$25="",FALSE,SUMPRODUCT(('Final Calculation Sheet'!$AG$4:$AG$40=$FN$25)*($QC$6:$QC$42=1))&gt;0)</f>
        <v/>
      </c>
      <c r="QE25">
        <f>$QE$24+--($QD25)</f>
        <v/>
      </c>
      <c r="QF25">
        <f>IF(ROW()-3&gt;MAX($QE$4:$QE$40),"",INDEX($FN$4:$FN$40,MATCH(ROW()-3,$QE$4:$QE$40,0)))</f>
        <v/>
      </c>
      <c r="QG25">
        <f>IF(COUNTIF('Buyer Groups'!DG25:EM25,0)&gt;0,0,1)</f>
        <v/>
      </c>
      <c r="QH25">
        <f>IF($FS$25="",FALSE,SUMPRODUCT(('Final Calculation Sheet'!$AH$4:$AH$40=$FS$25)*($QG$6:$QG$42=1))&gt;0)</f>
        <v/>
      </c>
      <c r="QI25">
        <f>$QI$24+--($QH25)</f>
        <v/>
      </c>
      <c r="QJ25">
        <f>IF(ROW()-3&gt;MAX($QI$4:$QI$40),"",INDEX($FS$4:$FS$40,MATCH(ROW()-3,$QI$4:$QI$40,0)))</f>
        <v/>
      </c>
      <c r="QK25" t="str">
        <f>IF('Final Calculation Sheet'!$AH$25="","",'Final Calculation Sheet'!$AH$25)</f>
      </c>
      <c r="QL25" t="str">
        <f>IF(QK25="","",COUNTIFS(QK$4:QK$40,"&lt;"&amp;QK25,QK$4:QK$40,"&lt;&gt;"&amp;"")+COUNTIF(QK$4:QK25,QK25))</f>
      </c>
      <c r="QM25" t="str">
        <f>IF(ROW()-3&gt;COUNTIF(QK$4:QK$40,"&lt;&gt;"&amp;""),"",INDEX(QK$4:QK$40,MATCH(ROW()-3,QL$4:QL$40,0)))</f>
      </c>
      <c r="QN25" t="str">
        <f>=QN24+F(AND(QM25&lt;&gt;"",COUNTIF(QM$4:QM25,QM25)=1),1,0)</f>
      </c>
      <c r="QO25" t="str">
        <f>IF(ROW()-3&gt;MAX(QN$4:QN$40),"",INDEX(QM$4:QM$40,MATCH(ROW()-3,QN$4:QN$40,0)))</f>
      </c>
      <c r="QP25" t="str">
        <f>IF(COUNTIF('Final Calculation Sheet'!$AM25:$BS25,0)&gt;0,0,1)</f>
      </c>
      <c r="QQ25" t="str">
        <f>IF($AI$25="",FALSE,SUMPRODUCT(('Final Calculation Sheet'!$A$4:$A$40=$AI$25)*($QP$4:$QP$40=1))&gt;0)</f>
      </c>
      <c r="QR25" t="str">
        <f>=$QR24+--($QQ25)</f>
      </c>
      <c r="QS25" t="str">
        <f>IF(ROW()-3&gt;MAX($QR$4:$QR$40),"",INDEX($AI$4:$AI$40,MATCH(ROW()-3,$QR$4:$QR$40,0)))</f>
      </c>
      <c r="QT25" t="str">
        <f>IF(COUNTIF('Final Calculation Sheet'!$AL25:$AL25,0)+COUNTIF('Final Calculation Sheet'!$AN25:$BS25,0)&gt;0,0,1)</f>
      </c>
      <c r="QU25" t="str">
        <f>IF($Y$25="",FALSE,SUMPRODUCT(('Final Calculation Sheet'!$B$4:$B$40=$Y$25)*($QT$4:$QT$40=1))&gt;0)</f>
      </c>
      <c r="QV25" t="str">
        <f>=$QV24+--($QU25)</f>
      </c>
      <c r="QW25" t="str">
        <f>IF(ROW()-3&gt;MAX($QV$4:$QV$40),"",INDEX($Y$4:$Y$40,MATCH(ROW()-3,$QV$4:$QV$40,0)))</f>
      </c>
      <c r="QX25" t="str">
        <f>IF(COUNTIF('Final Calculation Sheet'!$AL25:$AM25,0)+COUNTIF('Final Calculation Sheet'!$AO25:$BS25,0)&gt;0,0,1)</f>
      </c>
      <c r="QY25" t="str">
        <f>IF($AS$25="",FALSE,SUMPRODUCT(('Final Calculation Sheet'!$C$4:$C$40=$AS$25)*($QX$4:$QX$40=1))&gt;0)</f>
      </c>
      <c r="QZ25" t="str">
        <f>=$QZ24+--($QY25)</f>
      </c>
      <c r="RA25" t="str">
        <f>IF(ROW()-3&gt;MAX($QZ$4:$QZ$40),"",INDEX($AS$4:$AS$40,MATCH(ROW()-3,$QZ$4:$QZ$40,0)))</f>
      </c>
      <c r="RB25" t="str">
        <f>IF(COUNTIF('Final Calculation Sheet'!$AL25:$AN25,0)+COUNTIF('Final Calculation Sheet'!$AP25:$BS25,0)&gt;0,0,1)</f>
      </c>
      <c r="RC25" t="str">
        <f>IF($AD$25="",FALSE,SUMPRODUCT(('Final Calculation Sheet'!$D$4:$D$40=$AD$25)*($RB$4:$RB$40=1))&gt;0)</f>
      </c>
      <c r="RD25" t="str">
        <f>=$RD24+--($RC25)</f>
      </c>
      <c r="RE25" t="str">
        <f>IF(ROW()-3&gt;MAX($RD$4:$RD$40),"",INDEX($AD$4:$AD$40,MATCH(ROW()-3,$RD$4:$RD$40,0)))</f>
      </c>
      <c r="RF25" t="str">
        <f>IF(COUNTIF('Final Calculation Sheet'!$AL25:$AO25,0)+COUNTIF('Final Calculation Sheet'!$AQ25:$BS25,0)&gt;0,0,1)</f>
      </c>
      <c r="RG25" t="str">
        <f>IF($AN$25="",FALSE,SUMPRODUCT(('Final Calculation Sheet'!$E$4:$E$40=$AN$25)*($RF$4:$RF$40=1))&gt;0)</f>
      </c>
      <c r="RH25" t="str">
        <f>=$RH24+--($RG25)</f>
      </c>
      <c r="RI25" t="str">
        <f>IF(ROW()-3&gt;MAX($RH$4:$RH$40),"",INDEX($AN$4:$AN$40,MATCH(ROW()-3,$RH$4:$RH$40,0)))</f>
      </c>
      <c r="RJ25" t="str">
        <f>IF(COUNTIF('Final Calculation Sheet'!$AL25:$AP25,0)+COUNTIF('Final Calculation Sheet'!$AR25:$BS25,0)&gt;0,0,1)</f>
      </c>
      <c r="RK25" t="str">
        <f>IF($O$25="",FALSE,SUMPRODUCT(('Final Calculation Sheet'!$F$4:$F$40=$O$25)*($RJ$4:$RJ$40=1))&gt;0)</f>
      </c>
      <c r="RL25" t="str">
        <f>=$RL24+--($RK25)</f>
      </c>
      <c r="RM25" t="str">
        <f>IF(ROW()-3&gt;MAX($RL$4:$RL$40),"",INDEX($O$4:$O$40,MATCH(ROW()-3,$RL$4:$RL$40,0)))</f>
      </c>
      <c r="RN25" t="str">
        <f>IF(COUNTIF('Final Calculation Sheet'!$AL25:$AQ25,0)+COUNTIF('Final Calculation Sheet'!$AS25:$BS25,0)&gt;0,0,1)</f>
      </c>
      <c r="RO25" t="str">
        <f>IF($T$25="",FALSE,SUMPRODUCT(('Final Calculation Sheet'!$G$4:$G$40=$T$25)*($RN$4:$RN$40=1))&gt;0)</f>
      </c>
      <c r="RP25" t="str">
        <f>=$RP24+--($RO25)</f>
      </c>
      <c r="RQ25" t="str">
        <f>IF(ROW()-3&gt;MAX($RP$4:$RP$40),"",INDEX($T$4:$T$40,MATCH(ROW()-3,$RP$4:$RP$40,0)))</f>
      </c>
      <c r="RR25" t="str">
        <f>IF(COUNTIF('Final Calculation Sheet'!$AL25:$AR25,0)+COUNTIF('Final Calculation Sheet'!$AT25:$BS25,0)&gt;0,0,1)</f>
      </c>
      <c r="RS25" t="str">
        <f>IF($AX$25="",FALSE,SUMPRODUCT(('Final Calculation Sheet'!$H$4:$H$40=$AX$25)*($RR$4:$RR$40=1))&gt;0)</f>
      </c>
      <c r="RT25" t="str">
        <f>=$RT24+--($RS25)</f>
      </c>
      <c r="RU25" t="str">
        <f>IF(ROW()-3&gt;MAX($RT$4:$RT$40),"",INDEX($AX$4:$AX$40,MATCH(ROW()-3,$RT$4:$RT$40,0)))</f>
      </c>
      <c r="RV25" t="str">
        <f>IF(COUNTIF('Final Calculation Sheet'!$AL25:$AS25,0)+COUNTIF('Final Calculation Sheet'!$AU25:$BS25,0)&gt;0,0,1)</f>
      </c>
      <c r="RW25" t="str">
        <f>IF($BC$25="",FALSE,SUMPRODUCT(('Final Calculation Sheet'!$I$4:$I$40=$BC$25)*($RV$4:$RV$40=1))&gt;0)</f>
      </c>
      <c r="RX25" t="str">
        <f>=$RX24+--($RW25)</f>
      </c>
      <c r="RY25" t="str">
        <f>IF(ROW()-3&gt;MAX($RX$4:$RX$40),"",INDEX($BC$4:$BC$40,MATCH(ROW()-3,$RX$4:$RX$40,0)))</f>
      </c>
      <c r="RZ25" t="str">
        <f>IF(COUNTIF('Final Calculation Sheet'!$AL25:$AT25,0)+COUNTIF('Final Calculation Sheet'!$AV25:$BS25,0)&gt;0,0,1)</f>
      </c>
      <c r="SA25" t="str">
        <f>IF($BH$25="",FALSE,SUMPRODUCT(('Final Calculation Sheet'!$J$4:$J$40=$BH$25)*($RZ$4:$RZ$40=1))&gt;0)</f>
      </c>
      <c r="SB25" t="str">
        <f>=$SB24+--($SA25)</f>
      </c>
      <c r="SC25" t="str">
        <f>IF(ROW()-3&gt;MAX($SB$4:$SB$40),"",INDEX($BH$4:$BH$40,MATCH(ROW()-3,$SB$4:$SB$40,0)))</f>
      </c>
      <c r="SD25" t="str">
        <f>IF(COUNTIF('Final Calculation Sheet'!$AL25:$AU25,0)+COUNTIF('Final Calculation Sheet'!$AW25:$BS25,0)&gt;0,0,1)</f>
      </c>
      <c r="SE25" t="str">
        <f>IF($BM$25="",FALSE,SUMPRODUCT(('Final Calculation Sheet'!$K$4:$K$40=$BM$25)*($SD$4:$SD$40=1))&gt;0)</f>
      </c>
      <c r="SF25" t="str">
        <f>=$SF24+--($SE25)</f>
      </c>
      <c r="SG25" t="str">
        <f>IF(ROW()-3&gt;MAX($SF$4:$SF$40),"",INDEX($BM$4:$BM$40,MATCH(ROW()-3,$SF$4:$SF$40,0)))</f>
      </c>
      <c r="SH25" t="str">
        <f>IF(COUNTIF('Final Calculation Sheet'!$AL25:$AV25,0)+COUNTIF('Final Calculation Sheet'!$AX25:$BS25,0)&gt;0,0,1)</f>
      </c>
      <c r="SI25" t="str">
        <f>IF($BR$25="",FALSE,SUMPRODUCT(('Final Calculation Sheet'!$L$4:$L$40=$BR$25)*($SH$4:$SH$40=1))&gt;0)</f>
      </c>
      <c r="SJ25" t="str">
        <f>=$SJ24+--($SI25)</f>
      </c>
      <c r="SK25" t="str">
        <f>IF(ROW()-3&gt;MAX($SJ$4:$SJ$40),"",INDEX($BR$4:$BR$40,MATCH(ROW()-3,$SJ$4:$SJ$40,0)))</f>
      </c>
      <c r="SL25" t="str">
        <f>IF(COUNTIF('Final Calculation Sheet'!$AL25:$AW25,0)+COUNTIF('Final Calculation Sheet'!$AY25:$BS25,0)&gt;0,0,1)</f>
      </c>
      <c r="SM25" t="str">
        <f>IF($BW$25="",FALSE,SUMPRODUCT(('Final Calculation Sheet'!$M$4:$M$40=$BW$25)*($SL$4:$SL$40=1))&gt;0)</f>
      </c>
      <c r="SN25" t="str">
        <f>=$SN24+--($SM25)</f>
      </c>
      <c r="SO25" t="str">
        <f>IF(ROW()-3&gt;MAX($SN$4:$SN$40),"",INDEX($BW$4:$BW$40,MATCH(ROW()-3,$SN$4:$SN$40,0)))</f>
      </c>
      <c r="SP25" t="str">
        <f>IF(COUNTIF('Final Calculation Sheet'!$AL25:$AX25,0)+COUNTIF('Final Calculation Sheet'!$AZ25:$BS25,0)&gt;0,0,1)</f>
      </c>
      <c r="SQ25" t="str">
        <f>IF($CB$25="",FALSE,SUMPRODUCT(('Final Calculation Sheet'!$N$4:$N$40=$CB$25)*($SP$4:$SP$40=1))&gt;0)</f>
      </c>
      <c r="SR25" t="str">
        <f>=$SR24+--($SQ25)</f>
      </c>
      <c r="SS25" t="str">
        <f>IF(ROW()-3&gt;MAX($SR$4:$SR$40),"",INDEX($CB$4:$CB$40,MATCH(ROW()-3,$SR$4:$SR$40,0)))</f>
      </c>
      <c r="ST25" t="str">
        <f>IF(COUNTIF('Final Calculation Sheet'!$AL25:$AY25,0)+COUNTIF('Final Calculation Sheet'!$BA25:$BS25,0)&gt;0,0,1)</f>
      </c>
      <c r="SU25" t="str">
        <f>IF($CG$25="",FALSE,SUMPRODUCT(('Final Calculation Sheet'!$O$4:$O$40=$CG$25)*($ST$4:$ST$40=1))&gt;0)</f>
      </c>
      <c r="SV25" t="str">
        <f>=$SV24+--($SU25)</f>
      </c>
      <c r="SW25" t="str">
        <f>IF(ROW()-3&gt;MAX($SV$4:$SV$40),"",INDEX($CG$4:$CG$40,MATCH(ROW()-3,$SV$4:$SV$40,0)))</f>
      </c>
      <c r="SX25" t="str">
        <f>IF(COUNTIF('Final Calculation Sheet'!$AL25:$AZ25,0)+COUNTIF('Final Calculation Sheet'!$BB25:$BS25,0)&gt;0,0,1)</f>
      </c>
      <c r="SY25" t="str">
        <f>IF($CL$25="",FALSE,SUMPRODUCT(('Final Calculation Sheet'!$P$4:$P$40=$CL$25)*($SX$4:$SX$40=1))&gt;0)</f>
      </c>
      <c r="SZ25" t="str">
        <f>=$SZ24+--($SY25)</f>
      </c>
      <c r="TA25" t="str">
        <f>IF(ROW()-3&gt;MAX($SZ$4:$SZ$40),"",INDEX($CL$4:$CL$40,MATCH(ROW()-3,$SZ$4:$SZ$40,0)))</f>
      </c>
      <c r="TB25" t="str">
        <f>IF(COUNTIF('Final Calculation Sheet'!$AL25:$BA25,0)+COUNTIF('Final Calculation Sheet'!$BC25:$BS25,0)&gt;0,0,1)</f>
      </c>
      <c r="TC25" t="str">
        <f>IF($CQ$25="",FALSE,SUMPRODUCT(('Final Calculation Sheet'!$Q$4:$Q$40=$CQ$25)*($TB$4:$TB$40=1))&gt;0)</f>
      </c>
      <c r="TD25" t="str">
        <f>=$TD24+--($TC25)</f>
      </c>
      <c r="TE25" t="str">
        <f>IF(ROW()-3&gt;MAX($TD$4:$TD$40),"",INDEX($CQ$4:$CQ$40,MATCH(ROW()-3,$TD$4:$TD$40,0)))</f>
      </c>
      <c r="TF25" t="str">
        <f>IF(COUNTIF('Final Calculation Sheet'!$AL25:$BB25,0)+COUNTIF('Final Calculation Sheet'!$BD25:$BS25,0)&gt;0,0,1)</f>
      </c>
      <c r="TG25" t="str">
        <f>IF($CV$25="",FALSE,SUMPRODUCT(('Final Calculation Sheet'!$R$4:$R$40=$CV$25)*($TF$4:$TF$40=1))&gt;0)</f>
      </c>
      <c r="TH25" t="str">
        <f>=$TH24+--($TG25)</f>
      </c>
      <c r="TI25" t="str">
        <f>IF(ROW()-3&gt;MAX($TH$4:$TH$40),"",INDEX($CV$4:$CV$40,MATCH(ROW()-3,$TH$4:$TH$40,0)))</f>
      </c>
      <c r="TJ25" t="str">
        <f>IF(COUNTIF('Final Calculation Sheet'!$AL25:$BC25,0)+COUNTIF('Final Calculation Sheet'!$BE25:$BS25,0)&gt;0,0,1)</f>
      </c>
      <c r="TK25" t="str">
        <f>IF($DA$25="",FALSE,SUMPRODUCT(('Final Calculation Sheet'!$S$4:$S$40=$DA$25)*($TJ$4:$TJ$40=1))&gt;0)</f>
      </c>
      <c r="TL25" t="str">
        <f>=$TL24+--($TK25)</f>
      </c>
      <c r="TM25" t="str">
        <f>IF(ROW()-3&gt;MAX($TL$4:$TL$40),"",INDEX($DA$4:$DA$40,MATCH(ROW()-3,$TL$4:$TL$40,0)))</f>
      </c>
      <c r="TN25" t="str">
        <f>IF(COUNTIF('Final Calculation Sheet'!$AL25:$BD25,0)+COUNTIF('Final Calculation Sheet'!$BF25:$BS25,0)&gt;0,0,1)</f>
      </c>
      <c r="TO25" t="str">
        <f>IF($DF$25="",FALSE,SUMPRODUCT(('Final Calculation Sheet'!$T$4:$T$40=$DF$25)*($TN$4:$TN$40=1))&gt;0)</f>
      </c>
      <c r="TP25" t="str">
        <f>=$TP24+--($TO25)</f>
      </c>
      <c r="TQ25" t="str">
        <f>IF(ROW()-3&gt;MAX($TP$4:$TP$40),"",INDEX($DF$4:$DF$40,MATCH(ROW()-3,$TP$4:$TP$40,0)))</f>
      </c>
      <c r="TR25" t="str">
        <f>IF(COUNTIF('Final Calculation Sheet'!$AL25:$BE25,0)+COUNTIF('Final Calculation Sheet'!$BG25:$BS25,0)&gt;0,0,1)</f>
      </c>
      <c r="TS25" t="str">
        <f>IF($DK$25="",FALSE,SUMPRODUCT(('Final Calculation Sheet'!$U$4:$U$40=$DK$25)*($TR$4:$TR$40=1))&gt;0)</f>
      </c>
      <c r="TT25" t="str">
        <f>=$TT24+--($TS25)</f>
      </c>
      <c r="TU25" t="str">
        <f>IF(ROW()-3&gt;MAX($TT$4:$TT$40),"",INDEX($DK$4:$DK$40,MATCH(ROW()-3,$TT$4:$TT$40,0)))</f>
      </c>
      <c r="TV25" t="str">
        <f>IF(COUNTIF('Final Calculation Sheet'!$AL25:$BF25,0)+COUNTIF('Final Calculation Sheet'!$BH25:$BS25,0)&gt;0,0,1)</f>
      </c>
      <c r="TW25" t="str">
        <f>IF($DP$25="",FALSE,SUMPRODUCT(('Final Calculation Sheet'!$V$4:$V$40=$DP$25)*($TV$4:$TV$40=1))&gt;0)</f>
      </c>
      <c r="TX25" t="str">
        <f>=$TX24+--($TW25)</f>
      </c>
      <c r="TY25" t="str">
        <f>IF(ROW()-3&gt;MAX($TX$4:$TX$40),"",INDEX($DP$4:$DP$40,MATCH(ROW()-3,$TX$4:$TX$40,0)))</f>
      </c>
      <c r="TZ25" t="str">
        <f>IF(COUNTIF('Final Calculation Sheet'!$AL25:$BG25,0)+COUNTIF('Final Calculation Sheet'!$BI25:$BS25,0)&gt;0,0,1)</f>
      </c>
      <c r="UA25" t="str">
        <f>IF($DU$25="",FALSE,SUMPRODUCT(('Final Calculation Sheet'!$W$4:$W$40=$DU$25)*($TZ$4:$TZ$40=1))&gt;0)</f>
      </c>
      <c r="UB25" t="str">
        <f>=$UB24+--($UA25)</f>
      </c>
      <c r="UC25" t="str">
        <f>IF(ROW()-3&gt;MAX($UB$4:$UB$40),"",INDEX($DU$4:$DU$40,MATCH(ROW()-3,$UB$4:$UB$40,0)))</f>
      </c>
      <c r="UD25" t="str">
        <f>IF(COUNTIF('Final Calculation Sheet'!$AL25:$BH25,0)+COUNTIF('Final Calculation Sheet'!$BJ25:$BS25,0)&gt;0,0,1)</f>
      </c>
      <c r="UE25" t="str">
        <f>IF($DZ$25="",FALSE,SUMPRODUCT(('Final Calculation Sheet'!$X$4:$X$40=$DZ$25)*($UD$4:$UD$40=1))&gt;0)</f>
      </c>
      <c r="UF25" t="str">
        <f>=$UF24+--($UE25)</f>
      </c>
      <c r="UG25" t="str">
        <f>IF(ROW()-3&gt;MAX($UF$4:$UF$40),"",INDEX($DZ$4:$DZ$40,MATCH(ROW()-3,$UF$4:$UF$40,0)))</f>
      </c>
      <c r="UH25" t="str">
        <f>IF(COUNTIF('Final Calculation Sheet'!$AL25:$BI25,0)+COUNTIF('Final Calculation Sheet'!$BK25:$BS25,0)&gt;0,0,1)</f>
      </c>
      <c r="UI25" t="str">
        <f>IF($EE$25="",FALSE,SUMPRODUCT(('Final Calculation Sheet'!$Y$4:$Y$40=$EE$25)*($UH$4:$UH$40=1))&gt;0)</f>
      </c>
      <c r="UJ25" t="str">
        <f>=$UJ24+--($UI25)</f>
      </c>
      <c r="UK25" t="str">
        <f>IF(ROW()-3&gt;MAX($UJ$4:$UJ$40),"",INDEX($EE$4:$EE$40,MATCH(ROW()-3,$UJ$4:$UJ$40,0)))</f>
      </c>
      <c r="UL25" t="str">
        <f>IF(COUNTIF('Final Calculation Sheet'!$AL25:$BJ25,0)+COUNTIF('Final Calculation Sheet'!$BL25:$BS25,0)&gt;0,0,1)</f>
      </c>
      <c r="UM25" t="str">
        <f>IF($EJ$25="",FALSE,SUMPRODUCT(('Final Calculation Sheet'!$Z$4:$Z$40=$EJ$25)*($UL$4:$UL$40=1))&gt;0)</f>
      </c>
      <c r="UN25" t="str">
        <f>=$UN24+--($UM25)</f>
      </c>
      <c r="UO25" t="str">
        <f>IF(ROW()-3&gt;MAX($UN$4:$UN$40),"",INDEX($EJ$4:$EJ$40,MATCH(ROW()-3,$UN$4:$UN$40,0)))</f>
      </c>
      <c r="UP25" t="str">
        <f>IF(COUNTIF('Final Calculation Sheet'!$AL25:$BK25,0)+COUNTIF('Final Calculation Sheet'!$BM25:$BS25,0)&gt;0,0,1)</f>
      </c>
      <c r="UQ25" t="str">
        <f>IF($EO$25="",FALSE,SUMPRODUCT(('Final Calculation Sheet'!$AA$4:$AA$40=$EO$25)*($UP$4:$UP$40=1))&gt;0)</f>
      </c>
      <c r="UR25" t="str">
        <f>=$UR24+--($UQ25)</f>
      </c>
      <c r="US25" t="str">
        <f>IF(ROW()-3&gt;MAX($UR$4:$UR$40),"",INDEX($EO$4:$EO$40,MATCH(ROW()-3,$UR$4:$UR$40,0)))</f>
      </c>
      <c r="UT25" t="str">
        <f>IF(COUNTIF('Final Calculation Sheet'!$AL25:$BL25,0)+COUNTIF('Final Calculation Sheet'!$BN25:$BS25,0)&gt;0,0,1)</f>
      </c>
      <c r="UU25" t="str">
        <f>IF($ET$25="",FALSE,SUMPRODUCT(('Final Calculation Sheet'!$AB$4:$AB$40=$ET$25)*($UT$4:$UT$40=1))&gt;0)</f>
      </c>
      <c r="UV25" t="str">
        <f>=$UV24+--($UU25)</f>
      </c>
      <c r="UW25" t="str">
        <f>IF(ROW()-3&gt;MAX($UV$4:$UV$40),"",INDEX($ET$4:$ET$40,MATCH(ROW()-3,$UV$4:$UV$40,0)))</f>
      </c>
      <c r="UX25" t="str">
        <f>IF(COUNTIF('Final Calculation Sheet'!$AL25:$BM25,0)+COUNTIF('Final Calculation Sheet'!$BO25:$BS25,0)&gt;0,0,1)</f>
      </c>
      <c r="UY25" t="str">
        <f>IF($EY$25="",FALSE,SUMPRODUCT(('Final Calculation Sheet'!$AC$4:$AC$40=$EY$25)*($UX$4:$UX$40=1))&gt;0)</f>
      </c>
      <c r="UZ25" t="str">
        <f>=$UZ24+--($UY25)</f>
      </c>
      <c r="VA25" t="str">
        <f>IF(ROW()-3&gt;MAX($UZ$4:$UZ$40),"",INDEX($EY$4:$EY$40,MATCH(ROW()-3,$UZ$4:$UZ$40,0)))</f>
      </c>
      <c r="VB25" t="str">
        <f>IF(COUNTIF('Final Calculation Sheet'!$AL25:$BN25,0)+COUNTIF('Final Calculation Sheet'!$BP25:$BS25,0)&gt;0,0,1)</f>
      </c>
      <c r="VC25" t="str">
        <f>IF($FD$25="",FALSE,SUMPRODUCT(('Final Calculation Sheet'!$AD$4:$AD$40=$FD$25)*($VB$4:$VB$40=1))&gt;0)</f>
      </c>
      <c r="VD25" t="str">
        <f>=$VD24+--($VC25)</f>
      </c>
      <c r="VE25" t="str">
        <f>IF(ROW()-3&gt;MAX($VD$4:$VD$40),"",INDEX($FD$4:$FD$40,MATCH(ROW()-3,$VD$4:$VD$40,0)))</f>
      </c>
      <c r="VF25" t="str">
        <f>IF(COUNTIF('Final Calculation Sheet'!$AL25:$BO25,0)+COUNTIF('Final Calculation Sheet'!$BQ25:$BS25,0)&gt;0,0,1)</f>
      </c>
      <c r="VG25" t="str">
        <f>IF($FI$25="",FALSE,SUMPRODUCT(('Final Calculation Sheet'!$AE$4:$AE$40=$FI$25)*($VF$4:$VF$40=1))&gt;0)</f>
      </c>
      <c r="VH25" t="str">
        <f>=$VH24+--($VG25)</f>
      </c>
      <c r="VI25" t="str">
        <f>IF(ROW()-3&gt;MAX($VH$4:$VH$40),"",INDEX($FI$4:$FI$40,MATCH(ROW()-3,$VH$4:$VH$40,0)))</f>
      </c>
      <c r="VJ25" t="str">
        <f>IF(COUNTIF('Final Calculation Sheet'!$AL25:$BP25,0)+COUNTIF('Final Calculation Sheet'!$BR25:$BS25,0)&gt;0,0,1)</f>
      </c>
      <c r="VK25" t="str">
        <f>IF($FN$25="",FALSE,SUMPRODUCT(('Final Calculation Sheet'!$AF$4:$AF$40=$FN$25)*($VJ$4:$VJ$40=1))&gt;0)</f>
      </c>
      <c r="VL25" t="str">
        <f>=$VL24+--($VK25)</f>
      </c>
      <c r="VM25" t="str">
        <f>IF(ROW()-3&gt;MAX($VL$4:$VL$40),"",INDEX($FN$4:$FN$40,MATCH(ROW()-3,$VL$4:$VL$40,0)))</f>
      </c>
      <c r="VN25" t="str">
        <f>IF(COUNTIF('Final Calculation Sheet'!$AL25:$BQ25,0)+COUNTIF('Final Calculation Sheet'!$BS25:$BS25,0)&gt;0,0,1)</f>
      </c>
      <c r="VO25" t="str">
        <f>IF($FS$25="",FALSE,SUMPRODUCT(('Final Calculation Sheet'!$AG$4:$AG$40=$FS$25)*($VN$4:$VN$40=1))&gt;0)</f>
      </c>
      <c r="VP25" t="str">
        <f>=$VP24+--($VO25)</f>
      </c>
      <c r="VQ25" t="str">
        <f>IF(ROW()-3&gt;MAX($VP$4:$VP$40),"",INDEX($FS$4:$FS$40,MATCH(ROW()-3,$VP$4:$VP$40,0)))</f>
      </c>
      <c r="VR25" t="str">
        <f>IF(COUNTIF('Final Calculation Sheet'!$AL25:$BR25,0)&gt;0,0,1)</f>
      </c>
      <c r="VS25" t="str">
        <f>IF($QO$25="",FALSE,SUMPRODUCT(('Final Calculation Sheet'!$AH$4:$AH$40=$QO$25)*($VR$4:$VR$40=1))&gt;0)</f>
      </c>
      <c r="VT25" t="str">
        <f>=$VT24+--($VS25)</f>
      </c>
      <c r="VU25" t="str">
        <f>IF(ROW()-3&gt;MAX($VT$4:$VT$40),"",INDEX($QO$4:$QO$40,MATCH(ROW()-3,$VT$4:$VT$40,0)))</f>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IF(ROW()-3&gt;MAX($LC$4:$LC$40),"",INDEX($FS$4:$FS$40,MATCH(ROW()-3,$LC$4:$LC$40,0)))</f>
        <v/>
      </c>
      <c r="LE26">
        <f>IF(COUNTIF('Buyer Groups'!DH26:EN26,0)&gt;0,0,1)</f>
        <v/>
      </c>
      <c r="LF26">
        <f>IF($O$26="",FALSE,SUMPRODUCT(('Final Calculation Sheet'!$F$4:$F$40=$O$26)*($LE$6:$LE$42=1))&gt;0)</f>
        <v/>
      </c>
      <c r="LG26">
        <f>$LG$25+--($LF26)</f>
        <v/>
      </c>
      <c r="LH26">
        <f>IF(ROW()-3&gt;MAX($LG$4:$LG$40),"",INDEX($O$4:$O$40,MATCH(ROW()-3,$LG$4:$LG$40,0)))</f>
        <v/>
      </c>
      <c r="LI26">
        <f>IF(COUNTIF('Buyer Groups'!DG26:DG26,0)+COUNTIF('Buyer Groups'!DI26:EN26,0)&gt;0,0,1)</f>
        <v/>
      </c>
      <c r="LJ26">
        <f>IF($T$26="",FALSE,SUMPRODUCT(('Final Calculation Sheet'!$G$4:$G$40=$T$26)*($LI$6:$LI$42=1))&gt;0)</f>
        <v/>
      </c>
      <c r="LK26">
        <f>$LK$25+--($LJ26)</f>
        <v/>
      </c>
      <c r="LL26">
        <f>IF(ROW()-3&gt;MAX($LK$4:$LK$40),"",INDEX($T$4:$T$40,MATCH(ROW()-3,$LK$4:$LK$40,0)))</f>
        <v/>
      </c>
      <c r="LM26">
        <f>IF(COUNTIF('Buyer Groups'!DG26:DH26,0)+COUNTIF('Buyer Groups'!DJ26:EN26,0)&gt;0,0,1)</f>
        <v/>
      </c>
      <c r="LN26">
        <f>IF($Y$26="",FALSE,SUMPRODUCT(('Final Calculation Sheet'!$B$4:$B$40=$Y$26)*($LM$6:$LM$42=1))&gt;0)</f>
        <v/>
      </c>
      <c r="LO26">
        <f>$LO$25+--($LN26)</f>
        <v/>
      </c>
      <c r="LP26">
        <f>IF(ROW()-3&gt;MAX($LO$4:$LO$40),"",INDEX($Y$4:$Y$40,MATCH(ROW()-3,$LO$4:$LO$40,0)))</f>
        <v/>
      </c>
      <c r="LQ26">
        <f>IF(COUNTIF('Buyer Groups'!DG26:DI26,0)+COUNTIF('Buyer Groups'!DK26:EN26,0)&gt;0,0,1)</f>
        <v/>
      </c>
      <c r="LR26">
        <f>IF($AD$26="",FALSE,SUMPRODUCT(('Final Calculation Sheet'!$D$4:$D$40=$AD$26)*($LQ$6:$LQ$42=1))&gt;0)</f>
        <v/>
      </c>
      <c r="LS26">
        <f>$LS$25+--($LR26)</f>
        <v/>
      </c>
      <c r="LT26">
        <f>IF(ROW()-3&gt;MAX($LS$4:$LS$40),"",INDEX($AD$4:$AD$40,MATCH(ROW()-3,$LS$4:$LS$40,0)))</f>
        <v/>
      </c>
      <c r="LU26">
        <f>IF(COUNTIF('Buyer Groups'!DG26:DJ26,0)+COUNTIF('Buyer Groups'!DL26:EN26,0)&gt;0,0,1)</f>
        <v/>
      </c>
      <c r="LV26">
        <f>IF($AI$26="",FALSE,SUMPRODUCT(('Final Calculation Sheet'!$A$4:$A$40=$AI$26)*($LU$6:$LU$42=1))&gt;0)</f>
        <v/>
      </c>
      <c r="LW26">
        <f>$LW$25+--($LV26)</f>
        <v/>
      </c>
      <c r="LX26">
        <f>IF(ROW()-3&gt;MAX($LW$4:$LW$40),"",INDEX($AI$4:$AI$40,MATCH(ROW()-3,$LW$4:$LW$40,0)))</f>
        <v/>
      </c>
      <c r="LY26">
        <f>IF(COUNTIF('Buyer Groups'!DG26:DK26,0)+COUNTIF('Buyer Groups'!DM26:EN26,0)&gt;0,0,1)</f>
        <v/>
      </c>
      <c r="LZ26">
        <f>IF($AN$26="",FALSE,SUMPRODUCT(('Final Calculation Sheet'!$E$4:$E$40=$AN$26)*($LY$6:$LY$42=1))&gt;0)</f>
        <v/>
      </c>
      <c r="MA26">
        <f>$MA$25+--($LZ26)</f>
        <v/>
      </c>
      <c r="MB26">
        <f>IF(ROW()-3&gt;MAX($MA$4:$MA$40),"",INDEX($AN$4:$AN$40,MATCH(ROW()-3,$MA$4:$MA$40,0)))</f>
        <v/>
      </c>
      <c r="MC26">
        <f>IF(COUNTIF('Buyer Groups'!DG26:DL26,0)+COUNTIF('Buyer Groups'!DN26:EN26,0)&gt;0,0,1)</f>
        <v/>
      </c>
      <c r="MD26">
        <f>IF($AS$26="",FALSE,SUMPRODUCT(('Final Calculation Sheet'!$C$4:$C$40=$AS$26)*($MC$6:$MC$42=1))&gt;0)</f>
        <v/>
      </c>
      <c r="ME26">
        <f>$ME$25+--($MD26)</f>
        <v/>
      </c>
      <c r="MF26">
        <f>IF(ROW()-3&gt;MAX($ME$4:$ME$40),"",INDEX($AS$4:$AS$40,MATCH(ROW()-3,$ME$4:$ME$40,0)))</f>
        <v/>
      </c>
      <c r="MG26">
        <f>IF(COUNTIF('Buyer Groups'!DG26:DM26,0)+COUNTIF('Buyer Groups'!DO26:EN26,0)&gt;0,0,1)</f>
        <v/>
      </c>
      <c r="MH26">
        <f>IF($AX$26="",FALSE,SUMPRODUCT(('Final Calculation Sheet'!$H$4:$H$40=$AX$26)*($MG$6:$MG$42=1))&gt;0)</f>
        <v/>
      </c>
      <c r="MI26">
        <f>$MI$25+--($MH26)</f>
        <v/>
      </c>
      <c r="MJ26">
        <f>IF(ROW()-3&gt;MAX($MI$4:$MI$40),"",INDEX($AX$4:$AX$40,MATCH(ROW()-3,$MI$4:$MI$40,0)))</f>
        <v/>
      </c>
      <c r="MK26">
        <f>IF(COUNTIF('Buyer Groups'!DG26:DN26,0)+COUNTIF('Buyer Groups'!DP26:EN26,0)&gt;0,0,1)</f>
        <v/>
      </c>
      <c r="ML26">
        <f>IF($BC$26="",FALSE,SUMPRODUCT(('Final Calculation Sheet'!$I$4:$I$40=$BC$26)*($MK$6:$MK$42=1))&gt;0)</f>
        <v/>
      </c>
      <c r="MM26">
        <f>$MM$25+--($ML26)</f>
        <v/>
      </c>
      <c r="MN26">
        <f>IF(ROW()-3&gt;MAX($MM$4:$MM$40),"",INDEX($BC$4:$BC$40,MATCH(ROW()-3,$MM$4:$MM$40,0)))</f>
        <v/>
      </c>
      <c r="MO26">
        <f>IF(COUNTIF('Buyer Groups'!DG26:DO26,0)+COUNTIF('Buyer Groups'!DQ26:EN26,0)&gt;0,0,1)</f>
        <v/>
      </c>
      <c r="MP26">
        <f>IF($BH$26="",FALSE,SUMPRODUCT(('Final Calculation Sheet'!$J$4:$J$40=$BH$26)*($MO$6:$MO$42=1))&gt;0)</f>
        <v/>
      </c>
      <c r="MQ26">
        <f>$MQ$25+--($MP26)</f>
        <v/>
      </c>
      <c r="MR26">
        <f>IF(ROW()-3&gt;MAX($MQ$4:$MQ$40),"",INDEX($BH$4:$BH$40,MATCH(ROW()-3,$MQ$4:$MQ$40,0)))</f>
        <v/>
      </c>
      <c r="MS26">
        <f>IF(COUNTIF('Buyer Groups'!DG26:DP26,0)+COUNTIF('Buyer Groups'!DR26:EN26,0)&gt;0,0,1)</f>
        <v/>
      </c>
      <c r="MT26">
        <f>IF($BM$26="",FALSE,SUMPRODUCT(('Final Calculation Sheet'!$K$4:$K$40=$BM$26)*($MS$6:$MS$42=1))&gt;0)</f>
        <v/>
      </c>
      <c r="MU26">
        <f>$MU$25+--($MT26)</f>
        <v/>
      </c>
      <c r="MV26">
        <f>IF(ROW()-3&gt;MAX($MU$4:$MU$40),"",INDEX($BM$4:$BM$40,MATCH(ROW()-3,$MU$4:$MU$40,0)))</f>
        <v/>
      </c>
      <c r="MW26">
        <f>IF(COUNTIF('Buyer Groups'!DG26:DQ26,0)+COUNTIF('Buyer Groups'!DS26:EN26,0)&gt;0,0,1)</f>
        <v/>
      </c>
      <c r="MX26">
        <f>IF($BR$26="",FALSE,SUMPRODUCT(('Final Calculation Sheet'!$L$4:$L$40=$BR$26)*($MW$6:$MW$42=1))&gt;0)</f>
        <v/>
      </c>
      <c r="MY26">
        <f>$MY$25+--($MX26)</f>
        <v/>
      </c>
      <c r="MZ26">
        <f>IF(ROW()-3&gt;MAX($MY$4:$MY$40),"",INDEX($BR$4:$BR$40,MATCH(ROW()-3,$MY$4:$MY$40,0)))</f>
        <v/>
      </c>
      <c r="NA26">
        <f>IF(COUNTIF('Buyer Groups'!DG26:DR26,0)+COUNTIF('Buyer Groups'!DT26:EN26,0)&gt;0,0,1)</f>
        <v/>
      </c>
      <c r="NB26">
        <f>IF($BW$26="",FALSE,SUMPRODUCT(('Final Calculation Sheet'!$M$4:$M$40=$BW$26)*($NA$6:$NA$42=1))&gt;0)</f>
        <v/>
      </c>
      <c r="NC26">
        <f>$NC$25+--($NB26)</f>
        <v/>
      </c>
      <c r="ND26">
        <f>IF(ROW()-3&gt;MAX($NC$4:$NC$40),"",INDEX($BW$4:$BW$40,MATCH(ROW()-3,$NC$4:$NC$40,0)))</f>
        <v/>
      </c>
      <c r="NE26">
        <f>IF(COUNTIF('Buyer Groups'!DG26:DS26,0)+COUNTIF('Buyer Groups'!DU26:EN26,0)&gt;0,0,1)</f>
        <v/>
      </c>
      <c r="NF26">
        <f>IF($CB$26="",FALSE,SUMPRODUCT(('Final Calculation Sheet'!$N$4:$N$40=$CB$26)*($NE$6:$NE$42=1))&gt;0)</f>
        <v/>
      </c>
      <c r="NG26">
        <f>$NG$25+--($NF26)</f>
        <v/>
      </c>
      <c r="NH26">
        <f>IF(ROW()-3&gt;MAX($NG$4:$NG$40),"",INDEX($CB$4:$CB$40,MATCH(ROW()-3,$NG$4:$NG$40,0)))</f>
        <v/>
      </c>
      <c r="NI26">
        <f>IF(COUNTIF('Buyer Groups'!DG26:DT26,0)+COUNTIF('Buyer Groups'!DV26:EN26,0)&gt;0,0,1)</f>
        <v/>
      </c>
      <c r="NJ26">
        <f>IF($CG$26="",FALSE,SUMPRODUCT(('Final Calculation Sheet'!$O$4:$O$40=$CG$26)*($NI$6:$NI$42=1))&gt;0)</f>
        <v/>
      </c>
      <c r="NK26">
        <f>$NK$25+--($NJ26)</f>
        <v/>
      </c>
      <c r="NL26">
        <f>IF(ROW()-3&gt;MAX($NK$4:$NK$40),"",INDEX($CG$4:$CG$40,MATCH(ROW()-3,$NK$4:$NK$40,0)))</f>
        <v/>
      </c>
      <c r="NM26">
        <f>IF(COUNTIF('Buyer Groups'!DG26:DU26,0)+COUNTIF('Buyer Groups'!DW26:EN26,0)&gt;0,0,1)</f>
        <v/>
      </c>
      <c r="NN26">
        <f>IF($CL$26="",FALSE,SUMPRODUCT(('Final Calculation Sheet'!$P$4:$P$40=$CL$26)*($NM$6:$NM$42=1))&gt;0)</f>
        <v/>
      </c>
      <c r="NO26">
        <f>$NO$25+--($NN26)</f>
        <v/>
      </c>
      <c r="NP26">
        <f>IF(ROW()-3&gt;MAX($NO$4:$NO$40),"",INDEX($CL$4:$CL$40,MATCH(ROW()-3,$NO$4:$NO$40,0)))</f>
        <v/>
      </c>
      <c r="NQ26">
        <f>IF(COUNTIF('Buyer Groups'!DG26:DV26,0)+COUNTIF('Buyer Groups'!DX26:EN26,0)&gt;0,0,1)</f>
        <v/>
      </c>
      <c r="NR26">
        <f>IF($CQ$26="",FALSE,SUMPRODUCT(('Final Calculation Sheet'!$Q$4:$Q$40=$CQ$26)*($NQ$6:$NQ$42=1))&gt;0)</f>
        <v/>
      </c>
      <c r="NS26">
        <f>$NS$25+--($NR26)</f>
        <v/>
      </c>
      <c r="NT26">
        <f>IF(ROW()-3&gt;MAX($NS$4:$NS$40),"",INDEX($CQ$4:$CQ$40,MATCH(ROW()-3,$NS$4:$NS$40,0)))</f>
        <v/>
      </c>
      <c r="NU26">
        <f>IF(COUNTIF('Buyer Groups'!DG26:DW26,0)+COUNTIF('Buyer Groups'!DY26:EN26,0)&gt;0,0,1)</f>
        <v/>
      </c>
      <c r="NV26">
        <f>IF($CV$26="",FALSE,SUMPRODUCT(('Final Calculation Sheet'!$R$4:$R$40=$CV$26)*($NU$6:$NU$42=1))&gt;0)</f>
        <v/>
      </c>
      <c r="NW26">
        <f>$NW$25+--($NV26)</f>
        <v/>
      </c>
      <c r="NX26">
        <f>IF(ROW()-3&gt;MAX($NW$4:$NW$40),"",INDEX($CV$4:$CV$40,MATCH(ROW()-3,$NW$4:$NW$40,0)))</f>
        <v/>
      </c>
      <c r="NY26">
        <f>IF(COUNTIF('Buyer Groups'!DG26:DX26,0)+COUNTIF('Buyer Groups'!DZ26:EN26,0)&gt;0,0,1)</f>
        <v/>
      </c>
      <c r="NZ26">
        <f>IF($DA$26="",FALSE,SUMPRODUCT(('Final Calculation Sheet'!$S$4:$S$40=$DA$26)*($NY$6:$NY$42=1))&gt;0)</f>
        <v/>
      </c>
      <c r="OA26">
        <f>$OA$25+--($NZ26)</f>
        <v/>
      </c>
      <c r="OB26">
        <f>IF(ROW()-3&gt;MAX($OA$4:$OA$40),"",INDEX($DA$4:$DA$40,MATCH(ROW()-3,$OA$4:$OA$40,0)))</f>
        <v/>
      </c>
      <c r="OC26">
        <f>IF(COUNTIF('Buyer Groups'!DG26:DY26,0)+COUNTIF('Buyer Groups'!EA26:EN26,0)&gt;0,0,1)</f>
        <v/>
      </c>
      <c r="OD26">
        <f>IF($DF$26="",FALSE,SUMPRODUCT(('Final Calculation Sheet'!$T$4:$T$40=$DF$26)*($OC$6:$OC$42=1))&gt;0)</f>
        <v/>
      </c>
      <c r="OE26">
        <f>$OE$25+--($OD26)</f>
        <v/>
      </c>
      <c r="OF26">
        <f>IF(ROW()-3&gt;MAX($OE$4:$OE$40),"",INDEX($DF$4:$DF$40,MATCH(ROW()-3,$OE$4:$OE$40,0)))</f>
        <v/>
      </c>
      <c r="OG26">
        <f>IF(COUNTIF('Buyer Groups'!DG26:DZ26,0)+COUNTIF('Buyer Groups'!EB26:EN26,0)&gt;0,0,1)</f>
        <v/>
      </c>
      <c r="OH26">
        <f>IF($DK$26="",FALSE,SUMPRODUCT(('Final Calculation Sheet'!$U$4:$U$40=$DK$26)*($OG$6:$OG$42=1))&gt;0)</f>
        <v/>
      </c>
      <c r="OI26">
        <f>$OI$25+--($OH26)</f>
        <v/>
      </c>
      <c r="OJ26">
        <f>IF(ROW()-3&gt;MAX($OI$4:$OI$40),"",INDEX($DK$4:$DK$40,MATCH(ROW()-3,$OI$4:$OI$40,0)))</f>
        <v/>
      </c>
      <c r="OK26">
        <f>IF(COUNTIF('Buyer Groups'!DG26:EA26,0)+COUNTIF('Buyer Groups'!EC26:EN26,0)&gt;0,0,1)</f>
        <v/>
      </c>
      <c r="OL26">
        <f>IF($DP$26="",FALSE,SUMPRODUCT(('Final Calculation Sheet'!$V$4:$V$40=$DP$26)*($OK$6:$OK$42=1))&gt;0)</f>
        <v/>
      </c>
      <c r="OM26">
        <f>$OM$25+--($OL26)</f>
        <v/>
      </c>
      <c r="ON26">
        <f>IF(ROW()-3&gt;MAX($OM$4:$OM$40),"",INDEX($DP$4:$DP$40,MATCH(ROW()-3,$OM$4:$OM$40,0)))</f>
        <v/>
      </c>
      <c r="OO26">
        <f>IF(COUNTIF('Buyer Groups'!DG26:EB26,0)+COUNTIF('Buyer Groups'!ED26:EN26,0)&gt;0,0,1)</f>
        <v/>
      </c>
      <c r="OP26">
        <f>IF($DU$26="",FALSE,SUMPRODUCT(('Final Calculation Sheet'!$W$4:$W$40=$DU$26)*($OO$6:$OO$42=1))&gt;0)</f>
        <v/>
      </c>
      <c r="OQ26">
        <f>$OQ$25+--($OP26)</f>
        <v/>
      </c>
      <c r="OR26">
        <f>IF(ROW()-3&gt;MAX($OQ$4:$OQ$40),"",INDEX($DU$4:$DU$40,MATCH(ROW()-3,$OQ$4:$OQ$40,0)))</f>
        <v/>
      </c>
      <c r="OS26">
        <f>IF(COUNTIF('Buyer Groups'!DG26:EC26,0)+COUNTIF('Buyer Groups'!EE26:EN26,0)&gt;0,0,1)</f>
        <v/>
      </c>
      <c r="OT26">
        <f>IF($DZ$26="",FALSE,SUMPRODUCT(('Final Calculation Sheet'!$X$4:$X$40=$DZ$26)*($OS$6:$OS$42=1))&gt;0)</f>
        <v/>
      </c>
      <c r="OU26">
        <f>$OU$25+--($OT26)</f>
        <v/>
      </c>
      <c r="OV26">
        <f>IF(ROW()-3&gt;MAX($OU$4:$OU$40),"",INDEX($DZ$4:$DZ$40,MATCH(ROW()-3,$OU$4:$OU$40,0)))</f>
        <v/>
      </c>
      <c r="OW26">
        <f>IF(COUNTIF('Buyer Groups'!DG26:ED26,0)+COUNTIF('Buyer Groups'!EF26:EN26,0)&gt;0,0,1)</f>
        <v/>
      </c>
      <c r="OX26">
        <f>IF($EE$26="",FALSE,SUMPRODUCT(('Final Calculation Sheet'!$Y$4:$Y$40=$EE$26)*($OW$6:$OW$42=1))&gt;0)</f>
        <v/>
      </c>
      <c r="OY26">
        <f>$OY$25+--($OX26)</f>
        <v/>
      </c>
      <c r="OZ26">
        <f>IF(ROW()-3&gt;MAX($OY$4:$OY$40),"",INDEX($EE$4:$EE$40,MATCH(ROW()-3,$OY$4:$OY$40,0)))</f>
        <v/>
      </c>
      <c r="PA26">
        <f>IF(COUNTIF('Buyer Groups'!DG26:EE26,0)+COUNTIF('Buyer Groups'!EG26:EN26,0)&gt;0,0,1)</f>
        <v/>
      </c>
      <c r="PB26">
        <f>IF($EJ$26="",FALSE,SUMPRODUCT(('Final Calculation Sheet'!$Z$4:$Z$40=$EJ$26)*($PA$6:$PA$42=1))&gt;0)</f>
        <v/>
      </c>
      <c r="PC26">
        <f>$PC$25+--($PB26)</f>
        <v/>
      </c>
      <c r="PD26">
        <f>IF(ROW()-3&gt;MAX($PC$4:$PC$40),"",INDEX($EJ$4:$EJ$40,MATCH(ROW()-3,$PC$4:$PC$40,0)))</f>
        <v/>
      </c>
      <c r="PE26">
        <f>IF(COUNTIF('Buyer Groups'!DG26:EF26,0)+COUNTIF('Buyer Groups'!EH26:EN26,0)&gt;0,0,1)</f>
        <v/>
      </c>
      <c r="PF26">
        <f>IF($EO$26="",FALSE,SUMPRODUCT(('Final Calculation Sheet'!$AA$4:$AA$40=$EO$26)*($PE$6:$PE$42=1))&gt;0)</f>
        <v/>
      </c>
      <c r="PG26">
        <f>$PG$25+--($PF26)</f>
        <v/>
      </c>
      <c r="PH26">
        <f>IF(ROW()-3&gt;MAX($PG$4:$PG$40),"",INDEX($EO$4:$EO$40,MATCH(ROW()-3,$PG$4:$PG$40,0)))</f>
        <v/>
      </c>
      <c r="PI26">
        <f>IF(COUNTIF('Buyer Groups'!DG26:EG26,0)+COUNTIF('Buyer Groups'!EI26:EN26,0)&gt;0,0,1)</f>
        <v/>
      </c>
      <c r="PJ26">
        <f>IF($ET$26="",FALSE,SUMPRODUCT(('Final Calculation Sheet'!$AB$4:$AB$40=$ET$26)*($PI$6:$PI$42=1))&gt;0)</f>
        <v/>
      </c>
      <c r="PK26">
        <f>$PK$25+--($PJ26)</f>
        <v/>
      </c>
      <c r="PL26">
        <f>IF(ROW()-3&gt;MAX($PK$4:$PK$40),"",INDEX($ET$4:$ET$40,MATCH(ROW()-3,$PK$4:$PK$40,0)))</f>
        <v/>
      </c>
      <c r="PM26">
        <f>IF(COUNTIF('Buyer Groups'!DG26:EH26,0)+COUNTIF('Buyer Groups'!EJ26:EN26,0)&gt;0,0,1)</f>
        <v/>
      </c>
      <c r="PN26">
        <f>IF($EY$26="",FALSE,SUMPRODUCT(('Final Calculation Sheet'!$AC$4:$AC$40=$EY$26)*($PM$6:$PM$42=1))&gt;0)</f>
        <v/>
      </c>
      <c r="PO26">
        <f>$PO$25+--($PN26)</f>
        <v/>
      </c>
      <c r="PP26">
        <f>IF(ROW()-3&gt;MAX($PO$4:$PO$40),"",INDEX($EY$4:$EY$40,MATCH(ROW()-3,$PO$4:$PO$40,0)))</f>
        <v/>
      </c>
      <c r="PQ26">
        <f>IF(COUNTIF('Buyer Groups'!DG26:EI26,0)+COUNTIF('Buyer Groups'!EK26:EN26,0)&gt;0,0,1)</f>
        <v/>
      </c>
      <c r="PR26">
        <f>IF($FD$26="",FALSE,SUMPRODUCT(('Final Calculation Sheet'!$AD$4:$AD$40=$FD$26)*($PQ$6:$PQ$42=1))&gt;0)</f>
        <v/>
      </c>
      <c r="PS26">
        <f>$PS$25+--($PR26)</f>
        <v/>
      </c>
      <c r="PT26">
        <f>IF(ROW()-3&gt;MAX($PS$4:$PS$40),"",INDEX($FD$4:$FD$40,MATCH(ROW()-3,$PS$4:$PS$40,0)))</f>
        <v/>
      </c>
      <c r="PU26">
        <f>IF(COUNTIF('Buyer Groups'!DG26:EJ26,0)+COUNTIF('Buyer Groups'!EL26:EN26,0)&gt;0,0,1)</f>
        <v/>
      </c>
      <c r="PV26">
        <f>IF($FX$26="",FALSE,SUMPRODUCT((IF('Final Calculation Sheet'!$AD$4:$AD$40&lt;=5,"SETTLED","OUTSTANDING")=$FX$26)*($PU$6:$PU$42=1))&gt;0)</f>
        <v/>
      </c>
      <c r="PW26">
        <f>$PW$25+--($PV26)</f>
        <v/>
      </c>
      <c r="PX26">
        <f>IF(ROW()-3&gt;MAX($PW$4:$PW$40),"",INDEX($FX$4:$FX$40,MATCH(ROW()-3,$PW$4:$PW$40,0)))</f>
        <v/>
      </c>
      <c r="PY26">
        <f>IF(COUNTIF('Buyer Groups'!DG26:EK26,0)+COUNTIF('Buyer Groups'!EM26:EN26,0)&gt;0,0,1)</f>
        <v/>
      </c>
      <c r="PZ26">
        <f>IF($FI$26="",FALSE,SUMPRODUCT(('Final Calculation Sheet'!$AF$4:$AF$40=$FI$26)*($PY$6:$PY$42=1))&gt;0)</f>
        <v/>
      </c>
      <c r="QA26">
        <f>$QA$25+--($PZ26)</f>
        <v/>
      </c>
      <c r="QB26">
        <f>IF(ROW()-3&gt;MAX($QA$4:$QA$40),"",INDEX($FI$4:$FI$40,MATCH(ROW()-3,$QA$4:$QA$40,0)))</f>
        <v/>
      </c>
      <c r="QC26">
        <f>IF(COUNTIF('Buyer Groups'!DG26:EL26,0)+COUNTIF('Buyer Groups'!EN26:EN26,0)&gt;0,0,1)</f>
        <v/>
      </c>
      <c r="QD26">
        <f>IF($FN$26="",FALSE,SUMPRODUCT(('Final Calculation Sheet'!$AG$4:$AG$40=$FN$26)*($QC$6:$QC$42=1))&gt;0)</f>
        <v/>
      </c>
      <c r="QE26">
        <f>$QE$25+--($QD26)</f>
        <v/>
      </c>
      <c r="QF26">
        <f>IF(ROW()-3&gt;MAX($QE$4:$QE$40),"",INDEX($FN$4:$FN$40,MATCH(ROW()-3,$QE$4:$QE$40,0)))</f>
        <v/>
      </c>
      <c r="QG26">
        <f>IF(COUNTIF('Buyer Groups'!DG26:EM26,0)&gt;0,0,1)</f>
        <v/>
      </c>
      <c r="QH26">
        <f>IF($FS$26="",FALSE,SUMPRODUCT(('Final Calculation Sheet'!$AH$4:$AH$40=$FS$26)*($QG$6:$QG$42=1))&gt;0)</f>
        <v/>
      </c>
      <c r="QI26">
        <f>$QI$25+--($QH26)</f>
        <v/>
      </c>
      <c r="QJ26">
        <f>IF(ROW()-3&gt;MAX($QI$4:$QI$40),"",INDEX($FS$4:$FS$40,MATCH(ROW()-3,$QI$4:$QI$40,0)))</f>
        <v/>
      </c>
      <c r="QK26" t="str">
        <f>IF('Final Calculation Sheet'!$AH$26="","",'Final Calculation Sheet'!$AH$26)</f>
      </c>
      <c r="QL26" t="str">
        <f>IF(QK26="","",COUNTIFS(QK$4:QK$40,"&lt;"&amp;QK26,QK$4:QK$40,"&lt;&gt;"&amp;"")+COUNTIF(QK$4:QK26,QK26))</f>
      </c>
      <c r="QM26" t="str">
        <f>IF(ROW()-3&gt;COUNTIF(QK$4:QK$40,"&lt;&gt;"&amp;""),"",INDEX(QK$4:QK$40,MATCH(ROW()-3,QL$4:QL$40,0)))</f>
      </c>
      <c r="QN26" t="str">
        <f>=QN25+F(AND(QM26&lt;&gt;"",COUNTIF(QM$4:QM26,QM26)=1),1,0)</f>
      </c>
      <c r="QO26" t="str">
        <f>IF(ROW()-3&gt;MAX(QN$4:QN$40),"",INDEX(QM$4:QM$40,MATCH(ROW()-3,QN$4:QN$40,0)))</f>
      </c>
      <c r="QP26" t="str">
        <f>IF(COUNTIF('Final Calculation Sheet'!$AM26:$BS26,0)&gt;0,0,1)</f>
      </c>
      <c r="QQ26" t="str">
        <f>IF($AI$26="",FALSE,SUMPRODUCT(('Final Calculation Sheet'!$A$4:$A$40=$AI$26)*($QP$4:$QP$40=1))&gt;0)</f>
      </c>
      <c r="QR26" t="str">
        <f>=$QR25+--($QQ26)</f>
      </c>
      <c r="QS26" t="str">
        <f>IF(ROW()-3&gt;MAX($QR$4:$QR$40),"",INDEX($AI$4:$AI$40,MATCH(ROW()-3,$QR$4:$QR$40,0)))</f>
      </c>
      <c r="QT26" t="str">
        <f>IF(COUNTIF('Final Calculation Sheet'!$AL26:$AL26,0)+COUNTIF('Final Calculation Sheet'!$AN26:$BS26,0)&gt;0,0,1)</f>
      </c>
      <c r="QU26" t="str">
        <f>IF($Y$26="",FALSE,SUMPRODUCT(('Final Calculation Sheet'!$B$4:$B$40=$Y$26)*($QT$4:$QT$40=1))&gt;0)</f>
      </c>
      <c r="QV26" t="str">
        <f>=$QV25+--($QU26)</f>
      </c>
      <c r="QW26" t="str">
        <f>IF(ROW()-3&gt;MAX($QV$4:$QV$40),"",INDEX($Y$4:$Y$40,MATCH(ROW()-3,$QV$4:$QV$40,0)))</f>
      </c>
      <c r="QX26" t="str">
        <f>IF(COUNTIF('Final Calculation Sheet'!$AL26:$AM26,0)+COUNTIF('Final Calculation Sheet'!$AO26:$BS26,0)&gt;0,0,1)</f>
      </c>
      <c r="QY26" t="str">
        <f>IF($AS$26="",FALSE,SUMPRODUCT(('Final Calculation Sheet'!$C$4:$C$40=$AS$26)*($QX$4:$QX$40=1))&gt;0)</f>
      </c>
      <c r="QZ26" t="str">
        <f>=$QZ25+--($QY26)</f>
      </c>
      <c r="RA26" t="str">
        <f>IF(ROW()-3&gt;MAX($QZ$4:$QZ$40),"",INDEX($AS$4:$AS$40,MATCH(ROW()-3,$QZ$4:$QZ$40,0)))</f>
      </c>
      <c r="RB26" t="str">
        <f>IF(COUNTIF('Final Calculation Sheet'!$AL26:$AN26,0)+COUNTIF('Final Calculation Sheet'!$AP26:$BS26,0)&gt;0,0,1)</f>
      </c>
      <c r="RC26" t="str">
        <f>IF($AD$26="",FALSE,SUMPRODUCT(('Final Calculation Sheet'!$D$4:$D$40=$AD$26)*($RB$4:$RB$40=1))&gt;0)</f>
      </c>
      <c r="RD26" t="str">
        <f>=$RD25+--($RC26)</f>
      </c>
      <c r="RE26" t="str">
        <f>IF(ROW()-3&gt;MAX($RD$4:$RD$40),"",INDEX($AD$4:$AD$40,MATCH(ROW()-3,$RD$4:$RD$40,0)))</f>
      </c>
      <c r="RF26" t="str">
        <f>IF(COUNTIF('Final Calculation Sheet'!$AL26:$AO26,0)+COUNTIF('Final Calculation Sheet'!$AQ26:$BS26,0)&gt;0,0,1)</f>
      </c>
      <c r="RG26" t="str">
        <f>IF($AN$26="",FALSE,SUMPRODUCT(('Final Calculation Sheet'!$E$4:$E$40=$AN$26)*($RF$4:$RF$40=1))&gt;0)</f>
      </c>
      <c r="RH26" t="str">
        <f>=$RH25+--($RG26)</f>
      </c>
      <c r="RI26" t="str">
        <f>IF(ROW()-3&gt;MAX($RH$4:$RH$40),"",INDEX($AN$4:$AN$40,MATCH(ROW()-3,$RH$4:$RH$40,0)))</f>
      </c>
      <c r="RJ26" t="str">
        <f>IF(COUNTIF('Final Calculation Sheet'!$AL26:$AP26,0)+COUNTIF('Final Calculation Sheet'!$AR26:$BS26,0)&gt;0,0,1)</f>
      </c>
      <c r="RK26" t="str">
        <f>IF($O$26="",FALSE,SUMPRODUCT(('Final Calculation Sheet'!$F$4:$F$40=$O$26)*($RJ$4:$RJ$40=1))&gt;0)</f>
      </c>
      <c r="RL26" t="str">
        <f>=$RL25+--($RK26)</f>
      </c>
      <c r="RM26" t="str">
        <f>IF(ROW()-3&gt;MAX($RL$4:$RL$40),"",INDEX($O$4:$O$40,MATCH(ROW()-3,$RL$4:$RL$40,0)))</f>
      </c>
      <c r="RN26" t="str">
        <f>IF(COUNTIF('Final Calculation Sheet'!$AL26:$AQ26,0)+COUNTIF('Final Calculation Sheet'!$AS26:$BS26,0)&gt;0,0,1)</f>
      </c>
      <c r="RO26" t="str">
        <f>IF($T$26="",FALSE,SUMPRODUCT(('Final Calculation Sheet'!$G$4:$G$40=$T$26)*($RN$4:$RN$40=1))&gt;0)</f>
      </c>
      <c r="RP26" t="str">
        <f>=$RP25+--($RO26)</f>
      </c>
      <c r="RQ26" t="str">
        <f>IF(ROW()-3&gt;MAX($RP$4:$RP$40),"",INDEX($T$4:$T$40,MATCH(ROW()-3,$RP$4:$RP$40,0)))</f>
      </c>
      <c r="RR26" t="str">
        <f>IF(COUNTIF('Final Calculation Sheet'!$AL26:$AR26,0)+COUNTIF('Final Calculation Sheet'!$AT26:$BS26,0)&gt;0,0,1)</f>
      </c>
      <c r="RS26" t="str">
        <f>IF($AX$26="",FALSE,SUMPRODUCT(('Final Calculation Sheet'!$H$4:$H$40=$AX$26)*($RR$4:$RR$40=1))&gt;0)</f>
      </c>
      <c r="RT26" t="str">
        <f>=$RT25+--($RS26)</f>
      </c>
      <c r="RU26" t="str">
        <f>IF(ROW()-3&gt;MAX($RT$4:$RT$40),"",INDEX($AX$4:$AX$40,MATCH(ROW()-3,$RT$4:$RT$40,0)))</f>
      </c>
      <c r="RV26" t="str">
        <f>IF(COUNTIF('Final Calculation Sheet'!$AL26:$AS26,0)+COUNTIF('Final Calculation Sheet'!$AU26:$BS26,0)&gt;0,0,1)</f>
      </c>
      <c r="RW26" t="str">
        <f>IF($BC$26="",FALSE,SUMPRODUCT(('Final Calculation Sheet'!$I$4:$I$40=$BC$26)*($RV$4:$RV$40=1))&gt;0)</f>
      </c>
      <c r="RX26" t="str">
        <f>=$RX25+--($RW26)</f>
      </c>
      <c r="RY26" t="str">
        <f>IF(ROW()-3&gt;MAX($RX$4:$RX$40),"",INDEX($BC$4:$BC$40,MATCH(ROW()-3,$RX$4:$RX$40,0)))</f>
      </c>
      <c r="RZ26" t="str">
        <f>IF(COUNTIF('Final Calculation Sheet'!$AL26:$AT26,0)+COUNTIF('Final Calculation Sheet'!$AV26:$BS26,0)&gt;0,0,1)</f>
      </c>
      <c r="SA26" t="str">
        <f>IF($BH$26="",FALSE,SUMPRODUCT(('Final Calculation Sheet'!$J$4:$J$40=$BH$26)*($RZ$4:$RZ$40=1))&gt;0)</f>
      </c>
      <c r="SB26" t="str">
        <f>=$SB25+--($SA26)</f>
      </c>
      <c r="SC26" t="str">
        <f>IF(ROW()-3&gt;MAX($SB$4:$SB$40),"",INDEX($BH$4:$BH$40,MATCH(ROW()-3,$SB$4:$SB$40,0)))</f>
      </c>
      <c r="SD26" t="str">
        <f>IF(COUNTIF('Final Calculation Sheet'!$AL26:$AU26,0)+COUNTIF('Final Calculation Sheet'!$AW26:$BS26,0)&gt;0,0,1)</f>
      </c>
      <c r="SE26" t="str">
        <f>IF($BM$26="",FALSE,SUMPRODUCT(('Final Calculation Sheet'!$K$4:$K$40=$BM$26)*($SD$4:$SD$40=1))&gt;0)</f>
      </c>
      <c r="SF26" t="str">
        <f>=$SF25+--($SE26)</f>
      </c>
      <c r="SG26" t="str">
        <f>IF(ROW()-3&gt;MAX($SF$4:$SF$40),"",INDEX($BM$4:$BM$40,MATCH(ROW()-3,$SF$4:$SF$40,0)))</f>
      </c>
      <c r="SH26" t="str">
        <f>IF(COUNTIF('Final Calculation Sheet'!$AL26:$AV26,0)+COUNTIF('Final Calculation Sheet'!$AX26:$BS26,0)&gt;0,0,1)</f>
      </c>
      <c r="SI26" t="str">
        <f>IF($BR$26="",FALSE,SUMPRODUCT(('Final Calculation Sheet'!$L$4:$L$40=$BR$26)*($SH$4:$SH$40=1))&gt;0)</f>
      </c>
      <c r="SJ26" t="str">
        <f>=$SJ25+--($SI26)</f>
      </c>
      <c r="SK26" t="str">
        <f>IF(ROW()-3&gt;MAX($SJ$4:$SJ$40),"",INDEX($BR$4:$BR$40,MATCH(ROW()-3,$SJ$4:$SJ$40,0)))</f>
      </c>
      <c r="SL26" t="str">
        <f>IF(COUNTIF('Final Calculation Sheet'!$AL26:$AW26,0)+COUNTIF('Final Calculation Sheet'!$AY26:$BS26,0)&gt;0,0,1)</f>
      </c>
      <c r="SM26" t="str">
        <f>IF($BW$26="",FALSE,SUMPRODUCT(('Final Calculation Sheet'!$M$4:$M$40=$BW$26)*($SL$4:$SL$40=1))&gt;0)</f>
      </c>
      <c r="SN26" t="str">
        <f>=$SN25+--($SM26)</f>
      </c>
      <c r="SO26" t="str">
        <f>IF(ROW()-3&gt;MAX($SN$4:$SN$40),"",INDEX($BW$4:$BW$40,MATCH(ROW()-3,$SN$4:$SN$40,0)))</f>
      </c>
      <c r="SP26" t="str">
        <f>IF(COUNTIF('Final Calculation Sheet'!$AL26:$AX26,0)+COUNTIF('Final Calculation Sheet'!$AZ26:$BS26,0)&gt;0,0,1)</f>
      </c>
      <c r="SQ26" t="str">
        <f>IF($CB$26="",FALSE,SUMPRODUCT(('Final Calculation Sheet'!$N$4:$N$40=$CB$26)*($SP$4:$SP$40=1))&gt;0)</f>
      </c>
      <c r="SR26" t="str">
        <f>=$SR25+--($SQ26)</f>
      </c>
      <c r="SS26" t="str">
        <f>IF(ROW()-3&gt;MAX($SR$4:$SR$40),"",INDEX($CB$4:$CB$40,MATCH(ROW()-3,$SR$4:$SR$40,0)))</f>
      </c>
      <c r="ST26" t="str">
        <f>IF(COUNTIF('Final Calculation Sheet'!$AL26:$AY26,0)+COUNTIF('Final Calculation Sheet'!$BA26:$BS26,0)&gt;0,0,1)</f>
      </c>
      <c r="SU26" t="str">
        <f>IF($CG$26="",FALSE,SUMPRODUCT(('Final Calculation Sheet'!$O$4:$O$40=$CG$26)*($ST$4:$ST$40=1))&gt;0)</f>
      </c>
      <c r="SV26" t="str">
        <f>=$SV25+--($SU26)</f>
      </c>
      <c r="SW26" t="str">
        <f>IF(ROW()-3&gt;MAX($SV$4:$SV$40),"",INDEX($CG$4:$CG$40,MATCH(ROW()-3,$SV$4:$SV$40,0)))</f>
      </c>
      <c r="SX26" t="str">
        <f>IF(COUNTIF('Final Calculation Sheet'!$AL26:$AZ26,0)+COUNTIF('Final Calculation Sheet'!$BB26:$BS26,0)&gt;0,0,1)</f>
      </c>
      <c r="SY26" t="str">
        <f>IF($CL$26="",FALSE,SUMPRODUCT(('Final Calculation Sheet'!$P$4:$P$40=$CL$26)*($SX$4:$SX$40=1))&gt;0)</f>
      </c>
      <c r="SZ26" t="str">
        <f>=$SZ25+--($SY26)</f>
      </c>
      <c r="TA26" t="str">
        <f>IF(ROW()-3&gt;MAX($SZ$4:$SZ$40),"",INDEX($CL$4:$CL$40,MATCH(ROW()-3,$SZ$4:$SZ$40,0)))</f>
      </c>
      <c r="TB26" t="str">
        <f>IF(COUNTIF('Final Calculation Sheet'!$AL26:$BA26,0)+COUNTIF('Final Calculation Sheet'!$BC26:$BS26,0)&gt;0,0,1)</f>
      </c>
      <c r="TC26" t="str">
        <f>IF($CQ$26="",FALSE,SUMPRODUCT(('Final Calculation Sheet'!$Q$4:$Q$40=$CQ$26)*($TB$4:$TB$40=1))&gt;0)</f>
      </c>
      <c r="TD26" t="str">
        <f>=$TD25+--($TC26)</f>
      </c>
      <c r="TE26" t="str">
        <f>IF(ROW()-3&gt;MAX($TD$4:$TD$40),"",INDEX($CQ$4:$CQ$40,MATCH(ROW()-3,$TD$4:$TD$40,0)))</f>
      </c>
      <c r="TF26" t="str">
        <f>IF(COUNTIF('Final Calculation Sheet'!$AL26:$BB26,0)+COUNTIF('Final Calculation Sheet'!$BD26:$BS26,0)&gt;0,0,1)</f>
      </c>
      <c r="TG26" t="str">
        <f>IF($CV$26="",FALSE,SUMPRODUCT(('Final Calculation Sheet'!$R$4:$R$40=$CV$26)*($TF$4:$TF$40=1))&gt;0)</f>
      </c>
      <c r="TH26" t="str">
        <f>=$TH25+--($TG26)</f>
      </c>
      <c r="TI26" t="str">
        <f>IF(ROW()-3&gt;MAX($TH$4:$TH$40),"",INDEX($CV$4:$CV$40,MATCH(ROW()-3,$TH$4:$TH$40,0)))</f>
      </c>
      <c r="TJ26" t="str">
        <f>IF(COUNTIF('Final Calculation Sheet'!$AL26:$BC26,0)+COUNTIF('Final Calculation Sheet'!$BE26:$BS26,0)&gt;0,0,1)</f>
      </c>
      <c r="TK26" t="str">
        <f>IF($DA$26="",FALSE,SUMPRODUCT(('Final Calculation Sheet'!$S$4:$S$40=$DA$26)*($TJ$4:$TJ$40=1))&gt;0)</f>
      </c>
      <c r="TL26" t="str">
        <f>=$TL25+--($TK26)</f>
      </c>
      <c r="TM26" t="str">
        <f>IF(ROW()-3&gt;MAX($TL$4:$TL$40),"",INDEX($DA$4:$DA$40,MATCH(ROW()-3,$TL$4:$TL$40,0)))</f>
      </c>
      <c r="TN26" t="str">
        <f>IF(COUNTIF('Final Calculation Sheet'!$AL26:$BD26,0)+COUNTIF('Final Calculation Sheet'!$BF26:$BS26,0)&gt;0,0,1)</f>
      </c>
      <c r="TO26" t="str">
        <f>IF($DF$26="",FALSE,SUMPRODUCT(('Final Calculation Sheet'!$T$4:$T$40=$DF$26)*($TN$4:$TN$40=1))&gt;0)</f>
      </c>
      <c r="TP26" t="str">
        <f>=$TP25+--($TO26)</f>
      </c>
      <c r="TQ26" t="str">
        <f>IF(ROW()-3&gt;MAX($TP$4:$TP$40),"",INDEX($DF$4:$DF$40,MATCH(ROW()-3,$TP$4:$TP$40,0)))</f>
      </c>
      <c r="TR26" t="str">
        <f>IF(COUNTIF('Final Calculation Sheet'!$AL26:$BE26,0)+COUNTIF('Final Calculation Sheet'!$BG26:$BS26,0)&gt;0,0,1)</f>
      </c>
      <c r="TS26" t="str">
        <f>IF($DK$26="",FALSE,SUMPRODUCT(('Final Calculation Sheet'!$U$4:$U$40=$DK$26)*($TR$4:$TR$40=1))&gt;0)</f>
      </c>
      <c r="TT26" t="str">
        <f>=$TT25+--($TS26)</f>
      </c>
      <c r="TU26" t="str">
        <f>IF(ROW()-3&gt;MAX($TT$4:$TT$40),"",INDEX($DK$4:$DK$40,MATCH(ROW()-3,$TT$4:$TT$40,0)))</f>
      </c>
      <c r="TV26" t="str">
        <f>IF(COUNTIF('Final Calculation Sheet'!$AL26:$BF26,0)+COUNTIF('Final Calculation Sheet'!$BH26:$BS26,0)&gt;0,0,1)</f>
      </c>
      <c r="TW26" t="str">
        <f>IF($DP$26="",FALSE,SUMPRODUCT(('Final Calculation Sheet'!$V$4:$V$40=$DP$26)*($TV$4:$TV$40=1))&gt;0)</f>
      </c>
      <c r="TX26" t="str">
        <f>=$TX25+--($TW26)</f>
      </c>
      <c r="TY26" t="str">
        <f>IF(ROW()-3&gt;MAX($TX$4:$TX$40),"",INDEX($DP$4:$DP$40,MATCH(ROW()-3,$TX$4:$TX$40,0)))</f>
      </c>
      <c r="TZ26" t="str">
        <f>IF(COUNTIF('Final Calculation Sheet'!$AL26:$BG26,0)+COUNTIF('Final Calculation Sheet'!$BI26:$BS26,0)&gt;0,0,1)</f>
      </c>
      <c r="UA26" t="str">
        <f>IF($DU$26="",FALSE,SUMPRODUCT(('Final Calculation Sheet'!$W$4:$W$40=$DU$26)*($TZ$4:$TZ$40=1))&gt;0)</f>
      </c>
      <c r="UB26" t="str">
        <f>=$UB25+--($UA26)</f>
      </c>
      <c r="UC26" t="str">
        <f>IF(ROW()-3&gt;MAX($UB$4:$UB$40),"",INDEX($DU$4:$DU$40,MATCH(ROW()-3,$UB$4:$UB$40,0)))</f>
      </c>
      <c r="UD26" t="str">
        <f>IF(COUNTIF('Final Calculation Sheet'!$AL26:$BH26,0)+COUNTIF('Final Calculation Sheet'!$BJ26:$BS26,0)&gt;0,0,1)</f>
      </c>
      <c r="UE26" t="str">
        <f>IF($DZ$26="",FALSE,SUMPRODUCT(('Final Calculation Sheet'!$X$4:$X$40=$DZ$26)*($UD$4:$UD$40=1))&gt;0)</f>
      </c>
      <c r="UF26" t="str">
        <f>=$UF25+--($UE26)</f>
      </c>
      <c r="UG26" t="str">
        <f>IF(ROW()-3&gt;MAX($UF$4:$UF$40),"",INDEX($DZ$4:$DZ$40,MATCH(ROW()-3,$UF$4:$UF$40,0)))</f>
      </c>
      <c r="UH26" t="str">
        <f>IF(COUNTIF('Final Calculation Sheet'!$AL26:$BI26,0)+COUNTIF('Final Calculation Sheet'!$BK26:$BS26,0)&gt;0,0,1)</f>
      </c>
      <c r="UI26" t="str">
        <f>IF($EE$26="",FALSE,SUMPRODUCT(('Final Calculation Sheet'!$Y$4:$Y$40=$EE$26)*($UH$4:$UH$40=1))&gt;0)</f>
      </c>
      <c r="UJ26" t="str">
        <f>=$UJ25+--($UI26)</f>
      </c>
      <c r="UK26" t="str">
        <f>IF(ROW()-3&gt;MAX($UJ$4:$UJ$40),"",INDEX($EE$4:$EE$40,MATCH(ROW()-3,$UJ$4:$UJ$40,0)))</f>
      </c>
      <c r="UL26" t="str">
        <f>IF(COUNTIF('Final Calculation Sheet'!$AL26:$BJ26,0)+COUNTIF('Final Calculation Sheet'!$BL26:$BS26,0)&gt;0,0,1)</f>
      </c>
      <c r="UM26" t="str">
        <f>IF($EJ$26="",FALSE,SUMPRODUCT(('Final Calculation Sheet'!$Z$4:$Z$40=$EJ$26)*($UL$4:$UL$40=1))&gt;0)</f>
      </c>
      <c r="UN26" t="str">
        <f>=$UN25+--($UM26)</f>
      </c>
      <c r="UO26" t="str">
        <f>IF(ROW()-3&gt;MAX($UN$4:$UN$40),"",INDEX($EJ$4:$EJ$40,MATCH(ROW()-3,$UN$4:$UN$40,0)))</f>
      </c>
      <c r="UP26" t="str">
        <f>IF(COUNTIF('Final Calculation Sheet'!$AL26:$BK26,0)+COUNTIF('Final Calculation Sheet'!$BM26:$BS26,0)&gt;0,0,1)</f>
      </c>
      <c r="UQ26" t="str">
        <f>IF($EO$26="",FALSE,SUMPRODUCT(('Final Calculation Sheet'!$AA$4:$AA$40=$EO$26)*($UP$4:$UP$40=1))&gt;0)</f>
      </c>
      <c r="UR26" t="str">
        <f>=$UR25+--($UQ26)</f>
      </c>
      <c r="US26" t="str">
        <f>IF(ROW()-3&gt;MAX($UR$4:$UR$40),"",INDEX($EO$4:$EO$40,MATCH(ROW()-3,$UR$4:$UR$40,0)))</f>
      </c>
      <c r="UT26" t="str">
        <f>IF(COUNTIF('Final Calculation Sheet'!$AL26:$BL26,0)+COUNTIF('Final Calculation Sheet'!$BN26:$BS26,0)&gt;0,0,1)</f>
      </c>
      <c r="UU26" t="str">
        <f>IF($ET$26="",FALSE,SUMPRODUCT(('Final Calculation Sheet'!$AB$4:$AB$40=$ET$26)*($UT$4:$UT$40=1))&gt;0)</f>
      </c>
      <c r="UV26" t="str">
        <f>=$UV25+--($UU26)</f>
      </c>
      <c r="UW26" t="str">
        <f>IF(ROW()-3&gt;MAX($UV$4:$UV$40),"",INDEX($ET$4:$ET$40,MATCH(ROW()-3,$UV$4:$UV$40,0)))</f>
      </c>
      <c r="UX26" t="str">
        <f>IF(COUNTIF('Final Calculation Sheet'!$AL26:$BM26,0)+COUNTIF('Final Calculation Sheet'!$BO26:$BS26,0)&gt;0,0,1)</f>
      </c>
      <c r="UY26" t="str">
        <f>IF($EY$26="",FALSE,SUMPRODUCT(('Final Calculation Sheet'!$AC$4:$AC$40=$EY$26)*($UX$4:$UX$40=1))&gt;0)</f>
      </c>
      <c r="UZ26" t="str">
        <f>=$UZ25+--($UY26)</f>
      </c>
      <c r="VA26" t="str">
        <f>IF(ROW()-3&gt;MAX($UZ$4:$UZ$40),"",INDEX($EY$4:$EY$40,MATCH(ROW()-3,$UZ$4:$UZ$40,0)))</f>
      </c>
      <c r="VB26" t="str">
        <f>IF(COUNTIF('Final Calculation Sheet'!$AL26:$BN26,0)+COUNTIF('Final Calculation Sheet'!$BP26:$BS26,0)&gt;0,0,1)</f>
      </c>
      <c r="VC26" t="str">
        <f>IF($FD$26="",FALSE,SUMPRODUCT(('Final Calculation Sheet'!$AD$4:$AD$40=$FD$26)*($VB$4:$VB$40=1))&gt;0)</f>
      </c>
      <c r="VD26" t="str">
        <f>=$VD25+--($VC26)</f>
      </c>
      <c r="VE26" t="str">
        <f>IF(ROW()-3&gt;MAX($VD$4:$VD$40),"",INDEX($FD$4:$FD$40,MATCH(ROW()-3,$VD$4:$VD$40,0)))</f>
      </c>
      <c r="VF26" t="str">
        <f>IF(COUNTIF('Final Calculation Sheet'!$AL26:$BO26,0)+COUNTIF('Final Calculation Sheet'!$BQ26:$BS26,0)&gt;0,0,1)</f>
      </c>
      <c r="VG26" t="str">
        <f>IF($FI$26="",FALSE,SUMPRODUCT(('Final Calculation Sheet'!$AE$4:$AE$40=$FI$26)*($VF$4:$VF$40=1))&gt;0)</f>
      </c>
      <c r="VH26" t="str">
        <f>=$VH25+--($VG26)</f>
      </c>
      <c r="VI26" t="str">
        <f>IF(ROW()-3&gt;MAX($VH$4:$VH$40),"",INDEX($FI$4:$FI$40,MATCH(ROW()-3,$VH$4:$VH$40,0)))</f>
      </c>
      <c r="VJ26" t="str">
        <f>IF(COUNTIF('Final Calculation Sheet'!$AL26:$BP26,0)+COUNTIF('Final Calculation Sheet'!$BR26:$BS26,0)&gt;0,0,1)</f>
      </c>
      <c r="VK26" t="str">
        <f>IF($FN$26="",FALSE,SUMPRODUCT(('Final Calculation Sheet'!$AF$4:$AF$40=$FN$26)*($VJ$4:$VJ$40=1))&gt;0)</f>
      </c>
      <c r="VL26" t="str">
        <f>=$VL25+--($VK26)</f>
      </c>
      <c r="VM26" t="str">
        <f>IF(ROW()-3&gt;MAX($VL$4:$VL$40),"",INDEX($FN$4:$FN$40,MATCH(ROW()-3,$VL$4:$VL$40,0)))</f>
      </c>
      <c r="VN26" t="str">
        <f>IF(COUNTIF('Final Calculation Sheet'!$AL26:$BQ26,0)+COUNTIF('Final Calculation Sheet'!$BS26:$BS26,0)&gt;0,0,1)</f>
      </c>
      <c r="VO26" t="str">
        <f>IF($FS$26="",FALSE,SUMPRODUCT(('Final Calculation Sheet'!$AG$4:$AG$40=$FS$26)*($VN$4:$VN$40=1))&gt;0)</f>
      </c>
      <c r="VP26" t="str">
        <f>=$VP25+--($VO26)</f>
      </c>
      <c r="VQ26" t="str">
        <f>IF(ROW()-3&gt;MAX($VP$4:$VP$40),"",INDEX($FS$4:$FS$40,MATCH(ROW()-3,$VP$4:$VP$40,0)))</f>
      </c>
      <c r="VR26" t="str">
        <f>IF(COUNTIF('Final Calculation Sheet'!$AL26:$BR26,0)&gt;0,0,1)</f>
      </c>
      <c r="VS26" t="str">
        <f>IF($QO$26="",FALSE,SUMPRODUCT(('Final Calculation Sheet'!$AH$4:$AH$40=$QO$26)*($VR$4:$VR$40=1))&gt;0)</f>
      </c>
      <c r="VT26" t="str">
        <f>=$VT25+--($VS26)</f>
      </c>
      <c r="VU26" t="str">
        <f>IF(ROW()-3&gt;MAX($VT$4:$VT$40),"",INDEX($QO$4:$QO$40,MATCH(ROW()-3,$VT$4:$VT$40,0)))</f>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IF(ROW()-3&gt;MAX($LC$4:$LC$40),"",INDEX($FS$4:$FS$40,MATCH(ROW()-3,$LC$4:$LC$40,0)))</f>
        <v/>
      </c>
      <c r="LE27">
        <f>IF(COUNTIF('Buyer Groups'!DH27:EN27,0)&gt;0,0,1)</f>
        <v/>
      </c>
      <c r="LF27">
        <f>IF($O$27="",FALSE,SUMPRODUCT(('Final Calculation Sheet'!$F$4:$F$40=$O$27)*($LE$6:$LE$42=1))&gt;0)</f>
        <v/>
      </c>
      <c r="LG27">
        <f>$LG$26+--($LF27)</f>
        <v/>
      </c>
      <c r="LH27">
        <f>IF(ROW()-3&gt;MAX($LG$4:$LG$40),"",INDEX($O$4:$O$40,MATCH(ROW()-3,$LG$4:$LG$40,0)))</f>
        <v/>
      </c>
      <c r="LI27">
        <f>IF(COUNTIF('Buyer Groups'!DG27:DG27,0)+COUNTIF('Buyer Groups'!DI27:EN27,0)&gt;0,0,1)</f>
        <v/>
      </c>
      <c r="LJ27">
        <f>IF($T$27="",FALSE,SUMPRODUCT(('Final Calculation Sheet'!$G$4:$G$40=$T$27)*($LI$6:$LI$42=1))&gt;0)</f>
        <v/>
      </c>
      <c r="LK27">
        <f>$LK$26+--($LJ27)</f>
        <v/>
      </c>
      <c r="LL27">
        <f>IF(ROW()-3&gt;MAX($LK$4:$LK$40),"",INDEX($T$4:$T$40,MATCH(ROW()-3,$LK$4:$LK$40,0)))</f>
        <v/>
      </c>
      <c r="LM27">
        <f>IF(COUNTIF('Buyer Groups'!DG27:DH27,0)+COUNTIF('Buyer Groups'!DJ27:EN27,0)&gt;0,0,1)</f>
        <v/>
      </c>
      <c r="LN27">
        <f>IF($Y$27="",FALSE,SUMPRODUCT(('Final Calculation Sheet'!$B$4:$B$40=$Y$27)*($LM$6:$LM$42=1))&gt;0)</f>
        <v/>
      </c>
      <c r="LO27">
        <f>$LO$26+--($LN27)</f>
        <v/>
      </c>
      <c r="LP27">
        <f>IF(ROW()-3&gt;MAX($LO$4:$LO$40),"",INDEX($Y$4:$Y$40,MATCH(ROW()-3,$LO$4:$LO$40,0)))</f>
        <v/>
      </c>
      <c r="LQ27">
        <f>IF(COUNTIF('Buyer Groups'!DG27:DI27,0)+COUNTIF('Buyer Groups'!DK27:EN27,0)&gt;0,0,1)</f>
        <v/>
      </c>
      <c r="LR27">
        <f>IF($AD$27="",FALSE,SUMPRODUCT(('Final Calculation Sheet'!$D$4:$D$40=$AD$27)*($LQ$6:$LQ$42=1))&gt;0)</f>
        <v/>
      </c>
      <c r="LS27">
        <f>$LS$26+--($LR27)</f>
        <v/>
      </c>
      <c r="LT27">
        <f>IF(ROW()-3&gt;MAX($LS$4:$LS$40),"",INDEX($AD$4:$AD$40,MATCH(ROW()-3,$LS$4:$LS$40,0)))</f>
        <v/>
      </c>
      <c r="LU27">
        <f>IF(COUNTIF('Buyer Groups'!DG27:DJ27,0)+COUNTIF('Buyer Groups'!DL27:EN27,0)&gt;0,0,1)</f>
        <v/>
      </c>
      <c r="LV27">
        <f>IF($AI$27="",FALSE,SUMPRODUCT(('Final Calculation Sheet'!$A$4:$A$40=$AI$27)*($LU$6:$LU$42=1))&gt;0)</f>
        <v/>
      </c>
      <c r="LW27">
        <f>$LW$26+--($LV27)</f>
        <v/>
      </c>
      <c r="LX27">
        <f>IF(ROW()-3&gt;MAX($LW$4:$LW$40),"",INDEX($AI$4:$AI$40,MATCH(ROW()-3,$LW$4:$LW$40,0)))</f>
        <v/>
      </c>
      <c r="LY27">
        <f>IF(COUNTIF('Buyer Groups'!DG27:DK27,0)+COUNTIF('Buyer Groups'!DM27:EN27,0)&gt;0,0,1)</f>
        <v/>
      </c>
      <c r="LZ27">
        <f>IF($AN$27="",FALSE,SUMPRODUCT(('Final Calculation Sheet'!$E$4:$E$40=$AN$27)*($LY$6:$LY$42=1))&gt;0)</f>
        <v/>
      </c>
      <c r="MA27">
        <f>$MA$26+--($LZ27)</f>
        <v/>
      </c>
      <c r="MB27">
        <f>IF(ROW()-3&gt;MAX($MA$4:$MA$40),"",INDEX($AN$4:$AN$40,MATCH(ROW()-3,$MA$4:$MA$40,0)))</f>
        <v/>
      </c>
      <c r="MC27">
        <f>IF(COUNTIF('Buyer Groups'!DG27:DL27,0)+COUNTIF('Buyer Groups'!DN27:EN27,0)&gt;0,0,1)</f>
        <v/>
      </c>
      <c r="MD27">
        <f>IF($AS$27="",FALSE,SUMPRODUCT(('Final Calculation Sheet'!$C$4:$C$40=$AS$27)*($MC$6:$MC$42=1))&gt;0)</f>
        <v/>
      </c>
      <c r="ME27">
        <f>$ME$26+--($MD27)</f>
        <v/>
      </c>
      <c r="MF27">
        <f>IF(ROW()-3&gt;MAX($ME$4:$ME$40),"",INDEX($AS$4:$AS$40,MATCH(ROW()-3,$ME$4:$ME$40,0)))</f>
        <v/>
      </c>
      <c r="MG27">
        <f>IF(COUNTIF('Buyer Groups'!DG27:DM27,0)+COUNTIF('Buyer Groups'!DO27:EN27,0)&gt;0,0,1)</f>
        <v/>
      </c>
      <c r="MH27">
        <f>IF($AX$27="",FALSE,SUMPRODUCT(('Final Calculation Sheet'!$H$4:$H$40=$AX$27)*($MG$6:$MG$42=1))&gt;0)</f>
        <v/>
      </c>
      <c r="MI27">
        <f>$MI$26+--($MH27)</f>
        <v/>
      </c>
      <c r="MJ27">
        <f>IF(ROW()-3&gt;MAX($MI$4:$MI$40),"",INDEX($AX$4:$AX$40,MATCH(ROW()-3,$MI$4:$MI$40,0)))</f>
        <v/>
      </c>
      <c r="MK27">
        <f>IF(COUNTIF('Buyer Groups'!DG27:DN27,0)+COUNTIF('Buyer Groups'!DP27:EN27,0)&gt;0,0,1)</f>
        <v/>
      </c>
      <c r="ML27">
        <f>IF($BC$27="",FALSE,SUMPRODUCT(('Final Calculation Sheet'!$I$4:$I$40=$BC$27)*($MK$6:$MK$42=1))&gt;0)</f>
        <v/>
      </c>
      <c r="MM27">
        <f>$MM$26+--($ML27)</f>
        <v/>
      </c>
      <c r="MN27">
        <f>IF(ROW()-3&gt;MAX($MM$4:$MM$40),"",INDEX($BC$4:$BC$40,MATCH(ROW()-3,$MM$4:$MM$40,0)))</f>
        <v/>
      </c>
      <c r="MO27">
        <f>IF(COUNTIF('Buyer Groups'!DG27:DO27,0)+COUNTIF('Buyer Groups'!DQ27:EN27,0)&gt;0,0,1)</f>
        <v/>
      </c>
      <c r="MP27">
        <f>IF($BH$27="",FALSE,SUMPRODUCT(('Final Calculation Sheet'!$J$4:$J$40=$BH$27)*($MO$6:$MO$42=1))&gt;0)</f>
        <v/>
      </c>
      <c r="MQ27">
        <f>$MQ$26+--($MP27)</f>
        <v/>
      </c>
      <c r="MR27">
        <f>IF(ROW()-3&gt;MAX($MQ$4:$MQ$40),"",INDEX($BH$4:$BH$40,MATCH(ROW()-3,$MQ$4:$MQ$40,0)))</f>
        <v/>
      </c>
      <c r="MS27">
        <f>IF(COUNTIF('Buyer Groups'!DG27:DP27,0)+COUNTIF('Buyer Groups'!DR27:EN27,0)&gt;0,0,1)</f>
        <v/>
      </c>
      <c r="MT27">
        <f>IF($BM$27="",FALSE,SUMPRODUCT(('Final Calculation Sheet'!$K$4:$K$40=$BM$27)*($MS$6:$MS$42=1))&gt;0)</f>
        <v/>
      </c>
      <c r="MU27">
        <f>$MU$26+--($MT27)</f>
        <v/>
      </c>
      <c r="MV27">
        <f>IF(ROW()-3&gt;MAX($MU$4:$MU$40),"",INDEX($BM$4:$BM$40,MATCH(ROW()-3,$MU$4:$MU$40,0)))</f>
        <v/>
      </c>
      <c r="MW27">
        <f>IF(COUNTIF('Buyer Groups'!DG27:DQ27,0)+COUNTIF('Buyer Groups'!DS27:EN27,0)&gt;0,0,1)</f>
        <v/>
      </c>
      <c r="MX27">
        <f>IF($BR$27="",FALSE,SUMPRODUCT(('Final Calculation Sheet'!$L$4:$L$40=$BR$27)*($MW$6:$MW$42=1))&gt;0)</f>
        <v/>
      </c>
      <c r="MY27">
        <f>$MY$26+--($MX27)</f>
        <v/>
      </c>
      <c r="MZ27">
        <f>IF(ROW()-3&gt;MAX($MY$4:$MY$40),"",INDEX($BR$4:$BR$40,MATCH(ROW()-3,$MY$4:$MY$40,0)))</f>
        <v/>
      </c>
      <c r="NA27">
        <f>IF(COUNTIF('Buyer Groups'!DG27:DR27,0)+COUNTIF('Buyer Groups'!DT27:EN27,0)&gt;0,0,1)</f>
        <v/>
      </c>
      <c r="NB27">
        <f>IF($BW$27="",FALSE,SUMPRODUCT(('Final Calculation Sheet'!$M$4:$M$40=$BW$27)*($NA$6:$NA$42=1))&gt;0)</f>
        <v/>
      </c>
      <c r="NC27">
        <f>$NC$26+--($NB27)</f>
        <v/>
      </c>
      <c r="ND27">
        <f>IF(ROW()-3&gt;MAX($NC$4:$NC$40),"",INDEX($BW$4:$BW$40,MATCH(ROW()-3,$NC$4:$NC$40,0)))</f>
        <v/>
      </c>
      <c r="NE27">
        <f>IF(COUNTIF('Buyer Groups'!DG27:DS27,0)+COUNTIF('Buyer Groups'!DU27:EN27,0)&gt;0,0,1)</f>
        <v/>
      </c>
      <c r="NF27">
        <f>IF($CB$27="",FALSE,SUMPRODUCT(('Final Calculation Sheet'!$N$4:$N$40=$CB$27)*($NE$6:$NE$42=1))&gt;0)</f>
        <v/>
      </c>
      <c r="NG27">
        <f>$NG$26+--($NF27)</f>
        <v/>
      </c>
      <c r="NH27">
        <f>IF(ROW()-3&gt;MAX($NG$4:$NG$40),"",INDEX($CB$4:$CB$40,MATCH(ROW()-3,$NG$4:$NG$40,0)))</f>
        <v/>
      </c>
      <c r="NI27">
        <f>IF(COUNTIF('Buyer Groups'!DG27:DT27,0)+COUNTIF('Buyer Groups'!DV27:EN27,0)&gt;0,0,1)</f>
        <v/>
      </c>
      <c r="NJ27">
        <f>IF($CG$27="",FALSE,SUMPRODUCT(('Final Calculation Sheet'!$O$4:$O$40=$CG$27)*($NI$6:$NI$42=1))&gt;0)</f>
        <v/>
      </c>
      <c r="NK27">
        <f>$NK$26+--($NJ27)</f>
        <v/>
      </c>
      <c r="NL27">
        <f>IF(ROW()-3&gt;MAX($NK$4:$NK$40),"",INDEX($CG$4:$CG$40,MATCH(ROW()-3,$NK$4:$NK$40,0)))</f>
        <v/>
      </c>
      <c r="NM27">
        <f>IF(COUNTIF('Buyer Groups'!DG27:DU27,0)+COUNTIF('Buyer Groups'!DW27:EN27,0)&gt;0,0,1)</f>
        <v/>
      </c>
      <c r="NN27">
        <f>IF($CL$27="",FALSE,SUMPRODUCT(('Final Calculation Sheet'!$P$4:$P$40=$CL$27)*($NM$6:$NM$42=1))&gt;0)</f>
        <v/>
      </c>
      <c r="NO27">
        <f>$NO$26+--($NN27)</f>
        <v/>
      </c>
      <c r="NP27">
        <f>IF(ROW()-3&gt;MAX($NO$4:$NO$40),"",INDEX($CL$4:$CL$40,MATCH(ROW()-3,$NO$4:$NO$40,0)))</f>
        <v/>
      </c>
      <c r="NQ27">
        <f>IF(COUNTIF('Buyer Groups'!DG27:DV27,0)+COUNTIF('Buyer Groups'!DX27:EN27,0)&gt;0,0,1)</f>
        <v/>
      </c>
      <c r="NR27">
        <f>IF($CQ$27="",FALSE,SUMPRODUCT(('Final Calculation Sheet'!$Q$4:$Q$40=$CQ$27)*($NQ$6:$NQ$42=1))&gt;0)</f>
        <v/>
      </c>
      <c r="NS27">
        <f>$NS$26+--($NR27)</f>
        <v/>
      </c>
      <c r="NT27">
        <f>IF(ROW()-3&gt;MAX($NS$4:$NS$40),"",INDEX($CQ$4:$CQ$40,MATCH(ROW()-3,$NS$4:$NS$40,0)))</f>
        <v/>
      </c>
      <c r="NU27">
        <f>IF(COUNTIF('Buyer Groups'!DG27:DW27,0)+COUNTIF('Buyer Groups'!DY27:EN27,0)&gt;0,0,1)</f>
        <v/>
      </c>
      <c r="NV27">
        <f>IF($CV$27="",FALSE,SUMPRODUCT(('Final Calculation Sheet'!$R$4:$R$40=$CV$27)*($NU$6:$NU$42=1))&gt;0)</f>
        <v/>
      </c>
      <c r="NW27">
        <f>$NW$26+--($NV27)</f>
        <v/>
      </c>
      <c r="NX27">
        <f>IF(ROW()-3&gt;MAX($NW$4:$NW$40),"",INDEX($CV$4:$CV$40,MATCH(ROW()-3,$NW$4:$NW$40,0)))</f>
        <v/>
      </c>
      <c r="NY27">
        <f>IF(COUNTIF('Buyer Groups'!DG27:DX27,0)+COUNTIF('Buyer Groups'!DZ27:EN27,0)&gt;0,0,1)</f>
        <v/>
      </c>
      <c r="NZ27">
        <f>IF($DA$27="",FALSE,SUMPRODUCT(('Final Calculation Sheet'!$S$4:$S$40=$DA$27)*($NY$6:$NY$42=1))&gt;0)</f>
        <v/>
      </c>
      <c r="OA27">
        <f>$OA$26+--($NZ27)</f>
        <v/>
      </c>
      <c r="OB27">
        <f>IF(ROW()-3&gt;MAX($OA$4:$OA$40),"",INDEX($DA$4:$DA$40,MATCH(ROW()-3,$OA$4:$OA$40,0)))</f>
        <v/>
      </c>
      <c r="OC27">
        <f>IF(COUNTIF('Buyer Groups'!DG27:DY27,0)+COUNTIF('Buyer Groups'!EA27:EN27,0)&gt;0,0,1)</f>
        <v/>
      </c>
      <c r="OD27">
        <f>IF($DF$27="",FALSE,SUMPRODUCT(('Final Calculation Sheet'!$T$4:$T$40=$DF$27)*($OC$6:$OC$42=1))&gt;0)</f>
        <v/>
      </c>
      <c r="OE27">
        <f>$OE$26+--($OD27)</f>
        <v/>
      </c>
      <c r="OF27">
        <f>IF(ROW()-3&gt;MAX($OE$4:$OE$40),"",INDEX($DF$4:$DF$40,MATCH(ROW()-3,$OE$4:$OE$40,0)))</f>
        <v/>
      </c>
      <c r="OG27">
        <f>IF(COUNTIF('Buyer Groups'!DG27:DZ27,0)+COUNTIF('Buyer Groups'!EB27:EN27,0)&gt;0,0,1)</f>
        <v/>
      </c>
      <c r="OH27">
        <f>IF($DK$27="",FALSE,SUMPRODUCT(('Final Calculation Sheet'!$U$4:$U$40=$DK$27)*($OG$6:$OG$42=1))&gt;0)</f>
        <v/>
      </c>
      <c r="OI27">
        <f>$OI$26+--($OH27)</f>
        <v/>
      </c>
      <c r="OJ27">
        <f>IF(ROW()-3&gt;MAX($OI$4:$OI$40),"",INDEX($DK$4:$DK$40,MATCH(ROW()-3,$OI$4:$OI$40,0)))</f>
        <v/>
      </c>
      <c r="OK27">
        <f>IF(COUNTIF('Buyer Groups'!DG27:EA27,0)+COUNTIF('Buyer Groups'!EC27:EN27,0)&gt;0,0,1)</f>
        <v/>
      </c>
      <c r="OL27">
        <f>IF($DP$27="",FALSE,SUMPRODUCT(('Final Calculation Sheet'!$V$4:$V$40=$DP$27)*($OK$6:$OK$42=1))&gt;0)</f>
        <v/>
      </c>
      <c r="OM27">
        <f>$OM$26+--($OL27)</f>
        <v/>
      </c>
      <c r="ON27">
        <f>IF(ROW()-3&gt;MAX($OM$4:$OM$40),"",INDEX($DP$4:$DP$40,MATCH(ROW()-3,$OM$4:$OM$40,0)))</f>
        <v/>
      </c>
      <c r="OO27">
        <f>IF(COUNTIF('Buyer Groups'!DG27:EB27,0)+COUNTIF('Buyer Groups'!ED27:EN27,0)&gt;0,0,1)</f>
        <v/>
      </c>
      <c r="OP27">
        <f>IF($DU$27="",FALSE,SUMPRODUCT(('Final Calculation Sheet'!$W$4:$W$40=$DU$27)*($OO$6:$OO$42=1))&gt;0)</f>
        <v/>
      </c>
      <c r="OQ27">
        <f>$OQ$26+--($OP27)</f>
        <v/>
      </c>
      <c r="OR27">
        <f>IF(ROW()-3&gt;MAX($OQ$4:$OQ$40),"",INDEX($DU$4:$DU$40,MATCH(ROW()-3,$OQ$4:$OQ$40,0)))</f>
        <v/>
      </c>
      <c r="OS27">
        <f>IF(COUNTIF('Buyer Groups'!DG27:EC27,0)+COUNTIF('Buyer Groups'!EE27:EN27,0)&gt;0,0,1)</f>
        <v/>
      </c>
      <c r="OT27">
        <f>IF($DZ$27="",FALSE,SUMPRODUCT(('Final Calculation Sheet'!$X$4:$X$40=$DZ$27)*($OS$6:$OS$42=1))&gt;0)</f>
        <v/>
      </c>
      <c r="OU27">
        <f>$OU$26+--($OT27)</f>
        <v/>
      </c>
      <c r="OV27">
        <f>IF(ROW()-3&gt;MAX($OU$4:$OU$40),"",INDEX($DZ$4:$DZ$40,MATCH(ROW()-3,$OU$4:$OU$40,0)))</f>
        <v/>
      </c>
      <c r="OW27">
        <f>IF(COUNTIF('Buyer Groups'!DG27:ED27,0)+COUNTIF('Buyer Groups'!EF27:EN27,0)&gt;0,0,1)</f>
        <v/>
      </c>
      <c r="OX27">
        <f>IF($EE$27="",FALSE,SUMPRODUCT(('Final Calculation Sheet'!$Y$4:$Y$40=$EE$27)*($OW$6:$OW$42=1))&gt;0)</f>
        <v/>
      </c>
      <c r="OY27">
        <f>$OY$26+--($OX27)</f>
        <v/>
      </c>
      <c r="OZ27">
        <f>IF(ROW()-3&gt;MAX($OY$4:$OY$40),"",INDEX($EE$4:$EE$40,MATCH(ROW()-3,$OY$4:$OY$40,0)))</f>
        <v/>
      </c>
      <c r="PA27">
        <f>IF(COUNTIF('Buyer Groups'!DG27:EE27,0)+COUNTIF('Buyer Groups'!EG27:EN27,0)&gt;0,0,1)</f>
        <v/>
      </c>
      <c r="PB27">
        <f>IF($EJ$27="",FALSE,SUMPRODUCT(('Final Calculation Sheet'!$Z$4:$Z$40=$EJ$27)*($PA$6:$PA$42=1))&gt;0)</f>
        <v/>
      </c>
      <c r="PC27">
        <f>$PC$26+--($PB27)</f>
        <v/>
      </c>
      <c r="PD27">
        <f>IF(ROW()-3&gt;MAX($PC$4:$PC$40),"",INDEX($EJ$4:$EJ$40,MATCH(ROW()-3,$PC$4:$PC$40,0)))</f>
        <v/>
      </c>
      <c r="PE27">
        <f>IF(COUNTIF('Buyer Groups'!DG27:EF27,0)+COUNTIF('Buyer Groups'!EH27:EN27,0)&gt;0,0,1)</f>
        <v/>
      </c>
      <c r="PF27">
        <f>IF($EO$27="",FALSE,SUMPRODUCT(('Final Calculation Sheet'!$AA$4:$AA$40=$EO$27)*($PE$6:$PE$42=1))&gt;0)</f>
        <v/>
      </c>
      <c r="PG27">
        <f>$PG$26+--($PF27)</f>
        <v/>
      </c>
      <c r="PH27">
        <f>IF(ROW()-3&gt;MAX($PG$4:$PG$40),"",INDEX($EO$4:$EO$40,MATCH(ROW()-3,$PG$4:$PG$40,0)))</f>
        <v/>
      </c>
      <c r="PI27">
        <f>IF(COUNTIF('Buyer Groups'!DG27:EG27,0)+COUNTIF('Buyer Groups'!EI27:EN27,0)&gt;0,0,1)</f>
        <v/>
      </c>
      <c r="PJ27">
        <f>IF($ET$27="",FALSE,SUMPRODUCT(('Final Calculation Sheet'!$AB$4:$AB$40=$ET$27)*($PI$6:$PI$42=1))&gt;0)</f>
        <v/>
      </c>
      <c r="PK27">
        <f>$PK$26+--($PJ27)</f>
        <v/>
      </c>
      <c r="PL27">
        <f>IF(ROW()-3&gt;MAX($PK$4:$PK$40),"",INDEX($ET$4:$ET$40,MATCH(ROW()-3,$PK$4:$PK$40,0)))</f>
        <v/>
      </c>
      <c r="PM27">
        <f>IF(COUNTIF('Buyer Groups'!DG27:EH27,0)+COUNTIF('Buyer Groups'!EJ27:EN27,0)&gt;0,0,1)</f>
        <v/>
      </c>
      <c r="PN27">
        <f>IF($EY$27="",FALSE,SUMPRODUCT(('Final Calculation Sheet'!$AC$4:$AC$40=$EY$27)*($PM$6:$PM$42=1))&gt;0)</f>
        <v/>
      </c>
      <c r="PO27">
        <f>$PO$26+--($PN27)</f>
        <v/>
      </c>
      <c r="PP27">
        <f>IF(ROW()-3&gt;MAX($PO$4:$PO$40),"",INDEX($EY$4:$EY$40,MATCH(ROW()-3,$PO$4:$PO$40,0)))</f>
        <v/>
      </c>
      <c r="PQ27">
        <f>IF(COUNTIF('Buyer Groups'!DG27:EI27,0)+COUNTIF('Buyer Groups'!EK27:EN27,0)&gt;0,0,1)</f>
        <v/>
      </c>
      <c r="PR27">
        <f>IF($FD$27="",FALSE,SUMPRODUCT(('Final Calculation Sheet'!$AD$4:$AD$40=$FD$27)*($PQ$6:$PQ$42=1))&gt;0)</f>
        <v/>
      </c>
      <c r="PS27">
        <f>$PS$26+--($PR27)</f>
        <v/>
      </c>
      <c r="PT27">
        <f>IF(ROW()-3&gt;MAX($PS$4:$PS$40),"",INDEX($FD$4:$FD$40,MATCH(ROW()-3,$PS$4:$PS$40,0)))</f>
        <v/>
      </c>
      <c r="PU27">
        <f>IF(COUNTIF('Buyer Groups'!DG27:EJ27,0)+COUNTIF('Buyer Groups'!EL27:EN27,0)&gt;0,0,1)</f>
        <v/>
      </c>
      <c r="PV27">
        <f>IF($FX$27="",FALSE,SUMPRODUCT((IF('Final Calculation Sheet'!$AD$4:$AD$40&lt;=5,"SETTLED","OUTSTANDING")=$FX$27)*($PU$6:$PU$42=1))&gt;0)</f>
        <v/>
      </c>
      <c r="PW27">
        <f>$PW$26+--($PV27)</f>
        <v/>
      </c>
      <c r="PX27">
        <f>IF(ROW()-3&gt;MAX($PW$4:$PW$40),"",INDEX($FX$4:$FX$40,MATCH(ROW()-3,$PW$4:$PW$40,0)))</f>
        <v/>
      </c>
      <c r="PY27">
        <f>IF(COUNTIF('Buyer Groups'!DG27:EK27,0)+COUNTIF('Buyer Groups'!EM27:EN27,0)&gt;0,0,1)</f>
        <v/>
      </c>
      <c r="PZ27">
        <f>IF($FI$27="",FALSE,SUMPRODUCT(('Final Calculation Sheet'!$AF$4:$AF$40=$FI$27)*($PY$6:$PY$42=1))&gt;0)</f>
        <v/>
      </c>
      <c r="QA27">
        <f>$QA$26+--($PZ27)</f>
        <v/>
      </c>
      <c r="QB27">
        <f>IF(ROW()-3&gt;MAX($QA$4:$QA$40),"",INDEX($FI$4:$FI$40,MATCH(ROW()-3,$QA$4:$QA$40,0)))</f>
        <v/>
      </c>
      <c r="QC27">
        <f>IF(COUNTIF('Buyer Groups'!DG27:EL27,0)+COUNTIF('Buyer Groups'!EN27:EN27,0)&gt;0,0,1)</f>
        <v/>
      </c>
      <c r="QD27">
        <f>IF($FN$27="",FALSE,SUMPRODUCT(('Final Calculation Sheet'!$AG$4:$AG$40=$FN$27)*($QC$6:$QC$42=1))&gt;0)</f>
        <v/>
      </c>
      <c r="QE27">
        <f>$QE$26+--($QD27)</f>
        <v/>
      </c>
      <c r="QF27">
        <f>IF(ROW()-3&gt;MAX($QE$4:$QE$40),"",INDEX($FN$4:$FN$40,MATCH(ROW()-3,$QE$4:$QE$40,0)))</f>
        <v/>
      </c>
      <c r="QG27">
        <f>IF(COUNTIF('Buyer Groups'!DG27:EM27,0)&gt;0,0,1)</f>
        <v/>
      </c>
      <c r="QH27">
        <f>IF($FS$27="",FALSE,SUMPRODUCT(('Final Calculation Sheet'!$AH$4:$AH$40=$FS$27)*($QG$6:$QG$42=1))&gt;0)</f>
        <v/>
      </c>
      <c r="QI27">
        <f>$QI$26+--($QH27)</f>
        <v/>
      </c>
      <c r="QJ27">
        <f>IF(ROW()-3&gt;MAX($QI$4:$QI$40),"",INDEX($FS$4:$FS$40,MATCH(ROW()-3,$QI$4:$QI$40,0)))</f>
        <v/>
      </c>
      <c r="QK27" t="str">
        <f>IF('Final Calculation Sheet'!$AH$27="","",'Final Calculation Sheet'!$AH$27)</f>
      </c>
      <c r="QL27" t="str">
        <f>IF(QK27="","",COUNTIFS(QK$4:QK$40,"&lt;"&amp;QK27,QK$4:QK$40,"&lt;&gt;"&amp;"")+COUNTIF(QK$4:QK27,QK27))</f>
      </c>
      <c r="QM27" t="str">
        <f>IF(ROW()-3&gt;COUNTIF(QK$4:QK$40,"&lt;&gt;"&amp;""),"",INDEX(QK$4:QK$40,MATCH(ROW()-3,QL$4:QL$40,0)))</f>
      </c>
      <c r="QN27" t="str">
        <f>=QN26+F(AND(QM27&lt;&gt;"",COUNTIF(QM$4:QM27,QM27)=1),1,0)</f>
      </c>
      <c r="QO27" t="str">
        <f>IF(ROW()-3&gt;MAX(QN$4:QN$40),"",INDEX(QM$4:QM$40,MATCH(ROW()-3,QN$4:QN$40,0)))</f>
      </c>
      <c r="QP27" t="str">
        <f>IF(COUNTIF('Final Calculation Sheet'!$AM27:$BS27,0)&gt;0,0,1)</f>
      </c>
      <c r="QQ27" t="str">
        <f>IF($AI$27="",FALSE,SUMPRODUCT(('Final Calculation Sheet'!$A$4:$A$40=$AI$27)*($QP$4:$QP$40=1))&gt;0)</f>
      </c>
      <c r="QR27" t="str">
        <f>=$QR26+--($QQ27)</f>
      </c>
      <c r="QS27" t="str">
        <f>IF(ROW()-3&gt;MAX($QR$4:$QR$40),"",INDEX($AI$4:$AI$40,MATCH(ROW()-3,$QR$4:$QR$40,0)))</f>
      </c>
      <c r="QT27" t="str">
        <f>IF(COUNTIF('Final Calculation Sheet'!$AL27:$AL27,0)+COUNTIF('Final Calculation Sheet'!$AN27:$BS27,0)&gt;0,0,1)</f>
      </c>
      <c r="QU27" t="str">
        <f>IF($Y$27="",FALSE,SUMPRODUCT(('Final Calculation Sheet'!$B$4:$B$40=$Y$27)*($QT$4:$QT$40=1))&gt;0)</f>
      </c>
      <c r="QV27" t="str">
        <f>=$QV26+--($QU27)</f>
      </c>
      <c r="QW27" t="str">
        <f>IF(ROW()-3&gt;MAX($QV$4:$QV$40),"",INDEX($Y$4:$Y$40,MATCH(ROW()-3,$QV$4:$QV$40,0)))</f>
      </c>
      <c r="QX27" t="str">
        <f>IF(COUNTIF('Final Calculation Sheet'!$AL27:$AM27,0)+COUNTIF('Final Calculation Sheet'!$AO27:$BS27,0)&gt;0,0,1)</f>
      </c>
      <c r="QY27" t="str">
        <f>IF($AS$27="",FALSE,SUMPRODUCT(('Final Calculation Sheet'!$C$4:$C$40=$AS$27)*($QX$4:$QX$40=1))&gt;0)</f>
      </c>
      <c r="QZ27" t="str">
        <f>=$QZ26+--($QY27)</f>
      </c>
      <c r="RA27" t="str">
        <f>IF(ROW()-3&gt;MAX($QZ$4:$QZ$40),"",INDEX($AS$4:$AS$40,MATCH(ROW()-3,$QZ$4:$QZ$40,0)))</f>
      </c>
      <c r="RB27" t="str">
        <f>IF(COUNTIF('Final Calculation Sheet'!$AL27:$AN27,0)+COUNTIF('Final Calculation Sheet'!$AP27:$BS27,0)&gt;0,0,1)</f>
      </c>
      <c r="RC27" t="str">
        <f>IF($AD$27="",FALSE,SUMPRODUCT(('Final Calculation Sheet'!$D$4:$D$40=$AD$27)*($RB$4:$RB$40=1))&gt;0)</f>
      </c>
      <c r="RD27" t="str">
        <f>=$RD26+--($RC27)</f>
      </c>
      <c r="RE27" t="str">
        <f>IF(ROW()-3&gt;MAX($RD$4:$RD$40),"",INDEX($AD$4:$AD$40,MATCH(ROW()-3,$RD$4:$RD$40,0)))</f>
      </c>
      <c r="RF27" t="str">
        <f>IF(COUNTIF('Final Calculation Sheet'!$AL27:$AO27,0)+COUNTIF('Final Calculation Sheet'!$AQ27:$BS27,0)&gt;0,0,1)</f>
      </c>
      <c r="RG27" t="str">
        <f>IF($AN$27="",FALSE,SUMPRODUCT(('Final Calculation Sheet'!$E$4:$E$40=$AN$27)*($RF$4:$RF$40=1))&gt;0)</f>
      </c>
      <c r="RH27" t="str">
        <f>=$RH26+--($RG27)</f>
      </c>
      <c r="RI27" t="str">
        <f>IF(ROW()-3&gt;MAX($RH$4:$RH$40),"",INDEX($AN$4:$AN$40,MATCH(ROW()-3,$RH$4:$RH$40,0)))</f>
      </c>
      <c r="RJ27" t="str">
        <f>IF(COUNTIF('Final Calculation Sheet'!$AL27:$AP27,0)+COUNTIF('Final Calculation Sheet'!$AR27:$BS27,0)&gt;0,0,1)</f>
      </c>
      <c r="RK27" t="str">
        <f>IF($O$27="",FALSE,SUMPRODUCT(('Final Calculation Sheet'!$F$4:$F$40=$O$27)*($RJ$4:$RJ$40=1))&gt;0)</f>
      </c>
      <c r="RL27" t="str">
        <f>=$RL26+--($RK27)</f>
      </c>
      <c r="RM27" t="str">
        <f>IF(ROW()-3&gt;MAX($RL$4:$RL$40),"",INDEX($O$4:$O$40,MATCH(ROW()-3,$RL$4:$RL$40,0)))</f>
      </c>
      <c r="RN27" t="str">
        <f>IF(COUNTIF('Final Calculation Sheet'!$AL27:$AQ27,0)+COUNTIF('Final Calculation Sheet'!$AS27:$BS27,0)&gt;0,0,1)</f>
      </c>
      <c r="RO27" t="str">
        <f>IF($T$27="",FALSE,SUMPRODUCT(('Final Calculation Sheet'!$G$4:$G$40=$T$27)*($RN$4:$RN$40=1))&gt;0)</f>
      </c>
      <c r="RP27" t="str">
        <f>=$RP26+--($RO27)</f>
      </c>
      <c r="RQ27" t="str">
        <f>IF(ROW()-3&gt;MAX($RP$4:$RP$40),"",INDEX($T$4:$T$40,MATCH(ROW()-3,$RP$4:$RP$40,0)))</f>
      </c>
      <c r="RR27" t="str">
        <f>IF(COUNTIF('Final Calculation Sheet'!$AL27:$AR27,0)+COUNTIF('Final Calculation Sheet'!$AT27:$BS27,0)&gt;0,0,1)</f>
      </c>
      <c r="RS27" t="str">
        <f>IF($AX$27="",FALSE,SUMPRODUCT(('Final Calculation Sheet'!$H$4:$H$40=$AX$27)*($RR$4:$RR$40=1))&gt;0)</f>
      </c>
      <c r="RT27" t="str">
        <f>=$RT26+--($RS27)</f>
      </c>
      <c r="RU27" t="str">
        <f>IF(ROW()-3&gt;MAX($RT$4:$RT$40),"",INDEX($AX$4:$AX$40,MATCH(ROW()-3,$RT$4:$RT$40,0)))</f>
      </c>
      <c r="RV27" t="str">
        <f>IF(COUNTIF('Final Calculation Sheet'!$AL27:$AS27,0)+COUNTIF('Final Calculation Sheet'!$AU27:$BS27,0)&gt;0,0,1)</f>
      </c>
      <c r="RW27" t="str">
        <f>IF($BC$27="",FALSE,SUMPRODUCT(('Final Calculation Sheet'!$I$4:$I$40=$BC$27)*($RV$4:$RV$40=1))&gt;0)</f>
      </c>
      <c r="RX27" t="str">
        <f>=$RX26+--($RW27)</f>
      </c>
      <c r="RY27" t="str">
        <f>IF(ROW()-3&gt;MAX($RX$4:$RX$40),"",INDEX($BC$4:$BC$40,MATCH(ROW()-3,$RX$4:$RX$40,0)))</f>
      </c>
      <c r="RZ27" t="str">
        <f>IF(COUNTIF('Final Calculation Sheet'!$AL27:$AT27,0)+COUNTIF('Final Calculation Sheet'!$AV27:$BS27,0)&gt;0,0,1)</f>
      </c>
      <c r="SA27" t="str">
        <f>IF($BH$27="",FALSE,SUMPRODUCT(('Final Calculation Sheet'!$J$4:$J$40=$BH$27)*($RZ$4:$RZ$40=1))&gt;0)</f>
      </c>
      <c r="SB27" t="str">
        <f>=$SB26+--($SA27)</f>
      </c>
      <c r="SC27" t="str">
        <f>IF(ROW()-3&gt;MAX($SB$4:$SB$40),"",INDEX($BH$4:$BH$40,MATCH(ROW()-3,$SB$4:$SB$40,0)))</f>
      </c>
      <c r="SD27" t="str">
        <f>IF(COUNTIF('Final Calculation Sheet'!$AL27:$AU27,0)+COUNTIF('Final Calculation Sheet'!$AW27:$BS27,0)&gt;0,0,1)</f>
      </c>
      <c r="SE27" t="str">
        <f>IF($BM$27="",FALSE,SUMPRODUCT(('Final Calculation Sheet'!$K$4:$K$40=$BM$27)*($SD$4:$SD$40=1))&gt;0)</f>
      </c>
      <c r="SF27" t="str">
        <f>=$SF26+--($SE27)</f>
      </c>
      <c r="SG27" t="str">
        <f>IF(ROW()-3&gt;MAX($SF$4:$SF$40),"",INDEX($BM$4:$BM$40,MATCH(ROW()-3,$SF$4:$SF$40,0)))</f>
      </c>
      <c r="SH27" t="str">
        <f>IF(COUNTIF('Final Calculation Sheet'!$AL27:$AV27,0)+COUNTIF('Final Calculation Sheet'!$AX27:$BS27,0)&gt;0,0,1)</f>
      </c>
      <c r="SI27" t="str">
        <f>IF($BR$27="",FALSE,SUMPRODUCT(('Final Calculation Sheet'!$L$4:$L$40=$BR$27)*($SH$4:$SH$40=1))&gt;0)</f>
      </c>
      <c r="SJ27" t="str">
        <f>=$SJ26+--($SI27)</f>
      </c>
      <c r="SK27" t="str">
        <f>IF(ROW()-3&gt;MAX($SJ$4:$SJ$40),"",INDEX($BR$4:$BR$40,MATCH(ROW()-3,$SJ$4:$SJ$40,0)))</f>
      </c>
      <c r="SL27" t="str">
        <f>IF(COUNTIF('Final Calculation Sheet'!$AL27:$AW27,0)+COUNTIF('Final Calculation Sheet'!$AY27:$BS27,0)&gt;0,0,1)</f>
      </c>
      <c r="SM27" t="str">
        <f>IF($BW$27="",FALSE,SUMPRODUCT(('Final Calculation Sheet'!$M$4:$M$40=$BW$27)*($SL$4:$SL$40=1))&gt;0)</f>
      </c>
      <c r="SN27" t="str">
        <f>=$SN26+--($SM27)</f>
      </c>
      <c r="SO27" t="str">
        <f>IF(ROW()-3&gt;MAX($SN$4:$SN$40),"",INDEX($BW$4:$BW$40,MATCH(ROW()-3,$SN$4:$SN$40,0)))</f>
      </c>
      <c r="SP27" t="str">
        <f>IF(COUNTIF('Final Calculation Sheet'!$AL27:$AX27,0)+COUNTIF('Final Calculation Sheet'!$AZ27:$BS27,0)&gt;0,0,1)</f>
      </c>
      <c r="SQ27" t="str">
        <f>IF($CB$27="",FALSE,SUMPRODUCT(('Final Calculation Sheet'!$N$4:$N$40=$CB$27)*($SP$4:$SP$40=1))&gt;0)</f>
      </c>
      <c r="SR27" t="str">
        <f>=$SR26+--($SQ27)</f>
      </c>
      <c r="SS27" t="str">
        <f>IF(ROW()-3&gt;MAX($SR$4:$SR$40),"",INDEX($CB$4:$CB$40,MATCH(ROW()-3,$SR$4:$SR$40,0)))</f>
      </c>
      <c r="ST27" t="str">
        <f>IF(COUNTIF('Final Calculation Sheet'!$AL27:$AY27,0)+COUNTIF('Final Calculation Sheet'!$BA27:$BS27,0)&gt;0,0,1)</f>
      </c>
      <c r="SU27" t="str">
        <f>IF($CG$27="",FALSE,SUMPRODUCT(('Final Calculation Sheet'!$O$4:$O$40=$CG$27)*($ST$4:$ST$40=1))&gt;0)</f>
      </c>
      <c r="SV27" t="str">
        <f>=$SV26+--($SU27)</f>
      </c>
      <c r="SW27" t="str">
        <f>IF(ROW()-3&gt;MAX($SV$4:$SV$40),"",INDEX($CG$4:$CG$40,MATCH(ROW()-3,$SV$4:$SV$40,0)))</f>
      </c>
      <c r="SX27" t="str">
        <f>IF(COUNTIF('Final Calculation Sheet'!$AL27:$AZ27,0)+COUNTIF('Final Calculation Sheet'!$BB27:$BS27,0)&gt;0,0,1)</f>
      </c>
      <c r="SY27" t="str">
        <f>IF($CL$27="",FALSE,SUMPRODUCT(('Final Calculation Sheet'!$P$4:$P$40=$CL$27)*($SX$4:$SX$40=1))&gt;0)</f>
      </c>
      <c r="SZ27" t="str">
        <f>=$SZ26+--($SY27)</f>
      </c>
      <c r="TA27" t="str">
        <f>IF(ROW()-3&gt;MAX($SZ$4:$SZ$40),"",INDEX($CL$4:$CL$40,MATCH(ROW()-3,$SZ$4:$SZ$40,0)))</f>
      </c>
      <c r="TB27" t="str">
        <f>IF(COUNTIF('Final Calculation Sheet'!$AL27:$BA27,0)+COUNTIF('Final Calculation Sheet'!$BC27:$BS27,0)&gt;0,0,1)</f>
      </c>
      <c r="TC27" t="str">
        <f>IF($CQ$27="",FALSE,SUMPRODUCT(('Final Calculation Sheet'!$Q$4:$Q$40=$CQ$27)*($TB$4:$TB$40=1))&gt;0)</f>
      </c>
      <c r="TD27" t="str">
        <f>=$TD26+--($TC27)</f>
      </c>
      <c r="TE27" t="str">
        <f>IF(ROW()-3&gt;MAX($TD$4:$TD$40),"",INDEX($CQ$4:$CQ$40,MATCH(ROW()-3,$TD$4:$TD$40,0)))</f>
      </c>
      <c r="TF27" t="str">
        <f>IF(COUNTIF('Final Calculation Sheet'!$AL27:$BB27,0)+COUNTIF('Final Calculation Sheet'!$BD27:$BS27,0)&gt;0,0,1)</f>
      </c>
      <c r="TG27" t="str">
        <f>IF($CV$27="",FALSE,SUMPRODUCT(('Final Calculation Sheet'!$R$4:$R$40=$CV$27)*($TF$4:$TF$40=1))&gt;0)</f>
      </c>
      <c r="TH27" t="str">
        <f>=$TH26+--($TG27)</f>
      </c>
      <c r="TI27" t="str">
        <f>IF(ROW()-3&gt;MAX($TH$4:$TH$40),"",INDEX($CV$4:$CV$40,MATCH(ROW()-3,$TH$4:$TH$40,0)))</f>
      </c>
      <c r="TJ27" t="str">
        <f>IF(COUNTIF('Final Calculation Sheet'!$AL27:$BC27,0)+COUNTIF('Final Calculation Sheet'!$BE27:$BS27,0)&gt;0,0,1)</f>
      </c>
      <c r="TK27" t="str">
        <f>IF($DA$27="",FALSE,SUMPRODUCT(('Final Calculation Sheet'!$S$4:$S$40=$DA$27)*($TJ$4:$TJ$40=1))&gt;0)</f>
      </c>
      <c r="TL27" t="str">
        <f>=$TL26+--($TK27)</f>
      </c>
      <c r="TM27" t="str">
        <f>IF(ROW()-3&gt;MAX($TL$4:$TL$40),"",INDEX($DA$4:$DA$40,MATCH(ROW()-3,$TL$4:$TL$40,0)))</f>
      </c>
      <c r="TN27" t="str">
        <f>IF(COUNTIF('Final Calculation Sheet'!$AL27:$BD27,0)+COUNTIF('Final Calculation Sheet'!$BF27:$BS27,0)&gt;0,0,1)</f>
      </c>
      <c r="TO27" t="str">
        <f>IF($DF$27="",FALSE,SUMPRODUCT(('Final Calculation Sheet'!$T$4:$T$40=$DF$27)*($TN$4:$TN$40=1))&gt;0)</f>
      </c>
      <c r="TP27" t="str">
        <f>=$TP26+--($TO27)</f>
      </c>
      <c r="TQ27" t="str">
        <f>IF(ROW()-3&gt;MAX($TP$4:$TP$40),"",INDEX($DF$4:$DF$40,MATCH(ROW()-3,$TP$4:$TP$40,0)))</f>
      </c>
      <c r="TR27" t="str">
        <f>IF(COUNTIF('Final Calculation Sheet'!$AL27:$BE27,0)+COUNTIF('Final Calculation Sheet'!$BG27:$BS27,0)&gt;0,0,1)</f>
      </c>
      <c r="TS27" t="str">
        <f>IF($DK$27="",FALSE,SUMPRODUCT(('Final Calculation Sheet'!$U$4:$U$40=$DK$27)*($TR$4:$TR$40=1))&gt;0)</f>
      </c>
      <c r="TT27" t="str">
        <f>=$TT26+--($TS27)</f>
      </c>
      <c r="TU27" t="str">
        <f>IF(ROW()-3&gt;MAX($TT$4:$TT$40),"",INDEX($DK$4:$DK$40,MATCH(ROW()-3,$TT$4:$TT$40,0)))</f>
      </c>
      <c r="TV27" t="str">
        <f>IF(COUNTIF('Final Calculation Sheet'!$AL27:$BF27,0)+COUNTIF('Final Calculation Sheet'!$BH27:$BS27,0)&gt;0,0,1)</f>
      </c>
      <c r="TW27" t="str">
        <f>IF($DP$27="",FALSE,SUMPRODUCT(('Final Calculation Sheet'!$V$4:$V$40=$DP$27)*($TV$4:$TV$40=1))&gt;0)</f>
      </c>
      <c r="TX27" t="str">
        <f>=$TX26+--($TW27)</f>
      </c>
      <c r="TY27" t="str">
        <f>IF(ROW()-3&gt;MAX($TX$4:$TX$40),"",INDEX($DP$4:$DP$40,MATCH(ROW()-3,$TX$4:$TX$40,0)))</f>
      </c>
      <c r="TZ27" t="str">
        <f>IF(COUNTIF('Final Calculation Sheet'!$AL27:$BG27,0)+COUNTIF('Final Calculation Sheet'!$BI27:$BS27,0)&gt;0,0,1)</f>
      </c>
      <c r="UA27" t="str">
        <f>IF($DU$27="",FALSE,SUMPRODUCT(('Final Calculation Sheet'!$W$4:$W$40=$DU$27)*($TZ$4:$TZ$40=1))&gt;0)</f>
      </c>
      <c r="UB27" t="str">
        <f>=$UB26+--($UA27)</f>
      </c>
      <c r="UC27" t="str">
        <f>IF(ROW()-3&gt;MAX($UB$4:$UB$40),"",INDEX($DU$4:$DU$40,MATCH(ROW()-3,$UB$4:$UB$40,0)))</f>
      </c>
      <c r="UD27" t="str">
        <f>IF(COUNTIF('Final Calculation Sheet'!$AL27:$BH27,0)+COUNTIF('Final Calculation Sheet'!$BJ27:$BS27,0)&gt;0,0,1)</f>
      </c>
      <c r="UE27" t="str">
        <f>IF($DZ$27="",FALSE,SUMPRODUCT(('Final Calculation Sheet'!$X$4:$X$40=$DZ$27)*($UD$4:$UD$40=1))&gt;0)</f>
      </c>
      <c r="UF27" t="str">
        <f>=$UF26+--($UE27)</f>
      </c>
      <c r="UG27" t="str">
        <f>IF(ROW()-3&gt;MAX($UF$4:$UF$40),"",INDEX($DZ$4:$DZ$40,MATCH(ROW()-3,$UF$4:$UF$40,0)))</f>
      </c>
      <c r="UH27" t="str">
        <f>IF(COUNTIF('Final Calculation Sheet'!$AL27:$BI27,0)+COUNTIF('Final Calculation Sheet'!$BK27:$BS27,0)&gt;0,0,1)</f>
      </c>
      <c r="UI27" t="str">
        <f>IF($EE$27="",FALSE,SUMPRODUCT(('Final Calculation Sheet'!$Y$4:$Y$40=$EE$27)*($UH$4:$UH$40=1))&gt;0)</f>
      </c>
      <c r="UJ27" t="str">
        <f>=$UJ26+--($UI27)</f>
      </c>
      <c r="UK27" t="str">
        <f>IF(ROW()-3&gt;MAX($UJ$4:$UJ$40),"",INDEX($EE$4:$EE$40,MATCH(ROW()-3,$UJ$4:$UJ$40,0)))</f>
      </c>
      <c r="UL27" t="str">
        <f>IF(COUNTIF('Final Calculation Sheet'!$AL27:$BJ27,0)+COUNTIF('Final Calculation Sheet'!$BL27:$BS27,0)&gt;0,0,1)</f>
      </c>
      <c r="UM27" t="str">
        <f>IF($EJ$27="",FALSE,SUMPRODUCT(('Final Calculation Sheet'!$Z$4:$Z$40=$EJ$27)*($UL$4:$UL$40=1))&gt;0)</f>
      </c>
      <c r="UN27" t="str">
        <f>=$UN26+--($UM27)</f>
      </c>
      <c r="UO27" t="str">
        <f>IF(ROW()-3&gt;MAX($UN$4:$UN$40),"",INDEX($EJ$4:$EJ$40,MATCH(ROW()-3,$UN$4:$UN$40,0)))</f>
      </c>
      <c r="UP27" t="str">
        <f>IF(COUNTIF('Final Calculation Sheet'!$AL27:$BK27,0)+COUNTIF('Final Calculation Sheet'!$BM27:$BS27,0)&gt;0,0,1)</f>
      </c>
      <c r="UQ27" t="str">
        <f>IF($EO$27="",FALSE,SUMPRODUCT(('Final Calculation Sheet'!$AA$4:$AA$40=$EO$27)*($UP$4:$UP$40=1))&gt;0)</f>
      </c>
      <c r="UR27" t="str">
        <f>=$UR26+--($UQ27)</f>
      </c>
      <c r="US27" t="str">
        <f>IF(ROW()-3&gt;MAX($UR$4:$UR$40),"",INDEX($EO$4:$EO$40,MATCH(ROW()-3,$UR$4:$UR$40,0)))</f>
      </c>
      <c r="UT27" t="str">
        <f>IF(COUNTIF('Final Calculation Sheet'!$AL27:$BL27,0)+COUNTIF('Final Calculation Sheet'!$BN27:$BS27,0)&gt;0,0,1)</f>
      </c>
      <c r="UU27" t="str">
        <f>IF($ET$27="",FALSE,SUMPRODUCT(('Final Calculation Sheet'!$AB$4:$AB$40=$ET$27)*($UT$4:$UT$40=1))&gt;0)</f>
      </c>
      <c r="UV27" t="str">
        <f>=$UV26+--($UU27)</f>
      </c>
      <c r="UW27" t="str">
        <f>IF(ROW()-3&gt;MAX($UV$4:$UV$40),"",INDEX($ET$4:$ET$40,MATCH(ROW()-3,$UV$4:$UV$40,0)))</f>
      </c>
      <c r="UX27" t="str">
        <f>IF(COUNTIF('Final Calculation Sheet'!$AL27:$BM27,0)+COUNTIF('Final Calculation Sheet'!$BO27:$BS27,0)&gt;0,0,1)</f>
      </c>
      <c r="UY27" t="str">
        <f>IF($EY$27="",FALSE,SUMPRODUCT(('Final Calculation Sheet'!$AC$4:$AC$40=$EY$27)*($UX$4:$UX$40=1))&gt;0)</f>
      </c>
      <c r="UZ27" t="str">
        <f>=$UZ26+--($UY27)</f>
      </c>
      <c r="VA27" t="str">
        <f>IF(ROW()-3&gt;MAX($UZ$4:$UZ$40),"",INDEX($EY$4:$EY$40,MATCH(ROW()-3,$UZ$4:$UZ$40,0)))</f>
      </c>
      <c r="VB27" t="str">
        <f>IF(COUNTIF('Final Calculation Sheet'!$AL27:$BN27,0)+COUNTIF('Final Calculation Sheet'!$BP27:$BS27,0)&gt;0,0,1)</f>
      </c>
      <c r="VC27" t="str">
        <f>IF($FD$27="",FALSE,SUMPRODUCT(('Final Calculation Sheet'!$AD$4:$AD$40=$FD$27)*($VB$4:$VB$40=1))&gt;0)</f>
      </c>
      <c r="VD27" t="str">
        <f>=$VD26+--($VC27)</f>
      </c>
      <c r="VE27" t="str">
        <f>IF(ROW()-3&gt;MAX($VD$4:$VD$40),"",INDEX($FD$4:$FD$40,MATCH(ROW()-3,$VD$4:$VD$40,0)))</f>
      </c>
      <c r="VF27" t="str">
        <f>IF(COUNTIF('Final Calculation Sheet'!$AL27:$BO27,0)+COUNTIF('Final Calculation Sheet'!$BQ27:$BS27,0)&gt;0,0,1)</f>
      </c>
      <c r="VG27" t="str">
        <f>IF($FI$27="",FALSE,SUMPRODUCT(('Final Calculation Sheet'!$AE$4:$AE$40=$FI$27)*($VF$4:$VF$40=1))&gt;0)</f>
      </c>
      <c r="VH27" t="str">
        <f>=$VH26+--($VG27)</f>
      </c>
      <c r="VI27" t="str">
        <f>IF(ROW()-3&gt;MAX($VH$4:$VH$40),"",INDEX($FI$4:$FI$40,MATCH(ROW()-3,$VH$4:$VH$40,0)))</f>
      </c>
      <c r="VJ27" t="str">
        <f>IF(COUNTIF('Final Calculation Sheet'!$AL27:$BP27,0)+COUNTIF('Final Calculation Sheet'!$BR27:$BS27,0)&gt;0,0,1)</f>
      </c>
      <c r="VK27" t="str">
        <f>IF($FN$27="",FALSE,SUMPRODUCT(('Final Calculation Sheet'!$AF$4:$AF$40=$FN$27)*($VJ$4:$VJ$40=1))&gt;0)</f>
      </c>
      <c r="VL27" t="str">
        <f>=$VL26+--($VK27)</f>
      </c>
      <c r="VM27" t="str">
        <f>IF(ROW()-3&gt;MAX($VL$4:$VL$40),"",INDEX($FN$4:$FN$40,MATCH(ROW()-3,$VL$4:$VL$40,0)))</f>
      </c>
      <c r="VN27" t="str">
        <f>IF(COUNTIF('Final Calculation Sheet'!$AL27:$BQ27,0)+COUNTIF('Final Calculation Sheet'!$BS27:$BS27,0)&gt;0,0,1)</f>
      </c>
      <c r="VO27" t="str">
        <f>IF($FS$27="",FALSE,SUMPRODUCT(('Final Calculation Sheet'!$AG$4:$AG$40=$FS$27)*($VN$4:$VN$40=1))&gt;0)</f>
      </c>
      <c r="VP27" t="str">
        <f>=$VP26+--($VO27)</f>
      </c>
      <c r="VQ27" t="str">
        <f>IF(ROW()-3&gt;MAX($VP$4:$VP$40),"",INDEX($FS$4:$FS$40,MATCH(ROW()-3,$VP$4:$VP$40,0)))</f>
      </c>
      <c r="VR27" t="str">
        <f>IF(COUNTIF('Final Calculation Sheet'!$AL27:$BR27,0)&gt;0,0,1)</f>
      </c>
      <c r="VS27" t="str">
        <f>IF($QO$27="",FALSE,SUMPRODUCT(('Final Calculation Sheet'!$AH$4:$AH$40=$QO$27)*($VR$4:$VR$40=1))&gt;0)</f>
      </c>
      <c r="VT27" t="str">
        <f>=$VT26+--($VS27)</f>
      </c>
      <c r="VU27" t="str">
        <f>IF(ROW()-3&gt;MAX($VT$4:$VT$40),"",INDEX($QO$4:$QO$40,MATCH(ROW()-3,$VT$4:$VT$40,0)))</f>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IF(ROW()-3&gt;MAX($LC$4:$LC$40),"",INDEX($FS$4:$FS$40,MATCH(ROW()-3,$LC$4:$LC$40,0)))</f>
        <v/>
      </c>
      <c r="LE28">
        <f>IF(COUNTIF('Buyer Groups'!DH28:EN28,0)&gt;0,0,1)</f>
        <v/>
      </c>
      <c r="LF28">
        <f>IF($O$28="",FALSE,SUMPRODUCT(('Final Calculation Sheet'!$F$4:$F$40=$O$28)*($LE$6:$LE$42=1))&gt;0)</f>
        <v/>
      </c>
      <c r="LG28">
        <f>$LG$27+--($LF28)</f>
        <v/>
      </c>
      <c r="LH28">
        <f>IF(ROW()-3&gt;MAX($LG$4:$LG$40),"",INDEX($O$4:$O$40,MATCH(ROW()-3,$LG$4:$LG$40,0)))</f>
        <v/>
      </c>
      <c r="LI28">
        <f>IF(COUNTIF('Buyer Groups'!DG28:DG28,0)+COUNTIF('Buyer Groups'!DI28:EN28,0)&gt;0,0,1)</f>
        <v/>
      </c>
      <c r="LJ28">
        <f>IF($T$28="",FALSE,SUMPRODUCT(('Final Calculation Sheet'!$G$4:$G$40=$T$28)*($LI$6:$LI$42=1))&gt;0)</f>
        <v/>
      </c>
      <c r="LK28">
        <f>$LK$27+--($LJ28)</f>
        <v/>
      </c>
      <c r="LL28">
        <f>IF(ROW()-3&gt;MAX($LK$4:$LK$40),"",INDEX($T$4:$T$40,MATCH(ROW()-3,$LK$4:$LK$40,0)))</f>
        <v/>
      </c>
      <c r="LM28">
        <f>IF(COUNTIF('Buyer Groups'!DG28:DH28,0)+COUNTIF('Buyer Groups'!DJ28:EN28,0)&gt;0,0,1)</f>
        <v/>
      </c>
      <c r="LN28">
        <f>IF($Y$28="",FALSE,SUMPRODUCT(('Final Calculation Sheet'!$B$4:$B$40=$Y$28)*($LM$6:$LM$42=1))&gt;0)</f>
        <v/>
      </c>
      <c r="LO28">
        <f>$LO$27+--($LN28)</f>
        <v/>
      </c>
      <c r="LP28">
        <f>IF(ROW()-3&gt;MAX($LO$4:$LO$40),"",INDEX($Y$4:$Y$40,MATCH(ROW()-3,$LO$4:$LO$40,0)))</f>
        <v/>
      </c>
      <c r="LQ28">
        <f>IF(COUNTIF('Buyer Groups'!DG28:DI28,0)+COUNTIF('Buyer Groups'!DK28:EN28,0)&gt;0,0,1)</f>
        <v/>
      </c>
      <c r="LR28">
        <f>IF($AD$28="",FALSE,SUMPRODUCT(('Final Calculation Sheet'!$D$4:$D$40=$AD$28)*($LQ$6:$LQ$42=1))&gt;0)</f>
        <v/>
      </c>
      <c r="LS28">
        <f>$LS$27+--($LR28)</f>
        <v/>
      </c>
      <c r="LT28">
        <f>IF(ROW()-3&gt;MAX($LS$4:$LS$40),"",INDEX($AD$4:$AD$40,MATCH(ROW()-3,$LS$4:$LS$40,0)))</f>
        <v/>
      </c>
      <c r="LU28">
        <f>IF(COUNTIF('Buyer Groups'!DG28:DJ28,0)+COUNTIF('Buyer Groups'!DL28:EN28,0)&gt;0,0,1)</f>
        <v/>
      </c>
      <c r="LV28">
        <f>IF($AI$28="",FALSE,SUMPRODUCT(('Final Calculation Sheet'!$A$4:$A$40=$AI$28)*($LU$6:$LU$42=1))&gt;0)</f>
        <v/>
      </c>
      <c r="LW28">
        <f>$LW$27+--($LV28)</f>
        <v/>
      </c>
      <c r="LX28">
        <f>IF(ROW()-3&gt;MAX($LW$4:$LW$40),"",INDEX($AI$4:$AI$40,MATCH(ROW()-3,$LW$4:$LW$40,0)))</f>
        <v/>
      </c>
      <c r="LY28">
        <f>IF(COUNTIF('Buyer Groups'!DG28:DK28,0)+COUNTIF('Buyer Groups'!DM28:EN28,0)&gt;0,0,1)</f>
        <v/>
      </c>
      <c r="LZ28">
        <f>IF($AN$28="",FALSE,SUMPRODUCT(('Final Calculation Sheet'!$E$4:$E$40=$AN$28)*($LY$6:$LY$42=1))&gt;0)</f>
        <v/>
      </c>
      <c r="MA28">
        <f>$MA$27+--($LZ28)</f>
        <v/>
      </c>
      <c r="MB28">
        <f>IF(ROW()-3&gt;MAX($MA$4:$MA$40),"",INDEX($AN$4:$AN$40,MATCH(ROW()-3,$MA$4:$MA$40,0)))</f>
        <v/>
      </c>
      <c r="MC28">
        <f>IF(COUNTIF('Buyer Groups'!DG28:DL28,0)+COUNTIF('Buyer Groups'!DN28:EN28,0)&gt;0,0,1)</f>
        <v/>
      </c>
      <c r="MD28">
        <f>IF($AS$28="",FALSE,SUMPRODUCT(('Final Calculation Sheet'!$C$4:$C$40=$AS$28)*($MC$6:$MC$42=1))&gt;0)</f>
        <v/>
      </c>
      <c r="ME28">
        <f>$ME$27+--($MD28)</f>
        <v/>
      </c>
      <c r="MF28">
        <f>IF(ROW()-3&gt;MAX($ME$4:$ME$40),"",INDEX($AS$4:$AS$40,MATCH(ROW()-3,$ME$4:$ME$40,0)))</f>
        <v/>
      </c>
      <c r="MG28">
        <f>IF(COUNTIF('Buyer Groups'!DG28:DM28,0)+COUNTIF('Buyer Groups'!DO28:EN28,0)&gt;0,0,1)</f>
        <v/>
      </c>
      <c r="MH28">
        <f>IF($AX$28="",FALSE,SUMPRODUCT(('Final Calculation Sheet'!$H$4:$H$40=$AX$28)*($MG$6:$MG$42=1))&gt;0)</f>
        <v/>
      </c>
      <c r="MI28">
        <f>$MI$27+--($MH28)</f>
        <v/>
      </c>
      <c r="MJ28">
        <f>IF(ROW()-3&gt;MAX($MI$4:$MI$40),"",INDEX($AX$4:$AX$40,MATCH(ROW()-3,$MI$4:$MI$40,0)))</f>
        <v/>
      </c>
      <c r="MK28">
        <f>IF(COUNTIF('Buyer Groups'!DG28:DN28,0)+COUNTIF('Buyer Groups'!DP28:EN28,0)&gt;0,0,1)</f>
        <v/>
      </c>
      <c r="ML28">
        <f>IF($BC$28="",FALSE,SUMPRODUCT(('Final Calculation Sheet'!$I$4:$I$40=$BC$28)*($MK$6:$MK$42=1))&gt;0)</f>
        <v/>
      </c>
      <c r="MM28">
        <f>$MM$27+--($ML28)</f>
        <v/>
      </c>
      <c r="MN28">
        <f>IF(ROW()-3&gt;MAX($MM$4:$MM$40),"",INDEX($BC$4:$BC$40,MATCH(ROW()-3,$MM$4:$MM$40,0)))</f>
        <v/>
      </c>
      <c r="MO28">
        <f>IF(COUNTIF('Buyer Groups'!DG28:DO28,0)+COUNTIF('Buyer Groups'!DQ28:EN28,0)&gt;0,0,1)</f>
        <v/>
      </c>
      <c r="MP28">
        <f>IF($BH$28="",FALSE,SUMPRODUCT(('Final Calculation Sheet'!$J$4:$J$40=$BH$28)*($MO$6:$MO$42=1))&gt;0)</f>
        <v/>
      </c>
      <c r="MQ28">
        <f>$MQ$27+--($MP28)</f>
        <v/>
      </c>
      <c r="MR28">
        <f>IF(ROW()-3&gt;MAX($MQ$4:$MQ$40),"",INDEX($BH$4:$BH$40,MATCH(ROW()-3,$MQ$4:$MQ$40,0)))</f>
        <v/>
      </c>
      <c r="MS28">
        <f>IF(COUNTIF('Buyer Groups'!DG28:DP28,0)+COUNTIF('Buyer Groups'!DR28:EN28,0)&gt;0,0,1)</f>
        <v/>
      </c>
      <c r="MT28">
        <f>IF($BM$28="",FALSE,SUMPRODUCT(('Final Calculation Sheet'!$K$4:$K$40=$BM$28)*($MS$6:$MS$42=1))&gt;0)</f>
        <v/>
      </c>
      <c r="MU28">
        <f>$MU$27+--($MT28)</f>
        <v/>
      </c>
      <c r="MV28">
        <f>IF(ROW()-3&gt;MAX($MU$4:$MU$40),"",INDEX($BM$4:$BM$40,MATCH(ROW()-3,$MU$4:$MU$40,0)))</f>
        <v/>
      </c>
      <c r="MW28">
        <f>IF(COUNTIF('Buyer Groups'!DG28:DQ28,0)+COUNTIF('Buyer Groups'!DS28:EN28,0)&gt;0,0,1)</f>
        <v/>
      </c>
      <c r="MX28">
        <f>IF($BR$28="",FALSE,SUMPRODUCT(('Final Calculation Sheet'!$L$4:$L$40=$BR$28)*($MW$6:$MW$42=1))&gt;0)</f>
        <v/>
      </c>
      <c r="MY28">
        <f>$MY$27+--($MX28)</f>
        <v/>
      </c>
      <c r="MZ28">
        <f>IF(ROW()-3&gt;MAX($MY$4:$MY$40),"",INDEX($BR$4:$BR$40,MATCH(ROW()-3,$MY$4:$MY$40,0)))</f>
        <v/>
      </c>
      <c r="NA28">
        <f>IF(COUNTIF('Buyer Groups'!DG28:DR28,0)+COUNTIF('Buyer Groups'!DT28:EN28,0)&gt;0,0,1)</f>
        <v/>
      </c>
      <c r="NB28">
        <f>IF($BW$28="",FALSE,SUMPRODUCT(('Final Calculation Sheet'!$M$4:$M$40=$BW$28)*($NA$6:$NA$42=1))&gt;0)</f>
        <v/>
      </c>
      <c r="NC28">
        <f>$NC$27+--($NB28)</f>
        <v/>
      </c>
      <c r="ND28">
        <f>IF(ROW()-3&gt;MAX($NC$4:$NC$40),"",INDEX($BW$4:$BW$40,MATCH(ROW()-3,$NC$4:$NC$40,0)))</f>
        <v/>
      </c>
      <c r="NE28">
        <f>IF(COUNTIF('Buyer Groups'!DG28:DS28,0)+COUNTIF('Buyer Groups'!DU28:EN28,0)&gt;0,0,1)</f>
        <v/>
      </c>
      <c r="NF28">
        <f>IF($CB$28="",FALSE,SUMPRODUCT(('Final Calculation Sheet'!$N$4:$N$40=$CB$28)*($NE$6:$NE$42=1))&gt;0)</f>
        <v/>
      </c>
      <c r="NG28">
        <f>$NG$27+--($NF28)</f>
        <v/>
      </c>
      <c r="NH28">
        <f>IF(ROW()-3&gt;MAX($NG$4:$NG$40),"",INDEX($CB$4:$CB$40,MATCH(ROW()-3,$NG$4:$NG$40,0)))</f>
        <v/>
      </c>
      <c r="NI28">
        <f>IF(COUNTIF('Buyer Groups'!DG28:DT28,0)+COUNTIF('Buyer Groups'!DV28:EN28,0)&gt;0,0,1)</f>
        <v/>
      </c>
      <c r="NJ28">
        <f>IF($CG$28="",FALSE,SUMPRODUCT(('Final Calculation Sheet'!$O$4:$O$40=$CG$28)*($NI$6:$NI$42=1))&gt;0)</f>
        <v/>
      </c>
      <c r="NK28">
        <f>$NK$27+--($NJ28)</f>
        <v/>
      </c>
      <c r="NL28">
        <f>IF(ROW()-3&gt;MAX($NK$4:$NK$40),"",INDEX($CG$4:$CG$40,MATCH(ROW()-3,$NK$4:$NK$40,0)))</f>
        <v/>
      </c>
      <c r="NM28">
        <f>IF(COUNTIF('Buyer Groups'!DG28:DU28,0)+COUNTIF('Buyer Groups'!DW28:EN28,0)&gt;0,0,1)</f>
        <v/>
      </c>
      <c r="NN28">
        <f>IF($CL$28="",FALSE,SUMPRODUCT(('Final Calculation Sheet'!$P$4:$P$40=$CL$28)*($NM$6:$NM$42=1))&gt;0)</f>
        <v/>
      </c>
      <c r="NO28">
        <f>$NO$27+--($NN28)</f>
        <v/>
      </c>
      <c r="NP28">
        <f>IF(ROW()-3&gt;MAX($NO$4:$NO$40),"",INDEX($CL$4:$CL$40,MATCH(ROW()-3,$NO$4:$NO$40,0)))</f>
        <v/>
      </c>
      <c r="NQ28">
        <f>IF(COUNTIF('Buyer Groups'!DG28:DV28,0)+COUNTIF('Buyer Groups'!DX28:EN28,0)&gt;0,0,1)</f>
        <v/>
      </c>
      <c r="NR28">
        <f>IF($CQ$28="",FALSE,SUMPRODUCT(('Final Calculation Sheet'!$Q$4:$Q$40=$CQ$28)*($NQ$6:$NQ$42=1))&gt;0)</f>
        <v/>
      </c>
      <c r="NS28">
        <f>$NS$27+--($NR28)</f>
        <v/>
      </c>
      <c r="NT28">
        <f>IF(ROW()-3&gt;MAX($NS$4:$NS$40),"",INDEX($CQ$4:$CQ$40,MATCH(ROW()-3,$NS$4:$NS$40,0)))</f>
        <v/>
      </c>
      <c r="NU28">
        <f>IF(COUNTIF('Buyer Groups'!DG28:DW28,0)+COUNTIF('Buyer Groups'!DY28:EN28,0)&gt;0,0,1)</f>
        <v/>
      </c>
      <c r="NV28">
        <f>IF($CV$28="",FALSE,SUMPRODUCT(('Final Calculation Sheet'!$R$4:$R$40=$CV$28)*($NU$6:$NU$42=1))&gt;0)</f>
        <v/>
      </c>
      <c r="NW28">
        <f>$NW$27+--($NV28)</f>
        <v/>
      </c>
      <c r="NX28">
        <f>IF(ROW()-3&gt;MAX($NW$4:$NW$40),"",INDEX($CV$4:$CV$40,MATCH(ROW()-3,$NW$4:$NW$40,0)))</f>
        <v/>
      </c>
      <c r="NY28">
        <f>IF(COUNTIF('Buyer Groups'!DG28:DX28,0)+COUNTIF('Buyer Groups'!DZ28:EN28,0)&gt;0,0,1)</f>
        <v/>
      </c>
      <c r="NZ28">
        <f>IF($DA$28="",FALSE,SUMPRODUCT(('Final Calculation Sheet'!$S$4:$S$40=$DA$28)*($NY$6:$NY$42=1))&gt;0)</f>
        <v/>
      </c>
      <c r="OA28">
        <f>$OA$27+--($NZ28)</f>
        <v/>
      </c>
      <c r="OB28">
        <f>IF(ROW()-3&gt;MAX($OA$4:$OA$40),"",INDEX($DA$4:$DA$40,MATCH(ROW()-3,$OA$4:$OA$40,0)))</f>
        <v/>
      </c>
      <c r="OC28">
        <f>IF(COUNTIF('Buyer Groups'!DG28:DY28,0)+COUNTIF('Buyer Groups'!EA28:EN28,0)&gt;0,0,1)</f>
        <v/>
      </c>
      <c r="OD28">
        <f>IF($DF$28="",FALSE,SUMPRODUCT(('Final Calculation Sheet'!$T$4:$T$40=$DF$28)*($OC$6:$OC$42=1))&gt;0)</f>
        <v/>
      </c>
      <c r="OE28">
        <f>$OE$27+--($OD28)</f>
        <v/>
      </c>
      <c r="OF28">
        <f>IF(ROW()-3&gt;MAX($OE$4:$OE$40),"",INDEX($DF$4:$DF$40,MATCH(ROW()-3,$OE$4:$OE$40,0)))</f>
        <v/>
      </c>
      <c r="OG28">
        <f>IF(COUNTIF('Buyer Groups'!DG28:DZ28,0)+COUNTIF('Buyer Groups'!EB28:EN28,0)&gt;0,0,1)</f>
        <v/>
      </c>
      <c r="OH28">
        <f>IF($DK$28="",FALSE,SUMPRODUCT(('Final Calculation Sheet'!$U$4:$U$40=$DK$28)*($OG$6:$OG$42=1))&gt;0)</f>
        <v/>
      </c>
      <c r="OI28">
        <f>$OI$27+--($OH28)</f>
        <v/>
      </c>
      <c r="OJ28">
        <f>IF(ROW()-3&gt;MAX($OI$4:$OI$40),"",INDEX($DK$4:$DK$40,MATCH(ROW()-3,$OI$4:$OI$40,0)))</f>
        <v/>
      </c>
      <c r="OK28">
        <f>IF(COUNTIF('Buyer Groups'!DG28:EA28,0)+COUNTIF('Buyer Groups'!EC28:EN28,0)&gt;0,0,1)</f>
        <v/>
      </c>
      <c r="OL28">
        <f>IF($DP$28="",FALSE,SUMPRODUCT(('Final Calculation Sheet'!$V$4:$V$40=$DP$28)*($OK$6:$OK$42=1))&gt;0)</f>
        <v/>
      </c>
      <c r="OM28">
        <f>$OM$27+--($OL28)</f>
        <v/>
      </c>
      <c r="ON28">
        <f>IF(ROW()-3&gt;MAX($OM$4:$OM$40),"",INDEX($DP$4:$DP$40,MATCH(ROW()-3,$OM$4:$OM$40,0)))</f>
        <v/>
      </c>
      <c r="OO28">
        <f>IF(COUNTIF('Buyer Groups'!DG28:EB28,0)+COUNTIF('Buyer Groups'!ED28:EN28,0)&gt;0,0,1)</f>
        <v/>
      </c>
      <c r="OP28">
        <f>IF($DU$28="",FALSE,SUMPRODUCT(('Final Calculation Sheet'!$W$4:$W$40=$DU$28)*($OO$6:$OO$42=1))&gt;0)</f>
        <v/>
      </c>
      <c r="OQ28">
        <f>$OQ$27+--($OP28)</f>
        <v/>
      </c>
      <c r="OR28">
        <f>IF(ROW()-3&gt;MAX($OQ$4:$OQ$40),"",INDEX($DU$4:$DU$40,MATCH(ROW()-3,$OQ$4:$OQ$40,0)))</f>
        <v/>
      </c>
      <c r="OS28">
        <f>IF(COUNTIF('Buyer Groups'!DG28:EC28,0)+COUNTIF('Buyer Groups'!EE28:EN28,0)&gt;0,0,1)</f>
        <v/>
      </c>
      <c r="OT28">
        <f>IF($DZ$28="",FALSE,SUMPRODUCT(('Final Calculation Sheet'!$X$4:$X$40=$DZ$28)*($OS$6:$OS$42=1))&gt;0)</f>
        <v/>
      </c>
      <c r="OU28">
        <f>$OU$27+--($OT28)</f>
        <v/>
      </c>
      <c r="OV28">
        <f>IF(ROW()-3&gt;MAX($OU$4:$OU$40),"",INDEX($DZ$4:$DZ$40,MATCH(ROW()-3,$OU$4:$OU$40,0)))</f>
        <v/>
      </c>
      <c r="OW28">
        <f>IF(COUNTIF('Buyer Groups'!DG28:ED28,0)+COUNTIF('Buyer Groups'!EF28:EN28,0)&gt;0,0,1)</f>
        <v/>
      </c>
      <c r="OX28">
        <f>IF($EE$28="",FALSE,SUMPRODUCT(('Final Calculation Sheet'!$Y$4:$Y$40=$EE$28)*($OW$6:$OW$42=1))&gt;0)</f>
        <v/>
      </c>
      <c r="OY28">
        <f>$OY$27+--($OX28)</f>
        <v/>
      </c>
      <c r="OZ28">
        <f>IF(ROW()-3&gt;MAX($OY$4:$OY$40),"",INDEX($EE$4:$EE$40,MATCH(ROW()-3,$OY$4:$OY$40,0)))</f>
        <v/>
      </c>
      <c r="PA28">
        <f>IF(COUNTIF('Buyer Groups'!DG28:EE28,0)+COUNTIF('Buyer Groups'!EG28:EN28,0)&gt;0,0,1)</f>
        <v/>
      </c>
      <c r="PB28">
        <f>IF($EJ$28="",FALSE,SUMPRODUCT(('Final Calculation Sheet'!$Z$4:$Z$40=$EJ$28)*($PA$6:$PA$42=1))&gt;0)</f>
        <v/>
      </c>
      <c r="PC28">
        <f>$PC$27+--($PB28)</f>
        <v/>
      </c>
      <c r="PD28">
        <f>IF(ROW()-3&gt;MAX($PC$4:$PC$40),"",INDEX($EJ$4:$EJ$40,MATCH(ROW()-3,$PC$4:$PC$40,0)))</f>
        <v/>
      </c>
      <c r="PE28">
        <f>IF(COUNTIF('Buyer Groups'!DG28:EF28,0)+COUNTIF('Buyer Groups'!EH28:EN28,0)&gt;0,0,1)</f>
        <v/>
      </c>
      <c r="PF28">
        <f>IF($EO$28="",FALSE,SUMPRODUCT(('Final Calculation Sheet'!$AA$4:$AA$40=$EO$28)*($PE$6:$PE$42=1))&gt;0)</f>
        <v/>
      </c>
      <c r="PG28">
        <f>$PG$27+--($PF28)</f>
        <v/>
      </c>
      <c r="PH28">
        <f>IF(ROW()-3&gt;MAX($PG$4:$PG$40),"",INDEX($EO$4:$EO$40,MATCH(ROW()-3,$PG$4:$PG$40,0)))</f>
        <v/>
      </c>
      <c r="PI28">
        <f>IF(COUNTIF('Buyer Groups'!DG28:EG28,0)+COUNTIF('Buyer Groups'!EI28:EN28,0)&gt;0,0,1)</f>
        <v/>
      </c>
      <c r="PJ28">
        <f>IF($ET$28="",FALSE,SUMPRODUCT(('Final Calculation Sheet'!$AB$4:$AB$40=$ET$28)*($PI$6:$PI$42=1))&gt;0)</f>
        <v/>
      </c>
      <c r="PK28">
        <f>$PK$27+--($PJ28)</f>
        <v/>
      </c>
      <c r="PL28">
        <f>IF(ROW()-3&gt;MAX($PK$4:$PK$40),"",INDEX($ET$4:$ET$40,MATCH(ROW()-3,$PK$4:$PK$40,0)))</f>
        <v/>
      </c>
      <c r="PM28">
        <f>IF(COUNTIF('Buyer Groups'!DG28:EH28,0)+COUNTIF('Buyer Groups'!EJ28:EN28,0)&gt;0,0,1)</f>
        <v/>
      </c>
      <c r="PN28">
        <f>IF($EY$28="",FALSE,SUMPRODUCT(('Final Calculation Sheet'!$AC$4:$AC$40=$EY$28)*($PM$6:$PM$42=1))&gt;0)</f>
        <v/>
      </c>
      <c r="PO28">
        <f>$PO$27+--($PN28)</f>
        <v/>
      </c>
      <c r="PP28">
        <f>IF(ROW()-3&gt;MAX($PO$4:$PO$40),"",INDEX($EY$4:$EY$40,MATCH(ROW()-3,$PO$4:$PO$40,0)))</f>
        <v/>
      </c>
      <c r="PQ28">
        <f>IF(COUNTIF('Buyer Groups'!DG28:EI28,0)+COUNTIF('Buyer Groups'!EK28:EN28,0)&gt;0,0,1)</f>
        <v/>
      </c>
      <c r="PR28">
        <f>IF($FD$28="",FALSE,SUMPRODUCT(('Final Calculation Sheet'!$AD$4:$AD$40=$FD$28)*($PQ$6:$PQ$42=1))&gt;0)</f>
        <v/>
      </c>
      <c r="PS28">
        <f>$PS$27+--($PR28)</f>
        <v/>
      </c>
      <c r="PT28">
        <f>IF(ROW()-3&gt;MAX($PS$4:$PS$40),"",INDEX($FD$4:$FD$40,MATCH(ROW()-3,$PS$4:$PS$40,0)))</f>
        <v/>
      </c>
      <c r="PU28">
        <f>IF(COUNTIF('Buyer Groups'!DG28:EJ28,0)+COUNTIF('Buyer Groups'!EL28:EN28,0)&gt;0,0,1)</f>
        <v/>
      </c>
      <c r="PV28">
        <f>IF($FX$28="",FALSE,SUMPRODUCT((IF('Final Calculation Sheet'!$AD$4:$AD$40&lt;=5,"SETTLED","OUTSTANDING")=$FX$28)*($PU$6:$PU$42=1))&gt;0)</f>
        <v/>
      </c>
      <c r="PW28">
        <f>$PW$27+--($PV28)</f>
        <v/>
      </c>
      <c r="PX28">
        <f>IF(ROW()-3&gt;MAX($PW$4:$PW$40),"",INDEX($FX$4:$FX$40,MATCH(ROW()-3,$PW$4:$PW$40,0)))</f>
        <v/>
      </c>
      <c r="PY28">
        <f>IF(COUNTIF('Buyer Groups'!DG28:EK28,0)+COUNTIF('Buyer Groups'!EM28:EN28,0)&gt;0,0,1)</f>
        <v/>
      </c>
      <c r="PZ28">
        <f>IF($FI$28="",FALSE,SUMPRODUCT(('Final Calculation Sheet'!$AF$4:$AF$40=$FI$28)*($PY$6:$PY$42=1))&gt;0)</f>
        <v/>
      </c>
      <c r="QA28">
        <f>$QA$27+--($PZ28)</f>
        <v/>
      </c>
      <c r="QB28">
        <f>IF(ROW()-3&gt;MAX($QA$4:$QA$40),"",INDEX($FI$4:$FI$40,MATCH(ROW()-3,$QA$4:$QA$40,0)))</f>
        <v/>
      </c>
      <c r="QC28">
        <f>IF(COUNTIF('Buyer Groups'!DG28:EL28,0)+COUNTIF('Buyer Groups'!EN28:EN28,0)&gt;0,0,1)</f>
        <v/>
      </c>
      <c r="QD28">
        <f>IF($FN$28="",FALSE,SUMPRODUCT(('Final Calculation Sheet'!$AG$4:$AG$40=$FN$28)*($QC$6:$QC$42=1))&gt;0)</f>
        <v/>
      </c>
      <c r="QE28">
        <f>$QE$27+--($QD28)</f>
        <v/>
      </c>
      <c r="QF28">
        <f>IF(ROW()-3&gt;MAX($QE$4:$QE$40),"",INDEX($FN$4:$FN$40,MATCH(ROW()-3,$QE$4:$QE$40,0)))</f>
        <v/>
      </c>
      <c r="QG28">
        <f>IF(COUNTIF('Buyer Groups'!DG28:EM28,0)&gt;0,0,1)</f>
        <v/>
      </c>
      <c r="QH28">
        <f>IF($FS$28="",FALSE,SUMPRODUCT(('Final Calculation Sheet'!$AH$4:$AH$40=$FS$28)*($QG$6:$QG$42=1))&gt;0)</f>
        <v/>
      </c>
      <c r="QI28">
        <f>$QI$27+--($QH28)</f>
        <v/>
      </c>
      <c r="QJ28">
        <f>IF(ROW()-3&gt;MAX($QI$4:$QI$40),"",INDEX($FS$4:$FS$40,MATCH(ROW()-3,$QI$4:$QI$40,0)))</f>
        <v/>
      </c>
      <c r="QK28" t="str">
        <f>IF('Final Calculation Sheet'!$AH$28="","",'Final Calculation Sheet'!$AH$28)</f>
      </c>
      <c r="QL28" t="str">
        <f>IF(QK28="","",COUNTIFS(QK$4:QK$40,"&lt;"&amp;QK28,QK$4:QK$40,"&lt;&gt;"&amp;"")+COUNTIF(QK$4:QK28,QK28))</f>
      </c>
      <c r="QM28" t="str">
        <f>IF(ROW()-3&gt;COUNTIF(QK$4:QK$40,"&lt;&gt;"&amp;""),"",INDEX(QK$4:QK$40,MATCH(ROW()-3,QL$4:QL$40,0)))</f>
      </c>
      <c r="QN28" t="str">
        <f>=QN27+F(AND(QM28&lt;&gt;"",COUNTIF(QM$4:QM28,QM28)=1),1,0)</f>
      </c>
      <c r="QO28" t="str">
        <f>IF(ROW()-3&gt;MAX(QN$4:QN$40),"",INDEX(QM$4:QM$40,MATCH(ROW()-3,QN$4:QN$40,0)))</f>
      </c>
      <c r="QP28" t="str">
        <f>IF(COUNTIF('Final Calculation Sheet'!$AM28:$BS28,0)&gt;0,0,1)</f>
      </c>
      <c r="QQ28" t="str">
        <f>IF($AI$28="",FALSE,SUMPRODUCT(('Final Calculation Sheet'!$A$4:$A$40=$AI$28)*($QP$4:$QP$40=1))&gt;0)</f>
      </c>
      <c r="QR28" t="str">
        <f>=$QR27+--($QQ28)</f>
      </c>
      <c r="QS28" t="str">
        <f>IF(ROW()-3&gt;MAX($QR$4:$QR$40),"",INDEX($AI$4:$AI$40,MATCH(ROW()-3,$QR$4:$QR$40,0)))</f>
      </c>
      <c r="QT28" t="str">
        <f>IF(COUNTIF('Final Calculation Sheet'!$AL28:$AL28,0)+COUNTIF('Final Calculation Sheet'!$AN28:$BS28,0)&gt;0,0,1)</f>
      </c>
      <c r="QU28" t="str">
        <f>IF($Y$28="",FALSE,SUMPRODUCT(('Final Calculation Sheet'!$B$4:$B$40=$Y$28)*($QT$4:$QT$40=1))&gt;0)</f>
      </c>
      <c r="QV28" t="str">
        <f>=$QV27+--($QU28)</f>
      </c>
      <c r="QW28" t="str">
        <f>IF(ROW()-3&gt;MAX($QV$4:$QV$40),"",INDEX($Y$4:$Y$40,MATCH(ROW()-3,$QV$4:$QV$40,0)))</f>
      </c>
      <c r="QX28" t="str">
        <f>IF(COUNTIF('Final Calculation Sheet'!$AL28:$AM28,0)+COUNTIF('Final Calculation Sheet'!$AO28:$BS28,0)&gt;0,0,1)</f>
      </c>
      <c r="QY28" t="str">
        <f>IF($AS$28="",FALSE,SUMPRODUCT(('Final Calculation Sheet'!$C$4:$C$40=$AS$28)*($QX$4:$QX$40=1))&gt;0)</f>
      </c>
      <c r="QZ28" t="str">
        <f>=$QZ27+--($QY28)</f>
      </c>
      <c r="RA28" t="str">
        <f>IF(ROW()-3&gt;MAX($QZ$4:$QZ$40),"",INDEX($AS$4:$AS$40,MATCH(ROW()-3,$QZ$4:$QZ$40,0)))</f>
      </c>
      <c r="RB28" t="str">
        <f>IF(COUNTIF('Final Calculation Sheet'!$AL28:$AN28,0)+COUNTIF('Final Calculation Sheet'!$AP28:$BS28,0)&gt;0,0,1)</f>
      </c>
      <c r="RC28" t="str">
        <f>IF($AD$28="",FALSE,SUMPRODUCT(('Final Calculation Sheet'!$D$4:$D$40=$AD$28)*($RB$4:$RB$40=1))&gt;0)</f>
      </c>
      <c r="RD28" t="str">
        <f>=$RD27+--($RC28)</f>
      </c>
      <c r="RE28" t="str">
        <f>IF(ROW()-3&gt;MAX($RD$4:$RD$40),"",INDEX($AD$4:$AD$40,MATCH(ROW()-3,$RD$4:$RD$40,0)))</f>
      </c>
      <c r="RF28" t="str">
        <f>IF(COUNTIF('Final Calculation Sheet'!$AL28:$AO28,0)+COUNTIF('Final Calculation Sheet'!$AQ28:$BS28,0)&gt;0,0,1)</f>
      </c>
      <c r="RG28" t="str">
        <f>IF($AN$28="",FALSE,SUMPRODUCT(('Final Calculation Sheet'!$E$4:$E$40=$AN$28)*($RF$4:$RF$40=1))&gt;0)</f>
      </c>
      <c r="RH28" t="str">
        <f>=$RH27+--($RG28)</f>
      </c>
      <c r="RI28" t="str">
        <f>IF(ROW()-3&gt;MAX($RH$4:$RH$40),"",INDEX($AN$4:$AN$40,MATCH(ROW()-3,$RH$4:$RH$40,0)))</f>
      </c>
      <c r="RJ28" t="str">
        <f>IF(COUNTIF('Final Calculation Sheet'!$AL28:$AP28,0)+COUNTIF('Final Calculation Sheet'!$AR28:$BS28,0)&gt;0,0,1)</f>
      </c>
      <c r="RK28" t="str">
        <f>IF($O$28="",FALSE,SUMPRODUCT(('Final Calculation Sheet'!$F$4:$F$40=$O$28)*($RJ$4:$RJ$40=1))&gt;0)</f>
      </c>
      <c r="RL28" t="str">
        <f>=$RL27+--($RK28)</f>
      </c>
      <c r="RM28" t="str">
        <f>IF(ROW()-3&gt;MAX($RL$4:$RL$40),"",INDEX($O$4:$O$40,MATCH(ROW()-3,$RL$4:$RL$40,0)))</f>
      </c>
      <c r="RN28" t="str">
        <f>IF(COUNTIF('Final Calculation Sheet'!$AL28:$AQ28,0)+COUNTIF('Final Calculation Sheet'!$AS28:$BS28,0)&gt;0,0,1)</f>
      </c>
      <c r="RO28" t="str">
        <f>IF($T$28="",FALSE,SUMPRODUCT(('Final Calculation Sheet'!$G$4:$G$40=$T$28)*($RN$4:$RN$40=1))&gt;0)</f>
      </c>
      <c r="RP28" t="str">
        <f>=$RP27+--($RO28)</f>
      </c>
      <c r="RQ28" t="str">
        <f>IF(ROW()-3&gt;MAX($RP$4:$RP$40),"",INDEX($T$4:$T$40,MATCH(ROW()-3,$RP$4:$RP$40,0)))</f>
      </c>
      <c r="RR28" t="str">
        <f>IF(COUNTIF('Final Calculation Sheet'!$AL28:$AR28,0)+COUNTIF('Final Calculation Sheet'!$AT28:$BS28,0)&gt;0,0,1)</f>
      </c>
      <c r="RS28" t="str">
        <f>IF($AX$28="",FALSE,SUMPRODUCT(('Final Calculation Sheet'!$H$4:$H$40=$AX$28)*($RR$4:$RR$40=1))&gt;0)</f>
      </c>
      <c r="RT28" t="str">
        <f>=$RT27+--($RS28)</f>
      </c>
      <c r="RU28" t="str">
        <f>IF(ROW()-3&gt;MAX($RT$4:$RT$40),"",INDEX($AX$4:$AX$40,MATCH(ROW()-3,$RT$4:$RT$40,0)))</f>
      </c>
      <c r="RV28" t="str">
        <f>IF(COUNTIF('Final Calculation Sheet'!$AL28:$AS28,0)+COUNTIF('Final Calculation Sheet'!$AU28:$BS28,0)&gt;0,0,1)</f>
      </c>
      <c r="RW28" t="str">
        <f>IF($BC$28="",FALSE,SUMPRODUCT(('Final Calculation Sheet'!$I$4:$I$40=$BC$28)*($RV$4:$RV$40=1))&gt;0)</f>
      </c>
      <c r="RX28" t="str">
        <f>=$RX27+--($RW28)</f>
      </c>
      <c r="RY28" t="str">
        <f>IF(ROW()-3&gt;MAX($RX$4:$RX$40),"",INDEX($BC$4:$BC$40,MATCH(ROW()-3,$RX$4:$RX$40,0)))</f>
      </c>
      <c r="RZ28" t="str">
        <f>IF(COUNTIF('Final Calculation Sheet'!$AL28:$AT28,0)+COUNTIF('Final Calculation Sheet'!$AV28:$BS28,0)&gt;0,0,1)</f>
      </c>
      <c r="SA28" t="str">
        <f>IF($BH$28="",FALSE,SUMPRODUCT(('Final Calculation Sheet'!$J$4:$J$40=$BH$28)*($RZ$4:$RZ$40=1))&gt;0)</f>
      </c>
      <c r="SB28" t="str">
        <f>=$SB27+--($SA28)</f>
      </c>
      <c r="SC28" t="str">
        <f>IF(ROW()-3&gt;MAX($SB$4:$SB$40),"",INDEX($BH$4:$BH$40,MATCH(ROW()-3,$SB$4:$SB$40,0)))</f>
      </c>
      <c r="SD28" t="str">
        <f>IF(COUNTIF('Final Calculation Sheet'!$AL28:$AU28,0)+COUNTIF('Final Calculation Sheet'!$AW28:$BS28,0)&gt;0,0,1)</f>
      </c>
      <c r="SE28" t="str">
        <f>IF($BM$28="",FALSE,SUMPRODUCT(('Final Calculation Sheet'!$K$4:$K$40=$BM$28)*($SD$4:$SD$40=1))&gt;0)</f>
      </c>
      <c r="SF28" t="str">
        <f>=$SF27+--($SE28)</f>
      </c>
      <c r="SG28" t="str">
        <f>IF(ROW()-3&gt;MAX($SF$4:$SF$40),"",INDEX($BM$4:$BM$40,MATCH(ROW()-3,$SF$4:$SF$40,0)))</f>
      </c>
      <c r="SH28" t="str">
        <f>IF(COUNTIF('Final Calculation Sheet'!$AL28:$AV28,0)+COUNTIF('Final Calculation Sheet'!$AX28:$BS28,0)&gt;0,0,1)</f>
      </c>
      <c r="SI28" t="str">
        <f>IF($BR$28="",FALSE,SUMPRODUCT(('Final Calculation Sheet'!$L$4:$L$40=$BR$28)*($SH$4:$SH$40=1))&gt;0)</f>
      </c>
      <c r="SJ28" t="str">
        <f>=$SJ27+--($SI28)</f>
      </c>
      <c r="SK28" t="str">
        <f>IF(ROW()-3&gt;MAX($SJ$4:$SJ$40),"",INDEX($BR$4:$BR$40,MATCH(ROW()-3,$SJ$4:$SJ$40,0)))</f>
      </c>
      <c r="SL28" t="str">
        <f>IF(COUNTIF('Final Calculation Sheet'!$AL28:$AW28,0)+COUNTIF('Final Calculation Sheet'!$AY28:$BS28,0)&gt;0,0,1)</f>
      </c>
      <c r="SM28" t="str">
        <f>IF($BW$28="",FALSE,SUMPRODUCT(('Final Calculation Sheet'!$M$4:$M$40=$BW$28)*($SL$4:$SL$40=1))&gt;0)</f>
      </c>
      <c r="SN28" t="str">
        <f>=$SN27+--($SM28)</f>
      </c>
      <c r="SO28" t="str">
        <f>IF(ROW()-3&gt;MAX($SN$4:$SN$40),"",INDEX($BW$4:$BW$40,MATCH(ROW()-3,$SN$4:$SN$40,0)))</f>
      </c>
      <c r="SP28" t="str">
        <f>IF(COUNTIF('Final Calculation Sheet'!$AL28:$AX28,0)+COUNTIF('Final Calculation Sheet'!$AZ28:$BS28,0)&gt;0,0,1)</f>
      </c>
      <c r="SQ28" t="str">
        <f>IF($CB$28="",FALSE,SUMPRODUCT(('Final Calculation Sheet'!$N$4:$N$40=$CB$28)*($SP$4:$SP$40=1))&gt;0)</f>
      </c>
      <c r="SR28" t="str">
        <f>=$SR27+--($SQ28)</f>
      </c>
      <c r="SS28" t="str">
        <f>IF(ROW()-3&gt;MAX($SR$4:$SR$40),"",INDEX($CB$4:$CB$40,MATCH(ROW()-3,$SR$4:$SR$40,0)))</f>
      </c>
      <c r="ST28" t="str">
        <f>IF(COUNTIF('Final Calculation Sheet'!$AL28:$AY28,0)+COUNTIF('Final Calculation Sheet'!$BA28:$BS28,0)&gt;0,0,1)</f>
      </c>
      <c r="SU28" t="str">
        <f>IF($CG$28="",FALSE,SUMPRODUCT(('Final Calculation Sheet'!$O$4:$O$40=$CG$28)*($ST$4:$ST$40=1))&gt;0)</f>
      </c>
      <c r="SV28" t="str">
        <f>=$SV27+--($SU28)</f>
      </c>
      <c r="SW28" t="str">
        <f>IF(ROW()-3&gt;MAX($SV$4:$SV$40),"",INDEX($CG$4:$CG$40,MATCH(ROW()-3,$SV$4:$SV$40,0)))</f>
      </c>
      <c r="SX28" t="str">
        <f>IF(COUNTIF('Final Calculation Sheet'!$AL28:$AZ28,0)+COUNTIF('Final Calculation Sheet'!$BB28:$BS28,0)&gt;0,0,1)</f>
      </c>
      <c r="SY28" t="str">
        <f>IF($CL$28="",FALSE,SUMPRODUCT(('Final Calculation Sheet'!$P$4:$P$40=$CL$28)*($SX$4:$SX$40=1))&gt;0)</f>
      </c>
      <c r="SZ28" t="str">
        <f>=$SZ27+--($SY28)</f>
      </c>
      <c r="TA28" t="str">
        <f>IF(ROW()-3&gt;MAX($SZ$4:$SZ$40),"",INDEX($CL$4:$CL$40,MATCH(ROW()-3,$SZ$4:$SZ$40,0)))</f>
      </c>
      <c r="TB28" t="str">
        <f>IF(COUNTIF('Final Calculation Sheet'!$AL28:$BA28,0)+COUNTIF('Final Calculation Sheet'!$BC28:$BS28,0)&gt;0,0,1)</f>
      </c>
      <c r="TC28" t="str">
        <f>IF($CQ$28="",FALSE,SUMPRODUCT(('Final Calculation Sheet'!$Q$4:$Q$40=$CQ$28)*($TB$4:$TB$40=1))&gt;0)</f>
      </c>
      <c r="TD28" t="str">
        <f>=$TD27+--($TC28)</f>
      </c>
      <c r="TE28" t="str">
        <f>IF(ROW()-3&gt;MAX($TD$4:$TD$40),"",INDEX($CQ$4:$CQ$40,MATCH(ROW()-3,$TD$4:$TD$40,0)))</f>
      </c>
      <c r="TF28" t="str">
        <f>IF(COUNTIF('Final Calculation Sheet'!$AL28:$BB28,0)+COUNTIF('Final Calculation Sheet'!$BD28:$BS28,0)&gt;0,0,1)</f>
      </c>
      <c r="TG28" t="str">
        <f>IF($CV$28="",FALSE,SUMPRODUCT(('Final Calculation Sheet'!$R$4:$R$40=$CV$28)*($TF$4:$TF$40=1))&gt;0)</f>
      </c>
      <c r="TH28" t="str">
        <f>=$TH27+--($TG28)</f>
      </c>
      <c r="TI28" t="str">
        <f>IF(ROW()-3&gt;MAX($TH$4:$TH$40),"",INDEX($CV$4:$CV$40,MATCH(ROW()-3,$TH$4:$TH$40,0)))</f>
      </c>
      <c r="TJ28" t="str">
        <f>IF(COUNTIF('Final Calculation Sheet'!$AL28:$BC28,0)+COUNTIF('Final Calculation Sheet'!$BE28:$BS28,0)&gt;0,0,1)</f>
      </c>
      <c r="TK28" t="str">
        <f>IF($DA$28="",FALSE,SUMPRODUCT(('Final Calculation Sheet'!$S$4:$S$40=$DA$28)*($TJ$4:$TJ$40=1))&gt;0)</f>
      </c>
      <c r="TL28" t="str">
        <f>=$TL27+--($TK28)</f>
      </c>
      <c r="TM28" t="str">
        <f>IF(ROW()-3&gt;MAX($TL$4:$TL$40),"",INDEX($DA$4:$DA$40,MATCH(ROW()-3,$TL$4:$TL$40,0)))</f>
      </c>
      <c r="TN28" t="str">
        <f>IF(COUNTIF('Final Calculation Sheet'!$AL28:$BD28,0)+COUNTIF('Final Calculation Sheet'!$BF28:$BS28,0)&gt;0,0,1)</f>
      </c>
      <c r="TO28" t="str">
        <f>IF($DF$28="",FALSE,SUMPRODUCT(('Final Calculation Sheet'!$T$4:$T$40=$DF$28)*($TN$4:$TN$40=1))&gt;0)</f>
      </c>
      <c r="TP28" t="str">
        <f>=$TP27+--($TO28)</f>
      </c>
      <c r="TQ28" t="str">
        <f>IF(ROW()-3&gt;MAX($TP$4:$TP$40),"",INDEX($DF$4:$DF$40,MATCH(ROW()-3,$TP$4:$TP$40,0)))</f>
      </c>
      <c r="TR28" t="str">
        <f>IF(COUNTIF('Final Calculation Sheet'!$AL28:$BE28,0)+COUNTIF('Final Calculation Sheet'!$BG28:$BS28,0)&gt;0,0,1)</f>
      </c>
      <c r="TS28" t="str">
        <f>IF($DK$28="",FALSE,SUMPRODUCT(('Final Calculation Sheet'!$U$4:$U$40=$DK$28)*($TR$4:$TR$40=1))&gt;0)</f>
      </c>
      <c r="TT28" t="str">
        <f>=$TT27+--($TS28)</f>
      </c>
      <c r="TU28" t="str">
        <f>IF(ROW()-3&gt;MAX($TT$4:$TT$40),"",INDEX($DK$4:$DK$40,MATCH(ROW()-3,$TT$4:$TT$40,0)))</f>
      </c>
      <c r="TV28" t="str">
        <f>IF(COUNTIF('Final Calculation Sheet'!$AL28:$BF28,0)+COUNTIF('Final Calculation Sheet'!$BH28:$BS28,0)&gt;0,0,1)</f>
      </c>
      <c r="TW28" t="str">
        <f>IF($DP$28="",FALSE,SUMPRODUCT(('Final Calculation Sheet'!$V$4:$V$40=$DP$28)*($TV$4:$TV$40=1))&gt;0)</f>
      </c>
      <c r="TX28" t="str">
        <f>=$TX27+--($TW28)</f>
      </c>
      <c r="TY28" t="str">
        <f>IF(ROW()-3&gt;MAX($TX$4:$TX$40),"",INDEX($DP$4:$DP$40,MATCH(ROW()-3,$TX$4:$TX$40,0)))</f>
      </c>
      <c r="TZ28" t="str">
        <f>IF(COUNTIF('Final Calculation Sheet'!$AL28:$BG28,0)+COUNTIF('Final Calculation Sheet'!$BI28:$BS28,0)&gt;0,0,1)</f>
      </c>
      <c r="UA28" t="str">
        <f>IF($DU$28="",FALSE,SUMPRODUCT(('Final Calculation Sheet'!$W$4:$W$40=$DU$28)*($TZ$4:$TZ$40=1))&gt;0)</f>
      </c>
      <c r="UB28" t="str">
        <f>=$UB27+--($UA28)</f>
      </c>
      <c r="UC28" t="str">
        <f>IF(ROW()-3&gt;MAX($UB$4:$UB$40),"",INDEX($DU$4:$DU$40,MATCH(ROW()-3,$UB$4:$UB$40,0)))</f>
      </c>
      <c r="UD28" t="str">
        <f>IF(COUNTIF('Final Calculation Sheet'!$AL28:$BH28,0)+COUNTIF('Final Calculation Sheet'!$BJ28:$BS28,0)&gt;0,0,1)</f>
      </c>
      <c r="UE28" t="str">
        <f>IF($DZ$28="",FALSE,SUMPRODUCT(('Final Calculation Sheet'!$X$4:$X$40=$DZ$28)*($UD$4:$UD$40=1))&gt;0)</f>
      </c>
      <c r="UF28" t="str">
        <f>=$UF27+--($UE28)</f>
      </c>
      <c r="UG28" t="str">
        <f>IF(ROW()-3&gt;MAX($UF$4:$UF$40),"",INDEX($DZ$4:$DZ$40,MATCH(ROW()-3,$UF$4:$UF$40,0)))</f>
      </c>
      <c r="UH28" t="str">
        <f>IF(COUNTIF('Final Calculation Sheet'!$AL28:$BI28,0)+COUNTIF('Final Calculation Sheet'!$BK28:$BS28,0)&gt;0,0,1)</f>
      </c>
      <c r="UI28" t="str">
        <f>IF($EE$28="",FALSE,SUMPRODUCT(('Final Calculation Sheet'!$Y$4:$Y$40=$EE$28)*($UH$4:$UH$40=1))&gt;0)</f>
      </c>
      <c r="UJ28" t="str">
        <f>=$UJ27+--($UI28)</f>
      </c>
      <c r="UK28" t="str">
        <f>IF(ROW()-3&gt;MAX($UJ$4:$UJ$40),"",INDEX($EE$4:$EE$40,MATCH(ROW()-3,$UJ$4:$UJ$40,0)))</f>
      </c>
      <c r="UL28" t="str">
        <f>IF(COUNTIF('Final Calculation Sheet'!$AL28:$BJ28,0)+COUNTIF('Final Calculation Sheet'!$BL28:$BS28,0)&gt;0,0,1)</f>
      </c>
      <c r="UM28" t="str">
        <f>IF($EJ$28="",FALSE,SUMPRODUCT(('Final Calculation Sheet'!$Z$4:$Z$40=$EJ$28)*($UL$4:$UL$40=1))&gt;0)</f>
      </c>
      <c r="UN28" t="str">
        <f>=$UN27+--($UM28)</f>
      </c>
      <c r="UO28" t="str">
        <f>IF(ROW()-3&gt;MAX($UN$4:$UN$40),"",INDEX($EJ$4:$EJ$40,MATCH(ROW()-3,$UN$4:$UN$40,0)))</f>
      </c>
      <c r="UP28" t="str">
        <f>IF(COUNTIF('Final Calculation Sheet'!$AL28:$BK28,0)+COUNTIF('Final Calculation Sheet'!$BM28:$BS28,0)&gt;0,0,1)</f>
      </c>
      <c r="UQ28" t="str">
        <f>IF($EO$28="",FALSE,SUMPRODUCT(('Final Calculation Sheet'!$AA$4:$AA$40=$EO$28)*($UP$4:$UP$40=1))&gt;0)</f>
      </c>
      <c r="UR28" t="str">
        <f>=$UR27+--($UQ28)</f>
      </c>
      <c r="US28" t="str">
        <f>IF(ROW()-3&gt;MAX($UR$4:$UR$40),"",INDEX($EO$4:$EO$40,MATCH(ROW()-3,$UR$4:$UR$40,0)))</f>
      </c>
      <c r="UT28" t="str">
        <f>IF(COUNTIF('Final Calculation Sheet'!$AL28:$BL28,0)+COUNTIF('Final Calculation Sheet'!$BN28:$BS28,0)&gt;0,0,1)</f>
      </c>
      <c r="UU28" t="str">
        <f>IF($ET$28="",FALSE,SUMPRODUCT(('Final Calculation Sheet'!$AB$4:$AB$40=$ET$28)*($UT$4:$UT$40=1))&gt;0)</f>
      </c>
      <c r="UV28" t="str">
        <f>=$UV27+--($UU28)</f>
      </c>
      <c r="UW28" t="str">
        <f>IF(ROW()-3&gt;MAX($UV$4:$UV$40),"",INDEX($ET$4:$ET$40,MATCH(ROW()-3,$UV$4:$UV$40,0)))</f>
      </c>
      <c r="UX28" t="str">
        <f>IF(COUNTIF('Final Calculation Sheet'!$AL28:$BM28,0)+COUNTIF('Final Calculation Sheet'!$BO28:$BS28,0)&gt;0,0,1)</f>
      </c>
      <c r="UY28" t="str">
        <f>IF($EY$28="",FALSE,SUMPRODUCT(('Final Calculation Sheet'!$AC$4:$AC$40=$EY$28)*($UX$4:$UX$40=1))&gt;0)</f>
      </c>
      <c r="UZ28" t="str">
        <f>=$UZ27+--($UY28)</f>
      </c>
      <c r="VA28" t="str">
        <f>IF(ROW()-3&gt;MAX($UZ$4:$UZ$40),"",INDEX($EY$4:$EY$40,MATCH(ROW()-3,$UZ$4:$UZ$40,0)))</f>
      </c>
      <c r="VB28" t="str">
        <f>IF(COUNTIF('Final Calculation Sheet'!$AL28:$BN28,0)+COUNTIF('Final Calculation Sheet'!$BP28:$BS28,0)&gt;0,0,1)</f>
      </c>
      <c r="VC28" t="str">
        <f>IF($FD$28="",FALSE,SUMPRODUCT(('Final Calculation Sheet'!$AD$4:$AD$40=$FD$28)*($VB$4:$VB$40=1))&gt;0)</f>
      </c>
      <c r="VD28" t="str">
        <f>=$VD27+--($VC28)</f>
      </c>
      <c r="VE28" t="str">
        <f>IF(ROW()-3&gt;MAX($VD$4:$VD$40),"",INDEX($FD$4:$FD$40,MATCH(ROW()-3,$VD$4:$VD$40,0)))</f>
      </c>
      <c r="VF28" t="str">
        <f>IF(COUNTIF('Final Calculation Sheet'!$AL28:$BO28,0)+COUNTIF('Final Calculation Sheet'!$BQ28:$BS28,0)&gt;0,0,1)</f>
      </c>
      <c r="VG28" t="str">
        <f>IF($FI$28="",FALSE,SUMPRODUCT(('Final Calculation Sheet'!$AE$4:$AE$40=$FI$28)*($VF$4:$VF$40=1))&gt;0)</f>
      </c>
      <c r="VH28" t="str">
        <f>=$VH27+--($VG28)</f>
      </c>
      <c r="VI28" t="str">
        <f>IF(ROW()-3&gt;MAX($VH$4:$VH$40),"",INDEX($FI$4:$FI$40,MATCH(ROW()-3,$VH$4:$VH$40,0)))</f>
      </c>
      <c r="VJ28" t="str">
        <f>IF(COUNTIF('Final Calculation Sheet'!$AL28:$BP28,0)+COUNTIF('Final Calculation Sheet'!$BR28:$BS28,0)&gt;0,0,1)</f>
      </c>
      <c r="VK28" t="str">
        <f>IF($FN$28="",FALSE,SUMPRODUCT(('Final Calculation Sheet'!$AF$4:$AF$40=$FN$28)*($VJ$4:$VJ$40=1))&gt;0)</f>
      </c>
      <c r="VL28" t="str">
        <f>=$VL27+--($VK28)</f>
      </c>
      <c r="VM28" t="str">
        <f>IF(ROW()-3&gt;MAX($VL$4:$VL$40),"",INDEX($FN$4:$FN$40,MATCH(ROW()-3,$VL$4:$VL$40,0)))</f>
      </c>
      <c r="VN28" t="str">
        <f>IF(COUNTIF('Final Calculation Sheet'!$AL28:$BQ28,0)+COUNTIF('Final Calculation Sheet'!$BS28:$BS28,0)&gt;0,0,1)</f>
      </c>
      <c r="VO28" t="str">
        <f>IF($FS$28="",FALSE,SUMPRODUCT(('Final Calculation Sheet'!$AG$4:$AG$40=$FS$28)*($VN$4:$VN$40=1))&gt;0)</f>
      </c>
      <c r="VP28" t="str">
        <f>=$VP27+--($VO28)</f>
      </c>
      <c r="VQ28" t="str">
        <f>IF(ROW()-3&gt;MAX($VP$4:$VP$40),"",INDEX($FS$4:$FS$40,MATCH(ROW()-3,$VP$4:$VP$40,0)))</f>
      </c>
      <c r="VR28" t="str">
        <f>IF(COUNTIF('Final Calculation Sheet'!$AL28:$BR28,0)&gt;0,0,1)</f>
      </c>
      <c r="VS28" t="str">
        <f>IF($QO$28="",FALSE,SUMPRODUCT(('Final Calculation Sheet'!$AH$4:$AH$40=$QO$28)*($VR$4:$VR$40=1))&gt;0)</f>
      </c>
      <c r="VT28" t="str">
        <f>=$VT27+--($VS28)</f>
      </c>
      <c r="VU28" t="str">
        <f>IF(ROW()-3&gt;MAX($VT$4:$VT$40),"",INDEX($QO$4:$QO$40,MATCH(ROW()-3,$VT$4:$VT$40,0)))</f>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IF(ROW()-3&gt;MAX($LC$4:$LC$40),"",INDEX($FS$4:$FS$40,MATCH(ROW()-3,$LC$4:$LC$40,0)))</f>
        <v/>
      </c>
      <c r="LE29">
        <f>IF(COUNTIF('Buyer Groups'!DH29:EN29,0)&gt;0,0,1)</f>
        <v/>
      </c>
      <c r="LF29">
        <f>IF($O$29="",FALSE,SUMPRODUCT(('Final Calculation Sheet'!$F$4:$F$40=$O$29)*($LE$6:$LE$42=1))&gt;0)</f>
        <v/>
      </c>
      <c r="LG29">
        <f>$LG$28+--($LF29)</f>
        <v/>
      </c>
      <c r="LH29">
        <f>IF(ROW()-3&gt;MAX($LG$4:$LG$40),"",INDEX($O$4:$O$40,MATCH(ROW()-3,$LG$4:$LG$40,0)))</f>
        <v/>
      </c>
      <c r="LI29">
        <f>IF(COUNTIF('Buyer Groups'!DG29:DG29,0)+COUNTIF('Buyer Groups'!DI29:EN29,0)&gt;0,0,1)</f>
        <v/>
      </c>
      <c r="LJ29">
        <f>IF($T$29="",FALSE,SUMPRODUCT(('Final Calculation Sheet'!$G$4:$G$40=$T$29)*($LI$6:$LI$42=1))&gt;0)</f>
        <v/>
      </c>
      <c r="LK29">
        <f>$LK$28+--($LJ29)</f>
        <v/>
      </c>
      <c r="LL29">
        <f>IF(ROW()-3&gt;MAX($LK$4:$LK$40),"",INDEX($T$4:$T$40,MATCH(ROW()-3,$LK$4:$LK$40,0)))</f>
        <v/>
      </c>
      <c r="LM29">
        <f>IF(COUNTIF('Buyer Groups'!DG29:DH29,0)+COUNTIF('Buyer Groups'!DJ29:EN29,0)&gt;0,0,1)</f>
        <v/>
      </c>
      <c r="LN29">
        <f>IF($Y$29="",FALSE,SUMPRODUCT(('Final Calculation Sheet'!$B$4:$B$40=$Y$29)*($LM$6:$LM$42=1))&gt;0)</f>
        <v/>
      </c>
      <c r="LO29">
        <f>$LO$28+--($LN29)</f>
        <v/>
      </c>
      <c r="LP29">
        <f>IF(ROW()-3&gt;MAX($LO$4:$LO$40),"",INDEX($Y$4:$Y$40,MATCH(ROW()-3,$LO$4:$LO$40,0)))</f>
        <v/>
      </c>
      <c r="LQ29">
        <f>IF(COUNTIF('Buyer Groups'!DG29:DI29,0)+COUNTIF('Buyer Groups'!DK29:EN29,0)&gt;0,0,1)</f>
        <v/>
      </c>
      <c r="LR29">
        <f>IF($AD$29="",FALSE,SUMPRODUCT(('Final Calculation Sheet'!$D$4:$D$40=$AD$29)*($LQ$6:$LQ$42=1))&gt;0)</f>
        <v/>
      </c>
      <c r="LS29">
        <f>$LS$28+--($LR29)</f>
        <v/>
      </c>
      <c r="LT29">
        <f>IF(ROW()-3&gt;MAX($LS$4:$LS$40),"",INDEX($AD$4:$AD$40,MATCH(ROW()-3,$LS$4:$LS$40,0)))</f>
        <v/>
      </c>
      <c r="LU29">
        <f>IF(COUNTIF('Buyer Groups'!DG29:DJ29,0)+COUNTIF('Buyer Groups'!DL29:EN29,0)&gt;0,0,1)</f>
        <v/>
      </c>
      <c r="LV29">
        <f>IF($AI$29="",FALSE,SUMPRODUCT(('Final Calculation Sheet'!$A$4:$A$40=$AI$29)*($LU$6:$LU$42=1))&gt;0)</f>
        <v/>
      </c>
      <c r="LW29">
        <f>$LW$28+--($LV29)</f>
        <v/>
      </c>
      <c r="LX29">
        <f>IF(ROW()-3&gt;MAX($LW$4:$LW$40),"",INDEX($AI$4:$AI$40,MATCH(ROW()-3,$LW$4:$LW$40,0)))</f>
        <v/>
      </c>
      <c r="LY29">
        <f>IF(COUNTIF('Buyer Groups'!DG29:DK29,0)+COUNTIF('Buyer Groups'!DM29:EN29,0)&gt;0,0,1)</f>
        <v/>
      </c>
      <c r="LZ29">
        <f>IF($AN$29="",FALSE,SUMPRODUCT(('Final Calculation Sheet'!$E$4:$E$40=$AN$29)*($LY$6:$LY$42=1))&gt;0)</f>
        <v/>
      </c>
      <c r="MA29">
        <f>$MA$28+--($LZ29)</f>
        <v/>
      </c>
      <c r="MB29">
        <f>IF(ROW()-3&gt;MAX($MA$4:$MA$40),"",INDEX($AN$4:$AN$40,MATCH(ROW()-3,$MA$4:$MA$40,0)))</f>
        <v/>
      </c>
      <c r="MC29">
        <f>IF(COUNTIF('Buyer Groups'!DG29:DL29,0)+COUNTIF('Buyer Groups'!DN29:EN29,0)&gt;0,0,1)</f>
        <v/>
      </c>
      <c r="MD29">
        <f>IF($AS$29="",FALSE,SUMPRODUCT(('Final Calculation Sheet'!$C$4:$C$40=$AS$29)*($MC$6:$MC$42=1))&gt;0)</f>
        <v/>
      </c>
      <c r="ME29">
        <f>$ME$28+--($MD29)</f>
        <v/>
      </c>
      <c r="MF29">
        <f>IF(ROW()-3&gt;MAX($ME$4:$ME$40),"",INDEX($AS$4:$AS$40,MATCH(ROW()-3,$ME$4:$ME$40,0)))</f>
        <v/>
      </c>
      <c r="MG29">
        <f>IF(COUNTIF('Buyer Groups'!DG29:DM29,0)+COUNTIF('Buyer Groups'!DO29:EN29,0)&gt;0,0,1)</f>
        <v/>
      </c>
      <c r="MH29">
        <f>IF($AX$29="",FALSE,SUMPRODUCT(('Final Calculation Sheet'!$H$4:$H$40=$AX$29)*($MG$6:$MG$42=1))&gt;0)</f>
        <v/>
      </c>
      <c r="MI29">
        <f>$MI$28+--($MH29)</f>
        <v/>
      </c>
      <c r="MJ29">
        <f>IF(ROW()-3&gt;MAX($MI$4:$MI$40),"",INDEX($AX$4:$AX$40,MATCH(ROW()-3,$MI$4:$MI$40,0)))</f>
        <v/>
      </c>
      <c r="MK29">
        <f>IF(COUNTIF('Buyer Groups'!DG29:DN29,0)+COUNTIF('Buyer Groups'!DP29:EN29,0)&gt;0,0,1)</f>
        <v/>
      </c>
      <c r="ML29">
        <f>IF($BC$29="",FALSE,SUMPRODUCT(('Final Calculation Sheet'!$I$4:$I$40=$BC$29)*($MK$6:$MK$42=1))&gt;0)</f>
        <v/>
      </c>
      <c r="MM29">
        <f>$MM$28+--($ML29)</f>
        <v/>
      </c>
      <c r="MN29">
        <f>IF(ROW()-3&gt;MAX($MM$4:$MM$40),"",INDEX($BC$4:$BC$40,MATCH(ROW()-3,$MM$4:$MM$40,0)))</f>
        <v/>
      </c>
      <c r="MO29">
        <f>IF(COUNTIF('Buyer Groups'!DG29:DO29,0)+COUNTIF('Buyer Groups'!DQ29:EN29,0)&gt;0,0,1)</f>
        <v/>
      </c>
      <c r="MP29">
        <f>IF($BH$29="",FALSE,SUMPRODUCT(('Final Calculation Sheet'!$J$4:$J$40=$BH$29)*($MO$6:$MO$42=1))&gt;0)</f>
        <v/>
      </c>
      <c r="MQ29">
        <f>$MQ$28+--($MP29)</f>
        <v/>
      </c>
      <c r="MR29">
        <f>IF(ROW()-3&gt;MAX($MQ$4:$MQ$40),"",INDEX($BH$4:$BH$40,MATCH(ROW()-3,$MQ$4:$MQ$40,0)))</f>
        <v/>
      </c>
      <c r="MS29">
        <f>IF(COUNTIF('Buyer Groups'!DG29:DP29,0)+COUNTIF('Buyer Groups'!DR29:EN29,0)&gt;0,0,1)</f>
        <v/>
      </c>
      <c r="MT29">
        <f>IF($BM$29="",FALSE,SUMPRODUCT(('Final Calculation Sheet'!$K$4:$K$40=$BM$29)*($MS$6:$MS$42=1))&gt;0)</f>
        <v/>
      </c>
      <c r="MU29">
        <f>$MU$28+--($MT29)</f>
        <v/>
      </c>
      <c r="MV29">
        <f>IF(ROW()-3&gt;MAX($MU$4:$MU$40),"",INDEX($BM$4:$BM$40,MATCH(ROW()-3,$MU$4:$MU$40,0)))</f>
        <v/>
      </c>
      <c r="MW29">
        <f>IF(COUNTIF('Buyer Groups'!DG29:DQ29,0)+COUNTIF('Buyer Groups'!DS29:EN29,0)&gt;0,0,1)</f>
        <v/>
      </c>
      <c r="MX29">
        <f>IF($BR$29="",FALSE,SUMPRODUCT(('Final Calculation Sheet'!$L$4:$L$40=$BR$29)*($MW$6:$MW$42=1))&gt;0)</f>
        <v/>
      </c>
      <c r="MY29">
        <f>$MY$28+--($MX29)</f>
        <v/>
      </c>
      <c r="MZ29">
        <f>IF(ROW()-3&gt;MAX($MY$4:$MY$40),"",INDEX($BR$4:$BR$40,MATCH(ROW()-3,$MY$4:$MY$40,0)))</f>
        <v/>
      </c>
      <c r="NA29">
        <f>IF(COUNTIF('Buyer Groups'!DG29:DR29,0)+COUNTIF('Buyer Groups'!DT29:EN29,0)&gt;0,0,1)</f>
        <v/>
      </c>
      <c r="NB29">
        <f>IF($BW$29="",FALSE,SUMPRODUCT(('Final Calculation Sheet'!$M$4:$M$40=$BW$29)*($NA$6:$NA$42=1))&gt;0)</f>
        <v/>
      </c>
      <c r="NC29">
        <f>$NC$28+--($NB29)</f>
        <v/>
      </c>
      <c r="ND29">
        <f>IF(ROW()-3&gt;MAX($NC$4:$NC$40),"",INDEX($BW$4:$BW$40,MATCH(ROW()-3,$NC$4:$NC$40,0)))</f>
        <v/>
      </c>
      <c r="NE29">
        <f>IF(COUNTIF('Buyer Groups'!DG29:DS29,0)+COUNTIF('Buyer Groups'!DU29:EN29,0)&gt;0,0,1)</f>
        <v/>
      </c>
      <c r="NF29">
        <f>IF($CB$29="",FALSE,SUMPRODUCT(('Final Calculation Sheet'!$N$4:$N$40=$CB$29)*($NE$6:$NE$42=1))&gt;0)</f>
        <v/>
      </c>
      <c r="NG29">
        <f>$NG$28+--($NF29)</f>
        <v/>
      </c>
      <c r="NH29">
        <f>IF(ROW()-3&gt;MAX($NG$4:$NG$40),"",INDEX($CB$4:$CB$40,MATCH(ROW()-3,$NG$4:$NG$40,0)))</f>
        <v/>
      </c>
      <c r="NI29">
        <f>IF(COUNTIF('Buyer Groups'!DG29:DT29,0)+COUNTIF('Buyer Groups'!DV29:EN29,0)&gt;0,0,1)</f>
        <v/>
      </c>
      <c r="NJ29">
        <f>IF($CG$29="",FALSE,SUMPRODUCT(('Final Calculation Sheet'!$O$4:$O$40=$CG$29)*($NI$6:$NI$42=1))&gt;0)</f>
        <v/>
      </c>
      <c r="NK29">
        <f>$NK$28+--($NJ29)</f>
        <v/>
      </c>
      <c r="NL29">
        <f>IF(ROW()-3&gt;MAX($NK$4:$NK$40),"",INDEX($CG$4:$CG$40,MATCH(ROW()-3,$NK$4:$NK$40,0)))</f>
        <v/>
      </c>
      <c r="NM29">
        <f>IF(COUNTIF('Buyer Groups'!DG29:DU29,0)+COUNTIF('Buyer Groups'!DW29:EN29,0)&gt;0,0,1)</f>
        <v/>
      </c>
      <c r="NN29">
        <f>IF($CL$29="",FALSE,SUMPRODUCT(('Final Calculation Sheet'!$P$4:$P$40=$CL$29)*($NM$6:$NM$42=1))&gt;0)</f>
        <v/>
      </c>
      <c r="NO29">
        <f>$NO$28+--($NN29)</f>
        <v/>
      </c>
      <c r="NP29">
        <f>IF(ROW()-3&gt;MAX($NO$4:$NO$40),"",INDEX($CL$4:$CL$40,MATCH(ROW()-3,$NO$4:$NO$40,0)))</f>
        <v/>
      </c>
      <c r="NQ29">
        <f>IF(COUNTIF('Buyer Groups'!DG29:DV29,0)+COUNTIF('Buyer Groups'!DX29:EN29,0)&gt;0,0,1)</f>
        <v/>
      </c>
      <c r="NR29">
        <f>IF($CQ$29="",FALSE,SUMPRODUCT(('Final Calculation Sheet'!$Q$4:$Q$40=$CQ$29)*($NQ$6:$NQ$42=1))&gt;0)</f>
        <v/>
      </c>
      <c r="NS29">
        <f>$NS$28+--($NR29)</f>
        <v/>
      </c>
      <c r="NT29">
        <f>IF(ROW()-3&gt;MAX($NS$4:$NS$40),"",INDEX($CQ$4:$CQ$40,MATCH(ROW()-3,$NS$4:$NS$40,0)))</f>
        <v/>
      </c>
      <c r="NU29">
        <f>IF(COUNTIF('Buyer Groups'!DG29:DW29,0)+COUNTIF('Buyer Groups'!DY29:EN29,0)&gt;0,0,1)</f>
        <v/>
      </c>
      <c r="NV29">
        <f>IF($CV$29="",FALSE,SUMPRODUCT(('Final Calculation Sheet'!$R$4:$R$40=$CV$29)*($NU$6:$NU$42=1))&gt;0)</f>
        <v/>
      </c>
      <c r="NW29">
        <f>$NW$28+--($NV29)</f>
        <v/>
      </c>
      <c r="NX29">
        <f>IF(ROW()-3&gt;MAX($NW$4:$NW$40),"",INDEX($CV$4:$CV$40,MATCH(ROW()-3,$NW$4:$NW$40,0)))</f>
        <v/>
      </c>
      <c r="NY29">
        <f>IF(COUNTIF('Buyer Groups'!DG29:DX29,0)+COUNTIF('Buyer Groups'!DZ29:EN29,0)&gt;0,0,1)</f>
        <v/>
      </c>
      <c r="NZ29">
        <f>IF($DA$29="",FALSE,SUMPRODUCT(('Final Calculation Sheet'!$S$4:$S$40=$DA$29)*($NY$6:$NY$42=1))&gt;0)</f>
        <v/>
      </c>
      <c r="OA29">
        <f>$OA$28+--($NZ29)</f>
        <v/>
      </c>
      <c r="OB29">
        <f>IF(ROW()-3&gt;MAX($OA$4:$OA$40),"",INDEX($DA$4:$DA$40,MATCH(ROW()-3,$OA$4:$OA$40,0)))</f>
        <v/>
      </c>
      <c r="OC29">
        <f>IF(COUNTIF('Buyer Groups'!DG29:DY29,0)+COUNTIF('Buyer Groups'!EA29:EN29,0)&gt;0,0,1)</f>
        <v/>
      </c>
      <c r="OD29">
        <f>IF($DF$29="",FALSE,SUMPRODUCT(('Final Calculation Sheet'!$T$4:$T$40=$DF$29)*($OC$6:$OC$42=1))&gt;0)</f>
        <v/>
      </c>
      <c r="OE29">
        <f>$OE$28+--($OD29)</f>
        <v/>
      </c>
      <c r="OF29">
        <f>IF(ROW()-3&gt;MAX($OE$4:$OE$40),"",INDEX($DF$4:$DF$40,MATCH(ROW()-3,$OE$4:$OE$40,0)))</f>
        <v/>
      </c>
      <c r="OG29">
        <f>IF(COUNTIF('Buyer Groups'!DG29:DZ29,0)+COUNTIF('Buyer Groups'!EB29:EN29,0)&gt;0,0,1)</f>
        <v/>
      </c>
      <c r="OH29">
        <f>IF($DK$29="",FALSE,SUMPRODUCT(('Final Calculation Sheet'!$U$4:$U$40=$DK$29)*($OG$6:$OG$42=1))&gt;0)</f>
        <v/>
      </c>
      <c r="OI29">
        <f>$OI$28+--($OH29)</f>
        <v/>
      </c>
      <c r="OJ29">
        <f>IF(ROW()-3&gt;MAX($OI$4:$OI$40),"",INDEX($DK$4:$DK$40,MATCH(ROW()-3,$OI$4:$OI$40,0)))</f>
        <v/>
      </c>
      <c r="OK29">
        <f>IF(COUNTIF('Buyer Groups'!DG29:EA29,0)+COUNTIF('Buyer Groups'!EC29:EN29,0)&gt;0,0,1)</f>
        <v/>
      </c>
      <c r="OL29">
        <f>IF($DP$29="",FALSE,SUMPRODUCT(('Final Calculation Sheet'!$V$4:$V$40=$DP$29)*($OK$6:$OK$42=1))&gt;0)</f>
        <v/>
      </c>
      <c r="OM29">
        <f>$OM$28+--($OL29)</f>
        <v/>
      </c>
      <c r="ON29">
        <f>IF(ROW()-3&gt;MAX($OM$4:$OM$40),"",INDEX($DP$4:$DP$40,MATCH(ROW()-3,$OM$4:$OM$40,0)))</f>
        <v/>
      </c>
      <c r="OO29">
        <f>IF(COUNTIF('Buyer Groups'!DG29:EB29,0)+COUNTIF('Buyer Groups'!ED29:EN29,0)&gt;0,0,1)</f>
        <v/>
      </c>
      <c r="OP29">
        <f>IF($DU$29="",FALSE,SUMPRODUCT(('Final Calculation Sheet'!$W$4:$W$40=$DU$29)*($OO$6:$OO$42=1))&gt;0)</f>
        <v/>
      </c>
      <c r="OQ29">
        <f>$OQ$28+--($OP29)</f>
        <v/>
      </c>
      <c r="OR29">
        <f>IF(ROW()-3&gt;MAX($OQ$4:$OQ$40),"",INDEX($DU$4:$DU$40,MATCH(ROW()-3,$OQ$4:$OQ$40,0)))</f>
        <v/>
      </c>
      <c r="OS29">
        <f>IF(COUNTIF('Buyer Groups'!DG29:EC29,0)+COUNTIF('Buyer Groups'!EE29:EN29,0)&gt;0,0,1)</f>
        <v/>
      </c>
      <c r="OT29">
        <f>IF($DZ$29="",FALSE,SUMPRODUCT(('Final Calculation Sheet'!$X$4:$X$40=$DZ$29)*($OS$6:$OS$42=1))&gt;0)</f>
        <v/>
      </c>
      <c r="OU29">
        <f>$OU$28+--($OT29)</f>
        <v/>
      </c>
      <c r="OV29">
        <f>IF(ROW()-3&gt;MAX($OU$4:$OU$40),"",INDEX($DZ$4:$DZ$40,MATCH(ROW()-3,$OU$4:$OU$40,0)))</f>
        <v/>
      </c>
      <c r="OW29">
        <f>IF(COUNTIF('Buyer Groups'!DG29:ED29,0)+COUNTIF('Buyer Groups'!EF29:EN29,0)&gt;0,0,1)</f>
        <v/>
      </c>
      <c r="OX29">
        <f>IF($EE$29="",FALSE,SUMPRODUCT(('Final Calculation Sheet'!$Y$4:$Y$40=$EE$29)*($OW$6:$OW$42=1))&gt;0)</f>
        <v/>
      </c>
      <c r="OY29">
        <f>$OY$28+--($OX29)</f>
        <v/>
      </c>
      <c r="OZ29">
        <f>IF(ROW()-3&gt;MAX($OY$4:$OY$40),"",INDEX($EE$4:$EE$40,MATCH(ROW()-3,$OY$4:$OY$40,0)))</f>
        <v/>
      </c>
      <c r="PA29">
        <f>IF(COUNTIF('Buyer Groups'!DG29:EE29,0)+COUNTIF('Buyer Groups'!EG29:EN29,0)&gt;0,0,1)</f>
        <v/>
      </c>
      <c r="PB29">
        <f>IF($EJ$29="",FALSE,SUMPRODUCT(('Final Calculation Sheet'!$Z$4:$Z$40=$EJ$29)*($PA$6:$PA$42=1))&gt;0)</f>
        <v/>
      </c>
      <c r="PC29">
        <f>$PC$28+--($PB29)</f>
        <v/>
      </c>
      <c r="PD29">
        <f>IF(ROW()-3&gt;MAX($PC$4:$PC$40),"",INDEX($EJ$4:$EJ$40,MATCH(ROW()-3,$PC$4:$PC$40,0)))</f>
        <v/>
      </c>
      <c r="PE29">
        <f>IF(COUNTIF('Buyer Groups'!DG29:EF29,0)+COUNTIF('Buyer Groups'!EH29:EN29,0)&gt;0,0,1)</f>
        <v/>
      </c>
      <c r="PF29">
        <f>IF($EO$29="",FALSE,SUMPRODUCT(('Final Calculation Sheet'!$AA$4:$AA$40=$EO$29)*($PE$6:$PE$42=1))&gt;0)</f>
        <v/>
      </c>
      <c r="PG29">
        <f>$PG$28+--($PF29)</f>
        <v/>
      </c>
      <c r="PH29">
        <f>IF(ROW()-3&gt;MAX($PG$4:$PG$40),"",INDEX($EO$4:$EO$40,MATCH(ROW()-3,$PG$4:$PG$40,0)))</f>
        <v/>
      </c>
      <c r="PI29">
        <f>IF(COUNTIF('Buyer Groups'!DG29:EG29,0)+COUNTIF('Buyer Groups'!EI29:EN29,0)&gt;0,0,1)</f>
        <v/>
      </c>
      <c r="PJ29">
        <f>IF($ET$29="",FALSE,SUMPRODUCT(('Final Calculation Sheet'!$AB$4:$AB$40=$ET$29)*($PI$6:$PI$42=1))&gt;0)</f>
        <v/>
      </c>
      <c r="PK29">
        <f>$PK$28+--($PJ29)</f>
        <v/>
      </c>
      <c r="PL29">
        <f>IF(ROW()-3&gt;MAX($PK$4:$PK$40),"",INDEX($ET$4:$ET$40,MATCH(ROW()-3,$PK$4:$PK$40,0)))</f>
        <v/>
      </c>
      <c r="PM29">
        <f>IF(COUNTIF('Buyer Groups'!DG29:EH29,0)+COUNTIF('Buyer Groups'!EJ29:EN29,0)&gt;0,0,1)</f>
        <v/>
      </c>
      <c r="PN29">
        <f>IF($EY$29="",FALSE,SUMPRODUCT(('Final Calculation Sheet'!$AC$4:$AC$40=$EY$29)*($PM$6:$PM$42=1))&gt;0)</f>
        <v/>
      </c>
      <c r="PO29">
        <f>$PO$28+--($PN29)</f>
        <v/>
      </c>
      <c r="PP29">
        <f>IF(ROW()-3&gt;MAX($PO$4:$PO$40),"",INDEX($EY$4:$EY$40,MATCH(ROW()-3,$PO$4:$PO$40,0)))</f>
        <v/>
      </c>
      <c r="PQ29">
        <f>IF(COUNTIF('Buyer Groups'!DG29:EI29,0)+COUNTIF('Buyer Groups'!EK29:EN29,0)&gt;0,0,1)</f>
        <v/>
      </c>
      <c r="PR29">
        <f>IF($FD$29="",FALSE,SUMPRODUCT(('Final Calculation Sheet'!$AD$4:$AD$40=$FD$29)*($PQ$6:$PQ$42=1))&gt;0)</f>
        <v/>
      </c>
      <c r="PS29">
        <f>$PS$28+--($PR29)</f>
        <v/>
      </c>
      <c r="PT29">
        <f>IF(ROW()-3&gt;MAX($PS$4:$PS$40),"",INDEX($FD$4:$FD$40,MATCH(ROW()-3,$PS$4:$PS$40,0)))</f>
        <v/>
      </c>
      <c r="PU29">
        <f>IF(COUNTIF('Buyer Groups'!DG29:EJ29,0)+COUNTIF('Buyer Groups'!EL29:EN29,0)&gt;0,0,1)</f>
        <v/>
      </c>
      <c r="PV29">
        <f>IF($FX$29="",FALSE,SUMPRODUCT((IF('Final Calculation Sheet'!$AD$4:$AD$40&lt;=5,"SETTLED","OUTSTANDING")=$FX$29)*($PU$6:$PU$42=1))&gt;0)</f>
        <v/>
      </c>
      <c r="PW29">
        <f>$PW$28+--($PV29)</f>
        <v/>
      </c>
      <c r="PX29">
        <f>IF(ROW()-3&gt;MAX($PW$4:$PW$40),"",INDEX($FX$4:$FX$40,MATCH(ROW()-3,$PW$4:$PW$40,0)))</f>
        <v/>
      </c>
      <c r="PY29">
        <f>IF(COUNTIF('Buyer Groups'!DG29:EK29,0)+COUNTIF('Buyer Groups'!EM29:EN29,0)&gt;0,0,1)</f>
        <v/>
      </c>
      <c r="PZ29">
        <f>IF($FI$29="",FALSE,SUMPRODUCT(('Final Calculation Sheet'!$AF$4:$AF$40=$FI$29)*($PY$6:$PY$42=1))&gt;0)</f>
        <v/>
      </c>
      <c r="QA29">
        <f>$QA$28+--($PZ29)</f>
        <v/>
      </c>
      <c r="QB29">
        <f>IF(ROW()-3&gt;MAX($QA$4:$QA$40),"",INDEX($FI$4:$FI$40,MATCH(ROW()-3,$QA$4:$QA$40,0)))</f>
        <v/>
      </c>
      <c r="QC29">
        <f>IF(COUNTIF('Buyer Groups'!DG29:EL29,0)+COUNTIF('Buyer Groups'!EN29:EN29,0)&gt;0,0,1)</f>
        <v/>
      </c>
      <c r="QD29">
        <f>IF($FN$29="",FALSE,SUMPRODUCT(('Final Calculation Sheet'!$AG$4:$AG$40=$FN$29)*($QC$6:$QC$42=1))&gt;0)</f>
        <v/>
      </c>
      <c r="QE29">
        <f>$QE$28+--($QD29)</f>
        <v/>
      </c>
      <c r="QF29">
        <f>IF(ROW()-3&gt;MAX($QE$4:$QE$40),"",INDEX($FN$4:$FN$40,MATCH(ROW()-3,$QE$4:$QE$40,0)))</f>
        <v/>
      </c>
      <c r="QG29">
        <f>IF(COUNTIF('Buyer Groups'!DG29:EM29,0)&gt;0,0,1)</f>
        <v/>
      </c>
      <c r="QH29">
        <f>IF($FS$29="",FALSE,SUMPRODUCT(('Final Calculation Sheet'!$AH$4:$AH$40=$FS$29)*($QG$6:$QG$42=1))&gt;0)</f>
        <v/>
      </c>
      <c r="QI29">
        <f>$QI$28+--($QH29)</f>
        <v/>
      </c>
      <c r="QJ29">
        <f>IF(ROW()-3&gt;MAX($QI$4:$QI$40),"",INDEX($FS$4:$FS$40,MATCH(ROW()-3,$QI$4:$QI$40,0)))</f>
        <v/>
      </c>
      <c r="QK29" t="str">
        <f>IF('Final Calculation Sheet'!$AH$29="","",'Final Calculation Sheet'!$AH$29)</f>
      </c>
      <c r="QL29" t="str">
        <f>IF(QK29="","",COUNTIFS(QK$4:QK$40,"&lt;"&amp;QK29,QK$4:QK$40,"&lt;&gt;"&amp;"")+COUNTIF(QK$4:QK29,QK29))</f>
      </c>
      <c r="QM29" t="str">
        <f>IF(ROW()-3&gt;COUNTIF(QK$4:QK$40,"&lt;&gt;"&amp;""),"",INDEX(QK$4:QK$40,MATCH(ROW()-3,QL$4:QL$40,0)))</f>
      </c>
      <c r="QN29" t="str">
        <f>=QN28+F(AND(QM29&lt;&gt;"",COUNTIF(QM$4:QM29,QM29)=1),1,0)</f>
      </c>
      <c r="QO29" t="str">
        <f>IF(ROW()-3&gt;MAX(QN$4:QN$40),"",INDEX(QM$4:QM$40,MATCH(ROW()-3,QN$4:QN$40,0)))</f>
      </c>
      <c r="QP29" t="str">
        <f>IF(COUNTIF('Final Calculation Sheet'!$AM29:$BS29,0)&gt;0,0,1)</f>
      </c>
      <c r="QQ29" t="str">
        <f>IF($AI$29="",FALSE,SUMPRODUCT(('Final Calculation Sheet'!$A$4:$A$40=$AI$29)*($QP$4:$QP$40=1))&gt;0)</f>
      </c>
      <c r="QR29" t="str">
        <f>=$QR28+--($QQ29)</f>
      </c>
      <c r="QS29" t="str">
        <f>IF(ROW()-3&gt;MAX($QR$4:$QR$40),"",INDEX($AI$4:$AI$40,MATCH(ROW()-3,$QR$4:$QR$40,0)))</f>
      </c>
      <c r="QT29" t="str">
        <f>IF(COUNTIF('Final Calculation Sheet'!$AL29:$AL29,0)+COUNTIF('Final Calculation Sheet'!$AN29:$BS29,0)&gt;0,0,1)</f>
      </c>
      <c r="QU29" t="str">
        <f>IF($Y$29="",FALSE,SUMPRODUCT(('Final Calculation Sheet'!$B$4:$B$40=$Y$29)*($QT$4:$QT$40=1))&gt;0)</f>
      </c>
      <c r="QV29" t="str">
        <f>=$QV28+--($QU29)</f>
      </c>
      <c r="QW29" t="str">
        <f>IF(ROW()-3&gt;MAX($QV$4:$QV$40),"",INDEX($Y$4:$Y$40,MATCH(ROW()-3,$QV$4:$QV$40,0)))</f>
      </c>
      <c r="QX29" t="str">
        <f>IF(COUNTIF('Final Calculation Sheet'!$AL29:$AM29,0)+COUNTIF('Final Calculation Sheet'!$AO29:$BS29,0)&gt;0,0,1)</f>
      </c>
      <c r="QY29" t="str">
        <f>IF($AS$29="",FALSE,SUMPRODUCT(('Final Calculation Sheet'!$C$4:$C$40=$AS$29)*($QX$4:$QX$40=1))&gt;0)</f>
      </c>
      <c r="QZ29" t="str">
        <f>=$QZ28+--($QY29)</f>
      </c>
      <c r="RA29" t="str">
        <f>IF(ROW()-3&gt;MAX($QZ$4:$QZ$40),"",INDEX($AS$4:$AS$40,MATCH(ROW()-3,$QZ$4:$QZ$40,0)))</f>
      </c>
      <c r="RB29" t="str">
        <f>IF(COUNTIF('Final Calculation Sheet'!$AL29:$AN29,0)+COUNTIF('Final Calculation Sheet'!$AP29:$BS29,0)&gt;0,0,1)</f>
      </c>
      <c r="RC29" t="str">
        <f>IF($AD$29="",FALSE,SUMPRODUCT(('Final Calculation Sheet'!$D$4:$D$40=$AD$29)*($RB$4:$RB$40=1))&gt;0)</f>
      </c>
      <c r="RD29" t="str">
        <f>=$RD28+--($RC29)</f>
      </c>
      <c r="RE29" t="str">
        <f>IF(ROW()-3&gt;MAX($RD$4:$RD$40),"",INDEX($AD$4:$AD$40,MATCH(ROW()-3,$RD$4:$RD$40,0)))</f>
      </c>
      <c r="RF29" t="str">
        <f>IF(COUNTIF('Final Calculation Sheet'!$AL29:$AO29,0)+COUNTIF('Final Calculation Sheet'!$AQ29:$BS29,0)&gt;0,0,1)</f>
      </c>
      <c r="RG29" t="str">
        <f>IF($AN$29="",FALSE,SUMPRODUCT(('Final Calculation Sheet'!$E$4:$E$40=$AN$29)*($RF$4:$RF$40=1))&gt;0)</f>
      </c>
      <c r="RH29" t="str">
        <f>=$RH28+--($RG29)</f>
      </c>
      <c r="RI29" t="str">
        <f>IF(ROW()-3&gt;MAX($RH$4:$RH$40),"",INDEX($AN$4:$AN$40,MATCH(ROW()-3,$RH$4:$RH$40,0)))</f>
      </c>
      <c r="RJ29" t="str">
        <f>IF(COUNTIF('Final Calculation Sheet'!$AL29:$AP29,0)+COUNTIF('Final Calculation Sheet'!$AR29:$BS29,0)&gt;0,0,1)</f>
      </c>
      <c r="RK29" t="str">
        <f>IF($O$29="",FALSE,SUMPRODUCT(('Final Calculation Sheet'!$F$4:$F$40=$O$29)*($RJ$4:$RJ$40=1))&gt;0)</f>
      </c>
      <c r="RL29" t="str">
        <f>=$RL28+--($RK29)</f>
      </c>
      <c r="RM29" t="str">
        <f>IF(ROW()-3&gt;MAX($RL$4:$RL$40),"",INDEX($O$4:$O$40,MATCH(ROW()-3,$RL$4:$RL$40,0)))</f>
      </c>
      <c r="RN29" t="str">
        <f>IF(COUNTIF('Final Calculation Sheet'!$AL29:$AQ29,0)+COUNTIF('Final Calculation Sheet'!$AS29:$BS29,0)&gt;0,0,1)</f>
      </c>
      <c r="RO29" t="str">
        <f>IF($T$29="",FALSE,SUMPRODUCT(('Final Calculation Sheet'!$G$4:$G$40=$T$29)*($RN$4:$RN$40=1))&gt;0)</f>
      </c>
      <c r="RP29" t="str">
        <f>=$RP28+--($RO29)</f>
      </c>
      <c r="RQ29" t="str">
        <f>IF(ROW()-3&gt;MAX($RP$4:$RP$40),"",INDEX($T$4:$T$40,MATCH(ROW()-3,$RP$4:$RP$40,0)))</f>
      </c>
      <c r="RR29" t="str">
        <f>IF(COUNTIF('Final Calculation Sheet'!$AL29:$AR29,0)+COUNTIF('Final Calculation Sheet'!$AT29:$BS29,0)&gt;0,0,1)</f>
      </c>
      <c r="RS29" t="str">
        <f>IF($AX$29="",FALSE,SUMPRODUCT(('Final Calculation Sheet'!$H$4:$H$40=$AX$29)*($RR$4:$RR$40=1))&gt;0)</f>
      </c>
      <c r="RT29" t="str">
        <f>=$RT28+--($RS29)</f>
      </c>
      <c r="RU29" t="str">
        <f>IF(ROW()-3&gt;MAX($RT$4:$RT$40),"",INDEX($AX$4:$AX$40,MATCH(ROW()-3,$RT$4:$RT$40,0)))</f>
      </c>
      <c r="RV29" t="str">
        <f>IF(COUNTIF('Final Calculation Sheet'!$AL29:$AS29,0)+COUNTIF('Final Calculation Sheet'!$AU29:$BS29,0)&gt;0,0,1)</f>
      </c>
      <c r="RW29" t="str">
        <f>IF($BC$29="",FALSE,SUMPRODUCT(('Final Calculation Sheet'!$I$4:$I$40=$BC$29)*($RV$4:$RV$40=1))&gt;0)</f>
      </c>
      <c r="RX29" t="str">
        <f>=$RX28+--($RW29)</f>
      </c>
      <c r="RY29" t="str">
        <f>IF(ROW()-3&gt;MAX($RX$4:$RX$40),"",INDEX($BC$4:$BC$40,MATCH(ROW()-3,$RX$4:$RX$40,0)))</f>
      </c>
      <c r="RZ29" t="str">
        <f>IF(COUNTIF('Final Calculation Sheet'!$AL29:$AT29,0)+COUNTIF('Final Calculation Sheet'!$AV29:$BS29,0)&gt;0,0,1)</f>
      </c>
      <c r="SA29" t="str">
        <f>IF($BH$29="",FALSE,SUMPRODUCT(('Final Calculation Sheet'!$J$4:$J$40=$BH$29)*($RZ$4:$RZ$40=1))&gt;0)</f>
      </c>
      <c r="SB29" t="str">
        <f>=$SB28+--($SA29)</f>
      </c>
      <c r="SC29" t="str">
        <f>IF(ROW()-3&gt;MAX($SB$4:$SB$40),"",INDEX($BH$4:$BH$40,MATCH(ROW()-3,$SB$4:$SB$40,0)))</f>
      </c>
      <c r="SD29" t="str">
        <f>IF(COUNTIF('Final Calculation Sheet'!$AL29:$AU29,0)+COUNTIF('Final Calculation Sheet'!$AW29:$BS29,0)&gt;0,0,1)</f>
      </c>
      <c r="SE29" t="str">
        <f>IF($BM$29="",FALSE,SUMPRODUCT(('Final Calculation Sheet'!$K$4:$K$40=$BM$29)*($SD$4:$SD$40=1))&gt;0)</f>
      </c>
      <c r="SF29" t="str">
        <f>=$SF28+--($SE29)</f>
      </c>
      <c r="SG29" t="str">
        <f>IF(ROW()-3&gt;MAX($SF$4:$SF$40),"",INDEX($BM$4:$BM$40,MATCH(ROW()-3,$SF$4:$SF$40,0)))</f>
      </c>
      <c r="SH29" t="str">
        <f>IF(COUNTIF('Final Calculation Sheet'!$AL29:$AV29,0)+COUNTIF('Final Calculation Sheet'!$AX29:$BS29,0)&gt;0,0,1)</f>
      </c>
      <c r="SI29" t="str">
        <f>IF($BR$29="",FALSE,SUMPRODUCT(('Final Calculation Sheet'!$L$4:$L$40=$BR$29)*($SH$4:$SH$40=1))&gt;0)</f>
      </c>
      <c r="SJ29" t="str">
        <f>=$SJ28+--($SI29)</f>
      </c>
      <c r="SK29" t="str">
        <f>IF(ROW()-3&gt;MAX($SJ$4:$SJ$40),"",INDEX($BR$4:$BR$40,MATCH(ROW()-3,$SJ$4:$SJ$40,0)))</f>
      </c>
      <c r="SL29" t="str">
        <f>IF(COUNTIF('Final Calculation Sheet'!$AL29:$AW29,0)+COUNTIF('Final Calculation Sheet'!$AY29:$BS29,0)&gt;0,0,1)</f>
      </c>
      <c r="SM29" t="str">
        <f>IF($BW$29="",FALSE,SUMPRODUCT(('Final Calculation Sheet'!$M$4:$M$40=$BW$29)*($SL$4:$SL$40=1))&gt;0)</f>
      </c>
      <c r="SN29" t="str">
        <f>=$SN28+--($SM29)</f>
      </c>
      <c r="SO29" t="str">
        <f>IF(ROW()-3&gt;MAX($SN$4:$SN$40),"",INDEX($BW$4:$BW$40,MATCH(ROW()-3,$SN$4:$SN$40,0)))</f>
      </c>
      <c r="SP29" t="str">
        <f>IF(COUNTIF('Final Calculation Sheet'!$AL29:$AX29,0)+COUNTIF('Final Calculation Sheet'!$AZ29:$BS29,0)&gt;0,0,1)</f>
      </c>
      <c r="SQ29" t="str">
        <f>IF($CB$29="",FALSE,SUMPRODUCT(('Final Calculation Sheet'!$N$4:$N$40=$CB$29)*($SP$4:$SP$40=1))&gt;0)</f>
      </c>
      <c r="SR29" t="str">
        <f>=$SR28+--($SQ29)</f>
      </c>
      <c r="SS29" t="str">
        <f>IF(ROW()-3&gt;MAX($SR$4:$SR$40),"",INDEX($CB$4:$CB$40,MATCH(ROW()-3,$SR$4:$SR$40,0)))</f>
      </c>
      <c r="ST29" t="str">
        <f>IF(COUNTIF('Final Calculation Sheet'!$AL29:$AY29,0)+COUNTIF('Final Calculation Sheet'!$BA29:$BS29,0)&gt;0,0,1)</f>
      </c>
      <c r="SU29" t="str">
        <f>IF($CG$29="",FALSE,SUMPRODUCT(('Final Calculation Sheet'!$O$4:$O$40=$CG$29)*($ST$4:$ST$40=1))&gt;0)</f>
      </c>
      <c r="SV29" t="str">
        <f>=$SV28+--($SU29)</f>
      </c>
      <c r="SW29" t="str">
        <f>IF(ROW()-3&gt;MAX($SV$4:$SV$40),"",INDEX($CG$4:$CG$40,MATCH(ROW()-3,$SV$4:$SV$40,0)))</f>
      </c>
      <c r="SX29" t="str">
        <f>IF(COUNTIF('Final Calculation Sheet'!$AL29:$AZ29,0)+COUNTIF('Final Calculation Sheet'!$BB29:$BS29,0)&gt;0,0,1)</f>
      </c>
      <c r="SY29" t="str">
        <f>IF($CL$29="",FALSE,SUMPRODUCT(('Final Calculation Sheet'!$P$4:$P$40=$CL$29)*($SX$4:$SX$40=1))&gt;0)</f>
      </c>
      <c r="SZ29" t="str">
        <f>=$SZ28+--($SY29)</f>
      </c>
      <c r="TA29" t="str">
        <f>IF(ROW()-3&gt;MAX($SZ$4:$SZ$40),"",INDEX($CL$4:$CL$40,MATCH(ROW()-3,$SZ$4:$SZ$40,0)))</f>
      </c>
      <c r="TB29" t="str">
        <f>IF(COUNTIF('Final Calculation Sheet'!$AL29:$BA29,0)+COUNTIF('Final Calculation Sheet'!$BC29:$BS29,0)&gt;0,0,1)</f>
      </c>
      <c r="TC29" t="str">
        <f>IF($CQ$29="",FALSE,SUMPRODUCT(('Final Calculation Sheet'!$Q$4:$Q$40=$CQ$29)*($TB$4:$TB$40=1))&gt;0)</f>
      </c>
      <c r="TD29" t="str">
        <f>=$TD28+--($TC29)</f>
      </c>
      <c r="TE29" t="str">
        <f>IF(ROW()-3&gt;MAX($TD$4:$TD$40),"",INDEX($CQ$4:$CQ$40,MATCH(ROW()-3,$TD$4:$TD$40,0)))</f>
      </c>
      <c r="TF29" t="str">
        <f>IF(COUNTIF('Final Calculation Sheet'!$AL29:$BB29,0)+COUNTIF('Final Calculation Sheet'!$BD29:$BS29,0)&gt;0,0,1)</f>
      </c>
      <c r="TG29" t="str">
        <f>IF($CV$29="",FALSE,SUMPRODUCT(('Final Calculation Sheet'!$R$4:$R$40=$CV$29)*($TF$4:$TF$40=1))&gt;0)</f>
      </c>
      <c r="TH29" t="str">
        <f>=$TH28+--($TG29)</f>
      </c>
      <c r="TI29" t="str">
        <f>IF(ROW()-3&gt;MAX($TH$4:$TH$40),"",INDEX($CV$4:$CV$40,MATCH(ROW()-3,$TH$4:$TH$40,0)))</f>
      </c>
      <c r="TJ29" t="str">
        <f>IF(COUNTIF('Final Calculation Sheet'!$AL29:$BC29,0)+COUNTIF('Final Calculation Sheet'!$BE29:$BS29,0)&gt;0,0,1)</f>
      </c>
      <c r="TK29" t="str">
        <f>IF($DA$29="",FALSE,SUMPRODUCT(('Final Calculation Sheet'!$S$4:$S$40=$DA$29)*($TJ$4:$TJ$40=1))&gt;0)</f>
      </c>
      <c r="TL29" t="str">
        <f>=$TL28+--($TK29)</f>
      </c>
      <c r="TM29" t="str">
        <f>IF(ROW()-3&gt;MAX($TL$4:$TL$40),"",INDEX($DA$4:$DA$40,MATCH(ROW()-3,$TL$4:$TL$40,0)))</f>
      </c>
      <c r="TN29" t="str">
        <f>IF(COUNTIF('Final Calculation Sheet'!$AL29:$BD29,0)+COUNTIF('Final Calculation Sheet'!$BF29:$BS29,0)&gt;0,0,1)</f>
      </c>
      <c r="TO29" t="str">
        <f>IF($DF$29="",FALSE,SUMPRODUCT(('Final Calculation Sheet'!$T$4:$T$40=$DF$29)*($TN$4:$TN$40=1))&gt;0)</f>
      </c>
      <c r="TP29" t="str">
        <f>=$TP28+--($TO29)</f>
      </c>
      <c r="TQ29" t="str">
        <f>IF(ROW()-3&gt;MAX($TP$4:$TP$40),"",INDEX($DF$4:$DF$40,MATCH(ROW()-3,$TP$4:$TP$40,0)))</f>
      </c>
      <c r="TR29" t="str">
        <f>IF(COUNTIF('Final Calculation Sheet'!$AL29:$BE29,0)+COUNTIF('Final Calculation Sheet'!$BG29:$BS29,0)&gt;0,0,1)</f>
      </c>
      <c r="TS29" t="str">
        <f>IF($DK$29="",FALSE,SUMPRODUCT(('Final Calculation Sheet'!$U$4:$U$40=$DK$29)*($TR$4:$TR$40=1))&gt;0)</f>
      </c>
      <c r="TT29" t="str">
        <f>=$TT28+--($TS29)</f>
      </c>
      <c r="TU29" t="str">
        <f>IF(ROW()-3&gt;MAX($TT$4:$TT$40),"",INDEX($DK$4:$DK$40,MATCH(ROW()-3,$TT$4:$TT$40,0)))</f>
      </c>
      <c r="TV29" t="str">
        <f>IF(COUNTIF('Final Calculation Sheet'!$AL29:$BF29,0)+COUNTIF('Final Calculation Sheet'!$BH29:$BS29,0)&gt;0,0,1)</f>
      </c>
      <c r="TW29" t="str">
        <f>IF($DP$29="",FALSE,SUMPRODUCT(('Final Calculation Sheet'!$V$4:$V$40=$DP$29)*($TV$4:$TV$40=1))&gt;0)</f>
      </c>
      <c r="TX29" t="str">
        <f>=$TX28+--($TW29)</f>
      </c>
      <c r="TY29" t="str">
        <f>IF(ROW()-3&gt;MAX($TX$4:$TX$40),"",INDEX($DP$4:$DP$40,MATCH(ROW()-3,$TX$4:$TX$40,0)))</f>
      </c>
      <c r="TZ29" t="str">
        <f>IF(COUNTIF('Final Calculation Sheet'!$AL29:$BG29,0)+COUNTIF('Final Calculation Sheet'!$BI29:$BS29,0)&gt;0,0,1)</f>
      </c>
      <c r="UA29" t="str">
        <f>IF($DU$29="",FALSE,SUMPRODUCT(('Final Calculation Sheet'!$W$4:$W$40=$DU$29)*($TZ$4:$TZ$40=1))&gt;0)</f>
      </c>
      <c r="UB29" t="str">
        <f>=$UB28+--($UA29)</f>
      </c>
      <c r="UC29" t="str">
        <f>IF(ROW()-3&gt;MAX($UB$4:$UB$40),"",INDEX($DU$4:$DU$40,MATCH(ROW()-3,$UB$4:$UB$40,0)))</f>
      </c>
      <c r="UD29" t="str">
        <f>IF(COUNTIF('Final Calculation Sheet'!$AL29:$BH29,0)+COUNTIF('Final Calculation Sheet'!$BJ29:$BS29,0)&gt;0,0,1)</f>
      </c>
      <c r="UE29" t="str">
        <f>IF($DZ$29="",FALSE,SUMPRODUCT(('Final Calculation Sheet'!$X$4:$X$40=$DZ$29)*($UD$4:$UD$40=1))&gt;0)</f>
      </c>
      <c r="UF29" t="str">
        <f>=$UF28+--($UE29)</f>
      </c>
      <c r="UG29" t="str">
        <f>IF(ROW()-3&gt;MAX($UF$4:$UF$40),"",INDEX($DZ$4:$DZ$40,MATCH(ROW()-3,$UF$4:$UF$40,0)))</f>
      </c>
      <c r="UH29" t="str">
        <f>IF(COUNTIF('Final Calculation Sheet'!$AL29:$BI29,0)+COUNTIF('Final Calculation Sheet'!$BK29:$BS29,0)&gt;0,0,1)</f>
      </c>
      <c r="UI29" t="str">
        <f>IF($EE$29="",FALSE,SUMPRODUCT(('Final Calculation Sheet'!$Y$4:$Y$40=$EE$29)*($UH$4:$UH$40=1))&gt;0)</f>
      </c>
      <c r="UJ29" t="str">
        <f>=$UJ28+--($UI29)</f>
      </c>
      <c r="UK29" t="str">
        <f>IF(ROW()-3&gt;MAX($UJ$4:$UJ$40),"",INDEX($EE$4:$EE$40,MATCH(ROW()-3,$UJ$4:$UJ$40,0)))</f>
      </c>
      <c r="UL29" t="str">
        <f>IF(COUNTIF('Final Calculation Sheet'!$AL29:$BJ29,0)+COUNTIF('Final Calculation Sheet'!$BL29:$BS29,0)&gt;0,0,1)</f>
      </c>
      <c r="UM29" t="str">
        <f>IF($EJ$29="",FALSE,SUMPRODUCT(('Final Calculation Sheet'!$Z$4:$Z$40=$EJ$29)*($UL$4:$UL$40=1))&gt;0)</f>
      </c>
      <c r="UN29" t="str">
        <f>=$UN28+--($UM29)</f>
      </c>
      <c r="UO29" t="str">
        <f>IF(ROW()-3&gt;MAX($UN$4:$UN$40),"",INDEX($EJ$4:$EJ$40,MATCH(ROW()-3,$UN$4:$UN$40,0)))</f>
      </c>
      <c r="UP29" t="str">
        <f>IF(COUNTIF('Final Calculation Sheet'!$AL29:$BK29,0)+COUNTIF('Final Calculation Sheet'!$BM29:$BS29,0)&gt;0,0,1)</f>
      </c>
      <c r="UQ29" t="str">
        <f>IF($EO$29="",FALSE,SUMPRODUCT(('Final Calculation Sheet'!$AA$4:$AA$40=$EO$29)*($UP$4:$UP$40=1))&gt;0)</f>
      </c>
      <c r="UR29" t="str">
        <f>=$UR28+--($UQ29)</f>
      </c>
      <c r="US29" t="str">
        <f>IF(ROW()-3&gt;MAX($UR$4:$UR$40),"",INDEX($EO$4:$EO$40,MATCH(ROW()-3,$UR$4:$UR$40,0)))</f>
      </c>
      <c r="UT29" t="str">
        <f>IF(COUNTIF('Final Calculation Sheet'!$AL29:$BL29,0)+COUNTIF('Final Calculation Sheet'!$BN29:$BS29,0)&gt;0,0,1)</f>
      </c>
      <c r="UU29" t="str">
        <f>IF($ET$29="",FALSE,SUMPRODUCT(('Final Calculation Sheet'!$AB$4:$AB$40=$ET$29)*($UT$4:$UT$40=1))&gt;0)</f>
      </c>
      <c r="UV29" t="str">
        <f>=$UV28+--($UU29)</f>
      </c>
      <c r="UW29" t="str">
        <f>IF(ROW()-3&gt;MAX($UV$4:$UV$40),"",INDEX($ET$4:$ET$40,MATCH(ROW()-3,$UV$4:$UV$40,0)))</f>
      </c>
      <c r="UX29" t="str">
        <f>IF(COUNTIF('Final Calculation Sheet'!$AL29:$BM29,0)+COUNTIF('Final Calculation Sheet'!$BO29:$BS29,0)&gt;0,0,1)</f>
      </c>
      <c r="UY29" t="str">
        <f>IF($EY$29="",FALSE,SUMPRODUCT(('Final Calculation Sheet'!$AC$4:$AC$40=$EY$29)*($UX$4:$UX$40=1))&gt;0)</f>
      </c>
      <c r="UZ29" t="str">
        <f>=$UZ28+--($UY29)</f>
      </c>
      <c r="VA29" t="str">
        <f>IF(ROW()-3&gt;MAX($UZ$4:$UZ$40),"",INDEX($EY$4:$EY$40,MATCH(ROW()-3,$UZ$4:$UZ$40,0)))</f>
      </c>
      <c r="VB29" t="str">
        <f>IF(COUNTIF('Final Calculation Sheet'!$AL29:$BN29,0)+COUNTIF('Final Calculation Sheet'!$BP29:$BS29,0)&gt;0,0,1)</f>
      </c>
      <c r="VC29" t="str">
        <f>IF($FD$29="",FALSE,SUMPRODUCT(('Final Calculation Sheet'!$AD$4:$AD$40=$FD$29)*($VB$4:$VB$40=1))&gt;0)</f>
      </c>
      <c r="VD29" t="str">
        <f>=$VD28+--($VC29)</f>
      </c>
      <c r="VE29" t="str">
        <f>IF(ROW()-3&gt;MAX($VD$4:$VD$40),"",INDEX($FD$4:$FD$40,MATCH(ROW()-3,$VD$4:$VD$40,0)))</f>
      </c>
      <c r="VF29" t="str">
        <f>IF(COUNTIF('Final Calculation Sheet'!$AL29:$BO29,0)+COUNTIF('Final Calculation Sheet'!$BQ29:$BS29,0)&gt;0,0,1)</f>
      </c>
      <c r="VG29" t="str">
        <f>IF($FI$29="",FALSE,SUMPRODUCT(('Final Calculation Sheet'!$AE$4:$AE$40=$FI$29)*($VF$4:$VF$40=1))&gt;0)</f>
      </c>
      <c r="VH29" t="str">
        <f>=$VH28+--($VG29)</f>
      </c>
      <c r="VI29" t="str">
        <f>IF(ROW()-3&gt;MAX($VH$4:$VH$40),"",INDEX($FI$4:$FI$40,MATCH(ROW()-3,$VH$4:$VH$40,0)))</f>
      </c>
      <c r="VJ29" t="str">
        <f>IF(COUNTIF('Final Calculation Sheet'!$AL29:$BP29,0)+COUNTIF('Final Calculation Sheet'!$BR29:$BS29,0)&gt;0,0,1)</f>
      </c>
      <c r="VK29" t="str">
        <f>IF($FN$29="",FALSE,SUMPRODUCT(('Final Calculation Sheet'!$AF$4:$AF$40=$FN$29)*($VJ$4:$VJ$40=1))&gt;0)</f>
      </c>
      <c r="VL29" t="str">
        <f>=$VL28+--($VK29)</f>
      </c>
      <c r="VM29" t="str">
        <f>IF(ROW()-3&gt;MAX($VL$4:$VL$40),"",INDEX($FN$4:$FN$40,MATCH(ROW()-3,$VL$4:$VL$40,0)))</f>
      </c>
      <c r="VN29" t="str">
        <f>IF(COUNTIF('Final Calculation Sheet'!$AL29:$BQ29,0)+COUNTIF('Final Calculation Sheet'!$BS29:$BS29,0)&gt;0,0,1)</f>
      </c>
      <c r="VO29" t="str">
        <f>IF($FS$29="",FALSE,SUMPRODUCT(('Final Calculation Sheet'!$AG$4:$AG$40=$FS$29)*($VN$4:$VN$40=1))&gt;0)</f>
      </c>
      <c r="VP29" t="str">
        <f>=$VP28+--($VO29)</f>
      </c>
      <c r="VQ29" t="str">
        <f>IF(ROW()-3&gt;MAX($VP$4:$VP$40),"",INDEX($FS$4:$FS$40,MATCH(ROW()-3,$VP$4:$VP$40,0)))</f>
      </c>
      <c r="VR29" t="str">
        <f>IF(COUNTIF('Final Calculation Sheet'!$AL29:$BR29,0)&gt;0,0,1)</f>
      </c>
      <c r="VS29" t="str">
        <f>IF($QO$29="",FALSE,SUMPRODUCT(('Final Calculation Sheet'!$AH$4:$AH$40=$QO$29)*($VR$4:$VR$40=1))&gt;0)</f>
      </c>
      <c r="VT29" t="str">
        <f>=$VT28+--($VS29)</f>
      </c>
      <c r="VU29" t="str">
        <f>IF(ROW()-3&gt;MAX($VT$4:$VT$40),"",INDEX($QO$4:$QO$40,MATCH(ROW()-3,$VT$4:$VT$40,0)))</f>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IF(ROW()-3&gt;MAX($LC$4:$LC$40),"",INDEX($FS$4:$FS$40,MATCH(ROW()-3,$LC$4:$LC$40,0)))</f>
        <v/>
      </c>
      <c r="LE30">
        <f>IF(COUNTIF('Buyer Groups'!DH30:EN30,0)&gt;0,0,1)</f>
        <v/>
      </c>
      <c r="LF30">
        <f>IF($O$30="",FALSE,SUMPRODUCT(('Final Calculation Sheet'!$F$4:$F$40=$O$30)*($LE$6:$LE$42=1))&gt;0)</f>
        <v/>
      </c>
      <c r="LG30">
        <f>$LG$29+--($LF30)</f>
        <v/>
      </c>
      <c r="LH30">
        <f>IF(ROW()-3&gt;MAX($LG$4:$LG$40),"",INDEX($O$4:$O$40,MATCH(ROW()-3,$LG$4:$LG$40,0)))</f>
        <v/>
      </c>
      <c r="LI30">
        <f>IF(COUNTIF('Buyer Groups'!DG30:DG30,0)+COUNTIF('Buyer Groups'!DI30:EN30,0)&gt;0,0,1)</f>
        <v/>
      </c>
      <c r="LJ30">
        <f>IF($T$30="",FALSE,SUMPRODUCT(('Final Calculation Sheet'!$G$4:$G$40=$T$30)*($LI$6:$LI$42=1))&gt;0)</f>
        <v/>
      </c>
      <c r="LK30">
        <f>$LK$29+--($LJ30)</f>
        <v/>
      </c>
      <c r="LL30">
        <f>IF(ROW()-3&gt;MAX($LK$4:$LK$40),"",INDEX($T$4:$T$40,MATCH(ROW()-3,$LK$4:$LK$40,0)))</f>
        <v/>
      </c>
      <c r="LM30">
        <f>IF(COUNTIF('Buyer Groups'!DG30:DH30,0)+COUNTIF('Buyer Groups'!DJ30:EN30,0)&gt;0,0,1)</f>
        <v/>
      </c>
      <c r="LN30">
        <f>IF($Y$30="",FALSE,SUMPRODUCT(('Final Calculation Sheet'!$B$4:$B$40=$Y$30)*($LM$6:$LM$42=1))&gt;0)</f>
        <v/>
      </c>
      <c r="LO30">
        <f>$LO$29+--($LN30)</f>
        <v/>
      </c>
      <c r="LP30">
        <f>IF(ROW()-3&gt;MAX($LO$4:$LO$40),"",INDEX($Y$4:$Y$40,MATCH(ROW()-3,$LO$4:$LO$40,0)))</f>
        <v/>
      </c>
      <c r="LQ30">
        <f>IF(COUNTIF('Buyer Groups'!DG30:DI30,0)+COUNTIF('Buyer Groups'!DK30:EN30,0)&gt;0,0,1)</f>
        <v/>
      </c>
      <c r="LR30">
        <f>IF($AD$30="",FALSE,SUMPRODUCT(('Final Calculation Sheet'!$D$4:$D$40=$AD$30)*($LQ$6:$LQ$42=1))&gt;0)</f>
        <v/>
      </c>
      <c r="LS30">
        <f>$LS$29+--($LR30)</f>
        <v/>
      </c>
      <c r="LT30">
        <f>IF(ROW()-3&gt;MAX($LS$4:$LS$40),"",INDEX($AD$4:$AD$40,MATCH(ROW()-3,$LS$4:$LS$40,0)))</f>
        <v/>
      </c>
      <c r="LU30">
        <f>IF(COUNTIF('Buyer Groups'!DG30:DJ30,0)+COUNTIF('Buyer Groups'!DL30:EN30,0)&gt;0,0,1)</f>
        <v/>
      </c>
      <c r="LV30">
        <f>IF($AI$30="",FALSE,SUMPRODUCT(('Final Calculation Sheet'!$A$4:$A$40=$AI$30)*($LU$6:$LU$42=1))&gt;0)</f>
        <v/>
      </c>
      <c r="LW30">
        <f>$LW$29+--($LV30)</f>
        <v/>
      </c>
      <c r="LX30">
        <f>IF(ROW()-3&gt;MAX($LW$4:$LW$40),"",INDEX($AI$4:$AI$40,MATCH(ROW()-3,$LW$4:$LW$40,0)))</f>
        <v/>
      </c>
      <c r="LY30">
        <f>IF(COUNTIF('Buyer Groups'!DG30:DK30,0)+COUNTIF('Buyer Groups'!DM30:EN30,0)&gt;0,0,1)</f>
        <v/>
      </c>
      <c r="LZ30">
        <f>IF($AN$30="",FALSE,SUMPRODUCT(('Final Calculation Sheet'!$E$4:$E$40=$AN$30)*($LY$6:$LY$42=1))&gt;0)</f>
        <v/>
      </c>
      <c r="MA30">
        <f>$MA$29+--($LZ30)</f>
        <v/>
      </c>
      <c r="MB30">
        <f>IF(ROW()-3&gt;MAX($MA$4:$MA$40),"",INDEX($AN$4:$AN$40,MATCH(ROW()-3,$MA$4:$MA$40,0)))</f>
        <v/>
      </c>
      <c r="MC30">
        <f>IF(COUNTIF('Buyer Groups'!DG30:DL30,0)+COUNTIF('Buyer Groups'!DN30:EN30,0)&gt;0,0,1)</f>
        <v/>
      </c>
      <c r="MD30">
        <f>IF($AS$30="",FALSE,SUMPRODUCT(('Final Calculation Sheet'!$C$4:$C$40=$AS$30)*($MC$6:$MC$42=1))&gt;0)</f>
        <v/>
      </c>
      <c r="ME30">
        <f>$ME$29+--($MD30)</f>
        <v/>
      </c>
      <c r="MF30">
        <f>IF(ROW()-3&gt;MAX($ME$4:$ME$40),"",INDEX($AS$4:$AS$40,MATCH(ROW()-3,$ME$4:$ME$40,0)))</f>
        <v/>
      </c>
      <c r="MG30">
        <f>IF(COUNTIF('Buyer Groups'!DG30:DM30,0)+COUNTIF('Buyer Groups'!DO30:EN30,0)&gt;0,0,1)</f>
        <v/>
      </c>
      <c r="MH30">
        <f>IF($AX$30="",FALSE,SUMPRODUCT(('Final Calculation Sheet'!$H$4:$H$40=$AX$30)*($MG$6:$MG$42=1))&gt;0)</f>
        <v/>
      </c>
      <c r="MI30">
        <f>$MI$29+--($MH30)</f>
        <v/>
      </c>
      <c r="MJ30">
        <f>IF(ROW()-3&gt;MAX($MI$4:$MI$40),"",INDEX($AX$4:$AX$40,MATCH(ROW()-3,$MI$4:$MI$40,0)))</f>
        <v/>
      </c>
      <c r="MK30">
        <f>IF(COUNTIF('Buyer Groups'!DG30:DN30,0)+COUNTIF('Buyer Groups'!DP30:EN30,0)&gt;0,0,1)</f>
        <v/>
      </c>
      <c r="ML30">
        <f>IF($BC$30="",FALSE,SUMPRODUCT(('Final Calculation Sheet'!$I$4:$I$40=$BC$30)*($MK$6:$MK$42=1))&gt;0)</f>
        <v/>
      </c>
      <c r="MM30">
        <f>$MM$29+--($ML30)</f>
        <v/>
      </c>
      <c r="MN30">
        <f>IF(ROW()-3&gt;MAX($MM$4:$MM$40),"",INDEX($BC$4:$BC$40,MATCH(ROW()-3,$MM$4:$MM$40,0)))</f>
        <v/>
      </c>
      <c r="MO30">
        <f>IF(COUNTIF('Buyer Groups'!DG30:DO30,0)+COUNTIF('Buyer Groups'!DQ30:EN30,0)&gt;0,0,1)</f>
        <v/>
      </c>
      <c r="MP30">
        <f>IF($BH$30="",FALSE,SUMPRODUCT(('Final Calculation Sheet'!$J$4:$J$40=$BH$30)*($MO$6:$MO$42=1))&gt;0)</f>
        <v/>
      </c>
      <c r="MQ30">
        <f>$MQ$29+--($MP30)</f>
        <v/>
      </c>
      <c r="MR30">
        <f>IF(ROW()-3&gt;MAX($MQ$4:$MQ$40),"",INDEX($BH$4:$BH$40,MATCH(ROW()-3,$MQ$4:$MQ$40,0)))</f>
        <v/>
      </c>
      <c r="MS30">
        <f>IF(COUNTIF('Buyer Groups'!DG30:DP30,0)+COUNTIF('Buyer Groups'!DR30:EN30,0)&gt;0,0,1)</f>
        <v/>
      </c>
      <c r="MT30">
        <f>IF($BM$30="",FALSE,SUMPRODUCT(('Final Calculation Sheet'!$K$4:$K$40=$BM$30)*($MS$6:$MS$42=1))&gt;0)</f>
        <v/>
      </c>
      <c r="MU30">
        <f>$MU$29+--($MT30)</f>
        <v/>
      </c>
      <c r="MV30">
        <f>IF(ROW()-3&gt;MAX($MU$4:$MU$40),"",INDEX($BM$4:$BM$40,MATCH(ROW()-3,$MU$4:$MU$40,0)))</f>
        <v/>
      </c>
      <c r="MW30">
        <f>IF(COUNTIF('Buyer Groups'!DG30:DQ30,0)+COUNTIF('Buyer Groups'!DS30:EN30,0)&gt;0,0,1)</f>
        <v/>
      </c>
      <c r="MX30">
        <f>IF($BR$30="",FALSE,SUMPRODUCT(('Final Calculation Sheet'!$L$4:$L$40=$BR$30)*($MW$6:$MW$42=1))&gt;0)</f>
        <v/>
      </c>
      <c r="MY30">
        <f>$MY$29+--($MX30)</f>
        <v/>
      </c>
      <c r="MZ30">
        <f>IF(ROW()-3&gt;MAX($MY$4:$MY$40),"",INDEX($BR$4:$BR$40,MATCH(ROW()-3,$MY$4:$MY$40,0)))</f>
        <v/>
      </c>
      <c r="NA30">
        <f>IF(COUNTIF('Buyer Groups'!DG30:DR30,0)+COUNTIF('Buyer Groups'!DT30:EN30,0)&gt;0,0,1)</f>
        <v/>
      </c>
      <c r="NB30">
        <f>IF($BW$30="",FALSE,SUMPRODUCT(('Final Calculation Sheet'!$M$4:$M$40=$BW$30)*($NA$6:$NA$42=1))&gt;0)</f>
        <v/>
      </c>
      <c r="NC30">
        <f>$NC$29+--($NB30)</f>
        <v/>
      </c>
      <c r="ND30">
        <f>IF(ROW()-3&gt;MAX($NC$4:$NC$40),"",INDEX($BW$4:$BW$40,MATCH(ROW()-3,$NC$4:$NC$40,0)))</f>
        <v/>
      </c>
      <c r="NE30">
        <f>IF(COUNTIF('Buyer Groups'!DG30:DS30,0)+COUNTIF('Buyer Groups'!DU30:EN30,0)&gt;0,0,1)</f>
        <v/>
      </c>
      <c r="NF30">
        <f>IF($CB$30="",FALSE,SUMPRODUCT(('Final Calculation Sheet'!$N$4:$N$40=$CB$30)*($NE$6:$NE$42=1))&gt;0)</f>
        <v/>
      </c>
      <c r="NG30">
        <f>$NG$29+--($NF30)</f>
        <v/>
      </c>
      <c r="NH30">
        <f>IF(ROW()-3&gt;MAX($NG$4:$NG$40),"",INDEX($CB$4:$CB$40,MATCH(ROW()-3,$NG$4:$NG$40,0)))</f>
        <v/>
      </c>
      <c r="NI30">
        <f>IF(COUNTIF('Buyer Groups'!DG30:DT30,0)+COUNTIF('Buyer Groups'!DV30:EN30,0)&gt;0,0,1)</f>
        <v/>
      </c>
      <c r="NJ30">
        <f>IF($CG$30="",FALSE,SUMPRODUCT(('Final Calculation Sheet'!$O$4:$O$40=$CG$30)*($NI$6:$NI$42=1))&gt;0)</f>
        <v/>
      </c>
      <c r="NK30">
        <f>$NK$29+--($NJ30)</f>
        <v/>
      </c>
      <c r="NL30">
        <f>IF(ROW()-3&gt;MAX($NK$4:$NK$40),"",INDEX($CG$4:$CG$40,MATCH(ROW()-3,$NK$4:$NK$40,0)))</f>
        <v/>
      </c>
      <c r="NM30">
        <f>IF(COUNTIF('Buyer Groups'!DG30:DU30,0)+COUNTIF('Buyer Groups'!DW30:EN30,0)&gt;0,0,1)</f>
        <v/>
      </c>
      <c r="NN30">
        <f>IF($CL$30="",FALSE,SUMPRODUCT(('Final Calculation Sheet'!$P$4:$P$40=$CL$30)*($NM$6:$NM$42=1))&gt;0)</f>
        <v/>
      </c>
      <c r="NO30">
        <f>$NO$29+--($NN30)</f>
        <v/>
      </c>
      <c r="NP30">
        <f>IF(ROW()-3&gt;MAX($NO$4:$NO$40),"",INDEX($CL$4:$CL$40,MATCH(ROW()-3,$NO$4:$NO$40,0)))</f>
        <v/>
      </c>
      <c r="NQ30">
        <f>IF(COUNTIF('Buyer Groups'!DG30:DV30,0)+COUNTIF('Buyer Groups'!DX30:EN30,0)&gt;0,0,1)</f>
        <v/>
      </c>
      <c r="NR30">
        <f>IF($CQ$30="",FALSE,SUMPRODUCT(('Final Calculation Sheet'!$Q$4:$Q$40=$CQ$30)*($NQ$6:$NQ$42=1))&gt;0)</f>
        <v/>
      </c>
      <c r="NS30">
        <f>$NS$29+--($NR30)</f>
        <v/>
      </c>
      <c r="NT30">
        <f>IF(ROW()-3&gt;MAX($NS$4:$NS$40),"",INDEX($CQ$4:$CQ$40,MATCH(ROW()-3,$NS$4:$NS$40,0)))</f>
        <v/>
      </c>
      <c r="NU30">
        <f>IF(COUNTIF('Buyer Groups'!DG30:DW30,0)+COUNTIF('Buyer Groups'!DY30:EN30,0)&gt;0,0,1)</f>
        <v/>
      </c>
      <c r="NV30">
        <f>IF($CV$30="",FALSE,SUMPRODUCT(('Final Calculation Sheet'!$R$4:$R$40=$CV$30)*($NU$6:$NU$42=1))&gt;0)</f>
        <v/>
      </c>
      <c r="NW30">
        <f>$NW$29+--($NV30)</f>
        <v/>
      </c>
      <c r="NX30">
        <f>IF(ROW()-3&gt;MAX($NW$4:$NW$40),"",INDEX($CV$4:$CV$40,MATCH(ROW()-3,$NW$4:$NW$40,0)))</f>
        <v/>
      </c>
      <c r="NY30">
        <f>IF(COUNTIF('Buyer Groups'!DG30:DX30,0)+COUNTIF('Buyer Groups'!DZ30:EN30,0)&gt;0,0,1)</f>
        <v/>
      </c>
      <c r="NZ30">
        <f>IF($DA$30="",FALSE,SUMPRODUCT(('Final Calculation Sheet'!$S$4:$S$40=$DA$30)*($NY$6:$NY$42=1))&gt;0)</f>
        <v/>
      </c>
      <c r="OA30">
        <f>$OA$29+--($NZ30)</f>
        <v/>
      </c>
      <c r="OB30">
        <f>IF(ROW()-3&gt;MAX($OA$4:$OA$40),"",INDEX($DA$4:$DA$40,MATCH(ROW()-3,$OA$4:$OA$40,0)))</f>
        <v/>
      </c>
      <c r="OC30">
        <f>IF(COUNTIF('Buyer Groups'!DG30:DY30,0)+COUNTIF('Buyer Groups'!EA30:EN30,0)&gt;0,0,1)</f>
        <v/>
      </c>
      <c r="OD30">
        <f>IF($DF$30="",FALSE,SUMPRODUCT(('Final Calculation Sheet'!$T$4:$T$40=$DF$30)*($OC$6:$OC$42=1))&gt;0)</f>
        <v/>
      </c>
      <c r="OE30">
        <f>$OE$29+--($OD30)</f>
        <v/>
      </c>
      <c r="OF30">
        <f>IF(ROW()-3&gt;MAX($OE$4:$OE$40),"",INDEX($DF$4:$DF$40,MATCH(ROW()-3,$OE$4:$OE$40,0)))</f>
        <v/>
      </c>
      <c r="OG30">
        <f>IF(COUNTIF('Buyer Groups'!DG30:DZ30,0)+COUNTIF('Buyer Groups'!EB30:EN30,0)&gt;0,0,1)</f>
        <v/>
      </c>
      <c r="OH30">
        <f>IF($DK$30="",FALSE,SUMPRODUCT(('Final Calculation Sheet'!$U$4:$U$40=$DK$30)*($OG$6:$OG$42=1))&gt;0)</f>
        <v/>
      </c>
      <c r="OI30">
        <f>$OI$29+--($OH30)</f>
        <v/>
      </c>
      <c r="OJ30">
        <f>IF(ROW()-3&gt;MAX($OI$4:$OI$40),"",INDEX($DK$4:$DK$40,MATCH(ROW()-3,$OI$4:$OI$40,0)))</f>
        <v/>
      </c>
      <c r="OK30">
        <f>IF(COUNTIF('Buyer Groups'!DG30:EA30,0)+COUNTIF('Buyer Groups'!EC30:EN30,0)&gt;0,0,1)</f>
        <v/>
      </c>
      <c r="OL30">
        <f>IF($DP$30="",FALSE,SUMPRODUCT(('Final Calculation Sheet'!$V$4:$V$40=$DP$30)*($OK$6:$OK$42=1))&gt;0)</f>
        <v/>
      </c>
      <c r="OM30">
        <f>$OM$29+--($OL30)</f>
        <v/>
      </c>
      <c r="ON30">
        <f>IF(ROW()-3&gt;MAX($OM$4:$OM$40),"",INDEX($DP$4:$DP$40,MATCH(ROW()-3,$OM$4:$OM$40,0)))</f>
        <v/>
      </c>
      <c r="OO30">
        <f>IF(COUNTIF('Buyer Groups'!DG30:EB30,0)+COUNTIF('Buyer Groups'!ED30:EN30,0)&gt;0,0,1)</f>
        <v/>
      </c>
      <c r="OP30">
        <f>IF($DU$30="",FALSE,SUMPRODUCT(('Final Calculation Sheet'!$W$4:$W$40=$DU$30)*($OO$6:$OO$42=1))&gt;0)</f>
        <v/>
      </c>
      <c r="OQ30">
        <f>$OQ$29+--($OP30)</f>
        <v/>
      </c>
      <c r="OR30">
        <f>IF(ROW()-3&gt;MAX($OQ$4:$OQ$40),"",INDEX($DU$4:$DU$40,MATCH(ROW()-3,$OQ$4:$OQ$40,0)))</f>
        <v/>
      </c>
      <c r="OS30">
        <f>IF(COUNTIF('Buyer Groups'!DG30:EC30,0)+COUNTIF('Buyer Groups'!EE30:EN30,0)&gt;0,0,1)</f>
        <v/>
      </c>
      <c r="OT30">
        <f>IF($DZ$30="",FALSE,SUMPRODUCT(('Final Calculation Sheet'!$X$4:$X$40=$DZ$30)*($OS$6:$OS$42=1))&gt;0)</f>
        <v/>
      </c>
      <c r="OU30">
        <f>$OU$29+--($OT30)</f>
        <v/>
      </c>
      <c r="OV30">
        <f>IF(ROW()-3&gt;MAX($OU$4:$OU$40),"",INDEX($DZ$4:$DZ$40,MATCH(ROW()-3,$OU$4:$OU$40,0)))</f>
        <v/>
      </c>
      <c r="OW30">
        <f>IF(COUNTIF('Buyer Groups'!DG30:ED30,0)+COUNTIF('Buyer Groups'!EF30:EN30,0)&gt;0,0,1)</f>
        <v/>
      </c>
      <c r="OX30">
        <f>IF($EE$30="",FALSE,SUMPRODUCT(('Final Calculation Sheet'!$Y$4:$Y$40=$EE$30)*($OW$6:$OW$42=1))&gt;0)</f>
        <v/>
      </c>
      <c r="OY30">
        <f>$OY$29+--($OX30)</f>
        <v/>
      </c>
      <c r="OZ30">
        <f>IF(ROW()-3&gt;MAX($OY$4:$OY$40),"",INDEX($EE$4:$EE$40,MATCH(ROW()-3,$OY$4:$OY$40,0)))</f>
        <v/>
      </c>
      <c r="PA30">
        <f>IF(COUNTIF('Buyer Groups'!DG30:EE30,0)+COUNTIF('Buyer Groups'!EG30:EN30,0)&gt;0,0,1)</f>
        <v/>
      </c>
      <c r="PB30">
        <f>IF($EJ$30="",FALSE,SUMPRODUCT(('Final Calculation Sheet'!$Z$4:$Z$40=$EJ$30)*($PA$6:$PA$42=1))&gt;0)</f>
        <v/>
      </c>
      <c r="PC30">
        <f>$PC$29+--($PB30)</f>
        <v/>
      </c>
      <c r="PD30">
        <f>IF(ROW()-3&gt;MAX($PC$4:$PC$40),"",INDEX($EJ$4:$EJ$40,MATCH(ROW()-3,$PC$4:$PC$40,0)))</f>
        <v/>
      </c>
      <c r="PE30">
        <f>IF(COUNTIF('Buyer Groups'!DG30:EF30,0)+COUNTIF('Buyer Groups'!EH30:EN30,0)&gt;0,0,1)</f>
        <v/>
      </c>
      <c r="PF30">
        <f>IF($EO$30="",FALSE,SUMPRODUCT(('Final Calculation Sheet'!$AA$4:$AA$40=$EO$30)*($PE$6:$PE$42=1))&gt;0)</f>
        <v/>
      </c>
      <c r="PG30">
        <f>$PG$29+--($PF30)</f>
        <v/>
      </c>
      <c r="PH30">
        <f>IF(ROW()-3&gt;MAX($PG$4:$PG$40),"",INDEX($EO$4:$EO$40,MATCH(ROW()-3,$PG$4:$PG$40,0)))</f>
        <v/>
      </c>
      <c r="PI30">
        <f>IF(COUNTIF('Buyer Groups'!DG30:EG30,0)+COUNTIF('Buyer Groups'!EI30:EN30,0)&gt;0,0,1)</f>
        <v/>
      </c>
      <c r="PJ30">
        <f>IF($ET$30="",FALSE,SUMPRODUCT(('Final Calculation Sheet'!$AB$4:$AB$40=$ET$30)*($PI$6:$PI$42=1))&gt;0)</f>
        <v/>
      </c>
      <c r="PK30">
        <f>$PK$29+--($PJ30)</f>
        <v/>
      </c>
      <c r="PL30">
        <f>IF(ROW()-3&gt;MAX($PK$4:$PK$40),"",INDEX($ET$4:$ET$40,MATCH(ROW()-3,$PK$4:$PK$40,0)))</f>
        <v/>
      </c>
      <c r="PM30">
        <f>IF(COUNTIF('Buyer Groups'!DG30:EH30,0)+COUNTIF('Buyer Groups'!EJ30:EN30,0)&gt;0,0,1)</f>
        <v/>
      </c>
      <c r="PN30">
        <f>IF($EY$30="",FALSE,SUMPRODUCT(('Final Calculation Sheet'!$AC$4:$AC$40=$EY$30)*($PM$6:$PM$42=1))&gt;0)</f>
        <v/>
      </c>
      <c r="PO30">
        <f>$PO$29+--($PN30)</f>
        <v/>
      </c>
      <c r="PP30">
        <f>IF(ROW()-3&gt;MAX($PO$4:$PO$40),"",INDEX($EY$4:$EY$40,MATCH(ROW()-3,$PO$4:$PO$40,0)))</f>
        <v/>
      </c>
      <c r="PQ30">
        <f>IF(COUNTIF('Buyer Groups'!DG30:EI30,0)+COUNTIF('Buyer Groups'!EK30:EN30,0)&gt;0,0,1)</f>
        <v/>
      </c>
      <c r="PR30">
        <f>IF($FD$30="",FALSE,SUMPRODUCT(('Final Calculation Sheet'!$AD$4:$AD$40=$FD$30)*($PQ$6:$PQ$42=1))&gt;0)</f>
        <v/>
      </c>
      <c r="PS30">
        <f>$PS$29+--($PR30)</f>
        <v/>
      </c>
      <c r="PT30">
        <f>IF(ROW()-3&gt;MAX($PS$4:$PS$40),"",INDEX($FD$4:$FD$40,MATCH(ROW()-3,$PS$4:$PS$40,0)))</f>
        <v/>
      </c>
      <c r="PU30">
        <f>IF(COUNTIF('Buyer Groups'!DG30:EJ30,0)+COUNTIF('Buyer Groups'!EL30:EN30,0)&gt;0,0,1)</f>
        <v/>
      </c>
      <c r="PV30">
        <f>IF($FX$30="",FALSE,SUMPRODUCT((IF('Final Calculation Sheet'!$AD$4:$AD$40&lt;=5,"SETTLED","OUTSTANDING")=$FX$30)*($PU$6:$PU$42=1))&gt;0)</f>
        <v/>
      </c>
      <c r="PW30">
        <f>$PW$29+--($PV30)</f>
        <v/>
      </c>
      <c r="PX30">
        <f>IF(ROW()-3&gt;MAX($PW$4:$PW$40),"",INDEX($FX$4:$FX$40,MATCH(ROW()-3,$PW$4:$PW$40,0)))</f>
        <v/>
      </c>
      <c r="PY30">
        <f>IF(COUNTIF('Buyer Groups'!DG30:EK30,0)+COUNTIF('Buyer Groups'!EM30:EN30,0)&gt;0,0,1)</f>
        <v/>
      </c>
      <c r="PZ30">
        <f>IF($FI$30="",FALSE,SUMPRODUCT(('Final Calculation Sheet'!$AF$4:$AF$40=$FI$30)*($PY$6:$PY$42=1))&gt;0)</f>
        <v/>
      </c>
      <c r="QA30">
        <f>$QA$29+--($PZ30)</f>
        <v/>
      </c>
      <c r="QB30">
        <f>IF(ROW()-3&gt;MAX($QA$4:$QA$40),"",INDEX($FI$4:$FI$40,MATCH(ROW()-3,$QA$4:$QA$40,0)))</f>
        <v/>
      </c>
      <c r="QC30">
        <f>IF(COUNTIF('Buyer Groups'!DG30:EL30,0)+COUNTIF('Buyer Groups'!EN30:EN30,0)&gt;0,0,1)</f>
        <v/>
      </c>
      <c r="QD30">
        <f>IF($FN$30="",FALSE,SUMPRODUCT(('Final Calculation Sheet'!$AG$4:$AG$40=$FN$30)*($QC$6:$QC$42=1))&gt;0)</f>
        <v/>
      </c>
      <c r="QE30">
        <f>$QE$29+--($QD30)</f>
        <v/>
      </c>
      <c r="QF30">
        <f>IF(ROW()-3&gt;MAX($QE$4:$QE$40),"",INDEX($FN$4:$FN$40,MATCH(ROW()-3,$QE$4:$QE$40,0)))</f>
        <v/>
      </c>
      <c r="QG30">
        <f>IF(COUNTIF('Buyer Groups'!DG30:EM30,0)&gt;0,0,1)</f>
        <v/>
      </c>
      <c r="QH30">
        <f>IF($FS$30="",FALSE,SUMPRODUCT(('Final Calculation Sheet'!$AH$4:$AH$40=$FS$30)*($QG$6:$QG$42=1))&gt;0)</f>
        <v/>
      </c>
      <c r="QI30">
        <f>$QI$29+--($QH30)</f>
        <v/>
      </c>
      <c r="QJ30">
        <f>IF(ROW()-3&gt;MAX($QI$4:$QI$40),"",INDEX($FS$4:$FS$40,MATCH(ROW()-3,$QI$4:$QI$40,0)))</f>
        <v/>
      </c>
      <c r="QK30" t="str">
        <f>IF('Final Calculation Sheet'!$AH$30="","",'Final Calculation Sheet'!$AH$30)</f>
      </c>
      <c r="QL30" t="str">
        <f>IF(QK30="","",COUNTIFS(QK$4:QK$40,"&lt;"&amp;QK30,QK$4:QK$40,"&lt;&gt;"&amp;"")+COUNTIF(QK$4:QK30,QK30))</f>
      </c>
      <c r="QM30" t="str">
        <f>IF(ROW()-3&gt;COUNTIF(QK$4:QK$40,"&lt;&gt;"&amp;""),"",INDEX(QK$4:QK$40,MATCH(ROW()-3,QL$4:QL$40,0)))</f>
      </c>
      <c r="QN30" t="str">
        <f>=QN29+F(AND(QM30&lt;&gt;"",COUNTIF(QM$4:QM30,QM30)=1),1,0)</f>
      </c>
      <c r="QO30" t="str">
        <f>IF(ROW()-3&gt;MAX(QN$4:QN$40),"",INDEX(QM$4:QM$40,MATCH(ROW()-3,QN$4:QN$40,0)))</f>
      </c>
      <c r="QP30" t="str">
        <f>IF(COUNTIF('Final Calculation Sheet'!$AM30:$BS30,0)&gt;0,0,1)</f>
      </c>
      <c r="QQ30" t="str">
        <f>IF($AI$30="",FALSE,SUMPRODUCT(('Final Calculation Sheet'!$A$4:$A$40=$AI$30)*($QP$4:$QP$40=1))&gt;0)</f>
      </c>
      <c r="QR30" t="str">
        <f>=$QR29+--($QQ30)</f>
      </c>
      <c r="QS30" t="str">
        <f>IF(ROW()-3&gt;MAX($QR$4:$QR$40),"",INDEX($AI$4:$AI$40,MATCH(ROW()-3,$QR$4:$QR$40,0)))</f>
      </c>
      <c r="QT30" t="str">
        <f>IF(COUNTIF('Final Calculation Sheet'!$AL30:$AL30,0)+COUNTIF('Final Calculation Sheet'!$AN30:$BS30,0)&gt;0,0,1)</f>
      </c>
      <c r="QU30" t="str">
        <f>IF($Y$30="",FALSE,SUMPRODUCT(('Final Calculation Sheet'!$B$4:$B$40=$Y$30)*($QT$4:$QT$40=1))&gt;0)</f>
      </c>
      <c r="QV30" t="str">
        <f>=$QV29+--($QU30)</f>
      </c>
      <c r="QW30" t="str">
        <f>IF(ROW()-3&gt;MAX($QV$4:$QV$40),"",INDEX($Y$4:$Y$40,MATCH(ROW()-3,$QV$4:$QV$40,0)))</f>
      </c>
      <c r="QX30" t="str">
        <f>IF(COUNTIF('Final Calculation Sheet'!$AL30:$AM30,0)+COUNTIF('Final Calculation Sheet'!$AO30:$BS30,0)&gt;0,0,1)</f>
      </c>
      <c r="QY30" t="str">
        <f>IF($AS$30="",FALSE,SUMPRODUCT(('Final Calculation Sheet'!$C$4:$C$40=$AS$30)*($QX$4:$QX$40=1))&gt;0)</f>
      </c>
      <c r="QZ30" t="str">
        <f>=$QZ29+--($QY30)</f>
      </c>
      <c r="RA30" t="str">
        <f>IF(ROW()-3&gt;MAX($QZ$4:$QZ$40),"",INDEX($AS$4:$AS$40,MATCH(ROW()-3,$QZ$4:$QZ$40,0)))</f>
      </c>
      <c r="RB30" t="str">
        <f>IF(COUNTIF('Final Calculation Sheet'!$AL30:$AN30,0)+COUNTIF('Final Calculation Sheet'!$AP30:$BS30,0)&gt;0,0,1)</f>
      </c>
      <c r="RC30" t="str">
        <f>IF($AD$30="",FALSE,SUMPRODUCT(('Final Calculation Sheet'!$D$4:$D$40=$AD$30)*($RB$4:$RB$40=1))&gt;0)</f>
      </c>
      <c r="RD30" t="str">
        <f>=$RD29+--($RC30)</f>
      </c>
      <c r="RE30" t="str">
        <f>IF(ROW()-3&gt;MAX($RD$4:$RD$40),"",INDEX($AD$4:$AD$40,MATCH(ROW()-3,$RD$4:$RD$40,0)))</f>
      </c>
      <c r="RF30" t="str">
        <f>IF(COUNTIF('Final Calculation Sheet'!$AL30:$AO30,0)+COUNTIF('Final Calculation Sheet'!$AQ30:$BS30,0)&gt;0,0,1)</f>
      </c>
      <c r="RG30" t="str">
        <f>IF($AN$30="",FALSE,SUMPRODUCT(('Final Calculation Sheet'!$E$4:$E$40=$AN$30)*($RF$4:$RF$40=1))&gt;0)</f>
      </c>
      <c r="RH30" t="str">
        <f>=$RH29+--($RG30)</f>
      </c>
      <c r="RI30" t="str">
        <f>IF(ROW()-3&gt;MAX($RH$4:$RH$40),"",INDEX($AN$4:$AN$40,MATCH(ROW()-3,$RH$4:$RH$40,0)))</f>
      </c>
      <c r="RJ30" t="str">
        <f>IF(COUNTIF('Final Calculation Sheet'!$AL30:$AP30,0)+COUNTIF('Final Calculation Sheet'!$AR30:$BS30,0)&gt;0,0,1)</f>
      </c>
      <c r="RK30" t="str">
        <f>IF($O$30="",FALSE,SUMPRODUCT(('Final Calculation Sheet'!$F$4:$F$40=$O$30)*($RJ$4:$RJ$40=1))&gt;0)</f>
      </c>
      <c r="RL30" t="str">
        <f>=$RL29+--($RK30)</f>
      </c>
      <c r="RM30" t="str">
        <f>IF(ROW()-3&gt;MAX($RL$4:$RL$40),"",INDEX($O$4:$O$40,MATCH(ROW()-3,$RL$4:$RL$40,0)))</f>
      </c>
      <c r="RN30" t="str">
        <f>IF(COUNTIF('Final Calculation Sheet'!$AL30:$AQ30,0)+COUNTIF('Final Calculation Sheet'!$AS30:$BS30,0)&gt;0,0,1)</f>
      </c>
      <c r="RO30" t="str">
        <f>IF($T$30="",FALSE,SUMPRODUCT(('Final Calculation Sheet'!$G$4:$G$40=$T$30)*($RN$4:$RN$40=1))&gt;0)</f>
      </c>
      <c r="RP30" t="str">
        <f>=$RP29+--($RO30)</f>
      </c>
      <c r="RQ30" t="str">
        <f>IF(ROW()-3&gt;MAX($RP$4:$RP$40),"",INDEX($T$4:$T$40,MATCH(ROW()-3,$RP$4:$RP$40,0)))</f>
      </c>
      <c r="RR30" t="str">
        <f>IF(COUNTIF('Final Calculation Sheet'!$AL30:$AR30,0)+COUNTIF('Final Calculation Sheet'!$AT30:$BS30,0)&gt;0,0,1)</f>
      </c>
      <c r="RS30" t="str">
        <f>IF($AX$30="",FALSE,SUMPRODUCT(('Final Calculation Sheet'!$H$4:$H$40=$AX$30)*($RR$4:$RR$40=1))&gt;0)</f>
      </c>
      <c r="RT30" t="str">
        <f>=$RT29+--($RS30)</f>
      </c>
      <c r="RU30" t="str">
        <f>IF(ROW()-3&gt;MAX($RT$4:$RT$40),"",INDEX($AX$4:$AX$40,MATCH(ROW()-3,$RT$4:$RT$40,0)))</f>
      </c>
      <c r="RV30" t="str">
        <f>IF(COUNTIF('Final Calculation Sheet'!$AL30:$AS30,0)+COUNTIF('Final Calculation Sheet'!$AU30:$BS30,0)&gt;0,0,1)</f>
      </c>
      <c r="RW30" t="str">
        <f>IF($BC$30="",FALSE,SUMPRODUCT(('Final Calculation Sheet'!$I$4:$I$40=$BC$30)*($RV$4:$RV$40=1))&gt;0)</f>
      </c>
      <c r="RX30" t="str">
        <f>=$RX29+--($RW30)</f>
      </c>
      <c r="RY30" t="str">
        <f>IF(ROW()-3&gt;MAX($RX$4:$RX$40),"",INDEX($BC$4:$BC$40,MATCH(ROW()-3,$RX$4:$RX$40,0)))</f>
      </c>
      <c r="RZ30" t="str">
        <f>IF(COUNTIF('Final Calculation Sheet'!$AL30:$AT30,0)+COUNTIF('Final Calculation Sheet'!$AV30:$BS30,0)&gt;0,0,1)</f>
      </c>
      <c r="SA30" t="str">
        <f>IF($BH$30="",FALSE,SUMPRODUCT(('Final Calculation Sheet'!$J$4:$J$40=$BH$30)*($RZ$4:$RZ$40=1))&gt;0)</f>
      </c>
      <c r="SB30" t="str">
        <f>=$SB29+--($SA30)</f>
      </c>
      <c r="SC30" t="str">
        <f>IF(ROW()-3&gt;MAX($SB$4:$SB$40),"",INDEX($BH$4:$BH$40,MATCH(ROW()-3,$SB$4:$SB$40,0)))</f>
      </c>
      <c r="SD30" t="str">
        <f>IF(COUNTIF('Final Calculation Sheet'!$AL30:$AU30,0)+COUNTIF('Final Calculation Sheet'!$AW30:$BS30,0)&gt;0,0,1)</f>
      </c>
      <c r="SE30" t="str">
        <f>IF($BM$30="",FALSE,SUMPRODUCT(('Final Calculation Sheet'!$K$4:$K$40=$BM$30)*($SD$4:$SD$40=1))&gt;0)</f>
      </c>
      <c r="SF30" t="str">
        <f>=$SF29+--($SE30)</f>
      </c>
      <c r="SG30" t="str">
        <f>IF(ROW()-3&gt;MAX($SF$4:$SF$40),"",INDEX($BM$4:$BM$40,MATCH(ROW()-3,$SF$4:$SF$40,0)))</f>
      </c>
      <c r="SH30" t="str">
        <f>IF(COUNTIF('Final Calculation Sheet'!$AL30:$AV30,0)+COUNTIF('Final Calculation Sheet'!$AX30:$BS30,0)&gt;0,0,1)</f>
      </c>
      <c r="SI30" t="str">
        <f>IF($BR$30="",FALSE,SUMPRODUCT(('Final Calculation Sheet'!$L$4:$L$40=$BR$30)*($SH$4:$SH$40=1))&gt;0)</f>
      </c>
      <c r="SJ30" t="str">
        <f>=$SJ29+--($SI30)</f>
      </c>
      <c r="SK30" t="str">
        <f>IF(ROW()-3&gt;MAX($SJ$4:$SJ$40),"",INDEX($BR$4:$BR$40,MATCH(ROW()-3,$SJ$4:$SJ$40,0)))</f>
      </c>
      <c r="SL30" t="str">
        <f>IF(COUNTIF('Final Calculation Sheet'!$AL30:$AW30,0)+COUNTIF('Final Calculation Sheet'!$AY30:$BS30,0)&gt;0,0,1)</f>
      </c>
      <c r="SM30" t="str">
        <f>IF($BW$30="",FALSE,SUMPRODUCT(('Final Calculation Sheet'!$M$4:$M$40=$BW$30)*($SL$4:$SL$40=1))&gt;0)</f>
      </c>
      <c r="SN30" t="str">
        <f>=$SN29+--($SM30)</f>
      </c>
      <c r="SO30" t="str">
        <f>IF(ROW()-3&gt;MAX($SN$4:$SN$40),"",INDEX($BW$4:$BW$40,MATCH(ROW()-3,$SN$4:$SN$40,0)))</f>
      </c>
      <c r="SP30" t="str">
        <f>IF(COUNTIF('Final Calculation Sheet'!$AL30:$AX30,0)+COUNTIF('Final Calculation Sheet'!$AZ30:$BS30,0)&gt;0,0,1)</f>
      </c>
      <c r="SQ30" t="str">
        <f>IF($CB$30="",FALSE,SUMPRODUCT(('Final Calculation Sheet'!$N$4:$N$40=$CB$30)*($SP$4:$SP$40=1))&gt;0)</f>
      </c>
      <c r="SR30" t="str">
        <f>=$SR29+--($SQ30)</f>
      </c>
      <c r="SS30" t="str">
        <f>IF(ROW()-3&gt;MAX($SR$4:$SR$40),"",INDEX($CB$4:$CB$40,MATCH(ROW()-3,$SR$4:$SR$40,0)))</f>
      </c>
      <c r="ST30" t="str">
        <f>IF(COUNTIF('Final Calculation Sheet'!$AL30:$AY30,0)+COUNTIF('Final Calculation Sheet'!$BA30:$BS30,0)&gt;0,0,1)</f>
      </c>
      <c r="SU30" t="str">
        <f>IF($CG$30="",FALSE,SUMPRODUCT(('Final Calculation Sheet'!$O$4:$O$40=$CG$30)*($ST$4:$ST$40=1))&gt;0)</f>
      </c>
      <c r="SV30" t="str">
        <f>=$SV29+--($SU30)</f>
      </c>
      <c r="SW30" t="str">
        <f>IF(ROW()-3&gt;MAX($SV$4:$SV$40),"",INDEX($CG$4:$CG$40,MATCH(ROW()-3,$SV$4:$SV$40,0)))</f>
      </c>
      <c r="SX30" t="str">
        <f>IF(COUNTIF('Final Calculation Sheet'!$AL30:$AZ30,0)+COUNTIF('Final Calculation Sheet'!$BB30:$BS30,0)&gt;0,0,1)</f>
      </c>
      <c r="SY30" t="str">
        <f>IF($CL$30="",FALSE,SUMPRODUCT(('Final Calculation Sheet'!$P$4:$P$40=$CL$30)*($SX$4:$SX$40=1))&gt;0)</f>
      </c>
      <c r="SZ30" t="str">
        <f>=$SZ29+--($SY30)</f>
      </c>
      <c r="TA30" t="str">
        <f>IF(ROW()-3&gt;MAX($SZ$4:$SZ$40),"",INDEX($CL$4:$CL$40,MATCH(ROW()-3,$SZ$4:$SZ$40,0)))</f>
      </c>
      <c r="TB30" t="str">
        <f>IF(COUNTIF('Final Calculation Sheet'!$AL30:$BA30,0)+COUNTIF('Final Calculation Sheet'!$BC30:$BS30,0)&gt;0,0,1)</f>
      </c>
      <c r="TC30" t="str">
        <f>IF($CQ$30="",FALSE,SUMPRODUCT(('Final Calculation Sheet'!$Q$4:$Q$40=$CQ$30)*($TB$4:$TB$40=1))&gt;0)</f>
      </c>
      <c r="TD30" t="str">
        <f>=$TD29+--($TC30)</f>
      </c>
      <c r="TE30" t="str">
        <f>IF(ROW()-3&gt;MAX($TD$4:$TD$40),"",INDEX($CQ$4:$CQ$40,MATCH(ROW()-3,$TD$4:$TD$40,0)))</f>
      </c>
      <c r="TF30" t="str">
        <f>IF(COUNTIF('Final Calculation Sheet'!$AL30:$BB30,0)+COUNTIF('Final Calculation Sheet'!$BD30:$BS30,0)&gt;0,0,1)</f>
      </c>
      <c r="TG30" t="str">
        <f>IF($CV$30="",FALSE,SUMPRODUCT(('Final Calculation Sheet'!$R$4:$R$40=$CV$30)*($TF$4:$TF$40=1))&gt;0)</f>
      </c>
      <c r="TH30" t="str">
        <f>=$TH29+--($TG30)</f>
      </c>
      <c r="TI30" t="str">
        <f>IF(ROW()-3&gt;MAX($TH$4:$TH$40),"",INDEX($CV$4:$CV$40,MATCH(ROW()-3,$TH$4:$TH$40,0)))</f>
      </c>
      <c r="TJ30" t="str">
        <f>IF(COUNTIF('Final Calculation Sheet'!$AL30:$BC30,0)+COUNTIF('Final Calculation Sheet'!$BE30:$BS30,0)&gt;0,0,1)</f>
      </c>
      <c r="TK30" t="str">
        <f>IF($DA$30="",FALSE,SUMPRODUCT(('Final Calculation Sheet'!$S$4:$S$40=$DA$30)*($TJ$4:$TJ$40=1))&gt;0)</f>
      </c>
      <c r="TL30" t="str">
        <f>=$TL29+--($TK30)</f>
      </c>
      <c r="TM30" t="str">
        <f>IF(ROW()-3&gt;MAX($TL$4:$TL$40),"",INDEX($DA$4:$DA$40,MATCH(ROW()-3,$TL$4:$TL$40,0)))</f>
      </c>
      <c r="TN30" t="str">
        <f>IF(COUNTIF('Final Calculation Sheet'!$AL30:$BD30,0)+COUNTIF('Final Calculation Sheet'!$BF30:$BS30,0)&gt;0,0,1)</f>
      </c>
      <c r="TO30" t="str">
        <f>IF($DF$30="",FALSE,SUMPRODUCT(('Final Calculation Sheet'!$T$4:$T$40=$DF$30)*($TN$4:$TN$40=1))&gt;0)</f>
      </c>
      <c r="TP30" t="str">
        <f>=$TP29+--($TO30)</f>
      </c>
      <c r="TQ30" t="str">
        <f>IF(ROW()-3&gt;MAX($TP$4:$TP$40),"",INDEX($DF$4:$DF$40,MATCH(ROW()-3,$TP$4:$TP$40,0)))</f>
      </c>
      <c r="TR30" t="str">
        <f>IF(COUNTIF('Final Calculation Sheet'!$AL30:$BE30,0)+COUNTIF('Final Calculation Sheet'!$BG30:$BS30,0)&gt;0,0,1)</f>
      </c>
      <c r="TS30" t="str">
        <f>IF($DK$30="",FALSE,SUMPRODUCT(('Final Calculation Sheet'!$U$4:$U$40=$DK$30)*($TR$4:$TR$40=1))&gt;0)</f>
      </c>
      <c r="TT30" t="str">
        <f>=$TT29+--($TS30)</f>
      </c>
      <c r="TU30" t="str">
        <f>IF(ROW()-3&gt;MAX($TT$4:$TT$40),"",INDEX($DK$4:$DK$40,MATCH(ROW()-3,$TT$4:$TT$40,0)))</f>
      </c>
      <c r="TV30" t="str">
        <f>IF(COUNTIF('Final Calculation Sheet'!$AL30:$BF30,0)+COUNTIF('Final Calculation Sheet'!$BH30:$BS30,0)&gt;0,0,1)</f>
      </c>
      <c r="TW30" t="str">
        <f>IF($DP$30="",FALSE,SUMPRODUCT(('Final Calculation Sheet'!$V$4:$V$40=$DP$30)*($TV$4:$TV$40=1))&gt;0)</f>
      </c>
      <c r="TX30" t="str">
        <f>=$TX29+--($TW30)</f>
      </c>
      <c r="TY30" t="str">
        <f>IF(ROW()-3&gt;MAX($TX$4:$TX$40),"",INDEX($DP$4:$DP$40,MATCH(ROW()-3,$TX$4:$TX$40,0)))</f>
      </c>
      <c r="TZ30" t="str">
        <f>IF(COUNTIF('Final Calculation Sheet'!$AL30:$BG30,0)+COUNTIF('Final Calculation Sheet'!$BI30:$BS30,0)&gt;0,0,1)</f>
      </c>
      <c r="UA30" t="str">
        <f>IF($DU$30="",FALSE,SUMPRODUCT(('Final Calculation Sheet'!$W$4:$W$40=$DU$30)*($TZ$4:$TZ$40=1))&gt;0)</f>
      </c>
      <c r="UB30" t="str">
        <f>=$UB29+--($UA30)</f>
      </c>
      <c r="UC30" t="str">
        <f>IF(ROW()-3&gt;MAX($UB$4:$UB$40),"",INDEX($DU$4:$DU$40,MATCH(ROW()-3,$UB$4:$UB$40,0)))</f>
      </c>
      <c r="UD30" t="str">
        <f>IF(COUNTIF('Final Calculation Sheet'!$AL30:$BH30,0)+COUNTIF('Final Calculation Sheet'!$BJ30:$BS30,0)&gt;0,0,1)</f>
      </c>
      <c r="UE30" t="str">
        <f>IF($DZ$30="",FALSE,SUMPRODUCT(('Final Calculation Sheet'!$X$4:$X$40=$DZ$30)*($UD$4:$UD$40=1))&gt;0)</f>
      </c>
      <c r="UF30" t="str">
        <f>=$UF29+--($UE30)</f>
      </c>
      <c r="UG30" t="str">
        <f>IF(ROW()-3&gt;MAX($UF$4:$UF$40),"",INDEX($DZ$4:$DZ$40,MATCH(ROW()-3,$UF$4:$UF$40,0)))</f>
      </c>
      <c r="UH30" t="str">
        <f>IF(COUNTIF('Final Calculation Sheet'!$AL30:$BI30,0)+COUNTIF('Final Calculation Sheet'!$BK30:$BS30,0)&gt;0,0,1)</f>
      </c>
      <c r="UI30" t="str">
        <f>IF($EE$30="",FALSE,SUMPRODUCT(('Final Calculation Sheet'!$Y$4:$Y$40=$EE$30)*($UH$4:$UH$40=1))&gt;0)</f>
      </c>
      <c r="UJ30" t="str">
        <f>=$UJ29+--($UI30)</f>
      </c>
      <c r="UK30" t="str">
        <f>IF(ROW()-3&gt;MAX($UJ$4:$UJ$40),"",INDEX($EE$4:$EE$40,MATCH(ROW()-3,$UJ$4:$UJ$40,0)))</f>
      </c>
      <c r="UL30" t="str">
        <f>IF(COUNTIF('Final Calculation Sheet'!$AL30:$BJ30,0)+COUNTIF('Final Calculation Sheet'!$BL30:$BS30,0)&gt;0,0,1)</f>
      </c>
      <c r="UM30" t="str">
        <f>IF($EJ$30="",FALSE,SUMPRODUCT(('Final Calculation Sheet'!$Z$4:$Z$40=$EJ$30)*($UL$4:$UL$40=1))&gt;0)</f>
      </c>
      <c r="UN30" t="str">
        <f>=$UN29+--($UM30)</f>
      </c>
      <c r="UO30" t="str">
        <f>IF(ROW()-3&gt;MAX($UN$4:$UN$40),"",INDEX($EJ$4:$EJ$40,MATCH(ROW()-3,$UN$4:$UN$40,0)))</f>
      </c>
      <c r="UP30" t="str">
        <f>IF(COUNTIF('Final Calculation Sheet'!$AL30:$BK30,0)+COUNTIF('Final Calculation Sheet'!$BM30:$BS30,0)&gt;0,0,1)</f>
      </c>
      <c r="UQ30" t="str">
        <f>IF($EO$30="",FALSE,SUMPRODUCT(('Final Calculation Sheet'!$AA$4:$AA$40=$EO$30)*($UP$4:$UP$40=1))&gt;0)</f>
      </c>
      <c r="UR30" t="str">
        <f>=$UR29+--($UQ30)</f>
      </c>
      <c r="US30" t="str">
        <f>IF(ROW()-3&gt;MAX($UR$4:$UR$40),"",INDEX($EO$4:$EO$40,MATCH(ROW()-3,$UR$4:$UR$40,0)))</f>
      </c>
      <c r="UT30" t="str">
        <f>IF(COUNTIF('Final Calculation Sheet'!$AL30:$BL30,0)+COUNTIF('Final Calculation Sheet'!$BN30:$BS30,0)&gt;0,0,1)</f>
      </c>
      <c r="UU30" t="str">
        <f>IF($ET$30="",FALSE,SUMPRODUCT(('Final Calculation Sheet'!$AB$4:$AB$40=$ET$30)*($UT$4:$UT$40=1))&gt;0)</f>
      </c>
      <c r="UV30" t="str">
        <f>=$UV29+--($UU30)</f>
      </c>
      <c r="UW30" t="str">
        <f>IF(ROW()-3&gt;MAX($UV$4:$UV$40),"",INDEX($ET$4:$ET$40,MATCH(ROW()-3,$UV$4:$UV$40,0)))</f>
      </c>
      <c r="UX30" t="str">
        <f>IF(COUNTIF('Final Calculation Sheet'!$AL30:$BM30,0)+COUNTIF('Final Calculation Sheet'!$BO30:$BS30,0)&gt;0,0,1)</f>
      </c>
      <c r="UY30" t="str">
        <f>IF($EY$30="",FALSE,SUMPRODUCT(('Final Calculation Sheet'!$AC$4:$AC$40=$EY$30)*($UX$4:$UX$40=1))&gt;0)</f>
      </c>
      <c r="UZ30" t="str">
        <f>=$UZ29+--($UY30)</f>
      </c>
      <c r="VA30" t="str">
        <f>IF(ROW()-3&gt;MAX($UZ$4:$UZ$40),"",INDEX($EY$4:$EY$40,MATCH(ROW()-3,$UZ$4:$UZ$40,0)))</f>
      </c>
      <c r="VB30" t="str">
        <f>IF(COUNTIF('Final Calculation Sheet'!$AL30:$BN30,0)+COUNTIF('Final Calculation Sheet'!$BP30:$BS30,0)&gt;0,0,1)</f>
      </c>
      <c r="VC30" t="str">
        <f>IF($FD$30="",FALSE,SUMPRODUCT(('Final Calculation Sheet'!$AD$4:$AD$40=$FD$30)*($VB$4:$VB$40=1))&gt;0)</f>
      </c>
      <c r="VD30" t="str">
        <f>=$VD29+--($VC30)</f>
      </c>
      <c r="VE30" t="str">
        <f>IF(ROW()-3&gt;MAX($VD$4:$VD$40),"",INDEX($FD$4:$FD$40,MATCH(ROW()-3,$VD$4:$VD$40,0)))</f>
      </c>
      <c r="VF30" t="str">
        <f>IF(COUNTIF('Final Calculation Sheet'!$AL30:$BO30,0)+COUNTIF('Final Calculation Sheet'!$BQ30:$BS30,0)&gt;0,0,1)</f>
      </c>
      <c r="VG30" t="str">
        <f>IF($FI$30="",FALSE,SUMPRODUCT(('Final Calculation Sheet'!$AE$4:$AE$40=$FI$30)*($VF$4:$VF$40=1))&gt;0)</f>
      </c>
      <c r="VH30" t="str">
        <f>=$VH29+--($VG30)</f>
      </c>
      <c r="VI30" t="str">
        <f>IF(ROW()-3&gt;MAX($VH$4:$VH$40),"",INDEX($FI$4:$FI$40,MATCH(ROW()-3,$VH$4:$VH$40,0)))</f>
      </c>
      <c r="VJ30" t="str">
        <f>IF(COUNTIF('Final Calculation Sheet'!$AL30:$BP30,0)+COUNTIF('Final Calculation Sheet'!$BR30:$BS30,0)&gt;0,0,1)</f>
      </c>
      <c r="VK30" t="str">
        <f>IF($FN$30="",FALSE,SUMPRODUCT(('Final Calculation Sheet'!$AF$4:$AF$40=$FN$30)*($VJ$4:$VJ$40=1))&gt;0)</f>
      </c>
      <c r="VL30" t="str">
        <f>=$VL29+--($VK30)</f>
      </c>
      <c r="VM30" t="str">
        <f>IF(ROW()-3&gt;MAX($VL$4:$VL$40),"",INDEX($FN$4:$FN$40,MATCH(ROW()-3,$VL$4:$VL$40,0)))</f>
      </c>
      <c r="VN30" t="str">
        <f>IF(COUNTIF('Final Calculation Sheet'!$AL30:$BQ30,0)+COUNTIF('Final Calculation Sheet'!$BS30:$BS30,0)&gt;0,0,1)</f>
      </c>
      <c r="VO30" t="str">
        <f>IF($FS$30="",FALSE,SUMPRODUCT(('Final Calculation Sheet'!$AG$4:$AG$40=$FS$30)*($VN$4:$VN$40=1))&gt;0)</f>
      </c>
      <c r="VP30" t="str">
        <f>=$VP29+--($VO30)</f>
      </c>
      <c r="VQ30" t="str">
        <f>IF(ROW()-3&gt;MAX($VP$4:$VP$40),"",INDEX($FS$4:$FS$40,MATCH(ROW()-3,$VP$4:$VP$40,0)))</f>
      </c>
      <c r="VR30" t="str">
        <f>IF(COUNTIF('Final Calculation Sheet'!$AL30:$BR30,0)&gt;0,0,1)</f>
      </c>
      <c r="VS30" t="str">
        <f>IF($QO$30="",FALSE,SUMPRODUCT(('Final Calculation Sheet'!$AH$4:$AH$40=$QO$30)*($VR$4:$VR$40=1))&gt;0)</f>
      </c>
      <c r="VT30" t="str">
        <f>=$VT29+--($VS30)</f>
      </c>
      <c r="VU30" t="str">
        <f>IF(ROW()-3&gt;MAX($VT$4:$VT$40),"",INDEX($QO$4:$QO$40,MATCH(ROW()-3,$VT$4:$VT$40,0)))</f>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IF(ROW()-3&gt;MAX($LC$4:$LC$40),"",INDEX($FS$4:$FS$40,MATCH(ROW()-3,$LC$4:$LC$40,0)))</f>
        <v/>
      </c>
      <c r="LE31">
        <f>IF(COUNTIF('Buyer Groups'!DH31:EN31,0)&gt;0,0,1)</f>
        <v/>
      </c>
      <c r="LF31">
        <f>IF($O$31="",FALSE,SUMPRODUCT(('Final Calculation Sheet'!$F$4:$F$40=$O$31)*($LE$6:$LE$42=1))&gt;0)</f>
        <v/>
      </c>
      <c r="LG31">
        <f>$LG$30+--($LF31)</f>
        <v/>
      </c>
      <c r="LH31">
        <f>IF(ROW()-3&gt;MAX($LG$4:$LG$40),"",INDEX($O$4:$O$40,MATCH(ROW()-3,$LG$4:$LG$40,0)))</f>
        <v/>
      </c>
      <c r="LI31">
        <f>IF(COUNTIF('Buyer Groups'!DG31:DG31,0)+COUNTIF('Buyer Groups'!DI31:EN31,0)&gt;0,0,1)</f>
        <v/>
      </c>
      <c r="LJ31">
        <f>IF($T$31="",FALSE,SUMPRODUCT(('Final Calculation Sheet'!$G$4:$G$40=$T$31)*($LI$6:$LI$42=1))&gt;0)</f>
        <v/>
      </c>
      <c r="LK31">
        <f>$LK$30+--($LJ31)</f>
        <v/>
      </c>
      <c r="LL31">
        <f>IF(ROW()-3&gt;MAX($LK$4:$LK$40),"",INDEX($T$4:$T$40,MATCH(ROW()-3,$LK$4:$LK$40,0)))</f>
        <v/>
      </c>
      <c r="LM31">
        <f>IF(COUNTIF('Buyer Groups'!DG31:DH31,0)+COUNTIF('Buyer Groups'!DJ31:EN31,0)&gt;0,0,1)</f>
        <v/>
      </c>
      <c r="LN31">
        <f>IF($Y$31="",FALSE,SUMPRODUCT(('Final Calculation Sheet'!$B$4:$B$40=$Y$31)*($LM$6:$LM$42=1))&gt;0)</f>
        <v/>
      </c>
      <c r="LO31">
        <f>$LO$30+--($LN31)</f>
        <v/>
      </c>
      <c r="LP31">
        <f>IF(ROW()-3&gt;MAX($LO$4:$LO$40),"",INDEX($Y$4:$Y$40,MATCH(ROW()-3,$LO$4:$LO$40,0)))</f>
        <v/>
      </c>
      <c r="LQ31">
        <f>IF(COUNTIF('Buyer Groups'!DG31:DI31,0)+COUNTIF('Buyer Groups'!DK31:EN31,0)&gt;0,0,1)</f>
        <v/>
      </c>
      <c r="LR31">
        <f>IF($AD$31="",FALSE,SUMPRODUCT(('Final Calculation Sheet'!$D$4:$D$40=$AD$31)*($LQ$6:$LQ$42=1))&gt;0)</f>
        <v/>
      </c>
      <c r="LS31">
        <f>$LS$30+--($LR31)</f>
        <v/>
      </c>
      <c r="LT31">
        <f>IF(ROW()-3&gt;MAX($LS$4:$LS$40),"",INDEX($AD$4:$AD$40,MATCH(ROW()-3,$LS$4:$LS$40,0)))</f>
        <v/>
      </c>
      <c r="LU31">
        <f>IF(COUNTIF('Buyer Groups'!DG31:DJ31,0)+COUNTIF('Buyer Groups'!DL31:EN31,0)&gt;0,0,1)</f>
        <v/>
      </c>
      <c r="LV31">
        <f>IF($AI$31="",FALSE,SUMPRODUCT(('Final Calculation Sheet'!$A$4:$A$40=$AI$31)*($LU$6:$LU$42=1))&gt;0)</f>
        <v/>
      </c>
      <c r="LW31">
        <f>$LW$30+--($LV31)</f>
        <v/>
      </c>
      <c r="LX31">
        <f>IF(ROW()-3&gt;MAX($LW$4:$LW$40),"",INDEX($AI$4:$AI$40,MATCH(ROW()-3,$LW$4:$LW$40,0)))</f>
        <v/>
      </c>
      <c r="LY31">
        <f>IF(COUNTIF('Buyer Groups'!DG31:DK31,0)+COUNTIF('Buyer Groups'!DM31:EN31,0)&gt;0,0,1)</f>
        <v/>
      </c>
      <c r="LZ31">
        <f>IF($AN$31="",FALSE,SUMPRODUCT(('Final Calculation Sheet'!$E$4:$E$40=$AN$31)*($LY$6:$LY$42=1))&gt;0)</f>
        <v/>
      </c>
      <c r="MA31">
        <f>$MA$30+--($LZ31)</f>
        <v/>
      </c>
      <c r="MB31">
        <f>IF(ROW()-3&gt;MAX($MA$4:$MA$40),"",INDEX($AN$4:$AN$40,MATCH(ROW()-3,$MA$4:$MA$40,0)))</f>
        <v/>
      </c>
      <c r="MC31">
        <f>IF(COUNTIF('Buyer Groups'!DG31:DL31,0)+COUNTIF('Buyer Groups'!DN31:EN31,0)&gt;0,0,1)</f>
        <v/>
      </c>
      <c r="MD31">
        <f>IF($AS$31="",FALSE,SUMPRODUCT(('Final Calculation Sheet'!$C$4:$C$40=$AS$31)*($MC$6:$MC$42=1))&gt;0)</f>
        <v/>
      </c>
      <c r="ME31">
        <f>$ME$30+--($MD31)</f>
        <v/>
      </c>
      <c r="MF31">
        <f>IF(ROW()-3&gt;MAX($ME$4:$ME$40),"",INDEX($AS$4:$AS$40,MATCH(ROW()-3,$ME$4:$ME$40,0)))</f>
        <v/>
      </c>
      <c r="MG31">
        <f>IF(COUNTIF('Buyer Groups'!DG31:DM31,0)+COUNTIF('Buyer Groups'!DO31:EN31,0)&gt;0,0,1)</f>
        <v/>
      </c>
      <c r="MH31">
        <f>IF($AX$31="",FALSE,SUMPRODUCT(('Final Calculation Sheet'!$H$4:$H$40=$AX$31)*($MG$6:$MG$42=1))&gt;0)</f>
        <v/>
      </c>
      <c r="MI31">
        <f>$MI$30+--($MH31)</f>
        <v/>
      </c>
      <c r="MJ31">
        <f>IF(ROW()-3&gt;MAX($MI$4:$MI$40),"",INDEX($AX$4:$AX$40,MATCH(ROW()-3,$MI$4:$MI$40,0)))</f>
        <v/>
      </c>
      <c r="MK31">
        <f>IF(COUNTIF('Buyer Groups'!DG31:DN31,0)+COUNTIF('Buyer Groups'!DP31:EN31,0)&gt;0,0,1)</f>
        <v/>
      </c>
      <c r="ML31">
        <f>IF($BC$31="",FALSE,SUMPRODUCT(('Final Calculation Sheet'!$I$4:$I$40=$BC$31)*($MK$6:$MK$42=1))&gt;0)</f>
        <v/>
      </c>
      <c r="MM31">
        <f>$MM$30+--($ML31)</f>
        <v/>
      </c>
      <c r="MN31">
        <f>IF(ROW()-3&gt;MAX($MM$4:$MM$40),"",INDEX($BC$4:$BC$40,MATCH(ROW()-3,$MM$4:$MM$40,0)))</f>
        <v/>
      </c>
      <c r="MO31">
        <f>IF(COUNTIF('Buyer Groups'!DG31:DO31,0)+COUNTIF('Buyer Groups'!DQ31:EN31,0)&gt;0,0,1)</f>
        <v/>
      </c>
      <c r="MP31">
        <f>IF($BH$31="",FALSE,SUMPRODUCT(('Final Calculation Sheet'!$J$4:$J$40=$BH$31)*($MO$6:$MO$42=1))&gt;0)</f>
        <v/>
      </c>
      <c r="MQ31">
        <f>$MQ$30+--($MP31)</f>
        <v/>
      </c>
      <c r="MR31">
        <f>IF(ROW()-3&gt;MAX($MQ$4:$MQ$40),"",INDEX($BH$4:$BH$40,MATCH(ROW()-3,$MQ$4:$MQ$40,0)))</f>
        <v/>
      </c>
      <c r="MS31">
        <f>IF(COUNTIF('Buyer Groups'!DG31:DP31,0)+COUNTIF('Buyer Groups'!DR31:EN31,0)&gt;0,0,1)</f>
        <v/>
      </c>
      <c r="MT31">
        <f>IF($BM$31="",FALSE,SUMPRODUCT(('Final Calculation Sheet'!$K$4:$K$40=$BM$31)*($MS$6:$MS$42=1))&gt;0)</f>
        <v/>
      </c>
      <c r="MU31">
        <f>$MU$30+--($MT31)</f>
        <v/>
      </c>
      <c r="MV31">
        <f>IF(ROW()-3&gt;MAX($MU$4:$MU$40),"",INDEX($BM$4:$BM$40,MATCH(ROW()-3,$MU$4:$MU$40,0)))</f>
        <v/>
      </c>
      <c r="MW31">
        <f>IF(COUNTIF('Buyer Groups'!DG31:DQ31,0)+COUNTIF('Buyer Groups'!DS31:EN31,0)&gt;0,0,1)</f>
        <v/>
      </c>
      <c r="MX31">
        <f>IF($BR$31="",FALSE,SUMPRODUCT(('Final Calculation Sheet'!$L$4:$L$40=$BR$31)*($MW$6:$MW$42=1))&gt;0)</f>
        <v/>
      </c>
      <c r="MY31">
        <f>$MY$30+--($MX31)</f>
        <v/>
      </c>
      <c r="MZ31">
        <f>IF(ROW()-3&gt;MAX($MY$4:$MY$40),"",INDEX($BR$4:$BR$40,MATCH(ROW()-3,$MY$4:$MY$40,0)))</f>
        <v/>
      </c>
      <c r="NA31">
        <f>IF(COUNTIF('Buyer Groups'!DG31:DR31,0)+COUNTIF('Buyer Groups'!DT31:EN31,0)&gt;0,0,1)</f>
        <v/>
      </c>
      <c r="NB31">
        <f>IF($BW$31="",FALSE,SUMPRODUCT(('Final Calculation Sheet'!$M$4:$M$40=$BW$31)*($NA$6:$NA$42=1))&gt;0)</f>
        <v/>
      </c>
      <c r="NC31">
        <f>$NC$30+--($NB31)</f>
        <v/>
      </c>
      <c r="ND31">
        <f>IF(ROW()-3&gt;MAX($NC$4:$NC$40),"",INDEX($BW$4:$BW$40,MATCH(ROW()-3,$NC$4:$NC$40,0)))</f>
        <v/>
      </c>
      <c r="NE31">
        <f>IF(COUNTIF('Buyer Groups'!DG31:DS31,0)+COUNTIF('Buyer Groups'!DU31:EN31,0)&gt;0,0,1)</f>
        <v/>
      </c>
      <c r="NF31">
        <f>IF($CB$31="",FALSE,SUMPRODUCT(('Final Calculation Sheet'!$N$4:$N$40=$CB$31)*($NE$6:$NE$42=1))&gt;0)</f>
        <v/>
      </c>
      <c r="NG31">
        <f>$NG$30+--($NF31)</f>
        <v/>
      </c>
      <c r="NH31">
        <f>IF(ROW()-3&gt;MAX($NG$4:$NG$40),"",INDEX($CB$4:$CB$40,MATCH(ROW()-3,$NG$4:$NG$40,0)))</f>
        <v/>
      </c>
      <c r="NI31">
        <f>IF(COUNTIF('Buyer Groups'!DG31:DT31,0)+COUNTIF('Buyer Groups'!DV31:EN31,0)&gt;0,0,1)</f>
        <v/>
      </c>
      <c r="NJ31">
        <f>IF($CG$31="",FALSE,SUMPRODUCT(('Final Calculation Sheet'!$O$4:$O$40=$CG$31)*($NI$6:$NI$42=1))&gt;0)</f>
        <v/>
      </c>
      <c r="NK31">
        <f>$NK$30+--($NJ31)</f>
        <v/>
      </c>
      <c r="NL31">
        <f>IF(ROW()-3&gt;MAX($NK$4:$NK$40),"",INDEX($CG$4:$CG$40,MATCH(ROW()-3,$NK$4:$NK$40,0)))</f>
        <v/>
      </c>
      <c r="NM31">
        <f>IF(COUNTIF('Buyer Groups'!DG31:DU31,0)+COUNTIF('Buyer Groups'!DW31:EN31,0)&gt;0,0,1)</f>
        <v/>
      </c>
      <c r="NN31">
        <f>IF($CL$31="",FALSE,SUMPRODUCT(('Final Calculation Sheet'!$P$4:$P$40=$CL$31)*($NM$6:$NM$42=1))&gt;0)</f>
        <v/>
      </c>
      <c r="NO31">
        <f>$NO$30+--($NN31)</f>
        <v/>
      </c>
      <c r="NP31">
        <f>IF(ROW()-3&gt;MAX($NO$4:$NO$40),"",INDEX($CL$4:$CL$40,MATCH(ROW()-3,$NO$4:$NO$40,0)))</f>
        <v/>
      </c>
      <c r="NQ31">
        <f>IF(COUNTIF('Buyer Groups'!DG31:DV31,0)+COUNTIF('Buyer Groups'!DX31:EN31,0)&gt;0,0,1)</f>
        <v/>
      </c>
      <c r="NR31">
        <f>IF($CQ$31="",FALSE,SUMPRODUCT(('Final Calculation Sheet'!$Q$4:$Q$40=$CQ$31)*($NQ$6:$NQ$42=1))&gt;0)</f>
        <v/>
      </c>
      <c r="NS31">
        <f>$NS$30+--($NR31)</f>
        <v/>
      </c>
      <c r="NT31">
        <f>IF(ROW()-3&gt;MAX($NS$4:$NS$40),"",INDEX($CQ$4:$CQ$40,MATCH(ROW()-3,$NS$4:$NS$40,0)))</f>
        <v/>
      </c>
      <c r="NU31">
        <f>IF(COUNTIF('Buyer Groups'!DG31:DW31,0)+COUNTIF('Buyer Groups'!DY31:EN31,0)&gt;0,0,1)</f>
        <v/>
      </c>
      <c r="NV31">
        <f>IF($CV$31="",FALSE,SUMPRODUCT(('Final Calculation Sheet'!$R$4:$R$40=$CV$31)*($NU$6:$NU$42=1))&gt;0)</f>
        <v/>
      </c>
      <c r="NW31">
        <f>$NW$30+--($NV31)</f>
        <v/>
      </c>
      <c r="NX31">
        <f>IF(ROW()-3&gt;MAX($NW$4:$NW$40),"",INDEX($CV$4:$CV$40,MATCH(ROW()-3,$NW$4:$NW$40,0)))</f>
        <v/>
      </c>
      <c r="NY31">
        <f>IF(COUNTIF('Buyer Groups'!DG31:DX31,0)+COUNTIF('Buyer Groups'!DZ31:EN31,0)&gt;0,0,1)</f>
        <v/>
      </c>
      <c r="NZ31">
        <f>IF($DA$31="",FALSE,SUMPRODUCT(('Final Calculation Sheet'!$S$4:$S$40=$DA$31)*($NY$6:$NY$42=1))&gt;0)</f>
        <v/>
      </c>
      <c r="OA31">
        <f>$OA$30+--($NZ31)</f>
        <v/>
      </c>
      <c r="OB31">
        <f>IF(ROW()-3&gt;MAX($OA$4:$OA$40),"",INDEX($DA$4:$DA$40,MATCH(ROW()-3,$OA$4:$OA$40,0)))</f>
        <v/>
      </c>
      <c r="OC31">
        <f>IF(COUNTIF('Buyer Groups'!DG31:DY31,0)+COUNTIF('Buyer Groups'!EA31:EN31,0)&gt;0,0,1)</f>
        <v/>
      </c>
      <c r="OD31">
        <f>IF($DF$31="",FALSE,SUMPRODUCT(('Final Calculation Sheet'!$T$4:$T$40=$DF$31)*($OC$6:$OC$42=1))&gt;0)</f>
        <v/>
      </c>
      <c r="OE31">
        <f>$OE$30+--($OD31)</f>
        <v/>
      </c>
      <c r="OF31">
        <f>IF(ROW()-3&gt;MAX($OE$4:$OE$40),"",INDEX($DF$4:$DF$40,MATCH(ROW()-3,$OE$4:$OE$40,0)))</f>
        <v/>
      </c>
      <c r="OG31">
        <f>IF(COUNTIF('Buyer Groups'!DG31:DZ31,0)+COUNTIF('Buyer Groups'!EB31:EN31,0)&gt;0,0,1)</f>
        <v/>
      </c>
      <c r="OH31">
        <f>IF($DK$31="",FALSE,SUMPRODUCT(('Final Calculation Sheet'!$U$4:$U$40=$DK$31)*($OG$6:$OG$42=1))&gt;0)</f>
        <v/>
      </c>
      <c r="OI31">
        <f>$OI$30+--($OH31)</f>
        <v/>
      </c>
      <c r="OJ31">
        <f>IF(ROW()-3&gt;MAX($OI$4:$OI$40),"",INDEX($DK$4:$DK$40,MATCH(ROW()-3,$OI$4:$OI$40,0)))</f>
        <v/>
      </c>
      <c r="OK31">
        <f>IF(COUNTIF('Buyer Groups'!DG31:EA31,0)+COUNTIF('Buyer Groups'!EC31:EN31,0)&gt;0,0,1)</f>
        <v/>
      </c>
      <c r="OL31">
        <f>IF($DP$31="",FALSE,SUMPRODUCT(('Final Calculation Sheet'!$V$4:$V$40=$DP$31)*($OK$6:$OK$42=1))&gt;0)</f>
        <v/>
      </c>
      <c r="OM31">
        <f>$OM$30+--($OL31)</f>
        <v/>
      </c>
      <c r="ON31">
        <f>IF(ROW()-3&gt;MAX($OM$4:$OM$40),"",INDEX($DP$4:$DP$40,MATCH(ROW()-3,$OM$4:$OM$40,0)))</f>
        <v/>
      </c>
      <c r="OO31">
        <f>IF(COUNTIF('Buyer Groups'!DG31:EB31,0)+COUNTIF('Buyer Groups'!ED31:EN31,0)&gt;0,0,1)</f>
        <v/>
      </c>
      <c r="OP31">
        <f>IF($DU$31="",FALSE,SUMPRODUCT(('Final Calculation Sheet'!$W$4:$W$40=$DU$31)*($OO$6:$OO$42=1))&gt;0)</f>
        <v/>
      </c>
      <c r="OQ31">
        <f>$OQ$30+--($OP31)</f>
        <v/>
      </c>
      <c r="OR31">
        <f>IF(ROW()-3&gt;MAX($OQ$4:$OQ$40),"",INDEX($DU$4:$DU$40,MATCH(ROW()-3,$OQ$4:$OQ$40,0)))</f>
        <v/>
      </c>
      <c r="OS31">
        <f>IF(COUNTIF('Buyer Groups'!DG31:EC31,0)+COUNTIF('Buyer Groups'!EE31:EN31,0)&gt;0,0,1)</f>
        <v/>
      </c>
      <c r="OT31">
        <f>IF($DZ$31="",FALSE,SUMPRODUCT(('Final Calculation Sheet'!$X$4:$X$40=$DZ$31)*($OS$6:$OS$42=1))&gt;0)</f>
        <v/>
      </c>
      <c r="OU31">
        <f>$OU$30+--($OT31)</f>
        <v/>
      </c>
      <c r="OV31">
        <f>IF(ROW()-3&gt;MAX($OU$4:$OU$40),"",INDEX($DZ$4:$DZ$40,MATCH(ROW()-3,$OU$4:$OU$40,0)))</f>
        <v/>
      </c>
      <c r="OW31">
        <f>IF(COUNTIF('Buyer Groups'!DG31:ED31,0)+COUNTIF('Buyer Groups'!EF31:EN31,0)&gt;0,0,1)</f>
        <v/>
      </c>
      <c r="OX31">
        <f>IF($EE$31="",FALSE,SUMPRODUCT(('Final Calculation Sheet'!$Y$4:$Y$40=$EE$31)*($OW$6:$OW$42=1))&gt;0)</f>
        <v/>
      </c>
      <c r="OY31">
        <f>$OY$30+--($OX31)</f>
        <v/>
      </c>
      <c r="OZ31">
        <f>IF(ROW()-3&gt;MAX($OY$4:$OY$40),"",INDEX($EE$4:$EE$40,MATCH(ROW()-3,$OY$4:$OY$40,0)))</f>
        <v/>
      </c>
      <c r="PA31">
        <f>IF(COUNTIF('Buyer Groups'!DG31:EE31,0)+COUNTIF('Buyer Groups'!EG31:EN31,0)&gt;0,0,1)</f>
        <v/>
      </c>
      <c r="PB31">
        <f>IF($EJ$31="",FALSE,SUMPRODUCT(('Final Calculation Sheet'!$Z$4:$Z$40=$EJ$31)*($PA$6:$PA$42=1))&gt;0)</f>
        <v/>
      </c>
      <c r="PC31">
        <f>$PC$30+--($PB31)</f>
        <v/>
      </c>
      <c r="PD31">
        <f>IF(ROW()-3&gt;MAX($PC$4:$PC$40),"",INDEX($EJ$4:$EJ$40,MATCH(ROW()-3,$PC$4:$PC$40,0)))</f>
        <v/>
      </c>
      <c r="PE31">
        <f>IF(COUNTIF('Buyer Groups'!DG31:EF31,0)+COUNTIF('Buyer Groups'!EH31:EN31,0)&gt;0,0,1)</f>
        <v/>
      </c>
      <c r="PF31">
        <f>IF($EO$31="",FALSE,SUMPRODUCT(('Final Calculation Sheet'!$AA$4:$AA$40=$EO$31)*($PE$6:$PE$42=1))&gt;0)</f>
        <v/>
      </c>
      <c r="PG31">
        <f>$PG$30+--($PF31)</f>
        <v/>
      </c>
      <c r="PH31">
        <f>IF(ROW()-3&gt;MAX($PG$4:$PG$40),"",INDEX($EO$4:$EO$40,MATCH(ROW()-3,$PG$4:$PG$40,0)))</f>
        <v/>
      </c>
      <c r="PI31">
        <f>IF(COUNTIF('Buyer Groups'!DG31:EG31,0)+COUNTIF('Buyer Groups'!EI31:EN31,0)&gt;0,0,1)</f>
        <v/>
      </c>
      <c r="PJ31">
        <f>IF($ET$31="",FALSE,SUMPRODUCT(('Final Calculation Sheet'!$AB$4:$AB$40=$ET$31)*($PI$6:$PI$42=1))&gt;0)</f>
        <v/>
      </c>
      <c r="PK31">
        <f>$PK$30+--($PJ31)</f>
        <v/>
      </c>
      <c r="PL31">
        <f>IF(ROW()-3&gt;MAX($PK$4:$PK$40),"",INDEX($ET$4:$ET$40,MATCH(ROW()-3,$PK$4:$PK$40,0)))</f>
        <v/>
      </c>
      <c r="PM31">
        <f>IF(COUNTIF('Buyer Groups'!DG31:EH31,0)+COUNTIF('Buyer Groups'!EJ31:EN31,0)&gt;0,0,1)</f>
        <v/>
      </c>
      <c r="PN31">
        <f>IF($EY$31="",FALSE,SUMPRODUCT(('Final Calculation Sheet'!$AC$4:$AC$40=$EY$31)*($PM$6:$PM$42=1))&gt;0)</f>
        <v/>
      </c>
      <c r="PO31">
        <f>$PO$30+--($PN31)</f>
        <v/>
      </c>
      <c r="PP31">
        <f>IF(ROW()-3&gt;MAX($PO$4:$PO$40),"",INDEX($EY$4:$EY$40,MATCH(ROW()-3,$PO$4:$PO$40,0)))</f>
        <v/>
      </c>
      <c r="PQ31">
        <f>IF(COUNTIF('Buyer Groups'!DG31:EI31,0)+COUNTIF('Buyer Groups'!EK31:EN31,0)&gt;0,0,1)</f>
        <v/>
      </c>
      <c r="PR31">
        <f>IF($FD$31="",FALSE,SUMPRODUCT(('Final Calculation Sheet'!$AD$4:$AD$40=$FD$31)*($PQ$6:$PQ$42=1))&gt;0)</f>
        <v/>
      </c>
      <c r="PS31">
        <f>$PS$30+--($PR31)</f>
        <v/>
      </c>
      <c r="PT31">
        <f>IF(ROW()-3&gt;MAX($PS$4:$PS$40),"",INDEX($FD$4:$FD$40,MATCH(ROW()-3,$PS$4:$PS$40,0)))</f>
        <v/>
      </c>
      <c r="PU31">
        <f>IF(COUNTIF('Buyer Groups'!DG31:EJ31,0)+COUNTIF('Buyer Groups'!EL31:EN31,0)&gt;0,0,1)</f>
        <v/>
      </c>
      <c r="PV31">
        <f>IF($FX$31="",FALSE,SUMPRODUCT((IF('Final Calculation Sheet'!$AD$4:$AD$40&lt;=5,"SETTLED","OUTSTANDING")=$FX$31)*($PU$6:$PU$42=1))&gt;0)</f>
        <v/>
      </c>
      <c r="PW31">
        <f>$PW$30+--($PV31)</f>
        <v/>
      </c>
      <c r="PX31">
        <f>IF(ROW()-3&gt;MAX($PW$4:$PW$40),"",INDEX($FX$4:$FX$40,MATCH(ROW()-3,$PW$4:$PW$40,0)))</f>
        <v/>
      </c>
      <c r="PY31">
        <f>IF(COUNTIF('Buyer Groups'!DG31:EK31,0)+COUNTIF('Buyer Groups'!EM31:EN31,0)&gt;0,0,1)</f>
        <v/>
      </c>
      <c r="PZ31">
        <f>IF($FI$31="",FALSE,SUMPRODUCT(('Final Calculation Sheet'!$AF$4:$AF$40=$FI$31)*($PY$6:$PY$42=1))&gt;0)</f>
        <v/>
      </c>
      <c r="QA31">
        <f>$QA$30+--($PZ31)</f>
        <v/>
      </c>
      <c r="QB31">
        <f>IF(ROW()-3&gt;MAX($QA$4:$QA$40),"",INDEX($FI$4:$FI$40,MATCH(ROW()-3,$QA$4:$QA$40,0)))</f>
        <v/>
      </c>
      <c r="QC31">
        <f>IF(COUNTIF('Buyer Groups'!DG31:EL31,0)+COUNTIF('Buyer Groups'!EN31:EN31,0)&gt;0,0,1)</f>
        <v/>
      </c>
      <c r="QD31">
        <f>IF($FN$31="",FALSE,SUMPRODUCT(('Final Calculation Sheet'!$AG$4:$AG$40=$FN$31)*($QC$6:$QC$42=1))&gt;0)</f>
        <v/>
      </c>
      <c r="QE31">
        <f>$QE$30+--($QD31)</f>
        <v/>
      </c>
      <c r="QF31">
        <f>IF(ROW()-3&gt;MAX($QE$4:$QE$40),"",INDEX($FN$4:$FN$40,MATCH(ROW()-3,$QE$4:$QE$40,0)))</f>
        <v/>
      </c>
      <c r="QG31">
        <f>IF(COUNTIF('Buyer Groups'!DG31:EM31,0)&gt;0,0,1)</f>
        <v/>
      </c>
      <c r="QH31">
        <f>IF($FS$31="",FALSE,SUMPRODUCT(('Final Calculation Sheet'!$AH$4:$AH$40=$FS$31)*($QG$6:$QG$42=1))&gt;0)</f>
        <v/>
      </c>
      <c r="QI31">
        <f>$QI$30+--($QH31)</f>
        <v/>
      </c>
      <c r="QJ31">
        <f>IF(ROW()-3&gt;MAX($QI$4:$QI$40),"",INDEX($FS$4:$FS$40,MATCH(ROW()-3,$QI$4:$QI$40,0)))</f>
        <v/>
      </c>
      <c r="QK31" t="str">
        <f>IF('Final Calculation Sheet'!$AH$31="","",'Final Calculation Sheet'!$AH$31)</f>
      </c>
      <c r="QL31" t="str">
        <f>IF(QK31="","",COUNTIFS(QK$4:QK$40,"&lt;"&amp;QK31,QK$4:QK$40,"&lt;&gt;"&amp;"")+COUNTIF(QK$4:QK31,QK31))</f>
      </c>
      <c r="QM31" t="str">
        <f>IF(ROW()-3&gt;COUNTIF(QK$4:QK$40,"&lt;&gt;"&amp;""),"",INDEX(QK$4:QK$40,MATCH(ROW()-3,QL$4:QL$40,0)))</f>
      </c>
      <c r="QN31" t="str">
        <f>=QN30+F(AND(QM31&lt;&gt;"",COUNTIF(QM$4:QM31,QM31)=1),1,0)</f>
      </c>
      <c r="QO31" t="str">
        <f>IF(ROW()-3&gt;MAX(QN$4:QN$40),"",INDEX(QM$4:QM$40,MATCH(ROW()-3,QN$4:QN$40,0)))</f>
      </c>
      <c r="QP31" t="str">
        <f>IF(COUNTIF('Final Calculation Sheet'!$AM31:$BS31,0)&gt;0,0,1)</f>
      </c>
      <c r="QQ31" t="str">
        <f>IF($AI$31="",FALSE,SUMPRODUCT(('Final Calculation Sheet'!$A$4:$A$40=$AI$31)*($QP$4:$QP$40=1))&gt;0)</f>
      </c>
      <c r="QR31" t="str">
        <f>=$QR30+--($QQ31)</f>
      </c>
      <c r="QS31" t="str">
        <f>IF(ROW()-3&gt;MAX($QR$4:$QR$40),"",INDEX($AI$4:$AI$40,MATCH(ROW()-3,$QR$4:$QR$40,0)))</f>
      </c>
      <c r="QT31" t="str">
        <f>IF(COUNTIF('Final Calculation Sheet'!$AL31:$AL31,0)+COUNTIF('Final Calculation Sheet'!$AN31:$BS31,0)&gt;0,0,1)</f>
      </c>
      <c r="QU31" t="str">
        <f>IF($Y$31="",FALSE,SUMPRODUCT(('Final Calculation Sheet'!$B$4:$B$40=$Y$31)*($QT$4:$QT$40=1))&gt;0)</f>
      </c>
      <c r="QV31" t="str">
        <f>=$QV30+--($QU31)</f>
      </c>
      <c r="QW31" t="str">
        <f>IF(ROW()-3&gt;MAX($QV$4:$QV$40),"",INDEX($Y$4:$Y$40,MATCH(ROW()-3,$QV$4:$QV$40,0)))</f>
      </c>
      <c r="QX31" t="str">
        <f>IF(COUNTIF('Final Calculation Sheet'!$AL31:$AM31,0)+COUNTIF('Final Calculation Sheet'!$AO31:$BS31,0)&gt;0,0,1)</f>
      </c>
      <c r="QY31" t="str">
        <f>IF($AS$31="",FALSE,SUMPRODUCT(('Final Calculation Sheet'!$C$4:$C$40=$AS$31)*($QX$4:$QX$40=1))&gt;0)</f>
      </c>
      <c r="QZ31" t="str">
        <f>=$QZ30+--($QY31)</f>
      </c>
      <c r="RA31" t="str">
        <f>IF(ROW()-3&gt;MAX($QZ$4:$QZ$40),"",INDEX($AS$4:$AS$40,MATCH(ROW()-3,$QZ$4:$QZ$40,0)))</f>
      </c>
      <c r="RB31" t="str">
        <f>IF(COUNTIF('Final Calculation Sheet'!$AL31:$AN31,0)+COUNTIF('Final Calculation Sheet'!$AP31:$BS31,0)&gt;0,0,1)</f>
      </c>
      <c r="RC31" t="str">
        <f>IF($AD$31="",FALSE,SUMPRODUCT(('Final Calculation Sheet'!$D$4:$D$40=$AD$31)*($RB$4:$RB$40=1))&gt;0)</f>
      </c>
      <c r="RD31" t="str">
        <f>=$RD30+--($RC31)</f>
      </c>
      <c r="RE31" t="str">
        <f>IF(ROW()-3&gt;MAX($RD$4:$RD$40),"",INDEX($AD$4:$AD$40,MATCH(ROW()-3,$RD$4:$RD$40,0)))</f>
      </c>
      <c r="RF31" t="str">
        <f>IF(COUNTIF('Final Calculation Sheet'!$AL31:$AO31,0)+COUNTIF('Final Calculation Sheet'!$AQ31:$BS31,0)&gt;0,0,1)</f>
      </c>
      <c r="RG31" t="str">
        <f>IF($AN$31="",FALSE,SUMPRODUCT(('Final Calculation Sheet'!$E$4:$E$40=$AN$31)*($RF$4:$RF$40=1))&gt;0)</f>
      </c>
      <c r="RH31" t="str">
        <f>=$RH30+--($RG31)</f>
      </c>
      <c r="RI31" t="str">
        <f>IF(ROW()-3&gt;MAX($RH$4:$RH$40),"",INDEX($AN$4:$AN$40,MATCH(ROW()-3,$RH$4:$RH$40,0)))</f>
      </c>
      <c r="RJ31" t="str">
        <f>IF(COUNTIF('Final Calculation Sheet'!$AL31:$AP31,0)+COUNTIF('Final Calculation Sheet'!$AR31:$BS31,0)&gt;0,0,1)</f>
      </c>
      <c r="RK31" t="str">
        <f>IF($O$31="",FALSE,SUMPRODUCT(('Final Calculation Sheet'!$F$4:$F$40=$O$31)*($RJ$4:$RJ$40=1))&gt;0)</f>
      </c>
      <c r="RL31" t="str">
        <f>=$RL30+--($RK31)</f>
      </c>
      <c r="RM31" t="str">
        <f>IF(ROW()-3&gt;MAX($RL$4:$RL$40),"",INDEX($O$4:$O$40,MATCH(ROW()-3,$RL$4:$RL$40,0)))</f>
      </c>
      <c r="RN31" t="str">
        <f>IF(COUNTIF('Final Calculation Sheet'!$AL31:$AQ31,0)+COUNTIF('Final Calculation Sheet'!$AS31:$BS31,0)&gt;0,0,1)</f>
      </c>
      <c r="RO31" t="str">
        <f>IF($T$31="",FALSE,SUMPRODUCT(('Final Calculation Sheet'!$G$4:$G$40=$T$31)*($RN$4:$RN$40=1))&gt;0)</f>
      </c>
      <c r="RP31" t="str">
        <f>=$RP30+--($RO31)</f>
      </c>
      <c r="RQ31" t="str">
        <f>IF(ROW()-3&gt;MAX($RP$4:$RP$40),"",INDEX($T$4:$T$40,MATCH(ROW()-3,$RP$4:$RP$40,0)))</f>
      </c>
      <c r="RR31" t="str">
        <f>IF(COUNTIF('Final Calculation Sheet'!$AL31:$AR31,0)+COUNTIF('Final Calculation Sheet'!$AT31:$BS31,0)&gt;0,0,1)</f>
      </c>
      <c r="RS31" t="str">
        <f>IF($AX$31="",FALSE,SUMPRODUCT(('Final Calculation Sheet'!$H$4:$H$40=$AX$31)*($RR$4:$RR$40=1))&gt;0)</f>
      </c>
      <c r="RT31" t="str">
        <f>=$RT30+--($RS31)</f>
      </c>
      <c r="RU31" t="str">
        <f>IF(ROW()-3&gt;MAX($RT$4:$RT$40),"",INDEX($AX$4:$AX$40,MATCH(ROW()-3,$RT$4:$RT$40,0)))</f>
      </c>
      <c r="RV31" t="str">
        <f>IF(COUNTIF('Final Calculation Sheet'!$AL31:$AS31,0)+COUNTIF('Final Calculation Sheet'!$AU31:$BS31,0)&gt;0,0,1)</f>
      </c>
      <c r="RW31" t="str">
        <f>IF($BC$31="",FALSE,SUMPRODUCT(('Final Calculation Sheet'!$I$4:$I$40=$BC$31)*($RV$4:$RV$40=1))&gt;0)</f>
      </c>
      <c r="RX31" t="str">
        <f>=$RX30+--($RW31)</f>
      </c>
      <c r="RY31" t="str">
        <f>IF(ROW()-3&gt;MAX($RX$4:$RX$40),"",INDEX($BC$4:$BC$40,MATCH(ROW()-3,$RX$4:$RX$40,0)))</f>
      </c>
      <c r="RZ31" t="str">
        <f>IF(COUNTIF('Final Calculation Sheet'!$AL31:$AT31,0)+COUNTIF('Final Calculation Sheet'!$AV31:$BS31,0)&gt;0,0,1)</f>
      </c>
      <c r="SA31" t="str">
        <f>IF($BH$31="",FALSE,SUMPRODUCT(('Final Calculation Sheet'!$J$4:$J$40=$BH$31)*($RZ$4:$RZ$40=1))&gt;0)</f>
      </c>
      <c r="SB31" t="str">
        <f>=$SB30+--($SA31)</f>
      </c>
      <c r="SC31" t="str">
        <f>IF(ROW()-3&gt;MAX($SB$4:$SB$40),"",INDEX($BH$4:$BH$40,MATCH(ROW()-3,$SB$4:$SB$40,0)))</f>
      </c>
      <c r="SD31" t="str">
        <f>IF(COUNTIF('Final Calculation Sheet'!$AL31:$AU31,0)+COUNTIF('Final Calculation Sheet'!$AW31:$BS31,0)&gt;0,0,1)</f>
      </c>
      <c r="SE31" t="str">
        <f>IF($BM$31="",FALSE,SUMPRODUCT(('Final Calculation Sheet'!$K$4:$K$40=$BM$31)*($SD$4:$SD$40=1))&gt;0)</f>
      </c>
      <c r="SF31" t="str">
        <f>=$SF30+--($SE31)</f>
      </c>
      <c r="SG31" t="str">
        <f>IF(ROW()-3&gt;MAX($SF$4:$SF$40),"",INDEX($BM$4:$BM$40,MATCH(ROW()-3,$SF$4:$SF$40,0)))</f>
      </c>
      <c r="SH31" t="str">
        <f>IF(COUNTIF('Final Calculation Sheet'!$AL31:$AV31,0)+COUNTIF('Final Calculation Sheet'!$AX31:$BS31,0)&gt;0,0,1)</f>
      </c>
      <c r="SI31" t="str">
        <f>IF($BR$31="",FALSE,SUMPRODUCT(('Final Calculation Sheet'!$L$4:$L$40=$BR$31)*($SH$4:$SH$40=1))&gt;0)</f>
      </c>
      <c r="SJ31" t="str">
        <f>=$SJ30+--($SI31)</f>
      </c>
      <c r="SK31" t="str">
        <f>IF(ROW()-3&gt;MAX($SJ$4:$SJ$40),"",INDEX($BR$4:$BR$40,MATCH(ROW()-3,$SJ$4:$SJ$40,0)))</f>
      </c>
      <c r="SL31" t="str">
        <f>IF(COUNTIF('Final Calculation Sheet'!$AL31:$AW31,0)+COUNTIF('Final Calculation Sheet'!$AY31:$BS31,0)&gt;0,0,1)</f>
      </c>
      <c r="SM31" t="str">
        <f>IF($BW$31="",FALSE,SUMPRODUCT(('Final Calculation Sheet'!$M$4:$M$40=$BW$31)*($SL$4:$SL$40=1))&gt;0)</f>
      </c>
      <c r="SN31" t="str">
        <f>=$SN30+--($SM31)</f>
      </c>
      <c r="SO31" t="str">
        <f>IF(ROW()-3&gt;MAX($SN$4:$SN$40),"",INDEX($BW$4:$BW$40,MATCH(ROW()-3,$SN$4:$SN$40,0)))</f>
      </c>
      <c r="SP31" t="str">
        <f>IF(COUNTIF('Final Calculation Sheet'!$AL31:$AX31,0)+COUNTIF('Final Calculation Sheet'!$AZ31:$BS31,0)&gt;0,0,1)</f>
      </c>
      <c r="SQ31" t="str">
        <f>IF($CB$31="",FALSE,SUMPRODUCT(('Final Calculation Sheet'!$N$4:$N$40=$CB$31)*($SP$4:$SP$40=1))&gt;0)</f>
      </c>
      <c r="SR31" t="str">
        <f>=$SR30+--($SQ31)</f>
      </c>
      <c r="SS31" t="str">
        <f>IF(ROW()-3&gt;MAX($SR$4:$SR$40),"",INDEX($CB$4:$CB$40,MATCH(ROW()-3,$SR$4:$SR$40,0)))</f>
      </c>
      <c r="ST31" t="str">
        <f>IF(COUNTIF('Final Calculation Sheet'!$AL31:$AY31,0)+COUNTIF('Final Calculation Sheet'!$BA31:$BS31,0)&gt;0,0,1)</f>
      </c>
      <c r="SU31" t="str">
        <f>IF($CG$31="",FALSE,SUMPRODUCT(('Final Calculation Sheet'!$O$4:$O$40=$CG$31)*($ST$4:$ST$40=1))&gt;0)</f>
      </c>
      <c r="SV31" t="str">
        <f>=$SV30+--($SU31)</f>
      </c>
      <c r="SW31" t="str">
        <f>IF(ROW()-3&gt;MAX($SV$4:$SV$40),"",INDEX($CG$4:$CG$40,MATCH(ROW()-3,$SV$4:$SV$40,0)))</f>
      </c>
      <c r="SX31" t="str">
        <f>IF(COUNTIF('Final Calculation Sheet'!$AL31:$AZ31,0)+COUNTIF('Final Calculation Sheet'!$BB31:$BS31,0)&gt;0,0,1)</f>
      </c>
      <c r="SY31" t="str">
        <f>IF($CL$31="",FALSE,SUMPRODUCT(('Final Calculation Sheet'!$P$4:$P$40=$CL$31)*($SX$4:$SX$40=1))&gt;0)</f>
      </c>
      <c r="SZ31" t="str">
        <f>=$SZ30+--($SY31)</f>
      </c>
      <c r="TA31" t="str">
        <f>IF(ROW()-3&gt;MAX($SZ$4:$SZ$40),"",INDEX($CL$4:$CL$40,MATCH(ROW()-3,$SZ$4:$SZ$40,0)))</f>
      </c>
      <c r="TB31" t="str">
        <f>IF(COUNTIF('Final Calculation Sheet'!$AL31:$BA31,0)+COUNTIF('Final Calculation Sheet'!$BC31:$BS31,0)&gt;0,0,1)</f>
      </c>
      <c r="TC31" t="str">
        <f>IF($CQ$31="",FALSE,SUMPRODUCT(('Final Calculation Sheet'!$Q$4:$Q$40=$CQ$31)*($TB$4:$TB$40=1))&gt;0)</f>
      </c>
      <c r="TD31" t="str">
        <f>=$TD30+--($TC31)</f>
      </c>
      <c r="TE31" t="str">
        <f>IF(ROW()-3&gt;MAX($TD$4:$TD$40),"",INDEX($CQ$4:$CQ$40,MATCH(ROW()-3,$TD$4:$TD$40,0)))</f>
      </c>
      <c r="TF31" t="str">
        <f>IF(COUNTIF('Final Calculation Sheet'!$AL31:$BB31,0)+COUNTIF('Final Calculation Sheet'!$BD31:$BS31,0)&gt;0,0,1)</f>
      </c>
      <c r="TG31" t="str">
        <f>IF($CV$31="",FALSE,SUMPRODUCT(('Final Calculation Sheet'!$R$4:$R$40=$CV$31)*($TF$4:$TF$40=1))&gt;0)</f>
      </c>
      <c r="TH31" t="str">
        <f>=$TH30+--($TG31)</f>
      </c>
      <c r="TI31" t="str">
        <f>IF(ROW()-3&gt;MAX($TH$4:$TH$40),"",INDEX($CV$4:$CV$40,MATCH(ROW()-3,$TH$4:$TH$40,0)))</f>
      </c>
      <c r="TJ31" t="str">
        <f>IF(COUNTIF('Final Calculation Sheet'!$AL31:$BC31,0)+COUNTIF('Final Calculation Sheet'!$BE31:$BS31,0)&gt;0,0,1)</f>
      </c>
      <c r="TK31" t="str">
        <f>IF($DA$31="",FALSE,SUMPRODUCT(('Final Calculation Sheet'!$S$4:$S$40=$DA$31)*($TJ$4:$TJ$40=1))&gt;0)</f>
      </c>
      <c r="TL31" t="str">
        <f>=$TL30+--($TK31)</f>
      </c>
      <c r="TM31" t="str">
        <f>IF(ROW()-3&gt;MAX($TL$4:$TL$40),"",INDEX($DA$4:$DA$40,MATCH(ROW()-3,$TL$4:$TL$40,0)))</f>
      </c>
      <c r="TN31" t="str">
        <f>IF(COUNTIF('Final Calculation Sheet'!$AL31:$BD31,0)+COUNTIF('Final Calculation Sheet'!$BF31:$BS31,0)&gt;0,0,1)</f>
      </c>
      <c r="TO31" t="str">
        <f>IF($DF$31="",FALSE,SUMPRODUCT(('Final Calculation Sheet'!$T$4:$T$40=$DF$31)*($TN$4:$TN$40=1))&gt;0)</f>
      </c>
      <c r="TP31" t="str">
        <f>=$TP30+--($TO31)</f>
      </c>
      <c r="TQ31" t="str">
        <f>IF(ROW()-3&gt;MAX($TP$4:$TP$40),"",INDEX($DF$4:$DF$40,MATCH(ROW()-3,$TP$4:$TP$40,0)))</f>
      </c>
      <c r="TR31" t="str">
        <f>IF(COUNTIF('Final Calculation Sheet'!$AL31:$BE31,0)+COUNTIF('Final Calculation Sheet'!$BG31:$BS31,0)&gt;0,0,1)</f>
      </c>
      <c r="TS31" t="str">
        <f>IF($DK$31="",FALSE,SUMPRODUCT(('Final Calculation Sheet'!$U$4:$U$40=$DK$31)*($TR$4:$TR$40=1))&gt;0)</f>
      </c>
      <c r="TT31" t="str">
        <f>=$TT30+--($TS31)</f>
      </c>
      <c r="TU31" t="str">
        <f>IF(ROW()-3&gt;MAX($TT$4:$TT$40),"",INDEX($DK$4:$DK$40,MATCH(ROW()-3,$TT$4:$TT$40,0)))</f>
      </c>
      <c r="TV31" t="str">
        <f>IF(COUNTIF('Final Calculation Sheet'!$AL31:$BF31,0)+COUNTIF('Final Calculation Sheet'!$BH31:$BS31,0)&gt;0,0,1)</f>
      </c>
      <c r="TW31" t="str">
        <f>IF($DP$31="",FALSE,SUMPRODUCT(('Final Calculation Sheet'!$V$4:$V$40=$DP$31)*($TV$4:$TV$40=1))&gt;0)</f>
      </c>
      <c r="TX31" t="str">
        <f>=$TX30+--($TW31)</f>
      </c>
      <c r="TY31" t="str">
        <f>IF(ROW()-3&gt;MAX($TX$4:$TX$40),"",INDEX($DP$4:$DP$40,MATCH(ROW()-3,$TX$4:$TX$40,0)))</f>
      </c>
      <c r="TZ31" t="str">
        <f>IF(COUNTIF('Final Calculation Sheet'!$AL31:$BG31,0)+COUNTIF('Final Calculation Sheet'!$BI31:$BS31,0)&gt;0,0,1)</f>
      </c>
      <c r="UA31" t="str">
        <f>IF($DU$31="",FALSE,SUMPRODUCT(('Final Calculation Sheet'!$W$4:$W$40=$DU$31)*($TZ$4:$TZ$40=1))&gt;0)</f>
      </c>
      <c r="UB31" t="str">
        <f>=$UB30+--($UA31)</f>
      </c>
      <c r="UC31" t="str">
        <f>IF(ROW()-3&gt;MAX($UB$4:$UB$40),"",INDEX($DU$4:$DU$40,MATCH(ROW()-3,$UB$4:$UB$40,0)))</f>
      </c>
      <c r="UD31" t="str">
        <f>IF(COUNTIF('Final Calculation Sheet'!$AL31:$BH31,0)+COUNTIF('Final Calculation Sheet'!$BJ31:$BS31,0)&gt;0,0,1)</f>
      </c>
      <c r="UE31" t="str">
        <f>IF($DZ$31="",FALSE,SUMPRODUCT(('Final Calculation Sheet'!$X$4:$X$40=$DZ$31)*($UD$4:$UD$40=1))&gt;0)</f>
      </c>
      <c r="UF31" t="str">
        <f>=$UF30+--($UE31)</f>
      </c>
      <c r="UG31" t="str">
        <f>IF(ROW()-3&gt;MAX($UF$4:$UF$40),"",INDEX($DZ$4:$DZ$40,MATCH(ROW()-3,$UF$4:$UF$40,0)))</f>
      </c>
      <c r="UH31" t="str">
        <f>IF(COUNTIF('Final Calculation Sheet'!$AL31:$BI31,0)+COUNTIF('Final Calculation Sheet'!$BK31:$BS31,0)&gt;0,0,1)</f>
      </c>
      <c r="UI31" t="str">
        <f>IF($EE$31="",FALSE,SUMPRODUCT(('Final Calculation Sheet'!$Y$4:$Y$40=$EE$31)*($UH$4:$UH$40=1))&gt;0)</f>
      </c>
      <c r="UJ31" t="str">
        <f>=$UJ30+--($UI31)</f>
      </c>
      <c r="UK31" t="str">
        <f>IF(ROW()-3&gt;MAX($UJ$4:$UJ$40),"",INDEX($EE$4:$EE$40,MATCH(ROW()-3,$UJ$4:$UJ$40,0)))</f>
      </c>
      <c r="UL31" t="str">
        <f>IF(COUNTIF('Final Calculation Sheet'!$AL31:$BJ31,0)+COUNTIF('Final Calculation Sheet'!$BL31:$BS31,0)&gt;0,0,1)</f>
      </c>
      <c r="UM31" t="str">
        <f>IF($EJ$31="",FALSE,SUMPRODUCT(('Final Calculation Sheet'!$Z$4:$Z$40=$EJ$31)*($UL$4:$UL$40=1))&gt;0)</f>
      </c>
      <c r="UN31" t="str">
        <f>=$UN30+--($UM31)</f>
      </c>
      <c r="UO31" t="str">
        <f>IF(ROW()-3&gt;MAX($UN$4:$UN$40),"",INDEX($EJ$4:$EJ$40,MATCH(ROW()-3,$UN$4:$UN$40,0)))</f>
      </c>
      <c r="UP31" t="str">
        <f>IF(COUNTIF('Final Calculation Sheet'!$AL31:$BK31,0)+COUNTIF('Final Calculation Sheet'!$BM31:$BS31,0)&gt;0,0,1)</f>
      </c>
      <c r="UQ31" t="str">
        <f>IF($EO$31="",FALSE,SUMPRODUCT(('Final Calculation Sheet'!$AA$4:$AA$40=$EO$31)*($UP$4:$UP$40=1))&gt;0)</f>
      </c>
      <c r="UR31" t="str">
        <f>=$UR30+--($UQ31)</f>
      </c>
      <c r="US31" t="str">
        <f>IF(ROW()-3&gt;MAX($UR$4:$UR$40),"",INDEX($EO$4:$EO$40,MATCH(ROW()-3,$UR$4:$UR$40,0)))</f>
      </c>
      <c r="UT31" t="str">
        <f>IF(COUNTIF('Final Calculation Sheet'!$AL31:$BL31,0)+COUNTIF('Final Calculation Sheet'!$BN31:$BS31,0)&gt;0,0,1)</f>
      </c>
      <c r="UU31" t="str">
        <f>IF($ET$31="",FALSE,SUMPRODUCT(('Final Calculation Sheet'!$AB$4:$AB$40=$ET$31)*($UT$4:$UT$40=1))&gt;0)</f>
      </c>
      <c r="UV31" t="str">
        <f>=$UV30+--($UU31)</f>
      </c>
      <c r="UW31" t="str">
        <f>IF(ROW()-3&gt;MAX($UV$4:$UV$40),"",INDEX($ET$4:$ET$40,MATCH(ROW()-3,$UV$4:$UV$40,0)))</f>
      </c>
      <c r="UX31" t="str">
        <f>IF(COUNTIF('Final Calculation Sheet'!$AL31:$BM31,0)+COUNTIF('Final Calculation Sheet'!$BO31:$BS31,0)&gt;0,0,1)</f>
      </c>
      <c r="UY31" t="str">
        <f>IF($EY$31="",FALSE,SUMPRODUCT(('Final Calculation Sheet'!$AC$4:$AC$40=$EY$31)*($UX$4:$UX$40=1))&gt;0)</f>
      </c>
      <c r="UZ31" t="str">
        <f>=$UZ30+--($UY31)</f>
      </c>
      <c r="VA31" t="str">
        <f>IF(ROW()-3&gt;MAX($UZ$4:$UZ$40),"",INDEX($EY$4:$EY$40,MATCH(ROW()-3,$UZ$4:$UZ$40,0)))</f>
      </c>
      <c r="VB31" t="str">
        <f>IF(COUNTIF('Final Calculation Sheet'!$AL31:$BN31,0)+COUNTIF('Final Calculation Sheet'!$BP31:$BS31,0)&gt;0,0,1)</f>
      </c>
      <c r="VC31" t="str">
        <f>IF($FD$31="",FALSE,SUMPRODUCT(('Final Calculation Sheet'!$AD$4:$AD$40=$FD$31)*($VB$4:$VB$40=1))&gt;0)</f>
      </c>
      <c r="VD31" t="str">
        <f>=$VD30+--($VC31)</f>
      </c>
      <c r="VE31" t="str">
        <f>IF(ROW()-3&gt;MAX($VD$4:$VD$40),"",INDEX($FD$4:$FD$40,MATCH(ROW()-3,$VD$4:$VD$40,0)))</f>
      </c>
      <c r="VF31" t="str">
        <f>IF(COUNTIF('Final Calculation Sheet'!$AL31:$BO31,0)+COUNTIF('Final Calculation Sheet'!$BQ31:$BS31,0)&gt;0,0,1)</f>
      </c>
      <c r="VG31" t="str">
        <f>IF($FI$31="",FALSE,SUMPRODUCT(('Final Calculation Sheet'!$AE$4:$AE$40=$FI$31)*($VF$4:$VF$40=1))&gt;0)</f>
      </c>
      <c r="VH31" t="str">
        <f>=$VH30+--($VG31)</f>
      </c>
      <c r="VI31" t="str">
        <f>IF(ROW()-3&gt;MAX($VH$4:$VH$40),"",INDEX($FI$4:$FI$40,MATCH(ROW()-3,$VH$4:$VH$40,0)))</f>
      </c>
      <c r="VJ31" t="str">
        <f>IF(COUNTIF('Final Calculation Sheet'!$AL31:$BP31,0)+COUNTIF('Final Calculation Sheet'!$BR31:$BS31,0)&gt;0,0,1)</f>
      </c>
      <c r="VK31" t="str">
        <f>IF($FN$31="",FALSE,SUMPRODUCT(('Final Calculation Sheet'!$AF$4:$AF$40=$FN$31)*($VJ$4:$VJ$40=1))&gt;0)</f>
      </c>
      <c r="VL31" t="str">
        <f>=$VL30+--($VK31)</f>
      </c>
      <c r="VM31" t="str">
        <f>IF(ROW()-3&gt;MAX($VL$4:$VL$40),"",INDEX($FN$4:$FN$40,MATCH(ROW()-3,$VL$4:$VL$40,0)))</f>
      </c>
      <c r="VN31" t="str">
        <f>IF(COUNTIF('Final Calculation Sheet'!$AL31:$BQ31,0)+COUNTIF('Final Calculation Sheet'!$BS31:$BS31,0)&gt;0,0,1)</f>
      </c>
      <c r="VO31" t="str">
        <f>IF($FS$31="",FALSE,SUMPRODUCT(('Final Calculation Sheet'!$AG$4:$AG$40=$FS$31)*($VN$4:$VN$40=1))&gt;0)</f>
      </c>
      <c r="VP31" t="str">
        <f>=$VP30+--($VO31)</f>
      </c>
      <c r="VQ31" t="str">
        <f>IF(ROW()-3&gt;MAX($VP$4:$VP$40),"",INDEX($FS$4:$FS$40,MATCH(ROW()-3,$VP$4:$VP$40,0)))</f>
      </c>
      <c r="VR31" t="str">
        <f>IF(COUNTIF('Final Calculation Sheet'!$AL31:$BR31,0)&gt;0,0,1)</f>
      </c>
      <c r="VS31" t="str">
        <f>IF($QO$31="",FALSE,SUMPRODUCT(('Final Calculation Sheet'!$AH$4:$AH$40=$QO$31)*($VR$4:$VR$40=1))&gt;0)</f>
      </c>
      <c r="VT31" t="str">
        <f>=$VT30+--($VS31)</f>
      </c>
      <c r="VU31" t="str">
        <f>IF(ROW()-3&gt;MAX($VT$4:$VT$40),"",INDEX($QO$4:$QO$40,MATCH(ROW()-3,$VT$4:$VT$40,0)))</f>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IF(ROW()-3&gt;MAX($LC$4:$LC$40),"",INDEX($FS$4:$FS$40,MATCH(ROW()-3,$LC$4:$LC$40,0)))</f>
        <v/>
      </c>
      <c r="LE32">
        <f>IF(COUNTIF('Buyer Groups'!DH32:EN32,0)&gt;0,0,1)</f>
        <v/>
      </c>
      <c r="LF32">
        <f>IF($O$32="",FALSE,SUMPRODUCT(('Final Calculation Sheet'!$F$4:$F$40=$O$32)*($LE$6:$LE$42=1))&gt;0)</f>
        <v/>
      </c>
      <c r="LG32">
        <f>$LG$31+--($LF32)</f>
        <v/>
      </c>
      <c r="LH32">
        <f>IF(ROW()-3&gt;MAX($LG$4:$LG$40),"",INDEX($O$4:$O$40,MATCH(ROW()-3,$LG$4:$LG$40,0)))</f>
        <v/>
      </c>
      <c r="LI32">
        <f>IF(COUNTIF('Buyer Groups'!DG32:DG32,0)+COUNTIF('Buyer Groups'!DI32:EN32,0)&gt;0,0,1)</f>
        <v/>
      </c>
      <c r="LJ32">
        <f>IF($T$32="",FALSE,SUMPRODUCT(('Final Calculation Sheet'!$G$4:$G$40=$T$32)*($LI$6:$LI$42=1))&gt;0)</f>
        <v/>
      </c>
      <c r="LK32">
        <f>$LK$31+--($LJ32)</f>
        <v/>
      </c>
      <c r="LL32">
        <f>IF(ROW()-3&gt;MAX($LK$4:$LK$40),"",INDEX($T$4:$T$40,MATCH(ROW()-3,$LK$4:$LK$40,0)))</f>
        <v/>
      </c>
      <c r="LM32">
        <f>IF(COUNTIF('Buyer Groups'!DG32:DH32,0)+COUNTIF('Buyer Groups'!DJ32:EN32,0)&gt;0,0,1)</f>
        <v/>
      </c>
      <c r="LN32">
        <f>IF($Y$32="",FALSE,SUMPRODUCT(('Final Calculation Sheet'!$B$4:$B$40=$Y$32)*($LM$6:$LM$42=1))&gt;0)</f>
        <v/>
      </c>
      <c r="LO32">
        <f>$LO$31+--($LN32)</f>
        <v/>
      </c>
      <c r="LP32">
        <f>IF(ROW()-3&gt;MAX($LO$4:$LO$40),"",INDEX($Y$4:$Y$40,MATCH(ROW()-3,$LO$4:$LO$40,0)))</f>
        <v/>
      </c>
      <c r="LQ32">
        <f>IF(COUNTIF('Buyer Groups'!DG32:DI32,0)+COUNTIF('Buyer Groups'!DK32:EN32,0)&gt;0,0,1)</f>
        <v/>
      </c>
      <c r="LR32">
        <f>IF($AD$32="",FALSE,SUMPRODUCT(('Final Calculation Sheet'!$D$4:$D$40=$AD$32)*($LQ$6:$LQ$42=1))&gt;0)</f>
        <v/>
      </c>
      <c r="LS32">
        <f>$LS$31+--($LR32)</f>
        <v/>
      </c>
      <c r="LT32">
        <f>IF(ROW()-3&gt;MAX($LS$4:$LS$40),"",INDEX($AD$4:$AD$40,MATCH(ROW()-3,$LS$4:$LS$40,0)))</f>
        <v/>
      </c>
      <c r="LU32">
        <f>IF(COUNTIF('Buyer Groups'!DG32:DJ32,0)+COUNTIF('Buyer Groups'!DL32:EN32,0)&gt;0,0,1)</f>
        <v/>
      </c>
      <c r="LV32">
        <f>IF($AI$32="",FALSE,SUMPRODUCT(('Final Calculation Sheet'!$A$4:$A$40=$AI$32)*($LU$6:$LU$42=1))&gt;0)</f>
        <v/>
      </c>
      <c r="LW32">
        <f>$LW$31+--($LV32)</f>
        <v/>
      </c>
      <c r="LX32">
        <f>IF(ROW()-3&gt;MAX($LW$4:$LW$40),"",INDEX($AI$4:$AI$40,MATCH(ROW()-3,$LW$4:$LW$40,0)))</f>
        <v/>
      </c>
      <c r="LY32">
        <f>IF(COUNTIF('Buyer Groups'!DG32:DK32,0)+COUNTIF('Buyer Groups'!DM32:EN32,0)&gt;0,0,1)</f>
        <v/>
      </c>
      <c r="LZ32">
        <f>IF($AN$32="",FALSE,SUMPRODUCT(('Final Calculation Sheet'!$E$4:$E$40=$AN$32)*($LY$6:$LY$42=1))&gt;0)</f>
        <v/>
      </c>
      <c r="MA32">
        <f>$MA$31+--($LZ32)</f>
        <v/>
      </c>
      <c r="MB32">
        <f>IF(ROW()-3&gt;MAX($MA$4:$MA$40),"",INDEX($AN$4:$AN$40,MATCH(ROW()-3,$MA$4:$MA$40,0)))</f>
        <v/>
      </c>
      <c r="MC32">
        <f>IF(COUNTIF('Buyer Groups'!DG32:DL32,0)+COUNTIF('Buyer Groups'!DN32:EN32,0)&gt;0,0,1)</f>
        <v/>
      </c>
      <c r="MD32">
        <f>IF($AS$32="",FALSE,SUMPRODUCT(('Final Calculation Sheet'!$C$4:$C$40=$AS$32)*($MC$6:$MC$42=1))&gt;0)</f>
        <v/>
      </c>
      <c r="ME32">
        <f>$ME$31+--($MD32)</f>
        <v/>
      </c>
      <c r="MF32">
        <f>IF(ROW()-3&gt;MAX($ME$4:$ME$40),"",INDEX($AS$4:$AS$40,MATCH(ROW()-3,$ME$4:$ME$40,0)))</f>
        <v/>
      </c>
      <c r="MG32">
        <f>IF(COUNTIF('Buyer Groups'!DG32:DM32,0)+COUNTIF('Buyer Groups'!DO32:EN32,0)&gt;0,0,1)</f>
        <v/>
      </c>
      <c r="MH32">
        <f>IF($AX$32="",FALSE,SUMPRODUCT(('Final Calculation Sheet'!$H$4:$H$40=$AX$32)*($MG$6:$MG$42=1))&gt;0)</f>
        <v/>
      </c>
      <c r="MI32">
        <f>$MI$31+--($MH32)</f>
        <v/>
      </c>
      <c r="MJ32">
        <f>IF(ROW()-3&gt;MAX($MI$4:$MI$40),"",INDEX($AX$4:$AX$40,MATCH(ROW()-3,$MI$4:$MI$40,0)))</f>
        <v/>
      </c>
      <c r="MK32">
        <f>IF(COUNTIF('Buyer Groups'!DG32:DN32,0)+COUNTIF('Buyer Groups'!DP32:EN32,0)&gt;0,0,1)</f>
        <v/>
      </c>
      <c r="ML32">
        <f>IF($BC$32="",FALSE,SUMPRODUCT(('Final Calculation Sheet'!$I$4:$I$40=$BC$32)*($MK$6:$MK$42=1))&gt;0)</f>
        <v/>
      </c>
      <c r="MM32">
        <f>$MM$31+--($ML32)</f>
        <v/>
      </c>
      <c r="MN32">
        <f>IF(ROW()-3&gt;MAX($MM$4:$MM$40),"",INDEX($BC$4:$BC$40,MATCH(ROW()-3,$MM$4:$MM$40,0)))</f>
        <v/>
      </c>
      <c r="MO32">
        <f>IF(COUNTIF('Buyer Groups'!DG32:DO32,0)+COUNTIF('Buyer Groups'!DQ32:EN32,0)&gt;0,0,1)</f>
        <v/>
      </c>
      <c r="MP32">
        <f>IF($BH$32="",FALSE,SUMPRODUCT(('Final Calculation Sheet'!$J$4:$J$40=$BH$32)*($MO$6:$MO$42=1))&gt;0)</f>
        <v/>
      </c>
      <c r="MQ32">
        <f>$MQ$31+--($MP32)</f>
        <v/>
      </c>
      <c r="MR32">
        <f>IF(ROW()-3&gt;MAX($MQ$4:$MQ$40),"",INDEX($BH$4:$BH$40,MATCH(ROW()-3,$MQ$4:$MQ$40,0)))</f>
        <v/>
      </c>
      <c r="MS32">
        <f>IF(COUNTIF('Buyer Groups'!DG32:DP32,0)+COUNTIF('Buyer Groups'!DR32:EN32,0)&gt;0,0,1)</f>
        <v/>
      </c>
      <c r="MT32">
        <f>IF($BM$32="",FALSE,SUMPRODUCT(('Final Calculation Sheet'!$K$4:$K$40=$BM$32)*($MS$6:$MS$42=1))&gt;0)</f>
        <v/>
      </c>
      <c r="MU32">
        <f>$MU$31+--($MT32)</f>
        <v/>
      </c>
      <c r="MV32">
        <f>IF(ROW()-3&gt;MAX($MU$4:$MU$40),"",INDEX($BM$4:$BM$40,MATCH(ROW()-3,$MU$4:$MU$40,0)))</f>
        <v/>
      </c>
      <c r="MW32">
        <f>IF(COUNTIF('Buyer Groups'!DG32:DQ32,0)+COUNTIF('Buyer Groups'!DS32:EN32,0)&gt;0,0,1)</f>
        <v/>
      </c>
      <c r="MX32">
        <f>IF($BR$32="",FALSE,SUMPRODUCT(('Final Calculation Sheet'!$L$4:$L$40=$BR$32)*($MW$6:$MW$42=1))&gt;0)</f>
        <v/>
      </c>
      <c r="MY32">
        <f>$MY$31+--($MX32)</f>
        <v/>
      </c>
      <c r="MZ32">
        <f>IF(ROW()-3&gt;MAX($MY$4:$MY$40),"",INDEX($BR$4:$BR$40,MATCH(ROW()-3,$MY$4:$MY$40,0)))</f>
        <v/>
      </c>
      <c r="NA32">
        <f>IF(COUNTIF('Buyer Groups'!DG32:DR32,0)+COUNTIF('Buyer Groups'!DT32:EN32,0)&gt;0,0,1)</f>
        <v/>
      </c>
      <c r="NB32">
        <f>IF($BW$32="",FALSE,SUMPRODUCT(('Final Calculation Sheet'!$M$4:$M$40=$BW$32)*($NA$6:$NA$42=1))&gt;0)</f>
        <v/>
      </c>
      <c r="NC32">
        <f>$NC$31+--($NB32)</f>
        <v/>
      </c>
      <c r="ND32">
        <f>IF(ROW()-3&gt;MAX($NC$4:$NC$40),"",INDEX($BW$4:$BW$40,MATCH(ROW()-3,$NC$4:$NC$40,0)))</f>
        <v/>
      </c>
      <c r="NE32">
        <f>IF(COUNTIF('Buyer Groups'!DG32:DS32,0)+COUNTIF('Buyer Groups'!DU32:EN32,0)&gt;0,0,1)</f>
        <v/>
      </c>
      <c r="NF32">
        <f>IF($CB$32="",FALSE,SUMPRODUCT(('Final Calculation Sheet'!$N$4:$N$40=$CB$32)*($NE$6:$NE$42=1))&gt;0)</f>
        <v/>
      </c>
      <c r="NG32">
        <f>$NG$31+--($NF32)</f>
        <v/>
      </c>
      <c r="NH32">
        <f>IF(ROW()-3&gt;MAX($NG$4:$NG$40),"",INDEX($CB$4:$CB$40,MATCH(ROW()-3,$NG$4:$NG$40,0)))</f>
        <v/>
      </c>
      <c r="NI32">
        <f>IF(COUNTIF('Buyer Groups'!DG32:DT32,0)+COUNTIF('Buyer Groups'!DV32:EN32,0)&gt;0,0,1)</f>
        <v/>
      </c>
      <c r="NJ32">
        <f>IF($CG$32="",FALSE,SUMPRODUCT(('Final Calculation Sheet'!$O$4:$O$40=$CG$32)*($NI$6:$NI$42=1))&gt;0)</f>
        <v/>
      </c>
      <c r="NK32">
        <f>$NK$31+--($NJ32)</f>
        <v/>
      </c>
      <c r="NL32">
        <f>IF(ROW()-3&gt;MAX($NK$4:$NK$40),"",INDEX($CG$4:$CG$40,MATCH(ROW()-3,$NK$4:$NK$40,0)))</f>
        <v/>
      </c>
      <c r="NM32">
        <f>IF(COUNTIF('Buyer Groups'!DG32:DU32,0)+COUNTIF('Buyer Groups'!DW32:EN32,0)&gt;0,0,1)</f>
        <v/>
      </c>
      <c r="NN32">
        <f>IF($CL$32="",FALSE,SUMPRODUCT(('Final Calculation Sheet'!$P$4:$P$40=$CL$32)*($NM$6:$NM$42=1))&gt;0)</f>
        <v/>
      </c>
      <c r="NO32">
        <f>$NO$31+--($NN32)</f>
        <v/>
      </c>
      <c r="NP32">
        <f>IF(ROW()-3&gt;MAX($NO$4:$NO$40),"",INDEX($CL$4:$CL$40,MATCH(ROW()-3,$NO$4:$NO$40,0)))</f>
        <v/>
      </c>
      <c r="NQ32">
        <f>IF(COUNTIF('Buyer Groups'!DG32:DV32,0)+COUNTIF('Buyer Groups'!DX32:EN32,0)&gt;0,0,1)</f>
        <v/>
      </c>
      <c r="NR32">
        <f>IF($CQ$32="",FALSE,SUMPRODUCT(('Final Calculation Sheet'!$Q$4:$Q$40=$CQ$32)*($NQ$6:$NQ$42=1))&gt;0)</f>
        <v/>
      </c>
      <c r="NS32">
        <f>$NS$31+--($NR32)</f>
        <v/>
      </c>
      <c r="NT32">
        <f>IF(ROW()-3&gt;MAX($NS$4:$NS$40),"",INDEX($CQ$4:$CQ$40,MATCH(ROW()-3,$NS$4:$NS$40,0)))</f>
        <v/>
      </c>
      <c r="NU32">
        <f>IF(COUNTIF('Buyer Groups'!DG32:DW32,0)+COUNTIF('Buyer Groups'!DY32:EN32,0)&gt;0,0,1)</f>
        <v/>
      </c>
      <c r="NV32">
        <f>IF($CV$32="",FALSE,SUMPRODUCT(('Final Calculation Sheet'!$R$4:$R$40=$CV$32)*($NU$6:$NU$42=1))&gt;0)</f>
        <v/>
      </c>
      <c r="NW32">
        <f>$NW$31+--($NV32)</f>
        <v/>
      </c>
      <c r="NX32">
        <f>IF(ROW()-3&gt;MAX($NW$4:$NW$40),"",INDEX($CV$4:$CV$40,MATCH(ROW()-3,$NW$4:$NW$40,0)))</f>
        <v/>
      </c>
      <c r="NY32">
        <f>IF(COUNTIF('Buyer Groups'!DG32:DX32,0)+COUNTIF('Buyer Groups'!DZ32:EN32,0)&gt;0,0,1)</f>
        <v/>
      </c>
      <c r="NZ32">
        <f>IF($DA$32="",FALSE,SUMPRODUCT(('Final Calculation Sheet'!$S$4:$S$40=$DA$32)*($NY$6:$NY$42=1))&gt;0)</f>
        <v/>
      </c>
      <c r="OA32">
        <f>$OA$31+--($NZ32)</f>
        <v/>
      </c>
      <c r="OB32">
        <f>IF(ROW()-3&gt;MAX($OA$4:$OA$40),"",INDEX($DA$4:$DA$40,MATCH(ROW()-3,$OA$4:$OA$40,0)))</f>
        <v/>
      </c>
      <c r="OC32">
        <f>IF(COUNTIF('Buyer Groups'!DG32:DY32,0)+COUNTIF('Buyer Groups'!EA32:EN32,0)&gt;0,0,1)</f>
        <v/>
      </c>
      <c r="OD32">
        <f>IF($DF$32="",FALSE,SUMPRODUCT(('Final Calculation Sheet'!$T$4:$T$40=$DF$32)*($OC$6:$OC$42=1))&gt;0)</f>
        <v/>
      </c>
      <c r="OE32">
        <f>$OE$31+--($OD32)</f>
        <v/>
      </c>
      <c r="OF32">
        <f>IF(ROW()-3&gt;MAX($OE$4:$OE$40),"",INDEX($DF$4:$DF$40,MATCH(ROW()-3,$OE$4:$OE$40,0)))</f>
        <v/>
      </c>
      <c r="OG32">
        <f>IF(COUNTIF('Buyer Groups'!DG32:DZ32,0)+COUNTIF('Buyer Groups'!EB32:EN32,0)&gt;0,0,1)</f>
        <v/>
      </c>
      <c r="OH32">
        <f>IF($DK$32="",FALSE,SUMPRODUCT(('Final Calculation Sheet'!$U$4:$U$40=$DK$32)*($OG$6:$OG$42=1))&gt;0)</f>
        <v/>
      </c>
      <c r="OI32">
        <f>$OI$31+--($OH32)</f>
        <v/>
      </c>
      <c r="OJ32">
        <f>IF(ROW()-3&gt;MAX($OI$4:$OI$40),"",INDEX($DK$4:$DK$40,MATCH(ROW()-3,$OI$4:$OI$40,0)))</f>
        <v/>
      </c>
      <c r="OK32">
        <f>IF(COUNTIF('Buyer Groups'!DG32:EA32,0)+COUNTIF('Buyer Groups'!EC32:EN32,0)&gt;0,0,1)</f>
        <v/>
      </c>
      <c r="OL32">
        <f>IF($DP$32="",FALSE,SUMPRODUCT(('Final Calculation Sheet'!$V$4:$V$40=$DP$32)*($OK$6:$OK$42=1))&gt;0)</f>
        <v/>
      </c>
      <c r="OM32">
        <f>$OM$31+--($OL32)</f>
        <v/>
      </c>
      <c r="ON32">
        <f>IF(ROW()-3&gt;MAX($OM$4:$OM$40),"",INDEX($DP$4:$DP$40,MATCH(ROW()-3,$OM$4:$OM$40,0)))</f>
        <v/>
      </c>
      <c r="OO32">
        <f>IF(COUNTIF('Buyer Groups'!DG32:EB32,0)+COUNTIF('Buyer Groups'!ED32:EN32,0)&gt;0,0,1)</f>
        <v/>
      </c>
      <c r="OP32">
        <f>IF($DU$32="",FALSE,SUMPRODUCT(('Final Calculation Sheet'!$W$4:$W$40=$DU$32)*($OO$6:$OO$42=1))&gt;0)</f>
        <v/>
      </c>
      <c r="OQ32">
        <f>$OQ$31+--($OP32)</f>
        <v/>
      </c>
      <c r="OR32">
        <f>IF(ROW()-3&gt;MAX($OQ$4:$OQ$40),"",INDEX($DU$4:$DU$40,MATCH(ROW()-3,$OQ$4:$OQ$40,0)))</f>
        <v/>
      </c>
      <c r="OS32">
        <f>IF(COUNTIF('Buyer Groups'!DG32:EC32,0)+COUNTIF('Buyer Groups'!EE32:EN32,0)&gt;0,0,1)</f>
        <v/>
      </c>
      <c r="OT32">
        <f>IF($DZ$32="",FALSE,SUMPRODUCT(('Final Calculation Sheet'!$X$4:$X$40=$DZ$32)*($OS$6:$OS$42=1))&gt;0)</f>
        <v/>
      </c>
      <c r="OU32">
        <f>$OU$31+--($OT32)</f>
        <v/>
      </c>
      <c r="OV32">
        <f>IF(ROW()-3&gt;MAX($OU$4:$OU$40),"",INDEX($DZ$4:$DZ$40,MATCH(ROW()-3,$OU$4:$OU$40,0)))</f>
        <v/>
      </c>
      <c r="OW32">
        <f>IF(COUNTIF('Buyer Groups'!DG32:ED32,0)+COUNTIF('Buyer Groups'!EF32:EN32,0)&gt;0,0,1)</f>
        <v/>
      </c>
      <c r="OX32">
        <f>IF($EE$32="",FALSE,SUMPRODUCT(('Final Calculation Sheet'!$Y$4:$Y$40=$EE$32)*($OW$6:$OW$42=1))&gt;0)</f>
        <v/>
      </c>
      <c r="OY32">
        <f>$OY$31+--($OX32)</f>
        <v/>
      </c>
      <c r="OZ32">
        <f>IF(ROW()-3&gt;MAX($OY$4:$OY$40),"",INDEX($EE$4:$EE$40,MATCH(ROW()-3,$OY$4:$OY$40,0)))</f>
        <v/>
      </c>
      <c r="PA32">
        <f>IF(COUNTIF('Buyer Groups'!DG32:EE32,0)+COUNTIF('Buyer Groups'!EG32:EN32,0)&gt;0,0,1)</f>
        <v/>
      </c>
      <c r="PB32">
        <f>IF($EJ$32="",FALSE,SUMPRODUCT(('Final Calculation Sheet'!$Z$4:$Z$40=$EJ$32)*($PA$6:$PA$42=1))&gt;0)</f>
        <v/>
      </c>
      <c r="PC32">
        <f>$PC$31+--($PB32)</f>
        <v/>
      </c>
      <c r="PD32">
        <f>IF(ROW()-3&gt;MAX($PC$4:$PC$40),"",INDEX($EJ$4:$EJ$40,MATCH(ROW()-3,$PC$4:$PC$40,0)))</f>
        <v/>
      </c>
      <c r="PE32">
        <f>IF(COUNTIF('Buyer Groups'!DG32:EF32,0)+COUNTIF('Buyer Groups'!EH32:EN32,0)&gt;0,0,1)</f>
        <v/>
      </c>
      <c r="PF32">
        <f>IF($EO$32="",FALSE,SUMPRODUCT(('Final Calculation Sheet'!$AA$4:$AA$40=$EO$32)*($PE$6:$PE$42=1))&gt;0)</f>
        <v/>
      </c>
      <c r="PG32">
        <f>$PG$31+--($PF32)</f>
        <v/>
      </c>
      <c r="PH32">
        <f>IF(ROW()-3&gt;MAX($PG$4:$PG$40),"",INDEX($EO$4:$EO$40,MATCH(ROW()-3,$PG$4:$PG$40,0)))</f>
        <v/>
      </c>
      <c r="PI32">
        <f>IF(COUNTIF('Buyer Groups'!DG32:EG32,0)+COUNTIF('Buyer Groups'!EI32:EN32,0)&gt;0,0,1)</f>
        <v/>
      </c>
      <c r="PJ32">
        <f>IF($ET$32="",FALSE,SUMPRODUCT(('Final Calculation Sheet'!$AB$4:$AB$40=$ET$32)*($PI$6:$PI$42=1))&gt;0)</f>
        <v/>
      </c>
      <c r="PK32">
        <f>$PK$31+--($PJ32)</f>
        <v/>
      </c>
      <c r="PL32">
        <f>IF(ROW()-3&gt;MAX($PK$4:$PK$40),"",INDEX($ET$4:$ET$40,MATCH(ROW()-3,$PK$4:$PK$40,0)))</f>
        <v/>
      </c>
      <c r="PM32">
        <f>IF(COUNTIF('Buyer Groups'!DG32:EH32,0)+COUNTIF('Buyer Groups'!EJ32:EN32,0)&gt;0,0,1)</f>
        <v/>
      </c>
      <c r="PN32">
        <f>IF($EY$32="",FALSE,SUMPRODUCT(('Final Calculation Sheet'!$AC$4:$AC$40=$EY$32)*($PM$6:$PM$42=1))&gt;0)</f>
        <v/>
      </c>
      <c r="PO32">
        <f>$PO$31+--($PN32)</f>
        <v/>
      </c>
      <c r="PP32">
        <f>IF(ROW()-3&gt;MAX($PO$4:$PO$40),"",INDEX($EY$4:$EY$40,MATCH(ROW()-3,$PO$4:$PO$40,0)))</f>
        <v/>
      </c>
      <c r="PQ32">
        <f>IF(COUNTIF('Buyer Groups'!DG32:EI32,0)+COUNTIF('Buyer Groups'!EK32:EN32,0)&gt;0,0,1)</f>
        <v/>
      </c>
      <c r="PR32">
        <f>IF($FD$32="",FALSE,SUMPRODUCT(('Final Calculation Sheet'!$AD$4:$AD$40=$FD$32)*($PQ$6:$PQ$42=1))&gt;0)</f>
        <v/>
      </c>
      <c r="PS32">
        <f>$PS$31+--($PR32)</f>
        <v/>
      </c>
      <c r="PT32">
        <f>IF(ROW()-3&gt;MAX($PS$4:$PS$40),"",INDEX($FD$4:$FD$40,MATCH(ROW()-3,$PS$4:$PS$40,0)))</f>
        <v/>
      </c>
      <c r="PU32">
        <f>IF(COUNTIF('Buyer Groups'!DG32:EJ32,0)+COUNTIF('Buyer Groups'!EL32:EN32,0)&gt;0,0,1)</f>
        <v/>
      </c>
      <c r="PV32">
        <f>IF($FX$32="",FALSE,SUMPRODUCT((IF('Final Calculation Sheet'!$AD$4:$AD$40&lt;=5,"SETTLED","OUTSTANDING")=$FX$32)*($PU$6:$PU$42=1))&gt;0)</f>
        <v/>
      </c>
      <c r="PW32">
        <f>$PW$31+--($PV32)</f>
        <v/>
      </c>
      <c r="PX32">
        <f>IF(ROW()-3&gt;MAX($PW$4:$PW$40),"",INDEX($FX$4:$FX$40,MATCH(ROW()-3,$PW$4:$PW$40,0)))</f>
        <v/>
      </c>
      <c r="PY32">
        <f>IF(COUNTIF('Buyer Groups'!DG32:EK32,0)+COUNTIF('Buyer Groups'!EM32:EN32,0)&gt;0,0,1)</f>
        <v/>
      </c>
      <c r="PZ32">
        <f>IF($FI$32="",FALSE,SUMPRODUCT(('Final Calculation Sheet'!$AF$4:$AF$40=$FI$32)*($PY$6:$PY$42=1))&gt;0)</f>
        <v/>
      </c>
      <c r="QA32">
        <f>$QA$31+--($PZ32)</f>
        <v/>
      </c>
      <c r="QB32">
        <f>IF(ROW()-3&gt;MAX($QA$4:$QA$40),"",INDEX($FI$4:$FI$40,MATCH(ROW()-3,$QA$4:$QA$40,0)))</f>
        <v/>
      </c>
      <c r="QC32">
        <f>IF(COUNTIF('Buyer Groups'!DG32:EL32,0)+COUNTIF('Buyer Groups'!EN32:EN32,0)&gt;0,0,1)</f>
        <v/>
      </c>
      <c r="QD32">
        <f>IF($FN$32="",FALSE,SUMPRODUCT(('Final Calculation Sheet'!$AG$4:$AG$40=$FN$32)*($QC$6:$QC$42=1))&gt;0)</f>
        <v/>
      </c>
      <c r="QE32">
        <f>$QE$31+--($QD32)</f>
        <v/>
      </c>
      <c r="QF32">
        <f>IF(ROW()-3&gt;MAX($QE$4:$QE$40),"",INDEX($FN$4:$FN$40,MATCH(ROW()-3,$QE$4:$QE$40,0)))</f>
        <v/>
      </c>
      <c r="QG32">
        <f>IF(COUNTIF('Buyer Groups'!DG32:EM32,0)&gt;0,0,1)</f>
        <v/>
      </c>
      <c r="QH32">
        <f>IF($FS$32="",FALSE,SUMPRODUCT(('Final Calculation Sheet'!$AH$4:$AH$40=$FS$32)*($QG$6:$QG$42=1))&gt;0)</f>
        <v/>
      </c>
      <c r="QI32">
        <f>$QI$31+--($QH32)</f>
        <v/>
      </c>
      <c r="QJ32">
        <f>IF(ROW()-3&gt;MAX($QI$4:$QI$40),"",INDEX($FS$4:$FS$40,MATCH(ROW()-3,$QI$4:$QI$40,0)))</f>
        <v/>
      </c>
      <c r="QK32" t="str">
        <f>IF('Final Calculation Sheet'!$AH$32="","",'Final Calculation Sheet'!$AH$32)</f>
      </c>
      <c r="QL32" t="str">
        <f>IF(QK32="","",COUNTIFS(QK$4:QK$40,"&lt;"&amp;QK32,QK$4:QK$40,"&lt;&gt;"&amp;"")+COUNTIF(QK$4:QK32,QK32))</f>
      </c>
      <c r="QM32" t="str">
        <f>IF(ROW()-3&gt;COUNTIF(QK$4:QK$40,"&lt;&gt;"&amp;""),"",INDEX(QK$4:QK$40,MATCH(ROW()-3,QL$4:QL$40,0)))</f>
      </c>
      <c r="QN32" t="str">
        <f>=QN31+F(AND(QM32&lt;&gt;"",COUNTIF(QM$4:QM32,QM32)=1),1,0)</f>
      </c>
      <c r="QO32" t="str">
        <f>IF(ROW()-3&gt;MAX(QN$4:QN$40),"",INDEX(QM$4:QM$40,MATCH(ROW()-3,QN$4:QN$40,0)))</f>
      </c>
      <c r="QP32" t="str">
        <f>IF(COUNTIF('Final Calculation Sheet'!$AM32:$BS32,0)&gt;0,0,1)</f>
      </c>
      <c r="QQ32" t="str">
        <f>IF($AI$32="",FALSE,SUMPRODUCT(('Final Calculation Sheet'!$A$4:$A$40=$AI$32)*($QP$4:$QP$40=1))&gt;0)</f>
      </c>
      <c r="QR32" t="str">
        <f>=$QR31+--($QQ32)</f>
      </c>
      <c r="QS32" t="str">
        <f>IF(ROW()-3&gt;MAX($QR$4:$QR$40),"",INDEX($AI$4:$AI$40,MATCH(ROW()-3,$QR$4:$QR$40,0)))</f>
      </c>
      <c r="QT32" t="str">
        <f>IF(COUNTIF('Final Calculation Sheet'!$AL32:$AL32,0)+COUNTIF('Final Calculation Sheet'!$AN32:$BS32,0)&gt;0,0,1)</f>
      </c>
      <c r="QU32" t="str">
        <f>IF($Y$32="",FALSE,SUMPRODUCT(('Final Calculation Sheet'!$B$4:$B$40=$Y$32)*($QT$4:$QT$40=1))&gt;0)</f>
      </c>
      <c r="QV32" t="str">
        <f>=$QV31+--($QU32)</f>
      </c>
      <c r="QW32" t="str">
        <f>IF(ROW()-3&gt;MAX($QV$4:$QV$40),"",INDEX($Y$4:$Y$40,MATCH(ROW()-3,$QV$4:$QV$40,0)))</f>
      </c>
      <c r="QX32" t="str">
        <f>IF(COUNTIF('Final Calculation Sheet'!$AL32:$AM32,0)+COUNTIF('Final Calculation Sheet'!$AO32:$BS32,0)&gt;0,0,1)</f>
      </c>
      <c r="QY32" t="str">
        <f>IF($AS$32="",FALSE,SUMPRODUCT(('Final Calculation Sheet'!$C$4:$C$40=$AS$32)*($QX$4:$QX$40=1))&gt;0)</f>
      </c>
      <c r="QZ32" t="str">
        <f>=$QZ31+--($QY32)</f>
      </c>
      <c r="RA32" t="str">
        <f>IF(ROW()-3&gt;MAX($QZ$4:$QZ$40),"",INDEX($AS$4:$AS$40,MATCH(ROW()-3,$QZ$4:$QZ$40,0)))</f>
      </c>
      <c r="RB32" t="str">
        <f>IF(COUNTIF('Final Calculation Sheet'!$AL32:$AN32,0)+COUNTIF('Final Calculation Sheet'!$AP32:$BS32,0)&gt;0,0,1)</f>
      </c>
      <c r="RC32" t="str">
        <f>IF($AD$32="",FALSE,SUMPRODUCT(('Final Calculation Sheet'!$D$4:$D$40=$AD$32)*($RB$4:$RB$40=1))&gt;0)</f>
      </c>
      <c r="RD32" t="str">
        <f>=$RD31+--($RC32)</f>
      </c>
      <c r="RE32" t="str">
        <f>IF(ROW()-3&gt;MAX($RD$4:$RD$40),"",INDEX($AD$4:$AD$40,MATCH(ROW()-3,$RD$4:$RD$40,0)))</f>
      </c>
      <c r="RF32" t="str">
        <f>IF(COUNTIF('Final Calculation Sheet'!$AL32:$AO32,0)+COUNTIF('Final Calculation Sheet'!$AQ32:$BS32,0)&gt;0,0,1)</f>
      </c>
      <c r="RG32" t="str">
        <f>IF($AN$32="",FALSE,SUMPRODUCT(('Final Calculation Sheet'!$E$4:$E$40=$AN$32)*($RF$4:$RF$40=1))&gt;0)</f>
      </c>
      <c r="RH32" t="str">
        <f>=$RH31+--($RG32)</f>
      </c>
      <c r="RI32" t="str">
        <f>IF(ROW()-3&gt;MAX($RH$4:$RH$40),"",INDEX($AN$4:$AN$40,MATCH(ROW()-3,$RH$4:$RH$40,0)))</f>
      </c>
      <c r="RJ32" t="str">
        <f>IF(COUNTIF('Final Calculation Sheet'!$AL32:$AP32,0)+COUNTIF('Final Calculation Sheet'!$AR32:$BS32,0)&gt;0,0,1)</f>
      </c>
      <c r="RK32" t="str">
        <f>IF($O$32="",FALSE,SUMPRODUCT(('Final Calculation Sheet'!$F$4:$F$40=$O$32)*($RJ$4:$RJ$40=1))&gt;0)</f>
      </c>
      <c r="RL32" t="str">
        <f>=$RL31+--($RK32)</f>
      </c>
      <c r="RM32" t="str">
        <f>IF(ROW()-3&gt;MAX($RL$4:$RL$40),"",INDEX($O$4:$O$40,MATCH(ROW()-3,$RL$4:$RL$40,0)))</f>
      </c>
      <c r="RN32" t="str">
        <f>IF(COUNTIF('Final Calculation Sheet'!$AL32:$AQ32,0)+COUNTIF('Final Calculation Sheet'!$AS32:$BS32,0)&gt;0,0,1)</f>
      </c>
      <c r="RO32" t="str">
        <f>IF($T$32="",FALSE,SUMPRODUCT(('Final Calculation Sheet'!$G$4:$G$40=$T$32)*($RN$4:$RN$40=1))&gt;0)</f>
      </c>
      <c r="RP32" t="str">
        <f>=$RP31+--($RO32)</f>
      </c>
      <c r="RQ32" t="str">
        <f>IF(ROW()-3&gt;MAX($RP$4:$RP$40),"",INDEX($T$4:$T$40,MATCH(ROW()-3,$RP$4:$RP$40,0)))</f>
      </c>
      <c r="RR32" t="str">
        <f>IF(COUNTIF('Final Calculation Sheet'!$AL32:$AR32,0)+COUNTIF('Final Calculation Sheet'!$AT32:$BS32,0)&gt;0,0,1)</f>
      </c>
      <c r="RS32" t="str">
        <f>IF($AX$32="",FALSE,SUMPRODUCT(('Final Calculation Sheet'!$H$4:$H$40=$AX$32)*($RR$4:$RR$40=1))&gt;0)</f>
      </c>
      <c r="RT32" t="str">
        <f>=$RT31+--($RS32)</f>
      </c>
      <c r="RU32" t="str">
        <f>IF(ROW()-3&gt;MAX($RT$4:$RT$40),"",INDEX($AX$4:$AX$40,MATCH(ROW()-3,$RT$4:$RT$40,0)))</f>
      </c>
      <c r="RV32" t="str">
        <f>IF(COUNTIF('Final Calculation Sheet'!$AL32:$AS32,0)+COUNTIF('Final Calculation Sheet'!$AU32:$BS32,0)&gt;0,0,1)</f>
      </c>
      <c r="RW32" t="str">
        <f>IF($BC$32="",FALSE,SUMPRODUCT(('Final Calculation Sheet'!$I$4:$I$40=$BC$32)*($RV$4:$RV$40=1))&gt;0)</f>
      </c>
      <c r="RX32" t="str">
        <f>=$RX31+--($RW32)</f>
      </c>
      <c r="RY32" t="str">
        <f>IF(ROW()-3&gt;MAX($RX$4:$RX$40),"",INDEX($BC$4:$BC$40,MATCH(ROW()-3,$RX$4:$RX$40,0)))</f>
      </c>
      <c r="RZ32" t="str">
        <f>IF(COUNTIF('Final Calculation Sheet'!$AL32:$AT32,0)+COUNTIF('Final Calculation Sheet'!$AV32:$BS32,0)&gt;0,0,1)</f>
      </c>
      <c r="SA32" t="str">
        <f>IF($BH$32="",FALSE,SUMPRODUCT(('Final Calculation Sheet'!$J$4:$J$40=$BH$32)*($RZ$4:$RZ$40=1))&gt;0)</f>
      </c>
      <c r="SB32" t="str">
        <f>=$SB31+--($SA32)</f>
      </c>
      <c r="SC32" t="str">
        <f>IF(ROW()-3&gt;MAX($SB$4:$SB$40),"",INDEX($BH$4:$BH$40,MATCH(ROW()-3,$SB$4:$SB$40,0)))</f>
      </c>
      <c r="SD32" t="str">
        <f>IF(COUNTIF('Final Calculation Sheet'!$AL32:$AU32,0)+COUNTIF('Final Calculation Sheet'!$AW32:$BS32,0)&gt;0,0,1)</f>
      </c>
      <c r="SE32" t="str">
        <f>IF($BM$32="",FALSE,SUMPRODUCT(('Final Calculation Sheet'!$K$4:$K$40=$BM$32)*($SD$4:$SD$40=1))&gt;0)</f>
      </c>
      <c r="SF32" t="str">
        <f>=$SF31+--($SE32)</f>
      </c>
      <c r="SG32" t="str">
        <f>IF(ROW()-3&gt;MAX($SF$4:$SF$40),"",INDEX($BM$4:$BM$40,MATCH(ROW()-3,$SF$4:$SF$40,0)))</f>
      </c>
      <c r="SH32" t="str">
        <f>IF(COUNTIF('Final Calculation Sheet'!$AL32:$AV32,0)+COUNTIF('Final Calculation Sheet'!$AX32:$BS32,0)&gt;0,0,1)</f>
      </c>
      <c r="SI32" t="str">
        <f>IF($BR$32="",FALSE,SUMPRODUCT(('Final Calculation Sheet'!$L$4:$L$40=$BR$32)*($SH$4:$SH$40=1))&gt;0)</f>
      </c>
      <c r="SJ32" t="str">
        <f>=$SJ31+--($SI32)</f>
      </c>
      <c r="SK32" t="str">
        <f>IF(ROW()-3&gt;MAX($SJ$4:$SJ$40),"",INDEX($BR$4:$BR$40,MATCH(ROW()-3,$SJ$4:$SJ$40,0)))</f>
      </c>
      <c r="SL32" t="str">
        <f>IF(COUNTIF('Final Calculation Sheet'!$AL32:$AW32,0)+COUNTIF('Final Calculation Sheet'!$AY32:$BS32,0)&gt;0,0,1)</f>
      </c>
      <c r="SM32" t="str">
        <f>IF($BW$32="",FALSE,SUMPRODUCT(('Final Calculation Sheet'!$M$4:$M$40=$BW$32)*($SL$4:$SL$40=1))&gt;0)</f>
      </c>
      <c r="SN32" t="str">
        <f>=$SN31+--($SM32)</f>
      </c>
      <c r="SO32" t="str">
        <f>IF(ROW()-3&gt;MAX($SN$4:$SN$40),"",INDEX($BW$4:$BW$40,MATCH(ROW()-3,$SN$4:$SN$40,0)))</f>
      </c>
      <c r="SP32" t="str">
        <f>IF(COUNTIF('Final Calculation Sheet'!$AL32:$AX32,0)+COUNTIF('Final Calculation Sheet'!$AZ32:$BS32,0)&gt;0,0,1)</f>
      </c>
      <c r="SQ32" t="str">
        <f>IF($CB$32="",FALSE,SUMPRODUCT(('Final Calculation Sheet'!$N$4:$N$40=$CB$32)*($SP$4:$SP$40=1))&gt;0)</f>
      </c>
      <c r="SR32" t="str">
        <f>=$SR31+--($SQ32)</f>
      </c>
      <c r="SS32" t="str">
        <f>IF(ROW()-3&gt;MAX($SR$4:$SR$40),"",INDEX($CB$4:$CB$40,MATCH(ROW()-3,$SR$4:$SR$40,0)))</f>
      </c>
      <c r="ST32" t="str">
        <f>IF(COUNTIF('Final Calculation Sheet'!$AL32:$AY32,0)+COUNTIF('Final Calculation Sheet'!$BA32:$BS32,0)&gt;0,0,1)</f>
      </c>
      <c r="SU32" t="str">
        <f>IF($CG$32="",FALSE,SUMPRODUCT(('Final Calculation Sheet'!$O$4:$O$40=$CG$32)*($ST$4:$ST$40=1))&gt;0)</f>
      </c>
      <c r="SV32" t="str">
        <f>=$SV31+--($SU32)</f>
      </c>
      <c r="SW32" t="str">
        <f>IF(ROW()-3&gt;MAX($SV$4:$SV$40),"",INDEX($CG$4:$CG$40,MATCH(ROW()-3,$SV$4:$SV$40,0)))</f>
      </c>
      <c r="SX32" t="str">
        <f>IF(COUNTIF('Final Calculation Sheet'!$AL32:$AZ32,0)+COUNTIF('Final Calculation Sheet'!$BB32:$BS32,0)&gt;0,0,1)</f>
      </c>
      <c r="SY32" t="str">
        <f>IF($CL$32="",FALSE,SUMPRODUCT(('Final Calculation Sheet'!$P$4:$P$40=$CL$32)*($SX$4:$SX$40=1))&gt;0)</f>
      </c>
      <c r="SZ32" t="str">
        <f>=$SZ31+--($SY32)</f>
      </c>
      <c r="TA32" t="str">
        <f>IF(ROW()-3&gt;MAX($SZ$4:$SZ$40),"",INDEX($CL$4:$CL$40,MATCH(ROW()-3,$SZ$4:$SZ$40,0)))</f>
      </c>
      <c r="TB32" t="str">
        <f>IF(COUNTIF('Final Calculation Sheet'!$AL32:$BA32,0)+COUNTIF('Final Calculation Sheet'!$BC32:$BS32,0)&gt;0,0,1)</f>
      </c>
      <c r="TC32" t="str">
        <f>IF($CQ$32="",FALSE,SUMPRODUCT(('Final Calculation Sheet'!$Q$4:$Q$40=$CQ$32)*($TB$4:$TB$40=1))&gt;0)</f>
      </c>
      <c r="TD32" t="str">
        <f>=$TD31+--($TC32)</f>
      </c>
      <c r="TE32" t="str">
        <f>IF(ROW()-3&gt;MAX($TD$4:$TD$40),"",INDEX($CQ$4:$CQ$40,MATCH(ROW()-3,$TD$4:$TD$40,0)))</f>
      </c>
      <c r="TF32" t="str">
        <f>IF(COUNTIF('Final Calculation Sheet'!$AL32:$BB32,0)+COUNTIF('Final Calculation Sheet'!$BD32:$BS32,0)&gt;0,0,1)</f>
      </c>
      <c r="TG32" t="str">
        <f>IF($CV$32="",FALSE,SUMPRODUCT(('Final Calculation Sheet'!$R$4:$R$40=$CV$32)*($TF$4:$TF$40=1))&gt;0)</f>
      </c>
      <c r="TH32" t="str">
        <f>=$TH31+--($TG32)</f>
      </c>
      <c r="TI32" t="str">
        <f>IF(ROW()-3&gt;MAX($TH$4:$TH$40),"",INDEX($CV$4:$CV$40,MATCH(ROW()-3,$TH$4:$TH$40,0)))</f>
      </c>
      <c r="TJ32" t="str">
        <f>IF(COUNTIF('Final Calculation Sheet'!$AL32:$BC32,0)+COUNTIF('Final Calculation Sheet'!$BE32:$BS32,0)&gt;0,0,1)</f>
      </c>
      <c r="TK32" t="str">
        <f>IF($DA$32="",FALSE,SUMPRODUCT(('Final Calculation Sheet'!$S$4:$S$40=$DA$32)*($TJ$4:$TJ$40=1))&gt;0)</f>
      </c>
      <c r="TL32" t="str">
        <f>=$TL31+--($TK32)</f>
      </c>
      <c r="TM32" t="str">
        <f>IF(ROW()-3&gt;MAX($TL$4:$TL$40),"",INDEX($DA$4:$DA$40,MATCH(ROW()-3,$TL$4:$TL$40,0)))</f>
      </c>
      <c r="TN32" t="str">
        <f>IF(COUNTIF('Final Calculation Sheet'!$AL32:$BD32,0)+COUNTIF('Final Calculation Sheet'!$BF32:$BS32,0)&gt;0,0,1)</f>
      </c>
      <c r="TO32" t="str">
        <f>IF($DF$32="",FALSE,SUMPRODUCT(('Final Calculation Sheet'!$T$4:$T$40=$DF$32)*($TN$4:$TN$40=1))&gt;0)</f>
      </c>
      <c r="TP32" t="str">
        <f>=$TP31+--($TO32)</f>
      </c>
      <c r="TQ32" t="str">
        <f>IF(ROW()-3&gt;MAX($TP$4:$TP$40),"",INDEX($DF$4:$DF$40,MATCH(ROW()-3,$TP$4:$TP$40,0)))</f>
      </c>
      <c r="TR32" t="str">
        <f>IF(COUNTIF('Final Calculation Sheet'!$AL32:$BE32,0)+COUNTIF('Final Calculation Sheet'!$BG32:$BS32,0)&gt;0,0,1)</f>
      </c>
      <c r="TS32" t="str">
        <f>IF($DK$32="",FALSE,SUMPRODUCT(('Final Calculation Sheet'!$U$4:$U$40=$DK$32)*($TR$4:$TR$40=1))&gt;0)</f>
      </c>
      <c r="TT32" t="str">
        <f>=$TT31+--($TS32)</f>
      </c>
      <c r="TU32" t="str">
        <f>IF(ROW()-3&gt;MAX($TT$4:$TT$40),"",INDEX($DK$4:$DK$40,MATCH(ROW()-3,$TT$4:$TT$40,0)))</f>
      </c>
      <c r="TV32" t="str">
        <f>IF(COUNTIF('Final Calculation Sheet'!$AL32:$BF32,0)+COUNTIF('Final Calculation Sheet'!$BH32:$BS32,0)&gt;0,0,1)</f>
      </c>
      <c r="TW32" t="str">
        <f>IF($DP$32="",FALSE,SUMPRODUCT(('Final Calculation Sheet'!$V$4:$V$40=$DP$32)*($TV$4:$TV$40=1))&gt;0)</f>
      </c>
      <c r="TX32" t="str">
        <f>=$TX31+--($TW32)</f>
      </c>
      <c r="TY32" t="str">
        <f>IF(ROW()-3&gt;MAX($TX$4:$TX$40),"",INDEX($DP$4:$DP$40,MATCH(ROW()-3,$TX$4:$TX$40,0)))</f>
      </c>
      <c r="TZ32" t="str">
        <f>IF(COUNTIF('Final Calculation Sheet'!$AL32:$BG32,0)+COUNTIF('Final Calculation Sheet'!$BI32:$BS32,0)&gt;0,0,1)</f>
      </c>
      <c r="UA32" t="str">
        <f>IF($DU$32="",FALSE,SUMPRODUCT(('Final Calculation Sheet'!$W$4:$W$40=$DU$32)*($TZ$4:$TZ$40=1))&gt;0)</f>
      </c>
      <c r="UB32" t="str">
        <f>=$UB31+--($UA32)</f>
      </c>
      <c r="UC32" t="str">
        <f>IF(ROW()-3&gt;MAX($UB$4:$UB$40),"",INDEX($DU$4:$DU$40,MATCH(ROW()-3,$UB$4:$UB$40,0)))</f>
      </c>
      <c r="UD32" t="str">
        <f>IF(COUNTIF('Final Calculation Sheet'!$AL32:$BH32,0)+COUNTIF('Final Calculation Sheet'!$BJ32:$BS32,0)&gt;0,0,1)</f>
      </c>
      <c r="UE32" t="str">
        <f>IF($DZ$32="",FALSE,SUMPRODUCT(('Final Calculation Sheet'!$X$4:$X$40=$DZ$32)*($UD$4:$UD$40=1))&gt;0)</f>
      </c>
      <c r="UF32" t="str">
        <f>=$UF31+--($UE32)</f>
      </c>
      <c r="UG32" t="str">
        <f>IF(ROW()-3&gt;MAX($UF$4:$UF$40),"",INDEX($DZ$4:$DZ$40,MATCH(ROW()-3,$UF$4:$UF$40,0)))</f>
      </c>
      <c r="UH32" t="str">
        <f>IF(COUNTIF('Final Calculation Sheet'!$AL32:$BI32,0)+COUNTIF('Final Calculation Sheet'!$BK32:$BS32,0)&gt;0,0,1)</f>
      </c>
      <c r="UI32" t="str">
        <f>IF($EE$32="",FALSE,SUMPRODUCT(('Final Calculation Sheet'!$Y$4:$Y$40=$EE$32)*($UH$4:$UH$40=1))&gt;0)</f>
      </c>
      <c r="UJ32" t="str">
        <f>=$UJ31+--($UI32)</f>
      </c>
      <c r="UK32" t="str">
        <f>IF(ROW()-3&gt;MAX($UJ$4:$UJ$40),"",INDEX($EE$4:$EE$40,MATCH(ROW()-3,$UJ$4:$UJ$40,0)))</f>
      </c>
      <c r="UL32" t="str">
        <f>IF(COUNTIF('Final Calculation Sheet'!$AL32:$BJ32,0)+COUNTIF('Final Calculation Sheet'!$BL32:$BS32,0)&gt;0,0,1)</f>
      </c>
      <c r="UM32" t="str">
        <f>IF($EJ$32="",FALSE,SUMPRODUCT(('Final Calculation Sheet'!$Z$4:$Z$40=$EJ$32)*($UL$4:$UL$40=1))&gt;0)</f>
      </c>
      <c r="UN32" t="str">
        <f>=$UN31+--($UM32)</f>
      </c>
      <c r="UO32" t="str">
        <f>IF(ROW()-3&gt;MAX($UN$4:$UN$40),"",INDEX($EJ$4:$EJ$40,MATCH(ROW()-3,$UN$4:$UN$40,0)))</f>
      </c>
      <c r="UP32" t="str">
        <f>IF(COUNTIF('Final Calculation Sheet'!$AL32:$BK32,0)+COUNTIF('Final Calculation Sheet'!$BM32:$BS32,0)&gt;0,0,1)</f>
      </c>
      <c r="UQ32" t="str">
        <f>IF($EO$32="",FALSE,SUMPRODUCT(('Final Calculation Sheet'!$AA$4:$AA$40=$EO$32)*($UP$4:$UP$40=1))&gt;0)</f>
      </c>
      <c r="UR32" t="str">
        <f>=$UR31+--($UQ32)</f>
      </c>
      <c r="US32" t="str">
        <f>IF(ROW()-3&gt;MAX($UR$4:$UR$40),"",INDEX($EO$4:$EO$40,MATCH(ROW()-3,$UR$4:$UR$40,0)))</f>
      </c>
      <c r="UT32" t="str">
        <f>IF(COUNTIF('Final Calculation Sheet'!$AL32:$BL32,0)+COUNTIF('Final Calculation Sheet'!$BN32:$BS32,0)&gt;0,0,1)</f>
      </c>
      <c r="UU32" t="str">
        <f>IF($ET$32="",FALSE,SUMPRODUCT(('Final Calculation Sheet'!$AB$4:$AB$40=$ET$32)*($UT$4:$UT$40=1))&gt;0)</f>
      </c>
      <c r="UV32" t="str">
        <f>=$UV31+--($UU32)</f>
      </c>
      <c r="UW32" t="str">
        <f>IF(ROW()-3&gt;MAX($UV$4:$UV$40),"",INDEX($ET$4:$ET$40,MATCH(ROW()-3,$UV$4:$UV$40,0)))</f>
      </c>
      <c r="UX32" t="str">
        <f>IF(COUNTIF('Final Calculation Sheet'!$AL32:$BM32,0)+COUNTIF('Final Calculation Sheet'!$BO32:$BS32,0)&gt;0,0,1)</f>
      </c>
      <c r="UY32" t="str">
        <f>IF($EY$32="",FALSE,SUMPRODUCT(('Final Calculation Sheet'!$AC$4:$AC$40=$EY$32)*($UX$4:$UX$40=1))&gt;0)</f>
      </c>
      <c r="UZ32" t="str">
        <f>=$UZ31+--($UY32)</f>
      </c>
      <c r="VA32" t="str">
        <f>IF(ROW()-3&gt;MAX($UZ$4:$UZ$40),"",INDEX($EY$4:$EY$40,MATCH(ROW()-3,$UZ$4:$UZ$40,0)))</f>
      </c>
      <c r="VB32" t="str">
        <f>IF(COUNTIF('Final Calculation Sheet'!$AL32:$BN32,0)+COUNTIF('Final Calculation Sheet'!$BP32:$BS32,0)&gt;0,0,1)</f>
      </c>
      <c r="VC32" t="str">
        <f>IF($FD$32="",FALSE,SUMPRODUCT(('Final Calculation Sheet'!$AD$4:$AD$40=$FD$32)*($VB$4:$VB$40=1))&gt;0)</f>
      </c>
      <c r="VD32" t="str">
        <f>=$VD31+--($VC32)</f>
      </c>
      <c r="VE32" t="str">
        <f>IF(ROW()-3&gt;MAX($VD$4:$VD$40),"",INDEX($FD$4:$FD$40,MATCH(ROW()-3,$VD$4:$VD$40,0)))</f>
      </c>
      <c r="VF32" t="str">
        <f>IF(COUNTIF('Final Calculation Sheet'!$AL32:$BO32,0)+COUNTIF('Final Calculation Sheet'!$BQ32:$BS32,0)&gt;0,0,1)</f>
      </c>
      <c r="VG32" t="str">
        <f>IF($FI$32="",FALSE,SUMPRODUCT(('Final Calculation Sheet'!$AE$4:$AE$40=$FI$32)*($VF$4:$VF$40=1))&gt;0)</f>
      </c>
      <c r="VH32" t="str">
        <f>=$VH31+--($VG32)</f>
      </c>
      <c r="VI32" t="str">
        <f>IF(ROW()-3&gt;MAX($VH$4:$VH$40),"",INDEX($FI$4:$FI$40,MATCH(ROW()-3,$VH$4:$VH$40,0)))</f>
      </c>
      <c r="VJ32" t="str">
        <f>IF(COUNTIF('Final Calculation Sheet'!$AL32:$BP32,0)+COUNTIF('Final Calculation Sheet'!$BR32:$BS32,0)&gt;0,0,1)</f>
      </c>
      <c r="VK32" t="str">
        <f>IF($FN$32="",FALSE,SUMPRODUCT(('Final Calculation Sheet'!$AF$4:$AF$40=$FN$32)*($VJ$4:$VJ$40=1))&gt;0)</f>
      </c>
      <c r="VL32" t="str">
        <f>=$VL31+--($VK32)</f>
      </c>
      <c r="VM32" t="str">
        <f>IF(ROW()-3&gt;MAX($VL$4:$VL$40),"",INDEX($FN$4:$FN$40,MATCH(ROW()-3,$VL$4:$VL$40,0)))</f>
      </c>
      <c r="VN32" t="str">
        <f>IF(COUNTIF('Final Calculation Sheet'!$AL32:$BQ32,0)+COUNTIF('Final Calculation Sheet'!$BS32:$BS32,0)&gt;0,0,1)</f>
      </c>
      <c r="VO32" t="str">
        <f>IF($FS$32="",FALSE,SUMPRODUCT(('Final Calculation Sheet'!$AG$4:$AG$40=$FS$32)*($VN$4:$VN$40=1))&gt;0)</f>
      </c>
      <c r="VP32" t="str">
        <f>=$VP31+--($VO32)</f>
      </c>
      <c r="VQ32" t="str">
        <f>IF(ROW()-3&gt;MAX($VP$4:$VP$40),"",INDEX($FS$4:$FS$40,MATCH(ROW()-3,$VP$4:$VP$40,0)))</f>
      </c>
      <c r="VR32" t="str">
        <f>IF(COUNTIF('Final Calculation Sheet'!$AL32:$BR32,0)&gt;0,0,1)</f>
      </c>
      <c r="VS32" t="str">
        <f>IF($QO$32="",FALSE,SUMPRODUCT(('Final Calculation Sheet'!$AH$4:$AH$40=$QO$32)*($VR$4:$VR$40=1))&gt;0)</f>
      </c>
      <c r="VT32" t="str">
        <f>=$VT31+--($VS32)</f>
      </c>
      <c r="VU32" t="str">
        <f>IF(ROW()-3&gt;MAX($VT$4:$VT$40),"",INDEX($QO$4:$QO$40,MATCH(ROW()-3,$VT$4:$VT$40,0)))</f>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IF(ROW()-3&gt;MAX($LC$4:$LC$40),"",INDEX($FS$4:$FS$40,MATCH(ROW()-3,$LC$4:$LC$40,0)))</f>
        <v/>
      </c>
      <c r="LE33">
        <f>IF(COUNTIF('Buyer Groups'!DH33:EN33,0)&gt;0,0,1)</f>
        <v/>
      </c>
      <c r="LF33">
        <f>IF($O$33="",FALSE,SUMPRODUCT(('Final Calculation Sheet'!$F$4:$F$40=$O$33)*($LE$6:$LE$42=1))&gt;0)</f>
        <v/>
      </c>
      <c r="LG33">
        <f>$LG$32+--($LF33)</f>
        <v/>
      </c>
      <c r="LH33">
        <f>IF(ROW()-3&gt;MAX($LG$4:$LG$40),"",INDEX($O$4:$O$40,MATCH(ROW()-3,$LG$4:$LG$40,0)))</f>
        <v/>
      </c>
      <c r="LI33">
        <f>IF(COUNTIF('Buyer Groups'!DG33:DG33,0)+COUNTIF('Buyer Groups'!DI33:EN33,0)&gt;0,0,1)</f>
        <v/>
      </c>
      <c r="LJ33">
        <f>IF($T$33="",FALSE,SUMPRODUCT(('Final Calculation Sheet'!$G$4:$G$40=$T$33)*($LI$6:$LI$42=1))&gt;0)</f>
        <v/>
      </c>
      <c r="LK33">
        <f>$LK$32+--($LJ33)</f>
        <v/>
      </c>
      <c r="LL33">
        <f>IF(ROW()-3&gt;MAX($LK$4:$LK$40),"",INDEX($T$4:$T$40,MATCH(ROW()-3,$LK$4:$LK$40,0)))</f>
        <v/>
      </c>
      <c r="LM33">
        <f>IF(COUNTIF('Buyer Groups'!DG33:DH33,0)+COUNTIF('Buyer Groups'!DJ33:EN33,0)&gt;0,0,1)</f>
        <v/>
      </c>
      <c r="LN33">
        <f>IF($Y$33="",FALSE,SUMPRODUCT(('Final Calculation Sheet'!$B$4:$B$40=$Y$33)*($LM$6:$LM$42=1))&gt;0)</f>
        <v/>
      </c>
      <c r="LO33">
        <f>$LO$32+--($LN33)</f>
        <v/>
      </c>
      <c r="LP33">
        <f>IF(ROW()-3&gt;MAX($LO$4:$LO$40),"",INDEX($Y$4:$Y$40,MATCH(ROW()-3,$LO$4:$LO$40,0)))</f>
        <v/>
      </c>
      <c r="LQ33">
        <f>IF(COUNTIF('Buyer Groups'!DG33:DI33,0)+COUNTIF('Buyer Groups'!DK33:EN33,0)&gt;0,0,1)</f>
        <v/>
      </c>
      <c r="LR33">
        <f>IF($AD$33="",FALSE,SUMPRODUCT(('Final Calculation Sheet'!$D$4:$D$40=$AD$33)*($LQ$6:$LQ$42=1))&gt;0)</f>
        <v/>
      </c>
      <c r="LS33">
        <f>$LS$32+--($LR33)</f>
        <v/>
      </c>
      <c r="LT33">
        <f>IF(ROW()-3&gt;MAX($LS$4:$LS$40),"",INDEX($AD$4:$AD$40,MATCH(ROW()-3,$LS$4:$LS$40,0)))</f>
        <v/>
      </c>
      <c r="LU33">
        <f>IF(COUNTIF('Buyer Groups'!DG33:DJ33,0)+COUNTIF('Buyer Groups'!DL33:EN33,0)&gt;0,0,1)</f>
        <v/>
      </c>
      <c r="LV33">
        <f>IF($AI$33="",FALSE,SUMPRODUCT(('Final Calculation Sheet'!$A$4:$A$40=$AI$33)*($LU$6:$LU$42=1))&gt;0)</f>
        <v/>
      </c>
      <c r="LW33">
        <f>$LW$32+--($LV33)</f>
        <v/>
      </c>
      <c r="LX33">
        <f>IF(ROW()-3&gt;MAX($LW$4:$LW$40),"",INDEX($AI$4:$AI$40,MATCH(ROW()-3,$LW$4:$LW$40,0)))</f>
        <v/>
      </c>
      <c r="LY33">
        <f>IF(COUNTIF('Buyer Groups'!DG33:DK33,0)+COUNTIF('Buyer Groups'!DM33:EN33,0)&gt;0,0,1)</f>
        <v/>
      </c>
      <c r="LZ33">
        <f>IF($AN$33="",FALSE,SUMPRODUCT(('Final Calculation Sheet'!$E$4:$E$40=$AN$33)*($LY$6:$LY$42=1))&gt;0)</f>
        <v/>
      </c>
      <c r="MA33">
        <f>$MA$32+--($LZ33)</f>
        <v/>
      </c>
      <c r="MB33">
        <f>IF(ROW()-3&gt;MAX($MA$4:$MA$40),"",INDEX($AN$4:$AN$40,MATCH(ROW()-3,$MA$4:$MA$40,0)))</f>
        <v/>
      </c>
      <c r="MC33">
        <f>IF(COUNTIF('Buyer Groups'!DG33:DL33,0)+COUNTIF('Buyer Groups'!DN33:EN33,0)&gt;0,0,1)</f>
        <v/>
      </c>
      <c r="MD33">
        <f>IF($AS$33="",FALSE,SUMPRODUCT(('Final Calculation Sheet'!$C$4:$C$40=$AS$33)*($MC$6:$MC$42=1))&gt;0)</f>
        <v/>
      </c>
      <c r="ME33">
        <f>$ME$32+--($MD33)</f>
        <v/>
      </c>
      <c r="MF33">
        <f>IF(ROW()-3&gt;MAX($ME$4:$ME$40),"",INDEX($AS$4:$AS$40,MATCH(ROW()-3,$ME$4:$ME$40,0)))</f>
        <v/>
      </c>
      <c r="MG33">
        <f>IF(COUNTIF('Buyer Groups'!DG33:DM33,0)+COUNTIF('Buyer Groups'!DO33:EN33,0)&gt;0,0,1)</f>
        <v/>
      </c>
      <c r="MH33">
        <f>IF($AX$33="",FALSE,SUMPRODUCT(('Final Calculation Sheet'!$H$4:$H$40=$AX$33)*($MG$6:$MG$42=1))&gt;0)</f>
        <v/>
      </c>
      <c r="MI33">
        <f>$MI$32+--($MH33)</f>
        <v/>
      </c>
      <c r="MJ33">
        <f>IF(ROW()-3&gt;MAX($MI$4:$MI$40),"",INDEX($AX$4:$AX$40,MATCH(ROW()-3,$MI$4:$MI$40,0)))</f>
        <v/>
      </c>
      <c r="MK33">
        <f>IF(COUNTIF('Buyer Groups'!DG33:DN33,0)+COUNTIF('Buyer Groups'!DP33:EN33,0)&gt;0,0,1)</f>
        <v/>
      </c>
      <c r="ML33">
        <f>IF($BC$33="",FALSE,SUMPRODUCT(('Final Calculation Sheet'!$I$4:$I$40=$BC$33)*($MK$6:$MK$42=1))&gt;0)</f>
        <v/>
      </c>
      <c r="MM33">
        <f>$MM$32+--($ML33)</f>
        <v/>
      </c>
      <c r="MN33">
        <f>IF(ROW()-3&gt;MAX($MM$4:$MM$40),"",INDEX($BC$4:$BC$40,MATCH(ROW()-3,$MM$4:$MM$40,0)))</f>
        <v/>
      </c>
      <c r="MO33">
        <f>IF(COUNTIF('Buyer Groups'!DG33:DO33,0)+COUNTIF('Buyer Groups'!DQ33:EN33,0)&gt;0,0,1)</f>
        <v/>
      </c>
      <c r="MP33">
        <f>IF($BH$33="",FALSE,SUMPRODUCT(('Final Calculation Sheet'!$J$4:$J$40=$BH$33)*($MO$6:$MO$42=1))&gt;0)</f>
        <v/>
      </c>
      <c r="MQ33">
        <f>$MQ$32+--($MP33)</f>
        <v/>
      </c>
      <c r="MR33">
        <f>IF(ROW()-3&gt;MAX($MQ$4:$MQ$40),"",INDEX($BH$4:$BH$40,MATCH(ROW()-3,$MQ$4:$MQ$40,0)))</f>
        <v/>
      </c>
      <c r="MS33">
        <f>IF(COUNTIF('Buyer Groups'!DG33:DP33,0)+COUNTIF('Buyer Groups'!DR33:EN33,0)&gt;0,0,1)</f>
        <v/>
      </c>
      <c r="MT33">
        <f>IF($BM$33="",FALSE,SUMPRODUCT(('Final Calculation Sheet'!$K$4:$K$40=$BM$33)*($MS$6:$MS$42=1))&gt;0)</f>
        <v/>
      </c>
      <c r="MU33">
        <f>$MU$32+--($MT33)</f>
        <v/>
      </c>
      <c r="MV33">
        <f>IF(ROW()-3&gt;MAX($MU$4:$MU$40),"",INDEX($BM$4:$BM$40,MATCH(ROW()-3,$MU$4:$MU$40,0)))</f>
        <v/>
      </c>
      <c r="MW33">
        <f>IF(COUNTIF('Buyer Groups'!DG33:DQ33,0)+COUNTIF('Buyer Groups'!DS33:EN33,0)&gt;0,0,1)</f>
        <v/>
      </c>
      <c r="MX33">
        <f>IF($BR$33="",FALSE,SUMPRODUCT(('Final Calculation Sheet'!$L$4:$L$40=$BR$33)*($MW$6:$MW$42=1))&gt;0)</f>
        <v/>
      </c>
      <c r="MY33">
        <f>$MY$32+--($MX33)</f>
        <v/>
      </c>
      <c r="MZ33">
        <f>IF(ROW()-3&gt;MAX($MY$4:$MY$40),"",INDEX($BR$4:$BR$40,MATCH(ROW()-3,$MY$4:$MY$40,0)))</f>
        <v/>
      </c>
      <c r="NA33">
        <f>IF(COUNTIF('Buyer Groups'!DG33:DR33,0)+COUNTIF('Buyer Groups'!DT33:EN33,0)&gt;0,0,1)</f>
        <v/>
      </c>
      <c r="NB33">
        <f>IF($BW$33="",FALSE,SUMPRODUCT(('Final Calculation Sheet'!$M$4:$M$40=$BW$33)*($NA$6:$NA$42=1))&gt;0)</f>
        <v/>
      </c>
      <c r="NC33">
        <f>$NC$32+--($NB33)</f>
        <v/>
      </c>
      <c r="ND33">
        <f>IF(ROW()-3&gt;MAX($NC$4:$NC$40),"",INDEX($BW$4:$BW$40,MATCH(ROW()-3,$NC$4:$NC$40,0)))</f>
        <v/>
      </c>
      <c r="NE33">
        <f>IF(COUNTIF('Buyer Groups'!DG33:DS33,0)+COUNTIF('Buyer Groups'!DU33:EN33,0)&gt;0,0,1)</f>
        <v/>
      </c>
      <c r="NF33">
        <f>IF($CB$33="",FALSE,SUMPRODUCT(('Final Calculation Sheet'!$N$4:$N$40=$CB$33)*($NE$6:$NE$42=1))&gt;0)</f>
        <v/>
      </c>
      <c r="NG33">
        <f>$NG$32+--($NF33)</f>
        <v/>
      </c>
      <c r="NH33">
        <f>IF(ROW()-3&gt;MAX($NG$4:$NG$40),"",INDEX($CB$4:$CB$40,MATCH(ROW()-3,$NG$4:$NG$40,0)))</f>
        <v/>
      </c>
      <c r="NI33">
        <f>IF(COUNTIF('Buyer Groups'!DG33:DT33,0)+COUNTIF('Buyer Groups'!DV33:EN33,0)&gt;0,0,1)</f>
        <v/>
      </c>
      <c r="NJ33">
        <f>IF($CG$33="",FALSE,SUMPRODUCT(('Final Calculation Sheet'!$O$4:$O$40=$CG$33)*($NI$6:$NI$42=1))&gt;0)</f>
        <v/>
      </c>
      <c r="NK33">
        <f>$NK$32+--($NJ33)</f>
        <v/>
      </c>
      <c r="NL33">
        <f>IF(ROW()-3&gt;MAX($NK$4:$NK$40),"",INDEX($CG$4:$CG$40,MATCH(ROW()-3,$NK$4:$NK$40,0)))</f>
        <v/>
      </c>
      <c r="NM33">
        <f>IF(COUNTIF('Buyer Groups'!DG33:DU33,0)+COUNTIF('Buyer Groups'!DW33:EN33,0)&gt;0,0,1)</f>
        <v/>
      </c>
      <c r="NN33">
        <f>IF($CL$33="",FALSE,SUMPRODUCT(('Final Calculation Sheet'!$P$4:$P$40=$CL$33)*($NM$6:$NM$42=1))&gt;0)</f>
        <v/>
      </c>
      <c r="NO33">
        <f>$NO$32+--($NN33)</f>
        <v/>
      </c>
      <c r="NP33">
        <f>IF(ROW()-3&gt;MAX($NO$4:$NO$40),"",INDEX($CL$4:$CL$40,MATCH(ROW()-3,$NO$4:$NO$40,0)))</f>
        <v/>
      </c>
      <c r="NQ33">
        <f>IF(COUNTIF('Buyer Groups'!DG33:DV33,0)+COUNTIF('Buyer Groups'!DX33:EN33,0)&gt;0,0,1)</f>
        <v/>
      </c>
      <c r="NR33">
        <f>IF($CQ$33="",FALSE,SUMPRODUCT(('Final Calculation Sheet'!$Q$4:$Q$40=$CQ$33)*($NQ$6:$NQ$42=1))&gt;0)</f>
        <v/>
      </c>
      <c r="NS33">
        <f>$NS$32+--($NR33)</f>
        <v/>
      </c>
      <c r="NT33">
        <f>IF(ROW()-3&gt;MAX($NS$4:$NS$40),"",INDEX($CQ$4:$CQ$40,MATCH(ROW()-3,$NS$4:$NS$40,0)))</f>
        <v/>
      </c>
      <c r="NU33">
        <f>IF(COUNTIF('Buyer Groups'!DG33:DW33,0)+COUNTIF('Buyer Groups'!DY33:EN33,0)&gt;0,0,1)</f>
        <v/>
      </c>
      <c r="NV33">
        <f>IF($CV$33="",FALSE,SUMPRODUCT(('Final Calculation Sheet'!$R$4:$R$40=$CV$33)*($NU$6:$NU$42=1))&gt;0)</f>
        <v/>
      </c>
      <c r="NW33">
        <f>$NW$32+--($NV33)</f>
        <v/>
      </c>
      <c r="NX33">
        <f>IF(ROW()-3&gt;MAX($NW$4:$NW$40),"",INDEX($CV$4:$CV$40,MATCH(ROW()-3,$NW$4:$NW$40,0)))</f>
        <v/>
      </c>
      <c r="NY33">
        <f>IF(COUNTIF('Buyer Groups'!DG33:DX33,0)+COUNTIF('Buyer Groups'!DZ33:EN33,0)&gt;0,0,1)</f>
        <v/>
      </c>
      <c r="NZ33">
        <f>IF($DA$33="",FALSE,SUMPRODUCT(('Final Calculation Sheet'!$S$4:$S$40=$DA$33)*($NY$6:$NY$42=1))&gt;0)</f>
        <v/>
      </c>
      <c r="OA33">
        <f>$OA$32+--($NZ33)</f>
        <v/>
      </c>
      <c r="OB33">
        <f>IF(ROW()-3&gt;MAX($OA$4:$OA$40),"",INDEX($DA$4:$DA$40,MATCH(ROW()-3,$OA$4:$OA$40,0)))</f>
        <v/>
      </c>
      <c r="OC33">
        <f>IF(COUNTIF('Buyer Groups'!DG33:DY33,0)+COUNTIF('Buyer Groups'!EA33:EN33,0)&gt;0,0,1)</f>
        <v/>
      </c>
      <c r="OD33">
        <f>IF($DF$33="",FALSE,SUMPRODUCT(('Final Calculation Sheet'!$T$4:$T$40=$DF$33)*($OC$6:$OC$42=1))&gt;0)</f>
        <v/>
      </c>
      <c r="OE33">
        <f>$OE$32+--($OD33)</f>
        <v/>
      </c>
      <c r="OF33">
        <f>IF(ROW()-3&gt;MAX($OE$4:$OE$40),"",INDEX($DF$4:$DF$40,MATCH(ROW()-3,$OE$4:$OE$40,0)))</f>
        <v/>
      </c>
      <c r="OG33">
        <f>IF(COUNTIF('Buyer Groups'!DG33:DZ33,0)+COUNTIF('Buyer Groups'!EB33:EN33,0)&gt;0,0,1)</f>
        <v/>
      </c>
      <c r="OH33">
        <f>IF($DK$33="",FALSE,SUMPRODUCT(('Final Calculation Sheet'!$U$4:$U$40=$DK$33)*($OG$6:$OG$42=1))&gt;0)</f>
        <v/>
      </c>
      <c r="OI33">
        <f>$OI$32+--($OH33)</f>
        <v/>
      </c>
      <c r="OJ33">
        <f>IF(ROW()-3&gt;MAX($OI$4:$OI$40),"",INDEX($DK$4:$DK$40,MATCH(ROW()-3,$OI$4:$OI$40,0)))</f>
        <v/>
      </c>
      <c r="OK33">
        <f>IF(COUNTIF('Buyer Groups'!DG33:EA33,0)+COUNTIF('Buyer Groups'!EC33:EN33,0)&gt;0,0,1)</f>
        <v/>
      </c>
      <c r="OL33">
        <f>IF($DP$33="",FALSE,SUMPRODUCT(('Final Calculation Sheet'!$V$4:$V$40=$DP$33)*($OK$6:$OK$42=1))&gt;0)</f>
        <v/>
      </c>
      <c r="OM33">
        <f>$OM$32+--($OL33)</f>
        <v/>
      </c>
      <c r="ON33">
        <f>IF(ROW()-3&gt;MAX($OM$4:$OM$40),"",INDEX($DP$4:$DP$40,MATCH(ROW()-3,$OM$4:$OM$40,0)))</f>
        <v/>
      </c>
      <c r="OO33">
        <f>IF(COUNTIF('Buyer Groups'!DG33:EB33,0)+COUNTIF('Buyer Groups'!ED33:EN33,0)&gt;0,0,1)</f>
        <v/>
      </c>
      <c r="OP33">
        <f>IF($DU$33="",FALSE,SUMPRODUCT(('Final Calculation Sheet'!$W$4:$W$40=$DU$33)*($OO$6:$OO$42=1))&gt;0)</f>
        <v/>
      </c>
      <c r="OQ33">
        <f>$OQ$32+--($OP33)</f>
        <v/>
      </c>
      <c r="OR33">
        <f>IF(ROW()-3&gt;MAX($OQ$4:$OQ$40),"",INDEX($DU$4:$DU$40,MATCH(ROW()-3,$OQ$4:$OQ$40,0)))</f>
        <v/>
      </c>
      <c r="OS33">
        <f>IF(COUNTIF('Buyer Groups'!DG33:EC33,0)+COUNTIF('Buyer Groups'!EE33:EN33,0)&gt;0,0,1)</f>
        <v/>
      </c>
      <c r="OT33">
        <f>IF($DZ$33="",FALSE,SUMPRODUCT(('Final Calculation Sheet'!$X$4:$X$40=$DZ$33)*($OS$6:$OS$42=1))&gt;0)</f>
        <v/>
      </c>
      <c r="OU33">
        <f>$OU$32+--($OT33)</f>
        <v/>
      </c>
      <c r="OV33">
        <f>IF(ROW()-3&gt;MAX($OU$4:$OU$40),"",INDEX($DZ$4:$DZ$40,MATCH(ROW()-3,$OU$4:$OU$40,0)))</f>
        <v/>
      </c>
      <c r="OW33">
        <f>IF(COUNTIF('Buyer Groups'!DG33:ED33,0)+COUNTIF('Buyer Groups'!EF33:EN33,0)&gt;0,0,1)</f>
        <v/>
      </c>
      <c r="OX33">
        <f>IF($EE$33="",FALSE,SUMPRODUCT(('Final Calculation Sheet'!$Y$4:$Y$40=$EE$33)*($OW$6:$OW$42=1))&gt;0)</f>
        <v/>
      </c>
      <c r="OY33">
        <f>$OY$32+--($OX33)</f>
        <v/>
      </c>
      <c r="OZ33">
        <f>IF(ROW()-3&gt;MAX($OY$4:$OY$40),"",INDEX($EE$4:$EE$40,MATCH(ROW()-3,$OY$4:$OY$40,0)))</f>
        <v/>
      </c>
      <c r="PA33">
        <f>IF(COUNTIF('Buyer Groups'!DG33:EE33,0)+COUNTIF('Buyer Groups'!EG33:EN33,0)&gt;0,0,1)</f>
        <v/>
      </c>
      <c r="PB33">
        <f>IF($EJ$33="",FALSE,SUMPRODUCT(('Final Calculation Sheet'!$Z$4:$Z$40=$EJ$33)*($PA$6:$PA$42=1))&gt;0)</f>
        <v/>
      </c>
      <c r="PC33">
        <f>$PC$32+--($PB33)</f>
        <v/>
      </c>
      <c r="PD33">
        <f>IF(ROW()-3&gt;MAX($PC$4:$PC$40),"",INDEX($EJ$4:$EJ$40,MATCH(ROW()-3,$PC$4:$PC$40,0)))</f>
        <v/>
      </c>
      <c r="PE33">
        <f>IF(COUNTIF('Buyer Groups'!DG33:EF33,0)+COUNTIF('Buyer Groups'!EH33:EN33,0)&gt;0,0,1)</f>
        <v/>
      </c>
      <c r="PF33">
        <f>IF($EO$33="",FALSE,SUMPRODUCT(('Final Calculation Sheet'!$AA$4:$AA$40=$EO$33)*($PE$6:$PE$42=1))&gt;0)</f>
        <v/>
      </c>
      <c r="PG33">
        <f>$PG$32+--($PF33)</f>
        <v/>
      </c>
      <c r="PH33">
        <f>IF(ROW()-3&gt;MAX($PG$4:$PG$40),"",INDEX($EO$4:$EO$40,MATCH(ROW()-3,$PG$4:$PG$40,0)))</f>
        <v/>
      </c>
      <c r="PI33">
        <f>IF(COUNTIF('Buyer Groups'!DG33:EG33,0)+COUNTIF('Buyer Groups'!EI33:EN33,0)&gt;0,0,1)</f>
        <v/>
      </c>
      <c r="PJ33">
        <f>IF($ET$33="",FALSE,SUMPRODUCT(('Final Calculation Sheet'!$AB$4:$AB$40=$ET$33)*($PI$6:$PI$42=1))&gt;0)</f>
        <v/>
      </c>
      <c r="PK33">
        <f>$PK$32+--($PJ33)</f>
        <v/>
      </c>
      <c r="PL33">
        <f>IF(ROW()-3&gt;MAX($PK$4:$PK$40),"",INDEX($ET$4:$ET$40,MATCH(ROW()-3,$PK$4:$PK$40,0)))</f>
        <v/>
      </c>
      <c r="PM33">
        <f>IF(COUNTIF('Buyer Groups'!DG33:EH33,0)+COUNTIF('Buyer Groups'!EJ33:EN33,0)&gt;0,0,1)</f>
        <v/>
      </c>
      <c r="PN33">
        <f>IF($EY$33="",FALSE,SUMPRODUCT(('Final Calculation Sheet'!$AC$4:$AC$40=$EY$33)*($PM$6:$PM$42=1))&gt;0)</f>
        <v/>
      </c>
      <c r="PO33">
        <f>$PO$32+--($PN33)</f>
        <v/>
      </c>
      <c r="PP33">
        <f>IF(ROW()-3&gt;MAX($PO$4:$PO$40),"",INDEX($EY$4:$EY$40,MATCH(ROW()-3,$PO$4:$PO$40,0)))</f>
        <v/>
      </c>
      <c r="PQ33">
        <f>IF(COUNTIF('Buyer Groups'!DG33:EI33,0)+COUNTIF('Buyer Groups'!EK33:EN33,0)&gt;0,0,1)</f>
        <v/>
      </c>
      <c r="PR33">
        <f>IF($FD$33="",FALSE,SUMPRODUCT(('Final Calculation Sheet'!$AD$4:$AD$40=$FD$33)*($PQ$6:$PQ$42=1))&gt;0)</f>
        <v/>
      </c>
      <c r="PS33">
        <f>$PS$32+--($PR33)</f>
        <v/>
      </c>
      <c r="PT33">
        <f>IF(ROW()-3&gt;MAX($PS$4:$PS$40),"",INDEX($FD$4:$FD$40,MATCH(ROW()-3,$PS$4:$PS$40,0)))</f>
        <v/>
      </c>
      <c r="PU33">
        <f>IF(COUNTIF('Buyer Groups'!DG33:EJ33,0)+COUNTIF('Buyer Groups'!EL33:EN33,0)&gt;0,0,1)</f>
        <v/>
      </c>
      <c r="PV33">
        <f>IF($FX$33="",FALSE,SUMPRODUCT((IF('Final Calculation Sheet'!$AD$4:$AD$40&lt;=5,"SETTLED","OUTSTANDING")=$FX$33)*($PU$6:$PU$42=1))&gt;0)</f>
        <v/>
      </c>
      <c r="PW33">
        <f>$PW$32+--($PV33)</f>
        <v/>
      </c>
      <c r="PX33">
        <f>IF(ROW()-3&gt;MAX($PW$4:$PW$40),"",INDEX($FX$4:$FX$40,MATCH(ROW()-3,$PW$4:$PW$40,0)))</f>
        <v/>
      </c>
      <c r="PY33">
        <f>IF(COUNTIF('Buyer Groups'!DG33:EK33,0)+COUNTIF('Buyer Groups'!EM33:EN33,0)&gt;0,0,1)</f>
        <v/>
      </c>
      <c r="PZ33">
        <f>IF($FI$33="",FALSE,SUMPRODUCT(('Final Calculation Sheet'!$AF$4:$AF$40=$FI$33)*($PY$6:$PY$42=1))&gt;0)</f>
        <v/>
      </c>
      <c r="QA33">
        <f>$QA$32+--($PZ33)</f>
        <v/>
      </c>
      <c r="QB33">
        <f>IF(ROW()-3&gt;MAX($QA$4:$QA$40),"",INDEX($FI$4:$FI$40,MATCH(ROW()-3,$QA$4:$QA$40,0)))</f>
        <v/>
      </c>
      <c r="QC33">
        <f>IF(COUNTIF('Buyer Groups'!DG33:EL33,0)+COUNTIF('Buyer Groups'!EN33:EN33,0)&gt;0,0,1)</f>
        <v/>
      </c>
      <c r="QD33">
        <f>IF($FN$33="",FALSE,SUMPRODUCT(('Final Calculation Sheet'!$AG$4:$AG$40=$FN$33)*($QC$6:$QC$42=1))&gt;0)</f>
        <v/>
      </c>
      <c r="QE33">
        <f>$QE$32+--($QD33)</f>
        <v/>
      </c>
      <c r="QF33">
        <f>IF(ROW()-3&gt;MAX($QE$4:$QE$40),"",INDEX($FN$4:$FN$40,MATCH(ROW()-3,$QE$4:$QE$40,0)))</f>
        <v/>
      </c>
      <c r="QG33">
        <f>IF(COUNTIF('Buyer Groups'!DG33:EM33,0)&gt;0,0,1)</f>
        <v/>
      </c>
      <c r="QH33">
        <f>IF($FS$33="",FALSE,SUMPRODUCT(('Final Calculation Sheet'!$AH$4:$AH$40=$FS$33)*($QG$6:$QG$42=1))&gt;0)</f>
        <v/>
      </c>
      <c r="QI33">
        <f>$QI$32+--($QH33)</f>
        <v/>
      </c>
      <c r="QJ33">
        <f>IF(ROW()-3&gt;MAX($QI$4:$QI$40),"",INDEX($FS$4:$FS$40,MATCH(ROW()-3,$QI$4:$QI$40,0)))</f>
        <v/>
      </c>
      <c r="QK33" t="str">
        <f>IF('Final Calculation Sheet'!$AH$33="","",'Final Calculation Sheet'!$AH$33)</f>
      </c>
      <c r="QL33" t="str">
        <f>IF(QK33="","",COUNTIFS(QK$4:QK$40,"&lt;"&amp;QK33,QK$4:QK$40,"&lt;&gt;"&amp;"")+COUNTIF(QK$4:QK33,QK33))</f>
      </c>
      <c r="QM33" t="str">
        <f>IF(ROW()-3&gt;COUNTIF(QK$4:QK$40,"&lt;&gt;"&amp;""),"",INDEX(QK$4:QK$40,MATCH(ROW()-3,QL$4:QL$40,0)))</f>
      </c>
      <c r="QN33" t="str">
        <f>=QN32+F(AND(QM33&lt;&gt;"",COUNTIF(QM$4:QM33,QM33)=1),1,0)</f>
      </c>
      <c r="QO33" t="str">
        <f>IF(ROW()-3&gt;MAX(QN$4:QN$40),"",INDEX(QM$4:QM$40,MATCH(ROW()-3,QN$4:QN$40,0)))</f>
      </c>
      <c r="QP33" t="str">
        <f>IF(COUNTIF('Final Calculation Sheet'!$AM33:$BS33,0)&gt;0,0,1)</f>
      </c>
      <c r="QQ33" t="str">
        <f>IF($AI$33="",FALSE,SUMPRODUCT(('Final Calculation Sheet'!$A$4:$A$40=$AI$33)*($QP$4:$QP$40=1))&gt;0)</f>
      </c>
      <c r="QR33" t="str">
        <f>=$QR32+--($QQ33)</f>
      </c>
      <c r="QS33" t="str">
        <f>IF(ROW()-3&gt;MAX($QR$4:$QR$40),"",INDEX($AI$4:$AI$40,MATCH(ROW()-3,$QR$4:$QR$40,0)))</f>
      </c>
      <c r="QT33" t="str">
        <f>IF(COUNTIF('Final Calculation Sheet'!$AL33:$AL33,0)+COUNTIF('Final Calculation Sheet'!$AN33:$BS33,0)&gt;0,0,1)</f>
      </c>
      <c r="QU33" t="str">
        <f>IF($Y$33="",FALSE,SUMPRODUCT(('Final Calculation Sheet'!$B$4:$B$40=$Y$33)*($QT$4:$QT$40=1))&gt;0)</f>
      </c>
      <c r="QV33" t="str">
        <f>=$QV32+--($QU33)</f>
      </c>
      <c r="QW33" t="str">
        <f>IF(ROW()-3&gt;MAX($QV$4:$QV$40),"",INDEX($Y$4:$Y$40,MATCH(ROW()-3,$QV$4:$QV$40,0)))</f>
      </c>
      <c r="QX33" t="str">
        <f>IF(COUNTIF('Final Calculation Sheet'!$AL33:$AM33,0)+COUNTIF('Final Calculation Sheet'!$AO33:$BS33,0)&gt;0,0,1)</f>
      </c>
      <c r="QY33" t="str">
        <f>IF($AS$33="",FALSE,SUMPRODUCT(('Final Calculation Sheet'!$C$4:$C$40=$AS$33)*($QX$4:$QX$40=1))&gt;0)</f>
      </c>
      <c r="QZ33" t="str">
        <f>=$QZ32+--($QY33)</f>
      </c>
      <c r="RA33" t="str">
        <f>IF(ROW()-3&gt;MAX($QZ$4:$QZ$40),"",INDEX($AS$4:$AS$40,MATCH(ROW()-3,$QZ$4:$QZ$40,0)))</f>
      </c>
      <c r="RB33" t="str">
        <f>IF(COUNTIF('Final Calculation Sheet'!$AL33:$AN33,0)+COUNTIF('Final Calculation Sheet'!$AP33:$BS33,0)&gt;0,0,1)</f>
      </c>
      <c r="RC33" t="str">
        <f>IF($AD$33="",FALSE,SUMPRODUCT(('Final Calculation Sheet'!$D$4:$D$40=$AD$33)*($RB$4:$RB$40=1))&gt;0)</f>
      </c>
      <c r="RD33" t="str">
        <f>=$RD32+--($RC33)</f>
      </c>
      <c r="RE33" t="str">
        <f>IF(ROW()-3&gt;MAX($RD$4:$RD$40),"",INDEX($AD$4:$AD$40,MATCH(ROW()-3,$RD$4:$RD$40,0)))</f>
      </c>
      <c r="RF33" t="str">
        <f>IF(COUNTIF('Final Calculation Sheet'!$AL33:$AO33,0)+COUNTIF('Final Calculation Sheet'!$AQ33:$BS33,0)&gt;0,0,1)</f>
      </c>
      <c r="RG33" t="str">
        <f>IF($AN$33="",FALSE,SUMPRODUCT(('Final Calculation Sheet'!$E$4:$E$40=$AN$33)*($RF$4:$RF$40=1))&gt;0)</f>
      </c>
      <c r="RH33" t="str">
        <f>=$RH32+--($RG33)</f>
      </c>
      <c r="RI33" t="str">
        <f>IF(ROW()-3&gt;MAX($RH$4:$RH$40),"",INDEX($AN$4:$AN$40,MATCH(ROW()-3,$RH$4:$RH$40,0)))</f>
      </c>
      <c r="RJ33" t="str">
        <f>IF(COUNTIF('Final Calculation Sheet'!$AL33:$AP33,0)+COUNTIF('Final Calculation Sheet'!$AR33:$BS33,0)&gt;0,0,1)</f>
      </c>
      <c r="RK33" t="str">
        <f>IF($O$33="",FALSE,SUMPRODUCT(('Final Calculation Sheet'!$F$4:$F$40=$O$33)*($RJ$4:$RJ$40=1))&gt;0)</f>
      </c>
      <c r="RL33" t="str">
        <f>=$RL32+--($RK33)</f>
      </c>
      <c r="RM33" t="str">
        <f>IF(ROW()-3&gt;MAX($RL$4:$RL$40),"",INDEX($O$4:$O$40,MATCH(ROW()-3,$RL$4:$RL$40,0)))</f>
      </c>
      <c r="RN33" t="str">
        <f>IF(COUNTIF('Final Calculation Sheet'!$AL33:$AQ33,0)+COUNTIF('Final Calculation Sheet'!$AS33:$BS33,0)&gt;0,0,1)</f>
      </c>
      <c r="RO33" t="str">
        <f>IF($T$33="",FALSE,SUMPRODUCT(('Final Calculation Sheet'!$G$4:$G$40=$T$33)*($RN$4:$RN$40=1))&gt;0)</f>
      </c>
      <c r="RP33" t="str">
        <f>=$RP32+--($RO33)</f>
      </c>
      <c r="RQ33" t="str">
        <f>IF(ROW()-3&gt;MAX($RP$4:$RP$40),"",INDEX($T$4:$T$40,MATCH(ROW()-3,$RP$4:$RP$40,0)))</f>
      </c>
      <c r="RR33" t="str">
        <f>IF(COUNTIF('Final Calculation Sheet'!$AL33:$AR33,0)+COUNTIF('Final Calculation Sheet'!$AT33:$BS33,0)&gt;0,0,1)</f>
      </c>
      <c r="RS33" t="str">
        <f>IF($AX$33="",FALSE,SUMPRODUCT(('Final Calculation Sheet'!$H$4:$H$40=$AX$33)*($RR$4:$RR$40=1))&gt;0)</f>
      </c>
      <c r="RT33" t="str">
        <f>=$RT32+--($RS33)</f>
      </c>
      <c r="RU33" t="str">
        <f>IF(ROW()-3&gt;MAX($RT$4:$RT$40),"",INDEX($AX$4:$AX$40,MATCH(ROW()-3,$RT$4:$RT$40,0)))</f>
      </c>
      <c r="RV33" t="str">
        <f>IF(COUNTIF('Final Calculation Sheet'!$AL33:$AS33,0)+COUNTIF('Final Calculation Sheet'!$AU33:$BS33,0)&gt;0,0,1)</f>
      </c>
      <c r="RW33" t="str">
        <f>IF($BC$33="",FALSE,SUMPRODUCT(('Final Calculation Sheet'!$I$4:$I$40=$BC$33)*($RV$4:$RV$40=1))&gt;0)</f>
      </c>
      <c r="RX33" t="str">
        <f>=$RX32+--($RW33)</f>
      </c>
      <c r="RY33" t="str">
        <f>IF(ROW()-3&gt;MAX($RX$4:$RX$40),"",INDEX($BC$4:$BC$40,MATCH(ROW()-3,$RX$4:$RX$40,0)))</f>
      </c>
      <c r="RZ33" t="str">
        <f>IF(COUNTIF('Final Calculation Sheet'!$AL33:$AT33,0)+COUNTIF('Final Calculation Sheet'!$AV33:$BS33,0)&gt;0,0,1)</f>
      </c>
      <c r="SA33" t="str">
        <f>IF($BH$33="",FALSE,SUMPRODUCT(('Final Calculation Sheet'!$J$4:$J$40=$BH$33)*($RZ$4:$RZ$40=1))&gt;0)</f>
      </c>
      <c r="SB33" t="str">
        <f>=$SB32+--($SA33)</f>
      </c>
      <c r="SC33" t="str">
        <f>IF(ROW()-3&gt;MAX($SB$4:$SB$40),"",INDEX($BH$4:$BH$40,MATCH(ROW()-3,$SB$4:$SB$40,0)))</f>
      </c>
      <c r="SD33" t="str">
        <f>IF(COUNTIF('Final Calculation Sheet'!$AL33:$AU33,0)+COUNTIF('Final Calculation Sheet'!$AW33:$BS33,0)&gt;0,0,1)</f>
      </c>
      <c r="SE33" t="str">
        <f>IF($BM$33="",FALSE,SUMPRODUCT(('Final Calculation Sheet'!$K$4:$K$40=$BM$33)*($SD$4:$SD$40=1))&gt;0)</f>
      </c>
      <c r="SF33" t="str">
        <f>=$SF32+--($SE33)</f>
      </c>
      <c r="SG33" t="str">
        <f>IF(ROW()-3&gt;MAX($SF$4:$SF$40),"",INDEX($BM$4:$BM$40,MATCH(ROW()-3,$SF$4:$SF$40,0)))</f>
      </c>
      <c r="SH33" t="str">
        <f>IF(COUNTIF('Final Calculation Sheet'!$AL33:$AV33,0)+COUNTIF('Final Calculation Sheet'!$AX33:$BS33,0)&gt;0,0,1)</f>
      </c>
      <c r="SI33" t="str">
        <f>IF($BR$33="",FALSE,SUMPRODUCT(('Final Calculation Sheet'!$L$4:$L$40=$BR$33)*($SH$4:$SH$40=1))&gt;0)</f>
      </c>
      <c r="SJ33" t="str">
        <f>=$SJ32+--($SI33)</f>
      </c>
      <c r="SK33" t="str">
        <f>IF(ROW()-3&gt;MAX($SJ$4:$SJ$40),"",INDEX($BR$4:$BR$40,MATCH(ROW()-3,$SJ$4:$SJ$40,0)))</f>
      </c>
      <c r="SL33" t="str">
        <f>IF(COUNTIF('Final Calculation Sheet'!$AL33:$AW33,0)+COUNTIF('Final Calculation Sheet'!$AY33:$BS33,0)&gt;0,0,1)</f>
      </c>
      <c r="SM33" t="str">
        <f>IF($BW$33="",FALSE,SUMPRODUCT(('Final Calculation Sheet'!$M$4:$M$40=$BW$33)*($SL$4:$SL$40=1))&gt;0)</f>
      </c>
      <c r="SN33" t="str">
        <f>=$SN32+--($SM33)</f>
      </c>
      <c r="SO33" t="str">
        <f>IF(ROW()-3&gt;MAX($SN$4:$SN$40),"",INDEX($BW$4:$BW$40,MATCH(ROW()-3,$SN$4:$SN$40,0)))</f>
      </c>
      <c r="SP33" t="str">
        <f>IF(COUNTIF('Final Calculation Sheet'!$AL33:$AX33,0)+COUNTIF('Final Calculation Sheet'!$AZ33:$BS33,0)&gt;0,0,1)</f>
      </c>
      <c r="SQ33" t="str">
        <f>IF($CB$33="",FALSE,SUMPRODUCT(('Final Calculation Sheet'!$N$4:$N$40=$CB$33)*($SP$4:$SP$40=1))&gt;0)</f>
      </c>
      <c r="SR33" t="str">
        <f>=$SR32+--($SQ33)</f>
      </c>
      <c r="SS33" t="str">
        <f>IF(ROW()-3&gt;MAX($SR$4:$SR$40),"",INDEX($CB$4:$CB$40,MATCH(ROW()-3,$SR$4:$SR$40,0)))</f>
      </c>
      <c r="ST33" t="str">
        <f>IF(COUNTIF('Final Calculation Sheet'!$AL33:$AY33,0)+COUNTIF('Final Calculation Sheet'!$BA33:$BS33,0)&gt;0,0,1)</f>
      </c>
      <c r="SU33" t="str">
        <f>IF($CG$33="",FALSE,SUMPRODUCT(('Final Calculation Sheet'!$O$4:$O$40=$CG$33)*($ST$4:$ST$40=1))&gt;0)</f>
      </c>
      <c r="SV33" t="str">
        <f>=$SV32+--($SU33)</f>
      </c>
      <c r="SW33" t="str">
        <f>IF(ROW()-3&gt;MAX($SV$4:$SV$40),"",INDEX($CG$4:$CG$40,MATCH(ROW()-3,$SV$4:$SV$40,0)))</f>
      </c>
      <c r="SX33" t="str">
        <f>IF(COUNTIF('Final Calculation Sheet'!$AL33:$AZ33,0)+COUNTIF('Final Calculation Sheet'!$BB33:$BS33,0)&gt;0,0,1)</f>
      </c>
      <c r="SY33" t="str">
        <f>IF($CL$33="",FALSE,SUMPRODUCT(('Final Calculation Sheet'!$P$4:$P$40=$CL$33)*($SX$4:$SX$40=1))&gt;0)</f>
      </c>
      <c r="SZ33" t="str">
        <f>=$SZ32+--($SY33)</f>
      </c>
      <c r="TA33" t="str">
        <f>IF(ROW()-3&gt;MAX($SZ$4:$SZ$40),"",INDEX($CL$4:$CL$40,MATCH(ROW()-3,$SZ$4:$SZ$40,0)))</f>
      </c>
      <c r="TB33" t="str">
        <f>IF(COUNTIF('Final Calculation Sheet'!$AL33:$BA33,0)+COUNTIF('Final Calculation Sheet'!$BC33:$BS33,0)&gt;0,0,1)</f>
      </c>
      <c r="TC33" t="str">
        <f>IF($CQ$33="",FALSE,SUMPRODUCT(('Final Calculation Sheet'!$Q$4:$Q$40=$CQ$33)*($TB$4:$TB$40=1))&gt;0)</f>
      </c>
      <c r="TD33" t="str">
        <f>=$TD32+--($TC33)</f>
      </c>
      <c r="TE33" t="str">
        <f>IF(ROW()-3&gt;MAX($TD$4:$TD$40),"",INDEX($CQ$4:$CQ$40,MATCH(ROW()-3,$TD$4:$TD$40,0)))</f>
      </c>
      <c r="TF33" t="str">
        <f>IF(COUNTIF('Final Calculation Sheet'!$AL33:$BB33,0)+COUNTIF('Final Calculation Sheet'!$BD33:$BS33,0)&gt;0,0,1)</f>
      </c>
      <c r="TG33" t="str">
        <f>IF($CV$33="",FALSE,SUMPRODUCT(('Final Calculation Sheet'!$R$4:$R$40=$CV$33)*($TF$4:$TF$40=1))&gt;0)</f>
      </c>
      <c r="TH33" t="str">
        <f>=$TH32+--($TG33)</f>
      </c>
      <c r="TI33" t="str">
        <f>IF(ROW()-3&gt;MAX($TH$4:$TH$40),"",INDEX($CV$4:$CV$40,MATCH(ROW()-3,$TH$4:$TH$40,0)))</f>
      </c>
      <c r="TJ33" t="str">
        <f>IF(COUNTIF('Final Calculation Sheet'!$AL33:$BC33,0)+COUNTIF('Final Calculation Sheet'!$BE33:$BS33,0)&gt;0,0,1)</f>
      </c>
      <c r="TK33" t="str">
        <f>IF($DA$33="",FALSE,SUMPRODUCT(('Final Calculation Sheet'!$S$4:$S$40=$DA$33)*($TJ$4:$TJ$40=1))&gt;0)</f>
      </c>
      <c r="TL33" t="str">
        <f>=$TL32+--($TK33)</f>
      </c>
      <c r="TM33" t="str">
        <f>IF(ROW()-3&gt;MAX($TL$4:$TL$40),"",INDEX($DA$4:$DA$40,MATCH(ROW()-3,$TL$4:$TL$40,0)))</f>
      </c>
      <c r="TN33" t="str">
        <f>IF(COUNTIF('Final Calculation Sheet'!$AL33:$BD33,0)+COUNTIF('Final Calculation Sheet'!$BF33:$BS33,0)&gt;0,0,1)</f>
      </c>
      <c r="TO33" t="str">
        <f>IF($DF$33="",FALSE,SUMPRODUCT(('Final Calculation Sheet'!$T$4:$T$40=$DF$33)*($TN$4:$TN$40=1))&gt;0)</f>
      </c>
      <c r="TP33" t="str">
        <f>=$TP32+--($TO33)</f>
      </c>
      <c r="TQ33" t="str">
        <f>IF(ROW()-3&gt;MAX($TP$4:$TP$40),"",INDEX($DF$4:$DF$40,MATCH(ROW()-3,$TP$4:$TP$40,0)))</f>
      </c>
      <c r="TR33" t="str">
        <f>IF(COUNTIF('Final Calculation Sheet'!$AL33:$BE33,0)+COUNTIF('Final Calculation Sheet'!$BG33:$BS33,0)&gt;0,0,1)</f>
      </c>
      <c r="TS33" t="str">
        <f>IF($DK$33="",FALSE,SUMPRODUCT(('Final Calculation Sheet'!$U$4:$U$40=$DK$33)*($TR$4:$TR$40=1))&gt;0)</f>
      </c>
      <c r="TT33" t="str">
        <f>=$TT32+--($TS33)</f>
      </c>
      <c r="TU33" t="str">
        <f>IF(ROW()-3&gt;MAX($TT$4:$TT$40),"",INDEX($DK$4:$DK$40,MATCH(ROW()-3,$TT$4:$TT$40,0)))</f>
      </c>
      <c r="TV33" t="str">
        <f>IF(COUNTIF('Final Calculation Sheet'!$AL33:$BF33,0)+COUNTIF('Final Calculation Sheet'!$BH33:$BS33,0)&gt;0,0,1)</f>
      </c>
      <c r="TW33" t="str">
        <f>IF($DP$33="",FALSE,SUMPRODUCT(('Final Calculation Sheet'!$V$4:$V$40=$DP$33)*($TV$4:$TV$40=1))&gt;0)</f>
      </c>
      <c r="TX33" t="str">
        <f>=$TX32+--($TW33)</f>
      </c>
      <c r="TY33" t="str">
        <f>IF(ROW()-3&gt;MAX($TX$4:$TX$40),"",INDEX($DP$4:$DP$40,MATCH(ROW()-3,$TX$4:$TX$40,0)))</f>
      </c>
      <c r="TZ33" t="str">
        <f>IF(COUNTIF('Final Calculation Sheet'!$AL33:$BG33,0)+COUNTIF('Final Calculation Sheet'!$BI33:$BS33,0)&gt;0,0,1)</f>
      </c>
      <c r="UA33" t="str">
        <f>IF($DU$33="",FALSE,SUMPRODUCT(('Final Calculation Sheet'!$W$4:$W$40=$DU$33)*($TZ$4:$TZ$40=1))&gt;0)</f>
      </c>
      <c r="UB33" t="str">
        <f>=$UB32+--($UA33)</f>
      </c>
      <c r="UC33" t="str">
        <f>IF(ROW()-3&gt;MAX($UB$4:$UB$40),"",INDEX($DU$4:$DU$40,MATCH(ROW()-3,$UB$4:$UB$40,0)))</f>
      </c>
      <c r="UD33" t="str">
        <f>IF(COUNTIF('Final Calculation Sheet'!$AL33:$BH33,0)+COUNTIF('Final Calculation Sheet'!$BJ33:$BS33,0)&gt;0,0,1)</f>
      </c>
      <c r="UE33" t="str">
        <f>IF($DZ$33="",FALSE,SUMPRODUCT(('Final Calculation Sheet'!$X$4:$X$40=$DZ$33)*($UD$4:$UD$40=1))&gt;0)</f>
      </c>
      <c r="UF33" t="str">
        <f>=$UF32+--($UE33)</f>
      </c>
      <c r="UG33" t="str">
        <f>IF(ROW()-3&gt;MAX($UF$4:$UF$40),"",INDEX($DZ$4:$DZ$40,MATCH(ROW()-3,$UF$4:$UF$40,0)))</f>
      </c>
      <c r="UH33" t="str">
        <f>IF(COUNTIF('Final Calculation Sheet'!$AL33:$BI33,0)+COUNTIF('Final Calculation Sheet'!$BK33:$BS33,0)&gt;0,0,1)</f>
      </c>
      <c r="UI33" t="str">
        <f>IF($EE$33="",FALSE,SUMPRODUCT(('Final Calculation Sheet'!$Y$4:$Y$40=$EE$33)*($UH$4:$UH$40=1))&gt;0)</f>
      </c>
      <c r="UJ33" t="str">
        <f>=$UJ32+--($UI33)</f>
      </c>
      <c r="UK33" t="str">
        <f>IF(ROW()-3&gt;MAX($UJ$4:$UJ$40),"",INDEX($EE$4:$EE$40,MATCH(ROW()-3,$UJ$4:$UJ$40,0)))</f>
      </c>
      <c r="UL33" t="str">
        <f>IF(COUNTIF('Final Calculation Sheet'!$AL33:$BJ33,0)+COUNTIF('Final Calculation Sheet'!$BL33:$BS33,0)&gt;0,0,1)</f>
      </c>
      <c r="UM33" t="str">
        <f>IF($EJ$33="",FALSE,SUMPRODUCT(('Final Calculation Sheet'!$Z$4:$Z$40=$EJ$33)*($UL$4:$UL$40=1))&gt;0)</f>
      </c>
      <c r="UN33" t="str">
        <f>=$UN32+--($UM33)</f>
      </c>
      <c r="UO33" t="str">
        <f>IF(ROW()-3&gt;MAX($UN$4:$UN$40),"",INDEX($EJ$4:$EJ$40,MATCH(ROW()-3,$UN$4:$UN$40,0)))</f>
      </c>
      <c r="UP33" t="str">
        <f>IF(COUNTIF('Final Calculation Sheet'!$AL33:$BK33,0)+COUNTIF('Final Calculation Sheet'!$BM33:$BS33,0)&gt;0,0,1)</f>
      </c>
      <c r="UQ33" t="str">
        <f>IF($EO$33="",FALSE,SUMPRODUCT(('Final Calculation Sheet'!$AA$4:$AA$40=$EO$33)*($UP$4:$UP$40=1))&gt;0)</f>
      </c>
      <c r="UR33" t="str">
        <f>=$UR32+--($UQ33)</f>
      </c>
      <c r="US33" t="str">
        <f>IF(ROW()-3&gt;MAX($UR$4:$UR$40),"",INDEX($EO$4:$EO$40,MATCH(ROW()-3,$UR$4:$UR$40,0)))</f>
      </c>
      <c r="UT33" t="str">
        <f>IF(COUNTIF('Final Calculation Sheet'!$AL33:$BL33,0)+COUNTIF('Final Calculation Sheet'!$BN33:$BS33,0)&gt;0,0,1)</f>
      </c>
      <c r="UU33" t="str">
        <f>IF($ET$33="",FALSE,SUMPRODUCT(('Final Calculation Sheet'!$AB$4:$AB$40=$ET$33)*($UT$4:$UT$40=1))&gt;0)</f>
      </c>
      <c r="UV33" t="str">
        <f>=$UV32+--($UU33)</f>
      </c>
      <c r="UW33" t="str">
        <f>IF(ROW()-3&gt;MAX($UV$4:$UV$40),"",INDEX($ET$4:$ET$40,MATCH(ROW()-3,$UV$4:$UV$40,0)))</f>
      </c>
      <c r="UX33" t="str">
        <f>IF(COUNTIF('Final Calculation Sheet'!$AL33:$BM33,0)+COUNTIF('Final Calculation Sheet'!$BO33:$BS33,0)&gt;0,0,1)</f>
      </c>
      <c r="UY33" t="str">
        <f>IF($EY$33="",FALSE,SUMPRODUCT(('Final Calculation Sheet'!$AC$4:$AC$40=$EY$33)*($UX$4:$UX$40=1))&gt;0)</f>
      </c>
      <c r="UZ33" t="str">
        <f>=$UZ32+--($UY33)</f>
      </c>
      <c r="VA33" t="str">
        <f>IF(ROW()-3&gt;MAX($UZ$4:$UZ$40),"",INDEX($EY$4:$EY$40,MATCH(ROW()-3,$UZ$4:$UZ$40,0)))</f>
      </c>
      <c r="VB33" t="str">
        <f>IF(COUNTIF('Final Calculation Sheet'!$AL33:$BN33,0)+COUNTIF('Final Calculation Sheet'!$BP33:$BS33,0)&gt;0,0,1)</f>
      </c>
      <c r="VC33" t="str">
        <f>IF($FD$33="",FALSE,SUMPRODUCT(('Final Calculation Sheet'!$AD$4:$AD$40=$FD$33)*($VB$4:$VB$40=1))&gt;0)</f>
      </c>
      <c r="VD33" t="str">
        <f>=$VD32+--($VC33)</f>
      </c>
      <c r="VE33" t="str">
        <f>IF(ROW()-3&gt;MAX($VD$4:$VD$40),"",INDEX($FD$4:$FD$40,MATCH(ROW()-3,$VD$4:$VD$40,0)))</f>
      </c>
      <c r="VF33" t="str">
        <f>IF(COUNTIF('Final Calculation Sheet'!$AL33:$BO33,0)+COUNTIF('Final Calculation Sheet'!$BQ33:$BS33,0)&gt;0,0,1)</f>
      </c>
      <c r="VG33" t="str">
        <f>IF($FI$33="",FALSE,SUMPRODUCT(('Final Calculation Sheet'!$AE$4:$AE$40=$FI$33)*($VF$4:$VF$40=1))&gt;0)</f>
      </c>
      <c r="VH33" t="str">
        <f>=$VH32+--($VG33)</f>
      </c>
      <c r="VI33" t="str">
        <f>IF(ROW()-3&gt;MAX($VH$4:$VH$40),"",INDEX($FI$4:$FI$40,MATCH(ROW()-3,$VH$4:$VH$40,0)))</f>
      </c>
      <c r="VJ33" t="str">
        <f>IF(COUNTIF('Final Calculation Sheet'!$AL33:$BP33,0)+COUNTIF('Final Calculation Sheet'!$BR33:$BS33,0)&gt;0,0,1)</f>
      </c>
      <c r="VK33" t="str">
        <f>IF($FN$33="",FALSE,SUMPRODUCT(('Final Calculation Sheet'!$AF$4:$AF$40=$FN$33)*($VJ$4:$VJ$40=1))&gt;0)</f>
      </c>
      <c r="VL33" t="str">
        <f>=$VL32+--($VK33)</f>
      </c>
      <c r="VM33" t="str">
        <f>IF(ROW()-3&gt;MAX($VL$4:$VL$40),"",INDEX($FN$4:$FN$40,MATCH(ROW()-3,$VL$4:$VL$40,0)))</f>
      </c>
      <c r="VN33" t="str">
        <f>IF(COUNTIF('Final Calculation Sheet'!$AL33:$BQ33,0)+COUNTIF('Final Calculation Sheet'!$BS33:$BS33,0)&gt;0,0,1)</f>
      </c>
      <c r="VO33" t="str">
        <f>IF($FS$33="",FALSE,SUMPRODUCT(('Final Calculation Sheet'!$AG$4:$AG$40=$FS$33)*($VN$4:$VN$40=1))&gt;0)</f>
      </c>
      <c r="VP33" t="str">
        <f>=$VP32+--($VO33)</f>
      </c>
      <c r="VQ33" t="str">
        <f>IF(ROW()-3&gt;MAX($VP$4:$VP$40),"",INDEX($FS$4:$FS$40,MATCH(ROW()-3,$VP$4:$VP$40,0)))</f>
      </c>
      <c r="VR33" t="str">
        <f>IF(COUNTIF('Final Calculation Sheet'!$AL33:$BR33,0)&gt;0,0,1)</f>
      </c>
      <c r="VS33" t="str">
        <f>IF($QO$33="",FALSE,SUMPRODUCT(('Final Calculation Sheet'!$AH$4:$AH$40=$QO$33)*($VR$4:$VR$40=1))&gt;0)</f>
      </c>
      <c r="VT33" t="str">
        <f>=$VT32+--($VS33)</f>
      </c>
      <c r="VU33" t="str">
        <f>IF(ROW()-3&gt;MAX($VT$4:$VT$40),"",INDEX($QO$4:$QO$40,MATCH(ROW()-3,$VT$4:$VT$40,0)))</f>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IF(ROW()-3&gt;MAX($LC$4:$LC$40),"",INDEX($FS$4:$FS$40,MATCH(ROW()-3,$LC$4:$LC$40,0)))</f>
        <v/>
      </c>
      <c r="LE34">
        <f>IF(COUNTIF('Buyer Groups'!DH34:EN34,0)&gt;0,0,1)</f>
        <v/>
      </c>
      <c r="LF34">
        <f>IF($O$34="",FALSE,SUMPRODUCT(('Final Calculation Sheet'!$F$4:$F$40=$O$34)*($LE$6:$LE$42=1))&gt;0)</f>
        <v/>
      </c>
      <c r="LG34">
        <f>$LG$33+--($LF34)</f>
        <v/>
      </c>
      <c r="LH34">
        <f>IF(ROW()-3&gt;MAX($LG$4:$LG$40),"",INDEX($O$4:$O$40,MATCH(ROW()-3,$LG$4:$LG$40,0)))</f>
        <v/>
      </c>
      <c r="LI34">
        <f>IF(COUNTIF('Buyer Groups'!DG34:DG34,0)+COUNTIF('Buyer Groups'!DI34:EN34,0)&gt;0,0,1)</f>
        <v/>
      </c>
      <c r="LJ34">
        <f>IF($T$34="",FALSE,SUMPRODUCT(('Final Calculation Sheet'!$G$4:$G$40=$T$34)*($LI$6:$LI$42=1))&gt;0)</f>
        <v/>
      </c>
      <c r="LK34">
        <f>$LK$33+--($LJ34)</f>
        <v/>
      </c>
      <c r="LL34">
        <f>IF(ROW()-3&gt;MAX($LK$4:$LK$40),"",INDEX($T$4:$T$40,MATCH(ROW()-3,$LK$4:$LK$40,0)))</f>
        <v/>
      </c>
      <c r="LM34">
        <f>IF(COUNTIF('Buyer Groups'!DG34:DH34,0)+COUNTIF('Buyer Groups'!DJ34:EN34,0)&gt;0,0,1)</f>
        <v/>
      </c>
      <c r="LN34">
        <f>IF($Y$34="",FALSE,SUMPRODUCT(('Final Calculation Sheet'!$B$4:$B$40=$Y$34)*($LM$6:$LM$42=1))&gt;0)</f>
        <v/>
      </c>
      <c r="LO34">
        <f>$LO$33+--($LN34)</f>
        <v/>
      </c>
      <c r="LP34">
        <f>IF(ROW()-3&gt;MAX($LO$4:$LO$40),"",INDEX($Y$4:$Y$40,MATCH(ROW()-3,$LO$4:$LO$40,0)))</f>
        <v/>
      </c>
      <c r="LQ34">
        <f>IF(COUNTIF('Buyer Groups'!DG34:DI34,0)+COUNTIF('Buyer Groups'!DK34:EN34,0)&gt;0,0,1)</f>
        <v/>
      </c>
      <c r="LR34">
        <f>IF($AD$34="",FALSE,SUMPRODUCT(('Final Calculation Sheet'!$D$4:$D$40=$AD$34)*($LQ$6:$LQ$42=1))&gt;0)</f>
        <v/>
      </c>
      <c r="LS34">
        <f>$LS$33+--($LR34)</f>
        <v/>
      </c>
      <c r="LT34">
        <f>IF(ROW()-3&gt;MAX($LS$4:$LS$40),"",INDEX($AD$4:$AD$40,MATCH(ROW()-3,$LS$4:$LS$40,0)))</f>
        <v/>
      </c>
      <c r="LU34">
        <f>IF(COUNTIF('Buyer Groups'!DG34:DJ34,0)+COUNTIF('Buyer Groups'!DL34:EN34,0)&gt;0,0,1)</f>
        <v/>
      </c>
      <c r="LV34">
        <f>IF($AI$34="",FALSE,SUMPRODUCT(('Final Calculation Sheet'!$A$4:$A$40=$AI$34)*($LU$6:$LU$42=1))&gt;0)</f>
        <v/>
      </c>
      <c r="LW34">
        <f>$LW$33+--($LV34)</f>
        <v/>
      </c>
      <c r="LX34">
        <f>IF(ROW()-3&gt;MAX($LW$4:$LW$40),"",INDEX($AI$4:$AI$40,MATCH(ROW()-3,$LW$4:$LW$40,0)))</f>
        <v/>
      </c>
      <c r="LY34">
        <f>IF(COUNTIF('Buyer Groups'!DG34:DK34,0)+COUNTIF('Buyer Groups'!DM34:EN34,0)&gt;0,0,1)</f>
        <v/>
      </c>
      <c r="LZ34">
        <f>IF($AN$34="",FALSE,SUMPRODUCT(('Final Calculation Sheet'!$E$4:$E$40=$AN$34)*($LY$6:$LY$42=1))&gt;0)</f>
        <v/>
      </c>
      <c r="MA34">
        <f>$MA$33+--($LZ34)</f>
        <v/>
      </c>
      <c r="MB34">
        <f>IF(ROW()-3&gt;MAX($MA$4:$MA$40),"",INDEX($AN$4:$AN$40,MATCH(ROW()-3,$MA$4:$MA$40,0)))</f>
        <v/>
      </c>
      <c r="MC34">
        <f>IF(COUNTIF('Buyer Groups'!DG34:DL34,0)+COUNTIF('Buyer Groups'!DN34:EN34,0)&gt;0,0,1)</f>
        <v/>
      </c>
      <c r="MD34">
        <f>IF($AS$34="",FALSE,SUMPRODUCT(('Final Calculation Sheet'!$C$4:$C$40=$AS$34)*($MC$6:$MC$42=1))&gt;0)</f>
        <v/>
      </c>
      <c r="ME34">
        <f>$ME$33+--($MD34)</f>
        <v/>
      </c>
      <c r="MF34">
        <f>IF(ROW()-3&gt;MAX($ME$4:$ME$40),"",INDEX($AS$4:$AS$40,MATCH(ROW()-3,$ME$4:$ME$40,0)))</f>
        <v/>
      </c>
      <c r="MG34">
        <f>IF(COUNTIF('Buyer Groups'!DG34:DM34,0)+COUNTIF('Buyer Groups'!DO34:EN34,0)&gt;0,0,1)</f>
        <v/>
      </c>
      <c r="MH34">
        <f>IF($AX$34="",FALSE,SUMPRODUCT(('Final Calculation Sheet'!$H$4:$H$40=$AX$34)*($MG$6:$MG$42=1))&gt;0)</f>
        <v/>
      </c>
      <c r="MI34">
        <f>$MI$33+--($MH34)</f>
        <v/>
      </c>
      <c r="MJ34">
        <f>IF(ROW()-3&gt;MAX($MI$4:$MI$40),"",INDEX($AX$4:$AX$40,MATCH(ROW()-3,$MI$4:$MI$40,0)))</f>
        <v/>
      </c>
      <c r="MK34">
        <f>IF(COUNTIF('Buyer Groups'!DG34:DN34,0)+COUNTIF('Buyer Groups'!DP34:EN34,0)&gt;0,0,1)</f>
        <v/>
      </c>
      <c r="ML34">
        <f>IF($BC$34="",FALSE,SUMPRODUCT(('Final Calculation Sheet'!$I$4:$I$40=$BC$34)*($MK$6:$MK$42=1))&gt;0)</f>
        <v/>
      </c>
      <c r="MM34">
        <f>$MM$33+--($ML34)</f>
        <v/>
      </c>
      <c r="MN34">
        <f>IF(ROW()-3&gt;MAX($MM$4:$MM$40),"",INDEX($BC$4:$BC$40,MATCH(ROW()-3,$MM$4:$MM$40,0)))</f>
        <v/>
      </c>
      <c r="MO34">
        <f>IF(COUNTIF('Buyer Groups'!DG34:DO34,0)+COUNTIF('Buyer Groups'!DQ34:EN34,0)&gt;0,0,1)</f>
        <v/>
      </c>
      <c r="MP34">
        <f>IF($BH$34="",FALSE,SUMPRODUCT(('Final Calculation Sheet'!$J$4:$J$40=$BH$34)*($MO$6:$MO$42=1))&gt;0)</f>
        <v/>
      </c>
      <c r="MQ34">
        <f>$MQ$33+--($MP34)</f>
        <v/>
      </c>
      <c r="MR34">
        <f>IF(ROW()-3&gt;MAX($MQ$4:$MQ$40),"",INDEX($BH$4:$BH$40,MATCH(ROW()-3,$MQ$4:$MQ$40,0)))</f>
        <v/>
      </c>
      <c r="MS34">
        <f>IF(COUNTIF('Buyer Groups'!DG34:DP34,0)+COUNTIF('Buyer Groups'!DR34:EN34,0)&gt;0,0,1)</f>
        <v/>
      </c>
      <c r="MT34">
        <f>IF($BM$34="",FALSE,SUMPRODUCT(('Final Calculation Sheet'!$K$4:$K$40=$BM$34)*($MS$6:$MS$42=1))&gt;0)</f>
        <v/>
      </c>
      <c r="MU34">
        <f>$MU$33+--($MT34)</f>
        <v/>
      </c>
      <c r="MV34">
        <f>IF(ROW()-3&gt;MAX($MU$4:$MU$40),"",INDEX($BM$4:$BM$40,MATCH(ROW()-3,$MU$4:$MU$40,0)))</f>
        <v/>
      </c>
      <c r="MW34">
        <f>IF(COUNTIF('Buyer Groups'!DG34:DQ34,0)+COUNTIF('Buyer Groups'!DS34:EN34,0)&gt;0,0,1)</f>
        <v/>
      </c>
      <c r="MX34">
        <f>IF($BR$34="",FALSE,SUMPRODUCT(('Final Calculation Sheet'!$L$4:$L$40=$BR$34)*($MW$6:$MW$42=1))&gt;0)</f>
        <v/>
      </c>
      <c r="MY34">
        <f>$MY$33+--($MX34)</f>
        <v/>
      </c>
      <c r="MZ34">
        <f>IF(ROW()-3&gt;MAX($MY$4:$MY$40),"",INDEX($BR$4:$BR$40,MATCH(ROW()-3,$MY$4:$MY$40,0)))</f>
        <v/>
      </c>
      <c r="NA34">
        <f>IF(COUNTIF('Buyer Groups'!DG34:DR34,0)+COUNTIF('Buyer Groups'!DT34:EN34,0)&gt;0,0,1)</f>
        <v/>
      </c>
      <c r="NB34">
        <f>IF($BW$34="",FALSE,SUMPRODUCT(('Final Calculation Sheet'!$M$4:$M$40=$BW$34)*($NA$6:$NA$42=1))&gt;0)</f>
        <v/>
      </c>
      <c r="NC34">
        <f>$NC$33+--($NB34)</f>
        <v/>
      </c>
      <c r="ND34">
        <f>IF(ROW()-3&gt;MAX($NC$4:$NC$40),"",INDEX($BW$4:$BW$40,MATCH(ROW()-3,$NC$4:$NC$40,0)))</f>
        <v/>
      </c>
      <c r="NE34">
        <f>IF(COUNTIF('Buyer Groups'!DG34:DS34,0)+COUNTIF('Buyer Groups'!DU34:EN34,0)&gt;0,0,1)</f>
        <v/>
      </c>
      <c r="NF34">
        <f>IF($CB$34="",FALSE,SUMPRODUCT(('Final Calculation Sheet'!$N$4:$N$40=$CB$34)*($NE$6:$NE$42=1))&gt;0)</f>
        <v/>
      </c>
      <c r="NG34">
        <f>$NG$33+--($NF34)</f>
        <v/>
      </c>
      <c r="NH34">
        <f>IF(ROW()-3&gt;MAX($NG$4:$NG$40),"",INDEX($CB$4:$CB$40,MATCH(ROW()-3,$NG$4:$NG$40,0)))</f>
        <v/>
      </c>
      <c r="NI34">
        <f>IF(COUNTIF('Buyer Groups'!DG34:DT34,0)+COUNTIF('Buyer Groups'!DV34:EN34,0)&gt;0,0,1)</f>
        <v/>
      </c>
      <c r="NJ34">
        <f>IF($CG$34="",FALSE,SUMPRODUCT(('Final Calculation Sheet'!$O$4:$O$40=$CG$34)*($NI$6:$NI$42=1))&gt;0)</f>
        <v/>
      </c>
      <c r="NK34">
        <f>$NK$33+--($NJ34)</f>
        <v/>
      </c>
      <c r="NL34">
        <f>IF(ROW()-3&gt;MAX($NK$4:$NK$40),"",INDEX($CG$4:$CG$40,MATCH(ROW()-3,$NK$4:$NK$40,0)))</f>
        <v/>
      </c>
      <c r="NM34">
        <f>IF(COUNTIF('Buyer Groups'!DG34:DU34,0)+COUNTIF('Buyer Groups'!DW34:EN34,0)&gt;0,0,1)</f>
        <v/>
      </c>
      <c r="NN34">
        <f>IF($CL$34="",FALSE,SUMPRODUCT(('Final Calculation Sheet'!$P$4:$P$40=$CL$34)*($NM$6:$NM$42=1))&gt;0)</f>
        <v/>
      </c>
      <c r="NO34">
        <f>$NO$33+--($NN34)</f>
        <v/>
      </c>
      <c r="NP34">
        <f>IF(ROW()-3&gt;MAX($NO$4:$NO$40),"",INDEX($CL$4:$CL$40,MATCH(ROW()-3,$NO$4:$NO$40,0)))</f>
        <v/>
      </c>
      <c r="NQ34">
        <f>IF(COUNTIF('Buyer Groups'!DG34:DV34,0)+COUNTIF('Buyer Groups'!DX34:EN34,0)&gt;0,0,1)</f>
        <v/>
      </c>
      <c r="NR34">
        <f>IF($CQ$34="",FALSE,SUMPRODUCT(('Final Calculation Sheet'!$Q$4:$Q$40=$CQ$34)*($NQ$6:$NQ$42=1))&gt;0)</f>
        <v/>
      </c>
      <c r="NS34">
        <f>$NS$33+--($NR34)</f>
        <v/>
      </c>
      <c r="NT34">
        <f>IF(ROW()-3&gt;MAX($NS$4:$NS$40),"",INDEX($CQ$4:$CQ$40,MATCH(ROW()-3,$NS$4:$NS$40,0)))</f>
        <v/>
      </c>
      <c r="NU34">
        <f>IF(COUNTIF('Buyer Groups'!DG34:DW34,0)+COUNTIF('Buyer Groups'!DY34:EN34,0)&gt;0,0,1)</f>
        <v/>
      </c>
      <c r="NV34">
        <f>IF($CV$34="",FALSE,SUMPRODUCT(('Final Calculation Sheet'!$R$4:$R$40=$CV$34)*($NU$6:$NU$42=1))&gt;0)</f>
        <v/>
      </c>
      <c r="NW34">
        <f>$NW$33+--($NV34)</f>
        <v/>
      </c>
      <c r="NX34">
        <f>IF(ROW()-3&gt;MAX($NW$4:$NW$40),"",INDEX($CV$4:$CV$40,MATCH(ROW()-3,$NW$4:$NW$40,0)))</f>
        <v/>
      </c>
      <c r="NY34">
        <f>IF(COUNTIF('Buyer Groups'!DG34:DX34,0)+COUNTIF('Buyer Groups'!DZ34:EN34,0)&gt;0,0,1)</f>
        <v/>
      </c>
      <c r="NZ34">
        <f>IF($DA$34="",FALSE,SUMPRODUCT(('Final Calculation Sheet'!$S$4:$S$40=$DA$34)*($NY$6:$NY$42=1))&gt;0)</f>
        <v/>
      </c>
      <c r="OA34">
        <f>$OA$33+--($NZ34)</f>
        <v/>
      </c>
      <c r="OB34">
        <f>IF(ROW()-3&gt;MAX($OA$4:$OA$40),"",INDEX($DA$4:$DA$40,MATCH(ROW()-3,$OA$4:$OA$40,0)))</f>
        <v/>
      </c>
      <c r="OC34">
        <f>IF(COUNTIF('Buyer Groups'!DG34:DY34,0)+COUNTIF('Buyer Groups'!EA34:EN34,0)&gt;0,0,1)</f>
        <v/>
      </c>
      <c r="OD34">
        <f>IF($DF$34="",FALSE,SUMPRODUCT(('Final Calculation Sheet'!$T$4:$T$40=$DF$34)*($OC$6:$OC$42=1))&gt;0)</f>
        <v/>
      </c>
      <c r="OE34">
        <f>$OE$33+--($OD34)</f>
        <v/>
      </c>
      <c r="OF34">
        <f>IF(ROW()-3&gt;MAX($OE$4:$OE$40),"",INDEX($DF$4:$DF$40,MATCH(ROW()-3,$OE$4:$OE$40,0)))</f>
        <v/>
      </c>
      <c r="OG34">
        <f>IF(COUNTIF('Buyer Groups'!DG34:DZ34,0)+COUNTIF('Buyer Groups'!EB34:EN34,0)&gt;0,0,1)</f>
        <v/>
      </c>
      <c r="OH34">
        <f>IF($DK$34="",FALSE,SUMPRODUCT(('Final Calculation Sheet'!$U$4:$U$40=$DK$34)*($OG$6:$OG$42=1))&gt;0)</f>
        <v/>
      </c>
      <c r="OI34">
        <f>$OI$33+--($OH34)</f>
        <v/>
      </c>
      <c r="OJ34">
        <f>IF(ROW()-3&gt;MAX($OI$4:$OI$40),"",INDEX($DK$4:$DK$40,MATCH(ROW()-3,$OI$4:$OI$40,0)))</f>
        <v/>
      </c>
      <c r="OK34">
        <f>IF(COUNTIF('Buyer Groups'!DG34:EA34,0)+COUNTIF('Buyer Groups'!EC34:EN34,0)&gt;0,0,1)</f>
        <v/>
      </c>
      <c r="OL34">
        <f>IF($DP$34="",FALSE,SUMPRODUCT(('Final Calculation Sheet'!$V$4:$V$40=$DP$34)*($OK$6:$OK$42=1))&gt;0)</f>
        <v/>
      </c>
      <c r="OM34">
        <f>$OM$33+--($OL34)</f>
        <v/>
      </c>
      <c r="ON34">
        <f>IF(ROW()-3&gt;MAX($OM$4:$OM$40),"",INDEX($DP$4:$DP$40,MATCH(ROW()-3,$OM$4:$OM$40,0)))</f>
        <v/>
      </c>
      <c r="OO34">
        <f>IF(COUNTIF('Buyer Groups'!DG34:EB34,0)+COUNTIF('Buyer Groups'!ED34:EN34,0)&gt;0,0,1)</f>
        <v/>
      </c>
      <c r="OP34">
        <f>IF($DU$34="",FALSE,SUMPRODUCT(('Final Calculation Sheet'!$W$4:$W$40=$DU$34)*($OO$6:$OO$42=1))&gt;0)</f>
        <v/>
      </c>
      <c r="OQ34">
        <f>$OQ$33+--($OP34)</f>
        <v/>
      </c>
      <c r="OR34">
        <f>IF(ROW()-3&gt;MAX($OQ$4:$OQ$40),"",INDEX($DU$4:$DU$40,MATCH(ROW()-3,$OQ$4:$OQ$40,0)))</f>
        <v/>
      </c>
      <c r="OS34">
        <f>IF(COUNTIF('Buyer Groups'!DG34:EC34,0)+COUNTIF('Buyer Groups'!EE34:EN34,0)&gt;0,0,1)</f>
        <v/>
      </c>
      <c r="OT34">
        <f>IF($DZ$34="",FALSE,SUMPRODUCT(('Final Calculation Sheet'!$X$4:$X$40=$DZ$34)*($OS$6:$OS$42=1))&gt;0)</f>
        <v/>
      </c>
      <c r="OU34">
        <f>$OU$33+--($OT34)</f>
        <v/>
      </c>
      <c r="OV34">
        <f>IF(ROW()-3&gt;MAX($OU$4:$OU$40),"",INDEX($DZ$4:$DZ$40,MATCH(ROW()-3,$OU$4:$OU$40,0)))</f>
        <v/>
      </c>
      <c r="OW34">
        <f>IF(COUNTIF('Buyer Groups'!DG34:ED34,0)+COUNTIF('Buyer Groups'!EF34:EN34,0)&gt;0,0,1)</f>
        <v/>
      </c>
      <c r="OX34">
        <f>IF($EE$34="",FALSE,SUMPRODUCT(('Final Calculation Sheet'!$Y$4:$Y$40=$EE$34)*($OW$6:$OW$42=1))&gt;0)</f>
        <v/>
      </c>
      <c r="OY34">
        <f>$OY$33+--($OX34)</f>
        <v/>
      </c>
      <c r="OZ34">
        <f>IF(ROW()-3&gt;MAX($OY$4:$OY$40),"",INDEX($EE$4:$EE$40,MATCH(ROW()-3,$OY$4:$OY$40,0)))</f>
        <v/>
      </c>
      <c r="PA34">
        <f>IF(COUNTIF('Buyer Groups'!DG34:EE34,0)+COUNTIF('Buyer Groups'!EG34:EN34,0)&gt;0,0,1)</f>
        <v/>
      </c>
      <c r="PB34">
        <f>IF($EJ$34="",FALSE,SUMPRODUCT(('Final Calculation Sheet'!$Z$4:$Z$40=$EJ$34)*($PA$6:$PA$42=1))&gt;0)</f>
        <v/>
      </c>
      <c r="PC34">
        <f>$PC$33+--($PB34)</f>
        <v/>
      </c>
      <c r="PD34">
        <f>IF(ROW()-3&gt;MAX($PC$4:$PC$40),"",INDEX($EJ$4:$EJ$40,MATCH(ROW()-3,$PC$4:$PC$40,0)))</f>
        <v/>
      </c>
      <c r="PE34">
        <f>IF(COUNTIF('Buyer Groups'!DG34:EF34,0)+COUNTIF('Buyer Groups'!EH34:EN34,0)&gt;0,0,1)</f>
        <v/>
      </c>
      <c r="PF34">
        <f>IF($EO$34="",FALSE,SUMPRODUCT(('Final Calculation Sheet'!$AA$4:$AA$40=$EO$34)*($PE$6:$PE$42=1))&gt;0)</f>
        <v/>
      </c>
      <c r="PG34">
        <f>$PG$33+--($PF34)</f>
        <v/>
      </c>
      <c r="PH34">
        <f>IF(ROW()-3&gt;MAX($PG$4:$PG$40),"",INDEX($EO$4:$EO$40,MATCH(ROW()-3,$PG$4:$PG$40,0)))</f>
        <v/>
      </c>
      <c r="PI34">
        <f>IF(COUNTIF('Buyer Groups'!DG34:EG34,0)+COUNTIF('Buyer Groups'!EI34:EN34,0)&gt;0,0,1)</f>
        <v/>
      </c>
      <c r="PJ34">
        <f>IF($ET$34="",FALSE,SUMPRODUCT(('Final Calculation Sheet'!$AB$4:$AB$40=$ET$34)*($PI$6:$PI$42=1))&gt;0)</f>
        <v/>
      </c>
      <c r="PK34">
        <f>$PK$33+--($PJ34)</f>
        <v/>
      </c>
      <c r="PL34">
        <f>IF(ROW()-3&gt;MAX($PK$4:$PK$40),"",INDEX($ET$4:$ET$40,MATCH(ROW()-3,$PK$4:$PK$40,0)))</f>
        <v/>
      </c>
      <c r="PM34">
        <f>IF(COUNTIF('Buyer Groups'!DG34:EH34,0)+COUNTIF('Buyer Groups'!EJ34:EN34,0)&gt;0,0,1)</f>
        <v/>
      </c>
      <c r="PN34">
        <f>IF($EY$34="",FALSE,SUMPRODUCT(('Final Calculation Sheet'!$AC$4:$AC$40=$EY$34)*($PM$6:$PM$42=1))&gt;0)</f>
        <v/>
      </c>
      <c r="PO34">
        <f>$PO$33+--($PN34)</f>
        <v/>
      </c>
      <c r="PP34">
        <f>IF(ROW()-3&gt;MAX($PO$4:$PO$40),"",INDEX($EY$4:$EY$40,MATCH(ROW()-3,$PO$4:$PO$40,0)))</f>
        <v/>
      </c>
      <c r="PQ34">
        <f>IF(COUNTIF('Buyer Groups'!DG34:EI34,0)+COUNTIF('Buyer Groups'!EK34:EN34,0)&gt;0,0,1)</f>
        <v/>
      </c>
      <c r="PR34">
        <f>IF($FD$34="",FALSE,SUMPRODUCT(('Final Calculation Sheet'!$AD$4:$AD$40=$FD$34)*($PQ$6:$PQ$42=1))&gt;0)</f>
        <v/>
      </c>
      <c r="PS34">
        <f>$PS$33+--($PR34)</f>
        <v/>
      </c>
      <c r="PT34">
        <f>IF(ROW()-3&gt;MAX($PS$4:$PS$40),"",INDEX($FD$4:$FD$40,MATCH(ROW()-3,$PS$4:$PS$40,0)))</f>
        <v/>
      </c>
      <c r="PU34">
        <f>IF(COUNTIF('Buyer Groups'!DG34:EJ34,0)+COUNTIF('Buyer Groups'!EL34:EN34,0)&gt;0,0,1)</f>
        <v/>
      </c>
      <c r="PV34">
        <f>IF($FX$34="",FALSE,SUMPRODUCT((IF('Final Calculation Sheet'!$AD$4:$AD$40&lt;=5,"SETTLED","OUTSTANDING")=$FX$34)*($PU$6:$PU$42=1))&gt;0)</f>
        <v/>
      </c>
      <c r="PW34">
        <f>$PW$33+--($PV34)</f>
        <v/>
      </c>
      <c r="PX34">
        <f>IF(ROW()-3&gt;MAX($PW$4:$PW$40),"",INDEX($FX$4:$FX$40,MATCH(ROW()-3,$PW$4:$PW$40,0)))</f>
        <v/>
      </c>
      <c r="PY34">
        <f>IF(COUNTIF('Buyer Groups'!DG34:EK34,0)+COUNTIF('Buyer Groups'!EM34:EN34,0)&gt;0,0,1)</f>
        <v/>
      </c>
      <c r="PZ34">
        <f>IF($FI$34="",FALSE,SUMPRODUCT(('Final Calculation Sheet'!$AF$4:$AF$40=$FI$34)*($PY$6:$PY$42=1))&gt;0)</f>
        <v/>
      </c>
      <c r="QA34">
        <f>$QA$33+--($PZ34)</f>
        <v/>
      </c>
      <c r="QB34">
        <f>IF(ROW()-3&gt;MAX($QA$4:$QA$40),"",INDEX($FI$4:$FI$40,MATCH(ROW()-3,$QA$4:$QA$40,0)))</f>
        <v/>
      </c>
      <c r="QC34">
        <f>IF(COUNTIF('Buyer Groups'!DG34:EL34,0)+COUNTIF('Buyer Groups'!EN34:EN34,0)&gt;0,0,1)</f>
        <v/>
      </c>
      <c r="QD34">
        <f>IF($FN$34="",FALSE,SUMPRODUCT(('Final Calculation Sheet'!$AG$4:$AG$40=$FN$34)*($QC$6:$QC$42=1))&gt;0)</f>
        <v/>
      </c>
      <c r="QE34">
        <f>$QE$33+--($QD34)</f>
        <v/>
      </c>
      <c r="QF34">
        <f>IF(ROW()-3&gt;MAX($QE$4:$QE$40),"",INDEX($FN$4:$FN$40,MATCH(ROW()-3,$QE$4:$QE$40,0)))</f>
        <v/>
      </c>
      <c r="QG34">
        <f>IF(COUNTIF('Buyer Groups'!DG34:EM34,0)&gt;0,0,1)</f>
        <v/>
      </c>
      <c r="QH34">
        <f>IF($FS$34="",FALSE,SUMPRODUCT(('Final Calculation Sheet'!$AH$4:$AH$40=$FS$34)*($QG$6:$QG$42=1))&gt;0)</f>
        <v/>
      </c>
      <c r="QI34">
        <f>$QI$33+--($QH34)</f>
        <v/>
      </c>
      <c r="QJ34">
        <f>IF(ROW()-3&gt;MAX($QI$4:$QI$40),"",INDEX($FS$4:$FS$40,MATCH(ROW()-3,$QI$4:$QI$40,0)))</f>
        <v/>
      </c>
      <c r="QK34" t="str">
        <f>IF('Final Calculation Sheet'!$AH$34="","",'Final Calculation Sheet'!$AH$34)</f>
      </c>
      <c r="QL34" t="str">
        <f>IF(QK34="","",COUNTIFS(QK$4:QK$40,"&lt;"&amp;QK34,QK$4:QK$40,"&lt;&gt;"&amp;"")+COUNTIF(QK$4:QK34,QK34))</f>
      </c>
      <c r="QM34" t="str">
        <f>IF(ROW()-3&gt;COUNTIF(QK$4:QK$40,"&lt;&gt;"&amp;""),"",INDEX(QK$4:QK$40,MATCH(ROW()-3,QL$4:QL$40,0)))</f>
      </c>
      <c r="QN34" t="str">
        <f>=QN33+F(AND(QM34&lt;&gt;"",COUNTIF(QM$4:QM34,QM34)=1),1,0)</f>
      </c>
      <c r="QO34" t="str">
        <f>IF(ROW()-3&gt;MAX(QN$4:QN$40),"",INDEX(QM$4:QM$40,MATCH(ROW()-3,QN$4:QN$40,0)))</f>
      </c>
      <c r="QP34" t="str">
        <f>IF(COUNTIF('Final Calculation Sheet'!$AM34:$BS34,0)&gt;0,0,1)</f>
      </c>
      <c r="QQ34" t="str">
        <f>IF($AI$34="",FALSE,SUMPRODUCT(('Final Calculation Sheet'!$A$4:$A$40=$AI$34)*($QP$4:$QP$40=1))&gt;0)</f>
      </c>
      <c r="QR34" t="str">
        <f>=$QR33+--($QQ34)</f>
      </c>
      <c r="QS34" t="str">
        <f>IF(ROW()-3&gt;MAX($QR$4:$QR$40),"",INDEX($AI$4:$AI$40,MATCH(ROW()-3,$QR$4:$QR$40,0)))</f>
      </c>
      <c r="QT34" t="str">
        <f>IF(COUNTIF('Final Calculation Sheet'!$AL34:$AL34,0)+COUNTIF('Final Calculation Sheet'!$AN34:$BS34,0)&gt;0,0,1)</f>
      </c>
      <c r="QU34" t="str">
        <f>IF($Y$34="",FALSE,SUMPRODUCT(('Final Calculation Sheet'!$B$4:$B$40=$Y$34)*($QT$4:$QT$40=1))&gt;0)</f>
      </c>
      <c r="QV34" t="str">
        <f>=$QV33+--($QU34)</f>
      </c>
      <c r="QW34" t="str">
        <f>IF(ROW()-3&gt;MAX($QV$4:$QV$40),"",INDEX($Y$4:$Y$40,MATCH(ROW()-3,$QV$4:$QV$40,0)))</f>
      </c>
      <c r="QX34" t="str">
        <f>IF(COUNTIF('Final Calculation Sheet'!$AL34:$AM34,0)+COUNTIF('Final Calculation Sheet'!$AO34:$BS34,0)&gt;0,0,1)</f>
      </c>
      <c r="QY34" t="str">
        <f>IF($AS$34="",FALSE,SUMPRODUCT(('Final Calculation Sheet'!$C$4:$C$40=$AS$34)*($QX$4:$QX$40=1))&gt;0)</f>
      </c>
      <c r="QZ34" t="str">
        <f>=$QZ33+--($QY34)</f>
      </c>
      <c r="RA34" t="str">
        <f>IF(ROW()-3&gt;MAX($QZ$4:$QZ$40),"",INDEX($AS$4:$AS$40,MATCH(ROW()-3,$QZ$4:$QZ$40,0)))</f>
      </c>
      <c r="RB34" t="str">
        <f>IF(COUNTIF('Final Calculation Sheet'!$AL34:$AN34,0)+COUNTIF('Final Calculation Sheet'!$AP34:$BS34,0)&gt;0,0,1)</f>
      </c>
      <c r="RC34" t="str">
        <f>IF($AD$34="",FALSE,SUMPRODUCT(('Final Calculation Sheet'!$D$4:$D$40=$AD$34)*($RB$4:$RB$40=1))&gt;0)</f>
      </c>
      <c r="RD34" t="str">
        <f>=$RD33+--($RC34)</f>
      </c>
      <c r="RE34" t="str">
        <f>IF(ROW()-3&gt;MAX($RD$4:$RD$40),"",INDEX($AD$4:$AD$40,MATCH(ROW()-3,$RD$4:$RD$40,0)))</f>
      </c>
      <c r="RF34" t="str">
        <f>IF(COUNTIF('Final Calculation Sheet'!$AL34:$AO34,0)+COUNTIF('Final Calculation Sheet'!$AQ34:$BS34,0)&gt;0,0,1)</f>
      </c>
      <c r="RG34" t="str">
        <f>IF($AN$34="",FALSE,SUMPRODUCT(('Final Calculation Sheet'!$E$4:$E$40=$AN$34)*($RF$4:$RF$40=1))&gt;0)</f>
      </c>
      <c r="RH34" t="str">
        <f>=$RH33+--($RG34)</f>
      </c>
      <c r="RI34" t="str">
        <f>IF(ROW()-3&gt;MAX($RH$4:$RH$40),"",INDEX($AN$4:$AN$40,MATCH(ROW()-3,$RH$4:$RH$40,0)))</f>
      </c>
      <c r="RJ34" t="str">
        <f>IF(COUNTIF('Final Calculation Sheet'!$AL34:$AP34,0)+COUNTIF('Final Calculation Sheet'!$AR34:$BS34,0)&gt;0,0,1)</f>
      </c>
      <c r="RK34" t="str">
        <f>IF($O$34="",FALSE,SUMPRODUCT(('Final Calculation Sheet'!$F$4:$F$40=$O$34)*($RJ$4:$RJ$40=1))&gt;0)</f>
      </c>
      <c r="RL34" t="str">
        <f>=$RL33+--($RK34)</f>
      </c>
      <c r="RM34" t="str">
        <f>IF(ROW()-3&gt;MAX($RL$4:$RL$40),"",INDEX($O$4:$O$40,MATCH(ROW()-3,$RL$4:$RL$40,0)))</f>
      </c>
      <c r="RN34" t="str">
        <f>IF(COUNTIF('Final Calculation Sheet'!$AL34:$AQ34,0)+COUNTIF('Final Calculation Sheet'!$AS34:$BS34,0)&gt;0,0,1)</f>
      </c>
      <c r="RO34" t="str">
        <f>IF($T$34="",FALSE,SUMPRODUCT(('Final Calculation Sheet'!$G$4:$G$40=$T$34)*($RN$4:$RN$40=1))&gt;0)</f>
      </c>
      <c r="RP34" t="str">
        <f>=$RP33+--($RO34)</f>
      </c>
      <c r="RQ34" t="str">
        <f>IF(ROW()-3&gt;MAX($RP$4:$RP$40),"",INDEX($T$4:$T$40,MATCH(ROW()-3,$RP$4:$RP$40,0)))</f>
      </c>
      <c r="RR34" t="str">
        <f>IF(COUNTIF('Final Calculation Sheet'!$AL34:$AR34,0)+COUNTIF('Final Calculation Sheet'!$AT34:$BS34,0)&gt;0,0,1)</f>
      </c>
      <c r="RS34" t="str">
        <f>IF($AX$34="",FALSE,SUMPRODUCT(('Final Calculation Sheet'!$H$4:$H$40=$AX$34)*($RR$4:$RR$40=1))&gt;0)</f>
      </c>
      <c r="RT34" t="str">
        <f>=$RT33+--($RS34)</f>
      </c>
      <c r="RU34" t="str">
        <f>IF(ROW()-3&gt;MAX($RT$4:$RT$40),"",INDEX($AX$4:$AX$40,MATCH(ROW()-3,$RT$4:$RT$40,0)))</f>
      </c>
      <c r="RV34" t="str">
        <f>IF(COUNTIF('Final Calculation Sheet'!$AL34:$AS34,0)+COUNTIF('Final Calculation Sheet'!$AU34:$BS34,0)&gt;0,0,1)</f>
      </c>
      <c r="RW34" t="str">
        <f>IF($BC$34="",FALSE,SUMPRODUCT(('Final Calculation Sheet'!$I$4:$I$40=$BC$34)*($RV$4:$RV$40=1))&gt;0)</f>
      </c>
      <c r="RX34" t="str">
        <f>=$RX33+--($RW34)</f>
      </c>
      <c r="RY34" t="str">
        <f>IF(ROW()-3&gt;MAX($RX$4:$RX$40),"",INDEX($BC$4:$BC$40,MATCH(ROW()-3,$RX$4:$RX$40,0)))</f>
      </c>
      <c r="RZ34" t="str">
        <f>IF(COUNTIF('Final Calculation Sheet'!$AL34:$AT34,0)+COUNTIF('Final Calculation Sheet'!$AV34:$BS34,0)&gt;0,0,1)</f>
      </c>
      <c r="SA34" t="str">
        <f>IF($BH$34="",FALSE,SUMPRODUCT(('Final Calculation Sheet'!$J$4:$J$40=$BH$34)*($RZ$4:$RZ$40=1))&gt;0)</f>
      </c>
      <c r="SB34" t="str">
        <f>=$SB33+--($SA34)</f>
      </c>
      <c r="SC34" t="str">
        <f>IF(ROW()-3&gt;MAX($SB$4:$SB$40),"",INDEX($BH$4:$BH$40,MATCH(ROW()-3,$SB$4:$SB$40,0)))</f>
      </c>
      <c r="SD34" t="str">
        <f>IF(COUNTIF('Final Calculation Sheet'!$AL34:$AU34,0)+COUNTIF('Final Calculation Sheet'!$AW34:$BS34,0)&gt;0,0,1)</f>
      </c>
      <c r="SE34" t="str">
        <f>IF($BM$34="",FALSE,SUMPRODUCT(('Final Calculation Sheet'!$K$4:$K$40=$BM$34)*($SD$4:$SD$40=1))&gt;0)</f>
      </c>
      <c r="SF34" t="str">
        <f>=$SF33+--($SE34)</f>
      </c>
      <c r="SG34" t="str">
        <f>IF(ROW()-3&gt;MAX($SF$4:$SF$40),"",INDEX($BM$4:$BM$40,MATCH(ROW()-3,$SF$4:$SF$40,0)))</f>
      </c>
      <c r="SH34" t="str">
        <f>IF(COUNTIF('Final Calculation Sheet'!$AL34:$AV34,0)+COUNTIF('Final Calculation Sheet'!$AX34:$BS34,0)&gt;0,0,1)</f>
      </c>
      <c r="SI34" t="str">
        <f>IF($BR$34="",FALSE,SUMPRODUCT(('Final Calculation Sheet'!$L$4:$L$40=$BR$34)*($SH$4:$SH$40=1))&gt;0)</f>
      </c>
      <c r="SJ34" t="str">
        <f>=$SJ33+--($SI34)</f>
      </c>
      <c r="SK34" t="str">
        <f>IF(ROW()-3&gt;MAX($SJ$4:$SJ$40),"",INDEX($BR$4:$BR$40,MATCH(ROW()-3,$SJ$4:$SJ$40,0)))</f>
      </c>
      <c r="SL34" t="str">
        <f>IF(COUNTIF('Final Calculation Sheet'!$AL34:$AW34,0)+COUNTIF('Final Calculation Sheet'!$AY34:$BS34,0)&gt;0,0,1)</f>
      </c>
      <c r="SM34" t="str">
        <f>IF($BW$34="",FALSE,SUMPRODUCT(('Final Calculation Sheet'!$M$4:$M$40=$BW$34)*($SL$4:$SL$40=1))&gt;0)</f>
      </c>
      <c r="SN34" t="str">
        <f>=$SN33+--($SM34)</f>
      </c>
      <c r="SO34" t="str">
        <f>IF(ROW()-3&gt;MAX($SN$4:$SN$40),"",INDEX($BW$4:$BW$40,MATCH(ROW()-3,$SN$4:$SN$40,0)))</f>
      </c>
      <c r="SP34" t="str">
        <f>IF(COUNTIF('Final Calculation Sheet'!$AL34:$AX34,0)+COUNTIF('Final Calculation Sheet'!$AZ34:$BS34,0)&gt;0,0,1)</f>
      </c>
      <c r="SQ34" t="str">
        <f>IF($CB$34="",FALSE,SUMPRODUCT(('Final Calculation Sheet'!$N$4:$N$40=$CB$34)*($SP$4:$SP$40=1))&gt;0)</f>
      </c>
      <c r="SR34" t="str">
        <f>=$SR33+--($SQ34)</f>
      </c>
      <c r="SS34" t="str">
        <f>IF(ROW()-3&gt;MAX($SR$4:$SR$40),"",INDEX($CB$4:$CB$40,MATCH(ROW()-3,$SR$4:$SR$40,0)))</f>
      </c>
      <c r="ST34" t="str">
        <f>IF(COUNTIF('Final Calculation Sheet'!$AL34:$AY34,0)+COUNTIF('Final Calculation Sheet'!$BA34:$BS34,0)&gt;0,0,1)</f>
      </c>
      <c r="SU34" t="str">
        <f>IF($CG$34="",FALSE,SUMPRODUCT(('Final Calculation Sheet'!$O$4:$O$40=$CG$34)*($ST$4:$ST$40=1))&gt;0)</f>
      </c>
      <c r="SV34" t="str">
        <f>=$SV33+--($SU34)</f>
      </c>
      <c r="SW34" t="str">
        <f>IF(ROW()-3&gt;MAX($SV$4:$SV$40),"",INDEX($CG$4:$CG$40,MATCH(ROW()-3,$SV$4:$SV$40,0)))</f>
      </c>
      <c r="SX34" t="str">
        <f>IF(COUNTIF('Final Calculation Sheet'!$AL34:$AZ34,0)+COUNTIF('Final Calculation Sheet'!$BB34:$BS34,0)&gt;0,0,1)</f>
      </c>
      <c r="SY34" t="str">
        <f>IF($CL$34="",FALSE,SUMPRODUCT(('Final Calculation Sheet'!$P$4:$P$40=$CL$34)*($SX$4:$SX$40=1))&gt;0)</f>
      </c>
      <c r="SZ34" t="str">
        <f>=$SZ33+--($SY34)</f>
      </c>
      <c r="TA34" t="str">
        <f>IF(ROW()-3&gt;MAX($SZ$4:$SZ$40),"",INDEX($CL$4:$CL$40,MATCH(ROW()-3,$SZ$4:$SZ$40,0)))</f>
      </c>
      <c r="TB34" t="str">
        <f>IF(COUNTIF('Final Calculation Sheet'!$AL34:$BA34,0)+COUNTIF('Final Calculation Sheet'!$BC34:$BS34,0)&gt;0,0,1)</f>
      </c>
      <c r="TC34" t="str">
        <f>IF($CQ$34="",FALSE,SUMPRODUCT(('Final Calculation Sheet'!$Q$4:$Q$40=$CQ$34)*($TB$4:$TB$40=1))&gt;0)</f>
      </c>
      <c r="TD34" t="str">
        <f>=$TD33+--($TC34)</f>
      </c>
      <c r="TE34" t="str">
        <f>IF(ROW()-3&gt;MAX($TD$4:$TD$40),"",INDEX($CQ$4:$CQ$40,MATCH(ROW()-3,$TD$4:$TD$40,0)))</f>
      </c>
      <c r="TF34" t="str">
        <f>IF(COUNTIF('Final Calculation Sheet'!$AL34:$BB34,0)+COUNTIF('Final Calculation Sheet'!$BD34:$BS34,0)&gt;0,0,1)</f>
      </c>
      <c r="TG34" t="str">
        <f>IF($CV$34="",FALSE,SUMPRODUCT(('Final Calculation Sheet'!$R$4:$R$40=$CV$34)*($TF$4:$TF$40=1))&gt;0)</f>
      </c>
      <c r="TH34" t="str">
        <f>=$TH33+--($TG34)</f>
      </c>
      <c r="TI34" t="str">
        <f>IF(ROW()-3&gt;MAX($TH$4:$TH$40),"",INDEX($CV$4:$CV$40,MATCH(ROW()-3,$TH$4:$TH$40,0)))</f>
      </c>
      <c r="TJ34" t="str">
        <f>IF(COUNTIF('Final Calculation Sheet'!$AL34:$BC34,0)+COUNTIF('Final Calculation Sheet'!$BE34:$BS34,0)&gt;0,0,1)</f>
      </c>
      <c r="TK34" t="str">
        <f>IF($DA$34="",FALSE,SUMPRODUCT(('Final Calculation Sheet'!$S$4:$S$40=$DA$34)*($TJ$4:$TJ$40=1))&gt;0)</f>
      </c>
      <c r="TL34" t="str">
        <f>=$TL33+--($TK34)</f>
      </c>
      <c r="TM34" t="str">
        <f>IF(ROW()-3&gt;MAX($TL$4:$TL$40),"",INDEX($DA$4:$DA$40,MATCH(ROW()-3,$TL$4:$TL$40,0)))</f>
      </c>
      <c r="TN34" t="str">
        <f>IF(COUNTIF('Final Calculation Sheet'!$AL34:$BD34,0)+COUNTIF('Final Calculation Sheet'!$BF34:$BS34,0)&gt;0,0,1)</f>
      </c>
      <c r="TO34" t="str">
        <f>IF($DF$34="",FALSE,SUMPRODUCT(('Final Calculation Sheet'!$T$4:$T$40=$DF$34)*($TN$4:$TN$40=1))&gt;0)</f>
      </c>
      <c r="TP34" t="str">
        <f>=$TP33+--($TO34)</f>
      </c>
      <c r="TQ34" t="str">
        <f>IF(ROW()-3&gt;MAX($TP$4:$TP$40),"",INDEX($DF$4:$DF$40,MATCH(ROW()-3,$TP$4:$TP$40,0)))</f>
      </c>
      <c r="TR34" t="str">
        <f>IF(COUNTIF('Final Calculation Sheet'!$AL34:$BE34,0)+COUNTIF('Final Calculation Sheet'!$BG34:$BS34,0)&gt;0,0,1)</f>
      </c>
      <c r="TS34" t="str">
        <f>IF($DK$34="",FALSE,SUMPRODUCT(('Final Calculation Sheet'!$U$4:$U$40=$DK$34)*($TR$4:$TR$40=1))&gt;0)</f>
      </c>
      <c r="TT34" t="str">
        <f>=$TT33+--($TS34)</f>
      </c>
      <c r="TU34" t="str">
        <f>IF(ROW()-3&gt;MAX($TT$4:$TT$40),"",INDEX($DK$4:$DK$40,MATCH(ROW()-3,$TT$4:$TT$40,0)))</f>
      </c>
      <c r="TV34" t="str">
        <f>IF(COUNTIF('Final Calculation Sheet'!$AL34:$BF34,0)+COUNTIF('Final Calculation Sheet'!$BH34:$BS34,0)&gt;0,0,1)</f>
      </c>
      <c r="TW34" t="str">
        <f>IF($DP$34="",FALSE,SUMPRODUCT(('Final Calculation Sheet'!$V$4:$V$40=$DP$34)*($TV$4:$TV$40=1))&gt;0)</f>
      </c>
      <c r="TX34" t="str">
        <f>=$TX33+--($TW34)</f>
      </c>
      <c r="TY34" t="str">
        <f>IF(ROW()-3&gt;MAX($TX$4:$TX$40),"",INDEX($DP$4:$DP$40,MATCH(ROW()-3,$TX$4:$TX$40,0)))</f>
      </c>
      <c r="TZ34" t="str">
        <f>IF(COUNTIF('Final Calculation Sheet'!$AL34:$BG34,0)+COUNTIF('Final Calculation Sheet'!$BI34:$BS34,0)&gt;0,0,1)</f>
      </c>
      <c r="UA34" t="str">
        <f>IF($DU$34="",FALSE,SUMPRODUCT(('Final Calculation Sheet'!$W$4:$W$40=$DU$34)*($TZ$4:$TZ$40=1))&gt;0)</f>
      </c>
      <c r="UB34" t="str">
        <f>=$UB33+--($UA34)</f>
      </c>
      <c r="UC34" t="str">
        <f>IF(ROW()-3&gt;MAX($UB$4:$UB$40),"",INDEX($DU$4:$DU$40,MATCH(ROW()-3,$UB$4:$UB$40,0)))</f>
      </c>
      <c r="UD34" t="str">
        <f>IF(COUNTIF('Final Calculation Sheet'!$AL34:$BH34,0)+COUNTIF('Final Calculation Sheet'!$BJ34:$BS34,0)&gt;0,0,1)</f>
      </c>
      <c r="UE34" t="str">
        <f>IF($DZ$34="",FALSE,SUMPRODUCT(('Final Calculation Sheet'!$X$4:$X$40=$DZ$34)*($UD$4:$UD$40=1))&gt;0)</f>
      </c>
      <c r="UF34" t="str">
        <f>=$UF33+--($UE34)</f>
      </c>
      <c r="UG34" t="str">
        <f>IF(ROW()-3&gt;MAX($UF$4:$UF$40),"",INDEX($DZ$4:$DZ$40,MATCH(ROW()-3,$UF$4:$UF$40,0)))</f>
      </c>
      <c r="UH34" t="str">
        <f>IF(COUNTIF('Final Calculation Sheet'!$AL34:$BI34,0)+COUNTIF('Final Calculation Sheet'!$BK34:$BS34,0)&gt;0,0,1)</f>
      </c>
      <c r="UI34" t="str">
        <f>IF($EE$34="",FALSE,SUMPRODUCT(('Final Calculation Sheet'!$Y$4:$Y$40=$EE$34)*($UH$4:$UH$40=1))&gt;0)</f>
      </c>
      <c r="UJ34" t="str">
        <f>=$UJ33+--($UI34)</f>
      </c>
      <c r="UK34" t="str">
        <f>IF(ROW()-3&gt;MAX($UJ$4:$UJ$40),"",INDEX($EE$4:$EE$40,MATCH(ROW()-3,$UJ$4:$UJ$40,0)))</f>
      </c>
      <c r="UL34" t="str">
        <f>IF(COUNTIF('Final Calculation Sheet'!$AL34:$BJ34,0)+COUNTIF('Final Calculation Sheet'!$BL34:$BS34,0)&gt;0,0,1)</f>
      </c>
      <c r="UM34" t="str">
        <f>IF($EJ$34="",FALSE,SUMPRODUCT(('Final Calculation Sheet'!$Z$4:$Z$40=$EJ$34)*($UL$4:$UL$40=1))&gt;0)</f>
      </c>
      <c r="UN34" t="str">
        <f>=$UN33+--($UM34)</f>
      </c>
      <c r="UO34" t="str">
        <f>IF(ROW()-3&gt;MAX($UN$4:$UN$40),"",INDEX($EJ$4:$EJ$40,MATCH(ROW()-3,$UN$4:$UN$40,0)))</f>
      </c>
      <c r="UP34" t="str">
        <f>IF(COUNTIF('Final Calculation Sheet'!$AL34:$BK34,0)+COUNTIF('Final Calculation Sheet'!$BM34:$BS34,0)&gt;0,0,1)</f>
      </c>
      <c r="UQ34" t="str">
        <f>IF($EO$34="",FALSE,SUMPRODUCT(('Final Calculation Sheet'!$AA$4:$AA$40=$EO$34)*($UP$4:$UP$40=1))&gt;0)</f>
      </c>
      <c r="UR34" t="str">
        <f>=$UR33+--($UQ34)</f>
      </c>
      <c r="US34" t="str">
        <f>IF(ROW()-3&gt;MAX($UR$4:$UR$40),"",INDEX($EO$4:$EO$40,MATCH(ROW()-3,$UR$4:$UR$40,0)))</f>
      </c>
      <c r="UT34" t="str">
        <f>IF(COUNTIF('Final Calculation Sheet'!$AL34:$BL34,0)+COUNTIF('Final Calculation Sheet'!$BN34:$BS34,0)&gt;0,0,1)</f>
      </c>
      <c r="UU34" t="str">
        <f>IF($ET$34="",FALSE,SUMPRODUCT(('Final Calculation Sheet'!$AB$4:$AB$40=$ET$34)*($UT$4:$UT$40=1))&gt;0)</f>
      </c>
      <c r="UV34" t="str">
        <f>=$UV33+--($UU34)</f>
      </c>
      <c r="UW34" t="str">
        <f>IF(ROW()-3&gt;MAX($UV$4:$UV$40),"",INDEX($ET$4:$ET$40,MATCH(ROW()-3,$UV$4:$UV$40,0)))</f>
      </c>
      <c r="UX34" t="str">
        <f>IF(COUNTIF('Final Calculation Sheet'!$AL34:$BM34,0)+COUNTIF('Final Calculation Sheet'!$BO34:$BS34,0)&gt;0,0,1)</f>
      </c>
      <c r="UY34" t="str">
        <f>IF($EY$34="",FALSE,SUMPRODUCT(('Final Calculation Sheet'!$AC$4:$AC$40=$EY$34)*($UX$4:$UX$40=1))&gt;0)</f>
      </c>
      <c r="UZ34" t="str">
        <f>=$UZ33+--($UY34)</f>
      </c>
      <c r="VA34" t="str">
        <f>IF(ROW()-3&gt;MAX($UZ$4:$UZ$40),"",INDEX($EY$4:$EY$40,MATCH(ROW()-3,$UZ$4:$UZ$40,0)))</f>
      </c>
      <c r="VB34" t="str">
        <f>IF(COUNTIF('Final Calculation Sheet'!$AL34:$BN34,0)+COUNTIF('Final Calculation Sheet'!$BP34:$BS34,0)&gt;0,0,1)</f>
      </c>
      <c r="VC34" t="str">
        <f>IF($FD$34="",FALSE,SUMPRODUCT(('Final Calculation Sheet'!$AD$4:$AD$40=$FD$34)*($VB$4:$VB$40=1))&gt;0)</f>
      </c>
      <c r="VD34" t="str">
        <f>=$VD33+--($VC34)</f>
      </c>
      <c r="VE34" t="str">
        <f>IF(ROW()-3&gt;MAX($VD$4:$VD$40),"",INDEX($FD$4:$FD$40,MATCH(ROW()-3,$VD$4:$VD$40,0)))</f>
      </c>
      <c r="VF34" t="str">
        <f>IF(COUNTIF('Final Calculation Sheet'!$AL34:$BO34,0)+COUNTIF('Final Calculation Sheet'!$BQ34:$BS34,0)&gt;0,0,1)</f>
      </c>
      <c r="VG34" t="str">
        <f>IF($FI$34="",FALSE,SUMPRODUCT(('Final Calculation Sheet'!$AE$4:$AE$40=$FI$34)*($VF$4:$VF$40=1))&gt;0)</f>
      </c>
      <c r="VH34" t="str">
        <f>=$VH33+--($VG34)</f>
      </c>
      <c r="VI34" t="str">
        <f>IF(ROW()-3&gt;MAX($VH$4:$VH$40),"",INDEX($FI$4:$FI$40,MATCH(ROW()-3,$VH$4:$VH$40,0)))</f>
      </c>
      <c r="VJ34" t="str">
        <f>IF(COUNTIF('Final Calculation Sheet'!$AL34:$BP34,0)+COUNTIF('Final Calculation Sheet'!$BR34:$BS34,0)&gt;0,0,1)</f>
      </c>
      <c r="VK34" t="str">
        <f>IF($FN$34="",FALSE,SUMPRODUCT(('Final Calculation Sheet'!$AF$4:$AF$40=$FN$34)*($VJ$4:$VJ$40=1))&gt;0)</f>
      </c>
      <c r="VL34" t="str">
        <f>=$VL33+--($VK34)</f>
      </c>
      <c r="VM34" t="str">
        <f>IF(ROW()-3&gt;MAX($VL$4:$VL$40),"",INDEX($FN$4:$FN$40,MATCH(ROW()-3,$VL$4:$VL$40,0)))</f>
      </c>
      <c r="VN34" t="str">
        <f>IF(COUNTIF('Final Calculation Sheet'!$AL34:$BQ34,0)+COUNTIF('Final Calculation Sheet'!$BS34:$BS34,0)&gt;0,0,1)</f>
      </c>
      <c r="VO34" t="str">
        <f>IF($FS$34="",FALSE,SUMPRODUCT(('Final Calculation Sheet'!$AG$4:$AG$40=$FS$34)*($VN$4:$VN$40=1))&gt;0)</f>
      </c>
      <c r="VP34" t="str">
        <f>=$VP33+--($VO34)</f>
      </c>
      <c r="VQ34" t="str">
        <f>IF(ROW()-3&gt;MAX($VP$4:$VP$40),"",INDEX($FS$4:$FS$40,MATCH(ROW()-3,$VP$4:$VP$40,0)))</f>
      </c>
      <c r="VR34" t="str">
        <f>IF(COUNTIF('Final Calculation Sheet'!$AL34:$BR34,0)&gt;0,0,1)</f>
      </c>
      <c r="VS34" t="str">
        <f>IF($QO$34="",FALSE,SUMPRODUCT(('Final Calculation Sheet'!$AH$4:$AH$40=$QO$34)*($VR$4:$VR$40=1))&gt;0)</f>
      </c>
      <c r="VT34" t="str">
        <f>=$VT33+--($VS34)</f>
      </c>
      <c r="VU34" t="str">
        <f>IF(ROW()-3&gt;MAX($VT$4:$VT$40),"",INDEX($QO$4:$QO$40,MATCH(ROW()-3,$VT$4:$VT$40,0)))</f>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IF(ROW()-3&gt;MAX($LC$4:$LC$40),"",INDEX($FS$4:$FS$40,MATCH(ROW()-3,$LC$4:$LC$40,0)))</f>
        <v/>
      </c>
      <c r="LE35">
        <f>IF(COUNTIF('Buyer Groups'!DH35:EN35,0)&gt;0,0,1)</f>
        <v/>
      </c>
      <c r="LF35">
        <f>IF($O$35="",FALSE,SUMPRODUCT(('Final Calculation Sheet'!$F$4:$F$40=$O$35)*($LE$6:$LE$42=1))&gt;0)</f>
        <v/>
      </c>
      <c r="LG35">
        <f>$LG$34+--($LF35)</f>
        <v/>
      </c>
      <c r="LH35">
        <f>IF(ROW()-3&gt;MAX($LG$4:$LG$40),"",INDEX($O$4:$O$40,MATCH(ROW()-3,$LG$4:$LG$40,0)))</f>
        <v/>
      </c>
      <c r="LI35">
        <f>IF(COUNTIF('Buyer Groups'!DG35:DG35,0)+COUNTIF('Buyer Groups'!DI35:EN35,0)&gt;0,0,1)</f>
        <v/>
      </c>
      <c r="LJ35">
        <f>IF($T$35="",FALSE,SUMPRODUCT(('Final Calculation Sheet'!$G$4:$G$40=$T$35)*($LI$6:$LI$42=1))&gt;0)</f>
        <v/>
      </c>
      <c r="LK35">
        <f>$LK$34+--($LJ35)</f>
        <v/>
      </c>
      <c r="LL35">
        <f>IF(ROW()-3&gt;MAX($LK$4:$LK$40),"",INDEX($T$4:$T$40,MATCH(ROW()-3,$LK$4:$LK$40,0)))</f>
        <v/>
      </c>
      <c r="LM35">
        <f>IF(COUNTIF('Buyer Groups'!DG35:DH35,0)+COUNTIF('Buyer Groups'!DJ35:EN35,0)&gt;0,0,1)</f>
        <v/>
      </c>
      <c r="LN35">
        <f>IF($Y$35="",FALSE,SUMPRODUCT(('Final Calculation Sheet'!$B$4:$B$40=$Y$35)*($LM$6:$LM$42=1))&gt;0)</f>
        <v/>
      </c>
      <c r="LO35">
        <f>$LO$34+--($LN35)</f>
        <v/>
      </c>
      <c r="LP35">
        <f>IF(ROW()-3&gt;MAX($LO$4:$LO$40),"",INDEX($Y$4:$Y$40,MATCH(ROW()-3,$LO$4:$LO$40,0)))</f>
        <v/>
      </c>
      <c r="LQ35">
        <f>IF(COUNTIF('Buyer Groups'!DG35:DI35,0)+COUNTIF('Buyer Groups'!DK35:EN35,0)&gt;0,0,1)</f>
        <v/>
      </c>
      <c r="LR35">
        <f>IF($AD$35="",FALSE,SUMPRODUCT(('Final Calculation Sheet'!$D$4:$D$40=$AD$35)*($LQ$6:$LQ$42=1))&gt;0)</f>
        <v/>
      </c>
      <c r="LS35">
        <f>$LS$34+--($LR35)</f>
        <v/>
      </c>
      <c r="LT35">
        <f>IF(ROW()-3&gt;MAX($LS$4:$LS$40),"",INDEX($AD$4:$AD$40,MATCH(ROW()-3,$LS$4:$LS$40,0)))</f>
        <v/>
      </c>
      <c r="LU35">
        <f>IF(COUNTIF('Buyer Groups'!DG35:DJ35,0)+COUNTIF('Buyer Groups'!DL35:EN35,0)&gt;0,0,1)</f>
        <v/>
      </c>
      <c r="LV35">
        <f>IF($AI$35="",FALSE,SUMPRODUCT(('Final Calculation Sheet'!$A$4:$A$40=$AI$35)*($LU$6:$LU$42=1))&gt;0)</f>
        <v/>
      </c>
      <c r="LW35">
        <f>$LW$34+--($LV35)</f>
        <v/>
      </c>
      <c r="LX35">
        <f>IF(ROW()-3&gt;MAX($LW$4:$LW$40),"",INDEX($AI$4:$AI$40,MATCH(ROW()-3,$LW$4:$LW$40,0)))</f>
        <v/>
      </c>
      <c r="LY35">
        <f>IF(COUNTIF('Buyer Groups'!DG35:DK35,0)+COUNTIF('Buyer Groups'!DM35:EN35,0)&gt;0,0,1)</f>
        <v/>
      </c>
      <c r="LZ35">
        <f>IF($AN$35="",FALSE,SUMPRODUCT(('Final Calculation Sheet'!$E$4:$E$40=$AN$35)*($LY$6:$LY$42=1))&gt;0)</f>
        <v/>
      </c>
      <c r="MA35">
        <f>$MA$34+--($LZ35)</f>
        <v/>
      </c>
      <c r="MB35">
        <f>IF(ROW()-3&gt;MAX($MA$4:$MA$40),"",INDEX($AN$4:$AN$40,MATCH(ROW()-3,$MA$4:$MA$40,0)))</f>
        <v/>
      </c>
      <c r="MC35">
        <f>IF(COUNTIF('Buyer Groups'!DG35:DL35,0)+COUNTIF('Buyer Groups'!DN35:EN35,0)&gt;0,0,1)</f>
        <v/>
      </c>
      <c r="MD35">
        <f>IF($AS$35="",FALSE,SUMPRODUCT(('Final Calculation Sheet'!$C$4:$C$40=$AS$35)*($MC$6:$MC$42=1))&gt;0)</f>
        <v/>
      </c>
      <c r="ME35">
        <f>$ME$34+--($MD35)</f>
        <v/>
      </c>
      <c r="MF35">
        <f>IF(ROW()-3&gt;MAX($ME$4:$ME$40),"",INDEX($AS$4:$AS$40,MATCH(ROW()-3,$ME$4:$ME$40,0)))</f>
        <v/>
      </c>
      <c r="MG35">
        <f>IF(COUNTIF('Buyer Groups'!DG35:DM35,0)+COUNTIF('Buyer Groups'!DO35:EN35,0)&gt;0,0,1)</f>
        <v/>
      </c>
      <c r="MH35">
        <f>IF($AX$35="",FALSE,SUMPRODUCT(('Final Calculation Sheet'!$H$4:$H$40=$AX$35)*($MG$6:$MG$42=1))&gt;0)</f>
        <v/>
      </c>
      <c r="MI35">
        <f>$MI$34+--($MH35)</f>
        <v/>
      </c>
      <c r="MJ35">
        <f>IF(ROW()-3&gt;MAX($MI$4:$MI$40),"",INDEX($AX$4:$AX$40,MATCH(ROW()-3,$MI$4:$MI$40,0)))</f>
        <v/>
      </c>
      <c r="MK35">
        <f>IF(COUNTIF('Buyer Groups'!DG35:DN35,0)+COUNTIF('Buyer Groups'!DP35:EN35,0)&gt;0,0,1)</f>
        <v/>
      </c>
      <c r="ML35">
        <f>IF($BC$35="",FALSE,SUMPRODUCT(('Final Calculation Sheet'!$I$4:$I$40=$BC$35)*($MK$6:$MK$42=1))&gt;0)</f>
        <v/>
      </c>
      <c r="MM35">
        <f>$MM$34+--($ML35)</f>
        <v/>
      </c>
      <c r="MN35">
        <f>IF(ROW()-3&gt;MAX($MM$4:$MM$40),"",INDEX($BC$4:$BC$40,MATCH(ROW()-3,$MM$4:$MM$40,0)))</f>
        <v/>
      </c>
      <c r="MO35">
        <f>IF(COUNTIF('Buyer Groups'!DG35:DO35,0)+COUNTIF('Buyer Groups'!DQ35:EN35,0)&gt;0,0,1)</f>
        <v/>
      </c>
      <c r="MP35">
        <f>IF($BH$35="",FALSE,SUMPRODUCT(('Final Calculation Sheet'!$J$4:$J$40=$BH$35)*($MO$6:$MO$42=1))&gt;0)</f>
        <v/>
      </c>
      <c r="MQ35">
        <f>$MQ$34+--($MP35)</f>
        <v/>
      </c>
      <c r="MR35">
        <f>IF(ROW()-3&gt;MAX($MQ$4:$MQ$40),"",INDEX($BH$4:$BH$40,MATCH(ROW()-3,$MQ$4:$MQ$40,0)))</f>
        <v/>
      </c>
      <c r="MS35">
        <f>IF(COUNTIF('Buyer Groups'!DG35:DP35,0)+COUNTIF('Buyer Groups'!DR35:EN35,0)&gt;0,0,1)</f>
        <v/>
      </c>
      <c r="MT35">
        <f>IF($BM$35="",FALSE,SUMPRODUCT(('Final Calculation Sheet'!$K$4:$K$40=$BM$35)*($MS$6:$MS$42=1))&gt;0)</f>
        <v/>
      </c>
      <c r="MU35">
        <f>$MU$34+--($MT35)</f>
        <v/>
      </c>
      <c r="MV35">
        <f>IF(ROW()-3&gt;MAX($MU$4:$MU$40),"",INDEX($BM$4:$BM$40,MATCH(ROW()-3,$MU$4:$MU$40,0)))</f>
        <v/>
      </c>
      <c r="MW35">
        <f>IF(COUNTIF('Buyer Groups'!DG35:DQ35,0)+COUNTIF('Buyer Groups'!DS35:EN35,0)&gt;0,0,1)</f>
        <v/>
      </c>
      <c r="MX35">
        <f>IF($BR$35="",FALSE,SUMPRODUCT(('Final Calculation Sheet'!$L$4:$L$40=$BR$35)*($MW$6:$MW$42=1))&gt;0)</f>
        <v/>
      </c>
      <c r="MY35">
        <f>$MY$34+--($MX35)</f>
        <v/>
      </c>
      <c r="MZ35">
        <f>IF(ROW()-3&gt;MAX($MY$4:$MY$40),"",INDEX($BR$4:$BR$40,MATCH(ROW()-3,$MY$4:$MY$40,0)))</f>
        <v/>
      </c>
      <c r="NA35">
        <f>IF(COUNTIF('Buyer Groups'!DG35:DR35,0)+COUNTIF('Buyer Groups'!DT35:EN35,0)&gt;0,0,1)</f>
        <v/>
      </c>
      <c r="NB35">
        <f>IF($BW$35="",FALSE,SUMPRODUCT(('Final Calculation Sheet'!$M$4:$M$40=$BW$35)*($NA$6:$NA$42=1))&gt;0)</f>
        <v/>
      </c>
      <c r="NC35">
        <f>$NC$34+--($NB35)</f>
        <v/>
      </c>
      <c r="ND35">
        <f>IF(ROW()-3&gt;MAX($NC$4:$NC$40),"",INDEX($BW$4:$BW$40,MATCH(ROW()-3,$NC$4:$NC$40,0)))</f>
        <v/>
      </c>
      <c r="NE35">
        <f>IF(COUNTIF('Buyer Groups'!DG35:DS35,0)+COUNTIF('Buyer Groups'!DU35:EN35,0)&gt;0,0,1)</f>
        <v/>
      </c>
      <c r="NF35">
        <f>IF($CB$35="",FALSE,SUMPRODUCT(('Final Calculation Sheet'!$N$4:$N$40=$CB$35)*($NE$6:$NE$42=1))&gt;0)</f>
        <v/>
      </c>
      <c r="NG35">
        <f>$NG$34+--($NF35)</f>
        <v/>
      </c>
      <c r="NH35">
        <f>IF(ROW()-3&gt;MAX($NG$4:$NG$40),"",INDEX($CB$4:$CB$40,MATCH(ROW()-3,$NG$4:$NG$40,0)))</f>
        <v/>
      </c>
      <c r="NI35">
        <f>IF(COUNTIF('Buyer Groups'!DG35:DT35,0)+COUNTIF('Buyer Groups'!DV35:EN35,0)&gt;0,0,1)</f>
        <v/>
      </c>
      <c r="NJ35">
        <f>IF($CG$35="",FALSE,SUMPRODUCT(('Final Calculation Sheet'!$O$4:$O$40=$CG$35)*($NI$6:$NI$42=1))&gt;0)</f>
        <v/>
      </c>
      <c r="NK35">
        <f>$NK$34+--($NJ35)</f>
        <v/>
      </c>
      <c r="NL35">
        <f>IF(ROW()-3&gt;MAX($NK$4:$NK$40),"",INDEX($CG$4:$CG$40,MATCH(ROW()-3,$NK$4:$NK$40,0)))</f>
        <v/>
      </c>
      <c r="NM35">
        <f>IF(COUNTIF('Buyer Groups'!DG35:DU35,0)+COUNTIF('Buyer Groups'!DW35:EN35,0)&gt;0,0,1)</f>
        <v/>
      </c>
      <c r="NN35">
        <f>IF($CL$35="",FALSE,SUMPRODUCT(('Final Calculation Sheet'!$P$4:$P$40=$CL$35)*($NM$6:$NM$42=1))&gt;0)</f>
        <v/>
      </c>
      <c r="NO35">
        <f>$NO$34+--($NN35)</f>
        <v/>
      </c>
      <c r="NP35">
        <f>IF(ROW()-3&gt;MAX($NO$4:$NO$40),"",INDEX($CL$4:$CL$40,MATCH(ROW()-3,$NO$4:$NO$40,0)))</f>
        <v/>
      </c>
      <c r="NQ35">
        <f>IF(COUNTIF('Buyer Groups'!DG35:DV35,0)+COUNTIF('Buyer Groups'!DX35:EN35,0)&gt;0,0,1)</f>
        <v/>
      </c>
      <c r="NR35">
        <f>IF($CQ$35="",FALSE,SUMPRODUCT(('Final Calculation Sheet'!$Q$4:$Q$40=$CQ$35)*($NQ$6:$NQ$42=1))&gt;0)</f>
        <v/>
      </c>
      <c r="NS35">
        <f>$NS$34+--($NR35)</f>
        <v/>
      </c>
      <c r="NT35">
        <f>IF(ROW()-3&gt;MAX($NS$4:$NS$40),"",INDEX($CQ$4:$CQ$40,MATCH(ROW()-3,$NS$4:$NS$40,0)))</f>
        <v/>
      </c>
      <c r="NU35">
        <f>IF(COUNTIF('Buyer Groups'!DG35:DW35,0)+COUNTIF('Buyer Groups'!DY35:EN35,0)&gt;0,0,1)</f>
        <v/>
      </c>
      <c r="NV35">
        <f>IF($CV$35="",FALSE,SUMPRODUCT(('Final Calculation Sheet'!$R$4:$R$40=$CV$35)*($NU$6:$NU$42=1))&gt;0)</f>
        <v/>
      </c>
      <c r="NW35">
        <f>$NW$34+--($NV35)</f>
        <v/>
      </c>
      <c r="NX35">
        <f>IF(ROW()-3&gt;MAX($NW$4:$NW$40),"",INDEX($CV$4:$CV$40,MATCH(ROW()-3,$NW$4:$NW$40,0)))</f>
        <v/>
      </c>
      <c r="NY35">
        <f>IF(COUNTIF('Buyer Groups'!DG35:DX35,0)+COUNTIF('Buyer Groups'!DZ35:EN35,0)&gt;0,0,1)</f>
        <v/>
      </c>
      <c r="NZ35">
        <f>IF($DA$35="",FALSE,SUMPRODUCT(('Final Calculation Sheet'!$S$4:$S$40=$DA$35)*($NY$6:$NY$42=1))&gt;0)</f>
        <v/>
      </c>
      <c r="OA35">
        <f>$OA$34+--($NZ35)</f>
        <v/>
      </c>
      <c r="OB35">
        <f>IF(ROW()-3&gt;MAX($OA$4:$OA$40),"",INDEX($DA$4:$DA$40,MATCH(ROW()-3,$OA$4:$OA$40,0)))</f>
        <v/>
      </c>
      <c r="OC35">
        <f>IF(COUNTIF('Buyer Groups'!DG35:DY35,0)+COUNTIF('Buyer Groups'!EA35:EN35,0)&gt;0,0,1)</f>
        <v/>
      </c>
      <c r="OD35">
        <f>IF($DF$35="",FALSE,SUMPRODUCT(('Final Calculation Sheet'!$T$4:$T$40=$DF$35)*($OC$6:$OC$42=1))&gt;0)</f>
        <v/>
      </c>
      <c r="OE35">
        <f>$OE$34+--($OD35)</f>
        <v/>
      </c>
      <c r="OF35">
        <f>IF(ROW()-3&gt;MAX($OE$4:$OE$40),"",INDEX($DF$4:$DF$40,MATCH(ROW()-3,$OE$4:$OE$40,0)))</f>
        <v/>
      </c>
      <c r="OG35">
        <f>IF(COUNTIF('Buyer Groups'!DG35:DZ35,0)+COUNTIF('Buyer Groups'!EB35:EN35,0)&gt;0,0,1)</f>
        <v/>
      </c>
      <c r="OH35">
        <f>IF($DK$35="",FALSE,SUMPRODUCT(('Final Calculation Sheet'!$U$4:$U$40=$DK$35)*($OG$6:$OG$42=1))&gt;0)</f>
        <v/>
      </c>
      <c r="OI35">
        <f>$OI$34+--($OH35)</f>
        <v/>
      </c>
      <c r="OJ35">
        <f>IF(ROW()-3&gt;MAX($OI$4:$OI$40),"",INDEX($DK$4:$DK$40,MATCH(ROW()-3,$OI$4:$OI$40,0)))</f>
        <v/>
      </c>
      <c r="OK35">
        <f>IF(COUNTIF('Buyer Groups'!DG35:EA35,0)+COUNTIF('Buyer Groups'!EC35:EN35,0)&gt;0,0,1)</f>
        <v/>
      </c>
      <c r="OL35">
        <f>IF($DP$35="",FALSE,SUMPRODUCT(('Final Calculation Sheet'!$V$4:$V$40=$DP$35)*($OK$6:$OK$42=1))&gt;0)</f>
        <v/>
      </c>
      <c r="OM35">
        <f>$OM$34+--($OL35)</f>
        <v/>
      </c>
      <c r="ON35">
        <f>IF(ROW()-3&gt;MAX($OM$4:$OM$40),"",INDEX($DP$4:$DP$40,MATCH(ROW()-3,$OM$4:$OM$40,0)))</f>
        <v/>
      </c>
      <c r="OO35">
        <f>IF(COUNTIF('Buyer Groups'!DG35:EB35,0)+COUNTIF('Buyer Groups'!ED35:EN35,0)&gt;0,0,1)</f>
        <v/>
      </c>
      <c r="OP35">
        <f>IF($DU$35="",FALSE,SUMPRODUCT(('Final Calculation Sheet'!$W$4:$W$40=$DU$35)*($OO$6:$OO$42=1))&gt;0)</f>
        <v/>
      </c>
      <c r="OQ35">
        <f>$OQ$34+--($OP35)</f>
        <v/>
      </c>
      <c r="OR35">
        <f>IF(ROW()-3&gt;MAX($OQ$4:$OQ$40),"",INDEX($DU$4:$DU$40,MATCH(ROW()-3,$OQ$4:$OQ$40,0)))</f>
        <v/>
      </c>
      <c r="OS35">
        <f>IF(COUNTIF('Buyer Groups'!DG35:EC35,0)+COUNTIF('Buyer Groups'!EE35:EN35,0)&gt;0,0,1)</f>
        <v/>
      </c>
      <c r="OT35">
        <f>IF($DZ$35="",FALSE,SUMPRODUCT(('Final Calculation Sheet'!$X$4:$X$40=$DZ$35)*($OS$6:$OS$42=1))&gt;0)</f>
        <v/>
      </c>
      <c r="OU35">
        <f>$OU$34+--($OT35)</f>
        <v/>
      </c>
      <c r="OV35">
        <f>IF(ROW()-3&gt;MAX($OU$4:$OU$40),"",INDEX($DZ$4:$DZ$40,MATCH(ROW()-3,$OU$4:$OU$40,0)))</f>
        <v/>
      </c>
      <c r="OW35">
        <f>IF(COUNTIF('Buyer Groups'!DG35:ED35,0)+COUNTIF('Buyer Groups'!EF35:EN35,0)&gt;0,0,1)</f>
        <v/>
      </c>
      <c r="OX35">
        <f>IF($EE$35="",FALSE,SUMPRODUCT(('Final Calculation Sheet'!$Y$4:$Y$40=$EE$35)*($OW$6:$OW$42=1))&gt;0)</f>
        <v/>
      </c>
      <c r="OY35">
        <f>$OY$34+--($OX35)</f>
        <v/>
      </c>
      <c r="OZ35">
        <f>IF(ROW()-3&gt;MAX($OY$4:$OY$40),"",INDEX($EE$4:$EE$40,MATCH(ROW()-3,$OY$4:$OY$40,0)))</f>
        <v/>
      </c>
      <c r="PA35">
        <f>IF(COUNTIF('Buyer Groups'!DG35:EE35,0)+COUNTIF('Buyer Groups'!EG35:EN35,0)&gt;0,0,1)</f>
        <v/>
      </c>
      <c r="PB35">
        <f>IF($EJ$35="",FALSE,SUMPRODUCT(('Final Calculation Sheet'!$Z$4:$Z$40=$EJ$35)*($PA$6:$PA$42=1))&gt;0)</f>
        <v/>
      </c>
      <c r="PC35">
        <f>$PC$34+--($PB35)</f>
        <v/>
      </c>
      <c r="PD35">
        <f>IF(ROW()-3&gt;MAX($PC$4:$PC$40),"",INDEX($EJ$4:$EJ$40,MATCH(ROW()-3,$PC$4:$PC$40,0)))</f>
        <v/>
      </c>
      <c r="PE35">
        <f>IF(COUNTIF('Buyer Groups'!DG35:EF35,0)+COUNTIF('Buyer Groups'!EH35:EN35,0)&gt;0,0,1)</f>
        <v/>
      </c>
      <c r="PF35">
        <f>IF($EO$35="",FALSE,SUMPRODUCT(('Final Calculation Sheet'!$AA$4:$AA$40=$EO$35)*($PE$6:$PE$42=1))&gt;0)</f>
        <v/>
      </c>
      <c r="PG35">
        <f>$PG$34+--($PF35)</f>
        <v/>
      </c>
      <c r="PH35">
        <f>IF(ROW()-3&gt;MAX($PG$4:$PG$40),"",INDEX($EO$4:$EO$40,MATCH(ROW()-3,$PG$4:$PG$40,0)))</f>
        <v/>
      </c>
      <c r="PI35">
        <f>IF(COUNTIF('Buyer Groups'!DG35:EG35,0)+COUNTIF('Buyer Groups'!EI35:EN35,0)&gt;0,0,1)</f>
        <v/>
      </c>
      <c r="PJ35">
        <f>IF($ET$35="",FALSE,SUMPRODUCT(('Final Calculation Sheet'!$AB$4:$AB$40=$ET$35)*($PI$6:$PI$42=1))&gt;0)</f>
        <v/>
      </c>
      <c r="PK35">
        <f>$PK$34+--($PJ35)</f>
        <v/>
      </c>
      <c r="PL35">
        <f>IF(ROW()-3&gt;MAX($PK$4:$PK$40),"",INDEX($ET$4:$ET$40,MATCH(ROW()-3,$PK$4:$PK$40,0)))</f>
        <v/>
      </c>
      <c r="PM35">
        <f>IF(COUNTIF('Buyer Groups'!DG35:EH35,0)+COUNTIF('Buyer Groups'!EJ35:EN35,0)&gt;0,0,1)</f>
        <v/>
      </c>
      <c r="PN35">
        <f>IF($EY$35="",FALSE,SUMPRODUCT(('Final Calculation Sheet'!$AC$4:$AC$40=$EY$35)*($PM$6:$PM$42=1))&gt;0)</f>
        <v/>
      </c>
      <c r="PO35">
        <f>$PO$34+--($PN35)</f>
        <v/>
      </c>
      <c r="PP35">
        <f>IF(ROW()-3&gt;MAX($PO$4:$PO$40),"",INDEX($EY$4:$EY$40,MATCH(ROW()-3,$PO$4:$PO$40,0)))</f>
        <v/>
      </c>
      <c r="PQ35">
        <f>IF(COUNTIF('Buyer Groups'!DG35:EI35,0)+COUNTIF('Buyer Groups'!EK35:EN35,0)&gt;0,0,1)</f>
        <v/>
      </c>
      <c r="PR35">
        <f>IF($FD$35="",FALSE,SUMPRODUCT(('Final Calculation Sheet'!$AD$4:$AD$40=$FD$35)*($PQ$6:$PQ$42=1))&gt;0)</f>
        <v/>
      </c>
      <c r="PS35">
        <f>$PS$34+--($PR35)</f>
        <v/>
      </c>
      <c r="PT35">
        <f>IF(ROW()-3&gt;MAX($PS$4:$PS$40),"",INDEX($FD$4:$FD$40,MATCH(ROW()-3,$PS$4:$PS$40,0)))</f>
        <v/>
      </c>
      <c r="PU35">
        <f>IF(COUNTIF('Buyer Groups'!DG35:EJ35,0)+COUNTIF('Buyer Groups'!EL35:EN35,0)&gt;0,0,1)</f>
        <v/>
      </c>
      <c r="PV35">
        <f>IF($FX$35="",FALSE,SUMPRODUCT((IF('Final Calculation Sheet'!$AD$4:$AD$40&lt;=5,"SETTLED","OUTSTANDING")=$FX$35)*($PU$6:$PU$42=1))&gt;0)</f>
        <v/>
      </c>
      <c r="PW35">
        <f>$PW$34+--($PV35)</f>
        <v/>
      </c>
      <c r="PX35">
        <f>IF(ROW()-3&gt;MAX($PW$4:$PW$40),"",INDEX($FX$4:$FX$40,MATCH(ROW()-3,$PW$4:$PW$40,0)))</f>
        <v/>
      </c>
      <c r="PY35">
        <f>IF(COUNTIF('Buyer Groups'!DG35:EK35,0)+COUNTIF('Buyer Groups'!EM35:EN35,0)&gt;0,0,1)</f>
        <v/>
      </c>
      <c r="PZ35">
        <f>IF($FI$35="",FALSE,SUMPRODUCT(('Final Calculation Sheet'!$AF$4:$AF$40=$FI$35)*($PY$6:$PY$42=1))&gt;0)</f>
        <v/>
      </c>
      <c r="QA35">
        <f>$QA$34+--($PZ35)</f>
        <v/>
      </c>
      <c r="QB35">
        <f>IF(ROW()-3&gt;MAX($QA$4:$QA$40),"",INDEX($FI$4:$FI$40,MATCH(ROW()-3,$QA$4:$QA$40,0)))</f>
        <v/>
      </c>
      <c r="QC35">
        <f>IF(COUNTIF('Buyer Groups'!DG35:EL35,0)+COUNTIF('Buyer Groups'!EN35:EN35,0)&gt;0,0,1)</f>
        <v/>
      </c>
      <c r="QD35">
        <f>IF($FN$35="",FALSE,SUMPRODUCT(('Final Calculation Sheet'!$AG$4:$AG$40=$FN$35)*($QC$6:$QC$42=1))&gt;0)</f>
        <v/>
      </c>
      <c r="QE35">
        <f>$QE$34+--($QD35)</f>
        <v/>
      </c>
      <c r="QF35">
        <f>IF(ROW()-3&gt;MAX($QE$4:$QE$40),"",INDEX($FN$4:$FN$40,MATCH(ROW()-3,$QE$4:$QE$40,0)))</f>
        <v/>
      </c>
      <c r="QG35">
        <f>IF(COUNTIF('Buyer Groups'!DG35:EM35,0)&gt;0,0,1)</f>
        <v/>
      </c>
      <c r="QH35">
        <f>IF($FS$35="",FALSE,SUMPRODUCT(('Final Calculation Sheet'!$AH$4:$AH$40=$FS$35)*($QG$6:$QG$42=1))&gt;0)</f>
        <v/>
      </c>
      <c r="QI35">
        <f>$QI$34+--($QH35)</f>
        <v/>
      </c>
      <c r="QJ35">
        <f>IF(ROW()-3&gt;MAX($QI$4:$QI$40),"",INDEX($FS$4:$FS$40,MATCH(ROW()-3,$QI$4:$QI$40,0)))</f>
        <v/>
      </c>
      <c r="QK35" t="str">
        <f>IF('Final Calculation Sheet'!$AH$35="","",'Final Calculation Sheet'!$AH$35)</f>
      </c>
      <c r="QL35" t="str">
        <f>IF(QK35="","",COUNTIFS(QK$4:QK$40,"&lt;"&amp;QK35,QK$4:QK$40,"&lt;&gt;"&amp;"")+COUNTIF(QK$4:QK35,QK35))</f>
      </c>
      <c r="QM35" t="str">
        <f>IF(ROW()-3&gt;COUNTIF(QK$4:QK$40,"&lt;&gt;"&amp;""),"",INDEX(QK$4:QK$40,MATCH(ROW()-3,QL$4:QL$40,0)))</f>
      </c>
      <c r="QN35" t="str">
        <f>=QN34+F(AND(QM35&lt;&gt;"",COUNTIF(QM$4:QM35,QM35)=1),1,0)</f>
      </c>
      <c r="QO35" t="str">
        <f>IF(ROW()-3&gt;MAX(QN$4:QN$40),"",INDEX(QM$4:QM$40,MATCH(ROW()-3,QN$4:QN$40,0)))</f>
      </c>
      <c r="QP35" t="str">
        <f>IF(COUNTIF('Final Calculation Sheet'!$AM35:$BS35,0)&gt;0,0,1)</f>
      </c>
      <c r="QQ35" t="str">
        <f>IF($AI$35="",FALSE,SUMPRODUCT(('Final Calculation Sheet'!$A$4:$A$40=$AI$35)*($QP$4:$QP$40=1))&gt;0)</f>
      </c>
      <c r="QR35" t="str">
        <f>=$QR34+--($QQ35)</f>
      </c>
      <c r="QS35" t="str">
        <f>IF(ROW()-3&gt;MAX($QR$4:$QR$40),"",INDEX($AI$4:$AI$40,MATCH(ROW()-3,$QR$4:$QR$40,0)))</f>
      </c>
      <c r="QT35" t="str">
        <f>IF(COUNTIF('Final Calculation Sheet'!$AL35:$AL35,0)+COUNTIF('Final Calculation Sheet'!$AN35:$BS35,0)&gt;0,0,1)</f>
      </c>
      <c r="QU35" t="str">
        <f>IF($Y$35="",FALSE,SUMPRODUCT(('Final Calculation Sheet'!$B$4:$B$40=$Y$35)*($QT$4:$QT$40=1))&gt;0)</f>
      </c>
      <c r="QV35" t="str">
        <f>=$QV34+--($QU35)</f>
      </c>
      <c r="QW35" t="str">
        <f>IF(ROW()-3&gt;MAX($QV$4:$QV$40),"",INDEX($Y$4:$Y$40,MATCH(ROW()-3,$QV$4:$QV$40,0)))</f>
      </c>
      <c r="QX35" t="str">
        <f>IF(COUNTIF('Final Calculation Sheet'!$AL35:$AM35,0)+COUNTIF('Final Calculation Sheet'!$AO35:$BS35,0)&gt;0,0,1)</f>
      </c>
      <c r="QY35" t="str">
        <f>IF($AS$35="",FALSE,SUMPRODUCT(('Final Calculation Sheet'!$C$4:$C$40=$AS$35)*($QX$4:$QX$40=1))&gt;0)</f>
      </c>
      <c r="QZ35" t="str">
        <f>=$QZ34+--($QY35)</f>
      </c>
      <c r="RA35" t="str">
        <f>IF(ROW()-3&gt;MAX($QZ$4:$QZ$40),"",INDEX($AS$4:$AS$40,MATCH(ROW()-3,$QZ$4:$QZ$40,0)))</f>
      </c>
      <c r="RB35" t="str">
        <f>IF(COUNTIF('Final Calculation Sheet'!$AL35:$AN35,0)+COUNTIF('Final Calculation Sheet'!$AP35:$BS35,0)&gt;0,0,1)</f>
      </c>
      <c r="RC35" t="str">
        <f>IF($AD$35="",FALSE,SUMPRODUCT(('Final Calculation Sheet'!$D$4:$D$40=$AD$35)*($RB$4:$RB$40=1))&gt;0)</f>
      </c>
      <c r="RD35" t="str">
        <f>=$RD34+--($RC35)</f>
      </c>
      <c r="RE35" t="str">
        <f>IF(ROW()-3&gt;MAX($RD$4:$RD$40),"",INDEX($AD$4:$AD$40,MATCH(ROW()-3,$RD$4:$RD$40,0)))</f>
      </c>
      <c r="RF35" t="str">
        <f>IF(COUNTIF('Final Calculation Sheet'!$AL35:$AO35,0)+COUNTIF('Final Calculation Sheet'!$AQ35:$BS35,0)&gt;0,0,1)</f>
      </c>
      <c r="RG35" t="str">
        <f>IF($AN$35="",FALSE,SUMPRODUCT(('Final Calculation Sheet'!$E$4:$E$40=$AN$35)*($RF$4:$RF$40=1))&gt;0)</f>
      </c>
      <c r="RH35" t="str">
        <f>=$RH34+--($RG35)</f>
      </c>
      <c r="RI35" t="str">
        <f>IF(ROW()-3&gt;MAX($RH$4:$RH$40),"",INDEX($AN$4:$AN$40,MATCH(ROW()-3,$RH$4:$RH$40,0)))</f>
      </c>
      <c r="RJ35" t="str">
        <f>IF(COUNTIF('Final Calculation Sheet'!$AL35:$AP35,0)+COUNTIF('Final Calculation Sheet'!$AR35:$BS35,0)&gt;0,0,1)</f>
      </c>
      <c r="RK35" t="str">
        <f>IF($O$35="",FALSE,SUMPRODUCT(('Final Calculation Sheet'!$F$4:$F$40=$O$35)*($RJ$4:$RJ$40=1))&gt;0)</f>
      </c>
      <c r="RL35" t="str">
        <f>=$RL34+--($RK35)</f>
      </c>
      <c r="RM35" t="str">
        <f>IF(ROW()-3&gt;MAX($RL$4:$RL$40),"",INDEX($O$4:$O$40,MATCH(ROW()-3,$RL$4:$RL$40,0)))</f>
      </c>
      <c r="RN35" t="str">
        <f>IF(COUNTIF('Final Calculation Sheet'!$AL35:$AQ35,0)+COUNTIF('Final Calculation Sheet'!$AS35:$BS35,0)&gt;0,0,1)</f>
      </c>
      <c r="RO35" t="str">
        <f>IF($T$35="",FALSE,SUMPRODUCT(('Final Calculation Sheet'!$G$4:$G$40=$T$35)*($RN$4:$RN$40=1))&gt;0)</f>
      </c>
      <c r="RP35" t="str">
        <f>=$RP34+--($RO35)</f>
      </c>
      <c r="RQ35" t="str">
        <f>IF(ROW()-3&gt;MAX($RP$4:$RP$40),"",INDEX($T$4:$T$40,MATCH(ROW()-3,$RP$4:$RP$40,0)))</f>
      </c>
      <c r="RR35" t="str">
        <f>IF(COUNTIF('Final Calculation Sheet'!$AL35:$AR35,0)+COUNTIF('Final Calculation Sheet'!$AT35:$BS35,0)&gt;0,0,1)</f>
      </c>
      <c r="RS35" t="str">
        <f>IF($AX$35="",FALSE,SUMPRODUCT(('Final Calculation Sheet'!$H$4:$H$40=$AX$35)*($RR$4:$RR$40=1))&gt;0)</f>
      </c>
      <c r="RT35" t="str">
        <f>=$RT34+--($RS35)</f>
      </c>
      <c r="RU35" t="str">
        <f>IF(ROW()-3&gt;MAX($RT$4:$RT$40),"",INDEX($AX$4:$AX$40,MATCH(ROW()-3,$RT$4:$RT$40,0)))</f>
      </c>
      <c r="RV35" t="str">
        <f>IF(COUNTIF('Final Calculation Sheet'!$AL35:$AS35,0)+COUNTIF('Final Calculation Sheet'!$AU35:$BS35,0)&gt;0,0,1)</f>
      </c>
      <c r="RW35" t="str">
        <f>IF($BC$35="",FALSE,SUMPRODUCT(('Final Calculation Sheet'!$I$4:$I$40=$BC$35)*($RV$4:$RV$40=1))&gt;0)</f>
      </c>
      <c r="RX35" t="str">
        <f>=$RX34+--($RW35)</f>
      </c>
      <c r="RY35" t="str">
        <f>IF(ROW()-3&gt;MAX($RX$4:$RX$40),"",INDEX($BC$4:$BC$40,MATCH(ROW()-3,$RX$4:$RX$40,0)))</f>
      </c>
      <c r="RZ35" t="str">
        <f>IF(COUNTIF('Final Calculation Sheet'!$AL35:$AT35,0)+COUNTIF('Final Calculation Sheet'!$AV35:$BS35,0)&gt;0,0,1)</f>
      </c>
      <c r="SA35" t="str">
        <f>IF($BH$35="",FALSE,SUMPRODUCT(('Final Calculation Sheet'!$J$4:$J$40=$BH$35)*($RZ$4:$RZ$40=1))&gt;0)</f>
      </c>
      <c r="SB35" t="str">
        <f>=$SB34+--($SA35)</f>
      </c>
      <c r="SC35" t="str">
        <f>IF(ROW()-3&gt;MAX($SB$4:$SB$40),"",INDEX($BH$4:$BH$40,MATCH(ROW()-3,$SB$4:$SB$40,0)))</f>
      </c>
      <c r="SD35" t="str">
        <f>IF(COUNTIF('Final Calculation Sheet'!$AL35:$AU35,0)+COUNTIF('Final Calculation Sheet'!$AW35:$BS35,0)&gt;0,0,1)</f>
      </c>
      <c r="SE35" t="str">
        <f>IF($BM$35="",FALSE,SUMPRODUCT(('Final Calculation Sheet'!$K$4:$K$40=$BM$35)*($SD$4:$SD$40=1))&gt;0)</f>
      </c>
      <c r="SF35" t="str">
        <f>=$SF34+--($SE35)</f>
      </c>
      <c r="SG35" t="str">
        <f>IF(ROW()-3&gt;MAX($SF$4:$SF$40),"",INDEX($BM$4:$BM$40,MATCH(ROW()-3,$SF$4:$SF$40,0)))</f>
      </c>
      <c r="SH35" t="str">
        <f>IF(COUNTIF('Final Calculation Sheet'!$AL35:$AV35,0)+COUNTIF('Final Calculation Sheet'!$AX35:$BS35,0)&gt;0,0,1)</f>
      </c>
      <c r="SI35" t="str">
        <f>IF($BR$35="",FALSE,SUMPRODUCT(('Final Calculation Sheet'!$L$4:$L$40=$BR$35)*($SH$4:$SH$40=1))&gt;0)</f>
      </c>
      <c r="SJ35" t="str">
        <f>=$SJ34+--($SI35)</f>
      </c>
      <c r="SK35" t="str">
        <f>IF(ROW()-3&gt;MAX($SJ$4:$SJ$40),"",INDEX($BR$4:$BR$40,MATCH(ROW()-3,$SJ$4:$SJ$40,0)))</f>
      </c>
      <c r="SL35" t="str">
        <f>IF(COUNTIF('Final Calculation Sheet'!$AL35:$AW35,0)+COUNTIF('Final Calculation Sheet'!$AY35:$BS35,0)&gt;0,0,1)</f>
      </c>
      <c r="SM35" t="str">
        <f>IF($BW$35="",FALSE,SUMPRODUCT(('Final Calculation Sheet'!$M$4:$M$40=$BW$35)*($SL$4:$SL$40=1))&gt;0)</f>
      </c>
      <c r="SN35" t="str">
        <f>=$SN34+--($SM35)</f>
      </c>
      <c r="SO35" t="str">
        <f>IF(ROW()-3&gt;MAX($SN$4:$SN$40),"",INDEX($BW$4:$BW$40,MATCH(ROW()-3,$SN$4:$SN$40,0)))</f>
      </c>
      <c r="SP35" t="str">
        <f>IF(COUNTIF('Final Calculation Sheet'!$AL35:$AX35,0)+COUNTIF('Final Calculation Sheet'!$AZ35:$BS35,0)&gt;0,0,1)</f>
      </c>
      <c r="SQ35" t="str">
        <f>IF($CB$35="",FALSE,SUMPRODUCT(('Final Calculation Sheet'!$N$4:$N$40=$CB$35)*($SP$4:$SP$40=1))&gt;0)</f>
      </c>
      <c r="SR35" t="str">
        <f>=$SR34+--($SQ35)</f>
      </c>
      <c r="SS35" t="str">
        <f>IF(ROW()-3&gt;MAX($SR$4:$SR$40),"",INDEX($CB$4:$CB$40,MATCH(ROW()-3,$SR$4:$SR$40,0)))</f>
      </c>
      <c r="ST35" t="str">
        <f>IF(COUNTIF('Final Calculation Sheet'!$AL35:$AY35,0)+COUNTIF('Final Calculation Sheet'!$BA35:$BS35,0)&gt;0,0,1)</f>
      </c>
      <c r="SU35" t="str">
        <f>IF($CG$35="",FALSE,SUMPRODUCT(('Final Calculation Sheet'!$O$4:$O$40=$CG$35)*($ST$4:$ST$40=1))&gt;0)</f>
      </c>
      <c r="SV35" t="str">
        <f>=$SV34+--($SU35)</f>
      </c>
      <c r="SW35" t="str">
        <f>IF(ROW()-3&gt;MAX($SV$4:$SV$40),"",INDEX($CG$4:$CG$40,MATCH(ROW()-3,$SV$4:$SV$40,0)))</f>
      </c>
      <c r="SX35" t="str">
        <f>IF(COUNTIF('Final Calculation Sheet'!$AL35:$AZ35,0)+COUNTIF('Final Calculation Sheet'!$BB35:$BS35,0)&gt;0,0,1)</f>
      </c>
      <c r="SY35" t="str">
        <f>IF($CL$35="",FALSE,SUMPRODUCT(('Final Calculation Sheet'!$P$4:$P$40=$CL$35)*($SX$4:$SX$40=1))&gt;0)</f>
      </c>
      <c r="SZ35" t="str">
        <f>=$SZ34+--($SY35)</f>
      </c>
      <c r="TA35" t="str">
        <f>IF(ROW()-3&gt;MAX($SZ$4:$SZ$40),"",INDEX($CL$4:$CL$40,MATCH(ROW()-3,$SZ$4:$SZ$40,0)))</f>
      </c>
      <c r="TB35" t="str">
        <f>IF(COUNTIF('Final Calculation Sheet'!$AL35:$BA35,0)+COUNTIF('Final Calculation Sheet'!$BC35:$BS35,0)&gt;0,0,1)</f>
      </c>
      <c r="TC35" t="str">
        <f>IF($CQ$35="",FALSE,SUMPRODUCT(('Final Calculation Sheet'!$Q$4:$Q$40=$CQ$35)*($TB$4:$TB$40=1))&gt;0)</f>
      </c>
      <c r="TD35" t="str">
        <f>=$TD34+--($TC35)</f>
      </c>
      <c r="TE35" t="str">
        <f>IF(ROW()-3&gt;MAX($TD$4:$TD$40),"",INDEX($CQ$4:$CQ$40,MATCH(ROW()-3,$TD$4:$TD$40,0)))</f>
      </c>
      <c r="TF35" t="str">
        <f>IF(COUNTIF('Final Calculation Sheet'!$AL35:$BB35,0)+COUNTIF('Final Calculation Sheet'!$BD35:$BS35,0)&gt;0,0,1)</f>
      </c>
      <c r="TG35" t="str">
        <f>IF($CV$35="",FALSE,SUMPRODUCT(('Final Calculation Sheet'!$R$4:$R$40=$CV$35)*($TF$4:$TF$40=1))&gt;0)</f>
      </c>
      <c r="TH35" t="str">
        <f>=$TH34+--($TG35)</f>
      </c>
      <c r="TI35" t="str">
        <f>IF(ROW()-3&gt;MAX($TH$4:$TH$40),"",INDEX($CV$4:$CV$40,MATCH(ROW()-3,$TH$4:$TH$40,0)))</f>
      </c>
      <c r="TJ35" t="str">
        <f>IF(COUNTIF('Final Calculation Sheet'!$AL35:$BC35,0)+COUNTIF('Final Calculation Sheet'!$BE35:$BS35,0)&gt;0,0,1)</f>
      </c>
      <c r="TK35" t="str">
        <f>IF($DA$35="",FALSE,SUMPRODUCT(('Final Calculation Sheet'!$S$4:$S$40=$DA$35)*($TJ$4:$TJ$40=1))&gt;0)</f>
      </c>
      <c r="TL35" t="str">
        <f>=$TL34+--($TK35)</f>
      </c>
      <c r="TM35" t="str">
        <f>IF(ROW()-3&gt;MAX($TL$4:$TL$40),"",INDEX($DA$4:$DA$40,MATCH(ROW()-3,$TL$4:$TL$40,0)))</f>
      </c>
      <c r="TN35" t="str">
        <f>IF(COUNTIF('Final Calculation Sheet'!$AL35:$BD35,0)+COUNTIF('Final Calculation Sheet'!$BF35:$BS35,0)&gt;0,0,1)</f>
      </c>
      <c r="TO35" t="str">
        <f>IF($DF$35="",FALSE,SUMPRODUCT(('Final Calculation Sheet'!$T$4:$T$40=$DF$35)*($TN$4:$TN$40=1))&gt;0)</f>
      </c>
      <c r="TP35" t="str">
        <f>=$TP34+--($TO35)</f>
      </c>
      <c r="TQ35" t="str">
        <f>IF(ROW()-3&gt;MAX($TP$4:$TP$40),"",INDEX($DF$4:$DF$40,MATCH(ROW()-3,$TP$4:$TP$40,0)))</f>
      </c>
      <c r="TR35" t="str">
        <f>IF(COUNTIF('Final Calculation Sheet'!$AL35:$BE35,0)+COUNTIF('Final Calculation Sheet'!$BG35:$BS35,0)&gt;0,0,1)</f>
      </c>
      <c r="TS35" t="str">
        <f>IF($DK$35="",FALSE,SUMPRODUCT(('Final Calculation Sheet'!$U$4:$U$40=$DK$35)*($TR$4:$TR$40=1))&gt;0)</f>
      </c>
      <c r="TT35" t="str">
        <f>=$TT34+--($TS35)</f>
      </c>
      <c r="TU35" t="str">
        <f>IF(ROW()-3&gt;MAX($TT$4:$TT$40),"",INDEX($DK$4:$DK$40,MATCH(ROW()-3,$TT$4:$TT$40,0)))</f>
      </c>
      <c r="TV35" t="str">
        <f>IF(COUNTIF('Final Calculation Sheet'!$AL35:$BF35,0)+COUNTIF('Final Calculation Sheet'!$BH35:$BS35,0)&gt;0,0,1)</f>
      </c>
      <c r="TW35" t="str">
        <f>IF($DP$35="",FALSE,SUMPRODUCT(('Final Calculation Sheet'!$V$4:$V$40=$DP$35)*($TV$4:$TV$40=1))&gt;0)</f>
      </c>
      <c r="TX35" t="str">
        <f>=$TX34+--($TW35)</f>
      </c>
      <c r="TY35" t="str">
        <f>IF(ROW()-3&gt;MAX($TX$4:$TX$40),"",INDEX($DP$4:$DP$40,MATCH(ROW()-3,$TX$4:$TX$40,0)))</f>
      </c>
      <c r="TZ35" t="str">
        <f>IF(COUNTIF('Final Calculation Sheet'!$AL35:$BG35,0)+COUNTIF('Final Calculation Sheet'!$BI35:$BS35,0)&gt;0,0,1)</f>
      </c>
      <c r="UA35" t="str">
        <f>IF($DU$35="",FALSE,SUMPRODUCT(('Final Calculation Sheet'!$W$4:$W$40=$DU$35)*($TZ$4:$TZ$40=1))&gt;0)</f>
      </c>
      <c r="UB35" t="str">
        <f>=$UB34+--($UA35)</f>
      </c>
      <c r="UC35" t="str">
        <f>IF(ROW()-3&gt;MAX($UB$4:$UB$40),"",INDEX($DU$4:$DU$40,MATCH(ROW()-3,$UB$4:$UB$40,0)))</f>
      </c>
      <c r="UD35" t="str">
        <f>IF(COUNTIF('Final Calculation Sheet'!$AL35:$BH35,0)+COUNTIF('Final Calculation Sheet'!$BJ35:$BS35,0)&gt;0,0,1)</f>
      </c>
      <c r="UE35" t="str">
        <f>IF($DZ$35="",FALSE,SUMPRODUCT(('Final Calculation Sheet'!$X$4:$X$40=$DZ$35)*($UD$4:$UD$40=1))&gt;0)</f>
      </c>
      <c r="UF35" t="str">
        <f>=$UF34+--($UE35)</f>
      </c>
      <c r="UG35" t="str">
        <f>IF(ROW()-3&gt;MAX($UF$4:$UF$40),"",INDEX($DZ$4:$DZ$40,MATCH(ROW()-3,$UF$4:$UF$40,0)))</f>
      </c>
      <c r="UH35" t="str">
        <f>IF(COUNTIF('Final Calculation Sheet'!$AL35:$BI35,0)+COUNTIF('Final Calculation Sheet'!$BK35:$BS35,0)&gt;0,0,1)</f>
      </c>
      <c r="UI35" t="str">
        <f>IF($EE$35="",FALSE,SUMPRODUCT(('Final Calculation Sheet'!$Y$4:$Y$40=$EE$35)*($UH$4:$UH$40=1))&gt;0)</f>
      </c>
      <c r="UJ35" t="str">
        <f>=$UJ34+--($UI35)</f>
      </c>
      <c r="UK35" t="str">
        <f>IF(ROW()-3&gt;MAX($UJ$4:$UJ$40),"",INDEX($EE$4:$EE$40,MATCH(ROW()-3,$UJ$4:$UJ$40,0)))</f>
      </c>
      <c r="UL35" t="str">
        <f>IF(COUNTIF('Final Calculation Sheet'!$AL35:$BJ35,0)+COUNTIF('Final Calculation Sheet'!$BL35:$BS35,0)&gt;0,0,1)</f>
      </c>
      <c r="UM35" t="str">
        <f>IF($EJ$35="",FALSE,SUMPRODUCT(('Final Calculation Sheet'!$Z$4:$Z$40=$EJ$35)*($UL$4:$UL$40=1))&gt;0)</f>
      </c>
      <c r="UN35" t="str">
        <f>=$UN34+--($UM35)</f>
      </c>
      <c r="UO35" t="str">
        <f>IF(ROW()-3&gt;MAX($UN$4:$UN$40),"",INDEX($EJ$4:$EJ$40,MATCH(ROW()-3,$UN$4:$UN$40,0)))</f>
      </c>
      <c r="UP35" t="str">
        <f>IF(COUNTIF('Final Calculation Sheet'!$AL35:$BK35,0)+COUNTIF('Final Calculation Sheet'!$BM35:$BS35,0)&gt;0,0,1)</f>
      </c>
      <c r="UQ35" t="str">
        <f>IF($EO$35="",FALSE,SUMPRODUCT(('Final Calculation Sheet'!$AA$4:$AA$40=$EO$35)*($UP$4:$UP$40=1))&gt;0)</f>
      </c>
      <c r="UR35" t="str">
        <f>=$UR34+--($UQ35)</f>
      </c>
      <c r="US35" t="str">
        <f>IF(ROW()-3&gt;MAX($UR$4:$UR$40),"",INDEX($EO$4:$EO$40,MATCH(ROW()-3,$UR$4:$UR$40,0)))</f>
      </c>
      <c r="UT35" t="str">
        <f>IF(COUNTIF('Final Calculation Sheet'!$AL35:$BL35,0)+COUNTIF('Final Calculation Sheet'!$BN35:$BS35,0)&gt;0,0,1)</f>
      </c>
      <c r="UU35" t="str">
        <f>IF($ET$35="",FALSE,SUMPRODUCT(('Final Calculation Sheet'!$AB$4:$AB$40=$ET$35)*($UT$4:$UT$40=1))&gt;0)</f>
      </c>
      <c r="UV35" t="str">
        <f>=$UV34+--($UU35)</f>
      </c>
      <c r="UW35" t="str">
        <f>IF(ROW()-3&gt;MAX($UV$4:$UV$40),"",INDEX($ET$4:$ET$40,MATCH(ROW()-3,$UV$4:$UV$40,0)))</f>
      </c>
      <c r="UX35" t="str">
        <f>IF(COUNTIF('Final Calculation Sheet'!$AL35:$BM35,0)+COUNTIF('Final Calculation Sheet'!$BO35:$BS35,0)&gt;0,0,1)</f>
      </c>
      <c r="UY35" t="str">
        <f>IF($EY$35="",FALSE,SUMPRODUCT(('Final Calculation Sheet'!$AC$4:$AC$40=$EY$35)*($UX$4:$UX$40=1))&gt;0)</f>
      </c>
      <c r="UZ35" t="str">
        <f>=$UZ34+--($UY35)</f>
      </c>
      <c r="VA35" t="str">
        <f>IF(ROW()-3&gt;MAX($UZ$4:$UZ$40),"",INDEX($EY$4:$EY$40,MATCH(ROW()-3,$UZ$4:$UZ$40,0)))</f>
      </c>
      <c r="VB35" t="str">
        <f>IF(COUNTIF('Final Calculation Sheet'!$AL35:$BN35,0)+COUNTIF('Final Calculation Sheet'!$BP35:$BS35,0)&gt;0,0,1)</f>
      </c>
      <c r="VC35" t="str">
        <f>IF($FD$35="",FALSE,SUMPRODUCT(('Final Calculation Sheet'!$AD$4:$AD$40=$FD$35)*($VB$4:$VB$40=1))&gt;0)</f>
      </c>
      <c r="VD35" t="str">
        <f>=$VD34+--($VC35)</f>
      </c>
      <c r="VE35" t="str">
        <f>IF(ROW()-3&gt;MAX($VD$4:$VD$40),"",INDEX($FD$4:$FD$40,MATCH(ROW()-3,$VD$4:$VD$40,0)))</f>
      </c>
      <c r="VF35" t="str">
        <f>IF(COUNTIF('Final Calculation Sheet'!$AL35:$BO35,0)+COUNTIF('Final Calculation Sheet'!$BQ35:$BS35,0)&gt;0,0,1)</f>
      </c>
      <c r="VG35" t="str">
        <f>IF($FI$35="",FALSE,SUMPRODUCT(('Final Calculation Sheet'!$AE$4:$AE$40=$FI$35)*($VF$4:$VF$40=1))&gt;0)</f>
      </c>
      <c r="VH35" t="str">
        <f>=$VH34+--($VG35)</f>
      </c>
      <c r="VI35" t="str">
        <f>IF(ROW()-3&gt;MAX($VH$4:$VH$40),"",INDEX($FI$4:$FI$40,MATCH(ROW()-3,$VH$4:$VH$40,0)))</f>
      </c>
      <c r="VJ35" t="str">
        <f>IF(COUNTIF('Final Calculation Sheet'!$AL35:$BP35,0)+COUNTIF('Final Calculation Sheet'!$BR35:$BS35,0)&gt;0,0,1)</f>
      </c>
      <c r="VK35" t="str">
        <f>IF($FN$35="",FALSE,SUMPRODUCT(('Final Calculation Sheet'!$AF$4:$AF$40=$FN$35)*($VJ$4:$VJ$40=1))&gt;0)</f>
      </c>
      <c r="VL35" t="str">
        <f>=$VL34+--($VK35)</f>
      </c>
      <c r="VM35" t="str">
        <f>IF(ROW()-3&gt;MAX($VL$4:$VL$40),"",INDEX($FN$4:$FN$40,MATCH(ROW()-3,$VL$4:$VL$40,0)))</f>
      </c>
      <c r="VN35" t="str">
        <f>IF(COUNTIF('Final Calculation Sheet'!$AL35:$BQ35,0)+COUNTIF('Final Calculation Sheet'!$BS35:$BS35,0)&gt;0,0,1)</f>
      </c>
      <c r="VO35" t="str">
        <f>IF($FS$35="",FALSE,SUMPRODUCT(('Final Calculation Sheet'!$AG$4:$AG$40=$FS$35)*($VN$4:$VN$40=1))&gt;0)</f>
      </c>
      <c r="VP35" t="str">
        <f>=$VP34+--($VO35)</f>
      </c>
      <c r="VQ35" t="str">
        <f>IF(ROW()-3&gt;MAX($VP$4:$VP$40),"",INDEX($FS$4:$FS$40,MATCH(ROW()-3,$VP$4:$VP$40,0)))</f>
      </c>
      <c r="VR35" t="str">
        <f>IF(COUNTIF('Final Calculation Sheet'!$AL35:$BR35,0)&gt;0,0,1)</f>
      </c>
      <c r="VS35" t="str">
        <f>IF($QO$35="",FALSE,SUMPRODUCT(('Final Calculation Sheet'!$AH$4:$AH$40=$QO$35)*($VR$4:$VR$40=1))&gt;0)</f>
      </c>
      <c r="VT35" t="str">
        <f>=$VT34+--($VS35)</f>
      </c>
      <c r="VU35" t="str">
        <f>IF(ROW()-3&gt;MAX($VT$4:$VT$40),"",INDEX($QO$4:$QO$40,MATCH(ROW()-3,$VT$4:$VT$40,0)))</f>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IF(ROW()-3&gt;MAX($LC$4:$LC$40),"",INDEX($FS$4:$FS$40,MATCH(ROW()-3,$LC$4:$LC$40,0)))</f>
        <v/>
      </c>
      <c r="LE36">
        <f>IF(COUNTIF('Buyer Groups'!DH36:EN36,0)&gt;0,0,1)</f>
        <v/>
      </c>
      <c r="LF36">
        <f>IF($O$36="",FALSE,SUMPRODUCT(('Final Calculation Sheet'!$F$4:$F$40=$O$36)*($LE$6:$LE$42=1))&gt;0)</f>
        <v/>
      </c>
      <c r="LG36">
        <f>$LG$35+--($LF36)</f>
        <v/>
      </c>
      <c r="LH36">
        <f>IF(ROW()-3&gt;MAX($LG$4:$LG$40),"",INDEX($O$4:$O$40,MATCH(ROW()-3,$LG$4:$LG$40,0)))</f>
        <v/>
      </c>
      <c r="LI36">
        <f>IF(COUNTIF('Buyer Groups'!DG36:DG36,0)+COUNTIF('Buyer Groups'!DI36:EN36,0)&gt;0,0,1)</f>
        <v/>
      </c>
      <c r="LJ36">
        <f>IF($T$36="",FALSE,SUMPRODUCT(('Final Calculation Sheet'!$G$4:$G$40=$T$36)*($LI$6:$LI$42=1))&gt;0)</f>
        <v/>
      </c>
      <c r="LK36">
        <f>$LK$35+--($LJ36)</f>
        <v/>
      </c>
      <c r="LL36">
        <f>IF(ROW()-3&gt;MAX($LK$4:$LK$40),"",INDEX($T$4:$T$40,MATCH(ROW()-3,$LK$4:$LK$40,0)))</f>
        <v/>
      </c>
      <c r="LM36">
        <f>IF(COUNTIF('Buyer Groups'!DG36:DH36,0)+COUNTIF('Buyer Groups'!DJ36:EN36,0)&gt;0,0,1)</f>
        <v/>
      </c>
      <c r="LN36">
        <f>IF($Y$36="",FALSE,SUMPRODUCT(('Final Calculation Sheet'!$B$4:$B$40=$Y$36)*($LM$6:$LM$42=1))&gt;0)</f>
        <v/>
      </c>
      <c r="LO36">
        <f>$LO$35+--($LN36)</f>
        <v/>
      </c>
      <c r="LP36">
        <f>IF(ROW()-3&gt;MAX($LO$4:$LO$40),"",INDEX($Y$4:$Y$40,MATCH(ROW()-3,$LO$4:$LO$40,0)))</f>
        <v/>
      </c>
      <c r="LQ36">
        <f>IF(COUNTIF('Buyer Groups'!DG36:DI36,0)+COUNTIF('Buyer Groups'!DK36:EN36,0)&gt;0,0,1)</f>
        <v/>
      </c>
      <c r="LR36">
        <f>IF($AD$36="",FALSE,SUMPRODUCT(('Final Calculation Sheet'!$D$4:$D$40=$AD$36)*($LQ$6:$LQ$42=1))&gt;0)</f>
        <v/>
      </c>
      <c r="LS36">
        <f>$LS$35+--($LR36)</f>
        <v/>
      </c>
      <c r="LT36">
        <f>IF(ROW()-3&gt;MAX($LS$4:$LS$40),"",INDEX($AD$4:$AD$40,MATCH(ROW()-3,$LS$4:$LS$40,0)))</f>
        <v/>
      </c>
      <c r="LU36">
        <f>IF(COUNTIF('Buyer Groups'!DG36:DJ36,0)+COUNTIF('Buyer Groups'!DL36:EN36,0)&gt;0,0,1)</f>
        <v/>
      </c>
      <c r="LV36">
        <f>IF($AI$36="",FALSE,SUMPRODUCT(('Final Calculation Sheet'!$A$4:$A$40=$AI$36)*($LU$6:$LU$42=1))&gt;0)</f>
        <v/>
      </c>
      <c r="LW36">
        <f>$LW$35+--($LV36)</f>
        <v/>
      </c>
      <c r="LX36">
        <f>IF(ROW()-3&gt;MAX($LW$4:$LW$40),"",INDEX($AI$4:$AI$40,MATCH(ROW()-3,$LW$4:$LW$40,0)))</f>
        <v/>
      </c>
      <c r="LY36">
        <f>IF(COUNTIF('Buyer Groups'!DG36:DK36,0)+COUNTIF('Buyer Groups'!DM36:EN36,0)&gt;0,0,1)</f>
        <v/>
      </c>
      <c r="LZ36">
        <f>IF($AN$36="",FALSE,SUMPRODUCT(('Final Calculation Sheet'!$E$4:$E$40=$AN$36)*($LY$6:$LY$42=1))&gt;0)</f>
        <v/>
      </c>
      <c r="MA36">
        <f>$MA$35+--($LZ36)</f>
        <v/>
      </c>
      <c r="MB36">
        <f>IF(ROW()-3&gt;MAX($MA$4:$MA$40),"",INDEX($AN$4:$AN$40,MATCH(ROW()-3,$MA$4:$MA$40,0)))</f>
        <v/>
      </c>
      <c r="MC36">
        <f>IF(COUNTIF('Buyer Groups'!DG36:DL36,0)+COUNTIF('Buyer Groups'!DN36:EN36,0)&gt;0,0,1)</f>
        <v/>
      </c>
      <c r="MD36">
        <f>IF($AS$36="",FALSE,SUMPRODUCT(('Final Calculation Sheet'!$C$4:$C$40=$AS$36)*($MC$6:$MC$42=1))&gt;0)</f>
        <v/>
      </c>
      <c r="ME36">
        <f>$ME$35+--($MD36)</f>
        <v/>
      </c>
      <c r="MF36">
        <f>IF(ROW()-3&gt;MAX($ME$4:$ME$40),"",INDEX($AS$4:$AS$40,MATCH(ROW()-3,$ME$4:$ME$40,0)))</f>
        <v/>
      </c>
      <c r="MG36">
        <f>IF(COUNTIF('Buyer Groups'!DG36:DM36,0)+COUNTIF('Buyer Groups'!DO36:EN36,0)&gt;0,0,1)</f>
        <v/>
      </c>
      <c r="MH36">
        <f>IF($AX$36="",FALSE,SUMPRODUCT(('Final Calculation Sheet'!$H$4:$H$40=$AX$36)*($MG$6:$MG$42=1))&gt;0)</f>
        <v/>
      </c>
      <c r="MI36">
        <f>$MI$35+--($MH36)</f>
        <v/>
      </c>
      <c r="MJ36">
        <f>IF(ROW()-3&gt;MAX($MI$4:$MI$40),"",INDEX($AX$4:$AX$40,MATCH(ROW()-3,$MI$4:$MI$40,0)))</f>
        <v/>
      </c>
      <c r="MK36">
        <f>IF(COUNTIF('Buyer Groups'!DG36:DN36,0)+COUNTIF('Buyer Groups'!DP36:EN36,0)&gt;0,0,1)</f>
        <v/>
      </c>
      <c r="ML36">
        <f>IF($BC$36="",FALSE,SUMPRODUCT(('Final Calculation Sheet'!$I$4:$I$40=$BC$36)*($MK$6:$MK$42=1))&gt;0)</f>
        <v/>
      </c>
      <c r="MM36">
        <f>$MM$35+--($ML36)</f>
        <v/>
      </c>
      <c r="MN36">
        <f>IF(ROW()-3&gt;MAX($MM$4:$MM$40),"",INDEX($BC$4:$BC$40,MATCH(ROW()-3,$MM$4:$MM$40,0)))</f>
        <v/>
      </c>
      <c r="MO36">
        <f>IF(COUNTIF('Buyer Groups'!DG36:DO36,0)+COUNTIF('Buyer Groups'!DQ36:EN36,0)&gt;0,0,1)</f>
        <v/>
      </c>
      <c r="MP36">
        <f>IF($BH$36="",FALSE,SUMPRODUCT(('Final Calculation Sheet'!$J$4:$J$40=$BH$36)*($MO$6:$MO$42=1))&gt;0)</f>
        <v/>
      </c>
      <c r="MQ36">
        <f>$MQ$35+--($MP36)</f>
        <v/>
      </c>
      <c r="MR36">
        <f>IF(ROW()-3&gt;MAX($MQ$4:$MQ$40),"",INDEX($BH$4:$BH$40,MATCH(ROW()-3,$MQ$4:$MQ$40,0)))</f>
        <v/>
      </c>
      <c r="MS36">
        <f>IF(COUNTIF('Buyer Groups'!DG36:DP36,0)+COUNTIF('Buyer Groups'!DR36:EN36,0)&gt;0,0,1)</f>
        <v/>
      </c>
      <c r="MT36">
        <f>IF($BM$36="",FALSE,SUMPRODUCT(('Final Calculation Sheet'!$K$4:$K$40=$BM$36)*($MS$6:$MS$42=1))&gt;0)</f>
        <v/>
      </c>
      <c r="MU36">
        <f>$MU$35+--($MT36)</f>
        <v/>
      </c>
      <c r="MV36">
        <f>IF(ROW()-3&gt;MAX($MU$4:$MU$40),"",INDEX($BM$4:$BM$40,MATCH(ROW()-3,$MU$4:$MU$40,0)))</f>
        <v/>
      </c>
      <c r="MW36">
        <f>IF(COUNTIF('Buyer Groups'!DG36:DQ36,0)+COUNTIF('Buyer Groups'!DS36:EN36,0)&gt;0,0,1)</f>
        <v/>
      </c>
      <c r="MX36">
        <f>IF($BR$36="",FALSE,SUMPRODUCT(('Final Calculation Sheet'!$L$4:$L$40=$BR$36)*($MW$6:$MW$42=1))&gt;0)</f>
        <v/>
      </c>
      <c r="MY36">
        <f>$MY$35+--($MX36)</f>
        <v/>
      </c>
      <c r="MZ36">
        <f>IF(ROW()-3&gt;MAX($MY$4:$MY$40),"",INDEX($BR$4:$BR$40,MATCH(ROW()-3,$MY$4:$MY$40,0)))</f>
        <v/>
      </c>
      <c r="NA36">
        <f>IF(COUNTIF('Buyer Groups'!DG36:DR36,0)+COUNTIF('Buyer Groups'!DT36:EN36,0)&gt;0,0,1)</f>
        <v/>
      </c>
      <c r="NB36">
        <f>IF($BW$36="",FALSE,SUMPRODUCT(('Final Calculation Sheet'!$M$4:$M$40=$BW$36)*($NA$6:$NA$42=1))&gt;0)</f>
        <v/>
      </c>
      <c r="NC36">
        <f>$NC$35+--($NB36)</f>
        <v/>
      </c>
      <c r="ND36">
        <f>IF(ROW()-3&gt;MAX($NC$4:$NC$40),"",INDEX($BW$4:$BW$40,MATCH(ROW()-3,$NC$4:$NC$40,0)))</f>
        <v/>
      </c>
      <c r="NE36">
        <f>IF(COUNTIF('Buyer Groups'!DG36:DS36,0)+COUNTIF('Buyer Groups'!DU36:EN36,0)&gt;0,0,1)</f>
        <v/>
      </c>
      <c r="NF36">
        <f>IF($CB$36="",FALSE,SUMPRODUCT(('Final Calculation Sheet'!$N$4:$N$40=$CB$36)*($NE$6:$NE$42=1))&gt;0)</f>
        <v/>
      </c>
      <c r="NG36">
        <f>$NG$35+--($NF36)</f>
        <v/>
      </c>
      <c r="NH36">
        <f>IF(ROW()-3&gt;MAX($NG$4:$NG$40),"",INDEX($CB$4:$CB$40,MATCH(ROW()-3,$NG$4:$NG$40,0)))</f>
        <v/>
      </c>
      <c r="NI36">
        <f>IF(COUNTIF('Buyer Groups'!DG36:DT36,0)+COUNTIF('Buyer Groups'!DV36:EN36,0)&gt;0,0,1)</f>
        <v/>
      </c>
      <c r="NJ36">
        <f>IF($CG$36="",FALSE,SUMPRODUCT(('Final Calculation Sheet'!$O$4:$O$40=$CG$36)*($NI$6:$NI$42=1))&gt;0)</f>
        <v/>
      </c>
      <c r="NK36">
        <f>$NK$35+--($NJ36)</f>
        <v/>
      </c>
      <c r="NL36">
        <f>IF(ROW()-3&gt;MAX($NK$4:$NK$40),"",INDEX($CG$4:$CG$40,MATCH(ROW()-3,$NK$4:$NK$40,0)))</f>
        <v/>
      </c>
      <c r="NM36">
        <f>IF(COUNTIF('Buyer Groups'!DG36:DU36,0)+COUNTIF('Buyer Groups'!DW36:EN36,0)&gt;0,0,1)</f>
        <v/>
      </c>
      <c r="NN36">
        <f>IF($CL$36="",FALSE,SUMPRODUCT(('Final Calculation Sheet'!$P$4:$P$40=$CL$36)*($NM$6:$NM$42=1))&gt;0)</f>
        <v/>
      </c>
      <c r="NO36">
        <f>$NO$35+--($NN36)</f>
        <v/>
      </c>
      <c r="NP36">
        <f>IF(ROW()-3&gt;MAX($NO$4:$NO$40),"",INDEX($CL$4:$CL$40,MATCH(ROW()-3,$NO$4:$NO$40,0)))</f>
        <v/>
      </c>
      <c r="NQ36">
        <f>IF(COUNTIF('Buyer Groups'!DG36:DV36,0)+COUNTIF('Buyer Groups'!DX36:EN36,0)&gt;0,0,1)</f>
        <v/>
      </c>
      <c r="NR36">
        <f>IF($CQ$36="",FALSE,SUMPRODUCT(('Final Calculation Sheet'!$Q$4:$Q$40=$CQ$36)*($NQ$6:$NQ$42=1))&gt;0)</f>
        <v/>
      </c>
      <c r="NS36">
        <f>$NS$35+--($NR36)</f>
        <v/>
      </c>
      <c r="NT36">
        <f>IF(ROW()-3&gt;MAX($NS$4:$NS$40),"",INDEX($CQ$4:$CQ$40,MATCH(ROW()-3,$NS$4:$NS$40,0)))</f>
        <v/>
      </c>
      <c r="NU36">
        <f>IF(COUNTIF('Buyer Groups'!DG36:DW36,0)+COUNTIF('Buyer Groups'!DY36:EN36,0)&gt;0,0,1)</f>
        <v/>
      </c>
      <c r="NV36">
        <f>IF($CV$36="",FALSE,SUMPRODUCT(('Final Calculation Sheet'!$R$4:$R$40=$CV$36)*($NU$6:$NU$42=1))&gt;0)</f>
        <v/>
      </c>
      <c r="NW36">
        <f>$NW$35+--($NV36)</f>
        <v/>
      </c>
      <c r="NX36">
        <f>IF(ROW()-3&gt;MAX($NW$4:$NW$40),"",INDEX($CV$4:$CV$40,MATCH(ROW()-3,$NW$4:$NW$40,0)))</f>
        <v/>
      </c>
      <c r="NY36">
        <f>IF(COUNTIF('Buyer Groups'!DG36:DX36,0)+COUNTIF('Buyer Groups'!DZ36:EN36,0)&gt;0,0,1)</f>
        <v/>
      </c>
      <c r="NZ36">
        <f>IF($DA$36="",FALSE,SUMPRODUCT(('Final Calculation Sheet'!$S$4:$S$40=$DA$36)*($NY$6:$NY$42=1))&gt;0)</f>
        <v/>
      </c>
      <c r="OA36">
        <f>$OA$35+--($NZ36)</f>
        <v/>
      </c>
      <c r="OB36">
        <f>IF(ROW()-3&gt;MAX($OA$4:$OA$40),"",INDEX($DA$4:$DA$40,MATCH(ROW()-3,$OA$4:$OA$40,0)))</f>
        <v/>
      </c>
      <c r="OC36">
        <f>IF(COUNTIF('Buyer Groups'!DG36:DY36,0)+COUNTIF('Buyer Groups'!EA36:EN36,0)&gt;0,0,1)</f>
        <v/>
      </c>
      <c r="OD36">
        <f>IF($DF$36="",FALSE,SUMPRODUCT(('Final Calculation Sheet'!$T$4:$T$40=$DF$36)*($OC$6:$OC$42=1))&gt;0)</f>
        <v/>
      </c>
      <c r="OE36">
        <f>$OE$35+--($OD36)</f>
        <v/>
      </c>
      <c r="OF36">
        <f>IF(ROW()-3&gt;MAX($OE$4:$OE$40),"",INDEX($DF$4:$DF$40,MATCH(ROW()-3,$OE$4:$OE$40,0)))</f>
        <v/>
      </c>
      <c r="OG36">
        <f>IF(COUNTIF('Buyer Groups'!DG36:DZ36,0)+COUNTIF('Buyer Groups'!EB36:EN36,0)&gt;0,0,1)</f>
        <v/>
      </c>
      <c r="OH36">
        <f>IF($DK$36="",FALSE,SUMPRODUCT(('Final Calculation Sheet'!$U$4:$U$40=$DK$36)*($OG$6:$OG$42=1))&gt;0)</f>
        <v/>
      </c>
      <c r="OI36">
        <f>$OI$35+--($OH36)</f>
        <v/>
      </c>
      <c r="OJ36">
        <f>IF(ROW()-3&gt;MAX($OI$4:$OI$40),"",INDEX($DK$4:$DK$40,MATCH(ROW()-3,$OI$4:$OI$40,0)))</f>
        <v/>
      </c>
      <c r="OK36">
        <f>IF(COUNTIF('Buyer Groups'!DG36:EA36,0)+COUNTIF('Buyer Groups'!EC36:EN36,0)&gt;0,0,1)</f>
        <v/>
      </c>
      <c r="OL36">
        <f>IF($DP$36="",FALSE,SUMPRODUCT(('Final Calculation Sheet'!$V$4:$V$40=$DP$36)*($OK$6:$OK$42=1))&gt;0)</f>
        <v/>
      </c>
      <c r="OM36">
        <f>$OM$35+--($OL36)</f>
        <v/>
      </c>
      <c r="ON36">
        <f>IF(ROW()-3&gt;MAX($OM$4:$OM$40),"",INDEX($DP$4:$DP$40,MATCH(ROW()-3,$OM$4:$OM$40,0)))</f>
        <v/>
      </c>
      <c r="OO36">
        <f>IF(COUNTIF('Buyer Groups'!DG36:EB36,0)+COUNTIF('Buyer Groups'!ED36:EN36,0)&gt;0,0,1)</f>
        <v/>
      </c>
      <c r="OP36">
        <f>IF($DU$36="",FALSE,SUMPRODUCT(('Final Calculation Sheet'!$W$4:$W$40=$DU$36)*($OO$6:$OO$42=1))&gt;0)</f>
        <v/>
      </c>
      <c r="OQ36">
        <f>$OQ$35+--($OP36)</f>
        <v/>
      </c>
      <c r="OR36">
        <f>IF(ROW()-3&gt;MAX($OQ$4:$OQ$40),"",INDEX($DU$4:$DU$40,MATCH(ROW()-3,$OQ$4:$OQ$40,0)))</f>
        <v/>
      </c>
      <c r="OS36">
        <f>IF(COUNTIF('Buyer Groups'!DG36:EC36,0)+COUNTIF('Buyer Groups'!EE36:EN36,0)&gt;0,0,1)</f>
        <v/>
      </c>
      <c r="OT36">
        <f>IF($DZ$36="",FALSE,SUMPRODUCT(('Final Calculation Sheet'!$X$4:$X$40=$DZ$36)*($OS$6:$OS$42=1))&gt;0)</f>
        <v/>
      </c>
      <c r="OU36">
        <f>$OU$35+--($OT36)</f>
        <v/>
      </c>
      <c r="OV36">
        <f>IF(ROW()-3&gt;MAX($OU$4:$OU$40),"",INDEX($DZ$4:$DZ$40,MATCH(ROW()-3,$OU$4:$OU$40,0)))</f>
        <v/>
      </c>
      <c r="OW36">
        <f>IF(COUNTIF('Buyer Groups'!DG36:ED36,0)+COUNTIF('Buyer Groups'!EF36:EN36,0)&gt;0,0,1)</f>
        <v/>
      </c>
      <c r="OX36">
        <f>IF($EE$36="",FALSE,SUMPRODUCT(('Final Calculation Sheet'!$Y$4:$Y$40=$EE$36)*($OW$6:$OW$42=1))&gt;0)</f>
        <v/>
      </c>
      <c r="OY36">
        <f>$OY$35+--($OX36)</f>
        <v/>
      </c>
      <c r="OZ36">
        <f>IF(ROW()-3&gt;MAX($OY$4:$OY$40),"",INDEX($EE$4:$EE$40,MATCH(ROW()-3,$OY$4:$OY$40,0)))</f>
        <v/>
      </c>
      <c r="PA36">
        <f>IF(COUNTIF('Buyer Groups'!DG36:EE36,0)+COUNTIF('Buyer Groups'!EG36:EN36,0)&gt;0,0,1)</f>
        <v/>
      </c>
      <c r="PB36">
        <f>IF($EJ$36="",FALSE,SUMPRODUCT(('Final Calculation Sheet'!$Z$4:$Z$40=$EJ$36)*($PA$6:$PA$42=1))&gt;0)</f>
        <v/>
      </c>
      <c r="PC36">
        <f>$PC$35+--($PB36)</f>
        <v/>
      </c>
      <c r="PD36">
        <f>IF(ROW()-3&gt;MAX($PC$4:$PC$40),"",INDEX($EJ$4:$EJ$40,MATCH(ROW()-3,$PC$4:$PC$40,0)))</f>
        <v/>
      </c>
      <c r="PE36">
        <f>IF(COUNTIF('Buyer Groups'!DG36:EF36,0)+COUNTIF('Buyer Groups'!EH36:EN36,0)&gt;0,0,1)</f>
        <v/>
      </c>
      <c r="PF36">
        <f>IF($EO$36="",FALSE,SUMPRODUCT(('Final Calculation Sheet'!$AA$4:$AA$40=$EO$36)*($PE$6:$PE$42=1))&gt;0)</f>
        <v/>
      </c>
      <c r="PG36">
        <f>$PG$35+--($PF36)</f>
        <v/>
      </c>
      <c r="PH36">
        <f>IF(ROW()-3&gt;MAX($PG$4:$PG$40),"",INDEX($EO$4:$EO$40,MATCH(ROW()-3,$PG$4:$PG$40,0)))</f>
        <v/>
      </c>
      <c r="PI36">
        <f>IF(COUNTIF('Buyer Groups'!DG36:EG36,0)+COUNTIF('Buyer Groups'!EI36:EN36,0)&gt;0,0,1)</f>
        <v/>
      </c>
      <c r="PJ36">
        <f>IF($ET$36="",FALSE,SUMPRODUCT(('Final Calculation Sheet'!$AB$4:$AB$40=$ET$36)*($PI$6:$PI$42=1))&gt;0)</f>
        <v/>
      </c>
      <c r="PK36">
        <f>$PK$35+--($PJ36)</f>
        <v/>
      </c>
      <c r="PL36">
        <f>IF(ROW()-3&gt;MAX($PK$4:$PK$40),"",INDEX($ET$4:$ET$40,MATCH(ROW()-3,$PK$4:$PK$40,0)))</f>
        <v/>
      </c>
      <c r="PM36">
        <f>IF(COUNTIF('Buyer Groups'!DG36:EH36,0)+COUNTIF('Buyer Groups'!EJ36:EN36,0)&gt;0,0,1)</f>
        <v/>
      </c>
      <c r="PN36">
        <f>IF($EY$36="",FALSE,SUMPRODUCT(('Final Calculation Sheet'!$AC$4:$AC$40=$EY$36)*($PM$6:$PM$42=1))&gt;0)</f>
        <v/>
      </c>
      <c r="PO36">
        <f>$PO$35+--($PN36)</f>
        <v/>
      </c>
      <c r="PP36">
        <f>IF(ROW()-3&gt;MAX($PO$4:$PO$40),"",INDEX($EY$4:$EY$40,MATCH(ROW()-3,$PO$4:$PO$40,0)))</f>
        <v/>
      </c>
      <c r="PQ36">
        <f>IF(COUNTIF('Buyer Groups'!DG36:EI36,0)+COUNTIF('Buyer Groups'!EK36:EN36,0)&gt;0,0,1)</f>
        <v/>
      </c>
      <c r="PR36">
        <f>IF($FD$36="",FALSE,SUMPRODUCT(('Final Calculation Sheet'!$AD$4:$AD$40=$FD$36)*($PQ$6:$PQ$42=1))&gt;0)</f>
        <v/>
      </c>
      <c r="PS36">
        <f>$PS$35+--($PR36)</f>
        <v/>
      </c>
      <c r="PT36">
        <f>IF(ROW()-3&gt;MAX($PS$4:$PS$40),"",INDEX($FD$4:$FD$40,MATCH(ROW()-3,$PS$4:$PS$40,0)))</f>
        <v/>
      </c>
      <c r="PU36">
        <f>IF(COUNTIF('Buyer Groups'!DG36:EJ36,0)+COUNTIF('Buyer Groups'!EL36:EN36,0)&gt;0,0,1)</f>
        <v/>
      </c>
      <c r="PV36">
        <f>IF($FX$36="",FALSE,SUMPRODUCT((IF('Final Calculation Sheet'!$AD$4:$AD$40&lt;=5,"SETTLED","OUTSTANDING")=$FX$36)*($PU$6:$PU$42=1))&gt;0)</f>
        <v/>
      </c>
      <c r="PW36">
        <f>$PW$35+--($PV36)</f>
        <v/>
      </c>
      <c r="PX36">
        <f>IF(ROW()-3&gt;MAX($PW$4:$PW$40),"",INDEX($FX$4:$FX$40,MATCH(ROW()-3,$PW$4:$PW$40,0)))</f>
        <v/>
      </c>
      <c r="PY36">
        <f>IF(COUNTIF('Buyer Groups'!DG36:EK36,0)+COUNTIF('Buyer Groups'!EM36:EN36,0)&gt;0,0,1)</f>
        <v/>
      </c>
      <c r="PZ36">
        <f>IF($FI$36="",FALSE,SUMPRODUCT(('Final Calculation Sheet'!$AF$4:$AF$40=$FI$36)*($PY$6:$PY$42=1))&gt;0)</f>
        <v/>
      </c>
      <c r="QA36">
        <f>$QA$35+--($PZ36)</f>
        <v/>
      </c>
      <c r="QB36">
        <f>IF(ROW()-3&gt;MAX($QA$4:$QA$40),"",INDEX($FI$4:$FI$40,MATCH(ROW()-3,$QA$4:$QA$40,0)))</f>
        <v/>
      </c>
      <c r="QC36">
        <f>IF(COUNTIF('Buyer Groups'!DG36:EL36,0)+COUNTIF('Buyer Groups'!EN36:EN36,0)&gt;0,0,1)</f>
        <v/>
      </c>
      <c r="QD36">
        <f>IF($FN$36="",FALSE,SUMPRODUCT(('Final Calculation Sheet'!$AG$4:$AG$40=$FN$36)*($QC$6:$QC$42=1))&gt;0)</f>
        <v/>
      </c>
      <c r="QE36">
        <f>$QE$35+--($QD36)</f>
        <v/>
      </c>
      <c r="QF36">
        <f>IF(ROW()-3&gt;MAX($QE$4:$QE$40),"",INDEX($FN$4:$FN$40,MATCH(ROW()-3,$QE$4:$QE$40,0)))</f>
        <v/>
      </c>
      <c r="QG36">
        <f>IF(COUNTIF('Buyer Groups'!DG36:EM36,0)&gt;0,0,1)</f>
        <v/>
      </c>
      <c r="QH36">
        <f>IF($FS$36="",FALSE,SUMPRODUCT(('Final Calculation Sheet'!$AH$4:$AH$40=$FS$36)*($QG$6:$QG$42=1))&gt;0)</f>
        <v/>
      </c>
      <c r="QI36">
        <f>$QI$35+--($QH36)</f>
        <v/>
      </c>
      <c r="QJ36">
        <f>IF(ROW()-3&gt;MAX($QI$4:$QI$40),"",INDEX($FS$4:$FS$40,MATCH(ROW()-3,$QI$4:$QI$40,0)))</f>
        <v/>
      </c>
      <c r="QK36" t="str">
        <f>IF('Final Calculation Sheet'!$AH$36="","",'Final Calculation Sheet'!$AH$36)</f>
      </c>
      <c r="QL36" t="str">
        <f>IF(QK36="","",COUNTIFS(QK$4:QK$40,"&lt;"&amp;QK36,QK$4:QK$40,"&lt;&gt;"&amp;"")+COUNTIF(QK$4:QK36,QK36))</f>
      </c>
      <c r="QM36" t="str">
        <f>IF(ROW()-3&gt;COUNTIF(QK$4:QK$40,"&lt;&gt;"&amp;""),"",INDEX(QK$4:QK$40,MATCH(ROW()-3,QL$4:QL$40,0)))</f>
      </c>
      <c r="QN36" t="str">
        <f>=QN35+F(AND(QM36&lt;&gt;"",COUNTIF(QM$4:QM36,QM36)=1),1,0)</f>
      </c>
      <c r="QO36" t="str">
        <f>IF(ROW()-3&gt;MAX(QN$4:QN$40),"",INDEX(QM$4:QM$40,MATCH(ROW()-3,QN$4:QN$40,0)))</f>
      </c>
      <c r="QP36" t="str">
        <f>IF(COUNTIF('Final Calculation Sheet'!$AM36:$BS36,0)&gt;0,0,1)</f>
      </c>
      <c r="QQ36" t="str">
        <f>IF($AI$36="",FALSE,SUMPRODUCT(('Final Calculation Sheet'!$A$4:$A$40=$AI$36)*($QP$4:$QP$40=1))&gt;0)</f>
      </c>
      <c r="QR36" t="str">
        <f>=$QR35+--($QQ36)</f>
      </c>
      <c r="QS36" t="str">
        <f>IF(ROW()-3&gt;MAX($QR$4:$QR$40),"",INDEX($AI$4:$AI$40,MATCH(ROW()-3,$QR$4:$QR$40,0)))</f>
      </c>
      <c r="QT36" t="str">
        <f>IF(COUNTIF('Final Calculation Sheet'!$AL36:$AL36,0)+COUNTIF('Final Calculation Sheet'!$AN36:$BS36,0)&gt;0,0,1)</f>
      </c>
      <c r="QU36" t="str">
        <f>IF($Y$36="",FALSE,SUMPRODUCT(('Final Calculation Sheet'!$B$4:$B$40=$Y$36)*($QT$4:$QT$40=1))&gt;0)</f>
      </c>
      <c r="QV36" t="str">
        <f>=$QV35+--($QU36)</f>
      </c>
      <c r="QW36" t="str">
        <f>IF(ROW()-3&gt;MAX($QV$4:$QV$40),"",INDEX($Y$4:$Y$40,MATCH(ROW()-3,$QV$4:$QV$40,0)))</f>
      </c>
      <c r="QX36" t="str">
        <f>IF(COUNTIF('Final Calculation Sheet'!$AL36:$AM36,0)+COUNTIF('Final Calculation Sheet'!$AO36:$BS36,0)&gt;0,0,1)</f>
      </c>
      <c r="QY36" t="str">
        <f>IF($AS$36="",FALSE,SUMPRODUCT(('Final Calculation Sheet'!$C$4:$C$40=$AS$36)*($QX$4:$QX$40=1))&gt;0)</f>
      </c>
      <c r="QZ36" t="str">
        <f>=$QZ35+--($QY36)</f>
      </c>
      <c r="RA36" t="str">
        <f>IF(ROW()-3&gt;MAX($QZ$4:$QZ$40),"",INDEX($AS$4:$AS$40,MATCH(ROW()-3,$QZ$4:$QZ$40,0)))</f>
      </c>
      <c r="RB36" t="str">
        <f>IF(COUNTIF('Final Calculation Sheet'!$AL36:$AN36,0)+COUNTIF('Final Calculation Sheet'!$AP36:$BS36,0)&gt;0,0,1)</f>
      </c>
      <c r="RC36" t="str">
        <f>IF($AD$36="",FALSE,SUMPRODUCT(('Final Calculation Sheet'!$D$4:$D$40=$AD$36)*($RB$4:$RB$40=1))&gt;0)</f>
      </c>
      <c r="RD36" t="str">
        <f>=$RD35+--($RC36)</f>
      </c>
      <c r="RE36" t="str">
        <f>IF(ROW()-3&gt;MAX($RD$4:$RD$40),"",INDEX($AD$4:$AD$40,MATCH(ROW()-3,$RD$4:$RD$40,0)))</f>
      </c>
      <c r="RF36" t="str">
        <f>IF(COUNTIF('Final Calculation Sheet'!$AL36:$AO36,0)+COUNTIF('Final Calculation Sheet'!$AQ36:$BS36,0)&gt;0,0,1)</f>
      </c>
      <c r="RG36" t="str">
        <f>IF($AN$36="",FALSE,SUMPRODUCT(('Final Calculation Sheet'!$E$4:$E$40=$AN$36)*($RF$4:$RF$40=1))&gt;0)</f>
      </c>
      <c r="RH36" t="str">
        <f>=$RH35+--($RG36)</f>
      </c>
      <c r="RI36" t="str">
        <f>IF(ROW()-3&gt;MAX($RH$4:$RH$40),"",INDEX($AN$4:$AN$40,MATCH(ROW()-3,$RH$4:$RH$40,0)))</f>
      </c>
      <c r="RJ36" t="str">
        <f>IF(COUNTIF('Final Calculation Sheet'!$AL36:$AP36,0)+COUNTIF('Final Calculation Sheet'!$AR36:$BS36,0)&gt;0,0,1)</f>
      </c>
      <c r="RK36" t="str">
        <f>IF($O$36="",FALSE,SUMPRODUCT(('Final Calculation Sheet'!$F$4:$F$40=$O$36)*($RJ$4:$RJ$40=1))&gt;0)</f>
      </c>
      <c r="RL36" t="str">
        <f>=$RL35+--($RK36)</f>
      </c>
      <c r="RM36" t="str">
        <f>IF(ROW()-3&gt;MAX($RL$4:$RL$40),"",INDEX($O$4:$O$40,MATCH(ROW()-3,$RL$4:$RL$40,0)))</f>
      </c>
      <c r="RN36" t="str">
        <f>IF(COUNTIF('Final Calculation Sheet'!$AL36:$AQ36,0)+COUNTIF('Final Calculation Sheet'!$AS36:$BS36,0)&gt;0,0,1)</f>
      </c>
      <c r="RO36" t="str">
        <f>IF($T$36="",FALSE,SUMPRODUCT(('Final Calculation Sheet'!$G$4:$G$40=$T$36)*($RN$4:$RN$40=1))&gt;0)</f>
      </c>
      <c r="RP36" t="str">
        <f>=$RP35+--($RO36)</f>
      </c>
      <c r="RQ36" t="str">
        <f>IF(ROW()-3&gt;MAX($RP$4:$RP$40),"",INDEX($T$4:$T$40,MATCH(ROW()-3,$RP$4:$RP$40,0)))</f>
      </c>
      <c r="RR36" t="str">
        <f>IF(COUNTIF('Final Calculation Sheet'!$AL36:$AR36,0)+COUNTIF('Final Calculation Sheet'!$AT36:$BS36,0)&gt;0,0,1)</f>
      </c>
      <c r="RS36" t="str">
        <f>IF($AX$36="",FALSE,SUMPRODUCT(('Final Calculation Sheet'!$H$4:$H$40=$AX$36)*($RR$4:$RR$40=1))&gt;0)</f>
      </c>
      <c r="RT36" t="str">
        <f>=$RT35+--($RS36)</f>
      </c>
      <c r="RU36" t="str">
        <f>IF(ROW()-3&gt;MAX($RT$4:$RT$40),"",INDEX($AX$4:$AX$40,MATCH(ROW()-3,$RT$4:$RT$40,0)))</f>
      </c>
      <c r="RV36" t="str">
        <f>IF(COUNTIF('Final Calculation Sheet'!$AL36:$AS36,0)+COUNTIF('Final Calculation Sheet'!$AU36:$BS36,0)&gt;0,0,1)</f>
      </c>
      <c r="RW36" t="str">
        <f>IF($BC$36="",FALSE,SUMPRODUCT(('Final Calculation Sheet'!$I$4:$I$40=$BC$36)*($RV$4:$RV$40=1))&gt;0)</f>
      </c>
      <c r="RX36" t="str">
        <f>=$RX35+--($RW36)</f>
      </c>
      <c r="RY36" t="str">
        <f>IF(ROW()-3&gt;MAX($RX$4:$RX$40),"",INDEX($BC$4:$BC$40,MATCH(ROW()-3,$RX$4:$RX$40,0)))</f>
      </c>
      <c r="RZ36" t="str">
        <f>IF(COUNTIF('Final Calculation Sheet'!$AL36:$AT36,0)+COUNTIF('Final Calculation Sheet'!$AV36:$BS36,0)&gt;0,0,1)</f>
      </c>
      <c r="SA36" t="str">
        <f>IF($BH$36="",FALSE,SUMPRODUCT(('Final Calculation Sheet'!$J$4:$J$40=$BH$36)*($RZ$4:$RZ$40=1))&gt;0)</f>
      </c>
      <c r="SB36" t="str">
        <f>=$SB35+--($SA36)</f>
      </c>
      <c r="SC36" t="str">
        <f>IF(ROW()-3&gt;MAX($SB$4:$SB$40),"",INDEX($BH$4:$BH$40,MATCH(ROW()-3,$SB$4:$SB$40,0)))</f>
      </c>
      <c r="SD36" t="str">
        <f>IF(COUNTIF('Final Calculation Sheet'!$AL36:$AU36,0)+COUNTIF('Final Calculation Sheet'!$AW36:$BS36,0)&gt;0,0,1)</f>
      </c>
      <c r="SE36" t="str">
        <f>IF($BM$36="",FALSE,SUMPRODUCT(('Final Calculation Sheet'!$K$4:$K$40=$BM$36)*($SD$4:$SD$40=1))&gt;0)</f>
      </c>
      <c r="SF36" t="str">
        <f>=$SF35+--($SE36)</f>
      </c>
      <c r="SG36" t="str">
        <f>IF(ROW()-3&gt;MAX($SF$4:$SF$40),"",INDEX($BM$4:$BM$40,MATCH(ROW()-3,$SF$4:$SF$40,0)))</f>
      </c>
      <c r="SH36" t="str">
        <f>IF(COUNTIF('Final Calculation Sheet'!$AL36:$AV36,0)+COUNTIF('Final Calculation Sheet'!$AX36:$BS36,0)&gt;0,0,1)</f>
      </c>
      <c r="SI36" t="str">
        <f>IF($BR$36="",FALSE,SUMPRODUCT(('Final Calculation Sheet'!$L$4:$L$40=$BR$36)*($SH$4:$SH$40=1))&gt;0)</f>
      </c>
      <c r="SJ36" t="str">
        <f>=$SJ35+--($SI36)</f>
      </c>
      <c r="SK36" t="str">
        <f>IF(ROW()-3&gt;MAX($SJ$4:$SJ$40),"",INDEX($BR$4:$BR$40,MATCH(ROW()-3,$SJ$4:$SJ$40,0)))</f>
      </c>
      <c r="SL36" t="str">
        <f>IF(COUNTIF('Final Calculation Sheet'!$AL36:$AW36,0)+COUNTIF('Final Calculation Sheet'!$AY36:$BS36,0)&gt;0,0,1)</f>
      </c>
      <c r="SM36" t="str">
        <f>IF($BW$36="",FALSE,SUMPRODUCT(('Final Calculation Sheet'!$M$4:$M$40=$BW$36)*($SL$4:$SL$40=1))&gt;0)</f>
      </c>
      <c r="SN36" t="str">
        <f>=$SN35+--($SM36)</f>
      </c>
      <c r="SO36" t="str">
        <f>IF(ROW()-3&gt;MAX($SN$4:$SN$40),"",INDEX($BW$4:$BW$40,MATCH(ROW()-3,$SN$4:$SN$40,0)))</f>
      </c>
      <c r="SP36" t="str">
        <f>IF(COUNTIF('Final Calculation Sheet'!$AL36:$AX36,0)+COUNTIF('Final Calculation Sheet'!$AZ36:$BS36,0)&gt;0,0,1)</f>
      </c>
      <c r="SQ36" t="str">
        <f>IF($CB$36="",FALSE,SUMPRODUCT(('Final Calculation Sheet'!$N$4:$N$40=$CB$36)*($SP$4:$SP$40=1))&gt;0)</f>
      </c>
      <c r="SR36" t="str">
        <f>=$SR35+--($SQ36)</f>
      </c>
      <c r="SS36" t="str">
        <f>IF(ROW()-3&gt;MAX($SR$4:$SR$40),"",INDEX($CB$4:$CB$40,MATCH(ROW()-3,$SR$4:$SR$40,0)))</f>
      </c>
      <c r="ST36" t="str">
        <f>IF(COUNTIF('Final Calculation Sheet'!$AL36:$AY36,0)+COUNTIF('Final Calculation Sheet'!$BA36:$BS36,0)&gt;0,0,1)</f>
      </c>
      <c r="SU36" t="str">
        <f>IF($CG$36="",FALSE,SUMPRODUCT(('Final Calculation Sheet'!$O$4:$O$40=$CG$36)*($ST$4:$ST$40=1))&gt;0)</f>
      </c>
      <c r="SV36" t="str">
        <f>=$SV35+--($SU36)</f>
      </c>
      <c r="SW36" t="str">
        <f>IF(ROW()-3&gt;MAX($SV$4:$SV$40),"",INDEX($CG$4:$CG$40,MATCH(ROW()-3,$SV$4:$SV$40,0)))</f>
      </c>
      <c r="SX36" t="str">
        <f>IF(COUNTIF('Final Calculation Sheet'!$AL36:$AZ36,0)+COUNTIF('Final Calculation Sheet'!$BB36:$BS36,0)&gt;0,0,1)</f>
      </c>
      <c r="SY36" t="str">
        <f>IF($CL$36="",FALSE,SUMPRODUCT(('Final Calculation Sheet'!$P$4:$P$40=$CL$36)*($SX$4:$SX$40=1))&gt;0)</f>
      </c>
      <c r="SZ36" t="str">
        <f>=$SZ35+--($SY36)</f>
      </c>
      <c r="TA36" t="str">
        <f>IF(ROW()-3&gt;MAX($SZ$4:$SZ$40),"",INDEX($CL$4:$CL$40,MATCH(ROW()-3,$SZ$4:$SZ$40,0)))</f>
      </c>
      <c r="TB36" t="str">
        <f>IF(COUNTIF('Final Calculation Sheet'!$AL36:$BA36,0)+COUNTIF('Final Calculation Sheet'!$BC36:$BS36,0)&gt;0,0,1)</f>
      </c>
      <c r="TC36" t="str">
        <f>IF($CQ$36="",FALSE,SUMPRODUCT(('Final Calculation Sheet'!$Q$4:$Q$40=$CQ$36)*($TB$4:$TB$40=1))&gt;0)</f>
      </c>
      <c r="TD36" t="str">
        <f>=$TD35+--($TC36)</f>
      </c>
      <c r="TE36" t="str">
        <f>IF(ROW()-3&gt;MAX($TD$4:$TD$40),"",INDEX($CQ$4:$CQ$40,MATCH(ROW()-3,$TD$4:$TD$40,0)))</f>
      </c>
      <c r="TF36" t="str">
        <f>IF(COUNTIF('Final Calculation Sheet'!$AL36:$BB36,0)+COUNTIF('Final Calculation Sheet'!$BD36:$BS36,0)&gt;0,0,1)</f>
      </c>
      <c r="TG36" t="str">
        <f>IF($CV$36="",FALSE,SUMPRODUCT(('Final Calculation Sheet'!$R$4:$R$40=$CV$36)*($TF$4:$TF$40=1))&gt;0)</f>
      </c>
      <c r="TH36" t="str">
        <f>=$TH35+--($TG36)</f>
      </c>
      <c r="TI36" t="str">
        <f>IF(ROW()-3&gt;MAX($TH$4:$TH$40),"",INDEX($CV$4:$CV$40,MATCH(ROW()-3,$TH$4:$TH$40,0)))</f>
      </c>
      <c r="TJ36" t="str">
        <f>IF(COUNTIF('Final Calculation Sheet'!$AL36:$BC36,0)+COUNTIF('Final Calculation Sheet'!$BE36:$BS36,0)&gt;0,0,1)</f>
      </c>
      <c r="TK36" t="str">
        <f>IF($DA$36="",FALSE,SUMPRODUCT(('Final Calculation Sheet'!$S$4:$S$40=$DA$36)*($TJ$4:$TJ$40=1))&gt;0)</f>
      </c>
      <c r="TL36" t="str">
        <f>=$TL35+--($TK36)</f>
      </c>
      <c r="TM36" t="str">
        <f>IF(ROW()-3&gt;MAX($TL$4:$TL$40),"",INDEX($DA$4:$DA$40,MATCH(ROW()-3,$TL$4:$TL$40,0)))</f>
      </c>
      <c r="TN36" t="str">
        <f>IF(COUNTIF('Final Calculation Sheet'!$AL36:$BD36,0)+COUNTIF('Final Calculation Sheet'!$BF36:$BS36,0)&gt;0,0,1)</f>
      </c>
      <c r="TO36" t="str">
        <f>IF($DF$36="",FALSE,SUMPRODUCT(('Final Calculation Sheet'!$T$4:$T$40=$DF$36)*($TN$4:$TN$40=1))&gt;0)</f>
      </c>
      <c r="TP36" t="str">
        <f>=$TP35+--($TO36)</f>
      </c>
      <c r="TQ36" t="str">
        <f>IF(ROW()-3&gt;MAX($TP$4:$TP$40),"",INDEX($DF$4:$DF$40,MATCH(ROW()-3,$TP$4:$TP$40,0)))</f>
      </c>
      <c r="TR36" t="str">
        <f>IF(COUNTIF('Final Calculation Sheet'!$AL36:$BE36,0)+COUNTIF('Final Calculation Sheet'!$BG36:$BS36,0)&gt;0,0,1)</f>
      </c>
      <c r="TS36" t="str">
        <f>IF($DK$36="",FALSE,SUMPRODUCT(('Final Calculation Sheet'!$U$4:$U$40=$DK$36)*($TR$4:$TR$40=1))&gt;0)</f>
      </c>
      <c r="TT36" t="str">
        <f>=$TT35+--($TS36)</f>
      </c>
      <c r="TU36" t="str">
        <f>IF(ROW()-3&gt;MAX($TT$4:$TT$40),"",INDEX($DK$4:$DK$40,MATCH(ROW()-3,$TT$4:$TT$40,0)))</f>
      </c>
      <c r="TV36" t="str">
        <f>IF(COUNTIF('Final Calculation Sheet'!$AL36:$BF36,0)+COUNTIF('Final Calculation Sheet'!$BH36:$BS36,0)&gt;0,0,1)</f>
      </c>
      <c r="TW36" t="str">
        <f>IF($DP$36="",FALSE,SUMPRODUCT(('Final Calculation Sheet'!$V$4:$V$40=$DP$36)*($TV$4:$TV$40=1))&gt;0)</f>
      </c>
      <c r="TX36" t="str">
        <f>=$TX35+--($TW36)</f>
      </c>
      <c r="TY36" t="str">
        <f>IF(ROW()-3&gt;MAX($TX$4:$TX$40),"",INDEX($DP$4:$DP$40,MATCH(ROW()-3,$TX$4:$TX$40,0)))</f>
      </c>
      <c r="TZ36" t="str">
        <f>IF(COUNTIF('Final Calculation Sheet'!$AL36:$BG36,0)+COUNTIF('Final Calculation Sheet'!$BI36:$BS36,0)&gt;0,0,1)</f>
      </c>
      <c r="UA36" t="str">
        <f>IF($DU$36="",FALSE,SUMPRODUCT(('Final Calculation Sheet'!$W$4:$W$40=$DU$36)*($TZ$4:$TZ$40=1))&gt;0)</f>
      </c>
      <c r="UB36" t="str">
        <f>=$UB35+--($UA36)</f>
      </c>
      <c r="UC36" t="str">
        <f>IF(ROW()-3&gt;MAX($UB$4:$UB$40),"",INDEX($DU$4:$DU$40,MATCH(ROW()-3,$UB$4:$UB$40,0)))</f>
      </c>
      <c r="UD36" t="str">
        <f>IF(COUNTIF('Final Calculation Sheet'!$AL36:$BH36,0)+COUNTIF('Final Calculation Sheet'!$BJ36:$BS36,0)&gt;0,0,1)</f>
      </c>
      <c r="UE36" t="str">
        <f>IF($DZ$36="",FALSE,SUMPRODUCT(('Final Calculation Sheet'!$X$4:$X$40=$DZ$36)*($UD$4:$UD$40=1))&gt;0)</f>
      </c>
      <c r="UF36" t="str">
        <f>=$UF35+--($UE36)</f>
      </c>
      <c r="UG36" t="str">
        <f>IF(ROW()-3&gt;MAX($UF$4:$UF$40),"",INDEX($DZ$4:$DZ$40,MATCH(ROW()-3,$UF$4:$UF$40,0)))</f>
      </c>
      <c r="UH36" t="str">
        <f>IF(COUNTIF('Final Calculation Sheet'!$AL36:$BI36,0)+COUNTIF('Final Calculation Sheet'!$BK36:$BS36,0)&gt;0,0,1)</f>
      </c>
      <c r="UI36" t="str">
        <f>IF($EE$36="",FALSE,SUMPRODUCT(('Final Calculation Sheet'!$Y$4:$Y$40=$EE$36)*($UH$4:$UH$40=1))&gt;0)</f>
      </c>
      <c r="UJ36" t="str">
        <f>=$UJ35+--($UI36)</f>
      </c>
      <c r="UK36" t="str">
        <f>IF(ROW()-3&gt;MAX($UJ$4:$UJ$40),"",INDEX($EE$4:$EE$40,MATCH(ROW()-3,$UJ$4:$UJ$40,0)))</f>
      </c>
      <c r="UL36" t="str">
        <f>IF(COUNTIF('Final Calculation Sheet'!$AL36:$BJ36,0)+COUNTIF('Final Calculation Sheet'!$BL36:$BS36,0)&gt;0,0,1)</f>
      </c>
      <c r="UM36" t="str">
        <f>IF($EJ$36="",FALSE,SUMPRODUCT(('Final Calculation Sheet'!$Z$4:$Z$40=$EJ$36)*($UL$4:$UL$40=1))&gt;0)</f>
      </c>
      <c r="UN36" t="str">
        <f>=$UN35+--($UM36)</f>
      </c>
      <c r="UO36" t="str">
        <f>IF(ROW()-3&gt;MAX($UN$4:$UN$40),"",INDEX($EJ$4:$EJ$40,MATCH(ROW()-3,$UN$4:$UN$40,0)))</f>
      </c>
      <c r="UP36" t="str">
        <f>IF(COUNTIF('Final Calculation Sheet'!$AL36:$BK36,0)+COUNTIF('Final Calculation Sheet'!$BM36:$BS36,0)&gt;0,0,1)</f>
      </c>
      <c r="UQ36" t="str">
        <f>IF($EO$36="",FALSE,SUMPRODUCT(('Final Calculation Sheet'!$AA$4:$AA$40=$EO$36)*($UP$4:$UP$40=1))&gt;0)</f>
      </c>
      <c r="UR36" t="str">
        <f>=$UR35+--($UQ36)</f>
      </c>
      <c r="US36" t="str">
        <f>IF(ROW()-3&gt;MAX($UR$4:$UR$40),"",INDEX($EO$4:$EO$40,MATCH(ROW()-3,$UR$4:$UR$40,0)))</f>
      </c>
      <c r="UT36" t="str">
        <f>IF(COUNTIF('Final Calculation Sheet'!$AL36:$BL36,0)+COUNTIF('Final Calculation Sheet'!$BN36:$BS36,0)&gt;0,0,1)</f>
      </c>
      <c r="UU36" t="str">
        <f>IF($ET$36="",FALSE,SUMPRODUCT(('Final Calculation Sheet'!$AB$4:$AB$40=$ET$36)*($UT$4:$UT$40=1))&gt;0)</f>
      </c>
      <c r="UV36" t="str">
        <f>=$UV35+--($UU36)</f>
      </c>
      <c r="UW36" t="str">
        <f>IF(ROW()-3&gt;MAX($UV$4:$UV$40),"",INDEX($ET$4:$ET$40,MATCH(ROW()-3,$UV$4:$UV$40,0)))</f>
      </c>
      <c r="UX36" t="str">
        <f>IF(COUNTIF('Final Calculation Sheet'!$AL36:$BM36,0)+COUNTIF('Final Calculation Sheet'!$BO36:$BS36,0)&gt;0,0,1)</f>
      </c>
      <c r="UY36" t="str">
        <f>IF($EY$36="",FALSE,SUMPRODUCT(('Final Calculation Sheet'!$AC$4:$AC$40=$EY$36)*($UX$4:$UX$40=1))&gt;0)</f>
      </c>
      <c r="UZ36" t="str">
        <f>=$UZ35+--($UY36)</f>
      </c>
      <c r="VA36" t="str">
        <f>IF(ROW()-3&gt;MAX($UZ$4:$UZ$40),"",INDEX($EY$4:$EY$40,MATCH(ROW()-3,$UZ$4:$UZ$40,0)))</f>
      </c>
      <c r="VB36" t="str">
        <f>IF(COUNTIF('Final Calculation Sheet'!$AL36:$BN36,0)+COUNTIF('Final Calculation Sheet'!$BP36:$BS36,0)&gt;0,0,1)</f>
      </c>
      <c r="VC36" t="str">
        <f>IF($FD$36="",FALSE,SUMPRODUCT(('Final Calculation Sheet'!$AD$4:$AD$40=$FD$36)*($VB$4:$VB$40=1))&gt;0)</f>
      </c>
      <c r="VD36" t="str">
        <f>=$VD35+--($VC36)</f>
      </c>
      <c r="VE36" t="str">
        <f>IF(ROW()-3&gt;MAX($VD$4:$VD$40),"",INDEX($FD$4:$FD$40,MATCH(ROW()-3,$VD$4:$VD$40,0)))</f>
      </c>
      <c r="VF36" t="str">
        <f>IF(COUNTIF('Final Calculation Sheet'!$AL36:$BO36,0)+COUNTIF('Final Calculation Sheet'!$BQ36:$BS36,0)&gt;0,0,1)</f>
      </c>
      <c r="VG36" t="str">
        <f>IF($FI$36="",FALSE,SUMPRODUCT(('Final Calculation Sheet'!$AE$4:$AE$40=$FI$36)*($VF$4:$VF$40=1))&gt;0)</f>
      </c>
      <c r="VH36" t="str">
        <f>=$VH35+--($VG36)</f>
      </c>
      <c r="VI36" t="str">
        <f>IF(ROW()-3&gt;MAX($VH$4:$VH$40),"",INDEX($FI$4:$FI$40,MATCH(ROW()-3,$VH$4:$VH$40,0)))</f>
      </c>
      <c r="VJ36" t="str">
        <f>IF(COUNTIF('Final Calculation Sheet'!$AL36:$BP36,0)+COUNTIF('Final Calculation Sheet'!$BR36:$BS36,0)&gt;0,0,1)</f>
      </c>
      <c r="VK36" t="str">
        <f>IF($FN$36="",FALSE,SUMPRODUCT(('Final Calculation Sheet'!$AF$4:$AF$40=$FN$36)*($VJ$4:$VJ$40=1))&gt;0)</f>
      </c>
      <c r="VL36" t="str">
        <f>=$VL35+--($VK36)</f>
      </c>
      <c r="VM36" t="str">
        <f>IF(ROW()-3&gt;MAX($VL$4:$VL$40),"",INDEX($FN$4:$FN$40,MATCH(ROW()-3,$VL$4:$VL$40,0)))</f>
      </c>
      <c r="VN36" t="str">
        <f>IF(COUNTIF('Final Calculation Sheet'!$AL36:$BQ36,0)+COUNTIF('Final Calculation Sheet'!$BS36:$BS36,0)&gt;0,0,1)</f>
      </c>
      <c r="VO36" t="str">
        <f>IF($FS$36="",FALSE,SUMPRODUCT(('Final Calculation Sheet'!$AG$4:$AG$40=$FS$36)*($VN$4:$VN$40=1))&gt;0)</f>
      </c>
      <c r="VP36" t="str">
        <f>=$VP35+--($VO36)</f>
      </c>
      <c r="VQ36" t="str">
        <f>IF(ROW()-3&gt;MAX($VP$4:$VP$40),"",INDEX($FS$4:$FS$40,MATCH(ROW()-3,$VP$4:$VP$40,0)))</f>
      </c>
      <c r="VR36" t="str">
        <f>IF(COUNTIF('Final Calculation Sheet'!$AL36:$BR36,0)&gt;0,0,1)</f>
      </c>
      <c r="VS36" t="str">
        <f>IF($QO$36="",FALSE,SUMPRODUCT(('Final Calculation Sheet'!$AH$4:$AH$40=$QO$36)*($VR$4:$VR$40=1))&gt;0)</f>
      </c>
      <c r="VT36" t="str">
        <f>=$VT35+--($VS36)</f>
      </c>
      <c r="VU36" t="str">
        <f>IF(ROW()-3&gt;MAX($VT$4:$VT$40),"",INDEX($QO$4:$QO$40,MATCH(ROW()-3,$VT$4:$VT$40,0)))</f>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IF(ROW()-3&gt;MAX($LC$4:$LC$40),"",INDEX($FS$4:$FS$40,MATCH(ROW()-3,$LC$4:$LC$40,0)))</f>
        <v/>
      </c>
      <c r="LE37">
        <f>IF(COUNTIF('Buyer Groups'!DH37:EN37,0)&gt;0,0,1)</f>
        <v/>
      </c>
      <c r="LF37">
        <f>IF($O$37="",FALSE,SUMPRODUCT(('Final Calculation Sheet'!$F$4:$F$40=$O$37)*($LE$6:$LE$42=1))&gt;0)</f>
        <v/>
      </c>
      <c r="LG37">
        <f>$LG$36+--($LF37)</f>
        <v/>
      </c>
      <c r="LH37">
        <f>IF(ROW()-3&gt;MAX($LG$4:$LG$40),"",INDEX($O$4:$O$40,MATCH(ROW()-3,$LG$4:$LG$40,0)))</f>
        <v/>
      </c>
      <c r="LI37">
        <f>IF(COUNTIF('Buyer Groups'!DG37:DG37,0)+COUNTIF('Buyer Groups'!DI37:EN37,0)&gt;0,0,1)</f>
        <v/>
      </c>
      <c r="LJ37">
        <f>IF($T$37="",FALSE,SUMPRODUCT(('Final Calculation Sheet'!$G$4:$G$40=$T$37)*($LI$6:$LI$42=1))&gt;0)</f>
        <v/>
      </c>
      <c r="LK37">
        <f>$LK$36+--($LJ37)</f>
        <v/>
      </c>
      <c r="LL37">
        <f>IF(ROW()-3&gt;MAX($LK$4:$LK$40),"",INDEX($T$4:$T$40,MATCH(ROW()-3,$LK$4:$LK$40,0)))</f>
        <v/>
      </c>
      <c r="LM37">
        <f>IF(COUNTIF('Buyer Groups'!DG37:DH37,0)+COUNTIF('Buyer Groups'!DJ37:EN37,0)&gt;0,0,1)</f>
        <v/>
      </c>
      <c r="LN37">
        <f>IF($Y$37="",FALSE,SUMPRODUCT(('Final Calculation Sheet'!$B$4:$B$40=$Y$37)*($LM$6:$LM$42=1))&gt;0)</f>
        <v/>
      </c>
      <c r="LO37">
        <f>$LO$36+--($LN37)</f>
        <v/>
      </c>
      <c r="LP37">
        <f>IF(ROW()-3&gt;MAX($LO$4:$LO$40),"",INDEX($Y$4:$Y$40,MATCH(ROW()-3,$LO$4:$LO$40,0)))</f>
        <v/>
      </c>
      <c r="LQ37">
        <f>IF(COUNTIF('Buyer Groups'!DG37:DI37,0)+COUNTIF('Buyer Groups'!DK37:EN37,0)&gt;0,0,1)</f>
        <v/>
      </c>
      <c r="LR37">
        <f>IF($AD$37="",FALSE,SUMPRODUCT(('Final Calculation Sheet'!$D$4:$D$40=$AD$37)*($LQ$6:$LQ$42=1))&gt;0)</f>
        <v/>
      </c>
      <c r="LS37">
        <f>$LS$36+--($LR37)</f>
        <v/>
      </c>
      <c r="LT37">
        <f>IF(ROW()-3&gt;MAX($LS$4:$LS$40),"",INDEX($AD$4:$AD$40,MATCH(ROW()-3,$LS$4:$LS$40,0)))</f>
        <v/>
      </c>
      <c r="LU37">
        <f>IF(COUNTIF('Buyer Groups'!DG37:DJ37,0)+COUNTIF('Buyer Groups'!DL37:EN37,0)&gt;0,0,1)</f>
        <v/>
      </c>
      <c r="LV37">
        <f>IF($AI$37="",FALSE,SUMPRODUCT(('Final Calculation Sheet'!$A$4:$A$40=$AI$37)*($LU$6:$LU$42=1))&gt;0)</f>
        <v/>
      </c>
      <c r="LW37">
        <f>$LW$36+--($LV37)</f>
        <v/>
      </c>
      <c r="LX37">
        <f>IF(ROW()-3&gt;MAX($LW$4:$LW$40),"",INDEX($AI$4:$AI$40,MATCH(ROW()-3,$LW$4:$LW$40,0)))</f>
        <v/>
      </c>
      <c r="LY37">
        <f>IF(COUNTIF('Buyer Groups'!DG37:DK37,0)+COUNTIF('Buyer Groups'!DM37:EN37,0)&gt;0,0,1)</f>
        <v/>
      </c>
      <c r="LZ37">
        <f>IF($AN$37="",FALSE,SUMPRODUCT(('Final Calculation Sheet'!$E$4:$E$40=$AN$37)*($LY$6:$LY$42=1))&gt;0)</f>
        <v/>
      </c>
      <c r="MA37">
        <f>$MA$36+--($LZ37)</f>
        <v/>
      </c>
      <c r="MB37">
        <f>IF(ROW()-3&gt;MAX($MA$4:$MA$40),"",INDEX($AN$4:$AN$40,MATCH(ROW()-3,$MA$4:$MA$40,0)))</f>
        <v/>
      </c>
      <c r="MC37">
        <f>IF(COUNTIF('Buyer Groups'!DG37:DL37,0)+COUNTIF('Buyer Groups'!DN37:EN37,0)&gt;0,0,1)</f>
        <v/>
      </c>
      <c r="MD37">
        <f>IF($AS$37="",FALSE,SUMPRODUCT(('Final Calculation Sheet'!$C$4:$C$40=$AS$37)*($MC$6:$MC$42=1))&gt;0)</f>
        <v/>
      </c>
      <c r="ME37">
        <f>$ME$36+--($MD37)</f>
        <v/>
      </c>
      <c r="MF37">
        <f>IF(ROW()-3&gt;MAX($ME$4:$ME$40),"",INDEX($AS$4:$AS$40,MATCH(ROW()-3,$ME$4:$ME$40,0)))</f>
        <v/>
      </c>
      <c r="MG37">
        <f>IF(COUNTIF('Buyer Groups'!DG37:DM37,0)+COUNTIF('Buyer Groups'!DO37:EN37,0)&gt;0,0,1)</f>
        <v/>
      </c>
      <c r="MH37">
        <f>IF($AX$37="",FALSE,SUMPRODUCT(('Final Calculation Sheet'!$H$4:$H$40=$AX$37)*($MG$6:$MG$42=1))&gt;0)</f>
        <v/>
      </c>
      <c r="MI37">
        <f>$MI$36+--($MH37)</f>
        <v/>
      </c>
      <c r="MJ37">
        <f>IF(ROW()-3&gt;MAX($MI$4:$MI$40),"",INDEX($AX$4:$AX$40,MATCH(ROW()-3,$MI$4:$MI$40,0)))</f>
        <v/>
      </c>
      <c r="MK37">
        <f>IF(COUNTIF('Buyer Groups'!DG37:DN37,0)+COUNTIF('Buyer Groups'!DP37:EN37,0)&gt;0,0,1)</f>
        <v/>
      </c>
      <c r="ML37">
        <f>IF($BC$37="",FALSE,SUMPRODUCT(('Final Calculation Sheet'!$I$4:$I$40=$BC$37)*($MK$6:$MK$42=1))&gt;0)</f>
        <v/>
      </c>
      <c r="MM37">
        <f>$MM$36+--($ML37)</f>
        <v/>
      </c>
      <c r="MN37">
        <f>IF(ROW()-3&gt;MAX($MM$4:$MM$40),"",INDEX($BC$4:$BC$40,MATCH(ROW()-3,$MM$4:$MM$40,0)))</f>
        <v/>
      </c>
      <c r="MO37">
        <f>IF(COUNTIF('Buyer Groups'!DG37:DO37,0)+COUNTIF('Buyer Groups'!DQ37:EN37,0)&gt;0,0,1)</f>
        <v/>
      </c>
      <c r="MP37">
        <f>IF($BH$37="",FALSE,SUMPRODUCT(('Final Calculation Sheet'!$J$4:$J$40=$BH$37)*($MO$6:$MO$42=1))&gt;0)</f>
        <v/>
      </c>
      <c r="MQ37">
        <f>$MQ$36+--($MP37)</f>
        <v/>
      </c>
      <c r="MR37">
        <f>IF(ROW()-3&gt;MAX($MQ$4:$MQ$40),"",INDEX($BH$4:$BH$40,MATCH(ROW()-3,$MQ$4:$MQ$40,0)))</f>
        <v/>
      </c>
      <c r="MS37">
        <f>IF(COUNTIF('Buyer Groups'!DG37:DP37,0)+COUNTIF('Buyer Groups'!DR37:EN37,0)&gt;0,0,1)</f>
        <v/>
      </c>
      <c r="MT37">
        <f>IF($BM$37="",FALSE,SUMPRODUCT(('Final Calculation Sheet'!$K$4:$K$40=$BM$37)*($MS$6:$MS$42=1))&gt;0)</f>
        <v/>
      </c>
      <c r="MU37">
        <f>$MU$36+--($MT37)</f>
        <v/>
      </c>
      <c r="MV37">
        <f>IF(ROW()-3&gt;MAX($MU$4:$MU$40),"",INDEX($BM$4:$BM$40,MATCH(ROW()-3,$MU$4:$MU$40,0)))</f>
        <v/>
      </c>
      <c r="MW37">
        <f>IF(COUNTIF('Buyer Groups'!DG37:DQ37,0)+COUNTIF('Buyer Groups'!DS37:EN37,0)&gt;0,0,1)</f>
        <v/>
      </c>
      <c r="MX37">
        <f>IF($BR$37="",FALSE,SUMPRODUCT(('Final Calculation Sheet'!$L$4:$L$40=$BR$37)*($MW$6:$MW$42=1))&gt;0)</f>
        <v/>
      </c>
      <c r="MY37">
        <f>$MY$36+--($MX37)</f>
        <v/>
      </c>
      <c r="MZ37">
        <f>IF(ROW()-3&gt;MAX($MY$4:$MY$40),"",INDEX($BR$4:$BR$40,MATCH(ROW()-3,$MY$4:$MY$40,0)))</f>
        <v/>
      </c>
      <c r="NA37">
        <f>IF(COUNTIF('Buyer Groups'!DG37:DR37,0)+COUNTIF('Buyer Groups'!DT37:EN37,0)&gt;0,0,1)</f>
        <v/>
      </c>
      <c r="NB37">
        <f>IF($BW$37="",FALSE,SUMPRODUCT(('Final Calculation Sheet'!$M$4:$M$40=$BW$37)*($NA$6:$NA$42=1))&gt;0)</f>
        <v/>
      </c>
      <c r="NC37">
        <f>$NC$36+--($NB37)</f>
        <v/>
      </c>
      <c r="ND37">
        <f>IF(ROW()-3&gt;MAX($NC$4:$NC$40),"",INDEX($BW$4:$BW$40,MATCH(ROW()-3,$NC$4:$NC$40,0)))</f>
        <v/>
      </c>
      <c r="NE37">
        <f>IF(COUNTIF('Buyer Groups'!DG37:DS37,0)+COUNTIF('Buyer Groups'!DU37:EN37,0)&gt;0,0,1)</f>
        <v/>
      </c>
      <c r="NF37">
        <f>IF($CB$37="",FALSE,SUMPRODUCT(('Final Calculation Sheet'!$N$4:$N$40=$CB$37)*($NE$6:$NE$42=1))&gt;0)</f>
        <v/>
      </c>
      <c r="NG37">
        <f>$NG$36+--($NF37)</f>
        <v/>
      </c>
      <c r="NH37">
        <f>IF(ROW()-3&gt;MAX($NG$4:$NG$40),"",INDEX($CB$4:$CB$40,MATCH(ROW()-3,$NG$4:$NG$40,0)))</f>
        <v/>
      </c>
      <c r="NI37">
        <f>IF(COUNTIF('Buyer Groups'!DG37:DT37,0)+COUNTIF('Buyer Groups'!DV37:EN37,0)&gt;0,0,1)</f>
        <v/>
      </c>
      <c r="NJ37">
        <f>IF($CG$37="",FALSE,SUMPRODUCT(('Final Calculation Sheet'!$O$4:$O$40=$CG$37)*($NI$6:$NI$42=1))&gt;0)</f>
        <v/>
      </c>
      <c r="NK37">
        <f>$NK$36+--($NJ37)</f>
        <v/>
      </c>
      <c r="NL37">
        <f>IF(ROW()-3&gt;MAX($NK$4:$NK$40),"",INDEX($CG$4:$CG$40,MATCH(ROW()-3,$NK$4:$NK$40,0)))</f>
        <v/>
      </c>
      <c r="NM37">
        <f>IF(COUNTIF('Buyer Groups'!DG37:DU37,0)+COUNTIF('Buyer Groups'!DW37:EN37,0)&gt;0,0,1)</f>
        <v/>
      </c>
      <c r="NN37">
        <f>IF($CL$37="",FALSE,SUMPRODUCT(('Final Calculation Sheet'!$P$4:$P$40=$CL$37)*($NM$6:$NM$42=1))&gt;0)</f>
        <v/>
      </c>
      <c r="NO37">
        <f>$NO$36+--($NN37)</f>
        <v/>
      </c>
      <c r="NP37">
        <f>IF(ROW()-3&gt;MAX($NO$4:$NO$40),"",INDEX($CL$4:$CL$40,MATCH(ROW()-3,$NO$4:$NO$40,0)))</f>
        <v/>
      </c>
      <c r="NQ37">
        <f>IF(COUNTIF('Buyer Groups'!DG37:DV37,0)+COUNTIF('Buyer Groups'!DX37:EN37,0)&gt;0,0,1)</f>
        <v/>
      </c>
      <c r="NR37">
        <f>IF($CQ$37="",FALSE,SUMPRODUCT(('Final Calculation Sheet'!$Q$4:$Q$40=$CQ$37)*($NQ$6:$NQ$42=1))&gt;0)</f>
        <v/>
      </c>
      <c r="NS37">
        <f>$NS$36+--($NR37)</f>
        <v/>
      </c>
      <c r="NT37">
        <f>IF(ROW()-3&gt;MAX($NS$4:$NS$40),"",INDEX($CQ$4:$CQ$40,MATCH(ROW()-3,$NS$4:$NS$40,0)))</f>
        <v/>
      </c>
      <c r="NU37">
        <f>IF(COUNTIF('Buyer Groups'!DG37:DW37,0)+COUNTIF('Buyer Groups'!DY37:EN37,0)&gt;0,0,1)</f>
        <v/>
      </c>
      <c r="NV37">
        <f>IF($CV$37="",FALSE,SUMPRODUCT(('Final Calculation Sheet'!$R$4:$R$40=$CV$37)*($NU$6:$NU$42=1))&gt;0)</f>
        <v/>
      </c>
      <c r="NW37">
        <f>$NW$36+--($NV37)</f>
        <v/>
      </c>
      <c r="NX37">
        <f>IF(ROW()-3&gt;MAX($NW$4:$NW$40),"",INDEX($CV$4:$CV$40,MATCH(ROW()-3,$NW$4:$NW$40,0)))</f>
        <v/>
      </c>
      <c r="NY37">
        <f>IF(COUNTIF('Buyer Groups'!DG37:DX37,0)+COUNTIF('Buyer Groups'!DZ37:EN37,0)&gt;0,0,1)</f>
        <v/>
      </c>
      <c r="NZ37">
        <f>IF($DA$37="",FALSE,SUMPRODUCT(('Final Calculation Sheet'!$S$4:$S$40=$DA$37)*($NY$6:$NY$42=1))&gt;0)</f>
        <v/>
      </c>
      <c r="OA37">
        <f>$OA$36+--($NZ37)</f>
        <v/>
      </c>
      <c r="OB37">
        <f>IF(ROW()-3&gt;MAX($OA$4:$OA$40),"",INDEX($DA$4:$DA$40,MATCH(ROW()-3,$OA$4:$OA$40,0)))</f>
        <v/>
      </c>
      <c r="OC37">
        <f>IF(COUNTIF('Buyer Groups'!DG37:DY37,0)+COUNTIF('Buyer Groups'!EA37:EN37,0)&gt;0,0,1)</f>
        <v/>
      </c>
      <c r="OD37">
        <f>IF($DF$37="",FALSE,SUMPRODUCT(('Final Calculation Sheet'!$T$4:$T$40=$DF$37)*($OC$6:$OC$42=1))&gt;0)</f>
        <v/>
      </c>
      <c r="OE37">
        <f>$OE$36+--($OD37)</f>
        <v/>
      </c>
      <c r="OF37">
        <f>IF(ROW()-3&gt;MAX($OE$4:$OE$40),"",INDEX($DF$4:$DF$40,MATCH(ROW()-3,$OE$4:$OE$40,0)))</f>
        <v/>
      </c>
      <c r="OG37">
        <f>IF(COUNTIF('Buyer Groups'!DG37:DZ37,0)+COUNTIF('Buyer Groups'!EB37:EN37,0)&gt;0,0,1)</f>
        <v/>
      </c>
      <c r="OH37">
        <f>IF($DK$37="",FALSE,SUMPRODUCT(('Final Calculation Sheet'!$U$4:$U$40=$DK$37)*($OG$6:$OG$42=1))&gt;0)</f>
        <v/>
      </c>
      <c r="OI37">
        <f>$OI$36+--($OH37)</f>
        <v/>
      </c>
      <c r="OJ37">
        <f>IF(ROW()-3&gt;MAX($OI$4:$OI$40),"",INDEX($DK$4:$DK$40,MATCH(ROW()-3,$OI$4:$OI$40,0)))</f>
        <v/>
      </c>
      <c r="OK37">
        <f>IF(COUNTIF('Buyer Groups'!DG37:EA37,0)+COUNTIF('Buyer Groups'!EC37:EN37,0)&gt;0,0,1)</f>
        <v/>
      </c>
      <c r="OL37">
        <f>IF($DP$37="",FALSE,SUMPRODUCT(('Final Calculation Sheet'!$V$4:$V$40=$DP$37)*($OK$6:$OK$42=1))&gt;0)</f>
        <v/>
      </c>
      <c r="OM37">
        <f>$OM$36+--($OL37)</f>
        <v/>
      </c>
      <c r="ON37">
        <f>IF(ROW()-3&gt;MAX($OM$4:$OM$40),"",INDEX($DP$4:$DP$40,MATCH(ROW()-3,$OM$4:$OM$40,0)))</f>
        <v/>
      </c>
      <c r="OO37">
        <f>IF(COUNTIF('Buyer Groups'!DG37:EB37,0)+COUNTIF('Buyer Groups'!ED37:EN37,0)&gt;0,0,1)</f>
        <v/>
      </c>
      <c r="OP37">
        <f>IF($DU$37="",FALSE,SUMPRODUCT(('Final Calculation Sheet'!$W$4:$W$40=$DU$37)*($OO$6:$OO$42=1))&gt;0)</f>
        <v/>
      </c>
      <c r="OQ37">
        <f>$OQ$36+--($OP37)</f>
        <v/>
      </c>
      <c r="OR37">
        <f>IF(ROW()-3&gt;MAX($OQ$4:$OQ$40),"",INDEX($DU$4:$DU$40,MATCH(ROW()-3,$OQ$4:$OQ$40,0)))</f>
        <v/>
      </c>
      <c r="OS37">
        <f>IF(COUNTIF('Buyer Groups'!DG37:EC37,0)+COUNTIF('Buyer Groups'!EE37:EN37,0)&gt;0,0,1)</f>
        <v/>
      </c>
      <c r="OT37">
        <f>IF($DZ$37="",FALSE,SUMPRODUCT(('Final Calculation Sheet'!$X$4:$X$40=$DZ$37)*($OS$6:$OS$42=1))&gt;0)</f>
        <v/>
      </c>
      <c r="OU37">
        <f>$OU$36+--($OT37)</f>
        <v/>
      </c>
      <c r="OV37">
        <f>IF(ROW()-3&gt;MAX($OU$4:$OU$40),"",INDEX($DZ$4:$DZ$40,MATCH(ROW()-3,$OU$4:$OU$40,0)))</f>
        <v/>
      </c>
      <c r="OW37">
        <f>IF(COUNTIF('Buyer Groups'!DG37:ED37,0)+COUNTIF('Buyer Groups'!EF37:EN37,0)&gt;0,0,1)</f>
        <v/>
      </c>
      <c r="OX37">
        <f>IF($EE$37="",FALSE,SUMPRODUCT(('Final Calculation Sheet'!$Y$4:$Y$40=$EE$37)*($OW$6:$OW$42=1))&gt;0)</f>
        <v/>
      </c>
      <c r="OY37">
        <f>$OY$36+--($OX37)</f>
        <v/>
      </c>
      <c r="OZ37">
        <f>IF(ROW()-3&gt;MAX($OY$4:$OY$40),"",INDEX($EE$4:$EE$40,MATCH(ROW()-3,$OY$4:$OY$40,0)))</f>
        <v/>
      </c>
      <c r="PA37">
        <f>IF(COUNTIF('Buyer Groups'!DG37:EE37,0)+COUNTIF('Buyer Groups'!EG37:EN37,0)&gt;0,0,1)</f>
        <v/>
      </c>
      <c r="PB37">
        <f>IF($EJ$37="",FALSE,SUMPRODUCT(('Final Calculation Sheet'!$Z$4:$Z$40=$EJ$37)*($PA$6:$PA$42=1))&gt;0)</f>
        <v/>
      </c>
      <c r="PC37">
        <f>$PC$36+--($PB37)</f>
        <v/>
      </c>
      <c r="PD37">
        <f>IF(ROW()-3&gt;MAX($PC$4:$PC$40),"",INDEX($EJ$4:$EJ$40,MATCH(ROW()-3,$PC$4:$PC$40,0)))</f>
        <v/>
      </c>
      <c r="PE37">
        <f>IF(COUNTIF('Buyer Groups'!DG37:EF37,0)+COUNTIF('Buyer Groups'!EH37:EN37,0)&gt;0,0,1)</f>
        <v/>
      </c>
      <c r="PF37">
        <f>IF($EO$37="",FALSE,SUMPRODUCT(('Final Calculation Sheet'!$AA$4:$AA$40=$EO$37)*($PE$6:$PE$42=1))&gt;0)</f>
        <v/>
      </c>
      <c r="PG37">
        <f>$PG$36+--($PF37)</f>
        <v/>
      </c>
      <c r="PH37">
        <f>IF(ROW()-3&gt;MAX($PG$4:$PG$40),"",INDEX($EO$4:$EO$40,MATCH(ROW()-3,$PG$4:$PG$40,0)))</f>
        <v/>
      </c>
      <c r="PI37">
        <f>IF(COUNTIF('Buyer Groups'!DG37:EG37,0)+COUNTIF('Buyer Groups'!EI37:EN37,0)&gt;0,0,1)</f>
        <v/>
      </c>
      <c r="PJ37">
        <f>IF($ET$37="",FALSE,SUMPRODUCT(('Final Calculation Sheet'!$AB$4:$AB$40=$ET$37)*($PI$6:$PI$42=1))&gt;0)</f>
        <v/>
      </c>
      <c r="PK37">
        <f>$PK$36+--($PJ37)</f>
        <v/>
      </c>
      <c r="PL37">
        <f>IF(ROW()-3&gt;MAX($PK$4:$PK$40),"",INDEX($ET$4:$ET$40,MATCH(ROW()-3,$PK$4:$PK$40,0)))</f>
        <v/>
      </c>
      <c r="PM37">
        <f>IF(COUNTIF('Buyer Groups'!DG37:EH37,0)+COUNTIF('Buyer Groups'!EJ37:EN37,0)&gt;0,0,1)</f>
        <v/>
      </c>
      <c r="PN37">
        <f>IF($EY$37="",FALSE,SUMPRODUCT(('Final Calculation Sheet'!$AC$4:$AC$40=$EY$37)*($PM$6:$PM$42=1))&gt;0)</f>
        <v/>
      </c>
      <c r="PO37">
        <f>$PO$36+--($PN37)</f>
        <v/>
      </c>
      <c r="PP37">
        <f>IF(ROW()-3&gt;MAX($PO$4:$PO$40),"",INDEX($EY$4:$EY$40,MATCH(ROW()-3,$PO$4:$PO$40,0)))</f>
        <v/>
      </c>
      <c r="PQ37">
        <f>IF(COUNTIF('Buyer Groups'!DG37:EI37,0)+COUNTIF('Buyer Groups'!EK37:EN37,0)&gt;0,0,1)</f>
        <v/>
      </c>
      <c r="PR37">
        <f>IF($FD$37="",FALSE,SUMPRODUCT(('Final Calculation Sheet'!$AD$4:$AD$40=$FD$37)*($PQ$6:$PQ$42=1))&gt;0)</f>
        <v/>
      </c>
      <c r="PS37">
        <f>$PS$36+--($PR37)</f>
        <v/>
      </c>
      <c r="PT37">
        <f>IF(ROW()-3&gt;MAX($PS$4:$PS$40),"",INDEX($FD$4:$FD$40,MATCH(ROW()-3,$PS$4:$PS$40,0)))</f>
        <v/>
      </c>
      <c r="PU37">
        <f>IF(COUNTIF('Buyer Groups'!DG37:EJ37,0)+COUNTIF('Buyer Groups'!EL37:EN37,0)&gt;0,0,1)</f>
        <v/>
      </c>
      <c r="PV37">
        <f>IF($FX$37="",FALSE,SUMPRODUCT((IF('Final Calculation Sheet'!$AD$4:$AD$40&lt;=5,"SETTLED","OUTSTANDING")=$FX$37)*($PU$6:$PU$42=1))&gt;0)</f>
        <v/>
      </c>
      <c r="PW37">
        <f>$PW$36+--($PV37)</f>
        <v/>
      </c>
      <c r="PX37">
        <f>IF(ROW()-3&gt;MAX($PW$4:$PW$40),"",INDEX($FX$4:$FX$40,MATCH(ROW()-3,$PW$4:$PW$40,0)))</f>
        <v/>
      </c>
      <c r="PY37">
        <f>IF(COUNTIF('Buyer Groups'!DG37:EK37,0)+COUNTIF('Buyer Groups'!EM37:EN37,0)&gt;0,0,1)</f>
        <v/>
      </c>
      <c r="PZ37">
        <f>IF($FI$37="",FALSE,SUMPRODUCT(('Final Calculation Sheet'!$AF$4:$AF$40=$FI$37)*($PY$6:$PY$42=1))&gt;0)</f>
        <v/>
      </c>
      <c r="QA37">
        <f>$QA$36+--($PZ37)</f>
        <v/>
      </c>
      <c r="QB37">
        <f>IF(ROW()-3&gt;MAX($QA$4:$QA$40),"",INDEX($FI$4:$FI$40,MATCH(ROW()-3,$QA$4:$QA$40,0)))</f>
        <v/>
      </c>
      <c r="QC37">
        <f>IF(COUNTIF('Buyer Groups'!DG37:EL37,0)+COUNTIF('Buyer Groups'!EN37:EN37,0)&gt;0,0,1)</f>
        <v/>
      </c>
      <c r="QD37">
        <f>IF($FN$37="",FALSE,SUMPRODUCT(('Final Calculation Sheet'!$AG$4:$AG$40=$FN$37)*($QC$6:$QC$42=1))&gt;0)</f>
        <v/>
      </c>
      <c r="QE37">
        <f>$QE$36+--($QD37)</f>
        <v/>
      </c>
      <c r="QF37">
        <f>IF(ROW()-3&gt;MAX($QE$4:$QE$40),"",INDEX($FN$4:$FN$40,MATCH(ROW()-3,$QE$4:$QE$40,0)))</f>
        <v/>
      </c>
      <c r="QG37">
        <f>IF(COUNTIF('Buyer Groups'!DG37:EM37,0)&gt;0,0,1)</f>
        <v/>
      </c>
      <c r="QH37">
        <f>IF($FS$37="",FALSE,SUMPRODUCT(('Final Calculation Sheet'!$AH$4:$AH$40=$FS$37)*($QG$6:$QG$42=1))&gt;0)</f>
        <v/>
      </c>
      <c r="QI37">
        <f>$QI$36+--($QH37)</f>
        <v/>
      </c>
      <c r="QJ37">
        <f>IF(ROW()-3&gt;MAX($QI$4:$QI$40),"",INDEX($FS$4:$FS$40,MATCH(ROW()-3,$QI$4:$QI$40,0)))</f>
        <v/>
      </c>
      <c r="QK37" t="str">
        <f>IF('Final Calculation Sheet'!$AH$37="","",'Final Calculation Sheet'!$AH$37)</f>
      </c>
      <c r="QL37" t="str">
        <f>IF(QK37="","",COUNTIFS(QK$4:QK$40,"&lt;"&amp;QK37,QK$4:QK$40,"&lt;&gt;"&amp;"")+COUNTIF(QK$4:QK37,QK37))</f>
      </c>
      <c r="QM37" t="str">
        <f>IF(ROW()-3&gt;COUNTIF(QK$4:QK$40,"&lt;&gt;"&amp;""),"",INDEX(QK$4:QK$40,MATCH(ROW()-3,QL$4:QL$40,0)))</f>
      </c>
      <c r="QN37" t="str">
        <f>=QN36+F(AND(QM37&lt;&gt;"",COUNTIF(QM$4:QM37,QM37)=1),1,0)</f>
      </c>
      <c r="QO37" t="str">
        <f>IF(ROW()-3&gt;MAX(QN$4:QN$40),"",INDEX(QM$4:QM$40,MATCH(ROW()-3,QN$4:QN$40,0)))</f>
      </c>
      <c r="QP37" t="str">
        <f>IF(COUNTIF('Final Calculation Sheet'!$AM37:$BS37,0)&gt;0,0,1)</f>
      </c>
      <c r="QQ37" t="str">
        <f>IF($AI$37="",FALSE,SUMPRODUCT(('Final Calculation Sheet'!$A$4:$A$40=$AI$37)*($QP$4:$QP$40=1))&gt;0)</f>
      </c>
      <c r="QR37" t="str">
        <f>=$QR36+--($QQ37)</f>
      </c>
      <c r="QS37" t="str">
        <f>IF(ROW()-3&gt;MAX($QR$4:$QR$40),"",INDEX($AI$4:$AI$40,MATCH(ROW()-3,$QR$4:$QR$40,0)))</f>
      </c>
      <c r="QT37" t="str">
        <f>IF(COUNTIF('Final Calculation Sheet'!$AL37:$AL37,0)+COUNTIF('Final Calculation Sheet'!$AN37:$BS37,0)&gt;0,0,1)</f>
      </c>
      <c r="QU37" t="str">
        <f>IF($Y$37="",FALSE,SUMPRODUCT(('Final Calculation Sheet'!$B$4:$B$40=$Y$37)*($QT$4:$QT$40=1))&gt;0)</f>
      </c>
      <c r="QV37" t="str">
        <f>=$QV36+--($QU37)</f>
      </c>
      <c r="QW37" t="str">
        <f>IF(ROW()-3&gt;MAX($QV$4:$QV$40),"",INDEX($Y$4:$Y$40,MATCH(ROW()-3,$QV$4:$QV$40,0)))</f>
      </c>
      <c r="QX37" t="str">
        <f>IF(COUNTIF('Final Calculation Sheet'!$AL37:$AM37,0)+COUNTIF('Final Calculation Sheet'!$AO37:$BS37,0)&gt;0,0,1)</f>
      </c>
      <c r="QY37" t="str">
        <f>IF($AS$37="",FALSE,SUMPRODUCT(('Final Calculation Sheet'!$C$4:$C$40=$AS$37)*($QX$4:$QX$40=1))&gt;0)</f>
      </c>
      <c r="QZ37" t="str">
        <f>=$QZ36+--($QY37)</f>
      </c>
      <c r="RA37" t="str">
        <f>IF(ROW()-3&gt;MAX($QZ$4:$QZ$40),"",INDEX($AS$4:$AS$40,MATCH(ROW()-3,$QZ$4:$QZ$40,0)))</f>
      </c>
      <c r="RB37" t="str">
        <f>IF(COUNTIF('Final Calculation Sheet'!$AL37:$AN37,0)+COUNTIF('Final Calculation Sheet'!$AP37:$BS37,0)&gt;0,0,1)</f>
      </c>
      <c r="RC37" t="str">
        <f>IF($AD$37="",FALSE,SUMPRODUCT(('Final Calculation Sheet'!$D$4:$D$40=$AD$37)*($RB$4:$RB$40=1))&gt;0)</f>
      </c>
      <c r="RD37" t="str">
        <f>=$RD36+--($RC37)</f>
      </c>
      <c r="RE37" t="str">
        <f>IF(ROW()-3&gt;MAX($RD$4:$RD$40),"",INDEX($AD$4:$AD$40,MATCH(ROW()-3,$RD$4:$RD$40,0)))</f>
      </c>
      <c r="RF37" t="str">
        <f>IF(COUNTIF('Final Calculation Sheet'!$AL37:$AO37,0)+COUNTIF('Final Calculation Sheet'!$AQ37:$BS37,0)&gt;0,0,1)</f>
      </c>
      <c r="RG37" t="str">
        <f>IF($AN$37="",FALSE,SUMPRODUCT(('Final Calculation Sheet'!$E$4:$E$40=$AN$37)*($RF$4:$RF$40=1))&gt;0)</f>
      </c>
      <c r="RH37" t="str">
        <f>=$RH36+--($RG37)</f>
      </c>
      <c r="RI37" t="str">
        <f>IF(ROW()-3&gt;MAX($RH$4:$RH$40),"",INDEX($AN$4:$AN$40,MATCH(ROW()-3,$RH$4:$RH$40,0)))</f>
      </c>
      <c r="RJ37" t="str">
        <f>IF(COUNTIF('Final Calculation Sheet'!$AL37:$AP37,0)+COUNTIF('Final Calculation Sheet'!$AR37:$BS37,0)&gt;0,0,1)</f>
      </c>
      <c r="RK37" t="str">
        <f>IF($O$37="",FALSE,SUMPRODUCT(('Final Calculation Sheet'!$F$4:$F$40=$O$37)*($RJ$4:$RJ$40=1))&gt;0)</f>
      </c>
      <c r="RL37" t="str">
        <f>=$RL36+--($RK37)</f>
      </c>
      <c r="RM37" t="str">
        <f>IF(ROW()-3&gt;MAX($RL$4:$RL$40),"",INDEX($O$4:$O$40,MATCH(ROW()-3,$RL$4:$RL$40,0)))</f>
      </c>
      <c r="RN37" t="str">
        <f>IF(COUNTIF('Final Calculation Sheet'!$AL37:$AQ37,0)+COUNTIF('Final Calculation Sheet'!$AS37:$BS37,0)&gt;0,0,1)</f>
      </c>
      <c r="RO37" t="str">
        <f>IF($T$37="",FALSE,SUMPRODUCT(('Final Calculation Sheet'!$G$4:$G$40=$T$37)*($RN$4:$RN$40=1))&gt;0)</f>
      </c>
      <c r="RP37" t="str">
        <f>=$RP36+--($RO37)</f>
      </c>
      <c r="RQ37" t="str">
        <f>IF(ROW()-3&gt;MAX($RP$4:$RP$40),"",INDEX($T$4:$T$40,MATCH(ROW()-3,$RP$4:$RP$40,0)))</f>
      </c>
      <c r="RR37" t="str">
        <f>IF(COUNTIF('Final Calculation Sheet'!$AL37:$AR37,0)+COUNTIF('Final Calculation Sheet'!$AT37:$BS37,0)&gt;0,0,1)</f>
      </c>
      <c r="RS37" t="str">
        <f>IF($AX$37="",FALSE,SUMPRODUCT(('Final Calculation Sheet'!$H$4:$H$40=$AX$37)*($RR$4:$RR$40=1))&gt;0)</f>
      </c>
      <c r="RT37" t="str">
        <f>=$RT36+--($RS37)</f>
      </c>
      <c r="RU37" t="str">
        <f>IF(ROW()-3&gt;MAX($RT$4:$RT$40),"",INDEX($AX$4:$AX$40,MATCH(ROW()-3,$RT$4:$RT$40,0)))</f>
      </c>
      <c r="RV37" t="str">
        <f>IF(COUNTIF('Final Calculation Sheet'!$AL37:$AS37,0)+COUNTIF('Final Calculation Sheet'!$AU37:$BS37,0)&gt;0,0,1)</f>
      </c>
      <c r="RW37" t="str">
        <f>IF($BC$37="",FALSE,SUMPRODUCT(('Final Calculation Sheet'!$I$4:$I$40=$BC$37)*($RV$4:$RV$40=1))&gt;0)</f>
      </c>
      <c r="RX37" t="str">
        <f>=$RX36+--($RW37)</f>
      </c>
      <c r="RY37" t="str">
        <f>IF(ROW()-3&gt;MAX($RX$4:$RX$40),"",INDEX($BC$4:$BC$40,MATCH(ROW()-3,$RX$4:$RX$40,0)))</f>
      </c>
      <c r="RZ37" t="str">
        <f>IF(COUNTIF('Final Calculation Sheet'!$AL37:$AT37,0)+COUNTIF('Final Calculation Sheet'!$AV37:$BS37,0)&gt;0,0,1)</f>
      </c>
      <c r="SA37" t="str">
        <f>IF($BH$37="",FALSE,SUMPRODUCT(('Final Calculation Sheet'!$J$4:$J$40=$BH$37)*($RZ$4:$RZ$40=1))&gt;0)</f>
      </c>
      <c r="SB37" t="str">
        <f>=$SB36+--($SA37)</f>
      </c>
      <c r="SC37" t="str">
        <f>IF(ROW()-3&gt;MAX($SB$4:$SB$40),"",INDEX($BH$4:$BH$40,MATCH(ROW()-3,$SB$4:$SB$40,0)))</f>
      </c>
      <c r="SD37" t="str">
        <f>IF(COUNTIF('Final Calculation Sheet'!$AL37:$AU37,0)+COUNTIF('Final Calculation Sheet'!$AW37:$BS37,0)&gt;0,0,1)</f>
      </c>
      <c r="SE37" t="str">
        <f>IF($BM$37="",FALSE,SUMPRODUCT(('Final Calculation Sheet'!$K$4:$K$40=$BM$37)*($SD$4:$SD$40=1))&gt;0)</f>
      </c>
      <c r="SF37" t="str">
        <f>=$SF36+--($SE37)</f>
      </c>
      <c r="SG37" t="str">
        <f>IF(ROW()-3&gt;MAX($SF$4:$SF$40),"",INDEX($BM$4:$BM$40,MATCH(ROW()-3,$SF$4:$SF$40,0)))</f>
      </c>
      <c r="SH37" t="str">
        <f>IF(COUNTIF('Final Calculation Sheet'!$AL37:$AV37,0)+COUNTIF('Final Calculation Sheet'!$AX37:$BS37,0)&gt;0,0,1)</f>
      </c>
      <c r="SI37" t="str">
        <f>IF($BR$37="",FALSE,SUMPRODUCT(('Final Calculation Sheet'!$L$4:$L$40=$BR$37)*($SH$4:$SH$40=1))&gt;0)</f>
      </c>
      <c r="SJ37" t="str">
        <f>=$SJ36+--($SI37)</f>
      </c>
      <c r="SK37" t="str">
        <f>IF(ROW()-3&gt;MAX($SJ$4:$SJ$40),"",INDEX($BR$4:$BR$40,MATCH(ROW()-3,$SJ$4:$SJ$40,0)))</f>
      </c>
      <c r="SL37" t="str">
        <f>IF(COUNTIF('Final Calculation Sheet'!$AL37:$AW37,0)+COUNTIF('Final Calculation Sheet'!$AY37:$BS37,0)&gt;0,0,1)</f>
      </c>
      <c r="SM37" t="str">
        <f>IF($BW$37="",FALSE,SUMPRODUCT(('Final Calculation Sheet'!$M$4:$M$40=$BW$37)*($SL$4:$SL$40=1))&gt;0)</f>
      </c>
      <c r="SN37" t="str">
        <f>=$SN36+--($SM37)</f>
      </c>
      <c r="SO37" t="str">
        <f>IF(ROW()-3&gt;MAX($SN$4:$SN$40),"",INDEX($BW$4:$BW$40,MATCH(ROW()-3,$SN$4:$SN$40,0)))</f>
      </c>
      <c r="SP37" t="str">
        <f>IF(COUNTIF('Final Calculation Sheet'!$AL37:$AX37,0)+COUNTIF('Final Calculation Sheet'!$AZ37:$BS37,0)&gt;0,0,1)</f>
      </c>
      <c r="SQ37" t="str">
        <f>IF($CB$37="",FALSE,SUMPRODUCT(('Final Calculation Sheet'!$N$4:$N$40=$CB$37)*($SP$4:$SP$40=1))&gt;0)</f>
      </c>
      <c r="SR37" t="str">
        <f>=$SR36+--($SQ37)</f>
      </c>
      <c r="SS37" t="str">
        <f>IF(ROW()-3&gt;MAX($SR$4:$SR$40),"",INDEX($CB$4:$CB$40,MATCH(ROW()-3,$SR$4:$SR$40,0)))</f>
      </c>
      <c r="ST37" t="str">
        <f>IF(COUNTIF('Final Calculation Sheet'!$AL37:$AY37,0)+COUNTIF('Final Calculation Sheet'!$BA37:$BS37,0)&gt;0,0,1)</f>
      </c>
      <c r="SU37" t="str">
        <f>IF($CG$37="",FALSE,SUMPRODUCT(('Final Calculation Sheet'!$O$4:$O$40=$CG$37)*($ST$4:$ST$40=1))&gt;0)</f>
      </c>
      <c r="SV37" t="str">
        <f>=$SV36+--($SU37)</f>
      </c>
      <c r="SW37" t="str">
        <f>IF(ROW()-3&gt;MAX($SV$4:$SV$40),"",INDEX($CG$4:$CG$40,MATCH(ROW()-3,$SV$4:$SV$40,0)))</f>
      </c>
      <c r="SX37" t="str">
        <f>IF(COUNTIF('Final Calculation Sheet'!$AL37:$AZ37,0)+COUNTIF('Final Calculation Sheet'!$BB37:$BS37,0)&gt;0,0,1)</f>
      </c>
      <c r="SY37" t="str">
        <f>IF($CL$37="",FALSE,SUMPRODUCT(('Final Calculation Sheet'!$P$4:$P$40=$CL$37)*($SX$4:$SX$40=1))&gt;0)</f>
      </c>
      <c r="SZ37" t="str">
        <f>=$SZ36+--($SY37)</f>
      </c>
      <c r="TA37" t="str">
        <f>IF(ROW()-3&gt;MAX($SZ$4:$SZ$40),"",INDEX($CL$4:$CL$40,MATCH(ROW()-3,$SZ$4:$SZ$40,0)))</f>
      </c>
      <c r="TB37" t="str">
        <f>IF(COUNTIF('Final Calculation Sheet'!$AL37:$BA37,0)+COUNTIF('Final Calculation Sheet'!$BC37:$BS37,0)&gt;0,0,1)</f>
      </c>
      <c r="TC37" t="str">
        <f>IF($CQ$37="",FALSE,SUMPRODUCT(('Final Calculation Sheet'!$Q$4:$Q$40=$CQ$37)*($TB$4:$TB$40=1))&gt;0)</f>
      </c>
      <c r="TD37" t="str">
        <f>=$TD36+--($TC37)</f>
      </c>
      <c r="TE37" t="str">
        <f>IF(ROW()-3&gt;MAX($TD$4:$TD$40),"",INDEX($CQ$4:$CQ$40,MATCH(ROW()-3,$TD$4:$TD$40,0)))</f>
      </c>
      <c r="TF37" t="str">
        <f>IF(COUNTIF('Final Calculation Sheet'!$AL37:$BB37,0)+COUNTIF('Final Calculation Sheet'!$BD37:$BS37,0)&gt;0,0,1)</f>
      </c>
      <c r="TG37" t="str">
        <f>IF($CV$37="",FALSE,SUMPRODUCT(('Final Calculation Sheet'!$R$4:$R$40=$CV$37)*($TF$4:$TF$40=1))&gt;0)</f>
      </c>
      <c r="TH37" t="str">
        <f>=$TH36+--($TG37)</f>
      </c>
      <c r="TI37" t="str">
        <f>IF(ROW()-3&gt;MAX($TH$4:$TH$40),"",INDEX($CV$4:$CV$40,MATCH(ROW()-3,$TH$4:$TH$40,0)))</f>
      </c>
      <c r="TJ37" t="str">
        <f>IF(COUNTIF('Final Calculation Sheet'!$AL37:$BC37,0)+COUNTIF('Final Calculation Sheet'!$BE37:$BS37,0)&gt;0,0,1)</f>
      </c>
      <c r="TK37" t="str">
        <f>IF($DA$37="",FALSE,SUMPRODUCT(('Final Calculation Sheet'!$S$4:$S$40=$DA$37)*($TJ$4:$TJ$40=1))&gt;0)</f>
      </c>
      <c r="TL37" t="str">
        <f>=$TL36+--($TK37)</f>
      </c>
      <c r="TM37" t="str">
        <f>IF(ROW()-3&gt;MAX($TL$4:$TL$40),"",INDEX($DA$4:$DA$40,MATCH(ROW()-3,$TL$4:$TL$40,0)))</f>
      </c>
      <c r="TN37" t="str">
        <f>IF(COUNTIF('Final Calculation Sheet'!$AL37:$BD37,0)+COUNTIF('Final Calculation Sheet'!$BF37:$BS37,0)&gt;0,0,1)</f>
      </c>
      <c r="TO37" t="str">
        <f>IF($DF$37="",FALSE,SUMPRODUCT(('Final Calculation Sheet'!$T$4:$T$40=$DF$37)*($TN$4:$TN$40=1))&gt;0)</f>
      </c>
      <c r="TP37" t="str">
        <f>=$TP36+--($TO37)</f>
      </c>
      <c r="TQ37" t="str">
        <f>IF(ROW()-3&gt;MAX($TP$4:$TP$40),"",INDEX($DF$4:$DF$40,MATCH(ROW()-3,$TP$4:$TP$40,0)))</f>
      </c>
      <c r="TR37" t="str">
        <f>IF(COUNTIF('Final Calculation Sheet'!$AL37:$BE37,0)+COUNTIF('Final Calculation Sheet'!$BG37:$BS37,0)&gt;0,0,1)</f>
      </c>
      <c r="TS37" t="str">
        <f>IF($DK$37="",FALSE,SUMPRODUCT(('Final Calculation Sheet'!$U$4:$U$40=$DK$37)*($TR$4:$TR$40=1))&gt;0)</f>
      </c>
      <c r="TT37" t="str">
        <f>=$TT36+--($TS37)</f>
      </c>
      <c r="TU37" t="str">
        <f>IF(ROW()-3&gt;MAX($TT$4:$TT$40),"",INDEX($DK$4:$DK$40,MATCH(ROW()-3,$TT$4:$TT$40,0)))</f>
      </c>
      <c r="TV37" t="str">
        <f>IF(COUNTIF('Final Calculation Sheet'!$AL37:$BF37,0)+COUNTIF('Final Calculation Sheet'!$BH37:$BS37,0)&gt;0,0,1)</f>
      </c>
      <c r="TW37" t="str">
        <f>IF($DP$37="",FALSE,SUMPRODUCT(('Final Calculation Sheet'!$V$4:$V$40=$DP$37)*($TV$4:$TV$40=1))&gt;0)</f>
      </c>
      <c r="TX37" t="str">
        <f>=$TX36+--($TW37)</f>
      </c>
      <c r="TY37" t="str">
        <f>IF(ROW()-3&gt;MAX($TX$4:$TX$40),"",INDEX($DP$4:$DP$40,MATCH(ROW()-3,$TX$4:$TX$40,0)))</f>
      </c>
      <c r="TZ37" t="str">
        <f>IF(COUNTIF('Final Calculation Sheet'!$AL37:$BG37,0)+COUNTIF('Final Calculation Sheet'!$BI37:$BS37,0)&gt;0,0,1)</f>
      </c>
      <c r="UA37" t="str">
        <f>IF($DU$37="",FALSE,SUMPRODUCT(('Final Calculation Sheet'!$W$4:$W$40=$DU$37)*($TZ$4:$TZ$40=1))&gt;0)</f>
      </c>
      <c r="UB37" t="str">
        <f>=$UB36+--($UA37)</f>
      </c>
      <c r="UC37" t="str">
        <f>IF(ROW()-3&gt;MAX($UB$4:$UB$40),"",INDEX($DU$4:$DU$40,MATCH(ROW()-3,$UB$4:$UB$40,0)))</f>
      </c>
      <c r="UD37" t="str">
        <f>IF(COUNTIF('Final Calculation Sheet'!$AL37:$BH37,0)+COUNTIF('Final Calculation Sheet'!$BJ37:$BS37,0)&gt;0,0,1)</f>
      </c>
      <c r="UE37" t="str">
        <f>IF($DZ$37="",FALSE,SUMPRODUCT(('Final Calculation Sheet'!$X$4:$X$40=$DZ$37)*($UD$4:$UD$40=1))&gt;0)</f>
      </c>
      <c r="UF37" t="str">
        <f>=$UF36+--($UE37)</f>
      </c>
      <c r="UG37" t="str">
        <f>IF(ROW()-3&gt;MAX($UF$4:$UF$40),"",INDEX($DZ$4:$DZ$40,MATCH(ROW()-3,$UF$4:$UF$40,0)))</f>
      </c>
      <c r="UH37" t="str">
        <f>IF(COUNTIF('Final Calculation Sheet'!$AL37:$BI37,0)+COUNTIF('Final Calculation Sheet'!$BK37:$BS37,0)&gt;0,0,1)</f>
      </c>
      <c r="UI37" t="str">
        <f>IF($EE$37="",FALSE,SUMPRODUCT(('Final Calculation Sheet'!$Y$4:$Y$40=$EE$37)*($UH$4:$UH$40=1))&gt;0)</f>
      </c>
      <c r="UJ37" t="str">
        <f>=$UJ36+--($UI37)</f>
      </c>
      <c r="UK37" t="str">
        <f>IF(ROW()-3&gt;MAX($UJ$4:$UJ$40),"",INDEX($EE$4:$EE$40,MATCH(ROW()-3,$UJ$4:$UJ$40,0)))</f>
      </c>
      <c r="UL37" t="str">
        <f>IF(COUNTIF('Final Calculation Sheet'!$AL37:$BJ37,0)+COUNTIF('Final Calculation Sheet'!$BL37:$BS37,0)&gt;0,0,1)</f>
      </c>
      <c r="UM37" t="str">
        <f>IF($EJ$37="",FALSE,SUMPRODUCT(('Final Calculation Sheet'!$Z$4:$Z$40=$EJ$37)*($UL$4:$UL$40=1))&gt;0)</f>
      </c>
      <c r="UN37" t="str">
        <f>=$UN36+--($UM37)</f>
      </c>
      <c r="UO37" t="str">
        <f>IF(ROW()-3&gt;MAX($UN$4:$UN$40),"",INDEX($EJ$4:$EJ$40,MATCH(ROW()-3,$UN$4:$UN$40,0)))</f>
      </c>
      <c r="UP37" t="str">
        <f>IF(COUNTIF('Final Calculation Sheet'!$AL37:$BK37,0)+COUNTIF('Final Calculation Sheet'!$BM37:$BS37,0)&gt;0,0,1)</f>
      </c>
      <c r="UQ37" t="str">
        <f>IF($EO$37="",FALSE,SUMPRODUCT(('Final Calculation Sheet'!$AA$4:$AA$40=$EO$37)*($UP$4:$UP$40=1))&gt;0)</f>
      </c>
      <c r="UR37" t="str">
        <f>=$UR36+--($UQ37)</f>
      </c>
      <c r="US37" t="str">
        <f>IF(ROW()-3&gt;MAX($UR$4:$UR$40),"",INDEX($EO$4:$EO$40,MATCH(ROW()-3,$UR$4:$UR$40,0)))</f>
      </c>
      <c r="UT37" t="str">
        <f>IF(COUNTIF('Final Calculation Sheet'!$AL37:$BL37,0)+COUNTIF('Final Calculation Sheet'!$BN37:$BS37,0)&gt;0,0,1)</f>
      </c>
      <c r="UU37" t="str">
        <f>IF($ET$37="",FALSE,SUMPRODUCT(('Final Calculation Sheet'!$AB$4:$AB$40=$ET$37)*($UT$4:$UT$40=1))&gt;0)</f>
      </c>
      <c r="UV37" t="str">
        <f>=$UV36+--($UU37)</f>
      </c>
      <c r="UW37" t="str">
        <f>IF(ROW()-3&gt;MAX($UV$4:$UV$40),"",INDEX($ET$4:$ET$40,MATCH(ROW()-3,$UV$4:$UV$40,0)))</f>
      </c>
      <c r="UX37" t="str">
        <f>IF(COUNTIF('Final Calculation Sheet'!$AL37:$BM37,0)+COUNTIF('Final Calculation Sheet'!$BO37:$BS37,0)&gt;0,0,1)</f>
      </c>
      <c r="UY37" t="str">
        <f>IF($EY$37="",FALSE,SUMPRODUCT(('Final Calculation Sheet'!$AC$4:$AC$40=$EY$37)*($UX$4:$UX$40=1))&gt;0)</f>
      </c>
      <c r="UZ37" t="str">
        <f>=$UZ36+--($UY37)</f>
      </c>
      <c r="VA37" t="str">
        <f>IF(ROW()-3&gt;MAX($UZ$4:$UZ$40),"",INDEX($EY$4:$EY$40,MATCH(ROW()-3,$UZ$4:$UZ$40,0)))</f>
      </c>
      <c r="VB37" t="str">
        <f>IF(COUNTIF('Final Calculation Sheet'!$AL37:$BN37,0)+COUNTIF('Final Calculation Sheet'!$BP37:$BS37,0)&gt;0,0,1)</f>
      </c>
      <c r="VC37" t="str">
        <f>IF($FD$37="",FALSE,SUMPRODUCT(('Final Calculation Sheet'!$AD$4:$AD$40=$FD$37)*($VB$4:$VB$40=1))&gt;0)</f>
      </c>
      <c r="VD37" t="str">
        <f>=$VD36+--($VC37)</f>
      </c>
      <c r="VE37" t="str">
        <f>IF(ROW()-3&gt;MAX($VD$4:$VD$40),"",INDEX($FD$4:$FD$40,MATCH(ROW()-3,$VD$4:$VD$40,0)))</f>
      </c>
      <c r="VF37" t="str">
        <f>IF(COUNTIF('Final Calculation Sheet'!$AL37:$BO37,0)+COUNTIF('Final Calculation Sheet'!$BQ37:$BS37,0)&gt;0,0,1)</f>
      </c>
      <c r="VG37" t="str">
        <f>IF($FI$37="",FALSE,SUMPRODUCT(('Final Calculation Sheet'!$AE$4:$AE$40=$FI$37)*($VF$4:$VF$40=1))&gt;0)</f>
      </c>
      <c r="VH37" t="str">
        <f>=$VH36+--($VG37)</f>
      </c>
      <c r="VI37" t="str">
        <f>IF(ROW()-3&gt;MAX($VH$4:$VH$40),"",INDEX($FI$4:$FI$40,MATCH(ROW()-3,$VH$4:$VH$40,0)))</f>
      </c>
      <c r="VJ37" t="str">
        <f>IF(COUNTIF('Final Calculation Sheet'!$AL37:$BP37,0)+COUNTIF('Final Calculation Sheet'!$BR37:$BS37,0)&gt;0,0,1)</f>
      </c>
      <c r="VK37" t="str">
        <f>IF($FN$37="",FALSE,SUMPRODUCT(('Final Calculation Sheet'!$AF$4:$AF$40=$FN$37)*($VJ$4:$VJ$40=1))&gt;0)</f>
      </c>
      <c r="VL37" t="str">
        <f>=$VL36+--($VK37)</f>
      </c>
      <c r="VM37" t="str">
        <f>IF(ROW()-3&gt;MAX($VL$4:$VL$40),"",INDEX($FN$4:$FN$40,MATCH(ROW()-3,$VL$4:$VL$40,0)))</f>
      </c>
      <c r="VN37" t="str">
        <f>IF(COUNTIF('Final Calculation Sheet'!$AL37:$BQ37,0)+COUNTIF('Final Calculation Sheet'!$BS37:$BS37,0)&gt;0,0,1)</f>
      </c>
      <c r="VO37" t="str">
        <f>IF($FS$37="",FALSE,SUMPRODUCT(('Final Calculation Sheet'!$AG$4:$AG$40=$FS$37)*($VN$4:$VN$40=1))&gt;0)</f>
      </c>
      <c r="VP37" t="str">
        <f>=$VP36+--($VO37)</f>
      </c>
      <c r="VQ37" t="str">
        <f>IF(ROW()-3&gt;MAX($VP$4:$VP$40),"",INDEX($FS$4:$FS$40,MATCH(ROW()-3,$VP$4:$VP$40,0)))</f>
      </c>
      <c r="VR37" t="str">
        <f>IF(COUNTIF('Final Calculation Sheet'!$AL37:$BR37,0)&gt;0,0,1)</f>
      </c>
      <c r="VS37" t="str">
        <f>IF($QO$37="",FALSE,SUMPRODUCT(('Final Calculation Sheet'!$AH$4:$AH$40=$QO$37)*($VR$4:$VR$40=1))&gt;0)</f>
      </c>
      <c r="VT37" t="str">
        <f>=$VT36+--($VS37)</f>
      </c>
      <c r="VU37" t="str">
        <f>IF(ROW()-3&gt;MAX($VT$4:$VT$40),"",INDEX($QO$4:$QO$40,MATCH(ROW()-3,$VT$4:$VT$40,0)))</f>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IF(ROW()-3&gt;MAX($LC$4:$LC$40),"",INDEX($FS$4:$FS$40,MATCH(ROW()-3,$LC$4:$LC$40,0)))</f>
        <v/>
      </c>
      <c r="LE38">
        <f>IF(COUNTIF('Buyer Groups'!DH38:EN38,0)&gt;0,0,1)</f>
        <v/>
      </c>
      <c r="LF38">
        <f>IF($O$38="",FALSE,SUMPRODUCT(('Final Calculation Sheet'!$F$4:$F$40=$O$38)*($LE$6:$LE$42=1))&gt;0)</f>
        <v/>
      </c>
      <c r="LG38">
        <f>$LG$37+--($LF38)</f>
        <v/>
      </c>
      <c r="LH38">
        <f>IF(ROW()-3&gt;MAX($LG$4:$LG$40),"",INDEX($O$4:$O$40,MATCH(ROW()-3,$LG$4:$LG$40,0)))</f>
        <v/>
      </c>
      <c r="LI38">
        <f>IF(COUNTIF('Buyer Groups'!DG38:DG38,0)+COUNTIF('Buyer Groups'!DI38:EN38,0)&gt;0,0,1)</f>
        <v/>
      </c>
      <c r="LJ38">
        <f>IF($T$38="",FALSE,SUMPRODUCT(('Final Calculation Sheet'!$G$4:$G$40=$T$38)*($LI$6:$LI$42=1))&gt;0)</f>
        <v/>
      </c>
      <c r="LK38">
        <f>$LK$37+--($LJ38)</f>
        <v/>
      </c>
      <c r="LL38">
        <f>IF(ROW()-3&gt;MAX($LK$4:$LK$40),"",INDEX($T$4:$T$40,MATCH(ROW()-3,$LK$4:$LK$40,0)))</f>
        <v/>
      </c>
      <c r="LM38">
        <f>IF(COUNTIF('Buyer Groups'!DG38:DH38,0)+COUNTIF('Buyer Groups'!DJ38:EN38,0)&gt;0,0,1)</f>
        <v/>
      </c>
      <c r="LN38">
        <f>IF($Y$38="",FALSE,SUMPRODUCT(('Final Calculation Sheet'!$B$4:$B$40=$Y$38)*($LM$6:$LM$42=1))&gt;0)</f>
        <v/>
      </c>
      <c r="LO38">
        <f>$LO$37+--($LN38)</f>
        <v/>
      </c>
      <c r="LP38">
        <f>IF(ROW()-3&gt;MAX($LO$4:$LO$40),"",INDEX($Y$4:$Y$40,MATCH(ROW()-3,$LO$4:$LO$40,0)))</f>
        <v/>
      </c>
      <c r="LQ38">
        <f>IF(COUNTIF('Buyer Groups'!DG38:DI38,0)+COUNTIF('Buyer Groups'!DK38:EN38,0)&gt;0,0,1)</f>
        <v/>
      </c>
      <c r="LR38">
        <f>IF($AD$38="",FALSE,SUMPRODUCT(('Final Calculation Sheet'!$D$4:$D$40=$AD$38)*($LQ$6:$LQ$42=1))&gt;0)</f>
        <v/>
      </c>
      <c r="LS38">
        <f>$LS$37+--($LR38)</f>
        <v/>
      </c>
      <c r="LT38">
        <f>IF(ROW()-3&gt;MAX($LS$4:$LS$40),"",INDEX($AD$4:$AD$40,MATCH(ROW()-3,$LS$4:$LS$40,0)))</f>
        <v/>
      </c>
      <c r="LU38">
        <f>IF(COUNTIF('Buyer Groups'!DG38:DJ38,0)+COUNTIF('Buyer Groups'!DL38:EN38,0)&gt;0,0,1)</f>
        <v/>
      </c>
      <c r="LV38">
        <f>IF($AI$38="",FALSE,SUMPRODUCT(('Final Calculation Sheet'!$A$4:$A$40=$AI$38)*($LU$6:$LU$42=1))&gt;0)</f>
        <v/>
      </c>
      <c r="LW38">
        <f>$LW$37+--($LV38)</f>
        <v/>
      </c>
      <c r="LX38">
        <f>IF(ROW()-3&gt;MAX($LW$4:$LW$40),"",INDEX($AI$4:$AI$40,MATCH(ROW()-3,$LW$4:$LW$40,0)))</f>
        <v/>
      </c>
      <c r="LY38">
        <f>IF(COUNTIF('Buyer Groups'!DG38:DK38,0)+COUNTIF('Buyer Groups'!DM38:EN38,0)&gt;0,0,1)</f>
        <v/>
      </c>
      <c r="LZ38">
        <f>IF($AN$38="",FALSE,SUMPRODUCT(('Final Calculation Sheet'!$E$4:$E$40=$AN$38)*($LY$6:$LY$42=1))&gt;0)</f>
        <v/>
      </c>
      <c r="MA38">
        <f>$MA$37+--($LZ38)</f>
        <v/>
      </c>
      <c r="MB38">
        <f>IF(ROW()-3&gt;MAX($MA$4:$MA$40),"",INDEX($AN$4:$AN$40,MATCH(ROW()-3,$MA$4:$MA$40,0)))</f>
        <v/>
      </c>
      <c r="MC38">
        <f>IF(COUNTIF('Buyer Groups'!DG38:DL38,0)+COUNTIF('Buyer Groups'!DN38:EN38,0)&gt;0,0,1)</f>
        <v/>
      </c>
      <c r="MD38">
        <f>IF($AS$38="",FALSE,SUMPRODUCT(('Final Calculation Sheet'!$C$4:$C$40=$AS$38)*($MC$6:$MC$42=1))&gt;0)</f>
        <v/>
      </c>
      <c r="ME38">
        <f>$ME$37+--($MD38)</f>
        <v/>
      </c>
      <c r="MF38">
        <f>IF(ROW()-3&gt;MAX($ME$4:$ME$40),"",INDEX($AS$4:$AS$40,MATCH(ROW()-3,$ME$4:$ME$40,0)))</f>
        <v/>
      </c>
      <c r="MG38">
        <f>IF(COUNTIF('Buyer Groups'!DG38:DM38,0)+COUNTIF('Buyer Groups'!DO38:EN38,0)&gt;0,0,1)</f>
        <v/>
      </c>
      <c r="MH38">
        <f>IF($AX$38="",FALSE,SUMPRODUCT(('Final Calculation Sheet'!$H$4:$H$40=$AX$38)*($MG$6:$MG$42=1))&gt;0)</f>
        <v/>
      </c>
      <c r="MI38">
        <f>$MI$37+--($MH38)</f>
        <v/>
      </c>
      <c r="MJ38">
        <f>IF(ROW()-3&gt;MAX($MI$4:$MI$40),"",INDEX($AX$4:$AX$40,MATCH(ROW()-3,$MI$4:$MI$40,0)))</f>
        <v/>
      </c>
      <c r="MK38">
        <f>IF(COUNTIF('Buyer Groups'!DG38:DN38,0)+COUNTIF('Buyer Groups'!DP38:EN38,0)&gt;0,0,1)</f>
        <v/>
      </c>
      <c r="ML38">
        <f>IF($BC$38="",FALSE,SUMPRODUCT(('Final Calculation Sheet'!$I$4:$I$40=$BC$38)*($MK$6:$MK$42=1))&gt;0)</f>
        <v/>
      </c>
      <c r="MM38">
        <f>$MM$37+--($ML38)</f>
        <v/>
      </c>
      <c r="MN38">
        <f>IF(ROW()-3&gt;MAX($MM$4:$MM$40),"",INDEX($BC$4:$BC$40,MATCH(ROW()-3,$MM$4:$MM$40,0)))</f>
        <v/>
      </c>
      <c r="MO38">
        <f>IF(COUNTIF('Buyer Groups'!DG38:DO38,0)+COUNTIF('Buyer Groups'!DQ38:EN38,0)&gt;0,0,1)</f>
        <v/>
      </c>
      <c r="MP38">
        <f>IF($BH$38="",FALSE,SUMPRODUCT(('Final Calculation Sheet'!$J$4:$J$40=$BH$38)*($MO$6:$MO$42=1))&gt;0)</f>
        <v/>
      </c>
      <c r="MQ38">
        <f>$MQ$37+--($MP38)</f>
        <v/>
      </c>
      <c r="MR38">
        <f>IF(ROW()-3&gt;MAX($MQ$4:$MQ$40),"",INDEX($BH$4:$BH$40,MATCH(ROW()-3,$MQ$4:$MQ$40,0)))</f>
        <v/>
      </c>
      <c r="MS38">
        <f>IF(COUNTIF('Buyer Groups'!DG38:DP38,0)+COUNTIF('Buyer Groups'!DR38:EN38,0)&gt;0,0,1)</f>
        <v/>
      </c>
      <c r="MT38">
        <f>IF($BM$38="",FALSE,SUMPRODUCT(('Final Calculation Sheet'!$K$4:$K$40=$BM$38)*($MS$6:$MS$42=1))&gt;0)</f>
        <v/>
      </c>
      <c r="MU38">
        <f>$MU$37+--($MT38)</f>
        <v/>
      </c>
      <c r="MV38">
        <f>IF(ROW()-3&gt;MAX($MU$4:$MU$40),"",INDEX($BM$4:$BM$40,MATCH(ROW()-3,$MU$4:$MU$40,0)))</f>
        <v/>
      </c>
      <c r="MW38">
        <f>IF(COUNTIF('Buyer Groups'!DG38:DQ38,0)+COUNTIF('Buyer Groups'!DS38:EN38,0)&gt;0,0,1)</f>
        <v/>
      </c>
      <c r="MX38">
        <f>IF($BR$38="",FALSE,SUMPRODUCT(('Final Calculation Sheet'!$L$4:$L$40=$BR$38)*($MW$6:$MW$42=1))&gt;0)</f>
        <v/>
      </c>
      <c r="MY38">
        <f>$MY$37+--($MX38)</f>
        <v/>
      </c>
      <c r="MZ38">
        <f>IF(ROW()-3&gt;MAX($MY$4:$MY$40),"",INDEX($BR$4:$BR$40,MATCH(ROW()-3,$MY$4:$MY$40,0)))</f>
        <v/>
      </c>
      <c r="NA38">
        <f>IF(COUNTIF('Buyer Groups'!DG38:DR38,0)+COUNTIF('Buyer Groups'!DT38:EN38,0)&gt;0,0,1)</f>
        <v/>
      </c>
      <c r="NB38">
        <f>IF($BW$38="",FALSE,SUMPRODUCT(('Final Calculation Sheet'!$M$4:$M$40=$BW$38)*($NA$6:$NA$42=1))&gt;0)</f>
        <v/>
      </c>
      <c r="NC38">
        <f>$NC$37+--($NB38)</f>
        <v/>
      </c>
      <c r="ND38">
        <f>IF(ROW()-3&gt;MAX($NC$4:$NC$40),"",INDEX($BW$4:$BW$40,MATCH(ROW()-3,$NC$4:$NC$40,0)))</f>
        <v/>
      </c>
      <c r="NE38">
        <f>IF(COUNTIF('Buyer Groups'!DG38:DS38,0)+COUNTIF('Buyer Groups'!DU38:EN38,0)&gt;0,0,1)</f>
        <v/>
      </c>
      <c r="NF38">
        <f>IF($CB$38="",FALSE,SUMPRODUCT(('Final Calculation Sheet'!$N$4:$N$40=$CB$38)*($NE$6:$NE$42=1))&gt;0)</f>
        <v/>
      </c>
      <c r="NG38">
        <f>$NG$37+--($NF38)</f>
        <v/>
      </c>
      <c r="NH38">
        <f>IF(ROW()-3&gt;MAX($NG$4:$NG$40),"",INDEX($CB$4:$CB$40,MATCH(ROW()-3,$NG$4:$NG$40,0)))</f>
        <v/>
      </c>
      <c r="NI38">
        <f>IF(COUNTIF('Buyer Groups'!DG38:DT38,0)+COUNTIF('Buyer Groups'!DV38:EN38,0)&gt;0,0,1)</f>
        <v/>
      </c>
      <c r="NJ38">
        <f>IF($CG$38="",FALSE,SUMPRODUCT(('Final Calculation Sheet'!$O$4:$O$40=$CG$38)*($NI$6:$NI$42=1))&gt;0)</f>
        <v/>
      </c>
      <c r="NK38">
        <f>$NK$37+--($NJ38)</f>
        <v/>
      </c>
      <c r="NL38">
        <f>IF(ROW()-3&gt;MAX($NK$4:$NK$40),"",INDEX($CG$4:$CG$40,MATCH(ROW()-3,$NK$4:$NK$40,0)))</f>
        <v/>
      </c>
      <c r="NM38">
        <f>IF(COUNTIF('Buyer Groups'!DG38:DU38,0)+COUNTIF('Buyer Groups'!DW38:EN38,0)&gt;0,0,1)</f>
        <v/>
      </c>
      <c r="NN38">
        <f>IF($CL$38="",FALSE,SUMPRODUCT(('Final Calculation Sheet'!$P$4:$P$40=$CL$38)*($NM$6:$NM$42=1))&gt;0)</f>
        <v/>
      </c>
      <c r="NO38">
        <f>$NO$37+--($NN38)</f>
        <v/>
      </c>
      <c r="NP38">
        <f>IF(ROW()-3&gt;MAX($NO$4:$NO$40),"",INDEX($CL$4:$CL$40,MATCH(ROW()-3,$NO$4:$NO$40,0)))</f>
        <v/>
      </c>
      <c r="NQ38">
        <f>IF(COUNTIF('Buyer Groups'!DG38:DV38,0)+COUNTIF('Buyer Groups'!DX38:EN38,0)&gt;0,0,1)</f>
        <v/>
      </c>
      <c r="NR38">
        <f>IF($CQ$38="",FALSE,SUMPRODUCT(('Final Calculation Sheet'!$Q$4:$Q$40=$CQ$38)*($NQ$6:$NQ$42=1))&gt;0)</f>
        <v/>
      </c>
      <c r="NS38">
        <f>$NS$37+--($NR38)</f>
        <v/>
      </c>
      <c r="NT38">
        <f>IF(ROW()-3&gt;MAX($NS$4:$NS$40),"",INDEX($CQ$4:$CQ$40,MATCH(ROW()-3,$NS$4:$NS$40,0)))</f>
        <v/>
      </c>
      <c r="NU38">
        <f>IF(COUNTIF('Buyer Groups'!DG38:DW38,0)+COUNTIF('Buyer Groups'!DY38:EN38,0)&gt;0,0,1)</f>
        <v/>
      </c>
      <c r="NV38">
        <f>IF($CV$38="",FALSE,SUMPRODUCT(('Final Calculation Sheet'!$R$4:$R$40=$CV$38)*($NU$6:$NU$42=1))&gt;0)</f>
        <v/>
      </c>
      <c r="NW38">
        <f>$NW$37+--($NV38)</f>
        <v/>
      </c>
      <c r="NX38">
        <f>IF(ROW()-3&gt;MAX($NW$4:$NW$40),"",INDEX($CV$4:$CV$40,MATCH(ROW()-3,$NW$4:$NW$40,0)))</f>
        <v/>
      </c>
      <c r="NY38">
        <f>IF(COUNTIF('Buyer Groups'!DG38:DX38,0)+COUNTIF('Buyer Groups'!DZ38:EN38,0)&gt;0,0,1)</f>
        <v/>
      </c>
      <c r="NZ38">
        <f>IF($DA$38="",FALSE,SUMPRODUCT(('Final Calculation Sheet'!$S$4:$S$40=$DA$38)*($NY$6:$NY$42=1))&gt;0)</f>
        <v/>
      </c>
      <c r="OA38">
        <f>$OA$37+--($NZ38)</f>
        <v/>
      </c>
      <c r="OB38">
        <f>IF(ROW()-3&gt;MAX($OA$4:$OA$40),"",INDEX($DA$4:$DA$40,MATCH(ROW()-3,$OA$4:$OA$40,0)))</f>
        <v/>
      </c>
      <c r="OC38">
        <f>IF(COUNTIF('Buyer Groups'!DG38:DY38,0)+COUNTIF('Buyer Groups'!EA38:EN38,0)&gt;0,0,1)</f>
        <v/>
      </c>
      <c r="OD38">
        <f>IF($DF$38="",FALSE,SUMPRODUCT(('Final Calculation Sheet'!$T$4:$T$40=$DF$38)*($OC$6:$OC$42=1))&gt;0)</f>
        <v/>
      </c>
      <c r="OE38">
        <f>$OE$37+--($OD38)</f>
        <v/>
      </c>
      <c r="OF38">
        <f>IF(ROW()-3&gt;MAX($OE$4:$OE$40),"",INDEX($DF$4:$DF$40,MATCH(ROW()-3,$OE$4:$OE$40,0)))</f>
        <v/>
      </c>
      <c r="OG38">
        <f>IF(COUNTIF('Buyer Groups'!DG38:DZ38,0)+COUNTIF('Buyer Groups'!EB38:EN38,0)&gt;0,0,1)</f>
        <v/>
      </c>
      <c r="OH38">
        <f>IF($DK$38="",FALSE,SUMPRODUCT(('Final Calculation Sheet'!$U$4:$U$40=$DK$38)*($OG$6:$OG$42=1))&gt;0)</f>
        <v/>
      </c>
      <c r="OI38">
        <f>$OI$37+--($OH38)</f>
        <v/>
      </c>
      <c r="OJ38">
        <f>IF(ROW()-3&gt;MAX($OI$4:$OI$40),"",INDEX($DK$4:$DK$40,MATCH(ROW()-3,$OI$4:$OI$40,0)))</f>
        <v/>
      </c>
      <c r="OK38">
        <f>IF(COUNTIF('Buyer Groups'!DG38:EA38,0)+COUNTIF('Buyer Groups'!EC38:EN38,0)&gt;0,0,1)</f>
        <v/>
      </c>
      <c r="OL38">
        <f>IF($DP$38="",FALSE,SUMPRODUCT(('Final Calculation Sheet'!$V$4:$V$40=$DP$38)*($OK$6:$OK$42=1))&gt;0)</f>
        <v/>
      </c>
      <c r="OM38">
        <f>$OM$37+--($OL38)</f>
        <v/>
      </c>
      <c r="ON38">
        <f>IF(ROW()-3&gt;MAX($OM$4:$OM$40),"",INDEX($DP$4:$DP$40,MATCH(ROW()-3,$OM$4:$OM$40,0)))</f>
        <v/>
      </c>
      <c r="OO38">
        <f>IF(COUNTIF('Buyer Groups'!DG38:EB38,0)+COUNTIF('Buyer Groups'!ED38:EN38,0)&gt;0,0,1)</f>
        <v/>
      </c>
      <c r="OP38">
        <f>IF($DU$38="",FALSE,SUMPRODUCT(('Final Calculation Sheet'!$W$4:$W$40=$DU$38)*($OO$6:$OO$42=1))&gt;0)</f>
        <v/>
      </c>
      <c r="OQ38">
        <f>$OQ$37+--($OP38)</f>
        <v/>
      </c>
      <c r="OR38">
        <f>IF(ROW()-3&gt;MAX($OQ$4:$OQ$40),"",INDEX($DU$4:$DU$40,MATCH(ROW()-3,$OQ$4:$OQ$40,0)))</f>
        <v/>
      </c>
      <c r="OS38">
        <f>IF(COUNTIF('Buyer Groups'!DG38:EC38,0)+COUNTIF('Buyer Groups'!EE38:EN38,0)&gt;0,0,1)</f>
        <v/>
      </c>
      <c r="OT38">
        <f>IF($DZ$38="",FALSE,SUMPRODUCT(('Final Calculation Sheet'!$X$4:$X$40=$DZ$38)*($OS$6:$OS$42=1))&gt;0)</f>
        <v/>
      </c>
      <c r="OU38">
        <f>$OU$37+--($OT38)</f>
        <v/>
      </c>
      <c r="OV38">
        <f>IF(ROW()-3&gt;MAX($OU$4:$OU$40),"",INDEX($DZ$4:$DZ$40,MATCH(ROW()-3,$OU$4:$OU$40,0)))</f>
        <v/>
      </c>
      <c r="OW38">
        <f>IF(COUNTIF('Buyer Groups'!DG38:ED38,0)+COUNTIF('Buyer Groups'!EF38:EN38,0)&gt;0,0,1)</f>
        <v/>
      </c>
      <c r="OX38">
        <f>IF($EE$38="",FALSE,SUMPRODUCT(('Final Calculation Sheet'!$Y$4:$Y$40=$EE$38)*($OW$6:$OW$42=1))&gt;0)</f>
        <v/>
      </c>
      <c r="OY38">
        <f>$OY$37+--($OX38)</f>
        <v/>
      </c>
      <c r="OZ38">
        <f>IF(ROW()-3&gt;MAX($OY$4:$OY$40),"",INDEX($EE$4:$EE$40,MATCH(ROW()-3,$OY$4:$OY$40,0)))</f>
        <v/>
      </c>
      <c r="PA38">
        <f>IF(COUNTIF('Buyer Groups'!DG38:EE38,0)+COUNTIF('Buyer Groups'!EG38:EN38,0)&gt;0,0,1)</f>
        <v/>
      </c>
      <c r="PB38">
        <f>IF($EJ$38="",FALSE,SUMPRODUCT(('Final Calculation Sheet'!$Z$4:$Z$40=$EJ$38)*($PA$6:$PA$42=1))&gt;0)</f>
        <v/>
      </c>
      <c r="PC38">
        <f>$PC$37+--($PB38)</f>
        <v/>
      </c>
      <c r="PD38">
        <f>IF(ROW()-3&gt;MAX($PC$4:$PC$40),"",INDEX($EJ$4:$EJ$40,MATCH(ROW()-3,$PC$4:$PC$40,0)))</f>
        <v/>
      </c>
      <c r="PE38">
        <f>IF(COUNTIF('Buyer Groups'!DG38:EF38,0)+COUNTIF('Buyer Groups'!EH38:EN38,0)&gt;0,0,1)</f>
        <v/>
      </c>
      <c r="PF38">
        <f>IF($EO$38="",FALSE,SUMPRODUCT(('Final Calculation Sheet'!$AA$4:$AA$40=$EO$38)*($PE$6:$PE$42=1))&gt;0)</f>
        <v/>
      </c>
      <c r="PG38">
        <f>$PG$37+--($PF38)</f>
        <v/>
      </c>
      <c r="PH38">
        <f>IF(ROW()-3&gt;MAX($PG$4:$PG$40),"",INDEX($EO$4:$EO$40,MATCH(ROW()-3,$PG$4:$PG$40,0)))</f>
        <v/>
      </c>
      <c r="PI38">
        <f>IF(COUNTIF('Buyer Groups'!DG38:EG38,0)+COUNTIF('Buyer Groups'!EI38:EN38,0)&gt;0,0,1)</f>
        <v/>
      </c>
      <c r="PJ38">
        <f>IF($ET$38="",FALSE,SUMPRODUCT(('Final Calculation Sheet'!$AB$4:$AB$40=$ET$38)*($PI$6:$PI$42=1))&gt;0)</f>
        <v/>
      </c>
      <c r="PK38">
        <f>$PK$37+--($PJ38)</f>
        <v/>
      </c>
      <c r="PL38">
        <f>IF(ROW()-3&gt;MAX($PK$4:$PK$40),"",INDEX($ET$4:$ET$40,MATCH(ROW()-3,$PK$4:$PK$40,0)))</f>
        <v/>
      </c>
      <c r="PM38">
        <f>IF(COUNTIF('Buyer Groups'!DG38:EH38,0)+COUNTIF('Buyer Groups'!EJ38:EN38,0)&gt;0,0,1)</f>
        <v/>
      </c>
      <c r="PN38">
        <f>IF($EY$38="",FALSE,SUMPRODUCT(('Final Calculation Sheet'!$AC$4:$AC$40=$EY$38)*($PM$6:$PM$42=1))&gt;0)</f>
        <v/>
      </c>
      <c r="PO38">
        <f>$PO$37+--($PN38)</f>
        <v/>
      </c>
      <c r="PP38">
        <f>IF(ROW()-3&gt;MAX($PO$4:$PO$40),"",INDEX($EY$4:$EY$40,MATCH(ROW()-3,$PO$4:$PO$40,0)))</f>
        <v/>
      </c>
      <c r="PQ38">
        <f>IF(COUNTIF('Buyer Groups'!DG38:EI38,0)+COUNTIF('Buyer Groups'!EK38:EN38,0)&gt;0,0,1)</f>
        <v/>
      </c>
      <c r="PR38">
        <f>IF($FD$38="",FALSE,SUMPRODUCT(('Final Calculation Sheet'!$AD$4:$AD$40=$FD$38)*($PQ$6:$PQ$42=1))&gt;0)</f>
        <v/>
      </c>
      <c r="PS38">
        <f>$PS$37+--($PR38)</f>
        <v/>
      </c>
      <c r="PT38">
        <f>IF(ROW()-3&gt;MAX($PS$4:$PS$40),"",INDEX($FD$4:$FD$40,MATCH(ROW()-3,$PS$4:$PS$40,0)))</f>
        <v/>
      </c>
      <c r="PU38">
        <f>IF(COUNTIF('Buyer Groups'!DG38:EJ38,0)+COUNTIF('Buyer Groups'!EL38:EN38,0)&gt;0,0,1)</f>
        <v/>
      </c>
      <c r="PV38">
        <f>IF($FX$38="",FALSE,SUMPRODUCT((IF('Final Calculation Sheet'!$AD$4:$AD$40&lt;=5,"SETTLED","OUTSTANDING")=$FX$38)*($PU$6:$PU$42=1))&gt;0)</f>
        <v/>
      </c>
      <c r="PW38">
        <f>$PW$37+--($PV38)</f>
        <v/>
      </c>
      <c r="PX38">
        <f>IF(ROW()-3&gt;MAX($PW$4:$PW$40),"",INDEX($FX$4:$FX$40,MATCH(ROW()-3,$PW$4:$PW$40,0)))</f>
        <v/>
      </c>
      <c r="PY38">
        <f>IF(COUNTIF('Buyer Groups'!DG38:EK38,0)+COUNTIF('Buyer Groups'!EM38:EN38,0)&gt;0,0,1)</f>
        <v/>
      </c>
      <c r="PZ38">
        <f>IF($FI$38="",FALSE,SUMPRODUCT(('Final Calculation Sheet'!$AF$4:$AF$40=$FI$38)*($PY$6:$PY$42=1))&gt;0)</f>
        <v/>
      </c>
      <c r="QA38">
        <f>$QA$37+--($PZ38)</f>
        <v/>
      </c>
      <c r="QB38">
        <f>IF(ROW()-3&gt;MAX($QA$4:$QA$40),"",INDEX($FI$4:$FI$40,MATCH(ROW()-3,$QA$4:$QA$40,0)))</f>
        <v/>
      </c>
      <c r="QC38">
        <f>IF(COUNTIF('Buyer Groups'!DG38:EL38,0)+COUNTIF('Buyer Groups'!EN38:EN38,0)&gt;0,0,1)</f>
        <v/>
      </c>
      <c r="QD38">
        <f>IF($FN$38="",FALSE,SUMPRODUCT(('Final Calculation Sheet'!$AG$4:$AG$40=$FN$38)*($QC$6:$QC$42=1))&gt;0)</f>
        <v/>
      </c>
      <c r="QE38">
        <f>$QE$37+--($QD38)</f>
        <v/>
      </c>
      <c r="QF38">
        <f>IF(ROW()-3&gt;MAX($QE$4:$QE$40),"",INDEX($FN$4:$FN$40,MATCH(ROW()-3,$QE$4:$QE$40,0)))</f>
        <v/>
      </c>
      <c r="QG38">
        <f>IF(COUNTIF('Buyer Groups'!DG38:EM38,0)&gt;0,0,1)</f>
        <v/>
      </c>
      <c r="QH38">
        <f>IF($FS$38="",FALSE,SUMPRODUCT(('Final Calculation Sheet'!$AH$4:$AH$40=$FS$38)*($QG$6:$QG$42=1))&gt;0)</f>
        <v/>
      </c>
      <c r="QI38">
        <f>$QI$37+--($QH38)</f>
        <v/>
      </c>
      <c r="QJ38">
        <f>IF(ROW()-3&gt;MAX($QI$4:$QI$40),"",INDEX($FS$4:$FS$40,MATCH(ROW()-3,$QI$4:$QI$40,0)))</f>
        <v/>
      </c>
      <c r="QK38" t="str">
        <f>IF('Final Calculation Sheet'!$AH$38="","",'Final Calculation Sheet'!$AH$38)</f>
      </c>
      <c r="QL38" t="str">
        <f>IF(QK38="","",COUNTIFS(QK$4:QK$40,"&lt;"&amp;QK38,QK$4:QK$40,"&lt;&gt;"&amp;"")+COUNTIF(QK$4:QK38,QK38))</f>
      </c>
      <c r="QM38" t="str">
        <f>IF(ROW()-3&gt;COUNTIF(QK$4:QK$40,"&lt;&gt;"&amp;""),"",INDEX(QK$4:QK$40,MATCH(ROW()-3,QL$4:QL$40,0)))</f>
      </c>
      <c r="QN38" t="str">
        <f>=QN37+F(AND(QM38&lt;&gt;"",COUNTIF(QM$4:QM38,QM38)=1),1,0)</f>
      </c>
      <c r="QO38" t="str">
        <f>IF(ROW()-3&gt;MAX(QN$4:QN$40),"",INDEX(QM$4:QM$40,MATCH(ROW()-3,QN$4:QN$40,0)))</f>
      </c>
      <c r="QP38" t="str">
        <f>IF(COUNTIF('Final Calculation Sheet'!$AM38:$BS38,0)&gt;0,0,1)</f>
      </c>
      <c r="QQ38" t="str">
        <f>IF($AI$38="",FALSE,SUMPRODUCT(('Final Calculation Sheet'!$A$4:$A$40=$AI$38)*($QP$4:$QP$40=1))&gt;0)</f>
      </c>
      <c r="QR38" t="str">
        <f>=$QR37+--($QQ38)</f>
      </c>
      <c r="QS38" t="str">
        <f>IF(ROW()-3&gt;MAX($QR$4:$QR$40),"",INDEX($AI$4:$AI$40,MATCH(ROW()-3,$QR$4:$QR$40,0)))</f>
      </c>
      <c r="QT38" t="str">
        <f>IF(COUNTIF('Final Calculation Sheet'!$AL38:$AL38,0)+COUNTIF('Final Calculation Sheet'!$AN38:$BS38,0)&gt;0,0,1)</f>
      </c>
      <c r="QU38" t="str">
        <f>IF($Y$38="",FALSE,SUMPRODUCT(('Final Calculation Sheet'!$B$4:$B$40=$Y$38)*($QT$4:$QT$40=1))&gt;0)</f>
      </c>
      <c r="QV38" t="str">
        <f>=$QV37+--($QU38)</f>
      </c>
      <c r="QW38" t="str">
        <f>IF(ROW()-3&gt;MAX($QV$4:$QV$40),"",INDEX($Y$4:$Y$40,MATCH(ROW()-3,$QV$4:$QV$40,0)))</f>
      </c>
      <c r="QX38" t="str">
        <f>IF(COUNTIF('Final Calculation Sheet'!$AL38:$AM38,0)+COUNTIF('Final Calculation Sheet'!$AO38:$BS38,0)&gt;0,0,1)</f>
      </c>
      <c r="QY38" t="str">
        <f>IF($AS$38="",FALSE,SUMPRODUCT(('Final Calculation Sheet'!$C$4:$C$40=$AS$38)*($QX$4:$QX$40=1))&gt;0)</f>
      </c>
      <c r="QZ38" t="str">
        <f>=$QZ37+--($QY38)</f>
      </c>
      <c r="RA38" t="str">
        <f>IF(ROW()-3&gt;MAX($QZ$4:$QZ$40),"",INDEX($AS$4:$AS$40,MATCH(ROW()-3,$QZ$4:$QZ$40,0)))</f>
      </c>
      <c r="RB38" t="str">
        <f>IF(COUNTIF('Final Calculation Sheet'!$AL38:$AN38,0)+COUNTIF('Final Calculation Sheet'!$AP38:$BS38,0)&gt;0,0,1)</f>
      </c>
      <c r="RC38" t="str">
        <f>IF($AD$38="",FALSE,SUMPRODUCT(('Final Calculation Sheet'!$D$4:$D$40=$AD$38)*($RB$4:$RB$40=1))&gt;0)</f>
      </c>
      <c r="RD38" t="str">
        <f>=$RD37+--($RC38)</f>
      </c>
      <c r="RE38" t="str">
        <f>IF(ROW()-3&gt;MAX($RD$4:$RD$40),"",INDEX($AD$4:$AD$40,MATCH(ROW()-3,$RD$4:$RD$40,0)))</f>
      </c>
      <c r="RF38" t="str">
        <f>IF(COUNTIF('Final Calculation Sheet'!$AL38:$AO38,0)+COUNTIF('Final Calculation Sheet'!$AQ38:$BS38,0)&gt;0,0,1)</f>
      </c>
      <c r="RG38" t="str">
        <f>IF($AN$38="",FALSE,SUMPRODUCT(('Final Calculation Sheet'!$E$4:$E$40=$AN$38)*($RF$4:$RF$40=1))&gt;0)</f>
      </c>
      <c r="RH38" t="str">
        <f>=$RH37+--($RG38)</f>
      </c>
      <c r="RI38" t="str">
        <f>IF(ROW()-3&gt;MAX($RH$4:$RH$40),"",INDEX($AN$4:$AN$40,MATCH(ROW()-3,$RH$4:$RH$40,0)))</f>
      </c>
      <c r="RJ38" t="str">
        <f>IF(COUNTIF('Final Calculation Sheet'!$AL38:$AP38,0)+COUNTIF('Final Calculation Sheet'!$AR38:$BS38,0)&gt;0,0,1)</f>
      </c>
      <c r="RK38" t="str">
        <f>IF($O$38="",FALSE,SUMPRODUCT(('Final Calculation Sheet'!$F$4:$F$40=$O$38)*($RJ$4:$RJ$40=1))&gt;0)</f>
      </c>
      <c r="RL38" t="str">
        <f>=$RL37+--($RK38)</f>
      </c>
      <c r="RM38" t="str">
        <f>IF(ROW()-3&gt;MAX($RL$4:$RL$40),"",INDEX($O$4:$O$40,MATCH(ROW()-3,$RL$4:$RL$40,0)))</f>
      </c>
      <c r="RN38" t="str">
        <f>IF(COUNTIF('Final Calculation Sheet'!$AL38:$AQ38,0)+COUNTIF('Final Calculation Sheet'!$AS38:$BS38,0)&gt;0,0,1)</f>
      </c>
      <c r="RO38" t="str">
        <f>IF($T$38="",FALSE,SUMPRODUCT(('Final Calculation Sheet'!$G$4:$G$40=$T$38)*($RN$4:$RN$40=1))&gt;0)</f>
      </c>
      <c r="RP38" t="str">
        <f>=$RP37+--($RO38)</f>
      </c>
      <c r="RQ38" t="str">
        <f>IF(ROW()-3&gt;MAX($RP$4:$RP$40),"",INDEX($T$4:$T$40,MATCH(ROW()-3,$RP$4:$RP$40,0)))</f>
      </c>
      <c r="RR38" t="str">
        <f>IF(COUNTIF('Final Calculation Sheet'!$AL38:$AR38,0)+COUNTIF('Final Calculation Sheet'!$AT38:$BS38,0)&gt;0,0,1)</f>
      </c>
      <c r="RS38" t="str">
        <f>IF($AX$38="",FALSE,SUMPRODUCT(('Final Calculation Sheet'!$H$4:$H$40=$AX$38)*($RR$4:$RR$40=1))&gt;0)</f>
      </c>
      <c r="RT38" t="str">
        <f>=$RT37+--($RS38)</f>
      </c>
      <c r="RU38" t="str">
        <f>IF(ROW()-3&gt;MAX($RT$4:$RT$40),"",INDEX($AX$4:$AX$40,MATCH(ROW()-3,$RT$4:$RT$40,0)))</f>
      </c>
      <c r="RV38" t="str">
        <f>IF(COUNTIF('Final Calculation Sheet'!$AL38:$AS38,0)+COUNTIF('Final Calculation Sheet'!$AU38:$BS38,0)&gt;0,0,1)</f>
      </c>
      <c r="RW38" t="str">
        <f>IF($BC$38="",FALSE,SUMPRODUCT(('Final Calculation Sheet'!$I$4:$I$40=$BC$38)*($RV$4:$RV$40=1))&gt;0)</f>
      </c>
      <c r="RX38" t="str">
        <f>=$RX37+--($RW38)</f>
      </c>
      <c r="RY38" t="str">
        <f>IF(ROW()-3&gt;MAX($RX$4:$RX$40),"",INDEX($BC$4:$BC$40,MATCH(ROW()-3,$RX$4:$RX$40,0)))</f>
      </c>
      <c r="RZ38" t="str">
        <f>IF(COUNTIF('Final Calculation Sheet'!$AL38:$AT38,0)+COUNTIF('Final Calculation Sheet'!$AV38:$BS38,0)&gt;0,0,1)</f>
      </c>
      <c r="SA38" t="str">
        <f>IF($BH$38="",FALSE,SUMPRODUCT(('Final Calculation Sheet'!$J$4:$J$40=$BH$38)*($RZ$4:$RZ$40=1))&gt;0)</f>
      </c>
      <c r="SB38" t="str">
        <f>=$SB37+--($SA38)</f>
      </c>
      <c r="SC38" t="str">
        <f>IF(ROW()-3&gt;MAX($SB$4:$SB$40),"",INDEX($BH$4:$BH$40,MATCH(ROW()-3,$SB$4:$SB$40,0)))</f>
      </c>
      <c r="SD38" t="str">
        <f>IF(COUNTIF('Final Calculation Sheet'!$AL38:$AU38,0)+COUNTIF('Final Calculation Sheet'!$AW38:$BS38,0)&gt;0,0,1)</f>
      </c>
      <c r="SE38" t="str">
        <f>IF($BM$38="",FALSE,SUMPRODUCT(('Final Calculation Sheet'!$K$4:$K$40=$BM$38)*($SD$4:$SD$40=1))&gt;0)</f>
      </c>
      <c r="SF38" t="str">
        <f>=$SF37+--($SE38)</f>
      </c>
      <c r="SG38" t="str">
        <f>IF(ROW()-3&gt;MAX($SF$4:$SF$40),"",INDEX($BM$4:$BM$40,MATCH(ROW()-3,$SF$4:$SF$40,0)))</f>
      </c>
      <c r="SH38" t="str">
        <f>IF(COUNTIF('Final Calculation Sheet'!$AL38:$AV38,0)+COUNTIF('Final Calculation Sheet'!$AX38:$BS38,0)&gt;0,0,1)</f>
      </c>
      <c r="SI38" t="str">
        <f>IF($BR$38="",FALSE,SUMPRODUCT(('Final Calculation Sheet'!$L$4:$L$40=$BR$38)*($SH$4:$SH$40=1))&gt;0)</f>
      </c>
      <c r="SJ38" t="str">
        <f>=$SJ37+--($SI38)</f>
      </c>
      <c r="SK38" t="str">
        <f>IF(ROW()-3&gt;MAX($SJ$4:$SJ$40),"",INDEX($BR$4:$BR$40,MATCH(ROW()-3,$SJ$4:$SJ$40,0)))</f>
      </c>
      <c r="SL38" t="str">
        <f>IF(COUNTIF('Final Calculation Sheet'!$AL38:$AW38,0)+COUNTIF('Final Calculation Sheet'!$AY38:$BS38,0)&gt;0,0,1)</f>
      </c>
      <c r="SM38" t="str">
        <f>IF($BW$38="",FALSE,SUMPRODUCT(('Final Calculation Sheet'!$M$4:$M$40=$BW$38)*($SL$4:$SL$40=1))&gt;0)</f>
      </c>
      <c r="SN38" t="str">
        <f>=$SN37+--($SM38)</f>
      </c>
      <c r="SO38" t="str">
        <f>IF(ROW()-3&gt;MAX($SN$4:$SN$40),"",INDEX($BW$4:$BW$40,MATCH(ROW()-3,$SN$4:$SN$40,0)))</f>
      </c>
      <c r="SP38" t="str">
        <f>IF(COUNTIF('Final Calculation Sheet'!$AL38:$AX38,0)+COUNTIF('Final Calculation Sheet'!$AZ38:$BS38,0)&gt;0,0,1)</f>
      </c>
      <c r="SQ38" t="str">
        <f>IF($CB$38="",FALSE,SUMPRODUCT(('Final Calculation Sheet'!$N$4:$N$40=$CB$38)*($SP$4:$SP$40=1))&gt;0)</f>
      </c>
      <c r="SR38" t="str">
        <f>=$SR37+--($SQ38)</f>
      </c>
      <c r="SS38" t="str">
        <f>IF(ROW()-3&gt;MAX($SR$4:$SR$40),"",INDEX($CB$4:$CB$40,MATCH(ROW()-3,$SR$4:$SR$40,0)))</f>
      </c>
      <c r="ST38" t="str">
        <f>IF(COUNTIF('Final Calculation Sheet'!$AL38:$AY38,0)+COUNTIF('Final Calculation Sheet'!$BA38:$BS38,0)&gt;0,0,1)</f>
      </c>
      <c r="SU38" t="str">
        <f>IF($CG$38="",FALSE,SUMPRODUCT(('Final Calculation Sheet'!$O$4:$O$40=$CG$38)*($ST$4:$ST$40=1))&gt;0)</f>
      </c>
      <c r="SV38" t="str">
        <f>=$SV37+--($SU38)</f>
      </c>
      <c r="SW38" t="str">
        <f>IF(ROW()-3&gt;MAX($SV$4:$SV$40),"",INDEX($CG$4:$CG$40,MATCH(ROW()-3,$SV$4:$SV$40,0)))</f>
      </c>
      <c r="SX38" t="str">
        <f>IF(COUNTIF('Final Calculation Sheet'!$AL38:$AZ38,0)+COUNTIF('Final Calculation Sheet'!$BB38:$BS38,0)&gt;0,0,1)</f>
      </c>
      <c r="SY38" t="str">
        <f>IF($CL$38="",FALSE,SUMPRODUCT(('Final Calculation Sheet'!$P$4:$P$40=$CL$38)*($SX$4:$SX$40=1))&gt;0)</f>
      </c>
      <c r="SZ38" t="str">
        <f>=$SZ37+--($SY38)</f>
      </c>
      <c r="TA38" t="str">
        <f>IF(ROW()-3&gt;MAX($SZ$4:$SZ$40),"",INDEX($CL$4:$CL$40,MATCH(ROW()-3,$SZ$4:$SZ$40,0)))</f>
      </c>
      <c r="TB38" t="str">
        <f>IF(COUNTIF('Final Calculation Sheet'!$AL38:$BA38,0)+COUNTIF('Final Calculation Sheet'!$BC38:$BS38,0)&gt;0,0,1)</f>
      </c>
      <c r="TC38" t="str">
        <f>IF($CQ$38="",FALSE,SUMPRODUCT(('Final Calculation Sheet'!$Q$4:$Q$40=$CQ$38)*($TB$4:$TB$40=1))&gt;0)</f>
      </c>
      <c r="TD38" t="str">
        <f>=$TD37+--($TC38)</f>
      </c>
      <c r="TE38" t="str">
        <f>IF(ROW()-3&gt;MAX($TD$4:$TD$40),"",INDEX($CQ$4:$CQ$40,MATCH(ROW()-3,$TD$4:$TD$40,0)))</f>
      </c>
      <c r="TF38" t="str">
        <f>IF(COUNTIF('Final Calculation Sheet'!$AL38:$BB38,0)+COUNTIF('Final Calculation Sheet'!$BD38:$BS38,0)&gt;0,0,1)</f>
      </c>
      <c r="TG38" t="str">
        <f>IF($CV$38="",FALSE,SUMPRODUCT(('Final Calculation Sheet'!$R$4:$R$40=$CV$38)*($TF$4:$TF$40=1))&gt;0)</f>
      </c>
      <c r="TH38" t="str">
        <f>=$TH37+--($TG38)</f>
      </c>
      <c r="TI38" t="str">
        <f>IF(ROW()-3&gt;MAX($TH$4:$TH$40),"",INDEX($CV$4:$CV$40,MATCH(ROW()-3,$TH$4:$TH$40,0)))</f>
      </c>
      <c r="TJ38" t="str">
        <f>IF(COUNTIF('Final Calculation Sheet'!$AL38:$BC38,0)+COUNTIF('Final Calculation Sheet'!$BE38:$BS38,0)&gt;0,0,1)</f>
      </c>
      <c r="TK38" t="str">
        <f>IF($DA$38="",FALSE,SUMPRODUCT(('Final Calculation Sheet'!$S$4:$S$40=$DA$38)*($TJ$4:$TJ$40=1))&gt;0)</f>
      </c>
      <c r="TL38" t="str">
        <f>=$TL37+--($TK38)</f>
      </c>
      <c r="TM38" t="str">
        <f>IF(ROW()-3&gt;MAX($TL$4:$TL$40),"",INDEX($DA$4:$DA$40,MATCH(ROW()-3,$TL$4:$TL$40,0)))</f>
      </c>
      <c r="TN38" t="str">
        <f>IF(COUNTIF('Final Calculation Sheet'!$AL38:$BD38,0)+COUNTIF('Final Calculation Sheet'!$BF38:$BS38,0)&gt;0,0,1)</f>
      </c>
      <c r="TO38" t="str">
        <f>IF($DF$38="",FALSE,SUMPRODUCT(('Final Calculation Sheet'!$T$4:$T$40=$DF$38)*($TN$4:$TN$40=1))&gt;0)</f>
      </c>
      <c r="TP38" t="str">
        <f>=$TP37+--($TO38)</f>
      </c>
      <c r="TQ38" t="str">
        <f>IF(ROW()-3&gt;MAX($TP$4:$TP$40),"",INDEX($DF$4:$DF$40,MATCH(ROW()-3,$TP$4:$TP$40,0)))</f>
      </c>
      <c r="TR38" t="str">
        <f>IF(COUNTIF('Final Calculation Sheet'!$AL38:$BE38,0)+COUNTIF('Final Calculation Sheet'!$BG38:$BS38,0)&gt;0,0,1)</f>
      </c>
      <c r="TS38" t="str">
        <f>IF($DK$38="",FALSE,SUMPRODUCT(('Final Calculation Sheet'!$U$4:$U$40=$DK$38)*($TR$4:$TR$40=1))&gt;0)</f>
      </c>
      <c r="TT38" t="str">
        <f>=$TT37+--($TS38)</f>
      </c>
      <c r="TU38" t="str">
        <f>IF(ROW()-3&gt;MAX($TT$4:$TT$40),"",INDEX($DK$4:$DK$40,MATCH(ROW()-3,$TT$4:$TT$40,0)))</f>
      </c>
      <c r="TV38" t="str">
        <f>IF(COUNTIF('Final Calculation Sheet'!$AL38:$BF38,0)+COUNTIF('Final Calculation Sheet'!$BH38:$BS38,0)&gt;0,0,1)</f>
      </c>
      <c r="TW38" t="str">
        <f>IF($DP$38="",FALSE,SUMPRODUCT(('Final Calculation Sheet'!$V$4:$V$40=$DP$38)*($TV$4:$TV$40=1))&gt;0)</f>
      </c>
      <c r="TX38" t="str">
        <f>=$TX37+--($TW38)</f>
      </c>
      <c r="TY38" t="str">
        <f>IF(ROW()-3&gt;MAX($TX$4:$TX$40),"",INDEX($DP$4:$DP$40,MATCH(ROW()-3,$TX$4:$TX$40,0)))</f>
      </c>
      <c r="TZ38" t="str">
        <f>IF(COUNTIF('Final Calculation Sheet'!$AL38:$BG38,0)+COUNTIF('Final Calculation Sheet'!$BI38:$BS38,0)&gt;0,0,1)</f>
      </c>
      <c r="UA38" t="str">
        <f>IF($DU$38="",FALSE,SUMPRODUCT(('Final Calculation Sheet'!$W$4:$W$40=$DU$38)*($TZ$4:$TZ$40=1))&gt;0)</f>
      </c>
      <c r="UB38" t="str">
        <f>=$UB37+--($UA38)</f>
      </c>
      <c r="UC38" t="str">
        <f>IF(ROW()-3&gt;MAX($UB$4:$UB$40),"",INDEX($DU$4:$DU$40,MATCH(ROW()-3,$UB$4:$UB$40,0)))</f>
      </c>
      <c r="UD38" t="str">
        <f>IF(COUNTIF('Final Calculation Sheet'!$AL38:$BH38,0)+COUNTIF('Final Calculation Sheet'!$BJ38:$BS38,0)&gt;0,0,1)</f>
      </c>
      <c r="UE38" t="str">
        <f>IF($DZ$38="",FALSE,SUMPRODUCT(('Final Calculation Sheet'!$X$4:$X$40=$DZ$38)*($UD$4:$UD$40=1))&gt;0)</f>
      </c>
      <c r="UF38" t="str">
        <f>=$UF37+--($UE38)</f>
      </c>
      <c r="UG38" t="str">
        <f>IF(ROW()-3&gt;MAX($UF$4:$UF$40),"",INDEX($DZ$4:$DZ$40,MATCH(ROW()-3,$UF$4:$UF$40,0)))</f>
      </c>
      <c r="UH38" t="str">
        <f>IF(COUNTIF('Final Calculation Sheet'!$AL38:$BI38,0)+COUNTIF('Final Calculation Sheet'!$BK38:$BS38,0)&gt;0,0,1)</f>
      </c>
      <c r="UI38" t="str">
        <f>IF($EE$38="",FALSE,SUMPRODUCT(('Final Calculation Sheet'!$Y$4:$Y$40=$EE$38)*($UH$4:$UH$40=1))&gt;0)</f>
      </c>
      <c r="UJ38" t="str">
        <f>=$UJ37+--($UI38)</f>
      </c>
      <c r="UK38" t="str">
        <f>IF(ROW()-3&gt;MAX($UJ$4:$UJ$40),"",INDEX($EE$4:$EE$40,MATCH(ROW()-3,$UJ$4:$UJ$40,0)))</f>
      </c>
      <c r="UL38" t="str">
        <f>IF(COUNTIF('Final Calculation Sheet'!$AL38:$BJ38,0)+COUNTIF('Final Calculation Sheet'!$BL38:$BS38,0)&gt;0,0,1)</f>
      </c>
      <c r="UM38" t="str">
        <f>IF($EJ$38="",FALSE,SUMPRODUCT(('Final Calculation Sheet'!$Z$4:$Z$40=$EJ$38)*($UL$4:$UL$40=1))&gt;0)</f>
      </c>
      <c r="UN38" t="str">
        <f>=$UN37+--($UM38)</f>
      </c>
      <c r="UO38" t="str">
        <f>IF(ROW()-3&gt;MAX($UN$4:$UN$40),"",INDEX($EJ$4:$EJ$40,MATCH(ROW()-3,$UN$4:$UN$40,0)))</f>
      </c>
      <c r="UP38" t="str">
        <f>IF(COUNTIF('Final Calculation Sheet'!$AL38:$BK38,0)+COUNTIF('Final Calculation Sheet'!$BM38:$BS38,0)&gt;0,0,1)</f>
      </c>
      <c r="UQ38" t="str">
        <f>IF($EO$38="",FALSE,SUMPRODUCT(('Final Calculation Sheet'!$AA$4:$AA$40=$EO$38)*($UP$4:$UP$40=1))&gt;0)</f>
      </c>
      <c r="UR38" t="str">
        <f>=$UR37+--($UQ38)</f>
      </c>
      <c r="US38" t="str">
        <f>IF(ROW()-3&gt;MAX($UR$4:$UR$40),"",INDEX($EO$4:$EO$40,MATCH(ROW()-3,$UR$4:$UR$40,0)))</f>
      </c>
      <c r="UT38" t="str">
        <f>IF(COUNTIF('Final Calculation Sheet'!$AL38:$BL38,0)+COUNTIF('Final Calculation Sheet'!$BN38:$BS38,0)&gt;0,0,1)</f>
      </c>
      <c r="UU38" t="str">
        <f>IF($ET$38="",FALSE,SUMPRODUCT(('Final Calculation Sheet'!$AB$4:$AB$40=$ET$38)*($UT$4:$UT$40=1))&gt;0)</f>
      </c>
      <c r="UV38" t="str">
        <f>=$UV37+--($UU38)</f>
      </c>
      <c r="UW38" t="str">
        <f>IF(ROW()-3&gt;MAX($UV$4:$UV$40),"",INDEX($ET$4:$ET$40,MATCH(ROW()-3,$UV$4:$UV$40,0)))</f>
      </c>
      <c r="UX38" t="str">
        <f>IF(COUNTIF('Final Calculation Sheet'!$AL38:$BM38,0)+COUNTIF('Final Calculation Sheet'!$BO38:$BS38,0)&gt;0,0,1)</f>
      </c>
      <c r="UY38" t="str">
        <f>IF($EY$38="",FALSE,SUMPRODUCT(('Final Calculation Sheet'!$AC$4:$AC$40=$EY$38)*($UX$4:$UX$40=1))&gt;0)</f>
      </c>
      <c r="UZ38" t="str">
        <f>=$UZ37+--($UY38)</f>
      </c>
      <c r="VA38" t="str">
        <f>IF(ROW()-3&gt;MAX($UZ$4:$UZ$40),"",INDEX($EY$4:$EY$40,MATCH(ROW()-3,$UZ$4:$UZ$40,0)))</f>
      </c>
      <c r="VB38" t="str">
        <f>IF(COUNTIF('Final Calculation Sheet'!$AL38:$BN38,0)+COUNTIF('Final Calculation Sheet'!$BP38:$BS38,0)&gt;0,0,1)</f>
      </c>
      <c r="VC38" t="str">
        <f>IF($FD$38="",FALSE,SUMPRODUCT(('Final Calculation Sheet'!$AD$4:$AD$40=$FD$38)*($VB$4:$VB$40=1))&gt;0)</f>
      </c>
      <c r="VD38" t="str">
        <f>=$VD37+--($VC38)</f>
      </c>
      <c r="VE38" t="str">
        <f>IF(ROW()-3&gt;MAX($VD$4:$VD$40),"",INDEX($FD$4:$FD$40,MATCH(ROW()-3,$VD$4:$VD$40,0)))</f>
      </c>
      <c r="VF38" t="str">
        <f>IF(COUNTIF('Final Calculation Sheet'!$AL38:$BO38,0)+COUNTIF('Final Calculation Sheet'!$BQ38:$BS38,0)&gt;0,0,1)</f>
      </c>
      <c r="VG38" t="str">
        <f>IF($FI$38="",FALSE,SUMPRODUCT(('Final Calculation Sheet'!$AE$4:$AE$40=$FI$38)*($VF$4:$VF$40=1))&gt;0)</f>
      </c>
      <c r="VH38" t="str">
        <f>=$VH37+--($VG38)</f>
      </c>
      <c r="VI38" t="str">
        <f>IF(ROW()-3&gt;MAX($VH$4:$VH$40),"",INDEX($FI$4:$FI$40,MATCH(ROW()-3,$VH$4:$VH$40,0)))</f>
      </c>
      <c r="VJ38" t="str">
        <f>IF(COUNTIF('Final Calculation Sheet'!$AL38:$BP38,0)+COUNTIF('Final Calculation Sheet'!$BR38:$BS38,0)&gt;0,0,1)</f>
      </c>
      <c r="VK38" t="str">
        <f>IF($FN$38="",FALSE,SUMPRODUCT(('Final Calculation Sheet'!$AF$4:$AF$40=$FN$38)*($VJ$4:$VJ$40=1))&gt;0)</f>
      </c>
      <c r="VL38" t="str">
        <f>=$VL37+--($VK38)</f>
      </c>
      <c r="VM38" t="str">
        <f>IF(ROW()-3&gt;MAX($VL$4:$VL$40),"",INDEX($FN$4:$FN$40,MATCH(ROW()-3,$VL$4:$VL$40,0)))</f>
      </c>
      <c r="VN38" t="str">
        <f>IF(COUNTIF('Final Calculation Sheet'!$AL38:$BQ38,0)+COUNTIF('Final Calculation Sheet'!$BS38:$BS38,0)&gt;0,0,1)</f>
      </c>
      <c r="VO38" t="str">
        <f>IF($FS$38="",FALSE,SUMPRODUCT(('Final Calculation Sheet'!$AG$4:$AG$40=$FS$38)*($VN$4:$VN$40=1))&gt;0)</f>
      </c>
      <c r="VP38" t="str">
        <f>=$VP37+--($VO38)</f>
      </c>
      <c r="VQ38" t="str">
        <f>IF(ROW()-3&gt;MAX($VP$4:$VP$40),"",INDEX($FS$4:$FS$40,MATCH(ROW()-3,$VP$4:$VP$40,0)))</f>
      </c>
      <c r="VR38" t="str">
        <f>IF(COUNTIF('Final Calculation Sheet'!$AL38:$BR38,0)&gt;0,0,1)</f>
      </c>
      <c r="VS38" t="str">
        <f>IF($QO$38="",FALSE,SUMPRODUCT(('Final Calculation Sheet'!$AH$4:$AH$40=$QO$38)*($VR$4:$VR$40=1))&gt;0)</f>
      </c>
      <c r="VT38" t="str">
        <f>=$VT37+--($VS38)</f>
      </c>
      <c r="VU38" t="str">
        <f>IF(ROW()-3&gt;MAX($VT$4:$VT$40),"",INDEX($QO$4:$QO$40,MATCH(ROW()-3,$VT$4:$VT$40,0)))</f>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IF(ROW()-3&gt;MAX($LC$4:$LC$40),"",INDEX($FS$4:$FS$40,MATCH(ROW()-3,$LC$4:$LC$40,0)))</f>
        <v/>
      </c>
      <c r="LE39">
        <f>IF(COUNTIF('Buyer Groups'!DH39:EN39,0)&gt;0,0,1)</f>
        <v/>
      </c>
      <c r="LF39">
        <f>IF($O$39="",FALSE,SUMPRODUCT(('Final Calculation Sheet'!$F$4:$F$40=$O$39)*($LE$6:$LE$42=1))&gt;0)</f>
        <v/>
      </c>
      <c r="LG39">
        <f>$LG$38+--($LF39)</f>
        <v/>
      </c>
      <c r="LH39">
        <f>IF(ROW()-3&gt;MAX($LG$4:$LG$40),"",INDEX($O$4:$O$40,MATCH(ROW()-3,$LG$4:$LG$40,0)))</f>
        <v/>
      </c>
      <c r="LI39">
        <f>IF(COUNTIF('Buyer Groups'!DG39:DG39,0)+COUNTIF('Buyer Groups'!DI39:EN39,0)&gt;0,0,1)</f>
        <v/>
      </c>
      <c r="LJ39">
        <f>IF($T$39="",FALSE,SUMPRODUCT(('Final Calculation Sheet'!$G$4:$G$40=$T$39)*($LI$6:$LI$42=1))&gt;0)</f>
        <v/>
      </c>
      <c r="LK39">
        <f>$LK$38+--($LJ39)</f>
        <v/>
      </c>
      <c r="LL39">
        <f>IF(ROW()-3&gt;MAX($LK$4:$LK$40),"",INDEX($T$4:$T$40,MATCH(ROW()-3,$LK$4:$LK$40,0)))</f>
        <v/>
      </c>
      <c r="LM39">
        <f>IF(COUNTIF('Buyer Groups'!DG39:DH39,0)+COUNTIF('Buyer Groups'!DJ39:EN39,0)&gt;0,0,1)</f>
        <v/>
      </c>
      <c r="LN39">
        <f>IF($Y$39="",FALSE,SUMPRODUCT(('Final Calculation Sheet'!$B$4:$B$40=$Y$39)*($LM$6:$LM$42=1))&gt;0)</f>
        <v/>
      </c>
      <c r="LO39">
        <f>$LO$38+--($LN39)</f>
        <v/>
      </c>
      <c r="LP39">
        <f>IF(ROW()-3&gt;MAX($LO$4:$LO$40),"",INDEX($Y$4:$Y$40,MATCH(ROW()-3,$LO$4:$LO$40,0)))</f>
        <v/>
      </c>
      <c r="LQ39">
        <f>IF(COUNTIF('Buyer Groups'!DG39:DI39,0)+COUNTIF('Buyer Groups'!DK39:EN39,0)&gt;0,0,1)</f>
        <v/>
      </c>
      <c r="LR39">
        <f>IF($AD$39="",FALSE,SUMPRODUCT(('Final Calculation Sheet'!$D$4:$D$40=$AD$39)*($LQ$6:$LQ$42=1))&gt;0)</f>
        <v/>
      </c>
      <c r="LS39">
        <f>$LS$38+--($LR39)</f>
        <v/>
      </c>
      <c r="LT39">
        <f>IF(ROW()-3&gt;MAX($LS$4:$LS$40),"",INDEX($AD$4:$AD$40,MATCH(ROW()-3,$LS$4:$LS$40,0)))</f>
        <v/>
      </c>
      <c r="LU39">
        <f>IF(COUNTIF('Buyer Groups'!DG39:DJ39,0)+COUNTIF('Buyer Groups'!DL39:EN39,0)&gt;0,0,1)</f>
        <v/>
      </c>
      <c r="LV39">
        <f>IF($AI$39="",FALSE,SUMPRODUCT(('Final Calculation Sheet'!$A$4:$A$40=$AI$39)*($LU$6:$LU$42=1))&gt;0)</f>
        <v/>
      </c>
      <c r="LW39">
        <f>$LW$38+--($LV39)</f>
        <v/>
      </c>
      <c r="LX39">
        <f>IF(ROW()-3&gt;MAX($LW$4:$LW$40),"",INDEX($AI$4:$AI$40,MATCH(ROW()-3,$LW$4:$LW$40,0)))</f>
        <v/>
      </c>
      <c r="LY39">
        <f>IF(COUNTIF('Buyer Groups'!DG39:DK39,0)+COUNTIF('Buyer Groups'!DM39:EN39,0)&gt;0,0,1)</f>
        <v/>
      </c>
      <c r="LZ39">
        <f>IF($AN$39="",FALSE,SUMPRODUCT(('Final Calculation Sheet'!$E$4:$E$40=$AN$39)*($LY$6:$LY$42=1))&gt;0)</f>
        <v/>
      </c>
      <c r="MA39">
        <f>$MA$38+--($LZ39)</f>
        <v/>
      </c>
      <c r="MB39">
        <f>IF(ROW()-3&gt;MAX($MA$4:$MA$40),"",INDEX($AN$4:$AN$40,MATCH(ROW()-3,$MA$4:$MA$40,0)))</f>
        <v/>
      </c>
      <c r="MC39">
        <f>IF(COUNTIF('Buyer Groups'!DG39:DL39,0)+COUNTIF('Buyer Groups'!DN39:EN39,0)&gt;0,0,1)</f>
        <v/>
      </c>
      <c r="MD39">
        <f>IF($AS$39="",FALSE,SUMPRODUCT(('Final Calculation Sheet'!$C$4:$C$40=$AS$39)*($MC$6:$MC$42=1))&gt;0)</f>
        <v/>
      </c>
      <c r="ME39">
        <f>$ME$38+--($MD39)</f>
        <v/>
      </c>
      <c r="MF39">
        <f>IF(ROW()-3&gt;MAX($ME$4:$ME$40),"",INDEX($AS$4:$AS$40,MATCH(ROW()-3,$ME$4:$ME$40,0)))</f>
        <v/>
      </c>
      <c r="MG39">
        <f>IF(COUNTIF('Buyer Groups'!DG39:DM39,0)+COUNTIF('Buyer Groups'!DO39:EN39,0)&gt;0,0,1)</f>
        <v/>
      </c>
      <c r="MH39">
        <f>IF($AX$39="",FALSE,SUMPRODUCT(('Final Calculation Sheet'!$H$4:$H$40=$AX$39)*($MG$6:$MG$42=1))&gt;0)</f>
        <v/>
      </c>
      <c r="MI39">
        <f>$MI$38+--($MH39)</f>
        <v/>
      </c>
      <c r="MJ39">
        <f>IF(ROW()-3&gt;MAX($MI$4:$MI$40),"",INDEX($AX$4:$AX$40,MATCH(ROW()-3,$MI$4:$MI$40,0)))</f>
        <v/>
      </c>
      <c r="MK39">
        <f>IF(COUNTIF('Buyer Groups'!DG39:DN39,0)+COUNTIF('Buyer Groups'!DP39:EN39,0)&gt;0,0,1)</f>
        <v/>
      </c>
      <c r="ML39">
        <f>IF($BC$39="",FALSE,SUMPRODUCT(('Final Calculation Sheet'!$I$4:$I$40=$BC$39)*($MK$6:$MK$42=1))&gt;0)</f>
        <v/>
      </c>
      <c r="MM39">
        <f>$MM$38+--($ML39)</f>
        <v/>
      </c>
      <c r="MN39">
        <f>IF(ROW()-3&gt;MAX($MM$4:$MM$40),"",INDEX($BC$4:$BC$40,MATCH(ROW()-3,$MM$4:$MM$40,0)))</f>
        <v/>
      </c>
      <c r="MO39">
        <f>IF(COUNTIF('Buyer Groups'!DG39:DO39,0)+COUNTIF('Buyer Groups'!DQ39:EN39,0)&gt;0,0,1)</f>
        <v/>
      </c>
      <c r="MP39">
        <f>IF($BH$39="",FALSE,SUMPRODUCT(('Final Calculation Sheet'!$J$4:$J$40=$BH$39)*($MO$6:$MO$42=1))&gt;0)</f>
        <v/>
      </c>
      <c r="MQ39">
        <f>$MQ$38+--($MP39)</f>
        <v/>
      </c>
      <c r="MR39">
        <f>IF(ROW()-3&gt;MAX($MQ$4:$MQ$40),"",INDEX($BH$4:$BH$40,MATCH(ROW()-3,$MQ$4:$MQ$40,0)))</f>
        <v/>
      </c>
      <c r="MS39">
        <f>IF(COUNTIF('Buyer Groups'!DG39:DP39,0)+COUNTIF('Buyer Groups'!DR39:EN39,0)&gt;0,0,1)</f>
        <v/>
      </c>
      <c r="MT39">
        <f>IF($BM$39="",FALSE,SUMPRODUCT(('Final Calculation Sheet'!$K$4:$K$40=$BM$39)*($MS$6:$MS$42=1))&gt;0)</f>
        <v/>
      </c>
      <c r="MU39">
        <f>$MU$38+--($MT39)</f>
        <v/>
      </c>
      <c r="MV39">
        <f>IF(ROW()-3&gt;MAX($MU$4:$MU$40),"",INDEX($BM$4:$BM$40,MATCH(ROW()-3,$MU$4:$MU$40,0)))</f>
        <v/>
      </c>
      <c r="MW39">
        <f>IF(COUNTIF('Buyer Groups'!DG39:DQ39,0)+COUNTIF('Buyer Groups'!DS39:EN39,0)&gt;0,0,1)</f>
        <v/>
      </c>
      <c r="MX39">
        <f>IF($BR$39="",FALSE,SUMPRODUCT(('Final Calculation Sheet'!$L$4:$L$40=$BR$39)*($MW$6:$MW$42=1))&gt;0)</f>
        <v/>
      </c>
      <c r="MY39">
        <f>$MY$38+--($MX39)</f>
        <v/>
      </c>
      <c r="MZ39">
        <f>IF(ROW()-3&gt;MAX($MY$4:$MY$40),"",INDEX($BR$4:$BR$40,MATCH(ROW()-3,$MY$4:$MY$40,0)))</f>
        <v/>
      </c>
      <c r="NA39">
        <f>IF(COUNTIF('Buyer Groups'!DG39:DR39,0)+COUNTIF('Buyer Groups'!DT39:EN39,0)&gt;0,0,1)</f>
        <v/>
      </c>
      <c r="NB39">
        <f>IF($BW$39="",FALSE,SUMPRODUCT(('Final Calculation Sheet'!$M$4:$M$40=$BW$39)*($NA$6:$NA$42=1))&gt;0)</f>
        <v/>
      </c>
      <c r="NC39">
        <f>$NC$38+--($NB39)</f>
        <v/>
      </c>
      <c r="ND39">
        <f>IF(ROW()-3&gt;MAX($NC$4:$NC$40),"",INDEX($BW$4:$BW$40,MATCH(ROW()-3,$NC$4:$NC$40,0)))</f>
        <v/>
      </c>
      <c r="NE39">
        <f>IF(COUNTIF('Buyer Groups'!DG39:DS39,0)+COUNTIF('Buyer Groups'!DU39:EN39,0)&gt;0,0,1)</f>
        <v/>
      </c>
      <c r="NF39">
        <f>IF($CB$39="",FALSE,SUMPRODUCT(('Final Calculation Sheet'!$N$4:$N$40=$CB$39)*($NE$6:$NE$42=1))&gt;0)</f>
        <v/>
      </c>
      <c r="NG39">
        <f>$NG$38+--($NF39)</f>
        <v/>
      </c>
      <c r="NH39">
        <f>IF(ROW()-3&gt;MAX($NG$4:$NG$40),"",INDEX($CB$4:$CB$40,MATCH(ROW()-3,$NG$4:$NG$40,0)))</f>
        <v/>
      </c>
      <c r="NI39">
        <f>IF(COUNTIF('Buyer Groups'!DG39:DT39,0)+COUNTIF('Buyer Groups'!DV39:EN39,0)&gt;0,0,1)</f>
        <v/>
      </c>
      <c r="NJ39">
        <f>IF($CG$39="",FALSE,SUMPRODUCT(('Final Calculation Sheet'!$O$4:$O$40=$CG$39)*($NI$6:$NI$42=1))&gt;0)</f>
        <v/>
      </c>
      <c r="NK39">
        <f>$NK$38+--($NJ39)</f>
        <v/>
      </c>
      <c r="NL39">
        <f>IF(ROW()-3&gt;MAX($NK$4:$NK$40),"",INDEX($CG$4:$CG$40,MATCH(ROW()-3,$NK$4:$NK$40,0)))</f>
        <v/>
      </c>
      <c r="NM39">
        <f>IF(COUNTIF('Buyer Groups'!DG39:DU39,0)+COUNTIF('Buyer Groups'!DW39:EN39,0)&gt;0,0,1)</f>
        <v/>
      </c>
      <c r="NN39">
        <f>IF($CL$39="",FALSE,SUMPRODUCT(('Final Calculation Sheet'!$P$4:$P$40=$CL$39)*($NM$6:$NM$42=1))&gt;0)</f>
        <v/>
      </c>
      <c r="NO39">
        <f>$NO$38+--($NN39)</f>
        <v/>
      </c>
      <c r="NP39">
        <f>IF(ROW()-3&gt;MAX($NO$4:$NO$40),"",INDEX($CL$4:$CL$40,MATCH(ROW()-3,$NO$4:$NO$40,0)))</f>
        <v/>
      </c>
      <c r="NQ39">
        <f>IF(COUNTIF('Buyer Groups'!DG39:DV39,0)+COUNTIF('Buyer Groups'!DX39:EN39,0)&gt;0,0,1)</f>
        <v/>
      </c>
      <c r="NR39">
        <f>IF($CQ$39="",FALSE,SUMPRODUCT(('Final Calculation Sheet'!$Q$4:$Q$40=$CQ$39)*($NQ$6:$NQ$42=1))&gt;0)</f>
        <v/>
      </c>
      <c r="NS39">
        <f>$NS$38+--($NR39)</f>
        <v/>
      </c>
      <c r="NT39">
        <f>IF(ROW()-3&gt;MAX($NS$4:$NS$40),"",INDEX($CQ$4:$CQ$40,MATCH(ROW()-3,$NS$4:$NS$40,0)))</f>
        <v/>
      </c>
      <c r="NU39">
        <f>IF(COUNTIF('Buyer Groups'!DG39:DW39,0)+COUNTIF('Buyer Groups'!DY39:EN39,0)&gt;0,0,1)</f>
        <v/>
      </c>
      <c r="NV39">
        <f>IF($CV$39="",FALSE,SUMPRODUCT(('Final Calculation Sheet'!$R$4:$R$40=$CV$39)*($NU$6:$NU$42=1))&gt;0)</f>
        <v/>
      </c>
      <c r="NW39">
        <f>$NW$38+--($NV39)</f>
        <v/>
      </c>
      <c r="NX39">
        <f>IF(ROW()-3&gt;MAX($NW$4:$NW$40),"",INDEX($CV$4:$CV$40,MATCH(ROW()-3,$NW$4:$NW$40,0)))</f>
        <v/>
      </c>
      <c r="NY39">
        <f>IF(COUNTIF('Buyer Groups'!DG39:DX39,0)+COUNTIF('Buyer Groups'!DZ39:EN39,0)&gt;0,0,1)</f>
        <v/>
      </c>
      <c r="NZ39">
        <f>IF($DA$39="",FALSE,SUMPRODUCT(('Final Calculation Sheet'!$S$4:$S$40=$DA$39)*($NY$6:$NY$42=1))&gt;0)</f>
        <v/>
      </c>
      <c r="OA39">
        <f>$OA$38+--($NZ39)</f>
        <v/>
      </c>
      <c r="OB39">
        <f>IF(ROW()-3&gt;MAX($OA$4:$OA$40),"",INDEX($DA$4:$DA$40,MATCH(ROW()-3,$OA$4:$OA$40,0)))</f>
        <v/>
      </c>
      <c r="OC39">
        <f>IF(COUNTIF('Buyer Groups'!DG39:DY39,0)+COUNTIF('Buyer Groups'!EA39:EN39,0)&gt;0,0,1)</f>
        <v/>
      </c>
      <c r="OD39">
        <f>IF($DF$39="",FALSE,SUMPRODUCT(('Final Calculation Sheet'!$T$4:$T$40=$DF$39)*($OC$6:$OC$42=1))&gt;0)</f>
        <v/>
      </c>
      <c r="OE39">
        <f>$OE$38+--($OD39)</f>
        <v/>
      </c>
      <c r="OF39">
        <f>IF(ROW()-3&gt;MAX($OE$4:$OE$40),"",INDEX($DF$4:$DF$40,MATCH(ROW()-3,$OE$4:$OE$40,0)))</f>
        <v/>
      </c>
      <c r="OG39">
        <f>IF(COUNTIF('Buyer Groups'!DG39:DZ39,0)+COUNTIF('Buyer Groups'!EB39:EN39,0)&gt;0,0,1)</f>
        <v/>
      </c>
      <c r="OH39">
        <f>IF($DK$39="",FALSE,SUMPRODUCT(('Final Calculation Sheet'!$U$4:$U$40=$DK$39)*($OG$6:$OG$42=1))&gt;0)</f>
        <v/>
      </c>
      <c r="OI39">
        <f>$OI$38+--($OH39)</f>
        <v/>
      </c>
      <c r="OJ39">
        <f>IF(ROW()-3&gt;MAX($OI$4:$OI$40),"",INDEX($DK$4:$DK$40,MATCH(ROW()-3,$OI$4:$OI$40,0)))</f>
        <v/>
      </c>
      <c r="OK39">
        <f>IF(COUNTIF('Buyer Groups'!DG39:EA39,0)+COUNTIF('Buyer Groups'!EC39:EN39,0)&gt;0,0,1)</f>
        <v/>
      </c>
      <c r="OL39">
        <f>IF($DP$39="",FALSE,SUMPRODUCT(('Final Calculation Sheet'!$V$4:$V$40=$DP$39)*($OK$6:$OK$42=1))&gt;0)</f>
        <v/>
      </c>
      <c r="OM39">
        <f>$OM$38+--($OL39)</f>
        <v/>
      </c>
      <c r="ON39">
        <f>IF(ROW()-3&gt;MAX($OM$4:$OM$40),"",INDEX($DP$4:$DP$40,MATCH(ROW()-3,$OM$4:$OM$40,0)))</f>
        <v/>
      </c>
      <c r="OO39">
        <f>IF(COUNTIF('Buyer Groups'!DG39:EB39,0)+COUNTIF('Buyer Groups'!ED39:EN39,0)&gt;0,0,1)</f>
        <v/>
      </c>
      <c r="OP39">
        <f>IF($DU$39="",FALSE,SUMPRODUCT(('Final Calculation Sheet'!$W$4:$W$40=$DU$39)*($OO$6:$OO$42=1))&gt;0)</f>
        <v/>
      </c>
      <c r="OQ39">
        <f>$OQ$38+--($OP39)</f>
        <v/>
      </c>
      <c r="OR39">
        <f>IF(ROW()-3&gt;MAX($OQ$4:$OQ$40),"",INDEX($DU$4:$DU$40,MATCH(ROW()-3,$OQ$4:$OQ$40,0)))</f>
        <v/>
      </c>
      <c r="OS39">
        <f>IF(COUNTIF('Buyer Groups'!DG39:EC39,0)+COUNTIF('Buyer Groups'!EE39:EN39,0)&gt;0,0,1)</f>
        <v/>
      </c>
      <c r="OT39">
        <f>IF($DZ$39="",FALSE,SUMPRODUCT(('Final Calculation Sheet'!$X$4:$X$40=$DZ$39)*($OS$6:$OS$42=1))&gt;0)</f>
        <v/>
      </c>
      <c r="OU39">
        <f>$OU$38+--($OT39)</f>
        <v/>
      </c>
      <c r="OV39">
        <f>IF(ROW()-3&gt;MAX($OU$4:$OU$40),"",INDEX($DZ$4:$DZ$40,MATCH(ROW()-3,$OU$4:$OU$40,0)))</f>
        <v/>
      </c>
      <c r="OW39">
        <f>IF(COUNTIF('Buyer Groups'!DG39:ED39,0)+COUNTIF('Buyer Groups'!EF39:EN39,0)&gt;0,0,1)</f>
        <v/>
      </c>
      <c r="OX39">
        <f>IF($EE$39="",FALSE,SUMPRODUCT(('Final Calculation Sheet'!$Y$4:$Y$40=$EE$39)*($OW$6:$OW$42=1))&gt;0)</f>
        <v/>
      </c>
      <c r="OY39">
        <f>$OY$38+--($OX39)</f>
        <v/>
      </c>
      <c r="OZ39">
        <f>IF(ROW()-3&gt;MAX($OY$4:$OY$40),"",INDEX($EE$4:$EE$40,MATCH(ROW()-3,$OY$4:$OY$40,0)))</f>
        <v/>
      </c>
      <c r="PA39">
        <f>IF(COUNTIF('Buyer Groups'!DG39:EE39,0)+COUNTIF('Buyer Groups'!EG39:EN39,0)&gt;0,0,1)</f>
        <v/>
      </c>
      <c r="PB39">
        <f>IF($EJ$39="",FALSE,SUMPRODUCT(('Final Calculation Sheet'!$Z$4:$Z$40=$EJ$39)*($PA$6:$PA$42=1))&gt;0)</f>
        <v/>
      </c>
      <c r="PC39">
        <f>$PC$38+--($PB39)</f>
        <v/>
      </c>
      <c r="PD39">
        <f>IF(ROW()-3&gt;MAX($PC$4:$PC$40),"",INDEX($EJ$4:$EJ$40,MATCH(ROW()-3,$PC$4:$PC$40,0)))</f>
        <v/>
      </c>
      <c r="PE39">
        <f>IF(COUNTIF('Buyer Groups'!DG39:EF39,0)+COUNTIF('Buyer Groups'!EH39:EN39,0)&gt;0,0,1)</f>
        <v/>
      </c>
      <c r="PF39">
        <f>IF($EO$39="",FALSE,SUMPRODUCT(('Final Calculation Sheet'!$AA$4:$AA$40=$EO$39)*($PE$6:$PE$42=1))&gt;0)</f>
        <v/>
      </c>
      <c r="PG39">
        <f>$PG$38+--($PF39)</f>
        <v/>
      </c>
      <c r="PH39">
        <f>IF(ROW()-3&gt;MAX($PG$4:$PG$40),"",INDEX($EO$4:$EO$40,MATCH(ROW()-3,$PG$4:$PG$40,0)))</f>
        <v/>
      </c>
      <c r="PI39">
        <f>IF(COUNTIF('Buyer Groups'!DG39:EG39,0)+COUNTIF('Buyer Groups'!EI39:EN39,0)&gt;0,0,1)</f>
        <v/>
      </c>
      <c r="PJ39">
        <f>IF($ET$39="",FALSE,SUMPRODUCT(('Final Calculation Sheet'!$AB$4:$AB$40=$ET$39)*($PI$6:$PI$42=1))&gt;0)</f>
        <v/>
      </c>
      <c r="PK39">
        <f>$PK$38+--($PJ39)</f>
        <v/>
      </c>
      <c r="PL39">
        <f>IF(ROW()-3&gt;MAX($PK$4:$PK$40),"",INDEX($ET$4:$ET$40,MATCH(ROW()-3,$PK$4:$PK$40,0)))</f>
        <v/>
      </c>
      <c r="PM39">
        <f>IF(COUNTIF('Buyer Groups'!DG39:EH39,0)+COUNTIF('Buyer Groups'!EJ39:EN39,0)&gt;0,0,1)</f>
        <v/>
      </c>
      <c r="PN39">
        <f>IF($EY$39="",FALSE,SUMPRODUCT(('Final Calculation Sheet'!$AC$4:$AC$40=$EY$39)*($PM$6:$PM$42=1))&gt;0)</f>
        <v/>
      </c>
      <c r="PO39">
        <f>$PO$38+--($PN39)</f>
        <v/>
      </c>
      <c r="PP39">
        <f>IF(ROW()-3&gt;MAX($PO$4:$PO$40),"",INDEX($EY$4:$EY$40,MATCH(ROW()-3,$PO$4:$PO$40,0)))</f>
        <v/>
      </c>
      <c r="PQ39">
        <f>IF(COUNTIF('Buyer Groups'!DG39:EI39,0)+COUNTIF('Buyer Groups'!EK39:EN39,0)&gt;0,0,1)</f>
        <v/>
      </c>
      <c r="PR39">
        <f>IF($FD$39="",FALSE,SUMPRODUCT(('Final Calculation Sheet'!$AD$4:$AD$40=$FD$39)*($PQ$6:$PQ$42=1))&gt;0)</f>
        <v/>
      </c>
      <c r="PS39">
        <f>$PS$38+--($PR39)</f>
        <v/>
      </c>
      <c r="PT39">
        <f>IF(ROW()-3&gt;MAX($PS$4:$PS$40),"",INDEX($FD$4:$FD$40,MATCH(ROW()-3,$PS$4:$PS$40,0)))</f>
        <v/>
      </c>
      <c r="PU39">
        <f>IF(COUNTIF('Buyer Groups'!DG39:EJ39,0)+COUNTIF('Buyer Groups'!EL39:EN39,0)&gt;0,0,1)</f>
        <v/>
      </c>
      <c r="PV39">
        <f>IF($FX$39="",FALSE,SUMPRODUCT((IF('Final Calculation Sheet'!$AD$4:$AD$40&lt;=5,"SETTLED","OUTSTANDING")=$FX$39)*($PU$6:$PU$42=1))&gt;0)</f>
        <v/>
      </c>
      <c r="PW39">
        <f>$PW$38+--($PV39)</f>
        <v/>
      </c>
      <c r="PX39">
        <f>IF(ROW()-3&gt;MAX($PW$4:$PW$40),"",INDEX($FX$4:$FX$40,MATCH(ROW()-3,$PW$4:$PW$40,0)))</f>
        <v/>
      </c>
      <c r="PY39">
        <f>IF(COUNTIF('Buyer Groups'!DG39:EK39,0)+COUNTIF('Buyer Groups'!EM39:EN39,0)&gt;0,0,1)</f>
        <v/>
      </c>
      <c r="PZ39">
        <f>IF($FI$39="",FALSE,SUMPRODUCT(('Final Calculation Sheet'!$AF$4:$AF$40=$FI$39)*($PY$6:$PY$42=1))&gt;0)</f>
        <v/>
      </c>
      <c r="QA39">
        <f>$QA$38+--($PZ39)</f>
        <v/>
      </c>
      <c r="QB39">
        <f>IF(ROW()-3&gt;MAX($QA$4:$QA$40),"",INDEX($FI$4:$FI$40,MATCH(ROW()-3,$QA$4:$QA$40,0)))</f>
        <v/>
      </c>
      <c r="QC39">
        <f>IF(COUNTIF('Buyer Groups'!DG39:EL39,0)+COUNTIF('Buyer Groups'!EN39:EN39,0)&gt;0,0,1)</f>
        <v/>
      </c>
      <c r="QD39">
        <f>IF($FN$39="",FALSE,SUMPRODUCT(('Final Calculation Sheet'!$AG$4:$AG$40=$FN$39)*($QC$6:$QC$42=1))&gt;0)</f>
        <v/>
      </c>
      <c r="QE39">
        <f>$QE$38+--($QD39)</f>
        <v/>
      </c>
      <c r="QF39">
        <f>IF(ROW()-3&gt;MAX($QE$4:$QE$40),"",INDEX($FN$4:$FN$40,MATCH(ROW()-3,$QE$4:$QE$40,0)))</f>
        <v/>
      </c>
      <c r="QG39">
        <f>IF(COUNTIF('Buyer Groups'!DG39:EM39,0)&gt;0,0,1)</f>
        <v/>
      </c>
      <c r="QH39">
        <f>IF($FS$39="",FALSE,SUMPRODUCT(('Final Calculation Sheet'!$AH$4:$AH$40=$FS$39)*($QG$6:$QG$42=1))&gt;0)</f>
        <v/>
      </c>
      <c r="QI39">
        <f>$QI$38+--($QH39)</f>
        <v/>
      </c>
      <c r="QJ39">
        <f>IF(ROW()-3&gt;MAX($QI$4:$QI$40),"",INDEX($FS$4:$FS$40,MATCH(ROW()-3,$QI$4:$QI$40,0)))</f>
        <v/>
      </c>
      <c r="QK39" t="str">
        <f>IF('Final Calculation Sheet'!$AH$39="","",'Final Calculation Sheet'!$AH$39)</f>
      </c>
      <c r="QL39" t="str">
        <f>IF(QK39="","",COUNTIFS(QK$4:QK$40,"&lt;"&amp;QK39,QK$4:QK$40,"&lt;&gt;"&amp;"")+COUNTIF(QK$4:QK39,QK39))</f>
      </c>
      <c r="QM39" t="str">
        <f>IF(ROW()-3&gt;COUNTIF(QK$4:QK$40,"&lt;&gt;"&amp;""),"",INDEX(QK$4:QK$40,MATCH(ROW()-3,QL$4:QL$40,0)))</f>
      </c>
      <c r="QN39" t="str">
        <f>=QN38+F(AND(QM39&lt;&gt;"",COUNTIF(QM$4:QM39,QM39)=1),1,0)</f>
      </c>
      <c r="QO39" t="str">
        <f>IF(ROW()-3&gt;MAX(QN$4:QN$40),"",INDEX(QM$4:QM$40,MATCH(ROW()-3,QN$4:QN$40,0)))</f>
      </c>
      <c r="QP39" t="str">
        <f>IF(COUNTIF('Final Calculation Sheet'!$AM39:$BS39,0)&gt;0,0,1)</f>
      </c>
      <c r="QQ39" t="str">
        <f>IF($AI$39="",FALSE,SUMPRODUCT(('Final Calculation Sheet'!$A$4:$A$40=$AI$39)*($QP$4:$QP$40=1))&gt;0)</f>
      </c>
      <c r="QR39" t="str">
        <f>=$QR38+--($QQ39)</f>
      </c>
      <c r="QS39" t="str">
        <f>IF(ROW()-3&gt;MAX($QR$4:$QR$40),"",INDEX($AI$4:$AI$40,MATCH(ROW()-3,$QR$4:$QR$40,0)))</f>
      </c>
      <c r="QT39" t="str">
        <f>IF(COUNTIF('Final Calculation Sheet'!$AL39:$AL39,0)+COUNTIF('Final Calculation Sheet'!$AN39:$BS39,0)&gt;0,0,1)</f>
      </c>
      <c r="QU39" t="str">
        <f>IF($Y$39="",FALSE,SUMPRODUCT(('Final Calculation Sheet'!$B$4:$B$40=$Y$39)*($QT$4:$QT$40=1))&gt;0)</f>
      </c>
      <c r="QV39" t="str">
        <f>=$QV38+--($QU39)</f>
      </c>
      <c r="QW39" t="str">
        <f>IF(ROW()-3&gt;MAX($QV$4:$QV$40),"",INDEX($Y$4:$Y$40,MATCH(ROW()-3,$QV$4:$QV$40,0)))</f>
      </c>
      <c r="QX39" t="str">
        <f>IF(COUNTIF('Final Calculation Sheet'!$AL39:$AM39,0)+COUNTIF('Final Calculation Sheet'!$AO39:$BS39,0)&gt;0,0,1)</f>
      </c>
      <c r="QY39" t="str">
        <f>IF($AS$39="",FALSE,SUMPRODUCT(('Final Calculation Sheet'!$C$4:$C$40=$AS$39)*($QX$4:$QX$40=1))&gt;0)</f>
      </c>
      <c r="QZ39" t="str">
        <f>=$QZ38+--($QY39)</f>
      </c>
      <c r="RA39" t="str">
        <f>IF(ROW()-3&gt;MAX($QZ$4:$QZ$40),"",INDEX($AS$4:$AS$40,MATCH(ROW()-3,$QZ$4:$QZ$40,0)))</f>
      </c>
      <c r="RB39" t="str">
        <f>IF(COUNTIF('Final Calculation Sheet'!$AL39:$AN39,0)+COUNTIF('Final Calculation Sheet'!$AP39:$BS39,0)&gt;0,0,1)</f>
      </c>
      <c r="RC39" t="str">
        <f>IF($AD$39="",FALSE,SUMPRODUCT(('Final Calculation Sheet'!$D$4:$D$40=$AD$39)*($RB$4:$RB$40=1))&gt;0)</f>
      </c>
      <c r="RD39" t="str">
        <f>=$RD38+--($RC39)</f>
      </c>
      <c r="RE39" t="str">
        <f>IF(ROW()-3&gt;MAX($RD$4:$RD$40),"",INDEX($AD$4:$AD$40,MATCH(ROW()-3,$RD$4:$RD$40,0)))</f>
      </c>
      <c r="RF39" t="str">
        <f>IF(COUNTIF('Final Calculation Sheet'!$AL39:$AO39,0)+COUNTIF('Final Calculation Sheet'!$AQ39:$BS39,0)&gt;0,0,1)</f>
      </c>
      <c r="RG39" t="str">
        <f>IF($AN$39="",FALSE,SUMPRODUCT(('Final Calculation Sheet'!$E$4:$E$40=$AN$39)*($RF$4:$RF$40=1))&gt;0)</f>
      </c>
      <c r="RH39" t="str">
        <f>=$RH38+--($RG39)</f>
      </c>
      <c r="RI39" t="str">
        <f>IF(ROW()-3&gt;MAX($RH$4:$RH$40),"",INDEX($AN$4:$AN$40,MATCH(ROW()-3,$RH$4:$RH$40,0)))</f>
      </c>
      <c r="RJ39" t="str">
        <f>IF(COUNTIF('Final Calculation Sheet'!$AL39:$AP39,0)+COUNTIF('Final Calculation Sheet'!$AR39:$BS39,0)&gt;0,0,1)</f>
      </c>
      <c r="RK39" t="str">
        <f>IF($O$39="",FALSE,SUMPRODUCT(('Final Calculation Sheet'!$F$4:$F$40=$O$39)*($RJ$4:$RJ$40=1))&gt;0)</f>
      </c>
      <c r="RL39" t="str">
        <f>=$RL38+--($RK39)</f>
      </c>
      <c r="RM39" t="str">
        <f>IF(ROW()-3&gt;MAX($RL$4:$RL$40),"",INDEX($O$4:$O$40,MATCH(ROW()-3,$RL$4:$RL$40,0)))</f>
      </c>
      <c r="RN39" t="str">
        <f>IF(COUNTIF('Final Calculation Sheet'!$AL39:$AQ39,0)+COUNTIF('Final Calculation Sheet'!$AS39:$BS39,0)&gt;0,0,1)</f>
      </c>
      <c r="RO39" t="str">
        <f>IF($T$39="",FALSE,SUMPRODUCT(('Final Calculation Sheet'!$G$4:$G$40=$T$39)*($RN$4:$RN$40=1))&gt;0)</f>
      </c>
      <c r="RP39" t="str">
        <f>=$RP38+--($RO39)</f>
      </c>
      <c r="RQ39" t="str">
        <f>IF(ROW()-3&gt;MAX($RP$4:$RP$40),"",INDEX($T$4:$T$40,MATCH(ROW()-3,$RP$4:$RP$40,0)))</f>
      </c>
      <c r="RR39" t="str">
        <f>IF(COUNTIF('Final Calculation Sheet'!$AL39:$AR39,0)+COUNTIF('Final Calculation Sheet'!$AT39:$BS39,0)&gt;0,0,1)</f>
      </c>
      <c r="RS39" t="str">
        <f>IF($AX$39="",FALSE,SUMPRODUCT(('Final Calculation Sheet'!$H$4:$H$40=$AX$39)*($RR$4:$RR$40=1))&gt;0)</f>
      </c>
      <c r="RT39" t="str">
        <f>=$RT38+--($RS39)</f>
      </c>
      <c r="RU39" t="str">
        <f>IF(ROW()-3&gt;MAX($RT$4:$RT$40),"",INDEX($AX$4:$AX$40,MATCH(ROW()-3,$RT$4:$RT$40,0)))</f>
      </c>
      <c r="RV39" t="str">
        <f>IF(COUNTIF('Final Calculation Sheet'!$AL39:$AS39,0)+COUNTIF('Final Calculation Sheet'!$AU39:$BS39,0)&gt;0,0,1)</f>
      </c>
      <c r="RW39" t="str">
        <f>IF($BC$39="",FALSE,SUMPRODUCT(('Final Calculation Sheet'!$I$4:$I$40=$BC$39)*($RV$4:$RV$40=1))&gt;0)</f>
      </c>
      <c r="RX39" t="str">
        <f>=$RX38+--($RW39)</f>
      </c>
      <c r="RY39" t="str">
        <f>IF(ROW()-3&gt;MAX($RX$4:$RX$40),"",INDEX($BC$4:$BC$40,MATCH(ROW()-3,$RX$4:$RX$40,0)))</f>
      </c>
      <c r="RZ39" t="str">
        <f>IF(COUNTIF('Final Calculation Sheet'!$AL39:$AT39,0)+COUNTIF('Final Calculation Sheet'!$AV39:$BS39,0)&gt;0,0,1)</f>
      </c>
      <c r="SA39" t="str">
        <f>IF($BH$39="",FALSE,SUMPRODUCT(('Final Calculation Sheet'!$J$4:$J$40=$BH$39)*($RZ$4:$RZ$40=1))&gt;0)</f>
      </c>
      <c r="SB39" t="str">
        <f>=$SB38+--($SA39)</f>
      </c>
      <c r="SC39" t="str">
        <f>IF(ROW()-3&gt;MAX($SB$4:$SB$40),"",INDEX($BH$4:$BH$40,MATCH(ROW()-3,$SB$4:$SB$40,0)))</f>
      </c>
      <c r="SD39" t="str">
        <f>IF(COUNTIF('Final Calculation Sheet'!$AL39:$AU39,0)+COUNTIF('Final Calculation Sheet'!$AW39:$BS39,0)&gt;0,0,1)</f>
      </c>
      <c r="SE39" t="str">
        <f>IF($BM$39="",FALSE,SUMPRODUCT(('Final Calculation Sheet'!$K$4:$K$40=$BM$39)*($SD$4:$SD$40=1))&gt;0)</f>
      </c>
      <c r="SF39" t="str">
        <f>=$SF38+--($SE39)</f>
      </c>
      <c r="SG39" t="str">
        <f>IF(ROW()-3&gt;MAX($SF$4:$SF$40),"",INDEX($BM$4:$BM$40,MATCH(ROW()-3,$SF$4:$SF$40,0)))</f>
      </c>
      <c r="SH39" t="str">
        <f>IF(COUNTIF('Final Calculation Sheet'!$AL39:$AV39,0)+COUNTIF('Final Calculation Sheet'!$AX39:$BS39,0)&gt;0,0,1)</f>
      </c>
      <c r="SI39" t="str">
        <f>IF($BR$39="",FALSE,SUMPRODUCT(('Final Calculation Sheet'!$L$4:$L$40=$BR$39)*($SH$4:$SH$40=1))&gt;0)</f>
      </c>
      <c r="SJ39" t="str">
        <f>=$SJ38+--($SI39)</f>
      </c>
      <c r="SK39" t="str">
        <f>IF(ROW()-3&gt;MAX($SJ$4:$SJ$40),"",INDEX($BR$4:$BR$40,MATCH(ROW()-3,$SJ$4:$SJ$40,0)))</f>
      </c>
      <c r="SL39" t="str">
        <f>IF(COUNTIF('Final Calculation Sheet'!$AL39:$AW39,0)+COUNTIF('Final Calculation Sheet'!$AY39:$BS39,0)&gt;0,0,1)</f>
      </c>
      <c r="SM39" t="str">
        <f>IF($BW$39="",FALSE,SUMPRODUCT(('Final Calculation Sheet'!$M$4:$M$40=$BW$39)*($SL$4:$SL$40=1))&gt;0)</f>
      </c>
      <c r="SN39" t="str">
        <f>=$SN38+--($SM39)</f>
      </c>
      <c r="SO39" t="str">
        <f>IF(ROW()-3&gt;MAX($SN$4:$SN$40),"",INDEX($BW$4:$BW$40,MATCH(ROW()-3,$SN$4:$SN$40,0)))</f>
      </c>
      <c r="SP39" t="str">
        <f>IF(COUNTIF('Final Calculation Sheet'!$AL39:$AX39,0)+COUNTIF('Final Calculation Sheet'!$AZ39:$BS39,0)&gt;0,0,1)</f>
      </c>
      <c r="SQ39" t="str">
        <f>IF($CB$39="",FALSE,SUMPRODUCT(('Final Calculation Sheet'!$N$4:$N$40=$CB$39)*($SP$4:$SP$40=1))&gt;0)</f>
      </c>
      <c r="SR39" t="str">
        <f>=$SR38+--($SQ39)</f>
      </c>
      <c r="SS39" t="str">
        <f>IF(ROW()-3&gt;MAX($SR$4:$SR$40),"",INDEX($CB$4:$CB$40,MATCH(ROW()-3,$SR$4:$SR$40,0)))</f>
      </c>
      <c r="ST39" t="str">
        <f>IF(COUNTIF('Final Calculation Sheet'!$AL39:$AY39,0)+COUNTIF('Final Calculation Sheet'!$BA39:$BS39,0)&gt;0,0,1)</f>
      </c>
      <c r="SU39" t="str">
        <f>IF($CG$39="",FALSE,SUMPRODUCT(('Final Calculation Sheet'!$O$4:$O$40=$CG$39)*($ST$4:$ST$40=1))&gt;0)</f>
      </c>
      <c r="SV39" t="str">
        <f>=$SV38+--($SU39)</f>
      </c>
      <c r="SW39" t="str">
        <f>IF(ROW()-3&gt;MAX($SV$4:$SV$40),"",INDEX($CG$4:$CG$40,MATCH(ROW()-3,$SV$4:$SV$40,0)))</f>
      </c>
      <c r="SX39" t="str">
        <f>IF(COUNTIF('Final Calculation Sheet'!$AL39:$AZ39,0)+COUNTIF('Final Calculation Sheet'!$BB39:$BS39,0)&gt;0,0,1)</f>
      </c>
      <c r="SY39" t="str">
        <f>IF($CL$39="",FALSE,SUMPRODUCT(('Final Calculation Sheet'!$P$4:$P$40=$CL$39)*($SX$4:$SX$40=1))&gt;0)</f>
      </c>
      <c r="SZ39" t="str">
        <f>=$SZ38+--($SY39)</f>
      </c>
      <c r="TA39" t="str">
        <f>IF(ROW()-3&gt;MAX($SZ$4:$SZ$40),"",INDEX($CL$4:$CL$40,MATCH(ROW()-3,$SZ$4:$SZ$40,0)))</f>
      </c>
      <c r="TB39" t="str">
        <f>IF(COUNTIF('Final Calculation Sheet'!$AL39:$BA39,0)+COUNTIF('Final Calculation Sheet'!$BC39:$BS39,0)&gt;0,0,1)</f>
      </c>
      <c r="TC39" t="str">
        <f>IF($CQ$39="",FALSE,SUMPRODUCT(('Final Calculation Sheet'!$Q$4:$Q$40=$CQ$39)*($TB$4:$TB$40=1))&gt;0)</f>
      </c>
      <c r="TD39" t="str">
        <f>=$TD38+--($TC39)</f>
      </c>
      <c r="TE39" t="str">
        <f>IF(ROW()-3&gt;MAX($TD$4:$TD$40),"",INDEX($CQ$4:$CQ$40,MATCH(ROW()-3,$TD$4:$TD$40,0)))</f>
      </c>
      <c r="TF39" t="str">
        <f>IF(COUNTIF('Final Calculation Sheet'!$AL39:$BB39,0)+COUNTIF('Final Calculation Sheet'!$BD39:$BS39,0)&gt;0,0,1)</f>
      </c>
      <c r="TG39" t="str">
        <f>IF($CV$39="",FALSE,SUMPRODUCT(('Final Calculation Sheet'!$R$4:$R$40=$CV$39)*($TF$4:$TF$40=1))&gt;0)</f>
      </c>
      <c r="TH39" t="str">
        <f>=$TH38+--($TG39)</f>
      </c>
      <c r="TI39" t="str">
        <f>IF(ROW()-3&gt;MAX($TH$4:$TH$40),"",INDEX($CV$4:$CV$40,MATCH(ROW()-3,$TH$4:$TH$40,0)))</f>
      </c>
      <c r="TJ39" t="str">
        <f>IF(COUNTIF('Final Calculation Sheet'!$AL39:$BC39,0)+COUNTIF('Final Calculation Sheet'!$BE39:$BS39,0)&gt;0,0,1)</f>
      </c>
      <c r="TK39" t="str">
        <f>IF($DA$39="",FALSE,SUMPRODUCT(('Final Calculation Sheet'!$S$4:$S$40=$DA$39)*($TJ$4:$TJ$40=1))&gt;0)</f>
      </c>
      <c r="TL39" t="str">
        <f>=$TL38+--($TK39)</f>
      </c>
      <c r="TM39" t="str">
        <f>IF(ROW()-3&gt;MAX($TL$4:$TL$40),"",INDEX($DA$4:$DA$40,MATCH(ROW()-3,$TL$4:$TL$40,0)))</f>
      </c>
      <c r="TN39" t="str">
        <f>IF(COUNTIF('Final Calculation Sheet'!$AL39:$BD39,0)+COUNTIF('Final Calculation Sheet'!$BF39:$BS39,0)&gt;0,0,1)</f>
      </c>
      <c r="TO39" t="str">
        <f>IF($DF$39="",FALSE,SUMPRODUCT(('Final Calculation Sheet'!$T$4:$T$40=$DF$39)*($TN$4:$TN$40=1))&gt;0)</f>
      </c>
      <c r="TP39" t="str">
        <f>=$TP38+--($TO39)</f>
      </c>
      <c r="TQ39" t="str">
        <f>IF(ROW()-3&gt;MAX($TP$4:$TP$40),"",INDEX($DF$4:$DF$40,MATCH(ROW()-3,$TP$4:$TP$40,0)))</f>
      </c>
      <c r="TR39" t="str">
        <f>IF(COUNTIF('Final Calculation Sheet'!$AL39:$BE39,0)+COUNTIF('Final Calculation Sheet'!$BG39:$BS39,0)&gt;0,0,1)</f>
      </c>
      <c r="TS39" t="str">
        <f>IF($DK$39="",FALSE,SUMPRODUCT(('Final Calculation Sheet'!$U$4:$U$40=$DK$39)*($TR$4:$TR$40=1))&gt;0)</f>
      </c>
      <c r="TT39" t="str">
        <f>=$TT38+--($TS39)</f>
      </c>
      <c r="TU39" t="str">
        <f>IF(ROW()-3&gt;MAX($TT$4:$TT$40),"",INDEX($DK$4:$DK$40,MATCH(ROW()-3,$TT$4:$TT$40,0)))</f>
      </c>
      <c r="TV39" t="str">
        <f>IF(COUNTIF('Final Calculation Sheet'!$AL39:$BF39,0)+COUNTIF('Final Calculation Sheet'!$BH39:$BS39,0)&gt;0,0,1)</f>
      </c>
      <c r="TW39" t="str">
        <f>IF($DP$39="",FALSE,SUMPRODUCT(('Final Calculation Sheet'!$V$4:$V$40=$DP$39)*($TV$4:$TV$40=1))&gt;0)</f>
      </c>
      <c r="TX39" t="str">
        <f>=$TX38+--($TW39)</f>
      </c>
      <c r="TY39" t="str">
        <f>IF(ROW()-3&gt;MAX($TX$4:$TX$40),"",INDEX($DP$4:$DP$40,MATCH(ROW()-3,$TX$4:$TX$40,0)))</f>
      </c>
      <c r="TZ39" t="str">
        <f>IF(COUNTIF('Final Calculation Sheet'!$AL39:$BG39,0)+COUNTIF('Final Calculation Sheet'!$BI39:$BS39,0)&gt;0,0,1)</f>
      </c>
      <c r="UA39" t="str">
        <f>IF($DU$39="",FALSE,SUMPRODUCT(('Final Calculation Sheet'!$W$4:$W$40=$DU$39)*($TZ$4:$TZ$40=1))&gt;0)</f>
      </c>
      <c r="UB39" t="str">
        <f>=$UB38+--($UA39)</f>
      </c>
      <c r="UC39" t="str">
        <f>IF(ROW()-3&gt;MAX($UB$4:$UB$40),"",INDEX($DU$4:$DU$40,MATCH(ROW()-3,$UB$4:$UB$40,0)))</f>
      </c>
      <c r="UD39" t="str">
        <f>IF(COUNTIF('Final Calculation Sheet'!$AL39:$BH39,0)+COUNTIF('Final Calculation Sheet'!$BJ39:$BS39,0)&gt;0,0,1)</f>
      </c>
      <c r="UE39" t="str">
        <f>IF($DZ$39="",FALSE,SUMPRODUCT(('Final Calculation Sheet'!$X$4:$X$40=$DZ$39)*($UD$4:$UD$40=1))&gt;0)</f>
      </c>
      <c r="UF39" t="str">
        <f>=$UF38+--($UE39)</f>
      </c>
      <c r="UG39" t="str">
        <f>IF(ROW()-3&gt;MAX($UF$4:$UF$40),"",INDEX($DZ$4:$DZ$40,MATCH(ROW()-3,$UF$4:$UF$40,0)))</f>
      </c>
      <c r="UH39" t="str">
        <f>IF(COUNTIF('Final Calculation Sheet'!$AL39:$BI39,0)+COUNTIF('Final Calculation Sheet'!$BK39:$BS39,0)&gt;0,0,1)</f>
      </c>
      <c r="UI39" t="str">
        <f>IF($EE$39="",FALSE,SUMPRODUCT(('Final Calculation Sheet'!$Y$4:$Y$40=$EE$39)*($UH$4:$UH$40=1))&gt;0)</f>
      </c>
      <c r="UJ39" t="str">
        <f>=$UJ38+--($UI39)</f>
      </c>
      <c r="UK39" t="str">
        <f>IF(ROW()-3&gt;MAX($UJ$4:$UJ$40),"",INDEX($EE$4:$EE$40,MATCH(ROW()-3,$UJ$4:$UJ$40,0)))</f>
      </c>
      <c r="UL39" t="str">
        <f>IF(COUNTIF('Final Calculation Sheet'!$AL39:$BJ39,0)+COUNTIF('Final Calculation Sheet'!$BL39:$BS39,0)&gt;0,0,1)</f>
      </c>
      <c r="UM39" t="str">
        <f>IF($EJ$39="",FALSE,SUMPRODUCT(('Final Calculation Sheet'!$Z$4:$Z$40=$EJ$39)*($UL$4:$UL$40=1))&gt;0)</f>
      </c>
      <c r="UN39" t="str">
        <f>=$UN38+--($UM39)</f>
      </c>
      <c r="UO39" t="str">
        <f>IF(ROW()-3&gt;MAX($UN$4:$UN$40),"",INDEX($EJ$4:$EJ$40,MATCH(ROW()-3,$UN$4:$UN$40,0)))</f>
      </c>
      <c r="UP39" t="str">
        <f>IF(COUNTIF('Final Calculation Sheet'!$AL39:$BK39,0)+COUNTIF('Final Calculation Sheet'!$BM39:$BS39,0)&gt;0,0,1)</f>
      </c>
      <c r="UQ39" t="str">
        <f>IF($EO$39="",FALSE,SUMPRODUCT(('Final Calculation Sheet'!$AA$4:$AA$40=$EO$39)*($UP$4:$UP$40=1))&gt;0)</f>
      </c>
      <c r="UR39" t="str">
        <f>=$UR38+--($UQ39)</f>
      </c>
      <c r="US39" t="str">
        <f>IF(ROW()-3&gt;MAX($UR$4:$UR$40),"",INDEX($EO$4:$EO$40,MATCH(ROW()-3,$UR$4:$UR$40,0)))</f>
      </c>
      <c r="UT39" t="str">
        <f>IF(COUNTIF('Final Calculation Sheet'!$AL39:$BL39,0)+COUNTIF('Final Calculation Sheet'!$BN39:$BS39,0)&gt;0,0,1)</f>
      </c>
      <c r="UU39" t="str">
        <f>IF($ET$39="",FALSE,SUMPRODUCT(('Final Calculation Sheet'!$AB$4:$AB$40=$ET$39)*($UT$4:$UT$40=1))&gt;0)</f>
      </c>
      <c r="UV39" t="str">
        <f>=$UV38+--($UU39)</f>
      </c>
      <c r="UW39" t="str">
        <f>IF(ROW()-3&gt;MAX($UV$4:$UV$40),"",INDEX($ET$4:$ET$40,MATCH(ROW()-3,$UV$4:$UV$40,0)))</f>
      </c>
      <c r="UX39" t="str">
        <f>IF(COUNTIF('Final Calculation Sheet'!$AL39:$BM39,0)+COUNTIF('Final Calculation Sheet'!$BO39:$BS39,0)&gt;0,0,1)</f>
      </c>
      <c r="UY39" t="str">
        <f>IF($EY$39="",FALSE,SUMPRODUCT(('Final Calculation Sheet'!$AC$4:$AC$40=$EY$39)*($UX$4:$UX$40=1))&gt;0)</f>
      </c>
      <c r="UZ39" t="str">
        <f>=$UZ38+--($UY39)</f>
      </c>
      <c r="VA39" t="str">
        <f>IF(ROW()-3&gt;MAX($UZ$4:$UZ$40),"",INDEX($EY$4:$EY$40,MATCH(ROW()-3,$UZ$4:$UZ$40,0)))</f>
      </c>
      <c r="VB39" t="str">
        <f>IF(COUNTIF('Final Calculation Sheet'!$AL39:$BN39,0)+COUNTIF('Final Calculation Sheet'!$BP39:$BS39,0)&gt;0,0,1)</f>
      </c>
      <c r="VC39" t="str">
        <f>IF($FD$39="",FALSE,SUMPRODUCT(('Final Calculation Sheet'!$AD$4:$AD$40=$FD$39)*($VB$4:$VB$40=1))&gt;0)</f>
      </c>
      <c r="VD39" t="str">
        <f>=$VD38+--($VC39)</f>
      </c>
      <c r="VE39" t="str">
        <f>IF(ROW()-3&gt;MAX($VD$4:$VD$40),"",INDEX($FD$4:$FD$40,MATCH(ROW()-3,$VD$4:$VD$40,0)))</f>
      </c>
      <c r="VF39" t="str">
        <f>IF(COUNTIF('Final Calculation Sheet'!$AL39:$BO39,0)+COUNTIF('Final Calculation Sheet'!$BQ39:$BS39,0)&gt;0,0,1)</f>
      </c>
      <c r="VG39" t="str">
        <f>IF($FI$39="",FALSE,SUMPRODUCT(('Final Calculation Sheet'!$AE$4:$AE$40=$FI$39)*($VF$4:$VF$40=1))&gt;0)</f>
      </c>
      <c r="VH39" t="str">
        <f>=$VH38+--($VG39)</f>
      </c>
      <c r="VI39" t="str">
        <f>IF(ROW()-3&gt;MAX($VH$4:$VH$40),"",INDEX($FI$4:$FI$40,MATCH(ROW()-3,$VH$4:$VH$40,0)))</f>
      </c>
      <c r="VJ39" t="str">
        <f>IF(COUNTIF('Final Calculation Sheet'!$AL39:$BP39,0)+COUNTIF('Final Calculation Sheet'!$BR39:$BS39,0)&gt;0,0,1)</f>
      </c>
      <c r="VK39" t="str">
        <f>IF($FN$39="",FALSE,SUMPRODUCT(('Final Calculation Sheet'!$AF$4:$AF$40=$FN$39)*($VJ$4:$VJ$40=1))&gt;0)</f>
      </c>
      <c r="VL39" t="str">
        <f>=$VL38+--($VK39)</f>
      </c>
      <c r="VM39" t="str">
        <f>IF(ROW()-3&gt;MAX($VL$4:$VL$40),"",INDEX($FN$4:$FN$40,MATCH(ROW()-3,$VL$4:$VL$40,0)))</f>
      </c>
      <c r="VN39" t="str">
        <f>IF(COUNTIF('Final Calculation Sheet'!$AL39:$BQ39,0)+COUNTIF('Final Calculation Sheet'!$BS39:$BS39,0)&gt;0,0,1)</f>
      </c>
      <c r="VO39" t="str">
        <f>IF($FS$39="",FALSE,SUMPRODUCT(('Final Calculation Sheet'!$AG$4:$AG$40=$FS$39)*($VN$4:$VN$40=1))&gt;0)</f>
      </c>
      <c r="VP39" t="str">
        <f>=$VP38+--($VO39)</f>
      </c>
      <c r="VQ39" t="str">
        <f>IF(ROW()-3&gt;MAX($VP$4:$VP$40),"",INDEX($FS$4:$FS$40,MATCH(ROW()-3,$VP$4:$VP$40,0)))</f>
      </c>
      <c r="VR39" t="str">
        <f>IF(COUNTIF('Final Calculation Sheet'!$AL39:$BR39,0)&gt;0,0,1)</f>
      </c>
      <c r="VS39" t="str">
        <f>IF($QO$39="",FALSE,SUMPRODUCT(('Final Calculation Sheet'!$AH$4:$AH$40=$QO$39)*($VR$4:$VR$40=1))&gt;0)</f>
      </c>
      <c r="VT39" t="str">
        <f>=$VT38+--($VS39)</f>
      </c>
      <c r="VU39" t="str">
        <f>IF(ROW()-3&gt;MAX($VT$4:$VT$40),"",INDEX($QO$4:$QO$40,MATCH(ROW()-3,$VT$4:$VT$40,0)))</f>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IF(ROW()-3&gt;MAX($LC$4:$LC$40),"",INDEX($FS$4:$FS$40,MATCH(ROW()-3,$LC$4:$LC$40,0)))</f>
        <v/>
      </c>
      <c r="LE40">
        <f>IF(COUNTIF('Buyer Groups'!DH40:EN40,0)&gt;0,0,1)</f>
        <v/>
      </c>
      <c r="LF40">
        <f>IF($O$40="",FALSE,SUMPRODUCT(('Final Calculation Sheet'!$F$4:$F$40=$O$40)*($LE$6:$LE$42=1))&gt;0)</f>
        <v/>
      </c>
      <c r="LG40">
        <f>$LG$39+--($LF40)</f>
        <v/>
      </c>
      <c r="LH40">
        <f>IF(ROW()-3&gt;MAX($LG$4:$LG$40),"",INDEX($O$4:$O$40,MATCH(ROW()-3,$LG$4:$LG$40,0)))</f>
        <v/>
      </c>
      <c r="LI40">
        <f>IF(COUNTIF('Buyer Groups'!DG40:DG40,0)+COUNTIF('Buyer Groups'!DI40:EN40,0)&gt;0,0,1)</f>
        <v/>
      </c>
      <c r="LJ40">
        <f>IF($T$40="",FALSE,SUMPRODUCT(('Final Calculation Sheet'!$G$4:$G$40=$T$40)*($LI$6:$LI$42=1))&gt;0)</f>
        <v/>
      </c>
      <c r="LK40">
        <f>$LK$39+--($LJ40)</f>
        <v/>
      </c>
      <c r="LL40">
        <f>IF(ROW()-3&gt;MAX($LK$4:$LK$40),"",INDEX($T$4:$T$40,MATCH(ROW()-3,$LK$4:$LK$40,0)))</f>
        <v/>
      </c>
      <c r="LM40">
        <f>IF(COUNTIF('Buyer Groups'!DG40:DH40,0)+COUNTIF('Buyer Groups'!DJ40:EN40,0)&gt;0,0,1)</f>
        <v/>
      </c>
      <c r="LN40">
        <f>IF($Y$40="",FALSE,SUMPRODUCT(('Final Calculation Sheet'!$B$4:$B$40=$Y$40)*($LM$6:$LM$42=1))&gt;0)</f>
        <v/>
      </c>
      <c r="LO40">
        <f>$LO$39+--($LN40)</f>
        <v/>
      </c>
      <c r="LP40">
        <f>IF(ROW()-3&gt;MAX($LO$4:$LO$40),"",INDEX($Y$4:$Y$40,MATCH(ROW()-3,$LO$4:$LO$40,0)))</f>
        <v/>
      </c>
      <c r="LQ40">
        <f>IF(COUNTIF('Buyer Groups'!DG40:DI40,0)+COUNTIF('Buyer Groups'!DK40:EN40,0)&gt;0,0,1)</f>
        <v/>
      </c>
      <c r="LR40">
        <f>IF($AD$40="",FALSE,SUMPRODUCT(('Final Calculation Sheet'!$D$4:$D$40=$AD$40)*($LQ$6:$LQ$42=1))&gt;0)</f>
        <v/>
      </c>
      <c r="LS40">
        <f>$LS$39+--($LR40)</f>
        <v/>
      </c>
      <c r="LT40">
        <f>IF(ROW()-3&gt;MAX($LS$4:$LS$40),"",INDEX($AD$4:$AD$40,MATCH(ROW()-3,$LS$4:$LS$40,0)))</f>
        <v/>
      </c>
      <c r="LU40">
        <f>IF(COUNTIF('Buyer Groups'!DG40:DJ40,0)+COUNTIF('Buyer Groups'!DL40:EN40,0)&gt;0,0,1)</f>
        <v/>
      </c>
      <c r="LV40">
        <f>IF($AI$40="",FALSE,SUMPRODUCT(('Final Calculation Sheet'!$A$4:$A$40=$AI$40)*($LU$6:$LU$42=1))&gt;0)</f>
        <v/>
      </c>
      <c r="LW40">
        <f>$LW$39+--($LV40)</f>
        <v/>
      </c>
      <c r="LX40">
        <f>IF(ROW()-3&gt;MAX($LW$4:$LW$40),"",INDEX($AI$4:$AI$40,MATCH(ROW()-3,$LW$4:$LW$40,0)))</f>
        <v/>
      </c>
      <c r="LY40">
        <f>IF(COUNTIF('Buyer Groups'!DG40:DK40,0)+COUNTIF('Buyer Groups'!DM40:EN40,0)&gt;0,0,1)</f>
        <v/>
      </c>
      <c r="LZ40">
        <f>IF($AN$40="",FALSE,SUMPRODUCT(('Final Calculation Sheet'!$E$4:$E$40=$AN$40)*($LY$6:$LY$42=1))&gt;0)</f>
        <v/>
      </c>
      <c r="MA40">
        <f>$MA$39+--($LZ40)</f>
        <v/>
      </c>
      <c r="MB40">
        <f>IF(ROW()-3&gt;MAX($MA$4:$MA$40),"",INDEX($AN$4:$AN$40,MATCH(ROW()-3,$MA$4:$MA$40,0)))</f>
        <v/>
      </c>
      <c r="MC40">
        <f>IF(COUNTIF('Buyer Groups'!DG40:DL40,0)+COUNTIF('Buyer Groups'!DN40:EN40,0)&gt;0,0,1)</f>
        <v/>
      </c>
      <c r="MD40">
        <f>IF($AS$40="",FALSE,SUMPRODUCT(('Final Calculation Sheet'!$C$4:$C$40=$AS$40)*($MC$6:$MC$42=1))&gt;0)</f>
        <v/>
      </c>
      <c r="ME40">
        <f>$ME$39+--($MD40)</f>
        <v/>
      </c>
      <c r="MF40">
        <f>IF(ROW()-3&gt;MAX($ME$4:$ME$40),"",INDEX($AS$4:$AS$40,MATCH(ROW()-3,$ME$4:$ME$40,0)))</f>
        <v/>
      </c>
      <c r="MG40">
        <f>IF(COUNTIF('Buyer Groups'!DG40:DM40,0)+COUNTIF('Buyer Groups'!DO40:EN40,0)&gt;0,0,1)</f>
        <v/>
      </c>
      <c r="MH40">
        <f>IF($AX$40="",FALSE,SUMPRODUCT(('Final Calculation Sheet'!$H$4:$H$40=$AX$40)*($MG$6:$MG$42=1))&gt;0)</f>
        <v/>
      </c>
      <c r="MI40">
        <f>$MI$39+--($MH40)</f>
        <v/>
      </c>
      <c r="MJ40">
        <f>IF(ROW()-3&gt;MAX($MI$4:$MI$40),"",INDEX($AX$4:$AX$40,MATCH(ROW()-3,$MI$4:$MI$40,0)))</f>
        <v/>
      </c>
      <c r="MK40">
        <f>IF(COUNTIF('Buyer Groups'!DG40:DN40,0)+COUNTIF('Buyer Groups'!DP40:EN40,0)&gt;0,0,1)</f>
        <v/>
      </c>
      <c r="ML40">
        <f>IF($BC$40="",FALSE,SUMPRODUCT(('Final Calculation Sheet'!$I$4:$I$40=$BC$40)*($MK$6:$MK$42=1))&gt;0)</f>
        <v/>
      </c>
      <c r="MM40">
        <f>$MM$39+--($ML40)</f>
        <v/>
      </c>
      <c r="MN40">
        <f>IF(ROW()-3&gt;MAX($MM$4:$MM$40),"",INDEX($BC$4:$BC$40,MATCH(ROW()-3,$MM$4:$MM$40,0)))</f>
        <v/>
      </c>
      <c r="MO40">
        <f>IF(COUNTIF('Buyer Groups'!DG40:DO40,0)+COUNTIF('Buyer Groups'!DQ40:EN40,0)&gt;0,0,1)</f>
        <v/>
      </c>
      <c r="MP40">
        <f>IF($BH$40="",FALSE,SUMPRODUCT(('Final Calculation Sheet'!$J$4:$J$40=$BH$40)*($MO$6:$MO$42=1))&gt;0)</f>
        <v/>
      </c>
      <c r="MQ40">
        <f>$MQ$39+--($MP40)</f>
        <v/>
      </c>
      <c r="MR40">
        <f>IF(ROW()-3&gt;MAX($MQ$4:$MQ$40),"",INDEX($BH$4:$BH$40,MATCH(ROW()-3,$MQ$4:$MQ$40,0)))</f>
        <v/>
      </c>
      <c r="MS40">
        <f>IF(COUNTIF('Buyer Groups'!DG40:DP40,0)+COUNTIF('Buyer Groups'!DR40:EN40,0)&gt;0,0,1)</f>
        <v/>
      </c>
      <c r="MT40">
        <f>IF($BM$40="",FALSE,SUMPRODUCT(('Final Calculation Sheet'!$K$4:$K$40=$BM$40)*($MS$6:$MS$42=1))&gt;0)</f>
        <v/>
      </c>
      <c r="MU40">
        <f>$MU$39+--($MT40)</f>
        <v/>
      </c>
      <c r="MV40">
        <f>IF(ROW()-3&gt;MAX($MU$4:$MU$40),"",INDEX($BM$4:$BM$40,MATCH(ROW()-3,$MU$4:$MU$40,0)))</f>
        <v/>
      </c>
      <c r="MW40">
        <f>IF(COUNTIF('Buyer Groups'!DG40:DQ40,0)+COUNTIF('Buyer Groups'!DS40:EN40,0)&gt;0,0,1)</f>
        <v/>
      </c>
      <c r="MX40">
        <f>IF($BR$40="",FALSE,SUMPRODUCT(('Final Calculation Sheet'!$L$4:$L$40=$BR$40)*($MW$6:$MW$42=1))&gt;0)</f>
        <v/>
      </c>
      <c r="MY40">
        <f>$MY$39+--($MX40)</f>
        <v/>
      </c>
      <c r="MZ40">
        <f>IF(ROW()-3&gt;MAX($MY$4:$MY$40),"",INDEX($BR$4:$BR$40,MATCH(ROW()-3,$MY$4:$MY$40,0)))</f>
        <v/>
      </c>
      <c r="NA40">
        <f>IF(COUNTIF('Buyer Groups'!DG40:DR40,0)+COUNTIF('Buyer Groups'!DT40:EN40,0)&gt;0,0,1)</f>
        <v/>
      </c>
      <c r="NB40">
        <f>IF($BW$40="",FALSE,SUMPRODUCT(('Final Calculation Sheet'!$M$4:$M$40=$BW$40)*($NA$6:$NA$42=1))&gt;0)</f>
        <v/>
      </c>
      <c r="NC40">
        <f>$NC$39+--($NB40)</f>
        <v/>
      </c>
      <c r="ND40">
        <f>IF(ROW()-3&gt;MAX($NC$4:$NC$40),"",INDEX($BW$4:$BW$40,MATCH(ROW()-3,$NC$4:$NC$40,0)))</f>
        <v/>
      </c>
      <c r="NE40">
        <f>IF(COUNTIF('Buyer Groups'!DG40:DS40,0)+COUNTIF('Buyer Groups'!DU40:EN40,0)&gt;0,0,1)</f>
        <v/>
      </c>
      <c r="NF40">
        <f>IF($CB$40="",FALSE,SUMPRODUCT(('Final Calculation Sheet'!$N$4:$N$40=$CB$40)*($NE$6:$NE$42=1))&gt;0)</f>
        <v/>
      </c>
      <c r="NG40">
        <f>$NG$39+--($NF40)</f>
        <v/>
      </c>
      <c r="NH40">
        <f>IF(ROW()-3&gt;MAX($NG$4:$NG$40),"",INDEX($CB$4:$CB$40,MATCH(ROW()-3,$NG$4:$NG$40,0)))</f>
        <v/>
      </c>
      <c r="NI40">
        <f>IF(COUNTIF('Buyer Groups'!DG40:DT40,0)+COUNTIF('Buyer Groups'!DV40:EN40,0)&gt;0,0,1)</f>
        <v/>
      </c>
      <c r="NJ40">
        <f>IF($CG$40="",FALSE,SUMPRODUCT(('Final Calculation Sheet'!$O$4:$O$40=$CG$40)*($NI$6:$NI$42=1))&gt;0)</f>
        <v/>
      </c>
      <c r="NK40">
        <f>$NK$39+--($NJ40)</f>
        <v/>
      </c>
      <c r="NL40">
        <f>IF(ROW()-3&gt;MAX($NK$4:$NK$40),"",INDEX($CG$4:$CG$40,MATCH(ROW()-3,$NK$4:$NK$40,0)))</f>
        <v/>
      </c>
      <c r="NM40">
        <f>IF(COUNTIF('Buyer Groups'!DG40:DU40,0)+COUNTIF('Buyer Groups'!DW40:EN40,0)&gt;0,0,1)</f>
        <v/>
      </c>
      <c r="NN40">
        <f>IF($CL$40="",FALSE,SUMPRODUCT(('Final Calculation Sheet'!$P$4:$P$40=$CL$40)*($NM$6:$NM$42=1))&gt;0)</f>
        <v/>
      </c>
      <c r="NO40">
        <f>$NO$39+--($NN40)</f>
        <v/>
      </c>
      <c r="NP40">
        <f>IF(ROW()-3&gt;MAX($NO$4:$NO$40),"",INDEX($CL$4:$CL$40,MATCH(ROW()-3,$NO$4:$NO$40,0)))</f>
        <v/>
      </c>
      <c r="NQ40">
        <f>IF(COUNTIF('Buyer Groups'!DG40:DV40,0)+COUNTIF('Buyer Groups'!DX40:EN40,0)&gt;0,0,1)</f>
        <v/>
      </c>
      <c r="NR40">
        <f>IF($CQ$40="",FALSE,SUMPRODUCT(('Final Calculation Sheet'!$Q$4:$Q$40=$CQ$40)*($NQ$6:$NQ$42=1))&gt;0)</f>
        <v/>
      </c>
      <c r="NS40">
        <f>$NS$39+--($NR40)</f>
        <v/>
      </c>
      <c r="NT40">
        <f>IF(ROW()-3&gt;MAX($NS$4:$NS$40),"",INDEX($CQ$4:$CQ$40,MATCH(ROW()-3,$NS$4:$NS$40,0)))</f>
        <v/>
      </c>
      <c r="NU40">
        <f>IF(COUNTIF('Buyer Groups'!DG40:DW40,0)+COUNTIF('Buyer Groups'!DY40:EN40,0)&gt;0,0,1)</f>
        <v/>
      </c>
      <c r="NV40">
        <f>IF($CV$40="",FALSE,SUMPRODUCT(('Final Calculation Sheet'!$R$4:$R$40=$CV$40)*($NU$6:$NU$42=1))&gt;0)</f>
        <v/>
      </c>
      <c r="NW40">
        <f>$NW$39+--($NV40)</f>
        <v/>
      </c>
      <c r="NX40">
        <f>IF(ROW()-3&gt;MAX($NW$4:$NW$40),"",INDEX($CV$4:$CV$40,MATCH(ROW()-3,$NW$4:$NW$40,0)))</f>
        <v/>
      </c>
      <c r="NY40">
        <f>IF(COUNTIF('Buyer Groups'!DG40:DX40,0)+COUNTIF('Buyer Groups'!DZ40:EN40,0)&gt;0,0,1)</f>
        <v/>
      </c>
      <c r="NZ40">
        <f>IF($DA$40="",FALSE,SUMPRODUCT(('Final Calculation Sheet'!$S$4:$S$40=$DA$40)*($NY$6:$NY$42=1))&gt;0)</f>
        <v/>
      </c>
      <c r="OA40">
        <f>$OA$39+--($NZ40)</f>
        <v/>
      </c>
      <c r="OB40">
        <f>IF(ROW()-3&gt;MAX($OA$4:$OA$40),"",INDEX($DA$4:$DA$40,MATCH(ROW()-3,$OA$4:$OA$40,0)))</f>
        <v/>
      </c>
      <c r="OC40">
        <f>IF(COUNTIF('Buyer Groups'!DG40:DY40,0)+COUNTIF('Buyer Groups'!EA40:EN40,0)&gt;0,0,1)</f>
        <v/>
      </c>
      <c r="OD40">
        <f>IF($DF$40="",FALSE,SUMPRODUCT(('Final Calculation Sheet'!$T$4:$T$40=$DF$40)*($OC$6:$OC$42=1))&gt;0)</f>
        <v/>
      </c>
      <c r="OE40">
        <f>$OE$39+--($OD40)</f>
        <v/>
      </c>
      <c r="OF40">
        <f>IF(ROW()-3&gt;MAX($OE$4:$OE$40),"",INDEX($DF$4:$DF$40,MATCH(ROW()-3,$OE$4:$OE$40,0)))</f>
        <v/>
      </c>
      <c r="OG40">
        <f>IF(COUNTIF('Buyer Groups'!DG40:DZ40,0)+COUNTIF('Buyer Groups'!EB40:EN40,0)&gt;0,0,1)</f>
        <v/>
      </c>
      <c r="OH40">
        <f>IF($DK$40="",FALSE,SUMPRODUCT(('Final Calculation Sheet'!$U$4:$U$40=$DK$40)*($OG$6:$OG$42=1))&gt;0)</f>
        <v/>
      </c>
      <c r="OI40">
        <f>$OI$39+--($OH40)</f>
        <v/>
      </c>
      <c r="OJ40">
        <f>IF(ROW()-3&gt;MAX($OI$4:$OI$40),"",INDEX($DK$4:$DK$40,MATCH(ROW()-3,$OI$4:$OI$40,0)))</f>
        <v/>
      </c>
      <c r="OK40">
        <f>IF(COUNTIF('Buyer Groups'!DG40:EA40,0)+COUNTIF('Buyer Groups'!EC40:EN40,0)&gt;0,0,1)</f>
        <v/>
      </c>
      <c r="OL40">
        <f>IF($DP$40="",FALSE,SUMPRODUCT(('Final Calculation Sheet'!$V$4:$V$40=$DP$40)*($OK$6:$OK$42=1))&gt;0)</f>
        <v/>
      </c>
      <c r="OM40">
        <f>$OM$39+--($OL40)</f>
        <v/>
      </c>
      <c r="ON40">
        <f>IF(ROW()-3&gt;MAX($OM$4:$OM$40),"",INDEX($DP$4:$DP$40,MATCH(ROW()-3,$OM$4:$OM$40,0)))</f>
        <v/>
      </c>
      <c r="OO40">
        <f>IF(COUNTIF('Buyer Groups'!DG40:EB40,0)+COUNTIF('Buyer Groups'!ED40:EN40,0)&gt;0,0,1)</f>
        <v/>
      </c>
      <c r="OP40">
        <f>IF($DU$40="",FALSE,SUMPRODUCT(('Final Calculation Sheet'!$W$4:$W$40=$DU$40)*($OO$6:$OO$42=1))&gt;0)</f>
        <v/>
      </c>
      <c r="OQ40">
        <f>$OQ$39+--($OP40)</f>
        <v/>
      </c>
      <c r="OR40">
        <f>IF(ROW()-3&gt;MAX($OQ$4:$OQ$40),"",INDEX($DU$4:$DU$40,MATCH(ROW()-3,$OQ$4:$OQ$40,0)))</f>
        <v/>
      </c>
      <c r="OS40">
        <f>IF(COUNTIF('Buyer Groups'!DG40:EC40,0)+COUNTIF('Buyer Groups'!EE40:EN40,0)&gt;0,0,1)</f>
        <v/>
      </c>
      <c r="OT40">
        <f>IF($DZ$40="",FALSE,SUMPRODUCT(('Final Calculation Sheet'!$X$4:$X$40=$DZ$40)*($OS$6:$OS$42=1))&gt;0)</f>
        <v/>
      </c>
      <c r="OU40">
        <f>$OU$39+--($OT40)</f>
        <v/>
      </c>
      <c r="OV40">
        <f>IF(ROW()-3&gt;MAX($OU$4:$OU$40),"",INDEX($DZ$4:$DZ$40,MATCH(ROW()-3,$OU$4:$OU$40,0)))</f>
        <v/>
      </c>
      <c r="OW40">
        <f>IF(COUNTIF('Buyer Groups'!DG40:ED40,0)+COUNTIF('Buyer Groups'!EF40:EN40,0)&gt;0,0,1)</f>
        <v/>
      </c>
      <c r="OX40">
        <f>IF($EE$40="",FALSE,SUMPRODUCT(('Final Calculation Sheet'!$Y$4:$Y$40=$EE$40)*($OW$6:$OW$42=1))&gt;0)</f>
        <v/>
      </c>
      <c r="OY40">
        <f>$OY$39+--($OX40)</f>
        <v/>
      </c>
      <c r="OZ40">
        <f>IF(ROW()-3&gt;MAX($OY$4:$OY$40),"",INDEX($EE$4:$EE$40,MATCH(ROW()-3,$OY$4:$OY$40,0)))</f>
        <v/>
      </c>
      <c r="PA40">
        <f>IF(COUNTIF('Buyer Groups'!DG40:EE40,0)+COUNTIF('Buyer Groups'!EG40:EN40,0)&gt;0,0,1)</f>
        <v/>
      </c>
      <c r="PB40">
        <f>IF($EJ$40="",FALSE,SUMPRODUCT(('Final Calculation Sheet'!$Z$4:$Z$40=$EJ$40)*($PA$6:$PA$42=1))&gt;0)</f>
        <v/>
      </c>
      <c r="PC40">
        <f>$PC$39+--($PB40)</f>
        <v/>
      </c>
      <c r="PD40">
        <f>IF(ROW()-3&gt;MAX($PC$4:$PC$40),"",INDEX($EJ$4:$EJ$40,MATCH(ROW()-3,$PC$4:$PC$40,0)))</f>
        <v/>
      </c>
      <c r="PE40">
        <f>IF(COUNTIF('Buyer Groups'!DG40:EF40,0)+COUNTIF('Buyer Groups'!EH40:EN40,0)&gt;0,0,1)</f>
        <v/>
      </c>
      <c r="PF40">
        <f>IF($EO$40="",FALSE,SUMPRODUCT(('Final Calculation Sheet'!$AA$4:$AA$40=$EO$40)*($PE$6:$PE$42=1))&gt;0)</f>
        <v/>
      </c>
      <c r="PG40">
        <f>$PG$39+--($PF40)</f>
        <v/>
      </c>
      <c r="PH40">
        <f>IF(ROW()-3&gt;MAX($PG$4:$PG$40),"",INDEX($EO$4:$EO$40,MATCH(ROW()-3,$PG$4:$PG$40,0)))</f>
        <v/>
      </c>
      <c r="PI40">
        <f>IF(COUNTIF('Buyer Groups'!DG40:EG40,0)+COUNTIF('Buyer Groups'!EI40:EN40,0)&gt;0,0,1)</f>
        <v/>
      </c>
      <c r="PJ40">
        <f>IF($ET$40="",FALSE,SUMPRODUCT(('Final Calculation Sheet'!$AB$4:$AB$40=$ET$40)*($PI$6:$PI$42=1))&gt;0)</f>
        <v/>
      </c>
      <c r="PK40">
        <f>$PK$39+--($PJ40)</f>
        <v/>
      </c>
      <c r="PL40">
        <f>IF(ROW()-3&gt;MAX($PK$4:$PK$40),"",INDEX($ET$4:$ET$40,MATCH(ROW()-3,$PK$4:$PK$40,0)))</f>
        <v/>
      </c>
      <c r="PM40">
        <f>IF(COUNTIF('Buyer Groups'!DG40:EH40,0)+COUNTIF('Buyer Groups'!EJ40:EN40,0)&gt;0,0,1)</f>
        <v/>
      </c>
      <c r="PN40">
        <f>IF($EY$40="",FALSE,SUMPRODUCT(('Final Calculation Sheet'!$AC$4:$AC$40=$EY$40)*($PM$6:$PM$42=1))&gt;0)</f>
        <v/>
      </c>
      <c r="PO40">
        <f>$PO$39+--($PN40)</f>
        <v/>
      </c>
      <c r="PP40">
        <f>IF(ROW()-3&gt;MAX($PO$4:$PO$40),"",INDEX($EY$4:$EY$40,MATCH(ROW()-3,$PO$4:$PO$40,0)))</f>
        <v/>
      </c>
      <c r="PQ40">
        <f>IF(COUNTIF('Buyer Groups'!DG40:EI40,0)+COUNTIF('Buyer Groups'!EK40:EN40,0)&gt;0,0,1)</f>
        <v/>
      </c>
      <c r="PR40">
        <f>IF($FD$40="",FALSE,SUMPRODUCT(('Final Calculation Sheet'!$AD$4:$AD$40=$FD$40)*($PQ$6:$PQ$42=1))&gt;0)</f>
        <v/>
      </c>
      <c r="PS40">
        <f>$PS$39+--($PR40)</f>
        <v/>
      </c>
      <c r="PT40">
        <f>IF(ROW()-3&gt;MAX($PS$4:$PS$40),"",INDEX($FD$4:$FD$40,MATCH(ROW()-3,$PS$4:$PS$40,0)))</f>
        <v/>
      </c>
      <c r="PU40">
        <f>IF(COUNTIF('Buyer Groups'!DG40:EJ40,0)+COUNTIF('Buyer Groups'!EL40:EN40,0)&gt;0,0,1)</f>
        <v/>
      </c>
      <c r="PV40">
        <f>IF($FX$40="",FALSE,SUMPRODUCT((IF('Final Calculation Sheet'!$AD$4:$AD$40&lt;=5,"SETTLED","OUTSTANDING")=$FX$40)*($PU$6:$PU$42=1))&gt;0)</f>
        <v/>
      </c>
      <c r="PW40">
        <f>$PW$39+--($PV40)</f>
        <v/>
      </c>
      <c r="PX40">
        <f>IF(ROW()-3&gt;MAX($PW$4:$PW$40),"",INDEX($FX$4:$FX$40,MATCH(ROW()-3,$PW$4:$PW$40,0)))</f>
        <v/>
      </c>
      <c r="PY40">
        <f>IF(COUNTIF('Buyer Groups'!DG40:EK40,0)+COUNTIF('Buyer Groups'!EM40:EN40,0)&gt;0,0,1)</f>
        <v/>
      </c>
      <c r="PZ40">
        <f>IF($FI$40="",FALSE,SUMPRODUCT(('Final Calculation Sheet'!$AF$4:$AF$40=$FI$40)*($PY$6:$PY$42=1))&gt;0)</f>
        <v/>
      </c>
      <c r="QA40">
        <f>$QA$39+--($PZ40)</f>
        <v/>
      </c>
      <c r="QB40">
        <f>IF(ROW()-3&gt;MAX($QA$4:$QA$40),"",INDEX($FI$4:$FI$40,MATCH(ROW()-3,$QA$4:$QA$40,0)))</f>
        <v/>
      </c>
      <c r="QC40">
        <f>IF(COUNTIF('Buyer Groups'!DG40:EL40,0)+COUNTIF('Buyer Groups'!EN40:EN40,0)&gt;0,0,1)</f>
        <v/>
      </c>
      <c r="QD40">
        <f>IF($FN$40="",FALSE,SUMPRODUCT(('Final Calculation Sheet'!$AG$4:$AG$40=$FN$40)*($QC$6:$QC$42=1))&gt;0)</f>
        <v/>
      </c>
      <c r="QE40">
        <f>$QE$39+--($QD40)</f>
        <v/>
      </c>
      <c r="QF40">
        <f>IF(ROW()-3&gt;MAX($QE$4:$QE$40),"",INDEX($FN$4:$FN$40,MATCH(ROW()-3,$QE$4:$QE$40,0)))</f>
        <v/>
      </c>
      <c r="QG40">
        <f>IF(COUNTIF('Buyer Groups'!DG40:EM40,0)&gt;0,0,1)</f>
        <v/>
      </c>
      <c r="QH40">
        <f>IF($FS$40="",FALSE,SUMPRODUCT(('Final Calculation Sheet'!$AH$4:$AH$40=$FS$40)*($QG$6:$QG$42=1))&gt;0)</f>
        <v/>
      </c>
      <c r="QI40">
        <f>$QI$39+--($QH40)</f>
        <v/>
      </c>
      <c r="QJ40">
        <f>IF(ROW()-3&gt;MAX($QI$4:$QI$40),"",INDEX($FS$4:$FS$40,MATCH(ROW()-3,$QI$4:$QI$40,0)))</f>
        <v/>
      </c>
      <c r="QK40" t="str">
        <f>IF('Final Calculation Sheet'!$AH$40="","",'Final Calculation Sheet'!$AH$40)</f>
      </c>
      <c r="QL40" t="str">
        <f>IF(QK40="","",COUNTIFS(QK$4:QK$40,"&lt;"&amp;QK40,QK$4:QK$40,"&lt;&gt;"&amp;"")+COUNTIF(QK$4:QK40,QK40))</f>
      </c>
      <c r="QM40" t="str">
        <f>IF(ROW()-3&gt;COUNTIF(QK$4:QK$40,"&lt;&gt;"&amp;""),"",INDEX(QK$4:QK$40,MATCH(ROW()-3,QL$4:QL$40,0)))</f>
      </c>
      <c r="QN40" t="str">
        <f>=QN39+F(AND(QM40&lt;&gt;"",COUNTIF(QM$4:QM40,QM40)=1),1,0)</f>
      </c>
      <c r="QO40" t="str">
        <f>IF(ROW()-3&gt;MAX(QN$4:QN$40),"",INDEX(QM$4:QM$40,MATCH(ROW()-3,QN$4:QN$40,0)))</f>
      </c>
      <c r="QP40" t="str">
        <f>IF(COUNTIF('Final Calculation Sheet'!$AM40:$BS40,0)&gt;0,0,1)</f>
      </c>
      <c r="QQ40" t="str">
        <f>IF($AI$40="",FALSE,SUMPRODUCT(('Final Calculation Sheet'!$A$4:$A$40=$AI$40)*($QP$4:$QP$40=1))&gt;0)</f>
      </c>
      <c r="QR40" t="str">
        <f>=$QR39+--($QQ40)</f>
      </c>
      <c r="QS40" t="str">
        <f>IF(ROW()-3&gt;MAX($QR$4:$QR$40),"",INDEX($AI$4:$AI$40,MATCH(ROW()-3,$QR$4:$QR$40,0)))</f>
      </c>
      <c r="QT40" t="str">
        <f>IF(COUNTIF('Final Calculation Sheet'!$AL40:$AL40,0)+COUNTIF('Final Calculation Sheet'!$AN40:$BS40,0)&gt;0,0,1)</f>
      </c>
      <c r="QU40" t="str">
        <f>IF($Y$40="",FALSE,SUMPRODUCT(('Final Calculation Sheet'!$B$4:$B$40=$Y$40)*($QT$4:$QT$40=1))&gt;0)</f>
      </c>
      <c r="QV40" t="str">
        <f>=$QV39+--($QU40)</f>
      </c>
      <c r="QW40" t="str">
        <f>IF(ROW()-3&gt;MAX($QV$4:$QV$40),"",INDEX($Y$4:$Y$40,MATCH(ROW()-3,$QV$4:$QV$40,0)))</f>
      </c>
      <c r="QX40" t="str">
        <f>IF(COUNTIF('Final Calculation Sheet'!$AL40:$AM40,0)+COUNTIF('Final Calculation Sheet'!$AO40:$BS40,0)&gt;0,0,1)</f>
      </c>
      <c r="QY40" t="str">
        <f>IF($AS$40="",FALSE,SUMPRODUCT(('Final Calculation Sheet'!$C$4:$C$40=$AS$40)*($QX$4:$QX$40=1))&gt;0)</f>
      </c>
      <c r="QZ40" t="str">
        <f>=$QZ39+--($QY40)</f>
      </c>
      <c r="RA40" t="str">
        <f>IF(ROW()-3&gt;MAX($QZ$4:$QZ$40),"",INDEX($AS$4:$AS$40,MATCH(ROW()-3,$QZ$4:$QZ$40,0)))</f>
      </c>
      <c r="RB40" t="str">
        <f>IF(COUNTIF('Final Calculation Sheet'!$AL40:$AN40,0)+COUNTIF('Final Calculation Sheet'!$AP40:$BS40,0)&gt;0,0,1)</f>
      </c>
      <c r="RC40" t="str">
        <f>IF($AD$40="",FALSE,SUMPRODUCT(('Final Calculation Sheet'!$D$4:$D$40=$AD$40)*($RB$4:$RB$40=1))&gt;0)</f>
      </c>
      <c r="RD40" t="str">
        <f>=$RD39+--($RC40)</f>
      </c>
      <c r="RE40" t="str">
        <f>IF(ROW()-3&gt;MAX($RD$4:$RD$40),"",INDEX($AD$4:$AD$40,MATCH(ROW()-3,$RD$4:$RD$40,0)))</f>
      </c>
      <c r="RF40" t="str">
        <f>IF(COUNTIF('Final Calculation Sheet'!$AL40:$AO40,0)+COUNTIF('Final Calculation Sheet'!$AQ40:$BS40,0)&gt;0,0,1)</f>
      </c>
      <c r="RG40" t="str">
        <f>IF($AN$40="",FALSE,SUMPRODUCT(('Final Calculation Sheet'!$E$4:$E$40=$AN$40)*($RF$4:$RF$40=1))&gt;0)</f>
      </c>
      <c r="RH40" t="str">
        <f>=$RH39+--($RG40)</f>
      </c>
      <c r="RI40" t="str">
        <f>IF(ROW()-3&gt;MAX($RH$4:$RH$40),"",INDEX($AN$4:$AN$40,MATCH(ROW()-3,$RH$4:$RH$40,0)))</f>
      </c>
      <c r="RJ40" t="str">
        <f>IF(COUNTIF('Final Calculation Sheet'!$AL40:$AP40,0)+COUNTIF('Final Calculation Sheet'!$AR40:$BS40,0)&gt;0,0,1)</f>
      </c>
      <c r="RK40" t="str">
        <f>IF($O$40="",FALSE,SUMPRODUCT(('Final Calculation Sheet'!$F$4:$F$40=$O$40)*($RJ$4:$RJ$40=1))&gt;0)</f>
      </c>
      <c r="RL40" t="str">
        <f>=$RL39+--($RK40)</f>
      </c>
      <c r="RM40" t="str">
        <f>IF(ROW()-3&gt;MAX($RL$4:$RL$40),"",INDEX($O$4:$O$40,MATCH(ROW()-3,$RL$4:$RL$40,0)))</f>
      </c>
      <c r="RN40" t="str">
        <f>IF(COUNTIF('Final Calculation Sheet'!$AL40:$AQ40,0)+COUNTIF('Final Calculation Sheet'!$AS40:$BS40,0)&gt;0,0,1)</f>
      </c>
      <c r="RO40" t="str">
        <f>IF($T$40="",FALSE,SUMPRODUCT(('Final Calculation Sheet'!$G$4:$G$40=$T$40)*($RN$4:$RN$40=1))&gt;0)</f>
      </c>
      <c r="RP40" t="str">
        <f>=$RP39+--($RO40)</f>
      </c>
      <c r="RQ40" t="str">
        <f>IF(ROW()-3&gt;MAX($RP$4:$RP$40),"",INDEX($T$4:$T$40,MATCH(ROW()-3,$RP$4:$RP$40,0)))</f>
      </c>
      <c r="RR40" t="str">
        <f>IF(COUNTIF('Final Calculation Sheet'!$AL40:$AR40,0)+COUNTIF('Final Calculation Sheet'!$AT40:$BS40,0)&gt;0,0,1)</f>
      </c>
      <c r="RS40" t="str">
        <f>IF($AX$40="",FALSE,SUMPRODUCT(('Final Calculation Sheet'!$H$4:$H$40=$AX$40)*($RR$4:$RR$40=1))&gt;0)</f>
      </c>
      <c r="RT40" t="str">
        <f>=$RT39+--($RS40)</f>
      </c>
      <c r="RU40" t="str">
        <f>IF(ROW()-3&gt;MAX($RT$4:$RT$40),"",INDEX($AX$4:$AX$40,MATCH(ROW()-3,$RT$4:$RT$40,0)))</f>
      </c>
      <c r="RV40" t="str">
        <f>IF(COUNTIF('Final Calculation Sheet'!$AL40:$AS40,0)+COUNTIF('Final Calculation Sheet'!$AU40:$BS40,0)&gt;0,0,1)</f>
      </c>
      <c r="RW40" t="str">
        <f>IF($BC$40="",FALSE,SUMPRODUCT(('Final Calculation Sheet'!$I$4:$I$40=$BC$40)*($RV$4:$RV$40=1))&gt;0)</f>
      </c>
      <c r="RX40" t="str">
        <f>=$RX39+--($RW40)</f>
      </c>
      <c r="RY40" t="str">
        <f>IF(ROW()-3&gt;MAX($RX$4:$RX$40),"",INDEX($BC$4:$BC$40,MATCH(ROW()-3,$RX$4:$RX$40,0)))</f>
      </c>
      <c r="RZ40" t="str">
        <f>IF(COUNTIF('Final Calculation Sheet'!$AL40:$AT40,0)+COUNTIF('Final Calculation Sheet'!$AV40:$BS40,0)&gt;0,0,1)</f>
      </c>
      <c r="SA40" t="str">
        <f>IF($BH$40="",FALSE,SUMPRODUCT(('Final Calculation Sheet'!$J$4:$J$40=$BH$40)*($RZ$4:$RZ$40=1))&gt;0)</f>
      </c>
      <c r="SB40" t="str">
        <f>=$SB39+--($SA40)</f>
      </c>
      <c r="SC40" t="str">
        <f>IF(ROW()-3&gt;MAX($SB$4:$SB$40),"",INDEX($BH$4:$BH$40,MATCH(ROW()-3,$SB$4:$SB$40,0)))</f>
      </c>
      <c r="SD40" t="str">
        <f>IF(COUNTIF('Final Calculation Sheet'!$AL40:$AU40,0)+COUNTIF('Final Calculation Sheet'!$AW40:$BS40,0)&gt;0,0,1)</f>
      </c>
      <c r="SE40" t="str">
        <f>IF($BM$40="",FALSE,SUMPRODUCT(('Final Calculation Sheet'!$K$4:$K$40=$BM$40)*($SD$4:$SD$40=1))&gt;0)</f>
      </c>
      <c r="SF40" t="str">
        <f>=$SF39+--($SE40)</f>
      </c>
      <c r="SG40" t="str">
        <f>IF(ROW()-3&gt;MAX($SF$4:$SF$40),"",INDEX($BM$4:$BM$40,MATCH(ROW()-3,$SF$4:$SF$40,0)))</f>
      </c>
      <c r="SH40" t="str">
        <f>IF(COUNTIF('Final Calculation Sheet'!$AL40:$AV40,0)+COUNTIF('Final Calculation Sheet'!$AX40:$BS40,0)&gt;0,0,1)</f>
      </c>
      <c r="SI40" t="str">
        <f>IF($BR$40="",FALSE,SUMPRODUCT(('Final Calculation Sheet'!$L$4:$L$40=$BR$40)*($SH$4:$SH$40=1))&gt;0)</f>
      </c>
      <c r="SJ40" t="str">
        <f>=$SJ39+--($SI40)</f>
      </c>
      <c r="SK40" t="str">
        <f>IF(ROW()-3&gt;MAX($SJ$4:$SJ$40),"",INDEX($BR$4:$BR$40,MATCH(ROW()-3,$SJ$4:$SJ$40,0)))</f>
      </c>
      <c r="SL40" t="str">
        <f>IF(COUNTIF('Final Calculation Sheet'!$AL40:$AW40,0)+COUNTIF('Final Calculation Sheet'!$AY40:$BS40,0)&gt;0,0,1)</f>
      </c>
      <c r="SM40" t="str">
        <f>IF($BW$40="",FALSE,SUMPRODUCT(('Final Calculation Sheet'!$M$4:$M$40=$BW$40)*($SL$4:$SL$40=1))&gt;0)</f>
      </c>
      <c r="SN40" t="str">
        <f>=$SN39+--($SM40)</f>
      </c>
      <c r="SO40" t="str">
        <f>IF(ROW()-3&gt;MAX($SN$4:$SN$40),"",INDEX($BW$4:$BW$40,MATCH(ROW()-3,$SN$4:$SN$40,0)))</f>
      </c>
      <c r="SP40" t="str">
        <f>IF(COUNTIF('Final Calculation Sheet'!$AL40:$AX40,0)+COUNTIF('Final Calculation Sheet'!$AZ40:$BS40,0)&gt;0,0,1)</f>
      </c>
      <c r="SQ40" t="str">
        <f>IF($CB$40="",FALSE,SUMPRODUCT(('Final Calculation Sheet'!$N$4:$N$40=$CB$40)*($SP$4:$SP$40=1))&gt;0)</f>
      </c>
      <c r="SR40" t="str">
        <f>=$SR39+--($SQ40)</f>
      </c>
      <c r="SS40" t="str">
        <f>IF(ROW()-3&gt;MAX($SR$4:$SR$40),"",INDEX($CB$4:$CB$40,MATCH(ROW()-3,$SR$4:$SR$40,0)))</f>
      </c>
      <c r="ST40" t="str">
        <f>IF(COUNTIF('Final Calculation Sheet'!$AL40:$AY40,0)+COUNTIF('Final Calculation Sheet'!$BA40:$BS40,0)&gt;0,0,1)</f>
      </c>
      <c r="SU40" t="str">
        <f>IF($CG$40="",FALSE,SUMPRODUCT(('Final Calculation Sheet'!$O$4:$O$40=$CG$40)*($ST$4:$ST$40=1))&gt;0)</f>
      </c>
      <c r="SV40" t="str">
        <f>=$SV39+--($SU40)</f>
      </c>
      <c r="SW40" t="str">
        <f>IF(ROW()-3&gt;MAX($SV$4:$SV$40),"",INDEX($CG$4:$CG$40,MATCH(ROW()-3,$SV$4:$SV$40,0)))</f>
      </c>
      <c r="SX40" t="str">
        <f>IF(COUNTIF('Final Calculation Sheet'!$AL40:$AZ40,0)+COUNTIF('Final Calculation Sheet'!$BB40:$BS40,0)&gt;0,0,1)</f>
      </c>
      <c r="SY40" t="str">
        <f>IF($CL$40="",FALSE,SUMPRODUCT(('Final Calculation Sheet'!$P$4:$P$40=$CL$40)*($SX$4:$SX$40=1))&gt;0)</f>
      </c>
      <c r="SZ40" t="str">
        <f>=$SZ39+--($SY40)</f>
      </c>
      <c r="TA40" t="str">
        <f>IF(ROW()-3&gt;MAX($SZ$4:$SZ$40),"",INDEX($CL$4:$CL$40,MATCH(ROW()-3,$SZ$4:$SZ$40,0)))</f>
      </c>
      <c r="TB40" t="str">
        <f>IF(COUNTIF('Final Calculation Sheet'!$AL40:$BA40,0)+COUNTIF('Final Calculation Sheet'!$BC40:$BS40,0)&gt;0,0,1)</f>
      </c>
      <c r="TC40" t="str">
        <f>IF($CQ$40="",FALSE,SUMPRODUCT(('Final Calculation Sheet'!$Q$4:$Q$40=$CQ$40)*($TB$4:$TB$40=1))&gt;0)</f>
      </c>
      <c r="TD40" t="str">
        <f>=$TD39+--($TC40)</f>
      </c>
      <c r="TE40" t="str">
        <f>IF(ROW()-3&gt;MAX($TD$4:$TD$40),"",INDEX($CQ$4:$CQ$40,MATCH(ROW()-3,$TD$4:$TD$40,0)))</f>
      </c>
      <c r="TF40" t="str">
        <f>IF(COUNTIF('Final Calculation Sheet'!$AL40:$BB40,0)+COUNTIF('Final Calculation Sheet'!$BD40:$BS40,0)&gt;0,0,1)</f>
      </c>
      <c r="TG40" t="str">
        <f>IF($CV$40="",FALSE,SUMPRODUCT(('Final Calculation Sheet'!$R$4:$R$40=$CV$40)*($TF$4:$TF$40=1))&gt;0)</f>
      </c>
      <c r="TH40" t="str">
        <f>=$TH39+--($TG40)</f>
      </c>
      <c r="TI40" t="str">
        <f>IF(ROW()-3&gt;MAX($TH$4:$TH$40),"",INDEX($CV$4:$CV$40,MATCH(ROW()-3,$TH$4:$TH$40,0)))</f>
      </c>
      <c r="TJ40" t="str">
        <f>IF(COUNTIF('Final Calculation Sheet'!$AL40:$BC40,0)+COUNTIF('Final Calculation Sheet'!$BE40:$BS40,0)&gt;0,0,1)</f>
      </c>
      <c r="TK40" t="str">
        <f>IF($DA$40="",FALSE,SUMPRODUCT(('Final Calculation Sheet'!$S$4:$S$40=$DA$40)*($TJ$4:$TJ$40=1))&gt;0)</f>
      </c>
      <c r="TL40" t="str">
        <f>=$TL39+--($TK40)</f>
      </c>
      <c r="TM40" t="str">
        <f>IF(ROW()-3&gt;MAX($TL$4:$TL$40),"",INDEX($DA$4:$DA$40,MATCH(ROW()-3,$TL$4:$TL$40,0)))</f>
      </c>
      <c r="TN40" t="str">
        <f>IF(COUNTIF('Final Calculation Sheet'!$AL40:$BD40,0)+COUNTIF('Final Calculation Sheet'!$BF40:$BS40,0)&gt;0,0,1)</f>
      </c>
      <c r="TO40" t="str">
        <f>IF($DF$40="",FALSE,SUMPRODUCT(('Final Calculation Sheet'!$T$4:$T$40=$DF$40)*($TN$4:$TN$40=1))&gt;0)</f>
      </c>
      <c r="TP40" t="str">
        <f>=$TP39+--($TO40)</f>
      </c>
      <c r="TQ40" t="str">
        <f>IF(ROW()-3&gt;MAX($TP$4:$TP$40),"",INDEX($DF$4:$DF$40,MATCH(ROW()-3,$TP$4:$TP$40,0)))</f>
      </c>
      <c r="TR40" t="str">
        <f>IF(COUNTIF('Final Calculation Sheet'!$AL40:$BE40,0)+COUNTIF('Final Calculation Sheet'!$BG40:$BS40,0)&gt;0,0,1)</f>
      </c>
      <c r="TS40" t="str">
        <f>IF($DK$40="",FALSE,SUMPRODUCT(('Final Calculation Sheet'!$U$4:$U$40=$DK$40)*($TR$4:$TR$40=1))&gt;0)</f>
      </c>
      <c r="TT40" t="str">
        <f>=$TT39+--($TS40)</f>
      </c>
      <c r="TU40" t="str">
        <f>IF(ROW()-3&gt;MAX($TT$4:$TT$40),"",INDEX($DK$4:$DK$40,MATCH(ROW()-3,$TT$4:$TT$40,0)))</f>
      </c>
      <c r="TV40" t="str">
        <f>IF(COUNTIF('Final Calculation Sheet'!$AL40:$BF40,0)+COUNTIF('Final Calculation Sheet'!$BH40:$BS40,0)&gt;0,0,1)</f>
      </c>
      <c r="TW40" t="str">
        <f>IF($DP$40="",FALSE,SUMPRODUCT(('Final Calculation Sheet'!$V$4:$V$40=$DP$40)*($TV$4:$TV$40=1))&gt;0)</f>
      </c>
      <c r="TX40" t="str">
        <f>=$TX39+--($TW40)</f>
      </c>
      <c r="TY40" t="str">
        <f>IF(ROW()-3&gt;MAX($TX$4:$TX$40),"",INDEX($DP$4:$DP$40,MATCH(ROW()-3,$TX$4:$TX$40,0)))</f>
      </c>
      <c r="TZ40" t="str">
        <f>IF(COUNTIF('Final Calculation Sheet'!$AL40:$BG40,0)+COUNTIF('Final Calculation Sheet'!$BI40:$BS40,0)&gt;0,0,1)</f>
      </c>
      <c r="UA40" t="str">
        <f>IF($DU$40="",FALSE,SUMPRODUCT(('Final Calculation Sheet'!$W$4:$W$40=$DU$40)*($TZ$4:$TZ$40=1))&gt;0)</f>
      </c>
      <c r="UB40" t="str">
        <f>=$UB39+--($UA40)</f>
      </c>
      <c r="UC40" t="str">
        <f>IF(ROW()-3&gt;MAX($UB$4:$UB$40),"",INDEX($DU$4:$DU$40,MATCH(ROW()-3,$UB$4:$UB$40,0)))</f>
      </c>
      <c r="UD40" t="str">
        <f>IF(COUNTIF('Final Calculation Sheet'!$AL40:$BH40,0)+COUNTIF('Final Calculation Sheet'!$BJ40:$BS40,0)&gt;0,0,1)</f>
      </c>
      <c r="UE40" t="str">
        <f>IF($DZ$40="",FALSE,SUMPRODUCT(('Final Calculation Sheet'!$X$4:$X$40=$DZ$40)*($UD$4:$UD$40=1))&gt;0)</f>
      </c>
      <c r="UF40" t="str">
        <f>=$UF39+--($UE40)</f>
      </c>
      <c r="UG40" t="str">
        <f>IF(ROW()-3&gt;MAX($UF$4:$UF$40),"",INDEX($DZ$4:$DZ$40,MATCH(ROW()-3,$UF$4:$UF$40,0)))</f>
      </c>
      <c r="UH40" t="str">
        <f>IF(COUNTIF('Final Calculation Sheet'!$AL40:$BI40,0)+COUNTIF('Final Calculation Sheet'!$BK40:$BS40,0)&gt;0,0,1)</f>
      </c>
      <c r="UI40" t="str">
        <f>IF($EE$40="",FALSE,SUMPRODUCT(('Final Calculation Sheet'!$Y$4:$Y$40=$EE$40)*($UH$4:$UH$40=1))&gt;0)</f>
      </c>
      <c r="UJ40" t="str">
        <f>=$UJ39+--($UI40)</f>
      </c>
      <c r="UK40" t="str">
        <f>IF(ROW()-3&gt;MAX($UJ$4:$UJ$40),"",INDEX($EE$4:$EE$40,MATCH(ROW()-3,$UJ$4:$UJ$40,0)))</f>
      </c>
      <c r="UL40" t="str">
        <f>IF(COUNTIF('Final Calculation Sheet'!$AL40:$BJ40,0)+COUNTIF('Final Calculation Sheet'!$BL40:$BS40,0)&gt;0,0,1)</f>
      </c>
      <c r="UM40" t="str">
        <f>IF($EJ$40="",FALSE,SUMPRODUCT(('Final Calculation Sheet'!$Z$4:$Z$40=$EJ$40)*($UL$4:$UL$40=1))&gt;0)</f>
      </c>
      <c r="UN40" t="str">
        <f>=$UN39+--($UM40)</f>
      </c>
      <c r="UO40" t="str">
        <f>IF(ROW()-3&gt;MAX($UN$4:$UN$40),"",INDEX($EJ$4:$EJ$40,MATCH(ROW()-3,$UN$4:$UN$40,0)))</f>
      </c>
      <c r="UP40" t="str">
        <f>IF(COUNTIF('Final Calculation Sheet'!$AL40:$BK40,0)+COUNTIF('Final Calculation Sheet'!$BM40:$BS40,0)&gt;0,0,1)</f>
      </c>
      <c r="UQ40" t="str">
        <f>IF($EO$40="",FALSE,SUMPRODUCT(('Final Calculation Sheet'!$AA$4:$AA$40=$EO$40)*($UP$4:$UP$40=1))&gt;0)</f>
      </c>
      <c r="UR40" t="str">
        <f>=$UR39+--($UQ40)</f>
      </c>
      <c r="US40" t="str">
        <f>IF(ROW()-3&gt;MAX($UR$4:$UR$40),"",INDEX($EO$4:$EO$40,MATCH(ROW()-3,$UR$4:$UR$40,0)))</f>
      </c>
      <c r="UT40" t="str">
        <f>IF(COUNTIF('Final Calculation Sheet'!$AL40:$BL40,0)+COUNTIF('Final Calculation Sheet'!$BN40:$BS40,0)&gt;0,0,1)</f>
      </c>
      <c r="UU40" t="str">
        <f>IF($ET$40="",FALSE,SUMPRODUCT(('Final Calculation Sheet'!$AB$4:$AB$40=$ET$40)*($UT$4:$UT$40=1))&gt;0)</f>
      </c>
      <c r="UV40" t="str">
        <f>=$UV39+--($UU40)</f>
      </c>
      <c r="UW40" t="str">
        <f>IF(ROW()-3&gt;MAX($UV$4:$UV$40),"",INDEX($ET$4:$ET$40,MATCH(ROW()-3,$UV$4:$UV$40,0)))</f>
      </c>
      <c r="UX40" t="str">
        <f>IF(COUNTIF('Final Calculation Sheet'!$AL40:$BM40,0)+COUNTIF('Final Calculation Sheet'!$BO40:$BS40,0)&gt;0,0,1)</f>
      </c>
      <c r="UY40" t="str">
        <f>IF($EY$40="",FALSE,SUMPRODUCT(('Final Calculation Sheet'!$AC$4:$AC$40=$EY$40)*($UX$4:$UX$40=1))&gt;0)</f>
      </c>
      <c r="UZ40" t="str">
        <f>=$UZ39+--($UY40)</f>
      </c>
      <c r="VA40" t="str">
        <f>IF(ROW()-3&gt;MAX($UZ$4:$UZ$40),"",INDEX($EY$4:$EY$40,MATCH(ROW()-3,$UZ$4:$UZ$40,0)))</f>
      </c>
      <c r="VB40" t="str">
        <f>IF(COUNTIF('Final Calculation Sheet'!$AL40:$BN40,0)+COUNTIF('Final Calculation Sheet'!$BP40:$BS40,0)&gt;0,0,1)</f>
      </c>
      <c r="VC40" t="str">
        <f>IF($FD$40="",FALSE,SUMPRODUCT(('Final Calculation Sheet'!$AD$4:$AD$40=$FD$40)*($VB$4:$VB$40=1))&gt;0)</f>
      </c>
      <c r="VD40" t="str">
        <f>=$VD39+--($VC40)</f>
      </c>
      <c r="VE40" t="str">
        <f>IF(ROW()-3&gt;MAX($VD$4:$VD$40),"",INDEX($FD$4:$FD$40,MATCH(ROW()-3,$VD$4:$VD$40,0)))</f>
      </c>
      <c r="VF40" t="str">
        <f>IF(COUNTIF('Final Calculation Sheet'!$AL40:$BO40,0)+COUNTIF('Final Calculation Sheet'!$BQ40:$BS40,0)&gt;0,0,1)</f>
      </c>
      <c r="VG40" t="str">
        <f>IF($FI$40="",FALSE,SUMPRODUCT(('Final Calculation Sheet'!$AE$4:$AE$40=$FI$40)*($VF$4:$VF$40=1))&gt;0)</f>
      </c>
      <c r="VH40" t="str">
        <f>=$VH39+--($VG40)</f>
      </c>
      <c r="VI40" t="str">
        <f>IF(ROW()-3&gt;MAX($VH$4:$VH$40),"",INDEX($FI$4:$FI$40,MATCH(ROW()-3,$VH$4:$VH$40,0)))</f>
      </c>
      <c r="VJ40" t="str">
        <f>IF(COUNTIF('Final Calculation Sheet'!$AL40:$BP40,0)+COUNTIF('Final Calculation Sheet'!$BR40:$BS40,0)&gt;0,0,1)</f>
      </c>
      <c r="VK40" t="str">
        <f>IF($FN$40="",FALSE,SUMPRODUCT(('Final Calculation Sheet'!$AF$4:$AF$40=$FN$40)*($VJ$4:$VJ$40=1))&gt;0)</f>
      </c>
      <c r="VL40" t="str">
        <f>=$VL39+--($VK40)</f>
      </c>
      <c r="VM40" t="str">
        <f>IF(ROW()-3&gt;MAX($VL$4:$VL$40),"",INDEX($FN$4:$FN$40,MATCH(ROW()-3,$VL$4:$VL$40,0)))</f>
      </c>
      <c r="VN40" t="str">
        <f>IF(COUNTIF('Final Calculation Sheet'!$AL40:$BQ40,0)+COUNTIF('Final Calculation Sheet'!$BS40:$BS40,0)&gt;0,0,1)</f>
      </c>
      <c r="VO40" t="str">
        <f>IF($FS$40="",FALSE,SUMPRODUCT(('Final Calculation Sheet'!$AG$4:$AG$40=$FS$40)*($VN$4:$VN$40=1))&gt;0)</f>
      </c>
      <c r="VP40" t="str">
        <f>=$VP39+--($VO40)</f>
      </c>
      <c r="VQ40" t="str">
        <f>IF(ROW()-3&gt;MAX($VP$4:$VP$40),"",INDEX($FS$4:$FS$40,MATCH(ROW()-3,$VP$4:$VP$40,0)))</f>
      </c>
      <c r="VR40" t="str">
        <f>IF(COUNTIF('Final Calculation Sheet'!$AL40:$BR40,0)&gt;0,0,1)</f>
      </c>
      <c r="VS40" t="str">
        <f>IF($QO$40="",FALSE,SUMPRODUCT(('Final Calculation Sheet'!$AH$4:$AH$40=$QO$40)*($VR$4:$VR$40=1))&gt;0)</f>
      </c>
      <c r="VT40" t="str">
        <f>=$VT39+--($VS40)</f>
      </c>
      <c r="VU40" t="str">
        <f>IF(ROW()-3&gt;MAX($VT$4:$VT$40),"",INDEX($QO$4:$QO$40,MATCH(ROW()-3,$VT$4:$VT$40,0)))</f>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IF(ROW()-3&gt;MAX($LC$4:$LC$40),"",INDEX($FS$4:$FS$40,MATCH(ROW()-3,$LC$4:$LC$40,0)))</f>
        <v/>
      </c>
      <c r="LE41">
        <f>IF(COUNTIF('Buyer Groups'!DH41:EN41,0)&gt;0,0,1)</f>
        <v/>
      </c>
      <c r="LH41">
        <f>IF(ROW()-3&gt;MAX($LG$4:$LG$40),"",INDEX($O$4:$O$40,MATCH(ROW()-3,$LG$4:$LG$40,0)))</f>
        <v/>
      </c>
      <c r="LI41">
        <f>IF(COUNTIF('Buyer Groups'!DG41:DG41,0)+COUNTIF('Buyer Groups'!DI41:EN41,0)&gt;0,0,1)</f>
        <v/>
      </c>
      <c r="LL41">
        <f>IF(ROW()-3&gt;MAX($LK$4:$LK$40),"",INDEX($T$4:$T$40,MATCH(ROW()-3,$LK$4:$LK$40,0)))</f>
        <v/>
      </c>
      <c r="LM41">
        <f>IF(COUNTIF('Buyer Groups'!DG41:DH41,0)+COUNTIF('Buyer Groups'!DJ41:EN41,0)&gt;0,0,1)</f>
        <v/>
      </c>
      <c r="LP41">
        <f>IF(ROW()-3&gt;MAX($LO$4:$LO$40),"",INDEX($Y$4:$Y$40,MATCH(ROW()-3,$LO$4:$LO$40,0)))</f>
        <v/>
      </c>
      <c r="LQ41">
        <f>IF(COUNTIF('Buyer Groups'!DG41:DI41,0)+COUNTIF('Buyer Groups'!DK41:EN41,0)&gt;0,0,1)</f>
        <v/>
      </c>
      <c r="LT41">
        <f>IF(ROW()-3&gt;MAX($LS$4:$LS$40),"",INDEX($AD$4:$AD$40,MATCH(ROW()-3,$LS$4:$LS$40,0)))</f>
        <v/>
      </c>
      <c r="LU41">
        <f>IF(COUNTIF('Buyer Groups'!DG41:DJ41,0)+COUNTIF('Buyer Groups'!DL41:EN41,0)&gt;0,0,1)</f>
        <v/>
      </c>
      <c r="LX41">
        <f>IF(ROW()-3&gt;MAX($LW$4:$LW$40),"",INDEX($AI$4:$AI$40,MATCH(ROW()-3,$LW$4:$LW$40,0)))</f>
        <v/>
      </c>
      <c r="LY41">
        <f>IF(COUNTIF('Buyer Groups'!DG41:DK41,0)+COUNTIF('Buyer Groups'!DM41:EN41,0)&gt;0,0,1)</f>
        <v/>
      </c>
      <c r="MB41">
        <f>IF(ROW()-3&gt;MAX($MA$4:$MA$40),"",INDEX($AN$4:$AN$40,MATCH(ROW()-3,$MA$4:$MA$40,0)))</f>
        <v/>
      </c>
      <c r="MC41">
        <f>IF(COUNTIF('Buyer Groups'!DG41:DL41,0)+COUNTIF('Buyer Groups'!DN41:EN41,0)&gt;0,0,1)</f>
        <v/>
      </c>
      <c r="MF41">
        <f>IF(ROW()-3&gt;MAX($ME$4:$ME$40),"",INDEX($AS$4:$AS$40,MATCH(ROW()-3,$ME$4:$ME$40,0)))</f>
        <v/>
      </c>
      <c r="MG41">
        <f>IF(COUNTIF('Buyer Groups'!DG41:DM41,0)+COUNTIF('Buyer Groups'!DO41:EN41,0)&gt;0,0,1)</f>
        <v/>
      </c>
      <c r="MJ41">
        <f>IF(ROW()-3&gt;MAX($MI$4:$MI$40),"",INDEX($AX$4:$AX$40,MATCH(ROW()-3,$MI$4:$MI$40,0)))</f>
        <v/>
      </c>
      <c r="MK41">
        <f>IF(COUNTIF('Buyer Groups'!DG41:DN41,0)+COUNTIF('Buyer Groups'!DP41:EN41,0)&gt;0,0,1)</f>
        <v/>
      </c>
      <c r="MN41">
        <f>IF(ROW()-3&gt;MAX($MM$4:$MM$40),"",INDEX($BC$4:$BC$40,MATCH(ROW()-3,$MM$4:$MM$40,0)))</f>
        <v/>
      </c>
      <c r="MO41">
        <f>IF(COUNTIF('Buyer Groups'!DG41:DO41,0)+COUNTIF('Buyer Groups'!DQ41:EN41,0)&gt;0,0,1)</f>
        <v/>
      </c>
      <c r="MR41">
        <f>IF(ROW()-3&gt;MAX($MQ$4:$MQ$40),"",INDEX($BH$4:$BH$40,MATCH(ROW()-3,$MQ$4:$MQ$40,0)))</f>
        <v/>
      </c>
      <c r="MS41">
        <f>IF(COUNTIF('Buyer Groups'!DG41:DP41,0)+COUNTIF('Buyer Groups'!DR41:EN41,0)&gt;0,0,1)</f>
        <v/>
      </c>
      <c r="MV41">
        <f>IF(ROW()-3&gt;MAX($MU$4:$MU$40),"",INDEX($BM$4:$BM$40,MATCH(ROW()-3,$MU$4:$MU$40,0)))</f>
        <v/>
      </c>
      <c r="MW41">
        <f>IF(COUNTIF('Buyer Groups'!DG41:DQ41,0)+COUNTIF('Buyer Groups'!DS41:EN41,0)&gt;0,0,1)</f>
        <v/>
      </c>
      <c r="MZ41">
        <f>IF(ROW()-3&gt;MAX($MY$4:$MY$40),"",INDEX($BR$4:$BR$40,MATCH(ROW()-3,$MY$4:$MY$40,0)))</f>
        <v/>
      </c>
      <c r="NA41">
        <f>IF(COUNTIF('Buyer Groups'!DG41:DR41,0)+COUNTIF('Buyer Groups'!DT41:EN41,0)&gt;0,0,1)</f>
        <v/>
      </c>
      <c r="ND41">
        <f>IF(ROW()-3&gt;MAX($NC$4:$NC$40),"",INDEX($BW$4:$BW$40,MATCH(ROW()-3,$NC$4:$NC$40,0)))</f>
        <v/>
      </c>
      <c r="NE41">
        <f>IF(COUNTIF('Buyer Groups'!DG41:DS41,0)+COUNTIF('Buyer Groups'!DU41:EN41,0)&gt;0,0,1)</f>
        <v/>
      </c>
      <c r="NH41">
        <f>IF(ROW()-3&gt;MAX($NG$4:$NG$40),"",INDEX($CB$4:$CB$40,MATCH(ROW()-3,$NG$4:$NG$40,0)))</f>
        <v/>
      </c>
      <c r="NI41">
        <f>IF(COUNTIF('Buyer Groups'!DG41:DT41,0)+COUNTIF('Buyer Groups'!DV41:EN41,0)&gt;0,0,1)</f>
        <v/>
      </c>
      <c r="NL41">
        <f>IF(ROW()-3&gt;MAX($NK$4:$NK$40),"",INDEX($CG$4:$CG$40,MATCH(ROW()-3,$NK$4:$NK$40,0)))</f>
        <v/>
      </c>
      <c r="NM41">
        <f>IF(COUNTIF('Buyer Groups'!DG41:DU41,0)+COUNTIF('Buyer Groups'!DW41:EN41,0)&gt;0,0,1)</f>
        <v/>
      </c>
      <c r="NP41">
        <f>IF(ROW()-3&gt;MAX($NO$4:$NO$40),"",INDEX($CL$4:$CL$40,MATCH(ROW()-3,$NO$4:$NO$40,0)))</f>
        <v/>
      </c>
      <c r="NQ41">
        <f>IF(COUNTIF('Buyer Groups'!DG41:DV41,0)+COUNTIF('Buyer Groups'!DX41:EN41,0)&gt;0,0,1)</f>
        <v/>
      </c>
      <c r="NT41">
        <f>IF(ROW()-3&gt;MAX($NS$4:$NS$40),"",INDEX($CQ$4:$CQ$40,MATCH(ROW()-3,$NS$4:$NS$40,0)))</f>
        <v/>
      </c>
      <c r="NU41">
        <f>IF(COUNTIF('Buyer Groups'!DG41:DW41,0)+COUNTIF('Buyer Groups'!DY41:EN41,0)&gt;0,0,1)</f>
        <v/>
      </c>
      <c r="NX41">
        <f>IF(ROW()-3&gt;MAX($NW$4:$NW$40),"",INDEX($CV$4:$CV$40,MATCH(ROW()-3,$NW$4:$NW$40,0)))</f>
        <v/>
      </c>
      <c r="NY41">
        <f>IF(COUNTIF('Buyer Groups'!DG41:DX41,0)+COUNTIF('Buyer Groups'!DZ41:EN41,0)&gt;0,0,1)</f>
        <v/>
      </c>
      <c r="OB41">
        <f>IF(ROW()-3&gt;MAX($OA$4:$OA$40),"",INDEX($DA$4:$DA$40,MATCH(ROW()-3,$OA$4:$OA$40,0)))</f>
        <v/>
      </c>
      <c r="OC41">
        <f>IF(COUNTIF('Buyer Groups'!DG41:DY41,0)+COUNTIF('Buyer Groups'!EA41:EN41,0)&gt;0,0,1)</f>
        <v/>
      </c>
      <c r="OF41">
        <f>IF(ROW()-3&gt;MAX($OE$4:$OE$40),"",INDEX($DF$4:$DF$40,MATCH(ROW()-3,$OE$4:$OE$40,0)))</f>
        <v/>
      </c>
      <c r="OG41">
        <f>IF(COUNTIF('Buyer Groups'!DG41:DZ41,0)+COUNTIF('Buyer Groups'!EB41:EN41,0)&gt;0,0,1)</f>
        <v/>
      </c>
      <c r="OJ41">
        <f>IF(ROW()-3&gt;MAX($OI$4:$OI$40),"",INDEX($DK$4:$DK$40,MATCH(ROW()-3,$OI$4:$OI$40,0)))</f>
        <v/>
      </c>
      <c r="OK41">
        <f>IF(COUNTIF('Buyer Groups'!DG41:EA41,0)+COUNTIF('Buyer Groups'!EC41:EN41,0)&gt;0,0,1)</f>
        <v/>
      </c>
      <c r="ON41">
        <f>IF(ROW()-3&gt;MAX($OM$4:$OM$40),"",INDEX($DP$4:$DP$40,MATCH(ROW()-3,$OM$4:$OM$40,0)))</f>
        <v/>
      </c>
      <c r="OO41">
        <f>IF(COUNTIF('Buyer Groups'!DG41:EB41,0)+COUNTIF('Buyer Groups'!ED41:EN41,0)&gt;0,0,1)</f>
        <v/>
      </c>
      <c r="OR41">
        <f>IF(ROW()-3&gt;MAX($OQ$4:$OQ$40),"",INDEX($DU$4:$DU$40,MATCH(ROW()-3,$OQ$4:$OQ$40,0)))</f>
        <v/>
      </c>
      <c r="OS41">
        <f>IF(COUNTIF('Buyer Groups'!DG41:EC41,0)+COUNTIF('Buyer Groups'!EE41:EN41,0)&gt;0,0,1)</f>
        <v/>
      </c>
      <c r="OV41">
        <f>IF(ROW()-3&gt;MAX($OU$4:$OU$40),"",INDEX($DZ$4:$DZ$40,MATCH(ROW()-3,$OU$4:$OU$40,0)))</f>
        <v/>
      </c>
      <c r="OW41">
        <f>IF(COUNTIF('Buyer Groups'!DG41:ED41,0)+COUNTIF('Buyer Groups'!EF41:EN41,0)&gt;0,0,1)</f>
        <v/>
      </c>
      <c r="OZ41">
        <f>IF(ROW()-3&gt;MAX($OY$4:$OY$40),"",INDEX($EE$4:$EE$40,MATCH(ROW()-3,$OY$4:$OY$40,0)))</f>
        <v/>
      </c>
      <c r="PA41">
        <f>IF(COUNTIF('Buyer Groups'!DG41:EE41,0)+COUNTIF('Buyer Groups'!EG41:EN41,0)&gt;0,0,1)</f>
        <v/>
      </c>
      <c r="PD41">
        <f>IF(ROW()-3&gt;MAX($PC$4:$PC$40),"",INDEX($EJ$4:$EJ$40,MATCH(ROW()-3,$PC$4:$PC$40,0)))</f>
        <v/>
      </c>
      <c r="PE41">
        <f>IF(COUNTIF('Buyer Groups'!DG41:EF41,0)+COUNTIF('Buyer Groups'!EH41:EN41,0)&gt;0,0,1)</f>
        <v/>
      </c>
      <c r="PH41">
        <f>IF(ROW()-3&gt;MAX($PG$4:$PG$40),"",INDEX($EO$4:$EO$40,MATCH(ROW()-3,$PG$4:$PG$40,0)))</f>
        <v/>
      </c>
      <c r="PI41">
        <f>IF(COUNTIF('Buyer Groups'!DG41:EG41,0)+COUNTIF('Buyer Groups'!EI41:EN41,0)&gt;0,0,1)</f>
        <v/>
      </c>
      <c r="PL41">
        <f>IF(ROW()-3&gt;MAX($PK$4:$PK$40),"",INDEX($ET$4:$ET$40,MATCH(ROW()-3,$PK$4:$PK$40,0)))</f>
        <v/>
      </c>
      <c r="PM41">
        <f>IF(COUNTIF('Buyer Groups'!DG41:EH41,0)+COUNTIF('Buyer Groups'!EJ41:EN41,0)&gt;0,0,1)</f>
        <v/>
      </c>
      <c r="PP41">
        <f>IF(ROW()-3&gt;MAX($PO$4:$PO$40),"",INDEX($EY$4:$EY$40,MATCH(ROW()-3,$PO$4:$PO$40,0)))</f>
        <v/>
      </c>
      <c r="PQ41">
        <f>IF(COUNTIF('Buyer Groups'!DG41:EI41,0)+COUNTIF('Buyer Groups'!EK41:EN41,0)&gt;0,0,1)</f>
        <v/>
      </c>
      <c r="PT41">
        <f>IF(ROW()-3&gt;MAX($PS$4:$PS$40),"",INDEX($FD$4:$FD$40,MATCH(ROW()-3,$PS$4:$PS$40,0)))</f>
        <v/>
      </c>
      <c r="PU41">
        <f>IF(COUNTIF('Buyer Groups'!DG41:EJ41,0)+COUNTIF('Buyer Groups'!EL41:EN41,0)&gt;0,0,1)</f>
        <v/>
      </c>
      <c r="PX41">
        <f>IF(ROW()-3&gt;MAX($PW$4:$PW$40),"",INDEX($FX$4:$FX$40,MATCH(ROW()-3,$PW$4:$PW$40,0)))</f>
        <v/>
      </c>
      <c r="PY41">
        <f>IF(COUNTIF('Buyer Groups'!DG41:EK41,0)+COUNTIF('Buyer Groups'!EM41:EN41,0)&gt;0,0,1)</f>
        <v/>
      </c>
      <c r="QB41">
        <f>IF(ROW()-3&gt;MAX($QA$4:$QA$40),"",INDEX($FI$4:$FI$40,MATCH(ROW()-3,$QA$4:$QA$40,0)))</f>
        <v/>
      </c>
      <c r="QC41">
        <f>IF(COUNTIF('Buyer Groups'!DG41:EL41,0)+COUNTIF('Buyer Groups'!EN41:EN41,0)&gt;0,0,1)</f>
        <v/>
      </c>
      <c r="QF41">
        <f>IF(ROW()-3&gt;MAX($QE$4:$QE$40),"",INDEX($FN$4:$FN$40,MATCH(ROW()-3,$QE$4:$QE$40,0)))</f>
        <v/>
      </c>
      <c r="QG41">
        <f>IF(COUNTIF('Buyer Groups'!DG41:EM41,0)&gt;0,0,1)</f>
        <v/>
      </c>
      <c r="QJ41">
        <f>IF(ROW()-3&gt;MAX($QI$4:$QI$40),"",INDEX($FS$4:$FS$40,MATCH(ROW()-3,$QI$4:$QI$40,0)))</f>
        <v/>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IF(ROW()-3&gt;MAX($LC$4:$LC$40),"",INDEX($FS$4:$FS$40,MATCH(ROW()-3,$LC$4:$LC$40,0)))</f>
        <v/>
      </c>
      <c r="LE42">
        <f>IF(COUNTIF('Buyer Groups'!DH42:EN42,0)&gt;0,0,1)</f>
        <v/>
      </c>
      <c r="LH42">
        <f>IF(ROW()-3&gt;MAX($LG$4:$LG$40),"",INDEX($O$4:$O$40,MATCH(ROW()-3,$LG$4:$LG$40,0)))</f>
        <v/>
      </c>
      <c r="LI42">
        <f>IF(COUNTIF('Buyer Groups'!DG42:DG42,0)+COUNTIF('Buyer Groups'!DI42:EN42,0)&gt;0,0,1)</f>
        <v/>
      </c>
      <c r="LL42">
        <f>IF(ROW()-3&gt;MAX($LK$4:$LK$40),"",INDEX($T$4:$T$40,MATCH(ROW()-3,$LK$4:$LK$40,0)))</f>
        <v/>
      </c>
      <c r="LM42">
        <f>IF(COUNTIF('Buyer Groups'!DG42:DH42,0)+COUNTIF('Buyer Groups'!DJ42:EN42,0)&gt;0,0,1)</f>
        <v/>
      </c>
      <c r="LP42">
        <f>IF(ROW()-3&gt;MAX($LO$4:$LO$40),"",INDEX($Y$4:$Y$40,MATCH(ROW()-3,$LO$4:$LO$40,0)))</f>
        <v/>
      </c>
      <c r="LQ42">
        <f>IF(COUNTIF('Buyer Groups'!DG42:DI42,0)+COUNTIF('Buyer Groups'!DK42:EN42,0)&gt;0,0,1)</f>
        <v/>
      </c>
      <c r="LT42">
        <f>IF(ROW()-3&gt;MAX($LS$4:$LS$40),"",INDEX($AD$4:$AD$40,MATCH(ROW()-3,$LS$4:$LS$40,0)))</f>
        <v/>
      </c>
      <c r="LU42">
        <f>IF(COUNTIF('Buyer Groups'!DG42:DJ42,0)+COUNTIF('Buyer Groups'!DL42:EN42,0)&gt;0,0,1)</f>
        <v/>
      </c>
      <c r="LX42">
        <f>IF(ROW()-3&gt;MAX($LW$4:$LW$40),"",INDEX($AI$4:$AI$40,MATCH(ROW()-3,$LW$4:$LW$40,0)))</f>
        <v/>
      </c>
      <c r="LY42">
        <f>IF(COUNTIF('Buyer Groups'!DG42:DK42,0)+COUNTIF('Buyer Groups'!DM42:EN42,0)&gt;0,0,1)</f>
        <v/>
      </c>
      <c r="MB42">
        <f>IF(ROW()-3&gt;MAX($MA$4:$MA$40),"",INDEX($AN$4:$AN$40,MATCH(ROW()-3,$MA$4:$MA$40,0)))</f>
        <v/>
      </c>
      <c r="MC42">
        <f>IF(COUNTIF('Buyer Groups'!DG42:DL42,0)+COUNTIF('Buyer Groups'!DN42:EN42,0)&gt;0,0,1)</f>
        <v/>
      </c>
      <c r="MF42">
        <f>IF(ROW()-3&gt;MAX($ME$4:$ME$40),"",INDEX($AS$4:$AS$40,MATCH(ROW()-3,$ME$4:$ME$40,0)))</f>
        <v/>
      </c>
      <c r="MG42">
        <f>IF(COUNTIF('Buyer Groups'!DG42:DM42,0)+COUNTIF('Buyer Groups'!DO42:EN42,0)&gt;0,0,1)</f>
        <v/>
      </c>
      <c r="MJ42">
        <f>IF(ROW()-3&gt;MAX($MI$4:$MI$40),"",INDEX($AX$4:$AX$40,MATCH(ROW()-3,$MI$4:$MI$40,0)))</f>
        <v/>
      </c>
      <c r="MK42">
        <f>IF(COUNTIF('Buyer Groups'!DG42:DN42,0)+COUNTIF('Buyer Groups'!DP42:EN42,0)&gt;0,0,1)</f>
        <v/>
      </c>
      <c r="MN42">
        <f>IF(ROW()-3&gt;MAX($MM$4:$MM$40),"",INDEX($BC$4:$BC$40,MATCH(ROW()-3,$MM$4:$MM$40,0)))</f>
        <v/>
      </c>
      <c r="MO42">
        <f>IF(COUNTIF('Buyer Groups'!DG42:DO42,0)+COUNTIF('Buyer Groups'!DQ42:EN42,0)&gt;0,0,1)</f>
        <v/>
      </c>
      <c r="MR42">
        <f>IF(ROW()-3&gt;MAX($MQ$4:$MQ$40),"",INDEX($BH$4:$BH$40,MATCH(ROW()-3,$MQ$4:$MQ$40,0)))</f>
        <v/>
      </c>
      <c r="MS42">
        <f>IF(COUNTIF('Buyer Groups'!DG42:DP42,0)+COUNTIF('Buyer Groups'!DR42:EN42,0)&gt;0,0,1)</f>
        <v/>
      </c>
      <c r="MV42">
        <f>IF(ROW()-3&gt;MAX($MU$4:$MU$40),"",INDEX($BM$4:$BM$40,MATCH(ROW()-3,$MU$4:$MU$40,0)))</f>
        <v/>
      </c>
      <c r="MW42">
        <f>IF(COUNTIF('Buyer Groups'!DG42:DQ42,0)+COUNTIF('Buyer Groups'!DS42:EN42,0)&gt;0,0,1)</f>
        <v/>
      </c>
      <c r="MZ42">
        <f>IF(ROW()-3&gt;MAX($MY$4:$MY$40),"",INDEX($BR$4:$BR$40,MATCH(ROW()-3,$MY$4:$MY$40,0)))</f>
        <v/>
      </c>
      <c r="NA42">
        <f>IF(COUNTIF('Buyer Groups'!DG42:DR42,0)+COUNTIF('Buyer Groups'!DT42:EN42,0)&gt;0,0,1)</f>
        <v/>
      </c>
      <c r="ND42">
        <f>IF(ROW()-3&gt;MAX($NC$4:$NC$40),"",INDEX($BW$4:$BW$40,MATCH(ROW()-3,$NC$4:$NC$40,0)))</f>
        <v/>
      </c>
      <c r="NE42">
        <f>IF(COUNTIF('Buyer Groups'!DG42:DS42,0)+COUNTIF('Buyer Groups'!DU42:EN42,0)&gt;0,0,1)</f>
        <v/>
      </c>
      <c r="NH42">
        <f>IF(ROW()-3&gt;MAX($NG$4:$NG$40),"",INDEX($CB$4:$CB$40,MATCH(ROW()-3,$NG$4:$NG$40,0)))</f>
        <v/>
      </c>
      <c r="NI42">
        <f>IF(COUNTIF('Buyer Groups'!DG42:DT42,0)+COUNTIF('Buyer Groups'!DV42:EN42,0)&gt;0,0,1)</f>
        <v/>
      </c>
      <c r="NL42">
        <f>IF(ROW()-3&gt;MAX($NK$4:$NK$40),"",INDEX($CG$4:$CG$40,MATCH(ROW()-3,$NK$4:$NK$40,0)))</f>
        <v/>
      </c>
      <c r="NM42">
        <f>IF(COUNTIF('Buyer Groups'!DG42:DU42,0)+COUNTIF('Buyer Groups'!DW42:EN42,0)&gt;0,0,1)</f>
        <v/>
      </c>
      <c r="NP42">
        <f>IF(ROW()-3&gt;MAX($NO$4:$NO$40),"",INDEX($CL$4:$CL$40,MATCH(ROW()-3,$NO$4:$NO$40,0)))</f>
        <v/>
      </c>
      <c r="NQ42">
        <f>IF(COUNTIF('Buyer Groups'!DG42:DV42,0)+COUNTIF('Buyer Groups'!DX42:EN42,0)&gt;0,0,1)</f>
        <v/>
      </c>
      <c r="NT42">
        <f>IF(ROW()-3&gt;MAX($NS$4:$NS$40),"",INDEX($CQ$4:$CQ$40,MATCH(ROW()-3,$NS$4:$NS$40,0)))</f>
        <v/>
      </c>
      <c r="NU42">
        <f>IF(COUNTIF('Buyer Groups'!DG42:DW42,0)+COUNTIF('Buyer Groups'!DY42:EN42,0)&gt;0,0,1)</f>
        <v/>
      </c>
      <c r="NX42">
        <f>IF(ROW()-3&gt;MAX($NW$4:$NW$40),"",INDEX($CV$4:$CV$40,MATCH(ROW()-3,$NW$4:$NW$40,0)))</f>
        <v/>
      </c>
      <c r="NY42">
        <f>IF(COUNTIF('Buyer Groups'!DG42:DX42,0)+COUNTIF('Buyer Groups'!DZ42:EN42,0)&gt;0,0,1)</f>
        <v/>
      </c>
      <c r="OB42">
        <f>IF(ROW()-3&gt;MAX($OA$4:$OA$40),"",INDEX($DA$4:$DA$40,MATCH(ROW()-3,$OA$4:$OA$40,0)))</f>
        <v/>
      </c>
      <c r="OC42">
        <f>IF(COUNTIF('Buyer Groups'!DG42:DY42,0)+COUNTIF('Buyer Groups'!EA42:EN42,0)&gt;0,0,1)</f>
        <v/>
      </c>
      <c r="OF42">
        <f>IF(ROW()-3&gt;MAX($OE$4:$OE$40),"",INDEX($DF$4:$DF$40,MATCH(ROW()-3,$OE$4:$OE$40,0)))</f>
        <v/>
      </c>
      <c r="OG42">
        <f>IF(COUNTIF('Buyer Groups'!DG42:DZ42,0)+COUNTIF('Buyer Groups'!EB42:EN42,0)&gt;0,0,1)</f>
        <v/>
      </c>
      <c r="OJ42">
        <f>IF(ROW()-3&gt;MAX($OI$4:$OI$40),"",INDEX($DK$4:$DK$40,MATCH(ROW()-3,$OI$4:$OI$40,0)))</f>
        <v/>
      </c>
      <c r="OK42">
        <f>IF(COUNTIF('Buyer Groups'!DG42:EA42,0)+COUNTIF('Buyer Groups'!EC42:EN42,0)&gt;0,0,1)</f>
        <v/>
      </c>
      <c r="ON42">
        <f>IF(ROW()-3&gt;MAX($OM$4:$OM$40),"",INDEX($DP$4:$DP$40,MATCH(ROW()-3,$OM$4:$OM$40,0)))</f>
        <v/>
      </c>
      <c r="OO42">
        <f>IF(COUNTIF('Buyer Groups'!DG42:EB42,0)+COUNTIF('Buyer Groups'!ED42:EN42,0)&gt;0,0,1)</f>
        <v/>
      </c>
      <c r="OR42">
        <f>IF(ROW()-3&gt;MAX($OQ$4:$OQ$40),"",INDEX($DU$4:$DU$40,MATCH(ROW()-3,$OQ$4:$OQ$40,0)))</f>
        <v/>
      </c>
      <c r="OS42">
        <f>IF(COUNTIF('Buyer Groups'!DG42:EC42,0)+COUNTIF('Buyer Groups'!EE42:EN42,0)&gt;0,0,1)</f>
        <v/>
      </c>
      <c r="OV42">
        <f>IF(ROW()-3&gt;MAX($OU$4:$OU$40),"",INDEX($DZ$4:$DZ$40,MATCH(ROW()-3,$OU$4:$OU$40,0)))</f>
        <v/>
      </c>
      <c r="OW42">
        <f>IF(COUNTIF('Buyer Groups'!DG42:ED42,0)+COUNTIF('Buyer Groups'!EF42:EN42,0)&gt;0,0,1)</f>
        <v/>
      </c>
      <c r="OZ42">
        <f>IF(ROW()-3&gt;MAX($OY$4:$OY$40),"",INDEX($EE$4:$EE$40,MATCH(ROW()-3,$OY$4:$OY$40,0)))</f>
        <v/>
      </c>
      <c r="PA42">
        <f>IF(COUNTIF('Buyer Groups'!DG42:EE42,0)+COUNTIF('Buyer Groups'!EG42:EN42,0)&gt;0,0,1)</f>
        <v/>
      </c>
      <c r="PD42">
        <f>IF(ROW()-3&gt;MAX($PC$4:$PC$40),"",INDEX($EJ$4:$EJ$40,MATCH(ROW()-3,$PC$4:$PC$40,0)))</f>
        <v/>
      </c>
      <c r="PE42">
        <f>IF(COUNTIF('Buyer Groups'!DG42:EF42,0)+COUNTIF('Buyer Groups'!EH42:EN42,0)&gt;0,0,1)</f>
        <v/>
      </c>
      <c r="PH42">
        <f>IF(ROW()-3&gt;MAX($PG$4:$PG$40),"",INDEX($EO$4:$EO$40,MATCH(ROW()-3,$PG$4:$PG$40,0)))</f>
        <v/>
      </c>
      <c r="PI42">
        <f>IF(COUNTIF('Buyer Groups'!DG42:EG42,0)+COUNTIF('Buyer Groups'!EI42:EN42,0)&gt;0,0,1)</f>
        <v/>
      </c>
      <c r="PL42">
        <f>IF(ROW()-3&gt;MAX($PK$4:$PK$40),"",INDEX($ET$4:$ET$40,MATCH(ROW()-3,$PK$4:$PK$40,0)))</f>
        <v/>
      </c>
      <c r="PM42">
        <f>IF(COUNTIF('Buyer Groups'!DG42:EH42,0)+COUNTIF('Buyer Groups'!EJ42:EN42,0)&gt;0,0,1)</f>
        <v/>
      </c>
      <c r="PP42">
        <f>IF(ROW()-3&gt;MAX($PO$4:$PO$40),"",INDEX($EY$4:$EY$40,MATCH(ROW()-3,$PO$4:$PO$40,0)))</f>
        <v/>
      </c>
      <c r="PQ42">
        <f>IF(COUNTIF('Buyer Groups'!DG42:EI42,0)+COUNTIF('Buyer Groups'!EK42:EN42,0)&gt;0,0,1)</f>
        <v/>
      </c>
      <c r="PT42">
        <f>IF(ROW()-3&gt;MAX($PS$4:$PS$40),"",INDEX($FD$4:$FD$40,MATCH(ROW()-3,$PS$4:$PS$40,0)))</f>
        <v/>
      </c>
      <c r="PU42">
        <f>IF(COUNTIF('Buyer Groups'!DG42:EJ42,0)+COUNTIF('Buyer Groups'!EL42:EN42,0)&gt;0,0,1)</f>
        <v/>
      </c>
      <c r="PX42">
        <f>IF(ROW()-3&gt;MAX($PW$4:$PW$40),"",INDEX($FX$4:$FX$40,MATCH(ROW()-3,$PW$4:$PW$40,0)))</f>
        <v/>
      </c>
      <c r="PY42">
        <f>IF(COUNTIF('Buyer Groups'!DG42:EK42,0)+COUNTIF('Buyer Groups'!EM42:EN42,0)&gt;0,0,1)</f>
        <v/>
      </c>
      <c r="QB42">
        <f>IF(ROW()-3&gt;MAX($QA$4:$QA$40),"",INDEX($FI$4:$FI$40,MATCH(ROW()-3,$QA$4:$QA$40,0)))</f>
        <v/>
      </c>
      <c r="QC42">
        <f>IF(COUNTIF('Buyer Groups'!DG42:EL42,0)+COUNTIF('Buyer Groups'!EN42:EN42,0)&gt;0,0,1)</f>
        <v/>
      </c>
      <c r="QF42">
        <f>IF(ROW()-3&gt;MAX($QE$4:$QE$40),"",INDEX($FN$4:$FN$40,MATCH(ROW()-3,$QE$4:$QE$40,0)))</f>
        <v/>
      </c>
      <c r="QG42">
        <f>IF(COUNTIF('Buyer Groups'!DG42:EM42,0)&gt;0,0,1)</f>
        <v/>
      </c>
      <c r="QJ42">
        <f>IF(ROW()-3&gt;MAX($QI$4:$QI$40),"",INDEX($FS$4:$FS$40,MATCH(ROW()-3,$QI$4:$QI$40,0)))</f>
        <v/>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2026-09-11T06:12:54Z</dcterms:modified>
  <cp:lastModifiedBy>S.M.C</cp:lastModifiedBy>
  <cp:revision>0</cp:revision>
</cp:coreProperties>
</file>