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Lists!$A$4:$A$114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6">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23" fillId="0" borderId="0" xfId="0" applyFont="1"/>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  •  RESET — double-click the red RESET label (row 3) to clear every search box and put the table back in its original order.  •  + ADD — every item in the search dropdowns carries a + in front. Click the red + ADD label (row 3): it becomes + ADD ON, and the NEXT dropdown pick is added to what is already in that box (comma = either) instead of replacing it, so the table shows the results for both items. Click + ADD again to switch back to plain replace.</t>
        </is>
      </c>
    </row>
    <row r="3" ht="30" customHeight="1" s="137">
      <c r="A3" s="59" t="inlineStr">
        <is>
          <t>🔍  SEARCH  ▸</t>
        </is>
      </c>
      <c r="B3" s="144" t="n"/>
      <c r="C3" s="60" t="inlineStr">
        <is>
          <t>BUYER 2  ▸</t>
        </is>
      </c>
      <c r="D3" s="61"/>
      <c r="E3" s="60" t="inlineStr">
        <is>
          <t>SEARCH IN  ▸</t>
        </is>
      </c>
      <c r="F3" s="61" t="inlineStr">
        <is>
          <t>Lot No. + Buyer + Name</t>
        </is>
      </c>
      <c r="G3" s="60" t="inlineStr">
        <is>
          <t>MATCHES  ▸</t>
        </is>
      </c>
      <c r="H3" s="62">
        <f>SUM($AM$5:$AM$41)&amp;" of 37"</f>
        <v/>
      </c>
      <c r="I3" s="145" t="inlineStr">
        <is>
          <t>◀ type in B3 or the yellow cells above any header — comma = ANY, &amp; = ALL • click + ADD, then pick, to combine • double-click ↺ RESET to clear</t>
        </is>
      </c>
      <c r="Q3" s="165" t="inlineStr">
        <is>
          <t>↺ RESET</t>
        </is>
      </c>
      <c r="R3" s="165" t="inlineStr">
        <is>
          <t>+ ADD (click)</t>
        </is>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c r="CW3">
        <f>$C$4&amp;IF($D$3&lt;&gt;"",",","")&amp;$D$3</f>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IF($CW$3="",1,--(OR(SUMPRODUCT(--(TRIM(MID(SUBSTITUTE(SUBSTITUTE($CW$3,"/",","),",",REPT(" ",99)),(ROW($1:$8)-1)*99+1,99))&lt;&gt;""),--ISNUMBER(SEARCH(TRIM(MID(SUBSTITUTE(SUBSTITUTE($CW$3,"/",","),",",REPT(" ",99)),(ROW($1:$8)-1)*99+1,99)),IFERROR(('Final Calculation Sheet'!$G$4)&amp;"",""))))&gt;0,AND(ISNUMBER(SEARCH("blank",$CW$3)),NOT(ISNUMBER(SEARCH("nonblank",$CW$3))),IFERROR(('Final Calculation Sheet'!$G$4)&amp;"","")=""),AND(OR(ISNUMBER(SEARCH("nonblank",$CW$3)),ISNUMBER(SEARCH("&lt;&gt;",$CW$3))),IFERROR(('Final Calculation Sheet'!$G$4)&amp;"","")&lt;&gt;""),AND(TRIM($CW$3)="",IFERROR(('Final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IF($CW$3="",1,--(OR(SUMPRODUCT(--(TRIM(MID(SUBSTITUTE(SUBSTITUTE($CW$3,"/",","),",",REPT(" ",99)),(ROW($1:$8)-1)*99+1,99))&lt;&gt;""),--ISNUMBER(SEARCH(TRIM(MID(SUBSTITUTE(SUBSTITUTE($CW$3,"/",","),",",REPT(" ",99)),(ROW($1:$8)-1)*99+1,99)),IFERROR(('Final Calculation Sheet'!$G$5)&amp;"",""))))&gt;0,AND(ISNUMBER(SEARCH("blank",$CW$3)),NOT(ISNUMBER(SEARCH("nonblank",$CW$3))),IFERROR(('Final Calculation Sheet'!$G$5)&amp;"","")=""),AND(OR(ISNUMBER(SEARCH("nonblank",$CW$3)),ISNUMBER(SEARCH("&lt;&gt;",$CW$3))),IFERROR(('Final Calculation Sheet'!$G$5)&amp;"","")&lt;&gt;""),AND(TRIM($CW$3)="",IFERROR(('Final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IF($CW$3="",1,--(OR(SUMPRODUCT(--(TRIM(MID(SUBSTITUTE(SUBSTITUTE($CW$3,"/",","),",",REPT(" ",99)),(ROW($1:$8)-1)*99+1,99))&lt;&gt;""),--ISNUMBER(SEARCH(TRIM(MID(SUBSTITUTE(SUBSTITUTE($CW$3,"/",","),",",REPT(" ",99)),(ROW($1:$8)-1)*99+1,99)),IFERROR(('Final Calculation Sheet'!$G$6)&amp;"",""))))&gt;0,AND(ISNUMBER(SEARCH("blank",$CW$3)),NOT(ISNUMBER(SEARCH("nonblank",$CW$3))),IFERROR(('Final Calculation Sheet'!$G$6)&amp;"","")=""),AND(OR(ISNUMBER(SEARCH("nonblank",$CW$3)),ISNUMBER(SEARCH("&lt;&gt;",$CW$3))),IFERROR(('Final Calculation Sheet'!$G$6)&amp;"","")&lt;&gt;""),AND(TRIM($CW$3)="",IFERROR(('Final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IF($CW$3="",1,--(OR(SUMPRODUCT(--(TRIM(MID(SUBSTITUTE(SUBSTITUTE($CW$3,"/",","),",",REPT(" ",99)),(ROW($1:$8)-1)*99+1,99))&lt;&gt;""),--ISNUMBER(SEARCH(TRIM(MID(SUBSTITUTE(SUBSTITUTE($CW$3,"/",","),",",REPT(" ",99)),(ROW($1:$8)-1)*99+1,99)),IFERROR(('Final Calculation Sheet'!$G$7)&amp;"",""))))&gt;0,AND(ISNUMBER(SEARCH("blank",$CW$3)),NOT(ISNUMBER(SEARCH("nonblank",$CW$3))),IFERROR(('Final Calculation Sheet'!$G$7)&amp;"","")=""),AND(OR(ISNUMBER(SEARCH("nonblank",$CW$3)),ISNUMBER(SEARCH("&lt;&gt;",$CW$3))),IFERROR(('Final Calculation Sheet'!$G$7)&amp;"","")&lt;&gt;""),AND(TRIM($CW$3)="",IFERROR(('Final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IF($CW$3="",1,--(OR(SUMPRODUCT(--(TRIM(MID(SUBSTITUTE(SUBSTITUTE($CW$3,"/",","),",",REPT(" ",99)),(ROW($1:$8)-1)*99+1,99))&lt;&gt;""),--ISNUMBER(SEARCH(TRIM(MID(SUBSTITUTE(SUBSTITUTE($CW$3,"/",","),",",REPT(" ",99)),(ROW($1:$8)-1)*99+1,99)),IFERROR(('Final Calculation Sheet'!$G$8)&amp;"",""))))&gt;0,AND(ISNUMBER(SEARCH("blank",$CW$3)),NOT(ISNUMBER(SEARCH("nonblank",$CW$3))),IFERROR(('Final Calculation Sheet'!$G$8)&amp;"","")=""),AND(OR(ISNUMBER(SEARCH("nonblank",$CW$3)),ISNUMBER(SEARCH("&lt;&gt;",$CW$3))),IFERROR(('Final Calculation Sheet'!$G$8)&amp;"","")&lt;&gt;""),AND(TRIM($CW$3)="",IFERROR(('Final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IF($CW$3="",1,--(OR(SUMPRODUCT(--(TRIM(MID(SUBSTITUTE(SUBSTITUTE($CW$3,"/",","),",",REPT(" ",99)),(ROW($1:$8)-1)*99+1,99))&lt;&gt;""),--ISNUMBER(SEARCH(TRIM(MID(SUBSTITUTE(SUBSTITUTE($CW$3,"/",","),",",REPT(" ",99)),(ROW($1:$8)-1)*99+1,99)),IFERROR(('Final Calculation Sheet'!$G$9)&amp;"",""))))&gt;0,AND(ISNUMBER(SEARCH("blank",$CW$3)),NOT(ISNUMBER(SEARCH("nonblank",$CW$3))),IFERROR(('Final Calculation Sheet'!$G$9)&amp;"","")=""),AND(OR(ISNUMBER(SEARCH("nonblank",$CW$3)),ISNUMBER(SEARCH("&lt;&gt;",$CW$3))),IFERROR(('Final Calculation Sheet'!$G$9)&amp;"","")&lt;&gt;""),AND(TRIM($CW$3)="",IFERROR(('Final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IF($CW$3="",1,--(OR(SUMPRODUCT(--(TRIM(MID(SUBSTITUTE(SUBSTITUTE($CW$3,"/",","),",",REPT(" ",99)),(ROW($1:$8)-1)*99+1,99))&lt;&gt;""),--ISNUMBER(SEARCH(TRIM(MID(SUBSTITUTE(SUBSTITUTE($CW$3,"/",","),",",REPT(" ",99)),(ROW($1:$8)-1)*99+1,99)),IFERROR(('Final Calculation Sheet'!$G$10)&amp;"",""))))&gt;0,AND(ISNUMBER(SEARCH("blank",$CW$3)),NOT(ISNUMBER(SEARCH("nonblank",$CW$3))),IFERROR(('Final Calculation Sheet'!$G$10)&amp;"","")=""),AND(OR(ISNUMBER(SEARCH("nonblank",$CW$3)),ISNUMBER(SEARCH("&lt;&gt;",$CW$3))),IFERROR(('Final Calculation Sheet'!$G$10)&amp;"","")&lt;&gt;""),AND(TRIM($CW$3)="",IFERROR(('Final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IF($CW$3="",1,--(OR(SUMPRODUCT(--(TRIM(MID(SUBSTITUTE(SUBSTITUTE($CW$3,"/",","),",",REPT(" ",99)),(ROW($1:$8)-1)*99+1,99))&lt;&gt;""),--ISNUMBER(SEARCH(TRIM(MID(SUBSTITUTE(SUBSTITUTE($CW$3,"/",","),",",REPT(" ",99)),(ROW($1:$8)-1)*99+1,99)),IFERROR(('Final Calculation Sheet'!$G$11)&amp;"",""))))&gt;0,AND(ISNUMBER(SEARCH("blank",$CW$3)),NOT(ISNUMBER(SEARCH("nonblank",$CW$3))),IFERROR(('Final Calculation Sheet'!$G$11)&amp;"","")=""),AND(OR(ISNUMBER(SEARCH("nonblank",$CW$3)),ISNUMBER(SEARCH("&lt;&gt;",$CW$3))),IFERROR(('Final Calculation Sheet'!$G$11)&amp;"","")&lt;&gt;""),AND(TRIM($CW$3)="",IFERROR(('Final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IF($CW$3="",1,--(OR(SUMPRODUCT(--(TRIM(MID(SUBSTITUTE(SUBSTITUTE($CW$3,"/",","),",",REPT(" ",99)),(ROW($1:$8)-1)*99+1,99))&lt;&gt;""),--ISNUMBER(SEARCH(TRIM(MID(SUBSTITUTE(SUBSTITUTE($CW$3,"/",","),",",REPT(" ",99)),(ROW($1:$8)-1)*99+1,99)),IFERROR(('Final Calculation Sheet'!$G$12)&amp;"",""))))&gt;0,AND(ISNUMBER(SEARCH("blank",$CW$3)),NOT(ISNUMBER(SEARCH("nonblank",$CW$3))),IFERROR(('Final Calculation Sheet'!$G$12)&amp;"","")=""),AND(OR(ISNUMBER(SEARCH("nonblank",$CW$3)),ISNUMBER(SEARCH("&lt;&gt;",$CW$3))),IFERROR(('Final Calculation Sheet'!$G$12)&amp;"","")&lt;&gt;""),AND(TRIM($CW$3)="",IFERROR(('Final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IF($CW$3="",1,--(OR(SUMPRODUCT(--(TRIM(MID(SUBSTITUTE(SUBSTITUTE($CW$3,"/",","),",",REPT(" ",99)),(ROW($1:$8)-1)*99+1,99))&lt;&gt;""),--ISNUMBER(SEARCH(TRIM(MID(SUBSTITUTE(SUBSTITUTE($CW$3,"/",","),",",REPT(" ",99)),(ROW($1:$8)-1)*99+1,99)),IFERROR(('Final Calculation Sheet'!$G$13)&amp;"",""))))&gt;0,AND(ISNUMBER(SEARCH("blank",$CW$3)),NOT(ISNUMBER(SEARCH("nonblank",$CW$3))),IFERROR(('Final Calculation Sheet'!$G$13)&amp;"","")=""),AND(OR(ISNUMBER(SEARCH("nonblank",$CW$3)),ISNUMBER(SEARCH("&lt;&gt;",$CW$3))),IFERROR(('Final Calculation Sheet'!$G$13)&amp;"","")&lt;&gt;""),AND(TRIM($CW$3)="",IFERROR(('Final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IF($CW$3="",1,--(OR(SUMPRODUCT(--(TRIM(MID(SUBSTITUTE(SUBSTITUTE($CW$3,"/",","),",",REPT(" ",99)),(ROW($1:$8)-1)*99+1,99))&lt;&gt;""),--ISNUMBER(SEARCH(TRIM(MID(SUBSTITUTE(SUBSTITUTE($CW$3,"/",","),",",REPT(" ",99)),(ROW($1:$8)-1)*99+1,99)),IFERROR(('Final Calculation Sheet'!$G$14)&amp;"",""))))&gt;0,AND(ISNUMBER(SEARCH("blank",$CW$3)),NOT(ISNUMBER(SEARCH("nonblank",$CW$3))),IFERROR(('Final Calculation Sheet'!$G$14)&amp;"","")=""),AND(OR(ISNUMBER(SEARCH("nonblank",$CW$3)),ISNUMBER(SEARCH("&lt;&gt;",$CW$3))),IFERROR(('Final Calculation Sheet'!$G$14)&amp;"","")&lt;&gt;""),AND(TRIM($CW$3)="",IFERROR(('Final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IF($CW$3="",1,--(OR(SUMPRODUCT(--(TRIM(MID(SUBSTITUTE(SUBSTITUTE($CW$3,"/",","),",",REPT(" ",99)),(ROW($1:$8)-1)*99+1,99))&lt;&gt;""),--ISNUMBER(SEARCH(TRIM(MID(SUBSTITUTE(SUBSTITUTE($CW$3,"/",","),",",REPT(" ",99)),(ROW($1:$8)-1)*99+1,99)),IFERROR(('Final Calculation Sheet'!$G$15)&amp;"",""))))&gt;0,AND(ISNUMBER(SEARCH("blank",$CW$3)),NOT(ISNUMBER(SEARCH("nonblank",$CW$3))),IFERROR(('Final Calculation Sheet'!$G$15)&amp;"","")=""),AND(OR(ISNUMBER(SEARCH("nonblank",$CW$3)),ISNUMBER(SEARCH("&lt;&gt;",$CW$3))),IFERROR(('Final Calculation Sheet'!$G$15)&amp;"","")&lt;&gt;""),AND(TRIM($CW$3)="",IFERROR(('Final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IF($CW$3="",1,--(OR(SUMPRODUCT(--(TRIM(MID(SUBSTITUTE(SUBSTITUTE($CW$3,"/",","),",",REPT(" ",99)),(ROW($1:$8)-1)*99+1,99))&lt;&gt;""),--ISNUMBER(SEARCH(TRIM(MID(SUBSTITUTE(SUBSTITUTE($CW$3,"/",","),",",REPT(" ",99)),(ROW($1:$8)-1)*99+1,99)),IFERROR(('Final Calculation Sheet'!$G$16)&amp;"",""))))&gt;0,AND(ISNUMBER(SEARCH("blank",$CW$3)),NOT(ISNUMBER(SEARCH("nonblank",$CW$3))),IFERROR(('Final Calculation Sheet'!$G$16)&amp;"","")=""),AND(OR(ISNUMBER(SEARCH("nonblank",$CW$3)),ISNUMBER(SEARCH("&lt;&gt;",$CW$3))),IFERROR(('Final Calculation Sheet'!$G$16)&amp;"","")&lt;&gt;""),AND(TRIM($CW$3)="",IFERROR(('Final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IF($CW$3="",1,--(OR(SUMPRODUCT(--(TRIM(MID(SUBSTITUTE(SUBSTITUTE($CW$3,"/",","),",",REPT(" ",99)),(ROW($1:$8)-1)*99+1,99))&lt;&gt;""),--ISNUMBER(SEARCH(TRIM(MID(SUBSTITUTE(SUBSTITUTE($CW$3,"/",","),",",REPT(" ",99)),(ROW($1:$8)-1)*99+1,99)),IFERROR(('Final Calculation Sheet'!$G$17)&amp;"",""))))&gt;0,AND(ISNUMBER(SEARCH("blank",$CW$3)),NOT(ISNUMBER(SEARCH("nonblank",$CW$3))),IFERROR(('Final Calculation Sheet'!$G$17)&amp;"","")=""),AND(OR(ISNUMBER(SEARCH("nonblank",$CW$3)),ISNUMBER(SEARCH("&lt;&gt;",$CW$3))),IFERROR(('Final Calculation Sheet'!$G$17)&amp;"","")&lt;&gt;""),AND(TRIM($CW$3)="",IFERROR(('Final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IF($CW$3="",1,--(OR(SUMPRODUCT(--(TRIM(MID(SUBSTITUTE(SUBSTITUTE($CW$3,"/",","),",",REPT(" ",99)),(ROW($1:$8)-1)*99+1,99))&lt;&gt;""),--ISNUMBER(SEARCH(TRIM(MID(SUBSTITUTE(SUBSTITUTE($CW$3,"/",","),",",REPT(" ",99)),(ROW($1:$8)-1)*99+1,99)),IFERROR(('Final Calculation Sheet'!$G$18)&amp;"",""))))&gt;0,AND(ISNUMBER(SEARCH("blank",$CW$3)),NOT(ISNUMBER(SEARCH("nonblank",$CW$3))),IFERROR(('Final Calculation Sheet'!$G$18)&amp;"","")=""),AND(OR(ISNUMBER(SEARCH("nonblank",$CW$3)),ISNUMBER(SEARCH("&lt;&gt;",$CW$3))),IFERROR(('Final Calculation Sheet'!$G$18)&amp;"","")&lt;&gt;""),AND(TRIM($CW$3)="",IFERROR(('Final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IF($CW$3="",1,--(OR(SUMPRODUCT(--(TRIM(MID(SUBSTITUTE(SUBSTITUTE($CW$3,"/",","),",",REPT(" ",99)),(ROW($1:$8)-1)*99+1,99))&lt;&gt;""),--ISNUMBER(SEARCH(TRIM(MID(SUBSTITUTE(SUBSTITUTE($CW$3,"/",","),",",REPT(" ",99)),(ROW($1:$8)-1)*99+1,99)),IFERROR(('Final Calculation Sheet'!$G$19)&amp;"",""))))&gt;0,AND(ISNUMBER(SEARCH("blank",$CW$3)),NOT(ISNUMBER(SEARCH("nonblank",$CW$3))),IFERROR(('Final Calculation Sheet'!$G$19)&amp;"","")=""),AND(OR(ISNUMBER(SEARCH("nonblank",$CW$3)),ISNUMBER(SEARCH("&lt;&gt;",$CW$3))),IFERROR(('Final Calculation Sheet'!$G$19)&amp;"","")&lt;&gt;""),AND(TRIM($CW$3)="",IFERROR(('Final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IF($CW$3="",1,--(OR(SUMPRODUCT(--(TRIM(MID(SUBSTITUTE(SUBSTITUTE($CW$3,"/",","),",",REPT(" ",99)),(ROW($1:$8)-1)*99+1,99))&lt;&gt;""),--ISNUMBER(SEARCH(TRIM(MID(SUBSTITUTE(SUBSTITUTE($CW$3,"/",","),",",REPT(" ",99)),(ROW($1:$8)-1)*99+1,99)),IFERROR(('Final Calculation Sheet'!$G$20)&amp;"",""))))&gt;0,AND(ISNUMBER(SEARCH("blank",$CW$3)),NOT(ISNUMBER(SEARCH("nonblank",$CW$3))),IFERROR(('Final Calculation Sheet'!$G$20)&amp;"","")=""),AND(OR(ISNUMBER(SEARCH("nonblank",$CW$3)),ISNUMBER(SEARCH("&lt;&gt;",$CW$3))),IFERROR(('Final Calculation Sheet'!$G$20)&amp;"","")&lt;&gt;""),AND(TRIM($CW$3)="",IFERROR(('Final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IF($CW$3="",1,--(OR(SUMPRODUCT(--(TRIM(MID(SUBSTITUTE(SUBSTITUTE($CW$3,"/",","),",",REPT(" ",99)),(ROW($1:$8)-1)*99+1,99))&lt;&gt;""),--ISNUMBER(SEARCH(TRIM(MID(SUBSTITUTE(SUBSTITUTE($CW$3,"/",","),",",REPT(" ",99)),(ROW($1:$8)-1)*99+1,99)),IFERROR(('Final Calculation Sheet'!$G$21)&amp;"",""))))&gt;0,AND(ISNUMBER(SEARCH("blank",$CW$3)),NOT(ISNUMBER(SEARCH("nonblank",$CW$3))),IFERROR(('Final Calculation Sheet'!$G$21)&amp;"","")=""),AND(OR(ISNUMBER(SEARCH("nonblank",$CW$3)),ISNUMBER(SEARCH("&lt;&gt;",$CW$3))),IFERROR(('Final Calculation Sheet'!$G$21)&amp;"","")&lt;&gt;""),AND(TRIM($CW$3)="",IFERROR(('Final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IF($CW$3="",1,--(OR(SUMPRODUCT(--(TRIM(MID(SUBSTITUTE(SUBSTITUTE($CW$3,"/",","),",",REPT(" ",99)),(ROW($1:$8)-1)*99+1,99))&lt;&gt;""),--ISNUMBER(SEARCH(TRIM(MID(SUBSTITUTE(SUBSTITUTE($CW$3,"/",","),",",REPT(" ",99)),(ROW($1:$8)-1)*99+1,99)),IFERROR(('Final Calculation Sheet'!$G$22)&amp;"",""))))&gt;0,AND(ISNUMBER(SEARCH("blank",$CW$3)),NOT(ISNUMBER(SEARCH("nonblank",$CW$3))),IFERROR(('Final Calculation Sheet'!$G$22)&amp;"","")=""),AND(OR(ISNUMBER(SEARCH("nonblank",$CW$3)),ISNUMBER(SEARCH("&lt;&gt;",$CW$3))),IFERROR(('Final Calculation Sheet'!$G$22)&amp;"","")&lt;&gt;""),AND(TRIM($CW$3)="",IFERROR(('Final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IF($CW$3="",1,--(OR(SUMPRODUCT(--(TRIM(MID(SUBSTITUTE(SUBSTITUTE($CW$3,"/",","),",",REPT(" ",99)),(ROW($1:$8)-1)*99+1,99))&lt;&gt;""),--ISNUMBER(SEARCH(TRIM(MID(SUBSTITUTE(SUBSTITUTE($CW$3,"/",","),",",REPT(" ",99)),(ROW($1:$8)-1)*99+1,99)),IFERROR(('Final Calculation Sheet'!$G$23)&amp;"",""))))&gt;0,AND(ISNUMBER(SEARCH("blank",$CW$3)),NOT(ISNUMBER(SEARCH("nonblank",$CW$3))),IFERROR(('Final Calculation Sheet'!$G$23)&amp;"","")=""),AND(OR(ISNUMBER(SEARCH("nonblank",$CW$3)),ISNUMBER(SEARCH("&lt;&gt;",$CW$3))),IFERROR(('Final Calculation Sheet'!$G$23)&amp;"","")&lt;&gt;""),AND(TRIM($CW$3)="",IFERROR(('Final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IF($CW$3="",1,--(OR(SUMPRODUCT(--(TRIM(MID(SUBSTITUTE(SUBSTITUTE($CW$3,"/",","),",",REPT(" ",99)),(ROW($1:$8)-1)*99+1,99))&lt;&gt;""),--ISNUMBER(SEARCH(TRIM(MID(SUBSTITUTE(SUBSTITUTE($CW$3,"/",","),",",REPT(" ",99)),(ROW($1:$8)-1)*99+1,99)),IFERROR(('Final Calculation Sheet'!$G$24)&amp;"",""))))&gt;0,AND(ISNUMBER(SEARCH("blank",$CW$3)),NOT(ISNUMBER(SEARCH("nonblank",$CW$3))),IFERROR(('Final Calculation Sheet'!$G$24)&amp;"","")=""),AND(OR(ISNUMBER(SEARCH("nonblank",$CW$3)),ISNUMBER(SEARCH("&lt;&gt;",$CW$3))),IFERROR(('Final Calculation Sheet'!$G$24)&amp;"","")&lt;&gt;""),AND(TRIM($CW$3)="",IFERROR(('Final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IF($CW$3="",1,--(OR(SUMPRODUCT(--(TRIM(MID(SUBSTITUTE(SUBSTITUTE($CW$3,"/",","),",",REPT(" ",99)),(ROW($1:$8)-1)*99+1,99))&lt;&gt;""),--ISNUMBER(SEARCH(TRIM(MID(SUBSTITUTE(SUBSTITUTE($CW$3,"/",","),",",REPT(" ",99)),(ROW($1:$8)-1)*99+1,99)),IFERROR(('Final Calculation Sheet'!$G$25)&amp;"",""))))&gt;0,AND(ISNUMBER(SEARCH("blank",$CW$3)),NOT(ISNUMBER(SEARCH("nonblank",$CW$3))),IFERROR(('Final Calculation Sheet'!$G$25)&amp;"","")=""),AND(OR(ISNUMBER(SEARCH("nonblank",$CW$3)),ISNUMBER(SEARCH("&lt;&gt;",$CW$3))),IFERROR(('Final Calculation Sheet'!$G$25)&amp;"","")&lt;&gt;""),AND(TRIM($CW$3)="",IFERROR(('Final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IF($CW$3="",1,--(OR(SUMPRODUCT(--(TRIM(MID(SUBSTITUTE(SUBSTITUTE($CW$3,"/",","),",",REPT(" ",99)),(ROW($1:$8)-1)*99+1,99))&lt;&gt;""),--ISNUMBER(SEARCH(TRIM(MID(SUBSTITUTE(SUBSTITUTE($CW$3,"/",","),",",REPT(" ",99)),(ROW($1:$8)-1)*99+1,99)),IFERROR(('Final Calculation Sheet'!$G$26)&amp;"",""))))&gt;0,AND(ISNUMBER(SEARCH("blank",$CW$3)),NOT(ISNUMBER(SEARCH("nonblank",$CW$3))),IFERROR(('Final Calculation Sheet'!$G$26)&amp;"","")=""),AND(OR(ISNUMBER(SEARCH("nonblank",$CW$3)),ISNUMBER(SEARCH("&lt;&gt;",$CW$3))),IFERROR(('Final Calculation Sheet'!$G$26)&amp;"","")&lt;&gt;""),AND(TRIM($CW$3)="",IFERROR(('Final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IF($CW$3="",1,--(OR(SUMPRODUCT(--(TRIM(MID(SUBSTITUTE(SUBSTITUTE($CW$3,"/",","),",",REPT(" ",99)),(ROW($1:$8)-1)*99+1,99))&lt;&gt;""),--ISNUMBER(SEARCH(TRIM(MID(SUBSTITUTE(SUBSTITUTE($CW$3,"/",","),",",REPT(" ",99)),(ROW($1:$8)-1)*99+1,99)),IFERROR(('Final Calculation Sheet'!$G$27)&amp;"",""))))&gt;0,AND(ISNUMBER(SEARCH("blank",$CW$3)),NOT(ISNUMBER(SEARCH("nonblank",$CW$3))),IFERROR(('Final Calculation Sheet'!$G$27)&amp;"","")=""),AND(OR(ISNUMBER(SEARCH("nonblank",$CW$3)),ISNUMBER(SEARCH("&lt;&gt;",$CW$3))),IFERROR(('Final Calculation Sheet'!$G$27)&amp;"","")&lt;&gt;""),AND(TRIM($CW$3)="",IFERROR(('Final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IF($CW$3="",1,--(OR(SUMPRODUCT(--(TRIM(MID(SUBSTITUTE(SUBSTITUTE($CW$3,"/",","),",",REPT(" ",99)),(ROW($1:$8)-1)*99+1,99))&lt;&gt;""),--ISNUMBER(SEARCH(TRIM(MID(SUBSTITUTE(SUBSTITUTE($CW$3,"/",","),",",REPT(" ",99)),(ROW($1:$8)-1)*99+1,99)),IFERROR(('Final Calculation Sheet'!$G$28)&amp;"",""))))&gt;0,AND(ISNUMBER(SEARCH("blank",$CW$3)),NOT(ISNUMBER(SEARCH("nonblank",$CW$3))),IFERROR(('Final Calculation Sheet'!$G$28)&amp;"","")=""),AND(OR(ISNUMBER(SEARCH("nonblank",$CW$3)),ISNUMBER(SEARCH("&lt;&gt;",$CW$3))),IFERROR(('Final Calculation Sheet'!$G$28)&amp;"","")&lt;&gt;""),AND(TRIM($CW$3)="",IFERROR(('Final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IF($CW$3="",1,--(OR(SUMPRODUCT(--(TRIM(MID(SUBSTITUTE(SUBSTITUTE($CW$3,"/",","),",",REPT(" ",99)),(ROW($1:$8)-1)*99+1,99))&lt;&gt;""),--ISNUMBER(SEARCH(TRIM(MID(SUBSTITUTE(SUBSTITUTE($CW$3,"/",","),",",REPT(" ",99)),(ROW($1:$8)-1)*99+1,99)),IFERROR(('Final Calculation Sheet'!$G$29)&amp;"",""))))&gt;0,AND(ISNUMBER(SEARCH("blank",$CW$3)),NOT(ISNUMBER(SEARCH("nonblank",$CW$3))),IFERROR(('Final Calculation Sheet'!$G$29)&amp;"","")=""),AND(OR(ISNUMBER(SEARCH("nonblank",$CW$3)),ISNUMBER(SEARCH("&lt;&gt;",$CW$3))),IFERROR(('Final Calculation Sheet'!$G$29)&amp;"","")&lt;&gt;""),AND(TRIM($CW$3)="",IFERROR(('Final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IF($CW$3="",1,--(OR(SUMPRODUCT(--(TRIM(MID(SUBSTITUTE(SUBSTITUTE($CW$3,"/",","),",",REPT(" ",99)),(ROW($1:$8)-1)*99+1,99))&lt;&gt;""),--ISNUMBER(SEARCH(TRIM(MID(SUBSTITUTE(SUBSTITUTE($CW$3,"/",","),",",REPT(" ",99)),(ROW($1:$8)-1)*99+1,99)),IFERROR(('Final Calculation Sheet'!$G$30)&amp;"",""))))&gt;0,AND(ISNUMBER(SEARCH("blank",$CW$3)),NOT(ISNUMBER(SEARCH("nonblank",$CW$3))),IFERROR(('Final Calculation Sheet'!$G$30)&amp;"","")=""),AND(OR(ISNUMBER(SEARCH("nonblank",$CW$3)),ISNUMBER(SEARCH("&lt;&gt;",$CW$3))),IFERROR(('Final Calculation Sheet'!$G$30)&amp;"","")&lt;&gt;""),AND(TRIM($CW$3)="",IFERROR(('Final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IF($CW$3="",1,--(OR(SUMPRODUCT(--(TRIM(MID(SUBSTITUTE(SUBSTITUTE($CW$3,"/",","),",",REPT(" ",99)),(ROW($1:$8)-1)*99+1,99))&lt;&gt;""),--ISNUMBER(SEARCH(TRIM(MID(SUBSTITUTE(SUBSTITUTE($CW$3,"/",","),",",REPT(" ",99)),(ROW($1:$8)-1)*99+1,99)),IFERROR(('Final Calculation Sheet'!$G$31)&amp;"",""))))&gt;0,AND(ISNUMBER(SEARCH("blank",$CW$3)),NOT(ISNUMBER(SEARCH("nonblank",$CW$3))),IFERROR(('Final Calculation Sheet'!$G$31)&amp;"","")=""),AND(OR(ISNUMBER(SEARCH("nonblank",$CW$3)),ISNUMBER(SEARCH("&lt;&gt;",$CW$3))),IFERROR(('Final Calculation Sheet'!$G$31)&amp;"","")&lt;&gt;""),AND(TRIM($CW$3)="",IFERROR(('Final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IF($CW$3="",1,--(OR(SUMPRODUCT(--(TRIM(MID(SUBSTITUTE(SUBSTITUTE($CW$3,"/",","),",",REPT(" ",99)),(ROW($1:$8)-1)*99+1,99))&lt;&gt;""),--ISNUMBER(SEARCH(TRIM(MID(SUBSTITUTE(SUBSTITUTE($CW$3,"/",","),",",REPT(" ",99)),(ROW($1:$8)-1)*99+1,99)),IFERROR(('Final Calculation Sheet'!$G$32)&amp;"",""))))&gt;0,AND(ISNUMBER(SEARCH("blank",$CW$3)),NOT(ISNUMBER(SEARCH("nonblank",$CW$3))),IFERROR(('Final Calculation Sheet'!$G$32)&amp;"","")=""),AND(OR(ISNUMBER(SEARCH("nonblank",$CW$3)),ISNUMBER(SEARCH("&lt;&gt;",$CW$3))),IFERROR(('Final Calculation Sheet'!$G$32)&amp;"","")&lt;&gt;""),AND(TRIM($CW$3)="",IFERROR(('Final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IF($CW$3="",1,--(OR(SUMPRODUCT(--(TRIM(MID(SUBSTITUTE(SUBSTITUTE($CW$3,"/",","),",",REPT(" ",99)),(ROW($1:$8)-1)*99+1,99))&lt;&gt;""),--ISNUMBER(SEARCH(TRIM(MID(SUBSTITUTE(SUBSTITUTE($CW$3,"/",","),",",REPT(" ",99)),(ROW($1:$8)-1)*99+1,99)),IFERROR(('Final Calculation Sheet'!$G$33)&amp;"",""))))&gt;0,AND(ISNUMBER(SEARCH("blank",$CW$3)),NOT(ISNUMBER(SEARCH("nonblank",$CW$3))),IFERROR(('Final Calculation Sheet'!$G$33)&amp;"","")=""),AND(OR(ISNUMBER(SEARCH("nonblank",$CW$3)),ISNUMBER(SEARCH("&lt;&gt;",$CW$3))),IFERROR(('Final Calculation Sheet'!$G$33)&amp;"","")&lt;&gt;""),AND(TRIM($CW$3)="",IFERROR(('Final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IF($CW$3="",1,--(OR(SUMPRODUCT(--(TRIM(MID(SUBSTITUTE(SUBSTITUTE($CW$3,"/",","),",",REPT(" ",99)),(ROW($1:$8)-1)*99+1,99))&lt;&gt;""),--ISNUMBER(SEARCH(TRIM(MID(SUBSTITUTE(SUBSTITUTE($CW$3,"/",","),",",REPT(" ",99)),(ROW($1:$8)-1)*99+1,99)),IFERROR(('Final Calculation Sheet'!$G$34)&amp;"",""))))&gt;0,AND(ISNUMBER(SEARCH("blank",$CW$3)),NOT(ISNUMBER(SEARCH("nonblank",$CW$3))),IFERROR(('Final Calculation Sheet'!$G$34)&amp;"","")=""),AND(OR(ISNUMBER(SEARCH("nonblank",$CW$3)),ISNUMBER(SEARCH("&lt;&gt;",$CW$3))),IFERROR(('Final Calculation Sheet'!$G$34)&amp;"","")&lt;&gt;""),AND(TRIM($CW$3)="",IFERROR(('Final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IF($CW$3="",1,--(OR(SUMPRODUCT(--(TRIM(MID(SUBSTITUTE(SUBSTITUTE($CW$3,"/",","),",",REPT(" ",99)),(ROW($1:$8)-1)*99+1,99))&lt;&gt;""),--ISNUMBER(SEARCH(TRIM(MID(SUBSTITUTE(SUBSTITUTE($CW$3,"/",","),",",REPT(" ",99)),(ROW($1:$8)-1)*99+1,99)),IFERROR(('Final Calculation Sheet'!$G$35)&amp;"",""))))&gt;0,AND(ISNUMBER(SEARCH("blank",$CW$3)),NOT(ISNUMBER(SEARCH("nonblank",$CW$3))),IFERROR(('Final Calculation Sheet'!$G$35)&amp;"","")=""),AND(OR(ISNUMBER(SEARCH("nonblank",$CW$3)),ISNUMBER(SEARCH("&lt;&gt;",$CW$3))),IFERROR(('Final Calculation Sheet'!$G$35)&amp;"","")&lt;&gt;""),AND(TRIM($CW$3)="",IFERROR(('Final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IF($CW$3="",1,--(OR(SUMPRODUCT(--(TRIM(MID(SUBSTITUTE(SUBSTITUTE($CW$3,"/",","),",",REPT(" ",99)),(ROW($1:$8)-1)*99+1,99))&lt;&gt;""),--ISNUMBER(SEARCH(TRIM(MID(SUBSTITUTE(SUBSTITUTE($CW$3,"/",","),",",REPT(" ",99)),(ROW($1:$8)-1)*99+1,99)),IFERROR(('Final Calculation Sheet'!$G$36)&amp;"",""))))&gt;0,AND(ISNUMBER(SEARCH("blank",$CW$3)),NOT(ISNUMBER(SEARCH("nonblank",$CW$3))),IFERROR(('Final Calculation Sheet'!$G$36)&amp;"","")=""),AND(OR(ISNUMBER(SEARCH("nonblank",$CW$3)),ISNUMBER(SEARCH("&lt;&gt;",$CW$3))),IFERROR(('Final Calculation Sheet'!$G$36)&amp;"","")&lt;&gt;""),AND(TRIM($CW$3)="",IFERROR(('Final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IF($CW$3="",1,--(OR(SUMPRODUCT(--(TRIM(MID(SUBSTITUTE(SUBSTITUTE($CW$3,"/",","),",",REPT(" ",99)),(ROW($1:$8)-1)*99+1,99))&lt;&gt;""),--ISNUMBER(SEARCH(TRIM(MID(SUBSTITUTE(SUBSTITUTE($CW$3,"/",","),",",REPT(" ",99)),(ROW($1:$8)-1)*99+1,99)),IFERROR(('Final Calculation Sheet'!$G$37)&amp;"",""))))&gt;0,AND(ISNUMBER(SEARCH("blank",$CW$3)),NOT(ISNUMBER(SEARCH("nonblank",$CW$3))),IFERROR(('Final Calculation Sheet'!$G$37)&amp;"","")=""),AND(OR(ISNUMBER(SEARCH("nonblank",$CW$3)),ISNUMBER(SEARCH("&lt;&gt;",$CW$3))),IFERROR(('Final Calculation Sheet'!$G$37)&amp;"","")&lt;&gt;""),AND(TRIM($CW$3)="",IFERROR(('Final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IF($CW$3="",1,--(OR(SUMPRODUCT(--(TRIM(MID(SUBSTITUTE(SUBSTITUTE($CW$3,"/",","),",",REPT(" ",99)),(ROW($1:$8)-1)*99+1,99))&lt;&gt;""),--ISNUMBER(SEARCH(TRIM(MID(SUBSTITUTE(SUBSTITUTE($CW$3,"/",","),",",REPT(" ",99)),(ROW($1:$8)-1)*99+1,99)),IFERROR(('Final Calculation Sheet'!$G$38)&amp;"",""))))&gt;0,AND(ISNUMBER(SEARCH("blank",$CW$3)),NOT(ISNUMBER(SEARCH("nonblank",$CW$3))),IFERROR(('Final Calculation Sheet'!$G$38)&amp;"","")=""),AND(OR(ISNUMBER(SEARCH("nonblank",$CW$3)),ISNUMBER(SEARCH("&lt;&gt;",$CW$3))),IFERROR(('Final Calculation Sheet'!$G$38)&amp;"","")&lt;&gt;""),AND(TRIM($CW$3)="",IFERROR(('Final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IF($CW$3="",1,--(OR(SUMPRODUCT(--(TRIM(MID(SUBSTITUTE(SUBSTITUTE($CW$3,"/",","),",",REPT(" ",99)),(ROW($1:$8)-1)*99+1,99))&lt;&gt;""),--ISNUMBER(SEARCH(TRIM(MID(SUBSTITUTE(SUBSTITUTE($CW$3,"/",","),",",REPT(" ",99)),(ROW($1:$8)-1)*99+1,99)),IFERROR(('Final Calculation Sheet'!$G$39)&amp;"",""))))&gt;0,AND(ISNUMBER(SEARCH("blank",$CW$3)),NOT(ISNUMBER(SEARCH("nonblank",$CW$3))),IFERROR(('Final Calculation Sheet'!$G$39)&amp;"","")=""),AND(OR(ISNUMBER(SEARCH("nonblank",$CW$3)),ISNUMBER(SEARCH("&lt;&gt;",$CW$3))),IFERROR(('Final Calculation Sheet'!$G$39)&amp;"","")&lt;&gt;""),AND(TRIM($CW$3)="",IFERROR(('Final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IF($CW$3="",1,--(OR(SUMPRODUCT(--(TRIM(MID(SUBSTITUTE(SUBSTITUTE($CW$3,"/",","),",",REPT(" ",99)),(ROW($1:$8)-1)*99+1,99))&lt;&gt;""),--ISNUMBER(SEARCH(TRIM(MID(SUBSTITUTE(SUBSTITUTE($CW$3,"/",","),",",REPT(" ",99)),(ROW($1:$8)-1)*99+1,99)),IFERROR(('Final Calculation Sheet'!$G$40)&amp;"",""))))&gt;0,AND(ISNUMBER(SEARCH("blank",$CW$3)),NOT(ISNUMBER(SEARCH("nonblank",$CW$3))),IFERROR(('Final Calculation Sheet'!$G$40)&amp;"","")=""),AND(OR(ISNUMBER(SEARCH("nonblank",$CW$3)),ISNUMBER(SEARCH("&lt;&gt;",$CW$3))),IFERROR(('Final Calculation Sheet'!$G$40)&amp;"","")&lt;&gt;""),AND(TRIM($CW$3)="",IFERROR(('Final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P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8">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 type="list" showDropDown="0" showInputMessage="0" showErrorMessage="0" allowBlank="0" sqref="D3">
      <formula1>SUG_C</formula1>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live links included - each lot keeps its link to the Final Calculation Sheet and each subtotal is re-pointed at its own rows - and the plain order is put back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IF(IFERROR('Final Calculation Sheet'!$F$4,"")="","","+ "&amp;'Final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 "+ "&amp;INDEX(H$4:H$40,MATCH(ROW()-3,I$4:I$40,0)))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IF(IFERROR('Final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 "+ "&amp;INDEX($Y$4:$Y$40,MATCH(ROW()-3,$GA$4:$GA$40,0)))</f>
        <v/>
      </c>
      <c r="GD4">
        <f>IF($O$4="",FALSE,SUMPRODUCT(('Final Calculation Sheet'!$F$4:$F$40=$O$4)*($GC$6:$GC$42=1))&gt;0)</f>
        <v/>
      </c>
      <c r="GE4">
        <f>--($GD$4)</f>
        <v/>
      </c>
      <c r="GF4">
        <f>IF(ROW()-3&gt;MAX($GE$4:$GE$40),"", "+ "&amp;INDEX($O$4:$O$40,MATCH(ROW()-3,$GE$4:$GE$40,0)))</f>
        <v/>
      </c>
      <c r="GH4">
        <f>IF($T$4="",FALSE,SUMPRODUCT(('Final Calculation Sheet'!$G$4:$G$40=$T$4)*($GG$6:$GG$42=1))&gt;0)</f>
        <v/>
      </c>
      <c r="GI4">
        <f>--($GH$4)</f>
        <v/>
      </c>
      <c r="GJ4">
        <f>IF(ROW()-3&gt;MAX($GI$4:$GI$40),"", "+ "&amp;INDEX($T$4:$T$40,MATCH(ROW()-3,$GI$4:$GI$40,0)))</f>
        <v/>
      </c>
      <c r="GL4">
        <f>IF($AD$4="",FALSE,SUMPRODUCT(('Final Calculation Sheet'!$D$4:$D$40=$AD$4)*($GK$6:$GK$42=1))&gt;0)</f>
        <v/>
      </c>
      <c r="GM4">
        <f>--($GL$4)</f>
        <v/>
      </c>
      <c r="GN4">
        <f>IF(ROW()-3&gt;MAX($GM$4:$GM$40),"", "+ "&amp;INDEX($AD$4:$AD$40,MATCH(ROW()-3,$GM$4:$GM$40,0)))</f>
        <v/>
      </c>
      <c r="GP4">
        <f>IF($AI$4="",FALSE,SUMPRODUCT(('Final Calculation Sheet'!$A$4:$A$40=$AI$4)*($GO$6:$GO$42=1))&gt;0)</f>
        <v/>
      </c>
      <c r="GQ4">
        <f>--($GP$4)</f>
        <v/>
      </c>
      <c r="GR4">
        <f>IF(ROW()-3&gt;MAX($GQ$4:$GQ$40),"", "+ "&amp;INDEX($AI$4:$AI$40,MATCH(ROW()-3,$GQ$4:$GQ$40,0)))</f>
        <v/>
      </c>
      <c r="GT4">
        <f>IF($AN$4="",FALSE,SUMPRODUCT(('Final Calculation Sheet'!$E$4:$E$40=$AN$4)*($GS$6:$GS$42=1))&gt;0)</f>
        <v/>
      </c>
      <c r="GU4">
        <f>--($GT$4)</f>
        <v/>
      </c>
      <c r="GV4">
        <f>IF(ROW()-3&gt;MAX($GU$4:$GU$40),"", "+ "&amp;INDEX($AN$4:$AN$40,MATCH(ROW()-3,$GU$4:$GU$40,0)))</f>
        <v/>
      </c>
      <c r="GX4">
        <f>IF($AS$4="",FALSE,SUMPRODUCT(('Final Calculation Sheet'!$C$4:$C$40=$AS$4)*($GW$6:$GW$42=1))&gt;0)</f>
        <v/>
      </c>
      <c r="GY4">
        <f>--($GX$4)</f>
        <v/>
      </c>
      <c r="GZ4">
        <f>IF(ROW()-3&gt;MAX($GY$4:$GY$40),"", "+ "&amp;INDEX($AS$4:$AS$40,MATCH(ROW()-3,$GY$4:$GY$40,0)))</f>
        <v/>
      </c>
      <c r="HB4">
        <f>IF($AX$4="",FALSE,SUMPRODUCT(('Final Calculation Sheet'!$H$4:$H$40=$AX$4)*($HA$6:$HA$42=1))&gt;0)</f>
        <v/>
      </c>
      <c r="HC4">
        <f>--($HB$4)</f>
        <v/>
      </c>
      <c r="HD4">
        <f>IF(ROW()-3&gt;MAX($HC$4:$HC$40),"", "+ "&amp;INDEX($AX$4:$AX$40,MATCH(ROW()-3,$HC$4:$HC$40,0)))</f>
        <v/>
      </c>
      <c r="HF4">
        <f>IF($BC$4="",FALSE,SUMPRODUCT(('Final Calculation Sheet'!$I$4:$I$40=$BC$4)*($HE$6:$HE$42=1))&gt;0)</f>
        <v/>
      </c>
      <c r="HG4">
        <f>--($HF$4)</f>
        <v/>
      </c>
      <c r="HH4">
        <f>IF(ROW()-3&gt;MAX($HG$4:$HG$40),"", "+ "&amp;INDEX($BC$4:$BC$40,MATCH(ROW()-3,$HG$4:$HG$40,0)))</f>
        <v/>
      </c>
      <c r="HJ4">
        <f>IF($BH$4="",FALSE,SUMPRODUCT(('Final Calculation Sheet'!$J$4:$J$40=$BH$4)*($HI$6:$HI$42=1))&gt;0)</f>
        <v/>
      </c>
      <c r="HK4">
        <f>--($HJ$4)</f>
        <v/>
      </c>
      <c r="HL4">
        <f>IF(ROW()-3&gt;MAX($HK$4:$HK$40),"", "+ "&amp;INDEX($BH$4:$BH$40,MATCH(ROW()-3,$HK$4:$HK$40,0)))</f>
        <v/>
      </c>
      <c r="HN4">
        <f>IF($BM$4="",FALSE,SUMPRODUCT(('Final Calculation Sheet'!$K$4:$K$40=$BM$4)*($HM$6:$HM$42=1))&gt;0)</f>
        <v/>
      </c>
      <c r="HO4">
        <f>--($HN$4)</f>
        <v/>
      </c>
      <c r="HP4">
        <f>IF(ROW()-3&gt;MAX($HO$4:$HO$40),"", "+ "&amp;INDEX($BM$4:$BM$40,MATCH(ROW()-3,$HO$4:$HO$40,0)))</f>
        <v/>
      </c>
      <c r="HR4">
        <f>IF($BR$4="",FALSE,SUMPRODUCT(('Final Calculation Sheet'!$L$4:$L$40=$BR$4)*($HQ$6:$HQ$42=1))&gt;0)</f>
        <v/>
      </c>
      <c r="HS4">
        <f>--($HR$4)</f>
        <v/>
      </c>
      <c r="HT4">
        <f>IF(ROW()-3&gt;MAX($HS$4:$HS$40),"", "+ "&amp;INDEX($BR$4:$BR$40,MATCH(ROW()-3,$HS$4:$HS$40,0)))</f>
        <v/>
      </c>
      <c r="HV4">
        <f>IF($BW$4="",FALSE,SUMPRODUCT(('Final Calculation Sheet'!$M$4:$M$40=$BW$4)*($HU$6:$HU$42=1))&gt;0)</f>
        <v/>
      </c>
      <c r="HW4">
        <f>--($HV$4)</f>
        <v/>
      </c>
      <c r="HX4">
        <f>IF(ROW()-3&gt;MAX($HW$4:$HW$40),"", "+ "&amp;INDEX($BW$4:$BW$40,MATCH(ROW()-3,$HW$4:$HW$40,0)))</f>
        <v/>
      </c>
      <c r="HZ4">
        <f>IF($CB$4="",FALSE,SUMPRODUCT(('Final Calculation Sheet'!$N$4:$N$40=$CB$4)*($HY$6:$HY$42=1))&gt;0)</f>
        <v/>
      </c>
      <c r="IA4">
        <f>--($HZ$4)</f>
        <v/>
      </c>
      <c r="IB4">
        <f>IF(ROW()-3&gt;MAX($IA$4:$IA$40),"", "+ "&amp;INDEX($CB$4:$CB$40,MATCH(ROW()-3,$IA$4:$IA$40,0)))</f>
        <v/>
      </c>
      <c r="ID4">
        <f>IF($CG$4="",FALSE,SUMPRODUCT(('Final Calculation Sheet'!$O$4:$O$40=$CG$4)*($IC$6:$IC$42=1))&gt;0)</f>
        <v/>
      </c>
      <c r="IE4">
        <f>--($ID$4)</f>
        <v/>
      </c>
      <c r="IF4">
        <f>IF(ROW()-3&gt;MAX($IE$4:$IE$40),"", "+ "&amp;INDEX($CG$4:$CG$40,MATCH(ROW()-3,$IE$4:$IE$40,0)))</f>
        <v/>
      </c>
      <c r="IH4">
        <f>IF($CL$4="",FALSE,SUMPRODUCT(('Final Calculation Sheet'!$P$4:$P$40=$CL$4)*($IG$6:$IG$42=1))&gt;0)</f>
        <v/>
      </c>
      <c r="II4">
        <f>--($IH$4)</f>
        <v/>
      </c>
      <c r="IJ4">
        <f>IF(ROW()-3&gt;MAX($II$4:$II$40),"", "+ "&amp;INDEX($CL$4:$CL$40,MATCH(ROW()-3,$II$4:$II$40,0)))</f>
        <v/>
      </c>
      <c r="IL4">
        <f>IF($CQ$4="",FALSE,SUMPRODUCT(('Final Calculation Sheet'!$Q$4:$Q$40=$CQ$4)*($IK$6:$IK$42=1))&gt;0)</f>
        <v/>
      </c>
      <c r="IM4">
        <f>--($IL$4)</f>
        <v/>
      </c>
      <c r="IN4">
        <f>IF(ROW()-3&gt;MAX($IM$4:$IM$40),"", "+ "&amp;INDEX($CQ$4:$CQ$40,MATCH(ROW()-3,$IM$4:$IM$40,0)))</f>
        <v/>
      </c>
      <c r="IP4">
        <f>IF($CV$4="",FALSE,SUMPRODUCT(('Final Calculation Sheet'!$R$4:$R$40=$CV$4)*($IO$6:$IO$42=1))&gt;0)</f>
        <v/>
      </c>
      <c r="IQ4">
        <f>--($IP$4)</f>
        <v/>
      </c>
      <c r="IR4">
        <f>IF(ROW()-3&gt;MAX($IQ$4:$IQ$40),"", "+ "&amp;INDEX($CV$4:$CV$40,MATCH(ROW()-3,$IQ$4:$IQ$40,0)))</f>
        <v/>
      </c>
      <c r="IT4">
        <f>IF($DA$4="",FALSE,SUMPRODUCT(('Final Calculation Sheet'!$S$4:$S$40=$DA$4)*($IS$6:$IS$42=1))&gt;0)</f>
        <v/>
      </c>
      <c r="IU4">
        <f>--($IT$4)</f>
        <v/>
      </c>
      <c r="IV4">
        <f>IF(ROW()-3&gt;MAX($IU$4:$IU$40),"", "+ "&amp;INDEX($DA$4:$DA$40,MATCH(ROW()-3,$IU$4:$IU$40,0)))</f>
        <v/>
      </c>
      <c r="IX4">
        <f>IF($DF$4="",FALSE,SUMPRODUCT(('Final Calculation Sheet'!$T$4:$T$40=$DF$4)*($IW$6:$IW$42=1))&gt;0)</f>
        <v/>
      </c>
      <c r="IY4">
        <f>--($IX$4)</f>
        <v/>
      </c>
      <c r="IZ4">
        <f>IF(ROW()-3&gt;MAX($IY$4:$IY$40),"", "+ "&amp;INDEX($DF$4:$DF$40,MATCH(ROW()-3,$IY$4:$IY$40,0)))</f>
        <v/>
      </c>
      <c r="JB4">
        <f>IF($DK$4="",FALSE,SUMPRODUCT(('Final Calculation Sheet'!$U$4:$U$40=$DK$4)*($JA$6:$JA$42=1))&gt;0)</f>
        <v/>
      </c>
      <c r="JC4">
        <f>--($JB$4)</f>
        <v/>
      </c>
      <c r="JD4">
        <f>IF(ROW()-3&gt;MAX($JC$4:$JC$40),"", "+ "&amp;INDEX($DK$4:$DK$40,MATCH(ROW()-3,$JC$4:$JC$40,0)))</f>
        <v/>
      </c>
      <c r="JF4">
        <f>IF($DP$4="",FALSE,SUMPRODUCT(('Final Calculation Sheet'!$V$4:$V$40=$DP$4)*($JE$6:$JE$42=1))&gt;0)</f>
        <v/>
      </c>
      <c r="JG4">
        <f>--($JF$4)</f>
        <v/>
      </c>
      <c r="JH4">
        <f>IF(ROW()-3&gt;MAX($JG$4:$JG$40),"", "+ "&amp;INDEX($DP$4:$DP$40,MATCH(ROW()-3,$JG$4:$JG$40,0)))</f>
        <v/>
      </c>
      <c r="JJ4">
        <f>IF($DU$4="",FALSE,SUMPRODUCT(('Final Calculation Sheet'!$W$4:$W$40=$DU$4)*($JI$6:$JI$42=1))&gt;0)</f>
        <v/>
      </c>
      <c r="JK4">
        <f>--($JJ$4)</f>
        <v/>
      </c>
      <c r="JL4">
        <f>IF(ROW()-3&gt;MAX($JK$4:$JK$40),"", "+ "&amp;INDEX($DU$4:$DU$40,MATCH(ROW()-3,$JK$4:$JK$40,0)))</f>
        <v/>
      </c>
      <c r="JN4">
        <f>IF($DZ$4="",FALSE,SUMPRODUCT(('Final Calculation Sheet'!$X$4:$X$40=$DZ$4)*($JM$6:$JM$42=1))&gt;0)</f>
        <v/>
      </c>
      <c r="JO4">
        <f>--($JN$4)</f>
        <v/>
      </c>
      <c r="JP4">
        <f>IF(ROW()-3&gt;MAX($JO$4:$JO$40),"", "+ "&amp;INDEX($DZ$4:$DZ$40,MATCH(ROW()-3,$JO$4:$JO$40,0)))</f>
        <v/>
      </c>
      <c r="JR4">
        <f>IF($EE$4="",FALSE,SUMPRODUCT(('Final Calculation Sheet'!$Y$4:$Y$40=$EE$4)*($JQ$6:$JQ$42=1))&gt;0)</f>
        <v/>
      </c>
      <c r="JS4">
        <f>--($JR$4)</f>
        <v/>
      </c>
      <c r="JT4">
        <f>IF(ROW()-3&gt;MAX($JS$4:$JS$40),"", "+ "&amp;INDEX($EE$4:$EE$40,MATCH(ROW()-3,$JS$4:$JS$40,0)))</f>
        <v/>
      </c>
      <c r="JV4">
        <f>IF($EJ$4="",FALSE,SUMPRODUCT(('Final Calculation Sheet'!$Z$4:$Z$40=$EJ$4)*($JU$6:$JU$42=1))&gt;0)</f>
        <v/>
      </c>
      <c r="JW4">
        <f>--($JV$4)</f>
        <v/>
      </c>
      <c r="JX4">
        <f>IF(ROW()-3&gt;MAX($JW$4:$JW$40),"", "+ "&amp;INDEX($EJ$4:$EJ$40,MATCH(ROW()-3,$JW$4:$JW$40,0)))</f>
        <v/>
      </c>
      <c r="JZ4">
        <f>IF($EO$4="",FALSE,SUMPRODUCT(('Final Calculation Sheet'!$AA$4:$AA$40=$EO$4)*($JY$6:$JY$42=1))&gt;0)</f>
        <v/>
      </c>
      <c r="KA4">
        <f>--($JZ$4)</f>
        <v/>
      </c>
      <c r="KB4">
        <f>IF(ROW()-3&gt;MAX($KA$4:$KA$40),"", "+ "&amp;INDEX($EO$4:$EO$40,MATCH(ROW()-3,$KA$4:$KA$40,0)))</f>
        <v/>
      </c>
      <c r="KD4">
        <f>IF($ET$4="",FALSE,SUMPRODUCT(('Final Calculation Sheet'!$AB$4:$AB$40=$ET$4)*($KC$6:$KC$42=1))&gt;0)</f>
        <v/>
      </c>
      <c r="KE4">
        <f>--($KD$4)</f>
        <v/>
      </c>
      <c r="KF4">
        <f>IF(ROW()-3&gt;MAX($KE$4:$KE$40),"", "+ "&amp;INDEX($ET$4:$ET$40,MATCH(ROW()-3,$KE$4:$KE$40,0)))</f>
        <v/>
      </c>
      <c r="KH4">
        <f>IF($EY$4="",FALSE,SUMPRODUCT(('Final Calculation Sheet'!$AC$4:$AC$40=$EY$4)*($KG$6:$KG$42=1))&gt;0)</f>
        <v/>
      </c>
      <c r="KI4">
        <f>--($KH$4)</f>
        <v/>
      </c>
      <c r="KJ4">
        <f>IF(ROW()-3&gt;MAX($KI$4:$KI$40),"", "+ "&amp;INDEX($EY$4:$EY$40,MATCH(ROW()-3,$KI$4:$KI$40,0)))</f>
        <v/>
      </c>
      <c r="KL4">
        <f>IF($FD$4="",FALSE,SUMPRODUCT(('Final Calculation Sheet'!$AD$4:$AD$40=$FD$4)*($KK$6:$KK$42=1))&gt;0)</f>
        <v/>
      </c>
      <c r="KM4">
        <f>--($KL$4)</f>
        <v/>
      </c>
      <c r="KN4">
        <f>IF(ROW()-3&gt;MAX($KM$4:$KM$40),"", "+ "&amp;INDEX($FD$4:$FD$40,MATCH(ROW()-3,$KM$4:$KM$40,0)))</f>
        <v/>
      </c>
      <c r="KP4">
        <f>IF($FX$4="",FALSE,SUMPRODUCT((IF('Final Calculation Sheet'!$AD$4:$AD$40&lt;=5,"SETTLED","OUTSTANDING")=$FX$4)*($KO$6:$KO$42=1))&gt;0)</f>
        <v/>
      </c>
      <c r="KQ4">
        <f>--($KP$4)</f>
        <v/>
      </c>
      <c r="KR4">
        <f>IF(ROW()-3&gt;MAX($KQ$4:$KQ$40),"", "+ "&amp;INDEX($FX$4:$FX$40,MATCH(ROW()-3,$KQ$4:$KQ$40,0)))</f>
        <v/>
      </c>
      <c r="KT4">
        <f>IF($FI$4="",FALSE,SUMPRODUCT(('Final Calculation Sheet'!$AF$4:$AF$40=$FI$4)*($KS$6:$KS$42=1))&gt;0)</f>
        <v/>
      </c>
      <c r="KU4">
        <f>--($KT$4)</f>
        <v/>
      </c>
      <c r="KV4">
        <f>IF(ROW()-3&gt;MAX($KU$4:$KU$40),"", "+ "&amp;INDEX($FI$4:$FI$40,MATCH(ROW()-3,$KU$4:$KU$40,0)))</f>
        <v/>
      </c>
      <c r="KX4">
        <f>IF($FN$4="",FALSE,SUMPRODUCT(('Final Calculation Sheet'!$AG$4:$AG$40=$FN$4)*($KW$6:$KW$42=1))&gt;0)</f>
        <v/>
      </c>
      <c r="KY4">
        <f>--($KX$4)</f>
        <v/>
      </c>
      <c r="KZ4">
        <f>IF(ROW()-3&gt;MAX($KY$4:$KY$40),"", "+ "&amp;INDEX($FN$4:$FN$40,MATCH(ROW()-3,$KY$4:$KY$40,0)))</f>
        <v/>
      </c>
      <c r="LB4">
        <f>IF($FS$4="",FALSE,SUMPRODUCT(('Final Calculation Sheet'!$AH$4:$AH$40=$FS$4)*($LA$6:$LA$42=1))&gt;0)</f>
        <v/>
      </c>
      <c r="LC4">
        <f>--($LB$4)</f>
        <v/>
      </c>
      <c r="LD4">
        <f>IF(ROW()-3&gt;MAX($LC$4:$LC$40),"", "+ "&amp;INDEX($FS$4:$FS$40,MATCH(ROW()-3,$LC$4:$LC$40,0)))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IF(IFERROR('Final Calculation Sheet'!$F$5,"")="","","+ "&amp;'Final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 "+ "&amp;INDEX(H$4:H$40,MATCH(ROW()-3,I$4:I$40,0)))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IF(IFERROR('Final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 "+ "&amp;INDEX($Y$4:$Y$40,MATCH(ROW()-3,$GA$4:$GA$40,0)))</f>
        <v/>
      </c>
      <c r="GD5">
        <f>IF($O$5="",FALSE,SUMPRODUCT(('Final Calculation Sheet'!$F$4:$F$40=$O$5)*($GC$6:$GC$42=1))&gt;0)</f>
        <v/>
      </c>
      <c r="GE5">
        <f>$GE$4+--($GD5)</f>
        <v/>
      </c>
      <c r="GF5">
        <f>IF(ROW()-3&gt;MAX($GE$4:$GE$40),"", "+ "&amp;INDEX($O$4:$O$40,MATCH(ROW()-3,$GE$4:$GE$40,0)))</f>
        <v/>
      </c>
      <c r="GH5">
        <f>IF($T$5="",FALSE,SUMPRODUCT(('Final Calculation Sheet'!$G$4:$G$40=$T$5)*($GG$6:$GG$42=1))&gt;0)</f>
        <v/>
      </c>
      <c r="GI5">
        <f>$GI$4+--($GH5)</f>
        <v/>
      </c>
      <c r="GJ5">
        <f>IF(ROW()-3&gt;MAX($GI$4:$GI$40),"", "+ "&amp;INDEX($T$4:$T$40,MATCH(ROW()-3,$GI$4:$GI$40,0)))</f>
        <v/>
      </c>
      <c r="GL5">
        <f>IF($AD$5="",FALSE,SUMPRODUCT(('Final Calculation Sheet'!$D$4:$D$40=$AD$5)*($GK$6:$GK$42=1))&gt;0)</f>
        <v/>
      </c>
      <c r="GM5">
        <f>$GM$4+--($GL5)</f>
        <v/>
      </c>
      <c r="GN5">
        <f>IF(ROW()-3&gt;MAX($GM$4:$GM$40),"", "+ "&amp;INDEX($AD$4:$AD$40,MATCH(ROW()-3,$GM$4:$GM$40,0)))</f>
        <v/>
      </c>
      <c r="GP5">
        <f>IF($AI$5="",FALSE,SUMPRODUCT(('Final Calculation Sheet'!$A$4:$A$40=$AI$5)*($GO$6:$GO$42=1))&gt;0)</f>
        <v/>
      </c>
      <c r="GQ5">
        <f>$GQ$4+--($GP5)</f>
        <v/>
      </c>
      <c r="GR5">
        <f>IF(ROW()-3&gt;MAX($GQ$4:$GQ$40),"", "+ "&amp;INDEX($AI$4:$AI$40,MATCH(ROW()-3,$GQ$4:$GQ$40,0)))</f>
        <v/>
      </c>
      <c r="GT5">
        <f>IF($AN$5="",FALSE,SUMPRODUCT(('Final Calculation Sheet'!$E$4:$E$40=$AN$5)*($GS$6:$GS$42=1))&gt;0)</f>
        <v/>
      </c>
      <c r="GU5">
        <f>$GU$4+--($GT5)</f>
        <v/>
      </c>
      <c r="GV5">
        <f>IF(ROW()-3&gt;MAX($GU$4:$GU$40),"", "+ "&amp;INDEX($AN$4:$AN$40,MATCH(ROW()-3,$GU$4:$GU$40,0)))</f>
        <v/>
      </c>
      <c r="GX5">
        <f>IF($AS$5="",FALSE,SUMPRODUCT(('Final Calculation Sheet'!$C$4:$C$40=$AS$5)*($GW$6:$GW$42=1))&gt;0)</f>
        <v/>
      </c>
      <c r="GY5">
        <f>$GY$4+--($GX5)</f>
        <v/>
      </c>
      <c r="GZ5">
        <f>IF(ROW()-3&gt;MAX($GY$4:$GY$40),"", "+ "&amp;INDEX($AS$4:$AS$40,MATCH(ROW()-3,$GY$4:$GY$40,0)))</f>
        <v/>
      </c>
      <c r="HB5">
        <f>IF($AX$5="",FALSE,SUMPRODUCT(('Final Calculation Sheet'!$H$4:$H$40=$AX$5)*($HA$6:$HA$42=1))&gt;0)</f>
        <v/>
      </c>
      <c r="HC5">
        <f>$HC$4+--($HB5)</f>
        <v/>
      </c>
      <c r="HD5">
        <f>IF(ROW()-3&gt;MAX($HC$4:$HC$40),"", "+ "&amp;INDEX($AX$4:$AX$40,MATCH(ROW()-3,$HC$4:$HC$40,0)))</f>
        <v/>
      </c>
      <c r="HF5">
        <f>IF($BC$5="",FALSE,SUMPRODUCT(('Final Calculation Sheet'!$I$4:$I$40=$BC$5)*($HE$6:$HE$42=1))&gt;0)</f>
        <v/>
      </c>
      <c r="HG5">
        <f>$HG$4+--($HF5)</f>
        <v/>
      </c>
      <c r="HH5">
        <f>IF(ROW()-3&gt;MAX($HG$4:$HG$40),"", "+ "&amp;INDEX($BC$4:$BC$40,MATCH(ROW()-3,$HG$4:$HG$40,0)))</f>
        <v/>
      </c>
      <c r="HJ5">
        <f>IF($BH$5="",FALSE,SUMPRODUCT(('Final Calculation Sheet'!$J$4:$J$40=$BH$5)*($HI$6:$HI$42=1))&gt;0)</f>
        <v/>
      </c>
      <c r="HK5">
        <f>$HK$4+--($HJ5)</f>
        <v/>
      </c>
      <c r="HL5">
        <f>IF(ROW()-3&gt;MAX($HK$4:$HK$40),"", "+ "&amp;INDEX($BH$4:$BH$40,MATCH(ROW()-3,$HK$4:$HK$40,0)))</f>
        <v/>
      </c>
      <c r="HN5">
        <f>IF($BM$5="",FALSE,SUMPRODUCT(('Final Calculation Sheet'!$K$4:$K$40=$BM$5)*($HM$6:$HM$42=1))&gt;0)</f>
        <v/>
      </c>
      <c r="HO5">
        <f>$HO$4+--($HN5)</f>
        <v/>
      </c>
      <c r="HP5">
        <f>IF(ROW()-3&gt;MAX($HO$4:$HO$40),"", "+ "&amp;INDEX($BM$4:$BM$40,MATCH(ROW()-3,$HO$4:$HO$40,0)))</f>
        <v/>
      </c>
      <c r="HR5">
        <f>IF($BR$5="",FALSE,SUMPRODUCT(('Final Calculation Sheet'!$L$4:$L$40=$BR$5)*($HQ$6:$HQ$42=1))&gt;0)</f>
        <v/>
      </c>
      <c r="HS5">
        <f>$HS$4+--($HR5)</f>
        <v/>
      </c>
      <c r="HT5">
        <f>IF(ROW()-3&gt;MAX($HS$4:$HS$40),"", "+ "&amp;INDEX($BR$4:$BR$40,MATCH(ROW()-3,$HS$4:$HS$40,0)))</f>
        <v/>
      </c>
      <c r="HV5">
        <f>IF($BW$5="",FALSE,SUMPRODUCT(('Final Calculation Sheet'!$M$4:$M$40=$BW$5)*($HU$6:$HU$42=1))&gt;0)</f>
        <v/>
      </c>
      <c r="HW5">
        <f>$HW$4+--($HV5)</f>
        <v/>
      </c>
      <c r="HX5">
        <f>IF(ROW()-3&gt;MAX($HW$4:$HW$40),"", "+ "&amp;INDEX($BW$4:$BW$40,MATCH(ROW()-3,$HW$4:$HW$40,0)))</f>
        <v/>
      </c>
      <c r="HZ5">
        <f>IF($CB$5="",FALSE,SUMPRODUCT(('Final Calculation Sheet'!$N$4:$N$40=$CB$5)*($HY$6:$HY$42=1))&gt;0)</f>
        <v/>
      </c>
      <c r="IA5">
        <f>$IA$4+--($HZ5)</f>
        <v/>
      </c>
      <c r="IB5">
        <f>IF(ROW()-3&gt;MAX($IA$4:$IA$40),"", "+ "&amp;INDEX($CB$4:$CB$40,MATCH(ROW()-3,$IA$4:$IA$40,0)))</f>
        <v/>
      </c>
      <c r="ID5">
        <f>IF($CG$5="",FALSE,SUMPRODUCT(('Final Calculation Sheet'!$O$4:$O$40=$CG$5)*($IC$6:$IC$42=1))&gt;0)</f>
        <v/>
      </c>
      <c r="IE5">
        <f>$IE$4+--($ID5)</f>
        <v/>
      </c>
      <c r="IF5">
        <f>IF(ROW()-3&gt;MAX($IE$4:$IE$40),"", "+ "&amp;INDEX($CG$4:$CG$40,MATCH(ROW()-3,$IE$4:$IE$40,0)))</f>
        <v/>
      </c>
      <c r="IH5">
        <f>IF($CL$5="",FALSE,SUMPRODUCT(('Final Calculation Sheet'!$P$4:$P$40=$CL$5)*($IG$6:$IG$42=1))&gt;0)</f>
        <v/>
      </c>
      <c r="II5">
        <f>$II$4+--($IH5)</f>
        <v/>
      </c>
      <c r="IJ5">
        <f>IF(ROW()-3&gt;MAX($II$4:$II$40),"", "+ "&amp;INDEX($CL$4:$CL$40,MATCH(ROW()-3,$II$4:$II$40,0)))</f>
        <v/>
      </c>
      <c r="IL5">
        <f>IF($CQ$5="",FALSE,SUMPRODUCT(('Final Calculation Sheet'!$Q$4:$Q$40=$CQ$5)*($IK$6:$IK$42=1))&gt;0)</f>
        <v/>
      </c>
      <c r="IM5">
        <f>$IM$4+--($IL5)</f>
        <v/>
      </c>
      <c r="IN5">
        <f>IF(ROW()-3&gt;MAX($IM$4:$IM$40),"", "+ "&amp;INDEX($CQ$4:$CQ$40,MATCH(ROW()-3,$IM$4:$IM$40,0)))</f>
        <v/>
      </c>
      <c r="IP5">
        <f>IF($CV$5="",FALSE,SUMPRODUCT(('Final Calculation Sheet'!$R$4:$R$40=$CV$5)*($IO$6:$IO$42=1))&gt;0)</f>
        <v/>
      </c>
      <c r="IQ5">
        <f>$IQ$4+--($IP5)</f>
        <v/>
      </c>
      <c r="IR5">
        <f>IF(ROW()-3&gt;MAX($IQ$4:$IQ$40),"", "+ "&amp;INDEX($CV$4:$CV$40,MATCH(ROW()-3,$IQ$4:$IQ$40,0)))</f>
        <v/>
      </c>
      <c r="IT5">
        <f>IF($DA$5="",FALSE,SUMPRODUCT(('Final Calculation Sheet'!$S$4:$S$40=$DA$5)*($IS$6:$IS$42=1))&gt;0)</f>
        <v/>
      </c>
      <c r="IU5">
        <f>$IU$4+--($IT5)</f>
        <v/>
      </c>
      <c r="IV5">
        <f>IF(ROW()-3&gt;MAX($IU$4:$IU$40),"", "+ "&amp;INDEX($DA$4:$DA$40,MATCH(ROW()-3,$IU$4:$IU$40,0)))</f>
        <v/>
      </c>
      <c r="IX5">
        <f>IF($DF$5="",FALSE,SUMPRODUCT(('Final Calculation Sheet'!$T$4:$T$40=$DF$5)*($IW$6:$IW$42=1))&gt;0)</f>
        <v/>
      </c>
      <c r="IY5">
        <f>$IY$4+--($IX5)</f>
        <v/>
      </c>
      <c r="IZ5">
        <f>IF(ROW()-3&gt;MAX($IY$4:$IY$40),"", "+ "&amp;INDEX($DF$4:$DF$40,MATCH(ROW()-3,$IY$4:$IY$40,0)))</f>
        <v/>
      </c>
      <c r="JB5">
        <f>IF($DK$5="",FALSE,SUMPRODUCT(('Final Calculation Sheet'!$U$4:$U$40=$DK$5)*($JA$6:$JA$42=1))&gt;0)</f>
        <v/>
      </c>
      <c r="JC5">
        <f>$JC$4+--($JB5)</f>
        <v/>
      </c>
      <c r="JD5">
        <f>IF(ROW()-3&gt;MAX($JC$4:$JC$40),"", "+ "&amp;INDEX($DK$4:$DK$40,MATCH(ROW()-3,$JC$4:$JC$40,0)))</f>
        <v/>
      </c>
      <c r="JF5">
        <f>IF($DP$5="",FALSE,SUMPRODUCT(('Final Calculation Sheet'!$V$4:$V$40=$DP$5)*($JE$6:$JE$42=1))&gt;0)</f>
        <v/>
      </c>
      <c r="JG5">
        <f>$JG$4+--($JF5)</f>
        <v/>
      </c>
      <c r="JH5">
        <f>IF(ROW()-3&gt;MAX($JG$4:$JG$40),"", "+ "&amp;INDEX($DP$4:$DP$40,MATCH(ROW()-3,$JG$4:$JG$40,0)))</f>
        <v/>
      </c>
      <c r="JJ5">
        <f>IF($DU$5="",FALSE,SUMPRODUCT(('Final Calculation Sheet'!$W$4:$W$40=$DU$5)*($JI$6:$JI$42=1))&gt;0)</f>
        <v/>
      </c>
      <c r="JK5">
        <f>$JK$4+--($JJ5)</f>
        <v/>
      </c>
      <c r="JL5">
        <f>IF(ROW()-3&gt;MAX($JK$4:$JK$40),"", "+ "&amp;INDEX($DU$4:$DU$40,MATCH(ROW()-3,$JK$4:$JK$40,0)))</f>
        <v/>
      </c>
      <c r="JN5">
        <f>IF($DZ$5="",FALSE,SUMPRODUCT(('Final Calculation Sheet'!$X$4:$X$40=$DZ$5)*($JM$6:$JM$42=1))&gt;0)</f>
        <v/>
      </c>
      <c r="JO5">
        <f>$JO$4+--($JN5)</f>
        <v/>
      </c>
      <c r="JP5">
        <f>IF(ROW()-3&gt;MAX($JO$4:$JO$40),"", "+ "&amp;INDEX($DZ$4:$DZ$40,MATCH(ROW()-3,$JO$4:$JO$40,0)))</f>
        <v/>
      </c>
      <c r="JR5">
        <f>IF($EE$5="",FALSE,SUMPRODUCT(('Final Calculation Sheet'!$Y$4:$Y$40=$EE$5)*($JQ$6:$JQ$42=1))&gt;0)</f>
        <v/>
      </c>
      <c r="JS5">
        <f>$JS$4+--($JR5)</f>
        <v/>
      </c>
      <c r="JT5">
        <f>IF(ROW()-3&gt;MAX($JS$4:$JS$40),"", "+ "&amp;INDEX($EE$4:$EE$40,MATCH(ROW()-3,$JS$4:$JS$40,0)))</f>
        <v/>
      </c>
      <c r="JV5">
        <f>IF($EJ$5="",FALSE,SUMPRODUCT(('Final Calculation Sheet'!$Z$4:$Z$40=$EJ$5)*($JU$6:$JU$42=1))&gt;0)</f>
        <v/>
      </c>
      <c r="JW5">
        <f>$JW$4+--($JV5)</f>
        <v/>
      </c>
      <c r="JX5">
        <f>IF(ROW()-3&gt;MAX($JW$4:$JW$40),"", "+ "&amp;INDEX($EJ$4:$EJ$40,MATCH(ROW()-3,$JW$4:$JW$40,0)))</f>
        <v/>
      </c>
      <c r="JZ5">
        <f>IF($EO$5="",FALSE,SUMPRODUCT(('Final Calculation Sheet'!$AA$4:$AA$40=$EO$5)*($JY$6:$JY$42=1))&gt;0)</f>
        <v/>
      </c>
      <c r="KA5">
        <f>$KA$4+--($JZ5)</f>
        <v/>
      </c>
      <c r="KB5">
        <f>IF(ROW()-3&gt;MAX($KA$4:$KA$40),"", "+ "&amp;INDEX($EO$4:$EO$40,MATCH(ROW()-3,$KA$4:$KA$40,0)))</f>
        <v/>
      </c>
      <c r="KD5">
        <f>IF($ET$5="",FALSE,SUMPRODUCT(('Final Calculation Sheet'!$AB$4:$AB$40=$ET$5)*($KC$6:$KC$42=1))&gt;0)</f>
        <v/>
      </c>
      <c r="KE5">
        <f>$KE$4+--($KD5)</f>
        <v/>
      </c>
      <c r="KF5">
        <f>IF(ROW()-3&gt;MAX($KE$4:$KE$40),"", "+ "&amp;INDEX($ET$4:$ET$40,MATCH(ROW()-3,$KE$4:$KE$40,0)))</f>
        <v/>
      </c>
      <c r="KH5">
        <f>IF($EY$5="",FALSE,SUMPRODUCT(('Final Calculation Sheet'!$AC$4:$AC$40=$EY$5)*($KG$6:$KG$42=1))&gt;0)</f>
        <v/>
      </c>
      <c r="KI5">
        <f>$KI$4+--($KH5)</f>
        <v/>
      </c>
      <c r="KJ5">
        <f>IF(ROW()-3&gt;MAX($KI$4:$KI$40),"", "+ "&amp;INDEX($EY$4:$EY$40,MATCH(ROW()-3,$KI$4:$KI$40,0)))</f>
        <v/>
      </c>
      <c r="KL5">
        <f>IF($FD$5="",FALSE,SUMPRODUCT(('Final Calculation Sheet'!$AD$4:$AD$40=$FD$5)*($KK$6:$KK$42=1))&gt;0)</f>
        <v/>
      </c>
      <c r="KM5">
        <f>$KM$4+--($KL5)</f>
        <v/>
      </c>
      <c r="KN5">
        <f>IF(ROW()-3&gt;MAX($KM$4:$KM$40),"", "+ "&amp;INDEX($FD$4:$FD$40,MATCH(ROW()-3,$KM$4:$KM$40,0)))</f>
        <v/>
      </c>
      <c r="KP5">
        <f>IF($FX$5="",FALSE,SUMPRODUCT((IF('Final Calculation Sheet'!$AD$4:$AD$40&lt;=5,"SETTLED","OUTSTANDING")=$FX$5)*($KO$6:$KO$42=1))&gt;0)</f>
        <v/>
      </c>
      <c r="KQ5">
        <f>$KQ$4+--($KP5)</f>
        <v/>
      </c>
      <c r="KR5">
        <f>IF(ROW()-3&gt;MAX($KQ$4:$KQ$40),"", "+ "&amp;INDEX($FX$4:$FX$40,MATCH(ROW()-3,$KQ$4:$KQ$40,0)))</f>
        <v/>
      </c>
      <c r="KT5">
        <f>IF($FI$5="",FALSE,SUMPRODUCT(('Final Calculation Sheet'!$AF$4:$AF$40=$FI$5)*($KS$6:$KS$42=1))&gt;0)</f>
        <v/>
      </c>
      <c r="KU5">
        <f>$KU$4+--($KT5)</f>
        <v/>
      </c>
      <c r="KV5">
        <f>IF(ROW()-3&gt;MAX($KU$4:$KU$40),"", "+ "&amp;INDEX($FI$4:$FI$40,MATCH(ROW()-3,$KU$4:$KU$40,0)))</f>
        <v/>
      </c>
      <c r="KX5">
        <f>IF($FN$5="",FALSE,SUMPRODUCT(('Final Calculation Sheet'!$AG$4:$AG$40=$FN$5)*($KW$6:$KW$42=1))&gt;0)</f>
        <v/>
      </c>
      <c r="KY5">
        <f>$KY$4+--($KX5)</f>
        <v/>
      </c>
      <c r="KZ5">
        <f>IF(ROW()-3&gt;MAX($KY$4:$KY$40),"", "+ "&amp;INDEX($FN$4:$FN$40,MATCH(ROW()-3,$KY$4:$KY$40,0)))</f>
        <v/>
      </c>
      <c r="LB5">
        <f>IF($FS$5="",FALSE,SUMPRODUCT(('Final Calculation Sheet'!$AH$4:$AH$40=$FS$5)*($LA$6:$LA$42=1))&gt;0)</f>
        <v/>
      </c>
      <c r="LC5">
        <f>$LC$4+--($LB5)</f>
        <v/>
      </c>
      <c r="LD5">
        <f>IF(ROW()-3&gt;MAX($LC$4:$LC$40),"", "+ "&amp;INDEX($FS$4:$FS$40,MATCH(ROW()-3,$LC$4:$LC$40,0)))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IF(IFERROR('Final Calculation Sheet'!$F$6,"")="","","+ "&amp;'Final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 "+ "&amp;INDEX(H$4:H$40,MATCH(ROW()-3,I$4:I$40,0)))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IF(IFERROR('Final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 "+ "&amp;INDEX($Y$4:$Y$40,MATCH(ROW()-3,$GA$4:$GA$40,0)))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 "+ "&amp;INDEX($O$4:$O$40,MATCH(ROW()-3,$GE$4:$GE$40,0)))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 "+ "&amp;INDEX($T$4:$T$40,MATCH(ROW()-3,$GI$4:$GI$40,0)))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 "+ "&amp;INDEX($AD$4:$AD$40,MATCH(ROW()-3,$GM$4:$GM$40,0)))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 "+ "&amp;INDEX($AI$4:$AI$40,MATCH(ROW()-3,$GQ$4:$GQ$40,0)))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 "+ "&amp;INDEX($AN$4:$AN$40,MATCH(ROW()-3,$GU$4:$GU$40,0)))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 "+ "&amp;INDEX($AS$4:$AS$40,MATCH(ROW()-3,$GY$4:$GY$40,0)))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 "+ "&amp;INDEX($AX$4:$AX$40,MATCH(ROW()-3,$HC$4:$HC$40,0)))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 "+ "&amp;INDEX($BC$4:$BC$40,MATCH(ROW()-3,$HG$4:$HG$40,0)))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 "+ "&amp;INDEX($BH$4:$BH$40,MATCH(ROW()-3,$HK$4:$HK$40,0)))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 "+ "&amp;INDEX($BM$4:$BM$40,MATCH(ROW()-3,$HO$4:$HO$40,0)))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 "+ "&amp;INDEX($BR$4:$BR$40,MATCH(ROW()-3,$HS$4:$HS$40,0)))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 "+ "&amp;INDEX($BW$4:$BW$40,MATCH(ROW()-3,$HW$4:$HW$40,0)))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 "+ "&amp;INDEX($CB$4:$CB$40,MATCH(ROW()-3,$IA$4:$IA$40,0)))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 "+ "&amp;INDEX($CG$4:$CG$40,MATCH(ROW()-3,$IE$4:$IE$40,0)))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 "+ "&amp;INDEX($CL$4:$CL$40,MATCH(ROW()-3,$II$4:$II$40,0)))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 "+ "&amp;INDEX($CQ$4:$CQ$40,MATCH(ROW()-3,$IM$4:$IM$40,0)))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 "+ "&amp;INDEX($CV$4:$CV$40,MATCH(ROW()-3,$IQ$4:$IQ$40,0)))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 "+ "&amp;INDEX($DA$4:$DA$40,MATCH(ROW()-3,$IU$4:$IU$40,0)))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 "+ "&amp;INDEX($DF$4:$DF$40,MATCH(ROW()-3,$IY$4:$IY$40,0)))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 "+ "&amp;INDEX($DK$4:$DK$40,MATCH(ROW()-3,$JC$4:$JC$40,0)))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 "+ "&amp;INDEX($DP$4:$DP$40,MATCH(ROW()-3,$JG$4:$JG$40,0)))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 "+ "&amp;INDEX($DU$4:$DU$40,MATCH(ROW()-3,$JK$4:$JK$40,0)))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 "+ "&amp;INDEX($DZ$4:$DZ$40,MATCH(ROW()-3,$JO$4:$JO$40,0)))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 "+ "&amp;INDEX($EE$4:$EE$40,MATCH(ROW()-3,$JS$4:$JS$40,0)))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 "+ "&amp;INDEX($EJ$4:$EJ$40,MATCH(ROW()-3,$JW$4:$JW$40,0)))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 "+ "&amp;INDEX($EO$4:$EO$40,MATCH(ROW()-3,$KA$4:$KA$40,0)))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 "+ "&amp;INDEX($ET$4:$ET$40,MATCH(ROW()-3,$KE$4:$KE$40,0)))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 "+ "&amp;INDEX($EY$4:$EY$40,MATCH(ROW()-3,$KI$4:$KI$40,0)))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 "+ "&amp;INDEX($FD$4:$FD$40,MATCH(ROW()-3,$KM$4:$KM$40,0)))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 "+ "&amp;INDEX($FX$4:$FX$40,MATCH(ROW()-3,$KQ$4:$KQ$40,0)))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 "+ "&amp;INDEX($FI$4:$FI$40,MATCH(ROW()-3,$KU$4:$KU$40,0)))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 "+ "&amp;INDEX($FN$4:$FN$40,MATCH(ROW()-3,$KY$4:$KY$40,0)))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 "+ "&amp;INDEX($FS$4:$FS$40,MATCH(ROW()-3,$LC$4:$LC$40,0)))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IF(IFERROR('Final Calculation Sheet'!$F$7,"")="","","+ "&amp;'Final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 "+ "&amp;INDEX(H$4:H$40,MATCH(ROW()-3,I$4:I$40,0)))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IF(IFERROR('Final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 "+ "&amp;INDEX($Y$4:$Y$40,MATCH(ROW()-3,$GA$4:$GA$40,0)))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 "+ "&amp;INDEX($O$4:$O$40,MATCH(ROW()-3,$GE$4:$GE$40,0)))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 "+ "&amp;INDEX($T$4:$T$40,MATCH(ROW()-3,$GI$4:$GI$40,0)))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 "+ "&amp;INDEX($AD$4:$AD$40,MATCH(ROW()-3,$GM$4:$GM$40,0)))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 "+ "&amp;INDEX($AI$4:$AI$40,MATCH(ROW()-3,$GQ$4:$GQ$40,0)))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 "+ "&amp;INDEX($AN$4:$AN$40,MATCH(ROW()-3,$GU$4:$GU$40,0)))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 "+ "&amp;INDEX($AS$4:$AS$40,MATCH(ROW()-3,$GY$4:$GY$40,0)))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 "+ "&amp;INDEX($AX$4:$AX$40,MATCH(ROW()-3,$HC$4:$HC$40,0)))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 "+ "&amp;INDEX($BC$4:$BC$40,MATCH(ROW()-3,$HG$4:$HG$40,0)))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 "+ "&amp;INDEX($BH$4:$BH$40,MATCH(ROW()-3,$HK$4:$HK$40,0)))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 "+ "&amp;INDEX($BM$4:$BM$40,MATCH(ROW()-3,$HO$4:$HO$40,0)))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 "+ "&amp;INDEX($BR$4:$BR$40,MATCH(ROW()-3,$HS$4:$HS$40,0)))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 "+ "&amp;INDEX($BW$4:$BW$40,MATCH(ROW()-3,$HW$4:$HW$40,0)))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 "+ "&amp;INDEX($CB$4:$CB$40,MATCH(ROW()-3,$IA$4:$IA$40,0)))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 "+ "&amp;INDEX($CG$4:$CG$40,MATCH(ROW()-3,$IE$4:$IE$40,0)))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 "+ "&amp;INDEX($CL$4:$CL$40,MATCH(ROW()-3,$II$4:$II$40,0)))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 "+ "&amp;INDEX($CQ$4:$CQ$40,MATCH(ROW()-3,$IM$4:$IM$40,0)))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 "+ "&amp;INDEX($CV$4:$CV$40,MATCH(ROW()-3,$IQ$4:$IQ$40,0)))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 "+ "&amp;INDEX($DA$4:$DA$40,MATCH(ROW()-3,$IU$4:$IU$40,0)))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 "+ "&amp;INDEX($DF$4:$DF$40,MATCH(ROW()-3,$IY$4:$IY$40,0)))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 "+ "&amp;INDEX($DK$4:$DK$40,MATCH(ROW()-3,$JC$4:$JC$40,0)))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 "+ "&amp;INDEX($DP$4:$DP$40,MATCH(ROW()-3,$JG$4:$JG$40,0)))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 "+ "&amp;INDEX($DU$4:$DU$40,MATCH(ROW()-3,$JK$4:$JK$40,0)))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 "+ "&amp;INDEX($DZ$4:$DZ$40,MATCH(ROW()-3,$JO$4:$JO$40,0)))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 "+ "&amp;INDEX($EE$4:$EE$40,MATCH(ROW()-3,$JS$4:$JS$40,0)))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 "+ "&amp;INDEX($EJ$4:$EJ$40,MATCH(ROW()-3,$JW$4:$JW$40,0)))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 "+ "&amp;INDEX($EO$4:$EO$40,MATCH(ROW()-3,$KA$4:$KA$40,0)))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 "+ "&amp;INDEX($ET$4:$ET$40,MATCH(ROW()-3,$KE$4:$KE$40,0)))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 "+ "&amp;INDEX($EY$4:$EY$40,MATCH(ROW()-3,$KI$4:$KI$40,0)))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 "+ "&amp;INDEX($FD$4:$FD$40,MATCH(ROW()-3,$KM$4:$KM$40,0)))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 "+ "&amp;INDEX($FX$4:$FX$40,MATCH(ROW()-3,$KQ$4:$KQ$40,0)))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 "+ "&amp;INDEX($FI$4:$FI$40,MATCH(ROW()-3,$KU$4:$KU$40,0)))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 "+ "&amp;INDEX($FN$4:$FN$40,MATCH(ROW()-3,$KY$4:$KY$40,0)))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 "+ "&amp;INDEX($FS$4:$FS$40,MATCH(ROW()-3,$LC$4:$LC$40,0)))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IF(IFERROR('Final Calculation Sheet'!$F$8,"")="","","+ "&amp;'Final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 "+ "&amp;INDEX(H$4:H$40,MATCH(ROW()-3,I$4:I$40,0)))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IF(IFERROR('Final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 "+ "&amp;INDEX($Y$4:$Y$40,MATCH(ROW()-3,$GA$4:$GA$40,0)))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 "+ "&amp;INDEX($O$4:$O$40,MATCH(ROW()-3,$GE$4:$GE$40,0)))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 "+ "&amp;INDEX($T$4:$T$40,MATCH(ROW()-3,$GI$4:$GI$40,0)))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 "+ "&amp;INDEX($AD$4:$AD$40,MATCH(ROW()-3,$GM$4:$GM$40,0)))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 "+ "&amp;INDEX($AI$4:$AI$40,MATCH(ROW()-3,$GQ$4:$GQ$40,0)))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 "+ "&amp;INDEX($AN$4:$AN$40,MATCH(ROW()-3,$GU$4:$GU$40,0)))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 "+ "&amp;INDEX($AS$4:$AS$40,MATCH(ROW()-3,$GY$4:$GY$40,0)))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 "+ "&amp;INDEX($AX$4:$AX$40,MATCH(ROW()-3,$HC$4:$HC$40,0)))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 "+ "&amp;INDEX($BC$4:$BC$40,MATCH(ROW()-3,$HG$4:$HG$40,0)))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 "+ "&amp;INDEX($BH$4:$BH$40,MATCH(ROW()-3,$HK$4:$HK$40,0)))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 "+ "&amp;INDEX($BM$4:$BM$40,MATCH(ROW()-3,$HO$4:$HO$40,0)))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 "+ "&amp;INDEX($BR$4:$BR$40,MATCH(ROW()-3,$HS$4:$HS$40,0)))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 "+ "&amp;INDEX($BW$4:$BW$40,MATCH(ROW()-3,$HW$4:$HW$40,0)))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 "+ "&amp;INDEX($CB$4:$CB$40,MATCH(ROW()-3,$IA$4:$IA$40,0)))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 "+ "&amp;INDEX($CG$4:$CG$40,MATCH(ROW()-3,$IE$4:$IE$40,0)))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 "+ "&amp;INDEX($CL$4:$CL$40,MATCH(ROW()-3,$II$4:$II$40,0)))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 "+ "&amp;INDEX($CQ$4:$CQ$40,MATCH(ROW()-3,$IM$4:$IM$40,0)))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 "+ "&amp;INDEX($CV$4:$CV$40,MATCH(ROW()-3,$IQ$4:$IQ$40,0)))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 "+ "&amp;INDEX($DA$4:$DA$40,MATCH(ROW()-3,$IU$4:$IU$40,0)))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 "+ "&amp;INDEX($DF$4:$DF$40,MATCH(ROW()-3,$IY$4:$IY$40,0)))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 "+ "&amp;INDEX($DK$4:$DK$40,MATCH(ROW()-3,$JC$4:$JC$40,0)))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 "+ "&amp;INDEX($DP$4:$DP$40,MATCH(ROW()-3,$JG$4:$JG$40,0)))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 "+ "&amp;INDEX($DU$4:$DU$40,MATCH(ROW()-3,$JK$4:$JK$40,0)))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 "+ "&amp;INDEX($DZ$4:$DZ$40,MATCH(ROW()-3,$JO$4:$JO$40,0)))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 "+ "&amp;INDEX($EE$4:$EE$40,MATCH(ROW()-3,$JS$4:$JS$40,0)))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 "+ "&amp;INDEX($EJ$4:$EJ$40,MATCH(ROW()-3,$JW$4:$JW$40,0)))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 "+ "&amp;INDEX($EO$4:$EO$40,MATCH(ROW()-3,$KA$4:$KA$40,0)))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 "+ "&amp;INDEX($ET$4:$ET$40,MATCH(ROW()-3,$KE$4:$KE$40,0)))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 "+ "&amp;INDEX($EY$4:$EY$40,MATCH(ROW()-3,$KI$4:$KI$40,0)))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 "+ "&amp;INDEX($FD$4:$FD$40,MATCH(ROW()-3,$KM$4:$KM$40,0)))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 "+ "&amp;INDEX($FX$4:$FX$40,MATCH(ROW()-3,$KQ$4:$KQ$40,0)))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 "+ "&amp;INDEX($FI$4:$FI$40,MATCH(ROW()-3,$KU$4:$KU$40,0)))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 "+ "&amp;INDEX($FN$4:$FN$40,MATCH(ROW()-3,$KY$4:$KY$40,0)))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 "+ "&amp;INDEX($FS$4:$FS$40,MATCH(ROW()-3,$LC$4:$LC$40,0)))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IF(IFERROR('Final Calculation Sheet'!$F$9,"")="","","+ "&amp;'Final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 "+ "&amp;INDEX(H$4:H$40,MATCH(ROW()-3,I$4:I$40,0)))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IF(IFERROR('Final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 "+ "&amp;INDEX($Y$4:$Y$40,MATCH(ROW()-3,$GA$4:$GA$40,0)))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 "+ "&amp;INDEX($O$4:$O$40,MATCH(ROW()-3,$GE$4:$GE$40,0)))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 "+ "&amp;INDEX($T$4:$T$40,MATCH(ROW()-3,$GI$4:$GI$40,0)))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 "+ "&amp;INDEX($AD$4:$AD$40,MATCH(ROW()-3,$GM$4:$GM$40,0)))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 "+ "&amp;INDEX($AI$4:$AI$40,MATCH(ROW()-3,$GQ$4:$GQ$40,0)))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 "+ "&amp;INDEX($AN$4:$AN$40,MATCH(ROW()-3,$GU$4:$GU$40,0)))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 "+ "&amp;INDEX($AS$4:$AS$40,MATCH(ROW()-3,$GY$4:$GY$40,0)))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 "+ "&amp;INDEX($AX$4:$AX$40,MATCH(ROW()-3,$HC$4:$HC$40,0)))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 "+ "&amp;INDEX($BC$4:$BC$40,MATCH(ROW()-3,$HG$4:$HG$40,0)))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 "+ "&amp;INDEX($BH$4:$BH$40,MATCH(ROW()-3,$HK$4:$HK$40,0)))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 "+ "&amp;INDEX($BM$4:$BM$40,MATCH(ROW()-3,$HO$4:$HO$40,0)))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 "+ "&amp;INDEX($BR$4:$BR$40,MATCH(ROW()-3,$HS$4:$HS$40,0)))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 "+ "&amp;INDEX($BW$4:$BW$40,MATCH(ROW()-3,$HW$4:$HW$40,0)))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 "+ "&amp;INDEX($CB$4:$CB$40,MATCH(ROW()-3,$IA$4:$IA$40,0)))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 "+ "&amp;INDEX($CG$4:$CG$40,MATCH(ROW()-3,$IE$4:$IE$40,0)))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 "+ "&amp;INDEX($CL$4:$CL$40,MATCH(ROW()-3,$II$4:$II$40,0)))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 "+ "&amp;INDEX($CQ$4:$CQ$40,MATCH(ROW()-3,$IM$4:$IM$40,0)))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 "+ "&amp;INDEX($CV$4:$CV$40,MATCH(ROW()-3,$IQ$4:$IQ$40,0)))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 "+ "&amp;INDEX($DA$4:$DA$40,MATCH(ROW()-3,$IU$4:$IU$40,0)))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 "+ "&amp;INDEX($DF$4:$DF$40,MATCH(ROW()-3,$IY$4:$IY$40,0)))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 "+ "&amp;INDEX($DK$4:$DK$40,MATCH(ROW()-3,$JC$4:$JC$40,0)))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 "+ "&amp;INDEX($DP$4:$DP$40,MATCH(ROW()-3,$JG$4:$JG$40,0)))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 "+ "&amp;INDEX($DU$4:$DU$40,MATCH(ROW()-3,$JK$4:$JK$40,0)))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 "+ "&amp;INDEX($DZ$4:$DZ$40,MATCH(ROW()-3,$JO$4:$JO$40,0)))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 "+ "&amp;INDEX($EE$4:$EE$40,MATCH(ROW()-3,$JS$4:$JS$40,0)))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 "+ "&amp;INDEX($EJ$4:$EJ$40,MATCH(ROW()-3,$JW$4:$JW$40,0)))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 "+ "&amp;INDEX($EO$4:$EO$40,MATCH(ROW()-3,$KA$4:$KA$40,0)))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 "+ "&amp;INDEX($ET$4:$ET$40,MATCH(ROW()-3,$KE$4:$KE$40,0)))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 "+ "&amp;INDEX($EY$4:$EY$40,MATCH(ROW()-3,$KI$4:$KI$40,0)))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 "+ "&amp;INDEX($FD$4:$FD$40,MATCH(ROW()-3,$KM$4:$KM$40,0)))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 "+ "&amp;INDEX($FX$4:$FX$40,MATCH(ROW()-3,$KQ$4:$KQ$40,0)))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 "+ "&amp;INDEX($FI$4:$FI$40,MATCH(ROW()-3,$KU$4:$KU$40,0)))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 "+ "&amp;INDEX($FN$4:$FN$40,MATCH(ROW()-3,$KY$4:$KY$40,0)))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 "+ "&amp;INDEX($FS$4:$FS$40,MATCH(ROW()-3,$LC$4:$LC$40,0)))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IF(IFERROR('Final Calculation Sheet'!$F$10,"")="","","+ "&amp;'Final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 "+ "&amp;INDEX(H$4:H$40,MATCH(ROW()-3,I$4:I$40,0)))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IF(IFERROR('Final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 "+ "&amp;INDEX($Y$4:$Y$40,MATCH(ROW()-3,$GA$4:$GA$40,0)))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 "+ "&amp;INDEX($O$4:$O$40,MATCH(ROW()-3,$GE$4:$GE$40,0)))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 "+ "&amp;INDEX($T$4:$T$40,MATCH(ROW()-3,$GI$4:$GI$40,0)))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 "+ "&amp;INDEX($AD$4:$AD$40,MATCH(ROW()-3,$GM$4:$GM$40,0)))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 "+ "&amp;INDEX($AI$4:$AI$40,MATCH(ROW()-3,$GQ$4:$GQ$40,0)))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 "+ "&amp;INDEX($AN$4:$AN$40,MATCH(ROW()-3,$GU$4:$GU$40,0)))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 "+ "&amp;INDEX($AS$4:$AS$40,MATCH(ROW()-3,$GY$4:$GY$40,0)))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 "+ "&amp;INDEX($AX$4:$AX$40,MATCH(ROW()-3,$HC$4:$HC$40,0)))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 "+ "&amp;INDEX($BC$4:$BC$40,MATCH(ROW()-3,$HG$4:$HG$40,0)))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 "+ "&amp;INDEX($BH$4:$BH$40,MATCH(ROW()-3,$HK$4:$HK$40,0)))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 "+ "&amp;INDEX($BM$4:$BM$40,MATCH(ROW()-3,$HO$4:$HO$40,0)))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 "+ "&amp;INDEX($BR$4:$BR$40,MATCH(ROW()-3,$HS$4:$HS$40,0)))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 "+ "&amp;INDEX($BW$4:$BW$40,MATCH(ROW()-3,$HW$4:$HW$40,0)))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 "+ "&amp;INDEX($CB$4:$CB$40,MATCH(ROW()-3,$IA$4:$IA$40,0)))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 "+ "&amp;INDEX($CG$4:$CG$40,MATCH(ROW()-3,$IE$4:$IE$40,0)))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 "+ "&amp;INDEX($CL$4:$CL$40,MATCH(ROW()-3,$II$4:$II$40,0)))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 "+ "&amp;INDEX($CQ$4:$CQ$40,MATCH(ROW()-3,$IM$4:$IM$40,0)))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 "+ "&amp;INDEX($CV$4:$CV$40,MATCH(ROW()-3,$IQ$4:$IQ$40,0)))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 "+ "&amp;INDEX($DA$4:$DA$40,MATCH(ROW()-3,$IU$4:$IU$40,0)))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 "+ "&amp;INDEX($DF$4:$DF$40,MATCH(ROW()-3,$IY$4:$IY$40,0)))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 "+ "&amp;INDEX($DK$4:$DK$40,MATCH(ROW()-3,$JC$4:$JC$40,0)))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 "+ "&amp;INDEX($DP$4:$DP$40,MATCH(ROW()-3,$JG$4:$JG$40,0)))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 "+ "&amp;INDEX($DU$4:$DU$40,MATCH(ROW()-3,$JK$4:$JK$40,0)))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 "+ "&amp;INDEX($DZ$4:$DZ$40,MATCH(ROW()-3,$JO$4:$JO$40,0)))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 "+ "&amp;INDEX($EE$4:$EE$40,MATCH(ROW()-3,$JS$4:$JS$40,0)))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 "+ "&amp;INDEX($EJ$4:$EJ$40,MATCH(ROW()-3,$JW$4:$JW$40,0)))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 "+ "&amp;INDEX($EO$4:$EO$40,MATCH(ROW()-3,$KA$4:$KA$40,0)))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 "+ "&amp;INDEX($ET$4:$ET$40,MATCH(ROW()-3,$KE$4:$KE$40,0)))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 "+ "&amp;INDEX($EY$4:$EY$40,MATCH(ROW()-3,$KI$4:$KI$40,0)))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 "+ "&amp;INDEX($FD$4:$FD$40,MATCH(ROW()-3,$KM$4:$KM$40,0)))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 "+ "&amp;INDEX($FX$4:$FX$40,MATCH(ROW()-3,$KQ$4:$KQ$40,0)))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 "+ "&amp;INDEX($FI$4:$FI$40,MATCH(ROW()-3,$KU$4:$KU$40,0)))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 "+ "&amp;INDEX($FN$4:$FN$40,MATCH(ROW()-3,$KY$4:$KY$40,0)))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 "+ "&amp;INDEX($FS$4:$FS$40,MATCH(ROW()-3,$LC$4:$LC$40,0)))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IF(IFERROR('Final Calculation Sheet'!$F$11,"")="","","+ "&amp;'Final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 "+ "&amp;INDEX(H$4:H$40,MATCH(ROW()-3,I$4:I$40,0)))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IF(IFERROR('Final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 "+ "&amp;INDEX($Y$4:$Y$40,MATCH(ROW()-3,$GA$4:$GA$40,0)))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 "+ "&amp;INDEX($O$4:$O$40,MATCH(ROW()-3,$GE$4:$GE$40,0)))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 "+ "&amp;INDEX($T$4:$T$40,MATCH(ROW()-3,$GI$4:$GI$40,0)))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 "+ "&amp;INDEX($AD$4:$AD$40,MATCH(ROW()-3,$GM$4:$GM$40,0)))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 "+ "&amp;INDEX($AI$4:$AI$40,MATCH(ROW()-3,$GQ$4:$GQ$40,0)))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 "+ "&amp;INDEX($AN$4:$AN$40,MATCH(ROW()-3,$GU$4:$GU$40,0)))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 "+ "&amp;INDEX($AS$4:$AS$40,MATCH(ROW()-3,$GY$4:$GY$40,0)))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 "+ "&amp;INDEX($AX$4:$AX$40,MATCH(ROW()-3,$HC$4:$HC$40,0)))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 "+ "&amp;INDEX($BC$4:$BC$40,MATCH(ROW()-3,$HG$4:$HG$40,0)))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 "+ "&amp;INDEX($BH$4:$BH$40,MATCH(ROW()-3,$HK$4:$HK$40,0)))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 "+ "&amp;INDEX($BM$4:$BM$40,MATCH(ROW()-3,$HO$4:$HO$40,0)))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 "+ "&amp;INDEX($BR$4:$BR$40,MATCH(ROW()-3,$HS$4:$HS$40,0)))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 "+ "&amp;INDEX($BW$4:$BW$40,MATCH(ROW()-3,$HW$4:$HW$40,0)))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 "+ "&amp;INDEX($CB$4:$CB$40,MATCH(ROW()-3,$IA$4:$IA$40,0)))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 "+ "&amp;INDEX($CG$4:$CG$40,MATCH(ROW()-3,$IE$4:$IE$40,0)))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 "+ "&amp;INDEX($CL$4:$CL$40,MATCH(ROW()-3,$II$4:$II$40,0)))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 "+ "&amp;INDEX($CQ$4:$CQ$40,MATCH(ROW()-3,$IM$4:$IM$40,0)))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 "+ "&amp;INDEX($CV$4:$CV$40,MATCH(ROW()-3,$IQ$4:$IQ$40,0)))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 "+ "&amp;INDEX($DA$4:$DA$40,MATCH(ROW()-3,$IU$4:$IU$40,0)))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 "+ "&amp;INDEX($DF$4:$DF$40,MATCH(ROW()-3,$IY$4:$IY$40,0)))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 "+ "&amp;INDEX($DK$4:$DK$40,MATCH(ROW()-3,$JC$4:$JC$40,0)))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 "+ "&amp;INDEX($DP$4:$DP$40,MATCH(ROW()-3,$JG$4:$JG$40,0)))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 "+ "&amp;INDEX($DU$4:$DU$40,MATCH(ROW()-3,$JK$4:$JK$40,0)))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 "+ "&amp;INDEX($DZ$4:$DZ$40,MATCH(ROW()-3,$JO$4:$JO$40,0)))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 "+ "&amp;INDEX($EE$4:$EE$40,MATCH(ROW()-3,$JS$4:$JS$40,0)))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 "+ "&amp;INDEX($EJ$4:$EJ$40,MATCH(ROW()-3,$JW$4:$JW$40,0)))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 "+ "&amp;INDEX($EO$4:$EO$40,MATCH(ROW()-3,$KA$4:$KA$40,0)))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 "+ "&amp;INDEX($ET$4:$ET$40,MATCH(ROW()-3,$KE$4:$KE$40,0)))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 "+ "&amp;INDEX($EY$4:$EY$40,MATCH(ROW()-3,$KI$4:$KI$40,0)))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 "+ "&amp;INDEX($FD$4:$FD$40,MATCH(ROW()-3,$KM$4:$KM$40,0)))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 "+ "&amp;INDEX($FX$4:$FX$40,MATCH(ROW()-3,$KQ$4:$KQ$40,0)))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 "+ "&amp;INDEX($FI$4:$FI$40,MATCH(ROW()-3,$KU$4:$KU$40,0)))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 "+ "&amp;INDEX($FN$4:$FN$40,MATCH(ROW()-3,$KY$4:$KY$40,0)))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 "+ "&amp;INDEX($FS$4:$FS$40,MATCH(ROW()-3,$LC$4:$LC$40,0)))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IF(IFERROR('Final Calculation Sheet'!$F$12,"")="","","+ "&amp;'Final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 "+ "&amp;INDEX(H$4:H$40,MATCH(ROW()-3,I$4:I$40,0)))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IF(IFERROR('Final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 "+ "&amp;INDEX($Y$4:$Y$40,MATCH(ROW()-3,$GA$4:$GA$40,0)))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 "+ "&amp;INDEX($O$4:$O$40,MATCH(ROW()-3,$GE$4:$GE$40,0)))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 "+ "&amp;INDEX($T$4:$T$40,MATCH(ROW()-3,$GI$4:$GI$40,0)))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 "+ "&amp;INDEX($AD$4:$AD$40,MATCH(ROW()-3,$GM$4:$GM$40,0)))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 "+ "&amp;INDEX($AI$4:$AI$40,MATCH(ROW()-3,$GQ$4:$GQ$40,0)))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 "+ "&amp;INDEX($AN$4:$AN$40,MATCH(ROW()-3,$GU$4:$GU$40,0)))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 "+ "&amp;INDEX($AS$4:$AS$40,MATCH(ROW()-3,$GY$4:$GY$40,0)))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 "+ "&amp;INDEX($AX$4:$AX$40,MATCH(ROW()-3,$HC$4:$HC$40,0)))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 "+ "&amp;INDEX($BC$4:$BC$40,MATCH(ROW()-3,$HG$4:$HG$40,0)))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 "+ "&amp;INDEX($BH$4:$BH$40,MATCH(ROW()-3,$HK$4:$HK$40,0)))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 "+ "&amp;INDEX($BM$4:$BM$40,MATCH(ROW()-3,$HO$4:$HO$40,0)))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 "+ "&amp;INDEX($BR$4:$BR$40,MATCH(ROW()-3,$HS$4:$HS$40,0)))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 "+ "&amp;INDEX($BW$4:$BW$40,MATCH(ROW()-3,$HW$4:$HW$40,0)))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 "+ "&amp;INDEX($CB$4:$CB$40,MATCH(ROW()-3,$IA$4:$IA$40,0)))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 "+ "&amp;INDEX($CG$4:$CG$40,MATCH(ROW()-3,$IE$4:$IE$40,0)))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 "+ "&amp;INDEX($CL$4:$CL$40,MATCH(ROW()-3,$II$4:$II$40,0)))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 "+ "&amp;INDEX($CQ$4:$CQ$40,MATCH(ROW()-3,$IM$4:$IM$40,0)))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 "+ "&amp;INDEX($CV$4:$CV$40,MATCH(ROW()-3,$IQ$4:$IQ$40,0)))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 "+ "&amp;INDEX($DA$4:$DA$40,MATCH(ROW()-3,$IU$4:$IU$40,0)))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 "+ "&amp;INDEX($DF$4:$DF$40,MATCH(ROW()-3,$IY$4:$IY$40,0)))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 "+ "&amp;INDEX($DK$4:$DK$40,MATCH(ROW()-3,$JC$4:$JC$40,0)))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 "+ "&amp;INDEX($DP$4:$DP$40,MATCH(ROW()-3,$JG$4:$JG$40,0)))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 "+ "&amp;INDEX($DU$4:$DU$40,MATCH(ROW()-3,$JK$4:$JK$40,0)))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 "+ "&amp;INDEX($DZ$4:$DZ$40,MATCH(ROW()-3,$JO$4:$JO$40,0)))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 "+ "&amp;INDEX($EE$4:$EE$40,MATCH(ROW()-3,$JS$4:$JS$40,0)))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 "+ "&amp;INDEX($EJ$4:$EJ$40,MATCH(ROW()-3,$JW$4:$JW$40,0)))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 "+ "&amp;INDEX($EO$4:$EO$40,MATCH(ROW()-3,$KA$4:$KA$40,0)))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 "+ "&amp;INDEX($ET$4:$ET$40,MATCH(ROW()-3,$KE$4:$KE$40,0)))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 "+ "&amp;INDEX($EY$4:$EY$40,MATCH(ROW()-3,$KI$4:$KI$40,0)))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 "+ "&amp;INDEX($FD$4:$FD$40,MATCH(ROW()-3,$KM$4:$KM$40,0)))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 "+ "&amp;INDEX($FX$4:$FX$40,MATCH(ROW()-3,$KQ$4:$KQ$40,0)))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 "+ "&amp;INDEX($FI$4:$FI$40,MATCH(ROW()-3,$KU$4:$KU$40,0)))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 "+ "&amp;INDEX($FN$4:$FN$40,MATCH(ROW()-3,$KY$4:$KY$40,0)))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 "+ "&amp;INDEX($FS$4:$FS$40,MATCH(ROW()-3,$LC$4:$LC$40,0)))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IF(IFERROR('Final Calculation Sheet'!$F$13,"")="","","+ "&amp;'Final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 "+ "&amp;INDEX(H$4:H$40,MATCH(ROW()-3,I$4:I$40,0)))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IF(IFERROR('Final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 "+ "&amp;INDEX($Y$4:$Y$40,MATCH(ROW()-3,$GA$4:$GA$40,0)))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 "+ "&amp;INDEX($O$4:$O$40,MATCH(ROW()-3,$GE$4:$GE$40,0)))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 "+ "&amp;INDEX($T$4:$T$40,MATCH(ROW()-3,$GI$4:$GI$40,0)))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 "+ "&amp;INDEX($AD$4:$AD$40,MATCH(ROW()-3,$GM$4:$GM$40,0)))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 "+ "&amp;INDEX($AI$4:$AI$40,MATCH(ROW()-3,$GQ$4:$GQ$40,0)))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 "+ "&amp;INDEX($AN$4:$AN$40,MATCH(ROW()-3,$GU$4:$GU$40,0)))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 "+ "&amp;INDEX($AS$4:$AS$40,MATCH(ROW()-3,$GY$4:$GY$40,0)))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 "+ "&amp;INDEX($AX$4:$AX$40,MATCH(ROW()-3,$HC$4:$HC$40,0)))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 "+ "&amp;INDEX($BC$4:$BC$40,MATCH(ROW()-3,$HG$4:$HG$40,0)))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 "+ "&amp;INDEX($BH$4:$BH$40,MATCH(ROW()-3,$HK$4:$HK$40,0)))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 "+ "&amp;INDEX($BM$4:$BM$40,MATCH(ROW()-3,$HO$4:$HO$40,0)))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 "+ "&amp;INDEX($BR$4:$BR$40,MATCH(ROW()-3,$HS$4:$HS$40,0)))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 "+ "&amp;INDEX($BW$4:$BW$40,MATCH(ROW()-3,$HW$4:$HW$40,0)))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 "+ "&amp;INDEX($CB$4:$CB$40,MATCH(ROW()-3,$IA$4:$IA$40,0)))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 "+ "&amp;INDEX($CG$4:$CG$40,MATCH(ROW()-3,$IE$4:$IE$40,0)))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 "+ "&amp;INDEX($CL$4:$CL$40,MATCH(ROW()-3,$II$4:$II$40,0)))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 "+ "&amp;INDEX($CQ$4:$CQ$40,MATCH(ROW()-3,$IM$4:$IM$40,0)))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 "+ "&amp;INDEX($CV$4:$CV$40,MATCH(ROW()-3,$IQ$4:$IQ$40,0)))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 "+ "&amp;INDEX($DA$4:$DA$40,MATCH(ROW()-3,$IU$4:$IU$40,0)))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 "+ "&amp;INDEX($DF$4:$DF$40,MATCH(ROW()-3,$IY$4:$IY$40,0)))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 "+ "&amp;INDEX($DK$4:$DK$40,MATCH(ROW()-3,$JC$4:$JC$40,0)))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 "+ "&amp;INDEX($DP$4:$DP$40,MATCH(ROW()-3,$JG$4:$JG$40,0)))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 "+ "&amp;INDEX($DU$4:$DU$40,MATCH(ROW()-3,$JK$4:$JK$40,0)))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 "+ "&amp;INDEX($DZ$4:$DZ$40,MATCH(ROW()-3,$JO$4:$JO$40,0)))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 "+ "&amp;INDEX($EE$4:$EE$40,MATCH(ROW()-3,$JS$4:$JS$40,0)))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 "+ "&amp;INDEX($EJ$4:$EJ$40,MATCH(ROW()-3,$JW$4:$JW$40,0)))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 "+ "&amp;INDEX($EO$4:$EO$40,MATCH(ROW()-3,$KA$4:$KA$40,0)))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 "+ "&amp;INDEX($ET$4:$ET$40,MATCH(ROW()-3,$KE$4:$KE$40,0)))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 "+ "&amp;INDEX($EY$4:$EY$40,MATCH(ROW()-3,$KI$4:$KI$40,0)))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 "+ "&amp;INDEX($FD$4:$FD$40,MATCH(ROW()-3,$KM$4:$KM$40,0)))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 "+ "&amp;INDEX($FX$4:$FX$40,MATCH(ROW()-3,$KQ$4:$KQ$40,0)))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 "+ "&amp;INDEX($FI$4:$FI$40,MATCH(ROW()-3,$KU$4:$KU$40,0)))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 "+ "&amp;INDEX($FN$4:$FN$40,MATCH(ROW()-3,$KY$4:$KY$40,0)))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 "+ "&amp;INDEX($FS$4:$FS$40,MATCH(ROW()-3,$LC$4:$LC$40,0)))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IF(IFERROR('Final Calculation Sheet'!$F$14,"")="","","+ "&amp;'Final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 "+ "&amp;INDEX(H$4:H$40,MATCH(ROW()-3,I$4:I$40,0)))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IF(IFERROR('Final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 "+ "&amp;INDEX($Y$4:$Y$40,MATCH(ROW()-3,$GA$4:$GA$40,0)))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 "+ "&amp;INDEX($O$4:$O$40,MATCH(ROW()-3,$GE$4:$GE$40,0)))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 "+ "&amp;INDEX($T$4:$T$40,MATCH(ROW()-3,$GI$4:$GI$40,0)))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 "+ "&amp;INDEX($AD$4:$AD$40,MATCH(ROW()-3,$GM$4:$GM$40,0)))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 "+ "&amp;INDEX($AI$4:$AI$40,MATCH(ROW()-3,$GQ$4:$GQ$40,0)))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 "+ "&amp;INDEX($AN$4:$AN$40,MATCH(ROW()-3,$GU$4:$GU$40,0)))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 "+ "&amp;INDEX($AS$4:$AS$40,MATCH(ROW()-3,$GY$4:$GY$40,0)))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 "+ "&amp;INDEX($AX$4:$AX$40,MATCH(ROW()-3,$HC$4:$HC$40,0)))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 "+ "&amp;INDEX($BC$4:$BC$40,MATCH(ROW()-3,$HG$4:$HG$40,0)))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 "+ "&amp;INDEX($BH$4:$BH$40,MATCH(ROW()-3,$HK$4:$HK$40,0)))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 "+ "&amp;INDEX($BM$4:$BM$40,MATCH(ROW()-3,$HO$4:$HO$40,0)))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 "+ "&amp;INDEX($BR$4:$BR$40,MATCH(ROW()-3,$HS$4:$HS$40,0)))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 "+ "&amp;INDEX($BW$4:$BW$40,MATCH(ROW()-3,$HW$4:$HW$40,0)))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 "+ "&amp;INDEX($CB$4:$CB$40,MATCH(ROW()-3,$IA$4:$IA$40,0)))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 "+ "&amp;INDEX($CG$4:$CG$40,MATCH(ROW()-3,$IE$4:$IE$40,0)))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 "+ "&amp;INDEX($CL$4:$CL$40,MATCH(ROW()-3,$II$4:$II$40,0)))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 "+ "&amp;INDEX($CQ$4:$CQ$40,MATCH(ROW()-3,$IM$4:$IM$40,0)))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 "+ "&amp;INDEX($CV$4:$CV$40,MATCH(ROW()-3,$IQ$4:$IQ$40,0)))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 "+ "&amp;INDEX($DA$4:$DA$40,MATCH(ROW()-3,$IU$4:$IU$40,0)))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 "+ "&amp;INDEX($DF$4:$DF$40,MATCH(ROW()-3,$IY$4:$IY$40,0)))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 "+ "&amp;INDEX($DK$4:$DK$40,MATCH(ROW()-3,$JC$4:$JC$40,0)))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 "+ "&amp;INDEX($DP$4:$DP$40,MATCH(ROW()-3,$JG$4:$JG$40,0)))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 "+ "&amp;INDEX($DU$4:$DU$40,MATCH(ROW()-3,$JK$4:$JK$40,0)))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 "+ "&amp;INDEX($DZ$4:$DZ$40,MATCH(ROW()-3,$JO$4:$JO$40,0)))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 "+ "&amp;INDEX($EE$4:$EE$40,MATCH(ROW()-3,$JS$4:$JS$40,0)))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 "+ "&amp;INDEX($EJ$4:$EJ$40,MATCH(ROW()-3,$JW$4:$JW$40,0)))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 "+ "&amp;INDEX($EO$4:$EO$40,MATCH(ROW()-3,$KA$4:$KA$40,0)))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 "+ "&amp;INDEX($ET$4:$ET$40,MATCH(ROW()-3,$KE$4:$KE$40,0)))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 "+ "&amp;INDEX($EY$4:$EY$40,MATCH(ROW()-3,$KI$4:$KI$40,0)))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 "+ "&amp;INDEX($FD$4:$FD$40,MATCH(ROW()-3,$KM$4:$KM$40,0)))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 "+ "&amp;INDEX($FX$4:$FX$40,MATCH(ROW()-3,$KQ$4:$KQ$40,0)))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 "+ "&amp;INDEX($FI$4:$FI$40,MATCH(ROW()-3,$KU$4:$KU$40,0)))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 "+ "&amp;INDEX($FN$4:$FN$40,MATCH(ROW()-3,$KY$4:$KY$40,0)))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 "+ "&amp;INDEX($FS$4:$FS$40,MATCH(ROW()-3,$LC$4:$LC$40,0)))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IF(IFERROR('Final Calculation Sheet'!$F$15,"")="","","+ "&amp;'Final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 "+ "&amp;INDEX(H$4:H$40,MATCH(ROW()-3,I$4:I$40,0)))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IF(IFERROR('Final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 "+ "&amp;INDEX($Y$4:$Y$40,MATCH(ROW()-3,$GA$4:$GA$40,0)))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 "+ "&amp;INDEX($O$4:$O$40,MATCH(ROW()-3,$GE$4:$GE$40,0)))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 "+ "&amp;INDEX($T$4:$T$40,MATCH(ROW()-3,$GI$4:$GI$40,0)))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 "+ "&amp;INDEX($AD$4:$AD$40,MATCH(ROW()-3,$GM$4:$GM$40,0)))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 "+ "&amp;INDEX($AI$4:$AI$40,MATCH(ROW()-3,$GQ$4:$GQ$40,0)))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 "+ "&amp;INDEX($AN$4:$AN$40,MATCH(ROW()-3,$GU$4:$GU$40,0)))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 "+ "&amp;INDEX($AS$4:$AS$40,MATCH(ROW()-3,$GY$4:$GY$40,0)))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 "+ "&amp;INDEX($AX$4:$AX$40,MATCH(ROW()-3,$HC$4:$HC$40,0)))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 "+ "&amp;INDEX($BC$4:$BC$40,MATCH(ROW()-3,$HG$4:$HG$40,0)))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 "+ "&amp;INDEX($BH$4:$BH$40,MATCH(ROW()-3,$HK$4:$HK$40,0)))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 "+ "&amp;INDEX($BM$4:$BM$40,MATCH(ROW()-3,$HO$4:$HO$40,0)))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 "+ "&amp;INDEX($BR$4:$BR$40,MATCH(ROW()-3,$HS$4:$HS$40,0)))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 "+ "&amp;INDEX($BW$4:$BW$40,MATCH(ROW()-3,$HW$4:$HW$40,0)))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 "+ "&amp;INDEX($CB$4:$CB$40,MATCH(ROW()-3,$IA$4:$IA$40,0)))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 "+ "&amp;INDEX($CG$4:$CG$40,MATCH(ROW()-3,$IE$4:$IE$40,0)))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 "+ "&amp;INDEX($CL$4:$CL$40,MATCH(ROW()-3,$II$4:$II$40,0)))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 "+ "&amp;INDEX($CQ$4:$CQ$40,MATCH(ROW()-3,$IM$4:$IM$40,0)))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 "+ "&amp;INDEX($CV$4:$CV$40,MATCH(ROW()-3,$IQ$4:$IQ$40,0)))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 "+ "&amp;INDEX($DA$4:$DA$40,MATCH(ROW()-3,$IU$4:$IU$40,0)))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 "+ "&amp;INDEX($DF$4:$DF$40,MATCH(ROW()-3,$IY$4:$IY$40,0)))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 "+ "&amp;INDEX($DK$4:$DK$40,MATCH(ROW()-3,$JC$4:$JC$40,0)))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 "+ "&amp;INDEX($DP$4:$DP$40,MATCH(ROW()-3,$JG$4:$JG$40,0)))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 "+ "&amp;INDEX($DU$4:$DU$40,MATCH(ROW()-3,$JK$4:$JK$40,0)))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 "+ "&amp;INDEX($DZ$4:$DZ$40,MATCH(ROW()-3,$JO$4:$JO$40,0)))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 "+ "&amp;INDEX($EE$4:$EE$40,MATCH(ROW()-3,$JS$4:$JS$40,0)))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 "+ "&amp;INDEX($EJ$4:$EJ$40,MATCH(ROW()-3,$JW$4:$JW$40,0)))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 "+ "&amp;INDEX($EO$4:$EO$40,MATCH(ROW()-3,$KA$4:$KA$40,0)))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 "+ "&amp;INDEX($ET$4:$ET$40,MATCH(ROW()-3,$KE$4:$KE$40,0)))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 "+ "&amp;INDEX($EY$4:$EY$40,MATCH(ROW()-3,$KI$4:$KI$40,0)))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 "+ "&amp;INDEX($FD$4:$FD$40,MATCH(ROW()-3,$KM$4:$KM$40,0)))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 "+ "&amp;INDEX($FX$4:$FX$40,MATCH(ROW()-3,$KQ$4:$KQ$40,0)))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 "+ "&amp;INDEX($FI$4:$FI$40,MATCH(ROW()-3,$KU$4:$KU$40,0)))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 "+ "&amp;INDEX($FN$4:$FN$40,MATCH(ROW()-3,$KY$4:$KY$40,0)))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 "+ "&amp;INDEX($FS$4:$FS$40,MATCH(ROW()-3,$LC$4:$LC$40,0)))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IF(IFERROR('Final Calculation Sheet'!$F$16,"")="","","+ "&amp;'Final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 "+ "&amp;INDEX(H$4:H$40,MATCH(ROW()-3,I$4:I$40,0)))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IF(IFERROR('Final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 "+ "&amp;INDEX($Y$4:$Y$40,MATCH(ROW()-3,$GA$4:$GA$40,0)))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 "+ "&amp;INDEX($O$4:$O$40,MATCH(ROW()-3,$GE$4:$GE$40,0)))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 "+ "&amp;INDEX($T$4:$T$40,MATCH(ROW()-3,$GI$4:$GI$40,0)))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 "+ "&amp;INDEX($AD$4:$AD$40,MATCH(ROW()-3,$GM$4:$GM$40,0)))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 "+ "&amp;INDEX($AI$4:$AI$40,MATCH(ROW()-3,$GQ$4:$GQ$40,0)))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 "+ "&amp;INDEX($AN$4:$AN$40,MATCH(ROW()-3,$GU$4:$GU$40,0)))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 "+ "&amp;INDEX($AS$4:$AS$40,MATCH(ROW()-3,$GY$4:$GY$40,0)))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 "+ "&amp;INDEX($AX$4:$AX$40,MATCH(ROW()-3,$HC$4:$HC$40,0)))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 "+ "&amp;INDEX($BC$4:$BC$40,MATCH(ROW()-3,$HG$4:$HG$40,0)))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 "+ "&amp;INDEX($BH$4:$BH$40,MATCH(ROW()-3,$HK$4:$HK$40,0)))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 "+ "&amp;INDEX($BM$4:$BM$40,MATCH(ROW()-3,$HO$4:$HO$40,0)))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 "+ "&amp;INDEX($BR$4:$BR$40,MATCH(ROW()-3,$HS$4:$HS$40,0)))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 "+ "&amp;INDEX($BW$4:$BW$40,MATCH(ROW()-3,$HW$4:$HW$40,0)))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 "+ "&amp;INDEX($CB$4:$CB$40,MATCH(ROW()-3,$IA$4:$IA$40,0)))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 "+ "&amp;INDEX($CG$4:$CG$40,MATCH(ROW()-3,$IE$4:$IE$40,0)))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 "+ "&amp;INDEX($CL$4:$CL$40,MATCH(ROW()-3,$II$4:$II$40,0)))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 "+ "&amp;INDEX($CQ$4:$CQ$40,MATCH(ROW()-3,$IM$4:$IM$40,0)))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 "+ "&amp;INDEX($CV$4:$CV$40,MATCH(ROW()-3,$IQ$4:$IQ$40,0)))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 "+ "&amp;INDEX($DA$4:$DA$40,MATCH(ROW()-3,$IU$4:$IU$40,0)))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 "+ "&amp;INDEX($DF$4:$DF$40,MATCH(ROW()-3,$IY$4:$IY$40,0)))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 "+ "&amp;INDEX($DK$4:$DK$40,MATCH(ROW()-3,$JC$4:$JC$40,0)))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 "+ "&amp;INDEX($DP$4:$DP$40,MATCH(ROW()-3,$JG$4:$JG$40,0)))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 "+ "&amp;INDEX($DU$4:$DU$40,MATCH(ROW()-3,$JK$4:$JK$40,0)))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 "+ "&amp;INDEX($DZ$4:$DZ$40,MATCH(ROW()-3,$JO$4:$JO$40,0)))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 "+ "&amp;INDEX($EE$4:$EE$40,MATCH(ROW()-3,$JS$4:$JS$40,0)))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 "+ "&amp;INDEX($EJ$4:$EJ$40,MATCH(ROW()-3,$JW$4:$JW$40,0)))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 "+ "&amp;INDEX($EO$4:$EO$40,MATCH(ROW()-3,$KA$4:$KA$40,0)))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 "+ "&amp;INDEX($ET$4:$ET$40,MATCH(ROW()-3,$KE$4:$KE$40,0)))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 "+ "&amp;INDEX($EY$4:$EY$40,MATCH(ROW()-3,$KI$4:$KI$40,0)))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 "+ "&amp;INDEX($FD$4:$FD$40,MATCH(ROW()-3,$KM$4:$KM$40,0)))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 "+ "&amp;INDEX($FX$4:$FX$40,MATCH(ROW()-3,$KQ$4:$KQ$40,0)))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 "+ "&amp;INDEX($FI$4:$FI$40,MATCH(ROW()-3,$KU$4:$KU$40,0)))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 "+ "&amp;INDEX($FN$4:$FN$40,MATCH(ROW()-3,$KY$4:$KY$40,0)))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 "+ "&amp;INDEX($FS$4:$FS$40,MATCH(ROW()-3,$LC$4:$LC$40,0)))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IF(IFERROR('Final Calculation Sheet'!$F$17,"")="","","+ "&amp;'Final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 "+ "&amp;INDEX(H$4:H$40,MATCH(ROW()-3,I$4:I$40,0)))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IF(IFERROR('Final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 "+ "&amp;INDEX($Y$4:$Y$40,MATCH(ROW()-3,$GA$4:$GA$40,0)))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 "+ "&amp;INDEX($O$4:$O$40,MATCH(ROW()-3,$GE$4:$GE$40,0)))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 "+ "&amp;INDEX($T$4:$T$40,MATCH(ROW()-3,$GI$4:$GI$40,0)))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 "+ "&amp;INDEX($AD$4:$AD$40,MATCH(ROW()-3,$GM$4:$GM$40,0)))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 "+ "&amp;INDEX($AI$4:$AI$40,MATCH(ROW()-3,$GQ$4:$GQ$40,0)))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 "+ "&amp;INDEX($AN$4:$AN$40,MATCH(ROW()-3,$GU$4:$GU$40,0)))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 "+ "&amp;INDEX($AS$4:$AS$40,MATCH(ROW()-3,$GY$4:$GY$40,0)))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 "+ "&amp;INDEX($AX$4:$AX$40,MATCH(ROW()-3,$HC$4:$HC$40,0)))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 "+ "&amp;INDEX($BC$4:$BC$40,MATCH(ROW()-3,$HG$4:$HG$40,0)))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 "+ "&amp;INDEX($BH$4:$BH$40,MATCH(ROW()-3,$HK$4:$HK$40,0)))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 "+ "&amp;INDEX($BM$4:$BM$40,MATCH(ROW()-3,$HO$4:$HO$40,0)))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 "+ "&amp;INDEX($BR$4:$BR$40,MATCH(ROW()-3,$HS$4:$HS$40,0)))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 "+ "&amp;INDEX($BW$4:$BW$40,MATCH(ROW()-3,$HW$4:$HW$40,0)))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 "+ "&amp;INDEX($CB$4:$CB$40,MATCH(ROW()-3,$IA$4:$IA$40,0)))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 "+ "&amp;INDEX($CG$4:$CG$40,MATCH(ROW()-3,$IE$4:$IE$40,0)))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 "+ "&amp;INDEX($CL$4:$CL$40,MATCH(ROW()-3,$II$4:$II$40,0)))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 "+ "&amp;INDEX($CQ$4:$CQ$40,MATCH(ROW()-3,$IM$4:$IM$40,0)))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 "+ "&amp;INDEX($CV$4:$CV$40,MATCH(ROW()-3,$IQ$4:$IQ$40,0)))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 "+ "&amp;INDEX($DA$4:$DA$40,MATCH(ROW()-3,$IU$4:$IU$40,0)))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 "+ "&amp;INDEX($DF$4:$DF$40,MATCH(ROW()-3,$IY$4:$IY$40,0)))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 "+ "&amp;INDEX($DK$4:$DK$40,MATCH(ROW()-3,$JC$4:$JC$40,0)))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 "+ "&amp;INDEX($DP$4:$DP$40,MATCH(ROW()-3,$JG$4:$JG$40,0)))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 "+ "&amp;INDEX($DU$4:$DU$40,MATCH(ROW()-3,$JK$4:$JK$40,0)))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 "+ "&amp;INDEX($DZ$4:$DZ$40,MATCH(ROW()-3,$JO$4:$JO$40,0)))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 "+ "&amp;INDEX($EE$4:$EE$40,MATCH(ROW()-3,$JS$4:$JS$40,0)))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 "+ "&amp;INDEX($EJ$4:$EJ$40,MATCH(ROW()-3,$JW$4:$JW$40,0)))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 "+ "&amp;INDEX($EO$4:$EO$40,MATCH(ROW()-3,$KA$4:$KA$40,0)))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 "+ "&amp;INDEX($ET$4:$ET$40,MATCH(ROW()-3,$KE$4:$KE$40,0)))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 "+ "&amp;INDEX($EY$4:$EY$40,MATCH(ROW()-3,$KI$4:$KI$40,0)))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 "+ "&amp;INDEX($FD$4:$FD$40,MATCH(ROW()-3,$KM$4:$KM$40,0)))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 "+ "&amp;INDEX($FX$4:$FX$40,MATCH(ROW()-3,$KQ$4:$KQ$40,0)))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 "+ "&amp;INDEX($FI$4:$FI$40,MATCH(ROW()-3,$KU$4:$KU$40,0)))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 "+ "&amp;INDEX($FN$4:$FN$40,MATCH(ROW()-3,$KY$4:$KY$40,0)))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 "+ "&amp;INDEX($FS$4:$FS$40,MATCH(ROW()-3,$LC$4:$LC$40,0)))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IF(IFERROR('Final Calculation Sheet'!$F$18,"")="","","+ "&amp;'Final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 "+ "&amp;INDEX(H$4:H$40,MATCH(ROW()-3,I$4:I$40,0)))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IF(IFERROR('Final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 "+ "&amp;INDEX($Y$4:$Y$40,MATCH(ROW()-3,$GA$4:$GA$40,0)))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 "+ "&amp;INDEX($O$4:$O$40,MATCH(ROW()-3,$GE$4:$GE$40,0)))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 "+ "&amp;INDEX($T$4:$T$40,MATCH(ROW()-3,$GI$4:$GI$40,0)))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 "+ "&amp;INDEX($AD$4:$AD$40,MATCH(ROW()-3,$GM$4:$GM$40,0)))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 "+ "&amp;INDEX($AI$4:$AI$40,MATCH(ROW()-3,$GQ$4:$GQ$40,0)))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 "+ "&amp;INDEX($AN$4:$AN$40,MATCH(ROW()-3,$GU$4:$GU$40,0)))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 "+ "&amp;INDEX($AS$4:$AS$40,MATCH(ROW()-3,$GY$4:$GY$40,0)))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 "+ "&amp;INDEX($AX$4:$AX$40,MATCH(ROW()-3,$HC$4:$HC$40,0)))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 "+ "&amp;INDEX($BC$4:$BC$40,MATCH(ROW()-3,$HG$4:$HG$40,0)))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 "+ "&amp;INDEX($BH$4:$BH$40,MATCH(ROW()-3,$HK$4:$HK$40,0)))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 "+ "&amp;INDEX($BM$4:$BM$40,MATCH(ROW()-3,$HO$4:$HO$40,0)))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 "+ "&amp;INDEX($BR$4:$BR$40,MATCH(ROW()-3,$HS$4:$HS$40,0)))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 "+ "&amp;INDEX($BW$4:$BW$40,MATCH(ROW()-3,$HW$4:$HW$40,0)))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 "+ "&amp;INDEX($CB$4:$CB$40,MATCH(ROW()-3,$IA$4:$IA$40,0)))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 "+ "&amp;INDEX($CG$4:$CG$40,MATCH(ROW()-3,$IE$4:$IE$40,0)))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 "+ "&amp;INDEX($CL$4:$CL$40,MATCH(ROW()-3,$II$4:$II$40,0)))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 "+ "&amp;INDEX($CQ$4:$CQ$40,MATCH(ROW()-3,$IM$4:$IM$40,0)))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 "+ "&amp;INDEX($CV$4:$CV$40,MATCH(ROW()-3,$IQ$4:$IQ$40,0)))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 "+ "&amp;INDEX($DA$4:$DA$40,MATCH(ROW()-3,$IU$4:$IU$40,0)))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 "+ "&amp;INDEX($DF$4:$DF$40,MATCH(ROW()-3,$IY$4:$IY$40,0)))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 "+ "&amp;INDEX($DK$4:$DK$40,MATCH(ROW()-3,$JC$4:$JC$40,0)))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 "+ "&amp;INDEX($DP$4:$DP$40,MATCH(ROW()-3,$JG$4:$JG$40,0)))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 "+ "&amp;INDEX($DU$4:$DU$40,MATCH(ROW()-3,$JK$4:$JK$40,0)))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 "+ "&amp;INDEX($DZ$4:$DZ$40,MATCH(ROW()-3,$JO$4:$JO$40,0)))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 "+ "&amp;INDEX($EE$4:$EE$40,MATCH(ROW()-3,$JS$4:$JS$40,0)))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 "+ "&amp;INDEX($EJ$4:$EJ$40,MATCH(ROW()-3,$JW$4:$JW$40,0)))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 "+ "&amp;INDEX($EO$4:$EO$40,MATCH(ROW()-3,$KA$4:$KA$40,0)))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 "+ "&amp;INDEX($ET$4:$ET$40,MATCH(ROW()-3,$KE$4:$KE$40,0)))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 "+ "&amp;INDEX($EY$4:$EY$40,MATCH(ROW()-3,$KI$4:$KI$40,0)))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 "+ "&amp;INDEX($FD$4:$FD$40,MATCH(ROW()-3,$KM$4:$KM$40,0)))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 "+ "&amp;INDEX($FX$4:$FX$40,MATCH(ROW()-3,$KQ$4:$KQ$40,0)))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 "+ "&amp;INDEX($FI$4:$FI$40,MATCH(ROW()-3,$KU$4:$KU$40,0)))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 "+ "&amp;INDEX($FN$4:$FN$40,MATCH(ROW()-3,$KY$4:$KY$40,0)))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 "+ "&amp;INDEX($FS$4:$FS$40,MATCH(ROW()-3,$LC$4:$LC$40,0)))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IF(IFERROR('Final Calculation Sheet'!$F$19,"")="","","+ "&amp;'Final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 "+ "&amp;INDEX(H$4:H$40,MATCH(ROW()-3,I$4:I$40,0)))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IF(IFERROR('Final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 "+ "&amp;INDEX($Y$4:$Y$40,MATCH(ROW()-3,$GA$4:$GA$40,0)))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 "+ "&amp;INDEX($O$4:$O$40,MATCH(ROW()-3,$GE$4:$GE$40,0)))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 "+ "&amp;INDEX($T$4:$T$40,MATCH(ROW()-3,$GI$4:$GI$40,0)))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 "+ "&amp;INDEX($AD$4:$AD$40,MATCH(ROW()-3,$GM$4:$GM$40,0)))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 "+ "&amp;INDEX($AI$4:$AI$40,MATCH(ROW()-3,$GQ$4:$GQ$40,0)))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 "+ "&amp;INDEX($AN$4:$AN$40,MATCH(ROW()-3,$GU$4:$GU$40,0)))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 "+ "&amp;INDEX($AS$4:$AS$40,MATCH(ROW()-3,$GY$4:$GY$40,0)))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 "+ "&amp;INDEX($AX$4:$AX$40,MATCH(ROW()-3,$HC$4:$HC$40,0)))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 "+ "&amp;INDEX($BC$4:$BC$40,MATCH(ROW()-3,$HG$4:$HG$40,0)))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 "+ "&amp;INDEX($BH$4:$BH$40,MATCH(ROW()-3,$HK$4:$HK$40,0)))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 "+ "&amp;INDEX($BM$4:$BM$40,MATCH(ROW()-3,$HO$4:$HO$40,0)))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 "+ "&amp;INDEX($BR$4:$BR$40,MATCH(ROW()-3,$HS$4:$HS$40,0)))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 "+ "&amp;INDEX($BW$4:$BW$40,MATCH(ROW()-3,$HW$4:$HW$40,0)))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 "+ "&amp;INDEX($CB$4:$CB$40,MATCH(ROW()-3,$IA$4:$IA$40,0)))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 "+ "&amp;INDEX($CG$4:$CG$40,MATCH(ROW()-3,$IE$4:$IE$40,0)))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 "+ "&amp;INDEX($CL$4:$CL$40,MATCH(ROW()-3,$II$4:$II$40,0)))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 "+ "&amp;INDEX($CQ$4:$CQ$40,MATCH(ROW()-3,$IM$4:$IM$40,0)))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 "+ "&amp;INDEX($CV$4:$CV$40,MATCH(ROW()-3,$IQ$4:$IQ$40,0)))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 "+ "&amp;INDEX($DA$4:$DA$40,MATCH(ROW()-3,$IU$4:$IU$40,0)))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 "+ "&amp;INDEX($DF$4:$DF$40,MATCH(ROW()-3,$IY$4:$IY$40,0)))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 "+ "&amp;INDEX($DK$4:$DK$40,MATCH(ROW()-3,$JC$4:$JC$40,0)))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 "+ "&amp;INDEX($DP$4:$DP$40,MATCH(ROW()-3,$JG$4:$JG$40,0)))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 "+ "&amp;INDEX($DU$4:$DU$40,MATCH(ROW()-3,$JK$4:$JK$40,0)))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 "+ "&amp;INDEX($DZ$4:$DZ$40,MATCH(ROW()-3,$JO$4:$JO$40,0)))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 "+ "&amp;INDEX($EE$4:$EE$40,MATCH(ROW()-3,$JS$4:$JS$40,0)))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 "+ "&amp;INDEX($EJ$4:$EJ$40,MATCH(ROW()-3,$JW$4:$JW$40,0)))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 "+ "&amp;INDEX($EO$4:$EO$40,MATCH(ROW()-3,$KA$4:$KA$40,0)))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 "+ "&amp;INDEX($ET$4:$ET$40,MATCH(ROW()-3,$KE$4:$KE$40,0)))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 "+ "&amp;INDEX($EY$4:$EY$40,MATCH(ROW()-3,$KI$4:$KI$40,0)))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 "+ "&amp;INDEX($FD$4:$FD$40,MATCH(ROW()-3,$KM$4:$KM$40,0)))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 "+ "&amp;INDEX($FX$4:$FX$40,MATCH(ROW()-3,$KQ$4:$KQ$40,0)))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 "+ "&amp;INDEX($FI$4:$FI$40,MATCH(ROW()-3,$KU$4:$KU$40,0)))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 "+ "&amp;INDEX($FN$4:$FN$40,MATCH(ROW()-3,$KY$4:$KY$40,0)))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 "+ "&amp;INDEX($FS$4:$FS$40,MATCH(ROW()-3,$LC$4:$LC$40,0)))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IF(IFERROR('Final Calculation Sheet'!$F$20,"")="","","+ "&amp;'Final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 "+ "&amp;INDEX(H$4:H$40,MATCH(ROW()-3,I$4:I$40,0)))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IF(IFERROR('Final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 "+ "&amp;INDEX($Y$4:$Y$40,MATCH(ROW()-3,$GA$4:$GA$40,0)))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 "+ "&amp;INDEX($O$4:$O$40,MATCH(ROW()-3,$GE$4:$GE$40,0)))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 "+ "&amp;INDEX($T$4:$T$40,MATCH(ROW()-3,$GI$4:$GI$40,0)))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 "+ "&amp;INDEX($AD$4:$AD$40,MATCH(ROW()-3,$GM$4:$GM$40,0)))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 "+ "&amp;INDEX($AI$4:$AI$40,MATCH(ROW()-3,$GQ$4:$GQ$40,0)))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 "+ "&amp;INDEX($AN$4:$AN$40,MATCH(ROW()-3,$GU$4:$GU$40,0)))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 "+ "&amp;INDEX($AS$4:$AS$40,MATCH(ROW()-3,$GY$4:$GY$40,0)))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 "+ "&amp;INDEX($AX$4:$AX$40,MATCH(ROW()-3,$HC$4:$HC$40,0)))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 "+ "&amp;INDEX($BC$4:$BC$40,MATCH(ROW()-3,$HG$4:$HG$40,0)))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 "+ "&amp;INDEX($BH$4:$BH$40,MATCH(ROW()-3,$HK$4:$HK$40,0)))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 "+ "&amp;INDEX($BM$4:$BM$40,MATCH(ROW()-3,$HO$4:$HO$40,0)))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 "+ "&amp;INDEX($BR$4:$BR$40,MATCH(ROW()-3,$HS$4:$HS$40,0)))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 "+ "&amp;INDEX($BW$4:$BW$40,MATCH(ROW()-3,$HW$4:$HW$40,0)))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 "+ "&amp;INDEX($CB$4:$CB$40,MATCH(ROW()-3,$IA$4:$IA$40,0)))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 "+ "&amp;INDEX($CG$4:$CG$40,MATCH(ROW()-3,$IE$4:$IE$40,0)))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 "+ "&amp;INDEX($CL$4:$CL$40,MATCH(ROW()-3,$II$4:$II$40,0)))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 "+ "&amp;INDEX($CQ$4:$CQ$40,MATCH(ROW()-3,$IM$4:$IM$40,0)))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 "+ "&amp;INDEX($CV$4:$CV$40,MATCH(ROW()-3,$IQ$4:$IQ$40,0)))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 "+ "&amp;INDEX($DA$4:$DA$40,MATCH(ROW()-3,$IU$4:$IU$40,0)))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 "+ "&amp;INDEX($DF$4:$DF$40,MATCH(ROW()-3,$IY$4:$IY$40,0)))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 "+ "&amp;INDEX($DK$4:$DK$40,MATCH(ROW()-3,$JC$4:$JC$40,0)))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 "+ "&amp;INDEX($DP$4:$DP$40,MATCH(ROW()-3,$JG$4:$JG$40,0)))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 "+ "&amp;INDEX($DU$4:$DU$40,MATCH(ROW()-3,$JK$4:$JK$40,0)))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 "+ "&amp;INDEX($DZ$4:$DZ$40,MATCH(ROW()-3,$JO$4:$JO$40,0)))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 "+ "&amp;INDEX($EE$4:$EE$40,MATCH(ROW()-3,$JS$4:$JS$40,0)))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 "+ "&amp;INDEX($EJ$4:$EJ$40,MATCH(ROW()-3,$JW$4:$JW$40,0)))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 "+ "&amp;INDEX($EO$4:$EO$40,MATCH(ROW()-3,$KA$4:$KA$40,0)))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 "+ "&amp;INDEX($ET$4:$ET$40,MATCH(ROW()-3,$KE$4:$KE$40,0)))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 "+ "&amp;INDEX($EY$4:$EY$40,MATCH(ROW()-3,$KI$4:$KI$40,0)))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 "+ "&amp;INDEX($FD$4:$FD$40,MATCH(ROW()-3,$KM$4:$KM$40,0)))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 "+ "&amp;INDEX($FX$4:$FX$40,MATCH(ROW()-3,$KQ$4:$KQ$40,0)))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 "+ "&amp;INDEX($FI$4:$FI$40,MATCH(ROW()-3,$KU$4:$KU$40,0)))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 "+ "&amp;INDEX($FN$4:$FN$40,MATCH(ROW()-3,$KY$4:$KY$40,0)))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 "+ "&amp;INDEX($FS$4:$FS$40,MATCH(ROW()-3,$LC$4:$LC$40,0)))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IF(IFERROR('Final Calculation Sheet'!$F$21,"")="","","+ "&amp;'Final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 "+ "&amp;INDEX(H$4:H$40,MATCH(ROW()-3,I$4:I$40,0)))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IF(IFERROR('Final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 "+ "&amp;INDEX($Y$4:$Y$40,MATCH(ROW()-3,$GA$4:$GA$40,0)))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 "+ "&amp;INDEX($O$4:$O$40,MATCH(ROW()-3,$GE$4:$GE$40,0)))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 "+ "&amp;INDEX($T$4:$T$40,MATCH(ROW()-3,$GI$4:$GI$40,0)))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 "+ "&amp;INDEX($AD$4:$AD$40,MATCH(ROW()-3,$GM$4:$GM$40,0)))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 "+ "&amp;INDEX($AI$4:$AI$40,MATCH(ROW()-3,$GQ$4:$GQ$40,0)))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 "+ "&amp;INDEX($AN$4:$AN$40,MATCH(ROW()-3,$GU$4:$GU$40,0)))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 "+ "&amp;INDEX($AS$4:$AS$40,MATCH(ROW()-3,$GY$4:$GY$40,0)))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 "+ "&amp;INDEX($AX$4:$AX$40,MATCH(ROW()-3,$HC$4:$HC$40,0)))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 "+ "&amp;INDEX($BC$4:$BC$40,MATCH(ROW()-3,$HG$4:$HG$40,0)))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 "+ "&amp;INDEX($BH$4:$BH$40,MATCH(ROW()-3,$HK$4:$HK$40,0)))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 "+ "&amp;INDEX($BM$4:$BM$40,MATCH(ROW()-3,$HO$4:$HO$40,0)))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 "+ "&amp;INDEX($BR$4:$BR$40,MATCH(ROW()-3,$HS$4:$HS$40,0)))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 "+ "&amp;INDEX($BW$4:$BW$40,MATCH(ROW()-3,$HW$4:$HW$40,0)))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 "+ "&amp;INDEX($CB$4:$CB$40,MATCH(ROW()-3,$IA$4:$IA$40,0)))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 "+ "&amp;INDEX($CG$4:$CG$40,MATCH(ROW()-3,$IE$4:$IE$40,0)))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 "+ "&amp;INDEX($CL$4:$CL$40,MATCH(ROW()-3,$II$4:$II$40,0)))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 "+ "&amp;INDEX($CQ$4:$CQ$40,MATCH(ROW()-3,$IM$4:$IM$40,0)))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 "+ "&amp;INDEX($CV$4:$CV$40,MATCH(ROW()-3,$IQ$4:$IQ$40,0)))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 "+ "&amp;INDEX($DA$4:$DA$40,MATCH(ROW()-3,$IU$4:$IU$40,0)))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 "+ "&amp;INDEX($DF$4:$DF$40,MATCH(ROW()-3,$IY$4:$IY$40,0)))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 "+ "&amp;INDEX($DK$4:$DK$40,MATCH(ROW()-3,$JC$4:$JC$40,0)))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 "+ "&amp;INDEX($DP$4:$DP$40,MATCH(ROW()-3,$JG$4:$JG$40,0)))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 "+ "&amp;INDEX($DU$4:$DU$40,MATCH(ROW()-3,$JK$4:$JK$40,0)))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 "+ "&amp;INDEX($DZ$4:$DZ$40,MATCH(ROW()-3,$JO$4:$JO$40,0)))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 "+ "&amp;INDEX($EE$4:$EE$40,MATCH(ROW()-3,$JS$4:$JS$40,0)))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 "+ "&amp;INDEX($EJ$4:$EJ$40,MATCH(ROW()-3,$JW$4:$JW$40,0)))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 "+ "&amp;INDEX($EO$4:$EO$40,MATCH(ROW()-3,$KA$4:$KA$40,0)))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 "+ "&amp;INDEX($ET$4:$ET$40,MATCH(ROW()-3,$KE$4:$KE$40,0)))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 "+ "&amp;INDEX($EY$4:$EY$40,MATCH(ROW()-3,$KI$4:$KI$40,0)))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 "+ "&amp;INDEX($FD$4:$FD$40,MATCH(ROW()-3,$KM$4:$KM$40,0)))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 "+ "&amp;INDEX($FX$4:$FX$40,MATCH(ROW()-3,$KQ$4:$KQ$40,0)))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 "+ "&amp;INDEX($FI$4:$FI$40,MATCH(ROW()-3,$KU$4:$KU$40,0)))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 "+ "&amp;INDEX($FN$4:$FN$40,MATCH(ROW()-3,$KY$4:$KY$40,0)))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 "+ "&amp;INDEX($FS$4:$FS$40,MATCH(ROW()-3,$LC$4:$LC$40,0)))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IF(IFERROR('Final Calculation Sheet'!$F$22,"")="","","+ "&amp;'Final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 "+ "&amp;INDEX(H$4:H$40,MATCH(ROW()-3,I$4:I$40,0)))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IF(IFERROR('Final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 "+ "&amp;INDEX($Y$4:$Y$40,MATCH(ROW()-3,$GA$4:$GA$40,0)))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 "+ "&amp;INDEX($O$4:$O$40,MATCH(ROW()-3,$GE$4:$GE$40,0)))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 "+ "&amp;INDEX($T$4:$T$40,MATCH(ROW()-3,$GI$4:$GI$40,0)))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 "+ "&amp;INDEX($AD$4:$AD$40,MATCH(ROW()-3,$GM$4:$GM$40,0)))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 "+ "&amp;INDEX($AI$4:$AI$40,MATCH(ROW()-3,$GQ$4:$GQ$40,0)))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 "+ "&amp;INDEX($AN$4:$AN$40,MATCH(ROW()-3,$GU$4:$GU$40,0)))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 "+ "&amp;INDEX($AS$4:$AS$40,MATCH(ROW()-3,$GY$4:$GY$40,0)))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 "+ "&amp;INDEX($AX$4:$AX$40,MATCH(ROW()-3,$HC$4:$HC$40,0)))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 "+ "&amp;INDEX($BC$4:$BC$40,MATCH(ROW()-3,$HG$4:$HG$40,0)))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 "+ "&amp;INDEX($BH$4:$BH$40,MATCH(ROW()-3,$HK$4:$HK$40,0)))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 "+ "&amp;INDEX($BM$4:$BM$40,MATCH(ROW()-3,$HO$4:$HO$40,0)))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 "+ "&amp;INDEX($BR$4:$BR$40,MATCH(ROW()-3,$HS$4:$HS$40,0)))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 "+ "&amp;INDEX($BW$4:$BW$40,MATCH(ROW()-3,$HW$4:$HW$40,0)))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 "+ "&amp;INDEX($CB$4:$CB$40,MATCH(ROW()-3,$IA$4:$IA$40,0)))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 "+ "&amp;INDEX($CG$4:$CG$40,MATCH(ROW()-3,$IE$4:$IE$40,0)))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 "+ "&amp;INDEX($CL$4:$CL$40,MATCH(ROW()-3,$II$4:$II$40,0)))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 "+ "&amp;INDEX($CQ$4:$CQ$40,MATCH(ROW()-3,$IM$4:$IM$40,0)))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 "+ "&amp;INDEX($CV$4:$CV$40,MATCH(ROW()-3,$IQ$4:$IQ$40,0)))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 "+ "&amp;INDEX($DA$4:$DA$40,MATCH(ROW()-3,$IU$4:$IU$40,0)))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 "+ "&amp;INDEX($DF$4:$DF$40,MATCH(ROW()-3,$IY$4:$IY$40,0)))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 "+ "&amp;INDEX($DK$4:$DK$40,MATCH(ROW()-3,$JC$4:$JC$40,0)))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 "+ "&amp;INDEX($DP$4:$DP$40,MATCH(ROW()-3,$JG$4:$JG$40,0)))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 "+ "&amp;INDEX($DU$4:$DU$40,MATCH(ROW()-3,$JK$4:$JK$40,0)))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 "+ "&amp;INDEX($DZ$4:$DZ$40,MATCH(ROW()-3,$JO$4:$JO$40,0)))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 "+ "&amp;INDEX($EE$4:$EE$40,MATCH(ROW()-3,$JS$4:$JS$40,0)))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 "+ "&amp;INDEX($EJ$4:$EJ$40,MATCH(ROW()-3,$JW$4:$JW$40,0)))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 "+ "&amp;INDEX($EO$4:$EO$40,MATCH(ROW()-3,$KA$4:$KA$40,0)))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 "+ "&amp;INDEX($ET$4:$ET$40,MATCH(ROW()-3,$KE$4:$KE$40,0)))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 "+ "&amp;INDEX($EY$4:$EY$40,MATCH(ROW()-3,$KI$4:$KI$40,0)))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 "+ "&amp;INDEX($FD$4:$FD$40,MATCH(ROW()-3,$KM$4:$KM$40,0)))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 "+ "&amp;INDEX($FX$4:$FX$40,MATCH(ROW()-3,$KQ$4:$KQ$40,0)))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 "+ "&amp;INDEX($FI$4:$FI$40,MATCH(ROW()-3,$KU$4:$KU$40,0)))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 "+ "&amp;INDEX($FN$4:$FN$40,MATCH(ROW()-3,$KY$4:$KY$40,0)))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 "+ "&amp;INDEX($FS$4:$FS$40,MATCH(ROW()-3,$LC$4:$LC$40,0)))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IF(IFERROR('Final Calculation Sheet'!$F$23,"")="","","+ "&amp;'Final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 "+ "&amp;INDEX(H$4:H$40,MATCH(ROW()-3,I$4:I$40,0)))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IF(IFERROR('Final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 "+ "&amp;INDEX($Y$4:$Y$40,MATCH(ROW()-3,$GA$4:$GA$40,0)))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 "+ "&amp;INDEX($O$4:$O$40,MATCH(ROW()-3,$GE$4:$GE$40,0)))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 "+ "&amp;INDEX($T$4:$T$40,MATCH(ROW()-3,$GI$4:$GI$40,0)))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 "+ "&amp;INDEX($AD$4:$AD$40,MATCH(ROW()-3,$GM$4:$GM$40,0)))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 "+ "&amp;INDEX($AI$4:$AI$40,MATCH(ROW()-3,$GQ$4:$GQ$40,0)))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 "+ "&amp;INDEX($AN$4:$AN$40,MATCH(ROW()-3,$GU$4:$GU$40,0)))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 "+ "&amp;INDEX($AS$4:$AS$40,MATCH(ROW()-3,$GY$4:$GY$40,0)))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 "+ "&amp;INDEX($AX$4:$AX$40,MATCH(ROW()-3,$HC$4:$HC$40,0)))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 "+ "&amp;INDEX($BC$4:$BC$40,MATCH(ROW()-3,$HG$4:$HG$40,0)))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 "+ "&amp;INDEX($BH$4:$BH$40,MATCH(ROW()-3,$HK$4:$HK$40,0)))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 "+ "&amp;INDEX($BM$4:$BM$40,MATCH(ROW()-3,$HO$4:$HO$40,0)))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 "+ "&amp;INDEX($BR$4:$BR$40,MATCH(ROW()-3,$HS$4:$HS$40,0)))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 "+ "&amp;INDEX($BW$4:$BW$40,MATCH(ROW()-3,$HW$4:$HW$40,0)))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 "+ "&amp;INDEX($CB$4:$CB$40,MATCH(ROW()-3,$IA$4:$IA$40,0)))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 "+ "&amp;INDEX($CG$4:$CG$40,MATCH(ROW()-3,$IE$4:$IE$40,0)))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 "+ "&amp;INDEX($CL$4:$CL$40,MATCH(ROW()-3,$II$4:$II$40,0)))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 "+ "&amp;INDEX($CQ$4:$CQ$40,MATCH(ROW()-3,$IM$4:$IM$40,0)))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 "+ "&amp;INDEX($CV$4:$CV$40,MATCH(ROW()-3,$IQ$4:$IQ$40,0)))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 "+ "&amp;INDEX($DA$4:$DA$40,MATCH(ROW()-3,$IU$4:$IU$40,0)))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 "+ "&amp;INDEX($DF$4:$DF$40,MATCH(ROW()-3,$IY$4:$IY$40,0)))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 "+ "&amp;INDEX($DK$4:$DK$40,MATCH(ROW()-3,$JC$4:$JC$40,0)))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 "+ "&amp;INDEX($DP$4:$DP$40,MATCH(ROW()-3,$JG$4:$JG$40,0)))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 "+ "&amp;INDEX($DU$4:$DU$40,MATCH(ROW()-3,$JK$4:$JK$40,0)))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 "+ "&amp;INDEX($DZ$4:$DZ$40,MATCH(ROW()-3,$JO$4:$JO$40,0)))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 "+ "&amp;INDEX($EE$4:$EE$40,MATCH(ROW()-3,$JS$4:$JS$40,0)))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 "+ "&amp;INDEX($EJ$4:$EJ$40,MATCH(ROW()-3,$JW$4:$JW$40,0)))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 "+ "&amp;INDEX($EO$4:$EO$40,MATCH(ROW()-3,$KA$4:$KA$40,0)))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 "+ "&amp;INDEX($ET$4:$ET$40,MATCH(ROW()-3,$KE$4:$KE$40,0)))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 "+ "&amp;INDEX($EY$4:$EY$40,MATCH(ROW()-3,$KI$4:$KI$40,0)))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 "+ "&amp;INDEX($FD$4:$FD$40,MATCH(ROW()-3,$KM$4:$KM$40,0)))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 "+ "&amp;INDEX($FX$4:$FX$40,MATCH(ROW()-3,$KQ$4:$KQ$40,0)))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 "+ "&amp;INDEX($FI$4:$FI$40,MATCH(ROW()-3,$KU$4:$KU$40,0)))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 "+ "&amp;INDEX($FN$4:$FN$40,MATCH(ROW()-3,$KY$4:$KY$40,0)))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 "+ "&amp;INDEX($FS$4:$FS$40,MATCH(ROW()-3,$LC$4:$LC$40,0)))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IF(IFERROR('Final Calculation Sheet'!$F$24,"")="","","+ "&amp;'Final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 "+ "&amp;INDEX(H$4:H$40,MATCH(ROW()-3,I$4:I$40,0)))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IF(IFERROR('Final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 "+ "&amp;INDEX($Y$4:$Y$40,MATCH(ROW()-3,$GA$4:$GA$40,0)))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 "+ "&amp;INDEX($O$4:$O$40,MATCH(ROW()-3,$GE$4:$GE$40,0)))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 "+ "&amp;INDEX($T$4:$T$40,MATCH(ROW()-3,$GI$4:$GI$40,0)))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 "+ "&amp;INDEX($AD$4:$AD$40,MATCH(ROW()-3,$GM$4:$GM$40,0)))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 "+ "&amp;INDEX($AI$4:$AI$40,MATCH(ROW()-3,$GQ$4:$GQ$40,0)))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 "+ "&amp;INDEX($AN$4:$AN$40,MATCH(ROW()-3,$GU$4:$GU$40,0)))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 "+ "&amp;INDEX($AS$4:$AS$40,MATCH(ROW()-3,$GY$4:$GY$40,0)))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 "+ "&amp;INDEX($AX$4:$AX$40,MATCH(ROW()-3,$HC$4:$HC$40,0)))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 "+ "&amp;INDEX($BC$4:$BC$40,MATCH(ROW()-3,$HG$4:$HG$40,0)))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 "+ "&amp;INDEX($BH$4:$BH$40,MATCH(ROW()-3,$HK$4:$HK$40,0)))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 "+ "&amp;INDEX($BM$4:$BM$40,MATCH(ROW()-3,$HO$4:$HO$40,0)))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 "+ "&amp;INDEX($BR$4:$BR$40,MATCH(ROW()-3,$HS$4:$HS$40,0)))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 "+ "&amp;INDEX($BW$4:$BW$40,MATCH(ROW()-3,$HW$4:$HW$40,0)))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 "+ "&amp;INDEX($CB$4:$CB$40,MATCH(ROW()-3,$IA$4:$IA$40,0)))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 "+ "&amp;INDEX($CG$4:$CG$40,MATCH(ROW()-3,$IE$4:$IE$40,0)))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 "+ "&amp;INDEX($CL$4:$CL$40,MATCH(ROW()-3,$II$4:$II$40,0)))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 "+ "&amp;INDEX($CQ$4:$CQ$40,MATCH(ROW()-3,$IM$4:$IM$40,0)))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 "+ "&amp;INDEX($CV$4:$CV$40,MATCH(ROW()-3,$IQ$4:$IQ$40,0)))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 "+ "&amp;INDEX($DA$4:$DA$40,MATCH(ROW()-3,$IU$4:$IU$40,0)))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 "+ "&amp;INDEX($DF$4:$DF$40,MATCH(ROW()-3,$IY$4:$IY$40,0)))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 "+ "&amp;INDEX($DK$4:$DK$40,MATCH(ROW()-3,$JC$4:$JC$40,0)))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 "+ "&amp;INDEX($DP$4:$DP$40,MATCH(ROW()-3,$JG$4:$JG$40,0)))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 "+ "&amp;INDEX($DU$4:$DU$40,MATCH(ROW()-3,$JK$4:$JK$40,0)))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 "+ "&amp;INDEX($DZ$4:$DZ$40,MATCH(ROW()-3,$JO$4:$JO$40,0)))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 "+ "&amp;INDEX($EE$4:$EE$40,MATCH(ROW()-3,$JS$4:$JS$40,0)))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 "+ "&amp;INDEX($EJ$4:$EJ$40,MATCH(ROW()-3,$JW$4:$JW$40,0)))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 "+ "&amp;INDEX($EO$4:$EO$40,MATCH(ROW()-3,$KA$4:$KA$40,0)))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 "+ "&amp;INDEX($ET$4:$ET$40,MATCH(ROW()-3,$KE$4:$KE$40,0)))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 "+ "&amp;INDEX($EY$4:$EY$40,MATCH(ROW()-3,$KI$4:$KI$40,0)))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 "+ "&amp;INDEX($FD$4:$FD$40,MATCH(ROW()-3,$KM$4:$KM$40,0)))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 "+ "&amp;INDEX($FX$4:$FX$40,MATCH(ROW()-3,$KQ$4:$KQ$40,0)))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 "+ "&amp;INDEX($FI$4:$FI$40,MATCH(ROW()-3,$KU$4:$KU$40,0)))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 "+ "&amp;INDEX($FN$4:$FN$40,MATCH(ROW()-3,$KY$4:$KY$40,0)))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 "+ "&amp;INDEX($FS$4:$FS$40,MATCH(ROW()-3,$LC$4:$LC$40,0)))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IF(IFERROR('Final Calculation Sheet'!$F$25,"")="","","+ "&amp;'Final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 "+ "&amp;INDEX(H$4:H$40,MATCH(ROW()-3,I$4:I$40,0)))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IF(IFERROR('Final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 "+ "&amp;INDEX($Y$4:$Y$40,MATCH(ROW()-3,$GA$4:$GA$40,0)))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 "+ "&amp;INDEX($O$4:$O$40,MATCH(ROW()-3,$GE$4:$GE$40,0)))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 "+ "&amp;INDEX($T$4:$T$40,MATCH(ROW()-3,$GI$4:$GI$40,0)))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 "+ "&amp;INDEX($AD$4:$AD$40,MATCH(ROW()-3,$GM$4:$GM$40,0)))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 "+ "&amp;INDEX($AI$4:$AI$40,MATCH(ROW()-3,$GQ$4:$GQ$40,0)))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 "+ "&amp;INDEX($AN$4:$AN$40,MATCH(ROW()-3,$GU$4:$GU$40,0)))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 "+ "&amp;INDEX($AS$4:$AS$40,MATCH(ROW()-3,$GY$4:$GY$40,0)))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 "+ "&amp;INDEX($AX$4:$AX$40,MATCH(ROW()-3,$HC$4:$HC$40,0)))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 "+ "&amp;INDEX($BC$4:$BC$40,MATCH(ROW()-3,$HG$4:$HG$40,0)))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 "+ "&amp;INDEX($BH$4:$BH$40,MATCH(ROW()-3,$HK$4:$HK$40,0)))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 "+ "&amp;INDEX($BM$4:$BM$40,MATCH(ROW()-3,$HO$4:$HO$40,0)))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 "+ "&amp;INDEX($BR$4:$BR$40,MATCH(ROW()-3,$HS$4:$HS$40,0)))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 "+ "&amp;INDEX($BW$4:$BW$40,MATCH(ROW()-3,$HW$4:$HW$40,0)))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 "+ "&amp;INDEX($CB$4:$CB$40,MATCH(ROW()-3,$IA$4:$IA$40,0)))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 "+ "&amp;INDEX($CG$4:$CG$40,MATCH(ROW()-3,$IE$4:$IE$40,0)))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 "+ "&amp;INDEX($CL$4:$CL$40,MATCH(ROW()-3,$II$4:$II$40,0)))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 "+ "&amp;INDEX($CQ$4:$CQ$40,MATCH(ROW()-3,$IM$4:$IM$40,0)))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 "+ "&amp;INDEX($CV$4:$CV$40,MATCH(ROW()-3,$IQ$4:$IQ$40,0)))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 "+ "&amp;INDEX($DA$4:$DA$40,MATCH(ROW()-3,$IU$4:$IU$40,0)))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 "+ "&amp;INDEX($DF$4:$DF$40,MATCH(ROW()-3,$IY$4:$IY$40,0)))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 "+ "&amp;INDEX($DK$4:$DK$40,MATCH(ROW()-3,$JC$4:$JC$40,0)))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 "+ "&amp;INDEX($DP$4:$DP$40,MATCH(ROW()-3,$JG$4:$JG$40,0)))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 "+ "&amp;INDEX($DU$4:$DU$40,MATCH(ROW()-3,$JK$4:$JK$40,0)))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 "+ "&amp;INDEX($DZ$4:$DZ$40,MATCH(ROW()-3,$JO$4:$JO$40,0)))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 "+ "&amp;INDEX($EE$4:$EE$40,MATCH(ROW()-3,$JS$4:$JS$40,0)))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 "+ "&amp;INDEX($EJ$4:$EJ$40,MATCH(ROW()-3,$JW$4:$JW$40,0)))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 "+ "&amp;INDEX($EO$4:$EO$40,MATCH(ROW()-3,$KA$4:$KA$40,0)))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 "+ "&amp;INDEX($ET$4:$ET$40,MATCH(ROW()-3,$KE$4:$KE$40,0)))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 "+ "&amp;INDEX($EY$4:$EY$40,MATCH(ROW()-3,$KI$4:$KI$40,0)))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 "+ "&amp;INDEX($FD$4:$FD$40,MATCH(ROW()-3,$KM$4:$KM$40,0)))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 "+ "&amp;INDEX($FX$4:$FX$40,MATCH(ROW()-3,$KQ$4:$KQ$40,0)))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 "+ "&amp;INDEX($FI$4:$FI$40,MATCH(ROW()-3,$KU$4:$KU$40,0)))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 "+ "&amp;INDEX($FN$4:$FN$40,MATCH(ROW()-3,$KY$4:$KY$40,0)))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 "+ "&amp;INDEX($FS$4:$FS$40,MATCH(ROW()-3,$LC$4:$LC$40,0)))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IF(IFERROR('Final Calculation Sheet'!$F$26,"")="","","+ "&amp;'Final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 "+ "&amp;INDEX(H$4:H$40,MATCH(ROW()-3,I$4:I$40,0)))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IF(IFERROR('Final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 "+ "&amp;INDEX($Y$4:$Y$40,MATCH(ROW()-3,$GA$4:$GA$40,0)))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 "+ "&amp;INDEX($O$4:$O$40,MATCH(ROW()-3,$GE$4:$GE$40,0)))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 "+ "&amp;INDEX($T$4:$T$40,MATCH(ROW()-3,$GI$4:$GI$40,0)))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 "+ "&amp;INDEX($AD$4:$AD$40,MATCH(ROW()-3,$GM$4:$GM$40,0)))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 "+ "&amp;INDEX($AI$4:$AI$40,MATCH(ROW()-3,$GQ$4:$GQ$40,0)))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 "+ "&amp;INDEX($AN$4:$AN$40,MATCH(ROW()-3,$GU$4:$GU$40,0)))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 "+ "&amp;INDEX($AS$4:$AS$40,MATCH(ROW()-3,$GY$4:$GY$40,0)))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 "+ "&amp;INDEX($AX$4:$AX$40,MATCH(ROW()-3,$HC$4:$HC$40,0)))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 "+ "&amp;INDEX($BC$4:$BC$40,MATCH(ROW()-3,$HG$4:$HG$40,0)))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 "+ "&amp;INDEX($BH$4:$BH$40,MATCH(ROW()-3,$HK$4:$HK$40,0)))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 "+ "&amp;INDEX($BM$4:$BM$40,MATCH(ROW()-3,$HO$4:$HO$40,0)))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 "+ "&amp;INDEX($BR$4:$BR$40,MATCH(ROW()-3,$HS$4:$HS$40,0)))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 "+ "&amp;INDEX($BW$4:$BW$40,MATCH(ROW()-3,$HW$4:$HW$40,0)))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 "+ "&amp;INDEX($CB$4:$CB$40,MATCH(ROW()-3,$IA$4:$IA$40,0)))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 "+ "&amp;INDEX($CG$4:$CG$40,MATCH(ROW()-3,$IE$4:$IE$40,0)))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 "+ "&amp;INDEX($CL$4:$CL$40,MATCH(ROW()-3,$II$4:$II$40,0)))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 "+ "&amp;INDEX($CQ$4:$CQ$40,MATCH(ROW()-3,$IM$4:$IM$40,0)))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 "+ "&amp;INDEX($CV$4:$CV$40,MATCH(ROW()-3,$IQ$4:$IQ$40,0)))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 "+ "&amp;INDEX($DA$4:$DA$40,MATCH(ROW()-3,$IU$4:$IU$40,0)))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 "+ "&amp;INDEX($DF$4:$DF$40,MATCH(ROW()-3,$IY$4:$IY$40,0)))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 "+ "&amp;INDEX($DK$4:$DK$40,MATCH(ROW()-3,$JC$4:$JC$40,0)))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 "+ "&amp;INDEX($DP$4:$DP$40,MATCH(ROW()-3,$JG$4:$JG$40,0)))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 "+ "&amp;INDEX($DU$4:$DU$40,MATCH(ROW()-3,$JK$4:$JK$40,0)))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 "+ "&amp;INDEX($DZ$4:$DZ$40,MATCH(ROW()-3,$JO$4:$JO$40,0)))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 "+ "&amp;INDEX($EE$4:$EE$40,MATCH(ROW()-3,$JS$4:$JS$40,0)))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 "+ "&amp;INDEX($EJ$4:$EJ$40,MATCH(ROW()-3,$JW$4:$JW$40,0)))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 "+ "&amp;INDEX($EO$4:$EO$40,MATCH(ROW()-3,$KA$4:$KA$40,0)))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 "+ "&amp;INDEX($ET$4:$ET$40,MATCH(ROW()-3,$KE$4:$KE$40,0)))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 "+ "&amp;INDEX($EY$4:$EY$40,MATCH(ROW()-3,$KI$4:$KI$40,0)))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 "+ "&amp;INDEX($FD$4:$FD$40,MATCH(ROW()-3,$KM$4:$KM$40,0)))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 "+ "&amp;INDEX($FX$4:$FX$40,MATCH(ROW()-3,$KQ$4:$KQ$40,0)))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 "+ "&amp;INDEX($FI$4:$FI$40,MATCH(ROW()-3,$KU$4:$KU$40,0)))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 "+ "&amp;INDEX($FN$4:$FN$40,MATCH(ROW()-3,$KY$4:$KY$40,0)))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 "+ "&amp;INDEX($FS$4:$FS$40,MATCH(ROW()-3,$LC$4:$LC$40,0)))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IF(IFERROR('Final Calculation Sheet'!$F$27,"")="","","+ "&amp;'Final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 "+ "&amp;INDEX(H$4:H$40,MATCH(ROW()-3,I$4:I$40,0)))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IF(IFERROR('Final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 "+ "&amp;INDEX($Y$4:$Y$40,MATCH(ROW()-3,$GA$4:$GA$40,0)))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 "+ "&amp;INDEX($O$4:$O$40,MATCH(ROW()-3,$GE$4:$GE$40,0)))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 "+ "&amp;INDEX($T$4:$T$40,MATCH(ROW()-3,$GI$4:$GI$40,0)))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 "+ "&amp;INDEX($AD$4:$AD$40,MATCH(ROW()-3,$GM$4:$GM$40,0)))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 "+ "&amp;INDEX($AI$4:$AI$40,MATCH(ROW()-3,$GQ$4:$GQ$40,0)))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 "+ "&amp;INDEX($AN$4:$AN$40,MATCH(ROW()-3,$GU$4:$GU$40,0)))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 "+ "&amp;INDEX($AS$4:$AS$40,MATCH(ROW()-3,$GY$4:$GY$40,0)))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 "+ "&amp;INDEX($AX$4:$AX$40,MATCH(ROW()-3,$HC$4:$HC$40,0)))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 "+ "&amp;INDEX($BC$4:$BC$40,MATCH(ROW()-3,$HG$4:$HG$40,0)))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 "+ "&amp;INDEX($BH$4:$BH$40,MATCH(ROW()-3,$HK$4:$HK$40,0)))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 "+ "&amp;INDEX($BM$4:$BM$40,MATCH(ROW()-3,$HO$4:$HO$40,0)))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 "+ "&amp;INDEX($BR$4:$BR$40,MATCH(ROW()-3,$HS$4:$HS$40,0)))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 "+ "&amp;INDEX($BW$4:$BW$40,MATCH(ROW()-3,$HW$4:$HW$40,0)))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 "+ "&amp;INDEX($CB$4:$CB$40,MATCH(ROW()-3,$IA$4:$IA$40,0)))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 "+ "&amp;INDEX($CG$4:$CG$40,MATCH(ROW()-3,$IE$4:$IE$40,0)))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 "+ "&amp;INDEX($CL$4:$CL$40,MATCH(ROW()-3,$II$4:$II$40,0)))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 "+ "&amp;INDEX($CQ$4:$CQ$40,MATCH(ROW()-3,$IM$4:$IM$40,0)))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 "+ "&amp;INDEX($CV$4:$CV$40,MATCH(ROW()-3,$IQ$4:$IQ$40,0)))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 "+ "&amp;INDEX($DA$4:$DA$40,MATCH(ROW()-3,$IU$4:$IU$40,0)))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 "+ "&amp;INDEX($DF$4:$DF$40,MATCH(ROW()-3,$IY$4:$IY$40,0)))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 "+ "&amp;INDEX($DK$4:$DK$40,MATCH(ROW()-3,$JC$4:$JC$40,0)))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 "+ "&amp;INDEX($DP$4:$DP$40,MATCH(ROW()-3,$JG$4:$JG$40,0)))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 "+ "&amp;INDEX($DU$4:$DU$40,MATCH(ROW()-3,$JK$4:$JK$40,0)))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 "+ "&amp;INDEX($DZ$4:$DZ$40,MATCH(ROW()-3,$JO$4:$JO$40,0)))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 "+ "&amp;INDEX($EE$4:$EE$40,MATCH(ROW()-3,$JS$4:$JS$40,0)))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 "+ "&amp;INDEX($EJ$4:$EJ$40,MATCH(ROW()-3,$JW$4:$JW$40,0)))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 "+ "&amp;INDEX($EO$4:$EO$40,MATCH(ROW()-3,$KA$4:$KA$40,0)))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 "+ "&amp;INDEX($ET$4:$ET$40,MATCH(ROW()-3,$KE$4:$KE$40,0)))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 "+ "&amp;INDEX($EY$4:$EY$40,MATCH(ROW()-3,$KI$4:$KI$40,0)))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 "+ "&amp;INDEX($FD$4:$FD$40,MATCH(ROW()-3,$KM$4:$KM$40,0)))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 "+ "&amp;INDEX($FX$4:$FX$40,MATCH(ROW()-3,$KQ$4:$KQ$40,0)))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 "+ "&amp;INDEX($FI$4:$FI$40,MATCH(ROW()-3,$KU$4:$KU$40,0)))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 "+ "&amp;INDEX($FN$4:$FN$40,MATCH(ROW()-3,$KY$4:$KY$40,0)))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 "+ "&amp;INDEX($FS$4:$FS$40,MATCH(ROW()-3,$LC$4:$LC$40,0)))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IF(IFERROR('Final Calculation Sheet'!$F$28,"")="","","+ "&amp;'Final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 "+ "&amp;INDEX(H$4:H$40,MATCH(ROW()-3,I$4:I$40,0)))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IF(IFERROR('Final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 "+ "&amp;INDEX($Y$4:$Y$40,MATCH(ROW()-3,$GA$4:$GA$40,0)))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 "+ "&amp;INDEX($O$4:$O$40,MATCH(ROW()-3,$GE$4:$GE$40,0)))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 "+ "&amp;INDEX($T$4:$T$40,MATCH(ROW()-3,$GI$4:$GI$40,0)))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 "+ "&amp;INDEX($AD$4:$AD$40,MATCH(ROW()-3,$GM$4:$GM$40,0)))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 "+ "&amp;INDEX($AI$4:$AI$40,MATCH(ROW()-3,$GQ$4:$GQ$40,0)))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 "+ "&amp;INDEX($AN$4:$AN$40,MATCH(ROW()-3,$GU$4:$GU$40,0)))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 "+ "&amp;INDEX($AS$4:$AS$40,MATCH(ROW()-3,$GY$4:$GY$40,0)))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 "+ "&amp;INDEX($AX$4:$AX$40,MATCH(ROW()-3,$HC$4:$HC$40,0)))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 "+ "&amp;INDEX($BC$4:$BC$40,MATCH(ROW()-3,$HG$4:$HG$40,0)))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 "+ "&amp;INDEX($BH$4:$BH$40,MATCH(ROW()-3,$HK$4:$HK$40,0)))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 "+ "&amp;INDEX($BM$4:$BM$40,MATCH(ROW()-3,$HO$4:$HO$40,0)))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 "+ "&amp;INDEX($BR$4:$BR$40,MATCH(ROW()-3,$HS$4:$HS$40,0)))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 "+ "&amp;INDEX($BW$4:$BW$40,MATCH(ROW()-3,$HW$4:$HW$40,0)))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 "+ "&amp;INDEX($CB$4:$CB$40,MATCH(ROW()-3,$IA$4:$IA$40,0)))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 "+ "&amp;INDEX($CG$4:$CG$40,MATCH(ROW()-3,$IE$4:$IE$40,0)))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 "+ "&amp;INDEX($CL$4:$CL$40,MATCH(ROW()-3,$II$4:$II$40,0)))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 "+ "&amp;INDEX($CQ$4:$CQ$40,MATCH(ROW()-3,$IM$4:$IM$40,0)))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 "+ "&amp;INDEX($CV$4:$CV$40,MATCH(ROW()-3,$IQ$4:$IQ$40,0)))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 "+ "&amp;INDEX($DA$4:$DA$40,MATCH(ROW()-3,$IU$4:$IU$40,0)))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 "+ "&amp;INDEX($DF$4:$DF$40,MATCH(ROW()-3,$IY$4:$IY$40,0)))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 "+ "&amp;INDEX($DK$4:$DK$40,MATCH(ROW()-3,$JC$4:$JC$40,0)))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 "+ "&amp;INDEX($DP$4:$DP$40,MATCH(ROW()-3,$JG$4:$JG$40,0)))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 "+ "&amp;INDEX($DU$4:$DU$40,MATCH(ROW()-3,$JK$4:$JK$40,0)))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 "+ "&amp;INDEX($DZ$4:$DZ$40,MATCH(ROW()-3,$JO$4:$JO$40,0)))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 "+ "&amp;INDEX($EE$4:$EE$40,MATCH(ROW()-3,$JS$4:$JS$40,0)))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 "+ "&amp;INDEX($EJ$4:$EJ$40,MATCH(ROW()-3,$JW$4:$JW$40,0)))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 "+ "&amp;INDEX($EO$4:$EO$40,MATCH(ROW()-3,$KA$4:$KA$40,0)))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 "+ "&amp;INDEX($ET$4:$ET$40,MATCH(ROW()-3,$KE$4:$KE$40,0)))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 "+ "&amp;INDEX($EY$4:$EY$40,MATCH(ROW()-3,$KI$4:$KI$40,0)))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 "+ "&amp;INDEX($FD$4:$FD$40,MATCH(ROW()-3,$KM$4:$KM$40,0)))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 "+ "&amp;INDEX($FX$4:$FX$40,MATCH(ROW()-3,$KQ$4:$KQ$40,0)))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 "+ "&amp;INDEX($FI$4:$FI$40,MATCH(ROW()-3,$KU$4:$KU$40,0)))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 "+ "&amp;INDEX($FN$4:$FN$40,MATCH(ROW()-3,$KY$4:$KY$40,0)))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 "+ "&amp;INDEX($FS$4:$FS$40,MATCH(ROW()-3,$LC$4:$LC$40,0)))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IF(IFERROR('Final Calculation Sheet'!$F$29,"")="","","+ "&amp;'Final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 "+ "&amp;INDEX(H$4:H$40,MATCH(ROW()-3,I$4:I$40,0)))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IF(IFERROR('Final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 "+ "&amp;INDEX($Y$4:$Y$40,MATCH(ROW()-3,$GA$4:$GA$40,0)))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 "+ "&amp;INDEX($O$4:$O$40,MATCH(ROW()-3,$GE$4:$GE$40,0)))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 "+ "&amp;INDEX($T$4:$T$40,MATCH(ROW()-3,$GI$4:$GI$40,0)))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 "+ "&amp;INDEX($AD$4:$AD$40,MATCH(ROW()-3,$GM$4:$GM$40,0)))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 "+ "&amp;INDEX($AI$4:$AI$40,MATCH(ROW()-3,$GQ$4:$GQ$40,0)))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 "+ "&amp;INDEX($AN$4:$AN$40,MATCH(ROW()-3,$GU$4:$GU$40,0)))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 "+ "&amp;INDEX($AS$4:$AS$40,MATCH(ROW()-3,$GY$4:$GY$40,0)))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 "+ "&amp;INDEX($AX$4:$AX$40,MATCH(ROW()-3,$HC$4:$HC$40,0)))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 "+ "&amp;INDEX($BC$4:$BC$40,MATCH(ROW()-3,$HG$4:$HG$40,0)))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 "+ "&amp;INDEX($BH$4:$BH$40,MATCH(ROW()-3,$HK$4:$HK$40,0)))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 "+ "&amp;INDEX($BM$4:$BM$40,MATCH(ROW()-3,$HO$4:$HO$40,0)))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 "+ "&amp;INDEX($BR$4:$BR$40,MATCH(ROW()-3,$HS$4:$HS$40,0)))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 "+ "&amp;INDEX($BW$4:$BW$40,MATCH(ROW()-3,$HW$4:$HW$40,0)))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 "+ "&amp;INDEX($CB$4:$CB$40,MATCH(ROW()-3,$IA$4:$IA$40,0)))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 "+ "&amp;INDEX($CG$4:$CG$40,MATCH(ROW()-3,$IE$4:$IE$40,0)))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 "+ "&amp;INDEX($CL$4:$CL$40,MATCH(ROW()-3,$II$4:$II$40,0)))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 "+ "&amp;INDEX($CQ$4:$CQ$40,MATCH(ROW()-3,$IM$4:$IM$40,0)))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 "+ "&amp;INDEX($CV$4:$CV$40,MATCH(ROW()-3,$IQ$4:$IQ$40,0)))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 "+ "&amp;INDEX($DA$4:$DA$40,MATCH(ROW()-3,$IU$4:$IU$40,0)))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 "+ "&amp;INDEX($DF$4:$DF$40,MATCH(ROW()-3,$IY$4:$IY$40,0)))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 "+ "&amp;INDEX($DK$4:$DK$40,MATCH(ROW()-3,$JC$4:$JC$40,0)))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 "+ "&amp;INDEX($DP$4:$DP$40,MATCH(ROW()-3,$JG$4:$JG$40,0)))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 "+ "&amp;INDEX($DU$4:$DU$40,MATCH(ROW()-3,$JK$4:$JK$40,0)))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 "+ "&amp;INDEX($DZ$4:$DZ$40,MATCH(ROW()-3,$JO$4:$JO$40,0)))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 "+ "&amp;INDEX($EE$4:$EE$40,MATCH(ROW()-3,$JS$4:$JS$40,0)))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 "+ "&amp;INDEX($EJ$4:$EJ$40,MATCH(ROW()-3,$JW$4:$JW$40,0)))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 "+ "&amp;INDEX($EO$4:$EO$40,MATCH(ROW()-3,$KA$4:$KA$40,0)))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 "+ "&amp;INDEX($ET$4:$ET$40,MATCH(ROW()-3,$KE$4:$KE$40,0)))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 "+ "&amp;INDEX($EY$4:$EY$40,MATCH(ROW()-3,$KI$4:$KI$40,0)))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 "+ "&amp;INDEX($FD$4:$FD$40,MATCH(ROW()-3,$KM$4:$KM$40,0)))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 "+ "&amp;INDEX($FX$4:$FX$40,MATCH(ROW()-3,$KQ$4:$KQ$40,0)))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 "+ "&amp;INDEX($FI$4:$FI$40,MATCH(ROW()-3,$KU$4:$KU$40,0)))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 "+ "&amp;INDEX($FN$4:$FN$40,MATCH(ROW()-3,$KY$4:$KY$40,0)))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 "+ "&amp;INDEX($FS$4:$FS$40,MATCH(ROW()-3,$LC$4:$LC$40,0)))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IF(IFERROR('Final Calculation Sheet'!$F$30,"")="","","+ "&amp;'Final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 "+ "&amp;INDEX(H$4:H$40,MATCH(ROW()-3,I$4:I$40,0)))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IF(IFERROR('Final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 "+ "&amp;INDEX($Y$4:$Y$40,MATCH(ROW()-3,$GA$4:$GA$40,0)))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 "+ "&amp;INDEX($O$4:$O$40,MATCH(ROW()-3,$GE$4:$GE$40,0)))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 "+ "&amp;INDEX($T$4:$T$40,MATCH(ROW()-3,$GI$4:$GI$40,0)))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 "+ "&amp;INDEX($AD$4:$AD$40,MATCH(ROW()-3,$GM$4:$GM$40,0)))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 "+ "&amp;INDEX($AI$4:$AI$40,MATCH(ROW()-3,$GQ$4:$GQ$40,0)))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 "+ "&amp;INDEX($AN$4:$AN$40,MATCH(ROW()-3,$GU$4:$GU$40,0)))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 "+ "&amp;INDEX($AS$4:$AS$40,MATCH(ROW()-3,$GY$4:$GY$40,0)))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 "+ "&amp;INDEX($AX$4:$AX$40,MATCH(ROW()-3,$HC$4:$HC$40,0)))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 "+ "&amp;INDEX($BC$4:$BC$40,MATCH(ROW()-3,$HG$4:$HG$40,0)))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 "+ "&amp;INDEX($BH$4:$BH$40,MATCH(ROW()-3,$HK$4:$HK$40,0)))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 "+ "&amp;INDEX($BM$4:$BM$40,MATCH(ROW()-3,$HO$4:$HO$40,0)))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 "+ "&amp;INDEX($BR$4:$BR$40,MATCH(ROW()-3,$HS$4:$HS$40,0)))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 "+ "&amp;INDEX($BW$4:$BW$40,MATCH(ROW()-3,$HW$4:$HW$40,0)))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 "+ "&amp;INDEX($CB$4:$CB$40,MATCH(ROW()-3,$IA$4:$IA$40,0)))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 "+ "&amp;INDEX($CG$4:$CG$40,MATCH(ROW()-3,$IE$4:$IE$40,0)))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 "+ "&amp;INDEX($CL$4:$CL$40,MATCH(ROW()-3,$II$4:$II$40,0)))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 "+ "&amp;INDEX($CQ$4:$CQ$40,MATCH(ROW()-3,$IM$4:$IM$40,0)))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 "+ "&amp;INDEX($CV$4:$CV$40,MATCH(ROW()-3,$IQ$4:$IQ$40,0)))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 "+ "&amp;INDEX($DA$4:$DA$40,MATCH(ROW()-3,$IU$4:$IU$40,0)))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 "+ "&amp;INDEX($DF$4:$DF$40,MATCH(ROW()-3,$IY$4:$IY$40,0)))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 "+ "&amp;INDEX($DK$4:$DK$40,MATCH(ROW()-3,$JC$4:$JC$40,0)))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 "+ "&amp;INDEX($DP$4:$DP$40,MATCH(ROW()-3,$JG$4:$JG$40,0)))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 "+ "&amp;INDEX($DU$4:$DU$40,MATCH(ROW()-3,$JK$4:$JK$40,0)))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 "+ "&amp;INDEX($DZ$4:$DZ$40,MATCH(ROW()-3,$JO$4:$JO$40,0)))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 "+ "&amp;INDEX($EE$4:$EE$40,MATCH(ROW()-3,$JS$4:$JS$40,0)))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 "+ "&amp;INDEX($EJ$4:$EJ$40,MATCH(ROW()-3,$JW$4:$JW$40,0)))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 "+ "&amp;INDEX($EO$4:$EO$40,MATCH(ROW()-3,$KA$4:$KA$40,0)))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 "+ "&amp;INDEX($ET$4:$ET$40,MATCH(ROW()-3,$KE$4:$KE$40,0)))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 "+ "&amp;INDEX($EY$4:$EY$40,MATCH(ROW()-3,$KI$4:$KI$40,0)))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 "+ "&amp;INDEX($FD$4:$FD$40,MATCH(ROW()-3,$KM$4:$KM$40,0)))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 "+ "&amp;INDEX($FX$4:$FX$40,MATCH(ROW()-3,$KQ$4:$KQ$40,0)))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 "+ "&amp;INDEX($FI$4:$FI$40,MATCH(ROW()-3,$KU$4:$KU$40,0)))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 "+ "&amp;INDEX($FN$4:$FN$40,MATCH(ROW()-3,$KY$4:$KY$40,0)))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 "+ "&amp;INDEX($FS$4:$FS$40,MATCH(ROW()-3,$LC$4:$LC$40,0)))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IF(IFERROR('Final Calculation Sheet'!$F$31,"")="","","+ "&amp;'Final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 "+ "&amp;INDEX(H$4:H$40,MATCH(ROW()-3,I$4:I$40,0)))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IF(IFERROR('Final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 "+ "&amp;INDEX($Y$4:$Y$40,MATCH(ROW()-3,$GA$4:$GA$40,0)))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 "+ "&amp;INDEX($O$4:$O$40,MATCH(ROW()-3,$GE$4:$GE$40,0)))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 "+ "&amp;INDEX($T$4:$T$40,MATCH(ROW()-3,$GI$4:$GI$40,0)))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 "+ "&amp;INDEX($AD$4:$AD$40,MATCH(ROW()-3,$GM$4:$GM$40,0)))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 "+ "&amp;INDEX($AI$4:$AI$40,MATCH(ROW()-3,$GQ$4:$GQ$40,0)))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 "+ "&amp;INDEX($AN$4:$AN$40,MATCH(ROW()-3,$GU$4:$GU$40,0)))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 "+ "&amp;INDEX($AS$4:$AS$40,MATCH(ROW()-3,$GY$4:$GY$40,0)))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 "+ "&amp;INDEX($AX$4:$AX$40,MATCH(ROW()-3,$HC$4:$HC$40,0)))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 "+ "&amp;INDEX($BC$4:$BC$40,MATCH(ROW()-3,$HG$4:$HG$40,0)))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 "+ "&amp;INDEX($BH$4:$BH$40,MATCH(ROW()-3,$HK$4:$HK$40,0)))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 "+ "&amp;INDEX($BM$4:$BM$40,MATCH(ROW()-3,$HO$4:$HO$40,0)))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 "+ "&amp;INDEX($BR$4:$BR$40,MATCH(ROW()-3,$HS$4:$HS$40,0)))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 "+ "&amp;INDEX($BW$4:$BW$40,MATCH(ROW()-3,$HW$4:$HW$40,0)))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 "+ "&amp;INDEX($CB$4:$CB$40,MATCH(ROW()-3,$IA$4:$IA$40,0)))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 "+ "&amp;INDEX($CG$4:$CG$40,MATCH(ROW()-3,$IE$4:$IE$40,0)))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 "+ "&amp;INDEX($CL$4:$CL$40,MATCH(ROW()-3,$II$4:$II$40,0)))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 "+ "&amp;INDEX($CQ$4:$CQ$40,MATCH(ROW()-3,$IM$4:$IM$40,0)))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 "+ "&amp;INDEX($CV$4:$CV$40,MATCH(ROW()-3,$IQ$4:$IQ$40,0)))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 "+ "&amp;INDEX($DA$4:$DA$40,MATCH(ROW()-3,$IU$4:$IU$40,0)))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 "+ "&amp;INDEX($DF$4:$DF$40,MATCH(ROW()-3,$IY$4:$IY$40,0)))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 "+ "&amp;INDEX($DK$4:$DK$40,MATCH(ROW()-3,$JC$4:$JC$40,0)))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 "+ "&amp;INDEX($DP$4:$DP$40,MATCH(ROW()-3,$JG$4:$JG$40,0)))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 "+ "&amp;INDEX($DU$4:$DU$40,MATCH(ROW()-3,$JK$4:$JK$40,0)))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 "+ "&amp;INDEX($DZ$4:$DZ$40,MATCH(ROW()-3,$JO$4:$JO$40,0)))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 "+ "&amp;INDEX($EE$4:$EE$40,MATCH(ROW()-3,$JS$4:$JS$40,0)))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 "+ "&amp;INDEX($EJ$4:$EJ$40,MATCH(ROW()-3,$JW$4:$JW$40,0)))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 "+ "&amp;INDEX($EO$4:$EO$40,MATCH(ROW()-3,$KA$4:$KA$40,0)))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 "+ "&amp;INDEX($ET$4:$ET$40,MATCH(ROW()-3,$KE$4:$KE$40,0)))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 "+ "&amp;INDEX($EY$4:$EY$40,MATCH(ROW()-3,$KI$4:$KI$40,0)))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 "+ "&amp;INDEX($FD$4:$FD$40,MATCH(ROW()-3,$KM$4:$KM$40,0)))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 "+ "&amp;INDEX($FX$4:$FX$40,MATCH(ROW()-3,$KQ$4:$KQ$40,0)))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 "+ "&amp;INDEX($FI$4:$FI$40,MATCH(ROW()-3,$KU$4:$KU$40,0)))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 "+ "&amp;INDEX($FN$4:$FN$40,MATCH(ROW()-3,$KY$4:$KY$40,0)))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 "+ "&amp;INDEX($FS$4:$FS$40,MATCH(ROW()-3,$LC$4:$LC$40,0)))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IF(IFERROR('Final Calculation Sheet'!$F$32,"")="","","+ "&amp;'Final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 "+ "&amp;INDEX(H$4:H$40,MATCH(ROW()-3,I$4:I$40,0)))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IF(IFERROR('Final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 "+ "&amp;INDEX($Y$4:$Y$40,MATCH(ROW()-3,$GA$4:$GA$40,0)))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 "+ "&amp;INDEX($O$4:$O$40,MATCH(ROW()-3,$GE$4:$GE$40,0)))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 "+ "&amp;INDEX($T$4:$T$40,MATCH(ROW()-3,$GI$4:$GI$40,0)))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 "+ "&amp;INDEX($AD$4:$AD$40,MATCH(ROW()-3,$GM$4:$GM$40,0)))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 "+ "&amp;INDEX($AI$4:$AI$40,MATCH(ROW()-3,$GQ$4:$GQ$40,0)))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 "+ "&amp;INDEX($AN$4:$AN$40,MATCH(ROW()-3,$GU$4:$GU$40,0)))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 "+ "&amp;INDEX($AS$4:$AS$40,MATCH(ROW()-3,$GY$4:$GY$40,0)))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 "+ "&amp;INDEX($AX$4:$AX$40,MATCH(ROW()-3,$HC$4:$HC$40,0)))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 "+ "&amp;INDEX($BC$4:$BC$40,MATCH(ROW()-3,$HG$4:$HG$40,0)))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 "+ "&amp;INDEX($BH$4:$BH$40,MATCH(ROW()-3,$HK$4:$HK$40,0)))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 "+ "&amp;INDEX($BM$4:$BM$40,MATCH(ROW()-3,$HO$4:$HO$40,0)))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 "+ "&amp;INDEX($BR$4:$BR$40,MATCH(ROW()-3,$HS$4:$HS$40,0)))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 "+ "&amp;INDEX($BW$4:$BW$40,MATCH(ROW()-3,$HW$4:$HW$40,0)))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 "+ "&amp;INDEX($CB$4:$CB$40,MATCH(ROW()-3,$IA$4:$IA$40,0)))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 "+ "&amp;INDEX($CG$4:$CG$40,MATCH(ROW()-3,$IE$4:$IE$40,0)))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 "+ "&amp;INDEX($CL$4:$CL$40,MATCH(ROW()-3,$II$4:$II$40,0)))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 "+ "&amp;INDEX($CQ$4:$CQ$40,MATCH(ROW()-3,$IM$4:$IM$40,0)))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 "+ "&amp;INDEX($CV$4:$CV$40,MATCH(ROW()-3,$IQ$4:$IQ$40,0)))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 "+ "&amp;INDEX($DA$4:$DA$40,MATCH(ROW()-3,$IU$4:$IU$40,0)))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 "+ "&amp;INDEX($DF$4:$DF$40,MATCH(ROW()-3,$IY$4:$IY$40,0)))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 "+ "&amp;INDEX($DK$4:$DK$40,MATCH(ROW()-3,$JC$4:$JC$40,0)))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 "+ "&amp;INDEX($DP$4:$DP$40,MATCH(ROW()-3,$JG$4:$JG$40,0)))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 "+ "&amp;INDEX($DU$4:$DU$40,MATCH(ROW()-3,$JK$4:$JK$40,0)))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 "+ "&amp;INDEX($DZ$4:$DZ$40,MATCH(ROW()-3,$JO$4:$JO$40,0)))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 "+ "&amp;INDEX($EE$4:$EE$40,MATCH(ROW()-3,$JS$4:$JS$40,0)))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 "+ "&amp;INDEX($EJ$4:$EJ$40,MATCH(ROW()-3,$JW$4:$JW$40,0)))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 "+ "&amp;INDEX($EO$4:$EO$40,MATCH(ROW()-3,$KA$4:$KA$40,0)))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 "+ "&amp;INDEX($ET$4:$ET$40,MATCH(ROW()-3,$KE$4:$KE$40,0)))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 "+ "&amp;INDEX($EY$4:$EY$40,MATCH(ROW()-3,$KI$4:$KI$40,0)))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 "+ "&amp;INDEX($FD$4:$FD$40,MATCH(ROW()-3,$KM$4:$KM$40,0)))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 "+ "&amp;INDEX($FX$4:$FX$40,MATCH(ROW()-3,$KQ$4:$KQ$40,0)))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 "+ "&amp;INDEX($FI$4:$FI$40,MATCH(ROW()-3,$KU$4:$KU$40,0)))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 "+ "&amp;INDEX($FN$4:$FN$40,MATCH(ROW()-3,$KY$4:$KY$40,0)))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 "+ "&amp;INDEX($FS$4:$FS$40,MATCH(ROW()-3,$LC$4:$LC$40,0)))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IF(IFERROR('Final Calculation Sheet'!$F$33,"")="","","+ "&amp;'Final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 "+ "&amp;INDEX(H$4:H$40,MATCH(ROW()-3,I$4:I$40,0)))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IF(IFERROR('Final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 "+ "&amp;INDEX($Y$4:$Y$40,MATCH(ROW()-3,$GA$4:$GA$40,0)))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 "+ "&amp;INDEX($O$4:$O$40,MATCH(ROW()-3,$GE$4:$GE$40,0)))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 "+ "&amp;INDEX($T$4:$T$40,MATCH(ROW()-3,$GI$4:$GI$40,0)))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 "+ "&amp;INDEX($AD$4:$AD$40,MATCH(ROW()-3,$GM$4:$GM$40,0)))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 "+ "&amp;INDEX($AI$4:$AI$40,MATCH(ROW()-3,$GQ$4:$GQ$40,0)))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 "+ "&amp;INDEX($AN$4:$AN$40,MATCH(ROW()-3,$GU$4:$GU$40,0)))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 "+ "&amp;INDEX($AS$4:$AS$40,MATCH(ROW()-3,$GY$4:$GY$40,0)))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 "+ "&amp;INDEX($AX$4:$AX$40,MATCH(ROW()-3,$HC$4:$HC$40,0)))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 "+ "&amp;INDEX($BC$4:$BC$40,MATCH(ROW()-3,$HG$4:$HG$40,0)))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 "+ "&amp;INDEX($BH$4:$BH$40,MATCH(ROW()-3,$HK$4:$HK$40,0)))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 "+ "&amp;INDEX($BM$4:$BM$40,MATCH(ROW()-3,$HO$4:$HO$40,0)))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 "+ "&amp;INDEX($BR$4:$BR$40,MATCH(ROW()-3,$HS$4:$HS$40,0)))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 "+ "&amp;INDEX($BW$4:$BW$40,MATCH(ROW()-3,$HW$4:$HW$40,0)))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 "+ "&amp;INDEX($CB$4:$CB$40,MATCH(ROW()-3,$IA$4:$IA$40,0)))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 "+ "&amp;INDEX($CG$4:$CG$40,MATCH(ROW()-3,$IE$4:$IE$40,0)))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 "+ "&amp;INDEX($CL$4:$CL$40,MATCH(ROW()-3,$II$4:$II$40,0)))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 "+ "&amp;INDEX($CQ$4:$CQ$40,MATCH(ROW()-3,$IM$4:$IM$40,0)))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 "+ "&amp;INDEX($CV$4:$CV$40,MATCH(ROW()-3,$IQ$4:$IQ$40,0)))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 "+ "&amp;INDEX($DA$4:$DA$40,MATCH(ROW()-3,$IU$4:$IU$40,0)))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 "+ "&amp;INDEX($DF$4:$DF$40,MATCH(ROW()-3,$IY$4:$IY$40,0)))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 "+ "&amp;INDEX($DK$4:$DK$40,MATCH(ROW()-3,$JC$4:$JC$40,0)))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 "+ "&amp;INDEX($DP$4:$DP$40,MATCH(ROW()-3,$JG$4:$JG$40,0)))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 "+ "&amp;INDEX($DU$4:$DU$40,MATCH(ROW()-3,$JK$4:$JK$40,0)))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 "+ "&amp;INDEX($DZ$4:$DZ$40,MATCH(ROW()-3,$JO$4:$JO$40,0)))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 "+ "&amp;INDEX($EE$4:$EE$40,MATCH(ROW()-3,$JS$4:$JS$40,0)))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 "+ "&amp;INDEX($EJ$4:$EJ$40,MATCH(ROW()-3,$JW$4:$JW$40,0)))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 "+ "&amp;INDEX($EO$4:$EO$40,MATCH(ROW()-3,$KA$4:$KA$40,0)))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 "+ "&amp;INDEX($ET$4:$ET$40,MATCH(ROW()-3,$KE$4:$KE$40,0)))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 "+ "&amp;INDEX($EY$4:$EY$40,MATCH(ROW()-3,$KI$4:$KI$40,0)))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 "+ "&amp;INDEX($FD$4:$FD$40,MATCH(ROW()-3,$KM$4:$KM$40,0)))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 "+ "&amp;INDEX($FX$4:$FX$40,MATCH(ROW()-3,$KQ$4:$KQ$40,0)))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 "+ "&amp;INDEX($FI$4:$FI$40,MATCH(ROW()-3,$KU$4:$KU$40,0)))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 "+ "&amp;INDEX($FN$4:$FN$40,MATCH(ROW()-3,$KY$4:$KY$40,0)))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 "+ "&amp;INDEX($FS$4:$FS$40,MATCH(ROW()-3,$LC$4:$LC$40,0)))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IF(IFERROR('Final Calculation Sheet'!$F$34,"")="","","+ "&amp;'Final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 "+ "&amp;INDEX(H$4:H$40,MATCH(ROW()-3,I$4:I$40,0)))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IF(IFERROR('Final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 "+ "&amp;INDEX($Y$4:$Y$40,MATCH(ROW()-3,$GA$4:$GA$40,0)))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 "+ "&amp;INDEX($O$4:$O$40,MATCH(ROW()-3,$GE$4:$GE$40,0)))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 "+ "&amp;INDEX($T$4:$T$40,MATCH(ROW()-3,$GI$4:$GI$40,0)))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 "+ "&amp;INDEX($AD$4:$AD$40,MATCH(ROW()-3,$GM$4:$GM$40,0)))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 "+ "&amp;INDEX($AI$4:$AI$40,MATCH(ROW()-3,$GQ$4:$GQ$40,0)))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 "+ "&amp;INDEX($AN$4:$AN$40,MATCH(ROW()-3,$GU$4:$GU$40,0)))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 "+ "&amp;INDEX($AS$4:$AS$40,MATCH(ROW()-3,$GY$4:$GY$40,0)))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 "+ "&amp;INDEX($AX$4:$AX$40,MATCH(ROW()-3,$HC$4:$HC$40,0)))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 "+ "&amp;INDEX($BC$4:$BC$40,MATCH(ROW()-3,$HG$4:$HG$40,0)))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 "+ "&amp;INDEX($BH$4:$BH$40,MATCH(ROW()-3,$HK$4:$HK$40,0)))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 "+ "&amp;INDEX($BM$4:$BM$40,MATCH(ROW()-3,$HO$4:$HO$40,0)))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 "+ "&amp;INDEX($BR$4:$BR$40,MATCH(ROW()-3,$HS$4:$HS$40,0)))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 "+ "&amp;INDEX($BW$4:$BW$40,MATCH(ROW()-3,$HW$4:$HW$40,0)))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 "+ "&amp;INDEX($CB$4:$CB$40,MATCH(ROW()-3,$IA$4:$IA$40,0)))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 "+ "&amp;INDEX($CG$4:$CG$40,MATCH(ROW()-3,$IE$4:$IE$40,0)))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 "+ "&amp;INDEX($CL$4:$CL$40,MATCH(ROW()-3,$II$4:$II$40,0)))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 "+ "&amp;INDEX($CQ$4:$CQ$40,MATCH(ROW()-3,$IM$4:$IM$40,0)))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 "+ "&amp;INDEX($CV$4:$CV$40,MATCH(ROW()-3,$IQ$4:$IQ$40,0)))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 "+ "&amp;INDEX($DA$4:$DA$40,MATCH(ROW()-3,$IU$4:$IU$40,0)))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 "+ "&amp;INDEX($DF$4:$DF$40,MATCH(ROW()-3,$IY$4:$IY$40,0)))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 "+ "&amp;INDEX($DK$4:$DK$40,MATCH(ROW()-3,$JC$4:$JC$40,0)))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 "+ "&amp;INDEX($DP$4:$DP$40,MATCH(ROW()-3,$JG$4:$JG$40,0)))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 "+ "&amp;INDEX($DU$4:$DU$40,MATCH(ROW()-3,$JK$4:$JK$40,0)))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 "+ "&amp;INDEX($DZ$4:$DZ$40,MATCH(ROW()-3,$JO$4:$JO$40,0)))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 "+ "&amp;INDEX($EE$4:$EE$40,MATCH(ROW()-3,$JS$4:$JS$40,0)))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 "+ "&amp;INDEX($EJ$4:$EJ$40,MATCH(ROW()-3,$JW$4:$JW$40,0)))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 "+ "&amp;INDEX($EO$4:$EO$40,MATCH(ROW()-3,$KA$4:$KA$40,0)))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 "+ "&amp;INDEX($ET$4:$ET$40,MATCH(ROW()-3,$KE$4:$KE$40,0)))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 "+ "&amp;INDEX($EY$4:$EY$40,MATCH(ROW()-3,$KI$4:$KI$40,0)))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 "+ "&amp;INDEX($FD$4:$FD$40,MATCH(ROW()-3,$KM$4:$KM$40,0)))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 "+ "&amp;INDEX($FX$4:$FX$40,MATCH(ROW()-3,$KQ$4:$KQ$40,0)))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 "+ "&amp;INDEX($FI$4:$FI$40,MATCH(ROW()-3,$KU$4:$KU$40,0)))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 "+ "&amp;INDEX($FN$4:$FN$40,MATCH(ROW()-3,$KY$4:$KY$40,0)))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 "+ "&amp;INDEX($FS$4:$FS$40,MATCH(ROW()-3,$LC$4:$LC$40,0)))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IF(IFERROR('Final Calculation Sheet'!$F$35,"")="","","+ "&amp;'Final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 "+ "&amp;INDEX(H$4:H$40,MATCH(ROW()-3,I$4:I$40,0)))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IF(IFERROR('Final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 "+ "&amp;INDEX($Y$4:$Y$40,MATCH(ROW()-3,$GA$4:$GA$40,0)))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 "+ "&amp;INDEX($O$4:$O$40,MATCH(ROW()-3,$GE$4:$GE$40,0)))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 "+ "&amp;INDEX($T$4:$T$40,MATCH(ROW()-3,$GI$4:$GI$40,0)))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 "+ "&amp;INDEX($AD$4:$AD$40,MATCH(ROW()-3,$GM$4:$GM$40,0)))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 "+ "&amp;INDEX($AI$4:$AI$40,MATCH(ROW()-3,$GQ$4:$GQ$40,0)))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 "+ "&amp;INDEX($AN$4:$AN$40,MATCH(ROW()-3,$GU$4:$GU$40,0)))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 "+ "&amp;INDEX($AS$4:$AS$40,MATCH(ROW()-3,$GY$4:$GY$40,0)))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 "+ "&amp;INDEX($AX$4:$AX$40,MATCH(ROW()-3,$HC$4:$HC$40,0)))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 "+ "&amp;INDEX($BC$4:$BC$40,MATCH(ROW()-3,$HG$4:$HG$40,0)))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 "+ "&amp;INDEX($BH$4:$BH$40,MATCH(ROW()-3,$HK$4:$HK$40,0)))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 "+ "&amp;INDEX($BM$4:$BM$40,MATCH(ROW()-3,$HO$4:$HO$40,0)))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 "+ "&amp;INDEX($BR$4:$BR$40,MATCH(ROW()-3,$HS$4:$HS$40,0)))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 "+ "&amp;INDEX($BW$4:$BW$40,MATCH(ROW()-3,$HW$4:$HW$40,0)))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 "+ "&amp;INDEX($CB$4:$CB$40,MATCH(ROW()-3,$IA$4:$IA$40,0)))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 "+ "&amp;INDEX($CG$4:$CG$40,MATCH(ROW()-3,$IE$4:$IE$40,0)))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 "+ "&amp;INDEX($CL$4:$CL$40,MATCH(ROW()-3,$II$4:$II$40,0)))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 "+ "&amp;INDEX($CQ$4:$CQ$40,MATCH(ROW()-3,$IM$4:$IM$40,0)))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 "+ "&amp;INDEX($CV$4:$CV$40,MATCH(ROW()-3,$IQ$4:$IQ$40,0)))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 "+ "&amp;INDEX($DA$4:$DA$40,MATCH(ROW()-3,$IU$4:$IU$40,0)))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 "+ "&amp;INDEX($DF$4:$DF$40,MATCH(ROW()-3,$IY$4:$IY$40,0)))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 "+ "&amp;INDEX($DK$4:$DK$40,MATCH(ROW()-3,$JC$4:$JC$40,0)))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 "+ "&amp;INDEX($DP$4:$DP$40,MATCH(ROW()-3,$JG$4:$JG$40,0)))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 "+ "&amp;INDEX($DU$4:$DU$40,MATCH(ROW()-3,$JK$4:$JK$40,0)))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 "+ "&amp;INDEX($DZ$4:$DZ$40,MATCH(ROW()-3,$JO$4:$JO$40,0)))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 "+ "&amp;INDEX($EE$4:$EE$40,MATCH(ROW()-3,$JS$4:$JS$40,0)))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 "+ "&amp;INDEX($EJ$4:$EJ$40,MATCH(ROW()-3,$JW$4:$JW$40,0)))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 "+ "&amp;INDEX($EO$4:$EO$40,MATCH(ROW()-3,$KA$4:$KA$40,0)))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 "+ "&amp;INDEX($ET$4:$ET$40,MATCH(ROW()-3,$KE$4:$KE$40,0)))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 "+ "&amp;INDEX($EY$4:$EY$40,MATCH(ROW()-3,$KI$4:$KI$40,0)))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 "+ "&amp;INDEX($FD$4:$FD$40,MATCH(ROW()-3,$KM$4:$KM$40,0)))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 "+ "&amp;INDEX($FX$4:$FX$40,MATCH(ROW()-3,$KQ$4:$KQ$40,0)))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 "+ "&amp;INDEX($FI$4:$FI$40,MATCH(ROW()-3,$KU$4:$KU$40,0)))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 "+ "&amp;INDEX($FN$4:$FN$40,MATCH(ROW()-3,$KY$4:$KY$40,0)))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 "+ "&amp;INDEX($FS$4:$FS$40,MATCH(ROW()-3,$LC$4:$LC$40,0)))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IF(IFERROR('Final Calculation Sheet'!$F$36,"")="","","+ "&amp;'Final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 "+ "&amp;INDEX(H$4:H$40,MATCH(ROW()-3,I$4:I$40,0)))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IF(IFERROR('Final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 "+ "&amp;INDEX($Y$4:$Y$40,MATCH(ROW()-3,$GA$4:$GA$40,0)))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 "+ "&amp;INDEX($O$4:$O$40,MATCH(ROW()-3,$GE$4:$GE$40,0)))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 "+ "&amp;INDEX($T$4:$T$40,MATCH(ROW()-3,$GI$4:$GI$40,0)))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 "+ "&amp;INDEX($AD$4:$AD$40,MATCH(ROW()-3,$GM$4:$GM$40,0)))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 "+ "&amp;INDEX($AI$4:$AI$40,MATCH(ROW()-3,$GQ$4:$GQ$40,0)))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 "+ "&amp;INDEX($AN$4:$AN$40,MATCH(ROW()-3,$GU$4:$GU$40,0)))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 "+ "&amp;INDEX($AS$4:$AS$40,MATCH(ROW()-3,$GY$4:$GY$40,0)))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 "+ "&amp;INDEX($AX$4:$AX$40,MATCH(ROW()-3,$HC$4:$HC$40,0)))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 "+ "&amp;INDEX($BC$4:$BC$40,MATCH(ROW()-3,$HG$4:$HG$40,0)))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 "+ "&amp;INDEX($BH$4:$BH$40,MATCH(ROW()-3,$HK$4:$HK$40,0)))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 "+ "&amp;INDEX($BM$4:$BM$40,MATCH(ROW()-3,$HO$4:$HO$40,0)))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 "+ "&amp;INDEX($BR$4:$BR$40,MATCH(ROW()-3,$HS$4:$HS$40,0)))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 "+ "&amp;INDEX($BW$4:$BW$40,MATCH(ROW()-3,$HW$4:$HW$40,0)))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 "+ "&amp;INDEX($CB$4:$CB$40,MATCH(ROW()-3,$IA$4:$IA$40,0)))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 "+ "&amp;INDEX($CG$4:$CG$40,MATCH(ROW()-3,$IE$4:$IE$40,0)))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 "+ "&amp;INDEX($CL$4:$CL$40,MATCH(ROW()-3,$II$4:$II$40,0)))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 "+ "&amp;INDEX($CQ$4:$CQ$40,MATCH(ROW()-3,$IM$4:$IM$40,0)))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 "+ "&amp;INDEX($CV$4:$CV$40,MATCH(ROW()-3,$IQ$4:$IQ$40,0)))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 "+ "&amp;INDEX($DA$4:$DA$40,MATCH(ROW()-3,$IU$4:$IU$40,0)))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 "+ "&amp;INDEX($DF$4:$DF$40,MATCH(ROW()-3,$IY$4:$IY$40,0)))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 "+ "&amp;INDEX($DK$4:$DK$40,MATCH(ROW()-3,$JC$4:$JC$40,0)))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 "+ "&amp;INDEX($DP$4:$DP$40,MATCH(ROW()-3,$JG$4:$JG$40,0)))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 "+ "&amp;INDEX($DU$4:$DU$40,MATCH(ROW()-3,$JK$4:$JK$40,0)))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 "+ "&amp;INDEX($DZ$4:$DZ$40,MATCH(ROW()-3,$JO$4:$JO$40,0)))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 "+ "&amp;INDEX($EE$4:$EE$40,MATCH(ROW()-3,$JS$4:$JS$40,0)))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 "+ "&amp;INDEX($EJ$4:$EJ$40,MATCH(ROW()-3,$JW$4:$JW$40,0)))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 "+ "&amp;INDEX($EO$4:$EO$40,MATCH(ROW()-3,$KA$4:$KA$40,0)))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 "+ "&amp;INDEX($ET$4:$ET$40,MATCH(ROW()-3,$KE$4:$KE$40,0)))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 "+ "&amp;INDEX($EY$4:$EY$40,MATCH(ROW()-3,$KI$4:$KI$40,0)))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 "+ "&amp;INDEX($FD$4:$FD$40,MATCH(ROW()-3,$KM$4:$KM$40,0)))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 "+ "&amp;INDEX($FX$4:$FX$40,MATCH(ROW()-3,$KQ$4:$KQ$40,0)))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 "+ "&amp;INDEX($FI$4:$FI$40,MATCH(ROW()-3,$KU$4:$KU$40,0)))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 "+ "&amp;INDEX($FN$4:$FN$40,MATCH(ROW()-3,$KY$4:$KY$40,0)))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 "+ "&amp;INDEX($FS$4:$FS$40,MATCH(ROW()-3,$LC$4:$LC$40,0)))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IF(IFERROR('Final Calculation Sheet'!$F$37,"")="","","+ "&amp;'Final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 "+ "&amp;INDEX(H$4:H$40,MATCH(ROW()-3,I$4:I$40,0)))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IF(IFERROR('Final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 "+ "&amp;INDEX($Y$4:$Y$40,MATCH(ROW()-3,$GA$4:$GA$40,0)))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 "+ "&amp;INDEX($O$4:$O$40,MATCH(ROW()-3,$GE$4:$GE$40,0)))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 "+ "&amp;INDEX($T$4:$T$40,MATCH(ROW()-3,$GI$4:$GI$40,0)))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 "+ "&amp;INDEX($AD$4:$AD$40,MATCH(ROW()-3,$GM$4:$GM$40,0)))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 "+ "&amp;INDEX($AI$4:$AI$40,MATCH(ROW()-3,$GQ$4:$GQ$40,0)))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 "+ "&amp;INDEX($AN$4:$AN$40,MATCH(ROW()-3,$GU$4:$GU$40,0)))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 "+ "&amp;INDEX($AS$4:$AS$40,MATCH(ROW()-3,$GY$4:$GY$40,0)))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 "+ "&amp;INDEX($AX$4:$AX$40,MATCH(ROW()-3,$HC$4:$HC$40,0)))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 "+ "&amp;INDEX($BC$4:$BC$40,MATCH(ROW()-3,$HG$4:$HG$40,0)))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 "+ "&amp;INDEX($BH$4:$BH$40,MATCH(ROW()-3,$HK$4:$HK$40,0)))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 "+ "&amp;INDEX($BM$4:$BM$40,MATCH(ROW()-3,$HO$4:$HO$40,0)))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 "+ "&amp;INDEX($BR$4:$BR$40,MATCH(ROW()-3,$HS$4:$HS$40,0)))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 "+ "&amp;INDEX($BW$4:$BW$40,MATCH(ROW()-3,$HW$4:$HW$40,0)))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 "+ "&amp;INDEX($CB$4:$CB$40,MATCH(ROW()-3,$IA$4:$IA$40,0)))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 "+ "&amp;INDEX($CG$4:$CG$40,MATCH(ROW()-3,$IE$4:$IE$40,0)))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 "+ "&amp;INDEX($CL$4:$CL$40,MATCH(ROW()-3,$II$4:$II$40,0)))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 "+ "&amp;INDEX($CQ$4:$CQ$40,MATCH(ROW()-3,$IM$4:$IM$40,0)))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 "+ "&amp;INDEX($CV$4:$CV$40,MATCH(ROW()-3,$IQ$4:$IQ$40,0)))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 "+ "&amp;INDEX($DA$4:$DA$40,MATCH(ROW()-3,$IU$4:$IU$40,0)))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 "+ "&amp;INDEX($DF$4:$DF$40,MATCH(ROW()-3,$IY$4:$IY$40,0)))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 "+ "&amp;INDEX($DK$4:$DK$40,MATCH(ROW()-3,$JC$4:$JC$40,0)))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 "+ "&amp;INDEX($DP$4:$DP$40,MATCH(ROW()-3,$JG$4:$JG$40,0)))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 "+ "&amp;INDEX($DU$4:$DU$40,MATCH(ROW()-3,$JK$4:$JK$40,0)))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 "+ "&amp;INDEX($DZ$4:$DZ$40,MATCH(ROW()-3,$JO$4:$JO$40,0)))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 "+ "&amp;INDEX($EE$4:$EE$40,MATCH(ROW()-3,$JS$4:$JS$40,0)))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 "+ "&amp;INDEX($EJ$4:$EJ$40,MATCH(ROW()-3,$JW$4:$JW$40,0)))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 "+ "&amp;INDEX($EO$4:$EO$40,MATCH(ROW()-3,$KA$4:$KA$40,0)))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 "+ "&amp;INDEX($ET$4:$ET$40,MATCH(ROW()-3,$KE$4:$KE$40,0)))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 "+ "&amp;INDEX($EY$4:$EY$40,MATCH(ROW()-3,$KI$4:$KI$40,0)))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 "+ "&amp;INDEX($FD$4:$FD$40,MATCH(ROW()-3,$KM$4:$KM$40,0)))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 "+ "&amp;INDEX($FX$4:$FX$40,MATCH(ROW()-3,$KQ$4:$KQ$40,0)))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 "+ "&amp;INDEX($FI$4:$FI$40,MATCH(ROW()-3,$KU$4:$KU$40,0)))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 "+ "&amp;INDEX($FN$4:$FN$40,MATCH(ROW()-3,$KY$4:$KY$40,0)))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 "+ "&amp;INDEX($FS$4:$FS$40,MATCH(ROW()-3,$LC$4:$LC$40,0)))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IF(IFERROR('Final Calculation Sheet'!$F$38,"")="","","+ "&amp;'Final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 "+ "&amp;INDEX(H$4:H$40,MATCH(ROW()-3,I$4:I$40,0)))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IF(IFERROR('Final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 "+ "&amp;INDEX($Y$4:$Y$40,MATCH(ROW()-3,$GA$4:$GA$40,0)))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 "+ "&amp;INDEX($O$4:$O$40,MATCH(ROW()-3,$GE$4:$GE$40,0)))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 "+ "&amp;INDEX($T$4:$T$40,MATCH(ROW()-3,$GI$4:$GI$40,0)))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 "+ "&amp;INDEX($AD$4:$AD$40,MATCH(ROW()-3,$GM$4:$GM$40,0)))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 "+ "&amp;INDEX($AI$4:$AI$40,MATCH(ROW()-3,$GQ$4:$GQ$40,0)))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 "+ "&amp;INDEX($AN$4:$AN$40,MATCH(ROW()-3,$GU$4:$GU$40,0)))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 "+ "&amp;INDEX($AS$4:$AS$40,MATCH(ROW()-3,$GY$4:$GY$40,0)))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 "+ "&amp;INDEX($AX$4:$AX$40,MATCH(ROW()-3,$HC$4:$HC$40,0)))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 "+ "&amp;INDEX($BC$4:$BC$40,MATCH(ROW()-3,$HG$4:$HG$40,0)))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 "+ "&amp;INDEX($BH$4:$BH$40,MATCH(ROW()-3,$HK$4:$HK$40,0)))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 "+ "&amp;INDEX($BM$4:$BM$40,MATCH(ROW()-3,$HO$4:$HO$40,0)))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 "+ "&amp;INDEX($BR$4:$BR$40,MATCH(ROW()-3,$HS$4:$HS$40,0)))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 "+ "&amp;INDEX($BW$4:$BW$40,MATCH(ROW()-3,$HW$4:$HW$40,0)))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 "+ "&amp;INDEX($CB$4:$CB$40,MATCH(ROW()-3,$IA$4:$IA$40,0)))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 "+ "&amp;INDEX($CG$4:$CG$40,MATCH(ROW()-3,$IE$4:$IE$40,0)))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 "+ "&amp;INDEX($CL$4:$CL$40,MATCH(ROW()-3,$II$4:$II$40,0)))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 "+ "&amp;INDEX($CQ$4:$CQ$40,MATCH(ROW()-3,$IM$4:$IM$40,0)))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 "+ "&amp;INDEX($CV$4:$CV$40,MATCH(ROW()-3,$IQ$4:$IQ$40,0)))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 "+ "&amp;INDEX($DA$4:$DA$40,MATCH(ROW()-3,$IU$4:$IU$40,0)))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 "+ "&amp;INDEX($DF$4:$DF$40,MATCH(ROW()-3,$IY$4:$IY$40,0)))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 "+ "&amp;INDEX($DK$4:$DK$40,MATCH(ROW()-3,$JC$4:$JC$40,0)))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 "+ "&amp;INDEX($DP$4:$DP$40,MATCH(ROW()-3,$JG$4:$JG$40,0)))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 "+ "&amp;INDEX($DU$4:$DU$40,MATCH(ROW()-3,$JK$4:$JK$40,0)))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 "+ "&amp;INDEX($DZ$4:$DZ$40,MATCH(ROW()-3,$JO$4:$JO$40,0)))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 "+ "&amp;INDEX($EE$4:$EE$40,MATCH(ROW()-3,$JS$4:$JS$40,0)))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 "+ "&amp;INDEX($EJ$4:$EJ$40,MATCH(ROW()-3,$JW$4:$JW$40,0)))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 "+ "&amp;INDEX($EO$4:$EO$40,MATCH(ROW()-3,$KA$4:$KA$40,0)))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 "+ "&amp;INDEX($ET$4:$ET$40,MATCH(ROW()-3,$KE$4:$KE$40,0)))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 "+ "&amp;INDEX($EY$4:$EY$40,MATCH(ROW()-3,$KI$4:$KI$40,0)))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 "+ "&amp;INDEX($FD$4:$FD$40,MATCH(ROW()-3,$KM$4:$KM$40,0)))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 "+ "&amp;INDEX($FX$4:$FX$40,MATCH(ROW()-3,$KQ$4:$KQ$40,0)))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 "+ "&amp;INDEX($FI$4:$FI$40,MATCH(ROW()-3,$KU$4:$KU$40,0)))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 "+ "&amp;INDEX($FN$4:$FN$40,MATCH(ROW()-3,$KY$4:$KY$40,0)))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 "+ "&amp;INDEX($FS$4:$FS$40,MATCH(ROW()-3,$LC$4:$LC$40,0)))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IF(IFERROR('Final Calculation Sheet'!$F$39,"")="","","+ "&amp;'Final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 "+ "&amp;INDEX(H$4:H$40,MATCH(ROW()-3,I$4:I$40,0)))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IF(IFERROR('Final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 "+ "&amp;INDEX($Y$4:$Y$40,MATCH(ROW()-3,$GA$4:$GA$40,0)))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 "+ "&amp;INDEX($O$4:$O$40,MATCH(ROW()-3,$GE$4:$GE$40,0)))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 "+ "&amp;INDEX($T$4:$T$40,MATCH(ROW()-3,$GI$4:$GI$40,0)))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 "+ "&amp;INDEX($AD$4:$AD$40,MATCH(ROW()-3,$GM$4:$GM$40,0)))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 "+ "&amp;INDEX($AI$4:$AI$40,MATCH(ROW()-3,$GQ$4:$GQ$40,0)))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 "+ "&amp;INDEX($AN$4:$AN$40,MATCH(ROW()-3,$GU$4:$GU$40,0)))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 "+ "&amp;INDEX($AS$4:$AS$40,MATCH(ROW()-3,$GY$4:$GY$40,0)))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 "+ "&amp;INDEX($AX$4:$AX$40,MATCH(ROW()-3,$HC$4:$HC$40,0)))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 "+ "&amp;INDEX($BC$4:$BC$40,MATCH(ROW()-3,$HG$4:$HG$40,0)))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 "+ "&amp;INDEX($BH$4:$BH$40,MATCH(ROW()-3,$HK$4:$HK$40,0)))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 "+ "&amp;INDEX($BM$4:$BM$40,MATCH(ROW()-3,$HO$4:$HO$40,0)))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 "+ "&amp;INDEX($BR$4:$BR$40,MATCH(ROW()-3,$HS$4:$HS$40,0)))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 "+ "&amp;INDEX($BW$4:$BW$40,MATCH(ROW()-3,$HW$4:$HW$40,0)))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 "+ "&amp;INDEX($CB$4:$CB$40,MATCH(ROW()-3,$IA$4:$IA$40,0)))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 "+ "&amp;INDEX($CG$4:$CG$40,MATCH(ROW()-3,$IE$4:$IE$40,0)))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 "+ "&amp;INDEX($CL$4:$CL$40,MATCH(ROW()-3,$II$4:$II$40,0)))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 "+ "&amp;INDEX($CQ$4:$CQ$40,MATCH(ROW()-3,$IM$4:$IM$40,0)))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 "+ "&amp;INDEX($CV$4:$CV$40,MATCH(ROW()-3,$IQ$4:$IQ$40,0)))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 "+ "&amp;INDEX($DA$4:$DA$40,MATCH(ROW()-3,$IU$4:$IU$40,0)))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 "+ "&amp;INDEX($DF$4:$DF$40,MATCH(ROW()-3,$IY$4:$IY$40,0)))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 "+ "&amp;INDEX($DK$4:$DK$40,MATCH(ROW()-3,$JC$4:$JC$40,0)))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 "+ "&amp;INDEX($DP$4:$DP$40,MATCH(ROW()-3,$JG$4:$JG$40,0)))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 "+ "&amp;INDEX($DU$4:$DU$40,MATCH(ROW()-3,$JK$4:$JK$40,0)))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 "+ "&amp;INDEX($DZ$4:$DZ$40,MATCH(ROW()-3,$JO$4:$JO$40,0)))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 "+ "&amp;INDEX($EE$4:$EE$40,MATCH(ROW()-3,$JS$4:$JS$40,0)))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 "+ "&amp;INDEX($EJ$4:$EJ$40,MATCH(ROW()-3,$JW$4:$JW$40,0)))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 "+ "&amp;INDEX($EO$4:$EO$40,MATCH(ROW()-3,$KA$4:$KA$40,0)))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 "+ "&amp;INDEX($ET$4:$ET$40,MATCH(ROW()-3,$KE$4:$KE$40,0)))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 "+ "&amp;INDEX($EY$4:$EY$40,MATCH(ROW()-3,$KI$4:$KI$40,0)))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 "+ "&amp;INDEX($FD$4:$FD$40,MATCH(ROW()-3,$KM$4:$KM$40,0)))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 "+ "&amp;INDEX($FX$4:$FX$40,MATCH(ROW()-3,$KQ$4:$KQ$40,0)))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 "+ "&amp;INDEX($FI$4:$FI$40,MATCH(ROW()-3,$KU$4:$KU$40,0)))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 "+ "&amp;INDEX($FN$4:$FN$40,MATCH(ROW()-3,$KY$4:$KY$40,0)))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 "+ "&amp;INDEX($FS$4:$FS$40,MATCH(ROW()-3,$LC$4:$LC$40,0)))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IF(IFERROR('Final Calculation Sheet'!$F$40,"")="","","+ "&amp;'Final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 "+ "&amp;INDEX(H$4:H$40,MATCH(ROW()-3,I$4:I$40,0)))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IF(IFERROR('Final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 "+ "&amp;INDEX($Y$4:$Y$40,MATCH(ROW()-3,$GA$4:$GA$40,0)))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 "+ "&amp;INDEX($O$4:$O$40,MATCH(ROW()-3,$GE$4:$GE$40,0)))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 "+ "&amp;INDEX($T$4:$T$40,MATCH(ROW()-3,$GI$4:$GI$40,0)))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 "+ "&amp;INDEX($AD$4:$AD$40,MATCH(ROW()-3,$GM$4:$GM$40,0)))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 "+ "&amp;INDEX($AI$4:$AI$40,MATCH(ROW()-3,$GQ$4:$GQ$40,0)))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 "+ "&amp;INDEX($AN$4:$AN$40,MATCH(ROW()-3,$GU$4:$GU$40,0)))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 "+ "&amp;INDEX($AS$4:$AS$40,MATCH(ROW()-3,$GY$4:$GY$40,0)))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 "+ "&amp;INDEX($AX$4:$AX$40,MATCH(ROW()-3,$HC$4:$HC$40,0)))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 "+ "&amp;INDEX($BC$4:$BC$40,MATCH(ROW()-3,$HG$4:$HG$40,0)))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 "+ "&amp;INDEX($BH$4:$BH$40,MATCH(ROW()-3,$HK$4:$HK$40,0)))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 "+ "&amp;INDEX($BM$4:$BM$40,MATCH(ROW()-3,$HO$4:$HO$40,0)))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 "+ "&amp;INDEX($BR$4:$BR$40,MATCH(ROW()-3,$HS$4:$HS$40,0)))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 "+ "&amp;INDEX($BW$4:$BW$40,MATCH(ROW()-3,$HW$4:$HW$40,0)))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 "+ "&amp;INDEX($CB$4:$CB$40,MATCH(ROW()-3,$IA$4:$IA$40,0)))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 "+ "&amp;INDEX($CG$4:$CG$40,MATCH(ROW()-3,$IE$4:$IE$40,0)))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 "+ "&amp;INDEX($CL$4:$CL$40,MATCH(ROW()-3,$II$4:$II$40,0)))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 "+ "&amp;INDEX($CQ$4:$CQ$40,MATCH(ROW()-3,$IM$4:$IM$40,0)))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 "+ "&amp;INDEX($CV$4:$CV$40,MATCH(ROW()-3,$IQ$4:$IQ$40,0)))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 "+ "&amp;INDEX($DA$4:$DA$40,MATCH(ROW()-3,$IU$4:$IU$40,0)))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 "+ "&amp;INDEX($DF$4:$DF$40,MATCH(ROW()-3,$IY$4:$IY$40,0)))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 "+ "&amp;INDEX($DK$4:$DK$40,MATCH(ROW()-3,$JC$4:$JC$40,0)))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 "+ "&amp;INDEX($DP$4:$DP$40,MATCH(ROW()-3,$JG$4:$JG$40,0)))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 "+ "&amp;INDEX($DU$4:$DU$40,MATCH(ROW()-3,$JK$4:$JK$40,0)))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 "+ "&amp;INDEX($DZ$4:$DZ$40,MATCH(ROW()-3,$JO$4:$JO$40,0)))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 "+ "&amp;INDEX($EE$4:$EE$40,MATCH(ROW()-3,$JS$4:$JS$40,0)))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 "+ "&amp;INDEX($EJ$4:$EJ$40,MATCH(ROW()-3,$JW$4:$JW$40,0)))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 "+ "&amp;INDEX($EO$4:$EO$40,MATCH(ROW()-3,$KA$4:$KA$40,0)))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 "+ "&amp;INDEX($ET$4:$ET$40,MATCH(ROW()-3,$KE$4:$KE$40,0)))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 "+ "&amp;INDEX($EY$4:$EY$40,MATCH(ROW()-3,$KI$4:$KI$40,0)))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 "+ "&amp;INDEX($FD$4:$FD$40,MATCH(ROW()-3,$KM$4:$KM$40,0)))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 "+ "&amp;INDEX($FX$4:$FX$40,MATCH(ROW()-3,$KQ$4:$KQ$40,0)))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 "+ "&amp;INDEX($FI$4:$FI$40,MATCH(ROW()-3,$KU$4:$KU$40,0)))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 "+ "&amp;INDEX($FN$4:$FN$40,MATCH(ROW()-3,$KY$4:$KY$40,0)))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 "+ "&amp;INDEX($FS$4:$FS$40,MATCH(ROW()-3,$LC$4:$LC$40,0)))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IF(IFERROR('Final Calculation Sheet'!$G$4,"")="","","+ "&amp;'Final Calculation Sheet'!$G$4)</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 "+ "&amp;INDEX($Y$4:$Y$40,MATCH(ROW()-3,$GA$4:$GA$40,0)))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 "+ "&amp;INDEX($O$4:$O$40,MATCH(ROW()-3,$GE$4:$GE$40,0)))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 "+ "&amp;INDEX($T$4:$T$40,MATCH(ROW()-3,$GI$4:$GI$40,0)))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 "+ "&amp;INDEX($AD$4:$AD$40,MATCH(ROW()-3,$GM$4:$GM$40,0)))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 "+ "&amp;INDEX($AI$4:$AI$40,MATCH(ROW()-3,$GQ$4:$GQ$40,0)))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 "+ "&amp;INDEX($AN$4:$AN$40,MATCH(ROW()-3,$GU$4:$GU$40,0)))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 "+ "&amp;INDEX($AS$4:$AS$40,MATCH(ROW()-3,$GY$4:$GY$40,0)))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 "+ "&amp;INDEX($AX$4:$AX$40,MATCH(ROW()-3,$HC$4:$HC$40,0)))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 "+ "&amp;INDEX($BC$4:$BC$40,MATCH(ROW()-3,$HG$4:$HG$40,0)))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 "+ "&amp;INDEX($BH$4:$BH$40,MATCH(ROW()-3,$HK$4:$HK$40,0)))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 "+ "&amp;INDEX($BM$4:$BM$40,MATCH(ROW()-3,$HO$4:$HO$40,0)))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 "+ "&amp;INDEX($BR$4:$BR$40,MATCH(ROW()-3,$HS$4:$HS$40,0)))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 "+ "&amp;INDEX($BW$4:$BW$40,MATCH(ROW()-3,$HW$4:$HW$40,0)))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 "+ "&amp;INDEX($CB$4:$CB$40,MATCH(ROW()-3,$IA$4:$IA$40,0)))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 "+ "&amp;INDEX($CG$4:$CG$40,MATCH(ROW()-3,$IE$4:$IE$40,0)))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 "+ "&amp;INDEX($CL$4:$CL$40,MATCH(ROW()-3,$II$4:$II$40,0)))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 "+ "&amp;INDEX($CQ$4:$CQ$40,MATCH(ROW()-3,$IM$4:$IM$40,0)))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 "+ "&amp;INDEX($CV$4:$CV$40,MATCH(ROW()-3,$IQ$4:$IQ$40,0)))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 "+ "&amp;INDEX($DA$4:$DA$40,MATCH(ROW()-3,$IU$4:$IU$40,0)))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 "+ "&amp;INDEX($DF$4:$DF$40,MATCH(ROW()-3,$IY$4:$IY$40,0)))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 "+ "&amp;INDEX($DK$4:$DK$40,MATCH(ROW()-3,$JC$4:$JC$40,0)))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 "+ "&amp;INDEX($DP$4:$DP$40,MATCH(ROW()-3,$JG$4:$JG$40,0)))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 "+ "&amp;INDEX($DU$4:$DU$40,MATCH(ROW()-3,$JK$4:$JK$40,0)))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 "+ "&amp;INDEX($DZ$4:$DZ$40,MATCH(ROW()-3,$JO$4:$JO$40,0)))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 "+ "&amp;INDEX($EE$4:$EE$40,MATCH(ROW()-3,$JS$4:$JS$40,0)))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 "+ "&amp;INDEX($EJ$4:$EJ$40,MATCH(ROW()-3,$JW$4:$JW$40,0)))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 "+ "&amp;INDEX($EO$4:$EO$40,MATCH(ROW()-3,$KA$4:$KA$40,0)))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 "+ "&amp;INDEX($ET$4:$ET$40,MATCH(ROW()-3,$KE$4:$KE$40,0)))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 "+ "&amp;INDEX($EY$4:$EY$40,MATCH(ROW()-3,$KI$4:$KI$40,0)))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 "+ "&amp;INDEX($FD$4:$FD$40,MATCH(ROW()-3,$KM$4:$KM$40,0)))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 "+ "&amp;INDEX($FX$4:$FX$40,MATCH(ROW()-3,$KQ$4:$KQ$40,0)))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 "+ "&amp;INDEX($FI$4:$FI$40,MATCH(ROW()-3,$KU$4:$KU$40,0)))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 "+ "&amp;INDEX($FN$4:$FN$40,MATCH(ROW()-3,$KY$4:$KY$40,0)))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 "+ "&amp;INDEX($FS$4:$FS$40,MATCH(ROW()-3,$LC$4:$LC$40,0)))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IF(IFERROR('Final Calculation Sheet'!$G$5,"")="","","+ "&amp;'Final Calculation Sheet'!$G$5)</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 "+ "&amp;INDEX($Y$4:$Y$40,MATCH(ROW()-3,$GA$4:$GA$40,0)))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 "+ "&amp;INDEX($O$4:$O$40,MATCH(ROW()-3,$GE$4:$GE$40,0)))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 "+ "&amp;INDEX($T$4:$T$40,MATCH(ROW()-3,$GI$4:$GI$40,0)))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 "+ "&amp;INDEX($AD$4:$AD$40,MATCH(ROW()-3,$GM$4:$GM$40,0)))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 "+ "&amp;INDEX($AI$4:$AI$40,MATCH(ROW()-3,$GQ$4:$GQ$40,0)))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 "+ "&amp;INDEX($AN$4:$AN$40,MATCH(ROW()-3,$GU$4:$GU$40,0)))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 "+ "&amp;INDEX($AS$4:$AS$40,MATCH(ROW()-3,$GY$4:$GY$40,0)))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 "+ "&amp;INDEX($AX$4:$AX$40,MATCH(ROW()-3,$HC$4:$HC$40,0)))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 "+ "&amp;INDEX($BC$4:$BC$40,MATCH(ROW()-3,$HG$4:$HG$40,0)))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 "+ "&amp;INDEX($BH$4:$BH$40,MATCH(ROW()-3,$HK$4:$HK$40,0)))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 "+ "&amp;INDEX($BM$4:$BM$40,MATCH(ROW()-3,$HO$4:$HO$40,0)))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 "+ "&amp;INDEX($BR$4:$BR$40,MATCH(ROW()-3,$HS$4:$HS$40,0)))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 "+ "&amp;INDEX($BW$4:$BW$40,MATCH(ROW()-3,$HW$4:$HW$40,0)))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 "+ "&amp;INDEX($CB$4:$CB$40,MATCH(ROW()-3,$IA$4:$IA$40,0)))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 "+ "&amp;INDEX($CG$4:$CG$40,MATCH(ROW()-3,$IE$4:$IE$40,0)))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 "+ "&amp;INDEX($CL$4:$CL$40,MATCH(ROW()-3,$II$4:$II$40,0)))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 "+ "&amp;INDEX($CQ$4:$CQ$40,MATCH(ROW()-3,$IM$4:$IM$40,0)))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 "+ "&amp;INDEX($CV$4:$CV$40,MATCH(ROW()-3,$IQ$4:$IQ$40,0)))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 "+ "&amp;INDEX($DA$4:$DA$40,MATCH(ROW()-3,$IU$4:$IU$40,0)))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 "+ "&amp;INDEX($DF$4:$DF$40,MATCH(ROW()-3,$IY$4:$IY$40,0)))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 "+ "&amp;INDEX($DK$4:$DK$40,MATCH(ROW()-3,$JC$4:$JC$40,0)))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 "+ "&amp;INDEX($DP$4:$DP$40,MATCH(ROW()-3,$JG$4:$JG$40,0)))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 "+ "&amp;INDEX($DU$4:$DU$40,MATCH(ROW()-3,$JK$4:$JK$40,0)))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 "+ "&amp;INDEX($DZ$4:$DZ$40,MATCH(ROW()-3,$JO$4:$JO$40,0)))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 "+ "&amp;INDEX($EE$4:$EE$40,MATCH(ROW()-3,$JS$4:$JS$40,0)))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 "+ "&amp;INDEX($EJ$4:$EJ$40,MATCH(ROW()-3,$JW$4:$JW$40,0)))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 "+ "&amp;INDEX($EO$4:$EO$40,MATCH(ROW()-3,$KA$4:$KA$40,0)))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 "+ "&amp;INDEX($ET$4:$ET$40,MATCH(ROW()-3,$KE$4:$KE$40,0)))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 "+ "&amp;INDEX($EY$4:$EY$40,MATCH(ROW()-3,$KI$4:$KI$40,0)))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 "+ "&amp;INDEX($FD$4:$FD$40,MATCH(ROW()-3,$KM$4:$KM$40,0)))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 "+ "&amp;INDEX($FX$4:$FX$40,MATCH(ROW()-3,$KQ$4:$KQ$40,0)))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 "+ "&amp;INDEX($FI$4:$FI$40,MATCH(ROW()-3,$KU$4:$KU$40,0)))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 "+ "&amp;INDEX($FN$4:$FN$40,MATCH(ROW()-3,$KY$4:$KY$40,0)))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 "+ "&amp;INDEX($FS$4:$FS$40,MATCH(ROW()-3,$LC$4:$LC$40,0)))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IF(IFERROR('Final Calculation Sheet'!$G$6,"")="","","+ "&amp;'Final Calculation Sheet'!$G$6)</f>
        <v/>
      </c>
      <c r="B43">
        <f>IF(A43="","",COUNTIFS(A$4:A$114,"&lt;"&amp;A43,A$4:A$114,"&lt;&gt;"&amp;"")+COUNTIF(A$4:A43,A43))</f>
        <v/>
      </c>
      <c r="C43">
        <f>IF(ROW()-3&gt;COUNTIF(A$4:A$114,"&lt;&gt;"&amp;""),"",INDEX(A$4:A$114,MATCH(ROW()-3,B$4:B$114,0)))</f>
        <v/>
      </c>
      <c r="D43">
        <f>D42+IF(AND(C43&lt;&gt;"",COUNTIF(C$4:C43,C43)=1),1,0)</f>
        <v/>
      </c>
      <c r="E43">
        <f>IF(ROW()-3&gt;MAX(D$4:D$114),"",INDEX(C$4:C$114,MATCH(ROW()-3,D$4:D$114,0)))</f>
        <v/>
      </c>
    </row>
    <row r="44">
      <c r="A44">
        <f>IF(IFERROR('Final Calculation Sheet'!$G$7,"")="","","+ "&amp;'Final Calculation Sheet'!$G$7)</f>
        <v/>
      </c>
      <c r="B44">
        <f>IF(A44="","",COUNTIFS(A$4:A$114,"&lt;"&amp;A44,A$4:A$114,"&lt;&gt;"&amp;"")+COUNTIF(A$4:A44,A44))</f>
        <v/>
      </c>
      <c r="C44">
        <f>IF(ROW()-3&gt;COUNTIF(A$4:A$114,"&lt;&gt;"&amp;""),"",INDEX(A$4:A$114,MATCH(ROW()-3,B$4:B$114,0)))</f>
        <v/>
      </c>
      <c r="D44">
        <f>D43+IF(AND(C44&lt;&gt;"",COUNTIF(C$4:C44,C44)=1),1,0)</f>
        <v/>
      </c>
      <c r="E44">
        <f>IF(ROW()-3&gt;MAX(D$4:D$114),"",INDEX(C$4:C$114,MATCH(ROW()-3,D$4:D$114,0)))</f>
        <v/>
      </c>
    </row>
    <row r="45">
      <c r="A45">
        <f>IF(IFERROR('Final Calculation Sheet'!$G$8,"")="","","+ "&amp;'Final Calculation Sheet'!$G$8)</f>
        <v/>
      </c>
      <c r="B45">
        <f>IF(A45="","",COUNTIFS(A$4:A$114,"&lt;"&amp;A45,A$4:A$114,"&lt;&gt;"&amp;"")+COUNTIF(A$4:A45,A45))</f>
        <v/>
      </c>
      <c r="C45">
        <f>IF(ROW()-3&gt;COUNTIF(A$4:A$114,"&lt;&gt;"&amp;""),"",INDEX(A$4:A$114,MATCH(ROW()-3,B$4:B$114,0)))</f>
        <v/>
      </c>
      <c r="D45">
        <f>D44+IF(AND(C45&lt;&gt;"",COUNTIF(C$4:C45,C45)=1),1,0)</f>
        <v/>
      </c>
      <c r="E45">
        <f>IF(ROW()-3&gt;MAX(D$4:D$114),"",INDEX(C$4:C$114,MATCH(ROW()-3,D$4:D$114,0)))</f>
        <v/>
      </c>
    </row>
    <row r="46">
      <c r="A46">
        <f>IF(IFERROR('Final Calculation Sheet'!$G$9,"")="","","+ "&amp;'Final Calculation Sheet'!$G$9)</f>
        <v/>
      </c>
      <c r="B46">
        <f>IF(A46="","",COUNTIFS(A$4:A$114,"&lt;"&amp;A46,A$4:A$114,"&lt;&gt;"&amp;"")+COUNTIF(A$4:A46,A46))</f>
        <v/>
      </c>
      <c r="C46">
        <f>IF(ROW()-3&gt;COUNTIF(A$4:A$114,"&lt;&gt;"&amp;""),"",INDEX(A$4:A$114,MATCH(ROW()-3,B$4:B$114,0)))</f>
        <v/>
      </c>
      <c r="D46">
        <f>D45+IF(AND(C46&lt;&gt;"",COUNTIF(C$4:C46,C46)=1),1,0)</f>
        <v/>
      </c>
      <c r="E46">
        <f>IF(ROW()-3&gt;MAX(D$4:D$114),"",INDEX(C$4:C$114,MATCH(ROW()-3,D$4:D$114,0)))</f>
        <v/>
      </c>
    </row>
    <row r="47">
      <c r="A47">
        <f>IF(IFERROR('Final Calculation Sheet'!$G$10,"")="","","+ "&amp;'Final Calculation Sheet'!$G$10)</f>
        <v/>
      </c>
      <c r="B47">
        <f>IF(A47="","",COUNTIFS(A$4:A$114,"&lt;"&amp;A47,A$4:A$114,"&lt;&gt;"&amp;"")+COUNTIF(A$4:A47,A47))</f>
        <v/>
      </c>
      <c r="C47">
        <f>IF(ROW()-3&gt;COUNTIF(A$4:A$114,"&lt;&gt;"&amp;""),"",INDEX(A$4:A$114,MATCH(ROW()-3,B$4:B$114,0)))</f>
        <v/>
      </c>
      <c r="D47">
        <f>D46+IF(AND(C47&lt;&gt;"",COUNTIF(C$4:C47,C47)=1),1,0)</f>
        <v/>
      </c>
      <c r="E47">
        <f>IF(ROW()-3&gt;MAX(D$4:D$114),"",INDEX(C$4:C$114,MATCH(ROW()-3,D$4:D$114,0)))</f>
        <v/>
      </c>
    </row>
    <row r="48">
      <c r="A48">
        <f>IF(IFERROR('Final Calculation Sheet'!$G$11,"")="","","+ "&amp;'Final Calculation Sheet'!$G$11)</f>
        <v/>
      </c>
      <c r="B48">
        <f>IF(A48="","",COUNTIFS(A$4:A$114,"&lt;"&amp;A48,A$4:A$114,"&lt;&gt;"&amp;"")+COUNTIF(A$4:A48,A48))</f>
        <v/>
      </c>
      <c r="C48">
        <f>IF(ROW()-3&gt;COUNTIF(A$4:A$114,"&lt;&gt;"&amp;""),"",INDEX(A$4:A$114,MATCH(ROW()-3,B$4:B$114,0)))</f>
        <v/>
      </c>
      <c r="D48">
        <f>D47+IF(AND(C48&lt;&gt;"",COUNTIF(C$4:C48,C48)=1),1,0)</f>
        <v/>
      </c>
      <c r="E48">
        <f>IF(ROW()-3&gt;MAX(D$4:D$114),"",INDEX(C$4:C$114,MATCH(ROW()-3,D$4:D$114,0)))</f>
        <v/>
      </c>
    </row>
    <row r="49">
      <c r="A49">
        <f>IF(IFERROR('Final Calculation Sheet'!$G$12,"")="","","+ "&amp;'Final Calculation Sheet'!$G$12)</f>
        <v/>
      </c>
      <c r="B49">
        <f>IF(A49="","",COUNTIFS(A$4:A$114,"&lt;"&amp;A49,A$4:A$114,"&lt;&gt;"&amp;"")+COUNTIF(A$4:A49,A49))</f>
        <v/>
      </c>
      <c r="C49">
        <f>IF(ROW()-3&gt;COUNTIF(A$4:A$114,"&lt;&gt;"&amp;""),"",INDEX(A$4:A$114,MATCH(ROW()-3,B$4:B$114,0)))</f>
        <v/>
      </c>
      <c r="D49">
        <f>D48+IF(AND(C49&lt;&gt;"",COUNTIF(C$4:C49,C49)=1),1,0)</f>
        <v/>
      </c>
      <c r="E49">
        <f>IF(ROW()-3&gt;MAX(D$4:D$114),"",INDEX(C$4:C$114,MATCH(ROW()-3,D$4:D$114,0)))</f>
        <v/>
      </c>
    </row>
    <row r="50">
      <c r="A50">
        <f>IF(IFERROR('Final Calculation Sheet'!$G$13,"")="","","+ "&amp;'Final Calculation Sheet'!$G$13)</f>
        <v/>
      </c>
      <c r="B50">
        <f>IF(A50="","",COUNTIFS(A$4:A$114,"&lt;"&amp;A50,A$4:A$114,"&lt;&gt;"&amp;"")+COUNTIF(A$4:A50,A50))</f>
        <v/>
      </c>
      <c r="C50">
        <f>IF(ROW()-3&gt;COUNTIF(A$4:A$114,"&lt;&gt;"&amp;""),"",INDEX(A$4:A$114,MATCH(ROW()-3,B$4:B$114,0)))</f>
        <v/>
      </c>
      <c r="D50">
        <f>D49+IF(AND(C50&lt;&gt;"",COUNTIF(C$4:C50,C50)=1),1,0)</f>
        <v/>
      </c>
      <c r="E50">
        <f>IF(ROW()-3&gt;MAX(D$4:D$114),"",INDEX(C$4:C$114,MATCH(ROW()-3,D$4:D$114,0)))</f>
        <v/>
      </c>
    </row>
    <row r="51">
      <c r="A51">
        <f>IF(IFERROR('Final Calculation Sheet'!$G$14,"")="","","+ "&amp;'Final Calculation Sheet'!$G$14)</f>
        <v/>
      </c>
      <c r="B51">
        <f>IF(A51="","",COUNTIFS(A$4:A$114,"&lt;"&amp;A51,A$4:A$114,"&lt;&gt;"&amp;"")+COUNTIF(A$4:A51,A51))</f>
        <v/>
      </c>
      <c r="C51">
        <f>IF(ROW()-3&gt;COUNTIF(A$4:A$114,"&lt;&gt;"&amp;""),"",INDEX(A$4:A$114,MATCH(ROW()-3,B$4:B$114,0)))</f>
        <v/>
      </c>
      <c r="D51">
        <f>D50+IF(AND(C51&lt;&gt;"",COUNTIF(C$4:C51,C51)=1),1,0)</f>
        <v/>
      </c>
      <c r="E51">
        <f>IF(ROW()-3&gt;MAX(D$4:D$114),"",INDEX(C$4:C$114,MATCH(ROW()-3,D$4:D$114,0)))</f>
        <v/>
      </c>
    </row>
    <row r="52">
      <c r="A52">
        <f>IF(IFERROR('Final Calculation Sheet'!$G$15,"")="","","+ "&amp;'Final Calculation Sheet'!$G$15)</f>
        <v/>
      </c>
      <c r="B52">
        <f>IF(A52="","",COUNTIFS(A$4:A$114,"&lt;"&amp;A52,A$4:A$114,"&lt;&gt;"&amp;"")+COUNTIF(A$4:A52,A52))</f>
        <v/>
      </c>
      <c r="C52">
        <f>IF(ROW()-3&gt;COUNTIF(A$4:A$114,"&lt;&gt;"&amp;""),"",INDEX(A$4:A$114,MATCH(ROW()-3,B$4:B$114,0)))</f>
        <v/>
      </c>
      <c r="D52">
        <f>D51+IF(AND(C52&lt;&gt;"",COUNTIF(C$4:C52,C52)=1),1,0)</f>
        <v/>
      </c>
      <c r="E52">
        <f>IF(ROW()-3&gt;MAX(D$4:D$114),"",INDEX(C$4:C$114,MATCH(ROW()-3,D$4:D$114,0)))</f>
        <v/>
      </c>
    </row>
    <row r="53">
      <c r="A53">
        <f>IF(IFERROR('Final Calculation Sheet'!$G$16,"")="","","+ "&amp;'Final Calculation Sheet'!$G$16)</f>
        <v/>
      </c>
      <c r="B53">
        <f>IF(A53="","",COUNTIFS(A$4:A$114,"&lt;"&amp;A53,A$4:A$114,"&lt;&gt;"&amp;"")+COUNTIF(A$4:A53,A53))</f>
        <v/>
      </c>
      <c r="C53">
        <f>IF(ROW()-3&gt;COUNTIF(A$4:A$114,"&lt;&gt;"&amp;""),"",INDEX(A$4:A$114,MATCH(ROW()-3,B$4:B$114,0)))</f>
        <v/>
      </c>
      <c r="D53">
        <f>D52+IF(AND(C53&lt;&gt;"",COUNTIF(C$4:C53,C53)=1),1,0)</f>
        <v/>
      </c>
      <c r="E53">
        <f>IF(ROW()-3&gt;MAX(D$4:D$114),"",INDEX(C$4:C$114,MATCH(ROW()-3,D$4:D$114,0)))</f>
        <v/>
      </c>
    </row>
    <row r="54">
      <c r="A54">
        <f>IF(IFERROR('Final Calculation Sheet'!$G$17,"")="","","+ "&amp;'Final Calculation Sheet'!$G$17)</f>
        <v/>
      </c>
      <c r="B54">
        <f>IF(A54="","",COUNTIFS(A$4:A$114,"&lt;"&amp;A54,A$4:A$114,"&lt;&gt;"&amp;"")+COUNTIF(A$4:A54,A54))</f>
        <v/>
      </c>
      <c r="C54">
        <f>IF(ROW()-3&gt;COUNTIF(A$4:A$114,"&lt;&gt;"&amp;""),"",INDEX(A$4:A$114,MATCH(ROW()-3,B$4:B$114,0)))</f>
        <v/>
      </c>
      <c r="D54">
        <f>D53+IF(AND(C54&lt;&gt;"",COUNTIF(C$4:C54,C54)=1),1,0)</f>
        <v/>
      </c>
      <c r="E54">
        <f>IF(ROW()-3&gt;MAX(D$4:D$114),"",INDEX(C$4:C$114,MATCH(ROW()-3,D$4:D$114,0)))</f>
        <v/>
      </c>
    </row>
    <row r="55">
      <c r="A55">
        <f>IF(IFERROR('Final Calculation Sheet'!$G$18,"")="","","+ "&amp;'Final Calculation Sheet'!$G$18)</f>
        <v/>
      </c>
      <c r="B55">
        <f>IF(A55="","",COUNTIFS(A$4:A$114,"&lt;"&amp;A55,A$4:A$114,"&lt;&gt;"&amp;"")+COUNTIF(A$4:A55,A55))</f>
        <v/>
      </c>
      <c r="C55">
        <f>IF(ROW()-3&gt;COUNTIF(A$4:A$114,"&lt;&gt;"&amp;""),"",INDEX(A$4:A$114,MATCH(ROW()-3,B$4:B$114,0)))</f>
        <v/>
      </c>
      <c r="D55">
        <f>D54+IF(AND(C55&lt;&gt;"",COUNTIF(C$4:C55,C55)=1),1,0)</f>
        <v/>
      </c>
      <c r="E55">
        <f>IF(ROW()-3&gt;MAX(D$4:D$114),"",INDEX(C$4:C$114,MATCH(ROW()-3,D$4:D$114,0)))</f>
        <v/>
      </c>
    </row>
    <row r="56">
      <c r="A56">
        <f>IF(IFERROR('Final Calculation Sheet'!$G$19,"")="","","+ "&amp;'Final Calculation Sheet'!$G$19)</f>
        <v/>
      </c>
      <c r="B56">
        <f>IF(A56="","",COUNTIFS(A$4:A$114,"&lt;"&amp;A56,A$4:A$114,"&lt;&gt;"&amp;"")+COUNTIF(A$4:A56,A56))</f>
        <v/>
      </c>
      <c r="C56">
        <f>IF(ROW()-3&gt;COUNTIF(A$4:A$114,"&lt;&gt;"&amp;""),"",INDEX(A$4:A$114,MATCH(ROW()-3,B$4:B$114,0)))</f>
        <v/>
      </c>
      <c r="D56">
        <f>D55+IF(AND(C56&lt;&gt;"",COUNTIF(C$4:C56,C56)=1),1,0)</f>
        <v/>
      </c>
      <c r="E56">
        <f>IF(ROW()-3&gt;MAX(D$4:D$114),"",INDEX(C$4:C$114,MATCH(ROW()-3,D$4:D$114,0)))</f>
        <v/>
      </c>
    </row>
    <row r="57">
      <c r="A57">
        <f>IF(IFERROR('Final Calculation Sheet'!$G$20,"")="","","+ "&amp;'Final Calculation Sheet'!$G$20)</f>
        <v/>
      </c>
      <c r="B57">
        <f>IF(A57="","",COUNTIFS(A$4:A$114,"&lt;"&amp;A57,A$4:A$114,"&lt;&gt;"&amp;"")+COUNTIF(A$4:A57,A57))</f>
        <v/>
      </c>
      <c r="C57">
        <f>IF(ROW()-3&gt;COUNTIF(A$4:A$114,"&lt;&gt;"&amp;""),"",INDEX(A$4:A$114,MATCH(ROW()-3,B$4:B$114,0)))</f>
        <v/>
      </c>
      <c r="D57">
        <f>D56+IF(AND(C57&lt;&gt;"",COUNTIF(C$4:C57,C57)=1),1,0)</f>
        <v/>
      </c>
      <c r="E57">
        <f>IF(ROW()-3&gt;MAX(D$4:D$114),"",INDEX(C$4:C$114,MATCH(ROW()-3,D$4:D$114,0)))</f>
        <v/>
      </c>
    </row>
    <row r="58">
      <c r="A58">
        <f>IF(IFERROR('Final Calculation Sheet'!$G$21,"")="","","+ "&amp;'Final Calculation Sheet'!$G$21)</f>
        <v/>
      </c>
      <c r="B58">
        <f>IF(A58="","",COUNTIFS(A$4:A$114,"&lt;"&amp;A58,A$4:A$114,"&lt;&gt;"&amp;"")+COUNTIF(A$4:A58,A58))</f>
        <v/>
      </c>
      <c r="C58">
        <f>IF(ROW()-3&gt;COUNTIF(A$4:A$114,"&lt;&gt;"&amp;""),"",INDEX(A$4:A$114,MATCH(ROW()-3,B$4:B$114,0)))</f>
        <v/>
      </c>
      <c r="D58">
        <f>D57+IF(AND(C58&lt;&gt;"",COUNTIF(C$4:C58,C58)=1),1,0)</f>
        <v/>
      </c>
      <c r="E58">
        <f>IF(ROW()-3&gt;MAX(D$4:D$114),"",INDEX(C$4:C$114,MATCH(ROW()-3,D$4:D$114,0)))</f>
        <v/>
      </c>
    </row>
    <row r="59">
      <c r="A59">
        <f>IF(IFERROR('Final Calculation Sheet'!$G$22,"")="","","+ "&amp;'Final Calculation Sheet'!$G$22)</f>
        <v/>
      </c>
      <c r="B59">
        <f>IF(A59="","",COUNTIFS(A$4:A$114,"&lt;"&amp;A59,A$4:A$114,"&lt;&gt;"&amp;"")+COUNTIF(A$4:A59,A59))</f>
        <v/>
      </c>
      <c r="C59">
        <f>IF(ROW()-3&gt;COUNTIF(A$4:A$114,"&lt;&gt;"&amp;""),"",INDEX(A$4:A$114,MATCH(ROW()-3,B$4:B$114,0)))</f>
        <v/>
      </c>
      <c r="D59">
        <f>D58+IF(AND(C59&lt;&gt;"",COUNTIF(C$4:C59,C59)=1),1,0)</f>
        <v/>
      </c>
      <c r="E59">
        <f>IF(ROW()-3&gt;MAX(D$4:D$114),"",INDEX(C$4:C$114,MATCH(ROW()-3,D$4:D$114,0)))</f>
        <v/>
      </c>
    </row>
    <row r="60">
      <c r="A60">
        <f>IF(IFERROR('Final Calculation Sheet'!$G$23,"")="","","+ "&amp;'Final Calculation Sheet'!$G$23)</f>
        <v/>
      </c>
      <c r="B60">
        <f>IF(A60="","",COUNTIFS(A$4:A$114,"&lt;"&amp;A60,A$4:A$114,"&lt;&gt;"&amp;"")+COUNTIF(A$4:A60,A60))</f>
        <v/>
      </c>
      <c r="C60">
        <f>IF(ROW()-3&gt;COUNTIF(A$4:A$114,"&lt;&gt;"&amp;""),"",INDEX(A$4:A$114,MATCH(ROW()-3,B$4:B$114,0)))</f>
        <v/>
      </c>
      <c r="D60">
        <f>D59+IF(AND(C60&lt;&gt;"",COUNTIF(C$4:C60,C60)=1),1,0)</f>
        <v/>
      </c>
      <c r="E60">
        <f>IF(ROW()-3&gt;MAX(D$4:D$114),"",INDEX(C$4:C$114,MATCH(ROW()-3,D$4:D$114,0)))</f>
        <v/>
      </c>
    </row>
    <row r="61">
      <c r="A61">
        <f>IF(IFERROR('Final Calculation Sheet'!$G$24,"")="","","+ "&amp;'Final Calculation Sheet'!$G$24)</f>
        <v/>
      </c>
      <c r="B61">
        <f>IF(A61="","",COUNTIFS(A$4:A$114,"&lt;"&amp;A61,A$4:A$114,"&lt;&gt;"&amp;"")+COUNTIF(A$4:A61,A61))</f>
        <v/>
      </c>
      <c r="C61">
        <f>IF(ROW()-3&gt;COUNTIF(A$4:A$114,"&lt;&gt;"&amp;""),"",INDEX(A$4:A$114,MATCH(ROW()-3,B$4:B$114,0)))</f>
        <v/>
      </c>
      <c r="D61">
        <f>D60+IF(AND(C61&lt;&gt;"",COUNTIF(C$4:C61,C61)=1),1,0)</f>
        <v/>
      </c>
      <c r="E61">
        <f>IF(ROW()-3&gt;MAX(D$4:D$114),"",INDEX(C$4:C$114,MATCH(ROW()-3,D$4:D$114,0)))</f>
        <v/>
      </c>
    </row>
    <row r="62">
      <c r="A62">
        <f>IF(IFERROR('Final Calculation Sheet'!$G$25,"")="","","+ "&amp;'Final Calculation Sheet'!$G$25)</f>
        <v/>
      </c>
      <c r="B62">
        <f>IF(A62="","",COUNTIFS(A$4:A$114,"&lt;"&amp;A62,A$4:A$114,"&lt;&gt;"&amp;"")+COUNTIF(A$4:A62,A62))</f>
        <v/>
      </c>
      <c r="C62">
        <f>IF(ROW()-3&gt;COUNTIF(A$4:A$114,"&lt;&gt;"&amp;""),"",INDEX(A$4:A$114,MATCH(ROW()-3,B$4:B$114,0)))</f>
        <v/>
      </c>
      <c r="D62">
        <f>D61+IF(AND(C62&lt;&gt;"",COUNTIF(C$4:C62,C62)=1),1,0)</f>
        <v/>
      </c>
      <c r="E62">
        <f>IF(ROW()-3&gt;MAX(D$4:D$114),"",INDEX(C$4:C$114,MATCH(ROW()-3,D$4:D$114,0)))</f>
        <v/>
      </c>
    </row>
    <row r="63">
      <c r="A63">
        <f>IF(IFERROR('Final Calculation Sheet'!$G$26,"")="","","+ "&amp;'Final Calculation Sheet'!$G$26)</f>
        <v/>
      </c>
      <c r="B63">
        <f>IF(A63="","",COUNTIFS(A$4:A$114,"&lt;"&amp;A63,A$4:A$114,"&lt;&gt;"&amp;"")+COUNTIF(A$4:A63,A63))</f>
        <v/>
      </c>
      <c r="C63">
        <f>IF(ROW()-3&gt;COUNTIF(A$4:A$114,"&lt;&gt;"&amp;""),"",INDEX(A$4:A$114,MATCH(ROW()-3,B$4:B$114,0)))</f>
        <v/>
      </c>
      <c r="D63">
        <f>D62+IF(AND(C63&lt;&gt;"",COUNTIF(C$4:C63,C63)=1),1,0)</f>
        <v/>
      </c>
      <c r="E63">
        <f>IF(ROW()-3&gt;MAX(D$4:D$114),"",INDEX(C$4:C$114,MATCH(ROW()-3,D$4:D$114,0)))</f>
        <v/>
      </c>
    </row>
    <row r="64">
      <c r="A64">
        <f>IF(IFERROR('Final Calculation Sheet'!$G$27,"")="","","+ "&amp;'Final Calculation Sheet'!$G$27)</f>
        <v/>
      </c>
      <c r="B64">
        <f>IF(A64="","",COUNTIFS(A$4:A$114,"&lt;"&amp;A64,A$4:A$114,"&lt;&gt;"&amp;"")+COUNTIF(A$4:A64,A64))</f>
        <v/>
      </c>
      <c r="C64">
        <f>IF(ROW()-3&gt;COUNTIF(A$4:A$114,"&lt;&gt;"&amp;""),"",INDEX(A$4:A$114,MATCH(ROW()-3,B$4:B$114,0)))</f>
        <v/>
      </c>
      <c r="D64">
        <f>D63+IF(AND(C64&lt;&gt;"",COUNTIF(C$4:C64,C64)=1),1,0)</f>
        <v/>
      </c>
      <c r="E64">
        <f>IF(ROW()-3&gt;MAX(D$4:D$114),"",INDEX(C$4:C$114,MATCH(ROW()-3,D$4:D$114,0)))</f>
        <v/>
      </c>
    </row>
    <row r="65">
      <c r="A65">
        <f>IF(IFERROR('Final Calculation Sheet'!$G$28,"")="","","+ "&amp;'Final Calculation Sheet'!$G$28)</f>
        <v/>
      </c>
      <c r="B65">
        <f>IF(A65="","",COUNTIFS(A$4:A$114,"&lt;"&amp;A65,A$4:A$114,"&lt;&gt;"&amp;"")+COUNTIF(A$4:A65,A65))</f>
        <v/>
      </c>
      <c r="C65">
        <f>IF(ROW()-3&gt;COUNTIF(A$4:A$114,"&lt;&gt;"&amp;""),"",INDEX(A$4:A$114,MATCH(ROW()-3,B$4:B$114,0)))</f>
        <v/>
      </c>
      <c r="D65">
        <f>D64+IF(AND(C65&lt;&gt;"",COUNTIF(C$4:C65,C65)=1),1,0)</f>
        <v/>
      </c>
      <c r="E65">
        <f>IF(ROW()-3&gt;MAX(D$4:D$114),"",INDEX(C$4:C$114,MATCH(ROW()-3,D$4:D$114,0)))</f>
        <v/>
      </c>
    </row>
    <row r="66">
      <c r="A66">
        <f>IF(IFERROR('Final Calculation Sheet'!$G$29,"")="","","+ "&amp;'Final Calculation Sheet'!$G$29)</f>
        <v/>
      </c>
      <c r="B66">
        <f>IF(A66="","",COUNTIFS(A$4:A$114,"&lt;"&amp;A66,A$4:A$114,"&lt;&gt;"&amp;"")+COUNTIF(A$4:A66,A66))</f>
        <v/>
      </c>
      <c r="C66">
        <f>IF(ROW()-3&gt;COUNTIF(A$4:A$114,"&lt;&gt;"&amp;""),"",INDEX(A$4:A$114,MATCH(ROW()-3,B$4:B$114,0)))</f>
        <v/>
      </c>
      <c r="D66">
        <f>D65+IF(AND(C66&lt;&gt;"",COUNTIF(C$4:C66,C66)=1),1,0)</f>
        <v/>
      </c>
      <c r="E66">
        <f>IF(ROW()-3&gt;MAX(D$4:D$114),"",INDEX(C$4:C$114,MATCH(ROW()-3,D$4:D$114,0)))</f>
        <v/>
      </c>
    </row>
    <row r="67">
      <c r="A67">
        <f>IF(IFERROR('Final Calculation Sheet'!$G$30,"")="","","+ "&amp;'Final Calculation Sheet'!$G$30)</f>
        <v/>
      </c>
      <c r="B67">
        <f>IF(A67="","",COUNTIFS(A$4:A$114,"&lt;"&amp;A67,A$4:A$114,"&lt;&gt;"&amp;"")+COUNTIF(A$4:A67,A67))</f>
        <v/>
      </c>
      <c r="C67">
        <f>IF(ROW()-3&gt;COUNTIF(A$4:A$114,"&lt;&gt;"&amp;""),"",INDEX(A$4:A$114,MATCH(ROW()-3,B$4:B$114,0)))</f>
        <v/>
      </c>
      <c r="D67">
        <f>D66+IF(AND(C67&lt;&gt;"",COUNTIF(C$4:C67,C67)=1),1,0)</f>
        <v/>
      </c>
      <c r="E67">
        <f>IF(ROW()-3&gt;MAX(D$4:D$114),"",INDEX(C$4:C$114,MATCH(ROW()-3,D$4:D$114,0)))</f>
        <v/>
      </c>
    </row>
    <row r="68">
      <c r="A68">
        <f>IF(IFERROR('Final Calculation Sheet'!$G$31,"")="","","+ "&amp;'Final Calculation Sheet'!$G$31)</f>
        <v/>
      </c>
      <c r="B68">
        <f>IF(A68="","",COUNTIFS(A$4:A$114,"&lt;"&amp;A68,A$4:A$114,"&lt;&gt;"&amp;"")+COUNTIF(A$4:A68,A68))</f>
        <v/>
      </c>
      <c r="C68">
        <f>IF(ROW()-3&gt;COUNTIF(A$4:A$114,"&lt;&gt;"&amp;""),"",INDEX(A$4:A$114,MATCH(ROW()-3,B$4:B$114,0)))</f>
        <v/>
      </c>
      <c r="D68">
        <f>D67+IF(AND(C68&lt;&gt;"",COUNTIF(C$4:C68,C68)=1),1,0)</f>
        <v/>
      </c>
      <c r="E68">
        <f>IF(ROW()-3&gt;MAX(D$4:D$114),"",INDEX(C$4:C$114,MATCH(ROW()-3,D$4:D$114,0)))</f>
        <v/>
      </c>
    </row>
    <row r="69">
      <c r="A69">
        <f>IF(IFERROR('Final Calculation Sheet'!$G$32,"")="","","+ "&amp;'Final Calculation Sheet'!$G$32)</f>
        <v/>
      </c>
      <c r="B69">
        <f>IF(A69="","",COUNTIFS(A$4:A$114,"&lt;"&amp;A69,A$4:A$114,"&lt;&gt;"&amp;"")+COUNTIF(A$4:A69,A69))</f>
        <v/>
      </c>
      <c r="C69">
        <f>IF(ROW()-3&gt;COUNTIF(A$4:A$114,"&lt;&gt;"&amp;""),"",INDEX(A$4:A$114,MATCH(ROW()-3,B$4:B$114,0)))</f>
        <v/>
      </c>
      <c r="D69">
        <f>D68+IF(AND(C69&lt;&gt;"",COUNTIF(C$4:C69,C69)=1),1,0)</f>
        <v/>
      </c>
      <c r="E69">
        <f>IF(ROW()-3&gt;MAX(D$4:D$114),"",INDEX(C$4:C$114,MATCH(ROW()-3,D$4:D$114,0)))</f>
        <v/>
      </c>
    </row>
    <row r="70">
      <c r="A70">
        <f>IF(IFERROR('Final Calculation Sheet'!$G$33,"")="","","+ "&amp;'Final Calculation Sheet'!$G$33)</f>
        <v/>
      </c>
      <c r="B70">
        <f>IF(A70="","",COUNTIFS(A$4:A$114,"&lt;"&amp;A70,A$4:A$114,"&lt;&gt;"&amp;"")+COUNTIF(A$4:A70,A70))</f>
        <v/>
      </c>
      <c r="C70">
        <f>IF(ROW()-3&gt;COUNTIF(A$4:A$114,"&lt;&gt;"&amp;""),"",INDEX(A$4:A$114,MATCH(ROW()-3,B$4:B$114,0)))</f>
        <v/>
      </c>
      <c r="D70">
        <f>D69+IF(AND(C70&lt;&gt;"",COUNTIF(C$4:C70,C70)=1),1,0)</f>
        <v/>
      </c>
      <c r="E70">
        <f>IF(ROW()-3&gt;MAX(D$4:D$114),"",INDEX(C$4:C$114,MATCH(ROW()-3,D$4:D$114,0)))</f>
        <v/>
      </c>
    </row>
    <row r="71">
      <c r="A71">
        <f>IF(IFERROR('Final Calculation Sheet'!$G$34,"")="","","+ "&amp;'Final Calculation Sheet'!$G$34)</f>
        <v/>
      </c>
      <c r="B71">
        <f>IF(A71="","",COUNTIFS(A$4:A$114,"&lt;"&amp;A71,A$4:A$114,"&lt;&gt;"&amp;"")+COUNTIF(A$4:A71,A71))</f>
        <v/>
      </c>
      <c r="C71">
        <f>IF(ROW()-3&gt;COUNTIF(A$4:A$114,"&lt;&gt;"&amp;""),"",INDEX(A$4:A$114,MATCH(ROW()-3,B$4:B$114,0)))</f>
        <v/>
      </c>
      <c r="D71">
        <f>D70+IF(AND(C71&lt;&gt;"",COUNTIF(C$4:C71,C71)=1),1,0)</f>
        <v/>
      </c>
      <c r="E71">
        <f>IF(ROW()-3&gt;MAX(D$4:D$114),"",INDEX(C$4:C$114,MATCH(ROW()-3,D$4:D$114,0)))</f>
        <v/>
      </c>
    </row>
    <row r="72">
      <c r="A72">
        <f>IF(IFERROR('Final Calculation Sheet'!$G$35,"")="","","+ "&amp;'Final Calculation Sheet'!$G$35)</f>
        <v/>
      </c>
      <c r="B72">
        <f>IF(A72="","",COUNTIFS(A$4:A$114,"&lt;"&amp;A72,A$4:A$114,"&lt;&gt;"&amp;"")+COUNTIF(A$4:A72,A72))</f>
        <v/>
      </c>
      <c r="C72">
        <f>IF(ROW()-3&gt;COUNTIF(A$4:A$114,"&lt;&gt;"&amp;""),"",INDEX(A$4:A$114,MATCH(ROW()-3,B$4:B$114,0)))</f>
        <v/>
      </c>
      <c r="D72">
        <f>D71+IF(AND(C72&lt;&gt;"",COUNTIF(C$4:C72,C72)=1),1,0)</f>
        <v/>
      </c>
      <c r="E72">
        <f>IF(ROW()-3&gt;MAX(D$4:D$114),"",INDEX(C$4:C$114,MATCH(ROW()-3,D$4:D$114,0)))</f>
        <v/>
      </c>
    </row>
    <row r="73">
      <c r="A73">
        <f>IF(IFERROR('Final Calculation Sheet'!$G$36,"")="","","+ "&amp;'Final Calculation Sheet'!$G$36)</f>
        <v/>
      </c>
      <c r="B73">
        <f>IF(A73="","",COUNTIFS(A$4:A$114,"&lt;"&amp;A73,A$4:A$114,"&lt;&gt;"&amp;"")+COUNTIF(A$4:A73,A73))</f>
        <v/>
      </c>
      <c r="C73">
        <f>IF(ROW()-3&gt;COUNTIF(A$4:A$114,"&lt;&gt;"&amp;""),"",INDEX(A$4:A$114,MATCH(ROW()-3,B$4:B$114,0)))</f>
        <v/>
      </c>
      <c r="D73">
        <f>D72+IF(AND(C73&lt;&gt;"",COUNTIF(C$4:C73,C73)=1),1,0)</f>
        <v/>
      </c>
      <c r="E73">
        <f>IF(ROW()-3&gt;MAX(D$4:D$114),"",INDEX(C$4:C$114,MATCH(ROW()-3,D$4:D$114,0)))</f>
        <v/>
      </c>
    </row>
    <row r="74">
      <c r="A74">
        <f>IF(IFERROR('Final Calculation Sheet'!$G$37,"")="","","+ "&amp;'Final Calculation Sheet'!$G$37)</f>
        <v/>
      </c>
      <c r="B74">
        <f>IF(A74="","",COUNTIFS(A$4:A$114,"&lt;"&amp;A74,A$4:A$114,"&lt;&gt;"&amp;"")+COUNTIF(A$4:A74,A74))</f>
        <v/>
      </c>
      <c r="C74">
        <f>IF(ROW()-3&gt;COUNTIF(A$4:A$114,"&lt;&gt;"&amp;""),"",INDEX(A$4:A$114,MATCH(ROW()-3,B$4:B$114,0)))</f>
        <v/>
      </c>
      <c r="D74">
        <f>D73+IF(AND(C74&lt;&gt;"",COUNTIF(C$4:C74,C74)=1),1,0)</f>
        <v/>
      </c>
      <c r="E74">
        <f>IF(ROW()-3&gt;MAX(D$4:D$114),"",INDEX(C$4:C$114,MATCH(ROW()-3,D$4:D$114,0)))</f>
        <v/>
      </c>
    </row>
    <row r="75">
      <c r="A75">
        <f>IF(IFERROR('Final Calculation Sheet'!$G$38,"")="","","+ "&amp;'Final Calculation Sheet'!$G$38)</f>
        <v/>
      </c>
      <c r="B75">
        <f>IF(A75="","",COUNTIFS(A$4:A$114,"&lt;"&amp;A75,A$4:A$114,"&lt;&gt;"&amp;"")+COUNTIF(A$4:A75,A75))</f>
        <v/>
      </c>
      <c r="C75">
        <f>IF(ROW()-3&gt;COUNTIF(A$4:A$114,"&lt;&gt;"&amp;""),"",INDEX(A$4:A$114,MATCH(ROW()-3,B$4:B$114,0)))</f>
        <v/>
      </c>
      <c r="D75">
        <f>D74+IF(AND(C75&lt;&gt;"",COUNTIF(C$4:C75,C75)=1),1,0)</f>
        <v/>
      </c>
      <c r="E75">
        <f>IF(ROW()-3&gt;MAX(D$4:D$114),"",INDEX(C$4:C$114,MATCH(ROW()-3,D$4:D$114,0)))</f>
        <v/>
      </c>
    </row>
    <row r="76">
      <c r="A76">
        <f>IF(IFERROR('Final Calculation Sheet'!$G$39,"")="","","+ "&amp;'Final Calculation Sheet'!$G$39)</f>
        <v/>
      </c>
      <c r="B76">
        <f>IF(A76="","",COUNTIFS(A$4:A$114,"&lt;"&amp;A76,A$4:A$114,"&lt;&gt;"&amp;"")+COUNTIF(A$4:A76,A76))</f>
        <v/>
      </c>
      <c r="C76">
        <f>IF(ROW()-3&gt;COUNTIF(A$4:A$114,"&lt;&gt;"&amp;""),"",INDEX(A$4:A$114,MATCH(ROW()-3,B$4:B$114,0)))</f>
        <v/>
      </c>
      <c r="D76">
        <f>D75+IF(AND(C76&lt;&gt;"",COUNTIF(C$4:C76,C76)=1),1,0)</f>
        <v/>
      </c>
      <c r="E76">
        <f>IF(ROW()-3&gt;MAX(D$4:D$114),"",INDEX(C$4:C$114,MATCH(ROW()-3,D$4:D$114,0)))</f>
        <v/>
      </c>
    </row>
    <row r="77">
      <c r="A77">
        <f>IF(IFERROR('Final Calculation Sheet'!$G$40,"")="","","+ "&amp;'Final Calculation Sheet'!$G$40)</f>
        <v/>
      </c>
      <c r="B77">
        <f>IF(A77="","",COUNTIFS(A$4:A$114,"&lt;"&amp;A77,A$4:A$114,"&lt;&gt;"&amp;"")+COUNTIF(A$4:A77,A77))</f>
        <v/>
      </c>
      <c r="C77">
        <f>IF(ROW()-3&gt;COUNTIF(A$4:A$114,"&lt;&gt;"&amp;""),"",INDEX(A$4:A$114,MATCH(ROW()-3,B$4:B$114,0)))</f>
        <v/>
      </c>
      <c r="D77">
        <f>D76+IF(AND(C77&lt;&gt;"",COUNTIF(C$4:C77,C77)=1),1,0)</f>
        <v/>
      </c>
      <c r="E77">
        <f>IF(ROW()-3&gt;MAX(D$4:D$114),"",INDEX(C$4:C$114,MATCH(ROW()-3,D$4:D$114,0)))</f>
        <v/>
      </c>
    </row>
    <row r="78">
      <c r="A78">
        <f>IF(IFERROR('Final Calculation Sheet'!$B$4,"")="","","+ "&amp;'Final Calculation Sheet'!$B$4)</f>
        <v/>
      </c>
      <c r="B78">
        <f>IF(A78="","",COUNTIFS(A$4:A$114,"&lt;"&amp;A78,A$4:A$114,"&lt;&gt;"&amp;"")+COUNTIF(A$4:A78,A78))</f>
        <v/>
      </c>
      <c r="C78">
        <f>IF(ROW()-3&gt;COUNTIF(A$4:A$114,"&lt;&gt;"&amp;""),"",INDEX(A$4:A$114,MATCH(ROW()-3,B$4:B$114,0)))</f>
        <v/>
      </c>
      <c r="D78">
        <f>D77+IF(AND(C78&lt;&gt;"",COUNTIF(C$4:C78,C78)=1),1,0)</f>
        <v/>
      </c>
      <c r="E78">
        <f>IF(ROW()-3&gt;MAX(D$4:D$114),"",INDEX(C$4:C$114,MATCH(ROW()-3,D$4:D$114,0)))</f>
        <v/>
      </c>
    </row>
    <row r="79">
      <c r="A79">
        <f>IF(IFERROR('Final Calculation Sheet'!$B$5,"")="","","+ "&amp;'Final Calculation Sheet'!$B$5)</f>
        <v/>
      </c>
      <c r="B79">
        <f>IF(A79="","",COUNTIFS(A$4:A$114,"&lt;"&amp;A79,A$4:A$114,"&lt;&gt;"&amp;"")+COUNTIF(A$4:A79,A79))</f>
        <v/>
      </c>
      <c r="C79">
        <f>IF(ROW()-3&gt;COUNTIF(A$4:A$114,"&lt;&gt;"&amp;""),"",INDEX(A$4:A$114,MATCH(ROW()-3,B$4:B$114,0)))</f>
        <v/>
      </c>
      <c r="D79">
        <f>D78+IF(AND(C79&lt;&gt;"",COUNTIF(C$4:C79,C79)=1),1,0)</f>
        <v/>
      </c>
      <c r="E79">
        <f>IF(ROW()-3&gt;MAX(D$4:D$114),"",INDEX(C$4:C$114,MATCH(ROW()-3,D$4:D$114,0)))</f>
        <v/>
      </c>
    </row>
    <row r="80">
      <c r="A80">
        <f>IF(IFERROR('Final Calculation Sheet'!$B$6,"")="","","+ "&amp;'Final Calculation Sheet'!$B$6)</f>
        <v/>
      </c>
      <c r="B80">
        <f>IF(A80="","",COUNTIFS(A$4:A$114,"&lt;"&amp;A80,A$4:A$114,"&lt;&gt;"&amp;"")+COUNTIF(A$4:A80,A80))</f>
        <v/>
      </c>
      <c r="C80">
        <f>IF(ROW()-3&gt;COUNTIF(A$4:A$114,"&lt;&gt;"&amp;""),"",INDEX(A$4:A$114,MATCH(ROW()-3,B$4:B$114,0)))</f>
        <v/>
      </c>
      <c r="D80">
        <f>D79+IF(AND(C80&lt;&gt;"",COUNTIF(C$4:C80,C80)=1),1,0)</f>
        <v/>
      </c>
      <c r="E80">
        <f>IF(ROW()-3&gt;MAX(D$4:D$114),"",INDEX(C$4:C$114,MATCH(ROW()-3,D$4:D$114,0)))</f>
        <v/>
      </c>
    </row>
    <row r="81">
      <c r="A81">
        <f>IF(IFERROR('Final Calculation Sheet'!$B$7,"")="","","+ "&amp;'Final Calculation Sheet'!$B$7)</f>
        <v/>
      </c>
      <c r="B81">
        <f>IF(A81="","",COUNTIFS(A$4:A$114,"&lt;"&amp;A81,A$4:A$114,"&lt;&gt;"&amp;"")+COUNTIF(A$4:A81,A81))</f>
        <v/>
      </c>
      <c r="C81">
        <f>IF(ROW()-3&gt;COUNTIF(A$4:A$114,"&lt;&gt;"&amp;""),"",INDEX(A$4:A$114,MATCH(ROW()-3,B$4:B$114,0)))</f>
        <v/>
      </c>
      <c r="D81">
        <f>D80+IF(AND(C81&lt;&gt;"",COUNTIF(C$4:C81,C81)=1),1,0)</f>
        <v/>
      </c>
      <c r="E81">
        <f>IF(ROW()-3&gt;MAX(D$4:D$114),"",INDEX(C$4:C$114,MATCH(ROW()-3,D$4:D$114,0)))</f>
        <v/>
      </c>
    </row>
    <row r="82">
      <c r="A82">
        <f>IF(IFERROR('Final Calculation Sheet'!$B$8,"")="","","+ "&amp;'Final Calculation Sheet'!$B$8)</f>
        <v/>
      </c>
      <c r="B82">
        <f>IF(A82="","",COUNTIFS(A$4:A$114,"&lt;"&amp;A82,A$4:A$114,"&lt;&gt;"&amp;"")+COUNTIF(A$4:A82,A82))</f>
        <v/>
      </c>
      <c r="C82">
        <f>IF(ROW()-3&gt;COUNTIF(A$4:A$114,"&lt;&gt;"&amp;""),"",INDEX(A$4:A$114,MATCH(ROW()-3,B$4:B$114,0)))</f>
        <v/>
      </c>
      <c r="D82">
        <f>D81+IF(AND(C82&lt;&gt;"",COUNTIF(C$4:C82,C82)=1),1,0)</f>
        <v/>
      </c>
      <c r="E82">
        <f>IF(ROW()-3&gt;MAX(D$4:D$114),"",INDEX(C$4:C$114,MATCH(ROW()-3,D$4:D$114,0)))</f>
        <v/>
      </c>
    </row>
    <row r="83">
      <c r="A83">
        <f>IF(IFERROR('Final Calculation Sheet'!$B$9,"")="","","+ "&amp;'Final Calculation Sheet'!$B$9)</f>
        <v/>
      </c>
      <c r="B83">
        <f>IF(A83="","",COUNTIFS(A$4:A$114,"&lt;"&amp;A83,A$4:A$114,"&lt;&gt;"&amp;"")+COUNTIF(A$4:A83,A83))</f>
        <v/>
      </c>
      <c r="C83">
        <f>IF(ROW()-3&gt;COUNTIF(A$4:A$114,"&lt;&gt;"&amp;""),"",INDEX(A$4:A$114,MATCH(ROW()-3,B$4:B$114,0)))</f>
        <v/>
      </c>
      <c r="D83">
        <f>D82+IF(AND(C83&lt;&gt;"",COUNTIF(C$4:C83,C83)=1),1,0)</f>
        <v/>
      </c>
      <c r="E83">
        <f>IF(ROW()-3&gt;MAX(D$4:D$114),"",INDEX(C$4:C$114,MATCH(ROW()-3,D$4:D$114,0)))</f>
        <v/>
      </c>
    </row>
    <row r="84">
      <c r="A84">
        <f>IF(IFERROR('Final Calculation Sheet'!$B$10,"")="","","+ "&amp;'Final Calculation Sheet'!$B$10)</f>
        <v/>
      </c>
      <c r="B84">
        <f>IF(A84="","",COUNTIFS(A$4:A$114,"&lt;"&amp;A84,A$4:A$114,"&lt;&gt;"&amp;"")+COUNTIF(A$4:A84,A84))</f>
        <v/>
      </c>
      <c r="C84">
        <f>IF(ROW()-3&gt;COUNTIF(A$4:A$114,"&lt;&gt;"&amp;""),"",INDEX(A$4:A$114,MATCH(ROW()-3,B$4:B$114,0)))</f>
        <v/>
      </c>
      <c r="D84">
        <f>D83+IF(AND(C84&lt;&gt;"",COUNTIF(C$4:C84,C84)=1),1,0)</f>
        <v/>
      </c>
      <c r="E84">
        <f>IF(ROW()-3&gt;MAX(D$4:D$114),"",INDEX(C$4:C$114,MATCH(ROW()-3,D$4:D$114,0)))</f>
        <v/>
      </c>
    </row>
    <row r="85">
      <c r="A85">
        <f>IF(IFERROR('Final Calculation Sheet'!$B$11,"")="","","+ "&amp;'Final Calculation Sheet'!$B$11)</f>
        <v/>
      </c>
      <c r="B85">
        <f>IF(A85="","",COUNTIFS(A$4:A$114,"&lt;"&amp;A85,A$4:A$114,"&lt;&gt;"&amp;"")+COUNTIF(A$4:A85,A85))</f>
        <v/>
      </c>
      <c r="C85">
        <f>IF(ROW()-3&gt;COUNTIF(A$4:A$114,"&lt;&gt;"&amp;""),"",INDEX(A$4:A$114,MATCH(ROW()-3,B$4:B$114,0)))</f>
        <v/>
      </c>
      <c r="D85">
        <f>D84+IF(AND(C85&lt;&gt;"",COUNTIF(C$4:C85,C85)=1),1,0)</f>
        <v/>
      </c>
      <c r="E85">
        <f>IF(ROW()-3&gt;MAX(D$4:D$114),"",INDEX(C$4:C$114,MATCH(ROW()-3,D$4:D$114,0)))</f>
        <v/>
      </c>
    </row>
    <row r="86">
      <c r="A86">
        <f>IF(IFERROR('Final Calculation Sheet'!$B$12,"")="","","+ "&amp;'Final Calculation Sheet'!$B$12)</f>
        <v/>
      </c>
      <c r="B86">
        <f>IF(A86="","",COUNTIFS(A$4:A$114,"&lt;"&amp;A86,A$4:A$114,"&lt;&gt;"&amp;"")+COUNTIF(A$4:A86,A86))</f>
        <v/>
      </c>
      <c r="C86">
        <f>IF(ROW()-3&gt;COUNTIF(A$4:A$114,"&lt;&gt;"&amp;""),"",INDEX(A$4:A$114,MATCH(ROW()-3,B$4:B$114,0)))</f>
        <v/>
      </c>
      <c r="D86">
        <f>D85+IF(AND(C86&lt;&gt;"",COUNTIF(C$4:C86,C86)=1),1,0)</f>
        <v/>
      </c>
      <c r="E86">
        <f>IF(ROW()-3&gt;MAX(D$4:D$114),"",INDEX(C$4:C$114,MATCH(ROW()-3,D$4:D$114,0)))</f>
        <v/>
      </c>
    </row>
    <row r="87">
      <c r="A87">
        <f>IF(IFERROR('Final Calculation Sheet'!$B$13,"")="","","+ "&amp;'Final Calculation Sheet'!$B$13)</f>
        <v/>
      </c>
      <c r="B87">
        <f>IF(A87="","",COUNTIFS(A$4:A$114,"&lt;"&amp;A87,A$4:A$114,"&lt;&gt;"&amp;"")+COUNTIF(A$4:A87,A87))</f>
        <v/>
      </c>
      <c r="C87">
        <f>IF(ROW()-3&gt;COUNTIF(A$4:A$114,"&lt;&gt;"&amp;""),"",INDEX(A$4:A$114,MATCH(ROW()-3,B$4:B$114,0)))</f>
        <v/>
      </c>
      <c r="D87">
        <f>D86+IF(AND(C87&lt;&gt;"",COUNTIF(C$4:C87,C87)=1),1,0)</f>
        <v/>
      </c>
      <c r="E87">
        <f>IF(ROW()-3&gt;MAX(D$4:D$114),"",INDEX(C$4:C$114,MATCH(ROW()-3,D$4:D$114,0)))</f>
        <v/>
      </c>
    </row>
    <row r="88">
      <c r="A88">
        <f>IF(IFERROR('Final Calculation Sheet'!$B$14,"")="","","+ "&amp;'Final Calculation Sheet'!$B$14)</f>
        <v/>
      </c>
      <c r="B88">
        <f>IF(A88="","",COUNTIFS(A$4:A$114,"&lt;"&amp;A88,A$4:A$114,"&lt;&gt;"&amp;"")+COUNTIF(A$4:A88,A88))</f>
        <v/>
      </c>
      <c r="C88">
        <f>IF(ROW()-3&gt;COUNTIF(A$4:A$114,"&lt;&gt;"&amp;""),"",INDEX(A$4:A$114,MATCH(ROW()-3,B$4:B$114,0)))</f>
        <v/>
      </c>
      <c r="D88">
        <f>D87+IF(AND(C88&lt;&gt;"",COUNTIF(C$4:C88,C88)=1),1,0)</f>
        <v/>
      </c>
      <c r="E88">
        <f>IF(ROW()-3&gt;MAX(D$4:D$114),"",INDEX(C$4:C$114,MATCH(ROW()-3,D$4:D$114,0)))</f>
        <v/>
      </c>
    </row>
    <row r="89">
      <c r="A89">
        <f>IF(IFERROR('Final Calculation Sheet'!$B$15,"")="","","+ "&amp;'Final Calculation Sheet'!$B$15)</f>
        <v/>
      </c>
      <c r="B89">
        <f>IF(A89="","",COUNTIFS(A$4:A$114,"&lt;"&amp;A89,A$4:A$114,"&lt;&gt;"&amp;"")+COUNTIF(A$4:A89,A89))</f>
        <v/>
      </c>
      <c r="C89">
        <f>IF(ROW()-3&gt;COUNTIF(A$4:A$114,"&lt;&gt;"&amp;""),"",INDEX(A$4:A$114,MATCH(ROW()-3,B$4:B$114,0)))</f>
        <v/>
      </c>
      <c r="D89">
        <f>D88+IF(AND(C89&lt;&gt;"",COUNTIF(C$4:C89,C89)=1),1,0)</f>
        <v/>
      </c>
      <c r="E89">
        <f>IF(ROW()-3&gt;MAX(D$4:D$114),"",INDEX(C$4:C$114,MATCH(ROW()-3,D$4:D$114,0)))</f>
        <v/>
      </c>
    </row>
    <row r="90">
      <c r="A90">
        <f>IF(IFERROR('Final Calculation Sheet'!$B$16,"")="","","+ "&amp;'Final Calculation Sheet'!$B$16)</f>
        <v/>
      </c>
      <c r="B90">
        <f>IF(A90="","",COUNTIFS(A$4:A$114,"&lt;"&amp;A90,A$4:A$114,"&lt;&gt;"&amp;"")+COUNTIF(A$4:A90,A90))</f>
        <v/>
      </c>
      <c r="C90">
        <f>IF(ROW()-3&gt;COUNTIF(A$4:A$114,"&lt;&gt;"&amp;""),"",INDEX(A$4:A$114,MATCH(ROW()-3,B$4:B$114,0)))</f>
        <v/>
      </c>
      <c r="D90">
        <f>D89+IF(AND(C90&lt;&gt;"",COUNTIF(C$4:C90,C90)=1),1,0)</f>
        <v/>
      </c>
      <c r="E90">
        <f>IF(ROW()-3&gt;MAX(D$4:D$114),"",INDEX(C$4:C$114,MATCH(ROW()-3,D$4:D$114,0)))</f>
        <v/>
      </c>
    </row>
    <row r="91">
      <c r="A91">
        <f>IF(IFERROR('Final Calculation Sheet'!$B$17,"")="","","+ "&amp;'Final Calculation Sheet'!$B$17)</f>
        <v/>
      </c>
      <c r="B91">
        <f>IF(A91="","",COUNTIFS(A$4:A$114,"&lt;"&amp;A91,A$4:A$114,"&lt;&gt;"&amp;"")+COUNTIF(A$4:A91,A91))</f>
        <v/>
      </c>
      <c r="C91">
        <f>IF(ROW()-3&gt;COUNTIF(A$4:A$114,"&lt;&gt;"&amp;""),"",INDEX(A$4:A$114,MATCH(ROW()-3,B$4:B$114,0)))</f>
        <v/>
      </c>
      <c r="D91">
        <f>D90+IF(AND(C91&lt;&gt;"",COUNTIF(C$4:C91,C91)=1),1,0)</f>
        <v/>
      </c>
      <c r="E91">
        <f>IF(ROW()-3&gt;MAX(D$4:D$114),"",INDEX(C$4:C$114,MATCH(ROW()-3,D$4:D$114,0)))</f>
        <v/>
      </c>
    </row>
    <row r="92">
      <c r="A92">
        <f>IF(IFERROR('Final Calculation Sheet'!$B$18,"")="","","+ "&amp;'Final Calculation Sheet'!$B$18)</f>
        <v/>
      </c>
      <c r="B92">
        <f>IF(A92="","",COUNTIFS(A$4:A$114,"&lt;"&amp;A92,A$4:A$114,"&lt;&gt;"&amp;"")+COUNTIF(A$4:A92,A92))</f>
        <v/>
      </c>
      <c r="C92">
        <f>IF(ROW()-3&gt;COUNTIF(A$4:A$114,"&lt;&gt;"&amp;""),"",INDEX(A$4:A$114,MATCH(ROW()-3,B$4:B$114,0)))</f>
        <v/>
      </c>
      <c r="D92">
        <f>D91+IF(AND(C92&lt;&gt;"",COUNTIF(C$4:C92,C92)=1),1,0)</f>
        <v/>
      </c>
      <c r="E92">
        <f>IF(ROW()-3&gt;MAX(D$4:D$114),"",INDEX(C$4:C$114,MATCH(ROW()-3,D$4:D$114,0)))</f>
        <v/>
      </c>
    </row>
    <row r="93">
      <c r="A93">
        <f>IF(IFERROR('Final Calculation Sheet'!$B$19,"")="","","+ "&amp;'Final Calculation Sheet'!$B$19)</f>
        <v/>
      </c>
      <c r="B93">
        <f>IF(A93="","",COUNTIFS(A$4:A$114,"&lt;"&amp;A93,A$4:A$114,"&lt;&gt;"&amp;"")+COUNTIF(A$4:A93,A93))</f>
        <v/>
      </c>
      <c r="C93">
        <f>IF(ROW()-3&gt;COUNTIF(A$4:A$114,"&lt;&gt;"&amp;""),"",INDEX(A$4:A$114,MATCH(ROW()-3,B$4:B$114,0)))</f>
        <v/>
      </c>
      <c r="D93">
        <f>D92+IF(AND(C93&lt;&gt;"",COUNTIF(C$4:C93,C93)=1),1,0)</f>
        <v/>
      </c>
      <c r="E93">
        <f>IF(ROW()-3&gt;MAX(D$4:D$114),"",INDEX(C$4:C$114,MATCH(ROW()-3,D$4:D$114,0)))</f>
        <v/>
      </c>
    </row>
    <row r="94">
      <c r="A94">
        <f>IF(IFERROR('Final Calculation Sheet'!$B$20,"")="","","+ "&amp;'Final Calculation Sheet'!$B$20)</f>
        <v/>
      </c>
      <c r="B94">
        <f>IF(A94="","",COUNTIFS(A$4:A$114,"&lt;"&amp;A94,A$4:A$114,"&lt;&gt;"&amp;"")+COUNTIF(A$4:A94,A94))</f>
        <v/>
      </c>
      <c r="C94">
        <f>IF(ROW()-3&gt;COUNTIF(A$4:A$114,"&lt;&gt;"&amp;""),"",INDEX(A$4:A$114,MATCH(ROW()-3,B$4:B$114,0)))</f>
        <v/>
      </c>
      <c r="D94">
        <f>D93+IF(AND(C94&lt;&gt;"",COUNTIF(C$4:C94,C94)=1),1,0)</f>
        <v/>
      </c>
      <c r="E94">
        <f>IF(ROW()-3&gt;MAX(D$4:D$114),"",INDEX(C$4:C$114,MATCH(ROW()-3,D$4:D$114,0)))</f>
        <v/>
      </c>
    </row>
    <row r="95">
      <c r="A95">
        <f>IF(IFERROR('Final Calculation Sheet'!$B$21,"")="","","+ "&amp;'Final Calculation Sheet'!$B$21)</f>
        <v/>
      </c>
      <c r="B95">
        <f>IF(A95="","",COUNTIFS(A$4:A$114,"&lt;"&amp;A95,A$4:A$114,"&lt;&gt;"&amp;"")+COUNTIF(A$4:A95,A95))</f>
        <v/>
      </c>
      <c r="C95">
        <f>IF(ROW()-3&gt;COUNTIF(A$4:A$114,"&lt;&gt;"&amp;""),"",INDEX(A$4:A$114,MATCH(ROW()-3,B$4:B$114,0)))</f>
        <v/>
      </c>
      <c r="D95">
        <f>D94+IF(AND(C95&lt;&gt;"",COUNTIF(C$4:C95,C95)=1),1,0)</f>
        <v/>
      </c>
      <c r="E95">
        <f>IF(ROW()-3&gt;MAX(D$4:D$114),"",INDEX(C$4:C$114,MATCH(ROW()-3,D$4:D$114,0)))</f>
        <v/>
      </c>
    </row>
    <row r="96">
      <c r="A96">
        <f>IF(IFERROR('Final Calculation Sheet'!$B$22,"")="","","+ "&amp;'Final Calculation Sheet'!$B$22)</f>
        <v/>
      </c>
      <c r="B96">
        <f>IF(A96="","",COUNTIFS(A$4:A$114,"&lt;"&amp;A96,A$4:A$114,"&lt;&gt;"&amp;"")+COUNTIF(A$4:A96,A96))</f>
        <v/>
      </c>
      <c r="C96">
        <f>IF(ROW()-3&gt;COUNTIF(A$4:A$114,"&lt;&gt;"&amp;""),"",INDEX(A$4:A$114,MATCH(ROW()-3,B$4:B$114,0)))</f>
        <v/>
      </c>
      <c r="D96">
        <f>D95+IF(AND(C96&lt;&gt;"",COUNTIF(C$4:C96,C96)=1),1,0)</f>
        <v/>
      </c>
      <c r="E96">
        <f>IF(ROW()-3&gt;MAX(D$4:D$114),"",INDEX(C$4:C$114,MATCH(ROW()-3,D$4:D$114,0)))</f>
        <v/>
      </c>
    </row>
    <row r="97">
      <c r="A97">
        <f>IF(IFERROR('Final Calculation Sheet'!$B$23,"")="","","+ "&amp;'Final Calculation Sheet'!$B$23)</f>
        <v/>
      </c>
      <c r="B97">
        <f>IF(A97="","",COUNTIFS(A$4:A$114,"&lt;"&amp;A97,A$4:A$114,"&lt;&gt;"&amp;"")+COUNTIF(A$4:A97,A97))</f>
        <v/>
      </c>
      <c r="C97">
        <f>IF(ROW()-3&gt;COUNTIF(A$4:A$114,"&lt;&gt;"&amp;""),"",INDEX(A$4:A$114,MATCH(ROW()-3,B$4:B$114,0)))</f>
        <v/>
      </c>
      <c r="D97">
        <f>D96+IF(AND(C97&lt;&gt;"",COUNTIF(C$4:C97,C97)=1),1,0)</f>
        <v/>
      </c>
      <c r="E97">
        <f>IF(ROW()-3&gt;MAX(D$4:D$114),"",INDEX(C$4:C$114,MATCH(ROW()-3,D$4:D$114,0)))</f>
        <v/>
      </c>
    </row>
    <row r="98">
      <c r="A98">
        <f>IF(IFERROR('Final Calculation Sheet'!$B$24,"")="","","+ "&amp;'Final Calculation Sheet'!$B$24)</f>
        <v/>
      </c>
      <c r="B98">
        <f>IF(A98="","",COUNTIFS(A$4:A$114,"&lt;"&amp;A98,A$4:A$114,"&lt;&gt;"&amp;"")+COUNTIF(A$4:A98,A98))</f>
        <v/>
      </c>
      <c r="C98">
        <f>IF(ROW()-3&gt;COUNTIF(A$4:A$114,"&lt;&gt;"&amp;""),"",INDEX(A$4:A$114,MATCH(ROW()-3,B$4:B$114,0)))</f>
        <v/>
      </c>
      <c r="D98">
        <f>D97+IF(AND(C98&lt;&gt;"",COUNTIF(C$4:C98,C98)=1),1,0)</f>
        <v/>
      </c>
      <c r="E98">
        <f>IF(ROW()-3&gt;MAX(D$4:D$114),"",INDEX(C$4:C$114,MATCH(ROW()-3,D$4:D$114,0)))</f>
        <v/>
      </c>
    </row>
    <row r="99">
      <c r="A99">
        <f>IF(IFERROR('Final Calculation Sheet'!$B$25,"")="","","+ "&amp;'Final Calculation Sheet'!$B$25)</f>
        <v/>
      </c>
      <c r="B99">
        <f>IF(A99="","",COUNTIFS(A$4:A$114,"&lt;"&amp;A99,A$4:A$114,"&lt;&gt;"&amp;"")+COUNTIF(A$4:A99,A99))</f>
        <v/>
      </c>
      <c r="C99">
        <f>IF(ROW()-3&gt;COUNTIF(A$4:A$114,"&lt;&gt;"&amp;""),"",INDEX(A$4:A$114,MATCH(ROW()-3,B$4:B$114,0)))</f>
        <v/>
      </c>
      <c r="D99">
        <f>D98+IF(AND(C99&lt;&gt;"",COUNTIF(C$4:C99,C99)=1),1,0)</f>
        <v/>
      </c>
      <c r="E99">
        <f>IF(ROW()-3&gt;MAX(D$4:D$114),"",INDEX(C$4:C$114,MATCH(ROW()-3,D$4:D$114,0)))</f>
        <v/>
      </c>
    </row>
    <row r="100">
      <c r="A100">
        <f>IF(IFERROR('Final Calculation Sheet'!$B$26,"")="","","+ "&amp;'Final Calculation Sheet'!$B$26)</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IF(IFERROR('Final Calculation Sheet'!$B$27,"")="","","+ "&amp;'Final Calculation Sheet'!$B$27)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IF(IFERROR('Final Calculation Sheet'!$B$28,"")="","","+ "&amp;'Final Calculation Sheet'!$B$28)</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IF(IFERROR('Final Calculation Sheet'!$B$29,"")="","","+ "&amp;'Final Calculation Sheet'!$B$29)</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IF(IFERROR('Final Calculation Sheet'!$B$30,"")="","","+ "&amp;'Final Calculation Sheet'!$B$30)</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IF(IFERROR('Final Calculation Sheet'!$B$31,"")="","","+ "&amp;'Final Calculation Sheet'!$B$31)</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IF(IFERROR('Final Calculation Sheet'!$B$32,"")="","","+ "&amp;'Final Calculation Sheet'!$B$32)</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IF(IFERROR('Final Calculation Sheet'!$B$33,"")="","","+ "&amp;'Final Calculation Sheet'!$B$33)</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IF(IFERROR('Final Calculation Sheet'!$B$34,"")="","","+ "&amp;'Final Calculation Sheet'!$B$34)</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IF(IFERROR('Final Calculation Sheet'!$B$35,"")="","","+ "&amp;'Final Calculation Sheet'!$B$35)</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IF(IFERROR('Final Calculation Sheet'!$B$36,"")="","","+ "&amp;'Final Calculation Sheet'!$B$36)</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IF(IFERROR('Final Calculation Sheet'!$B$37,"")="","","+ "&amp;'Final Calculation Sheet'!$B$37)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IF(IFERROR('Final Calculation Sheet'!$B$38,"")="","","+ "&amp;'Final Calculation Sheet'!$B$38)</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IF(IFERROR('Final Calculation Sheet'!$B$39,"")="","","+ "&amp;'Final Calculation Sheet'!$B$39)</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IF(IFERROR('Final Calculation Sheet'!$B$40,"")="","","+ "&amp;'Final Calculation Sheet'!$B$40)</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