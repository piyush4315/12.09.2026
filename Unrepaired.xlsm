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P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MATCHED LOTS (THE PINNED STRIP) — the strip in rows 7:43 can list every matching lot in one place (same rule as the yellow highlight: contains-text per column, AND across columns, (blank)/(nonblank) supported). While a search is on it stays closed, because the matching lots are already visible at the top of the lifted buyer blocks and the strip would list every filtered row a second time; the +/- control on row 44 opens or closes it by hand, and the next edit of the SEARCH row closes it again. For multi-value ANY (comma) or wildcards use Live Search.  •  LIFT MATCHING BLOCKS — as soon as any SEARCH box holds a value, every buyer block holding a matching lot lifts itself to the top of the list (matched lots first inside the block) and the other blocks sit just beneath, in the plain alphabetical order; it re-checks on every keystroke, and clearing the SEARCH row puts the plain order back. Double-click the ▸ MATCHED LOTS bar (row 6) to lift or put the blocks back by hand; the next edit of the SEARCH row brings the live lifting back. Blocks are physically moved, never rewritten, so shading, row groups, subtotals and every live link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c r="EP2" s="0" t="inlineStr">
        <is>
          <t>▸ MATCHED LOTS  —  type in any yellow SEARCH box and the matching buyers’ whole blocks lift to the top of the list by themselves (matched lots first inside each block), with the other blocks just beneath and the non-matching lots greyed.  The pinned strip in rows 7:43 stays closed while the search is on, so no filtered row is listed twice - open it by hand with the +/- control on row 44 if you want the flat list.  Clear the SEARCH row and the plain order comes back; double-click this row to lift or put the blocks back by hand.</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c r="A6" s="117" t="inlineStr">
        <is>
          <t>▸ MATCHED LOTS</t>
        </is>
      </c>
      <c r="B6" s="117" t="n"/>
      <c r="C6" s="117" t="str">
        <f>IF(COUNTIF($B$4:$AI$4,"&lt;&gt;")=0,$EP$2,"▶ MATCHED LOTS  —  "&amp;SUM($AJ$6:$AJ$42)&amp;" of 37 lot(s) match   ·   non-matching lots are greyed out in the blocks below   ·   double-click this row to lift the matching buyer blocks up, double-click again to put them back"&amp;IF($EP$1=1,"   ·   THE BLOCKS ARE LIFTED - double-click here to put them back",""))</f>
        <v>▸ MATCHED LOTS  —  type in any yellow SEARCH box and the matching buyers’ whole blocks lift to the top of the list by themselves (matched lots first inside each block), with the other blocks just beneath and the non-matching lots greyed.  The pinned strip in rows 7:43 stays closed while the search is on, so no filtered row is listed twice - open it by hand with the +/- control on row 44 if you want the flat list.  Clear the SEARCH row and the plain order comes back; double-click this row to lift or put the blocks back by hand.</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c r="AJ6">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c r="DG6">
        <f>IF($B$4="",1,IF($B$4="(blank)",--('Final Calculation Sheet'!$F$4=""),IF($B$4="(nonblank)",--('Final Calculation Sheet'!$F$4&lt;&gt;""),--ISNUMBER(SEARCH($B$4,'Final Calculation Sheet'!$F$4)))))</f>
        <v/>
      </c>
      <c r="DH6">
        <f>IF($C$4="",1,IF($C$4="(blank)",--('Final Calculation Sheet'!$G$4=""),IF($C$4="(nonblank)",--('Final Calculation Sheet'!$G$4&lt;&gt;""),--ISNUMBER(SEARCH($C$4,'Final Calculation Sheet'!$G$4)))))</f>
        <v/>
      </c>
      <c r="DI6">
        <f>IF($D$4="",1,IF($D$4="(blank)",--('Final Calculation Sheet'!$B$4=""),IF($D$4="(nonblank)",--('Final Calculation Sheet'!$B$4&lt;&gt;""),--ISNUMBER(SEARCH($D$4,'Final Calculation Sheet'!$B$4)))))</f>
        <v/>
      </c>
      <c r="DJ6">
        <f>IF($E$4="",1,IF($E$4="(blank)",--('Final Calculation Sheet'!$D$4=""),IF($E$4="(nonblank)",--('Final Calculation Sheet'!$D$4&lt;&gt;""),--ISNUMBER(SEARCH($E$4,'Final Calculation Sheet'!$D$4)))))</f>
        <v/>
      </c>
      <c r="DK6">
        <f>IF($F$4="",1,IF($F$4="(blank)",--('Final Calculation Sheet'!$A$4=""),IF($F$4="(nonblank)",--('Final Calculation Sheet'!$A$4&lt;&gt;""),--ISNUMBER(SEARCH($F$4,'Final Calculation Sheet'!$A$4)))))</f>
        <v/>
      </c>
      <c r="DL6">
        <f>IF($G$4="",1,IF($G$4="(blank)",--('Final Calculation Sheet'!$E$4=""),IF($G$4="(nonblank)",--('Final Calculation Sheet'!$E$4&lt;&gt;""),--ISNUMBER(SEARCH($G$4,'Final Calculation Sheet'!$E$4)))))</f>
        <v/>
      </c>
      <c r="DM6">
        <f>IF($H$4="",1,IF($H$4="(blank)",--('Final Calculation Sheet'!$C$4=""),IF($H$4="(nonblank)",--('Final Calculation Sheet'!$C$4&lt;&gt;""),--ISNUMBER(SEARCH($H$4,'Final Calculation Sheet'!$C$4)))))</f>
        <v/>
      </c>
      <c r="DN6">
        <f>IF($I$4="",1,IF($I$4="(blank)",--('Final Calculation Sheet'!$H$4=""),IF($I$4="(nonblank)",--('Final Calculation Sheet'!$H$4&lt;&gt;""),--ISNUMBER(SEARCH($I$4,'Final Calculation Sheet'!$H$4)))))</f>
        <v/>
      </c>
      <c r="DO6">
        <f>IF($J$4="",1,IF($J$4="(blank)",--('Final Calculation Sheet'!$I$4=""),IF($J$4="(nonblank)",--('Final Calculation Sheet'!$I$4&lt;&gt;""),--ISNUMBER(SEARCH($J$4,'Final Calculation Sheet'!$I$4)))))</f>
        <v/>
      </c>
      <c r="DP6">
        <f>IF($K$4="",1,IF($K$4="(blank)",--('Final Calculation Sheet'!$J$4=""),IF($K$4="(nonblank)",--('Final Calculation Sheet'!$J$4&lt;&gt;""),--ISNUMBER(SEARCH($K$4,'Final Calculation Sheet'!$J$4)))))</f>
        <v/>
      </c>
      <c r="DQ6">
        <f>IF($L$4="",1,IF($L$4="(blank)",--('Final Calculation Sheet'!$K$4=""),IF($L$4="(nonblank)",--('Final Calculation Sheet'!$K$4&lt;&gt;""),--ISNUMBER(SEARCH($L$4,'Final Calculation Sheet'!$K$4)))))</f>
        <v/>
      </c>
      <c r="DR6">
        <f>IF($M$4="",1,IF($M$4="(blank)",--('Final Calculation Sheet'!$L$4=""),IF($M$4="(nonblank)",--('Final Calculation Sheet'!$L$4&lt;&gt;""),--ISNUMBER(SEARCH($M$4,'Final Calculation Sheet'!$L$4)))))</f>
        <v/>
      </c>
      <c r="DS6">
        <f>IF($N$4="",1,IF($N$4="(blank)",--('Final Calculation Sheet'!$M$4=""),IF($N$4="(nonblank)",--('Final Calculation Sheet'!$M$4&lt;&gt;""),--ISNUMBER(SEARCH($N$4,'Final Calculation Sheet'!$M$4)))))</f>
        <v/>
      </c>
      <c r="DT6">
        <f>IF($O$4="",1,IF($O$4="(blank)",--('Final Calculation Sheet'!$N$4=""),IF($O$4="(nonblank)",--('Final Calculation Sheet'!$N$4&lt;&gt;""),--ISNUMBER(SEARCH($O$4,'Final Calculation Sheet'!$N$4)))))</f>
        <v/>
      </c>
      <c r="DU6">
        <f>IF($P$4="",1,IF($P$4="(blank)",--('Final Calculation Sheet'!$O$4=""),IF($P$4="(nonblank)",--('Final Calculation Sheet'!$O$4&lt;&gt;""),--ISNUMBER(SEARCH($P$4,'Final Calculation Sheet'!$O$4)))))</f>
        <v/>
      </c>
      <c r="DV6">
        <f>IF($Q$4="",1,IF($Q$4="(blank)",--('Final Calculation Sheet'!$P$4=""),IF($Q$4="(nonblank)",--('Final Calculation Sheet'!$P$4&lt;&gt;""),--ISNUMBER(SEARCH($Q$4,'Final Calculation Sheet'!$P$4)))))</f>
        <v/>
      </c>
      <c r="DW6">
        <f>IF($R$4="",1,IF($R$4="(blank)",--('Final Calculation Sheet'!$Q$4=""),IF($R$4="(nonblank)",--('Final Calculation Sheet'!$Q$4&lt;&gt;""),--ISNUMBER(SEARCH($R$4,'Final Calculation Sheet'!$Q$4)))))</f>
        <v/>
      </c>
      <c r="DX6">
        <f>IF($S$4="",1,IF($S$4="(blank)",--('Final Calculation Sheet'!$R$4=""),IF($S$4="(nonblank)",--('Final Calculation Sheet'!$R$4&lt;&gt;""),--ISNUMBER(SEARCH($S$4,'Final Calculation Sheet'!$R$4)))))</f>
        <v/>
      </c>
      <c r="DY6">
        <f>IF($T$4="",1,IF($T$4="(blank)",--('Final Calculation Sheet'!$S$4=""),IF($T$4="(nonblank)",--('Final Calculation Sheet'!$S$4&lt;&gt;""),--ISNUMBER(SEARCH($T$4,'Final Calculation Sheet'!$S$4)))))</f>
        <v/>
      </c>
      <c r="DZ6">
        <f>IF($U$4="",1,IF($U$4="(blank)",--('Final Calculation Sheet'!$T$4=""),IF($U$4="(nonblank)",--('Final Calculation Sheet'!$T$4&lt;&gt;""),--ISNUMBER(SEARCH($U$4,'Final Calculation Sheet'!$T$4)))))</f>
        <v/>
      </c>
      <c r="EA6">
        <f>IF($V$4="",1,IF($V$4="(blank)",--('Final Calculation Sheet'!$U$4=""),IF($V$4="(nonblank)",--('Final Calculation Sheet'!$U$4&lt;&gt;""),--ISNUMBER(SEARCH($V$4,'Final Calculation Sheet'!$U$4)))))</f>
        <v/>
      </c>
      <c r="EB6">
        <f>IF($W$4="",1,IF($W$4="(blank)",--('Final Calculation Sheet'!$V$4=""),IF($W$4="(nonblank)",--('Final Calculation Sheet'!$V$4&lt;&gt;""),--ISNUMBER(SEARCH($W$4,'Final Calculation Sheet'!$V$4)))))</f>
        <v/>
      </c>
      <c r="EC6">
        <f>IF($X$4="",1,IF($X$4="(blank)",--('Final Calculation Sheet'!$W$4=""),IF($X$4="(nonblank)",--('Final Calculation Sheet'!$W$4&lt;&gt;""),--ISNUMBER(SEARCH($X$4,'Final Calculation Sheet'!$W$4)))))</f>
        <v/>
      </c>
      <c r="ED6">
        <f>IF($Y$4="",1,IF($Y$4="(blank)",--('Final Calculation Sheet'!$X$4=""),IF($Y$4="(nonblank)",--('Final Calculation Sheet'!$X$4&lt;&gt;""),--ISNUMBER(SEARCH($Y$4,'Final Calculation Sheet'!$X$4)))))</f>
        <v/>
      </c>
      <c r="EE6">
        <f>IF($Z$4="",1,IF($Z$4="(blank)",--('Final Calculation Sheet'!$Y$4=""),IF($Z$4="(nonblank)",--('Final Calculation Sheet'!$Y$4&lt;&gt;""),--ISNUMBER(SEARCH($Z$4,'Final Calculation Sheet'!$Y$4)))))</f>
        <v/>
      </c>
      <c r="EF6">
        <f>IF($AA$4="",1,IF($AA$4="(blank)",--('Final Calculation Sheet'!$Z$4=""),IF($AA$4="(nonblank)",--('Final Calculation Sheet'!$Z$4&lt;&gt;""),--ISNUMBER(SEARCH($AA$4,'Final Calculation Sheet'!$Z$4)))))</f>
        <v/>
      </c>
      <c r="EG6">
        <f>IF($AB$4="",1,IF($AB$4="(blank)",--('Final Calculation Sheet'!$AA$4=""),IF($AB$4="(nonblank)",--('Final Calculation Sheet'!$AA$4&lt;&gt;""),--ISNUMBER(SEARCH($AB$4,'Final Calculation Sheet'!$AA$4)))))</f>
        <v/>
      </c>
      <c r="EH6">
        <f>IF($AC$4="",1,IF($AC$4="(blank)",--('Final Calculation Sheet'!$AB$4=""),IF($AC$4="(nonblank)",--('Final Calculation Sheet'!$AB$4&lt;&gt;""),--ISNUMBER(SEARCH($AC$4,'Final Calculation Sheet'!$AB$4)))))</f>
        <v/>
      </c>
      <c r="EI6">
        <f>IF($AD$4="",1,IF($AD$4="(blank)",--('Final Calculation Sheet'!$AC$4=""),IF($AD$4="(nonblank)",--('Final Calculation Sheet'!$AC$4&lt;&gt;""),--ISNUMBER(SEARCH($AD$4,'Final Calculation Sheet'!$AC$4)))))</f>
        <v/>
      </c>
      <c r="EJ6">
        <f>IF($AE$4="",1,IF($AE$4="(blank)",--('Final Calculation Sheet'!$AD$4=""),IF($AE$4="(nonblank)",--('Final Calculation Sheet'!$AD$4&lt;&gt;""),--ISNUMBER(SEARCH($AE$4,'Final Calculation Sheet'!$AD$4)))))</f>
        <v/>
      </c>
      <c r="EK6">
        <f>IF($AF$4="",1,IF($AF$4="(blank)",--(IF('Final Calculation Sheet'!$AD$4&lt;=5,"SETTLED","OUTSTANDING")=""),IF($AF$4="(nonblank)",--(IF('Final Calculation Sheet'!$AD$4&lt;=5,"SETTLED","OUTSTANDING")&lt;&gt;""),--ISNUMBER(SEARCH($AF$4,IF('Final Calculation Sheet'!$AD$4&lt;=5,"SETTLED","OUTSTANDING"))))))</f>
        <v/>
      </c>
      <c r="EL6">
        <f>IF($AG$4="",1,IF($AG$4="(blank)",--('Final Calculation Sheet'!$AF$4=""),IF($AG$4="(nonblank)",--('Final Calculation Sheet'!$AF$4&lt;&gt;""),--ISNUMBER(SEARCH($AG$4,'Final Calculation Sheet'!$AF$4)))))</f>
        <v/>
      </c>
      <c r="EM6">
        <f>IF($AH$4="",1,IF($AH$4="(blank)",--('Final Calculation Sheet'!$AG$4=""),IF($AH$4="(nonblank)",--('Final Calculation Sheet'!$AG$4&lt;&gt;""),--ISNUMBER(SEARCH($AH$4,'Final Calculation Sheet'!$AG$4)))))</f>
        <v/>
      </c>
      <c r="EN6">
        <f>IF($AI$4="",1,IF($AI$4="(blank)",--('Final Calculation Sheet'!$AH$4=""),IF($AI$4="(nonblank)",--('Final Calculation Sheet'!$AH$4&lt;&gt;""),--ISNUMBER(SEARCH($AI$4,'Final Calculation Sheet'!$AH$4)))))</f>
        <v/>
      </c>
    </row>
    <row r="7" outlineLevel="1" hidden="1">
      <c r="A7" s="118">
        <f>IF($AL$7="","",1)</f>
        <v/>
      </c>
      <c r="B7" s="119">
        <f>IF($AL$7="","",IF(INDEX('Final Calculation Sheet'!$F$4:$F$40,$AL$7)="","",INDEX('Final Calculation Sheet'!$F$4:$F$40,$AL$7)))</f>
        <v/>
      </c>
      <c r="C7" s="119">
        <f>IF($AL$7="","",IF(INDEX('Final Calculation Sheet'!$G$4:$G$40,$AL$7)="","",INDEX('Final Calculation Sheet'!$G$4:$G$40,$AL$7)))</f>
        <v/>
      </c>
      <c r="D7" s="120">
        <f>IF(COUNTIF($B$4:$AI$4,"&lt;&gt;")=0,"↑ Pick a value from any SEARCH dropdown (or type) — ↓ the SEARCH row above is what fills this list",IF($AL7="","",IF(INDEX('Final Calculation Sheet'!$B$4:$B$40,$AL7)="","",INDEX('Final Calculation Sheet'!$B$4:$B$40,$AL7))))</f>
        <v/>
      </c>
      <c r="E7" s="121">
        <f>IF($AL$7="","",IF(INDEX('Final Calculation Sheet'!$D$4:$D$40,$AL$7)="","",INDEX('Final Calculation Sheet'!$D$4:$D$40,$AL$7)))</f>
        <v/>
      </c>
      <c r="F7" s="121">
        <f>IF($AL$7="","",IF(INDEX('Final Calculation Sheet'!$A$4:$A$40,$AL$7)="","",INDEX('Final Calculation Sheet'!$A$4:$A$40,$AL$7)))</f>
        <v/>
      </c>
      <c r="G7" s="121">
        <f>IF($AL$7="","",IF(INDEX('Final Calculation Sheet'!$E$4:$E$40,$AL$7)="","",INDEX('Final Calculation Sheet'!$E$4:$E$40,$AL$7)))</f>
        <v/>
      </c>
      <c r="H7" s="122">
        <f>IF($AL$7="","",IF(INDEX('Final Calculation Sheet'!$C$4:$C$40,$AL$7)="","",INDEX('Final Calculation Sheet'!$C$4:$C$40,$AL$7)))</f>
        <v/>
      </c>
      <c r="I7" s="122">
        <f>IF($AL$7="","",IF(INDEX('Final Calculation Sheet'!$H$4:$H$40,$AL$7)="","",INDEX('Final Calculation Sheet'!$H$4:$H$40,$AL$7)))</f>
        <v/>
      </c>
      <c r="J7" s="122">
        <f>IF($AL$7="","",IF(INDEX('Final Calculation Sheet'!$I$4:$I$40,$AL$7)="","",INDEX('Final Calculation Sheet'!$I$4:$I$40,$AL$7)))</f>
        <v/>
      </c>
      <c r="K7" s="122">
        <f>IF($AL$7="","",IF(INDEX('Final Calculation Sheet'!$J$4:$J$40,$AL$7)="","",INDEX('Final Calculation Sheet'!$J$4:$J$40,$AL$7)))</f>
        <v/>
      </c>
      <c r="L7" s="122">
        <f>IF($AL$7="","",IF(INDEX('Final Calculation Sheet'!$K$4:$K$40,$AL$7)="","",INDEX('Final Calculation Sheet'!$K$4:$K$40,$AL$7)))</f>
        <v/>
      </c>
      <c r="M7" s="122">
        <f>IF($AL$7="","",IF(INDEX('Final Calculation Sheet'!$L$4:$L$40,$AL$7)="","",INDEX('Final Calculation Sheet'!$L$4:$L$40,$AL$7)))</f>
        <v/>
      </c>
      <c r="N7" s="122">
        <f>IF($AL$7="","",IF(INDEX('Final Calculation Sheet'!$M$4:$M$40,$AL$7)="","",INDEX('Final Calculation Sheet'!$M$4:$M$40,$AL$7)))</f>
        <v/>
      </c>
      <c r="O7" s="123">
        <f>IF($AL$7="","",IF(INDEX('Final Calculation Sheet'!$N$4:$N$40,$AL$7)="","",INDEX('Final Calculation Sheet'!$N$4:$N$40,$AL$7)))</f>
        <v/>
      </c>
      <c r="P7" s="122">
        <f>IF($AL$7="","",IF(INDEX('Final Calculation Sheet'!$O$4:$O$40,$AL$7)="","",INDEX('Final Calculation Sheet'!$O$4:$O$40,$AL$7)))</f>
        <v/>
      </c>
      <c r="Q7" s="122">
        <f>IF($AL$7="","",IF(INDEX('Final Calculation Sheet'!$P$4:$P$40,$AL$7)="","",INDEX('Final Calculation Sheet'!$P$4:$P$40,$AL$7)))</f>
        <v/>
      </c>
      <c r="R7" s="124">
        <f>IF($AL$7="","",IF(INDEX('Final Calculation Sheet'!$Q$4:$Q$40,$AL$7)="","",INDEX('Final Calculation Sheet'!$Q$4:$Q$40,$AL$7)))</f>
        <v/>
      </c>
      <c r="S7" s="122">
        <f>IF($AL$7="","",IF(INDEX('Final Calculation Sheet'!$R$4:$R$40,$AL$7)="","",INDEX('Final Calculation Sheet'!$R$4:$R$40,$AL$7)))</f>
        <v/>
      </c>
      <c r="T7" s="122">
        <f>IF($AL$7="","",IF(INDEX('Final Calculation Sheet'!$S$4:$S$40,$AL$7)="","",INDEX('Final Calculation Sheet'!$S$4:$S$40,$AL$7)))</f>
        <v/>
      </c>
      <c r="U7" s="122">
        <f>IF($AL$7="","",IF(INDEX('Final Calculation Sheet'!$T$4:$T$40,$AL$7)="","",INDEX('Final Calculation Sheet'!$T$4:$T$40,$AL$7)))</f>
        <v/>
      </c>
      <c r="V7" s="125">
        <f>IF($AL$7="","",IF(INDEX('Final Calculation Sheet'!$U$4:$U$40,$AL$7)="","",INDEX('Final Calculation Sheet'!$U$4:$U$40,$AL$7)))</f>
        <v/>
      </c>
      <c r="W7" s="122">
        <f>IF($AL$7="","",IF(INDEX('Final Calculation Sheet'!$V$4:$V$40,$AL$7)="","",INDEX('Final Calculation Sheet'!$V$4:$V$40,$AL$7)))</f>
        <v/>
      </c>
      <c r="X7" s="122">
        <f>IF($AL$7="","",IF(INDEX('Final Calculation Sheet'!$W$4:$W$40,$AL$7)="","",INDEX('Final Calculation Sheet'!$W$4:$W$40,$AL$7)))</f>
        <v/>
      </c>
      <c r="Y7" s="122">
        <f>IF($AL$7="","",IF(INDEX('Final Calculation Sheet'!$X$4:$X$40,$AL$7)="","",INDEX('Final Calculation Sheet'!$X$4:$X$40,$AL$7)))</f>
        <v/>
      </c>
      <c r="Z7" s="122">
        <f>IF($AL$7="","",IF(INDEX('Final Calculation Sheet'!$Y$4:$Y$40,$AL$7)="","",INDEX('Final Calculation Sheet'!$Y$4:$Y$40,$AL$7)))</f>
        <v/>
      </c>
      <c r="AA7" s="122">
        <f>IF($AL$7="","",IF(INDEX('Final Calculation Sheet'!$Z$4:$Z$40,$AL$7)="","",INDEX('Final Calculation Sheet'!$Z$4:$Z$40,$AL$7)))</f>
        <v/>
      </c>
      <c r="AB7" s="122">
        <f>IF($AL$7="","",IF(INDEX('Final Calculation Sheet'!$AA$4:$AA$40,$AL$7)="","",INDEX('Final Calculation Sheet'!$AA$4:$AA$40,$AL$7)))</f>
        <v/>
      </c>
      <c r="AC7" s="122">
        <f>IF($AL$7="","",IF(INDEX('Final Calculation Sheet'!$AB$4:$AB$40,$AL$7)="","",INDEX('Final Calculation Sheet'!$AB$4:$AB$40,$AL$7)))</f>
        <v/>
      </c>
      <c r="AD7" s="122">
        <f>IF($AL$7="","",IF(INDEX('Final Calculation Sheet'!$AC$4:$AC$40,$AL$7)="","",INDEX('Final Calculation Sheet'!$AC$4:$AC$40,$AL$7)))</f>
        <v/>
      </c>
      <c r="AE7" s="122">
        <f>IF($AL$7="","",IF(INDEX('Final Calculation Sheet'!$AD$4:$AD$40,$AL$7)="","",INDEX('Final Calculation Sheet'!$AD$4:$AD$40,$AL$7)))</f>
        <v/>
      </c>
      <c r="AF7" s="127">
        <f>IF($AL$7="","",IF(INDEX('Final Calculation Sheet'!$AD$4:$AD$40,$AL$7)&lt;=5,"SETTLED","OUTSTANDING"))</f>
        <v/>
      </c>
      <c r="AG7" s="122">
        <f>IF($AL$7="","",IF(INDEX('Final Calculation Sheet'!$AF$4:$AF$40,$AL$7)="","",INDEX('Final Calculation Sheet'!$AF$4:$AF$40,$AL$7)))</f>
        <v/>
      </c>
      <c r="AH7" s="126">
        <f>IF($AL$7="","",IF(INDEX('Final Calculation Sheet'!$AG$4:$AG$40,$AL$7)="","",INDEX('Final Calculation Sheet'!$AG$4:$AG$40,$AL$7)))</f>
        <v/>
      </c>
      <c r="AI7" s="122">
        <f>IF($AL$7="","",IF(INDEX('Final Calculation Sheet'!$AH$4:$AH$40,$AL$7)="","",INDEX('Final Calculation Sheet'!$AH$4:$AH$40,$AL$7)))</f>
        <v/>
      </c>
      <c r="AJ7">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7">
        <f>IF(AJ7=1,COUNTIF(AJ$6:AJ7,1),"")</f>
        <v/>
      </c>
      <c r="AL7">
        <f>IF(COUNTIF($B$4:$AI$4,"&lt;&gt;")=0,"",IFERROR(MATCH(1,$AK$6:$AK$42,0),""))</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c r="DG7">
        <f>IF($B$4="",1,IF($B$4="(blank)",--('Final Calculation Sheet'!$F$5=""),IF($B$4="(nonblank)",--('Final Calculation Sheet'!$F$5&lt;&gt;""),--ISNUMBER(SEARCH($B$4,'Final Calculation Sheet'!$F$5)))))</f>
        <v/>
      </c>
      <c r="DH7">
        <f>IF($C$4="",1,IF($C$4="(blank)",--('Final Calculation Sheet'!$G$5=""),IF($C$4="(nonblank)",--('Final Calculation Sheet'!$G$5&lt;&gt;""),--ISNUMBER(SEARCH($C$4,'Final Calculation Sheet'!$G$5)))))</f>
        <v/>
      </c>
      <c r="DI7">
        <f>IF($D$4="",1,IF($D$4="(blank)",--('Final Calculation Sheet'!$B$5=""),IF($D$4="(nonblank)",--('Final Calculation Sheet'!$B$5&lt;&gt;""),--ISNUMBER(SEARCH($D$4,'Final Calculation Sheet'!$B$5)))))</f>
        <v/>
      </c>
      <c r="DJ7">
        <f>IF($E$4="",1,IF($E$4="(blank)",--('Final Calculation Sheet'!$D$5=""),IF($E$4="(nonblank)",--('Final Calculation Sheet'!$D$5&lt;&gt;""),--ISNUMBER(SEARCH($E$4,'Final Calculation Sheet'!$D$5)))))</f>
        <v/>
      </c>
      <c r="DK7">
        <f>IF($F$4="",1,IF($F$4="(blank)",--('Final Calculation Sheet'!$A$5=""),IF($F$4="(nonblank)",--('Final Calculation Sheet'!$A$5&lt;&gt;""),--ISNUMBER(SEARCH($F$4,'Final Calculation Sheet'!$A$5)))))</f>
        <v/>
      </c>
      <c r="DL7">
        <f>IF($G$4="",1,IF($G$4="(blank)",--('Final Calculation Sheet'!$E$5=""),IF($G$4="(nonblank)",--('Final Calculation Sheet'!$E$5&lt;&gt;""),--ISNUMBER(SEARCH($G$4,'Final Calculation Sheet'!$E$5)))))</f>
        <v/>
      </c>
      <c r="DM7">
        <f>IF($H$4="",1,IF($H$4="(blank)",--('Final Calculation Sheet'!$C$5=""),IF($H$4="(nonblank)",--('Final Calculation Sheet'!$C$5&lt;&gt;""),--ISNUMBER(SEARCH($H$4,'Final Calculation Sheet'!$C$5)))))</f>
        <v/>
      </c>
      <c r="DN7">
        <f>IF($I$4="",1,IF($I$4="(blank)",--('Final Calculation Sheet'!$H$5=""),IF($I$4="(nonblank)",--('Final Calculation Sheet'!$H$5&lt;&gt;""),--ISNUMBER(SEARCH($I$4,'Final Calculation Sheet'!$H$5)))))</f>
        <v/>
      </c>
      <c r="DO7">
        <f>IF($J$4="",1,IF($J$4="(blank)",--('Final Calculation Sheet'!$I$5=""),IF($J$4="(nonblank)",--('Final Calculation Sheet'!$I$5&lt;&gt;""),--ISNUMBER(SEARCH($J$4,'Final Calculation Sheet'!$I$5)))))</f>
        <v/>
      </c>
      <c r="DP7">
        <f>IF($K$4="",1,IF($K$4="(blank)",--('Final Calculation Sheet'!$J$5=""),IF($K$4="(nonblank)",--('Final Calculation Sheet'!$J$5&lt;&gt;""),--ISNUMBER(SEARCH($K$4,'Final Calculation Sheet'!$J$5)))))</f>
        <v/>
      </c>
      <c r="DQ7">
        <f>IF($L$4="",1,IF($L$4="(blank)",--('Final Calculation Sheet'!$K$5=""),IF($L$4="(nonblank)",--('Final Calculation Sheet'!$K$5&lt;&gt;""),--ISNUMBER(SEARCH($L$4,'Final Calculation Sheet'!$K$5)))))</f>
        <v/>
      </c>
      <c r="DR7">
        <f>IF($M$4="",1,IF($M$4="(blank)",--('Final Calculation Sheet'!$L$5=""),IF($M$4="(nonblank)",--('Final Calculation Sheet'!$L$5&lt;&gt;""),--ISNUMBER(SEARCH($M$4,'Final Calculation Sheet'!$L$5)))))</f>
        <v/>
      </c>
      <c r="DS7">
        <f>IF($N$4="",1,IF($N$4="(blank)",--('Final Calculation Sheet'!$M$5=""),IF($N$4="(nonblank)",--('Final Calculation Sheet'!$M$5&lt;&gt;""),--ISNUMBER(SEARCH($N$4,'Final Calculation Sheet'!$M$5)))))</f>
        <v/>
      </c>
      <c r="DT7">
        <f>IF($O$4="",1,IF($O$4="(blank)",--('Final Calculation Sheet'!$N$5=""),IF($O$4="(nonblank)",--('Final Calculation Sheet'!$N$5&lt;&gt;""),--ISNUMBER(SEARCH($O$4,'Final Calculation Sheet'!$N$5)))))</f>
        <v/>
      </c>
      <c r="DU7">
        <f>IF($P$4="",1,IF($P$4="(blank)",--('Final Calculation Sheet'!$O$5=""),IF($P$4="(nonblank)",--('Final Calculation Sheet'!$O$5&lt;&gt;""),--ISNUMBER(SEARCH($P$4,'Final Calculation Sheet'!$O$5)))))</f>
        <v/>
      </c>
      <c r="DV7">
        <f>IF($Q$4="",1,IF($Q$4="(blank)",--('Final Calculation Sheet'!$P$5=""),IF($Q$4="(nonblank)",--('Final Calculation Sheet'!$P$5&lt;&gt;""),--ISNUMBER(SEARCH($Q$4,'Final Calculation Sheet'!$P$5)))))</f>
        <v/>
      </c>
      <c r="DW7">
        <f>IF($R$4="",1,IF($R$4="(blank)",--('Final Calculation Sheet'!$Q$5=""),IF($R$4="(nonblank)",--('Final Calculation Sheet'!$Q$5&lt;&gt;""),--ISNUMBER(SEARCH($R$4,'Final Calculation Sheet'!$Q$5)))))</f>
        <v/>
      </c>
      <c r="DX7">
        <f>IF($S$4="",1,IF($S$4="(blank)",--('Final Calculation Sheet'!$R$5=""),IF($S$4="(nonblank)",--('Final Calculation Sheet'!$R$5&lt;&gt;""),--ISNUMBER(SEARCH($S$4,'Final Calculation Sheet'!$R$5)))))</f>
        <v/>
      </c>
      <c r="DY7">
        <f>IF($T$4="",1,IF($T$4="(blank)",--('Final Calculation Sheet'!$S$5=""),IF($T$4="(nonblank)",--('Final Calculation Sheet'!$S$5&lt;&gt;""),--ISNUMBER(SEARCH($T$4,'Final Calculation Sheet'!$S$5)))))</f>
        <v/>
      </c>
      <c r="DZ7">
        <f>IF($U$4="",1,IF($U$4="(blank)",--('Final Calculation Sheet'!$T$5=""),IF($U$4="(nonblank)",--('Final Calculation Sheet'!$T$5&lt;&gt;""),--ISNUMBER(SEARCH($U$4,'Final Calculation Sheet'!$T$5)))))</f>
        <v/>
      </c>
      <c r="EA7">
        <f>IF($V$4="",1,IF($V$4="(blank)",--('Final Calculation Sheet'!$U$5=""),IF($V$4="(nonblank)",--('Final Calculation Sheet'!$U$5&lt;&gt;""),--ISNUMBER(SEARCH($V$4,'Final Calculation Sheet'!$U$5)))))</f>
        <v/>
      </c>
      <c r="EB7">
        <f>IF($W$4="",1,IF($W$4="(blank)",--('Final Calculation Sheet'!$V$5=""),IF($W$4="(nonblank)",--('Final Calculation Sheet'!$V$5&lt;&gt;""),--ISNUMBER(SEARCH($W$4,'Final Calculation Sheet'!$V$5)))))</f>
        <v/>
      </c>
      <c r="EC7">
        <f>IF($X$4="",1,IF($X$4="(blank)",--('Final Calculation Sheet'!$W$5=""),IF($X$4="(nonblank)",--('Final Calculation Sheet'!$W$5&lt;&gt;""),--ISNUMBER(SEARCH($X$4,'Final Calculation Sheet'!$W$5)))))</f>
        <v/>
      </c>
      <c r="ED7">
        <f>IF($Y$4="",1,IF($Y$4="(blank)",--('Final Calculation Sheet'!$X$5=""),IF($Y$4="(nonblank)",--('Final Calculation Sheet'!$X$5&lt;&gt;""),--ISNUMBER(SEARCH($Y$4,'Final Calculation Sheet'!$X$5)))))</f>
        <v/>
      </c>
      <c r="EE7">
        <f>IF($Z$4="",1,IF($Z$4="(blank)",--('Final Calculation Sheet'!$Y$5=""),IF($Z$4="(nonblank)",--('Final Calculation Sheet'!$Y$5&lt;&gt;""),--ISNUMBER(SEARCH($Z$4,'Final Calculation Sheet'!$Y$5)))))</f>
        <v/>
      </c>
      <c r="EF7">
        <f>IF($AA$4="",1,IF($AA$4="(blank)",--('Final Calculation Sheet'!$Z$5=""),IF($AA$4="(nonblank)",--('Final Calculation Sheet'!$Z$5&lt;&gt;""),--ISNUMBER(SEARCH($AA$4,'Final Calculation Sheet'!$Z$5)))))</f>
        <v/>
      </c>
      <c r="EG7">
        <f>IF($AB$4="",1,IF($AB$4="(blank)",--('Final Calculation Sheet'!$AA$5=""),IF($AB$4="(nonblank)",--('Final Calculation Sheet'!$AA$5&lt;&gt;""),--ISNUMBER(SEARCH($AB$4,'Final Calculation Sheet'!$AA$5)))))</f>
        <v/>
      </c>
      <c r="EH7">
        <f>IF($AC$4="",1,IF($AC$4="(blank)",--('Final Calculation Sheet'!$AB$5=""),IF($AC$4="(nonblank)",--('Final Calculation Sheet'!$AB$5&lt;&gt;""),--ISNUMBER(SEARCH($AC$4,'Final Calculation Sheet'!$AB$5)))))</f>
        <v/>
      </c>
      <c r="EI7">
        <f>IF($AD$4="",1,IF($AD$4="(blank)",--('Final Calculation Sheet'!$AC$5=""),IF($AD$4="(nonblank)",--('Final Calculation Sheet'!$AC$5&lt;&gt;""),--ISNUMBER(SEARCH($AD$4,'Final Calculation Sheet'!$AC$5)))))</f>
        <v/>
      </c>
      <c r="EJ7">
        <f>IF($AE$4="",1,IF($AE$4="(blank)",--('Final Calculation Sheet'!$AD$5=""),IF($AE$4="(nonblank)",--('Final Calculation Sheet'!$AD$5&lt;&gt;""),--ISNUMBER(SEARCH($AE$4,'Final Calculation Sheet'!$AD$5)))))</f>
        <v/>
      </c>
      <c r="EK7">
        <f>IF($AF$4="",1,IF($AF$4="(blank)",--(IF('Final Calculation Sheet'!$AD$5&lt;=5,"SETTLED","OUTSTANDING")=""),IF($AF$4="(nonblank)",--(IF('Final Calculation Sheet'!$AD$5&lt;=5,"SETTLED","OUTSTANDING")&lt;&gt;""),--ISNUMBER(SEARCH($AF$4,IF('Final Calculation Sheet'!$AD$5&lt;=5,"SETTLED","OUTSTANDING"))))))</f>
        <v/>
      </c>
      <c r="EL7">
        <f>IF($AG$4="",1,IF($AG$4="(blank)",--('Final Calculation Sheet'!$AF$5=""),IF($AG$4="(nonblank)",--('Final Calculation Sheet'!$AF$5&lt;&gt;""),--ISNUMBER(SEARCH($AG$4,'Final Calculation Sheet'!$AF$5)))))</f>
        <v/>
      </c>
      <c r="EM7">
        <f>IF($AH$4="",1,IF($AH$4="(blank)",--('Final Calculation Sheet'!$AG$5=""),IF($AH$4="(nonblank)",--('Final Calculation Sheet'!$AG$5&lt;&gt;""),--ISNUMBER(SEARCH($AH$4,'Final Calculation Sheet'!$AG$5)))))</f>
        <v/>
      </c>
      <c r="EN7">
        <f>IF($AI$4="",1,IF($AI$4="(blank)",--('Final Calculation Sheet'!$AH$5=""),IF($AI$4="(nonblank)",--('Final Calculation Sheet'!$AH$5&lt;&gt;""),--ISNUMBER(SEARCH($AI$4,'Final Calculation Sheet'!$AH$5)))))</f>
        <v/>
      </c>
    </row>
    <row r="8" outlineLevel="1" hidden="1">
      <c r="A8" s="128">
        <f>IF($AL$8="","",2)</f>
        <v/>
      </c>
      <c r="B8" s="129">
        <f>IF($AL$8="","",IF(INDEX('Final Calculation Sheet'!$F$4:$F$40,$AL$8)="","",INDEX('Final Calculation Sheet'!$F$4:$F$40,$AL$8)))</f>
        <v/>
      </c>
      <c r="C8" s="129">
        <f>IF($AL$8="","",IF(INDEX('Final Calculation Sheet'!$G$4:$G$40,$AL$8)="","",INDEX('Final Calculation Sheet'!$G$4:$G$40,$AL$8)))</f>
        <v/>
      </c>
      <c r="D8" s="130">
        <f>IF($AL$8="","",IF(INDEX('Final Calculation Sheet'!$B$4:$B$40,$AL$8)="","",INDEX('Final Calculation Sheet'!$B$4:$B$40,$AL$8)))</f>
        <v/>
      </c>
      <c r="E8" s="130">
        <f>IF($AL$8="","",IF(INDEX('Final Calculation Sheet'!$D$4:$D$40,$AL$8)="","",INDEX('Final Calculation Sheet'!$D$4:$D$40,$AL$8)))</f>
        <v/>
      </c>
      <c r="F8" s="130">
        <f>IF($AL$8="","",IF(INDEX('Final Calculation Sheet'!$A$4:$A$40,$AL$8)="","",INDEX('Final Calculation Sheet'!$A$4:$A$40,$AL$8)))</f>
        <v/>
      </c>
      <c r="G8" s="130">
        <f>IF($AL$8="","",IF(INDEX('Final Calculation Sheet'!$E$4:$E$40,$AL$8)="","",INDEX('Final Calculation Sheet'!$E$4:$E$40,$AL$8)))</f>
        <v/>
      </c>
      <c r="H8" s="131">
        <f>IF($AL$8="","",IF(INDEX('Final Calculation Sheet'!$C$4:$C$40,$AL$8)="","",INDEX('Final Calculation Sheet'!$C$4:$C$40,$AL$8)))</f>
        <v/>
      </c>
      <c r="I8" s="131">
        <f>IF($AL$8="","",IF(INDEX('Final Calculation Sheet'!$H$4:$H$40,$AL$8)="","",INDEX('Final Calculation Sheet'!$H$4:$H$40,$AL$8)))</f>
        <v/>
      </c>
      <c r="J8" s="131">
        <f>IF($AL$8="","",IF(INDEX('Final Calculation Sheet'!$I$4:$I$40,$AL$8)="","",INDEX('Final Calculation Sheet'!$I$4:$I$40,$AL$8)))</f>
        <v/>
      </c>
      <c r="K8" s="131">
        <f>IF($AL$8="","",IF(INDEX('Final Calculation Sheet'!$J$4:$J$40,$AL$8)="","",INDEX('Final Calculation Sheet'!$J$4:$J$40,$AL$8)))</f>
        <v/>
      </c>
      <c r="L8" s="131">
        <f>IF($AL$8="","",IF(INDEX('Final Calculation Sheet'!$K$4:$K$40,$AL$8)="","",INDEX('Final Calculation Sheet'!$K$4:$K$40,$AL$8)))</f>
        <v/>
      </c>
      <c r="M8" s="131">
        <f>IF($AL$8="","",IF(INDEX('Final Calculation Sheet'!$L$4:$L$40,$AL$8)="","",INDEX('Final Calculation Sheet'!$L$4:$L$40,$AL$8)))</f>
        <v/>
      </c>
      <c r="N8" s="131">
        <f>IF($AL$8="","",IF(INDEX('Final Calculation Sheet'!$M$4:$M$40,$AL$8)="","",INDEX('Final Calculation Sheet'!$M$4:$M$40,$AL$8)))</f>
        <v/>
      </c>
      <c r="O8" s="132">
        <f>IF($AL$8="","",IF(INDEX('Final Calculation Sheet'!$N$4:$N$40,$AL$8)="","",INDEX('Final Calculation Sheet'!$N$4:$N$40,$AL$8)))</f>
        <v/>
      </c>
      <c r="P8" s="131">
        <f>IF($AL$8="","",IF(INDEX('Final Calculation Sheet'!$O$4:$O$40,$AL$8)="","",INDEX('Final Calculation Sheet'!$O$4:$O$40,$AL$8)))</f>
        <v/>
      </c>
      <c r="Q8" s="131">
        <f>IF($AL$8="","",IF(INDEX('Final Calculation Sheet'!$P$4:$P$40,$AL$8)="","",INDEX('Final Calculation Sheet'!$P$4:$P$40,$AL$8)))</f>
        <v/>
      </c>
      <c r="R8" s="133">
        <f>IF($AL$8="","",IF(INDEX('Final Calculation Sheet'!$Q$4:$Q$40,$AL$8)="","",INDEX('Final Calculation Sheet'!$Q$4:$Q$40,$AL$8)))</f>
        <v/>
      </c>
      <c r="S8" s="131">
        <f>IF($AL$8="","",IF(INDEX('Final Calculation Sheet'!$R$4:$R$40,$AL$8)="","",INDEX('Final Calculation Sheet'!$R$4:$R$40,$AL$8)))</f>
        <v/>
      </c>
      <c r="T8" s="131">
        <f>IF($AL$8="","",IF(INDEX('Final Calculation Sheet'!$S$4:$S$40,$AL$8)="","",INDEX('Final Calculation Sheet'!$S$4:$S$40,$AL$8)))</f>
        <v/>
      </c>
      <c r="U8" s="131">
        <f>IF($AL$8="","",IF(INDEX('Final Calculation Sheet'!$T$4:$T$40,$AL$8)="","",INDEX('Final Calculation Sheet'!$T$4:$T$40,$AL$8)))</f>
        <v/>
      </c>
      <c r="V8" s="134">
        <f>IF($AL$8="","",IF(INDEX('Final Calculation Sheet'!$U$4:$U$40,$AL$8)="","",INDEX('Final Calculation Sheet'!$U$4:$U$40,$AL$8)))</f>
        <v/>
      </c>
      <c r="W8" s="131">
        <f>IF($AL$8="","",IF(INDEX('Final Calculation Sheet'!$V$4:$V$40,$AL$8)="","",INDEX('Final Calculation Sheet'!$V$4:$V$40,$AL$8)))</f>
        <v/>
      </c>
      <c r="X8" s="131">
        <f>IF($AL$8="","",IF(INDEX('Final Calculation Sheet'!$W$4:$W$40,$AL$8)="","",INDEX('Final Calculation Sheet'!$W$4:$W$40,$AL$8)))</f>
        <v/>
      </c>
      <c r="Y8" s="131">
        <f>IF($AL$8="","",IF(INDEX('Final Calculation Sheet'!$X$4:$X$40,$AL$8)="","",INDEX('Final Calculation Sheet'!$X$4:$X$40,$AL$8)))</f>
        <v/>
      </c>
      <c r="Z8" s="131">
        <f>IF($AL$8="","",IF(INDEX('Final Calculation Sheet'!$Y$4:$Y$40,$AL$8)="","",INDEX('Final Calculation Sheet'!$Y$4:$Y$40,$AL$8)))</f>
        <v/>
      </c>
      <c r="AA8" s="131">
        <f>IF($AL$8="","",IF(INDEX('Final Calculation Sheet'!$Z$4:$Z$40,$AL$8)="","",INDEX('Final Calculation Sheet'!$Z$4:$Z$40,$AL$8)))</f>
        <v/>
      </c>
      <c r="AB8" s="131">
        <f>IF($AL$8="","",IF(INDEX('Final Calculation Sheet'!$AA$4:$AA$40,$AL$8)="","",INDEX('Final Calculation Sheet'!$AA$4:$AA$40,$AL$8)))</f>
        <v/>
      </c>
      <c r="AC8" s="131">
        <f>IF($AL$8="","",IF(INDEX('Final Calculation Sheet'!$AB$4:$AB$40,$AL$8)="","",INDEX('Final Calculation Sheet'!$AB$4:$AB$40,$AL$8)))</f>
        <v/>
      </c>
      <c r="AD8" s="131">
        <f>IF($AL$8="","",IF(INDEX('Final Calculation Sheet'!$AC$4:$AC$40,$AL$8)="","",INDEX('Final Calculation Sheet'!$AC$4:$AC$40,$AL$8)))</f>
        <v/>
      </c>
      <c r="AE8" s="131">
        <f>IF($AL$8="","",IF(INDEX('Final Calculation Sheet'!$AD$4:$AD$40,$AL$8)="","",INDEX('Final Calculation Sheet'!$AD$4:$AD$40,$AL$8)))</f>
        <v/>
      </c>
      <c r="AF8" s="136">
        <f>IF($AL$8="","",IF(INDEX('Final Calculation Sheet'!$AD$4:$AD$40,$AL$8)&lt;=5,"SETTLED","OUTSTANDING"))</f>
        <v/>
      </c>
      <c r="AG8" s="131">
        <f>IF($AL$8="","",IF(INDEX('Final Calculation Sheet'!$AF$4:$AF$40,$AL$8)="","",INDEX('Final Calculation Sheet'!$AF$4:$AF$40,$AL$8)))</f>
        <v/>
      </c>
      <c r="AH8" s="135">
        <f>IF($AL$8="","",IF(INDEX('Final Calculation Sheet'!$AG$4:$AG$40,$AL$8)="","",INDEX('Final Calculation Sheet'!$AG$4:$AG$40,$AL$8)))</f>
        <v/>
      </c>
      <c r="AI8" s="131">
        <f>IF($AL$8="","",IF(INDEX('Final Calculation Sheet'!$AH$4:$AH$40,$AL$8)="","",INDEX('Final Calculation Sheet'!$AH$4:$AH$40,$AL$8)))</f>
        <v/>
      </c>
      <c r="AJ8">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8">
        <f>IF(AJ8=1,COUNTIF(AJ$6:AJ8,1),"")</f>
        <v/>
      </c>
      <c r="AL8">
        <f>IF(COUNTIF($B$4:$AI$4,"&lt;&gt;")=0,"",IFERROR(MATCH(2,$AK$6:$AK$42,0),""))</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c r="DG8">
        <f>IF($B$4="",1,IF($B$4="(blank)",--('Final Calculation Sheet'!$F$6=""),IF($B$4="(nonblank)",--('Final Calculation Sheet'!$F$6&lt;&gt;""),--ISNUMBER(SEARCH($B$4,'Final Calculation Sheet'!$F$6)))))</f>
        <v/>
      </c>
      <c r="DH8">
        <f>IF($C$4="",1,IF($C$4="(blank)",--('Final Calculation Sheet'!$G$6=""),IF($C$4="(nonblank)",--('Final Calculation Sheet'!$G$6&lt;&gt;""),--ISNUMBER(SEARCH($C$4,'Final Calculation Sheet'!$G$6)))))</f>
        <v/>
      </c>
      <c r="DI8">
        <f>IF($D$4="",1,IF($D$4="(blank)",--('Final Calculation Sheet'!$B$6=""),IF($D$4="(nonblank)",--('Final Calculation Sheet'!$B$6&lt;&gt;""),--ISNUMBER(SEARCH($D$4,'Final Calculation Sheet'!$B$6)))))</f>
        <v/>
      </c>
      <c r="DJ8">
        <f>IF($E$4="",1,IF($E$4="(blank)",--('Final Calculation Sheet'!$D$6=""),IF($E$4="(nonblank)",--('Final Calculation Sheet'!$D$6&lt;&gt;""),--ISNUMBER(SEARCH($E$4,'Final Calculation Sheet'!$D$6)))))</f>
        <v/>
      </c>
      <c r="DK8">
        <f>IF($F$4="",1,IF($F$4="(blank)",--('Final Calculation Sheet'!$A$6=""),IF($F$4="(nonblank)",--('Final Calculation Sheet'!$A$6&lt;&gt;""),--ISNUMBER(SEARCH($F$4,'Final Calculation Sheet'!$A$6)))))</f>
        <v/>
      </c>
      <c r="DL8">
        <f>IF($G$4="",1,IF($G$4="(blank)",--('Final Calculation Sheet'!$E$6=""),IF($G$4="(nonblank)",--('Final Calculation Sheet'!$E$6&lt;&gt;""),--ISNUMBER(SEARCH($G$4,'Final Calculation Sheet'!$E$6)))))</f>
        <v/>
      </c>
      <c r="DM8">
        <f>IF($H$4="",1,IF($H$4="(blank)",--('Final Calculation Sheet'!$C$6=""),IF($H$4="(nonblank)",--('Final Calculation Sheet'!$C$6&lt;&gt;""),--ISNUMBER(SEARCH($H$4,'Final Calculation Sheet'!$C$6)))))</f>
        <v/>
      </c>
      <c r="DN8">
        <f>IF($I$4="",1,IF($I$4="(blank)",--('Final Calculation Sheet'!$H$6=""),IF($I$4="(nonblank)",--('Final Calculation Sheet'!$H$6&lt;&gt;""),--ISNUMBER(SEARCH($I$4,'Final Calculation Sheet'!$H$6)))))</f>
        <v/>
      </c>
      <c r="DO8">
        <f>IF($J$4="",1,IF($J$4="(blank)",--('Final Calculation Sheet'!$I$6=""),IF($J$4="(nonblank)",--('Final Calculation Sheet'!$I$6&lt;&gt;""),--ISNUMBER(SEARCH($J$4,'Final Calculation Sheet'!$I$6)))))</f>
        <v/>
      </c>
      <c r="DP8">
        <f>IF($K$4="",1,IF($K$4="(blank)",--('Final Calculation Sheet'!$J$6=""),IF($K$4="(nonblank)",--('Final Calculation Sheet'!$J$6&lt;&gt;""),--ISNUMBER(SEARCH($K$4,'Final Calculation Sheet'!$J$6)))))</f>
        <v/>
      </c>
      <c r="DQ8">
        <f>IF($L$4="",1,IF($L$4="(blank)",--('Final Calculation Sheet'!$K$6=""),IF($L$4="(nonblank)",--('Final Calculation Sheet'!$K$6&lt;&gt;""),--ISNUMBER(SEARCH($L$4,'Final Calculation Sheet'!$K$6)))))</f>
        <v/>
      </c>
      <c r="DR8">
        <f>IF($M$4="",1,IF($M$4="(blank)",--('Final Calculation Sheet'!$L$6=""),IF($M$4="(nonblank)",--('Final Calculation Sheet'!$L$6&lt;&gt;""),--ISNUMBER(SEARCH($M$4,'Final Calculation Sheet'!$L$6)))))</f>
        <v/>
      </c>
      <c r="DS8">
        <f>IF($N$4="",1,IF($N$4="(blank)",--('Final Calculation Sheet'!$M$6=""),IF($N$4="(nonblank)",--('Final Calculation Sheet'!$M$6&lt;&gt;""),--ISNUMBER(SEARCH($N$4,'Final Calculation Sheet'!$M$6)))))</f>
        <v/>
      </c>
      <c r="DT8">
        <f>IF($O$4="",1,IF($O$4="(blank)",--('Final Calculation Sheet'!$N$6=""),IF($O$4="(nonblank)",--('Final Calculation Sheet'!$N$6&lt;&gt;""),--ISNUMBER(SEARCH($O$4,'Final Calculation Sheet'!$N$6)))))</f>
        <v/>
      </c>
      <c r="DU8">
        <f>IF($P$4="",1,IF($P$4="(blank)",--('Final Calculation Sheet'!$O$6=""),IF($P$4="(nonblank)",--('Final Calculation Sheet'!$O$6&lt;&gt;""),--ISNUMBER(SEARCH($P$4,'Final Calculation Sheet'!$O$6)))))</f>
        <v/>
      </c>
      <c r="DV8">
        <f>IF($Q$4="",1,IF($Q$4="(blank)",--('Final Calculation Sheet'!$P$6=""),IF($Q$4="(nonblank)",--('Final Calculation Sheet'!$P$6&lt;&gt;""),--ISNUMBER(SEARCH($Q$4,'Final Calculation Sheet'!$P$6)))))</f>
        <v/>
      </c>
      <c r="DW8">
        <f>IF($R$4="",1,IF($R$4="(blank)",--('Final Calculation Sheet'!$Q$6=""),IF($R$4="(nonblank)",--('Final Calculation Sheet'!$Q$6&lt;&gt;""),--ISNUMBER(SEARCH($R$4,'Final Calculation Sheet'!$Q$6)))))</f>
        <v/>
      </c>
      <c r="DX8">
        <f>IF($S$4="",1,IF($S$4="(blank)",--('Final Calculation Sheet'!$R$6=""),IF($S$4="(nonblank)",--('Final Calculation Sheet'!$R$6&lt;&gt;""),--ISNUMBER(SEARCH($S$4,'Final Calculation Sheet'!$R$6)))))</f>
        <v/>
      </c>
      <c r="DY8">
        <f>IF($T$4="",1,IF($T$4="(blank)",--('Final Calculation Sheet'!$S$6=""),IF($T$4="(nonblank)",--('Final Calculation Sheet'!$S$6&lt;&gt;""),--ISNUMBER(SEARCH($T$4,'Final Calculation Sheet'!$S$6)))))</f>
        <v/>
      </c>
      <c r="DZ8">
        <f>IF($U$4="",1,IF($U$4="(blank)",--('Final Calculation Sheet'!$T$6=""),IF($U$4="(nonblank)",--('Final Calculation Sheet'!$T$6&lt;&gt;""),--ISNUMBER(SEARCH($U$4,'Final Calculation Sheet'!$T$6)))))</f>
        <v/>
      </c>
      <c r="EA8">
        <f>IF($V$4="",1,IF($V$4="(blank)",--('Final Calculation Sheet'!$U$6=""),IF($V$4="(nonblank)",--('Final Calculation Sheet'!$U$6&lt;&gt;""),--ISNUMBER(SEARCH($V$4,'Final Calculation Sheet'!$U$6)))))</f>
        <v/>
      </c>
      <c r="EB8">
        <f>IF($W$4="",1,IF($W$4="(blank)",--('Final Calculation Sheet'!$V$6=""),IF($W$4="(nonblank)",--('Final Calculation Sheet'!$V$6&lt;&gt;""),--ISNUMBER(SEARCH($W$4,'Final Calculation Sheet'!$V$6)))))</f>
        <v/>
      </c>
      <c r="EC8">
        <f>IF($X$4="",1,IF($X$4="(blank)",--('Final Calculation Sheet'!$W$6=""),IF($X$4="(nonblank)",--('Final Calculation Sheet'!$W$6&lt;&gt;""),--ISNUMBER(SEARCH($X$4,'Final Calculation Sheet'!$W$6)))))</f>
        <v/>
      </c>
      <c r="ED8">
        <f>IF($Y$4="",1,IF($Y$4="(blank)",--('Final Calculation Sheet'!$X$6=""),IF($Y$4="(nonblank)",--('Final Calculation Sheet'!$X$6&lt;&gt;""),--ISNUMBER(SEARCH($Y$4,'Final Calculation Sheet'!$X$6)))))</f>
        <v/>
      </c>
      <c r="EE8">
        <f>IF($Z$4="",1,IF($Z$4="(blank)",--('Final Calculation Sheet'!$Y$6=""),IF($Z$4="(nonblank)",--('Final Calculation Sheet'!$Y$6&lt;&gt;""),--ISNUMBER(SEARCH($Z$4,'Final Calculation Sheet'!$Y$6)))))</f>
        <v/>
      </c>
      <c r="EF8">
        <f>IF($AA$4="",1,IF($AA$4="(blank)",--('Final Calculation Sheet'!$Z$6=""),IF($AA$4="(nonblank)",--('Final Calculation Sheet'!$Z$6&lt;&gt;""),--ISNUMBER(SEARCH($AA$4,'Final Calculation Sheet'!$Z$6)))))</f>
        <v/>
      </c>
      <c r="EG8">
        <f>IF($AB$4="",1,IF($AB$4="(blank)",--('Final Calculation Sheet'!$AA$6=""),IF($AB$4="(nonblank)",--('Final Calculation Sheet'!$AA$6&lt;&gt;""),--ISNUMBER(SEARCH($AB$4,'Final Calculation Sheet'!$AA$6)))))</f>
        <v/>
      </c>
      <c r="EH8">
        <f>IF($AC$4="",1,IF($AC$4="(blank)",--('Final Calculation Sheet'!$AB$6=""),IF($AC$4="(nonblank)",--('Final Calculation Sheet'!$AB$6&lt;&gt;""),--ISNUMBER(SEARCH($AC$4,'Final Calculation Sheet'!$AB$6)))))</f>
        <v/>
      </c>
      <c r="EI8">
        <f>IF($AD$4="",1,IF($AD$4="(blank)",--('Final Calculation Sheet'!$AC$6=""),IF($AD$4="(nonblank)",--('Final Calculation Sheet'!$AC$6&lt;&gt;""),--ISNUMBER(SEARCH($AD$4,'Final Calculation Sheet'!$AC$6)))))</f>
        <v/>
      </c>
      <c r="EJ8">
        <f>IF($AE$4="",1,IF($AE$4="(blank)",--('Final Calculation Sheet'!$AD$6=""),IF($AE$4="(nonblank)",--('Final Calculation Sheet'!$AD$6&lt;&gt;""),--ISNUMBER(SEARCH($AE$4,'Final Calculation Sheet'!$AD$6)))))</f>
        <v/>
      </c>
      <c r="EK8">
        <f>IF($AF$4="",1,IF($AF$4="(blank)",--(IF('Final Calculation Sheet'!$AD$6&lt;=5,"SETTLED","OUTSTANDING")=""),IF($AF$4="(nonblank)",--(IF('Final Calculation Sheet'!$AD$6&lt;=5,"SETTLED","OUTSTANDING")&lt;&gt;""),--ISNUMBER(SEARCH($AF$4,IF('Final Calculation Sheet'!$AD$6&lt;=5,"SETTLED","OUTSTANDING"))))))</f>
        <v/>
      </c>
      <c r="EL8">
        <f>IF($AG$4="",1,IF($AG$4="(blank)",--('Final Calculation Sheet'!$AF$6=""),IF($AG$4="(nonblank)",--('Final Calculation Sheet'!$AF$6&lt;&gt;""),--ISNUMBER(SEARCH($AG$4,'Final Calculation Sheet'!$AF$6)))))</f>
        <v/>
      </c>
      <c r="EM8">
        <f>IF($AH$4="",1,IF($AH$4="(blank)",--('Final Calculation Sheet'!$AG$6=""),IF($AH$4="(nonblank)",--('Final Calculation Sheet'!$AG$6&lt;&gt;""),--ISNUMBER(SEARCH($AH$4,'Final Calculation Sheet'!$AG$6)))))</f>
        <v/>
      </c>
      <c r="EN8">
        <f>IF($AI$4="",1,IF($AI$4="(blank)",--('Final Calculation Sheet'!$AH$6=""),IF($AI$4="(nonblank)",--('Final Calculation Sheet'!$AH$6&lt;&gt;""),--ISNUMBER(SEARCH($AI$4,'Final Calculation Sheet'!$AH$6)))))</f>
        <v/>
      </c>
    </row>
    <row r="9" outlineLevel="1" hidden="1">
      <c r="A9" s="118">
        <f>IF($AL$9="","",3)</f>
        <v/>
      </c>
      <c r="B9" s="119">
        <f>IF($AL$9="","",IF(INDEX('Final Calculation Sheet'!$F$4:$F$40,$AL$9)="","",INDEX('Final Calculation Sheet'!$F$4:$F$40,$AL$9)))</f>
        <v/>
      </c>
      <c r="C9" s="119">
        <f>IF($AL$9="","",IF(INDEX('Final Calculation Sheet'!$G$4:$G$40,$AL$9)="","",INDEX('Final Calculation Sheet'!$G$4:$G$40,$AL$9)))</f>
        <v/>
      </c>
      <c r="D9" s="121">
        <f>IF($AL$9="","",IF(INDEX('Final Calculation Sheet'!$B$4:$B$40,$AL$9)="","",INDEX('Final Calculation Sheet'!$B$4:$B$40,$AL$9)))</f>
        <v/>
      </c>
      <c r="E9" s="121">
        <f>IF($AL$9="","",IF(INDEX('Final Calculation Sheet'!$D$4:$D$40,$AL$9)="","",INDEX('Final Calculation Sheet'!$D$4:$D$40,$AL$9)))</f>
        <v/>
      </c>
      <c r="F9" s="121">
        <f>IF($AL$9="","",IF(INDEX('Final Calculation Sheet'!$A$4:$A$40,$AL$9)="","",INDEX('Final Calculation Sheet'!$A$4:$A$40,$AL$9)))</f>
        <v/>
      </c>
      <c r="G9" s="121">
        <f>IF($AL$9="","",IF(INDEX('Final Calculation Sheet'!$E$4:$E$40,$AL$9)="","",INDEX('Final Calculation Sheet'!$E$4:$E$40,$AL$9)))</f>
        <v/>
      </c>
      <c r="H9" s="122">
        <f>IF($AL$9="","",IF(INDEX('Final Calculation Sheet'!$C$4:$C$40,$AL$9)="","",INDEX('Final Calculation Sheet'!$C$4:$C$40,$AL$9)))</f>
        <v/>
      </c>
      <c r="I9" s="122">
        <f>IF($AL$9="","",IF(INDEX('Final Calculation Sheet'!$H$4:$H$40,$AL$9)="","",INDEX('Final Calculation Sheet'!$H$4:$H$40,$AL$9)))</f>
        <v/>
      </c>
      <c r="J9" s="122">
        <f>IF($AL$9="","",IF(INDEX('Final Calculation Sheet'!$I$4:$I$40,$AL$9)="","",INDEX('Final Calculation Sheet'!$I$4:$I$40,$AL$9)))</f>
        <v/>
      </c>
      <c r="K9" s="122">
        <f>IF($AL$9="","",IF(INDEX('Final Calculation Sheet'!$J$4:$J$40,$AL$9)="","",INDEX('Final Calculation Sheet'!$J$4:$J$40,$AL$9)))</f>
        <v/>
      </c>
      <c r="L9" s="122">
        <f>IF($AL$9="","",IF(INDEX('Final Calculation Sheet'!$K$4:$K$40,$AL$9)="","",INDEX('Final Calculation Sheet'!$K$4:$K$40,$AL$9)))</f>
        <v/>
      </c>
      <c r="M9" s="122">
        <f>IF($AL$9="","",IF(INDEX('Final Calculation Sheet'!$L$4:$L$40,$AL$9)="","",INDEX('Final Calculation Sheet'!$L$4:$L$40,$AL$9)))</f>
        <v/>
      </c>
      <c r="N9" s="122">
        <f>IF($AL$9="","",IF(INDEX('Final Calculation Sheet'!$M$4:$M$40,$AL$9)="","",INDEX('Final Calculation Sheet'!$M$4:$M$40,$AL$9)))</f>
        <v/>
      </c>
      <c r="O9" s="123">
        <f>IF($AL$9="","",IF(INDEX('Final Calculation Sheet'!$N$4:$N$40,$AL$9)="","",INDEX('Final Calculation Sheet'!$N$4:$N$40,$AL$9)))</f>
        <v/>
      </c>
      <c r="P9" s="122">
        <f>IF($AL$9="","",IF(INDEX('Final Calculation Sheet'!$O$4:$O$40,$AL$9)="","",INDEX('Final Calculation Sheet'!$O$4:$O$40,$AL$9)))</f>
        <v/>
      </c>
      <c r="Q9" s="122">
        <f>IF($AL$9="","",IF(INDEX('Final Calculation Sheet'!$P$4:$P$40,$AL$9)="","",INDEX('Final Calculation Sheet'!$P$4:$P$40,$AL$9)))</f>
        <v/>
      </c>
      <c r="R9" s="124">
        <f>IF($AL$9="","",IF(INDEX('Final Calculation Sheet'!$Q$4:$Q$40,$AL$9)="","",INDEX('Final Calculation Sheet'!$Q$4:$Q$40,$AL$9)))</f>
        <v/>
      </c>
      <c r="S9" s="122">
        <f>IF($AL$9="","",IF(INDEX('Final Calculation Sheet'!$R$4:$R$40,$AL$9)="","",INDEX('Final Calculation Sheet'!$R$4:$R$40,$AL$9)))</f>
        <v/>
      </c>
      <c r="T9" s="122">
        <f>IF($AL$9="","",IF(INDEX('Final Calculation Sheet'!$S$4:$S$40,$AL$9)="","",INDEX('Final Calculation Sheet'!$S$4:$S$40,$AL$9)))</f>
        <v/>
      </c>
      <c r="U9" s="122">
        <f>IF($AL$9="","",IF(INDEX('Final Calculation Sheet'!$T$4:$T$40,$AL$9)="","",INDEX('Final Calculation Sheet'!$T$4:$T$40,$AL$9)))</f>
        <v/>
      </c>
      <c r="V9" s="125">
        <f>IF($AL$9="","",IF(INDEX('Final Calculation Sheet'!$U$4:$U$40,$AL$9)="","",INDEX('Final Calculation Sheet'!$U$4:$U$40,$AL$9)))</f>
        <v/>
      </c>
      <c r="W9" s="122">
        <f>IF($AL$9="","",IF(INDEX('Final Calculation Sheet'!$V$4:$V$40,$AL$9)="","",INDEX('Final Calculation Sheet'!$V$4:$V$40,$AL$9)))</f>
        <v/>
      </c>
      <c r="X9" s="122">
        <f>IF($AL$9="","",IF(INDEX('Final Calculation Sheet'!$W$4:$W$40,$AL$9)="","",INDEX('Final Calculation Sheet'!$W$4:$W$40,$AL$9)))</f>
        <v/>
      </c>
      <c r="Y9" s="122">
        <f>IF($AL$9="","",IF(INDEX('Final Calculation Sheet'!$X$4:$X$40,$AL$9)="","",INDEX('Final Calculation Sheet'!$X$4:$X$40,$AL$9)))</f>
        <v/>
      </c>
      <c r="Z9" s="122">
        <f>IF($AL$9="","",IF(INDEX('Final Calculation Sheet'!$Y$4:$Y$40,$AL$9)="","",INDEX('Final Calculation Sheet'!$Y$4:$Y$40,$AL$9)))</f>
        <v/>
      </c>
      <c r="AA9" s="122">
        <f>IF($AL$9="","",IF(INDEX('Final Calculation Sheet'!$Z$4:$Z$40,$AL$9)="","",INDEX('Final Calculation Sheet'!$Z$4:$Z$40,$AL$9)))</f>
        <v/>
      </c>
      <c r="AB9" s="122">
        <f>IF($AL$9="","",IF(INDEX('Final Calculation Sheet'!$AA$4:$AA$40,$AL$9)="","",INDEX('Final Calculation Sheet'!$AA$4:$AA$40,$AL$9)))</f>
        <v/>
      </c>
      <c r="AC9" s="122">
        <f>IF($AL$9="","",IF(INDEX('Final Calculation Sheet'!$AB$4:$AB$40,$AL$9)="","",INDEX('Final Calculation Sheet'!$AB$4:$AB$40,$AL$9)))</f>
        <v/>
      </c>
      <c r="AD9" s="122">
        <f>IF($AL$9="","",IF(INDEX('Final Calculation Sheet'!$AC$4:$AC$40,$AL$9)="","",INDEX('Final Calculation Sheet'!$AC$4:$AC$40,$AL$9)))</f>
        <v/>
      </c>
      <c r="AE9" s="122">
        <f>IF($AL$9="","",IF(INDEX('Final Calculation Sheet'!$AD$4:$AD$40,$AL$9)="","",INDEX('Final Calculation Sheet'!$AD$4:$AD$40,$AL$9)))</f>
        <v/>
      </c>
      <c r="AF9" s="127">
        <f>IF($AL$9="","",IF(INDEX('Final Calculation Sheet'!$AD$4:$AD$40,$AL$9)&lt;=5,"SETTLED","OUTSTANDING"))</f>
        <v/>
      </c>
      <c r="AG9" s="122">
        <f>IF($AL$9="","",IF(INDEX('Final Calculation Sheet'!$AF$4:$AF$40,$AL$9)="","",INDEX('Final Calculation Sheet'!$AF$4:$AF$40,$AL$9)))</f>
        <v/>
      </c>
      <c r="AH9" s="126">
        <f>IF($AL$9="","",IF(INDEX('Final Calculation Sheet'!$AG$4:$AG$40,$AL$9)="","",INDEX('Final Calculation Sheet'!$AG$4:$AG$40,$AL$9)))</f>
        <v/>
      </c>
      <c r="AI9" s="122">
        <f>IF($AL$9="","",IF(INDEX('Final Calculation Sheet'!$AH$4:$AH$40,$AL$9)="","",INDEX('Final Calculation Sheet'!$AH$4:$AH$40,$AL$9)))</f>
        <v/>
      </c>
      <c r="AJ9">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9">
        <f>IF(AJ9=1,COUNTIF(AJ$6:AJ9,1),"")</f>
        <v/>
      </c>
      <c r="AL9">
        <f>IF(COUNTIF($B$4:$AI$4,"&lt;&gt;")=0,"",IFERROR(MATCH(3,$AK$6:$AK$42,0),""))</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c r="DG9">
        <f>IF($B$4="",1,IF($B$4="(blank)",--('Final Calculation Sheet'!$F$7=""),IF($B$4="(nonblank)",--('Final Calculation Sheet'!$F$7&lt;&gt;""),--ISNUMBER(SEARCH($B$4,'Final Calculation Sheet'!$F$7)))))</f>
        <v/>
      </c>
      <c r="DH9">
        <f>IF($C$4="",1,IF($C$4="(blank)",--('Final Calculation Sheet'!$G$7=""),IF($C$4="(nonblank)",--('Final Calculation Sheet'!$G$7&lt;&gt;""),--ISNUMBER(SEARCH($C$4,'Final Calculation Sheet'!$G$7)))))</f>
        <v/>
      </c>
      <c r="DI9">
        <f>IF($D$4="",1,IF($D$4="(blank)",--('Final Calculation Sheet'!$B$7=""),IF($D$4="(nonblank)",--('Final Calculation Sheet'!$B$7&lt;&gt;""),--ISNUMBER(SEARCH($D$4,'Final Calculation Sheet'!$B$7)))))</f>
        <v/>
      </c>
      <c r="DJ9">
        <f>IF($E$4="",1,IF($E$4="(blank)",--('Final Calculation Sheet'!$D$7=""),IF($E$4="(nonblank)",--('Final Calculation Sheet'!$D$7&lt;&gt;""),--ISNUMBER(SEARCH($E$4,'Final Calculation Sheet'!$D$7)))))</f>
        <v/>
      </c>
      <c r="DK9">
        <f>IF($F$4="",1,IF($F$4="(blank)",--('Final Calculation Sheet'!$A$7=""),IF($F$4="(nonblank)",--('Final Calculation Sheet'!$A$7&lt;&gt;""),--ISNUMBER(SEARCH($F$4,'Final Calculation Sheet'!$A$7)))))</f>
        <v/>
      </c>
      <c r="DL9">
        <f>IF($G$4="",1,IF($G$4="(blank)",--('Final Calculation Sheet'!$E$7=""),IF($G$4="(nonblank)",--('Final Calculation Sheet'!$E$7&lt;&gt;""),--ISNUMBER(SEARCH($G$4,'Final Calculation Sheet'!$E$7)))))</f>
        <v/>
      </c>
      <c r="DM9">
        <f>IF($H$4="",1,IF($H$4="(blank)",--('Final Calculation Sheet'!$C$7=""),IF($H$4="(nonblank)",--('Final Calculation Sheet'!$C$7&lt;&gt;""),--ISNUMBER(SEARCH($H$4,'Final Calculation Sheet'!$C$7)))))</f>
        <v/>
      </c>
      <c r="DN9">
        <f>IF($I$4="",1,IF($I$4="(blank)",--('Final Calculation Sheet'!$H$7=""),IF($I$4="(nonblank)",--('Final Calculation Sheet'!$H$7&lt;&gt;""),--ISNUMBER(SEARCH($I$4,'Final Calculation Sheet'!$H$7)))))</f>
        <v/>
      </c>
      <c r="DO9">
        <f>IF($J$4="",1,IF($J$4="(blank)",--('Final Calculation Sheet'!$I$7=""),IF($J$4="(nonblank)",--('Final Calculation Sheet'!$I$7&lt;&gt;""),--ISNUMBER(SEARCH($J$4,'Final Calculation Sheet'!$I$7)))))</f>
        <v/>
      </c>
      <c r="DP9">
        <f>IF($K$4="",1,IF($K$4="(blank)",--('Final Calculation Sheet'!$J$7=""),IF($K$4="(nonblank)",--('Final Calculation Sheet'!$J$7&lt;&gt;""),--ISNUMBER(SEARCH($K$4,'Final Calculation Sheet'!$J$7)))))</f>
        <v/>
      </c>
      <c r="DQ9">
        <f>IF($L$4="",1,IF($L$4="(blank)",--('Final Calculation Sheet'!$K$7=""),IF($L$4="(nonblank)",--('Final Calculation Sheet'!$K$7&lt;&gt;""),--ISNUMBER(SEARCH($L$4,'Final Calculation Sheet'!$K$7)))))</f>
        <v/>
      </c>
      <c r="DR9">
        <f>IF($M$4="",1,IF($M$4="(blank)",--('Final Calculation Sheet'!$L$7=""),IF($M$4="(nonblank)",--('Final Calculation Sheet'!$L$7&lt;&gt;""),--ISNUMBER(SEARCH($M$4,'Final Calculation Sheet'!$L$7)))))</f>
        <v/>
      </c>
      <c r="DS9">
        <f>IF($N$4="",1,IF($N$4="(blank)",--('Final Calculation Sheet'!$M$7=""),IF($N$4="(nonblank)",--('Final Calculation Sheet'!$M$7&lt;&gt;""),--ISNUMBER(SEARCH($N$4,'Final Calculation Sheet'!$M$7)))))</f>
        <v/>
      </c>
      <c r="DT9">
        <f>IF($O$4="",1,IF($O$4="(blank)",--('Final Calculation Sheet'!$N$7=""),IF($O$4="(nonblank)",--('Final Calculation Sheet'!$N$7&lt;&gt;""),--ISNUMBER(SEARCH($O$4,'Final Calculation Sheet'!$N$7)))))</f>
        <v/>
      </c>
      <c r="DU9">
        <f>IF($P$4="",1,IF($P$4="(blank)",--('Final Calculation Sheet'!$O$7=""),IF($P$4="(nonblank)",--('Final Calculation Sheet'!$O$7&lt;&gt;""),--ISNUMBER(SEARCH($P$4,'Final Calculation Sheet'!$O$7)))))</f>
        <v/>
      </c>
      <c r="DV9">
        <f>IF($Q$4="",1,IF($Q$4="(blank)",--('Final Calculation Sheet'!$P$7=""),IF($Q$4="(nonblank)",--('Final Calculation Sheet'!$P$7&lt;&gt;""),--ISNUMBER(SEARCH($Q$4,'Final Calculation Sheet'!$P$7)))))</f>
        <v/>
      </c>
      <c r="DW9">
        <f>IF($R$4="",1,IF($R$4="(blank)",--('Final Calculation Sheet'!$Q$7=""),IF($R$4="(nonblank)",--('Final Calculation Sheet'!$Q$7&lt;&gt;""),--ISNUMBER(SEARCH($R$4,'Final Calculation Sheet'!$Q$7)))))</f>
        <v/>
      </c>
      <c r="DX9">
        <f>IF($S$4="",1,IF($S$4="(blank)",--('Final Calculation Sheet'!$R$7=""),IF($S$4="(nonblank)",--('Final Calculation Sheet'!$R$7&lt;&gt;""),--ISNUMBER(SEARCH($S$4,'Final Calculation Sheet'!$R$7)))))</f>
        <v/>
      </c>
      <c r="DY9">
        <f>IF($T$4="",1,IF($T$4="(blank)",--('Final Calculation Sheet'!$S$7=""),IF($T$4="(nonblank)",--('Final Calculation Sheet'!$S$7&lt;&gt;""),--ISNUMBER(SEARCH($T$4,'Final Calculation Sheet'!$S$7)))))</f>
        <v/>
      </c>
      <c r="DZ9">
        <f>IF($U$4="",1,IF($U$4="(blank)",--('Final Calculation Sheet'!$T$7=""),IF($U$4="(nonblank)",--('Final Calculation Sheet'!$T$7&lt;&gt;""),--ISNUMBER(SEARCH($U$4,'Final Calculation Sheet'!$T$7)))))</f>
        <v/>
      </c>
      <c r="EA9">
        <f>IF($V$4="",1,IF($V$4="(blank)",--('Final Calculation Sheet'!$U$7=""),IF($V$4="(nonblank)",--('Final Calculation Sheet'!$U$7&lt;&gt;""),--ISNUMBER(SEARCH($V$4,'Final Calculation Sheet'!$U$7)))))</f>
        <v/>
      </c>
      <c r="EB9">
        <f>IF($W$4="",1,IF($W$4="(blank)",--('Final Calculation Sheet'!$V$7=""),IF($W$4="(nonblank)",--('Final Calculation Sheet'!$V$7&lt;&gt;""),--ISNUMBER(SEARCH($W$4,'Final Calculation Sheet'!$V$7)))))</f>
        <v/>
      </c>
      <c r="EC9">
        <f>IF($X$4="",1,IF($X$4="(blank)",--('Final Calculation Sheet'!$W$7=""),IF($X$4="(nonblank)",--('Final Calculation Sheet'!$W$7&lt;&gt;""),--ISNUMBER(SEARCH($X$4,'Final Calculation Sheet'!$W$7)))))</f>
        <v/>
      </c>
      <c r="ED9">
        <f>IF($Y$4="",1,IF($Y$4="(blank)",--('Final Calculation Sheet'!$X$7=""),IF($Y$4="(nonblank)",--('Final Calculation Sheet'!$X$7&lt;&gt;""),--ISNUMBER(SEARCH($Y$4,'Final Calculation Sheet'!$X$7)))))</f>
        <v/>
      </c>
      <c r="EE9">
        <f>IF($Z$4="",1,IF($Z$4="(blank)",--('Final Calculation Sheet'!$Y$7=""),IF($Z$4="(nonblank)",--('Final Calculation Sheet'!$Y$7&lt;&gt;""),--ISNUMBER(SEARCH($Z$4,'Final Calculation Sheet'!$Y$7)))))</f>
        <v/>
      </c>
      <c r="EF9">
        <f>IF($AA$4="",1,IF($AA$4="(blank)",--('Final Calculation Sheet'!$Z$7=""),IF($AA$4="(nonblank)",--('Final Calculation Sheet'!$Z$7&lt;&gt;""),--ISNUMBER(SEARCH($AA$4,'Final Calculation Sheet'!$Z$7)))))</f>
        <v/>
      </c>
      <c r="EG9">
        <f>IF($AB$4="",1,IF($AB$4="(blank)",--('Final Calculation Sheet'!$AA$7=""),IF($AB$4="(nonblank)",--('Final Calculation Sheet'!$AA$7&lt;&gt;""),--ISNUMBER(SEARCH($AB$4,'Final Calculation Sheet'!$AA$7)))))</f>
        <v/>
      </c>
      <c r="EH9">
        <f>IF($AC$4="",1,IF($AC$4="(blank)",--('Final Calculation Sheet'!$AB$7=""),IF($AC$4="(nonblank)",--('Final Calculation Sheet'!$AB$7&lt;&gt;""),--ISNUMBER(SEARCH($AC$4,'Final Calculation Sheet'!$AB$7)))))</f>
        <v/>
      </c>
      <c r="EI9">
        <f>IF($AD$4="",1,IF($AD$4="(blank)",--('Final Calculation Sheet'!$AC$7=""),IF($AD$4="(nonblank)",--('Final Calculation Sheet'!$AC$7&lt;&gt;""),--ISNUMBER(SEARCH($AD$4,'Final Calculation Sheet'!$AC$7)))))</f>
        <v/>
      </c>
      <c r="EJ9">
        <f>IF($AE$4="",1,IF($AE$4="(blank)",--('Final Calculation Sheet'!$AD$7=""),IF($AE$4="(nonblank)",--('Final Calculation Sheet'!$AD$7&lt;&gt;""),--ISNUMBER(SEARCH($AE$4,'Final Calculation Sheet'!$AD$7)))))</f>
        <v/>
      </c>
      <c r="EK9">
        <f>IF($AF$4="",1,IF($AF$4="(blank)",--(IF('Final Calculation Sheet'!$AD$7&lt;=5,"SETTLED","OUTSTANDING")=""),IF($AF$4="(nonblank)",--(IF('Final Calculation Sheet'!$AD$7&lt;=5,"SETTLED","OUTSTANDING")&lt;&gt;""),--ISNUMBER(SEARCH($AF$4,IF('Final Calculation Sheet'!$AD$7&lt;=5,"SETTLED","OUTSTANDING"))))))</f>
        <v/>
      </c>
      <c r="EL9">
        <f>IF($AG$4="",1,IF($AG$4="(blank)",--('Final Calculation Sheet'!$AF$7=""),IF($AG$4="(nonblank)",--('Final Calculation Sheet'!$AF$7&lt;&gt;""),--ISNUMBER(SEARCH($AG$4,'Final Calculation Sheet'!$AF$7)))))</f>
        <v/>
      </c>
      <c r="EM9">
        <f>IF($AH$4="",1,IF($AH$4="(blank)",--('Final Calculation Sheet'!$AG$7=""),IF($AH$4="(nonblank)",--('Final Calculation Sheet'!$AG$7&lt;&gt;""),--ISNUMBER(SEARCH($AH$4,'Final Calculation Sheet'!$AG$7)))))</f>
        <v/>
      </c>
      <c r="EN9">
        <f>IF($AI$4="",1,IF($AI$4="(blank)",--('Final Calculation Sheet'!$AH$7=""),IF($AI$4="(nonblank)",--('Final Calculation Sheet'!$AH$7&lt;&gt;""),--ISNUMBER(SEARCH($AI$4,'Final Calculation Sheet'!$AH$7)))))</f>
        <v/>
      </c>
    </row>
    <row r="10" outlineLevel="1" hidden="1">
      <c r="A10" s="128">
        <f>IF($AL$10="","",4)</f>
        <v/>
      </c>
      <c r="B10" s="129">
        <f>IF($AL$10="","",IF(INDEX('Final Calculation Sheet'!$F$4:$F$40,$AL$10)="","",INDEX('Final Calculation Sheet'!$F$4:$F$40,$AL$10)))</f>
        <v/>
      </c>
      <c r="C10" s="129">
        <f>IF($AL$10="","",IF(INDEX('Final Calculation Sheet'!$G$4:$G$40,$AL$10)="","",INDEX('Final Calculation Sheet'!$G$4:$G$40,$AL$10)))</f>
        <v/>
      </c>
      <c r="D10" s="130">
        <f>IF($AL$10="","",IF(INDEX('Final Calculation Sheet'!$B$4:$B$40,$AL$10)="","",INDEX('Final Calculation Sheet'!$B$4:$B$40,$AL$10)))</f>
        <v/>
      </c>
      <c r="E10" s="130">
        <f>IF($AL$10="","",IF(INDEX('Final Calculation Sheet'!$D$4:$D$40,$AL$10)="","",INDEX('Final Calculation Sheet'!$D$4:$D$40,$AL$10)))</f>
        <v/>
      </c>
      <c r="F10" s="130">
        <f>IF($AL$10="","",IF(INDEX('Final Calculation Sheet'!$A$4:$A$40,$AL$10)="","",INDEX('Final Calculation Sheet'!$A$4:$A$40,$AL$10)))</f>
        <v/>
      </c>
      <c r="G10" s="130">
        <f>IF($AL$10="","",IF(INDEX('Final Calculation Sheet'!$E$4:$E$40,$AL$10)="","",INDEX('Final Calculation Sheet'!$E$4:$E$40,$AL$10)))</f>
        <v/>
      </c>
      <c r="H10" s="131">
        <f>IF($AL$10="","",IF(INDEX('Final Calculation Sheet'!$C$4:$C$40,$AL$10)="","",INDEX('Final Calculation Sheet'!$C$4:$C$40,$AL$10)))</f>
        <v/>
      </c>
      <c r="I10" s="131">
        <f>IF($AL$10="","",IF(INDEX('Final Calculation Sheet'!$H$4:$H$40,$AL$10)="","",INDEX('Final Calculation Sheet'!$H$4:$H$40,$AL$10)))</f>
        <v/>
      </c>
      <c r="J10" s="131">
        <f>IF($AL$10="","",IF(INDEX('Final Calculation Sheet'!$I$4:$I$40,$AL$10)="","",INDEX('Final Calculation Sheet'!$I$4:$I$40,$AL$10)))</f>
        <v/>
      </c>
      <c r="K10" s="131">
        <f>IF($AL$10="","",IF(INDEX('Final Calculation Sheet'!$J$4:$J$40,$AL$10)="","",INDEX('Final Calculation Sheet'!$J$4:$J$40,$AL$10)))</f>
        <v/>
      </c>
      <c r="L10" s="131">
        <f>IF($AL$10="","",IF(INDEX('Final Calculation Sheet'!$K$4:$K$40,$AL$10)="","",INDEX('Final Calculation Sheet'!$K$4:$K$40,$AL$10)))</f>
        <v/>
      </c>
      <c r="M10" s="131">
        <f>IF($AL$10="","",IF(INDEX('Final Calculation Sheet'!$L$4:$L$40,$AL$10)="","",INDEX('Final Calculation Sheet'!$L$4:$L$40,$AL$10)))</f>
        <v/>
      </c>
      <c r="N10" s="131">
        <f>IF($AL$10="","",IF(INDEX('Final Calculation Sheet'!$M$4:$M$40,$AL$10)="","",INDEX('Final Calculation Sheet'!$M$4:$M$40,$AL$10)))</f>
        <v/>
      </c>
      <c r="O10" s="132">
        <f>IF($AL$10="","",IF(INDEX('Final Calculation Sheet'!$N$4:$N$40,$AL$10)="","",INDEX('Final Calculation Sheet'!$N$4:$N$40,$AL$10)))</f>
        <v/>
      </c>
      <c r="P10" s="131">
        <f>IF($AL$10="","",IF(INDEX('Final Calculation Sheet'!$O$4:$O$40,$AL$10)="","",INDEX('Final Calculation Sheet'!$O$4:$O$40,$AL$10)))</f>
        <v/>
      </c>
      <c r="Q10" s="131">
        <f>IF($AL$10="","",IF(INDEX('Final Calculation Sheet'!$P$4:$P$40,$AL$10)="","",INDEX('Final Calculation Sheet'!$P$4:$P$40,$AL$10)))</f>
        <v/>
      </c>
      <c r="R10" s="133">
        <f>IF($AL$10="","",IF(INDEX('Final Calculation Sheet'!$Q$4:$Q$40,$AL$10)="","",INDEX('Final Calculation Sheet'!$Q$4:$Q$40,$AL$10)))</f>
        <v/>
      </c>
      <c r="S10" s="131">
        <f>IF($AL$10="","",IF(INDEX('Final Calculation Sheet'!$R$4:$R$40,$AL$10)="","",INDEX('Final Calculation Sheet'!$R$4:$R$40,$AL$10)))</f>
        <v/>
      </c>
      <c r="T10" s="131">
        <f>IF($AL$10="","",IF(INDEX('Final Calculation Sheet'!$S$4:$S$40,$AL$10)="","",INDEX('Final Calculation Sheet'!$S$4:$S$40,$AL$10)))</f>
        <v/>
      </c>
      <c r="U10" s="131">
        <f>IF($AL$10="","",IF(INDEX('Final Calculation Sheet'!$T$4:$T$40,$AL$10)="","",INDEX('Final Calculation Sheet'!$T$4:$T$40,$AL$10)))</f>
        <v/>
      </c>
      <c r="V10" s="134">
        <f>IF($AL$10="","",IF(INDEX('Final Calculation Sheet'!$U$4:$U$40,$AL$10)="","",INDEX('Final Calculation Sheet'!$U$4:$U$40,$AL$10)))</f>
        <v/>
      </c>
      <c r="W10" s="131">
        <f>IF($AL$10="","",IF(INDEX('Final Calculation Sheet'!$V$4:$V$40,$AL$10)="","",INDEX('Final Calculation Sheet'!$V$4:$V$40,$AL$10)))</f>
        <v/>
      </c>
      <c r="X10" s="131">
        <f>IF($AL$10="","",IF(INDEX('Final Calculation Sheet'!$W$4:$W$40,$AL$10)="","",INDEX('Final Calculation Sheet'!$W$4:$W$40,$AL$10)))</f>
        <v/>
      </c>
      <c r="Y10" s="131">
        <f>IF($AL$10="","",IF(INDEX('Final Calculation Sheet'!$X$4:$X$40,$AL$10)="","",INDEX('Final Calculation Sheet'!$X$4:$X$40,$AL$10)))</f>
        <v/>
      </c>
      <c r="Z10" s="131">
        <f>IF($AL$10="","",IF(INDEX('Final Calculation Sheet'!$Y$4:$Y$40,$AL$10)="","",INDEX('Final Calculation Sheet'!$Y$4:$Y$40,$AL$10)))</f>
        <v/>
      </c>
      <c r="AA10" s="131">
        <f>IF($AL$10="","",IF(INDEX('Final Calculation Sheet'!$Z$4:$Z$40,$AL$10)="","",INDEX('Final Calculation Sheet'!$Z$4:$Z$40,$AL$10)))</f>
        <v/>
      </c>
      <c r="AB10" s="131">
        <f>IF($AL$10="","",IF(INDEX('Final Calculation Sheet'!$AA$4:$AA$40,$AL$10)="","",INDEX('Final Calculation Sheet'!$AA$4:$AA$40,$AL$10)))</f>
        <v/>
      </c>
      <c r="AC10" s="131">
        <f>IF($AL$10="","",IF(INDEX('Final Calculation Sheet'!$AB$4:$AB$40,$AL$10)="","",INDEX('Final Calculation Sheet'!$AB$4:$AB$40,$AL$10)))</f>
        <v/>
      </c>
      <c r="AD10" s="131">
        <f>IF($AL$10="","",IF(INDEX('Final Calculation Sheet'!$AC$4:$AC$40,$AL$10)="","",INDEX('Final Calculation Sheet'!$AC$4:$AC$40,$AL$10)))</f>
        <v/>
      </c>
      <c r="AE10" s="131">
        <f>IF($AL$10="","",IF(INDEX('Final Calculation Sheet'!$AD$4:$AD$40,$AL$10)="","",INDEX('Final Calculation Sheet'!$AD$4:$AD$40,$AL$10)))</f>
        <v/>
      </c>
      <c r="AF10" s="136">
        <f>IF($AL$10="","",IF(INDEX('Final Calculation Sheet'!$AD$4:$AD$40,$AL$10)&lt;=5,"SETTLED","OUTSTANDING"))</f>
        <v/>
      </c>
      <c r="AG10" s="131">
        <f>IF($AL$10="","",IF(INDEX('Final Calculation Sheet'!$AF$4:$AF$40,$AL$10)="","",INDEX('Final Calculation Sheet'!$AF$4:$AF$40,$AL$10)))</f>
        <v/>
      </c>
      <c r="AH10" s="135">
        <f>IF($AL$10="","",IF(INDEX('Final Calculation Sheet'!$AG$4:$AG$40,$AL$10)="","",INDEX('Final Calculation Sheet'!$AG$4:$AG$40,$AL$10)))</f>
        <v/>
      </c>
      <c r="AI10" s="131">
        <f>IF($AL$10="","",IF(INDEX('Final Calculation Sheet'!$AH$4:$AH$40,$AL$10)="","",INDEX('Final Calculation Sheet'!$AH$4:$AH$40,$AL$10)))</f>
        <v/>
      </c>
      <c r="AJ10">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10">
        <f>IF(AJ10=1,COUNTIF(AJ$6:AJ10,1),"")</f>
        <v/>
      </c>
      <c r="AL10">
        <f>IF(COUNTIF($B$4:$AI$4,"&lt;&gt;")=0,"",IFERROR(MATCH(4,$AK$6:$AK$42,0),""))</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c r="DG10">
        <f>IF($B$4="",1,IF($B$4="(blank)",--('Final Calculation Sheet'!$F$8=""),IF($B$4="(nonblank)",--('Final Calculation Sheet'!$F$8&lt;&gt;""),--ISNUMBER(SEARCH($B$4,'Final Calculation Sheet'!$F$8)))))</f>
        <v/>
      </c>
      <c r="DH10">
        <f>IF($C$4="",1,IF($C$4="(blank)",--('Final Calculation Sheet'!$G$8=""),IF($C$4="(nonblank)",--('Final Calculation Sheet'!$G$8&lt;&gt;""),--ISNUMBER(SEARCH($C$4,'Final Calculation Sheet'!$G$8)))))</f>
        <v/>
      </c>
      <c r="DI10">
        <f>IF($D$4="",1,IF($D$4="(blank)",--('Final Calculation Sheet'!$B$8=""),IF($D$4="(nonblank)",--('Final Calculation Sheet'!$B$8&lt;&gt;""),--ISNUMBER(SEARCH($D$4,'Final Calculation Sheet'!$B$8)))))</f>
        <v/>
      </c>
      <c r="DJ10">
        <f>IF($E$4="",1,IF($E$4="(blank)",--('Final Calculation Sheet'!$D$8=""),IF($E$4="(nonblank)",--('Final Calculation Sheet'!$D$8&lt;&gt;""),--ISNUMBER(SEARCH($E$4,'Final Calculation Sheet'!$D$8)))))</f>
        <v/>
      </c>
      <c r="DK10">
        <f>IF($F$4="",1,IF($F$4="(blank)",--('Final Calculation Sheet'!$A$8=""),IF($F$4="(nonblank)",--('Final Calculation Sheet'!$A$8&lt;&gt;""),--ISNUMBER(SEARCH($F$4,'Final Calculation Sheet'!$A$8)))))</f>
        <v/>
      </c>
      <c r="DL10">
        <f>IF($G$4="",1,IF($G$4="(blank)",--('Final Calculation Sheet'!$E$8=""),IF($G$4="(nonblank)",--('Final Calculation Sheet'!$E$8&lt;&gt;""),--ISNUMBER(SEARCH($G$4,'Final Calculation Sheet'!$E$8)))))</f>
        <v/>
      </c>
      <c r="DM10">
        <f>IF($H$4="",1,IF($H$4="(blank)",--('Final Calculation Sheet'!$C$8=""),IF($H$4="(nonblank)",--('Final Calculation Sheet'!$C$8&lt;&gt;""),--ISNUMBER(SEARCH($H$4,'Final Calculation Sheet'!$C$8)))))</f>
        <v/>
      </c>
      <c r="DN10">
        <f>IF($I$4="",1,IF($I$4="(blank)",--('Final Calculation Sheet'!$H$8=""),IF($I$4="(nonblank)",--('Final Calculation Sheet'!$H$8&lt;&gt;""),--ISNUMBER(SEARCH($I$4,'Final Calculation Sheet'!$H$8)))))</f>
        <v/>
      </c>
      <c r="DO10">
        <f>IF($J$4="",1,IF($J$4="(blank)",--('Final Calculation Sheet'!$I$8=""),IF($J$4="(nonblank)",--('Final Calculation Sheet'!$I$8&lt;&gt;""),--ISNUMBER(SEARCH($J$4,'Final Calculation Sheet'!$I$8)))))</f>
        <v/>
      </c>
      <c r="DP10">
        <f>IF($K$4="",1,IF($K$4="(blank)",--('Final Calculation Sheet'!$J$8=""),IF($K$4="(nonblank)",--('Final Calculation Sheet'!$J$8&lt;&gt;""),--ISNUMBER(SEARCH($K$4,'Final Calculation Sheet'!$J$8)))))</f>
        <v/>
      </c>
      <c r="DQ10">
        <f>IF($L$4="",1,IF($L$4="(blank)",--('Final Calculation Sheet'!$K$8=""),IF($L$4="(nonblank)",--('Final Calculation Sheet'!$K$8&lt;&gt;""),--ISNUMBER(SEARCH($L$4,'Final Calculation Sheet'!$K$8)))))</f>
        <v/>
      </c>
      <c r="DR10">
        <f>IF($M$4="",1,IF($M$4="(blank)",--('Final Calculation Sheet'!$L$8=""),IF($M$4="(nonblank)",--('Final Calculation Sheet'!$L$8&lt;&gt;""),--ISNUMBER(SEARCH($M$4,'Final Calculation Sheet'!$L$8)))))</f>
        <v/>
      </c>
      <c r="DS10">
        <f>IF($N$4="",1,IF($N$4="(blank)",--('Final Calculation Sheet'!$M$8=""),IF($N$4="(nonblank)",--('Final Calculation Sheet'!$M$8&lt;&gt;""),--ISNUMBER(SEARCH($N$4,'Final Calculation Sheet'!$M$8)))))</f>
        <v/>
      </c>
      <c r="DT10">
        <f>IF($O$4="",1,IF($O$4="(blank)",--('Final Calculation Sheet'!$N$8=""),IF($O$4="(nonblank)",--('Final Calculation Sheet'!$N$8&lt;&gt;""),--ISNUMBER(SEARCH($O$4,'Final Calculation Sheet'!$N$8)))))</f>
        <v/>
      </c>
      <c r="DU10">
        <f>IF($P$4="",1,IF($P$4="(blank)",--('Final Calculation Sheet'!$O$8=""),IF($P$4="(nonblank)",--('Final Calculation Sheet'!$O$8&lt;&gt;""),--ISNUMBER(SEARCH($P$4,'Final Calculation Sheet'!$O$8)))))</f>
        <v/>
      </c>
      <c r="DV10">
        <f>IF($Q$4="",1,IF($Q$4="(blank)",--('Final Calculation Sheet'!$P$8=""),IF($Q$4="(nonblank)",--('Final Calculation Sheet'!$P$8&lt;&gt;""),--ISNUMBER(SEARCH($Q$4,'Final Calculation Sheet'!$P$8)))))</f>
        <v/>
      </c>
      <c r="DW10">
        <f>IF($R$4="",1,IF($R$4="(blank)",--('Final Calculation Sheet'!$Q$8=""),IF($R$4="(nonblank)",--('Final Calculation Sheet'!$Q$8&lt;&gt;""),--ISNUMBER(SEARCH($R$4,'Final Calculation Sheet'!$Q$8)))))</f>
        <v/>
      </c>
      <c r="DX10">
        <f>IF($S$4="",1,IF($S$4="(blank)",--('Final Calculation Sheet'!$R$8=""),IF($S$4="(nonblank)",--('Final Calculation Sheet'!$R$8&lt;&gt;""),--ISNUMBER(SEARCH($S$4,'Final Calculation Sheet'!$R$8)))))</f>
        <v/>
      </c>
      <c r="DY10">
        <f>IF($T$4="",1,IF($T$4="(blank)",--('Final Calculation Sheet'!$S$8=""),IF($T$4="(nonblank)",--('Final Calculation Sheet'!$S$8&lt;&gt;""),--ISNUMBER(SEARCH($T$4,'Final Calculation Sheet'!$S$8)))))</f>
        <v/>
      </c>
      <c r="DZ10">
        <f>IF($U$4="",1,IF($U$4="(blank)",--('Final Calculation Sheet'!$T$8=""),IF($U$4="(nonblank)",--('Final Calculation Sheet'!$T$8&lt;&gt;""),--ISNUMBER(SEARCH($U$4,'Final Calculation Sheet'!$T$8)))))</f>
        <v/>
      </c>
      <c r="EA10">
        <f>IF($V$4="",1,IF($V$4="(blank)",--('Final Calculation Sheet'!$U$8=""),IF($V$4="(nonblank)",--('Final Calculation Sheet'!$U$8&lt;&gt;""),--ISNUMBER(SEARCH($V$4,'Final Calculation Sheet'!$U$8)))))</f>
        <v/>
      </c>
      <c r="EB10">
        <f>IF($W$4="",1,IF($W$4="(blank)",--('Final Calculation Sheet'!$V$8=""),IF($W$4="(nonblank)",--('Final Calculation Sheet'!$V$8&lt;&gt;""),--ISNUMBER(SEARCH($W$4,'Final Calculation Sheet'!$V$8)))))</f>
        <v/>
      </c>
      <c r="EC10">
        <f>IF($X$4="",1,IF($X$4="(blank)",--('Final Calculation Sheet'!$W$8=""),IF($X$4="(nonblank)",--('Final Calculation Sheet'!$W$8&lt;&gt;""),--ISNUMBER(SEARCH($X$4,'Final Calculation Sheet'!$W$8)))))</f>
        <v/>
      </c>
      <c r="ED10">
        <f>IF($Y$4="",1,IF($Y$4="(blank)",--('Final Calculation Sheet'!$X$8=""),IF($Y$4="(nonblank)",--('Final Calculation Sheet'!$X$8&lt;&gt;""),--ISNUMBER(SEARCH($Y$4,'Final Calculation Sheet'!$X$8)))))</f>
        <v/>
      </c>
      <c r="EE10">
        <f>IF($Z$4="",1,IF($Z$4="(blank)",--('Final Calculation Sheet'!$Y$8=""),IF($Z$4="(nonblank)",--('Final Calculation Sheet'!$Y$8&lt;&gt;""),--ISNUMBER(SEARCH($Z$4,'Final Calculation Sheet'!$Y$8)))))</f>
        <v/>
      </c>
      <c r="EF10">
        <f>IF($AA$4="",1,IF($AA$4="(blank)",--('Final Calculation Sheet'!$Z$8=""),IF($AA$4="(nonblank)",--('Final Calculation Sheet'!$Z$8&lt;&gt;""),--ISNUMBER(SEARCH($AA$4,'Final Calculation Sheet'!$Z$8)))))</f>
        <v/>
      </c>
      <c r="EG10">
        <f>IF($AB$4="",1,IF($AB$4="(blank)",--('Final Calculation Sheet'!$AA$8=""),IF($AB$4="(nonblank)",--('Final Calculation Sheet'!$AA$8&lt;&gt;""),--ISNUMBER(SEARCH($AB$4,'Final Calculation Sheet'!$AA$8)))))</f>
        <v/>
      </c>
      <c r="EH10">
        <f>IF($AC$4="",1,IF($AC$4="(blank)",--('Final Calculation Sheet'!$AB$8=""),IF($AC$4="(nonblank)",--('Final Calculation Sheet'!$AB$8&lt;&gt;""),--ISNUMBER(SEARCH($AC$4,'Final Calculation Sheet'!$AB$8)))))</f>
        <v/>
      </c>
      <c r="EI10">
        <f>IF($AD$4="",1,IF($AD$4="(blank)",--('Final Calculation Sheet'!$AC$8=""),IF($AD$4="(nonblank)",--('Final Calculation Sheet'!$AC$8&lt;&gt;""),--ISNUMBER(SEARCH($AD$4,'Final Calculation Sheet'!$AC$8)))))</f>
        <v/>
      </c>
      <c r="EJ10">
        <f>IF($AE$4="",1,IF($AE$4="(blank)",--('Final Calculation Sheet'!$AD$8=""),IF($AE$4="(nonblank)",--('Final Calculation Sheet'!$AD$8&lt;&gt;""),--ISNUMBER(SEARCH($AE$4,'Final Calculation Sheet'!$AD$8)))))</f>
        <v/>
      </c>
      <c r="EK10">
        <f>IF($AF$4="",1,IF($AF$4="(blank)",--(IF('Final Calculation Sheet'!$AD$8&lt;=5,"SETTLED","OUTSTANDING")=""),IF($AF$4="(nonblank)",--(IF('Final Calculation Sheet'!$AD$8&lt;=5,"SETTLED","OUTSTANDING")&lt;&gt;""),--ISNUMBER(SEARCH($AF$4,IF('Final Calculation Sheet'!$AD$8&lt;=5,"SETTLED","OUTSTANDING"))))))</f>
        <v/>
      </c>
      <c r="EL10">
        <f>IF($AG$4="",1,IF($AG$4="(blank)",--('Final Calculation Sheet'!$AF$8=""),IF($AG$4="(nonblank)",--('Final Calculation Sheet'!$AF$8&lt;&gt;""),--ISNUMBER(SEARCH($AG$4,'Final Calculation Sheet'!$AF$8)))))</f>
        <v/>
      </c>
      <c r="EM10">
        <f>IF($AH$4="",1,IF($AH$4="(blank)",--('Final Calculation Sheet'!$AG$8=""),IF($AH$4="(nonblank)",--('Final Calculation Sheet'!$AG$8&lt;&gt;""),--ISNUMBER(SEARCH($AH$4,'Final Calculation Sheet'!$AG$8)))))</f>
        <v/>
      </c>
      <c r="EN10">
        <f>IF($AI$4="",1,IF($AI$4="(blank)",--('Final Calculation Sheet'!$AH$8=""),IF($AI$4="(nonblank)",--('Final Calculation Sheet'!$AH$8&lt;&gt;""),--ISNUMBER(SEARCH($AI$4,'Final Calculation Sheet'!$AH$8)))))</f>
        <v/>
      </c>
    </row>
    <row r="11" outlineLevel="1" hidden="1">
      <c r="A11" s="118">
        <f>IF($AL$11="","",5)</f>
        <v/>
      </c>
      <c r="B11" s="119">
        <f>IF($AL$11="","",IF(INDEX('Final Calculation Sheet'!$F$4:$F$40,$AL$11)="","",INDEX('Final Calculation Sheet'!$F$4:$F$40,$AL$11)))</f>
        <v/>
      </c>
      <c r="C11" s="119">
        <f>IF($AL$11="","",IF(INDEX('Final Calculation Sheet'!$G$4:$G$40,$AL$11)="","",INDEX('Final Calculation Sheet'!$G$4:$G$40,$AL$11)))</f>
        <v/>
      </c>
      <c r="D11" s="121">
        <f>IF($AL$11="","",IF(INDEX('Final Calculation Sheet'!$B$4:$B$40,$AL$11)="","",INDEX('Final Calculation Sheet'!$B$4:$B$40,$AL$11)))</f>
        <v/>
      </c>
      <c r="E11" s="121">
        <f>IF($AL$11="","",IF(INDEX('Final Calculation Sheet'!$D$4:$D$40,$AL$11)="","",INDEX('Final Calculation Sheet'!$D$4:$D$40,$AL$11)))</f>
        <v/>
      </c>
      <c r="F11" s="121">
        <f>IF($AL$11="","",IF(INDEX('Final Calculation Sheet'!$A$4:$A$40,$AL$11)="","",INDEX('Final Calculation Sheet'!$A$4:$A$40,$AL$11)))</f>
        <v/>
      </c>
      <c r="G11" s="121">
        <f>IF($AL$11="","",IF(INDEX('Final Calculation Sheet'!$E$4:$E$40,$AL$11)="","",INDEX('Final Calculation Sheet'!$E$4:$E$40,$AL$11)))</f>
        <v/>
      </c>
      <c r="H11" s="122">
        <f>IF($AL$11="","",IF(INDEX('Final Calculation Sheet'!$C$4:$C$40,$AL$11)="","",INDEX('Final Calculation Sheet'!$C$4:$C$40,$AL$11)))</f>
        <v/>
      </c>
      <c r="I11" s="122">
        <f>IF($AL$11="","",IF(INDEX('Final Calculation Sheet'!$H$4:$H$40,$AL$11)="","",INDEX('Final Calculation Sheet'!$H$4:$H$40,$AL$11)))</f>
        <v/>
      </c>
      <c r="J11" s="122">
        <f>IF($AL$11="","",IF(INDEX('Final Calculation Sheet'!$I$4:$I$40,$AL$11)="","",INDEX('Final Calculation Sheet'!$I$4:$I$40,$AL$11)))</f>
        <v/>
      </c>
      <c r="K11" s="122">
        <f>IF($AL$11="","",IF(INDEX('Final Calculation Sheet'!$J$4:$J$40,$AL$11)="","",INDEX('Final Calculation Sheet'!$J$4:$J$40,$AL$11)))</f>
        <v/>
      </c>
      <c r="L11" s="122">
        <f>IF($AL$11="","",IF(INDEX('Final Calculation Sheet'!$K$4:$K$40,$AL$11)="","",INDEX('Final Calculation Sheet'!$K$4:$K$40,$AL$11)))</f>
        <v/>
      </c>
      <c r="M11" s="122">
        <f>IF($AL$11="","",IF(INDEX('Final Calculation Sheet'!$L$4:$L$40,$AL$11)="","",INDEX('Final Calculation Sheet'!$L$4:$L$40,$AL$11)))</f>
        <v/>
      </c>
      <c r="N11" s="122">
        <f>IF($AL$11="","",IF(INDEX('Final Calculation Sheet'!$M$4:$M$40,$AL$11)="","",INDEX('Final Calculation Sheet'!$M$4:$M$40,$AL$11)))</f>
        <v/>
      </c>
      <c r="O11" s="123">
        <f>IF($AL$11="","",IF(INDEX('Final Calculation Sheet'!$N$4:$N$40,$AL$11)="","",INDEX('Final Calculation Sheet'!$N$4:$N$40,$AL$11)))</f>
        <v/>
      </c>
      <c r="P11" s="122">
        <f>IF($AL$11="","",IF(INDEX('Final Calculation Sheet'!$O$4:$O$40,$AL$11)="","",INDEX('Final Calculation Sheet'!$O$4:$O$40,$AL$11)))</f>
        <v/>
      </c>
      <c r="Q11" s="122">
        <f>IF($AL$11="","",IF(INDEX('Final Calculation Sheet'!$P$4:$P$40,$AL$11)="","",INDEX('Final Calculation Sheet'!$P$4:$P$40,$AL$11)))</f>
        <v/>
      </c>
      <c r="R11" s="124">
        <f>IF($AL$11="","",IF(INDEX('Final Calculation Sheet'!$Q$4:$Q$40,$AL$11)="","",INDEX('Final Calculation Sheet'!$Q$4:$Q$40,$AL$11)))</f>
        <v/>
      </c>
      <c r="S11" s="122">
        <f>IF($AL$11="","",IF(INDEX('Final Calculation Sheet'!$R$4:$R$40,$AL$11)="","",INDEX('Final Calculation Sheet'!$R$4:$R$40,$AL$11)))</f>
        <v/>
      </c>
      <c r="T11" s="122">
        <f>IF($AL$11="","",IF(INDEX('Final Calculation Sheet'!$S$4:$S$40,$AL$11)="","",INDEX('Final Calculation Sheet'!$S$4:$S$40,$AL$11)))</f>
        <v/>
      </c>
      <c r="U11" s="122">
        <f>IF($AL$11="","",IF(INDEX('Final Calculation Sheet'!$T$4:$T$40,$AL$11)="","",INDEX('Final Calculation Sheet'!$T$4:$T$40,$AL$11)))</f>
        <v/>
      </c>
      <c r="V11" s="125">
        <f>IF($AL$11="","",IF(INDEX('Final Calculation Sheet'!$U$4:$U$40,$AL$11)="","",INDEX('Final Calculation Sheet'!$U$4:$U$40,$AL$11)))</f>
        <v/>
      </c>
      <c r="W11" s="122">
        <f>IF($AL$11="","",IF(INDEX('Final Calculation Sheet'!$V$4:$V$40,$AL$11)="","",INDEX('Final Calculation Sheet'!$V$4:$V$40,$AL$11)))</f>
        <v/>
      </c>
      <c r="X11" s="122">
        <f>IF($AL$11="","",IF(INDEX('Final Calculation Sheet'!$W$4:$W$40,$AL$11)="","",INDEX('Final Calculation Sheet'!$W$4:$W$40,$AL$11)))</f>
        <v/>
      </c>
      <c r="Y11" s="122">
        <f>IF($AL$11="","",IF(INDEX('Final Calculation Sheet'!$X$4:$X$40,$AL$11)="","",INDEX('Final Calculation Sheet'!$X$4:$X$40,$AL$11)))</f>
        <v/>
      </c>
      <c r="Z11" s="122">
        <f>IF($AL$11="","",IF(INDEX('Final Calculation Sheet'!$Y$4:$Y$40,$AL$11)="","",INDEX('Final Calculation Sheet'!$Y$4:$Y$40,$AL$11)))</f>
        <v/>
      </c>
      <c r="AA11" s="122">
        <f>IF($AL$11="","",IF(INDEX('Final Calculation Sheet'!$Z$4:$Z$40,$AL$11)="","",INDEX('Final Calculation Sheet'!$Z$4:$Z$40,$AL$11)))</f>
        <v/>
      </c>
      <c r="AB11" s="122">
        <f>IF($AL$11="","",IF(INDEX('Final Calculation Sheet'!$AA$4:$AA$40,$AL$11)="","",INDEX('Final Calculation Sheet'!$AA$4:$AA$40,$AL$11)))</f>
        <v/>
      </c>
      <c r="AC11" s="122">
        <f>IF($AL$11="","",IF(INDEX('Final Calculation Sheet'!$AB$4:$AB$40,$AL$11)="","",INDEX('Final Calculation Sheet'!$AB$4:$AB$40,$AL$11)))</f>
        <v/>
      </c>
      <c r="AD11" s="122">
        <f>IF($AL$11="","",IF(INDEX('Final Calculation Sheet'!$AC$4:$AC$40,$AL$11)="","",INDEX('Final Calculation Sheet'!$AC$4:$AC$40,$AL$11)))</f>
        <v/>
      </c>
      <c r="AE11" s="122">
        <f>IF($AL$11="","",IF(INDEX('Final Calculation Sheet'!$AD$4:$AD$40,$AL$11)="","",INDEX('Final Calculation Sheet'!$AD$4:$AD$40,$AL$11)))</f>
        <v/>
      </c>
      <c r="AF11" s="127">
        <f>IF($AL$11="","",IF(INDEX('Final Calculation Sheet'!$AD$4:$AD$40,$AL$11)&lt;=5,"SETTLED","OUTSTANDING"))</f>
        <v/>
      </c>
      <c r="AG11" s="122">
        <f>IF($AL$11="","",IF(INDEX('Final Calculation Sheet'!$AF$4:$AF$40,$AL$11)="","",INDEX('Final Calculation Sheet'!$AF$4:$AF$40,$AL$11)))</f>
        <v/>
      </c>
      <c r="AH11" s="126">
        <f>IF($AL$11="","",IF(INDEX('Final Calculation Sheet'!$AG$4:$AG$40,$AL$11)="","",INDEX('Final Calculation Sheet'!$AG$4:$AG$40,$AL$11)))</f>
        <v/>
      </c>
      <c r="AI11" s="122">
        <f>IF($AL$11="","",IF(INDEX('Final Calculation Sheet'!$AH$4:$AH$40,$AL$11)="","",INDEX('Final Calculation Sheet'!$AH$4:$AH$40,$AL$11)))</f>
        <v/>
      </c>
      <c r="AJ11">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11">
        <f>IF(AJ11=1,COUNTIF(AJ$6:AJ11,1),"")</f>
        <v/>
      </c>
      <c r="AL11">
        <f>IF(COUNTIF($B$4:$AI$4,"&lt;&gt;")=0,"",IFERROR(MATCH(5,$AK$6:$AK$42,0),""))</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c r="DG11">
        <f>IF($B$4="",1,IF($B$4="(blank)",--('Final Calculation Sheet'!$F$9=""),IF($B$4="(nonblank)",--('Final Calculation Sheet'!$F$9&lt;&gt;""),--ISNUMBER(SEARCH($B$4,'Final Calculation Sheet'!$F$9)))))</f>
        <v/>
      </c>
      <c r="DH11">
        <f>IF($C$4="",1,IF($C$4="(blank)",--('Final Calculation Sheet'!$G$9=""),IF($C$4="(nonblank)",--('Final Calculation Sheet'!$G$9&lt;&gt;""),--ISNUMBER(SEARCH($C$4,'Final Calculation Sheet'!$G$9)))))</f>
        <v/>
      </c>
      <c r="DI11">
        <f>IF($D$4="",1,IF($D$4="(blank)",--('Final Calculation Sheet'!$B$9=""),IF($D$4="(nonblank)",--('Final Calculation Sheet'!$B$9&lt;&gt;""),--ISNUMBER(SEARCH($D$4,'Final Calculation Sheet'!$B$9)))))</f>
        <v/>
      </c>
      <c r="DJ11">
        <f>IF($E$4="",1,IF($E$4="(blank)",--('Final Calculation Sheet'!$D$9=""),IF($E$4="(nonblank)",--('Final Calculation Sheet'!$D$9&lt;&gt;""),--ISNUMBER(SEARCH($E$4,'Final Calculation Sheet'!$D$9)))))</f>
        <v/>
      </c>
      <c r="DK11">
        <f>IF($F$4="",1,IF($F$4="(blank)",--('Final Calculation Sheet'!$A$9=""),IF($F$4="(nonblank)",--('Final Calculation Sheet'!$A$9&lt;&gt;""),--ISNUMBER(SEARCH($F$4,'Final Calculation Sheet'!$A$9)))))</f>
        <v/>
      </c>
      <c r="DL11">
        <f>IF($G$4="",1,IF($G$4="(blank)",--('Final Calculation Sheet'!$E$9=""),IF($G$4="(nonblank)",--('Final Calculation Sheet'!$E$9&lt;&gt;""),--ISNUMBER(SEARCH($G$4,'Final Calculation Sheet'!$E$9)))))</f>
        <v/>
      </c>
      <c r="DM11">
        <f>IF($H$4="",1,IF($H$4="(blank)",--('Final Calculation Sheet'!$C$9=""),IF($H$4="(nonblank)",--('Final Calculation Sheet'!$C$9&lt;&gt;""),--ISNUMBER(SEARCH($H$4,'Final Calculation Sheet'!$C$9)))))</f>
        <v/>
      </c>
      <c r="DN11">
        <f>IF($I$4="",1,IF($I$4="(blank)",--('Final Calculation Sheet'!$H$9=""),IF($I$4="(nonblank)",--('Final Calculation Sheet'!$H$9&lt;&gt;""),--ISNUMBER(SEARCH($I$4,'Final Calculation Sheet'!$H$9)))))</f>
        <v/>
      </c>
      <c r="DO11">
        <f>IF($J$4="",1,IF($J$4="(blank)",--('Final Calculation Sheet'!$I$9=""),IF($J$4="(nonblank)",--('Final Calculation Sheet'!$I$9&lt;&gt;""),--ISNUMBER(SEARCH($J$4,'Final Calculation Sheet'!$I$9)))))</f>
        <v/>
      </c>
      <c r="DP11">
        <f>IF($K$4="",1,IF($K$4="(blank)",--('Final Calculation Sheet'!$J$9=""),IF($K$4="(nonblank)",--('Final Calculation Sheet'!$J$9&lt;&gt;""),--ISNUMBER(SEARCH($K$4,'Final Calculation Sheet'!$J$9)))))</f>
        <v/>
      </c>
      <c r="DQ11">
        <f>IF($L$4="",1,IF($L$4="(blank)",--('Final Calculation Sheet'!$K$9=""),IF($L$4="(nonblank)",--('Final Calculation Sheet'!$K$9&lt;&gt;""),--ISNUMBER(SEARCH($L$4,'Final Calculation Sheet'!$K$9)))))</f>
        <v/>
      </c>
      <c r="DR11">
        <f>IF($M$4="",1,IF($M$4="(blank)",--('Final Calculation Sheet'!$L$9=""),IF($M$4="(nonblank)",--('Final Calculation Sheet'!$L$9&lt;&gt;""),--ISNUMBER(SEARCH($M$4,'Final Calculation Sheet'!$L$9)))))</f>
        <v/>
      </c>
      <c r="DS11">
        <f>IF($N$4="",1,IF($N$4="(blank)",--('Final Calculation Sheet'!$M$9=""),IF($N$4="(nonblank)",--('Final Calculation Sheet'!$M$9&lt;&gt;""),--ISNUMBER(SEARCH($N$4,'Final Calculation Sheet'!$M$9)))))</f>
        <v/>
      </c>
      <c r="DT11">
        <f>IF($O$4="",1,IF($O$4="(blank)",--('Final Calculation Sheet'!$N$9=""),IF($O$4="(nonblank)",--('Final Calculation Sheet'!$N$9&lt;&gt;""),--ISNUMBER(SEARCH($O$4,'Final Calculation Sheet'!$N$9)))))</f>
        <v/>
      </c>
      <c r="DU11">
        <f>IF($P$4="",1,IF($P$4="(blank)",--('Final Calculation Sheet'!$O$9=""),IF($P$4="(nonblank)",--('Final Calculation Sheet'!$O$9&lt;&gt;""),--ISNUMBER(SEARCH($P$4,'Final Calculation Sheet'!$O$9)))))</f>
        <v/>
      </c>
      <c r="DV11">
        <f>IF($Q$4="",1,IF($Q$4="(blank)",--('Final Calculation Sheet'!$P$9=""),IF($Q$4="(nonblank)",--('Final Calculation Sheet'!$P$9&lt;&gt;""),--ISNUMBER(SEARCH($Q$4,'Final Calculation Sheet'!$P$9)))))</f>
        <v/>
      </c>
      <c r="DW11">
        <f>IF($R$4="",1,IF($R$4="(blank)",--('Final Calculation Sheet'!$Q$9=""),IF($R$4="(nonblank)",--('Final Calculation Sheet'!$Q$9&lt;&gt;""),--ISNUMBER(SEARCH($R$4,'Final Calculation Sheet'!$Q$9)))))</f>
        <v/>
      </c>
      <c r="DX11">
        <f>IF($S$4="",1,IF($S$4="(blank)",--('Final Calculation Sheet'!$R$9=""),IF($S$4="(nonblank)",--('Final Calculation Sheet'!$R$9&lt;&gt;""),--ISNUMBER(SEARCH($S$4,'Final Calculation Sheet'!$R$9)))))</f>
        <v/>
      </c>
      <c r="DY11">
        <f>IF($T$4="",1,IF($T$4="(blank)",--('Final Calculation Sheet'!$S$9=""),IF($T$4="(nonblank)",--('Final Calculation Sheet'!$S$9&lt;&gt;""),--ISNUMBER(SEARCH($T$4,'Final Calculation Sheet'!$S$9)))))</f>
        <v/>
      </c>
      <c r="DZ11">
        <f>IF($U$4="",1,IF($U$4="(blank)",--('Final Calculation Sheet'!$T$9=""),IF($U$4="(nonblank)",--('Final Calculation Sheet'!$T$9&lt;&gt;""),--ISNUMBER(SEARCH($U$4,'Final Calculation Sheet'!$T$9)))))</f>
        <v/>
      </c>
      <c r="EA11">
        <f>IF($V$4="",1,IF($V$4="(blank)",--('Final Calculation Sheet'!$U$9=""),IF($V$4="(nonblank)",--('Final Calculation Sheet'!$U$9&lt;&gt;""),--ISNUMBER(SEARCH($V$4,'Final Calculation Sheet'!$U$9)))))</f>
        <v/>
      </c>
      <c r="EB11">
        <f>IF($W$4="",1,IF($W$4="(blank)",--('Final Calculation Sheet'!$V$9=""),IF($W$4="(nonblank)",--('Final Calculation Sheet'!$V$9&lt;&gt;""),--ISNUMBER(SEARCH($W$4,'Final Calculation Sheet'!$V$9)))))</f>
        <v/>
      </c>
      <c r="EC11">
        <f>IF($X$4="",1,IF($X$4="(blank)",--('Final Calculation Sheet'!$W$9=""),IF($X$4="(nonblank)",--('Final Calculation Sheet'!$W$9&lt;&gt;""),--ISNUMBER(SEARCH($X$4,'Final Calculation Sheet'!$W$9)))))</f>
        <v/>
      </c>
      <c r="ED11">
        <f>IF($Y$4="",1,IF($Y$4="(blank)",--('Final Calculation Sheet'!$X$9=""),IF($Y$4="(nonblank)",--('Final Calculation Sheet'!$X$9&lt;&gt;""),--ISNUMBER(SEARCH($Y$4,'Final Calculation Sheet'!$X$9)))))</f>
        <v/>
      </c>
      <c r="EE11">
        <f>IF($Z$4="",1,IF($Z$4="(blank)",--('Final Calculation Sheet'!$Y$9=""),IF($Z$4="(nonblank)",--('Final Calculation Sheet'!$Y$9&lt;&gt;""),--ISNUMBER(SEARCH($Z$4,'Final Calculation Sheet'!$Y$9)))))</f>
        <v/>
      </c>
      <c r="EF11">
        <f>IF($AA$4="",1,IF($AA$4="(blank)",--('Final Calculation Sheet'!$Z$9=""),IF($AA$4="(nonblank)",--('Final Calculation Sheet'!$Z$9&lt;&gt;""),--ISNUMBER(SEARCH($AA$4,'Final Calculation Sheet'!$Z$9)))))</f>
        <v/>
      </c>
      <c r="EG11">
        <f>IF($AB$4="",1,IF($AB$4="(blank)",--('Final Calculation Sheet'!$AA$9=""),IF($AB$4="(nonblank)",--('Final Calculation Sheet'!$AA$9&lt;&gt;""),--ISNUMBER(SEARCH($AB$4,'Final Calculation Sheet'!$AA$9)))))</f>
        <v/>
      </c>
      <c r="EH11">
        <f>IF($AC$4="",1,IF($AC$4="(blank)",--('Final Calculation Sheet'!$AB$9=""),IF($AC$4="(nonblank)",--('Final Calculation Sheet'!$AB$9&lt;&gt;""),--ISNUMBER(SEARCH($AC$4,'Final Calculation Sheet'!$AB$9)))))</f>
        <v/>
      </c>
      <c r="EI11">
        <f>IF($AD$4="",1,IF($AD$4="(blank)",--('Final Calculation Sheet'!$AC$9=""),IF($AD$4="(nonblank)",--('Final Calculation Sheet'!$AC$9&lt;&gt;""),--ISNUMBER(SEARCH($AD$4,'Final Calculation Sheet'!$AC$9)))))</f>
        <v/>
      </c>
      <c r="EJ11">
        <f>IF($AE$4="",1,IF($AE$4="(blank)",--('Final Calculation Sheet'!$AD$9=""),IF($AE$4="(nonblank)",--('Final Calculation Sheet'!$AD$9&lt;&gt;""),--ISNUMBER(SEARCH($AE$4,'Final Calculation Sheet'!$AD$9)))))</f>
        <v/>
      </c>
      <c r="EK11">
        <f>IF($AF$4="",1,IF($AF$4="(blank)",--(IF('Final Calculation Sheet'!$AD$9&lt;=5,"SETTLED","OUTSTANDING")=""),IF($AF$4="(nonblank)",--(IF('Final Calculation Sheet'!$AD$9&lt;=5,"SETTLED","OUTSTANDING")&lt;&gt;""),--ISNUMBER(SEARCH($AF$4,IF('Final Calculation Sheet'!$AD$9&lt;=5,"SETTLED","OUTSTANDING"))))))</f>
        <v/>
      </c>
      <c r="EL11">
        <f>IF($AG$4="",1,IF($AG$4="(blank)",--('Final Calculation Sheet'!$AF$9=""),IF($AG$4="(nonblank)",--('Final Calculation Sheet'!$AF$9&lt;&gt;""),--ISNUMBER(SEARCH($AG$4,'Final Calculation Sheet'!$AF$9)))))</f>
        <v/>
      </c>
      <c r="EM11">
        <f>IF($AH$4="",1,IF($AH$4="(blank)",--('Final Calculation Sheet'!$AG$9=""),IF($AH$4="(nonblank)",--('Final Calculation Sheet'!$AG$9&lt;&gt;""),--ISNUMBER(SEARCH($AH$4,'Final Calculation Sheet'!$AG$9)))))</f>
        <v/>
      </c>
      <c r="EN11">
        <f>IF($AI$4="",1,IF($AI$4="(blank)",--('Final Calculation Sheet'!$AH$9=""),IF($AI$4="(nonblank)",--('Final Calculation Sheet'!$AH$9&lt;&gt;""),--ISNUMBER(SEARCH($AI$4,'Final Calculation Sheet'!$AH$9)))))</f>
        <v/>
      </c>
    </row>
    <row r="12" outlineLevel="1" hidden="1">
      <c r="A12" s="128">
        <f>IF($AL$12="","",6)</f>
        <v/>
      </c>
      <c r="B12" s="129">
        <f>IF($AL$12="","",IF(INDEX('Final Calculation Sheet'!$F$4:$F$40,$AL$12)="","",INDEX('Final Calculation Sheet'!$F$4:$F$40,$AL$12)))</f>
        <v/>
      </c>
      <c r="C12" s="129">
        <f>IF($AL$12="","",IF(INDEX('Final Calculation Sheet'!$G$4:$G$40,$AL$12)="","",INDEX('Final Calculation Sheet'!$G$4:$G$40,$AL$12)))</f>
        <v/>
      </c>
      <c r="D12" s="130">
        <f>IF($AL$12="","",IF(INDEX('Final Calculation Sheet'!$B$4:$B$40,$AL$12)="","",INDEX('Final Calculation Sheet'!$B$4:$B$40,$AL$12)))</f>
        <v/>
      </c>
      <c r="E12" s="130">
        <f>IF($AL$12="","",IF(INDEX('Final Calculation Sheet'!$D$4:$D$40,$AL$12)="","",INDEX('Final Calculation Sheet'!$D$4:$D$40,$AL$12)))</f>
        <v/>
      </c>
      <c r="F12" s="130">
        <f>IF($AL$12="","",IF(INDEX('Final Calculation Sheet'!$A$4:$A$40,$AL$12)="","",INDEX('Final Calculation Sheet'!$A$4:$A$40,$AL$12)))</f>
        <v/>
      </c>
      <c r="G12" s="130">
        <f>IF($AL$12="","",IF(INDEX('Final Calculation Sheet'!$E$4:$E$40,$AL$12)="","",INDEX('Final Calculation Sheet'!$E$4:$E$40,$AL$12)))</f>
        <v/>
      </c>
      <c r="H12" s="131">
        <f>IF($AL$12="","",IF(INDEX('Final Calculation Sheet'!$C$4:$C$40,$AL$12)="","",INDEX('Final Calculation Sheet'!$C$4:$C$40,$AL$12)))</f>
        <v/>
      </c>
      <c r="I12" s="131">
        <f>IF($AL$12="","",IF(INDEX('Final Calculation Sheet'!$H$4:$H$40,$AL$12)="","",INDEX('Final Calculation Sheet'!$H$4:$H$40,$AL$12)))</f>
        <v/>
      </c>
      <c r="J12" s="131">
        <f>IF($AL$12="","",IF(INDEX('Final Calculation Sheet'!$I$4:$I$40,$AL$12)="","",INDEX('Final Calculation Sheet'!$I$4:$I$40,$AL$12)))</f>
        <v/>
      </c>
      <c r="K12" s="131">
        <f>IF($AL$12="","",IF(INDEX('Final Calculation Sheet'!$J$4:$J$40,$AL$12)="","",INDEX('Final Calculation Sheet'!$J$4:$J$40,$AL$12)))</f>
        <v/>
      </c>
      <c r="L12" s="131">
        <f>IF($AL$12="","",IF(INDEX('Final Calculation Sheet'!$K$4:$K$40,$AL$12)="","",INDEX('Final Calculation Sheet'!$K$4:$K$40,$AL$12)))</f>
        <v/>
      </c>
      <c r="M12" s="131">
        <f>IF($AL$12="","",IF(INDEX('Final Calculation Sheet'!$L$4:$L$40,$AL$12)="","",INDEX('Final Calculation Sheet'!$L$4:$L$40,$AL$12)))</f>
        <v/>
      </c>
      <c r="N12" s="131">
        <f>IF($AL$12="","",IF(INDEX('Final Calculation Sheet'!$M$4:$M$40,$AL$12)="","",INDEX('Final Calculation Sheet'!$M$4:$M$40,$AL$12)))</f>
        <v/>
      </c>
      <c r="O12" s="132">
        <f>IF($AL$12="","",IF(INDEX('Final Calculation Sheet'!$N$4:$N$40,$AL$12)="","",INDEX('Final Calculation Sheet'!$N$4:$N$40,$AL$12)))</f>
        <v/>
      </c>
      <c r="P12" s="131">
        <f>IF($AL$12="","",IF(INDEX('Final Calculation Sheet'!$O$4:$O$40,$AL$12)="","",INDEX('Final Calculation Sheet'!$O$4:$O$40,$AL$12)))</f>
        <v/>
      </c>
      <c r="Q12" s="131">
        <f>IF($AL$12="","",IF(INDEX('Final Calculation Sheet'!$P$4:$P$40,$AL$12)="","",INDEX('Final Calculation Sheet'!$P$4:$P$40,$AL$12)))</f>
        <v/>
      </c>
      <c r="R12" s="133">
        <f>IF($AL$12="","",IF(INDEX('Final Calculation Sheet'!$Q$4:$Q$40,$AL$12)="","",INDEX('Final Calculation Sheet'!$Q$4:$Q$40,$AL$12)))</f>
        <v/>
      </c>
      <c r="S12" s="131">
        <f>IF($AL$12="","",IF(INDEX('Final Calculation Sheet'!$R$4:$R$40,$AL$12)="","",INDEX('Final Calculation Sheet'!$R$4:$R$40,$AL$12)))</f>
        <v/>
      </c>
      <c r="T12" s="131">
        <f>IF($AL$12="","",IF(INDEX('Final Calculation Sheet'!$S$4:$S$40,$AL$12)="","",INDEX('Final Calculation Sheet'!$S$4:$S$40,$AL$12)))</f>
        <v/>
      </c>
      <c r="U12" s="131">
        <f>IF($AL$12="","",IF(INDEX('Final Calculation Sheet'!$T$4:$T$40,$AL$12)="","",INDEX('Final Calculation Sheet'!$T$4:$T$40,$AL$12)))</f>
        <v/>
      </c>
      <c r="V12" s="134">
        <f>IF($AL$12="","",IF(INDEX('Final Calculation Sheet'!$U$4:$U$40,$AL$12)="","",INDEX('Final Calculation Sheet'!$U$4:$U$40,$AL$12)))</f>
        <v/>
      </c>
      <c r="W12" s="131">
        <f>IF($AL$12="","",IF(INDEX('Final Calculation Sheet'!$V$4:$V$40,$AL$12)="","",INDEX('Final Calculation Sheet'!$V$4:$V$40,$AL$12)))</f>
        <v/>
      </c>
      <c r="X12" s="131">
        <f>IF($AL$12="","",IF(INDEX('Final Calculation Sheet'!$W$4:$W$40,$AL$12)="","",INDEX('Final Calculation Sheet'!$W$4:$W$40,$AL$12)))</f>
        <v/>
      </c>
      <c r="Y12" s="131">
        <f>IF($AL$12="","",IF(INDEX('Final Calculation Sheet'!$X$4:$X$40,$AL$12)="","",INDEX('Final Calculation Sheet'!$X$4:$X$40,$AL$12)))</f>
        <v/>
      </c>
      <c r="Z12" s="131">
        <f>IF($AL$12="","",IF(INDEX('Final Calculation Sheet'!$Y$4:$Y$40,$AL$12)="","",INDEX('Final Calculation Sheet'!$Y$4:$Y$40,$AL$12)))</f>
        <v/>
      </c>
      <c r="AA12" s="131">
        <f>IF($AL$12="","",IF(INDEX('Final Calculation Sheet'!$Z$4:$Z$40,$AL$12)="","",INDEX('Final Calculation Sheet'!$Z$4:$Z$40,$AL$12)))</f>
        <v/>
      </c>
      <c r="AB12" s="131">
        <f>IF($AL$12="","",IF(INDEX('Final Calculation Sheet'!$AA$4:$AA$40,$AL$12)="","",INDEX('Final Calculation Sheet'!$AA$4:$AA$40,$AL$12)))</f>
        <v/>
      </c>
      <c r="AC12" s="131">
        <f>IF($AL$12="","",IF(INDEX('Final Calculation Sheet'!$AB$4:$AB$40,$AL$12)="","",INDEX('Final Calculation Sheet'!$AB$4:$AB$40,$AL$12)))</f>
        <v/>
      </c>
      <c r="AD12" s="131">
        <f>IF($AL$12="","",IF(INDEX('Final Calculation Sheet'!$AC$4:$AC$40,$AL$12)="","",INDEX('Final Calculation Sheet'!$AC$4:$AC$40,$AL$12)))</f>
        <v/>
      </c>
      <c r="AE12" s="131">
        <f>IF($AL$12="","",IF(INDEX('Final Calculation Sheet'!$AD$4:$AD$40,$AL$12)="","",INDEX('Final Calculation Sheet'!$AD$4:$AD$40,$AL$12)))</f>
        <v/>
      </c>
      <c r="AF12" s="136">
        <f>IF($AL$12="","",IF(INDEX('Final Calculation Sheet'!$AD$4:$AD$40,$AL$12)&lt;=5,"SETTLED","OUTSTANDING"))</f>
        <v/>
      </c>
      <c r="AG12" s="131">
        <f>IF($AL$12="","",IF(INDEX('Final Calculation Sheet'!$AF$4:$AF$40,$AL$12)="","",INDEX('Final Calculation Sheet'!$AF$4:$AF$40,$AL$12)))</f>
        <v/>
      </c>
      <c r="AH12" s="135">
        <f>IF($AL$12="","",IF(INDEX('Final Calculation Sheet'!$AG$4:$AG$40,$AL$12)="","",INDEX('Final Calculation Sheet'!$AG$4:$AG$40,$AL$12)))</f>
        <v/>
      </c>
      <c r="AI12" s="131">
        <f>IF($AL$12="","",IF(INDEX('Final Calculation Sheet'!$AH$4:$AH$40,$AL$12)="","",INDEX('Final Calculation Sheet'!$AH$4:$AH$40,$AL$12)))</f>
        <v/>
      </c>
      <c r="AJ12">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2">
        <f>IF(AJ12=1,COUNTIF(AJ$6:AJ12,1),"")</f>
        <v/>
      </c>
      <c r="AL12">
        <f>IF(COUNTIF($B$4:$AI$4,"&lt;&gt;")=0,"",IFERROR(MATCH(6,$AK$6:$AK$42,0),""))</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c r="DG12">
        <f>IF($B$4="",1,IF($B$4="(blank)",--('Final Calculation Sheet'!$F$10=""),IF($B$4="(nonblank)",--('Final Calculation Sheet'!$F$10&lt;&gt;""),--ISNUMBER(SEARCH($B$4,'Final Calculation Sheet'!$F$10)))))</f>
        <v/>
      </c>
      <c r="DH12">
        <f>IF($C$4="",1,IF($C$4="(blank)",--('Final Calculation Sheet'!$G$10=""),IF($C$4="(nonblank)",--('Final Calculation Sheet'!$G$10&lt;&gt;""),--ISNUMBER(SEARCH($C$4,'Final Calculation Sheet'!$G$10)))))</f>
        <v/>
      </c>
      <c r="DI12">
        <f>IF($D$4="",1,IF($D$4="(blank)",--('Final Calculation Sheet'!$B$10=""),IF($D$4="(nonblank)",--('Final Calculation Sheet'!$B$10&lt;&gt;""),--ISNUMBER(SEARCH($D$4,'Final Calculation Sheet'!$B$10)))))</f>
        <v/>
      </c>
      <c r="DJ12">
        <f>IF($E$4="",1,IF($E$4="(blank)",--('Final Calculation Sheet'!$D$10=""),IF($E$4="(nonblank)",--('Final Calculation Sheet'!$D$10&lt;&gt;""),--ISNUMBER(SEARCH($E$4,'Final Calculation Sheet'!$D$10)))))</f>
        <v/>
      </c>
      <c r="DK12">
        <f>IF($F$4="",1,IF($F$4="(blank)",--('Final Calculation Sheet'!$A$10=""),IF($F$4="(nonblank)",--('Final Calculation Sheet'!$A$10&lt;&gt;""),--ISNUMBER(SEARCH($F$4,'Final Calculation Sheet'!$A$10)))))</f>
        <v/>
      </c>
      <c r="DL12">
        <f>IF($G$4="",1,IF($G$4="(blank)",--('Final Calculation Sheet'!$E$10=""),IF($G$4="(nonblank)",--('Final Calculation Sheet'!$E$10&lt;&gt;""),--ISNUMBER(SEARCH($G$4,'Final Calculation Sheet'!$E$10)))))</f>
        <v/>
      </c>
      <c r="DM12">
        <f>IF($H$4="",1,IF($H$4="(blank)",--('Final Calculation Sheet'!$C$10=""),IF($H$4="(nonblank)",--('Final Calculation Sheet'!$C$10&lt;&gt;""),--ISNUMBER(SEARCH($H$4,'Final Calculation Sheet'!$C$10)))))</f>
        <v/>
      </c>
      <c r="DN12">
        <f>IF($I$4="",1,IF($I$4="(blank)",--('Final Calculation Sheet'!$H$10=""),IF($I$4="(nonblank)",--('Final Calculation Sheet'!$H$10&lt;&gt;""),--ISNUMBER(SEARCH($I$4,'Final Calculation Sheet'!$H$10)))))</f>
        <v/>
      </c>
      <c r="DO12">
        <f>IF($J$4="",1,IF($J$4="(blank)",--('Final Calculation Sheet'!$I$10=""),IF($J$4="(nonblank)",--('Final Calculation Sheet'!$I$10&lt;&gt;""),--ISNUMBER(SEARCH($J$4,'Final Calculation Sheet'!$I$10)))))</f>
        <v/>
      </c>
      <c r="DP12">
        <f>IF($K$4="",1,IF($K$4="(blank)",--('Final Calculation Sheet'!$J$10=""),IF($K$4="(nonblank)",--('Final Calculation Sheet'!$J$10&lt;&gt;""),--ISNUMBER(SEARCH($K$4,'Final Calculation Sheet'!$J$10)))))</f>
        <v/>
      </c>
      <c r="DQ12">
        <f>IF($L$4="",1,IF($L$4="(blank)",--('Final Calculation Sheet'!$K$10=""),IF($L$4="(nonblank)",--('Final Calculation Sheet'!$K$10&lt;&gt;""),--ISNUMBER(SEARCH($L$4,'Final Calculation Sheet'!$K$10)))))</f>
        <v/>
      </c>
      <c r="DR12">
        <f>IF($M$4="",1,IF($M$4="(blank)",--('Final Calculation Sheet'!$L$10=""),IF($M$4="(nonblank)",--('Final Calculation Sheet'!$L$10&lt;&gt;""),--ISNUMBER(SEARCH($M$4,'Final Calculation Sheet'!$L$10)))))</f>
        <v/>
      </c>
      <c r="DS12">
        <f>IF($N$4="",1,IF($N$4="(blank)",--('Final Calculation Sheet'!$M$10=""),IF($N$4="(nonblank)",--('Final Calculation Sheet'!$M$10&lt;&gt;""),--ISNUMBER(SEARCH($N$4,'Final Calculation Sheet'!$M$10)))))</f>
        <v/>
      </c>
      <c r="DT12">
        <f>IF($O$4="",1,IF($O$4="(blank)",--('Final Calculation Sheet'!$N$10=""),IF($O$4="(nonblank)",--('Final Calculation Sheet'!$N$10&lt;&gt;""),--ISNUMBER(SEARCH($O$4,'Final Calculation Sheet'!$N$10)))))</f>
        <v/>
      </c>
      <c r="DU12">
        <f>IF($P$4="",1,IF($P$4="(blank)",--('Final Calculation Sheet'!$O$10=""),IF($P$4="(nonblank)",--('Final Calculation Sheet'!$O$10&lt;&gt;""),--ISNUMBER(SEARCH($P$4,'Final Calculation Sheet'!$O$10)))))</f>
        <v/>
      </c>
      <c r="DV12">
        <f>IF($Q$4="",1,IF($Q$4="(blank)",--('Final Calculation Sheet'!$P$10=""),IF($Q$4="(nonblank)",--('Final Calculation Sheet'!$P$10&lt;&gt;""),--ISNUMBER(SEARCH($Q$4,'Final Calculation Sheet'!$P$10)))))</f>
        <v/>
      </c>
      <c r="DW12">
        <f>IF($R$4="",1,IF($R$4="(blank)",--('Final Calculation Sheet'!$Q$10=""),IF($R$4="(nonblank)",--('Final Calculation Sheet'!$Q$10&lt;&gt;""),--ISNUMBER(SEARCH($R$4,'Final Calculation Sheet'!$Q$10)))))</f>
        <v/>
      </c>
      <c r="DX12">
        <f>IF($S$4="",1,IF($S$4="(blank)",--('Final Calculation Sheet'!$R$10=""),IF($S$4="(nonblank)",--('Final Calculation Sheet'!$R$10&lt;&gt;""),--ISNUMBER(SEARCH($S$4,'Final Calculation Sheet'!$R$10)))))</f>
        <v/>
      </c>
      <c r="DY12">
        <f>IF($T$4="",1,IF($T$4="(blank)",--('Final Calculation Sheet'!$S$10=""),IF($T$4="(nonblank)",--('Final Calculation Sheet'!$S$10&lt;&gt;""),--ISNUMBER(SEARCH($T$4,'Final Calculation Sheet'!$S$10)))))</f>
        <v/>
      </c>
      <c r="DZ12">
        <f>IF($U$4="",1,IF($U$4="(blank)",--('Final Calculation Sheet'!$T$10=""),IF($U$4="(nonblank)",--('Final Calculation Sheet'!$T$10&lt;&gt;""),--ISNUMBER(SEARCH($U$4,'Final Calculation Sheet'!$T$10)))))</f>
        <v/>
      </c>
      <c r="EA12">
        <f>IF($V$4="",1,IF($V$4="(blank)",--('Final Calculation Sheet'!$U$10=""),IF($V$4="(nonblank)",--('Final Calculation Sheet'!$U$10&lt;&gt;""),--ISNUMBER(SEARCH($V$4,'Final Calculation Sheet'!$U$10)))))</f>
        <v/>
      </c>
      <c r="EB12">
        <f>IF($W$4="",1,IF($W$4="(blank)",--('Final Calculation Sheet'!$V$10=""),IF($W$4="(nonblank)",--('Final Calculation Sheet'!$V$10&lt;&gt;""),--ISNUMBER(SEARCH($W$4,'Final Calculation Sheet'!$V$10)))))</f>
        <v/>
      </c>
      <c r="EC12">
        <f>IF($X$4="",1,IF($X$4="(blank)",--('Final Calculation Sheet'!$W$10=""),IF($X$4="(nonblank)",--('Final Calculation Sheet'!$W$10&lt;&gt;""),--ISNUMBER(SEARCH($X$4,'Final Calculation Sheet'!$W$10)))))</f>
        <v/>
      </c>
      <c r="ED12">
        <f>IF($Y$4="",1,IF($Y$4="(blank)",--('Final Calculation Sheet'!$X$10=""),IF($Y$4="(nonblank)",--('Final Calculation Sheet'!$X$10&lt;&gt;""),--ISNUMBER(SEARCH($Y$4,'Final Calculation Sheet'!$X$10)))))</f>
        <v/>
      </c>
      <c r="EE12">
        <f>IF($Z$4="",1,IF($Z$4="(blank)",--('Final Calculation Sheet'!$Y$10=""),IF($Z$4="(nonblank)",--('Final Calculation Sheet'!$Y$10&lt;&gt;""),--ISNUMBER(SEARCH($Z$4,'Final Calculation Sheet'!$Y$10)))))</f>
        <v/>
      </c>
      <c r="EF12">
        <f>IF($AA$4="",1,IF($AA$4="(blank)",--('Final Calculation Sheet'!$Z$10=""),IF($AA$4="(nonblank)",--('Final Calculation Sheet'!$Z$10&lt;&gt;""),--ISNUMBER(SEARCH($AA$4,'Final Calculation Sheet'!$Z$10)))))</f>
        <v/>
      </c>
      <c r="EG12">
        <f>IF($AB$4="",1,IF($AB$4="(blank)",--('Final Calculation Sheet'!$AA$10=""),IF($AB$4="(nonblank)",--('Final Calculation Sheet'!$AA$10&lt;&gt;""),--ISNUMBER(SEARCH($AB$4,'Final Calculation Sheet'!$AA$10)))))</f>
        <v/>
      </c>
      <c r="EH12">
        <f>IF($AC$4="",1,IF($AC$4="(blank)",--('Final Calculation Sheet'!$AB$10=""),IF($AC$4="(nonblank)",--('Final Calculation Sheet'!$AB$10&lt;&gt;""),--ISNUMBER(SEARCH($AC$4,'Final Calculation Sheet'!$AB$10)))))</f>
        <v/>
      </c>
      <c r="EI12">
        <f>IF($AD$4="",1,IF($AD$4="(blank)",--('Final Calculation Sheet'!$AC$10=""),IF($AD$4="(nonblank)",--('Final Calculation Sheet'!$AC$10&lt;&gt;""),--ISNUMBER(SEARCH($AD$4,'Final Calculation Sheet'!$AC$10)))))</f>
        <v/>
      </c>
      <c r="EJ12">
        <f>IF($AE$4="",1,IF($AE$4="(blank)",--('Final Calculation Sheet'!$AD$10=""),IF($AE$4="(nonblank)",--('Final Calculation Sheet'!$AD$10&lt;&gt;""),--ISNUMBER(SEARCH($AE$4,'Final Calculation Sheet'!$AD$10)))))</f>
        <v/>
      </c>
      <c r="EK12">
        <f>IF($AF$4="",1,IF($AF$4="(blank)",--(IF('Final Calculation Sheet'!$AD$10&lt;=5,"SETTLED","OUTSTANDING")=""),IF($AF$4="(nonblank)",--(IF('Final Calculation Sheet'!$AD$10&lt;=5,"SETTLED","OUTSTANDING")&lt;&gt;""),--ISNUMBER(SEARCH($AF$4,IF('Final Calculation Sheet'!$AD$10&lt;=5,"SETTLED","OUTSTANDING"))))))</f>
        <v/>
      </c>
      <c r="EL12">
        <f>IF($AG$4="",1,IF($AG$4="(blank)",--('Final Calculation Sheet'!$AF$10=""),IF($AG$4="(nonblank)",--('Final Calculation Sheet'!$AF$10&lt;&gt;""),--ISNUMBER(SEARCH($AG$4,'Final Calculation Sheet'!$AF$10)))))</f>
        <v/>
      </c>
      <c r="EM12">
        <f>IF($AH$4="",1,IF($AH$4="(blank)",--('Final Calculation Sheet'!$AG$10=""),IF($AH$4="(nonblank)",--('Final Calculation Sheet'!$AG$10&lt;&gt;""),--ISNUMBER(SEARCH($AH$4,'Final Calculation Sheet'!$AG$10)))))</f>
        <v/>
      </c>
      <c r="EN12">
        <f>IF($AI$4="",1,IF($AI$4="(blank)",--('Final Calculation Sheet'!$AH$10=""),IF($AI$4="(nonblank)",--('Final Calculation Sheet'!$AH$10&lt;&gt;""),--ISNUMBER(SEARCH($AI$4,'Final Calculation Sheet'!$AH$10)))))</f>
        <v/>
      </c>
    </row>
    <row r="13" outlineLevel="1" hidden="1">
      <c r="A13" s="118">
        <f>IF($AL$13="","",7)</f>
        <v/>
      </c>
      <c r="B13" s="119">
        <f>IF($AL$13="","",IF(INDEX('Final Calculation Sheet'!$F$4:$F$40,$AL$13)="","",INDEX('Final Calculation Sheet'!$F$4:$F$40,$AL$13)))</f>
        <v/>
      </c>
      <c r="C13" s="119">
        <f>IF($AL$13="","",IF(INDEX('Final Calculation Sheet'!$G$4:$G$40,$AL$13)="","",INDEX('Final Calculation Sheet'!$G$4:$G$40,$AL$13)))</f>
        <v/>
      </c>
      <c r="D13" s="121">
        <f>IF($AL$13="","",IF(INDEX('Final Calculation Sheet'!$B$4:$B$40,$AL$13)="","",INDEX('Final Calculation Sheet'!$B$4:$B$40,$AL$13)))</f>
        <v/>
      </c>
      <c r="E13" s="121">
        <f>IF($AL$13="","",IF(INDEX('Final Calculation Sheet'!$D$4:$D$40,$AL$13)="","",INDEX('Final Calculation Sheet'!$D$4:$D$40,$AL$13)))</f>
        <v/>
      </c>
      <c r="F13" s="121">
        <f>IF($AL$13="","",IF(INDEX('Final Calculation Sheet'!$A$4:$A$40,$AL$13)="","",INDEX('Final Calculation Sheet'!$A$4:$A$40,$AL$13)))</f>
        <v/>
      </c>
      <c r="G13" s="121">
        <f>IF($AL$13="","",IF(INDEX('Final Calculation Sheet'!$E$4:$E$40,$AL$13)="","",INDEX('Final Calculation Sheet'!$E$4:$E$40,$AL$13)))</f>
        <v/>
      </c>
      <c r="H13" s="122">
        <f>IF($AL$13="","",IF(INDEX('Final Calculation Sheet'!$C$4:$C$40,$AL$13)="","",INDEX('Final Calculation Sheet'!$C$4:$C$40,$AL$13)))</f>
        <v/>
      </c>
      <c r="I13" s="122">
        <f>IF($AL$13="","",IF(INDEX('Final Calculation Sheet'!$H$4:$H$40,$AL$13)="","",INDEX('Final Calculation Sheet'!$H$4:$H$40,$AL$13)))</f>
        <v/>
      </c>
      <c r="J13" s="122">
        <f>IF($AL$13="","",IF(INDEX('Final Calculation Sheet'!$I$4:$I$40,$AL$13)="","",INDEX('Final Calculation Sheet'!$I$4:$I$40,$AL$13)))</f>
        <v/>
      </c>
      <c r="K13" s="122">
        <f>IF($AL$13="","",IF(INDEX('Final Calculation Sheet'!$J$4:$J$40,$AL$13)="","",INDEX('Final Calculation Sheet'!$J$4:$J$40,$AL$13)))</f>
        <v/>
      </c>
      <c r="L13" s="122">
        <f>IF($AL$13="","",IF(INDEX('Final Calculation Sheet'!$K$4:$K$40,$AL$13)="","",INDEX('Final Calculation Sheet'!$K$4:$K$40,$AL$13)))</f>
        <v/>
      </c>
      <c r="M13" s="122">
        <f>IF($AL$13="","",IF(INDEX('Final Calculation Sheet'!$L$4:$L$40,$AL$13)="","",INDEX('Final Calculation Sheet'!$L$4:$L$40,$AL$13)))</f>
        <v/>
      </c>
      <c r="N13" s="122">
        <f>IF($AL$13="","",IF(INDEX('Final Calculation Sheet'!$M$4:$M$40,$AL$13)="","",INDEX('Final Calculation Sheet'!$M$4:$M$40,$AL$13)))</f>
        <v/>
      </c>
      <c r="O13" s="123">
        <f>IF($AL$13="","",IF(INDEX('Final Calculation Sheet'!$N$4:$N$40,$AL$13)="","",INDEX('Final Calculation Sheet'!$N$4:$N$40,$AL$13)))</f>
        <v/>
      </c>
      <c r="P13" s="122">
        <f>IF($AL$13="","",IF(INDEX('Final Calculation Sheet'!$O$4:$O$40,$AL$13)="","",INDEX('Final Calculation Sheet'!$O$4:$O$40,$AL$13)))</f>
        <v/>
      </c>
      <c r="Q13" s="122">
        <f>IF($AL$13="","",IF(INDEX('Final Calculation Sheet'!$P$4:$P$40,$AL$13)="","",INDEX('Final Calculation Sheet'!$P$4:$P$40,$AL$13)))</f>
        <v/>
      </c>
      <c r="R13" s="124">
        <f>IF($AL$13="","",IF(INDEX('Final Calculation Sheet'!$Q$4:$Q$40,$AL$13)="","",INDEX('Final Calculation Sheet'!$Q$4:$Q$40,$AL$13)))</f>
        <v/>
      </c>
      <c r="S13" s="122">
        <f>IF($AL$13="","",IF(INDEX('Final Calculation Sheet'!$R$4:$R$40,$AL$13)="","",INDEX('Final Calculation Sheet'!$R$4:$R$40,$AL$13)))</f>
        <v/>
      </c>
      <c r="T13" s="122">
        <f>IF($AL$13="","",IF(INDEX('Final Calculation Sheet'!$S$4:$S$40,$AL$13)="","",INDEX('Final Calculation Sheet'!$S$4:$S$40,$AL$13)))</f>
        <v/>
      </c>
      <c r="U13" s="122">
        <f>IF($AL$13="","",IF(INDEX('Final Calculation Sheet'!$T$4:$T$40,$AL$13)="","",INDEX('Final Calculation Sheet'!$T$4:$T$40,$AL$13)))</f>
        <v/>
      </c>
      <c r="V13" s="125">
        <f>IF($AL$13="","",IF(INDEX('Final Calculation Sheet'!$U$4:$U$40,$AL$13)="","",INDEX('Final Calculation Sheet'!$U$4:$U$40,$AL$13)))</f>
        <v/>
      </c>
      <c r="W13" s="122">
        <f>IF($AL$13="","",IF(INDEX('Final Calculation Sheet'!$V$4:$V$40,$AL$13)="","",INDEX('Final Calculation Sheet'!$V$4:$V$40,$AL$13)))</f>
        <v/>
      </c>
      <c r="X13" s="122">
        <f>IF($AL$13="","",IF(INDEX('Final Calculation Sheet'!$W$4:$W$40,$AL$13)="","",INDEX('Final Calculation Sheet'!$W$4:$W$40,$AL$13)))</f>
        <v/>
      </c>
      <c r="Y13" s="122">
        <f>IF($AL$13="","",IF(INDEX('Final Calculation Sheet'!$X$4:$X$40,$AL$13)="","",INDEX('Final Calculation Sheet'!$X$4:$X$40,$AL$13)))</f>
        <v/>
      </c>
      <c r="Z13" s="122">
        <f>IF($AL$13="","",IF(INDEX('Final Calculation Sheet'!$Y$4:$Y$40,$AL$13)="","",INDEX('Final Calculation Sheet'!$Y$4:$Y$40,$AL$13)))</f>
        <v/>
      </c>
      <c r="AA13" s="122">
        <f>IF($AL$13="","",IF(INDEX('Final Calculation Sheet'!$Z$4:$Z$40,$AL$13)="","",INDEX('Final Calculation Sheet'!$Z$4:$Z$40,$AL$13)))</f>
        <v/>
      </c>
      <c r="AB13" s="122">
        <f>IF($AL$13="","",IF(INDEX('Final Calculation Sheet'!$AA$4:$AA$40,$AL$13)="","",INDEX('Final Calculation Sheet'!$AA$4:$AA$40,$AL$13)))</f>
        <v/>
      </c>
      <c r="AC13" s="122">
        <f>IF($AL$13="","",IF(INDEX('Final Calculation Sheet'!$AB$4:$AB$40,$AL$13)="","",INDEX('Final Calculation Sheet'!$AB$4:$AB$40,$AL$13)))</f>
        <v/>
      </c>
      <c r="AD13" s="122">
        <f>IF($AL$13="","",IF(INDEX('Final Calculation Sheet'!$AC$4:$AC$40,$AL$13)="","",INDEX('Final Calculation Sheet'!$AC$4:$AC$40,$AL$13)))</f>
        <v/>
      </c>
      <c r="AE13" s="122">
        <f>IF($AL$13="","",IF(INDEX('Final Calculation Sheet'!$AD$4:$AD$40,$AL$13)="","",INDEX('Final Calculation Sheet'!$AD$4:$AD$40,$AL$13)))</f>
        <v/>
      </c>
      <c r="AF13" s="127">
        <f>IF($AL$13="","",IF(INDEX('Final Calculation Sheet'!$AD$4:$AD$40,$AL$13)&lt;=5,"SETTLED","OUTSTANDING"))</f>
        <v/>
      </c>
      <c r="AG13" s="122">
        <f>IF($AL$13="","",IF(INDEX('Final Calculation Sheet'!$AF$4:$AF$40,$AL$13)="","",INDEX('Final Calculation Sheet'!$AF$4:$AF$40,$AL$13)))</f>
        <v/>
      </c>
      <c r="AH13" s="126">
        <f>IF($AL$13="","",IF(INDEX('Final Calculation Sheet'!$AG$4:$AG$40,$AL$13)="","",INDEX('Final Calculation Sheet'!$AG$4:$AG$40,$AL$13)))</f>
        <v/>
      </c>
      <c r="AI13" s="122">
        <f>IF($AL$13="","",IF(INDEX('Final Calculation Sheet'!$AH$4:$AH$40,$AL$13)="","",INDEX('Final Calculation Sheet'!$AH$4:$AH$40,$AL$13)))</f>
        <v/>
      </c>
      <c r="AJ13">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13">
        <f>IF(AJ13=1,COUNTIF(AJ$6:AJ13,1),"")</f>
        <v/>
      </c>
      <c r="AL13">
        <f>IF(COUNTIF($B$4:$AI$4,"&lt;&gt;")=0,"",IFERROR(MATCH(7,$AK$6:$AK$42,0),""))</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c r="DG13">
        <f>IF($B$4="",1,IF($B$4="(blank)",--('Final Calculation Sheet'!$F$11=""),IF($B$4="(nonblank)",--('Final Calculation Sheet'!$F$11&lt;&gt;""),--ISNUMBER(SEARCH($B$4,'Final Calculation Sheet'!$F$11)))))</f>
        <v/>
      </c>
      <c r="DH13">
        <f>IF($C$4="",1,IF($C$4="(blank)",--('Final Calculation Sheet'!$G$11=""),IF($C$4="(nonblank)",--('Final Calculation Sheet'!$G$11&lt;&gt;""),--ISNUMBER(SEARCH($C$4,'Final Calculation Sheet'!$G$11)))))</f>
        <v/>
      </c>
      <c r="DI13">
        <f>IF($D$4="",1,IF($D$4="(blank)",--('Final Calculation Sheet'!$B$11=""),IF($D$4="(nonblank)",--('Final Calculation Sheet'!$B$11&lt;&gt;""),--ISNUMBER(SEARCH($D$4,'Final Calculation Sheet'!$B$11)))))</f>
        <v/>
      </c>
      <c r="DJ13">
        <f>IF($E$4="",1,IF($E$4="(blank)",--('Final Calculation Sheet'!$D$11=""),IF($E$4="(nonblank)",--('Final Calculation Sheet'!$D$11&lt;&gt;""),--ISNUMBER(SEARCH($E$4,'Final Calculation Sheet'!$D$11)))))</f>
        <v/>
      </c>
      <c r="DK13">
        <f>IF($F$4="",1,IF($F$4="(blank)",--('Final Calculation Sheet'!$A$11=""),IF($F$4="(nonblank)",--('Final Calculation Sheet'!$A$11&lt;&gt;""),--ISNUMBER(SEARCH($F$4,'Final Calculation Sheet'!$A$11)))))</f>
        <v/>
      </c>
      <c r="DL13">
        <f>IF($G$4="",1,IF($G$4="(blank)",--('Final Calculation Sheet'!$E$11=""),IF($G$4="(nonblank)",--('Final Calculation Sheet'!$E$11&lt;&gt;""),--ISNUMBER(SEARCH($G$4,'Final Calculation Sheet'!$E$11)))))</f>
        <v/>
      </c>
      <c r="DM13">
        <f>IF($H$4="",1,IF($H$4="(blank)",--('Final Calculation Sheet'!$C$11=""),IF($H$4="(nonblank)",--('Final Calculation Sheet'!$C$11&lt;&gt;""),--ISNUMBER(SEARCH($H$4,'Final Calculation Sheet'!$C$11)))))</f>
        <v/>
      </c>
      <c r="DN13">
        <f>IF($I$4="",1,IF($I$4="(blank)",--('Final Calculation Sheet'!$H$11=""),IF($I$4="(nonblank)",--('Final Calculation Sheet'!$H$11&lt;&gt;""),--ISNUMBER(SEARCH($I$4,'Final Calculation Sheet'!$H$11)))))</f>
        <v/>
      </c>
      <c r="DO13">
        <f>IF($J$4="",1,IF($J$4="(blank)",--('Final Calculation Sheet'!$I$11=""),IF($J$4="(nonblank)",--('Final Calculation Sheet'!$I$11&lt;&gt;""),--ISNUMBER(SEARCH($J$4,'Final Calculation Sheet'!$I$11)))))</f>
        <v/>
      </c>
      <c r="DP13">
        <f>IF($K$4="",1,IF($K$4="(blank)",--('Final Calculation Sheet'!$J$11=""),IF($K$4="(nonblank)",--('Final Calculation Sheet'!$J$11&lt;&gt;""),--ISNUMBER(SEARCH($K$4,'Final Calculation Sheet'!$J$11)))))</f>
        <v/>
      </c>
      <c r="DQ13">
        <f>IF($L$4="",1,IF($L$4="(blank)",--('Final Calculation Sheet'!$K$11=""),IF($L$4="(nonblank)",--('Final Calculation Sheet'!$K$11&lt;&gt;""),--ISNUMBER(SEARCH($L$4,'Final Calculation Sheet'!$K$11)))))</f>
        <v/>
      </c>
      <c r="DR13">
        <f>IF($M$4="",1,IF($M$4="(blank)",--('Final Calculation Sheet'!$L$11=""),IF($M$4="(nonblank)",--('Final Calculation Sheet'!$L$11&lt;&gt;""),--ISNUMBER(SEARCH($M$4,'Final Calculation Sheet'!$L$11)))))</f>
        <v/>
      </c>
      <c r="DS13">
        <f>IF($N$4="",1,IF($N$4="(blank)",--('Final Calculation Sheet'!$M$11=""),IF($N$4="(nonblank)",--('Final Calculation Sheet'!$M$11&lt;&gt;""),--ISNUMBER(SEARCH($N$4,'Final Calculation Sheet'!$M$11)))))</f>
        <v/>
      </c>
      <c r="DT13">
        <f>IF($O$4="",1,IF($O$4="(blank)",--('Final Calculation Sheet'!$N$11=""),IF($O$4="(nonblank)",--('Final Calculation Sheet'!$N$11&lt;&gt;""),--ISNUMBER(SEARCH($O$4,'Final Calculation Sheet'!$N$11)))))</f>
        <v/>
      </c>
      <c r="DU13">
        <f>IF($P$4="",1,IF($P$4="(blank)",--('Final Calculation Sheet'!$O$11=""),IF($P$4="(nonblank)",--('Final Calculation Sheet'!$O$11&lt;&gt;""),--ISNUMBER(SEARCH($P$4,'Final Calculation Sheet'!$O$11)))))</f>
        <v/>
      </c>
      <c r="DV13">
        <f>IF($Q$4="",1,IF($Q$4="(blank)",--('Final Calculation Sheet'!$P$11=""),IF($Q$4="(nonblank)",--('Final Calculation Sheet'!$P$11&lt;&gt;""),--ISNUMBER(SEARCH($Q$4,'Final Calculation Sheet'!$P$11)))))</f>
        <v/>
      </c>
      <c r="DW13">
        <f>IF($R$4="",1,IF($R$4="(blank)",--('Final Calculation Sheet'!$Q$11=""),IF($R$4="(nonblank)",--('Final Calculation Sheet'!$Q$11&lt;&gt;""),--ISNUMBER(SEARCH($R$4,'Final Calculation Sheet'!$Q$11)))))</f>
        <v/>
      </c>
      <c r="DX13">
        <f>IF($S$4="",1,IF($S$4="(blank)",--('Final Calculation Sheet'!$R$11=""),IF($S$4="(nonblank)",--('Final Calculation Sheet'!$R$11&lt;&gt;""),--ISNUMBER(SEARCH($S$4,'Final Calculation Sheet'!$R$11)))))</f>
        <v/>
      </c>
      <c r="DY13">
        <f>IF($T$4="",1,IF($T$4="(blank)",--('Final Calculation Sheet'!$S$11=""),IF($T$4="(nonblank)",--('Final Calculation Sheet'!$S$11&lt;&gt;""),--ISNUMBER(SEARCH($T$4,'Final Calculation Sheet'!$S$11)))))</f>
        <v/>
      </c>
      <c r="DZ13">
        <f>IF($U$4="",1,IF($U$4="(blank)",--('Final Calculation Sheet'!$T$11=""),IF($U$4="(nonblank)",--('Final Calculation Sheet'!$T$11&lt;&gt;""),--ISNUMBER(SEARCH($U$4,'Final Calculation Sheet'!$T$11)))))</f>
        <v/>
      </c>
      <c r="EA13">
        <f>IF($V$4="",1,IF($V$4="(blank)",--('Final Calculation Sheet'!$U$11=""),IF($V$4="(nonblank)",--('Final Calculation Sheet'!$U$11&lt;&gt;""),--ISNUMBER(SEARCH($V$4,'Final Calculation Sheet'!$U$11)))))</f>
        <v/>
      </c>
      <c r="EB13">
        <f>IF($W$4="",1,IF($W$4="(blank)",--('Final Calculation Sheet'!$V$11=""),IF($W$4="(nonblank)",--('Final Calculation Sheet'!$V$11&lt;&gt;""),--ISNUMBER(SEARCH($W$4,'Final Calculation Sheet'!$V$11)))))</f>
        <v/>
      </c>
      <c r="EC13">
        <f>IF($X$4="",1,IF($X$4="(blank)",--('Final Calculation Sheet'!$W$11=""),IF($X$4="(nonblank)",--('Final Calculation Sheet'!$W$11&lt;&gt;""),--ISNUMBER(SEARCH($X$4,'Final Calculation Sheet'!$W$11)))))</f>
        <v/>
      </c>
      <c r="ED13">
        <f>IF($Y$4="",1,IF($Y$4="(blank)",--('Final Calculation Sheet'!$X$11=""),IF($Y$4="(nonblank)",--('Final Calculation Sheet'!$X$11&lt;&gt;""),--ISNUMBER(SEARCH($Y$4,'Final Calculation Sheet'!$X$11)))))</f>
        <v/>
      </c>
      <c r="EE13">
        <f>IF($Z$4="",1,IF($Z$4="(blank)",--('Final Calculation Sheet'!$Y$11=""),IF($Z$4="(nonblank)",--('Final Calculation Sheet'!$Y$11&lt;&gt;""),--ISNUMBER(SEARCH($Z$4,'Final Calculation Sheet'!$Y$11)))))</f>
        <v/>
      </c>
      <c r="EF13">
        <f>IF($AA$4="",1,IF($AA$4="(blank)",--('Final Calculation Sheet'!$Z$11=""),IF($AA$4="(nonblank)",--('Final Calculation Sheet'!$Z$11&lt;&gt;""),--ISNUMBER(SEARCH($AA$4,'Final Calculation Sheet'!$Z$11)))))</f>
        <v/>
      </c>
      <c r="EG13">
        <f>IF($AB$4="",1,IF($AB$4="(blank)",--('Final Calculation Sheet'!$AA$11=""),IF($AB$4="(nonblank)",--('Final Calculation Sheet'!$AA$11&lt;&gt;""),--ISNUMBER(SEARCH($AB$4,'Final Calculation Sheet'!$AA$11)))))</f>
        <v/>
      </c>
      <c r="EH13">
        <f>IF($AC$4="",1,IF($AC$4="(blank)",--('Final Calculation Sheet'!$AB$11=""),IF($AC$4="(nonblank)",--('Final Calculation Sheet'!$AB$11&lt;&gt;""),--ISNUMBER(SEARCH($AC$4,'Final Calculation Sheet'!$AB$11)))))</f>
        <v/>
      </c>
      <c r="EI13">
        <f>IF($AD$4="",1,IF($AD$4="(blank)",--('Final Calculation Sheet'!$AC$11=""),IF($AD$4="(nonblank)",--('Final Calculation Sheet'!$AC$11&lt;&gt;""),--ISNUMBER(SEARCH($AD$4,'Final Calculation Sheet'!$AC$11)))))</f>
        <v/>
      </c>
      <c r="EJ13">
        <f>IF($AE$4="",1,IF($AE$4="(blank)",--('Final Calculation Sheet'!$AD$11=""),IF($AE$4="(nonblank)",--('Final Calculation Sheet'!$AD$11&lt;&gt;""),--ISNUMBER(SEARCH($AE$4,'Final Calculation Sheet'!$AD$11)))))</f>
        <v/>
      </c>
      <c r="EK13">
        <f>IF($AF$4="",1,IF($AF$4="(blank)",--(IF('Final Calculation Sheet'!$AD$11&lt;=5,"SETTLED","OUTSTANDING")=""),IF($AF$4="(nonblank)",--(IF('Final Calculation Sheet'!$AD$11&lt;=5,"SETTLED","OUTSTANDING")&lt;&gt;""),--ISNUMBER(SEARCH($AF$4,IF('Final Calculation Sheet'!$AD$11&lt;=5,"SETTLED","OUTSTANDING"))))))</f>
        <v/>
      </c>
      <c r="EL13">
        <f>IF($AG$4="",1,IF($AG$4="(blank)",--('Final Calculation Sheet'!$AF$11=""),IF($AG$4="(nonblank)",--('Final Calculation Sheet'!$AF$11&lt;&gt;""),--ISNUMBER(SEARCH($AG$4,'Final Calculation Sheet'!$AF$11)))))</f>
        <v/>
      </c>
      <c r="EM13">
        <f>IF($AH$4="",1,IF($AH$4="(blank)",--('Final Calculation Sheet'!$AG$11=""),IF($AH$4="(nonblank)",--('Final Calculation Sheet'!$AG$11&lt;&gt;""),--ISNUMBER(SEARCH($AH$4,'Final Calculation Sheet'!$AG$11)))))</f>
        <v/>
      </c>
      <c r="EN13">
        <f>IF($AI$4="",1,IF($AI$4="(blank)",--('Final Calculation Sheet'!$AH$11=""),IF($AI$4="(nonblank)",--('Final Calculation Sheet'!$AH$11&lt;&gt;""),--ISNUMBER(SEARCH($AI$4,'Final Calculation Sheet'!$AH$11)))))</f>
        <v/>
      </c>
    </row>
    <row r="14" outlineLevel="1" hidden="1">
      <c r="A14" s="128">
        <f>IF($AL$14="","",8)</f>
        <v/>
      </c>
      <c r="B14" s="129">
        <f>IF($AL$14="","",IF(INDEX('Final Calculation Sheet'!$F$4:$F$40,$AL$14)="","",INDEX('Final Calculation Sheet'!$F$4:$F$40,$AL$14)))</f>
        <v/>
      </c>
      <c r="C14" s="129">
        <f>IF($AL$14="","",IF(INDEX('Final Calculation Sheet'!$G$4:$G$40,$AL$14)="","",INDEX('Final Calculation Sheet'!$G$4:$G$40,$AL$14)))</f>
        <v/>
      </c>
      <c r="D14" s="130">
        <f>IF($AL$14="","",IF(INDEX('Final Calculation Sheet'!$B$4:$B$40,$AL$14)="","",INDEX('Final Calculation Sheet'!$B$4:$B$40,$AL$14)))</f>
        <v/>
      </c>
      <c r="E14" s="130">
        <f>IF($AL$14="","",IF(INDEX('Final Calculation Sheet'!$D$4:$D$40,$AL$14)="","",INDEX('Final Calculation Sheet'!$D$4:$D$40,$AL$14)))</f>
        <v/>
      </c>
      <c r="F14" s="130">
        <f>IF($AL$14="","",IF(INDEX('Final Calculation Sheet'!$A$4:$A$40,$AL$14)="","",INDEX('Final Calculation Sheet'!$A$4:$A$40,$AL$14)))</f>
        <v/>
      </c>
      <c r="G14" s="130">
        <f>IF($AL$14="","",IF(INDEX('Final Calculation Sheet'!$E$4:$E$40,$AL$14)="","",INDEX('Final Calculation Sheet'!$E$4:$E$40,$AL$14)))</f>
        <v/>
      </c>
      <c r="H14" s="131">
        <f>IF($AL$14="","",IF(INDEX('Final Calculation Sheet'!$C$4:$C$40,$AL$14)="","",INDEX('Final Calculation Sheet'!$C$4:$C$40,$AL$14)))</f>
        <v/>
      </c>
      <c r="I14" s="131">
        <f>IF($AL$14="","",IF(INDEX('Final Calculation Sheet'!$H$4:$H$40,$AL$14)="","",INDEX('Final Calculation Sheet'!$H$4:$H$40,$AL$14)))</f>
        <v/>
      </c>
      <c r="J14" s="131">
        <f>IF($AL$14="","",IF(INDEX('Final Calculation Sheet'!$I$4:$I$40,$AL$14)="","",INDEX('Final Calculation Sheet'!$I$4:$I$40,$AL$14)))</f>
        <v/>
      </c>
      <c r="K14" s="131">
        <f>IF($AL$14="","",IF(INDEX('Final Calculation Sheet'!$J$4:$J$40,$AL$14)="","",INDEX('Final Calculation Sheet'!$J$4:$J$40,$AL$14)))</f>
        <v/>
      </c>
      <c r="L14" s="131">
        <f>IF($AL$14="","",IF(INDEX('Final Calculation Sheet'!$K$4:$K$40,$AL$14)="","",INDEX('Final Calculation Sheet'!$K$4:$K$40,$AL$14)))</f>
        <v/>
      </c>
      <c r="M14" s="131">
        <f>IF($AL$14="","",IF(INDEX('Final Calculation Sheet'!$L$4:$L$40,$AL$14)="","",INDEX('Final Calculation Sheet'!$L$4:$L$40,$AL$14)))</f>
        <v/>
      </c>
      <c r="N14" s="131">
        <f>IF($AL$14="","",IF(INDEX('Final Calculation Sheet'!$M$4:$M$40,$AL$14)="","",INDEX('Final Calculation Sheet'!$M$4:$M$40,$AL$14)))</f>
        <v/>
      </c>
      <c r="O14" s="132">
        <f>IF($AL$14="","",IF(INDEX('Final Calculation Sheet'!$N$4:$N$40,$AL$14)="","",INDEX('Final Calculation Sheet'!$N$4:$N$40,$AL$14)))</f>
        <v/>
      </c>
      <c r="P14" s="131">
        <f>IF($AL$14="","",IF(INDEX('Final Calculation Sheet'!$O$4:$O$40,$AL$14)="","",INDEX('Final Calculation Sheet'!$O$4:$O$40,$AL$14)))</f>
        <v/>
      </c>
      <c r="Q14" s="131">
        <f>IF($AL$14="","",IF(INDEX('Final Calculation Sheet'!$P$4:$P$40,$AL$14)="","",INDEX('Final Calculation Sheet'!$P$4:$P$40,$AL$14)))</f>
        <v/>
      </c>
      <c r="R14" s="133">
        <f>IF($AL$14="","",IF(INDEX('Final Calculation Sheet'!$Q$4:$Q$40,$AL$14)="","",INDEX('Final Calculation Sheet'!$Q$4:$Q$40,$AL$14)))</f>
        <v/>
      </c>
      <c r="S14" s="131">
        <f>IF($AL$14="","",IF(INDEX('Final Calculation Sheet'!$R$4:$R$40,$AL$14)="","",INDEX('Final Calculation Sheet'!$R$4:$R$40,$AL$14)))</f>
        <v/>
      </c>
      <c r="T14" s="131">
        <f>IF($AL$14="","",IF(INDEX('Final Calculation Sheet'!$S$4:$S$40,$AL$14)="","",INDEX('Final Calculation Sheet'!$S$4:$S$40,$AL$14)))</f>
        <v/>
      </c>
      <c r="U14" s="131">
        <f>IF($AL$14="","",IF(INDEX('Final Calculation Sheet'!$T$4:$T$40,$AL$14)="","",INDEX('Final Calculation Sheet'!$T$4:$T$40,$AL$14)))</f>
        <v/>
      </c>
      <c r="V14" s="134">
        <f>IF($AL$14="","",IF(INDEX('Final Calculation Sheet'!$U$4:$U$40,$AL$14)="","",INDEX('Final Calculation Sheet'!$U$4:$U$40,$AL$14)))</f>
        <v/>
      </c>
      <c r="W14" s="131">
        <f>IF($AL$14="","",IF(INDEX('Final Calculation Sheet'!$V$4:$V$40,$AL$14)="","",INDEX('Final Calculation Sheet'!$V$4:$V$40,$AL$14)))</f>
        <v/>
      </c>
      <c r="X14" s="131">
        <f>IF($AL$14="","",IF(INDEX('Final Calculation Sheet'!$W$4:$W$40,$AL$14)="","",INDEX('Final Calculation Sheet'!$W$4:$W$40,$AL$14)))</f>
        <v/>
      </c>
      <c r="Y14" s="131">
        <f>IF($AL$14="","",IF(INDEX('Final Calculation Sheet'!$X$4:$X$40,$AL$14)="","",INDEX('Final Calculation Sheet'!$X$4:$X$40,$AL$14)))</f>
        <v/>
      </c>
      <c r="Z14" s="131">
        <f>IF($AL$14="","",IF(INDEX('Final Calculation Sheet'!$Y$4:$Y$40,$AL$14)="","",INDEX('Final Calculation Sheet'!$Y$4:$Y$40,$AL$14)))</f>
        <v/>
      </c>
      <c r="AA14" s="131">
        <f>IF($AL$14="","",IF(INDEX('Final Calculation Sheet'!$Z$4:$Z$40,$AL$14)="","",INDEX('Final Calculation Sheet'!$Z$4:$Z$40,$AL$14)))</f>
        <v/>
      </c>
      <c r="AB14" s="131">
        <f>IF($AL$14="","",IF(INDEX('Final Calculation Sheet'!$AA$4:$AA$40,$AL$14)="","",INDEX('Final Calculation Sheet'!$AA$4:$AA$40,$AL$14)))</f>
        <v/>
      </c>
      <c r="AC14" s="131">
        <f>IF($AL$14="","",IF(INDEX('Final Calculation Sheet'!$AB$4:$AB$40,$AL$14)="","",INDEX('Final Calculation Sheet'!$AB$4:$AB$40,$AL$14)))</f>
        <v/>
      </c>
      <c r="AD14" s="131">
        <f>IF($AL$14="","",IF(INDEX('Final Calculation Sheet'!$AC$4:$AC$40,$AL$14)="","",INDEX('Final Calculation Sheet'!$AC$4:$AC$40,$AL$14)))</f>
        <v/>
      </c>
      <c r="AE14" s="131">
        <f>IF($AL$14="","",IF(INDEX('Final Calculation Sheet'!$AD$4:$AD$40,$AL$14)="","",INDEX('Final Calculation Sheet'!$AD$4:$AD$40,$AL$14)))</f>
        <v/>
      </c>
      <c r="AF14" s="136">
        <f>IF($AL$14="","",IF(INDEX('Final Calculation Sheet'!$AD$4:$AD$40,$AL$14)&lt;=5,"SETTLED","OUTSTANDING"))</f>
        <v/>
      </c>
      <c r="AG14" s="131">
        <f>IF($AL$14="","",IF(INDEX('Final Calculation Sheet'!$AF$4:$AF$40,$AL$14)="","",INDEX('Final Calculation Sheet'!$AF$4:$AF$40,$AL$14)))</f>
        <v/>
      </c>
      <c r="AH14" s="135">
        <f>IF($AL$14="","",IF(INDEX('Final Calculation Sheet'!$AG$4:$AG$40,$AL$14)="","",INDEX('Final Calculation Sheet'!$AG$4:$AG$40,$AL$14)))</f>
        <v/>
      </c>
      <c r="AI14" s="131">
        <f>IF($AL$14="","",IF(INDEX('Final Calculation Sheet'!$AH$4:$AH$40,$AL$14)="","",INDEX('Final Calculation Sheet'!$AH$4:$AH$40,$AL$14)))</f>
        <v/>
      </c>
      <c r="AJ14">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14">
        <f>IF(AJ14=1,COUNTIF(AJ$6:AJ14,1),"")</f>
        <v/>
      </c>
      <c r="AL14">
        <f>IF(COUNTIF($B$4:$AI$4,"&lt;&gt;")=0,"",IFERROR(MATCH(8,$AK$6:$AK$42,0),""))</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c r="DG14">
        <f>IF($B$4="",1,IF($B$4="(blank)",--('Final Calculation Sheet'!$F$12=""),IF($B$4="(nonblank)",--('Final Calculation Sheet'!$F$12&lt;&gt;""),--ISNUMBER(SEARCH($B$4,'Final Calculation Sheet'!$F$12)))))</f>
        <v/>
      </c>
      <c r="DH14">
        <f>IF($C$4="",1,IF($C$4="(blank)",--('Final Calculation Sheet'!$G$12=""),IF($C$4="(nonblank)",--('Final Calculation Sheet'!$G$12&lt;&gt;""),--ISNUMBER(SEARCH($C$4,'Final Calculation Sheet'!$G$12)))))</f>
        <v/>
      </c>
      <c r="DI14">
        <f>IF($D$4="",1,IF($D$4="(blank)",--('Final Calculation Sheet'!$B$12=""),IF($D$4="(nonblank)",--('Final Calculation Sheet'!$B$12&lt;&gt;""),--ISNUMBER(SEARCH($D$4,'Final Calculation Sheet'!$B$12)))))</f>
        <v/>
      </c>
      <c r="DJ14">
        <f>IF($E$4="",1,IF($E$4="(blank)",--('Final Calculation Sheet'!$D$12=""),IF($E$4="(nonblank)",--('Final Calculation Sheet'!$D$12&lt;&gt;""),--ISNUMBER(SEARCH($E$4,'Final Calculation Sheet'!$D$12)))))</f>
        <v/>
      </c>
      <c r="DK14">
        <f>IF($F$4="",1,IF($F$4="(blank)",--('Final Calculation Sheet'!$A$12=""),IF($F$4="(nonblank)",--('Final Calculation Sheet'!$A$12&lt;&gt;""),--ISNUMBER(SEARCH($F$4,'Final Calculation Sheet'!$A$12)))))</f>
        <v/>
      </c>
      <c r="DL14">
        <f>IF($G$4="",1,IF($G$4="(blank)",--('Final Calculation Sheet'!$E$12=""),IF($G$4="(nonblank)",--('Final Calculation Sheet'!$E$12&lt;&gt;""),--ISNUMBER(SEARCH($G$4,'Final Calculation Sheet'!$E$12)))))</f>
        <v/>
      </c>
      <c r="DM14">
        <f>IF($H$4="",1,IF($H$4="(blank)",--('Final Calculation Sheet'!$C$12=""),IF($H$4="(nonblank)",--('Final Calculation Sheet'!$C$12&lt;&gt;""),--ISNUMBER(SEARCH($H$4,'Final Calculation Sheet'!$C$12)))))</f>
        <v/>
      </c>
      <c r="DN14">
        <f>IF($I$4="",1,IF($I$4="(blank)",--('Final Calculation Sheet'!$H$12=""),IF($I$4="(nonblank)",--('Final Calculation Sheet'!$H$12&lt;&gt;""),--ISNUMBER(SEARCH($I$4,'Final Calculation Sheet'!$H$12)))))</f>
        <v/>
      </c>
      <c r="DO14">
        <f>IF($J$4="",1,IF($J$4="(blank)",--('Final Calculation Sheet'!$I$12=""),IF($J$4="(nonblank)",--('Final Calculation Sheet'!$I$12&lt;&gt;""),--ISNUMBER(SEARCH($J$4,'Final Calculation Sheet'!$I$12)))))</f>
        <v/>
      </c>
      <c r="DP14">
        <f>IF($K$4="",1,IF($K$4="(blank)",--('Final Calculation Sheet'!$J$12=""),IF($K$4="(nonblank)",--('Final Calculation Sheet'!$J$12&lt;&gt;""),--ISNUMBER(SEARCH($K$4,'Final Calculation Sheet'!$J$12)))))</f>
        <v/>
      </c>
      <c r="DQ14">
        <f>IF($L$4="",1,IF($L$4="(blank)",--('Final Calculation Sheet'!$K$12=""),IF($L$4="(nonblank)",--('Final Calculation Sheet'!$K$12&lt;&gt;""),--ISNUMBER(SEARCH($L$4,'Final Calculation Sheet'!$K$12)))))</f>
        <v/>
      </c>
      <c r="DR14">
        <f>IF($M$4="",1,IF($M$4="(blank)",--('Final Calculation Sheet'!$L$12=""),IF($M$4="(nonblank)",--('Final Calculation Sheet'!$L$12&lt;&gt;""),--ISNUMBER(SEARCH($M$4,'Final Calculation Sheet'!$L$12)))))</f>
        <v/>
      </c>
      <c r="DS14">
        <f>IF($N$4="",1,IF($N$4="(blank)",--('Final Calculation Sheet'!$M$12=""),IF($N$4="(nonblank)",--('Final Calculation Sheet'!$M$12&lt;&gt;""),--ISNUMBER(SEARCH($N$4,'Final Calculation Sheet'!$M$12)))))</f>
        <v/>
      </c>
      <c r="DT14">
        <f>IF($O$4="",1,IF($O$4="(blank)",--('Final Calculation Sheet'!$N$12=""),IF($O$4="(nonblank)",--('Final Calculation Sheet'!$N$12&lt;&gt;""),--ISNUMBER(SEARCH($O$4,'Final Calculation Sheet'!$N$12)))))</f>
        <v/>
      </c>
      <c r="DU14">
        <f>IF($P$4="",1,IF($P$4="(blank)",--('Final Calculation Sheet'!$O$12=""),IF($P$4="(nonblank)",--('Final Calculation Sheet'!$O$12&lt;&gt;""),--ISNUMBER(SEARCH($P$4,'Final Calculation Sheet'!$O$12)))))</f>
        <v/>
      </c>
      <c r="DV14">
        <f>IF($Q$4="",1,IF($Q$4="(blank)",--('Final Calculation Sheet'!$P$12=""),IF($Q$4="(nonblank)",--('Final Calculation Sheet'!$P$12&lt;&gt;""),--ISNUMBER(SEARCH($Q$4,'Final Calculation Sheet'!$P$12)))))</f>
        <v/>
      </c>
      <c r="DW14">
        <f>IF($R$4="",1,IF($R$4="(blank)",--('Final Calculation Sheet'!$Q$12=""),IF($R$4="(nonblank)",--('Final Calculation Sheet'!$Q$12&lt;&gt;""),--ISNUMBER(SEARCH($R$4,'Final Calculation Sheet'!$Q$12)))))</f>
        <v/>
      </c>
      <c r="DX14">
        <f>IF($S$4="",1,IF($S$4="(blank)",--('Final Calculation Sheet'!$R$12=""),IF($S$4="(nonblank)",--('Final Calculation Sheet'!$R$12&lt;&gt;""),--ISNUMBER(SEARCH($S$4,'Final Calculation Sheet'!$R$12)))))</f>
        <v/>
      </c>
      <c r="DY14">
        <f>IF($T$4="",1,IF($T$4="(blank)",--('Final Calculation Sheet'!$S$12=""),IF($T$4="(nonblank)",--('Final Calculation Sheet'!$S$12&lt;&gt;""),--ISNUMBER(SEARCH($T$4,'Final Calculation Sheet'!$S$12)))))</f>
        <v/>
      </c>
      <c r="DZ14">
        <f>IF($U$4="",1,IF($U$4="(blank)",--('Final Calculation Sheet'!$T$12=""),IF($U$4="(nonblank)",--('Final Calculation Sheet'!$T$12&lt;&gt;""),--ISNUMBER(SEARCH($U$4,'Final Calculation Sheet'!$T$12)))))</f>
        <v/>
      </c>
      <c r="EA14">
        <f>IF($V$4="",1,IF($V$4="(blank)",--('Final Calculation Sheet'!$U$12=""),IF($V$4="(nonblank)",--('Final Calculation Sheet'!$U$12&lt;&gt;""),--ISNUMBER(SEARCH($V$4,'Final Calculation Sheet'!$U$12)))))</f>
        <v/>
      </c>
      <c r="EB14">
        <f>IF($W$4="",1,IF($W$4="(blank)",--('Final Calculation Sheet'!$V$12=""),IF($W$4="(nonblank)",--('Final Calculation Sheet'!$V$12&lt;&gt;""),--ISNUMBER(SEARCH($W$4,'Final Calculation Sheet'!$V$12)))))</f>
        <v/>
      </c>
      <c r="EC14">
        <f>IF($X$4="",1,IF($X$4="(blank)",--('Final Calculation Sheet'!$W$12=""),IF($X$4="(nonblank)",--('Final Calculation Sheet'!$W$12&lt;&gt;""),--ISNUMBER(SEARCH($X$4,'Final Calculation Sheet'!$W$12)))))</f>
        <v/>
      </c>
      <c r="ED14">
        <f>IF($Y$4="",1,IF($Y$4="(blank)",--('Final Calculation Sheet'!$X$12=""),IF($Y$4="(nonblank)",--('Final Calculation Sheet'!$X$12&lt;&gt;""),--ISNUMBER(SEARCH($Y$4,'Final Calculation Sheet'!$X$12)))))</f>
        <v/>
      </c>
      <c r="EE14">
        <f>IF($Z$4="",1,IF($Z$4="(blank)",--('Final Calculation Sheet'!$Y$12=""),IF($Z$4="(nonblank)",--('Final Calculation Sheet'!$Y$12&lt;&gt;""),--ISNUMBER(SEARCH($Z$4,'Final Calculation Sheet'!$Y$12)))))</f>
        <v/>
      </c>
      <c r="EF14">
        <f>IF($AA$4="",1,IF($AA$4="(blank)",--('Final Calculation Sheet'!$Z$12=""),IF($AA$4="(nonblank)",--('Final Calculation Sheet'!$Z$12&lt;&gt;""),--ISNUMBER(SEARCH($AA$4,'Final Calculation Sheet'!$Z$12)))))</f>
        <v/>
      </c>
      <c r="EG14">
        <f>IF($AB$4="",1,IF($AB$4="(blank)",--('Final Calculation Sheet'!$AA$12=""),IF($AB$4="(nonblank)",--('Final Calculation Sheet'!$AA$12&lt;&gt;""),--ISNUMBER(SEARCH($AB$4,'Final Calculation Sheet'!$AA$12)))))</f>
        <v/>
      </c>
      <c r="EH14">
        <f>IF($AC$4="",1,IF($AC$4="(blank)",--('Final Calculation Sheet'!$AB$12=""),IF($AC$4="(nonblank)",--('Final Calculation Sheet'!$AB$12&lt;&gt;""),--ISNUMBER(SEARCH($AC$4,'Final Calculation Sheet'!$AB$12)))))</f>
        <v/>
      </c>
      <c r="EI14">
        <f>IF($AD$4="",1,IF($AD$4="(blank)",--('Final Calculation Sheet'!$AC$12=""),IF($AD$4="(nonblank)",--('Final Calculation Sheet'!$AC$12&lt;&gt;""),--ISNUMBER(SEARCH($AD$4,'Final Calculation Sheet'!$AC$12)))))</f>
        <v/>
      </c>
      <c r="EJ14">
        <f>IF($AE$4="",1,IF($AE$4="(blank)",--('Final Calculation Sheet'!$AD$12=""),IF($AE$4="(nonblank)",--('Final Calculation Sheet'!$AD$12&lt;&gt;""),--ISNUMBER(SEARCH($AE$4,'Final Calculation Sheet'!$AD$12)))))</f>
        <v/>
      </c>
      <c r="EK14">
        <f>IF($AF$4="",1,IF($AF$4="(blank)",--(IF('Final Calculation Sheet'!$AD$12&lt;=5,"SETTLED","OUTSTANDING")=""),IF($AF$4="(nonblank)",--(IF('Final Calculation Sheet'!$AD$12&lt;=5,"SETTLED","OUTSTANDING")&lt;&gt;""),--ISNUMBER(SEARCH($AF$4,IF('Final Calculation Sheet'!$AD$12&lt;=5,"SETTLED","OUTSTANDING"))))))</f>
        <v/>
      </c>
      <c r="EL14">
        <f>IF($AG$4="",1,IF($AG$4="(blank)",--('Final Calculation Sheet'!$AF$12=""),IF($AG$4="(nonblank)",--('Final Calculation Sheet'!$AF$12&lt;&gt;""),--ISNUMBER(SEARCH($AG$4,'Final Calculation Sheet'!$AF$12)))))</f>
        <v/>
      </c>
      <c r="EM14">
        <f>IF($AH$4="",1,IF($AH$4="(blank)",--('Final Calculation Sheet'!$AG$12=""),IF($AH$4="(nonblank)",--('Final Calculation Sheet'!$AG$12&lt;&gt;""),--ISNUMBER(SEARCH($AH$4,'Final Calculation Sheet'!$AG$12)))))</f>
        <v/>
      </c>
      <c r="EN14">
        <f>IF($AI$4="",1,IF($AI$4="(blank)",--('Final Calculation Sheet'!$AH$12=""),IF($AI$4="(nonblank)",--('Final Calculation Sheet'!$AH$12&lt;&gt;""),--ISNUMBER(SEARCH($AI$4,'Final Calculation Sheet'!$AH$12)))))</f>
        <v/>
      </c>
    </row>
    <row r="15" outlineLevel="1" hidden="1">
      <c r="A15" s="118">
        <f>IF($AL$15="","",9)</f>
        <v/>
      </c>
      <c r="B15" s="119">
        <f>IF($AL$15="","",IF(INDEX('Final Calculation Sheet'!$F$4:$F$40,$AL$15)="","",INDEX('Final Calculation Sheet'!$F$4:$F$40,$AL$15)))</f>
        <v/>
      </c>
      <c r="C15" s="119">
        <f>IF($AL$15="","",IF(INDEX('Final Calculation Sheet'!$G$4:$G$40,$AL$15)="","",INDEX('Final Calculation Sheet'!$G$4:$G$40,$AL$15)))</f>
        <v/>
      </c>
      <c r="D15" s="121">
        <f>IF($AL$15="","",IF(INDEX('Final Calculation Sheet'!$B$4:$B$40,$AL$15)="","",INDEX('Final Calculation Sheet'!$B$4:$B$40,$AL$15)))</f>
        <v/>
      </c>
      <c r="E15" s="121">
        <f>IF($AL$15="","",IF(INDEX('Final Calculation Sheet'!$D$4:$D$40,$AL$15)="","",INDEX('Final Calculation Sheet'!$D$4:$D$40,$AL$15)))</f>
        <v/>
      </c>
      <c r="F15" s="121">
        <f>IF($AL$15="","",IF(INDEX('Final Calculation Sheet'!$A$4:$A$40,$AL$15)="","",INDEX('Final Calculation Sheet'!$A$4:$A$40,$AL$15)))</f>
        <v/>
      </c>
      <c r="G15" s="121">
        <f>IF($AL$15="","",IF(INDEX('Final Calculation Sheet'!$E$4:$E$40,$AL$15)="","",INDEX('Final Calculation Sheet'!$E$4:$E$40,$AL$15)))</f>
        <v/>
      </c>
      <c r="H15" s="122">
        <f>IF($AL$15="","",IF(INDEX('Final Calculation Sheet'!$C$4:$C$40,$AL$15)="","",INDEX('Final Calculation Sheet'!$C$4:$C$40,$AL$15)))</f>
        <v/>
      </c>
      <c r="I15" s="122">
        <f>IF($AL$15="","",IF(INDEX('Final Calculation Sheet'!$H$4:$H$40,$AL$15)="","",INDEX('Final Calculation Sheet'!$H$4:$H$40,$AL$15)))</f>
        <v/>
      </c>
      <c r="J15" s="122">
        <f>IF($AL$15="","",IF(INDEX('Final Calculation Sheet'!$I$4:$I$40,$AL$15)="","",INDEX('Final Calculation Sheet'!$I$4:$I$40,$AL$15)))</f>
        <v/>
      </c>
      <c r="K15" s="122">
        <f>IF($AL$15="","",IF(INDEX('Final Calculation Sheet'!$J$4:$J$40,$AL$15)="","",INDEX('Final Calculation Sheet'!$J$4:$J$40,$AL$15)))</f>
        <v/>
      </c>
      <c r="L15" s="122">
        <f>IF($AL$15="","",IF(INDEX('Final Calculation Sheet'!$K$4:$K$40,$AL$15)="","",INDEX('Final Calculation Sheet'!$K$4:$K$40,$AL$15)))</f>
        <v/>
      </c>
      <c r="M15" s="122">
        <f>IF($AL$15="","",IF(INDEX('Final Calculation Sheet'!$L$4:$L$40,$AL$15)="","",INDEX('Final Calculation Sheet'!$L$4:$L$40,$AL$15)))</f>
        <v/>
      </c>
      <c r="N15" s="122">
        <f>IF($AL$15="","",IF(INDEX('Final Calculation Sheet'!$M$4:$M$40,$AL$15)="","",INDEX('Final Calculation Sheet'!$M$4:$M$40,$AL$15)))</f>
        <v/>
      </c>
      <c r="O15" s="123">
        <f>IF($AL$15="","",IF(INDEX('Final Calculation Sheet'!$N$4:$N$40,$AL$15)="","",INDEX('Final Calculation Sheet'!$N$4:$N$40,$AL$15)))</f>
        <v/>
      </c>
      <c r="P15" s="122">
        <f>IF($AL$15="","",IF(INDEX('Final Calculation Sheet'!$O$4:$O$40,$AL$15)="","",INDEX('Final Calculation Sheet'!$O$4:$O$40,$AL$15)))</f>
        <v/>
      </c>
      <c r="Q15" s="122">
        <f>IF($AL$15="","",IF(INDEX('Final Calculation Sheet'!$P$4:$P$40,$AL$15)="","",INDEX('Final Calculation Sheet'!$P$4:$P$40,$AL$15)))</f>
        <v/>
      </c>
      <c r="R15" s="124">
        <f>IF($AL$15="","",IF(INDEX('Final Calculation Sheet'!$Q$4:$Q$40,$AL$15)="","",INDEX('Final Calculation Sheet'!$Q$4:$Q$40,$AL$15)))</f>
        <v/>
      </c>
      <c r="S15" s="122">
        <f>IF($AL$15="","",IF(INDEX('Final Calculation Sheet'!$R$4:$R$40,$AL$15)="","",INDEX('Final Calculation Sheet'!$R$4:$R$40,$AL$15)))</f>
        <v/>
      </c>
      <c r="T15" s="122">
        <f>IF($AL$15="","",IF(INDEX('Final Calculation Sheet'!$S$4:$S$40,$AL$15)="","",INDEX('Final Calculation Sheet'!$S$4:$S$40,$AL$15)))</f>
        <v/>
      </c>
      <c r="U15" s="122">
        <f>IF($AL$15="","",IF(INDEX('Final Calculation Sheet'!$T$4:$T$40,$AL$15)="","",INDEX('Final Calculation Sheet'!$T$4:$T$40,$AL$15)))</f>
        <v/>
      </c>
      <c r="V15" s="125">
        <f>IF($AL$15="","",IF(INDEX('Final Calculation Sheet'!$U$4:$U$40,$AL$15)="","",INDEX('Final Calculation Sheet'!$U$4:$U$40,$AL$15)))</f>
        <v/>
      </c>
      <c r="W15" s="122">
        <f>IF($AL$15="","",IF(INDEX('Final Calculation Sheet'!$V$4:$V$40,$AL$15)="","",INDEX('Final Calculation Sheet'!$V$4:$V$40,$AL$15)))</f>
        <v/>
      </c>
      <c r="X15" s="122">
        <f>IF($AL$15="","",IF(INDEX('Final Calculation Sheet'!$W$4:$W$40,$AL$15)="","",INDEX('Final Calculation Sheet'!$W$4:$W$40,$AL$15)))</f>
        <v/>
      </c>
      <c r="Y15" s="122">
        <f>IF($AL$15="","",IF(INDEX('Final Calculation Sheet'!$X$4:$X$40,$AL$15)="","",INDEX('Final Calculation Sheet'!$X$4:$X$40,$AL$15)))</f>
        <v/>
      </c>
      <c r="Z15" s="122">
        <f>IF($AL$15="","",IF(INDEX('Final Calculation Sheet'!$Y$4:$Y$40,$AL$15)="","",INDEX('Final Calculation Sheet'!$Y$4:$Y$40,$AL$15)))</f>
        <v/>
      </c>
      <c r="AA15" s="122">
        <f>IF($AL$15="","",IF(INDEX('Final Calculation Sheet'!$Z$4:$Z$40,$AL$15)="","",INDEX('Final Calculation Sheet'!$Z$4:$Z$40,$AL$15)))</f>
        <v/>
      </c>
      <c r="AB15" s="122">
        <f>IF($AL$15="","",IF(INDEX('Final Calculation Sheet'!$AA$4:$AA$40,$AL$15)="","",INDEX('Final Calculation Sheet'!$AA$4:$AA$40,$AL$15)))</f>
        <v/>
      </c>
      <c r="AC15" s="122">
        <f>IF($AL$15="","",IF(INDEX('Final Calculation Sheet'!$AB$4:$AB$40,$AL$15)="","",INDEX('Final Calculation Sheet'!$AB$4:$AB$40,$AL$15)))</f>
        <v/>
      </c>
      <c r="AD15" s="122">
        <f>IF($AL$15="","",IF(INDEX('Final Calculation Sheet'!$AC$4:$AC$40,$AL$15)="","",INDEX('Final Calculation Sheet'!$AC$4:$AC$40,$AL$15)))</f>
        <v/>
      </c>
      <c r="AE15" s="122">
        <f>IF($AL$15="","",IF(INDEX('Final Calculation Sheet'!$AD$4:$AD$40,$AL$15)="","",INDEX('Final Calculation Sheet'!$AD$4:$AD$40,$AL$15)))</f>
        <v/>
      </c>
      <c r="AF15" s="127">
        <f>IF($AL$15="","",IF(INDEX('Final Calculation Sheet'!$AD$4:$AD$40,$AL$15)&lt;=5,"SETTLED","OUTSTANDING"))</f>
        <v/>
      </c>
      <c r="AG15" s="122">
        <f>IF($AL$15="","",IF(INDEX('Final Calculation Sheet'!$AF$4:$AF$40,$AL$15)="","",INDEX('Final Calculation Sheet'!$AF$4:$AF$40,$AL$15)))</f>
        <v/>
      </c>
      <c r="AH15" s="126">
        <f>IF($AL$15="","",IF(INDEX('Final Calculation Sheet'!$AG$4:$AG$40,$AL$15)="","",INDEX('Final Calculation Sheet'!$AG$4:$AG$40,$AL$15)))</f>
        <v/>
      </c>
      <c r="AI15" s="122">
        <f>IF($AL$15="","",IF(INDEX('Final Calculation Sheet'!$AH$4:$AH$40,$AL$15)="","",INDEX('Final Calculation Sheet'!$AH$4:$AH$40,$AL$15)))</f>
        <v/>
      </c>
      <c r="AJ1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15">
        <f>IF(AJ15=1,COUNTIF(AJ$6:AJ15,1),"")</f>
        <v/>
      </c>
      <c r="AL15">
        <f>IF(COUNTIF($B$4:$AI$4,"&lt;&gt;")=0,"",IFERROR(MATCH(9,$AK$6:$AK$42,0),""))</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c r="DG15">
        <f>IF($B$4="",1,IF($B$4="(blank)",--('Final Calculation Sheet'!$F$13=""),IF($B$4="(nonblank)",--('Final Calculation Sheet'!$F$13&lt;&gt;""),--ISNUMBER(SEARCH($B$4,'Final Calculation Sheet'!$F$13)))))</f>
        <v/>
      </c>
      <c r="DH15">
        <f>IF($C$4="",1,IF($C$4="(blank)",--('Final Calculation Sheet'!$G$13=""),IF($C$4="(nonblank)",--('Final Calculation Sheet'!$G$13&lt;&gt;""),--ISNUMBER(SEARCH($C$4,'Final Calculation Sheet'!$G$13)))))</f>
        <v/>
      </c>
      <c r="DI15">
        <f>IF($D$4="",1,IF($D$4="(blank)",--('Final Calculation Sheet'!$B$13=""),IF($D$4="(nonblank)",--('Final Calculation Sheet'!$B$13&lt;&gt;""),--ISNUMBER(SEARCH($D$4,'Final Calculation Sheet'!$B$13)))))</f>
        <v/>
      </c>
      <c r="DJ15">
        <f>IF($E$4="",1,IF($E$4="(blank)",--('Final Calculation Sheet'!$D$13=""),IF($E$4="(nonblank)",--('Final Calculation Sheet'!$D$13&lt;&gt;""),--ISNUMBER(SEARCH($E$4,'Final Calculation Sheet'!$D$13)))))</f>
        <v/>
      </c>
      <c r="DK15">
        <f>IF($F$4="",1,IF($F$4="(blank)",--('Final Calculation Sheet'!$A$13=""),IF($F$4="(nonblank)",--('Final Calculation Sheet'!$A$13&lt;&gt;""),--ISNUMBER(SEARCH($F$4,'Final Calculation Sheet'!$A$13)))))</f>
        <v/>
      </c>
      <c r="DL15">
        <f>IF($G$4="",1,IF($G$4="(blank)",--('Final Calculation Sheet'!$E$13=""),IF($G$4="(nonblank)",--('Final Calculation Sheet'!$E$13&lt;&gt;""),--ISNUMBER(SEARCH($G$4,'Final Calculation Sheet'!$E$13)))))</f>
        <v/>
      </c>
      <c r="DM15">
        <f>IF($H$4="",1,IF($H$4="(blank)",--('Final Calculation Sheet'!$C$13=""),IF($H$4="(nonblank)",--('Final Calculation Sheet'!$C$13&lt;&gt;""),--ISNUMBER(SEARCH($H$4,'Final Calculation Sheet'!$C$13)))))</f>
        <v/>
      </c>
      <c r="DN15">
        <f>IF($I$4="",1,IF($I$4="(blank)",--('Final Calculation Sheet'!$H$13=""),IF($I$4="(nonblank)",--('Final Calculation Sheet'!$H$13&lt;&gt;""),--ISNUMBER(SEARCH($I$4,'Final Calculation Sheet'!$H$13)))))</f>
        <v/>
      </c>
      <c r="DO15">
        <f>IF($J$4="",1,IF($J$4="(blank)",--('Final Calculation Sheet'!$I$13=""),IF($J$4="(nonblank)",--('Final Calculation Sheet'!$I$13&lt;&gt;""),--ISNUMBER(SEARCH($J$4,'Final Calculation Sheet'!$I$13)))))</f>
        <v/>
      </c>
      <c r="DP15">
        <f>IF($K$4="",1,IF($K$4="(blank)",--('Final Calculation Sheet'!$J$13=""),IF($K$4="(nonblank)",--('Final Calculation Sheet'!$J$13&lt;&gt;""),--ISNUMBER(SEARCH($K$4,'Final Calculation Sheet'!$J$13)))))</f>
        <v/>
      </c>
      <c r="DQ15">
        <f>IF($L$4="",1,IF($L$4="(blank)",--('Final Calculation Sheet'!$K$13=""),IF($L$4="(nonblank)",--('Final Calculation Sheet'!$K$13&lt;&gt;""),--ISNUMBER(SEARCH($L$4,'Final Calculation Sheet'!$K$13)))))</f>
        <v/>
      </c>
      <c r="DR15">
        <f>IF($M$4="",1,IF($M$4="(blank)",--('Final Calculation Sheet'!$L$13=""),IF($M$4="(nonblank)",--('Final Calculation Sheet'!$L$13&lt;&gt;""),--ISNUMBER(SEARCH($M$4,'Final Calculation Sheet'!$L$13)))))</f>
        <v/>
      </c>
      <c r="DS15">
        <f>IF($N$4="",1,IF($N$4="(blank)",--('Final Calculation Sheet'!$M$13=""),IF($N$4="(nonblank)",--('Final Calculation Sheet'!$M$13&lt;&gt;""),--ISNUMBER(SEARCH($N$4,'Final Calculation Sheet'!$M$13)))))</f>
        <v/>
      </c>
      <c r="DT15">
        <f>IF($O$4="",1,IF($O$4="(blank)",--('Final Calculation Sheet'!$N$13=""),IF($O$4="(nonblank)",--('Final Calculation Sheet'!$N$13&lt;&gt;""),--ISNUMBER(SEARCH($O$4,'Final Calculation Sheet'!$N$13)))))</f>
        <v/>
      </c>
      <c r="DU15">
        <f>IF($P$4="",1,IF($P$4="(blank)",--('Final Calculation Sheet'!$O$13=""),IF($P$4="(nonblank)",--('Final Calculation Sheet'!$O$13&lt;&gt;""),--ISNUMBER(SEARCH($P$4,'Final Calculation Sheet'!$O$13)))))</f>
        <v/>
      </c>
      <c r="DV15">
        <f>IF($Q$4="",1,IF($Q$4="(blank)",--('Final Calculation Sheet'!$P$13=""),IF($Q$4="(nonblank)",--('Final Calculation Sheet'!$P$13&lt;&gt;""),--ISNUMBER(SEARCH($Q$4,'Final Calculation Sheet'!$P$13)))))</f>
        <v/>
      </c>
      <c r="DW15">
        <f>IF($R$4="",1,IF($R$4="(blank)",--('Final Calculation Sheet'!$Q$13=""),IF($R$4="(nonblank)",--('Final Calculation Sheet'!$Q$13&lt;&gt;""),--ISNUMBER(SEARCH($R$4,'Final Calculation Sheet'!$Q$13)))))</f>
        <v/>
      </c>
      <c r="DX15">
        <f>IF($S$4="",1,IF($S$4="(blank)",--('Final Calculation Sheet'!$R$13=""),IF($S$4="(nonblank)",--('Final Calculation Sheet'!$R$13&lt;&gt;""),--ISNUMBER(SEARCH($S$4,'Final Calculation Sheet'!$R$13)))))</f>
        <v/>
      </c>
      <c r="DY15">
        <f>IF($T$4="",1,IF($T$4="(blank)",--('Final Calculation Sheet'!$S$13=""),IF($T$4="(nonblank)",--('Final Calculation Sheet'!$S$13&lt;&gt;""),--ISNUMBER(SEARCH($T$4,'Final Calculation Sheet'!$S$13)))))</f>
        <v/>
      </c>
      <c r="DZ15">
        <f>IF($U$4="",1,IF($U$4="(blank)",--('Final Calculation Sheet'!$T$13=""),IF($U$4="(nonblank)",--('Final Calculation Sheet'!$T$13&lt;&gt;""),--ISNUMBER(SEARCH($U$4,'Final Calculation Sheet'!$T$13)))))</f>
        <v/>
      </c>
      <c r="EA15">
        <f>IF($V$4="",1,IF($V$4="(blank)",--('Final Calculation Sheet'!$U$13=""),IF($V$4="(nonblank)",--('Final Calculation Sheet'!$U$13&lt;&gt;""),--ISNUMBER(SEARCH($V$4,'Final Calculation Sheet'!$U$13)))))</f>
        <v/>
      </c>
      <c r="EB15">
        <f>IF($W$4="",1,IF($W$4="(blank)",--('Final Calculation Sheet'!$V$13=""),IF($W$4="(nonblank)",--('Final Calculation Sheet'!$V$13&lt;&gt;""),--ISNUMBER(SEARCH($W$4,'Final Calculation Sheet'!$V$13)))))</f>
        <v/>
      </c>
      <c r="EC15">
        <f>IF($X$4="",1,IF($X$4="(blank)",--('Final Calculation Sheet'!$W$13=""),IF($X$4="(nonblank)",--('Final Calculation Sheet'!$W$13&lt;&gt;""),--ISNUMBER(SEARCH($X$4,'Final Calculation Sheet'!$W$13)))))</f>
        <v/>
      </c>
      <c r="ED15">
        <f>IF($Y$4="",1,IF($Y$4="(blank)",--('Final Calculation Sheet'!$X$13=""),IF($Y$4="(nonblank)",--('Final Calculation Sheet'!$X$13&lt;&gt;""),--ISNUMBER(SEARCH($Y$4,'Final Calculation Sheet'!$X$13)))))</f>
        <v/>
      </c>
      <c r="EE15">
        <f>IF($Z$4="",1,IF($Z$4="(blank)",--('Final Calculation Sheet'!$Y$13=""),IF($Z$4="(nonblank)",--('Final Calculation Sheet'!$Y$13&lt;&gt;""),--ISNUMBER(SEARCH($Z$4,'Final Calculation Sheet'!$Y$13)))))</f>
        <v/>
      </c>
      <c r="EF15">
        <f>IF($AA$4="",1,IF($AA$4="(blank)",--('Final Calculation Sheet'!$Z$13=""),IF($AA$4="(nonblank)",--('Final Calculation Sheet'!$Z$13&lt;&gt;""),--ISNUMBER(SEARCH($AA$4,'Final Calculation Sheet'!$Z$13)))))</f>
        <v/>
      </c>
      <c r="EG15">
        <f>IF($AB$4="",1,IF($AB$4="(blank)",--('Final Calculation Sheet'!$AA$13=""),IF($AB$4="(nonblank)",--('Final Calculation Sheet'!$AA$13&lt;&gt;""),--ISNUMBER(SEARCH($AB$4,'Final Calculation Sheet'!$AA$13)))))</f>
        <v/>
      </c>
      <c r="EH15">
        <f>IF($AC$4="",1,IF($AC$4="(blank)",--('Final Calculation Sheet'!$AB$13=""),IF($AC$4="(nonblank)",--('Final Calculation Sheet'!$AB$13&lt;&gt;""),--ISNUMBER(SEARCH($AC$4,'Final Calculation Sheet'!$AB$13)))))</f>
        <v/>
      </c>
      <c r="EI15">
        <f>IF($AD$4="",1,IF($AD$4="(blank)",--('Final Calculation Sheet'!$AC$13=""),IF($AD$4="(nonblank)",--('Final Calculation Sheet'!$AC$13&lt;&gt;""),--ISNUMBER(SEARCH($AD$4,'Final Calculation Sheet'!$AC$13)))))</f>
        <v/>
      </c>
      <c r="EJ15">
        <f>IF($AE$4="",1,IF($AE$4="(blank)",--('Final Calculation Sheet'!$AD$13=""),IF($AE$4="(nonblank)",--('Final Calculation Sheet'!$AD$13&lt;&gt;""),--ISNUMBER(SEARCH($AE$4,'Final Calculation Sheet'!$AD$13)))))</f>
        <v/>
      </c>
      <c r="EK15">
        <f>IF($AF$4="",1,IF($AF$4="(blank)",--(IF('Final Calculation Sheet'!$AD$13&lt;=5,"SETTLED","OUTSTANDING")=""),IF($AF$4="(nonblank)",--(IF('Final Calculation Sheet'!$AD$13&lt;=5,"SETTLED","OUTSTANDING")&lt;&gt;""),--ISNUMBER(SEARCH($AF$4,IF('Final Calculation Sheet'!$AD$13&lt;=5,"SETTLED","OUTSTANDING"))))))</f>
        <v/>
      </c>
      <c r="EL15">
        <f>IF($AG$4="",1,IF($AG$4="(blank)",--('Final Calculation Sheet'!$AF$13=""),IF($AG$4="(nonblank)",--('Final Calculation Sheet'!$AF$13&lt;&gt;""),--ISNUMBER(SEARCH($AG$4,'Final Calculation Sheet'!$AF$13)))))</f>
        <v/>
      </c>
      <c r="EM15">
        <f>IF($AH$4="",1,IF($AH$4="(blank)",--('Final Calculation Sheet'!$AG$13=""),IF($AH$4="(nonblank)",--('Final Calculation Sheet'!$AG$13&lt;&gt;""),--ISNUMBER(SEARCH($AH$4,'Final Calculation Sheet'!$AG$13)))))</f>
        <v/>
      </c>
      <c r="EN15">
        <f>IF($AI$4="",1,IF($AI$4="(blank)",--('Final Calculation Sheet'!$AH$13=""),IF($AI$4="(nonblank)",--('Final Calculation Sheet'!$AH$13&lt;&gt;""),--ISNUMBER(SEARCH($AI$4,'Final Calculation Sheet'!$AH$13)))))</f>
        <v/>
      </c>
    </row>
    <row r="16" outlineLevel="1" hidden="1">
      <c r="A16" s="128">
        <f>IF($AL$16="","",10)</f>
        <v/>
      </c>
      <c r="B16" s="129">
        <f>IF($AL$16="","",IF(INDEX('Final Calculation Sheet'!$F$4:$F$40,$AL$16)="","",INDEX('Final Calculation Sheet'!$F$4:$F$40,$AL$16)))</f>
        <v/>
      </c>
      <c r="C16" s="129">
        <f>IF($AL$16="","",IF(INDEX('Final Calculation Sheet'!$G$4:$G$40,$AL$16)="","",INDEX('Final Calculation Sheet'!$G$4:$G$40,$AL$16)))</f>
        <v/>
      </c>
      <c r="D16" s="130">
        <f>IF($AL$16="","",IF(INDEX('Final Calculation Sheet'!$B$4:$B$40,$AL$16)="","",INDEX('Final Calculation Sheet'!$B$4:$B$40,$AL$16)))</f>
        <v/>
      </c>
      <c r="E16" s="130">
        <f>IF($AL$16="","",IF(INDEX('Final Calculation Sheet'!$D$4:$D$40,$AL$16)="","",INDEX('Final Calculation Sheet'!$D$4:$D$40,$AL$16)))</f>
        <v/>
      </c>
      <c r="F16" s="130">
        <f>IF($AL$16="","",IF(INDEX('Final Calculation Sheet'!$A$4:$A$40,$AL$16)="","",INDEX('Final Calculation Sheet'!$A$4:$A$40,$AL$16)))</f>
        <v/>
      </c>
      <c r="G16" s="130">
        <f>IF($AL$16="","",IF(INDEX('Final Calculation Sheet'!$E$4:$E$40,$AL$16)="","",INDEX('Final Calculation Sheet'!$E$4:$E$40,$AL$16)))</f>
        <v/>
      </c>
      <c r="H16" s="131">
        <f>IF($AL$16="","",IF(INDEX('Final Calculation Sheet'!$C$4:$C$40,$AL$16)="","",INDEX('Final Calculation Sheet'!$C$4:$C$40,$AL$16)))</f>
        <v/>
      </c>
      <c r="I16" s="131">
        <f>IF($AL$16="","",IF(INDEX('Final Calculation Sheet'!$H$4:$H$40,$AL$16)="","",INDEX('Final Calculation Sheet'!$H$4:$H$40,$AL$16)))</f>
        <v/>
      </c>
      <c r="J16" s="131">
        <f>IF($AL$16="","",IF(INDEX('Final Calculation Sheet'!$I$4:$I$40,$AL$16)="","",INDEX('Final Calculation Sheet'!$I$4:$I$40,$AL$16)))</f>
        <v/>
      </c>
      <c r="K16" s="131">
        <f>IF($AL$16="","",IF(INDEX('Final Calculation Sheet'!$J$4:$J$40,$AL$16)="","",INDEX('Final Calculation Sheet'!$J$4:$J$40,$AL$16)))</f>
        <v/>
      </c>
      <c r="L16" s="131">
        <f>IF($AL$16="","",IF(INDEX('Final Calculation Sheet'!$K$4:$K$40,$AL$16)="","",INDEX('Final Calculation Sheet'!$K$4:$K$40,$AL$16)))</f>
        <v/>
      </c>
      <c r="M16" s="131">
        <f>IF($AL$16="","",IF(INDEX('Final Calculation Sheet'!$L$4:$L$40,$AL$16)="","",INDEX('Final Calculation Sheet'!$L$4:$L$40,$AL$16)))</f>
        <v/>
      </c>
      <c r="N16" s="131">
        <f>IF($AL$16="","",IF(INDEX('Final Calculation Sheet'!$M$4:$M$40,$AL$16)="","",INDEX('Final Calculation Sheet'!$M$4:$M$40,$AL$16)))</f>
        <v/>
      </c>
      <c r="O16" s="132">
        <f>IF($AL$16="","",IF(INDEX('Final Calculation Sheet'!$N$4:$N$40,$AL$16)="","",INDEX('Final Calculation Sheet'!$N$4:$N$40,$AL$16)))</f>
        <v/>
      </c>
      <c r="P16" s="131">
        <f>IF($AL$16="","",IF(INDEX('Final Calculation Sheet'!$O$4:$O$40,$AL$16)="","",INDEX('Final Calculation Sheet'!$O$4:$O$40,$AL$16)))</f>
        <v/>
      </c>
      <c r="Q16" s="131">
        <f>IF($AL$16="","",IF(INDEX('Final Calculation Sheet'!$P$4:$P$40,$AL$16)="","",INDEX('Final Calculation Sheet'!$P$4:$P$40,$AL$16)))</f>
        <v/>
      </c>
      <c r="R16" s="133">
        <f>IF($AL$16="","",IF(INDEX('Final Calculation Sheet'!$Q$4:$Q$40,$AL$16)="","",INDEX('Final Calculation Sheet'!$Q$4:$Q$40,$AL$16)))</f>
        <v/>
      </c>
      <c r="S16" s="131">
        <f>IF($AL$16="","",IF(INDEX('Final Calculation Sheet'!$R$4:$R$40,$AL$16)="","",INDEX('Final Calculation Sheet'!$R$4:$R$40,$AL$16)))</f>
        <v/>
      </c>
      <c r="T16" s="131">
        <f>IF($AL$16="","",IF(INDEX('Final Calculation Sheet'!$S$4:$S$40,$AL$16)="","",INDEX('Final Calculation Sheet'!$S$4:$S$40,$AL$16)))</f>
        <v/>
      </c>
      <c r="U16" s="131">
        <f>IF($AL$16="","",IF(INDEX('Final Calculation Sheet'!$T$4:$T$40,$AL$16)="","",INDEX('Final Calculation Sheet'!$T$4:$T$40,$AL$16)))</f>
        <v/>
      </c>
      <c r="V16" s="134">
        <f>IF($AL$16="","",IF(INDEX('Final Calculation Sheet'!$U$4:$U$40,$AL$16)="","",INDEX('Final Calculation Sheet'!$U$4:$U$40,$AL$16)))</f>
        <v/>
      </c>
      <c r="W16" s="131">
        <f>IF($AL$16="","",IF(INDEX('Final Calculation Sheet'!$V$4:$V$40,$AL$16)="","",INDEX('Final Calculation Sheet'!$V$4:$V$40,$AL$16)))</f>
        <v/>
      </c>
      <c r="X16" s="131">
        <f>IF($AL$16="","",IF(INDEX('Final Calculation Sheet'!$W$4:$W$40,$AL$16)="","",INDEX('Final Calculation Sheet'!$W$4:$W$40,$AL$16)))</f>
        <v/>
      </c>
      <c r="Y16" s="131">
        <f>IF($AL$16="","",IF(INDEX('Final Calculation Sheet'!$X$4:$X$40,$AL$16)="","",INDEX('Final Calculation Sheet'!$X$4:$X$40,$AL$16)))</f>
        <v/>
      </c>
      <c r="Z16" s="131">
        <f>IF($AL$16="","",IF(INDEX('Final Calculation Sheet'!$Y$4:$Y$40,$AL$16)="","",INDEX('Final Calculation Sheet'!$Y$4:$Y$40,$AL$16)))</f>
        <v/>
      </c>
      <c r="AA16" s="131">
        <f>IF($AL$16="","",IF(INDEX('Final Calculation Sheet'!$Z$4:$Z$40,$AL$16)="","",INDEX('Final Calculation Sheet'!$Z$4:$Z$40,$AL$16)))</f>
        <v/>
      </c>
      <c r="AB16" s="131">
        <f>IF($AL$16="","",IF(INDEX('Final Calculation Sheet'!$AA$4:$AA$40,$AL$16)="","",INDEX('Final Calculation Sheet'!$AA$4:$AA$40,$AL$16)))</f>
        <v/>
      </c>
      <c r="AC16" s="131">
        <f>IF($AL$16="","",IF(INDEX('Final Calculation Sheet'!$AB$4:$AB$40,$AL$16)="","",INDEX('Final Calculation Sheet'!$AB$4:$AB$40,$AL$16)))</f>
        <v/>
      </c>
      <c r="AD16" s="131">
        <f>IF($AL$16="","",IF(INDEX('Final Calculation Sheet'!$AC$4:$AC$40,$AL$16)="","",INDEX('Final Calculation Sheet'!$AC$4:$AC$40,$AL$16)))</f>
        <v/>
      </c>
      <c r="AE16" s="131">
        <f>IF($AL$16="","",IF(INDEX('Final Calculation Sheet'!$AD$4:$AD$40,$AL$16)="","",INDEX('Final Calculation Sheet'!$AD$4:$AD$40,$AL$16)))</f>
        <v/>
      </c>
      <c r="AF16" s="136">
        <f>IF($AL$16="","",IF(INDEX('Final Calculation Sheet'!$AD$4:$AD$40,$AL$16)&lt;=5,"SETTLED","OUTSTANDING"))</f>
        <v/>
      </c>
      <c r="AG16" s="131">
        <f>IF($AL$16="","",IF(INDEX('Final Calculation Sheet'!$AF$4:$AF$40,$AL$16)="","",INDEX('Final Calculation Sheet'!$AF$4:$AF$40,$AL$16)))</f>
        <v/>
      </c>
      <c r="AH16" s="135">
        <f>IF($AL$16="","",IF(INDEX('Final Calculation Sheet'!$AG$4:$AG$40,$AL$16)="","",INDEX('Final Calculation Sheet'!$AG$4:$AG$40,$AL$16)))</f>
        <v/>
      </c>
      <c r="AI16" s="131">
        <f>IF($AL$16="","",IF(INDEX('Final Calculation Sheet'!$AH$4:$AH$40,$AL$16)="","",INDEX('Final Calculation Sheet'!$AH$4:$AH$40,$AL$16)))</f>
        <v/>
      </c>
      <c r="AJ16">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16">
        <f>IF(AJ16=1,COUNTIF(AJ$6:AJ16,1),"")</f>
        <v/>
      </c>
      <c r="AL16">
        <f>IF(COUNTIF($B$4:$AI$4,"&lt;&gt;")=0,"",IFERROR(MATCH(10,$AK$6:$AK$42,0),""))</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c r="DG16">
        <f>IF($B$4="",1,IF($B$4="(blank)",--('Final Calculation Sheet'!$F$14=""),IF($B$4="(nonblank)",--('Final Calculation Sheet'!$F$14&lt;&gt;""),--ISNUMBER(SEARCH($B$4,'Final Calculation Sheet'!$F$14)))))</f>
        <v/>
      </c>
      <c r="DH16">
        <f>IF($C$4="",1,IF($C$4="(blank)",--('Final Calculation Sheet'!$G$14=""),IF($C$4="(nonblank)",--('Final Calculation Sheet'!$G$14&lt;&gt;""),--ISNUMBER(SEARCH($C$4,'Final Calculation Sheet'!$G$14)))))</f>
        <v/>
      </c>
      <c r="DI16">
        <f>IF($D$4="",1,IF($D$4="(blank)",--('Final Calculation Sheet'!$B$14=""),IF($D$4="(nonblank)",--('Final Calculation Sheet'!$B$14&lt;&gt;""),--ISNUMBER(SEARCH($D$4,'Final Calculation Sheet'!$B$14)))))</f>
        <v/>
      </c>
      <c r="DJ16">
        <f>IF($E$4="",1,IF($E$4="(blank)",--('Final Calculation Sheet'!$D$14=""),IF($E$4="(nonblank)",--('Final Calculation Sheet'!$D$14&lt;&gt;""),--ISNUMBER(SEARCH($E$4,'Final Calculation Sheet'!$D$14)))))</f>
        <v/>
      </c>
      <c r="DK16">
        <f>IF($F$4="",1,IF($F$4="(blank)",--('Final Calculation Sheet'!$A$14=""),IF($F$4="(nonblank)",--('Final Calculation Sheet'!$A$14&lt;&gt;""),--ISNUMBER(SEARCH($F$4,'Final Calculation Sheet'!$A$14)))))</f>
        <v/>
      </c>
      <c r="DL16">
        <f>IF($G$4="",1,IF($G$4="(blank)",--('Final Calculation Sheet'!$E$14=""),IF($G$4="(nonblank)",--('Final Calculation Sheet'!$E$14&lt;&gt;""),--ISNUMBER(SEARCH($G$4,'Final Calculation Sheet'!$E$14)))))</f>
        <v/>
      </c>
      <c r="DM16">
        <f>IF($H$4="",1,IF($H$4="(blank)",--('Final Calculation Sheet'!$C$14=""),IF($H$4="(nonblank)",--('Final Calculation Sheet'!$C$14&lt;&gt;""),--ISNUMBER(SEARCH($H$4,'Final Calculation Sheet'!$C$14)))))</f>
        <v/>
      </c>
      <c r="DN16">
        <f>IF($I$4="",1,IF($I$4="(blank)",--('Final Calculation Sheet'!$H$14=""),IF($I$4="(nonblank)",--('Final Calculation Sheet'!$H$14&lt;&gt;""),--ISNUMBER(SEARCH($I$4,'Final Calculation Sheet'!$H$14)))))</f>
        <v/>
      </c>
      <c r="DO16">
        <f>IF($J$4="",1,IF($J$4="(blank)",--('Final Calculation Sheet'!$I$14=""),IF($J$4="(nonblank)",--('Final Calculation Sheet'!$I$14&lt;&gt;""),--ISNUMBER(SEARCH($J$4,'Final Calculation Sheet'!$I$14)))))</f>
        <v/>
      </c>
      <c r="DP16">
        <f>IF($K$4="",1,IF($K$4="(blank)",--('Final Calculation Sheet'!$J$14=""),IF($K$4="(nonblank)",--('Final Calculation Sheet'!$J$14&lt;&gt;""),--ISNUMBER(SEARCH($K$4,'Final Calculation Sheet'!$J$14)))))</f>
        <v/>
      </c>
      <c r="DQ16">
        <f>IF($L$4="",1,IF($L$4="(blank)",--('Final Calculation Sheet'!$K$14=""),IF($L$4="(nonblank)",--('Final Calculation Sheet'!$K$14&lt;&gt;""),--ISNUMBER(SEARCH($L$4,'Final Calculation Sheet'!$K$14)))))</f>
        <v/>
      </c>
      <c r="DR16">
        <f>IF($M$4="",1,IF($M$4="(blank)",--('Final Calculation Sheet'!$L$14=""),IF($M$4="(nonblank)",--('Final Calculation Sheet'!$L$14&lt;&gt;""),--ISNUMBER(SEARCH($M$4,'Final Calculation Sheet'!$L$14)))))</f>
        <v/>
      </c>
      <c r="DS16">
        <f>IF($N$4="",1,IF($N$4="(blank)",--('Final Calculation Sheet'!$M$14=""),IF($N$4="(nonblank)",--('Final Calculation Sheet'!$M$14&lt;&gt;""),--ISNUMBER(SEARCH($N$4,'Final Calculation Sheet'!$M$14)))))</f>
        <v/>
      </c>
      <c r="DT16">
        <f>IF($O$4="",1,IF($O$4="(blank)",--('Final Calculation Sheet'!$N$14=""),IF($O$4="(nonblank)",--('Final Calculation Sheet'!$N$14&lt;&gt;""),--ISNUMBER(SEARCH($O$4,'Final Calculation Sheet'!$N$14)))))</f>
        <v/>
      </c>
      <c r="DU16">
        <f>IF($P$4="",1,IF($P$4="(blank)",--('Final Calculation Sheet'!$O$14=""),IF($P$4="(nonblank)",--('Final Calculation Sheet'!$O$14&lt;&gt;""),--ISNUMBER(SEARCH($P$4,'Final Calculation Sheet'!$O$14)))))</f>
        <v/>
      </c>
      <c r="DV16">
        <f>IF($Q$4="",1,IF($Q$4="(blank)",--('Final Calculation Sheet'!$P$14=""),IF($Q$4="(nonblank)",--('Final Calculation Sheet'!$P$14&lt;&gt;""),--ISNUMBER(SEARCH($Q$4,'Final Calculation Sheet'!$P$14)))))</f>
        <v/>
      </c>
      <c r="DW16">
        <f>IF($R$4="",1,IF($R$4="(blank)",--('Final Calculation Sheet'!$Q$14=""),IF($R$4="(nonblank)",--('Final Calculation Sheet'!$Q$14&lt;&gt;""),--ISNUMBER(SEARCH($R$4,'Final Calculation Sheet'!$Q$14)))))</f>
        <v/>
      </c>
      <c r="DX16">
        <f>IF($S$4="",1,IF($S$4="(blank)",--('Final Calculation Sheet'!$R$14=""),IF($S$4="(nonblank)",--('Final Calculation Sheet'!$R$14&lt;&gt;""),--ISNUMBER(SEARCH($S$4,'Final Calculation Sheet'!$R$14)))))</f>
        <v/>
      </c>
      <c r="DY16">
        <f>IF($T$4="",1,IF($T$4="(blank)",--('Final Calculation Sheet'!$S$14=""),IF($T$4="(nonblank)",--('Final Calculation Sheet'!$S$14&lt;&gt;""),--ISNUMBER(SEARCH($T$4,'Final Calculation Sheet'!$S$14)))))</f>
        <v/>
      </c>
      <c r="DZ16">
        <f>IF($U$4="",1,IF($U$4="(blank)",--('Final Calculation Sheet'!$T$14=""),IF($U$4="(nonblank)",--('Final Calculation Sheet'!$T$14&lt;&gt;""),--ISNUMBER(SEARCH($U$4,'Final Calculation Sheet'!$T$14)))))</f>
        <v/>
      </c>
      <c r="EA16">
        <f>IF($V$4="",1,IF($V$4="(blank)",--('Final Calculation Sheet'!$U$14=""),IF($V$4="(nonblank)",--('Final Calculation Sheet'!$U$14&lt;&gt;""),--ISNUMBER(SEARCH($V$4,'Final Calculation Sheet'!$U$14)))))</f>
        <v/>
      </c>
      <c r="EB16">
        <f>IF($W$4="",1,IF($W$4="(blank)",--('Final Calculation Sheet'!$V$14=""),IF($W$4="(nonblank)",--('Final Calculation Sheet'!$V$14&lt;&gt;""),--ISNUMBER(SEARCH($W$4,'Final Calculation Sheet'!$V$14)))))</f>
        <v/>
      </c>
      <c r="EC16">
        <f>IF($X$4="",1,IF($X$4="(blank)",--('Final Calculation Sheet'!$W$14=""),IF($X$4="(nonblank)",--('Final Calculation Sheet'!$W$14&lt;&gt;""),--ISNUMBER(SEARCH($X$4,'Final Calculation Sheet'!$W$14)))))</f>
        <v/>
      </c>
      <c r="ED16">
        <f>IF($Y$4="",1,IF($Y$4="(blank)",--('Final Calculation Sheet'!$X$14=""),IF($Y$4="(nonblank)",--('Final Calculation Sheet'!$X$14&lt;&gt;""),--ISNUMBER(SEARCH($Y$4,'Final Calculation Sheet'!$X$14)))))</f>
        <v/>
      </c>
      <c r="EE16">
        <f>IF($Z$4="",1,IF($Z$4="(blank)",--('Final Calculation Sheet'!$Y$14=""),IF($Z$4="(nonblank)",--('Final Calculation Sheet'!$Y$14&lt;&gt;""),--ISNUMBER(SEARCH($Z$4,'Final Calculation Sheet'!$Y$14)))))</f>
        <v/>
      </c>
      <c r="EF16">
        <f>IF($AA$4="",1,IF($AA$4="(blank)",--('Final Calculation Sheet'!$Z$14=""),IF($AA$4="(nonblank)",--('Final Calculation Sheet'!$Z$14&lt;&gt;""),--ISNUMBER(SEARCH($AA$4,'Final Calculation Sheet'!$Z$14)))))</f>
        <v/>
      </c>
      <c r="EG16">
        <f>IF($AB$4="",1,IF($AB$4="(blank)",--('Final Calculation Sheet'!$AA$14=""),IF($AB$4="(nonblank)",--('Final Calculation Sheet'!$AA$14&lt;&gt;""),--ISNUMBER(SEARCH($AB$4,'Final Calculation Sheet'!$AA$14)))))</f>
        <v/>
      </c>
      <c r="EH16">
        <f>IF($AC$4="",1,IF($AC$4="(blank)",--('Final Calculation Sheet'!$AB$14=""),IF($AC$4="(nonblank)",--('Final Calculation Sheet'!$AB$14&lt;&gt;""),--ISNUMBER(SEARCH($AC$4,'Final Calculation Sheet'!$AB$14)))))</f>
        <v/>
      </c>
      <c r="EI16">
        <f>IF($AD$4="",1,IF($AD$4="(blank)",--('Final Calculation Sheet'!$AC$14=""),IF($AD$4="(nonblank)",--('Final Calculation Sheet'!$AC$14&lt;&gt;""),--ISNUMBER(SEARCH($AD$4,'Final Calculation Sheet'!$AC$14)))))</f>
        <v/>
      </c>
      <c r="EJ16">
        <f>IF($AE$4="",1,IF($AE$4="(blank)",--('Final Calculation Sheet'!$AD$14=""),IF($AE$4="(nonblank)",--('Final Calculation Sheet'!$AD$14&lt;&gt;""),--ISNUMBER(SEARCH($AE$4,'Final Calculation Sheet'!$AD$14)))))</f>
        <v/>
      </c>
      <c r="EK16">
        <f>IF($AF$4="",1,IF($AF$4="(blank)",--(IF('Final Calculation Sheet'!$AD$14&lt;=5,"SETTLED","OUTSTANDING")=""),IF($AF$4="(nonblank)",--(IF('Final Calculation Sheet'!$AD$14&lt;=5,"SETTLED","OUTSTANDING")&lt;&gt;""),--ISNUMBER(SEARCH($AF$4,IF('Final Calculation Sheet'!$AD$14&lt;=5,"SETTLED","OUTSTANDING"))))))</f>
        <v/>
      </c>
      <c r="EL16">
        <f>IF($AG$4="",1,IF($AG$4="(blank)",--('Final Calculation Sheet'!$AF$14=""),IF($AG$4="(nonblank)",--('Final Calculation Sheet'!$AF$14&lt;&gt;""),--ISNUMBER(SEARCH($AG$4,'Final Calculation Sheet'!$AF$14)))))</f>
        <v/>
      </c>
      <c r="EM16">
        <f>IF($AH$4="",1,IF($AH$4="(blank)",--('Final Calculation Sheet'!$AG$14=""),IF($AH$4="(nonblank)",--('Final Calculation Sheet'!$AG$14&lt;&gt;""),--ISNUMBER(SEARCH($AH$4,'Final Calculation Sheet'!$AG$14)))))</f>
        <v/>
      </c>
      <c r="EN16">
        <f>IF($AI$4="",1,IF($AI$4="(blank)",--('Final Calculation Sheet'!$AH$14=""),IF($AI$4="(nonblank)",--('Final Calculation Sheet'!$AH$14&lt;&gt;""),--ISNUMBER(SEARCH($AI$4,'Final Calculation Sheet'!$AH$14)))))</f>
        <v/>
      </c>
    </row>
    <row r="17" outlineLevel="1" hidden="1">
      <c r="A17" s="118">
        <f>IF($AL$17="","",11)</f>
        <v/>
      </c>
      <c r="B17" s="119">
        <f>IF($AL$17="","",IF(INDEX('Final Calculation Sheet'!$F$4:$F$40,$AL$17)="","",INDEX('Final Calculation Sheet'!$F$4:$F$40,$AL$17)))</f>
        <v/>
      </c>
      <c r="C17" s="119">
        <f>IF($AL$17="","",IF(INDEX('Final Calculation Sheet'!$G$4:$G$40,$AL$17)="","",INDEX('Final Calculation Sheet'!$G$4:$G$40,$AL$17)))</f>
        <v/>
      </c>
      <c r="D17" s="121">
        <f>IF($AL$17="","",IF(INDEX('Final Calculation Sheet'!$B$4:$B$40,$AL$17)="","",INDEX('Final Calculation Sheet'!$B$4:$B$40,$AL$17)))</f>
        <v/>
      </c>
      <c r="E17" s="121">
        <f>IF($AL$17="","",IF(INDEX('Final Calculation Sheet'!$D$4:$D$40,$AL$17)="","",INDEX('Final Calculation Sheet'!$D$4:$D$40,$AL$17)))</f>
        <v/>
      </c>
      <c r="F17" s="121">
        <f>IF($AL$17="","",IF(INDEX('Final Calculation Sheet'!$A$4:$A$40,$AL$17)="","",INDEX('Final Calculation Sheet'!$A$4:$A$40,$AL$17)))</f>
        <v/>
      </c>
      <c r="G17" s="121">
        <f>IF($AL$17="","",IF(INDEX('Final Calculation Sheet'!$E$4:$E$40,$AL$17)="","",INDEX('Final Calculation Sheet'!$E$4:$E$40,$AL$17)))</f>
        <v/>
      </c>
      <c r="H17" s="122">
        <f>IF($AL$17="","",IF(INDEX('Final Calculation Sheet'!$C$4:$C$40,$AL$17)="","",INDEX('Final Calculation Sheet'!$C$4:$C$40,$AL$17)))</f>
        <v/>
      </c>
      <c r="I17" s="122">
        <f>IF($AL$17="","",IF(INDEX('Final Calculation Sheet'!$H$4:$H$40,$AL$17)="","",INDEX('Final Calculation Sheet'!$H$4:$H$40,$AL$17)))</f>
        <v/>
      </c>
      <c r="J17" s="122">
        <f>IF($AL$17="","",IF(INDEX('Final Calculation Sheet'!$I$4:$I$40,$AL$17)="","",INDEX('Final Calculation Sheet'!$I$4:$I$40,$AL$17)))</f>
        <v/>
      </c>
      <c r="K17" s="122">
        <f>IF($AL$17="","",IF(INDEX('Final Calculation Sheet'!$J$4:$J$40,$AL$17)="","",INDEX('Final Calculation Sheet'!$J$4:$J$40,$AL$17)))</f>
        <v/>
      </c>
      <c r="L17" s="122">
        <f>IF($AL$17="","",IF(INDEX('Final Calculation Sheet'!$K$4:$K$40,$AL$17)="","",INDEX('Final Calculation Sheet'!$K$4:$K$40,$AL$17)))</f>
        <v/>
      </c>
      <c r="M17" s="122">
        <f>IF($AL$17="","",IF(INDEX('Final Calculation Sheet'!$L$4:$L$40,$AL$17)="","",INDEX('Final Calculation Sheet'!$L$4:$L$40,$AL$17)))</f>
        <v/>
      </c>
      <c r="N17" s="122">
        <f>IF($AL$17="","",IF(INDEX('Final Calculation Sheet'!$M$4:$M$40,$AL$17)="","",INDEX('Final Calculation Sheet'!$M$4:$M$40,$AL$17)))</f>
        <v/>
      </c>
      <c r="O17" s="123">
        <f>IF($AL$17="","",IF(INDEX('Final Calculation Sheet'!$N$4:$N$40,$AL$17)="","",INDEX('Final Calculation Sheet'!$N$4:$N$40,$AL$17)))</f>
        <v/>
      </c>
      <c r="P17" s="122">
        <f>IF($AL$17="","",IF(INDEX('Final Calculation Sheet'!$O$4:$O$40,$AL$17)="","",INDEX('Final Calculation Sheet'!$O$4:$O$40,$AL$17)))</f>
        <v/>
      </c>
      <c r="Q17" s="122">
        <f>IF($AL$17="","",IF(INDEX('Final Calculation Sheet'!$P$4:$P$40,$AL$17)="","",INDEX('Final Calculation Sheet'!$P$4:$P$40,$AL$17)))</f>
        <v/>
      </c>
      <c r="R17" s="124">
        <f>IF($AL$17="","",IF(INDEX('Final Calculation Sheet'!$Q$4:$Q$40,$AL$17)="","",INDEX('Final Calculation Sheet'!$Q$4:$Q$40,$AL$17)))</f>
        <v/>
      </c>
      <c r="S17" s="122">
        <f>IF($AL$17="","",IF(INDEX('Final Calculation Sheet'!$R$4:$R$40,$AL$17)="","",INDEX('Final Calculation Sheet'!$R$4:$R$40,$AL$17)))</f>
        <v/>
      </c>
      <c r="T17" s="122">
        <f>IF($AL$17="","",IF(INDEX('Final Calculation Sheet'!$S$4:$S$40,$AL$17)="","",INDEX('Final Calculation Sheet'!$S$4:$S$40,$AL$17)))</f>
        <v/>
      </c>
      <c r="U17" s="122">
        <f>IF($AL$17="","",IF(INDEX('Final Calculation Sheet'!$T$4:$T$40,$AL$17)="","",INDEX('Final Calculation Sheet'!$T$4:$T$40,$AL$17)))</f>
        <v/>
      </c>
      <c r="V17" s="125">
        <f>IF($AL$17="","",IF(INDEX('Final Calculation Sheet'!$U$4:$U$40,$AL$17)="","",INDEX('Final Calculation Sheet'!$U$4:$U$40,$AL$17)))</f>
        <v/>
      </c>
      <c r="W17" s="122">
        <f>IF($AL$17="","",IF(INDEX('Final Calculation Sheet'!$V$4:$V$40,$AL$17)="","",INDEX('Final Calculation Sheet'!$V$4:$V$40,$AL$17)))</f>
        <v/>
      </c>
      <c r="X17" s="122">
        <f>IF($AL$17="","",IF(INDEX('Final Calculation Sheet'!$W$4:$W$40,$AL$17)="","",INDEX('Final Calculation Sheet'!$W$4:$W$40,$AL$17)))</f>
        <v/>
      </c>
      <c r="Y17" s="122">
        <f>IF($AL$17="","",IF(INDEX('Final Calculation Sheet'!$X$4:$X$40,$AL$17)="","",INDEX('Final Calculation Sheet'!$X$4:$X$40,$AL$17)))</f>
        <v/>
      </c>
      <c r="Z17" s="122">
        <f>IF($AL$17="","",IF(INDEX('Final Calculation Sheet'!$Y$4:$Y$40,$AL$17)="","",INDEX('Final Calculation Sheet'!$Y$4:$Y$40,$AL$17)))</f>
        <v/>
      </c>
      <c r="AA17" s="122">
        <f>IF($AL$17="","",IF(INDEX('Final Calculation Sheet'!$Z$4:$Z$40,$AL$17)="","",INDEX('Final Calculation Sheet'!$Z$4:$Z$40,$AL$17)))</f>
        <v/>
      </c>
      <c r="AB17" s="122">
        <f>IF($AL$17="","",IF(INDEX('Final Calculation Sheet'!$AA$4:$AA$40,$AL$17)="","",INDEX('Final Calculation Sheet'!$AA$4:$AA$40,$AL$17)))</f>
        <v/>
      </c>
      <c r="AC17" s="122">
        <f>IF($AL$17="","",IF(INDEX('Final Calculation Sheet'!$AB$4:$AB$40,$AL$17)="","",INDEX('Final Calculation Sheet'!$AB$4:$AB$40,$AL$17)))</f>
        <v/>
      </c>
      <c r="AD17" s="122">
        <f>IF($AL$17="","",IF(INDEX('Final Calculation Sheet'!$AC$4:$AC$40,$AL$17)="","",INDEX('Final Calculation Sheet'!$AC$4:$AC$40,$AL$17)))</f>
        <v/>
      </c>
      <c r="AE17" s="122">
        <f>IF($AL$17="","",IF(INDEX('Final Calculation Sheet'!$AD$4:$AD$40,$AL$17)="","",INDEX('Final Calculation Sheet'!$AD$4:$AD$40,$AL$17)))</f>
        <v/>
      </c>
      <c r="AF17" s="127">
        <f>IF($AL$17="","",IF(INDEX('Final Calculation Sheet'!$AD$4:$AD$40,$AL$17)&lt;=5,"SETTLED","OUTSTANDING"))</f>
        <v/>
      </c>
      <c r="AG17" s="122">
        <f>IF($AL$17="","",IF(INDEX('Final Calculation Sheet'!$AF$4:$AF$40,$AL$17)="","",INDEX('Final Calculation Sheet'!$AF$4:$AF$40,$AL$17)))</f>
        <v/>
      </c>
      <c r="AH17" s="126">
        <f>IF($AL$17="","",IF(INDEX('Final Calculation Sheet'!$AG$4:$AG$40,$AL$17)="","",INDEX('Final Calculation Sheet'!$AG$4:$AG$40,$AL$17)))</f>
        <v/>
      </c>
      <c r="AI17" s="122">
        <f>IF($AL$17="","",IF(INDEX('Final Calculation Sheet'!$AH$4:$AH$40,$AL$17)="","",INDEX('Final Calculation Sheet'!$AH$4:$AH$40,$AL$17)))</f>
        <v/>
      </c>
      <c r="AJ17">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7">
        <f>IF(AJ17=1,COUNTIF(AJ$6:AJ17,1),"")</f>
        <v/>
      </c>
      <c r="AL17">
        <f>IF(COUNTIF($B$4:$AI$4,"&lt;&gt;")=0,"",IFERROR(MATCH(11,$AK$6:$AK$42,0),""))</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c r="DG17">
        <f>IF($B$4="",1,IF($B$4="(blank)",--('Final Calculation Sheet'!$F$15=""),IF($B$4="(nonblank)",--('Final Calculation Sheet'!$F$15&lt;&gt;""),--ISNUMBER(SEARCH($B$4,'Final Calculation Sheet'!$F$15)))))</f>
        <v/>
      </c>
      <c r="DH17">
        <f>IF($C$4="",1,IF($C$4="(blank)",--('Final Calculation Sheet'!$G$15=""),IF($C$4="(nonblank)",--('Final Calculation Sheet'!$G$15&lt;&gt;""),--ISNUMBER(SEARCH($C$4,'Final Calculation Sheet'!$G$15)))))</f>
        <v/>
      </c>
      <c r="DI17">
        <f>IF($D$4="",1,IF($D$4="(blank)",--('Final Calculation Sheet'!$B$15=""),IF($D$4="(nonblank)",--('Final Calculation Sheet'!$B$15&lt;&gt;""),--ISNUMBER(SEARCH($D$4,'Final Calculation Sheet'!$B$15)))))</f>
        <v/>
      </c>
      <c r="DJ17">
        <f>IF($E$4="",1,IF($E$4="(blank)",--('Final Calculation Sheet'!$D$15=""),IF($E$4="(nonblank)",--('Final Calculation Sheet'!$D$15&lt;&gt;""),--ISNUMBER(SEARCH($E$4,'Final Calculation Sheet'!$D$15)))))</f>
        <v/>
      </c>
      <c r="DK17">
        <f>IF($F$4="",1,IF($F$4="(blank)",--('Final Calculation Sheet'!$A$15=""),IF($F$4="(nonblank)",--('Final Calculation Sheet'!$A$15&lt;&gt;""),--ISNUMBER(SEARCH($F$4,'Final Calculation Sheet'!$A$15)))))</f>
        <v/>
      </c>
      <c r="DL17">
        <f>IF($G$4="",1,IF($G$4="(blank)",--('Final Calculation Sheet'!$E$15=""),IF($G$4="(nonblank)",--('Final Calculation Sheet'!$E$15&lt;&gt;""),--ISNUMBER(SEARCH($G$4,'Final Calculation Sheet'!$E$15)))))</f>
        <v/>
      </c>
      <c r="DM17">
        <f>IF($H$4="",1,IF($H$4="(blank)",--('Final Calculation Sheet'!$C$15=""),IF($H$4="(nonblank)",--('Final Calculation Sheet'!$C$15&lt;&gt;""),--ISNUMBER(SEARCH($H$4,'Final Calculation Sheet'!$C$15)))))</f>
        <v/>
      </c>
      <c r="DN17">
        <f>IF($I$4="",1,IF($I$4="(blank)",--('Final Calculation Sheet'!$H$15=""),IF($I$4="(nonblank)",--('Final Calculation Sheet'!$H$15&lt;&gt;""),--ISNUMBER(SEARCH($I$4,'Final Calculation Sheet'!$H$15)))))</f>
        <v/>
      </c>
      <c r="DO17">
        <f>IF($J$4="",1,IF($J$4="(blank)",--('Final Calculation Sheet'!$I$15=""),IF($J$4="(nonblank)",--('Final Calculation Sheet'!$I$15&lt;&gt;""),--ISNUMBER(SEARCH($J$4,'Final Calculation Sheet'!$I$15)))))</f>
        <v/>
      </c>
      <c r="DP17">
        <f>IF($K$4="",1,IF($K$4="(blank)",--('Final Calculation Sheet'!$J$15=""),IF($K$4="(nonblank)",--('Final Calculation Sheet'!$J$15&lt;&gt;""),--ISNUMBER(SEARCH($K$4,'Final Calculation Sheet'!$J$15)))))</f>
        <v/>
      </c>
      <c r="DQ17">
        <f>IF($L$4="",1,IF($L$4="(blank)",--('Final Calculation Sheet'!$K$15=""),IF($L$4="(nonblank)",--('Final Calculation Sheet'!$K$15&lt;&gt;""),--ISNUMBER(SEARCH($L$4,'Final Calculation Sheet'!$K$15)))))</f>
        <v/>
      </c>
      <c r="DR17">
        <f>IF($M$4="",1,IF($M$4="(blank)",--('Final Calculation Sheet'!$L$15=""),IF($M$4="(nonblank)",--('Final Calculation Sheet'!$L$15&lt;&gt;""),--ISNUMBER(SEARCH($M$4,'Final Calculation Sheet'!$L$15)))))</f>
        <v/>
      </c>
      <c r="DS17">
        <f>IF($N$4="",1,IF($N$4="(blank)",--('Final Calculation Sheet'!$M$15=""),IF($N$4="(nonblank)",--('Final Calculation Sheet'!$M$15&lt;&gt;""),--ISNUMBER(SEARCH($N$4,'Final Calculation Sheet'!$M$15)))))</f>
        <v/>
      </c>
      <c r="DT17">
        <f>IF($O$4="",1,IF($O$4="(blank)",--('Final Calculation Sheet'!$N$15=""),IF($O$4="(nonblank)",--('Final Calculation Sheet'!$N$15&lt;&gt;""),--ISNUMBER(SEARCH($O$4,'Final Calculation Sheet'!$N$15)))))</f>
        <v/>
      </c>
      <c r="DU17">
        <f>IF($P$4="",1,IF($P$4="(blank)",--('Final Calculation Sheet'!$O$15=""),IF($P$4="(nonblank)",--('Final Calculation Sheet'!$O$15&lt;&gt;""),--ISNUMBER(SEARCH($P$4,'Final Calculation Sheet'!$O$15)))))</f>
        <v/>
      </c>
      <c r="DV17">
        <f>IF($Q$4="",1,IF($Q$4="(blank)",--('Final Calculation Sheet'!$P$15=""),IF($Q$4="(nonblank)",--('Final Calculation Sheet'!$P$15&lt;&gt;""),--ISNUMBER(SEARCH($Q$4,'Final Calculation Sheet'!$P$15)))))</f>
        <v/>
      </c>
      <c r="DW17">
        <f>IF($R$4="",1,IF($R$4="(blank)",--('Final Calculation Sheet'!$Q$15=""),IF($R$4="(nonblank)",--('Final Calculation Sheet'!$Q$15&lt;&gt;""),--ISNUMBER(SEARCH($R$4,'Final Calculation Sheet'!$Q$15)))))</f>
        <v/>
      </c>
      <c r="DX17">
        <f>IF($S$4="",1,IF($S$4="(blank)",--('Final Calculation Sheet'!$R$15=""),IF($S$4="(nonblank)",--('Final Calculation Sheet'!$R$15&lt;&gt;""),--ISNUMBER(SEARCH($S$4,'Final Calculation Sheet'!$R$15)))))</f>
        <v/>
      </c>
      <c r="DY17">
        <f>IF($T$4="",1,IF($T$4="(blank)",--('Final Calculation Sheet'!$S$15=""),IF($T$4="(nonblank)",--('Final Calculation Sheet'!$S$15&lt;&gt;""),--ISNUMBER(SEARCH($T$4,'Final Calculation Sheet'!$S$15)))))</f>
        <v/>
      </c>
      <c r="DZ17">
        <f>IF($U$4="",1,IF($U$4="(blank)",--('Final Calculation Sheet'!$T$15=""),IF($U$4="(nonblank)",--('Final Calculation Sheet'!$T$15&lt;&gt;""),--ISNUMBER(SEARCH($U$4,'Final Calculation Sheet'!$T$15)))))</f>
        <v/>
      </c>
      <c r="EA17">
        <f>IF($V$4="",1,IF($V$4="(blank)",--('Final Calculation Sheet'!$U$15=""),IF($V$4="(nonblank)",--('Final Calculation Sheet'!$U$15&lt;&gt;""),--ISNUMBER(SEARCH($V$4,'Final Calculation Sheet'!$U$15)))))</f>
        <v/>
      </c>
      <c r="EB17">
        <f>IF($W$4="",1,IF($W$4="(blank)",--('Final Calculation Sheet'!$V$15=""),IF($W$4="(nonblank)",--('Final Calculation Sheet'!$V$15&lt;&gt;""),--ISNUMBER(SEARCH($W$4,'Final Calculation Sheet'!$V$15)))))</f>
        <v/>
      </c>
      <c r="EC17">
        <f>IF($X$4="",1,IF($X$4="(blank)",--('Final Calculation Sheet'!$W$15=""),IF($X$4="(nonblank)",--('Final Calculation Sheet'!$W$15&lt;&gt;""),--ISNUMBER(SEARCH($X$4,'Final Calculation Sheet'!$W$15)))))</f>
        <v/>
      </c>
      <c r="ED17">
        <f>IF($Y$4="",1,IF($Y$4="(blank)",--('Final Calculation Sheet'!$X$15=""),IF($Y$4="(nonblank)",--('Final Calculation Sheet'!$X$15&lt;&gt;""),--ISNUMBER(SEARCH($Y$4,'Final Calculation Sheet'!$X$15)))))</f>
        <v/>
      </c>
      <c r="EE17">
        <f>IF($Z$4="",1,IF($Z$4="(blank)",--('Final Calculation Sheet'!$Y$15=""),IF($Z$4="(nonblank)",--('Final Calculation Sheet'!$Y$15&lt;&gt;""),--ISNUMBER(SEARCH($Z$4,'Final Calculation Sheet'!$Y$15)))))</f>
        <v/>
      </c>
      <c r="EF17">
        <f>IF($AA$4="",1,IF($AA$4="(blank)",--('Final Calculation Sheet'!$Z$15=""),IF($AA$4="(nonblank)",--('Final Calculation Sheet'!$Z$15&lt;&gt;""),--ISNUMBER(SEARCH($AA$4,'Final Calculation Sheet'!$Z$15)))))</f>
        <v/>
      </c>
      <c r="EG17">
        <f>IF($AB$4="",1,IF($AB$4="(blank)",--('Final Calculation Sheet'!$AA$15=""),IF($AB$4="(nonblank)",--('Final Calculation Sheet'!$AA$15&lt;&gt;""),--ISNUMBER(SEARCH($AB$4,'Final Calculation Sheet'!$AA$15)))))</f>
        <v/>
      </c>
      <c r="EH17">
        <f>IF($AC$4="",1,IF($AC$4="(blank)",--('Final Calculation Sheet'!$AB$15=""),IF($AC$4="(nonblank)",--('Final Calculation Sheet'!$AB$15&lt;&gt;""),--ISNUMBER(SEARCH($AC$4,'Final Calculation Sheet'!$AB$15)))))</f>
        <v/>
      </c>
      <c r="EI17">
        <f>IF($AD$4="",1,IF($AD$4="(blank)",--('Final Calculation Sheet'!$AC$15=""),IF($AD$4="(nonblank)",--('Final Calculation Sheet'!$AC$15&lt;&gt;""),--ISNUMBER(SEARCH($AD$4,'Final Calculation Sheet'!$AC$15)))))</f>
        <v/>
      </c>
      <c r="EJ17">
        <f>IF($AE$4="",1,IF($AE$4="(blank)",--('Final Calculation Sheet'!$AD$15=""),IF($AE$4="(nonblank)",--('Final Calculation Sheet'!$AD$15&lt;&gt;""),--ISNUMBER(SEARCH($AE$4,'Final Calculation Sheet'!$AD$15)))))</f>
        <v/>
      </c>
      <c r="EK17">
        <f>IF($AF$4="",1,IF($AF$4="(blank)",--(IF('Final Calculation Sheet'!$AD$15&lt;=5,"SETTLED","OUTSTANDING")=""),IF($AF$4="(nonblank)",--(IF('Final Calculation Sheet'!$AD$15&lt;=5,"SETTLED","OUTSTANDING")&lt;&gt;""),--ISNUMBER(SEARCH($AF$4,IF('Final Calculation Sheet'!$AD$15&lt;=5,"SETTLED","OUTSTANDING"))))))</f>
        <v/>
      </c>
      <c r="EL17">
        <f>IF($AG$4="",1,IF($AG$4="(blank)",--('Final Calculation Sheet'!$AF$15=""),IF($AG$4="(nonblank)",--('Final Calculation Sheet'!$AF$15&lt;&gt;""),--ISNUMBER(SEARCH($AG$4,'Final Calculation Sheet'!$AF$15)))))</f>
        <v/>
      </c>
      <c r="EM17">
        <f>IF($AH$4="",1,IF($AH$4="(blank)",--('Final Calculation Sheet'!$AG$15=""),IF($AH$4="(nonblank)",--('Final Calculation Sheet'!$AG$15&lt;&gt;""),--ISNUMBER(SEARCH($AH$4,'Final Calculation Sheet'!$AG$15)))))</f>
        <v/>
      </c>
      <c r="EN17">
        <f>IF($AI$4="",1,IF($AI$4="(blank)",--('Final Calculation Sheet'!$AH$15=""),IF($AI$4="(nonblank)",--('Final Calculation Sheet'!$AH$15&lt;&gt;""),--ISNUMBER(SEARCH($AI$4,'Final Calculation Sheet'!$AH$15)))))</f>
        <v/>
      </c>
    </row>
    <row r="18" outlineLevel="1" hidden="1">
      <c r="A18" s="128">
        <f>IF($AL$18="","",12)</f>
        <v/>
      </c>
      <c r="B18" s="129">
        <f>IF($AL$18="","",IF(INDEX('Final Calculation Sheet'!$F$4:$F$40,$AL$18)="","",INDEX('Final Calculation Sheet'!$F$4:$F$40,$AL$18)))</f>
        <v/>
      </c>
      <c r="C18" s="129">
        <f>IF($AL$18="","",IF(INDEX('Final Calculation Sheet'!$G$4:$G$40,$AL$18)="","",INDEX('Final Calculation Sheet'!$G$4:$G$40,$AL$18)))</f>
        <v/>
      </c>
      <c r="D18" s="130">
        <f>IF($AL$18="","",IF(INDEX('Final Calculation Sheet'!$B$4:$B$40,$AL$18)="","",INDEX('Final Calculation Sheet'!$B$4:$B$40,$AL$18)))</f>
        <v/>
      </c>
      <c r="E18" s="130">
        <f>IF($AL$18="","",IF(INDEX('Final Calculation Sheet'!$D$4:$D$40,$AL$18)="","",INDEX('Final Calculation Sheet'!$D$4:$D$40,$AL$18)))</f>
        <v/>
      </c>
      <c r="F18" s="130">
        <f>IF($AL$18="","",IF(INDEX('Final Calculation Sheet'!$A$4:$A$40,$AL$18)="","",INDEX('Final Calculation Sheet'!$A$4:$A$40,$AL$18)))</f>
        <v/>
      </c>
      <c r="G18" s="130">
        <f>IF($AL$18="","",IF(INDEX('Final Calculation Sheet'!$E$4:$E$40,$AL$18)="","",INDEX('Final Calculation Sheet'!$E$4:$E$40,$AL$18)))</f>
        <v/>
      </c>
      <c r="H18" s="131">
        <f>IF($AL$18="","",IF(INDEX('Final Calculation Sheet'!$C$4:$C$40,$AL$18)="","",INDEX('Final Calculation Sheet'!$C$4:$C$40,$AL$18)))</f>
        <v/>
      </c>
      <c r="I18" s="131">
        <f>IF($AL$18="","",IF(INDEX('Final Calculation Sheet'!$H$4:$H$40,$AL$18)="","",INDEX('Final Calculation Sheet'!$H$4:$H$40,$AL$18)))</f>
        <v/>
      </c>
      <c r="J18" s="131">
        <f>IF($AL$18="","",IF(INDEX('Final Calculation Sheet'!$I$4:$I$40,$AL$18)="","",INDEX('Final Calculation Sheet'!$I$4:$I$40,$AL$18)))</f>
        <v/>
      </c>
      <c r="K18" s="131">
        <f>IF($AL$18="","",IF(INDEX('Final Calculation Sheet'!$J$4:$J$40,$AL$18)="","",INDEX('Final Calculation Sheet'!$J$4:$J$40,$AL$18)))</f>
        <v/>
      </c>
      <c r="L18" s="131">
        <f>IF($AL$18="","",IF(INDEX('Final Calculation Sheet'!$K$4:$K$40,$AL$18)="","",INDEX('Final Calculation Sheet'!$K$4:$K$40,$AL$18)))</f>
        <v/>
      </c>
      <c r="M18" s="131">
        <f>IF($AL$18="","",IF(INDEX('Final Calculation Sheet'!$L$4:$L$40,$AL$18)="","",INDEX('Final Calculation Sheet'!$L$4:$L$40,$AL$18)))</f>
        <v/>
      </c>
      <c r="N18" s="131">
        <f>IF($AL$18="","",IF(INDEX('Final Calculation Sheet'!$M$4:$M$40,$AL$18)="","",INDEX('Final Calculation Sheet'!$M$4:$M$40,$AL$18)))</f>
        <v/>
      </c>
      <c r="O18" s="132">
        <f>IF($AL$18="","",IF(INDEX('Final Calculation Sheet'!$N$4:$N$40,$AL$18)="","",INDEX('Final Calculation Sheet'!$N$4:$N$40,$AL$18)))</f>
        <v/>
      </c>
      <c r="P18" s="131">
        <f>IF($AL$18="","",IF(INDEX('Final Calculation Sheet'!$O$4:$O$40,$AL$18)="","",INDEX('Final Calculation Sheet'!$O$4:$O$40,$AL$18)))</f>
        <v/>
      </c>
      <c r="Q18" s="131">
        <f>IF($AL$18="","",IF(INDEX('Final Calculation Sheet'!$P$4:$P$40,$AL$18)="","",INDEX('Final Calculation Sheet'!$P$4:$P$40,$AL$18)))</f>
        <v/>
      </c>
      <c r="R18" s="133">
        <f>IF($AL$18="","",IF(INDEX('Final Calculation Sheet'!$Q$4:$Q$40,$AL$18)="","",INDEX('Final Calculation Sheet'!$Q$4:$Q$40,$AL$18)))</f>
        <v/>
      </c>
      <c r="S18" s="131">
        <f>IF($AL$18="","",IF(INDEX('Final Calculation Sheet'!$R$4:$R$40,$AL$18)="","",INDEX('Final Calculation Sheet'!$R$4:$R$40,$AL$18)))</f>
        <v/>
      </c>
      <c r="T18" s="131">
        <f>IF($AL$18="","",IF(INDEX('Final Calculation Sheet'!$S$4:$S$40,$AL$18)="","",INDEX('Final Calculation Sheet'!$S$4:$S$40,$AL$18)))</f>
        <v/>
      </c>
      <c r="U18" s="131">
        <f>IF($AL$18="","",IF(INDEX('Final Calculation Sheet'!$T$4:$T$40,$AL$18)="","",INDEX('Final Calculation Sheet'!$T$4:$T$40,$AL$18)))</f>
        <v/>
      </c>
      <c r="V18" s="134">
        <f>IF($AL$18="","",IF(INDEX('Final Calculation Sheet'!$U$4:$U$40,$AL$18)="","",INDEX('Final Calculation Sheet'!$U$4:$U$40,$AL$18)))</f>
        <v/>
      </c>
      <c r="W18" s="131">
        <f>IF($AL$18="","",IF(INDEX('Final Calculation Sheet'!$V$4:$V$40,$AL$18)="","",INDEX('Final Calculation Sheet'!$V$4:$V$40,$AL$18)))</f>
        <v/>
      </c>
      <c r="X18" s="131">
        <f>IF($AL$18="","",IF(INDEX('Final Calculation Sheet'!$W$4:$W$40,$AL$18)="","",INDEX('Final Calculation Sheet'!$W$4:$W$40,$AL$18)))</f>
        <v/>
      </c>
      <c r="Y18" s="131">
        <f>IF($AL$18="","",IF(INDEX('Final Calculation Sheet'!$X$4:$X$40,$AL$18)="","",INDEX('Final Calculation Sheet'!$X$4:$X$40,$AL$18)))</f>
        <v/>
      </c>
      <c r="Z18" s="131">
        <f>IF($AL$18="","",IF(INDEX('Final Calculation Sheet'!$Y$4:$Y$40,$AL$18)="","",INDEX('Final Calculation Sheet'!$Y$4:$Y$40,$AL$18)))</f>
        <v/>
      </c>
      <c r="AA18" s="131">
        <f>IF($AL$18="","",IF(INDEX('Final Calculation Sheet'!$Z$4:$Z$40,$AL$18)="","",INDEX('Final Calculation Sheet'!$Z$4:$Z$40,$AL$18)))</f>
        <v/>
      </c>
      <c r="AB18" s="131">
        <f>IF($AL$18="","",IF(INDEX('Final Calculation Sheet'!$AA$4:$AA$40,$AL$18)="","",INDEX('Final Calculation Sheet'!$AA$4:$AA$40,$AL$18)))</f>
        <v/>
      </c>
      <c r="AC18" s="131">
        <f>IF($AL$18="","",IF(INDEX('Final Calculation Sheet'!$AB$4:$AB$40,$AL$18)="","",INDEX('Final Calculation Sheet'!$AB$4:$AB$40,$AL$18)))</f>
        <v/>
      </c>
      <c r="AD18" s="131">
        <f>IF($AL$18="","",IF(INDEX('Final Calculation Sheet'!$AC$4:$AC$40,$AL$18)="","",INDEX('Final Calculation Sheet'!$AC$4:$AC$40,$AL$18)))</f>
        <v/>
      </c>
      <c r="AE18" s="131">
        <f>IF($AL$18="","",IF(INDEX('Final Calculation Sheet'!$AD$4:$AD$40,$AL$18)="","",INDEX('Final Calculation Sheet'!$AD$4:$AD$40,$AL$18)))</f>
        <v/>
      </c>
      <c r="AF18" s="136">
        <f>IF($AL$18="","",IF(INDEX('Final Calculation Sheet'!$AD$4:$AD$40,$AL$18)&lt;=5,"SETTLED","OUTSTANDING"))</f>
        <v/>
      </c>
      <c r="AG18" s="131">
        <f>IF($AL$18="","",IF(INDEX('Final Calculation Sheet'!$AF$4:$AF$40,$AL$18)="","",INDEX('Final Calculation Sheet'!$AF$4:$AF$40,$AL$18)))</f>
        <v/>
      </c>
      <c r="AH18" s="135">
        <f>IF($AL$18="","",IF(INDEX('Final Calculation Sheet'!$AG$4:$AG$40,$AL$18)="","",INDEX('Final Calculation Sheet'!$AG$4:$AG$40,$AL$18)))</f>
        <v/>
      </c>
      <c r="AI18" s="131">
        <f>IF($AL$18="","",IF(INDEX('Final Calculation Sheet'!$AH$4:$AH$40,$AL$18)="","",INDEX('Final Calculation Sheet'!$AH$4:$AH$40,$AL$18)))</f>
        <v/>
      </c>
      <c r="AJ18">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18">
        <f>IF(AJ18=1,COUNTIF(AJ$6:AJ18,1),"")</f>
        <v/>
      </c>
      <c r="AL18">
        <f>IF(COUNTIF($B$4:$AI$4,"&lt;&gt;")=0,"",IFERROR(MATCH(12,$AK$6:$AK$42,0),""))</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c r="DG18">
        <f>IF($B$4="",1,IF($B$4="(blank)",--('Final Calculation Sheet'!$F$16=""),IF($B$4="(nonblank)",--('Final Calculation Sheet'!$F$16&lt;&gt;""),--ISNUMBER(SEARCH($B$4,'Final Calculation Sheet'!$F$16)))))</f>
        <v/>
      </c>
      <c r="DH18">
        <f>IF($C$4="",1,IF($C$4="(blank)",--('Final Calculation Sheet'!$G$16=""),IF($C$4="(nonblank)",--('Final Calculation Sheet'!$G$16&lt;&gt;""),--ISNUMBER(SEARCH($C$4,'Final Calculation Sheet'!$G$16)))))</f>
        <v/>
      </c>
      <c r="DI18">
        <f>IF($D$4="",1,IF($D$4="(blank)",--('Final Calculation Sheet'!$B$16=""),IF($D$4="(nonblank)",--('Final Calculation Sheet'!$B$16&lt;&gt;""),--ISNUMBER(SEARCH($D$4,'Final Calculation Sheet'!$B$16)))))</f>
        <v/>
      </c>
      <c r="DJ18">
        <f>IF($E$4="",1,IF($E$4="(blank)",--('Final Calculation Sheet'!$D$16=""),IF($E$4="(nonblank)",--('Final Calculation Sheet'!$D$16&lt;&gt;""),--ISNUMBER(SEARCH($E$4,'Final Calculation Sheet'!$D$16)))))</f>
        <v/>
      </c>
      <c r="DK18">
        <f>IF($F$4="",1,IF($F$4="(blank)",--('Final Calculation Sheet'!$A$16=""),IF($F$4="(nonblank)",--('Final Calculation Sheet'!$A$16&lt;&gt;""),--ISNUMBER(SEARCH($F$4,'Final Calculation Sheet'!$A$16)))))</f>
        <v/>
      </c>
      <c r="DL18">
        <f>IF($G$4="",1,IF($G$4="(blank)",--('Final Calculation Sheet'!$E$16=""),IF($G$4="(nonblank)",--('Final Calculation Sheet'!$E$16&lt;&gt;""),--ISNUMBER(SEARCH($G$4,'Final Calculation Sheet'!$E$16)))))</f>
        <v/>
      </c>
      <c r="DM18">
        <f>IF($H$4="",1,IF($H$4="(blank)",--('Final Calculation Sheet'!$C$16=""),IF($H$4="(nonblank)",--('Final Calculation Sheet'!$C$16&lt;&gt;""),--ISNUMBER(SEARCH($H$4,'Final Calculation Sheet'!$C$16)))))</f>
        <v/>
      </c>
      <c r="DN18">
        <f>IF($I$4="",1,IF($I$4="(blank)",--('Final Calculation Sheet'!$H$16=""),IF($I$4="(nonblank)",--('Final Calculation Sheet'!$H$16&lt;&gt;""),--ISNUMBER(SEARCH($I$4,'Final Calculation Sheet'!$H$16)))))</f>
        <v/>
      </c>
      <c r="DO18">
        <f>IF($J$4="",1,IF($J$4="(blank)",--('Final Calculation Sheet'!$I$16=""),IF($J$4="(nonblank)",--('Final Calculation Sheet'!$I$16&lt;&gt;""),--ISNUMBER(SEARCH($J$4,'Final Calculation Sheet'!$I$16)))))</f>
        <v/>
      </c>
      <c r="DP18">
        <f>IF($K$4="",1,IF($K$4="(blank)",--('Final Calculation Sheet'!$J$16=""),IF($K$4="(nonblank)",--('Final Calculation Sheet'!$J$16&lt;&gt;""),--ISNUMBER(SEARCH($K$4,'Final Calculation Sheet'!$J$16)))))</f>
        <v/>
      </c>
      <c r="DQ18">
        <f>IF($L$4="",1,IF($L$4="(blank)",--('Final Calculation Sheet'!$K$16=""),IF($L$4="(nonblank)",--('Final Calculation Sheet'!$K$16&lt;&gt;""),--ISNUMBER(SEARCH($L$4,'Final Calculation Sheet'!$K$16)))))</f>
        <v/>
      </c>
      <c r="DR18">
        <f>IF($M$4="",1,IF($M$4="(blank)",--('Final Calculation Sheet'!$L$16=""),IF($M$4="(nonblank)",--('Final Calculation Sheet'!$L$16&lt;&gt;""),--ISNUMBER(SEARCH($M$4,'Final Calculation Sheet'!$L$16)))))</f>
        <v/>
      </c>
      <c r="DS18">
        <f>IF($N$4="",1,IF($N$4="(blank)",--('Final Calculation Sheet'!$M$16=""),IF($N$4="(nonblank)",--('Final Calculation Sheet'!$M$16&lt;&gt;""),--ISNUMBER(SEARCH($N$4,'Final Calculation Sheet'!$M$16)))))</f>
        <v/>
      </c>
      <c r="DT18">
        <f>IF($O$4="",1,IF($O$4="(blank)",--('Final Calculation Sheet'!$N$16=""),IF($O$4="(nonblank)",--('Final Calculation Sheet'!$N$16&lt;&gt;""),--ISNUMBER(SEARCH($O$4,'Final Calculation Sheet'!$N$16)))))</f>
        <v/>
      </c>
      <c r="DU18">
        <f>IF($P$4="",1,IF($P$4="(blank)",--('Final Calculation Sheet'!$O$16=""),IF($P$4="(nonblank)",--('Final Calculation Sheet'!$O$16&lt;&gt;""),--ISNUMBER(SEARCH($P$4,'Final Calculation Sheet'!$O$16)))))</f>
        <v/>
      </c>
      <c r="DV18">
        <f>IF($Q$4="",1,IF($Q$4="(blank)",--('Final Calculation Sheet'!$P$16=""),IF($Q$4="(nonblank)",--('Final Calculation Sheet'!$P$16&lt;&gt;""),--ISNUMBER(SEARCH($Q$4,'Final Calculation Sheet'!$P$16)))))</f>
        <v/>
      </c>
      <c r="DW18">
        <f>IF($R$4="",1,IF($R$4="(blank)",--('Final Calculation Sheet'!$Q$16=""),IF($R$4="(nonblank)",--('Final Calculation Sheet'!$Q$16&lt;&gt;""),--ISNUMBER(SEARCH($R$4,'Final Calculation Sheet'!$Q$16)))))</f>
        <v/>
      </c>
      <c r="DX18">
        <f>IF($S$4="",1,IF($S$4="(blank)",--('Final Calculation Sheet'!$R$16=""),IF($S$4="(nonblank)",--('Final Calculation Sheet'!$R$16&lt;&gt;""),--ISNUMBER(SEARCH($S$4,'Final Calculation Sheet'!$R$16)))))</f>
        <v/>
      </c>
      <c r="DY18">
        <f>IF($T$4="",1,IF($T$4="(blank)",--('Final Calculation Sheet'!$S$16=""),IF($T$4="(nonblank)",--('Final Calculation Sheet'!$S$16&lt;&gt;""),--ISNUMBER(SEARCH($T$4,'Final Calculation Sheet'!$S$16)))))</f>
        <v/>
      </c>
      <c r="DZ18">
        <f>IF($U$4="",1,IF($U$4="(blank)",--('Final Calculation Sheet'!$T$16=""),IF($U$4="(nonblank)",--('Final Calculation Sheet'!$T$16&lt;&gt;""),--ISNUMBER(SEARCH($U$4,'Final Calculation Sheet'!$T$16)))))</f>
        <v/>
      </c>
      <c r="EA18">
        <f>IF($V$4="",1,IF($V$4="(blank)",--('Final Calculation Sheet'!$U$16=""),IF($V$4="(nonblank)",--('Final Calculation Sheet'!$U$16&lt;&gt;""),--ISNUMBER(SEARCH($V$4,'Final Calculation Sheet'!$U$16)))))</f>
        <v/>
      </c>
      <c r="EB18">
        <f>IF($W$4="",1,IF($W$4="(blank)",--('Final Calculation Sheet'!$V$16=""),IF($W$4="(nonblank)",--('Final Calculation Sheet'!$V$16&lt;&gt;""),--ISNUMBER(SEARCH($W$4,'Final Calculation Sheet'!$V$16)))))</f>
        <v/>
      </c>
      <c r="EC18">
        <f>IF($X$4="",1,IF($X$4="(blank)",--('Final Calculation Sheet'!$W$16=""),IF($X$4="(nonblank)",--('Final Calculation Sheet'!$W$16&lt;&gt;""),--ISNUMBER(SEARCH($X$4,'Final Calculation Sheet'!$W$16)))))</f>
        <v/>
      </c>
      <c r="ED18">
        <f>IF($Y$4="",1,IF($Y$4="(blank)",--('Final Calculation Sheet'!$X$16=""),IF($Y$4="(nonblank)",--('Final Calculation Sheet'!$X$16&lt;&gt;""),--ISNUMBER(SEARCH($Y$4,'Final Calculation Sheet'!$X$16)))))</f>
        <v/>
      </c>
      <c r="EE18">
        <f>IF($Z$4="",1,IF($Z$4="(blank)",--('Final Calculation Sheet'!$Y$16=""),IF($Z$4="(nonblank)",--('Final Calculation Sheet'!$Y$16&lt;&gt;""),--ISNUMBER(SEARCH($Z$4,'Final Calculation Sheet'!$Y$16)))))</f>
        <v/>
      </c>
      <c r="EF18">
        <f>IF($AA$4="",1,IF($AA$4="(blank)",--('Final Calculation Sheet'!$Z$16=""),IF($AA$4="(nonblank)",--('Final Calculation Sheet'!$Z$16&lt;&gt;""),--ISNUMBER(SEARCH($AA$4,'Final Calculation Sheet'!$Z$16)))))</f>
        <v/>
      </c>
      <c r="EG18">
        <f>IF($AB$4="",1,IF($AB$4="(blank)",--('Final Calculation Sheet'!$AA$16=""),IF($AB$4="(nonblank)",--('Final Calculation Sheet'!$AA$16&lt;&gt;""),--ISNUMBER(SEARCH($AB$4,'Final Calculation Sheet'!$AA$16)))))</f>
        <v/>
      </c>
      <c r="EH18">
        <f>IF($AC$4="",1,IF($AC$4="(blank)",--('Final Calculation Sheet'!$AB$16=""),IF($AC$4="(nonblank)",--('Final Calculation Sheet'!$AB$16&lt;&gt;""),--ISNUMBER(SEARCH($AC$4,'Final Calculation Sheet'!$AB$16)))))</f>
        <v/>
      </c>
      <c r="EI18">
        <f>IF($AD$4="",1,IF($AD$4="(blank)",--('Final Calculation Sheet'!$AC$16=""),IF($AD$4="(nonblank)",--('Final Calculation Sheet'!$AC$16&lt;&gt;""),--ISNUMBER(SEARCH($AD$4,'Final Calculation Sheet'!$AC$16)))))</f>
        <v/>
      </c>
      <c r="EJ18">
        <f>IF($AE$4="",1,IF($AE$4="(blank)",--('Final Calculation Sheet'!$AD$16=""),IF($AE$4="(nonblank)",--('Final Calculation Sheet'!$AD$16&lt;&gt;""),--ISNUMBER(SEARCH($AE$4,'Final Calculation Sheet'!$AD$16)))))</f>
        <v/>
      </c>
      <c r="EK18">
        <f>IF($AF$4="",1,IF($AF$4="(blank)",--(IF('Final Calculation Sheet'!$AD$16&lt;=5,"SETTLED","OUTSTANDING")=""),IF($AF$4="(nonblank)",--(IF('Final Calculation Sheet'!$AD$16&lt;=5,"SETTLED","OUTSTANDING")&lt;&gt;""),--ISNUMBER(SEARCH($AF$4,IF('Final Calculation Sheet'!$AD$16&lt;=5,"SETTLED","OUTSTANDING"))))))</f>
        <v/>
      </c>
      <c r="EL18">
        <f>IF($AG$4="",1,IF($AG$4="(blank)",--('Final Calculation Sheet'!$AF$16=""),IF($AG$4="(nonblank)",--('Final Calculation Sheet'!$AF$16&lt;&gt;""),--ISNUMBER(SEARCH($AG$4,'Final Calculation Sheet'!$AF$16)))))</f>
        <v/>
      </c>
      <c r="EM18">
        <f>IF($AH$4="",1,IF($AH$4="(blank)",--('Final Calculation Sheet'!$AG$16=""),IF($AH$4="(nonblank)",--('Final Calculation Sheet'!$AG$16&lt;&gt;""),--ISNUMBER(SEARCH($AH$4,'Final Calculation Sheet'!$AG$16)))))</f>
        <v/>
      </c>
      <c r="EN18">
        <f>IF($AI$4="",1,IF($AI$4="(blank)",--('Final Calculation Sheet'!$AH$16=""),IF($AI$4="(nonblank)",--('Final Calculation Sheet'!$AH$16&lt;&gt;""),--ISNUMBER(SEARCH($AI$4,'Final Calculation Sheet'!$AH$16)))))</f>
        <v/>
      </c>
    </row>
    <row r="19" outlineLevel="1" hidden="1">
      <c r="A19" s="118">
        <f>IF($AL$19="","",13)</f>
        <v/>
      </c>
      <c r="B19" s="119">
        <f>IF($AL$19="","",IF(INDEX('Final Calculation Sheet'!$F$4:$F$40,$AL$19)="","",INDEX('Final Calculation Sheet'!$F$4:$F$40,$AL$19)))</f>
        <v/>
      </c>
      <c r="C19" s="119">
        <f>IF($AL$19="","",IF(INDEX('Final Calculation Sheet'!$G$4:$G$40,$AL$19)="","",INDEX('Final Calculation Sheet'!$G$4:$G$40,$AL$19)))</f>
        <v/>
      </c>
      <c r="D19" s="121">
        <f>IF($AL$19="","",IF(INDEX('Final Calculation Sheet'!$B$4:$B$40,$AL$19)="","",INDEX('Final Calculation Sheet'!$B$4:$B$40,$AL$19)))</f>
        <v/>
      </c>
      <c r="E19" s="121">
        <f>IF($AL$19="","",IF(INDEX('Final Calculation Sheet'!$D$4:$D$40,$AL$19)="","",INDEX('Final Calculation Sheet'!$D$4:$D$40,$AL$19)))</f>
        <v/>
      </c>
      <c r="F19" s="121">
        <f>IF($AL$19="","",IF(INDEX('Final Calculation Sheet'!$A$4:$A$40,$AL$19)="","",INDEX('Final Calculation Sheet'!$A$4:$A$40,$AL$19)))</f>
        <v/>
      </c>
      <c r="G19" s="121">
        <f>IF($AL$19="","",IF(INDEX('Final Calculation Sheet'!$E$4:$E$40,$AL$19)="","",INDEX('Final Calculation Sheet'!$E$4:$E$40,$AL$19)))</f>
        <v/>
      </c>
      <c r="H19" s="122">
        <f>IF($AL$19="","",IF(INDEX('Final Calculation Sheet'!$C$4:$C$40,$AL$19)="","",INDEX('Final Calculation Sheet'!$C$4:$C$40,$AL$19)))</f>
        <v/>
      </c>
      <c r="I19" s="122">
        <f>IF($AL$19="","",IF(INDEX('Final Calculation Sheet'!$H$4:$H$40,$AL$19)="","",INDEX('Final Calculation Sheet'!$H$4:$H$40,$AL$19)))</f>
        <v/>
      </c>
      <c r="J19" s="122">
        <f>IF($AL$19="","",IF(INDEX('Final Calculation Sheet'!$I$4:$I$40,$AL$19)="","",INDEX('Final Calculation Sheet'!$I$4:$I$40,$AL$19)))</f>
        <v/>
      </c>
      <c r="K19" s="122">
        <f>IF($AL$19="","",IF(INDEX('Final Calculation Sheet'!$J$4:$J$40,$AL$19)="","",INDEX('Final Calculation Sheet'!$J$4:$J$40,$AL$19)))</f>
        <v/>
      </c>
      <c r="L19" s="122">
        <f>IF($AL$19="","",IF(INDEX('Final Calculation Sheet'!$K$4:$K$40,$AL$19)="","",INDEX('Final Calculation Sheet'!$K$4:$K$40,$AL$19)))</f>
        <v/>
      </c>
      <c r="M19" s="122">
        <f>IF($AL$19="","",IF(INDEX('Final Calculation Sheet'!$L$4:$L$40,$AL$19)="","",INDEX('Final Calculation Sheet'!$L$4:$L$40,$AL$19)))</f>
        <v/>
      </c>
      <c r="N19" s="122">
        <f>IF($AL$19="","",IF(INDEX('Final Calculation Sheet'!$M$4:$M$40,$AL$19)="","",INDEX('Final Calculation Sheet'!$M$4:$M$40,$AL$19)))</f>
        <v/>
      </c>
      <c r="O19" s="123">
        <f>IF($AL$19="","",IF(INDEX('Final Calculation Sheet'!$N$4:$N$40,$AL$19)="","",INDEX('Final Calculation Sheet'!$N$4:$N$40,$AL$19)))</f>
        <v/>
      </c>
      <c r="P19" s="122">
        <f>IF($AL$19="","",IF(INDEX('Final Calculation Sheet'!$O$4:$O$40,$AL$19)="","",INDEX('Final Calculation Sheet'!$O$4:$O$40,$AL$19)))</f>
        <v/>
      </c>
      <c r="Q19" s="122">
        <f>IF($AL$19="","",IF(INDEX('Final Calculation Sheet'!$P$4:$P$40,$AL$19)="","",INDEX('Final Calculation Sheet'!$P$4:$P$40,$AL$19)))</f>
        <v/>
      </c>
      <c r="R19" s="124">
        <f>IF($AL$19="","",IF(INDEX('Final Calculation Sheet'!$Q$4:$Q$40,$AL$19)="","",INDEX('Final Calculation Sheet'!$Q$4:$Q$40,$AL$19)))</f>
        <v/>
      </c>
      <c r="S19" s="122">
        <f>IF($AL$19="","",IF(INDEX('Final Calculation Sheet'!$R$4:$R$40,$AL$19)="","",INDEX('Final Calculation Sheet'!$R$4:$R$40,$AL$19)))</f>
        <v/>
      </c>
      <c r="T19" s="122">
        <f>IF($AL$19="","",IF(INDEX('Final Calculation Sheet'!$S$4:$S$40,$AL$19)="","",INDEX('Final Calculation Sheet'!$S$4:$S$40,$AL$19)))</f>
        <v/>
      </c>
      <c r="U19" s="122">
        <f>IF($AL$19="","",IF(INDEX('Final Calculation Sheet'!$T$4:$T$40,$AL$19)="","",INDEX('Final Calculation Sheet'!$T$4:$T$40,$AL$19)))</f>
        <v/>
      </c>
      <c r="V19" s="125">
        <f>IF($AL$19="","",IF(INDEX('Final Calculation Sheet'!$U$4:$U$40,$AL$19)="","",INDEX('Final Calculation Sheet'!$U$4:$U$40,$AL$19)))</f>
        <v/>
      </c>
      <c r="W19" s="122">
        <f>IF($AL$19="","",IF(INDEX('Final Calculation Sheet'!$V$4:$V$40,$AL$19)="","",INDEX('Final Calculation Sheet'!$V$4:$V$40,$AL$19)))</f>
        <v/>
      </c>
      <c r="X19" s="122">
        <f>IF($AL$19="","",IF(INDEX('Final Calculation Sheet'!$W$4:$W$40,$AL$19)="","",INDEX('Final Calculation Sheet'!$W$4:$W$40,$AL$19)))</f>
        <v/>
      </c>
      <c r="Y19" s="122">
        <f>IF($AL$19="","",IF(INDEX('Final Calculation Sheet'!$X$4:$X$40,$AL$19)="","",INDEX('Final Calculation Sheet'!$X$4:$X$40,$AL$19)))</f>
        <v/>
      </c>
      <c r="Z19" s="122">
        <f>IF($AL$19="","",IF(INDEX('Final Calculation Sheet'!$Y$4:$Y$40,$AL$19)="","",INDEX('Final Calculation Sheet'!$Y$4:$Y$40,$AL$19)))</f>
        <v/>
      </c>
      <c r="AA19" s="122">
        <f>IF($AL$19="","",IF(INDEX('Final Calculation Sheet'!$Z$4:$Z$40,$AL$19)="","",INDEX('Final Calculation Sheet'!$Z$4:$Z$40,$AL$19)))</f>
        <v/>
      </c>
      <c r="AB19" s="122">
        <f>IF($AL$19="","",IF(INDEX('Final Calculation Sheet'!$AA$4:$AA$40,$AL$19)="","",INDEX('Final Calculation Sheet'!$AA$4:$AA$40,$AL$19)))</f>
        <v/>
      </c>
      <c r="AC19" s="122">
        <f>IF($AL$19="","",IF(INDEX('Final Calculation Sheet'!$AB$4:$AB$40,$AL$19)="","",INDEX('Final Calculation Sheet'!$AB$4:$AB$40,$AL$19)))</f>
        <v/>
      </c>
      <c r="AD19" s="122">
        <f>IF($AL$19="","",IF(INDEX('Final Calculation Sheet'!$AC$4:$AC$40,$AL$19)="","",INDEX('Final Calculation Sheet'!$AC$4:$AC$40,$AL$19)))</f>
        <v/>
      </c>
      <c r="AE19" s="122">
        <f>IF($AL$19="","",IF(INDEX('Final Calculation Sheet'!$AD$4:$AD$40,$AL$19)="","",INDEX('Final Calculation Sheet'!$AD$4:$AD$40,$AL$19)))</f>
        <v/>
      </c>
      <c r="AF19" s="127">
        <f>IF($AL$19="","",IF(INDEX('Final Calculation Sheet'!$AD$4:$AD$40,$AL$19)&lt;=5,"SETTLED","OUTSTANDING"))</f>
        <v/>
      </c>
      <c r="AG19" s="122">
        <f>IF($AL$19="","",IF(INDEX('Final Calculation Sheet'!$AF$4:$AF$40,$AL$19)="","",INDEX('Final Calculation Sheet'!$AF$4:$AF$40,$AL$19)))</f>
        <v/>
      </c>
      <c r="AH19" s="126">
        <f>IF($AL$19="","",IF(INDEX('Final Calculation Sheet'!$AG$4:$AG$40,$AL$19)="","",INDEX('Final Calculation Sheet'!$AG$4:$AG$40,$AL$19)))</f>
        <v/>
      </c>
      <c r="AI19" s="122">
        <f>IF($AL$19="","",IF(INDEX('Final Calculation Sheet'!$AH$4:$AH$40,$AL$19)="","",INDEX('Final Calculation Sheet'!$AH$4:$AH$40,$AL$19)))</f>
        <v/>
      </c>
      <c r="AJ19">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19">
        <f>IF(AJ19=1,COUNTIF(AJ$6:AJ19,1),"")</f>
        <v/>
      </c>
      <c r="AL19">
        <f>IF(COUNTIF($B$4:$AI$4,"&lt;&gt;")=0,"",IFERROR(MATCH(13,$AK$6:$AK$42,0),""))</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c r="DG19">
        <f>IF($B$4="",1,IF($B$4="(blank)",--('Final Calculation Sheet'!$F$17=""),IF($B$4="(nonblank)",--('Final Calculation Sheet'!$F$17&lt;&gt;""),--ISNUMBER(SEARCH($B$4,'Final Calculation Sheet'!$F$17)))))</f>
        <v/>
      </c>
      <c r="DH19">
        <f>IF($C$4="",1,IF($C$4="(blank)",--('Final Calculation Sheet'!$G$17=""),IF($C$4="(nonblank)",--('Final Calculation Sheet'!$G$17&lt;&gt;""),--ISNUMBER(SEARCH($C$4,'Final Calculation Sheet'!$G$17)))))</f>
        <v/>
      </c>
      <c r="DI19">
        <f>IF($D$4="",1,IF($D$4="(blank)",--('Final Calculation Sheet'!$B$17=""),IF($D$4="(nonblank)",--('Final Calculation Sheet'!$B$17&lt;&gt;""),--ISNUMBER(SEARCH($D$4,'Final Calculation Sheet'!$B$17)))))</f>
        <v/>
      </c>
      <c r="DJ19">
        <f>IF($E$4="",1,IF($E$4="(blank)",--('Final Calculation Sheet'!$D$17=""),IF($E$4="(nonblank)",--('Final Calculation Sheet'!$D$17&lt;&gt;""),--ISNUMBER(SEARCH($E$4,'Final Calculation Sheet'!$D$17)))))</f>
        <v/>
      </c>
      <c r="DK19">
        <f>IF($F$4="",1,IF($F$4="(blank)",--('Final Calculation Sheet'!$A$17=""),IF($F$4="(nonblank)",--('Final Calculation Sheet'!$A$17&lt;&gt;""),--ISNUMBER(SEARCH($F$4,'Final Calculation Sheet'!$A$17)))))</f>
        <v/>
      </c>
      <c r="DL19">
        <f>IF($G$4="",1,IF($G$4="(blank)",--('Final Calculation Sheet'!$E$17=""),IF($G$4="(nonblank)",--('Final Calculation Sheet'!$E$17&lt;&gt;""),--ISNUMBER(SEARCH($G$4,'Final Calculation Sheet'!$E$17)))))</f>
        <v/>
      </c>
      <c r="DM19">
        <f>IF($H$4="",1,IF($H$4="(blank)",--('Final Calculation Sheet'!$C$17=""),IF($H$4="(nonblank)",--('Final Calculation Sheet'!$C$17&lt;&gt;""),--ISNUMBER(SEARCH($H$4,'Final Calculation Sheet'!$C$17)))))</f>
        <v/>
      </c>
      <c r="DN19">
        <f>IF($I$4="",1,IF($I$4="(blank)",--('Final Calculation Sheet'!$H$17=""),IF($I$4="(nonblank)",--('Final Calculation Sheet'!$H$17&lt;&gt;""),--ISNUMBER(SEARCH($I$4,'Final Calculation Sheet'!$H$17)))))</f>
        <v/>
      </c>
      <c r="DO19">
        <f>IF($J$4="",1,IF($J$4="(blank)",--('Final Calculation Sheet'!$I$17=""),IF($J$4="(nonblank)",--('Final Calculation Sheet'!$I$17&lt;&gt;""),--ISNUMBER(SEARCH($J$4,'Final Calculation Sheet'!$I$17)))))</f>
        <v/>
      </c>
      <c r="DP19">
        <f>IF($K$4="",1,IF($K$4="(blank)",--('Final Calculation Sheet'!$J$17=""),IF($K$4="(nonblank)",--('Final Calculation Sheet'!$J$17&lt;&gt;""),--ISNUMBER(SEARCH($K$4,'Final Calculation Sheet'!$J$17)))))</f>
        <v/>
      </c>
      <c r="DQ19">
        <f>IF($L$4="",1,IF($L$4="(blank)",--('Final Calculation Sheet'!$K$17=""),IF($L$4="(nonblank)",--('Final Calculation Sheet'!$K$17&lt;&gt;""),--ISNUMBER(SEARCH($L$4,'Final Calculation Sheet'!$K$17)))))</f>
        <v/>
      </c>
      <c r="DR19">
        <f>IF($M$4="",1,IF($M$4="(blank)",--('Final Calculation Sheet'!$L$17=""),IF($M$4="(nonblank)",--('Final Calculation Sheet'!$L$17&lt;&gt;""),--ISNUMBER(SEARCH($M$4,'Final Calculation Sheet'!$L$17)))))</f>
        <v/>
      </c>
      <c r="DS19">
        <f>IF($N$4="",1,IF($N$4="(blank)",--('Final Calculation Sheet'!$M$17=""),IF($N$4="(nonblank)",--('Final Calculation Sheet'!$M$17&lt;&gt;""),--ISNUMBER(SEARCH($N$4,'Final Calculation Sheet'!$M$17)))))</f>
        <v/>
      </c>
      <c r="DT19">
        <f>IF($O$4="",1,IF($O$4="(blank)",--('Final Calculation Sheet'!$N$17=""),IF($O$4="(nonblank)",--('Final Calculation Sheet'!$N$17&lt;&gt;""),--ISNUMBER(SEARCH($O$4,'Final Calculation Sheet'!$N$17)))))</f>
        <v/>
      </c>
      <c r="DU19">
        <f>IF($P$4="",1,IF($P$4="(blank)",--('Final Calculation Sheet'!$O$17=""),IF($P$4="(nonblank)",--('Final Calculation Sheet'!$O$17&lt;&gt;""),--ISNUMBER(SEARCH($P$4,'Final Calculation Sheet'!$O$17)))))</f>
        <v/>
      </c>
      <c r="DV19">
        <f>IF($Q$4="",1,IF($Q$4="(blank)",--('Final Calculation Sheet'!$P$17=""),IF($Q$4="(nonblank)",--('Final Calculation Sheet'!$P$17&lt;&gt;""),--ISNUMBER(SEARCH($Q$4,'Final Calculation Sheet'!$P$17)))))</f>
        <v/>
      </c>
      <c r="DW19">
        <f>IF($R$4="",1,IF($R$4="(blank)",--('Final Calculation Sheet'!$Q$17=""),IF($R$4="(nonblank)",--('Final Calculation Sheet'!$Q$17&lt;&gt;""),--ISNUMBER(SEARCH($R$4,'Final Calculation Sheet'!$Q$17)))))</f>
        <v/>
      </c>
      <c r="DX19">
        <f>IF($S$4="",1,IF($S$4="(blank)",--('Final Calculation Sheet'!$R$17=""),IF($S$4="(nonblank)",--('Final Calculation Sheet'!$R$17&lt;&gt;""),--ISNUMBER(SEARCH($S$4,'Final Calculation Sheet'!$R$17)))))</f>
        <v/>
      </c>
      <c r="DY19">
        <f>IF($T$4="",1,IF($T$4="(blank)",--('Final Calculation Sheet'!$S$17=""),IF($T$4="(nonblank)",--('Final Calculation Sheet'!$S$17&lt;&gt;""),--ISNUMBER(SEARCH($T$4,'Final Calculation Sheet'!$S$17)))))</f>
        <v/>
      </c>
      <c r="DZ19">
        <f>IF($U$4="",1,IF($U$4="(blank)",--('Final Calculation Sheet'!$T$17=""),IF($U$4="(nonblank)",--('Final Calculation Sheet'!$T$17&lt;&gt;""),--ISNUMBER(SEARCH($U$4,'Final Calculation Sheet'!$T$17)))))</f>
        <v/>
      </c>
      <c r="EA19">
        <f>IF($V$4="",1,IF($V$4="(blank)",--('Final Calculation Sheet'!$U$17=""),IF($V$4="(nonblank)",--('Final Calculation Sheet'!$U$17&lt;&gt;""),--ISNUMBER(SEARCH($V$4,'Final Calculation Sheet'!$U$17)))))</f>
        <v/>
      </c>
      <c r="EB19">
        <f>IF($W$4="",1,IF($W$4="(blank)",--('Final Calculation Sheet'!$V$17=""),IF($W$4="(nonblank)",--('Final Calculation Sheet'!$V$17&lt;&gt;""),--ISNUMBER(SEARCH($W$4,'Final Calculation Sheet'!$V$17)))))</f>
        <v/>
      </c>
      <c r="EC19">
        <f>IF($X$4="",1,IF($X$4="(blank)",--('Final Calculation Sheet'!$W$17=""),IF($X$4="(nonblank)",--('Final Calculation Sheet'!$W$17&lt;&gt;""),--ISNUMBER(SEARCH($X$4,'Final Calculation Sheet'!$W$17)))))</f>
        <v/>
      </c>
      <c r="ED19">
        <f>IF($Y$4="",1,IF($Y$4="(blank)",--('Final Calculation Sheet'!$X$17=""),IF($Y$4="(nonblank)",--('Final Calculation Sheet'!$X$17&lt;&gt;""),--ISNUMBER(SEARCH($Y$4,'Final Calculation Sheet'!$X$17)))))</f>
        <v/>
      </c>
      <c r="EE19">
        <f>IF($Z$4="",1,IF($Z$4="(blank)",--('Final Calculation Sheet'!$Y$17=""),IF($Z$4="(nonblank)",--('Final Calculation Sheet'!$Y$17&lt;&gt;""),--ISNUMBER(SEARCH($Z$4,'Final Calculation Sheet'!$Y$17)))))</f>
        <v/>
      </c>
      <c r="EF19">
        <f>IF($AA$4="",1,IF($AA$4="(blank)",--('Final Calculation Sheet'!$Z$17=""),IF($AA$4="(nonblank)",--('Final Calculation Sheet'!$Z$17&lt;&gt;""),--ISNUMBER(SEARCH($AA$4,'Final Calculation Sheet'!$Z$17)))))</f>
        <v/>
      </c>
      <c r="EG19">
        <f>IF($AB$4="",1,IF($AB$4="(blank)",--('Final Calculation Sheet'!$AA$17=""),IF($AB$4="(nonblank)",--('Final Calculation Sheet'!$AA$17&lt;&gt;""),--ISNUMBER(SEARCH($AB$4,'Final Calculation Sheet'!$AA$17)))))</f>
        <v/>
      </c>
      <c r="EH19">
        <f>IF($AC$4="",1,IF($AC$4="(blank)",--('Final Calculation Sheet'!$AB$17=""),IF($AC$4="(nonblank)",--('Final Calculation Sheet'!$AB$17&lt;&gt;""),--ISNUMBER(SEARCH($AC$4,'Final Calculation Sheet'!$AB$17)))))</f>
        <v/>
      </c>
      <c r="EI19">
        <f>IF($AD$4="",1,IF($AD$4="(blank)",--('Final Calculation Sheet'!$AC$17=""),IF($AD$4="(nonblank)",--('Final Calculation Sheet'!$AC$17&lt;&gt;""),--ISNUMBER(SEARCH($AD$4,'Final Calculation Sheet'!$AC$17)))))</f>
        <v/>
      </c>
      <c r="EJ19">
        <f>IF($AE$4="",1,IF($AE$4="(blank)",--('Final Calculation Sheet'!$AD$17=""),IF($AE$4="(nonblank)",--('Final Calculation Sheet'!$AD$17&lt;&gt;""),--ISNUMBER(SEARCH($AE$4,'Final Calculation Sheet'!$AD$17)))))</f>
        <v/>
      </c>
      <c r="EK19">
        <f>IF($AF$4="",1,IF($AF$4="(blank)",--(IF('Final Calculation Sheet'!$AD$17&lt;=5,"SETTLED","OUTSTANDING")=""),IF($AF$4="(nonblank)",--(IF('Final Calculation Sheet'!$AD$17&lt;=5,"SETTLED","OUTSTANDING")&lt;&gt;""),--ISNUMBER(SEARCH($AF$4,IF('Final Calculation Sheet'!$AD$17&lt;=5,"SETTLED","OUTSTANDING"))))))</f>
        <v/>
      </c>
      <c r="EL19">
        <f>IF($AG$4="",1,IF($AG$4="(blank)",--('Final Calculation Sheet'!$AF$17=""),IF($AG$4="(nonblank)",--('Final Calculation Sheet'!$AF$17&lt;&gt;""),--ISNUMBER(SEARCH($AG$4,'Final Calculation Sheet'!$AF$17)))))</f>
        <v/>
      </c>
      <c r="EM19">
        <f>IF($AH$4="",1,IF($AH$4="(blank)",--('Final Calculation Sheet'!$AG$17=""),IF($AH$4="(nonblank)",--('Final Calculation Sheet'!$AG$17&lt;&gt;""),--ISNUMBER(SEARCH($AH$4,'Final Calculation Sheet'!$AG$17)))))</f>
        <v/>
      </c>
      <c r="EN19">
        <f>IF($AI$4="",1,IF($AI$4="(blank)",--('Final Calculation Sheet'!$AH$17=""),IF($AI$4="(nonblank)",--('Final Calculation Sheet'!$AH$17&lt;&gt;""),--ISNUMBER(SEARCH($AI$4,'Final Calculation Sheet'!$AH$17)))))</f>
        <v/>
      </c>
    </row>
    <row r="20" outlineLevel="1" hidden="1">
      <c r="A20" s="128">
        <f>IF($AL$20="","",14)</f>
        <v/>
      </c>
      <c r="B20" s="129">
        <f>IF($AL$20="","",IF(INDEX('Final Calculation Sheet'!$F$4:$F$40,$AL$20)="","",INDEX('Final Calculation Sheet'!$F$4:$F$40,$AL$20)))</f>
        <v/>
      </c>
      <c r="C20" s="129">
        <f>IF($AL$20="","",IF(INDEX('Final Calculation Sheet'!$G$4:$G$40,$AL$20)="","",INDEX('Final Calculation Sheet'!$G$4:$G$40,$AL$20)))</f>
        <v/>
      </c>
      <c r="D20" s="130">
        <f>IF($AL$20="","",IF(INDEX('Final Calculation Sheet'!$B$4:$B$40,$AL$20)="","",INDEX('Final Calculation Sheet'!$B$4:$B$40,$AL$20)))</f>
        <v/>
      </c>
      <c r="E20" s="130">
        <f>IF($AL$20="","",IF(INDEX('Final Calculation Sheet'!$D$4:$D$40,$AL$20)="","",INDEX('Final Calculation Sheet'!$D$4:$D$40,$AL$20)))</f>
        <v/>
      </c>
      <c r="F20" s="130">
        <f>IF($AL$20="","",IF(INDEX('Final Calculation Sheet'!$A$4:$A$40,$AL$20)="","",INDEX('Final Calculation Sheet'!$A$4:$A$40,$AL$20)))</f>
        <v/>
      </c>
      <c r="G20" s="130">
        <f>IF($AL$20="","",IF(INDEX('Final Calculation Sheet'!$E$4:$E$40,$AL$20)="","",INDEX('Final Calculation Sheet'!$E$4:$E$40,$AL$20)))</f>
        <v/>
      </c>
      <c r="H20" s="131">
        <f>IF($AL$20="","",IF(INDEX('Final Calculation Sheet'!$C$4:$C$40,$AL$20)="","",INDEX('Final Calculation Sheet'!$C$4:$C$40,$AL$20)))</f>
        <v/>
      </c>
      <c r="I20" s="131">
        <f>IF($AL$20="","",IF(INDEX('Final Calculation Sheet'!$H$4:$H$40,$AL$20)="","",INDEX('Final Calculation Sheet'!$H$4:$H$40,$AL$20)))</f>
        <v/>
      </c>
      <c r="J20" s="131">
        <f>IF($AL$20="","",IF(INDEX('Final Calculation Sheet'!$I$4:$I$40,$AL$20)="","",INDEX('Final Calculation Sheet'!$I$4:$I$40,$AL$20)))</f>
        <v/>
      </c>
      <c r="K20" s="131">
        <f>IF($AL$20="","",IF(INDEX('Final Calculation Sheet'!$J$4:$J$40,$AL$20)="","",INDEX('Final Calculation Sheet'!$J$4:$J$40,$AL$20)))</f>
        <v/>
      </c>
      <c r="L20" s="131">
        <f>IF($AL$20="","",IF(INDEX('Final Calculation Sheet'!$K$4:$K$40,$AL$20)="","",INDEX('Final Calculation Sheet'!$K$4:$K$40,$AL$20)))</f>
        <v/>
      </c>
      <c r="M20" s="131">
        <f>IF($AL$20="","",IF(INDEX('Final Calculation Sheet'!$L$4:$L$40,$AL$20)="","",INDEX('Final Calculation Sheet'!$L$4:$L$40,$AL$20)))</f>
        <v/>
      </c>
      <c r="N20" s="131">
        <f>IF($AL$20="","",IF(INDEX('Final Calculation Sheet'!$M$4:$M$40,$AL$20)="","",INDEX('Final Calculation Sheet'!$M$4:$M$40,$AL$20)))</f>
        <v/>
      </c>
      <c r="O20" s="132">
        <f>IF($AL$20="","",IF(INDEX('Final Calculation Sheet'!$N$4:$N$40,$AL$20)="","",INDEX('Final Calculation Sheet'!$N$4:$N$40,$AL$20)))</f>
        <v/>
      </c>
      <c r="P20" s="131">
        <f>IF($AL$20="","",IF(INDEX('Final Calculation Sheet'!$O$4:$O$40,$AL$20)="","",INDEX('Final Calculation Sheet'!$O$4:$O$40,$AL$20)))</f>
        <v/>
      </c>
      <c r="Q20" s="131">
        <f>IF($AL$20="","",IF(INDEX('Final Calculation Sheet'!$P$4:$P$40,$AL$20)="","",INDEX('Final Calculation Sheet'!$P$4:$P$40,$AL$20)))</f>
        <v/>
      </c>
      <c r="R20" s="133">
        <f>IF($AL$20="","",IF(INDEX('Final Calculation Sheet'!$Q$4:$Q$40,$AL$20)="","",INDEX('Final Calculation Sheet'!$Q$4:$Q$40,$AL$20)))</f>
        <v/>
      </c>
      <c r="S20" s="131">
        <f>IF($AL$20="","",IF(INDEX('Final Calculation Sheet'!$R$4:$R$40,$AL$20)="","",INDEX('Final Calculation Sheet'!$R$4:$R$40,$AL$20)))</f>
        <v/>
      </c>
      <c r="T20" s="131">
        <f>IF($AL$20="","",IF(INDEX('Final Calculation Sheet'!$S$4:$S$40,$AL$20)="","",INDEX('Final Calculation Sheet'!$S$4:$S$40,$AL$20)))</f>
        <v/>
      </c>
      <c r="U20" s="131">
        <f>IF($AL$20="","",IF(INDEX('Final Calculation Sheet'!$T$4:$T$40,$AL$20)="","",INDEX('Final Calculation Sheet'!$T$4:$T$40,$AL$20)))</f>
        <v/>
      </c>
      <c r="V20" s="134">
        <f>IF($AL$20="","",IF(INDEX('Final Calculation Sheet'!$U$4:$U$40,$AL$20)="","",INDEX('Final Calculation Sheet'!$U$4:$U$40,$AL$20)))</f>
        <v/>
      </c>
      <c r="W20" s="131">
        <f>IF($AL$20="","",IF(INDEX('Final Calculation Sheet'!$V$4:$V$40,$AL$20)="","",INDEX('Final Calculation Sheet'!$V$4:$V$40,$AL$20)))</f>
        <v/>
      </c>
      <c r="X20" s="131">
        <f>IF($AL$20="","",IF(INDEX('Final Calculation Sheet'!$W$4:$W$40,$AL$20)="","",INDEX('Final Calculation Sheet'!$W$4:$W$40,$AL$20)))</f>
        <v/>
      </c>
      <c r="Y20" s="131">
        <f>IF($AL$20="","",IF(INDEX('Final Calculation Sheet'!$X$4:$X$40,$AL$20)="","",INDEX('Final Calculation Sheet'!$X$4:$X$40,$AL$20)))</f>
        <v/>
      </c>
      <c r="Z20" s="131">
        <f>IF($AL$20="","",IF(INDEX('Final Calculation Sheet'!$Y$4:$Y$40,$AL$20)="","",INDEX('Final Calculation Sheet'!$Y$4:$Y$40,$AL$20)))</f>
        <v/>
      </c>
      <c r="AA20" s="131">
        <f>IF($AL$20="","",IF(INDEX('Final Calculation Sheet'!$Z$4:$Z$40,$AL$20)="","",INDEX('Final Calculation Sheet'!$Z$4:$Z$40,$AL$20)))</f>
        <v/>
      </c>
      <c r="AB20" s="131">
        <f>IF($AL$20="","",IF(INDEX('Final Calculation Sheet'!$AA$4:$AA$40,$AL$20)="","",INDEX('Final Calculation Sheet'!$AA$4:$AA$40,$AL$20)))</f>
        <v/>
      </c>
      <c r="AC20" s="131">
        <f>IF($AL$20="","",IF(INDEX('Final Calculation Sheet'!$AB$4:$AB$40,$AL$20)="","",INDEX('Final Calculation Sheet'!$AB$4:$AB$40,$AL$20)))</f>
        <v/>
      </c>
      <c r="AD20" s="131">
        <f>IF($AL$20="","",IF(INDEX('Final Calculation Sheet'!$AC$4:$AC$40,$AL$20)="","",INDEX('Final Calculation Sheet'!$AC$4:$AC$40,$AL$20)))</f>
        <v/>
      </c>
      <c r="AE20" s="131">
        <f>IF($AL$20="","",IF(INDEX('Final Calculation Sheet'!$AD$4:$AD$40,$AL$20)="","",INDEX('Final Calculation Sheet'!$AD$4:$AD$40,$AL$20)))</f>
        <v/>
      </c>
      <c r="AF20" s="136">
        <f>IF($AL$20="","",IF(INDEX('Final Calculation Sheet'!$AD$4:$AD$40,$AL$20)&lt;=5,"SETTLED","OUTSTANDING"))</f>
        <v/>
      </c>
      <c r="AG20" s="131">
        <f>IF($AL$20="","",IF(INDEX('Final Calculation Sheet'!$AF$4:$AF$40,$AL$20)="","",INDEX('Final Calculation Sheet'!$AF$4:$AF$40,$AL$20)))</f>
        <v/>
      </c>
      <c r="AH20" s="135">
        <f>IF($AL$20="","",IF(INDEX('Final Calculation Sheet'!$AG$4:$AG$40,$AL$20)="","",INDEX('Final Calculation Sheet'!$AG$4:$AG$40,$AL$20)))</f>
        <v/>
      </c>
      <c r="AI20" s="131">
        <f>IF($AL$20="","",IF(INDEX('Final Calculation Sheet'!$AH$4:$AH$40,$AL$20)="","",INDEX('Final Calculation Sheet'!$AH$4:$AH$40,$AL$20)))</f>
        <v/>
      </c>
      <c r="AJ20">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0">
        <f>IF(AJ20=1,COUNTIF(AJ$6:AJ20,1),"")</f>
        <v/>
      </c>
      <c r="AL20">
        <f>IF(COUNTIF($B$4:$AI$4,"&lt;&gt;")=0,"",IFERROR(MATCH(14,$AK$6:$AK$42,0),""))</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c r="DG20">
        <f>IF($B$4="",1,IF($B$4="(blank)",--('Final Calculation Sheet'!$F$18=""),IF($B$4="(nonblank)",--('Final Calculation Sheet'!$F$18&lt;&gt;""),--ISNUMBER(SEARCH($B$4,'Final Calculation Sheet'!$F$18)))))</f>
        <v/>
      </c>
      <c r="DH20">
        <f>IF($C$4="",1,IF($C$4="(blank)",--('Final Calculation Sheet'!$G$18=""),IF($C$4="(nonblank)",--('Final Calculation Sheet'!$G$18&lt;&gt;""),--ISNUMBER(SEARCH($C$4,'Final Calculation Sheet'!$G$18)))))</f>
        <v/>
      </c>
      <c r="DI20">
        <f>IF($D$4="",1,IF($D$4="(blank)",--('Final Calculation Sheet'!$B$18=""),IF($D$4="(nonblank)",--('Final Calculation Sheet'!$B$18&lt;&gt;""),--ISNUMBER(SEARCH($D$4,'Final Calculation Sheet'!$B$18)))))</f>
        <v/>
      </c>
      <c r="DJ20">
        <f>IF($E$4="",1,IF($E$4="(blank)",--('Final Calculation Sheet'!$D$18=""),IF($E$4="(nonblank)",--('Final Calculation Sheet'!$D$18&lt;&gt;""),--ISNUMBER(SEARCH($E$4,'Final Calculation Sheet'!$D$18)))))</f>
        <v/>
      </c>
      <c r="DK20">
        <f>IF($F$4="",1,IF($F$4="(blank)",--('Final Calculation Sheet'!$A$18=""),IF($F$4="(nonblank)",--('Final Calculation Sheet'!$A$18&lt;&gt;""),--ISNUMBER(SEARCH($F$4,'Final Calculation Sheet'!$A$18)))))</f>
        <v/>
      </c>
      <c r="DL20">
        <f>IF($G$4="",1,IF($G$4="(blank)",--('Final Calculation Sheet'!$E$18=""),IF($G$4="(nonblank)",--('Final Calculation Sheet'!$E$18&lt;&gt;""),--ISNUMBER(SEARCH($G$4,'Final Calculation Sheet'!$E$18)))))</f>
        <v/>
      </c>
      <c r="DM20">
        <f>IF($H$4="",1,IF($H$4="(blank)",--('Final Calculation Sheet'!$C$18=""),IF($H$4="(nonblank)",--('Final Calculation Sheet'!$C$18&lt;&gt;""),--ISNUMBER(SEARCH($H$4,'Final Calculation Sheet'!$C$18)))))</f>
        <v/>
      </c>
      <c r="DN20">
        <f>IF($I$4="",1,IF($I$4="(blank)",--('Final Calculation Sheet'!$H$18=""),IF($I$4="(nonblank)",--('Final Calculation Sheet'!$H$18&lt;&gt;""),--ISNUMBER(SEARCH($I$4,'Final Calculation Sheet'!$H$18)))))</f>
        <v/>
      </c>
      <c r="DO20">
        <f>IF($J$4="",1,IF($J$4="(blank)",--('Final Calculation Sheet'!$I$18=""),IF($J$4="(nonblank)",--('Final Calculation Sheet'!$I$18&lt;&gt;""),--ISNUMBER(SEARCH($J$4,'Final Calculation Sheet'!$I$18)))))</f>
        <v/>
      </c>
      <c r="DP20">
        <f>IF($K$4="",1,IF($K$4="(blank)",--('Final Calculation Sheet'!$J$18=""),IF($K$4="(nonblank)",--('Final Calculation Sheet'!$J$18&lt;&gt;""),--ISNUMBER(SEARCH($K$4,'Final Calculation Sheet'!$J$18)))))</f>
        <v/>
      </c>
      <c r="DQ20">
        <f>IF($L$4="",1,IF($L$4="(blank)",--('Final Calculation Sheet'!$K$18=""),IF($L$4="(nonblank)",--('Final Calculation Sheet'!$K$18&lt;&gt;""),--ISNUMBER(SEARCH($L$4,'Final Calculation Sheet'!$K$18)))))</f>
        <v/>
      </c>
      <c r="DR20">
        <f>IF($M$4="",1,IF($M$4="(blank)",--('Final Calculation Sheet'!$L$18=""),IF($M$4="(nonblank)",--('Final Calculation Sheet'!$L$18&lt;&gt;""),--ISNUMBER(SEARCH($M$4,'Final Calculation Sheet'!$L$18)))))</f>
        <v/>
      </c>
      <c r="DS20">
        <f>IF($N$4="",1,IF($N$4="(blank)",--('Final Calculation Sheet'!$M$18=""),IF($N$4="(nonblank)",--('Final Calculation Sheet'!$M$18&lt;&gt;""),--ISNUMBER(SEARCH($N$4,'Final Calculation Sheet'!$M$18)))))</f>
        <v/>
      </c>
      <c r="DT20">
        <f>IF($O$4="",1,IF($O$4="(blank)",--('Final Calculation Sheet'!$N$18=""),IF($O$4="(nonblank)",--('Final Calculation Sheet'!$N$18&lt;&gt;""),--ISNUMBER(SEARCH($O$4,'Final Calculation Sheet'!$N$18)))))</f>
        <v/>
      </c>
      <c r="DU20">
        <f>IF($P$4="",1,IF($P$4="(blank)",--('Final Calculation Sheet'!$O$18=""),IF($P$4="(nonblank)",--('Final Calculation Sheet'!$O$18&lt;&gt;""),--ISNUMBER(SEARCH($P$4,'Final Calculation Sheet'!$O$18)))))</f>
        <v/>
      </c>
      <c r="DV20">
        <f>IF($Q$4="",1,IF($Q$4="(blank)",--('Final Calculation Sheet'!$P$18=""),IF($Q$4="(nonblank)",--('Final Calculation Sheet'!$P$18&lt;&gt;""),--ISNUMBER(SEARCH($Q$4,'Final Calculation Sheet'!$P$18)))))</f>
        <v/>
      </c>
      <c r="DW20">
        <f>IF($R$4="",1,IF($R$4="(blank)",--('Final Calculation Sheet'!$Q$18=""),IF($R$4="(nonblank)",--('Final Calculation Sheet'!$Q$18&lt;&gt;""),--ISNUMBER(SEARCH($R$4,'Final Calculation Sheet'!$Q$18)))))</f>
        <v/>
      </c>
      <c r="DX20">
        <f>IF($S$4="",1,IF($S$4="(blank)",--('Final Calculation Sheet'!$R$18=""),IF($S$4="(nonblank)",--('Final Calculation Sheet'!$R$18&lt;&gt;""),--ISNUMBER(SEARCH($S$4,'Final Calculation Sheet'!$R$18)))))</f>
        <v/>
      </c>
      <c r="DY20">
        <f>IF($T$4="",1,IF($T$4="(blank)",--('Final Calculation Sheet'!$S$18=""),IF($T$4="(nonblank)",--('Final Calculation Sheet'!$S$18&lt;&gt;""),--ISNUMBER(SEARCH($T$4,'Final Calculation Sheet'!$S$18)))))</f>
        <v/>
      </c>
      <c r="DZ20">
        <f>IF($U$4="",1,IF($U$4="(blank)",--('Final Calculation Sheet'!$T$18=""),IF($U$4="(nonblank)",--('Final Calculation Sheet'!$T$18&lt;&gt;""),--ISNUMBER(SEARCH($U$4,'Final Calculation Sheet'!$T$18)))))</f>
        <v/>
      </c>
      <c r="EA20">
        <f>IF($V$4="",1,IF($V$4="(blank)",--('Final Calculation Sheet'!$U$18=""),IF($V$4="(nonblank)",--('Final Calculation Sheet'!$U$18&lt;&gt;""),--ISNUMBER(SEARCH($V$4,'Final Calculation Sheet'!$U$18)))))</f>
        <v/>
      </c>
      <c r="EB20">
        <f>IF($W$4="",1,IF($W$4="(blank)",--('Final Calculation Sheet'!$V$18=""),IF($W$4="(nonblank)",--('Final Calculation Sheet'!$V$18&lt;&gt;""),--ISNUMBER(SEARCH($W$4,'Final Calculation Sheet'!$V$18)))))</f>
        <v/>
      </c>
      <c r="EC20">
        <f>IF($X$4="",1,IF($X$4="(blank)",--('Final Calculation Sheet'!$W$18=""),IF($X$4="(nonblank)",--('Final Calculation Sheet'!$W$18&lt;&gt;""),--ISNUMBER(SEARCH($X$4,'Final Calculation Sheet'!$W$18)))))</f>
        <v/>
      </c>
      <c r="ED20">
        <f>IF($Y$4="",1,IF($Y$4="(blank)",--('Final Calculation Sheet'!$X$18=""),IF($Y$4="(nonblank)",--('Final Calculation Sheet'!$X$18&lt;&gt;""),--ISNUMBER(SEARCH($Y$4,'Final Calculation Sheet'!$X$18)))))</f>
        <v/>
      </c>
      <c r="EE20">
        <f>IF($Z$4="",1,IF($Z$4="(blank)",--('Final Calculation Sheet'!$Y$18=""),IF($Z$4="(nonblank)",--('Final Calculation Sheet'!$Y$18&lt;&gt;""),--ISNUMBER(SEARCH($Z$4,'Final Calculation Sheet'!$Y$18)))))</f>
        <v/>
      </c>
      <c r="EF20">
        <f>IF($AA$4="",1,IF($AA$4="(blank)",--('Final Calculation Sheet'!$Z$18=""),IF($AA$4="(nonblank)",--('Final Calculation Sheet'!$Z$18&lt;&gt;""),--ISNUMBER(SEARCH($AA$4,'Final Calculation Sheet'!$Z$18)))))</f>
        <v/>
      </c>
      <c r="EG20">
        <f>IF($AB$4="",1,IF($AB$4="(blank)",--('Final Calculation Sheet'!$AA$18=""),IF($AB$4="(nonblank)",--('Final Calculation Sheet'!$AA$18&lt;&gt;""),--ISNUMBER(SEARCH($AB$4,'Final Calculation Sheet'!$AA$18)))))</f>
        <v/>
      </c>
      <c r="EH20">
        <f>IF($AC$4="",1,IF($AC$4="(blank)",--('Final Calculation Sheet'!$AB$18=""),IF($AC$4="(nonblank)",--('Final Calculation Sheet'!$AB$18&lt;&gt;""),--ISNUMBER(SEARCH($AC$4,'Final Calculation Sheet'!$AB$18)))))</f>
        <v/>
      </c>
      <c r="EI20">
        <f>IF($AD$4="",1,IF($AD$4="(blank)",--('Final Calculation Sheet'!$AC$18=""),IF($AD$4="(nonblank)",--('Final Calculation Sheet'!$AC$18&lt;&gt;""),--ISNUMBER(SEARCH($AD$4,'Final Calculation Sheet'!$AC$18)))))</f>
        <v/>
      </c>
      <c r="EJ20">
        <f>IF($AE$4="",1,IF($AE$4="(blank)",--('Final Calculation Sheet'!$AD$18=""),IF($AE$4="(nonblank)",--('Final Calculation Sheet'!$AD$18&lt;&gt;""),--ISNUMBER(SEARCH($AE$4,'Final Calculation Sheet'!$AD$18)))))</f>
        <v/>
      </c>
      <c r="EK20">
        <f>IF($AF$4="",1,IF($AF$4="(blank)",--(IF('Final Calculation Sheet'!$AD$18&lt;=5,"SETTLED","OUTSTANDING")=""),IF($AF$4="(nonblank)",--(IF('Final Calculation Sheet'!$AD$18&lt;=5,"SETTLED","OUTSTANDING")&lt;&gt;""),--ISNUMBER(SEARCH($AF$4,IF('Final Calculation Sheet'!$AD$18&lt;=5,"SETTLED","OUTSTANDING"))))))</f>
        <v/>
      </c>
      <c r="EL20">
        <f>IF($AG$4="",1,IF($AG$4="(blank)",--('Final Calculation Sheet'!$AF$18=""),IF($AG$4="(nonblank)",--('Final Calculation Sheet'!$AF$18&lt;&gt;""),--ISNUMBER(SEARCH($AG$4,'Final Calculation Sheet'!$AF$18)))))</f>
        <v/>
      </c>
      <c r="EM20">
        <f>IF($AH$4="",1,IF($AH$4="(blank)",--('Final Calculation Sheet'!$AG$18=""),IF($AH$4="(nonblank)",--('Final Calculation Sheet'!$AG$18&lt;&gt;""),--ISNUMBER(SEARCH($AH$4,'Final Calculation Sheet'!$AG$18)))))</f>
        <v/>
      </c>
      <c r="EN20">
        <f>IF($AI$4="",1,IF($AI$4="(blank)",--('Final Calculation Sheet'!$AH$18=""),IF($AI$4="(nonblank)",--('Final Calculation Sheet'!$AH$18&lt;&gt;""),--ISNUMBER(SEARCH($AI$4,'Final Calculation Sheet'!$AH$18)))))</f>
        <v/>
      </c>
    </row>
    <row r="21" outlineLevel="1" hidden="1">
      <c r="A21" s="118">
        <f>IF($AL$21="","",15)</f>
        <v/>
      </c>
      <c r="B21" s="119">
        <f>IF($AL$21="","",IF(INDEX('Final Calculation Sheet'!$F$4:$F$40,$AL$21)="","",INDEX('Final Calculation Sheet'!$F$4:$F$40,$AL$21)))</f>
        <v/>
      </c>
      <c r="C21" s="119">
        <f>IF($AL$21="","",IF(INDEX('Final Calculation Sheet'!$G$4:$G$40,$AL$21)="","",INDEX('Final Calculation Sheet'!$G$4:$G$40,$AL$21)))</f>
        <v/>
      </c>
      <c r="D21" s="121">
        <f>IF($AL$21="","",IF(INDEX('Final Calculation Sheet'!$B$4:$B$40,$AL$21)="","",INDEX('Final Calculation Sheet'!$B$4:$B$40,$AL$21)))</f>
        <v/>
      </c>
      <c r="E21" s="121">
        <f>IF($AL$21="","",IF(INDEX('Final Calculation Sheet'!$D$4:$D$40,$AL$21)="","",INDEX('Final Calculation Sheet'!$D$4:$D$40,$AL$21)))</f>
        <v/>
      </c>
      <c r="F21" s="121">
        <f>IF($AL$21="","",IF(INDEX('Final Calculation Sheet'!$A$4:$A$40,$AL$21)="","",INDEX('Final Calculation Sheet'!$A$4:$A$40,$AL$21)))</f>
        <v/>
      </c>
      <c r="G21" s="121">
        <f>IF($AL$21="","",IF(INDEX('Final Calculation Sheet'!$E$4:$E$40,$AL$21)="","",INDEX('Final Calculation Sheet'!$E$4:$E$40,$AL$21)))</f>
        <v/>
      </c>
      <c r="H21" s="122">
        <f>IF($AL$21="","",IF(INDEX('Final Calculation Sheet'!$C$4:$C$40,$AL$21)="","",INDEX('Final Calculation Sheet'!$C$4:$C$40,$AL$21)))</f>
        <v/>
      </c>
      <c r="I21" s="122">
        <f>IF($AL$21="","",IF(INDEX('Final Calculation Sheet'!$H$4:$H$40,$AL$21)="","",INDEX('Final Calculation Sheet'!$H$4:$H$40,$AL$21)))</f>
        <v/>
      </c>
      <c r="J21" s="122">
        <f>IF($AL$21="","",IF(INDEX('Final Calculation Sheet'!$I$4:$I$40,$AL$21)="","",INDEX('Final Calculation Sheet'!$I$4:$I$40,$AL$21)))</f>
        <v/>
      </c>
      <c r="K21" s="122">
        <f>IF($AL$21="","",IF(INDEX('Final Calculation Sheet'!$J$4:$J$40,$AL$21)="","",INDEX('Final Calculation Sheet'!$J$4:$J$40,$AL$21)))</f>
        <v/>
      </c>
      <c r="L21" s="122">
        <f>IF($AL$21="","",IF(INDEX('Final Calculation Sheet'!$K$4:$K$40,$AL$21)="","",INDEX('Final Calculation Sheet'!$K$4:$K$40,$AL$21)))</f>
        <v/>
      </c>
      <c r="M21" s="122">
        <f>IF($AL$21="","",IF(INDEX('Final Calculation Sheet'!$L$4:$L$40,$AL$21)="","",INDEX('Final Calculation Sheet'!$L$4:$L$40,$AL$21)))</f>
        <v/>
      </c>
      <c r="N21" s="122">
        <f>IF($AL$21="","",IF(INDEX('Final Calculation Sheet'!$M$4:$M$40,$AL$21)="","",INDEX('Final Calculation Sheet'!$M$4:$M$40,$AL$21)))</f>
        <v/>
      </c>
      <c r="O21" s="123">
        <f>IF($AL$21="","",IF(INDEX('Final Calculation Sheet'!$N$4:$N$40,$AL$21)="","",INDEX('Final Calculation Sheet'!$N$4:$N$40,$AL$21)))</f>
        <v/>
      </c>
      <c r="P21" s="122">
        <f>IF($AL$21="","",IF(INDEX('Final Calculation Sheet'!$O$4:$O$40,$AL$21)="","",INDEX('Final Calculation Sheet'!$O$4:$O$40,$AL$21)))</f>
        <v/>
      </c>
      <c r="Q21" s="122">
        <f>IF($AL$21="","",IF(INDEX('Final Calculation Sheet'!$P$4:$P$40,$AL$21)="","",INDEX('Final Calculation Sheet'!$P$4:$P$40,$AL$21)))</f>
        <v/>
      </c>
      <c r="R21" s="124">
        <f>IF($AL$21="","",IF(INDEX('Final Calculation Sheet'!$Q$4:$Q$40,$AL$21)="","",INDEX('Final Calculation Sheet'!$Q$4:$Q$40,$AL$21)))</f>
        <v/>
      </c>
      <c r="S21" s="122">
        <f>IF($AL$21="","",IF(INDEX('Final Calculation Sheet'!$R$4:$R$40,$AL$21)="","",INDEX('Final Calculation Sheet'!$R$4:$R$40,$AL$21)))</f>
        <v/>
      </c>
      <c r="T21" s="122">
        <f>IF($AL$21="","",IF(INDEX('Final Calculation Sheet'!$S$4:$S$40,$AL$21)="","",INDEX('Final Calculation Sheet'!$S$4:$S$40,$AL$21)))</f>
        <v/>
      </c>
      <c r="U21" s="122">
        <f>IF($AL$21="","",IF(INDEX('Final Calculation Sheet'!$T$4:$T$40,$AL$21)="","",INDEX('Final Calculation Sheet'!$T$4:$T$40,$AL$21)))</f>
        <v/>
      </c>
      <c r="V21" s="125">
        <f>IF($AL$21="","",IF(INDEX('Final Calculation Sheet'!$U$4:$U$40,$AL$21)="","",INDEX('Final Calculation Sheet'!$U$4:$U$40,$AL$21)))</f>
        <v/>
      </c>
      <c r="W21" s="122">
        <f>IF($AL$21="","",IF(INDEX('Final Calculation Sheet'!$V$4:$V$40,$AL$21)="","",INDEX('Final Calculation Sheet'!$V$4:$V$40,$AL$21)))</f>
        <v/>
      </c>
      <c r="X21" s="122">
        <f>IF($AL$21="","",IF(INDEX('Final Calculation Sheet'!$W$4:$W$40,$AL$21)="","",INDEX('Final Calculation Sheet'!$W$4:$W$40,$AL$21)))</f>
        <v/>
      </c>
      <c r="Y21" s="122">
        <f>IF($AL$21="","",IF(INDEX('Final Calculation Sheet'!$X$4:$X$40,$AL$21)="","",INDEX('Final Calculation Sheet'!$X$4:$X$40,$AL$21)))</f>
        <v/>
      </c>
      <c r="Z21" s="122">
        <f>IF($AL$21="","",IF(INDEX('Final Calculation Sheet'!$Y$4:$Y$40,$AL$21)="","",INDEX('Final Calculation Sheet'!$Y$4:$Y$40,$AL$21)))</f>
        <v/>
      </c>
      <c r="AA21" s="122">
        <f>IF($AL$21="","",IF(INDEX('Final Calculation Sheet'!$Z$4:$Z$40,$AL$21)="","",INDEX('Final Calculation Sheet'!$Z$4:$Z$40,$AL$21)))</f>
        <v/>
      </c>
      <c r="AB21" s="122">
        <f>IF($AL$21="","",IF(INDEX('Final Calculation Sheet'!$AA$4:$AA$40,$AL$21)="","",INDEX('Final Calculation Sheet'!$AA$4:$AA$40,$AL$21)))</f>
        <v/>
      </c>
      <c r="AC21" s="122">
        <f>IF($AL$21="","",IF(INDEX('Final Calculation Sheet'!$AB$4:$AB$40,$AL$21)="","",INDEX('Final Calculation Sheet'!$AB$4:$AB$40,$AL$21)))</f>
        <v/>
      </c>
      <c r="AD21" s="122">
        <f>IF($AL$21="","",IF(INDEX('Final Calculation Sheet'!$AC$4:$AC$40,$AL$21)="","",INDEX('Final Calculation Sheet'!$AC$4:$AC$40,$AL$21)))</f>
        <v/>
      </c>
      <c r="AE21" s="122">
        <f>IF($AL$21="","",IF(INDEX('Final Calculation Sheet'!$AD$4:$AD$40,$AL$21)="","",INDEX('Final Calculation Sheet'!$AD$4:$AD$40,$AL$21)))</f>
        <v/>
      </c>
      <c r="AF21" s="127">
        <f>IF($AL$21="","",IF(INDEX('Final Calculation Sheet'!$AD$4:$AD$40,$AL$21)&lt;=5,"SETTLED","OUTSTANDING"))</f>
        <v/>
      </c>
      <c r="AG21" s="122">
        <f>IF($AL$21="","",IF(INDEX('Final Calculation Sheet'!$AF$4:$AF$40,$AL$21)="","",INDEX('Final Calculation Sheet'!$AF$4:$AF$40,$AL$21)))</f>
        <v/>
      </c>
      <c r="AH21" s="126">
        <f>IF($AL$21="","",IF(INDEX('Final Calculation Sheet'!$AG$4:$AG$40,$AL$21)="","",INDEX('Final Calculation Sheet'!$AG$4:$AG$40,$AL$21)))</f>
        <v/>
      </c>
      <c r="AI21" s="122">
        <f>IF($AL$21="","",IF(INDEX('Final Calculation Sheet'!$AH$4:$AH$40,$AL$21)="","",INDEX('Final Calculation Sheet'!$AH$4:$AH$40,$AL$21)))</f>
        <v/>
      </c>
      <c r="AJ21">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1">
        <f>IF(AJ21=1,COUNTIF(AJ$6:AJ21,1),"")</f>
        <v/>
      </c>
      <c r="AL21">
        <f>IF(COUNTIF($B$4:$AI$4,"&lt;&gt;")=0,"",IFERROR(MATCH(15,$AK$6:$AK$42,0),""))</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c r="DG21">
        <f>IF($B$4="",1,IF($B$4="(blank)",--('Final Calculation Sheet'!$F$19=""),IF($B$4="(nonblank)",--('Final Calculation Sheet'!$F$19&lt;&gt;""),--ISNUMBER(SEARCH($B$4,'Final Calculation Sheet'!$F$19)))))</f>
        <v/>
      </c>
      <c r="DH21">
        <f>IF($C$4="",1,IF($C$4="(blank)",--('Final Calculation Sheet'!$G$19=""),IF($C$4="(nonblank)",--('Final Calculation Sheet'!$G$19&lt;&gt;""),--ISNUMBER(SEARCH($C$4,'Final Calculation Sheet'!$G$19)))))</f>
        <v/>
      </c>
      <c r="DI21">
        <f>IF($D$4="",1,IF($D$4="(blank)",--('Final Calculation Sheet'!$B$19=""),IF($D$4="(nonblank)",--('Final Calculation Sheet'!$B$19&lt;&gt;""),--ISNUMBER(SEARCH($D$4,'Final Calculation Sheet'!$B$19)))))</f>
        <v/>
      </c>
      <c r="DJ21">
        <f>IF($E$4="",1,IF($E$4="(blank)",--('Final Calculation Sheet'!$D$19=""),IF($E$4="(nonblank)",--('Final Calculation Sheet'!$D$19&lt;&gt;""),--ISNUMBER(SEARCH($E$4,'Final Calculation Sheet'!$D$19)))))</f>
        <v/>
      </c>
      <c r="DK21">
        <f>IF($F$4="",1,IF($F$4="(blank)",--('Final Calculation Sheet'!$A$19=""),IF($F$4="(nonblank)",--('Final Calculation Sheet'!$A$19&lt;&gt;""),--ISNUMBER(SEARCH($F$4,'Final Calculation Sheet'!$A$19)))))</f>
        <v/>
      </c>
      <c r="DL21">
        <f>IF($G$4="",1,IF($G$4="(blank)",--('Final Calculation Sheet'!$E$19=""),IF($G$4="(nonblank)",--('Final Calculation Sheet'!$E$19&lt;&gt;""),--ISNUMBER(SEARCH($G$4,'Final Calculation Sheet'!$E$19)))))</f>
        <v/>
      </c>
      <c r="DM21">
        <f>IF($H$4="",1,IF($H$4="(blank)",--('Final Calculation Sheet'!$C$19=""),IF($H$4="(nonblank)",--('Final Calculation Sheet'!$C$19&lt;&gt;""),--ISNUMBER(SEARCH($H$4,'Final Calculation Sheet'!$C$19)))))</f>
        <v/>
      </c>
      <c r="DN21">
        <f>IF($I$4="",1,IF($I$4="(blank)",--('Final Calculation Sheet'!$H$19=""),IF($I$4="(nonblank)",--('Final Calculation Sheet'!$H$19&lt;&gt;""),--ISNUMBER(SEARCH($I$4,'Final Calculation Sheet'!$H$19)))))</f>
        <v/>
      </c>
      <c r="DO21">
        <f>IF($J$4="",1,IF($J$4="(blank)",--('Final Calculation Sheet'!$I$19=""),IF($J$4="(nonblank)",--('Final Calculation Sheet'!$I$19&lt;&gt;""),--ISNUMBER(SEARCH($J$4,'Final Calculation Sheet'!$I$19)))))</f>
        <v/>
      </c>
      <c r="DP21">
        <f>IF($K$4="",1,IF($K$4="(blank)",--('Final Calculation Sheet'!$J$19=""),IF($K$4="(nonblank)",--('Final Calculation Sheet'!$J$19&lt;&gt;""),--ISNUMBER(SEARCH($K$4,'Final Calculation Sheet'!$J$19)))))</f>
        <v/>
      </c>
      <c r="DQ21">
        <f>IF($L$4="",1,IF($L$4="(blank)",--('Final Calculation Sheet'!$K$19=""),IF($L$4="(nonblank)",--('Final Calculation Sheet'!$K$19&lt;&gt;""),--ISNUMBER(SEARCH($L$4,'Final Calculation Sheet'!$K$19)))))</f>
        <v/>
      </c>
      <c r="DR21">
        <f>IF($M$4="",1,IF($M$4="(blank)",--('Final Calculation Sheet'!$L$19=""),IF($M$4="(nonblank)",--('Final Calculation Sheet'!$L$19&lt;&gt;""),--ISNUMBER(SEARCH($M$4,'Final Calculation Sheet'!$L$19)))))</f>
        <v/>
      </c>
      <c r="DS21">
        <f>IF($N$4="",1,IF($N$4="(blank)",--('Final Calculation Sheet'!$M$19=""),IF($N$4="(nonblank)",--('Final Calculation Sheet'!$M$19&lt;&gt;""),--ISNUMBER(SEARCH($N$4,'Final Calculation Sheet'!$M$19)))))</f>
        <v/>
      </c>
      <c r="DT21">
        <f>IF($O$4="",1,IF($O$4="(blank)",--('Final Calculation Sheet'!$N$19=""),IF($O$4="(nonblank)",--('Final Calculation Sheet'!$N$19&lt;&gt;""),--ISNUMBER(SEARCH($O$4,'Final Calculation Sheet'!$N$19)))))</f>
        <v/>
      </c>
      <c r="DU21">
        <f>IF($P$4="",1,IF($P$4="(blank)",--('Final Calculation Sheet'!$O$19=""),IF($P$4="(nonblank)",--('Final Calculation Sheet'!$O$19&lt;&gt;""),--ISNUMBER(SEARCH($P$4,'Final Calculation Sheet'!$O$19)))))</f>
        <v/>
      </c>
      <c r="DV21">
        <f>IF($Q$4="",1,IF($Q$4="(blank)",--('Final Calculation Sheet'!$P$19=""),IF($Q$4="(nonblank)",--('Final Calculation Sheet'!$P$19&lt;&gt;""),--ISNUMBER(SEARCH($Q$4,'Final Calculation Sheet'!$P$19)))))</f>
        <v/>
      </c>
      <c r="DW21">
        <f>IF($R$4="",1,IF($R$4="(blank)",--('Final Calculation Sheet'!$Q$19=""),IF($R$4="(nonblank)",--('Final Calculation Sheet'!$Q$19&lt;&gt;""),--ISNUMBER(SEARCH($R$4,'Final Calculation Sheet'!$Q$19)))))</f>
        <v/>
      </c>
      <c r="DX21">
        <f>IF($S$4="",1,IF($S$4="(blank)",--('Final Calculation Sheet'!$R$19=""),IF($S$4="(nonblank)",--('Final Calculation Sheet'!$R$19&lt;&gt;""),--ISNUMBER(SEARCH($S$4,'Final Calculation Sheet'!$R$19)))))</f>
        <v/>
      </c>
      <c r="DY21">
        <f>IF($T$4="",1,IF($T$4="(blank)",--('Final Calculation Sheet'!$S$19=""),IF($T$4="(nonblank)",--('Final Calculation Sheet'!$S$19&lt;&gt;""),--ISNUMBER(SEARCH($T$4,'Final Calculation Sheet'!$S$19)))))</f>
        <v/>
      </c>
      <c r="DZ21">
        <f>IF($U$4="",1,IF($U$4="(blank)",--('Final Calculation Sheet'!$T$19=""),IF($U$4="(nonblank)",--('Final Calculation Sheet'!$T$19&lt;&gt;""),--ISNUMBER(SEARCH($U$4,'Final Calculation Sheet'!$T$19)))))</f>
        <v/>
      </c>
      <c r="EA21">
        <f>IF($V$4="",1,IF($V$4="(blank)",--('Final Calculation Sheet'!$U$19=""),IF($V$4="(nonblank)",--('Final Calculation Sheet'!$U$19&lt;&gt;""),--ISNUMBER(SEARCH($V$4,'Final Calculation Sheet'!$U$19)))))</f>
        <v/>
      </c>
      <c r="EB21">
        <f>IF($W$4="",1,IF($W$4="(blank)",--('Final Calculation Sheet'!$V$19=""),IF($W$4="(nonblank)",--('Final Calculation Sheet'!$V$19&lt;&gt;""),--ISNUMBER(SEARCH($W$4,'Final Calculation Sheet'!$V$19)))))</f>
        <v/>
      </c>
      <c r="EC21">
        <f>IF($X$4="",1,IF($X$4="(blank)",--('Final Calculation Sheet'!$W$19=""),IF($X$4="(nonblank)",--('Final Calculation Sheet'!$W$19&lt;&gt;""),--ISNUMBER(SEARCH($X$4,'Final Calculation Sheet'!$W$19)))))</f>
        <v/>
      </c>
      <c r="ED21">
        <f>IF($Y$4="",1,IF($Y$4="(blank)",--('Final Calculation Sheet'!$X$19=""),IF($Y$4="(nonblank)",--('Final Calculation Sheet'!$X$19&lt;&gt;""),--ISNUMBER(SEARCH($Y$4,'Final Calculation Sheet'!$X$19)))))</f>
        <v/>
      </c>
      <c r="EE21">
        <f>IF($Z$4="",1,IF($Z$4="(blank)",--('Final Calculation Sheet'!$Y$19=""),IF($Z$4="(nonblank)",--('Final Calculation Sheet'!$Y$19&lt;&gt;""),--ISNUMBER(SEARCH($Z$4,'Final Calculation Sheet'!$Y$19)))))</f>
        <v/>
      </c>
      <c r="EF21">
        <f>IF($AA$4="",1,IF($AA$4="(blank)",--('Final Calculation Sheet'!$Z$19=""),IF($AA$4="(nonblank)",--('Final Calculation Sheet'!$Z$19&lt;&gt;""),--ISNUMBER(SEARCH($AA$4,'Final Calculation Sheet'!$Z$19)))))</f>
        <v/>
      </c>
      <c r="EG21">
        <f>IF($AB$4="",1,IF($AB$4="(blank)",--('Final Calculation Sheet'!$AA$19=""),IF($AB$4="(nonblank)",--('Final Calculation Sheet'!$AA$19&lt;&gt;""),--ISNUMBER(SEARCH($AB$4,'Final Calculation Sheet'!$AA$19)))))</f>
        <v/>
      </c>
      <c r="EH21">
        <f>IF($AC$4="",1,IF($AC$4="(blank)",--('Final Calculation Sheet'!$AB$19=""),IF($AC$4="(nonblank)",--('Final Calculation Sheet'!$AB$19&lt;&gt;""),--ISNUMBER(SEARCH($AC$4,'Final Calculation Sheet'!$AB$19)))))</f>
        <v/>
      </c>
      <c r="EI21">
        <f>IF($AD$4="",1,IF($AD$4="(blank)",--('Final Calculation Sheet'!$AC$19=""),IF($AD$4="(nonblank)",--('Final Calculation Sheet'!$AC$19&lt;&gt;""),--ISNUMBER(SEARCH($AD$4,'Final Calculation Sheet'!$AC$19)))))</f>
        <v/>
      </c>
      <c r="EJ21">
        <f>IF($AE$4="",1,IF($AE$4="(blank)",--('Final Calculation Sheet'!$AD$19=""),IF($AE$4="(nonblank)",--('Final Calculation Sheet'!$AD$19&lt;&gt;""),--ISNUMBER(SEARCH($AE$4,'Final Calculation Sheet'!$AD$19)))))</f>
        <v/>
      </c>
      <c r="EK21">
        <f>IF($AF$4="",1,IF($AF$4="(blank)",--(IF('Final Calculation Sheet'!$AD$19&lt;=5,"SETTLED","OUTSTANDING")=""),IF($AF$4="(nonblank)",--(IF('Final Calculation Sheet'!$AD$19&lt;=5,"SETTLED","OUTSTANDING")&lt;&gt;""),--ISNUMBER(SEARCH($AF$4,IF('Final Calculation Sheet'!$AD$19&lt;=5,"SETTLED","OUTSTANDING"))))))</f>
        <v/>
      </c>
      <c r="EL21">
        <f>IF($AG$4="",1,IF($AG$4="(blank)",--('Final Calculation Sheet'!$AF$19=""),IF($AG$4="(nonblank)",--('Final Calculation Sheet'!$AF$19&lt;&gt;""),--ISNUMBER(SEARCH($AG$4,'Final Calculation Sheet'!$AF$19)))))</f>
        <v/>
      </c>
      <c r="EM21">
        <f>IF($AH$4="",1,IF($AH$4="(blank)",--('Final Calculation Sheet'!$AG$19=""),IF($AH$4="(nonblank)",--('Final Calculation Sheet'!$AG$19&lt;&gt;""),--ISNUMBER(SEARCH($AH$4,'Final Calculation Sheet'!$AG$19)))))</f>
        <v/>
      </c>
      <c r="EN21">
        <f>IF($AI$4="",1,IF($AI$4="(blank)",--('Final Calculation Sheet'!$AH$19=""),IF($AI$4="(nonblank)",--('Final Calculation Sheet'!$AH$19&lt;&gt;""),--ISNUMBER(SEARCH($AI$4,'Final Calculation Sheet'!$AH$19)))))</f>
        <v/>
      </c>
    </row>
    <row r="22" outlineLevel="1" hidden="1">
      <c r="A22" s="128">
        <f>IF($AL$22="","",16)</f>
        <v/>
      </c>
      <c r="B22" s="129">
        <f>IF($AL$22="","",IF(INDEX('Final Calculation Sheet'!$F$4:$F$40,$AL$22)="","",INDEX('Final Calculation Sheet'!$F$4:$F$40,$AL$22)))</f>
        <v/>
      </c>
      <c r="C22" s="129">
        <f>IF($AL$22="","",IF(INDEX('Final Calculation Sheet'!$G$4:$G$40,$AL$22)="","",INDEX('Final Calculation Sheet'!$G$4:$G$40,$AL$22)))</f>
        <v/>
      </c>
      <c r="D22" s="130">
        <f>IF($AL$22="","",IF(INDEX('Final Calculation Sheet'!$B$4:$B$40,$AL$22)="","",INDEX('Final Calculation Sheet'!$B$4:$B$40,$AL$22)))</f>
        <v/>
      </c>
      <c r="E22" s="130">
        <f>IF($AL$22="","",IF(INDEX('Final Calculation Sheet'!$D$4:$D$40,$AL$22)="","",INDEX('Final Calculation Sheet'!$D$4:$D$40,$AL$22)))</f>
        <v/>
      </c>
      <c r="F22" s="130">
        <f>IF($AL$22="","",IF(INDEX('Final Calculation Sheet'!$A$4:$A$40,$AL$22)="","",INDEX('Final Calculation Sheet'!$A$4:$A$40,$AL$22)))</f>
        <v/>
      </c>
      <c r="G22" s="130">
        <f>IF($AL$22="","",IF(INDEX('Final Calculation Sheet'!$E$4:$E$40,$AL$22)="","",INDEX('Final Calculation Sheet'!$E$4:$E$40,$AL$22)))</f>
        <v/>
      </c>
      <c r="H22" s="131">
        <f>IF($AL$22="","",IF(INDEX('Final Calculation Sheet'!$C$4:$C$40,$AL$22)="","",INDEX('Final Calculation Sheet'!$C$4:$C$40,$AL$22)))</f>
        <v/>
      </c>
      <c r="I22" s="131">
        <f>IF($AL$22="","",IF(INDEX('Final Calculation Sheet'!$H$4:$H$40,$AL$22)="","",INDEX('Final Calculation Sheet'!$H$4:$H$40,$AL$22)))</f>
        <v/>
      </c>
      <c r="J22" s="131">
        <f>IF($AL$22="","",IF(INDEX('Final Calculation Sheet'!$I$4:$I$40,$AL$22)="","",INDEX('Final Calculation Sheet'!$I$4:$I$40,$AL$22)))</f>
        <v/>
      </c>
      <c r="K22" s="131">
        <f>IF($AL$22="","",IF(INDEX('Final Calculation Sheet'!$J$4:$J$40,$AL$22)="","",INDEX('Final Calculation Sheet'!$J$4:$J$40,$AL$22)))</f>
        <v/>
      </c>
      <c r="L22" s="131">
        <f>IF($AL$22="","",IF(INDEX('Final Calculation Sheet'!$K$4:$K$40,$AL$22)="","",INDEX('Final Calculation Sheet'!$K$4:$K$40,$AL$22)))</f>
        <v/>
      </c>
      <c r="M22" s="131">
        <f>IF($AL$22="","",IF(INDEX('Final Calculation Sheet'!$L$4:$L$40,$AL$22)="","",INDEX('Final Calculation Sheet'!$L$4:$L$40,$AL$22)))</f>
        <v/>
      </c>
      <c r="N22" s="131">
        <f>IF($AL$22="","",IF(INDEX('Final Calculation Sheet'!$M$4:$M$40,$AL$22)="","",INDEX('Final Calculation Sheet'!$M$4:$M$40,$AL$22)))</f>
        <v/>
      </c>
      <c r="O22" s="132">
        <f>IF($AL$22="","",IF(INDEX('Final Calculation Sheet'!$N$4:$N$40,$AL$22)="","",INDEX('Final Calculation Sheet'!$N$4:$N$40,$AL$22)))</f>
        <v/>
      </c>
      <c r="P22" s="131">
        <f>IF($AL$22="","",IF(INDEX('Final Calculation Sheet'!$O$4:$O$40,$AL$22)="","",INDEX('Final Calculation Sheet'!$O$4:$O$40,$AL$22)))</f>
        <v/>
      </c>
      <c r="Q22" s="131">
        <f>IF($AL$22="","",IF(INDEX('Final Calculation Sheet'!$P$4:$P$40,$AL$22)="","",INDEX('Final Calculation Sheet'!$P$4:$P$40,$AL$22)))</f>
        <v/>
      </c>
      <c r="R22" s="133">
        <f>IF($AL$22="","",IF(INDEX('Final Calculation Sheet'!$Q$4:$Q$40,$AL$22)="","",INDEX('Final Calculation Sheet'!$Q$4:$Q$40,$AL$22)))</f>
        <v/>
      </c>
      <c r="S22" s="131">
        <f>IF($AL$22="","",IF(INDEX('Final Calculation Sheet'!$R$4:$R$40,$AL$22)="","",INDEX('Final Calculation Sheet'!$R$4:$R$40,$AL$22)))</f>
        <v/>
      </c>
      <c r="T22" s="131">
        <f>IF($AL$22="","",IF(INDEX('Final Calculation Sheet'!$S$4:$S$40,$AL$22)="","",INDEX('Final Calculation Sheet'!$S$4:$S$40,$AL$22)))</f>
        <v/>
      </c>
      <c r="U22" s="131">
        <f>IF($AL$22="","",IF(INDEX('Final Calculation Sheet'!$T$4:$T$40,$AL$22)="","",INDEX('Final Calculation Sheet'!$T$4:$T$40,$AL$22)))</f>
        <v/>
      </c>
      <c r="V22" s="134">
        <f>IF($AL$22="","",IF(INDEX('Final Calculation Sheet'!$U$4:$U$40,$AL$22)="","",INDEX('Final Calculation Sheet'!$U$4:$U$40,$AL$22)))</f>
        <v/>
      </c>
      <c r="W22" s="131">
        <f>IF($AL$22="","",IF(INDEX('Final Calculation Sheet'!$V$4:$V$40,$AL$22)="","",INDEX('Final Calculation Sheet'!$V$4:$V$40,$AL$22)))</f>
        <v/>
      </c>
      <c r="X22" s="131">
        <f>IF($AL$22="","",IF(INDEX('Final Calculation Sheet'!$W$4:$W$40,$AL$22)="","",INDEX('Final Calculation Sheet'!$W$4:$W$40,$AL$22)))</f>
        <v/>
      </c>
      <c r="Y22" s="131">
        <f>IF($AL$22="","",IF(INDEX('Final Calculation Sheet'!$X$4:$X$40,$AL$22)="","",INDEX('Final Calculation Sheet'!$X$4:$X$40,$AL$22)))</f>
        <v/>
      </c>
      <c r="Z22" s="131">
        <f>IF($AL$22="","",IF(INDEX('Final Calculation Sheet'!$Y$4:$Y$40,$AL$22)="","",INDEX('Final Calculation Sheet'!$Y$4:$Y$40,$AL$22)))</f>
        <v/>
      </c>
      <c r="AA22" s="131">
        <f>IF($AL$22="","",IF(INDEX('Final Calculation Sheet'!$Z$4:$Z$40,$AL$22)="","",INDEX('Final Calculation Sheet'!$Z$4:$Z$40,$AL$22)))</f>
        <v/>
      </c>
      <c r="AB22" s="131">
        <f>IF($AL$22="","",IF(INDEX('Final Calculation Sheet'!$AA$4:$AA$40,$AL$22)="","",INDEX('Final Calculation Sheet'!$AA$4:$AA$40,$AL$22)))</f>
        <v/>
      </c>
      <c r="AC22" s="131">
        <f>IF($AL$22="","",IF(INDEX('Final Calculation Sheet'!$AB$4:$AB$40,$AL$22)="","",INDEX('Final Calculation Sheet'!$AB$4:$AB$40,$AL$22)))</f>
        <v/>
      </c>
      <c r="AD22" s="131">
        <f>IF($AL$22="","",IF(INDEX('Final Calculation Sheet'!$AC$4:$AC$40,$AL$22)="","",INDEX('Final Calculation Sheet'!$AC$4:$AC$40,$AL$22)))</f>
        <v/>
      </c>
      <c r="AE22" s="131">
        <f>IF($AL$22="","",IF(INDEX('Final Calculation Sheet'!$AD$4:$AD$40,$AL$22)="","",INDEX('Final Calculation Sheet'!$AD$4:$AD$40,$AL$22)))</f>
        <v/>
      </c>
      <c r="AF22" s="136">
        <f>IF($AL$22="","",IF(INDEX('Final Calculation Sheet'!$AD$4:$AD$40,$AL$22)&lt;=5,"SETTLED","OUTSTANDING"))</f>
        <v/>
      </c>
      <c r="AG22" s="131">
        <f>IF($AL$22="","",IF(INDEX('Final Calculation Sheet'!$AF$4:$AF$40,$AL$22)="","",INDEX('Final Calculation Sheet'!$AF$4:$AF$40,$AL$22)))</f>
        <v/>
      </c>
      <c r="AH22" s="135">
        <f>IF($AL$22="","",IF(INDEX('Final Calculation Sheet'!$AG$4:$AG$40,$AL$22)="","",INDEX('Final Calculation Sheet'!$AG$4:$AG$40,$AL$22)))</f>
        <v/>
      </c>
      <c r="AI22" s="131">
        <f>IF($AL$22="","",IF(INDEX('Final Calculation Sheet'!$AH$4:$AH$40,$AL$22)="","",INDEX('Final Calculation Sheet'!$AH$4:$AH$40,$AL$22)))</f>
        <v/>
      </c>
      <c r="AJ22">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22">
        <f>IF(AJ22=1,COUNTIF(AJ$6:AJ22,1),"")</f>
        <v/>
      </c>
      <c r="AL22">
        <f>IF(COUNTIF($B$4:$AI$4,"&lt;&gt;")=0,"",IFERROR(MATCH(16,$AK$6:$AK$42,0),""))</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c r="DG22">
        <f>IF($B$4="",1,IF($B$4="(blank)",--('Final Calculation Sheet'!$F$20=""),IF($B$4="(nonblank)",--('Final Calculation Sheet'!$F$20&lt;&gt;""),--ISNUMBER(SEARCH($B$4,'Final Calculation Sheet'!$F$20)))))</f>
        <v/>
      </c>
      <c r="DH22">
        <f>IF($C$4="",1,IF($C$4="(blank)",--('Final Calculation Sheet'!$G$20=""),IF($C$4="(nonblank)",--('Final Calculation Sheet'!$G$20&lt;&gt;""),--ISNUMBER(SEARCH($C$4,'Final Calculation Sheet'!$G$20)))))</f>
        <v/>
      </c>
      <c r="DI22">
        <f>IF($D$4="",1,IF($D$4="(blank)",--('Final Calculation Sheet'!$B$20=""),IF($D$4="(nonblank)",--('Final Calculation Sheet'!$B$20&lt;&gt;""),--ISNUMBER(SEARCH($D$4,'Final Calculation Sheet'!$B$20)))))</f>
        <v/>
      </c>
      <c r="DJ22">
        <f>IF($E$4="",1,IF($E$4="(blank)",--('Final Calculation Sheet'!$D$20=""),IF($E$4="(nonblank)",--('Final Calculation Sheet'!$D$20&lt;&gt;""),--ISNUMBER(SEARCH($E$4,'Final Calculation Sheet'!$D$20)))))</f>
        <v/>
      </c>
      <c r="DK22">
        <f>IF($F$4="",1,IF($F$4="(blank)",--('Final Calculation Sheet'!$A$20=""),IF($F$4="(nonblank)",--('Final Calculation Sheet'!$A$20&lt;&gt;""),--ISNUMBER(SEARCH($F$4,'Final Calculation Sheet'!$A$20)))))</f>
        <v/>
      </c>
      <c r="DL22">
        <f>IF($G$4="",1,IF($G$4="(blank)",--('Final Calculation Sheet'!$E$20=""),IF($G$4="(nonblank)",--('Final Calculation Sheet'!$E$20&lt;&gt;""),--ISNUMBER(SEARCH($G$4,'Final Calculation Sheet'!$E$20)))))</f>
        <v/>
      </c>
      <c r="DM22">
        <f>IF($H$4="",1,IF($H$4="(blank)",--('Final Calculation Sheet'!$C$20=""),IF($H$4="(nonblank)",--('Final Calculation Sheet'!$C$20&lt;&gt;""),--ISNUMBER(SEARCH($H$4,'Final Calculation Sheet'!$C$20)))))</f>
        <v/>
      </c>
      <c r="DN22">
        <f>IF($I$4="",1,IF($I$4="(blank)",--('Final Calculation Sheet'!$H$20=""),IF($I$4="(nonblank)",--('Final Calculation Sheet'!$H$20&lt;&gt;""),--ISNUMBER(SEARCH($I$4,'Final Calculation Sheet'!$H$20)))))</f>
        <v/>
      </c>
      <c r="DO22">
        <f>IF($J$4="",1,IF($J$4="(blank)",--('Final Calculation Sheet'!$I$20=""),IF($J$4="(nonblank)",--('Final Calculation Sheet'!$I$20&lt;&gt;""),--ISNUMBER(SEARCH($J$4,'Final Calculation Sheet'!$I$20)))))</f>
        <v/>
      </c>
      <c r="DP22">
        <f>IF($K$4="",1,IF($K$4="(blank)",--('Final Calculation Sheet'!$J$20=""),IF($K$4="(nonblank)",--('Final Calculation Sheet'!$J$20&lt;&gt;""),--ISNUMBER(SEARCH($K$4,'Final Calculation Sheet'!$J$20)))))</f>
        <v/>
      </c>
      <c r="DQ22">
        <f>IF($L$4="",1,IF($L$4="(blank)",--('Final Calculation Sheet'!$K$20=""),IF($L$4="(nonblank)",--('Final Calculation Sheet'!$K$20&lt;&gt;""),--ISNUMBER(SEARCH($L$4,'Final Calculation Sheet'!$K$20)))))</f>
        <v/>
      </c>
      <c r="DR22">
        <f>IF($M$4="",1,IF($M$4="(blank)",--('Final Calculation Sheet'!$L$20=""),IF($M$4="(nonblank)",--('Final Calculation Sheet'!$L$20&lt;&gt;""),--ISNUMBER(SEARCH($M$4,'Final Calculation Sheet'!$L$20)))))</f>
        <v/>
      </c>
      <c r="DS22">
        <f>IF($N$4="",1,IF($N$4="(blank)",--('Final Calculation Sheet'!$M$20=""),IF($N$4="(nonblank)",--('Final Calculation Sheet'!$M$20&lt;&gt;""),--ISNUMBER(SEARCH($N$4,'Final Calculation Sheet'!$M$20)))))</f>
        <v/>
      </c>
      <c r="DT22">
        <f>IF($O$4="",1,IF($O$4="(blank)",--('Final Calculation Sheet'!$N$20=""),IF($O$4="(nonblank)",--('Final Calculation Sheet'!$N$20&lt;&gt;""),--ISNUMBER(SEARCH($O$4,'Final Calculation Sheet'!$N$20)))))</f>
        <v/>
      </c>
      <c r="DU22">
        <f>IF($P$4="",1,IF($P$4="(blank)",--('Final Calculation Sheet'!$O$20=""),IF($P$4="(nonblank)",--('Final Calculation Sheet'!$O$20&lt;&gt;""),--ISNUMBER(SEARCH($P$4,'Final Calculation Sheet'!$O$20)))))</f>
        <v/>
      </c>
      <c r="DV22">
        <f>IF($Q$4="",1,IF($Q$4="(blank)",--('Final Calculation Sheet'!$P$20=""),IF($Q$4="(nonblank)",--('Final Calculation Sheet'!$P$20&lt;&gt;""),--ISNUMBER(SEARCH($Q$4,'Final Calculation Sheet'!$P$20)))))</f>
        <v/>
      </c>
      <c r="DW22">
        <f>IF($R$4="",1,IF($R$4="(blank)",--('Final Calculation Sheet'!$Q$20=""),IF($R$4="(nonblank)",--('Final Calculation Sheet'!$Q$20&lt;&gt;""),--ISNUMBER(SEARCH($R$4,'Final Calculation Sheet'!$Q$20)))))</f>
        <v/>
      </c>
      <c r="DX22">
        <f>IF($S$4="",1,IF($S$4="(blank)",--('Final Calculation Sheet'!$R$20=""),IF($S$4="(nonblank)",--('Final Calculation Sheet'!$R$20&lt;&gt;""),--ISNUMBER(SEARCH($S$4,'Final Calculation Sheet'!$R$20)))))</f>
        <v/>
      </c>
      <c r="DY22">
        <f>IF($T$4="",1,IF($T$4="(blank)",--('Final Calculation Sheet'!$S$20=""),IF($T$4="(nonblank)",--('Final Calculation Sheet'!$S$20&lt;&gt;""),--ISNUMBER(SEARCH($T$4,'Final Calculation Sheet'!$S$20)))))</f>
        <v/>
      </c>
      <c r="DZ22">
        <f>IF($U$4="",1,IF($U$4="(blank)",--('Final Calculation Sheet'!$T$20=""),IF($U$4="(nonblank)",--('Final Calculation Sheet'!$T$20&lt;&gt;""),--ISNUMBER(SEARCH($U$4,'Final Calculation Sheet'!$T$20)))))</f>
        <v/>
      </c>
      <c r="EA22">
        <f>IF($V$4="",1,IF($V$4="(blank)",--('Final Calculation Sheet'!$U$20=""),IF($V$4="(nonblank)",--('Final Calculation Sheet'!$U$20&lt;&gt;""),--ISNUMBER(SEARCH($V$4,'Final Calculation Sheet'!$U$20)))))</f>
        <v/>
      </c>
      <c r="EB22">
        <f>IF($W$4="",1,IF($W$4="(blank)",--('Final Calculation Sheet'!$V$20=""),IF($W$4="(nonblank)",--('Final Calculation Sheet'!$V$20&lt;&gt;""),--ISNUMBER(SEARCH($W$4,'Final Calculation Sheet'!$V$20)))))</f>
        <v/>
      </c>
      <c r="EC22">
        <f>IF($X$4="",1,IF($X$4="(blank)",--('Final Calculation Sheet'!$W$20=""),IF($X$4="(nonblank)",--('Final Calculation Sheet'!$W$20&lt;&gt;""),--ISNUMBER(SEARCH($X$4,'Final Calculation Sheet'!$W$20)))))</f>
        <v/>
      </c>
      <c r="ED22">
        <f>IF($Y$4="",1,IF($Y$4="(blank)",--('Final Calculation Sheet'!$X$20=""),IF($Y$4="(nonblank)",--('Final Calculation Sheet'!$X$20&lt;&gt;""),--ISNUMBER(SEARCH($Y$4,'Final Calculation Sheet'!$X$20)))))</f>
        <v/>
      </c>
      <c r="EE22">
        <f>IF($Z$4="",1,IF($Z$4="(blank)",--('Final Calculation Sheet'!$Y$20=""),IF($Z$4="(nonblank)",--('Final Calculation Sheet'!$Y$20&lt;&gt;""),--ISNUMBER(SEARCH($Z$4,'Final Calculation Sheet'!$Y$20)))))</f>
        <v/>
      </c>
      <c r="EF22">
        <f>IF($AA$4="",1,IF($AA$4="(blank)",--('Final Calculation Sheet'!$Z$20=""),IF($AA$4="(nonblank)",--('Final Calculation Sheet'!$Z$20&lt;&gt;""),--ISNUMBER(SEARCH($AA$4,'Final Calculation Sheet'!$Z$20)))))</f>
        <v/>
      </c>
      <c r="EG22">
        <f>IF($AB$4="",1,IF($AB$4="(blank)",--('Final Calculation Sheet'!$AA$20=""),IF($AB$4="(nonblank)",--('Final Calculation Sheet'!$AA$20&lt;&gt;""),--ISNUMBER(SEARCH($AB$4,'Final Calculation Sheet'!$AA$20)))))</f>
        <v/>
      </c>
      <c r="EH22">
        <f>IF($AC$4="",1,IF($AC$4="(blank)",--('Final Calculation Sheet'!$AB$20=""),IF($AC$4="(nonblank)",--('Final Calculation Sheet'!$AB$20&lt;&gt;""),--ISNUMBER(SEARCH($AC$4,'Final Calculation Sheet'!$AB$20)))))</f>
        <v/>
      </c>
      <c r="EI22">
        <f>IF($AD$4="",1,IF($AD$4="(blank)",--('Final Calculation Sheet'!$AC$20=""),IF($AD$4="(nonblank)",--('Final Calculation Sheet'!$AC$20&lt;&gt;""),--ISNUMBER(SEARCH($AD$4,'Final Calculation Sheet'!$AC$20)))))</f>
        <v/>
      </c>
      <c r="EJ22">
        <f>IF($AE$4="",1,IF($AE$4="(blank)",--('Final Calculation Sheet'!$AD$20=""),IF($AE$4="(nonblank)",--('Final Calculation Sheet'!$AD$20&lt;&gt;""),--ISNUMBER(SEARCH($AE$4,'Final Calculation Sheet'!$AD$20)))))</f>
        <v/>
      </c>
      <c r="EK22">
        <f>IF($AF$4="",1,IF($AF$4="(blank)",--(IF('Final Calculation Sheet'!$AD$20&lt;=5,"SETTLED","OUTSTANDING")=""),IF($AF$4="(nonblank)",--(IF('Final Calculation Sheet'!$AD$20&lt;=5,"SETTLED","OUTSTANDING")&lt;&gt;""),--ISNUMBER(SEARCH($AF$4,IF('Final Calculation Sheet'!$AD$20&lt;=5,"SETTLED","OUTSTANDING"))))))</f>
        <v/>
      </c>
      <c r="EL22">
        <f>IF($AG$4="",1,IF($AG$4="(blank)",--('Final Calculation Sheet'!$AF$20=""),IF($AG$4="(nonblank)",--('Final Calculation Sheet'!$AF$20&lt;&gt;""),--ISNUMBER(SEARCH($AG$4,'Final Calculation Sheet'!$AF$20)))))</f>
        <v/>
      </c>
      <c r="EM22">
        <f>IF($AH$4="",1,IF($AH$4="(blank)",--('Final Calculation Sheet'!$AG$20=""),IF($AH$4="(nonblank)",--('Final Calculation Sheet'!$AG$20&lt;&gt;""),--ISNUMBER(SEARCH($AH$4,'Final Calculation Sheet'!$AG$20)))))</f>
        <v/>
      </c>
      <c r="EN22">
        <f>IF($AI$4="",1,IF($AI$4="(blank)",--('Final Calculation Sheet'!$AH$20=""),IF($AI$4="(nonblank)",--('Final Calculation Sheet'!$AH$20&lt;&gt;""),--ISNUMBER(SEARCH($AI$4,'Final Calculation Sheet'!$AH$20)))))</f>
        <v/>
      </c>
    </row>
    <row r="23" outlineLevel="1" hidden="1">
      <c r="A23" s="118">
        <f>IF($AL$23="","",17)</f>
        <v/>
      </c>
      <c r="B23" s="119">
        <f>IF($AL$23="","",IF(INDEX('Final Calculation Sheet'!$F$4:$F$40,$AL$23)="","",INDEX('Final Calculation Sheet'!$F$4:$F$40,$AL$23)))</f>
        <v/>
      </c>
      <c r="C23" s="119">
        <f>IF($AL$23="","",IF(INDEX('Final Calculation Sheet'!$G$4:$G$40,$AL$23)="","",INDEX('Final Calculation Sheet'!$G$4:$G$40,$AL$23)))</f>
        <v/>
      </c>
      <c r="D23" s="121">
        <f>IF($AL$23="","",IF(INDEX('Final Calculation Sheet'!$B$4:$B$40,$AL$23)="","",INDEX('Final Calculation Sheet'!$B$4:$B$40,$AL$23)))</f>
        <v/>
      </c>
      <c r="E23" s="121">
        <f>IF($AL$23="","",IF(INDEX('Final Calculation Sheet'!$D$4:$D$40,$AL$23)="","",INDEX('Final Calculation Sheet'!$D$4:$D$40,$AL$23)))</f>
        <v/>
      </c>
      <c r="F23" s="121">
        <f>IF($AL$23="","",IF(INDEX('Final Calculation Sheet'!$A$4:$A$40,$AL$23)="","",INDEX('Final Calculation Sheet'!$A$4:$A$40,$AL$23)))</f>
        <v/>
      </c>
      <c r="G23" s="121">
        <f>IF($AL$23="","",IF(INDEX('Final Calculation Sheet'!$E$4:$E$40,$AL$23)="","",INDEX('Final Calculation Sheet'!$E$4:$E$40,$AL$23)))</f>
        <v/>
      </c>
      <c r="H23" s="122">
        <f>IF($AL$23="","",IF(INDEX('Final Calculation Sheet'!$C$4:$C$40,$AL$23)="","",INDEX('Final Calculation Sheet'!$C$4:$C$40,$AL$23)))</f>
        <v/>
      </c>
      <c r="I23" s="122">
        <f>IF($AL$23="","",IF(INDEX('Final Calculation Sheet'!$H$4:$H$40,$AL$23)="","",INDEX('Final Calculation Sheet'!$H$4:$H$40,$AL$23)))</f>
        <v/>
      </c>
      <c r="J23" s="122">
        <f>IF($AL$23="","",IF(INDEX('Final Calculation Sheet'!$I$4:$I$40,$AL$23)="","",INDEX('Final Calculation Sheet'!$I$4:$I$40,$AL$23)))</f>
        <v/>
      </c>
      <c r="K23" s="122">
        <f>IF($AL$23="","",IF(INDEX('Final Calculation Sheet'!$J$4:$J$40,$AL$23)="","",INDEX('Final Calculation Sheet'!$J$4:$J$40,$AL$23)))</f>
        <v/>
      </c>
      <c r="L23" s="122">
        <f>IF($AL$23="","",IF(INDEX('Final Calculation Sheet'!$K$4:$K$40,$AL$23)="","",INDEX('Final Calculation Sheet'!$K$4:$K$40,$AL$23)))</f>
        <v/>
      </c>
      <c r="M23" s="122">
        <f>IF($AL$23="","",IF(INDEX('Final Calculation Sheet'!$L$4:$L$40,$AL$23)="","",INDEX('Final Calculation Sheet'!$L$4:$L$40,$AL$23)))</f>
        <v/>
      </c>
      <c r="N23" s="122">
        <f>IF($AL$23="","",IF(INDEX('Final Calculation Sheet'!$M$4:$M$40,$AL$23)="","",INDEX('Final Calculation Sheet'!$M$4:$M$40,$AL$23)))</f>
        <v/>
      </c>
      <c r="O23" s="123">
        <f>IF($AL$23="","",IF(INDEX('Final Calculation Sheet'!$N$4:$N$40,$AL$23)="","",INDEX('Final Calculation Sheet'!$N$4:$N$40,$AL$23)))</f>
        <v/>
      </c>
      <c r="P23" s="122">
        <f>IF($AL$23="","",IF(INDEX('Final Calculation Sheet'!$O$4:$O$40,$AL$23)="","",INDEX('Final Calculation Sheet'!$O$4:$O$40,$AL$23)))</f>
        <v/>
      </c>
      <c r="Q23" s="122">
        <f>IF($AL$23="","",IF(INDEX('Final Calculation Sheet'!$P$4:$P$40,$AL$23)="","",INDEX('Final Calculation Sheet'!$P$4:$P$40,$AL$23)))</f>
        <v/>
      </c>
      <c r="R23" s="124">
        <f>IF($AL$23="","",IF(INDEX('Final Calculation Sheet'!$Q$4:$Q$40,$AL$23)="","",INDEX('Final Calculation Sheet'!$Q$4:$Q$40,$AL$23)))</f>
        <v/>
      </c>
      <c r="S23" s="122">
        <f>IF($AL$23="","",IF(INDEX('Final Calculation Sheet'!$R$4:$R$40,$AL$23)="","",INDEX('Final Calculation Sheet'!$R$4:$R$40,$AL$23)))</f>
        <v/>
      </c>
      <c r="T23" s="122">
        <f>IF($AL$23="","",IF(INDEX('Final Calculation Sheet'!$S$4:$S$40,$AL$23)="","",INDEX('Final Calculation Sheet'!$S$4:$S$40,$AL$23)))</f>
        <v/>
      </c>
      <c r="U23" s="122">
        <f>IF($AL$23="","",IF(INDEX('Final Calculation Sheet'!$T$4:$T$40,$AL$23)="","",INDEX('Final Calculation Sheet'!$T$4:$T$40,$AL$23)))</f>
        <v/>
      </c>
      <c r="V23" s="125">
        <f>IF($AL$23="","",IF(INDEX('Final Calculation Sheet'!$U$4:$U$40,$AL$23)="","",INDEX('Final Calculation Sheet'!$U$4:$U$40,$AL$23)))</f>
        <v/>
      </c>
      <c r="W23" s="122">
        <f>IF($AL$23="","",IF(INDEX('Final Calculation Sheet'!$V$4:$V$40,$AL$23)="","",INDEX('Final Calculation Sheet'!$V$4:$V$40,$AL$23)))</f>
        <v/>
      </c>
      <c r="X23" s="122">
        <f>IF($AL$23="","",IF(INDEX('Final Calculation Sheet'!$W$4:$W$40,$AL$23)="","",INDEX('Final Calculation Sheet'!$W$4:$W$40,$AL$23)))</f>
        <v/>
      </c>
      <c r="Y23" s="122">
        <f>IF($AL$23="","",IF(INDEX('Final Calculation Sheet'!$X$4:$X$40,$AL$23)="","",INDEX('Final Calculation Sheet'!$X$4:$X$40,$AL$23)))</f>
        <v/>
      </c>
      <c r="Z23" s="122">
        <f>IF($AL$23="","",IF(INDEX('Final Calculation Sheet'!$Y$4:$Y$40,$AL$23)="","",INDEX('Final Calculation Sheet'!$Y$4:$Y$40,$AL$23)))</f>
        <v/>
      </c>
      <c r="AA23" s="122">
        <f>IF($AL$23="","",IF(INDEX('Final Calculation Sheet'!$Z$4:$Z$40,$AL$23)="","",INDEX('Final Calculation Sheet'!$Z$4:$Z$40,$AL$23)))</f>
        <v/>
      </c>
      <c r="AB23" s="122">
        <f>IF($AL$23="","",IF(INDEX('Final Calculation Sheet'!$AA$4:$AA$40,$AL$23)="","",INDEX('Final Calculation Sheet'!$AA$4:$AA$40,$AL$23)))</f>
        <v/>
      </c>
      <c r="AC23" s="122">
        <f>IF($AL$23="","",IF(INDEX('Final Calculation Sheet'!$AB$4:$AB$40,$AL$23)="","",INDEX('Final Calculation Sheet'!$AB$4:$AB$40,$AL$23)))</f>
        <v/>
      </c>
      <c r="AD23" s="122">
        <f>IF($AL$23="","",IF(INDEX('Final Calculation Sheet'!$AC$4:$AC$40,$AL$23)="","",INDEX('Final Calculation Sheet'!$AC$4:$AC$40,$AL$23)))</f>
        <v/>
      </c>
      <c r="AE23" s="122">
        <f>IF($AL$23="","",IF(INDEX('Final Calculation Sheet'!$AD$4:$AD$40,$AL$23)="","",INDEX('Final Calculation Sheet'!$AD$4:$AD$40,$AL$23)))</f>
        <v/>
      </c>
      <c r="AF23" s="127">
        <f>IF($AL$23="","",IF(INDEX('Final Calculation Sheet'!$AD$4:$AD$40,$AL$23)&lt;=5,"SETTLED","OUTSTANDING"))</f>
        <v/>
      </c>
      <c r="AG23" s="122">
        <f>IF($AL$23="","",IF(INDEX('Final Calculation Sheet'!$AF$4:$AF$40,$AL$23)="","",INDEX('Final Calculation Sheet'!$AF$4:$AF$40,$AL$23)))</f>
        <v/>
      </c>
      <c r="AH23" s="126">
        <f>IF($AL$23="","",IF(INDEX('Final Calculation Sheet'!$AG$4:$AG$40,$AL$23)="","",INDEX('Final Calculation Sheet'!$AG$4:$AG$40,$AL$23)))</f>
        <v/>
      </c>
      <c r="AI23" s="122">
        <f>IF($AL$23="","",IF(INDEX('Final Calculation Sheet'!$AH$4:$AH$40,$AL$23)="","",INDEX('Final Calculation Sheet'!$AH$4:$AH$40,$AL$23)))</f>
        <v/>
      </c>
      <c r="AJ23">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23">
        <f>IF(AJ23=1,COUNTIF(AJ$6:AJ23,1),"")</f>
        <v/>
      </c>
      <c r="AL23">
        <f>IF(COUNTIF($B$4:$AI$4,"&lt;&gt;")=0,"",IFERROR(MATCH(17,$AK$6:$AK$42,0),""))</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c r="DG23">
        <f>IF($B$4="",1,IF($B$4="(blank)",--('Final Calculation Sheet'!$F$21=""),IF($B$4="(nonblank)",--('Final Calculation Sheet'!$F$21&lt;&gt;""),--ISNUMBER(SEARCH($B$4,'Final Calculation Sheet'!$F$21)))))</f>
        <v/>
      </c>
      <c r="DH23">
        <f>IF($C$4="",1,IF($C$4="(blank)",--('Final Calculation Sheet'!$G$21=""),IF($C$4="(nonblank)",--('Final Calculation Sheet'!$G$21&lt;&gt;""),--ISNUMBER(SEARCH($C$4,'Final Calculation Sheet'!$G$21)))))</f>
        <v/>
      </c>
      <c r="DI23">
        <f>IF($D$4="",1,IF($D$4="(blank)",--('Final Calculation Sheet'!$B$21=""),IF($D$4="(nonblank)",--('Final Calculation Sheet'!$B$21&lt;&gt;""),--ISNUMBER(SEARCH($D$4,'Final Calculation Sheet'!$B$21)))))</f>
        <v/>
      </c>
      <c r="DJ23">
        <f>IF($E$4="",1,IF($E$4="(blank)",--('Final Calculation Sheet'!$D$21=""),IF($E$4="(nonblank)",--('Final Calculation Sheet'!$D$21&lt;&gt;""),--ISNUMBER(SEARCH($E$4,'Final Calculation Sheet'!$D$21)))))</f>
        <v/>
      </c>
      <c r="DK23">
        <f>IF($F$4="",1,IF($F$4="(blank)",--('Final Calculation Sheet'!$A$21=""),IF($F$4="(nonblank)",--('Final Calculation Sheet'!$A$21&lt;&gt;""),--ISNUMBER(SEARCH($F$4,'Final Calculation Sheet'!$A$21)))))</f>
        <v/>
      </c>
      <c r="DL23">
        <f>IF($G$4="",1,IF($G$4="(blank)",--('Final Calculation Sheet'!$E$21=""),IF($G$4="(nonblank)",--('Final Calculation Sheet'!$E$21&lt;&gt;""),--ISNUMBER(SEARCH($G$4,'Final Calculation Sheet'!$E$21)))))</f>
        <v/>
      </c>
      <c r="DM23">
        <f>IF($H$4="",1,IF($H$4="(blank)",--('Final Calculation Sheet'!$C$21=""),IF($H$4="(nonblank)",--('Final Calculation Sheet'!$C$21&lt;&gt;""),--ISNUMBER(SEARCH($H$4,'Final Calculation Sheet'!$C$21)))))</f>
        <v/>
      </c>
      <c r="DN23">
        <f>IF($I$4="",1,IF($I$4="(blank)",--('Final Calculation Sheet'!$H$21=""),IF($I$4="(nonblank)",--('Final Calculation Sheet'!$H$21&lt;&gt;""),--ISNUMBER(SEARCH($I$4,'Final Calculation Sheet'!$H$21)))))</f>
        <v/>
      </c>
      <c r="DO23">
        <f>IF($J$4="",1,IF($J$4="(blank)",--('Final Calculation Sheet'!$I$21=""),IF($J$4="(nonblank)",--('Final Calculation Sheet'!$I$21&lt;&gt;""),--ISNUMBER(SEARCH($J$4,'Final Calculation Sheet'!$I$21)))))</f>
        <v/>
      </c>
      <c r="DP23">
        <f>IF($K$4="",1,IF($K$4="(blank)",--('Final Calculation Sheet'!$J$21=""),IF($K$4="(nonblank)",--('Final Calculation Sheet'!$J$21&lt;&gt;""),--ISNUMBER(SEARCH($K$4,'Final Calculation Sheet'!$J$21)))))</f>
        <v/>
      </c>
      <c r="DQ23">
        <f>IF($L$4="",1,IF($L$4="(blank)",--('Final Calculation Sheet'!$K$21=""),IF($L$4="(nonblank)",--('Final Calculation Sheet'!$K$21&lt;&gt;""),--ISNUMBER(SEARCH($L$4,'Final Calculation Sheet'!$K$21)))))</f>
        <v/>
      </c>
      <c r="DR23">
        <f>IF($M$4="",1,IF($M$4="(blank)",--('Final Calculation Sheet'!$L$21=""),IF($M$4="(nonblank)",--('Final Calculation Sheet'!$L$21&lt;&gt;""),--ISNUMBER(SEARCH($M$4,'Final Calculation Sheet'!$L$21)))))</f>
        <v/>
      </c>
      <c r="DS23">
        <f>IF($N$4="",1,IF($N$4="(blank)",--('Final Calculation Sheet'!$M$21=""),IF($N$4="(nonblank)",--('Final Calculation Sheet'!$M$21&lt;&gt;""),--ISNUMBER(SEARCH($N$4,'Final Calculation Sheet'!$M$21)))))</f>
        <v/>
      </c>
      <c r="DT23">
        <f>IF($O$4="",1,IF($O$4="(blank)",--('Final Calculation Sheet'!$N$21=""),IF($O$4="(nonblank)",--('Final Calculation Sheet'!$N$21&lt;&gt;""),--ISNUMBER(SEARCH($O$4,'Final Calculation Sheet'!$N$21)))))</f>
        <v/>
      </c>
      <c r="DU23">
        <f>IF($P$4="",1,IF($P$4="(blank)",--('Final Calculation Sheet'!$O$21=""),IF($P$4="(nonblank)",--('Final Calculation Sheet'!$O$21&lt;&gt;""),--ISNUMBER(SEARCH($P$4,'Final Calculation Sheet'!$O$21)))))</f>
        <v/>
      </c>
      <c r="DV23">
        <f>IF($Q$4="",1,IF($Q$4="(blank)",--('Final Calculation Sheet'!$P$21=""),IF($Q$4="(nonblank)",--('Final Calculation Sheet'!$P$21&lt;&gt;""),--ISNUMBER(SEARCH($Q$4,'Final Calculation Sheet'!$P$21)))))</f>
        <v/>
      </c>
      <c r="DW23">
        <f>IF($R$4="",1,IF($R$4="(blank)",--('Final Calculation Sheet'!$Q$21=""),IF($R$4="(nonblank)",--('Final Calculation Sheet'!$Q$21&lt;&gt;""),--ISNUMBER(SEARCH($R$4,'Final Calculation Sheet'!$Q$21)))))</f>
        <v/>
      </c>
      <c r="DX23">
        <f>IF($S$4="",1,IF($S$4="(blank)",--('Final Calculation Sheet'!$R$21=""),IF($S$4="(nonblank)",--('Final Calculation Sheet'!$R$21&lt;&gt;""),--ISNUMBER(SEARCH($S$4,'Final Calculation Sheet'!$R$21)))))</f>
        <v/>
      </c>
      <c r="DY23">
        <f>IF($T$4="",1,IF($T$4="(blank)",--('Final Calculation Sheet'!$S$21=""),IF($T$4="(nonblank)",--('Final Calculation Sheet'!$S$21&lt;&gt;""),--ISNUMBER(SEARCH($T$4,'Final Calculation Sheet'!$S$21)))))</f>
        <v/>
      </c>
      <c r="DZ23">
        <f>IF($U$4="",1,IF($U$4="(blank)",--('Final Calculation Sheet'!$T$21=""),IF($U$4="(nonblank)",--('Final Calculation Sheet'!$T$21&lt;&gt;""),--ISNUMBER(SEARCH($U$4,'Final Calculation Sheet'!$T$21)))))</f>
        <v/>
      </c>
      <c r="EA23">
        <f>IF($V$4="",1,IF($V$4="(blank)",--('Final Calculation Sheet'!$U$21=""),IF($V$4="(nonblank)",--('Final Calculation Sheet'!$U$21&lt;&gt;""),--ISNUMBER(SEARCH($V$4,'Final Calculation Sheet'!$U$21)))))</f>
        <v/>
      </c>
      <c r="EB23">
        <f>IF($W$4="",1,IF($W$4="(blank)",--('Final Calculation Sheet'!$V$21=""),IF($W$4="(nonblank)",--('Final Calculation Sheet'!$V$21&lt;&gt;""),--ISNUMBER(SEARCH($W$4,'Final Calculation Sheet'!$V$21)))))</f>
        <v/>
      </c>
      <c r="EC23">
        <f>IF($X$4="",1,IF($X$4="(blank)",--('Final Calculation Sheet'!$W$21=""),IF($X$4="(nonblank)",--('Final Calculation Sheet'!$W$21&lt;&gt;""),--ISNUMBER(SEARCH($X$4,'Final Calculation Sheet'!$W$21)))))</f>
        <v/>
      </c>
      <c r="ED23">
        <f>IF($Y$4="",1,IF($Y$4="(blank)",--('Final Calculation Sheet'!$X$21=""),IF($Y$4="(nonblank)",--('Final Calculation Sheet'!$X$21&lt;&gt;""),--ISNUMBER(SEARCH($Y$4,'Final Calculation Sheet'!$X$21)))))</f>
        <v/>
      </c>
      <c r="EE23">
        <f>IF($Z$4="",1,IF($Z$4="(blank)",--('Final Calculation Sheet'!$Y$21=""),IF($Z$4="(nonblank)",--('Final Calculation Sheet'!$Y$21&lt;&gt;""),--ISNUMBER(SEARCH($Z$4,'Final Calculation Sheet'!$Y$21)))))</f>
        <v/>
      </c>
      <c r="EF23">
        <f>IF($AA$4="",1,IF($AA$4="(blank)",--('Final Calculation Sheet'!$Z$21=""),IF($AA$4="(nonblank)",--('Final Calculation Sheet'!$Z$21&lt;&gt;""),--ISNUMBER(SEARCH($AA$4,'Final Calculation Sheet'!$Z$21)))))</f>
        <v/>
      </c>
      <c r="EG23">
        <f>IF($AB$4="",1,IF($AB$4="(blank)",--('Final Calculation Sheet'!$AA$21=""),IF($AB$4="(nonblank)",--('Final Calculation Sheet'!$AA$21&lt;&gt;""),--ISNUMBER(SEARCH($AB$4,'Final Calculation Sheet'!$AA$21)))))</f>
        <v/>
      </c>
      <c r="EH23">
        <f>IF($AC$4="",1,IF($AC$4="(blank)",--('Final Calculation Sheet'!$AB$21=""),IF($AC$4="(nonblank)",--('Final Calculation Sheet'!$AB$21&lt;&gt;""),--ISNUMBER(SEARCH($AC$4,'Final Calculation Sheet'!$AB$21)))))</f>
        <v/>
      </c>
      <c r="EI23">
        <f>IF($AD$4="",1,IF($AD$4="(blank)",--('Final Calculation Sheet'!$AC$21=""),IF($AD$4="(nonblank)",--('Final Calculation Sheet'!$AC$21&lt;&gt;""),--ISNUMBER(SEARCH($AD$4,'Final Calculation Sheet'!$AC$21)))))</f>
        <v/>
      </c>
      <c r="EJ23">
        <f>IF($AE$4="",1,IF($AE$4="(blank)",--('Final Calculation Sheet'!$AD$21=""),IF($AE$4="(nonblank)",--('Final Calculation Sheet'!$AD$21&lt;&gt;""),--ISNUMBER(SEARCH($AE$4,'Final Calculation Sheet'!$AD$21)))))</f>
        <v/>
      </c>
      <c r="EK23">
        <f>IF($AF$4="",1,IF($AF$4="(blank)",--(IF('Final Calculation Sheet'!$AD$21&lt;=5,"SETTLED","OUTSTANDING")=""),IF($AF$4="(nonblank)",--(IF('Final Calculation Sheet'!$AD$21&lt;=5,"SETTLED","OUTSTANDING")&lt;&gt;""),--ISNUMBER(SEARCH($AF$4,IF('Final Calculation Sheet'!$AD$21&lt;=5,"SETTLED","OUTSTANDING"))))))</f>
        <v/>
      </c>
      <c r="EL23">
        <f>IF($AG$4="",1,IF($AG$4="(blank)",--('Final Calculation Sheet'!$AF$21=""),IF($AG$4="(nonblank)",--('Final Calculation Sheet'!$AF$21&lt;&gt;""),--ISNUMBER(SEARCH($AG$4,'Final Calculation Sheet'!$AF$21)))))</f>
        <v/>
      </c>
      <c r="EM23">
        <f>IF($AH$4="",1,IF($AH$4="(blank)",--('Final Calculation Sheet'!$AG$21=""),IF($AH$4="(nonblank)",--('Final Calculation Sheet'!$AG$21&lt;&gt;""),--ISNUMBER(SEARCH($AH$4,'Final Calculation Sheet'!$AG$21)))))</f>
        <v/>
      </c>
      <c r="EN23">
        <f>IF($AI$4="",1,IF($AI$4="(blank)",--('Final Calculation Sheet'!$AH$21=""),IF($AI$4="(nonblank)",--('Final Calculation Sheet'!$AH$21&lt;&gt;""),--ISNUMBER(SEARCH($AI$4,'Final Calculation Sheet'!$AH$21)))))</f>
        <v/>
      </c>
    </row>
    <row r="24" outlineLevel="1" hidden="1">
      <c r="A24" s="128">
        <f>IF($AL$24="","",18)</f>
        <v/>
      </c>
      <c r="B24" s="129">
        <f>IF($AL$24="","",IF(INDEX('Final Calculation Sheet'!$F$4:$F$40,$AL$24)="","",INDEX('Final Calculation Sheet'!$F$4:$F$40,$AL$24)))</f>
        <v/>
      </c>
      <c r="C24" s="129">
        <f>IF($AL$24="","",IF(INDEX('Final Calculation Sheet'!$G$4:$G$40,$AL$24)="","",INDEX('Final Calculation Sheet'!$G$4:$G$40,$AL$24)))</f>
        <v/>
      </c>
      <c r="D24" s="130">
        <f>IF($AL$24="","",IF(INDEX('Final Calculation Sheet'!$B$4:$B$40,$AL$24)="","",INDEX('Final Calculation Sheet'!$B$4:$B$40,$AL$24)))</f>
        <v/>
      </c>
      <c r="E24" s="130">
        <f>IF($AL$24="","",IF(INDEX('Final Calculation Sheet'!$D$4:$D$40,$AL$24)="","",INDEX('Final Calculation Sheet'!$D$4:$D$40,$AL$24)))</f>
        <v/>
      </c>
      <c r="F24" s="130">
        <f>IF($AL$24="","",IF(INDEX('Final Calculation Sheet'!$A$4:$A$40,$AL$24)="","",INDEX('Final Calculation Sheet'!$A$4:$A$40,$AL$24)))</f>
        <v/>
      </c>
      <c r="G24" s="130">
        <f>IF($AL$24="","",IF(INDEX('Final Calculation Sheet'!$E$4:$E$40,$AL$24)="","",INDEX('Final Calculation Sheet'!$E$4:$E$40,$AL$24)))</f>
        <v/>
      </c>
      <c r="H24" s="131">
        <f>IF($AL$24="","",IF(INDEX('Final Calculation Sheet'!$C$4:$C$40,$AL$24)="","",INDEX('Final Calculation Sheet'!$C$4:$C$40,$AL$24)))</f>
        <v/>
      </c>
      <c r="I24" s="131">
        <f>IF($AL$24="","",IF(INDEX('Final Calculation Sheet'!$H$4:$H$40,$AL$24)="","",INDEX('Final Calculation Sheet'!$H$4:$H$40,$AL$24)))</f>
        <v/>
      </c>
      <c r="J24" s="131">
        <f>IF($AL$24="","",IF(INDEX('Final Calculation Sheet'!$I$4:$I$40,$AL$24)="","",INDEX('Final Calculation Sheet'!$I$4:$I$40,$AL$24)))</f>
        <v/>
      </c>
      <c r="K24" s="131">
        <f>IF($AL$24="","",IF(INDEX('Final Calculation Sheet'!$J$4:$J$40,$AL$24)="","",INDEX('Final Calculation Sheet'!$J$4:$J$40,$AL$24)))</f>
        <v/>
      </c>
      <c r="L24" s="131">
        <f>IF($AL$24="","",IF(INDEX('Final Calculation Sheet'!$K$4:$K$40,$AL$24)="","",INDEX('Final Calculation Sheet'!$K$4:$K$40,$AL$24)))</f>
        <v/>
      </c>
      <c r="M24" s="131">
        <f>IF($AL$24="","",IF(INDEX('Final Calculation Sheet'!$L$4:$L$40,$AL$24)="","",INDEX('Final Calculation Sheet'!$L$4:$L$40,$AL$24)))</f>
        <v/>
      </c>
      <c r="N24" s="131">
        <f>IF($AL$24="","",IF(INDEX('Final Calculation Sheet'!$M$4:$M$40,$AL$24)="","",INDEX('Final Calculation Sheet'!$M$4:$M$40,$AL$24)))</f>
        <v/>
      </c>
      <c r="O24" s="132">
        <f>IF($AL$24="","",IF(INDEX('Final Calculation Sheet'!$N$4:$N$40,$AL$24)="","",INDEX('Final Calculation Sheet'!$N$4:$N$40,$AL$24)))</f>
        <v/>
      </c>
      <c r="P24" s="131">
        <f>IF($AL$24="","",IF(INDEX('Final Calculation Sheet'!$O$4:$O$40,$AL$24)="","",INDEX('Final Calculation Sheet'!$O$4:$O$40,$AL$24)))</f>
        <v/>
      </c>
      <c r="Q24" s="131">
        <f>IF($AL$24="","",IF(INDEX('Final Calculation Sheet'!$P$4:$P$40,$AL$24)="","",INDEX('Final Calculation Sheet'!$P$4:$P$40,$AL$24)))</f>
        <v/>
      </c>
      <c r="R24" s="133">
        <f>IF($AL$24="","",IF(INDEX('Final Calculation Sheet'!$Q$4:$Q$40,$AL$24)="","",INDEX('Final Calculation Sheet'!$Q$4:$Q$40,$AL$24)))</f>
        <v/>
      </c>
      <c r="S24" s="131">
        <f>IF($AL$24="","",IF(INDEX('Final Calculation Sheet'!$R$4:$R$40,$AL$24)="","",INDEX('Final Calculation Sheet'!$R$4:$R$40,$AL$24)))</f>
        <v/>
      </c>
      <c r="T24" s="131">
        <f>IF($AL$24="","",IF(INDEX('Final Calculation Sheet'!$S$4:$S$40,$AL$24)="","",INDEX('Final Calculation Sheet'!$S$4:$S$40,$AL$24)))</f>
        <v/>
      </c>
      <c r="U24" s="131">
        <f>IF($AL$24="","",IF(INDEX('Final Calculation Sheet'!$T$4:$T$40,$AL$24)="","",INDEX('Final Calculation Sheet'!$T$4:$T$40,$AL$24)))</f>
        <v/>
      </c>
      <c r="V24" s="134">
        <f>IF($AL$24="","",IF(INDEX('Final Calculation Sheet'!$U$4:$U$40,$AL$24)="","",INDEX('Final Calculation Sheet'!$U$4:$U$40,$AL$24)))</f>
        <v/>
      </c>
      <c r="W24" s="131">
        <f>IF($AL$24="","",IF(INDEX('Final Calculation Sheet'!$V$4:$V$40,$AL$24)="","",INDEX('Final Calculation Sheet'!$V$4:$V$40,$AL$24)))</f>
        <v/>
      </c>
      <c r="X24" s="131">
        <f>IF($AL$24="","",IF(INDEX('Final Calculation Sheet'!$W$4:$W$40,$AL$24)="","",INDEX('Final Calculation Sheet'!$W$4:$W$40,$AL$24)))</f>
        <v/>
      </c>
      <c r="Y24" s="131">
        <f>IF($AL$24="","",IF(INDEX('Final Calculation Sheet'!$X$4:$X$40,$AL$24)="","",INDEX('Final Calculation Sheet'!$X$4:$X$40,$AL$24)))</f>
        <v/>
      </c>
      <c r="Z24" s="131">
        <f>IF($AL$24="","",IF(INDEX('Final Calculation Sheet'!$Y$4:$Y$40,$AL$24)="","",INDEX('Final Calculation Sheet'!$Y$4:$Y$40,$AL$24)))</f>
        <v/>
      </c>
      <c r="AA24" s="131">
        <f>IF($AL$24="","",IF(INDEX('Final Calculation Sheet'!$Z$4:$Z$40,$AL$24)="","",INDEX('Final Calculation Sheet'!$Z$4:$Z$40,$AL$24)))</f>
        <v/>
      </c>
      <c r="AB24" s="131">
        <f>IF($AL$24="","",IF(INDEX('Final Calculation Sheet'!$AA$4:$AA$40,$AL$24)="","",INDEX('Final Calculation Sheet'!$AA$4:$AA$40,$AL$24)))</f>
        <v/>
      </c>
      <c r="AC24" s="131">
        <f>IF($AL$24="","",IF(INDEX('Final Calculation Sheet'!$AB$4:$AB$40,$AL$24)="","",INDEX('Final Calculation Sheet'!$AB$4:$AB$40,$AL$24)))</f>
        <v/>
      </c>
      <c r="AD24" s="131">
        <f>IF($AL$24="","",IF(INDEX('Final Calculation Sheet'!$AC$4:$AC$40,$AL$24)="","",INDEX('Final Calculation Sheet'!$AC$4:$AC$40,$AL$24)))</f>
        <v/>
      </c>
      <c r="AE24" s="131">
        <f>IF($AL$24="","",IF(INDEX('Final Calculation Sheet'!$AD$4:$AD$40,$AL$24)="","",INDEX('Final Calculation Sheet'!$AD$4:$AD$40,$AL$24)))</f>
        <v/>
      </c>
      <c r="AF24" s="136">
        <f>IF($AL$24="","",IF(INDEX('Final Calculation Sheet'!$AD$4:$AD$40,$AL$24)&lt;=5,"SETTLED","OUTSTANDING"))</f>
        <v/>
      </c>
      <c r="AG24" s="131">
        <f>IF($AL$24="","",IF(INDEX('Final Calculation Sheet'!$AF$4:$AF$40,$AL$24)="","",INDEX('Final Calculation Sheet'!$AF$4:$AF$40,$AL$24)))</f>
        <v/>
      </c>
      <c r="AH24" s="135">
        <f>IF($AL$24="","",IF(INDEX('Final Calculation Sheet'!$AG$4:$AG$40,$AL$24)="","",INDEX('Final Calculation Sheet'!$AG$4:$AG$40,$AL$24)))</f>
        <v/>
      </c>
      <c r="AI24" s="131">
        <f>IF($AL$24="","",IF(INDEX('Final Calculation Sheet'!$AH$4:$AH$40,$AL$24)="","",INDEX('Final Calculation Sheet'!$AH$4:$AH$40,$AL$24)))</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IF(AJ24=1,COUNTIF(AJ$6:AJ24,1),"")</f>
        <v/>
      </c>
      <c r="AL24">
        <f>IF(COUNTIF($B$4:$AI$4,"&lt;&gt;")=0,"",IFERROR(MATCH(18,$AK$6:$AK$42,0),""))</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c r="DG24">
        <f>IF($B$4="",1,IF($B$4="(blank)",--('Final Calculation Sheet'!$F$22=""),IF($B$4="(nonblank)",--('Final Calculation Sheet'!$F$22&lt;&gt;""),--ISNUMBER(SEARCH($B$4,'Final Calculation Sheet'!$F$22)))))</f>
        <v/>
      </c>
      <c r="DH24">
        <f>IF($C$4="",1,IF($C$4="(blank)",--('Final Calculation Sheet'!$G$22=""),IF($C$4="(nonblank)",--('Final Calculation Sheet'!$G$22&lt;&gt;""),--ISNUMBER(SEARCH($C$4,'Final Calculation Sheet'!$G$22)))))</f>
        <v/>
      </c>
      <c r="DI24">
        <f>IF($D$4="",1,IF($D$4="(blank)",--('Final Calculation Sheet'!$B$22=""),IF($D$4="(nonblank)",--('Final Calculation Sheet'!$B$22&lt;&gt;""),--ISNUMBER(SEARCH($D$4,'Final Calculation Sheet'!$B$22)))))</f>
        <v/>
      </c>
      <c r="DJ24">
        <f>IF($E$4="",1,IF($E$4="(blank)",--('Final Calculation Sheet'!$D$22=""),IF($E$4="(nonblank)",--('Final Calculation Sheet'!$D$22&lt;&gt;""),--ISNUMBER(SEARCH($E$4,'Final Calculation Sheet'!$D$22)))))</f>
        <v/>
      </c>
      <c r="DK24">
        <f>IF($F$4="",1,IF($F$4="(blank)",--('Final Calculation Sheet'!$A$22=""),IF($F$4="(nonblank)",--('Final Calculation Sheet'!$A$22&lt;&gt;""),--ISNUMBER(SEARCH($F$4,'Final Calculation Sheet'!$A$22)))))</f>
        <v/>
      </c>
      <c r="DL24">
        <f>IF($G$4="",1,IF($G$4="(blank)",--('Final Calculation Sheet'!$E$22=""),IF($G$4="(nonblank)",--('Final Calculation Sheet'!$E$22&lt;&gt;""),--ISNUMBER(SEARCH($G$4,'Final Calculation Sheet'!$E$22)))))</f>
        <v/>
      </c>
      <c r="DM24">
        <f>IF($H$4="",1,IF($H$4="(blank)",--('Final Calculation Sheet'!$C$22=""),IF($H$4="(nonblank)",--('Final Calculation Sheet'!$C$22&lt;&gt;""),--ISNUMBER(SEARCH($H$4,'Final Calculation Sheet'!$C$22)))))</f>
        <v/>
      </c>
      <c r="DN24">
        <f>IF($I$4="",1,IF($I$4="(blank)",--('Final Calculation Sheet'!$H$22=""),IF($I$4="(nonblank)",--('Final Calculation Sheet'!$H$22&lt;&gt;""),--ISNUMBER(SEARCH($I$4,'Final Calculation Sheet'!$H$22)))))</f>
        <v/>
      </c>
      <c r="DO24">
        <f>IF($J$4="",1,IF($J$4="(blank)",--('Final Calculation Sheet'!$I$22=""),IF($J$4="(nonblank)",--('Final Calculation Sheet'!$I$22&lt;&gt;""),--ISNUMBER(SEARCH($J$4,'Final Calculation Sheet'!$I$22)))))</f>
        <v/>
      </c>
      <c r="DP24">
        <f>IF($K$4="",1,IF($K$4="(blank)",--('Final Calculation Sheet'!$J$22=""),IF($K$4="(nonblank)",--('Final Calculation Sheet'!$J$22&lt;&gt;""),--ISNUMBER(SEARCH($K$4,'Final Calculation Sheet'!$J$22)))))</f>
        <v/>
      </c>
      <c r="DQ24">
        <f>IF($L$4="",1,IF($L$4="(blank)",--('Final Calculation Sheet'!$K$22=""),IF($L$4="(nonblank)",--('Final Calculation Sheet'!$K$22&lt;&gt;""),--ISNUMBER(SEARCH($L$4,'Final Calculation Sheet'!$K$22)))))</f>
        <v/>
      </c>
      <c r="DR24">
        <f>IF($M$4="",1,IF($M$4="(blank)",--('Final Calculation Sheet'!$L$22=""),IF($M$4="(nonblank)",--('Final Calculation Sheet'!$L$22&lt;&gt;""),--ISNUMBER(SEARCH($M$4,'Final Calculation Sheet'!$L$22)))))</f>
        <v/>
      </c>
      <c r="DS24">
        <f>IF($N$4="",1,IF($N$4="(blank)",--('Final Calculation Sheet'!$M$22=""),IF($N$4="(nonblank)",--('Final Calculation Sheet'!$M$22&lt;&gt;""),--ISNUMBER(SEARCH($N$4,'Final Calculation Sheet'!$M$22)))))</f>
        <v/>
      </c>
      <c r="DT24">
        <f>IF($O$4="",1,IF($O$4="(blank)",--('Final Calculation Sheet'!$N$22=""),IF($O$4="(nonblank)",--('Final Calculation Sheet'!$N$22&lt;&gt;""),--ISNUMBER(SEARCH($O$4,'Final Calculation Sheet'!$N$22)))))</f>
        <v/>
      </c>
      <c r="DU24">
        <f>IF($P$4="",1,IF($P$4="(blank)",--('Final Calculation Sheet'!$O$22=""),IF($P$4="(nonblank)",--('Final Calculation Sheet'!$O$22&lt;&gt;""),--ISNUMBER(SEARCH($P$4,'Final Calculation Sheet'!$O$22)))))</f>
        <v/>
      </c>
      <c r="DV24">
        <f>IF($Q$4="",1,IF($Q$4="(blank)",--('Final Calculation Sheet'!$P$22=""),IF($Q$4="(nonblank)",--('Final Calculation Sheet'!$P$22&lt;&gt;""),--ISNUMBER(SEARCH($Q$4,'Final Calculation Sheet'!$P$22)))))</f>
        <v/>
      </c>
      <c r="DW24">
        <f>IF($R$4="",1,IF($R$4="(blank)",--('Final Calculation Sheet'!$Q$22=""),IF($R$4="(nonblank)",--('Final Calculation Sheet'!$Q$22&lt;&gt;""),--ISNUMBER(SEARCH($R$4,'Final Calculation Sheet'!$Q$22)))))</f>
        <v/>
      </c>
      <c r="DX24">
        <f>IF($S$4="",1,IF($S$4="(blank)",--('Final Calculation Sheet'!$R$22=""),IF($S$4="(nonblank)",--('Final Calculation Sheet'!$R$22&lt;&gt;""),--ISNUMBER(SEARCH($S$4,'Final Calculation Sheet'!$R$22)))))</f>
        <v/>
      </c>
      <c r="DY24">
        <f>IF($T$4="",1,IF($T$4="(blank)",--('Final Calculation Sheet'!$S$22=""),IF($T$4="(nonblank)",--('Final Calculation Sheet'!$S$22&lt;&gt;""),--ISNUMBER(SEARCH($T$4,'Final Calculation Sheet'!$S$22)))))</f>
        <v/>
      </c>
      <c r="DZ24">
        <f>IF($U$4="",1,IF($U$4="(blank)",--('Final Calculation Sheet'!$T$22=""),IF($U$4="(nonblank)",--('Final Calculation Sheet'!$T$22&lt;&gt;""),--ISNUMBER(SEARCH($U$4,'Final Calculation Sheet'!$T$22)))))</f>
        <v/>
      </c>
      <c r="EA24">
        <f>IF($V$4="",1,IF($V$4="(blank)",--('Final Calculation Sheet'!$U$22=""),IF($V$4="(nonblank)",--('Final Calculation Sheet'!$U$22&lt;&gt;""),--ISNUMBER(SEARCH($V$4,'Final Calculation Sheet'!$U$22)))))</f>
        <v/>
      </c>
      <c r="EB24">
        <f>IF($W$4="",1,IF($W$4="(blank)",--('Final Calculation Sheet'!$V$22=""),IF($W$4="(nonblank)",--('Final Calculation Sheet'!$V$22&lt;&gt;""),--ISNUMBER(SEARCH($W$4,'Final Calculation Sheet'!$V$22)))))</f>
        <v/>
      </c>
      <c r="EC24">
        <f>IF($X$4="",1,IF($X$4="(blank)",--('Final Calculation Sheet'!$W$22=""),IF($X$4="(nonblank)",--('Final Calculation Sheet'!$W$22&lt;&gt;""),--ISNUMBER(SEARCH($X$4,'Final Calculation Sheet'!$W$22)))))</f>
        <v/>
      </c>
      <c r="ED24">
        <f>IF($Y$4="",1,IF($Y$4="(blank)",--('Final Calculation Sheet'!$X$22=""),IF($Y$4="(nonblank)",--('Final Calculation Sheet'!$X$22&lt;&gt;""),--ISNUMBER(SEARCH($Y$4,'Final Calculation Sheet'!$X$22)))))</f>
        <v/>
      </c>
      <c r="EE24">
        <f>IF($Z$4="",1,IF($Z$4="(blank)",--('Final Calculation Sheet'!$Y$22=""),IF($Z$4="(nonblank)",--('Final Calculation Sheet'!$Y$22&lt;&gt;""),--ISNUMBER(SEARCH($Z$4,'Final Calculation Sheet'!$Y$22)))))</f>
        <v/>
      </c>
      <c r="EF24">
        <f>IF($AA$4="",1,IF($AA$4="(blank)",--('Final Calculation Sheet'!$Z$22=""),IF($AA$4="(nonblank)",--('Final Calculation Sheet'!$Z$22&lt;&gt;""),--ISNUMBER(SEARCH($AA$4,'Final Calculation Sheet'!$Z$22)))))</f>
        <v/>
      </c>
      <c r="EG24">
        <f>IF($AB$4="",1,IF($AB$4="(blank)",--('Final Calculation Sheet'!$AA$22=""),IF($AB$4="(nonblank)",--('Final Calculation Sheet'!$AA$22&lt;&gt;""),--ISNUMBER(SEARCH($AB$4,'Final Calculation Sheet'!$AA$22)))))</f>
        <v/>
      </c>
      <c r="EH24">
        <f>IF($AC$4="",1,IF($AC$4="(blank)",--('Final Calculation Sheet'!$AB$22=""),IF($AC$4="(nonblank)",--('Final Calculation Sheet'!$AB$22&lt;&gt;""),--ISNUMBER(SEARCH($AC$4,'Final Calculation Sheet'!$AB$22)))))</f>
        <v/>
      </c>
      <c r="EI24">
        <f>IF($AD$4="",1,IF($AD$4="(blank)",--('Final Calculation Sheet'!$AC$22=""),IF($AD$4="(nonblank)",--('Final Calculation Sheet'!$AC$22&lt;&gt;""),--ISNUMBER(SEARCH($AD$4,'Final Calculation Sheet'!$AC$22)))))</f>
        <v/>
      </c>
      <c r="EJ24">
        <f>IF($AE$4="",1,IF($AE$4="(blank)",--('Final Calculation Sheet'!$AD$22=""),IF($AE$4="(nonblank)",--('Final Calculation Sheet'!$AD$22&lt;&gt;""),--ISNUMBER(SEARCH($AE$4,'Final Calculation Sheet'!$AD$22)))))</f>
        <v/>
      </c>
      <c r="EK24">
        <f>IF($AF$4="",1,IF($AF$4="(blank)",--(IF('Final Calculation Sheet'!$AD$22&lt;=5,"SETTLED","OUTSTANDING")=""),IF($AF$4="(nonblank)",--(IF('Final Calculation Sheet'!$AD$22&lt;=5,"SETTLED","OUTSTANDING")&lt;&gt;""),--ISNUMBER(SEARCH($AF$4,IF('Final Calculation Sheet'!$AD$22&lt;=5,"SETTLED","OUTSTANDING"))))))</f>
        <v/>
      </c>
      <c r="EL24">
        <f>IF($AG$4="",1,IF($AG$4="(blank)",--('Final Calculation Sheet'!$AF$22=""),IF($AG$4="(nonblank)",--('Final Calculation Sheet'!$AF$22&lt;&gt;""),--ISNUMBER(SEARCH($AG$4,'Final Calculation Sheet'!$AF$22)))))</f>
        <v/>
      </c>
      <c r="EM24">
        <f>IF($AH$4="",1,IF($AH$4="(blank)",--('Final Calculation Sheet'!$AG$22=""),IF($AH$4="(nonblank)",--('Final Calculation Sheet'!$AG$22&lt;&gt;""),--ISNUMBER(SEARCH($AH$4,'Final Calculation Sheet'!$AG$22)))))</f>
        <v/>
      </c>
      <c r="EN24">
        <f>IF($AI$4="",1,IF($AI$4="(blank)",--('Final Calculation Sheet'!$AH$22=""),IF($AI$4="(nonblank)",--('Final Calculation Sheet'!$AH$22&lt;&gt;""),--ISNUMBER(SEARCH($AI$4,'Final Calculation Sheet'!$AH$22)))))</f>
        <v/>
      </c>
    </row>
    <row r="25" outlineLevel="1" hidden="1">
      <c r="A25" s="118">
        <f>IF($AL$25="","",19)</f>
        <v/>
      </c>
      <c r="B25" s="119">
        <f>IF($AL$25="","",IF(INDEX('Final Calculation Sheet'!$F$4:$F$40,$AL$25)="","",INDEX('Final Calculation Sheet'!$F$4:$F$40,$AL$25)))</f>
        <v/>
      </c>
      <c r="C25" s="119">
        <f>IF($AL$25="","",IF(INDEX('Final Calculation Sheet'!$G$4:$G$40,$AL$25)="","",INDEX('Final Calculation Sheet'!$G$4:$G$40,$AL$25)))</f>
        <v/>
      </c>
      <c r="D25" s="121">
        <f>IF($AL$25="","",IF(INDEX('Final Calculation Sheet'!$B$4:$B$40,$AL$25)="","",INDEX('Final Calculation Sheet'!$B$4:$B$40,$AL$25)))</f>
        <v/>
      </c>
      <c r="E25" s="121">
        <f>IF($AL$25="","",IF(INDEX('Final Calculation Sheet'!$D$4:$D$40,$AL$25)="","",INDEX('Final Calculation Sheet'!$D$4:$D$40,$AL$25)))</f>
        <v/>
      </c>
      <c r="F25" s="121">
        <f>IF($AL$25="","",IF(INDEX('Final Calculation Sheet'!$A$4:$A$40,$AL$25)="","",INDEX('Final Calculation Sheet'!$A$4:$A$40,$AL$25)))</f>
        <v/>
      </c>
      <c r="G25" s="121">
        <f>IF($AL$25="","",IF(INDEX('Final Calculation Sheet'!$E$4:$E$40,$AL$25)="","",INDEX('Final Calculation Sheet'!$E$4:$E$40,$AL$25)))</f>
        <v/>
      </c>
      <c r="H25" s="122">
        <f>IF($AL$25="","",IF(INDEX('Final Calculation Sheet'!$C$4:$C$40,$AL$25)="","",INDEX('Final Calculation Sheet'!$C$4:$C$40,$AL$25)))</f>
        <v/>
      </c>
      <c r="I25" s="122">
        <f>IF($AL$25="","",IF(INDEX('Final Calculation Sheet'!$H$4:$H$40,$AL$25)="","",INDEX('Final Calculation Sheet'!$H$4:$H$40,$AL$25)))</f>
        <v/>
      </c>
      <c r="J25" s="122">
        <f>IF($AL$25="","",IF(INDEX('Final Calculation Sheet'!$I$4:$I$40,$AL$25)="","",INDEX('Final Calculation Sheet'!$I$4:$I$40,$AL$25)))</f>
        <v/>
      </c>
      <c r="K25" s="122">
        <f>IF($AL$25="","",IF(INDEX('Final Calculation Sheet'!$J$4:$J$40,$AL$25)="","",INDEX('Final Calculation Sheet'!$J$4:$J$40,$AL$25)))</f>
        <v/>
      </c>
      <c r="L25" s="122">
        <f>IF($AL$25="","",IF(INDEX('Final Calculation Sheet'!$K$4:$K$40,$AL$25)="","",INDEX('Final Calculation Sheet'!$K$4:$K$40,$AL$25)))</f>
        <v/>
      </c>
      <c r="M25" s="122">
        <f>IF($AL$25="","",IF(INDEX('Final Calculation Sheet'!$L$4:$L$40,$AL$25)="","",INDEX('Final Calculation Sheet'!$L$4:$L$40,$AL$25)))</f>
        <v/>
      </c>
      <c r="N25" s="122">
        <f>IF($AL$25="","",IF(INDEX('Final Calculation Sheet'!$M$4:$M$40,$AL$25)="","",INDEX('Final Calculation Sheet'!$M$4:$M$40,$AL$25)))</f>
        <v/>
      </c>
      <c r="O25" s="123">
        <f>IF($AL$25="","",IF(INDEX('Final Calculation Sheet'!$N$4:$N$40,$AL$25)="","",INDEX('Final Calculation Sheet'!$N$4:$N$40,$AL$25)))</f>
        <v/>
      </c>
      <c r="P25" s="122">
        <f>IF($AL$25="","",IF(INDEX('Final Calculation Sheet'!$O$4:$O$40,$AL$25)="","",INDEX('Final Calculation Sheet'!$O$4:$O$40,$AL$25)))</f>
        <v/>
      </c>
      <c r="Q25" s="122">
        <f>IF($AL$25="","",IF(INDEX('Final Calculation Sheet'!$P$4:$P$40,$AL$25)="","",INDEX('Final Calculation Sheet'!$P$4:$P$40,$AL$25)))</f>
        <v/>
      </c>
      <c r="R25" s="124">
        <f>IF($AL$25="","",IF(INDEX('Final Calculation Sheet'!$Q$4:$Q$40,$AL$25)="","",INDEX('Final Calculation Sheet'!$Q$4:$Q$40,$AL$25)))</f>
        <v/>
      </c>
      <c r="S25" s="122">
        <f>IF($AL$25="","",IF(INDEX('Final Calculation Sheet'!$R$4:$R$40,$AL$25)="","",INDEX('Final Calculation Sheet'!$R$4:$R$40,$AL$25)))</f>
        <v/>
      </c>
      <c r="T25" s="122">
        <f>IF($AL$25="","",IF(INDEX('Final Calculation Sheet'!$S$4:$S$40,$AL$25)="","",INDEX('Final Calculation Sheet'!$S$4:$S$40,$AL$25)))</f>
        <v/>
      </c>
      <c r="U25" s="122">
        <f>IF($AL$25="","",IF(INDEX('Final Calculation Sheet'!$T$4:$T$40,$AL$25)="","",INDEX('Final Calculation Sheet'!$T$4:$T$40,$AL$25)))</f>
        <v/>
      </c>
      <c r="V25" s="125">
        <f>IF($AL$25="","",IF(INDEX('Final Calculation Sheet'!$U$4:$U$40,$AL$25)="","",INDEX('Final Calculation Sheet'!$U$4:$U$40,$AL$25)))</f>
        <v/>
      </c>
      <c r="W25" s="122">
        <f>IF($AL$25="","",IF(INDEX('Final Calculation Sheet'!$V$4:$V$40,$AL$25)="","",INDEX('Final Calculation Sheet'!$V$4:$V$40,$AL$25)))</f>
        <v/>
      </c>
      <c r="X25" s="122">
        <f>IF($AL$25="","",IF(INDEX('Final Calculation Sheet'!$W$4:$W$40,$AL$25)="","",INDEX('Final Calculation Sheet'!$W$4:$W$40,$AL$25)))</f>
        <v/>
      </c>
      <c r="Y25" s="122">
        <f>IF($AL$25="","",IF(INDEX('Final Calculation Sheet'!$X$4:$X$40,$AL$25)="","",INDEX('Final Calculation Sheet'!$X$4:$X$40,$AL$25)))</f>
        <v/>
      </c>
      <c r="Z25" s="122">
        <f>IF($AL$25="","",IF(INDEX('Final Calculation Sheet'!$Y$4:$Y$40,$AL$25)="","",INDEX('Final Calculation Sheet'!$Y$4:$Y$40,$AL$25)))</f>
        <v/>
      </c>
      <c r="AA25" s="122">
        <f>IF($AL$25="","",IF(INDEX('Final Calculation Sheet'!$Z$4:$Z$40,$AL$25)="","",INDEX('Final Calculation Sheet'!$Z$4:$Z$40,$AL$25)))</f>
        <v/>
      </c>
      <c r="AB25" s="122">
        <f>IF($AL$25="","",IF(INDEX('Final Calculation Sheet'!$AA$4:$AA$40,$AL$25)="","",INDEX('Final Calculation Sheet'!$AA$4:$AA$40,$AL$25)))</f>
        <v/>
      </c>
      <c r="AC25" s="122">
        <f>IF($AL$25="","",IF(INDEX('Final Calculation Sheet'!$AB$4:$AB$40,$AL$25)="","",INDEX('Final Calculation Sheet'!$AB$4:$AB$40,$AL$25)))</f>
        <v/>
      </c>
      <c r="AD25" s="122">
        <f>IF($AL$25="","",IF(INDEX('Final Calculation Sheet'!$AC$4:$AC$40,$AL$25)="","",INDEX('Final Calculation Sheet'!$AC$4:$AC$40,$AL$25)))</f>
        <v/>
      </c>
      <c r="AE25" s="122">
        <f>IF($AL$25="","",IF(INDEX('Final Calculation Sheet'!$AD$4:$AD$40,$AL$25)="","",INDEX('Final Calculation Sheet'!$AD$4:$AD$40,$AL$25)))</f>
        <v/>
      </c>
      <c r="AF25" s="127">
        <f>IF($AL$25="","",IF(INDEX('Final Calculation Sheet'!$AD$4:$AD$40,$AL$25)&lt;=5,"SETTLED","OUTSTANDING"))</f>
        <v/>
      </c>
      <c r="AG25" s="122">
        <f>IF($AL$25="","",IF(INDEX('Final Calculation Sheet'!$AF$4:$AF$40,$AL$25)="","",INDEX('Final Calculation Sheet'!$AF$4:$AF$40,$AL$25)))</f>
        <v/>
      </c>
      <c r="AH25" s="126">
        <f>IF($AL$25="","",IF(INDEX('Final Calculation Sheet'!$AG$4:$AG$40,$AL$25)="","",INDEX('Final Calculation Sheet'!$AG$4:$AG$40,$AL$25)))</f>
        <v/>
      </c>
      <c r="AI25" s="122">
        <f>IF($AL$25="","",IF(INDEX('Final Calculation Sheet'!$AH$4:$AH$40,$AL$25)="","",INDEX('Final Calculation Sheet'!$AH$4:$AH$40,$AL$25)))</f>
        <v/>
      </c>
      <c r="AJ25">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25">
        <f>IF(AJ25=1,COUNTIF(AJ$6:AJ25,1),"")</f>
        <v/>
      </c>
      <c r="AL25">
        <f>IF(COUNTIF($B$4:$AI$4,"&lt;&gt;")=0,"",IFERROR(MATCH(19,$AK$6:$AK$42,0),""))</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c r="DG25">
        <f>IF($B$4="",1,IF($B$4="(blank)",--('Final Calculation Sheet'!$F$23=""),IF($B$4="(nonblank)",--('Final Calculation Sheet'!$F$23&lt;&gt;""),--ISNUMBER(SEARCH($B$4,'Final Calculation Sheet'!$F$23)))))</f>
        <v/>
      </c>
      <c r="DH25">
        <f>IF($C$4="",1,IF($C$4="(blank)",--('Final Calculation Sheet'!$G$23=""),IF($C$4="(nonblank)",--('Final Calculation Sheet'!$G$23&lt;&gt;""),--ISNUMBER(SEARCH($C$4,'Final Calculation Sheet'!$G$23)))))</f>
        <v/>
      </c>
      <c r="DI25">
        <f>IF($D$4="",1,IF($D$4="(blank)",--('Final Calculation Sheet'!$B$23=""),IF($D$4="(nonblank)",--('Final Calculation Sheet'!$B$23&lt;&gt;""),--ISNUMBER(SEARCH($D$4,'Final Calculation Sheet'!$B$23)))))</f>
        <v/>
      </c>
      <c r="DJ25">
        <f>IF($E$4="",1,IF($E$4="(blank)",--('Final Calculation Sheet'!$D$23=""),IF($E$4="(nonblank)",--('Final Calculation Sheet'!$D$23&lt;&gt;""),--ISNUMBER(SEARCH($E$4,'Final Calculation Sheet'!$D$23)))))</f>
        <v/>
      </c>
      <c r="DK25">
        <f>IF($F$4="",1,IF($F$4="(blank)",--('Final Calculation Sheet'!$A$23=""),IF($F$4="(nonblank)",--('Final Calculation Sheet'!$A$23&lt;&gt;""),--ISNUMBER(SEARCH($F$4,'Final Calculation Sheet'!$A$23)))))</f>
        <v/>
      </c>
      <c r="DL25">
        <f>IF($G$4="",1,IF($G$4="(blank)",--('Final Calculation Sheet'!$E$23=""),IF($G$4="(nonblank)",--('Final Calculation Sheet'!$E$23&lt;&gt;""),--ISNUMBER(SEARCH($G$4,'Final Calculation Sheet'!$E$23)))))</f>
        <v/>
      </c>
      <c r="DM25">
        <f>IF($H$4="",1,IF($H$4="(blank)",--('Final Calculation Sheet'!$C$23=""),IF($H$4="(nonblank)",--('Final Calculation Sheet'!$C$23&lt;&gt;""),--ISNUMBER(SEARCH($H$4,'Final Calculation Sheet'!$C$23)))))</f>
        <v/>
      </c>
      <c r="DN25">
        <f>IF($I$4="",1,IF($I$4="(blank)",--('Final Calculation Sheet'!$H$23=""),IF($I$4="(nonblank)",--('Final Calculation Sheet'!$H$23&lt;&gt;""),--ISNUMBER(SEARCH($I$4,'Final Calculation Sheet'!$H$23)))))</f>
        <v/>
      </c>
      <c r="DO25">
        <f>IF($J$4="",1,IF($J$4="(blank)",--('Final Calculation Sheet'!$I$23=""),IF($J$4="(nonblank)",--('Final Calculation Sheet'!$I$23&lt;&gt;""),--ISNUMBER(SEARCH($J$4,'Final Calculation Sheet'!$I$23)))))</f>
        <v/>
      </c>
      <c r="DP25">
        <f>IF($K$4="",1,IF($K$4="(blank)",--('Final Calculation Sheet'!$J$23=""),IF($K$4="(nonblank)",--('Final Calculation Sheet'!$J$23&lt;&gt;""),--ISNUMBER(SEARCH($K$4,'Final Calculation Sheet'!$J$23)))))</f>
        <v/>
      </c>
      <c r="DQ25">
        <f>IF($L$4="",1,IF($L$4="(blank)",--('Final Calculation Sheet'!$K$23=""),IF($L$4="(nonblank)",--('Final Calculation Sheet'!$K$23&lt;&gt;""),--ISNUMBER(SEARCH($L$4,'Final Calculation Sheet'!$K$23)))))</f>
        <v/>
      </c>
      <c r="DR25">
        <f>IF($M$4="",1,IF($M$4="(blank)",--('Final Calculation Sheet'!$L$23=""),IF($M$4="(nonblank)",--('Final Calculation Sheet'!$L$23&lt;&gt;""),--ISNUMBER(SEARCH($M$4,'Final Calculation Sheet'!$L$23)))))</f>
        <v/>
      </c>
      <c r="DS25">
        <f>IF($N$4="",1,IF($N$4="(blank)",--('Final Calculation Sheet'!$M$23=""),IF($N$4="(nonblank)",--('Final Calculation Sheet'!$M$23&lt;&gt;""),--ISNUMBER(SEARCH($N$4,'Final Calculation Sheet'!$M$23)))))</f>
        <v/>
      </c>
      <c r="DT25">
        <f>IF($O$4="",1,IF($O$4="(blank)",--('Final Calculation Sheet'!$N$23=""),IF($O$4="(nonblank)",--('Final Calculation Sheet'!$N$23&lt;&gt;""),--ISNUMBER(SEARCH($O$4,'Final Calculation Sheet'!$N$23)))))</f>
        <v/>
      </c>
      <c r="DU25">
        <f>IF($P$4="",1,IF($P$4="(blank)",--('Final Calculation Sheet'!$O$23=""),IF($P$4="(nonblank)",--('Final Calculation Sheet'!$O$23&lt;&gt;""),--ISNUMBER(SEARCH($P$4,'Final Calculation Sheet'!$O$23)))))</f>
        <v/>
      </c>
      <c r="DV25">
        <f>IF($Q$4="",1,IF($Q$4="(blank)",--('Final Calculation Sheet'!$P$23=""),IF($Q$4="(nonblank)",--('Final Calculation Sheet'!$P$23&lt;&gt;""),--ISNUMBER(SEARCH($Q$4,'Final Calculation Sheet'!$P$23)))))</f>
        <v/>
      </c>
      <c r="DW25">
        <f>IF($R$4="",1,IF($R$4="(blank)",--('Final Calculation Sheet'!$Q$23=""),IF($R$4="(nonblank)",--('Final Calculation Sheet'!$Q$23&lt;&gt;""),--ISNUMBER(SEARCH($R$4,'Final Calculation Sheet'!$Q$23)))))</f>
        <v/>
      </c>
      <c r="DX25">
        <f>IF($S$4="",1,IF($S$4="(blank)",--('Final Calculation Sheet'!$R$23=""),IF($S$4="(nonblank)",--('Final Calculation Sheet'!$R$23&lt;&gt;""),--ISNUMBER(SEARCH($S$4,'Final Calculation Sheet'!$R$23)))))</f>
        <v/>
      </c>
      <c r="DY25">
        <f>IF($T$4="",1,IF($T$4="(blank)",--('Final Calculation Sheet'!$S$23=""),IF($T$4="(nonblank)",--('Final Calculation Sheet'!$S$23&lt;&gt;""),--ISNUMBER(SEARCH($T$4,'Final Calculation Sheet'!$S$23)))))</f>
        <v/>
      </c>
      <c r="DZ25">
        <f>IF($U$4="",1,IF($U$4="(blank)",--('Final Calculation Sheet'!$T$23=""),IF($U$4="(nonblank)",--('Final Calculation Sheet'!$T$23&lt;&gt;""),--ISNUMBER(SEARCH($U$4,'Final Calculation Sheet'!$T$23)))))</f>
        <v/>
      </c>
      <c r="EA25">
        <f>IF($V$4="",1,IF($V$4="(blank)",--('Final Calculation Sheet'!$U$23=""),IF($V$4="(nonblank)",--('Final Calculation Sheet'!$U$23&lt;&gt;""),--ISNUMBER(SEARCH($V$4,'Final Calculation Sheet'!$U$23)))))</f>
        <v/>
      </c>
      <c r="EB25">
        <f>IF($W$4="",1,IF($W$4="(blank)",--('Final Calculation Sheet'!$V$23=""),IF($W$4="(nonblank)",--('Final Calculation Sheet'!$V$23&lt;&gt;""),--ISNUMBER(SEARCH($W$4,'Final Calculation Sheet'!$V$23)))))</f>
        <v/>
      </c>
      <c r="EC25">
        <f>IF($X$4="",1,IF($X$4="(blank)",--('Final Calculation Sheet'!$W$23=""),IF($X$4="(nonblank)",--('Final Calculation Sheet'!$W$23&lt;&gt;""),--ISNUMBER(SEARCH($X$4,'Final Calculation Sheet'!$W$23)))))</f>
        <v/>
      </c>
      <c r="ED25">
        <f>IF($Y$4="",1,IF($Y$4="(blank)",--('Final Calculation Sheet'!$X$23=""),IF($Y$4="(nonblank)",--('Final Calculation Sheet'!$X$23&lt;&gt;""),--ISNUMBER(SEARCH($Y$4,'Final Calculation Sheet'!$X$23)))))</f>
        <v/>
      </c>
      <c r="EE25">
        <f>IF($Z$4="",1,IF($Z$4="(blank)",--('Final Calculation Sheet'!$Y$23=""),IF($Z$4="(nonblank)",--('Final Calculation Sheet'!$Y$23&lt;&gt;""),--ISNUMBER(SEARCH($Z$4,'Final Calculation Sheet'!$Y$23)))))</f>
        <v/>
      </c>
      <c r="EF25">
        <f>IF($AA$4="",1,IF($AA$4="(blank)",--('Final Calculation Sheet'!$Z$23=""),IF($AA$4="(nonblank)",--('Final Calculation Sheet'!$Z$23&lt;&gt;""),--ISNUMBER(SEARCH($AA$4,'Final Calculation Sheet'!$Z$23)))))</f>
        <v/>
      </c>
      <c r="EG25">
        <f>IF($AB$4="",1,IF($AB$4="(blank)",--('Final Calculation Sheet'!$AA$23=""),IF($AB$4="(nonblank)",--('Final Calculation Sheet'!$AA$23&lt;&gt;""),--ISNUMBER(SEARCH($AB$4,'Final Calculation Sheet'!$AA$23)))))</f>
        <v/>
      </c>
      <c r="EH25">
        <f>IF($AC$4="",1,IF($AC$4="(blank)",--('Final Calculation Sheet'!$AB$23=""),IF($AC$4="(nonblank)",--('Final Calculation Sheet'!$AB$23&lt;&gt;""),--ISNUMBER(SEARCH($AC$4,'Final Calculation Sheet'!$AB$23)))))</f>
        <v/>
      </c>
      <c r="EI25">
        <f>IF($AD$4="",1,IF($AD$4="(blank)",--('Final Calculation Sheet'!$AC$23=""),IF($AD$4="(nonblank)",--('Final Calculation Sheet'!$AC$23&lt;&gt;""),--ISNUMBER(SEARCH($AD$4,'Final Calculation Sheet'!$AC$23)))))</f>
        <v/>
      </c>
      <c r="EJ25">
        <f>IF($AE$4="",1,IF($AE$4="(blank)",--('Final Calculation Sheet'!$AD$23=""),IF($AE$4="(nonblank)",--('Final Calculation Sheet'!$AD$23&lt;&gt;""),--ISNUMBER(SEARCH($AE$4,'Final Calculation Sheet'!$AD$23)))))</f>
        <v/>
      </c>
      <c r="EK25">
        <f>IF($AF$4="",1,IF($AF$4="(blank)",--(IF('Final Calculation Sheet'!$AD$23&lt;=5,"SETTLED","OUTSTANDING")=""),IF($AF$4="(nonblank)",--(IF('Final Calculation Sheet'!$AD$23&lt;=5,"SETTLED","OUTSTANDING")&lt;&gt;""),--ISNUMBER(SEARCH($AF$4,IF('Final Calculation Sheet'!$AD$23&lt;=5,"SETTLED","OUTSTANDING"))))))</f>
        <v/>
      </c>
      <c r="EL25">
        <f>IF($AG$4="",1,IF($AG$4="(blank)",--('Final Calculation Sheet'!$AF$23=""),IF($AG$4="(nonblank)",--('Final Calculation Sheet'!$AF$23&lt;&gt;""),--ISNUMBER(SEARCH($AG$4,'Final Calculation Sheet'!$AF$23)))))</f>
        <v/>
      </c>
      <c r="EM25">
        <f>IF($AH$4="",1,IF($AH$4="(blank)",--('Final Calculation Sheet'!$AG$23=""),IF($AH$4="(nonblank)",--('Final Calculation Sheet'!$AG$23&lt;&gt;""),--ISNUMBER(SEARCH($AH$4,'Final Calculation Sheet'!$AG$23)))))</f>
        <v/>
      </c>
      <c r="EN25">
        <f>IF($AI$4="",1,IF($AI$4="(blank)",--('Final Calculation Sheet'!$AH$23=""),IF($AI$4="(nonblank)",--('Final Calculation Sheet'!$AH$23&lt;&gt;""),--ISNUMBER(SEARCH($AI$4,'Final Calculation Sheet'!$AH$23)))))</f>
        <v/>
      </c>
    </row>
    <row r="26" outlineLevel="1" hidden="1">
      <c r="A26" s="128">
        <f>IF($AL$26="","",20)</f>
        <v/>
      </c>
      <c r="B26" s="129">
        <f>IF($AL$26="","",IF(INDEX('Final Calculation Sheet'!$F$4:$F$40,$AL$26)="","",INDEX('Final Calculation Sheet'!$F$4:$F$40,$AL$26)))</f>
        <v/>
      </c>
      <c r="C26" s="129">
        <f>IF($AL$26="","",IF(INDEX('Final Calculation Sheet'!$G$4:$G$40,$AL$26)="","",INDEX('Final Calculation Sheet'!$G$4:$G$40,$AL$26)))</f>
        <v/>
      </c>
      <c r="D26" s="130">
        <f>IF($AL$26="","",IF(INDEX('Final Calculation Sheet'!$B$4:$B$40,$AL$26)="","",INDEX('Final Calculation Sheet'!$B$4:$B$40,$AL$26)))</f>
        <v/>
      </c>
      <c r="E26" s="130">
        <f>IF($AL$26="","",IF(INDEX('Final Calculation Sheet'!$D$4:$D$40,$AL$26)="","",INDEX('Final Calculation Sheet'!$D$4:$D$40,$AL$26)))</f>
        <v/>
      </c>
      <c r="F26" s="130">
        <f>IF($AL$26="","",IF(INDEX('Final Calculation Sheet'!$A$4:$A$40,$AL$26)="","",INDEX('Final Calculation Sheet'!$A$4:$A$40,$AL$26)))</f>
        <v/>
      </c>
      <c r="G26" s="130">
        <f>IF($AL$26="","",IF(INDEX('Final Calculation Sheet'!$E$4:$E$40,$AL$26)="","",INDEX('Final Calculation Sheet'!$E$4:$E$40,$AL$26)))</f>
        <v/>
      </c>
      <c r="H26" s="131">
        <f>IF($AL$26="","",IF(INDEX('Final Calculation Sheet'!$C$4:$C$40,$AL$26)="","",INDEX('Final Calculation Sheet'!$C$4:$C$40,$AL$26)))</f>
        <v/>
      </c>
      <c r="I26" s="131">
        <f>IF($AL$26="","",IF(INDEX('Final Calculation Sheet'!$H$4:$H$40,$AL$26)="","",INDEX('Final Calculation Sheet'!$H$4:$H$40,$AL$26)))</f>
        <v/>
      </c>
      <c r="J26" s="131">
        <f>IF($AL$26="","",IF(INDEX('Final Calculation Sheet'!$I$4:$I$40,$AL$26)="","",INDEX('Final Calculation Sheet'!$I$4:$I$40,$AL$26)))</f>
        <v/>
      </c>
      <c r="K26" s="131">
        <f>IF($AL$26="","",IF(INDEX('Final Calculation Sheet'!$J$4:$J$40,$AL$26)="","",INDEX('Final Calculation Sheet'!$J$4:$J$40,$AL$26)))</f>
        <v/>
      </c>
      <c r="L26" s="131">
        <f>IF($AL$26="","",IF(INDEX('Final Calculation Sheet'!$K$4:$K$40,$AL$26)="","",INDEX('Final Calculation Sheet'!$K$4:$K$40,$AL$26)))</f>
        <v/>
      </c>
      <c r="M26" s="131">
        <f>IF($AL$26="","",IF(INDEX('Final Calculation Sheet'!$L$4:$L$40,$AL$26)="","",INDEX('Final Calculation Sheet'!$L$4:$L$40,$AL$26)))</f>
        <v/>
      </c>
      <c r="N26" s="131">
        <f>IF($AL$26="","",IF(INDEX('Final Calculation Sheet'!$M$4:$M$40,$AL$26)="","",INDEX('Final Calculation Sheet'!$M$4:$M$40,$AL$26)))</f>
        <v/>
      </c>
      <c r="O26" s="132">
        <f>IF($AL$26="","",IF(INDEX('Final Calculation Sheet'!$N$4:$N$40,$AL$26)="","",INDEX('Final Calculation Sheet'!$N$4:$N$40,$AL$26)))</f>
        <v/>
      </c>
      <c r="P26" s="131">
        <f>IF($AL$26="","",IF(INDEX('Final Calculation Sheet'!$O$4:$O$40,$AL$26)="","",INDEX('Final Calculation Sheet'!$O$4:$O$40,$AL$26)))</f>
        <v/>
      </c>
      <c r="Q26" s="131">
        <f>IF($AL$26="","",IF(INDEX('Final Calculation Sheet'!$P$4:$P$40,$AL$26)="","",INDEX('Final Calculation Sheet'!$P$4:$P$40,$AL$26)))</f>
        <v/>
      </c>
      <c r="R26" s="133">
        <f>IF($AL$26="","",IF(INDEX('Final Calculation Sheet'!$Q$4:$Q$40,$AL$26)="","",INDEX('Final Calculation Sheet'!$Q$4:$Q$40,$AL$26)))</f>
        <v/>
      </c>
      <c r="S26" s="131">
        <f>IF($AL$26="","",IF(INDEX('Final Calculation Sheet'!$R$4:$R$40,$AL$26)="","",INDEX('Final Calculation Sheet'!$R$4:$R$40,$AL$26)))</f>
        <v/>
      </c>
      <c r="T26" s="131">
        <f>IF($AL$26="","",IF(INDEX('Final Calculation Sheet'!$S$4:$S$40,$AL$26)="","",INDEX('Final Calculation Sheet'!$S$4:$S$40,$AL$26)))</f>
        <v/>
      </c>
      <c r="U26" s="131">
        <f>IF($AL$26="","",IF(INDEX('Final Calculation Sheet'!$T$4:$T$40,$AL$26)="","",INDEX('Final Calculation Sheet'!$T$4:$T$40,$AL$26)))</f>
        <v/>
      </c>
      <c r="V26" s="134">
        <f>IF($AL$26="","",IF(INDEX('Final Calculation Sheet'!$U$4:$U$40,$AL$26)="","",INDEX('Final Calculation Sheet'!$U$4:$U$40,$AL$26)))</f>
        <v/>
      </c>
      <c r="W26" s="131">
        <f>IF($AL$26="","",IF(INDEX('Final Calculation Sheet'!$V$4:$V$40,$AL$26)="","",INDEX('Final Calculation Sheet'!$V$4:$V$40,$AL$26)))</f>
        <v/>
      </c>
      <c r="X26" s="131">
        <f>IF($AL$26="","",IF(INDEX('Final Calculation Sheet'!$W$4:$W$40,$AL$26)="","",INDEX('Final Calculation Sheet'!$W$4:$W$40,$AL$26)))</f>
        <v/>
      </c>
      <c r="Y26" s="131">
        <f>IF($AL$26="","",IF(INDEX('Final Calculation Sheet'!$X$4:$X$40,$AL$26)="","",INDEX('Final Calculation Sheet'!$X$4:$X$40,$AL$26)))</f>
        <v/>
      </c>
      <c r="Z26" s="131">
        <f>IF($AL$26="","",IF(INDEX('Final Calculation Sheet'!$Y$4:$Y$40,$AL$26)="","",INDEX('Final Calculation Sheet'!$Y$4:$Y$40,$AL$26)))</f>
        <v/>
      </c>
      <c r="AA26" s="131">
        <f>IF($AL$26="","",IF(INDEX('Final Calculation Sheet'!$Z$4:$Z$40,$AL$26)="","",INDEX('Final Calculation Sheet'!$Z$4:$Z$40,$AL$26)))</f>
        <v/>
      </c>
      <c r="AB26" s="131">
        <f>IF($AL$26="","",IF(INDEX('Final Calculation Sheet'!$AA$4:$AA$40,$AL$26)="","",INDEX('Final Calculation Sheet'!$AA$4:$AA$40,$AL$26)))</f>
        <v/>
      </c>
      <c r="AC26" s="131">
        <f>IF($AL$26="","",IF(INDEX('Final Calculation Sheet'!$AB$4:$AB$40,$AL$26)="","",INDEX('Final Calculation Sheet'!$AB$4:$AB$40,$AL$26)))</f>
        <v/>
      </c>
      <c r="AD26" s="131">
        <f>IF($AL$26="","",IF(INDEX('Final Calculation Sheet'!$AC$4:$AC$40,$AL$26)="","",INDEX('Final Calculation Sheet'!$AC$4:$AC$40,$AL$26)))</f>
        <v/>
      </c>
      <c r="AE26" s="131">
        <f>IF($AL$26="","",IF(INDEX('Final Calculation Sheet'!$AD$4:$AD$40,$AL$26)="","",INDEX('Final Calculation Sheet'!$AD$4:$AD$40,$AL$26)))</f>
        <v/>
      </c>
      <c r="AF26" s="136">
        <f>IF($AL$26="","",IF(INDEX('Final Calculation Sheet'!$AD$4:$AD$40,$AL$26)&lt;=5,"SETTLED","OUTSTANDING"))</f>
        <v/>
      </c>
      <c r="AG26" s="131">
        <f>IF($AL$26="","",IF(INDEX('Final Calculation Sheet'!$AF$4:$AF$40,$AL$26)="","",INDEX('Final Calculation Sheet'!$AF$4:$AF$40,$AL$26)))</f>
        <v/>
      </c>
      <c r="AH26" s="135">
        <f>IF($AL$26="","",IF(INDEX('Final Calculation Sheet'!$AG$4:$AG$40,$AL$26)="","",INDEX('Final Calculation Sheet'!$AG$4:$AG$40,$AL$26)))</f>
        <v/>
      </c>
      <c r="AI26" s="131">
        <f>IF($AL$26="","",IF(INDEX('Final Calculation Sheet'!$AH$4:$AH$40,$AL$26)="","",INDEX('Final Calculation Sheet'!$AH$4:$AH$40,$AL$26)))</f>
        <v/>
      </c>
      <c r="AJ26">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6">
        <f>IF(AJ26=1,COUNTIF(AJ$6:AJ26,1),"")</f>
        <v/>
      </c>
      <c r="AL26">
        <f>IF(COUNTIF($B$4:$AI$4,"&lt;&gt;")=0,"",IFERROR(MATCH(20,$AK$6:$AK$42,0),""))</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c r="DG26">
        <f>IF($B$4="",1,IF($B$4="(blank)",--('Final Calculation Sheet'!$F$24=""),IF($B$4="(nonblank)",--('Final Calculation Sheet'!$F$24&lt;&gt;""),--ISNUMBER(SEARCH($B$4,'Final Calculation Sheet'!$F$24)))))</f>
        <v/>
      </c>
      <c r="DH26">
        <f>IF($C$4="",1,IF($C$4="(blank)",--('Final Calculation Sheet'!$G$24=""),IF($C$4="(nonblank)",--('Final Calculation Sheet'!$G$24&lt;&gt;""),--ISNUMBER(SEARCH($C$4,'Final Calculation Sheet'!$G$24)))))</f>
        <v/>
      </c>
      <c r="DI26">
        <f>IF($D$4="",1,IF($D$4="(blank)",--('Final Calculation Sheet'!$B$24=""),IF($D$4="(nonblank)",--('Final Calculation Sheet'!$B$24&lt;&gt;""),--ISNUMBER(SEARCH($D$4,'Final Calculation Sheet'!$B$24)))))</f>
        <v/>
      </c>
      <c r="DJ26">
        <f>IF($E$4="",1,IF($E$4="(blank)",--('Final Calculation Sheet'!$D$24=""),IF($E$4="(nonblank)",--('Final Calculation Sheet'!$D$24&lt;&gt;""),--ISNUMBER(SEARCH($E$4,'Final Calculation Sheet'!$D$24)))))</f>
        <v/>
      </c>
      <c r="DK26">
        <f>IF($F$4="",1,IF($F$4="(blank)",--('Final Calculation Sheet'!$A$24=""),IF($F$4="(nonblank)",--('Final Calculation Sheet'!$A$24&lt;&gt;""),--ISNUMBER(SEARCH($F$4,'Final Calculation Sheet'!$A$24)))))</f>
        <v/>
      </c>
      <c r="DL26">
        <f>IF($G$4="",1,IF($G$4="(blank)",--('Final Calculation Sheet'!$E$24=""),IF($G$4="(nonblank)",--('Final Calculation Sheet'!$E$24&lt;&gt;""),--ISNUMBER(SEARCH($G$4,'Final Calculation Sheet'!$E$24)))))</f>
        <v/>
      </c>
      <c r="DM26">
        <f>IF($H$4="",1,IF($H$4="(blank)",--('Final Calculation Sheet'!$C$24=""),IF($H$4="(nonblank)",--('Final Calculation Sheet'!$C$24&lt;&gt;""),--ISNUMBER(SEARCH($H$4,'Final Calculation Sheet'!$C$24)))))</f>
        <v/>
      </c>
      <c r="DN26">
        <f>IF($I$4="",1,IF($I$4="(blank)",--('Final Calculation Sheet'!$H$24=""),IF($I$4="(nonblank)",--('Final Calculation Sheet'!$H$24&lt;&gt;""),--ISNUMBER(SEARCH($I$4,'Final Calculation Sheet'!$H$24)))))</f>
        <v/>
      </c>
      <c r="DO26">
        <f>IF($J$4="",1,IF($J$4="(blank)",--('Final Calculation Sheet'!$I$24=""),IF($J$4="(nonblank)",--('Final Calculation Sheet'!$I$24&lt;&gt;""),--ISNUMBER(SEARCH($J$4,'Final Calculation Sheet'!$I$24)))))</f>
        <v/>
      </c>
      <c r="DP26">
        <f>IF($K$4="",1,IF($K$4="(blank)",--('Final Calculation Sheet'!$J$24=""),IF($K$4="(nonblank)",--('Final Calculation Sheet'!$J$24&lt;&gt;""),--ISNUMBER(SEARCH($K$4,'Final Calculation Sheet'!$J$24)))))</f>
        <v/>
      </c>
      <c r="DQ26">
        <f>IF($L$4="",1,IF($L$4="(blank)",--('Final Calculation Sheet'!$K$24=""),IF($L$4="(nonblank)",--('Final Calculation Sheet'!$K$24&lt;&gt;""),--ISNUMBER(SEARCH($L$4,'Final Calculation Sheet'!$K$24)))))</f>
        <v/>
      </c>
      <c r="DR26">
        <f>IF($M$4="",1,IF($M$4="(blank)",--('Final Calculation Sheet'!$L$24=""),IF($M$4="(nonblank)",--('Final Calculation Sheet'!$L$24&lt;&gt;""),--ISNUMBER(SEARCH($M$4,'Final Calculation Sheet'!$L$24)))))</f>
        <v/>
      </c>
      <c r="DS26">
        <f>IF($N$4="",1,IF($N$4="(blank)",--('Final Calculation Sheet'!$M$24=""),IF($N$4="(nonblank)",--('Final Calculation Sheet'!$M$24&lt;&gt;""),--ISNUMBER(SEARCH($N$4,'Final Calculation Sheet'!$M$24)))))</f>
        <v/>
      </c>
      <c r="DT26">
        <f>IF($O$4="",1,IF($O$4="(blank)",--('Final Calculation Sheet'!$N$24=""),IF($O$4="(nonblank)",--('Final Calculation Sheet'!$N$24&lt;&gt;""),--ISNUMBER(SEARCH($O$4,'Final Calculation Sheet'!$N$24)))))</f>
        <v/>
      </c>
      <c r="DU26">
        <f>IF($P$4="",1,IF($P$4="(blank)",--('Final Calculation Sheet'!$O$24=""),IF($P$4="(nonblank)",--('Final Calculation Sheet'!$O$24&lt;&gt;""),--ISNUMBER(SEARCH($P$4,'Final Calculation Sheet'!$O$24)))))</f>
        <v/>
      </c>
      <c r="DV26">
        <f>IF($Q$4="",1,IF($Q$4="(blank)",--('Final Calculation Sheet'!$P$24=""),IF($Q$4="(nonblank)",--('Final Calculation Sheet'!$P$24&lt;&gt;""),--ISNUMBER(SEARCH($Q$4,'Final Calculation Sheet'!$P$24)))))</f>
        <v/>
      </c>
      <c r="DW26">
        <f>IF($R$4="",1,IF($R$4="(blank)",--('Final Calculation Sheet'!$Q$24=""),IF($R$4="(nonblank)",--('Final Calculation Sheet'!$Q$24&lt;&gt;""),--ISNUMBER(SEARCH($R$4,'Final Calculation Sheet'!$Q$24)))))</f>
        <v/>
      </c>
      <c r="DX26">
        <f>IF($S$4="",1,IF($S$4="(blank)",--('Final Calculation Sheet'!$R$24=""),IF($S$4="(nonblank)",--('Final Calculation Sheet'!$R$24&lt;&gt;""),--ISNUMBER(SEARCH($S$4,'Final Calculation Sheet'!$R$24)))))</f>
        <v/>
      </c>
      <c r="DY26">
        <f>IF($T$4="",1,IF($T$4="(blank)",--('Final Calculation Sheet'!$S$24=""),IF($T$4="(nonblank)",--('Final Calculation Sheet'!$S$24&lt;&gt;""),--ISNUMBER(SEARCH($T$4,'Final Calculation Sheet'!$S$24)))))</f>
        <v/>
      </c>
      <c r="DZ26">
        <f>IF($U$4="",1,IF($U$4="(blank)",--('Final Calculation Sheet'!$T$24=""),IF($U$4="(nonblank)",--('Final Calculation Sheet'!$T$24&lt;&gt;""),--ISNUMBER(SEARCH($U$4,'Final Calculation Sheet'!$T$24)))))</f>
        <v/>
      </c>
      <c r="EA26">
        <f>IF($V$4="",1,IF($V$4="(blank)",--('Final Calculation Sheet'!$U$24=""),IF($V$4="(nonblank)",--('Final Calculation Sheet'!$U$24&lt;&gt;""),--ISNUMBER(SEARCH($V$4,'Final Calculation Sheet'!$U$24)))))</f>
        <v/>
      </c>
      <c r="EB26">
        <f>IF($W$4="",1,IF($W$4="(blank)",--('Final Calculation Sheet'!$V$24=""),IF($W$4="(nonblank)",--('Final Calculation Sheet'!$V$24&lt;&gt;""),--ISNUMBER(SEARCH($W$4,'Final Calculation Sheet'!$V$24)))))</f>
        <v/>
      </c>
      <c r="EC26">
        <f>IF($X$4="",1,IF($X$4="(blank)",--('Final Calculation Sheet'!$W$24=""),IF($X$4="(nonblank)",--('Final Calculation Sheet'!$W$24&lt;&gt;""),--ISNUMBER(SEARCH($X$4,'Final Calculation Sheet'!$W$24)))))</f>
        <v/>
      </c>
      <c r="ED26">
        <f>IF($Y$4="",1,IF($Y$4="(blank)",--('Final Calculation Sheet'!$X$24=""),IF($Y$4="(nonblank)",--('Final Calculation Sheet'!$X$24&lt;&gt;""),--ISNUMBER(SEARCH($Y$4,'Final Calculation Sheet'!$X$24)))))</f>
        <v/>
      </c>
      <c r="EE26">
        <f>IF($Z$4="",1,IF($Z$4="(blank)",--('Final Calculation Sheet'!$Y$24=""),IF($Z$4="(nonblank)",--('Final Calculation Sheet'!$Y$24&lt;&gt;""),--ISNUMBER(SEARCH($Z$4,'Final Calculation Sheet'!$Y$24)))))</f>
        <v/>
      </c>
      <c r="EF26">
        <f>IF($AA$4="",1,IF($AA$4="(blank)",--('Final Calculation Sheet'!$Z$24=""),IF($AA$4="(nonblank)",--('Final Calculation Sheet'!$Z$24&lt;&gt;""),--ISNUMBER(SEARCH($AA$4,'Final Calculation Sheet'!$Z$24)))))</f>
        <v/>
      </c>
      <c r="EG26">
        <f>IF($AB$4="",1,IF($AB$4="(blank)",--('Final Calculation Sheet'!$AA$24=""),IF($AB$4="(nonblank)",--('Final Calculation Sheet'!$AA$24&lt;&gt;""),--ISNUMBER(SEARCH($AB$4,'Final Calculation Sheet'!$AA$24)))))</f>
        <v/>
      </c>
      <c r="EH26">
        <f>IF($AC$4="",1,IF($AC$4="(blank)",--('Final Calculation Sheet'!$AB$24=""),IF($AC$4="(nonblank)",--('Final Calculation Sheet'!$AB$24&lt;&gt;""),--ISNUMBER(SEARCH($AC$4,'Final Calculation Sheet'!$AB$24)))))</f>
        <v/>
      </c>
      <c r="EI26">
        <f>IF($AD$4="",1,IF($AD$4="(blank)",--('Final Calculation Sheet'!$AC$24=""),IF($AD$4="(nonblank)",--('Final Calculation Sheet'!$AC$24&lt;&gt;""),--ISNUMBER(SEARCH($AD$4,'Final Calculation Sheet'!$AC$24)))))</f>
        <v/>
      </c>
      <c r="EJ26">
        <f>IF($AE$4="",1,IF($AE$4="(blank)",--('Final Calculation Sheet'!$AD$24=""),IF($AE$4="(nonblank)",--('Final Calculation Sheet'!$AD$24&lt;&gt;""),--ISNUMBER(SEARCH($AE$4,'Final Calculation Sheet'!$AD$24)))))</f>
        <v/>
      </c>
      <c r="EK26">
        <f>IF($AF$4="",1,IF($AF$4="(blank)",--(IF('Final Calculation Sheet'!$AD$24&lt;=5,"SETTLED","OUTSTANDING")=""),IF($AF$4="(nonblank)",--(IF('Final Calculation Sheet'!$AD$24&lt;=5,"SETTLED","OUTSTANDING")&lt;&gt;""),--ISNUMBER(SEARCH($AF$4,IF('Final Calculation Sheet'!$AD$24&lt;=5,"SETTLED","OUTSTANDING"))))))</f>
        <v/>
      </c>
      <c r="EL26">
        <f>IF($AG$4="",1,IF($AG$4="(blank)",--('Final Calculation Sheet'!$AF$24=""),IF($AG$4="(nonblank)",--('Final Calculation Sheet'!$AF$24&lt;&gt;""),--ISNUMBER(SEARCH($AG$4,'Final Calculation Sheet'!$AF$24)))))</f>
        <v/>
      </c>
      <c r="EM26">
        <f>IF($AH$4="",1,IF($AH$4="(blank)",--('Final Calculation Sheet'!$AG$24=""),IF($AH$4="(nonblank)",--('Final Calculation Sheet'!$AG$24&lt;&gt;""),--ISNUMBER(SEARCH($AH$4,'Final Calculation Sheet'!$AG$24)))))</f>
        <v/>
      </c>
      <c r="EN26">
        <f>IF($AI$4="",1,IF($AI$4="(blank)",--('Final Calculation Sheet'!$AH$24=""),IF($AI$4="(nonblank)",--('Final Calculation Sheet'!$AH$24&lt;&gt;""),--ISNUMBER(SEARCH($AI$4,'Final Calculation Sheet'!$AH$24)))))</f>
        <v/>
      </c>
    </row>
    <row r="27" outlineLevel="1" hidden="1">
      <c r="A27" s="118">
        <f>IF($AL$27="","",21)</f>
        <v/>
      </c>
      <c r="B27" s="119">
        <f>IF($AL$27="","",IF(INDEX('Final Calculation Sheet'!$F$4:$F$40,$AL$27)="","",INDEX('Final Calculation Sheet'!$F$4:$F$40,$AL$27)))</f>
        <v/>
      </c>
      <c r="C27" s="119">
        <f>IF($AL$27="","",IF(INDEX('Final Calculation Sheet'!$G$4:$G$40,$AL$27)="","",INDEX('Final Calculation Sheet'!$G$4:$G$40,$AL$27)))</f>
        <v/>
      </c>
      <c r="D27" s="121">
        <f>IF($AL$27="","",IF(INDEX('Final Calculation Sheet'!$B$4:$B$40,$AL$27)="","",INDEX('Final Calculation Sheet'!$B$4:$B$40,$AL$27)))</f>
        <v/>
      </c>
      <c r="E27" s="121">
        <f>IF($AL$27="","",IF(INDEX('Final Calculation Sheet'!$D$4:$D$40,$AL$27)="","",INDEX('Final Calculation Sheet'!$D$4:$D$40,$AL$27)))</f>
        <v/>
      </c>
      <c r="F27" s="121">
        <f>IF($AL$27="","",IF(INDEX('Final Calculation Sheet'!$A$4:$A$40,$AL$27)="","",INDEX('Final Calculation Sheet'!$A$4:$A$40,$AL$27)))</f>
        <v/>
      </c>
      <c r="G27" s="121">
        <f>IF($AL$27="","",IF(INDEX('Final Calculation Sheet'!$E$4:$E$40,$AL$27)="","",INDEX('Final Calculation Sheet'!$E$4:$E$40,$AL$27)))</f>
        <v/>
      </c>
      <c r="H27" s="122">
        <f>IF($AL$27="","",IF(INDEX('Final Calculation Sheet'!$C$4:$C$40,$AL$27)="","",INDEX('Final Calculation Sheet'!$C$4:$C$40,$AL$27)))</f>
        <v/>
      </c>
      <c r="I27" s="122">
        <f>IF($AL$27="","",IF(INDEX('Final Calculation Sheet'!$H$4:$H$40,$AL$27)="","",INDEX('Final Calculation Sheet'!$H$4:$H$40,$AL$27)))</f>
        <v/>
      </c>
      <c r="J27" s="122">
        <f>IF($AL$27="","",IF(INDEX('Final Calculation Sheet'!$I$4:$I$40,$AL$27)="","",INDEX('Final Calculation Sheet'!$I$4:$I$40,$AL$27)))</f>
        <v/>
      </c>
      <c r="K27" s="122">
        <f>IF($AL$27="","",IF(INDEX('Final Calculation Sheet'!$J$4:$J$40,$AL$27)="","",INDEX('Final Calculation Sheet'!$J$4:$J$40,$AL$27)))</f>
        <v/>
      </c>
      <c r="L27" s="122">
        <f>IF($AL$27="","",IF(INDEX('Final Calculation Sheet'!$K$4:$K$40,$AL$27)="","",INDEX('Final Calculation Sheet'!$K$4:$K$40,$AL$27)))</f>
        <v/>
      </c>
      <c r="M27" s="122">
        <f>IF($AL$27="","",IF(INDEX('Final Calculation Sheet'!$L$4:$L$40,$AL$27)="","",INDEX('Final Calculation Sheet'!$L$4:$L$40,$AL$27)))</f>
        <v/>
      </c>
      <c r="N27" s="122">
        <f>IF($AL$27="","",IF(INDEX('Final Calculation Sheet'!$M$4:$M$40,$AL$27)="","",INDEX('Final Calculation Sheet'!$M$4:$M$40,$AL$27)))</f>
        <v/>
      </c>
      <c r="O27" s="123">
        <f>IF($AL$27="","",IF(INDEX('Final Calculation Sheet'!$N$4:$N$40,$AL$27)="","",INDEX('Final Calculation Sheet'!$N$4:$N$40,$AL$27)))</f>
        <v/>
      </c>
      <c r="P27" s="122">
        <f>IF($AL$27="","",IF(INDEX('Final Calculation Sheet'!$O$4:$O$40,$AL$27)="","",INDEX('Final Calculation Sheet'!$O$4:$O$40,$AL$27)))</f>
        <v/>
      </c>
      <c r="Q27" s="122">
        <f>IF($AL$27="","",IF(INDEX('Final Calculation Sheet'!$P$4:$P$40,$AL$27)="","",INDEX('Final Calculation Sheet'!$P$4:$P$40,$AL$27)))</f>
        <v/>
      </c>
      <c r="R27" s="124">
        <f>IF($AL$27="","",IF(INDEX('Final Calculation Sheet'!$Q$4:$Q$40,$AL$27)="","",INDEX('Final Calculation Sheet'!$Q$4:$Q$40,$AL$27)))</f>
        <v/>
      </c>
      <c r="S27" s="122">
        <f>IF($AL$27="","",IF(INDEX('Final Calculation Sheet'!$R$4:$R$40,$AL$27)="","",INDEX('Final Calculation Sheet'!$R$4:$R$40,$AL$27)))</f>
        <v/>
      </c>
      <c r="T27" s="122">
        <f>IF($AL$27="","",IF(INDEX('Final Calculation Sheet'!$S$4:$S$40,$AL$27)="","",INDEX('Final Calculation Sheet'!$S$4:$S$40,$AL$27)))</f>
        <v/>
      </c>
      <c r="U27" s="122">
        <f>IF($AL$27="","",IF(INDEX('Final Calculation Sheet'!$T$4:$T$40,$AL$27)="","",INDEX('Final Calculation Sheet'!$T$4:$T$40,$AL$27)))</f>
        <v/>
      </c>
      <c r="V27" s="125">
        <f>IF($AL$27="","",IF(INDEX('Final Calculation Sheet'!$U$4:$U$40,$AL$27)="","",INDEX('Final Calculation Sheet'!$U$4:$U$40,$AL$27)))</f>
        <v/>
      </c>
      <c r="W27" s="122">
        <f>IF($AL$27="","",IF(INDEX('Final Calculation Sheet'!$V$4:$V$40,$AL$27)="","",INDEX('Final Calculation Sheet'!$V$4:$V$40,$AL$27)))</f>
        <v/>
      </c>
      <c r="X27" s="122">
        <f>IF($AL$27="","",IF(INDEX('Final Calculation Sheet'!$W$4:$W$40,$AL$27)="","",INDEX('Final Calculation Sheet'!$W$4:$W$40,$AL$27)))</f>
        <v/>
      </c>
      <c r="Y27" s="122">
        <f>IF($AL$27="","",IF(INDEX('Final Calculation Sheet'!$X$4:$X$40,$AL$27)="","",INDEX('Final Calculation Sheet'!$X$4:$X$40,$AL$27)))</f>
        <v/>
      </c>
      <c r="Z27" s="122">
        <f>IF($AL$27="","",IF(INDEX('Final Calculation Sheet'!$Y$4:$Y$40,$AL$27)="","",INDEX('Final Calculation Sheet'!$Y$4:$Y$40,$AL$27)))</f>
        <v/>
      </c>
      <c r="AA27" s="122">
        <f>IF($AL$27="","",IF(INDEX('Final Calculation Sheet'!$Z$4:$Z$40,$AL$27)="","",INDEX('Final Calculation Sheet'!$Z$4:$Z$40,$AL$27)))</f>
        <v/>
      </c>
      <c r="AB27" s="122">
        <f>IF($AL$27="","",IF(INDEX('Final Calculation Sheet'!$AA$4:$AA$40,$AL$27)="","",INDEX('Final Calculation Sheet'!$AA$4:$AA$40,$AL$27)))</f>
        <v/>
      </c>
      <c r="AC27" s="122">
        <f>IF($AL$27="","",IF(INDEX('Final Calculation Sheet'!$AB$4:$AB$40,$AL$27)="","",INDEX('Final Calculation Sheet'!$AB$4:$AB$40,$AL$27)))</f>
        <v/>
      </c>
      <c r="AD27" s="122">
        <f>IF($AL$27="","",IF(INDEX('Final Calculation Sheet'!$AC$4:$AC$40,$AL$27)="","",INDEX('Final Calculation Sheet'!$AC$4:$AC$40,$AL$27)))</f>
        <v/>
      </c>
      <c r="AE27" s="122">
        <f>IF($AL$27="","",IF(INDEX('Final Calculation Sheet'!$AD$4:$AD$40,$AL$27)="","",INDEX('Final Calculation Sheet'!$AD$4:$AD$40,$AL$27)))</f>
        <v/>
      </c>
      <c r="AF27" s="127">
        <f>IF($AL$27="","",IF(INDEX('Final Calculation Sheet'!$AD$4:$AD$40,$AL$27)&lt;=5,"SETTLED","OUTSTANDING"))</f>
        <v/>
      </c>
      <c r="AG27" s="122">
        <f>IF($AL$27="","",IF(INDEX('Final Calculation Sheet'!$AF$4:$AF$40,$AL$27)="","",INDEX('Final Calculation Sheet'!$AF$4:$AF$40,$AL$27)))</f>
        <v/>
      </c>
      <c r="AH27" s="126">
        <f>IF($AL$27="","",IF(INDEX('Final Calculation Sheet'!$AG$4:$AG$40,$AL$27)="","",INDEX('Final Calculation Sheet'!$AG$4:$AG$40,$AL$27)))</f>
        <v/>
      </c>
      <c r="AI27" s="122">
        <f>IF($AL$27="","",IF(INDEX('Final Calculation Sheet'!$AH$4:$AH$40,$AL$27)="","",INDEX('Final Calculation Sheet'!$AH$4:$AH$40,$AL$27)))</f>
        <v/>
      </c>
      <c r="AJ27">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27">
        <f>IF(AJ27=1,COUNTIF(AJ$6:AJ27,1),"")</f>
        <v/>
      </c>
      <c r="AL27">
        <f>IF(COUNTIF($B$4:$AI$4,"&lt;&gt;")=0,"",IFERROR(MATCH(21,$AK$6:$AK$42,0),""))</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c r="DG27">
        <f>IF($B$4="",1,IF($B$4="(blank)",--('Final Calculation Sheet'!$F$25=""),IF($B$4="(nonblank)",--('Final Calculation Sheet'!$F$25&lt;&gt;""),--ISNUMBER(SEARCH($B$4,'Final Calculation Sheet'!$F$25)))))</f>
        <v/>
      </c>
      <c r="DH27">
        <f>IF($C$4="",1,IF($C$4="(blank)",--('Final Calculation Sheet'!$G$25=""),IF($C$4="(nonblank)",--('Final Calculation Sheet'!$G$25&lt;&gt;""),--ISNUMBER(SEARCH($C$4,'Final Calculation Sheet'!$G$25)))))</f>
        <v/>
      </c>
      <c r="DI27">
        <f>IF($D$4="",1,IF($D$4="(blank)",--('Final Calculation Sheet'!$B$25=""),IF($D$4="(nonblank)",--('Final Calculation Sheet'!$B$25&lt;&gt;""),--ISNUMBER(SEARCH($D$4,'Final Calculation Sheet'!$B$25)))))</f>
        <v/>
      </c>
      <c r="DJ27">
        <f>IF($E$4="",1,IF($E$4="(blank)",--('Final Calculation Sheet'!$D$25=""),IF($E$4="(nonblank)",--('Final Calculation Sheet'!$D$25&lt;&gt;""),--ISNUMBER(SEARCH($E$4,'Final Calculation Sheet'!$D$25)))))</f>
        <v/>
      </c>
      <c r="DK27">
        <f>IF($F$4="",1,IF($F$4="(blank)",--('Final Calculation Sheet'!$A$25=""),IF($F$4="(nonblank)",--('Final Calculation Sheet'!$A$25&lt;&gt;""),--ISNUMBER(SEARCH($F$4,'Final Calculation Sheet'!$A$25)))))</f>
        <v/>
      </c>
      <c r="DL27">
        <f>IF($G$4="",1,IF($G$4="(blank)",--('Final Calculation Sheet'!$E$25=""),IF($G$4="(nonblank)",--('Final Calculation Sheet'!$E$25&lt;&gt;""),--ISNUMBER(SEARCH($G$4,'Final Calculation Sheet'!$E$25)))))</f>
        <v/>
      </c>
      <c r="DM27">
        <f>IF($H$4="",1,IF($H$4="(blank)",--('Final Calculation Sheet'!$C$25=""),IF($H$4="(nonblank)",--('Final Calculation Sheet'!$C$25&lt;&gt;""),--ISNUMBER(SEARCH($H$4,'Final Calculation Sheet'!$C$25)))))</f>
        <v/>
      </c>
      <c r="DN27">
        <f>IF($I$4="",1,IF($I$4="(blank)",--('Final Calculation Sheet'!$H$25=""),IF($I$4="(nonblank)",--('Final Calculation Sheet'!$H$25&lt;&gt;""),--ISNUMBER(SEARCH($I$4,'Final Calculation Sheet'!$H$25)))))</f>
        <v/>
      </c>
      <c r="DO27">
        <f>IF($J$4="",1,IF($J$4="(blank)",--('Final Calculation Sheet'!$I$25=""),IF($J$4="(nonblank)",--('Final Calculation Sheet'!$I$25&lt;&gt;""),--ISNUMBER(SEARCH($J$4,'Final Calculation Sheet'!$I$25)))))</f>
        <v/>
      </c>
      <c r="DP27">
        <f>IF($K$4="",1,IF($K$4="(blank)",--('Final Calculation Sheet'!$J$25=""),IF($K$4="(nonblank)",--('Final Calculation Sheet'!$J$25&lt;&gt;""),--ISNUMBER(SEARCH($K$4,'Final Calculation Sheet'!$J$25)))))</f>
        <v/>
      </c>
      <c r="DQ27">
        <f>IF($L$4="",1,IF($L$4="(blank)",--('Final Calculation Sheet'!$K$25=""),IF($L$4="(nonblank)",--('Final Calculation Sheet'!$K$25&lt;&gt;""),--ISNUMBER(SEARCH($L$4,'Final Calculation Sheet'!$K$25)))))</f>
        <v/>
      </c>
      <c r="DR27">
        <f>IF($M$4="",1,IF($M$4="(blank)",--('Final Calculation Sheet'!$L$25=""),IF($M$4="(nonblank)",--('Final Calculation Sheet'!$L$25&lt;&gt;""),--ISNUMBER(SEARCH($M$4,'Final Calculation Sheet'!$L$25)))))</f>
        <v/>
      </c>
      <c r="DS27">
        <f>IF($N$4="",1,IF($N$4="(blank)",--('Final Calculation Sheet'!$M$25=""),IF($N$4="(nonblank)",--('Final Calculation Sheet'!$M$25&lt;&gt;""),--ISNUMBER(SEARCH($N$4,'Final Calculation Sheet'!$M$25)))))</f>
        <v/>
      </c>
      <c r="DT27">
        <f>IF($O$4="",1,IF($O$4="(blank)",--('Final Calculation Sheet'!$N$25=""),IF($O$4="(nonblank)",--('Final Calculation Sheet'!$N$25&lt;&gt;""),--ISNUMBER(SEARCH($O$4,'Final Calculation Sheet'!$N$25)))))</f>
        <v/>
      </c>
      <c r="DU27">
        <f>IF($P$4="",1,IF($P$4="(blank)",--('Final Calculation Sheet'!$O$25=""),IF($P$4="(nonblank)",--('Final Calculation Sheet'!$O$25&lt;&gt;""),--ISNUMBER(SEARCH($P$4,'Final Calculation Sheet'!$O$25)))))</f>
        <v/>
      </c>
      <c r="DV27">
        <f>IF($Q$4="",1,IF($Q$4="(blank)",--('Final Calculation Sheet'!$P$25=""),IF($Q$4="(nonblank)",--('Final Calculation Sheet'!$P$25&lt;&gt;""),--ISNUMBER(SEARCH($Q$4,'Final Calculation Sheet'!$P$25)))))</f>
        <v/>
      </c>
      <c r="DW27">
        <f>IF($R$4="",1,IF($R$4="(blank)",--('Final Calculation Sheet'!$Q$25=""),IF($R$4="(nonblank)",--('Final Calculation Sheet'!$Q$25&lt;&gt;""),--ISNUMBER(SEARCH($R$4,'Final Calculation Sheet'!$Q$25)))))</f>
        <v/>
      </c>
      <c r="DX27">
        <f>IF($S$4="",1,IF($S$4="(blank)",--('Final Calculation Sheet'!$R$25=""),IF($S$4="(nonblank)",--('Final Calculation Sheet'!$R$25&lt;&gt;""),--ISNUMBER(SEARCH($S$4,'Final Calculation Sheet'!$R$25)))))</f>
        <v/>
      </c>
      <c r="DY27">
        <f>IF($T$4="",1,IF($T$4="(blank)",--('Final Calculation Sheet'!$S$25=""),IF($T$4="(nonblank)",--('Final Calculation Sheet'!$S$25&lt;&gt;""),--ISNUMBER(SEARCH($T$4,'Final Calculation Sheet'!$S$25)))))</f>
        <v/>
      </c>
      <c r="DZ27">
        <f>IF($U$4="",1,IF($U$4="(blank)",--('Final Calculation Sheet'!$T$25=""),IF($U$4="(nonblank)",--('Final Calculation Sheet'!$T$25&lt;&gt;""),--ISNUMBER(SEARCH($U$4,'Final Calculation Sheet'!$T$25)))))</f>
        <v/>
      </c>
      <c r="EA27">
        <f>IF($V$4="",1,IF($V$4="(blank)",--('Final Calculation Sheet'!$U$25=""),IF($V$4="(nonblank)",--('Final Calculation Sheet'!$U$25&lt;&gt;""),--ISNUMBER(SEARCH($V$4,'Final Calculation Sheet'!$U$25)))))</f>
        <v/>
      </c>
      <c r="EB27">
        <f>IF($W$4="",1,IF($W$4="(blank)",--('Final Calculation Sheet'!$V$25=""),IF($W$4="(nonblank)",--('Final Calculation Sheet'!$V$25&lt;&gt;""),--ISNUMBER(SEARCH($W$4,'Final Calculation Sheet'!$V$25)))))</f>
        <v/>
      </c>
      <c r="EC27">
        <f>IF($X$4="",1,IF($X$4="(blank)",--('Final Calculation Sheet'!$W$25=""),IF($X$4="(nonblank)",--('Final Calculation Sheet'!$W$25&lt;&gt;""),--ISNUMBER(SEARCH($X$4,'Final Calculation Sheet'!$W$25)))))</f>
        <v/>
      </c>
      <c r="ED27">
        <f>IF($Y$4="",1,IF($Y$4="(blank)",--('Final Calculation Sheet'!$X$25=""),IF($Y$4="(nonblank)",--('Final Calculation Sheet'!$X$25&lt;&gt;""),--ISNUMBER(SEARCH($Y$4,'Final Calculation Sheet'!$X$25)))))</f>
        <v/>
      </c>
      <c r="EE27">
        <f>IF($Z$4="",1,IF($Z$4="(blank)",--('Final Calculation Sheet'!$Y$25=""),IF($Z$4="(nonblank)",--('Final Calculation Sheet'!$Y$25&lt;&gt;""),--ISNUMBER(SEARCH($Z$4,'Final Calculation Sheet'!$Y$25)))))</f>
        <v/>
      </c>
      <c r="EF27">
        <f>IF($AA$4="",1,IF($AA$4="(blank)",--('Final Calculation Sheet'!$Z$25=""),IF($AA$4="(nonblank)",--('Final Calculation Sheet'!$Z$25&lt;&gt;""),--ISNUMBER(SEARCH($AA$4,'Final Calculation Sheet'!$Z$25)))))</f>
        <v/>
      </c>
      <c r="EG27">
        <f>IF($AB$4="",1,IF($AB$4="(blank)",--('Final Calculation Sheet'!$AA$25=""),IF($AB$4="(nonblank)",--('Final Calculation Sheet'!$AA$25&lt;&gt;""),--ISNUMBER(SEARCH($AB$4,'Final Calculation Sheet'!$AA$25)))))</f>
        <v/>
      </c>
      <c r="EH27">
        <f>IF($AC$4="",1,IF($AC$4="(blank)",--('Final Calculation Sheet'!$AB$25=""),IF($AC$4="(nonblank)",--('Final Calculation Sheet'!$AB$25&lt;&gt;""),--ISNUMBER(SEARCH($AC$4,'Final Calculation Sheet'!$AB$25)))))</f>
        <v/>
      </c>
      <c r="EI27">
        <f>IF($AD$4="",1,IF($AD$4="(blank)",--('Final Calculation Sheet'!$AC$25=""),IF($AD$4="(nonblank)",--('Final Calculation Sheet'!$AC$25&lt;&gt;""),--ISNUMBER(SEARCH($AD$4,'Final Calculation Sheet'!$AC$25)))))</f>
        <v/>
      </c>
      <c r="EJ27">
        <f>IF($AE$4="",1,IF($AE$4="(blank)",--('Final Calculation Sheet'!$AD$25=""),IF($AE$4="(nonblank)",--('Final Calculation Sheet'!$AD$25&lt;&gt;""),--ISNUMBER(SEARCH($AE$4,'Final Calculation Sheet'!$AD$25)))))</f>
        <v/>
      </c>
      <c r="EK27">
        <f>IF($AF$4="",1,IF($AF$4="(blank)",--(IF('Final Calculation Sheet'!$AD$25&lt;=5,"SETTLED","OUTSTANDING")=""),IF($AF$4="(nonblank)",--(IF('Final Calculation Sheet'!$AD$25&lt;=5,"SETTLED","OUTSTANDING")&lt;&gt;""),--ISNUMBER(SEARCH($AF$4,IF('Final Calculation Sheet'!$AD$25&lt;=5,"SETTLED","OUTSTANDING"))))))</f>
        <v/>
      </c>
      <c r="EL27">
        <f>IF($AG$4="",1,IF($AG$4="(blank)",--('Final Calculation Sheet'!$AF$25=""),IF($AG$4="(nonblank)",--('Final Calculation Sheet'!$AF$25&lt;&gt;""),--ISNUMBER(SEARCH($AG$4,'Final Calculation Sheet'!$AF$25)))))</f>
        <v/>
      </c>
      <c r="EM27">
        <f>IF($AH$4="",1,IF($AH$4="(blank)",--('Final Calculation Sheet'!$AG$25=""),IF($AH$4="(nonblank)",--('Final Calculation Sheet'!$AG$25&lt;&gt;""),--ISNUMBER(SEARCH($AH$4,'Final Calculation Sheet'!$AG$25)))))</f>
        <v/>
      </c>
      <c r="EN27">
        <f>IF($AI$4="",1,IF($AI$4="(blank)",--('Final Calculation Sheet'!$AH$25=""),IF($AI$4="(nonblank)",--('Final Calculation Sheet'!$AH$25&lt;&gt;""),--ISNUMBER(SEARCH($AI$4,'Final Calculation Sheet'!$AH$25)))))</f>
        <v/>
      </c>
    </row>
    <row r="28" outlineLevel="1" hidden="1">
      <c r="A28" s="128">
        <f>IF($AL$28="","",22)</f>
        <v/>
      </c>
      <c r="B28" s="129">
        <f>IF($AL$28="","",IF(INDEX('Final Calculation Sheet'!$F$4:$F$40,$AL$28)="","",INDEX('Final Calculation Sheet'!$F$4:$F$40,$AL$28)))</f>
        <v/>
      </c>
      <c r="C28" s="129">
        <f>IF($AL$28="","",IF(INDEX('Final Calculation Sheet'!$G$4:$G$40,$AL$28)="","",INDEX('Final Calculation Sheet'!$G$4:$G$40,$AL$28)))</f>
        <v/>
      </c>
      <c r="D28" s="130">
        <f>IF($AL$28="","",IF(INDEX('Final Calculation Sheet'!$B$4:$B$40,$AL$28)="","",INDEX('Final Calculation Sheet'!$B$4:$B$40,$AL$28)))</f>
        <v/>
      </c>
      <c r="E28" s="130">
        <f>IF($AL$28="","",IF(INDEX('Final Calculation Sheet'!$D$4:$D$40,$AL$28)="","",INDEX('Final Calculation Sheet'!$D$4:$D$40,$AL$28)))</f>
        <v/>
      </c>
      <c r="F28" s="130">
        <f>IF($AL$28="","",IF(INDEX('Final Calculation Sheet'!$A$4:$A$40,$AL$28)="","",INDEX('Final Calculation Sheet'!$A$4:$A$40,$AL$28)))</f>
        <v/>
      </c>
      <c r="G28" s="130">
        <f>IF($AL$28="","",IF(INDEX('Final Calculation Sheet'!$E$4:$E$40,$AL$28)="","",INDEX('Final Calculation Sheet'!$E$4:$E$40,$AL$28)))</f>
        <v/>
      </c>
      <c r="H28" s="131">
        <f>IF($AL$28="","",IF(INDEX('Final Calculation Sheet'!$C$4:$C$40,$AL$28)="","",INDEX('Final Calculation Sheet'!$C$4:$C$40,$AL$28)))</f>
        <v/>
      </c>
      <c r="I28" s="131">
        <f>IF($AL$28="","",IF(INDEX('Final Calculation Sheet'!$H$4:$H$40,$AL$28)="","",INDEX('Final Calculation Sheet'!$H$4:$H$40,$AL$28)))</f>
        <v/>
      </c>
      <c r="J28" s="131">
        <f>IF($AL$28="","",IF(INDEX('Final Calculation Sheet'!$I$4:$I$40,$AL$28)="","",INDEX('Final Calculation Sheet'!$I$4:$I$40,$AL$28)))</f>
        <v/>
      </c>
      <c r="K28" s="131">
        <f>IF($AL$28="","",IF(INDEX('Final Calculation Sheet'!$J$4:$J$40,$AL$28)="","",INDEX('Final Calculation Sheet'!$J$4:$J$40,$AL$28)))</f>
        <v/>
      </c>
      <c r="L28" s="131">
        <f>IF($AL$28="","",IF(INDEX('Final Calculation Sheet'!$K$4:$K$40,$AL$28)="","",INDEX('Final Calculation Sheet'!$K$4:$K$40,$AL$28)))</f>
        <v/>
      </c>
      <c r="M28" s="131">
        <f>IF($AL$28="","",IF(INDEX('Final Calculation Sheet'!$L$4:$L$40,$AL$28)="","",INDEX('Final Calculation Sheet'!$L$4:$L$40,$AL$28)))</f>
        <v/>
      </c>
      <c r="N28" s="131">
        <f>IF($AL$28="","",IF(INDEX('Final Calculation Sheet'!$M$4:$M$40,$AL$28)="","",INDEX('Final Calculation Sheet'!$M$4:$M$40,$AL$28)))</f>
        <v/>
      </c>
      <c r="O28" s="132">
        <f>IF($AL$28="","",IF(INDEX('Final Calculation Sheet'!$N$4:$N$40,$AL$28)="","",INDEX('Final Calculation Sheet'!$N$4:$N$40,$AL$28)))</f>
        <v/>
      </c>
      <c r="P28" s="131">
        <f>IF($AL$28="","",IF(INDEX('Final Calculation Sheet'!$O$4:$O$40,$AL$28)="","",INDEX('Final Calculation Sheet'!$O$4:$O$40,$AL$28)))</f>
        <v/>
      </c>
      <c r="Q28" s="131">
        <f>IF($AL$28="","",IF(INDEX('Final Calculation Sheet'!$P$4:$P$40,$AL$28)="","",INDEX('Final Calculation Sheet'!$P$4:$P$40,$AL$28)))</f>
        <v/>
      </c>
      <c r="R28" s="133">
        <f>IF($AL$28="","",IF(INDEX('Final Calculation Sheet'!$Q$4:$Q$40,$AL$28)="","",INDEX('Final Calculation Sheet'!$Q$4:$Q$40,$AL$28)))</f>
        <v/>
      </c>
      <c r="S28" s="131">
        <f>IF($AL$28="","",IF(INDEX('Final Calculation Sheet'!$R$4:$R$40,$AL$28)="","",INDEX('Final Calculation Sheet'!$R$4:$R$40,$AL$28)))</f>
        <v/>
      </c>
      <c r="T28" s="131">
        <f>IF($AL$28="","",IF(INDEX('Final Calculation Sheet'!$S$4:$S$40,$AL$28)="","",INDEX('Final Calculation Sheet'!$S$4:$S$40,$AL$28)))</f>
        <v/>
      </c>
      <c r="U28" s="131">
        <f>IF($AL$28="","",IF(INDEX('Final Calculation Sheet'!$T$4:$T$40,$AL$28)="","",INDEX('Final Calculation Sheet'!$T$4:$T$40,$AL$28)))</f>
        <v/>
      </c>
      <c r="V28" s="134">
        <f>IF($AL$28="","",IF(INDEX('Final Calculation Sheet'!$U$4:$U$40,$AL$28)="","",INDEX('Final Calculation Sheet'!$U$4:$U$40,$AL$28)))</f>
        <v/>
      </c>
      <c r="W28" s="131">
        <f>IF($AL$28="","",IF(INDEX('Final Calculation Sheet'!$V$4:$V$40,$AL$28)="","",INDEX('Final Calculation Sheet'!$V$4:$V$40,$AL$28)))</f>
        <v/>
      </c>
      <c r="X28" s="131">
        <f>IF($AL$28="","",IF(INDEX('Final Calculation Sheet'!$W$4:$W$40,$AL$28)="","",INDEX('Final Calculation Sheet'!$W$4:$W$40,$AL$28)))</f>
        <v/>
      </c>
      <c r="Y28" s="131">
        <f>IF($AL$28="","",IF(INDEX('Final Calculation Sheet'!$X$4:$X$40,$AL$28)="","",INDEX('Final Calculation Sheet'!$X$4:$X$40,$AL$28)))</f>
        <v/>
      </c>
      <c r="Z28" s="131">
        <f>IF($AL$28="","",IF(INDEX('Final Calculation Sheet'!$Y$4:$Y$40,$AL$28)="","",INDEX('Final Calculation Sheet'!$Y$4:$Y$40,$AL$28)))</f>
        <v/>
      </c>
      <c r="AA28" s="131">
        <f>IF($AL$28="","",IF(INDEX('Final Calculation Sheet'!$Z$4:$Z$40,$AL$28)="","",INDEX('Final Calculation Sheet'!$Z$4:$Z$40,$AL$28)))</f>
        <v/>
      </c>
      <c r="AB28" s="131">
        <f>IF($AL$28="","",IF(INDEX('Final Calculation Sheet'!$AA$4:$AA$40,$AL$28)="","",INDEX('Final Calculation Sheet'!$AA$4:$AA$40,$AL$28)))</f>
        <v/>
      </c>
      <c r="AC28" s="131">
        <f>IF($AL$28="","",IF(INDEX('Final Calculation Sheet'!$AB$4:$AB$40,$AL$28)="","",INDEX('Final Calculation Sheet'!$AB$4:$AB$40,$AL$28)))</f>
        <v/>
      </c>
      <c r="AD28" s="131">
        <f>IF($AL$28="","",IF(INDEX('Final Calculation Sheet'!$AC$4:$AC$40,$AL$28)="","",INDEX('Final Calculation Sheet'!$AC$4:$AC$40,$AL$28)))</f>
        <v/>
      </c>
      <c r="AE28" s="131">
        <f>IF($AL$28="","",IF(INDEX('Final Calculation Sheet'!$AD$4:$AD$40,$AL$28)="","",INDEX('Final Calculation Sheet'!$AD$4:$AD$40,$AL$28)))</f>
        <v/>
      </c>
      <c r="AF28" s="136">
        <f>IF($AL$28="","",IF(INDEX('Final Calculation Sheet'!$AD$4:$AD$40,$AL$28)&lt;=5,"SETTLED","OUTSTANDING"))</f>
        <v/>
      </c>
      <c r="AG28" s="131">
        <f>IF($AL$28="","",IF(INDEX('Final Calculation Sheet'!$AF$4:$AF$40,$AL$28)="","",INDEX('Final Calculation Sheet'!$AF$4:$AF$40,$AL$28)))</f>
        <v/>
      </c>
      <c r="AH28" s="135">
        <f>IF($AL$28="","",IF(INDEX('Final Calculation Sheet'!$AG$4:$AG$40,$AL$28)="","",INDEX('Final Calculation Sheet'!$AG$4:$AG$40,$AL$28)))</f>
        <v/>
      </c>
      <c r="AI28" s="131">
        <f>IF($AL$28="","",IF(INDEX('Final Calculation Sheet'!$AH$4:$AH$40,$AL$28)="","",INDEX('Final Calculation Sheet'!$AH$4:$AH$40,$AL$28)))</f>
        <v/>
      </c>
      <c r="AJ28">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8">
        <f>IF(AJ28=1,COUNTIF(AJ$6:AJ28,1),"")</f>
        <v/>
      </c>
      <c r="AL28">
        <f>IF(COUNTIF($B$4:$AI$4,"&lt;&gt;")=0,"",IFERROR(MATCH(22,$AK$6:$AK$42,0),""))</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c r="DG28">
        <f>IF($B$4="",1,IF($B$4="(blank)",--('Final Calculation Sheet'!$F$26=""),IF($B$4="(nonblank)",--('Final Calculation Sheet'!$F$26&lt;&gt;""),--ISNUMBER(SEARCH($B$4,'Final Calculation Sheet'!$F$26)))))</f>
        <v/>
      </c>
      <c r="DH28">
        <f>IF($C$4="",1,IF($C$4="(blank)",--('Final Calculation Sheet'!$G$26=""),IF($C$4="(nonblank)",--('Final Calculation Sheet'!$G$26&lt;&gt;""),--ISNUMBER(SEARCH($C$4,'Final Calculation Sheet'!$G$26)))))</f>
        <v/>
      </c>
      <c r="DI28">
        <f>IF($D$4="",1,IF($D$4="(blank)",--('Final Calculation Sheet'!$B$26=""),IF($D$4="(nonblank)",--('Final Calculation Sheet'!$B$26&lt;&gt;""),--ISNUMBER(SEARCH($D$4,'Final Calculation Sheet'!$B$26)))))</f>
        <v/>
      </c>
      <c r="DJ28">
        <f>IF($E$4="",1,IF($E$4="(blank)",--('Final Calculation Sheet'!$D$26=""),IF($E$4="(nonblank)",--('Final Calculation Sheet'!$D$26&lt;&gt;""),--ISNUMBER(SEARCH($E$4,'Final Calculation Sheet'!$D$26)))))</f>
        <v/>
      </c>
      <c r="DK28">
        <f>IF($F$4="",1,IF($F$4="(blank)",--('Final Calculation Sheet'!$A$26=""),IF($F$4="(nonblank)",--('Final Calculation Sheet'!$A$26&lt;&gt;""),--ISNUMBER(SEARCH($F$4,'Final Calculation Sheet'!$A$26)))))</f>
        <v/>
      </c>
      <c r="DL28">
        <f>IF($G$4="",1,IF($G$4="(blank)",--('Final Calculation Sheet'!$E$26=""),IF($G$4="(nonblank)",--('Final Calculation Sheet'!$E$26&lt;&gt;""),--ISNUMBER(SEARCH($G$4,'Final Calculation Sheet'!$E$26)))))</f>
        <v/>
      </c>
      <c r="DM28">
        <f>IF($H$4="",1,IF($H$4="(blank)",--('Final Calculation Sheet'!$C$26=""),IF($H$4="(nonblank)",--('Final Calculation Sheet'!$C$26&lt;&gt;""),--ISNUMBER(SEARCH($H$4,'Final Calculation Sheet'!$C$26)))))</f>
        <v/>
      </c>
      <c r="DN28">
        <f>IF($I$4="",1,IF($I$4="(blank)",--('Final Calculation Sheet'!$H$26=""),IF($I$4="(nonblank)",--('Final Calculation Sheet'!$H$26&lt;&gt;""),--ISNUMBER(SEARCH($I$4,'Final Calculation Sheet'!$H$26)))))</f>
        <v/>
      </c>
      <c r="DO28">
        <f>IF($J$4="",1,IF($J$4="(blank)",--('Final Calculation Sheet'!$I$26=""),IF($J$4="(nonblank)",--('Final Calculation Sheet'!$I$26&lt;&gt;""),--ISNUMBER(SEARCH($J$4,'Final Calculation Sheet'!$I$26)))))</f>
        <v/>
      </c>
      <c r="DP28">
        <f>IF($K$4="",1,IF($K$4="(blank)",--('Final Calculation Sheet'!$J$26=""),IF($K$4="(nonblank)",--('Final Calculation Sheet'!$J$26&lt;&gt;""),--ISNUMBER(SEARCH($K$4,'Final Calculation Sheet'!$J$26)))))</f>
        <v/>
      </c>
      <c r="DQ28">
        <f>IF($L$4="",1,IF($L$4="(blank)",--('Final Calculation Sheet'!$K$26=""),IF($L$4="(nonblank)",--('Final Calculation Sheet'!$K$26&lt;&gt;""),--ISNUMBER(SEARCH($L$4,'Final Calculation Sheet'!$K$26)))))</f>
        <v/>
      </c>
      <c r="DR28">
        <f>IF($M$4="",1,IF($M$4="(blank)",--('Final Calculation Sheet'!$L$26=""),IF($M$4="(nonblank)",--('Final Calculation Sheet'!$L$26&lt;&gt;""),--ISNUMBER(SEARCH($M$4,'Final Calculation Sheet'!$L$26)))))</f>
        <v/>
      </c>
      <c r="DS28">
        <f>IF($N$4="",1,IF($N$4="(blank)",--('Final Calculation Sheet'!$M$26=""),IF($N$4="(nonblank)",--('Final Calculation Sheet'!$M$26&lt;&gt;""),--ISNUMBER(SEARCH($N$4,'Final Calculation Sheet'!$M$26)))))</f>
        <v/>
      </c>
      <c r="DT28">
        <f>IF($O$4="",1,IF($O$4="(blank)",--('Final Calculation Sheet'!$N$26=""),IF($O$4="(nonblank)",--('Final Calculation Sheet'!$N$26&lt;&gt;""),--ISNUMBER(SEARCH($O$4,'Final Calculation Sheet'!$N$26)))))</f>
        <v/>
      </c>
      <c r="DU28">
        <f>IF($P$4="",1,IF($P$4="(blank)",--('Final Calculation Sheet'!$O$26=""),IF($P$4="(nonblank)",--('Final Calculation Sheet'!$O$26&lt;&gt;""),--ISNUMBER(SEARCH($P$4,'Final Calculation Sheet'!$O$26)))))</f>
        <v/>
      </c>
      <c r="DV28">
        <f>IF($Q$4="",1,IF($Q$4="(blank)",--('Final Calculation Sheet'!$P$26=""),IF($Q$4="(nonblank)",--('Final Calculation Sheet'!$P$26&lt;&gt;""),--ISNUMBER(SEARCH($Q$4,'Final Calculation Sheet'!$P$26)))))</f>
        <v/>
      </c>
      <c r="DW28">
        <f>IF($R$4="",1,IF($R$4="(blank)",--('Final Calculation Sheet'!$Q$26=""),IF($R$4="(nonblank)",--('Final Calculation Sheet'!$Q$26&lt;&gt;""),--ISNUMBER(SEARCH($R$4,'Final Calculation Sheet'!$Q$26)))))</f>
        <v/>
      </c>
      <c r="DX28">
        <f>IF($S$4="",1,IF($S$4="(blank)",--('Final Calculation Sheet'!$R$26=""),IF($S$4="(nonblank)",--('Final Calculation Sheet'!$R$26&lt;&gt;""),--ISNUMBER(SEARCH($S$4,'Final Calculation Sheet'!$R$26)))))</f>
        <v/>
      </c>
      <c r="DY28">
        <f>IF($T$4="",1,IF($T$4="(blank)",--('Final Calculation Sheet'!$S$26=""),IF($T$4="(nonblank)",--('Final Calculation Sheet'!$S$26&lt;&gt;""),--ISNUMBER(SEARCH($T$4,'Final Calculation Sheet'!$S$26)))))</f>
        <v/>
      </c>
      <c r="DZ28">
        <f>IF($U$4="",1,IF($U$4="(blank)",--('Final Calculation Sheet'!$T$26=""),IF($U$4="(nonblank)",--('Final Calculation Sheet'!$T$26&lt;&gt;""),--ISNUMBER(SEARCH($U$4,'Final Calculation Sheet'!$T$26)))))</f>
        <v/>
      </c>
      <c r="EA28">
        <f>IF($V$4="",1,IF($V$4="(blank)",--('Final Calculation Sheet'!$U$26=""),IF($V$4="(nonblank)",--('Final Calculation Sheet'!$U$26&lt;&gt;""),--ISNUMBER(SEARCH($V$4,'Final Calculation Sheet'!$U$26)))))</f>
        <v/>
      </c>
      <c r="EB28">
        <f>IF($W$4="",1,IF($W$4="(blank)",--('Final Calculation Sheet'!$V$26=""),IF($W$4="(nonblank)",--('Final Calculation Sheet'!$V$26&lt;&gt;""),--ISNUMBER(SEARCH($W$4,'Final Calculation Sheet'!$V$26)))))</f>
        <v/>
      </c>
      <c r="EC28">
        <f>IF($X$4="",1,IF($X$4="(blank)",--('Final Calculation Sheet'!$W$26=""),IF($X$4="(nonblank)",--('Final Calculation Sheet'!$W$26&lt;&gt;""),--ISNUMBER(SEARCH($X$4,'Final Calculation Sheet'!$W$26)))))</f>
        <v/>
      </c>
      <c r="ED28">
        <f>IF($Y$4="",1,IF($Y$4="(blank)",--('Final Calculation Sheet'!$X$26=""),IF($Y$4="(nonblank)",--('Final Calculation Sheet'!$X$26&lt;&gt;""),--ISNUMBER(SEARCH($Y$4,'Final Calculation Sheet'!$X$26)))))</f>
        <v/>
      </c>
      <c r="EE28">
        <f>IF($Z$4="",1,IF($Z$4="(blank)",--('Final Calculation Sheet'!$Y$26=""),IF($Z$4="(nonblank)",--('Final Calculation Sheet'!$Y$26&lt;&gt;""),--ISNUMBER(SEARCH($Z$4,'Final Calculation Sheet'!$Y$26)))))</f>
        <v/>
      </c>
      <c r="EF28">
        <f>IF($AA$4="",1,IF($AA$4="(blank)",--('Final Calculation Sheet'!$Z$26=""),IF($AA$4="(nonblank)",--('Final Calculation Sheet'!$Z$26&lt;&gt;""),--ISNUMBER(SEARCH($AA$4,'Final Calculation Sheet'!$Z$26)))))</f>
        <v/>
      </c>
      <c r="EG28">
        <f>IF($AB$4="",1,IF($AB$4="(blank)",--('Final Calculation Sheet'!$AA$26=""),IF($AB$4="(nonblank)",--('Final Calculation Sheet'!$AA$26&lt;&gt;""),--ISNUMBER(SEARCH($AB$4,'Final Calculation Sheet'!$AA$26)))))</f>
        <v/>
      </c>
      <c r="EH28">
        <f>IF($AC$4="",1,IF($AC$4="(blank)",--('Final Calculation Sheet'!$AB$26=""),IF($AC$4="(nonblank)",--('Final Calculation Sheet'!$AB$26&lt;&gt;""),--ISNUMBER(SEARCH($AC$4,'Final Calculation Sheet'!$AB$26)))))</f>
        <v/>
      </c>
      <c r="EI28">
        <f>IF($AD$4="",1,IF($AD$4="(blank)",--('Final Calculation Sheet'!$AC$26=""),IF($AD$4="(nonblank)",--('Final Calculation Sheet'!$AC$26&lt;&gt;""),--ISNUMBER(SEARCH($AD$4,'Final Calculation Sheet'!$AC$26)))))</f>
        <v/>
      </c>
      <c r="EJ28">
        <f>IF($AE$4="",1,IF($AE$4="(blank)",--('Final Calculation Sheet'!$AD$26=""),IF($AE$4="(nonblank)",--('Final Calculation Sheet'!$AD$26&lt;&gt;""),--ISNUMBER(SEARCH($AE$4,'Final Calculation Sheet'!$AD$26)))))</f>
        <v/>
      </c>
      <c r="EK28">
        <f>IF($AF$4="",1,IF($AF$4="(blank)",--(IF('Final Calculation Sheet'!$AD$26&lt;=5,"SETTLED","OUTSTANDING")=""),IF($AF$4="(nonblank)",--(IF('Final Calculation Sheet'!$AD$26&lt;=5,"SETTLED","OUTSTANDING")&lt;&gt;""),--ISNUMBER(SEARCH($AF$4,IF('Final Calculation Sheet'!$AD$26&lt;=5,"SETTLED","OUTSTANDING"))))))</f>
        <v/>
      </c>
      <c r="EL28">
        <f>IF($AG$4="",1,IF($AG$4="(blank)",--('Final Calculation Sheet'!$AF$26=""),IF($AG$4="(nonblank)",--('Final Calculation Sheet'!$AF$26&lt;&gt;""),--ISNUMBER(SEARCH($AG$4,'Final Calculation Sheet'!$AF$26)))))</f>
        <v/>
      </c>
      <c r="EM28">
        <f>IF($AH$4="",1,IF($AH$4="(blank)",--('Final Calculation Sheet'!$AG$26=""),IF($AH$4="(nonblank)",--('Final Calculation Sheet'!$AG$26&lt;&gt;""),--ISNUMBER(SEARCH($AH$4,'Final Calculation Sheet'!$AG$26)))))</f>
        <v/>
      </c>
      <c r="EN28">
        <f>IF($AI$4="",1,IF($AI$4="(blank)",--('Final Calculation Sheet'!$AH$26=""),IF($AI$4="(nonblank)",--('Final Calculation Sheet'!$AH$26&lt;&gt;""),--ISNUMBER(SEARCH($AI$4,'Final Calculation Sheet'!$AH$26)))))</f>
        <v/>
      </c>
    </row>
    <row r="29" outlineLevel="1" hidden="1">
      <c r="A29" s="118">
        <f>IF($AL$29="","",23)</f>
        <v/>
      </c>
      <c r="B29" s="119">
        <f>IF($AL$29="","",IF(INDEX('Final Calculation Sheet'!$F$4:$F$40,$AL$29)="","",INDEX('Final Calculation Sheet'!$F$4:$F$40,$AL$29)))</f>
        <v/>
      </c>
      <c r="C29" s="119">
        <f>IF($AL$29="","",IF(INDEX('Final Calculation Sheet'!$G$4:$G$40,$AL$29)="","",INDEX('Final Calculation Sheet'!$G$4:$G$40,$AL$29)))</f>
        <v/>
      </c>
      <c r="D29" s="121">
        <f>IF($AL$29="","",IF(INDEX('Final Calculation Sheet'!$B$4:$B$40,$AL$29)="","",INDEX('Final Calculation Sheet'!$B$4:$B$40,$AL$29)))</f>
        <v/>
      </c>
      <c r="E29" s="121">
        <f>IF($AL$29="","",IF(INDEX('Final Calculation Sheet'!$D$4:$D$40,$AL$29)="","",INDEX('Final Calculation Sheet'!$D$4:$D$40,$AL$29)))</f>
        <v/>
      </c>
      <c r="F29" s="121">
        <f>IF($AL$29="","",IF(INDEX('Final Calculation Sheet'!$A$4:$A$40,$AL$29)="","",INDEX('Final Calculation Sheet'!$A$4:$A$40,$AL$29)))</f>
        <v/>
      </c>
      <c r="G29" s="121">
        <f>IF($AL$29="","",IF(INDEX('Final Calculation Sheet'!$E$4:$E$40,$AL$29)="","",INDEX('Final Calculation Sheet'!$E$4:$E$40,$AL$29)))</f>
        <v/>
      </c>
      <c r="H29" s="122">
        <f>IF($AL$29="","",IF(INDEX('Final Calculation Sheet'!$C$4:$C$40,$AL$29)="","",INDEX('Final Calculation Sheet'!$C$4:$C$40,$AL$29)))</f>
        <v/>
      </c>
      <c r="I29" s="122">
        <f>IF($AL$29="","",IF(INDEX('Final Calculation Sheet'!$H$4:$H$40,$AL$29)="","",INDEX('Final Calculation Sheet'!$H$4:$H$40,$AL$29)))</f>
        <v/>
      </c>
      <c r="J29" s="122">
        <f>IF($AL$29="","",IF(INDEX('Final Calculation Sheet'!$I$4:$I$40,$AL$29)="","",INDEX('Final Calculation Sheet'!$I$4:$I$40,$AL$29)))</f>
        <v/>
      </c>
      <c r="K29" s="122">
        <f>IF($AL$29="","",IF(INDEX('Final Calculation Sheet'!$J$4:$J$40,$AL$29)="","",INDEX('Final Calculation Sheet'!$J$4:$J$40,$AL$29)))</f>
        <v/>
      </c>
      <c r="L29" s="122">
        <f>IF($AL$29="","",IF(INDEX('Final Calculation Sheet'!$K$4:$K$40,$AL$29)="","",INDEX('Final Calculation Sheet'!$K$4:$K$40,$AL$29)))</f>
        <v/>
      </c>
      <c r="M29" s="122">
        <f>IF($AL$29="","",IF(INDEX('Final Calculation Sheet'!$L$4:$L$40,$AL$29)="","",INDEX('Final Calculation Sheet'!$L$4:$L$40,$AL$29)))</f>
        <v/>
      </c>
      <c r="N29" s="122">
        <f>IF($AL$29="","",IF(INDEX('Final Calculation Sheet'!$M$4:$M$40,$AL$29)="","",INDEX('Final Calculation Sheet'!$M$4:$M$40,$AL$29)))</f>
        <v/>
      </c>
      <c r="O29" s="123">
        <f>IF($AL$29="","",IF(INDEX('Final Calculation Sheet'!$N$4:$N$40,$AL$29)="","",INDEX('Final Calculation Sheet'!$N$4:$N$40,$AL$29)))</f>
        <v/>
      </c>
      <c r="P29" s="122">
        <f>IF($AL$29="","",IF(INDEX('Final Calculation Sheet'!$O$4:$O$40,$AL$29)="","",INDEX('Final Calculation Sheet'!$O$4:$O$40,$AL$29)))</f>
        <v/>
      </c>
      <c r="Q29" s="122">
        <f>IF($AL$29="","",IF(INDEX('Final Calculation Sheet'!$P$4:$P$40,$AL$29)="","",INDEX('Final Calculation Sheet'!$P$4:$P$40,$AL$29)))</f>
        <v/>
      </c>
      <c r="R29" s="124">
        <f>IF($AL$29="","",IF(INDEX('Final Calculation Sheet'!$Q$4:$Q$40,$AL$29)="","",INDEX('Final Calculation Sheet'!$Q$4:$Q$40,$AL$29)))</f>
        <v/>
      </c>
      <c r="S29" s="122">
        <f>IF($AL$29="","",IF(INDEX('Final Calculation Sheet'!$R$4:$R$40,$AL$29)="","",INDEX('Final Calculation Sheet'!$R$4:$R$40,$AL$29)))</f>
        <v/>
      </c>
      <c r="T29" s="122">
        <f>IF($AL$29="","",IF(INDEX('Final Calculation Sheet'!$S$4:$S$40,$AL$29)="","",INDEX('Final Calculation Sheet'!$S$4:$S$40,$AL$29)))</f>
        <v/>
      </c>
      <c r="U29" s="122">
        <f>IF($AL$29="","",IF(INDEX('Final Calculation Sheet'!$T$4:$T$40,$AL$29)="","",INDEX('Final Calculation Sheet'!$T$4:$T$40,$AL$29)))</f>
        <v/>
      </c>
      <c r="V29" s="125">
        <f>IF($AL$29="","",IF(INDEX('Final Calculation Sheet'!$U$4:$U$40,$AL$29)="","",INDEX('Final Calculation Sheet'!$U$4:$U$40,$AL$29)))</f>
        <v/>
      </c>
      <c r="W29" s="122">
        <f>IF($AL$29="","",IF(INDEX('Final Calculation Sheet'!$V$4:$V$40,$AL$29)="","",INDEX('Final Calculation Sheet'!$V$4:$V$40,$AL$29)))</f>
        <v/>
      </c>
      <c r="X29" s="122">
        <f>IF($AL$29="","",IF(INDEX('Final Calculation Sheet'!$W$4:$W$40,$AL$29)="","",INDEX('Final Calculation Sheet'!$W$4:$W$40,$AL$29)))</f>
        <v/>
      </c>
      <c r="Y29" s="122">
        <f>IF($AL$29="","",IF(INDEX('Final Calculation Sheet'!$X$4:$X$40,$AL$29)="","",INDEX('Final Calculation Sheet'!$X$4:$X$40,$AL$29)))</f>
        <v/>
      </c>
      <c r="Z29" s="122">
        <f>IF($AL$29="","",IF(INDEX('Final Calculation Sheet'!$Y$4:$Y$40,$AL$29)="","",INDEX('Final Calculation Sheet'!$Y$4:$Y$40,$AL$29)))</f>
        <v/>
      </c>
      <c r="AA29" s="122">
        <f>IF($AL$29="","",IF(INDEX('Final Calculation Sheet'!$Z$4:$Z$40,$AL$29)="","",INDEX('Final Calculation Sheet'!$Z$4:$Z$40,$AL$29)))</f>
        <v/>
      </c>
      <c r="AB29" s="122">
        <f>IF($AL$29="","",IF(INDEX('Final Calculation Sheet'!$AA$4:$AA$40,$AL$29)="","",INDEX('Final Calculation Sheet'!$AA$4:$AA$40,$AL$29)))</f>
        <v/>
      </c>
      <c r="AC29" s="122">
        <f>IF($AL$29="","",IF(INDEX('Final Calculation Sheet'!$AB$4:$AB$40,$AL$29)="","",INDEX('Final Calculation Sheet'!$AB$4:$AB$40,$AL$29)))</f>
        <v/>
      </c>
      <c r="AD29" s="122">
        <f>IF($AL$29="","",IF(INDEX('Final Calculation Sheet'!$AC$4:$AC$40,$AL$29)="","",INDEX('Final Calculation Sheet'!$AC$4:$AC$40,$AL$29)))</f>
        <v/>
      </c>
      <c r="AE29" s="122">
        <f>IF($AL$29="","",IF(INDEX('Final Calculation Sheet'!$AD$4:$AD$40,$AL$29)="","",INDEX('Final Calculation Sheet'!$AD$4:$AD$40,$AL$29)))</f>
        <v/>
      </c>
      <c r="AF29" s="127">
        <f>IF($AL$29="","",IF(INDEX('Final Calculation Sheet'!$AD$4:$AD$40,$AL$29)&lt;=5,"SETTLED","OUTSTANDING"))</f>
        <v/>
      </c>
      <c r="AG29" s="122">
        <f>IF($AL$29="","",IF(INDEX('Final Calculation Sheet'!$AF$4:$AF$40,$AL$29)="","",INDEX('Final Calculation Sheet'!$AF$4:$AF$40,$AL$29)))</f>
        <v/>
      </c>
      <c r="AH29" s="126">
        <f>IF($AL$29="","",IF(INDEX('Final Calculation Sheet'!$AG$4:$AG$40,$AL$29)="","",INDEX('Final Calculation Sheet'!$AG$4:$AG$40,$AL$29)))</f>
        <v/>
      </c>
      <c r="AI29" s="122">
        <f>IF($AL$29="","",IF(INDEX('Final Calculation Sheet'!$AH$4:$AH$40,$AL$29)="","",INDEX('Final Calculation Sheet'!$AH$4:$AH$40,$AL$29)))</f>
        <v/>
      </c>
      <c r="AJ29">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29">
        <f>IF(AJ29=1,COUNTIF(AJ$6:AJ29,1),"")</f>
        <v/>
      </c>
      <c r="AL29">
        <f>IF(COUNTIF($B$4:$AI$4,"&lt;&gt;")=0,"",IFERROR(MATCH(23,$AK$6:$AK$42,0),""))</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c r="DG29">
        <f>IF($B$4="",1,IF($B$4="(blank)",--('Final Calculation Sheet'!$F$27=""),IF($B$4="(nonblank)",--('Final Calculation Sheet'!$F$27&lt;&gt;""),--ISNUMBER(SEARCH($B$4,'Final Calculation Sheet'!$F$27)))))</f>
        <v/>
      </c>
      <c r="DH29">
        <f>IF($C$4="",1,IF($C$4="(blank)",--('Final Calculation Sheet'!$G$27=""),IF($C$4="(nonblank)",--('Final Calculation Sheet'!$G$27&lt;&gt;""),--ISNUMBER(SEARCH($C$4,'Final Calculation Sheet'!$G$27)))))</f>
        <v/>
      </c>
      <c r="DI29">
        <f>IF($D$4="",1,IF($D$4="(blank)",--('Final Calculation Sheet'!$B$27=""),IF($D$4="(nonblank)",--('Final Calculation Sheet'!$B$27&lt;&gt;""),--ISNUMBER(SEARCH($D$4,'Final Calculation Sheet'!$B$27)))))</f>
        <v/>
      </c>
      <c r="DJ29">
        <f>IF($E$4="",1,IF($E$4="(blank)",--('Final Calculation Sheet'!$D$27=""),IF($E$4="(nonblank)",--('Final Calculation Sheet'!$D$27&lt;&gt;""),--ISNUMBER(SEARCH($E$4,'Final Calculation Sheet'!$D$27)))))</f>
        <v/>
      </c>
      <c r="DK29">
        <f>IF($F$4="",1,IF($F$4="(blank)",--('Final Calculation Sheet'!$A$27=""),IF($F$4="(nonblank)",--('Final Calculation Sheet'!$A$27&lt;&gt;""),--ISNUMBER(SEARCH($F$4,'Final Calculation Sheet'!$A$27)))))</f>
        <v/>
      </c>
      <c r="DL29">
        <f>IF($G$4="",1,IF($G$4="(blank)",--('Final Calculation Sheet'!$E$27=""),IF($G$4="(nonblank)",--('Final Calculation Sheet'!$E$27&lt;&gt;""),--ISNUMBER(SEARCH($G$4,'Final Calculation Sheet'!$E$27)))))</f>
        <v/>
      </c>
      <c r="DM29">
        <f>IF($H$4="",1,IF($H$4="(blank)",--('Final Calculation Sheet'!$C$27=""),IF($H$4="(nonblank)",--('Final Calculation Sheet'!$C$27&lt;&gt;""),--ISNUMBER(SEARCH($H$4,'Final Calculation Sheet'!$C$27)))))</f>
        <v/>
      </c>
      <c r="DN29">
        <f>IF($I$4="",1,IF($I$4="(blank)",--('Final Calculation Sheet'!$H$27=""),IF($I$4="(nonblank)",--('Final Calculation Sheet'!$H$27&lt;&gt;""),--ISNUMBER(SEARCH($I$4,'Final Calculation Sheet'!$H$27)))))</f>
        <v/>
      </c>
      <c r="DO29">
        <f>IF($J$4="",1,IF($J$4="(blank)",--('Final Calculation Sheet'!$I$27=""),IF($J$4="(nonblank)",--('Final Calculation Sheet'!$I$27&lt;&gt;""),--ISNUMBER(SEARCH($J$4,'Final Calculation Sheet'!$I$27)))))</f>
        <v/>
      </c>
      <c r="DP29">
        <f>IF($K$4="",1,IF($K$4="(blank)",--('Final Calculation Sheet'!$J$27=""),IF($K$4="(nonblank)",--('Final Calculation Sheet'!$J$27&lt;&gt;""),--ISNUMBER(SEARCH($K$4,'Final Calculation Sheet'!$J$27)))))</f>
        <v/>
      </c>
      <c r="DQ29">
        <f>IF($L$4="",1,IF($L$4="(blank)",--('Final Calculation Sheet'!$K$27=""),IF($L$4="(nonblank)",--('Final Calculation Sheet'!$K$27&lt;&gt;""),--ISNUMBER(SEARCH($L$4,'Final Calculation Sheet'!$K$27)))))</f>
        <v/>
      </c>
      <c r="DR29">
        <f>IF($M$4="",1,IF($M$4="(blank)",--('Final Calculation Sheet'!$L$27=""),IF($M$4="(nonblank)",--('Final Calculation Sheet'!$L$27&lt;&gt;""),--ISNUMBER(SEARCH($M$4,'Final Calculation Sheet'!$L$27)))))</f>
        <v/>
      </c>
      <c r="DS29">
        <f>IF($N$4="",1,IF($N$4="(blank)",--('Final Calculation Sheet'!$M$27=""),IF($N$4="(nonblank)",--('Final Calculation Sheet'!$M$27&lt;&gt;""),--ISNUMBER(SEARCH($N$4,'Final Calculation Sheet'!$M$27)))))</f>
        <v/>
      </c>
      <c r="DT29">
        <f>IF($O$4="",1,IF($O$4="(blank)",--('Final Calculation Sheet'!$N$27=""),IF($O$4="(nonblank)",--('Final Calculation Sheet'!$N$27&lt;&gt;""),--ISNUMBER(SEARCH($O$4,'Final Calculation Sheet'!$N$27)))))</f>
        <v/>
      </c>
      <c r="DU29">
        <f>IF($P$4="",1,IF($P$4="(blank)",--('Final Calculation Sheet'!$O$27=""),IF($P$4="(nonblank)",--('Final Calculation Sheet'!$O$27&lt;&gt;""),--ISNUMBER(SEARCH($P$4,'Final Calculation Sheet'!$O$27)))))</f>
        <v/>
      </c>
      <c r="DV29">
        <f>IF($Q$4="",1,IF($Q$4="(blank)",--('Final Calculation Sheet'!$P$27=""),IF($Q$4="(nonblank)",--('Final Calculation Sheet'!$P$27&lt;&gt;""),--ISNUMBER(SEARCH($Q$4,'Final Calculation Sheet'!$P$27)))))</f>
        <v/>
      </c>
      <c r="DW29">
        <f>IF($R$4="",1,IF($R$4="(blank)",--('Final Calculation Sheet'!$Q$27=""),IF($R$4="(nonblank)",--('Final Calculation Sheet'!$Q$27&lt;&gt;""),--ISNUMBER(SEARCH($R$4,'Final Calculation Sheet'!$Q$27)))))</f>
        <v/>
      </c>
      <c r="DX29">
        <f>IF($S$4="",1,IF($S$4="(blank)",--('Final Calculation Sheet'!$R$27=""),IF($S$4="(nonblank)",--('Final Calculation Sheet'!$R$27&lt;&gt;""),--ISNUMBER(SEARCH($S$4,'Final Calculation Sheet'!$R$27)))))</f>
        <v/>
      </c>
      <c r="DY29">
        <f>IF($T$4="",1,IF($T$4="(blank)",--('Final Calculation Sheet'!$S$27=""),IF($T$4="(nonblank)",--('Final Calculation Sheet'!$S$27&lt;&gt;""),--ISNUMBER(SEARCH($T$4,'Final Calculation Sheet'!$S$27)))))</f>
        <v/>
      </c>
      <c r="DZ29">
        <f>IF($U$4="",1,IF($U$4="(blank)",--('Final Calculation Sheet'!$T$27=""),IF($U$4="(nonblank)",--('Final Calculation Sheet'!$T$27&lt;&gt;""),--ISNUMBER(SEARCH($U$4,'Final Calculation Sheet'!$T$27)))))</f>
        <v/>
      </c>
      <c r="EA29">
        <f>IF($V$4="",1,IF($V$4="(blank)",--('Final Calculation Sheet'!$U$27=""),IF($V$4="(nonblank)",--('Final Calculation Sheet'!$U$27&lt;&gt;""),--ISNUMBER(SEARCH($V$4,'Final Calculation Sheet'!$U$27)))))</f>
        <v/>
      </c>
      <c r="EB29">
        <f>IF($W$4="",1,IF($W$4="(blank)",--('Final Calculation Sheet'!$V$27=""),IF($W$4="(nonblank)",--('Final Calculation Sheet'!$V$27&lt;&gt;""),--ISNUMBER(SEARCH($W$4,'Final Calculation Sheet'!$V$27)))))</f>
        <v/>
      </c>
      <c r="EC29">
        <f>IF($X$4="",1,IF($X$4="(blank)",--('Final Calculation Sheet'!$W$27=""),IF($X$4="(nonblank)",--('Final Calculation Sheet'!$W$27&lt;&gt;""),--ISNUMBER(SEARCH($X$4,'Final Calculation Sheet'!$W$27)))))</f>
        <v/>
      </c>
      <c r="ED29">
        <f>IF($Y$4="",1,IF($Y$4="(blank)",--('Final Calculation Sheet'!$X$27=""),IF($Y$4="(nonblank)",--('Final Calculation Sheet'!$X$27&lt;&gt;""),--ISNUMBER(SEARCH($Y$4,'Final Calculation Sheet'!$X$27)))))</f>
        <v/>
      </c>
      <c r="EE29">
        <f>IF($Z$4="",1,IF($Z$4="(blank)",--('Final Calculation Sheet'!$Y$27=""),IF($Z$4="(nonblank)",--('Final Calculation Sheet'!$Y$27&lt;&gt;""),--ISNUMBER(SEARCH($Z$4,'Final Calculation Sheet'!$Y$27)))))</f>
        <v/>
      </c>
      <c r="EF29">
        <f>IF($AA$4="",1,IF($AA$4="(blank)",--('Final Calculation Sheet'!$Z$27=""),IF($AA$4="(nonblank)",--('Final Calculation Sheet'!$Z$27&lt;&gt;""),--ISNUMBER(SEARCH($AA$4,'Final Calculation Sheet'!$Z$27)))))</f>
        <v/>
      </c>
      <c r="EG29">
        <f>IF($AB$4="",1,IF($AB$4="(blank)",--('Final Calculation Sheet'!$AA$27=""),IF($AB$4="(nonblank)",--('Final Calculation Sheet'!$AA$27&lt;&gt;""),--ISNUMBER(SEARCH($AB$4,'Final Calculation Sheet'!$AA$27)))))</f>
        <v/>
      </c>
      <c r="EH29">
        <f>IF($AC$4="",1,IF($AC$4="(blank)",--('Final Calculation Sheet'!$AB$27=""),IF($AC$4="(nonblank)",--('Final Calculation Sheet'!$AB$27&lt;&gt;""),--ISNUMBER(SEARCH($AC$4,'Final Calculation Sheet'!$AB$27)))))</f>
        <v/>
      </c>
      <c r="EI29">
        <f>IF($AD$4="",1,IF($AD$4="(blank)",--('Final Calculation Sheet'!$AC$27=""),IF($AD$4="(nonblank)",--('Final Calculation Sheet'!$AC$27&lt;&gt;""),--ISNUMBER(SEARCH($AD$4,'Final Calculation Sheet'!$AC$27)))))</f>
        <v/>
      </c>
      <c r="EJ29">
        <f>IF($AE$4="",1,IF($AE$4="(blank)",--('Final Calculation Sheet'!$AD$27=""),IF($AE$4="(nonblank)",--('Final Calculation Sheet'!$AD$27&lt;&gt;""),--ISNUMBER(SEARCH($AE$4,'Final Calculation Sheet'!$AD$27)))))</f>
        <v/>
      </c>
      <c r="EK29">
        <f>IF($AF$4="",1,IF($AF$4="(blank)",--(IF('Final Calculation Sheet'!$AD$27&lt;=5,"SETTLED","OUTSTANDING")=""),IF($AF$4="(nonblank)",--(IF('Final Calculation Sheet'!$AD$27&lt;=5,"SETTLED","OUTSTANDING")&lt;&gt;""),--ISNUMBER(SEARCH($AF$4,IF('Final Calculation Sheet'!$AD$27&lt;=5,"SETTLED","OUTSTANDING"))))))</f>
        <v/>
      </c>
      <c r="EL29">
        <f>IF($AG$4="",1,IF($AG$4="(blank)",--('Final Calculation Sheet'!$AF$27=""),IF($AG$4="(nonblank)",--('Final Calculation Sheet'!$AF$27&lt;&gt;""),--ISNUMBER(SEARCH($AG$4,'Final Calculation Sheet'!$AF$27)))))</f>
        <v/>
      </c>
      <c r="EM29">
        <f>IF($AH$4="",1,IF($AH$4="(blank)",--('Final Calculation Sheet'!$AG$27=""),IF($AH$4="(nonblank)",--('Final Calculation Sheet'!$AG$27&lt;&gt;""),--ISNUMBER(SEARCH($AH$4,'Final Calculation Sheet'!$AG$27)))))</f>
        <v/>
      </c>
      <c r="EN29">
        <f>IF($AI$4="",1,IF($AI$4="(blank)",--('Final Calculation Sheet'!$AH$27=""),IF($AI$4="(nonblank)",--('Final Calculation Sheet'!$AH$27&lt;&gt;""),--ISNUMBER(SEARCH($AI$4,'Final Calculation Sheet'!$AH$27)))))</f>
        <v/>
      </c>
    </row>
    <row r="30" outlineLevel="1" hidden="1">
      <c r="A30" s="128">
        <f>IF($AL$30="","",24)</f>
        <v/>
      </c>
      <c r="B30" s="129">
        <f>IF($AL$30="","",IF(INDEX('Final Calculation Sheet'!$F$4:$F$40,$AL$30)="","",INDEX('Final Calculation Sheet'!$F$4:$F$40,$AL$30)))</f>
        <v/>
      </c>
      <c r="C30" s="129">
        <f>IF($AL$30="","",IF(INDEX('Final Calculation Sheet'!$G$4:$G$40,$AL$30)="","",INDEX('Final Calculation Sheet'!$G$4:$G$40,$AL$30)))</f>
        <v/>
      </c>
      <c r="D30" s="130">
        <f>IF($AL$30="","",IF(INDEX('Final Calculation Sheet'!$B$4:$B$40,$AL$30)="","",INDEX('Final Calculation Sheet'!$B$4:$B$40,$AL$30)))</f>
        <v/>
      </c>
      <c r="E30" s="130">
        <f>IF($AL$30="","",IF(INDEX('Final Calculation Sheet'!$D$4:$D$40,$AL$30)="","",INDEX('Final Calculation Sheet'!$D$4:$D$40,$AL$30)))</f>
        <v/>
      </c>
      <c r="F30" s="130">
        <f>IF($AL$30="","",IF(INDEX('Final Calculation Sheet'!$A$4:$A$40,$AL$30)="","",INDEX('Final Calculation Sheet'!$A$4:$A$40,$AL$30)))</f>
        <v/>
      </c>
      <c r="G30" s="130">
        <f>IF($AL$30="","",IF(INDEX('Final Calculation Sheet'!$E$4:$E$40,$AL$30)="","",INDEX('Final Calculation Sheet'!$E$4:$E$40,$AL$30)))</f>
        <v/>
      </c>
      <c r="H30" s="131">
        <f>IF($AL$30="","",IF(INDEX('Final Calculation Sheet'!$C$4:$C$40,$AL$30)="","",INDEX('Final Calculation Sheet'!$C$4:$C$40,$AL$30)))</f>
        <v/>
      </c>
      <c r="I30" s="131">
        <f>IF($AL$30="","",IF(INDEX('Final Calculation Sheet'!$H$4:$H$40,$AL$30)="","",INDEX('Final Calculation Sheet'!$H$4:$H$40,$AL$30)))</f>
        <v/>
      </c>
      <c r="J30" s="131">
        <f>IF($AL$30="","",IF(INDEX('Final Calculation Sheet'!$I$4:$I$40,$AL$30)="","",INDEX('Final Calculation Sheet'!$I$4:$I$40,$AL$30)))</f>
        <v/>
      </c>
      <c r="K30" s="131">
        <f>IF($AL$30="","",IF(INDEX('Final Calculation Sheet'!$J$4:$J$40,$AL$30)="","",INDEX('Final Calculation Sheet'!$J$4:$J$40,$AL$30)))</f>
        <v/>
      </c>
      <c r="L30" s="131">
        <f>IF($AL$30="","",IF(INDEX('Final Calculation Sheet'!$K$4:$K$40,$AL$30)="","",INDEX('Final Calculation Sheet'!$K$4:$K$40,$AL$30)))</f>
        <v/>
      </c>
      <c r="M30" s="131">
        <f>IF($AL$30="","",IF(INDEX('Final Calculation Sheet'!$L$4:$L$40,$AL$30)="","",INDEX('Final Calculation Sheet'!$L$4:$L$40,$AL$30)))</f>
        <v/>
      </c>
      <c r="N30" s="131">
        <f>IF($AL$30="","",IF(INDEX('Final Calculation Sheet'!$M$4:$M$40,$AL$30)="","",INDEX('Final Calculation Sheet'!$M$4:$M$40,$AL$30)))</f>
        <v/>
      </c>
      <c r="O30" s="132">
        <f>IF($AL$30="","",IF(INDEX('Final Calculation Sheet'!$N$4:$N$40,$AL$30)="","",INDEX('Final Calculation Sheet'!$N$4:$N$40,$AL$30)))</f>
        <v/>
      </c>
      <c r="P30" s="131">
        <f>IF($AL$30="","",IF(INDEX('Final Calculation Sheet'!$O$4:$O$40,$AL$30)="","",INDEX('Final Calculation Sheet'!$O$4:$O$40,$AL$30)))</f>
        <v/>
      </c>
      <c r="Q30" s="131">
        <f>IF($AL$30="","",IF(INDEX('Final Calculation Sheet'!$P$4:$P$40,$AL$30)="","",INDEX('Final Calculation Sheet'!$P$4:$P$40,$AL$30)))</f>
        <v/>
      </c>
      <c r="R30" s="133">
        <f>IF($AL$30="","",IF(INDEX('Final Calculation Sheet'!$Q$4:$Q$40,$AL$30)="","",INDEX('Final Calculation Sheet'!$Q$4:$Q$40,$AL$30)))</f>
        <v/>
      </c>
      <c r="S30" s="131">
        <f>IF($AL$30="","",IF(INDEX('Final Calculation Sheet'!$R$4:$R$40,$AL$30)="","",INDEX('Final Calculation Sheet'!$R$4:$R$40,$AL$30)))</f>
        <v/>
      </c>
      <c r="T30" s="131">
        <f>IF($AL$30="","",IF(INDEX('Final Calculation Sheet'!$S$4:$S$40,$AL$30)="","",INDEX('Final Calculation Sheet'!$S$4:$S$40,$AL$30)))</f>
        <v/>
      </c>
      <c r="U30" s="131">
        <f>IF($AL$30="","",IF(INDEX('Final Calculation Sheet'!$T$4:$T$40,$AL$30)="","",INDEX('Final Calculation Sheet'!$T$4:$T$40,$AL$30)))</f>
        <v/>
      </c>
      <c r="V30" s="134">
        <f>IF($AL$30="","",IF(INDEX('Final Calculation Sheet'!$U$4:$U$40,$AL$30)="","",INDEX('Final Calculation Sheet'!$U$4:$U$40,$AL$30)))</f>
        <v/>
      </c>
      <c r="W30" s="131">
        <f>IF($AL$30="","",IF(INDEX('Final Calculation Sheet'!$V$4:$V$40,$AL$30)="","",INDEX('Final Calculation Sheet'!$V$4:$V$40,$AL$30)))</f>
        <v/>
      </c>
      <c r="X30" s="131">
        <f>IF($AL$30="","",IF(INDEX('Final Calculation Sheet'!$W$4:$W$40,$AL$30)="","",INDEX('Final Calculation Sheet'!$W$4:$W$40,$AL$30)))</f>
        <v/>
      </c>
      <c r="Y30" s="131">
        <f>IF($AL$30="","",IF(INDEX('Final Calculation Sheet'!$X$4:$X$40,$AL$30)="","",INDEX('Final Calculation Sheet'!$X$4:$X$40,$AL$30)))</f>
        <v/>
      </c>
      <c r="Z30" s="131">
        <f>IF($AL$30="","",IF(INDEX('Final Calculation Sheet'!$Y$4:$Y$40,$AL$30)="","",INDEX('Final Calculation Sheet'!$Y$4:$Y$40,$AL$30)))</f>
        <v/>
      </c>
      <c r="AA30" s="131">
        <f>IF($AL$30="","",IF(INDEX('Final Calculation Sheet'!$Z$4:$Z$40,$AL$30)="","",INDEX('Final Calculation Sheet'!$Z$4:$Z$40,$AL$30)))</f>
        <v/>
      </c>
      <c r="AB30" s="131">
        <f>IF($AL$30="","",IF(INDEX('Final Calculation Sheet'!$AA$4:$AA$40,$AL$30)="","",INDEX('Final Calculation Sheet'!$AA$4:$AA$40,$AL$30)))</f>
        <v/>
      </c>
      <c r="AC30" s="131">
        <f>IF($AL$30="","",IF(INDEX('Final Calculation Sheet'!$AB$4:$AB$40,$AL$30)="","",INDEX('Final Calculation Sheet'!$AB$4:$AB$40,$AL$30)))</f>
        <v/>
      </c>
      <c r="AD30" s="131">
        <f>IF($AL$30="","",IF(INDEX('Final Calculation Sheet'!$AC$4:$AC$40,$AL$30)="","",INDEX('Final Calculation Sheet'!$AC$4:$AC$40,$AL$30)))</f>
        <v/>
      </c>
      <c r="AE30" s="131">
        <f>IF($AL$30="","",IF(INDEX('Final Calculation Sheet'!$AD$4:$AD$40,$AL$30)="","",INDEX('Final Calculation Sheet'!$AD$4:$AD$40,$AL$30)))</f>
        <v/>
      </c>
      <c r="AF30" s="136">
        <f>IF($AL$30="","",IF(INDEX('Final Calculation Sheet'!$AD$4:$AD$40,$AL$30)&lt;=5,"SETTLED","OUTSTANDING"))</f>
        <v/>
      </c>
      <c r="AG30" s="131">
        <f>IF($AL$30="","",IF(INDEX('Final Calculation Sheet'!$AF$4:$AF$40,$AL$30)="","",INDEX('Final Calculation Sheet'!$AF$4:$AF$40,$AL$30)))</f>
        <v/>
      </c>
      <c r="AH30" s="135">
        <f>IF($AL$30="","",IF(INDEX('Final Calculation Sheet'!$AG$4:$AG$40,$AL$30)="","",INDEX('Final Calculation Sheet'!$AG$4:$AG$40,$AL$30)))</f>
        <v/>
      </c>
      <c r="AI30" s="131">
        <f>IF($AL$30="","",IF(INDEX('Final Calculation Sheet'!$AH$4:$AH$40,$AL$30)="","",INDEX('Final Calculation Sheet'!$AH$4:$AH$40,$AL$30)))</f>
        <v/>
      </c>
      <c r="AJ30">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30">
        <f>IF(AJ30=1,COUNTIF(AJ$6:AJ30,1),"")</f>
        <v/>
      </c>
      <c r="AL30">
        <f>IF(COUNTIF($B$4:$AI$4,"&lt;&gt;")=0,"",IFERROR(MATCH(24,$AK$6:$AK$42,0),""))</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c r="DG30">
        <f>IF($B$4="",1,IF($B$4="(blank)",--('Final Calculation Sheet'!$F$28=""),IF($B$4="(nonblank)",--('Final Calculation Sheet'!$F$28&lt;&gt;""),--ISNUMBER(SEARCH($B$4,'Final Calculation Sheet'!$F$28)))))</f>
        <v/>
      </c>
      <c r="DH30">
        <f>IF($C$4="",1,IF($C$4="(blank)",--('Final Calculation Sheet'!$G$28=""),IF($C$4="(nonblank)",--('Final Calculation Sheet'!$G$28&lt;&gt;""),--ISNUMBER(SEARCH($C$4,'Final Calculation Sheet'!$G$28)))))</f>
        <v/>
      </c>
      <c r="DI30">
        <f>IF($D$4="",1,IF($D$4="(blank)",--('Final Calculation Sheet'!$B$28=""),IF($D$4="(nonblank)",--('Final Calculation Sheet'!$B$28&lt;&gt;""),--ISNUMBER(SEARCH($D$4,'Final Calculation Sheet'!$B$28)))))</f>
        <v/>
      </c>
      <c r="DJ30">
        <f>IF($E$4="",1,IF($E$4="(blank)",--('Final Calculation Sheet'!$D$28=""),IF($E$4="(nonblank)",--('Final Calculation Sheet'!$D$28&lt;&gt;""),--ISNUMBER(SEARCH($E$4,'Final Calculation Sheet'!$D$28)))))</f>
        <v/>
      </c>
      <c r="DK30">
        <f>IF($F$4="",1,IF($F$4="(blank)",--('Final Calculation Sheet'!$A$28=""),IF($F$4="(nonblank)",--('Final Calculation Sheet'!$A$28&lt;&gt;""),--ISNUMBER(SEARCH($F$4,'Final Calculation Sheet'!$A$28)))))</f>
        <v/>
      </c>
      <c r="DL30">
        <f>IF($G$4="",1,IF($G$4="(blank)",--('Final Calculation Sheet'!$E$28=""),IF($G$4="(nonblank)",--('Final Calculation Sheet'!$E$28&lt;&gt;""),--ISNUMBER(SEARCH($G$4,'Final Calculation Sheet'!$E$28)))))</f>
        <v/>
      </c>
      <c r="DM30">
        <f>IF($H$4="",1,IF($H$4="(blank)",--('Final Calculation Sheet'!$C$28=""),IF($H$4="(nonblank)",--('Final Calculation Sheet'!$C$28&lt;&gt;""),--ISNUMBER(SEARCH($H$4,'Final Calculation Sheet'!$C$28)))))</f>
        <v/>
      </c>
      <c r="DN30">
        <f>IF($I$4="",1,IF($I$4="(blank)",--('Final Calculation Sheet'!$H$28=""),IF($I$4="(nonblank)",--('Final Calculation Sheet'!$H$28&lt;&gt;""),--ISNUMBER(SEARCH($I$4,'Final Calculation Sheet'!$H$28)))))</f>
        <v/>
      </c>
      <c r="DO30">
        <f>IF($J$4="",1,IF($J$4="(blank)",--('Final Calculation Sheet'!$I$28=""),IF($J$4="(nonblank)",--('Final Calculation Sheet'!$I$28&lt;&gt;""),--ISNUMBER(SEARCH($J$4,'Final Calculation Sheet'!$I$28)))))</f>
        <v/>
      </c>
      <c r="DP30">
        <f>IF($K$4="",1,IF($K$4="(blank)",--('Final Calculation Sheet'!$J$28=""),IF($K$4="(nonblank)",--('Final Calculation Sheet'!$J$28&lt;&gt;""),--ISNUMBER(SEARCH($K$4,'Final Calculation Sheet'!$J$28)))))</f>
        <v/>
      </c>
      <c r="DQ30">
        <f>IF($L$4="",1,IF($L$4="(blank)",--('Final Calculation Sheet'!$K$28=""),IF($L$4="(nonblank)",--('Final Calculation Sheet'!$K$28&lt;&gt;""),--ISNUMBER(SEARCH($L$4,'Final Calculation Sheet'!$K$28)))))</f>
        <v/>
      </c>
      <c r="DR30">
        <f>IF($M$4="",1,IF($M$4="(blank)",--('Final Calculation Sheet'!$L$28=""),IF($M$4="(nonblank)",--('Final Calculation Sheet'!$L$28&lt;&gt;""),--ISNUMBER(SEARCH($M$4,'Final Calculation Sheet'!$L$28)))))</f>
        <v/>
      </c>
      <c r="DS30">
        <f>IF($N$4="",1,IF($N$4="(blank)",--('Final Calculation Sheet'!$M$28=""),IF($N$4="(nonblank)",--('Final Calculation Sheet'!$M$28&lt;&gt;""),--ISNUMBER(SEARCH($N$4,'Final Calculation Sheet'!$M$28)))))</f>
        <v/>
      </c>
      <c r="DT30">
        <f>IF($O$4="",1,IF($O$4="(blank)",--('Final Calculation Sheet'!$N$28=""),IF($O$4="(nonblank)",--('Final Calculation Sheet'!$N$28&lt;&gt;""),--ISNUMBER(SEARCH($O$4,'Final Calculation Sheet'!$N$28)))))</f>
        <v/>
      </c>
      <c r="DU30">
        <f>IF($P$4="",1,IF($P$4="(blank)",--('Final Calculation Sheet'!$O$28=""),IF($P$4="(nonblank)",--('Final Calculation Sheet'!$O$28&lt;&gt;""),--ISNUMBER(SEARCH($P$4,'Final Calculation Sheet'!$O$28)))))</f>
        <v/>
      </c>
      <c r="DV30">
        <f>IF($Q$4="",1,IF($Q$4="(blank)",--('Final Calculation Sheet'!$P$28=""),IF($Q$4="(nonblank)",--('Final Calculation Sheet'!$P$28&lt;&gt;""),--ISNUMBER(SEARCH($Q$4,'Final Calculation Sheet'!$P$28)))))</f>
        <v/>
      </c>
      <c r="DW30">
        <f>IF($R$4="",1,IF($R$4="(blank)",--('Final Calculation Sheet'!$Q$28=""),IF($R$4="(nonblank)",--('Final Calculation Sheet'!$Q$28&lt;&gt;""),--ISNUMBER(SEARCH($R$4,'Final Calculation Sheet'!$Q$28)))))</f>
        <v/>
      </c>
      <c r="DX30">
        <f>IF($S$4="",1,IF($S$4="(blank)",--('Final Calculation Sheet'!$R$28=""),IF($S$4="(nonblank)",--('Final Calculation Sheet'!$R$28&lt;&gt;""),--ISNUMBER(SEARCH($S$4,'Final Calculation Sheet'!$R$28)))))</f>
        <v/>
      </c>
      <c r="DY30">
        <f>IF($T$4="",1,IF($T$4="(blank)",--('Final Calculation Sheet'!$S$28=""),IF($T$4="(nonblank)",--('Final Calculation Sheet'!$S$28&lt;&gt;""),--ISNUMBER(SEARCH($T$4,'Final Calculation Sheet'!$S$28)))))</f>
        <v/>
      </c>
      <c r="DZ30">
        <f>IF($U$4="",1,IF($U$4="(blank)",--('Final Calculation Sheet'!$T$28=""),IF($U$4="(nonblank)",--('Final Calculation Sheet'!$T$28&lt;&gt;""),--ISNUMBER(SEARCH($U$4,'Final Calculation Sheet'!$T$28)))))</f>
        <v/>
      </c>
      <c r="EA30">
        <f>IF($V$4="",1,IF($V$4="(blank)",--('Final Calculation Sheet'!$U$28=""),IF($V$4="(nonblank)",--('Final Calculation Sheet'!$U$28&lt;&gt;""),--ISNUMBER(SEARCH($V$4,'Final Calculation Sheet'!$U$28)))))</f>
        <v/>
      </c>
      <c r="EB30">
        <f>IF($W$4="",1,IF($W$4="(blank)",--('Final Calculation Sheet'!$V$28=""),IF($W$4="(nonblank)",--('Final Calculation Sheet'!$V$28&lt;&gt;""),--ISNUMBER(SEARCH($W$4,'Final Calculation Sheet'!$V$28)))))</f>
        <v/>
      </c>
      <c r="EC30">
        <f>IF($X$4="",1,IF($X$4="(blank)",--('Final Calculation Sheet'!$W$28=""),IF($X$4="(nonblank)",--('Final Calculation Sheet'!$W$28&lt;&gt;""),--ISNUMBER(SEARCH($X$4,'Final Calculation Sheet'!$W$28)))))</f>
        <v/>
      </c>
      <c r="ED30">
        <f>IF($Y$4="",1,IF($Y$4="(blank)",--('Final Calculation Sheet'!$X$28=""),IF($Y$4="(nonblank)",--('Final Calculation Sheet'!$X$28&lt;&gt;""),--ISNUMBER(SEARCH($Y$4,'Final Calculation Sheet'!$X$28)))))</f>
        <v/>
      </c>
      <c r="EE30">
        <f>IF($Z$4="",1,IF($Z$4="(blank)",--('Final Calculation Sheet'!$Y$28=""),IF($Z$4="(nonblank)",--('Final Calculation Sheet'!$Y$28&lt;&gt;""),--ISNUMBER(SEARCH($Z$4,'Final Calculation Sheet'!$Y$28)))))</f>
        <v/>
      </c>
      <c r="EF30">
        <f>IF($AA$4="",1,IF($AA$4="(blank)",--('Final Calculation Sheet'!$Z$28=""),IF($AA$4="(nonblank)",--('Final Calculation Sheet'!$Z$28&lt;&gt;""),--ISNUMBER(SEARCH($AA$4,'Final Calculation Sheet'!$Z$28)))))</f>
        <v/>
      </c>
      <c r="EG30">
        <f>IF($AB$4="",1,IF($AB$4="(blank)",--('Final Calculation Sheet'!$AA$28=""),IF($AB$4="(nonblank)",--('Final Calculation Sheet'!$AA$28&lt;&gt;""),--ISNUMBER(SEARCH($AB$4,'Final Calculation Sheet'!$AA$28)))))</f>
        <v/>
      </c>
      <c r="EH30">
        <f>IF($AC$4="",1,IF($AC$4="(blank)",--('Final Calculation Sheet'!$AB$28=""),IF($AC$4="(nonblank)",--('Final Calculation Sheet'!$AB$28&lt;&gt;""),--ISNUMBER(SEARCH($AC$4,'Final Calculation Sheet'!$AB$28)))))</f>
        <v/>
      </c>
      <c r="EI30">
        <f>IF($AD$4="",1,IF($AD$4="(blank)",--('Final Calculation Sheet'!$AC$28=""),IF($AD$4="(nonblank)",--('Final Calculation Sheet'!$AC$28&lt;&gt;""),--ISNUMBER(SEARCH($AD$4,'Final Calculation Sheet'!$AC$28)))))</f>
        <v/>
      </c>
      <c r="EJ30">
        <f>IF($AE$4="",1,IF($AE$4="(blank)",--('Final Calculation Sheet'!$AD$28=""),IF($AE$4="(nonblank)",--('Final Calculation Sheet'!$AD$28&lt;&gt;""),--ISNUMBER(SEARCH($AE$4,'Final Calculation Sheet'!$AD$28)))))</f>
        <v/>
      </c>
      <c r="EK30">
        <f>IF($AF$4="",1,IF($AF$4="(blank)",--(IF('Final Calculation Sheet'!$AD$28&lt;=5,"SETTLED","OUTSTANDING")=""),IF($AF$4="(nonblank)",--(IF('Final Calculation Sheet'!$AD$28&lt;=5,"SETTLED","OUTSTANDING")&lt;&gt;""),--ISNUMBER(SEARCH($AF$4,IF('Final Calculation Sheet'!$AD$28&lt;=5,"SETTLED","OUTSTANDING"))))))</f>
        <v/>
      </c>
      <c r="EL30">
        <f>IF($AG$4="",1,IF($AG$4="(blank)",--('Final Calculation Sheet'!$AF$28=""),IF($AG$4="(nonblank)",--('Final Calculation Sheet'!$AF$28&lt;&gt;""),--ISNUMBER(SEARCH($AG$4,'Final Calculation Sheet'!$AF$28)))))</f>
        <v/>
      </c>
      <c r="EM30">
        <f>IF($AH$4="",1,IF($AH$4="(blank)",--('Final Calculation Sheet'!$AG$28=""),IF($AH$4="(nonblank)",--('Final Calculation Sheet'!$AG$28&lt;&gt;""),--ISNUMBER(SEARCH($AH$4,'Final Calculation Sheet'!$AG$28)))))</f>
        <v/>
      </c>
      <c r="EN30">
        <f>IF($AI$4="",1,IF($AI$4="(blank)",--('Final Calculation Sheet'!$AH$28=""),IF($AI$4="(nonblank)",--('Final Calculation Sheet'!$AH$28&lt;&gt;""),--ISNUMBER(SEARCH($AI$4,'Final Calculation Sheet'!$AH$28)))))</f>
        <v/>
      </c>
    </row>
    <row r="31" outlineLevel="1" hidden="1">
      <c r="A31" s="118">
        <f>IF($AL$31="","",25)</f>
        <v/>
      </c>
      <c r="B31" s="119">
        <f>IF($AL$31="","",IF(INDEX('Final Calculation Sheet'!$F$4:$F$40,$AL$31)="","",INDEX('Final Calculation Sheet'!$F$4:$F$40,$AL$31)))</f>
        <v/>
      </c>
      <c r="C31" s="119">
        <f>IF($AL$31="","",IF(INDEX('Final Calculation Sheet'!$G$4:$G$40,$AL$31)="","",INDEX('Final Calculation Sheet'!$G$4:$G$40,$AL$31)))</f>
        <v/>
      </c>
      <c r="D31" s="121">
        <f>IF($AL$31="","",IF(INDEX('Final Calculation Sheet'!$B$4:$B$40,$AL$31)="","",INDEX('Final Calculation Sheet'!$B$4:$B$40,$AL$31)))</f>
        <v/>
      </c>
      <c r="E31" s="121">
        <f>IF($AL$31="","",IF(INDEX('Final Calculation Sheet'!$D$4:$D$40,$AL$31)="","",INDEX('Final Calculation Sheet'!$D$4:$D$40,$AL$31)))</f>
        <v/>
      </c>
      <c r="F31" s="121">
        <f>IF($AL$31="","",IF(INDEX('Final Calculation Sheet'!$A$4:$A$40,$AL$31)="","",INDEX('Final Calculation Sheet'!$A$4:$A$40,$AL$31)))</f>
        <v/>
      </c>
      <c r="G31" s="121">
        <f>IF($AL$31="","",IF(INDEX('Final Calculation Sheet'!$E$4:$E$40,$AL$31)="","",INDEX('Final Calculation Sheet'!$E$4:$E$40,$AL$31)))</f>
        <v/>
      </c>
      <c r="H31" s="122">
        <f>IF($AL$31="","",IF(INDEX('Final Calculation Sheet'!$C$4:$C$40,$AL$31)="","",INDEX('Final Calculation Sheet'!$C$4:$C$40,$AL$31)))</f>
        <v/>
      </c>
      <c r="I31" s="122">
        <f>IF($AL$31="","",IF(INDEX('Final Calculation Sheet'!$H$4:$H$40,$AL$31)="","",INDEX('Final Calculation Sheet'!$H$4:$H$40,$AL$31)))</f>
        <v/>
      </c>
      <c r="J31" s="122">
        <f>IF($AL$31="","",IF(INDEX('Final Calculation Sheet'!$I$4:$I$40,$AL$31)="","",INDEX('Final Calculation Sheet'!$I$4:$I$40,$AL$31)))</f>
        <v/>
      </c>
      <c r="K31" s="122">
        <f>IF($AL$31="","",IF(INDEX('Final Calculation Sheet'!$J$4:$J$40,$AL$31)="","",INDEX('Final Calculation Sheet'!$J$4:$J$40,$AL$31)))</f>
        <v/>
      </c>
      <c r="L31" s="122">
        <f>IF($AL$31="","",IF(INDEX('Final Calculation Sheet'!$K$4:$K$40,$AL$31)="","",INDEX('Final Calculation Sheet'!$K$4:$K$40,$AL$31)))</f>
        <v/>
      </c>
      <c r="M31" s="122">
        <f>IF($AL$31="","",IF(INDEX('Final Calculation Sheet'!$L$4:$L$40,$AL$31)="","",INDEX('Final Calculation Sheet'!$L$4:$L$40,$AL$31)))</f>
        <v/>
      </c>
      <c r="N31" s="122">
        <f>IF($AL$31="","",IF(INDEX('Final Calculation Sheet'!$M$4:$M$40,$AL$31)="","",INDEX('Final Calculation Sheet'!$M$4:$M$40,$AL$31)))</f>
        <v/>
      </c>
      <c r="O31" s="123">
        <f>IF($AL$31="","",IF(INDEX('Final Calculation Sheet'!$N$4:$N$40,$AL$31)="","",INDEX('Final Calculation Sheet'!$N$4:$N$40,$AL$31)))</f>
        <v/>
      </c>
      <c r="P31" s="122">
        <f>IF($AL$31="","",IF(INDEX('Final Calculation Sheet'!$O$4:$O$40,$AL$31)="","",INDEX('Final Calculation Sheet'!$O$4:$O$40,$AL$31)))</f>
        <v/>
      </c>
      <c r="Q31" s="122">
        <f>IF($AL$31="","",IF(INDEX('Final Calculation Sheet'!$P$4:$P$40,$AL$31)="","",INDEX('Final Calculation Sheet'!$P$4:$P$40,$AL$31)))</f>
        <v/>
      </c>
      <c r="R31" s="124">
        <f>IF($AL$31="","",IF(INDEX('Final Calculation Sheet'!$Q$4:$Q$40,$AL$31)="","",INDEX('Final Calculation Sheet'!$Q$4:$Q$40,$AL$31)))</f>
        <v/>
      </c>
      <c r="S31" s="122">
        <f>IF($AL$31="","",IF(INDEX('Final Calculation Sheet'!$R$4:$R$40,$AL$31)="","",INDEX('Final Calculation Sheet'!$R$4:$R$40,$AL$31)))</f>
        <v/>
      </c>
      <c r="T31" s="122">
        <f>IF($AL$31="","",IF(INDEX('Final Calculation Sheet'!$S$4:$S$40,$AL$31)="","",INDEX('Final Calculation Sheet'!$S$4:$S$40,$AL$31)))</f>
        <v/>
      </c>
      <c r="U31" s="122">
        <f>IF($AL$31="","",IF(INDEX('Final Calculation Sheet'!$T$4:$T$40,$AL$31)="","",INDEX('Final Calculation Sheet'!$T$4:$T$40,$AL$31)))</f>
        <v/>
      </c>
      <c r="V31" s="125">
        <f>IF($AL$31="","",IF(INDEX('Final Calculation Sheet'!$U$4:$U$40,$AL$31)="","",INDEX('Final Calculation Sheet'!$U$4:$U$40,$AL$31)))</f>
        <v/>
      </c>
      <c r="W31" s="122">
        <f>IF($AL$31="","",IF(INDEX('Final Calculation Sheet'!$V$4:$V$40,$AL$31)="","",INDEX('Final Calculation Sheet'!$V$4:$V$40,$AL$31)))</f>
        <v/>
      </c>
      <c r="X31" s="122">
        <f>IF($AL$31="","",IF(INDEX('Final Calculation Sheet'!$W$4:$W$40,$AL$31)="","",INDEX('Final Calculation Sheet'!$W$4:$W$40,$AL$31)))</f>
        <v/>
      </c>
      <c r="Y31" s="122">
        <f>IF($AL$31="","",IF(INDEX('Final Calculation Sheet'!$X$4:$X$40,$AL$31)="","",INDEX('Final Calculation Sheet'!$X$4:$X$40,$AL$31)))</f>
        <v/>
      </c>
      <c r="Z31" s="122">
        <f>IF($AL$31="","",IF(INDEX('Final Calculation Sheet'!$Y$4:$Y$40,$AL$31)="","",INDEX('Final Calculation Sheet'!$Y$4:$Y$40,$AL$31)))</f>
        <v/>
      </c>
      <c r="AA31" s="122">
        <f>IF($AL$31="","",IF(INDEX('Final Calculation Sheet'!$Z$4:$Z$40,$AL$31)="","",INDEX('Final Calculation Sheet'!$Z$4:$Z$40,$AL$31)))</f>
        <v/>
      </c>
      <c r="AB31" s="122">
        <f>IF($AL$31="","",IF(INDEX('Final Calculation Sheet'!$AA$4:$AA$40,$AL$31)="","",INDEX('Final Calculation Sheet'!$AA$4:$AA$40,$AL$31)))</f>
        <v/>
      </c>
      <c r="AC31" s="122">
        <f>IF($AL$31="","",IF(INDEX('Final Calculation Sheet'!$AB$4:$AB$40,$AL$31)="","",INDEX('Final Calculation Sheet'!$AB$4:$AB$40,$AL$31)))</f>
        <v/>
      </c>
      <c r="AD31" s="122">
        <f>IF($AL$31="","",IF(INDEX('Final Calculation Sheet'!$AC$4:$AC$40,$AL$31)="","",INDEX('Final Calculation Sheet'!$AC$4:$AC$40,$AL$31)))</f>
        <v/>
      </c>
      <c r="AE31" s="122">
        <f>IF($AL$31="","",IF(INDEX('Final Calculation Sheet'!$AD$4:$AD$40,$AL$31)="","",INDEX('Final Calculation Sheet'!$AD$4:$AD$40,$AL$31)))</f>
        <v/>
      </c>
      <c r="AF31" s="127">
        <f>IF($AL$31="","",IF(INDEX('Final Calculation Sheet'!$AD$4:$AD$40,$AL$31)&lt;=5,"SETTLED","OUTSTANDING"))</f>
        <v/>
      </c>
      <c r="AG31" s="122">
        <f>IF($AL$31="","",IF(INDEX('Final Calculation Sheet'!$AF$4:$AF$40,$AL$31)="","",INDEX('Final Calculation Sheet'!$AF$4:$AF$40,$AL$31)))</f>
        <v/>
      </c>
      <c r="AH31" s="126">
        <f>IF($AL$31="","",IF(INDEX('Final Calculation Sheet'!$AG$4:$AG$40,$AL$31)="","",INDEX('Final Calculation Sheet'!$AG$4:$AG$40,$AL$31)))</f>
        <v/>
      </c>
      <c r="AI31" s="122">
        <f>IF($AL$31="","",IF(INDEX('Final Calculation Sheet'!$AH$4:$AH$40,$AL$31)="","",INDEX('Final Calculation Sheet'!$AH$4:$AH$40,$AL$31)))</f>
        <v/>
      </c>
      <c r="AJ31">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31">
        <f>IF(AJ31=1,COUNTIF(AJ$6:AJ31,1),"")</f>
        <v/>
      </c>
      <c r="AL31">
        <f>IF(COUNTIF($B$4:$AI$4,"&lt;&gt;")=0,"",IFERROR(MATCH(25,$AK$6:$AK$42,0),""))</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c r="DG31">
        <f>IF($B$4="",1,IF($B$4="(blank)",--('Final Calculation Sheet'!$F$29=""),IF($B$4="(nonblank)",--('Final Calculation Sheet'!$F$29&lt;&gt;""),--ISNUMBER(SEARCH($B$4,'Final Calculation Sheet'!$F$29)))))</f>
        <v/>
      </c>
      <c r="DH31">
        <f>IF($C$4="",1,IF($C$4="(blank)",--('Final Calculation Sheet'!$G$29=""),IF($C$4="(nonblank)",--('Final Calculation Sheet'!$G$29&lt;&gt;""),--ISNUMBER(SEARCH($C$4,'Final Calculation Sheet'!$G$29)))))</f>
        <v/>
      </c>
      <c r="DI31">
        <f>IF($D$4="",1,IF($D$4="(blank)",--('Final Calculation Sheet'!$B$29=""),IF($D$4="(nonblank)",--('Final Calculation Sheet'!$B$29&lt;&gt;""),--ISNUMBER(SEARCH($D$4,'Final Calculation Sheet'!$B$29)))))</f>
        <v/>
      </c>
      <c r="DJ31">
        <f>IF($E$4="",1,IF($E$4="(blank)",--('Final Calculation Sheet'!$D$29=""),IF($E$4="(nonblank)",--('Final Calculation Sheet'!$D$29&lt;&gt;""),--ISNUMBER(SEARCH($E$4,'Final Calculation Sheet'!$D$29)))))</f>
        <v/>
      </c>
      <c r="DK31">
        <f>IF($F$4="",1,IF($F$4="(blank)",--('Final Calculation Sheet'!$A$29=""),IF($F$4="(nonblank)",--('Final Calculation Sheet'!$A$29&lt;&gt;""),--ISNUMBER(SEARCH($F$4,'Final Calculation Sheet'!$A$29)))))</f>
        <v/>
      </c>
      <c r="DL31">
        <f>IF($G$4="",1,IF($G$4="(blank)",--('Final Calculation Sheet'!$E$29=""),IF($G$4="(nonblank)",--('Final Calculation Sheet'!$E$29&lt;&gt;""),--ISNUMBER(SEARCH($G$4,'Final Calculation Sheet'!$E$29)))))</f>
        <v/>
      </c>
      <c r="DM31">
        <f>IF($H$4="",1,IF($H$4="(blank)",--('Final Calculation Sheet'!$C$29=""),IF($H$4="(nonblank)",--('Final Calculation Sheet'!$C$29&lt;&gt;""),--ISNUMBER(SEARCH($H$4,'Final Calculation Sheet'!$C$29)))))</f>
        <v/>
      </c>
      <c r="DN31">
        <f>IF($I$4="",1,IF($I$4="(blank)",--('Final Calculation Sheet'!$H$29=""),IF($I$4="(nonblank)",--('Final Calculation Sheet'!$H$29&lt;&gt;""),--ISNUMBER(SEARCH($I$4,'Final Calculation Sheet'!$H$29)))))</f>
        <v/>
      </c>
      <c r="DO31">
        <f>IF($J$4="",1,IF($J$4="(blank)",--('Final Calculation Sheet'!$I$29=""),IF($J$4="(nonblank)",--('Final Calculation Sheet'!$I$29&lt;&gt;""),--ISNUMBER(SEARCH($J$4,'Final Calculation Sheet'!$I$29)))))</f>
        <v/>
      </c>
      <c r="DP31">
        <f>IF($K$4="",1,IF($K$4="(blank)",--('Final Calculation Sheet'!$J$29=""),IF($K$4="(nonblank)",--('Final Calculation Sheet'!$J$29&lt;&gt;""),--ISNUMBER(SEARCH($K$4,'Final Calculation Sheet'!$J$29)))))</f>
        <v/>
      </c>
      <c r="DQ31">
        <f>IF($L$4="",1,IF($L$4="(blank)",--('Final Calculation Sheet'!$K$29=""),IF($L$4="(nonblank)",--('Final Calculation Sheet'!$K$29&lt;&gt;""),--ISNUMBER(SEARCH($L$4,'Final Calculation Sheet'!$K$29)))))</f>
        <v/>
      </c>
      <c r="DR31">
        <f>IF($M$4="",1,IF($M$4="(blank)",--('Final Calculation Sheet'!$L$29=""),IF($M$4="(nonblank)",--('Final Calculation Sheet'!$L$29&lt;&gt;""),--ISNUMBER(SEARCH($M$4,'Final Calculation Sheet'!$L$29)))))</f>
        <v/>
      </c>
      <c r="DS31">
        <f>IF($N$4="",1,IF($N$4="(blank)",--('Final Calculation Sheet'!$M$29=""),IF($N$4="(nonblank)",--('Final Calculation Sheet'!$M$29&lt;&gt;""),--ISNUMBER(SEARCH($N$4,'Final Calculation Sheet'!$M$29)))))</f>
        <v/>
      </c>
      <c r="DT31">
        <f>IF($O$4="",1,IF($O$4="(blank)",--('Final Calculation Sheet'!$N$29=""),IF($O$4="(nonblank)",--('Final Calculation Sheet'!$N$29&lt;&gt;""),--ISNUMBER(SEARCH($O$4,'Final Calculation Sheet'!$N$29)))))</f>
        <v/>
      </c>
      <c r="DU31">
        <f>IF($P$4="",1,IF($P$4="(blank)",--('Final Calculation Sheet'!$O$29=""),IF($P$4="(nonblank)",--('Final Calculation Sheet'!$O$29&lt;&gt;""),--ISNUMBER(SEARCH($P$4,'Final Calculation Sheet'!$O$29)))))</f>
        <v/>
      </c>
      <c r="DV31">
        <f>IF($Q$4="",1,IF($Q$4="(blank)",--('Final Calculation Sheet'!$P$29=""),IF($Q$4="(nonblank)",--('Final Calculation Sheet'!$P$29&lt;&gt;""),--ISNUMBER(SEARCH($Q$4,'Final Calculation Sheet'!$P$29)))))</f>
        <v/>
      </c>
      <c r="DW31">
        <f>IF($R$4="",1,IF($R$4="(blank)",--('Final Calculation Sheet'!$Q$29=""),IF($R$4="(nonblank)",--('Final Calculation Sheet'!$Q$29&lt;&gt;""),--ISNUMBER(SEARCH($R$4,'Final Calculation Sheet'!$Q$29)))))</f>
        <v/>
      </c>
      <c r="DX31">
        <f>IF($S$4="",1,IF($S$4="(blank)",--('Final Calculation Sheet'!$R$29=""),IF($S$4="(nonblank)",--('Final Calculation Sheet'!$R$29&lt;&gt;""),--ISNUMBER(SEARCH($S$4,'Final Calculation Sheet'!$R$29)))))</f>
        <v/>
      </c>
      <c r="DY31">
        <f>IF($T$4="",1,IF($T$4="(blank)",--('Final Calculation Sheet'!$S$29=""),IF($T$4="(nonblank)",--('Final Calculation Sheet'!$S$29&lt;&gt;""),--ISNUMBER(SEARCH($T$4,'Final Calculation Sheet'!$S$29)))))</f>
        <v/>
      </c>
      <c r="DZ31">
        <f>IF($U$4="",1,IF($U$4="(blank)",--('Final Calculation Sheet'!$T$29=""),IF($U$4="(nonblank)",--('Final Calculation Sheet'!$T$29&lt;&gt;""),--ISNUMBER(SEARCH($U$4,'Final Calculation Sheet'!$T$29)))))</f>
        <v/>
      </c>
      <c r="EA31">
        <f>IF($V$4="",1,IF($V$4="(blank)",--('Final Calculation Sheet'!$U$29=""),IF($V$4="(nonblank)",--('Final Calculation Sheet'!$U$29&lt;&gt;""),--ISNUMBER(SEARCH($V$4,'Final Calculation Sheet'!$U$29)))))</f>
        <v/>
      </c>
      <c r="EB31">
        <f>IF($W$4="",1,IF($W$4="(blank)",--('Final Calculation Sheet'!$V$29=""),IF($W$4="(nonblank)",--('Final Calculation Sheet'!$V$29&lt;&gt;""),--ISNUMBER(SEARCH($W$4,'Final Calculation Sheet'!$V$29)))))</f>
        <v/>
      </c>
      <c r="EC31">
        <f>IF($X$4="",1,IF($X$4="(blank)",--('Final Calculation Sheet'!$W$29=""),IF($X$4="(nonblank)",--('Final Calculation Sheet'!$W$29&lt;&gt;""),--ISNUMBER(SEARCH($X$4,'Final Calculation Sheet'!$W$29)))))</f>
        <v/>
      </c>
      <c r="ED31">
        <f>IF($Y$4="",1,IF($Y$4="(blank)",--('Final Calculation Sheet'!$X$29=""),IF($Y$4="(nonblank)",--('Final Calculation Sheet'!$X$29&lt;&gt;""),--ISNUMBER(SEARCH($Y$4,'Final Calculation Sheet'!$X$29)))))</f>
        <v/>
      </c>
      <c r="EE31">
        <f>IF($Z$4="",1,IF($Z$4="(blank)",--('Final Calculation Sheet'!$Y$29=""),IF($Z$4="(nonblank)",--('Final Calculation Sheet'!$Y$29&lt;&gt;""),--ISNUMBER(SEARCH($Z$4,'Final Calculation Sheet'!$Y$29)))))</f>
        <v/>
      </c>
      <c r="EF31">
        <f>IF($AA$4="",1,IF($AA$4="(blank)",--('Final Calculation Sheet'!$Z$29=""),IF($AA$4="(nonblank)",--('Final Calculation Sheet'!$Z$29&lt;&gt;""),--ISNUMBER(SEARCH($AA$4,'Final Calculation Sheet'!$Z$29)))))</f>
        <v/>
      </c>
      <c r="EG31">
        <f>IF($AB$4="",1,IF($AB$4="(blank)",--('Final Calculation Sheet'!$AA$29=""),IF($AB$4="(nonblank)",--('Final Calculation Sheet'!$AA$29&lt;&gt;""),--ISNUMBER(SEARCH($AB$4,'Final Calculation Sheet'!$AA$29)))))</f>
        <v/>
      </c>
      <c r="EH31">
        <f>IF($AC$4="",1,IF($AC$4="(blank)",--('Final Calculation Sheet'!$AB$29=""),IF($AC$4="(nonblank)",--('Final Calculation Sheet'!$AB$29&lt;&gt;""),--ISNUMBER(SEARCH($AC$4,'Final Calculation Sheet'!$AB$29)))))</f>
        <v/>
      </c>
      <c r="EI31">
        <f>IF($AD$4="",1,IF($AD$4="(blank)",--('Final Calculation Sheet'!$AC$29=""),IF($AD$4="(nonblank)",--('Final Calculation Sheet'!$AC$29&lt;&gt;""),--ISNUMBER(SEARCH($AD$4,'Final Calculation Sheet'!$AC$29)))))</f>
        <v/>
      </c>
      <c r="EJ31">
        <f>IF($AE$4="",1,IF($AE$4="(blank)",--('Final Calculation Sheet'!$AD$29=""),IF($AE$4="(nonblank)",--('Final Calculation Sheet'!$AD$29&lt;&gt;""),--ISNUMBER(SEARCH($AE$4,'Final Calculation Sheet'!$AD$29)))))</f>
        <v/>
      </c>
      <c r="EK31">
        <f>IF($AF$4="",1,IF($AF$4="(blank)",--(IF('Final Calculation Sheet'!$AD$29&lt;=5,"SETTLED","OUTSTANDING")=""),IF($AF$4="(nonblank)",--(IF('Final Calculation Sheet'!$AD$29&lt;=5,"SETTLED","OUTSTANDING")&lt;&gt;""),--ISNUMBER(SEARCH($AF$4,IF('Final Calculation Sheet'!$AD$29&lt;=5,"SETTLED","OUTSTANDING"))))))</f>
        <v/>
      </c>
      <c r="EL31">
        <f>IF($AG$4="",1,IF($AG$4="(blank)",--('Final Calculation Sheet'!$AF$29=""),IF($AG$4="(nonblank)",--('Final Calculation Sheet'!$AF$29&lt;&gt;""),--ISNUMBER(SEARCH($AG$4,'Final Calculation Sheet'!$AF$29)))))</f>
        <v/>
      </c>
      <c r="EM31">
        <f>IF($AH$4="",1,IF($AH$4="(blank)",--('Final Calculation Sheet'!$AG$29=""),IF($AH$4="(nonblank)",--('Final Calculation Sheet'!$AG$29&lt;&gt;""),--ISNUMBER(SEARCH($AH$4,'Final Calculation Sheet'!$AG$29)))))</f>
        <v/>
      </c>
      <c r="EN31">
        <f>IF($AI$4="",1,IF($AI$4="(blank)",--('Final Calculation Sheet'!$AH$29=""),IF($AI$4="(nonblank)",--('Final Calculation Sheet'!$AH$29&lt;&gt;""),--ISNUMBER(SEARCH($AI$4,'Final Calculation Sheet'!$AH$29)))))</f>
        <v/>
      </c>
    </row>
    <row r="32" outlineLevel="1" hidden="1">
      <c r="A32" s="128">
        <f>IF($AL$32="","",26)</f>
        <v/>
      </c>
      <c r="B32" s="129">
        <f>IF($AL$32="","",IF(INDEX('Final Calculation Sheet'!$F$4:$F$40,$AL$32)="","",INDEX('Final Calculation Sheet'!$F$4:$F$40,$AL$32)))</f>
        <v/>
      </c>
      <c r="C32" s="129">
        <f>IF($AL$32="","",IF(INDEX('Final Calculation Sheet'!$G$4:$G$40,$AL$32)="","",INDEX('Final Calculation Sheet'!$G$4:$G$40,$AL$32)))</f>
        <v/>
      </c>
      <c r="D32" s="130">
        <f>IF($AL$32="","",IF(INDEX('Final Calculation Sheet'!$B$4:$B$40,$AL$32)="","",INDEX('Final Calculation Sheet'!$B$4:$B$40,$AL$32)))</f>
        <v/>
      </c>
      <c r="E32" s="130">
        <f>IF($AL$32="","",IF(INDEX('Final Calculation Sheet'!$D$4:$D$40,$AL$32)="","",INDEX('Final Calculation Sheet'!$D$4:$D$40,$AL$32)))</f>
        <v/>
      </c>
      <c r="F32" s="130">
        <f>IF($AL$32="","",IF(INDEX('Final Calculation Sheet'!$A$4:$A$40,$AL$32)="","",INDEX('Final Calculation Sheet'!$A$4:$A$40,$AL$32)))</f>
        <v/>
      </c>
      <c r="G32" s="130">
        <f>IF($AL$32="","",IF(INDEX('Final Calculation Sheet'!$E$4:$E$40,$AL$32)="","",INDEX('Final Calculation Sheet'!$E$4:$E$40,$AL$32)))</f>
        <v/>
      </c>
      <c r="H32" s="131">
        <f>IF($AL$32="","",IF(INDEX('Final Calculation Sheet'!$C$4:$C$40,$AL$32)="","",INDEX('Final Calculation Sheet'!$C$4:$C$40,$AL$32)))</f>
        <v/>
      </c>
      <c r="I32" s="131">
        <f>IF($AL$32="","",IF(INDEX('Final Calculation Sheet'!$H$4:$H$40,$AL$32)="","",INDEX('Final Calculation Sheet'!$H$4:$H$40,$AL$32)))</f>
        <v/>
      </c>
      <c r="J32" s="131">
        <f>IF($AL$32="","",IF(INDEX('Final Calculation Sheet'!$I$4:$I$40,$AL$32)="","",INDEX('Final Calculation Sheet'!$I$4:$I$40,$AL$32)))</f>
        <v/>
      </c>
      <c r="K32" s="131">
        <f>IF($AL$32="","",IF(INDEX('Final Calculation Sheet'!$J$4:$J$40,$AL$32)="","",INDEX('Final Calculation Sheet'!$J$4:$J$40,$AL$32)))</f>
        <v/>
      </c>
      <c r="L32" s="131">
        <f>IF($AL$32="","",IF(INDEX('Final Calculation Sheet'!$K$4:$K$40,$AL$32)="","",INDEX('Final Calculation Sheet'!$K$4:$K$40,$AL$32)))</f>
        <v/>
      </c>
      <c r="M32" s="131">
        <f>IF($AL$32="","",IF(INDEX('Final Calculation Sheet'!$L$4:$L$40,$AL$32)="","",INDEX('Final Calculation Sheet'!$L$4:$L$40,$AL$32)))</f>
        <v/>
      </c>
      <c r="N32" s="131">
        <f>IF($AL$32="","",IF(INDEX('Final Calculation Sheet'!$M$4:$M$40,$AL$32)="","",INDEX('Final Calculation Sheet'!$M$4:$M$40,$AL$32)))</f>
        <v/>
      </c>
      <c r="O32" s="132">
        <f>IF($AL$32="","",IF(INDEX('Final Calculation Sheet'!$N$4:$N$40,$AL$32)="","",INDEX('Final Calculation Sheet'!$N$4:$N$40,$AL$32)))</f>
        <v/>
      </c>
      <c r="P32" s="131">
        <f>IF($AL$32="","",IF(INDEX('Final Calculation Sheet'!$O$4:$O$40,$AL$32)="","",INDEX('Final Calculation Sheet'!$O$4:$O$40,$AL$32)))</f>
        <v/>
      </c>
      <c r="Q32" s="131">
        <f>IF($AL$32="","",IF(INDEX('Final Calculation Sheet'!$P$4:$P$40,$AL$32)="","",INDEX('Final Calculation Sheet'!$P$4:$P$40,$AL$32)))</f>
        <v/>
      </c>
      <c r="R32" s="133">
        <f>IF($AL$32="","",IF(INDEX('Final Calculation Sheet'!$Q$4:$Q$40,$AL$32)="","",INDEX('Final Calculation Sheet'!$Q$4:$Q$40,$AL$32)))</f>
        <v/>
      </c>
      <c r="S32" s="131">
        <f>IF($AL$32="","",IF(INDEX('Final Calculation Sheet'!$R$4:$R$40,$AL$32)="","",INDEX('Final Calculation Sheet'!$R$4:$R$40,$AL$32)))</f>
        <v/>
      </c>
      <c r="T32" s="131">
        <f>IF($AL$32="","",IF(INDEX('Final Calculation Sheet'!$S$4:$S$40,$AL$32)="","",INDEX('Final Calculation Sheet'!$S$4:$S$40,$AL$32)))</f>
        <v/>
      </c>
      <c r="U32" s="131">
        <f>IF($AL$32="","",IF(INDEX('Final Calculation Sheet'!$T$4:$T$40,$AL$32)="","",INDEX('Final Calculation Sheet'!$T$4:$T$40,$AL$32)))</f>
        <v/>
      </c>
      <c r="V32" s="134">
        <f>IF($AL$32="","",IF(INDEX('Final Calculation Sheet'!$U$4:$U$40,$AL$32)="","",INDEX('Final Calculation Sheet'!$U$4:$U$40,$AL$32)))</f>
        <v/>
      </c>
      <c r="W32" s="131">
        <f>IF($AL$32="","",IF(INDEX('Final Calculation Sheet'!$V$4:$V$40,$AL$32)="","",INDEX('Final Calculation Sheet'!$V$4:$V$40,$AL$32)))</f>
        <v/>
      </c>
      <c r="X32" s="131">
        <f>IF($AL$32="","",IF(INDEX('Final Calculation Sheet'!$W$4:$W$40,$AL$32)="","",INDEX('Final Calculation Sheet'!$W$4:$W$40,$AL$32)))</f>
        <v/>
      </c>
      <c r="Y32" s="131">
        <f>IF($AL$32="","",IF(INDEX('Final Calculation Sheet'!$X$4:$X$40,$AL$32)="","",INDEX('Final Calculation Sheet'!$X$4:$X$40,$AL$32)))</f>
        <v/>
      </c>
      <c r="Z32" s="131">
        <f>IF($AL$32="","",IF(INDEX('Final Calculation Sheet'!$Y$4:$Y$40,$AL$32)="","",INDEX('Final Calculation Sheet'!$Y$4:$Y$40,$AL$32)))</f>
        <v/>
      </c>
      <c r="AA32" s="131">
        <f>IF($AL$32="","",IF(INDEX('Final Calculation Sheet'!$Z$4:$Z$40,$AL$32)="","",INDEX('Final Calculation Sheet'!$Z$4:$Z$40,$AL$32)))</f>
        <v/>
      </c>
      <c r="AB32" s="131">
        <f>IF($AL$32="","",IF(INDEX('Final Calculation Sheet'!$AA$4:$AA$40,$AL$32)="","",INDEX('Final Calculation Sheet'!$AA$4:$AA$40,$AL$32)))</f>
        <v/>
      </c>
      <c r="AC32" s="131">
        <f>IF($AL$32="","",IF(INDEX('Final Calculation Sheet'!$AB$4:$AB$40,$AL$32)="","",INDEX('Final Calculation Sheet'!$AB$4:$AB$40,$AL$32)))</f>
        <v/>
      </c>
      <c r="AD32" s="131">
        <f>IF($AL$32="","",IF(INDEX('Final Calculation Sheet'!$AC$4:$AC$40,$AL$32)="","",INDEX('Final Calculation Sheet'!$AC$4:$AC$40,$AL$32)))</f>
        <v/>
      </c>
      <c r="AE32" s="131">
        <f>IF($AL$32="","",IF(INDEX('Final Calculation Sheet'!$AD$4:$AD$40,$AL$32)="","",INDEX('Final Calculation Sheet'!$AD$4:$AD$40,$AL$32)))</f>
        <v/>
      </c>
      <c r="AF32" s="136">
        <f>IF($AL$32="","",IF(INDEX('Final Calculation Sheet'!$AD$4:$AD$40,$AL$32)&lt;=5,"SETTLED","OUTSTANDING"))</f>
        <v/>
      </c>
      <c r="AG32" s="131">
        <f>IF($AL$32="","",IF(INDEX('Final Calculation Sheet'!$AF$4:$AF$40,$AL$32)="","",INDEX('Final Calculation Sheet'!$AF$4:$AF$40,$AL$32)))</f>
        <v/>
      </c>
      <c r="AH32" s="135">
        <f>IF($AL$32="","",IF(INDEX('Final Calculation Sheet'!$AG$4:$AG$40,$AL$32)="","",INDEX('Final Calculation Sheet'!$AG$4:$AG$40,$AL$32)))</f>
        <v/>
      </c>
      <c r="AI32" s="131">
        <f>IF($AL$32="","",IF(INDEX('Final Calculation Sheet'!$AH$4:$AH$40,$AL$32)="","",INDEX('Final Calculation Sheet'!$AH$4:$AH$40,$AL$32)))</f>
        <v/>
      </c>
      <c r="AJ32">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32">
        <f>IF(AJ32=1,COUNTIF(AJ$6:AJ32,1),"")</f>
        <v/>
      </c>
      <c r="AL32">
        <f>IF(COUNTIF($B$4:$AI$4,"&lt;&gt;")=0,"",IFERROR(MATCH(26,$AK$6:$AK$42,0),""))</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c r="DG32">
        <f>IF($B$4="",1,IF($B$4="(blank)",--('Final Calculation Sheet'!$F$30=""),IF($B$4="(nonblank)",--('Final Calculation Sheet'!$F$30&lt;&gt;""),--ISNUMBER(SEARCH($B$4,'Final Calculation Sheet'!$F$30)))))</f>
        <v/>
      </c>
      <c r="DH32">
        <f>IF($C$4="",1,IF($C$4="(blank)",--('Final Calculation Sheet'!$G$30=""),IF($C$4="(nonblank)",--('Final Calculation Sheet'!$G$30&lt;&gt;""),--ISNUMBER(SEARCH($C$4,'Final Calculation Sheet'!$G$30)))))</f>
        <v/>
      </c>
      <c r="DI32">
        <f>IF($D$4="",1,IF($D$4="(blank)",--('Final Calculation Sheet'!$B$30=""),IF($D$4="(nonblank)",--('Final Calculation Sheet'!$B$30&lt;&gt;""),--ISNUMBER(SEARCH($D$4,'Final Calculation Sheet'!$B$30)))))</f>
        <v/>
      </c>
      <c r="DJ32">
        <f>IF($E$4="",1,IF($E$4="(blank)",--('Final Calculation Sheet'!$D$30=""),IF($E$4="(nonblank)",--('Final Calculation Sheet'!$D$30&lt;&gt;""),--ISNUMBER(SEARCH($E$4,'Final Calculation Sheet'!$D$30)))))</f>
        <v/>
      </c>
      <c r="DK32">
        <f>IF($F$4="",1,IF($F$4="(blank)",--('Final Calculation Sheet'!$A$30=""),IF($F$4="(nonblank)",--('Final Calculation Sheet'!$A$30&lt;&gt;""),--ISNUMBER(SEARCH($F$4,'Final Calculation Sheet'!$A$30)))))</f>
        <v/>
      </c>
      <c r="DL32">
        <f>IF($G$4="",1,IF($G$4="(blank)",--('Final Calculation Sheet'!$E$30=""),IF($G$4="(nonblank)",--('Final Calculation Sheet'!$E$30&lt;&gt;""),--ISNUMBER(SEARCH($G$4,'Final Calculation Sheet'!$E$30)))))</f>
        <v/>
      </c>
      <c r="DM32">
        <f>IF($H$4="",1,IF($H$4="(blank)",--('Final Calculation Sheet'!$C$30=""),IF($H$4="(nonblank)",--('Final Calculation Sheet'!$C$30&lt;&gt;""),--ISNUMBER(SEARCH($H$4,'Final Calculation Sheet'!$C$30)))))</f>
        <v/>
      </c>
      <c r="DN32">
        <f>IF($I$4="",1,IF($I$4="(blank)",--('Final Calculation Sheet'!$H$30=""),IF($I$4="(nonblank)",--('Final Calculation Sheet'!$H$30&lt;&gt;""),--ISNUMBER(SEARCH($I$4,'Final Calculation Sheet'!$H$30)))))</f>
        <v/>
      </c>
      <c r="DO32">
        <f>IF($J$4="",1,IF($J$4="(blank)",--('Final Calculation Sheet'!$I$30=""),IF($J$4="(nonblank)",--('Final Calculation Sheet'!$I$30&lt;&gt;""),--ISNUMBER(SEARCH($J$4,'Final Calculation Sheet'!$I$30)))))</f>
        <v/>
      </c>
      <c r="DP32">
        <f>IF($K$4="",1,IF($K$4="(blank)",--('Final Calculation Sheet'!$J$30=""),IF($K$4="(nonblank)",--('Final Calculation Sheet'!$J$30&lt;&gt;""),--ISNUMBER(SEARCH($K$4,'Final Calculation Sheet'!$J$30)))))</f>
        <v/>
      </c>
      <c r="DQ32">
        <f>IF($L$4="",1,IF($L$4="(blank)",--('Final Calculation Sheet'!$K$30=""),IF($L$4="(nonblank)",--('Final Calculation Sheet'!$K$30&lt;&gt;""),--ISNUMBER(SEARCH($L$4,'Final Calculation Sheet'!$K$30)))))</f>
        <v/>
      </c>
      <c r="DR32">
        <f>IF($M$4="",1,IF($M$4="(blank)",--('Final Calculation Sheet'!$L$30=""),IF($M$4="(nonblank)",--('Final Calculation Sheet'!$L$30&lt;&gt;""),--ISNUMBER(SEARCH($M$4,'Final Calculation Sheet'!$L$30)))))</f>
        <v/>
      </c>
      <c r="DS32">
        <f>IF($N$4="",1,IF($N$4="(blank)",--('Final Calculation Sheet'!$M$30=""),IF($N$4="(nonblank)",--('Final Calculation Sheet'!$M$30&lt;&gt;""),--ISNUMBER(SEARCH($N$4,'Final Calculation Sheet'!$M$30)))))</f>
        <v/>
      </c>
      <c r="DT32">
        <f>IF($O$4="",1,IF($O$4="(blank)",--('Final Calculation Sheet'!$N$30=""),IF($O$4="(nonblank)",--('Final Calculation Sheet'!$N$30&lt;&gt;""),--ISNUMBER(SEARCH($O$4,'Final Calculation Sheet'!$N$30)))))</f>
        <v/>
      </c>
      <c r="DU32">
        <f>IF($P$4="",1,IF($P$4="(blank)",--('Final Calculation Sheet'!$O$30=""),IF($P$4="(nonblank)",--('Final Calculation Sheet'!$O$30&lt;&gt;""),--ISNUMBER(SEARCH($P$4,'Final Calculation Sheet'!$O$30)))))</f>
        <v/>
      </c>
      <c r="DV32">
        <f>IF($Q$4="",1,IF($Q$4="(blank)",--('Final Calculation Sheet'!$P$30=""),IF($Q$4="(nonblank)",--('Final Calculation Sheet'!$P$30&lt;&gt;""),--ISNUMBER(SEARCH($Q$4,'Final Calculation Sheet'!$P$30)))))</f>
        <v/>
      </c>
      <c r="DW32">
        <f>IF($R$4="",1,IF($R$4="(blank)",--('Final Calculation Sheet'!$Q$30=""),IF($R$4="(nonblank)",--('Final Calculation Sheet'!$Q$30&lt;&gt;""),--ISNUMBER(SEARCH($R$4,'Final Calculation Sheet'!$Q$30)))))</f>
        <v/>
      </c>
      <c r="DX32">
        <f>IF($S$4="",1,IF($S$4="(blank)",--('Final Calculation Sheet'!$R$30=""),IF($S$4="(nonblank)",--('Final Calculation Sheet'!$R$30&lt;&gt;""),--ISNUMBER(SEARCH($S$4,'Final Calculation Sheet'!$R$30)))))</f>
        <v/>
      </c>
      <c r="DY32">
        <f>IF($T$4="",1,IF($T$4="(blank)",--('Final Calculation Sheet'!$S$30=""),IF($T$4="(nonblank)",--('Final Calculation Sheet'!$S$30&lt;&gt;""),--ISNUMBER(SEARCH($T$4,'Final Calculation Sheet'!$S$30)))))</f>
        <v/>
      </c>
      <c r="DZ32">
        <f>IF($U$4="",1,IF($U$4="(blank)",--('Final Calculation Sheet'!$T$30=""),IF($U$4="(nonblank)",--('Final Calculation Sheet'!$T$30&lt;&gt;""),--ISNUMBER(SEARCH($U$4,'Final Calculation Sheet'!$T$30)))))</f>
        <v/>
      </c>
      <c r="EA32">
        <f>IF($V$4="",1,IF($V$4="(blank)",--('Final Calculation Sheet'!$U$30=""),IF($V$4="(nonblank)",--('Final Calculation Sheet'!$U$30&lt;&gt;""),--ISNUMBER(SEARCH($V$4,'Final Calculation Sheet'!$U$30)))))</f>
        <v/>
      </c>
      <c r="EB32">
        <f>IF($W$4="",1,IF($W$4="(blank)",--('Final Calculation Sheet'!$V$30=""),IF($W$4="(nonblank)",--('Final Calculation Sheet'!$V$30&lt;&gt;""),--ISNUMBER(SEARCH($W$4,'Final Calculation Sheet'!$V$30)))))</f>
        <v/>
      </c>
      <c r="EC32">
        <f>IF($X$4="",1,IF($X$4="(blank)",--('Final Calculation Sheet'!$W$30=""),IF($X$4="(nonblank)",--('Final Calculation Sheet'!$W$30&lt;&gt;""),--ISNUMBER(SEARCH($X$4,'Final Calculation Sheet'!$W$30)))))</f>
        <v/>
      </c>
      <c r="ED32">
        <f>IF($Y$4="",1,IF($Y$4="(blank)",--('Final Calculation Sheet'!$X$30=""),IF($Y$4="(nonblank)",--('Final Calculation Sheet'!$X$30&lt;&gt;""),--ISNUMBER(SEARCH($Y$4,'Final Calculation Sheet'!$X$30)))))</f>
        <v/>
      </c>
      <c r="EE32">
        <f>IF($Z$4="",1,IF($Z$4="(blank)",--('Final Calculation Sheet'!$Y$30=""),IF($Z$4="(nonblank)",--('Final Calculation Sheet'!$Y$30&lt;&gt;""),--ISNUMBER(SEARCH($Z$4,'Final Calculation Sheet'!$Y$30)))))</f>
        <v/>
      </c>
      <c r="EF32">
        <f>IF($AA$4="",1,IF($AA$4="(blank)",--('Final Calculation Sheet'!$Z$30=""),IF($AA$4="(nonblank)",--('Final Calculation Sheet'!$Z$30&lt;&gt;""),--ISNUMBER(SEARCH($AA$4,'Final Calculation Sheet'!$Z$30)))))</f>
        <v/>
      </c>
      <c r="EG32">
        <f>IF($AB$4="",1,IF($AB$4="(blank)",--('Final Calculation Sheet'!$AA$30=""),IF($AB$4="(nonblank)",--('Final Calculation Sheet'!$AA$30&lt;&gt;""),--ISNUMBER(SEARCH($AB$4,'Final Calculation Sheet'!$AA$30)))))</f>
        <v/>
      </c>
      <c r="EH32">
        <f>IF($AC$4="",1,IF($AC$4="(blank)",--('Final Calculation Sheet'!$AB$30=""),IF($AC$4="(nonblank)",--('Final Calculation Sheet'!$AB$30&lt;&gt;""),--ISNUMBER(SEARCH($AC$4,'Final Calculation Sheet'!$AB$30)))))</f>
        <v/>
      </c>
      <c r="EI32">
        <f>IF($AD$4="",1,IF($AD$4="(blank)",--('Final Calculation Sheet'!$AC$30=""),IF($AD$4="(nonblank)",--('Final Calculation Sheet'!$AC$30&lt;&gt;""),--ISNUMBER(SEARCH($AD$4,'Final Calculation Sheet'!$AC$30)))))</f>
        <v/>
      </c>
      <c r="EJ32">
        <f>IF($AE$4="",1,IF($AE$4="(blank)",--('Final Calculation Sheet'!$AD$30=""),IF($AE$4="(nonblank)",--('Final Calculation Sheet'!$AD$30&lt;&gt;""),--ISNUMBER(SEARCH($AE$4,'Final Calculation Sheet'!$AD$30)))))</f>
        <v/>
      </c>
      <c r="EK32">
        <f>IF($AF$4="",1,IF($AF$4="(blank)",--(IF('Final Calculation Sheet'!$AD$30&lt;=5,"SETTLED","OUTSTANDING")=""),IF($AF$4="(nonblank)",--(IF('Final Calculation Sheet'!$AD$30&lt;=5,"SETTLED","OUTSTANDING")&lt;&gt;""),--ISNUMBER(SEARCH($AF$4,IF('Final Calculation Sheet'!$AD$30&lt;=5,"SETTLED","OUTSTANDING"))))))</f>
        <v/>
      </c>
      <c r="EL32">
        <f>IF($AG$4="",1,IF($AG$4="(blank)",--('Final Calculation Sheet'!$AF$30=""),IF($AG$4="(nonblank)",--('Final Calculation Sheet'!$AF$30&lt;&gt;""),--ISNUMBER(SEARCH($AG$4,'Final Calculation Sheet'!$AF$30)))))</f>
        <v/>
      </c>
      <c r="EM32">
        <f>IF($AH$4="",1,IF($AH$4="(blank)",--('Final Calculation Sheet'!$AG$30=""),IF($AH$4="(nonblank)",--('Final Calculation Sheet'!$AG$30&lt;&gt;""),--ISNUMBER(SEARCH($AH$4,'Final Calculation Sheet'!$AG$30)))))</f>
        <v/>
      </c>
      <c r="EN32">
        <f>IF($AI$4="",1,IF($AI$4="(blank)",--('Final Calculation Sheet'!$AH$30=""),IF($AI$4="(nonblank)",--('Final Calculation Sheet'!$AH$30&lt;&gt;""),--ISNUMBER(SEARCH($AI$4,'Final Calculation Sheet'!$AH$30)))))</f>
        <v/>
      </c>
    </row>
    <row r="33" outlineLevel="1" hidden="1">
      <c r="A33" s="118">
        <f>IF($AL$33="","",27)</f>
        <v/>
      </c>
      <c r="B33" s="119">
        <f>IF($AL$33="","",IF(INDEX('Final Calculation Sheet'!$F$4:$F$40,$AL$33)="","",INDEX('Final Calculation Sheet'!$F$4:$F$40,$AL$33)))</f>
        <v/>
      </c>
      <c r="C33" s="119">
        <f>IF($AL$33="","",IF(INDEX('Final Calculation Sheet'!$G$4:$G$40,$AL$33)="","",INDEX('Final Calculation Sheet'!$G$4:$G$40,$AL$33)))</f>
        <v/>
      </c>
      <c r="D33" s="121">
        <f>IF($AL$33="","",IF(INDEX('Final Calculation Sheet'!$B$4:$B$40,$AL$33)="","",INDEX('Final Calculation Sheet'!$B$4:$B$40,$AL$33)))</f>
        <v/>
      </c>
      <c r="E33" s="121">
        <f>IF($AL$33="","",IF(INDEX('Final Calculation Sheet'!$D$4:$D$40,$AL$33)="","",INDEX('Final Calculation Sheet'!$D$4:$D$40,$AL$33)))</f>
        <v/>
      </c>
      <c r="F33" s="121">
        <f>IF($AL$33="","",IF(INDEX('Final Calculation Sheet'!$A$4:$A$40,$AL$33)="","",INDEX('Final Calculation Sheet'!$A$4:$A$40,$AL$33)))</f>
        <v/>
      </c>
      <c r="G33" s="121">
        <f>IF($AL$33="","",IF(INDEX('Final Calculation Sheet'!$E$4:$E$40,$AL$33)="","",INDEX('Final Calculation Sheet'!$E$4:$E$40,$AL$33)))</f>
        <v/>
      </c>
      <c r="H33" s="122">
        <f>IF($AL$33="","",IF(INDEX('Final Calculation Sheet'!$C$4:$C$40,$AL$33)="","",INDEX('Final Calculation Sheet'!$C$4:$C$40,$AL$33)))</f>
        <v/>
      </c>
      <c r="I33" s="122">
        <f>IF($AL$33="","",IF(INDEX('Final Calculation Sheet'!$H$4:$H$40,$AL$33)="","",INDEX('Final Calculation Sheet'!$H$4:$H$40,$AL$33)))</f>
        <v/>
      </c>
      <c r="J33" s="122">
        <f>IF($AL$33="","",IF(INDEX('Final Calculation Sheet'!$I$4:$I$40,$AL$33)="","",INDEX('Final Calculation Sheet'!$I$4:$I$40,$AL$33)))</f>
        <v/>
      </c>
      <c r="K33" s="122">
        <f>IF($AL$33="","",IF(INDEX('Final Calculation Sheet'!$J$4:$J$40,$AL$33)="","",INDEX('Final Calculation Sheet'!$J$4:$J$40,$AL$33)))</f>
        <v/>
      </c>
      <c r="L33" s="122">
        <f>IF($AL$33="","",IF(INDEX('Final Calculation Sheet'!$K$4:$K$40,$AL$33)="","",INDEX('Final Calculation Sheet'!$K$4:$K$40,$AL$33)))</f>
        <v/>
      </c>
      <c r="M33" s="122">
        <f>IF($AL$33="","",IF(INDEX('Final Calculation Sheet'!$L$4:$L$40,$AL$33)="","",INDEX('Final Calculation Sheet'!$L$4:$L$40,$AL$33)))</f>
        <v/>
      </c>
      <c r="N33" s="122">
        <f>IF($AL$33="","",IF(INDEX('Final Calculation Sheet'!$M$4:$M$40,$AL$33)="","",INDEX('Final Calculation Sheet'!$M$4:$M$40,$AL$33)))</f>
        <v/>
      </c>
      <c r="O33" s="123">
        <f>IF($AL$33="","",IF(INDEX('Final Calculation Sheet'!$N$4:$N$40,$AL$33)="","",INDEX('Final Calculation Sheet'!$N$4:$N$40,$AL$33)))</f>
        <v/>
      </c>
      <c r="P33" s="122">
        <f>IF($AL$33="","",IF(INDEX('Final Calculation Sheet'!$O$4:$O$40,$AL$33)="","",INDEX('Final Calculation Sheet'!$O$4:$O$40,$AL$33)))</f>
        <v/>
      </c>
      <c r="Q33" s="122">
        <f>IF($AL$33="","",IF(INDEX('Final Calculation Sheet'!$P$4:$P$40,$AL$33)="","",INDEX('Final Calculation Sheet'!$P$4:$P$40,$AL$33)))</f>
        <v/>
      </c>
      <c r="R33" s="124">
        <f>IF($AL$33="","",IF(INDEX('Final Calculation Sheet'!$Q$4:$Q$40,$AL$33)="","",INDEX('Final Calculation Sheet'!$Q$4:$Q$40,$AL$33)))</f>
        <v/>
      </c>
      <c r="S33" s="122">
        <f>IF($AL$33="","",IF(INDEX('Final Calculation Sheet'!$R$4:$R$40,$AL$33)="","",INDEX('Final Calculation Sheet'!$R$4:$R$40,$AL$33)))</f>
        <v/>
      </c>
      <c r="T33" s="122">
        <f>IF($AL$33="","",IF(INDEX('Final Calculation Sheet'!$S$4:$S$40,$AL$33)="","",INDEX('Final Calculation Sheet'!$S$4:$S$40,$AL$33)))</f>
        <v/>
      </c>
      <c r="U33" s="122">
        <f>IF($AL$33="","",IF(INDEX('Final Calculation Sheet'!$T$4:$T$40,$AL$33)="","",INDEX('Final Calculation Sheet'!$T$4:$T$40,$AL$33)))</f>
        <v/>
      </c>
      <c r="V33" s="125">
        <f>IF($AL$33="","",IF(INDEX('Final Calculation Sheet'!$U$4:$U$40,$AL$33)="","",INDEX('Final Calculation Sheet'!$U$4:$U$40,$AL$33)))</f>
        <v/>
      </c>
      <c r="W33" s="122">
        <f>IF($AL$33="","",IF(INDEX('Final Calculation Sheet'!$V$4:$V$40,$AL$33)="","",INDEX('Final Calculation Sheet'!$V$4:$V$40,$AL$33)))</f>
        <v/>
      </c>
      <c r="X33" s="122">
        <f>IF($AL$33="","",IF(INDEX('Final Calculation Sheet'!$W$4:$W$40,$AL$33)="","",INDEX('Final Calculation Sheet'!$W$4:$W$40,$AL$33)))</f>
        <v/>
      </c>
      <c r="Y33" s="122">
        <f>IF($AL$33="","",IF(INDEX('Final Calculation Sheet'!$X$4:$X$40,$AL$33)="","",INDEX('Final Calculation Sheet'!$X$4:$X$40,$AL$33)))</f>
        <v/>
      </c>
      <c r="Z33" s="122">
        <f>IF($AL$33="","",IF(INDEX('Final Calculation Sheet'!$Y$4:$Y$40,$AL$33)="","",INDEX('Final Calculation Sheet'!$Y$4:$Y$40,$AL$33)))</f>
        <v/>
      </c>
      <c r="AA33" s="122">
        <f>IF($AL$33="","",IF(INDEX('Final Calculation Sheet'!$Z$4:$Z$40,$AL$33)="","",INDEX('Final Calculation Sheet'!$Z$4:$Z$40,$AL$33)))</f>
        <v/>
      </c>
      <c r="AB33" s="122">
        <f>IF($AL$33="","",IF(INDEX('Final Calculation Sheet'!$AA$4:$AA$40,$AL$33)="","",INDEX('Final Calculation Sheet'!$AA$4:$AA$40,$AL$33)))</f>
        <v/>
      </c>
      <c r="AC33" s="122">
        <f>IF($AL$33="","",IF(INDEX('Final Calculation Sheet'!$AB$4:$AB$40,$AL$33)="","",INDEX('Final Calculation Sheet'!$AB$4:$AB$40,$AL$33)))</f>
        <v/>
      </c>
      <c r="AD33" s="122">
        <f>IF($AL$33="","",IF(INDEX('Final Calculation Sheet'!$AC$4:$AC$40,$AL$33)="","",INDEX('Final Calculation Sheet'!$AC$4:$AC$40,$AL$33)))</f>
        <v/>
      </c>
      <c r="AE33" s="122">
        <f>IF($AL$33="","",IF(INDEX('Final Calculation Sheet'!$AD$4:$AD$40,$AL$33)="","",INDEX('Final Calculation Sheet'!$AD$4:$AD$40,$AL$33)))</f>
        <v/>
      </c>
      <c r="AF33" s="127">
        <f>IF($AL$33="","",IF(INDEX('Final Calculation Sheet'!$AD$4:$AD$40,$AL$33)&lt;=5,"SETTLED","OUTSTANDING"))</f>
        <v/>
      </c>
      <c r="AG33" s="122">
        <f>IF($AL$33="","",IF(INDEX('Final Calculation Sheet'!$AF$4:$AF$40,$AL$33)="","",INDEX('Final Calculation Sheet'!$AF$4:$AF$40,$AL$33)))</f>
        <v/>
      </c>
      <c r="AH33" s="126">
        <f>IF($AL$33="","",IF(INDEX('Final Calculation Sheet'!$AG$4:$AG$40,$AL$33)="","",INDEX('Final Calculation Sheet'!$AG$4:$AG$40,$AL$33)))</f>
        <v/>
      </c>
      <c r="AI33" s="122">
        <f>IF($AL$33="","",IF(INDEX('Final Calculation Sheet'!$AH$4:$AH$40,$AL$33)="","",INDEX('Final Calculation Sheet'!$AH$4:$AH$40,$AL$33)))</f>
        <v/>
      </c>
      <c r="AJ33">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33">
        <f>IF(AJ33=1,COUNTIF(AJ$6:AJ33,1),"")</f>
        <v/>
      </c>
      <c r="AL33">
        <f>IF(COUNTIF($B$4:$AI$4,"&lt;&gt;")=0,"",IFERROR(MATCH(27,$AK$6:$AK$42,0),""))</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c r="DG33">
        <f>IF($B$4="",1,IF($B$4="(blank)",--('Final Calculation Sheet'!$F$31=""),IF($B$4="(nonblank)",--('Final Calculation Sheet'!$F$31&lt;&gt;""),--ISNUMBER(SEARCH($B$4,'Final Calculation Sheet'!$F$31)))))</f>
        <v/>
      </c>
      <c r="DH33">
        <f>IF($C$4="",1,IF($C$4="(blank)",--('Final Calculation Sheet'!$G$31=""),IF($C$4="(nonblank)",--('Final Calculation Sheet'!$G$31&lt;&gt;""),--ISNUMBER(SEARCH($C$4,'Final Calculation Sheet'!$G$31)))))</f>
        <v/>
      </c>
      <c r="DI33">
        <f>IF($D$4="",1,IF($D$4="(blank)",--('Final Calculation Sheet'!$B$31=""),IF($D$4="(nonblank)",--('Final Calculation Sheet'!$B$31&lt;&gt;""),--ISNUMBER(SEARCH($D$4,'Final Calculation Sheet'!$B$31)))))</f>
        <v/>
      </c>
      <c r="DJ33">
        <f>IF($E$4="",1,IF($E$4="(blank)",--('Final Calculation Sheet'!$D$31=""),IF($E$4="(nonblank)",--('Final Calculation Sheet'!$D$31&lt;&gt;""),--ISNUMBER(SEARCH($E$4,'Final Calculation Sheet'!$D$31)))))</f>
        <v/>
      </c>
      <c r="DK33">
        <f>IF($F$4="",1,IF($F$4="(blank)",--('Final Calculation Sheet'!$A$31=""),IF($F$4="(nonblank)",--('Final Calculation Sheet'!$A$31&lt;&gt;""),--ISNUMBER(SEARCH($F$4,'Final Calculation Sheet'!$A$31)))))</f>
        <v/>
      </c>
      <c r="DL33">
        <f>IF($G$4="",1,IF($G$4="(blank)",--('Final Calculation Sheet'!$E$31=""),IF($G$4="(nonblank)",--('Final Calculation Sheet'!$E$31&lt;&gt;""),--ISNUMBER(SEARCH($G$4,'Final Calculation Sheet'!$E$31)))))</f>
        <v/>
      </c>
      <c r="DM33">
        <f>IF($H$4="",1,IF($H$4="(blank)",--('Final Calculation Sheet'!$C$31=""),IF($H$4="(nonblank)",--('Final Calculation Sheet'!$C$31&lt;&gt;""),--ISNUMBER(SEARCH($H$4,'Final Calculation Sheet'!$C$31)))))</f>
        <v/>
      </c>
      <c r="DN33">
        <f>IF($I$4="",1,IF($I$4="(blank)",--('Final Calculation Sheet'!$H$31=""),IF($I$4="(nonblank)",--('Final Calculation Sheet'!$H$31&lt;&gt;""),--ISNUMBER(SEARCH($I$4,'Final Calculation Sheet'!$H$31)))))</f>
        <v/>
      </c>
      <c r="DO33">
        <f>IF($J$4="",1,IF($J$4="(blank)",--('Final Calculation Sheet'!$I$31=""),IF($J$4="(nonblank)",--('Final Calculation Sheet'!$I$31&lt;&gt;""),--ISNUMBER(SEARCH($J$4,'Final Calculation Sheet'!$I$31)))))</f>
        <v/>
      </c>
      <c r="DP33">
        <f>IF($K$4="",1,IF($K$4="(blank)",--('Final Calculation Sheet'!$J$31=""),IF($K$4="(nonblank)",--('Final Calculation Sheet'!$J$31&lt;&gt;""),--ISNUMBER(SEARCH($K$4,'Final Calculation Sheet'!$J$31)))))</f>
        <v/>
      </c>
      <c r="DQ33">
        <f>IF($L$4="",1,IF($L$4="(blank)",--('Final Calculation Sheet'!$K$31=""),IF($L$4="(nonblank)",--('Final Calculation Sheet'!$K$31&lt;&gt;""),--ISNUMBER(SEARCH($L$4,'Final Calculation Sheet'!$K$31)))))</f>
        <v/>
      </c>
      <c r="DR33">
        <f>IF($M$4="",1,IF($M$4="(blank)",--('Final Calculation Sheet'!$L$31=""),IF($M$4="(nonblank)",--('Final Calculation Sheet'!$L$31&lt;&gt;""),--ISNUMBER(SEARCH($M$4,'Final Calculation Sheet'!$L$31)))))</f>
        <v/>
      </c>
      <c r="DS33">
        <f>IF($N$4="",1,IF($N$4="(blank)",--('Final Calculation Sheet'!$M$31=""),IF($N$4="(nonblank)",--('Final Calculation Sheet'!$M$31&lt;&gt;""),--ISNUMBER(SEARCH($N$4,'Final Calculation Sheet'!$M$31)))))</f>
        <v/>
      </c>
      <c r="DT33">
        <f>IF($O$4="",1,IF($O$4="(blank)",--('Final Calculation Sheet'!$N$31=""),IF($O$4="(nonblank)",--('Final Calculation Sheet'!$N$31&lt;&gt;""),--ISNUMBER(SEARCH($O$4,'Final Calculation Sheet'!$N$31)))))</f>
        <v/>
      </c>
      <c r="DU33">
        <f>IF($P$4="",1,IF($P$4="(blank)",--('Final Calculation Sheet'!$O$31=""),IF($P$4="(nonblank)",--('Final Calculation Sheet'!$O$31&lt;&gt;""),--ISNUMBER(SEARCH($P$4,'Final Calculation Sheet'!$O$31)))))</f>
        <v/>
      </c>
      <c r="DV33">
        <f>IF($Q$4="",1,IF($Q$4="(blank)",--('Final Calculation Sheet'!$P$31=""),IF($Q$4="(nonblank)",--('Final Calculation Sheet'!$P$31&lt;&gt;""),--ISNUMBER(SEARCH($Q$4,'Final Calculation Sheet'!$P$31)))))</f>
        <v/>
      </c>
      <c r="DW33">
        <f>IF($R$4="",1,IF($R$4="(blank)",--('Final Calculation Sheet'!$Q$31=""),IF($R$4="(nonblank)",--('Final Calculation Sheet'!$Q$31&lt;&gt;""),--ISNUMBER(SEARCH($R$4,'Final Calculation Sheet'!$Q$31)))))</f>
        <v/>
      </c>
      <c r="DX33">
        <f>IF($S$4="",1,IF($S$4="(blank)",--('Final Calculation Sheet'!$R$31=""),IF($S$4="(nonblank)",--('Final Calculation Sheet'!$R$31&lt;&gt;""),--ISNUMBER(SEARCH($S$4,'Final Calculation Sheet'!$R$31)))))</f>
        <v/>
      </c>
      <c r="DY33">
        <f>IF($T$4="",1,IF($T$4="(blank)",--('Final Calculation Sheet'!$S$31=""),IF($T$4="(nonblank)",--('Final Calculation Sheet'!$S$31&lt;&gt;""),--ISNUMBER(SEARCH($T$4,'Final Calculation Sheet'!$S$31)))))</f>
        <v/>
      </c>
      <c r="DZ33">
        <f>IF($U$4="",1,IF($U$4="(blank)",--('Final Calculation Sheet'!$T$31=""),IF($U$4="(nonblank)",--('Final Calculation Sheet'!$T$31&lt;&gt;""),--ISNUMBER(SEARCH($U$4,'Final Calculation Sheet'!$T$31)))))</f>
        <v/>
      </c>
      <c r="EA33">
        <f>IF($V$4="",1,IF($V$4="(blank)",--('Final Calculation Sheet'!$U$31=""),IF($V$4="(nonblank)",--('Final Calculation Sheet'!$U$31&lt;&gt;""),--ISNUMBER(SEARCH($V$4,'Final Calculation Sheet'!$U$31)))))</f>
        <v/>
      </c>
      <c r="EB33">
        <f>IF($W$4="",1,IF($W$4="(blank)",--('Final Calculation Sheet'!$V$31=""),IF($W$4="(nonblank)",--('Final Calculation Sheet'!$V$31&lt;&gt;""),--ISNUMBER(SEARCH($W$4,'Final Calculation Sheet'!$V$31)))))</f>
        <v/>
      </c>
      <c r="EC33">
        <f>IF($X$4="",1,IF($X$4="(blank)",--('Final Calculation Sheet'!$W$31=""),IF($X$4="(nonblank)",--('Final Calculation Sheet'!$W$31&lt;&gt;""),--ISNUMBER(SEARCH($X$4,'Final Calculation Sheet'!$W$31)))))</f>
        <v/>
      </c>
      <c r="ED33">
        <f>IF($Y$4="",1,IF($Y$4="(blank)",--('Final Calculation Sheet'!$X$31=""),IF($Y$4="(nonblank)",--('Final Calculation Sheet'!$X$31&lt;&gt;""),--ISNUMBER(SEARCH($Y$4,'Final Calculation Sheet'!$X$31)))))</f>
        <v/>
      </c>
      <c r="EE33">
        <f>IF($Z$4="",1,IF($Z$4="(blank)",--('Final Calculation Sheet'!$Y$31=""),IF($Z$4="(nonblank)",--('Final Calculation Sheet'!$Y$31&lt;&gt;""),--ISNUMBER(SEARCH($Z$4,'Final Calculation Sheet'!$Y$31)))))</f>
        <v/>
      </c>
      <c r="EF33">
        <f>IF($AA$4="",1,IF($AA$4="(blank)",--('Final Calculation Sheet'!$Z$31=""),IF($AA$4="(nonblank)",--('Final Calculation Sheet'!$Z$31&lt;&gt;""),--ISNUMBER(SEARCH($AA$4,'Final Calculation Sheet'!$Z$31)))))</f>
        <v/>
      </c>
      <c r="EG33">
        <f>IF($AB$4="",1,IF($AB$4="(blank)",--('Final Calculation Sheet'!$AA$31=""),IF($AB$4="(nonblank)",--('Final Calculation Sheet'!$AA$31&lt;&gt;""),--ISNUMBER(SEARCH($AB$4,'Final Calculation Sheet'!$AA$31)))))</f>
        <v/>
      </c>
      <c r="EH33">
        <f>IF($AC$4="",1,IF($AC$4="(blank)",--('Final Calculation Sheet'!$AB$31=""),IF($AC$4="(nonblank)",--('Final Calculation Sheet'!$AB$31&lt;&gt;""),--ISNUMBER(SEARCH($AC$4,'Final Calculation Sheet'!$AB$31)))))</f>
        <v/>
      </c>
      <c r="EI33">
        <f>IF($AD$4="",1,IF($AD$4="(blank)",--('Final Calculation Sheet'!$AC$31=""),IF($AD$4="(nonblank)",--('Final Calculation Sheet'!$AC$31&lt;&gt;""),--ISNUMBER(SEARCH($AD$4,'Final Calculation Sheet'!$AC$31)))))</f>
        <v/>
      </c>
      <c r="EJ33">
        <f>IF($AE$4="",1,IF($AE$4="(blank)",--('Final Calculation Sheet'!$AD$31=""),IF($AE$4="(nonblank)",--('Final Calculation Sheet'!$AD$31&lt;&gt;""),--ISNUMBER(SEARCH($AE$4,'Final Calculation Sheet'!$AD$31)))))</f>
        <v/>
      </c>
      <c r="EK33">
        <f>IF($AF$4="",1,IF($AF$4="(blank)",--(IF('Final Calculation Sheet'!$AD$31&lt;=5,"SETTLED","OUTSTANDING")=""),IF($AF$4="(nonblank)",--(IF('Final Calculation Sheet'!$AD$31&lt;=5,"SETTLED","OUTSTANDING")&lt;&gt;""),--ISNUMBER(SEARCH($AF$4,IF('Final Calculation Sheet'!$AD$31&lt;=5,"SETTLED","OUTSTANDING"))))))</f>
        <v/>
      </c>
      <c r="EL33">
        <f>IF($AG$4="",1,IF($AG$4="(blank)",--('Final Calculation Sheet'!$AF$31=""),IF($AG$4="(nonblank)",--('Final Calculation Sheet'!$AF$31&lt;&gt;""),--ISNUMBER(SEARCH($AG$4,'Final Calculation Sheet'!$AF$31)))))</f>
        <v/>
      </c>
      <c r="EM33">
        <f>IF($AH$4="",1,IF($AH$4="(blank)",--('Final Calculation Sheet'!$AG$31=""),IF($AH$4="(nonblank)",--('Final Calculation Sheet'!$AG$31&lt;&gt;""),--ISNUMBER(SEARCH($AH$4,'Final Calculation Sheet'!$AG$31)))))</f>
        <v/>
      </c>
      <c r="EN33">
        <f>IF($AI$4="",1,IF($AI$4="(blank)",--('Final Calculation Sheet'!$AH$31=""),IF($AI$4="(nonblank)",--('Final Calculation Sheet'!$AH$31&lt;&gt;""),--ISNUMBER(SEARCH($AI$4,'Final Calculation Sheet'!$AH$31)))))</f>
        <v/>
      </c>
    </row>
    <row r="34" outlineLevel="1" hidden="1">
      <c r="A34" s="128">
        <f>IF($AL$34="","",28)</f>
        <v/>
      </c>
      <c r="B34" s="129">
        <f>IF($AL$34="","",IF(INDEX('Final Calculation Sheet'!$F$4:$F$40,$AL$34)="","",INDEX('Final Calculation Sheet'!$F$4:$F$40,$AL$34)))</f>
        <v/>
      </c>
      <c r="C34" s="129">
        <f>IF($AL$34="","",IF(INDEX('Final Calculation Sheet'!$G$4:$G$40,$AL$34)="","",INDEX('Final Calculation Sheet'!$G$4:$G$40,$AL$34)))</f>
        <v/>
      </c>
      <c r="D34" s="130">
        <f>IF($AL$34="","",IF(INDEX('Final Calculation Sheet'!$B$4:$B$40,$AL$34)="","",INDEX('Final Calculation Sheet'!$B$4:$B$40,$AL$34)))</f>
        <v/>
      </c>
      <c r="E34" s="130">
        <f>IF($AL$34="","",IF(INDEX('Final Calculation Sheet'!$D$4:$D$40,$AL$34)="","",INDEX('Final Calculation Sheet'!$D$4:$D$40,$AL$34)))</f>
        <v/>
      </c>
      <c r="F34" s="130">
        <f>IF($AL$34="","",IF(INDEX('Final Calculation Sheet'!$A$4:$A$40,$AL$34)="","",INDEX('Final Calculation Sheet'!$A$4:$A$40,$AL$34)))</f>
        <v/>
      </c>
      <c r="G34" s="130">
        <f>IF($AL$34="","",IF(INDEX('Final Calculation Sheet'!$E$4:$E$40,$AL$34)="","",INDEX('Final Calculation Sheet'!$E$4:$E$40,$AL$34)))</f>
        <v/>
      </c>
      <c r="H34" s="131">
        <f>IF($AL$34="","",IF(INDEX('Final Calculation Sheet'!$C$4:$C$40,$AL$34)="","",INDEX('Final Calculation Sheet'!$C$4:$C$40,$AL$34)))</f>
        <v/>
      </c>
      <c r="I34" s="131">
        <f>IF($AL$34="","",IF(INDEX('Final Calculation Sheet'!$H$4:$H$40,$AL$34)="","",INDEX('Final Calculation Sheet'!$H$4:$H$40,$AL$34)))</f>
        <v/>
      </c>
      <c r="J34" s="131">
        <f>IF($AL$34="","",IF(INDEX('Final Calculation Sheet'!$I$4:$I$40,$AL$34)="","",INDEX('Final Calculation Sheet'!$I$4:$I$40,$AL$34)))</f>
        <v/>
      </c>
      <c r="K34" s="131">
        <f>IF($AL$34="","",IF(INDEX('Final Calculation Sheet'!$J$4:$J$40,$AL$34)="","",INDEX('Final Calculation Sheet'!$J$4:$J$40,$AL$34)))</f>
        <v/>
      </c>
      <c r="L34" s="131">
        <f>IF($AL$34="","",IF(INDEX('Final Calculation Sheet'!$K$4:$K$40,$AL$34)="","",INDEX('Final Calculation Sheet'!$K$4:$K$40,$AL$34)))</f>
        <v/>
      </c>
      <c r="M34" s="131">
        <f>IF($AL$34="","",IF(INDEX('Final Calculation Sheet'!$L$4:$L$40,$AL$34)="","",INDEX('Final Calculation Sheet'!$L$4:$L$40,$AL$34)))</f>
        <v/>
      </c>
      <c r="N34" s="131">
        <f>IF($AL$34="","",IF(INDEX('Final Calculation Sheet'!$M$4:$M$40,$AL$34)="","",INDEX('Final Calculation Sheet'!$M$4:$M$40,$AL$34)))</f>
        <v/>
      </c>
      <c r="O34" s="132">
        <f>IF($AL$34="","",IF(INDEX('Final Calculation Sheet'!$N$4:$N$40,$AL$34)="","",INDEX('Final Calculation Sheet'!$N$4:$N$40,$AL$34)))</f>
        <v/>
      </c>
      <c r="P34" s="131">
        <f>IF($AL$34="","",IF(INDEX('Final Calculation Sheet'!$O$4:$O$40,$AL$34)="","",INDEX('Final Calculation Sheet'!$O$4:$O$40,$AL$34)))</f>
        <v/>
      </c>
      <c r="Q34" s="131">
        <f>IF($AL$34="","",IF(INDEX('Final Calculation Sheet'!$P$4:$P$40,$AL$34)="","",INDEX('Final Calculation Sheet'!$P$4:$P$40,$AL$34)))</f>
        <v/>
      </c>
      <c r="R34" s="133">
        <f>IF($AL$34="","",IF(INDEX('Final Calculation Sheet'!$Q$4:$Q$40,$AL$34)="","",INDEX('Final Calculation Sheet'!$Q$4:$Q$40,$AL$34)))</f>
        <v/>
      </c>
      <c r="S34" s="131">
        <f>IF($AL$34="","",IF(INDEX('Final Calculation Sheet'!$R$4:$R$40,$AL$34)="","",INDEX('Final Calculation Sheet'!$R$4:$R$40,$AL$34)))</f>
        <v/>
      </c>
      <c r="T34" s="131">
        <f>IF($AL$34="","",IF(INDEX('Final Calculation Sheet'!$S$4:$S$40,$AL$34)="","",INDEX('Final Calculation Sheet'!$S$4:$S$40,$AL$34)))</f>
        <v/>
      </c>
      <c r="U34" s="131">
        <f>IF($AL$34="","",IF(INDEX('Final Calculation Sheet'!$T$4:$T$40,$AL$34)="","",INDEX('Final Calculation Sheet'!$T$4:$T$40,$AL$34)))</f>
        <v/>
      </c>
      <c r="V34" s="134">
        <f>IF($AL$34="","",IF(INDEX('Final Calculation Sheet'!$U$4:$U$40,$AL$34)="","",INDEX('Final Calculation Sheet'!$U$4:$U$40,$AL$34)))</f>
        <v/>
      </c>
      <c r="W34" s="131">
        <f>IF($AL$34="","",IF(INDEX('Final Calculation Sheet'!$V$4:$V$40,$AL$34)="","",INDEX('Final Calculation Sheet'!$V$4:$V$40,$AL$34)))</f>
        <v/>
      </c>
      <c r="X34" s="131">
        <f>IF($AL$34="","",IF(INDEX('Final Calculation Sheet'!$W$4:$W$40,$AL$34)="","",INDEX('Final Calculation Sheet'!$W$4:$W$40,$AL$34)))</f>
        <v/>
      </c>
      <c r="Y34" s="131">
        <f>IF($AL$34="","",IF(INDEX('Final Calculation Sheet'!$X$4:$X$40,$AL$34)="","",INDEX('Final Calculation Sheet'!$X$4:$X$40,$AL$34)))</f>
        <v/>
      </c>
      <c r="Z34" s="131">
        <f>IF($AL$34="","",IF(INDEX('Final Calculation Sheet'!$Y$4:$Y$40,$AL$34)="","",INDEX('Final Calculation Sheet'!$Y$4:$Y$40,$AL$34)))</f>
        <v/>
      </c>
      <c r="AA34" s="131">
        <f>IF($AL$34="","",IF(INDEX('Final Calculation Sheet'!$Z$4:$Z$40,$AL$34)="","",INDEX('Final Calculation Sheet'!$Z$4:$Z$40,$AL$34)))</f>
        <v/>
      </c>
      <c r="AB34" s="131">
        <f>IF($AL$34="","",IF(INDEX('Final Calculation Sheet'!$AA$4:$AA$40,$AL$34)="","",INDEX('Final Calculation Sheet'!$AA$4:$AA$40,$AL$34)))</f>
        <v/>
      </c>
      <c r="AC34" s="131">
        <f>IF($AL$34="","",IF(INDEX('Final Calculation Sheet'!$AB$4:$AB$40,$AL$34)="","",INDEX('Final Calculation Sheet'!$AB$4:$AB$40,$AL$34)))</f>
        <v/>
      </c>
      <c r="AD34" s="131">
        <f>IF($AL$34="","",IF(INDEX('Final Calculation Sheet'!$AC$4:$AC$40,$AL$34)="","",INDEX('Final Calculation Sheet'!$AC$4:$AC$40,$AL$34)))</f>
        <v/>
      </c>
      <c r="AE34" s="131">
        <f>IF($AL$34="","",IF(INDEX('Final Calculation Sheet'!$AD$4:$AD$40,$AL$34)="","",INDEX('Final Calculation Sheet'!$AD$4:$AD$40,$AL$34)))</f>
        <v/>
      </c>
      <c r="AF34" s="136">
        <f>IF($AL$34="","",IF(INDEX('Final Calculation Sheet'!$AD$4:$AD$40,$AL$34)&lt;=5,"SETTLED","OUTSTANDING"))</f>
        <v/>
      </c>
      <c r="AG34" s="131">
        <f>IF($AL$34="","",IF(INDEX('Final Calculation Sheet'!$AF$4:$AF$40,$AL$34)="","",INDEX('Final Calculation Sheet'!$AF$4:$AF$40,$AL$34)))</f>
        <v/>
      </c>
      <c r="AH34" s="135">
        <f>IF($AL$34="","",IF(INDEX('Final Calculation Sheet'!$AG$4:$AG$40,$AL$34)="","",INDEX('Final Calculation Sheet'!$AG$4:$AG$40,$AL$34)))</f>
        <v/>
      </c>
      <c r="AI34" s="131">
        <f>IF($AL$34="","",IF(INDEX('Final Calculation Sheet'!$AH$4:$AH$40,$AL$34)="","",INDEX('Final Calculation Sheet'!$AH$4:$AH$40,$AL$34)))</f>
        <v/>
      </c>
      <c r="AJ34">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34">
        <f>IF(AJ34=1,COUNTIF(AJ$6:AJ34,1),"")</f>
        <v/>
      </c>
      <c r="AL34">
        <f>IF(COUNTIF($B$4:$AI$4,"&lt;&gt;")=0,"",IFERROR(MATCH(28,$AK$6:$AK$42,0),""))</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c r="DG34">
        <f>IF($B$4="",1,IF($B$4="(blank)",--('Final Calculation Sheet'!$F$32=""),IF($B$4="(nonblank)",--('Final Calculation Sheet'!$F$32&lt;&gt;""),--ISNUMBER(SEARCH($B$4,'Final Calculation Sheet'!$F$32)))))</f>
        <v/>
      </c>
      <c r="DH34">
        <f>IF($C$4="",1,IF($C$4="(blank)",--('Final Calculation Sheet'!$G$32=""),IF($C$4="(nonblank)",--('Final Calculation Sheet'!$G$32&lt;&gt;""),--ISNUMBER(SEARCH($C$4,'Final Calculation Sheet'!$G$32)))))</f>
        <v/>
      </c>
      <c r="DI34">
        <f>IF($D$4="",1,IF($D$4="(blank)",--('Final Calculation Sheet'!$B$32=""),IF($D$4="(nonblank)",--('Final Calculation Sheet'!$B$32&lt;&gt;""),--ISNUMBER(SEARCH($D$4,'Final Calculation Sheet'!$B$32)))))</f>
        <v/>
      </c>
      <c r="DJ34">
        <f>IF($E$4="",1,IF($E$4="(blank)",--('Final Calculation Sheet'!$D$32=""),IF($E$4="(nonblank)",--('Final Calculation Sheet'!$D$32&lt;&gt;""),--ISNUMBER(SEARCH($E$4,'Final Calculation Sheet'!$D$32)))))</f>
        <v/>
      </c>
      <c r="DK34">
        <f>IF($F$4="",1,IF($F$4="(blank)",--('Final Calculation Sheet'!$A$32=""),IF($F$4="(nonblank)",--('Final Calculation Sheet'!$A$32&lt;&gt;""),--ISNUMBER(SEARCH($F$4,'Final Calculation Sheet'!$A$32)))))</f>
        <v/>
      </c>
      <c r="DL34">
        <f>IF($G$4="",1,IF($G$4="(blank)",--('Final Calculation Sheet'!$E$32=""),IF($G$4="(nonblank)",--('Final Calculation Sheet'!$E$32&lt;&gt;""),--ISNUMBER(SEARCH($G$4,'Final Calculation Sheet'!$E$32)))))</f>
        <v/>
      </c>
      <c r="DM34">
        <f>IF($H$4="",1,IF($H$4="(blank)",--('Final Calculation Sheet'!$C$32=""),IF($H$4="(nonblank)",--('Final Calculation Sheet'!$C$32&lt;&gt;""),--ISNUMBER(SEARCH($H$4,'Final Calculation Sheet'!$C$32)))))</f>
        <v/>
      </c>
      <c r="DN34">
        <f>IF($I$4="",1,IF($I$4="(blank)",--('Final Calculation Sheet'!$H$32=""),IF($I$4="(nonblank)",--('Final Calculation Sheet'!$H$32&lt;&gt;""),--ISNUMBER(SEARCH($I$4,'Final Calculation Sheet'!$H$32)))))</f>
        <v/>
      </c>
      <c r="DO34">
        <f>IF($J$4="",1,IF($J$4="(blank)",--('Final Calculation Sheet'!$I$32=""),IF($J$4="(nonblank)",--('Final Calculation Sheet'!$I$32&lt;&gt;""),--ISNUMBER(SEARCH($J$4,'Final Calculation Sheet'!$I$32)))))</f>
        <v/>
      </c>
      <c r="DP34">
        <f>IF($K$4="",1,IF($K$4="(blank)",--('Final Calculation Sheet'!$J$32=""),IF($K$4="(nonblank)",--('Final Calculation Sheet'!$J$32&lt;&gt;""),--ISNUMBER(SEARCH($K$4,'Final Calculation Sheet'!$J$32)))))</f>
        <v/>
      </c>
      <c r="DQ34">
        <f>IF($L$4="",1,IF($L$4="(blank)",--('Final Calculation Sheet'!$K$32=""),IF($L$4="(nonblank)",--('Final Calculation Sheet'!$K$32&lt;&gt;""),--ISNUMBER(SEARCH($L$4,'Final Calculation Sheet'!$K$32)))))</f>
        <v/>
      </c>
      <c r="DR34">
        <f>IF($M$4="",1,IF($M$4="(blank)",--('Final Calculation Sheet'!$L$32=""),IF($M$4="(nonblank)",--('Final Calculation Sheet'!$L$32&lt;&gt;""),--ISNUMBER(SEARCH($M$4,'Final Calculation Sheet'!$L$32)))))</f>
        <v/>
      </c>
      <c r="DS34">
        <f>IF($N$4="",1,IF($N$4="(blank)",--('Final Calculation Sheet'!$M$32=""),IF($N$4="(nonblank)",--('Final Calculation Sheet'!$M$32&lt;&gt;""),--ISNUMBER(SEARCH($N$4,'Final Calculation Sheet'!$M$32)))))</f>
        <v/>
      </c>
      <c r="DT34">
        <f>IF($O$4="",1,IF($O$4="(blank)",--('Final Calculation Sheet'!$N$32=""),IF($O$4="(nonblank)",--('Final Calculation Sheet'!$N$32&lt;&gt;""),--ISNUMBER(SEARCH($O$4,'Final Calculation Sheet'!$N$32)))))</f>
        <v/>
      </c>
      <c r="DU34">
        <f>IF($P$4="",1,IF($P$4="(blank)",--('Final Calculation Sheet'!$O$32=""),IF($P$4="(nonblank)",--('Final Calculation Sheet'!$O$32&lt;&gt;""),--ISNUMBER(SEARCH($P$4,'Final Calculation Sheet'!$O$32)))))</f>
        <v/>
      </c>
      <c r="DV34">
        <f>IF($Q$4="",1,IF($Q$4="(blank)",--('Final Calculation Sheet'!$P$32=""),IF($Q$4="(nonblank)",--('Final Calculation Sheet'!$P$32&lt;&gt;""),--ISNUMBER(SEARCH($Q$4,'Final Calculation Sheet'!$P$32)))))</f>
        <v/>
      </c>
      <c r="DW34">
        <f>IF($R$4="",1,IF($R$4="(blank)",--('Final Calculation Sheet'!$Q$32=""),IF($R$4="(nonblank)",--('Final Calculation Sheet'!$Q$32&lt;&gt;""),--ISNUMBER(SEARCH($R$4,'Final Calculation Sheet'!$Q$32)))))</f>
        <v/>
      </c>
      <c r="DX34">
        <f>IF($S$4="",1,IF($S$4="(blank)",--('Final Calculation Sheet'!$R$32=""),IF($S$4="(nonblank)",--('Final Calculation Sheet'!$R$32&lt;&gt;""),--ISNUMBER(SEARCH($S$4,'Final Calculation Sheet'!$R$32)))))</f>
        <v/>
      </c>
      <c r="DY34">
        <f>IF($T$4="",1,IF($T$4="(blank)",--('Final Calculation Sheet'!$S$32=""),IF($T$4="(nonblank)",--('Final Calculation Sheet'!$S$32&lt;&gt;""),--ISNUMBER(SEARCH($T$4,'Final Calculation Sheet'!$S$32)))))</f>
        <v/>
      </c>
      <c r="DZ34">
        <f>IF($U$4="",1,IF($U$4="(blank)",--('Final Calculation Sheet'!$T$32=""),IF($U$4="(nonblank)",--('Final Calculation Sheet'!$T$32&lt;&gt;""),--ISNUMBER(SEARCH($U$4,'Final Calculation Sheet'!$T$32)))))</f>
        <v/>
      </c>
      <c r="EA34">
        <f>IF($V$4="",1,IF($V$4="(blank)",--('Final Calculation Sheet'!$U$32=""),IF($V$4="(nonblank)",--('Final Calculation Sheet'!$U$32&lt;&gt;""),--ISNUMBER(SEARCH($V$4,'Final Calculation Sheet'!$U$32)))))</f>
        <v/>
      </c>
      <c r="EB34">
        <f>IF($W$4="",1,IF($W$4="(blank)",--('Final Calculation Sheet'!$V$32=""),IF($W$4="(nonblank)",--('Final Calculation Sheet'!$V$32&lt;&gt;""),--ISNUMBER(SEARCH($W$4,'Final Calculation Sheet'!$V$32)))))</f>
        <v/>
      </c>
      <c r="EC34">
        <f>IF($X$4="",1,IF($X$4="(blank)",--('Final Calculation Sheet'!$W$32=""),IF($X$4="(nonblank)",--('Final Calculation Sheet'!$W$32&lt;&gt;""),--ISNUMBER(SEARCH($X$4,'Final Calculation Sheet'!$W$32)))))</f>
        <v/>
      </c>
      <c r="ED34">
        <f>IF($Y$4="",1,IF($Y$4="(blank)",--('Final Calculation Sheet'!$X$32=""),IF($Y$4="(nonblank)",--('Final Calculation Sheet'!$X$32&lt;&gt;""),--ISNUMBER(SEARCH($Y$4,'Final Calculation Sheet'!$X$32)))))</f>
        <v/>
      </c>
      <c r="EE34">
        <f>IF($Z$4="",1,IF($Z$4="(blank)",--('Final Calculation Sheet'!$Y$32=""),IF($Z$4="(nonblank)",--('Final Calculation Sheet'!$Y$32&lt;&gt;""),--ISNUMBER(SEARCH($Z$4,'Final Calculation Sheet'!$Y$32)))))</f>
        <v/>
      </c>
      <c r="EF34">
        <f>IF($AA$4="",1,IF($AA$4="(blank)",--('Final Calculation Sheet'!$Z$32=""),IF($AA$4="(nonblank)",--('Final Calculation Sheet'!$Z$32&lt;&gt;""),--ISNUMBER(SEARCH($AA$4,'Final Calculation Sheet'!$Z$32)))))</f>
        <v/>
      </c>
      <c r="EG34">
        <f>IF($AB$4="",1,IF($AB$4="(blank)",--('Final Calculation Sheet'!$AA$32=""),IF($AB$4="(nonblank)",--('Final Calculation Sheet'!$AA$32&lt;&gt;""),--ISNUMBER(SEARCH($AB$4,'Final Calculation Sheet'!$AA$32)))))</f>
        <v/>
      </c>
      <c r="EH34">
        <f>IF($AC$4="",1,IF($AC$4="(blank)",--('Final Calculation Sheet'!$AB$32=""),IF($AC$4="(nonblank)",--('Final Calculation Sheet'!$AB$32&lt;&gt;""),--ISNUMBER(SEARCH($AC$4,'Final Calculation Sheet'!$AB$32)))))</f>
        <v/>
      </c>
      <c r="EI34">
        <f>IF($AD$4="",1,IF($AD$4="(blank)",--('Final Calculation Sheet'!$AC$32=""),IF($AD$4="(nonblank)",--('Final Calculation Sheet'!$AC$32&lt;&gt;""),--ISNUMBER(SEARCH($AD$4,'Final Calculation Sheet'!$AC$32)))))</f>
        <v/>
      </c>
      <c r="EJ34">
        <f>IF($AE$4="",1,IF($AE$4="(blank)",--('Final Calculation Sheet'!$AD$32=""),IF($AE$4="(nonblank)",--('Final Calculation Sheet'!$AD$32&lt;&gt;""),--ISNUMBER(SEARCH($AE$4,'Final Calculation Sheet'!$AD$32)))))</f>
        <v/>
      </c>
      <c r="EK34">
        <f>IF($AF$4="",1,IF($AF$4="(blank)",--(IF('Final Calculation Sheet'!$AD$32&lt;=5,"SETTLED","OUTSTANDING")=""),IF($AF$4="(nonblank)",--(IF('Final Calculation Sheet'!$AD$32&lt;=5,"SETTLED","OUTSTANDING")&lt;&gt;""),--ISNUMBER(SEARCH($AF$4,IF('Final Calculation Sheet'!$AD$32&lt;=5,"SETTLED","OUTSTANDING"))))))</f>
        <v/>
      </c>
      <c r="EL34">
        <f>IF($AG$4="",1,IF($AG$4="(blank)",--('Final Calculation Sheet'!$AF$32=""),IF($AG$4="(nonblank)",--('Final Calculation Sheet'!$AF$32&lt;&gt;""),--ISNUMBER(SEARCH($AG$4,'Final Calculation Sheet'!$AF$32)))))</f>
        <v/>
      </c>
      <c r="EM34">
        <f>IF($AH$4="",1,IF($AH$4="(blank)",--('Final Calculation Sheet'!$AG$32=""),IF($AH$4="(nonblank)",--('Final Calculation Sheet'!$AG$32&lt;&gt;""),--ISNUMBER(SEARCH($AH$4,'Final Calculation Sheet'!$AG$32)))))</f>
        <v/>
      </c>
      <c r="EN34">
        <f>IF($AI$4="",1,IF($AI$4="(blank)",--('Final Calculation Sheet'!$AH$32=""),IF($AI$4="(nonblank)",--('Final Calculation Sheet'!$AH$32&lt;&gt;""),--ISNUMBER(SEARCH($AI$4,'Final Calculation Sheet'!$AH$32)))))</f>
        <v/>
      </c>
    </row>
    <row r="35" outlineLevel="1" hidden="1">
      <c r="A35" s="118">
        <f>IF($AL$35="","",29)</f>
        <v/>
      </c>
      <c r="B35" s="119">
        <f>IF($AL$35="","",IF(INDEX('Final Calculation Sheet'!$F$4:$F$40,$AL$35)="","",INDEX('Final Calculation Sheet'!$F$4:$F$40,$AL$35)))</f>
        <v/>
      </c>
      <c r="C35" s="119">
        <f>IF($AL$35="","",IF(INDEX('Final Calculation Sheet'!$G$4:$G$40,$AL$35)="","",INDEX('Final Calculation Sheet'!$G$4:$G$40,$AL$35)))</f>
        <v/>
      </c>
      <c r="D35" s="121">
        <f>IF($AL$35="","",IF(INDEX('Final Calculation Sheet'!$B$4:$B$40,$AL$35)="","",INDEX('Final Calculation Sheet'!$B$4:$B$40,$AL$35)))</f>
        <v/>
      </c>
      <c r="E35" s="121">
        <f>IF($AL$35="","",IF(INDEX('Final Calculation Sheet'!$D$4:$D$40,$AL$35)="","",INDEX('Final Calculation Sheet'!$D$4:$D$40,$AL$35)))</f>
        <v/>
      </c>
      <c r="F35" s="121">
        <f>IF($AL$35="","",IF(INDEX('Final Calculation Sheet'!$A$4:$A$40,$AL$35)="","",INDEX('Final Calculation Sheet'!$A$4:$A$40,$AL$35)))</f>
        <v/>
      </c>
      <c r="G35" s="121">
        <f>IF($AL$35="","",IF(INDEX('Final Calculation Sheet'!$E$4:$E$40,$AL$35)="","",INDEX('Final Calculation Sheet'!$E$4:$E$40,$AL$35)))</f>
        <v/>
      </c>
      <c r="H35" s="122">
        <f>IF($AL$35="","",IF(INDEX('Final Calculation Sheet'!$C$4:$C$40,$AL$35)="","",INDEX('Final Calculation Sheet'!$C$4:$C$40,$AL$35)))</f>
        <v/>
      </c>
      <c r="I35" s="122">
        <f>IF($AL$35="","",IF(INDEX('Final Calculation Sheet'!$H$4:$H$40,$AL$35)="","",INDEX('Final Calculation Sheet'!$H$4:$H$40,$AL$35)))</f>
        <v/>
      </c>
      <c r="J35" s="122">
        <f>IF($AL$35="","",IF(INDEX('Final Calculation Sheet'!$I$4:$I$40,$AL$35)="","",INDEX('Final Calculation Sheet'!$I$4:$I$40,$AL$35)))</f>
        <v/>
      </c>
      <c r="K35" s="122">
        <f>IF($AL$35="","",IF(INDEX('Final Calculation Sheet'!$J$4:$J$40,$AL$35)="","",INDEX('Final Calculation Sheet'!$J$4:$J$40,$AL$35)))</f>
        <v/>
      </c>
      <c r="L35" s="122">
        <f>IF($AL$35="","",IF(INDEX('Final Calculation Sheet'!$K$4:$K$40,$AL$35)="","",INDEX('Final Calculation Sheet'!$K$4:$K$40,$AL$35)))</f>
        <v/>
      </c>
      <c r="M35" s="122">
        <f>IF($AL$35="","",IF(INDEX('Final Calculation Sheet'!$L$4:$L$40,$AL$35)="","",INDEX('Final Calculation Sheet'!$L$4:$L$40,$AL$35)))</f>
        <v/>
      </c>
      <c r="N35" s="122">
        <f>IF($AL$35="","",IF(INDEX('Final Calculation Sheet'!$M$4:$M$40,$AL$35)="","",INDEX('Final Calculation Sheet'!$M$4:$M$40,$AL$35)))</f>
        <v/>
      </c>
      <c r="O35" s="123">
        <f>IF($AL$35="","",IF(INDEX('Final Calculation Sheet'!$N$4:$N$40,$AL$35)="","",INDEX('Final Calculation Sheet'!$N$4:$N$40,$AL$35)))</f>
        <v/>
      </c>
      <c r="P35" s="122">
        <f>IF($AL$35="","",IF(INDEX('Final Calculation Sheet'!$O$4:$O$40,$AL$35)="","",INDEX('Final Calculation Sheet'!$O$4:$O$40,$AL$35)))</f>
        <v/>
      </c>
      <c r="Q35" s="122">
        <f>IF($AL$35="","",IF(INDEX('Final Calculation Sheet'!$P$4:$P$40,$AL$35)="","",INDEX('Final Calculation Sheet'!$P$4:$P$40,$AL$35)))</f>
        <v/>
      </c>
      <c r="R35" s="124">
        <f>IF($AL$35="","",IF(INDEX('Final Calculation Sheet'!$Q$4:$Q$40,$AL$35)="","",INDEX('Final Calculation Sheet'!$Q$4:$Q$40,$AL$35)))</f>
        <v/>
      </c>
      <c r="S35" s="122">
        <f>IF($AL$35="","",IF(INDEX('Final Calculation Sheet'!$R$4:$R$40,$AL$35)="","",INDEX('Final Calculation Sheet'!$R$4:$R$40,$AL$35)))</f>
        <v/>
      </c>
      <c r="T35" s="122">
        <f>IF($AL$35="","",IF(INDEX('Final Calculation Sheet'!$S$4:$S$40,$AL$35)="","",INDEX('Final Calculation Sheet'!$S$4:$S$40,$AL$35)))</f>
        <v/>
      </c>
      <c r="U35" s="122">
        <f>IF($AL$35="","",IF(INDEX('Final Calculation Sheet'!$T$4:$T$40,$AL$35)="","",INDEX('Final Calculation Sheet'!$T$4:$T$40,$AL$35)))</f>
        <v/>
      </c>
      <c r="V35" s="125">
        <f>IF($AL$35="","",IF(INDEX('Final Calculation Sheet'!$U$4:$U$40,$AL$35)="","",INDEX('Final Calculation Sheet'!$U$4:$U$40,$AL$35)))</f>
        <v/>
      </c>
      <c r="W35" s="122">
        <f>IF($AL$35="","",IF(INDEX('Final Calculation Sheet'!$V$4:$V$40,$AL$35)="","",INDEX('Final Calculation Sheet'!$V$4:$V$40,$AL$35)))</f>
        <v/>
      </c>
      <c r="X35" s="122">
        <f>IF($AL$35="","",IF(INDEX('Final Calculation Sheet'!$W$4:$W$40,$AL$35)="","",INDEX('Final Calculation Sheet'!$W$4:$W$40,$AL$35)))</f>
        <v/>
      </c>
      <c r="Y35" s="122">
        <f>IF($AL$35="","",IF(INDEX('Final Calculation Sheet'!$X$4:$X$40,$AL$35)="","",INDEX('Final Calculation Sheet'!$X$4:$X$40,$AL$35)))</f>
        <v/>
      </c>
      <c r="Z35" s="122">
        <f>IF($AL$35="","",IF(INDEX('Final Calculation Sheet'!$Y$4:$Y$40,$AL$35)="","",INDEX('Final Calculation Sheet'!$Y$4:$Y$40,$AL$35)))</f>
        <v/>
      </c>
      <c r="AA35" s="122">
        <f>IF($AL$35="","",IF(INDEX('Final Calculation Sheet'!$Z$4:$Z$40,$AL$35)="","",INDEX('Final Calculation Sheet'!$Z$4:$Z$40,$AL$35)))</f>
        <v/>
      </c>
      <c r="AB35" s="122">
        <f>IF($AL$35="","",IF(INDEX('Final Calculation Sheet'!$AA$4:$AA$40,$AL$35)="","",INDEX('Final Calculation Sheet'!$AA$4:$AA$40,$AL$35)))</f>
        <v/>
      </c>
      <c r="AC35" s="122">
        <f>IF($AL$35="","",IF(INDEX('Final Calculation Sheet'!$AB$4:$AB$40,$AL$35)="","",INDEX('Final Calculation Sheet'!$AB$4:$AB$40,$AL$35)))</f>
        <v/>
      </c>
      <c r="AD35" s="122">
        <f>IF($AL$35="","",IF(INDEX('Final Calculation Sheet'!$AC$4:$AC$40,$AL$35)="","",INDEX('Final Calculation Sheet'!$AC$4:$AC$40,$AL$35)))</f>
        <v/>
      </c>
      <c r="AE35" s="122">
        <f>IF($AL$35="","",IF(INDEX('Final Calculation Sheet'!$AD$4:$AD$40,$AL$35)="","",INDEX('Final Calculation Sheet'!$AD$4:$AD$40,$AL$35)))</f>
        <v/>
      </c>
      <c r="AF35" s="127">
        <f>IF($AL$35="","",IF(INDEX('Final Calculation Sheet'!$AD$4:$AD$40,$AL$35)&lt;=5,"SETTLED","OUTSTANDING"))</f>
        <v/>
      </c>
      <c r="AG35" s="122">
        <f>IF($AL$35="","",IF(INDEX('Final Calculation Sheet'!$AF$4:$AF$40,$AL$35)="","",INDEX('Final Calculation Sheet'!$AF$4:$AF$40,$AL$35)))</f>
        <v/>
      </c>
      <c r="AH35" s="126">
        <f>IF($AL$35="","",IF(INDEX('Final Calculation Sheet'!$AG$4:$AG$40,$AL$35)="","",INDEX('Final Calculation Sheet'!$AG$4:$AG$40,$AL$35)))</f>
        <v/>
      </c>
      <c r="AI35" s="122">
        <f>IF($AL$35="","",IF(INDEX('Final Calculation Sheet'!$AH$4:$AH$40,$AL$35)="","",INDEX('Final Calculation Sheet'!$AH$4:$AH$40,$AL$35)))</f>
        <v/>
      </c>
      <c r="AJ35">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35">
        <f>IF(AJ35=1,COUNTIF(AJ$6:AJ35,1),"")</f>
        <v/>
      </c>
      <c r="AL35">
        <f>IF(COUNTIF($B$4:$AI$4,"&lt;&gt;")=0,"",IFERROR(MATCH(29,$AK$6:$AK$42,0),""))</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c r="DG35">
        <f>IF($B$4="",1,IF($B$4="(blank)",--('Final Calculation Sheet'!$F$33=""),IF($B$4="(nonblank)",--('Final Calculation Sheet'!$F$33&lt;&gt;""),--ISNUMBER(SEARCH($B$4,'Final Calculation Sheet'!$F$33)))))</f>
        <v/>
      </c>
      <c r="DH35">
        <f>IF($C$4="",1,IF($C$4="(blank)",--('Final Calculation Sheet'!$G$33=""),IF($C$4="(nonblank)",--('Final Calculation Sheet'!$G$33&lt;&gt;""),--ISNUMBER(SEARCH($C$4,'Final Calculation Sheet'!$G$33)))))</f>
        <v/>
      </c>
      <c r="DI35">
        <f>IF($D$4="",1,IF($D$4="(blank)",--('Final Calculation Sheet'!$B$33=""),IF($D$4="(nonblank)",--('Final Calculation Sheet'!$B$33&lt;&gt;""),--ISNUMBER(SEARCH($D$4,'Final Calculation Sheet'!$B$33)))))</f>
        <v/>
      </c>
      <c r="DJ35">
        <f>IF($E$4="",1,IF($E$4="(blank)",--('Final Calculation Sheet'!$D$33=""),IF($E$4="(nonblank)",--('Final Calculation Sheet'!$D$33&lt;&gt;""),--ISNUMBER(SEARCH($E$4,'Final Calculation Sheet'!$D$33)))))</f>
        <v/>
      </c>
      <c r="DK35">
        <f>IF($F$4="",1,IF($F$4="(blank)",--('Final Calculation Sheet'!$A$33=""),IF($F$4="(nonblank)",--('Final Calculation Sheet'!$A$33&lt;&gt;""),--ISNUMBER(SEARCH($F$4,'Final Calculation Sheet'!$A$33)))))</f>
        <v/>
      </c>
      <c r="DL35">
        <f>IF($G$4="",1,IF($G$4="(blank)",--('Final Calculation Sheet'!$E$33=""),IF($G$4="(nonblank)",--('Final Calculation Sheet'!$E$33&lt;&gt;""),--ISNUMBER(SEARCH($G$4,'Final Calculation Sheet'!$E$33)))))</f>
        <v/>
      </c>
      <c r="DM35">
        <f>IF($H$4="",1,IF($H$4="(blank)",--('Final Calculation Sheet'!$C$33=""),IF($H$4="(nonblank)",--('Final Calculation Sheet'!$C$33&lt;&gt;""),--ISNUMBER(SEARCH($H$4,'Final Calculation Sheet'!$C$33)))))</f>
        <v/>
      </c>
      <c r="DN35">
        <f>IF($I$4="",1,IF($I$4="(blank)",--('Final Calculation Sheet'!$H$33=""),IF($I$4="(nonblank)",--('Final Calculation Sheet'!$H$33&lt;&gt;""),--ISNUMBER(SEARCH($I$4,'Final Calculation Sheet'!$H$33)))))</f>
        <v/>
      </c>
      <c r="DO35">
        <f>IF($J$4="",1,IF($J$4="(blank)",--('Final Calculation Sheet'!$I$33=""),IF($J$4="(nonblank)",--('Final Calculation Sheet'!$I$33&lt;&gt;""),--ISNUMBER(SEARCH($J$4,'Final Calculation Sheet'!$I$33)))))</f>
        <v/>
      </c>
      <c r="DP35">
        <f>IF($K$4="",1,IF($K$4="(blank)",--('Final Calculation Sheet'!$J$33=""),IF($K$4="(nonblank)",--('Final Calculation Sheet'!$J$33&lt;&gt;""),--ISNUMBER(SEARCH($K$4,'Final Calculation Sheet'!$J$33)))))</f>
        <v/>
      </c>
      <c r="DQ35">
        <f>IF($L$4="",1,IF($L$4="(blank)",--('Final Calculation Sheet'!$K$33=""),IF($L$4="(nonblank)",--('Final Calculation Sheet'!$K$33&lt;&gt;""),--ISNUMBER(SEARCH($L$4,'Final Calculation Sheet'!$K$33)))))</f>
        <v/>
      </c>
      <c r="DR35">
        <f>IF($M$4="",1,IF($M$4="(blank)",--('Final Calculation Sheet'!$L$33=""),IF($M$4="(nonblank)",--('Final Calculation Sheet'!$L$33&lt;&gt;""),--ISNUMBER(SEARCH($M$4,'Final Calculation Sheet'!$L$33)))))</f>
        <v/>
      </c>
      <c r="DS35">
        <f>IF($N$4="",1,IF($N$4="(blank)",--('Final Calculation Sheet'!$M$33=""),IF($N$4="(nonblank)",--('Final Calculation Sheet'!$M$33&lt;&gt;""),--ISNUMBER(SEARCH($N$4,'Final Calculation Sheet'!$M$33)))))</f>
        <v/>
      </c>
      <c r="DT35">
        <f>IF($O$4="",1,IF($O$4="(blank)",--('Final Calculation Sheet'!$N$33=""),IF($O$4="(nonblank)",--('Final Calculation Sheet'!$N$33&lt;&gt;""),--ISNUMBER(SEARCH($O$4,'Final Calculation Sheet'!$N$33)))))</f>
        <v/>
      </c>
      <c r="DU35">
        <f>IF($P$4="",1,IF($P$4="(blank)",--('Final Calculation Sheet'!$O$33=""),IF($P$4="(nonblank)",--('Final Calculation Sheet'!$O$33&lt;&gt;""),--ISNUMBER(SEARCH($P$4,'Final Calculation Sheet'!$O$33)))))</f>
        <v/>
      </c>
      <c r="DV35">
        <f>IF($Q$4="",1,IF($Q$4="(blank)",--('Final Calculation Sheet'!$P$33=""),IF($Q$4="(nonblank)",--('Final Calculation Sheet'!$P$33&lt;&gt;""),--ISNUMBER(SEARCH($Q$4,'Final Calculation Sheet'!$P$33)))))</f>
        <v/>
      </c>
      <c r="DW35">
        <f>IF($R$4="",1,IF($R$4="(blank)",--('Final Calculation Sheet'!$Q$33=""),IF($R$4="(nonblank)",--('Final Calculation Sheet'!$Q$33&lt;&gt;""),--ISNUMBER(SEARCH($R$4,'Final Calculation Sheet'!$Q$33)))))</f>
        <v/>
      </c>
      <c r="DX35">
        <f>IF($S$4="",1,IF($S$4="(blank)",--('Final Calculation Sheet'!$R$33=""),IF($S$4="(nonblank)",--('Final Calculation Sheet'!$R$33&lt;&gt;""),--ISNUMBER(SEARCH($S$4,'Final Calculation Sheet'!$R$33)))))</f>
        <v/>
      </c>
      <c r="DY35">
        <f>IF($T$4="",1,IF($T$4="(blank)",--('Final Calculation Sheet'!$S$33=""),IF($T$4="(nonblank)",--('Final Calculation Sheet'!$S$33&lt;&gt;""),--ISNUMBER(SEARCH($T$4,'Final Calculation Sheet'!$S$33)))))</f>
        <v/>
      </c>
      <c r="DZ35">
        <f>IF($U$4="",1,IF($U$4="(blank)",--('Final Calculation Sheet'!$T$33=""),IF($U$4="(nonblank)",--('Final Calculation Sheet'!$T$33&lt;&gt;""),--ISNUMBER(SEARCH($U$4,'Final Calculation Sheet'!$T$33)))))</f>
        <v/>
      </c>
      <c r="EA35">
        <f>IF($V$4="",1,IF($V$4="(blank)",--('Final Calculation Sheet'!$U$33=""),IF($V$4="(nonblank)",--('Final Calculation Sheet'!$U$33&lt;&gt;""),--ISNUMBER(SEARCH($V$4,'Final Calculation Sheet'!$U$33)))))</f>
        <v/>
      </c>
      <c r="EB35">
        <f>IF($W$4="",1,IF($W$4="(blank)",--('Final Calculation Sheet'!$V$33=""),IF($W$4="(nonblank)",--('Final Calculation Sheet'!$V$33&lt;&gt;""),--ISNUMBER(SEARCH($W$4,'Final Calculation Sheet'!$V$33)))))</f>
        <v/>
      </c>
      <c r="EC35">
        <f>IF($X$4="",1,IF($X$4="(blank)",--('Final Calculation Sheet'!$W$33=""),IF($X$4="(nonblank)",--('Final Calculation Sheet'!$W$33&lt;&gt;""),--ISNUMBER(SEARCH($X$4,'Final Calculation Sheet'!$W$33)))))</f>
        <v/>
      </c>
      <c r="ED35">
        <f>IF($Y$4="",1,IF($Y$4="(blank)",--('Final Calculation Sheet'!$X$33=""),IF($Y$4="(nonblank)",--('Final Calculation Sheet'!$X$33&lt;&gt;""),--ISNUMBER(SEARCH($Y$4,'Final Calculation Sheet'!$X$33)))))</f>
        <v/>
      </c>
      <c r="EE35">
        <f>IF($Z$4="",1,IF($Z$4="(blank)",--('Final Calculation Sheet'!$Y$33=""),IF($Z$4="(nonblank)",--('Final Calculation Sheet'!$Y$33&lt;&gt;""),--ISNUMBER(SEARCH($Z$4,'Final Calculation Sheet'!$Y$33)))))</f>
        <v/>
      </c>
      <c r="EF35">
        <f>IF($AA$4="",1,IF($AA$4="(blank)",--('Final Calculation Sheet'!$Z$33=""),IF($AA$4="(nonblank)",--('Final Calculation Sheet'!$Z$33&lt;&gt;""),--ISNUMBER(SEARCH($AA$4,'Final Calculation Sheet'!$Z$33)))))</f>
        <v/>
      </c>
      <c r="EG35">
        <f>IF($AB$4="",1,IF($AB$4="(blank)",--('Final Calculation Sheet'!$AA$33=""),IF($AB$4="(nonblank)",--('Final Calculation Sheet'!$AA$33&lt;&gt;""),--ISNUMBER(SEARCH($AB$4,'Final Calculation Sheet'!$AA$33)))))</f>
        <v/>
      </c>
      <c r="EH35">
        <f>IF($AC$4="",1,IF($AC$4="(blank)",--('Final Calculation Sheet'!$AB$33=""),IF($AC$4="(nonblank)",--('Final Calculation Sheet'!$AB$33&lt;&gt;""),--ISNUMBER(SEARCH($AC$4,'Final Calculation Sheet'!$AB$33)))))</f>
        <v/>
      </c>
      <c r="EI35">
        <f>IF($AD$4="",1,IF($AD$4="(blank)",--('Final Calculation Sheet'!$AC$33=""),IF($AD$4="(nonblank)",--('Final Calculation Sheet'!$AC$33&lt;&gt;""),--ISNUMBER(SEARCH($AD$4,'Final Calculation Sheet'!$AC$33)))))</f>
        <v/>
      </c>
      <c r="EJ35">
        <f>IF($AE$4="",1,IF($AE$4="(blank)",--('Final Calculation Sheet'!$AD$33=""),IF($AE$4="(nonblank)",--('Final Calculation Sheet'!$AD$33&lt;&gt;""),--ISNUMBER(SEARCH($AE$4,'Final Calculation Sheet'!$AD$33)))))</f>
        <v/>
      </c>
      <c r="EK35">
        <f>IF($AF$4="",1,IF($AF$4="(blank)",--(IF('Final Calculation Sheet'!$AD$33&lt;=5,"SETTLED","OUTSTANDING")=""),IF($AF$4="(nonblank)",--(IF('Final Calculation Sheet'!$AD$33&lt;=5,"SETTLED","OUTSTANDING")&lt;&gt;""),--ISNUMBER(SEARCH($AF$4,IF('Final Calculation Sheet'!$AD$33&lt;=5,"SETTLED","OUTSTANDING"))))))</f>
        <v/>
      </c>
      <c r="EL35">
        <f>IF($AG$4="",1,IF($AG$4="(blank)",--('Final Calculation Sheet'!$AF$33=""),IF($AG$4="(nonblank)",--('Final Calculation Sheet'!$AF$33&lt;&gt;""),--ISNUMBER(SEARCH($AG$4,'Final Calculation Sheet'!$AF$33)))))</f>
        <v/>
      </c>
      <c r="EM35">
        <f>IF($AH$4="",1,IF($AH$4="(blank)",--('Final Calculation Sheet'!$AG$33=""),IF($AH$4="(nonblank)",--('Final Calculation Sheet'!$AG$33&lt;&gt;""),--ISNUMBER(SEARCH($AH$4,'Final Calculation Sheet'!$AG$33)))))</f>
        <v/>
      </c>
      <c r="EN35">
        <f>IF($AI$4="",1,IF($AI$4="(blank)",--('Final Calculation Sheet'!$AH$33=""),IF($AI$4="(nonblank)",--('Final Calculation Sheet'!$AH$33&lt;&gt;""),--ISNUMBER(SEARCH($AI$4,'Final Calculation Sheet'!$AH$33)))))</f>
        <v/>
      </c>
    </row>
    <row r="36" outlineLevel="1" hidden="1">
      <c r="A36" s="128">
        <f>IF($AL$36="","",30)</f>
        <v/>
      </c>
      <c r="B36" s="129">
        <f>IF($AL$36="","",IF(INDEX('Final Calculation Sheet'!$F$4:$F$40,$AL$36)="","",INDEX('Final Calculation Sheet'!$F$4:$F$40,$AL$36)))</f>
        <v/>
      </c>
      <c r="C36" s="129">
        <f>IF($AL$36="","",IF(INDEX('Final Calculation Sheet'!$G$4:$G$40,$AL$36)="","",INDEX('Final Calculation Sheet'!$G$4:$G$40,$AL$36)))</f>
        <v/>
      </c>
      <c r="D36" s="130">
        <f>IF($AL$36="","",IF(INDEX('Final Calculation Sheet'!$B$4:$B$40,$AL$36)="","",INDEX('Final Calculation Sheet'!$B$4:$B$40,$AL$36)))</f>
        <v/>
      </c>
      <c r="E36" s="130">
        <f>IF($AL$36="","",IF(INDEX('Final Calculation Sheet'!$D$4:$D$40,$AL$36)="","",INDEX('Final Calculation Sheet'!$D$4:$D$40,$AL$36)))</f>
        <v/>
      </c>
      <c r="F36" s="130">
        <f>IF($AL$36="","",IF(INDEX('Final Calculation Sheet'!$A$4:$A$40,$AL$36)="","",INDEX('Final Calculation Sheet'!$A$4:$A$40,$AL$36)))</f>
        <v/>
      </c>
      <c r="G36" s="130">
        <f>IF($AL$36="","",IF(INDEX('Final Calculation Sheet'!$E$4:$E$40,$AL$36)="","",INDEX('Final Calculation Sheet'!$E$4:$E$40,$AL$36)))</f>
        <v/>
      </c>
      <c r="H36" s="131">
        <f>IF($AL$36="","",IF(INDEX('Final Calculation Sheet'!$C$4:$C$40,$AL$36)="","",INDEX('Final Calculation Sheet'!$C$4:$C$40,$AL$36)))</f>
        <v/>
      </c>
      <c r="I36" s="131">
        <f>IF($AL$36="","",IF(INDEX('Final Calculation Sheet'!$H$4:$H$40,$AL$36)="","",INDEX('Final Calculation Sheet'!$H$4:$H$40,$AL$36)))</f>
        <v/>
      </c>
      <c r="J36" s="131">
        <f>IF($AL$36="","",IF(INDEX('Final Calculation Sheet'!$I$4:$I$40,$AL$36)="","",INDEX('Final Calculation Sheet'!$I$4:$I$40,$AL$36)))</f>
        <v/>
      </c>
      <c r="K36" s="131">
        <f>IF($AL$36="","",IF(INDEX('Final Calculation Sheet'!$J$4:$J$40,$AL$36)="","",INDEX('Final Calculation Sheet'!$J$4:$J$40,$AL$36)))</f>
        <v/>
      </c>
      <c r="L36" s="131">
        <f>IF($AL$36="","",IF(INDEX('Final Calculation Sheet'!$K$4:$K$40,$AL$36)="","",INDEX('Final Calculation Sheet'!$K$4:$K$40,$AL$36)))</f>
        <v/>
      </c>
      <c r="M36" s="131">
        <f>IF($AL$36="","",IF(INDEX('Final Calculation Sheet'!$L$4:$L$40,$AL$36)="","",INDEX('Final Calculation Sheet'!$L$4:$L$40,$AL$36)))</f>
        <v/>
      </c>
      <c r="N36" s="131">
        <f>IF($AL$36="","",IF(INDEX('Final Calculation Sheet'!$M$4:$M$40,$AL$36)="","",INDEX('Final Calculation Sheet'!$M$4:$M$40,$AL$36)))</f>
        <v/>
      </c>
      <c r="O36" s="132">
        <f>IF($AL$36="","",IF(INDEX('Final Calculation Sheet'!$N$4:$N$40,$AL$36)="","",INDEX('Final Calculation Sheet'!$N$4:$N$40,$AL$36)))</f>
        <v/>
      </c>
      <c r="P36" s="131">
        <f>IF($AL$36="","",IF(INDEX('Final Calculation Sheet'!$O$4:$O$40,$AL$36)="","",INDEX('Final Calculation Sheet'!$O$4:$O$40,$AL$36)))</f>
        <v/>
      </c>
      <c r="Q36" s="131">
        <f>IF($AL$36="","",IF(INDEX('Final Calculation Sheet'!$P$4:$P$40,$AL$36)="","",INDEX('Final Calculation Sheet'!$P$4:$P$40,$AL$36)))</f>
        <v/>
      </c>
      <c r="R36" s="133">
        <f>IF($AL$36="","",IF(INDEX('Final Calculation Sheet'!$Q$4:$Q$40,$AL$36)="","",INDEX('Final Calculation Sheet'!$Q$4:$Q$40,$AL$36)))</f>
        <v/>
      </c>
      <c r="S36" s="131">
        <f>IF($AL$36="","",IF(INDEX('Final Calculation Sheet'!$R$4:$R$40,$AL$36)="","",INDEX('Final Calculation Sheet'!$R$4:$R$40,$AL$36)))</f>
        <v/>
      </c>
      <c r="T36" s="131">
        <f>IF($AL$36="","",IF(INDEX('Final Calculation Sheet'!$S$4:$S$40,$AL$36)="","",INDEX('Final Calculation Sheet'!$S$4:$S$40,$AL$36)))</f>
        <v/>
      </c>
      <c r="U36" s="131">
        <f>IF($AL$36="","",IF(INDEX('Final Calculation Sheet'!$T$4:$T$40,$AL$36)="","",INDEX('Final Calculation Sheet'!$T$4:$T$40,$AL$36)))</f>
        <v/>
      </c>
      <c r="V36" s="134">
        <f>IF($AL$36="","",IF(INDEX('Final Calculation Sheet'!$U$4:$U$40,$AL$36)="","",INDEX('Final Calculation Sheet'!$U$4:$U$40,$AL$36)))</f>
        <v/>
      </c>
      <c r="W36" s="131">
        <f>IF($AL$36="","",IF(INDEX('Final Calculation Sheet'!$V$4:$V$40,$AL$36)="","",INDEX('Final Calculation Sheet'!$V$4:$V$40,$AL$36)))</f>
        <v/>
      </c>
      <c r="X36" s="131">
        <f>IF($AL$36="","",IF(INDEX('Final Calculation Sheet'!$W$4:$W$40,$AL$36)="","",INDEX('Final Calculation Sheet'!$W$4:$W$40,$AL$36)))</f>
        <v/>
      </c>
      <c r="Y36" s="131">
        <f>IF($AL$36="","",IF(INDEX('Final Calculation Sheet'!$X$4:$X$40,$AL$36)="","",INDEX('Final Calculation Sheet'!$X$4:$X$40,$AL$36)))</f>
        <v/>
      </c>
      <c r="Z36" s="131">
        <f>IF($AL$36="","",IF(INDEX('Final Calculation Sheet'!$Y$4:$Y$40,$AL$36)="","",INDEX('Final Calculation Sheet'!$Y$4:$Y$40,$AL$36)))</f>
        <v/>
      </c>
      <c r="AA36" s="131">
        <f>IF($AL$36="","",IF(INDEX('Final Calculation Sheet'!$Z$4:$Z$40,$AL$36)="","",INDEX('Final Calculation Sheet'!$Z$4:$Z$40,$AL$36)))</f>
        <v/>
      </c>
      <c r="AB36" s="131">
        <f>IF($AL$36="","",IF(INDEX('Final Calculation Sheet'!$AA$4:$AA$40,$AL$36)="","",INDEX('Final Calculation Sheet'!$AA$4:$AA$40,$AL$36)))</f>
        <v/>
      </c>
      <c r="AC36" s="131">
        <f>IF($AL$36="","",IF(INDEX('Final Calculation Sheet'!$AB$4:$AB$40,$AL$36)="","",INDEX('Final Calculation Sheet'!$AB$4:$AB$40,$AL$36)))</f>
        <v/>
      </c>
      <c r="AD36" s="131">
        <f>IF($AL$36="","",IF(INDEX('Final Calculation Sheet'!$AC$4:$AC$40,$AL$36)="","",INDEX('Final Calculation Sheet'!$AC$4:$AC$40,$AL$36)))</f>
        <v/>
      </c>
      <c r="AE36" s="131">
        <f>IF($AL$36="","",IF(INDEX('Final Calculation Sheet'!$AD$4:$AD$40,$AL$36)="","",INDEX('Final Calculation Sheet'!$AD$4:$AD$40,$AL$36)))</f>
        <v/>
      </c>
      <c r="AF36" s="136">
        <f>IF($AL$36="","",IF(INDEX('Final Calculation Sheet'!$AD$4:$AD$40,$AL$36)&lt;=5,"SETTLED","OUTSTANDING"))</f>
        <v/>
      </c>
      <c r="AG36" s="131">
        <f>IF($AL$36="","",IF(INDEX('Final Calculation Sheet'!$AF$4:$AF$40,$AL$36)="","",INDEX('Final Calculation Sheet'!$AF$4:$AF$40,$AL$36)))</f>
        <v/>
      </c>
      <c r="AH36" s="135">
        <f>IF($AL$36="","",IF(INDEX('Final Calculation Sheet'!$AG$4:$AG$40,$AL$36)="","",INDEX('Final Calculation Sheet'!$AG$4:$AG$40,$AL$36)))</f>
        <v/>
      </c>
      <c r="AI36" s="131">
        <f>IF($AL$36="","",IF(INDEX('Final Calculation Sheet'!$AH$4:$AH$40,$AL$36)="","",INDEX('Final Calculation Sheet'!$AH$4:$AH$40,$AL$36)))</f>
        <v/>
      </c>
      <c r="AJ36">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36">
        <f>IF(AJ36=1,COUNTIF(AJ$6:AJ36,1),"")</f>
        <v/>
      </c>
      <c r="AL36">
        <f>IF(COUNTIF($B$4:$AI$4,"&lt;&gt;")=0,"",IFERROR(MATCH(30,$AK$6:$AK$42,0),""))</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c r="DG36">
        <f>IF($B$4="",1,IF($B$4="(blank)",--('Final Calculation Sheet'!$F$34=""),IF($B$4="(nonblank)",--('Final Calculation Sheet'!$F$34&lt;&gt;""),--ISNUMBER(SEARCH($B$4,'Final Calculation Sheet'!$F$34)))))</f>
        <v/>
      </c>
      <c r="DH36">
        <f>IF($C$4="",1,IF($C$4="(blank)",--('Final Calculation Sheet'!$G$34=""),IF($C$4="(nonblank)",--('Final Calculation Sheet'!$G$34&lt;&gt;""),--ISNUMBER(SEARCH($C$4,'Final Calculation Sheet'!$G$34)))))</f>
        <v/>
      </c>
      <c r="DI36">
        <f>IF($D$4="",1,IF($D$4="(blank)",--('Final Calculation Sheet'!$B$34=""),IF($D$4="(nonblank)",--('Final Calculation Sheet'!$B$34&lt;&gt;""),--ISNUMBER(SEARCH($D$4,'Final Calculation Sheet'!$B$34)))))</f>
        <v/>
      </c>
      <c r="DJ36">
        <f>IF($E$4="",1,IF($E$4="(blank)",--('Final Calculation Sheet'!$D$34=""),IF($E$4="(nonblank)",--('Final Calculation Sheet'!$D$34&lt;&gt;""),--ISNUMBER(SEARCH($E$4,'Final Calculation Sheet'!$D$34)))))</f>
        <v/>
      </c>
      <c r="DK36">
        <f>IF($F$4="",1,IF($F$4="(blank)",--('Final Calculation Sheet'!$A$34=""),IF($F$4="(nonblank)",--('Final Calculation Sheet'!$A$34&lt;&gt;""),--ISNUMBER(SEARCH($F$4,'Final Calculation Sheet'!$A$34)))))</f>
        <v/>
      </c>
      <c r="DL36">
        <f>IF($G$4="",1,IF($G$4="(blank)",--('Final Calculation Sheet'!$E$34=""),IF($G$4="(nonblank)",--('Final Calculation Sheet'!$E$34&lt;&gt;""),--ISNUMBER(SEARCH($G$4,'Final Calculation Sheet'!$E$34)))))</f>
        <v/>
      </c>
      <c r="DM36">
        <f>IF($H$4="",1,IF($H$4="(blank)",--('Final Calculation Sheet'!$C$34=""),IF($H$4="(nonblank)",--('Final Calculation Sheet'!$C$34&lt;&gt;""),--ISNUMBER(SEARCH($H$4,'Final Calculation Sheet'!$C$34)))))</f>
        <v/>
      </c>
      <c r="DN36">
        <f>IF($I$4="",1,IF($I$4="(blank)",--('Final Calculation Sheet'!$H$34=""),IF($I$4="(nonblank)",--('Final Calculation Sheet'!$H$34&lt;&gt;""),--ISNUMBER(SEARCH($I$4,'Final Calculation Sheet'!$H$34)))))</f>
        <v/>
      </c>
      <c r="DO36">
        <f>IF($J$4="",1,IF($J$4="(blank)",--('Final Calculation Sheet'!$I$34=""),IF($J$4="(nonblank)",--('Final Calculation Sheet'!$I$34&lt;&gt;""),--ISNUMBER(SEARCH($J$4,'Final Calculation Sheet'!$I$34)))))</f>
        <v/>
      </c>
      <c r="DP36">
        <f>IF($K$4="",1,IF($K$4="(blank)",--('Final Calculation Sheet'!$J$34=""),IF($K$4="(nonblank)",--('Final Calculation Sheet'!$J$34&lt;&gt;""),--ISNUMBER(SEARCH($K$4,'Final Calculation Sheet'!$J$34)))))</f>
        <v/>
      </c>
      <c r="DQ36">
        <f>IF($L$4="",1,IF($L$4="(blank)",--('Final Calculation Sheet'!$K$34=""),IF($L$4="(nonblank)",--('Final Calculation Sheet'!$K$34&lt;&gt;""),--ISNUMBER(SEARCH($L$4,'Final Calculation Sheet'!$K$34)))))</f>
        <v/>
      </c>
      <c r="DR36">
        <f>IF($M$4="",1,IF($M$4="(blank)",--('Final Calculation Sheet'!$L$34=""),IF($M$4="(nonblank)",--('Final Calculation Sheet'!$L$34&lt;&gt;""),--ISNUMBER(SEARCH($M$4,'Final Calculation Sheet'!$L$34)))))</f>
        <v/>
      </c>
      <c r="DS36">
        <f>IF($N$4="",1,IF($N$4="(blank)",--('Final Calculation Sheet'!$M$34=""),IF($N$4="(nonblank)",--('Final Calculation Sheet'!$M$34&lt;&gt;""),--ISNUMBER(SEARCH($N$4,'Final Calculation Sheet'!$M$34)))))</f>
        <v/>
      </c>
      <c r="DT36">
        <f>IF($O$4="",1,IF($O$4="(blank)",--('Final Calculation Sheet'!$N$34=""),IF($O$4="(nonblank)",--('Final Calculation Sheet'!$N$34&lt;&gt;""),--ISNUMBER(SEARCH($O$4,'Final Calculation Sheet'!$N$34)))))</f>
        <v/>
      </c>
      <c r="DU36">
        <f>IF($P$4="",1,IF($P$4="(blank)",--('Final Calculation Sheet'!$O$34=""),IF($P$4="(nonblank)",--('Final Calculation Sheet'!$O$34&lt;&gt;""),--ISNUMBER(SEARCH($P$4,'Final Calculation Sheet'!$O$34)))))</f>
        <v/>
      </c>
      <c r="DV36">
        <f>IF($Q$4="",1,IF($Q$4="(blank)",--('Final Calculation Sheet'!$P$34=""),IF($Q$4="(nonblank)",--('Final Calculation Sheet'!$P$34&lt;&gt;""),--ISNUMBER(SEARCH($Q$4,'Final Calculation Sheet'!$P$34)))))</f>
        <v/>
      </c>
      <c r="DW36">
        <f>IF($R$4="",1,IF($R$4="(blank)",--('Final Calculation Sheet'!$Q$34=""),IF($R$4="(nonblank)",--('Final Calculation Sheet'!$Q$34&lt;&gt;""),--ISNUMBER(SEARCH($R$4,'Final Calculation Sheet'!$Q$34)))))</f>
        <v/>
      </c>
      <c r="DX36">
        <f>IF($S$4="",1,IF($S$4="(blank)",--('Final Calculation Sheet'!$R$34=""),IF($S$4="(nonblank)",--('Final Calculation Sheet'!$R$34&lt;&gt;""),--ISNUMBER(SEARCH($S$4,'Final Calculation Sheet'!$R$34)))))</f>
        <v/>
      </c>
      <c r="DY36">
        <f>IF($T$4="",1,IF($T$4="(blank)",--('Final Calculation Sheet'!$S$34=""),IF($T$4="(nonblank)",--('Final Calculation Sheet'!$S$34&lt;&gt;""),--ISNUMBER(SEARCH($T$4,'Final Calculation Sheet'!$S$34)))))</f>
        <v/>
      </c>
      <c r="DZ36">
        <f>IF($U$4="",1,IF($U$4="(blank)",--('Final Calculation Sheet'!$T$34=""),IF($U$4="(nonblank)",--('Final Calculation Sheet'!$T$34&lt;&gt;""),--ISNUMBER(SEARCH($U$4,'Final Calculation Sheet'!$T$34)))))</f>
        <v/>
      </c>
      <c r="EA36">
        <f>IF($V$4="",1,IF($V$4="(blank)",--('Final Calculation Sheet'!$U$34=""),IF($V$4="(nonblank)",--('Final Calculation Sheet'!$U$34&lt;&gt;""),--ISNUMBER(SEARCH($V$4,'Final Calculation Sheet'!$U$34)))))</f>
        <v/>
      </c>
      <c r="EB36">
        <f>IF($W$4="",1,IF($W$4="(blank)",--('Final Calculation Sheet'!$V$34=""),IF($W$4="(nonblank)",--('Final Calculation Sheet'!$V$34&lt;&gt;""),--ISNUMBER(SEARCH($W$4,'Final Calculation Sheet'!$V$34)))))</f>
        <v/>
      </c>
      <c r="EC36">
        <f>IF($X$4="",1,IF($X$4="(blank)",--('Final Calculation Sheet'!$W$34=""),IF($X$4="(nonblank)",--('Final Calculation Sheet'!$W$34&lt;&gt;""),--ISNUMBER(SEARCH($X$4,'Final Calculation Sheet'!$W$34)))))</f>
        <v/>
      </c>
      <c r="ED36">
        <f>IF($Y$4="",1,IF($Y$4="(blank)",--('Final Calculation Sheet'!$X$34=""),IF($Y$4="(nonblank)",--('Final Calculation Sheet'!$X$34&lt;&gt;""),--ISNUMBER(SEARCH($Y$4,'Final Calculation Sheet'!$X$34)))))</f>
        <v/>
      </c>
      <c r="EE36">
        <f>IF($Z$4="",1,IF($Z$4="(blank)",--('Final Calculation Sheet'!$Y$34=""),IF($Z$4="(nonblank)",--('Final Calculation Sheet'!$Y$34&lt;&gt;""),--ISNUMBER(SEARCH($Z$4,'Final Calculation Sheet'!$Y$34)))))</f>
        <v/>
      </c>
      <c r="EF36">
        <f>IF($AA$4="",1,IF($AA$4="(blank)",--('Final Calculation Sheet'!$Z$34=""),IF($AA$4="(nonblank)",--('Final Calculation Sheet'!$Z$34&lt;&gt;""),--ISNUMBER(SEARCH($AA$4,'Final Calculation Sheet'!$Z$34)))))</f>
        <v/>
      </c>
      <c r="EG36">
        <f>IF($AB$4="",1,IF($AB$4="(blank)",--('Final Calculation Sheet'!$AA$34=""),IF($AB$4="(nonblank)",--('Final Calculation Sheet'!$AA$34&lt;&gt;""),--ISNUMBER(SEARCH($AB$4,'Final Calculation Sheet'!$AA$34)))))</f>
        <v/>
      </c>
      <c r="EH36">
        <f>IF($AC$4="",1,IF($AC$4="(blank)",--('Final Calculation Sheet'!$AB$34=""),IF($AC$4="(nonblank)",--('Final Calculation Sheet'!$AB$34&lt;&gt;""),--ISNUMBER(SEARCH($AC$4,'Final Calculation Sheet'!$AB$34)))))</f>
        <v/>
      </c>
      <c r="EI36">
        <f>IF($AD$4="",1,IF($AD$4="(blank)",--('Final Calculation Sheet'!$AC$34=""),IF($AD$4="(nonblank)",--('Final Calculation Sheet'!$AC$34&lt;&gt;""),--ISNUMBER(SEARCH($AD$4,'Final Calculation Sheet'!$AC$34)))))</f>
        <v/>
      </c>
      <c r="EJ36">
        <f>IF($AE$4="",1,IF($AE$4="(blank)",--('Final Calculation Sheet'!$AD$34=""),IF($AE$4="(nonblank)",--('Final Calculation Sheet'!$AD$34&lt;&gt;""),--ISNUMBER(SEARCH($AE$4,'Final Calculation Sheet'!$AD$34)))))</f>
        <v/>
      </c>
      <c r="EK36">
        <f>IF($AF$4="",1,IF($AF$4="(blank)",--(IF('Final Calculation Sheet'!$AD$34&lt;=5,"SETTLED","OUTSTANDING")=""),IF($AF$4="(nonblank)",--(IF('Final Calculation Sheet'!$AD$34&lt;=5,"SETTLED","OUTSTANDING")&lt;&gt;""),--ISNUMBER(SEARCH($AF$4,IF('Final Calculation Sheet'!$AD$34&lt;=5,"SETTLED","OUTSTANDING"))))))</f>
        <v/>
      </c>
      <c r="EL36">
        <f>IF($AG$4="",1,IF($AG$4="(blank)",--('Final Calculation Sheet'!$AF$34=""),IF($AG$4="(nonblank)",--('Final Calculation Sheet'!$AF$34&lt;&gt;""),--ISNUMBER(SEARCH($AG$4,'Final Calculation Sheet'!$AF$34)))))</f>
        <v/>
      </c>
      <c r="EM36">
        <f>IF($AH$4="",1,IF($AH$4="(blank)",--('Final Calculation Sheet'!$AG$34=""),IF($AH$4="(nonblank)",--('Final Calculation Sheet'!$AG$34&lt;&gt;""),--ISNUMBER(SEARCH($AH$4,'Final Calculation Sheet'!$AG$34)))))</f>
        <v/>
      </c>
      <c r="EN36">
        <f>IF($AI$4="",1,IF($AI$4="(blank)",--('Final Calculation Sheet'!$AH$34=""),IF($AI$4="(nonblank)",--('Final Calculation Sheet'!$AH$34&lt;&gt;""),--ISNUMBER(SEARCH($AI$4,'Final Calculation Sheet'!$AH$34)))))</f>
        <v/>
      </c>
    </row>
    <row r="37" outlineLevel="1" hidden="1">
      <c r="A37" s="118">
        <f>IF($AL$37="","",31)</f>
        <v/>
      </c>
      <c r="B37" s="119">
        <f>IF($AL$37="","",IF(INDEX('Final Calculation Sheet'!$F$4:$F$40,$AL$37)="","",INDEX('Final Calculation Sheet'!$F$4:$F$40,$AL$37)))</f>
        <v/>
      </c>
      <c r="C37" s="119">
        <f>IF($AL$37="","",IF(INDEX('Final Calculation Sheet'!$G$4:$G$40,$AL$37)="","",INDEX('Final Calculation Sheet'!$G$4:$G$40,$AL$37)))</f>
        <v/>
      </c>
      <c r="D37" s="121">
        <f>IF($AL$37="","",IF(INDEX('Final Calculation Sheet'!$B$4:$B$40,$AL$37)="","",INDEX('Final Calculation Sheet'!$B$4:$B$40,$AL$37)))</f>
        <v/>
      </c>
      <c r="E37" s="121">
        <f>IF($AL$37="","",IF(INDEX('Final Calculation Sheet'!$D$4:$D$40,$AL$37)="","",INDEX('Final Calculation Sheet'!$D$4:$D$40,$AL$37)))</f>
        <v/>
      </c>
      <c r="F37" s="121">
        <f>IF($AL$37="","",IF(INDEX('Final Calculation Sheet'!$A$4:$A$40,$AL$37)="","",INDEX('Final Calculation Sheet'!$A$4:$A$40,$AL$37)))</f>
        <v/>
      </c>
      <c r="G37" s="121">
        <f>IF($AL$37="","",IF(INDEX('Final Calculation Sheet'!$E$4:$E$40,$AL$37)="","",INDEX('Final Calculation Sheet'!$E$4:$E$40,$AL$37)))</f>
        <v/>
      </c>
      <c r="H37" s="122">
        <f>IF($AL$37="","",IF(INDEX('Final Calculation Sheet'!$C$4:$C$40,$AL$37)="","",INDEX('Final Calculation Sheet'!$C$4:$C$40,$AL$37)))</f>
        <v/>
      </c>
      <c r="I37" s="122">
        <f>IF($AL$37="","",IF(INDEX('Final Calculation Sheet'!$H$4:$H$40,$AL$37)="","",INDEX('Final Calculation Sheet'!$H$4:$H$40,$AL$37)))</f>
        <v/>
      </c>
      <c r="J37" s="122">
        <f>IF($AL$37="","",IF(INDEX('Final Calculation Sheet'!$I$4:$I$40,$AL$37)="","",INDEX('Final Calculation Sheet'!$I$4:$I$40,$AL$37)))</f>
        <v/>
      </c>
      <c r="K37" s="122">
        <f>IF($AL$37="","",IF(INDEX('Final Calculation Sheet'!$J$4:$J$40,$AL$37)="","",INDEX('Final Calculation Sheet'!$J$4:$J$40,$AL$37)))</f>
        <v/>
      </c>
      <c r="L37" s="122">
        <f>IF($AL$37="","",IF(INDEX('Final Calculation Sheet'!$K$4:$K$40,$AL$37)="","",INDEX('Final Calculation Sheet'!$K$4:$K$40,$AL$37)))</f>
        <v/>
      </c>
      <c r="M37" s="122">
        <f>IF($AL$37="","",IF(INDEX('Final Calculation Sheet'!$L$4:$L$40,$AL$37)="","",INDEX('Final Calculation Sheet'!$L$4:$L$40,$AL$37)))</f>
        <v/>
      </c>
      <c r="N37" s="122">
        <f>IF($AL$37="","",IF(INDEX('Final Calculation Sheet'!$M$4:$M$40,$AL$37)="","",INDEX('Final Calculation Sheet'!$M$4:$M$40,$AL$37)))</f>
        <v/>
      </c>
      <c r="O37" s="123">
        <f>IF($AL$37="","",IF(INDEX('Final Calculation Sheet'!$N$4:$N$40,$AL$37)="","",INDEX('Final Calculation Sheet'!$N$4:$N$40,$AL$37)))</f>
        <v/>
      </c>
      <c r="P37" s="122">
        <f>IF($AL$37="","",IF(INDEX('Final Calculation Sheet'!$O$4:$O$40,$AL$37)="","",INDEX('Final Calculation Sheet'!$O$4:$O$40,$AL$37)))</f>
        <v/>
      </c>
      <c r="Q37" s="122">
        <f>IF($AL$37="","",IF(INDEX('Final Calculation Sheet'!$P$4:$P$40,$AL$37)="","",INDEX('Final Calculation Sheet'!$P$4:$P$40,$AL$37)))</f>
        <v/>
      </c>
      <c r="R37" s="124">
        <f>IF($AL$37="","",IF(INDEX('Final Calculation Sheet'!$Q$4:$Q$40,$AL$37)="","",INDEX('Final Calculation Sheet'!$Q$4:$Q$40,$AL$37)))</f>
        <v/>
      </c>
      <c r="S37" s="122">
        <f>IF($AL$37="","",IF(INDEX('Final Calculation Sheet'!$R$4:$R$40,$AL$37)="","",INDEX('Final Calculation Sheet'!$R$4:$R$40,$AL$37)))</f>
        <v/>
      </c>
      <c r="T37" s="122">
        <f>IF($AL$37="","",IF(INDEX('Final Calculation Sheet'!$S$4:$S$40,$AL$37)="","",INDEX('Final Calculation Sheet'!$S$4:$S$40,$AL$37)))</f>
        <v/>
      </c>
      <c r="U37" s="122">
        <f>IF($AL$37="","",IF(INDEX('Final Calculation Sheet'!$T$4:$T$40,$AL$37)="","",INDEX('Final Calculation Sheet'!$T$4:$T$40,$AL$37)))</f>
        <v/>
      </c>
      <c r="V37" s="125">
        <f>IF($AL$37="","",IF(INDEX('Final Calculation Sheet'!$U$4:$U$40,$AL$37)="","",INDEX('Final Calculation Sheet'!$U$4:$U$40,$AL$37)))</f>
        <v/>
      </c>
      <c r="W37" s="122">
        <f>IF($AL$37="","",IF(INDEX('Final Calculation Sheet'!$V$4:$V$40,$AL$37)="","",INDEX('Final Calculation Sheet'!$V$4:$V$40,$AL$37)))</f>
        <v/>
      </c>
      <c r="X37" s="122">
        <f>IF($AL$37="","",IF(INDEX('Final Calculation Sheet'!$W$4:$W$40,$AL$37)="","",INDEX('Final Calculation Sheet'!$W$4:$W$40,$AL$37)))</f>
        <v/>
      </c>
      <c r="Y37" s="122">
        <f>IF($AL$37="","",IF(INDEX('Final Calculation Sheet'!$X$4:$X$40,$AL$37)="","",INDEX('Final Calculation Sheet'!$X$4:$X$40,$AL$37)))</f>
        <v/>
      </c>
      <c r="Z37" s="122">
        <f>IF($AL$37="","",IF(INDEX('Final Calculation Sheet'!$Y$4:$Y$40,$AL$37)="","",INDEX('Final Calculation Sheet'!$Y$4:$Y$40,$AL$37)))</f>
        <v/>
      </c>
      <c r="AA37" s="122">
        <f>IF($AL$37="","",IF(INDEX('Final Calculation Sheet'!$Z$4:$Z$40,$AL$37)="","",INDEX('Final Calculation Sheet'!$Z$4:$Z$40,$AL$37)))</f>
        <v/>
      </c>
      <c r="AB37" s="122">
        <f>IF($AL$37="","",IF(INDEX('Final Calculation Sheet'!$AA$4:$AA$40,$AL$37)="","",INDEX('Final Calculation Sheet'!$AA$4:$AA$40,$AL$37)))</f>
        <v/>
      </c>
      <c r="AC37" s="122">
        <f>IF($AL$37="","",IF(INDEX('Final Calculation Sheet'!$AB$4:$AB$40,$AL$37)="","",INDEX('Final Calculation Sheet'!$AB$4:$AB$40,$AL$37)))</f>
        <v/>
      </c>
      <c r="AD37" s="122">
        <f>IF($AL$37="","",IF(INDEX('Final Calculation Sheet'!$AC$4:$AC$40,$AL$37)="","",INDEX('Final Calculation Sheet'!$AC$4:$AC$40,$AL$37)))</f>
        <v/>
      </c>
      <c r="AE37" s="122">
        <f>IF($AL$37="","",IF(INDEX('Final Calculation Sheet'!$AD$4:$AD$40,$AL$37)="","",INDEX('Final Calculation Sheet'!$AD$4:$AD$40,$AL$37)))</f>
        <v/>
      </c>
      <c r="AF37" s="127">
        <f>IF($AL$37="","",IF(INDEX('Final Calculation Sheet'!$AD$4:$AD$40,$AL$37)&lt;=5,"SETTLED","OUTSTANDING"))</f>
        <v/>
      </c>
      <c r="AG37" s="122">
        <f>IF($AL$37="","",IF(INDEX('Final Calculation Sheet'!$AF$4:$AF$40,$AL$37)="","",INDEX('Final Calculation Sheet'!$AF$4:$AF$40,$AL$37)))</f>
        <v/>
      </c>
      <c r="AH37" s="126">
        <f>IF($AL$37="","",IF(INDEX('Final Calculation Sheet'!$AG$4:$AG$40,$AL$37)="","",INDEX('Final Calculation Sheet'!$AG$4:$AG$40,$AL$37)))</f>
        <v/>
      </c>
      <c r="AI37" s="122">
        <f>IF($AL$37="","",IF(INDEX('Final Calculation Sheet'!$AH$4:$AH$40,$AL$37)="","",INDEX('Final Calculation Sheet'!$AH$4:$AH$40,$AL$37)))</f>
        <v/>
      </c>
      <c r="AJ37">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37">
        <f>IF(AJ37=1,COUNTIF(AJ$6:AJ37,1),"")</f>
        <v/>
      </c>
      <c r="AL37">
        <f>IF(COUNTIF($B$4:$AI$4,"&lt;&gt;")=0,"",IFERROR(MATCH(31,$AK$6:$AK$42,0),""))</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c r="DG37">
        <f>IF($B$4="",1,IF($B$4="(blank)",--('Final Calculation Sheet'!$F$35=""),IF($B$4="(nonblank)",--('Final Calculation Sheet'!$F$35&lt;&gt;""),--ISNUMBER(SEARCH($B$4,'Final Calculation Sheet'!$F$35)))))</f>
        <v/>
      </c>
      <c r="DH37">
        <f>IF($C$4="",1,IF($C$4="(blank)",--('Final Calculation Sheet'!$G$35=""),IF($C$4="(nonblank)",--('Final Calculation Sheet'!$G$35&lt;&gt;""),--ISNUMBER(SEARCH($C$4,'Final Calculation Sheet'!$G$35)))))</f>
        <v/>
      </c>
      <c r="DI37">
        <f>IF($D$4="",1,IF($D$4="(blank)",--('Final Calculation Sheet'!$B$35=""),IF($D$4="(nonblank)",--('Final Calculation Sheet'!$B$35&lt;&gt;""),--ISNUMBER(SEARCH($D$4,'Final Calculation Sheet'!$B$35)))))</f>
        <v/>
      </c>
      <c r="DJ37">
        <f>IF($E$4="",1,IF($E$4="(blank)",--('Final Calculation Sheet'!$D$35=""),IF($E$4="(nonblank)",--('Final Calculation Sheet'!$D$35&lt;&gt;""),--ISNUMBER(SEARCH($E$4,'Final Calculation Sheet'!$D$35)))))</f>
        <v/>
      </c>
      <c r="DK37">
        <f>IF($F$4="",1,IF($F$4="(blank)",--('Final Calculation Sheet'!$A$35=""),IF($F$4="(nonblank)",--('Final Calculation Sheet'!$A$35&lt;&gt;""),--ISNUMBER(SEARCH($F$4,'Final Calculation Sheet'!$A$35)))))</f>
        <v/>
      </c>
      <c r="DL37">
        <f>IF($G$4="",1,IF($G$4="(blank)",--('Final Calculation Sheet'!$E$35=""),IF($G$4="(nonblank)",--('Final Calculation Sheet'!$E$35&lt;&gt;""),--ISNUMBER(SEARCH($G$4,'Final Calculation Sheet'!$E$35)))))</f>
        <v/>
      </c>
      <c r="DM37">
        <f>IF($H$4="",1,IF($H$4="(blank)",--('Final Calculation Sheet'!$C$35=""),IF($H$4="(nonblank)",--('Final Calculation Sheet'!$C$35&lt;&gt;""),--ISNUMBER(SEARCH($H$4,'Final Calculation Sheet'!$C$35)))))</f>
        <v/>
      </c>
      <c r="DN37">
        <f>IF($I$4="",1,IF($I$4="(blank)",--('Final Calculation Sheet'!$H$35=""),IF($I$4="(nonblank)",--('Final Calculation Sheet'!$H$35&lt;&gt;""),--ISNUMBER(SEARCH($I$4,'Final Calculation Sheet'!$H$35)))))</f>
        <v/>
      </c>
      <c r="DO37">
        <f>IF($J$4="",1,IF($J$4="(blank)",--('Final Calculation Sheet'!$I$35=""),IF($J$4="(nonblank)",--('Final Calculation Sheet'!$I$35&lt;&gt;""),--ISNUMBER(SEARCH($J$4,'Final Calculation Sheet'!$I$35)))))</f>
        <v/>
      </c>
      <c r="DP37">
        <f>IF($K$4="",1,IF($K$4="(blank)",--('Final Calculation Sheet'!$J$35=""),IF($K$4="(nonblank)",--('Final Calculation Sheet'!$J$35&lt;&gt;""),--ISNUMBER(SEARCH($K$4,'Final Calculation Sheet'!$J$35)))))</f>
        <v/>
      </c>
      <c r="DQ37">
        <f>IF($L$4="",1,IF($L$4="(blank)",--('Final Calculation Sheet'!$K$35=""),IF($L$4="(nonblank)",--('Final Calculation Sheet'!$K$35&lt;&gt;""),--ISNUMBER(SEARCH($L$4,'Final Calculation Sheet'!$K$35)))))</f>
        <v/>
      </c>
      <c r="DR37">
        <f>IF($M$4="",1,IF($M$4="(blank)",--('Final Calculation Sheet'!$L$35=""),IF($M$4="(nonblank)",--('Final Calculation Sheet'!$L$35&lt;&gt;""),--ISNUMBER(SEARCH($M$4,'Final Calculation Sheet'!$L$35)))))</f>
        <v/>
      </c>
      <c r="DS37">
        <f>IF($N$4="",1,IF($N$4="(blank)",--('Final Calculation Sheet'!$M$35=""),IF($N$4="(nonblank)",--('Final Calculation Sheet'!$M$35&lt;&gt;""),--ISNUMBER(SEARCH($N$4,'Final Calculation Sheet'!$M$35)))))</f>
        <v/>
      </c>
      <c r="DT37">
        <f>IF($O$4="",1,IF($O$4="(blank)",--('Final Calculation Sheet'!$N$35=""),IF($O$4="(nonblank)",--('Final Calculation Sheet'!$N$35&lt;&gt;""),--ISNUMBER(SEARCH($O$4,'Final Calculation Sheet'!$N$35)))))</f>
        <v/>
      </c>
      <c r="DU37">
        <f>IF($P$4="",1,IF($P$4="(blank)",--('Final Calculation Sheet'!$O$35=""),IF($P$4="(nonblank)",--('Final Calculation Sheet'!$O$35&lt;&gt;""),--ISNUMBER(SEARCH($P$4,'Final Calculation Sheet'!$O$35)))))</f>
        <v/>
      </c>
      <c r="DV37">
        <f>IF($Q$4="",1,IF($Q$4="(blank)",--('Final Calculation Sheet'!$P$35=""),IF($Q$4="(nonblank)",--('Final Calculation Sheet'!$P$35&lt;&gt;""),--ISNUMBER(SEARCH($Q$4,'Final Calculation Sheet'!$P$35)))))</f>
        <v/>
      </c>
      <c r="DW37">
        <f>IF($R$4="",1,IF($R$4="(blank)",--('Final Calculation Sheet'!$Q$35=""),IF($R$4="(nonblank)",--('Final Calculation Sheet'!$Q$35&lt;&gt;""),--ISNUMBER(SEARCH($R$4,'Final Calculation Sheet'!$Q$35)))))</f>
        <v/>
      </c>
      <c r="DX37">
        <f>IF($S$4="",1,IF($S$4="(blank)",--('Final Calculation Sheet'!$R$35=""),IF($S$4="(nonblank)",--('Final Calculation Sheet'!$R$35&lt;&gt;""),--ISNUMBER(SEARCH($S$4,'Final Calculation Sheet'!$R$35)))))</f>
        <v/>
      </c>
      <c r="DY37">
        <f>IF($T$4="",1,IF($T$4="(blank)",--('Final Calculation Sheet'!$S$35=""),IF($T$4="(nonblank)",--('Final Calculation Sheet'!$S$35&lt;&gt;""),--ISNUMBER(SEARCH($T$4,'Final Calculation Sheet'!$S$35)))))</f>
        <v/>
      </c>
      <c r="DZ37">
        <f>IF($U$4="",1,IF($U$4="(blank)",--('Final Calculation Sheet'!$T$35=""),IF($U$4="(nonblank)",--('Final Calculation Sheet'!$T$35&lt;&gt;""),--ISNUMBER(SEARCH($U$4,'Final Calculation Sheet'!$T$35)))))</f>
        <v/>
      </c>
      <c r="EA37">
        <f>IF($V$4="",1,IF($V$4="(blank)",--('Final Calculation Sheet'!$U$35=""),IF($V$4="(nonblank)",--('Final Calculation Sheet'!$U$35&lt;&gt;""),--ISNUMBER(SEARCH($V$4,'Final Calculation Sheet'!$U$35)))))</f>
        <v/>
      </c>
      <c r="EB37">
        <f>IF($W$4="",1,IF($W$4="(blank)",--('Final Calculation Sheet'!$V$35=""),IF($W$4="(nonblank)",--('Final Calculation Sheet'!$V$35&lt;&gt;""),--ISNUMBER(SEARCH($W$4,'Final Calculation Sheet'!$V$35)))))</f>
        <v/>
      </c>
      <c r="EC37">
        <f>IF($X$4="",1,IF($X$4="(blank)",--('Final Calculation Sheet'!$W$35=""),IF($X$4="(nonblank)",--('Final Calculation Sheet'!$W$35&lt;&gt;""),--ISNUMBER(SEARCH($X$4,'Final Calculation Sheet'!$W$35)))))</f>
        <v/>
      </c>
      <c r="ED37">
        <f>IF($Y$4="",1,IF($Y$4="(blank)",--('Final Calculation Sheet'!$X$35=""),IF($Y$4="(nonblank)",--('Final Calculation Sheet'!$X$35&lt;&gt;""),--ISNUMBER(SEARCH($Y$4,'Final Calculation Sheet'!$X$35)))))</f>
        <v/>
      </c>
      <c r="EE37">
        <f>IF($Z$4="",1,IF($Z$4="(blank)",--('Final Calculation Sheet'!$Y$35=""),IF($Z$4="(nonblank)",--('Final Calculation Sheet'!$Y$35&lt;&gt;""),--ISNUMBER(SEARCH($Z$4,'Final Calculation Sheet'!$Y$35)))))</f>
        <v/>
      </c>
      <c r="EF37">
        <f>IF($AA$4="",1,IF($AA$4="(blank)",--('Final Calculation Sheet'!$Z$35=""),IF($AA$4="(nonblank)",--('Final Calculation Sheet'!$Z$35&lt;&gt;""),--ISNUMBER(SEARCH($AA$4,'Final Calculation Sheet'!$Z$35)))))</f>
        <v/>
      </c>
      <c r="EG37">
        <f>IF($AB$4="",1,IF($AB$4="(blank)",--('Final Calculation Sheet'!$AA$35=""),IF($AB$4="(nonblank)",--('Final Calculation Sheet'!$AA$35&lt;&gt;""),--ISNUMBER(SEARCH($AB$4,'Final Calculation Sheet'!$AA$35)))))</f>
        <v/>
      </c>
      <c r="EH37">
        <f>IF($AC$4="",1,IF($AC$4="(blank)",--('Final Calculation Sheet'!$AB$35=""),IF($AC$4="(nonblank)",--('Final Calculation Sheet'!$AB$35&lt;&gt;""),--ISNUMBER(SEARCH($AC$4,'Final Calculation Sheet'!$AB$35)))))</f>
        <v/>
      </c>
      <c r="EI37">
        <f>IF($AD$4="",1,IF($AD$4="(blank)",--('Final Calculation Sheet'!$AC$35=""),IF($AD$4="(nonblank)",--('Final Calculation Sheet'!$AC$35&lt;&gt;""),--ISNUMBER(SEARCH($AD$4,'Final Calculation Sheet'!$AC$35)))))</f>
        <v/>
      </c>
      <c r="EJ37">
        <f>IF($AE$4="",1,IF($AE$4="(blank)",--('Final Calculation Sheet'!$AD$35=""),IF($AE$4="(nonblank)",--('Final Calculation Sheet'!$AD$35&lt;&gt;""),--ISNUMBER(SEARCH($AE$4,'Final Calculation Sheet'!$AD$35)))))</f>
        <v/>
      </c>
      <c r="EK37">
        <f>IF($AF$4="",1,IF($AF$4="(blank)",--(IF('Final Calculation Sheet'!$AD$35&lt;=5,"SETTLED","OUTSTANDING")=""),IF($AF$4="(nonblank)",--(IF('Final Calculation Sheet'!$AD$35&lt;=5,"SETTLED","OUTSTANDING")&lt;&gt;""),--ISNUMBER(SEARCH($AF$4,IF('Final Calculation Sheet'!$AD$35&lt;=5,"SETTLED","OUTSTANDING"))))))</f>
        <v/>
      </c>
      <c r="EL37">
        <f>IF($AG$4="",1,IF($AG$4="(blank)",--('Final Calculation Sheet'!$AF$35=""),IF($AG$4="(nonblank)",--('Final Calculation Sheet'!$AF$35&lt;&gt;""),--ISNUMBER(SEARCH($AG$4,'Final Calculation Sheet'!$AF$35)))))</f>
        <v/>
      </c>
      <c r="EM37">
        <f>IF($AH$4="",1,IF($AH$4="(blank)",--('Final Calculation Sheet'!$AG$35=""),IF($AH$4="(nonblank)",--('Final Calculation Sheet'!$AG$35&lt;&gt;""),--ISNUMBER(SEARCH($AH$4,'Final Calculation Sheet'!$AG$35)))))</f>
        <v/>
      </c>
      <c r="EN37">
        <f>IF($AI$4="",1,IF($AI$4="(blank)",--('Final Calculation Sheet'!$AH$35=""),IF($AI$4="(nonblank)",--('Final Calculation Sheet'!$AH$35&lt;&gt;""),--ISNUMBER(SEARCH($AI$4,'Final Calculation Sheet'!$AH$35)))))</f>
        <v/>
      </c>
    </row>
    <row r="38" outlineLevel="1" hidden="1">
      <c r="A38" s="128">
        <f>IF($AL$38="","",32)</f>
        <v/>
      </c>
      <c r="B38" s="129">
        <f>IF($AL$38="","",IF(INDEX('Final Calculation Sheet'!$F$4:$F$40,$AL$38)="","",INDEX('Final Calculation Sheet'!$F$4:$F$40,$AL$38)))</f>
        <v/>
      </c>
      <c r="C38" s="129">
        <f>IF($AL$38="","",IF(INDEX('Final Calculation Sheet'!$G$4:$G$40,$AL$38)="","",INDEX('Final Calculation Sheet'!$G$4:$G$40,$AL$38)))</f>
        <v/>
      </c>
      <c r="D38" s="130">
        <f>IF($AL$38="","",IF(INDEX('Final Calculation Sheet'!$B$4:$B$40,$AL$38)="","",INDEX('Final Calculation Sheet'!$B$4:$B$40,$AL$38)))</f>
        <v/>
      </c>
      <c r="E38" s="130">
        <f>IF($AL$38="","",IF(INDEX('Final Calculation Sheet'!$D$4:$D$40,$AL$38)="","",INDEX('Final Calculation Sheet'!$D$4:$D$40,$AL$38)))</f>
        <v/>
      </c>
      <c r="F38" s="130">
        <f>IF($AL$38="","",IF(INDEX('Final Calculation Sheet'!$A$4:$A$40,$AL$38)="","",INDEX('Final Calculation Sheet'!$A$4:$A$40,$AL$38)))</f>
        <v/>
      </c>
      <c r="G38" s="130">
        <f>IF($AL$38="","",IF(INDEX('Final Calculation Sheet'!$E$4:$E$40,$AL$38)="","",INDEX('Final Calculation Sheet'!$E$4:$E$40,$AL$38)))</f>
        <v/>
      </c>
      <c r="H38" s="131">
        <f>IF($AL$38="","",IF(INDEX('Final Calculation Sheet'!$C$4:$C$40,$AL$38)="","",INDEX('Final Calculation Sheet'!$C$4:$C$40,$AL$38)))</f>
        <v/>
      </c>
      <c r="I38" s="131">
        <f>IF($AL$38="","",IF(INDEX('Final Calculation Sheet'!$H$4:$H$40,$AL$38)="","",INDEX('Final Calculation Sheet'!$H$4:$H$40,$AL$38)))</f>
        <v/>
      </c>
      <c r="J38" s="131">
        <f>IF($AL$38="","",IF(INDEX('Final Calculation Sheet'!$I$4:$I$40,$AL$38)="","",INDEX('Final Calculation Sheet'!$I$4:$I$40,$AL$38)))</f>
        <v/>
      </c>
      <c r="K38" s="131">
        <f>IF($AL$38="","",IF(INDEX('Final Calculation Sheet'!$J$4:$J$40,$AL$38)="","",INDEX('Final Calculation Sheet'!$J$4:$J$40,$AL$38)))</f>
        <v/>
      </c>
      <c r="L38" s="131">
        <f>IF($AL$38="","",IF(INDEX('Final Calculation Sheet'!$K$4:$K$40,$AL$38)="","",INDEX('Final Calculation Sheet'!$K$4:$K$40,$AL$38)))</f>
        <v/>
      </c>
      <c r="M38" s="131">
        <f>IF($AL$38="","",IF(INDEX('Final Calculation Sheet'!$L$4:$L$40,$AL$38)="","",INDEX('Final Calculation Sheet'!$L$4:$L$40,$AL$38)))</f>
        <v/>
      </c>
      <c r="N38" s="131">
        <f>IF($AL$38="","",IF(INDEX('Final Calculation Sheet'!$M$4:$M$40,$AL$38)="","",INDEX('Final Calculation Sheet'!$M$4:$M$40,$AL$38)))</f>
        <v/>
      </c>
      <c r="O38" s="132">
        <f>IF($AL$38="","",IF(INDEX('Final Calculation Sheet'!$N$4:$N$40,$AL$38)="","",INDEX('Final Calculation Sheet'!$N$4:$N$40,$AL$38)))</f>
        <v/>
      </c>
      <c r="P38" s="131">
        <f>IF($AL$38="","",IF(INDEX('Final Calculation Sheet'!$O$4:$O$40,$AL$38)="","",INDEX('Final Calculation Sheet'!$O$4:$O$40,$AL$38)))</f>
        <v/>
      </c>
      <c r="Q38" s="131">
        <f>IF($AL$38="","",IF(INDEX('Final Calculation Sheet'!$P$4:$P$40,$AL$38)="","",INDEX('Final Calculation Sheet'!$P$4:$P$40,$AL$38)))</f>
        <v/>
      </c>
      <c r="R38" s="133">
        <f>IF($AL$38="","",IF(INDEX('Final Calculation Sheet'!$Q$4:$Q$40,$AL$38)="","",INDEX('Final Calculation Sheet'!$Q$4:$Q$40,$AL$38)))</f>
        <v/>
      </c>
      <c r="S38" s="131">
        <f>IF($AL$38="","",IF(INDEX('Final Calculation Sheet'!$R$4:$R$40,$AL$38)="","",INDEX('Final Calculation Sheet'!$R$4:$R$40,$AL$38)))</f>
        <v/>
      </c>
      <c r="T38" s="131">
        <f>IF($AL$38="","",IF(INDEX('Final Calculation Sheet'!$S$4:$S$40,$AL$38)="","",INDEX('Final Calculation Sheet'!$S$4:$S$40,$AL$38)))</f>
        <v/>
      </c>
      <c r="U38" s="131">
        <f>IF($AL$38="","",IF(INDEX('Final Calculation Sheet'!$T$4:$T$40,$AL$38)="","",INDEX('Final Calculation Sheet'!$T$4:$T$40,$AL$38)))</f>
        <v/>
      </c>
      <c r="V38" s="134">
        <f>IF($AL$38="","",IF(INDEX('Final Calculation Sheet'!$U$4:$U$40,$AL$38)="","",INDEX('Final Calculation Sheet'!$U$4:$U$40,$AL$38)))</f>
        <v/>
      </c>
      <c r="W38" s="131">
        <f>IF($AL$38="","",IF(INDEX('Final Calculation Sheet'!$V$4:$V$40,$AL$38)="","",INDEX('Final Calculation Sheet'!$V$4:$V$40,$AL$38)))</f>
        <v/>
      </c>
      <c r="X38" s="131">
        <f>IF($AL$38="","",IF(INDEX('Final Calculation Sheet'!$W$4:$W$40,$AL$38)="","",INDEX('Final Calculation Sheet'!$W$4:$W$40,$AL$38)))</f>
        <v/>
      </c>
      <c r="Y38" s="131">
        <f>IF($AL$38="","",IF(INDEX('Final Calculation Sheet'!$X$4:$X$40,$AL$38)="","",INDEX('Final Calculation Sheet'!$X$4:$X$40,$AL$38)))</f>
        <v/>
      </c>
      <c r="Z38" s="131">
        <f>IF($AL$38="","",IF(INDEX('Final Calculation Sheet'!$Y$4:$Y$40,$AL$38)="","",INDEX('Final Calculation Sheet'!$Y$4:$Y$40,$AL$38)))</f>
        <v/>
      </c>
      <c r="AA38" s="131">
        <f>IF($AL$38="","",IF(INDEX('Final Calculation Sheet'!$Z$4:$Z$40,$AL$38)="","",INDEX('Final Calculation Sheet'!$Z$4:$Z$40,$AL$38)))</f>
        <v/>
      </c>
      <c r="AB38" s="131">
        <f>IF($AL$38="","",IF(INDEX('Final Calculation Sheet'!$AA$4:$AA$40,$AL$38)="","",INDEX('Final Calculation Sheet'!$AA$4:$AA$40,$AL$38)))</f>
        <v/>
      </c>
      <c r="AC38" s="131">
        <f>IF($AL$38="","",IF(INDEX('Final Calculation Sheet'!$AB$4:$AB$40,$AL$38)="","",INDEX('Final Calculation Sheet'!$AB$4:$AB$40,$AL$38)))</f>
        <v/>
      </c>
      <c r="AD38" s="131">
        <f>IF($AL$38="","",IF(INDEX('Final Calculation Sheet'!$AC$4:$AC$40,$AL$38)="","",INDEX('Final Calculation Sheet'!$AC$4:$AC$40,$AL$38)))</f>
        <v/>
      </c>
      <c r="AE38" s="131">
        <f>IF($AL$38="","",IF(INDEX('Final Calculation Sheet'!$AD$4:$AD$40,$AL$38)="","",INDEX('Final Calculation Sheet'!$AD$4:$AD$40,$AL$38)))</f>
        <v/>
      </c>
      <c r="AF38" s="136">
        <f>IF($AL$38="","",IF(INDEX('Final Calculation Sheet'!$AD$4:$AD$40,$AL$38)&lt;=5,"SETTLED","OUTSTANDING"))</f>
        <v/>
      </c>
      <c r="AG38" s="131">
        <f>IF($AL$38="","",IF(INDEX('Final Calculation Sheet'!$AF$4:$AF$40,$AL$38)="","",INDEX('Final Calculation Sheet'!$AF$4:$AF$40,$AL$38)))</f>
        <v/>
      </c>
      <c r="AH38" s="135">
        <f>IF($AL$38="","",IF(INDEX('Final Calculation Sheet'!$AG$4:$AG$40,$AL$38)="","",INDEX('Final Calculation Sheet'!$AG$4:$AG$40,$AL$38)))</f>
        <v/>
      </c>
      <c r="AI38" s="131">
        <f>IF($AL$38="","",IF(INDEX('Final Calculation Sheet'!$AH$4:$AH$40,$AL$38)="","",INDEX('Final Calculation Sheet'!$AH$4:$AH$40,$AL$38)))</f>
        <v/>
      </c>
      <c r="AJ38">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38">
        <f>IF(AJ38=1,COUNTIF(AJ$6:AJ38,1),"")</f>
        <v/>
      </c>
      <c r="AL38">
        <f>IF(COUNTIF($B$4:$AI$4,"&lt;&gt;")=0,"",IFERROR(MATCH(32,$AK$6:$AK$42,0),""))</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c r="DG38">
        <f>IF($B$4="",1,IF($B$4="(blank)",--('Final Calculation Sheet'!$F$36=""),IF($B$4="(nonblank)",--('Final Calculation Sheet'!$F$36&lt;&gt;""),--ISNUMBER(SEARCH($B$4,'Final Calculation Sheet'!$F$36)))))</f>
        <v/>
      </c>
      <c r="DH38">
        <f>IF($C$4="",1,IF($C$4="(blank)",--('Final Calculation Sheet'!$G$36=""),IF($C$4="(nonblank)",--('Final Calculation Sheet'!$G$36&lt;&gt;""),--ISNUMBER(SEARCH($C$4,'Final Calculation Sheet'!$G$36)))))</f>
        <v/>
      </c>
      <c r="DI38">
        <f>IF($D$4="",1,IF($D$4="(blank)",--('Final Calculation Sheet'!$B$36=""),IF($D$4="(nonblank)",--('Final Calculation Sheet'!$B$36&lt;&gt;""),--ISNUMBER(SEARCH($D$4,'Final Calculation Sheet'!$B$36)))))</f>
        <v/>
      </c>
      <c r="DJ38">
        <f>IF($E$4="",1,IF($E$4="(blank)",--('Final Calculation Sheet'!$D$36=""),IF($E$4="(nonblank)",--('Final Calculation Sheet'!$D$36&lt;&gt;""),--ISNUMBER(SEARCH($E$4,'Final Calculation Sheet'!$D$36)))))</f>
        <v/>
      </c>
      <c r="DK38">
        <f>IF($F$4="",1,IF($F$4="(blank)",--('Final Calculation Sheet'!$A$36=""),IF($F$4="(nonblank)",--('Final Calculation Sheet'!$A$36&lt;&gt;""),--ISNUMBER(SEARCH($F$4,'Final Calculation Sheet'!$A$36)))))</f>
        <v/>
      </c>
      <c r="DL38">
        <f>IF($G$4="",1,IF($G$4="(blank)",--('Final Calculation Sheet'!$E$36=""),IF($G$4="(nonblank)",--('Final Calculation Sheet'!$E$36&lt;&gt;""),--ISNUMBER(SEARCH($G$4,'Final Calculation Sheet'!$E$36)))))</f>
        <v/>
      </c>
      <c r="DM38">
        <f>IF($H$4="",1,IF($H$4="(blank)",--('Final Calculation Sheet'!$C$36=""),IF($H$4="(nonblank)",--('Final Calculation Sheet'!$C$36&lt;&gt;""),--ISNUMBER(SEARCH($H$4,'Final Calculation Sheet'!$C$36)))))</f>
        <v/>
      </c>
      <c r="DN38">
        <f>IF($I$4="",1,IF($I$4="(blank)",--('Final Calculation Sheet'!$H$36=""),IF($I$4="(nonblank)",--('Final Calculation Sheet'!$H$36&lt;&gt;""),--ISNUMBER(SEARCH($I$4,'Final Calculation Sheet'!$H$36)))))</f>
        <v/>
      </c>
      <c r="DO38">
        <f>IF($J$4="",1,IF($J$4="(blank)",--('Final Calculation Sheet'!$I$36=""),IF($J$4="(nonblank)",--('Final Calculation Sheet'!$I$36&lt;&gt;""),--ISNUMBER(SEARCH($J$4,'Final Calculation Sheet'!$I$36)))))</f>
        <v/>
      </c>
      <c r="DP38">
        <f>IF($K$4="",1,IF($K$4="(blank)",--('Final Calculation Sheet'!$J$36=""),IF($K$4="(nonblank)",--('Final Calculation Sheet'!$J$36&lt;&gt;""),--ISNUMBER(SEARCH($K$4,'Final Calculation Sheet'!$J$36)))))</f>
        <v/>
      </c>
      <c r="DQ38">
        <f>IF($L$4="",1,IF($L$4="(blank)",--('Final Calculation Sheet'!$K$36=""),IF($L$4="(nonblank)",--('Final Calculation Sheet'!$K$36&lt;&gt;""),--ISNUMBER(SEARCH($L$4,'Final Calculation Sheet'!$K$36)))))</f>
        <v/>
      </c>
      <c r="DR38">
        <f>IF($M$4="",1,IF($M$4="(blank)",--('Final Calculation Sheet'!$L$36=""),IF($M$4="(nonblank)",--('Final Calculation Sheet'!$L$36&lt;&gt;""),--ISNUMBER(SEARCH($M$4,'Final Calculation Sheet'!$L$36)))))</f>
        <v/>
      </c>
      <c r="DS38">
        <f>IF($N$4="",1,IF($N$4="(blank)",--('Final Calculation Sheet'!$M$36=""),IF($N$4="(nonblank)",--('Final Calculation Sheet'!$M$36&lt;&gt;""),--ISNUMBER(SEARCH($N$4,'Final Calculation Sheet'!$M$36)))))</f>
        <v/>
      </c>
      <c r="DT38">
        <f>IF($O$4="",1,IF($O$4="(blank)",--('Final Calculation Sheet'!$N$36=""),IF($O$4="(nonblank)",--('Final Calculation Sheet'!$N$36&lt;&gt;""),--ISNUMBER(SEARCH($O$4,'Final Calculation Sheet'!$N$36)))))</f>
        <v/>
      </c>
      <c r="DU38">
        <f>IF($P$4="",1,IF($P$4="(blank)",--('Final Calculation Sheet'!$O$36=""),IF($P$4="(nonblank)",--('Final Calculation Sheet'!$O$36&lt;&gt;""),--ISNUMBER(SEARCH($P$4,'Final Calculation Sheet'!$O$36)))))</f>
        <v/>
      </c>
      <c r="DV38">
        <f>IF($Q$4="",1,IF($Q$4="(blank)",--('Final Calculation Sheet'!$P$36=""),IF($Q$4="(nonblank)",--('Final Calculation Sheet'!$P$36&lt;&gt;""),--ISNUMBER(SEARCH($Q$4,'Final Calculation Sheet'!$P$36)))))</f>
        <v/>
      </c>
      <c r="DW38">
        <f>IF($R$4="",1,IF($R$4="(blank)",--('Final Calculation Sheet'!$Q$36=""),IF($R$4="(nonblank)",--('Final Calculation Sheet'!$Q$36&lt;&gt;""),--ISNUMBER(SEARCH($R$4,'Final Calculation Sheet'!$Q$36)))))</f>
        <v/>
      </c>
      <c r="DX38">
        <f>IF($S$4="",1,IF($S$4="(blank)",--('Final Calculation Sheet'!$R$36=""),IF($S$4="(nonblank)",--('Final Calculation Sheet'!$R$36&lt;&gt;""),--ISNUMBER(SEARCH($S$4,'Final Calculation Sheet'!$R$36)))))</f>
        <v/>
      </c>
      <c r="DY38">
        <f>IF($T$4="",1,IF($T$4="(blank)",--('Final Calculation Sheet'!$S$36=""),IF($T$4="(nonblank)",--('Final Calculation Sheet'!$S$36&lt;&gt;""),--ISNUMBER(SEARCH($T$4,'Final Calculation Sheet'!$S$36)))))</f>
        <v/>
      </c>
      <c r="DZ38">
        <f>IF($U$4="",1,IF($U$4="(blank)",--('Final Calculation Sheet'!$T$36=""),IF($U$4="(nonblank)",--('Final Calculation Sheet'!$T$36&lt;&gt;""),--ISNUMBER(SEARCH($U$4,'Final Calculation Sheet'!$T$36)))))</f>
        <v/>
      </c>
      <c r="EA38">
        <f>IF($V$4="",1,IF($V$4="(blank)",--('Final Calculation Sheet'!$U$36=""),IF($V$4="(nonblank)",--('Final Calculation Sheet'!$U$36&lt;&gt;""),--ISNUMBER(SEARCH($V$4,'Final Calculation Sheet'!$U$36)))))</f>
        <v/>
      </c>
      <c r="EB38">
        <f>IF($W$4="",1,IF($W$4="(blank)",--('Final Calculation Sheet'!$V$36=""),IF($W$4="(nonblank)",--('Final Calculation Sheet'!$V$36&lt;&gt;""),--ISNUMBER(SEARCH($W$4,'Final Calculation Sheet'!$V$36)))))</f>
        <v/>
      </c>
      <c r="EC38">
        <f>IF($X$4="",1,IF($X$4="(blank)",--('Final Calculation Sheet'!$W$36=""),IF($X$4="(nonblank)",--('Final Calculation Sheet'!$W$36&lt;&gt;""),--ISNUMBER(SEARCH($X$4,'Final Calculation Sheet'!$W$36)))))</f>
        <v/>
      </c>
      <c r="ED38">
        <f>IF($Y$4="",1,IF($Y$4="(blank)",--('Final Calculation Sheet'!$X$36=""),IF($Y$4="(nonblank)",--('Final Calculation Sheet'!$X$36&lt;&gt;""),--ISNUMBER(SEARCH($Y$4,'Final Calculation Sheet'!$X$36)))))</f>
        <v/>
      </c>
      <c r="EE38">
        <f>IF($Z$4="",1,IF($Z$4="(blank)",--('Final Calculation Sheet'!$Y$36=""),IF($Z$4="(nonblank)",--('Final Calculation Sheet'!$Y$36&lt;&gt;""),--ISNUMBER(SEARCH($Z$4,'Final Calculation Sheet'!$Y$36)))))</f>
        <v/>
      </c>
      <c r="EF38">
        <f>IF($AA$4="",1,IF($AA$4="(blank)",--('Final Calculation Sheet'!$Z$36=""),IF($AA$4="(nonblank)",--('Final Calculation Sheet'!$Z$36&lt;&gt;""),--ISNUMBER(SEARCH($AA$4,'Final Calculation Sheet'!$Z$36)))))</f>
        <v/>
      </c>
      <c r="EG38">
        <f>IF($AB$4="",1,IF($AB$4="(blank)",--('Final Calculation Sheet'!$AA$36=""),IF($AB$4="(nonblank)",--('Final Calculation Sheet'!$AA$36&lt;&gt;""),--ISNUMBER(SEARCH($AB$4,'Final Calculation Sheet'!$AA$36)))))</f>
        <v/>
      </c>
      <c r="EH38">
        <f>IF($AC$4="",1,IF($AC$4="(blank)",--('Final Calculation Sheet'!$AB$36=""),IF($AC$4="(nonblank)",--('Final Calculation Sheet'!$AB$36&lt;&gt;""),--ISNUMBER(SEARCH($AC$4,'Final Calculation Sheet'!$AB$36)))))</f>
        <v/>
      </c>
      <c r="EI38">
        <f>IF($AD$4="",1,IF($AD$4="(blank)",--('Final Calculation Sheet'!$AC$36=""),IF($AD$4="(nonblank)",--('Final Calculation Sheet'!$AC$36&lt;&gt;""),--ISNUMBER(SEARCH($AD$4,'Final Calculation Sheet'!$AC$36)))))</f>
        <v/>
      </c>
      <c r="EJ38">
        <f>IF($AE$4="",1,IF($AE$4="(blank)",--('Final Calculation Sheet'!$AD$36=""),IF($AE$4="(nonblank)",--('Final Calculation Sheet'!$AD$36&lt;&gt;""),--ISNUMBER(SEARCH($AE$4,'Final Calculation Sheet'!$AD$36)))))</f>
        <v/>
      </c>
      <c r="EK38">
        <f>IF($AF$4="",1,IF($AF$4="(blank)",--(IF('Final Calculation Sheet'!$AD$36&lt;=5,"SETTLED","OUTSTANDING")=""),IF($AF$4="(nonblank)",--(IF('Final Calculation Sheet'!$AD$36&lt;=5,"SETTLED","OUTSTANDING")&lt;&gt;""),--ISNUMBER(SEARCH($AF$4,IF('Final Calculation Sheet'!$AD$36&lt;=5,"SETTLED","OUTSTANDING"))))))</f>
        <v/>
      </c>
      <c r="EL38">
        <f>IF($AG$4="",1,IF($AG$4="(blank)",--('Final Calculation Sheet'!$AF$36=""),IF($AG$4="(nonblank)",--('Final Calculation Sheet'!$AF$36&lt;&gt;""),--ISNUMBER(SEARCH($AG$4,'Final Calculation Sheet'!$AF$36)))))</f>
        <v/>
      </c>
      <c r="EM38">
        <f>IF($AH$4="",1,IF($AH$4="(blank)",--('Final Calculation Sheet'!$AG$36=""),IF($AH$4="(nonblank)",--('Final Calculation Sheet'!$AG$36&lt;&gt;""),--ISNUMBER(SEARCH($AH$4,'Final Calculation Sheet'!$AG$36)))))</f>
        <v/>
      </c>
      <c r="EN38">
        <f>IF($AI$4="",1,IF($AI$4="(blank)",--('Final Calculation Sheet'!$AH$36=""),IF($AI$4="(nonblank)",--('Final Calculation Sheet'!$AH$36&lt;&gt;""),--ISNUMBER(SEARCH($AI$4,'Final Calculation Sheet'!$AH$36)))))</f>
        <v/>
      </c>
    </row>
    <row r="39" outlineLevel="1" hidden="1">
      <c r="A39" s="118">
        <f>IF($AL$39="","",33)</f>
        <v/>
      </c>
      <c r="B39" s="119">
        <f>IF($AL$39="","",IF(INDEX('Final Calculation Sheet'!$F$4:$F$40,$AL$39)="","",INDEX('Final Calculation Sheet'!$F$4:$F$40,$AL$39)))</f>
        <v/>
      </c>
      <c r="C39" s="119">
        <f>IF($AL$39="","",IF(INDEX('Final Calculation Sheet'!$G$4:$G$40,$AL$39)="","",INDEX('Final Calculation Sheet'!$G$4:$G$40,$AL$39)))</f>
        <v/>
      </c>
      <c r="D39" s="121">
        <f>IF($AL$39="","",IF(INDEX('Final Calculation Sheet'!$B$4:$B$40,$AL$39)="","",INDEX('Final Calculation Sheet'!$B$4:$B$40,$AL$39)))</f>
        <v/>
      </c>
      <c r="E39" s="121">
        <f>IF($AL$39="","",IF(INDEX('Final Calculation Sheet'!$D$4:$D$40,$AL$39)="","",INDEX('Final Calculation Sheet'!$D$4:$D$40,$AL$39)))</f>
        <v/>
      </c>
      <c r="F39" s="121">
        <f>IF($AL$39="","",IF(INDEX('Final Calculation Sheet'!$A$4:$A$40,$AL$39)="","",INDEX('Final Calculation Sheet'!$A$4:$A$40,$AL$39)))</f>
        <v/>
      </c>
      <c r="G39" s="121">
        <f>IF($AL$39="","",IF(INDEX('Final Calculation Sheet'!$E$4:$E$40,$AL$39)="","",INDEX('Final Calculation Sheet'!$E$4:$E$40,$AL$39)))</f>
        <v/>
      </c>
      <c r="H39" s="122">
        <f>IF($AL$39="","",IF(INDEX('Final Calculation Sheet'!$C$4:$C$40,$AL$39)="","",INDEX('Final Calculation Sheet'!$C$4:$C$40,$AL$39)))</f>
        <v/>
      </c>
      <c r="I39" s="122">
        <f>IF($AL$39="","",IF(INDEX('Final Calculation Sheet'!$H$4:$H$40,$AL$39)="","",INDEX('Final Calculation Sheet'!$H$4:$H$40,$AL$39)))</f>
        <v/>
      </c>
      <c r="J39" s="122">
        <f>IF($AL$39="","",IF(INDEX('Final Calculation Sheet'!$I$4:$I$40,$AL$39)="","",INDEX('Final Calculation Sheet'!$I$4:$I$40,$AL$39)))</f>
        <v/>
      </c>
      <c r="K39" s="122">
        <f>IF($AL$39="","",IF(INDEX('Final Calculation Sheet'!$J$4:$J$40,$AL$39)="","",INDEX('Final Calculation Sheet'!$J$4:$J$40,$AL$39)))</f>
        <v/>
      </c>
      <c r="L39" s="122">
        <f>IF($AL$39="","",IF(INDEX('Final Calculation Sheet'!$K$4:$K$40,$AL$39)="","",INDEX('Final Calculation Sheet'!$K$4:$K$40,$AL$39)))</f>
        <v/>
      </c>
      <c r="M39" s="122">
        <f>IF($AL$39="","",IF(INDEX('Final Calculation Sheet'!$L$4:$L$40,$AL$39)="","",INDEX('Final Calculation Sheet'!$L$4:$L$40,$AL$39)))</f>
        <v/>
      </c>
      <c r="N39" s="122">
        <f>IF($AL$39="","",IF(INDEX('Final Calculation Sheet'!$M$4:$M$40,$AL$39)="","",INDEX('Final Calculation Sheet'!$M$4:$M$40,$AL$39)))</f>
        <v/>
      </c>
      <c r="O39" s="123">
        <f>IF($AL$39="","",IF(INDEX('Final Calculation Sheet'!$N$4:$N$40,$AL$39)="","",INDEX('Final Calculation Sheet'!$N$4:$N$40,$AL$39)))</f>
        <v/>
      </c>
      <c r="P39" s="122">
        <f>IF($AL$39="","",IF(INDEX('Final Calculation Sheet'!$O$4:$O$40,$AL$39)="","",INDEX('Final Calculation Sheet'!$O$4:$O$40,$AL$39)))</f>
        <v/>
      </c>
      <c r="Q39" s="122">
        <f>IF($AL$39="","",IF(INDEX('Final Calculation Sheet'!$P$4:$P$40,$AL$39)="","",INDEX('Final Calculation Sheet'!$P$4:$P$40,$AL$39)))</f>
        <v/>
      </c>
      <c r="R39" s="124">
        <f>IF($AL$39="","",IF(INDEX('Final Calculation Sheet'!$Q$4:$Q$40,$AL$39)="","",INDEX('Final Calculation Sheet'!$Q$4:$Q$40,$AL$39)))</f>
        <v/>
      </c>
      <c r="S39" s="122">
        <f>IF($AL$39="","",IF(INDEX('Final Calculation Sheet'!$R$4:$R$40,$AL$39)="","",INDEX('Final Calculation Sheet'!$R$4:$R$40,$AL$39)))</f>
        <v/>
      </c>
      <c r="T39" s="122">
        <f>IF($AL$39="","",IF(INDEX('Final Calculation Sheet'!$S$4:$S$40,$AL$39)="","",INDEX('Final Calculation Sheet'!$S$4:$S$40,$AL$39)))</f>
        <v/>
      </c>
      <c r="U39" s="122">
        <f>IF($AL$39="","",IF(INDEX('Final Calculation Sheet'!$T$4:$T$40,$AL$39)="","",INDEX('Final Calculation Sheet'!$T$4:$T$40,$AL$39)))</f>
        <v/>
      </c>
      <c r="V39" s="125">
        <f>IF($AL$39="","",IF(INDEX('Final Calculation Sheet'!$U$4:$U$40,$AL$39)="","",INDEX('Final Calculation Sheet'!$U$4:$U$40,$AL$39)))</f>
        <v/>
      </c>
      <c r="W39" s="122">
        <f>IF($AL$39="","",IF(INDEX('Final Calculation Sheet'!$V$4:$V$40,$AL$39)="","",INDEX('Final Calculation Sheet'!$V$4:$V$40,$AL$39)))</f>
        <v/>
      </c>
      <c r="X39" s="122">
        <f>IF($AL$39="","",IF(INDEX('Final Calculation Sheet'!$W$4:$W$40,$AL$39)="","",INDEX('Final Calculation Sheet'!$W$4:$W$40,$AL$39)))</f>
        <v/>
      </c>
      <c r="Y39" s="122">
        <f>IF($AL$39="","",IF(INDEX('Final Calculation Sheet'!$X$4:$X$40,$AL$39)="","",INDEX('Final Calculation Sheet'!$X$4:$X$40,$AL$39)))</f>
        <v/>
      </c>
      <c r="Z39" s="122">
        <f>IF($AL$39="","",IF(INDEX('Final Calculation Sheet'!$Y$4:$Y$40,$AL$39)="","",INDEX('Final Calculation Sheet'!$Y$4:$Y$40,$AL$39)))</f>
        <v/>
      </c>
      <c r="AA39" s="122">
        <f>IF($AL$39="","",IF(INDEX('Final Calculation Sheet'!$Z$4:$Z$40,$AL$39)="","",INDEX('Final Calculation Sheet'!$Z$4:$Z$40,$AL$39)))</f>
        <v/>
      </c>
      <c r="AB39" s="122">
        <f>IF($AL$39="","",IF(INDEX('Final Calculation Sheet'!$AA$4:$AA$40,$AL$39)="","",INDEX('Final Calculation Sheet'!$AA$4:$AA$40,$AL$39)))</f>
        <v/>
      </c>
      <c r="AC39" s="122">
        <f>IF($AL$39="","",IF(INDEX('Final Calculation Sheet'!$AB$4:$AB$40,$AL$39)="","",INDEX('Final Calculation Sheet'!$AB$4:$AB$40,$AL$39)))</f>
        <v/>
      </c>
      <c r="AD39" s="122">
        <f>IF($AL$39="","",IF(INDEX('Final Calculation Sheet'!$AC$4:$AC$40,$AL$39)="","",INDEX('Final Calculation Sheet'!$AC$4:$AC$40,$AL$39)))</f>
        <v/>
      </c>
      <c r="AE39" s="122">
        <f>IF($AL$39="","",IF(INDEX('Final Calculation Sheet'!$AD$4:$AD$40,$AL$39)="","",INDEX('Final Calculation Sheet'!$AD$4:$AD$40,$AL$39)))</f>
        <v/>
      </c>
      <c r="AF39" s="127">
        <f>IF($AL$39="","",IF(INDEX('Final Calculation Sheet'!$AD$4:$AD$40,$AL$39)&lt;=5,"SETTLED","OUTSTANDING"))</f>
        <v/>
      </c>
      <c r="AG39" s="122">
        <f>IF($AL$39="","",IF(INDEX('Final Calculation Sheet'!$AF$4:$AF$40,$AL$39)="","",INDEX('Final Calculation Sheet'!$AF$4:$AF$40,$AL$39)))</f>
        <v/>
      </c>
      <c r="AH39" s="126">
        <f>IF($AL$39="","",IF(INDEX('Final Calculation Sheet'!$AG$4:$AG$40,$AL$39)="","",INDEX('Final Calculation Sheet'!$AG$4:$AG$40,$AL$39)))</f>
        <v/>
      </c>
      <c r="AI39" s="122">
        <f>IF($AL$39="","",IF(INDEX('Final Calculation Sheet'!$AH$4:$AH$40,$AL$39)="","",INDEX('Final Calculation Sheet'!$AH$4:$AH$40,$AL$39)))</f>
        <v/>
      </c>
      <c r="AJ39">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9">
        <f>IF(AJ39=1,COUNTIF(AJ$6:AJ39,1),"")</f>
        <v/>
      </c>
      <c r="AL39">
        <f>IF(COUNTIF($B$4:$AI$4,"&lt;&gt;")=0,"",IFERROR(MATCH(33,$AK$6:$AK$42,0),""))</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c r="DG39">
        <f>IF($B$4="",1,IF($B$4="(blank)",--('Final Calculation Sheet'!$F$37=""),IF($B$4="(nonblank)",--('Final Calculation Sheet'!$F$37&lt;&gt;""),--ISNUMBER(SEARCH($B$4,'Final Calculation Sheet'!$F$37)))))</f>
        <v/>
      </c>
      <c r="DH39">
        <f>IF($C$4="",1,IF($C$4="(blank)",--('Final Calculation Sheet'!$G$37=""),IF($C$4="(nonblank)",--('Final Calculation Sheet'!$G$37&lt;&gt;""),--ISNUMBER(SEARCH($C$4,'Final Calculation Sheet'!$G$37)))))</f>
        <v/>
      </c>
      <c r="DI39">
        <f>IF($D$4="",1,IF($D$4="(blank)",--('Final Calculation Sheet'!$B$37=""),IF($D$4="(nonblank)",--('Final Calculation Sheet'!$B$37&lt;&gt;""),--ISNUMBER(SEARCH($D$4,'Final Calculation Sheet'!$B$37)))))</f>
        <v/>
      </c>
      <c r="DJ39">
        <f>IF($E$4="",1,IF($E$4="(blank)",--('Final Calculation Sheet'!$D$37=""),IF($E$4="(nonblank)",--('Final Calculation Sheet'!$D$37&lt;&gt;""),--ISNUMBER(SEARCH($E$4,'Final Calculation Sheet'!$D$37)))))</f>
        <v/>
      </c>
      <c r="DK39">
        <f>IF($F$4="",1,IF($F$4="(blank)",--('Final Calculation Sheet'!$A$37=""),IF($F$4="(nonblank)",--('Final Calculation Sheet'!$A$37&lt;&gt;""),--ISNUMBER(SEARCH($F$4,'Final Calculation Sheet'!$A$37)))))</f>
        <v/>
      </c>
      <c r="DL39">
        <f>IF($G$4="",1,IF($G$4="(blank)",--('Final Calculation Sheet'!$E$37=""),IF($G$4="(nonblank)",--('Final Calculation Sheet'!$E$37&lt;&gt;""),--ISNUMBER(SEARCH($G$4,'Final Calculation Sheet'!$E$37)))))</f>
        <v/>
      </c>
      <c r="DM39">
        <f>IF($H$4="",1,IF($H$4="(blank)",--('Final Calculation Sheet'!$C$37=""),IF($H$4="(nonblank)",--('Final Calculation Sheet'!$C$37&lt;&gt;""),--ISNUMBER(SEARCH($H$4,'Final Calculation Sheet'!$C$37)))))</f>
        <v/>
      </c>
      <c r="DN39">
        <f>IF($I$4="",1,IF($I$4="(blank)",--('Final Calculation Sheet'!$H$37=""),IF($I$4="(nonblank)",--('Final Calculation Sheet'!$H$37&lt;&gt;""),--ISNUMBER(SEARCH($I$4,'Final Calculation Sheet'!$H$37)))))</f>
        <v/>
      </c>
      <c r="DO39">
        <f>IF($J$4="",1,IF($J$4="(blank)",--('Final Calculation Sheet'!$I$37=""),IF($J$4="(nonblank)",--('Final Calculation Sheet'!$I$37&lt;&gt;""),--ISNUMBER(SEARCH($J$4,'Final Calculation Sheet'!$I$37)))))</f>
        <v/>
      </c>
      <c r="DP39">
        <f>IF($K$4="",1,IF($K$4="(blank)",--('Final Calculation Sheet'!$J$37=""),IF($K$4="(nonblank)",--('Final Calculation Sheet'!$J$37&lt;&gt;""),--ISNUMBER(SEARCH($K$4,'Final Calculation Sheet'!$J$37)))))</f>
        <v/>
      </c>
      <c r="DQ39">
        <f>IF($L$4="",1,IF($L$4="(blank)",--('Final Calculation Sheet'!$K$37=""),IF($L$4="(nonblank)",--('Final Calculation Sheet'!$K$37&lt;&gt;""),--ISNUMBER(SEARCH($L$4,'Final Calculation Sheet'!$K$37)))))</f>
        <v/>
      </c>
      <c r="DR39">
        <f>IF($M$4="",1,IF($M$4="(blank)",--('Final Calculation Sheet'!$L$37=""),IF($M$4="(nonblank)",--('Final Calculation Sheet'!$L$37&lt;&gt;""),--ISNUMBER(SEARCH($M$4,'Final Calculation Sheet'!$L$37)))))</f>
        <v/>
      </c>
      <c r="DS39">
        <f>IF($N$4="",1,IF($N$4="(blank)",--('Final Calculation Sheet'!$M$37=""),IF($N$4="(nonblank)",--('Final Calculation Sheet'!$M$37&lt;&gt;""),--ISNUMBER(SEARCH($N$4,'Final Calculation Sheet'!$M$37)))))</f>
        <v/>
      </c>
      <c r="DT39">
        <f>IF($O$4="",1,IF($O$4="(blank)",--('Final Calculation Sheet'!$N$37=""),IF($O$4="(nonblank)",--('Final Calculation Sheet'!$N$37&lt;&gt;""),--ISNUMBER(SEARCH($O$4,'Final Calculation Sheet'!$N$37)))))</f>
        <v/>
      </c>
      <c r="DU39">
        <f>IF($P$4="",1,IF($P$4="(blank)",--('Final Calculation Sheet'!$O$37=""),IF($P$4="(nonblank)",--('Final Calculation Sheet'!$O$37&lt;&gt;""),--ISNUMBER(SEARCH($P$4,'Final Calculation Sheet'!$O$37)))))</f>
        <v/>
      </c>
      <c r="DV39">
        <f>IF($Q$4="",1,IF($Q$4="(blank)",--('Final Calculation Sheet'!$P$37=""),IF($Q$4="(nonblank)",--('Final Calculation Sheet'!$P$37&lt;&gt;""),--ISNUMBER(SEARCH($Q$4,'Final Calculation Sheet'!$P$37)))))</f>
        <v/>
      </c>
      <c r="DW39">
        <f>IF($R$4="",1,IF($R$4="(blank)",--('Final Calculation Sheet'!$Q$37=""),IF($R$4="(nonblank)",--('Final Calculation Sheet'!$Q$37&lt;&gt;""),--ISNUMBER(SEARCH($R$4,'Final Calculation Sheet'!$Q$37)))))</f>
        <v/>
      </c>
      <c r="DX39">
        <f>IF($S$4="",1,IF($S$4="(blank)",--('Final Calculation Sheet'!$R$37=""),IF($S$4="(nonblank)",--('Final Calculation Sheet'!$R$37&lt;&gt;""),--ISNUMBER(SEARCH($S$4,'Final Calculation Sheet'!$R$37)))))</f>
        <v/>
      </c>
      <c r="DY39">
        <f>IF($T$4="",1,IF($T$4="(blank)",--('Final Calculation Sheet'!$S$37=""),IF($T$4="(nonblank)",--('Final Calculation Sheet'!$S$37&lt;&gt;""),--ISNUMBER(SEARCH($T$4,'Final Calculation Sheet'!$S$37)))))</f>
        <v/>
      </c>
      <c r="DZ39">
        <f>IF($U$4="",1,IF($U$4="(blank)",--('Final Calculation Sheet'!$T$37=""),IF($U$4="(nonblank)",--('Final Calculation Sheet'!$T$37&lt;&gt;""),--ISNUMBER(SEARCH($U$4,'Final Calculation Sheet'!$T$37)))))</f>
        <v/>
      </c>
      <c r="EA39">
        <f>IF($V$4="",1,IF($V$4="(blank)",--('Final Calculation Sheet'!$U$37=""),IF($V$4="(nonblank)",--('Final Calculation Sheet'!$U$37&lt;&gt;""),--ISNUMBER(SEARCH($V$4,'Final Calculation Sheet'!$U$37)))))</f>
        <v/>
      </c>
      <c r="EB39">
        <f>IF($W$4="",1,IF($W$4="(blank)",--('Final Calculation Sheet'!$V$37=""),IF($W$4="(nonblank)",--('Final Calculation Sheet'!$V$37&lt;&gt;""),--ISNUMBER(SEARCH($W$4,'Final Calculation Sheet'!$V$37)))))</f>
        <v/>
      </c>
      <c r="EC39">
        <f>IF($X$4="",1,IF($X$4="(blank)",--('Final Calculation Sheet'!$W$37=""),IF($X$4="(nonblank)",--('Final Calculation Sheet'!$W$37&lt;&gt;""),--ISNUMBER(SEARCH($X$4,'Final Calculation Sheet'!$W$37)))))</f>
        <v/>
      </c>
      <c r="ED39">
        <f>IF($Y$4="",1,IF($Y$4="(blank)",--('Final Calculation Sheet'!$X$37=""),IF($Y$4="(nonblank)",--('Final Calculation Sheet'!$X$37&lt;&gt;""),--ISNUMBER(SEARCH($Y$4,'Final Calculation Sheet'!$X$37)))))</f>
        <v/>
      </c>
      <c r="EE39">
        <f>IF($Z$4="",1,IF($Z$4="(blank)",--('Final Calculation Sheet'!$Y$37=""),IF($Z$4="(nonblank)",--('Final Calculation Sheet'!$Y$37&lt;&gt;""),--ISNUMBER(SEARCH($Z$4,'Final Calculation Sheet'!$Y$37)))))</f>
        <v/>
      </c>
      <c r="EF39">
        <f>IF($AA$4="",1,IF($AA$4="(blank)",--('Final Calculation Sheet'!$Z$37=""),IF($AA$4="(nonblank)",--('Final Calculation Sheet'!$Z$37&lt;&gt;""),--ISNUMBER(SEARCH($AA$4,'Final Calculation Sheet'!$Z$37)))))</f>
        <v/>
      </c>
      <c r="EG39">
        <f>IF($AB$4="",1,IF($AB$4="(blank)",--('Final Calculation Sheet'!$AA$37=""),IF($AB$4="(nonblank)",--('Final Calculation Sheet'!$AA$37&lt;&gt;""),--ISNUMBER(SEARCH($AB$4,'Final Calculation Sheet'!$AA$37)))))</f>
        <v/>
      </c>
      <c r="EH39">
        <f>IF($AC$4="",1,IF($AC$4="(blank)",--('Final Calculation Sheet'!$AB$37=""),IF($AC$4="(nonblank)",--('Final Calculation Sheet'!$AB$37&lt;&gt;""),--ISNUMBER(SEARCH($AC$4,'Final Calculation Sheet'!$AB$37)))))</f>
        <v/>
      </c>
      <c r="EI39">
        <f>IF($AD$4="",1,IF($AD$4="(blank)",--('Final Calculation Sheet'!$AC$37=""),IF($AD$4="(nonblank)",--('Final Calculation Sheet'!$AC$37&lt;&gt;""),--ISNUMBER(SEARCH($AD$4,'Final Calculation Sheet'!$AC$37)))))</f>
        <v/>
      </c>
      <c r="EJ39">
        <f>IF($AE$4="",1,IF($AE$4="(blank)",--('Final Calculation Sheet'!$AD$37=""),IF($AE$4="(nonblank)",--('Final Calculation Sheet'!$AD$37&lt;&gt;""),--ISNUMBER(SEARCH($AE$4,'Final Calculation Sheet'!$AD$37)))))</f>
        <v/>
      </c>
      <c r="EK39">
        <f>IF($AF$4="",1,IF($AF$4="(blank)",--(IF('Final Calculation Sheet'!$AD$37&lt;=5,"SETTLED","OUTSTANDING")=""),IF($AF$4="(nonblank)",--(IF('Final Calculation Sheet'!$AD$37&lt;=5,"SETTLED","OUTSTANDING")&lt;&gt;""),--ISNUMBER(SEARCH($AF$4,IF('Final Calculation Sheet'!$AD$37&lt;=5,"SETTLED","OUTSTANDING"))))))</f>
        <v/>
      </c>
      <c r="EL39">
        <f>IF($AG$4="",1,IF($AG$4="(blank)",--('Final Calculation Sheet'!$AF$37=""),IF($AG$4="(nonblank)",--('Final Calculation Sheet'!$AF$37&lt;&gt;""),--ISNUMBER(SEARCH($AG$4,'Final Calculation Sheet'!$AF$37)))))</f>
        <v/>
      </c>
      <c r="EM39">
        <f>IF($AH$4="",1,IF($AH$4="(blank)",--('Final Calculation Sheet'!$AG$37=""),IF($AH$4="(nonblank)",--('Final Calculation Sheet'!$AG$37&lt;&gt;""),--ISNUMBER(SEARCH($AH$4,'Final Calculation Sheet'!$AG$37)))))</f>
        <v/>
      </c>
      <c r="EN39">
        <f>IF($AI$4="",1,IF($AI$4="(blank)",--('Final Calculation Sheet'!$AH$37=""),IF($AI$4="(nonblank)",--('Final Calculation Sheet'!$AH$37&lt;&gt;""),--ISNUMBER(SEARCH($AI$4,'Final Calculation Sheet'!$AH$37)))))</f>
        <v/>
      </c>
    </row>
    <row r="40" outlineLevel="1" hidden="1">
      <c r="A40" s="128">
        <f>IF($AL$40="","",34)</f>
        <v/>
      </c>
      <c r="B40" s="129">
        <f>IF($AL$40="","",IF(INDEX('Final Calculation Sheet'!$F$4:$F$40,$AL$40)="","",INDEX('Final Calculation Sheet'!$F$4:$F$40,$AL$40)))</f>
        <v/>
      </c>
      <c r="C40" s="129">
        <f>IF($AL$40="","",IF(INDEX('Final Calculation Sheet'!$G$4:$G$40,$AL$40)="","",INDEX('Final Calculation Sheet'!$G$4:$G$40,$AL$40)))</f>
        <v/>
      </c>
      <c r="D40" s="130">
        <f>IF($AL$40="","",IF(INDEX('Final Calculation Sheet'!$B$4:$B$40,$AL$40)="","",INDEX('Final Calculation Sheet'!$B$4:$B$40,$AL$40)))</f>
        <v/>
      </c>
      <c r="E40" s="130">
        <f>IF($AL$40="","",IF(INDEX('Final Calculation Sheet'!$D$4:$D$40,$AL$40)="","",INDEX('Final Calculation Sheet'!$D$4:$D$40,$AL$40)))</f>
        <v/>
      </c>
      <c r="F40" s="130">
        <f>IF($AL$40="","",IF(INDEX('Final Calculation Sheet'!$A$4:$A$40,$AL$40)="","",INDEX('Final Calculation Sheet'!$A$4:$A$40,$AL$40)))</f>
        <v/>
      </c>
      <c r="G40" s="130">
        <f>IF($AL$40="","",IF(INDEX('Final Calculation Sheet'!$E$4:$E$40,$AL$40)="","",INDEX('Final Calculation Sheet'!$E$4:$E$40,$AL$40)))</f>
        <v/>
      </c>
      <c r="H40" s="131">
        <f>IF($AL$40="","",IF(INDEX('Final Calculation Sheet'!$C$4:$C$40,$AL$40)="","",INDEX('Final Calculation Sheet'!$C$4:$C$40,$AL$40)))</f>
        <v/>
      </c>
      <c r="I40" s="131">
        <f>IF($AL$40="","",IF(INDEX('Final Calculation Sheet'!$H$4:$H$40,$AL$40)="","",INDEX('Final Calculation Sheet'!$H$4:$H$40,$AL$40)))</f>
        <v/>
      </c>
      <c r="J40" s="131">
        <f>IF($AL$40="","",IF(INDEX('Final Calculation Sheet'!$I$4:$I$40,$AL$40)="","",INDEX('Final Calculation Sheet'!$I$4:$I$40,$AL$40)))</f>
        <v/>
      </c>
      <c r="K40" s="131">
        <f>IF($AL$40="","",IF(INDEX('Final Calculation Sheet'!$J$4:$J$40,$AL$40)="","",INDEX('Final Calculation Sheet'!$J$4:$J$40,$AL$40)))</f>
        <v/>
      </c>
      <c r="L40" s="131">
        <f>IF($AL$40="","",IF(INDEX('Final Calculation Sheet'!$K$4:$K$40,$AL$40)="","",INDEX('Final Calculation Sheet'!$K$4:$K$40,$AL$40)))</f>
        <v/>
      </c>
      <c r="M40" s="131">
        <f>IF($AL$40="","",IF(INDEX('Final Calculation Sheet'!$L$4:$L$40,$AL$40)="","",INDEX('Final Calculation Sheet'!$L$4:$L$40,$AL$40)))</f>
        <v/>
      </c>
      <c r="N40" s="131">
        <f>IF($AL$40="","",IF(INDEX('Final Calculation Sheet'!$M$4:$M$40,$AL$40)="","",INDEX('Final Calculation Sheet'!$M$4:$M$40,$AL$40)))</f>
        <v/>
      </c>
      <c r="O40" s="132">
        <f>IF($AL$40="","",IF(INDEX('Final Calculation Sheet'!$N$4:$N$40,$AL$40)="","",INDEX('Final Calculation Sheet'!$N$4:$N$40,$AL$40)))</f>
        <v/>
      </c>
      <c r="P40" s="131">
        <f>IF($AL$40="","",IF(INDEX('Final Calculation Sheet'!$O$4:$O$40,$AL$40)="","",INDEX('Final Calculation Sheet'!$O$4:$O$40,$AL$40)))</f>
        <v/>
      </c>
      <c r="Q40" s="131">
        <f>IF($AL$40="","",IF(INDEX('Final Calculation Sheet'!$P$4:$P$40,$AL$40)="","",INDEX('Final Calculation Sheet'!$P$4:$P$40,$AL$40)))</f>
        <v/>
      </c>
      <c r="R40" s="133">
        <f>IF($AL$40="","",IF(INDEX('Final Calculation Sheet'!$Q$4:$Q$40,$AL$40)="","",INDEX('Final Calculation Sheet'!$Q$4:$Q$40,$AL$40)))</f>
        <v/>
      </c>
      <c r="S40" s="131">
        <f>IF($AL$40="","",IF(INDEX('Final Calculation Sheet'!$R$4:$R$40,$AL$40)="","",INDEX('Final Calculation Sheet'!$R$4:$R$40,$AL$40)))</f>
        <v/>
      </c>
      <c r="T40" s="131">
        <f>IF($AL$40="","",IF(INDEX('Final Calculation Sheet'!$S$4:$S$40,$AL$40)="","",INDEX('Final Calculation Sheet'!$S$4:$S$40,$AL$40)))</f>
        <v/>
      </c>
      <c r="U40" s="131">
        <f>IF($AL$40="","",IF(INDEX('Final Calculation Sheet'!$T$4:$T$40,$AL$40)="","",INDEX('Final Calculation Sheet'!$T$4:$T$40,$AL$40)))</f>
        <v/>
      </c>
      <c r="V40" s="134">
        <f>IF($AL$40="","",IF(INDEX('Final Calculation Sheet'!$U$4:$U$40,$AL$40)="","",INDEX('Final Calculation Sheet'!$U$4:$U$40,$AL$40)))</f>
        <v/>
      </c>
      <c r="W40" s="131">
        <f>IF($AL$40="","",IF(INDEX('Final Calculation Sheet'!$V$4:$V$40,$AL$40)="","",INDEX('Final Calculation Sheet'!$V$4:$V$40,$AL$40)))</f>
        <v/>
      </c>
      <c r="X40" s="131">
        <f>IF($AL$40="","",IF(INDEX('Final Calculation Sheet'!$W$4:$W$40,$AL$40)="","",INDEX('Final Calculation Sheet'!$W$4:$W$40,$AL$40)))</f>
        <v/>
      </c>
      <c r="Y40" s="131">
        <f>IF($AL$40="","",IF(INDEX('Final Calculation Sheet'!$X$4:$X$40,$AL$40)="","",INDEX('Final Calculation Sheet'!$X$4:$X$40,$AL$40)))</f>
        <v/>
      </c>
      <c r="Z40" s="131">
        <f>IF($AL$40="","",IF(INDEX('Final Calculation Sheet'!$Y$4:$Y$40,$AL$40)="","",INDEX('Final Calculation Sheet'!$Y$4:$Y$40,$AL$40)))</f>
        <v/>
      </c>
      <c r="AA40" s="131">
        <f>IF($AL$40="","",IF(INDEX('Final Calculation Sheet'!$Z$4:$Z$40,$AL$40)="","",INDEX('Final Calculation Sheet'!$Z$4:$Z$40,$AL$40)))</f>
        <v/>
      </c>
      <c r="AB40" s="131">
        <f>IF($AL$40="","",IF(INDEX('Final Calculation Sheet'!$AA$4:$AA$40,$AL$40)="","",INDEX('Final Calculation Sheet'!$AA$4:$AA$40,$AL$40)))</f>
        <v/>
      </c>
      <c r="AC40" s="131">
        <f>IF($AL$40="","",IF(INDEX('Final Calculation Sheet'!$AB$4:$AB$40,$AL$40)="","",INDEX('Final Calculation Sheet'!$AB$4:$AB$40,$AL$40)))</f>
        <v/>
      </c>
      <c r="AD40" s="131">
        <f>IF($AL$40="","",IF(INDEX('Final Calculation Sheet'!$AC$4:$AC$40,$AL$40)="","",INDEX('Final Calculation Sheet'!$AC$4:$AC$40,$AL$40)))</f>
        <v/>
      </c>
      <c r="AE40" s="131">
        <f>IF($AL$40="","",IF(INDEX('Final Calculation Sheet'!$AD$4:$AD$40,$AL$40)="","",INDEX('Final Calculation Sheet'!$AD$4:$AD$40,$AL$40)))</f>
        <v/>
      </c>
      <c r="AF40" s="136">
        <f>IF($AL$40="","",IF(INDEX('Final Calculation Sheet'!$AD$4:$AD$40,$AL$40)&lt;=5,"SETTLED","OUTSTANDING"))</f>
        <v/>
      </c>
      <c r="AG40" s="131">
        <f>IF($AL$40="","",IF(INDEX('Final Calculation Sheet'!$AF$4:$AF$40,$AL$40)="","",INDEX('Final Calculation Sheet'!$AF$4:$AF$40,$AL$40)))</f>
        <v/>
      </c>
      <c r="AH40" s="135">
        <f>IF($AL$40="","",IF(INDEX('Final Calculation Sheet'!$AG$4:$AG$40,$AL$40)="","",INDEX('Final Calculation Sheet'!$AG$4:$AG$40,$AL$40)))</f>
        <v/>
      </c>
      <c r="AI40" s="131">
        <f>IF($AL$40="","",IF(INDEX('Final Calculation Sheet'!$AH$4:$AH$40,$AL$40)="","",INDEX('Final Calculation Sheet'!$AH$4:$AH$40,$AL$40)))</f>
        <v/>
      </c>
      <c r="AJ40">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40">
        <f>IF(AJ40=1,COUNTIF(AJ$6:AJ40,1),"")</f>
        <v/>
      </c>
      <c r="AL40">
        <f>IF(COUNTIF($B$4:$AI$4,"&lt;&gt;")=0,"",IFERROR(MATCH(34,$AK$6:$AK$42,0),""))</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c r="DG40">
        <f>IF($B$4="",1,IF($B$4="(blank)",--('Final Calculation Sheet'!$F$38=""),IF($B$4="(nonblank)",--('Final Calculation Sheet'!$F$38&lt;&gt;""),--ISNUMBER(SEARCH($B$4,'Final Calculation Sheet'!$F$38)))))</f>
        <v/>
      </c>
      <c r="DH40">
        <f>IF($C$4="",1,IF($C$4="(blank)",--('Final Calculation Sheet'!$G$38=""),IF($C$4="(nonblank)",--('Final Calculation Sheet'!$G$38&lt;&gt;""),--ISNUMBER(SEARCH($C$4,'Final Calculation Sheet'!$G$38)))))</f>
        <v/>
      </c>
      <c r="DI40">
        <f>IF($D$4="",1,IF($D$4="(blank)",--('Final Calculation Sheet'!$B$38=""),IF($D$4="(nonblank)",--('Final Calculation Sheet'!$B$38&lt;&gt;""),--ISNUMBER(SEARCH($D$4,'Final Calculation Sheet'!$B$38)))))</f>
        <v/>
      </c>
      <c r="DJ40">
        <f>IF($E$4="",1,IF($E$4="(blank)",--('Final Calculation Sheet'!$D$38=""),IF($E$4="(nonblank)",--('Final Calculation Sheet'!$D$38&lt;&gt;""),--ISNUMBER(SEARCH($E$4,'Final Calculation Sheet'!$D$38)))))</f>
        <v/>
      </c>
      <c r="DK40">
        <f>IF($F$4="",1,IF($F$4="(blank)",--('Final Calculation Sheet'!$A$38=""),IF($F$4="(nonblank)",--('Final Calculation Sheet'!$A$38&lt;&gt;""),--ISNUMBER(SEARCH($F$4,'Final Calculation Sheet'!$A$38)))))</f>
        <v/>
      </c>
      <c r="DL40">
        <f>IF($G$4="",1,IF($G$4="(blank)",--('Final Calculation Sheet'!$E$38=""),IF($G$4="(nonblank)",--('Final Calculation Sheet'!$E$38&lt;&gt;""),--ISNUMBER(SEARCH($G$4,'Final Calculation Sheet'!$E$38)))))</f>
        <v/>
      </c>
      <c r="DM40">
        <f>IF($H$4="",1,IF($H$4="(blank)",--('Final Calculation Sheet'!$C$38=""),IF($H$4="(nonblank)",--('Final Calculation Sheet'!$C$38&lt;&gt;""),--ISNUMBER(SEARCH($H$4,'Final Calculation Sheet'!$C$38)))))</f>
        <v/>
      </c>
      <c r="DN40">
        <f>IF($I$4="",1,IF($I$4="(blank)",--('Final Calculation Sheet'!$H$38=""),IF($I$4="(nonblank)",--('Final Calculation Sheet'!$H$38&lt;&gt;""),--ISNUMBER(SEARCH($I$4,'Final Calculation Sheet'!$H$38)))))</f>
        <v/>
      </c>
      <c r="DO40">
        <f>IF($J$4="",1,IF($J$4="(blank)",--('Final Calculation Sheet'!$I$38=""),IF($J$4="(nonblank)",--('Final Calculation Sheet'!$I$38&lt;&gt;""),--ISNUMBER(SEARCH($J$4,'Final Calculation Sheet'!$I$38)))))</f>
        <v/>
      </c>
      <c r="DP40">
        <f>IF($K$4="",1,IF($K$4="(blank)",--('Final Calculation Sheet'!$J$38=""),IF($K$4="(nonblank)",--('Final Calculation Sheet'!$J$38&lt;&gt;""),--ISNUMBER(SEARCH($K$4,'Final Calculation Sheet'!$J$38)))))</f>
        <v/>
      </c>
      <c r="DQ40">
        <f>IF($L$4="",1,IF($L$4="(blank)",--('Final Calculation Sheet'!$K$38=""),IF($L$4="(nonblank)",--('Final Calculation Sheet'!$K$38&lt;&gt;""),--ISNUMBER(SEARCH($L$4,'Final Calculation Sheet'!$K$38)))))</f>
        <v/>
      </c>
      <c r="DR40">
        <f>IF($M$4="",1,IF($M$4="(blank)",--('Final Calculation Sheet'!$L$38=""),IF($M$4="(nonblank)",--('Final Calculation Sheet'!$L$38&lt;&gt;""),--ISNUMBER(SEARCH($M$4,'Final Calculation Sheet'!$L$38)))))</f>
        <v/>
      </c>
      <c r="DS40">
        <f>IF($N$4="",1,IF($N$4="(blank)",--('Final Calculation Sheet'!$M$38=""),IF($N$4="(nonblank)",--('Final Calculation Sheet'!$M$38&lt;&gt;""),--ISNUMBER(SEARCH($N$4,'Final Calculation Sheet'!$M$38)))))</f>
        <v/>
      </c>
      <c r="DT40">
        <f>IF($O$4="",1,IF($O$4="(blank)",--('Final Calculation Sheet'!$N$38=""),IF($O$4="(nonblank)",--('Final Calculation Sheet'!$N$38&lt;&gt;""),--ISNUMBER(SEARCH($O$4,'Final Calculation Sheet'!$N$38)))))</f>
        <v/>
      </c>
      <c r="DU40">
        <f>IF($P$4="",1,IF($P$4="(blank)",--('Final Calculation Sheet'!$O$38=""),IF($P$4="(nonblank)",--('Final Calculation Sheet'!$O$38&lt;&gt;""),--ISNUMBER(SEARCH($P$4,'Final Calculation Sheet'!$O$38)))))</f>
        <v/>
      </c>
      <c r="DV40">
        <f>IF($Q$4="",1,IF($Q$4="(blank)",--('Final Calculation Sheet'!$P$38=""),IF($Q$4="(nonblank)",--('Final Calculation Sheet'!$P$38&lt;&gt;""),--ISNUMBER(SEARCH($Q$4,'Final Calculation Sheet'!$P$38)))))</f>
        <v/>
      </c>
      <c r="DW40">
        <f>IF($R$4="",1,IF($R$4="(blank)",--('Final Calculation Sheet'!$Q$38=""),IF($R$4="(nonblank)",--('Final Calculation Sheet'!$Q$38&lt;&gt;""),--ISNUMBER(SEARCH($R$4,'Final Calculation Sheet'!$Q$38)))))</f>
        <v/>
      </c>
      <c r="DX40">
        <f>IF($S$4="",1,IF($S$4="(blank)",--('Final Calculation Sheet'!$R$38=""),IF($S$4="(nonblank)",--('Final Calculation Sheet'!$R$38&lt;&gt;""),--ISNUMBER(SEARCH($S$4,'Final Calculation Sheet'!$R$38)))))</f>
        <v/>
      </c>
      <c r="DY40">
        <f>IF($T$4="",1,IF($T$4="(blank)",--('Final Calculation Sheet'!$S$38=""),IF($T$4="(nonblank)",--('Final Calculation Sheet'!$S$38&lt;&gt;""),--ISNUMBER(SEARCH($T$4,'Final Calculation Sheet'!$S$38)))))</f>
        <v/>
      </c>
      <c r="DZ40">
        <f>IF($U$4="",1,IF($U$4="(blank)",--('Final Calculation Sheet'!$T$38=""),IF($U$4="(nonblank)",--('Final Calculation Sheet'!$T$38&lt;&gt;""),--ISNUMBER(SEARCH($U$4,'Final Calculation Sheet'!$T$38)))))</f>
        <v/>
      </c>
      <c r="EA40">
        <f>IF($V$4="",1,IF($V$4="(blank)",--('Final Calculation Sheet'!$U$38=""),IF($V$4="(nonblank)",--('Final Calculation Sheet'!$U$38&lt;&gt;""),--ISNUMBER(SEARCH($V$4,'Final Calculation Sheet'!$U$38)))))</f>
        <v/>
      </c>
      <c r="EB40">
        <f>IF($W$4="",1,IF($W$4="(blank)",--('Final Calculation Sheet'!$V$38=""),IF($W$4="(nonblank)",--('Final Calculation Sheet'!$V$38&lt;&gt;""),--ISNUMBER(SEARCH($W$4,'Final Calculation Sheet'!$V$38)))))</f>
        <v/>
      </c>
      <c r="EC40">
        <f>IF($X$4="",1,IF($X$4="(blank)",--('Final Calculation Sheet'!$W$38=""),IF($X$4="(nonblank)",--('Final Calculation Sheet'!$W$38&lt;&gt;""),--ISNUMBER(SEARCH($X$4,'Final Calculation Sheet'!$W$38)))))</f>
        <v/>
      </c>
      <c r="ED40">
        <f>IF($Y$4="",1,IF($Y$4="(blank)",--('Final Calculation Sheet'!$X$38=""),IF($Y$4="(nonblank)",--('Final Calculation Sheet'!$X$38&lt;&gt;""),--ISNUMBER(SEARCH($Y$4,'Final Calculation Sheet'!$X$38)))))</f>
        <v/>
      </c>
      <c r="EE40">
        <f>IF($Z$4="",1,IF($Z$4="(blank)",--('Final Calculation Sheet'!$Y$38=""),IF($Z$4="(nonblank)",--('Final Calculation Sheet'!$Y$38&lt;&gt;""),--ISNUMBER(SEARCH($Z$4,'Final Calculation Sheet'!$Y$38)))))</f>
        <v/>
      </c>
      <c r="EF40">
        <f>IF($AA$4="",1,IF($AA$4="(blank)",--('Final Calculation Sheet'!$Z$38=""),IF($AA$4="(nonblank)",--('Final Calculation Sheet'!$Z$38&lt;&gt;""),--ISNUMBER(SEARCH($AA$4,'Final Calculation Sheet'!$Z$38)))))</f>
        <v/>
      </c>
      <c r="EG40">
        <f>IF($AB$4="",1,IF($AB$4="(blank)",--('Final Calculation Sheet'!$AA$38=""),IF($AB$4="(nonblank)",--('Final Calculation Sheet'!$AA$38&lt;&gt;""),--ISNUMBER(SEARCH($AB$4,'Final Calculation Sheet'!$AA$38)))))</f>
        <v/>
      </c>
      <c r="EH40">
        <f>IF($AC$4="",1,IF($AC$4="(blank)",--('Final Calculation Sheet'!$AB$38=""),IF($AC$4="(nonblank)",--('Final Calculation Sheet'!$AB$38&lt;&gt;""),--ISNUMBER(SEARCH($AC$4,'Final Calculation Sheet'!$AB$38)))))</f>
        <v/>
      </c>
      <c r="EI40">
        <f>IF($AD$4="",1,IF($AD$4="(blank)",--('Final Calculation Sheet'!$AC$38=""),IF($AD$4="(nonblank)",--('Final Calculation Sheet'!$AC$38&lt;&gt;""),--ISNUMBER(SEARCH($AD$4,'Final Calculation Sheet'!$AC$38)))))</f>
        <v/>
      </c>
      <c r="EJ40">
        <f>IF($AE$4="",1,IF($AE$4="(blank)",--('Final Calculation Sheet'!$AD$38=""),IF($AE$4="(nonblank)",--('Final Calculation Sheet'!$AD$38&lt;&gt;""),--ISNUMBER(SEARCH($AE$4,'Final Calculation Sheet'!$AD$38)))))</f>
        <v/>
      </c>
      <c r="EK40">
        <f>IF($AF$4="",1,IF($AF$4="(blank)",--(IF('Final Calculation Sheet'!$AD$38&lt;=5,"SETTLED","OUTSTANDING")=""),IF($AF$4="(nonblank)",--(IF('Final Calculation Sheet'!$AD$38&lt;=5,"SETTLED","OUTSTANDING")&lt;&gt;""),--ISNUMBER(SEARCH($AF$4,IF('Final Calculation Sheet'!$AD$38&lt;=5,"SETTLED","OUTSTANDING"))))))</f>
        <v/>
      </c>
      <c r="EL40">
        <f>IF($AG$4="",1,IF($AG$4="(blank)",--('Final Calculation Sheet'!$AF$38=""),IF($AG$4="(nonblank)",--('Final Calculation Sheet'!$AF$38&lt;&gt;""),--ISNUMBER(SEARCH($AG$4,'Final Calculation Sheet'!$AF$38)))))</f>
        <v/>
      </c>
      <c r="EM40">
        <f>IF($AH$4="",1,IF($AH$4="(blank)",--('Final Calculation Sheet'!$AG$38=""),IF($AH$4="(nonblank)",--('Final Calculation Sheet'!$AG$38&lt;&gt;""),--ISNUMBER(SEARCH($AH$4,'Final Calculation Sheet'!$AG$38)))))</f>
        <v/>
      </c>
      <c r="EN40">
        <f>IF($AI$4="",1,IF($AI$4="(blank)",--('Final Calculation Sheet'!$AH$38=""),IF($AI$4="(nonblank)",--('Final Calculation Sheet'!$AH$38&lt;&gt;""),--ISNUMBER(SEARCH($AI$4,'Final Calculation Sheet'!$AH$38)))))</f>
        <v/>
      </c>
    </row>
    <row r="41" outlineLevel="1" hidden="1">
      <c r="A41" s="118">
        <f>IF($AL$41="","",35)</f>
        <v/>
      </c>
      <c r="B41" s="119">
        <f>IF($AL$41="","",IF(INDEX('Final Calculation Sheet'!$F$4:$F$40,$AL$41)="","",INDEX('Final Calculation Sheet'!$F$4:$F$40,$AL$41)))</f>
        <v/>
      </c>
      <c r="C41" s="119">
        <f>IF($AL$41="","",IF(INDEX('Final Calculation Sheet'!$G$4:$G$40,$AL$41)="","",INDEX('Final Calculation Sheet'!$G$4:$G$40,$AL$41)))</f>
        <v/>
      </c>
      <c r="D41" s="121">
        <f>IF($AL$41="","",IF(INDEX('Final Calculation Sheet'!$B$4:$B$40,$AL$41)="","",INDEX('Final Calculation Sheet'!$B$4:$B$40,$AL$41)))</f>
        <v/>
      </c>
      <c r="E41" s="121">
        <f>IF($AL$41="","",IF(INDEX('Final Calculation Sheet'!$D$4:$D$40,$AL$41)="","",INDEX('Final Calculation Sheet'!$D$4:$D$40,$AL$41)))</f>
        <v/>
      </c>
      <c r="F41" s="121">
        <f>IF($AL$41="","",IF(INDEX('Final Calculation Sheet'!$A$4:$A$40,$AL$41)="","",INDEX('Final Calculation Sheet'!$A$4:$A$40,$AL$41)))</f>
        <v/>
      </c>
      <c r="G41" s="121">
        <f>IF($AL$41="","",IF(INDEX('Final Calculation Sheet'!$E$4:$E$40,$AL$41)="","",INDEX('Final Calculation Sheet'!$E$4:$E$40,$AL$41)))</f>
        <v/>
      </c>
      <c r="H41" s="122">
        <f>IF($AL$41="","",IF(INDEX('Final Calculation Sheet'!$C$4:$C$40,$AL$41)="","",INDEX('Final Calculation Sheet'!$C$4:$C$40,$AL$41)))</f>
        <v/>
      </c>
      <c r="I41" s="122">
        <f>IF($AL$41="","",IF(INDEX('Final Calculation Sheet'!$H$4:$H$40,$AL$41)="","",INDEX('Final Calculation Sheet'!$H$4:$H$40,$AL$41)))</f>
        <v/>
      </c>
      <c r="J41" s="122">
        <f>IF($AL$41="","",IF(INDEX('Final Calculation Sheet'!$I$4:$I$40,$AL$41)="","",INDEX('Final Calculation Sheet'!$I$4:$I$40,$AL$41)))</f>
        <v/>
      </c>
      <c r="K41" s="122">
        <f>IF($AL$41="","",IF(INDEX('Final Calculation Sheet'!$J$4:$J$40,$AL$41)="","",INDEX('Final Calculation Sheet'!$J$4:$J$40,$AL$41)))</f>
        <v/>
      </c>
      <c r="L41" s="122">
        <f>IF($AL$41="","",IF(INDEX('Final Calculation Sheet'!$K$4:$K$40,$AL$41)="","",INDEX('Final Calculation Sheet'!$K$4:$K$40,$AL$41)))</f>
        <v/>
      </c>
      <c r="M41" s="122">
        <f>IF($AL$41="","",IF(INDEX('Final Calculation Sheet'!$L$4:$L$40,$AL$41)="","",INDEX('Final Calculation Sheet'!$L$4:$L$40,$AL$41)))</f>
        <v/>
      </c>
      <c r="N41" s="122">
        <f>IF($AL$41="","",IF(INDEX('Final Calculation Sheet'!$M$4:$M$40,$AL$41)="","",INDEX('Final Calculation Sheet'!$M$4:$M$40,$AL$41)))</f>
        <v/>
      </c>
      <c r="O41" s="123">
        <f>IF($AL$41="","",IF(INDEX('Final Calculation Sheet'!$N$4:$N$40,$AL$41)="","",INDEX('Final Calculation Sheet'!$N$4:$N$40,$AL$41)))</f>
        <v/>
      </c>
      <c r="P41" s="122">
        <f>IF($AL$41="","",IF(INDEX('Final Calculation Sheet'!$O$4:$O$40,$AL$41)="","",INDEX('Final Calculation Sheet'!$O$4:$O$40,$AL$41)))</f>
        <v/>
      </c>
      <c r="Q41" s="122">
        <f>IF($AL$41="","",IF(INDEX('Final Calculation Sheet'!$P$4:$P$40,$AL$41)="","",INDEX('Final Calculation Sheet'!$P$4:$P$40,$AL$41)))</f>
        <v/>
      </c>
      <c r="R41" s="124">
        <f>IF($AL$41="","",IF(INDEX('Final Calculation Sheet'!$Q$4:$Q$40,$AL$41)="","",INDEX('Final Calculation Sheet'!$Q$4:$Q$40,$AL$41)))</f>
        <v/>
      </c>
      <c r="S41" s="122">
        <f>IF($AL$41="","",IF(INDEX('Final Calculation Sheet'!$R$4:$R$40,$AL$41)="","",INDEX('Final Calculation Sheet'!$R$4:$R$40,$AL$41)))</f>
        <v/>
      </c>
      <c r="T41" s="122">
        <f>IF($AL$41="","",IF(INDEX('Final Calculation Sheet'!$S$4:$S$40,$AL$41)="","",INDEX('Final Calculation Sheet'!$S$4:$S$40,$AL$41)))</f>
        <v/>
      </c>
      <c r="U41" s="122">
        <f>IF($AL$41="","",IF(INDEX('Final Calculation Sheet'!$T$4:$T$40,$AL$41)="","",INDEX('Final Calculation Sheet'!$T$4:$T$40,$AL$41)))</f>
        <v/>
      </c>
      <c r="V41" s="125">
        <f>IF($AL$41="","",IF(INDEX('Final Calculation Sheet'!$U$4:$U$40,$AL$41)="","",INDEX('Final Calculation Sheet'!$U$4:$U$40,$AL$41)))</f>
        <v/>
      </c>
      <c r="W41" s="122">
        <f>IF($AL$41="","",IF(INDEX('Final Calculation Sheet'!$V$4:$V$40,$AL$41)="","",INDEX('Final Calculation Sheet'!$V$4:$V$40,$AL$41)))</f>
        <v/>
      </c>
      <c r="X41" s="122">
        <f>IF($AL$41="","",IF(INDEX('Final Calculation Sheet'!$W$4:$W$40,$AL$41)="","",INDEX('Final Calculation Sheet'!$W$4:$W$40,$AL$41)))</f>
        <v/>
      </c>
      <c r="Y41" s="122">
        <f>IF($AL$41="","",IF(INDEX('Final Calculation Sheet'!$X$4:$X$40,$AL$41)="","",INDEX('Final Calculation Sheet'!$X$4:$X$40,$AL$41)))</f>
        <v/>
      </c>
      <c r="Z41" s="122">
        <f>IF($AL$41="","",IF(INDEX('Final Calculation Sheet'!$Y$4:$Y$40,$AL$41)="","",INDEX('Final Calculation Sheet'!$Y$4:$Y$40,$AL$41)))</f>
        <v/>
      </c>
      <c r="AA41" s="122">
        <f>IF($AL$41="","",IF(INDEX('Final Calculation Sheet'!$Z$4:$Z$40,$AL$41)="","",INDEX('Final Calculation Sheet'!$Z$4:$Z$40,$AL$41)))</f>
        <v/>
      </c>
      <c r="AB41" s="122">
        <f>IF($AL$41="","",IF(INDEX('Final Calculation Sheet'!$AA$4:$AA$40,$AL$41)="","",INDEX('Final Calculation Sheet'!$AA$4:$AA$40,$AL$41)))</f>
        <v/>
      </c>
      <c r="AC41" s="122">
        <f>IF($AL$41="","",IF(INDEX('Final Calculation Sheet'!$AB$4:$AB$40,$AL$41)="","",INDEX('Final Calculation Sheet'!$AB$4:$AB$40,$AL$41)))</f>
        <v/>
      </c>
      <c r="AD41" s="122">
        <f>IF($AL$41="","",IF(INDEX('Final Calculation Sheet'!$AC$4:$AC$40,$AL$41)="","",INDEX('Final Calculation Sheet'!$AC$4:$AC$40,$AL$41)))</f>
        <v/>
      </c>
      <c r="AE41" s="122">
        <f>IF($AL$41="","",IF(INDEX('Final Calculation Sheet'!$AD$4:$AD$40,$AL$41)="","",INDEX('Final Calculation Sheet'!$AD$4:$AD$40,$AL$41)))</f>
        <v/>
      </c>
      <c r="AF41" s="127">
        <f>IF($AL$41="","",IF(INDEX('Final Calculation Sheet'!$AD$4:$AD$40,$AL$41)&lt;=5,"SETTLED","OUTSTANDING"))</f>
        <v/>
      </c>
      <c r="AG41" s="122">
        <f>IF($AL$41="","",IF(INDEX('Final Calculation Sheet'!$AF$4:$AF$40,$AL$41)="","",INDEX('Final Calculation Sheet'!$AF$4:$AF$40,$AL$41)))</f>
        <v/>
      </c>
      <c r="AH41" s="126">
        <f>IF($AL$41="","",IF(INDEX('Final Calculation Sheet'!$AG$4:$AG$40,$AL$41)="","",INDEX('Final Calculation Sheet'!$AG$4:$AG$40,$AL$41)))</f>
        <v/>
      </c>
      <c r="AI41" s="122">
        <f>IF($AL$41="","",IF(INDEX('Final Calculation Sheet'!$AH$4:$AH$40,$AL$41)="","",INDEX('Final Calculation Sheet'!$AH$4:$AH$40,$AL$41)))</f>
        <v/>
      </c>
      <c r="AJ41">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41">
        <f>IF(AJ41=1,COUNTIF(AJ$6:AJ41,1),"")</f>
        <v/>
      </c>
      <c r="AL41">
        <f>IF(COUNTIF($B$4:$AI$4,"&lt;&gt;")=0,"",IFERROR(MATCH(35,$AK$6:$AK$42,0),""))</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c r="DG41">
        <f>IF($B$4="",1,IF($B$4="(blank)",--('Final Calculation Sheet'!$F$39=""),IF($B$4="(nonblank)",--('Final Calculation Sheet'!$F$39&lt;&gt;""),--ISNUMBER(SEARCH($B$4,'Final Calculation Sheet'!$F$39)))))</f>
        <v/>
      </c>
      <c r="DH41">
        <f>IF($C$4="",1,IF($C$4="(blank)",--('Final Calculation Sheet'!$G$39=""),IF($C$4="(nonblank)",--('Final Calculation Sheet'!$G$39&lt;&gt;""),--ISNUMBER(SEARCH($C$4,'Final Calculation Sheet'!$G$39)))))</f>
        <v/>
      </c>
      <c r="DI41">
        <f>IF($D$4="",1,IF($D$4="(blank)",--('Final Calculation Sheet'!$B$39=""),IF($D$4="(nonblank)",--('Final Calculation Sheet'!$B$39&lt;&gt;""),--ISNUMBER(SEARCH($D$4,'Final Calculation Sheet'!$B$39)))))</f>
        <v/>
      </c>
      <c r="DJ41">
        <f>IF($E$4="",1,IF($E$4="(blank)",--('Final Calculation Sheet'!$D$39=""),IF($E$4="(nonblank)",--('Final Calculation Sheet'!$D$39&lt;&gt;""),--ISNUMBER(SEARCH($E$4,'Final Calculation Sheet'!$D$39)))))</f>
        <v/>
      </c>
      <c r="DK41">
        <f>IF($F$4="",1,IF($F$4="(blank)",--('Final Calculation Sheet'!$A$39=""),IF($F$4="(nonblank)",--('Final Calculation Sheet'!$A$39&lt;&gt;""),--ISNUMBER(SEARCH($F$4,'Final Calculation Sheet'!$A$39)))))</f>
        <v/>
      </c>
      <c r="DL41">
        <f>IF($G$4="",1,IF($G$4="(blank)",--('Final Calculation Sheet'!$E$39=""),IF($G$4="(nonblank)",--('Final Calculation Sheet'!$E$39&lt;&gt;""),--ISNUMBER(SEARCH($G$4,'Final Calculation Sheet'!$E$39)))))</f>
        <v/>
      </c>
      <c r="DM41">
        <f>IF($H$4="",1,IF($H$4="(blank)",--('Final Calculation Sheet'!$C$39=""),IF($H$4="(nonblank)",--('Final Calculation Sheet'!$C$39&lt;&gt;""),--ISNUMBER(SEARCH($H$4,'Final Calculation Sheet'!$C$39)))))</f>
        <v/>
      </c>
      <c r="DN41">
        <f>IF($I$4="",1,IF($I$4="(blank)",--('Final Calculation Sheet'!$H$39=""),IF($I$4="(nonblank)",--('Final Calculation Sheet'!$H$39&lt;&gt;""),--ISNUMBER(SEARCH($I$4,'Final Calculation Sheet'!$H$39)))))</f>
        <v/>
      </c>
      <c r="DO41">
        <f>IF($J$4="",1,IF($J$4="(blank)",--('Final Calculation Sheet'!$I$39=""),IF($J$4="(nonblank)",--('Final Calculation Sheet'!$I$39&lt;&gt;""),--ISNUMBER(SEARCH($J$4,'Final Calculation Sheet'!$I$39)))))</f>
        <v/>
      </c>
      <c r="DP41">
        <f>IF($K$4="",1,IF($K$4="(blank)",--('Final Calculation Sheet'!$J$39=""),IF($K$4="(nonblank)",--('Final Calculation Sheet'!$J$39&lt;&gt;""),--ISNUMBER(SEARCH($K$4,'Final Calculation Sheet'!$J$39)))))</f>
        <v/>
      </c>
      <c r="DQ41">
        <f>IF($L$4="",1,IF($L$4="(blank)",--('Final Calculation Sheet'!$K$39=""),IF($L$4="(nonblank)",--('Final Calculation Sheet'!$K$39&lt;&gt;""),--ISNUMBER(SEARCH($L$4,'Final Calculation Sheet'!$K$39)))))</f>
        <v/>
      </c>
      <c r="DR41">
        <f>IF($M$4="",1,IF($M$4="(blank)",--('Final Calculation Sheet'!$L$39=""),IF($M$4="(nonblank)",--('Final Calculation Sheet'!$L$39&lt;&gt;""),--ISNUMBER(SEARCH($M$4,'Final Calculation Sheet'!$L$39)))))</f>
        <v/>
      </c>
      <c r="DS41">
        <f>IF($N$4="",1,IF($N$4="(blank)",--('Final Calculation Sheet'!$M$39=""),IF($N$4="(nonblank)",--('Final Calculation Sheet'!$M$39&lt;&gt;""),--ISNUMBER(SEARCH($N$4,'Final Calculation Sheet'!$M$39)))))</f>
        <v/>
      </c>
      <c r="DT41">
        <f>IF($O$4="",1,IF($O$4="(blank)",--('Final Calculation Sheet'!$N$39=""),IF($O$4="(nonblank)",--('Final Calculation Sheet'!$N$39&lt;&gt;""),--ISNUMBER(SEARCH($O$4,'Final Calculation Sheet'!$N$39)))))</f>
        <v/>
      </c>
      <c r="DU41">
        <f>IF($P$4="",1,IF($P$4="(blank)",--('Final Calculation Sheet'!$O$39=""),IF($P$4="(nonblank)",--('Final Calculation Sheet'!$O$39&lt;&gt;""),--ISNUMBER(SEARCH($P$4,'Final Calculation Sheet'!$O$39)))))</f>
        <v/>
      </c>
      <c r="DV41">
        <f>IF($Q$4="",1,IF($Q$4="(blank)",--('Final Calculation Sheet'!$P$39=""),IF($Q$4="(nonblank)",--('Final Calculation Sheet'!$P$39&lt;&gt;""),--ISNUMBER(SEARCH($Q$4,'Final Calculation Sheet'!$P$39)))))</f>
        <v/>
      </c>
      <c r="DW41">
        <f>IF($R$4="",1,IF($R$4="(blank)",--('Final Calculation Sheet'!$Q$39=""),IF($R$4="(nonblank)",--('Final Calculation Sheet'!$Q$39&lt;&gt;""),--ISNUMBER(SEARCH($R$4,'Final Calculation Sheet'!$Q$39)))))</f>
        <v/>
      </c>
      <c r="DX41">
        <f>IF($S$4="",1,IF($S$4="(blank)",--('Final Calculation Sheet'!$R$39=""),IF($S$4="(nonblank)",--('Final Calculation Sheet'!$R$39&lt;&gt;""),--ISNUMBER(SEARCH($S$4,'Final Calculation Sheet'!$R$39)))))</f>
        <v/>
      </c>
      <c r="DY41">
        <f>IF($T$4="",1,IF($T$4="(blank)",--('Final Calculation Sheet'!$S$39=""),IF($T$4="(nonblank)",--('Final Calculation Sheet'!$S$39&lt;&gt;""),--ISNUMBER(SEARCH($T$4,'Final Calculation Sheet'!$S$39)))))</f>
        <v/>
      </c>
      <c r="DZ41">
        <f>IF($U$4="",1,IF($U$4="(blank)",--('Final Calculation Sheet'!$T$39=""),IF($U$4="(nonblank)",--('Final Calculation Sheet'!$T$39&lt;&gt;""),--ISNUMBER(SEARCH($U$4,'Final Calculation Sheet'!$T$39)))))</f>
        <v/>
      </c>
      <c r="EA41">
        <f>IF($V$4="",1,IF($V$4="(blank)",--('Final Calculation Sheet'!$U$39=""),IF($V$4="(nonblank)",--('Final Calculation Sheet'!$U$39&lt;&gt;""),--ISNUMBER(SEARCH($V$4,'Final Calculation Sheet'!$U$39)))))</f>
        <v/>
      </c>
      <c r="EB41">
        <f>IF($W$4="",1,IF($W$4="(blank)",--('Final Calculation Sheet'!$V$39=""),IF($W$4="(nonblank)",--('Final Calculation Sheet'!$V$39&lt;&gt;""),--ISNUMBER(SEARCH($W$4,'Final Calculation Sheet'!$V$39)))))</f>
        <v/>
      </c>
      <c r="EC41">
        <f>IF($X$4="",1,IF($X$4="(blank)",--('Final Calculation Sheet'!$W$39=""),IF($X$4="(nonblank)",--('Final Calculation Sheet'!$W$39&lt;&gt;""),--ISNUMBER(SEARCH($X$4,'Final Calculation Sheet'!$W$39)))))</f>
        <v/>
      </c>
      <c r="ED41">
        <f>IF($Y$4="",1,IF($Y$4="(blank)",--('Final Calculation Sheet'!$X$39=""),IF($Y$4="(nonblank)",--('Final Calculation Sheet'!$X$39&lt;&gt;""),--ISNUMBER(SEARCH($Y$4,'Final Calculation Sheet'!$X$39)))))</f>
        <v/>
      </c>
      <c r="EE41">
        <f>IF($Z$4="",1,IF($Z$4="(blank)",--('Final Calculation Sheet'!$Y$39=""),IF($Z$4="(nonblank)",--('Final Calculation Sheet'!$Y$39&lt;&gt;""),--ISNUMBER(SEARCH($Z$4,'Final Calculation Sheet'!$Y$39)))))</f>
        <v/>
      </c>
      <c r="EF41">
        <f>IF($AA$4="",1,IF($AA$4="(blank)",--('Final Calculation Sheet'!$Z$39=""),IF($AA$4="(nonblank)",--('Final Calculation Sheet'!$Z$39&lt;&gt;""),--ISNUMBER(SEARCH($AA$4,'Final Calculation Sheet'!$Z$39)))))</f>
        <v/>
      </c>
      <c r="EG41">
        <f>IF($AB$4="",1,IF($AB$4="(blank)",--('Final Calculation Sheet'!$AA$39=""),IF($AB$4="(nonblank)",--('Final Calculation Sheet'!$AA$39&lt;&gt;""),--ISNUMBER(SEARCH($AB$4,'Final Calculation Sheet'!$AA$39)))))</f>
        <v/>
      </c>
      <c r="EH41">
        <f>IF($AC$4="",1,IF($AC$4="(blank)",--('Final Calculation Sheet'!$AB$39=""),IF($AC$4="(nonblank)",--('Final Calculation Sheet'!$AB$39&lt;&gt;""),--ISNUMBER(SEARCH($AC$4,'Final Calculation Sheet'!$AB$39)))))</f>
        <v/>
      </c>
      <c r="EI41">
        <f>IF($AD$4="",1,IF($AD$4="(blank)",--('Final Calculation Sheet'!$AC$39=""),IF($AD$4="(nonblank)",--('Final Calculation Sheet'!$AC$39&lt;&gt;""),--ISNUMBER(SEARCH($AD$4,'Final Calculation Sheet'!$AC$39)))))</f>
        <v/>
      </c>
      <c r="EJ41">
        <f>IF($AE$4="",1,IF($AE$4="(blank)",--('Final Calculation Sheet'!$AD$39=""),IF($AE$4="(nonblank)",--('Final Calculation Sheet'!$AD$39&lt;&gt;""),--ISNUMBER(SEARCH($AE$4,'Final Calculation Sheet'!$AD$39)))))</f>
        <v/>
      </c>
      <c r="EK41">
        <f>IF($AF$4="",1,IF($AF$4="(blank)",--(IF('Final Calculation Sheet'!$AD$39&lt;=5,"SETTLED","OUTSTANDING")=""),IF($AF$4="(nonblank)",--(IF('Final Calculation Sheet'!$AD$39&lt;=5,"SETTLED","OUTSTANDING")&lt;&gt;""),--ISNUMBER(SEARCH($AF$4,IF('Final Calculation Sheet'!$AD$39&lt;=5,"SETTLED","OUTSTANDING"))))))</f>
        <v/>
      </c>
      <c r="EL41">
        <f>IF($AG$4="",1,IF($AG$4="(blank)",--('Final Calculation Sheet'!$AF$39=""),IF($AG$4="(nonblank)",--('Final Calculation Sheet'!$AF$39&lt;&gt;""),--ISNUMBER(SEARCH($AG$4,'Final Calculation Sheet'!$AF$39)))))</f>
        <v/>
      </c>
      <c r="EM41">
        <f>IF($AH$4="",1,IF($AH$4="(blank)",--('Final Calculation Sheet'!$AG$39=""),IF($AH$4="(nonblank)",--('Final Calculation Sheet'!$AG$39&lt;&gt;""),--ISNUMBER(SEARCH($AH$4,'Final Calculation Sheet'!$AG$39)))))</f>
        <v/>
      </c>
      <c r="EN41">
        <f>IF($AI$4="",1,IF($AI$4="(blank)",--('Final Calculation Sheet'!$AH$39=""),IF($AI$4="(nonblank)",--('Final Calculation Sheet'!$AH$39&lt;&gt;""),--ISNUMBER(SEARCH($AI$4,'Final Calculation Sheet'!$AH$39)))))</f>
        <v/>
      </c>
    </row>
    <row r="42" outlineLevel="1" hidden="1">
      <c r="A42" s="128">
        <f>IF($AL$42="","",36)</f>
        <v/>
      </c>
      <c r="B42" s="129">
        <f>IF($AL$42="","",IF(INDEX('Final Calculation Sheet'!$F$4:$F$40,$AL$42)="","",INDEX('Final Calculation Sheet'!$F$4:$F$40,$AL$42)))</f>
        <v/>
      </c>
      <c r="C42" s="129">
        <f>IF($AL$42="","",IF(INDEX('Final Calculation Sheet'!$G$4:$G$40,$AL$42)="","",INDEX('Final Calculation Sheet'!$G$4:$G$40,$AL$42)))</f>
        <v/>
      </c>
      <c r="D42" s="130">
        <f>IF($AL$42="","",IF(INDEX('Final Calculation Sheet'!$B$4:$B$40,$AL$42)="","",INDEX('Final Calculation Sheet'!$B$4:$B$40,$AL$42)))</f>
        <v/>
      </c>
      <c r="E42" s="130">
        <f>IF($AL$42="","",IF(INDEX('Final Calculation Sheet'!$D$4:$D$40,$AL$42)="","",INDEX('Final Calculation Sheet'!$D$4:$D$40,$AL$42)))</f>
        <v/>
      </c>
      <c r="F42" s="130">
        <f>IF($AL$42="","",IF(INDEX('Final Calculation Sheet'!$A$4:$A$40,$AL$42)="","",INDEX('Final Calculation Sheet'!$A$4:$A$40,$AL$42)))</f>
        <v/>
      </c>
      <c r="G42" s="130">
        <f>IF($AL$42="","",IF(INDEX('Final Calculation Sheet'!$E$4:$E$40,$AL$42)="","",INDEX('Final Calculation Sheet'!$E$4:$E$40,$AL$42)))</f>
        <v/>
      </c>
      <c r="H42" s="131">
        <f>IF($AL$42="","",IF(INDEX('Final Calculation Sheet'!$C$4:$C$40,$AL$42)="","",INDEX('Final Calculation Sheet'!$C$4:$C$40,$AL$42)))</f>
        <v/>
      </c>
      <c r="I42" s="131">
        <f>IF($AL$42="","",IF(INDEX('Final Calculation Sheet'!$H$4:$H$40,$AL$42)="","",INDEX('Final Calculation Sheet'!$H$4:$H$40,$AL$42)))</f>
        <v/>
      </c>
      <c r="J42" s="131">
        <f>IF($AL$42="","",IF(INDEX('Final Calculation Sheet'!$I$4:$I$40,$AL$42)="","",INDEX('Final Calculation Sheet'!$I$4:$I$40,$AL$42)))</f>
        <v/>
      </c>
      <c r="K42" s="131">
        <f>IF($AL$42="","",IF(INDEX('Final Calculation Sheet'!$J$4:$J$40,$AL$42)="","",INDEX('Final Calculation Sheet'!$J$4:$J$40,$AL$42)))</f>
        <v/>
      </c>
      <c r="L42" s="131">
        <f>IF($AL$42="","",IF(INDEX('Final Calculation Sheet'!$K$4:$K$40,$AL$42)="","",INDEX('Final Calculation Sheet'!$K$4:$K$40,$AL$42)))</f>
        <v/>
      </c>
      <c r="M42" s="131">
        <f>IF($AL$42="","",IF(INDEX('Final Calculation Sheet'!$L$4:$L$40,$AL$42)="","",INDEX('Final Calculation Sheet'!$L$4:$L$40,$AL$42)))</f>
        <v/>
      </c>
      <c r="N42" s="131">
        <f>IF($AL$42="","",IF(INDEX('Final Calculation Sheet'!$M$4:$M$40,$AL$42)="","",INDEX('Final Calculation Sheet'!$M$4:$M$40,$AL$42)))</f>
        <v/>
      </c>
      <c r="O42" s="132">
        <f>IF($AL$42="","",IF(INDEX('Final Calculation Sheet'!$N$4:$N$40,$AL$42)="","",INDEX('Final Calculation Sheet'!$N$4:$N$40,$AL$42)))</f>
        <v/>
      </c>
      <c r="P42" s="131">
        <f>IF($AL$42="","",IF(INDEX('Final Calculation Sheet'!$O$4:$O$40,$AL$42)="","",INDEX('Final Calculation Sheet'!$O$4:$O$40,$AL$42)))</f>
        <v/>
      </c>
      <c r="Q42" s="131">
        <f>IF($AL$42="","",IF(INDEX('Final Calculation Sheet'!$P$4:$P$40,$AL$42)="","",INDEX('Final Calculation Sheet'!$P$4:$P$40,$AL$42)))</f>
        <v/>
      </c>
      <c r="R42" s="133">
        <f>IF($AL$42="","",IF(INDEX('Final Calculation Sheet'!$Q$4:$Q$40,$AL$42)="","",INDEX('Final Calculation Sheet'!$Q$4:$Q$40,$AL$42)))</f>
        <v/>
      </c>
      <c r="S42" s="131">
        <f>IF($AL$42="","",IF(INDEX('Final Calculation Sheet'!$R$4:$R$40,$AL$42)="","",INDEX('Final Calculation Sheet'!$R$4:$R$40,$AL$42)))</f>
        <v/>
      </c>
      <c r="T42" s="131">
        <f>IF($AL$42="","",IF(INDEX('Final Calculation Sheet'!$S$4:$S$40,$AL$42)="","",INDEX('Final Calculation Sheet'!$S$4:$S$40,$AL$42)))</f>
        <v/>
      </c>
      <c r="U42" s="131">
        <f>IF($AL$42="","",IF(INDEX('Final Calculation Sheet'!$T$4:$T$40,$AL$42)="","",INDEX('Final Calculation Sheet'!$T$4:$T$40,$AL$42)))</f>
        <v/>
      </c>
      <c r="V42" s="134">
        <f>IF($AL$42="","",IF(INDEX('Final Calculation Sheet'!$U$4:$U$40,$AL$42)="","",INDEX('Final Calculation Sheet'!$U$4:$U$40,$AL$42)))</f>
        <v/>
      </c>
      <c r="W42" s="131">
        <f>IF($AL$42="","",IF(INDEX('Final Calculation Sheet'!$V$4:$V$40,$AL$42)="","",INDEX('Final Calculation Sheet'!$V$4:$V$40,$AL$42)))</f>
        <v/>
      </c>
      <c r="X42" s="131">
        <f>IF($AL$42="","",IF(INDEX('Final Calculation Sheet'!$W$4:$W$40,$AL$42)="","",INDEX('Final Calculation Sheet'!$W$4:$W$40,$AL$42)))</f>
        <v/>
      </c>
      <c r="Y42" s="131">
        <f>IF($AL$42="","",IF(INDEX('Final Calculation Sheet'!$X$4:$X$40,$AL$42)="","",INDEX('Final Calculation Sheet'!$X$4:$X$40,$AL$42)))</f>
        <v/>
      </c>
      <c r="Z42" s="131">
        <f>IF($AL$42="","",IF(INDEX('Final Calculation Sheet'!$Y$4:$Y$40,$AL$42)="","",INDEX('Final Calculation Sheet'!$Y$4:$Y$40,$AL$42)))</f>
        <v/>
      </c>
      <c r="AA42" s="131">
        <f>IF($AL$42="","",IF(INDEX('Final Calculation Sheet'!$Z$4:$Z$40,$AL$42)="","",INDEX('Final Calculation Sheet'!$Z$4:$Z$40,$AL$42)))</f>
        <v/>
      </c>
      <c r="AB42" s="131">
        <f>IF($AL$42="","",IF(INDEX('Final Calculation Sheet'!$AA$4:$AA$40,$AL$42)="","",INDEX('Final Calculation Sheet'!$AA$4:$AA$40,$AL$42)))</f>
        <v/>
      </c>
      <c r="AC42" s="131">
        <f>IF($AL$42="","",IF(INDEX('Final Calculation Sheet'!$AB$4:$AB$40,$AL$42)="","",INDEX('Final Calculation Sheet'!$AB$4:$AB$40,$AL$42)))</f>
        <v/>
      </c>
      <c r="AD42" s="131">
        <f>IF($AL$42="","",IF(INDEX('Final Calculation Sheet'!$AC$4:$AC$40,$AL$42)="","",INDEX('Final Calculation Sheet'!$AC$4:$AC$40,$AL$42)))</f>
        <v/>
      </c>
      <c r="AE42" s="131">
        <f>IF($AL$42="","",IF(INDEX('Final Calculation Sheet'!$AD$4:$AD$40,$AL$42)="","",INDEX('Final Calculation Sheet'!$AD$4:$AD$40,$AL$42)))</f>
        <v/>
      </c>
      <c r="AF42" s="136">
        <f>IF($AL$42="","",IF(INDEX('Final Calculation Sheet'!$AD$4:$AD$40,$AL$42)&lt;=5,"SETTLED","OUTSTANDING"))</f>
        <v/>
      </c>
      <c r="AG42" s="131">
        <f>IF($AL$42="","",IF(INDEX('Final Calculation Sheet'!$AF$4:$AF$40,$AL$42)="","",INDEX('Final Calculation Sheet'!$AF$4:$AF$40,$AL$42)))</f>
        <v/>
      </c>
      <c r="AH42" s="135">
        <f>IF($AL$42="","",IF(INDEX('Final Calculation Sheet'!$AG$4:$AG$40,$AL$42)="","",INDEX('Final Calculation Sheet'!$AG$4:$AG$40,$AL$42)))</f>
        <v/>
      </c>
      <c r="AI42" s="131">
        <f>IF($AL$42="","",IF(INDEX('Final Calculation Sheet'!$AH$4:$AH$40,$AL$42)="","",INDEX('Final Calculation Sheet'!$AH$4:$AH$40,$AL$42)))</f>
        <v/>
      </c>
      <c r="AJ42">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42">
        <f>IF(AJ42=1,COUNTIF(AJ$6:AJ42,1),"")</f>
        <v/>
      </c>
      <c r="AL42">
        <f>IF(COUNTIF($B$4:$AI$4,"&lt;&gt;")=0,"",IFERROR(MATCH(36,$AK$6:$AK$42,0),""))</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c r="DG42">
        <f>IF($B$4="",1,IF($B$4="(blank)",--('Final Calculation Sheet'!$F$40=""),IF($B$4="(nonblank)",--('Final Calculation Sheet'!$F$40&lt;&gt;""),--ISNUMBER(SEARCH($B$4,'Final Calculation Sheet'!$F$40)))))</f>
        <v/>
      </c>
      <c r="DH42">
        <f>IF($C$4="",1,IF($C$4="(blank)",--('Final Calculation Sheet'!$G$40=""),IF($C$4="(nonblank)",--('Final Calculation Sheet'!$G$40&lt;&gt;""),--ISNUMBER(SEARCH($C$4,'Final Calculation Sheet'!$G$40)))))</f>
        <v/>
      </c>
      <c r="DI42">
        <f>IF($D$4="",1,IF($D$4="(blank)",--('Final Calculation Sheet'!$B$40=""),IF($D$4="(nonblank)",--('Final Calculation Sheet'!$B$40&lt;&gt;""),--ISNUMBER(SEARCH($D$4,'Final Calculation Sheet'!$B$40)))))</f>
        <v/>
      </c>
      <c r="DJ42">
        <f>IF($E$4="",1,IF($E$4="(blank)",--('Final Calculation Sheet'!$D$40=""),IF($E$4="(nonblank)",--('Final Calculation Sheet'!$D$40&lt;&gt;""),--ISNUMBER(SEARCH($E$4,'Final Calculation Sheet'!$D$40)))))</f>
        <v/>
      </c>
      <c r="DK42">
        <f>IF($F$4="",1,IF($F$4="(blank)",--('Final Calculation Sheet'!$A$40=""),IF($F$4="(nonblank)",--('Final Calculation Sheet'!$A$40&lt;&gt;""),--ISNUMBER(SEARCH($F$4,'Final Calculation Sheet'!$A$40)))))</f>
        <v/>
      </c>
      <c r="DL42">
        <f>IF($G$4="",1,IF($G$4="(blank)",--('Final Calculation Sheet'!$E$40=""),IF($G$4="(nonblank)",--('Final Calculation Sheet'!$E$40&lt;&gt;""),--ISNUMBER(SEARCH($G$4,'Final Calculation Sheet'!$E$40)))))</f>
        <v/>
      </c>
      <c r="DM42">
        <f>IF($H$4="",1,IF($H$4="(blank)",--('Final Calculation Sheet'!$C$40=""),IF($H$4="(nonblank)",--('Final Calculation Sheet'!$C$40&lt;&gt;""),--ISNUMBER(SEARCH($H$4,'Final Calculation Sheet'!$C$40)))))</f>
        <v/>
      </c>
      <c r="DN42">
        <f>IF($I$4="",1,IF($I$4="(blank)",--('Final Calculation Sheet'!$H$40=""),IF($I$4="(nonblank)",--('Final Calculation Sheet'!$H$40&lt;&gt;""),--ISNUMBER(SEARCH($I$4,'Final Calculation Sheet'!$H$40)))))</f>
        <v/>
      </c>
      <c r="DO42">
        <f>IF($J$4="",1,IF($J$4="(blank)",--('Final Calculation Sheet'!$I$40=""),IF($J$4="(nonblank)",--('Final Calculation Sheet'!$I$40&lt;&gt;""),--ISNUMBER(SEARCH($J$4,'Final Calculation Sheet'!$I$40)))))</f>
        <v/>
      </c>
      <c r="DP42">
        <f>IF($K$4="",1,IF($K$4="(blank)",--('Final Calculation Sheet'!$J$40=""),IF($K$4="(nonblank)",--('Final Calculation Sheet'!$J$40&lt;&gt;""),--ISNUMBER(SEARCH($K$4,'Final Calculation Sheet'!$J$40)))))</f>
        <v/>
      </c>
      <c r="DQ42">
        <f>IF($L$4="",1,IF($L$4="(blank)",--('Final Calculation Sheet'!$K$40=""),IF($L$4="(nonblank)",--('Final Calculation Sheet'!$K$40&lt;&gt;""),--ISNUMBER(SEARCH($L$4,'Final Calculation Sheet'!$K$40)))))</f>
        <v/>
      </c>
      <c r="DR42">
        <f>IF($M$4="",1,IF($M$4="(blank)",--('Final Calculation Sheet'!$L$40=""),IF($M$4="(nonblank)",--('Final Calculation Sheet'!$L$40&lt;&gt;""),--ISNUMBER(SEARCH($M$4,'Final Calculation Sheet'!$L$40)))))</f>
        <v/>
      </c>
      <c r="DS42">
        <f>IF($N$4="",1,IF($N$4="(blank)",--('Final Calculation Sheet'!$M$40=""),IF($N$4="(nonblank)",--('Final Calculation Sheet'!$M$40&lt;&gt;""),--ISNUMBER(SEARCH($N$4,'Final Calculation Sheet'!$M$40)))))</f>
        <v/>
      </c>
      <c r="DT42">
        <f>IF($O$4="",1,IF($O$4="(blank)",--('Final Calculation Sheet'!$N$40=""),IF($O$4="(nonblank)",--('Final Calculation Sheet'!$N$40&lt;&gt;""),--ISNUMBER(SEARCH($O$4,'Final Calculation Sheet'!$N$40)))))</f>
        <v/>
      </c>
      <c r="DU42">
        <f>IF($P$4="",1,IF($P$4="(blank)",--('Final Calculation Sheet'!$O$40=""),IF($P$4="(nonblank)",--('Final Calculation Sheet'!$O$40&lt;&gt;""),--ISNUMBER(SEARCH($P$4,'Final Calculation Sheet'!$O$40)))))</f>
        <v/>
      </c>
      <c r="DV42">
        <f>IF($Q$4="",1,IF($Q$4="(blank)",--('Final Calculation Sheet'!$P$40=""),IF($Q$4="(nonblank)",--('Final Calculation Sheet'!$P$40&lt;&gt;""),--ISNUMBER(SEARCH($Q$4,'Final Calculation Sheet'!$P$40)))))</f>
        <v/>
      </c>
      <c r="DW42">
        <f>IF($R$4="",1,IF($R$4="(blank)",--('Final Calculation Sheet'!$Q$40=""),IF($R$4="(nonblank)",--('Final Calculation Sheet'!$Q$40&lt;&gt;""),--ISNUMBER(SEARCH($R$4,'Final Calculation Sheet'!$Q$40)))))</f>
        <v/>
      </c>
      <c r="DX42">
        <f>IF($S$4="",1,IF($S$4="(blank)",--('Final Calculation Sheet'!$R$40=""),IF($S$4="(nonblank)",--('Final Calculation Sheet'!$R$40&lt;&gt;""),--ISNUMBER(SEARCH($S$4,'Final Calculation Sheet'!$R$40)))))</f>
        <v/>
      </c>
      <c r="DY42">
        <f>IF($T$4="",1,IF($T$4="(blank)",--('Final Calculation Sheet'!$S$40=""),IF($T$4="(nonblank)",--('Final Calculation Sheet'!$S$40&lt;&gt;""),--ISNUMBER(SEARCH($T$4,'Final Calculation Sheet'!$S$40)))))</f>
        <v/>
      </c>
      <c r="DZ42">
        <f>IF($U$4="",1,IF($U$4="(blank)",--('Final Calculation Sheet'!$T$40=""),IF($U$4="(nonblank)",--('Final Calculation Sheet'!$T$40&lt;&gt;""),--ISNUMBER(SEARCH($U$4,'Final Calculation Sheet'!$T$40)))))</f>
        <v/>
      </c>
      <c r="EA42">
        <f>IF($V$4="",1,IF($V$4="(blank)",--('Final Calculation Sheet'!$U$40=""),IF($V$4="(nonblank)",--('Final Calculation Sheet'!$U$40&lt;&gt;""),--ISNUMBER(SEARCH($V$4,'Final Calculation Sheet'!$U$40)))))</f>
        <v/>
      </c>
      <c r="EB42">
        <f>IF($W$4="",1,IF($W$4="(blank)",--('Final Calculation Sheet'!$V$40=""),IF($W$4="(nonblank)",--('Final Calculation Sheet'!$V$40&lt;&gt;""),--ISNUMBER(SEARCH($W$4,'Final Calculation Sheet'!$V$40)))))</f>
        <v/>
      </c>
      <c r="EC42">
        <f>IF($X$4="",1,IF($X$4="(blank)",--('Final Calculation Sheet'!$W$40=""),IF($X$4="(nonblank)",--('Final Calculation Sheet'!$W$40&lt;&gt;""),--ISNUMBER(SEARCH($X$4,'Final Calculation Sheet'!$W$40)))))</f>
        <v/>
      </c>
      <c r="ED42">
        <f>IF($Y$4="",1,IF($Y$4="(blank)",--('Final Calculation Sheet'!$X$40=""),IF($Y$4="(nonblank)",--('Final Calculation Sheet'!$X$40&lt;&gt;""),--ISNUMBER(SEARCH($Y$4,'Final Calculation Sheet'!$X$40)))))</f>
        <v/>
      </c>
      <c r="EE42">
        <f>IF($Z$4="",1,IF($Z$4="(blank)",--('Final Calculation Sheet'!$Y$40=""),IF($Z$4="(nonblank)",--('Final Calculation Sheet'!$Y$40&lt;&gt;""),--ISNUMBER(SEARCH($Z$4,'Final Calculation Sheet'!$Y$40)))))</f>
        <v/>
      </c>
      <c r="EF42">
        <f>IF($AA$4="",1,IF($AA$4="(blank)",--('Final Calculation Sheet'!$Z$40=""),IF($AA$4="(nonblank)",--('Final Calculation Sheet'!$Z$40&lt;&gt;""),--ISNUMBER(SEARCH($AA$4,'Final Calculation Sheet'!$Z$40)))))</f>
        <v/>
      </c>
      <c r="EG42">
        <f>IF($AB$4="",1,IF($AB$4="(blank)",--('Final Calculation Sheet'!$AA$40=""),IF($AB$4="(nonblank)",--('Final Calculation Sheet'!$AA$40&lt;&gt;""),--ISNUMBER(SEARCH($AB$4,'Final Calculation Sheet'!$AA$40)))))</f>
        <v/>
      </c>
      <c r="EH42">
        <f>IF($AC$4="",1,IF($AC$4="(blank)",--('Final Calculation Sheet'!$AB$40=""),IF($AC$4="(nonblank)",--('Final Calculation Sheet'!$AB$40&lt;&gt;""),--ISNUMBER(SEARCH($AC$4,'Final Calculation Sheet'!$AB$40)))))</f>
        <v/>
      </c>
      <c r="EI42">
        <f>IF($AD$4="",1,IF($AD$4="(blank)",--('Final Calculation Sheet'!$AC$40=""),IF($AD$4="(nonblank)",--('Final Calculation Sheet'!$AC$40&lt;&gt;""),--ISNUMBER(SEARCH($AD$4,'Final Calculation Sheet'!$AC$40)))))</f>
        <v/>
      </c>
      <c r="EJ42">
        <f>IF($AE$4="",1,IF($AE$4="(blank)",--('Final Calculation Sheet'!$AD$40=""),IF($AE$4="(nonblank)",--('Final Calculation Sheet'!$AD$40&lt;&gt;""),--ISNUMBER(SEARCH($AE$4,'Final Calculation Sheet'!$AD$40)))))</f>
        <v/>
      </c>
      <c r="EK42">
        <f>IF($AF$4="",1,IF($AF$4="(blank)",--(IF('Final Calculation Sheet'!$AD$40&lt;=5,"SETTLED","OUTSTANDING")=""),IF($AF$4="(nonblank)",--(IF('Final Calculation Sheet'!$AD$40&lt;=5,"SETTLED","OUTSTANDING")&lt;&gt;""),--ISNUMBER(SEARCH($AF$4,IF('Final Calculation Sheet'!$AD$40&lt;=5,"SETTLED","OUTSTANDING"))))))</f>
        <v/>
      </c>
      <c r="EL42">
        <f>IF($AG$4="",1,IF($AG$4="(blank)",--('Final Calculation Sheet'!$AF$40=""),IF($AG$4="(nonblank)",--('Final Calculation Sheet'!$AF$40&lt;&gt;""),--ISNUMBER(SEARCH($AG$4,'Final Calculation Sheet'!$AF$40)))))</f>
        <v/>
      </c>
      <c r="EM42">
        <f>IF($AH$4="",1,IF($AH$4="(blank)",--('Final Calculation Sheet'!$AG$40=""),IF($AH$4="(nonblank)",--('Final Calculation Sheet'!$AG$40&lt;&gt;""),--ISNUMBER(SEARCH($AH$4,'Final Calculation Sheet'!$AG$40)))))</f>
        <v/>
      </c>
      <c r="EN42">
        <f>IF($AI$4="",1,IF($AI$4="(blank)",--('Final Calculation Sheet'!$AH$40=""),IF($AI$4="(nonblank)",--('Final Calculation Sheet'!$AH$40&lt;&gt;""),--ISNUMBER(SEARCH($AI$4,'Final Calculation Sheet'!$AH$40)))))</f>
        <v/>
      </c>
    </row>
    <row r="43" outlineLevel="1" hidden="1">
      <c r="A43" s="118">
        <f>IF($AL$43="","",37)</f>
        <v/>
      </c>
      <c r="B43" s="119">
        <f>IF($AL$43="","",IF(INDEX('Final Calculation Sheet'!$F$4:$F$40,$AL$43)="","",INDEX('Final Calculation Sheet'!$F$4:$F$40,$AL$43)))</f>
        <v/>
      </c>
      <c r="C43" s="119">
        <f>IF($AL$43="","",IF(INDEX('Final Calculation Sheet'!$G$4:$G$40,$AL$43)="","",INDEX('Final Calculation Sheet'!$G$4:$G$40,$AL$43)))</f>
        <v/>
      </c>
      <c r="D43" s="121">
        <f>IF($AL$43="","",IF(INDEX('Final Calculation Sheet'!$B$4:$B$40,$AL$43)="","",INDEX('Final Calculation Sheet'!$B$4:$B$40,$AL$43)))</f>
        <v/>
      </c>
      <c r="E43" s="121">
        <f>IF($AL$43="","",IF(INDEX('Final Calculation Sheet'!$D$4:$D$40,$AL$43)="","",INDEX('Final Calculation Sheet'!$D$4:$D$40,$AL$43)))</f>
        <v/>
      </c>
      <c r="F43" s="121">
        <f>IF($AL$43="","",IF(INDEX('Final Calculation Sheet'!$A$4:$A$40,$AL$43)="","",INDEX('Final Calculation Sheet'!$A$4:$A$40,$AL$43)))</f>
        <v/>
      </c>
      <c r="G43" s="121">
        <f>IF($AL$43="","",IF(INDEX('Final Calculation Sheet'!$E$4:$E$40,$AL$43)="","",INDEX('Final Calculation Sheet'!$E$4:$E$40,$AL$43)))</f>
        <v/>
      </c>
      <c r="H43" s="122">
        <f>IF($AL$43="","",IF(INDEX('Final Calculation Sheet'!$C$4:$C$40,$AL$43)="","",INDEX('Final Calculation Sheet'!$C$4:$C$40,$AL$43)))</f>
        <v/>
      </c>
      <c r="I43" s="122">
        <f>IF($AL$43="","",IF(INDEX('Final Calculation Sheet'!$H$4:$H$40,$AL$43)="","",INDEX('Final Calculation Sheet'!$H$4:$H$40,$AL$43)))</f>
        <v/>
      </c>
      <c r="J43" s="122">
        <f>IF($AL$43="","",IF(INDEX('Final Calculation Sheet'!$I$4:$I$40,$AL$43)="","",INDEX('Final Calculation Sheet'!$I$4:$I$40,$AL$43)))</f>
        <v/>
      </c>
      <c r="K43" s="122">
        <f>IF($AL$43="","",IF(INDEX('Final Calculation Sheet'!$J$4:$J$40,$AL$43)="","",INDEX('Final Calculation Sheet'!$J$4:$J$40,$AL$43)))</f>
        <v/>
      </c>
      <c r="L43" s="122">
        <f>IF($AL$43="","",IF(INDEX('Final Calculation Sheet'!$K$4:$K$40,$AL$43)="","",INDEX('Final Calculation Sheet'!$K$4:$K$40,$AL$43)))</f>
        <v/>
      </c>
      <c r="M43" s="122">
        <f>IF($AL$43="","",IF(INDEX('Final Calculation Sheet'!$L$4:$L$40,$AL$43)="","",INDEX('Final Calculation Sheet'!$L$4:$L$40,$AL$43)))</f>
        <v/>
      </c>
      <c r="N43" s="122">
        <f>IF($AL$43="","",IF(INDEX('Final Calculation Sheet'!$M$4:$M$40,$AL$43)="","",INDEX('Final Calculation Sheet'!$M$4:$M$40,$AL$43)))</f>
        <v/>
      </c>
      <c r="O43" s="123">
        <f>IF($AL$43="","",IF(INDEX('Final Calculation Sheet'!$N$4:$N$40,$AL$43)="","",INDEX('Final Calculation Sheet'!$N$4:$N$40,$AL$43)))</f>
        <v/>
      </c>
      <c r="P43" s="122">
        <f>IF($AL$43="","",IF(INDEX('Final Calculation Sheet'!$O$4:$O$40,$AL$43)="","",INDEX('Final Calculation Sheet'!$O$4:$O$40,$AL$43)))</f>
        <v/>
      </c>
      <c r="Q43" s="122">
        <f>IF($AL$43="","",IF(INDEX('Final Calculation Sheet'!$P$4:$P$40,$AL$43)="","",INDEX('Final Calculation Sheet'!$P$4:$P$40,$AL$43)))</f>
        <v/>
      </c>
      <c r="R43" s="124">
        <f>IF($AL$43="","",IF(INDEX('Final Calculation Sheet'!$Q$4:$Q$40,$AL$43)="","",INDEX('Final Calculation Sheet'!$Q$4:$Q$40,$AL$43)))</f>
        <v/>
      </c>
      <c r="S43" s="122">
        <f>IF($AL$43="","",IF(INDEX('Final Calculation Sheet'!$R$4:$R$40,$AL$43)="","",INDEX('Final Calculation Sheet'!$R$4:$R$40,$AL$43)))</f>
        <v/>
      </c>
      <c r="T43" s="122">
        <f>IF($AL$43="","",IF(INDEX('Final Calculation Sheet'!$S$4:$S$40,$AL$43)="","",INDEX('Final Calculation Sheet'!$S$4:$S$40,$AL$43)))</f>
        <v/>
      </c>
      <c r="U43" s="122">
        <f>IF($AL$43="","",IF(INDEX('Final Calculation Sheet'!$T$4:$T$40,$AL$43)="","",INDEX('Final Calculation Sheet'!$T$4:$T$40,$AL$43)))</f>
        <v/>
      </c>
      <c r="V43" s="125">
        <f>IF($AL$43="","",IF(INDEX('Final Calculation Sheet'!$U$4:$U$40,$AL$43)="","",INDEX('Final Calculation Sheet'!$U$4:$U$40,$AL$43)))</f>
        <v/>
      </c>
      <c r="W43" s="122">
        <f>IF($AL$43="","",IF(INDEX('Final Calculation Sheet'!$V$4:$V$40,$AL$43)="","",INDEX('Final Calculation Sheet'!$V$4:$V$40,$AL$43)))</f>
        <v/>
      </c>
      <c r="X43" s="122">
        <f>IF($AL$43="","",IF(INDEX('Final Calculation Sheet'!$W$4:$W$40,$AL$43)="","",INDEX('Final Calculation Sheet'!$W$4:$W$40,$AL$43)))</f>
        <v/>
      </c>
      <c r="Y43" s="122">
        <f>IF($AL$43="","",IF(INDEX('Final Calculation Sheet'!$X$4:$X$40,$AL$43)="","",INDEX('Final Calculation Sheet'!$X$4:$X$40,$AL$43)))</f>
        <v/>
      </c>
      <c r="Z43" s="122">
        <f>IF($AL$43="","",IF(INDEX('Final Calculation Sheet'!$Y$4:$Y$40,$AL$43)="","",INDEX('Final Calculation Sheet'!$Y$4:$Y$40,$AL$43)))</f>
        <v/>
      </c>
      <c r="AA43" s="122">
        <f>IF($AL$43="","",IF(INDEX('Final Calculation Sheet'!$Z$4:$Z$40,$AL$43)="","",INDEX('Final Calculation Sheet'!$Z$4:$Z$40,$AL$43)))</f>
        <v/>
      </c>
      <c r="AB43" s="122">
        <f>IF($AL$43="","",IF(INDEX('Final Calculation Sheet'!$AA$4:$AA$40,$AL$43)="","",INDEX('Final Calculation Sheet'!$AA$4:$AA$40,$AL$43)))</f>
        <v/>
      </c>
      <c r="AC43" s="122">
        <f>IF($AL$43="","",IF(INDEX('Final Calculation Sheet'!$AB$4:$AB$40,$AL$43)="","",INDEX('Final Calculation Sheet'!$AB$4:$AB$40,$AL$43)))</f>
        <v/>
      </c>
      <c r="AD43" s="122">
        <f>IF($AL$43="","",IF(INDEX('Final Calculation Sheet'!$AC$4:$AC$40,$AL$43)="","",INDEX('Final Calculation Sheet'!$AC$4:$AC$40,$AL$43)))</f>
        <v/>
      </c>
      <c r="AE43" s="122">
        <f>IF($AL$43="","",IF(INDEX('Final Calculation Sheet'!$AD$4:$AD$40,$AL$43)="","",INDEX('Final Calculation Sheet'!$AD$4:$AD$40,$AL$43)))</f>
        <v/>
      </c>
      <c r="AF43" s="127">
        <f>IF($AL$43="","",IF(INDEX('Final Calculation Sheet'!$AD$4:$AD$40,$AL$43)&lt;=5,"SETTLED","OUTSTANDING"))</f>
        <v/>
      </c>
      <c r="AG43" s="122">
        <f>IF($AL$43="","",IF(INDEX('Final Calculation Sheet'!$AF$4:$AF$40,$AL$43)="","",INDEX('Final Calculation Sheet'!$AF$4:$AF$40,$AL$43)))</f>
        <v/>
      </c>
      <c r="AH43" s="126">
        <f>IF($AL$43="","",IF(INDEX('Final Calculation Sheet'!$AG$4:$AG$40,$AL$43)="","",INDEX('Final Calculation Sheet'!$AG$4:$AG$40,$AL$43)))</f>
        <v/>
      </c>
      <c r="AI43" s="122">
        <f>IF($AL$43="","",IF(INDEX('Final Calculation Sheet'!$AH$4:$AH$40,$AL$43)="","",INDEX('Final Calculation Sheet'!$AH$4:$AH$40,$AL$43)))</f>
        <v/>
      </c>
      <c r="AL43">
        <f>IF(COUNTIF($B$4:$AI$4,"&lt;&gt;")=0,"",IFERROR(MATCH(37,$AK$6:$AK$42,0),""))</f>
        <v/>
      </c>
    </row>
    <row r="45" outlineLevel="1" ht="15" customHeight="1" s="137">
      <c r="A45" s="67" t="n">
        <v>1</v>
      </c>
      <c r="B45" s="76">
        <f>IF('Final Calculation Sheet'!$F$4="","",'Final Calculation Sheet'!$F$4)</f>
        <v/>
      </c>
      <c r="C45" s="76">
        <f>IF('Final Calculation Sheet'!$G$4="","",'Final Calculation Sheet'!$G$4)</f>
        <v/>
      </c>
      <c r="D45" s="80">
        <f>IF('Final Calculation Sheet'!$B$4="","",'Final Calculation Sheet'!$B$4)</f>
        <v/>
      </c>
      <c r="E45" s="80">
        <f>IF('Final Calculation Sheet'!$D$4="","",'Final Calculation Sheet'!$D$4)</f>
        <v/>
      </c>
      <c r="F45" s="80">
        <f>IF('Final Calculation Sheet'!$A$4="","",'Final Calculation Sheet'!$A$4)</f>
        <v/>
      </c>
      <c r="G45" s="80">
        <f>IF('Final Calculation Sheet'!$E$4="","",'Final Calculation Sheet'!$E$4)</f>
        <v/>
      </c>
      <c r="H45" s="70">
        <f>IF('Final Calculation Sheet'!$C$4="","",'Final Calculation Sheet'!$C$4)</f>
        <v/>
      </c>
      <c r="I45" s="70">
        <f>IF('Final Calculation Sheet'!$H$4="","",'Final Calculation Sheet'!$H$4)</f>
        <v/>
      </c>
      <c r="J45" s="70">
        <f>IF('Final Calculation Sheet'!$I$4="","",'Final Calculation Sheet'!$I$4)</f>
        <v/>
      </c>
      <c r="K45" s="70">
        <f>IF('Final Calculation Sheet'!$J$4="","",'Final Calculation Sheet'!$J$4)</f>
        <v/>
      </c>
      <c r="L45" s="70">
        <f>IF('Final Calculation Sheet'!$K$4="","",'Final Calculation Sheet'!$K$4)</f>
        <v/>
      </c>
      <c r="M45" s="70">
        <f>IF('Final Calculation Sheet'!$L$4="","",'Final Calculation Sheet'!$L$4)</f>
        <v/>
      </c>
      <c r="N45" s="70">
        <f>IF('Final Calculation Sheet'!$M$4="","",'Final Calculation Sheet'!$M$4)</f>
        <v/>
      </c>
      <c r="O45" s="71">
        <f>IF('Final Calculation Sheet'!$N$4="","",'Final Calculation Sheet'!$N$4)</f>
        <v/>
      </c>
      <c r="P45" s="70">
        <f>IF('Final Calculation Sheet'!$O$4="","",'Final Calculation Sheet'!$O$4)</f>
        <v/>
      </c>
      <c r="Q45" s="70">
        <f>IF('Final Calculation Sheet'!$P$4="","",'Final Calculation Sheet'!$P$4)</f>
        <v/>
      </c>
      <c r="R45" s="72">
        <f>IF('Final Calculation Sheet'!$Q$4="","",'Final Calculation Sheet'!$Q$4)</f>
        <v/>
      </c>
      <c r="S45" s="70">
        <f>IF('Final Calculation Sheet'!$R$4="","",'Final Calculation Sheet'!$R$4)</f>
        <v/>
      </c>
      <c r="T45" s="70">
        <f>IF('Final Calculation Sheet'!$S$4="","",'Final Calculation Sheet'!$S$4)</f>
        <v/>
      </c>
      <c r="U45" s="70">
        <f>IF('Final Calculation Sheet'!$T$4="","",'Final Calculation Sheet'!$T$4)</f>
        <v/>
      </c>
      <c r="V45" s="73">
        <f>IF('Final Calculation Sheet'!$U$4="","",'Final Calculation Sheet'!$U$4)</f>
        <v/>
      </c>
      <c r="W45" s="70">
        <f>IF('Final Calculation Sheet'!$V$4="","",'Final Calculation Sheet'!$V$4)</f>
        <v/>
      </c>
      <c r="X45" s="70">
        <f>IF('Final Calculation Sheet'!$W$4="","",'Final Calculation Sheet'!$W$4)</f>
        <v/>
      </c>
      <c r="Y45" s="70">
        <f>IF('Final Calculation Sheet'!$X$4="","",'Final Calculation Sheet'!$X$4)</f>
        <v/>
      </c>
      <c r="Z45" s="70">
        <f>IF('Final Calculation Sheet'!$Y$4="","",'Final Calculation Sheet'!$Y$4)</f>
        <v/>
      </c>
      <c r="AA45" s="70">
        <f>IF('Final Calculation Sheet'!$Z$4="","",'Final Calculation Sheet'!$Z$4)</f>
        <v/>
      </c>
      <c r="AB45" s="70">
        <f>IF('Final Calculation Sheet'!$AA$4="","",'Final Calculation Sheet'!$AA$4)</f>
        <v/>
      </c>
      <c r="AC45" s="70">
        <f>IF('Final Calculation Sheet'!$AB$4="","",'Final Calculation Sheet'!$AB$4)</f>
        <v/>
      </c>
      <c r="AD45" s="70">
        <f>IF('Final Calculation Sheet'!$AC$4="","",'Final Calculation Sheet'!$AC$4)</f>
        <v/>
      </c>
      <c r="AE45" s="70">
        <f>IF('Final Calculation Sheet'!$AD$4="","",'Final Calculation Sheet'!$AD$4)</f>
        <v/>
      </c>
      <c r="AF45" s="75">
        <f>IF('Final Calculation Sheet'!$AD$4="","",IF('Final Calculation Sheet'!$AD$4&lt;=5,"SETTLED","OUTSTANDING"))</f>
        <v/>
      </c>
      <c r="AG45" s="70">
        <f>IF('Final Calculation Sheet'!$AF$4="","",'Final Calculation Sheet'!$AF$4)</f>
        <v/>
      </c>
      <c r="AH45" s="74">
        <f>IF('Final Calculation Sheet'!$AG$4="","",'Final Calculation Sheet'!$AG$4)</f>
        <v/>
      </c>
      <c r="AI45" s="70">
        <f>IF('Final Calculation Sheet'!$AH$4="","",'Final Calculation Sheet'!$AH$4)</f>
        <v/>
      </c>
    </row>
    <row r="46" ht="15" customHeight="1" s="137">
      <c r="A46" s="81" t="inlineStr">
        <is>
          <t>∑</t>
        </is>
      </c>
      <c r="B46" s="83" t="n"/>
      <c r="C46" s="83">
        <f>ROWS($C$45:$C$45)&amp;" lot(s)"</f>
        <v/>
      </c>
      <c r="D46" s="83" t="inlineStr">
        <is>
          <t>SUBTOTAL — AL HAMD TRADE CORPORATION</t>
        </is>
      </c>
      <c r="E46" s="83" t="inlineStr">
        <is>
          <t>–</t>
        </is>
      </c>
      <c r="F46" s="83">
        <f>SUM(F45:F45)</f>
        <v/>
      </c>
      <c r="G46" s="83" t="inlineStr">
        <is>
          <t>–</t>
        </is>
      </c>
      <c r="H46" s="84" t="inlineStr">
        <is>
          <t>–</t>
        </is>
      </c>
      <c r="I46" s="84">
        <f>SUM(I45:I45)</f>
        <v/>
      </c>
      <c r="J46" s="84">
        <f>SUM(J45:J45)</f>
        <v/>
      </c>
      <c r="K46" s="84">
        <f>SUM(K45:K45)</f>
        <v/>
      </c>
      <c r="L46" s="84">
        <f>SUM(L45:L45)</f>
        <v/>
      </c>
      <c r="M46" s="84">
        <f>SUM(M45:M45)</f>
        <v/>
      </c>
      <c r="N46" s="84">
        <f>SUM(N45:N45)</f>
        <v/>
      </c>
      <c r="O46" s="85">
        <f>SUM(O45:O45)</f>
        <v/>
      </c>
      <c r="P46" s="84">
        <f>SUM(P45:P45)</f>
        <v/>
      </c>
      <c r="Q46" s="84">
        <f>SUM(Q45:Q45)</f>
        <v/>
      </c>
      <c r="R46" s="86" t="inlineStr">
        <is>
          <t>–</t>
        </is>
      </c>
      <c r="S46" s="84">
        <f>SUM(S45:S45)</f>
        <v/>
      </c>
      <c r="T46" s="84">
        <f>SUM(T45:T45)</f>
        <v/>
      </c>
      <c r="U46" s="84">
        <f>SUM(U45:U45)</f>
        <v/>
      </c>
      <c r="V46" s="87">
        <f>SUM(V45:V45)</f>
        <v/>
      </c>
      <c r="W46" s="84" t="inlineStr">
        <is>
          <t>–</t>
        </is>
      </c>
      <c r="X46" s="84">
        <f>SUM(X45:X45)</f>
        <v/>
      </c>
      <c r="Y46" s="84">
        <f>SUM(Y45:Y45)</f>
        <v/>
      </c>
      <c r="Z46" s="84" t="inlineStr">
        <is>
          <t>–</t>
        </is>
      </c>
      <c r="AA46" s="84">
        <f>SUM(AA45:AA45)</f>
        <v/>
      </c>
      <c r="AB46" s="84">
        <f>SUM(AB45:AB45)</f>
        <v/>
      </c>
      <c r="AC46" s="84" t="inlineStr">
        <is>
          <t>–</t>
        </is>
      </c>
      <c r="AD46" s="84">
        <f>SUM(AD45:AD45)</f>
        <v/>
      </c>
      <c r="AE46" s="84">
        <f>SUM(AE45:AE45)</f>
        <v/>
      </c>
      <c r="AF46" s="89">
        <f>IF(AE46&lt;=5,"SETTLED","OUTSTANDING")</f>
        <v/>
      </c>
      <c r="AG46" s="84" t="inlineStr">
        <is>
          <t>–</t>
        </is>
      </c>
      <c r="AH46" s="88" t="inlineStr">
        <is>
          <t>–</t>
        </is>
      </c>
      <c r="AI46" s="84" t="inlineStr">
        <is>
          <t>–</t>
        </is>
      </c>
    </row>
    <row r="47" outlineLevel="1" ht="15" customHeight="1" s="137">
      <c r="A47" s="67" t="n">
        <v>1</v>
      </c>
      <c r="B47" s="76">
        <f>IF('Final Calculation Sheet'!$F$6="","",'Final Calculation Sheet'!$F$6)</f>
        <v/>
      </c>
      <c r="C47" s="76">
        <f>IF('Final Calculation Sheet'!$G$6="","",'Final Calculation Sheet'!$G$6)</f>
        <v/>
      </c>
      <c r="D47" s="80">
        <f>IF('Final Calculation Sheet'!$B$6="","",'Final Calculation Sheet'!$B$6)</f>
        <v/>
      </c>
      <c r="E47" s="80">
        <f>IF('Final Calculation Sheet'!$D$6="","",'Final Calculation Sheet'!$D$6)</f>
        <v/>
      </c>
      <c r="F47" s="80">
        <f>IF('Final Calculation Sheet'!$A$6="","",'Final Calculation Sheet'!$A$6)</f>
        <v/>
      </c>
      <c r="G47" s="80">
        <f>IF('Final Calculation Sheet'!$E$6="","",'Final Calculation Sheet'!$E$6)</f>
        <v/>
      </c>
      <c r="H47" s="70">
        <f>IF('Final Calculation Sheet'!$C$6="","",'Final Calculation Sheet'!$C$6)</f>
        <v/>
      </c>
      <c r="I47" s="70">
        <f>IF('Final Calculation Sheet'!$H$6="","",'Final Calculation Sheet'!$H$6)</f>
        <v/>
      </c>
      <c r="J47" s="70">
        <f>IF('Final Calculation Sheet'!$I$6="","",'Final Calculation Sheet'!$I$6)</f>
        <v/>
      </c>
      <c r="K47" s="70">
        <f>IF('Final Calculation Sheet'!$J$6="","",'Final Calculation Sheet'!$J$6)</f>
        <v/>
      </c>
      <c r="L47" s="70">
        <f>IF('Final Calculation Sheet'!$K$6="","",'Final Calculation Sheet'!$K$6)</f>
        <v/>
      </c>
      <c r="M47" s="70">
        <f>IF('Final Calculation Sheet'!$L$6="","",'Final Calculation Sheet'!$L$6)</f>
        <v/>
      </c>
      <c r="N47" s="70">
        <f>IF('Final Calculation Sheet'!$M$6="","",'Final Calculation Sheet'!$M$6)</f>
        <v/>
      </c>
      <c r="O47" s="71">
        <f>IF('Final Calculation Sheet'!$N$6="","",'Final Calculation Sheet'!$N$6)</f>
        <v/>
      </c>
      <c r="P47" s="70">
        <f>IF('Final Calculation Sheet'!$O$6="","",'Final Calculation Sheet'!$O$6)</f>
        <v/>
      </c>
      <c r="Q47" s="70">
        <f>IF('Final Calculation Sheet'!$P$6="","",'Final Calculation Sheet'!$P$6)</f>
        <v/>
      </c>
      <c r="R47" s="72">
        <f>IF('Final Calculation Sheet'!$Q$6="","",'Final Calculation Sheet'!$Q$6)</f>
        <v/>
      </c>
      <c r="S47" s="70">
        <f>IF('Final Calculation Sheet'!$R$6="","",'Final Calculation Sheet'!$R$6)</f>
        <v/>
      </c>
      <c r="T47" s="70">
        <f>IF('Final Calculation Sheet'!$S$6="","",'Final Calculation Sheet'!$S$6)</f>
        <v/>
      </c>
      <c r="U47" s="70">
        <f>IF('Final Calculation Sheet'!$T$6="","",'Final Calculation Sheet'!$T$6)</f>
        <v/>
      </c>
      <c r="V47" s="73">
        <f>IF('Final Calculation Sheet'!$U$6="","",'Final Calculation Sheet'!$U$6)</f>
        <v/>
      </c>
      <c r="W47" s="70">
        <f>IF('Final Calculation Sheet'!$V$6="","",'Final Calculation Sheet'!$V$6)</f>
        <v/>
      </c>
      <c r="X47" s="70">
        <f>IF('Final Calculation Sheet'!$W$6="","",'Final Calculation Sheet'!$W$6)</f>
        <v/>
      </c>
      <c r="Y47" s="70">
        <f>IF('Final Calculation Sheet'!$X$6="","",'Final Calculation Sheet'!$X$6)</f>
        <v/>
      </c>
      <c r="Z47" s="70">
        <f>IF('Final Calculation Sheet'!$Y$6="","",'Final Calculation Sheet'!$Y$6)</f>
        <v/>
      </c>
      <c r="AA47" s="70">
        <f>IF('Final Calculation Sheet'!$Z$6="","",'Final Calculation Sheet'!$Z$6)</f>
        <v/>
      </c>
      <c r="AB47" s="70">
        <f>IF('Final Calculation Sheet'!$AA$6="","",'Final Calculation Sheet'!$AA$6)</f>
        <v/>
      </c>
      <c r="AC47" s="70">
        <f>IF('Final Calculation Sheet'!$AB$6="","",'Final Calculation Sheet'!$AB$6)</f>
        <v/>
      </c>
      <c r="AD47" s="70">
        <f>IF('Final Calculation Sheet'!$AC$6="","",'Final Calculation Sheet'!$AC$6)</f>
        <v/>
      </c>
      <c r="AE47" s="70">
        <f>IF('Final Calculation Sheet'!$AD$6="","",'Final Calculation Sheet'!$AD$6)</f>
        <v/>
      </c>
      <c r="AF47" s="75">
        <f>IF('Final Calculation Sheet'!$AD$6="","",IF('Final Calculation Sheet'!$AD$6&lt;=5,"SETTLED","OUTSTANDING"))</f>
        <v/>
      </c>
      <c r="AG47" s="70">
        <f>IF('Final Calculation Sheet'!$AF$6="","",'Final Calculation Sheet'!$AF$6)</f>
        <v/>
      </c>
      <c r="AH47" s="74">
        <f>IF('Final Calculation Sheet'!$AG$6="","",'Final Calculation Sheet'!$AG$6)</f>
        <v/>
      </c>
      <c r="AI47" s="70">
        <f>IF('Final Calculation Sheet'!$AH$6="","",'Final Calculation Sheet'!$AH$6)</f>
        <v/>
      </c>
    </row>
    <row r="48" outlineLevel="1" ht="15" customHeight="1" s="137">
      <c r="A48" s="90" t="n">
        <v>2</v>
      </c>
      <c r="B48" s="92">
        <f>IF('Final Calculation Sheet'!$F$7="","",'Final Calculation Sheet'!$F$7)</f>
        <v/>
      </c>
      <c r="C48" s="92">
        <f>IF('Final Calculation Sheet'!$G$7="","",'Final Calculation Sheet'!$G$7)</f>
        <v/>
      </c>
      <c r="D48" s="94">
        <f>IF('Final Calculation Sheet'!$B$7="","",'Final Calculation Sheet'!$B$7)</f>
        <v/>
      </c>
      <c r="E48" s="94">
        <f>IF('Final Calculation Sheet'!$D$7="","",'Final Calculation Sheet'!$D$7)</f>
        <v/>
      </c>
      <c r="F48" s="94">
        <f>IF('Final Calculation Sheet'!$A$7="","",'Final Calculation Sheet'!$A$7)</f>
        <v/>
      </c>
      <c r="G48" s="94">
        <f>IF('Final Calculation Sheet'!$E$7="","",'Final Calculation Sheet'!$E$7)</f>
        <v/>
      </c>
      <c r="H48" s="95">
        <f>IF('Final Calculation Sheet'!$C$7="","",'Final Calculation Sheet'!$C$7)</f>
        <v/>
      </c>
      <c r="I48" s="95">
        <f>IF('Final Calculation Sheet'!$H$7="","",'Final Calculation Sheet'!$H$7)</f>
        <v/>
      </c>
      <c r="J48" s="95">
        <f>IF('Final Calculation Sheet'!$I$7="","",'Final Calculation Sheet'!$I$7)</f>
        <v/>
      </c>
      <c r="K48" s="95">
        <f>IF('Final Calculation Sheet'!$J$7="","",'Final Calculation Sheet'!$J$7)</f>
        <v/>
      </c>
      <c r="L48" s="95">
        <f>IF('Final Calculation Sheet'!$K$7="","",'Final Calculation Sheet'!$K$7)</f>
        <v/>
      </c>
      <c r="M48" s="95">
        <f>IF('Final Calculation Sheet'!$L$7="","",'Final Calculation Sheet'!$L$7)</f>
        <v/>
      </c>
      <c r="N48" s="95">
        <f>IF('Final Calculation Sheet'!$M$7="","",'Final Calculation Sheet'!$M$7)</f>
        <v/>
      </c>
      <c r="O48" s="96">
        <f>IF('Final Calculation Sheet'!$N$7="","",'Final Calculation Sheet'!$N$7)</f>
        <v/>
      </c>
      <c r="P48" s="95">
        <f>IF('Final Calculation Sheet'!$O$7="","",'Final Calculation Sheet'!$O$7)</f>
        <v/>
      </c>
      <c r="Q48" s="95">
        <f>IF('Final Calculation Sheet'!$P$7="","",'Final Calculation Sheet'!$P$7)</f>
        <v/>
      </c>
      <c r="R48" s="97">
        <f>IF('Final Calculation Sheet'!$Q$7="","",'Final Calculation Sheet'!$Q$7)</f>
        <v/>
      </c>
      <c r="S48" s="95">
        <f>IF('Final Calculation Sheet'!$R$7="","",'Final Calculation Sheet'!$R$7)</f>
        <v/>
      </c>
      <c r="T48" s="95">
        <f>IF('Final Calculation Sheet'!$S$7="","",'Final Calculation Sheet'!$S$7)</f>
        <v/>
      </c>
      <c r="U48" s="95">
        <f>IF('Final Calculation Sheet'!$T$7="","",'Final Calculation Sheet'!$T$7)</f>
        <v/>
      </c>
      <c r="V48" s="98">
        <f>IF('Final Calculation Sheet'!$U$7="","",'Final Calculation Sheet'!$U$7)</f>
        <v/>
      </c>
      <c r="W48" s="95">
        <f>IF('Final Calculation Sheet'!$V$7="","",'Final Calculation Sheet'!$V$7)</f>
        <v/>
      </c>
      <c r="X48" s="95">
        <f>IF('Final Calculation Sheet'!$W$7="","",'Final Calculation Sheet'!$W$7)</f>
        <v/>
      </c>
      <c r="Y48" s="95">
        <f>IF('Final Calculation Sheet'!$X$7="","",'Final Calculation Sheet'!$X$7)</f>
        <v/>
      </c>
      <c r="Z48" s="95">
        <f>IF('Final Calculation Sheet'!$Y$7="","",'Final Calculation Sheet'!$Y$7)</f>
        <v/>
      </c>
      <c r="AA48" s="95">
        <f>IF('Final Calculation Sheet'!$Z$7="","",'Final Calculation Sheet'!$Z$7)</f>
        <v/>
      </c>
      <c r="AB48" s="95">
        <f>IF('Final Calculation Sheet'!$AA$7="","",'Final Calculation Sheet'!$AA$7)</f>
        <v/>
      </c>
      <c r="AC48" s="95">
        <f>IF('Final Calculation Sheet'!$AB$7="","",'Final Calculation Sheet'!$AB$7)</f>
        <v/>
      </c>
      <c r="AD48" s="95">
        <f>IF('Final Calculation Sheet'!$AC$7="","",'Final Calculation Sheet'!$AC$7)</f>
        <v/>
      </c>
      <c r="AE48" s="95">
        <f>IF('Final Calculation Sheet'!$AD$7="","",'Final Calculation Sheet'!$AD$7)</f>
        <v/>
      </c>
      <c r="AF48" s="100">
        <f>IF('Final Calculation Sheet'!$AD$7="","",IF('Final Calculation Sheet'!$AD$7&lt;=5,"SETTLED","OUTSTANDING"))</f>
        <v/>
      </c>
      <c r="AG48" s="95">
        <f>IF('Final Calculation Sheet'!$AF$7="","",'Final Calculation Sheet'!$AF$7)</f>
        <v/>
      </c>
      <c r="AH48" s="99">
        <f>IF('Final Calculation Sheet'!$AG$7="","",'Final Calculation Sheet'!$AG$7)</f>
        <v/>
      </c>
      <c r="AI48" s="95">
        <f>IF('Final Calculation Sheet'!$AH$7="","",'Final Calculation Sheet'!$AH$7)</f>
        <v/>
      </c>
    </row>
    <row r="49" ht="15" customHeight="1" s="137">
      <c r="A49" s="81" t="inlineStr">
        <is>
          <t>∑</t>
        </is>
      </c>
      <c r="B49" s="83" t="n"/>
      <c r="C49" s="83">
        <f>ROWS($C$47:$C$48)&amp;" lot(s)"</f>
        <v/>
      </c>
      <c r="D49" s="83" t="inlineStr">
        <is>
          <t>SUBTOTAL — F R KHANS ENTERPRISES</t>
        </is>
      </c>
      <c r="E49" s="83" t="inlineStr">
        <is>
          <t>–</t>
        </is>
      </c>
      <c r="F49" s="83">
        <f>SUM(F47:F48)</f>
        <v/>
      </c>
      <c r="G49" s="83" t="inlineStr">
        <is>
          <t>–</t>
        </is>
      </c>
      <c r="H49" s="84" t="inlineStr">
        <is>
          <t>–</t>
        </is>
      </c>
      <c r="I49" s="84">
        <f>SUM(I47:I48)</f>
        <v/>
      </c>
      <c r="J49" s="84">
        <f>SUM(J47:J48)</f>
        <v/>
      </c>
      <c r="K49" s="84">
        <f>SUM(K47:K48)</f>
        <v/>
      </c>
      <c r="L49" s="84">
        <f>SUM(L47:L48)</f>
        <v/>
      </c>
      <c r="M49" s="84">
        <f>SUM(M47:M48)</f>
        <v/>
      </c>
      <c r="N49" s="84">
        <f>SUM(N47:N48)</f>
        <v/>
      </c>
      <c r="O49" s="85">
        <f>SUM(O47:O48)</f>
        <v/>
      </c>
      <c r="P49" s="84">
        <f>SUM(P47:P48)</f>
        <v/>
      </c>
      <c r="Q49" s="84">
        <f>SUM(Q47:Q48)</f>
        <v/>
      </c>
      <c r="R49" s="86" t="inlineStr">
        <is>
          <t>–</t>
        </is>
      </c>
      <c r="S49" s="84">
        <f>SUM(S47:S48)</f>
        <v/>
      </c>
      <c r="T49" s="84">
        <f>SUM(T47:T48)</f>
        <v/>
      </c>
      <c r="U49" s="84">
        <f>SUM(U47:U48)</f>
        <v/>
      </c>
      <c r="V49" s="87">
        <f>SUM(V47:V48)</f>
        <v/>
      </c>
      <c r="W49" s="84" t="inlineStr">
        <is>
          <t>–</t>
        </is>
      </c>
      <c r="X49" s="84">
        <f>SUM(X47:X48)</f>
        <v/>
      </c>
      <c r="Y49" s="84">
        <f>SUM(Y47:Y48)</f>
        <v/>
      </c>
      <c r="Z49" s="84" t="inlineStr">
        <is>
          <t>–</t>
        </is>
      </c>
      <c r="AA49" s="84">
        <f>SUM(AA47:AA48)</f>
        <v/>
      </c>
      <c r="AB49" s="84">
        <f>SUM(AB47:AB48)</f>
        <v/>
      </c>
      <c r="AC49" s="84" t="inlineStr">
        <is>
          <t>–</t>
        </is>
      </c>
      <c r="AD49" s="84">
        <f>SUM(AD47:AD48)</f>
        <v/>
      </c>
      <c r="AE49" s="84">
        <f>SUM(AE47:AE48)</f>
        <v/>
      </c>
      <c r="AF49" s="89">
        <f>IF(AE49&lt;=5,"SETTLED","OUTSTANDING")</f>
        <v/>
      </c>
      <c r="AG49" s="84" t="inlineStr">
        <is>
          <t>–</t>
        </is>
      </c>
      <c r="AH49" s="88" t="inlineStr">
        <is>
          <t>–</t>
        </is>
      </c>
      <c r="AI49" s="84" t="inlineStr">
        <is>
          <t>–</t>
        </is>
      </c>
    </row>
    <row r="50" outlineLevel="1" ht="15" customHeight="1" s="137">
      <c r="A50" s="67" t="n">
        <v>1</v>
      </c>
      <c r="B50" s="76">
        <f>IF('Final Calculation Sheet'!$F$15="","",'Final Calculation Sheet'!$F$15)</f>
        <v/>
      </c>
      <c r="C50" s="76">
        <f>IF('Final Calculation Sheet'!$G$15="","",'Final Calculation Sheet'!$G$15)</f>
        <v/>
      </c>
      <c r="D50" s="80">
        <f>IF('Final Calculation Sheet'!$B$15="","",'Final Calculation Sheet'!$B$15)</f>
        <v/>
      </c>
      <c r="E50" s="80">
        <f>IF('Final Calculation Sheet'!$D$15="","",'Final Calculation Sheet'!$D$15)</f>
        <v/>
      </c>
      <c r="F50" s="80">
        <f>IF('Final Calculation Sheet'!$A$15="","",'Final Calculation Sheet'!$A$15)</f>
        <v/>
      </c>
      <c r="G50" s="80">
        <f>IF('Final Calculation Sheet'!$E$15="","",'Final Calculation Sheet'!$E$15)</f>
        <v/>
      </c>
      <c r="H50" s="70">
        <f>IF('Final Calculation Sheet'!$C$15="","",'Final Calculation Sheet'!$C$15)</f>
        <v/>
      </c>
      <c r="I50" s="70">
        <f>IF('Final Calculation Sheet'!$H$15="","",'Final Calculation Sheet'!$H$15)</f>
        <v/>
      </c>
      <c r="J50" s="70">
        <f>IF('Final Calculation Sheet'!$I$15="","",'Final Calculation Sheet'!$I$15)</f>
        <v/>
      </c>
      <c r="K50" s="70">
        <f>IF('Final Calculation Sheet'!$J$15="","",'Final Calculation Sheet'!$J$15)</f>
        <v/>
      </c>
      <c r="L50" s="70">
        <f>IF('Final Calculation Sheet'!$K$15="","",'Final Calculation Sheet'!$K$15)</f>
        <v/>
      </c>
      <c r="M50" s="70">
        <f>IF('Final Calculation Sheet'!$L$15="","",'Final Calculation Sheet'!$L$15)</f>
        <v/>
      </c>
      <c r="N50" s="70">
        <f>IF('Final Calculation Sheet'!$M$15="","",'Final Calculation Sheet'!$M$15)</f>
        <v/>
      </c>
      <c r="O50" s="71">
        <f>IF('Final Calculation Sheet'!$N$15="","",'Final Calculation Sheet'!$N$15)</f>
        <v/>
      </c>
      <c r="P50" s="70">
        <f>IF('Final Calculation Sheet'!$O$15="","",'Final Calculation Sheet'!$O$15)</f>
        <v/>
      </c>
      <c r="Q50" s="70">
        <f>IF('Final Calculation Sheet'!$P$15="","",'Final Calculation Sheet'!$P$15)</f>
        <v/>
      </c>
      <c r="R50" s="72">
        <f>IF('Final Calculation Sheet'!$Q$15="","",'Final Calculation Sheet'!$Q$15)</f>
        <v/>
      </c>
      <c r="S50" s="70">
        <f>IF('Final Calculation Sheet'!$R$15="","",'Final Calculation Sheet'!$R$15)</f>
        <v/>
      </c>
      <c r="T50" s="70">
        <f>IF('Final Calculation Sheet'!$S$15="","",'Final Calculation Sheet'!$S$15)</f>
        <v/>
      </c>
      <c r="U50" s="70">
        <f>IF('Final Calculation Sheet'!$T$15="","",'Final Calculation Sheet'!$T$15)</f>
        <v/>
      </c>
      <c r="V50" s="73">
        <f>IF('Final Calculation Sheet'!$U$15="","",'Final Calculation Sheet'!$U$15)</f>
        <v/>
      </c>
      <c r="W50" s="70">
        <f>IF('Final Calculation Sheet'!$V$15="","",'Final Calculation Sheet'!$V$15)</f>
        <v/>
      </c>
      <c r="X50" s="70">
        <f>IF('Final Calculation Sheet'!$W$15="","",'Final Calculation Sheet'!$W$15)</f>
        <v/>
      </c>
      <c r="Y50" s="70">
        <f>IF('Final Calculation Sheet'!$X$15="","",'Final Calculation Sheet'!$X$15)</f>
        <v/>
      </c>
      <c r="Z50" s="70">
        <f>IF('Final Calculation Sheet'!$Y$15="","",'Final Calculation Sheet'!$Y$15)</f>
        <v/>
      </c>
      <c r="AA50" s="70">
        <f>IF('Final Calculation Sheet'!$Z$15="","",'Final Calculation Sheet'!$Z$15)</f>
        <v/>
      </c>
      <c r="AB50" s="70">
        <f>IF('Final Calculation Sheet'!$AA$15="","",'Final Calculation Sheet'!$AA$15)</f>
        <v/>
      </c>
      <c r="AC50" s="70">
        <f>IF('Final Calculation Sheet'!$AB$15="","",'Final Calculation Sheet'!$AB$15)</f>
        <v/>
      </c>
      <c r="AD50" s="70">
        <f>IF('Final Calculation Sheet'!$AC$15="","",'Final Calculation Sheet'!$AC$15)</f>
        <v/>
      </c>
      <c r="AE50" s="70">
        <f>IF('Final Calculation Sheet'!$AD$15="","",'Final Calculation Sheet'!$AD$15)</f>
        <v/>
      </c>
      <c r="AF50" s="75">
        <f>IF('Final Calculation Sheet'!$AD$15="","",IF('Final Calculation Sheet'!$AD$15&lt;=5,"SETTLED","OUTSTANDING"))</f>
        <v/>
      </c>
      <c r="AG50" s="70">
        <f>IF('Final Calculation Sheet'!$AF$15="","",'Final Calculation Sheet'!$AF$15)</f>
        <v/>
      </c>
      <c r="AH50" s="74">
        <f>IF('Final Calculation Sheet'!$AG$15="","",'Final Calculation Sheet'!$AG$15)</f>
        <v/>
      </c>
      <c r="AI50" s="70">
        <f>IF('Final Calculation Sheet'!$AH$15="","",'Final Calculation Sheet'!$AH$15)</f>
        <v/>
      </c>
    </row>
    <row r="51" ht="15" customHeight="1" s="137">
      <c r="A51" s="81" t="inlineStr">
        <is>
          <t>∑</t>
        </is>
      </c>
      <c r="B51" s="83" t="n"/>
      <c r="C51" s="83">
        <f>ROWS($C$50:$C$50)&amp;" lot(s)"</f>
        <v/>
      </c>
      <c r="D51" s="83" t="inlineStr">
        <is>
          <t>SUBTOTAL — HIND TRADERS</t>
        </is>
      </c>
      <c r="E51" s="83" t="inlineStr">
        <is>
          <t>–</t>
        </is>
      </c>
      <c r="F51" s="83">
        <f>SUM(F50:F50)</f>
        <v/>
      </c>
      <c r="G51" s="83" t="inlineStr">
        <is>
          <t>–</t>
        </is>
      </c>
      <c r="H51" s="84" t="inlineStr">
        <is>
          <t>–</t>
        </is>
      </c>
      <c r="I51" s="84">
        <f>SUM(I50:I50)</f>
        <v/>
      </c>
      <c r="J51" s="84">
        <f>SUM(J50:J50)</f>
        <v/>
      </c>
      <c r="K51" s="84">
        <f>SUM(K50:K50)</f>
        <v/>
      </c>
      <c r="L51" s="84">
        <f>SUM(L50:L50)</f>
        <v/>
      </c>
      <c r="M51" s="84">
        <f>SUM(M50:M50)</f>
        <v/>
      </c>
      <c r="N51" s="84">
        <f>SUM(N50:N50)</f>
        <v/>
      </c>
      <c r="O51" s="85">
        <f>SUM(O50:O50)</f>
        <v/>
      </c>
      <c r="P51" s="84">
        <f>SUM(P50:P50)</f>
        <v/>
      </c>
      <c r="Q51" s="84">
        <f>SUM(Q50:Q50)</f>
        <v/>
      </c>
      <c r="R51" s="86" t="inlineStr">
        <is>
          <t>–</t>
        </is>
      </c>
      <c r="S51" s="84">
        <f>SUM(S50:S50)</f>
        <v/>
      </c>
      <c r="T51" s="84">
        <f>SUM(T50:T50)</f>
        <v/>
      </c>
      <c r="U51" s="84">
        <f>SUM(U50:U50)</f>
        <v/>
      </c>
      <c r="V51" s="87">
        <f>SUM(V50:V50)</f>
        <v/>
      </c>
      <c r="W51" s="84" t="inlineStr">
        <is>
          <t>–</t>
        </is>
      </c>
      <c r="X51" s="84">
        <f>SUM(X50:X50)</f>
        <v/>
      </c>
      <c r="Y51" s="84">
        <f>SUM(Y50:Y50)</f>
        <v/>
      </c>
      <c r="Z51" s="84" t="inlineStr">
        <is>
          <t>–</t>
        </is>
      </c>
      <c r="AA51" s="84">
        <f>SUM(AA50:AA50)</f>
        <v/>
      </c>
      <c r="AB51" s="84">
        <f>SUM(AB50:AB50)</f>
        <v/>
      </c>
      <c r="AC51" s="84" t="inlineStr">
        <is>
          <t>–</t>
        </is>
      </c>
      <c r="AD51" s="84">
        <f>SUM(AD50:AD50)</f>
        <v/>
      </c>
      <c r="AE51" s="84">
        <f>SUM(AE50:AE50)</f>
        <v/>
      </c>
      <c r="AF51" s="89">
        <f>IF(AE51&lt;=5,"SETTLED","OUTSTANDING")</f>
        <v/>
      </c>
      <c r="AG51" s="84" t="inlineStr">
        <is>
          <t>–</t>
        </is>
      </c>
      <c r="AH51" s="88" t="inlineStr">
        <is>
          <t>–</t>
        </is>
      </c>
      <c r="AI51" s="84" t="inlineStr">
        <is>
          <t>–</t>
        </is>
      </c>
    </row>
    <row r="52" outlineLevel="1" ht="15" customHeight="1" s="137">
      <c r="A52" s="67" t="n">
        <v>1</v>
      </c>
      <c r="B52" s="76">
        <f>IF('Final Calculation Sheet'!$F$38="","",'Final Calculation Sheet'!$F$38)</f>
        <v/>
      </c>
      <c r="C52" s="76">
        <f>IF('Final Calculation Sheet'!$G$38="","",'Final Calculation Sheet'!$G$38)</f>
        <v/>
      </c>
      <c r="D52" s="80">
        <f>IF('Final Calculation Sheet'!$B$38="","",'Final Calculation Sheet'!$B$38)</f>
        <v/>
      </c>
      <c r="E52" s="80">
        <f>IF('Final Calculation Sheet'!$D$38="","",'Final Calculation Sheet'!$D$38)</f>
        <v/>
      </c>
      <c r="F52" s="80">
        <f>IF('Final Calculation Sheet'!$A$38="","",'Final Calculation Sheet'!$A$38)</f>
        <v/>
      </c>
      <c r="G52" s="80">
        <f>IF('Final Calculation Sheet'!$E$38="","",'Final Calculation Sheet'!$E$38)</f>
        <v/>
      </c>
      <c r="H52" s="70">
        <f>IF('Final Calculation Sheet'!$C$38="","",'Final Calculation Sheet'!$C$38)</f>
        <v/>
      </c>
      <c r="I52" s="70">
        <f>IF('Final Calculation Sheet'!$H$38="","",'Final Calculation Sheet'!$H$38)</f>
        <v/>
      </c>
      <c r="J52" s="70">
        <f>IF('Final Calculation Sheet'!$I$38="","",'Final Calculation Sheet'!$I$38)</f>
        <v/>
      </c>
      <c r="K52" s="70">
        <f>IF('Final Calculation Sheet'!$J$38="","",'Final Calculation Sheet'!$J$38)</f>
        <v/>
      </c>
      <c r="L52" s="70">
        <f>IF('Final Calculation Sheet'!$K$38="","",'Final Calculation Sheet'!$K$38)</f>
        <v/>
      </c>
      <c r="M52" s="70">
        <f>IF('Final Calculation Sheet'!$L$38="","",'Final Calculation Sheet'!$L$38)</f>
        <v/>
      </c>
      <c r="N52" s="70">
        <f>IF('Final Calculation Sheet'!$M$38="","",'Final Calculation Sheet'!$M$38)</f>
        <v/>
      </c>
      <c r="O52" s="71">
        <f>IF('Final Calculation Sheet'!$N$38="","",'Final Calculation Sheet'!$N$38)</f>
        <v/>
      </c>
      <c r="P52" s="70">
        <f>IF('Final Calculation Sheet'!$O$38="","",'Final Calculation Sheet'!$O$38)</f>
        <v/>
      </c>
      <c r="Q52" s="70">
        <f>IF('Final Calculation Sheet'!$P$38="","",'Final Calculation Sheet'!$P$38)</f>
        <v/>
      </c>
      <c r="R52" s="72">
        <f>IF('Final Calculation Sheet'!$Q$38="","",'Final Calculation Sheet'!$Q$38)</f>
        <v/>
      </c>
      <c r="S52" s="70">
        <f>IF('Final Calculation Sheet'!$R$38="","",'Final Calculation Sheet'!$R$38)</f>
        <v/>
      </c>
      <c r="T52" s="70">
        <f>IF('Final Calculation Sheet'!$S$38="","",'Final Calculation Sheet'!$S$38)</f>
        <v/>
      </c>
      <c r="U52" s="70">
        <f>IF('Final Calculation Sheet'!$T$38="","",'Final Calculation Sheet'!$T$38)</f>
        <v/>
      </c>
      <c r="V52" s="73">
        <f>IF('Final Calculation Sheet'!$U$38="","",'Final Calculation Sheet'!$U$38)</f>
        <v/>
      </c>
      <c r="W52" s="70">
        <f>IF('Final Calculation Sheet'!$V$38="","",'Final Calculation Sheet'!$V$38)</f>
        <v/>
      </c>
      <c r="X52" s="70">
        <f>IF('Final Calculation Sheet'!$W$38="","",'Final Calculation Sheet'!$W$38)</f>
        <v/>
      </c>
      <c r="Y52" s="70">
        <f>IF('Final Calculation Sheet'!$X$38="","",'Final Calculation Sheet'!$X$38)</f>
        <v/>
      </c>
      <c r="Z52" s="70">
        <f>IF('Final Calculation Sheet'!$Y$38="","",'Final Calculation Sheet'!$Y$38)</f>
        <v/>
      </c>
      <c r="AA52" s="70">
        <f>IF('Final Calculation Sheet'!$Z$38="","",'Final Calculation Sheet'!$Z$38)</f>
        <v/>
      </c>
      <c r="AB52" s="70">
        <f>IF('Final Calculation Sheet'!$AA$38="","",'Final Calculation Sheet'!$AA$38)</f>
        <v/>
      </c>
      <c r="AC52" s="70">
        <f>IF('Final Calculation Sheet'!$AB$38="","",'Final Calculation Sheet'!$AB$38)</f>
        <v/>
      </c>
      <c r="AD52" s="70">
        <f>IF('Final Calculation Sheet'!$AC$38="","",'Final Calculation Sheet'!$AC$38)</f>
        <v/>
      </c>
      <c r="AE52" s="70">
        <f>IF('Final Calculation Sheet'!$AD$38="","",'Final Calculation Sheet'!$AD$38)</f>
        <v/>
      </c>
      <c r="AF52" s="75">
        <f>IF('Final Calculation Sheet'!$AD$38="","",IF('Final Calculation Sheet'!$AD$38&lt;=5,"SETTLED","OUTSTANDING"))</f>
        <v/>
      </c>
      <c r="AG52" s="70">
        <f>IF('Final Calculation Sheet'!$AF$38="","",'Final Calculation Sheet'!$AF$38)</f>
        <v/>
      </c>
      <c r="AH52" s="74">
        <f>IF('Final Calculation Sheet'!$AG$38="","",'Final Calculation Sheet'!$AG$38)</f>
        <v/>
      </c>
      <c r="AI52" s="70">
        <f>IF('Final Calculation Sheet'!$AH$38="","",'Final Calculation Sheet'!$AH$38)</f>
        <v/>
      </c>
    </row>
    <row r="53" ht="15" customHeight="1" s="137">
      <c r="A53" s="81" t="inlineStr">
        <is>
          <t>∑</t>
        </is>
      </c>
      <c r="B53" s="83" t="n"/>
      <c r="C53" s="83">
        <f>ROWS($C$52:$C$52)&amp;" lot(s)"</f>
        <v/>
      </c>
      <c r="D53" s="83" t="inlineStr">
        <is>
          <t>SUBTOTAL — KASHYAP TRADING CO</t>
        </is>
      </c>
      <c r="E53" s="83" t="inlineStr">
        <is>
          <t>–</t>
        </is>
      </c>
      <c r="F53" s="83">
        <f>SUM(F52:F52)</f>
        <v/>
      </c>
      <c r="G53" s="83" t="inlineStr">
        <is>
          <t>–</t>
        </is>
      </c>
      <c r="H53" s="84" t="inlineStr">
        <is>
          <t>–</t>
        </is>
      </c>
      <c r="I53" s="84">
        <f>SUM(I52:I52)</f>
        <v/>
      </c>
      <c r="J53" s="84">
        <f>SUM(J52:J52)</f>
        <v/>
      </c>
      <c r="K53" s="84">
        <f>SUM(K52:K52)</f>
        <v/>
      </c>
      <c r="L53" s="84">
        <f>SUM(L52:L52)</f>
        <v/>
      </c>
      <c r="M53" s="84">
        <f>SUM(M52:M52)</f>
        <v/>
      </c>
      <c r="N53" s="84">
        <f>SUM(N52:N52)</f>
        <v/>
      </c>
      <c r="O53" s="85">
        <f>SUM(O52:O52)</f>
        <v/>
      </c>
      <c r="P53" s="84">
        <f>SUM(P52:P52)</f>
        <v/>
      </c>
      <c r="Q53" s="84">
        <f>SUM(Q52:Q52)</f>
        <v/>
      </c>
      <c r="R53" s="86" t="inlineStr">
        <is>
          <t>–</t>
        </is>
      </c>
      <c r="S53" s="84">
        <f>SUM(S52:S52)</f>
        <v/>
      </c>
      <c r="T53" s="84">
        <f>SUM(T52:T52)</f>
        <v/>
      </c>
      <c r="U53" s="84">
        <f>SUM(U52:U52)</f>
        <v/>
      </c>
      <c r="V53" s="87">
        <f>SUM(V52:V52)</f>
        <v/>
      </c>
      <c r="W53" s="84" t="inlineStr">
        <is>
          <t>–</t>
        </is>
      </c>
      <c r="X53" s="84">
        <f>SUM(X52:X52)</f>
        <v/>
      </c>
      <c r="Y53" s="84">
        <f>SUM(Y52:Y52)</f>
        <v/>
      </c>
      <c r="Z53" s="84" t="inlineStr">
        <is>
          <t>–</t>
        </is>
      </c>
      <c r="AA53" s="84">
        <f>SUM(AA52:AA52)</f>
        <v/>
      </c>
      <c r="AB53" s="84">
        <f>SUM(AB52:AB52)</f>
        <v/>
      </c>
      <c r="AC53" s="84" t="inlineStr">
        <is>
          <t>–</t>
        </is>
      </c>
      <c r="AD53" s="84">
        <f>SUM(AD52:AD52)</f>
        <v/>
      </c>
      <c r="AE53" s="84">
        <f>SUM(AE52:AE52)</f>
        <v/>
      </c>
      <c r="AF53" s="89">
        <f>IF(AE53&lt;=5,"SETTLED","OUTSTANDING")</f>
        <v/>
      </c>
      <c r="AG53" s="84" t="inlineStr">
        <is>
          <t>–</t>
        </is>
      </c>
      <c r="AH53" s="88" t="inlineStr">
        <is>
          <t>–</t>
        </is>
      </c>
      <c r="AI53" s="84" t="inlineStr">
        <is>
          <t>–</t>
        </is>
      </c>
    </row>
    <row r="54" outlineLevel="1" ht="15" customHeight="1" s="137">
      <c r="A54" s="67" t="n">
        <v>1</v>
      </c>
      <c r="B54" s="76">
        <f>IF('Final Calculation Sheet'!$F$27="","",'Final Calculation Sheet'!$F$27)</f>
        <v/>
      </c>
      <c r="C54" s="76">
        <f>IF('Final Calculation Sheet'!$G$27="","",'Final Calculation Sheet'!$G$27)</f>
        <v/>
      </c>
      <c r="D54" s="80">
        <f>IF('Final Calculation Sheet'!$B$27="","",'Final Calculation Sheet'!$B$27)</f>
        <v/>
      </c>
      <c r="E54" s="80">
        <f>IF('Final Calculation Sheet'!$D$27="","",'Final Calculation Sheet'!$D$27)</f>
        <v/>
      </c>
      <c r="F54" s="80">
        <f>IF('Final Calculation Sheet'!$A$27="","",'Final Calculation Sheet'!$A$27)</f>
        <v/>
      </c>
      <c r="G54" s="80">
        <f>IF('Final Calculation Sheet'!$E$27="","",'Final Calculation Sheet'!$E$27)</f>
        <v/>
      </c>
      <c r="H54" s="70">
        <f>IF('Final Calculation Sheet'!$C$27="","",'Final Calculation Sheet'!$C$27)</f>
        <v/>
      </c>
      <c r="I54" s="70">
        <f>IF('Final Calculation Sheet'!$H$27="","",'Final Calculation Sheet'!$H$27)</f>
        <v/>
      </c>
      <c r="J54" s="70">
        <f>IF('Final Calculation Sheet'!$I$27="","",'Final Calculation Sheet'!$I$27)</f>
        <v/>
      </c>
      <c r="K54" s="70">
        <f>IF('Final Calculation Sheet'!$J$27="","",'Final Calculation Sheet'!$J$27)</f>
        <v/>
      </c>
      <c r="L54" s="70">
        <f>IF('Final Calculation Sheet'!$K$27="","",'Final Calculation Sheet'!$K$27)</f>
        <v/>
      </c>
      <c r="M54" s="70">
        <f>IF('Final Calculation Sheet'!$L$27="","",'Final Calculation Sheet'!$L$27)</f>
        <v/>
      </c>
      <c r="N54" s="70">
        <f>IF('Final Calculation Sheet'!$M$27="","",'Final Calculation Sheet'!$M$27)</f>
        <v/>
      </c>
      <c r="O54" s="71">
        <f>IF('Final Calculation Sheet'!$N$27="","",'Final Calculation Sheet'!$N$27)</f>
        <v/>
      </c>
      <c r="P54" s="70">
        <f>IF('Final Calculation Sheet'!$O$27="","",'Final Calculation Sheet'!$O$27)</f>
        <v/>
      </c>
      <c r="Q54" s="70">
        <f>IF('Final Calculation Sheet'!$P$27="","",'Final Calculation Sheet'!$P$27)</f>
        <v/>
      </c>
      <c r="R54" s="72">
        <f>IF('Final Calculation Sheet'!$Q$27="","",'Final Calculation Sheet'!$Q$27)</f>
        <v/>
      </c>
      <c r="S54" s="70">
        <f>IF('Final Calculation Sheet'!$R$27="","",'Final Calculation Sheet'!$R$27)</f>
        <v/>
      </c>
      <c r="T54" s="70">
        <f>IF('Final Calculation Sheet'!$S$27="","",'Final Calculation Sheet'!$S$27)</f>
        <v/>
      </c>
      <c r="U54" s="70">
        <f>IF('Final Calculation Sheet'!$T$27="","",'Final Calculation Sheet'!$T$27)</f>
        <v/>
      </c>
      <c r="V54" s="73">
        <f>IF('Final Calculation Sheet'!$U$27="","",'Final Calculation Sheet'!$U$27)</f>
        <v/>
      </c>
      <c r="W54" s="70">
        <f>IF('Final Calculation Sheet'!$V$27="","",'Final Calculation Sheet'!$V$27)</f>
        <v/>
      </c>
      <c r="X54" s="70">
        <f>IF('Final Calculation Sheet'!$W$27="","",'Final Calculation Sheet'!$W$27)</f>
        <v/>
      </c>
      <c r="Y54" s="70">
        <f>IF('Final Calculation Sheet'!$X$27="","",'Final Calculation Sheet'!$X$27)</f>
        <v/>
      </c>
      <c r="Z54" s="70">
        <f>IF('Final Calculation Sheet'!$Y$27="","",'Final Calculation Sheet'!$Y$27)</f>
        <v/>
      </c>
      <c r="AA54" s="70">
        <f>IF('Final Calculation Sheet'!$Z$27="","",'Final Calculation Sheet'!$Z$27)</f>
        <v/>
      </c>
      <c r="AB54" s="70">
        <f>IF('Final Calculation Sheet'!$AA$27="","",'Final Calculation Sheet'!$AA$27)</f>
        <v/>
      </c>
      <c r="AC54" s="70">
        <f>IF('Final Calculation Sheet'!$AB$27="","",'Final Calculation Sheet'!$AB$27)</f>
        <v/>
      </c>
      <c r="AD54" s="70">
        <f>IF('Final Calculation Sheet'!$AC$27="","",'Final Calculation Sheet'!$AC$27)</f>
        <v/>
      </c>
      <c r="AE54" s="70">
        <f>IF('Final Calculation Sheet'!$AD$27="","",'Final Calculation Sheet'!$AD$27)</f>
        <v/>
      </c>
      <c r="AF54" s="75">
        <f>IF('Final Calculation Sheet'!$AD$27="","",IF('Final Calculation Sheet'!$AD$27&lt;=5,"SETTLED","OUTSTANDING"))</f>
        <v/>
      </c>
      <c r="AG54" s="70">
        <f>IF('Final Calculation Sheet'!$AF$27="","",'Final Calculation Sheet'!$AF$27)</f>
        <v/>
      </c>
      <c r="AH54" s="74">
        <f>IF('Final Calculation Sheet'!$AG$27="","",'Final Calculation Sheet'!$AG$27)</f>
        <v/>
      </c>
      <c r="AI54" s="70">
        <f>IF('Final Calculation Sheet'!$AH$27="","",'Final Calculation Sheet'!$AH$27)</f>
        <v/>
      </c>
    </row>
    <row r="55" ht="15" customHeight="1" s="137">
      <c r="A55" s="81" t="inlineStr">
        <is>
          <t>∑</t>
        </is>
      </c>
      <c r="B55" s="83" t="n"/>
      <c r="C55" s="83">
        <f>ROWS($C$54:$C$54)&amp;" lot(s)"</f>
        <v/>
      </c>
      <c r="D55" s="83" t="inlineStr">
        <is>
          <t>SUBTOTAL — M I SCRAP TRADERS</t>
        </is>
      </c>
      <c r="E55" s="83" t="inlineStr">
        <is>
          <t>–</t>
        </is>
      </c>
      <c r="F55" s="83">
        <f>SUM(F54:F54)</f>
        <v/>
      </c>
      <c r="G55" s="83" t="inlineStr">
        <is>
          <t>–</t>
        </is>
      </c>
      <c r="H55" s="84" t="inlineStr">
        <is>
          <t>–</t>
        </is>
      </c>
      <c r="I55" s="84">
        <f>SUM(I54:I54)</f>
        <v/>
      </c>
      <c r="J55" s="84">
        <f>SUM(J54:J54)</f>
        <v/>
      </c>
      <c r="K55" s="84">
        <f>SUM(K54:K54)</f>
        <v/>
      </c>
      <c r="L55" s="84">
        <f>SUM(L54:L54)</f>
        <v/>
      </c>
      <c r="M55" s="84">
        <f>SUM(M54:M54)</f>
        <v/>
      </c>
      <c r="N55" s="84">
        <f>SUM(N54:N54)</f>
        <v/>
      </c>
      <c r="O55" s="85">
        <f>SUM(O54:O54)</f>
        <v/>
      </c>
      <c r="P55" s="84">
        <f>SUM(P54:P54)</f>
        <v/>
      </c>
      <c r="Q55" s="84">
        <f>SUM(Q54:Q54)</f>
        <v/>
      </c>
      <c r="R55" s="86" t="inlineStr">
        <is>
          <t>–</t>
        </is>
      </c>
      <c r="S55" s="84">
        <f>SUM(S54:S54)</f>
        <v/>
      </c>
      <c r="T55" s="84">
        <f>SUM(T54:T54)</f>
        <v/>
      </c>
      <c r="U55" s="84">
        <f>SUM(U54:U54)</f>
        <v/>
      </c>
      <c r="V55" s="87">
        <f>SUM(V54:V54)</f>
        <v/>
      </c>
      <c r="W55" s="84" t="inlineStr">
        <is>
          <t>–</t>
        </is>
      </c>
      <c r="X55" s="84">
        <f>SUM(X54:X54)</f>
        <v/>
      </c>
      <c r="Y55" s="84">
        <f>SUM(Y54:Y54)</f>
        <v/>
      </c>
      <c r="Z55" s="84" t="inlineStr">
        <is>
          <t>–</t>
        </is>
      </c>
      <c r="AA55" s="84">
        <f>SUM(AA54:AA54)</f>
        <v/>
      </c>
      <c r="AB55" s="84">
        <f>SUM(AB54:AB54)</f>
        <v/>
      </c>
      <c r="AC55" s="84" t="inlineStr">
        <is>
          <t>–</t>
        </is>
      </c>
      <c r="AD55" s="84">
        <f>SUM(AD54:AD54)</f>
        <v/>
      </c>
      <c r="AE55" s="84">
        <f>SUM(AE54:AE54)</f>
        <v/>
      </c>
      <c r="AF55" s="89">
        <f>IF(AE55&lt;=5,"SETTLED","OUTSTANDING")</f>
        <v/>
      </c>
      <c r="AG55" s="84" t="inlineStr">
        <is>
          <t>–</t>
        </is>
      </c>
      <c r="AH55" s="88" t="inlineStr">
        <is>
          <t>–</t>
        </is>
      </c>
      <c r="AI55" s="84" t="inlineStr">
        <is>
          <t>–</t>
        </is>
      </c>
    </row>
    <row r="56" outlineLevel="1" ht="15" customHeight="1" s="137">
      <c r="A56" s="67" t="n">
        <v>1</v>
      </c>
      <c r="B56" s="76">
        <f>IF('Final Calculation Sheet'!$F$5="","",'Final Calculation Sheet'!$F$5)</f>
        <v/>
      </c>
      <c r="C56" s="76">
        <f>IF('Final Calculation Sheet'!$G$5="","",'Final Calculation Sheet'!$G$5)</f>
        <v/>
      </c>
      <c r="D56" s="80">
        <f>IF('Final Calculation Sheet'!$B$5="","",'Final Calculation Sheet'!$B$5)</f>
        <v/>
      </c>
      <c r="E56" s="80">
        <f>IF('Final Calculation Sheet'!$D$5="","",'Final Calculation Sheet'!$D$5)</f>
        <v/>
      </c>
      <c r="F56" s="80">
        <f>IF('Final Calculation Sheet'!$A$5="","",'Final Calculation Sheet'!$A$5)</f>
        <v/>
      </c>
      <c r="G56" s="80">
        <f>IF('Final Calculation Sheet'!$E$5="","",'Final Calculation Sheet'!$E$5)</f>
        <v/>
      </c>
      <c r="H56" s="70">
        <f>IF('Final Calculation Sheet'!$C$5="","",'Final Calculation Sheet'!$C$5)</f>
        <v/>
      </c>
      <c r="I56" s="70">
        <f>IF('Final Calculation Sheet'!$H$5="","",'Final Calculation Sheet'!$H$5)</f>
        <v/>
      </c>
      <c r="J56" s="70">
        <f>IF('Final Calculation Sheet'!$I$5="","",'Final Calculation Sheet'!$I$5)</f>
        <v/>
      </c>
      <c r="K56" s="70">
        <f>IF('Final Calculation Sheet'!$J$5="","",'Final Calculation Sheet'!$J$5)</f>
        <v/>
      </c>
      <c r="L56" s="70">
        <f>IF('Final Calculation Sheet'!$K$5="","",'Final Calculation Sheet'!$K$5)</f>
        <v/>
      </c>
      <c r="M56" s="70">
        <f>IF('Final Calculation Sheet'!$L$5="","",'Final Calculation Sheet'!$L$5)</f>
        <v/>
      </c>
      <c r="N56" s="70">
        <f>IF('Final Calculation Sheet'!$M$5="","",'Final Calculation Sheet'!$M$5)</f>
        <v/>
      </c>
      <c r="O56" s="71">
        <f>IF('Final Calculation Sheet'!$N$5="","",'Final Calculation Sheet'!$N$5)</f>
        <v/>
      </c>
      <c r="P56" s="70">
        <f>IF('Final Calculation Sheet'!$O$5="","",'Final Calculation Sheet'!$O$5)</f>
        <v/>
      </c>
      <c r="Q56" s="70">
        <f>IF('Final Calculation Sheet'!$P$5="","",'Final Calculation Sheet'!$P$5)</f>
        <v/>
      </c>
      <c r="R56" s="72">
        <f>IF('Final Calculation Sheet'!$Q$5="","",'Final Calculation Sheet'!$Q$5)</f>
        <v/>
      </c>
      <c r="S56" s="70">
        <f>IF('Final Calculation Sheet'!$R$5="","",'Final Calculation Sheet'!$R$5)</f>
        <v/>
      </c>
      <c r="T56" s="70">
        <f>IF('Final Calculation Sheet'!$S$5="","",'Final Calculation Sheet'!$S$5)</f>
        <v/>
      </c>
      <c r="U56" s="70">
        <f>IF('Final Calculation Sheet'!$T$5="","",'Final Calculation Sheet'!$T$5)</f>
        <v/>
      </c>
      <c r="V56" s="73">
        <f>IF('Final Calculation Sheet'!$U$5="","",'Final Calculation Sheet'!$U$5)</f>
        <v/>
      </c>
      <c r="W56" s="70">
        <f>IF('Final Calculation Sheet'!$V$5="","",'Final Calculation Sheet'!$V$5)</f>
        <v/>
      </c>
      <c r="X56" s="70">
        <f>IF('Final Calculation Sheet'!$W$5="","",'Final Calculation Sheet'!$W$5)</f>
        <v/>
      </c>
      <c r="Y56" s="70">
        <f>IF('Final Calculation Sheet'!$X$5="","",'Final Calculation Sheet'!$X$5)</f>
        <v/>
      </c>
      <c r="Z56" s="70">
        <f>IF('Final Calculation Sheet'!$Y$5="","",'Final Calculation Sheet'!$Y$5)</f>
        <v/>
      </c>
      <c r="AA56" s="70">
        <f>IF('Final Calculation Sheet'!$Z$5="","",'Final Calculation Sheet'!$Z$5)</f>
        <v/>
      </c>
      <c r="AB56" s="70">
        <f>IF('Final Calculation Sheet'!$AA$5="","",'Final Calculation Sheet'!$AA$5)</f>
        <v/>
      </c>
      <c r="AC56" s="70">
        <f>IF('Final Calculation Sheet'!$AB$5="","",'Final Calculation Sheet'!$AB$5)</f>
        <v/>
      </c>
      <c r="AD56" s="70">
        <f>IF('Final Calculation Sheet'!$AC$5="","",'Final Calculation Sheet'!$AC$5)</f>
        <v/>
      </c>
      <c r="AE56" s="70">
        <f>IF('Final Calculation Sheet'!$AD$5="","",'Final Calculation Sheet'!$AD$5)</f>
        <v/>
      </c>
      <c r="AF56" s="75">
        <f>IF('Final Calculation Sheet'!$AD$5="","",IF('Final Calculation Sheet'!$AD$5&lt;=5,"SETTLED","OUTSTANDING"))</f>
        <v/>
      </c>
      <c r="AG56" s="70">
        <f>IF('Final Calculation Sheet'!$AF$5="","",'Final Calculation Sheet'!$AF$5)</f>
        <v/>
      </c>
      <c r="AH56" s="74">
        <f>IF('Final Calculation Sheet'!$AG$5="","",'Final Calculation Sheet'!$AG$5)</f>
        <v/>
      </c>
      <c r="AI56" s="70">
        <f>IF('Final Calculation Sheet'!$AH$5="","",'Final Calculation Sheet'!$AH$5)</f>
        <v/>
      </c>
    </row>
    <row r="57" outlineLevel="1" ht="15" customHeight="1" s="137">
      <c r="A57" s="90" t="n">
        <v>2</v>
      </c>
      <c r="B57" s="92">
        <f>IF('Final Calculation Sheet'!$F$10="","",'Final Calculation Sheet'!$F$10)</f>
        <v/>
      </c>
      <c r="C57" s="92">
        <f>IF('Final Calculation Sheet'!$G$10="","",'Final Calculation Sheet'!$G$10)</f>
        <v/>
      </c>
      <c r="D57" s="94">
        <f>IF('Final Calculation Sheet'!$B$10="","",'Final Calculation Sheet'!$B$10)</f>
        <v/>
      </c>
      <c r="E57" s="94">
        <f>IF('Final Calculation Sheet'!$D$10="","",'Final Calculation Sheet'!$D$10)</f>
        <v/>
      </c>
      <c r="F57" s="94">
        <f>IF('Final Calculation Sheet'!$A$10="","",'Final Calculation Sheet'!$A$10)</f>
        <v/>
      </c>
      <c r="G57" s="94">
        <f>IF('Final Calculation Sheet'!$E$10="","",'Final Calculation Sheet'!$E$10)</f>
        <v/>
      </c>
      <c r="H57" s="95">
        <f>IF('Final Calculation Sheet'!$C$10="","",'Final Calculation Sheet'!$C$10)</f>
        <v/>
      </c>
      <c r="I57" s="95">
        <f>IF('Final Calculation Sheet'!$H$10="","",'Final Calculation Sheet'!$H$10)</f>
        <v/>
      </c>
      <c r="J57" s="95">
        <f>IF('Final Calculation Sheet'!$I$10="","",'Final Calculation Sheet'!$I$10)</f>
        <v/>
      </c>
      <c r="K57" s="95">
        <f>IF('Final Calculation Sheet'!$J$10="","",'Final Calculation Sheet'!$J$10)</f>
        <v/>
      </c>
      <c r="L57" s="95">
        <f>IF('Final Calculation Sheet'!$K$10="","",'Final Calculation Sheet'!$K$10)</f>
        <v/>
      </c>
      <c r="M57" s="95">
        <f>IF('Final Calculation Sheet'!$L$10="","",'Final Calculation Sheet'!$L$10)</f>
        <v/>
      </c>
      <c r="N57" s="95">
        <f>IF('Final Calculation Sheet'!$M$10="","",'Final Calculation Sheet'!$M$10)</f>
        <v/>
      </c>
      <c r="O57" s="96">
        <f>IF('Final Calculation Sheet'!$N$10="","",'Final Calculation Sheet'!$N$10)</f>
        <v/>
      </c>
      <c r="P57" s="95">
        <f>IF('Final Calculation Sheet'!$O$10="","",'Final Calculation Sheet'!$O$10)</f>
        <v/>
      </c>
      <c r="Q57" s="95">
        <f>IF('Final Calculation Sheet'!$P$10="","",'Final Calculation Sheet'!$P$10)</f>
        <v/>
      </c>
      <c r="R57" s="97">
        <f>IF('Final Calculation Sheet'!$Q$10="","",'Final Calculation Sheet'!$Q$10)</f>
        <v/>
      </c>
      <c r="S57" s="95">
        <f>IF('Final Calculation Sheet'!$R$10="","",'Final Calculation Sheet'!$R$10)</f>
        <v/>
      </c>
      <c r="T57" s="95">
        <f>IF('Final Calculation Sheet'!$S$10="","",'Final Calculation Sheet'!$S$10)</f>
        <v/>
      </c>
      <c r="U57" s="95">
        <f>IF('Final Calculation Sheet'!$T$10="","",'Final Calculation Sheet'!$T$10)</f>
        <v/>
      </c>
      <c r="V57" s="98">
        <f>IF('Final Calculation Sheet'!$U$10="","",'Final Calculation Sheet'!$U$10)</f>
        <v/>
      </c>
      <c r="W57" s="95">
        <f>IF('Final Calculation Sheet'!$V$10="","",'Final Calculation Sheet'!$V$10)</f>
        <v/>
      </c>
      <c r="X57" s="95">
        <f>IF('Final Calculation Sheet'!$W$10="","",'Final Calculation Sheet'!$W$10)</f>
        <v/>
      </c>
      <c r="Y57" s="95">
        <f>IF('Final Calculation Sheet'!$X$10="","",'Final Calculation Sheet'!$X$10)</f>
        <v/>
      </c>
      <c r="Z57" s="95">
        <f>IF('Final Calculation Sheet'!$Y$10="","",'Final Calculation Sheet'!$Y$10)</f>
        <v/>
      </c>
      <c r="AA57" s="95">
        <f>IF('Final Calculation Sheet'!$Z$10="","",'Final Calculation Sheet'!$Z$10)</f>
        <v/>
      </c>
      <c r="AB57" s="95">
        <f>IF('Final Calculation Sheet'!$AA$10="","",'Final Calculation Sheet'!$AA$10)</f>
        <v/>
      </c>
      <c r="AC57" s="95">
        <f>IF('Final Calculation Sheet'!$AB$10="","",'Final Calculation Sheet'!$AB$10)</f>
        <v/>
      </c>
      <c r="AD57" s="95">
        <f>IF('Final Calculation Sheet'!$AC$10="","",'Final Calculation Sheet'!$AC$10)</f>
        <v/>
      </c>
      <c r="AE57" s="95">
        <f>IF('Final Calculation Sheet'!$AD$10="","",'Final Calculation Sheet'!$AD$10)</f>
        <v/>
      </c>
      <c r="AF57" s="100">
        <f>IF('Final Calculation Sheet'!$AD$10="","",IF('Final Calculation Sheet'!$AD$10&lt;=5,"SETTLED","OUTSTANDING"))</f>
        <v/>
      </c>
      <c r="AG57" s="95">
        <f>IF('Final Calculation Sheet'!$AF$10="","",'Final Calculation Sheet'!$AF$10)</f>
        <v/>
      </c>
      <c r="AH57" s="99">
        <f>IF('Final Calculation Sheet'!$AG$10="","",'Final Calculation Sheet'!$AG$10)</f>
        <v/>
      </c>
      <c r="AI57" s="95">
        <f>IF('Final Calculation Sheet'!$AH$10="","",'Final Calculation Sheet'!$AH$10)</f>
        <v/>
      </c>
    </row>
    <row r="58" outlineLevel="1" ht="15" customHeight="1" s="137">
      <c r="A58" s="67" t="n">
        <v>3</v>
      </c>
      <c r="B58" s="76">
        <f>IF('Final Calculation Sheet'!$F$11="","",'Final Calculation Sheet'!$F$11)</f>
        <v/>
      </c>
      <c r="C58" s="76">
        <f>IF('Final Calculation Sheet'!$G$11="","",'Final Calculation Sheet'!$G$11)</f>
        <v/>
      </c>
      <c r="D58" s="80">
        <f>IF('Final Calculation Sheet'!$B$11="","",'Final Calculation Sheet'!$B$11)</f>
        <v/>
      </c>
      <c r="E58" s="80">
        <f>IF('Final Calculation Sheet'!$D$11="","",'Final Calculation Sheet'!$D$11)</f>
        <v/>
      </c>
      <c r="F58" s="80">
        <f>IF('Final Calculation Sheet'!$A$11="","",'Final Calculation Sheet'!$A$11)</f>
        <v/>
      </c>
      <c r="G58" s="80">
        <f>IF('Final Calculation Sheet'!$E$11="","",'Final Calculation Sheet'!$E$11)</f>
        <v/>
      </c>
      <c r="H58" s="70">
        <f>IF('Final Calculation Sheet'!$C$11="","",'Final Calculation Sheet'!$C$11)</f>
        <v/>
      </c>
      <c r="I58" s="70">
        <f>IF('Final Calculation Sheet'!$H$11="","",'Final Calculation Sheet'!$H$11)</f>
        <v/>
      </c>
      <c r="J58" s="70">
        <f>IF('Final Calculation Sheet'!$I$11="","",'Final Calculation Sheet'!$I$11)</f>
        <v/>
      </c>
      <c r="K58" s="70">
        <f>IF('Final Calculation Sheet'!$J$11="","",'Final Calculation Sheet'!$J$11)</f>
        <v/>
      </c>
      <c r="L58" s="70">
        <f>IF('Final Calculation Sheet'!$K$11="","",'Final Calculation Sheet'!$K$11)</f>
        <v/>
      </c>
      <c r="M58" s="70">
        <f>IF('Final Calculation Sheet'!$L$11="","",'Final Calculation Sheet'!$L$11)</f>
        <v/>
      </c>
      <c r="N58" s="70">
        <f>IF('Final Calculation Sheet'!$M$11="","",'Final Calculation Sheet'!$M$11)</f>
        <v/>
      </c>
      <c r="O58" s="71">
        <f>IF('Final Calculation Sheet'!$N$11="","",'Final Calculation Sheet'!$N$11)</f>
        <v/>
      </c>
      <c r="P58" s="70">
        <f>IF('Final Calculation Sheet'!$O$11="","",'Final Calculation Sheet'!$O$11)</f>
        <v/>
      </c>
      <c r="Q58" s="70">
        <f>IF('Final Calculation Sheet'!$P$11="","",'Final Calculation Sheet'!$P$11)</f>
        <v/>
      </c>
      <c r="R58" s="72">
        <f>IF('Final Calculation Sheet'!$Q$11="","",'Final Calculation Sheet'!$Q$11)</f>
        <v/>
      </c>
      <c r="S58" s="70">
        <f>IF('Final Calculation Sheet'!$R$11="","",'Final Calculation Sheet'!$R$11)</f>
        <v/>
      </c>
      <c r="T58" s="70">
        <f>IF('Final Calculation Sheet'!$S$11="","",'Final Calculation Sheet'!$S$11)</f>
        <v/>
      </c>
      <c r="U58" s="70">
        <f>IF('Final Calculation Sheet'!$T$11="","",'Final Calculation Sheet'!$T$11)</f>
        <v/>
      </c>
      <c r="V58" s="73">
        <f>IF('Final Calculation Sheet'!$U$11="","",'Final Calculation Sheet'!$U$11)</f>
        <v/>
      </c>
      <c r="W58" s="70">
        <f>IF('Final Calculation Sheet'!$V$11="","",'Final Calculation Sheet'!$V$11)</f>
        <v/>
      </c>
      <c r="X58" s="70">
        <f>IF('Final Calculation Sheet'!$W$11="","",'Final Calculation Sheet'!$W$11)</f>
        <v/>
      </c>
      <c r="Y58" s="70">
        <f>IF('Final Calculation Sheet'!$X$11="","",'Final Calculation Sheet'!$X$11)</f>
        <v/>
      </c>
      <c r="Z58" s="70">
        <f>IF('Final Calculation Sheet'!$Y$11="","",'Final Calculation Sheet'!$Y$11)</f>
        <v/>
      </c>
      <c r="AA58" s="70">
        <f>IF('Final Calculation Sheet'!$Z$11="","",'Final Calculation Sheet'!$Z$11)</f>
        <v/>
      </c>
      <c r="AB58" s="70">
        <f>IF('Final Calculation Sheet'!$AA$11="","",'Final Calculation Sheet'!$AA$11)</f>
        <v/>
      </c>
      <c r="AC58" s="70">
        <f>IF('Final Calculation Sheet'!$AB$11="","",'Final Calculation Sheet'!$AB$11)</f>
        <v/>
      </c>
      <c r="AD58" s="70">
        <f>IF('Final Calculation Sheet'!$AC$11="","",'Final Calculation Sheet'!$AC$11)</f>
        <v/>
      </c>
      <c r="AE58" s="70">
        <f>IF('Final Calculation Sheet'!$AD$11="","",'Final Calculation Sheet'!$AD$11)</f>
        <v/>
      </c>
      <c r="AF58" s="75">
        <f>IF('Final Calculation Sheet'!$AD$11="","",IF('Final Calculation Sheet'!$AD$11&lt;=5,"SETTLED","OUTSTANDING"))</f>
        <v/>
      </c>
      <c r="AG58" s="70">
        <f>IF('Final Calculation Sheet'!$AF$11="","",'Final Calculation Sheet'!$AF$11)</f>
        <v/>
      </c>
      <c r="AH58" s="74">
        <f>IF('Final Calculation Sheet'!$AG$11="","",'Final Calculation Sheet'!$AG$11)</f>
        <v/>
      </c>
      <c r="AI58" s="70">
        <f>IF('Final Calculation Sheet'!$AH$11="","",'Final Calculation Sheet'!$AH$11)</f>
        <v/>
      </c>
    </row>
    <row r="59" outlineLevel="1" ht="15" customHeight="1" s="137">
      <c r="A59" s="90" t="n">
        <v>4</v>
      </c>
      <c r="B59" s="92">
        <f>IF('Final Calculation Sheet'!$F$12="","",'Final Calculation Sheet'!$F$12)</f>
        <v/>
      </c>
      <c r="C59" s="92">
        <f>IF('Final Calculation Sheet'!$G$12="","",'Final Calculation Sheet'!$G$12)</f>
        <v/>
      </c>
      <c r="D59" s="94">
        <f>IF('Final Calculation Sheet'!$B$12="","",'Final Calculation Sheet'!$B$12)</f>
        <v/>
      </c>
      <c r="E59" s="94">
        <f>IF('Final Calculation Sheet'!$D$12="","",'Final Calculation Sheet'!$D$12)</f>
        <v/>
      </c>
      <c r="F59" s="94">
        <f>IF('Final Calculation Sheet'!$A$12="","",'Final Calculation Sheet'!$A$12)</f>
        <v/>
      </c>
      <c r="G59" s="94">
        <f>IF('Final Calculation Sheet'!$E$12="","",'Final Calculation Sheet'!$E$12)</f>
        <v/>
      </c>
      <c r="H59" s="95">
        <f>IF('Final Calculation Sheet'!$C$12="","",'Final Calculation Sheet'!$C$12)</f>
        <v/>
      </c>
      <c r="I59" s="95">
        <f>IF('Final Calculation Sheet'!$H$12="","",'Final Calculation Sheet'!$H$12)</f>
        <v/>
      </c>
      <c r="J59" s="95">
        <f>IF('Final Calculation Sheet'!$I$12="","",'Final Calculation Sheet'!$I$12)</f>
        <v/>
      </c>
      <c r="K59" s="95">
        <f>IF('Final Calculation Sheet'!$J$12="","",'Final Calculation Sheet'!$J$12)</f>
        <v/>
      </c>
      <c r="L59" s="95">
        <f>IF('Final Calculation Sheet'!$K$12="","",'Final Calculation Sheet'!$K$12)</f>
        <v/>
      </c>
      <c r="M59" s="95">
        <f>IF('Final Calculation Sheet'!$L$12="","",'Final Calculation Sheet'!$L$12)</f>
        <v/>
      </c>
      <c r="N59" s="95">
        <f>IF('Final Calculation Sheet'!$M$12="","",'Final Calculation Sheet'!$M$12)</f>
        <v/>
      </c>
      <c r="O59" s="96">
        <f>IF('Final Calculation Sheet'!$N$12="","",'Final Calculation Sheet'!$N$12)</f>
        <v/>
      </c>
      <c r="P59" s="95">
        <f>IF('Final Calculation Sheet'!$O$12="","",'Final Calculation Sheet'!$O$12)</f>
        <v/>
      </c>
      <c r="Q59" s="95">
        <f>IF('Final Calculation Sheet'!$P$12="","",'Final Calculation Sheet'!$P$12)</f>
        <v/>
      </c>
      <c r="R59" s="97">
        <f>IF('Final Calculation Sheet'!$Q$12="","",'Final Calculation Sheet'!$Q$12)</f>
        <v/>
      </c>
      <c r="S59" s="95">
        <f>IF('Final Calculation Sheet'!$R$12="","",'Final Calculation Sheet'!$R$12)</f>
        <v/>
      </c>
      <c r="T59" s="95">
        <f>IF('Final Calculation Sheet'!$S$12="","",'Final Calculation Sheet'!$S$12)</f>
        <v/>
      </c>
      <c r="U59" s="95">
        <f>IF('Final Calculation Sheet'!$T$12="","",'Final Calculation Sheet'!$T$12)</f>
        <v/>
      </c>
      <c r="V59" s="98">
        <f>IF('Final Calculation Sheet'!$U$12="","",'Final Calculation Sheet'!$U$12)</f>
        <v/>
      </c>
      <c r="W59" s="95">
        <f>IF('Final Calculation Sheet'!$V$12="","",'Final Calculation Sheet'!$V$12)</f>
        <v/>
      </c>
      <c r="X59" s="95">
        <f>IF('Final Calculation Sheet'!$W$12="","",'Final Calculation Sheet'!$W$12)</f>
        <v/>
      </c>
      <c r="Y59" s="95">
        <f>IF('Final Calculation Sheet'!$X$12="","",'Final Calculation Sheet'!$X$12)</f>
        <v/>
      </c>
      <c r="Z59" s="95">
        <f>IF('Final Calculation Sheet'!$Y$12="","",'Final Calculation Sheet'!$Y$12)</f>
        <v/>
      </c>
      <c r="AA59" s="95">
        <f>IF('Final Calculation Sheet'!$Z$12="","",'Final Calculation Sheet'!$Z$12)</f>
        <v/>
      </c>
      <c r="AB59" s="95">
        <f>IF('Final Calculation Sheet'!$AA$12="","",'Final Calculation Sheet'!$AA$12)</f>
        <v/>
      </c>
      <c r="AC59" s="95">
        <f>IF('Final Calculation Sheet'!$AB$12="","",'Final Calculation Sheet'!$AB$12)</f>
        <v/>
      </c>
      <c r="AD59" s="95">
        <f>IF('Final Calculation Sheet'!$AC$12="","",'Final Calculation Sheet'!$AC$12)</f>
        <v/>
      </c>
      <c r="AE59" s="95">
        <f>IF('Final Calculation Sheet'!$AD$12="","",'Final Calculation Sheet'!$AD$12)</f>
        <v/>
      </c>
      <c r="AF59" s="100">
        <f>IF('Final Calculation Sheet'!$AD$12="","",IF('Final Calculation Sheet'!$AD$12&lt;=5,"SETTLED","OUTSTANDING"))</f>
        <v/>
      </c>
      <c r="AG59" s="95">
        <f>IF('Final Calculation Sheet'!$AF$12="","",'Final Calculation Sheet'!$AF$12)</f>
        <v/>
      </c>
      <c r="AH59" s="99">
        <f>IF('Final Calculation Sheet'!$AG$12="","",'Final Calculation Sheet'!$AG$12)</f>
        <v/>
      </c>
      <c r="AI59" s="95">
        <f>IF('Final Calculation Sheet'!$AH$12="","",'Final Calculation Sheet'!$AH$12)</f>
        <v/>
      </c>
    </row>
    <row r="60" outlineLevel="1" ht="15" customHeight="1" s="137">
      <c r="A60" s="67" t="n">
        <v>5</v>
      </c>
      <c r="B60" s="76">
        <f>IF('Final Calculation Sheet'!$F$18="","",'Final Calculation Sheet'!$F$18)</f>
        <v/>
      </c>
      <c r="C60" s="76">
        <f>IF('Final Calculation Sheet'!$G$18="","",'Final Calculation Sheet'!$G$18)</f>
        <v/>
      </c>
      <c r="D60" s="80">
        <f>IF('Final Calculation Sheet'!$B$18="","",'Final Calculation Sheet'!$B$18)</f>
        <v/>
      </c>
      <c r="E60" s="80">
        <f>IF('Final Calculation Sheet'!$D$18="","",'Final Calculation Sheet'!$D$18)</f>
        <v/>
      </c>
      <c r="F60" s="80">
        <f>IF('Final Calculation Sheet'!$A$18="","",'Final Calculation Sheet'!$A$18)</f>
        <v/>
      </c>
      <c r="G60" s="80">
        <f>IF('Final Calculation Sheet'!$E$18="","",'Final Calculation Sheet'!$E$18)</f>
        <v/>
      </c>
      <c r="H60" s="70">
        <f>IF('Final Calculation Sheet'!$C$18="","",'Final Calculation Sheet'!$C$18)</f>
        <v/>
      </c>
      <c r="I60" s="70">
        <f>IF('Final Calculation Sheet'!$H$18="","",'Final Calculation Sheet'!$H$18)</f>
        <v/>
      </c>
      <c r="J60" s="70">
        <f>IF('Final Calculation Sheet'!$I$18="","",'Final Calculation Sheet'!$I$18)</f>
        <v/>
      </c>
      <c r="K60" s="70">
        <f>IF('Final Calculation Sheet'!$J$18="","",'Final Calculation Sheet'!$J$18)</f>
        <v/>
      </c>
      <c r="L60" s="70">
        <f>IF('Final Calculation Sheet'!$K$18="","",'Final Calculation Sheet'!$K$18)</f>
        <v/>
      </c>
      <c r="M60" s="70">
        <f>IF('Final Calculation Sheet'!$L$18="","",'Final Calculation Sheet'!$L$18)</f>
        <v/>
      </c>
      <c r="N60" s="70">
        <f>IF('Final Calculation Sheet'!$M$18="","",'Final Calculation Sheet'!$M$18)</f>
        <v/>
      </c>
      <c r="O60" s="71">
        <f>IF('Final Calculation Sheet'!$N$18="","",'Final Calculation Sheet'!$N$18)</f>
        <v/>
      </c>
      <c r="P60" s="70">
        <f>IF('Final Calculation Sheet'!$O$18="","",'Final Calculation Sheet'!$O$18)</f>
        <v/>
      </c>
      <c r="Q60" s="70">
        <f>IF('Final Calculation Sheet'!$P$18="","",'Final Calculation Sheet'!$P$18)</f>
        <v/>
      </c>
      <c r="R60" s="72">
        <f>IF('Final Calculation Sheet'!$Q$18="","",'Final Calculation Sheet'!$Q$18)</f>
        <v/>
      </c>
      <c r="S60" s="70">
        <f>IF('Final Calculation Sheet'!$R$18="","",'Final Calculation Sheet'!$R$18)</f>
        <v/>
      </c>
      <c r="T60" s="70">
        <f>IF('Final Calculation Sheet'!$S$18="","",'Final Calculation Sheet'!$S$18)</f>
        <v/>
      </c>
      <c r="U60" s="70">
        <f>IF('Final Calculation Sheet'!$T$18="","",'Final Calculation Sheet'!$T$18)</f>
        <v/>
      </c>
      <c r="V60" s="73">
        <f>IF('Final Calculation Sheet'!$U$18="","",'Final Calculation Sheet'!$U$18)</f>
        <v/>
      </c>
      <c r="W60" s="70">
        <f>IF('Final Calculation Sheet'!$V$18="","",'Final Calculation Sheet'!$V$18)</f>
        <v/>
      </c>
      <c r="X60" s="70">
        <f>IF('Final Calculation Sheet'!$W$18="","",'Final Calculation Sheet'!$W$18)</f>
        <v/>
      </c>
      <c r="Y60" s="70">
        <f>IF('Final Calculation Sheet'!$X$18="","",'Final Calculation Sheet'!$X$18)</f>
        <v/>
      </c>
      <c r="Z60" s="70">
        <f>IF('Final Calculation Sheet'!$Y$18="","",'Final Calculation Sheet'!$Y$18)</f>
        <v/>
      </c>
      <c r="AA60" s="70">
        <f>IF('Final Calculation Sheet'!$Z$18="","",'Final Calculation Sheet'!$Z$18)</f>
        <v/>
      </c>
      <c r="AB60" s="70">
        <f>IF('Final Calculation Sheet'!$AA$18="","",'Final Calculation Sheet'!$AA$18)</f>
        <v/>
      </c>
      <c r="AC60" s="70">
        <f>IF('Final Calculation Sheet'!$AB$18="","",'Final Calculation Sheet'!$AB$18)</f>
        <v/>
      </c>
      <c r="AD60" s="70">
        <f>IF('Final Calculation Sheet'!$AC$18="","",'Final Calculation Sheet'!$AC$18)</f>
        <v/>
      </c>
      <c r="AE60" s="70">
        <f>IF('Final Calculation Sheet'!$AD$18="","",'Final Calculation Sheet'!$AD$18)</f>
        <v/>
      </c>
      <c r="AF60" s="75">
        <f>IF('Final Calculation Sheet'!$AD$18="","",IF('Final Calculation Sheet'!$AD$18&lt;=5,"SETTLED","OUTSTANDING"))</f>
        <v/>
      </c>
      <c r="AG60" s="70">
        <f>IF('Final Calculation Sheet'!$AF$18="","",'Final Calculation Sheet'!$AF$18)</f>
        <v/>
      </c>
      <c r="AH60" s="74">
        <f>IF('Final Calculation Sheet'!$AG$18="","",'Final Calculation Sheet'!$AG$18)</f>
        <v/>
      </c>
      <c r="AI60" s="70">
        <f>IF('Final Calculation Sheet'!$AH$18="","",'Final Calculation Sheet'!$AH$18)</f>
        <v/>
      </c>
    </row>
    <row r="61" outlineLevel="1" ht="15" customHeight="1" s="137">
      <c r="A61" s="90" t="n">
        <v>6</v>
      </c>
      <c r="B61" s="92">
        <f>IF('Final Calculation Sheet'!$F$19="","",'Final Calculation Sheet'!$F$19)</f>
        <v/>
      </c>
      <c r="C61" s="92">
        <f>IF('Final Calculation Sheet'!$G$19="","",'Final Calculation Sheet'!$G$19)</f>
        <v/>
      </c>
      <c r="D61" s="94">
        <f>IF('Final Calculation Sheet'!$B$19="","",'Final Calculation Sheet'!$B$19)</f>
        <v/>
      </c>
      <c r="E61" s="94">
        <f>IF('Final Calculation Sheet'!$D$19="","",'Final Calculation Sheet'!$D$19)</f>
        <v/>
      </c>
      <c r="F61" s="94">
        <f>IF('Final Calculation Sheet'!$A$19="","",'Final Calculation Sheet'!$A$19)</f>
        <v/>
      </c>
      <c r="G61" s="94">
        <f>IF('Final Calculation Sheet'!$E$19="","",'Final Calculation Sheet'!$E$19)</f>
        <v/>
      </c>
      <c r="H61" s="95">
        <f>IF('Final Calculation Sheet'!$C$19="","",'Final Calculation Sheet'!$C$19)</f>
        <v/>
      </c>
      <c r="I61" s="95">
        <f>IF('Final Calculation Sheet'!$H$19="","",'Final Calculation Sheet'!$H$19)</f>
        <v/>
      </c>
      <c r="J61" s="95">
        <f>IF('Final Calculation Sheet'!$I$19="","",'Final Calculation Sheet'!$I$19)</f>
        <v/>
      </c>
      <c r="K61" s="95">
        <f>IF('Final Calculation Sheet'!$J$19="","",'Final Calculation Sheet'!$J$19)</f>
        <v/>
      </c>
      <c r="L61" s="95">
        <f>IF('Final Calculation Sheet'!$K$19="","",'Final Calculation Sheet'!$K$19)</f>
        <v/>
      </c>
      <c r="M61" s="95">
        <f>IF('Final Calculation Sheet'!$L$19="","",'Final Calculation Sheet'!$L$19)</f>
        <v/>
      </c>
      <c r="N61" s="95">
        <f>IF('Final Calculation Sheet'!$M$19="","",'Final Calculation Sheet'!$M$19)</f>
        <v/>
      </c>
      <c r="O61" s="96">
        <f>IF('Final Calculation Sheet'!$N$19="","",'Final Calculation Sheet'!$N$19)</f>
        <v/>
      </c>
      <c r="P61" s="95">
        <f>IF('Final Calculation Sheet'!$O$19="","",'Final Calculation Sheet'!$O$19)</f>
        <v/>
      </c>
      <c r="Q61" s="95">
        <f>IF('Final Calculation Sheet'!$P$19="","",'Final Calculation Sheet'!$P$19)</f>
        <v/>
      </c>
      <c r="R61" s="97">
        <f>IF('Final Calculation Sheet'!$Q$19="","",'Final Calculation Sheet'!$Q$19)</f>
        <v/>
      </c>
      <c r="S61" s="95">
        <f>IF('Final Calculation Sheet'!$R$19="","",'Final Calculation Sheet'!$R$19)</f>
        <v/>
      </c>
      <c r="T61" s="95">
        <f>IF('Final Calculation Sheet'!$S$19="","",'Final Calculation Sheet'!$S$19)</f>
        <v/>
      </c>
      <c r="U61" s="95">
        <f>IF('Final Calculation Sheet'!$T$19="","",'Final Calculation Sheet'!$T$19)</f>
        <v/>
      </c>
      <c r="V61" s="98">
        <f>IF('Final Calculation Sheet'!$U$19="","",'Final Calculation Sheet'!$U$19)</f>
        <v/>
      </c>
      <c r="W61" s="95">
        <f>IF('Final Calculation Sheet'!$V$19="","",'Final Calculation Sheet'!$V$19)</f>
        <v/>
      </c>
      <c r="X61" s="95">
        <f>IF('Final Calculation Sheet'!$W$19="","",'Final Calculation Sheet'!$W$19)</f>
        <v/>
      </c>
      <c r="Y61" s="95">
        <f>IF('Final Calculation Sheet'!$X$19="","",'Final Calculation Sheet'!$X$19)</f>
        <v/>
      </c>
      <c r="Z61" s="95">
        <f>IF('Final Calculation Sheet'!$Y$19="","",'Final Calculation Sheet'!$Y$19)</f>
        <v/>
      </c>
      <c r="AA61" s="95">
        <f>IF('Final Calculation Sheet'!$Z$19="","",'Final Calculation Sheet'!$Z$19)</f>
        <v/>
      </c>
      <c r="AB61" s="95">
        <f>IF('Final Calculation Sheet'!$AA$19="","",'Final Calculation Sheet'!$AA$19)</f>
        <v/>
      </c>
      <c r="AC61" s="95">
        <f>IF('Final Calculation Sheet'!$AB$19="","",'Final Calculation Sheet'!$AB$19)</f>
        <v/>
      </c>
      <c r="AD61" s="95">
        <f>IF('Final Calculation Sheet'!$AC$19="","",'Final Calculation Sheet'!$AC$19)</f>
        <v/>
      </c>
      <c r="AE61" s="95">
        <f>IF('Final Calculation Sheet'!$AD$19="","",'Final Calculation Sheet'!$AD$19)</f>
        <v/>
      </c>
      <c r="AF61" s="100">
        <f>IF('Final Calculation Sheet'!$AD$19="","",IF('Final Calculation Sheet'!$AD$19&lt;=5,"SETTLED","OUTSTANDING"))</f>
        <v/>
      </c>
      <c r="AG61" s="95">
        <f>IF('Final Calculation Sheet'!$AF$19="","",'Final Calculation Sheet'!$AF$19)</f>
        <v/>
      </c>
      <c r="AH61" s="99">
        <f>IF('Final Calculation Sheet'!$AG$19="","",'Final Calculation Sheet'!$AG$19)</f>
        <v/>
      </c>
      <c r="AI61" s="95">
        <f>IF('Final Calculation Sheet'!$AH$19="","",'Final Calculation Sheet'!$AH$19)</f>
        <v/>
      </c>
    </row>
    <row r="62" outlineLevel="1" ht="15" customHeight="1" s="137">
      <c r="A62" s="67" t="n">
        <v>7</v>
      </c>
      <c r="B62" s="76">
        <f>IF('Final Calculation Sheet'!$F$22="","",'Final Calculation Sheet'!$F$22)</f>
        <v/>
      </c>
      <c r="C62" s="76">
        <f>IF('Final Calculation Sheet'!$G$22="","",'Final Calculation Sheet'!$G$22)</f>
        <v/>
      </c>
      <c r="D62" s="80">
        <f>IF('Final Calculation Sheet'!$B$22="","",'Final Calculation Sheet'!$B$22)</f>
        <v/>
      </c>
      <c r="E62" s="80">
        <f>IF('Final Calculation Sheet'!$D$22="","",'Final Calculation Sheet'!$D$22)</f>
        <v/>
      </c>
      <c r="F62" s="80">
        <f>IF('Final Calculation Sheet'!$A$22="","",'Final Calculation Sheet'!$A$22)</f>
        <v/>
      </c>
      <c r="G62" s="80">
        <f>IF('Final Calculation Sheet'!$E$22="","",'Final Calculation Sheet'!$E$22)</f>
        <v/>
      </c>
      <c r="H62" s="70">
        <f>IF('Final Calculation Sheet'!$C$22="","",'Final Calculation Sheet'!$C$22)</f>
        <v/>
      </c>
      <c r="I62" s="70">
        <f>IF('Final Calculation Sheet'!$H$22="","",'Final Calculation Sheet'!$H$22)</f>
        <v/>
      </c>
      <c r="J62" s="70">
        <f>IF('Final Calculation Sheet'!$I$22="","",'Final Calculation Sheet'!$I$22)</f>
        <v/>
      </c>
      <c r="K62" s="70">
        <f>IF('Final Calculation Sheet'!$J$22="","",'Final Calculation Sheet'!$J$22)</f>
        <v/>
      </c>
      <c r="L62" s="70">
        <f>IF('Final Calculation Sheet'!$K$22="","",'Final Calculation Sheet'!$K$22)</f>
        <v/>
      </c>
      <c r="M62" s="70">
        <f>IF('Final Calculation Sheet'!$L$22="","",'Final Calculation Sheet'!$L$22)</f>
        <v/>
      </c>
      <c r="N62" s="70">
        <f>IF('Final Calculation Sheet'!$M$22="","",'Final Calculation Sheet'!$M$22)</f>
        <v/>
      </c>
      <c r="O62" s="71">
        <f>IF('Final Calculation Sheet'!$N$22="","",'Final Calculation Sheet'!$N$22)</f>
        <v/>
      </c>
      <c r="P62" s="70">
        <f>IF('Final Calculation Sheet'!$O$22="","",'Final Calculation Sheet'!$O$22)</f>
        <v/>
      </c>
      <c r="Q62" s="70">
        <f>IF('Final Calculation Sheet'!$P$22="","",'Final Calculation Sheet'!$P$22)</f>
        <v/>
      </c>
      <c r="R62" s="72">
        <f>IF('Final Calculation Sheet'!$Q$22="","",'Final Calculation Sheet'!$Q$22)</f>
        <v/>
      </c>
      <c r="S62" s="70">
        <f>IF('Final Calculation Sheet'!$R$22="","",'Final Calculation Sheet'!$R$22)</f>
        <v/>
      </c>
      <c r="T62" s="70">
        <f>IF('Final Calculation Sheet'!$S$22="","",'Final Calculation Sheet'!$S$22)</f>
        <v/>
      </c>
      <c r="U62" s="70">
        <f>IF('Final Calculation Sheet'!$T$22="","",'Final Calculation Sheet'!$T$22)</f>
        <v/>
      </c>
      <c r="V62" s="73">
        <f>IF('Final Calculation Sheet'!$U$22="","",'Final Calculation Sheet'!$U$22)</f>
        <v/>
      </c>
      <c r="W62" s="70">
        <f>IF('Final Calculation Sheet'!$V$22="","",'Final Calculation Sheet'!$V$22)</f>
        <v/>
      </c>
      <c r="X62" s="70">
        <f>IF('Final Calculation Sheet'!$W$22="","",'Final Calculation Sheet'!$W$22)</f>
        <v/>
      </c>
      <c r="Y62" s="70">
        <f>IF('Final Calculation Sheet'!$X$22="","",'Final Calculation Sheet'!$X$22)</f>
        <v/>
      </c>
      <c r="Z62" s="70">
        <f>IF('Final Calculation Sheet'!$Y$22="","",'Final Calculation Sheet'!$Y$22)</f>
        <v/>
      </c>
      <c r="AA62" s="70">
        <f>IF('Final Calculation Sheet'!$Z$22="","",'Final Calculation Sheet'!$Z$22)</f>
        <v/>
      </c>
      <c r="AB62" s="70">
        <f>IF('Final Calculation Sheet'!$AA$22="","",'Final Calculation Sheet'!$AA$22)</f>
        <v/>
      </c>
      <c r="AC62" s="70">
        <f>IF('Final Calculation Sheet'!$AB$22="","",'Final Calculation Sheet'!$AB$22)</f>
        <v/>
      </c>
      <c r="AD62" s="70">
        <f>IF('Final Calculation Sheet'!$AC$22="","",'Final Calculation Sheet'!$AC$22)</f>
        <v/>
      </c>
      <c r="AE62" s="70">
        <f>IF('Final Calculation Sheet'!$AD$22="","",'Final Calculation Sheet'!$AD$22)</f>
        <v/>
      </c>
      <c r="AF62" s="75">
        <f>IF('Final Calculation Sheet'!$AD$22="","",IF('Final Calculation Sheet'!$AD$22&lt;=5,"SETTLED","OUTSTANDING"))</f>
        <v/>
      </c>
      <c r="AG62" s="70">
        <f>IF('Final Calculation Sheet'!$AF$22="","",'Final Calculation Sheet'!$AF$22)</f>
        <v/>
      </c>
      <c r="AH62" s="74">
        <f>IF('Final Calculation Sheet'!$AG$22="","",'Final Calculation Sheet'!$AG$22)</f>
        <v/>
      </c>
      <c r="AI62" s="70">
        <f>IF('Final Calculation Sheet'!$AH$22="","",'Final Calculation Sheet'!$AH$22)</f>
        <v/>
      </c>
    </row>
    <row r="63" outlineLevel="1" ht="15" customHeight="1" s="137">
      <c r="A63" s="90" t="n">
        <v>8</v>
      </c>
      <c r="B63" s="92">
        <f>IF('Final Calculation Sheet'!$F$24="","",'Final Calculation Sheet'!$F$24)</f>
        <v/>
      </c>
      <c r="C63" s="92">
        <f>IF('Final Calculation Sheet'!$G$24="","",'Final Calculation Sheet'!$G$24)</f>
        <v/>
      </c>
      <c r="D63" s="94">
        <f>IF('Final Calculation Sheet'!$B$24="","",'Final Calculation Sheet'!$B$24)</f>
        <v/>
      </c>
      <c r="E63" s="94">
        <f>IF('Final Calculation Sheet'!$D$24="","",'Final Calculation Sheet'!$D$24)</f>
        <v/>
      </c>
      <c r="F63" s="94">
        <f>IF('Final Calculation Sheet'!$A$24="","",'Final Calculation Sheet'!$A$24)</f>
        <v/>
      </c>
      <c r="G63" s="94">
        <f>IF('Final Calculation Sheet'!$E$24="","",'Final Calculation Sheet'!$E$24)</f>
        <v/>
      </c>
      <c r="H63" s="95">
        <f>IF('Final Calculation Sheet'!$C$24="","",'Final Calculation Sheet'!$C$24)</f>
        <v/>
      </c>
      <c r="I63" s="95">
        <f>IF('Final Calculation Sheet'!$H$24="","",'Final Calculation Sheet'!$H$24)</f>
        <v/>
      </c>
      <c r="J63" s="95">
        <f>IF('Final Calculation Sheet'!$I$24="","",'Final Calculation Sheet'!$I$24)</f>
        <v/>
      </c>
      <c r="K63" s="95">
        <f>IF('Final Calculation Sheet'!$J$24="","",'Final Calculation Sheet'!$J$24)</f>
        <v/>
      </c>
      <c r="L63" s="95">
        <f>IF('Final Calculation Sheet'!$K$24="","",'Final Calculation Sheet'!$K$24)</f>
        <v/>
      </c>
      <c r="M63" s="95">
        <f>IF('Final Calculation Sheet'!$L$24="","",'Final Calculation Sheet'!$L$24)</f>
        <v/>
      </c>
      <c r="N63" s="95">
        <f>IF('Final Calculation Sheet'!$M$24="","",'Final Calculation Sheet'!$M$24)</f>
        <v/>
      </c>
      <c r="O63" s="96">
        <f>IF('Final Calculation Sheet'!$N$24="","",'Final Calculation Sheet'!$N$24)</f>
        <v/>
      </c>
      <c r="P63" s="95">
        <f>IF('Final Calculation Sheet'!$O$24="","",'Final Calculation Sheet'!$O$24)</f>
        <v/>
      </c>
      <c r="Q63" s="95">
        <f>IF('Final Calculation Sheet'!$P$24="","",'Final Calculation Sheet'!$P$24)</f>
        <v/>
      </c>
      <c r="R63" s="97">
        <f>IF('Final Calculation Sheet'!$Q$24="","",'Final Calculation Sheet'!$Q$24)</f>
        <v/>
      </c>
      <c r="S63" s="95">
        <f>IF('Final Calculation Sheet'!$R$24="","",'Final Calculation Sheet'!$R$24)</f>
        <v/>
      </c>
      <c r="T63" s="95">
        <f>IF('Final Calculation Sheet'!$S$24="","",'Final Calculation Sheet'!$S$24)</f>
        <v/>
      </c>
      <c r="U63" s="95">
        <f>IF('Final Calculation Sheet'!$T$24="","",'Final Calculation Sheet'!$T$24)</f>
        <v/>
      </c>
      <c r="V63" s="98">
        <f>IF('Final Calculation Sheet'!$U$24="","",'Final Calculation Sheet'!$U$24)</f>
        <v/>
      </c>
      <c r="W63" s="95">
        <f>IF('Final Calculation Sheet'!$V$24="","",'Final Calculation Sheet'!$V$24)</f>
        <v/>
      </c>
      <c r="X63" s="95">
        <f>IF('Final Calculation Sheet'!$W$24="","",'Final Calculation Sheet'!$W$24)</f>
        <v/>
      </c>
      <c r="Y63" s="95">
        <f>IF('Final Calculation Sheet'!$X$24="","",'Final Calculation Sheet'!$X$24)</f>
        <v/>
      </c>
      <c r="Z63" s="95">
        <f>IF('Final Calculation Sheet'!$Y$24="","",'Final Calculation Sheet'!$Y$24)</f>
        <v/>
      </c>
      <c r="AA63" s="95">
        <f>IF('Final Calculation Sheet'!$Z$24="","",'Final Calculation Sheet'!$Z$24)</f>
        <v/>
      </c>
      <c r="AB63" s="95">
        <f>IF('Final Calculation Sheet'!$AA$24="","",'Final Calculation Sheet'!$AA$24)</f>
        <v/>
      </c>
      <c r="AC63" s="95">
        <f>IF('Final Calculation Sheet'!$AB$24="","",'Final Calculation Sheet'!$AB$24)</f>
        <v/>
      </c>
      <c r="AD63" s="95">
        <f>IF('Final Calculation Sheet'!$AC$24="","",'Final Calculation Sheet'!$AC$24)</f>
        <v/>
      </c>
      <c r="AE63" s="95">
        <f>IF('Final Calculation Sheet'!$AD$24="","",'Final Calculation Sheet'!$AD$24)</f>
        <v/>
      </c>
      <c r="AF63" s="100">
        <f>IF('Final Calculation Sheet'!$AD$24="","",IF('Final Calculation Sheet'!$AD$24&lt;=5,"SETTLED","OUTSTANDING"))</f>
        <v/>
      </c>
      <c r="AG63" s="95">
        <f>IF('Final Calculation Sheet'!$AF$24="","",'Final Calculation Sheet'!$AF$24)</f>
        <v/>
      </c>
      <c r="AH63" s="99">
        <f>IF('Final Calculation Sheet'!$AG$24="","",'Final Calculation Sheet'!$AG$24)</f>
        <v/>
      </c>
      <c r="AI63" s="95">
        <f>IF('Final Calculation Sheet'!$AH$24="","",'Final Calculation Sheet'!$AH$24)</f>
        <v/>
      </c>
    </row>
    <row r="64" outlineLevel="1" ht="15" customHeight="1" s="137">
      <c r="A64" s="67" t="n">
        <v>9</v>
      </c>
      <c r="B64" s="76">
        <f>IF('Final Calculation Sheet'!$F$26="","",'Final Calculation Sheet'!$F$26)</f>
        <v/>
      </c>
      <c r="C64" s="76">
        <f>IF('Final Calculation Sheet'!$G$26="","",'Final Calculation Sheet'!$G$26)</f>
        <v/>
      </c>
      <c r="D64" s="80">
        <f>IF('Final Calculation Sheet'!$B$26="","",'Final Calculation Sheet'!$B$26)</f>
        <v/>
      </c>
      <c r="E64" s="80">
        <f>IF('Final Calculation Sheet'!$D$26="","",'Final Calculation Sheet'!$D$26)</f>
        <v/>
      </c>
      <c r="F64" s="80">
        <f>IF('Final Calculation Sheet'!$A$26="","",'Final Calculation Sheet'!$A$26)</f>
        <v/>
      </c>
      <c r="G64" s="80">
        <f>IF('Final Calculation Sheet'!$E$26="","",'Final Calculation Sheet'!$E$26)</f>
        <v/>
      </c>
      <c r="H64" s="70">
        <f>IF('Final Calculation Sheet'!$C$26="","",'Final Calculation Sheet'!$C$26)</f>
        <v/>
      </c>
      <c r="I64" s="70">
        <f>IF('Final Calculation Sheet'!$H$26="","",'Final Calculation Sheet'!$H$26)</f>
        <v/>
      </c>
      <c r="J64" s="70">
        <f>IF('Final Calculation Sheet'!$I$26="","",'Final Calculation Sheet'!$I$26)</f>
        <v/>
      </c>
      <c r="K64" s="70">
        <f>IF('Final Calculation Sheet'!$J$26="","",'Final Calculation Sheet'!$J$26)</f>
        <v/>
      </c>
      <c r="L64" s="70">
        <f>IF('Final Calculation Sheet'!$K$26="","",'Final Calculation Sheet'!$K$26)</f>
        <v/>
      </c>
      <c r="M64" s="70">
        <f>IF('Final Calculation Sheet'!$L$26="","",'Final Calculation Sheet'!$L$26)</f>
        <v/>
      </c>
      <c r="N64" s="70">
        <f>IF('Final Calculation Sheet'!$M$26="","",'Final Calculation Sheet'!$M$26)</f>
        <v/>
      </c>
      <c r="O64" s="71">
        <f>IF('Final Calculation Sheet'!$N$26="","",'Final Calculation Sheet'!$N$26)</f>
        <v/>
      </c>
      <c r="P64" s="70">
        <f>IF('Final Calculation Sheet'!$O$26="","",'Final Calculation Sheet'!$O$26)</f>
        <v/>
      </c>
      <c r="Q64" s="70">
        <f>IF('Final Calculation Sheet'!$P$26="","",'Final Calculation Sheet'!$P$26)</f>
        <v/>
      </c>
      <c r="R64" s="72">
        <f>IF('Final Calculation Sheet'!$Q$26="","",'Final Calculation Sheet'!$Q$26)</f>
        <v/>
      </c>
      <c r="S64" s="70">
        <f>IF('Final Calculation Sheet'!$R$26="","",'Final Calculation Sheet'!$R$26)</f>
        <v/>
      </c>
      <c r="T64" s="70">
        <f>IF('Final Calculation Sheet'!$S$26="","",'Final Calculation Sheet'!$S$26)</f>
        <v/>
      </c>
      <c r="U64" s="70">
        <f>IF('Final Calculation Sheet'!$T$26="","",'Final Calculation Sheet'!$T$26)</f>
        <v/>
      </c>
      <c r="V64" s="73">
        <f>IF('Final Calculation Sheet'!$U$26="","",'Final Calculation Sheet'!$U$26)</f>
        <v/>
      </c>
      <c r="W64" s="70">
        <f>IF('Final Calculation Sheet'!$V$26="","",'Final Calculation Sheet'!$V$26)</f>
        <v/>
      </c>
      <c r="X64" s="70">
        <f>IF('Final Calculation Sheet'!$W$26="","",'Final Calculation Sheet'!$W$26)</f>
        <v/>
      </c>
      <c r="Y64" s="70">
        <f>IF('Final Calculation Sheet'!$X$26="","",'Final Calculation Sheet'!$X$26)</f>
        <v/>
      </c>
      <c r="Z64" s="70">
        <f>IF('Final Calculation Sheet'!$Y$26="","",'Final Calculation Sheet'!$Y$26)</f>
        <v/>
      </c>
      <c r="AA64" s="70">
        <f>IF('Final Calculation Sheet'!$Z$26="","",'Final Calculation Sheet'!$Z$26)</f>
        <v/>
      </c>
      <c r="AB64" s="70">
        <f>IF('Final Calculation Sheet'!$AA$26="","",'Final Calculation Sheet'!$AA$26)</f>
        <v/>
      </c>
      <c r="AC64" s="70">
        <f>IF('Final Calculation Sheet'!$AB$26="","",'Final Calculation Sheet'!$AB$26)</f>
        <v/>
      </c>
      <c r="AD64" s="70">
        <f>IF('Final Calculation Sheet'!$AC$26="","",'Final Calculation Sheet'!$AC$26)</f>
        <v/>
      </c>
      <c r="AE64" s="70">
        <f>IF('Final Calculation Sheet'!$AD$26="","",'Final Calculation Sheet'!$AD$26)</f>
        <v/>
      </c>
      <c r="AF64" s="75">
        <f>IF('Final Calculation Sheet'!$AD$26="","",IF('Final Calculation Sheet'!$AD$26&lt;=5,"SETTLED","OUTSTANDING"))</f>
        <v/>
      </c>
      <c r="AG64" s="70">
        <f>IF('Final Calculation Sheet'!$AF$26="","",'Final Calculation Sheet'!$AF$26)</f>
        <v/>
      </c>
      <c r="AH64" s="74">
        <f>IF('Final Calculation Sheet'!$AG$26="","",'Final Calculation Sheet'!$AG$26)</f>
        <v/>
      </c>
      <c r="AI64" s="70">
        <f>IF('Final Calculation Sheet'!$AH$26="","",'Final Calculation Sheet'!$AH$26)</f>
        <v/>
      </c>
    </row>
    <row r="65" outlineLevel="1" ht="15" customHeight="1" s="137">
      <c r="A65" s="90" t="n">
        <v>10</v>
      </c>
      <c r="B65" s="92">
        <f>IF('Final Calculation Sheet'!$F$30="","",'Final Calculation Sheet'!$F$30)</f>
        <v/>
      </c>
      <c r="C65" s="92">
        <f>IF('Final Calculation Sheet'!$G$30="","",'Final Calculation Sheet'!$G$30)</f>
        <v/>
      </c>
      <c r="D65" s="94">
        <f>IF('Final Calculation Sheet'!$B$30="","",'Final Calculation Sheet'!$B$30)</f>
        <v/>
      </c>
      <c r="E65" s="94">
        <f>IF('Final Calculation Sheet'!$D$30="","",'Final Calculation Sheet'!$D$30)</f>
        <v/>
      </c>
      <c r="F65" s="94">
        <f>IF('Final Calculation Sheet'!$A$30="","",'Final Calculation Sheet'!$A$30)</f>
        <v/>
      </c>
      <c r="G65" s="94">
        <f>IF('Final Calculation Sheet'!$E$30="","",'Final Calculation Sheet'!$E$30)</f>
        <v/>
      </c>
      <c r="H65" s="95">
        <f>IF('Final Calculation Sheet'!$C$30="","",'Final Calculation Sheet'!$C$30)</f>
        <v/>
      </c>
      <c r="I65" s="95">
        <f>IF('Final Calculation Sheet'!$H$30="","",'Final Calculation Sheet'!$H$30)</f>
        <v/>
      </c>
      <c r="J65" s="95">
        <f>IF('Final Calculation Sheet'!$I$30="","",'Final Calculation Sheet'!$I$30)</f>
        <v/>
      </c>
      <c r="K65" s="95">
        <f>IF('Final Calculation Sheet'!$J$30="","",'Final Calculation Sheet'!$J$30)</f>
        <v/>
      </c>
      <c r="L65" s="95">
        <f>IF('Final Calculation Sheet'!$K$30="","",'Final Calculation Sheet'!$K$30)</f>
        <v/>
      </c>
      <c r="M65" s="95">
        <f>IF('Final Calculation Sheet'!$L$30="","",'Final Calculation Sheet'!$L$30)</f>
        <v/>
      </c>
      <c r="N65" s="95">
        <f>IF('Final Calculation Sheet'!$M$30="","",'Final Calculation Sheet'!$M$30)</f>
        <v/>
      </c>
      <c r="O65" s="96">
        <f>IF('Final Calculation Sheet'!$N$30="","",'Final Calculation Sheet'!$N$30)</f>
        <v/>
      </c>
      <c r="P65" s="95">
        <f>IF('Final Calculation Sheet'!$O$30="","",'Final Calculation Sheet'!$O$30)</f>
        <v/>
      </c>
      <c r="Q65" s="95">
        <f>IF('Final Calculation Sheet'!$P$30="","",'Final Calculation Sheet'!$P$30)</f>
        <v/>
      </c>
      <c r="R65" s="97">
        <f>IF('Final Calculation Sheet'!$Q$30="","",'Final Calculation Sheet'!$Q$30)</f>
        <v/>
      </c>
      <c r="S65" s="95">
        <f>IF('Final Calculation Sheet'!$R$30="","",'Final Calculation Sheet'!$R$30)</f>
        <v/>
      </c>
      <c r="T65" s="95">
        <f>IF('Final Calculation Sheet'!$S$30="","",'Final Calculation Sheet'!$S$30)</f>
        <v/>
      </c>
      <c r="U65" s="95">
        <f>IF('Final Calculation Sheet'!$T$30="","",'Final Calculation Sheet'!$T$30)</f>
        <v/>
      </c>
      <c r="V65" s="98">
        <f>IF('Final Calculation Sheet'!$U$30="","",'Final Calculation Sheet'!$U$30)</f>
        <v/>
      </c>
      <c r="W65" s="95">
        <f>IF('Final Calculation Sheet'!$V$30="","",'Final Calculation Sheet'!$V$30)</f>
        <v/>
      </c>
      <c r="X65" s="95">
        <f>IF('Final Calculation Sheet'!$W$30="","",'Final Calculation Sheet'!$W$30)</f>
        <v/>
      </c>
      <c r="Y65" s="95">
        <f>IF('Final Calculation Sheet'!$X$30="","",'Final Calculation Sheet'!$X$30)</f>
        <v/>
      </c>
      <c r="Z65" s="95">
        <f>IF('Final Calculation Sheet'!$Y$30="","",'Final Calculation Sheet'!$Y$30)</f>
        <v/>
      </c>
      <c r="AA65" s="95">
        <f>IF('Final Calculation Sheet'!$Z$30="","",'Final Calculation Sheet'!$Z$30)</f>
        <v/>
      </c>
      <c r="AB65" s="95">
        <f>IF('Final Calculation Sheet'!$AA$30="","",'Final Calculation Sheet'!$AA$30)</f>
        <v/>
      </c>
      <c r="AC65" s="95">
        <f>IF('Final Calculation Sheet'!$AB$30="","",'Final Calculation Sheet'!$AB$30)</f>
        <v/>
      </c>
      <c r="AD65" s="95">
        <f>IF('Final Calculation Sheet'!$AC$30="","",'Final Calculation Sheet'!$AC$30)</f>
        <v/>
      </c>
      <c r="AE65" s="95">
        <f>IF('Final Calculation Sheet'!$AD$30="","",'Final Calculation Sheet'!$AD$30)</f>
        <v/>
      </c>
      <c r="AF65" s="100">
        <f>IF('Final Calculation Sheet'!$AD$30="","",IF('Final Calculation Sheet'!$AD$30&lt;=5,"SETTLED","OUTSTANDING"))</f>
        <v/>
      </c>
      <c r="AG65" s="95">
        <f>IF('Final Calculation Sheet'!$AF$30="","",'Final Calculation Sheet'!$AF$30)</f>
        <v/>
      </c>
      <c r="AH65" s="99">
        <f>IF('Final Calculation Sheet'!$AG$30="","",'Final Calculation Sheet'!$AG$30)</f>
        <v/>
      </c>
      <c r="AI65" s="95">
        <f>IF('Final Calculation Sheet'!$AH$30="","",'Final Calculation Sheet'!$AH$30)</f>
        <v/>
      </c>
    </row>
    <row r="66" outlineLevel="1" ht="15" customHeight="1" s="137">
      <c r="A66" s="67" t="n">
        <v>11</v>
      </c>
      <c r="B66" s="76">
        <f>IF('Final Calculation Sheet'!$F$32="","",'Final Calculation Sheet'!$F$32)</f>
        <v/>
      </c>
      <c r="C66" s="76">
        <f>IF('Final Calculation Sheet'!$G$32="","",'Final Calculation Sheet'!$G$32)</f>
        <v/>
      </c>
      <c r="D66" s="80">
        <f>IF('Final Calculation Sheet'!$B$32="","",'Final Calculation Sheet'!$B$32)</f>
        <v/>
      </c>
      <c r="E66" s="80">
        <f>IF('Final Calculation Sheet'!$D$32="","",'Final Calculation Sheet'!$D$32)</f>
        <v/>
      </c>
      <c r="F66" s="80">
        <f>IF('Final Calculation Sheet'!$A$32="","",'Final Calculation Sheet'!$A$32)</f>
        <v/>
      </c>
      <c r="G66" s="80">
        <f>IF('Final Calculation Sheet'!$E$32="","",'Final Calculation Sheet'!$E$32)</f>
        <v/>
      </c>
      <c r="H66" s="70">
        <f>IF('Final Calculation Sheet'!$C$32="","",'Final Calculation Sheet'!$C$32)</f>
        <v/>
      </c>
      <c r="I66" s="70">
        <f>IF('Final Calculation Sheet'!$H$32="","",'Final Calculation Sheet'!$H$32)</f>
        <v/>
      </c>
      <c r="J66" s="70">
        <f>IF('Final Calculation Sheet'!$I$32="","",'Final Calculation Sheet'!$I$32)</f>
        <v/>
      </c>
      <c r="K66" s="70">
        <f>IF('Final Calculation Sheet'!$J$32="","",'Final Calculation Sheet'!$J$32)</f>
        <v/>
      </c>
      <c r="L66" s="70">
        <f>IF('Final Calculation Sheet'!$K$32="","",'Final Calculation Sheet'!$K$32)</f>
        <v/>
      </c>
      <c r="M66" s="70">
        <f>IF('Final Calculation Sheet'!$L$32="","",'Final Calculation Sheet'!$L$32)</f>
        <v/>
      </c>
      <c r="N66" s="70">
        <f>IF('Final Calculation Sheet'!$M$32="","",'Final Calculation Sheet'!$M$32)</f>
        <v/>
      </c>
      <c r="O66" s="71">
        <f>IF('Final Calculation Sheet'!$N$32="","",'Final Calculation Sheet'!$N$32)</f>
        <v/>
      </c>
      <c r="P66" s="70">
        <f>IF('Final Calculation Sheet'!$O$32="","",'Final Calculation Sheet'!$O$32)</f>
        <v/>
      </c>
      <c r="Q66" s="70">
        <f>IF('Final Calculation Sheet'!$P$32="","",'Final Calculation Sheet'!$P$32)</f>
        <v/>
      </c>
      <c r="R66" s="72">
        <f>IF('Final Calculation Sheet'!$Q$32="","",'Final Calculation Sheet'!$Q$32)</f>
        <v/>
      </c>
      <c r="S66" s="70">
        <f>IF('Final Calculation Sheet'!$R$32="","",'Final Calculation Sheet'!$R$32)</f>
        <v/>
      </c>
      <c r="T66" s="70">
        <f>IF('Final Calculation Sheet'!$S$32="","",'Final Calculation Sheet'!$S$32)</f>
        <v/>
      </c>
      <c r="U66" s="70">
        <f>IF('Final Calculation Sheet'!$T$32="","",'Final Calculation Sheet'!$T$32)</f>
        <v/>
      </c>
      <c r="V66" s="73">
        <f>IF('Final Calculation Sheet'!$U$32="","",'Final Calculation Sheet'!$U$32)</f>
        <v/>
      </c>
      <c r="W66" s="70">
        <f>IF('Final Calculation Sheet'!$V$32="","",'Final Calculation Sheet'!$V$32)</f>
        <v/>
      </c>
      <c r="X66" s="70">
        <f>IF('Final Calculation Sheet'!$W$32="","",'Final Calculation Sheet'!$W$32)</f>
        <v/>
      </c>
      <c r="Y66" s="70">
        <f>IF('Final Calculation Sheet'!$X$32="","",'Final Calculation Sheet'!$X$32)</f>
        <v/>
      </c>
      <c r="Z66" s="70">
        <f>IF('Final Calculation Sheet'!$Y$32="","",'Final Calculation Sheet'!$Y$32)</f>
        <v/>
      </c>
      <c r="AA66" s="70">
        <f>IF('Final Calculation Sheet'!$Z$32="","",'Final Calculation Sheet'!$Z$32)</f>
        <v/>
      </c>
      <c r="AB66" s="70">
        <f>IF('Final Calculation Sheet'!$AA$32="","",'Final Calculation Sheet'!$AA$32)</f>
        <v/>
      </c>
      <c r="AC66" s="70">
        <f>IF('Final Calculation Sheet'!$AB$32="","",'Final Calculation Sheet'!$AB$32)</f>
        <v/>
      </c>
      <c r="AD66" s="70">
        <f>IF('Final Calculation Sheet'!$AC$32="","",'Final Calculation Sheet'!$AC$32)</f>
        <v/>
      </c>
      <c r="AE66" s="70">
        <f>IF('Final Calculation Sheet'!$AD$32="","",'Final Calculation Sheet'!$AD$32)</f>
        <v/>
      </c>
      <c r="AF66" s="75">
        <f>IF('Final Calculation Sheet'!$AD$32="","",IF('Final Calculation Sheet'!$AD$32&lt;=5,"SETTLED","OUTSTANDING"))</f>
        <v/>
      </c>
      <c r="AG66" s="70">
        <f>IF('Final Calculation Sheet'!$AF$32="","",'Final Calculation Sheet'!$AF$32)</f>
        <v/>
      </c>
      <c r="AH66" s="74">
        <f>IF('Final Calculation Sheet'!$AG$32="","",'Final Calculation Sheet'!$AG$32)</f>
        <v/>
      </c>
      <c r="AI66" s="70">
        <f>IF('Final Calculation Sheet'!$AH$32="","",'Final Calculation Sheet'!$AH$32)</f>
        <v/>
      </c>
    </row>
    <row r="67" outlineLevel="1" ht="15" customHeight="1" s="137">
      <c r="A67" s="90" t="n">
        <v>12</v>
      </c>
      <c r="B67" s="92">
        <f>IF('Final Calculation Sheet'!$F$33="","",'Final Calculation Sheet'!$F$33)</f>
        <v/>
      </c>
      <c r="C67" s="92">
        <f>IF('Final Calculation Sheet'!$G$33="","",'Final Calculation Sheet'!$G$33)</f>
        <v/>
      </c>
      <c r="D67" s="94">
        <f>IF('Final Calculation Sheet'!$B$33="","",'Final Calculation Sheet'!$B$33)</f>
        <v/>
      </c>
      <c r="E67" s="94">
        <f>IF('Final Calculation Sheet'!$D$33="","",'Final Calculation Sheet'!$D$33)</f>
        <v/>
      </c>
      <c r="F67" s="94">
        <f>IF('Final Calculation Sheet'!$A$33="","",'Final Calculation Sheet'!$A$33)</f>
        <v/>
      </c>
      <c r="G67" s="94">
        <f>IF('Final Calculation Sheet'!$E$33="","",'Final Calculation Sheet'!$E$33)</f>
        <v/>
      </c>
      <c r="H67" s="95">
        <f>IF('Final Calculation Sheet'!$C$33="","",'Final Calculation Sheet'!$C$33)</f>
        <v/>
      </c>
      <c r="I67" s="95">
        <f>IF('Final Calculation Sheet'!$H$33="","",'Final Calculation Sheet'!$H$33)</f>
        <v/>
      </c>
      <c r="J67" s="95">
        <f>IF('Final Calculation Sheet'!$I$33="","",'Final Calculation Sheet'!$I$33)</f>
        <v/>
      </c>
      <c r="K67" s="95">
        <f>IF('Final Calculation Sheet'!$J$33="","",'Final Calculation Sheet'!$J$33)</f>
        <v/>
      </c>
      <c r="L67" s="95">
        <f>IF('Final Calculation Sheet'!$K$33="","",'Final Calculation Sheet'!$K$33)</f>
        <v/>
      </c>
      <c r="M67" s="95">
        <f>IF('Final Calculation Sheet'!$L$33="","",'Final Calculation Sheet'!$L$33)</f>
        <v/>
      </c>
      <c r="N67" s="95">
        <f>IF('Final Calculation Sheet'!$M$33="","",'Final Calculation Sheet'!$M$33)</f>
        <v/>
      </c>
      <c r="O67" s="96">
        <f>IF('Final Calculation Sheet'!$N$33="","",'Final Calculation Sheet'!$N$33)</f>
        <v/>
      </c>
      <c r="P67" s="95">
        <f>IF('Final Calculation Sheet'!$O$33="","",'Final Calculation Sheet'!$O$33)</f>
        <v/>
      </c>
      <c r="Q67" s="95">
        <f>IF('Final Calculation Sheet'!$P$33="","",'Final Calculation Sheet'!$P$33)</f>
        <v/>
      </c>
      <c r="R67" s="97">
        <f>IF('Final Calculation Sheet'!$Q$33="","",'Final Calculation Sheet'!$Q$33)</f>
        <v/>
      </c>
      <c r="S67" s="95">
        <f>IF('Final Calculation Sheet'!$R$33="","",'Final Calculation Sheet'!$R$33)</f>
        <v/>
      </c>
      <c r="T67" s="95">
        <f>IF('Final Calculation Sheet'!$S$33="","",'Final Calculation Sheet'!$S$33)</f>
        <v/>
      </c>
      <c r="U67" s="95">
        <f>IF('Final Calculation Sheet'!$T$33="","",'Final Calculation Sheet'!$T$33)</f>
        <v/>
      </c>
      <c r="V67" s="98">
        <f>IF('Final Calculation Sheet'!$U$33="","",'Final Calculation Sheet'!$U$33)</f>
        <v/>
      </c>
      <c r="W67" s="95">
        <f>IF('Final Calculation Sheet'!$V$33="","",'Final Calculation Sheet'!$V$33)</f>
        <v/>
      </c>
      <c r="X67" s="95">
        <f>IF('Final Calculation Sheet'!$W$33="","",'Final Calculation Sheet'!$W$33)</f>
        <v/>
      </c>
      <c r="Y67" s="95">
        <f>IF('Final Calculation Sheet'!$X$33="","",'Final Calculation Sheet'!$X$33)</f>
        <v/>
      </c>
      <c r="Z67" s="95">
        <f>IF('Final Calculation Sheet'!$Y$33="","",'Final Calculation Sheet'!$Y$33)</f>
        <v/>
      </c>
      <c r="AA67" s="95">
        <f>IF('Final Calculation Sheet'!$Z$33="","",'Final Calculation Sheet'!$Z$33)</f>
        <v/>
      </c>
      <c r="AB67" s="95">
        <f>IF('Final Calculation Sheet'!$AA$33="","",'Final Calculation Sheet'!$AA$33)</f>
        <v/>
      </c>
      <c r="AC67" s="95">
        <f>IF('Final Calculation Sheet'!$AB$33="","",'Final Calculation Sheet'!$AB$33)</f>
        <v/>
      </c>
      <c r="AD67" s="95">
        <f>IF('Final Calculation Sheet'!$AC$33="","",'Final Calculation Sheet'!$AC$33)</f>
        <v/>
      </c>
      <c r="AE67" s="95">
        <f>IF('Final Calculation Sheet'!$AD$33="","",'Final Calculation Sheet'!$AD$33)</f>
        <v/>
      </c>
      <c r="AF67" s="100">
        <f>IF('Final Calculation Sheet'!$AD$33="","",IF('Final Calculation Sheet'!$AD$33&lt;=5,"SETTLED","OUTSTANDING"))</f>
        <v/>
      </c>
      <c r="AG67" s="95">
        <f>IF('Final Calculation Sheet'!$AF$33="","",'Final Calculation Sheet'!$AF$33)</f>
        <v/>
      </c>
      <c r="AH67" s="99">
        <f>IF('Final Calculation Sheet'!$AG$33="","",'Final Calculation Sheet'!$AG$33)</f>
        <v/>
      </c>
      <c r="AI67" s="95">
        <f>IF('Final Calculation Sheet'!$AH$33="","",'Final Calculation Sheet'!$AH$33)</f>
        <v/>
      </c>
    </row>
    <row r="68" outlineLevel="1" ht="15" customHeight="1" s="137">
      <c r="A68" s="67" t="n">
        <v>13</v>
      </c>
      <c r="B68" s="76">
        <f>IF('Final Calculation Sheet'!$F$37="","",'Final Calculation Sheet'!$F$37)</f>
        <v/>
      </c>
      <c r="C68" s="76">
        <f>IF('Final Calculation Sheet'!$G$37="","",'Final Calculation Sheet'!$G$37)</f>
        <v/>
      </c>
      <c r="D68" s="80">
        <f>IF('Final Calculation Sheet'!$B$37="","",'Final Calculation Sheet'!$B$37)</f>
        <v/>
      </c>
      <c r="E68" s="80">
        <f>IF('Final Calculation Sheet'!$D$37="","",'Final Calculation Sheet'!$D$37)</f>
        <v/>
      </c>
      <c r="F68" s="80">
        <f>IF('Final Calculation Sheet'!$A$37="","",'Final Calculation Sheet'!$A$37)</f>
        <v/>
      </c>
      <c r="G68" s="80">
        <f>IF('Final Calculation Sheet'!$E$37="","",'Final Calculation Sheet'!$E$37)</f>
        <v/>
      </c>
      <c r="H68" s="70">
        <f>IF('Final Calculation Sheet'!$C$37="","",'Final Calculation Sheet'!$C$37)</f>
        <v/>
      </c>
      <c r="I68" s="70">
        <f>IF('Final Calculation Sheet'!$H$37="","",'Final Calculation Sheet'!$H$37)</f>
        <v/>
      </c>
      <c r="J68" s="70">
        <f>IF('Final Calculation Sheet'!$I$37="","",'Final Calculation Sheet'!$I$37)</f>
        <v/>
      </c>
      <c r="K68" s="70">
        <f>IF('Final Calculation Sheet'!$J$37="","",'Final Calculation Sheet'!$J$37)</f>
        <v/>
      </c>
      <c r="L68" s="70">
        <f>IF('Final Calculation Sheet'!$K$37="","",'Final Calculation Sheet'!$K$37)</f>
        <v/>
      </c>
      <c r="M68" s="70">
        <f>IF('Final Calculation Sheet'!$L$37="","",'Final Calculation Sheet'!$L$37)</f>
        <v/>
      </c>
      <c r="N68" s="70">
        <f>IF('Final Calculation Sheet'!$M$37="","",'Final Calculation Sheet'!$M$37)</f>
        <v/>
      </c>
      <c r="O68" s="71">
        <f>IF('Final Calculation Sheet'!$N$37="","",'Final Calculation Sheet'!$N$37)</f>
        <v/>
      </c>
      <c r="P68" s="70">
        <f>IF('Final Calculation Sheet'!$O$37="","",'Final Calculation Sheet'!$O$37)</f>
        <v/>
      </c>
      <c r="Q68" s="70">
        <f>IF('Final Calculation Sheet'!$P$37="","",'Final Calculation Sheet'!$P$37)</f>
        <v/>
      </c>
      <c r="R68" s="72">
        <f>IF('Final Calculation Sheet'!$Q$37="","",'Final Calculation Sheet'!$Q$37)</f>
        <v/>
      </c>
      <c r="S68" s="70">
        <f>IF('Final Calculation Sheet'!$R$37="","",'Final Calculation Sheet'!$R$37)</f>
        <v/>
      </c>
      <c r="T68" s="70">
        <f>IF('Final Calculation Sheet'!$S$37="","",'Final Calculation Sheet'!$S$37)</f>
        <v/>
      </c>
      <c r="U68" s="70">
        <f>IF('Final Calculation Sheet'!$T$37="","",'Final Calculation Sheet'!$T$37)</f>
        <v/>
      </c>
      <c r="V68" s="73">
        <f>IF('Final Calculation Sheet'!$U$37="","",'Final Calculation Sheet'!$U$37)</f>
        <v/>
      </c>
      <c r="W68" s="70">
        <f>IF('Final Calculation Sheet'!$V$37="","",'Final Calculation Sheet'!$V$37)</f>
        <v/>
      </c>
      <c r="X68" s="70">
        <f>IF('Final Calculation Sheet'!$W$37="","",'Final Calculation Sheet'!$W$37)</f>
        <v/>
      </c>
      <c r="Y68" s="70">
        <f>IF('Final Calculation Sheet'!$X$37="","",'Final Calculation Sheet'!$X$37)</f>
        <v/>
      </c>
      <c r="Z68" s="70">
        <f>IF('Final Calculation Sheet'!$Y$37="","",'Final Calculation Sheet'!$Y$37)</f>
        <v/>
      </c>
      <c r="AA68" s="70">
        <f>IF('Final Calculation Sheet'!$Z$37="","",'Final Calculation Sheet'!$Z$37)</f>
        <v/>
      </c>
      <c r="AB68" s="70">
        <f>IF('Final Calculation Sheet'!$AA$37="","",'Final Calculation Sheet'!$AA$37)</f>
        <v/>
      </c>
      <c r="AC68" s="70">
        <f>IF('Final Calculation Sheet'!$AB$37="","",'Final Calculation Sheet'!$AB$37)</f>
        <v/>
      </c>
      <c r="AD68" s="70">
        <f>IF('Final Calculation Sheet'!$AC$37="","",'Final Calculation Sheet'!$AC$37)</f>
        <v/>
      </c>
      <c r="AE68" s="70">
        <f>IF('Final Calculation Sheet'!$AD$37="","",'Final Calculation Sheet'!$AD$37)</f>
        <v/>
      </c>
      <c r="AF68" s="75">
        <f>IF('Final Calculation Sheet'!$AD$37="","",IF('Final Calculation Sheet'!$AD$37&lt;=5,"SETTLED","OUTSTANDING"))</f>
        <v/>
      </c>
      <c r="AG68" s="70">
        <f>IF('Final Calculation Sheet'!$AF$37="","",'Final Calculation Sheet'!$AF$37)</f>
        <v/>
      </c>
      <c r="AH68" s="74">
        <f>IF('Final Calculation Sheet'!$AG$37="","",'Final Calculation Sheet'!$AG$37)</f>
        <v/>
      </c>
      <c r="AI68" s="70">
        <f>IF('Final Calculation Sheet'!$AH$37="","",'Final Calculation Sheet'!$AH$37)</f>
        <v/>
      </c>
    </row>
    <row r="69" ht="15" customHeight="1" s="137">
      <c r="A69" s="81" t="inlineStr">
        <is>
          <t>∑</t>
        </is>
      </c>
      <c r="B69" s="83" t="n"/>
      <c r="C69" s="83">
        <f>ROWS($C$56:$C$68)&amp;" lot(s)"</f>
        <v/>
      </c>
      <c r="D69" s="83" t="inlineStr">
        <is>
          <t>SUBTOTAL — NATIONAL ENTERPRISES</t>
        </is>
      </c>
      <c r="E69" s="83" t="inlineStr">
        <is>
          <t>–</t>
        </is>
      </c>
      <c r="F69" s="83">
        <f>SUM(F56:F68)</f>
        <v/>
      </c>
      <c r="G69" s="83" t="inlineStr">
        <is>
          <t>–</t>
        </is>
      </c>
      <c r="H69" s="84" t="inlineStr">
        <is>
          <t>–</t>
        </is>
      </c>
      <c r="I69" s="84">
        <f>SUM(I56:I68)</f>
        <v/>
      </c>
      <c r="J69" s="84">
        <f>SUM(J56:J68)</f>
        <v/>
      </c>
      <c r="K69" s="84">
        <f>SUM(K56:K68)</f>
        <v/>
      </c>
      <c r="L69" s="84">
        <f>SUM(L56:L68)</f>
        <v/>
      </c>
      <c r="M69" s="84">
        <f>SUM(M56:M68)</f>
        <v/>
      </c>
      <c r="N69" s="84">
        <f>SUM(N56:N68)</f>
        <v/>
      </c>
      <c r="O69" s="85">
        <f>SUM(O56:O68)</f>
        <v/>
      </c>
      <c r="P69" s="84">
        <f>SUM(P56:P68)</f>
        <v/>
      </c>
      <c r="Q69" s="84">
        <f>SUM(Q56:Q68)</f>
        <v/>
      </c>
      <c r="R69" s="86" t="inlineStr">
        <is>
          <t>–</t>
        </is>
      </c>
      <c r="S69" s="84">
        <f>SUM(S56:S68)</f>
        <v/>
      </c>
      <c r="T69" s="84">
        <f>SUM(T56:T68)</f>
        <v/>
      </c>
      <c r="U69" s="84">
        <f>SUM(U56:U68)</f>
        <v/>
      </c>
      <c r="V69" s="87">
        <f>SUM(V56:V68)</f>
        <v/>
      </c>
      <c r="W69" s="84" t="inlineStr">
        <is>
          <t>–</t>
        </is>
      </c>
      <c r="X69" s="84">
        <f>SUM(X56:X68)</f>
        <v/>
      </c>
      <c r="Y69" s="84">
        <f>SUM(Y56:Y68)</f>
        <v/>
      </c>
      <c r="Z69" s="84" t="inlineStr">
        <is>
          <t>–</t>
        </is>
      </c>
      <c r="AA69" s="84">
        <f>SUM(AA56:AA68)</f>
        <v/>
      </c>
      <c r="AB69" s="84">
        <f>SUM(AB56:AB68)</f>
        <v/>
      </c>
      <c r="AC69" s="84" t="inlineStr">
        <is>
          <t>–</t>
        </is>
      </c>
      <c r="AD69" s="84">
        <f>SUM(AD56:AD68)</f>
        <v/>
      </c>
      <c r="AE69" s="84">
        <f>SUM(AE56:AE68)</f>
        <v/>
      </c>
      <c r="AF69" s="89">
        <f>IF(AE69&lt;=5,"SETTLED","OUTSTANDING")</f>
        <v/>
      </c>
      <c r="AG69" s="84" t="inlineStr">
        <is>
          <t>–</t>
        </is>
      </c>
      <c r="AH69" s="88" t="inlineStr">
        <is>
          <t>–</t>
        </is>
      </c>
      <c r="AI69" s="84" t="inlineStr">
        <is>
          <t>–</t>
        </is>
      </c>
    </row>
    <row r="70" outlineLevel="1" ht="15" customHeight="1" s="137">
      <c r="A70" s="67" t="n">
        <v>1</v>
      </c>
      <c r="B70" s="76">
        <f>IF('Final Calculation Sheet'!$F$21="","",'Final Calculation Sheet'!$F$21)</f>
        <v/>
      </c>
      <c r="C70" s="76">
        <f>IF('Final Calculation Sheet'!$G$21="","",'Final Calculation Sheet'!$G$21)</f>
        <v/>
      </c>
      <c r="D70" s="80">
        <f>IF('Final Calculation Sheet'!$B$21="","",'Final Calculation Sheet'!$B$21)</f>
        <v/>
      </c>
      <c r="E70" s="80">
        <f>IF('Final Calculation Sheet'!$D$21="","",'Final Calculation Sheet'!$D$21)</f>
        <v/>
      </c>
      <c r="F70" s="80">
        <f>IF('Final Calculation Sheet'!$A$21="","",'Final Calculation Sheet'!$A$21)</f>
        <v/>
      </c>
      <c r="G70" s="80">
        <f>IF('Final Calculation Sheet'!$E$21="","",'Final Calculation Sheet'!$E$21)</f>
        <v/>
      </c>
      <c r="H70" s="70">
        <f>IF('Final Calculation Sheet'!$C$21="","",'Final Calculation Sheet'!$C$21)</f>
        <v/>
      </c>
      <c r="I70" s="70">
        <f>IF('Final Calculation Sheet'!$H$21="","",'Final Calculation Sheet'!$H$21)</f>
        <v/>
      </c>
      <c r="J70" s="70">
        <f>IF('Final Calculation Sheet'!$I$21="","",'Final Calculation Sheet'!$I$21)</f>
        <v/>
      </c>
      <c r="K70" s="70">
        <f>IF('Final Calculation Sheet'!$J$21="","",'Final Calculation Sheet'!$J$21)</f>
        <v/>
      </c>
      <c r="L70" s="70">
        <f>IF('Final Calculation Sheet'!$K$21="","",'Final Calculation Sheet'!$K$21)</f>
        <v/>
      </c>
      <c r="M70" s="70">
        <f>IF('Final Calculation Sheet'!$L$21="","",'Final Calculation Sheet'!$L$21)</f>
        <v/>
      </c>
      <c r="N70" s="70">
        <f>IF('Final Calculation Sheet'!$M$21="","",'Final Calculation Sheet'!$M$21)</f>
        <v/>
      </c>
      <c r="O70" s="71">
        <f>IF('Final Calculation Sheet'!$N$21="","",'Final Calculation Sheet'!$N$21)</f>
        <v/>
      </c>
      <c r="P70" s="70">
        <f>IF('Final Calculation Sheet'!$O$21="","",'Final Calculation Sheet'!$O$21)</f>
        <v/>
      </c>
      <c r="Q70" s="70">
        <f>IF('Final Calculation Sheet'!$P$21="","",'Final Calculation Sheet'!$P$21)</f>
        <v/>
      </c>
      <c r="R70" s="72">
        <f>IF('Final Calculation Sheet'!$Q$21="","",'Final Calculation Sheet'!$Q$21)</f>
        <v/>
      </c>
      <c r="S70" s="70">
        <f>IF('Final Calculation Sheet'!$R$21="","",'Final Calculation Sheet'!$R$21)</f>
        <v/>
      </c>
      <c r="T70" s="70">
        <f>IF('Final Calculation Sheet'!$S$21="","",'Final Calculation Sheet'!$S$21)</f>
        <v/>
      </c>
      <c r="U70" s="70">
        <f>IF('Final Calculation Sheet'!$T$21="","",'Final Calculation Sheet'!$T$21)</f>
        <v/>
      </c>
      <c r="V70" s="73">
        <f>IF('Final Calculation Sheet'!$U$21="","",'Final Calculation Sheet'!$U$21)</f>
        <v/>
      </c>
      <c r="W70" s="70">
        <f>IF('Final Calculation Sheet'!$V$21="","",'Final Calculation Sheet'!$V$21)</f>
        <v/>
      </c>
      <c r="X70" s="70">
        <f>IF('Final Calculation Sheet'!$W$21="","",'Final Calculation Sheet'!$W$21)</f>
        <v/>
      </c>
      <c r="Y70" s="70">
        <f>IF('Final Calculation Sheet'!$X$21="","",'Final Calculation Sheet'!$X$21)</f>
        <v/>
      </c>
      <c r="Z70" s="70">
        <f>IF('Final Calculation Sheet'!$Y$21="","",'Final Calculation Sheet'!$Y$21)</f>
        <v/>
      </c>
      <c r="AA70" s="70">
        <f>IF('Final Calculation Sheet'!$Z$21="","",'Final Calculation Sheet'!$Z$21)</f>
        <v/>
      </c>
      <c r="AB70" s="70">
        <f>IF('Final Calculation Sheet'!$AA$21="","",'Final Calculation Sheet'!$AA$21)</f>
        <v/>
      </c>
      <c r="AC70" s="70">
        <f>IF('Final Calculation Sheet'!$AB$21="","",'Final Calculation Sheet'!$AB$21)</f>
        <v/>
      </c>
      <c r="AD70" s="70">
        <f>IF('Final Calculation Sheet'!$AC$21="","",'Final Calculation Sheet'!$AC$21)</f>
        <v/>
      </c>
      <c r="AE70" s="70">
        <f>IF('Final Calculation Sheet'!$AD$21="","",'Final Calculation Sheet'!$AD$21)</f>
        <v/>
      </c>
      <c r="AF70" s="75">
        <f>IF('Final Calculation Sheet'!$AD$21="","",IF('Final Calculation Sheet'!$AD$21&lt;=5,"SETTLED","OUTSTANDING"))</f>
        <v/>
      </c>
      <c r="AG70" s="70">
        <f>IF('Final Calculation Sheet'!$AF$21="","",'Final Calculation Sheet'!$AF$21)</f>
        <v/>
      </c>
      <c r="AH70" s="74">
        <f>IF('Final Calculation Sheet'!$AG$21="","",'Final Calculation Sheet'!$AG$21)</f>
        <v/>
      </c>
      <c r="AI70" s="70">
        <f>IF('Final Calculation Sheet'!$AH$21="","",'Final Calculation Sheet'!$AH$21)</f>
        <v/>
      </c>
    </row>
    <row r="71" ht="15" customHeight="1" s="137">
      <c r="A71" s="81" t="inlineStr">
        <is>
          <t>∑</t>
        </is>
      </c>
      <c r="B71" s="83" t="n"/>
      <c r="C71" s="83">
        <f>ROWS($C$70:$C$70)&amp;" lot(s)"</f>
        <v/>
      </c>
      <c r="D71" s="83" t="inlineStr">
        <is>
          <t>SUBTOTAL — NATIONAL SCRAP AND BUILDING MATERIAL SUPPLIER</t>
        </is>
      </c>
      <c r="E71" s="83" t="inlineStr">
        <is>
          <t>–</t>
        </is>
      </c>
      <c r="F71" s="83">
        <f>SUM(F70:F70)</f>
        <v/>
      </c>
      <c r="G71" s="83" t="inlineStr">
        <is>
          <t>–</t>
        </is>
      </c>
      <c r="H71" s="84" t="inlineStr">
        <is>
          <t>–</t>
        </is>
      </c>
      <c r="I71" s="84">
        <f>SUM(I70:I70)</f>
        <v/>
      </c>
      <c r="J71" s="84">
        <f>SUM(J70:J70)</f>
        <v/>
      </c>
      <c r="K71" s="84">
        <f>SUM(K70:K70)</f>
        <v/>
      </c>
      <c r="L71" s="84">
        <f>SUM(L70:L70)</f>
        <v/>
      </c>
      <c r="M71" s="84">
        <f>SUM(M70:M70)</f>
        <v/>
      </c>
      <c r="N71" s="84">
        <f>SUM(N70:N70)</f>
        <v/>
      </c>
      <c r="O71" s="85">
        <f>SUM(O70:O70)</f>
        <v/>
      </c>
      <c r="P71" s="84">
        <f>SUM(P70:P70)</f>
        <v/>
      </c>
      <c r="Q71" s="84">
        <f>SUM(Q70:Q70)</f>
        <v/>
      </c>
      <c r="R71" s="86" t="inlineStr">
        <is>
          <t>–</t>
        </is>
      </c>
      <c r="S71" s="84">
        <f>SUM(S70:S70)</f>
        <v/>
      </c>
      <c r="T71" s="84">
        <f>SUM(T70:T70)</f>
        <v/>
      </c>
      <c r="U71" s="84">
        <f>SUM(U70:U70)</f>
        <v/>
      </c>
      <c r="V71" s="87">
        <f>SUM(V70:V70)</f>
        <v/>
      </c>
      <c r="W71" s="84" t="inlineStr">
        <is>
          <t>–</t>
        </is>
      </c>
      <c r="X71" s="84">
        <f>SUM(X70:X70)</f>
        <v/>
      </c>
      <c r="Y71" s="84">
        <f>SUM(Y70:Y70)</f>
        <v/>
      </c>
      <c r="Z71" s="84" t="inlineStr">
        <is>
          <t>–</t>
        </is>
      </c>
      <c r="AA71" s="84">
        <f>SUM(AA70:AA70)</f>
        <v/>
      </c>
      <c r="AB71" s="84">
        <f>SUM(AB70:AB70)</f>
        <v/>
      </c>
      <c r="AC71" s="84" t="inlineStr">
        <is>
          <t>–</t>
        </is>
      </c>
      <c r="AD71" s="84">
        <f>SUM(AD70:AD70)</f>
        <v/>
      </c>
      <c r="AE71" s="84">
        <f>SUM(AE70:AE70)</f>
        <v/>
      </c>
      <c r="AF71" s="89">
        <f>IF(AE71&lt;=5,"SETTLED","OUTSTANDING")</f>
        <v/>
      </c>
      <c r="AG71" s="84" t="inlineStr">
        <is>
          <t>–</t>
        </is>
      </c>
      <c r="AH71" s="88" t="inlineStr">
        <is>
          <t>–</t>
        </is>
      </c>
      <c r="AI71" s="84" t="inlineStr">
        <is>
          <t>–</t>
        </is>
      </c>
    </row>
    <row r="72" outlineLevel="1" ht="15" customHeight="1" s="137">
      <c r="A72" s="67" t="n">
        <v>1</v>
      </c>
      <c r="B72" s="76">
        <f>IF('Final Calculation Sheet'!$F$8="","",'Final Calculation Sheet'!$F$8)</f>
        <v/>
      </c>
      <c r="C72" s="76">
        <f>IF('Final Calculation Sheet'!$G$8="","",'Final Calculation Sheet'!$G$8)</f>
        <v/>
      </c>
      <c r="D72" s="80">
        <f>IF('Final Calculation Sheet'!$B$8="","",'Final Calculation Sheet'!$B$8)</f>
        <v/>
      </c>
      <c r="E72" s="80">
        <f>IF('Final Calculation Sheet'!$D$8="","",'Final Calculation Sheet'!$D$8)</f>
        <v/>
      </c>
      <c r="F72" s="80">
        <f>IF('Final Calculation Sheet'!$A$8="","",'Final Calculation Sheet'!$A$8)</f>
        <v/>
      </c>
      <c r="G72" s="80">
        <f>IF('Final Calculation Sheet'!$E$8="","",'Final Calculation Sheet'!$E$8)</f>
        <v/>
      </c>
      <c r="H72" s="70">
        <f>IF('Final Calculation Sheet'!$C$8="","",'Final Calculation Sheet'!$C$8)</f>
        <v/>
      </c>
      <c r="I72" s="70">
        <f>IF('Final Calculation Sheet'!$H$8="","",'Final Calculation Sheet'!$H$8)</f>
        <v/>
      </c>
      <c r="J72" s="70">
        <f>IF('Final Calculation Sheet'!$I$8="","",'Final Calculation Sheet'!$I$8)</f>
        <v/>
      </c>
      <c r="K72" s="70">
        <f>IF('Final Calculation Sheet'!$J$8="","",'Final Calculation Sheet'!$J$8)</f>
        <v/>
      </c>
      <c r="L72" s="70">
        <f>IF('Final Calculation Sheet'!$K$8="","",'Final Calculation Sheet'!$K$8)</f>
        <v/>
      </c>
      <c r="M72" s="70">
        <f>IF('Final Calculation Sheet'!$L$8="","",'Final Calculation Sheet'!$L$8)</f>
        <v/>
      </c>
      <c r="N72" s="70">
        <f>IF('Final Calculation Sheet'!$M$8="","",'Final Calculation Sheet'!$M$8)</f>
        <v/>
      </c>
      <c r="O72" s="71">
        <f>IF('Final Calculation Sheet'!$N$8="","",'Final Calculation Sheet'!$N$8)</f>
        <v/>
      </c>
      <c r="P72" s="70">
        <f>IF('Final Calculation Sheet'!$O$8="","",'Final Calculation Sheet'!$O$8)</f>
        <v/>
      </c>
      <c r="Q72" s="70">
        <f>IF('Final Calculation Sheet'!$P$8="","",'Final Calculation Sheet'!$P$8)</f>
        <v/>
      </c>
      <c r="R72" s="72">
        <f>IF('Final Calculation Sheet'!$Q$8="","",'Final Calculation Sheet'!$Q$8)</f>
        <v/>
      </c>
      <c r="S72" s="70">
        <f>IF('Final Calculation Sheet'!$R$8="","",'Final Calculation Sheet'!$R$8)</f>
        <v/>
      </c>
      <c r="T72" s="70">
        <f>IF('Final Calculation Sheet'!$S$8="","",'Final Calculation Sheet'!$S$8)</f>
        <v/>
      </c>
      <c r="U72" s="70">
        <f>IF('Final Calculation Sheet'!$T$8="","",'Final Calculation Sheet'!$T$8)</f>
        <v/>
      </c>
      <c r="V72" s="73">
        <f>IF('Final Calculation Sheet'!$U$8="","",'Final Calculation Sheet'!$U$8)</f>
        <v/>
      </c>
      <c r="W72" s="70">
        <f>IF('Final Calculation Sheet'!$V$8="","",'Final Calculation Sheet'!$V$8)</f>
        <v/>
      </c>
      <c r="X72" s="70">
        <f>IF('Final Calculation Sheet'!$W$8="","",'Final Calculation Sheet'!$W$8)</f>
        <v/>
      </c>
      <c r="Y72" s="70">
        <f>IF('Final Calculation Sheet'!$X$8="","",'Final Calculation Sheet'!$X$8)</f>
        <v/>
      </c>
      <c r="Z72" s="70">
        <f>IF('Final Calculation Sheet'!$Y$8="","",'Final Calculation Sheet'!$Y$8)</f>
        <v/>
      </c>
      <c r="AA72" s="70">
        <f>IF('Final Calculation Sheet'!$Z$8="","",'Final Calculation Sheet'!$Z$8)</f>
        <v/>
      </c>
      <c r="AB72" s="70">
        <f>IF('Final Calculation Sheet'!$AA$8="","",'Final Calculation Sheet'!$AA$8)</f>
        <v/>
      </c>
      <c r="AC72" s="70">
        <f>IF('Final Calculation Sheet'!$AB$8="","",'Final Calculation Sheet'!$AB$8)</f>
        <v/>
      </c>
      <c r="AD72" s="70">
        <f>IF('Final Calculation Sheet'!$AC$8="","",'Final Calculation Sheet'!$AC$8)</f>
        <v/>
      </c>
      <c r="AE72" s="70">
        <f>IF('Final Calculation Sheet'!$AD$8="","",'Final Calculation Sheet'!$AD$8)</f>
        <v/>
      </c>
      <c r="AF72" s="75">
        <f>IF('Final Calculation Sheet'!$AD$8="","",IF('Final Calculation Sheet'!$AD$8&lt;=5,"SETTLED","OUTSTANDING"))</f>
        <v/>
      </c>
      <c r="AG72" s="70">
        <f>IF('Final Calculation Sheet'!$AF$8="","",'Final Calculation Sheet'!$AF$8)</f>
        <v/>
      </c>
      <c r="AH72" s="74">
        <f>IF('Final Calculation Sheet'!$AG$8="","",'Final Calculation Sheet'!$AG$8)</f>
        <v/>
      </c>
      <c r="AI72" s="70">
        <f>IF('Final Calculation Sheet'!$AH$8="","",'Final Calculation Sheet'!$AH$8)</f>
        <v/>
      </c>
    </row>
    <row r="73" outlineLevel="1" ht="15" customHeight="1" s="137">
      <c r="A73" s="90" t="n">
        <v>2</v>
      </c>
      <c r="B73" s="92">
        <f>IF('Final Calculation Sheet'!$F$20="","",'Final Calculation Sheet'!$F$20)</f>
        <v/>
      </c>
      <c r="C73" s="92">
        <f>IF('Final Calculation Sheet'!$G$20="","",'Final Calculation Sheet'!$G$20)</f>
        <v/>
      </c>
      <c r="D73" s="94">
        <f>IF('Final Calculation Sheet'!$B$20="","",'Final Calculation Sheet'!$B$20)</f>
        <v/>
      </c>
      <c r="E73" s="94">
        <f>IF('Final Calculation Sheet'!$D$20="","",'Final Calculation Sheet'!$D$20)</f>
        <v/>
      </c>
      <c r="F73" s="94">
        <f>IF('Final Calculation Sheet'!$A$20="","",'Final Calculation Sheet'!$A$20)</f>
        <v/>
      </c>
      <c r="G73" s="94">
        <f>IF('Final Calculation Sheet'!$E$20="","",'Final Calculation Sheet'!$E$20)</f>
        <v/>
      </c>
      <c r="H73" s="95">
        <f>IF('Final Calculation Sheet'!$C$20="","",'Final Calculation Sheet'!$C$20)</f>
        <v/>
      </c>
      <c r="I73" s="95">
        <f>IF('Final Calculation Sheet'!$H$20="","",'Final Calculation Sheet'!$H$20)</f>
        <v/>
      </c>
      <c r="J73" s="95">
        <f>IF('Final Calculation Sheet'!$I$20="","",'Final Calculation Sheet'!$I$20)</f>
        <v/>
      </c>
      <c r="K73" s="95">
        <f>IF('Final Calculation Sheet'!$J$20="","",'Final Calculation Sheet'!$J$20)</f>
        <v/>
      </c>
      <c r="L73" s="95">
        <f>IF('Final Calculation Sheet'!$K$20="","",'Final Calculation Sheet'!$K$20)</f>
        <v/>
      </c>
      <c r="M73" s="95">
        <f>IF('Final Calculation Sheet'!$L$20="","",'Final Calculation Sheet'!$L$20)</f>
        <v/>
      </c>
      <c r="N73" s="95">
        <f>IF('Final Calculation Sheet'!$M$20="","",'Final Calculation Sheet'!$M$20)</f>
        <v/>
      </c>
      <c r="O73" s="96">
        <f>IF('Final Calculation Sheet'!$N$20="","",'Final Calculation Sheet'!$N$20)</f>
        <v/>
      </c>
      <c r="P73" s="95">
        <f>IF('Final Calculation Sheet'!$O$20="","",'Final Calculation Sheet'!$O$20)</f>
        <v/>
      </c>
      <c r="Q73" s="95">
        <f>IF('Final Calculation Sheet'!$P$20="","",'Final Calculation Sheet'!$P$20)</f>
        <v/>
      </c>
      <c r="R73" s="97">
        <f>IF('Final Calculation Sheet'!$Q$20="","",'Final Calculation Sheet'!$Q$20)</f>
        <v/>
      </c>
      <c r="S73" s="95">
        <f>IF('Final Calculation Sheet'!$R$20="","",'Final Calculation Sheet'!$R$20)</f>
        <v/>
      </c>
      <c r="T73" s="95">
        <f>IF('Final Calculation Sheet'!$S$20="","",'Final Calculation Sheet'!$S$20)</f>
        <v/>
      </c>
      <c r="U73" s="95">
        <f>IF('Final Calculation Sheet'!$T$20="","",'Final Calculation Sheet'!$T$20)</f>
        <v/>
      </c>
      <c r="V73" s="98">
        <f>IF('Final Calculation Sheet'!$U$20="","",'Final Calculation Sheet'!$U$20)</f>
        <v/>
      </c>
      <c r="W73" s="95">
        <f>IF('Final Calculation Sheet'!$V$20="","",'Final Calculation Sheet'!$V$20)</f>
        <v/>
      </c>
      <c r="X73" s="95">
        <f>IF('Final Calculation Sheet'!$W$20="","",'Final Calculation Sheet'!$W$20)</f>
        <v/>
      </c>
      <c r="Y73" s="95">
        <f>IF('Final Calculation Sheet'!$X$20="","",'Final Calculation Sheet'!$X$20)</f>
        <v/>
      </c>
      <c r="Z73" s="95">
        <f>IF('Final Calculation Sheet'!$Y$20="","",'Final Calculation Sheet'!$Y$20)</f>
        <v/>
      </c>
      <c r="AA73" s="95">
        <f>IF('Final Calculation Sheet'!$Z$20="","",'Final Calculation Sheet'!$Z$20)</f>
        <v/>
      </c>
      <c r="AB73" s="95">
        <f>IF('Final Calculation Sheet'!$AA$20="","",'Final Calculation Sheet'!$AA$20)</f>
        <v/>
      </c>
      <c r="AC73" s="95">
        <f>IF('Final Calculation Sheet'!$AB$20="","",'Final Calculation Sheet'!$AB$20)</f>
        <v/>
      </c>
      <c r="AD73" s="95">
        <f>IF('Final Calculation Sheet'!$AC$20="","",'Final Calculation Sheet'!$AC$20)</f>
        <v/>
      </c>
      <c r="AE73" s="95">
        <f>IF('Final Calculation Sheet'!$AD$20="","",'Final Calculation Sheet'!$AD$20)</f>
        <v/>
      </c>
      <c r="AF73" s="100">
        <f>IF('Final Calculation Sheet'!$AD$20="","",IF('Final Calculation Sheet'!$AD$20&lt;=5,"SETTLED","OUTSTANDING"))</f>
        <v/>
      </c>
      <c r="AG73" s="95">
        <f>IF('Final Calculation Sheet'!$AF$20="","",'Final Calculation Sheet'!$AF$20)</f>
        <v/>
      </c>
      <c r="AH73" s="99">
        <f>IF('Final Calculation Sheet'!$AG$20="","",'Final Calculation Sheet'!$AG$20)</f>
        <v/>
      </c>
      <c r="AI73" s="95">
        <f>IF('Final Calculation Sheet'!$AH$20="","",'Final Calculation Sheet'!$AH$20)</f>
        <v/>
      </c>
    </row>
    <row r="74" ht="15" customHeight="1" s="137">
      <c r="A74" s="81" t="inlineStr">
        <is>
          <t>∑</t>
        </is>
      </c>
      <c r="B74" s="83" t="n"/>
      <c r="C74" s="83">
        <f>ROWS($C$72:$C$73)&amp;" lot(s)"</f>
        <v/>
      </c>
      <c r="D74" s="83" t="inlineStr">
        <is>
          <t>SUBTOTAL — OMKAR STEELS</t>
        </is>
      </c>
      <c r="E74" s="83" t="inlineStr">
        <is>
          <t>–</t>
        </is>
      </c>
      <c r="F74" s="83">
        <f>SUM(F72:F73)</f>
        <v/>
      </c>
      <c r="G74" s="83" t="inlineStr">
        <is>
          <t>–</t>
        </is>
      </c>
      <c r="H74" s="84" t="inlineStr">
        <is>
          <t>–</t>
        </is>
      </c>
      <c r="I74" s="84">
        <f>SUM(I72:I73)</f>
        <v/>
      </c>
      <c r="J74" s="84">
        <f>SUM(J72:J73)</f>
        <v/>
      </c>
      <c r="K74" s="84">
        <f>SUM(K72:K73)</f>
        <v/>
      </c>
      <c r="L74" s="84">
        <f>SUM(L72:L73)</f>
        <v/>
      </c>
      <c r="M74" s="84">
        <f>SUM(M72:M73)</f>
        <v/>
      </c>
      <c r="N74" s="84">
        <f>SUM(N72:N73)</f>
        <v/>
      </c>
      <c r="O74" s="85">
        <f>SUM(O72:O73)</f>
        <v/>
      </c>
      <c r="P74" s="84">
        <f>SUM(P72:P73)</f>
        <v/>
      </c>
      <c r="Q74" s="84">
        <f>SUM(Q72:Q73)</f>
        <v/>
      </c>
      <c r="R74" s="86" t="inlineStr">
        <is>
          <t>–</t>
        </is>
      </c>
      <c r="S74" s="84">
        <f>SUM(S72:S73)</f>
        <v/>
      </c>
      <c r="T74" s="84">
        <f>SUM(T72:T73)</f>
        <v/>
      </c>
      <c r="U74" s="84">
        <f>SUM(U72:U73)</f>
        <v/>
      </c>
      <c r="V74" s="87">
        <f>SUM(V72:V73)</f>
        <v/>
      </c>
      <c r="W74" s="84" t="inlineStr">
        <is>
          <t>–</t>
        </is>
      </c>
      <c r="X74" s="84">
        <f>SUM(X72:X73)</f>
        <v/>
      </c>
      <c r="Y74" s="84">
        <f>SUM(Y72:Y73)</f>
        <v/>
      </c>
      <c r="Z74" s="84" t="inlineStr">
        <is>
          <t>–</t>
        </is>
      </c>
      <c r="AA74" s="84">
        <f>SUM(AA72:AA73)</f>
        <v/>
      </c>
      <c r="AB74" s="84">
        <f>SUM(AB72:AB73)</f>
        <v/>
      </c>
      <c r="AC74" s="84" t="inlineStr">
        <is>
          <t>–</t>
        </is>
      </c>
      <c r="AD74" s="84">
        <f>SUM(AD72:AD73)</f>
        <v/>
      </c>
      <c r="AE74" s="84">
        <f>SUM(AE72:AE73)</f>
        <v/>
      </c>
      <c r="AF74" s="89">
        <f>IF(AE74&lt;=5,"SETTLED","OUTSTANDING")</f>
        <v/>
      </c>
      <c r="AG74" s="84" t="inlineStr">
        <is>
          <t>–</t>
        </is>
      </c>
      <c r="AH74" s="88" t="inlineStr">
        <is>
          <t>–</t>
        </is>
      </c>
      <c r="AI74" s="84" t="inlineStr">
        <is>
          <t>–</t>
        </is>
      </c>
    </row>
    <row r="75" outlineLevel="1" ht="15" customHeight="1" s="137">
      <c r="A75" s="67" t="n">
        <v>1</v>
      </c>
      <c r="B75" s="76">
        <f>IF('Final Calculation Sheet'!$F$39="","",'Final Calculation Sheet'!$F$39)</f>
        <v/>
      </c>
      <c r="C75" s="76">
        <f>IF('Final Calculation Sheet'!$G$39="","",'Final Calculation Sheet'!$G$39)</f>
        <v/>
      </c>
      <c r="D75" s="80">
        <f>IF('Final Calculation Sheet'!$B$39="","",'Final Calculation Sheet'!$B$39)</f>
        <v/>
      </c>
      <c r="E75" s="80">
        <f>IF('Final Calculation Sheet'!$D$39="","",'Final Calculation Sheet'!$D$39)</f>
        <v/>
      </c>
      <c r="F75" s="80">
        <f>IF('Final Calculation Sheet'!$A$39="","",'Final Calculation Sheet'!$A$39)</f>
        <v/>
      </c>
      <c r="G75" s="80">
        <f>IF('Final Calculation Sheet'!$E$39="","",'Final Calculation Sheet'!$E$39)</f>
        <v/>
      </c>
      <c r="H75" s="70">
        <f>IF('Final Calculation Sheet'!$C$39="","",'Final Calculation Sheet'!$C$39)</f>
        <v/>
      </c>
      <c r="I75" s="70">
        <f>IF('Final Calculation Sheet'!$H$39="","",'Final Calculation Sheet'!$H$39)</f>
        <v/>
      </c>
      <c r="J75" s="70">
        <f>IF('Final Calculation Sheet'!$I$39="","",'Final Calculation Sheet'!$I$39)</f>
        <v/>
      </c>
      <c r="K75" s="70">
        <f>IF('Final Calculation Sheet'!$J$39="","",'Final Calculation Sheet'!$J$39)</f>
        <v/>
      </c>
      <c r="L75" s="70">
        <f>IF('Final Calculation Sheet'!$K$39="","",'Final Calculation Sheet'!$K$39)</f>
        <v/>
      </c>
      <c r="M75" s="70">
        <f>IF('Final Calculation Sheet'!$L$39="","",'Final Calculation Sheet'!$L$39)</f>
        <v/>
      </c>
      <c r="N75" s="70">
        <f>IF('Final Calculation Sheet'!$M$39="","",'Final Calculation Sheet'!$M$39)</f>
        <v/>
      </c>
      <c r="O75" s="71">
        <f>IF('Final Calculation Sheet'!$N$39="","",'Final Calculation Sheet'!$N$39)</f>
        <v/>
      </c>
      <c r="P75" s="70">
        <f>IF('Final Calculation Sheet'!$O$39="","",'Final Calculation Sheet'!$O$39)</f>
        <v/>
      </c>
      <c r="Q75" s="70">
        <f>IF('Final Calculation Sheet'!$P$39="","",'Final Calculation Sheet'!$P$39)</f>
        <v/>
      </c>
      <c r="R75" s="72">
        <f>IF('Final Calculation Sheet'!$Q$39="","",'Final Calculation Sheet'!$Q$39)</f>
        <v/>
      </c>
      <c r="S75" s="70">
        <f>IF('Final Calculation Sheet'!$R$39="","",'Final Calculation Sheet'!$R$39)</f>
        <v/>
      </c>
      <c r="T75" s="70">
        <f>IF('Final Calculation Sheet'!$S$39="","",'Final Calculation Sheet'!$S$39)</f>
        <v/>
      </c>
      <c r="U75" s="70">
        <f>IF('Final Calculation Sheet'!$T$39="","",'Final Calculation Sheet'!$T$39)</f>
        <v/>
      </c>
      <c r="V75" s="73">
        <f>IF('Final Calculation Sheet'!$U$39="","",'Final Calculation Sheet'!$U$39)</f>
        <v/>
      </c>
      <c r="W75" s="70">
        <f>IF('Final Calculation Sheet'!$V$39="","",'Final Calculation Sheet'!$V$39)</f>
        <v/>
      </c>
      <c r="X75" s="70">
        <f>IF('Final Calculation Sheet'!$W$39="","",'Final Calculation Sheet'!$W$39)</f>
        <v/>
      </c>
      <c r="Y75" s="70">
        <f>IF('Final Calculation Sheet'!$X$39="","",'Final Calculation Sheet'!$X$39)</f>
        <v/>
      </c>
      <c r="Z75" s="70">
        <f>IF('Final Calculation Sheet'!$Y$39="","",'Final Calculation Sheet'!$Y$39)</f>
        <v/>
      </c>
      <c r="AA75" s="70">
        <f>IF('Final Calculation Sheet'!$Z$39="","",'Final Calculation Sheet'!$Z$39)</f>
        <v/>
      </c>
      <c r="AB75" s="70">
        <f>IF('Final Calculation Sheet'!$AA$39="","",'Final Calculation Sheet'!$AA$39)</f>
        <v/>
      </c>
      <c r="AC75" s="70">
        <f>IF('Final Calculation Sheet'!$AB$39="","",'Final Calculation Sheet'!$AB$39)</f>
        <v/>
      </c>
      <c r="AD75" s="70">
        <f>IF('Final Calculation Sheet'!$AC$39="","",'Final Calculation Sheet'!$AC$39)</f>
        <v/>
      </c>
      <c r="AE75" s="70">
        <f>IF('Final Calculation Sheet'!$AD$39="","",'Final Calculation Sheet'!$AD$39)</f>
        <v/>
      </c>
      <c r="AF75" s="75">
        <f>IF('Final Calculation Sheet'!$AD$39="","",IF('Final Calculation Sheet'!$AD$39&lt;=5,"SETTLED","OUTSTANDING"))</f>
        <v/>
      </c>
      <c r="AG75" s="70">
        <f>IF('Final Calculation Sheet'!$AF$39="","",'Final Calculation Sheet'!$AF$39)</f>
        <v/>
      </c>
      <c r="AH75" s="74">
        <f>IF('Final Calculation Sheet'!$AG$39="","",'Final Calculation Sheet'!$AG$39)</f>
        <v/>
      </c>
      <c r="AI75" s="70">
        <f>IF('Final Calculation Sheet'!$AH$39="","",'Final Calculation Sheet'!$AH$39)</f>
        <v/>
      </c>
    </row>
    <row r="76" outlineLevel="1" ht="15" customHeight="1" s="137">
      <c r="A76" s="90" t="n">
        <v>2</v>
      </c>
      <c r="B76" s="92">
        <f>IF('Final Calculation Sheet'!$F$40="","",'Final Calculation Sheet'!$F$40)</f>
        <v/>
      </c>
      <c r="C76" s="92">
        <f>IF('Final Calculation Sheet'!$G$40="","",'Final Calculation Sheet'!$G$40)</f>
        <v/>
      </c>
      <c r="D76" s="94">
        <f>IF('Final Calculation Sheet'!$B$40="","",'Final Calculation Sheet'!$B$40)</f>
        <v/>
      </c>
      <c r="E76" s="94">
        <f>IF('Final Calculation Sheet'!$D$40="","",'Final Calculation Sheet'!$D$40)</f>
        <v/>
      </c>
      <c r="F76" s="94">
        <f>IF('Final Calculation Sheet'!$A$40="","",'Final Calculation Sheet'!$A$40)</f>
        <v/>
      </c>
      <c r="G76" s="94">
        <f>IF('Final Calculation Sheet'!$E$40="","",'Final Calculation Sheet'!$E$40)</f>
        <v/>
      </c>
      <c r="H76" s="95">
        <f>IF('Final Calculation Sheet'!$C$40="","",'Final Calculation Sheet'!$C$40)</f>
        <v/>
      </c>
      <c r="I76" s="95">
        <f>IF('Final Calculation Sheet'!$H$40="","",'Final Calculation Sheet'!$H$40)</f>
        <v/>
      </c>
      <c r="J76" s="95">
        <f>IF('Final Calculation Sheet'!$I$40="","",'Final Calculation Sheet'!$I$40)</f>
        <v/>
      </c>
      <c r="K76" s="95">
        <f>IF('Final Calculation Sheet'!$J$40="","",'Final Calculation Sheet'!$J$40)</f>
        <v/>
      </c>
      <c r="L76" s="95">
        <f>IF('Final Calculation Sheet'!$K$40="","",'Final Calculation Sheet'!$K$40)</f>
        <v/>
      </c>
      <c r="M76" s="95">
        <f>IF('Final Calculation Sheet'!$L$40="","",'Final Calculation Sheet'!$L$40)</f>
        <v/>
      </c>
      <c r="N76" s="95">
        <f>IF('Final Calculation Sheet'!$M$40="","",'Final Calculation Sheet'!$M$40)</f>
        <v/>
      </c>
      <c r="O76" s="96">
        <f>IF('Final Calculation Sheet'!$N$40="","",'Final Calculation Sheet'!$N$40)</f>
        <v/>
      </c>
      <c r="P76" s="95">
        <f>IF('Final Calculation Sheet'!$O$40="","",'Final Calculation Sheet'!$O$40)</f>
        <v/>
      </c>
      <c r="Q76" s="95">
        <f>IF('Final Calculation Sheet'!$P$40="","",'Final Calculation Sheet'!$P$40)</f>
        <v/>
      </c>
      <c r="R76" s="97">
        <f>IF('Final Calculation Sheet'!$Q$40="","",'Final Calculation Sheet'!$Q$40)</f>
        <v/>
      </c>
      <c r="S76" s="95">
        <f>IF('Final Calculation Sheet'!$R$40="","",'Final Calculation Sheet'!$R$40)</f>
        <v/>
      </c>
      <c r="T76" s="95">
        <f>IF('Final Calculation Sheet'!$S$40="","",'Final Calculation Sheet'!$S$40)</f>
        <v/>
      </c>
      <c r="U76" s="95">
        <f>IF('Final Calculation Sheet'!$T$40="","",'Final Calculation Sheet'!$T$40)</f>
        <v/>
      </c>
      <c r="V76" s="98">
        <f>IF('Final Calculation Sheet'!$U$40="","",'Final Calculation Sheet'!$U$40)</f>
        <v/>
      </c>
      <c r="W76" s="95">
        <f>IF('Final Calculation Sheet'!$V$40="","",'Final Calculation Sheet'!$V$40)</f>
        <v/>
      </c>
      <c r="X76" s="95">
        <f>IF('Final Calculation Sheet'!$W$40="","",'Final Calculation Sheet'!$W$40)</f>
        <v/>
      </c>
      <c r="Y76" s="95">
        <f>IF('Final Calculation Sheet'!$X$40="","",'Final Calculation Sheet'!$X$40)</f>
        <v/>
      </c>
      <c r="Z76" s="95">
        <f>IF('Final Calculation Sheet'!$Y$40="","",'Final Calculation Sheet'!$Y$40)</f>
        <v/>
      </c>
      <c r="AA76" s="95">
        <f>IF('Final Calculation Sheet'!$Z$40="","",'Final Calculation Sheet'!$Z$40)</f>
        <v/>
      </c>
      <c r="AB76" s="95">
        <f>IF('Final Calculation Sheet'!$AA$40="","",'Final Calculation Sheet'!$AA$40)</f>
        <v/>
      </c>
      <c r="AC76" s="95">
        <f>IF('Final Calculation Sheet'!$AB$40="","",'Final Calculation Sheet'!$AB$40)</f>
        <v/>
      </c>
      <c r="AD76" s="95">
        <f>IF('Final Calculation Sheet'!$AC$40="","",'Final Calculation Sheet'!$AC$40)</f>
        <v/>
      </c>
      <c r="AE76" s="95">
        <f>IF('Final Calculation Sheet'!$AD$40="","",'Final Calculation Sheet'!$AD$40)</f>
        <v/>
      </c>
      <c r="AF76" s="100">
        <f>IF('Final Calculation Sheet'!$AD$40="","",IF('Final Calculation Sheet'!$AD$40&lt;=5,"SETTLED","OUTSTANDING"))</f>
        <v/>
      </c>
      <c r="AG76" s="95">
        <f>IF('Final Calculation Sheet'!$AF$40="","",'Final Calculation Sheet'!$AF$40)</f>
        <v/>
      </c>
      <c r="AH76" s="99">
        <f>IF('Final Calculation Sheet'!$AG$40="","",'Final Calculation Sheet'!$AG$40)</f>
        <v/>
      </c>
      <c r="AI76" s="95">
        <f>IF('Final Calculation Sheet'!$AH$40="","",'Final Calculation Sheet'!$AH$40)</f>
        <v/>
      </c>
    </row>
    <row r="77" ht="15" customHeight="1" s="137">
      <c r="A77" s="81" t="inlineStr">
        <is>
          <t>∑</t>
        </is>
      </c>
      <c r="B77" s="83" t="n"/>
      <c r="C77" s="83">
        <f>ROWS($C$75:$C$76)&amp;" lot(s)"</f>
        <v/>
      </c>
      <c r="D77" s="83" t="inlineStr">
        <is>
          <t>SUBTOTAL — S M ENTERPRISES</t>
        </is>
      </c>
      <c r="E77" s="83" t="inlineStr">
        <is>
          <t>–</t>
        </is>
      </c>
      <c r="F77" s="83">
        <f>SUM(F75:F76)</f>
        <v/>
      </c>
      <c r="G77" s="83" t="inlineStr">
        <is>
          <t>–</t>
        </is>
      </c>
      <c r="H77" s="84" t="inlineStr">
        <is>
          <t>–</t>
        </is>
      </c>
      <c r="I77" s="84">
        <f>SUM(I75:I76)</f>
        <v/>
      </c>
      <c r="J77" s="84">
        <f>SUM(J75:J76)</f>
        <v/>
      </c>
      <c r="K77" s="84">
        <f>SUM(K75:K76)</f>
        <v/>
      </c>
      <c r="L77" s="84">
        <f>SUM(L75:L76)</f>
        <v/>
      </c>
      <c r="M77" s="84">
        <f>SUM(M75:M76)</f>
        <v/>
      </c>
      <c r="N77" s="84">
        <f>SUM(N75:N76)</f>
        <v/>
      </c>
      <c r="O77" s="85">
        <f>SUM(O75:O76)</f>
        <v/>
      </c>
      <c r="P77" s="84">
        <f>SUM(P75:P76)</f>
        <v/>
      </c>
      <c r="Q77" s="84">
        <f>SUM(Q75:Q76)</f>
        <v/>
      </c>
      <c r="R77" s="86" t="inlineStr">
        <is>
          <t>–</t>
        </is>
      </c>
      <c r="S77" s="84">
        <f>SUM(S75:S76)</f>
        <v/>
      </c>
      <c r="T77" s="84">
        <f>SUM(T75:T76)</f>
        <v/>
      </c>
      <c r="U77" s="84">
        <f>SUM(U75:U76)</f>
        <v/>
      </c>
      <c r="V77" s="87">
        <f>SUM(V75:V76)</f>
        <v/>
      </c>
      <c r="W77" s="84" t="inlineStr">
        <is>
          <t>–</t>
        </is>
      </c>
      <c r="X77" s="84">
        <f>SUM(X75:X76)</f>
        <v/>
      </c>
      <c r="Y77" s="84">
        <f>SUM(Y75:Y76)</f>
        <v/>
      </c>
      <c r="Z77" s="84" t="inlineStr">
        <is>
          <t>–</t>
        </is>
      </c>
      <c r="AA77" s="84">
        <f>SUM(AA75:AA76)</f>
        <v/>
      </c>
      <c r="AB77" s="84">
        <f>SUM(AB75:AB76)</f>
        <v/>
      </c>
      <c r="AC77" s="84" t="inlineStr">
        <is>
          <t>–</t>
        </is>
      </c>
      <c r="AD77" s="84">
        <f>SUM(AD75:AD76)</f>
        <v/>
      </c>
      <c r="AE77" s="84">
        <f>SUM(AE75:AE76)</f>
        <v/>
      </c>
      <c r="AF77" s="89">
        <f>IF(AE77&lt;=5,"SETTLED","OUTSTANDING")</f>
        <v/>
      </c>
      <c r="AG77" s="84" t="inlineStr">
        <is>
          <t>–</t>
        </is>
      </c>
      <c r="AH77" s="88" t="inlineStr">
        <is>
          <t>–</t>
        </is>
      </c>
      <c r="AI77" s="84" t="inlineStr">
        <is>
          <t>–</t>
        </is>
      </c>
    </row>
    <row r="78" outlineLevel="1" ht="15" customHeight="1" s="137">
      <c r="A78" s="67" t="n">
        <v>1</v>
      </c>
      <c r="B78" s="76">
        <f>IF('Final Calculation Sheet'!$F$31="","",'Final Calculation Sheet'!$F$31)</f>
        <v/>
      </c>
      <c r="C78" s="76">
        <f>IF('Final Calculation Sheet'!$G$31="","",'Final Calculation Sheet'!$G$31)</f>
        <v/>
      </c>
      <c r="D78" s="80">
        <f>IF('Final Calculation Sheet'!$B$31="","",'Final Calculation Sheet'!$B$31)</f>
        <v/>
      </c>
      <c r="E78" s="80">
        <f>IF('Final Calculation Sheet'!$D$31="","",'Final Calculation Sheet'!$D$31)</f>
        <v/>
      </c>
      <c r="F78" s="80">
        <f>IF('Final Calculation Sheet'!$A$31="","",'Final Calculation Sheet'!$A$31)</f>
        <v/>
      </c>
      <c r="G78" s="80">
        <f>IF('Final Calculation Sheet'!$E$31="","",'Final Calculation Sheet'!$E$31)</f>
        <v/>
      </c>
      <c r="H78" s="70">
        <f>IF('Final Calculation Sheet'!$C$31="","",'Final Calculation Sheet'!$C$31)</f>
        <v/>
      </c>
      <c r="I78" s="70">
        <f>IF('Final Calculation Sheet'!$H$31="","",'Final Calculation Sheet'!$H$31)</f>
        <v/>
      </c>
      <c r="J78" s="70">
        <f>IF('Final Calculation Sheet'!$I$31="","",'Final Calculation Sheet'!$I$31)</f>
        <v/>
      </c>
      <c r="K78" s="70">
        <f>IF('Final Calculation Sheet'!$J$31="","",'Final Calculation Sheet'!$J$31)</f>
        <v/>
      </c>
      <c r="L78" s="70">
        <f>IF('Final Calculation Sheet'!$K$31="","",'Final Calculation Sheet'!$K$31)</f>
        <v/>
      </c>
      <c r="M78" s="70">
        <f>IF('Final Calculation Sheet'!$L$31="","",'Final Calculation Sheet'!$L$31)</f>
        <v/>
      </c>
      <c r="N78" s="70">
        <f>IF('Final Calculation Sheet'!$M$31="","",'Final Calculation Sheet'!$M$31)</f>
        <v/>
      </c>
      <c r="O78" s="71">
        <f>IF('Final Calculation Sheet'!$N$31="","",'Final Calculation Sheet'!$N$31)</f>
        <v/>
      </c>
      <c r="P78" s="70">
        <f>IF('Final Calculation Sheet'!$O$31="","",'Final Calculation Sheet'!$O$31)</f>
        <v/>
      </c>
      <c r="Q78" s="70">
        <f>IF('Final Calculation Sheet'!$P$31="","",'Final Calculation Sheet'!$P$31)</f>
        <v/>
      </c>
      <c r="R78" s="72">
        <f>IF('Final Calculation Sheet'!$Q$31="","",'Final Calculation Sheet'!$Q$31)</f>
        <v/>
      </c>
      <c r="S78" s="70">
        <f>IF('Final Calculation Sheet'!$R$31="","",'Final Calculation Sheet'!$R$31)</f>
        <v/>
      </c>
      <c r="T78" s="70">
        <f>IF('Final Calculation Sheet'!$S$31="","",'Final Calculation Sheet'!$S$31)</f>
        <v/>
      </c>
      <c r="U78" s="70">
        <f>IF('Final Calculation Sheet'!$T$31="","",'Final Calculation Sheet'!$T$31)</f>
        <v/>
      </c>
      <c r="V78" s="73">
        <f>IF('Final Calculation Sheet'!$U$31="","",'Final Calculation Sheet'!$U$31)</f>
        <v/>
      </c>
      <c r="W78" s="70">
        <f>IF('Final Calculation Sheet'!$V$31="","",'Final Calculation Sheet'!$V$31)</f>
        <v/>
      </c>
      <c r="X78" s="70">
        <f>IF('Final Calculation Sheet'!$W$31="","",'Final Calculation Sheet'!$W$31)</f>
        <v/>
      </c>
      <c r="Y78" s="70">
        <f>IF('Final Calculation Sheet'!$X$31="","",'Final Calculation Sheet'!$X$31)</f>
        <v/>
      </c>
      <c r="Z78" s="70">
        <f>IF('Final Calculation Sheet'!$Y$31="","",'Final Calculation Sheet'!$Y$31)</f>
        <v/>
      </c>
      <c r="AA78" s="70">
        <f>IF('Final Calculation Sheet'!$Z$31="","",'Final Calculation Sheet'!$Z$31)</f>
        <v/>
      </c>
      <c r="AB78" s="70">
        <f>IF('Final Calculation Sheet'!$AA$31="","",'Final Calculation Sheet'!$AA$31)</f>
        <v/>
      </c>
      <c r="AC78" s="70">
        <f>IF('Final Calculation Sheet'!$AB$31="","",'Final Calculation Sheet'!$AB$31)</f>
        <v/>
      </c>
      <c r="AD78" s="70">
        <f>IF('Final Calculation Sheet'!$AC$31="","",'Final Calculation Sheet'!$AC$31)</f>
        <v/>
      </c>
      <c r="AE78" s="70">
        <f>IF('Final Calculation Sheet'!$AD$31="","",'Final Calculation Sheet'!$AD$31)</f>
        <v/>
      </c>
      <c r="AF78" s="75">
        <f>IF('Final Calculation Sheet'!$AD$31="","",IF('Final Calculation Sheet'!$AD$31&lt;=5,"SETTLED","OUTSTANDING"))</f>
        <v/>
      </c>
      <c r="AG78" s="70">
        <f>IF('Final Calculation Sheet'!$AF$31="","",'Final Calculation Sheet'!$AF$31)</f>
        <v/>
      </c>
      <c r="AH78" s="74">
        <f>IF('Final Calculation Sheet'!$AG$31="","",'Final Calculation Sheet'!$AG$31)</f>
        <v/>
      </c>
      <c r="AI78" s="70">
        <f>IF('Final Calculation Sheet'!$AH$31="","",'Final Calculation Sheet'!$AH$31)</f>
        <v/>
      </c>
    </row>
    <row r="79" ht="15" customHeight="1" s="137">
      <c r="A79" s="81" t="inlineStr">
        <is>
          <t>∑</t>
        </is>
      </c>
      <c r="B79" s="83" t="n"/>
      <c r="C79" s="83">
        <f>ROWS($C$78:$C$78)&amp;" lot(s)"</f>
        <v/>
      </c>
      <c r="D79" s="83" t="inlineStr">
        <is>
          <t>SUBTOTAL — SAHARA ENTERPRISES</t>
        </is>
      </c>
      <c r="E79" s="83" t="inlineStr">
        <is>
          <t>–</t>
        </is>
      </c>
      <c r="F79" s="83">
        <f>SUM(F78:F78)</f>
        <v/>
      </c>
      <c r="G79" s="83" t="inlineStr">
        <is>
          <t>–</t>
        </is>
      </c>
      <c r="H79" s="84" t="inlineStr">
        <is>
          <t>–</t>
        </is>
      </c>
      <c r="I79" s="84">
        <f>SUM(I78:I78)</f>
        <v/>
      </c>
      <c r="J79" s="84">
        <f>SUM(J78:J78)</f>
        <v/>
      </c>
      <c r="K79" s="84">
        <f>SUM(K78:K78)</f>
        <v/>
      </c>
      <c r="L79" s="84">
        <f>SUM(L78:L78)</f>
        <v/>
      </c>
      <c r="M79" s="84">
        <f>SUM(M78:M78)</f>
        <v/>
      </c>
      <c r="N79" s="84">
        <f>SUM(N78:N78)</f>
        <v/>
      </c>
      <c r="O79" s="85">
        <f>SUM(O78:O78)</f>
        <v/>
      </c>
      <c r="P79" s="84">
        <f>SUM(P78:P78)</f>
        <v/>
      </c>
      <c r="Q79" s="84">
        <f>SUM(Q78:Q78)</f>
        <v/>
      </c>
      <c r="R79" s="86" t="inlineStr">
        <is>
          <t>–</t>
        </is>
      </c>
      <c r="S79" s="84">
        <f>SUM(S78:S78)</f>
        <v/>
      </c>
      <c r="T79" s="84">
        <f>SUM(T78:T78)</f>
        <v/>
      </c>
      <c r="U79" s="84">
        <f>SUM(U78:U78)</f>
        <v/>
      </c>
      <c r="V79" s="87">
        <f>SUM(V78:V78)</f>
        <v/>
      </c>
      <c r="W79" s="84" t="inlineStr">
        <is>
          <t>–</t>
        </is>
      </c>
      <c r="X79" s="84">
        <f>SUM(X78:X78)</f>
        <v/>
      </c>
      <c r="Y79" s="84">
        <f>SUM(Y78:Y78)</f>
        <v/>
      </c>
      <c r="Z79" s="84" t="inlineStr">
        <is>
          <t>–</t>
        </is>
      </c>
      <c r="AA79" s="84">
        <f>SUM(AA78:AA78)</f>
        <v/>
      </c>
      <c r="AB79" s="84">
        <f>SUM(AB78:AB78)</f>
        <v/>
      </c>
      <c r="AC79" s="84" t="inlineStr">
        <is>
          <t>–</t>
        </is>
      </c>
      <c r="AD79" s="84">
        <f>SUM(AD78:AD78)</f>
        <v/>
      </c>
      <c r="AE79" s="84">
        <f>SUM(AE78:AE78)</f>
        <v/>
      </c>
      <c r="AF79" s="89">
        <f>IF(AE79&lt;=5,"SETTLED","OUTSTANDING")</f>
        <v/>
      </c>
      <c r="AG79" s="84" t="inlineStr">
        <is>
          <t>–</t>
        </is>
      </c>
      <c r="AH79" s="88" t="inlineStr">
        <is>
          <t>–</t>
        </is>
      </c>
      <c r="AI79" s="84" t="inlineStr">
        <is>
          <t>–</t>
        </is>
      </c>
    </row>
    <row r="80" outlineLevel="1" ht="15" customHeight="1" s="137">
      <c r="A80" s="67" t="n">
        <v>1</v>
      </c>
      <c r="B80" s="76">
        <f>IF('Final Calculation Sheet'!$F$9="","",'Final Calculation Sheet'!$F$9)</f>
        <v/>
      </c>
      <c r="C80" s="76">
        <f>IF('Final Calculation Sheet'!$G$9="","",'Final Calculation Sheet'!$G$9)</f>
        <v/>
      </c>
      <c r="D80" s="80">
        <f>IF('Final Calculation Sheet'!$B$9="","",'Final Calculation Sheet'!$B$9)</f>
        <v/>
      </c>
      <c r="E80" s="80">
        <f>IF('Final Calculation Sheet'!$D$9="","",'Final Calculation Sheet'!$D$9)</f>
        <v/>
      </c>
      <c r="F80" s="80">
        <f>IF('Final Calculation Sheet'!$A$9="","",'Final Calculation Sheet'!$A$9)</f>
        <v/>
      </c>
      <c r="G80" s="80">
        <f>IF('Final Calculation Sheet'!$E$9="","",'Final Calculation Sheet'!$E$9)</f>
        <v/>
      </c>
      <c r="H80" s="70">
        <f>IF('Final Calculation Sheet'!$C$9="","",'Final Calculation Sheet'!$C$9)</f>
        <v/>
      </c>
      <c r="I80" s="70">
        <f>IF('Final Calculation Sheet'!$H$9="","",'Final Calculation Sheet'!$H$9)</f>
        <v/>
      </c>
      <c r="J80" s="70">
        <f>IF('Final Calculation Sheet'!$I$9="","",'Final Calculation Sheet'!$I$9)</f>
        <v/>
      </c>
      <c r="K80" s="70">
        <f>IF('Final Calculation Sheet'!$J$9="","",'Final Calculation Sheet'!$J$9)</f>
        <v/>
      </c>
      <c r="L80" s="70">
        <f>IF('Final Calculation Sheet'!$K$9="","",'Final Calculation Sheet'!$K$9)</f>
        <v/>
      </c>
      <c r="M80" s="70">
        <f>IF('Final Calculation Sheet'!$L$9="","",'Final Calculation Sheet'!$L$9)</f>
        <v/>
      </c>
      <c r="N80" s="70">
        <f>IF('Final Calculation Sheet'!$M$9="","",'Final Calculation Sheet'!$M$9)</f>
        <v/>
      </c>
      <c r="O80" s="71">
        <f>IF('Final Calculation Sheet'!$N$9="","",'Final Calculation Sheet'!$N$9)</f>
        <v/>
      </c>
      <c r="P80" s="70">
        <f>IF('Final Calculation Sheet'!$O$9="","",'Final Calculation Sheet'!$O$9)</f>
        <v/>
      </c>
      <c r="Q80" s="70">
        <f>IF('Final Calculation Sheet'!$P$9="","",'Final Calculation Sheet'!$P$9)</f>
        <v/>
      </c>
      <c r="R80" s="72">
        <f>IF('Final Calculation Sheet'!$Q$9="","",'Final Calculation Sheet'!$Q$9)</f>
        <v/>
      </c>
      <c r="S80" s="70">
        <f>IF('Final Calculation Sheet'!$R$9="","",'Final Calculation Sheet'!$R$9)</f>
        <v/>
      </c>
      <c r="T80" s="70">
        <f>IF('Final Calculation Sheet'!$S$9="","",'Final Calculation Sheet'!$S$9)</f>
        <v/>
      </c>
      <c r="U80" s="70">
        <f>IF('Final Calculation Sheet'!$T$9="","",'Final Calculation Sheet'!$T$9)</f>
        <v/>
      </c>
      <c r="V80" s="73">
        <f>IF('Final Calculation Sheet'!$U$9="","",'Final Calculation Sheet'!$U$9)</f>
        <v/>
      </c>
      <c r="W80" s="70">
        <f>IF('Final Calculation Sheet'!$V$9="","",'Final Calculation Sheet'!$V$9)</f>
        <v/>
      </c>
      <c r="X80" s="70">
        <f>IF('Final Calculation Sheet'!$W$9="","",'Final Calculation Sheet'!$W$9)</f>
        <v/>
      </c>
      <c r="Y80" s="70">
        <f>IF('Final Calculation Sheet'!$X$9="","",'Final Calculation Sheet'!$X$9)</f>
        <v/>
      </c>
      <c r="Z80" s="70">
        <f>IF('Final Calculation Sheet'!$Y$9="","",'Final Calculation Sheet'!$Y$9)</f>
        <v/>
      </c>
      <c r="AA80" s="70">
        <f>IF('Final Calculation Sheet'!$Z$9="","",'Final Calculation Sheet'!$Z$9)</f>
        <v/>
      </c>
      <c r="AB80" s="70">
        <f>IF('Final Calculation Sheet'!$AA$9="","",'Final Calculation Sheet'!$AA$9)</f>
        <v/>
      </c>
      <c r="AC80" s="70">
        <f>IF('Final Calculation Sheet'!$AB$9="","",'Final Calculation Sheet'!$AB$9)</f>
        <v/>
      </c>
      <c r="AD80" s="70">
        <f>IF('Final Calculation Sheet'!$AC$9="","",'Final Calculation Sheet'!$AC$9)</f>
        <v/>
      </c>
      <c r="AE80" s="70">
        <f>IF('Final Calculation Sheet'!$AD$9="","",'Final Calculation Sheet'!$AD$9)</f>
        <v/>
      </c>
      <c r="AF80" s="75">
        <f>IF('Final Calculation Sheet'!$AD$9="","",IF('Final Calculation Sheet'!$AD$9&lt;=5,"SETTLED","OUTSTANDING"))</f>
        <v/>
      </c>
      <c r="AG80" s="70">
        <f>IF('Final Calculation Sheet'!$AF$9="","",'Final Calculation Sheet'!$AF$9)</f>
        <v/>
      </c>
      <c r="AH80" s="74">
        <f>IF('Final Calculation Sheet'!$AG$9="","",'Final Calculation Sheet'!$AG$9)</f>
        <v/>
      </c>
      <c r="AI80" s="70">
        <f>IF('Final Calculation Sheet'!$AH$9="","",'Final Calculation Sheet'!$AH$9)</f>
        <v/>
      </c>
    </row>
    <row r="81" outlineLevel="1" ht="15" customHeight="1" s="137">
      <c r="A81" s="90" t="n">
        <v>2</v>
      </c>
      <c r="B81" s="92">
        <f>IF('Final Calculation Sheet'!$F$14="","",'Final Calculation Sheet'!$F$14)</f>
        <v/>
      </c>
      <c r="C81" s="92">
        <f>IF('Final Calculation Sheet'!$G$14="","",'Final Calculation Sheet'!$G$14)</f>
        <v/>
      </c>
      <c r="D81" s="94">
        <f>IF('Final Calculation Sheet'!$B$14="","",'Final Calculation Sheet'!$B$14)</f>
        <v/>
      </c>
      <c r="E81" s="94">
        <f>IF('Final Calculation Sheet'!$D$14="","",'Final Calculation Sheet'!$D$14)</f>
        <v/>
      </c>
      <c r="F81" s="94">
        <f>IF('Final Calculation Sheet'!$A$14="","",'Final Calculation Sheet'!$A$14)</f>
        <v/>
      </c>
      <c r="G81" s="94">
        <f>IF('Final Calculation Sheet'!$E$14="","",'Final Calculation Sheet'!$E$14)</f>
        <v/>
      </c>
      <c r="H81" s="95">
        <f>IF('Final Calculation Sheet'!$C$14="","",'Final Calculation Sheet'!$C$14)</f>
        <v/>
      </c>
      <c r="I81" s="95">
        <f>IF('Final Calculation Sheet'!$H$14="","",'Final Calculation Sheet'!$H$14)</f>
        <v/>
      </c>
      <c r="J81" s="95">
        <f>IF('Final Calculation Sheet'!$I$14="","",'Final Calculation Sheet'!$I$14)</f>
        <v/>
      </c>
      <c r="K81" s="95">
        <f>IF('Final Calculation Sheet'!$J$14="","",'Final Calculation Sheet'!$J$14)</f>
        <v/>
      </c>
      <c r="L81" s="95">
        <f>IF('Final Calculation Sheet'!$K$14="","",'Final Calculation Sheet'!$K$14)</f>
        <v/>
      </c>
      <c r="M81" s="95">
        <f>IF('Final Calculation Sheet'!$L$14="","",'Final Calculation Sheet'!$L$14)</f>
        <v/>
      </c>
      <c r="N81" s="95">
        <f>IF('Final Calculation Sheet'!$M$14="","",'Final Calculation Sheet'!$M$14)</f>
        <v/>
      </c>
      <c r="O81" s="96">
        <f>IF('Final Calculation Sheet'!$N$14="","",'Final Calculation Sheet'!$N$14)</f>
        <v/>
      </c>
      <c r="P81" s="95">
        <f>IF('Final Calculation Sheet'!$O$14="","",'Final Calculation Sheet'!$O$14)</f>
        <v/>
      </c>
      <c r="Q81" s="95">
        <f>IF('Final Calculation Sheet'!$P$14="","",'Final Calculation Sheet'!$P$14)</f>
        <v/>
      </c>
      <c r="R81" s="97">
        <f>IF('Final Calculation Sheet'!$Q$14="","",'Final Calculation Sheet'!$Q$14)</f>
        <v/>
      </c>
      <c r="S81" s="95">
        <f>IF('Final Calculation Sheet'!$R$14="","",'Final Calculation Sheet'!$R$14)</f>
        <v/>
      </c>
      <c r="T81" s="95">
        <f>IF('Final Calculation Sheet'!$S$14="","",'Final Calculation Sheet'!$S$14)</f>
        <v/>
      </c>
      <c r="U81" s="95">
        <f>IF('Final Calculation Sheet'!$T$14="","",'Final Calculation Sheet'!$T$14)</f>
        <v/>
      </c>
      <c r="V81" s="98">
        <f>IF('Final Calculation Sheet'!$U$14="","",'Final Calculation Sheet'!$U$14)</f>
        <v/>
      </c>
      <c r="W81" s="95">
        <f>IF('Final Calculation Sheet'!$V$14="","",'Final Calculation Sheet'!$V$14)</f>
        <v/>
      </c>
      <c r="X81" s="95">
        <f>IF('Final Calculation Sheet'!$W$14="","",'Final Calculation Sheet'!$W$14)</f>
        <v/>
      </c>
      <c r="Y81" s="95">
        <f>IF('Final Calculation Sheet'!$X$14="","",'Final Calculation Sheet'!$X$14)</f>
        <v/>
      </c>
      <c r="Z81" s="95">
        <f>IF('Final Calculation Sheet'!$Y$14="","",'Final Calculation Sheet'!$Y$14)</f>
        <v/>
      </c>
      <c r="AA81" s="95">
        <f>IF('Final Calculation Sheet'!$Z$14="","",'Final Calculation Sheet'!$Z$14)</f>
        <v/>
      </c>
      <c r="AB81" s="95">
        <f>IF('Final Calculation Sheet'!$AA$14="","",'Final Calculation Sheet'!$AA$14)</f>
        <v/>
      </c>
      <c r="AC81" s="95">
        <f>IF('Final Calculation Sheet'!$AB$14="","",'Final Calculation Sheet'!$AB$14)</f>
        <v/>
      </c>
      <c r="AD81" s="95">
        <f>IF('Final Calculation Sheet'!$AC$14="","",'Final Calculation Sheet'!$AC$14)</f>
        <v/>
      </c>
      <c r="AE81" s="95">
        <f>IF('Final Calculation Sheet'!$AD$14="","",'Final Calculation Sheet'!$AD$14)</f>
        <v/>
      </c>
      <c r="AF81" s="100">
        <f>IF('Final Calculation Sheet'!$AD$14="","",IF('Final Calculation Sheet'!$AD$14&lt;=5,"SETTLED","OUTSTANDING"))</f>
        <v/>
      </c>
      <c r="AG81" s="95">
        <f>IF('Final Calculation Sheet'!$AF$14="","",'Final Calculation Sheet'!$AF$14)</f>
        <v/>
      </c>
      <c r="AH81" s="99">
        <f>IF('Final Calculation Sheet'!$AG$14="","",'Final Calculation Sheet'!$AG$14)</f>
        <v/>
      </c>
      <c r="AI81" s="95">
        <f>IF('Final Calculation Sheet'!$AH$14="","",'Final Calculation Sheet'!$AH$14)</f>
        <v/>
      </c>
    </row>
    <row r="82" ht="15" customHeight="1" s="137">
      <c r="A82" s="81" t="inlineStr">
        <is>
          <t>∑</t>
        </is>
      </c>
      <c r="B82" s="83" t="n"/>
      <c r="C82" s="83">
        <f>ROWS($C$80:$C$81)&amp;" lot(s)"</f>
        <v/>
      </c>
      <c r="D82" s="83" t="inlineStr">
        <is>
          <t>SUBTOTAL — SHAR JAHAN TRADERS</t>
        </is>
      </c>
      <c r="E82" s="83" t="inlineStr">
        <is>
          <t>–</t>
        </is>
      </c>
      <c r="F82" s="83">
        <f>SUM(F80:F81)</f>
        <v/>
      </c>
      <c r="G82" s="83" t="inlineStr">
        <is>
          <t>–</t>
        </is>
      </c>
      <c r="H82" s="84" t="inlineStr">
        <is>
          <t>–</t>
        </is>
      </c>
      <c r="I82" s="84">
        <f>SUM(I80:I81)</f>
        <v/>
      </c>
      <c r="J82" s="84">
        <f>SUM(J80:J81)</f>
        <v/>
      </c>
      <c r="K82" s="84">
        <f>SUM(K80:K81)</f>
        <v/>
      </c>
      <c r="L82" s="84">
        <f>SUM(L80:L81)</f>
        <v/>
      </c>
      <c r="M82" s="84">
        <f>SUM(M80:M81)</f>
        <v/>
      </c>
      <c r="N82" s="84">
        <f>SUM(N80:N81)</f>
        <v/>
      </c>
      <c r="O82" s="85">
        <f>SUM(O80:O81)</f>
        <v/>
      </c>
      <c r="P82" s="84">
        <f>SUM(P80:P81)</f>
        <v/>
      </c>
      <c r="Q82" s="84">
        <f>SUM(Q80:Q81)</f>
        <v/>
      </c>
      <c r="R82" s="86" t="inlineStr">
        <is>
          <t>–</t>
        </is>
      </c>
      <c r="S82" s="84">
        <f>SUM(S80:S81)</f>
        <v/>
      </c>
      <c r="T82" s="84">
        <f>SUM(T80:T81)</f>
        <v/>
      </c>
      <c r="U82" s="84">
        <f>SUM(U80:U81)</f>
        <v/>
      </c>
      <c r="V82" s="87">
        <f>SUM(V80:V81)</f>
        <v/>
      </c>
      <c r="W82" s="84" t="inlineStr">
        <is>
          <t>–</t>
        </is>
      </c>
      <c r="X82" s="84">
        <f>SUM(X80:X81)</f>
        <v/>
      </c>
      <c r="Y82" s="84">
        <f>SUM(Y80:Y81)</f>
        <v/>
      </c>
      <c r="Z82" s="84" t="inlineStr">
        <is>
          <t>–</t>
        </is>
      </c>
      <c r="AA82" s="84">
        <f>SUM(AA80:AA81)</f>
        <v/>
      </c>
      <c r="AB82" s="84">
        <f>SUM(AB80:AB81)</f>
        <v/>
      </c>
      <c r="AC82" s="84" t="inlineStr">
        <is>
          <t>–</t>
        </is>
      </c>
      <c r="AD82" s="84">
        <f>SUM(AD80:AD81)</f>
        <v/>
      </c>
      <c r="AE82" s="84">
        <f>SUM(AE80:AE81)</f>
        <v/>
      </c>
      <c r="AF82" s="89">
        <f>IF(AE82&lt;=5,"SETTLED","OUTSTANDING")</f>
        <v/>
      </c>
      <c r="AG82" s="84" t="inlineStr">
        <is>
          <t>–</t>
        </is>
      </c>
      <c r="AH82" s="88" t="inlineStr">
        <is>
          <t>–</t>
        </is>
      </c>
      <c r="AI82" s="84" t="inlineStr">
        <is>
          <t>–</t>
        </is>
      </c>
    </row>
    <row r="83" outlineLevel="1" ht="15" customHeight="1" s="137">
      <c r="A83" s="67" t="n">
        <v>1</v>
      </c>
      <c r="B83" s="76">
        <f>IF('Final Calculation Sheet'!$F$13="","",'Final Calculation Sheet'!$F$13)</f>
        <v/>
      </c>
      <c r="C83" s="76">
        <f>IF('Final Calculation Sheet'!$G$13="","",'Final Calculation Sheet'!$G$13)</f>
        <v/>
      </c>
      <c r="D83" s="80">
        <f>IF('Final Calculation Sheet'!$B$13="","",'Final Calculation Sheet'!$B$13)</f>
        <v/>
      </c>
      <c r="E83" s="80">
        <f>IF('Final Calculation Sheet'!$D$13="","",'Final Calculation Sheet'!$D$13)</f>
        <v/>
      </c>
      <c r="F83" s="80">
        <f>IF('Final Calculation Sheet'!$A$13="","",'Final Calculation Sheet'!$A$13)</f>
        <v/>
      </c>
      <c r="G83" s="80">
        <f>IF('Final Calculation Sheet'!$E$13="","",'Final Calculation Sheet'!$E$13)</f>
        <v/>
      </c>
      <c r="H83" s="70">
        <f>IF('Final Calculation Sheet'!$C$13="","",'Final Calculation Sheet'!$C$13)</f>
        <v/>
      </c>
      <c r="I83" s="70">
        <f>IF('Final Calculation Sheet'!$H$13="","",'Final Calculation Sheet'!$H$13)</f>
        <v/>
      </c>
      <c r="J83" s="70">
        <f>IF('Final Calculation Sheet'!$I$13="","",'Final Calculation Sheet'!$I$13)</f>
        <v/>
      </c>
      <c r="K83" s="70">
        <f>IF('Final Calculation Sheet'!$J$13="","",'Final Calculation Sheet'!$J$13)</f>
        <v/>
      </c>
      <c r="L83" s="70">
        <f>IF('Final Calculation Sheet'!$K$13="","",'Final Calculation Sheet'!$K$13)</f>
        <v/>
      </c>
      <c r="M83" s="70">
        <f>IF('Final Calculation Sheet'!$L$13="","",'Final Calculation Sheet'!$L$13)</f>
        <v/>
      </c>
      <c r="N83" s="70">
        <f>IF('Final Calculation Sheet'!$M$13="","",'Final Calculation Sheet'!$M$13)</f>
        <v/>
      </c>
      <c r="O83" s="71">
        <f>IF('Final Calculation Sheet'!$N$13="","",'Final Calculation Sheet'!$N$13)</f>
        <v/>
      </c>
      <c r="P83" s="70">
        <f>IF('Final Calculation Sheet'!$O$13="","",'Final Calculation Sheet'!$O$13)</f>
        <v/>
      </c>
      <c r="Q83" s="70">
        <f>IF('Final Calculation Sheet'!$P$13="","",'Final Calculation Sheet'!$P$13)</f>
        <v/>
      </c>
      <c r="R83" s="72">
        <f>IF('Final Calculation Sheet'!$Q$13="","",'Final Calculation Sheet'!$Q$13)</f>
        <v/>
      </c>
      <c r="S83" s="70">
        <f>IF('Final Calculation Sheet'!$R$13="","",'Final Calculation Sheet'!$R$13)</f>
        <v/>
      </c>
      <c r="T83" s="70">
        <f>IF('Final Calculation Sheet'!$S$13="","",'Final Calculation Sheet'!$S$13)</f>
        <v/>
      </c>
      <c r="U83" s="70">
        <f>IF('Final Calculation Sheet'!$T$13="","",'Final Calculation Sheet'!$T$13)</f>
        <v/>
      </c>
      <c r="V83" s="73">
        <f>IF('Final Calculation Sheet'!$U$13="","",'Final Calculation Sheet'!$U$13)</f>
        <v/>
      </c>
      <c r="W83" s="70">
        <f>IF('Final Calculation Sheet'!$V$13="","",'Final Calculation Sheet'!$V$13)</f>
        <v/>
      </c>
      <c r="X83" s="70">
        <f>IF('Final Calculation Sheet'!$W$13="","",'Final Calculation Sheet'!$W$13)</f>
        <v/>
      </c>
      <c r="Y83" s="70">
        <f>IF('Final Calculation Sheet'!$X$13="","",'Final Calculation Sheet'!$X$13)</f>
        <v/>
      </c>
      <c r="Z83" s="70">
        <f>IF('Final Calculation Sheet'!$Y$13="","",'Final Calculation Sheet'!$Y$13)</f>
        <v/>
      </c>
      <c r="AA83" s="70">
        <f>IF('Final Calculation Sheet'!$Z$13="","",'Final Calculation Sheet'!$Z$13)</f>
        <v/>
      </c>
      <c r="AB83" s="70">
        <f>IF('Final Calculation Sheet'!$AA$13="","",'Final Calculation Sheet'!$AA$13)</f>
        <v/>
      </c>
      <c r="AC83" s="70">
        <f>IF('Final Calculation Sheet'!$AB$13="","",'Final Calculation Sheet'!$AB$13)</f>
        <v/>
      </c>
      <c r="AD83" s="70">
        <f>IF('Final Calculation Sheet'!$AC$13="","",'Final Calculation Sheet'!$AC$13)</f>
        <v/>
      </c>
      <c r="AE83" s="70">
        <f>IF('Final Calculation Sheet'!$AD$13="","",'Final Calculation Sheet'!$AD$13)</f>
        <v/>
      </c>
      <c r="AF83" s="75">
        <f>IF('Final Calculation Sheet'!$AD$13="","",IF('Final Calculation Sheet'!$AD$13&lt;=5,"SETTLED","OUTSTANDING"))</f>
        <v/>
      </c>
      <c r="AG83" s="70">
        <f>IF('Final Calculation Sheet'!$AF$13="","",'Final Calculation Sheet'!$AF$13)</f>
        <v/>
      </c>
      <c r="AH83" s="74">
        <f>IF('Final Calculation Sheet'!$AG$13="","",'Final Calculation Sheet'!$AG$13)</f>
        <v/>
      </c>
      <c r="AI83" s="70">
        <f>IF('Final Calculation Sheet'!$AH$13="","",'Final Calculation Sheet'!$AH$13)</f>
        <v/>
      </c>
    </row>
    <row r="84" outlineLevel="1" ht="15" customHeight="1" s="137">
      <c r="A84" s="90" t="n">
        <v>2</v>
      </c>
      <c r="B84" s="92">
        <f>IF('Final Calculation Sheet'!$F$16="","",'Final Calculation Sheet'!$F$16)</f>
        <v/>
      </c>
      <c r="C84" s="92">
        <f>IF('Final Calculation Sheet'!$G$16="","",'Final Calculation Sheet'!$G$16)</f>
        <v/>
      </c>
      <c r="D84" s="94">
        <f>IF('Final Calculation Sheet'!$B$16="","",'Final Calculation Sheet'!$B$16)</f>
        <v/>
      </c>
      <c r="E84" s="94">
        <f>IF('Final Calculation Sheet'!$D$16="","",'Final Calculation Sheet'!$D$16)</f>
        <v/>
      </c>
      <c r="F84" s="94">
        <f>IF('Final Calculation Sheet'!$A$16="","",'Final Calculation Sheet'!$A$16)</f>
        <v/>
      </c>
      <c r="G84" s="94">
        <f>IF('Final Calculation Sheet'!$E$16="","",'Final Calculation Sheet'!$E$16)</f>
        <v/>
      </c>
      <c r="H84" s="95">
        <f>IF('Final Calculation Sheet'!$C$16="","",'Final Calculation Sheet'!$C$16)</f>
        <v/>
      </c>
      <c r="I84" s="95">
        <f>IF('Final Calculation Sheet'!$H$16="","",'Final Calculation Sheet'!$H$16)</f>
        <v/>
      </c>
      <c r="J84" s="95">
        <f>IF('Final Calculation Sheet'!$I$16="","",'Final Calculation Sheet'!$I$16)</f>
        <v/>
      </c>
      <c r="K84" s="95">
        <f>IF('Final Calculation Sheet'!$J$16="","",'Final Calculation Sheet'!$J$16)</f>
        <v/>
      </c>
      <c r="L84" s="95">
        <f>IF('Final Calculation Sheet'!$K$16="","",'Final Calculation Sheet'!$K$16)</f>
        <v/>
      </c>
      <c r="M84" s="95">
        <f>IF('Final Calculation Sheet'!$L$16="","",'Final Calculation Sheet'!$L$16)</f>
        <v/>
      </c>
      <c r="N84" s="95">
        <f>IF('Final Calculation Sheet'!$M$16="","",'Final Calculation Sheet'!$M$16)</f>
        <v/>
      </c>
      <c r="O84" s="96">
        <f>IF('Final Calculation Sheet'!$N$16="","",'Final Calculation Sheet'!$N$16)</f>
        <v/>
      </c>
      <c r="P84" s="95">
        <f>IF('Final Calculation Sheet'!$O$16="","",'Final Calculation Sheet'!$O$16)</f>
        <v/>
      </c>
      <c r="Q84" s="95">
        <f>IF('Final Calculation Sheet'!$P$16="","",'Final Calculation Sheet'!$P$16)</f>
        <v/>
      </c>
      <c r="R84" s="97">
        <f>IF('Final Calculation Sheet'!$Q$16="","",'Final Calculation Sheet'!$Q$16)</f>
        <v/>
      </c>
      <c r="S84" s="95">
        <f>IF('Final Calculation Sheet'!$R$16="","",'Final Calculation Sheet'!$R$16)</f>
        <v/>
      </c>
      <c r="T84" s="95">
        <f>IF('Final Calculation Sheet'!$S$16="","",'Final Calculation Sheet'!$S$16)</f>
        <v/>
      </c>
      <c r="U84" s="95">
        <f>IF('Final Calculation Sheet'!$T$16="","",'Final Calculation Sheet'!$T$16)</f>
        <v/>
      </c>
      <c r="V84" s="98">
        <f>IF('Final Calculation Sheet'!$U$16="","",'Final Calculation Sheet'!$U$16)</f>
        <v/>
      </c>
      <c r="W84" s="95">
        <f>IF('Final Calculation Sheet'!$V$16="","",'Final Calculation Sheet'!$V$16)</f>
        <v/>
      </c>
      <c r="X84" s="95">
        <f>IF('Final Calculation Sheet'!$W$16="","",'Final Calculation Sheet'!$W$16)</f>
        <v/>
      </c>
      <c r="Y84" s="95">
        <f>IF('Final Calculation Sheet'!$X$16="","",'Final Calculation Sheet'!$X$16)</f>
        <v/>
      </c>
      <c r="Z84" s="95">
        <f>IF('Final Calculation Sheet'!$Y$16="","",'Final Calculation Sheet'!$Y$16)</f>
        <v/>
      </c>
      <c r="AA84" s="95">
        <f>IF('Final Calculation Sheet'!$Z$16="","",'Final Calculation Sheet'!$Z$16)</f>
        <v/>
      </c>
      <c r="AB84" s="95">
        <f>IF('Final Calculation Sheet'!$AA$16="","",'Final Calculation Sheet'!$AA$16)</f>
        <v/>
      </c>
      <c r="AC84" s="95">
        <f>IF('Final Calculation Sheet'!$AB$16="","",'Final Calculation Sheet'!$AB$16)</f>
        <v/>
      </c>
      <c r="AD84" s="95">
        <f>IF('Final Calculation Sheet'!$AC$16="","",'Final Calculation Sheet'!$AC$16)</f>
        <v/>
      </c>
      <c r="AE84" s="95">
        <f>IF('Final Calculation Sheet'!$AD$16="","",'Final Calculation Sheet'!$AD$16)</f>
        <v/>
      </c>
      <c r="AF84" s="100">
        <f>IF('Final Calculation Sheet'!$AD$16="","",IF('Final Calculation Sheet'!$AD$16&lt;=5,"SETTLED","OUTSTANDING"))</f>
        <v/>
      </c>
      <c r="AG84" s="95">
        <f>IF('Final Calculation Sheet'!$AF$16="","",'Final Calculation Sheet'!$AF$16)</f>
        <v/>
      </c>
      <c r="AH84" s="99">
        <f>IF('Final Calculation Sheet'!$AG$16="","",'Final Calculation Sheet'!$AG$16)</f>
        <v/>
      </c>
      <c r="AI84" s="95">
        <f>IF('Final Calculation Sheet'!$AH$16="","",'Final Calculation Sheet'!$AH$16)</f>
        <v/>
      </c>
    </row>
    <row r="85" outlineLevel="1" ht="15" customHeight="1" s="137">
      <c r="A85" s="67" t="n">
        <v>3</v>
      </c>
      <c r="B85" s="76">
        <f>IF('Final Calculation Sheet'!$F$17="","",'Final Calculation Sheet'!$F$17)</f>
        <v/>
      </c>
      <c r="C85" s="76">
        <f>IF('Final Calculation Sheet'!$G$17="","",'Final Calculation Sheet'!$G$17)</f>
        <v/>
      </c>
      <c r="D85" s="80">
        <f>IF('Final Calculation Sheet'!$B$17="","",'Final Calculation Sheet'!$B$17)</f>
        <v/>
      </c>
      <c r="E85" s="80">
        <f>IF('Final Calculation Sheet'!$D$17="","",'Final Calculation Sheet'!$D$17)</f>
        <v/>
      </c>
      <c r="F85" s="80">
        <f>IF('Final Calculation Sheet'!$A$17="","",'Final Calculation Sheet'!$A$17)</f>
        <v/>
      </c>
      <c r="G85" s="80">
        <f>IF('Final Calculation Sheet'!$E$17="","",'Final Calculation Sheet'!$E$17)</f>
        <v/>
      </c>
      <c r="H85" s="70">
        <f>IF('Final Calculation Sheet'!$C$17="","",'Final Calculation Sheet'!$C$17)</f>
        <v/>
      </c>
      <c r="I85" s="70">
        <f>IF('Final Calculation Sheet'!$H$17="","",'Final Calculation Sheet'!$H$17)</f>
        <v/>
      </c>
      <c r="J85" s="70">
        <f>IF('Final Calculation Sheet'!$I$17="","",'Final Calculation Sheet'!$I$17)</f>
        <v/>
      </c>
      <c r="K85" s="70">
        <f>IF('Final Calculation Sheet'!$J$17="","",'Final Calculation Sheet'!$J$17)</f>
        <v/>
      </c>
      <c r="L85" s="70">
        <f>IF('Final Calculation Sheet'!$K$17="","",'Final Calculation Sheet'!$K$17)</f>
        <v/>
      </c>
      <c r="M85" s="70">
        <f>IF('Final Calculation Sheet'!$L$17="","",'Final Calculation Sheet'!$L$17)</f>
        <v/>
      </c>
      <c r="N85" s="70">
        <f>IF('Final Calculation Sheet'!$M$17="","",'Final Calculation Sheet'!$M$17)</f>
        <v/>
      </c>
      <c r="O85" s="71">
        <f>IF('Final Calculation Sheet'!$N$17="","",'Final Calculation Sheet'!$N$17)</f>
        <v/>
      </c>
      <c r="P85" s="70">
        <f>IF('Final Calculation Sheet'!$O$17="","",'Final Calculation Sheet'!$O$17)</f>
        <v/>
      </c>
      <c r="Q85" s="70">
        <f>IF('Final Calculation Sheet'!$P$17="","",'Final Calculation Sheet'!$P$17)</f>
        <v/>
      </c>
      <c r="R85" s="72">
        <f>IF('Final Calculation Sheet'!$Q$17="","",'Final Calculation Sheet'!$Q$17)</f>
        <v/>
      </c>
      <c r="S85" s="70">
        <f>IF('Final Calculation Sheet'!$R$17="","",'Final Calculation Sheet'!$R$17)</f>
        <v/>
      </c>
      <c r="T85" s="70">
        <f>IF('Final Calculation Sheet'!$S$17="","",'Final Calculation Sheet'!$S$17)</f>
        <v/>
      </c>
      <c r="U85" s="70">
        <f>IF('Final Calculation Sheet'!$T$17="","",'Final Calculation Sheet'!$T$17)</f>
        <v/>
      </c>
      <c r="V85" s="73">
        <f>IF('Final Calculation Sheet'!$U$17="","",'Final Calculation Sheet'!$U$17)</f>
        <v/>
      </c>
      <c r="W85" s="70">
        <f>IF('Final Calculation Sheet'!$V$17="","",'Final Calculation Sheet'!$V$17)</f>
        <v/>
      </c>
      <c r="X85" s="70">
        <f>IF('Final Calculation Sheet'!$W$17="","",'Final Calculation Sheet'!$W$17)</f>
        <v/>
      </c>
      <c r="Y85" s="70">
        <f>IF('Final Calculation Sheet'!$X$17="","",'Final Calculation Sheet'!$X$17)</f>
        <v/>
      </c>
      <c r="Z85" s="70">
        <f>IF('Final Calculation Sheet'!$Y$17="","",'Final Calculation Sheet'!$Y$17)</f>
        <v/>
      </c>
      <c r="AA85" s="70">
        <f>IF('Final Calculation Sheet'!$Z$17="","",'Final Calculation Sheet'!$Z$17)</f>
        <v/>
      </c>
      <c r="AB85" s="70">
        <f>IF('Final Calculation Sheet'!$AA$17="","",'Final Calculation Sheet'!$AA$17)</f>
        <v/>
      </c>
      <c r="AC85" s="70">
        <f>IF('Final Calculation Sheet'!$AB$17="","",'Final Calculation Sheet'!$AB$17)</f>
        <v/>
      </c>
      <c r="AD85" s="70">
        <f>IF('Final Calculation Sheet'!$AC$17="","",'Final Calculation Sheet'!$AC$17)</f>
        <v/>
      </c>
      <c r="AE85" s="70">
        <f>IF('Final Calculation Sheet'!$AD$17="","",'Final Calculation Sheet'!$AD$17)</f>
        <v/>
      </c>
      <c r="AF85" s="75">
        <f>IF('Final Calculation Sheet'!$AD$17="","",IF('Final Calculation Sheet'!$AD$17&lt;=5,"SETTLED","OUTSTANDING"))</f>
        <v/>
      </c>
      <c r="AG85" s="70">
        <f>IF('Final Calculation Sheet'!$AF$17="","",'Final Calculation Sheet'!$AF$17)</f>
        <v/>
      </c>
      <c r="AH85" s="74">
        <f>IF('Final Calculation Sheet'!$AG$17="","",'Final Calculation Sheet'!$AG$17)</f>
        <v/>
      </c>
      <c r="AI85" s="70">
        <f>IF('Final Calculation Sheet'!$AH$17="","",'Final Calculation Sheet'!$AH$17)</f>
        <v/>
      </c>
    </row>
    <row r="86" outlineLevel="1" ht="15" customHeight="1" s="137">
      <c r="A86" s="90" t="n">
        <v>4</v>
      </c>
      <c r="B86" s="92">
        <f>IF('Final Calculation Sheet'!$F$23="","",'Final Calculation Sheet'!$F$23)</f>
        <v/>
      </c>
      <c r="C86" s="92">
        <f>IF('Final Calculation Sheet'!$G$23="","",'Final Calculation Sheet'!$G$23)</f>
        <v/>
      </c>
      <c r="D86" s="94">
        <f>IF('Final Calculation Sheet'!$B$23="","",'Final Calculation Sheet'!$B$23)</f>
        <v/>
      </c>
      <c r="E86" s="94">
        <f>IF('Final Calculation Sheet'!$D$23="","",'Final Calculation Sheet'!$D$23)</f>
        <v/>
      </c>
      <c r="F86" s="94">
        <f>IF('Final Calculation Sheet'!$A$23="","",'Final Calculation Sheet'!$A$23)</f>
        <v/>
      </c>
      <c r="G86" s="94">
        <f>IF('Final Calculation Sheet'!$E$23="","",'Final Calculation Sheet'!$E$23)</f>
        <v/>
      </c>
      <c r="H86" s="95">
        <f>IF('Final Calculation Sheet'!$C$23="","",'Final Calculation Sheet'!$C$23)</f>
        <v/>
      </c>
      <c r="I86" s="95">
        <f>IF('Final Calculation Sheet'!$H$23="","",'Final Calculation Sheet'!$H$23)</f>
        <v/>
      </c>
      <c r="J86" s="95">
        <f>IF('Final Calculation Sheet'!$I$23="","",'Final Calculation Sheet'!$I$23)</f>
        <v/>
      </c>
      <c r="K86" s="95">
        <f>IF('Final Calculation Sheet'!$J$23="","",'Final Calculation Sheet'!$J$23)</f>
        <v/>
      </c>
      <c r="L86" s="95">
        <f>IF('Final Calculation Sheet'!$K$23="","",'Final Calculation Sheet'!$K$23)</f>
        <v/>
      </c>
      <c r="M86" s="95">
        <f>IF('Final Calculation Sheet'!$L$23="","",'Final Calculation Sheet'!$L$23)</f>
        <v/>
      </c>
      <c r="N86" s="95">
        <f>IF('Final Calculation Sheet'!$M$23="","",'Final Calculation Sheet'!$M$23)</f>
        <v/>
      </c>
      <c r="O86" s="96">
        <f>IF('Final Calculation Sheet'!$N$23="","",'Final Calculation Sheet'!$N$23)</f>
        <v/>
      </c>
      <c r="P86" s="95">
        <f>IF('Final Calculation Sheet'!$O$23="","",'Final Calculation Sheet'!$O$23)</f>
        <v/>
      </c>
      <c r="Q86" s="95">
        <f>IF('Final Calculation Sheet'!$P$23="","",'Final Calculation Sheet'!$P$23)</f>
        <v/>
      </c>
      <c r="R86" s="97">
        <f>IF('Final Calculation Sheet'!$Q$23="","",'Final Calculation Sheet'!$Q$23)</f>
        <v/>
      </c>
      <c r="S86" s="95">
        <f>IF('Final Calculation Sheet'!$R$23="","",'Final Calculation Sheet'!$R$23)</f>
        <v/>
      </c>
      <c r="T86" s="95">
        <f>IF('Final Calculation Sheet'!$S$23="","",'Final Calculation Sheet'!$S$23)</f>
        <v/>
      </c>
      <c r="U86" s="95">
        <f>IF('Final Calculation Sheet'!$T$23="","",'Final Calculation Sheet'!$T$23)</f>
        <v/>
      </c>
      <c r="V86" s="98">
        <f>IF('Final Calculation Sheet'!$U$23="","",'Final Calculation Sheet'!$U$23)</f>
        <v/>
      </c>
      <c r="W86" s="95">
        <f>IF('Final Calculation Sheet'!$V$23="","",'Final Calculation Sheet'!$V$23)</f>
        <v/>
      </c>
      <c r="X86" s="95">
        <f>IF('Final Calculation Sheet'!$W$23="","",'Final Calculation Sheet'!$W$23)</f>
        <v/>
      </c>
      <c r="Y86" s="95">
        <f>IF('Final Calculation Sheet'!$X$23="","",'Final Calculation Sheet'!$X$23)</f>
        <v/>
      </c>
      <c r="Z86" s="95">
        <f>IF('Final Calculation Sheet'!$Y$23="","",'Final Calculation Sheet'!$Y$23)</f>
        <v/>
      </c>
      <c r="AA86" s="95">
        <f>IF('Final Calculation Sheet'!$Z$23="","",'Final Calculation Sheet'!$Z$23)</f>
        <v/>
      </c>
      <c r="AB86" s="95">
        <f>IF('Final Calculation Sheet'!$AA$23="","",'Final Calculation Sheet'!$AA$23)</f>
        <v/>
      </c>
      <c r="AC86" s="95">
        <f>IF('Final Calculation Sheet'!$AB$23="","",'Final Calculation Sheet'!$AB$23)</f>
        <v/>
      </c>
      <c r="AD86" s="95">
        <f>IF('Final Calculation Sheet'!$AC$23="","",'Final Calculation Sheet'!$AC$23)</f>
        <v/>
      </c>
      <c r="AE86" s="95">
        <f>IF('Final Calculation Sheet'!$AD$23="","",'Final Calculation Sheet'!$AD$23)</f>
        <v/>
      </c>
      <c r="AF86" s="100">
        <f>IF('Final Calculation Sheet'!$AD$23="","",IF('Final Calculation Sheet'!$AD$23&lt;=5,"SETTLED","OUTSTANDING"))</f>
        <v/>
      </c>
      <c r="AG86" s="95">
        <f>IF('Final Calculation Sheet'!$AF$23="","",'Final Calculation Sheet'!$AF$23)</f>
        <v/>
      </c>
      <c r="AH86" s="99">
        <f>IF('Final Calculation Sheet'!$AG$23="","",'Final Calculation Sheet'!$AG$23)</f>
        <v/>
      </c>
      <c r="AI86" s="95">
        <f>IF('Final Calculation Sheet'!$AH$23="","",'Final Calculation Sheet'!$AH$23)</f>
        <v/>
      </c>
    </row>
    <row r="87" outlineLevel="1" ht="15" customHeight="1" s="137">
      <c r="A87" s="67" t="n">
        <v>5</v>
      </c>
      <c r="B87" s="76">
        <f>IF('Final Calculation Sheet'!$F$29="","",'Final Calculation Sheet'!$F$29)</f>
        <v/>
      </c>
      <c r="C87" s="76">
        <f>IF('Final Calculation Sheet'!$G$29="","",'Final Calculation Sheet'!$G$29)</f>
        <v/>
      </c>
      <c r="D87" s="80">
        <f>IF('Final Calculation Sheet'!$B$29="","",'Final Calculation Sheet'!$B$29)</f>
        <v/>
      </c>
      <c r="E87" s="80">
        <f>IF('Final Calculation Sheet'!$D$29="","",'Final Calculation Sheet'!$D$29)</f>
        <v/>
      </c>
      <c r="F87" s="80">
        <f>IF('Final Calculation Sheet'!$A$29="","",'Final Calculation Sheet'!$A$29)</f>
        <v/>
      </c>
      <c r="G87" s="80">
        <f>IF('Final Calculation Sheet'!$E$29="","",'Final Calculation Sheet'!$E$29)</f>
        <v/>
      </c>
      <c r="H87" s="70">
        <f>IF('Final Calculation Sheet'!$C$29="","",'Final Calculation Sheet'!$C$29)</f>
        <v/>
      </c>
      <c r="I87" s="70">
        <f>IF('Final Calculation Sheet'!$H$29="","",'Final Calculation Sheet'!$H$29)</f>
        <v/>
      </c>
      <c r="J87" s="70">
        <f>IF('Final Calculation Sheet'!$I$29="","",'Final Calculation Sheet'!$I$29)</f>
        <v/>
      </c>
      <c r="K87" s="70">
        <f>IF('Final Calculation Sheet'!$J$29="","",'Final Calculation Sheet'!$J$29)</f>
        <v/>
      </c>
      <c r="L87" s="70">
        <f>IF('Final Calculation Sheet'!$K$29="","",'Final Calculation Sheet'!$K$29)</f>
        <v/>
      </c>
      <c r="M87" s="70">
        <f>IF('Final Calculation Sheet'!$L$29="","",'Final Calculation Sheet'!$L$29)</f>
        <v/>
      </c>
      <c r="N87" s="70">
        <f>IF('Final Calculation Sheet'!$M$29="","",'Final Calculation Sheet'!$M$29)</f>
        <v/>
      </c>
      <c r="O87" s="71">
        <f>IF('Final Calculation Sheet'!$N$29="","",'Final Calculation Sheet'!$N$29)</f>
        <v/>
      </c>
      <c r="P87" s="70">
        <f>IF('Final Calculation Sheet'!$O$29="","",'Final Calculation Sheet'!$O$29)</f>
        <v/>
      </c>
      <c r="Q87" s="70">
        <f>IF('Final Calculation Sheet'!$P$29="","",'Final Calculation Sheet'!$P$29)</f>
        <v/>
      </c>
      <c r="R87" s="72">
        <f>IF('Final Calculation Sheet'!$Q$29="","",'Final Calculation Sheet'!$Q$29)</f>
        <v/>
      </c>
      <c r="S87" s="70">
        <f>IF('Final Calculation Sheet'!$R$29="","",'Final Calculation Sheet'!$R$29)</f>
        <v/>
      </c>
      <c r="T87" s="70">
        <f>IF('Final Calculation Sheet'!$S$29="","",'Final Calculation Sheet'!$S$29)</f>
        <v/>
      </c>
      <c r="U87" s="70">
        <f>IF('Final Calculation Sheet'!$T$29="","",'Final Calculation Sheet'!$T$29)</f>
        <v/>
      </c>
      <c r="V87" s="73">
        <f>IF('Final Calculation Sheet'!$U$29="","",'Final Calculation Sheet'!$U$29)</f>
        <v/>
      </c>
      <c r="W87" s="70">
        <f>IF('Final Calculation Sheet'!$V$29="","",'Final Calculation Sheet'!$V$29)</f>
        <v/>
      </c>
      <c r="X87" s="70">
        <f>IF('Final Calculation Sheet'!$W$29="","",'Final Calculation Sheet'!$W$29)</f>
        <v/>
      </c>
      <c r="Y87" s="70">
        <f>IF('Final Calculation Sheet'!$X$29="","",'Final Calculation Sheet'!$X$29)</f>
        <v/>
      </c>
      <c r="Z87" s="70">
        <f>IF('Final Calculation Sheet'!$Y$29="","",'Final Calculation Sheet'!$Y$29)</f>
        <v/>
      </c>
      <c r="AA87" s="70">
        <f>IF('Final Calculation Sheet'!$Z$29="","",'Final Calculation Sheet'!$Z$29)</f>
        <v/>
      </c>
      <c r="AB87" s="70">
        <f>IF('Final Calculation Sheet'!$AA$29="","",'Final Calculation Sheet'!$AA$29)</f>
        <v/>
      </c>
      <c r="AC87" s="70">
        <f>IF('Final Calculation Sheet'!$AB$29="","",'Final Calculation Sheet'!$AB$29)</f>
        <v/>
      </c>
      <c r="AD87" s="70">
        <f>IF('Final Calculation Sheet'!$AC$29="","",'Final Calculation Sheet'!$AC$29)</f>
        <v/>
      </c>
      <c r="AE87" s="70">
        <f>IF('Final Calculation Sheet'!$AD$29="","",'Final Calculation Sheet'!$AD$29)</f>
        <v/>
      </c>
      <c r="AF87" s="75">
        <f>IF('Final Calculation Sheet'!$AD$29="","",IF('Final Calculation Sheet'!$AD$29&lt;=5,"SETTLED","OUTSTANDING"))</f>
        <v/>
      </c>
      <c r="AG87" s="70">
        <f>IF('Final Calculation Sheet'!$AF$29="","",'Final Calculation Sheet'!$AF$29)</f>
        <v/>
      </c>
      <c r="AH87" s="74">
        <f>IF('Final Calculation Sheet'!$AG$29="","",'Final Calculation Sheet'!$AG$29)</f>
        <v/>
      </c>
      <c r="AI87" s="70">
        <f>IF('Final Calculation Sheet'!$AH$29="","",'Final Calculation Sheet'!$AH$29)</f>
        <v/>
      </c>
    </row>
    <row r="88" outlineLevel="1" ht="15" customHeight="1" s="137">
      <c r="A88" s="90" t="n">
        <v>6</v>
      </c>
      <c r="B88" s="92">
        <f>IF('Final Calculation Sheet'!$F$34="","",'Final Calculation Sheet'!$F$34)</f>
        <v/>
      </c>
      <c r="C88" s="92">
        <f>IF('Final Calculation Sheet'!$G$34="","",'Final Calculation Sheet'!$G$34)</f>
        <v/>
      </c>
      <c r="D88" s="94">
        <f>IF('Final Calculation Sheet'!$B$34="","",'Final Calculation Sheet'!$B$34)</f>
        <v/>
      </c>
      <c r="E88" s="94">
        <f>IF('Final Calculation Sheet'!$D$34="","",'Final Calculation Sheet'!$D$34)</f>
        <v/>
      </c>
      <c r="F88" s="94">
        <f>IF('Final Calculation Sheet'!$A$34="","",'Final Calculation Sheet'!$A$34)</f>
        <v/>
      </c>
      <c r="G88" s="94">
        <f>IF('Final Calculation Sheet'!$E$34="","",'Final Calculation Sheet'!$E$34)</f>
        <v/>
      </c>
      <c r="H88" s="95">
        <f>IF('Final Calculation Sheet'!$C$34="","",'Final Calculation Sheet'!$C$34)</f>
        <v/>
      </c>
      <c r="I88" s="95">
        <f>IF('Final Calculation Sheet'!$H$34="","",'Final Calculation Sheet'!$H$34)</f>
        <v/>
      </c>
      <c r="J88" s="95">
        <f>IF('Final Calculation Sheet'!$I$34="","",'Final Calculation Sheet'!$I$34)</f>
        <v/>
      </c>
      <c r="K88" s="95">
        <f>IF('Final Calculation Sheet'!$J$34="","",'Final Calculation Sheet'!$J$34)</f>
        <v/>
      </c>
      <c r="L88" s="95">
        <f>IF('Final Calculation Sheet'!$K$34="","",'Final Calculation Sheet'!$K$34)</f>
        <v/>
      </c>
      <c r="M88" s="95">
        <f>IF('Final Calculation Sheet'!$L$34="","",'Final Calculation Sheet'!$L$34)</f>
        <v/>
      </c>
      <c r="N88" s="95">
        <f>IF('Final Calculation Sheet'!$M$34="","",'Final Calculation Sheet'!$M$34)</f>
        <v/>
      </c>
      <c r="O88" s="96">
        <f>IF('Final Calculation Sheet'!$N$34="","",'Final Calculation Sheet'!$N$34)</f>
        <v/>
      </c>
      <c r="P88" s="95">
        <f>IF('Final Calculation Sheet'!$O$34="","",'Final Calculation Sheet'!$O$34)</f>
        <v/>
      </c>
      <c r="Q88" s="95">
        <f>IF('Final Calculation Sheet'!$P$34="","",'Final Calculation Sheet'!$P$34)</f>
        <v/>
      </c>
      <c r="R88" s="97">
        <f>IF('Final Calculation Sheet'!$Q$34="","",'Final Calculation Sheet'!$Q$34)</f>
        <v/>
      </c>
      <c r="S88" s="95">
        <f>IF('Final Calculation Sheet'!$R$34="","",'Final Calculation Sheet'!$R$34)</f>
        <v/>
      </c>
      <c r="T88" s="95">
        <f>IF('Final Calculation Sheet'!$S$34="","",'Final Calculation Sheet'!$S$34)</f>
        <v/>
      </c>
      <c r="U88" s="95">
        <f>IF('Final Calculation Sheet'!$T$34="","",'Final Calculation Sheet'!$T$34)</f>
        <v/>
      </c>
      <c r="V88" s="98">
        <f>IF('Final Calculation Sheet'!$U$34="","",'Final Calculation Sheet'!$U$34)</f>
        <v/>
      </c>
      <c r="W88" s="95">
        <f>IF('Final Calculation Sheet'!$V$34="","",'Final Calculation Sheet'!$V$34)</f>
        <v/>
      </c>
      <c r="X88" s="95">
        <f>IF('Final Calculation Sheet'!$W$34="","",'Final Calculation Sheet'!$W$34)</f>
        <v/>
      </c>
      <c r="Y88" s="95">
        <f>IF('Final Calculation Sheet'!$X$34="","",'Final Calculation Sheet'!$X$34)</f>
        <v/>
      </c>
      <c r="Z88" s="95">
        <f>IF('Final Calculation Sheet'!$Y$34="","",'Final Calculation Sheet'!$Y$34)</f>
        <v/>
      </c>
      <c r="AA88" s="95">
        <f>IF('Final Calculation Sheet'!$Z$34="","",'Final Calculation Sheet'!$Z$34)</f>
        <v/>
      </c>
      <c r="AB88" s="95">
        <f>IF('Final Calculation Sheet'!$AA$34="","",'Final Calculation Sheet'!$AA$34)</f>
        <v/>
      </c>
      <c r="AC88" s="95">
        <f>IF('Final Calculation Sheet'!$AB$34="","",'Final Calculation Sheet'!$AB$34)</f>
        <v/>
      </c>
      <c r="AD88" s="95">
        <f>IF('Final Calculation Sheet'!$AC$34="","",'Final Calculation Sheet'!$AC$34)</f>
        <v/>
      </c>
      <c r="AE88" s="95">
        <f>IF('Final Calculation Sheet'!$AD$34="","",'Final Calculation Sheet'!$AD$34)</f>
        <v/>
      </c>
      <c r="AF88" s="100">
        <f>IF('Final Calculation Sheet'!$AD$34="","",IF('Final Calculation Sheet'!$AD$34&lt;=5,"SETTLED","OUTSTANDING"))</f>
        <v/>
      </c>
      <c r="AG88" s="95">
        <f>IF('Final Calculation Sheet'!$AF$34="","",'Final Calculation Sheet'!$AF$34)</f>
        <v/>
      </c>
      <c r="AH88" s="99">
        <f>IF('Final Calculation Sheet'!$AG$34="","",'Final Calculation Sheet'!$AG$34)</f>
        <v/>
      </c>
      <c r="AI88" s="95">
        <f>IF('Final Calculation Sheet'!$AH$34="","",'Final Calculation Sheet'!$AH$34)</f>
        <v/>
      </c>
    </row>
    <row r="89" outlineLevel="1" ht="15" customHeight="1" s="137">
      <c r="A89" s="67" t="n">
        <v>7</v>
      </c>
      <c r="B89" s="76">
        <f>IF('Final Calculation Sheet'!$F$36="","",'Final Calculation Sheet'!$F$36)</f>
        <v/>
      </c>
      <c r="C89" s="76">
        <f>IF('Final Calculation Sheet'!$G$36="","",'Final Calculation Sheet'!$G$36)</f>
        <v/>
      </c>
      <c r="D89" s="80">
        <f>IF('Final Calculation Sheet'!$B$36="","",'Final Calculation Sheet'!$B$36)</f>
        <v/>
      </c>
      <c r="E89" s="80">
        <f>IF('Final Calculation Sheet'!$D$36="","",'Final Calculation Sheet'!$D$36)</f>
        <v/>
      </c>
      <c r="F89" s="80">
        <f>IF('Final Calculation Sheet'!$A$36="","",'Final Calculation Sheet'!$A$36)</f>
        <v/>
      </c>
      <c r="G89" s="80">
        <f>IF('Final Calculation Sheet'!$E$36="","",'Final Calculation Sheet'!$E$36)</f>
        <v/>
      </c>
      <c r="H89" s="70">
        <f>IF('Final Calculation Sheet'!$C$36="","",'Final Calculation Sheet'!$C$36)</f>
        <v/>
      </c>
      <c r="I89" s="70">
        <f>IF('Final Calculation Sheet'!$H$36="","",'Final Calculation Sheet'!$H$36)</f>
        <v/>
      </c>
      <c r="J89" s="70">
        <f>IF('Final Calculation Sheet'!$I$36="","",'Final Calculation Sheet'!$I$36)</f>
        <v/>
      </c>
      <c r="K89" s="70">
        <f>IF('Final Calculation Sheet'!$J$36="","",'Final Calculation Sheet'!$J$36)</f>
        <v/>
      </c>
      <c r="L89" s="70">
        <f>IF('Final Calculation Sheet'!$K$36="","",'Final Calculation Sheet'!$K$36)</f>
        <v/>
      </c>
      <c r="M89" s="70">
        <f>IF('Final Calculation Sheet'!$L$36="","",'Final Calculation Sheet'!$L$36)</f>
        <v/>
      </c>
      <c r="N89" s="70">
        <f>IF('Final Calculation Sheet'!$M$36="","",'Final Calculation Sheet'!$M$36)</f>
        <v/>
      </c>
      <c r="O89" s="71">
        <f>IF('Final Calculation Sheet'!$N$36="","",'Final Calculation Sheet'!$N$36)</f>
        <v/>
      </c>
      <c r="P89" s="70">
        <f>IF('Final Calculation Sheet'!$O$36="","",'Final Calculation Sheet'!$O$36)</f>
        <v/>
      </c>
      <c r="Q89" s="70">
        <f>IF('Final Calculation Sheet'!$P$36="","",'Final Calculation Sheet'!$P$36)</f>
        <v/>
      </c>
      <c r="R89" s="72">
        <f>IF('Final Calculation Sheet'!$Q$36="","",'Final Calculation Sheet'!$Q$36)</f>
        <v/>
      </c>
      <c r="S89" s="70">
        <f>IF('Final Calculation Sheet'!$R$36="","",'Final Calculation Sheet'!$R$36)</f>
        <v/>
      </c>
      <c r="T89" s="70">
        <f>IF('Final Calculation Sheet'!$S$36="","",'Final Calculation Sheet'!$S$36)</f>
        <v/>
      </c>
      <c r="U89" s="70">
        <f>IF('Final Calculation Sheet'!$T$36="","",'Final Calculation Sheet'!$T$36)</f>
        <v/>
      </c>
      <c r="V89" s="73">
        <f>IF('Final Calculation Sheet'!$U$36="","",'Final Calculation Sheet'!$U$36)</f>
        <v/>
      </c>
      <c r="W89" s="70">
        <f>IF('Final Calculation Sheet'!$V$36="","",'Final Calculation Sheet'!$V$36)</f>
        <v/>
      </c>
      <c r="X89" s="70">
        <f>IF('Final Calculation Sheet'!$W$36="","",'Final Calculation Sheet'!$W$36)</f>
        <v/>
      </c>
      <c r="Y89" s="70">
        <f>IF('Final Calculation Sheet'!$X$36="","",'Final Calculation Sheet'!$X$36)</f>
        <v/>
      </c>
      <c r="Z89" s="70">
        <f>IF('Final Calculation Sheet'!$Y$36="","",'Final Calculation Sheet'!$Y$36)</f>
        <v/>
      </c>
      <c r="AA89" s="70">
        <f>IF('Final Calculation Sheet'!$Z$36="","",'Final Calculation Sheet'!$Z$36)</f>
        <v/>
      </c>
      <c r="AB89" s="70">
        <f>IF('Final Calculation Sheet'!$AA$36="","",'Final Calculation Sheet'!$AA$36)</f>
        <v/>
      </c>
      <c r="AC89" s="70">
        <f>IF('Final Calculation Sheet'!$AB$36="","",'Final Calculation Sheet'!$AB$36)</f>
        <v/>
      </c>
      <c r="AD89" s="70">
        <f>IF('Final Calculation Sheet'!$AC$36="","",'Final Calculation Sheet'!$AC$36)</f>
        <v/>
      </c>
      <c r="AE89" s="70">
        <f>IF('Final Calculation Sheet'!$AD$36="","",'Final Calculation Sheet'!$AD$36)</f>
        <v/>
      </c>
      <c r="AF89" s="75">
        <f>IF('Final Calculation Sheet'!$AD$36="","",IF('Final Calculation Sheet'!$AD$36&lt;=5,"SETTLED","OUTSTANDING"))</f>
        <v/>
      </c>
      <c r="AG89" s="70">
        <f>IF('Final Calculation Sheet'!$AF$36="","",'Final Calculation Sheet'!$AF$36)</f>
        <v/>
      </c>
      <c r="AH89" s="74">
        <f>IF('Final Calculation Sheet'!$AG$36="","",'Final Calculation Sheet'!$AG$36)</f>
        <v/>
      </c>
      <c r="AI89" s="70">
        <f>IF('Final Calculation Sheet'!$AH$36="","",'Final Calculation Sheet'!$AH$36)</f>
        <v/>
      </c>
    </row>
    <row r="90" ht="15" customHeight="1" s="137">
      <c r="A90" s="81" t="inlineStr">
        <is>
          <t>∑</t>
        </is>
      </c>
      <c r="B90" s="83" t="n"/>
      <c r="C90" s="83">
        <f>ROWS($C$83:$C$89)&amp;" lot(s)"</f>
        <v/>
      </c>
      <c r="D90" s="83" t="inlineStr">
        <is>
          <t>SUBTOTAL — STERLING ENTERPRISES</t>
        </is>
      </c>
      <c r="E90" s="83" t="inlineStr">
        <is>
          <t>–</t>
        </is>
      </c>
      <c r="F90" s="83">
        <f>SUM(F83:F89)</f>
        <v/>
      </c>
      <c r="G90" s="83" t="inlineStr">
        <is>
          <t>–</t>
        </is>
      </c>
      <c r="H90" s="84" t="inlineStr">
        <is>
          <t>–</t>
        </is>
      </c>
      <c r="I90" s="84">
        <f>SUM(I83:I89)</f>
        <v/>
      </c>
      <c r="J90" s="84">
        <f>SUM(J83:J89)</f>
        <v/>
      </c>
      <c r="K90" s="84">
        <f>SUM(K83:K89)</f>
        <v/>
      </c>
      <c r="L90" s="84">
        <f>SUM(L83:L89)</f>
        <v/>
      </c>
      <c r="M90" s="84">
        <f>SUM(M83:M89)</f>
        <v/>
      </c>
      <c r="N90" s="84">
        <f>SUM(N83:N89)</f>
        <v/>
      </c>
      <c r="O90" s="85">
        <f>SUM(O83:O89)</f>
        <v/>
      </c>
      <c r="P90" s="84">
        <f>SUM(P83:P89)</f>
        <v/>
      </c>
      <c r="Q90" s="84">
        <f>SUM(Q83:Q89)</f>
        <v/>
      </c>
      <c r="R90" s="86" t="inlineStr">
        <is>
          <t>–</t>
        </is>
      </c>
      <c r="S90" s="84">
        <f>SUM(S83:S89)</f>
        <v/>
      </c>
      <c r="T90" s="84">
        <f>SUM(T83:T89)</f>
        <v/>
      </c>
      <c r="U90" s="84">
        <f>SUM(U83:U89)</f>
        <v/>
      </c>
      <c r="V90" s="87">
        <f>SUM(V83:V89)</f>
        <v/>
      </c>
      <c r="W90" s="84" t="inlineStr">
        <is>
          <t>–</t>
        </is>
      </c>
      <c r="X90" s="84">
        <f>SUM(X83:X89)</f>
        <v/>
      </c>
      <c r="Y90" s="84">
        <f>SUM(Y83:Y89)</f>
        <v/>
      </c>
      <c r="Z90" s="84" t="inlineStr">
        <is>
          <t>–</t>
        </is>
      </c>
      <c r="AA90" s="84">
        <f>SUM(AA83:AA89)</f>
        <v/>
      </c>
      <c r="AB90" s="84">
        <f>SUM(AB83:AB89)</f>
        <v/>
      </c>
      <c r="AC90" s="84" t="inlineStr">
        <is>
          <t>–</t>
        </is>
      </c>
      <c r="AD90" s="84">
        <f>SUM(AD83:AD89)</f>
        <v/>
      </c>
      <c r="AE90" s="84">
        <f>SUM(AE83:AE89)</f>
        <v/>
      </c>
      <c r="AF90" s="89">
        <f>IF(AE90&lt;=5,"SETTLED","OUTSTANDING")</f>
        <v/>
      </c>
      <c r="AG90" s="84" t="inlineStr">
        <is>
          <t>–</t>
        </is>
      </c>
      <c r="AH90" s="88" t="inlineStr">
        <is>
          <t>–</t>
        </is>
      </c>
      <c r="AI90" s="84" t="inlineStr">
        <is>
          <t>–</t>
        </is>
      </c>
    </row>
    <row r="91" outlineLevel="1" ht="15" customHeight="1" s="137">
      <c r="A91" s="67" t="n">
        <v>1</v>
      </c>
      <c r="B91" s="76">
        <f>IF('Final Calculation Sheet'!$F$25="","",'Final Calculation Sheet'!$F$25)</f>
        <v/>
      </c>
      <c r="C91" s="76">
        <f>IF('Final Calculation Sheet'!$G$25="","",'Final Calculation Sheet'!$G$25)</f>
        <v/>
      </c>
      <c r="D91" s="80">
        <f>IF('Final Calculation Sheet'!$B$25="","",'Final Calculation Sheet'!$B$25)</f>
        <v/>
      </c>
      <c r="E91" s="80">
        <f>IF('Final Calculation Sheet'!$D$25="","",'Final Calculation Sheet'!$D$25)</f>
        <v/>
      </c>
      <c r="F91" s="80">
        <f>IF('Final Calculation Sheet'!$A$25="","",'Final Calculation Sheet'!$A$25)</f>
        <v/>
      </c>
      <c r="G91" s="80">
        <f>IF('Final Calculation Sheet'!$E$25="","",'Final Calculation Sheet'!$E$25)</f>
        <v/>
      </c>
      <c r="H91" s="70">
        <f>IF('Final Calculation Sheet'!$C$25="","",'Final Calculation Sheet'!$C$25)</f>
        <v/>
      </c>
      <c r="I91" s="70">
        <f>IF('Final Calculation Sheet'!$H$25="","",'Final Calculation Sheet'!$H$25)</f>
        <v/>
      </c>
      <c r="J91" s="70">
        <f>IF('Final Calculation Sheet'!$I$25="","",'Final Calculation Sheet'!$I$25)</f>
        <v/>
      </c>
      <c r="K91" s="70">
        <f>IF('Final Calculation Sheet'!$J$25="","",'Final Calculation Sheet'!$J$25)</f>
        <v/>
      </c>
      <c r="L91" s="70">
        <f>IF('Final Calculation Sheet'!$K$25="","",'Final Calculation Sheet'!$K$25)</f>
        <v/>
      </c>
      <c r="M91" s="70">
        <f>IF('Final Calculation Sheet'!$L$25="","",'Final Calculation Sheet'!$L$25)</f>
        <v/>
      </c>
      <c r="N91" s="70">
        <f>IF('Final Calculation Sheet'!$M$25="","",'Final Calculation Sheet'!$M$25)</f>
        <v/>
      </c>
      <c r="O91" s="71">
        <f>IF('Final Calculation Sheet'!$N$25="","",'Final Calculation Sheet'!$N$25)</f>
        <v/>
      </c>
      <c r="P91" s="70">
        <f>IF('Final Calculation Sheet'!$O$25="","",'Final Calculation Sheet'!$O$25)</f>
        <v/>
      </c>
      <c r="Q91" s="70">
        <f>IF('Final Calculation Sheet'!$P$25="","",'Final Calculation Sheet'!$P$25)</f>
        <v/>
      </c>
      <c r="R91" s="72">
        <f>IF('Final Calculation Sheet'!$Q$25="","",'Final Calculation Sheet'!$Q$25)</f>
        <v/>
      </c>
      <c r="S91" s="70">
        <f>IF('Final Calculation Sheet'!$R$25="","",'Final Calculation Sheet'!$R$25)</f>
        <v/>
      </c>
      <c r="T91" s="70">
        <f>IF('Final Calculation Sheet'!$S$25="","",'Final Calculation Sheet'!$S$25)</f>
        <v/>
      </c>
      <c r="U91" s="70">
        <f>IF('Final Calculation Sheet'!$T$25="","",'Final Calculation Sheet'!$T$25)</f>
        <v/>
      </c>
      <c r="V91" s="73">
        <f>IF('Final Calculation Sheet'!$U$25="","",'Final Calculation Sheet'!$U$25)</f>
        <v/>
      </c>
      <c r="W91" s="70">
        <f>IF('Final Calculation Sheet'!$V$25="","",'Final Calculation Sheet'!$V$25)</f>
        <v/>
      </c>
      <c r="X91" s="70">
        <f>IF('Final Calculation Sheet'!$W$25="","",'Final Calculation Sheet'!$W$25)</f>
        <v/>
      </c>
      <c r="Y91" s="70">
        <f>IF('Final Calculation Sheet'!$X$25="","",'Final Calculation Sheet'!$X$25)</f>
        <v/>
      </c>
      <c r="Z91" s="70">
        <f>IF('Final Calculation Sheet'!$Y$25="","",'Final Calculation Sheet'!$Y$25)</f>
        <v/>
      </c>
      <c r="AA91" s="70">
        <f>IF('Final Calculation Sheet'!$Z$25="","",'Final Calculation Sheet'!$Z$25)</f>
        <v/>
      </c>
      <c r="AB91" s="70">
        <f>IF('Final Calculation Sheet'!$AA$25="","",'Final Calculation Sheet'!$AA$25)</f>
        <v/>
      </c>
      <c r="AC91" s="70">
        <f>IF('Final Calculation Sheet'!$AB$25="","",'Final Calculation Sheet'!$AB$25)</f>
        <v/>
      </c>
      <c r="AD91" s="70">
        <f>IF('Final Calculation Sheet'!$AC$25="","",'Final Calculation Sheet'!$AC$25)</f>
        <v/>
      </c>
      <c r="AE91" s="70">
        <f>IF('Final Calculation Sheet'!$AD$25="","",'Final Calculation Sheet'!$AD$25)</f>
        <v/>
      </c>
      <c r="AF91" s="75">
        <f>IF('Final Calculation Sheet'!$AD$25="","",IF('Final Calculation Sheet'!$AD$25&lt;=5,"SETTLED","OUTSTANDING"))</f>
        <v/>
      </c>
      <c r="AG91" s="70">
        <f>IF('Final Calculation Sheet'!$AF$25="","",'Final Calculation Sheet'!$AF$25)</f>
        <v/>
      </c>
      <c r="AH91" s="74">
        <f>IF('Final Calculation Sheet'!$AG$25="","",'Final Calculation Sheet'!$AG$25)</f>
        <v/>
      </c>
      <c r="AI91" s="70">
        <f>IF('Final Calculation Sheet'!$AH$25="","",'Final Calculation Sheet'!$AH$25)</f>
        <v/>
      </c>
    </row>
    <row r="92" outlineLevel="1" ht="15" customHeight="1" s="137">
      <c r="A92" s="90" t="n">
        <v>2</v>
      </c>
      <c r="B92" s="92">
        <f>IF('Final Calculation Sheet'!$F$28="","",'Final Calculation Sheet'!$F$28)</f>
        <v/>
      </c>
      <c r="C92" s="92">
        <f>IF('Final Calculation Sheet'!$G$28="","",'Final Calculation Sheet'!$G$28)</f>
        <v/>
      </c>
      <c r="D92" s="94">
        <f>IF('Final Calculation Sheet'!$B$28="","",'Final Calculation Sheet'!$B$28)</f>
        <v/>
      </c>
      <c r="E92" s="94">
        <f>IF('Final Calculation Sheet'!$D$28="","",'Final Calculation Sheet'!$D$28)</f>
        <v/>
      </c>
      <c r="F92" s="94">
        <f>IF('Final Calculation Sheet'!$A$28="","",'Final Calculation Sheet'!$A$28)</f>
        <v/>
      </c>
      <c r="G92" s="94">
        <f>IF('Final Calculation Sheet'!$E$28="","",'Final Calculation Sheet'!$E$28)</f>
        <v/>
      </c>
      <c r="H92" s="95">
        <f>IF('Final Calculation Sheet'!$C$28="","",'Final Calculation Sheet'!$C$28)</f>
        <v/>
      </c>
      <c r="I92" s="95">
        <f>IF('Final Calculation Sheet'!$H$28="","",'Final Calculation Sheet'!$H$28)</f>
        <v/>
      </c>
      <c r="J92" s="95">
        <f>IF('Final Calculation Sheet'!$I$28="","",'Final Calculation Sheet'!$I$28)</f>
        <v/>
      </c>
      <c r="K92" s="95">
        <f>IF('Final Calculation Sheet'!$J$28="","",'Final Calculation Sheet'!$J$28)</f>
        <v/>
      </c>
      <c r="L92" s="95">
        <f>IF('Final Calculation Sheet'!$K$28="","",'Final Calculation Sheet'!$K$28)</f>
        <v/>
      </c>
      <c r="M92" s="95">
        <f>IF('Final Calculation Sheet'!$L$28="","",'Final Calculation Sheet'!$L$28)</f>
        <v/>
      </c>
      <c r="N92" s="95">
        <f>IF('Final Calculation Sheet'!$M$28="","",'Final Calculation Sheet'!$M$28)</f>
        <v/>
      </c>
      <c r="O92" s="96">
        <f>IF('Final Calculation Sheet'!$N$28="","",'Final Calculation Sheet'!$N$28)</f>
        <v/>
      </c>
      <c r="P92" s="95">
        <f>IF('Final Calculation Sheet'!$O$28="","",'Final Calculation Sheet'!$O$28)</f>
        <v/>
      </c>
      <c r="Q92" s="95">
        <f>IF('Final Calculation Sheet'!$P$28="","",'Final Calculation Sheet'!$P$28)</f>
        <v/>
      </c>
      <c r="R92" s="97">
        <f>IF('Final Calculation Sheet'!$Q$28="","",'Final Calculation Sheet'!$Q$28)</f>
        <v/>
      </c>
      <c r="S92" s="95">
        <f>IF('Final Calculation Sheet'!$R$28="","",'Final Calculation Sheet'!$R$28)</f>
        <v/>
      </c>
      <c r="T92" s="95">
        <f>IF('Final Calculation Sheet'!$S$28="","",'Final Calculation Sheet'!$S$28)</f>
        <v/>
      </c>
      <c r="U92" s="95">
        <f>IF('Final Calculation Sheet'!$T$28="","",'Final Calculation Sheet'!$T$28)</f>
        <v/>
      </c>
      <c r="V92" s="98">
        <f>IF('Final Calculation Sheet'!$U$28="","",'Final Calculation Sheet'!$U$28)</f>
        <v/>
      </c>
      <c r="W92" s="95">
        <f>IF('Final Calculation Sheet'!$V$28="","",'Final Calculation Sheet'!$V$28)</f>
        <v/>
      </c>
      <c r="X92" s="95">
        <f>IF('Final Calculation Sheet'!$W$28="","",'Final Calculation Sheet'!$W$28)</f>
        <v/>
      </c>
      <c r="Y92" s="95">
        <f>IF('Final Calculation Sheet'!$X$28="","",'Final Calculation Sheet'!$X$28)</f>
        <v/>
      </c>
      <c r="Z92" s="95">
        <f>IF('Final Calculation Sheet'!$Y$28="","",'Final Calculation Sheet'!$Y$28)</f>
        <v/>
      </c>
      <c r="AA92" s="95">
        <f>IF('Final Calculation Sheet'!$Z$28="","",'Final Calculation Sheet'!$Z$28)</f>
        <v/>
      </c>
      <c r="AB92" s="95">
        <f>IF('Final Calculation Sheet'!$AA$28="","",'Final Calculation Sheet'!$AA$28)</f>
        <v/>
      </c>
      <c r="AC92" s="95">
        <f>IF('Final Calculation Sheet'!$AB$28="","",'Final Calculation Sheet'!$AB$28)</f>
        <v/>
      </c>
      <c r="AD92" s="95">
        <f>IF('Final Calculation Sheet'!$AC$28="","",'Final Calculation Sheet'!$AC$28)</f>
        <v/>
      </c>
      <c r="AE92" s="95">
        <f>IF('Final Calculation Sheet'!$AD$28="","",'Final Calculation Sheet'!$AD$28)</f>
        <v/>
      </c>
      <c r="AF92" s="100">
        <f>IF('Final Calculation Sheet'!$AD$28="","",IF('Final Calculation Sheet'!$AD$28&lt;=5,"SETTLED","OUTSTANDING"))</f>
        <v/>
      </c>
      <c r="AG92" s="95">
        <f>IF('Final Calculation Sheet'!$AF$28="","",'Final Calculation Sheet'!$AF$28)</f>
        <v/>
      </c>
      <c r="AH92" s="99">
        <f>IF('Final Calculation Sheet'!$AG$28="","",'Final Calculation Sheet'!$AG$28)</f>
        <v/>
      </c>
      <c r="AI92" s="95">
        <f>IF('Final Calculation Sheet'!$AH$28="","",'Final Calculation Sheet'!$AH$28)</f>
        <v/>
      </c>
    </row>
    <row r="93" outlineLevel="1" ht="15" customHeight="1" s="137">
      <c r="A93" s="67" t="n">
        <v>3</v>
      </c>
      <c r="B93" s="76">
        <f>IF('Final Calculation Sheet'!$F$35="","",'Final Calculation Sheet'!$F$35)</f>
        <v/>
      </c>
      <c r="C93" s="76">
        <f>IF('Final Calculation Sheet'!$G$35="","",'Final Calculation Sheet'!$G$35)</f>
        <v/>
      </c>
      <c r="D93" s="80">
        <f>IF('Final Calculation Sheet'!$B$35="","",'Final Calculation Sheet'!$B$35)</f>
        <v/>
      </c>
      <c r="E93" s="80">
        <f>IF('Final Calculation Sheet'!$D$35="","",'Final Calculation Sheet'!$D$35)</f>
        <v/>
      </c>
      <c r="F93" s="80">
        <f>IF('Final Calculation Sheet'!$A$35="","",'Final Calculation Sheet'!$A$35)</f>
        <v/>
      </c>
      <c r="G93" s="80">
        <f>IF('Final Calculation Sheet'!$E$35="","",'Final Calculation Sheet'!$E$35)</f>
        <v/>
      </c>
      <c r="H93" s="70">
        <f>IF('Final Calculation Sheet'!$C$35="","",'Final Calculation Sheet'!$C$35)</f>
        <v/>
      </c>
      <c r="I93" s="70">
        <f>IF('Final Calculation Sheet'!$H$35="","",'Final Calculation Sheet'!$H$35)</f>
        <v/>
      </c>
      <c r="J93" s="70">
        <f>IF('Final Calculation Sheet'!$I$35="","",'Final Calculation Sheet'!$I$35)</f>
        <v/>
      </c>
      <c r="K93" s="70">
        <f>IF('Final Calculation Sheet'!$J$35="","",'Final Calculation Sheet'!$J$35)</f>
        <v/>
      </c>
      <c r="L93" s="70">
        <f>IF('Final Calculation Sheet'!$K$35="","",'Final Calculation Sheet'!$K$35)</f>
        <v/>
      </c>
      <c r="M93" s="70">
        <f>IF('Final Calculation Sheet'!$L$35="","",'Final Calculation Sheet'!$L$35)</f>
        <v/>
      </c>
      <c r="N93" s="70">
        <f>IF('Final Calculation Sheet'!$M$35="","",'Final Calculation Sheet'!$M$35)</f>
        <v/>
      </c>
      <c r="O93" s="71">
        <f>IF('Final Calculation Sheet'!$N$35="","",'Final Calculation Sheet'!$N$35)</f>
        <v/>
      </c>
      <c r="P93" s="70">
        <f>IF('Final Calculation Sheet'!$O$35="","",'Final Calculation Sheet'!$O$35)</f>
        <v/>
      </c>
      <c r="Q93" s="70">
        <f>IF('Final Calculation Sheet'!$P$35="","",'Final Calculation Sheet'!$P$35)</f>
        <v/>
      </c>
      <c r="R93" s="72">
        <f>IF('Final Calculation Sheet'!$Q$35="","",'Final Calculation Sheet'!$Q$35)</f>
        <v/>
      </c>
      <c r="S93" s="70">
        <f>IF('Final Calculation Sheet'!$R$35="","",'Final Calculation Sheet'!$R$35)</f>
        <v/>
      </c>
      <c r="T93" s="70">
        <f>IF('Final Calculation Sheet'!$S$35="","",'Final Calculation Sheet'!$S$35)</f>
        <v/>
      </c>
      <c r="U93" s="70">
        <f>IF('Final Calculation Sheet'!$T$35="","",'Final Calculation Sheet'!$T$35)</f>
        <v/>
      </c>
      <c r="V93" s="73">
        <f>IF('Final Calculation Sheet'!$U$35="","",'Final Calculation Sheet'!$U$35)</f>
        <v/>
      </c>
      <c r="W93" s="70">
        <f>IF('Final Calculation Sheet'!$V$35="","",'Final Calculation Sheet'!$V$35)</f>
        <v/>
      </c>
      <c r="X93" s="70">
        <f>IF('Final Calculation Sheet'!$W$35="","",'Final Calculation Sheet'!$W$35)</f>
        <v/>
      </c>
      <c r="Y93" s="70">
        <f>IF('Final Calculation Sheet'!$X$35="","",'Final Calculation Sheet'!$X$35)</f>
        <v/>
      </c>
      <c r="Z93" s="70">
        <f>IF('Final Calculation Sheet'!$Y$35="","",'Final Calculation Sheet'!$Y$35)</f>
        <v/>
      </c>
      <c r="AA93" s="70">
        <f>IF('Final Calculation Sheet'!$Z$35="","",'Final Calculation Sheet'!$Z$35)</f>
        <v/>
      </c>
      <c r="AB93" s="70">
        <f>IF('Final Calculation Sheet'!$AA$35="","",'Final Calculation Sheet'!$AA$35)</f>
        <v/>
      </c>
      <c r="AC93" s="70">
        <f>IF('Final Calculation Sheet'!$AB$35="","",'Final Calculation Sheet'!$AB$35)</f>
        <v/>
      </c>
      <c r="AD93" s="70">
        <f>IF('Final Calculation Sheet'!$AC$35="","",'Final Calculation Sheet'!$AC$35)</f>
        <v/>
      </c>
      <c r="AE93" s="70">
        <f>IF('Final Calculation Sheet'!$AD$35="","",'Final Calculation Sheet'!$AD$35)</f>
        <v/>
      </c>
      <c r="AF93" s="75">
        <f>IF('Final Calculation Sheet'!$AD$35="","",IF('Final Calculation Sheet'!$AD$35&lt;=5,"SETTLED","OUTSTANDING"))</f>
        <v/>
      </c>
      <c r="AG93" s="70">
        <f>IF('Final Calculation Sheet'!$AF$35="","",'Final Calculation Sheet'!$AF$35)</f>
        <v/>
      </c>
      <c r="AH93" s="74">
        <f>IF('Final Calculation Sheet'!$AG$35="","",'Final Calculation Sheet'!$AG$35)</f>
        <v/>
      </c>
      <c r="AI93" s="70">
        <f>IF('Final Calculation Sheet'!$AH$35="","",'Final Calculation Sheet'!$AH$35)</f>
        <v/>
      </c>
    </row>
    <row r="94" ht="15" customHeight="1" s="137">
      <c r="A94" s="81" t="inlineStr">
        <is>
          <t>∑</t>
        </is>
      </c>
      <c r="B94" s="83" t="n"/>
      <c r="C94" s="83">
        <f>ROWS($C$91:$C$93)&amp;" lot(s)"</f>
        <v/>
      </c>
      <c r="D94" s="83" t="inlineStr">
        <is>
          <t>SUBTOTAL — WATAN SCRAP TRADERS</t>
        </is>
      </c>
      <c r="E94" s="83" t="inlineStr">
        <is>
          <t>–</t>
        </is>
      </c>
      <c r="F94" s="83">
        <f>SUM(F91:F93)</f>
        <v/>
      </c>
      <c r="G94" s="83" t="inlineStr">
        <is>
          <t>–</t>
        </is>
      </c>
      <c r="H94" s="84" t="inlineStr">
        <is>
          <t>–</t>
        </is>
      </c>
      <c r="I94" s="84">
        <f>SUM(I91:I93)</f>
        <v/>
      </c>
      <c r="J94" s="84">
        <f>SUM(J91:J93)</f>
        <v/>
      </c>
      <c r="K94" s="84">
        <f>SUM(K91:K93)</f>
        <v/>
      </c>
      <c r="L94" s="84">
        <f>SUM(L91:L93)</f>
        <v/>
      </c>
      <c r="M94" s="84">
        <f>SUM(M91:M93)</f>
        <v/>
      </c>
      <c r="N94" s="84">
        <f>SUM(N91:N93)</f>
        <v/>
      </c>
      <c r="O94" s="85">
        <f>SUM(O91:O93)</f>
        <v/>
      </c>
      <c r="P94" s="84">
        <f>SUM(P91:P93)</f>
        <v/>
      </c>
      <c r="Q94" s="84">
        <f>SUM(Q91:Q93)</f>
        <v/>
      </c>
      <c r="R94" s="86" t="inlineStr">
        <is>
          <t>–</t>
        </is>
      </c>
      <c r="S94" s="84">
        <f>SUM(S91:S93)</f>
        <v/>
      </c>
      <c r="T94" s="84">
        <f>SUM(T91:T93)</f>
        <v/>
      </c>
      <c r="U94" s="84">
        <f>SUM(U91:U93)</f>
        <v/>
      </c>
      <c r="V94" s="87">
        <f>SUM(V91:V93)</f>
        <v/>
      </c>
      <c r="W94" s="84" t="inlineStr">
        <is>
          <t>–</t>
        </is>
      </c>
      <c r="X94" s="84">
        <f>SUM(X91:X93)</f>
        <v/>
      </c>
      <c r="Y94" s="84">
        <f>SUM(Y91:Y93)</f>
        <v/>
      </c>
      <c r="Z94" s="84" t="inlineStr">
        <is>
          <t>–</t>
        </is>
      </c>
      <c r="AA94" s="84">
        <f>SUM(AA91:AA93)</f>
        <v/>
      </c>
      <c r="AB94" s="84">
        <f>SUM(AB91:AB93)</f>
        <v/>
      </c>
      <c r="AC94" s="84" t="inlineStr">
        <is>
          <t>–</t>
        </is>
      </c>
      <c r="AD94" s="84">
        <f>SUM(AD91:AD93)</f>
        <v/>
      </c>
      <c r="AE94" s="84">
        <f>SUM(AE91:AE93)</f>
        <v/>
      </c>
      <c r="AF94" s="89">
        <f>IF(AE94&lt;=5,"SETTLED","OUTSTANDING")</f>
        <v/>
      </c>
      <c r="AG94" s="84" t="inlineStr">
        <is>
          <t>–</t>
        </is>
      </c>
      <c r="AH94" s="88" t="inlineStr">
        <is>
          <t>–</t>
        </is>
      </c>
      <c r="AI94" s="84" t="inlineStr">
        <is>
          <t>–</t>
        </is>
      </c>
    </row>
    <row r="95" ht="15" customHeight="1" s="137">
      <c r="A95" s="101" t="inlineStr">
        <is>
          <t>∑</t>
        </is>
      </c>
      <c r="B95" s="102" t="n"/>
      <c r="C95" s="102">
        <f>COUNTA('Final Calculation Sheet'!$G$4:$G$40)&amp;" lot(s)"</f>
        <v/>
      </c>
      <c r="D95" s="102" t="inlineStr">
        <is>
          <t>TOTAL — every buyer together</t>
        </is>
      </c>
      <c r="E95" s="102" t="inlineStr">
        <is>
          <t>–</t>
        </is>
      </c>
      <c r="F95" s="102">
        <f>SUM(F46,F49,F51,F53,F55,F69,F71,F74,F77,F79,F82,F90,F94)</f>
        <v/>
      </c>
      <c r="G95" s="102" t="inlineStr">
        <is>
          <t>–</t>
        </is>
      </c>
      <c r="H95" s="103" t="inlineStr">
        <is>
          <t>–</t>
        </is>
      </c>
      <c r="I95" s="103">
        <f>SUM(I46,I49,I51,I53,I55,I69,I71,I74,I77,I79,I82,I90,I94)</f>
        <v/>
      </c>
      <c r="J95" s="103">
        <f>SUM(J46,J49,J51,J53,J55,J69,J71,J74,J77,J79,J82,J90,J94)</f>
        <v/>
      </c>
      <c r="K95" s="103">
        <f>SUM(K46,K49,K51,K53,K55,K69,K71,K74,K77,K79,K82,K90,K94)</f>
        <v/>
      </c>
      <c r="L95" s="103">
        <f>SUM(L46,L49,L51,L53,L55,L69,L71,L74,L77,L79,L82,L90,L94)</f>
        <v/>
      </c>
      <c r="M95" s="103">
        <f>SUM(M46,M49,M51,M53,M55,M69,M71,M74,M77,M79,M82,M90,M94)</f>
        <v/>
      </c>
      <c r="N95" s="103">
        <f>SUM(N46,N49,N51,N53,N55,N69,N71,N74,N77,N79,N82,N90,N94)</f>
        <v/>
      </c>
      <c r="O95" s="104">
        <f>SUM(O46,O49,O51,O53,O55,O69,O71,O74,O77,O79,O82,O90,O94)</f>
        <v/>
      </c>
      <c r="P95" s="103">
        <f>SUM(P46,P49,P51,P53,P55,P69,P71,P74,P77,P79,P82,P90,P94)</f>
        <v/>
      </c>
      <c r="Q95" s="103">
        <f>SUM(Q46,Q49,Q51,Q53,Q55,Q69,Q71,Q74,Q77,Q79,Q82,Q90,Q94)</f>
        <v/>
      </c>
      <c r="R95" s="105" t="inlineStr">
        <is>
          <t>–</t>
        </is>
      </c>
      <c r="S95" s="103">
        <f>SUM(S46,S49,S51,S53,S55,S69,S71,S74,S77,S79,S82,S90,S94)</f>
        <v/>
      </c>
      <c r="T95" s="103">
        <f>SUM(T46,T49,T51,T53,T55,T69,T71,T74,T77,T79,T82,T90,T94)</f>
        <v/>
      </c>
      <c r="U95" s="103">
        <f>SUM(U46,U49,U51,U53,U55,U69,U71,U74,U77,U79,U82,U90,U94)</f>
        <v/>
      </c>
      <c r="V95" s="106">
        <f>SUM(V46,V49,V51,V53,V55,V69,V71,V74,V77,V79,V82,V90,V94)</f>
        <v/>
      </c>
      <c r="W95" s="103" t="inlineStr">
        <is>
          <t>–</t>
        </is>
      </c>
      <c r="X95" s="103">
        <f>SUM(X46,X49,X51,X53,X55,X69,X71,X74,X77,X79,X82,X90,X94)</f>
        <v/>
      </c>
      <c r="Y95" s="103">
        <f>SUM(Y46,Y49,Y51,Y53,Y55,Y69,Y71,Y74,Y77,Y79,Y82,Y90,Y94)</f>
        <v/>
      </c>
      <c r="Z95" s="103" t="inlineStr">
        <is>
          <t>–</t>
        </is>
      </c>
      <c r="AA95" s="103">
        <f>SUM(AA46,AA49,AA51,AA53,AA55,AA69,AA71,AA74,AA77,AA79,AA82,AA90,AA94)</f>
        <v/>
      </c>
      <c r="AB95" s="103">
        <f>SUM(AB46,AB49,AB51,AB53,AB55,AB69,AB71,AB74,AB77,AB79,AB82,AB90,AB94)</f>
        <v/>
      </c>
      <c r="AC95" s="103" t="inlineStr">
        <is>
          <t>–</t>
        </is>
      </c>
      <c r="AD95" s="103">
        <f>SUM(AD46,AD49,AD51,AD53,AD55,AD69,AD71,AD74,AD77,AD79,AD82,AD90,AD94)</f>
        <v/>
      </c>
      <c r="AE95" s="103">
        <f>SUM(AE46,AE49,AE51,AE53,AE55,AE69,AE71,AE74,AE77,AE79,AE82,AE90,AE94)</f>
        <v/>
      </c>
      <c r="AF95" s="108">
        <f>IF(AE95&lt;=5,"SETTLED","OUTSTANDING")</f>
        <v/>
      </c>
      <c r="AG95" s="103" t="inlineStr">
        <is>
          <t>–</t>
        </is>
      </c>
      <c r="AH95" s="107" t="inlineStr">
        <is>
          <t>–</t>
        </is>
      </c>
      <c r="AI95" s="103" t="inlineStr">
        <is>
          <t>–</t>
        </is>
      </c>
    </row>
    <row r="96" ht="15" customHeight="1" s="137">
      <c r="A96" s="109" t="inlineStr">
        <is>
          <t>∑</t>
        </is>
      </c>
      <c r="B96" s="110" t="n"/>
      <c r="C96" s="110">
        <f>COUNTA('Final Calculation Sheet'!$G$4:$G$40)&amp;" lot(s)"</f>
        <v/>
      </c>
      <c r="D96" s="110" t="inlineStr">
        <is>
          <t>GRAND TOTAL — cross-checked to source</t>
        </is>
      </c>
      <c r="E96" s="110" t="inlineStr">
        <is>
          <t>–</t>
        </is>
      </c>
      <c r="F96" s="110">
        <f>SUM('Final Calculation Sheet'!$A$4:$A$40)</f>
        <v/>
      </c>
      <c r="G96" s="110" t="inlineStr">
        <is>
          <t>–</t>
        </is>
      </c>
      <c r="H96" s="111" t="inlineStr">
        <is>
          <t>–</t>
        </is>
      </c>
      <c r="I96" s="111">
        <f>SUM('Final Calculation Sheet'!$H$4:$H$40)</f>
        <v/>
      </c>
      <c r="J96" s="111">
        <f>SUM('Final Calculation Sheet'!$I$4:$I$40)</f>
        <v/>
      </c>
      <c r="K96" s="111">
        <f>SUM('Final Calculation Sheet'!$J$4:$J$40)</f>
        <v/>
      </c>
      <c r="L96" s="111">
        <f>SUM('Final Calculation Sheet'!$K$4:$K$40)</f>
        <v/>
      </c>
      <c r="M96" s="111">
        <f>SUM('Final Calculation Sheet'!$L$4:$L$40)</f>
        <v/>
      </c>
      <c r="N96" s="111">
        <f>SUM('Final Calculation Sheet'!$M$4:$M$40)</f>
        <v/>
      </c>
      <c r="O96" s="112">
        <f>SUM('Final Calculation Sheet'!$N$4:$N$40)</f>
        <v/>
      </c>
      <c r="P96" s="111">
        <f>SUM('Final Calculation Sheet'!$O$4:$O$40)</f>
        <v/>
      </c>
      <c r="Q96" s="111">
        <f>SUM('Final Calculation Sheet'!$P$4:$P$40)</f>
        <v/>
      </c>
      <c r="R96" s="113" t="inlineStr">
        <is>
          <t>–</t>
        </is>
      </c>
      <c r="S96" s="111">
        <f>SUM('Final Calculation Sheet'!$R$4:$R$40)</f>
        <v/>
      </c>
      <c r="T96" s="111">
        <f>SUM('Final Calculation Sheet'!$S$4:$S$40)</f>
        <v/>
      </c>
      <c r="U96" s="111">
        <f>SUM('Final Calculation Sheet'!$T$4:$T$40)</f>
        <v/>
      </c>
      <c r="V96" s="114">
        <f>SUM('Final Calculation Sheet'!$U$4:$U$40)</f>
        <v/>
      </c>
      <c r="W96" s="111" t="inlineStr">
        <is>
          <t>–</t>
        </is>
      </c>
      <c r="X96" s="111">
        <f>SUM('Final Calculation Sheet'!$W$4:$W$40)</f>
        <v/>
      </c>
      <c r="Y96" s="111">
        <f>SUM('Final Calculation Sheet'!$X$4:$X$40)</f>
        <v/>
      </c>
      <c r="Z96" s="111" t="inlineStr">
        <is>
          <t>–</t>
        </is>
      </c>
      <c r="AA96" s="111">
        <f>SUM('Final Calculation Sheet'!$Z$4:$Z$40)</f>
        <v/>
      </c>
      <c r="AB96" s="111">
        <f>SUM('Final Calculation Sheet'!$AA$4:$AA$40)</f>
        <v/>
      </c>
      <c r="AC96" s="111" t="inlineStr">
        <is>
          <t>–</t>
        </is>
      </c>
      <c r="AD96" s="111">
        <f>SUM('Final Calculation Sheet'!$AC$4:$AC$40)</f>
        <v/>
      </c>
      <c r="AE96" s="111">
        <f>SUM('Final Calculation Sheet'!$AD$4:$AD$40)</f>
        <v/>
      </c>
      <c r="AF96" s="116">
        <f>IF(AE96&lt;=5,"SETTLED","OUTSTANDING")</f>
        <v/>
      </c>
      <c r="AG96" s="111" t="inlineStr">
        <is>
          <t>–</t>
        </is>
      </c>
      <c r="AH96" s="115" t="inlineStr">
        <is>
          <t>–</t>
        </is>
      </c>
      <c r="AI96" s="111" t="inlineStr">
        <is>
          <t>–</t>
        </is>
      </c>
    </row>
  </sheetData>
  <mergeCells count="2">
    <mergeCell ref="A2:AI2"/>
    <mergeCell ref="A1:AI1"/>
  </mergeCells>
  <conditionalFormatting sqref="A45:AI96">
    <cfRule type="expression" priority="1" dxfId="50">
      <formula>AND(ISNUMBER($A45),$B45&lt;&gt;"",COUNTIF($B$4:$AI$4,"&lt;&gt;")&gt;0,COUNTIFS($B$7:$B$43,$B45,$C$7:$C$43,$C45)=0)</formula>
    </cfRule>
  </conditionalFormatting>
  <conditionalFormatting sqref="AE45:AE96">
    <cfRule type="cellIs" priority="2" operator="greaterThan" dxfId="0">
      <formula>5</formula>
    </cfRule>
  </conditionalFormatting>
  <conditionalFormatting sqref="AF45:AF96">
    <cfRule type="cellIs" priority="3" operator="equal" dxfId="2">
      <formula>"SETTLED"</formula>
    </cfRule>
    <cfRule type="cellIs" priority="4" operator="equal" dxfId="0">
      <formula>"OUTSTANDING"</formula>
    </cfRule>
  </conditionalFormatting>
  <conditionalFormatting sqref="B45:B94">
    <cfRule type="expression" priority="5" dxfId="3">
      <formula>AND(ISNUMBER($A45),$B$4&lt;&gt;"",IF($B$4="(blank)",B45="",IF($B$4="(nonblank)",B45&lt;&gt;"",ISNUMBER(SEARCH($B$4,B45)))))</formula>
    </cfRule>
  </conditionalFormatting>
  <conditionalFormatting sqref="B7:B43">
    <cfRule type="expression" priority="42" dxfId="3">
      <formula>AND(ISNUMBER($A7),$B$4&lt;&gt;"",IF($B$4="(blank)",B7="",IF($B$4="(nonblank)",B7&lt;&gt;"",ISNUMBER(SEARCH($B$4,B7)))))</formula>
    </cfRule>
  </conditionalFormatting>
  <conditionalFormatting sqref="C45:C94">
    <cfRule type="expression" priority="6" dxfId="3">
      <formula>AND(ISNUMBER($A45),$C$4&lt;&gt;"",IF($C$4="(blank)",C45="",IF($C$4="(nonblank)",C45&lt;&gt;"",ISNUMBER(SEARCH($C$4,C45)))))</formula>
    </cfRule>
  </conditionalFormatting>
  <conditionalFormatting sqref="C7:C43">
    <cfRule type="expression" priority="43" dxfId="3">
      <formula>AND(ISNUMBER($A7),$C$4&lt;&gt;"",IF($C$4="(blank)",C7="",IF($C$4="(nonblank)",C7&lt;&gt;"",ISNUMBER(SEARCH($C$4,C7)))))</formula>
    </cfRule>
  </conditionalFormatting>
  <conditionalFormatting sqref="D45:D94">
    <cfRule type="expression" priority="7" dxfId="3">
      <formula>AND(ISNUMBER($A45),$D$4&lt;&gt;"",IF($D$4="(blank)",D45="",IF($D$4="(nonblank)",D45&lt;&gt;"",ISNUMBER(SEARCH($D$4,D45)))))</formula>
    </cfRule>
  </conditionalFormatting>
  <conditionalFormatting sqref="D7:D43">
    <cfRule type="expression" priority="44" dxfId="3">
      <formula>AND(ISNUMBER($A7),$D$4&lt;&gt;"",IF($D$4="(blank)",D7="",IF($D$4="(nonblank)",D7&lt;&gt;"",ISNUMBER(SEARCH($D$4,D7)))))</formula>
    </cfRule>
  </conditionalFormatting>
  <conditionalFormatting sqref="E45:E94">
    <cfRule type="expression" priority="8" dxfId="3">
      <formula>AND(ISNUMBER($A45),$E$4&lt;&gt;"",IF($E$4="(blank)",E45="",IF($E$4="(nonblank)",E45&lt;&gt;"",ISNUMBER(SEARCH($E$4,E45)))))</formula>
    </cfRule>
  </conditionalFormatting>
  <conditionalFormatting sqref="E7:E43">
    <cfRule type="expression" priority="45" dxfId="3">
      <formula>AND(ISNUMBER($A7),$E$4&lt;&gt;"",IF($E$4="(blank)",E7="",IF($E$4="(nonblank)",E7&lt;&gt;"",ISNUMBER(SEARCH($E$4,E7)))))</formula>
    </cfRule>
  </conditionalFormatting>
  <conditionalFormatting sqref="F45:F94">
    <cfRule type="expression" priority="9" dxfId="3">
      <formula>AND(ISNUMBER($A45),$F$4&lt;&gt;"",IF($F$4="(blank)",F45="",IF($F$4="(nonblank)",F45&lt;&gt;"",ISNUMBER(SEARCH($F$4,F45)))))</formula>
    </cfRule>
  </conditionalFormatting>
  <conditionalFormatting sqref="F7:F43">
    <cfRule type="expression" priority="46" dxfId="3">
      <formula>AND(ISNUMBER($A7),$F$4&lt;&gt;"",IF($F$4="(blank)",F7="",IF($F$4="(nonblank)",F7&lt;&gt;"",ISNUMBER(SEARCH($F$4,F7)))))</formula>
    </cfRule>
  </conditionalFormatting>
  <conditionalFormatting sqref="G45:G94">
    <cfRule type="expression" priority="10" dxfId="3">
      <formula>AND(ISNUMBER($A45),$G$4&lt;&gt;"",IF($G$4="(blank)",G45="",IF($G$4="(nonblank)",G45&lt;&gt;"",ISNUMBER(SEARCH($G$4,G45)))))</formula>
    </cfRule>
  </conditionalFormatting>
  <conditionalFormatting sqref="G7:G43">
    <cfRule type="expression" priority="47" dxfId="3">
      <formula>AND(ISNUMBER($A7),$G$4&lt;&gt;"",IF($G$4="(blank)",G7="",IF($G$4="(nonblank)",G7&lt;&gt;"",ISNUMBER(SEARCH($G$4,G7)))))</formula>
    </cfRule>
  </conditionalFormatting>
  <conditionalFormatting sqref="H45:H94">
    <cfRule type="expression" priority="11" dxfId="3">
      <formula>AND(ISNUMBER($A45),$H$4&lt;&gt;"",IF($H$4="(blank)",H45="",IF($H$4="(nonblank)",H45&lt;&gt;"",ISNUMBER(SEARCH($H$4,H45)))))</formula>
    </cfRule>
  </conditionalFormatting>
  <conditionalFormatting sqref="H7:H43">
    <cfRule type="expression" priority="48" dxfId="3">
      <formula>AND(ISNUMBER($A7),$H$4&lt;&gt;"",IF($H$4="(blank)",H7="",IF($H$4="(nonblank)",H7&lt;&gt;"",ISNUMBER(SEARCH($H$4,H7)))))</formula>
    </cfRule>
  </conditionalFormatting>
  <conditionalFormatting sqref="I45:I94">
    <cfRule type="expression" priority="12" dxfId="3">
      <formula>AND(ISNUMBER($A45),$I$4&lt;&gt;"",IF($I$4="(blank)",I45="",IF($I$4="(nonblank)",I45&lt;&gt;"",ISNUMBER(SEARCH($I$4,I45)))))</formula>
    </cfRule>
  </conditionalFormatting>
  <conditionalFormatting sqref="I7:I43">
    <cfRule type="expression" priority="49" dxfId="3">
      <formula>AND(ISNUMBER($A7),$I$4&lt;&gt;"",IF($I$4="(blank)",I7="",IF($I$4="(nonblank)",I7&lt;&gt;"",ISNUMBER(SEARCH($I$4,I7)))))</formula>
    </cfRule>
  </conditionalFormatting>
  <conditionalFormatting sqref="J45:J94">
    <cfRule type="expression" priority="13" dxfId="3">
      <formula>AND(ISNUMBER($A45),$J$4&lt;&gt;"",IF($J$4="(blank)",J45="",IF($J$4="(nonblank)",J45&lt;&gt;"",ISNUMBER(SEARCH($J$4,J45)))))</formula>
    </cfRule>
  </conditionalFormatting>
  <conditionalFormatting sqref="J7:J43">
    <cfRule type="expression" priority="50" dxfId="3">
      <formula>AND(ISNUMBER($A7),$J$4&lt;&gt;"",IF($J$4="(blank)",J7="",IF($J$4="(nonblank)",J7&lt;&gt;"",ISNUMBER(SEARCH($J$4,J7)))))</formula>
    </cfRule>
  </conditionalFormatting>
  <conditionalFormatting sqref="K45:K94">
    <cfRule type="expression" priority="14" dxfId="3">
      <formula>AND(ISNUMBER($A45),$K$4&lt;&gt;"",IF($K$4="(blank)",K45="",IF($K$4="(nonblank)",K45&lt;&gt;"",ISNUMBER(SEARCH($K$4,K45)))))</formula>
    </cfRule>
  </conditionalFormatting>
  <conditionalFormatting sqref="K7:K43">
    <cfRule type="expression" priority="51" dxfId="3">
      <formula>AND(ISNUMBER($A7),$K$4&lt;&gt;"",IF($K$4="(blank)",K7="",IF($K$4="(nonblank)",K7&lt;&gt;"",ISNUMBER(SEARCH($K$4,K7)))))</formula>
    </cfRule>
  </conditionalFormatting>
  <conditionalFormatting sqref="L45:L94">
    <cfRule type="expression" priority="15" dxfId="3">
      <formula>AND(ISNUMBER($A45),$L$4&lt;&gt;"",IF($L$4="(blank)",L45="",IF($L$4="(nonblank)",L45&lt;&gt;"",ISNUMBER(SEARCH($L$4,L45)))))</formula>
    </cfRule>
  </conditionalFormatting>
  <conditionalFormatting sqref="L7:L43">
    <cfRule type="expression" priority="52" dxfId="3">
      <formula>AND(ISNUMBER($A7),$L$4&lt;&gt;"",IF($L$4="(blank)",L7="",IF($L$4="(nonblank)",L7&lt;&gt;"",ISNUMBER(SEARCH($L$4,L7)))))</formula>
    </cfRule>
  </conditionalFormatting>
  <conditionalFormatting sqref="M45:M94">
    <cfRule type="expression" priority="16" dxfId="3">
      <formula>AND(ISNUMBER($A45),$M$4&lt;&gt;"",IF($M$4="(blank)",M45="",IF($M$4="(nonblank)",M45&lt;&gt;"",ISNUMBER(SEARCH($M$4,M45)))))</formula>
    </cfRule>
  </conditionalFormatting>
  <conditionalFormatting sqref="M7:M43">
    <cfRule type="expression" priority="53" dxfId="3">
      <formula>AND(ISNUMBER($A7),$M$4&lt;&gt;"",IF($M$4="(blank)",M7="",IF($M$4="(nonblank)",M7&lt;&gt;"",ISNUMBER(SEARCH($M$4,M7)))))</formula>
    </cfRule>
  </conditionalFormatting>
  <conditionalFormatting sqref="N45:N94">
    <cfRule type="expression" priority="17" dxfId="3">
      <formula>AND(ISNUMBER($A45),$N$4&lt;&gt;"",IF($N$4="(blank)",N45="",IF($N$4="(nonblank)",N45&lt;&gt;"",ISNUMBER(SEARCH($N$4,N45)))))</formula>
    </cfRule>
  </conditionalFormatting>
  <conditionalFormatting sqref="N7:N43">
    <cfRule type="expression" priority="54" dxfId="3">
      <formula>AND(ISNUMBER($A7),$N$4&lt;&gt;"",IF($N$4="(blank)",N7="",IF($N$4="(nonblank)",N7&lt;&gt;"",ISNUMBER(SEARCH($N$4,N7)))))</formula>
    </cfRule>
  </conditionalFormatting>
  <conditionalFormatting sqref="O45:O94">
    <cfRule type="expression" priority="18" dxfId="3">
      <formula>AND(ISNUMBER($A45),$O$4&lt;&gt;"",IF($O$4="(blank)",O45="",IF($O$4="(nonblank)",O45&lt;&gt;"",ISNUMBER(SEARCH($O$4,O45)))))</formula>
    </cfRule>
  </conditionalFormatting>
  <conditionalFormatting sqref="O7:O43">
    <cfRule type="expression" priority="55" dxfId="3">
      <formula>AND(ISNUMBER($A7),$O$4&lt;&gt;"",IF($O$4="(blank)",O7="",IF($O$4="(nonblank)",O7&lt;&gt;"",ISNUMBER(SEARCH($O$4,O7)))))</formula>
    </cfRule>
  </conditionalFormatting>
  <conditionalFormatting sqref="P45:P94">
    <cfRule type="expression" priority="19" dxfId="3">
      <formula>AND(ISNUMBER($A45),$P$4&lt;&gt;"",IF($P$4="(blank)",P45="",IF($P$4="(nonblank)",P45&lt;&gt;"",ISNUMBER(SEARCH($P$4,P45)))))</formula>
    </cfRule>
  </conditionalFormatting>
  <conditionalFormatting sqref="P7:P43">
    <cfRule type="expression" priority="56" dxfId="3">
      <formula>AND(ISNUMBER($A7),$P$4&lt;&gt;"",IF($P$4="(blank)",P7="",IF($P$4="(nonblank)",P7&lt;&gt;"",ISNUMBER(SEARCH($P$4,P7)))))</formula>
    </cfRule>
  </conditionalFormatting>
  <conditionalFormatting sqref="Q45:Q94">
    <cfRule type="expression" priority="20" dxfId="3">
      <formula>AND(ISNUMBER($A45),$Q$4&lt;&gt;"",IF($Q$4="(blank)",Q45="",IF($Q$4="(nonblank)",Q45&lt;&gt;"",ISNUMBER(SEARCH($Q$4,Q45)))))</formula>
    </cfRule>
  </conditionalFormatting>
  <conditionalFormatting sqref="Q7:Q43">
    <cfRule type="expression" priority="57" dxfId="3">
      <formula>AND(ISNUMBER($A7),$Q$4&lt;&gt;"",IF($Q$4="(blank)",Q7="",IF($Q$4="(nonblank)",Q7&lt;&gt;"",ISNUMBER(SEARCH($Q$4,Q7)))))</formula>
    </cfRule>
  </conditionalFormatting>
  <conditionalFormatting sqref="R45:R94">
    <cfRule type="expression" priority="21" dxfId="3">
      <formula>AND(ISNUMBER($A45),$R$4&lt;&gt;"",IF($R$4="(blank)",R45="",IF($R$4="(nonblank)",R45&lt;&gt;"",ISNUMBER(SEARCH($R$4,R45)))))</formula>
    </cfRule>
  </conditionalFormatting>
  <conditionalFormatting sqref="R7:R43">
    <cfRule type="expression" priority="58" dxfId="3">
      <formula>AND(ISNUMBER($A7),$R$4&lt;&gt;"",IF($R$4="(blank)",R7="",IF($R$4="(nonblank)",R7&lt;&gt;"",ISNUMBER(SEARCH($R$4,R7)))))</formula>
    </cfRule>
  </conditionalFormatting>
  <conditionalFormatting sqref="S45:S94">
    <cfRule type="expression" priority="22" dxfId="3">
      <formula>AND(ISNUMBER($A45),$S$4&lt;&gt;"",IF($S$4="(blank)",S45="",IF($S$4="(nonblank)",S45&lt;&gt;"",ISNUMBER(SEARCH($S$4,S45)))))</formula>
    </cfRule>
  </conditionalFormatting>
  <conditionalFormatting sqref="S7:S43">
    <cfRule type="expression" priority="59" dxfId="3">
      <formula>AND(ISNUMBER($A7),$S$4&lt;&gt;"",IF($S$4="(blank)",S7="",IF($S$4="(nonblank)",S7&lt;&gt;"",ISNUMBER(SEARCH($S$4,S7)))))</formula>
    </cfRule>
  </conditionalFormatting>
  <conditionalFormatting sqref="T45:T94">
    <cfRule type="expression" priority="23" dxfId="3">
      <formula>AND(ISNUMBER($A45),$T$4&lt;&gt;"",IF($T$4="(blank)",T45="",IF($T$4="(nonblank)",T45&lt;&gt;"",ISNUMBER(SEARCH($T$4,T45)))))</formula>
    </cfRule>
  </conditionalFormatting>
  <conditionalFormatting sqref="T7:T43">
    <cfRule type="expression" priority="60" dxfId="3">
      <formula>AND(ISNUMBER($A7),$T$4&lt;&gt;"",IF($T$4="(blank)",T7="",IF($T$4="(nonblank)",T7&lt;&gt;"",ISNUMBER(SEARCH($T$4,T7)))))</formula>
    </cfRule>
  </conditionalFormatting>
  <conditionalFormatting sqref="U45:U94">
    <cfRule type="expression" priority="24" dxfId="3">
      <formula>AND(ISNUMBER($A45),$U$4&lt;&gt;"",IF($U$4="(blank)",U45="",IF($U$4="(nonblank)",U45&lt;&gt;"",ISNUMBER(SEARCH($U$4,U45)))))</formula>
    </cfRule>
  </conditionalFormatting>
  <conditionalFormatting sqref="U7:U43">
    <cfRule type="expression" priority="61" dxfId="3">
      <formula>AND(ISNUMBER($A7),$U$4&lt;&gt;"",IF($U$4="(blank)",U7="",IF($U$4="(nonblank)",U7&lt;&gt;"",ISNUMBER(SEARCH($U$4,U7)))))</formula>
    </cfRule>
  </conditionalFormatting>
  <conditionalFormatting sqref="V45:V94">
    <cfRule type="expression" priority="25" dxfId="3">
      <formula>AND(ISNUMBER($A45),$V$4&lt;&gt;"",IF($V$4="(blank)",V45="",IF($V$4="(nonblank)",V45&lt;&gt;"",ISNUMBER(SEARCH($V$4,V45)))))</formula>
    </cfRule>
  </conditionalFormatting>
  <conditionalFormatting sqref="V7:V43">
    <cfRule type="expression" priority="62" dxfId="3">
      <formula>AND(ISNUMBER($A7),$V$4&lt;&gt;"",IF($V$4="(blank)",V7="",IF($V$4="(nonblank)",V7&lt;&gt;"",ISNUMBER(SEARCH($V$4,V7)))))</formula>
    </cfRule>
  </conditionalFormatting>
  <conditionalFormatting sqref="W45:W94">
    <cfRule type="expression" priority="26" dxfId="3">
      <formula>AND(ISNUMBER($A45),$W$4&lt;&gt;"",IF($W$4="(blank)",W45="",IF($W$4="(nonblank)",W45&lt;&gt;"",ISNUMBER(SEARCH($W$4,W45)))))</formula>
    </cfRule>
  </conditionalFormatting>
  <conditionalFormatting sqref="W7:W43">
    <cfRule type="expression" priority="63" dxfId="3">
      <formula>AND(ISNUMBER($A7),$W$4&lt;&gt;"",IF($W$4="(blank)",W7="",IF($W$4="(nonblank)",W7&lt;&gt;"",ISNUMBER(SEARCH($W$4,W7)))))</formula>
    </cfRule>
  </conditionalFormatting>
  <conditionalFormatting sqref="X45:X94">
    <cfRule type="expression" priority="27" dxfId="3">
      <formula>AND(ISNUMBER($A45),$X$4&lt;&gt;"",IF($X$4="(blank)",X45="",IF($X$4="(nonblank)",X45&lt;&gt;"",ISNUMBER(SEARCH($X$4,X45)))))</formula>
    </cfRule>
  </conditionalFormatting>
  <conditionalFormatting sqref="X7:X43">
    <cfRule type="expression" priority="64" dxfId="3">
      <formula>AND(ISNUMBER($A7),$X$4&lt;&gt;"",IF($X$4="(blank)",X7="",IF($X$4="(nonblank)",X7&lt;&gt;"",ISNUMBER(SEARCH($X$4,X7)))))</formula>
    </cfRule>
  </conditionalFormatting>
  <conditionalFormatting sqref="Y45:Y94">
    <cfRule type="expression" priority="28" dxfId="3">
      <formula>AND(ISNUMBER($A45),$Y$4&lt;&gt;"",IF($Y$4="(blank)",Y45="",IF($Y$4="(nonblank)",Y45&lt;&gt;"",ISNUMBER(SEARCH($Y$4,Y45)))))</formula>
    </cfRule>
  </conditionalFormatting>
  <conditionalFormatting sqref="Y7:Y43">
    <cfRule type="expression" priority="65" dxfId="3">
      <formula>AND(ISNUMBER($A7),$Y$4&lt;&gt;"",IF($Y$4="(blank)",Y7="",IF($Y$4="(nonblank)",Y7&lt;&gt;"",ISNUMBER(SEARCH($Y$4,Y7)))))</formula>
    </cfRule>
  </conditionalFormatting>
  <conditionalFormatting sqref="Z45:Z94">
    <cfRule type="expression" priority="29" dxfId="3">
      <formula>AND(ISNUMBER($A45),$Z$4&lt;&gt;"",IF($Z$4="(blank)",Z45="",IF($Z$4="(nonblank)",Z45&lt;&gt;"",ISNUMBER(SEARCH($Z$4,Z45)))))</formula>
    </cfRule>
  </conditionalFormatting>
  <conditionalFormatting sqref="Z7:Z43">
    <cfRule type="expression" priority="66" dxfId="3">
      <formula>AND(ISNUMBER($A7),$Z$4&lt;&gt;"",IF($Z$4="(blank)",Z7="",IF($Z$4="(nonblank)",Z7&lt;&gt;"",ISNUMBER(SEARCH($Z$4,Z7)))))</formula>
    </cfRule>
  </conditionalFormatting>
  <conditionalFormatting sqref="AA45:AA94">
    <cfRule type="expression" priority="30" dxfId="3">
      <formula>AND(ISNUMBER($A45),$AA$4&lt;&gt;"",IF($AA$4="(blank)",AA45="",IF($AA$4="(nonblank)",AA45&lt;&gt;"",ISNUMBER(SEARCH($AA$4,AA45)))))</formula>
    </cfRule>
  </conditionalFormatting>
  <conditionalFormatting sqref="AA7:AA43">
    <cfRule type="expression" priority="67" dxfId="3">
      <formula>AND(ISNUMBER($A7),$AA$4&lt;&gt;"",IF($AA$4="(blank)",AA7="",IF($AA$4="(nonblank)",AA7&lt;&gt;"",ISNUMBER(SEARCH($AA$4,AA7)))))</formula>
    </cfRule>
  </conditionalFormatting>
  <conditionalFormatting sqref="AB45:AB94">
    <cfRule type="expression" priority="31" dxfId="3">
      <formula>AND(ISNUMBER($A45),$AB$4&lt;&gt;"",IF($AB$4="(blank)",AB45="",IF($AB$4="(nonblank)",AB45&lt;&gt;"",ISNUMBER(SEARCH($AB$4,AB45)))))</formula>
    </cfRule>
  </conditionalFormatting>
  <conditionalFormatting sqref="AB7:AB43">
    <cfRule type="expression" priority="68" dxfId="3">
      <formula>AND(ISNUMBER($A7),$AB$4&lt;&gt;"",IF($AB$4="(blank)",AB7="",IF($AB$4="(nonblank)",AB7&lt;&gt;"",ISNUMBER(SEARCH($AB$4,AB7)))))</formula>
    </cfRule>
  </conditionalFormatting>
  <conditionalFormatting sqref="AC45:AC94">
    <cfRule type="expression" priority="32" dxfId="3">
      <formula>AND(ISNUMBER($A45),$AC$4&lt;&gt;"",IF($AC$4="(blank)",AC45="",IF($AC$4="(nonblank)",AC45&lt;&gt;"",ISNUMBER(SEARCH($AC$4,AC45)))))</formula>
    </cfRule>
  </conditionalFormatting>
  <conditionalFormatting sqref="AC7:AC43">
    <cfRule type="expression" priority="69" dxfId="3">
      <formula>AND(ISNUMBER($A7),$AC$4&lt;&gt;"",IF($AC$4="(blank)",AC7="",IF($AC$4="(nonblank)",AC7&lt;&gt;"",ISNUMBER(SEARCH($AC$4,AC7)))))</formula>
    </cfRule>
  </conditionalFormatting>
  <conditionalFormatting sqref="AD45:AD94">
    <cfRule type="expression" priority="33" dxfId="3">
      <formula>AND(ISNUMBER($A45),$AD$4&lt;&gt;"",IF($AD$4="(blank)",AD45="",IF($AD$4="(nonblank)",AD45&lt;&gt;"",ISNUMBER(SEARCH($AD$4,AD45)))))</formula>
    </cfRule>
  </conditionalFormatting>
  <conditionalFormatting sqref="AD7:AD43">
    <cfRule type="expression" priority="70" dxfId="3">
      <formula>AND(ISNUMBER($A7),$AD$4&lt;&gt;"",IF($AD$4="(blank)",AD7="",IF($AD$4="(nonblank)",AD7&lt;&gt;"",ISNUMBER(SEARCH($AD$4,AD7)))))</formula>
    </cfRule>
  </conditionalFormatting>
  <conditionalFormatting sqref="AE45:AE94">
    <cfRule type="expression" priority="34" dxfId="3">
      <formula>AND(ISNUMBER($A45),$AE$4&lt;&gt;"",IF($AE$4="(blank)",AE45="",IF($AE$4="(nonblank)",AE45&lt;&gt;"",ISNUMBER(SEARCH($AE$4,AE45)))))</formula>
    </cfRule>
  </conditionalFormatting>
  <conditionalFormatting sqref="AE7:AE43">
    <cfRule type="expression" priority="71" dxfId="3">
      <formula>AND(ISNUMBER($A7),$AE$4&lt;&gt;"",IF($AE$4="(blank)",AE7="",IF($AE$4="(nonblank)",AE7&lt;&gt;"",ISNUMBER(SEARCH($AE$4,AE7)))))</formula>
    </cfRule>
  </conditionalFormatting>
  <conditionalFormatting sqref="AG45:AG94">
    <cfRule type="expression" priority="35" dxfId="3">
      <formula>AND(ISNUMBER($A45),$AG$4&lt;&gt;"",IF($AG$4="(blank)",AG45="",IF($AG$4="(nonblank)",AG45&lt;&gt;"",ISNUMBER(SEARCH($AG$4,AG45)))))</formula>
    </cfRule>
  </conditionalFormatting>
  <conditionalFormatting sqref="AG7:AG43">
    <cfRule type="expression" priority="72" dxfId="3">
      <formula>AND(ISNUMBER($A7),$AG$4&lt;&gt;"",IF($AG$4="(blank)",AG7="",IF($AG$4="(nonblank)",AG7&lt;&gt;"",ISNUMBER(SEARCH($AG$4,AG7)))))</formula>
    </cfRule>
  </conditionalFormatting>
  <conditionalFormatting sqref="AH45:AH94">
    <cfRule type="expression" priority="36" dxfId="3">
      <formula>AND(ISNUMBER($A45),$AH$4&lt;&gt;"",IF($AH$4="(blank)",AH45="",IF($AH$4="(nonblank)",AH45&lt;&gt;"",ISNUMBER(SEARCH($AH$4,AH45)))))</formula>
    </cfRule>
  </conditionalFormatting>
  <conditionalFormatting sqref="AH7:AH43">
    <cfRule type="expression" priority="73" dxfId="3">
      <formula>AND(ISNUMBER($A7),$AH$4&lt;&gt;"",IF($AH$4="(blank)",AH7="",IF($AH$4="(nonblank)",AH7&lt;&gt;"",ISNUMBER(SEARCH($AH$4,AH7)))))</formula>
    </cfRule>
  </conditionalFormatting>
  <conditionalFormatting sqref="AI45:AI94">
    <cfRule type="expression" priority="37" dxfId="3">
      <formula>AND(ISNUMBER($A45),$AI$4&lt;&gt;"",IF($AI$4="(blank)",AI45="",IF($AI$4="(nonblank)",AI45&lt;&gt;"",ISNUMBER(SEARCH($AI$4,AI45)))))</formula>
    </cfRule>
  </conditionalFormatting>
  <conditionalFormatting sqref="AI7:AI43">
    <cfRule type="expression" priority="74" dxfId="3">
      <formula>AND(ISNUMBER($A7),$AI$4&lt;&gt;"",IF($AI$4="(blank)",AI7="",IF($AI$4="(nonblank)",AI7&lt;&gt;"",ISNUMBER(SEARCH($AI$4,AI7)))))</formula>
    </cfRule>
  </conditionalFormatting>
  <conditionalFormatting sqref="AF45:AF94">
    <cfRule type="expression" priority="38" dxfId="3">
      <formula>AND(ISNUMBER($A45),$AF$4&lt;&gt;"",IF($AF$4="(blank)",AF45="",IF($AF$4="(nonblank)",AF45&lt;&gt;"",ISNUMBER(SEARCH($AF$4,AF45)))))</formula>
    </cfRule>
  </conditionalFormatting>
  <conditionalFormatting sqref="AF7:AF43">
    <cfRule type="expression" priority="75" dxfId="3">
      <formula>AND(ISNUMBER($A7),$AF$4&lt;&gt;"",IF($AF$4="(blank)",AF7="",IF($AF$4="(nonblank)",AF7&lt;&gt;"",ISNUMBER(SEARCH($AF$4,AF7)))))</formula>
    </cfRule>
  </conditionalFormatting>
  <conditionalFormatting sqref="AF7:AF43">
    <cfRule type="cellIs" priority="39" operator="equal" dxfId="2">
      <formula>"SETTLED"</formula>
    </cfRule>
    <cfRule type="cellIs" priority="40" operator="equal" dxfId="0">
      <formula>"OUTSTANDING"</formula>
    </cfRule>
  </conditionalFormatting>
  <conditionalFormatting sqref="AE7:AE43">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Groups'!DH6:EN6,0)&gt;0,0,1)</f>
        <v/>
      </c>
      <c r="LF6">
        <f>IF($O$6="",FALSE,SUMPRODUCT(('Final Calculation Sheet'!$F$4:$F$40=$O$6)*($LE$6:$LE$42=1))&gt;0)</f>
        <v/>
      </c>
      <c r="LG6">
        <f>$LG$5+--($LF6)</f>
        <v/>
      </c>
      <c r="LH6">
        <f>IF(ROW()-3&gt;MAX($LG$4:$LG$40),"",INDEX($O$4:$O$40,MATCH(ROW()-3,$LG$4:$LG$40,0)))</f>
        <v/>
      </c>
      <c r="LI6">
        <f>IF(COUNTIF('Buyer Groups'!DG6:DG6,0)+COUNTIF('Buyer Groups'!DI6:EN6,0)&gt;0,0,1)</f>
        <v/>
      </c>
      <c r="LJ6">
        <f>IF($T$6="",FALSE,SUMPRODUCT(('Final Calculation Sheet'!$G$4:$G$40=$T$6)*($LI$6:$LI$42=1))&gt;0)</f>
        <v/>
      </c>
      <c r="LK6">
        <f>$LK$5+--($LJ6)</f>
        <v/>
      </c>
      <c r="LL6">
        <f>IF(ROW()-3&gt;MAX($LK$4:$LK$40),"",INDEX($T$4:$T$40,MATCH(ROW()-3,$LK$4:$LK$40,0)))</f>
        <v/>
      </c>
      <c r="LM6">
        <f>IF(COUNTIF('Buyer Groups'!DG6:DH6,0)+COUNTIF('Buyer Groups'!DJ6:EN6,0)&gt;0,0,1)</f>
        <v/>
      </c>
      <c r="LN6">
        <f>IF($Y$6="",FALSE,SUMPRODUCT(('Final Calculation Sheet'!$B$4:$B$40=$Y$6)*($LM$6:$LM$42=1))&gt;0)</f>
        <v/>
      </c>
      <c r="LO6">
        <f>$LO$5+--($LN6)</f>
        <v/>
      </c>
      <c r="LP6">
        <f>IF(ROW()-3&gt;MAX($LO$4:$LO$40),"",INDEX($Y$4:$Y$40,MATCH(ROW()-3,$LO$4:$LO$40,0)))</f>
        <v/>
      </c>
      <c r="LQ6">
        <f>IF(COUNTIF('Buyer Groups'!DG6:DI6,0)+COUNTIF('Buyer Groups'!DK6:EN6,0)&gt;0,0,1)</f>
        <v/>
      </c>
      <c r="LR6">
        <f>IF($AD$6="",FALSE,SUMPRODUCT(('Final Calculation Sheet'!$D$4:$D$40=$AD$6)*($LQ$6:$LQ$42=1))&gt;0)</f>
        <v/>
      </c>
      <c r="LS6">
        <f>$LS$5+--($LR6)</f>
        <v/>
      </c>
      <c r="LT6">
        <f>IF(ROW()-3&gt;MAX($LS$4:$LS$40),"",INDEX($AD$4:$AD$40,MATCH(ROW()-3,$LS$4:$LS$40,0)))</f>
        <v/>
      </c>
      <c r="LU6">
        <f>IF(COUNTIF('Buyer Groups'!DG6:DJ6,0)+COUNTIF('Buyer Groups'!DL6:EN6,0)&gt;0,0,1)</f>
        <v/>
      </c>
      <c r="LV6">
        <f>IF($AI$6="",FALSE,SUMPRODUCT(('Final Calculation Sheet'!$A$4:$A$40=$AI$6)*($LU$6:$LU$42=1))&gt;0)</f>
        <v/>
      </c>
      <c r="LW6">
        <f>$LW$5+--($LV6)</f>
        <v/>
      </c>
      <c r="LX6">
        <f>IF(ROW()-3&gt;MAX($LW$4:$LW$40),"",INDEX($AI$4:$AI$40,MATCH(ROW()-3,$LW$4:$LW$40,0)))</f>
        <v/>
      </c>
      <c r="LY6">
        <f>IF(COUNTIF('Buyer Groups'!DG6:DK6,0)+COUNTIF('Buyer Groups'!DM6:EN6,0)&gt;0,0,1)</f>
        <v/>
      </c>
      <c r="LZ6">
        <f>IF($AN$6="",FALSE,SUMPRODUCT(('Final Calculation Sheet'!$E$4:$E$40=$AN$6)*($LY$6:$LY$42=1))&gt;0)</f>
        <v/>
      </c>
      <c r="MA6">
        <f>$MA$5+--($LZ6)</f>
        <v/>
      </c>
      <c r="MB6">
        <f>IF(ROW()-3&gt;MAX($MA$4:$MA$40),"",INDEX($AN$4:$AN$40,MATCH(ROW()-3,$MA$4:$MA$40,0)))</f>
        <v/>
      </c>
      <c r="MC6">
        <f>IF(COUNTIF('Buyer Groups'!DG6:DL6,0)+COUNTIF('Buyer Groups'!DN6:EN6,0)&gt;0,0,1)</f>
        <v/>
      </c>
      <c r="MD6">
        <f>IF($AS$6="",FALSE,SUMPRODUCT(('Final Calculation Sheet'!$C$4:$C$40=$AS$6)*($MC$6:$MC$42=1))&gt;0)</f>
        <v/>
      </c>
      <c r="ME6">
        <f>$ME$5+--($MD6)</f>
        <v/>
      </c>
      <c r="MF6">
        <f>IF(ROW()-3&gt;MAX($ME$4:$ME$40),"",INDEX($AS$4:$AS$40,MATCH(ROW()-3,$ME$4:$ME$40,0)))</f>
        <v/>
      </c>
      <c r="MG6">
        <f>IF(COUNTIF('Buyer Groups'!DG6:DM6,0)+COUNTIF('Buyer Groups'!DO6:EN6,0)&gt;0,0,1)</f>
        <v/>
      </c>
      <c r="MH6">
        <f>IF($AX$6="",FALSE,SUMPRODUCT(('Final Calculation Sheet'!$H$4:$H$40=$AX$6)*($MG$6:$MG$42=1))&gt;0)</f>
        <v/>
      </c>
      <c r="MI6">
        <f>$MI$5+--($MH6)</f>
        <v/>
      </c>
      <c r="MJ6">
        <f>IF(ROW()-3&gt;MAX($MI$4:$MI$40),"",INDEX($AX$4:$AX$40,MATCH(ROW()-3,$MI$4:$MI$40,0)))</f>
        <v/>
      </c>
      <c r="MK6">
        <f>IF(COUNTIF('Buyer Groups'!DG6:DN6,0)+COUNTIF('Buyer Groups'!DP6:EN6,0)&gt;0,0,1)</f>
        <v/>
      </c>
      <c r="ML6">
        <f>IF($BC$6="",FALSE,SUMPRODUCT(('Final Calculation Sheet'!$I$4:$I$40=$BC$6)*($MK$6:$MK$42=1))&gt;0)</f>
        <v/>
      </c>
      <c r="MM6">
        <f>$MM$5+--($ML6)</f>
        <v/>
      </c>
      <c r="MN6">
        <f>IF(ROW()-3&gt;MAX($MM$4:$MM$40),"",INDEX($BC$4:$BC$40,MATCH(ROW()-3,$MM$4:$MM$40,0)))</f>
        <v/>
      </c>
      <c r="MO6">
        <f>IF(COUNTIF('Buyer Groups'!DG6:DO6,0)+COUNTIF('Buyer Groups'!DQ6:EN6,0)&gt;0,0,1)</f>
        <v/>
      </c>
      <c r="MP6">
        <f>IF($BH$6="",FALSE,SUMPRODUCT(('Final Calculation Sheet'!$J$4:$J$40=$BH$6)*($MO$6:$MO$42=1))&gt;0)</f>
        <v/>
      </c>
      <c r="MQ6">
        <f>$MQ$5+--($MP6)</f>
        <v/>
      </c>
      <c r="MR6">
        <f>IF(ROW()-3&gt;MAX($MQ$4:$MQ$40),"",INDEX($BH$4:$BH$40,MATCH(ROW()-3,$MQ$4:$MQ$40,0)))</f>
        <v/>
      </c>
      <c r="MS6">
        <f>IF(COUNTIF('Buyer Groups'!DG6:DP6,0)+COUNTIF('Buyer Groups'!DR6:EN6,0)&gt;0,0,1)</f>
        <v/>
      </c>
      <c r="MT6">
        <f>IF($BM$6="",FALSE,SUMPRODUCT(('Final Calculation Sheet'!$K$4:$K$40=$BM$6)*($MS$6:$MS$42=1))&gt;0)</f>
        <v/>
      </c>
      <c r="MU6">
        <f>$MU$5+--($MT6)</f>
        <v/>
      </c>
      <c r="MV6">
        <f>IF(ROW()-3&gt;MAX($MU$4:$MU$40),"",INDEX($BM$4:$BM$40,MATCH(ROW()-3,$MU$4:$MU$40,0)))</f>
        <v/>
      </c>
      <c r="MW6">
        <f>IF(COUNTIF('Buyer Groups'!DG6:DQ6,0)+COUNTIF('Buyer Groups'!DS6:EN6,0)&gt;0,0,1)</f>
        <v/>
      </c>
      <c r="MX6">
        <f>IF($BR$6="",FALSE,SUMPRODUCT(('Final Calculation Sheet'!$L$4:$L$40=$BR$6)*($MW$6:$MW$42=1))&gt;0)</f>
        <v/>
      </c>
      <c r="MY6">
        <f>$MY$5+--($MX6)</f>
        <v/>
      </c>
      <c r="MZ6">
        <f>IF(ROW()-3&gt;MAX($MY$4:$MY$40),"",INDEX($BR$4:$BR$40,MATCH(ROW()-3,$MY$4:$MY$40,0)))</f>
        <v/>
      </c>
      <c r="NA6">
        <f>IF(COUNTIF('Buyer Groups'!DG6:DR6,0)+COUNTIF('Buyer Groups'!DT6:EN6,0)&gt;0,0,1)</f>
        <v/>
      </c>
      <c r="NB6">
        <f>IF($BW$6="",FALSE,SUMPRODUCT(('Final Calculation Sheet'!$M$4:$M$40=$BW$6)*($NA$6:$NA$42=1))&gt;0)</f>
        <v/>
      </c>
      <c r="NC6">
        <f>$NC$5+--($NB6)</f>
        <v/>
      </c>
      <c r="ND6">
        <f>IF(ROW()-3&gt;MAX($NC$4:$NC$40),"",INDEX($BW$4:$BW$40,MATCH(ROW()-3,$NC$4:$NC$40,0)))</f>
        <v/>
      </c>
      <c r="NE6">
        <f>IF(COUNTIF('Buyer Groups'!DG6:DS6,0)+COUNTIF('Buyer Groups'!DU6:EN6,0)&gt;0,0,1)</f>
        <v/>
      </c>
      <c r="NF6">
        <f>IF($CB$6="",FALSE,SUMPRODUCT(('Final Calculation Sheet'!$N$4:$N$40=$CB$6)*($NE$6:$NE$42=1))&gt;0)</f>
        <v/>
      </c>
      <c r="NG6">
        <f>$NG$5+--($NF6)</f>
        <v/>
      </c>
      <c r="NH6">
        <f>IF(ROW()-3&gt;MAX($NG$4:$NG$40),"",INDEX($CB$4:$CB$40,MATCH(ROW()-3,$NG$4:$NG$40,0)))</f>
        <v/>
      </c>
      <c r="NI6">
        <f>IF(COUNTIF('Buyer Groups'!DG6:DT6,0)+COUNTIF('Buyer Groups'!DV6:EN6,0)&gt;0,0,1)</f>
        <v/>
      </c>
      <c r="NJ6">
        <f>IF($CG$6="",FALSE,SUMPRODUCT(('Final Calculation Sheet'!$O$4:$O$40=$CG$6)*($NI$6:$NI$42=1))&gt;0)</f>
        <v/>
      </c>
      <c r="NK6">
        <f>$NK$5+--($NJ6)</f>
        <v/>
      </c>
      <c r="NL6">
        <f>IF(ROW()-3&gt;MAX($NK$4:$NK$40),"",INDEX($CG$4:$CG$40,MATCH(ROW()-3,$NK$4:$NK$40,0)))</f>
        <v/>
      </c>
      <c r="NM6">
        <f>IF(COUNTIF('Buyer Groups'!DG6:DU6,0)+COUNTIF('Buyer Groups'!DW6:EN6,0)&gt;0,0,1)</f>
        <v/>
      </c>
      <c r="NN6">
        <f>IF($CL$6="",FALSE,SUMPRODUCT(('Final Calculation Sheet'!$P$4:$P$40=$CL$6)*($NM$6:$NM$42=1))&gt;0)</f>
        <v/>
      </c>
      <c r="NO6">
        <f>$NO$5+--($NN6)</f>
        <v/>
      </c>
      <c r="NP6">
        <f>IF(ROW()-3&gt;MAX($NO$4:$NO$40),"",INDEX($CL$4:$CL$40,MATCH(ROW()-3,$NO$4:$NO$40,0)))</f>
        <v/>
      </c>
      <c r="NQ6">
        <f>IF(COUNTIF('Buyer Groups'!DG6:DV6,0)+COUNTIF('Buyer Groups'!DX6:EN6,0)&gt;0,0,1)</f>
        <v/>
      </c>
      <c r="NR6">
        <f>IF($CQ$6="",FALSE,SUMPRODUCT(('Final Calculation Sheet'!$Q$4:$Q$40=$CQ$6)*($NQ$6:$NQ$42=1))&gt;0)</f>
        <v/>
      </c>
      <c r="NS6">
        <f>$NS$5+--($NR6)</f>
        <v/>
      </c>
      <c r="NT6">
        <f>IF(ROW()-3&gt;MAX($NS$4:$NS$40),"",INDEX($CQ$4:$CQ$40,MATCH(ROW()-3,$NS$4:$NS$40,0)))</f>
        <v/>
      </c>
      <c r="NU6">
        <f>IF(COUNTIF('Buyer Groups'!DG6:DW6,0)+COUNTIF('Buyer Groups'!DY6:EN6,0)&gt;0,0,1)</f>
        <v/>
      </c>
      <c r="NV6">
        <f>IF($CV$6="",FALSE,SUMPRODUCT(('Final Calculation Sheet'!$R$4:$R$40=$CV$6)*($NU$6:$NU$42=1))&gt;0)</f>
        <v/>
      </c>
      <c r="NW6">
        <f>$NW$5+--($NV6)</f>
        <v/>
      </c>
      <c r="NX6">
        <f>IF(ROW()-3&gt;MAX($NW$4:$NW$40),"",INDEX($CV$4:$CV$40,MATCH(ROW()-3,$NW$4:$NW$40,0)))</f>
        <v/>
      </c>
      <c r="NY6">
        <f>IF(COUNTIF('Buyer Groups'!DG6:DX6,0)+COUNTIF('Buyer Groups'!DZ6:EN6,0)&gt;0,0,1)</f>
        <v/>
      </c>
      <c r="NZ6">
        <f>IF($DA$6="",FALSE,SUMPRODUCT(('Final Calculation Sheet'!$S$4:$S$40=$DA$6)*($NY$6:$NY$42=1))&gt;0)</f>
        <v/>
      </c>
      <c r="OA6">
        <f>$OA$5+--($NZ6)</f>
        <v/>
      </c>
      <c r="OB6">
        <f>IF(ROW()-3&gt;MAX($OA$4:$OA$40),"",INDEX($DA$4:$DA$40,MATCH(ROW()-3,$OA$4:$OA$40,0)))</f>
        <v/>
      </c>
      <c r="OC6">
        <f>IF(COUNTIF('Buyer Groups'!DG6:DY6,0)+COUNTIF('Buyer Groups'!EA6:EN6,0)&gt;0,0,1)</f>
        <v/>
      </c>
      <c r="OD6">
        <f>IF($DF$6="",FALSE,SUMPRODUCT(('Final Calculation Sheet'!$T$4:$T$40=$DF$6)*($OC$6:$OC$42=1))&gt;0)</f>
        <v/>
      </c>
      <c r="OE6">
        <f>$OE$5+--($OD6)</f>
        <v/>
      </c>
      <c r="OF6">
        <f>IF(ROW()-3&gt;MAX($OE$4:$OE$40),"",INDEX($DF$4:$DF$40,MATCH(ROW()-3,$OE$4:$OE$40,0)))</f>
        <v/>
      </c>
      <c r="OG6">
        <f>IF(COUNTIF('Buyer Groups'!DG6:DZ6,0)+COUNTIF('Buyer Groups'!EB6:EN6,0)&gt;0,0,1)</f>
        <v/>
      </c>
      <c r="OH6">
        <f>IF($DK$6="",FALSE,SUMPRODUCT(('Final Calculation Sheet'!$U$4:$U$40=$DK$6)*($OG$6:$OG$42=1))&gt;0)</f>
        <v/>
      </c>
      <c r="OI6">
        <f>$OI$5+--($OH6)</f>
        <v/>
      </c>
      <c r="OJ6">
        <f>IF(ROW()-3&gt;MAX($OI$4:$OI$40),"",INDEX($DK$4:$DK$40,MATCH(ROW()-3,$OI$4:$OI$40,0)))</f>
        <v/>
      </c>
      <c r="OK6">
        <f>IF(COUNTIF('Buyer Groups'!DG6:EA6,0)+COUNTIF('Buyer Groups'!EC6:EN6,0)&gt;0,0,1)</f>
        <v/>
      </c>
      <c r="OL6">
        <f>IF($DP$6="",FALSE,SUMPRODUCT(('Final Calculation Sheet'!$V$4:$V$40=$DP$6)*($OK$6:$OK$42=1))&gt;0)</f>
        <v/>
      </c>
      <c r="OM6">
        <f>$OM$5+--($OL6)</f>
        <v/>
      </c>
      <c r="ON6">
        <f>IF(ROW()-3&gt;MAX($OM$4:$OM$40),"",INDEX($DP$4:$DP$40,MATCH(ROW()-3,$OM$4:$OM$40,0)))</f>
        <v/>
      </c>
      <c r="OO6">
        <f>IF(COUNTIF('Buyer Groups'!DG6:EB6,0)+COUNTIF('Buyer Groups'!ED6:EN6,0)&gt;0,0,1)</f>
        <v/>
      </c>
      <c r="OP6">
        <f>IF($DU$6="",FALSE,SUMPRODUCT(('Final Calculation Sheet'!$W$4:$W$40=$DU$6)*($OO$6:$OO$42=1))&gt;0)</f>
        <v/>
      </c>
      <c r="OQ6">
        <f>$OQ$5+--($OP6)</f>
        <v/>
      </c>
      <c r="OR6">
        <f>IF(ROW()-3&gt;MAX($OQ$4:$OQ$40),"",INDEX($DU$4:$DU$40,MATCH(ROW()-3,$OQ$4:$OQ$40,0)))</f>
        <v/>
      </c>
      <c r="OS6">
        <f>IF(COUNTIF('Buyer Groups'!DG6:EC6,0)+COUNTIF('Buyer Groups'!EE6:EN6,0)&gt;0,0,1)</f>
        <v/>
      </c>
      <c r="OT6">
        <f>IF($DZ$6="",FALSE,SUMPRODUCT(('Final Calculation Sheet'!$X$4:$X$40=$DZ$6)*($OS$6:$OS$42=1))&gt;0)</f>
        <v/>
      </c>
      <c r="OU6">
        <f>$OU$5+--($OT6)</f>
        <v/>
      </c>
      <c r="OV6">
        <f>IF(ROW()-3&gt;MAX($OU$4:$OU$40),"",INDEX($DZ$4:$DZ$40,MATCH(ROW()-3,$OU$4:$OU$40,0)))</f>
        <v/>
      </c>
      <c r="OW6">
        <f>IF(COUNTIF('Buyer Groups'!DG6:ED6,0)+COUNTIF('Buyer Groups'!EF6:EN6,0)&gt;0,0,1)</f>
        <v/>
      </c>
      <c r="OX6">
        <f>IF($EE$6="",FALSE,SUMPRODUCT(('Final Calculation Sheet'!$Y$4:$Y$40=$EE$6)*($OW$6:$OW$42=1))&gt;0)</f>
        <v/>
      </c>
      <c r="OY6">
        <f>$OY$5+--($OX6)</f>
        <v/>
      </c>
      <c r="OZ6">
        <f>IF(ROW()-3&gt;MAX($OY$4:$OY$40),"",INDEX($EE$4:$EE$40,MATCH(ROW()-3,$OY$4:$OY$40,0)))</f>
        <v/>
      </c>
      <c r="PA6">
        <f>IF(COUNTIF('Buyer Groups'!DG6:EE6,0)+COUNTIF('Buyer Groups'!EG6:EN6,0)&gt;0,0,1)</f>
        <v/>
      </c>
      <c r="PB6">
        <f>IF($EJ$6="",FALSE,SUMPRODUCT(('Final Calculation Sheet'!$Z$4:$Z$40=$EJ$6)*($PA$6:$PA$42=1))&gt;0)</f>
        <v/>
      </c>
      <c r="PC6">
        <f>$PC$5+--($PB6)</f>
        <v/>
      </c>
      <c r="PD6">
        <f>IF(ROW()-3&gt;MAX($PC$4:$PC$40),"",INDEX($EJ$4:$EJ$40,MATCH(ROW()-3,$PC$4:$PC$40,0)))</f>
        <v/>
      </c>
      <c r="PE6">
        <f>IF(COUNTIF('Buyer Groups'!DG6:EF6,0)+COUNTIF('Buyer Groups'!EH6:EN6,0)&gt;0,0,1)</f>
        <v/>
      </c>
      <c r="PF6">
        <f>IF($EO$6="",FALSE,SUMPRODUCT(('Final Calculation Sheet'!$AA$4:$AA$40=$EO$6)*($PE$6:$PE$42=1))&gt;0)</f>
        <v/>
      </c>
      <c r="PG6">
        <f>$PG$5+--($PF6)</f>
        <v/>
      </c>
      <c r="PH6">
        <f>IF(ROW()-3&gt;MAX($PG$4:$PG$40),"",INDEX($EO$4:$EO$40,MATCH(ROW()-3,$PG$4:$PG$40,0)))</f>
        <v/>
      </c>
      <c r="PI6">
        <f>IF(COUNTIF('Buyer Groups'!DG6:EG6,0)+COUNTIF('Buyer Groups'!EI6:EN6,0)&gt;0,0,1)</f>
        <v/>
      </c>
      <c r="PJ6">
        <f>IF($ET$6="",FALSE,SUMPRODUCT(('Final Calculation Sheet'!$AB$4:$AB$40=$ET$6)*($PI$6:$PI$42=1))&gt;0)</f>
        <v/>
      </c>
      <c r="PK6">
        <f>$PK$5+--($PJ6)</f>
        <v/>
      </c>
      <c r="PL6">
        <f>IF(ROW()-3&gt;MAX($PK$4:$PK$40),"",INDEX($ET$4:$ET$40,MATCH(ROW()-3,$PK$4:$PK$40,0)))</f>
        <v/>
      </c>
      <c r="PM6">
        <f>IF(COUNTIF('Buyer Groups'!DG6:EH6,0)+COUNTIF('Buyer Groups'!EJ6:EN6,0)&gt;0,0,1)</f>
        <v/>
      </c>
      <c r="PN6">
        <f>IF($EY$6="",FALSE,SUMPRODUCT(('Final Calculation Sheet'!$AC$4:$AC$40=$EY$6)*($PM$6:$PM$42=1))&gt;0)</f>
        <v/>
      </c>
      <c r="PO6">
        <f>$PO$5+--($PN6)</f>
        <v/>
      </c>
      <c r="PP6">
        <f>IF(ROW()-3&gt;MAX($PO$4:$PO$40),"",INDEX($EY$4:$EY$40,MATCH(ROW()-3,$PO$4:$PO$40,0)))</f>
        <v/>
      </c>
      <c r="PQ6">
        <f>IF(COUNTIF('Buyer Groups'!DG6:EI6,0)+COUNTIF('Buyer Groups'!EK6:EN6,0)&gt;0,0,1)</f>
        <v/>
      </c>
      <c r="PR6">
        <f>IF($FD$6="",FALSE,SUMPRODUCT(('Final Calculation Sheet'!$AD$4:$AD$40=$FD$6)*($PQ$6:$PQ$42=1))&gt;0)</f>
        <v/>
      </c>
      <c r="PS6">
        <f>$PS$5+--($PR6)</f>
        <v/>
      </c>
      <c r="PT6">
        <f>IF(ROW()-3&gt;MAX($PS$4:$PS$40),"",INDEX($FD$4:$FD$40,MATCH(ROW()-3,$PS$4:$PS$40,0)))</f>
        <v/>
      </c>
      <c r="PU6">
        <f>IF(COUNTIF('Buyer Groups'!DG6:EJ6,0)+COUNTIF('Buyer Groups'!EL6:EN6,0)&gt;0,0,1)</f>
        <v/>
      </c>
      <c r="PV6">
        <f>IF($FX$6="",FALSE,SUMPRODUCT((IF('Final Calculation Sheet'!$AD$4:$AD$40&lt;=5,"SETTLED","OUTSTANDING")=$FX$6)*($PU$6:$PU$42=1))&gt;0)</f>
        <v/>
      </c>
      <c r="PW6">
        <f>$PW$5+--($PV6)</f>
        <v/>
      </c>
      <c r="PX6">
        <f>IF(ROW()-3&gt;MAX($PW$4:$PW$40),"",INDEX($FX$4:$FX$40,MATCH(ROW()-3,$PW$4:$PW$40,0)))</f>
        <v/>
      </c>
      <c r="PY6">
        <f>IF(COUNTIF('Buyer Groups'!DG6:EK6,0)+COUNTIF('Buyer Groups'!EM6:EN6,0)&gt;0,0,1)</f>
        <v/>
      </c>
      <c r="PZ6">
        <f>IF($FI$6="",FALSE,SUMPRODUCT(('Final Calculation Sheet'!$AF$4:$AF$40=$FI$6)*($PY$6:$PY$42=1))&gt;0)</f>
        <v/>
      </c>
      <c r="QA6">
        <f>$QA$5+--($PZ6)</f>
        <v/>
      </c>
      <c r="QB6">
        <f>IF(ROW()-3&gt;MAX($QA$4:$QA$40),"",INDEX($FI$4:$FI$40,MATCH(ROW()-3,$QA$4:$QA$40,0)))</f>
        <v/>
      </c>
      <c r="QC6">
        <f>IF(COUNTIF('Buyer Groups'!DG6:EL6,0)+COUNTIF('Buyer Groups'!EN6:EN6,0)&gt;0,0,1)</f>
        <v/>
      </c>
      <c r="QD6">
        <f>IF($FN$6="",FALSE,SUMPRODUCT(('Final Calculation Sheet'!$AG$4:$AG$40=$FN$6)*($QC$6:$QC$42=1))&gt;0)</f>
        <v/>
      </c>
      <c r="QE6">
        <f>$QE$5+--($QD6)</f>
        <v/>
      </c>
      <c r="QF6">
        <f>IF(ROW()-3&gt;MAX($QE$4:$QE$40),"",INDEX($FN$4:$FN$40,MATCH(ROW()-3,$QE$4:$QE$40,0)))</f>
        <v/>
      </c>
      <c r="QG6">
        <f>IF(COUNTIF('Buyer Groups'!DG6:EM6,0)&gt;0,0,1)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Groups'!DH7:EN7,0)&gt;0,0,1)</f>
        <v/>
      </c>
      <c r="LF7">
        <f>IF($O$7="",FALSE,SUMPRODUCT(('Final Calculation Sheet'!$F$4:$F$40=$O$7)*($LE$6:$LE$42=1))&gt;0)</f>
        <v/>
      </c>
      <c r="LG7">
        <f>$LG$6+--($LF7)</f>
        <v/>
      </c>
      <c r="LH7">
        <f>IF(ROW()-3&gt;MAX($LG$4:$LG$40),"",INDEX($O$4:$O$40,MATCH(ROW()-3,$LG$4:$LG$40,0)))</f>
        <v/>
      </c>
      <c r="LI7">
        <f>IF(COUNTIF('Buyer Groups'!DG7:DG7,0)+COUNTIF('Buyer Groups'!DI7:EN7,0)&gt;0,0,1)</f>
        <v/>
      </c>
      <c r="LJ7">
        <f>IF($T$7="",FALSE,SUMPRODUCT(('Final Calculation Sheet'!$G$4:$G$40=$T$7)*($LI$6:$LI$42=1))&gt;0)</f>
        <v/>
      </c>
      <c r="LK7">
        <f>$LK$6+--($LJ7)</f>
        <v/>
      </c>
      <c r="LL7">
        <f>IF(ROW()-3&gt;MAX($LK$4:$LK$40),"",INDEX($T$4:$T$40,MATCH(ROW()-3,$LK$4:$LK$40,0)))</f>
        <v/>
      </c>
      <c r="LM7">
        <f>IF(COUNTIF('Buyer Groups'!DG7:DH7,0)+COUNTIF('Buyer Groups'!DJ7:EN7,0)&gt;0,0,1)</f>
        <v/>
      </c>
      <c r="LN7">
        <f>IF($Y$7="",FALSE,SUMPRODUCT(('Final Calculation Sheet'!$B$4:$B$40=$Y$7)*($LM$6:$LM$42=1))&gt;0)</f>
        <v/>
      </c>
      <c r="LO7">
        <f>$LO$6+--($LN7)</f>
        <v/>
      </c>
      <c r="LP7">
        <f>IF(ROW()-3&gt;MAX($LO$4:$LO$40),"",INDEX($Y$4:$Y$40,MATCH(ROW()-3,$LO$4:$LO$40,0)))</f>
        <v/>
      </c>
      <c r="LQ7">
        <f>IF(COUNTIF('Buyer Groups'!DG7:DI7,0)+COUNTIF('Buyer Groups'!DK7:EN7,0)&gt;0,0,1)</f>
        <v/>
      </c>
      <c r="LR7">
        <f>IF($AD$7="",FALSE,SUMPRODUCT(('Final Calculation Sheet'!$D$4:$D$40=$AD$7)*($LQ$6:$LQ$42=1))&gt;0)</f>
        <v/>
      </c>
      <c r="LS7">
        <f>$LS$6+--($LR7)</f>
        <v/>
      </c>
      <c r="LT7">
        <f>IF(ROW()-3&gt;MAX($LS$4:$LS$40),"",INDEX($AD$4:$AD$40,MATCH(ROW()-3,$LS$4:$LS$40,0)))</f>
        <v/>
      </c>
      <c r="LU7">
        <f>IF(COUNTIF('Buyer Groups'!DG7:DJ7,0)+COUNTIF('Buyer Groups'!DL7:EN7,0)&gt;0,0,1)</f>
        <v/>
      </c>
      <c r="LV7">
        <f>IF($AI$7="",FALSE,SUMPRODUCT(('Final Calculation Sheet'!$A$4:$A$40=$AI$7)*($LU$6:$LU$42=1))&gt;0)</f>
        <v/>
      </c>
      <c r="LW7">
        <f>$LW$6+--($LV7)</f>
        <v/>
      </c>
      <c r="LX7">
        <f>IF(ROW()-3&gt;MAX($LW$4:$LW$40),"",INDEX($AI$4:$AI$40,MATCH(ROW()-3,$LW$4:$LW$40,0)))</f>
        <v/>
      </c>
      <c r="LY7">
        <f>IF(COUNTIF('Buyer Groups'!DG7:DK7,0)+COUNTIF('Buyer Groups'!DM7:EN7,0)&gt;0,0,1)</f>
        <v/>
      </c>
      <c r="LZ7">
        <f>IF($AN$7="",FALSE,SUMPRODUCT(('Final Calculation Sheet'!$E$4:$E$40=$AN$7)*($LY$6:$LY$42=1))&gt;0)</f>
        <v/>
      </c>
      <c r="MA7">
        <f>$MA$6+--($LZ7)</f>
        <v/>
      </c>
      <c r="MB7">
        <f>IF(ROW()-3&gt;MAX($MA$4:$MA$40),"",INDEX($AN$4:$AN$40,MATCH(ROW()-3,$MA$4:$MA$40,0)))</f>
        <v/>
      </c>
      <c r="MC7">
        <f>IF(COUNTIF('Buyer Groups'!DG7:DL7,0)+COUNTIF('Buyer Groups'!DN7:EN7,0)&gt;0,0,1)</f>
        <v/>
      </c>
      <c r="MD7">
        <f>IF($AS$7="",FALSE,SUMPRODUCT(('Final Calculation Sheet'!$C$4:$C$40=$AS$7)*($MC$6:$MC$42=1))&gt;0)</f>
        <v/>
      </c>
      <c r="ME7">
        <f>$ME$6+--($MD7)</f>
        <v/>
      </c>
      <c r="MF7">
        <f>IF(ROW()-3&gt;MAX($ME$4:$ME$40),"",INDEX($AS$4:$AS$40,MATCH(ROW()-3,$ME$4:$ME$40,0)))</f>
        <v/>
      </c>
      <c r="MG7">
        <f>IF(COUNTIF('Buyer Groups'!DG7:DM7,0)+COUNTIF('Buyer Groups'!DO7:EN7,0)&gt;0,0,1)</f>
        <v/>
      </c>
      <c r="MH7">
        <f>IF($AX$7="",FALSE,SUMPRODUCT(('Final Calculation Sheet'!$H$4:$H$40=$AX$7)*($MG$6:$MG$42=1))&gt;0)</f>
        <v/>
      </c>
      <c r="MI7">
        <f>$MI$6+--($MH7)</f>
        <v/>
      </c>
      <c r="MJ7">
        <f>IF(ROW()-3&gt;MAX($MI$4:$MI$40),"",INDEX($AX$4:$AX$40,MATCH(ROW()-3,$MI$4:$MI$40,0)))</f>
        <v/>
      </c>
      <c r="MK7">
        <f>IF(COUNTIF('Buyer Groups'!DG7:DN7,0)+COUNTIF('Buyer Groups'!DP7:EN7,0)&gt;0,0,1)</f>
        <v/>
      </c>
      <c r="ML7">
        <f>IF($BC$7="",FALSE,SUMPRODUCT(('Final Calculation Sheet'!$I$4:$I$40=$BC$7)*($MK$6:$MK$42=1))&gt;0)</f>
        <v/>
      </c>
      <c r="MM7">
        <f>$MM$6+--($ML7)</f>
        <v/>
      </c>
      <c r="MN7">
        <f>IF(ROW()-3&gt;MAX($MM$4:$MM$40),"",INDEX($BC$4:$BC$40,MATCH(ROW()-3,$MM$4:$MM$40,0)))</f>
        <v/>
      </c>
      <c r="MO7">
        <f>IF(COUNTIF('Buyer Groups'!DG7:DO7,0)+COUNTIF('Buyer Groups'!DQ7:EN7,0)&gt;0,0,1)</f>
        <v/>
      </c>
      <c r="MP7">
        <f>IF($BH$7="",FALSE,SUMPRODUCT(('Final Calculation Sheet'!$J$4:$J$40=$BH$7)*($MO$6:$MO$42=1))&gt;0)</f>
        <v/>
      </c>
      <c r="MQ7">
        <f>$MQ$6+--($MP7)</f>
        <v/>
      </c>
      <c r="MR7">
        <f>IF(ROW()-3&gt;MAX($MQ$4:$MQ$40),"",INDEX($BH$4:$BH$40,MATCH(ROW()-3,$MQ$4:$MQ$40,0)))</f>
        <v/>
      </c>
      <c r="MS7">
        <f>IF(COUNTIF('Buyer Groups'!DG7:DP7,0)+COUNTIF('Buyer Groups'!DR7:EN7,0)&gt;0,0,1)</f>
        <v/>
      </c>
      <c r="MT7">
        <f>IF($BM$7="",FALSE,SUMPRODUCT(('Final Calculation Sheet'!$K$4:$K$40=$BM$7)*($MS$6:$MS$42=1))&gt;0)</f>
        <v/>
      </c>
      <c r="MU7">
        <f>$MU$6+--($MT7)</f>
        <v/>
      </c>
      <c r="MV7">
        <f>IF(ROW()-3&gt;MAX($MU$4:$MU$40),"",INDEX($BM$4:$BM$40,MATCH(ROW()-3,$MU$4:$MU$40,0)))</f>
        <v/>
      </c>
      <c r="MW7">
        <f>IF(COUNTIF('Buyer Groups'!DG7:DQ7,0)+COUNTIF('Buyer Groups'!DS7:EN7,0)&gt;0,0,1)</f>
        <v/>
      </c>
      <c r="MX7">
        <f>IF($BR$7="",FALSE,SUMPRODUCT(('Final Calculation Sheet'!$L$4:$L$40=$BR$7)*($MW$6:$MW$42=1))&gt;0)</f>
        <v/>
      </c>
      <c r="MY7">
        <f>$MY$6+--($MX7)</f>
        <v/>
      </c>
      <c r="MZ7">
        <f>IF(ROW()-3&gt;MAX($MY$4:$MY$40),"",INDEX($BR$4:$BR$40,MATCH(ROW()-3,$MY$4:$MY$40,0)))</f>
        <v/>
      </c>
      <c r="NA7">
        <f>IF(COUNTIF('Buyer Groups'!DG7:DR7,0)+COUNTIF('Buyer Groups'!DT7:EN7,0)&gt;0,0,1)</f>
        <v/>
      </c>
      <c r="NB7">
        <f>IF($BW$7="",FALSE,SUMPRODUCT(('Final Calculation Sheet'!$M$4:$M$40=$BW$7)*($NA$6:$NA$42=1))&gt;0)</f>
        <v/>
      </c>
      <c r="NC7">
        <f>$NC$6+--($NB7)</f>
        <v/>
      </c>
      <c r="ND7">
        <f>IF(ROW()-3&gt;MAX($NC$4:$NC$40),"",INDEX($BW$4:$BW$40,MATCH(ROW()-3,$NC$4:$NC$40,0)))</f>
        <v/>
      </c>
      <c r="NE7">
        <f>IF(COUNTIF('Buyer Groups'!DG7:DS7,0)+COUNTIF('Buyer Groups'!DU7:EN7,0)&gt;0,0,1)</f>
        <v/>
      </c>
      <c r="NF7">
        <f>IF($CB$7="",FALSE,SUMPRODUCT(('Final Calculation Sheet'!$N$4:$N$40=$CB$7)*($NE$6:$NE$42=1))&gt;0)</f>
        <v/>
      </c>
      <c r="NG7">
        <f>$NG$6+--($NF7)</f>
        <v/>
      </c>
      <c r="NH7">
        <f>IF(ROW()-3&gt;MAX($NG$4:$NG$40),"",INDEX($CB$4:$CB$40,MATCH(ROW()-3,$NG$4:$NG$40,0)))</f>
        <v/>
      </c>
      <c r="NI7">
        <f>IF(COUNTIF('Buyer Groups'!DG7:DT7,0)+COUNTIF('Buyer Groups'!DV7:EN7,0)&gt;0,0,1)</f>
        <v/>
      </c>
      <c r="NJ7">
        <f>IF($CG$7="",FALSE,SUMPRODUCT(('Final Calculation Sheet'!$O$4:$O$40=$CG$7)*($NI$6:$NI$42=1))&gt;0)</f>
        <v/>
      </c>
      <c r="NK7">
        <f>$NK$6+--($NJ7)</f>
        <v/>
      </c>
      <c r="NL7">
        <f>IF(ROW()-3&gt;MAX($NK$4:$NK$40),"",INDEX($CG$4:$CG$40,MATCH(ROW()-3,$NK$4:$NK$40,0)))</f>
        <v/>
      </c>
      <c r="NM7">
        <f>IF(COUNTIF('Buyer Groups'!DG7:DU7,0)+COUNTIF('Buyer Groups'!DW7:EN7,0)&gt;0,0,1)</f>
        <v/>
      </c>
      <c r="NN7">
        <f>IF($CL$7="",FALSE,SUMPRODUCT(('Final Calculation Sheet'!$P$4:$P$40=$CL$7)*($NM$6:$NM$42=1))&gt;0)</f>
        <v/>
      </c>
      <c r="NO7">
        <f>$NO$6+--($NN7)</f>
        <v/>
      </c>
      <c r="NP7">
        <f>IF(ROW()-3&gt;MAX($NO$4:$NO$40),"",INDEX($CL$4:$CL$40,MATCH(ROW()-3,$NO$4:$NO$40,0)))</f>
        <v/>
      </c>
      <c r="NQ7">
        <f>IF(COUNTIF('Buyer Groups'!DG7:DV7,0)+COUNTIF('Buyer Groups'!DX7:EN7,0)&gt;0,0,1)</f>
        <v/>
      </c>
      <c r="NR7">
        <f>IF($CQ$7="",FALSE,SUMPRODUCT(('Final Calculation Sheet'!$Q$4:$Q$40=$CQ$7)*($NQ$6:$NQ$42=1))&gt;0)</f>
        <v/>
      </c>
      <c r="NS7">
        <f>$NS$6+--($NR7)</f>
        <v/>
      </c>
      <c r="NT7">
        <f>IF(ROW()-3&gt;MAX($NS$4:$NS$40),"",INDEX($CQ$4:$CQ$40,MATCH(ROW()-3,$NS$4:$NS$40,0)))</f>
        <v/>
      </c>
      <c r="NU7">
        <f>IF(COUNTIF('Buyer Groups'!DG7:DW7,0)+COUNTIF('Buyer Groups'!DY7:EN7,0)&gt;0,0,1)</f>
        <v/>
      </c>
      <c r="NV7">
        <f>IF($CV$7="",FALSE,SUMPRODUCT(('Final Calculation Sheet'!$R$4:$R$40=$CV$7)*($NU$6:$NU$42=1))&gt;0)</f>
        <v/>
      </c>
      <c r="NW7">
        <f>$NW$6+--($NV7)</f>
        <v/>
      </c>
      <c r="NX7">
        <f>IF(ROW()-3&gt;MAX($NW$4:$NW$40),"",INDEX($CV$4:$CV$40,MATCH(ROW()-3,$NW$4:$NW$40,0)))</f>
        <v/>
      </c>
      <c r="NY7">
        <f>IF(COUNTIF('Buyer Groups'!DG7:DX7,0)+COUNTIF('Buyer Groups'!DZ7:EN7,0)&gt;0,0,1)</f>
        <v/>
      </c>
      <c r="NZ7">
        <f>IF($DA$7="",FALSE,SUMPRODUCT(('Final Calculation Sheet'!$S$4:$S$40=$DA$7)*($NY$6:$NY$42=1))&gt;0)</f>
        <v/>
      </c>
      <c r="OA7">
        <f>$OA$6+--($NZ7)</f>
        <v/>
      </c>
      <c r="OB7">
        <f>IF(ROW()-3&gt;MAX($OA$4:$OA$40),"",INDEX($DA$4:$DA$40,MATCH(ROW()-3,$OA$4:$OA$40,0)))</f>
        <v/>
      </c>
      <c r="OC7">
        <f>IF(COUNTIF('Buyer Groups'!DG7:DY7,0)+COUNTIF('Buyer Groups'!EA7:EN7,0)&gt;0,0,1)</f>
        <v/>
      </c>
      <c r="OD7">
        <f>IF($DF$7="",FALSE,SUMPRODUCT(('Final Calculation Sheet'!$T$4:$T$40=$DF$7)*($OC$6:$OC$42=1))&gt;0)</f>
        <v/>
      </c>
      <c r="OE7">
        <f>$OE$6+--($OD7)</f>
        <v/>
      </c>
      <c r="OF7">
        <f>IF(ROW()-3&gt;MAX($OE$4:$OE$40),"",INDEX($DF$4:$DF$40,MATCH(ROW()-3,$OE$4:$OE$40,0)))</f>
        <v/>
      </c>
      <c r="OG7">
        <f>IF(COUNTIF('Buyer Groups'!DG7:DZ7,0)+COUNTIF('Buyer Groups'!EB7:EN7,0)&gt;0,0,1)</f>
        <v/>
      </c>
      <c r="OH7">
        <f>IF($DK$7="",FALSE,SUMPRODUCT(('Final Calculation Sheet'!$U$4:$U$40=$DK$7)*($OG$6:$OG$42=1))&gt;0)</f>
        <v/>
      </c>
      <c r="OI7">
        <f>$OI$6+--($OH7)</f>
        <v/>
      </c>
      <c r="OJ7">
        <f>IF(ROW()-3&gt;MAX($OI$4:$OI$40),"",INDEX($DK$4:$DK$40,MATCH(ROW()-3,$OI$4:$OI$40,0)))</f>
        <v/>
      </c>
      <c r="OK7">
        <f>IF(COUNTIF('Buyer Groups'!DG7:EA7,0)+COUNTIF('Buyer Groups'!EC7:EN7,0)&gt;0,0,1)</f>
        <v/>
      </c>
      <c r="OL7">
        <f>IF($DP$7="",FALSE,SUMPRODUCT(('Final Calculation Sheet'!$V$4:$V$40=$DP$7)*($OK$6:$OK$42=1))&gt;0)</f>
        <v/>
      </c>
      <c r="OM7">
        <f>$OM$6+--($OL7)</f>
        <v/>
      </c>
      <c r="ON7">
        <f>IF(ROW()-3&gt;MAX($OM$4:$OM$40),"",INDEX($DP$4:$DP$40,MATCH(ROW()-3,$OM$4:$OM$40,0)))</f>
        <v/>
      </c>
      <c r="OO7">
        <f>IF(COUNTIF('Buyer Groups'!DG7:EB7,0)+COUNTIF('Buyer Groups'!ED7:EN7,0)&gt;0,0,1)</f>
        <v/>
      </c>
      <c r="OP7">
        <f>IF($DU$7="",FALSE,SUMPRODUCT(('Final Calculation Sheet'!$W$4:$W$40=$DU$7)*($OO$6:$OO$42=1))&gt;0)</f>
        <v/>
      </c>
      <c r="OQ7">
        <f>$OQ$6+--($OP7)</f>
        <v/>
      </c>
      <c r="OR7">
        <f>IF(ROW()-3&gt;MAX($OQ$4:$OQ$40),"",INDEX($DU$4:$DU$40,MATCH(ROW()-3,$OQ$4:$OQ$40,0)))</f>
        <v/>
      </c>
      <c r="OS7">
        <f>IF(COUNTIF('Buyer Groups'!DG7:EC7,0)+COUNTIF('Buyer Groups'!EE7:EN7,0)&gt;0,0,1)</f>
        <v/>
      </c>
      <c r="OT7">
        <f>IF($DZ$7="",FALSE,SUMPRODUCT(('Final Calculation Sheet'!$X$4:$X$40=$DZ$7)*($OS$6:$OS$42=1))&gt;0)</f>
        <v/>
      </c>
      <c r="OU7">
        <f>$OU$6+--($OT7)</f>
        <v/>
      </c>
      <c r="OV7">
        <f>IF(ROW()-3&gt;MAX($OU$4:$OU$40),"",INDEX($DZ$4:$DZ$40,MATCH(ROW()-3,$OU$4:$OU$40,0)))</f>
        <v/>
      </c>
      <c r="OW7">
        <f>IF(COUNTIF('Buyer Groups'!DG7:ED7,0)+COUNTIF('Buyer Groups'!EF7:EN7,0)&gt;0,0,1)</f>
        <v/>
      </c>
      <c r="OX7">
        <f>IF($EE$7="",FALSE,SUMPRODUCT(('Final Calculation Sheet'!$Y$4:$Y$40=$EE$7)*($OW$6:$OW$42=1))&gt;0)</f>
        <v/>
      </c>
      <c r="OY7">
        <f>$OY$6+--($OX7)</f>
        <v/>
      </c>
      <c r="OZ7">
        <f>IF(ROW()-3&gt;MAX($OY$4:$OY$40),"",INDEX($EE$4:$EE$40,MATCH(ROW()-3,$OY$4:$OY$40,0)))</f>
        <v/>
      </c>
      <c r="PA7">
        <f>IF(COUNTIF('Buyer Groups'!DG7:EE7,0)+COUNTIF('Buyer Groups'!EG7:EN7,0)&gt;0,0,1)</f>
        <v/>
      </c>
      <c r="PB7">
        <f>IF($EJ$7="",FALSE,SUMPRODUCT(('Final Calculation Sheet'!$Z$4:$Z$40=$EJ$7)*($PA$6:$PA$42=1))&gt;0)</f>
        <v/>
      </c>
      <c r="PC7">
        <f>$PC$6+--($PB7)</f>
        <v/>
      </c>
      <c r="PD7">
        <f>IF(ROW()-3&gt;MAX($PC$4:$PC$40),"",INDEX($EJ$4:$EJ$40,MATCH(ROW()-3,$PC$4:$PC$40,0)))</f>
        <v/>
      </c>
      <c r="PE7">
        <f>IF(COUNTIF('Buyer Groups'!DG7:EF7,0)+COUNTIF('Buyer Groups'!EH7:EN7,0)&gt;0,0,1)</f>
        <v/>
      </c>
      <c r="PF7">
        <f>IF($EO$7="",FALSE,SUMPRODUCT(('Final Calculation Sheet'!$AA$4:$AA$40=$EO$7)*($PE$6:$PE$42=1))&gt;0)</f>
        <v/>
      </c>
      <c r="PG7">
        <f>$PG$6+--($PF7)</f>
        <v/>
      </c>
      <c r="PH7">
        <f>IF(ROW()-3&gt;MAX($PG$4:$PG$40),"",INDEX($EO$4:$EO$40,MATCH(ROW()-3,$PG$4:$PG$40,0)))</f>
        <v/>
      </c>
      <c r="PI7">
        <f>IF(COUNTIF('Buyer Groups'!DG7:EG7,0)+COUNTIF('Buyer Groups'!EI7:EN7,0)&gt;0,0,1)</f>
        <v/>
      </c>
      <c r="PJ7">
        <f>IF($ET$7="",FALSE,SUMPRODUCT(('Final Calculation Sheet'!$AB$4:$AB$40=$ET$7)*($PI$6:$PI$42=1))&gt;0)</f>
        <v/>
      </c>
      <c r="PK7">
        <f>$PK$6+--($PJ7)</f>
        <v/>
      </c>
      <c r="PL7">
        <f>IF(ROW()-3&gt;MAX($PK$4:$PK$40),"",INDEX($ET$4:$ET$40,MATCH(ROW()-3,$PK$4:$PK$40,0)))</f>
        <v/>
      </c>
      <c r="PM7">
        <f>IF(COUNTIF('Buyer Groups'!DG7:EH7,0)+COUNTIF('Buyer Groups'!EJ7:EN7,0)&gt;0,0,1)</f>
        <v/>
      </c>
      <c r="PN7">
        <f>IF($EY$7="",FALSE,SUMPRODUCT(('Final Calculation Sheet'!$AC$4:$AC$40=$EY$7)*($PM$6:$PM$42=1))&gt;0)</f>
        <v/>
      </c>
      <c r="PO7">
        <f>$PO$6+--($PN7)</f>
        <v/>
      </c>
      <c r="PP7">
        <f>IF(ROW()-3&gt;MAX($PO$4:$PO$40),"",INDEX($EY$4:$EY$40,MATCH(ROW()-3,$PO$4:$PO$40,0)))</f>
        <v/>
      </c>
      <c r="PQ7">
        <f>IF(COUNTIF('Buyer Groups'!DG7:EI7,0)+COUNTIF('Buyer Groups'!EK7:EN7,0)&gt;0,0,1)</f>
        <v/>
      </c>
      <c r="PR7">
        <f>IF($FD$7="",FALSE,SUMPRODUCT(('Final Calculation Sheet'!$AD$4:$AD$40=$FD$7)*($PQ$6:$PQ$42=1))&gt;0)</f>
        <v/>
      </c>
      <c r="PS7">
        <f>$PS$6+--($PR7)</f>
        <v/>
      </c>
      <c r="PT7">
        <f>IF(ROW()-3&gt;MAX($PS$4:$PS$40),"",INDEX($FD$4:$FD$40,MATCH(ROW()-3,$PS$4:$PS$40,0)))</f>
        <v/>
      </c>
      <c r="PU7">
        <f>IF(COUNTIF('Buyer Groups'!DG7:EJ7,0)+COUNTIF('Buyer Groups'!EL7:EN7,0)&gt;0,0,1)</f>
        <v/>
      </c>
      <c r="PV7">
        <f>IF($FX$7="",FALSE,SUMPRODUCT((IF('Final Calculation Sheet'!$AD$4:$AD$40&lt;=5,"SETTLED","OUTSTANDING")=$FX$7)*($PU$6:$PU$42=1))&gt;0)</f>
        <v/>
      </c>
      <c r="PW7">
        <f>$PW$6+--($PV7)</f>
        <v/>
      </c>
      <c r="PX7">
        <f>IF(ROW()-3&gt;MAX($PW$4:$PW$40),"",INDEX($FX$4:$FX$40,MATCH(ROW()-3,$PW$4:$PW$40,0)))</f>
        <v/>
      </c>
      <c r="PY7">
        <f>IF(COUNTIF('Buyer Groups'!DG7:EK7,0)+COUNTIF('Buyer Groups'!EM7:EN7,0)&gt;0,0,1)</f>
        <v/>
      </c>
      <c r="PZ7">
        <f>IF($FI$7="",FALSE,SUMPRODUCT(('Final Calculation Sheet'!$AF$4:$AF$40=$FI$7)*($PY$6:$PY$42=1))&gt;0)</f>
        <v/>
      </c>
      <c r="QA7">
        <f>$QA$6+--($PZ7)</f>
        <v/>
      </c>
      <c r="QB7">
        <f>IF(ROW()-3&gt;MAX($QA$4:$QA$40),"",INDEX($FI$4:$FI$40,MATCH(ROW()-3,$QA$4:$QA$40,0)))</f>
        <v/>
      </c>
      <c r="QC7">
        <f>IF(COUNTIF('Buyer Groups'!DG7:EL7,0)+COUNTIF('Buyer Groups'!EN7:EN7,0)&gt;0,0,1)</f>
        <v/>
      </c>
      <c r="QD7">
        <f>IF($FN$7="",FALSE,SUMPRODUCT(('Final Calculation Sheet'!$AG$4:$AG$40=$FN$7)*($QC$6:$QC$42=1))&gt;0)</f>
        <v/>
      </c>
      <c r="QE7">
        <f>$QE$6+--($QD7)</f>
        <v/>
      </c>
      <c r="QF7">
        <f>IF(ROW()-3&gt;MAX($QE$4:$QE$40),"",INDEX($FN$4:$FN$40,MATCH(ROW()-3,$QE$4:$QE$40,0)))</f>
        <v/>
      </c>
      <c r="QG7">
        <f>IF(COUNTIF('Buyer Groups'!DG7:EM7,0)&gt;0,0,1)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Groups'!DH8:EN8,0)&gt;0,0,1)</f>
        <v/>
      </c>
      <c r="LF8">
        <f>IF($O$8="",FALSE,SUMPRODUCT(('Final Calculation Sheet'!$F$4:$F$40=$O$8)*($LE$6:$LE$42=1))&gt;0)</f>
        <v/>
      </c>
      <c r="LG8">
        <f>$LG$7+--($LF8)</f>
        <v/>
      </c>
      <c r="LH8">
        <f>IF(ROW()-3&gt;MAX($LG$4:$LG$40),"",INDEX($O$4:$O$40,MATCH(ROW()-3,$LG$4:$LG$40,0)))</f>
        <v/>
      </c>
      <c r="LI8">
        <f>IF(COUNTIF('Buyer Groups'!DG8:DG8,0)+COUNTIF('Buyer Groups'!DI8:EN8,0)&gt;0,0,1)</f>
        <v/>
      </c>
      <c r="LJ8">
        <f>IF($T$8="",FALSE,SUMPRODUCT(('Final Calculation Sheet'!$G$4:$G$40=$T$8)*($LI$6:$LI$42=1))&gt;0)</f>
        <v/>
      </c>
      <c r="LK8">
        <f>$LK$7+--($LJ8)</f>
        <v/>
      </c>
      <c r="LL8">
        <f>IF(ROW()-3&gt;MAX($LK$4:$LK$40),"",INDEX($T$4:$T$40,MATCH(ROW()-3,$LK$4:$LK$40,0)))</f>
        <v/>
      </c>
      <c r="LM8">
        <f>IF(COUNTIF('Buyer Groups'!DG8:DH8,0)+COUNTIF('Buyer Groups'!DJ8:EN8,0)&gt;0,0,1)</f>
        <v/>
      </c>
      <c r="LN8">
        <f>IF($Y$8="",FALSE,SUMPRODUCT(('Final Calculation Sheet'!$B$4:$B$40=$Y$8)*($LM$6:$LM$42=1))&gt;0)</f>
        <v/>
      </c>
      <c r="LO8">
        <f>$LO$7+--($LN8)</f>
        <v/>
      </c>
      <c r="LP8">
        <f>IF(ROW()-3&gt;MAX($LO$4:$LO$40),"",INDEX($Y$4:$Y$40,MATCH(ROW()-3,$LO$4:$LO$40,0)))</f>
        <v/>
      </c>
      <c r="LQ8">
        <f>IF(COUNTIF('Buyer Groups'!DG8:DI8,0)+COUNTIF('Buyer Groups'!DK8:EN8,0)&gt;0,0,1)</f>
        <v/>
      </c>
      <c r="LR8">
        <f>IF($AD$8="",FALSE,SUMPRODUCT(('Final Calculation Sheet'!$D$4:$D$40=$AD$8)*($LQ$6:$LQ$42=1))&gt;0)</f>
        <v/>
      </c>
      <c r="LS8">
        <f>$LS$7+--($LR8)</f>
        <v/>
      </c>
      <c r="LT8">
        <f>IF(ROW()-3&gt;MAX($LS$4:$LS$40),"",INDEX($AD$4:$AD$40,MATCH(ROW()-3,$LS$4:$LS$40,0)))</f>
        <v/>
      </c>
      <c r="LU8">
        <f>IF(COUNTIF('Buyer Groups'!DG8:DJ8,0)+COUNTIF('Buyer Groups'!DL8:EN8,0)&gt;0,0,1)</f>
        <v/>
      </c>
      <c r="LV8">
        <f>IF($AI$8="",FALSE,SUMPRODUCT(('Final Calculation Sheet'!$A$4:$A$40=$AI$8)*($LU$6:$LU$42=1))&gt;0)</f>
        <v/>
      </c>
      <c r="LW8">
        <f>$LW$7+--($LV8)</f>
        <v/>
      </c>
      <c r="LX8">
        <f>IF(ROW()-3&gt;MAX($LW$4:$LW$40),"",INDEX($AI$4:$AI$40,MATCH(ROW()-3,$LW$4:$LW$40,0)))</f>
        <v/>
      </c>
      <c r="LY8">
        <f>IF(COUNTIF('Buyer Groups'!DG8:DK8,0)+COUNTIF('Buyer Groups'!DM8:EN8,0)&gt;0,0,1)</f>
        <v/>
      </c>
      <c r="LZ8">
        <f>IF($AN$8="",FALSE,SUMPRODUCT(('Final Calculation Sheet'!$E$4:$E$40=$AN$8)*($LY$6:$LY$42=1))&gt;0)</f>
        <v/>
      </c>
      <c r="MA8">
        <f>$MA$7+--($LZ8)</f>
        <v/>
      </c>
      <c r="MB8">
        <f>IF(ROW()-3&gt;MAX($MA$4:$MA$40),"",INDEX($AN$4:$AN$40,MATCH(ROW()-3,$MA$4:$MA$40,0)))</f>
        <v/>
      </c>
      <c r="MC8">
        <f>IF(COUNTIF('Buyer Groups'!DG8:DL8,0)+COUNTIF('Buyer Groups'!DN8:EN8,0)&gt;0,0,1)</f>
        <v/>
      </c>
      <c r="MD8">
        <f>IF($AS$8="",FALSE,SUMPRODUCT(('Final Calculation Sheet'!$C$4:$C$40=$AS$8)*($MC$6:$MC$42=1))&gt;0)</f>
        <v/>
      </c>
      <c r="ME8">
        <f>$ME$7+--($MD8)</f>
        <v/>
      </c>
      <c r="MF8">
        <f>IF(ROW()-3&gt;MAX($ME$4:$ME$40),"",INDEX($AS$4:$AS$40,MATCH(ROW()-3,$ME$4:$ME$40,0)))</f>
        <v/>
      </c>
      <c r="MG8">
        <f>IF(COUNTIF('Buyer Groups'!DG8:DM8,0)+COUNTIF('Buyer Groups'!DO8:EN8,0)&gt;0,0,1)</f>
        <v/>
      </c>
      <c r="MH8">
        <f>IF($AX$8="",FALSE,SUMPRODUCT(('Final Calculation Sheet'!$H$4:$H$40=$AX$8)*($MG$6:$MG$42=1))&gt;0)</f>
        <v/>
      </c>
      <c r="MI8">
        <f>$MI$7+--($MH8)</f>
        <v/>
      </c>
      <c r="MJ8">
        <f>IF(ROW()-3&gt;MAX($MI$4:$MI$40),"",INDEX($AX$4:$AX$40,MATCH(ROW()-3,$MI$4:$MI$40,0)))</f>
        <v/>
      </c>
      <c r="MK8">
        <f>IF(COUNTIF('Buyer Groups'!DG8:DN8,0)+COUNTIF('Buyer Groups'!DP8:EN8,0)&gt;0,0,1)</f>
        <v/>
      </c>
      <c r="ML8">
        <f>IF($BC$8="",FALSE,SUMPRODUCT(('Final Calculation Sheet'!$I$4:$I$40=$BC$8)*($MK$6:$MK$42=1))&gt;0)</f>
        <v/>
      </c>
      <c r="MM8">
        <f>$MM$7+--($ML8)</f>
        <v/>
      </c>
      <c r="MN8">
        <f>IF(ROW()-3&gt;MAX($MM$4:$MM$40),"",INDEX($BC$4:$BC$40,MATCH(ROW()-3,$MM$4:$MM$40,0)))</f>
        <v/>
      </c>
      <c r="MO8">
        <f>IF(COUNTIF('Buyer Groups'!DG8:DO8,0)+COUNTIF('Buyer Groups'!DQ8:EN8,0)&gt;0,0,1)</f>
        <v/>
      </c>
      <c r="MP8">
        <f>IF($BH$8="",FALSE,SUMPRODUCT(('Final Calculation Sheet'!$J$4:$J$40=$BH$8)*($MO$6:$MO$42=1))&gt;0)</f>
        <v/>
      </c>
      <c r="MQ8">
        <f>$MQ$7+--($MP8)</f>
        <v/>
      </c>
      <c r="MR8">
        <f>IF(ROW()-3&gt;MAX($MQ$4:$MQ$40),"",INDEX($BH$4:$BH$40,MATCH(ROW()-3,$MQ$4:$MQ$40,0)))</f>
        <v/>
      </c>
      <c r="MS8">
        <f>IF(COUNTIF('Buyer Groups'!DG8:DP8,0)+COUNTIF('Buyer Groups'!DR8:EN8,0)&gt;0,0,1)</f>
        <v/>
      </c>
      <c r="MT8">
        <f>IF($BM$8="",FALSE,SUMPRODUCT(('Final Calculation Sheet'!$K$4:$K$40=$BM$8)*($MS$6:$MS$42=1))&gt;0)</f>
        <v/>
      </c>
      <c r="MU8">
        <f>$MU$7+--($MT8)</f>
        <v/>
      </c>
      <c r="MV8">
        <f>IF(ROW()-3&gt;MAX($MU$4:$MU$40),"",INDEX($BM$4:$BM$40,MATCH(ROW()-3,$MU$4:$MU$40,0)))</f>
        <v/>
      </c>
      <c r="MW8">
        <f>IF(COUNTIF('Buyer Groups'!DG8:DQ8,0)+COUNTIF('Buyer Groups'!DS8:EN8,0)&gt;0,0,1)</f>
        <v/>
      </c>
      <c r="MX8">
        <f>IF($BR$8="",FALSE,SUMPRODUCT(('Final Calculation Sheet'!$L$4:$L$40=$BR$8)*($MW$6:$MW$42=1))&gt;0)</f>
        <v/>
      </c>
      <c r="MY8">
        <f>$MY$7+--($MX8)</f>
        <v/>
      </c>
      <c r="MZ8">
        <f>IF(ROW()-3&gt;MAX($MY$4:$MY$40),"",INDEX($BR$4:$BR$40,MATCH(ROW()-3,$MY$4:$MY$40,0)))</f>
        <v/>
      </c>
      <c r="NA8">
        <f>IF(COUNTIF('Buyer Groups'!DG8:DR8,0)+COUNTIF('Buyer Groups'!DT8:EN8,0)&gt;0,0,1)</f>
        <v/>
      </c>
      <c r="NB8">
        <f>IF($BW$8="",FALSE,SUMPRODUCT(('Final Calculation Sheet'!$M$4:$M$40=$BW$8)*($NA$6:$NA$42=1))&gt;0)</f>
        <v/>
      </c>
      <c r="NC8">
        <f>$NC$7+--($NB8)</f>
        <v/>
      </c>
      <c r="ND8">
        <f>IF(ROW()-3&gt;MAX($NC$4:$NC$40),"",INDEX($BW$4:$BW$40,MATCH(ROW()-3,$NC$4:$NC$40,0)))</f>
        <v/>
      </c>
      <c r="NE8">
        <f>IF(COUNTIF('Buyer Groups'!DG8:DS8,0)+COUNTIF('Buyer Groups'!DU8:EN8,0)&gt;0,0,1)</f>
        <v/>
      </c>
      <c r="NF8">
        <f>IF($CB$8="",FALSE,SUMPRODUCT(('Final Calculation Sheet'!$N$4:$N$40=$CB$8)*($NE$6:$NE$42=1))&gt;0)</f>
        <v/>
      </c>
      <c r="NG8">
        <f>$NG$7+--($NF8)</f>
        <v/>
      </c>
      <c r="NH8">
        <f>IF(ROW()-3&gt;MAX($NG$4:$NG$40),"",INDEX($CB$4:$CB$40,MATCH(ROW()-3,$NG$4:$NG$40,0)))</f>
        <v/>
      </c>
      <c r="NI8">
        <f>IF(COUNTIF('Buyer Groups'!DG8:DT8,0)+COUNTIF('Buyer Groups'!DV8:EN8,0)&gt;0,0,1)</f>
        <v/>
      </c>
      <c r="NJ8">
        <f>IF($CG$8="",FALSE,SUMPRODUCT(('Final Calculation Sheet'!$O$4:$O$40=$CG$8)*($NI$6:$NI$42=1))&gt;0)</f>
        <v/>
      </c>
      <c r="NK8">
        <f>$NK$7+--($NJ8)</f>
        <v/>
      </c>
      <c r="NL8">
        <f>IF(ROW()-3&gt;MAX($NK$4:$NK$40),"",INDEX($CG$4:$CG$40,MATCH(ROW()-3,$NK$4:$NK$40,0)))</f>
        <v/>
      </c>
      <c r="NM8">
        <f>IF(COUNTIF('Buyer Groups'!DG8:DU8,0)+COUNTIF('Buyer Groups'!DW8:EN8,0)&gt;0,0,1)</f>
        <v/>
      </c>
      <c r="NN8">
        <f>IF($CL$8="",FALSE,SUMPRODUCT(('Final Calculation Sheet'!$P$4:$P$40=$CL$8)*($NM$6:$NM$42=1))&gt;0)</f>
        <v/>
      </c>
      <c r="NO8">
        <f>$NO$7+--($NN8)</f>
        <v/>
      </c>
      <c r="NP8">
        <f>IF(ROW()-3&gt;MAX($NO$4:$NO$40),"",INDEX($CL$4:$CL$40,MATCH(ROW()-3,$NO$4:$NO$40,0)))</f>
        <v/>
      </c>
      <c r="NQ8">
        <f>IF(COUNTIF('Buyer Groups'!DG8:DV8,0)+COUNTIF('Buyer Groups'!DX8:EN8,0)&gt;0,0,1)</f>
        <v/>
      </c>
      <c r="NR8">
        <f>IF($CQ$8="",FALSE,SUMPRODUCT(('Final Calculation Sheet'!$Q$4:$Q$40=$CQ$8)*($NQ$6:$NQ$42=1))&gt;0)</f>
        <v/>
      </c>
      <c r="NS8">
        <f>$NS$7+--($NR8)</f>
        <v/>
      </c>
      <c r="NT8">
        <f>IF(ROW()-3&gt;MAX($NS$4:$NS$40),"",INDEX($CQ$4:$CQ$40,MATCH(ROW()-3,$NS$4:$NS$40,0)))</f>
        <v/>
      </c>
      <c r="NU8">
        <f>IF(COUNTIF('Buyer Groups'!DG8:DW8,0)+COUNTIF('Buyer Groups'!DY8:EN8,0)&gt;0,0,1)</f>
        <v/>
      </c>
      <c r="NV8">
        <f>IF($CV$8="",FALSE,SUMPRODUCT(('Final Calculation Sheet'!$R$4:$R$40=$CV$8)*($NU$6:$NU$42=1))&gt;0)</f>
        <v/>
      </c>
      <c r="NW8">
        <f>$NW$7+--($NV8)</f>
        <v/>
      </c>
      <c r="NX8">
        <f>IF(ROW()-3&gt;MAX($NW$4:$NW$40),"",INDEX($CV$4:$CV$40,MATCH(ROW()-3,$NW$4:$NW$40,0)))</f>
        <v/>
      </c>
      <c r="NY8">
        <f>IF(COUNTIF('Buyer Groups'!DG8:DX8,0)+COUNTIF('Buyer Groups'!DZ8:EN8,0)&gt;0,0,1)</f>
        <v/>
      </c>
      <c r="NZ8">
        <f>IF($DA$8="",FALSE,SUMPRODUCT(('Final Calculation Sheet'!$S$4:$S$40=$DA$8)*($NY$6:$NY$42=1))&gt;0)</f>
        <v/>
      </c>
      <c r="OA8">
        <f>$OA$7+--($NZ8)</f>
        <v/>
      </c>
      <c r="OB8">
        <f>IF(ROW()-3&gt;MAX($OA$4:$OA$40),"",INDEX($DA$4:$DA$40,MATCH(ROW()-3,$OA$4:$OA$40,0)))</f>
        <v/>
      </c>
      <c r="OC8">
        <f>IF(COUNTIF('Buyer Groups'!DG8:DY8,0)+COUNTIF('Buyer Groups'!EA8:EN8,0)&gt;0,0,1)</f>
        <v/>
      </c>
      <c r="OD8">
        <f>IF($DF$8="",FALSE,SUMPRODUCT(('Final Calculation Sheet'!$T$4:$T$40=$DF$8)*($OC$6:$OC$42=1))&gt;0)</f>
        <v/>
      </c>
      <c r="OE8">
        <f>$OE$7+--($OD8)</f>
        <v/>
      </c>
      <c r="OF8">
        <f>IF(ROW()-3&gt;MAX($OE$4:$OE$40),"",INDEX($DF$4:$DF$40,MATCH(ROW()-3,$OE$4:$OE$40,0)))</f>
        <v/>
      </c>
      <c r="OG8">
        <f>IF(COUNTIF('Buyer Groups'!DG8:DZ8,0)+COUNTIF('Buyer Groups'!EB8:EN8,0)&gt;0,0,1)</f>
        <v/>
      </c>
      <c r="OH8">
        <f>IF($DK$8="",FALSE,SUMPRODUCT(('Final Calculation Sheet'!$U$4:$U$40=$DK$8)*($OG$6:$OG$42=1))&gt;0)</f>
        <v/>
      </c>
      <c r="OI8">
        <f>$OI$7+--($OH8)</f>
        <v/>
      </c>
      <c r="OJ8">
        <f>IF(ROW()-3&gt;MAX($OI$4:$OI$40),"",INDEX($DK$4:$DK$40,MATCH(ROW()-3,$OI$4:$OI$40,0)))</f>
        <v/>
      </c>
      <c r="OK8">
        <f>IF(COUNTIF('Buyer Groups'!DG8:EA8,0)+COUNTIF('Buyer Groups'!EC8:EN8,0)&gt;0,0,1)</f>
        <v/>
      </c>
      <c r="OL8">
        <f>IF($DP$8="",FALSE,SUMPRODUCT(('Final Calculation Sheet'!$V$4:$V$40=$DP$8)*($OK$6:$OK$42=1))&gt;0)</f>
        <v/>
      </c>
      <c r="OM8">
        <f>$OM$7+--($OL8)</f>
        <v/>
      </c>
      <c r="ON8">
        <f>IF(ROW()-3&gt;MAX($OM$4:$OM$40),"",INDEX($DP$4:$DP$40,MATCH(ROW()-3,$OM$4:$OM$40,0)))</f>
        <v/>
      </c>
      <c r="OO8">
        <f>IF(COUNTIF('Buyer Groups'!DG8:EB8,0)+COUNTIF('Buyer Groups'!ED8:EN8,0)&gt;0,0,1)</f>
        <v/>
      </c>
      <c r="OP8">
        <f>IF($DU$8="",FALSE,SUMPRODUCT(('Final Calculation Sheet'!$W$4:$W$40=$DU$8)*($OO$6:$OO$42=1))&gt;0)</f>
        <v/>
      </c>
      <c r="OQ8">
        <f>$OQ$7+--($OP8)</f>
        <v/>
      </c>
      <c r="OR8">
        <f>IF(ROW()-3&gt;MAX($OQ$4:$OQ$40),"",INDEX($DU$4:$DU$40,MATCH(ROW()-3,$OQ$4:$OQ$40,0)))</f>
        <v/>
      </c>
      <c r="OS8">
        <f>IF(COUNTIF('Buyer Groups'!DG8:EC8,0)+COUNTIF('Buyer Groups'!EE8:EN8,0)&gt;0,0,1)</f>
        <v/>
      </c>
      <c r="OT8">
        <f>IF($DZ$8="",FALSE,SUMPRODUCT(('Final Calculation Sheet'!$X$4:$X$40=$DZ$8)*($OS$6:$OS$42=1))&gt;0)</f>
        <v/>
      </c>
      <c r="OU8">
        <f>$OU$7+--($OT8)</f>
        <v/>
      </c>
      <c r="OV8">
        <f>IF(ROW()-3&gt;MAX($OU$4:$OU$40),"",INDEX($DZ$4:$DZ$40,MATCH(ROW()-3,$OU$4:$OU$40,0)))</f>
        <v/>
      </c>
      <c r="OW8">
        <f>IF(COUNTIF('Buyer Groups'!DG8:ED8,0)+COUNTIF('Buyer Groups'!EF8:EN8,0)&gt;0,0,1)</f>
        <v/>
      </c>
      <c r="OX8">
        <f>IF($EE$8="",FALSE,SUMPRODUCT(('Final Calculation Sheet'!$Y$4:$Y$40=$EE$8)*($OW$6:$OW$42=1))&gt;0)</f>
        <v/>
      </c>
      <c r="OY8">
        <f>$OY$7+--($OX8)</f>
        <v/>
      </c>
      <c r="OZ8">
        <f>IF(ROW()-3&gt;MAX($OY$4:$OY$40),"",INDEX($EE$4:$EE$40,MATCH(ROW()-3,$OY$4:$OY$40,0)))</f>
        <v/>
      </c>
      <c r="PA8">
        <f>IF(COUNTIF('Buyer Groups'!DG8:EE8,0)+COUNTIF('Buyer Groups'!EG8:EN8,0)&gt;0,0,1)</f>
        <v/>
      </c>
      <c r="PB8">
        <f>IF($EJ$8="",FALSE,SUMPRODUCT(('Final Calculation Sheet'!$Z$4:$Z$40=$EJ$8)*($PA$6:$PA$42=1))&gt;0)</f>
        <v/>
      </c>
      <c r="PC8">
        <f>$PC$7+--($PB8)</f>
        <v/>
      </c>
      <c r="PD8">
        <f>IF(ROW()-3&gt;MAX($PC$4:$PC$40),"",INDEX($EJ$4:$EJ$40,MATCH(ROW()-3,$PC$4:$PC$40,0)))</f>
        <v/>
      </c>
      <c r="PE8">
        <f>IF(COUNTIF('Buyer Groups'!DG8:EF8,0)+COUNTIF('Buyer Groups'!EH8:EN8,0)&gt;0,0,1)</f>
        <v/>
      </c>
      <c r="PF8">
        <f>IF($EO$8="",FALSE,SUMPRODUCT(('Final Calculation Sheet'!$AA$4:$AA$40=$EO$8)*($PE$6:$PE$42=1))&gt;0)</f>
        <v/>
      </c>
      <c r="PG8">
        <f>$PG$7+--($PF8)</f>
        <v/>
      </c>
      <c r="PH8">
        <f>IF(ROW()-3&gt;MAX($PG$4:$PG$40),"",INDEX($EO$4:$EO$40,MATCH(ROW()-3,$PG$4:$PG$40,0)))</f>
        <v/>
      </c>
      <c r="PI8">
        <f>IF(COUNTIF('Buyer Groups'!DG8:EG8,0)+COUNTIF('Buyer Groups'!EI8:EN8,0)&gt;0,0,1)</f>
        <v/>
      </c>
      <c r="PJ8">
        <f>IF($ET$8="",FALSE,SUMPRODUCT(('Final Calculation Sheet'!$AB$4:$AB$40=$ET$8)*($PI$6:$PI$42=1))&gt;0)</f>
        <v/>
      </c>
      <c r="PK8">
        <f>$PK$7+--($PJ8)</f>
        <v/>
      </c>
      <c r="PL8">
        <f>IF(ROW()-3&gt;MAX($PK$4:$PK$40),"",INDEX($ET$4:$ET$40,MATCH(ROW()-3,$PK$4:$PK$40,0)))</f>
        <v/>
      </c>
      <c r="PM8">
        <f>IF(COUNTIF('Buyer Groups'!DG8:EH8,0)+COUNTIF('Buyer Groups'!EJ8:EN8,0)&gt;0,0,1)</f>
        <v/>
      </c>
      <c r="PN8">
        <f>IF($EY$8="",FALSE,SUMPRODUCT(('Final Calculation Sheet'!$AC$4:$AC$40=$EY$8)*($PM$6:$PM$42=1))&gt;0)</f>
        <v/>
      </c>
      <c r="PO8">
        <f>$PO$7+--($PN8)</f>
        <v/>
      </c>
      <c r="PP8">
        <f>IF(ROW()-3&gt;MAX($PO$4:$PO$40),"",INDEX($EY$4:$EY$40,MATCH(ROW()-3,$PO$4:$PO$40,0)))</f>
        <v/>
      </c>
      <c r="PQ8">
        <f>IF(COUNTIF('Buyer Groups'!DG8:EI8,0)+COUNTIF('Buyer Groups'!EK8:EN8,0)&gt;0,0,1)</f>
        <v/>
      </c>
      <c r="PR8">
        <f>IF($FD$8="",FALSE,SUMPRODUCT(('Final Calculation Sheet'!$AD$4:$AD$40=$FD$8)*($PQ$6:$PQ$42=1))&gt;0)</f>
        <v/>
      </c>
      <c r="PS8">
        <f>$PS$7+--($PR8)</f>
        <v/>
      </c>
      <c r="PT8">
        <f>IF(ROW()-3&gt;MAX($PS$4:$PS$40),"",INDEX($FD$4:$FD$40,MATCH(ROW()-3,$PS$4:$PS$40,0)))</f>
        <v/>
      </c>
      <c r="PU8">
        <f>IF(COUNTIF('Buyer Groups'!DG8:EJ8,0)+COUNTIF('Buyer Groups'!EL8:EN8,0)&gt;0,0,1)</f>
        <v/>
      </c>
      <c r="PV8">
        <f>IF($FX$8="",FALSE,SUMPRODUCT((IF('Final Calculation Sheet'!$AD$4:$AD$40&lt;=5,"SETTLED","OUTSTANDING")=$FX$8)*($PU$6:$PU$42=1))&gt;0)</f>
        <v/>
      </c>
      <c r="PW8">
        <f>$PW$7+--($PV8)</f>
        <v/>
      </c>
      <c r="PX8">
        <f>IF(ROW()-3&gt;MAX($PW$4:$PW$40),"",INDEX($FX$4:$FX$40,MATCH(ROW()-3,$PW$4:$PW$40,0)))</f>
        <v/>
      </c>
      <c r="PY8">
        <f>IF(COUNTIF('Buyer Groups'!DG8:EK8,0)+COUNTIF('Buyer Groups'!EM8:EN8,0)&gt;0,0,1)</f>
        <v/>
      </c>
      <c r="PZ8">
        <f>IF($FI$8="",FALSE,SUMPRODUCT(('Final Calculation Sheet'!$AF$4:$AF$40=$FI$8)*($PY$6:$PY$42=1))&gt;0)</f>
        <v/>
      </c>
      <c r="QA8">
        <f>$QA$7+--($PZ8)</f>
        <v/>
      </c>
      <c r="QB8">
        <f>IF(ROW()-3&gt;MAX($QA$4:$QA$40),"",INDEX($FI$4:$FI$40,MATCH(ROW()-3,$QA$4:$QA$40,0)))</f>
        <v/>
      </c>
      <c r="QC8">
        <f>IF(COUNTIF('Buyer Groups'!DG8:EL8,0)+COUNTIF('Buyer Groups'!EN8:EN8,0)&gt;0,0,1)</f>
        <v/>
      </c>
      <c r="QD8">
        <f>IF($FN$8="",FALSE,SUMPRODUCT(('Final Calculation Sheet'!$AG$4:$AG$40=$FN$8)*($QC$6:$QC$42=1))&gt;0)</f>
        <v/>
      </c>
      <c r="QE8">
        <f>$QE$7+--($QD8)</f>
        <v/>
      </c>
      <c r="QF8">
        <f>IF(ROW()-3&gt;MAX($QE$4:$QE$40),"",INDEX($FN$4:$FN$40,MATCH(ROW()-3,$QE$4:$QE$40,0)))</f>
        <v/>
      </c>
      <c r="QG8">
        <f>IF(COUNTIF('Buyer Groups'!DG8:EM8,0)&gt;0,0,1)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Groups'!DH9:EN9,0)&gt;0,0,1)</f>
        <v/>
      </c>
      <c r="LF9">
        <f>IF($O$9="",FALSE,SUMPRODUCT(('Final Calculation Sheet'!$F$4:$F$40=$O$9)*($LE$6:$LE$42=1))&gt;0)</f>
        <v/>
      </c>
      <c r="LG9">
        <f>$LG$8+--($LF9)</f>
        <v/>
      </c>
      <c r="LH9">
        <f>IF(ROW()-3&gt;MAX($LG$4:$LG$40),"",INDEX($O$4:$O$40,MATCH(ROW()-3,$LG$4:$LG$40,0)))</f>
        <v/>
      </c>
      <c r="LI9">
        <f>IF(COUNTIF('Buyer Groups'!DG9:DG9,0)+COUNTIF('Buyer Groups'!DI9:EN9,0)&gt;0,0,1)</f>
        <v/>
      </c>
      <c r="LJ9">
        <f>IF($T$9="",FALSE,SUMPRODUCT(('Final Calculation Sheet'!$G$4:$G$40=$T$9)*($LI$6:$LI$42=1))&gt;0)</f>
        <v/>
      </c>
      <c r="LK9">
        <f>$LK$8+--($LJ9)</f>
        <v/>
      </c>
      <c r="LL9">
        <f>IF(ROW()-3&gt;MAX($LK$4:$LK$40),"",INDEX($T$4:$T$40,MATCH(ROW()-3,$LK$4:$LK$40,0)))</f>
        <v/>
      </c>
      <c r="LM9">
        <f>IF(COUNTIF('Buyer Groups'!DG9:DH9,0)+COUNTIF('Buyer Groups'!DJ9:EN9,0)&gt;0,0,1)</f>
        <v/>
      </c>
      <c r="LN9">
        <f>IF($Y$9="",FALSE,SUMPRODUCT(('Final Calculation Sheet'!$B$4:$B$40=$Y$9)*($LM$6:$LM$42=1))&gt;0)</f>
        <v/>
      </c>
      <c r="LO9">
        <f>$LO$8+--($LN9)</f>
        <v/>
      </c>
      <c r="LP9">
        <f>IF(ROW()-3&gt;MAX($LO$4:$LO$40),"",INDEX($Y$4:$Y$40,MATCH(ROW()-3,$LO$4:$LO$40,0)))</f>
        <v/>
      </c>
      <c r="LQ9">
        <f>IF(COUNTIF('Buyer Groups'!DG9:DI9,0)+COUNTIF('Buyer Groups'!DK9:EN9,0)&gt;0,0,1)</f>
        <v/>
      </c>
      <c r="LR9">
        <f>IF($AD$9="",FALSE,SUMPRODUCT(('Final Calculation Sheet'!$D$4:$D$40=$AD$9)*($LQ$6:$LQ$42=1))&gt;0)</f>
        <v/>
      </c>
      <c r="LS9">
        <f>$LS$8+--($LR9)</f>
        <v/>
      </c>
      <c r="LT9">
        <f>IF(ROW()-3&gt;MAX($LS$4:$LS$40),"",INDEX($AD$4:$AD$40,MATCH(ROW()-3,$LS$4:$LS$40,0)))</f>
        <v/>
      </c>
      <c r="LU9">
        <f>IF(COUNTIF('Buyer Groups'!DG9:DJ9,0)+COUNTIF('Buyer Groups'!DL9:EN9,0)&gt;0,0,1)</f>
        <v/>
      </c>
      <c r="LV9">
        <f>IF($AI$9="",FALSE,SUMPRODUCT(('Final Calculation Sheet'!$A$4:$A$40=$AI$9)*($LU$6:$LU$42=1))&gt;0)</f>
        <v/>
      </c>
      <c r="LW9">
        <f>$LW$8+--($LV9)</f>
        <v/>
      </c>
      <c r="LX9">
        <f>IF(ROW()-3&gt;MAX($LW$4:$LW$40),"",INDEX($AI$4:$AI$40,MATCH(ROW()-3,$LW$4:$LW$40,0)))</f>
        <v/>
      </c>
      <c r="LY9">
        <f>IF(COUNTIF('Buyer Groups'!DG9:DK9,0)+COUNTIF('Buyer Groups'!DM9:EN9,0)&gt;0,0,1)</f>
        <v/>
      </c>
      <c r="LZ9">
        <f>IF($AN$9="",FALSE,SUMPRODUCT(('Final Calculation Sheet'!$E$4:$E$40=$AN$9)*($LY$6:$LY$42=1))&gt;0)</f>
        <v/>
      </c>
      <c r="MA9">
        <f>$MA$8+--($LZ9)</f>
        <v/>
      </c>
      <c r="MB9">
        <f>IF(ROW()-3&gt;MAX($MA$4:$MA$40),"",INDEX($AN$4:$AN$40,MATCH(ROW()-3,$MA$4:$MA$40,0)))</f>
        <v/>
      </c>
      <c r="MC9">
        <f>IF(COUNTIF('Buyer Groups'!DG9:DL9,0)+COUNTIF('Buyer Groups'!DN9:EN9,0)&gt;0,0,1)</f>
        <v/>
      </c>
      <c r="MD9">
        <f>IF($AS$9="",FALSE,SUMPRODUCT(('Final Calculation Sheet'!$C$4:$C$40=$AS$9)*($MC$6:$MC$42=1))&gt;0)</f>
        <v/>
      </c>
      <c r="ME9">
        <f>$ME$8+--($MD9)</f>
        <v/>
      </c>
      <c r="MF9">
        <f>IF(ROW()-3&gt;MAX($ME$4:$ME$40),"",INDEX($AS$4:$AS$40,MATCH(ROW()-3,$ME$4:$ME$40,0)))</f>
        <v/>
      </c>
      <c r="MG9">
        <f>IF(COUNTIF('Buyer Groups'!DG9:DM9,0)+COUNTIF('Buyer Groups'!DO9:EN9,0)&gt;0,0,1)</f>
        <v/>
      </c>
      <c r="MH9">
        <f>IF($AX$9="",FALSE,SUMPRODUCT(('Final Calculation Sheet'!$H$4:$H$40=$AX$9)*($MG$6:$MG$42=1))&gt;0)</f>
        <v/>
      </c>
      <c r="MI9">
        <f>$MI$8+--($MH9)</f>
        <v/>
      </c>
      <c r="MJ9">
        <f>IF(ROW()-3&gt;MAX($MI$4:$MI$40),"",INDEX($AX$4:$AX$40,MATCH(ROW()-3,$MI$4:$MI$40,0)))</f>
        <v/>
      </c>
      <c r="MK9">
        <f>IF(COUNTIF('Buyer Groups'!DG9:DN9,0)+COUNTIF('Buyer Groups'!DP9:EN9,0)&gt;0,0,1)</f>
        <v/>
      </c>
      <c r="ML9">
        <f>IF($BC$9="",FALSE,SUMPRODUCT(('Final Calculation Sheet'!$I$4:$I$40=$BC$9)*($MK$6:$MK$42=1))&gt;0)</f>
        <v/>
      </c>
      <c r="MM9">
        <f>$MM$8+--($ML9)</f>
        <v/>
      </c>
      <c r="MN9">
        <f>IF(ROW()-3&gt;MAX($MM$4:$MM$40),"",INDEX($BC$4:$BC$40,MATCH(ROW()-3,$MM$4:$MM$40,0)))</f>
        <v/>
      </c>
      <c r="MO9">
        <f>IF(COUNTIF('Buyer Groups'!DG9:DO9,0)+COUNTIF('Buyer Groups'!DQ9:EN9,0)&gt;0,0,1)</f>
        <v/>
      </c>
      <c r="MP9">
        <f>IF($BH$9="",FALSE,SUMPRODUCT(('Final Calculation Sheet'!$J$4:$J$40=$BH$9)*($MO$6:$MO$42=1))&gt;0)</f>
        <v/>
      </c>
      <c r="MQ9">
        <f>$MQ$8+--($MP9)</f>
        <v/>
      </c>
      <c r="MR9">
        <f>IF(ROW()-3&gt;MAX($MQ$4:$MQ$40),"",INDEX($BH$4:$BH$40,MATCH(ROW()-3,$MQ$4:$MQ$40,0)))</f>
        <v/>
      </c>
      <c r="MS9">
        <f>IF(COUNTIF('Buyer Groups'!DG9:DP9,0)+COUNTIF('Buyer Groups'!DR9:EN9,0)&gt;0,0,1)</f>
        <v/>
      </c>
      <c r="MT9">
        <f>IF($BM$9="",FALSE,SUMPRODUCT(('Final Calculation Sheet'!$K$4:$K$40=$BM$9)*($MS$6:$MS$42=1))&gt;0)</f>
        <v/>
      </c>
      <c r="MU9">
        <f>$MU$8+--($MT9)</f>
        <v/>
      </c>
      <c r="MV9">
        <f>IF(ROW()-3&gt;MAX($MU$4:$MU$40),"",INDEX($BM$4:$BM$40,MATCH(ROW()-3,$MU$4:$MU$40,0)))</f>
        <v/>
      </c>
      <c r="MW9">
        <f>IF(COUNTIF('Buyer Groups'!DG9:DQ9,0)+COUNTIF('Buyer Groups'!DS9:EN9,0)&gt;0,0,1)</f>
        <v/>
      </c>
      <c r="MX9">
        <f>IF($BR$9="",FALSE,SUMPRODUCT(('Final Calculation Sheet'!$L$4:$L$40=$BR$9)*($MW$6:$MW$42=1))&gt;0)</f>
        <v/>
      </c>
      <c r="MY9">
        <f>$MY$8+--($MX9)</f>
        <v/>
      </c>
      <c r="MZ9">
        <f>IF(ROW()-3&gt;MAX($MY$4:$MY$40),"",INDEX($BR$4:$BR$40,MATCH(ROW()-3,$MY$4:$MY$40,0)))</f>
        <v/>
      </c>
      <c r="NA9">
        <f>IF(COUNTIF('Buyer Groups'!DG9:DR9,0)+COUNTIF('Buyer Groups'!DT9:EN9,0)&gt;0,0,1)</f>
        <v/>
      </c>
      <c r="NB9">
        <f>IF($BW$9="",FALSE,SUMPRODUCT(('Final Calculation Sheet'!$M$4:$M$40=$BW$9)*($NA$6:$NA$42=1))&gt;0)</f>
        <v/>
      </c>
      <c r="NC9">
        <f>$NC$8+--($NB9)</f>
        <v/>
      </c>
      <c r="ND9">
        <f>IF(ROW()-3&gt;MAX($NC$4:$NC$40),"",INDEX($BW$4:$BW$40,MATCH(ROW()-3,$NC$4:$NC$40,0)))</f>
        <v/>
      </c>
      <c r="NE9">
        <f>IF(COUNTIF('Buyer Groups'!DG9:DS9,0)+COUNTIF('Buyer Groups'!DU9:EN9,0)&gt;0,0,1)</f>
        <v/>
      </c>
      <c r="NF9">
        <f>IF($CB$9="",FALSE,SUMPRODUCT(('Final Calculation Sheet'!$N$4:$N$40=$CB$9)*($NE$6:$NE$42=1))&gt;0)</f>
        <v/>
      </c>
      <c r="NG9">
        <f>$NG$8+--($NF9)</f>
        <v/>
      </c>
      <c r="NH9">
        <f>IF(ROW()-3&gt;MAX($NG$4:$NG$40),"",INDEX($CB$4:$CB$40,MATCH(ROW()-3,$NG$4:$NG$40,0)))</f>
        <v/>
      </c>
      <c r="NI9">
        <f>IF(COUNTIF('Buyer Groups'!DG9:DT9,0)+COUNTIF('Buyer Groups'!DV9:EN9,0)&gt;0,0,1)</f>
        <v/>
      </c>
      <c r="NJ9">
        <f>IF($CG$9="",FALSE,SUMPRODUCT(('Final Calculation Sheet'!$O$4:$O$40=$CG$9)*($NI$6:$NI$42=1))&gt;0)</f>
        <v/>
      </c>
      <c r="NK9">
        <f>$NK$8+--($NJ9)</f>
        <v/>
      </c>
      <c r="NL9">
        <f>IF(ROW()-3&gt;MAX($NK$4:$NK$40),"",INDEX($CG$4:$CG$40,MATCH(ROW()-3,$NK$4:$NK$40,0)))</f>
        <v/>
      </c>
      <c r="NM9">
        <f>IF(COUNTIF('Buyer Groups'!DG9:DU9,0)+COUNTIF('Buyer Groups'!DW9:EN9,0)&gt;0,0,1)</f>
        <v/>
      </c>
      <c r="NN9">
        <f>IF($CL$9="",FALSE,SUMPRODUCT(('Final Calculation Sheet'!$P$4:$P$40=$CL$9)*($NM$6:$NM$42=1))&gt;0)</f>
        <v/>
      </c>
      <c r="NO9">
        <f>$NO$8+--($NN9)</f>
        <v/>
      </c>
      <c r="NP9">
        <f>IF(ROW()-3&gt;MAX($NO$4:$NO$40),"",INDEX($CL$4:$CL$40,MATCH(ROW()-3,$NO$4:$NO$40,0)))</f>
        <v/>
      </c>
      <c r="NQ9">
        <f>IF(COUNTIF('Buyer Groups'!DG9:DV9,0)+COUNTIF('Buyer Groups'!DX9:EN9,0)&gt;0,0,1)</f>
        <v/>
      </c>
      <c r="NR9">
        <f>IF($CQ$9="",FALSE,SUMPRODUCT(('Final Calculation Sheet'!$Q$4:$Q$40=$CQ$9)*($NQ$6:$NQ$42=1))&gt;0)</f>
        <v/>
      </c>
      <c r="NS9">
        <f>$NS$8+--($NR9)</f>
        <v/>
      </c>
      <c r="NT9">
        <f>IF(ROW()-3&gt;MAX($NS$4:$NS$40),"",INDEX($CQ$4:$CQ$40,MATCH(ROW()-3,$NS$4:$NS$40,0)))</f>
        <v/>
      </c>
      <c r="NU9">
        <f>IF(COUNTIF('Buyer Groups'!DG9:DW9,0)+COUNTIF('Buyer Groups'!DY9:EN9,0)&gt;0,0,1)</f>
        <v/>
      </c>
      <c r="NV9">
        <f>IF($CV$9="",FALSE,SUMPRODUCT(('Final Calculation Sheet'!$R$4:$R$40=$CV$9)*($NU$6:$NU$42=1))&gt;0)</f>
        <v/>
      </c>
      <c r="NW9">
        <f>$NW$8+--($NV9)</f>
        <v/>
      </c>
      <c r="NX9">
        <f>IF(ROW()-3&gt;MAX($NW$4:$NW$40),"",INDEX($CV$4:$CV$40,MATCH(ROW()-3,$NW$4:$NW$40,0)))</f>
        <v/>
      </c>
      <c r="NY9">
        <f>IF(COUNTIF('Buyer Groups'!DG9:DX9,0)+COUNTIF('Buyer Groups'!DZ9:EN9,0)&gt;0,0,1)</f>
        <v/>
      </c>
      <c r="NZ9">
        <f>IF($DA$9="",FALSE,SUMPRODUCT(('Final Calculation Sheet'!$S$4:$S$40=$DA$9)*($NY$6:$NY$42=1))&gt;0)</f>
        <v/>
      </c>
      <c r="OA9">
        <f>$OA$8+--($NZ9)</f>
        <v/>
      </c>
      <c r="OB9">
        <f>IF(ROW()-3&gt;MAX($OA$4:$OA$40),"",INDEX($DA$4:$DA$40,MATCH(ROW()-3,$OA$4:$OA$40,0)))</f>
        <v/>
      </c>
      <c r="OC9">
        <f>IF(COUNTIF('Buyer Groups'!DG9:DY9,0)+COUNTIF('Buyer Groups'!EA9:EN9,0)&gt;0,0,1)</f>
        <v/>
      </c>
      <c r="OD9">
        <f>IF($DF$9="",FALSE,SUMPRODUCT(('Final Calculation Sheet'!$T$4:$T$40=$DF$9)*($OC$6:$OC$42=1))&gt;0)</f>
        <v/>
      </c>
      <c r="OE9">
        <f>$OE$8+--($OD9)</f>
        <v/>
      </c>
      <c r="OF9">
        <f>IF(ROW()-3&gt;MAX($OE$4:$OE$40),"",INDEX($DF$4:$DF$40,MATCH(ROW()-3,$OE$4:$OE$40,0)))</f>
        <v/>
      </c>
      <c r="OG9">
        <f>IF(COUNTIF('Buyer Groups'!DG9:DZ9,0)+COUNTIF('Buyer Groups'!EB9:EN9,0)&gt;0,0,1)</f>
        <v/>
      </c>
      <c r="OH9">
        <f>IF($DK$9="",FALSE,SUMPRODUCT(('Final Calculation Sheet'!$U$4:$U$40=$DK$9)*($OG$6:$OG$42=1))&gt;0)</f>
        <v/>
      </c>
      <c r="OI9">
        <f>$OI$8+--($OH9)</f>
        <v/>
      </c>
      <c r="OJ9">
        <f>IF(ROW()-3&gt;MAX($OI$4:$OI$40),"",INDEX($DK$4:$DK$40,MATCH(ROW()-3,$OI$4:$OI$40,0)))</f>
        <v/>
      </c>
      <c r="OK9">
        <f>IF(COUNTIF('Buyer Groups'!DG9:EA9,0)+COUNTIF('Buyer Groups'!EC9:EN9,0)&gt;0,0,1)</f>
        <v/>
      </c>
      <c r="OL9">
        <f>IF($DP$9="",FALSE,SUMPRODUCT(('Final Calculation Sheet'!$V$4:$V$40=$DP$9)*($OK$6:$OK$42=1))&gt;0)</f>
        <v/>
      </c>
      <c r="OM9">
        <f>$OM$8+--($OL9)</f>
        <v/>
      </c>
      <c r="ON9">
        <f>IF(ROW()-3&gt;MAX($OM$4:$OM$40),"",INDEX($DP$4:$DP$40,MATCH(ROW()-3,$OM$4:$OM$40,0)))</f>
        <v/>
      </c>
      <c r="OO9">
        <f>IF(COUNTIF('Buyer Groups'!DG9:EB9,0)+COUNTIF('Buyer Groups'!ED9:EN9,0)&gt;0,0,1)</f>
        <v/>
      </c>
      <c r="OP9">
        <f>IF($DU$9="",FALSE,SUMPRODUCT(('Final Calculation Sheet'!$W$4:$W$40=$DU$9)*($OO$6:$OO$42=1))&gt;0)</f>
        <v/>
      </c>
      <c r="OQ9">
        <f>$OQ$8+--($OP9)</f>
        <v/>
      </c>
      <c r="OR9">
        <f>IF(ROW()-3&gt;MAX($OQ$4:$OQ$40),"",INDEX($DU$4:$DU$40,MATCH(ROW()-3,$OQ$4:$OQ$40,0)))</f>
        <v/>
      </c>
      <c r="OS9">
        <f>IF(COUNTIF('Buyer Groups'!DG9:EC9,0)+COUNTIF('Buyer Groups'!EE9:EN9,0)&gt;0,0,1)</f>
        <v/>
      </c>
      <c r="OT9">
        <f>IF($DZ$9="",FALSE,SUMPRODUCT(('Final Calculation Sheet'!$X$4:$X$40=$DZ$9)*($OS$6:$OS$42=1))&gt;0)</f>
        <v/>
      </c>
      <c r="OU9">
        <f>$OU$8+--($OT9)</f>
        <v/>
      </c>
      <c r="OV9">
        <f>IF(ROW()-3&gt;MAX($OU$4:$OU$40),"",INDEX($DZ$4:$DZ$40,MATCH(ROW()-3,$OU$4:$OU$40,0)))</f>
        <v/>
      </c>
      <c r="OW9">
        <f>IF(COUNTIF('Buyer Groups'!DG9:ED9,0)+COUNTIF('Buyer Groups'!EF9:EN9,0)&gt;0,0,1)</f>
        <v/>
      </c>
      <c r="OX9">
        <f>IF($EE$9="",FALSE,SUMPRODUCT(('Final Calculation Sheet'!$Y$4:$Y$40=$EE$9)*($OW$6:$OW$42=1))&gt;0)</f>
        <v/>
      </c>
      <c r="OY9">
        <f>$OY$8+--($OX9)</f>
        <v/>
      </c>
      <c r="OZ9">
        <f>IF(ROW()-3&gt;MAX($OY$4:$OY$40),"",INDEX($EE$4:$EE$40,MATCH(ROW()-3,$OY$4:$OY$40,0)))</f>
        <v/>
      </c>
      <c r="PA9">
        <f>IF(COUNTIF('Buyer Groups'!DG9:EE9,0)+COUNTIF('Buyer Groups'!EG9:EN9,0)&gt;0,0,1)</f>
        <v/>
      </c>
      <c r="PB9">
        <f>IF($EJ$9="",FALSE,SUMPRODUCT(('Final Calculation Sheet'!$Z$4:$Z$40=$EJ$9)*($PA$6:$PA$42=1))&gt;0)</f>
        <v/>
      </c>
      <c r="PC9">
        <f>$PC$8+--($PB9)</f>
        <v/>
      </c>
      <c r="PD9">
        <f>IF(ROW()-3&gt;MAX($PC$4:$PC$40),"",INDEX($EJ$4:$EJ$40,MATCH(ROW()-3,$PC$4:$PC$40,0)))</f>
        <v/>
      </c>
      <c r="PE9">
        <f>IF(COUNTIF('Buyer Groups'!DG9:EF9,0)+COUNTIF('Buyer Groups'!EH9:EN9,0)&gt;0,0,1)</f>
        <v/>
      </c>
      <c r="PF9">
        <f>IF($EO$9="",FALSE,SUMPRODUCT(('Final Calculation Sheet'!$AA$4:$AA$40=$EO$9)*($PE$6:$PE$42=1))&gt;0)</f>
        <v/>
      </c>
      <c r="PG9">
        <f>$PG$8+--($PF9)</f>
        <v/>
      </c>
      <c r="PH9">
        <f>IF(ROW()-3&gt;MAX($PG$4:$PG$40),"",INDEX($EO$4:$EO$40,MATCH(ROW()-3,$PG$4:$PG$40,0)))</f>
        <v/>
      </c>
      <c r="PI9">
        <f>IF(COUNTIF('Buyer Groups'!DG9:EG9,0)+COUNTIF('Buyer Groups'!EI9:EN9,0)&gt;0,0,1)</f>
        <v/>
      </c>
      <c r="PJ9">
        <f>IF($ET$9="",FALSE,SUMPRODUCT(('Final Calculation Sheet'!$AB$4:$AB$40=$ET$9)*($PI$6:$PI$42=1))&gt;0)</f>
        <v/>
      </c>
      <c r="PK9">
        <f>$PK$8+--($PJ9)</f>
        <v/>
      </c>
      <c r="PL9">
        <f>IF(ROW()-3&gt;MAX($PK$4:$PK$40),"",INDEX($ET$4:$ET$40,MATCH(ROW()-3,$PK$4:$PK$40,0)))</f>
        <v/>
      </c>
      <c r="PM9">
        <f>IF(COUNTIF('Buyer Groups'!DG9:EH9,0)+COUNTIF('Buyer Groups'!EJ9:EN9,0)&gt;0,0,1)</f>
        <v/>
      </c>
      <c r="PN9">
        <f>IF($EY$9="",FALSE,SUMPRODUCT(('Final Calculation Sheet'!$AC$4:$AC$40=$EY$9)*($PM$6:$PM$42=1))&gt;0)</f>
        <v/>
      </c>
      <c r="PO9">
        <f>$PO$8+--($PN9)</f>
        <v/>
      </c>
      <c r="PP9">
        <f>IF(ROW()-3&gt;MAX($PO$4:$PO$40),"",INDEX($EY$4:$EY$40,MATCH(ROW()-3,$PO$4:$PO$40,0)))</f>
        <v/>
      </c>
      <c r="PQ9">
        <f>IF(COUNTIF('Buyer Groups'!DG9:EI9,0)+COUNTIF('Buyer Groups'!EK9:EN9,0)&gt;0,0,1)</f>
        <v/>
      </c>
      <c r="PR9">
        <f>IF($FD$9="",FALSE,SUMPRODUCT(('Final Calculation Sheet'!$AD$4:$AD$40=$FD$9)*($PQ$6:$PQ$42=1))&gt;0)</f>
        <v/>
      </c>
      <c r="PS9">
        <f>$PS$8+--($PR9)</f>
        <v/>
      </c>
      <c r="PT9">
        <f>IF(ROW()-3&gt;MAX($PS$4:$PS$40),"",INDEX($FD$4:$FD$40,MATCH(ROW()-3,$PS$4:$PS$40,0)))</f>
        <v/>
      </c>
      <c r="PU9">
        <f>IF(COUNTIF('Buyer Groups'!DG9:EJ9,0)+COUNTIF('Buyer Groups'!EL9:EN9,0)&gt;0,0,1)</f>
        <v/>
      </c>
      <c r="PV9">
        <f>IF($FX$9="",FALSE,SUMPRODUCT((IF('Final Calculation Sheet'!$AD$4:$AD$40&lt;=5,"SETTLED","OUTSTANDING")=$FX$9)*($PU$6:$PU$42=1))&gt;0)</f>
        <v/>
      </c>
      <c r="PW9">
        <f>$PW$8+--($PV9)</f>
        <v/>
      </c>
      <c r="PX9">
        <f>IF(ROW()-3&gt;MAX($PW$4:$PW$40),"",INDEX($FX$4:$FX$40,MATCH(ROW()-3,$PW$4:$PW$40,0)))</f>
        <v/>
      </c>
      <c r="PY9">
        <f>IF(COUNTIF('Buyer Groups'!DG9:EK9,0)+COUNTIF('Buyer Groups'!EM9:EN9,0)&gt;0,0,1)</f>
        <v/>
      </c>
      <c r="PZ9">
        <f>IF($FI$9="",FALSE,SUMPRODUCT(('Final Calculation Sheet'!$AF$4:$AF$40=$FI$9)*($PY$6:$PY$42=1))&gt;0)</f>
        <v/>
      </c>
      <c r="QA9">
        <f>$QA$8+--($PZ9)</f>
        <v/>
      </c>
      <c r="QB9">
        <f>IF(ROW()-3&gt;MAX($QA$4:$QA$40),"",INDEX($FI$4:$FI$40,MATCH(ROW()-3,$QA$4:$QA$40,0)))</f>
        <v/>
      </c>
      <c r="QC9">
        <f>IF(COUNTIF('Buyer Groups'!DG9:EL9,0)+COUNTIF('Buyer Groups'!EN9:EN9,0)&gt;0,0,1)</f>
        <v/>
      </c>
      <c r="QD9">
        <f>IF($FN$9="",FALSE,SUMPRODUCT(('Final Calculation Sheet'!$AG$4:$AG$40=$FN$9)*($QC$6:$QC$42=1))&gt;0)</f>
        <v/>
      </c>
      <c r="QE9">
        <f>$QE$8+--($QD9)</f>
        <v/>
      </c>
      <c r="QF9">
        <f>IF(ROW()-3&gt;MAX($QE$4:$QE$40),"",INDEX($FN$4:$FN$40,MATCH(ROW()-3,$QE$4:$QE$40,0)))</f>
        <v/>
      </c>
      <c r="QG9">
        <f>IF(COUNTIF('Buyer Groups'!DG9:EM9,0)&gt;0,0,1)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Groups'!DH10:EN10,0)&gt;0,0,1)</f>
        <v/>
      </c>
      <c r="LF10">
        <f>IF($O$10="",FALSE,SUMPRODUCT(('Final Calculation Sheet'!$F$4:$F$40=$O$10)*($LE$6:$LE$42=1))&gt;0)</f>
        <v/>
      </c>
      <c r="LG10">
        <f>$LG$9+--($LF10)</f>
        <v/>
      </c>
      <c r="LH10">
        <f>IF(ROW()-3&gt;MAX($LG$4:$LG$40),"",INDEX($O$4:$O$40,MATCH(ROW()-3,$LG$4:$LG$40,0)))</f>
        <v/>
      </c>
      <c r="LI10">
        <f>IF(COUNTIF('Buyer Groups'!DG10:DG10,0)+COUNTIF('Buyer Groups'!DI10:EN10,0)&gt;0,0,1)</f>
        <v/>
      </c>
      <c r="LJ10">
        <f>IF($T$10="",FALSE,SUMPRODUCT(('Final Calculation Sheet'!$G$4:$G$40=$T$10)*($LI$6:$LI$42=1))&gt;0)</f>
        <v/>
      </c>
      <c r="LK10">
        <f>$LK$9+--($LJ10)</f>
        <v/>
      </c>
      <c r="LL10">
        <f>IF(ROW()-3&gt;MAX($LK$4:$LK$40),"",INDEX($T$4:$T$40,MATCH(ROW()-3,$LK$4:$LK$40,0)))</f>
        <v/>
      </c>
      <c r="LM10">
        <f>IF(COUNTIF('Buyer Groups'!DG10:DH10,0)+COUNTIF('Buyer Groups'!DJ10:EN10,0)&gt;0,0,1)</f>
        <v/>
      </c>
      <c r="LN10">
        <f>IF($Y$10="",FALSE,SUMPRODUCT(('Final Calculation Sheet'!$B$4:$B$40=$Y$10)*($LM$6:$LM$42=1))&gt;0)</f>
        <v/>
      </c>
      <c r="LO10">
        <f>$LO$9+--($LN10)</f>
        <v/>
      </c>
      <c r="LP10">
        <f>IF(ROW()-3&gt;MAX($LO$4:$LO$40),"",INDEX($Y$4:$Y$40,MATCH(ROW()-3,$LO$4:$LO$40,0)))</f>
        <v/>
      </c>
      <c r="LQ10">
        <f>IF(COUNTIF('Buyer Groups'!DG10:DI10,0)+COUNTIF('Buyer Groups'!DK10:EN10,0)&gt;0,0,1)</f>
        <v/>
      </c>
      <c r="LR10">
        <f>IF($AD$10="",FALSE,SUMPRODUCT(('Final Calculation Sheet'!$D$4:$D$40=$AD$10)*($LQ$6:$LQ$42=1))&gt;0)</f>
        <v/>
      </c>
      <c r="LS10">
        <f>$LS$9+--($LR10)</f>
        <v/>
      </c>
      <c r="LT10">
        <f>IF(ROW()-3&gt;MAX($LS$4:$LS$40),"",INDEX($AD$4:$AD$40,MATCH(ROW()-3,$LS$4:$LS$40,0)))</f>
        <v/>
      </c>
      <c r="LU10">
        <f>IF(COUNTIF('Buyer Groups'!DG10:DJ10,0)+COUNTIF('Buyer Groups'!DL10:EN10,0)&gt;0,0,1)</f>
        <v/>
      </c>
      <c r="LV10">
        <f>IF($AI$10="",FALSE,SUMPRODUCT(('Final Calculation Sheet'!$A$4:$A$40=$AI$10)*($LU$6:$LU$42=1))&gt;0)</f>
        <v/>
      </c>
      <c r="LW10">
        <f>$LW$9+--($LV10)</f>
        <v/>
      </c>
      <c r="LX10">
        <f>IF(ROW()-3&gt;MAX($LW$4:$LW$40),"",INDEX($AI$4:$AI$40,MATCH(ROW()-3,$LW$4:$LW$40,0)))</f>
        <v/>
      </c>
      <c r="LY10">
        <f>IF(COUNTIF('Buyer Groups'!DG10:DK10,0)+COUNTIF('Buyer Groups'!DM10:EN10,0)&gt;0,0,1)</f>
        <v/>
      </c>
      <c r="LZ10">
        <f>IF($AN$10="",FALSE,SUMPRODUCT(('Final Calculation Sheet'!$E$4:$E$40=$AN$10)*($LY$6:$LY$42=1))&gt;0)</f>
        <v/>
      </c>
      <c r="MA10">
        <f>$MA$9+--($LZ10)</f>
        <v/>
      </c>
      <c r="MB10">
        <f>IF(ROW()-3&gt;MAX($MA$4:$MA$40),"",INDEX($AN$4:$AN$40,MATCH(ROW()-3,$MA$4:$MA$40,0)))</f>
        <v/>
      </c>
      <c r="MC10">
        <f>IF(COUNTIF('Buyer Groups'!DG10:DL10,0)+COUNTIF('Buyer Groups'!DN10:EN10,0)&gt;0,0,1)</f>
        <v/>
      </c>
      <c r="MD10">
        <f>IF($AS$10="",FALSE,SUMPRODUCT(('Final Calculation Sheet'!$C$4:$C$40=$AS$10)*($MC$6:$MC$42=1))&gt;0)</f>
        <v/>
      </c>
      <c r="ME10">
        <f>$ME$9+--($MD10)</f>
        <v/>
      </c>
      <c r="MF10">
        <f>IF(ROW()-3&gt;MAX($ME$4:$ME$40),"",INDEX($AS$4:$AS$40,MATCH(ROW()-3,$ME$4:$ME$40,0)))</f>
        <v/>
      </c>
      <c r="MG10">
        <f>IF(COUNTIF('Buyer Groups'!DG10:DM10,0)+COUNTIF('Buyer Groups'!DO10:EN10,0)&gt;0,0,1)</f>
        <v/>
      </c>
      <c r="MH10">
        <f>IF($AX$10="",FALSE,SUMPRODUCT(('Final Calculation Sheet'!$H$4:$H$40=$AX$10)*($MG$6:$MG$42=1))&gt;0)</f>
        <v/>
      </c>
      <c r="MI10">
        <f>$MI$9+--($MH10)</f>
        <v/>
      </c>
      <c r="MJ10">
        <f>IF(ROW()-3&gt;MAX($MI$4:$MI$40),"",INDEX($AX$4:$AX$40,MATCH(ROW()-3,$MI$4:$MI$40,0)))</f>
        <v/>
      </c>
      <c r="MK10">
        <f>IF(COUNTIF('Buyer Groups'!DG10:DN10,0)+COUNTIF('Buyer Groups'!DP10:EN10,0)&gt;0,0,1)</f>
        <v/>
      </c>
      <c r="ML10">
        <f>IF($BC$10="",FALSE,SUMPRODUCT(('Final Calculation Sheet'!$I$4:$I$40=$BC$10)*($MK$6:$MK$42=1))&gt;0)</f>
        <v/>
      </c>
      <c r="MM10">
        <f>$MM$9+--($ML10)</f>
        <v/>
      </c>
      <c r="MN10">
        <f>IF(ROW()-3&gt;MAX($MM$4:$MM$40),"",INDEX($BC$4:$BC$40,MATCH(ROW()-3,$MM$4:$MM$40,0)))</f>
        <v/>
      </c>
      <c r="MO10">
        <f>IF(COUNTIF('Buyer Groups'!DG10:DO10,0)+COUNTIF('Buyer Groups'!DQ10:EN10,0)&gt;0,0,1)</f>
        <v/>
      </c>
      <c r="MP10">
        <f>IF($BH$10="",FALSE,SUMPRODUCT(('Final Calculation Sheet'!$J$4:$J$40=$BH$10)*($MO$6:$MO$42=1))&gt;0)</f>
        <v/>
      </c>
      <c r="MQ10">
        <f>$MQ$9+--($MP10)</f>
        <v/>
      </c>
      <c r="MR10">
        <f>IF(ROW()-3&gt;MAX($MQ$4:$MQ$40),"",INDEX($BH$4:$BH$40,MATCH(ROW()-3,$MQ$4:$MQ$40,0)))</f>
        <v/>
      </c>
      <c r="MS10">
        <f>IF(COUNTIF('Buyer Groups'!DG10:DP10,0)+COUNTIF('Buyer Groups'!DR10:EN10,0)&gt;0,0,1)</f>
        <v/>
      </c>
      <c r="MT10">
        <f>IF($BM$10="",FALSE,SUMPRODUCT(('Final Calculation Sheet'!$K$4:$K$40=$BM$10)*($MS$6:$MS$42=1))&gt;0)</f>
        <v/>
      </c>
      <c r="MU10">
        <f>$MU$9+--($MT10)</f>
        <v/>
      </c>
      <c r="MV10">
        <f>IF(ROW()-3&gt;MAX($MU$4:$MU$40),"",INDEX($BM$4:$BM$40,MATCH(ROW()-3,$MU$4:$MU$40,0)))</f>
        <v/>
      </c>
      <c r="MW10">
        <f>IF(COUNTIF('Buyer Groups'!DG10:DQ10,0)+COUNTIF('Buyer Groups'!DS10:EN10,0)&gt;0,0,1)</f>
        <v/>
      </c>
      <c r="MX10">
        <f>IF($BR$10="",FALSE,SUMPRODUCT(('Final Calculation Sheet'!$L$4:$L$40=$BR$10)*($MW$6:$MW$42=1))&gt;0)</f>
        <v/>
      </c>
      <c r="MY10">
        <f>$MY$9+--($MX10)</f>
        <v/>
      </c>
      <c r="MZ10">
        <f>IF(ROW()-3&gt;MAX($MY$4:$MY$40),"",INDEX($BR$4:$BR$40,MATCH(ROW()-3,$MY$4:$MY$40,0)))</f>
        <v/>
      </c>
      <c r="NA10">
        <f>IF(COUNTIF('Buyer Groups'!DG10:DR10,0)+COUNTIF('Buyer Groups'!DT10:EN10,0)&gt;0,0,1)</f>
        <v/>
      </c>
      <c r="NB10">
        <f>IF($BW$10="",FALSE,SUMPRODUCT(('Final Calculation Sheet'!$M$4:$M$40=$BW$10)*($NA$6:$NA$42=1))&gt;0)</f>
        <v/>
      </c>
      <c r="NC10">
        <f>$NC$9+--($NB10)</f>
        <v/>
      </c>
      <c r="ND10">
        <f>IF(ROW()-3&gt;MAX($NC$4:$NC$40),"",INDEX($BW$4:$BW$40,MATCH(ROW()-3,$NC$4:$NC$40,0)))</f>
        <v/>
      </c>
      <c r="NE10">
        <f>IF(COUNTIF('Buyer Groups'!DG10:DS10,0)+COUNTIF('Buyer Groups'!DU10:EN10,0)&gt;0,0,1)</f>
        <v/>
      </c>
      <c r="NF10">
        <f>IF($CB$10="",FALSE,SUMPRODUCT(('Final Calculation Sheet'!$N$4:$N$40=$CB$10)*($NE$6:$NE$42=1))&gt;0)</f>
        <v/>
      </c>
      <c r="NG10">
        <f>$NG$9+--($NF10)</f>
        <v/>
      </c>
      <c r="NH10">
        <f>IF(ROW()-3&gt;MAX($NG$4:$NG$40),"",INDEX($CB$4:$CB$40,MATCH(ROW()-3,$NG$4:$NG$40,0)))</f>
        <v/>
      </c>
      <c r="NI10">
        <f>IF(COUNTIF('Buyer Groups'!DG10:DT10,0)+COUNTIF('Buyer Groups'!DV10:EN10,0)&gt;0,0,1)</f>
        <v/>
      </c>
      <c r="NJ10">
        <f>IF($CG$10="",FALSE,SUMPRODUCT(('Final Calculation Sheet'!$O$4:$O$40=$CG$10)*($NI$6:$NI$42=1))&gt;0)</f>
        <v/>
      </c>
      <c r="NK10">
        <f>$NK$9+--($NJ10)</f>
        <v/>
      </c>
      <c r="NL10">
        <f>IF(ROW()-3&gt;MAX($NK$4:$NK$40),"",INDEX($CG$4:$CG$40,MATCH(ROW()-3,$NK$4:$NK$40,0)))</f>
        <v/>
      </c>
      <c r="NM10">
        <f>IF(COUNTIF('Buyer Groups'!DG10:DU10,0)+COUNTIF('Buyer Groups'!DW10:EN10,0)&gt;0,0,1)</f>
        <v/>
      </c>
      <c r="NN10">
        <f>IF($CL$10="",FALSE,SUMPRODUCT(('Final Calculation Sheet'!$P$4:$P$40=$CL$10)*($NM$6:$NM$42=1))&gt;0)</f>
        <v/>
      </c>
      <c r="NO10">
        <f>$NO$9+--($NN10)</f>
        <v/>
      </c>
      <c r="NP10">
        <f>IF(ROW()-3&gt;MAX($NO$4:$NO$40),"",INDEX($CL$4:$CL$40,MATCH(ROW()-3,$NO$4:$NO$40,0)))</f>
        <v/>
      </c>
      <c r="NQ10">
        <f>IF(COUNTIF('Buyer Groups'!DG10:DV10,0)+COUNTIF('Buyer Groups'!DX10:EN10,0)&gt;0,0,1)</f>
        <v/>
      </c>
      <c r="NR10">
        <f>IF($CQ$10="",FALSE,SUMPRODUCT(('Final Calculation Sheet'!$Q$4:$Q$40=$CQ$10)*($NQ$6:$NQ$42=1))&gt;0)</f>
        <v/>
      </c>
      <c r="NS10">
        <f>$NS$9+--($NR10)</f>
        <v/>
      </c>
      <c r="NT10">
        <f>IF(ROW()-3&gt;MAX($NS$4:$NS$40),"",INDEX($CQ$4:$CQ$40,MATCH(ROW()-3,$NS$4:$NS$40,0)))</f>
        <v/>
      </c>
      <c r="NU10">
        <f>IF(COUNTIF('Buyer Groups'!DG10:DW10,0)+COUNTIF('Buyer Groups'!DY10:EN10,0)&gt;0,0,1)</f>
        <v/>
      </c>
      <c r="NV10">
        <f>IF($CV$10="",FALSE,SUMPRODUCT(('Final Calculation Sheet'!$R$4:$R$40=$CV$10)*($NU$6:$NU$42=1))&gt;0)</f>
        <v/>
      </c>
      <c r="NW10">
        <f>$NW$9+--($NV10)</f>
        <v/>
      </c>
      <c r="NX10">
        <f>IF(ROW()-3&gt;MAX($NW$4:$NW$40),"",INDEX($CV$4:$CV$40,MATCH(ROW()-3,$NW$4:$NW$40,0)))</f>
        <v/>
      </c>
      <c r="NY10">
        <f>IF(COUNTIF('Buyer Groups'!DG10:DX10,0)+COUNTIF('Buyer Groups'!DZ10:EN10,0)&gt;0,0,1)</f>
        <v/>
      </c>
      <c r="NZ10">
        <f>IF($DA$10="",FALSE,SUMPRODUCT(('Final Calculation Sheet'!$S$4:$S$40=$DA$10)*($NY$6:$NY$42=1))&gt;0)</f>
        <v/>
      </c>
      <c r="OA10">
        <f>$OA$9+--($NZ10)</f>
        <v/>
      </c>
      <c r="OB10">
        <f>IF(ROW()-3&gt;MAX($OA$4:$OA$40),"",INDEX($DA$4:$DA$40,MATCH(ROW()-3,$OA$4:$OA$40,0)))</f>
        <v/>
      </c>
      <c r="OC10">
        <f>IF(COUNTIF('Buyer Groups'!DG10:DY10,0)+COUNTIF('Buyer Groups'!EA10:EN10,0)&gt;0,0,1)</f>
        <v/>
      </c>
      <c r="OD10">
        <f>IF($DF$10="",FALSE,SUMPRODUCT(('Final Calculation Sheet'!$T$4:$T$40=$DF$10)*($OC$6:$OC$42=1))&gt;0)</f>
        <v/>
      </c>
      <c r="OE10">
        <f>$OE$9+--($OD10)</f>
        <v/>
      </c>
      <c r="OF10">
        <f>IF(ROW()-3&gt;MAX($OE$4:$OE$40),"",INDEX($DF$4:$DF$40,MATCH(ROW()-3,$OE$4:$OE$40,0)))</f>
        <v/>
      </c>
      <c r="OG10">
        <f>IF(COUNTIF('Buyer Groups'!DG10:DZ10,0)+COUNTIF('Buyer Groups'!EB10:EN10,0)&gt;0,0,1)</f>
        <v/>
      </c>
      <c r="OH10">
        <f>IF($DK$10="",FALSE,SUMPRODUCT(('Final Calculation Sheet'!$U$4:$U$40=$DK$10)*($OG$6:$OG$42=1))&gt;0)</f>
        <v/>
      </c>
      <c r="OI10">
        <f>$OI$9+--($OH10)</f>
        <v/>
      </c>
      <c r="OJ10">
        <f>IF(ROW()-3&gt;MAX($OI$4:$OI$40),"",INDEX($DK$4:$DK$40,MATCH(ROW()-3,$OI$4:$OI$40,0)))</f>
        <v/>
      </c>
      <c r="OK10">
        <f>IF(COUNTIF('Buyer Groups'!DG10:EA10,0)+COUNTIF('Buyer Groups'!EC10:EN10,0)&gt;0,0,1)</f>
        <v/>
      </c>
      <c r="OL10">
        <f>IF($DP$10="",FALSE,SUMPRODUCT(('Final Calculation Sheet'!$V$4:$V$40=$DP$10)*($OK$6:$OK$42=1))&gt;0)</f>
        <v/>
      </c>
      <c r="OM10">
        <f>$OM$9+--($OL10)</f>
        <v/>
      </c>
      <c r="ON10">
        <f>IF(ROW()-3&gt;MAX($OM$4:$OM$40),"",INDEX($DP$4:$DP$40,MATCH(ROW()-3,$OM$4:$OM$40,0)))</f>
        <v/>
      </c>
      <c r="OO10">
        <f>IF(COUNTIF('Buyer Groups'!DG10:EB10,0)+COUNTIF('Buyer Groups'!ED10:EN10,0)&gt;0,0,1)</f>
        <v/>
      </c>
      <c r="OP10">
        <f>IF($DU$10="",FALSE,SUMPRODUCT(('Final Calculation Sheet'!$W$4:$W$40=$DU$10)*($OO$6:$OO$42=1))&gt;0)</f>
        <v/>
      </c>
      <c r="OQ10">
        <f>$OQ$9+--($OP10)</f>
        <v/>
      </c>
      <c r="OR10">
        <f>IF(ROW()-3&gt;MAX($OQ$4:$OQ$40),"",INDEX($DU$4:$DU$40,MATCH(ROW()-3,$OQ$4:$OQ$40,0)))</f>
        <v/>
      </c>
      <c r="OS10">
        <f>IF(COUNTIF('Buyer Groups'!DG10:EC10,0)+COUNTIF('Buyer Groups'!EE10:EN10,0)&gt;0,0,1)</f>
        <v/>
      </c>
      <c r="OT10">
        <f>IF($DZ$10="",FALSE,SUMPRODUCT(('Final Calculation Sheet'!$X$4:$X$40=$DZ$10)*($OS$6:$OS$42=1))&gt;0)</f>
        <v/>
      </c>
      <c r="OU10">
        <f>$OU$9+--($OT10)</f>
        <v/>
      </c>
      <c r="OV10">
        <f>IF(ROW()-3&gt;MAX($OU$4:$OU$40),"",INDEX($DZ$4:$DZ$40,MATCH(ROW()-3,$OU$4:$OU$40,0)))</f>
        <v/>
      </c>
      <c r="OW10">
        <f>IF(COUNTIF('Buyer Groups'!DG10:ED10,0)+COUNTIF('Buyer Groups'!EF10:EN10,0)&gt;0,0,1)</f>
        <v/>
      </c>
      <c r="OX10">
        <f>IF($EE$10="",FALSE,SUMPRODUCT(('Final Calculation Sheet'!$Y$4:$Y$40=$EE$10)*($OW$6:$OW$42=1))&gt;0)</f>
        <v/>
      </c>
      <c r="OY10">
        <f>$OY$9+--($OX10)</f>
        <v/>
      </c>
      <c r="OZ10">
        <f>IF(ROW()-3&gt;MAX($OY$4:$OY$40),"",INDEX($EE$4:$EE$40,MATCH(ROW()-3,$OY$4:$OY$40,0)))</f>
        <v/>
      </c>
      <c r="PA10">
        <f>IF(COUNTIF('Buyer Groups'!DG10:EE10,0)+COUNTIF('Buyer Groups'!EG10:EN10,0)&gt;0,0,1)</f>
        <v/>
      </c>
      <c r="PB10">
        <f>IF($EJ$10="",FALSE,SUMPRODUCT(('Final Calculation Sheet'!$Z$4:$Z$40=$EJ$10)*($PA$6:$PA$42=1))&gt;0)</f>
        <v/>
      </c>
      <c r="PC10">
        <f>$PC$9+--($PB10)</f>
        <v/>
      </c>
      <c r="PD10">
        <f>IF(ROW()-3&gt;MAX($PC$4:$PC$40),"",INDEX($EJ$4:$EJ$40,MATCH(ROW()-3,$PC$4:$PC$40,0)))</f>
        <v/>
      </c>
      <c r="PE10">
        <f>IF(COUNTIF('Buyer Groups'!DG10:EF10,0)+COUNTIF('Buyer Groups'!EH10:EN10,0)&gt;0,0,1)</f>
        <v/>
      </c>
      <c r="PF10">
        <f>IF($EO$10="",FALSE,SUMPRODUCT(('Final Calculation Sheet'!$AA$4:$AA$40=$EO$10)*($PE$6:$PE$42=1))&gt;0)</f>
        <v/>
      </c>
      <c r="PG10">
        <f>$PG$9+--($PF10)</f>
        <v/>
      </c>
      <c r="PH10">
        <f>IF(ROW()-3&gt;MAX($PG$4:$PG$40),"",INDEX($EO$4:$EO$40,MATCH(ROW()-3,$PG$4:$PG$40,0)))</f>
        <v/>
      </c>
      <c r="PI10">
        <f>IF(COUNTIF('Buyer Groups'!DG10:EG10,0)+COUNTIF('Buyer Groups'!EI10:EN10,0)&gt;0,0,1)</f>
        <v/>
      </c>
      <c r="PJ10">
        <f>IF($ET$10="",FALSE,SUMPRODUCT(('Final Calculation Sheet'!$AB$4:$AB$40=$ET$10)*($PI$6:$PI$42=1))&gt;0)</f>
        <v/>
      </c>
      <c r="PK10">
        <f>$PK$9+--($PJ10)</f>
        <v/>
      </c>
      <c r="PL10">
        <f>IF(ROW()-3&gt;MAX($PK$4:$PK$40),"",INDEX($ET$4:$ET$40,MATCH(ROW()-3,$PK$4:$PK$40,0)))</f>
        <v/>
      </c>
      <c r="PM10">
        <f>IF(COUNTIF('Buyer Groups'!DG10:EH10,0)+COUNTIF('Buyer Groups'!EJ10:EN10,0)&gt;0,0,1)</f>
        <v/>
      </c>
      <c r="PN10">
        <f>IF($EY$10="",FALSE,SUMPRODUCT(('Final Calculation Sheet'!$AC$4:$AC$40=$EY$10)*($PM$6:$PM$42=1))&gt;0)</f>
        <v/>
      </c>
      <c r="PO10">
        <f>$PO$9+--($PN10)</f>
        <v/>
      </c>
      <c r="PP10">
        <f>IF(ROW()-3&gt;MAX($PO$4:$PO$40),"",INDEX($EY$4:$EY$40,MATCH(ROW()-3,$PO$4:$PO$40,0)))</f>
        <v/>
      </c>
      <c r="PQ10">
        <f>IF(COUNTIF('Buyer Groups'!DG10:EI10,0)+COUNTIF('Buyer Groups'!EK10:EN10,0)&gt;0,0,1)</f>
        <v/>
      </c>
      <c r="PR10">
        <f>IF($FD$10="",FALSE,SUMPRODUCT(('Final Calculation Sheet'!$AD$4:$AD$40=$FD$10)*($PQ$6:$PQ$42=1))&gt;0)</f>
        <v/>
      </c>
      <c r="PS10">
        <f>$PS$9+--($PR10)</f>
        <v/>
      </c>
      <c r="PT10">
        <f>IF(ROW()-3&gt;MAX($PS$4:$PS$40),"",INDEX($FD$4:$FD$40,MATCH(ROW()-3,$PS$4:$PS$40,0)))</f>
        <v/>
      </c>
      <c r="PU10">
        <f>IF(COUNTIF('Buyer Groups'!DG10:EJ10,0)+COUNTIF('Buyer Groups'!EL10:EN10,0)&gt;0,0,1)</f>
        <v/>
      </c>
      <c r="PV10">
        <f>IF($FX$10="",FALSE,SUMPRODUCT((IF('Final Calculation Sheet'!$AD$4:$AD$40&lt;=5,"SETTLED","OUTSTANDING")=$FX$10)*($PU$6:$PU$42=1))&gt;0)</f>
        <v/>
      </c>
      <c r="PW10">
        <f>$PW$9+--($PV10)</f>
        <v/>
      </c>
      <c r="PX10">
        <f>IF(ROW()-3&gt;MAX($PW$4:$PW$40),"",INDEX($FX$4:$FX$40,MATCH(ROW()-3,$PW$4:$PW$40,0)))</f>
        <v/>
      </c>
      <c r="PY10">
        <f>IF(COUNTIF('Buyer Groups'!DG10:EK10,0)+COUNTIF('Buyer Groups'!EM10:EN10,0)&gt;0,0,1)</f>
        <v/>
      </c>
      <c r="PZ10">
        <f>IF($FI$10="",FALSE,SUMPRODUCT(('Final Calculation Sheet'!$AF$4:$AF$40=$FI$10)*($PY$6:$PY$42=1))&gt;0)</f>
        <v/>
      </c>
      <c r="QA10">
        <f>$QA$9+--($PZ10)</f>
        <v/>
      </c>
      <c r="QB10">
        <f>IF(ROW()-3&gt;MAX($QA$4:$QA$40),"",INDEX($FI$4:$FI$40,MATCH(ROW()-3,$QA$4:$QA$40,0)))</f>
        <v/>
      </c>
      <c r="QC10">
        <f>IF(COUNTIF('Buyer Groups'!DG10:EL10,0)+COUNTIF('Buyer Groups'!EN10:EN10,0)&gt;0,0,1)</f>
        <v/>
      </c>
      <c r="QD10">
        <f>IF($FN$10="",FALSE,SUMPRODUCT(('Final Calculation Sheet'!$AG$4:$AG$40=$FN$10)*($QC$6:$QC$42=1))&gt;0)</f>
        <v/>
      </c>
      <c r="QE10">
        <f>$QE$9+--($QD10)</f>
        <v/>
      </c>
      <c r="QF10">
        <f>IF(ROW()-3&gt;MAX($QE$4:$QE$40),"",INDEX($FN$4:$FN$40,MATCH(ROW()-3,$QE$4:$QE$40,0)))</f>
        <v/>
      </c>
      <c r="QG10">
        <f>IF(COUNTIF('Buyer Groups'!DG10:EM10,0)&gt;0,0,1)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Groups'!DH11:EN11,0)&gt;0,0,1)</f>
        <v/>
      </c>
      <c r="LF11">
        <f>IF($O$11="",FALSE,SUMPRODUCT(('Final Calculation Sheet'!$F$4:$F$40=$O$11)*($LE$6:$LE$42=1))&gt;0)</f>
        <v/>
      </c>
      <c r="LG11">
        <f>$LG$10+--($LF11)</f>
        <v/>
      </c>
      <c r="LH11">
        <f>IF(ROW()-3&gt;MAX($LG$4:$LG$40),"",INDEX($O$4:$O$40,MATCH(ROW()-3,$LG$4:$LG$40,0)))</f>
        <v/>
      </c>
      <c r="LI11">
        <f>IF(COUNTIF('Buyer Groups'!DG11:DG11,0)+COUNTIF('Buyer Groups'!DI11:EN11,0)&gt;0,0,1)</f>
        <v/>
      </c>
      <c r="LJ11">
        <f>IF($T$11="",FALSE,SUMPRODUCT(('Final Calculation Sheet'!$G$4:$G$40=$T$11)*($LI$6:$LI$42=1))&gt;0)</f>
        <v/>
      </c>
      <c r="LK11">
        <f>$LK$10+--($LJ11)</f>
        <v/>
      </c>
      <c r="LL11">
        <f>IF(ROW()-3&gt;MAX($LK$4:$LK$40),"",INDEX($T$4:$T$40,MATCH(ROW()-3,$LK$4:$LK$40,0)))</f>
        <v/>
      </c>
      <c r="LM11">
        <f>IF(COUNTIF('Buyer Groups'!DG11:DH11,0)+COUNTIF('Buyer Groups'!DJ11:EN11,0)&gt;0,0,1)</f>
        <v/>
      </c>
      <c r="LN11">
        <f>IF($Y$11="",FALSE,SUMPRODUCT(('Final Calculation Sheet'!$B$4:$B$40=$Y$11)*($LM$6:$LM$42=1))&gt;0)</f>
        <v/>
      </c>
      <c r="LO11">
        <f>$LO$10+--($LN11)</f>
        <v/>
      </c>
      <c r="LP11">
        <f>IF(ROW()-3&gt;MAX($LO$4:$LO$40),"",INDEX($Y$4:$Y$40,MATCH(ROW()-3,$LO$4:$LO$40,0)))</f>
        <v/>
      </c>
      <c r="LQ11">
        <f>IF(COUNTIF('Buyer Groups'!DG11:DI11,0)+COUNTIF('Buyer Groups'!DK11:EN11,0)&gt;0,0,1)</f>
        <v/>
      </c>
      <c r="LR11">
        <f>IF($AD$11="",FALSE,SUMPRODUCT(('Final Calculation Sheet'!$D$4:$D$40=$AD$11)*($LQ$6:$LQ$42=1))&gt;0)</f>
        <v/>
      </c>
      <c r="LS11">
        <f>$LS$10+--($LR11)</f>
        <v/>
      </c>
      <c r="LT11">
        <f>IF(ROW()-3&gt;MAX($LS$4:$LS$40),"",INDEX($AD$4:$AD$40,MATCH(ROW()-3,$LS$4:$LS$40,0)))</f>
        <v/>
      </c>
      <c r="LU11">
        <f>IF(COUNTIF('Buyer Groups'!DG11:DJ11,0)+COUNTIF('Buyer Groups'!DL11:EN11,0)&gt;0,0,1)</f>
        <v/>
      </c>
      <c r="LV11">
        <f>IF($AI$11="",FALSE,SUMPRODUCT(('Final Calculation Sheet'!$A$4:$A$40=$AI$11)*($LU$6:$LU$42=1))&gt;0)</f>
        <v/>
      </c>
      <c r="LW11">
        <f>$LW$10+--($LV11)</f>
        <v/>
      </c>
      <c r="LX11">
        <f>IF(ROW()-3&gt;MAX($LW$4:$LW$40),"",INDEX($AI$4:$AI$40,MATCH(ROW()-3,$LW$4:$LW$40,0)))</f>
        <v/>
      </c>
      <c r="LY11">
        <f>IF(COUNTIF('Buyer Groups'!DG11:DK11,0)+COUNTIF('Buyer Groups'!DM11:EN11,0)&gt;0,0,1)</f>
        <v/>
      </c>
      <c r="LZ11">
        <f>IF($AN$11="",FALSE,SUMPRODUCT(('Final Calculation Sheet'!$E$4:$E$40=$AN$11)*($LY$6:$LY$42=1))&gt;0)</f>
        <v/>
      </c>
      <c r="MA11">
        <f>$MA$10+--($LZ11)</f>
        <v/>
      </c>
      <c r="MB11">
        <f>IF(ROW()-3&gt;MAX($MA$4:$MA$40),"",INDEX($AN$4:$AN$40,MATCH(ROW()-3,$MA$4:$MA$40,0)))</f>
        <v/>
      </c>
      <c r="MC11">
        <f>IF(COUNTIF('Buyer Groups'!DG11:DL11,0)+COUNTIF('Buyer Groups'!DN11:EN11,0)&gt;0,0,1)</f>
        <v/>
      </c>
      <c r="MD11">
        <f>IF($AS$11="",FALSE,SUMPRODUCT(('Final Calculation Sheet'!$C$4:$C$40=$AS$11)*($MC$6:$MC$42=1))&gt;0)</f>
        <v/>
      </c>
      <c r="ME11">
        <f>$ME$10+--($MD11)</f>
        <v/>
      </c>
      <c r="MF11">
        <f>IF(ROW()-3&gt;MAX($ME$4:$ME$40),"",INDEX($AS$4:$AS$40,MATCH(ROW()-3,$ME$4:$ME$40,0)))</f>
        <v/>
      </c>
      <c r="MG11">
        <f>IF(COUNTIF('Buyer Groups'!DG11:DM11,0)+COUNTIF('Buyer Groups'!DO11:EN11,0)&gt;0,0,1)</f>
        <v/>
      </c>
      <c r="MH11">
        <f>IF($AX$11="",FALSE,SUMPRODUCT(('Final Calculation Sheet'!$H$4:$H$40=$AX$11)*($MG$6:$MG$42=1))&gt;0)</f>
        <v/>
      </c>
      <c r="MI11">
        <f>$MI$10+--($MH11)</f>
        <v/>
      </c>
      <c r="MJ11">
        <f>IF(ROW()-3&gt;MAX($MI$4:$MI$40),"",INDEX($AX$4:$AX$40,MATCH(ROW()-3,$MI$4:$MI$40,0)))</f>
        <v/>
      </c>
      <c r="MK11">
        <f>IF(COUNTIF('Buyer Groups'!DG11:DN11,0)+COUNTIF('Buyer Groups'!DP11:EN11,0)&gt;0,0,1)</f>
        <v/>
      </c>
      <c r="ML11">
        <f>IF($BC$11="",FALSE,SUMPRODUCT(('Final Calculation Sheet'!$I$4:$I$40=$BC$11)*($MK$6:$MK$42=1))&gt;0)</f>
        <v/>
      </c>
      <c r="MM11">
        <f>$MM$10+--($ML11)</f>
        <v/>
      </c>
      <c r="MN11">
        <f>IF(ROW()-3&gt;MAX($MM$4:$MM$40),"",INDEX($BC$4:$BC$40,MATCH(ROW()-3,$MM$4:$MM$40,0)))</f>
        <v/>
      </c>
      <c r="MO11">
        <f>IF(COUNTIF('Buyer Groups'!DG11:DO11,0)+COUNTIF('Buyer Groups'!DQ11:EN11,0)&gt;0,0,1)</f>
        <v/>
      </c>
      <c r="MP11">
        <f>IF($BH$11="",FALSE,SUMPRODUCT(('Final Calculation Sheet'!$J$4:$J$40=$BH$11)*($MO$6:$MO$42=1))&gt;0)</f>
        <v/>
      </c>
      <c r="MQ11">
        <f>$MQ$10+--($MP11)</f>
        <v/>
      </c>
      <c r="MR11">
        <f>IF(ROW()-3&gt;MAX($MQ$4:$MQ$40),"",INDEX($BH$4:$BH$40,MATCH(ROW()-3,$MQ$4:$MQ$40,0)))</f>
        <v/>
      </c>
      <c r="MS11">
        <f>IF(COUNTIF('Buyer Groups'!DG11:DP11,0)+COUNTIF('Buyer Groups'!DR11:EN11,0)&gt;0,0,1)</f>
        <v/>
      </c>
      <c r="MT11">
        <f>IF($BM$11="",FALSE,SUMPRODUCT(('Final Calculation Sheet'!$K$4:$K$40=$BM$11)*($MS$6:$MS$42=1))&gt;0)</f>
        <v/>
      </c>
      <c r="MU11">
        <f>$MU$10+--($MT11)</f>
        <v/>
      </c>
      <c r="MV11">
        <f>IF(ROW()-3&gt;MAX($MU$4:$MU$40),"",INDEX($BM$4:$BM$40,MATCH(ROW()-3,$MU$4:$MU$40,0)))</f>
        <v/>
      </c>
      <c r="MW11">
        <f>IF(COUNTIF('Buyer Groups'!DG11:DQ11,0)+COUNTIF('Buyer Groups'!DS11:EN11,0)&gt;0,0,1)</f>
        <v/>
      </c>
      <c r="MX11">
        <f>IF($BR$11="",FALSE,SUMPRODUCT(('Final Calculation Sheet'!$L$4:$L$40=$BR$11)*($MW$6:$MW$42=1))&gt;0)</f>
        <v/>
      </c>
      <c r="MY11">
        <f>$MY$10+--($MX11)</f>
        <v/>
      </c>
      <c r="MZ11">
        <f>IF(ROW()-3&gt;MAX($MY$4:$MY$40),"",INDEX($BR$4:$BR$40,MATCH(ROW()-3,$MY$4:$MY$40,0)))</f>
        <v/>
      </c>
      <c r="NA11">
        <f>IF(COUNTIF('Buyer Groups'!DG11:DR11,0)+COUNTIF('Buyer Groups'!DT11:EN11,0)&gt;0,0,1)</f>
        <v/>
      </c>
      <c r="NB11">
        <f>IF($BW$11="",FALSE,SUMPRODUCT(('Final Calculation Sheet'!$M$4:$M$40=$BW$11)*($NA$6:$NA$42=1))&gt;0)</f>
        <v/>
      </c>
      <c r="NC11">
        <f>$NC$10+--($NB11)</f>
        <v/>
      </c>
      <c r="ND11">
        <f>IF(ROW()-3&gt;MAX($NC$4:$NC$40),"",INDEX($BW$4:$BW$40,MATCH(ROW()-3,$NC$4:$NC$40,0)))</f>
        <v/>
      </c>
      <c r="NE11">
        <f>IF(COUNTIF('Buyer Groups'!DG11:DS11,0)+COUNTIF('Buyer Groups'!DU11:EN11,0)&gt;0,0,1)</f>
        <v/>
      </c>
      <c r="NF11">
        <f>IF($CB$11="",FALSE,SUMPRODUCT(('Final Calculation Sheet'!$N$4:$N$40=$CB$11)*($NE$6:$NE$42=1))&gt;0)</f>
        <v/>
      </c>
      <c r="NG11">
        <f>$NG$10+--($NF11)</f>
        <v/>
      </c>
      <c r="NH11">
        <f>IF(ROW()-3&gt;MAX($NG$4:$NG$40),"",INDEX($CB$4:$CB$40,MATCH(ROW()-3,$NG$4:$NG$40,0)))</f>
        <v/>
      </c>
      <c r="NI11">
        <f>IF(COUNTIF('Buyer Groups'!DG11:DT11,0)+COUNTIF('Buyer Groups'!DV11:EN11,0)&gt;0,0,1)</f>
        <v/>
      </c>
      <c r="NJ11">
        <f>IF($CG$11="",FALSE,SUMPRODUCT(('Final Calculation Sheet'!$O$4:$O$40=$CG$11)*($NI$6:$NI$42=1))&gt;0)</f>
        <v/>
      </c>
      <c r="NK11">
        <f>$NK$10+--($NJ11)</f>
        <v/>
      </c>
      <c r="NL11">
        <f>IF(ROW()-3&gt;MAX($NK$4:$NK$40),"",INDEX($CG$4:$CG$40,MATCH(ROW()-3,$NK$4:$NK$40,0)))</f>
        <v/>
      </c>
      <c r="NM11">
        <f>IF(COUNTIF('Buyer Groups'!DG11:DU11,0)+COUNTIF('Buyer Groups'!DW11:EN11,0)&gt;0,0,1)</f>
        <v/>
      </c>
      <c r="NN11">
        <f>IF($CL$11="",FALSE,SUMPRODUCT(('Final Calculation Sheet'!$P$4:$P$40=$CL$11)*($NM$6:$NM$42=1))&gt;0)</f>
        <v/>
      </c>
      <c r="NO11">
        <f>$NO$10+--($NN11)</f>
        <v/>
      </c>
      <c r="NP11">
        <f>IF(ROW()-3&gt;MAX($NO$4:$NO$40),"",INDEX($CL$4:$CL$40,MATCH(ROW()-3,$NO$4:$NO$40,0)))</f>
        <v/>
      </c>
      <c r="NQ11">
        <f>IF(COUNTIF('Buyer Groups'!DG11:DV11,0)+COUNTIF('Buyer Groups'!DX11:EN11,0)&gt;0,0,1)</f>
        <v/>
      </c>
      <c r="NR11">
        <f>IF($CQ$11="",FALSE,SUMPRODUCT(('Final Calculation Sheet'!$Q$4:$Q$40=$CQ$11)*($NQ$6:$NQ$42=1))&gt;0)</f>
        <v/>
      </c>
      <c r="NS11">
        <f>$NS$10+--($NR11)</f>
        <v/>
      </c>
      <c r="NT11">
        <f>IF(ROW()-3&gt;MAX($NS$4:$NS$40),"",INDEX($CQ$4:$CQ$40,MATCH(ROW()-3,$NS$4:$NS$40,0)))</f>
        <v/>
      </c>
      <c r="NU11">
        <f>IF(COUNTIF('Buyer Groups'!DG11:DW11,0)+COUNTIF('Buyer Groups'!DY11:EN11,0)&gt;0,0,1)</f>
        <v/>
      </c>
      <c r="NV11">
        <f>IF($CV$11="",FALSE,SUMPRODUCT(('Final Calculation Sheet'!$R$4:$R$40=$CV$11)*($NU$6:$NU$42=1))&gt;0)</f>
        <v/>
      </c>
      <c r="NW11">
        <f>$NW$10+--($NV11)</f>
        <v/>
      </c>
      <c r="NX11">
        <f>IF(ROW()-3&gt;MAX($NW$4:$NW$40),"",INDEX($CV$4:$CV$40,MATCH(ROW()-3,$NW$4:$NW$40,0)))</f>
        <v/>
      </c>
      <c r="NY11">
        <f>IF(COUNTIF('Buyer Groups'!DG11:DX11,0)+COUNTIF('Buyer Groups'!DZ11:EN11,0)&gt;0,0,1)</f>
        <v/>
      </c>
      <c r="NZ11">
        <f>IF($DA$11="",FALSE,SUMPRODUCT(('Final Calculation Sheet'!$S$4:$S$40=$DA$11)*($NY$6:$NY$42=1))&gt;0)</f>
        <v/>
      </c>
      <c r="OA11">
        <f>$OA$10+--($NZ11)</f>
        <v/>
      </c>
      <c r="OB11">
        <f>IF(ROW()-3&gt;MAX($OA$4:$OA$40),"",INDEX($DA$4:$DA$40,MATCH(ROW()-3,$OA$4:$OA$40,0)))</f>
        <v/>
      </c>
      <c r="OC11">
        <f>IF(COUNTIF('Buyer Groups'!DG11:DY11,0)+COUNTIF('Buyer Groups'!EA11:EN11,0)&gt;0,0,1)</f>
        <v/>
      </c>
      <c r="OD11">
        <f>IF($DF$11="",FALSE,SUMPRODUCT(('Final Calculation Sheet'!$T$4:$T$40=$DF$11)*($OC$6:$OC$42=1))&gt;0)</f>
        <v/>
      </c>
      <c r="OE11">
        <f>$OE$10+--($OD11)</f>
        <v/>
      </c>
      <c r="OF11">
        <f>IF(ROW()-3&gt;MAX($OE$4:$OE$40),"",INDEX($DF$4:$DF$40,MATCH(ROW()-3,$OE$4:$OE$40,0)))</f>
        <v/>
      </c>
      <c r="OG11">
        <f>IF(COUNTIF('Buyer Groups'!DG11:DZ11,0)+COUNTIF('Buyer Groups'!EB11:EN11,0)&gt;0,0,1)</f>
        <v/>
      </c>
      <c r="OH11">
        <f>IF($DK$11="",FALSE,SUMPRODUCT(('Final Calculation Sheet'!$U$4:$U$40=$DK$11)*($OG$6:$OG$42=1))&gt;0)</f>
        <v/>
      </c>
      <c r="OI11">
        <f>$OI$10+--($OH11)</f>
        <v/>
      </c>
      <c r="OJ11">
        <f>IF(ROW()-3&gt;MAX($OI$4:$OI$40),"",INDEX($DK$4:$DK$40,MATCH(ROW()-3,$OI$4:$OI$40,0)))</f>
        <v/>
      </c>
      <c r="OK11">
        <f>IF(COUNTIF('Buyer Groups'!DG11:EA11,0)+COUNTIF('Buyer Groups'!EC11:EN11,0)&gt;0,0,1)</f>
        <v/>
      </c>
      <c r="OL11">
        <f>IF($DP$11="",FALSE,SUMPRODUCT(('Final Calculation Sheet'!$V$4:$V$40=$DP$11)*($OK$6:$OK$42=1))&gt;0)</f>
        <v/>
      </c>
      <c r="OM11">
        <f>$OM$10+--($OL11)</f>
        <v/>
      </c>
      <c r="ON11">
        <f>IF(ROW()-3&gt;MAX($OM$4:$OM$40),"",INDEX($DP$4:$DP$40,MATCH(ROW()-3,$OM$4:$OM$40,0)))</f>
        <v/>
      </c>
      <c r="OO11">
        <f>IF(COUNTIF('Buyer Groups'!DG11:EB11,0)+COUNTIF('Buyer Groups'!ED11:EN11,0)&gt;0,0,1)</f>
        <v/>
      </c>
      <c r="OP11">
        <f>IF($DU$11="",FALSE,SUMPRODUCT(('Final Calculation Sheet'!$W$4:$W$40=$DU$11)*($OO$6:$OO$42=1))&gt;0)</f>
        <v/>
      </c>
      <c r="OQ11">
        <f>$OQ$10+--($OP11)</f>
        <v/>
      </c>
      <c r="OR11">
        <f>IF(ROW()-3&gt;MAX($OQ$4:$OQ$40),"",INDEX($DU$4:$DU$40,MATCH(ROW()-3,$OQ$4:$OQ$40,0)))</f>
        <v/>
      </c>
      <c r="OS11">
        <f>IF(COUNTIF('Buyer Groups'!DG11:EC11,0)+COUNTIF('Buyer Groups'!EE11:EN11,0)&gt;0,0,1)</f>
        <v/>
      </c>
      <c r="OT11">
        <f>IF($DZ$11="",FALSE,SUMPRODUCT(('Final Calculation Sheet'!$X$4:$X$40=$DZ$11)*($OS$6:$OS$42=1))&gt;0)</f>
        <v/>
      </c>
      <c r="OU11">
        <f>$OU$10+--($OT11)</f>
        <v/>
      </c>
      <c r="OV11">
        <f>IF(ROW()-3&gt;MAX($OU$4:$OU$40),"",INDEX($DZ$4:$DZ$40,MATCH(ROW()-3,$OU$4:$OU$40,0)))</f>
        <v/>
      </c>
      <c r="OW11">
        <f>IF(COUNTIF('Buyer Groups'!DG11:ED11,0)+COUNTIF('Buyer Groups'!EF11:EN11,0)&gt;0,0,1)</f>
        <v/>
      </c>
      <c r="OX11">
        <f>IF($EE$11="",FALSE,SUMPRODUCT(('Final Calculation Sheet'!$Y$4:$Y$40=$EE$11)*($OW$6:$OW$42=1))&gt;0)</f>
        <v/>
      </c>
      <c r="OY11">
        <f>$OY$10+--($OX11)</f>
        <v/>
      </c>
      <c r="OZ11">
        <f>IF(ROW()-3&gt;MAX($OY$4:$OY$40),"",INDEX($EE$4:$EE$40,MATCH(ROW()-3,$OY$4:$OY$40,0)))</f>
        <v/>
      </c>
      <c r="PA11">
        <f>IF(COUNTIF('Buyer Groups'!DG11:EE11,0)+COUNTIF('Buyer Groups'!EG11:EN11,0)&gt;0,0,1)</f>
        <v/>
      </c>
      <c r="PB11">
        <f>IF($EJ$11="",FALSE,SUMPRODUCT(('Final Calculation Sheet'!$Z$4:$Z$40=$EJ$11)*($PA$6:$PA$42=1))&gt;0)</f>
        <v/>
      </c>
      <c r="PC11">
        <f>$PC$10+--($PB11)</f>
        <v/>
      </c>
      <c r="PD11">
        <f>IF(ROW()-3&gt;MAX($PC$4:$PC$40),"",INDEX($EJ$4:$EJ$40,MATCH(ROW()-3,$PC$4:$PC$40,0)))</f>
        <v/>
      </c>
      <c r="PE11">
        <f>IF(COUNTIF('Buyer Groups'!DG11:EF11,0)+COUNTIF('Buyer Groups'!EH11:EN11,0)&gt;0,0,1)</f>
        <v/>
      </c>
      <c r="PF11">
        <f>IF($EO$11="",FALSE,SUMPRODUCT(('Final Calculation Sheet'!$AA$4:$AA$40=$EO$11)*($PE$6:$PE$42=1))&gt;0)</f>
        <v/>
      </c>
      <c r="PG11">
        <f>$PG$10+--($PF11)</f>
        <v/>
      </c>
      <c r="PH11">
        <f>IF(ROW()-3&gt;MAX($PG$4:$PG$40),"",INDEX($EO$4:$EO$40,MATCH(ROW()-3,$PG$4:$PG$40,0)))</f>
        <v/>
      </c>
      <c r="PI11">
        <f>IF(COUNTIF('Buyer Groups'!DG11:EG11,0)+COUNTIF('Buyer Groups'!EI11:EN11,0)&gt;0,0,1)</f>
        <v/>
      </c>
      <c r="PJ11">
        <f>IF($ET$11="",FALSE,SUMPRODUCT(('Final Calculation Sheet'!$AB$4:$AB$40=$ET$11)*($PI$6:$PI$42=1))&gt;0)</f>
        <v/>
      </c>
      <c r="PK11">
        <f>$PK$10+--($PJ11)</f>
        <v/>
      </c>
      <c r="PL11">
        <f>IF(ROW()-3&gt;MAX($PK$4:$PK$40),"",INDEX($ET$4:$ET$40,MATCH(ROW()-3,$PK$4:$PK$40,0)))</f>
        <v/>
      </c>
      <c r="PM11">
        <f>IF(COUNTIF('Buyer Groups'!DG11:EH11,0)+COUNTIF('Buyer Groups'!EJ11:EN11,0)&gt;0,0,1)</f>
        <v/>
      </c>
      <c r="PN11">
        <f>IF($EY$11="",FALSE,SUMPRODUCT(('Final Calculation Sheet'!$AC$4:$AC$40=$EY$11)*($PM$6:$PM$42=1))&gt;0)</f>
        <v/>
      </c>
      <c r="PO11">
        <f>$PO$10+--($PN11)</f>
        <v/>
      </c>
      <c r="PP11">
        <f>IF(ROW()-3&gt;MAX($PO$4:$PO$40),"",INDEX($EY$4:$EY$40,MATCH(ROW()-3,$PO$4:$PO$40,0)))</f>
        <v/>
      </c>
      <c r="PQ11">
        <f>IF(COUNTIF('Buyer Groups'!DG11:EI11,0)+COUNTIF('Buyer Groups'!EK11:EN11,0)&gt;0,0,1)</f>
        <v/>
      </c>
      <c r="PR11">
        <f>IF($FD$11="",FALSE,SUMPRODUCT(('Final Calculation Sheet'!$AD$4:$AD$40=$FD$11)*($PQ$6:$PQ$42=1))&gt;0)</f>
        <v/>
      </c>
      <c r="PS11">
        <f>$PS$10+--($PR11)</f>
        <v/>
      </c>
      <c r="PT11">
        <f>IF(ROW()-3&gt;MAX($PS$4:$PS$40),"",INDEX($FD$4:$FD$40,MATCH(ROW()-3,$PS$4:$PS$40,0)))</f>
        <v/>
      </c>
      <c r="PU11">
        <f>IF(COUNTIF('Buyer Groups'!DG11:EJ11,0)+COUNTIF('Buyer Groups'!EL11:EN11,0)&gt;0,0,1)</f>
        <v/>
      </c>
      <c r="PV11">
        <f>IF($FX$11="",FALSE,SUMPRODUCT((IF('Final Calculation Sheet'!$AD$4:$AD$40&lt;=5,"SETTLED","OUTSTANDING")=$FX$11)*($PU$6:$PU$42=1))&gt;0)</f>
        <v/>
      </c>
      <c r="PW11">
        <f>$PW$10+--($PV11)</f>
        <v/>
      </c>
      <c r="PX11">
        <f>IF(ROW()-3&gt;MAX($PW$4:$PW$40),"",INDEX($FX$4:$FX$40,MATCH(ROW()-3,$PW$4:$PW$40,0)))</f>
        <v/>
      </c>
      <c r="PY11">
        <f>IF(COUNTIF('Buyer Groups'!DG11:EK11,0)+COUNTIF('Buyer Groups'!EM11:EN11,0)&gt;0,0,1)</f>
        <v/>
      </c>
      <c r="PZ11">
        <f>IF($FI$11="",FALSE,SUMPRODUCT(('Final Calculation Sheet'!$AF$4:$AF$40=$FI$11)*($PY$6:$PY$42=1))&gt;0)</f>
        <v/>
      </c>
      <c r="QA11">
        <f>$QA$10+--($PZ11)</f>
        <v/>
      </c>
      <c r="QB11">
        <f>IF(ROW()-3&gt;MAX($QA$4:$QA$40),"",INDEX($FI$4:$FI$40,MATCH(ROW()-3,$QA$4:$QA$40,0)))</f>
        <v/>
      </c>
      <c r="QC11">
        <f>IF(COUNTIF('Buyer Groups'!DG11:EL11,0)+COUNTIF('Buyer Groups'!EN11:EN11,0)&gt;0,0,1)</f>
        <v/>
      </c>
      <c r="QD11">
        <f>IF($FN$11="",FALSE,SUMPRODUCT(('Final Calculation Sheet'!$AG$4:$AG$40=$FN$11)*($QC$6:$QC$42=1))&gt;0)</f>
        <v/>
      </c>
      <c r="QE11">
        <f>$QE$10+--($QD11)</f>
        <v/>
      </c>
      <c r="QF11">
        <f>IF(ROW()-3&gt;MAX($QE$4:$QE$40),"",INDEX($FN$4:$FN$40,MATCH(ROW()-3,$QE$4:$QE$40,0)))</f>
        <v/>
      </c>
      <c r="QG11">
        <f>IF(COUNTIF('Buyer Groups'!DG11:EM11,0)&gt;0,0,1)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Groups'!DH12:EN12,0)&gt;0,0,1)</f>
        <v/>
      </c>
      <c r="LF12">
        <f>IF($O$12="",FALSE,SUMPRODUCT(('Final Calculation Sheet'!$F$4:$F$40=$O$12)*($LE$6:$LE$42=1))&gt;0)</f>
        <v/>
      </c>
      <c r="LG12">
        <f>$LG$11+--($LF12)</f>
        <v/>
      </c>
      <c r="LH12">
        <f>IF(ROW()-3&gt;MAX($LG$4:$LG$40),"",INDEX($O$4:$O$40,MATCH(ROW()-3,$LG$4:$LG$40,0)))</f>
        <v/>
      </c>
      <c r="LI12">
        <f>IF(COUNTIF('Buyer Groups'!DG12:DG12,0)+COUNTIF('Buyer Groups'!DI12:EN12,0)&gt;0,0,1)</f>
        <v/>
      </c>
      <c r="LJ12">
        <f>IF($T$12="",FALSE,SUMPRODUCT(('Final Calculation Sheet'!$G$4:$G$40=$T$12)*($LI$6:$LI$42=1))&gt;0)</f>
        <v/>
      </c>
      <c r="LK12">
        <f>$LK$11+--($LJ12)</f>
        <v/>
      </c>
      <c r="LL12">
        <f>IF(ROW()-3&gt;MAX($LK$4:$LK$40),"",INDEX($T$4:$T$40,MATCH(ROW()-3,$LK$4:$LK$40,0)))</f>
        <v/>
      </c>
      <c r="LM12">
        <f>IF(COUNTIF('Buyer Groups'!DG12:DH12,0)+COUNTIF('Buyer Groups'!DJ12:EN12,0)&gt;0,0,1)</f>
        <v/>
      </c>
      <c r="LN12">
        <f>IF($Y$12="",FALSE,SUMPRODUCT(('Final Calculation Sheet'!$B$4:$B$40=$Y$12)*($LM$6:$LM$42=1))&gt;0)</f>
        <v/>
      </c>
      <c r="LO12">
        <f>$LO$11+--($LN12)</f>
        <v/>
      </c>
      <c r="LP12">
        <f>IF(ROW()-3&gt;MAX($LO$4:$LO$40),"",INDEX($Y$4:$Y$40,MATCH(ROW()-3,$LO$4:$LO$40,0)))</f>
        <v/>
      </c>
      <c r="LQ12">
        <f>IF(COUNTIF('Buyer Groups'!DG12:DI12,0)+COUNTIF('Buyer Groups'!DK12:EN12,0)&gt;0,0,1)</f>
        <v/>
      </c>
      <c r="LR12">
        <f>IF($AD$12="",FALSE,SUMPRODUCT(('Final Calculation Sheet'!$D$4:$D$40=$AD$12)*($LQ$6:$LQ$42=1))&gt;0)</f>
        <v/>
      </c>
      <c r="LS12">
        <f>$LS$11+--($LR12)</f>
        <v/>
      </c>
      <c r="LT12">
        <f>IF(ROW()-3&gt;MAX($LS$4:$LS$40),"",INDEX($AD$4:$AD$40,MATCH(ROW()-3,$LS$4:$LS$40,0)))</f>
        <v/>
      </c>
      <c r="LU12">
        <f>IF(COUNTIF('Buyer Groups'!DG12:DJ12,0)+COUNTIF('Buyer Groups'!DL12:EN12,0)&gt;0,0,1)</f>
        <v/>
      </c>
      <c r="LV12">
        <f>IF($AI$12="",FALSE,SUMPRODUCT(('Final Calculation Sheet'!$A$4:$A$40=$AI$12)*($LU$6:$LU$42=1))&gt;0)</f>
        <v/>
      </c>
      <c r="LW12">
        <f>$LW$11+--($LV12)</f>
        <v/>
      </c>
      <c r="LX12">
        <f>IF(ROW()-3&gt;MAX($LW$4:$LW$40),"",INDEX($AI$4:$AI$40,MATCH(ROW()-3,$LW$4:$LW$40,0)))</f>
        <v/>
      </c>
      <c r="LY12">
        <f>IF(COUNTIF('Buyer Groups'!DG12:DK12,0)+COUNTIF('Buyer Groups'!DM12:EN12,0)&gt;0,0,1)</f>
        <v/>
      </c>
      <c r="LZ12">
        <f>IF($AN$12="",FALSE,SUMPRODUCT(('Final Calculation Sheet'!$E$4:$E$40=$AN$12)*($LY$6:$LY$42=1))&gt;0)</f>
        <v/>
      </c>
      <c r="MA12">
        <f>$MA$11+--($LZ12)</f>
        <v/>
      </c>
      <c r="MB12">
        <f>IF(ROW()-3&gt;MAX($MA$4:$MA$40),"",INDEX($AN$4:$AN$40,MATCH(ROW()-3,$MA$4:$MA$40,0)))</f>
        <v/>
      </c>
      <c r="MC12">
        <f>IF(COUNTIF('Buyer Groups'!DG12:DL12,0)+COUNTIF('Buyer Groups'!DN12:EN12,0)&gt;0,0,1)</f>
        <v/>
      </c>
      <c r="MD12">
        <f>IF($AS$12="",FALSE,SUMPRODUCT(('Final Calculation Sheet'!$C$4:$C$40=$AS$12)*($MC$6:$MC$42=1))&gt;0)</f>
        <v/>
      </c>
      <c r="ME12">
        <f>$ME$11+--($MD12)</f>
        <v/>
      </c>
      <c r="MF12">
        <f>IF(ROW()-3&gt;MAX($ME$4:$ME$40),"",INDEX($AS$4:$AS$40,MATCH(ROW()-3,$ME$4:$ME$40,0)))</f>
        <v/>
      </c>
      <c r="MG12">
        <f>IF(COUNTIF('Buyer Groups'!DG12:DM12,0)+COUNTIF('Buyer Groups'!DO12:EN12,0)&gt;0,0,1)</f>
        <v/>
      </c>
      <c r="MH12">
        <f>IF($AX$12="",FALSE,SUMPRODUCT(('Final Calculation Sheet'!$H$4:$H$40=$AX$12)*($MG$6:$MG$42=1))&gt;0)</f>
        <v/>
      </c>
      <c r="MI12">
        <f>$MI$11+--($MH12)</f>
        <v/>
      </c>
      <c r="MJ12">
        <f>IF(ROW()-3&gt;MAX($MI$4:$MI$40),"",INDEX($AX$4:$AX$40,MATCH(ROW()-3,$MI$4:$MI$40,0)))</f>
        <v/>
      </c>
      <c r="MK12">
        <f>IF(COUNTIF('Buyer Groups'!DG12:DN12,0)+COUNTIF('Buyer Groups'!DP12:EN12,0)&gt;0,0,1)</f>
        <v/>
      </c>
      <c r="ML12">
        <f>IF($BC$12="",FALSE,SUMPRODUCT(('Final Calculation Sheet'!$I$4:$I$40=$BC$12)*($MK$6:$MK$42=1))&gt;0)</f>
        <v/>
      </c>
      <c r="MM12">
        <f>$MM$11+--($ML12)</f>
        <v/>
      </c>
      <c r="MN12">
        <f>IF(ROW()-3&gt;MAX($MM$4:$MM$40),"",INDEX($BC$4:$BC$40,MATCH(ROW()-3,$MM$4:$MM$40,0)))</f>
        <v/>
      </c>
      <c r="MO12">
        <f>IF(COUNTIF('Buyer Groups'!DG12:DO12,0)+COUNTIF('Buyer Groups'!DQ12:EN12,0)&gt;0,0,1)</f>
        <v/>
      </c>
      <c r="MP12">
        <f>IF($BH$12="",FALSE,SUMPRODUCT(('Final Calculation Sheet'!$J$4:$J$40=$BH$12)*($MO$6:$MO$42=1))&gt;0)</f>
        <v/>
      </c>
      <c r="MQ12">
        <f>$MQ$11+--($MP12)</f>
        <v/>
      </c>
      <c r="MR12">
        <f>IF(ROW()-3&gt;MAX($MQ$4:$MQ$40),"",INDEX($BH$4:$BH$40,MATCH(ROW()-3,$MQ$4:$MQ$40,0)))</f>
        <v/>
      </c>
      <c r="MS12">
        <f>IF(COUNTIF('Buyer Groups'!DG12:DP12,0)+COUNTIF('Buyer Groups'!DR12:EN12,0)&gt;0,0,1)</f>
        <v/>
      </c>
      <c r="MT12">
        <f>IF($BM$12="",FALSE,SUMPRODUCT(('Final Calculation Sheet'!$K$4:$K$40=$BM$12)*($MS$6:$MS$42=1))&gt;0)</f>
        <v/>
      </c>
      <c r="MU12">
        <f>$MU$11+--($MT12)</f>
        <v/>
      </c>
      <c r="MV12">
        <f>IF(ROW()-3&gt;MAX($MU$4:$MU$40),"",INDEX($BM$4:$BM$40,MATCH(ROW()-3,$MU$4:$MU$40,0)))</f>
        <v/>
      </c>
      <c r="MW12">
        <f>IF(COUNTIF('Buyer Groups'!DG12:DQ12,0)+COUNTIF('Buyer Groups'!DS12:EN12,0)&gt;0,0,1)</f>
        <v/>
      </c>
      <c r="MX12">
        <f>IF($BR$12="",FALSE,SUMPRODUCT(('Final Calculation Sheet'!$L$4:$L$40=$BR$12)*($MW$6:$MW$42=1))&gt;0)</f>
        <v/>
      </c>
      <c r="MY12">
        <f>$MY$11+--($MX12)</f>
        <v/>
      </c>
      <c r="MZ12">
        <f>IF(ROW()-3&gt;MAX($MY$4:$MY$40),"",INDEX($BR$4:$BR$40,MATCH(ROW()-3,$MY$4:$MY$40,0)))</f>
        <v/>
      </c>
      <c r="NA12">
        <f>IF(COUNTIF('Buyer Groups'!DG12:DR12,0)+COUNTIF('Buyer Groups'!DT12:EN12,0)&gt;0,0,1)</f>
        <v/>
      </c>
      <c r="NB12">
        <f>IF($BW$12="",FALSE,SUMPRODUCT(('Final Calculation Sheet'!$M$4:$M$40=$BW$12)*($NA$6:$NA$42=1))&gt;0)</f>
        <v/>
      </c>
      <c r="NC12">
        <f>$NC$11+--($NB12)</f>
        <v/>
      </c>
      <c r="ND12">
        <f>IF(ROW()-3&gt;MAX($NC$4:$NC$40),"",INDEX($BW$4:$BW$40,MATCH(ROW()-3,$NC$4:$NC$40,0)))</f>
        <v/>
      </c>
      <c r="NE12">
        <f>IF(COUNTIF('Buyer Groups'!DG12:DS12,0)+COUNTIF('Buyer Groups'!DU12:EN12,0)&gt;0,0,1)</f>
        <v/>
      </c>
      <c r="NF12">
        <f>IF($CB$12="",FALSE,SUMPRODUCT(('Final Calculation Sheet'!$N$4:$N$40=$CB$12)*($NE$6:$NE$42=1))&gt;0)</f>
        <v/>
      </c>
      <c r="NG12">
        <f>$NG$11+--($NF12)</f>
        <v/>
      </c>
      <c r="NH12">
        <f>IF(ROW()-3&gt;MAX($NG$4:$NG$40),"",INDEX($CB$4:$CB$40,MATCH(ROW()-3,$NG$4:$NG$40,0)))</f>
        <v/>
      </c>
      <c r="NI12">
        <f>IF(COUNTIF('Buyer Groups'!DG12:DT12,0)+COUNTIF('Buyer Groups'!DV12:EN12,0)&gt;0,0,1)</f>
        <v/>
      </c>
      <c r="NJ12">
        <f>IF($CG$12="",FALSE,SUMPRODUCT(('Final Calculation Sheet'!$O$4:$O$40=$CG$12)*($NI$6:$NI$42=1))&gt;0)</f>
        <v/>
      </c>
      <c r="NK12">
        <f>$NK$11+--($NJ12)</f>
        <v/>
      </c>
      <c r="NL12">
        <f>IF(ROW()-3&gt;MAX($NK$4:$NK$40),"",INDEX($CG$4:$CG$40,MATCH(ROW()-3,$NK$4:$NK$40,0)))</f>
        <v/>
      </c>
      <c r="NM12">
        <f>IF(COUNTIF('Buyer Groups'!DG12:DU12,0)+COUNTIF('Buyer Groups'!DW12:EN12,0)&gt;0,0,1)</f>
        <v/>
      </c>
      <c r="NN12">
        <f>IF($CL$12="",FALSE,SUMPRODUCT(('Final Calculation Sheet'!$P$4:$P$40=$CL$12)*($NM$6:$NM$42=1))&gt;0)</f>
        <v/>
      </c>
      <c r="NO12">
        <f>$NO$11+--($NN12)</f>
        <v/>
      </c>
      <c r="NP12">
        <f>IF(ROW()-3&gt;MAX($NO$4:$NO$40),"",INDEX($CL$4:$CL$40,MATCH(ROW()-3,$NO$4:$NO$40,0)))</f>
        <v/>
      </c>
      <c r="NQ12">
        <f>IF(COUNTIF('Buyer Groups'!DG12:DV12,0)+COUNTIF('Buyer Groups'!DX12:EN12,0)&gt;0,0,1)</f>
        <v/>
      </c>
      <c r="NR12">
        <f>IF($CQ$12="",FALSE,SUMPRODUCT(('Final Calculation Sheet'!$Q$4:$Q$40=$CQ$12)*($NQ$6:$NQ$42=1))&gt;0)</f>
        <v/>
      </c>
      <c r="NS12">
        <f>$NS$11+--($NR12)</f>
        <v/>
      </c>
      <c r="NT12">
        <f>IF(ROW()-3&gt;MAX($NS$4:$NS$40),"",INDEX($CQ$4:$CQ$40,MATCH(ROW()-3,$NS$4:$NS$40,0)))</f>
        <v/>
      </c>
      <c r="NU12">
        <f>IF(COUNTIF('Buyer Groups'!DG12:DW12,0)+COUNTIF('Buyer Groups'!DY12:EN12,0)&gt;0,0,1)</f>
        <v/>
      </c>
      <c r="NV12">
        <f>IF($CV$12="",FALSE,SUMPRODUCT(('Final Calculation Sheet'!$R$4:$R$40=$CV$12)*($NU$6:$NU$42=1))&gt;0)</f>
        <v/>
      </c>
      <c r="NW12">
        <f>$NW$11+--($NV12)</f>
        <v/>
      </c>
      <c r="NX12">
        <f>IF(ROW()-3&gt;MAX($NW$4:$NW$40),"",INDEX($CV$4:$CV$40,MATCH(ROW()-3,$NW$4:$NW$40,0)))</f>
        <v/>
      </c>
      <c r="NY12">
        <f>IF(COUNTIF('Buyer Groups'!DG12:DX12,0)+COUNTIF('Buyer Groups'!DZ12:EN12,0)&gt;0,0,1)</f>
        <v/>
      </c>
      <c r="NZ12">
        <f>IF($DA$12="",FALSE,SUMPRODUCT(('Final Calculation Sheet'!$S$4:$S$40=$DA$12)*($NY$6:$NY$42=1))&gt;0)</f>
        <v/>
      </c>
      <c r="OA12">
        <f>$OA$11+--($NZ12)</f>
        <v/>
      </c>
      <c r="OB12">
        <f>IF(ROW()-3&gt;MAX($OA$4:$OA$40),"",INDEX($DA$4:$DA$40,MATCH(ROW()-3,$OA$4:$OA$40,0)))</f>
        <v/>
      </c>
      <c r="OC12">
        <f>IF(COUNTIF('Buyer Groups'!DG12:DY12,0)+COUNTIF('Buyer Groups'!EA12:EN12,0)&gt;0,0,1)</f>
        <v/>
      </c>
      <c r="OD12">
        <f>IF($DF$12="",FALSE,SUMPRODUCT(('Final Calculation Sheet'!$T$4:$T$40=$DF$12)*($OC$6:$OC$42=1))&gt;0)</f>
        <v/>
      </c>
      <c r="OE12">
        <f>$OE$11+--($OD12)</f>
        <v/>
      </c>
      <c r="OF12">
        <f>IF(ROW()-3&gt;MAX($OE$4:$OE$40),"",INDEX($DF$4:$DF$40,MATCH(ROW()-3,$OE$4:$OE$40,0)))</f>
        <v/>
      </c>
      <c r="OG12">
        <f>IF(COUNTIF('Buyer Groups'!DG12:DZ12,0)+COUNTIF('Buyer Groups'!EB12:EN12,0)&gt;0,0,1)</f>
        <v/>
      </c>
      <c r="OH12">
        <f>IF($DK$12="",FALSE,SUMPRODUCT(('Final Calculation Sheet'!$U$4:$U$40=$DK$12)*($OG$6:$OG$42=1))&gt;0)</f>
        <v/>
      </c>
      <c r="OI12">
        <f>$OI$11+--($OH12)</f>
        <v/>
      </c>
      <c r="OJ12">
        <f>IF(ROW()-3&gt;MAX($OI$4:$OI$40),"",INDEX($DK$4:$DK$40,MATCH(ROW()-3,$OI$4:$OI$40,0)))</f>
        <v/>
      </c>
      <c r="OK12">
        <f>IF(COUNTIF('Buyer Groups'!DG12:EA12,0)+COUNTIF('Buyer Groups'!EC12:EN12,0)&gt;0,0,1)</f>
        <v/>
      </c>
      <c r="OL12">
        <f>IF($DP$12="",FALSE,SUMPRODUCT(('Final Calculation Sheet'!$V$4:$V$40=$DP$12)*($OK$6:$OK$42=1))&gt;0)</f>
        <v/>
      </c>
      <c r="OM12">
        <f>$OM$11+--($OL12)</f>
        <v/>
      </c>
      <c r="ON12">
        <f>IF(ROW()-3&gt;MAX($OM$4:$OM$40),"",INDEX($DP$4:$DP$40,MATCH(ROW()-3,$OM$4:$OM$40,0)))</f>
        <v/>
      </c>
      <c r="OO12">
        <f>IF(COUNTIF('Buyer Groups'!DG12:EB12,0)+COUNTIF('Buyer Groups'!ED12:EN12,0)&gt;0,0,1)</f>
        <v/>
      </c>
      <c r="OP12">
        <f>IF($DU$12="",FALSE,SUMPRODUCT(('Final Calculation Sheet'!$W$4:$W$40=$DU$12)*($OO$6:$OO$42=1))&gt;0)</f>
        <v/>
      </c>
      <c r="OQ12">
        <f>$OQ$11+--($OP12)</f>
        <v/>
      </c>
      <c r="OR12">
        <f>IF(ROW()-3&gt;MAX($OQ$4:$OQ$40),"",INDEX($DU$4:$DU$40,MATCH(ROW()-3,$OQ$4:$OQ$40,0)))</f>
        <v/>
      </c>
      <c r="OS12">
        <f>IF(COUNTIF('Buyer Groups'!DG12:EC12,0)+COUNTIF('Buyer Groups'!EE12:EN12,0)&gt;0,0,1)</f>
        <v/>
      </c>
      <c r="OT12">
        <f>IF($DZ$12="",FALSE,SUMPRODUCT(('Final Calculation Sheet'!$X$4:$X$40=$DZ$12)*($OS$6:$OS$42=1))&gt;0)</f>
        <v/>
      </c>
      <c r="OU12">
        <f>$OU$11+--($OT12)</f>
        <v/>
      </c>
      <c r="OV12">
        <f>IF(ROW()-3&gt;MAX($OU$4:$OU$40),"",INDEX($DZ$4:$DZ$40,MATCH(ROW()-3,$OU$4:$OU$40,0)))</f>
        <v/>
      </c>
      <c r="OW12">
        <f>IF(COUNTIF('Buyer Groups'!DG12:ED12,0)+COUNTIF('Buyer Groups'!EF12:EN12,0)&gt;0,0,1)</f>
        <v/>
      </c>
      <c r="OX12">
        <f>IF($EE$12="",FALSE,SUMPRODUCT(('Final Calculation Sheet'!$Y$4:$Y$40=$EE$12)*($OW$6:$OW$42=1))&gt;0)</f>
        <v/>
      </c>
      <c r="OY12">
        <f>$OY$11+--($OX12)</f>
        <v/>
      </c>
      <c r="OZ12">
        <f>IF(ROW()-3&gt;MAX($OY$4:$OY$40),"",INDEX($EE$4:$EE$40,MATCH(ROW()-3,$OY$4:$OY$40,0)))</f>
        <v/>
      </c>
      <c r="PA12">
        <f>IF(COUNTIF('Buyer Groups'!DG12:EE12,0)+COUNTIF('Buyer Groups'!EG12:EN12,0)&gt;0,0,1)</f>
        <v/>
      </c>
      <c r="PB12">
        <f>IF($EJ$12="",FALSE,SUMPRODUCT(('Final Calculation Sheet'!$Z$4:$Z$40=$EJ$12)*($PA$6:$PA$42=1))&gt;0)</f>
        <v/>
      </c>
      <c r="PC12">
        <f>$PC$11+--($PB12)</f>
        <v/>
      </c>
      <c r="PD12">
        <f>IF(ROW()-3&gt;MAX($PC$4:$PC$40),"",INDEX($EJ$4:$EJ$40,MATCH(ROW()-3,$PC$4:$PC$40,0)))</f>
        <v/>
      </c>
      <c r="PE12">
        <f>IF(COUNTIF('Buyer Groups'!DG12:EF12,0)+COUNTIF('Buyer Groups'!EH12:EN12,0)&gt;0,0,1)</f>
        <v/>
      </c>
      <c r="PF12">
        <f>IF($EO$12="",FALSE,SUMPRODUCT(('Final Calculation Sheet'!$AA$4:$AA$40=$EO$12)*($PE$6:$PE$42=1))&gt;0)</f>
        <v/>
      </c>
      <c r="PG12">
        <f>$PG$11+--($PF12)</f>
        <v/>
      </c>
      <c r="PH12">
        <f>IF(ROW()-3&gt;MAX($PG$4:$PG$40),"",INDEX($EO$4:$EO$40,MATCH(ROW()-3,$PG$4:$PG$40,0)))</f>
        <v/>
      </c>
      <c r="PI12">
        <f>IF(COUNTIF('Buyer Groups'!DG12:EG12,0)+COUNTIF('Buyer Groups'!EI12:EN12,0)&gt;0,0,1)</f>
        <v/>
      </c>
      <c r="PJ12">
        <f>IF($ET$12="",FALSE,SUMPRODUCT(('Final Calculation Sheet'!$AB$4:$AB$40=$ET$12)*($PI$6:$PI$42=1))&gt;0)</f>
        <v/>
      </c>
      <c r="PK12">
        <f>$PK$11+--($PJ12)</f>
        <v/>
      </c>
      <c r="PL12">
        <f>IF(ROW()-3&gt;MAX($PK$4:$PK$40),"",INDEX($ET$4:$ET$40,MATCH(ROW()-3,$PK$4:$PK$40,0)))</f>
        <v/>
      </c>
      <c r="PM12">
        <f>IF(COUNTIF('Buyer Groups'!DG12:EH12,0)+COUNTIF('Buyer Groups'!EJ12:EN12,0)&gt;0,0,1)</f>
        <v/>
      </c>
      <c r="PN12">
        <f>IF($EY$12="",FALSE,SUMPRODUCT(('Final Calculation Sheet'!$AC$4:$AC$40=$EY$12)*($PM$6:$PM$42=1))&gt;0)</f>
        <v/>
      </c>
      <c r="PO12">
        <f>$PO$11+--($PN12)</f>
        <v/>
      </c>
      <c r="PP12">
        <f>IF(ROW()-3&gt;MAX($PO$4:$PO$40),"",INDEX($EY$4:$EY$40,MATCH(ROW()-3,$PO$4:$PO$40,0)))</f>
        <v/>
      </c>
      <c r="PQ12">
        <f>IF(COUNTIF('Buyer Groups'!DG12:EI12,0)+COUNTIF('Buyer Groups'!EK12:EN12,0)&gt;0,0,1)</f>
        <v/>
      </c>
      <c r="PR12">
        <f>IF($FD$12="",FALSE,SUMPRODUCT(('Final Calculation Sheet'!$AD$4:$AD$40=$FD$12)*($PQ$6:$PQ$42=1))&gt;0)</f>
        <v/>
      </c>
      <c r="PS12">
        <f>$PS$11+--($PR12)</f>
        <v/>
      </c>
      <c r="PT12">
        <f>IF(ROW()-3&gt;MAX($PS$4:$PS$40),"",INDEX($FD$4:$FD$40,MATCH(ROW()-3,$PS$4:$PS$40,0)))</f>
        <v/>
      </c>
      <c r="PU12">
        <f>IF(COUNTIF('Buyer Groups'!DG12:EJ12,0)+COUNTIF('Buyer Groups'!EL12:EN12,0)&gt;0,0,1)</f>
        <v/>
      </c>
      <c r="PV12">
        <f>IF($FX$12="",FALSE,SUMPRODUCT((IF('Final Calculation Sheet'!$AD$4:$AD$40&lt;=5,"SETTLED","OUTSTANDING")=$FX$12)*($PU$6:$PU$42=1))&gt;0)</f>
        <v/>
      </c>
      <c r="PW12">
        <f>$PW$11+--($PV12)</f>
        <v/>
      </c>
      <c r="PX12">
        <f>IF(ROW()-3&gt;MAX($PW$4:$PW$40),"",INDEX($FX$4:$FX$40,MATCH(ROW()-3,$PW$4:$PW$40,0)))</f>
        <v/>
      </c>
      <c r="PY12">
        <f>IF(COUNTIF('Buyer Groups'!DG12:EK12,0)+COUNTIF('Buyer Groups'!EM12:EN12,0)&gt;0,0,1)</f>
        <v/>
      </c>
      <c r="PZ12">
        <f>IF($FI$12="",FALSE,SUMPRODUCT(('Final Calculation Sheet'!$AF$4:$AF$40=$FI$12)*($PY$6:$PY$42=1))&gt;0)</f>
        <v/>
      </c>
      <c r="QA12">
        <f>$QA$11+--($PZ12)</f>
        <v/>
      </c>
      <c r="QB12">
        <f>IF(ROW()-3&gt;MAX($QA$4:$QA$40),"",INDEX($FI$4:$FI$40,MATCH(ROW()-3,$QA$4:$QA$40,0)))</f>
        <v/>
      </c>
      <c r="QC12">
        <f>IF(COUNTIF('Buyer Groups'!DG12:EL12,0)+COUNTIF('Buyer Groups'!EN12:EN12,0)&gt;0,0,1)</f>
        <v/>
      </c>
      <c r="QD12">
        <f>IF($FN$12="",FALSE,SUMPRODUCT(('Final Calculation Sheet'!$AG$4:$AG$40=$FN$12)*($QC$6:$QC$42=1))&gt;0)</f>
        <v/>
      </c>
      <c r="QE12">
        <f>$QE$11+--($QD12)</f>
        <v/>
      </c>
      <c r="QF12">
        <f>IF(ROW()-3&gt;MAX($QE$4:$QE$40),"",INDEX($FN$4:$FN$40,MATCH(ROW()-3,$QE$4:$QE$40,0)))</f>
        <v/>
      </c>
      <c r="QG12">
        <f>IF(COUNTIF('Buyer Groups'!DG12:EM12,0)&gt;0,0,1)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Groups'!DH13:EN13,0)&gt;0,0,1)</f>
        <v/>
      </c>
      <c r="LF13">
        <f>IF($O$13="",FALSE,SUMPRODUCT(('Final Calculation Sheet'!$F$4:$F$40=$O$13)*($LE$6:$LE$42=1))&gt;0)</f>
        <v/>
      </c>
      <c r="LG13">
        <f>$LG$12+--($LF13)</f>
        <v/>
      </c>
      <c r="LH13">
        <f>IF(ROW()-3&gt;MAX($LG$4:$LG$40),"",INDEX($O$4:$O$40,MATCH(ROW()-3,$LG$4:$LG$40,0)))</f>
        <v/>
      </c>
      <c r="LI13">
        <f>IF(COUNTIF('Buyer Groups'!DG13:DG13,0)+COUNTIF('Buyer Groups'!DI13:EN13,0)&gt;0,0,1)</f>
        <v/>
      </c>
      <c r="LJ13">
        <f>IF($T$13="",FALSE,SUMPRODUCT(('Final Calculation Sheet'!$G$4:$G$40=$T$13)*($LI$6:$LI$42=1))&gt;0)</f>
        <v/>
      </c>
      <c r="LK13">
        <f>$LK$12+--($LJ13)</f>
        <v/>
      </c>
      <c r="LL13">
        <f>IF(ROW()-3&gt;MAX($LK$4:$LK$40),"",INDEX($T$4:$T$40,MATCH(ROW()-3,$LK$4:$LK$40,0)))</f>
        <v/>
      </c>
      <c r="LM13">
        <f>IF(COUNTIF('Buyer Groups'!DG13:DH13,0)+COUNTIF('Buyer Groups'!DJ13:EN13,0)&gt;0,0,1)</f>
        <v/>
      </c>
      <c r="LN13">
        <f>IF($Y$13="",FALSE,SUMPRODUCT(('Final Calculation Sheet'!$B$4:$B$40=$Y$13)*($LM$6:$LM$42=1))&gt;0)</f>
        <v/>
      </c>
      <c r="LO13">
        <f>$LO$12+--($LN13)</f>
        <v/>
      </c>
      <c r="LP13">
        <f>IF(ROW()-3&gt;MAX($LO$4:$LO$40),"",INDEX($Y$4:$Y$40,MATCH(ROW()-3,$LO$4:$LO$40,0)))</f>
        <v/>
      </c>
      <c r="LQ13">
        <f>IF(COUNTIF('Buyer Groups'!DG13:DI13,0)+COUNTIF('Buyer Groups'!DK13:EN13,0)&gt;0,0,1)</f>
        <v/>
      </c>
      <c r="LR13">
        <f>IF($AD$13="",FALSE,SUMPRODUCT(('Final Calculation Sheet'!$D$4:$D$40=$AD$13)*($LQ$6:$LQ$42=1))&gt;0)</f>
        <v/>
      </c>
      <c r="LS13">
        <f>$LS$12+--($LR13)</f>
        <v/>
      </c>
      <c r="LT13">
        <f>IF(ROW()-3&gt;MAX($LS$4:$LS$40),"",INDEX($AD$4:$AD$40,MATCH(ROW()-3,$LS$4:$LS$40,0)))</f>
        <v/>
      </c>
      <c r="LU13">
        <f>IF(COUNTIF('Buyer Groups'!DG13:DJ13,0)+COUNTIF('Buyer Groups'!DL13:EN13,0)&gt;0,0,1)</f>
        <v/>
      </c>
      <c r="LV13">
        <f>IF($AI$13="",FALSE,SUMPRODUCT(('Final Calculation Sheet'!$A$4:$A$40=$AI$13)*($LU$6:$LU$42=1))&gt;0)</f>
        <v/>
      </c>
      <c r="LW13">
        <f>$LW$12+--($LV13)</f>
        <v/>
      </c>
      <c r="LX13">
        <f>IF(ROW()-3&gt;MAX($LW$4:$LW$40),"",INDEX($AI$4:$AI$40,MATCH(ROW()-3,$LW$4:$LW$40,0)))</f>
        <v/>
      </c>
      <c r="LY13">
        <f>IF(COUNTIF('Buyer Groups'!DG13:DK13,0)+COUNTIF('Buyer Groups'!DM13:EN13,0)&gt;0,0,1)</f>
        <v/>
      </c>
      <c r="LZ13">
        <f>IF($AN$13="",FALSE,SUMPRODUCT(('Final Calculation Sheet'!$E$4:$E$40=$AN$13)*($LY$6:$LY$42=1))&gt;0)</f>
        <v/>
      </c>
      <c r="MA13">
        <f>$MA$12+--($LZ13)</f>
        <v/>
      </c>
      <c r="MB13">
        <f>IF(ROW()-3&gt;MAX($MA$4:$MA$40),"",INDEX($AN$4:$AN$40,MATCH(ROW()-3,$MA$4:$MA$40,0)))</f>
        <v/>
      </c>
      <c r="MC13">
        <f>IF(COUNTIF('Buyer Groups'!DG13:DL13,0)+COUNTIF('Buyer Groups'!DN13:EN13,0)&gt;0,0,1)</f>
        <v/>
      </c>
      <c r="MD13">
        <f>IF($AS$13="",FALSE,SUMPRODUCT(('Final Calculation Sheet'!$C$4:$C$40=$AS$13)*($MC$6:$MC$42=1))&gt;0)</f>
        <v/>
      </c>
      <c r="ME13">
        <f>$ME$12+--($MD13)</f>
        <v/>
      </c>
      <c r="MF13">
        <f>IF(ROW()-3&gt;MAX($ME$4:$ME$40),"",INDEX($AS$4:$AS$40,MATCH(ROW()-3,$ME$4:$ME$40,0)))</f>
        <v/>
      </c>
      <c r="MG13">
        <f>IF(COUNTIF('Buyer Groups'!DG13:DM13,0)+COUNTIF('Buyer Groups'!DO13:EN13,0)&gt;0,0,1)</f>
        <v/>
      </c>
      <c r="MH13">
        <f>IF($AX$13="",FALSE,SUMPRODUCT(('Final Calculation Sheet'!$H$4:$H$40=$AX$13)*($MG$6:$MG$42=1))&gt;0)</f>
        <v/>
      </c>
      <c r="MI13">
        <f>$MI$12+--($MH13)</f>
        <v/>
      </c>
      <c r="MJ13">
        <f>IF(ROW()-3&gt;MAX($MI$4:$MI$40),"",INDEX($AX$4:$AX$40,MATCH(ROW()-3,$MI$4:$MI$40,0)))</f>
        <v/>
      </c>
      <c r="MK13">
        <f>IF(COUNTIF('Buyer Groups'!DG13:DN13,0)+COUNTIF('Buyer Groups'!DP13:EN13,0)&gt;0,0,1)</f>
        <v/>
      </c>
      <c r="ML13">
        <f>IF($BC$13="",FALSE,SUMPRODUCT(('Final Calculation Sheet'!$I$4:$I$40=$BC$13)*($MK$6:$MK$42=1))&gt;0)</f>
        <v/>
      </c>
      <c r="MM13">
        <f>$MM$12+--($ML13)</f>
        <v/>
      </c>
      <c r="MN13">
        <f>IF(ROW()-3&gt;MAX($MM$4:$MM$40),"",INDEX($BC$4:$BC$40,MATCH(ROW()-3,$MM$4:$MM$40,0)))</f>
        <v/>
      </c>
      <c r="MO13">
        <f>IF(COUNTIF('Buyer Groups'!DG13:DO13,0)+COUNTIF('Buyer Groups'!DQ13:EN13,0)&gt;0,0,1)</f>
        <v/>
      </c>
      <c r="MP13">
        <f>IF($BH$13="",FALSE,SUMPRODUCT(('Final Calculation Sheet'!$J$4:$J$40=$BH$13)*($MO$6:$MO$42=1))&gt;0)</f>
        <v/>
      </c>
      <c r="MQ13">
        <f>$MQ$12+--($MP13)</f>
        <v/>
      </c>
      <c r="MR13">
        <f>IF(ROW()-3&gt;MAX($MQ$4:$MQ$40),"",INDEX($BH$4:$BH$40,MATCH(ROW()-3,$MQ$4:$MQ$40,0)))</f>
        <v/>
      </c>
      <c r="MS13">
        <f>IF(COUNTIF('Buyer Groups'!DG13:DP13,0)+COUNTIF('Buyer Groups'!DR13:EN13,0)&gt;0,0,1)</f>
        <v/>
      </c>
      <c r="MT13">
        <f>IF($BM$13="",FALSE,SUMPRODUCT(('Final Calculation Sheet'!$K$4:$K$40=$BM$13)*($MS$6:$MS$42=1))&gt;0)</f>
        <v/>
      </c>
      <c r="MU13">
        <f>$MU$12+--($MT13)</f>
        <v/>
      </c>
      <c r="MV13">
        <f>IF(ROW()-3&gt;MAX($MU$4:$MU$40),"",INDEX($BM$4:$BM$40,MATCH(ROW()-3,$MU$4:$MU$40,0)))</f>
        <v/>
      </c>
      <c r="MW13">
        <f>IF(COUNTIF('Buyer Groups'!DG13:DQ13,0)+COUNTIF('Buyer Groups'!DS13:EN13,0)&gt;0,0,1)</f>
        <v/>
      </c>
      <c r="MX13">
        <f>IF($BR$13="",FALSE,SUMPRODUCT(('Final Calculation Sheet'!$L$4:$L$40=$BR$13)*($MW$6:$MW$42=1))&gt;0)</f>
        <v/>
      </c>
      <c r="MY13">
        <f>$MY$12+--($MX13)</f>
        <v/>
      </c>
      <c r="MZ13">
        <f>IF(ROW()-3&gt;MAX($MY$4:$MY$40),"",INDEX($BR$4:$BR$40,MATCH(ROW()-3,$MY$4:$MY$40,0)))</f>
        <v/>
      </c>
      <c r="NA13">
        <f>IF(COUNTIF('Buyer Groups'!DG13:DR13,0)+COUNTIF('Buyer Groups'!DT13:EN13,0)&gt;0,0,1)</f>
        <v/>
      </c>
      <c r="NB13">
        <f>IF($BW$13="",FALSE,SUMPRODUCT(('Final Calculation Sheet'!$M$4:$M$40=$BW$13)*($NA$6:$NA$42=1))&gt;0)</f>
        <v/>
      </c>
      <c r="NC13">
        <f>$NC$12+--($NB13)</f>
        <v/>
      </c>
      <c r="ND13">
        <f>IF(ROW()-3&gt;MAX($NC$4:$NC$40),"",INDEX($BW$4:$BW$40,MATCH(ROW()-3,$NC$4:$NC$40,0)))</f>
        <v/>
      </c>
      <c r="NE13">
        <f>IF(COUNTIF('Buyer Groups'!DG13:DS13,0)+COUNTIF('Buyer Groups'!DU13:EN13,0)&gt;0,0,1)</f>
        <v/>
      </c>
      <c r="NF13">
        <f>IF($CB$13="",FALSE,SUMPRODUCT(('Final Calculation Sheet'!$N$4:$N$40=$CB$13)*($NE$6:$NE$42=1))&gt;0)</f>
        <v/>
      </c>
      <c r="NG13">
        <f>$NG$12+--($NF13)</f>
        <v/>
      </c>
      <c r="NH13">
        <f>IF(ROW()-3&gt;MAX($NG$4:$NG$40),"",INDEX($CB$4:$CB$40,MATCH(ROW()-3,$NG$4:$NG$40,0)))</f>
        <v/>
      </c>
      <c r="NI13">
        <f>IF(COUNTIF('Buyer Groups'!DG13:DT13,0)+COUNTIF('Buyer Groups'!DV13:EN13,0)&gt;0,0,1)</f>
        <v/>
      </c>
      <c r="NJ13">
        <f>IF($CG$13="",FALSE,SUMPRODUCT(('Final Calculation Sheet'!$O$4:$O$40=$CG$13)*($NI$6:$NI$42=1))&gt;0)</f>
        <v/>
      </c>
      <c r="NK13">
        <f>$NK$12+--($NJ13)</f>
        <v/>
      </c>
      <c r="NL13">
        <f>IF(ROW()-3&gt;MAX($NK$4:$NK$40),"",INDEX($CG$4:$CG$40,MATCH(ROW()-3,$NK$4:$NK$40,0)))</f>
        <v/>
      </c>
      <c r="NM13">
        <f>IF(COUNTIF('Buyer Groups'!DG13:DU13,0)+COUNTIF('Buyer Groups'!DW13:EN13,0)&gt;0,0,1)</f>
        <v/>
      </c>
      <c r="NN13">
        <f>IF($CL$13="",FALSE,SUMPRODUCT(('Final Calculation Sheet'!$P$4:$P$40=$CL$13)*($NM$6:$NM$42=1))&gt;0)</f>
        <v/>
      </c>
      <c r="NO13">
        <f>$NO$12+--($NN13)</f>
        <v/>
      </c>
      <c r="NP13">
        <f>IF(ROW()-3&gt;MAX($NO$4:$NO$40),"",INDEX($CL$4:$CL$40,MATCH(ROW()-3,$NO$4:$NO$40,0)))</f>
        <v/>
      </c>
      <c r="NQ13">
        <f>IF(COUNTIF('Buyer Groups'!DG13:DV13,0)+COUNTIF('Buyer Groups'!DX13:EN13,0)&gt;0,0,1)</f>
        <v/>
      </c>
      <c r="NR13">
        <f>IF($CQ$13="",FALSE,SUMPRODUCT(('Final Calculation Sheet'!$Q$4:$Q$40=$CQ$13)*($NQ$6:$NQ$42=1))&gt;0)</f>
        <v/>
      </c>
      <c r="NS13">
        <f>$NS$12+--($NR13)</f>
        <v/>
      </c>
      <c r="NT13">
        <f>IF(ROW()-3&gt;MAX($NS$4:$NS$40),"",INDEX($CQ$4:$CQ$40,MATCH(ROW()-3,$NS$4:$NS$40,0)))</f>
        <v/>
      </c>
      <c r="NU13">
        <f>IF(COUNTIF('Buyer Groups'!DG13:DW13,0)+COUNTIF('Buyer Groups'!DY13:EN13,0)&gt;0,0,1)</f>
        <v/>
      </c>
      <c r="NV13">
        <f>IF($CV$13="",FALSE,SUMPRODUCT(('Final Calculation Sheet'!$R$4:$R$40=$CV$13)*($NU$6:$NU$42=1))&gt;0)</f>
        <v/>
      </c>
      <c r="NW13">
        <f>$NW$12+--($NV13)</f>
        <v/>
      </c>
      <c r="NX13">
        <f>IF(ROW()-3&gt;MAX($NW$4:$NW$40),"",INDEX($CV$4:$CV$40,MATCH(ROW()-3,$NW$4:$NW$40,0)))</f>
        <v/>
      </c>
      <c r="NY13">
        <f>IF(COUNTIF('Buyer Groups'!DG13:DX13,0)+COUNTIF('Buyer Groups'!DZ13:EN13,0)&gt;0,0,1)</f>
        <v/>
      </c>
      <c r="NZ13">
        <f>IF($DA$13="",FALSE,SUMPRODUCT(('Final Calculation Sheet'!$S$4:$S$40=$DA$13)*($NY$6:$NY$42=1))&gt;0)</f>
        <v/>
      </c>
      <c r="OA13">
        <f>$OA$12+--($NZ13)</f>
        <v/>
      </c>
      <c r="OB13">
        <f>IF(ROW()-3&gt;MAX($OA$4:$OA$40),"",INDEX($DA$4:$DA$40,MATCH(ROW()-3,$OA$4:$OA$40,0)))</f>
        <v/>
      </c>
      <c r="OC13">
        <f>IF(COUNTIF('Buyer Groups'!DG13:DY13,0)+COUNTIF('Buyer Groups'!EA13:EN13,0)&gt;0,0,1)</f>
        <v/>
      </c>
      <c r="OD13">
        <f>IF($DF$13="",FALSE,SUMPRODUCT(('Final Calculation Sheet'!$T$4:$T$40=$DF$13)*($OC$6:$OC$42=1))&gt;0)</f>
        <v/>
      </c>
      <c r="OE13">
        <f>$OE$12+--($OD13)</f>
        <v/>
      </c>
      <c r="OF13">
        <f>IF(ROW()-3&gt;MAX($OE$4:$OE$40),"",INDEX($DF$4:$DF$40,MATCH(ROW()-3,$OE$4:$OE$40,0)))</f>
        <v/>
      </c>
      <c r="OG13">
        <f>IF(COUNTIF('Buyer Groups'!DG13:DZ13,0)+COUNTIF('Buyer Groups'!EB13:EN13,0)&gt;0,0,1)</f>
        <v/>
      </c>
      <c r="OH13">
        <f>IF($DK$13="",FALSE,SUMPRODUCT(('Final Calculation Sheet'!$U$4:$U$40=$DK$13)*($OG$6:$OG$42=1))&gt;0)</f>
        <v/>
      </c>
      <c r="OI13">
        <f>$OI$12+--($OH13)</f>
        <v/>
      </c>
      <c r="OJ13">
        <f>IF(ROW()-3&gt;MAX($OI$4:$OI$40),"",INDEX($DK$4:$DK$40,MATCH(ROW()-3,$OI$4:$OI$40,0)))</f>
        <v/>
      </c>
      <c r="OK13">
        <f>IF(COUNTIF('Buyer Groups'!DG13:EA13,0)+COUNTIF('Buyer Groups'!EC13:EN13,0)&gt;0,0,1)</f>
        <v/>
      </c>
      <c r="OL13">
        <f>IF($DP$13="",FALSE,SUMPRODUCT(('Final Calculation Sheet'!$V$4:$V$40=$DP$13)*($OK$6:$OK$42=1))&gt;0)</f>
        <v/>
      </c>
      <c r="OM13">
        <f>$OM$12+--($OL13)</f>
        <v/>
      </c>
      <c r="ON13">
        <f>IF(ROW()-3&gt;MAX($OM$4:$OM$40),"",INDEX($DP$4:$DP$40,MATCH(ROW()-3,$OM$4:$OM$40,0)))</f>
        <v/>
      </c>
      <c r="OO13">
        <f>IF(COUNTIF('Buyer Groups'!DG13:EB13,0)+COUNTIF('Buyer Groups'!ED13:EN13,0)&gt;0,0,1)</f>
        <v/>
      </c>
      <c r="OP13">
        <f>IF($DU$13="",FALSE,SUMPRODUCT(('Final Calculation Sheet'!$W$4:$W$40=$DU$13)*($OO$6:$OO$42=1))&gt;0)</f>
        <v/>
      </c>
      <c r="OQ13">
        <f>$OQ$12+--($OP13)</f>
        <v/>
      </c>
      <c r="OR13">
        <f>IF(ROW()-3&gt;MAX($OQ$4:$OQ$40),"",INDEX($DU$4:$DU$40,MATCH(ROW()-3,$OQ$4:$OQ$40,0)))</f>
        <v/>
      </c>
      <c r="OS13">
        <f>IF(COUNTIF('Buyer Groups'!DG13:EC13,0)+COUNTIF('Buyer Groups'!EE13:EN13,0)&gt;0,0,1)</f>
        <v/>
      </c>
      <c r="OT13">
        <f>IF($DZ$13="",FALSE,SUMPRODUCT(('Final Calculation Sheet'!$X$4:$X$40=$DZ$13)*($OS$6:$OS$42=1))&gt;0)</f>
        <v/>
      </c>
      <c r="OU13">
        <f>$OU$12+--($OT13)</f>
        <v/>
      </c>
      <c r="OV13">
        <f>IF(ROW()-3&gt;MAX($OU$4:$OU$40),"",INDEX($DZ$4:$DZ$40,MATCH(ROW()-3,$OU$4:$OU$40,0)))</f>
        <v/>
      </c>
      <c r="OW13">
        <f>IF(COUNTIF('Buyer Groups'!DG13:ED13,0)+COUNTIF('Buyer Groups'!EF13:EN13,0)&gt;0,0,1)</f>
        <v/>
      </c>
      <c r="OX13">
        <f>IF($EE$13="",FALSE,SUMPRODUCT(('Final Calculation Sheet'!$Y$4:$Y$40=$EE$13)*($OW$6:$OW$42=1))&gt;0)</f>
        <v/>
      </c>
      <c r="OY13">
        <f>$OY$12+--($OX13)</f>
        <v/>
      </c>
      <c r="OZ13">
        <f>IF(ROW()-3&gt;MAX($OY$4:$OY$40),"",INDEX($EE$4:$EE$40,MATCH(ROW()-3,$OY$4:$OY$40,0)))</f>
        <v/>
      </c>
      <c r="PA13">
        <f>IF(COUNTIF('Buyer Groups'!DG13:EE13,0)+COUNTIF('Buyer Groups'!EG13:EN13,0)&gt;0,0,1)</f>
        <v/>
      </c>
      <c r="PB13">
        <f>IF($EJ$13="",FALSE,SUMPRODUCT(('Final Calculation Sheet'!$Z$4:$Z$40=$EJ$13)*($PA$6:$PA$42=1))&gt;0)</f>
        <v/>
      </c>
      <c r="PC13">
        <f>$PC$12+--($PB13)</f>
        <v/>
      </c>
      <c r="PD13">
        <f>IF(ROW()-3&gt;MAX($PC$4:$PC$40),"",INDEX($EJ$4:$EJ$40,MATCH(ROW()-3,$PC$4:$PC$40,0)))</f>
        <v/>
      </c>
      <c r="PE13">
        <f>IF(COUNTIF('Buyer Groups'!DG13:EF13,0)+COUNTIF('Buyer Groups'!EH13:EN13,0)&gt;0,0,1)</f>
        <v/>
      </c>
      <c r="PF13">
        <f>IF($EO$13="",FALSE,SUMPRODUCT(('Final Calculation Sheet'!$AA$4:$AA$40=$EO$13)*($PE$6:$PE$42=1))&gt;0)</f>
        <v/>
      </c>
      <c r="PG13">
        <f>$PG$12+--($PF13)</f>
        <v/>
      </c>
      <c r="PH13">
        <f>IF(ROW()-3&gt;MAX($PG$4:$PG$40),"",INDEX($EO$4:$EO$40,MATCH(ROW()-3,$PG$4:$PG$40,0)))</f>
        <v/>
      </c>
      <c r="PI13">
        <f>IF(COUNTIF('Buyer Groups'!DG13:EG13,0)+COUNTIF('Buyer Groups'!EI13:EN13,0)&gt;0,0,1)</f>
        <v/>
      </c>
      <c r="PJ13">
        <f>IF($ET$13="",FALSE,SUMPRODUCT(('Final Calculation Sheet'!$AB$4:$AB$40=$ET$13)*($PI$6:$PI$42=1))&gt;0)</f>
        <v/>
      </c>
      <c r="PK13">
        <f>$PK$12+--($PJ13)</f>
        <v/>
      </c>
      <c r="PL13">
        <f>IF(ROW()-3&gt;MAX($PK$4:$PK$40),"",INDEX($ET$4:$ET$40,MATCH(ROW()-3,$PK$4:$PK$40,0)))</f>
        <v/>
      </c>
      <c r="PM13">
        <f>IF(COUNTIF('Buyer Groups'!DG13:EH13,0)+COUNTIF('Buyer Groups'!EJ13:EN13,0)&gt;0,0,1)</f>
        <v/>
      </c>
      <c r="PN13">
        <f>IF($EY$13="",FALSE,SUMPRODUCT(('Final Calculation Sheet'!$AC$4:$AC$40=$EY$13)*($PM$6:$PM$42=1))&gt;0)</f>
        <v/>
      </c>
      <c r="PO13">
        <f>$PO$12+--($PN13)</f>
        <v/>
      </c>
      <c r="PP13">
        <f>IF(ROW()-3&gt;MAX($PO$4:$PO$40),"",INDEX($EY$4:$EY$40,MATCH(ROW()-3,$PO$4:$PO$40,0)))</f>
        <v/>
      </c>
      <c r="PQ13">
        <f>IF(COUNTIF('Buyer Groups'!DG13:EI13,0)+COUNTIF('Buyer Groups'!EK13:EN13,0)&gt;0,0,1)</f>
        <v/>
      </c>
      <c r="PR13">
        <f>IF($FD$13="",FALSE,SUMPRODUCT(('Final Calculation Sheet'!$AD$4:$AD$40=$FD$13)*($PQ$6:$PQ$42=1))&gt;0)</f>
        <v/>
      </c>
      <c r="PS13">
        <f>$PS$12+--($PR13)</f>
        <v/>
      </c>
      <c r="PT13">
        <f>IF(ROW()-3&gt;MAX($PS$4:$PS$40),"",INDEX($FD$4:$FD$40,MATCH(ROW()-3,$PS$4:$PS$40,0)))</f>
        <v/>
      </c>
      <c r="PU13">
        <f>IF(COUNTIF('Buyer Groups'!DG13:EJ13,0)+COUNTIF('Buyer Groups'!EL13:EN13,0)&gt;0,0,1)</f>
        <v/>
      </c>
      <c r="PV13">
        <f>IF($FX$13="",FALSE,SUMPRODUCT((IF('Final Calculation Sheet'!$AD$4:$AD$40&lt;=5,"SETTLED","OUTSTANDING")=$FX$13)*($PU$6:$PU$42=1))&gt;0)</f>
        <v/>
      </c>
      <c r="PW13">
        <f>$PW$12+--($PV13)</f>
        <v/>
      </c>
      <c r="PX13">
        <f>IF(ROW()-3&gt;MAX($PW$4:$PW$40),"",INDEX($FX$4:$FX$40,MATCH(ROW()-3,$PW$4:$PW$40,0)))</f>
        <v/>
      </c>
      <c r="PY13">
        <f>IF(COUNTIF('Buyer Groups'!DG13:EK13,0)+COUNTIF('Buyer Groups'!EM13:EN13,0)&gt;0,0,1)</f>
        <v/>
      </c>
      <c r="PZ13">
        <f>IF($FI$13="",FALSE,SUMPRODUCT(('Final Calculation Sheet'!$AF$4:$AF$40=$FI$13)*($PY$6:$PY$42=1))&gt;0)</f>
        <v/>
      </c>
      <c r="QA13">
        <f>$QA$12+--($PZ13)</f>
        <v/>
      </c>
      <c r="QB13">
        <f>IF(ROW()-3&gt;MAX($QA$4:$QA$40),"",INDEX($FI$4:$FI$40,MATCH(ROW()-3,$QA$4:$QA$40,0)))</f>
        <v/>
      </c>
      <c r="QC13">
        <f>IF(COUNTIF('Buyer Groups'!DG13:EL13,0)+COUNTIF('Buyer Groups'!EN13:EN13,0)&gt;0,0,1)</f>
        <v/>
      </c>
      <c r="QD13">
        <f>IF($FN$13="",FALSE,SUMPRODUCT(('Final Calculation Sheet'!$AG$4:$AG$40=$FN$13)*($QC$6:$QC$42=1))&gt;0)</f>
        <v/>
      </c>
      <c r="QE13">
        <f>$QE$12+--($QD13)</f>
        <v/>
      </c>
      <c r="QF13">
        <f>IF(ROW()-3&gt;MAX($QE$4:$QE$40),"",INDEX($FN$4:$FN$40,MATCH(ROW()-3,$QE$4:$QE$40,0)))</f>
        <v/>
      </c>
      <c r="QG13">
        <f>IF(COUNTIF('Buyer Groups'!DG13:EM13,0)&gt;0,0,1)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Groups'!DH14:EN14,0)&gt;0,0,1)</f>
        <v/>
      </c>
      <c r="LF14">
        <f>IF($O$14="",FALSE,SUMPRODUCT(('Final Calculation Sheet'!$F$4:$F$40=$O$14)*($LE$6:$LE$42=1))&gt;0)</f>
        <v/>
      </c>
      <c r="LG14">
        <f>$LG$13+--($LF14)</f>
        <v/>
      </c>
      <c r="LH14">
        <f>IF(ROW()-3&gt;MAX($LG$4:$LG$40),"",INDEX($O$4:$O$40,MATCH(ROW()-3,$LG$4:$LG$40,0)))</f>
        <v/>
      </c>
      <c r="LI14">
        <f>IF(COUNTIF('Buyer Groups'!DG14:DG14,0)+COUNTIF('Buyer Groups'!DI14:EN14,0)&gt;0,0,1)</f>
        <v/>
      </c>
      <c r="LJ14">
        <f>IF($T$14="",FALSE,SUMPRODUCT(('Final Calculation Sheet'!$G$4:$G$40=$T$14)*($LI$6:$LI$42=1))&gt;0)</f>
        <v/>
      </c>
      <c r="LK14">
        <f>$LK$13+--($LJ14)</f>
        <v/>
      </c>
      <c r="LL14">
        <f>IF(ROW()-3&gt;MAX($LK$4:$LK$40),"",INDEX($T$4:$T$40,MATCH(ROW()-3,$LK$4:$LK$40,0)))</f>
        <v/>
      </c>
      <c r="LM14">
        <f>IF(COUNTIF('Buyer Groups'!DG14:DH14,0)+COUNTIF('Buyer Groups'!DJ14:EN14,0)&gt;0,0,1)</f>
        <v/>
      </c>
      <c r="LN14">
        <f>IF($Y$14="",FALSE,SUMPRODUCT(('Final Calculation Sheet'!$B$4:$B$40=$Y$14)*($LM$6:$LM$42=1))&gt;0)</f>
        <v/>
      </c>
      <c r="LO14">
        <f>$LO$13+--($LN14)</f>
        <v/>
      </c>
      <c r="LP14">
        <f>IF(ROW()-3&gt;MAX($LO$4:$LO$40),"",INDEX($Y$4:$Y$40,MATCH(ROW()-3,$LO$4:$LO$40,0)))</f>
        <v/>
      </c>
      <c r="LQ14">
        <f>IF(COUNTIF('Buyer Groups'!DG14:DI14,0)+COUNTIF('Buyer Groups'!DK14:EN14,0)&gt;0,0,1)</f>
        <v/>
      </c>
      <c r="LR14">
        <f>IF($AD$14="",FALSE,SUMPRODUCT(('Final Calculation Sheet'!$D$4:$D$40=$AD$14)*($LQ$6:$LQ$42=1))&gt;0)</f>
        <v/>
      </c>
      <c r="LS14">
        <f>$LS$13+--($LR14)</f>
        <v/>
      </c>
      <c r="LT14">
        <f>IF(ROW()-3&gt;MAX($LS$4:$LS$40),"",INDEX($AD$4:$AD$40,MATCH(ROW()-3,$LS$4:$LS$40,0)))</f>
        <v/>
      </c>
      <c r="LU14">
        <f>IF(COUNTIF('Buyer Groups'!DG14:DJ14,0)+COUNTIF('Buyer Groups'!DL14:EN14,0)&gt;0,0,1)</f>
        <v/>
      </c>
      <c r="LV14">
        <f>IF($AI$14="",FALSE,SUMPRODUCT(('Final Calculation Sheet'!$A$4:$A$40=$AI$14)*($LU$6:$LU$42=1))&gt;0)</f>
        <v/>
      </c>
      <c r="LW14">
        <f>$LW$13+--($LV14)</f>
        <v/>
      </c>
      <c r="LX14">
        <f>IF(ROW()-3&gt;MAX($LW$4:$LW$40),"",INDEX($AI$4:$AI$40,MATCH(ROW()-3,$LW$4:$LW$40,0)))</f>
        <v/>
      </c>
      <c r="LY14">
        <f>IF(COUNTIF('Buyer Groups'!DG14:DK14,0)+COUNTIF('Buyer Groups'!DM14:EN14,0)&gt;0,0,1)</f>
        <v/>
      </c>
      <c r="LZ14">
        <f>IF($AN$14="",FALSE,SUMPRODUCT(('Final Calculation Sheet'!$E$4:$E$40=$AN$14)*($LY$6:$LY$42=1))&gt;0)</f>
        <v/>
      </c>
      <c r="MA14">
        <f>$MA$13+--($LZ14)</f>
        <v/>
      </c>
      <c r="MB14">
        <f>IF(ROW()-3&gt;MAX($MA$4:$MA$40),"",INDEX($AN$4:$AN$40,MATCH(ROW()-3,$MA$4:$MA$40,0)))</f>
        <v/>
      </c>
      <c r="MC14">
        <f>IF(COUNTIF('Buyer Groups'!DG14:DL14,0)+COUNTIF('Buyer Groups'!DN14:EN14,0)&gt;0,0,1)</f>
        <v/>
      </c>
      <c r="MD14">
        <f>IF($AS$14="",FALSE,SUMPRODUCT(('Final Calculation Sheet'!$C$4:$C$40=$AS$14)*($MC$6:$MC$42=1))&gt;0)</f>
        <v/>
      </c>
      <c r="ME14">
        <f>$ME$13+--($MD14)</f>
        <v/>
      </c>
      <c r="MF14">
        <f>IF(ROW()-3&gt;MAX($ME$4:$ME$40),"",INDEX($AS$4:$AS$40,MATCH(ROW()-3,$ME$4:$ME$40,0)))</f>
        <v/>
      </c>
      <c r="MG14">
        <f>IF(COUNTIF('Buyer Groups'!DG14:DM14,0)+COUNTIF('Buyer Groups'!DO14:EN14,0)&gt;0,0,1)</f>
        <v/>
      </c>
      <c r="MH14">
        <f>IF($AX$14="",FALSE,SUMPRODUCT(('Final Calculation Sheet'!$H$4:$H$40=$AX$14)*($MG$6:$MG$42=1))&gt;0)</f>
        <v/>
      </c>
      <c r="MI14">
        <f>$MI$13+--($MH14)</f>
        <v/>
      </c>
      <c r="MJ14">
        <f>IF(ROW()-3&gt;MAX($MI$4:$MI$40),"",INDEX($AX$4:$AX$40,MATCH(ROW()-3,$MI$4:$MI$40,0)))</f>
        <v/>
      </c>
      <c r="MK14">
        <f>IF(COUNTIF('Buyer Groups'!DG14:DN14,0)+COUNTIF('Buyer Groups'!DP14:EN14,0)&gt;0,0,1)</f>
        <v/>
      </c>
      <c r="ML14">
        <f>IF($BC$14="",FALSE,SUMPRODUCT(('Final Calculation Sheet'!$I$4:$I$40=$BC$14)*($MK$6:$MK$42=1))&gt;0)</f>
        <v/>
      </c>
      <c r="MM14">
        <f>$MM$13+--($ML14)</f>
        <v/>
      </c>
      <c r="MN14">
        <f>IF(ROW()-3&gt;MAX($MM$4:$MM$40),"",INDEX($BC$4:$BC$40,MATCH(ROW()-3,$MM$4:$MM$40,0)))</f>
        <v/>
      </c>
      <c r="MO14">
        <f>IF(COUNTIF('Buyer Groups'!DG14:DO14,0)+COUNTIF('Buyer Groups'!DQ14:EN14,0)&gt;0,0,1)</f>
        <v/>
      </c>
      <c r="MP14">
        <f>IF($BH$14="",FALSE,SUMPRODUCT(('Final Calculation Sheet'!$J$4:$J$40=$BH$14)*($MO$6:$MO$42=1))&gt;0)</f>
        <v/>
      </c>
      <c r="MQ14">
        <f>$MQ$13+--($MP14)</f>
        <v/>
      </c>
      <c r="MR14">
        <f>IF(ROW()-3&gt;MAX($MQ$4:$MQ$40),"",INDEX($BH$4:$BH$40,MATCH(ROW()-3,$MQ$4:$MQ$40,0)))</f>
        <v/>
      </c>
      <c r="MS14">
        <f>IF(COUNTIF('Buyer Groups'!DG14:DP14,0)+COUNTIF('Buyer Groups'!DR14:EN14,0)&gt;0,0,1)</f>
        <v/>
      </c>
      <c r="MT14">
        <f>IF($BM$14="",FALSE,SUMPRODUCT(('Final Calculation Sheet'!$K$4:$K$40=$BM$14)*($MS$6:$MS$42=1))&gt;0)</f>
        <v/>
      </c>
      <c r="MU14">
        <f>$MU$13+--($MT14)</f>
        <v/>
      </c>
      <c r="MV14">
        <f>IF(ROW()-3&gt;MAX($MU$4:$MU$40),"",INDEX($BM$4:$BM$40,MATCH(ROW()-3,$MU$4:$MU$40,0)))</f>
        <v/>
      </c>
      <c r="MW14">
        <f>IF(COUNTIF('Buyer Groups'!DG14:DQ14,0)+COUNTIF('Buyer Groups'!DS14:EN14,0)&gt;0,0,1)</f>
        <v/>
      </c>
      <c r="MX14">
        <f>IF($BR$14="",FALSE,SUMPRODUCT(('Final Calculation Sheet'!$L$4:$L$40=$BR$14)*($MW$6:$MW$42=1))&gt;0)</f>
        <v/>
      </c>
      <c r="MY14">
        <f>$MY$13+--($MX14)</f>
        <v/>
      </c>
      <c r="MZ14">
        <f>IF(ROW()-3&gt;MAX($MY$4:$MY$40),"",INDEX($BR$4:$BR$40,MATCH(ROW()-3,$MY$4:$MY$40,0)))</f>
        <v/>
      </c>
      <c r="NA14">
        <f>IF(COUNTIF('Buyer Groups'!DG14:DR14,0)+COUNTIF('Buyer Groups'!DT14:EN14,0)&gt;0,0,1)</f>
        <v/>
      </c>
      <c r="NB14">
        <f>IF($BW$14="",FALSE,SUMPRODUCT(('Final Calculation Sheet'!$M$4:$M$40=$BW$14)*($NA$6:$NA$42=1))&gt;0)</f>
        <v/>
      </c>
      <c r="NC14">
        <f>$NC$13+--($NB14)</f>
        <v/>
      </c>
      <c r="ND14">
        <f>IF(ROW()-3&gt;MAX($NC$4:$NC$40),"",INDEX($BW$4:$BW$40,MATCH(ROW()-3,$NC$4:$NC$40,0)))</f>
        <v/>
      </c>
      <c r="NE14">
        <f>IF(COUNTIF('Buyer Groups'!DG14:DS14,0)+COUNTIF('Buyer Groups'!DU14:EN14,0)&gt;0,0,1)</f>
        <v/>
      </c>
      <c r="NF14">
        <f>IF($CB$14="",FALSE,SUMPRODUCT(('Final Calculation Sheet'!$N$4:$N$40=$CB$14)*($NE$6:$NE$42=1))&gt;0)</f>
        <v/>
      </c>
      <c r="NG14">
        <f>$NG$13+--($NF14)</f>
        <v/>
      </c>
      <c r="NH14">
        <f>IF(ROW()-3&gt;MAX($NG$4:$NG$40),"",INDEX($CB$4:$CB$40,MATCH(ROW()-3,$NG$4:$NG$40,0)))</f>
        <v/>
      </c>
      <c r="NI14">
        <f>IF(COUNTIF('Buyer Groups'!DG14:DT14,0)+COUNTIF('Buyer Groups'!DV14:EN14,0)&gt;0,0,1)</f>
        <v/>
      </c>
      <c r="NJ14">
        <f>IF($CG$14="",FALSE,SUMPRODUCT(('Final Calculation Sheet'!$O$4:$O$40=$CG$14)*($NI$6:$NI$42=1))&gt;0)</f>
        <v/>
      </c>
      <c r="NK14">
        <f>$NK$13+--($NJ14)</f>
        <v/>
      </c>
      <c r="NL14">
        <f>IF(ROW()-3&gt;MAX($NK$4:$NK$40),"",INDEX($CG$4:$CG$40,MATCH(ROW()-3,$NK$4:$NK$40,0)))</f>
        <v/>
      </c>
      <c r="NM14">
        <f>IF(COUNTIF('Buyer Groups'!DG14:DU14,0)+COUNTIF('Buyer Groups'!DW14:EN14,0)&gt;0,0,1)</f>
        <v/>
      </c>
      <c r="NN14">
        <f>IF($CL$14="",FALSE,SUMPRODUCT(('Final Calculation Sheet'!$P$4:$P$40=$CL$14)*($NM$6:$NM$42=1))&gt;0)</f>
        <v/>
      </c>
      <c r="NO14">
        <f>$NO$13+--($NN14)</f>
        <v/>
      </c>
      <c r="NP14">
        <f>IF(ROW()-3&gt;MAX($NO$4:$NO$40),"",INDEX($CL$4:$CL$40,MATCH(ROW()-3,$NO$4:$NO$40,0)))</f>
        <v/>
      </c>
      <c r="NQ14">
        <f>IF(COUNTIF('Buyer Groups'!DG14:DV14,0)+COUNTIF('Buyer Groups'!DX14:EN14,0)&gt;0,0,1)</f>
        <v/>
      </c>
      <c r="NR14">
        <f>IF($CQ$14="",FALSE,SUMPRODUCT(('Final Calculation Sheet'!$Q$4:$Q$40=$CQ$14)*($NQ$6:$NQ$42=1))&gt;0)</f>
        <v/>
      </c>
      <c r="NS14">
        <f>$NS$13+--($NR14)</f>
        <v/>
      </c>
      <c r="NT14">
        <f>IF(ROW()-3&gt;MAX($NS$4:$NS$40),"",INDEX($CQ$4:$CQ$40,MATCH(ROW()-3,$NS$4:$NS$40,0)))</f>
        <v/>
      </c>
      <c r="NU14">
        <f>IF(COUNTIF('Buyer Groups'!DG14:DW14,0)+COUNTIF('Buyer Groups'!DY14:EN14,0)&gt;0,0,1)</f>
        <v/>
      </c>
      <c r="NV14">
        <f>IF($CV$14="",FALSE,SUMPRODUCT(('Final Calculation Sheet'!$R$4:$R$40=$CV$14)*($NU$6:$NU$42=1))&gt;0)</f>
        <v/>
      </c>
      <c r="NW14">
        <f>$NW$13+--($NV14)</f>
        <v/>
      </c>
      <c r="NX14">
        <f>IF(ROW()-3&gt;MAX($NW$4:$NW$40),"",INDEX($CV$4:$CV$40,MATCH(ROW()-3,$NW$4:$NW$40,0)))</f>
        <v/>
      </c>
      <c r="NY14">
        <f>IF(COUNTIF('Buyer Groups'!DG14:DX14,0)+COUNTIF('Buyer Groups'!DZ14:EN14,0)&gt;0,0,1)</f>
        <v/>
      </c>
      <c r="NZ14">
        <f>IF($DA$14="",FALSE,SUMPRODUCT(('Final Calculation Sheet'!$S$4:$S$40=$DA$14)*($NY$6:$NY$42=1))&gt;0)</f>
        <v/>
      </c>
      <c r="OA14">
        <f>$OA$13+--($NZ14)</f>
        <v/>
      </c>
      <c r="OB14">
        <f>IF(ROW()-3&gt;MAX($OA$4:$OA$40),"",INDEX($DA$4:$DA$40,MATCH(ROW()-3,$OA$4:$OA$40,0)))</f>
        <v/>
      </c>
      <c r="OC14">
        <f>IF(COUNTIF('Buyer Groups'!DG14:DY14,0)+COUNTIF('Buyer Groups'!EA14:EN14,0)&gt;0,0,1)</f>
        <v/>
      </c>
      <c r="OD14">
        <f>IF($DF$14="",FALSE,SUMPRODUCT(('Final Calculation Sheet'!$T$4:$T$40=$DF$14)*($OC$6:$OC$42=1))&gt;0)</f>
        <v/>
      </c>
      <c r="OE14">
        <f>$OE$13+--($OD14)</f>
        <v/>
      </c>
      <c r="OF14">
        <f>IF(ROW()-3&gt;MAX($OE$4:$OE$40),"",INDEX($DF$4:$DF$40,MATCH(ROW()-3,$OE$4:$OE$40,0)))</f>
        <v/>
      </c>
      <c r="OG14">
        <f>IF(COUNTIF('Buyer Groups'!DG14:DZ14,0)+COUNTIF('Buyer Groups'!EB14:EN14,0)&gt;0,0,1)</f>
        <v/>
      </c>
      <c r="OH14">
        <f>IF($DK$14="",FALSE,SUMPRODUCT(('Final Calculation Sheet'!$U$4:$U$40=$DK$14)*($OG$6:$OG$42=1))&gt;0)</f>
        <v/>
      </c>
      <c r="OI14">
        <f>$OI$13+--($OH14)</f>
        <v/>
      </c>
      <c r="OJ14">
        <f>IF(ROW()-3&gt;MAX($OI$4:$OI$40),"",INDEX($DK$4:$DK$40,MATCH(ROW()-3,$OI$4:$OI$40,0)))</f>
        <v/>
      </c>
      <c r="OK14">
        <f>IF(COUNTIF('Buyer Groups'!DG14:EA14,0)+COUNTIF('Buyer Groups'!EC14:EN14,0)&gt;0,0,1)</f>
        <v/>
      </c>
      <c r="OL14">
        <f>IF($DP$14="",FALSE,SUMPRODUCT(('Final Calculation Sheet'!$V$4:$V$40=$DP$14)*($OK$6:$OK$42=1))&gt;0)</f>
        <v/>
      </c>
      <c r="OM14">
        <f>$OM$13+--($OL14)</f>
        <v/>
      </c>
      <c r="ON14">
        <f>IF(ROW()-3&gt;MAX($OM$4:$OM$40),"",INDEX($DP$4:$DP$40,MATCH(ROW()-3,$OM$4:$OM$40,0)))</f>
        <v/>
      </c>
      <c r="OO14">
        <f>IF(COUNTIF('Buyer Groups'!DG14:EB14,0)+COUNTIF('Buyer Groups'!ED14:EN14,0)&gt;0,0,1)</f>
        <v/>
      </c>
      <c r="OP14">
        <f>IF($DU$14="",FALSE,SUMPRODUCT(('Final Calculation Sheet'!$W$4:$W$40=$DU$14)*($OO$6:$OO$42=1))&gt;0)</f>
        <v/>
      </c>
      <c r="OQ14">
        <f>$OQ$13+--($OP14)</f>
        <v/>
      </c>
      <c r="OR14">
        <f>IF(ROW()-3&gt;MAX($OQ$4:$OQ$40),"",INDEX($DU$4:$DU$40,MATCH(ROW()-3,$OQ$4:$OQ$40,0)))</f>
        <v/>
      </c>
      <c r="OS14">
        <f>IF(COUNTIF('Buyer Groups'!DG14:EC14,0)+COUNTIF('Buyer Groups'!EE14:EN14,0)&gt;0,0,1)</f>
        <v/>
      </c>
      <c r="OT14">
        <f>IF($DZ$14="",FALSE,SUMPRODUCT(('Final Calculation Sheet'!$X$4:$X$40=$DZ$14)*($OS$6:$OS$42=1))&gt;0)</f>
        <v/>
      </c>
      <c r="OU14">
        <f>$OU$13+--($OT14)</f>
        <v/>
      </c>
      <c r="OV14">
        <f>IF(ROW()-3&gt;MAX($OU$4:$OU$40),"",INDEX($DZ$4:$DZ$40,MATCH(ROW()-3,$OU$4:$OU$40,0)))</f>
        <v/>
      </c>
      <c r="OW14">
        <f>IF(COUNTIF('Buyer Groups'!DG14:ED14,0)+COUNTIF('Buyer Groups'!EF14:EN14,0)&gt;0,0,1)</f>
        <v/>
      </c>
      <c r="OX14">
        <f>IF($EE$14="",FALSE,SUMPRODUCT(('Final Calculation Sheet'!$Y$4:$Y$40=$EE$14)*($OW$6:$OW$42=1))&gt;0)</f>
        <v/>
      </c>
      <c r="OY14">
        <f>$OY$13+--($OX14)</f>
        <v/>
      </c>
      <c r="OZ14">
        <f>IF(ROW()-3&gt;MAX($OY$4:$OY$40),"",INDEX($EE$4:$EE$40,MATCH(ROW()-3,$OY$4:$OY$40,0)))</f>
        <v/>
      </c>
      <c r="PA14">
        <f>IF(COUNTIF('Buyer Groups'!DG14:EE14,0)+COUNTIF('Buyer Groups'!EG14:EN14,0)&gt;0,0,1)</f>
        <v/>
      </c>
      <c r="PB14">
        <f>IF($EJ$14="",FALSE,SUMPRODUCT(('Final Calculation Sheet'!$Z$4:$Z$40=$EJ$14)*($PA$6:$PA$42=1))&gt;0)</f>
        <v/>
      </c>
      <c r="PC14">
        <f>$PC$13+--($PB14)</f>
        <v/>
      </c>
      <c r="PD14">
        <f>IF(ROW()-3&gt;MAX($PC$4:$PC$40),"",INDEX($EJ$4:$EJ$40,MATCH(ROW()-3,$PC$4:$PC$40,0)))</f>
        <v/>
      </c>
      <c r="PE14">
        <f>IF(COUNTIF('Buyer Groups'!DG14:EF14,0)+COUNTIF('Buyer Groups'!EH14:EN14,0)&gt;0,0,1)</f>
        <v/>
      </c>
      <c r="PF14">
        <f>IF($EO$14="",FALSE,SUMPRODUCT(('Final Calculation Sheet'!$AA$4:$AA$40=$EO$14)*($PE$6:$PE$42=1))&gt;0)</f>
        <v/>
      </c>
      <c r="PG14">
        <f>$PG$13+--($PF14)</f>
        <v/>
      </c>
      <c r="PH14">
        <f>IF(ROW()-3&gt;MAX($PG$4:$PG$40),"",INDEX($EO$4:$EO$40,MATCH(ROW()-3,$PG$4:$PG$40,0)))</f>
        <v/>
      </c>
      <c r="PI14">
        <f>IF(COUNTIF('Buyer Groups'!DG14:EG14,0)+COUNTIF('Buyer Groups'!EI14:EN14,0)&gt;0,0,1)</f>
        <v/>
      </c>
      <c r="PJ14">
        <f>IF($ET$14="",FALSE,SUMPRODUCT(('Final Calculation Sheet'!$AB$4:$AB$40=$ET$14)*($PI$6:$PI$42=1))&gt;0)</f>
        <v/>
      </c>
      <c r="PK14">
        <f>$PK$13+--($PJ14)</f>
        <v/>
      </c>
      <c r="PL14">
        <f>IF(ROW()-3&gt;MAX($PK$4:$PK$40),"",INDEX($ET$4:$ET$40,MATCH(ROW()-3,$PK$4:$PK$40,0)))</f>
        <v/>
      </c>
      <c r="PM14">
        <f>IF(COUNTIF('Buyer Groups'!DG14:EH14,0)+COUNTIF('Buyer Groups'!EJ14:EN14,0)&gt;0,0,1)</f>
        <v/>
      </c>
      <c r="PN14">
        <f>IF($EY$14="",FALSE,SUMPRODUCT(('Final Calculation Sheet'!$AC$4:$AC$40=$EY$14)*($PM$6:$PM$42=1))&gt;0)</f>
        <v/>
      </c>
      <c r="PO14">
        <f>$PO$13+--($PN14)</f>
        <v/>
      </c>
      <c r="PP14">
        <f>IF(ROW()-3&gt;MAX($PO$4:$PO$40),"",INDEX($EY$4:$EY$40,MATCH(ROW()-3,$PO$4:$PO$40,0)))</f>
        <v/>
      </c>
      <c r="PQ14">
        <f>IF(COUNTIF('Buyer Groups'!DG14:EI14,0)+COUNTIF('Buyer Groups'!EK14:EN14,0)&gt;0,0,1)</f>
        <v/>
      </c>
      <c r="PR14">
        <f>IF($FD$14="",FALSE,SUMPRODUCT(('Final Calculation Sheet'!$AD$4:$AD$40=$FD$14)*($PQ$6:$PQ$42=1))&gt;0)</f>
        <v/>
      </c>
      <c r="PS14">
        <f>$PS$13+--($PR14)</f>
        <v/>
      </c>
      <c r="PT14">
        <f>IF(ROW()-3&gt;MAX($PS$4:$PS$40),"",INDEX($FD$4:$FD$40,MATCH(ROW()-3,$PS$4:$PS$40,0)))</f>
        <v/>
      </c>
      <c r="PU14">
        <f>IF(COUNTIF('Buyer Groups'!DG14:EJ14,0)+COUNTIF('Buyer Groups'!EL14:EN14,0)&gt;0,0,1)</f>
        <v/>
      </c>
      <c r="PV14">
        <f>IF($FX$14="",FALSE,SUMPRODUCT((IF('Final Calculation Sheet'!$AD$4:$AD$40&lt;=5,"SETTLED","OUTSTANDING")=$FX$14)*($PU$6:$PU$42=1))&gt;0)</f>
        <v/>
      </c>
      <c r="PW14">
        <f>$PW$13+--($PV14)</f>
        <v/>
      </c>
      <c r="PX14">
        <f>IF(ROW()-3&gt;MAX($PW$4:$PW$40),"",INDEX($FX$4:$FX$40,MATCH(ROW()-3,$PW$4:$PW$40,0)))</f>
        <v/>
      </c>
      <c r="PY14">
        <f>IF(COUNTIF('Buyer Groups'!DG14:EK14,0)+COUNTIF('Buyer Groups'!EM14:EN14,0)&gt;0,0,1)</f>
        <v/>
      </c>
      <c r="PZ14">
        <f>IF($FI$14="",FALSE,SUMPRODUCT(('Final Calculation Sheet'!$AF$4:$AF$40=$FI$14)*($PY$6:$PY$42=1))&gt;0)</f>
        <v/>
      </c>
      <c r="QA14">
        <f>$QA$13+--($PZ14)</f>
        <v/>
      </c>
      <c r="QB14">
        <f>IF(ROW()-3&gt;MAX($QA$4:$QA$40),"",INDEX($FI$4:$FI$40,MATCH(ROW()-3,$QA$4:$QA$40,0)))</f>
        <v/>
      </c>
      <c r="QC14">
        <f>IF(COUNTIF('Buyer Groups'!DG14:EL14,0)+COUNTIF('Buyer Groups'!EN14:EN14,0)&gt;0,0,1)</f>
        <v/>
      </c>
      <c r="QD14">
        <f>IF($FN$14="",FALSE,SUMPRODUCT(('Final Calculation Sheet'!$AG$4:$AG$40=$FN$14)*($QC$6:$QC$42=1))&gt;0)</f>
        <v/>
      </c>
      <c r="QE14">
        <f>$QE$13+--($QD14)</f>
        <v/>
      </c>
      <c r="QF14">
        <f>IF(ROW()-3&gt;MAX($QE$4:$QE$40),"",INDEX($FN$4:$FN$40,MATCH(ROW()-3,$QE$4:$QE$40,0)))</f>
        <v/>
      </c>
      <c r="QG14">
        <f>IF(COUNTIF('Buyer Groups'!DG14:EM14,0)&gt;0,0,1)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Groups'!DH15:EN15,0)&gt;0,0,1)</f>
        <v/>
      </c>
      <c r="LF15">
        <f>IF($O$15="",FALSE,SUMPRODUCT(('Final Calculation Sheet'!$F$4:$F$40=$O$15)*($LE$6:$LE$42=1))&gt;0)</f>
        <v/>
      </c>
      <c r="LG15">
        <f>$LG$14+--($LF15)</f>
        <v/>
      </c>
      <c r="LH15">
        <f>IF(ROW()-3&gt;MAX($LG$4:$LG$40),"",INDEX($O$4:$O$40,MATCH(ROW()-3,$LG$4:$LG$40,0)))</f>
        <v/>
      </c>
      <c r="LI15">
        <f>IF(COUNTIF('Buyer Groups'!DG15:DG15,0)+COUNTIF('Buyer Groups'!DI15:EN15,0)&gt;0,0,1)</f>
        <v/>
      </c>
      <c r="LJ15">
        <f>IF($T$15="",FALSE,SUMPRODUCT(('Final Calculation Sheet'!$G$4:$G$40=$T$15)*($LI$6:$LI$42=1))&gt;0)</f>
        <v/>
      </c>
      <c r="LK15">
        <f>$LK$14+--($LJ15)</f>
        <v/>
      </c>
      <c r="LL15">
        <f>IF(ROW()-3&gt;MAX($LK$4:$LK$40),"",INDEX($T$4:$T$40,MATCH(ROW()-3,$LK$4:$LK$40,0)))</f>
        <v/>
      </c>
      <c r="LM15">
        <f>IF(COUNTIF('Buyer Groups'!DG15:DH15,0)+COUNTIF('Buyer Groups'!DJ15:EN15,0)&gt;0,0,1)</f>
        <v/>
      </c>
      <c r="LN15">
        <f>IF($Y$15="",FALSE,SUMPRODUCT(('Final Calculation Sheet'!$B$4:$B$40=$Y$15)*($LM$6:$LM$42=1))&gt;0)</f>
        <v/>
      </c>
      <c r="LO15">
        <f>$LO$14+--($LN15)</f>
        <v/>
      </c>
      <c r="LP15">
        <f>IF(ROW()-3&gt;MAX($LO$4:$LO$40),"",INDEX($Y$4:$Y$40,MATCH(ROW()-3,$LO$4:$LO$40,0)))</f>
        <v/>
      </c>
      <c r="LQ15">
        <f>IF(COUNTIF('Buyer Groups'!DG15:DI15,0)+COUNTIF('Buyer Groups'!DK15:EN15,0)&gt;0,0,1)</f>
        <v/>
      </c>
      <c r="LR15">
        <f>IF($AD$15="",FALSE,SUMPRODUCT(('Final Calculation Sheet'!$D$4:$D$40=$AD$15)*($LQ$6:$LQ$42=1))&gt;0)</f>
        <v/>
      </c>
      <c r="LS15">
        <f>$LS$14+--($LR15)</f>
        <v/>
      </c>
      <c r="LT15">
        <f>IF(ROW()-3&gt;MAX($LS$4:$LS$40),"",INDEX($AD$4:$AD$40,MATCH(ROW()-3,$LS$4:$LS$40,0)))</f>
        <v/>
      </c>
      <c r="LU15">
        <f>IF(COUNTIF('Buyer Groups'!DG15:DJ15,0)+COUNTIF('Buyer Groups'!DL15:EN15,0)&gt;0,0,1)</f>
        <v/>
      </c>
      <c r="LV15">
        <f>IF($AI$15="",FALSE,SUMPRODUCT(('Final Calculation Sheet'!$A$4:$A$40=$AI$15)*($LU$6:$LU$42=1))&gt;0)</f>
        <v/>
      </c>
      <c r="LW15">
        <f>$LW$14+--($LV15)</f>
        <v/>
      </c>
      <c r="LX15">
        <f>IF(ROW()-3&gt;MAX($LW$4:$LW$40),"",INDEX($AI$4:$AI$40,MATCH(ROW()-3,$LW$4:$LW$40,0)))</f>
        <v/>
      </c>
      <c r="LY15">
        <f>IF(COUNTIF('Buyer Groups'!DG15:DK15,0)+COUNTIF('Buyer Groups'!DM15:EN15,0)&gt;0,0,1)</f>
        <v/>
      </c>
      <c r="LZ15">
        <f>IF($AN$15="",FALSE,SUMPRODUCT(('Final Calculation Sheet'!$E$4:$E$40=$AN$15)*($LY$6:$LY$42=1))&gt;0)</f>
        <v/>
      </c>
      <c r="MA15">
        <f>$MA$14+--($LZ15)</f>
        <v/>
      </c>
      <c r="MB15">
        <f>IF(ROW()-3&gt;MAX($MA$4:$MA$40),"",INDEX($AN$4:$AN$40,MATCH(ROW()-3,$MA$4:$MA$40,0)))</f>
        <v/>
      </c>
      <c r="MC15">
        <f>IF(COUNTIF('Buyer Groups'!DG15:DL15,0)+COUNTIF('Buyer Groups'!DN15:EN15,0)&gt;0,0,1)</f>
        <v/>
      </c>
      <c r="MD15">
        <f>IF($AS$15="",FALSE,SUMPRODUCT(('Final Calculation Sheet'!$C$4:$C$40=$AS$15)*($MC$6:$MC$42=1))&gt;0)</f>
        <v/>
      </c>
      <c r="ME15">
        <f>$ME$14+--($MD15)</f>
        <v/>
      </c>
      <c r="MF15">
        <f>IF(ROW()-3&gt;MAX($ME$4:$ME$40),"",INDEX($AS$4:$AS$40,MATCH(ROW()-3,$ME$4:$ME$40,0)))</f>
        <v/>
      </c>
      <c r="MG15">
        <f>IF(COUNTIF('Buyer Groups'!DG15:DM15,0)+COUNTIF('Buyer Groups'!DO15:EN15,0)&gt;0,0,1)</f>
        <v/>
      </c>
      <c r="MH15">
        <f>IF($AX$15="",FALSE,SUMPRODUCT(('Final Calculation Sheet'!$H$4:$H$40=$AX$15)*($MG$6:$MG$42=1))&gt;0)</f>
        <v/>
      </c>
      <c r="MI15">
        <f>$MI$14+--($MH15)</f>
        <v/>
      </c>
      <c r="MJ15">
        <f>IF(ROW()-3&gt;MAX($MI$4:$MI$40),"",INDEX($AX$4:$AX$40,MATCH(ROW()-3,$MI$4:$MI$40,0)))</f>
        <v/>
      </c>
      <c r="MK15">
        <f>IF(COUNTIF('Buyer Groups'!DG15:DN15,0)+COUNTIF('Buyer Groups'!DP15:EN15,0)&gt;0,0,1)</f>
        <v/>
      </c>
      <c r="ML15">
        <f>IF($BC$15="",FALSE,SUMPRODUCT(('Final Calculation Sheet'!$I$4:$I$40=$BC$15)*($MK$6:$MK$42=1))&gt;0)</f>
        <v/>
      </c>
      <c r="MM15">
        <f>$MM$14+--($ML15)</f>
        <v/>
      </c>
      <c r="MN15">
        <f>IF(ROW()-3&gt;MAX($MM$4:$MM$40),"",INDEX($BC$4:$BC$40,MATCH(ROW()-3,$MM$4:$MM$40,0)))</f>
        <v/>
      </c>
      <c r="MO15">
        <f>IF(COUNTIF('Buyer Groups'!DG15:DO15,0)+COUNTIF('Buyer Groups'!DQ15:EN15,0)&gt;0,0,1)</f>
        <v/>
      </c>
      <c r="MP15">
        <f>IF($BH$15="",FALSE,SUMPRODUCT(('Final Calculation Sheet'!$J$4:$J$40=$BH$15)*($MO$6:$MO$42=1))&gt;0)</f>
        <v/>
      </c>
      <c r="MQ15">
        <f>$MQ$14+--($MP15)</f>
        <v/>
      </c>
      <c r="MR15">
        <f>IF(ROW()-3&gt;MAX($MQ$4:$MQ$40),"",INDEX($BH$4:$BH$40,MATCH(ROW()-3,$MQ$4:$MQ$40,0)))</f>
        <v/>
      </c>
      <c r="MS15">
        <f>IF(COUNTIF('Buyer Groups'!DG15:DP15,0)+COUNTIF('Buyer Groups'!DR15:EN15,0)&gt;0,0,1)</f>
        <v/>
      </c>
      <c r="MT15">
        <f>IF($BM$15="",FALSE,SUMPRODUCT(('Final Calculation Sheet'!$K$4:$K$40=$BM$15)*($MS$6:$MS$42=1))&gt;0)</f>
        <v/>
      </c>
      <c r="MU15">
        <f>$MU$14+--($MT15)</f>
        <v/>
      </c>
      <c r="MV15">
        <f>IF(ROW()-3&gt;MAX($MU$4:$MU$40),"",INDEX($BM$4:$BM$40,MATCH(ROW()-3,$MU$4:$MU$40,0)))</f>
        <v/>
      </c>
      <c r="MW15">
        <f>IF(COUNTIF('Buyer Groups'!DG15:DQ15,0)+COUNTIF('Buyer Groups'!DS15:EN15,0)&gt;0,0,1)</f>
        <v/>
      </c>
      <c r="MX15">
        <f>IF($BR$15="",FALSE,SUMPRODUCT(('Final Calculation Sheet'!$L$4:$L$40=$BR$15)*($MW$6:$MW$42=1))&gt;0)</f>
        <v/>
      </c>
      <c r="MY15">
        <f>$MY$14+--($MX15)</f>
        <v/>
      </c>
      <c r="MZ15">
        <f>IF(ROW()-3&gt;MAX($MY$4:$MY$40),"",INDEX($BR$4:$BR$40,MATCH(ROW()-3,$MY$4:$MY$40,0)))</f>
        <v/>
      </c>
      <c r="NA15">
        <f>IF(COUNTIF('Buyer Groups'!DG15:DR15,0)+COUNTIF('Buyer Groups'!DT15:EN15,0)&gt;0,0,1)</f>
        <v/>
      </c>
      <c r="NB15">
        <f>IF($BW$15="",FALSE,SUMPRODUCT(('Final Calculation Sheet'!$M$4:$M$40=$BW$15)*($NA$6:$NA$42=1))&gt;0)</f>
        <v/>
      </c>
      <c r="NC15">
        <f>$NC$14+--($NB15)</f>
        <v/>
      </c>
      <c r="ND15">
        <f>IF(ROW()-3&gt;MAX($NC$4:$NC$40),"",INDEX($BW$4:$BW$40,MATCH(ROW()-3,$NC$4:$NC$40,0)))</f>
        <v/>
      </c>
      <c r="NE15">
        <f>IF(COUNTIF('Buyer Groups'!DG15:DS15,0)+COUNTIF('Buyer Groups'!DU15:EN15,0)&gt;0,0,1)</f>
        <v/>
      </c>
      <c r="NF15">
        <f>IF($CB$15="",FALSE,SUMPRODUCT(('Final Calculation Sheet'!$N$4:$N$40=$CB$15)*($NE$6:$NE$42=1))&gt;0)</f>
        <v/>
      </c>
      <c r="NG15">
        <f>$NG$14+--($NF15)</f>
        <v/>
      </c>
      <c r="NH15">
        <f>IF(ROW()-3&gt;MAX($NG$4:$NG$40),"",INDEX($CB$4:$CB$40,MATCH(ROW()-3,$NG$4:$NG$40,0)))</f>
        <v/>
      </c>
      <c r="NI15">
        <f>IF(COUNTIF('Buyer Groups'!DG15:DT15,0)+COUNTIF('Buyer Groups'!DV15:EN15,0)&gt;0,0,1)</f>
        <v/>
      </c>
      <c r="NJ15">
        <f>IF($CG$15="",FALSE,SUMPRODUCT(('Final Calculation Sheet'!$O$4:$O$40=$CG$15)*($NI$6:$NI$42=1))&gt;0)</f>
        <v/>
      </c>
      <c r="NK15">
        <f>$NK$14+--($NJ15)</f>
        <v/>
      </c>
      <c r="NL15">
        <f>IF(ROW()-3&gt;MAX($NK$4:$NK$40),"",INDEX($CG$4:$CG$40,MATCH(ROW()-3,$NK$4:$NK$40,0)))</f>
        <v/>
      </c>
      <c r="NM15">
        <f>IF(COUNTIF('Buyer Groups'!DG15:DU15,0)+COUNTIF('Buyer Groups'!DW15:EN15,0)&gt;0,0,1)</f>
        <v/>
      </c>
      <c r="NN15">
        <f>IF($CL$15="",FALSE,SUMPRODUCT(('Final Calculation Sheet'!$P$4:$P$40=$CL$15)*($NM$6:$NM$42=1))&gt;0)</f>
        <v/>
      </c>
      <c r="NO15">
        <f>$NO$14+--($NN15)</f>
        <v/>
      </c>
      <c r="NP15">
        <f>IF(ROW()-3&gt;MAX($NO$4:$NO$40),"",INDEX($CL$4:$CL$40,MATCH(ROW()-3,$NO$4:$NO$40,0)))</f>
        <v/>
      </c>
      <c r="NQ15">
        <f>IF(COUNTIF('Buyer Groups'!DG15:DV15,0)+COUNTIF('Buyer Groups'!DX15:EN15,0)&gt;0,0,1)</f>
        <v/>
      </c>
      <c r="NR15">
        <f>IF($CQ$15="",FALSE,SUMPRODUCT(('Final Calculation Sheet'!$Q$4:$Q$40=$CQ$15)*($NQ$6:$NQ$42=1))&gt;0)</f>
        <v/>
      </c>
      <c r="NS15">
        <f>$NS$14+--($NR15)</f>
        <v/>
      </c>
      <c r="NT15">
        <f>IF(ROW()-3&gt;MAX($NS$4:$NS$40),"",INDEX($CQ$4:$CQ$40,MATCH(ROW()-3,$NS$4:$NS$40,0)))</f>
        <v/>
      </c>
      <c r="NU15">
        <f>IF(COUNTIF('Buyer Groups'!DG15:DW15,0)+COUNTIF('Buyer Groups'!DY15:EN15,0)&gt;0,0,1)</f>
        <v/>
      </c>
      <c r="NV15">
        <f>IF($CV$15="",FALSE,SUMPRODUCT(('Final Calculation Sheet'!$R$4:$R$40=$CV$15)*($NU$6:$NU$42=1))&gt;0)</f>
        <v/>
      </c>
      <c r="NW15">
        <f>$NW$14+--($NV15)</f>
        <v/>
      </c>
      <c r="NX15">
        <f>IF(ROW()-3&gt;MAX($NW$4:$NW$40),"",INDEX($CV$4:$CV$40,MATCH(ROW()-3,$NW$4:$NW$40,0)))</f>
        <v/>
      </c>
      <c r="NY15">
        <f>IF(COUNTIF('Buyer Groups'!DG15:DX15,0)+COUNTIF('Buyer Groups'!DZ15:EN15,0)&gt;0,0,1)</f>
        <v/>
      </c>
      <c r="NZ15">
        <f>IF($DA$15="",FALSE,SUMPRODUCT(('Final Calculation Sheet'!$S$4:$S$40=$DA$15)*($NY$6:$NY$42=1))&gt;0)</f>
        <v/>
      </c>
      <c r="OA15">
        <f>$OA$14+--($NZ15)</f>
        <v/>
      </c>
      <c r="OB15">
        <f>IF(ROW()-3&gt;MAX($OA$4:$OA$40),"",INDEX($DA$4:$DA$40,MATCH(ROW()-3,$OA$4:$OA$40,0)))</f>
        <v/>
      </c>
      <c r="OC15">
        <f>IF(COUNTIF('Buyer Groups'!DG15:DY15,0)+COUNTIF('Buyer Groups'!EA15:EN15,0)&gt;0,0,1)</f>
        <v/>
      </c>
      <c r="OD15">
        <f>IF($DF$15="",FALSE,SUMPRODUCT(('Final Calculation Sheet'!$T$4:$T$40=$DF$15)*($OC$6:$OC$42=1))&gt;0)</f>
        <v/>
      </c>
      <c r="OE15">
        <f>$OE$14+--($OD15)</f>
        <v/>
      </c>
      <c r="OF15">
        <f>IF(ROW()-3&gt;MAX($OE$4:$OE$40),"",INDEX($DF$4:$DF$40,MATCH(ROW()-3,$OE$4:$OE$40,0)))</f>
        <v/>
      </c>
      <c r="OG15">
        <f>IF(COUNTIF('Buyer Groups'!DG15:DZ15,0)+COUNTIF('Buyer Groups'!EB15:EN15,0)&gt;0,0,1)</f>
        <v/>
      </c>
      <c r="OH15">
        <f>IF($DK$15="",FALSE,SUMPRODUCT(('Final Calculation Sheet'!$U$4:$U$40=$DK$15)*($OG$6:$OG$42=1))&gt;0)</f>
        <v/>
      </c>
      <c r="OI15">
        <f>$OI$14+--($OH15)</f>
        <v/>
      </c>
      <c r="OJ15">
        <f>IF(ROW()-3&gt;MAX($OI$4:$OI$40),"",INDEX($DK$4:$DK$40,MATCH(ROW()-3,$OI$4:$OI$40,0)))</f>
        <v/>
      </c>
      <c r="OK15">
        <f>IF(COUNTIF('Buyer Groups'!DG15:EA15,0)+COUNTIF('Buyer Groups'!EC15:EN15,0)&gt;0,0,1)</f>
        <v/>
      </c>
      <c r="OL15">
        <f>IF($DP$15="",FALSE,SUMPRODUCT(('Final Calculation Sheet'!$V$4:$V$40=$DP$15)*($OK$6:$OK$42=1))&gt;0)</f>
        <v/>
      </c>
      <c r="OM15">
        <f>$OM$14+--($OL15)</f>
        <v/>
      </c>
      <c r="ON15">
        <f>IF(ROW()-3&gt;MAX($OM$4:$OM$40),"",INDEX($DP$4:$DP$40,MATCH(ROW()-3,$OM$4:$OM$40,0)))</f>
        <v/>
      </c>
      <c r="OO15">
        <f>IF(COUNTIF('Buyer Groups'!DG15:EB15,0)+COUNTIF('Buyer Groups'!ED15:EN15,0)&gt;0,0,1)</f>
        <v/>
      </c>
      <c r="OP15">
        <f>IF($DU$15="",FALSE,SUMPRODUCT(('Final Calculation Sheet'!$W$4:$W$40=$DU$15)*($OO$6:$OO$42=1))&gt;0)</f>
        <v/>
      </c>
      <c r="OQ15">
        <f>$OQ$14+--($OP15)</f>
        <v/>
      </c>
      <c r="OR15">
        <f>IF(ROW()-3&gt;MAX($OQ$4:$OQ$40),"",INDEX($DU$4:$DU$40,MATCH(ROW()-3,$OQ$4:$OQ$40,0)))</f>
        <v/>
      </c>
      <c r="OS15">
        <f>IF(COUNTIF('Buyer Groups'!DG15:EC15,0)+COUNTIF('Buyer Groups'!EE15:EN15,0)&gt;0,0,1)</f>
        <v/>
      </c>
      <c r="OT15">
        <f>IF($DZ$15="",FALSE,SUMPRODUCT(('Final Calculation Sheet'!$X$4:$X$40=$DZ$15)*($OS$6:$OS$42=1))&gt;0)</f>
        <v/>
      </c>
      <c r="OU15">
        <f>$OU$14+--($OT15)</f>
        <v/>
      </c>
      <c r="OV15">
        <f>IF(ROW()-3&gt;MAX($OU$4:$OU$40),"",INDEX($DZ$4:$DZ$40,MATCH(ROW()-3,$OU$4:$OU$40,0)))</f>
        <v/>
      </c>
      <c r="OW15">
        <f>IF(COUNTIF('Buyer Groups'!DG15:ED15,0)+COUNTIF('Buyer Groups'!EF15:EN15,0)&gt;0,0,1)</f>
        <v/>
      </c>
      <c r="OX15">
        <f>IF($EE$15="",FALSE,SUMPRODUCT(('Final Calculation Sheet'!$Y$4:$Y$40=$EE$15)*($OW$6:$OW$42=1))&gt;0)</f>
        <v/>
      </c>
      <c r="OY15">
        <f>$OY$14+--($OX15)</f>
        <v/>
      </c>
      <c r="OZ15">
        <f>IF(ROW()-3&gt;MAX($OY$4:$OY$40),"",INDEX($EE$4:$EE$40,MATCH(ROW()-3,$OY$4:$OY$40,0)))</f>
        <v/>
      </c>
      <c r="PA15">
        <f>IF(COUNTIF('Buyer Groups'!DG15:EE15,0)+COUNTIF('Buyer Groups'!EG15:EN15,0)&gt;0,0,1)</f>
        <v/>
      </c>
      <c r="PB15">
        <f>IF($EJ$15="",FALSE,SUMPRODUCT(('Final Calculation Sheet'!$Z$4:$Z$40=$EJ$15)*($PA$6:$PA$42=1))&gt;0)</f>
        <v/>
      </c>
      <c r="PC15">
        <f>$PC$14+--($PB15)</f>
        <v/>
      </c>
      <c r="PD15">
        <f>IF(ROW()-3&gt;MAX($PC$4:$PC$40),"",INDEX($EJ$4:$EJ$40,MATCH(ROW()-3,$PC$4:$PC$40,0)))</f>
        <v/>
      </c>
      <c r="PE15">
        <f>IF(COUNTIF('Buyer Groups'!DG15:EF15,0)+COUNTIF('Buyer Groups'!EH15:EN15,0)&gt;0,0,1)</f>
        <v/>
      </c>
      <c r="PF15">
        <f>IF($EO$15="",FALSE,SUMPRODUCT(('Final Calculation Sheet'!$AA$4:$AA$40=$EO$15)*($PE$6:$PE$42=1))&gt;0)</f>
        <v/>
      </c>
      <c r="PG15">
        <f>$PG$14+--($PF15)</f>
        <v/>
      </c>
      <c r="PH15">
        <f>IF(ROW()-3&gt;MAX($PG$4:$PG$40),"",INDEX($EO$4:$EO$40,MATCH(ROW()-3,$PG$4:$PG$40,0)))</f>
        <v/>
      </c>
      <c r="PI15">
        <f>IF(COUNTIF('Buyer Groups'!DG15:EG15,0)+COUNTIF('Buyer Groups'!EI15:EN15,0)&gt;0,0,1)</f>
        <v/>
      </c>
      <c r="PJ15">
        <f>IF($ET$15="",FALSE,SUMPRODUCT(('Final Calculation Sheet'!$AB$4:$AB$40=$ET$15)*($PI$6:$PI$42=1))&gt;0)</f>
        <v/>
      </c>
      <c r="PK15">
        <f>$PK$14+--($PJ15)</f>
        <v/>
      </c>
      <c r="PL15">
        <f>IF(ROW()-3&gt;MAX($PK$4:$PK$40),"",INDEX($ET$4:$ET$40,MATCH(ROW()-3,$PK$4:$PK$40,0)))</f>
        <v/>
      </c>
      <c r="PM15">
        <f>IF(COUNTIF('Buyer Groups'!DG15:EH15,0)+COUNTIF('Buyer Groups'!EJ15:EN15,0)&gt;0,0,1)</f>
        <v/>
      </c>
      <c r="PN15">
        <f>IF($EY$15="",FALSE,SUMPRODUCT(('Final Calculation Sheet'!$AC$4:$AC$40=$EY$15)*($PM$6:$PM$42=1))&gt;0)</f>
        <v/>
      </c>
      <c r="PO15">
        <f>$PO$14+--($PN15)</f>
        <v/>
      </c>
      <c r="PP15">
        <f>IF(ROW()-3&gt;MAX($PO$4:$PO$40),"",INDEX($EY$4:$EY$40,MATCH(ROW()-3,$PO$4:$PO$40,0)))</f>
        <v/>
      </c>
      <c r="PQ15">
        <f>IF(COUNTIF('Buyer Groups'!DG15:EI15,0)+COUNTIF('Buyer Groups'!EK15:EN15,0)&gt;0,0,1)</f>
        <v/>
      </c>
      <c r="PR15">
        <f>IF($FD$15="",FALSE,SUMPRODUCT(('Final Calculation Sheet'!$AD$4:$AD$40=$FD$15)*($PQ$6:$PQ$42=1))&gt;0)</f>
        <v/>
      </c>
      <c r="PS15">
        <f>$PS$14+--($PR15)</f>
        <v/>
      </c>
      <c r="PT15">
        <f>IF(ROW()-3&gt;MAX($PS$4:$PS$40),"",INDEX($FD$4:$FD$40,MATCH(ROW()-3,$PS$4:$PS$40,0)))</f>
        <v/>
      </c>
      <c r="PU15">
        <f>IF(COUNTIF('Buyer Groups'!DG15:EJ15,0)+COUNTIF('Buyer Groups'!EL15:EN15,0)&gt;0,0,1)</f>
        <v/>
      </c>
      <c r="PV15">
        <f>IF($FX$15="",FALSE,SUMPRODUCT((IF('Final Calculation Sheet'!$AD$4:$AD$40&lt;=5,"SETTLED","OUTSTANDING")=$FX$15)*($PU$6:$PU$42=1))&gt;0)</f>
        <v/>
      </c>
      <c r="PW15">
        <f>$PW$14+--($PV15)</f>
        <v/>
      </c>
      <c r="PX15">
        <f>IF(ROW()-3&gt;MAX($PW$4:$PW$40),"",INDEX($FX$4:$FX$40,MATCH(ROW()-3,$PW$4:$PW$40,0)))</f>
        <v/>
      </c>
      <c r="PY15">
        <f>IF(COUNTIF('Buyer Groups'!DG15:EK15,0)+COUNTIF('Buyer Groups'!EM15:EN15,0)&gt;0,0,1)</f>
        <v/>
      </c>
      <c r="PZ15">
        <f>IF($FI$15="",FALSE,SUMPRODUCT(('Final Calculation Sheet'!$AF$4:$AF$40=$FI$15)*($PY$6:$PY$42=1))&gt;0)</f>
        <v/>
      </c>
      <c r="QA15">
        <f>$QA$14+--($PZ15)</f>
        <v/>
      </c>
      <c r="QB15">
        <f>IF(ROW()-3&gt;MAX($QA$4:$QA$40),"",INDEX($FI$4:$FI$40,MATCH(ROW()-3,$QA$4:$QA$40,0)))</f>
        <v/>
      </c>
      <c r="QC15">
        <f>IF(COUNTIF('Buyer Groups'!DG15:EL15,0)+COUNTIF('Buyer Groups'!EN15:EN15,0)&gt;0,0,1)</f>
        <v/>
      </c>
      <c r="QD15">
        <f>IF($FN$15="",FALSE,SUMPRODUCT(('Final Calculation Sheet'!$AG$4:$AG$40=$FN$15)*($QC$6:$QC$42=1))&gt;0)</f>
        <v/>
      </c>
      <c r="QE15">
        <f>$QE$14+--($QD15)</f>
        <v/>
      </c>
      <c r="QF15">
        <f>IF(ROW()-3&gt;MAX($QE$4:$QE$40),"",INDEX($FN$4:$FN$40,MATCH(ROW()-3,$QE$4:$QE$40,0)))</f>
        <v/>
      </c>
      <c r="QG15">
        <f>IF(COUNTIF('Buyer Groups'!DG15:EM15,0)&gt;0,0,1)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Groups'!DH16:EN16,0)&gt;0,0,1)</f>
        <v/>
      </c>
      <c r="LF16">
        <f>IF($O$16="",FALSE,SUMPRODUCT(('Final Calculation Sheet'!$F$4:$F$40=$O$16)*($LE$6:$LE$42=1))&gt;0)</f>
        <v/>
      </c>
      <c r="LG16">
        <f>$LG$15+--($LF16)</f>
        <v/>
      </c>
      <c r="LH16">
        <f>IF(ROW()-3&gt;MAX($LG$4:$LG$40),"",INDEX($O$4:$O$40,MATCH(ROW()-3,$LG$4:$LG$40,0)))</f>
        <v/>
      </c>
      <c r="LI16">
        <f>IF(COUNTIF('Buyer Groups'!DG16:DG16,0)+COUNTIF('Buyer Groups'!DI16:EN16,0)&gt;0,0,1)</f>
        <v/>
      </c>
      <c r="LJ16">
        <f>IF($T$16="",FALSE,SUMPRODUCT(('Final Calculation Sheet'!$G$4:$G$40=$T$16)*($LI$6:$LI$42=1))&gt;0)</f>
        <v/>
      </c>
      <c r="LK16">
        <f>$LK$15+--($LJ16)</f>
        <v/>
      </c>
      <c r="LL16">
        <f>IF(ROW()-3&gt;MAX($LK$4:$LK$40),"",INDEX($T$4:$T$40,MATCH(ROW()-3,$LK$4:$LK$40,0)))</f>
        <v/>
      </c>
      <c r="LM16">
        <f>IF(COUNTIF('Buyer Groups'!DG16:DH16,0)+COUNTIF('Buyer Groups'!DJ16:EN16,0)&gt;0,0,1)</f>
        <v/>
      </c>
      <c r="LN16">
        <f>IF($Y$16="",FALSE,SUMPRODUCT(('Final Calculation Sheet'!$B$4:$B$40=$Y$16)*($LM$6:$LM$42=1))&gt;0)</f>
        <v/>
      </c>
      <c r="LO16">
        <f>$LO$15+--($LN16)</f>
        <v/>
      </c>
      <c r="LP16">
        <f>IF(ROW()-3&gt;MAX($LO$4:$LO$40),"",INDEX($Y$4:$Y$40,MATCH(ROW()-3,$LO$4:$LO$40,0)))</f>
        <v/>
      </c>
      <c r="LQ16">
        <f>IF(COUNTIF('Buyer Groups'!DG16:DI16,0)+COUNTIF('Buyer Groups'!DK16:EN16,0)&gt;0,0,1)</f>
        <v/>
      </c>
      <c r="LR16">
        <f>IF($AD$16="",FALSE,SUMPRODUCT(('Final Calculation Sheet'!$D$4:$D$40=$AD$16)*($LQ$6:$LQ$42=1))&gt;0)</f>
        <v/>
      </c>
      <c r="LS16">
        <f>$LS$15+--($LR16)</f>
        <v/>
      </c>
      <c r="LT16">
        <f>IF(ROW()-3&gt;MAX($LS$4:$LS$40),"",INDEX($AD$4:$AD$40,MATCH(ROW()-3,$LS$4:$LS$40,0)))</f>
        <v/>
      </c>
      <c r="LU16">
        <f>IF(COUNTIF('Buyer Groups'!DG16:DJ16,0)+COUNTIF('Buyer Groups'!DL16:EN16,0)&gt;0,0,1)</f>
        <v/>
      </c>
      <c r="LV16">
        <f>IF($AI$16="",FALSE,SUMPRODUCT(('Final Calculation Sheet'!$A$4:$A$40=$AI$16)*($LU$6:$LU$42=1))&gt;0)</f>
        <v/>
      </c>
      <c r="LW16">
        <f>$LW$15+--($LV16)</f>
        <v/>
      </c>
      <c r="LX16">
        <f>IF(ROW()-3&gt;MAX($LW$4:$LW$40),"",INDEX($AI$4:$AI$40,MATCH(ROW()-3,$LW$4:$LW$40,0)))</f>
        <v/>
      </c>
      <c r="LY16">
        <f>IF(COUNTIF('Buyer Groups'!DG16:DK16,0)+COUNTIF('Buyer Groups'!DM16:EN16,0)&gt;0,0,1)</f>
        <v/>
      </c>
      <c r="LZ16">
        <f>IF($AN$16="",FALSE,SUMPRODUCT(('Final Calculation Sheet'!$E$4:$E$40=$AN$16)*($LY$6:$LY$42=1))&gt;0)</f>
        <v/>
      </c>
      <c r="MA16">
        <f>$MA$15+--($LZ16)</f>
        <v/>
      </c>
      <c r="MB16">
        <f>IF(ROW()-3&gt;MAX($MA$4:$MA$40),"",INDEX($AN$4:$AN$40,MATCH(ROW()-3,$MA$4:$MA$40,0)))</f>
        <v/>
      </c>
      <c r="MC16">
        <f>IF(COUNTIF('Buyer Groups'!DG16:DL16,0)+COUNTIF('Buyer Groups'!DN16:EN16,0)&gt;0,0,1)</f>
        <v/>
      </c>
      <c r="MD16">
        <f>IF($AS$16="",FALSE,SUMPRODUCT(('Final Calculation Sheet'!$C$4:$C$40=$AS$16)*($MC$6:$MC$42=1))&gt;0)</f>
        <v/>
      </c>
      <c r="ME16">
        <f>$ME$15+--($MD16)</f>
        <v/>
      </c>
      <c r="MF16">
        <f>IF(ROW()-3&gt;MAX($ME$4:$ME$40),"",INDEX($AS$4:$AS$40,MATCH(ROW()-3,$ME$4:$ME$40,0)))</f>
        <v/>
      </c>
      <c r="MG16">
        <f>IF(COUNTIF('Buyer Groups'!DG16:DM16,0)+COUNTIF('Buyer Groups'!DO16:EN16,0)&gt;0,0,1)</f>
        <v/>
      </c>
      <c r="MH16">
        <f>IF($AX$16="",FALSE,SUMPRODUCT(('Final Calculation Sheet'!$H$4:$H$40=$AX$16)*($MG$6:$MG$42=1))&gt;0)</f>
        <v/>
      </c>
      <c r="MI16">
        <f>$MI$15+--($MH16)</f>
        <v/>
      </c>
      <c r="MJ16">
        <f>IF(ROW()-3&gt;MAX($MI$4:$MI$40),"",INDEX($AX$4:$AX$40,MATCH(ROW()-3,$MI$4:$MI$40,0)))</f>
        <v/>
      </c>
      <c r="MK16">
        <f>IF(COUNTIF('Buyer Groups'!DG16:DN16,0)+COUNTIF('Buyer Groups'!DP16:EN16,0)&gt;0,0,1)</f>
        <v/>
      </c>
      <c r="ML16">
        <f>IF($BC$16="",FALSE,SUMPRODUCT(('Final Calculation Sheet'!$I$4:$I$40=$BC$16)*($MK$6:$MK$42=1))&gt;0)</f>
        <v/>
      </c>
      <c r="MM16">
        <f>$MM$15+--($ML16)</f>
        <v/>
      </c>
      <c r="MN16">
        <f>IF(ROW()-3&gt;MAX($MM$4:$MM$40),"",INDEX($BC$4:$BC$40,MATCH(ROW()-3,$MM$4:$MM$40,0)))</f>
        <v/>
      </c>
      <c r="MO16">
        <f>IF(COUNTIF('Buyer Groups'!DG16:DO16,0)+COUNTIF('Buyer Groups'!DQ16:EN16,0)&gt;0,0,1)</f>
        <v/>
      </c>
      <c r="MP16">
        <f>IF($BH$16="",FALSE,SUMPRODUCT(('Final Calculation Sheet'!$J$4:$J$40=$BH$16)*($MO$6:$MO$42=1))&gt;0)</f>
        <v/>
      </c>
      <c r="MQ16">
        <f>$MQ$15+--($MP16)</f>
        <v/>
      </c>
      <c r="MR16">
        <f>IF(ROW()-3&gt;MAX($MQ$4:$MQ$40),"",INDEX($BH$4:$BH$40,MATCH(ROW()-3,$MQ$4:$MQ$40,0)))</f>
        <v/>
      </c>
      <c r="MS16">
        <f>IF(COUNTIF('Buyer Groups'!DG16:DP16,0)+COUNTIF('Buyer Groups'!DR16:EN16,0)&gt;0,0,1)</f>
        <v/>
      </c>
      <c r="MT16">
        <f>IF($BM$16="",FALSE,SUMPRODUCT(('Final Calculation Sheet'!$K$4:$K$40=$BM$16)*($MS$6:$MS$42=1))&gt;0)</f>
        <v/>
      </c>
      <c r="MU16">
        <f>$MU$15+--($MT16)</f>
        <v/>
      </c>
      <c r="MV16">
        <f>IF(ROW()-3&gt;MAX($MU$4:$MU$40),"",INDEX($BM$4:$BM$40,MATCH(ROW()-3,$MU$4:$MU$40,0)))</f>
        <v/>
      </c>
      <c r="MW16">
        <f>IF(COUNTIF('Buyer Groups'!DG16:DQ16,0)+COUNTIF('Buyer Groups'!DS16:EN16,0)&gt;0,0,1)</f>
        <v/>
      </c>
      <c r="MX16">
        <f>IF($BR$16="",FALSE,SUMPRODUCT(('Final Calculation Sheet'!$L$4:$L$40=$BR$16)*($MW$6:$MW$42=1))&gt;0)</f>
        <v/>
      </c>
      <c r="MY16">
        <f>$MY$15+--($MX16)</f>
        <v/>
      </c>
      <c r="MZ16">
        <f>IF(ROW()-3&gt;MAX($MY$4:$MY$40),"",INDEX($BR$4:$BR$40,MATCH(ROW()-3,$MY$4:$MY$40,0)))</f>
        <v/>
      </c>
      <c r="NA16">
        <f>IF(COUNTIF('Buyer Groups'!DG16:DR16,0)+COUNTIF('Buyer Groups'!DT16:EN16,0)&gt;0,0,1)</f>
        <v/>
      </c>
      <c r="NB16">
        <f>IF($BW$16="",FALSE,SUMPRODUCT(('Final Calculation Sheet'!$M$4:$M$40=$BW$16)*($NA$6:$NA$42=1))&gt;0)</f>
        <v/>
      </c>
      <c r="NC16">
        <f>$NC$15+--($NB16)</f>
        <v/>
      </c>
      <c r="ND16">
        <f>IF(ROW()-3&gt;MAX($NC$4:$NC$40),"",INDEX($BW$4:$BW$40,MATCH(ROW()-3,$NC$4:$NC$40,0)))</f>
        <v/>
      </c>
      <c r="NE16">
        <f>IF(COUNTIF('Buyer Groups'!DG16:DS16,0)+COUNTIF('Buyer Groups'!DU16:EN16,0)&gt;0,0,1)</f>
        <v/>
      </c>
      <c r="NF16">
        <f>IF($CB$16="",FALSE,SUMPRODUCT(('Final Calculation Sheet'!$N$4:$N$40=$CB$16)*($NE$6:$NE$42=1))&gt;0)</f>
        <v/>
      </c>
      <c r="NG16">
        <f>$NG$15+--($NF16)</f>
        <v/>
      </c>
      <c r="NH16">
        <f>IF(ROW()-3&gt;MAX($NG$4:$NG$40),"",INDEX($CB$4:$CB$40,MATCH(ROW()-3,$NG$4:$NG$40,0)))</f>
        <v/>
      </c>
      <c r="NI16">
        <f>IF(COUNTIF('Buyer Groups'!DG16:DT16,0)+COUNTIF('Buyer Groups'!DV16:EN16,0)&gt;0,0,1)</f>
        <v/>
      </c>
      <c r="NJ16">
        <f>IF($CG$16="",FALSE,SUMPRODUCT(('Final Calculation Sheet'!$O$4:$O$40=$CG$16)*($NI$6:$NI$42=1))&gt;0)</f>
        <v/>
      </c>
      <c r="NK16">
        <f>$NK$15+--($NJ16)</f>
        <v/>
      </c>
      <c r="NL16">
        <f>IF(ROW()-3&gt;MAX($NK$4:$NK$40),"",INDEX($CG$4:$CG$40,MATCH(ROW()-3,$NK$4:$NK$40,0)))</f>
        <v/>
      </c>
      <c r="NM16">
        <f>IF(COUNTIF('Buyer Groups'!DG16:DU16,0)+COUNTIF('Buyer Groups'!DW16:EN16,0)&gt;0,0,1)</f>
        <v/>
      </c>
      <c r="NN16">
        <f>IF($CL$16="",FALSE,SUMPRODUCT(('Final Calculation Sheet'!$P$4:$P$40=$CL$16)*($NM$6:$NM$42=1))&gt;0)</f>
        <v/>
      </c>
      <c r="NO16">
        <f>$NO$15+--($NN16)</f>
        <v/>
      </c>
      <c r="NP16">
        <f>IF(ROW()-3&gt;MAX($NO$4:$NO$40),"",INDEX($CL$4:$CL$40,MATCH(ROW()-3,$NO$4:$NO$40,0)))</f>
        <v/>
      </c>
      <c r="NQ16">
        <f>IF(COUNTIF('Buyer Groups'!DG16:DV16,0)+COUNTIF('Buyer Groups'!DX16:EN16,0)&gt;0,0,1)</f>
        <v/>
      </c>
      <c r="NR16">
        <f>IF($CQ$16="",FALSE,SUMPRODUCT(('Final Calculation Sheet'!$Q$4:$Q$40=$CQ$16)*($NQ$6:$NQ$42=1))&gt;0)</f>
        <v/>
      </c>
      <c r="NS16">
        <f>$NS$15+--($NR16)</f>
        <v/>
      </c>
      <c r="NT16">
        <f>IF(ROW()-3&gt;MAX($NS$4:$NS$40),"",INDEX($CQ$4:$CQ$40,MATCH(ROW()-3,$NS$4:$NS$40,0)))</f>
        <v/>
      </c>
      <c r="NU16">
        <f>IF(COUNTIF('Buyer Groups'!DG16:DW16,0)+COUNTIF('Buyer Groups'!DY16:EN16,0)&gt;0,0,1)</f>
        <v/>
      </c>
      <c r="NV16">
        <f>IF($CV$16="",FALSE,SUMPRODUCT(('Final Calculation Sheet'!$R$4:$R$40=$CV$16)*($NU$6:$NU$42=1))&gt;0)</f>
        <v/>
      </c>
      <c r="NW16">
        <f>$NW$15+--($NV16)</f>
        <v/>
      </c>
      <c r="NX16">
        <f>IF(ROW()-3&gt;MAX($NW$4:$NW$40),"",INDEX($CV$4:$CV$40,MATCH(ROW()-3,$NW$4:$NW$40,0)))</f>
        <v/>
      </c>
      <c r="NY16">
        <f>IF(COUNTIF('Buyer Groups'!DG16:DX16,0)+COUNTIF('Buyer Groups'!DZ16:EN16,0)&gt;0,0,1)</f>
        <v/>
      </c>
      <c r="NZ16">
        <f>IF($DA$16="",FALSE,SUMPRODUCT(('Final Calculation Sheet'!$S$4:$S$40=$DA$16)*($NY$6:$NY$42=1))&gt;0)</f>
        <v/>
      </c>
      <c r="OA16">
        <f>$OA$15+--($NZ16)</f>
        <v/>
      </c>
      <c r="OB16">
        <f>IF(ROW()-3&gt;MAX($OA$4:$OA$40),"",INDEX($DA$4:$DA$40,MATCH(ROW()-3,$OA$4:$OA$40,0)))</f>
        <v/>
      </c>
      <c r="OC16">
        <f>IF(COUNTIF('Buyer Groups'!DG16:DY16,0)+COUNTIF('Buyer Groups'!EA16:EN16,0)&gt;0,0,1)</f>
        <v/>
      </c>
      <c r="OD16">
        <f>IF($DF$16="",FALSE,SUMPRODUCT(('Final Calculation Sheet'!$T$4:$T$40=$DF$16)*($OC$6:$OC$42=1))&gt;0)</f>
        <v/>
      </c>
      <c r="OE16">
        <f>$OE$15+--($OD16)</f>
        <v/>
      </c>
      <c r="OF16">
        <f>IF(ROW()-3&gt;MAX($OE$4:$OE$40),"",INDEX($DF$4:$DF$40,MATCH(ROW()-3,$OE$4:$OE$40,0)))</f>
        <v/>
      </c>
      <c r="OG16">
        <f>IF(COUNTIF('Buyer Groups'!DG16:DZ16,0)+COUNTIF('Buyer Groups'!EB16:EN16,0)&gt;0,0,1)</f>
        <v/>
      </c>
      <c r="OH16">
        <f>IF($DK$16="",FALSE,SUMPRODUCT(('Final Calculation Sheet'!$U$4:$U$40=$DK$16)*($OG$6:$OG$42=1))&gt;0)</f>
        <v/>
      </c>
      <c r="OI16">
        <f>$OI$15+--($OH16)</f>
        <v/>
      </c>
      <c r="OJ16">
        <f>IF(ROW()-3&gt;MAX($OI$4:$OI$40),"",INDEX($DK$4:$DK$40,MATCH(ROW()-3,$OI$4:$OI$40,0)))</f>
        <v/>
      </c>
      <c r="OK16">
        <f>IF(COUNTIF('Buyer Groups'!DG16:EA16,0)+COUNTIF('Buyer Groups'!EC16:EN16,0)&gt;0,0,1)</f>
        <v/>
      </c>
      <c r="OL16">
        <f>IF($DP$16="",FALSE,SUMPRODUCT(('Final Calculation Sheet'!$V$4:$V$40=$DP$16)*($OK$6:$OK$42=1))&gt;0)</f>
        <v/>
      </c>
      <c r="OM16">
        <f>$OM$15+--($OL16)</f>
        <v/>
      </c>
      <c r="ON16">
        <f>IF(ROW()-3&gt;MAX($OM$4:$OM$40),"",INDEX($DP$4:$DP$40,MATCH(ROW()-3,$OM$4:$OM$40,0)))</f>
        <v/>
      </c>
      <c r="OO16">
        <f>IF(COUNTIF('Buyer Groups'!DG16:EB16,0)+COUNTIF('Buyer Groups'!ED16:EN16,0)&gt;0,0,1)</f>
        <v/>
      </c>
      <c r="OP16">
        <f>IF($DU$16="",FALSE,SUMPRODUCT(('Final Calculation Sheet'!$W$4:$W$40=$DU$16)*($OO$6:$OO$42=1))&gt;0)</f>
        <v/>
      </c>
      <c r="OQ16">
        <f>$OQ$15+--($OP16)</f>
        <v/>
      </c>
      <c r="OR16">
        <f>IF(ROW()-3&gt;MAX($OQ$4:$OQ$40),"",INDEX($DU$4:$DU$40,MATCH(ROW()-3,$OQ$4:$OQ$40,0)))</f>
        <v/>
      </c>
      <c r="OS16">
        <f>IF(COUNTIF('Buyer Groups'!DG16:EC16,0)+COUNTIF('Buyer Groups'!EE16:EN16,0)&gt;0,0,1)</f>
        <v/>
      </c>
      <c r="OT16">
        <f>IF($DZ$16="",FALSE,SUMPRODUCT(('Final Calculation Sheet'!$X$4:$X$40=$DZ$16)*($OS$6:$OS$42=1))&gt;0)</f>
        <v/>
      </c>
      <c r="OU16">
        <f>$OU$15+--($OT16)</f>
        <v/>
      </c>
      <c r="OV16">
        <f>IF(ROW()-3&gt;MAX($OU$4:$OU$40),"",INDEX($DZ$4:$DZ$40,MATCH(ROW()-3,$OU$4:$OU$40,0)))</f>
        <v/>
      </c>
      <c r="OW16">
        <f>IF(COUNTIF('Buyer Groups'!DG16:ED16,0)+COUNTIF('Buyer Groups'!EF16:EN16,0)&gt;0,0,1)</f>
        <v/>
      </c>
      <c r="OX16">
        <f>IF($EE$16="",FALSE,SUMPRODUCT(('Final Calculation Sheet'!$Y$4:$Y$40=$EE$16)*($OW$6:$OW$42=1))&gt;0)</f>
        <v/>
      </c>
      <c r="OY16">
        <f>$OY$15+--($OX16)</f>
        <v/>
      </c>
      <c r="OZ16">
        <f>IF(ROW()-3&gt;MAX($OY$4:$OY$40),"",INDEX($EE$4:$EE$40,MATCH(ROW()-3,$OY$4:$OY$40,0)))</f>
        <v/>
      </c>
      <c r="PA16">
        <f>IF(COUNTIF('Buyer Groups'!DG16:EE16,0)+COUNTIF('Buyer Groups'!EG16:EN16,0)&gt;0,0,1)</f>
        <v/>
      </c>
      <c r="PB16">
        <f>IF($EJ$16="",FALSE,SUMPRODUCT(('Final Calculation Sheet'!$Z$4:$Z$40=$EJ$16)*($PA$6:$PA$42=1))&gt;0)</f>
        <v/>
      </c>
      <c r="PC16">
        <f>$PC$15+--($PB16)</f>
        <v/>
      </c>
      <c r="PD16">
        <f>IF(ROW()-3&gt;MAX($PC$4:$PC$40),"",INDEX($EJ$4:$EJ$40,MATCH(ROW()-3,$PC$4:$PC$40,0)))</f>
        <v/>
      </c>
      <c r="PE16">
        <f>IF(COUNTIF('Buyer Groups'!DG16:EF16,0)+COUNTIF('Buyer Groups'!EH16:EN16,0)&gt;0,0,1)</f>
        <v/>
      </c>
      <c r="PF16">
        <f>IF($EO$16="",FALSE,SUMPRODUCT(('Final Calculation Sheet'!$AA$4:$AA$40=$EO$16)*($PE$6:$PE$42=1))&gt;0)</f>
        <v/>
      </c>
      <c r="PG16">
        <f>$PG$15+--($PF16)</f>
        <v/>
      </c>
      <c r="PH16">
        <f>IF(ROW()-3&gt;MAX($PG$4:$PG$40),"",INDEX($EO$4:$EO$40,MATCH(ROW()-3,$PG$4:$PG$40,0)))</f>
        <v/>
      </c>
      <c r="PI16">
        <f>IF(COUNTIF('Buyer Groups'!DG16:EG16,0)+COUNTIF('Buyer Groups'!EI16:EN16,0)&gt;0,0,1)</f>
        <v/>
      </c>
      <c r="PJ16">
        <f>IF($ET$16="",FALSE,SUMPRODUCT(('Final Calculation Sheet'!$AB$4:$AB$40=$ET$16)*($PI$6:$PI$42=1))&gt;0)</f>
        <v/>
      </c>
      <c r="PK16">
        <f>$PK$15+--($PJ16)</f>
        <v/>
      </c>
      <c r="PL16">
        <f>IF(ROW()-3&gt;MAX($PK$4:$PK$40),"",INDEX($ET$4:$ET$40,MATCH(ROW()-3,$PK$4:$PK$40,0)))</f>
        <v/>
      </c>
      <c r="PM16">
        <f>IF(COUNTIF('Buyer Groups'!DG16:EH16,0)+COUNTIF('Buyer Groups'!EJ16:EN16,0)&gt;0,0,1)</f>
        <v/>
      </c>
      <c r="PN16">
        <f>IF($EY$16="",FALSE,SUMPRODUCT(('Final Calculation Sheet'!$AC$4:$AC$40=$EY$16)*($PM$6:$PM$42=1))&gt;0)</f>
        <v/>
      </c>
      <c r="PO16">
        <f>$PO$15+--($PN16)</f>
        <v/>
      </c>
      <c r="PP16">
        <f>IF(ROW()-3&gt;MAX($PO$4:$PO$40),"",INDEX($EY$4:$EY$40,MATCH(ROW()-3,$PO$4:$PO$40,0)))</f>
        <v/>
      </c>
      <c r="PQ16">
        <f>IF(COUNTIF('Buyer Groups'!DG16:EI16,0)+COUNTIF('Buyer Groups'!EK16:EN16,0)&gt;0,0,1)</f>
        <v/>
      </c>
      <c r="PR16">
        <f>IF($FD$16="",FALSE,SUMPRODUCT(('Final Calculation Sheet'!$AD$4:$AD$40=$FD$16)*($PQ$6:$PQ$42=1))&gt;0)</f>
        <v/>
      </c>
      <c r="PS16">
        <f>$PS$15+--($PR16)</f>
        <v/>
      </c>
      <c r="PT16">
        <f>IF(ROW()-3&gt;MAX($PS$4:$PS$40),"",INDEX($FD$4:$FD$40,MATCH(ROW()-3,$PS$4:$PS$40,0)))</f>
        <v/>
      </c>
      <c r="PU16">
        <f>IF(COUNTIF('Buyer Groups'!DG16:EJ16,0)+COUNTIF('Buyer Groups'!EL16:EN16,0)&gt;0,0,1)</f>
        <v/>
      </c>
      <c r="PV16">
        <f>IF($FX$16="",FALSE,SUMPRODUCT((IF('Final Calculation Sheet'!$AD$4:$AD$40&lt;=5,"SETTLED","OUTSTANDING")=$FX$16)*($PU$6:$PU$42=1))&gt;0)</f>
        <v/>
      </c>
      <c r="PW16">
        <f>$PW$15+--($PV16)</f>
        <v/>
      </c>
      <c r="PX16">
        <f>IF(ROW()-3&gt;MAX($PW$4:$PW$40),"",INDEX($FX$4:$FX$40,MATCH(ROW()-3,$PW$4:$PW$40,0)))</f>
        <v/>
      </c>
      <c r="PY16">
        <f>IF(COUNTIF('Buyer Groups'!DG16:EK16,0)+COUNTIF('Buyer Groups'!EM16:EN16,0)&gt;0,0,1)</f>
        <v/>
      </c>
      <c r="PZ16">
        <f>IF($FI$16="",FALSE,SUMPRODUCT(('Final Calculation Sheet'!$AF$4:$AF$40=$FI$16)*($PY$6:$PY$42=1))&gt;0)</f>
        <v/>
      </c>
      <c r="QA16">
        <f>$QA$15+--($PZ16)</f>
        <v/>
      </c>
      <c r="QB16">
        <f>IF(ROW()-3&gt;MAX($QA$4:$QA$40),"",INDEX($FI$4:$FI$40,MATCH(ROW()-3,$QA$4:$QA$40,0)))</f>
        <v/>
      </c>
      <c r="QC16">
        <f>IF(COUNTIF('Buyer Groups'!DG16:EL16,0)+COUNTIF('Buyer Groups'!EN16:EN16,0)&gt;0,0,1)</f>
        <v/>
      </c>
      <c r="QD16">
        <f>IF($FN$16="",FALSE,SUMPRODUCT(('Final Calculation Sheet'!$AG$4:$AG$40=$FN$16)*($QC$6:$QC$42=1))&gt;0)</f>
        <v/>
      </c>
      <c r="QE16">
        <f>$QE$15+--($QD16)</f>
        <v/>
      </c>
      <c r="QF16">
        <f>IF(ROW()-3&gt;MAX($QE$4:$QE$40),"",INDEX($FN$4:$FN$40,MATCH(ROW()-3,$QE$4:$QE$40,0)))</f>
        <v/>
      </c>
      <c r="QG16">
        <f>IF(COUNTIF('Buyer Groups'!DG16:EM16,0)&gt;0,0,1)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Groups'!DH17:EN17,0)&gt;0,0,1)</f>
        <v/>
      </c>
      <c r="LF17">
        <f>IF($O$17="",FALSE,SUMPRODUCT(('Final Calculation Sheet'!$F$4:$F$40=$O$17)*($LE$6:$LE$42=1))&gt;0)</f>
        <v/>
      </c>
      <c r="LG17">
        <f>$LG$16+--($LF17)</f>
        <v/>
      </c>
      <c r="LH17">
        <f>IF(ROW()-3&gt;MAX($LG$4:$LG$40),"",INDEX($O$4:$O$40,MATCH(ROW()-3,$LG$4:$LG$40,0)))</f>
        <v/>
      </c>
      <c r="LI17">
        <f>IF(COUNTIF('Buyer Groups'!DG17:DG17,0)+COUNTIF('Buyer Groups'!DI17:EN17,0)&gt;0,0,1)</f>
        <v/>
      </c>
      <c r="LJ17">
        <f>IF($T$17="",FALSE,SUMPRODUCT(('Final Calculation Sheet'!$G$4:$G$40=$T$17)*($LI$6:$LI$42=1))&gt;0)</f>
        <v/>
      </c>
      <c r="LK17">
        <f>$LK$16+--($LJ17)</f>
        <v/>
      </c>
      <c r="LL17">
        <f>IF(ROW()-3&gt;MAX($LK$4:$LK$40),"",INDEX($T$4:$T$40,MATCH(ROW()-3,$LK$4:$LK$40,0)))</f>
        <v/>
      </c>
      <c r="LM17">
        <f>IF(COUNTIF('Buyer Groups'!DG17:DH17,0)+COUNTIF('Buyer Groups'!DJ17:EN17,0)&gt;0,0,1)</f>
        <v/>
      </c>
      <c r="LN17">
        <f>IF($Y$17="",FALSE,SUMPRODUCT(('Final Calculation Sheet'!$B$4:$B$40=$Y$17)*($LM$6:$LM$42=1))&gt;0)</f>
        <v/>
      </c>
      <c r="LO17">
        <f>$LO$16+--($LN17)</f>
        <v/>
      </c>
      <c r="LP17">
        <f>IF(ROW()-3&gt;MAX($LO$4:$LO$40),"",INDEX($Y$4:$Y$40,MATCH(ROW()-3,$LO$4:$LO$40,0)))</f>
        <v/>
      </c>
      <c r="LQ17">
        <f>IF(COUNTIF('Buyer Groups'!DG17:DI17,0)+COUNTIF('Buyer Groups'!DK17:EN17,0)&gt;0,0,1)</f>
        <v/>
      </c>
      <c r="LR17">
        <f>IF($AD$17="",FALSE,SUMPRODUCT(('Final Calculation Sheet'!$D$4:$D$40=$AD$17)*($LQ$6:$LQ$42=1))&gt;0)</f>
        <v/>
      </c>
      <c r="LS17">
        <f>$LS$16+--($LR17)</f>
        <v/>
      </c>
      <c r="LT17">
        <f>IF(ROW()-3&gt;MAX($LS$4:$LS$40),"",INDEX($AD$4:$AD$40,MATCH(ROW()-3,$LS$4:$LS$40,0)))</f>
        <v/>
      </c>
      <c r="LU17">
        <f>IF(COUNTIF('Buyer Groups'!DG17:DJ17,0)+COUNTIF('Buyer Groups'!DL17:EN17,0)&gt;0,0,1)</f>
        <v/>
      </c>
      <c r="LV17">
        <f>IF($AI$17="",FALSE,SUMPRODUCT(('Final Calculation Sheet'!$A$4:$A$40=$AI$17)*($LU$6:$LU$42=1))&gt;0)</f>
        <v/>
      </c>
      <c r="LW17">
        <f>$LW$16+--($LV17)</f>
        <v/>
      </c>
      <c r="LX17">
        <f>IF(ROW()-3&gt;MAX($LW$4:$LW$40),"",INDEX($AI$4:$AI$40,MATCH(ROW()-3,$LW$4:$LW$40,0)))</f>
        <v/>
      </c>
      <c r="LY17">
        <f>IF(COUNTIF('Buyer Groups'!DG17:DK17,0)+COUNTIF('Buyer Groups'!DM17:EN17,0)&gt;0,0,1)</f>
        <v/>
      </c>
      <c r="LZ17">
        <f>IF($AN$17="",FALSE,SUMPRODUCT(('Final Calculation Sheet'!$E$4:$E$40=$AN$17)*($LY$6:$LY$42=1))&gt;0)</f>
        <v/>
      </c>
      <c r="MA17">
        <f>$MA$16+--($LZ17)</f>
        <v/>
      </c>
      <c r="MB17">
        <f>IF(ROW()-3&gt;MAX($MA$4:$MA$40),"",INDEX($AN$4:$AN$40,MATCH(ROW()-3,$MA$4:$MA$40,0)))</f>
        <v/>
      </c>
      <c r="MC17">
        <f>IF(COUNTIF('Buyer Groups'!DG17:DL17,0)+COUNTIF('Buyer Groups'!DN17:EN17,0)&gt;0,0,1)</f>
        <v/>
      </c>
      <c r="MD17">
        <f>IF($AS$17="",FALSE,SUMPRODUCT(('Final Calculation Sheet'!$C$4:$C$40=$AS$17)*($MC$6:$MC$42=1))&gt;0)</f>
        <v/>
      </c>
      <c r="ME17">
        <f>$ME$16+--($MD17)</f>
        <v/>
      </c>
      <c r="MF17">
        <f>IF(ROW()-3&gt;MAX($ME$4:$ME$40),"",INDEX($AS$4:$AS$40,MATCH(ROW()-3,$ME$4:$ME$40,0)))</f>
        <v/>
      </c>
      <c r="MG17">
        <f>IF(COUNTIF('Buyer Groups'!DG17:DM17,0)+COUNTIF('Buyer Groups'!DO17:EN17,0)&gt;0,0,1)</f>
        <v/>
      </c>
      <c r="MH17">
        <f>IF($AX$17="",FALSE,SUMPRODUCT(('Final Calculation Sheet'!$H$4:$H$40=$AX$17)*($MG$6:$MG$42=1))&gt;0)</f>
        <v/>
      </c>
      <c r="MI17">
        <f>$MI$16+--($MH17)</f>
        <v/>
      </c>
      <c r="MJ17">
        <f>IF(ROW()-3&gt;MAX($MI$4:$MI$40),"",INDEX($AX$4:$AX$40,MATCH(ROW()-3,$MI$4:$MI$40,0)))</f>
        <v/>
      </c>
      <c r="MK17">
        <f>IF(COUNTIF('Buyer Groups'!DG17:DN17,0)+COUNTIF('Buyer Groups'!DP17:EN17,0)&gt;0,0,1)</f>
        <v/>
      </c>
      <c r="ML17">
        <f>IF($BC$17="",FALSE,SUMPRODUCT(('Final Calculation Sheet'!$I$4:$I$40=$BC$17)*($MK$6:$MK$42=1))&gt;0)</f>
        <v/>
      </c>
      <c r="MM17">
        <f>$MM$16+--($ML17)</f>
        <v/>
      </c>
      <c r="MN17">
        <f>IF(ROW()-3&gt;MAX($MM$4:$MM$40),"",INDEX($BC$4:$BC$40,MATCH(ROW()-3,$MM$4:$MM$40,0)))</f>
        <v/>
      </c>
      <c r="MO17">
        <f>IF(COUNTIF('Buyer Groups'!DG17:DO17,0)+COUNTIF('Buyer Groups'!DQ17:EN17,0)&gt;0,0,1)</f>
        <v/>
      </c>
      <c r="MP17">
        <f>IF($BH$17="",FALSE,SUMPRODUCT(('Final Calculation Sheet'!$J$4:$J$40=$BH$17)*($MO$6:$MO$42=1))&gt;0)</f>
        <v/>
      </c>
      <c r="MQ17">
        <f>$MQ$16+--($MP17)</f>
        <v/>
      </c>
      <c r="MR17">
        <f>IF(ROW()-3&gt;MAX($MQ$4:$MQ$40),"",INDEX($BH$4:$BH$40,MATCH(ROW()-3,$MQ$4:$MQ$40,0)))</f>
        <v/>
      </c>
      <c r="MS17">
        <f>IF(COUNTIF('Buyer Groups'!DG17:DP17,0)+COUNTIF('Buyer Groups'!DR17:EN17,0)&gt;0,0,1)</f>
        <v/>
      </c>
      <c r="MT17">
        <f>IF($BM$17="",FALSE,SUMPRODUCT(('Final Calculation Sheet'!$K$4:$K$40=$BM$17)*($MS$6:$MS$42=1))&gt;0)</f>
        <v/>
      </c>
      <c r="MU17">
        <f>$MU$16+--($MT17)</f>
        <v/>
      </c>
      <c r="MV17">
        <f>IF(ROW()-3&gt;MAX($MU$4:$MU$40),"",INDEX($BM$4:$BM$40,MATCH(ROW()-3,$MU$4:$MU$40,0)))</f>
        <v/>
      </c>
      <c r="MW17">
        <f>IF(COUNTIF('Buyer Groups'!DG17:DQ17,0)+COUNTIF('Buyer Groups'!DS17:EN17,0)&gt;0,0,1)</f>
        <v/>
      </c>
      <c r="MX17">
        <f>IF($BR$17="",FALSE,SUMPRODUCT(('Final Calculation Sheet'!$L$4:$L$40=$BR$17)*($MW$6:$MW$42=1))&gt;0)</f>
        <v/>
      </c>
      <c r="MY17">
        <f>$MY$16+--($MX17)</f>
        <v/>
      </c>
      <c r="MZ17">
        <f>IF(ROW()-3&gt;MAX($MY$4:$MY$40),"",INDEX($BR$4:$BR$40,MATCH(ROW()-3,$MY$4:$MY$40,0)))</f>
        <v/>
      </c>
      <c r="NA17">
        <f>IF(COUNTIF('Buyer Groups'!DG17:DR17,0)+COUNTIF('Buyer Groups'!DT17:EN17,0)&gt;0,0,1)</f>
        <v/>
      </c>
      <c r="NB17">
        <f>IF($BW$17="",FALSE,SUMPRODUCT(('Final Calculation Sheet'!$M$4:$M$40=$BW$17)*($NA$6:$NA$42=1))&gt;0)</f>
        <v/>
      </c>
      <c r="NC17">
        <f>$NC$16+--($NB17)</f>
        <v/>
      </c>
      <c r="ND17">
        <f>IF(ROW()-3&gt;MAX($NC$4:$NC$40),"",INDEX($BW$4:$BW$40,MATCH(ROW()-3,$NC$4:$NC$40,0)))</f>
        <v/>
      </c>
      <c r="NE17">
        <f>IF(COUNTIF('Buyer Groups'!DG17:DS17,0)+COUNTIF('Buyer Groups'!DU17:EN17,0)&gt;0,0,1)</f>
        <v/>
      </c>
      <c r="NF17">
        <f>IF($CB$17="",FALSE,SUMPRODUCT(('Final Calculation Sheet'!$N$4:$N$40=$CB$17)*($NE$6:$NE$42=1))&gt;0)</f>
        <v/>
      </c>
      <c r="NG17">
        <f>$NG$16+--($NF17)</f>
        <v/>
      </c>
      <c r="NH17">
        <f>IF(ROW()-3&gt;MAX($NG$4:$NG$40),"",INDEX($CB$4:$CB$40,MATCH(ROW()-3,$NG$4:$NG$40,0)))</f>
        <v/>
      </c>
      <c r="NI17">
        <f>IF(COUNTIF('Buyer Groups'!DG17:DT17,0)+COUNTIF('Buyer Groups'!DV17:EN17,0)&gt;0,0,1)</f>
        <v/>
      </c>
      <c r="NJ17">
        <f>IF($CG$17="",FALSE,SUMPRODUCT(('Final Calculation Sheet'!$O$4:$O$40=$CG$17)*($NI$6:$NI$42=1))&gt;0)</f>
        <v/>
      </c>
      <c r="NK17">
        <f>$NK$16+--($NJ17)</f>
        <v/>
      </c>
      <c r="NL17">
        <f>IF(ROW()-3&gt;MAX($NK$4:$NK$40),"",INDEX($CG$4:$CG$40,MATCH(ROW()-3,$NK$4:$NK$40,0)))</f>
        <v/>
      </c>
      <c r="NM17">
        <f>IF(COUNTIF('Buyer Groups'!DG17:DU17,0)+COUNTIF('Buyer Groups'!DW17:EN17,0)&gt;0,0,1)</f>
        <v/>
      </c>
      <c r="NN17">
        <f>IF($CL$17="",FALSE,SUMPRODUCT(('Final Calculation Sheet'!$P$4:$P$40=$CL$17)*($NM$6:$NM$42=1))&gt;0)</f>
        <v/>
      </c>
      <c r="NO17">
        <f>$NO$16+--($NN17)</f>
        <v/>
      </c>
      <c r="NP17">
        <f>IF(ROW()-3&gt;MAX($NO$4:$NO$40),"",INDEX($CL$4:$CL$40,MATCH(ROW()-3,$NO$4:$NO$40,0)))</f>
        <v/>
      </c>
      <c r="NQ17">
        <f>IF(COUNTIF('Buyer Groups'!DG17:DV17,0)+COUNTIF('Buyer Groups'!DX17:EN17,0)&gt;0,0,1)</f>
        <v/>
      </c>
      <c r="NR17">
        <f>IF($CQ$17="",FALSE,SUMPRODUCT(('Final Calculation Sheet'!$Q$4:$Q$40=$CQ$17)*($NQ$6:$NQ$42=1))&gt;0)</f>
        <v/>
      </c>
      <c r="NS17">
        <f>$NS$16+--($NR17)</f>
        <v/>
      </c>
      <c r="NT17">
        <f>IF(ROW()-3&gt;MAX($NS$4:$NS$40),"",INDEX($CQ$4:$CQ$40,MATCH(ROW()-3,$NS$4:$NS$40,0)))</f>
        <v/>
      </c>
      <c r="NU17">
        <f>IF(COUNTIF('Buyer Groups'!DG17:DW17,0)+COUNTIF('Buyer Groups'!DY17:EN17,0)&gt;0,0,1)</f>
        <v/>
      </c>
      <c r="NV17">
        <f>IF($CV$17="",FALSE,SUMPRODUCT(('Final Calculation Sheet'!$R$4:$R$40=$CV$17)*($NU$6:$NU$42=1))&gt;0)</f>
        <v/>
      </c>
      <c r="NW17">
        <f>$NW$16+--($NV17)</f>
        <v/>
      </c>
      <c r="NX17">
        <f>IF(ROW()-3&gt;MAX($NW$4:$NW$40),"",INDEX($CV$4:$CV$40,MATCH(ROW()-3,$NW$4:$NW$40,0)))</f>
        <v/>
      </c>
      <c r="NY17">
        <f>IF(COUNTIF('Buyer Groups'!DG17:DX17,0)+COUNTIF('Buyer Groups'!DZ17:EN17,0)&gt;0,0,1)</f>
        <v/>
      </c>
      <c r="NZ17">
        <f>IF($DA$17="",FALSE,SUMPRODUCT(('Final Calculation Sheet'!$S$4:$S$40=$DA$17)*($NY$6:$NY$42=1))&gt;0)</f>
        <v/>
      </c>
      <c r="OA17">
        <f>$OA$16+--($NZ17)</f>
        <v/>
      </c>
      <c r="OB17">
        <f>IF(ROW()-3&gt;MAX($OA$4:$OA$40),"",INDEX($DA$4:$DA$40,MATCH(ROW()-3,$OA$4:$OA$40,0)))</f>
        <v/>
      </c>
      <c r="OC17">
        <f>IF(COUNTIF('Buyer Groups'!DG17:DY17,0)+COUNTIF('Buyer Groups'!EA17:EN17,0)&gt;0,0,1)</f>
        <v/>
      </c>
      <c r="OD17">
        <f>IF($DF$17="",FALSE,SUMPRODUCT(('Final Calculation Sheet'!$T$4:$T$40=$DF$17)*($OC$6:$OC$42=1))&gt;0)</f>
        <v/>
      </c>
      <c r="OE17">
        <f>$OE$16+--($OD17)</f>
        <v/>
      </c>
      <c r="OF17">
        <f>IF(ROW()-3&gt;MAX($OE$4:$OE$40),"",INDEX($DF$4:$DF$40,MATCH(ROW()-3,$OE$4:$OE$40,0)))</f>
        <v/>
      </c>
      <c r="OG17">
        <f>IF(COUNTIF('Buyer Groups'!DG17:DZ17,0)+COUNTIF('Buyer Groups'!EB17:EN17,0)&gt;0,0,1)</f>
        <v/>
      </c>
      <c r="OH17">
        <f>IF($DK$17="",FALSE,SUMPRODUCT(('Final Calculation Sheet'!$U$4:$U$40=$DK$17)*($OG$6:$OG$42=1))&gt;0)</f>
        <v/>
      </c>
      <c r="OI17">
        <f>$OI$16+--($OH17)</f>
        <v/>
      </c>
      <c r="OJ17">
        <f>IF(ROW()-3&gt;MAX($OI$4:$OI$40),"",INDEX($DK$4:$DK$40,MATCH(ROW()-3,$OI$4:$OI$40,0)))</f>
        <v/>
      </c>
      <c r="OK17">
        <f>IF(COUNTIF('Buyer Groups'!DG17:EA17,0)+COUNTIF('Buyer Groups'!EC17:EN17,0)&gt;0,0,1)</f>
        <v/>
      </c>
      <c r="OL17">
        <f>IF($DP$17="",FALSE,SUMPRODUCT(('Final Calculation Sheet'!$V$4:$V$40=$DP$17)*($OK$6:$OK$42=1))&gt;0)</f>
        <v/>
      </c>
      <c r="OM17">
        <f>$OM$16+--($OL17)</f>
        <v/>
      </c>
      <c r="ON17">
        <f>IF(ROW()-3&gt;MAX($OM$4:$OM$40),"",INDEX($DP$4:$DP$40,MATCH(ROW()-3,$OM$4:$OM$40,0)))</f>
        <v/>
      </c>
      <c r="OO17">
        <f>IF(COUNTIF('Buyer Groups'!DG17:EB17,0)+COUNTIF('Buyer Groups'!ED17:EN17,0)&gt;0,0,1)</f>
        <v/>
      </c>
      <c r="OP17">
        <f>IF($DU$17="",FALSE,SUMPRODUCT(('Final Calculation Sheet'!$W$4:$W$40=$DU$17)*($OO$6:$OO$42=1))&gt;0)</f>
        <v/>
      </c>
      <c r="OQ17">
        <f>$OQ$16+--($OP17)</f>
        <v/>
      </c>
      <c r="OR17">
        <f>IF(ROW()-3&gt;MAX($OQ$4:$OQ$40),"",INDEX($DU$4:$DU$40,MATCH(ROW()-3,$OQ$4:$OQ$40,0)))</f>
        <v/>
      </c>
      <c r="OS17">
        <f>IF(COUNTIF('Buyer Groups'!DG17:EC17,0)+COUNTIF('Buyer Groups'!EE17:EN17,0)&gt;0,0,1)</f>
        <v/>
      </c>
      <c r="OT17">
        <f>IF($DZ$17="",FALSE,SUMPRODUCT(('Final Calculation Sheet'!$X$4:$X$40=$DZ$17)*($OS$6:$OS$42=1))&gt;0)</f>
        <v/>
      </c>
      <c r="OU17">
        <f>$OU$16+--($OT17)</f>
        <v/>
      </c>
      <c r="OV17">
        <f>IF(ROW()-3&gt;MAX($OU$4:$OU$40),"",INDEX($DZ$4:$DZ$40,MATCH(ROW()-3,$OU$4:$OU$40,0)))</f>
        <v/>
      </c>
      <c r="OW17">
        <f>IF(COUNTIF('Buyer Groups'!DG17:ED17,0)+COUNTIF('Buyer Groups'!EF17:EN17,0)&gt;0,0,1)</f>
        <v/>
      </c>
      <c r="OX17">
        <f>IF($EE$17="",FALSE,SUMPRODUCT(('Final Calculation Sheet'!$Y$4:$Y$40=$EE$17)*($OW$6:$OW$42=1))&gt;0)</f>
        <v/>
      </c>
      <c r="OY17">
        <f>$OY$16+--($OX17)</f>
        <v/>
      </c>
      <c r="OZ17">
        <f>IF(ROW()-3&gt;MAX($OY$4:$OY$40),"",INDEX($EE$4:$EE$40,MATCH(ROW()-3,$OY$4:$OY$40,0)))</f>
        <v/>
      </c>
      <c r="PA17">
        <f>IF(COUNTIF('Buyer Groups'!DG17:EE17,0)+COUNTIF('Buyer Groups'!EG17:EN17,0)&gt;0,0,1)</f>
        <v/>
      </c>
      <c r="PB17">
        <f>IF($EJ$17="",FALSE,SUMPRODUCT(('Final Calculation Sheet'!$Z$4:$Z$40=$EJ$17)*($PA$6:$PA$42=1))&gt;0)</f>
        <v/>
      </c>
      <c r="PC17">
        <f>$PC$16+--($PB17)</f>
        <v/>
      </c>
      <c r="PD17">
        <f>IF(ROW()-3&gt;MAX($PC$4:$PC$40),"",INDEX($EJ$4:$EJ$40,MATCH(ROW()-3,$PC$4:$PC$40,0)))</f>
        <v/>
      </c>
      <c r="PE17">
        <f>IF(COUNTIF('Buyer Groups'!DG17:EF17,0)+COUNTIF('Buyer Groups'!EH17:EN17,0)&gt;0,0,1)</f>
        <v/>
      </c>
      <c r="PF17">
        <f>IF($EO$17="",FALSE,SUMPRODUCT(('Final Calculation Sheet'!$AA$4:$AA$40=$EO$17)*($PE$6:$PE$42=1))&gt;0)</f>
        <v/>
      </c>
      <c r="PG17">
        <f>$PG$16+--($PF17)</f>
        <v/>
      </c>
      <c r="PH17">
        <f>IF(ROW()-3&gt;MAX($PG$4:$PG$40),"",INDEX($EO$4:$EO$40,MATCH(ROW()-3,$PG$4:$PG$40,0)))</f>
        <v/>
      </c>
      <c r="PI17">
        <f>IF(COUNTIF('Buyer Groups'!DG17:EG17,0)+COUNTIF('Buyer Groups'!EI17:EN17,0)&gt;0,0,1)</f>
        <v/>
      </c>
      <c r="PJ17">
        <f>IF($ET$17="",FALSE,SUMPRODUCT(('Final Calculation Sheet'!$AB$4:$AB$40=$ET$17)*($PI$6:$PI$42=1))&gt;0)</f>
        <v/>
      </c>
      <c r="PK17">
        <f>$PK$16+--($PJ17)</f>
        <v/>
      </c>
      <c r="PL17">
        <f>IF(ROW()-3&gt;MAX($PK$4:$PK$40),"",INDEX($ET$4:$ET$40,MATCH(ROW()-3,$PK$4:$PK$40,0)))</f>
        <v/>
      </c>
      <c r="PM17">
        <f>IF(COUNTIF('Buyer Groups'!DG17:EH17,0)+COUNTIF('Buyer Groups'!EJ17:EN17,0)&gt;0,0,1)</f>
        <v/>
      </c>
      <c r="PN17">
        <f>IF($EY$17="",FALSE,SUMPRODUCT(('Final Calculation Sheet'!$AC$4:$AC$40=$EY$17)*($PM$6:$PM$42=1))&gt;0)</f>
        <v/>
      </c>
      <c r="PO17">
        <f>$PO$16+--($PN17)</f>
        <v/>
      </c>
      <c r="PP17">
        <f>IF(ROW()-3&gt;MAX($PO$4:$PO$40),"",INDEX($EY$4:$EY$40,MATCH(ROW()-3,$PO$4:$PO$40,0)))</f>
        <v/>
      </c>
      <c r="PQ17">
        <f>IF(COUNTIF('Buyer Groups'!DG17:EI17,0)+COUNTIF('Buyer Groups'!EK17:EN17,0)&gt;0,0,1)</f>
        <v/>
      </c>
      <c r="PR17">
        <f>IF($FD$17="",FALSE,SUMPRODUCT(('Final Calculation Sheet'!$AD$4:$AD$40=$FD$17)*($PQ$6:$PQ$42=1))&gt;0)</f>
        <v/>
      </c>
      <c r="PS17">
        <f>$PS$16+--($PR17)</f>
        <v/>
      </c>
      <c r="PT17">
        <f>IF(ROW()-3&gt;MAX($PS$4:$PS$40),"",INDEX($FD$4:$FD$40,MATCH(ROW()-3,$PS$4:$PS$40,0)))</f>
        <v/>
      </c>
      <c r="PU17">
        <f>IF(COUNTIF('Buyer Groups'!DG17:EJ17,0)+COUNTIF('Buyer Groups'!EL17:EN17,0)&gt;0,0,1)</f>
        <v/>
      </c>
      <c r="PV17">
        <f>IF($FX$17="",FALSE,SUMPRODUCT((IF('Final Calculation Sheet'!$AD$4:$AD$40&lt;=5,"SETTLED","OUTSTANDING")=$FX$17)*($PU$6:$PU$42=1))&gt;0)</f>
        <v/>
      </c>
      <c r="PW17">
        <f>$PW$16+--($PV17)</f>
        <v/>
      </c>
      <c r="PX17">
        <f>IF(ROW()-3&gt;MAX($PW$4:$PW$40),"",INDEX($FX$4:$FX$40,MATCH(ROW()-3,$PW$4:$PW$40,0)))</f>
        <v/>
      </c>
      <c r="PY17">
        <f>IF(COUNTIF('Buyer Groups'!DG17:EK17,0)+COUNTIF('Buyer Groups'!EM17:EN17,0)&gt;0,0,1)</f>
        <v/>
      </c>
      <c r="PZ17">
        <f>IF($FI$17="",FALSE,SUMPRODUCT(('Final Calculation Sheet'!$AF$4:$AF$40=$FI$17)*($PY$6:$PY$42=1))&gt;0)</f>
        <v/>
      </c>
      <c r="QA17">
        <f>$QA$16+--($PZ17)</f>
        <v/>
      </c>
      <c r="QB17">
        <f>IF(ROW()-3&gt;MAX($QA$4:$QA$40),"",INDEX($FI$4:$FI$40,MATCH(ROW()-3,$QA$4:$QA$40,0)))</f>
        <v/>
      </c>
      <c r="QC17">
        <f>IF(COUNTIF('Buyer Groups'!DG17:EL17,0)+COUNTIF('Buyer Groups'!EN17:EN17,0)&gt;0,0,1)</f>
        <v/>
      </c>
      <c r="QD17">
        <f>IF($FN$17="",FALSE,SUMPRODUCT(('Final Calculation Sheet'!$AG$4:$AG$40=$FN$17)*($QC$6:$QC$42=1))&gt;0)</f>
        <v/>
      </c>
      <c r="QE17">
        <f>$QE$16+--($QD17)</f>
        <v/>
      </c>
      <c r="QF17">
        <f>IF(ROW()-3&gt;MAX($QE$4:$QE$40),"",INDEX($FN$4:$FN$40,MATCH(ROW()-3,$QE$4:$QE$40,0)))</f>
        <v/>
      </c>
      <c r="QG17">
        <f>IF(COUNTIF('Buyer Groups'!DG17:EM17,0)&gt;0,0,1)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Groups'!DH18:EN18,0)&gt;0,0,1)</f>
        <v/>
      </c>
      <c r="LF18">
        <f>IF($O$18="",FALSE,SUMPRODUCT(('Final Calculation Sheet'!$F$4:$F$40=$O$18)*($LE$6:$LE$42=1))&gt;0)</f>
        <v/>
      </c>
      <c r="LG18">
        <f>$LG$17+--($LF18)</f>
        <v/>
      </c>
      <c r="LH18">
        <f>IF(ROW()-3&gt;MAX($LG$4:$LG$40),"",INDEX($O$4:$O$40,MATCH(ROW()-3,$LG$4:$LG$40,0)))</f>
        <v/>
      </c>
      <c r="LI18">
        <f>IF(COUNTIF('Buyer Groups'!DG18:DG18,0)+COUNTIF('Buyer Groups'!DI18:EN18,0)&gt;0,0,1)</f>
        <v/>
      </c>
      <c r="LJ18">
        <f>IF($T$18="",FALSE,SUMPRODUCT(('Final Calculation Sheet'!$G$4:$G$40=$T$18)*($LI$6:$LI$42=1))&gt;0)</f>
        <v/>
      </c>
      <c r="LK18">
        <f>$LK$17+--($LJ18)</f>
        <v/>
      </c>
      <c r="LL18">
        <f>IF(ROW()-3&gt;MAX($LK$4:$LK$40),"",INDEX($T$4:$T$40,MATCH(ROW()-3,$LK$4:$LK$40,0)))</f>
        <v/>
      </c>
      <c r="LM18">
        <f>IF(COUNTIF('Buyer Groups'!DG18:DH18,0)+COUNTIF('Buyer Groups'!DJ18:EN18,0)&gt;0,0,1)</f>
        <v/>
      </c>
      <c r="LN18">
        <f>IF($Y$18="",FALSE,SUMPRODUCT(('Final Calculation Sheet'!$B$4:$B$40=$Y$18)*($LM$6:$LM$42=1))&gt;0)</f>
        <v/>
      </c>
      <c r="LO18">
        <f>$LO$17+--($LN18)</f>
        <v/>
      </c>
      <c r="LP18">
        <f>IF(ROW()-3&gt;MAX($LO$4:$LO$40),"",INDEX($Y$4:$Y$40,MATCH(ROW()-3,$LO$4:$LO$40,0)))</f>
        <v/>
      </c>
      <c r="LQ18">
        <f>IF(COUNTIF('Buyer Groups'!DG18:DI18,0)+COUNTIF('Buyer Groups'!DK18:EN18,0)&gt;0,0,1)</f>
        <v/>
      </c>
      <c r="LR18">
        <f>IF($AD$18="",FALSE,SUMPRODUCT(('Final Calculation Sheet'!$D$4:$D$40=$AD$18)*($LQ$6:$LQ$42=1))&gt;0)</f>
        <v/>
      </c>
      <c r="LS18">
        <f>$LS$17+--($LR18)</f>
        <v/>
      </c>
      <c r="LT18">
        <f>IF(ROW()-3&gt;MAX($LS$4:$LS$40),"",INDEX($AD$4:$AD$40,MATCH(ROW()-3,$LS$4:$LS$40,0)))</f>
        <v/>
      </c>
      <c r="LU18">
        <f>IF(COUNTIF('Buyer Groups'!DG18:DJ18,0)+COUNTIF('Buyer Groups'!DL18:EN18,0)&gt;0,0,1)</f>
        <v/>
      </c>
      <c r="LV18">
        <f>IF($AI$18="",FALSE,SUMPRODUCT(('Final Calculation Sheet'!$A$4:$A$40=$AI$18)*($LU$6:$LU$42=1))&gt;0)</f>
        <v/>
      </c>
      <c r="LW18">
        <f>$LW$17+--($LV18)</f>
        <v/>
      </c>
      <c r="LX18">
        <f>IF(ROW()-3&gt;MAX($LW$4:$LW$40),"",INDEX($AI$4:$AI$40,MATCH(ROW()-3,$LW$4:$LW$40,0)))</f>
        <v/>
      </c>
      <c r="LY18">
        <f>IF(COUNTIF('Buyer Groups'!DG18:DK18,0)+COUNTIF('Buyer Groups'!DM18:EN18,0)&gt;0,0,1)</f>
        <v/>
      </c>
      <c r="LZ18">
        <f>IF($AN$18="",FALSE,SUMPRODUCT(('Final Calculation Sheet'!$E$4:$E$40=$AN$18)*($LY$6:$LY$42=1))&gt;0)</f>
        <v/>
      </c>
      <c r="MA18">
        <f>$MA$17+--($LZ18)</f>
        <v/>
      </c>
      <c r="MB18">
        <f>IF(ROW()-3&gt;MAX($MA$4:$MA$40),"",INDEX($AN$4:$AN$40,MATCH(ROW()-3,$MA$4:$MA$40,0)))</f>
        <v/>
      </c>
      <c r="MC18">
        <f>IF(COUNTIF('Buyer Groups'!DG18:DL18,0)+COUNTIF('Buyer Groups'!DN18:EN18,0)&gt;0,0,1)</f>
        <v/>
      </c>
      <c r="MD18">
        <f>IF($AS$18="",FALSE,SUMPRODUCT(('Final Calculation Sheet'!$C$4:$C$40=$AS$18)*($MC$6:$MC$42=1))&gt;0)</f>
        <v/>
      </c>
      <c r="ME18">
        <f>$ME$17+--($MD18)</f>
        <v/>
      </c>
      <c r="MF18">
        <f>IF(ROW()-3&gt;MAX($ME$4:$ME$40),"",INDEX($AS$4:$AS$40,MATCH(ROW()-3,$ME$4:$ME$40,0)))</f>
        <v/>
      </c>
      <c r="MG18">
        <f>IF(COUNTIF('Buyer Groups'!DG18:DM18,0)+COUNTIF('Buyer Groups'!DO18:EN18,0)&gt;0,0,1)</f>
        <v/>
      </c>
      <c r="MH18">
        <f>IF($AX$18="",FALSE,SUMPRODUCT(('Final Calculation Sheet'!$H$4:$H$40=$AX$18)*($MG$6:$MG$42=1))&gt;0)</f>
        <v/>
      </c>
      <c r="MI18">
        <f>$MI$17+--($MH18)</f>
        <v/>
      </c>
      <c r="MJ18">
        <f>IF(ROW()-3&gt;MAX($MI$4:$MI$40),"",INDEX($AX$4:$AX$40,MATCH(ROW()-3,$MI$4:$MI$40,0)))</f>
        <v/>
      </c>
      <c r="MK18">
        <f>IF(COUNTIF('Buyer Groups'!DG18:DN18,0)+COUNTIF('Buyer Groups'!DP18:EN18,0)&gt;0,0,1)</f>
        <v/>
      </c>
      <c r="ML18">
        <f>IF($BC$18="",FALSE,SUMPRODUCT(('Final Calculation Sheet'!$I$4:$I$40=$BC$18)*($MK$6:$MK$42=1))&gt;0)</f>
        <v/>
      </c>
      <c r="MM18">
        <f>$MM$17+--($ML18)</f>
        <v/>
      </c>
      <c r="MN18">
        <f>IF(ROW()-3&gt;MAX($MM$4:$MM$40),"",INDEX($BC$4:$BC$40,MATCH(ROW()-3,$MM$4:$MM$40,0)))</f>
        <v/>
      </c>
      <c r="MO18">
        <f>IF(COUNTIF('Buyer Groups'!DG18:DO18,0)+COUNTIF('Buyer Groups'!DQ18:EN18,0)&gt;0,0,1)</f>
        <v/>
      </c>
      <c r="MP18">
        <f>IF($BH$18="",FALSE,SUMPRODUCT(('Final Calculation Sheet'!$J$4:$J$40=$BH$18)*($MO$6:$MO$42=1))&gt;0)</f>
        <v/>
      </c>
      <c r="MQ18">
        <f>$MQ$17+--($MP18)</f>
        <v/>
      </c>
      <c r="MR18">
        <f>IF(ROW()-3&gt;MAX($MQ$4:$MQ$40),"",INDEX($BH$4:$BH$40,MATCH(ROW()-3,$MQ$4:$MQ$40,0)))</f>
        <v/>
      </c>
      <c r="MS18">
        <f>IF(COUNTIF('Buyer Groups'!DG18:DP18,0)+COUNTIF('Buyer Groups'!DR18:EN18,0)&gt;0,0,1)</f>
        <v/>
      </c>
      <c r="MT18">
        <f>IF($BM$18="",FALSE,SUMPRODUCT(('Final Calculation Sheet'!$K$4:$K$40=$BM$18)*($MS$6:$MS$42=1))&gt;0)</f>
        <v/>
      </c>
      <c r="MU18">
        <f>$MU$17+--($MT18)</f>
        <v/>
      </c>
      <c r="MV18">
        <f>IF(ROW()-3&gt;MAX($MU$4:$MU$40),"",INDEX($BM$4:$BM$40,MATCH(ROW()-3,$MU$4:$MU$40,0)))</f>
        <v/>
      </c>
      <c r="MW18">
        <f>IF(COUNTIF('Buyer Groups'!DG18:DQ18,0)+COUNTIF('Buyer Groups'!DS18:EN18,0)&gt;0,0,1)</f>
        <v/>
      </c>
      <c r="MX18">
        <f>IF($BR$18="",FALSE,SUMPRODUCT(('Final Calculation Sheet'!$L$4:$L$40=$BR$18)*($MW$6:$MW$42=1))&gt;0)</f>
        <v/>
      </c>
      <c r="MY18">
        <f>$MY$17+--($MX18)</f>
        <v/>
      </c>
      <c r="MZ18">
        <f>IF(ROW()-3&gt;MAX($MY$4:$MY$40),"",INDEX($BR$4:$BR$40,MATCH(ROW()-3,$MY$4:$MY$40,0)))</f>
        <v/>
      </c>
      <c r="NA18">
        <f>IF(COUNTIF('Buyer Groups'!DG18:DR18,0)+COUNTIF('Buyer Groups'!DT18:EN18,0)&gt;0,0,1)</f>
        <v/>
      </c>
      <c r="NB18">
        <f>IF($BW$18="",FALSE,SUMPRODUCT(('Final Calculation Sheet'!$M$4:$M$40=$BW$18)*($NA$6:$NA$42=1))&gt;0)</f>
        <v/>
      </c>
      <c r="NC18">
        <f>$NC$17+--($NB18)</f>
        <v/>
      </c>
      <c r="ND18">
        <f>IF(ROW()-3&gt;MAX($NC$4:$NC$40),"",INDEX($BW$4:$BW$40,MATCH(ROW()-3,$NC$4:$NC$40,0)))</f>
        <v/>
      </c>
      <c r="NE18">
        <f>IF(COUNTIF('Buyer Groups'!DG18:DS18,0)+COUNTIF('Buyer Groups'!DU18:EN18,0)&gt;0,0,1)</f>
        <v/>
      </c>
      <c r="NF18">
        <f>IF($CB$18="",FALSE,SUMPRODUCT(('Final Calculation Sheet'!$N$4:$N$40=$CB$18)*($NE$6:$NE$42=1))&gt;0)</f>
        <v/>
      </c>
      <c r="NG18">
        <f>$NG$17+--($NF18)</f>
        <v/>
      </c>
      <c r="NH18">
        <f>IF(ROW()-3&gt;MAX($NG$4:$NG$40),"",INDEX($CB$4:$CB$40,MATCH(ROW()-3,$NG$4:$NG$40,0)))</f>
        <v/>
      </c>
      <c r="NI18">
        <f>IF(COUNTIF('Buyer Groups'!DG18:DT18,0)+COUNTIF('Buyer Groups'!DV18:EN18,0)&gt;0,0,1)</f>
        <v/>
      </c>
      <c r="NJ18">
        <f>IF($CG$18="",FALSE,SUMPRODUCT(('Final Calculation Sheet'!$O$4:$O$40=$CG$18)*($NI$6:$NI$42=1))&gt;0)</f>
        <v/>
      </c>
      <c r="NK18">
        <f>$NK$17+--($NJ18)</f>
        <v/>
      </c>
      <c r="NL18">
        <f>IF(ROW()-3&gt;MAX($NK$4:$NK$40),"",INDEX($CG$4:$CG$40,MATCH(ROW()-3,$NK$4:$NK$40,0)))</f>
        <v/>
      </c>
      <c r="NM18">
        <f>IF(COUNTIF('Buyer Groups'!DG18:DU18,0)+COUNTIF('Buyer Groups'!DW18:EN18,0)&gt;0,0,1)</f>
        <v/>
      </c>
      <c r="NN18">
        <f>IF($CL$18="",FALSE,SUMPRODUCT(('Final Calculation Sheet'!$P$4:$P$40=$CL$18)*($NM$6:$NM$42=1))&gt;0)</f>
        <v/>
      </c>
      <c r="NO18">
        <f>$NO$17+--($NN18)</f>
        <v/>
      </c>
      <c r="NP18">
        <f>IF(ROW()-3&gt;MAX($NO$4:$NO$40),"",INDEX($CL$4:$CL$40,MATCH(ROW()-3,$NO$4:$NO$40,0)))</f>
        <v/>
      </c>
      <c r="NQ18">
        <f>IF(COUNTIF('Buyer Groups'!DG18:DV18,0)+COUNTIF('Buyer Groups'!DX18:EN18,0)&gt;0,0,1)</f>
        <v/>
      </c>
      <c r="NR18">
        <f>IF($CQ$18="",FALSE,SUMPRODUCT(('Final Calculation Sheet'!$Q$4:$Q$40=$CQ$18)*($NQ$6:$NQ$42=1))&gt;0)</f>
        <v/>
      </c>
      <c r="NS18">
        <f>$NS$17+--($NR18)</f>
        <v/>
      </c>
      <c r="NT18">
        <f>IF(ROW()-3&gt;MAX($NS$4:$NS$40),"",INDEX($CQ$4:$CQ$40,MATCH(ROW()-3,$NS$4:$NS$40,0)))</f>
        <v/>
      </c>
      <c r="NU18">
        <f>IF(COUNTIF('Buyer Groups'!DG18:DW18,0)+COUNTIF('Buyer Groups'!DY18:EN18,0)&gt;0,0,1)</f>
        <v/>
      </c>
      <c r="NV18">
        <f>IF($CV$18="",FALSE,SUMPRODUCT(('Final Calculation Sheet'!$R$4:$R$40=$CV$18)*($NU$6:$NU$42=1))&gt;0)</f>
        <v/>
      </c>
      <c r="NW18">
        <f>$NW$17+--($NV18)</f>
        <v/>
      </c>
      <c r="NX18">
        <f>IF(ROW()-3&gt;MAX($NW$4:$NW$40),"",INDEX($CV$4:$CV$40,MATCH(ROW()-3,$NW$4:$NW$40,0)))</f>
        <v/>
      </c>
      <c r="NY18">
        <f>IF(COUNTIF('Buyer Groups'!DG18:DX18,0)+COUNTIF('Buyer Groups'!DZ18:EN18,0)&gt;0,0,1)</f>
        <v/>
      </c>
      <c r="NZ18">
        <f>IF($DA$18="",FALSE,SUMPRODUCT(('Final Calculation Sheet'!$S$4:$S$40=$DA$18)*($NY$6:$NY$42=1))&gt;0)</f>
        <v/>
      </c>
      <c r="OA18">
        <f>$OA$17+--($NZ18)</f>
        <v/>
      </c>
      <c r="OB18">
        <f>IF(ROW()-3&gt;MAX($OA$4:$OA$40),"",INDEX($DA$4:$DA$40,MATCH(ROW()-3,$OA$4:$OA$40,0)))</f>
        <v/>
      </c>
      <c r="OC18">
        <f>IF(COUNTIF('Buyer Groups'!DG18:DY18,0)+COUNTIF('Buyer Groups'!EA18:EN18,0)&gt;0,0,1)</f>
        <v/>
      </c>
      <c r="OD18">
        <f>IF($DF$18="",FALSE,SUMPRODUCT(('Final Calculation Sheet'!$T$4:$T$40=$DF$18)*($OC$6:$OC$42=1))&gt;0)</f>
        <v/>
      </c>
      <c r="OE18">
        <f>$OE$17+--($OD18)</f>
        <v/>
      </c>
      <c r="OF18">
        <f>IF(ROW()-3&gt;MAX($OE$4:$OE$40),"",INDEX($DF$4:$DF$40,MATCH(ROW()-3,$OE$4:$OE$40,0)))</f>
        <v/>
      </c>
      <c r="OG18">
        <f>IF(COUNTIF('Buyer Groups'!DG18:DZ18,0)+COUNTIF('Buyer Groups'!EB18:EN18,0)&gt;0,0,1)</f>
        <v/>
      </c>
      <c r="OH18">
        <f>IF($DK$18="",FALSE,SUMPRODUCT(('Final Calculation Sheet'!$U$4:$U$40=$DK$18)*($OG$6:$OG$42=1))&gt;0)</f>
        <v/>
      </c>
      <c r="OI18">
        <f>$OI$17+--($OH18)</f>
        <v/>
      </c>
      <c r="OJ18">
        <f>IF(ROW()-3&gt;MAX($OI$4:$OI$40),"",INDEX($DK$4:$DK$40,MATCH(ROW()-3,$OI$4:$OI$40,0)))</f>
        <v/>
      </c>
      <c r="OK18">
        <f>IF(COUNTIF('Buyer Groups'!DG18:EA18,0)+COUNTIF('Buyer Groups'!EC18:EN18,0)&gt;0,0,1)</f>
        <v/>
      </c>
      <c r="OL18">
        <f>IF($DP$18="",FALSE,SUMPRODUCT(('Final Calculation Sheet'!$V$4:$V$40=$DP$18)*($OK$6:$OK$42=1))&gt;0)</f>
        <v/>
      </c>
      <c r="OM18">
        <f>$OM$17+--($OL18)</f>
        <v/>
      </c>
      <c r="ON18">
        <f>IF(ROW()-3&gt;MAX($OM$4:$OM$40),"",INDEX($DP$4:$DP$40,MATCH(ROW()-3,$OM$4:$OM$40,0)))</f>
        <v/>
      </c>
      <c r="OO18">
        <f>IF(COUNTIF('Buyer Groups'!DG18:EB18,0)+COUNTIF('Buyer Groups'!ED18:EN18,0)&gt;0,0,1)</f>
        <v/>
      </c>
      <c r="OP18">
        <f>IF($DU$18="",FALSE,SUMPRODUCT(('Final Calculation Sheet'!$W$4:$W$40=$DU$18)*($OO$6:$OO$42=1))&gt;0)</f>
        <v/>
      </c>
      <c r="OQ18">
        <f>$OQ$17+--($OP18)</f>
        <v/>
      </c>
      <c r="OR18">
        <f>IF(ROW()-3&gt;MAX($OQ$4:$OQ$40),"",INDEX($DU$4:$DU$40,MATCH(ROW()-3,$OQ$4:$OQ$40,0)))</f>
        <v/>
      </c>
      <c r="OS18">
        <f>IF(COUNTIF('Buyer Groups'!DG18:EC18,0)+COUNTIF('Buyer Groups'!EE18:EN18,0)&gt;0,0,1)</f>
        <v/>
      </c>
      <c r="OT18">
        <f>IF($DZ$18="",FALSE,SUMPRODUCT(('Final Calculation Sheet'!$X$4:$X$40=$DZ$18)*($OS$6:$OS$42=1))&gt;0)</f>
        <v/>
      </c>
      <c r="OU18">
        <f>$OU$17+--($OT18)</f>
        <v/>
      </c>
      <c r="OV18">
        <f>IF(ROW()-3&gt;MAX($OU$4:$OU$40),"",INDEX($DZ$4:$DZ$40,MATCH(ROW()-3,$OU$4:$OU$40,0)))</f>
        <v/>
      </c>
      <c r="OW18">
        <f>IF(COUNTIF('Buyer Groups'!DG18:ED18,0)+COUNTIF('Buyer Groups'!EF18:EN18,0)&gt;0,0,1)</f>
        <v/>
      </c>
      <c r="OX18">
        <f>IF($EE$18="",FALSE,SUMPRODUCT(('Final Calculation Sheet'!$Y$4:$Y$40=$EE$18)*($OW$6:$OW$42=1))&gt;0)</f>
        <v/>
      </c>
      <c r="OY18">
        <f>$OY$17+--($OX18)</f>
        <v/>
      </c>
      <c r="OZ18">
        <f>IF(ROW()-3&gt;MAX($OY$4:$OY$40),"",INDEX($EE$4:$EE$40,MATCH(ROW()-3,$OY$4:$OY$40,0)))</f>
        <v/>
      </c>
      <c r="PA18">
        <f>IF(COUNTIF('Buyer Groups'!DG18:EE18,0)+COUNTIF('Buyer Groups'!EG18:EN18,0)&gt;0,0,1)</f>
        <v/>
      </c>
      <c r="PB18">
        <f>IF($EJ$18="",FALSE,SUMPRODUCT(('Final Calculation Sheet'!$Z$4:$Z$40=$EJ$18)*($PA$6:$PA$42=1))&gt;0)</f>
        <v/>
      </c>
      <c r="PC18">
        <f>$PC$17+--($PB18)</f>
        <v/>
      </c>
      <c r="PD18">
        <f>IF(ROW()-3&gt;MAX($PC$4:$PC$40),"",INDEX($EJ$4:$EJ$40,MATCH(ROW()-3,$PC$4:$PC$40,0)))</f>
        <v/>
      </c>
      <c r="PE18">
        <f>IF(COUNTIF('Buyer Groups'!DG18:EF18,0)+COUNTIF('Buyer Groups'!EH18:EN18,0)&gt;0,0,1)</f>
        <v/>
      </c>
      <c r="PF18">
        <f>IF($EO$18="",FALSE,SUMPRODUCT(('Final Calculation Sheet'!$AA$4:$AA$40=$EO$18)*($PE$6:$PE$42=1))&gt;0)</f>
        <v/>
      </c>
      <c r="PG18">
        <f>$PG$17+--($PF18)</f>
        <v/>
      </c>
      <c r="PH18">
        <f>IF(ROW()-3&gt;MAX($PG$4:$PG$40),"",INDEX($EO$4:$EO$40,MATCH(ROW()-3,$PG$4:$PG$40,0)))</f>
        <v/>
      </c>
      <c r="PI18">
        <f>IF(COUNTIF('Buyer Groups'!DG18:EG18,0)+COUNTIF('Buyer Groups'!EI18:EN18,0)&gt;0,0,1)</f>
        <v/>
      </c>
      <c r="PJ18">
        <f>IF($ET$18="",FALSE,SUMPRODUCT(('Final Calculation Sheet'!$AB$4:$AB$40=$ET$18)*($PI$6:$PI$42=1))&gt;0)</f>
        <v/>
      </c>
      <c r="PK18">
        <f>$PK$17+--($PJ18)</f>
        <v/>
      </c>
      <c r="PL18">
        <f>IF(ROW()-3&gt;MAX($PK$4:$PK$40),"",INDEX($ET$4:$ET$40,MATCH(ROW()-3,$PK$4:$PK$40,0)))</f>
        <v/>
      </c>
      <c r="PM18">
        <f>IF(COUNTIF('Buyer Groups'!DG18:EH18,0)+COUNTIF('Buyer Groups'!EJ18:EN18,0)&gt;0,0,1)</f>
        <v/>
      </c>
      <c r="PN18">
        <f>IF($EY$18="",FALSE,SUMPRODUCT(('Final Calculation Sheet'!$AC$4:$AC$40=$EY$18)*($PM$6:$PM$42=1))&gt;0)</f>
        <v/>
      </c>
      <c r="PO18">
        <f>$PO$17+--($PN18)</f>
        <v/>
      </c>
      <c r="PP18">
        <f>IF(ROW()-3&gt;MAX($PO$4:$PO$40),"",INDEX($EY$4:$EY$40,MATCH(ROW()-3,$PO$4:$PO$40,0)))</f>
        <v/>
      </c>
      <c r="PQ18">
        <f>IF(COUNTIF('Buyer Groups'!DG18:EI18,0)+COUNTIF('Buyer Groups'!EK18:EN18,0)&gt;0,0,1)</f>
        <v/>
      </c>
      <c r="PR18">
        <f>IF($FD$18="",FALSE,SUMPRODUCT(('Final Calculation Sheet'!$AD$4:$AD$40=$FD$18)*($PQ$6:$PQ$42=1))&gt;0)</f>
        <v/>
      </c>
      <c r="PS18">
        <f>$PS$17+--($PR18)</f>
        <v/>
      </c>
      <c r="PT18">
        <f>IF(ROW()-3&gt;MAX($PS$4:$PS$40),"",INDEX($FD$4:$FD$40,MATCH(ROW()-3,$PS$4:$PS$40,0)))</f>
        <v/>
      </c>
      <c r="PU18">
        <f>IF(COUNTIF('Buyer Groups'!DG18:EJ18,0)+COUNTIF('Buyer Groups'!EL18:EN18,0)&gt;0,0,1)</f>
        <v/>
      </c>
      <c r="PV18">
        <f>IF($FX$18="",FALSE,SUMPRODUCT((IF('Final Calculation Sheet'!$AD$4:$AD$40&lt;=5,"SETTLED","OUTSTANDING")=$FX$18)*($PU$6:$PU$42=1))&gt;0)</f>
        <v/>
      </c>
      <c r="PW18">
        <f>$PW$17+--($PV18)</f>
        <v/>
      </c>
      <c r="PX18">
        <f>IF(ROW()-3&gt;MAX($PW$4:$PW$40),"",INDEX($FX$4:$FX$40,MATCH(ROW()-3,$PW$4:$PW$40,0)))</f>
        <v/>
      </c>
      <c r="PY18">
        <f>IF(COUNTIF('Buyer Groups'!DG18:EK18,0)+COUNTIF('Buyer Groups'!EM18:EN18,0)&gt;0,0,1)</f>
        <v/>
      </c>
      <c r="PZ18">
        <f>IF($FI$18="",FALSE,SUMPRODUCT(('Final Calculation Sheet'!$AF$4:$AF$40=$FI$18)*($PY$6:$PY$42=1))&gt;0)</f>
        <v/>
      </c>
      <c r="QA18">
        <f>$QA$17+--($PZ18)</f>
        <v/>
      </c>
      <c r="QB18">
        <f>IF(ROW()-3&gt;MAX($QA$4:$QA$40),"",INDEX($FI$4:$FI$40,MATCH(ROW()-3,$QA$4:$QA$40,0)))</f>
        <v/>
      </c>
      <c r="QC18">
        <f>IF(COUNTIF('Buyer Groups'!DG18:EL18,0)+COUNTIF('Buyer Groups'!EN18:EN18,0)&gt;0,0,1)</f>
        <v/>
      </c>
      <c r="QD18">
        <f>IF($FN$18="",FALSE,SUMPRODUCT(('Final Calculation Sheet'!$AG$4:$AG$40=$FN$18)*($QC$6:$QC$42=1))&gt;0)</f>
        <v/>
      </c>
      <c r="QE18">
        <f>$QE$17+--($QD18)</f>
        <v/>
      </c>
      <c r="QF18">
        <f>IF(ROW()-3&gt;MAX($QE$4:$QE$40),"",INDEX($FN$4:$FN$40,MATCH(ROW()-3,$QE$4:$QE$40,0)))</f>
        <v/>
      </c>
      <c r="QG18">
        <f>IF(COUNTIF('Buyer Groups'!DG18:EM18,0)&gt;0,0,1)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Groups'!DH19:EN19,0)&gt;0,0,1)</f>
        <v/>
      </c>
      <c r="LF19">
        <f>IF($O$19="",FALSE,SUMPRODUCT(('Final Calculation Sheet'!$F$4:$F$40=$O$19)*($LE$6:$LE$42=1))&gt;0)</f>
        <v/>
      </c>
      <c r="LG19">
        <f>$LG$18+--($LF19)</f>
        <v/>
      </c>
      <c r="LH19">
        <f>IF(ROW()-3&gt;MAX($LG$4:$LG$40),"",INDEX($O$4:$O$40,MATCH(ROW()-3,$LG$4:$LG$40,0)))</f>
        <v/>
      </c>
      <c r="LI19">
        <f>IF(COUNTIF('Buyer Groups'!DG19:DG19,0)+COUNTIF('Buyer Groups'!DI19:EN19,0)&gt;0,0,1)</f>
        <v/>
      </c>
      <c r="LJ19">
        <f>IF($T$19="",FALSE,SUMPRODUCT(('Final Calculation Sheet'!$G$4:$G$40=$T$19)*($LI$6:$LI$42=1))&gt;0)</f>
        <v/>
      </c>
      <c r="LK19">
        <f>$LK$18+--($LJ19)</f>
        <v/>
      </c>
      <c r="LL19">
        <f>IF(ROW()-3&gt;MAX($LK$4:$LK$40),"",INDEX($T$4:$T$40,MATCH(ROW()-3,$LK$4:$LK$40,0)))</f>
        <v/>
      </c>
      <c r="LM19">
        <f>IF(COUNTIF('Buyer Groups'!DG19:DH19,0)+COUNTIF('Buyer Groups'!DJ19:EN19,0)&gt;0,0,1)</f>
        <v/>
      </c>
      <c r="LN19">
        <f>IF($Y$19="",FALSE,SUMPRODUCT(('Final Calculation Sheet'!$B$4:$B$40=$Y$19)*($LM$6:$LM$42=1))&gt;0)</f>
        <v/>
      </c>
      <c r="LO19">
        <f>$LO$18+--($LN19)</f>
        <v/>
      </c>
      <c r="LP19">
        <f>IF(ROW()-3&gt;MAX($LO$4:$LO$40),"",INDEX($Y$4:$Y$40,MATCH(ROW()-3,$LO$4:$LO$40,0)))</f>
        <v/>
      </c>
      <c r="LQ19">
        <f>IF(COUNTIF('Buyer Groups'!DG19:DI19,0)+COUNTIF('Buyer Groups'!DK19:EN19,0)&gt;0,0,1)</f>
        <v/>
      </c>
      <c r="LR19">
        <f>IF($AD$19="",FALSE,SUMPRODUCT(('Final Calculation Sheet'!$D$4:$D$40=$AD$19)*($LQ$6:$LQ$42=1))&gt;0)</f>
        <v/>
      </c>
      <c r="LS19">
        <f>$LS$18+--($LR19)</f>
        <v/>
      </c>
      <c r="LT19">
        <f>IF(ROW()-3&gt;MAX($LS$4:$LS$40),"",INDEX($AD$4:$AD$40,MATCH(ROW()-3,$LS$4:$LS$40,0)))</f>
        <v/>
      </c>
      <c r="LU19">
        <f>IF(COUNTIF('Buyer Groups'!DG19:DJ19,0)+COUNTIF('Buyer Groups'!DL19:EN19,0)&gt;0,0,1)</f>
        <v/>
      </c>
      <c r="LV19">
        <f>IF($AI$19="",FALSE,SUMPRODUCT(('Final Calculation Sheet'!$A$4:$A$40=$AI$19)*($LU$6:$LU$42=1))&gt;0)</f>
        <v/>
      </c>
      <c r="LW19">
        <f>$LW$18+--($LV19)</f>
        <v/>
      </c>
      <c r="LX19">
        <f>IF(ROW()-3&gt;MAX($LW$4:$LW$40),"",INDEX($AI$4:$AI$40,MATCH(ROW()-3,$LW$4:$LW$40,0)))</f>
        <v/>
      </c>
      <c r="LY19">
        <f>IF(COUNTIF('Buyer Groups'!DG19:DK19,0)+COUNTIF('Buyer Groups'!DM19:EN19,0)&gt;0,0,1)</f>
        <v/>
      </c>
      <c r="LZ19">
        <f>IF($AN$19="",FALSE,SUMPRODUCT(('Final Calculation Sheet'!$E$4:$E$40=$AN$19)*($LY$6:$LY$42=1))&gt;0)</f>
        <v/>
      </c>
      <c r="MA19">
        <f>$MA$18+--($LZ19)</f>
        <v/>
      </c>
      <c r="MB19">
        <f>IF(ROW()-3&gt;MAX($MA$4:$MA$40),"",INDEX($AN$4:$AN$40,MATCH(ROW()-3,$MA$4:$MA$40,0)))</f>
        <v/>
      </c>
      <c r="MC19">
        <f>IF(COUNTIF('Buyer Groups'!DG19:DL19,0)+COUNTIF('Buyer Groups'!DN19:EN19,0)&gt;0,0,1)</f>
        <v/>
      </c>
      <c r="MD19">
        <f>IF($AS$19="",FALSE,SUMPRODUCT(('Final Calculation Sheet'!$C$4:$C$40=$AS$19)*($MC$6:$MC$42=1))&gt;0)</f>
        <v/>
      </c>
      <c r="ME19">
        <f>$ME$18+--($MD19)</f>
        <v/>
      </c>
      <c r="MF19">
        <f>IF(ROW()-3&gt;MAX($ME$4:$ME$40),"",INDEX($AS$4:$AS$40,MATCH(ROW()-3,$ME$4:$ME$40,0)))</f>
        <v/>
      </c>
      <c r="MG19">
        <f>IF(COUNTIF('Buyer Groups'!DG19:DM19,0)+COUNTIF('Buyer Groups'!DO19:EN19,0)&gt;0,0,1)</f>
        <v/>
      </c>
      <c r="MH19">
        <f>IF($AX$19="",FALSE,SUMPRODUCT(('Final Calculation Sheet'!$H$4:$H$40=$AX$19)*($MG$6:$MG$42=1))&gt;0)</f>
        <v/>
      </c>
      <c r="MI19">
        <f>$MI$18+--($MH19)</f>
        <v/>
      </c>
      <c r="MJ19">
        <f>IF(ROW()-3&gt;MAX($MI$4:$MI$40),"",INDEX($AX$4:$AX$40,MATCH(ROW()-3,$MI$4:$MI$40,0)))</f>
        <v/>
      </c>
      <c r="MK19">
        <f>IF(COUNTIF('Buyer Groups'!DG19:DN19,0)+COUNTIF('Buyer Groups'!DP19:EN19,0)&gt;0,0,1)</f>
        <v/>
      </c>
      <c r="ML19">
        <f>IF($BC$19="",FALSE,SUMPRODUCT(('Final Calculation Sheet'!$I$4:$I$40=$BC$19)*($MK$6:$MK$42=1))&gt;0)</f>
        <v/>
      </c>
      <c r="MM19">
        <f>$MM$18+--($ML19)</f>
        <v/>
      </c>
      <c r="MN19">
        <f>IF(ROW()-3&gt;MAX($MM$4:$MM$40),"",INDEX($BC$4:$BC$40,MATCH(ROW()-3,$MM$4:$MM$40,0)))</f>
        <v/>
      </c>
      <c r="MO19">
        <f>IF(COUNTIF('Buyer Groups'!DG19:DO19,0)+COUNTIF('Buyer Groups'!DQ19:EN19,0)&gt;0,0,1)</f>
        <v/>
      </c>
      <c r="MP19">
        <f>IF($BH$19="",FALSE,SUMPRODUCT(('Final Calculation Sheet'!$J$4:$J$40=$BH$19)*($MO$6:$MO$42=1))&gt;0)</f>
        <v/>
      </c>
      <c r="MQ19">
        <f>$MQ$18+--($MP19)</f>
        <v/>
      </c>
      <c r="MR19">
        <f>IF(ROW()-3&gt;MAX($MQ$4:$MQ$40),"",INDEX($BH$4:$BH$40,MATCH(ROW()-3,$MQ$4:$MQ$40,0)))</f>
        <v/>
      </c>
      <c r="MS19">
        <f>IF(COUNTIF('Buyer Groups'!DG19:DP19,0)+COUNTIF('Buyer Groups'!DR19:EN19,0)&gt;0,0,1)</f>
        <v/>
      </c>
      <c r="MT19">
        <f>IF($BM$19="",FALSE,SUMPRODUCT(('Final Calculation Sheet'!$K$4:$K$40=$BM$19)*($MS$6:$MS$42=1))&gt;0)</f>
        <v/>
      </c>
      <c r="MU19">
        <f>$MU$18+--($MT19)</f>
        <v/>
      </c>
      <c r="MV19">
        <f>IF(ROW()-3&gt;MAX($MU$4:$MU$40),"",INDEX($BM$4:$BM$40,MATCH(ROW()-3,$MU$4:$MU$40,0)))</f>
        <v/>
      </c>
      <c r="MW19">
        <f>IF(COUNTIF('Buyer Groups'!DG19:DQ19,0)+COUNTIF('Buyer Groups'!DS19:EN19,0)&gt;0,0,1)</f>
        <v/>
      </c>
      <c r="MX19">
        <f>IF($BR$19="",FALSE,SUMPRODUCT(('Final Calculation Sheet'!$L$4:$L$40=$BR$19)*($MW$6:$MW$42=1))&gt;0)</f>
        <v/>
      </c>
      <c r="MY19">
        <f>$MY$18+--($MX19)</f>
        <v/>
      </c>
      <c r="MZ19">
        <f>IF(ROW()-3&gt;MAX($MY$4:$MY$40),"",INDEX($BR$4:$BR$40,MATCH(ROW()-3,$MY$4:$MY$40,0)))</f>
        <v/>
      </c>
      <c r="NA19">
        <f>IF(COUNTIF('Buyer Groups'!DG19:DR19,0)+COUNTIF('Buyer Groups'!DT19:EN19,0)&gt;0,0,1)</f>
        <v/>
      </c>
      <c r="NB19">
        <f>IF($BW$19="",FALSE,SUMPRODUCT(('Final Calculation Sheet'!$M$4:$M$40=$BW$19)*($NA$6:$NA$42=1))&gt;0)</f>
        <v/>
      </c>
      <c r="NC19">
        <f>$NC$18+--($NB19)</f>
        <v/>
      </c>
      <c r="ND19">
        <f>IF(ROW()-3&gt;MAX($NC$4:$NC$40),"",INDEX($BW$4:$BW$40,MATCH(ROW()-3,$NC$4:$NC$40,0)))</f>
        <v/>
      </c>
      <c r="NE19">
        <f>IF(COUNTIF('Buyer Groups'!DG19:DS19,0)+COUNTIF('Buyer Groups'!DU19:EN19,0)&gt;0,0,1)</f>
        <v/>
      </c>
      <c r="NF19">
        <f>IF($CB$19="",FALSE,SUMPRODUCT(('Final Calculation Sheet'!$N$4:$N$40=$CB$19)*($NE$6:$NE$42=1))&gt;0)</f>
        <v/>
      </c>
      <c r="NG19">
        <f>$NG$18+--($NF19)</f>
        <v/>
      </c>
      <c r="NH19">
        <f>IF(ROW()-3&gt;MAX($NG$4:$NG$40),"",INDEX($CB$4:$CB$40,MATCH(ROW()-3,$NG$4:$NG$40,0)))</f>
        <v/>
      </c>
      <c r="NI19">
        <f>IF(COUNTIF('Buyer Groups'!DG19:DT19,0)+COUNTIF('Buyer Groups'!DV19:EN19,0)&gt;0,0,1)</f>
        <v/>
      </c>
      <c r="NJ19">
        <f>IF($CG$19="",FALSE,SUMPRODUCT(('Final Calculation Sheet'!$O$4:$O$40=$CG$19)*($NI$6:$NI$42=1))&gt;0)</f>
        <v/>
      </c>
      <c r="NK19">
        <f>$NK$18+--($NJ19)</f>
        <v/>
      </c>
      <c r="NL19">
        <f>IF(ROW()-3&gt;MAX($NK$4:$NK$40),"",INDEX($CG$4:$CG$40,MATCH(ROW()-3,$NK$4:$NK$40,0)))</f>
        <v/>
      </c>
      <c r="NM19">
        <f>IF(COUNTIF('Buyer Groups'!DG19:DU19,0)+COUNTIF('Buyer Groups'!DW19:EN19,0)&gt;0,0,1)</f>
        <v/>
      </c>
      <c r="NN19">
        <f>IF($CL$19="",FALSE,SUMPRODUCT(('Final Calculation Sheet'!$P$4:$P$40=$CL$19)*($NM$6:$NM$42=1))&gt;0)</f>
        <v/>
      </c>
      <c r="NO19">
        <f>$NO$18+--($NN19)</f>
        <v/>
      </c>
      <c r="NP19">
        <f>IF(ROW()-3&gt;MAX($NO$4:$NO$40),"",INDEX($CL$4:$CL$40,MATCH(ROW()-3,$NO$4:$NO$40,0)))</f>
        <v/>
      </c>
      <c r="NQ19">
        <f>IF(COUNTIF('Buyer Groups'!DG19:DV19,0)+COUNTIF('Buyer Groups'!DX19:EN19,0)&gt;0,0,1)</f>
        <v/>
      </c>
      <c r="NR19">
        <f>IF($CQ$19="",FALSE,SUMPRODUCT(('Final Calculation Sheet'!$Q$4:$Q$40=$CQ$19)*($NQ$6:$NQ$42=1))&gt;0)</f>
        <v/>
      </c>
      <c r="NS19">
        <f>$NS$18+--($NR19)</f>
        <v/>
      </c>
      <c r="NT19">
        <f>IF(ROW()-3&gt;MAX($NS$4:$NS$40),"",INDEX($CQ$4:$CQ$40,MATCH(ROW()-3,$NS$4:$NS$40,0)))</f>
        <v/>
      </c>
      <c r="NU19">
        <f>IF(COUNTIF('Buyer Groups'!DG19:DW19,0)+COUNTIF('Buyer Groups'!DY19:EN19,0)&gt;0,0,1)</f>
        <v/>
      </c>
      <c r="NV19">
        <f>IF($CV$19="",FALSE,SUMPRODUCT(('Final Calculation Sheet'!$R$4:$R$40=$CV$19)*($NU$6:$NU$42=1))&gt;0)</f>
        <v/>
      </c>
      <c r="NW19">
        <f>$NW$18+--($NV19)</f>
        <v/>
      </c>
      <c r="NX19">
        <f>IF(ROW()-3&gt;MAX($NW$4:$NW$40),"",INDEX($CV$4:$CV$40,MATCH(ROW()-3,$NW$4:$NW$40,0)))</f>
        <v/>
      </c>
      <c r="NY19">
        <f>IF(COUNTIF('Buyer Groups'!DG19:DX19,0)+COUNTIF('Buyer Groups'!DZ19:EN19,0)&gt;0,0,1)</f>
        <v/>
      </c>
      <c r="NZ19">
        <f>IF($DA$19="",FALSE,SUMPRODUCT(('Final Calculation Sheet'!$S$4:$S$40=$DA$19)*($NY$6:$NY$42=1))&gt;0)</f>
        <v/>
      </c>
      <c r="OA19">
        <f>$OA$18+--($NZ19)</f>
        <v/>
      </c>
      <c r="OB19">
        <f>IF(ROW()-3&gt;MAX($OA$4:$OA$40),"",INDEX($DA$4:$DA$40,MATCH(ROW()-3,$OA$4:$OA$40,0)))</f>
        <v/>
      </c>
      <c r="OC19">
        <f>IF(COUNTIF('Buyer Groups'!DG19:DY19,0)+COUNTIF('Buyer Groups'!EA19:EN19,0)&gt;0,0,1)</f>
        <v/>
      </c>
      <c r="OD19">
        <f>IF($DF$19="",FALSE,SUMPRODUCT(('Final Calculation Sheet'!$T$4:$T$40=$DF$19)*($OC$6:$OC$42=1))&gt;0)</f>
        <v/>
      </c>
      <c r="OE19">
        <f>$OE$18+--($OD19)</f>
        <v/>
      </c>
      <c r="OF19">
        <f>IF(ROW()-3&gt;MAX($OE$4:$OE$40),"",INDEX($DF$4:$DF$40,MATCH(ROW()-3,$OE$4:$OE$40,0)))</f>
        <v/>
      </c>
      <c r="OG19">
        <f>IF(COUNTIF('Buyer Groups'!DG19:DZ19,0)+COUNTIF('Buyer Groups'!EB19:EN19,0)&gt;0,0,1)</f>
        <v/>
      </c>
      <c r="OH19">
        <f>IF($DK$19="",FALSE,SUMPRODUCT(('Final Calculation Sheet'!$U$4:$U$40=$DK$19)*($OG$6:$OG$42=1))&gt;0)</f>
        <v/>
      </c>
      <c r="OI19">
        <f>$OI$18+--($OH19)</f>
        <v/>
      </c>
      <c r="OJ19">
        <f>IF(ROW()-3&gt;MAX($OI$4:$OI$40),"",INDEX($DK$4:$DK$40,MATCH(ROW()-3,$OI$4:$OI$40,0)))</f>
        <v/>
      </c>
      <c r="OK19">
        <f>IF(COUNTIF('Buyer Groups'!DG19:EA19,0)+COUNTIF('Buyer Groups'!EC19:EN19,0)&gt;0,0,1)</f>
        <v/>
      </c>
      <c r="OL19">
        <f>IF($DP$19="",FALSE,SUMPRODUCT(('Final Calculation Sheet'!$V$4:$V$40=$DP$19)*($OK$6:$OK$42=1))&gt;0)</f>
        <v/>
      </c>
      <c r="OM19">
        <f>$OM$18+--($OL19)</f>
        <v/>
      </c>
      <c r="ON19">
        <f>IF(ROW()-3&gt;MAX($OM$4:$OM$40),"",INDEX($DP$4:$DP$40,MATCH(ROW()-3,$OM$4:$OM$40,0)))</f>
        <v/>
      </c>
      <c r="OO19">
        <f>IF(COUNTIF('Buyer Groups'!DG19:EB19,0)+COUNTIF('Buyer Groups'!ED19:EN19,0)&gt;0,0,1)</f>
        <v/>
      </c>
      <c r="OP19">
        <f>IF($DU$19="",FALSE,SUMPRODUCT(('Final Calculation Sheet'!$W$4:$W$40=$DU$19)*($OO$6:$OO$42=1))&gt;0)</f>
        <v/>
      </c>
      <c r="OQ19">
        <f>$OQ$18+--($OP19)</f>
        <v/>
      </c>
      <c r="OR19">
        <f>IF(ROW()-3&gt;MAX($OQ$4:$OQ$40),"",INDEX($DU$4:$DU$40,MATCH(ROW()-3,$OQ$4:$OQ$40,0)))</f>
        <v/>
      </c>
      <c r="OS19">
        <f>IF(COUNTIF('Buyer Groups'!DG19:EC19,0)+COUNTIF('Buyer Groups'!EE19:EN19,0)&gt;0,0,1)</f>
        <v/>
      </c>
      <c r="OT19">
        <f>IF($DZ$19="",FALSE,SUMPRODUCT(('Final Calculation Sheet'!$X$4:$X$40=$DZ$19)*($OS$6:$OS$42=1))&gt;0)</f>
        <v/>
      </c>
      <c r="OU19">
        <f>$OU$18+--($OT19)</f>
        <v/>
      </c>
      <c r="OV19">
        <f>IF(ROW()-3&gt;MAX($OU$4:$OU$40),"",INDEX($DZ$4:$DZ$40,MATCH(ROW()-3,$OU$4:$OU$40,0)))</f>
        <v/>
      </c>
      <c r="OW19">
        <f>IF(COUNTIF('Buyer Groups'!DG19:ED19,0)+COUNTIF('Buyer Groups'!EF19:EN19,0)&gt;0,0,1)</f>
        <v/>
      </c>
      <c r="OX19">
        <f>IF($EE$19="",FALSE,SUMPRODUCT(('Final Calculation Sheet'!$Y$4:$Y$40=$EE$19)*($OW$6:$OW$42=1))&gt;0)</f>
        <v/>
      </c>
      <c r="OY19">
        <f>$OY$18+--($OX19)</f>
        <v/>
      </c>
      <c r="OZ19">
        <f>IF(ROW()-3&gt;MAX($OY$4:$OY$40),"",INDEX($EE$4:$EE$40,MATCH(ROW()-3,$OY$4:$OY$40,0)))</f>
        <v/>
      </c>
      <c r="PA19">
        <f>IF(COUNTIF('Buyer Groups'!DG19:EE19,0)+COUNTIF('Buyer Groups'!EG19:EN19,0)&gt;0,0,1)</f>
        <v/>
      </c>
      <c r="PB19">
        <f>IF($EJ$19="",FALSE,SUMPRODUCT(('Final Calculation Sheet'!$Z$4:$Z$40=$EJ$19)*($PA$6:$PA$42=1))&gt;0)</f>
        <v/>
      </c>
      <c r="PC19">
        <f>$PC$18+--($PB19)</f>
        <v/>
      </c>
      <c r="PD19">
        <f>IF(ROW()-3&gt;MAX($PC$4:$PC$40),"",INDEX($EJ$4:$EJ$40,MATCH(ROW()-3,$PC$4:$PC$40,0)))</f>
        <v/>
      </c>
      <c r="PE19">
        <f>IF(COUNTIF('Buyer Groups'!DG19:EF19,0)+COUNTIF('Buyer Groups'!EH19:EN19,0)&gt;0,0,1)</f>
        <v/>
      </c>
      <c r="PF19">
        <f>IF($EO$19="",FALSE,SUMPRODUCT(('Final Calculation Sheet'!$AA$4:$AA$40=$EO$19)*($PE$6:$PE$42=1))&gt;0)</f>
        <v/>
      </c>
      <c r="PG19">
        <f>$PG$18+--($PF19)</f>
        <v/>
      </c>
      <c r="PH19">
        <f>IF(ROW()-3&gt;MAX($PG$4:$PG$40),"",INDEX($EO$4:$EO$40,MATCH(ROW()-3,$PG$4:$PG$40,0)))</f>
        <v/>
      </c>
      <c r="PI19">
        <f>IF(COUNTIF('Buyer Groups'!DG19:EG19,0)+COUNTIF('Buyer Groups'!EI19:EN19,0)&gt;0,0,1)</f>
        <v/>
      </c>
      <c r="PJ19">
        <f>IF($ET$19="",FALSE,SUMPRODUCT(('Final Calculation Sheet'!$AB$4:$AB$40=$ET$19)*($PI$6:$PI$42=1))&gt;0)</f>
        <v/>
      </c>
      <c r="PK19">
        <f>$PK$18+--($PJ19)</f>
        <v/>
      </c>
      <c r="PL19">
        <f>IF(ROW()-3&gt;MAX($PK$4:$PK$40),"",INDEX($ET$4:$ET$40,MATCH(ROW()-3,$PK$4:$PK$40,0)))</f>
        <v/>
      </c>
      <c r="PM19">
        <f>IF(COUNTIF('Buyer Groups'!DG19:EH19,0)+COUNTIF('Buyer Groups'!EJ19:EN19,0)&gt;0,0,1)</f>
        <v/>
      </c>
      <c r="PN19">
        <f>IF($EY$19="",FALSE,SUMPRODUCT(('Final Calculation Sheet'!$AC$4:$AC$40=$EY$19)*($PM$6:$PM$42=1))&gt;0)</f>
        <v/>
      </c>
      <c r="PO19">
        <f>$PO$18+--($PN19)</f>
        <v/>
      </c>
      <c r="PP19">
        <f>IF(ROW()-3&gt;MAX($PO$4:$PO$40),"",INDEX($EY$4:$EY$40,MATCH(ROW()-3,$PO$4:$PO$40,0)))</f>
        <v/>
      </c>
      <c r="PQ19">
        <f>IF(COUNTIF('Buyer Groups'!DG19:EI19,0)+COUNTIF('Buyer Groups'!EK19:EN19,0)&gt;0,0,1)</f>
        <v/>
      </c>
      <c r="PR19">
        <f>IF($FD$19="",FALSE,SUMPRODUCT(('Final Calculation Sheet'!$AD$4:$AD$40=$FD$19)*($PQ$6:$PQ$42=1))&gt;0)</f>
        <v/>
      </c>
      <c r="PS19">
        <f>$PS$18+--($PR19)</f>
        <v/>
      </c>
      <c r="PT19">
        <f>IF(ROW()-3&gt;MAX($PS$4:$PS$40),"",INDEX($FD$4:$FD$40,MATCH(ROW()-3,$PS$4:$PS$40,0)))</f>
        <v/>
      </c>
      <c r="PU19">
        <f>IF(COUNTIF('Buyer Groups'!DG19:EJ19,0)+COUNTIF('Buyer Groups'!EL19:EN19,0)&gt;0,0,1)</f>
        <v/>
      </c>
      <c r="PV19">
        <f>IF($FX$19="",FALSE,SUMPRODUCT((IF('Final Calculation Sheet'!$AD$4:$AD$40&lt;=5,"SETTLED","OUTSTANDING")=$FX$19)*($PU$6:$PU$42=1))&gt;0)</f>
        <v/>
      </c>
      <c r="PW19">
        <f>$PW$18+--($PV19)</f>
        <v/>
      </c>
      <c r="PX19">
        <f>IF(ROW()-3&gt;MAX($PW$4:$PW$40),"",INDEX($FX$4:$FX$40,MATCH(ROW()-3,$PW$4:$PW$40,0)))</f>
        <v/>
      </c>
      <c r="PY19">
        <f>IF(COUNTIF('Buyer Groups'!DG19:EK19,0)+COUNTIF('Buyer Groups'!EM19:EN19,0)&gt;0,0,1)</f>
        <v/>
      </c>
      <c r="PZ19">
        <f>IF($FI$19="",FALSE,SUMPRODUCT(('Final Calculation Sheet'!$AF$4:$AF$40=$FI$19)*($PY$6:$PY$42=1))&gt;0)</f>
        <v/>
      </c>
      <c r="QA19">
        <f>$QA$18+--($PZ19)</f>
        <v/>
      </c>
      <c r="QB19">
        <f>IF(ROW()-3&gt;MAX($QA$4:$QA$40),"",INDEX($FI$4:$FI$40,MATCH(ROW()-3,$QA$4:$QA$40,0)))</f>
        <v/>
      </c>
      <c r="QC19">
        <f>IF(COUNTIF('Buyer Groups'!DG19:EL19,0)+COUNTIF('Buyer Groups'!EN19:EN19,0)&gt;0,0,1)</f>
        <v/>
      </c>
      <c r="QD19">
        <f>IF($FN$19="",FALSE,SUMPRODUCT(('Final Calculation Sheet'!$AG$4:$AG$40=$FN$19)*($QC$6:$QC$42=1))&gt;0)</f>
        <v/>
      </c>
      <c r="QE19">
        <f>$QE$18+--($QD19)</f>
        <v/>
      </c>
      <c r="QF19">
        <f>IF(ROW()-3&gt;MAX($QE$4:$QE$40),"",INDEX($FN$4:$FN$40,MATCH(ROW()-3,$QE$4:$QE$40,0)))</f>
        <v/>
      </c>
      <c r="QG19">
        <f>IF(COUNTIF('Buyer Groups'!DG19:EM19,0)&gt;0,0,1)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Groups'!DH20:EN20,0)&gt;0,0,1)</f>
        <v/>
      </c>
      <c r="LF20">
        <f>IF($O$20="",FALSE,SUMPRODUCT(('Final Calculation Sheet'!$F$4:$F$40=$O$20)*($LE$6:$LE$42=1))&gt;0)</f>
        <v/>
      </c>
      <c r="LG20">
        <f>$LG$19+--($LF20)</f>
        <v/>
      </c>
      <c r="LH20">
        <f>IF(ROW()-3&gt;MAX($LG$4:$LG$40),"",INDEX($O$4:$O$40,MATCH(ROW()-3,$LG$4:$LG$40,0)))</f>
        <v/>
      </c>
      <c r="LI20">
        <f>IF(COUNTIF('Buyer Groups'!DG20:DG20,0)+COUNTIF('Buyer Groups'!DI20:EN20,0)&gt;0,0,1)</f>
        <v/>
      </c>
      <c r="LJ20">
        <f>IF($T$20="",FALSE,SUMPRODUCT(('Final Calculation Sheet'!$G$4:$G$40=$T$20)*($LI$6:$LI$42=1))&gt;0)</f>
        <v/>
      </c>
      <c r="LK20">
        <f>$LK$19+--($LJ20)</f>
        <v/>
      </c>
      <c r="LL20">
        <f>IF(ROW()-3&gt;MAX($LK$4:$LK$40),"",INDEX($T$4:$T$40,MATCH(ROW()-3,$LK$4:$LK$40,0)))</f>
        <v/>
      </c>
      <c r="LM20">
        <f>IF(COUNTIF('Buyer Groups'!DG20:DH20,0)+COUNTIF('Buyer Groups'!DJ20:EN20,0)&gt;0,0,1)</f>
        <v/>
      </c>
      <c r="LN20">
        <f>IF($Y$20="",FALSE,SUMPRODUCT(('Final Calculation Sheet'!$B$4:$B$40=$Y$20)*($LM$6:$LM$42=1))&gt;0)</f>
        <v/>
      </c>
      <c r="LO20">
        <f>$LO$19+--($LN20)</f>
        <v/>
      </c>
      <c r="LP20">
        <f>IF(ROW()-3&gt;MAX($LO$4:$LO$40),"",INDEX($Y$4:$Y$40,MATCH(ROW()-3,$LO$4:$LO$40,0)))</f>
        <v/>
      </c>
      <c r="LQ20">
        <f>IF(COUNTIF('Buyer Groups'!DG20:DI20,0)+COUNTIF('Buyer Groups'!DK20:EN20,0)&gt;0,0,1)</f>
        <v/>
      </c>
      <c r="LR20">
        <f>IF($AD$20="",FALSE,SUMPRODUCT(('Final Calculation Sheet'!$D$4:$D$40=$AD$20)*($LQ$6:$LQ$42=1))&gt;0)</f>
        <v/>
      </c>
      <c r="LS20">
        <f>$LS$19+--($LR20)</f>
        <v/>
      </c>
      <c r="LT20">
        <f>IF(ROW()-3&gt;MAX($LS$4:$LS$40),"",INDEX($AD$4:$AD$40,MATCH(ROW()-3,$LS$4:$LS$40,0)))</f>
        <v/>
      </c>
      <c r="LU20">
        <f>IF(COUNTIF('Buyer Groups'!DG20:DJ20,0)+COUNTIF('Buyer Groups'!DL20:EN20,0)&gt;0,0,1)</f>
        <v/>
      </c>
      <c r="LV20">
        <f>IF($AI$20="",FALSE,SUMPRODUCT(('Final Calculation Sheet'!$A$4:$A$40=$AI$20)*($LU$6:$LU$42=1))&gt;0)</f>
        <v/>
      </c>
      <c r="LW20">
        <f>$LW$19+--($LV20)</f>
        <v/>
      </c>
      <c r="LX20">
        <f>IF(ROW()-3&gt;MAX($LW$4:$LW$40),"",INDEX($AI$4:$AI$40,MATCH(ROW()-3,$LW$4:$LW$40,0)))</f>
        <v/>
      </c>
      <c r="LY20">
        <f>IF(COUNTIF('Buyer Groups'!DG20:DK20,0)+COUNTIF('Buyer Groups'!DM20:EN20,0)&gt;0,0,1)</f>
        <v/>
      </c>
      <c r="LZ20">
        <f>IF($AN$20="",FALSE,SUMPRODUCT(('Final Calculation Sheet'!$E$4:$E$40=$AN$20)*($LY$6:$LY$42=1))&gt;0)</f>
        <v/>
      </c>
      <c r="MA20">
        <f>$MA$19+--($LZ20)</f>
        <v/>
      </c>
      <c r="MB20">
        <f>IF(ROW()-3&gt;MAX($MA$4:$MA$40),"",INDEX($AN$4:$AN$40,MATCH(ROW()-3,$MA$4:$MA$40,0)))</f>
        <v/>
      </c>
      <c r="MC20">
        <f>IF(COUNTIF('Buyer Groups'!DG20:DL20,0)+COUNTIF('Buyer Groups'!DN20:EN20,0)&gt;0,0,1)</f>
        <v/>
      </c>
      <c r="MD20">
        <f>IF($AS$20="",FALSE,SUMPRODUCT(('Final Calculation Sheet'!$C$4:$C$40=$AS$20)*($MC$6:$MC$42=1))&gt;0)</f>
        <v/>
      </c>
      <c r="ME20">
        <f>$ME$19+--($MD20)</f>
        <v/>
      </c>
      <c r="MF20">
        <f>IF(ROW()-3&gt;MAX($ME$4:$ME$40),"",INDEX($AS$4:$AS$40,MATCH(ROW()-3,$ME$4:$ME$40,0)))</f>
        <v/>
      </c>
      <c r="MG20">
        <f>IF(COUNTIF('Buyer Groups'!DG20:DM20,0)+COUNTIF('Buyer Groups'!DO20:EN20,0)&gt;0,0,1)</f>
        <v/>
      </c>
      <c r="MH20">
        <f>IF($AX$20="",FALSE,SUMPRODUCT(('Final Calculation Sheet'!$H$4:$H$40=$AX$20)*($MG$6:$MG$42=1))&gt;0)</f>
        <v/>
      </c>
      <c r="MI20">
        <f>$MI$19+--($MH20)</f>
        <v/>
      </c>
      <c r="MJ20">
        <f>IF(ROW()-3&gt;MAX($MI$4:$MI$40),"",INDEX($AX$4:$AX$40,MATCH(ROW()-3,$MI$4:$MI$40,0)))</f>
        <v/>
      </c>
      <c r="MK20">
        <f>IF(COUNTIF('Buyer Groups'!DG20:DN20,0)+COUNTIF('Buyer Groups'!DP20:EN20,0)&gt;0,0,1)</f>
        <v/>
      </c>
      <c r="ML20">
        <f>IF($BC$20="",FALSE,SUMPRODUCT(('Final Calculation Sheet'!$I$4:$I$40=$BC$20)*($MK$6:$MK$42=1))&gt;0)</f>
        <v/>
      </c>
      <c r="MM20">
        <f>$MM$19+--($ML20)</f>
        <v/>
      </c>
      <c r="MN20">
        <f>IF(ROW()-3&gt;MAX($MM$4:$MM$40),"",INDEX($BC$4:$BC$40,MATCH(ROW()-3,$MM$4:$MM$40,0)))</f>
        <v/>
      </c>
      <c r="MO20">
        <f>IF(COUNTIF('Buyer Groups'!DG20:DO20,0)+COUNTIF('Buyer Groups'!DQ20:EN20,0)&gt;0,0,1)</f>
        <v/>
      </c>
      <c r="MP20">
        <f>IF($BH$20="",FALSE,SUMPRODUCT(('Final Calculation Sheet'!$J$4:$J$40=$BH$20)*($MO$6:$MO$42=1))&gt;0)</f>
        <v/>
      </c>
      <c r="MQ20">
        <f>$MQ$19+--($MP20)</f>
        <v/>
      </c>
      <c r="MR20">
        <f>IF(ROW()-3&gt;MAX($MQ$4:$MQ$40),"",INDEX($BH$4:$BH$40,MATCH(ROW()-3,$MQ$4:$MQ$40,0)))</f>
        <v/>
      </c>
      <c r="MS20">
        <f>IF(COUNTIF('Buyer Groups'!DG20:DP20,0)+COUNTIF('Buyer Groups'!DR20:EN20,0)&gt;0,0,1)</f>
        <v/>
      </c>
      <c r="MT20">
        <f>IF($BM$20="",FALSE,SUMPRODUCT(('Final Calculation Sheet'!$K$4:$K$40=$BM$20)*($MS$6:$MS$42=1))&gt;0)</f>
        <v/>
      </c>
      <c r="MU20">
        <f>$MU$19+--($MT20)</f>
        <v/>
      </c>
      <c r="MV20">
        <f>IF(ROW()-3&gt;MAX($MU$4:$MU$40),"",INDEX($BM$4:$BM$40,MATCH(ROW()-3,$MU$4:$MU$40,0)))</f>
        <v/>
      </c>
      <c r="MW20">
        <f>IF(COUNTIF('Buyer Groups'!DG20:DQ20,0)+COUNTIF('Buyer Groups'!DS20:EN20,0)&gt;0,0,1)</f>
        <v/>
      </c>
      <c r="MX20">
        <f>IF($BR$20="",FALSE,SUMPRODUCT(('Final Calculation Sheet'!$L$4:$L$40=$BR$20)*($MW$6:$MW$42=1))&gt;0)</f>
        <v/>
      </c>
      <c r="MY20">
        <f>$MY$19+--($MX20)</f>
        <v/>
      </c>
      <c r="MZ20">
        <f>IF(ROW()-3&gt;MAX($MY$4:$MY$40),"",INDEX($BR$4:$BR$40,MATCH(ROW()-3,$MY$4:$MY$40,0)))</f>
        <v/>
      </c>
      <c r="NA20">
        <f>IF(COUNTIF('Buyer Groups'!DG20:DR20,0)+COUNTIF('Buyer Groups'!DT20:EN20,0)&gt;0,0,1)</f>
        <v/>
      </c>
      <c r="NB20">
        <f>IF($BW$20="",FALSE,SUMPRODUCT(('Final Calculation Sheet'!$M$4:$M$40=$BW$20)*($NA$6:$NA$42=1))&gt;0)</f>
        <v/>
      </c>
      <c r="NC20">
        <f>$NC$19+--($NB20)</f>
        <v/>
      </c>
      <c r="ND20">
        <f>IF(ROW()-3&gt;MAX($NC$4:$NC$40),"",INDEX($BW$4:$BW$40,MATCH(ROW()-3,$NC$4:$NC$40,0)))</f>
        <v/>
      </c>
      <c r="NE20">
        <f>IF(COUNTIF('Buyer Groups'!DG20:DS20,0)+COUNTIF('Buyer Groups'!DU20:EN20,0)&gt;0,0,1)</f>
        <v/>
      </c>
      <c r="NF20">
        <f>IF($CB$20="",FALSE,SUMPRODUCT(('Final Calculation Sheet'!$N$4:$N$40=$CB$20)*($NE$6:$NE$42=1))&gt;0)</f>
        <v/>
      </c>
      <c r="NG20">
        <f>$NG$19+--($NF20)</f>
        <v/>
      </c>
      <c r="NH20">
        <f>IF(ROW()-3&gt;MAX($NG$4:$NG$40),"",INDEX($CB$4:$CB$40,MATCH(ROW()-3,$NG$4:$NG$40,0)))</f>
        <v/>
      </c>
      <c r="NI20">
        <f>IF(COUNTIF('Buyer Groups'!DG20:DT20,0)+COUNTIF('Buyer Groups'!DV20:EN20,0)&gt;0,0,1)</f>
        <v/>
      </c>
      <c r="NJ20">
        <f>IF($CG$20="",FALSE,SUMPRODUCT(('Final Calculation Sheet'!$O$4:$O$40=$CG$20)*($NI$6:$NI$42=1))&gt;0)</f>
        <v/>
      </c>
      <c r="NK20">
        <f>$NK$19+--($NJ20)</f>
        <v/>
      </c>
      <c r="NL20">
        <f>IF(ROW()-3&gt;MAX($NK$4:$NK$40),"",INDEX($CG$4:$CG$40,MATCH(ROW()-3,$NK$4:$NK$40,0)))</f>
        <v/>
      </c>
      <c r="NM20">
        <f>IF(COUNTIF('Buyer Groups'!DG20:DU20,0)+COUNTIF('Buyer Groups'!DW20:EN20,0)&gt;0,0,1)</f>
        <v/>
      </c>
      <c r="NN20">
        <f>IF($CL$20="",FALSE,SUMPRODUCT(('Final Calculation Sheet'!$P$4:$P$40=$CL$20)*($NM$6:$NM$42=1))&gt;0)</f>
        <v/>
      </c>
      <c r="NO20">
        <f>$NO$19+--($NN20)</f>
        <v/>
      </c>
      <c r="NP20">
        <f>IF(ROW()-3&gt;MAX($NO$4:$NO$40),"",INDEX($CL$4:$CL$40,MATCH(ROW()-3,$NO$4:$NO$40,0)))</f>
        <v/>
      </c>
      <c r="NQ20">
        <f>IF(COUNTIF('Buyer Groups'!DG20:DV20,0)+COUNTIF('Buyer Groups'!DX20:EN20,0)&gt;0,0,1)</f>
        <v/>
      </c>
      <c r="NR20">
        <f>IF($CQ$20="",FALSE,SUMPRODUCT(('Final Calculation Sheet'!$Q$4:$Q$40=$CQ$20)*($NQ$6:$NQ$42=1))&gt;0)</f>
        <v/>
      </c>
      <c r="NS20">
        <f>$NS$19+--($NR20)</f>
        <v/>
      </c>
      <c r="NT20">
        <f>IF(ROW()-3&gt;MAX($NS$4:$NS$40),"",INDEX($CQ$4:$CQ$40,MATCH(ROW()-3,$NS$4:$NS$40,0)))</f>
        <v/>
      </c>
      <c r="NU20">
        <f>IF(COUNTIF('Buyer Groups'!DG20:DW20,0)+COUNTIF('Buyer Groups'!DY20:EN20,0)&gt;0,0,1)</f>
        <v/>
      </c>
      <c r="NV20">
        <f>IF($CV$20="",FALSE,SUMPRODUCT(('Final Calculation Sheet'!$R$4:$R$40=$CV$20)*($NU$6:$NU$42=1))&gt;0)</f>
        <v/>
      </c>
      <c r="NW20">
        <f>$NW$19+--($NV20)</f>
        <v/>
      </c>
      <c r="NX20">
        <f>IF(ROW()-3&gt;MAX($NW$4:$NW$40),"",INDEX($CV$4:$CV$40,MATCH(ROW()-3,$NW$4:$NW$40,0)))</f>
        <v/>
      </c>
      <c r="NY20">
        <f>IF(COUNTIF('Buyer Groups'!DG20:DX20,0)+COUNTIF('Buyer Groups'!DZ20:EN20,0)&gt;0,0,1)</f>
        <v/>
      </c>
      <c r="NZ20">
        <f>IF($DA$20="",FALSE,SUMPRODUCT(('Final Calculation Sheet'!$S$4:$S$40=$DA$20)*($NY$6:$NY$42=1))&gt;0)</f>
        <v/>
      </c>
      <c r="OA20">
        <f>$OA$19+--($NZ20)</f>
        <v/>
      </c>
      <c r="OB20">
        <f>IF(ROW()-3&gt;MAX($OA$4:$OA$40),"",INDEX($DA$4:$DA$40,MATCH(ROW()-3,$OA$4:$OA$40,0)))</f>
        <v/>
      </c>
      <c r="OC20">
        <f>IF(COUNTIF('Buyer Groups'!DG20:DY20,0)+COUNTIF('Buyer Groups'!EA20:EN20,0)&gt;0,0,1)</f>
        <v/>
      </c>
      <c r="OD20">
        <f>IF($DF$20="",FALSE,SUMPRODUCT(('Final Calculation Sheet'!$T$4:$T$40=$DF$20)*($OC$6:$OC$42=1))&gt;0)</f>
        <v/>
      </c>
      <c r="OE20">
        <f>$OE$19+--($OD20)</f>
        <v/>
      </c>
      <c r="OF20">
        <f>IF(ROW()-3&gt;MAX($OE$4:$OE$40),"",INDEX($DF$4:$DF$40,MATCH(ROW()-3,$OE$4:$OE$40,0)))</f>
        <v/>
      </c>
      <c r="OG20">
        <f>IF(COUNTIF('Buyer Groups'!DG20:DZ20,0)+COUNTIF('Buyer Groups'!EB20:EN20,0)&gt;0,0,1)</f>
        <v/>
      </c>
      <c r="OH20">
        <f>IF($DK$20="",FALSE,SUMPRODUCT(('Final Calculation Sheet'!$U$4:$U$40=$DK$20)*($OG$6:$OG$42=1))&gt;0)</f>
        <v/>
      </c>
      <c r="OI20">
        <f>$OI$19+--($OH20)</f>
        <v/>
      </c>
      <c r="OJ20">
        <f>IF(ROW()-3&gt;MAX($OI$4:$OI$40),"",INDEX($DK$4:$DK$40,MATCH(ROW()-3,$OI$4:$OI$40,0)))</f>
        <v/>
      </c>
      <c r="OK20">
        <f>IF(COUNTIF('Buyer Groups'!DG20:EA20,0)+COUNTIF('Buyer Groups'!EC20:EN20,0)&gt;0,0,1)</f>
        <v/>
      </c>
      <c r="OL20">
        <f>IF($DP$20="",FALSE,SUMPRODUCT(('Final Calculation Sheet'!$V$4:$V$40=$DP$20)*($OK$6:$OK$42=1))&gt;0)</f>
        <v/>
      </c>
      <c r="OM20">
        <f>$OM$19+--($OL20)</f>
        <v/>
      </c>
      <c r="ON20">
        <f>IF(ROW()-3&gt;MAX($OM$4:$OM$40),"",INDEX($DP$4:$DP$40,MATCH(ROW()-3,$OM$4:$OM$40,0)))</f>
        <v/>
      </c>
      <c r="OO20">
        <f>IF(COUNTIF('Buyer Groups'!DG20:EB20,0)+COUNTIF('Buyer Groups'!ED20:EN20,0)&gt;0,0,1)</f>
        <v/>
      </c>
      <c r="OP20">
        <f>IF($DU$20="",FALSE,SUMPRODUCT(('Final Calculation Sheet'!$W$4:$W$40=$DU$20)*($OO$6:$OO$42=1))&gt;0)</f>
        <v/>
      </c>
      <c r="OQ20">
        <f>$OQ$19+--($OP20)</f>
        <v/>
      </c>
      <c r="OR20">
        <f>IF(ROW()-3&gt;MAX($OQ$4:$OQ$40),"",INDEX($DU$4:$DU$40,MATCH(ROW()-3,$OQ$4:$OQ$40,0)))</f>
        <v/>
      </c>
      <c r="OS20">
        <f>IF(COUNTIF('Buyer Groups'!DG20:EC20,0)+COUNTIF('Buyer Groups'!EE20:EN20,0)&gt;0,0,1)</f>
        <v/>
      </c>
      <c r="OT20">
        <f>IF($DZ$20="",FALSE,SUMPRODUCT(('Final Calculation Sheet'!$X$4:$X$40=$DZ$20)*($OS$6:$OS$42=1))&gt;0)</f>
        <v/>
      </c>
      <c r="OU20">
        <f>$OU$19+--($OT20)</f>
        <v/>
      </c>
      <c r="OV20">
        <f>IF(ROW()-3&gt;MAX($OU$4:$OU$40),"",INDEX($DZ$4:$DZ$40,MATCH(ROW()-3,$OU$4:$OU$40,0)))</f>
        <v/>
      </c>
      <c r="OW20">
        <f>IF(COUNTIF('Buyer Groups'!DG20:ED20,0)+COUNTIF('Buyer Groups'!EF20:EN20,0)&gt;0,0,1)</f>
        <v/>
      </c>
      <c r="OX20">
        <f>IF($EE$20="",FALSE,SUMPRODUCT(('Final Calculation Sheet'!$Y$4:$Y$40=$EE$20)*($OW$6:$OW$42=1))&gt;0)</f>
        <v/>
      </c>
      <c r="OY20">
        <f>$OY$19+--($OX20)</f>
        <v/>
      </c>
      <c r="OZ20">
        <f>IF(ROW()-3&gt;MAX($OY$4:$OY$40),"",INDEX($EE$4:$EE$40,MATCH(ROW()-3,$OY$4:$OY$40,0)))</f>
        <v/>
      </c>
      <c r="PA20">
        <f>IF(COUNTIF('Buyer Groups'!DG20:EE20,0)+COUNTIF('Buyer Groups'!EG20:EN20,0)&gt;0,0,1)</f>
        <v/>
      </c>
      <c r="PB20">
        <f>IF($EJ$20="",FALSE,SUMPRODUCT(('Final Calculation Sheet'!$Z$4:$Z$40=$EJ$20)*($PA$6:$PA$42=1))&gt;0)</f>
        <v/>
      </c>
      <c r="PC20">
        <f>$PC$19+--($PB20)</f>
        <v/>
      </c>
      <c r="PD20">
        <f>IF(ROW()-3&gt;MAX($PC$4:$PC$40),"",INDEX($EJ$4:$EJ$40,MATCH(ROW()-3,$PC$4:$PC$40,0)))</f>
        <v/>
      </c>
      <c r="PE20">
        <f>IF(COUNTIF('Buyer Groups'!DG20:EF20,0)+COUNTIF('Buyer Groups'!EH20:EN20,0)&gt;0,0,1)</f>
        <v/>
      </c>
      <c r="PF20">
        <f>IF($EO$20="",FALSE,SUMPRODUCT(('Final Calculation Sheet'!$AA$4:$AA$40=$EO$20)*($PE$6:$PE$42=1))&gt;0)</f>
        <v/>
      </c>
      <c r="PG20">
        <f>$PG$19+--($PF20)</f>
        <v/>
      </c>
      <c r="PH20">
        <f>IF(ROW()-3&gt;MAX($PG$4:$PG$40),"",INDEX($EO$4:$EO$40,MATCH(ROW()-3,$PG$4:$PG$40,0)))</f>
        <v/>
      </c>
      <c r="PI20">
        <f>IF(COUNTIF('Buyer Groups'!DG20:EG20,0)+COUNTIF('Buyer Groups'!EI20:EN20,0)&gt;0,0,1)</f>
        <v/>
      </c>
      <c r="PJ20">
        <f>IF($ET$20="",FALSE,SUMPRODUCT(('Final Calculation Sheet'!$AB$4:$AB$40=$ET$20)*($PI$6:$PI$42=1))&gt;0)</f>
        <v/>
      </c>
      <c r="PK20">
        <f>$PK$19+--($PJ20)</f>
        <v/>
      </c>
      <c r="PL20">
        <f>IF(ROW()-3&gt;MAX($PK$4:$PK$40),"",INDEX($ET$4:$ET$40,MATCH(ROW()-3,$PK$4:$PK$40,0)))</f>
        <v/>
      </c>
      <c r="PM20">
        <f>IF(COUNTIF('Buyer Groups'!DG20:EH20,0)+COUNTIF('Buyer Groups'!EJ20:EN20,0)&gt;0,0,1)</f>
        <v/>
      </c>
      <c r="PN20">
        <f>IF($EY$20="",FALSE,SUMPRODUCT(('Final Calculation Sheet'!$AC$4:$AC$40=$EY$20)*($PM$6:$PM$42=1))&gt;0)</f>
        <v/>
      </c>
      <c r="PO20">
        <f>$PO$19+--($PN20)</f>
        <v/>
      </c>
      <c r="PP20">
        <f>IF(ROW()-3&gt;MAX($PO$4:$PO$40),"",INDEX($EY$4:$EY$40,MATCH(ROW()-3,$PO$4:$PO$40,0)))</f>
        <v/>
      </c>
      <c r="PQ20">
        <f>IF(COUNTIF('Buyer Groups'!DG20:EI20,0)+COUNTIF('Buyer Groups'!EK20:EN20,0)&gt;0,0,1)</f>
        <v/>
      </c>
      <c r="PR20">
        <f>IF($FD$20="",FALSE,SUMPRODUCT(('Final Calculation Sheet'!$AD$4:$AD$40=$FD$20)*($PQ$6:$PQ$42=1))&gt;0)</f>
        <v/>
      </c>
      <c r="PS20">
        <f>$PS$19+--($PR20)</f>
        <v/>
      </c>
      <c r="PT20">
        <f>IF(ROW()-3&gt;MAX($PS$4:$PS$40),"",INDEX($FD$4:$FD$40,MATCH(ROW()-3,$PS$4:$PS$40,0)))</f>
        <v/>
      </c>
      <c r="PU20">
        <f>IF(COUNTIF('Buyer Groups'!DG20:EJ20,0)+COUNTIF('Buyer Groups'!EL20:EN20,0)&gt;0,0,1)</f>
        <v/>
      </c>
      <c r="PV20">
        <f>IF($FX$20="",FALSE,SUMPRODUCT((IF('Final Calculation Sheet'!$AD$4:$AD$40&lt;=5,"SETTLED","OUTSTANDING")=$FX$20)*($PU$6:$PU$42=1))&gt;0)</f>
        <v/>
      </c>
      <c r="PW20">
        <f>$PW$19+--($PV20)</f>
        <v/>
      </c>
      <c r="PX20">
        <f>IF(ROW()-3&gt;MAX($PW$4:$PW$40),"",INDEX($FX$4:$FX$40,MATCH(ROW()-3,$PW$4:$PW$40,0)))</f>
        <v/>
      </c>
      <c r="PY20">
        <f>IF(COUNTIF('Buyer Groups'!DG20:EK20,0)+COUNTIF('Buyer Groups'!EM20:EN20,0)&gt;0,0,1)</f>
        <v/>
      </c>
      <c r="PZ20">
        <f>IF($FI$20="",FALSE,SUMPRODUCT(('Final Calculation Sheet'!$AF$4:$AF$40=$FI$20)*($PY$6:$PY$42=1))&gt;0)</f>
        <v/>
      </c>
      <c r="QA20">
        <f>$QA$19+--($PZ20)</f>
        <v/>
      </c>
      <c r="QB20">
        <f>IF(ROW()-3&gt;MAX($QA$4:$QA$40),"",INDEX($FI$4:$FI$40,MATCH(ROW()-3,$QA$4:$QA$40,0)))</f>
        <v/>
      </c>
      <c r="QC20">
        <f>IF(COUNTIF('Buyer Groups'!DG20:EL20,0)+COUNTIF('Buyer Groups'!EN20:EN20,0)&gt;0,0,1)</f>
        <v/>
      </c>
      <c r="QD20">
        <f>IF($FN$20="",FALSE,SUMPRODUCT(('Final Calculation Sheet'!$AG$4:$AG$40=$FN$20)*($QC$6:$QC$42=1))&gt;0)</f>
        <v/>
      </c>
      <c r="QE20">
        <f>$QE$19+--($QD20)</f>
        <v/>
      </c>
      <c r="QF20">
        <f>IF(ROW()-3&gt;MAX($QE$4:$QE$40),"",INDEX($FN$4:$FN$40,MATCH(ROW()-3,$QE$4:$QE$40,0)))</f>
        <v/>
      </c>
      <c r="QG20">
        <f>IF(COUNTIF('Buyer Groups'!DG20:EM20,0)&gt;0,0,1)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Groups'!DH21:EN21,0)&gt;0,0,1)</f>
        <v/>
      </c>
      <c r="LF21">
        <f>IF($O$21="",FALSE,SUMPRODUCT(('Final Calculation Sheet'!$F$4:$F$40=$O$21)*($LE$6:$LE$42=1))&gt;0)</f>
        <v/>
      </c>
      <c r="LG21">
        <f>$LG$20+--($LF21)</f>
        <v/>
      </c>
      <c r="LH21">
        <f>IF(ROW()-3&gt;MAX($LG$4:$LG$40),"",INDEX($O$4:$O$40,MATCH(ROW()-3,$LG$4:$LG$40,0)))</f>
        <v/>
      </c>
      <c r="LI21">
        <f>IF(COUNTIF('Buyer Groups'!DG21:DG21,0)+COUNTIF('Buyer Groups'!DI21:EN21,0)&gt;0,0,1)</f>
        <v/>
      </c>
      <c r="LJ21">
        <f>IF($T$21="",FALSE,SUMPRODUCT(('Final Calculation Sheet'!$G$4:$G$40=$T$21)*($LI$6:$LI$42=1))&gt;0)</f>
        <v/>
      </c>
      <c r="LK21">
        <f>$LK$20+--($LJ21)</f>
        <v/>
      </c>
      <c r="LL21">
        <f>IF(ROW()-3&gt;MAX($LK$4:$LK$40),"",INDEX($T$4:$T$40,MATCH(ROW()-3,$LK$4:$LK$40,0)))</f>
        <v/>
      </c>
      <c r="LM21">
        <f>IF(COUNTIF('Buyer Groups'!DG21:DH21,0)+COUNTIF('Buyer Groups'!DJ21:EN21,0)&gt;0,0,1)</f>
        <v/>
      </c>
      <c r="LN21">
        <f>IF($Y$21="",FALSE,SUMPRODUCT(('Final Calculation Sheet'!$B$4:$B$40=$Y$21)*($LM$6:$LM$42=1))&gt;0)</f>
        <v/>
      </c>
      <c r="LO21">
        <f>$LO$20+--($LN21)</f>
        <v/>
      </c>
      <c r="LP21">
        <f>IF(ROW()-3&gt;MAX($LO$4:$LO$40),"",INDEX($Y$4:$Y$40,MATCH(ROW()-3,$LO$4:$LO$40,0)))</f>
        <v/>
      </c>
      <c r="LQ21">
        <f>IF(COUNTIF('Buyer Groups'!DG21:DI21,0)+COUNTIF('Buyer Groups'!DK21:EN21,0)&gt;0,0,1)</f>
        <v/>
      </c>
      <c r="LR21">
        <f>IF($AD$21="",FALSE,SUMPRODUCT(('Final Calculation Sheet'!$D$4:$D$40=$AD$21)*($LQ$6:$LQ$42=1))&gt;0)</f>
        <v/>
      </c>
      <c r="LS21">
        <f>$LS$20+--($LR21)</f>
        <v/>
      </c>
      <c r="LT21">
        <f>IF(ROW()-3&gt;MAX($LS$4:$LS$40),"",INDEX($AD$4:$AD$40,MATCH(ROW()-3,$LS$4:$LS$40,0)))</f>
        <v/>
      </c>
      <c r="LU21">
        <f>IF(COUNTIF('Buyer Groups'!DG21:DJ21,0)+COUNTIF('Buyer Groups'!DL21:EN21,0)&gt;0,0,1)</f>
        <v/>
      </c>
      <c r="LV21">
        <f>IF($AI$21="",FALSE,SUMPRODUCT(('Final Calculation Sheet'!$A$4:$A$40=$AI$21)*($LU$6:$LU$42=1))&gt;0)</f>
        <v/>
      </c>
      <c r="LW21">
        <f>$LW$20+--($LV21)</f>
        <v/>
      </c>
      <c r="LX21">
        <f>IF(ROW()-3&gt;MAX($LW$4:$LW$40),"",INDEX($AI$4:$AI$40,MATCH(ROW()-3,$LW$4:$LW$40,0)))</f>
        <v/>
      </c>
      <c r="LY21">
        <f>IF(COUNTIF('Buyer Groups'!DG21:DK21,0)+COUNTIF('Buyer Groups'!DM21:EN21,0)&gt;0,0,1)</f>
        <v/>
      </c>
      <c r="LZ21">
        <f>IF($AN$21="",FALSE,SUMPRODUCT(('Final Calculation Sheet'!$E$4:$E$40=$AN$21)*($LY$6:$LY$42=1))&gt;0)</f>
        <v/>
      </c>
      <c r="MA21">
        <f>$MA$20+--($LZ21)</f>
        <v/>
      </c>
      <c r="MB21">
        <f>IF(ROW()-3&gt;MAX($MA$4:$MA$40),"",INDEX($AN$4:$AN$40,MATCH(ROW()-3,$MA$4:$MA$40,0)))</f>
        <v/>
      </c>
      <c r="MC21">
        <f>IF(COUNTIF('Buyer Groups'!DG21:DL21,0)+COUNTIF('Buyer Groups'!DN21:EN21,0)&gt;0,0,1)</f>
        <v/>
      </c>
      <c r="MD21">
        <f>IF($AS$21="",FALSE,SUMPRODUCT(('Final Calculation Sheet'!$C$4:$C$40=$AS$21)*($MC$6:$MC$42=1))&gt;0)</f>
        <v/>
      </c>
      <c r="ME21">
        <f>$ME$20+--($MD21)</f>
        <v/>
      </c>
      <c r="MF21">
        <f>IF(ROW()-3&gt;MAX($ME$4:$ME$40),"",INDEX($AS$4:$AS$40,MATCH(ROW()-3,$ME$4:$ME$40,0)))</f>
        <v/>
      </c>
      <c r="MG21">
        <f>IF(COUNTIF('Buyer Groups'!DG21:DM21,0)+COUNTIF('Buyer Groups'!DO21:EN21,0)&gt;0,0,1)</f>
        <v/>
      </c>
      <c r="MH21">
        <f>IF($AX$21="",FALSE,SUMPRODUCT(('Final Calculation Sheet'!$H$4:$H$40=$AX$21)*($MG$6:$MG$42=1))&gt;0)</f>
        <v/>
      </c>
      <c r="MI21">
        <f>$MI$20+--($MH21)</f>
        <v/>
      </c>
      <c r="MJ21">
        <f>IF(ROW()-3&gt;MAX($MI$4:$MI$40),"",INDEX($AX$4:$AX$40,MATCH(ROW()-3,$MI$4:$MI$40,0)))</f>
        <v/>
      </c>
      <c r="MK21">
        <f>IF(COUNTIF('Buyer Groups'!DG21:DN21,0)+COUNTIF('Buyer Groups'!DP21:EN21,0)&gt;0,0,1)</f>
        <v/>
      </c>
      <c r="ML21">
        <f>IF($BC$21="",FALSE,SUMPRODUCT(('Final Calculation Sheet'!$I$4:$I$40=$BC$21)*($MK$6:$MK$42=1))&gt;0)</f>
        <v/>
      </c>
      <c r="MM21">
        <f>$MM$20+--($ML21)</f>
        <v/>
      </c>
      <c r="MN21">
        <f>IF(ROW()-3&gt;MAX($MM$4:$MM$40),"",INDEX($BC$4:$BC$40,MATCH(ROW()-3,$MM$4:$MM$40,0)))</f>
        <v/>
      </c>
      <c r="MO21">
        <f>IF(COUNTIF('Buyer Groups'!DG21:DO21,0)+COUNTIF('Buyer Groups'!DQ21:EN21,0)&gt;0,0,1)</f>
        <v/>
      </c>
      <c r="MP21">
        <f>IF($BH$21="",FALSE,SUMPRODUCT(('Final Calculation Sheet'!$J$4:$J$40=$BH$21)*($MO$6:$MO$42=1))&gt;0)</f>
        <v/>
      </c>
      <c r="MQ21">
        <f>$MQ$20+--($MP21)</f>
        <v/>
      </c>
      <c r="MR21">
        <f>IF(ROW()-3&gt;MAX($MQ$4:$MQ$40),"",INDEX($BH$4:$BH$40,MATCH(ROW()-3,$MQ$4:$MQ$40,0)))</f>
        <v/>
      </c>
      <c r="MS21">
        <f>IF(COUNTIF('Buyer Groups'!DG21:DP21,0)+COUNTIF('Buyer Groups'!DR21:EN21,0)&gt;0,0,1)</f>
        <v/>
      </c>
      <c r="MT21">
        <f>IF($BM$21="",FALSE,SUMPRODUCT(('Final Calculation Sheet'!$K$4:$K$40=$BM$21)*($MS$6:$MS$42=1))&gt;0)</f>
        <v/>
      </c>
      <c r="MU21">
        <f>$MU$20+--($MT21)</f>
        <v/>
      </c>
      <c r="MV21">
        <f>IF(ROW()-3&gt;MAX($MU$4:$MU$40),"",INDEX($BM$4:$BM$40,MATCH(ROW()-3,$MU$4:$MU$40,0)))</f>
        <v/>
      </c>
      <c r="MW21">
        <f>IF(COUNTIF('Buyer Groups'!DG21:DQ21,0)+COUNTIF('Buyer Groups'!DS21:EN21,0)&gt;0,0,1)</f>
        <v/>
      </c>
      <c r="MX21">
        <f>IF($BR$21="",FALSE,SUMPRODUCT(('Final Calculation Sheet'!$L$4:$L$40=$BR$21)*($MW$6:$MW$42=1))&gt;0)</f>
        <v/>
      </c>
      <c r="MY21">
        <f>$MY$20+--($MX21)</f>
        <v/>
      </c>
      <c r="MZ21">
        <f>IF(ROW()-3&gt;MAX($MY$4:$MY$40),"",INDEX($BR$4:$BR$40,MATCH(ROW()-3,$MY$4:$MY$40,0)))</f>
        <v/>
      </c>
      <c r="NA21">
        <f>IF(COUNTIF('Buyer Groups'!DG21:DR21,0)+COUNTIF('Buyer Groups'!DT21:EN21,0)&gt;0,0,1)</f>
        <v/>
      </c>
      <c r="NB21">
        <f>IF($BW$21="",FALSE,SUMPRODUCT(('Final Calculation Sheet'!$M$4:$M$40=$BW$21)*($NA$6:$NA$42=1))&gt;0)</f>
        <v/>
      </c>
      <c r="NC21">
        <f>$NC$20+--($NB21)</f>
        <v/>
      </c>
      <c r="ND21">
        <f>IF(ROW()-3&gt;MAX($NC$4:$NC$40),"",INDEX($BW$4:$BW$40,MATCH(ROW()-3,$NC$4:$NC$40,0)))</f>
        <v/>
      </c>
      <c r="NE21">
        <f>IF(COUNTIF('Buyer Groups'!DG21:DS21,0)+COUNTIF('Buyer Groups'!DU21:EN21,0)&gt;0,0,1)</f>
        <v/>
      </c>
      <c r="NF21">
        <f>IF($CB$21="",FALSE,SUMPRODUCT(('Final Calculation Sheet'!$N$4:$N$40=$CB$21)*($NE$6:$NE$42=1))&gt;0)</f>
        <v/>
      </c>
      <c r="NG21">
        <f>$NG$20+--($NF21)</f>
        <v/>
      </c>
      <c r="NH21">
        <f>IF(ROW()-3&gt;MAX($NG$4:$NG$40),"",INDEX($CB$4:$CB$40,MATCH(ROW()-3,$NG$4:$NG$40,0)))</f>
        <v/>
      </c>
      <c r="NI21">
        <f>IF(COUNTIF('Buyer Groups'!DG21:DT21,0)+COUNTIF('Buyer Groups'!DV21:EN21,0)&gt;0,0,1)</f>
        <v/>
      </c>
      <c r="NJ21">
        <f>IF($CG$21="",FALSE,SUMPRODUCT(('Final Calculation Sheet'!$O$4:$O$40=$CG$21)*($NI$6:$NI$42=1))&gt;0)</f>
        <v/>
      </c>
      <c r="NK21">
        <f>$NK$20+--($NJ21)</f>
        <v/>
      </c>
      <c r="NL21">
        <f>IF(ROW()-3&gt;MAX($NK$4:$NK$40),"",INDEX($CG$4:$CG$40,MATCH(ROW()-3,$NK$4:$NK$40,0)))</f>
        <v/>
      </c>
      <c r="NM21">
        <f>IF(COUNTIF('Buyer Groups'!DG21:DU21,0)+COUNTIF('Buyer Groups'!DW21:EN21,0)&gt;0,0,1)</f>
        <v/>
      </c>
      <c r="NN21">
        <f>IF($CL$21="",FALSE,SUMPRODUCT(('Final Calculation Sheet'!$P$4:$P$40=$CL$21)*($NM$6:$NM$42=1))&gt;0)</f>
        <v/>
      </c>
      <c r="NO21">
        <f>$NO$20+--($NN21)</f>
        <v/>
      </c>
      <c r="NP21">
        <f>IF(ROW()-3&gt;MAX($NO$4:$NO$40),"",INDEX($CL$4:$CL$40,MATCH(ROW()-3,$NO$4:$NO$40,0)))</f>
        <v/>
      </c>
      <c r="NQ21">
        <f>IF(COUNTIF('Buyer Groups'!DG21:DV21,0)+COUNTIF('Buyer Groups'!DX21:EN21,0)&gt;0,0,1)</f>
        <v/>
      </c>
      <c r="NR21">
        <f>IF($CQ$21="",FALSE,SUMPRODUCT(('Final Calculation Sheet'!$Q$4:$Q$40=$CQ$21)*($NQ$6:$NQ$42=1))&gt;0)</f>
        <v/>
      </c>
      <c r="NS21">
        <f>$NS$20+--($NR21)</f>
        <v/>
      </c>
      <c r="NT21">
        <f>IF(ROW()-3&gt;MAX($NS$4:$NS$40),"",INDEX($CQ$4:$CQ$40,MATCH(ROW()-3,$NS$4:$NS$40,0)))</f>
        <v/>
      </c>
      <c r="NU21">
        <f>IF(COUNTIF('Buyer Groups'!DG21:DW21,0)+COUNTIF('Buyer Groups'!DY21:EN21,0)&gt;0,0,1)</f>
        <v/>
      </c>
      <c r="NV21">
        <f>IF($CV$21="",FALSE,SUMPRODUCT(('Final Calculation Sheet'!$R$4:$R$40=$CV$21)*($NU$6:$NU$42=1))&gt;0)</f>
        <v/>
      </c>
      <c r="NW21">
        <f>$NW$20+--($NV21)</f>
        <v/>
      </c>
      <c r="NX21">
        <f>IF(ROW()-3&gt;MAX($NW$4:$NW$40),"",INDEX($CV$4:$CV$40,MATCH(ROW()-3,$NW$4:$NW$40,0)))</f>
        <v/>
      </c>
      <c r="NY21">
        <f>IF(COUNTIF('Buyer Groups'!DG21:DX21,0)+COUNTIF('Buyer Groups'!DZ21:EN21,0)&gt;0,0,1)</f>
        <v/>
      </c>
      <c r="NZ21">
        <f>IF($DA$21="",FALSE,SUMPRODUCT(('Final Calculation Sheet'!$S$4:$S$40=$DA$21)*($NY$6:$NY$42=1))&gt;0)</f>
        <v/>
      </c>
      <c r="OA21">
        <f>$OA$20+--($NZ21)</f>
        <v/>
      </c>
      <c r="OB21">
        <f>IF(ROW()-3&gt;MAX($OA$4:$OA$40),"",INDEX($DA$4:$DA$40,MATCH(ROW()-3,$OA$4:$OA$40,0)))</f>
        <v/>
      </c>
      <c r="OC21">
        <f>IF(COUNTIF('Buyer Groups'!DG21:DY21,0)+COUNTIF('Buyer Groups'!EA21:EN21,0)&gt;0,0,1)</f>
        <v/>
      </c>
      <c r="OD21">
        <f>IF($DF$21="",FALSE,SUMPRODUCT(('Final Calculation Sheet'!$T$4:$T$40=$DF$21)*($OC$6:$OC$42=1))&gt;0)</f>
        <v/>
      </c>
      <c r="OE21">
        <f>$OE$20+--($OD21)</f>
        <v/>
      </c>
      <c r="OF21">
        <f>IF(ROW()-3&gt;MAX($OE$4:$OE$40),"",INDEX($DF$4:$DF$40,MATCH(ROW()-3,$OE$4:$OE$40,0)))</f>
        <v/>
      </c>
      <c r="OG21">
        <f>IF(COUNTIF('Buyer Groups'!DG21:DZ21,0)+COUNTIF('Buyer Groups'!EB21:EN21,0)&gt;0,0,1)</f>
        <v/>
      </c>
      <c r="OH21">
        <f>IF($DK$21="",FALSE,SUMPRODUCT(('Final Calculation Sheet'!$U$4:$U$40=$DK$21)*($OG$6:$OG$42=1))&gt;0)</f>
        <v/>
      </c>
      <c r="OI21">
        <f>$OI$20+--($OH21)</f>
        <v/>
      </c>
      <c r="OJ21">
        <f>IF(ROW()-3&gt;MAX($OI$4:$OI$40),"",INDEX($DK$4:$DK$40,MATCH(ROW()-3,$OI$4:$OI$40,0)))</f>
        <v/>
      </c>
      <c r="OK21">
        <f>IF(COUNTIF('Buyer Groups'!DG21:EA21,0)+COUNTIF('Buyer Groups'!EC21:EN21,0)&gt;0,0,1)</f>
        <v/>
      </c>
      <c r="OL21">
        <f>IF($DP$21="",FALSE,SUMPRODUCT(('Final Calculation Sheet'!$V$4:$V$40=$DP$21)*($OK$6:$OK$42=1))&gt;0)</f>
        <v/>
      </c>
      <c r="OM21">
        <f>$OM$20+--($OL21)</f>
        <v/>
      </c>
      <c r="ON21">
        <f>IF(ROW()-3&gt;MAX($OM$4:$OM$40),"",INDEX($DP$4:$DP$40,MATCH(ROW()-3,$OM$4:$OM$40,0)))</f>
        <v/>
      </c>
      <c r="OO21">
        <f>IF(COUNTIF('Buyer Groups'!DG21:EB21,0)+COUNTIF('Buyer Groups'!ED21:EN21,0)&gt;0,0,1)</f>
        <v/>
      </c>
      <c r="OP21">
        <f>IF($DU$21="",FALSE,SUMPRODUCT(('Final Calculation Sheet'!$W$4:$W$40=$DU$21)*($OO$6:$OO$42=1))&gt;0)</f>
        <v/>
      </c>
      <c r="OQ21">
        <f>$OQ$20+--($OP21)</f>
        <v/>
      </c>
      <c r="OR21">
        <f>IF(ROW()-3&gt;MAX($OQ$4:$OQ$40),"",INDEX($DU$4:$DU$40,MATCH(ROW()-3,$OQ$4:$OQ$40,0)))</f>
        <v/>
      </c>
      <c r="OS21">
        <f>IF(COUNTIF('Buyer Groups'!DG21:EC21,0)+COUNTIF('Buyer Groups'!EE21:EN21,0)&gt;0,0,1)</f>
        <v/>
      </c>
      <c r="OT21">
        <f>IF($DZ$21="",FALSE,SUMPRODUCT(('Final Calculation Sheet'!$X$4:$X$40=$DZ$21)*($OS$6:$OS$42=1))&gt;0)</f>
        <v/>
      </c>
      <c r="OU21">
        <f>$OU$20+--($OT21)</f>
        <v/>
      </c>
      <c r="OV21">
        <f>IF(ROW()-3&gt;MAX($OU$4:$OU$40),"",INDEX($DZ$4:$DZ$40,MATCH(ROW()-3,$OU$4:$OU$40,0)))</f>
        <v/>
      </c>
      <c r="OW21">
        <f>IF(COUNTIF('Buyer Groups'!DG21:ED21,0)+COUNTIF('Buyer Groups'!EF21:EN21,0)&gt;0,0,1)</f>
        <v/>
      </c>
      <c r="OX21">
        <f>IF($EE$21="",FALSE,SUMPRODUCT(('Final Calculation Sheet'!$Y$4:$Y$40=$EE$21)*($OW$6:$OW$42=1))&gt;0)</f>
        <v/>
      </c>
      <c r="OY21">
        <f>$OY$20+--($OX21)</f>
        <v/>
      </c>
      <c r="OZ21">
        <f>IF(ROW()-3&gt;MAX($OY$4:$OY$40),"",INDEX($EE$4:$EE$40,MATCH(ROW()-3,$OY$4:$OY$40,0)))</f>
        <v/>
      </c>
      <c r="PA21">
        <f>IF(COUNTIF('Buyer Groups'!DG21:EE21,0)+COUNTIF('Buyer Groups'!EG21:EN21,0)&gt;0,0,1)</f>
        <v/>
      </c>
      <c r="PB21">
        <f>IF($EJ$21="",FALSE,SUMPRODUCT(('Final Calculation Sheet'!$Z$4:$Z$40=$EJ$21)*($PA$6:$PA$42=1))&gt;0)</f>
        <v/>
      </c>
      <c r="PC21">
        <f>$PC$20+--($PB21)</f>
        <v/>
      </c>
      <c r="PD21">
        <f>IF(ROW()-3&gt;MAX($PC$4:$PC$40),"",INDEX($EJ$4:$EJ$40,MATCH(ROW()-3,$PC$4:$PC$40,0)))</f>
        <v/>
      </c>
      <c r="PE21">
        <f>IF(COUNTIF('Buyer Groups'!DG21:EF21,0)+COUNTIF('Buyer Groups'!EH21:EN21,0)&gt;0,0,1)</f>
        <v/>
      </c>
      <c r="PF21">
        <f>IF($EO$21="",FALSE,SUMPRODUCT(('Final Calculation Sheet'!$AA$4:$AA$40=$EO$21)*($PE$6:$PE$42=1))&gt;0)</f>
        <v/>
      </c>
      <c r="PG21">
        <f>$PG$20+--($PF21)</f>
        <v/>
      </c>
      <c r="PH21">
        <f>IF(ROW()-3&gt;MAX($PG$4:$PG$40),"",INDEX($EO$4:$EO$40,MATCH(ROW()-3,$PG$4:$PG$40,0)))</f>
        <v/>
      </c>
      <c r="PI21">
        <f>IF(COUNTIF('Buyer Groups'!DG21:EG21,0)+COUNTIF('Buyer Groups'!EI21:EN21,0)&gt;0,0,1)</f>
        <v/>
      </c>
      <c r="PJ21">
        <f>IF($ET$21="",FALSE,SUMPRODUCT(('Final Calculation Sheet'!$AB$4:$AB$40=$ET$21)*($PI$6:$PI$42=1))&gt;0)</f>
        <v/>
      </c>
      <c r="PK21">
        <f>$PK$20+--($PJ21)</f>
        <v/>
      </c>
      <c r="PL21">
        <f>IF(ROW()-3&gt;MAX($PK$4:$PK$40),"",INDEX($ET$4:$ET$40,MATCH(ROW()-3,$PK$4:$PK$40,0)))</f>
        <v/>
      </c>
      <c r="PM21">
        <f>IF(COUNTIF('Buyer Groups'!DG21:EH21,0)+COUNTIF('Buyer Groups'!EJ21:EN21,0)&gt;0,0,1)</f>
        <v/>
      </c>
      <c r="PN21">
        <f>IF($EY$21="",FALSE,SUMPRODUCT(('Final Calculation Sheet'!$AC$4:$AC$40=$EY$21)*($PM$6:$PM$42=1))&gt;0)</f>
        <v/>
      </c>
      <c r="PO21">
        <f>$PO$20+--($PN21)</f>
        <v/>
      </c>
      <c r="PP21">
        <f>IF(ROW()-3&gt;MAX($PO$4:$PO$40),"",INDEX($EY$4:$EY$40,MATCH(ROW()-3,$PO$4:$PO$40,0)))</f>
        <v/>
      </c>
      <c r="PQ21">
        <f>IF(COUNTIF('Buyer Groups'!DG21:EI21,0)+COUNTIF('Buyer Groups'!EK21:EN21,0)&gt;0,0,1)</f>
        <v/>
      </c>
      <c r="PR21">
        <f>IF($FD$21="",FALSE,SUMPRODUCT(('Final Calculation Sheet'!$AD$4:$AD$40=$FD$21)*($PQ$6:$PQ$42=1))&gt;0)</f>
        <v/>
      </c>
      <c r="PS21">
        <f>$PS$20+--($PR21)</f>
        <v/>
      </c>
      <c r="PT21">
        <f>IF(ROW()-3&gt;MAX($PS$4:$PS$40),"",INDEX($FD$4:$FD$40,MATCH(ROW()-3,$PS$4:$PS$40,0)))</f>
        <v/>
      </c>
      <c r="PU21">
        <f>IF(COUNTIF('Buyer Groups'!DG21:EJ21,0)+COUNTIF('Buyer Groups'!EL21:EN21,0)&gt;0,0,1)</f>
        <v/>
      </c>
      <c r="PV21">
        <f>IF($FX$21="",FALSE,SUMPRODUCT((IF('Final Calculation Sheet'!$AD$4:$AD$40&lt;=5,"SETTLED","OUTSTANDING")=$FX$21)*($PU$6:$PU$42=1))&gt;0)</f>
        <v/>
      </c>
      <c r="PW21">
        <f>$PW$20+--($PV21)</f>
        <v/>
      </c>
      <c r="PX21">
        <f>IF(ROW()-3&gt;MAX($PW$4:$PW$40),"",INDEX($FX$4:$FX$40,MATCH(ROW()-3,$PW$4:$PW$40,0)))</f>
        <v/>
      </c>
      <c r="PY21">
        <f>IF(COUNTIF('Buyer Groups'!DG21:EK21,0)+COUNTIF('Buyer Groups'!EM21:EN21,0)&gt;0,0,1)</f>
        <v/>
      </c>
      <c r="PZ21">
        <f>IF($FI$21="",FALSE,SUMPRODUCT(('Final Calculation Sheet'!$AF$4:$AF$40=$FI$21)*($PY$6:$PY$42=1))&gt;0)</f>
        <v/>
      </c>
      <c r="QA21">
        <f>$QA$20+--($PZ21)</f>
        <v/>
      </c>
      <c r="QB21">
        <f>IF(ROW()-3&gt;MAX($QA$4:$QA$40),"",INDEX($FI$4:$FI$40,MATCH(ROW()-3,$QA$4:$QA$40,0)))</f>
        <v/>
      </c>
      <c r="QC21">
        <f>IF(COUNTIF('Buyer Groups'!DG21:EL21,0)+COUNTIF('Buyer Groups'!EN21:EN21,0)&gt;0,0,1)</f>
        <v/>
      </c>
      <c r="QD21">
        <f>IF($FN$21="",FALSE,SUMPRODUCT(('Final Calculation Sheet'!$AG$4:$AG$40=$FN$21)*($QC$6:$QC$42=1))&gt;0)</f>
        <v/>
      </c>
      <c r="QE21">
        <f>$QE$20+--($QD21)</f>
        <v/>
      </c>
      <c r="QF21">
        <f>IF(ROW()-3&gt;MAX($QE$4:$QE$40),"",INDEX($FN$4:$FN$40,MATCH(ROW()-3,$QE$4:$QE$40,0)))</f>
        <v/>
      </c>
      <c r="QG21">
        <f>IF(COUNTIF('Buyer Groups'!DG21:EM21,0)&gt;0,0,1)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Groups'!DH22:EN22,0)&gt;0,0,1)</f>
        <v/>
      </c>
      <c r="LF22">
        <f>IF($O$22="",FALSE,SUMPRODUCT(('Final Calculation Sheet'!$F$4:$F$40=$O$22)*($LE$6:$LE$42=1))&gt;0)</f>
        <v/>
      </c>
      <c r="LG22">
        <f>$LG$21+--($LF22)</f>
        <v/>
      </c>
      <c r="LH22">
        <f>IF(ROW()-3&gt;MAX($LG$4:$LG$40),"",INDEX($O$4:$O$40,MATCH(ROW()-3,$LG$4:$LG$40,0)))</f>
        <v/>
      </c>
      <c r="LI22">
        <f>IF(COUNTIF('Buyer Groups'!DG22:DG22,0)+COUNTIF('Buyer Groups'!DI22:EN22,0)&gt;0,0,1)</f>
        <v/>
      </c>
      <c r="LJ22">
        <f>IF($T$22="",FALSE,SUMPRODUCT(('Final Calculation Sheet'!$G$4:$G$40=$T$22)*($LI$6:$LI$42=1))&gt;0)</f>
        <v/>
      </c>
      <c r="LK22">
        <f>$LK$21+--($LJ22)</f>
        <v/>
      </c>
      <c r="LL22">
        <f>IF(ROW()-3&gt;MAX($LK$4:$LK$40),"",INDEX($T$4:$T$40,MATCH(ROW()-3,$LK$4:$LK$40,0)))</f>
        <v/>
      </c>
      <c r="LM22">
        <f>IF(COUNTIF('Buyer Groups'!DG22:DH22,0)+COUNTIF('Buyer Groups'!DJ22:EN22,0)&gt;0,0,1)</f>
        <v/>
      </c>
      <c r="LN22">
        <f>IF($Y$22="",FALSE,SUMPRODUCT(('Final Calculation Sheet'!$B$4:$B$40=$Y$22)*($LM$6:$LM$42=1))&gt;0)</f>
        <v/>
      </c>
      <c r="LO22">
        <f>$LO$21+--($LN22)</f>
        <v/>
      </c>
      <c r="LP22">
        <f>IF(ROW()-3&gt;MAX($LO$4:$LO$40),"",INDEX($Y$4:$Y$40,MATCH(ROW()-3,$LO$4:$LO$40,0)))</f>
        <v/>
      </c>
      <c r="LQ22">
        <f>IF(COUNTIF('Buyer Groups'!DG22:DI22,0)+COUNTIF('Buyer Groups'!DK22:EN22,0)&gt;0,0,1)</f>
        <v/>
      </c>
      <c r="LR22">
        <f>IF($AD$22="",FALSE,SUMPRODUCT(('Final Calculation Sheet'!$D$4:$D$40=$AD$22)*($LQ$6:$LQ$42=1))&gt;0)</f>
        <v/>
      </c>
      <c r="LS22">
        <f>$LS$21+--($LR22)</f>
        <v/>
      </c>
      <c r="LT22">
        <f>IF(ROW()-3&gt;MAX($LS$4:$LS$40),"",INDEX($AD$4:$AD$40,MATCH(ROW()-3,$LS$4:$LS$40,0)))</f>
        <v/>
      </c>
      <c r="LU22">
        <f>IF(COUNTIF('Buyer Groups'!DG22:DJ22,0)+COUNTIF('Buyer Groups'!DL22:EN22,0)&gt;0,0,1)</f>
        <v/>
      </c>
      <c r="LV22">
        <f>IF($AI$22="",FALSE,SUMPRODUCT(('Final Calculation Sheet'!$A$4:$A$40=$AI$22)*($LU$6:$LU$42=1))&gt;0)</f>
        <v/>
      </c>
      <c r="LW22">
        <f>$LW$21+--($LV22)</f>
        <v/>
      </c>
      <c r="LX22">
        <f>IF(ROW()-3&gt;MAX($LW$4:$LW$40),"",INDEX($AI$4:$AI$40,MATCH(ROW()-3,$LW$4:$LW$40,0)))</f>
        <v/>
      </c>
      <c r="LY22">
        <f>IF(COUNTIF('Buyer Groups'!DG22:DK22,0)+COUNTIF('Buyer Groups'!DM22:EN22,0)&gt;0,0,1)</f>
        <v/>
      </c>
      <c r="LZ22">
        <f>IF($AN$22="",FALSE,SUMPRODUCT(('Final Calculation Sheet'!$E$4:$E$40=$AN$22)*($LY$6:$LY$42=1))&gt;0)</f>
        <v/>
      </c>
      <c r="MA22">
        <f>$MA$21+--($LZ22)</f>
        <v/>
      </c>
      <c r="MB22">
        <f>IF(ROW()-3&gt;MAX($MA$4:$MA$40),"",INDEX($AN$4:$AN$40,MATCH(ROW()-3,$MA$4:$MA$40,0)))</f>
        <v/>
      </c>
      <c r="MC22">
        <f>IF(COUNTIF('Buyer Groups'!DG22:DL22,0)+COUNTIF('Buyer Groups'!DN22:EN22,0)&gt;0,0,1)</f>
        <v/>
      </c>
      <c r="MD22">
        <f>IF($AS$22="",FALSE,SUMPRODUCT(('Final Calculation Sheet'!$C$4:$C$40=$AS$22)*($MC$6:$MC$42=1))&gt;0)</f>
        <v/>
      </c>
      <c r="ME22">
        <f>$ME$21+--($MD22)</f>
        <v/>
      </c>
      <c r="MF22">
        <f>IF(ROW()-3&gt;MAX($ME$4:$ME$40),"",INDEX($AS$4:$AS$40,MATCH(ROW()-3,$ME$4:$ME$40,0)))</f>
        <v/>
      </c>
      <c r="MG22">
        <f>IF(COUNTIF('Buyer Groups'!DG22:DM22,0)+COUNTIF('Buyer Groups'!DO22:EN22,0)&gt;0,0,1)</f>
        <v/>
      </c>
      <c r="MH22">
        <f>IF($AX$22="",FALSE,SUMPRODUCT(('Final Calculation Sheet'!$H$4:$H$40=$AX$22)*($MG$6:$MG$42=1))&gt;0)</f>
        <v/>
      </c>
      <c r="MI22">
        <f>$MI$21+--($MH22)</f>
        <v/>
      </c>
      <c r="MJ22">
        <f>IF(ROW()-3&gt;MAX($MI$4:$MI$40),"",INDEX($AX$4:$AX$40,MATCH(ROW()-3,$MI$4:$MI$40,0)))</f>
        <v/>
      </c>
      <c r="MK22">
        <f>IF(COUNTIF('Buyer Groups'!DG22:DN22,0)+COUNTIF('Buyer Groups'!DP22:EN22,0)&gt;0,0,1)</f>
        <v/>
      </c>
      <c r="ML22">
        <f>IF($BC$22="",FALSE,SUMPRODUCT(('Final Calculation Sheet'!$I$4:$I$40=$BC$22)*($MK$6:$MK$42=1))&gt;0)</f>
        <v/>
      </c>
      <c r="MM22">
        <f>$MM$21+--($ML22)</f>
        <v/>
      </c>
      <c r="MN22">
        <f>IF(ROW()-3&gt;MAX($MM$4:$MM$40),"",INDEX($BC$4:$BC$40,MATCH(ROW()-3,$MM$4:$MM$40,0)))</f>
        <v/>
      </c>
      <c r="MO22">
        <f>IF(COUNTIF('Buyer Groups'!DG22:DO22,0)+COUNTIF('Buyer Groups'!DQ22:EN22,0)&gt;0,0,1)</f>
        <v/>
      </c>
      <c r="MP22">
        <f>IF($BH$22="",FALSE,SUMPRODUCT(('Final Calculation Sheet'!$J$4:$J$40=$BH$22)*($MO$6:$MO$42=1))&gt;0)</f>
        <v/>
      </c>
      <c r="MQ22">
        <f>$MQ$21+--($MP22)</f>
        <v/>
      </c>
      <c r="MR22">
        <f>IF(ROW()-3&gt;MAX($MQ$4:$MQ$40),"",INDEX($BH$4:$BH$40,MATCH(ROW()-3,$MQ$4:$MQ$40,0)))</f>
        <v/>
      </c>
      <c r="MS22">
        <f>IF(COUNTIF('Buyer Groups'!DG22:DP22,0)+COUNTIF('Buyer Groups'!DR22:EN22,0)&gt;0,0,1)</f>
        <v/>
      </c>
      <c r="MT22">
        <f>IF($BM$22="",FALSE,SUMPRODUCT(('Final Calculation Sheet'!$K$4:$K$40=$BM$22)*($MS$6:$MS$42=1))&gt;0)</f>
        <v/>
      </c>
      <c r="MU22">
        <f>$MU$21+--($MT22)</f>
        <v/>
      </c>
      <c r="MV22">
        <f>IF(ROW()-3&gt;MAX($MU$4:$MU$40),"",INDEX($BM$4:$BM$40,MATCH(ROW()-3,$MU$4:$MU$40,0)))</f>
        <v/>
      </c>
      <c r="MW22">
        <f>IF(COUNTIF('Buyer Groups'!DG22:DQ22,0)+COUNTIF('Buyer Groups'!DS22:EN22,0)&gt;0,0,1)</f>
        <v/>
      </c>
      <c r="MX22">
        <f>IF($BR$22="",FALSE,SUMPRODUCT(('Final Calculation Sheet'!$L$4:$L$40=$BR$22)*($MW$6:$MW$42=1))&gt;0)</f>
        <v/>
      </c>
      <c r="MY22">
        <f>$MY$21+--($MX22)</f>
        <v/>
      </c>
      <c r="MZ22">
        <f>IF(ROW()-3&gt;MAX($MY$4:$MY$40),"",INDEX($BR$4:$BR$40,MATCH(ROW()-3,$MY$4:$MY$40,0)))</f>
        <v/>
      </c>
      <c r="NA22">
        <f>IF(COUNTIF('Buyer Groups'!DG22:DR22,0)+COUNTIF('Buyer Groups'!DT22:EN22,0)&gt;0,0,1)</f>
        <v/>
      </c>
      <c r="NB22">
        <f>IF($BW$22="",FALSE,SUMPRODUCT(('Final Calculation Sheet'!$M$4:$M$40=$BW$22)*($NA$6:$NA$42=1))&gt;0)</f>
        <v/>
      </c>
      <c r="NC22">
        <f>$NC$21+--($NB22)</f>
        <v/>
      </c>
      <c r="ND22">
        <f>IF(ROW()-3&gt;MAX($NC$4:$NC$40),"",INDEX($BW$4:$BW$40,MATCH(ROW()-3,$NC$4:$NC$40,0)))</f>
        <v/>
      </c>
      <c r="NE22">
        <f>IF(COUNTIF('Buyer Groups'!DG22:DS22,0)+COUNTIF('Buyer Groups'!DU22:EN22,0)&gt;0,0,1)</f>
        <v/>
      </c>
      <c r="NF22">
        <f>IF($CB$22="",FALSE,SUMPRODUCT(('Final Calculation Sheet'!$N$4:$N$40=$CB$22)*($NE$6:$NE$42=1))&gt;0)</f>
        <v/>
      </c>
      <c r="NG22">
        <f>$NG$21+--($NF22)</f>
        <v/>
      </c>
      <c r="NH22">
        <f>IF(ROW()-3&gt;MAX($NG$4:$NG$40),"",INDEX($CB$4:$CB$40,MATCH(ROW()-3,$NG$4:$NG$40,0)))</f>
        <v/>
      </c>
      <c r="NI22">
        <f>IF(COUNTIF('Buyer Groups'!DG22:DT22,0)+COUNTIF('Buyer Groups'!DV22:EN22,0)&gt;0,0,1)</f>
        <v/>
      </c>
      <c r="NJ22">
        <f>IF($CG$22="",FALSE,SUMPRODUCT(('Final Calculation Sheet'!$O$4:$O$40=$CG$22)*($NI$6:$NI$42=1))&gt;0)</f>
        <v/>
      </c>
      <c r="NK22">
        <f>$NK$21+--($NJ22)</f>
        <v/>
      </c>
      <c r="NL22">
        <f>IF(ROW()-3&gt;MAX($NK$4:$NK$40),"",INDEX($CG$4:$CG$40,MATCH(ROW()-3,$NK$4:$NK$40,0)))</f>
        <v/>
      </c>
      <c r="NM22">
        <f>IF(COUNTIF('Buyer Groups'!DG22:DU22,0)+COUNTIF('Buyer Groups'!DW22:EN22,0)&gt;0,0,1)</f>
        <v/>
      </c>
      <c r="NN22">
        <f>IF($CL$22="",FALSE,SUMPRODUCT(('Final Calculation Sheet'!$P$4:$P$40=$CL$22)*($NM$6:$NM$42=1))&gt;0)</f>
        <v/>
      </c>
      <c r="NO22">
        <f>$NO$21+--($NN22)</f>
        <v/>
      </c>
      <c r="NP22">
        <f>IF(ROW()-3&gt;MAX($NO$4:$NO$40),"",INDEX($CL$4:$CL$40,MATCH(ROW()-3,$NO$4:$NO$40,0)))</f>
        <v/>
      </c>
      <c r="NQ22">
        <f>IF(COUNTIF('Buyer Groups'!DG22:DV22,0)+COUNTIF('Buyer Groups'!DX22:EN22,0)&gt;0,0,1)</f>
        <v/>
      </c>
      <c r="NR22">
        <f>IF($CQ$22="",FALSE,SUMPRODUCT(('Final Calculation Sheet'!$Q$4:$Q$40=$CQ$22)*($NQ$6:$NQ$42=1))&gt;0)</f>
        <v/>
      </c>
      <c r="NS22">
        <f>$NS$21+--($NR22)</f>
        <v/>
      </c>
      <c r="NT22">
        <f>IF(ROW()-3&gt;MAX($NS$4:$NS$40),"",INDEX($CQ$4:$CQ$40,MATCH(ROW()-3,$NS$4:$NS$40,0)))</f>
        <v/>
      </c>
      <c r="NU22">
        <f>IF(COUNTIF('Buyer Groups'!DG22:DW22,0)+COUNTIF('Buyer Groups'!DY22:EN22,0)&gt;0,0,1)</f>
        <v/>
      </c>
      <c r="NV22">
        <f>IF($CV$22="",FALSE,SUMPRODUCT(('Final Calculation Sheet'!$R$4:$R$40=$CV$22)*($NU$6:$NU$42=1))&gt;0)</f>
        <v/>
      </c>
      <c r="NW22">
        <f>$NW$21+--($NV22)</f>
        <v/>
      </c>
      <c r="NX22">
        <f>IF(ROW()-3&gt;MAX($NW$4:$NW$40),"",INDEX($CV$4:$CV$40,MATCH(ROW()-3,$NW$4:$NW$40,0)))</f>
        <v/>
      </c>
      <c r="NY22">
        <f>IF(COUNTIF('Buyer Groups'!DG22:DX22,0)+COUNTIF('Buyer Groups'!DZ22:EN22,0)&gt;0,0,1)</f>
        <v/>
      </c>
      <c r="NZ22">
        <f>IF($DA$22="",FALSE,SUMPRODUCT(('Final Calculation Sheet'!$S$4:$S$40=$DA$22)*($NY$6:$NY$42=1))&gt;0)</f>
        <v/>
      </c>
      <c r="OA22">
        <f>$OA$21+--($NZ22)</f>
        <v/>
      </c>
      <c r="OB22">
        <f>IF(ROW()-3&gt;MAX($OA$4:$OA$40),"",INDEX($DA$4:$DA$40,MATCH(ROW()-3,$OA$4:$OA$40,0)))</f>
        <v/>
      </c>
      <c r="OC22">
        <f>IF(COUNTIF('Buyer Groups'!DG22:DY22,0)+COUNTIF('Buyer Groups'!EA22:EN22,0)&gt;0,0,1)</f>
        <v/>
      </c>
      <c r="OD22">
        <f>IF($DF$22="",FALSE,SUMPRODUCT(('Final Calculation Sheet'!$T$4:$T$40=$DF$22)*($OC$6:$OC$42=1))&gt;0)</f>
        <v/>
      </c>
      <c r="OE22">
        <f>$OE$21+--($OD22)</f>
        <v/>
      </c>
      <c r="OF22">
        <f>IF(ROW()-3&gt;MAX($OE$4:$OE$40),"",INDEX($DF$4:$DF$40,MATCH(ROW()-3,$OE$4:$OE$40,0)))</f>
        <v/>
      </c>
      <c r="OG22">
        <f>IF(COUNTIF('Buyer Groups'!DG22:DZ22,0)+COUNTIF('Buyer Groups'!EB22:EN22,0)&gt;0,0,1)</f>
        <v/>
      </c>
      <c r="OH22">
        <f>IF($DK$22="",FALSE,SUMPRODUCT(('Final Calculation Sheet'!$U$4:$U$40=$DK$22)*($OG$6:$OG$42=1))&gt;0)</f>
        <v/>
      </c>
      <c r="OI22">
        <f>$OI$21+--($OH22)</f>
        <v/>
      </c>
      <c r="OJ22">
        <f>IF(ROW()-3&gt;MAX($OI$4:$OI$40),"",INDEX($DK$4:$DK$40,MATCH(ROW()-3,$OI$4:$OI$40,0)))</f>
        <v/>
      </c>
      <c r="OK22">
        <f>IF(COUNTIF('Buyer Groups'!DG22:EA22,0)+COUNTIF('Buyer Groups'!EC22:EN22,0)&gt;0,0,1)</f>
        <v/>
      </c>
      <c r="OL22">
        <f>IF($DP$22="",FALSE,SUMPRODUCT(('Final Calculation Sheet'!$V$4:$V$40=$DP$22)*($OK$6:$OK$42=1))&gt;0)</f>
        <v/>
      </c>
      <c r="OM22">
        <f>$OM$21+--($OL22)</f>
        <v/>
      </c>
      <c r="ON22">
        <f>IF(ROW()-3&gt;MAX($OM$4:$OM$40),"",INDEX($DP$4:$DP$40,MATCH(ROW()-3,$OM$4:$OM$40,0)))</f>
        <v/>
      </c>
      <c r="OO22">
        <f>IF(COUNTIF('Buyer Groups'!DG22:EB22,0)+COUNTIF('Buyer Groups'!ED22:EN22,0)&gt;0,0,1)</f>
        <v/>
      </c>
      <c r="OP22">
        <f>IF($DU$22="",FALSE,SUMPRODUCT(('Final Calculation Sheet'!$W$4:$W$40=$DU$22)*($OO$6:$OO$42=1))&gt;0)</f>
        <v/>
      </c>
      <c r="OQ22">
        <f>$OQ$21+--($OP22)</f>
        <v/>
      </c>
      <c r="OR22">
        <f>IF(ROW()-3&gt;MAX($OQ$4:$OQ$40),"",INDEX($DU$4:$DU$40,MATCH(ROW()-3,$OQ$4:$OQ$40,0)))</f>
        <v/>
      </c>
      <c r="OS22">
        <f>IF(COUNTIF('Buyer Groups'!DG22:EC22,0)+COUNTIF('Buyer Groups'!EE22:EN22,0)&gt;0,0,1)</f>
        <v/>
      </c>
      <c r="OT22">
        <f>IF($DZ$22="",FALSE,SUMPRODUCT(('Final Calculation Sheet'!$X$4:$X$40=$DZ$22)*($OS$6:$OS$42=1))&gt;0)</f>
        <v/>
      </c>
      <c r="OU22">
        <f>$OU$21+--($OT22)</f>
        <v/>
      </c>
      <c r="OV22">
        <f>IF(ROW()-3&gt;MAX($OU$4:$OU$40),"",INDEX($DZ$4:$DZ$40,MATCH(ROW()-3,$OU$4:$OU$40,0)))</f>
        <v/>
      </c>
      <c r="OW22">
        <f>IF(COUNTIF('Buyer Groups'!DG22:ED22,0)+COUNTIF('Buyer Groups'!EF22:EN22,0)&gt;0,0,1)</f>
        <v/>
      </c>
      <c r="OX22">
        <f>IF($EE$22="",FALSE,SUMPRODUCT(('Final Calculation Sheet'!$Y$4:$Y$40=$EE$22)*($OW$6:$OW$42=1))&gt;0)</f>
        <v/>
      </c>
      <c r="OY22">
        <f>$OY$21+--($OX22)</f>
        <v/>
      </c>
      <c r="OZ22">
        <f>IF(ROW()-3&gt;MAX($OY$4:$OY$40),"",INDEX($EE$4:$EE$40,MATCH(ROW()-3,$OY$4:$OY$40,0)))</f>
        <v/>
      </c>
      <c r="PA22">
        <f>IF(COUNTIF('Buyer Groups'!DG22:EE22,0)+COUNTIF('Buyer Groups'!EG22:EN22,0)&gt;0,0,1)</f>
        <v/>
      </c>
      <c r="PB22">
        <f>IF($EJ$22="",FALSE,SUMPRODUCT(('Final Calculation Sheet'!$Z$4:$Z$40=$EJ$22)*($PA$6:$PA$42=1))&gt;0)</f>
        <v/>
      </c>
      <c r="PC22">
        <f>$PC$21+--($PB22)</f>
        <v/>
      </c>
      <c r="PD22">
        <f>IF(ROW()-3&gt;MAX($PC$4:$PC$40),"",INDEX($EJ$4:$EJ$40,MATCH(ROW()-3,$PC$4:$PC$40,0)))</f>
        <v/>
      </c>
      <c r="PE22">
        <f>IF(COUNTIF('Buyer Groups'!DG22:EF22,0)+COUNTIF('Buyer Groups'!EH22:EN22,0)&gt;0,0,1)</f>
        <v/>
      </c>
      <c r="PF22">
        <f>IF($EO$22="",FALSE,SUMPRODUCT(('Final Calculation Sheet'!$AA$4:$AA$40=$EO$22)*($PE$6:$PE$42=1))&gt;0)</f>
        <v/>
      </c>
      <c r="PG22">
        <f>$PG$21+--($PF22)</f>
        <v/>
      </c>
      <c r="PH22">
        <f>IF(ROW()-3&gt;MAX($PG$4:$PG$40),"",INDEX($EO$4:$EO$40,MATCH(ROW()-3,$PG$4:$PG$40,0)))</f>
        <v/>
      </c>
      <c r="PI22">
        <f>IF(COUNTIF('Buyer Groups'!DG22:EG22,0)+COUNTIF('Buyer Groups'!EI22:EN22,0)&gt;0,0,1)</f>
        <v/>
      </c>
      <c r="PJ22">
        <f>IF($ET$22="",FALSE,SUMPRODUCT(('Final Calculation Sheet'!$AB$4:$AB$40=$ET$22)*($PI$6:$PI$42=1))&gt;0)</f>
        <v/>
      </c>
      <c r="PK22">
        <f>$PK$21+--($PJ22)</f>
        <v/>
      </c>
      <c r="PL22">
        <f>IF(ROW()-3&gt;MAX($PK$4:$PK$40),"",INDEX($ET$4:$ET$40,MATCH(ROW()-3,$PK$4:$PK$40,0)))</f>
        <v/>
      </c>
      <c r="PM22">
        <f>IF(COUNTIF('Buyer Groups'!DG22:EH22,0)+COUNTIF('Buyer Groups'!EJ22:EN22,0)&gt;0,0,1)</f>
        <v/>
      </c>
      <c r="PN22">
        <f>IF($EY$22="",FALSE,SUMPRODUCT(('Final Calculation Sheet'!$AC$4:$AC$40=$EY$22)*($PM$6:$PM$42=1))&gt;0)</f>
        <v/>
      </c>
      <c r="PO22">
        <f>$PO$21+--($PN22)</f>
        <v/>
      </c>
      <c r="PP22">
        <f>IF(ROW()-3&gt;MAX($PO$4:$PO$40),"",INDEX($EY$4:$EY$40,MATCH(ROW()-3,$PO$4:$PO$40,0)))</f>
        <v/>
      </c>
      <c r="PQ22">
        <f>IF(COUNTIF('Buyer Groups'!DG22:EI22,0)+COUNTIF('Buyer Groups'!EK22:EN22,0)&gt;0,0,1)</f>
        <v/>
      </c>
      <c r="PR22">
        <f>IF($FD$22="",FALSE,SUMPRODUCT(('Final Calculation Sheet'!$AD$4:$AD$40=$FD$22)*($PQ$6:$PQ$42=1))&gt;0)</f>
        <v/>
      </c>
      <c r="PS22">
        <f>$PS$21+--($PR22)</f>
        <v/>
      </c>
      <c r="PT22">
        <f>IF(ROW()-3&gt;MAX($PS$4:$PS$40),"",INDEX($FD$4:$FD$40,MATCH(ROW()-3,$PS$4:$PS$40,0)))</f>
        <v/>
      </c>
      <c r="PU22">
        <f>IF(COUNTIF('Buyer Groups'!DG22:EJ22,0)+COUNTIF('Buyer Groups'!EL22:EN22,0)&gt;0,0,1)</f>
        <v/>
      </c>
      <c r="PV22">
        <f>IF($FX$22="",FALSE,SUMPRODUCT((IF('Final Calculation Sheet'!$AD$4:$AD$40&lt;=5,"SETTLED","OUTSTANDING")=$FX$22)*($PU$6:$PU$42=1))&gt;0)</f>
        <v/>
      </c>
      <c r="PW22">
        <f>$PW$21+--($PV22)</f>
        <v/>
      </c>
      <c r="PX22">
        <f>IF(ROW()-3&gt;MAX($PW$4:$PW$40),"",INDEX($FX$4:$FX$40,MATCH(ROW()-3,$PW$4:$PW$40,0)))</f>
        <v/>
      </c>
      <c r="PY22">
        <f>IF(COUNTIF('Buyer Groups'!DG22:EK22,0)+COUNTIF('Buyer Groups'!EM22:EN22,0)&gt;0,0,1)</f>
        <v/>
      </c>
      <c r="PZ22">
        <f>IF($FI$22="",FALSE,SUMPRODUCT(('Final Calculation Sheet'!$AF$4:$AF$40=$FI$22)*($PY$6:$PY$42=1))&gt;0)</f>
        <v/>
      </c>
      <c r="QA22">
        <f>$QA$21+--($PZ22)</f>
        <v/>
      </c>
      <c r="QB22">
        <f>IF(ROW()-3&gt;MAX($QA$4:$QA$40),"",INDEX($FI$4:$FI$40,MATCH(ROW()-3,$QA$4:$QA$40,0)))</f>
        <v/>
      </c>
      <c r="QC22">
        <f>IF(COUNTIF('Buyer Groups'!DG22:EL22,0)+COUNTIF('Buyer Groups'!EN22:EN22,0)&gt;0,0,1)</f>
        <v/>
      </c>
      <c r="QD22">
        <f>IF($FN$22="",FALSE,SUMPRODUCT(('Final Calculation Sheet'!$AG$4:$AG$40=$FN$22)*($QC$6:$QC$42=1))&gt;0)</f>
        <v/>
      </c>
      <c r="QE22">
        <f>$QE$21+--($QD22)</f>
        <v/>
      </c>
      <c r="QF22">
        <f>IF(ROW()-3&gt;MAX($QE$4:$QE$40),"",INDEX($FN$4:$FN$40,MATCH(ROW()-3,$QE$4:$QE$40,0)))</f>
        <v/>
      </c>
      <c r="QG22">
        <f>IF(COUNTIF('Buyer Groups'!DG22:EM22,0)&gt;0,0,1)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Groups'!DH23:EN23,0)&gt;0,0,1)</f>
        <v/>
      </c>
      <c r="LF23">
        <f>IF($O$23="",FALSE,SUMPRODUCT(('Final Calculation Sheet'!$F$4:$F$40=$O$23)*($LE$6:$LE$42=1))&gt;0)</f>
        <v/>
      </c>
      <c r="LG23">
        <f>$LG$22+--($LF23)</f>
        <v/>
      </c>
      <c r="LH23">
        <f>IF(ROW()-3&gt;MAX($LG$4:$LG$40),"",INDEX($O$4:$O$40,MATCH(ROW()-3,$LG$4:$LG$40,0)))</f>
        <v/>
      </c>
      <c r="LI23">
        <f>IF(COUNTIF('Buyer Groups'!DG23:DG23,0)+COUNTIF('Buyer Groups'!DI23:EN23,0)&gt;0,0,1)</f>
        <v/>
      </c>
      <c r="LJ23">
        <f>IF($T$23="",FALSE,SUMPRODUCT(('Final Calculation Sheet'!$G$4:$G$40=$T$23)*($LI$6:$LI$42=1))&gt;0)</f>
        <v/>
      </c>
      <c r="LK23">
        <f>$LK$22+--($LJ23)</f>
        <v/>
      </c>
      <c r="LL23">
        <f>IF(ROW()-3&gt;MAX($LK$4:$LK$40),"",INDEX($T$4:$T$40,MATCH(ROW()-3,$LK$4:$LK$40,0)))</f>
        <v/>
      </c>
      <c r="LM23">
        <f>IF(COUNTIF('Buyer Groups'!DG23:DH23,0)+COUNTIF('Buyer Groups'!DJ23:EN23,0)&gt;0,0,1)</f>
        <v/>
      </c>
      <c r="LN23">
        <f>IF($Y$23="",FALSE,SUMPRODUCT(('Final Calculation Sheet'!$B$4:$B$40=$Y$23)*($LM$6:$LM$42=1))&gt;0)</f>
        <v/>
      </c>
      <c r="LO23">
        <f>$LO$22+--($LN23)</f>
        <v/>
      </c>
      <c r="LP23">
        <f>IF(ROW()-3&gt;MAX($LO$4:$LO$40),"",INDEX($Y$4:$Y$40,MATCH(ROW()-3,$LO$4:$LO$40,0)))</f>
        <v/>
      </c>
      <c r="LQ23">
        <f>IF(COUNTIF('Buyer Groups'!DG23:DI23,0)+COUNTIF('Buyer Groups'!DK23:EN23,0)&gt;0,0,1)</f>
        <v/>
      </c>
      <c r="LR23">
        <f>IF($AD$23="",FALSE,SUMPRODUCT(('Final Calculation Sheet'!$D$4:$D$40=$AD$23)*($LQ$6:$LQ$42=1))&gt;0)</f>
        <v/>
      </c>
      <c r="LS23">
        <f>$LS$22+--($LR23)</f>
        <v/>
      </c>
      <c r="LT23">
        <f>IF(ROW()-3&gt;MAX($LS$4:$LS$40),"",INDEX($AD$4:$AD$40,MATCH(ROW()-3,$LS$4:$LS$40,0)))</f>
        <v/>
      </c>
      <c r="LU23">
        <f>IF(COUNTIF('Buyer Groups'!DG23:DJ23,0)+COUNTIF('Buyer Groups'!DL23:EN23,0)&gt;0,0,1)</f>
        <v/>
      </c>
      <c r="LV23">
        <f>IF($AI$23="",FALSE,SUMPRODUCT(('Final Calculation Sheet'!$A$4:$A$40=$AI$23)*($LU$6:$LU$42=1))&gt;0)</f>
        <v/>
      </c>
      <c r="LW23">
        <f>$LW$22+--($LV23)</f>
        <v/>
      </c>
      <c r="LX23">
        <f>IF(ROW()-3&gt;MAX($LW$4:$LW$40),"",INDEX($AI$4:$AI$40,MATCH(ROW()-3,$LW$4:$LW$40,0)))</f>
        <v/>
      </c>
      <c r="LY23">
        <f>IF(COUNTIF('Buyer Groups'!DG23:DK23,0)+COUNTIF('Buyer Groups'!DM23:EN23,0)&gt;0,0,1)</f>
        <v/>
      </c>
      <c r="LZ23">
        <f>IF($AN$23="",FALSE,SUMPRODUCT(('Final Calculation Sheet'!$E$4:$E$40=$AN$23)*($LY$6:$LY$42=1))&gt;0)</f>
        <v/>
      </c>
      <c r="MA23">
        <f>$MA$22+--($LZ23)</f>
        <v/>
      </c>
      <c r="MB23">
        <f>IF(ROW()-3&gt;MAX($MA$4:$MA$40),"",INDEX($AN$4:$AN$40,MATCH(ROW()-3,$MA$4:$MA$40,0)))</f>
        <v/>
      </c>
      <c r="MC23">
        <f>IF(COUNTIF('Buyer Groups'!DG23:DL23,0)+COUNTIF('Buyer Groups'!DN23:EN23,0)&gt;0,0,1)</f>
        <v/>
      </c>
      <c r="MD23">
        <f>IF($AS$23="",FALSE,SUMPRODUCT(('Final Calculation Sheet'!$C$4:$C$40=$AS$23)*($MC$6:$MC$42=1))&gt;0)</f>
        <v/>
      </c>
      <c r="ME23">
        <f>$ME$22+--($MD23)</f>
        <v/>
      </c>
      <c r="MF23">
        <f>IF(ROW()-3&gt;MAX($ME$4:$ME$40),"",INDEX($AS$4:$AS$40,MATCH(ROW()-3,$ME$4:$ME$40,0)))</f>
        <v/>
      </c>
      <c r="MG23">
        <f>IF(COUNTIF('Buyer Groups'!DG23:DM23,0)+COUNTIF('Buyer Groups'!DO23:EN23,0)&gt;0,0,1)</f>
        <v/>
      </c>
      <c r="MH23">
        <f>IF($AX$23="",FALSE,SUMPRODUCT(('Final Calculation Sheet'!$H$4:$H$40=$AX$23)*($MG$6:$MG$42=1))&gt;0)</f>
        <v/>
      </c>
      <c r="MI23">
        <f>$MI$22+--($MH23)</f>
        <v/>
      </c>
      <c r="MJ23">
        <f>IF(ROW()-3&gt;MAX($MI$4:$MI$40),"",INDEX($AX$4:$AX$40,MATCH(ROW()-3,$MI$4:$MI$40,0)))</f>
        <v/>
      </c>
      <c r="MK23">
        <f>IF(COUNTIF('Buyer Groups'!DG23:DN23,0)+COUNTIF('Buyer Groups'!DP23:EN23,0)&gt;0,0,1)</f>
        <v/>
      </c>
      <c r="ML23">
        <f>IF($BC$23="",FALSE,SUMPRODUCT(('Final Calculation Sheet'!$I$4:$I$40=$BC$23)*($MK$6:$MK$42=1))&gt;0)</f>
        <v/>
      </c>
      <c r="MM23">
        <f>$MM$22+--($ML23)</f>
        <v/>
      </c>
      <c r="MN23">
        <f>IF(ROW()-3&gt;MAX($MM$4:$MM$40),"",INDEX($BC$4:$BC$40,MATCH(ROW()-3,$MM$4:$MM$40,0)))</f>
        <v/>
      </c>
      <c r="MO23">
        <f>IF(COUNTIF('Buyer Groups'!DG23:DO23,0)+COUNTIF('Buyer Groups'!DQ23:EN23,0)&gt;0,0,1)</f>
        <v/>
      </c>
      <c r="MP23">
        <f>IF($BH$23="",FALSE,SUMPRODUCT(('Final Calculation Sheet'!$J$4:$J$40=$BH$23)*($MO$6:$MO$42=1))&gt;0)</f>
        <v/>
      </c>
      <c r="MQ23">
        <f>$MQ$22+--($MP23)</f>
        <v/>
      </c>
      <c r="MR23">
        <f>IF(ROW()-3&gt;MAX($MQ$4:$MQ$40),"",INDEX($BH$4:$BH$40,MATCH(ROW()-3,$MQ$4:$MQ$40,0)))</f>
        <v/>
      </c>
      <c r="MS23">
        <f>IF(COUNTIF('Buyer Groups'!DG23:DP23,0)+COUNTIF('Buyer Groups'!DR23:EN23,0)&gt;0,0,1)</f>
        <v/>
      </c>
      <c r="MT23">
        <f>IF($BM$23="",FALSE,SUMPRODUCT(('Final Calculation Sheet'!$K$4:$K$40=$BM$23)*($MS$6:$MS$42=1))&gt;0)</f>
        <v/>
      </c>
      <c r="MU23">
        <f>$MU$22+--($MT23)</f>
        <v/>
      </c>
      <c r="MV23">
        <f>IF(ROW()-3&gt;MAX($MU$4:$MU$40),"",INDEX($BM$4:$BM$40,MATCH(ROW()-3,$MU$4:$MU$40,0)))</f>
        <v/>
      </c>
      <c r="MW23">
        <f>IF(COUNTIF('Buyer Groups'!DG23:DQ23,0)+COUNTIF('Buyer Groups'!DS23:EN23,0)&gt;0,0,1)</f>
        <v/>
      </c>
      <c r="MX23">
        <f>IF($BR$23="",FALSE,SUMPRODUCT(('Final Calculation Sheet'!$L$4:$L$40=$BR$23)*($MW$6:$MW$42=1))&gt;0)</f>
        <v/>
      </c>
      <c r="MY23">
        <f>$MY$22+--($MX23)</f>
        <v/>
      </c>
      <c r="MZ23">
        <f>IF(ROW()-3&gt;MAX($MY$4:$MY$40),"",INDEX($BR$4:$BR$40,MATCH(ROW()-3,$MY$4:$MY$40,0)))</f>
        <v/>
      </c>
      <c r="NA23">
        <f>IF(COUNTIF('Buyer Groups'!DG23:DR23,0)+COUNTIF('Buyer Groups'!DT23:EN23,0)&gt;0,0,1)</f>
        <v/>
      </c>
      <c r="NB23">
        <f>IF($BW$23="",FALSE,SUMPRODUCT(('Final Calculation Sheet'!$M$4:$M$40=$BW$23)*($NA$6:$NA$42=1))&gt;0)</f>
        <v/>
      </c>
      <c r="NC23">
        <f>$NC$22+--($NB23)</f>
        <v/>
      </c>
      <c r="ND23">
        <f>IF(ROW()-3&gt;MAX($NC$4:$NC$40),"",INDEX($BW$4:$BW$40,MATCH(ROW()-3,$NC$4:$NC$40,0)))</f>
        <v/>
      </c>
      <c r="NE23">
        <f>IF(COUNTIF('Buyer Groups'!DG23:DS23,0)+COUNTIF('Buyer Groups'!DU23:EN23,0)&gt;0,0,1)</f>
        <v/>
      </c>
      <c r="NF23">
        <f>IF($CB$23="",FALSE,SUMPRODUCT(('Final Calculation Sheet'!$N$4:$N$40=$CB$23)*($NE$6:$NE$42=1))&gt;0)</f>
        <v/>
      </c>
      <c r="NG23">
        <f>$NG$22+--($NF23)</f>
        <v/>
      </c>
      <c r="NH23">
        <f>IF(ROW()-3&gt;MAX($NG$4:$NG$40),"",INDEX($CB$4:$CB$40,MATCH(ROW()-3,$NG$4:$NG$40,0)))</f>
        <v/>
      </c>
      <c r="NI23">
        <f>IF(COUNTIF('Buyer Groups'!DG23:DT23,0)+COUNTIF('Buyer Groups'!DV23:EN23,0)&gt;0,0,1)</f>
        <v/>
      </c>
      <c r="NJ23">
        <f>IF($CG$23="",FALSE,SUMPRODUCT(('Final Calculation Sheet'!$O$4:$O$40=$CG$23)*($NI$6:$NI$42=1))&gt;0)</f>
        <v/>
      </c>
      <c r="NK23">
        <f>$NK$22+--($NJ23)</f>
        <v/>
      </c>
      <c r="NL23">
        <f>IF(ROW()-3&gt;MAX($NK$4:$NK$40),"",INDEX($CG$4:$CG$40,MATCH(ROW()-3,$NK$4:$NK$40,0)))</f>
        <v/>
      </c>
      <c r="NM23">
        <f>IF(COUNTIF('Buyer Groups'!DG23:DU23,0)+COUNTIF('Buyer Groups'!DW23:EN23,0)&gt;0,0,1)</f>
        <v/>
      </c>
      <c r="NN23">
        <f>IF($CL$23="",FALSE,SUMPRODUCT(('Final Calculation Sheet'!$P$4:$P$40=$CL$23)*($NM$6:$NM$42=1))&gt;0)</f>
        <v/>
      </c>
      <c r="NO23">
        <f>$NO$22+--($NN23)</f>
        <v/>
      </c>
      <c r="NP23">
        <f>IF(ROW()-3&gt;MAX($NO$4:$NO$40),"",INDEX($CL$4:$CL$40,MATCH(ROW()-3,$NO$4:$NO$40,0)))</f>
        <v/>
      </c>
      <c r="NQ23">
        <f>IF(COUNTIF('Buyer Groups'!DG23:DV23,0)+COUNTIF('Buyer Groups'!DX23:EN23,0)&gt;0,0,1)</f>
        <v/>
      </c>
      <c r="NR23">
        <f>IF($CQ$23="",FALSE,SUMPRODUCT(('Final Calculation Sheet'!$Q$4:$Q$40=$CQ$23)*($NQ$6:$NQ$42=1))&gt;0)</f>
        <v/>
      </c>
      <c r="NS23">
        <f>$NS$22+--($NR23)</f>
        <v/>
      </c>
      <c r="NT23">
        <f>IF(ROW()-3&gt;MAX($NS$4:$NS$40),"",INDEX($CQ$4:$CQ$40,MATCH(ROW()-3,$NS$4:$NS$40,0)))</f>
        <v/>
      </c>
      <c r="NU23">
        <f>IF(COUNTIF('Buyer Groups'!DG23:DW23,0)+COUNTIF('Buyer Groups'!DY23:EN23,0)&gt;0,0,1)</f>
        <v/>
      </c>
      <c r="NV23">
        <f>IF($CV$23="",FALSE,SUMPRODUCT(('Final Calculation Sheet'!$R$4:$R$40=$CV$23)*($NU$6:$NU$42=1))&gt;0)</f>
        <v/>
      </c>
      <c r="NW23">
        <f>$NW$22+--($NV23)</f>
        <v/>
      </c>
      <c r="NX23">
        <f>IF(ROW()-3&gt;MAX($NW$4:$NW$40),"",INDEX($CV$4:$CV$40,MATCH(ROW()-3,$NW$4:$NW$40,0)))</f>
        <v/>
      </c>
      <c r="NY23">
        <f>IF(COUNTIF('Buyer Groups'!DG23:DX23,0)+COUNTIF('Buyer Groups'!DZ23:EN23,0)&gt;0,0,1)</f>
        <v/>
      </c>
      <c r="NZ23">
        <f>IF($DA$23="",FALSE,SUMPRODUCT(('Final Calculation Sheet'!$S$4:$S$40=$DA$23)*($NY$6:$NY$42=1))&gt;0)</f>
        <v/>
      </c>
      <c r="OA23">
        <f>$OA$22+--($NZ23)</f>
        <v/>
      </c>
      <c r="OB23">
        <f>IF(ROW()-3&gt;MAX($OA$4:$OA$40),"",INDEX($DA$4:$DA$40,MATCH(ROW()-3,$OA$4:$OA$40,0)))</f>
        <v/>
      </c>
      <c r="OC23">
        <f>IF(COUNTIF('Buyer Groups'!DG23:DY23,0)+COUNTIF('Buyer Groups'!EA23:EN23,0)&gt;0,0,1)</f>
        <v/>
      </c>
      <c r="OD23">
        <f>IF($DF$23="",FALSE,SUMPRODUCT(('Final Calculation Sheet'!$T$4:$T$40=$DF$23)*($OC$6:$OC$42=1))&gt;0)</f>
        <v/>
      </c>
      <c r="OE23">
        <f>$OE$22+--($OD23)</f>
        <v/>
      </c>
      <c r="OF23">
        <f>IF(ROW()-3&gt;MAX($OE$4:$OE$40),"",INDEX($DF$4:$DF$40,MATCH(ROW()-3,$OE$4:$OE$40,0)))</f>
        <v/>
      </c>
      <c r="OG23">
        <f>IF(COUNTIF('Buyer Groups'!DG23:DZ23,0)+COUNTIF('Buyer Groups'!EB23:EN23,0)&gt;0,0,1)</f>
        <v/>
      </c>
      <c r="OH23">
        <f>IF($DK$23="",FALSE,SUMPRODUCT(('Final Calculation Sheet'!$U$4:$U$40=$DK$23)*($OG$6:$OG$42=1))&gt;0)</f>
        <v/>
      </c>
      <c r="OI23">
        <f>$OI$22+--($OH23)</f>
        <v/>
      </c>
      <c r="OJ23">
        <f>IF(ROW()-3&gt;MAX($OI$4:$OI$40),"",INDEX($DK$4:$DK$40,MATCH(ROW()-3,$OI$4:$OI$40,0)))</f>
        <v/>
      </c>
      <c r="OK23">
        <f>IF(COUNTIF('Buyer Groups'!DG23:EA23,0)+COUNTIF('Buyer Groups'!EC23:EN23,0)&gt;0,0,1)</f>
        <v/>
      </c>
      <c r="OL23">
        <f>IF($DP$23="",FALSE,SUMPRODUCT(('Final Calculation Sheet'!$V$4:$V$40=$DP$23)*($OK$6:$OK$42=1))&gt;0)</f>
        <v/>
      </c>
      <c r="OM23">
        <f>$OM$22+--($OL23)</f>
        <v/>
      </c>
      <c r="ON23">
        <f>IF(ROW()-3&gt;MAX($OM$4:$OM$40),"",INDEX($DP$4:$DP$40,MATCH(ROW()-3,$OM$4:$OM$40,0)))</f>
        <v/>
      </c>
      <c r="OO23">
        <f>IF(COUNTIF('Buyer Groups'!DG23:EB23,0)+COUNTIF('Buyer Groups'!ED23:EN23,0)&gt;0,0,1)</f>
        <v/>
      </c>
      <c r="OP23">
        <f>IF($DU$23="",FALSE,SUMPRODUCT(('Final Calculation Sheet'!$W$4:$W$40=$DU$23)*($OO$6:$OO$42=1))&gt;0)</f>
        <v/>
      </c>
      <c r="OQ23">
        <f>$OQ$22+--($OP23)</f>
        <v/>
      </c>
      <c r="OR23">
        <f>IF(ROW()-3&gt;MAX($OQ$4:$OQ$40),"",INDEX($DU$4:$DU$40,MATCH(ROW()-3,$OQ$4:$OQ$40,0)))</f>
        <v/>
      </c>
      <c r="OS23">
        <f>IF(COUNTIF('Buyer Groups'!DG23:EC23,0)+COUNTIF('Buyer Groups'!EE23:EN23,0)&gt;0,0,1)</f>
        <v/>
      </c>
      <c r="OT23">
        <f>IF($DZ$23="",FALSE,SUMPRODUCT(('Final Calculation Sheet'!$X$4:$X$40=$DZ$23)*($OS$6:$OS$42=1))&gt;0)</f>
        <v/>
      </c>
      <c r="OU23">
        <f>$OU$22+--($OT23)</f>
        <v/>
      </c>
      <c r="OV23">
        <f>IF(ROW()-3&gt;MAX($OU$4:$OU$40),"",INDEX($DZ$4:$DZ$40,MATCH(ROW()-3,$OU$4:$OU$40,0)))</f>
        <v/>
      </c>
      <c r="OW23">
        <f>IF(COUNTIF('Buyer Groups'!DG23:ED23,0)+COUNTIF('Buyer Groups'!EF23:EN23,0)&gt;0,0,1)</f>
        <v/>
      </c>
      <c r="OX23">
        <f>IF($EE$23="",FALSE,SUMPRODUCT(('Final Calculation Sheet'!$Y$4:$Y$40=$EE$23)*($OW$6:$OW$42=1))&gt;0)</f>
        <v/>
      </c>
      <c r="OY23">
        <f>$OY$22+--($OX23)</f>
        <v/>
      </c>
      <c r="OZ23">
        <f>IF(ROW()-3&gt;MAX($OY$4:$OY$40),"",INDEX($EE$4:$EE$40,MATCH(ROW()-3,$OY$4:$OY$40,0)))</f>
        <v/>
      </c>
      <c r="PA23">
        <f>IF(COUNTIF('Buyer Groups'!DG23:EE23,0)+COUNTIF('Buyer Groups'!EG23:EN23,0)&gt;0,0,1)</f>
        <v/>
      </c>
      <c r="PB23">
        <f>IF($EJ$23="",FALSE,SUMPRODUCT(('Final Calculation Sheet'!$Z$4:$Z$40=$EJ$23)*($PA$6:$PA$42=1))&gt;0)</f>
        <v/>
      </c>
      <c r="PC23">
        <f>$PC$22+--($PB23)</f>
        <v/>
      </c>
      <c r="PD23">
        <f>IF(ROW()-3&gt;MAX($PC$4:$PC$40),"",INDEX($EJ$4:$EJ$40,MATCH(ROW()-3,$PC$4:$PC$40,0)))</f>
        <v/>
      </c>
      <c r="PE23">
        <f>IF(COUNTIF('Buyer Groups'!DG23:EF23,0)+COUNTIF('Buyer Groups'!EH23:EN23,0)&gt;0,0,1)</f>
        <v/>
      </c>
      <c r="PF23">
        <f>IF($EO$23="",FALSE,SUMPRODUCT(('Final Calculation Sheet'!$AA$4:$AA$40=$EO$23)*($PE$6:$PE$42=1))&gt;0)</f>
        <v/>
      </c>
      <c r="PG23">
        <f>$PG$22+--($PF23)</f>
        <v/>
      </c>
      <c r="PH23">
        <f>IF(ROW()-3&gt;MAX($PG$4:$PG$40),"",INDEX($EO$4:$EO$40,MATCH(ROW()-3,$PG$4:$PG$40,0)))</f>
        <v/>
      </c>
      <c r="PI23">
        <f>IF(COUNTIF('Buyer Groups'!DG23:EG23,0)+COUNTIF('Buyer Groups'!EI23:EN23,0)&gt;0,0,1)</f>
        <v/>
      </c>
      <c r="PJ23">
        <f>IF($ET$23="",FALSE,SUMPRODUCT(('Final Calculation Sheet'!$AB$4:$AB$40=$ET$23)*($PI$6:$PI$42=1))&gt;0)</f>
        <v/>
      </c>
      <c r="PK23">
        <f>$PK$22+--($PJ23)</f>
        <v/>
      </c>
      <c r="PL23">
        <f>IF(ROW()-3&gt;MAX($PK$4:$PK$40),"",INDEX($ET$4:$ET$40,MATCH(ROW()-3,$PK$4:$PK$40,0)))</f>
        <v/>
      </c>
      <c r="PM23">
        <f>IF(COUNTIF('Buyer Groups'!DG23:EH23,0)+COUNTIF('Buyer Groups'!EJ23:EN23,0)&gt;0,0,1)</f>
        <v/>
      </c>
      <c r="PN23">
        <f>IF($EY$23="",FALSE,SUMPRODUCT(('Final Calculation Sheet'!$AC$4:$AC$40=$EY$23)*($PM$6:$PM$42=1))&gt;0)</f>
        <v/>
      </c>
      <c r="PO23">
        <f>$PO$22+--($PN23)</f>
        <v/>
      </c>
      <c r="PP23">
        <f>IF(ROW()-3&gt;MAX($PO$4:$PO$40),"",INDEX($EY$4:$EY$40,MATCH(ROW()-3,$PO$4:$PO$40,0)))</f>
        <v/>
      </c>
      <c r="PQ23">
        <f>IF(COUNTIF('Buyer Groups'!DG23:EI23,0)+COUNTIF('Buyer Groups'!EK23:EN23,0)&gt;0,0,1)</f>
        <v/>
      </c>
      <c r="PR23">
        <f>IF($FD$23="",FALSE,SUMPRODUCT(('Final Calculation Sheet'!$AD$4:$AD$40=$FD$23)*($PQ$6:$PQ$42=1))&gt;0)</f>
        <v/>
      </c>
      <c r="PS23">
        <f>$PS$22+--($PR23)</f>
        <v/>
      </c>
      <c r="PT23">
        <f>IF(ROW()-3&gt;MAX($PS$4:$PS$40),"",INDEX($FD$4:$FD$40,MATCH(ROW()-3,$PS$4:$PS$40,0)))</f>
        <v/>
      </c>
      <c r="PU23">
        <f>IF(COUNTIF('Buyer Groups'!DG23:EJ23,0)+COUNTIF('Buyer Groups'!EL23:EN23,0)&gt;0,0,1)</f>
        <v/>
      </c>
      <c r="PV23">
        <f>IF($FX$23="",FALSE,SUMPRODUCT((IF('Final Calculation Sheet'!$AD$4:$AD$40&lt;=5,"SETTLED","OUTSTANDING")=$FX$23)*($PU$6:$PU$42=1))&gt;0)</f>
        <v/>
      </c>
      <c r="PW23">
        <f>$PW$22+--($PV23)</f>
        <v/>
      </c>
      <c r="PX23">
        <f>IF(ROW()-3&gt;MAX($PW$4:$PW$40),"",INDEX($FX$4:$FX$40,MATCH(ROW()-3,$PW$4:$PW$40,0)))</f>
        <v/>
      </c>
      <c r="PY23">
        <f>IF(COUNTIF('Buyer Groups'!DG23:EK23,0)+COUNTIF('Buyer Groups'!EM23:EN23,0)&gt;0,0,1)</f>
        <v/>
      </c>
      <c r="PZ23">
        <f>IF($FI$23="",FALSE,SUMPRODUCT(('Final Calculation Sheet'!$AF$4:$AF$40=$FI$23)*($PY$6:$PY$42=1))&gt;0)</f>
        <v/>
      </c>
      <c r="QA23">
        <f>$QA$22+--($PZ23)</f>
        <v/>
      </c>
      <c r="QB23">
        <f>IF(ROW()-3&gt;MAX($QA$4:$QA$40),"",INDEX($FI$4:$FI$40,MATCH(ROW()-3,$QA$4:$QA$40,0)))</f>
        <v/>
      </c>
      <c r="QC23">
        <f>IF(COUNTIF('Buyer Groups'!DG23:EL23,0)+COUNTIF('Buyer Groups'!EN23:EN23,0)&gt;0,0,1)</f>
        <v/>
      </c>
      <c r="QD23">
        <f>IF($FN$23="",FALSE,SUMPRODUCT(('Final Calculation Sheet'!$AG$4:$AG$40=$FN$23)*($QC$6:$QC$42=1))&gt;0)</f>
        <v/>
      </c>
      <c r="QE23">
        <f>$QE$22+--($QD23)</f>
        <v/>
      </c>
      <c r="QF23">
        <f>IF(ROW()-3&gt;MAX($QE$4:$QE$40),"",INDEX($FN$4:$FN$40,MATCH(ROW()-3,$QE$4:$QE$40,0)))</f>
        <v/>
      </c>
      <c r="QG23">
        <f>IF(COUNTIF('Buyer Groups'!DG23:EM23,0)&gt;0,0,1)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Groups'!DH24:EN24,0)&gt;0,0,1)</f>
        <v/>
      </c>
      <c r="LF24">
        <f>IF($O$24="",FALSE,SUMPRODUCT(('Final Calculation Sheet'!$F$4:$F$40=$O$24)*($LE$6:$LE$42=1))&gt;0)</f>
        <v/>
      </c>
      <c r="LG24">
        <f>$LG$23+--($LF24)</f>
        <v/>
      </c>
      <c r="LH24">
        <f>IF(ROW()-3&gt;MAX($LG$4:$LG$40),"",INDEX($O$4:$O$40,MATCH(ROW()-3,$LG$4:$LG$40,0)))</f>
        <v/>
      </c>
      <c r="LI24">
        <f>IF(COUNTIF('Buyer Groups'!DG24:DG24,0)+COUNTIF('Buyer Groups'!DI24:EN24,0)&gt;0,0,1)</f>
        <v/>
      </c>
      <c r="LJ24">
        <f>IF($T$24="",FALSE,SUMPRODUCT(('Final Calculation Sheet'!$G$4:$G$40=$T$24)*($LI$6:$LI$42=1))&gt;0)</f>
        <v/>
      </c>
      <c r="LK24">
        <f>$LK$23+--($LJ24)</f>
        <v/>
      </c>
      <c r="LL24">
        <f>IF(ROW()-3&gt;MAX($LK$4:$LK$40),"",INDEX($T$4:$T$40,MATCH(ROW()-3,$LK$4:$LK$40,0)))</f>
        <v/>
      </c>
      <c r="LM24">
        <f>IF(COUNTIF('Buyer Groups'!DG24:DH24,0)+COUNTIF('Buyer Groups'!DJ24:EN24,0)&gt;0,0,1)</f>
        <v/>
      </c>
      <c r="LN24">
        <f>IF($Y$24="",FALSE,SUMPRODUCT(('Final Calculation Sheet'!$B$4:$B$40=$Y$24)*($LM$6:$LM$42=1))&gt;0)</f>
        <v/>
      </c>
      <c r="LO24">
        <f>$LO$23+--($LN24)</f>
        <v/>
      </c>
      <c r="LP24">
        <f>IF(ROW()-3&gt;MAX($LO$4:$LO$40),"",INDEX($Y$4:$Y$40,MATCH(ROW()-3,$LO$4:$LO$40,0)))</f>
        <v/>
      </c>
      <c r="LQ24">
        <f>IF(COUNTIF('Buyer Groups'!DG24:DI24,0)+COUNTIF('Buyer Groups'!DK24:EN24,0)&gt;0,0,1)</f>
        <v/>
      </c>
      <c r="LR24">
        <f>IF($AD$24="",FALSE,SUMPRODUCT(('Final Calculation Sheet'!$D$4:$D$40=$AD$24)*($LQ$6:$LQ$42=1))&gt;0)</f>
        <v/>
      </c>
      <c r="LS24">
        <f>$LS$23+--($LR24)</f>
        <v/>
      </c>
      <c r="LT24">
        <f>IF(ROW()-3&gt;MAX($LS$4:$LS$40),"",INDEX($AD$4:$AD$40,MATCH(ROW()-3,$LS$4:$LS$40,0)))</f>
        <v/>
      </c>
      <c r="LU24">
        <f>IF(COUNTIF('Buyer Groups'!DG24:DJ24,0)+COUNTIF('Buyer Groups'!DL24:EN24,0)&gt;0,0,1)</f>
        <v/>
      </c>
      <c r="LV24">
        <f>IF($AI$24="",FALSE,SUMPRODUCT(('Final Calculation Sheet'!$A$4:$A$40=$AI$24)*($LU$6:$LU$42=1))&gt;0)</f>
        <v/>
      </c>
      <c r="LW24">
        <f>$LW$23+--($LV24)</f>
        <v/>
      </c>
      <c r="LX24">
        <f>IF(ROW()-3&gt;MAX($LW$4:$LW$40),"",INDEX($AI$4:$AI$40,MATCH(ROW()-3,$LW$4:$LW$40,0)))</f>
        <v/>
      </c>
      <c r="LY24">
        <f>IF(COUNTIF('Buyer Groups'!DG24:DK24,0)+COUNTIF('Buyer Groups'!DM24:EN24,0)&gt;0,0,1)</f>
        <v/>
      </c>
      <c r="LZ24">
        <f>IF($AN$24="",FALSE,SUMPRODUCT(('Final Calculation Sheet'!$E$4:$E$40=$AN$24)*($LY$6:$LY$42=1))&gt;0)</f>
        <v/>
      </c>
      <c r="MA24">
        <f>$MA$23+--($LZ24)</f>
        <v/>
      </c>
      <c r="MB24">
        <f>IF(ROW()-3&gt;MAX($MA$4:$MA$40),"",INDEX($AN$4:$AN$40,MATCH(ROW()-3,$MA$4:$MA$40,0)))</f>
        <v/>
      </c>
      <c r="MC24">
        <f>IF(COUNTIF('Buyer Groups'!DG24:DL24,0)+COUNTIF('Buyer Groups'!DN24:EN24,0)&gt;0,0,1)</f>
        <v/>
      </c>
      <c r="MD24">
        <f>IF($AS$24="",FALSE,SUMPRODUCT(('Final Calculation Sheet'!$C$4:$C$40=$AS$24)*($MC$6:$MC$42=1))&gt;0)</f>
        <v/>
      </c>
      <c r="ME24">
        <f>$ME$23+--($MD24)</f>
        <v/>
      </c>
      <c r="MF24">
        <f>IF(ROW()-3&gt;MAX($ME$4:$ME$40),"",INDEX($AS$4:$AS$40,MATCH(ROW()-3,$ME$4:$ME$40,0)))</f>
        <v/>
      </c>
      <c r="MG24">
        <f>IF(COUNTIF('Buyer Groups'!DG24:DM24,0)+COUNTIF('Buyer Groups'!DO24:EN24,0)&gt;0,0,1)</f>
        <v/>
      </c>
      <c r="MH24">
        <f>IF($AX$24="",FALSE,SUMPRODUCT(('Final Calculation Sheet'!$H$4:$H$40=$AX$24)*($MG$6:$MG$42=1))&gt;0)</f>
        <v/>
      </c>
      <c r="MI24">
        <f>$MI$23+--($MH24)</f>
        <v/>
      </c>
      <c r="MJ24">
        <f>IF(ROW()-3&gt;MAX($MI$4:$MI$40),"",INDEX($AX$4:$AX$40,MATCH(ROW()-3,$MI$4:$MI$40,0)))</f>
        <v/>
      </c>
      <c r="MK24">
        <f>IF(COUNTIF('Buyer Groups'!DG24:DN24,0)+COUNTIF('Buyer Groups'!DP24:EN24,0)&gt;0,0,1)</f>
        <v/>
      </c>
      <c r="ML24">
        <f>IF($BC$24="",FALSE,SUMPRODUCT(('Final Calculation Sheet'!$I$4:$I$40=$BC$24)*($MK$6:$MK$42=1))&gt;0)</f>
        <v/>
      </c>
      <c r="MM24">
        <f>$MM$23+--($ML24)</f>
        <v/>
      </c>
      <c r="MN24">
        <f>IF(ROW()-3&gt;MAX($MM$4:$MM$40),"",INDEX($BC$4:$BC$40,MATCH(ROW()-3,$MM$4:$MM$40,0)))</f>
        <v/>
      </c>
      <c r="MO24">
        <f>IF(COUNTIF('Buyer Groups'!DG24:DO24,0)+COUNTIF('Buyer Groups'!DQ24:EN24,0)&gt;0,0,1)</f>
        <v/>
      </c>
      <c r="MP24">
        <f>IF($BH$24="",FALSE,SUMPRODUCT(('Final Calculation Sheet'!$J$4:$J$40=$BH$24)*($MO$6:$MO$42=1))&gt;0)</f>
        <v/>
      </c>
      <c r="MQ24">
        <f>$MQ$23+--($MP24)</f>
        <v/>
      </c>
      <c r="MR24">
        <f>IF(ROW()-3&gt;MAX($MQ$4:$MQ$40),"",INDEX($BH$4:$BH$40,MATCH(ROW()-3,$MQ$4:$MQ$40,0)))</f>
        <v/>
      </c>
      <c r="MS24">
        <f>IF(COUNTIF('Buyer Groups'!DG24:DP24,0)+COUNTIF('Buyer Groups'!DR24:EN24,0)&gt;0,0,1)</f>
        <v/>
      </c>
      <c r="MT24">
        <f>IF($BM$24="",FALSE,SUMPRODUCT(('Final Calculation Sheet'!$K$4:$K$40=$BM$24)*($MS$6:$MS$42=1))&gt;0)</f>
        <v/>
      </c>
      <c r="MU24">
        <f>$MU$23+--($MT24)</f>
        <v/>
      </c>
      <c r="MV24">
        <f>IF(ROW()-3&gt;MAX($MU$4:$MU$40),"",INDEX($BM$4:$BM$40,MATCH(ROW()-3,$MU$4:$MU$40,0)))</f>
        <v/>
      </c>
      <c r="MW24">
        <f>IF(COUNTIF('Buyer Groups'!DG24:DQ24,0)+COUNTIF('Buyer Groups'!DS24:EN24,0)&gt;0,0,1)</f>
        <v/>
      </c>
      <c r="MX24">
        <f>IF($BR$24="",FALSE,SUMPRODUCT(('Final Calculation Sheet'!$L$4:$L$40=$BR$24)*($MW$6:$MW$42=1))&gt;0)</f>
        <v/>
      </c>
      <c r="MY24">
        <f>$MY$23+--($MX24)</f>
        <v/>
      </c>
      <c r="MZ24">
        <f>IF(ROW()-3&gt;MAX($MY$4:$MY$40),"",INDEX($BR$4:$BR$40,MATCH(ROW()-3,$MY$4:$MY$40,0)))</f>
        <v/>
      </c>
      <c r="NA24">
        <f>IF(COUNTIF('Buyer Groups'!DG24:DR24,0)+COUNTIF('Buyer Groups'!DT24:EN24,0)&gt;0,0,1)</f>
        <v/>
      </c>
      <c r="NB24">
        <f>IF($BW$24="",FALSE,SUMPRODUCT(('Final Calculation Sheet'!$M$4:$M$40=$BW$24)*($NA$6:$NA$42=1))&gt;0)</f>
        <v/>
      </c>
      <c r="NC24">
        <f>$NC$23+--($NB24)</f>
        <v/>
      </c>
      <c r="ND24">
        <f>IF(ROW()-3&gt;MAX($NC$4:$NC$40),"",INDEX($BW$4:$BW$40,MATCH(ROW()-3,$NC$4:$NC$40,0)))</f>
        <v/>
      </c>
      <c r="NE24">
        <f>IF(COUNTIF('Buyer Groups'!DG24:DS24,0)+COUNTIF('Buyer Groups'!DU24:EN24,0)&gt;0,0,1)</f>
        <v/>
      </c>
      <c r="NF24">
        <f>IF($CB$24="",FALSE,SUMPRODUCT(('Final Calculation Sheet'!$N$4:$N$40=$CB$24)*($NE$6:$NE$42=1))&gt;0)</f>
        <v/>
      </c>
      <c r="NG24">
        <f>$NG$23+--($NF24)</f>
        <v/>
      </c>
      <c r="NH24">
        <f>IF(ROW()-3&gt;MAX($NG$4:$NG$40),"",INDEX($CB$4:$CB$40,MATCH(ROW()-3,$NG$4:$NG$40,0)))</f>
        <v/>
      </c>
      <c r="NI24">
        <f>IF(COUNTIF('Buyer Groups'!DG24:DT24,0)+COUNTIF('Buyer Groups'!DV24:EN24,0)&gt;0,0,1)</f>
        <v/>
      </c>
      <c r="NJ24">
        <f>IF($CG$24="",FALSE,SUMPRODUCT(('Final Calculation Sheet'!$O$4:$O$40=$CG$24)*($NI$6:$NI$42=1))&gt;0)</f>
        <v/>
      </c>
      <c r="NK24">
        <f>$NK$23+--($NJ24)</f>
        <v/>
      </c>
      <c r="NL24">
        <f>IF(ROW()-3&gt;MAX($NK$4:$NK$40),"",INDEX($CG$4:$CG$40,MATCH(ROW()-3,$NK$4:$NK$40,0)))</f>
        <v/>
      </c>
      <c r="NM24">
        <f>IF(COUNTIF('Buyer Groups'!DG24:DU24,0)+COUNTIF('Buyer Groups'!DW24:EN24,0)&gt;0,0,1)</f>
        <v/>
      </c>
      <c r="NN24">
        <f>IF($CL$24="",FALSE,SUMPRODUCT(('Final Calculation Sheet'!$P$4:$P$40=$CL$24)*($NM$6:$NM$42=1))&gt;0)</f>
        <v/>
      </c>
      <c r="NO24">
        <f>$NO$23+--($NN24)</f>
        <v/>
      </c>
      <c r="NP24">
        <f>IF(ROW()-3&gt;MAX($NO$4:$NO$40),"",INDEX($CL$4:$CL$40,MATCH(ROW()-3,$NO$4:$NO$40,0)))</f>
        <v/>
      </c>
      <c r="NQ24">
        <f>IF(COUNTIF('Buyer Groups'!DG24:DV24,0)+COUNTIF('Buyer Groups'!DX24:EN24,0)&gt;0,0,1)</f>
        <v/>
      </c>
      <c r="NR24">
        <f>IF($CQ$24="",FALSE,SUMPRODUCT(('Final Calculation Sheet'!$Q$4:$Q$40=$CQ$24)*($NQ$6:$NQ$42=1))&gt;0)</f>
        <v/>
      </c>
      <c r="NS24">
        <f>$NS$23+--($NR24)</f>
        <v/>
      </c>
      <c r="NT24">
        <f>IF(ROW()-3&gt;MAX($NS$4:$NS$40),"",INDEX($CQ$4:$CQ$40,MATCH(ROW()-3,$NS$4:$NS$40,0)))</f>
        <v/>
      </c>
      <c r="NU24">
        <f>IF(COUNTIF('Buyer Groups'!DG24:DW24,0)+COUNTIF('Buyer Groups'!DY24:EN24,0)&gt;0,0,1)</f>
        <v/>
      </c>
      <c r="NV24">
        <f>IF($CV$24="",FALSE,SUMPRODUCT(('Final Calculation Sheet'!$R$4:$R$40=$CV$24)*($NU$6:$NU$42=1))&gt;0)</f>
        <v/>
      </c>
      <c r="NW24">
        <f>$NW$23+--($NV24)</f>
        <v/>
      </c>
      <c r="NX24">
        <f>IF(ROW()-3&gt;MAX($NW$4:$NW$40),"",INDEX($CV$4:$CV$40,MATCH(ROW()-3,$NW$4:$NW$40,0)))</f>
        <v/>
      </c>
      <c r="NY24">
        <f>IF(COUNTIF('Buyer Groups'!DG24:DX24,0)+COUNTIF('Buyer Groups'!DZ24:EN24,0)&gt;0,0,1)</f>
        <v/>
      </c>
      <c r="NZ24">
        <f>IF($DA$24="",FALSE,SUMPRODUCT(('Final Calculation Sheet'!$S$4:$S$40=$DA$24)*($NY$6:$NY$42=1))&gt;0)</f>
        <v/>
      </c>
      <c r="OA24">
        <f>$OA$23+--($NZ24)</f>
        <v/>
      </c>
      <c r="OB24">
        <f>IF(ROW()-3&gt;MAX($OA$4:$OA$40),"",INDEX($DA$4:$DA$40,MATCH(ROW()-3,$OA$4:$OA$40,0)))</f>
        <v/>
      </c>
      <c r="OC24">
        <f>IF(COUNTIF('Buyer Groups'!DG24:DY24,0)+COUNTIF('Buyer Groups'!EA24:EN24,0)&gt;0,0,1)</f>
        <v/>
      </c>
      <c r="OD24">
        <f>IF($DF$24="",FALSE,SUMPRODUCT(('Final Calculation Sheet'!$T$4:$T$40=$DF$24)*($OC$6:$OC$42=1))&gt;0)</f>
        <v/>
      </c>
      <c r="OE24">
        <f>$OE$23+--($OD24)</f>
        <v/>
      </c>
      <c r="OF24">
        <f>IF(ROW()-3&gt;MAX($OE$4:$OE$40),"",INDEX($DF$4:$DF$40,MATCH(ROW()-3,$OE$4:$OE$40,0)))</f>
        <v/>
      </c>
      <c r="OG24">
        <f>IF(COUNTIF('Buyer Groups'!DG24:DZ24,0)+COUNTIF('Buyer Groups'!EB24:EN24,0)&gt;0,0,1)</f>
        <v/>
      </c>
      <c r="OH24">
        <f>IF($DK$24="",FALSE,SUMPRODUCT(('Final Calculation Sheet'!$U$4:$U$40=$DK$24)*($OG$6:$OG$42=1))&gt;0)</f>
        <v/>
      </c>
      <c r="OI24">
        <f>$OI$23+--($OH24)</f>
        <v/>
      </c>
      <c r="OJ24">
        <f>IF(ROW()-3&gt;MAX($OI$4:$OI$40),"",INDEX($DK$4:$DK$40,MATCH(ROW()-3,$OI$4:$OI$40,0)))</f>
        <v/>
      </c>
      <c r="OK24">
        <f>IF(COUNTIF('Buyer Groups'!DG24:EA24,0)+COUNTIF('Buyer Groups'!EC24:EN24,0)&gt;0,0,1)</f>
        <v/>
      </c>
      <c r="OL24">
        <f>IF($DP$24="",FALSE,SUMPRODUCT(('Final Calculation Sheet'!$V$4:$V$40=$DP$24)*($OK$6:$OK$42=1))&gt;0)</f>
        <v/>
      </c>
      <c r="OM24">
        <f>$OM$23+--($OL24)</f>
        <v/>
      </c>
      <c r="ON24">
        <f>IF(ROW()-3&gt;MAX($OM$4:$OM$40),"",INDEX($DP$4:$DP$40,MATCH(ROW()-3,$OM$4:$OM$40,0)))</f>
        <v/>
      </c>
      <c r="OO24">
        <f>IF(COUNTIF('Buyer Groups'!DG24:EB24,0)+COUNTIF('Buyer Groups'!ED24:EN24,0)&gt;0,0,1)</f>
        <v/>
      </c>
      <c r="OP24">
        <f>IF($DU$24="",FALSE,SUMPRODUCT(('Final Calculation Sheet'!$W$4:$W$40=$DU$24)*($OO$6:$OO$42=1))&gt;0)</f>
        <v/>
      </c>
      <c r="OQ24">
        <f>$OQ$23+--($OP24)</f>
        <v/>
      </c>
      <c r="OR24">
        <f>IF(ROW()-3&gt;MAX($OQ$4:$OQ$40),"",INDEX($DU$4:$DU$40,MATCH(ROW()-3,$OQ$4:$OQ$40,0)))</f>
        <v/>
      </c>
      <c r="OS24">
        <f>IF(COUNTIF('Buyer Groups'!DG24:EC24,0)+COUNTIF('Buyer Groups'!EE24:EN24,0)&gt;0,0,1)</f>
        <v/>
      </c>
      <c r="OT24">
        <f>IF($DZ$24="",FALSE,SUMPRODUCT(('Final Calculation Sheet'!$X$4:$X$40=$DZ$24)*($OS$6:$OS$42=1))&gt;0)</f>
        <v/>
      </c>
      <c r="OU24">
        <f>$OU$23+--($OT24)</f>
        <v/>
      </c>
      <c r="OV24">
        <f>IF(ROW()-3&gt;MAX($OU$4:$OU$40),"",INDEX($DZ$4:$DZ$40,MATCH(ROW()-3,$OU$4:$OU$40,0)))</f>
        <v/>
      </c>
      <c r="OW24">
        <f>IF(COUNTIF('Buyer Groups'!DG24:ED24,0)+COUNTIF('Buyer Groups'!EF24:EN24,0)&gt;0,0,1)</f>
        <v/>
      </c>
      <c r="OX24">
        <f>IF($EE$24="",FALSE,SUMPRODUCT(('Final Calculation Sheet'!$Y$4:$Y$40=$EE$24)*($OW$6:$OW$42=1))&gt;0)</f>
        <v/>
      </c>
      <c r="OY24">
        <f>$OY$23+--($OX24)</f>
        <v/>
      </c>
      <c r="OZ24">
        <f>IF(ROW()-3&gt;MAX($OY$4:$OY$40),"",INDEX($EE$4:$EE$40,MATCH(ROW()-3,$OY$4:$OY$40,0)))</f>
        <v/>
      </c>
      <c r="PA24">
        <f>IF(COUNTIF('Buyer Groups'!DG24:EE24,0)+COUNTIF('Buyer Groups'!EG24:EN24,0)&gt;0,0,1)</f>
        <v/>
      </c>
      <c r="PB24">
        <f>IF($EJ$24="",FALSE,SUMPRODUCT(('Final Calculation Sheet'!$Z$4:$Z$40=$EJ$24)*($PA$6:$PA$42=1))&gt;0)</f>
        <v/>
      </c>
      <c r="PC24">
        <f>$PC$23+--($PB24)</f>
        <v/>
      </c>
      <c r="PD24">
        <f>IF(ROW()-3&gt;MAX($PC$4:$PC$40),"",INDEX($EJ$4:$EJ$40,MATCH(ROW()-3,$PC$4:$PC$40,0)))</f>
        <v/>
      </c>
      <c r="PE24">
        <f>IF(COUNTIF('Buyer Groups'!DG24:EF24,0)+COUNTIF('Buyer Groups'!EH24:EN24,0)&gt;0,0,1)</f>
        <v/>
      </c>
      <c r="PF24">
        <f>IF($EO$24="",FALSE,SUMPRODUCT(('Final Calculation Sheet'!$AA$4:$AA$40=$EO$24)*($PE$6:$PE$42=1))&gt;0)</f>
        <v/>
      </c>
      <c r="PG24">
        <f>$PG$23+--($PF24)</f>
        <v/>
      </c>
      <c r="PH24">
        <f>IF(ROW()-3&gt;MAX($PG$4:$PG$40),"",INDEX($EO$4:$EO$40,MATCH(ROW()-3,$PG$4:$PG$40,0)))</f>
        <v/>
      </c>
      <c r="PI24">
        <f>IF(COUNTIF('Buyer Groups'!DG24:EG24,0)+COUNTIF('Buyer Groups'!EI24:EN24,0)&gt;0,0,1)</f>
        <v/>
      </c>
      <c r="PJ24">
        <f>IF($ET$24="",FALSE,SUMPRODUCT(('Final Calculation Sheet'!$AB$4:$AB$40=$ET$24)*($PI$6:$PI$42=1))&gt;0)</f>
        <v/>
      </c>
      <c r="PK24">
        <f>$PK$23+--($PJ24)</f>
        <v/>
      </c>
      <c r="PL24">
        <f>IF(ROW()-3&gt;MAX($PK$4:$PK$40),"",INDEX($ET$4:$ET$40,MATCH(ROW()-3,$PK$4:$PK$40,0)))</f>
        <v/>
      </c>
      <c r="PM24">
        <f>IF(COUNTIF('Buyer Groups'!DG24:EH24,0)+COUNTIF('Buyer Groups'!EJ24:EN24,0)&gt;0,0,1)</f>
        <v/>
      </c>
      <c r="PN24">
        <f>IF($EY$24="",FALSE,SUMPRODUCT(('Final Calculation Sheet'!$AC$4:$AC$40=$EY$24)*($PM$6:$PM$42=1))&gt;0)</f>
        <v/>
      </c>
      <c r="PO24">
        <f>$PO$23+--($PN24)</f>
        <v/>
      </c>
      <c r="PP24">
        <f>IF(ROW()-3&gt;MAX($PO$4:$PO$40),"",INDEX($EY$4:$EY$40,MATCH(ROW()-3,$PO$4:$PO$40,0)))</f>
        <v/>
      </c>
      <c r="PQ24">
        <f>IF(COUNTIF('Buyer Groups'!DG24:EI24,0)+COUNTIF('Buyer Groups'!EK24:EN24,0)&gt;0,0,1)</f>
        <v/>
      </c>
      <c r="PR24">
        <f>IF($FD$24="",FALSE,SUMPRODUCT(('Final Calculation Sheet'!$AD$4:$AD$40=$FD$24)*($PQ$6:$PQ$42=1))&gt;0)</f>
        <v/>
      </c>
      <c r="PS24">
        <f>$PS$23+--($PR24)</f>
        <v/>
      </c>
      <c r="PT24">
        <f>IF(ROW()-3&gt;MAX($PS$4:$PS$40),"",INDEX($FD$4:$FD$40,MATCH(ROW()-3,$PS$4:$PS$40,0)))</f>
        <v/>
      </c>
      <c r="PU24">
        <f>IF(COUNTIF('Buyer Groups'!DG24:EJ24,0)+COUNTIF('Buyer Groups'!EL24:EN24,0)&gt;0,0,1)</f>
        <v/>
      </c>
      <c r="PV24">
        <f>IF($FX$24="",FALSE,SUMPRODUCT((IF('Final Calculation Sheet'!$AD$4:$AD$40&lt;=5,"SETTLED","OUTSTANDING")=$FX$24)*($PU$6:$PU$42=1))&gt;0)</f>
        <v/>
      </c>
      <c r="PW24">
        <f>$PW$23+--($PV24)</f>
        <v/>
      </c>
      <c r="PX24">
        <f>IF(ROW()-3&gt;MAX($PW$4:$PW$40),"",INDEX($FX$4:$FX$40,MATCH(ROW()-3,$PW$4:$PW$40,0)))</f>
        <v/>
      </c>
      <c r="PY24">
        <f>IF(COUNTIF('Buyer Groups'!DG24:EK24,0)+COUNTIF('Buyer Groups'!EM24:EN24,0)&gt;0,0,1)</f>
        <v/>
      </c>
      <c r="PZ24">
        <f>IF($FI$24="",FALSE,SUMPRODUCT(('Final Calculation Sheet'!$AF$4:$AF$40=$FI$24)*($PY$6:$PY$42=1))&gt;0)</f>
        <v/>
      </c>
      <c r="QA24">
        <f>$QA$23+--($PZ24)</f>
        <v/>
      </c>
      <c r="QB24">
        <f>IF(ROW()-3&gt;MAX($QA$4:$QA$40),"",INDEX($FI$4:$FI$40,MATCH(ROW()-3,$QA$4:$QA$40,0)))</f>
        <v/>
      </c>
      <c r="QC24">
        <f>IF(COUNTIF('Buyer Groups'!DG24:EL24,0)+COUNTIF('Buyer Groups'!EN24:EN24,0)&gt;0,0,1)</f>
        <v/>
      </c>
      <c r="QD24">
        <f>IF($FN$24="",FALSE,SUMPRODUCT(('Final Calculation Sheet'!$AG$4:$AG$40=$FN$24)*($QC$6:$QC$42=1))&gt;0)</f>
        <v/>
      </c>
      <c r="QE24">
        <f>$QE$23+--($QD24)</f>
        <v/>
      </c>
      <c r="QF24">
        <f>IF(ROW()-3&gt;MAX($QE$4:$QE$40),"",INDEX($FN$4:$FN$40,MATCH(ROW()-3,$QE$4:$QE$40,0)))</f>
        <v/>
      </c>
      <c r="QG24">
        <f>IF(COUNTIF('Buyer Groups'!DG24:EM24,0)&gt;0,0,1)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Groups'!DH25:EN25,0)&gt;0,0,1)</f>
        <v/>
      </c>
      <c r="LF25">
        <f>IF($O$25="",FALSE,SUMPRODUCT(('Final Calculation Sheet'!$F$4:$F$40=$O$25)*($LE$6:$LE$42=1))&gt;0)</f>
        <v/>
      </c>
      <c r="LG25">
        <f>$LG$24+--($LF25)</f>
        <v/>
      </c>
      <c r="LH25">
        <f>IF(ROW()-3&gt;MAX($LG$4:$LG$40),"",INDEX($O$4:$O$40,MATCH(ROW()-3,$LG$4:$LG$40,0)))</f>
        <v/>
      </c>
      <c r="LI25">
        <f>IF(COUNTIF('Buyer Groups'!DG25:DG25,0)+COUNTIF('Buyer Groups'!DI25:EN25,0)&gt;0,0,1)</f>
        <v/>
      </c>
      <c r="LJ25">
        <f>IF($T$25="",FALSE,SUMPRODUCT(('Final Calculation Sheet'!$G$4:$G$40=$T$25)*($LI$6:$LI$42=1))&gt;0)</f>
        <v/>
      </c>
      <c r="LK25">
        <f>$LK$24+--($LJ25)</f>
        <v/>
      </c>
      <c r="LL25">
        <f>IF(ROW()-3&gt;MAX($LK$4:$LK$40),"",INDEX($T$4:$T$40,MATCH(ROW()-3,$LK$4:$LK$40,0)))</f>
        <v/>
      </c>
      <c r="LM25">
        <f>IF(COUNTIF('Buyer Groups'!DG25:DH25,0)+COUNTIF('Buyer Groups'!DJ25:EN25,0)&gt;0,0,1)</f>
        <v/>
      </c>
      <c r="LN25">
        <f>IF($Y$25="",FALSE,SUMPRODUCT(('Final Calculation Sheet'!$B$4:$B$40=$Y$25)*($LM$6:$LM$42=1))&gt;0)</f>
        <v/>
      </c>
      <c r="LO25">
        <f>$LO$24+--($LN25)</f>
        <v/>
      </c>
      <c r="LP25">
        <f>IF(ROW()-3&gt;MAX($LO$4:$LO$40),"",INDEX($Y$4:$Y$40,MATCH(ROW()-3,$LO$4:$LO$40,0)))</f>
        <v/>
      </c>
      <c r="LQ25">
        <f>IF(COUNTIF('Buyer Groups'!DG25:DI25,0)+COUNTIF('Buyer Groups'!DK25:EN25,0)&gt;0,0,1)</f>
        <v/>
      </c>
      <c r="LR25">
        <f>IF($AD$25="",FALSE,SUMPRODUCT(('Final Calculation Sheet'!$D$4:$D$40=$AD$25)*($LQ$6:$LQ$42=1))&gt;0)</f>
        <v/>
      </c>
      <c r="LS25">
        <f>$LS$24+--($LR25)</f>
        <v/>
      </c>
      <c r="LT25">
        <f>IF(ROW()-3&gt;MAX($LS$4:$LS$40),"",INDEX($AD$4:$AD$40,MATCH(ROW()-3,$LS$4:$LS$40,0)))</f>
        <v/>
      </c>
      <c r="LU25">
        <f>IF(COUNTIF('Buyer Groups'!DG25:DJ25,0)+COUNTIF('Buyer Groups'!DL25:EN25,0)&gt;0,0,1)</f>
        <v/>
      </c>
      <c r="LV25">
        <f>IF($AI$25="",FALSE,SUMPRODUCT(('Final Calculation Sheet'!$A$4:$A$40=$AI$25)*($LU$6:$LU$42=1))&gt;0)</f>
        <v/>
      </c>
      <c r="LW25">
        <f>$LW$24+--($LV25)</f>
        <v/>
      </c>
      <c r="LX25">
        <f>IF(ROW()-3&gt;MAX($LW$4:$LW$40),"",INDEX($AI$4:$AI$40,MATCH(ROW()-3,$LW$4:$LW$40,0)))</f>
        <v/>
      </c>
      <c r="LY25">
        <f>IF(COUNTIF('Buyer Groups'!DG25:DK25,0)+COUNTIF('Buyer Groups'!DM25:EN25,0)&gt;0,0,1)</f>
        <v/>
      </c>
      <c r="LZ25">
        <f>IF($AN$25="",FALSE,SUMPRODUCT(('Final Calculation Sheet'!$E$4:$E$40=$AN$25)*($LY$6:$LY$42=1))&gt;0)</f>
        <v/>
      </c>
      <c r="MA25">
        <f>$MA$24+--($LZ25)</f>
        <v/>
      </c>
      <c r="MB25">
        <f>IF(ROW()-3&gt;MAX($MA$4:$MA$40),"",INDEX($AN$4:$AN$40,MATCH(ROW()-3,$MA$4:$MA$40,0)))</f>
        <v/>
      </c>
      <c r="MC25">
        <f>IF(COUNTIF('Buyer Groups'!DG25:DL25,0)+COUNTIF('Buyer Groups'!DN25:EN25,0)&gt;0,0,1)</f>
        <v/>
      </c>
      <c r="MD25">
        <f>IF($AS$25="",FALSE,SUMPRODUCT(('Final Calculation Sheet'!$C$4:$C$40=$AS$25)*($MC$6:$MC$42=1))&gt;0)</f>
        <v/>
      </c>
      <c r="ME25">
        <f>$ME$24+--($MD25)</f>
        <v/>
      </c>
      <c r="MF25">
        <f>IF(ROW()-3&gt;MAX($ME$4:$ME$40),"",INDEX($AS$4:$AS$40,MATCH(ROW()-3,$ME$4:$ME$40,0)))</f>
        <v/>
      </c>
      <c r="MG25">
        <f>IF(COUNTIF('Buyer Groups'!DG25:DM25,0)+COUNTIF('Buyer Groups'!DO25:EN25,0)&gt;0,0,1)</f>
        <v/>
      </c>
      <c r="MH25">
        <f>IF($AX$25="",FALSE,SUMPRODUCT(('Final Calculation Sheet'!$H$4:$H$40=$AX$25)*($MG$6:$MG$42=1))&gt;0)</f>
        <v/>
      </c>
      <c r="MI25">
        <f>$MI$24+--($MH25)</f>
        <v/>
      </c>
      <c r="MJ25">
        <f>IF(ROW()-3&gt;MAX($MI$4:$MI$40),"",INDEX($AX$4:$AX$40,MATCH(ROW()-3,$MI$4:$MI$40,0)))</f>
        <v/>
      </c>
      <c r="MK25">
        <f>IF(COUNTIF('Buyer Groups'!DG25:DN25,0)+COUNTIF('Buyer Groups'!DP25:EN25,0)&gt;0,0,1)</f>
        <v/>
      </c>
      <c r="ML25">
        <f>IF($BC$25="",FALSE,SUMPRODUCT(('Final Calculation Sheet'!$I$4:$I$40=$BC$25)*($MK$6:$MK$42=1))&gt;0)</f>
        <v/>
      </c>
      <c r="MM25">
        <f>$MM$24+--($ML25)</f>
        <v/>
      </c>
      <c r="MN25">
        <f>IF(ROW()-3&gt;MAX($MM$4:$MM$40),"",INDEX($BC$4:$BC$40,MATCH(ROW()-3,$MM$4:$MM$40,0)))</f>
        <v/>
      </c>
      <c r="MO25">
        <f>IF(COUNTIF('Buyer Groups'!DG25:DO25,0)+COUNTIF('Buyer Groups'!DQ25:EN25,0)&gt;0,0,1)</f>
        <v/>
      </c>
      <c r="MP25">
        <f>IF($BH$25="",FALSE,SUMPRODUCT(('Final Calculation Sheet'!$J$4:$J$40=$BH$25)*($MO$6:$MO$42=1))&gt;0)</f>
        <v/>
      </c>
      <c r="MQ25">
        <f>$MQ$24+--($MP25)</f>
        <v/>
      </c>
      <c r="MR25">
        <f>IF(ROW()-3&gt;MAX($MQ$4:$MQ$40),"",INDEX($BH$4:$BH$40,MATCH(ROW()-3,$MQ$4:$MQ$40,0)))</f>
        <v/>
      </c>
      <c r="MS25">
        <f>IF(COUNTIF('Buyer Groups'!DG25:DP25,0)+COUNTIF('Buyer Groups'!DR25:EN25,0)&gt;0,0,1)</f>
        <v/>
      </c>
      <c r="MT25">
        <f>IF($BM$25="",FALSE,SUMPRODUCT(('Final Calculation Sheet'!$K$4:$K$40=$BM$25)*($MS$6:$MS$42=1))&gt;0)</f>
        <v/>
      </c>
      <c r="MU25">
        <f>$MU$24+--($MT25)</f>
        <v/>
      </c>
      <c r="MV25">
        <f>IF(ROW()-3&gt;MAX($MU$4:$MU$40),"",INDEX($BM$4:$BM$40,MATCH(ROW()-3,$MU$4:$MU$40,0)))</f>
        <v/>
      </c>
      <c r="MW25">
        <f>IF(COUNTIF('Buyer Groups'!DG25:DQ25,0)+COUNTIF('Buyer Groups'!DS25:EN25,0)&gt;0,0,1)</f>
        <v/>
      </c>
      <c r="MX25">
        <f>IF($BR$25="",FALSE,SUMPRODUCT(('Final Calculation Sheet'!$L$4:$L$40=$BR$25)*($MW$6:$MW$42=1))&gt;0)</f>
        <v/>
      </c>
      <c r="MY25">
        <f>$MY$24+--($MX25)</f>
        <v/>
      </c>
      <c r="MZ25">
        <f>IF(ROW()-3&gt;MAX($MY$4:$MY$40),"",INDEX($BR$4:$BR$40,MATCH(ROW()-3,$MY$4:$MY$40,0)))</f>
        <v/>
      </c>
      <c r="NA25">
        <f>IF(COUNTIF('Buyer Groups'!DG25:DR25,0)+COUNTIF('Buyer Groups'!DT25:EN25,0)&gt;0,0,1)</f>
        <v/>
      </c>
      <c r="NB25">
        <f>IF($BW$25="",FALSE,SUMPRODUCT(('Final Calculation Sheet'!$M$4:$M$40=$BW$25)*($NA$6:$NA$42=1))&gt;0)</f>
        <v/>
      </c>
      <c r="NC25">
        <f>$NC$24+--($NB25)</f>
        <v/>
      </c>
      <c r="ND25">
        <f>IF(ROW()-3&gt;MAX($NC$4:$NC$40),"",INDEX($BW$4:$BW$40,MATCH(ROW()-3,$NC$4:$NC$40,0)))</f>
        <v/>
      </c>
      <c r="NE25">
        <f>IF(COUNTIF('Buyer Groups'!DG25:DS25,0)+COUNTIF('Buyer Groups'!DU25:EN25,0)&gt;0,0,1)</f>
        <v/>
      </c>
      <c r="NF25">
        <f>IF($CB$25="",FALSE,SUMPRODUCT(('Final Calculation Sheet'!$N$4:$N$40=$CB$25)*($NE$6:$NE$42=1))&gt;0)</f>
        <v/>
      </c>
      <c r="NG25">
        <f>$NG$24+--($NF25)</f>
        <v/>
      </c>
      <c r="NH25">
        <f>IF(ROW()-3&gt;MAX($NG$4:$NG$40),"",INDEX($CB$4:$CB$40,MATCH(ROW()-3,$NG$4:$NG$40,0)))</f>
        <v/>
      </c>
      <c r="NI25">
        <f>IF(COUNTIF('Buyer Groups'!DG25:DT25,0)+COUNTIF('Buyer Groups'!DV25:EN25,0)&gt;0,0,1)</f>
        <v/>
      </c>
      <c r="NJ25">
        <f>IF($CG$25="",FALSE,SUMPRODUCT(('Final Calculation Sheet'!$O$4:$O$40=$CG$25)*($NI$6:$NI$42=1))&gt;0)</f>
        <v/>
      </c>
      <c r="NK25">
        <f>$NK$24+--($NJ25)</f>
        <v/>
      </c>
      <c r="NL25">
        <f>IF(ROW()-3&gt;MAX($NK$4:$NK$40),"",INDEX($CG$4:$CG$40,MATCH(ROW()-3,$NK$4:$NK$40,0)))</f>
        <v/>
      </c>
      <c r="NM25">
        <f>IF(COUNTIF('Buyer Groups'!DG25:DU25,0)+COUNTIF('Buyer Groups'!DW25:EN25,0)&gt;0,0,1)</f>
        <v/>
      </c>
      <c r="NN25">
        <f>IF($CL$25="",FALSE,SUMPRODUCT(('Final Calculation Sheet'!$P$4:$P$40=$CL$25)*($NM$6:$NM$42=1))&gt;0)</f>
        <v/>
      </c>
      <c r="NO25">
        <f>$NO$24+--($NN25)</f>
        <v/>
      </c>
      <c r="NP25">
        <f>IF(ROW()-3&gt;MAX($NO$4:$NO$40),"",INDEX($CL$4:$CL$40,MATCH(ROW()-3,$NO$4:$NO$40,0)))</f>
        <v/>
      </c>
      <c r="NQ25">
        <f>IF(COUNTIF('Buyer Groups'!DG25:DV25,0)+COUNTIF('Buyer Groups'!DX25:EN25,0)&gt;0,0,1)</f>
        <v/>
      </c>
      <c r="NR25">
        <f>IF($CQ$25="",FALSE,SUMPRODUCT(('Final Calculation Sheet'!$Q$4:$Q$40=$CQ$25)*($NQ$6:$NQ$42=1))&gt;0)</f>
        <v/>
      </c>
      <c r="NS25">
        <f>$NS$24+--($NR25)</f>
        <v/>
      </c>
      <c r="NT25">
        <f>IF(ROW()-3&gt;MAX($NS$4:$NS$40),"",INDEX($CQ$4:$CQ$40,MATCH(ROW()-3,$NS$4:$NS$40,0)))</f>
        <v/>
      </c>
      <c r="NU25">
        <f>IF(COUNTIF('Buyer Groups'!DG25:DW25,0)+COUNTIF('Buyer Groups'!DY25:EN25,0)&gt;0,0,1)</f>
        <v/>
      </c>
      <c r="NV25">
        <f>IF($CV$25="",FALSE,SUMPRODUCT(('Final Calculation Sheet'!$R$4:$R$40=$CV$25)*($NU$6:$NU$42=1))&gt;0)</f>
        <v/>
      </c>
      <c r="NW25">
        <f>$NW$24+--($NV25)</f>
        <v/>
      </c>
      <c r="NX25">
        <f>IF(ROW()-3&gt;MAX($NW$4:$NW$40),"",INDEX($CV$4:$CV$40,MATCH(ROW()-3,$NW$4:$NW$40,0)))</f>
        <v/>
      </c>
      <c r="NY25">
        <f>IF(COUNTIF('Buyer Groups'!DG25:DX25,0)+COUNTIF('Buyer Groups'!DZ25:EN25,0)&gt;0,0,1)</f>
        <v/>
      </c>
      <c r="NZ25">
        <f>IF($DA$25="",FALSE,SUMPRODUCT(('Final Calculation Sheet'!$S$4:$S$40=$DA$25)*($NY$6:$NY$42=1))&gt;0)</f>
        <v/>
      </c>
      <c r="OA25">
        <f>$OA$24+--($NZ25)</f>
        <v/>
      </c>
      <c r="OB25">
        <f>IF(ROW()-3&gt;MAX($OA$4:$OA$40),"",INDEX($DA$4:$DA$40,MATCH(ROW()-3,$OA$4:$OA$40,0)))</f>
        <v/>
      </c>
      <c r="OC25">
        <f>IF(COUNTIF('Buyer Groups'!DG25:DY25,0)+COUNTIF('Buyer Groups'!EA25:EN25,0)&gt;0,0,1)</f>
        <v/>
      </c>
      <c r="OD25">
        <f>IF($DF$25="",FALSE,SUMPRODUCT(('Final Calculation Sheet'!$T$4:$T$40=$DF$25)*($OC$6:$OC$42=1))&gt;0)</f>
        <v/>
      </c>
      <c r="OE25">
        <f>$OE$24+--($OD25)</f>
        <v/>
      </c>
      <c r="OF25">
        <f>IF(ROW()-3&gt;MAX($OE$4:$OE$40),"",INDEX($DF$4:$DF$40,MATCH(ROW()-3,$OE$4:$OE$40,0)))</f>
        <v/>
      </c>
      <c r="OG25">
        <f>IF(COUNTIF('Buyer Groups'!DG25:DZ25,0)+COUNTIF('Buyer Groups'!EB25:EN25,0)&gt;0,0,1)</f>
        <v/>
      </c>
      <c r="OH25">
        <f>IF($DK$25="",FALSE,SUMPRODUCT(('Final Calculation Sheet'!$U$4:$U$40=$DK$25)*($OG$6:$OG$42=1))&gt;0)</f>
        <v/>
      </c>
      <c r="OI25">
        <f>$OI$24+--($OH25)</f>
        <v/>
      </c>
      <c r="OJ25">
        <f>IF(ROW()-3&gt;MAX($OI$4:$OI$40),"",INDEX($DK$4:$DK$40,MATCH(ROW()-3,$OI$4:$OI$40,0)))</f>
        <v/>
      </c>
      <c r="OK25">
        <f>IF(COUNTIF('Buyer Groups'!DG25:EA25,0)+COUNTIF('Buyer Groups'!EC25:EN25,0)&gt;0,0,1)</f>
        <v/>
      </c>
      <c r="OL25">
        <f>IF($DP$25="",FALSE,SUMPRODUCT(('Final Calculation Sheet'!$V$4:$V$40=$DP$25)*($OK$6:$OK$42=1))&gt;0)</f>
        <v/>
      </c>
      <c r="OM25">
        <f>$OM$24+--($OL25)</f>
        <v/>
      </c>
      <c r="ON25">
        <f>IF(ROW()-3&gt;MAX($OM$4:$OM$40),"",INDEX($DP$4:$DP$40,MATCH(ROW()-3,$OM$4:$OM$40,0)))</f>
        <v/>
      </c>
      <c r="OO25">
        <f>IF(COUNTIF('Buyer Groups'!DG25:EB25,0)+COUNTIF('Buyer Groups'!ED25:EN25,0)&gt;0,0,1)</f>
        <v/>
      </c>
      <c r="OP25">
        <f>IF($DU$25="",FALSE,SUMPRODUCT(('Final Calculation Sheet'!$W$4:$W$40=$DU$25)*($OO$6:$OO$42=1))&gt;0)</f>
        <v/>
      </c>
      <c r="OQ25">
        <f>$OQ$24+--($OP25)</f>
        <v/>
      </c>
      <c r="OR25">
        <f>IF(ROW()-3&gt;MAX($OQ$4:$OQ$40),"",INDEX($DU$4:$DU$40,MATCH(ROW()-3,$OQ$4:$OQ$40,0)))</f>
        <v/>
      </c>
      <c r="OS25">
        <f>IF(COUNTIF('Buyer Groups'!DG25:EC25,0)+COUNTIF('Buyer Groups'!EE25:EN25,0)&gt;0,0,1)</f>
        <v/>
      </c>
      <c r="OT25">
        <f>IF($DZ$25="",FALSE,SUMPRODUCT(('Final Calculation Sheet'!$X$4:$X$40=$DZ$25)*($OS$6:$OS$42=1))&gt;0)</f>
        <v/>
      </c>
      <c r="OU25">
        <f>$OU$24+--($OT25)</f>
        <v/>
      </c>
      <c r="OV25">
        <f>IF(ROW()-3&gt;MAX($OU$4:$OU$40),"",INDEX($DZ$4:$DZ$40,MATCH(ROW()-3,$OU$4:$OU$40,0)))</f>
        <v/>
      </c>
      <c r="OW25">
        <f>IF(COUNTIF('Buyer Groups'!DG25:ED25,0)+COUNTIF('Buyer Groups'!EF25:EN25,0)&gt;0,0,1)</f>
        <v/>
      </c>
      <c r="OX25">
        <f>IF($EE$25="",FALSE,SUMPRODUCT(('Final Calculation Sheet'!$Y$4:$Y$40=$EE$25)*($OW$6:$OW$42=1))&gt;0)</f>
        <v/>
      </c>
      <c r="OY25">
        <f>$OY$24+--($OX25)</f>
        <v/>
      </c>
      <c r="OZ25">
        <f>IF(ROW()-3&gt;MAX($OY$4:$OY$40),"",INDEX($EE$4:$EE$40,MATCH(ROW()-3,$OY$4:$OY$40,0)))</f>
        <v/>
      </c>
      <c r="PA25">
        <f>IF(COUNTIF('Buyer Groups'!DG25:EE25,0)+COUNTIF('Buyer Groups'!EG25:EN25,0)&gt;0,0,1)</f>
        <v/>
      </c>
      <c r="PB25">
        <f>IF($EJ$25="",FALSE,SUMPRODUCT(('Final Calculation Sheet'!$Z$4:$Z$40=$EJ$25)*($PA$6:$PA$42=1))&gt;0)</f>
        <v/>
      </c>
      <c r="PC25">
        <f>$PC$24+--($PB25)</f>
        <v/>
      </c>
      <c r="PD25">
        <f>IF(ROW()-3&gt;MAX($PC$4:$PC$40),"",INDEX($EJ$4:$EJ$40,MATCH(ROW()-3,$PC$4:$PC$40,0)))</f>
        <v/>
      </c>
      <c r="PE25">
        <f>IF(COUNTIF('Buyer Groups'!DG25:EF25,0)+COUNTIF('Buyer Groups'!EH25:EN25,0)&gt;0,0,1)</f>
        <v/>
      </c>
      <c r="PF25">
        <f>IF($EO$25="",FALSE,SUMPRODUCT(('Final Calculation Sheet'!$AA$4:$AA$40=$EO$25)*($PE$6:$PE$42=1))&gt;0)</f>
        <v/>
      </c>
      <c r="PG25">
        <f>$PG$24+--($PF25)</f>
        <v/>
      </c>
      <c r="PH25">
        <f>IF(ROW()-3&gt;MAX($PG$4:$PG$40),"",INDEX($EO$4:$EO$40,MATCH(ROW()-3,$PG$4:$PG$40,0)))</f>
        <v/>
      </c>
      <c r="PI25">
        <f>IF(COUNTIF('Buyer Groups'!DG25:EG25,0)+COUNTIF('Buyer Groups'!EI25:EN25,0)&gt;0,0,1)</f>
        <v/>
      </c>
      <c r="PJ25">
        <f>IF($ET$25="",FALSE,SUMPRODUCT(('Final Calculation Sheet'!$AB$4:$AB$40=$ET$25)*($PI$6:$PI$42=1))&gt;0)</f>
        <v/>
      </c>
      <c r="PK25">
        <f>$PK$24+--($PJ25)</f>
        <v/>
      </c>
      <c r="PL25">
        <f>IF(ROW()-3&gt;MAX($PK$4:$PK$40),"",INDEX($ET$4:$ET$40,MATCH(ROW()-3,$PK$4:$PK$40,0)))</f>
        <v/>
      </c>
      <c r="PM25">
        <f>IF(COUNTIF('Buyer Groups'!DG25:EH25,0)+COUNTIF('Buyer Groups'!EJ25:EN25,0)&gt;0,0,1)</f>
        <v/>
      </c>
      <c r="PN25">
        <f>IF($EY$25="",FALSE,SUMPRODUCT(('Final Calculation Sheet'!$AC$4:$AC$40=$EY$25)*($PM$6:$PM$42=1))&gt;0)</f>
        <v/>
      </c>
      <c r="PO25">
        <f>$PO$24+--($PN25)</f>
        <v/>
      </c>
      <c r="PP25">
        <f>IF(ROW()-3&gt;MAX($PO$4:$PO$40),"",INDEX($EY$4:$EY$40,MATCH(ROW()-3,$PO$4:$PO$40,0)))</f>
        <v/>
      </c>
      <c r="PQ25">
        <f>IF(COUNTIF('Buyer Groups'!DG25:EI25,0)+COUNTIF('Buyer Groups'!EK25:EN25,0)&gt;0,0,1)</f>
        <v/>
      </c>
      <c r="PR25">
        <f>IF($FD$25="",FALSE,SUMPRODUCT(('Final Calculation Sheet'!$AD$4:$AD$40=$FD$25)*($PQ$6:$PQ$42=1))&gt;0)</f>
        <v/>
      </c>
      <c r="PS25">
        <f>$PS$24+--($PR25)</f>
        <v/>
      </c>
      <c r="PT25">
        <f>IF(ROW()-3&gt;MAX($PS$4:$PS$40),"",INDEX($FD$4:$FD$40,MATCH(ROW()-3,$PS$4:$PS$40,0)))</f>
        <v/>
      </c>
      <c r="PU25">
        <f>IF(COUNTIF('Buyer Groups'!DG25:EJ25,0)+COUNTIF('Buyer Groups'!EL25:EN25,0)&gt;0,0,1)</f>
        <v/>
      </c>
      <c r="PV25">
        <f>IF($FX$25="",FALSE,SUMPRODUCT((IF('Final Calculation Sheet'!$AD$4:$AD$40&lt;=5,"SETTLED","OUTSTANDING")=$FX$25)*($PU$6:$PU$42=1))&gt;0)</f>
        <v/>
      </c>
      <c r="PW25">
        <f>$PW$24+--($PV25)</f>
        <v/>
      </c>
      <c r="PX25">
        <f>IF(ROW()-3&gt;MAX($PW$4:$PW$40),"",INDEX($FX$4:$FX$40,MATCH(ROW()-3,$PW$4:$PW$40,0)))</f>
        <v/>
      </c>
      <c r="PY25">
        <f>IF(COUNTIF('Buyer Groups'!DG25:EK25,0)+COUNTIF('Buyer Groups'!EM25:EN25,0)&gt;0,0,1)</f>
        <v/>
      </c>
      <c r="PZ25">
        <f>IF($FI$25="",FALSE,SUMPRODUCT(('Final Calculation Sheet'!$AF$4:$AF$40=$FI$25)*($PY$6:$PY$42=1))&gt;0)</f>
        <v/>
      </c>
      <c r="QA25">
        <f>$QA$24+--($PZ25)</f>
        <v/>
      </c>
      <c r="QB25">
        <f>IF(ROW()-3&gt;MAX($QA$4:$QA$40),"",INDEX($FI$4:$FI$40,MATCH(ROW()-3,$QA$4:$QA$40,0)))</f>
        <v/>
      </c>
      <c r="QC25">
        <f>IF(COUNTIF('Buyer Groups'!DG25:EL25,0)+COUNTIF('Buyer Groups'!EN25:EN25,0)&gt;0,0,1)</f>
        <v/>
      </c>
      <c r="QD25">
        <f>IF($FN$25="",FALSE,SUMPRODUCT(('Final Calculation Sheet'!$AG$4:$AG$40=$FN$25)*($QC$6:$QC$42=1))&gt;0)</f>
        <v/>
      </c>
      <c r="QE25">
        <f>$QE$24+--($QD25)</f>
        <v/>
      </c>
      <c r="QF25">
        <f>IF(ROW()-3&gt;MAX($QE$4:$QE$40),"",INDEX($FN$4:$FN$40,MATCH(ROW()-3,$QE$4:$QE$40,0)))</f>
        <v/>
      </c>
      <c r="QG25">
        <f>IF(COUNTIF('Buyer Groups'!DG25:EM25,0)&gt;0,0,1)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Groups'!DH26:EN26,0)&gt;0,0,1)</f>
        <v/>
      </c>
      <c r="LF26">
        <f>IF($O$26="",FALSE,SUMPRODUCT(('Final Calculation Sheet'!$F$4:$F$40=$O$26)*($LE$6:$LE$42=1))&gt;0)</f>
        <v/>
      </c>
      <c r="LG26">
        <f>$LG$25+--($LF26)</f>
        <v/>
      </c>
      <c r="LH26">
        <f>IF(ROW()-3&gt;MAX($LG$4:$LG$40),"",INDEX($O$4:$O$40,MATCH(ROW()-3,$LG$4:$LG$40,0)))</f>
        <v/>
      </c>
      <c r="LI26">
        <f>IF(COUNTIF('Buyer Groups'!DG26:DG26,0)+COUNTIF('Buyer Groups'!DI26:EN26,0)&gt;0,0,1)</f>
        <v/>
      </c>
      <c r="LJ26">
        <f>IF($T$26="",FALSE,SUMPRODUCT(('Final Calculation Sheet'!$G$4:$G$40=$T$26)*($LI$6:$LI$42=1))&gt;0)</f>
        <v/>
      </c>
      <c r="LK26">
        <f>$LK$25+--($LJ26)</f>
        <v/>
      </c>
      <c r="LL26">
        <f>IF(ROW()-3&gt;MAX($LK$4:$LK$40),"",INDEX($T$4:$T$40,MATCH(ROW()-3,$LK$4:$LK$40,0)))</f>
        <v/>
      </c>
      <c r="LM26">
        <f>IF(COUNTIF('Buyer Groups'!DG26:DH26,0)+COUNTIF('Buyer Groups'!DJ26:EN26,0)&gt;0,0,1)</f>
        <v/>
      </c>
      <c r="LN26">
        <f>IF($Y$26="",FALSE,SUMPRODUCT(('Final Calculation Sheet'!$B$4:$B$40=$Y$26)*($LM$6:$LM$42=1))&gt;0)</f>
        <v/>
      </c>
      <c r="LO26">
        <f>$LO$25+--($LN26)</f>
        <v/>
      </c>
      <c r="LP26">
        <f>IF(ROW()-3&gt;MAX($LO$4:$LO$40),"",INDEX($Y$4:$Y$40,MATCH(ROW()-3,$LO$4:$LO$40,0)))</f>
        <v/>
      </c>
      <c r="LQ26">
        <f>IF(COUNTIF('Buyer Groups'!DG26:DI26,0)+COUNTIF('Buyer Groups'!DK26:EN26,0)&gt;0,0,1)</f>
        <v/>
      </c>
      <c r="LR26">
        <f>IF($AD$26="",FALSE,SUMPRODUCT(('Final Calculation Sheet'!$D$4:$D$40=$AD$26)*($LQ$6:$LQ$42=1))&gt;0)</f>
        <v/>
      </c>
      <c r="LS26">
        <f>$LS$25+--($LR26)</f>
        <v/>
      </c>
      <c r="LT26">
        <f>IF(ROW()-3&gt;MAX($LS$4:$LS$40),"",INDEX($AD$4:$AD$40,MATCH(ROW()-3,$LS$4:$LS$40,0)))</f>
        <v/>
      </c>
      <c r="LU26">
        <f>IF(COUNTIF('Buyer Groups'!DG26:DJ26,0)+COUNTIF('Buyer Groups'!DL26:EN26,0)&gt;0,0,1)</f>
        <v/>
      </c>
      <c r="LV26">
        <f>IF($AI$26="",FALSE,SUMPRODUCT(('Final Calculation Sheet'!$A$4:$A$40=$AI$26)*($LU$6:$LU$42=1))&gt;0)</f>
        <v/>
      </c>
      <c r="LW26">
        <f>$LW$25+--($LV26)</f>
        <v/>
      </c>
      <c r="LX26">
        <f>IF(ROW()-3&gt;MAX($LW$4:$LW$40),"",INDEX($AI$4:$AI$40,MATCH(ROW()-3,$LW$4:$LW$40,0)))</f>
        <v/>
      </c>
      <c r="LY26">
        <f>IF(COUNTIF('Buyer Groups'!DG26:DK26,0)+COUNTIF('Buyer Groups'!DM26:EN26,0)&gt;0,0,1)</f>
        <v/>
      </c>
      <c r="LZ26">
        <f>IF($AN$26="",FALSE,SUMPRODUCT(('Final Calculation Sheet'!$E$4:$E$40=$AN$26)*($LY$6:$LY$42=1))&gt;0)</f>
        <v/>
      </c>
      <c r="MA26">
        <f>$MA$25+--($LZ26)</f>
        <v/>
      </c>
      <c r="MB26">
        <f>IF(ROW()-3&gt;MAX($MA$4:$MA$40),"",INDEX($AN$4:$AN$40,MATCH(ROW()-3,$MA$4:$MA$40,0)))</f>
        <v/>
      </c>
      <c r="MC26">
        <f>IF(COUNTIF('Buyer Groups'!DG26:DL26,0)+COUNTIF('Buyer Groups'!DN26:EN26,0)&gt;0,0,1)</f>
        <v/>
      </c>
      <c r="MD26">
        <f>IF($AS$26="",FALSE,SUMPRODUCT(('Final Calculation Sheet'!$C$4:$C$40=$AS$26)*($MC$6:$MC$42=1))&gt;0)</f>
        <v/>
      </c>
      <c r="ME26">
        <f>$ME$25+--($MD26)</f>
        <v/>
      </c>
      <c r="MF26">
        <f>IF(ROW()-3&gt;MAX($ME$4:$ME$40),"",INDEX($AS$4:$AS$40,MATCH(ROW()-3,$ME$4:$ME$40,0)))</f>
        <v/>
      </c>
      <c r="MG26">
        <f>IF(COUNTIF('Buyer Groups'!DG26:DM26,0)+COUNTIF('Buyer Groups'!DO26:EN26,0)&gt;0,0,1)</f>
        <v/>
      </c>
      <c r="MH26">
        <f>IF($AX$26="",FALSE,SUMPRODUCT(('Final Calculation Sheet'!$H$4:$H$40=$AX$26)*($MG$6:$MG$42=1))&gt;0)</f>
        <v/>
      </c>
      <c r="MI26">
        <f>$MI$25+--($MH26)</f>
        <v/>
      </c>
      <c r="MJ26">
        <f>IF(ROW()-3&gt;MAX($MI$4:$MI$40),"",INDEX($AX$4:$AX$40,MATCH(ROW()-3,$MI$4:$MI$40,0)))</f>
        <v/>
      </c>
      <c r="MK26">
        <f>IF(COUNTIF('Buyer Groups'!DG26:DN26,0)+COUNTIF('Buyer Groups'!DP26:EN26,0)&gt;0,0,1)</f>
        <v/>
      </c>
      <c r="ML26">
        <f>IF($BC$26="",FALSE,SUMPRODUCT(('Final Calculation Sheet'!$I$4:$I$40=$BC$26)*($MK$6:$MK$42=1))&gt;0)</f>
        <v/>
      </c>
      <c r="MM26">
        <f>$MM$25+--($ML26)</f>
        <v/>
      </c>
      <c r="MN26">
        <f>IF(ROW()-3&gt;MAX($MM$4:$MM$40),"",INDEX($BC$4:$BC$40,MATCH(ROW()-3,$MM$4:$MM$40,0)))</f>
        <v/>
      </c>
      <c r="MO26">
        <f>IF(COUNTIF('Buyer Groups'!DG26:DO26,0)+COUNTIF('Buyer Groups'!DQ26:EN26,0)&gt;0,0,1)</f>
        <v/>
      </c>
      <c r="MP26">
        <f>IF($BH$26="",FALSE,SUMPRODUCT(('Final Calculation Sheet'!$J$4:$J$40=$BH$26)*($MO$6:$MO$42=1))&gt;0)</f>
        <v/>
      </c>
      <c r="MQ26">
        <f>$MQ$25+--($MP26)</f>
        <v/>
      </c>
      <c r="MR26">
        <f>IF(ROW()-3&gt;MAX($MQ$4:$MQ$40),"",INDEX($BH$4:$BH$40,MATCH(ROW()-3,$MQ$4:$MQ$40,0)))</f>
        <v/>
      </c>
      <c r="MS26">
        <f>IF(COUNTIF('Buyer Groups'!DG26:DP26,0)+COUNTIF('Buyer Groups'!DR26:EN26,0)&gt;0,0,1)</f>
        <v/>
      </c>
      <c r="MT26">
        <f>IF($BM$26="",FALSE,SUMPRODUCT(('Final Calculation Sheet'!$K$4:$K$40=$BM$26)*($MS$6:$MS$42=1))&gt;0)</f>
        <v/>
      </c>
      <c r="MU26">
        <f>$MU$25+--($MT26)</f>
        <v/>
      </c>
      <c r="MV26">
        <f>IF(ROW()-3&gt;MAX($MU$4:$MU$40),"",INDEX($BM$4:$BM$40,MATCH(ROW()-3,$MU$4:$MU$40,0)))</f>
        <v/>
      </c>
      <c r="MW26">
        <f>IF(COUNTIF('Buyer Groups'!DG26:DQ26,0)+COUNTIF('Buyer Groups'!DS26:EN26,0)&gt;0,0,1)</f>
        <v/>
      </c>
      <c r="MX26">
        <f>IF($BR$26="",FALSE,SUMPRODUCT(('Final Calculation Sheet'!$L$4:$L$40=$BR$26)*($MW$6:$MW$42=1))&gt;0)</f>
        <v/>
      </c>
      <c r="MY26">
        <f>$MY$25+--($MX26)</f>
        <v/>
      </c>
      <c r="MZ26">
        <f>IF(ROW()-3&gt;MAX($MY$4:$MY$40),"",INDEX($BR$4:$BR$40,MATCH(ROW()-3,$MY$4:$MY$40,0)))</f>
        <v/>
      </c>
      <c r="NA26">
        <f>IF(COUNTIF('Buyer Groups'!DG26:DR26,0)+COUNTIF('Buyer Groups'!DT26:EN26,0)&gt;0,0,1)</f>
        <v/>
      </c>
      <c r="NB26">
        <f>IF($BW$26="",FALSE,SUMPRODUCT(('Final Calculation Sheet'!$M$4:$M$40=$BW$26)*($NA$6:$NA$42=1))&gt;0)</f>
        <v/>
      </c>
      <c r="NC26">
        <f>$NC$25+--($NB26)</f>
        <v/>
      </c>
      <c r="ND26">
        <f>IF(ROW()-3&gt;MAX($NC$4:$NC$40),"",INDEX($BW$4:$BW$40,MATCH(ROW()-3,$NC$4:$NC$40,0)))</f>
        <v/>
      </c>
      <c r="NE26">
        <f>IF(COUNTIF('Buyer Groups'!DG26:DS26,0)+COUNTIF('Buyer Groups'!DU26:EN26,0)&gt;0,0,1)</f>
        <v/>
      </c>
      <c r="NF26">
        <f>IF($CB$26="",FALSE,SUMPRODUCT(('Final Calculation Sheet'!$N$4:$N$40=$CB$26)*($NE$6:$NE$42=1))&gt;0)</f>
        <v/>
      </c>
      <c r="NG26">
        <f>$NG$25+--($NF26)</f>
        <v/>
      </c>
      <c r="NH26">
        <f>IF(ROW()-3&gt;MAX($NG$4:$NG$40),"",INDEX($CB$4:$CB$40,MATCH(ROW()-3,$NG$4:$NG$40,0)))</f>
        <v/>
      </c>
      <c r="NI26">
        <f>IF(COUNTIF('Buyer Groups'!DG26:DT26,0)+COUNTIF('Buyer Groups'!DV26:EN26,0)&gt;0,0,1)</f>
        <v/>
      </c>
      <c r="NJ26">
        <f>IF($CG$26="",FALSE,SUMPRODUCT(('Final Calculation Sheet'!$O$4:$O$40=$CG$26)*($NI$6:$NI$42=1))&gt;0)</f>
        <v/>
      </c>
      <c r="NK26">
        <f>$NK$25+--($NJ26)</f>
        <v/>
      </c>
      <c r="NL26">
        <f>IF(ROW()-3&gt;MAX($NK$4:$NK$40),"",INDEX($CG$4:$CG$40,MATCH(ROW()-3,$NK$4:$NK$40,0)))</f>
        <v/>
      </c>
      <c r="NM26">
        <f>IF(COUNTIF('Buyer Groups'!DG26:DU26,0)+COUNTIF('Buyer Groups'!DW26:EN26,0)&gt;0,0,1)</f>
        <v/>
      </c>
      <c r="NN26">
        <f>IF($CL$26="",FALSE,SUMPRODUCT(('Final Calculation Sheet'!$P$4:$P$40=$CL$26)*($NM$6:$NM$42=1))&gt;0)</f>
        <v/>
      </c>
      <c r="NO26">
        <f>$NO$25+--($NN26)</f>
        <v/>
      </c>
      <c r="NP26">
        <f>IF(ROW()-3&gt;MAX($NO$4:$NO$40),"",INDEX($CL$4:$CL$40,MATCH(ROW()-3,$NO$4:$NO$40,0)))</f>
        <v/>
      </c>
      <c r="NQ26">
        <f>IF(COUNTIF('Buyer Groups'!DG26:DV26,0)+COUNTIF('Buyer Groups'!DX26:EN26,0)&gt;0,0,1)</f>
        <v/>
      </c>
      <c r="NR26">
        <f>IF($CQ$26="",FALSE,SUMPRODUCT(('Final Calculation Sheet'!$Q$4:$Q$40=$CQ$26)*($NQ$6:$NQ$42=1))&gt;0)</f>
        <v/>
      </c>
      <c r="NS26">
        <f>$NS$25+--($NR26)</f>
        <v/>
      </c>
      <c r="NT26">
        <f>IF(ROW()-3&gt;MAX($NS$4:$NS$40),"",INDEX($CQ$4:$CQ$40,MATCH(ROW()-3,$NS$4:$NS$40,0)))</f>
        <v/>
      </c>
      <c r="NU26">
        <f>IF(COUNTIF('Buyer Groups'!DG26:DW26,0)+COUNTIF('Buyer Groups'!DY26:EN26,0)&gt;0,0,1)</f>
        <v/>
      </c>
      <c r="NV26">
        <f>IF($CV$26="",FALSE,SUMPRODUCT(('Final Calculation Sheet'!$R$4:$R$40=$CV$26)*($NU$6:$NU$42=1))&gt;0)</f>
        <v/>
      </c>
      <c r="NW26">
        <f>$NW$25+--($NV26)</f>
        <v/>
      </c>
      <c r="NX26">
        <f>IF(ROW()-3&gt;MAX($NW$4:$NW$40),"",INDEX($CV$4:$CV$40,MATCH(ROW()-3,$NW$4:$NW$40,0)))</f>
        <v/>
      </c>
      <c r="NY26">
        <f>IF(COUNTIF('Buyer Groups'!DG26:DX26,0)+COUNTIF('Buyer Groups'!DZ26:EN26,0)&gt;0,0,1)</f>
        <v/>
      </c>
      <c r="NZ26">
        <f>IF($DA$26="",FALSE,SUMPRODUCT(('Final Calculation Sheet'!$S$4:$S$40=$DA$26)*($NY$6:$NY$42=1))&gt;0)</f>
        <v/>
      </c>
      <c r="OA26">
        <f>$OA$25+--($NZ26)</f>
        <v/>
      </c>
      <c r="OB26">
        <f>IF(ROW()-3&gt;MAX($OA$4:$OA$40),"",INDEX($DA$4:$DA$40,MATCH(ROW()-3,$OA$4:$OA$40,0)))</f>
        <v/>
      </c>
      <c r="OC26">
        <f>IF(COUNTIF('Buyer Groups'!DG26:DY26,0)+COUNTIF('Buyer Groups'!EA26:EN26,0)&gt;0,0,1)</f>
        <v/>
      </c>
      <c r="OD26">
        <f>IF($DF$26="",FALSE,SUMPRODUCT(('Final Calculation Sheet'!$T$4:$T$40=$DF$26)*($OC$6:$OC$42=1))&gt;0)</f>
        <v/>
      </c>
      <c r="OE26">
        <f>$OE$25+--($OD26)</f>
        <v/>
      </c>
      <c r="OF26">
        <f>IF(ROW()-3&gt;MAX($OE$4:$OE$40),"",INDEX($DF$4:$DF$40,MATCH(ROW()-3,$OE$4:$OE$40,0)))</f>
        <v/>
      </c>
      <c r="OG26">
        <f>IF(COUNTIF('Buyer Groups'!DG26:DZ26,0)+COUNTIF('Buyer Groups'!EB26:EN26,0)&gt;0,0,1)</f>
        <v/>
      </c>
      <c r="OH26">
        <f>IF($DK$26="",FALSE,SUMPRODUCT(('Final Calculation Sheet'!$U$4:$U$40=$DK$26)*($OG$6:$OG$42=1))&gt;0)</f>
        <v/>
      </c>
      <c r="OI26">
        <f>$OI$25+--($OH26)</f>
        <v/>
      </c>
      <c r="OJ26">
        <f>IF(ROW()-3&gt;MAX($OI$4:$OI$40),"",INDEX($DK$4:$DK$40,MATCH(ROW()-3,$OI$4:$OI$40,0)))</f>
        <v/>
      </c>
      <c r="OK26">
        <f>IF(COUNTIF('Buyer Groups'!DG26:EA26,0)+COUNTIF('Buyer Groups'!EC26:EN26,0)&gt;0,0,1)</f>
        <v/>
      </c>
      <c r="OL26">
        <f>IF($DP$26="",FALSE,SUMPRODUCT(('Final Calculation Sheet'!$V$4:$V$40=$DP$26)*($OK$6:$OK$42=1))&gt;0)</f>
        <v/>
      </c>
      <c r="OM26">
        <f>$OM$25+--($OL26)</f>
        <v/>
      </c>
      <c r="ON26">
        <f>IF(ROW()-3&gt;MAX($OM$4:$OM$40),"",INDEX($DP$4:$DP$40,MATCH(ROW()-3,$OM$4:$OM$40,0)))</f>
        <v/>
      </c>
      <c r="OO26">
        <f>IF(COUNTIF('Buyer Groups'!DG26:EB26,0)+COUNTIF('Buyer Groups'!ED26:EN26,0)&gt;0,0,1)</f>
        <v/>
      </c>
      <c r="OP26">
        <f>IF($DU$26="",FALSE,SUMPRODUCT(('Final Calculation Sheet'!$W$4:$W$40=$DU$26)*($OO$6:$OO$42=1))&gt;0)</f>
        <v/>
      </c>
      <c r="OQ26">
        <f>$OQ$25+--($OP26)</f>
        <v/>
      </c>
      <c r="OR26">
        <f>IF(ROW()-3&gt;MAX($OQ$4:$OQ$40),"",INDEX($DU$4:$DU$40,MATCH(ROW()-3,$OQ$4:$OQ$40,0)))</f>
        <v/>
      </c>
      <c r="OS26">
        <f>IF(COUNTIF('Buyer Groups'!DG26:EC26,0)+COUNTIF('Buyer Groups'!EE26:EN26,0)&gt;0,0,1)</f>
        <v/>
      </c>
      <c r="OT26">
        <f>IF($DZ$26="",FALSE,SUMPRODUCT(('Final Calculation Sheet'!$X$4:$X$40=$DZ$26)*($OS$6:$OS$42=1))&gt;0)</f>
        <v/>
      </c>
      <c r="OU26">
        <f>$OU$25+--($OT26)</f>
        <v/>
      </c>
      <c r="OV26">
        <f>IF(ROW()-3&gt;MAX($OU$4:$OU$40),"",INDEX($DZ$4:$DZ$40,MATCH(ROW()-3,$OU$4:$OU$40,0)))</f>
        <v/>
      </c>
      <c r="OW26">
        <f>IF(COUNTIF('Buyer Groups'!DG26:ED26,0)+COUNTIF('Buyer Groups'!EF26:EN26,0)&gt;0,0,1)</f>
        <v/>
      </c>
      <c r="OX26">
        <f>IF($EE$26="",FALSE,SUMPRODUCT(('Final Calculation Sheet'!$Y$4:$Y$40=$EE$26)*($OW$6:$OW$42=1))&gt;0)</f>
        <v/>
      </c>
      <c r="OY26">
        <f>$OY$25+--($OX26)</f>
        <v/>
      </c>
      <c r="OZ26">
        <f>IF(ROW()-3&gt;MAX($OY$4:$OY$40),"",INDEX($EE$4:$EE$40,MATCH(ROW()-3,$OY$4:$OY$40,0)))</f>
        <v/>
      </c>
      <c r="PA26">
        <f>IF(COUNTIF('Buyer Groups'!DG26:EE26,0)+COUNTIF('Buyer Groups'!EG26:EN26,0)&gt;0,0,1)</f>
        <v/>
      </c>
      <c r="PB26">
        <f>IF($EJ$26="",FALSE,SUMPRODUCT(('Final Calculation Sheet'!$Z$4:$Z$40=$EJ$26)*($PA$6:$PA$42=1))&gt;0)</f>
        <v/>
      </c>
      <c r="PC26">
        <f>$PC$25+--($PB26)</f>
        <v/>
      </c>
      <c r="PD26">
        <f>IF(ROW()-3&gt;MAX($PC$4:$PC$40),"",INDEX($EJ$4:$EJ$40,MATCH(ROW()-3,$PC$4:$PC$40,0)))</f>
        <v/>
      </c>
      <c r="PE26">
        <f>IF(COUNTIF('Buyer Groups'!DG26:EF26,0)+COUNTIF('Buyer Groups'!EH26:EN26,0)&gt;0,0,1)</f>
        <v/>
      </c>
      <c r="PF26">
        <f>IF($EO$26="",FALSE,SUMPRODUCT(('Final Calculation Sheet'!$AA$4:$AA$40=$EO$26)*($PE$6:$PE$42=1))&gt;0)</f>
        <v/>
      </c>
      <c r="PG26">
        <f>$PG$25+--($PF26)</f>
        <v/>
      </c>
      <c r="PH26">
        <f>IF(ROW()-3&gt;MAX($PG$4:$PG$40),"",INDEX($EO$4:$EO$40,MATCH(ROW()-3,$PG$4:$PG$40,0)))</f>
        <v/>
      </c>
      <c r="PI26">
        <f>IF(COUNTIF('Buyer Groups'!DG26:EG26,0)+COUNTIF('Buyer Groups'!EI26:EN26,0)&gt;0,0,1)</f>
        <v/>
      </c>
      <c r="PJ26">
        <f>IF($ET$26="",FALSE,SUMPRODUCT(('Final Calculation Sheet'!$AB$4:$AB$40=$ET$26)*($PI$6:$PI$42=1))&gt;0)</f>
        <v/>
      </c>
      <c r="PK26">
        <f>$PK$25+--($PJ26)</f>
        <v/>
      </c>
      <c r="PL26">
        <f>IF(ROW()-3&gt;MAX($PK$4:$PK$40),"",INDEX($ET$4:$ET$40,MATCH(ROW()-3,$PK$4:$PK$40,0)))</f>
        <v/>
      </c>
      <c r="PM26">
        <f>IF(COUNTIF('Buyer Groups'!DG26:EH26,0)+COUNTIF('Buyer Groups'!EJ26:EN26,0)&gt;0,0,1)</f>
        <v/>
      </c>
      <c r="PN26">
        <f>IF($EY$26="",FALSE,SUMPRODUCT(('Final Calculation Sheet'!$AC$4:$AC$40=$EY$26)*($PM$6:$PM$42=1))&gt;0)</f>
        <v/>
      </c>
      <c r="PO26">
        <f>$PO$25+--($PN26)</f>
        <v/>
      </c>
      <c r="PP26">
        <f>IF(ROW()-3&gt;MAX($PO$4:$PO$40),"",INDEX($EY$4:$EY$40,MATCH(ROW()-3,$PO$4:$PO$40,0)))</f>
        <v/>
      </c>
      <c r="PQ26">
        <f>IF(COUNTIF('Buyer Groups'!DG26:EI26,0)+COUNTIF('Buyer Groups'!EK26:EN26,0)&gt;0,0,1)</f>
        <v/>
      </c>
      <c r="PR26">
        <f>IF($FD$26="",FALSE,SUMPRODUCT(('Final Calculation Sheet'!$AD$4:$AD$40=$FD$26)*($PQ$6:$PQ$42=1))&gt;0)</f>
        <v/>
      </c>
      <c r="PS26">
        <f>$PS$25+--($PR26)</f>
        <v/>
      </c>
      <c r="PT26">
        <f>IF(ROW()-3&gt;MAX($PS$4:$PS$40),"",INDEX($FD$4:$FD$40,MATCH(ROW()-3,$PS$4:$PS$40,0)))</f>
        <v/>
      </c>
      <c r="PU26">
        <f>IF(COUNTIF('Buyer Groups'!DG26:EJ26,0)+COUNTIF('Buyer Groups'!EL26:EN26,0)&gt;0,0,1)</f>
        <v/>
      </c>
      <c r="PV26">
        <f>IF($FX$26="",FALSE,SUMPRODUCT((IF('Final Calculation Sheet'!$AD$4:$AD$40&lt;=5,"SETTLED","OUTSTANDING")=$FX$26)*($PU$6:$PU$42=1))&gt;0)</f>
        <v/>
      </c>
      <c r="PW26">
        <f>$PW$25+--($PV26)</f>
        <v/>
      </c>
      <c r="PX26">
        <f>IF(ROW()-3&gt;MAX($PW$4:$PW$40),"",INDEX($FX$4:$FX$40,MATCH(ROW()-3,$PW$4:$PW$40,0)))</f>
        <v/>
      </c>
      <c r="PY26">
        <f>IF(COUNTIF('Buyer Groups'!DG26:EK26,0)+COUNTIF('Buyer Groups'!EM26:EN26,0)&gt;0,0,1)</f>
        <v/>
      </c>
      <c r="PZ26">
        <f>IF($FI$26="",FALSE,SUMPRODUCT(('Final Calculation Sheet'!$AF$4:$AF$40=$FI$26)*($PY$6:$PY$42=1))&gt;0)</f>
        <v/>
      </c>
      <c r="QA26">
        <f>$QA$25+--($PZ26)</f>
        <v/>
      </c>
      <c r="QB26">
        <f>IF(ROW()-3&gt;MAX($QA$4:$QA$40),"",INDEX($FI$4:$FI$40,MATCH(ROW()-3,$QA$4:$QA$40,0)))</f>
        <v/>
      </c>
      <c r="QC26">
        <f>IF(COUNTIF('Buyer Groups'!DG26:EL26,0)+COUNTIF('Buyer Groups'!EN26:EN26,0)&gt;0,0,1)</f>
        <v/>
      </c>
      <c r="QD26">
        <f>IF($FN$26="",FALSE,SUMPRODUCT(('Final Calculation Sheet'!$AG$4:$AG$40=$FN$26)*($QC$6:$QC$42=1))&gt;0)</f>
        <v/>
      </c>
      <c r="QE26">
        <f>$QE$25+--($QD26)</f>
        <v/>
      </c>
      <c r="QF26">
        <f>IF(ROW()-3&gt;MAX($QE$4:$QE$40),"",INDEX($FN$4:$FN$40,MATCH(ROW()-3,$QE$4:$QE$40,0)))</f>
        <v/>
      </c>
      <c r="QG26">
        <f>IF(COUNTIF('Buyer Groups'!DG26:EM26,0)&gt;0,0,1)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Groups'!DH27:EN27,0)&gt;0,0,1)</f>
        <v/>
      </c>
      <c r="LF27">
        <f>IF($O$27="",FALSE,SUMPRODUCT(('Final Calculation Sheet'!$F$4:$F$40=$O$27)*($LE$6:$LE$42=1))&gt;0)</f>
        <v/>
      </c>
      <c r="LG27">
        <f>$LG$26+--($LF27)</f>
        <v/>
      </c>
      <c r="LH27">
        <f>IF(ROW()-3&gt;MAX($LG$4:$LG$40),"",INDEX($O$4:$O$40,MATCH(ROW()-3,$LG$4:$LG$40,0)))</f>
        <v/>
      </c>
      <c r="LI27">
        <f>IF(COUNTIF('Buyer Groups'!DG27:DG27,0)+COUNTIF('Buyer Groups'!DI27:EN27,0)&gt;0,0,1)</f>
        <v/>
      </c>
      <c r="LJ27">
        <f>IF($T$27="",FALSE,SUMPRODUCT(('Final Calculation Sheet'!$G$4:$G$40=$T$27)*($LI$6:$LI$42=1))&gt;0)</f>
        <v/>
      </c>
      <c r="LK27">
        <f>$LK$26+--($LJ27)</f>
        <v/>
      </c>
      <c r="LL27">
        <f>IF(ROW()-3&gt;MAX($LK$4:$LK$40),"",INDEX($T$4:$T$40,MATCH(ROW()-3,$LK$4:$LK$40,0)))</f>
        <v/>
      </c>
      <c r="LM27">
        <f>IF(COUNTIF('Buyer Groups'!DG27:DH27,0)+COUNTIF('Buyer Groups'!DJ27:EN27,0)&gt;0,0,1)</f>
        <v/>
      </c>
      <c r="LN27">
        <f>IF($Y$27="",FALSE,SUMPRODUCT(('Final Calculation Sheet'!$B$4:$B$40=$Y$27)*($LM$6:$LM$42=1))&gt;0)</f>
        <v/>
      </c>
      <c r="LO27">
        <f>$LO$26+--($LN27)</f>
        <v/>
      </c>
      <c r="LP27">
        <f>IF(ROW()-3&gt;MAX($LO$4:$LO$40),"",INDEX($Y$4:$Y$40,MATCH(ROW()-3,$LO$4:$LO$40,0)))</f>
        <v/>
      </c>
      <c r="LQ27">
        <f>IF(COUNTIF('Buyer Groups'!DG27:DI27,0)+COUNTIF('Buyer Groups'!DK27:EN27,0)&gt;0,0,1)</f>
        <v/>
      </c>
      <c r="LR27">
        <f>IF($AD$27="",FALSE,SUMPRODUCT(('Final Calculation Sheet'!$D$4:$D$40=$AD$27)*($LQ$6:$LQ$42=1))&gt;0)</f>
        <v/>
      </c>
      <c r="LS27">
        <f>$LS$26+--($LR27)</f>
        <v/>
      </c>
      <c r="LT27">
        <f>IF(ROW()-3&gt;MAX($LS$4:$LS$40),"",INDEX($AD$4:$AD$40,MATCH(ROW()-3,$LS$4:$LS$40,0)))</f>
        <v/>
      </c>
      <c r="LU27">
        <f>IF(COUNTIF('Buyer Groups'!DG27:DJ27,0)+COUNTIF('Buyer Groups'!DL27:EN27,0)&gt;0,0,1)</f>
        <v/>
      </c>
      <c r="LV27">
        <f>IF($AI$27="",FALSE,SUMPRODUCT(('Final Calculation Sheet'!$A$4:$A$40=$AI$27)*($LU$6:$LU$42=1))&gt;0)</f>
        <v/>
      </c>
      <c r="LW27">
        <f>$LW$26+--($LV27)</f>
        <v/>
      </c>
      <c r="LX27">
        <f>IF(ROW()-3&gt;MAX($LW$4:$LW$40),"",INDEX($AI$4:$AI$40,MATCH(ROW()-3,$LW$4:$LW$40,0)))</f>
        <v/>
      </c>
      <c r="LY27">
        <f>IF(COUNTIF('Buyer Groups'!DG27:DK27,0)+COUNTIF('Buyer Groups'!DM27:EN27,0)&gt;0,0,1)</f>
        <v/>
      </c>
      <c r="LZ27">
        <f>IF($AN$27="",FALSE,SUMPRODUCT(('Final Calculation Sheet'!$E$4:$E$40=$AN$27)*($LY$6:$LY$42=1))&gt;0)</f>
        <v/>
      </c>
      <c r="MA27">
        <f>$MA$26+--($LZ27)</f>
        <v/>
      </c>
      <c r="MB27">
        <f>IF(ROW()-3&gt;MAX($MA$4:$MA$40),"",INDEX($AN$4:$AN$40,MATCH(ROW()-3,$MA$4:$MA$40,0)))</f>
        <v/>
      </c>
      <c r="MC27">
        <f>IF(COUNTIF('Buyer Groups'!DG27:DL27,0)+COUNTIF('Buyer Groups'!DN27:EN27,0)&gt;0,0,1)</f>
        <v/>
      </c>
      <c r="MD27">
        <f>IF($AS$27="",FALSE,SUMPRODUCT(('Final Calculation Sheet'!$C$4:$C$40=$AS$27)*($MC$6:$MC$42=1))&gt;0)</f>
        <v/>
      </c>
      <c r="ME27">
        <f>$ME$26+--($MD27)</f>
        <v/>
      </c>
      <c r="MF27">
        <f>IF(ROW()-3&gt;MAX($ME$4:$ME$40),"",INDEX($AS$4:$AS$40,MATCH(ROW()-3,$ME$4:$ME$40,0)))</f>
        <v/>
      </c>
      <c r="MG27">
        <f>IF(COUNTIF('Buyer Groups'!DG27:DM27,0)+COUNTIF('Buyer Groups'!DO27:EN27,0)&gt;0,0,1)</f>
        <v/>
      </c>
      <c r="MH27">
        <f>IF($AX$27="",FALSE,SUMPRODUCT(('Final Calculation Sheet'!$H$4:$H$40=$AX$27)*($MG$6:$MG$42=1))&gt;0)</f>
        <v/>
      </c>
      <c r="MI27">
        <f>$MI$26+--($MH27)</f>
        <v/>
      </c>
      <c r="MJ27">
        <f>IF(ROW()-3&gt;MAX($MI$4:$MI$40),"",INDEX($AX$4:$AX$40,MATCH(ROW()-3,$MI$4:$MI$40,0)))</f>
        <v/>
      </c>
      <c r="MK27">
        <f>IF(COUNTIF('Buyer Groups'!DG27:DN27,0)+COUNTIF('Buyer Groups'!DP27:EN27,0)&gt;0,0,1)</f>
        <v/>
      </c>
      <c r="ML27">
        <f>IF($BC$27="",FALSE,SUMPRODUCT(('Final Calculation Sheet'!$I$4:$I$40=$BC$27)*($MK$6:$MK$42=1))&gt;0)</f>
        <v/>
      </c>
      <c r="MM27">
        <f>$MM$26+--($ML27)</f>
        <v/>
      </c>
      <c r="MN27">
        <f>IF(ROW()-3&gt;MAX($MM$4:$MM$40),"",INDEX($BC$4:$BC$40,MATCH(ROW()-3,$MM$4:$MM$40,0)))</f>
        <v/>
      </c>
      <c r="MO27">
        <f>IF(COUNTIF('Buyer Groups'!DG27:DO27,0)+COUNTIF('Buyer Groups'!DQ27:EN27,0)&gt;0,0,1)</f>
        <v/>
      </c>
      <c r="MP27">
        <f>IF($BH$27="",FALSE,SUMPRODUCT(('Final Calculation Sheet'!$J$4:$J$40=$BH$27)*($MO$6:$MO$42=1))&gt;0)</f>
        <v/>
      </c>
      <c r="MQ27">
        <f>$MQ$26+--($MP27)</f>
        <v/>
      </c>
      <c r="MR27">
        <f>IF(ROW()-3&gt;MAX($MQ$4:$MQ$40),"",INDEX($BH$4:$BH$40,MATCH(ROW()-3,$MQ$4:$MQ$40,0)))</f>
        <v/>
      </c>
      <c r="MS27">
        <f>IF(COUNTIF('Buyer Groups'!DG27:DP27,0)+COUNTIF('Buyer Groups'!DR27:EN27,0)&gt;0,0,1)</f>
        <v/>
      </c>
      <c r="MT27">
        <f>IF($BM$27="",FALSE,SUMPRODUCT(('Final Calculation Sheet'!$K$4:$K$40=$BM$27)*($MS$6:$MS$42=1))&gt;0)</f>
        <v/>
      </c>
      <c r="MU27">
        <f>$MU$26+--($MT27)</f>
        <v/>
      </c>
      <c r="MV27">
        <f>IF(ROW()-3&gt;MAX($MU$4:$MU$40),"",INDEX($BM$4:$BM$40,MATCH(ROW()-3,$MU$4:$MU$40,0)))</f>
        <v/>
      </c>
      <c r="MW27">
        <f>IF(COUNTIF('Buyer Groups'!DG27:DQ27,0)+COUNTIF('Buyer Groups'!DS27:EN27,0)&gt;0,0,1)</f>
        <v/>
      </c>
      <c r="MX27">
        <f>IF($BR$27="",FALSE,SUMPRODUCT(('Final Calculation Sheet'!$L$4:$L$40=$BR$27)*($MW$6:$MW$42=1))&gt;0)</f>
        <v/>
      </c>
      <c r="MY27">
        <f>$MY$26+--($MX27)</f>
        <v/>
      </c>
      <c r="MZ27">
        <f>IF(ROW()-3&gt;MAX($MY$4:$MY$40),"",INDEX($BR$4:$BR$40,MATCH(ROW()-3,$MY$4:$MY$40,0)))</f>
        <v/>
      </c>
      <c r="NA27">
        <f>IF(COUNTIF('Buyer Groups'!DG27:DR27,0)+COUNTIF('Buyer Groups'!DT27:EN27,0)&gt;0,0,1)</f>
        <v/>
      </c>
      <c r="NB27">
        <f>IF($BW$27="",FALSE,SUMPRODUCT(('Final Calculation Sheet'!$M$4:$M$40=$BW$27)*($NA$6:$NA$42=1))&gt;0)</f>
        <v/>
      </c>
      <c r="NC27">
        <f>$NC$26+--($NB27)</f>
        <v/>
      </c>
      <c r="ND27">
        <f>IF(ROW()-3&gt;MAX($NC$4:$NC$40),"",INDEX($BW$4:$BW$40,MATCH(ROW()-3,$NC$4:$NC$40,0)))</f>
        <v/>
      </c>
      <c r="NE27">
        <f>IF(COUNTIF('Buyer Groups'!DG27:DS27,0)+COUNTIF('Buyer Groups'!DU27:EN27,0)&gt;0,0,1)</f>
        <v/>
      </c>
      <c r="NF27">
        <f>IF($CB$27="",FALSE,SUMPRODUCT(('Final Calculation Sheet'!$N$4:$N$40=$CB$27)*($NE$6:$NE$42=1))&gt;0)</f>
        <v/>
      </c>
      <c r="NG27">
        <f>$NG$26+--($NF27)</f>
        <v/>
      </c>
      <c r="NH27">
        <f>IF(ROW()-3&gt;MAX($NG$4:$NG$40),"",INDEX($CB$4:$CB$40,MATCH(ROW()-3,$NG$4:$NG$40,0)))</f>
        <v/>
      </c>
      <c r="NI27">
        <f>IF(COUNTIF('Buyer Groups'!DG27:DT27,0)+COUNTIF('Buyer Groups'!DV27:EN27,0)&gt;0,0,1)</f>
        <v/>
      </c>
      <c r="NJ27">
        <f>IF($CG$27="",FALSE,SUMPRODUCT(('Final Calculation Sheet'!$O$4:$O$40=$CG$27)*($NI$6:$NI$42=1))&gt;0)</f>
        <v/>
      </c>
      <c r="NK27">
        <f>$NK$26+--($NJ27)</f>
        <v/>
      </c>
      <c r="NL27">
        <f>IF(ROW()-3&gt;MAX($NK$4:$NK$40),"",INDEX($CG$4:$CG$40,MATCH(ROW()-3,$NK$4:$NK$40,0)))</f>
        <v/>
      </c>
      <c r="NM27">
        <f>IF(COUNTIF('Buyer Groups'!DG27:DU27,0)+COUNTIF('Buyer Groups'!DW27:EN27,0)&gt;0,0,1)</f>
        <v/>
      </c>
      <c r="NN27">
        <f>IF($CL$27="",FALSE,SUMPRODUCT(('Final Calculation Sheet'!$P$4:$P$40=$CL$27)*($NM$6:$NM$42=1))&gt;0)</f>
        <v/>
      </c>
      <c r="NO27">
        <f>$NO$26+--($NN27)</f>
        <v/>
      </c>
      <c r="NP27">
        <f>IF(ROW()-3&gt;MAX($NO$4:$NO$40),"",INDEX($CL$4:$CL$40,MATCH(ROW()-3,$NO$4:$NO$40,0)))</f>
        <v/>
      </c>
      <c r="NQ27">
        <f>IF(COUNTIF('Buyer Groups'!DG27:DV27,0)+COUNTIF('Buyer Groups'!DX27:EN27,0)&gt;0,0,1)</f>
        <v/>
      </c>
      <c r="NR27">
        <f>IF($CQ$27="",FALSE,SUMPRODUCT(('Final Calculation Sheet'!$Q$4:$Q$40=$CQ$27)*($NQ$6:$NQ$42=1))&gt;0)</f>
        <v/>
      </c>
      <c r="NS27">
        <f>$NS$26+--($NR27)</f>
        <v/>
      </c>
      <c r="NT27">
        <f>IF(ROW()-3&gt;MAX($NS$4:$NS$40),"",INDEX($CQ$4:$CQ$40,MATCH(ROW()-3,$NS$4:$NS$40,0)))</f>
        <v/>
      </c>
      <c r="NU27">
        <f>IF(COUNTIF('Buyer Groups'!DG27:DW27,0)+COUNTIF('Buyer Groups'!DY27:EN27,0)&gt;0,0,1)</f>
        <v/>
      </c>
      <c r="NV27">
        <f>IF($CV$27="",FALSE,SUMPRODUCT(('Final Calculation Sheet'!$R$4:$R$40=$CV$27)*($NU$6:$NU$42=1))&gt;0)</f>
        <v/>
      </c>
      <c r="NW27">
        <f>$NW$26+--($NV27)</f>
        <v/>
      </c>
      <c r="NX27">
        <f>IF(ROW()-3&gt;MAX($NW$4:$NW$40),"",INDEX($CV$4:$CV$40,MATCH(ROW()-3,$NW$4:$NW$40,0)))</f>
        <v/>
      </c>
      <c r="NY27">
        <f>IF(COUNTIF('Buyer Groups'!DG27:DX27,0)+COUNTIF('Buyer Groups'!DZ27:EN27,0)&gt;0,0,1)</f>
        <v/>
      </c>
      <c r="NZ27">
        <f>IF($DA$27="",FALSE,SUMPRODUCT(('Final Calculation Sheet'!$S$4:$S$40=$DA$27)*($NY$6:$NY$42=1))&gt;0)</f>
        <v/>
      </c>
      <c r="OA27">
        <f>$OA$26+--($NZ27)</f>
        <v/>
      </c>
      <c r="OB27">
        <f>IF(ROW()-3&gt;MAX($OA$4:$OA$40),"",INDEX($DA$4:$DA$40,MATCH(ROW()-3,$OA$4:$OA$40,0)))</f>
        <v/>
      </c>
      <c r="OC27">
        <f>IF(COUNTIF('Buyer Groups'!DG27:DY27,0)+COUNTIF('Buyer Groups'!EA27:EN27,0)&gt;0,0,1)</f>
        <v/>
      </c>
      <c r="OD27">
        <f>IF($DF$27="",FALSE,SUMPRODUCT(('Final Calculation Sheet'!$T$4:$T$40=$DF$27)*($OC$6:$OC$42=1))&gt;0)</f>
        <v/>
      </c>
      <c r="OE27">
        <f>$OE$26+--($OD27)</f>
        <v/>
      </c>
      <c r="OF27">
        <f>IF(ROW()-3&gt;MAX($OE$4:$OE$40),"",INDEX($DF$4:$DF$40,MATCH(ROW()-3,$OE$4:$OE$40,0)))</f>
        <v/>
      </c>
      <c r="OG27">
        <f>IF(COUNTIF('Buyer Groups'!DG27:DZ27,0)+COUNTIF('Buyer Groups'!EB27:EN27,0)&gt;0,0,1)</f>
        <v/>
      </c>
      <c r="OH27">
        <f>IF($DK$27="",FALSE,SUMPRODUCT(('Final Calculation Sheet'!$U$4:$U$40=$DK$27)*($OG$6:$OG$42=1))&gt;0)</f>
        <v/>
      </c>
      <c r="OI27">
        <f>$OI$26+--($OH27)</f>
        <v/>
      </c>
      <c r="OJ27">
        <f>IF(ROW()-3&gt;MAX($OI$4:$OI$40),"",INDEX($DK$4:$DK$40,MATCH(ROW()-3,$OI$4:$OI$40,0)))</f>
        <v/>
      </c>
      <c r="OK27">
        <f>IF(COUNTIF('Buyer Groups'!DG27:EA27,0)+COUNTIF('Buyer Groups'!EC27:EN27,0)&gt;0,0,1)</f>
        <v/>
      </c>
      <c r="OL27">
        <f>IF($DP$27="",FALSE,SUMPRODUCT(('Final Calculation Sheet'!$V$4:$V$40=$DP$27)*($OK$6:$OK$42=1))&gt;0)</f>
        <v/>
      </c>
      <c r="OM27">
        <f>$OM$26+--($OL27)</f>
        <v/>
      </c>
      <c r="ON27">
        <f>IF(ROW()-3&gt;MAX($OM$4:$OM$40),"",INDEX($DP$4:$DP$40,MATCH(ROW()-3,$OM$4:$OM$40,0)))</f>
        <v/>
      </c>
      <c r="OO27">
        <f>IF(COUNTIF('Buyer Groups'!DG27:EB27,0)+COUNTIF('Buyer Groups'!ED27:EN27,0)&gt;0,0,1)</f>
        <v/>
      </c>
      <c r="OP27">
        <f>IF($DU$27="",FALSE,SUMPRODUCT(('Final Calculation Sheet'!$W$4:$W$40=$DU$27)*($OO$6:$OO$42=1))&gt;0)</f>
        <v/>
      </c>
      <c r="OQ27">
        <f>$OQ$26+--($OP27)</f>
        <v/>
      </c>
      <c r="OR27">
        <f>IF(ROW()-3&gt;MAX($OQ$4:$OQ$40),"",INDEX($DU$4:$DU$40,MATCH(ROW()-3,$OQ$4:$OQ$40,0)))</f>
        <v/>
      </c>
      <c r="OS27">
        <f>IF(COUNTIF('Buyer Groups'!DG27:EC27,0)+COUNTIF('Buyer Groups'!EE27:EN27,0)&gt;0,0,1)</f>
        <v/>
      </c>
      <c r="OT27">
        <f>IF($DZ$27="",FALSE,SUMPRODUCT(('Final Calculation Sheet'!$X$4:$X$40=$DZ$27)*($OS$6:$OS$42=1))&gt;0)</f>
        <v/>
      </c>
      <c r="OU27">
        <f>$OU$26+--($OT27)</f>
        <v/>
      </c>
      <c r="OV27">
        <f>IF(ROW()-3&gt;MAX($OU$4:$OU$40),"",INDEX($DZ$4:$DZ$40,MATCH(ROW()-3,$OU$4:$OU$40,0)))</f>
        <v/>
      </c>
      <c r="OW27">
        <f>IF(COUNTIF('Buyer Groups'!DG27:ED27,0)+COUNTIF('Buyer Groups'!EF27:EN27,0)&gt;0,0,1)</f>
        <v/>
      </c>
      <c r="OX27">
        <f>IF($EE$27="",FALSE,SUMPRODUCT(('Final Calculation Sheet'!$Y$4:$Y$40=$EE$27)*($OW$6:$OW$42=1))&gt;0)</f>
        <v/>
      </c>
      <c r="OY27">
        <f>$OY$26+--($OX27)</f>
        <v/>
      </c>
      <c r="OZ27">
        <f>IF(ROW()-3&gt;MAX($OY$4:$OY$40),"",INDEX($EE$4:$EE$40,MATCH(ROW()-3,$OY$4:$OY$40,0)))</f>
        <v/>
      </c>
      <c r="PA27">
        <f>IF(COUNTIF('Buyer Groups'!DG27:EE27,0)+COUNTIF('Buyer Groups'!EG27:EN27,0)&gt;0,0,1)</f>
        <v/>
      </c>
      <c r="PB27">
        <f>IF($EJ$27="",FALSE,SUMPRODUCT(('Final Calculation Sheet'!$Z$4:$Z$40=$EJ$27)*($PA$6:$PA$42=1))&gt;0)</f>
        <v/>
      </c>
      <c r="PC27">
        <f>$PC$26+--($PB27)</f>
        <v/>
      </c>
      <c r="PD27">
        <f>IF(ROW()-3&gt;MAX($PC$4:$PC$40),"",INDEX($EJ$4:$EJ$40,MATCH(ROW()-3,$PC$4:$PC$40,0)))</f>
        <v/>
      </c>
      <c r="PE27">
        <f>IF(COUNTIF('Buyer Groups'!DG27:EF27,0)+COUNTIF('Buyer Groups'!EH27:EN27,0)&gt;0,0,1)</f>
        <v/>
      </c>
      <c r="PF27">
        <f>IF($EO$27="",FALSE,SUMPRODUCT(('Final Calculation Sheet'!$AA$4:$AA$40=$EO$27)*($PE$6:$PE$42=1))&gt;0)</f>
        <v/>
      </c>
      <c r="PG27">
        <f>$PG$26+--($PF27)</f>
        <v/>
      </c>
      <c r="PH27">
        <f>IF(ROW()-3&gt;MAX($PG$4:$PG$40),"",INDEX($EO$4:$EO$40,MATCH(ROW()-3,$PG$4:$PG$40,0)))</f>
        <v/>
      </c>
      <c r="PI27">
        <f>IF(COUNTIF('Buyer Groups'!DG27:EG27,0)+COUNTIF('Buyer Groups'!EI27:EN27,0)&gt;0,0,1)</f>
        <v/>
      </c>
      <c r="PJ27">
        <f>IF($ET$27="",FALSE,SUMPRODUCT(('Final Calculation Sheet'!$AB$4:$AB$40=$ET$27)*($PI$6:$PI$42=1))&gt;0)</f>
        <v/>
      </c>
      <c r="PK27">
        <f>$PK$26+--($PJ27)</f>
        <v/>
      </c>
      <c r="PL27">
        <f>IF(ROW()-3&gt;MAX($PK$4:$PK$40),"",INDEX($ET$4:$ET$40,MATCH(ROW()-3,$PK$4:$PK$40,0)))</f>
        <v/>
      </c>
      <c r="PM27">
        <f>IF(COUNTIF('Buyer Groups'!DG27:EH27,0)+COUNTIF('Buyer Groups'!EJ27:EN27,0)&gt;0,0,1)</f>
        <v/>
      </c>
      <c r="PN27">
        <f>IF($EY$27="",FALSE,SUMPRODUCT(('Final Calculation Sheet'!$AC$4:$AC$40=$EY$27)*($PM$6:$PM$42=1))&gt;0)</f>
        <v/>
      </c>
      <c r="PO27">
        <f>$PO$26+--($PN27)</f>
        <v/>
      </c>
      <c r="PP27">
        <f>IF(ROW()-3&gt;MAX($PO$4:$PO$40),"",INDEX($EY$4:$EY$40,MATCH(ROW()-3,$PO$4:$PO$40,0)))</f>
        <v/>
      </c>
      <c r="PQ27">
        <f>IF(COUNTIF('Buyer Groups'!DG27:EI27,0)+COUNTIF('Buyer Groups'!EK27:EN27,0)&gt;0,0,1)</f>
        <v/>
      </c>
      <c r="PR27">
        <f>IF($FD$27="",FALSE,SUMPRODUCT(('Final Calculation Sheet'!$AD$4:$AD$40=$FD$27)*($PQ$6:$PQ$42=1))&gt;0)</f>
        <v/>
      </c>
      <c r="PS27">
        <f>$PS$26+--($PR27)</f>
        <v/>
      </c>
      <c r="PT27">
        <f>IF(ROW()-3&gt;MAX($PS$4:$PS$40),"",INDEX($FD$4:$FD$40,MATCH(ROW()-3,$PS$4:$PS$40,0)))</f>
        <v/>
      </c>
      <c r="PU27">
        <f>IF(COUNTIF('Buyer Groups'!DG27:EJ27,0)+COUNTIF('Buyer Groups'!EL27:EN27,0)&gt;0,0,1)</f>
        <v/>
      </c>
      <c r="PV27">
        <f>IF($FX$27="",FALSE,SUMPRODUCT((IF('Final Calculation Sheet'!$AD$4:$AD$40&lt;=5,"SETTLED","OUTSTANDING")=$FX$27)*($PU$6:$PU$42=1))&gt;0)</f>
        <v/>
      </c>
      <c r="PW27">
        <f>$PW$26+--($PV27)</f>
        <v/>
      </c>
      <c r="PX27">
        <f>IF(ROW()-3&gt;MAX($PW$4:$PW$40),"",INDEX($FX$4:$FX$40,MATCH(ROW()-3,$PW$4:$PW$40,0)))</f>
        <v/>
      </c>
      <c r="PY27">
        <f>IF(COUNTIF('Buyer Groups'!DG27:EK27,0)+COUNTIF('Buyer Groups'!EM27:EN27,0)&gt;0,0,1)</f>
        <v/>
      </c>
      <c r="PZ27">
        <f>IF($FI$27="",FALSE,SUMPRODUCT(('Final Calculation Sheet'!$AF$4:$AF$40=$FI$27)*($PY$6:$PY$42=1))&gt;0)</f>
        <v/>
      </c>
      <c r="QA27">
        <f>$QA$26+--($PZ27)</f>
        <v/>
      </c>
      <c r="QB27">
        <f>IF(ROW()-3&gt;MAX($QA$4:$QA$40),"",INDEX($FI$4:$FI$40,MATCH(ROW()-3,$QA$4:$QA$40,0)))</f>
        <v/>
      </c>
      <c r="QC27">
        <f>IF(COUNTIF('Buyer Groups'!DG27:EL27,0)+COUNTIF('Buyer Groups'!EN27:EN27,0)&gt;0,0,1)</f>
        <v/>
      </c>
      <c r="QD27">
        <f>IF($FN$27="",FALSE,SUMPRODUCT(('Final Calculation Sheet'!$AG$4:$AG$40=$FN$27)*($QC$6:$QC$42=1))&gt;0)</f>
        <v/>
      </c>
      <c r="QE27">
        <f>$QE$26+--($QD27)</f>
        <v/>
      </c>
      <c r="QF27">
        <f>IF(ROW()-3&gt;MAX($QE$4:$QE$40),"",INDEX($FN$4:$FN$40,MATCH(ROW()-3,$QE$4:$QE$40,0)))</f>
        <v/>
      </c>
      <c r="QG27">
        <f>IF(COUNTIF('Buyer Groups'!DG27:EM27,0)&gt;0,0,1)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Groups'!DH28:EN28,0)&gt;0,0,1)</f>
        <v/>
      </c>
      <c r="LF28">
        <f>IF($O$28="",FALSE,SUMPRODUCT(('Final Calculation Sheet'!$F$4:$F$40=$O$28)*($LE$6:$LE$42=1))&gt;0)</f>
        <v/>
      </c>
      <c r="LG28">
        <f>$LG$27+--($LF28)</f>
        <v/>
      </c>
      <c r="LH28">
        <f>IF(ROW()-3&gt;MAX($LG$4:$LG$40),"",INDEX($O$4:$O$40,MATCH(ROW()-3,$LG$4:$LG$40,0)))</f>
        <v/>
      </c>
      <c r="LI28">
        <f>IF(COUNTIF('Buyer Groups'!DG28:DG28,0)+COUNTIF('Buyer Groups'!DI28:EN28,0)&gt;0,0,1)</f>
        <v/>
      </c>
      <c r="LJ28">
        <f>IF($T$28="",FALSE,SUMPRODUCT(('Final Calculation Sheet'!$G$4:$G$40=$T$28)*($LI$6:$LI$42=1))&gt;0)</f>
        <v/>
      </c>
      <c r="LK28">
        <f>$LK$27+--($LJ28)</f>
        <v/>
      </c>
      <c r="LL28">
        <f>IF(ROW()-3&gt;MAX($LK$4:$LK$40),"",INDEX($T$4:$T$40,MATCH(ROW()-3,$LK$4:$LK$40,0)))</f>
        <v/>
      </c>
      <c r="LM28">
        <f>IF(COUNTIF('Buyer Groups'!DG28:DH28,0)+COUNTIF('Buyer Groups'!DJ28:EN28,0)&gt;0,0,1)</f>
        <v/>
      </c>
      <c r="LN28">
        <f>IF($Y$28="",FALSE,SUMPRODUCT(('Final Calculation Sheet'!$B$4:$B$40=$Y$28)*($LM$6:$LM$42=1))&gt;0)</f>
        <v/>
      </c>
      <c r="LO28">
        <f>$LO$27+--($LN28)</f>
        <v/>
      </c>
      <c r="LP28">
        <f>IF(ROW()-3&gt;MAX($LO$4:$LO$40),"",INDEX($Y$4:$Y$40,MATCH(ROW()-3,$LO$4:$LO$40,0)))</f>
        <v/>
      </c>
      <c r="LQ28">
        <f>IF(COUNTIF('Buyer Groups'!DG28:DI28,0)+COUNTIF('Buyer Groups'!DK28:EN28,0)&gt;0,0,1)</f>
        <v/>
      </c>
      <c r="LR28">
        <f>IF($AD$28="",FALSE,SUMPRODUCT(('Final Calculation Sheet'!$D$4:$D$40=$AD$28)*($LQ$6:$LQ$42=1))&gt;0)</f>
        <v/>
      </c>
      <c r="LS28">
        <f>$LS$27+--($LR28)</f>
        <v/>
      </c>
      <c r="LT28">
        <f>IF(ROW()-3&gt;MAX($LS$4:$LS$40),"",INDEX($AD$4:$AD$40,MATCH(ROW()-3,$LS$4:$LS$40,0)))</f>
        <v/>
      </c>
      <c r="LU28">
        <f>IF(COUNTIF('Buyer Groups'!DG28:DJ28,0)+COUNTIF('Buyer Groups'!DL28:EN28,0)&gt;0,0,1)</f>
        <v/>
      </c>
      <c r="LV28">
        <f>IF($AI$28="",FALSE,SUMPRODUCT(('Final Calculation Sheet'!$A$4:$A$40=$AI$28)*($LU$6:$LU$42=1))&gt;0)</f>
        <v/>
      </c>
      <c r="LW28">
        <f>$LW$27+--($LV28)</f>
        <v/>
      </c>
      <c r="LX28">
        <f>IF(ROW()-3&gt;MAX($LW$4:$LW$40),"",INDEX($AI$4:$AI$40,MATCH(ROW()-3,$LW$4:$LW$40,0)))</f>
        <v/>
      </c>
      <c r="LY28">
        <f>IF(COUNTIF('Buyer Groups'!DG28:DK28,0)+COUNTIF('Buyer Groups'!DM28:EN28,0)&gt;0,0,1)</f>
        <v/>
      </c>
      <c r="LZ28">
        <f>IF($AN$28="",FALSE,SUMPRODUCT(('Final Calculation Sheet'!$E$4:$E$40=$AN$28)*($LY$6:$LY$42=1))&gt;0)</f>
        <v/>
      </c>
      <c r="MA28">
        <f>$MA$27+--($LZ28)</f>
        <v/>
      </c>
      <c r="MB28">
        <f>IF(ROW()-3&gt;MAX($MA$4:$MA$40),"",INDEX($AN$4:$AN$40,MATCH(ROW()-3,$MA$4:$MA$40,0)))</f>
        <v/>
      </c>
      <c r="MC28">
        <f>IF(COUNTIF('Buyer Groups'!DG28:DL28,0)+COUNTIF('Buyer Groups'!DN28:EN28,0)&gt;0,0,1)</f>
        <v/>
      </c>
      <c r="MD28">
        <f>IF($AS$28="",FALSE,SUMPRODUCT(('Final Calculation Sheet'!$C$4:$C$40=$AS$28)*($MC$6:$MC$42=1))&gt;0)</f>
        <v/>
      </c>
      <c r="ME28">
        <f>$ME$27+--($MD28)</f>
        <v/>
      </c>
      <c r="MF28">
        <f>IF(ROW()-3&gt;MAX($ME$4:$ME$40),"",INDEX($AS$4:$AS$40,MATCH(ROW()-3,$ME$4:$ME$40,0)))</f>
        <v/>
      </c>
      <c r="MG28">
        <f>IF(COUNTIF('Buyer Groups'!DG28:DM28,0)+COUNTIF('Buyer Groups'!DO28:EN28,0)&gt;0,0,1)</f>
        <v/>
      </c>
      <c r="MH28">
        <f>IF($AX$28="",FALSE,SUMPRODUCT(('Final Calculation Sheet'!$H$4:$H$40=$AX$28)*($MG$6:$MG$42=1))&gt;0)</f>
        <v/>
      </c>
      <c r="MI28">
        <f>$MI$27+--($MH28)</f>
        <v/>
      </c>
      <c r="MJ28">
        <f>IF(ROW()-3&gt;MAX($MI$4:$MI$40),"",INDEX($AX$4:$AX$40,MATCH(ROW()-3,$MI$4:$MI$40,0)))</f>
        <v/>
      </c>
      <c r="MK28">
        <f>IF(COUNTIF('Buyer Groups'!DG28:DN28,0)+COUNTIF('Buyer Groups'!DP28:EN28,0)&gt;0,0,1)</f>
        <v/>
      </c>
      <c r="ML28">
        <f>IF($BC$28="",FALSE,SUMPRODUCT(('Final Calculation Sheet'!$I$4:$I$40=$BC$28)*($MK$6:$MK$42=1))&gt;0)</f>
        <v/>
      </c>
      <c r="MM28">
        <f>$MM$27+--($ML28)</f>
        <v/>
      </c>
      <c r="MN28">
        <f>IF(ROW()-3&gt;MAX($MM$4:$MM$40),"",INDEX($BC$4:$BC$40,MATCH(ROW()-3,$MM$4:$MM$40,0)))</f>
        <v/>
      </c>
      <c r="MO28">
        <f>IF(COUNTIF('Buyer Groups'!DG28:DO28,0)+COUNTIF('Buyer Groups'!DQ28:EN28,0)&gt;0,0,1)</f>
        <v/>
      </c>
      <c r="MP28">
        <f>IF($BH$28="",FALSE,SUMPRODUCT(('Final Calculation Sheet'!$J$4:$J$40=$BH$28)*($MO$6:$MO$42=1))&gt;0)</f>
        <v/>
      </c>
      <c r="MQ28">
        <f>$MQ$27+--($MP28)</f>
        <v/>
      </c>
      <c r="MR28">
        <f>IF(ROW()-3&gt;MAX($MQ$4:$MQ$40),"",INDEX($BH$4:$BH$40,MATCH(ROW()-3,$MQ$4:$MQ$40,0)))</f>
        <v/>
      </c>
      <c r="MS28">
        <f>IF(COUNTIF('Buyer Groups'!DG28:DP28,0)+COUNTIF('Buyer Groups'!DR28:EN28,0)&gt;0,0,1)</f>
        <v/>
      </c>
      <c r="MT28">
        <f>IF($BM$28="",FALSE,SUMPRODUCT(('Final Calculation Sheet'!$K$4:$K$40=$BM$28)*($MS$6:$MS$42=1))&gt;0)</f>
        <v/>
      </c>
      <c r="MU28">
        <f>$MU$27+--($MT28)</f>
        <v/>
      </c>
      <c r="MV28">
        <f>IF(ROW()-3&gt;MAX($MU$4:$MU$40),"",INDEX($BM$4:$BM$40,MATCH(ROW()-3,$MU$4:$MU$40,0)))</f>
        <v/>
      </c>
      <c r="MW28">
        <f>IF(COUNTIF('Buyer Groups'!DG28:DQ28,0)+COUNTIF('Buyer Groups'!DS28:EN28,0)&gt;0,0,1)</f>
        <v/>
      </c>
      <c r="MX28">
        <f>IF($BR$28="",FALSE,SUMPRODUCT(('Final Calculation Sheet'!$L$4:$L$40=$BR$28)*($MW$6:$MW$42=1))&gt;0)</f>
        <v/>
      </c>
      <c r="MY28">
        <f>$MY$27+--($MX28)</f>
        <v/>
      </c>
      <c r="MZ28">
        <f>IF(ROW()-3&gt;MAX($MY$4:$MY$40),"",INDEX($BR$4:$BR$40,MATCH(ROW()-3,$MY$4:$MY$40,0)))</f>
        <v/>
      </c>
      <c r="NA28">
        <f>IF(COUNTIF('Buyer Groups'!DG28:DR28,0)+COUNTIF('Buyer Groups'!DT28:EN28,0)&gt;0,0,1)</f>
        <v/>
      </c>
      <c r="NB28">
        <f>IF($BW$28="",FALSE,SUMPRODUCT(('Final Calculation Sheet'!$M$4:$M$40=$BW$28)*($NA$6:$NA$42=1))&gt;0)</f>
        <v/>
      </c>
      <c r="NC28">
        <f>$NC$27+--($NB28)</f>
        <v/>
      </c>
      <c r="ND28">
        <f>IF(ROW()-3&gt;MAX($NC$4:$NC$40),"",INDEX($BW$4:$BW$40,MATCH(ROW()-3,$NC$4:$NC$40,0)))</f>
        <v/>
      </c>
      <c r="NE28">
        <f>IF(COUNTIF('Buyer Groups'!DG28:DS28,0)+COUNTIF('Buyer Groups'!DU28:EN28,0)&gt;0,0,1)</f>
        <v/>
      </c>
      <c r="NF28">
        <f>IF($CB$28="",FALSE,SUMPRODUCT(('Final Calculation Sheet'!$N$4:$N$40=$CB$28)*($NE$6:$NE$42=1))&gt;0)</f>
        <v/>
      </c>
      <c r="NG28">
        <f>$NG$27+--($NF28)</f>
        <v/>
      </c>
      <c r="NH28">
        <f>IF(ROW()-3&gt;MAX($NG$4:$NG$40),"",INDEX($CB$4:$CB$40,MATCH(ROW()-3,$NG$4:$NG$40,0)))</f>
        <v/>
      </c>
      <c r="NI28">
        <f>IF(COUNTIF('Buyer Groups'!DG28:DT28,0)+COUNTIF('Buyer Groups'!DV28:EN28,0)&gt;0,0,1)</f>
        <v/>
      </c>
      <c r="NJ28">
        <f>IF($CG$28="",FALSE,SUMPRODUCT(('Final Calculation Sheet'!$O$4:$O$40=$CG$28)*($NI$6:$NI$42=1))&gt;0)</f>
        <v/>
      </c>
      <c r="NK28">
        <f>$NK$27+--($NJ28)</f>
        <v/>
      </c>
      <c r="NL28">
        <f>IF(ROW()-3&gt;MAX($NK$4:$NK$40),"",INDEX($CG$4:$CG$40,MATCH(ROW()-3,$NK$4:$NK$40,0)))</f>
        <v/>
      </c>
      <c r="NM28">
        <f>IF(COUNTIF('Buyer Groups'!DG28:DU28,0)+COUNTIF('Buyer Groups'!DW28:EN28,0)&gt;0,0,1)</f>
        <v/>
      </c>
      <c r="NN28">
        <f>IF($CL$28="",FALSE,SUMPRODUCT(('Final Calculation Sheet'!$P$4:$P$40=$CL$28)*($NM$6:$NM$42=1))&gt;0)</f>
        <v/>
      </c>
      <c r="NO28">
        <f>$NO$27+--($NN28)</f>
        <v/>
      </c>
      <c r="NP28">
        <f>IF(ROW()-3&gt;MAX($NO$4:$NO$40),"",INDEX($CL$4:$CL$40,MATCH(ROW()-3,$NO$4:$NO$40,0)))</f>
        <v/>
      </c>
      <c r="NQ28">
        <f>IF(COUNTIF('Buyer Groups'!DG28:DV28,0)+COUNTIF('Buyer Groups'!DX28:EN28,0)&gt;0,0,1)</f>
        <v/>
      </c>
      <c r="NR28">
        <f>IF($CQ$28="",FALSE,SUMPRODUCT(('Final Calculation Sheet'!$Q$4:$Q$40=$CQ$28)*($NQ$6:$NQ$42=1))&gt;0)</f>
        <v/>
      </c>
      <c r="NS28">
        <f>$NS$27+--($NR28)</f>
        <v/>
      </c>
      <c r="NT28">
        <f>IF(ROW()-3&gt;MAX($NS$4:$NS$40),"",INDEX($CQ$4:$CQ$40,MATCH(ROW()-3,$NS$4:$NS$40,0)))</f>
        <v/>
      </c>
      <c r="NU28">
        <f>IF(COUNTIF('Buyer Groups'!DG28:DW28,0)+COUNTIF('Buyer Groups'!DY28:EN28,0)&gt;0,0,1)</f>
        <v/>
      </c>
      <c r="NV28">
        <f>IF($CV$28="",FALSE,SUMPRODUCT(('Final Calculation Sheet'!$R$4:$R$40=$CV$28)*($NU$6:$NU$42=1))&gt;0)</f>
        <v/>
      </c>
      <c r="NW28">
        <f>$NW$27+--($NV28)</f>
        <v/>
      </c>
      <c r="NX28">
        <f>IF(ROW()-3&gt;MAX($NW$4:$NW$40),"",INDEX($CV$4:$CV$40,MATCH(ROW()-3,$NW$4:$NW$40,0)))</f>
        <v/>
      </c>
      <c r="NY28">
        <f>IF(COUNTIF('Buyer Groups'!DG28:DX28,0)+COUNTIF('Buyer Groups'!DZ28:EN28,0)&gt;0,0,1)</f>
        <v/>
      </c>
      <c r="NZ28">
        <f>IF($DA$28="",FALSE,SUMPRODUCT(('Final Calculation Sheet'!$S$4:$S$40=$DA$28)*($NY$6:$NY$42=1))&gt;0)</f>
        <v/>
      </c>
      <c r="OA28">
        <f>$OA$27+--($NZ28)</f>
        <v/>
      </c>
      <c r="OB28">
        <f>IF(ROW()-3&gt;MAX($OA$4:$OA$40),"",INDEX($DA$4:$DA$40,MATCH(ROW()-3,$OA$4:$OA$40,0)))</f>
        <v/>
      </c>
      <c r="OC28">
        <f>IF(COUNTIF('Buyer Groups'!DG28:DY28,0)+COUNTIF('Buyer Groups'!EA28:EN28,0)&gt;0,0,1)</f>
        <v/>
      </c>
      <c r="OD28">
        <f>IF($DF$28="",FALSE,SUMPRODUCT(('Final Calculation Sheet'!$T$4:$T$40=$DF$28)*($OC$6:$OC$42=1))&gt;0)</f>
        <v/>
      </c>
      <c r="OE28">
        <f>$OE$27+--($OD28)</f>
        <v/>
      </c>
      <c r="OF28">
        <f>IF(ROW()-3&gt;MAX($OE$4:$OE$40),"",INDEX($DF$4:$DF$40,MATCH(ROW()-3,$OE$4:$OE$40,0)))</f>
        <v/>
      </c>
      <c r="OG28">
        <f>IF(COUNTIF('Buyer Groups'!DG28:DZ28,0)+COUNTIF('Buyer Groups'!EB28:EN28,0)&gt;0,0,1)</f>
        <v/>
      </c>
      <c r="OH28">
        <f>IF($DK$28="",FALSE,SUMPRODUCT(('Final Calculation Sheet'!$U$4:$U$40=$DK$28)*($OG$6:$OG$42=1))&gt;0)</f>
        <v/>
      </c>
      <c r="OI28">
        <f>$OI$27+--($OH28)</f>
        <v/>
      </c>
      <c r="OJ28">
        <f>IF(ROW()-3&gt;MAX($OI$4:$OI$40),"",INDEX($DK$4:$DK$40,MATCH(ROW()-3,$OI$4:$OI$40,0)))</f>
        <v/>
      </c>
      <c r="OK28">
        <f>IF(COUNTIF('Buyer Groups'!DG28:EA28,0)+COUNTIF('Buyer Groups'!EC28:EN28,0)&gt;0,0,1)</f>
        <v/>
      </c>
      <c r="OL28">
        <f>IF($DP$28="",FALSE,SUMPRODUCT(('Final Calculation Sheet'!$V$4:$V$40=$DP$28)*($OK$6:$OK$42=1))&gt;0)</f>
        <v/>
      </c>
      <c r="OM28">
        <f>$OM$27+--($OL28)</f>
        <v/>
      </c>
      <c r="ON28">
        <f>IF(ROW()-3&gt;MAX($OM$4:$OM$40),"",INDEX($DP$4:$DP$40,MATCH(ROW()-3,$OM$4:$OM$40,0)))</f>
        <v/>
      </c>
      <c r="OO28">
        <f>IF(COUNTIF('Buyer Groups'!DG28:EB28,0)+COUNTIF('Buyer Groups'!ED28:EN28,0)&gt;0,0,1)</f>
        <v/>
      </c>
      <c r="OP28">
        <f>IF($DU$28="",FALSE,SUMPRODUCT(('Final Calculation Sheet'!$W$4:$W$40=$DU$28)*($OO$6:$OO$42=1))&gt;0)</f>
        <v/>
      </c>
      <c r="OQ28">
        <f>$OQ$27+--($OP28)</f>
        <v/>
      </c>
      <c r="OR28">
        <f>IF(ROW()-3&gt;MAX($OQ$4:$OQ$40),"",INDEX($DU$4:$DU$40,MATCH(ROW()-3,$OQ$4:$OQ$40,0)))</f>
        <v/>
      </c>
      <c r="OS28">
        <f>IF(COUNTIF('Buyer Groups'!DG28:EC28,0)+COUNTIF('Buyer Groups'!EE28:EN28,0)&gt;0,0,1)</f>
        <v/>
      </c>
      <c r="OT28">
        <f>IF($DZ$28="",FALSE,SUMPRODUCT(('Final Calculation Sheet'!$X$4:$X$40=$DZ$28)*($OS$6:$OS$42=1))&gt;0)</f>
        <v/>
      </c>
      <c r="OU28">
        <f>$OU$27+--($OT28)</f>
        <v/>
      </c>
      <c r="OV28">
        <f>IF(ROW()-3&gt;MAX($OU$4:$OU$40),"",INDEX($DZ$4:$DZ$40,MATCH(ROW()-3,$OU$4:$OU$40,0)))</f>
        <v/>
      </c>
      <c r="OW28">
        <f>IF(COUNTIF('Buyer Groups'!DG28:ED28,0)+COUNTIF('Buyer Groups'!EF28:EN28,0)&gt;0,0,1)</f>
        <v/>
      </c>
      <c r="OX28">
        <f>IF($EE$28="",FALSE,SUMPRODUCT(('Final Calculation Sheet'!$Y$4:$Y$40=$EE$28)*($OW$6:$OW$42=1))&gt;0)</f>
        <v/>
      </c>
      <c r="OY28">
        <f>$OY$27+--($OX28)</f>
        <v/>
      </c>
      <c r="OZ28">
        <f>IF(ROW()-3&gt;MAX($OY$4:$OY$40),"",INDEX($EE$4:$EE$40,MATCH(ROW()-3,$OY$4:$OY$40,0)))</f>
        <v/>
      </c>
      <c r="PA28">
        <f>IF(COUNTIF('Buyer Groups'!DG28:EE28,0)+COUNTIF('Buyer Groups'!EG28:EN28,0)&gt;0,0,1)</f>
        <v/>
      </c>
      <c r="PB28">
        <f>IF($EJ$28="",FALSE,SUMPRODUCT(('Final Calculation Sheet'!$Z$4:$Z$40=$EJ$28)*($PA$6:$PA$42=1))&gt;0)</f>
        <v/>
      </c>
      <c r="PC28">
        <f>$PC$27+--($PB28)</f>
        <v/>
      </c>
      <c r="PD28">
        <f>IF(ROW()-3&gt;MAX($PC$4:$PC$40),"",INDEX($EJ$4:$EJ$40,MATCH(ROW()-3,$PC$4:$PC$40,0)))</f>
        <v/>
      </c>
      <c r="PE28">
        <f>IF(COUNTIF('Buyer Groups'!DG28:EF28,0)+COUNTIF('Buyer Groups'!EH28:EN28,0)&gt;0,0,1)</f>
        <v/>
      </c>
      <c r="PF28">
        <f>IF($EO$28="",FALSE,SUMPRODUCT(('Final Calculation Sheet'!$AA$4:$AA$40=$EO$28)*($PE$6:$PE$42=1))&gt;0)</f>
        <v/>
      </c>
      <c r="PG28">
        <f>$PG$27+--($PF28)</f>
        <v/>
      </c>
      <c r="PH28">
        <f>IF(ROW()-3&gt;MAX($PG$4:$PG$40),"",INDEX($EO$4:$EO$40,MATCH(ROW()-3,$PG$4:$PG$40,0)))</f>
        <v/>
      </c>
      <c r="PI28">
        <f>IF(COUNTIF('Buyer Groups'!DG28:EG28,0)+COUNTIF('Buyer Groups'!EI28:EN28,0)&gt;0,0,1)</f>
        <v/>
      </c>
      <c r="PJ28">
        <f>IF($ET$28="",FALSE,SUMPRODUCT(('Final Calculation Sheet'!$AB$4:$AB$40=$ET$28)*($PI$6:$PI$42=1))&gt;0)</f>
        <v/>
      </c>
      <c r="PK28">
        <f>$PK$27+--($PJ28)</f>
        <v/>
      </c>
      <c r="PL28">
        <f>IF(ROW()-3&gt;MAX($PK$4:$PK$40),"",INDEX($ET$4:$ET$40,MATCH(ROW()-3,$PK$4:$PK$40,0)))</f>
        <v/>
      </c>
      <c r="PM28">
        <f>IF(COUNTIF('Buyer Groups'!DG28:EH28,0)+COUNTIF('Buyer Groups'!EJ28:EN28,0)&gt;0,0,1)</f>
        <v/>
      </c>
      <c r="PN28">
        <f>IF($EY$28="",FALSE,SUMPRODUCT(('Final Calculation Sheet'!$AC$4:$AC$40=$EY$28)*($PM$6:$PM$42=1))&gt;0)</f>
        <v/>
      </c>
      <c r="PO28">
        <f>$PO$27+--($PN28)</f>
        <v/>
      </c>
      <c r="PP28">
        <f>IF(ROW()-3&gt;MAX($PO$4:$PO$40),"",INDEX($EY$4:$EY$40,MATCH(ROW()-3,$PO$4:$PO$40,0)))</f>
        <v/>
      </c>
      <c r="PQ28">
        <f>IF(COUNTIF('Buyer Groups'!DG28:EI28,0)+COUNTIF('Buyer Groups'!EK28:EN28,0)&gt;0,0,1)</f>
        <v/>
      </c>
      <c r="PR28">
        <f>IF($FD$28="",FALSE,SUMPRODUCT(('Final Calculation Sheet'!$AD$4:$AD$40=$FD$28)*($PQ$6:$PQ$42=1))&gt;0)</f>
        <v/>
      </c>
      <c r="PS28">
        <f>$PS$27+--($PR28)</f>
        <v/>
      </c>
      <c r="PT28">
        <f>IF(ROW()-3&gt;MAX($PS$4:$PS$40),"",INDEX($FD$4:$FD$40,MATCH(ROW()-3,$PS$4:$PS$40,0)))</f>
        <v/>
      </c>
      <c r="PU28">
        <f>IF(COUNTIF('Buyer Groups'!DG28:EJ28,0)+COUNTIF('Buyer Groups'!EL28:EN28,0)&gt;0,0,1)</f>
        <v/>
      </c>
      <c r="PV28">
        <f>IF($FX$28="",FALSE,SUMPRODUCT((IF('Final Calculation Sheet'!$AD$4:$AD$40&lt;=5,"SETTLED","OUTSTANDING")=$FX$28)*($PU$6:$PU$42=1))&gt;0)</f>
        <v/>
      </c>
      <c r="PW28">
        <f>$PW$27+--($PV28)</f>
        <v/>
      </c>
      <c r="PX28">
        <f>IF(ROW()-3&gt;MAX($PW$4:$PW$40),"",INDEX($FX$4:$FX$40,MATCH(ROW()-3,$PW$4:$PW$40,0)))</f>
        <v/>
      </c>
      <c r="PY28">
        <f>IF(COUNTIF('Buyer Groups'!DG28:EK28,0)+COUNTIF('Buyer Groups'!EM28:EN28,0)&gt;0,0,1)</f>
        <v/>
      </c>
      <c r="PZ28">
        <f>IF($FI$28="",FALSE,SUMPRODUCT(('Final Calculation Sheet'!$AF$4:$AF$40=$FI$28)*($PY$6:$PY$42=1))&gt;0)</f>
        <v/>
      </c>
      <c r="QA28">
        <f>$QA$27+--($PZ28)</f>
        <v/>
      </c>
      <c r="QB28">
        <f>IF(ROW()-3&gt;MAX($QA$4:$QA$40),"",INDEX($FI$4:$FI$40,MATCH(ROW()-3,$QA$4:$QA$40,0)))</f>
        <v/>
      </c>
      <c r="QC28">
        <f>IF(COUNTIF('Buyer Groups'!DG28:EL28,0)+COUNTIF('Buyer Groups'!EN28:EN28,0)&gt;0,0,1)</f>
        <v/>
      </c>
      <c r="QD28">
        <f>IF($FN$28="",FALSE,SUMPRODUCT(('Final Calculation Sheet'!$AG$4:$AG$40=$FN$28)*($QC$6:$QC$42=1))&gt;0)</f>
        <v/>
      </c>
      <c r="QE28">
        <f>$QE$27+--($QD28)</f>
        <v/>
      </c>
      <c r="QF28">
        <f>IF(ROW()-3&gt;MAX($QE$4:$QE$40),"",INDEX($FN$4:$FN$40,MATCH(ROW()-3,$QE$4:$QE$40,0)))</f>
        <v/>
      </c>
      <c r="QG28">
        <f>IF(COUNTIF('Buyer Groups'!DG28:EM28,0)&gt;0,0,1)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Groups'!DH29:EN29,0)&gt;0,0,1)</f>
        <v/>
      </c>
      <c r="LF29">
        <f>IF($O$29="",FALSE,SUMPRODUCT(('Final Calculation Sheet'!$F$4:$F$40=$O$29)*($LE$6:$LE$42=1))&gt;0)</f>
        <v/>
      </c>
      <c r="LG29">
        <f>$LG$28+--($LF29)</f>
        <v/>
      </c>
      <c r="LH29">
        <f>IF(ROW()-3&gt;MAX($LG$4:$LG$40),"",INDEX($O$4:$O$40,MATCH(ROW()-3,$LG$4:$LG$40,0)))</f>
        <v/>
      </c>
      <c r="LI29">
        <f>IF(COUNTIF('Buyer Groups'!DG29:DG29,0)+COUNTIF('Buyer Groups'!DI29:EN29,0)&gt;0,0,1)</f>
        <v/>
      </c>
      <c r="LJ29">
        <f>IF($T$29="",FALSE,SUMPRODUCT(('Final Calculation Sheet'!$G$4:$G$40=$T$29)*($LI$6:$LI$42=1))&gt;0)</f>
        <v/>
      </c>
      <c r="LK29">
        <f>$LK$28+--($LJ29)</f>
        <v/>
      </c>
      <c r="LL29">
        <f>IF(ROW()-3&gt;MAX($LK$4:$LK$40),"",INDEX($T$4:$T$40,MATCH(ROW()-3,$LK$4:$LK$40,0)))</f>
        <v/>
      </c>
      <c r="LM29">
        <f>IF(COUNTIF('Buyer Groups'!DG29:DH29,0)+COUNTIF('Buyer Groups'!DJ29:EN29,0)&gt;0,0,1)</f>
        <v/>
      </c>
      <c r="LN29">
        <f>IF($Y$29="",FALSE,SUMPRODUCT(('Final Calculation Sheet'!$B$4:$B$40=$Y$29)*($LM$6:$LM$42=1))&gt;0)</f>
        <v/>
      </c>
      <c r="LO29">
        <f>$LO$28+--($LN29)</f>
        <v/>
      </c>
      <c r="LP29">
        <f>IF(ROW()-3&gt;MAX($LO$4:$LO$40),"",INDEX($Y$4:$Y$40,MATCH(ROW()-3,$LO$4:$LO$40,0)))</f>
        <v/>
      </c>
      <c r="LQ29">
        <f>IF(COUNTIF('Buyer Groups'!DG29:DI29,0)+COUNTIF('Buyer Groups'!DK29:EN29,0)&gt;0,0,1)</f>
        <v/>
      </c>
      <c r="LR29">
        <f>IF($AD$29="",FALSE,SUMPRODUCT(('Final Calculation Sheet'!$D$4:$D$40=$AD$29)*($LQ$6:$LQ$42=1))&gt;0)</f>
        <v/>
      </c>
      <c r="LS29">
        <f>$LS$28+--($LR29)</f>
        <v/>
      </c>
      <c r="LT29">
        <f>IF(ROW()-3&gt;MAX($LS$4:$LS$40),"",INDEX($AD$4:$AD$40,MATCH(ROW()-3,$LS$4:$LS$40,0)))</f>
        <v/>
      </c>
      <c r="LU29">
        <f>IF(COUNTIF('Buyer Groups'!DG29:DJ29,0)+COUNTIF('Buyer Groups'!DL29:EN29,0)&gt;0,0,1)</f>
        <v/>
      </c>
      <c r="LV29">
        <f>IF($AI$29="",FALSE,SUMPRODUCT(('Final Calculation Sheet'!$A$4:$A$40=$AI$29)*($LU$6:$LU$42=1))&gt;0)</f>
        <v/>
      </c>
      <c r="LW29">
        <f>$LW$28+--($LV29)</f>
        <v/>
      </c>
      <c r="LX29">
        <f>IF(ROW()-3&gt;MAX($LW$4:$LW$40),"",INDEX($AI$4:$AI$40,MATCH(ROW()-3,$LW$4:$LW$40,0)))</f>
        <v/>
      </c>
      <c r="LY29">
        <f>IF(COUNTIF('Buyer Groups'!DG29:DK29,0)+COUNTIF('Buyer Groups'!DM29:EN29,0)&gt;0,0,1)</f>
        <v/>
      </c>
      <c r="LZ29">
        <f>IF($AN$29="",FALSE,SUMPRODUCT(('Final Calculation Sheet'!$E$4:$E$40=$AN$29)*($LY$6:$LY$42=1))&gt;0)</f>
        <v/>
      </c>
      <c r="MA29">
        <f>$MA$28+--($LZ29)</f>
        <v/>
      </c>
      <c r="MB29">
        <f>IF(ROW()-3&gt;MAX($MA$4:$MA$40),"",INDEX($AN$4:$AN$40,MATCH(ROW()-3,$MA$4:$MA$40,0)))</f>
        <v/>
      </c>
      <c r="MC29">
        <f>IF(COUNTIF('Buyer Groups'!DG29:DL29,0)+COUNTIF('Buyer Groups'!DN29:EN29,0)&gt;0,0,1)</f>
        <v/>
      </c>
      <c r="MD29">
        <f>IF($AS$29="",FALSE,SUMPRODUCT(('Final Calculation Sheet'!$C$4:$C$40=$AS$29)*($MC$6:$MC$42=1))&gt;0)</f>
        <v/>
      </c>
      <c r="ME29">
        <f>$ME$28+--($MD29)</f>
        <v/>
      </c>
      <c r="MF29">
        <f>IF(ROW()-3&gt;MAX($ME$4:$ME$40),"",INDEX($AS$4:$AS$40,MATCH(ROW()-3,$ME$4:$ME$40,0)))</f>
        <v/>
      </c>
      <c r="MG29">
        <f>IF(COUNTIF('Buyer Groups'!DG29:DM29,0)+COUNTIF('Buyer Groups'!DO29:EN29,0)&gt;0,0,1)</f>
        <v/>
      </c>
      <c r="MH29">
        <f>IF($AX$29="",FALSE,SUMPRODUCT(('Final Calculation Sheet'!$H$4:$H$40=$AX$29)*($MG$6:$MG$42=1))&gt;0)</f>
        <v/>
      </c>
      <c r="MI29">
        <f>$MI$28+--($MH29)</f>
        <v/>
      </c>
      <c r="MJ29">
        <f>IF(ROW()-3&gt;MAX($MI$4:$MI$40),"",INDEX($AX$4:$AX$40,MATCH(ROW()-3,$MI$4:$MI$40,0)))</f>
        <v/>
      </c>
      <c r="MK29">
        <f>IF(COUNTIF('Buyer Groups'!DG29:DN29,0)+COUNTIF('Buyer Groups'!DP29:EN29,0)&gt;0,0,1)</f>
        <v/>
      </c>
      <c r="ML29">
        <f>IF($BC$29="",FALSE,SUMPRODUCT(('Final Calculation Sheet'!$I$4:$I$40=$BC$29)*($MK$6:$MK$42=1))&gt;0)</f>
        <v/>
      </c>
      <c r="MM29">
        <f>$MM$28+--($ML29)</f>
        <v/>
      </c>
      <c r="MN29">
        <f>IF(ROW()-3&gt;MAX($MM$4:$MM$40),"",INDEX($BC$4:$BC$40,MATCH(ROW()-3,$MM$4:$MM$40,0)))</f>
        <v/>
      </c>
      <c r="MO29">
        <f>IF(COUNTIF('Buyer Groups'!DG29:DO29,0)+COUNTIF('Buyer Groups'!DQ29:EN29,0)&gt;0,0,1)</f>
        <v/>
      </c>
      <c r="MP29">
        <f>IF($BH$29="",FALSE,SUMPRODUCT(('Final Calculation Sheet'!$J$4:$J$40=$BH$29)*($MO$6:$MO$42=1))&gt;0)</f>
        <v/>
      </c>
      <c r="MQ29">
        <f>$MQ$28+--($MP29)</f>
        <v/>
      </c>
      <c r="MR29">
        <f>IF(ROW()-3&gt;MAX($MQ$4:$MQ$40),"",INDEX($BH$4:$BH$40,MATCH(ROW()-3,$MQ$4:$MQ$40,0)))</f>
        <v/>
      </c>
      <c r="MS29">
        <f>IF(COUNTIF('Buyer Groups'!DG29:DP29,0)+COUNTIF('Buyer Groups'!DR29:EN29,0)&gt;0,0,1)</f>
        <v/>
      </c>
      <c r="MT29">
        <f>IF($BM$29="",FALSE,SUMPRODUCT(('Final Calculation Sheet'!$K$4:$K$40=$BM$29)*($MS$6:$MS$42=1))&gt;0)</f>
        <v/>
      </c>
      <c r="MU29">
        <f>$MU$28+--($MT29)</f>
        <v/>
      </c>
      <c r="MV29">
        <f>IF(ROW()-3&gt;MAX($MU$4:$MU$40),"",INDEX($BM$4:$BM$40,MATCH(ROW()-3,$MU$4:$MU$40,0)))</f>
        <v/>
      </c>
      <c r="MW29">
        <f>IF(COUNTIF('Buyer Groups'!DG29:DQ29,0)+COUNTIF('Buyer Groups'!DS29:EN29,0)&gt;0,0,1)</f>
        <v/>
      </c>
      <c r="MX29">
        <f>IF($BR$29="",FALSE,SUMPRODUCT(('Final Calculation Sheet'!$L$4:$L$40=$BR$29)*($MW$6:$MW$42=1))&gt;0)</f>
        <v/>
      </c>
      <c r="MY29">
        <f>$MY$28+--($MX29)</f>
        <v/>
      </c>
      <c r="MZ29">
        <f>IF(ROW()-3&gt;MAX($MY$4:$MY$40),"",INDEX($BR$4:$BR$40,MATCH(ROW()-3,$MY$4:$MY$40,0)))</f>
        <v/>
      </c>
      <c r="NA29">
        <f>IF(COUNTIF('Buyer Groups'!DG29:DR29,0)+COUNTIF('Buyer Groups'!DT29:EN29,0)&gt;0,0,1)</f>
        <v/>
      </c>
      <c r="NB29">
        <f>IF($BW$29="",FALSE,SUMPRODUCT(('Final Calculation Sheet'!$M$4:$M$40=$BW$29)*($NA$6:$NA$42=1))&gt;0)</f>
        <v/>
      </c>
      <c r="NC29">
        <f>$NC$28+--($NB29)</f>
        <v/>
      </c>
      <c r="ND29">
        <f>IF(ROW()-3&gt;MAX($NC$4:$NC$40),"",INDEX($BW$4:$BW$40,MATCH(ROW()-3,$NC$4:$NC$40,0)))</f>
        <v/>
      </c>
      <c r="NE29">
        <f>IF(COUNTIF('Buyer Groups'!DG29:DS29,0)+COUNTIF('Buyer Groups'!DU29:EN29,0)&gt;0,0,1)</f>
        <v/>
      </c>
      <c r="NF29">
        <f>IF($CB$29="",FALSE,SUMPRODUCT(('Final Calculation Sheet'!$N$4:$N$40=$CB$29)*($NE$6:$NE$42=1))&gt;0)</f>
        <v/>
      </c>
      <c r="NG29">
        <f>$NG$28+--($NF29)</f>
        <v/>
      </c>
      <c r="NH29">
        <f>IF(ROW()-3&gt;MAX($NG$4:$NG$40),"",INDEX($CB$4:$CB$40,MATCH(ROW()-3,$NG$4:$NG$40,0)))</f>
        <v/>
      </c>
      <c r="NI29">
        <f>IF(COUNTIF('Buyer Groups'!DG29:DT29,0)+COUNTIF('Buyer Groups'!DV29:EN29,0)&gt;0,0,1)</f>
        <v/>
      </c>
      <c r="NJ29">
        <f>IF($CG$29="",FALSE,SUMPRODUCT(('Final Calculation Sheet'!$O$4:$O$40=$CG$29)*($NI$6:$NI$42=1))&gt;0)</f>
        <v/>
      </c>
      <c r="NK29">
        <f>$NK$28+--($NJ29)</f>
        <v/>
      </c>
      <c r="NL29">
        <f>IF(ROW()-3&gt;MAX($NK$4:$NK$40),"",INDEX($CG$4:$CG$40,MATCH(ROW()-3,$NK$4:$NK$40,0)))</f>
        <v/>
      </c>
      <c r="NM29">
        <f>IF(COUNTIF('Buyer Groups'!DG29:DU29,0)+COUNTIF('Buyer Groups'!DW29:EN29,0)&gt;0,0,1)</f>
        <v/>
      </c>
      <c r="NN29">
        <f>IF($CL$29="",FALSE,SUMPRODUCT(('Final Calculation Sheet'!$P$4:$P$40=$CL$29)*($NM$6:$NM$42=1))&gt;0)</f>
        <v/>
      </c>
      <c r="NO29">
        <f>$NO$28+--($NN29)</f>
        <v/>
      </c>
      <c r="NP29">
        <f>IF(ROW()-3&gt;MAX($NO$4:$NO$40),"",INDEX($CL$4:$CL$40,MATCH(ROW()-3,$NO$4:$NO$40,0)))</f>
        <v/>
      </c>
      <c r="NQ29">
        <f>IF(COUNTIF('Buyer Groups'!DG29:DV29,0)+COUNTIF('Buyer Groups'!DX29:EN29,0)&gt;0,0,1)</f>
        <v/>
      </c>
      <c r="NR29">
        <f>IF($CQ$29="",FALSE,SUMPRODUCT(('Final Calculation Sheet'!$Q$4:$Q$40=$CQ$29)*($NQ$6:$NQ$42=1))&gt;0)</f>
        <v/>
      </c>
      <c r="NS29">
        <f>$NS$28+--($NR29)</f>
        <v/>
      </c>
      <c r="NT29">
        <f>IF(ROW()-3&gt;MAX($NS$4:$NS$40),"",INDEX($CQ$4:$CQ$40,MATCH(ROW()-3,$NS$4:$NS$40,0)))</f>
        <v/>
      </c>
      <c r="NU29">
        <f>IF(COUNTIF('Buyer Groups'!DG29:DW29,0)+COUNTIF('Buyer Groups'!DY29:EN29,0)&gt;0,0,1)</f>
        <v/>
      </c>
      <c r="NV29">
        <f>IF($CV$29="",FALSE,SUMPRODUCT(('Final Calculation Sheet'!$R$4:$R$40=$CV$29)*($NU$6:$NU$42=1))&gt;0)</f>
        <v/>
      </c>
      <c r="NW29">
        <f>$NW$28+--($NV29)</f>
        <v/>
      </c>
      <c r="NX29">
        <f>IF(ROW()-3&gt;MAX($NW$4:$NW$40),"",INDEX($CV$4:$CV$40,MATCH(ROW()-3,$NW$4:$NW$40,0)))</f>
        <v/>
      </c>
      <c r="NY29">
        <f>IF(COUNTIF('Buyer Groups'!DG29:DX29,0)+COUNTIF('Buyer Groups'!DZ29:EN29,0)&gt;0,0,1)</f>
        <v/>
      </c>
      <c r="NZ29">
        <f>IF($DA$29="",FALSE,SUMPRODUCT(('Final Calculation Sheet'!$S$4:$S$40=$DA$29)*($NY$6:$NY$42=1))&gt;0)</f>
        <v/>
      </c>
      <c r="OA29">
        <f>$OA$28+--($NZ29)</f>
        <v/>
      </c>
      <c r="OB29">
        <f>IF(ROW()-3&gt;MAX($OA$4:$OA$40),"",INDEX($DA$4:$DA$40,MATCH(ROW()-3,$OA$4:$OA$40,0)))</f>
        <v/>
      </c>
      <c r="OC29">
        <f>IF(COUNTIF('Buyer Groups'!DG29:DY29,0)+COUNTIF('Buyer Groups'!EA29:EN29,0)&gt;0,0,1)</f>
        <v/>
      </c>
      <c r="OD29">
        <f>IF($DF$29="",FALSE,SUMPRODUCT(('Final Calculation Sheet'!$T$4:$T$40=$DF$29)*($OC$6:$OC$42=1))&gt;0)</f>
        <v/>
      </c>
      <c r="OE29">
        <f>$OE$28+--($OD29)</f>
        <v/>
      </c>
      <c r="OF29">
        <f>IF(ROW()-3&gt;MAX($OE$4:$OE$40),"",INDEX($DF$4:$DF$40,MATCH(ROW()-3,$OE$4:$OE$40,0)))</f>
        <v/>
      </c>
      <c r="OG29">
        <f>IF(COUNTIF('Buyer Groups'!DG29:DZ29,0)+COUNTIF('Buyer Groups'!EB29:EN29,0)&gt;0,0,1)</f>
        <v/>
      </c>
      <c r="OH29">
        <f>IF($DK$29="",FALSE,SUMPRODUCT(('Final Calculation Sheet'!$U$4:$U$40=$DK$29)*($OG$6:$OG$42=1))&gt;0)</f>
        <v/>
      </c>
      <c r="OI29">
        <f>$OI$28+--($OH29)</f>
        <v/>
      </c>
      <c r="OJ29">
        <f>IF(ROW()-3&gt;MAX($OI$4:$OI$40),"",INDEX($DK$4:$DK$40,MATCH(ROW()-3,$OI$4:$OI$40,0)))</f>
        <v/>
      </c>
      <c r="OK29">
        <f>IF(COUNTIF('Buyer Groups'!DG29:EA29,0)+COUNTIF('Buyer Groups'!EC29:EN29,0)&gt;0,0,1)</f>
        <v/>
      </c>
      <c r="OL29">
        <f>IF($DP$29="",FALSE,SUMPRODUCT(('Final Calculation Sheet'!$V$4:$V$40=$DP$29)*($OK$6:$OK$42=1))&gt;0)</f>
        <v/>
      </c>
      <c r="OM29">
        <f>$OM$28+--($OL29)</f>
        <v/>
      </c>
      <c r="ON29">
        <f>IF(ROW()-3&gt;MAX($OM$4:$OM$40),"",INDEX($DP$4:$DP$40,MATCH(ROW()-3,$OM$4:$OM$40,0)))</f>
        <v/>
      </c>
      <c r="OO29">
        <f>IF(COUNTIF('Buyer Groups'!DG29:EB29,0)+COUNTIF('Buyer Groups'!ED29:EN29,0)&gt;0,0,1)</f>
        <v/>
      </c>
      <c r="OP29">
        <f>IF($DU$29="",FALSE,SUMPRODUCT(('Final Calculation Sheet'!$W$4:$W$40=$DU$29)*($OO$6:$OO$42=1))&gt;0)</f>
        <v/>
      </c>
      <c r="OQ29">
        <f>$OQ$28+--($OP29)</f>
        <v/>
      </c>
      <c r="OR29">
        <f>IF(ROW()-3&gt;MAX($OQ$4:$OQ$40),"",INDEX($DU$4:$DU$40,MATCH(ROW()-3,$OQ$4:$OQ$40,0)))</f>
        <v/>
      </c>
      <c r="OS29">
        <f>IF(COUNTIF('Buyer Groups'!DG29:EC29,0)+COUNTIF('Buyer Groups'!EE29:EN29,0)&gt;0,0,1)</f>
        <v/>
      </c>
      <c r="OT29">
        <f>IF($DZ$29="",FALSE,SUMPRODUCT(('Final Calculation Sheet'!$X$4:$X$40=$DZ$29)*($OS$6:$OS$42=1))&gt;0)</f>
        <v/>
      </c>
      <c r="OU29">
        <f>$OU$28+--($OT29)</f>
        <v/>
      </c>
      <c r="OV29">
        <f>IF(ROW()-3&gt;MAX($OU$4:$OU$40),"",INDEX($DZ$4:$DZ$40,MATCH(ROW()-3,$OU$4:$OU$40,0)))</f>
        <v/>
      </c>
      <c r="OW29">
        <f>IF(COUNTIF('Buyer Groups'!DG29:ED29,0)+COUNTIF('Buyer Groups'!EF29:EN29,0)&gt;0,0,1)</f>
        <v/>
      </c>
      <c r="OX29">
        <f>IF($EE$29="",FALSE,SUMPRODUCT(('Final Calculation Sheet'!$Y$4:$Y$40=$EE$29)*($OW$6:$OW$42=1))&gt;0)</f>
        <v/>
      </c>
      <c r="OY29">
        <f>$OY$28+--($OX29)</f>
        <v/>
      </c>
      <c r="OZ29">
        <f>IF(ROW()-3&gt;MAX($OY$4:$OY$40),"",INDEX($EE$4:$EE$40,MATCH(ROW()-3,$OY$4:$OY$40,0)))</f>
        <v/>
      </c>
      <c r="PA29">
        <f>IF(COUNTIF('Buyer Groups'!DG29:EE29,0)+COUNTIF('Buyer Groups'!EG29:EN29,0)&gt;0,0,1)</f>
        <v/>
      </c>
      <c r="PB29">
        <f>IF($EJ$29="",FALSE,SUMPRODUCT(('Final Calculation Sheet'!$Z$4:$Z$40=$EJ$29)*($PA$6:$PA$42=1))&gt;0)</f>
        <v/>
      </c>
      <c r="PC29">
        <f>$PC$28+--($PB29)</f>
        <v/>
      </c>
      <c r="PD29">
        <f>IF(ROW()-3&gt;MAX($PC$4:$PC$40),"",INDEX($EJ$4:$EJ$40,MATCH(ROW()-3,$PC$4:$PC$40,0)))</f>
        <v/>
      </c>
      <c r="PE29">
        <f>IF(COUNTIF('Buyer Groups'!DG29:EF29,0)+COUNTIF('Buyer Groups'!EH29:EN29,0)&gt;0,0,1)</f>
        <v/>
      </c>
      <c r="PF29">
        <f>IF($EO$29="",FALSE,SUMPRODUCT(('Final Calculation Sheet'!$AA$4:$AA$40=$EO$29)*($PE$6:$PE$42=1))&gt;0)</f>
        <v/>
      </c>
      <c r="PG29">
        <f>$PG$28+--($PF29)</f>
        <v/>
      </c>
      <c r="PH29">
        <f>IF(ROW()-3&gt;MAX($PG$4:$PG$40),"",INDEX($EO$4:$EO$40,MATCH(ROW()-3,$PG$4:$PG$40,0)))</f>
        <v/>
      </c>
      <c r="PI29">
        <f>IF(COUNTIF('Buyer Groups'!DG29:EG29,0)+COUNTIF('Buyer Groups'!EI29:EN29,0)&gt;0,0,1)</f>
        <v/>
      </c>
      <c r="PJ29">
        <f>IF($ET$29="",FALSE,SUMPRODUCT(('Final Calculation Sheet'!$AB$4:$AB$40=$ET$29)*($PI$6:$PI$42=1))&gt;0)</f>
        <v/>
      </c>
      <c r="PK29">
        <f>$PK$28+--($PJ29)</f>
        <v/>
      </c>
      <c r="PL29">
        <f>IF(ROW()-3&gt;MAX($PK$4:$PK$40),"",INDEX($ET$4:$ET$40,MATCH(ROW()-3,$PK$4:$PK$40,0)))</f>
        <v/>
      </c>
      <c r="PM29">
        <f>IF(COUNTIF('Buyer Groups'!DG29:EH29,0)+COUNTIF('Buyer Groups'!EJ29:EN29,0)&gt;0,0,1)</f>
        <v/>
      </c>
      <c r="PN29">
        <f>IF($EY$29="",FALSE,SUMPRODUCT(('Final Calculation Sheet'!$AC$4:$AC$40=$EY$29)*($PM$6:$PM$42=1))&gt;0)</f>
        <v/>
      </c>
      <c r="PO29">
        <f>$PO$28+--($PN29)</f>
        <v/>
      </c>
      <c r="PP29">
        <f>IF(ROW()-3&gt;MAX($PO$4:$PO$40),"",INDEX($EY$4:$EY$40,MATCH(ROW()-3,$PO$4:$PO$40,0)))</f>
        <v/>
      </c>
      <c r="PQ29">
        <f>IF(COUNTIF('Buyer Groups'!DG29:EI29,0)+COUNTIF('Buyer Groups'!EK29:EN29,0)&gt;0,0,1)</f>
        <v/>
      </c>
      <c r="PR29">
        <f>IF($FD$29="",FALSE,SUMPRODUCT(('Final Calculation Sheet'!$AD$4:$AD$40=$FD$29)*($PQ$6:$PQ$42=1))&gt;0)</f>
        <v/>
      </c>
      <c r="PS29">
        <f>$PS$28+--($PR29)</f>
        <v/>
      </c>
      <c r="PT29">
        <f>IF(ROW()-3&gt;MAX($PS$4:$PS$40),"",INDEX($FD$4:$FD$40,MATCH(ROW()-3,$PS$4:$PS$40,0)))</f>
        <v/>
      </c>
      <c r="PU29">
        <f>IF(COUNTIF('Buyer Groups'!DG29:EJ29,0)+COUNTIF('Buyer Groups'!EL29:EN29,0)&gt;0,0,1)</f>
        <v/>
      </c>
      <c r="PV29">
        <f>IF($FX$29="",FALSE,SUMPRODUCT((IF('Final Calculation Sheet'!$AD$4:$AD$40&lt;=5,"SETTLED","OUTSTANDING")=$FX$29)*($PU$6:$PU$42=1))&gt;0)</f>
        <v/>
      </c>
      <c r="PW29">
        <f>$PW$28+--($PV29)</f>
        <v/>
      </c>
      <c r="PX29">
        <f>IF(ROW()-3&gt;MAX($PW$4:$PW$40),"",INDEX($FX$4:$FX$40,MATCH(ROW()-3,$PW$4:$PW$40,0)))</f>
        <v/>
      </c>
      <c r="PY29">
        <f>IF(COUNTIF('Buyer Groups'!DG29:EK29,0)+COUNTIF('Buyer Groups'!EM29:EN29,0)&gt;0,0,1)</f>
        <v/>
      </c>
      <c r="PZ29">
        <f>IF($FI$29="",FALSE,SUMPRODUCT(('Final Calculation Sheet'!$AF$4:$AF$40=$FI$29)*($PY$6:$PY$42=1))&gt;0)</f>
        <v/>
      </c>
      <c r="QA29">
        <f>$QA$28+--($PZ29)</f>
        <v/>
      </c>
      <c r="QB29">
        <f>IF(ROW()-3&gt;MAX($QA$4:$QA$40),"",INDEX($FI$4:$FI$40,MATCH(ROW()-3,$QA$4:$QA$40,0)))</f>
        <v/>
      </c>
      <c r="QC29">
        <f>IF(COUNTIF('Buyer Groups'!DG29:EL29,0)+COUNTIF('Buyer Groups'!EN29:EN29,0)&gt;0,0,1)</f>
        <v/>
      </c>
      <c r="QD29">
        <f>IF($FN$29="",FALSE,SUMPRODUCT(('Final Calculation Sheet'!$AG$4:$AG$40=$FN$29)*($QC$6:$QC$42=1))&gt;0)</f>
        <v/>
      </c>
      <c r="QE29">
        <f>$QE$28+--($QD29)</f>
        <v/>
      </c>
      <c r="QF29">
        <f>IF(ROW()-3&gt;MAX($QE$4:$QE$40),"",INDEX($FN$4:$FN$40,MATCH(ROW()-3,$QE$4:$QE$40,0)))</f>
        <v/>
      </c>
      <c r="QG29">
        <f>IF(COUNTIF('Buyer Groups'!DG29:EM29,0)&gt;0,0,1)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Groups'!DH30:EN30,0)&gt;0,0,1)</f>
        <v/>
      </c>
      <c r="LF30">
        <f>IF($O$30="",FALSE,SUMPRODUCT(('Final Calculation Sheet'!$F$4:$F$40=$O$30)*($LE$6:$LE$42=1))&gt;0)</f>
        <v/>
      </c>
      <c r="LG30">
        <f>$LG$29+--($LF30)</f>
        <v/>
      </c>
      <c r="LH30">
        <f>IF(ROW()-3&gt;MAX($LG$4:$LG$40),"",INDEX($O$4:$O$40,MATCH(ROW()-3,$LG$4:$LG$40,0)))</f>
        <v/>
      </c>
      <c r="LI30">
        <f>IF(COUNTIF('Buyer Groups'!DG30:DG30,0)+COUNTIF('Buyer Groups'!DI30:EN30,0)&gt;0,0,1)</f>
        <v/>
      </c>
      <c r="LJ30">
        <f>IF($T$30="",FALSE,SUMPRODUCT(('Final Calculation Sheet'!$G$4:$G$40=$T$30)*($LI$6:$LI$42=1))&gt;0)</f>
        <v/>
      </c>
      <c r="LK30">
        <f>$LK$29+--($LJ30)</f>
        <v/>
      </c>
      <c r="LL30">
        <f>IF(ROW()-3&gt;MAX($LK$4:$LK$40),"",INDEX($T$4:$T$40,MATCH(ROW()-3,$LK$4:$LK$40,0)))</f>
        <v/>
      </c>
      <c r="LM30">
        <f>IF(COUNTIF('Buyer Groups'!DG30:DH30,0)+COUNTIF('Buyer Groups'!DJ30:EN30,0)&gt;0,0,1)</f>
        <v/>
      </c>
      <c r="LN30">
        <f>IF($Y$30="",FALSE,SUMPRODUCT(('Final Calculation Sheet'!$B$4:$B$40=$Y$30)*($LM$6:$LM$42=1))&gt;0)</f>
        <v/>
      </c>
      <c r="LO30">
        <f>$LO$29+--($LN30)</f>
        <v/>
      </c>
      <c r="LP30">
        <f>IF(ROW()-3&gt;MAX($LO$4:$LO$40),"",INDEX($Y$4:$Y$40,MATCH(ROW()-3,$LO$4:$LO$40,0)))</f>
        <v/>
      </c>
      <c r="LQ30">
        <f>IF(COUNTIF('Buyer Groups'!DG30:DI30,0)+COUNTIF('Buyer Groups'!DK30:EN30,0)&gt;0,0,1)</f>
        <v/>
      </c>
      <c r="LR30">
        <f>IF($AD$30="",FALSE,SUMPRODUCT(('Final Calculation Sheet'!$D$4:$D$40=$AD$30)*($LQ$6:$LQ$42=1))&gt;0)</f>
        <v/>
      </c>
      <c r="LS30">
        <f>$LS$29+--($LR30)</f>
        <v/>
      </c>
      <c r="LT30">
        <f>IF(ROW()-3&gt;MAX($LS$4:$LS$40),"",INDEX($AD$4:$AD$40,MATCH(ROW()-3,$LS$4:$LS$40,0)))</f>
        <v/>
      </c>
      <c r="LU30">
        <f>IF(COUNTIF('Buyer Groups'!DG30:DJ30,0)+COUNTIF('Buyer Groups'!DL30:EN30,0)&gt;0,0,1)</f>
        <v/>
      </c>
      <c r="LV30">
        <f>IF($AI$30="",FALSE,SUMPRODUCT(('Final Calculation Sheet'!$A$4:$A$40=$AI$30)*($LU$6:$LU$42=1))&gt;0)</f>
        <v/>
      </c>
      <c r="LW30">
        <f>$LW$29+--($LV30)</f>
        <v/>
      </c>
      <c r="LX30">
        <f>IF(ROW()-3&gt;MAX($LW$4:$LW$40),"",INDEX($AI$4:$AI$40,MATCH(ROW()-3,$LW$4:$LW$40,0)))</f>
        <v/>
      </c>
      <c r="LY30">
        <f>IF(COUNTIF('Buyer Groups'!DG30:DK30,0)+COUNTIF('Buyer Groups'!DM30:EN30,0)&gt;0,0,1)</f>
        <v/>
      </c>
      <c r="LZ30">
        <f>IF($AN$30="",FALSE,SUMPRODUCT(('Final Calculation Sheet'!$E$4:$E$40=$AN$30)*($LY$6:$LY$42=1))&gt;0)</f>
        <v/>
      </c>
      <c r="MA30">
        <f>$MA$29+--($LZ30)</f>
        <v/>
      </c>
      <c r="MB30">
        <f>IF(ROW()-3&gt;MAX($MA$4:$MA$40),"",INDEX($AN$4:$AN$40,MATCH(ROW()-3,$MA$4:$MA$40,0)))</f>
        <v/>
      </c>
      <c r="MC30">
        <f>IF(COUNTIF('Buyer Groups'!DG30:DL30,0)+COUNTIF('Buyer Groups'!DN30:EN30,0)&gt;0,0,1)</f>
        <v/>
      </c>
      <c r="MD30">
        <f>IF($AS$30="",FALSE,SUMPRODUCT(('Final Calculation Sheet'!$C$4:$C$40=$AS$30)*($MC$6:$MC$42=1))&gt;0)</f>
        <v/>
      </c>
      <c r="ME30">
        <f>$ME$29+--($MD30)</f>
        <v/>
      </c>
      <c r="MF30">
        <f>IF(ROW()-3&gt;MAX($ME$4:$ME$40),"",INDEX($AS$4:$AS$40,MATCH(ROW()-3,$ME$4:$ME$40,0)))</f>
        <v/>
      </c>
      <c r="MG30">
        <f>IF(COUNTIF('Buyer Groups'!DG30:DM30,0)+COUNTIF('Buyer Groups'!DO30:EN30,0)&gt;0,0,1)</f>
        <v/>
      </c>
      <c r="MH30">
        <f>IF($AX$30="",FALSE,SUMPRODUCT(('Final Calculation Sheet'!$H$4:$H$40=$AX$30)*($MG$6:$MG$42=1))&gt;0)</f>
        <v/>
      </c>
      <c r="MI30">
        <f>$MI$29+--($MH30)</f>
        <v/>
      </c>
      <c r="MJ30">
        <f>IF(ROW()-3&gt;MAX($MI$4:$MI$40),"",INDEX($AX$4:$AX$40,MATCH(ROW()-3,$MI$4:$MI$40,0)))</f>
        <v/>
      </c>
      <c r="MK30">
        <f>IF(COUNTIF('Buyer Groups'!DG30:DN30,0)+COUNTIF('Buyer Groups'!DP30:EN30,0)&gt;0,0,1)</f>
        <v/>
      </c>
      <c r="ML30">
        <f>IF($BC$30="",FALSE,SUMPRODUCT(('Final Calculation Sheet'!$I$4:$I$40=$BC$30)*($MK$6:$MK$42=1))&gt;0)</f>
        <v/>
      </c>
      <c r="MM30">
        <f>$MM$29+--($ML30)</f>
        <v/>
      </c>
      <c r="MN30">
        <f>IF(ROW()-3&gt;MAX($MM$4:$MM$40),"",INDEX($BC$4:$BC$40,MATCH(ROW()-3,$MM$4:$MM$40,0)))</f>
        <v/>
      </c>
      <c r="MO30">
        <f>IF(COUNTIF('Buyer Groups'!DG30:DO30,0)+COUNTIF('Buyer Groups'!DQ30:EN30,0)&gt;0,0,1)</f>
        <v/>
      </c>
      <c r="MP30">
        <f>IF($BH$30="",FALSE,SUMPRODUCT(('Final Calculation Sheet'!$J$4:$J$40=$BH$30)*($MO$6:$MO$42=1))&gt;0)</f>
        <v/>
      </c>
      <c r="MQ30">
        <f>$MQ$29+--($MP30)</f>
        <v/>
      </c>
      <c r="MR30">
        <f>IF(ROW()-3&gt;MAX($MQ$4:$MQ$40),"",INDEX($BH$4:$BH$40,MATCH(ROW()-3,$MQ$4:$MQ$40,0)))</f>
        <v/>
      </c>
      <c r="MS30">
        <f>IF(COUNTIF('Buyer Groups'!DG30:DP30,0)+COUNTIF('Buyer Groups'!DR30:EN30,0)&gt;0,0,1)</f>
        <v/>
      </c>
      <c r="MT30">
        <f>IF($BM$30="",FALSE,SUMPRODUCT(('Final Calculation Sheet'!$K$4:$K$40=$BM$30)*($MS$6:$MS$42=1))&gt;0)</f>
        <v/>
      </c>
      <c r="MU30">
        <f>$MU$29+--($MT30)</f>
        <v/>
      </c>
      <c r="MV30">
        <f>IF(ROW()-3&gt;MAX($MU$4:$MU$40),"",INDEX($BM$4:$BM$40,MATCH(ROW()-3,$MU$4:$MU$40,0)))</f>
        <v/>
      </c>
      <c r="MW30">
        <f>IF(COUNTIF('Buyer Groups'!DG30:DQ30,0)+COUNTIF('Buyer Groups'!DS30:EN30,0)&gt;0,0,1)</f>
        <v/>
      </c>
      <c r="MX30">
        <f>IF($BR$30="",FALSE,SUMPRODUCT(('Final Calculation Sheet'!$L$4:$L$40=$BR$30)*($MW$6:$MW$42=1))&gt;0)</f>
        <v/>
      </c>
      <c r="MY30">
        <f>$MY$29+--($MX30)</f>
        <v/>
      </c>
      <c r="MZ30">
        <f>IF(ROW()-3&gt;MAX($MY$4:$MY$40),"",INDEX($BR$4:$BR$40,MATCH(ROW()-3,$MY$4:$MY$40,0)))</f>
        <v/>
      </c>
      <c r="NA30">
        <f>IF(COUNTIF('Buyer Groups'!DG30:DR30,0)+COUNTIF('Buyer Groups'!DT30:EN30,0)&gt;0,0,1)</f>
        <v/>
      </c>
      <c r="NB30">
        <f>IF($BW$30="",FALSE,SUMPRODUCT(('Final Calculation Sheet'!$M$4:$M$40=$BW$30)*($NA$6:$NA$42=1))&gt;0)</f>
        <v/>
      </c>
      <c r="NC30">
        <f>$NC$29+--($NB30)</f>
        <v/>
      </c>
      <c r="ND30">
        <f>IF(ROW()-3&gt;MAX($NC$4:$NC$40),"",INDEX($BW$4:$BW$40,MATCH(ROW()-3,$NC$4:$NC$40,0)))</f>
        <v/>
      </c>
      <c r="NE30">
        <f>IF(COUNTIF('Buyer Groups'!DG30:DS30,0)+COUNTIF('Buyer Groups'!DU30:EN30,0)&gt;0,0,1)</f>
        <v/>
      </c>
      <c r="NF30">
        <f>IF($CB$30="",FALSE,SUMPRODUCT(('Final Calculation Sheet'!$N$4:$N$40=$CB$30)*($NE$6:$NE$42=1))&gt;0)</f>
        <v/>
      </c>
      <c r="NG30">
        <f>$NG$29+--($NF30)</f>
        <v/>
      </c>
      <c r="NH30">
        <f>IF(ROW()-3&gt;MAX($NG$4:$NG$40),"",INDEX($CB$4:$CB$40,MATCH(ROW()-3,$NG$4:$NG$40,0)))</f>
        <v/>
      </c>
      <c r="NI30">
        <f>IF(COUNTIF('Buyer Groups'!DG30:DT30,0)+COUNTIF('Buyer Groups'!DV30:EN30,0)&gt;0,0,1)</f>
        <v/>
      </c>
      <c r="NJ30">
        <f>IF($CG$30="",FALSE,SUMPRODUCT(('Final Calculation Sheet'!$O$4:$O$40=$CG$30)*($NI$6:$NI$42=1))&gt;0)</f>
        <v/>
      </c>
      <c r="NK30">
        <f>$NK$29+--($NJ30)</f>
        <v/>
      </c>
      <c r="NL30">
        <f>IF(ROW()-3&gt;MAX($NK$4:$NK$40),"",INDEX($CG$4:$CG$40,MATCH(ROW()-3,$NK$4:$NK$40,0)))</f>
        <v/>
      </c>
      <c r="NM30">
        <f>IF(COUNTIF('Buyer Groups'!DG30:DU30,0)+COUNTIF('Buyer Groups'!DW30:EN30,0)&gt;0,0,1)</f>
        <v/>
      </c>
      <c r="NN30">
        <f>IF($CL$30="",FALSE,SUMPRODUCT(('Final Calculation Sheet'!$P$4:$P$40=$CL$30)*($NM$6:$NM$42=1))&gt;0)</f>
        <v/>
      </c>
      <c r="NO30">
        <f>$NO$29+--($NN30)</f>
        <v/>
      </c>
      <c r="NP30">
        <f>IF(ROW()-3&gt;MAX($NO$4:$NO$40),"",INDEX($CL$4:$CL$40,MATCH(ROW()-3,$NO$4:$NO$40,0)))</f>
        <v/>
      </c>
      <c r="NQ30">
        <f>IF(COUNTIF('Buyer Groups'!DG30:DV30,0)+COUNTIF('Buyer Groups'!DX30:EN30,0)&gt;0,0,1)</f>
        <v/>
      </c>
      <c r="NR30">
        <f>IF($CQ$30="",FALSE,SUMPRODUCT(('Final Calculation Sheet'!$Q$4:$Q$40=$CQ$30)*($NQ$6:$NQ$42=1))&gt;0)</f>
        <v/>
      </c>
      <c r="NS30">
        <f>$NS$29+--($NR30)</f>
        <v/>
      </c>
      <c r="NT30">
        <f>IF(ROW()-3&gt;MAX($NS$4:$NS$40),"",INDEX($CQ$4:$CQ$40,MATCH(ROW()-3,$NS$4:$NS$40,0)))</f>
        <v/>
      </c>
      <c r="NU30">
        <f>IF(COUNTIF('Buyer Groups'!DG30:DW30,0)+COUNTIF('Buyer Groups'!DY30:EN30,0)&gt;0,0,1)</f>
        <v/>
      </c>
      <c r="NV30">
        <f>IF($CV$30="",FALSE,SUMPRODUCT(('Final Calculation Sheet'!$R$4:$R$40=$CV$30)*($NU$6:$NU$42=1))&gt;0)</f>
        <v/>
      </c>
      <c r="NW30">
        <f>$NW$29+--($NV30)</f>
        <v/>
      </c>
      <c r="NX30">
        <f>IF(ROW()-3&gt;MAX($NW$4:$NW$40),"",INDEX($CV$4:$CV$40,MATCH(ROW()-3,$NW$4:$NW$40,0)))</f>
        <v/>
      </c>
      <c r="NY30">
        <f>IF(COUNTIF('Buyer Groups'!DG30:DX30,0)+COUNTIF('Buyer Groups'!DZ30:EN30,0)&gt;0,0,1)</f>
        <v/>
      </c>
      <c r="NZ30">
        <f>IF($DA$30="",FALSE,SUMPRODUCT(('Final Calculation Sheet'!$S$4:$S$40=$DA$30)*($NY$6:$NY$42=1))&gt;0)</f>
        <v/>
      </c>
      <c r="OA30">
        <f>$OA$29+--($NZ30)</f>
        <v/>
      </c>
      <c r="OB30">
        <f>IF(ROW()-3&gt;MAX($OA$4:$OA$40),"",INDEX($DA$4:$DA$40,MATCH(ROW()-3,$OA$4:$OA$40,0)))</f>
        <v/>
      </c>
      <c r="OC30">
        <f>IF(COUNTIF('Buyer Groups'!DG30:DY30,0)+COUNTIF('Buyer Groups'!EA30:EN30,0)&gt;0,0,1)</f>
        <v/>
      </c>
      <c r="OD30">
        <f>IF($DF$30="",FALSE,SUMPRODUCT(('Final Calculation Sheet'!$T$4:$T$40=$DF$30)*($OC$6:$OC$42=1))&gt;0)</f>
        <v/>
      </c>
      <c r="OE30">
        <f>$OE$29+--($OD30)</f>
        <v/>
      </c>
      <c r="OF30">
        <f>IF(ROW()-3&gt;MAX($OE$4:$OE$40),"",INDEX($DF$4:$DF$40,MATCH(ROW()-3,$OE$4:$OE$40,0)))</f>
        <v/>
      </c>
      <c r="OG30">
        <f>IF(COUNTIF('Buyer Groups'!DG30:DZ30,0)+COUNTIF('Buyer Groups'!EB30:EN30,0)&gt;0,0,1)</f>
        <v/>
      </c>
      <c r="OH30">
        <f>IF($DK$30="",FALSE,SUMPRODUCT(('Final Calculation Sheet'!$U$4:$U$40=$DK$30)*($OG$6:$OG$42=1))&gt;0)</f>
        <v/>
      </c>
      <c r="OI30">
        <f>$OI$29+--($OH30)</f>
        <v/>
      </c>
      <c r="OJ30">
        <f>IF(ROW()-3&gt;MAX($OI$4:$OI$40),"",INDEX($DK$4:$DK$40,MATCH(ROW()-3,$OI$4:$OI$40,0)))</f>
        <v/>
      </c>
      <c r="OK30">
        <f>IF(COUNTIF('Buyer Groups'!DG30:EA30,0)+COUNTIF('Buyer Groups'!EC30:EN30,0)&gt;0,0,1)</f>
        <v/>
      </c>
      <c r="OL30">
        <f>IF($DP$30="",FALSE,SUMPRODUCT(('Final Calculation Sheet'!$V$4:$V$40=$DP$30)*($OK$6:$OK$42=1))&gt;0)</f>
        <v/>
      </c>
      <c r="OM30">
        <f>$OM$29+--($OL30)</f>
        <v/>
      </c>
      <c r="ON30">
        <f>IF(ROW()-3&gt;MAX($OM$4:$OM$40),"",INDEX($DP$4:$DP$40,MATCH(ROW()-3,$OM$4:$OM$40,0)))</f>
        <v/>
      </c>
      <c r="OO30">
        <f>IF(COUNTIF('Buyer Groups'!DG30:EB30,0)+COUNTIF('Buyer Groups'!ED30:EN30,0)&gt;0,0,1)</f>
        <v/>
      </c>
      <c r="OP30">
        <f>IF($DU$30="",FALSE,SUMPRODUCT(('Final Calculation Sheet'!$W$4:$W$40=$DU$30)*($OO$6:$OO$42=1))&gt;0)</f>
        <v/>
      </c>
      <c r="OQ30">
        <f>$OQ$29+--($OP30)</f>
        <v/>
      </c>
      <c r="OR30">
        <f>IF(ROW()-3&gt;MAX($OQ$4:$OQ$40),"",INDEX($DU$4:$DU$40,MATCH(ROW()-3,$OQ$4:$OQ$40,0)))</f>
        <v/>
      </c>
      <c r="OS30">
        <f>IF(COUNTIF('Buyer Groups'!DG30:EC30,0)+COUNTIF('Buyer Groups'!EE30:EN30,0)&gt;0,0,1)</f>
        <v/>
      </c>
      <c r="OT30">
        <f>IF($DZ$30="",FALSE,SUMPRODUCT(('Final Calculation Sheet'!$X$4:$X$40=$DZ$30)*($OS$6:$OS$42=1))&gt;0)</f>
        <v/>
      </c>
      <c r="OU30">
        <f>$OU$29+--($OT30)</f>
        <v/>
      </c>
      <c r="OV30">
        <f>IF(ROW()-3&gt;MAX($OU$4:$OU$40),"",INDEX($DZ$4:$DZ$40,MATCH(ROW()-3,$OU$4:$OU$40,0)))</f>
        <v/>
      </c>
      <c r="OW30">
        <f>IF(COUNTIF('Buyer Groups'!DG30:ED30,0)+COUNTIF('Buyer Groups'!EF30:EN30,0)&gt;0,0,1)</f>
        <v/>
      </c>
      <c r="OX30">
        <f>IF($EE$30="",FALSE,SUMPRODUCT(('Final Calculation Sheet'!$Y$4:$Y$40=$EE$30)*($OW$6:$OW$42=1))&gt;0)</f>
        <v/>
      </c>
      <c r="OY30">
        <f>$OY$29+--($OX30)</f>
        <v/>
      </c>
      <c r="OZ30">
        <f>IF(ROW()-3&gt;MAX($OY$4:$OY$40),"",INDEX($EE$4:$EE$40,MATCH(ROW()-3,$OY$4:$OY$40,0)))</f>
        <v/>
      </c>
      <c r="PA30">
        <f>IF(COUNTIF('Buyer Groups'!DG30:EE30,0)+COUNTIF('Buyer Groups'!EG30:EN30,0)&gt;0,0,1)</f>
        <v/>
      </c>
      <c r="PB30">
        <f>IF($EJ$30="",FALSE,SUMPRODUCT(('Final Calculation Sheet'!$Z$4:$Z$40=$EJ$30)*($PA$6:$PA$42=1))&gt;0)</f>
        <v/>
      </c>
      <c r="PC30">
        <f>$PC$29+--($PB30)</f>
        <v/>
      </c>
      <c r="PD30">
        <f>IF(ROW()-3&gt;MAX($PC$4:$PC$40),"",INDEX($EJ$4:$EJ$40,MATCH(ROW()-3,$PC$4:$PC$40,0)))</f>
        <v/>
      </c>
      <c r="PE30">
        <f>IF(COUNTIF('Buyer Groups'!DG30:EF30,0)+COUNTIF('Buyer Groups'!EH30:EN30,0)&gt;0,0,1)</f>
        <v/>
      </c>
      <c r="PF30">
        <f>IF($EO$30="",FALSE,SUMPRODUCT(('Final Calculation Sheet'!$AA$4:$AA$40=$EO$30)*($PE$6:$PE$42=1))&gt;0)</f>
        <v/>
      </c>
      <c r="PG30">
        <f>$PG$29+--($PF30)</f>
        <v/>
      </c>
      <c r="PH30">
        <f>IF(ROW()-3&gt;MAX($PG$4:$PG$40),"",INDEX($EO$4:$EO$40,MATCH(ROW()-3,$PG$4:$PG$40,0)))</f>
        <v/>
      </c>
      <c r="PI30">
        <f>IF(COUNTIF('Buyer Groups'!DG30:EG30,0)+COUNTIF('Buyer Groups'!EI30:EN30,0)&gt;0,0,1)</f>
        <v/>
      </c>
      <c r="PJ30">
        <f>IF($ET$30="",FALSE,SUMPRODUCT(('Final Calculation Sheet'!$AB$4:$AB$40=$ET$30)*($PI$6:$PI$42=1))&gt;0)</f>
        <v/>
      </c>
      <c r="PK30">
        <f>$PK$29+--($PJ30)</f>
        <v/>
      </c>
      <c r="PL30">
        <f>IF(ROW()-3&gt;MAX($PK$4:$PK$40),"",INDEX($ET$4:$ET$40,MATCH(ROW()-3,$PK$4:$PK$40,0)))</f>
        <v/>
      </c>
      <c r="PM30">
        <f>IF(COUNTIF('Buyer Groups'!DG30:EH30,0)+COUNTIF('Buyer Groups'!EJ30:EN30,0)&gt;0,0,1)</f>
        <v/>
      </c>
      <c r="PN30">
        <f>IF($EY$30="",FALSE,SUMPRODUCT(('Final Calculation Sheet'!$AC$4:$AC$40=$EY$30)*($PM$6:$PM$42=1))&gt;0)</f>
        <v/>
      </c>
      <c r="PO30">
        <f>$PO$29+--($PN30)</f>
        <v/>
      </c>
      <c r="PP30">
        <f>IF(ROW()-3&gt;MAX($PO$4:$PO$40),"",INDEX($EY$4:$EY$40,MATCH(ROW()-3,$PO$4:$PO$40,0)))</f>
        <v/>
      </c>
      <c r="PQ30">
        <f>IF(COUNTIF('Buyer Groups'!DG30:EI30,0)+COUNTIF('Buyer Groups'!EK30:EN30,0)&gt;0,0,1)</f>
        <v/>
      </c>
      <c r="PR30">
        <f>IF($FD$30="",FALSE,SUMPRODUCT(('Final Calculation Sheet'!$AD$4:$AD$40=$FD$30)*($PQ$6:$PQ$42=1))&gt;0)</f>
        <v/>
      </c>
      <c r="PS30">
        <f>$PS$29+--($PR30)</f>
        <v/>
      </c>
      <c r="PT30">
        <f>IF(ROW()-3&gt;MAX($PS$4:$PS$40),"",INDEX($FD$4:$FD$40,MATCH(ROW()-3,$PS$4:$PS$40,0)))</f>
        <v/>
      </c>
      <c r="PU30">
        <f>IF(COUNTIF('Buyer Groups'!DG30:EJ30,0)+COUNTIF('Buyer Groups'!EL30:EN30,0)&gt;0,0,1)</f>
        <v/>
      </c>
      <c r="PV30">
        <f>IF($FX$30="",FALSE,SUMPRODUCT((IF('Final Calculation Sheet'!$AD$4:$AD$40&lt;=5,"SETTLED","OUTSTANDING")=$FX$30)*($PU$6:$PU$42=1))&gt;0)</f>
        <v/>
      </c>
      <c r="PW30">
        <f>$PW$29+--($PV30)</f>
        <v/>
      </c>
      <c r="PX30">
        <f>IF(ROW()-3&gt;MAX($PW$4:$PW$40),"",INDEX($FX$4:$FX$40,MATCH(ROW()-3,$PW$4:$PW$40,0)))</f>
        <v/>
      </c>
      <c r="PY30">
        <f>IF(COUNTIF('Buyer Groups'!DG30:EK30,0)+COUNTIF('Buyer Groups'!EM30:EN30,0)&gt;0,0,1)</f>
        <v/>
      </c>
      <c r="PZ30">
        <f>IF($FI$30="",FALSE,SUMPRODUCT(('Final Calculation Sheet'!$AF$4:$AF$40=$FI$30)*($PY$6:$PY$42=1))&gt;0)</f>
        <v/>
      </c>
      <c r="QA30">
        <f>$QA$29+--($PZ30)</f>
        <v/>
      </c>
      <c r="QB30">
        <f>IF(ROW()-3&gt;MAX($QA$4:$QA$40),"",INDEX($FI$4:$FI$40,MATCH(ROW()-3,$QA$4:$QA$40,0)))</f>
        <v/>
      </c>
      <c r="QC30">
        <f>IF(COUNTIF('Buyer Groups'!DG30:EL30,0)+COUNTIF('Buyer Groups'!EN30:EN30,0)&gt;0,0,1)</f>
        <v/>
      </c>
      <c r="QD30">
        <f>IF($FN$30="",FALSE,SUMPRODUCT(('Final Calculation Sheet'!$AG$4:$AG$40=$FN$30)*($QC$6:$QC$42=1))&gt;0)</f>
        <v/>
      </c>
      <c r="QE30">
        <f>$QE$29+--($QD30)</f>
        <v/>
      </c>
      <c r="QF30">
        <f>IF(ROW()-3&gt;MAX($QE$4:$QE$40),"",INDEX($FN$4:$FN$40,MATCH(ROW()-3,$QE$4:$QE$40,0)))</f>
        <v/>
      </c>
      <c r="QG30">
        <f>IF(COUNTIF('Buyer Groups'!DG30:EM30,0)&gt;0,0,1)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Groups'!DH31:EN31,0)&gt;0,0,1)</f>
        <v/>
      </c>
      <c r="LF31">
        <f>IF($O$31="",FALSE,SUMPRODUCT(('Final Calculation Sheet'!$F$4:$F$40=$O$31)*($LE$6:$LE$42=1))&gt;0)</f>
        <v/>
      </c>
      <c r="LG31">
        <f>$LG$30+--($LF31)</f>
        <v/>
      </c>
      <c r="LH31">
        <f>IF(ROW()-3&gt;MAX($LG$4:$LG$40),"",INDEX($O$4:$O$40,MATCH(ROW()-3,$LG$4:$LG$40,0)))</f>
        <v/>
      </c>
      <c r="LI31">
        <f>IF(COUNTIF('Buyer Groups'!DG31:DG31,0)+COUNTIF('Buyer Groups'!DI31:EN31,0)&gt;0,0,1)</f>
        <v/>
      </c>
      <c r="LJ31">
        <f>IF($T$31="",FALSE,SUMPRODUCT(('Final Calculation Sheet'!$G$4:$G$40=$T$31)*($LI$6:$LI$42=1))&gt;0)</f>
        <v/>
      </c>
      <c r="LK31">
        <f>$LK$30+--($LJ31)</f>
        <v/>
      </c>
      <c r="LL31">
        <f>IF(ROW()-3&gt;MAX($LK$4:$LK$40),"",INDEX($T$4:$T$40,MATCH(ROW()-3,$LK$4:$LK$40,0)))</f>
        <v/>
      </c>
      <c r="LM31">
        <f>IF(COUNTIF('Buyer Groups'!DG31:DH31,0)+COUNTIF('Buyer Groups'!DJ31:EN31,0)&gt;0,0,1)</f>
        <v/>
      </c>
      <c r="LN31">
        <f>IF($Y$31="",FALSE,SUMPRODUCT(('Final Calculation Sheet'!$B$4:$B$40=$Y$31)*($LM$6:$LM$42=1))&gt;0)</f>
        <v/>
      </c>
      <c r="LO31">
        <f>$LO$30+--($LN31)</f>
        <v/>
      </c>
      <c r="LP31">
        <f>IF(ROW()-3&gt;MAX($LO$4:$LO$40),"",INDEX($Y$4:$Y$40,MATCH(ROW()-3,$LO$4:$LO$40,0)))</f>
        <v/>
      </c>
      <c r="LQ31">
        <f>IF(COUNTIF('Buyer Groups'!DG31:DI31,0)+COUNTIF('Buyer Groups'!DK31:EN31,0)&gt;0,0,1)</f>
        <v/>
      </c>
      <c r="LR31">
        <f>IF($AD$31="",FALSE,SUMPRODUCT(('Final Calculation Sheet'!$D$4:$D$40=$AD$31)*($LQ$6:$LQ$42=1))&gt;0)</f>
        <v/>
      </c>
      <c r="LS31">
        <f>$LS$30+--($LR31)</f>
        <v/>
      </c>
      <c r="LT31">
        <f>IF(ROW()-3&gt;MAX($LS$4:$LS$40),"",INDEX($AD$4:$AD$40,MATCH(ROW()-3,$LS$4:$LS$40,0)))</f>
        <v/>
      </c>
      <c r="LU31">
        <f>IF(COUNTIF('Buyer Groups'!DG31:DJ31,0)+COUNTIF('Buyer Groups'!DL31:EN31,0)&gt;0,0,1)</f>
        <v/>
      </c>
      <c r="LV31">
        <f>IF($AI$31="",FALSE,SUMPRODUCT(('Final Calculation Sheet'!$A$4:$A$40=$AI$31)*($LU$6:$LU$42=1))&gt;0)</f>
        <v/>
      </c>
      <c r="LW31">
        <f>$LW$30+--($LV31)</f>
        <v/>
      </c>
      <c r="LX31">
        <f>IF(ROW()-3&gt;MAX($LW$4:$LW$40),"",INDEX($AI$4:$AI$40,MATCH(ROW()-3,$LW$4:$LW$40,0)))</f>
        <v/>
      </c>
      <c r="LY31">
        <f>IF(COUNTIF('Buyer Groups'!DG31:DK31,0)+COUNTIF('Buyer Groups'!DM31:EN31,0)&gt;0,0,1)</f>
        <v/>
      </c>
      <c r="LZ31">
        <f>IF($AN$31="",FALSE,SUMPRODUCT(('Final Calculation Sheet'!$E$4:$E$40=$AN$31)*($LY$6:$LY$42=1))&gt;0)</f>
        <v/>
      </c>
      <c r="MA31">
        <f>$MA$30+--($LZ31)</f>
        <v/>
      </c>
      <c r="MB31">
        <f>IF(ROW()-3&gt;MAX($MA$4:$MA$40),"",INDEX($AN$4:$AN$40,MATCH(ROW()-3,$MA$4:$MA$40,0)))</f>
        <v/>
      </c>
      <c r="MC31">
        <f>IF(COUNTIF('Buyer Groups'!DG31:DL31,0)+COUNTIF('Buyer Groups'!DN31:EN31,0)&gt;0,0,1)</f>
        <v/>
      </c>
      <c r="MD31">
        <f>IF($AS$31="",FALSE,SUMPRODUCT(('Final Calculation Sheet'!$C$4:$C$40=$AS$31)*($MC$6:$MC$42=1))&gt;0)</f>
        <v/>
      </c>
      <c r="ME31">
        <f>$ME$30+--($MD31)</f>
        <v/>
      </c>
      <c r="MF31">
        <f>IF(ROW()-3&gt;MAX($ME$4:$ME$40),"",INDEX($AS$4:$AS$40,MATCH(ROW()-3,$ME$4:$ME$40,0)))</f>
        <v/>
      </c>
      <c r="MG31">
        <f>IF(COUNTIF('Buyer Groups'!DG31:DM31,0)+COUNTIF('Buyer Groups'!DO31:EN31,0)&gt;0,0,1)</f>
        <v/>
      </c>
      <c r="MH31">
        <f>IF($AX$31="",FALSE,SUMPRODUCT(('Final Calculation Sheet'!$H$4:$H$40=$AX$31)*($MG$6:$MG$42=1))&gt;0)</f>
        <v/>
      </c>
      <c r="MI31">
        <f>$MI$30+--($MH31)</f>
        <v/>
      </c>
      <c r="MJ31">
        <f>IF(ROW()-3&gt;MAX($MI$4:$MI$40),"",INDEX($AX$4:$AX$40,MATCH(ROW()-3,$MI$4:$MI$40,0)))</f>
        <v/>
      </c>
      <c r="MK31">
        <f>IF(COUNTIF('Buyer Groups'!DG31:DN31,0)+COUNTIF('Buyer Groups'!DP31:EN31,0)&gt;0,0,1)</f>
        <v/>
      </c>
      <c r="ML31">
        <f>IF($BC$31="",FALSE,SUMPRODUCT(('Final Calculation Sheet'!$I$4:$I$40=$BC$31)*($MK$6:$MK$42=1))&gt;0)</f>
        <v/>
      </c>
      <c r="MM31">
        <f>$MM$30+--($ML31)</f>
        <v/>
      </c>
      <c r="MN31">
        <f>IF(ROW()-3&gt;MAX($MM$4:$MM$40),"",INDEX($BC$4:$BC$40,MATCH(ROW()-3,$MM$4:$MM$40,0)))</f>
        <v/>
      </c>
      <c r="MO31">
        <f>IF(COUNTIF('Buyer Groups'!DG31:DO31,0)+COUNTIF('Buyer Groups'!DQ31:EN31,0)&gt;0,0,1)</f>
        <v/>
      </c>
      <c r="MP31">
        <f>IF($BH$31="",FALSE,SUMPRODUCT(('Final Calculation Sheet'!$J$4:$J$40=$BH$31)*($MO$6:$MO$42=1))&gt;0)</f>
        <v/>
      </c>
      <c r="MQ31">
        <f>$MQ$30+--($MP31)</f>
        <v/>
      </c>
      <c r="MR31">
        <f>IF(ROW()-3&gt;MAX($MQ$4:$MQ$40),"",INDEX($BH$4:$BH$40,MATCH(ROW()-3,$MQ$4:$MQ$40,0)))</f>
        <v/>
      </c>
      <c r="MS31">
        <f>IF(COUNTIF('Buyer Groups'!DG31:DP31,0)+COUNTIF('Buyer Groups'!DR31:EN31,0)&gt;0,0,1)</f>
        <v/>
      </c>
      <c r="MT31">
        <f>IF($BM$31="",FALSE,SUMPRODUCT(('Final Calculation Sheet'!$K$4:$K$40=$BM$31)*($MS$6:$MS$42=1))&gt;0)</f>
        <v/>
      </c>
      <c r="MU31">
        <f>$MU$30+--($MT31)</f>
        <v/>
      </c>
      <c r="MV31">
        <f>IF(ROW()-3&gt;MAX($MU$4:$MU$40),"",INDEX($BM$4:$BM$40,MATCH(ROW()-3,$MU$4:$MU$40,0)))</f>
        <v/>
      </c>
      <c r="MW31">
        <f>IF(COUNTIF('Buyer Groups'!DG31:DQ31,0)+COUNTIF('Buyer Groups'!DS31:EN31,0)&gt;0,0,1)</f>
        <v/>
      </c>
      <c r="MX31">
        <f>IF($BR$31="",FALSE,SUMPRODUCT(('Final Calculation Sheet'!$L$4:$L$40=$BR$31)*($MW$6:$MW$42=1))&gt;0)</f>
        <v/>
      </c>
      <c r="MY31">
        <f>$MY$30+--($MX31)</f>
        <v/>
      </c>
      <c r="MZ31">
        <f>IF(ROW()-3&gt;MAX($MY$4:$MY$40),"",INDEX($BR$4:$BR$40,MATCH(ROW()-3,$MY$4:$MY$40,0)))</f>
        <v/>
      </c>
      <c r="NA31">
        <f>IF(COUNTIF('Buyer Groups'!DG31:DR31,0)+COUNTIF('Buyer Groups'!DT31:EN31,0)&gt;0,0,1)</f>
        <v/>
      </c>
      <c r="NB31">
        <f>IF($BW$31="",FALSE,SUMPRODUCT(('Final Calculation Sheet'!$M$4:$M$40=$BW$31)*($NA$6:$NA$42=1))&gt;0)</f>
        <v/>
      </c>
      <c r="NC31">
        <f>$NC$30+--($NB31)</f>
        <v/>
      </c>
      <c r="ND31">
        <f>IF(ROW()-3&gt;MAX($NC$4:$NC$40),"",INDEX($BW$4:$BW$40,MATCH(ROW()-3,$NC$4:$NC$40,0)))</f>
        <v/>
      </c>
      <c r="NE31">
        <f>IF(COUNTIF('Buyer Groups'!DG31:DS31,0)+COUNTIF('Buyer Groups'!DU31:EN31,0)&gt;0,0,1)</f>
        <v/>
      </c>
      <c r="NF31">
        <f>IF($CB$31="",FALSE,SUMPRODUCT(('Final Calculation Sheet'!$N$4:$N$40=$CB$31)*($NE$6:$NE$42=1))&gt;0)</f>
        <v/>
      </c>
      <c r="NG31">
        <f>$NG$30+--($NF31)</f>
        <v/>
      </c>
      <c r="NH31">
        <f>IF(ROW()-3&gt;MAX($NG$4:$NG$40),"",INDEX($CB$4:$CB$40,MATCH(ROW()-3,$NG$4:$NG$40,0)))</f>
        <v/>
      </c>
      <c r="NI31">
        <f>IF(COUNTIF('Buyer Groups'!DG31:DT31,0)+COUNTIF('Buyer Groups'!DV31:EN31,0)&gt;0,0,1)</f>
        <v/>
      </c>
      <c r="NJ31">
        <f>IF($CG$31="",FALSE,SUMPRODUCT(('Final Calculation Sheet'!$O$4:$O$40=$CG$31)*($NI$6:$NI$42=1))&gt;0)</f>
        <v/>
      </c>
      <c r="NK31">
        <f>$NK$30+--($NJ31)</f>
        <v/>
      </c>
      <c r="NL31">
        <f>IF(ROW()-3&gt;MAX($NK$4:$NK$40),"",INDEX($CG$4:$CG$40,MATCH(ROW()-3,$NK$4:$NK$40,0)))</f>
        <v/>
      </c>
      <c r="NM31">
        <f>IF(COUNTIF('Buyer Groups'!DG31:DU31,0)+COUNTIF('Buyer Groups'!DW31:EN31,0)&gt;0,0,1)</f>
        <v/>
      </c>
      <c r="NN31">
        <f>IF($CL$31="",FALSE,SUMPRODUCT(('Final Calculation Sheet'!$P$4:$P$40=$CL$31)*($NM$6:$NM$42=1))&gt;0)</f>
        <v/>
      </c>
      <c r="NO31">
        <f>$NO$30+--($NN31)</f>
        <v/>
      </c>
      <c r="NP31">
        <f>IF(ROW()-3&gt;MAX($NO$4:$NO$40),"",INDEX($CL$4:$CL$40,MATCH(ROW()-3,$NO$4:$NO$40,0)))</f>
        <v/>
      </c>
      <c r="NQ31">
        <f>IF(COUNTIF('Buyer Groups'!DG31:DV31,0)+COUNTIF('Buyer Groups'!DX31:EN31,0)&gt;0,0,1)</f>
        <v/>
      </c>
      <c r="NR31">
        <f>IF($CQ$31="",FALSE,SUMPRODUCT(('Final Calculation Sheet'!$Q$4:$Q$40=$CQ$31)*($NQ$6:$NQ$42=1))&gt;0)</f>
        <v/>
      </c>
      <c r="NS31">
        <f>$NS$30+--($NR31)</f>
        <v/>
      </c>
      <c r="NT31">
        <f>IF(ROW()-3&gt;MAX($NS$4:$NS$40),"",INDEX($CQ$4:$CQ$40,MATCH(ROW()-3,$NS$4:$NS$40,0)))</f>
        <v/>
      </c>
      <c r="NU31">
        <f>IF(COUNTIF('Buyer Groups'!DG31:DW31,0)+COUNTIF('Buyer Groups'!DY31:EN31,0)&gt;0,0,1)</f>
        <v/>
      </c>
      <c r="NV31">
        <f>IF($CV$31="",FALSE,SUMPRODUCT(('Final Calculation Sheet'!$R$4:$R$40=$CV$31)*($NU$6:$NU$42=1))&gt;0)</f>
        <v/>
      </c>
      <c r="NW31">
        <f>$NW$30+--($NV31)</f>
        <v/>
      </c>
      <c r="NX31">
        <f>IF(ROW()-3&gt;MAX($NW$4:$NW$40),"",INDEX($CV$4:$CV$40,MATCH(ROW()-3,$NW$4:$NW$40,0)))</f>
        <v/>
      </c>
      <c r="NY31">
        <f>IF(COUNTIF('Buyer Groups'!DG31:DX31,0)+COUNTIF('Buyer Groups'!DZ31:EN31,0)&gt;0,0,1)</f>
        <v/>
      </c>
      <c r="NZ31">
        <f>IF($DA$31="",FALSE,SUMPRODUCT(('Final Calculation Sheet'!$S$4:$S$40=$DA$31)*($NY$6:$NY$42=1))&gt;0)</f>
        <v/>
      </c>
      <c r="OA31">
        <f>$OA$30+--($NZ31)</f>
        <v/>
      </c>
      <c r="OB31">
        <f>IF(ROW()-3&gt;MAX($OA$4:$OA$40),"",INDEX($DA$4:$DA$40,MATCH(ROW()-3,$OA$4:$OA$40,0)))</f>
        <v/>
      </c>
      <c r="OC31">
        <f>IF(COUNTIF('Buyer Groups'!DG31:DY31,0)+COUNTIF('Buyer Groups'!EA31:EN31,0)&gt;0,0,1)</f>
        <v/>
      </c>
      <c r="OD31">
        <f>IF($DF$31="",FALSE,SUMPRODUCT(('Final Calculation Sheet'!$T$4:$T$40=$DF$31)*($OC$6:$OC$42=1))&gt;0)</f>
        <v/>
      </c>
      <c r="OE31">
        <f>$OE$30+--($OD31)</f>
        <v/>
      </c>
      <c r="OF31">
        <f>IF(ROW()-3&gt;MAX($OE$4:$OE$40),"",INDEX($DF$4:$DF$40,MATCH(ROW()-3,$OE$4:$OE$40,0)))</f>
        <v/>
      </c>
      <c r="OG31">
        <f>IF(COUNTIF('Buyer Groups'!DG31:DZ31,0)+COUNTIF('Buyer Groups'!EB31:EN31,0)&gt;0,0,1)</f>
        <v/>
      </c>
      <c r="OH31">
        <f>IF($DK$31="",FALSE,SUMPRODUCT(('Final Calculation Sheet'!$U$4:$U$40=$DK$31)*($OG$6:$OG$42=1))&gt;0)</f>
        <v/>
      </c>
      <c r="OI31">
        <f>$OI$30+--($OH31)</f>
        <v/>
      </c>
      <c r="OJ31">
        <f>IF(ROW()-3&gt;MAX($OI$4:$OI$40),"",INDEX($DK$4:$DK$40,MATCH(ROW()-3,$OI$4:$OI$40,0)))</f>
        <v/>
      </c>
      <c r="OK31">
        <f>IF(COUNTIF('Buyer Groups'!DG31:EA31,0)+COUNTIF('Buyer Groups'!EC31:EN31,0)&gt;0,0,1)</f>
        <v/>
      </c>
      <c r="OL31">
        <f>IF($DP$31="",FALSE,SUMPRODUCT(('Final Calculation Sheet'!$V$4:$V$40=$DP$31)*($OK$6:$OK$42=1))&gt;0)</f>
        <v/>
      </c>
      <c r="OM31">
        <f>$OM$30+--($OL31)</f>
        <v/>
      </c>
      <c r="ON31">
        <f>IF(ROW()-3&gt;MAX($OM$4:$OM$40),"",INDEX($DP$4:$DP$40,MATCH(ROW()-3,$OM$4:$OM$40,0)))</f>
        <v/>
      </c>
      <c r="OO31">
        <f>IF(COUNTIF('Buyer Groups'!DG31:EB31,0)+COUNTIF('Buyer Groups'!ED31:EN31,0)&gt;0,0,1)</f>
        <v/>
      </c>
      <c r="OP31">
        <f>IF($DU$31="",FALSE,SUMPRODUCT(('Final Calculation Sheet'!$W$4:$W$40=$DU$31)*($OO$6:$OO$42=1))&gt;0)</f>
        <v/>
      </c>
      <c r="OQ31">
        <f>$OQ$30+--($OP31)</f>
        <v/>
      </c>
      <c r="OR31">
        <f>IF(ROW()-3&gt;MAX($OQ$4:$OQ$40),"",INDEX($DU$4:$DU$40,MATCH(ROW()-3,$OQ$4:$OQ$40,0)))</f>
        <v/>
      </c>
      <c r="OS31">
        <f>IF(COUNTIF('Buyer Groups'!DG31:EC31,0)+COUNTIF('Buyer Groups'!EE31:EN31,0)&gt;0,0,1)</f>
        <v/>
      </c>
      <c r="OT31">
        <f>IF($DZ$31="",FALSE,SUMPRODUCT(('Final Calculation Sheet'!$X$4:$X$40=$DZ$31)*($OS$6:$OS$42=1))&gt;0)</f>
        <v/>
      </c>
      <c r="OU31">
        <f>$OU$30+--($OT31)</f>
        <v/>
      </c>
      <c r="OV31">
        <f>IF(ROW()-3&gt;MAX($OU$4:$OU$40),"",INDEX($DZ$4:$DZ$40,MATCH(ROW()-3,$OU$4:$OU$40,0)))</f>
        <v/>
      </c>
      <c r="OW31">
        <f>IF(COUNTIF('Buyer Groups'!DG31:ED31,0)+COUNTIF('Buyer Groups'!EF31:EN31,0)&gt;0,0,1)</f>
        <v/>
      </c>
      <c r="OX31">
        <f>IF($EE$31="",FALSE,SUMPRODUCT(('Final Calculation Sheet'!$Y$4:$Y$40=$EE$31)*($OW$6:$OW$42=1))&gt;0)</f>
        <v/>
      </c>
      <c r="OY31">
        <f>$OY$30+--($OX31)</f>
        <v/>
      </c>
      <c r="OZ31">
        <f>IF(ROW()-3&gt;MAX($OY$4:$OY$40),"",INDEX($EE$4:$EE$40,MATCH(ROW()-3,$OY$4:$OY$40,0)))</f>
        <v/>
      </c>
      <c r="PA31">
        <f>IF(COUNTIF('Buyer Groups'!DG31:EE31,0)+COUNTIF('Buyer Groups'!EG31:EN31,0)&gt;0,0,1)</f>
        <v/>
      </c>
      <c r="PB31">
        <f>IF($EJ$31="",FALSE,SUMPRODUCT(('Final Calculation Sheet'!$Z$4:$Z$40=$EJ$31)*($PA$6:$PA$42=1))&gt;0)</f>
        <v/>
      </c>
      <c r="PC31">
        <f>$PC$30+--($PB31)</f>
        <v/>
      </c>
      <c r="PD31">
        <f>IF(ROW()-3&gt;MAX($PC$4:$PC$40),"",INDEX($EJ$4:$EJ$40,MATCH(ROW()-3,$PC$4:$PC$40,0)))</f>
        <v/>
      </c>
      <c r="PE31">
        <f>IF(COUNTIF('Buyer Groups'!DG31:EF31,0)+COUNTIF('Buyer Groups'!EH31:EN31,0)&gt;0,0,1)</f>
        <v/>
      </c>
      <c r="PF31">
        <f>IF($EO$31="",FALSE,SUMPRODUCT(('Final Calculation Sheet'!$AA$4:$AA$40=$EO$31)*($PE$6:$PE$42=1))&gt;0)</f>
        <v/>
      </c>
      <c r="PG31">
        <f>$PG$30+--($PF31)</f>
        <v/>
      </c>
      <c r="PH31">
        <f>IF(ROW()-3&gt;MAX($PG$4:$PG$40),"",INDEX($EO$4:$EO$40,MATCH(ROW()-3,$PG$4:$PG$40,0)))</f>
        <v/>
      </c>
      <c r="PI31">
        <f>IF(COUNTIF('Buyer Groups'!DG31:EG31,0)+COUNTIF('Buyer Groups'!EI31:EN31,0)&gt;0,0,1)</f>
        <v/>
      </c>
      <c r="PJ31">
        <f>IF($ET$31="",FALSE,SUMPRODUCT(('Final Calculation Sheet'!$AB$4:$AB$40=$ET$31)*($PI$6:$PI$42=1))&gt;0)</f>
        <v/>
      </c>
      <c r="PK31">
        <f>$PK$30+--($PJ31)</f>
        <v/>
      </c>
      <c r="PL31">
        <f>IF(ROW()-3&gt;MAX($PK$4:$PK$40),"",INDEX($ET$4:$ET$40,MATCH(ROW()-3,$PK$4:$PK$40,0)))</f>
        <v/>
      </c>
      <c r="PM31">
        <f>IF(COUNTIF('Buyer Groups'!DG31:EH31,0)+COUNTIF('Buyer Groups'!EJ31:EN31,0)&gt;0,0,1)</f>
        <v/>
      </c>
      <c r="PN31">
        <f>IF($EY$31="",FALSE,SUMPRODUCT(('Final Calculation Sheet'!$AC$4:$AC$40=$EY$31)*($PM$6:$PM$42=1))&gt;0)</f>
        <v/>
      </c>
      <c r="PO31">
        <f>$PO$30+--($PN31)</f>
        <v/>
      </c>
      <c r="PP31">
        <f>IF(ROW()-3&gt;MAX($PO$4:$PO$40),"",INDEX($EY$4:$EY$40,MATCH(ROW()-3,$PO$4:$PO$40,0)))</f>
        <v/>
      </c>
      <c r="PQ31">
        <f>IF(COUNTIF('Buyer Groups'!DG31:EI31,0)+COUNTIF('Buyer Groups'!EK31:EN31,0)&gt;0,0,1)</f>
        <v/>
      </c>
      <c r="PR31">
        <f>IF($FD$31="",FALSE,SUMPRODUCT(('Final Calculation Sheet'!$AD$4:$AD$40=$FD$31)*($PQ$6:$PQ$42=1))&gt;0)</f>
        <v/>
      </c>
      <c r="PS31">
        <f>$PS$30+--($PR31)</f>
        <v/>
      </c>
      <c r="PT31">
        <f>IF(ROW()-3&gt;MAX($PS$4:$PS$40),"",INDEX($FD$4:$FD$40,MATCH(ROW()-3,$PS$4:$PS$40,0)))</f>
        <v/>
      </c>
      <c r="PU31">
        <f>IF(COUNTIF('Buyer Groups'!DG31:EJ31,0)+COUNTIF('Buyer Groups'!EL31:EN31,0)&gt;0,0,1)</f>
        <v/>
      </c>
      <c r="PV31">
        <f>IF($FX$31="",FALSE,SUMPRODUCT((IF('Final Calculation Sheet'!$AD$4:$AD$40&lt;=5,"SETTLED","OUTSTANDING")=$FX$31)*($PU$6:$PU$42=1))&gt;0)</f>
        <v/>
      </c>
      <c r="PW31">
        <f>$PW$30+--($PV31)</f>
        <v/>
      </c>
      <c r="PX31">
        <f>IF(ROW()-3&gt;MAX($PW$4:$PW$40),"",INDEX($FX$4:$FX$40,MATCH(ROW()-3,$PW$4:$PW$40,0)))</f>
        <v/>
      </c>
      <c r="PY31">
        <f>IF(COUNTIF('Buyer Groups'!DG31:EK31,0)+COUNTIF('Buyer Groups'!EM31:EN31,0)&gt;0,0,1)</f>
        <v/>
      </c>
      <c r="PZ31">
        <f>IF($FI$31="",FALSE,SUMPRODUCT(('Final Calculation Sheet'!$AF$4:$AF$40=$FI$31)*($PY$6:$PY$42=1))&gt;0)</f>
        <v/>
      </c>
      <c r="QA31">
        <f>$QA$30+--($PZ31)</f>
        <v/>
      </c>
      <c r="QB31">
        <f>IF(ROW()-3&gt;MAX($QA$4:$QA$40),"",INDEX($FI$4:$FI$40,MATCH(ROW()-3,$QA$4:$QA$40,0)))</f>
        <v/>
      </c>
      <c r="QC31">
        <f>IF(COUNTIF('Buyer Groups'!DG31:EL31,0)+COUNTIF('Buyer Groups'!EN31:EN31,0)&gt;0,0,1)</f>
        <v/>
      </c>
      <c r="QD31">
        <f>IF($FN$31="",FALSE,SUMPRODUCT(('Final Calculation Sheet'!$AG$4:$AG$40=$FN$31)*($QC$6:$QC$42=1))&gt;0)</f>
        <v/>
      </c>
      <c r="QE31">
        <f>$QE$30+--($QD31)</f>
        <v/>
      </c>
      <c r="QF31">
        <f>IF(ROW()-3&gt;MAX($QE$4:$QE$40),"",INDEX($FN$4:$FN$40,MATCH(ROW()-3,$QE$4:$QE$40,0)))</f>
        <v/>
      </c>
      <c r="QG31">
        <f>IF(COUNTIF('Buyer Groups'!DG31:EM31,0)&gt;0,0,1)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Groups'!DH32:EN32,0)&gt;0,0,1)</f>
        <v/>
      </c>
      <c r="LF32">
        <f>IF($O$32="",FALSE,SUMPRODUCT(('Final Calculation Sheet'!$F$4:$F$40=$O$32)*($LE$6:$LE$42=1))&gt;0)</f>
        <v/>
      </c>
      <c r="LG32">
        <f>$LG$31+--($LF32)</f>
        <v/>
      </c>
      <c r="LH32">
        <f>IF(ROW()-3&gt;MAX($LG$4:$LG$40),"",INDEX($O$4:$O$40,MATCH(ROW()-3,$LG$4:$LG$40,0)))</f>
        <v/>
      </c>
      <c r="LI32">
        <f>IF(COUNTIF('Buyer Groups'!DG32:DG32,0)+COUNTIF('Buyer Groups'!DI32:EN32,0)&gt;0,0,1)</f>
        <v/>
      </c>
      <c r="LJ32">
        <f>IF($T$32="",FALSE,SUMPRODUCT(('Final Calculation Sheet'!$G$4:$G$40=$T$32)*($LI$6:$LI$42=1))&gt;0)</f>
        <v/>
      </c>
      <c r="LK32">
        <f>$LK$31+--($LJ32)</f>
        <v/>
      </c>
      <c r="LL32">
        <f>IF(ROW()-3&gt;MAX($LK$4:$LK$40),"",INDEX($T$4:$T$40,MATCH(ROW()-3,$LK$4:$LK$40,0)))</f>
        <v/>
      </c>
      <c r="LM32">
        <f>IF(COUNTIF('Buyer Groups'!DG32:DH32,0)+COUNTIF('Buyer Groups'!DJ32:EN32,0)&gt;0,0,1)</f>
        <v/>
      </c>
      <c r="LN32">
        <f>IF($Y$32="",FALSE,SUMPRODUCT(('Final Calculation Sheet'!$B$4:$B$40=$Y$32)*($LM$6:$LM$42=1))&gt;0)</f>
        <v/>
      </c>
      <c r="LO32">
        <f>$LO$31+--($LN32)</f>
        <v/>
      </c>
      <c r="LP32">
        <f>IF(ROW()-3&gt;MAX($LO$4:$LO$40),"",INDEX($Y$4:$Y$40,MATCH(ROW()-3,$LO$4:$LO$40,0)))</f>
        <v/>
      </c>
      <c r="LQ32">
        <f>IF(COUNTIF('Buyer Groups'!DG32:DI32,0)+COUNTIF('Buyer Groups'!DK32:EN32,0)&gt;0,0,1)</f>
        <v/>
      </c>
      <c r="LR32">
        <f>IF($AD$32="",FALSE,SUMPRODUCT(('Final Calculation Sheet'!$D$4:$D$40=$AD$32)*($LQ$6:$LQ$42=1))&gt;0)</f>
        <v/>
      </c>
      <c r="LS32">
        <f>$LS$31+--($LR32)</f>
        <v/>
      </c>
      <c r="LT32">
        <f>IF(ROW()-3&gt;MAX($LS$4:$LS$40),"",INDEX($AD$4:$AD$40,MATCH(ROW()-3,$LS$4:$LS$40,0)))</f>
        <v/>
      </c>
      <c r="LU32">
        <f>IF(COUNTIF('Buyer Groups'!DG32:DJ32,0)+COUNTIF('Buyer Groups'!DL32:EN32,0)&gt;0,0,1)</f>
        <v/>
      </c>
      <c r="LV32">
        <f>IF($AI$32="",FALSE,SUMPRODUCT(('Final Calculation Sheet'!$A$4:$A$40=$AI$32)*($LU$6:$LU$42=1))&gt;0)</f>
        <v/>
      </c>
      <c r="LW32">
        <f>$LW$31+--($LV32)</f>
        <v/>
      </c>
      <c r="LX32">
        <f>IF(ROW()-3&gt;MAX($LW$4:$LW$40),"",INDEX($AI$4:$AI$40,MATCH(ROW()-3,$LW$4:$LW$40,0)))</f>
        <v/>
      </c>
      <c r="LY32">
        <f>IF(COUNTIF('Buyer Groups'!DG32:DK32,0)+COUNTIF('Buyer Groups'!DM32:EN32,0)&gt;0,0,1)</f>
        <v/>
      </c>
      <c r="LZ32">
        <f>IF($AN$32="",FALSE,SUMPRODUCT(('Final Calculation Sheet'!$E$4:$E$40=$AN$32)*($LY$6:$LY$42=1))&gt;0)</f>
        <v/>
      </c>
      <c r="MA32">
        <f>$MA$31+--($LZ32)</f>
        <v/>
      </c>
      <c r="MB32">
        <f>IF(ROW()-3&gt;MAX($MA$4:$MA$40),"",INDEX($AN$4:$AN$40,MATCH(ROW()-3,$MA$4:$MA$40,0)))</f>
        <v/>
      </c>
      <c r="MC32">
        <f>IF(COUNTIF('Buyer Groups'!DG32:DL32,0)+COUNTIF('Buyer Groups'!DN32:EN32,0)&gt;0,0,1)</f>
        <v/>
      </c>
      <c r="MD32">
        <f>IF($AS$32="",FALSE,SUMPRODUCT(('Final Calculation Sheet'!$C$4:$C$40=$AS$32)*($MC$6:$MC$42=1))&gt;0)</f>
        <v/>
      </c>
      <c r="ME32">
        <f>$ME$31+--($MD32)</f>
        <v/>
      </c>
      <c r="MF32">
        <f>IF(ROW()-3&gt;MAX($ME$4:$ME$40),"",INDEX($AS$4:$AS$40,MATCH(ROW()-3,$ME$4:$ME$40,0)))</f>
        <v/>
      </c>
      <c r="MG32">
        <f>IF(COUNTIF('Buyer Groups'!DG32:DM32,0)+COUNTIF('Buyer Groups'!DO32:EN32,0)&gt;0,0,1)</f>
        <v/>
      </c>
      <c r="MH32">
        <f>IF($AX$32="",FALSE,SUMPRODUCT(('Final Calculation Sheet'!$H$4:$H$40=$AX$32)*($MG$6:$MG$42=1))&gt;0)</f>
        <v/>
      </c>
      <c r="MI32">
        <f>$MI$31+--($MH32)</f>
        <v/>
      </c>
      <c r="MJ32">
        <f>IF(ROW()-3&gt;MAX($MI$4:$MI$40),"",INDEX($AX$4:$AX$40,MATCH(ROW()-3,$MI$4:$MI$40,0)))</f>
        <v/>
      </c>
      <c r="MK32">
        <f>IF(COUNTIF('Buyer Groups'!DG32:DN32,0)+COUNTIF('Buyer Groups'!DP32:EN32,0)&gt;0,0,1)</f>
        <v/>
      </c>
      <c r="ML32">
        <f>IF($BC$32="",FALSE,SUMPRODUCT(('Final Calculation Sheet'!$I$4:$I$40=$BC$32)*($MK$6:$MK$42=1))&gt;0)</f>
        <v/>
      </c>
      <c r="MM32">
        <f>$MM$31+--($ML32)</f>
        <v/>
      </c>
      <c r="MN32">
        <f>IF(ROW()-3&gt;MAX($MM$4:$MM$40),"",INDEX($BC$4:$BC$40,MATCH(ROW()-3,$MM$4:$MM$40,0)))</f>
        <v/>
      </c>
      <c r="MO32">
        <f>IF(COUNTIF('Buyer Groups'!DG32:DO32,0)+COUNTIF('Buyer Groups'!DQ32:EN32,0)&gt;0,0,1)</f>
        <v/>
      </c>
      <c r="MP32">
        <f>IF($BH$32="",FALSE,SUMPRODUCT(('Final Calculation Sheet'!$J$4:$J$40=$BH$32)*($MO$6:$MO$42=1))&gt;0)</f>
        <v/>
      </c>
      <c r="MQ32">
        <f>$MQ$31+--($MP32)</f>
        <v/>
      </c>
      <c r="MR32">
        <f>IF(ROW()-3&gt;MAX($MQ$4:$MQ$40),"",INDEX($BH$4:$BH$40,MATCH(ROW()-3,$MQ$4:$MQ$40,0)))</f>
        <v/>
      </c>
      <c r="MS32">
        <f>IF(COUNTIF('Buyer Groups'!DG32:DP32,0)+COUNTIF('Buyer Groups'!DR32:EN32,0)&gt;0,0,1)</f>
        <v/>
      </c>
      <c r="MT32">
        <f>IF($BM$32="",FALSE,SUMPRODUCT(('Final Calculation Sheet'!$K$4:$K$40=$BM$32)*($MS$6:$MS$42=1))&gt;0)</f>
        <v/>
      </c>
      <c r="MU32">
        <f>$MU$31+--($MT32)</f>
        <v/>
      </c>
      <c r="MV32">
        <f>IF(ROW()-3&gt;MAX($MU$4:$MU$40),"",INDEX($BM$4:$BM$40,MATCH(ROW()-3,$MU$4:$MU$40,0)))</f>
        <v/>
      </c>
      <c r="MW32">
        <f>IF(COUNTIF('Buyer Groups'!DG32:DQ32,0)+COUNTIF('Buyer Groups'!DS32:EN32,0)&gt;0,0,1)</f>
        <v/>
      </c>
      <c r="MX32">
        <f>IF($BR$32="",FALSE,SUMPRODUCT(('Final Calculation Sheet'!$L$4:$L$40=$BR$32)*($MW$6:$MW$42=1))&gt;0)</f>
        <v/>
      </c>
      <c r="MY32">
        <f>$MY$31+--($MX32)</f>
        <v/>
      </c>
      <c r="MZ32">
        <f>IF(ROW()-3&gt;MAX($MY$4:$MY$40),"",INDEX($BR$4:$BR$40,MATCH(ROW()-3,$MY$4:$MY$40,0)))</f>
        <v/>
      </c>
      <c r="NA32">
        <f>IF(COUNTIF('Buyer Groups'!DG32:DR32,0)+COUNTIF('Buyer Groups'!DT32:EN32,0)&gt;0,0,1)</f>
        <v/>
      </c>
      <c r="NB32">
        <f>IF($BW$32="",FALSE,SUMPRODUCT(('Final Calculation Sheet'!$M$4:$M$40=$BW$32)*($NA$6:$NA$42=1))&gt;0)</f>
        <v/>
      </c>
      <c r="NC32">
        <f>$NC$31+--($NB32)</f>
        <v/>
      </c>
      <c r="ND32">
        <f>IF(ROW()-3&gt;MAX($NC$4:$NC$40),"",INDEX($BW$4:$BW$40,MATCH(ROW()-3,$NC$4:$NC$40,0)))</f>
        <v/>
      </c>
      <c r="NE32">
        <f>IF(COUNTIF('Buyer Groups'!DG32:DS32,0)+COUNTIF('Buyer Groups'!DU32:EN32,0)&gt;0,0,1)</f>
        <v/>
      </c>
      <c r="NF32">
        <f>IF($CB$32="",FALSE,SUMPRODUCT(('Final Calculation Sheet'!$N$4:$N$40=$CB$32)*($NE$6:$NE$42=1))&gt;0)</f>
        <v/>
      </c>
      <c r="NG32">
        <f>$NG$31+--($NF32)</f>
        <v/>
      </c>
      <c r="NH32">
        <f>IF(ROW()-3&gt;MAX($NG$4:$NG$40),"",INDEX($CB$4:$CB$40,MATCH(ROW()-3,$NG$4:$NG$40,0)))</f>
        <v/>
      </c>
      <c r="NI32">
        <f>IF(COUNTIF('Buyer Groups'!DG32:DT32,0)+COUNTIF('Buyer Groups'!DV32:EN32,0)&gt;0,0,1)</f>
        <v/>
      </c>
      <c r="NJ32">
        <f>IF($CG$32="",FALSE,SUMPRODUCT(('Final Calculation Sheet'!$O$4:$O$40=$CG$32)*($NI$6:$NI$42=1))&gt;0)</f>
        <v/>
      </c>
      <c r="NK32">
        <f>$NK$31+--($NJ32)</f>
        <v/>
      </c>
      <c r="NL32">
        <f>IF(ROW()-3&gt;MAX($NK$4:$NK$40),"",INDEX($CG$4:$CG$40,MATCH(ROW()-3,$NK$4:$NK$40,0)))</f>
        <v/>
      </c>
      <c r="NM32">
        <f>IF(COUNTIF('Buyer Groups'!DG32:DU32,0)+COUNTIF('Buyer Groups'!DW32:EN32,0)&gt;0,0,1)</f>
        <v/>
      </c>
      <c r="NN32">
        <f>IF($CL$32="",FALSE,SUMPRODUCT(('Final Calculation Sheet'!$P$4:$P$40=$CL$32)*($NM$6:$NM$42=1))&gt;0)</f>
        <v/>
      </c>
      <c r="NO32">
        <f>$NO$31+--($NN32)</f>
        <v/>
      </c>
      <c r="NP32">
        <f>IF(ROW()-3&gt;MAX($NO$4:$NO$40),"",INDEX($CL$4:$CL$40,MATCH(ROW()-3,$NO$4:$NO$40,0)))</f>
        <v/>
      </c>
      <c r="NQ32">
        <f>IF(COUNTIF('Buyer Groups'!DG32:DV32,0)+COUNTIF('Buyer Groups'!DX32:EN32,0)&gt;0,0,1)</f>
        <v/>
      </c>
      <c r="NR32">
        <f>IF($CQ$32="",FALSE,SUMPRODUCT(('Final Calculation Sheet'!$Q$4:$Q$40=$CQ$32)*($NQ$6:$NQ$42=1))&gt;0)</f>
        <v/>
      </c>
      <c r="NS32">
        <f>$NS$31+--($NR32)</f>
        <v/>
      </c>
      <c r="NT32">
        <f>IF(ROW()-3&gt;MAX($NS$4:$NS$40),"",INDEX($CQ$4:$CQ$40,MATCH(ROW()-3,$NS$4:$NS$40,0)))</f>
        <v/>
      </c>
      <c r="NU32">
        <f>IF(COUNTIF('Buyer Groups'!DG32:DW32,0)+COUNTIF('Buyer Groups'!DY32:EN32,0)&gt;0,0,1)</f>
        <v/>
      </c>
      <c r="NV32">
        <f>IF($CV$32="",FALSE,SUMPRODUCT(('Final Calculation Sheet'!$R$4:$R$40=$CV$32)*($NU$6:$NU$42=1))&gt;0)</f>
        <v/>
      </c>
      <c r="NW32">
        <f>$NW$31+--($NV32)</f>
        <v/>
      </c>
      <c r="NX32">
        <f>IF(ROW()-3&gt;MAX($NW$4:$NW$40),"",INDEX($CV$4:$CV$40,MATCH(ROW()-3,$NW$4:$NW$40,0)))</f>
        <v/>
      </c>
      <c r="NY32">
        <f>IF(COUNTIF('Buyer Groups'!DG32:DX32,0)+COUNTIF('Buyer Groups'!DZ32:EN32,0)&gt;0,0,1)</f>
        <v/>
      </c>
      <c r="NZ32">
        <f>IF($DA$32="",FALSE,SUMPRODUCT(('Final Calculation Sheet'!$S$4:$S$40=$DA$32)*($NY$6:$NY$42=1))&gt;0)</f>
        <v/>
      </c>
      <c r="OA32">
        <f>$OA$31+--($NZ32)</f>
        <v/>
      </c>
      <c r="OB32">
        <f>IF(ROW()-3&gt;MAX($OA$4:$OA$40),"",INDEX($DA$4:$DA$40,MATCH(ROW()-3,$OA$4:$OA$40,0)))</f>
        <v/>
      </c>
      <c r="OC32">
        <f>IF(COUNTIF('Buyer Groups'!DG32:DY32,0)+COUNTIF('Buyer Groups'!EA32:EN32,0)&gt;0,0,1)</f>
        <v/>
      </c>
      <c r="OD32">
        <f>IF($DF$32="",FALSE,SUMPRODUCT(('Final Calculation Sheet'!$T$4:$T$40=$DF$32)*($OC$6:$OC$42=1))&gt;0)</f>
        <v/>
      </c>
      <c r="OE32">
        <f>$OE$31+--($OD32)</f>
        <v/>
      </c>
      <c r="OF32">
        <f>IF(ROW()-3&gt;MAX($OE$4:$OE$40),"",INDEX($DF$4:$DF$40,MATCH(ROW()-3,$OE$4:$OE$40,0)))</f>
        <v/>
      </c>
      <c r="OG32">
        <f>IF(COUNTIF('Buyer Groups'!DG32:DZ32,0)+COUNTIF('Buyer Groups'!EB32:EN32,0)&gt;0,0,1)</f>
        <v/>
      </c>
      <c r="OH32">
        <f>IF($DK$32="",FALSE,SUMPRODUCT(('Final Calculation Sheet'!$U$4:$U$40=$DK$32)*($OG$6:$OG$42=1))&gt;0)</f>
        <v/>
      </c>
      <c r="OI32">
        <f>$OI$31+--($OH32)</f>
        <v/>
      </c>
      <c r="OJ32">
        <f>IF(ROW()-3&gt;MAX($OI$4:$OI$40),"",INDEX($DK$4:$DK$40,MATCH(ROW()-3,$OI$4:$OI$40,0)))</f>
        <v/>
      </c>
      <c r="OK32">
        <f>IF(COUNTIF('Buyer Groups'!DG32:EA32,0)+COUNTIF('Buyer Groups'!EC32:EN32,0)&gt;0,0,1)</f>
        <v/>
      </c>
      <c r="OL32">
        <f>IF($DP$32="",FALSE,SUMPRODUCT(('Final Calculation Sheet'!$V$4:$V$40=$DP$32)*($OK$6:$OK$42=1))&gt;0)</f>
        <v/>
      </c>
      <c r="OM32">
        <f>$OM$31+--($OL32)</f>
        <v/>
      </c>
      <c r="ON32">
        <f>IF(ROW()-3&gt;MAX($OM$4:$OM$40),"",INDEX($DP$4:$DP$40,MATCH(ROW()-3,$OM$4:$OM$40,0)))</f>
        <v/>
      </c>
      <c r="OO32">
        <f>IF(COUNTIF('Buyer Groups'!DG32:EB32,0)+COUNTIF('Buyer Groups'!ED32:EN32,0)&gt;0,0,1)</f>
        <v/>
      </c>
      <c r="OP32">
        <f>IF($DU$32="",FALSE,SUMPRODUCT(('Final Calculation Sheet'!$W$4:$W$40=$DU$32)*($OO$6:$OO$42=1))&gt;0)</f>
        <v/>
      </c>
      <c r="OQ32">
        <f>$OQ$31+--($OP32)</f>
        <v/>
      </c>
      <c r="OR32">
        <f>IF(ROW()-3&gt;MAX($OQ$4:$OQ$40),"",INDEX($DU$4:$DU$40,MATCH(ROW()-3,$OQ$4:$OQ$40,0)))</f>
        <v/>
      </c>
      <c r="OS32">
        <f>IF(COUNTIF('Buyer Groups'!DG32:EC32,0)+COUNTIF('Buyer Groups'!EE32:EN32,0)&gt;0,0,1)</f>
        <v/>
      </c>
      <c r="OT32">
        <f>IF($DZ$32="",FALSE,SUMPRODUCT(('Final Calculation Sheet'!$X$4:$X$40=$DZ$32)*($OS$6:$OS$42=1))&gt;0)</f>
        <v/>
      </c>
      <c r="OU32">
        <f>$OU$31+--($OT32)</f>
        <v/>
      </c>
      <c r="OV32">
        <f>IF(ROW()-3&gt;MAX($OU$4:$OU$40),"",INDEX($DZ$4:$DZ$40,MATCH(ROW()-3,$OU$4:$OU$40,0)))</f>
        <v/>
      </c>
      <c r="OW32">
        <f>IF(COUNTIF('Buyer Groups'!DG32:ED32,0)+COUNTIF('Buyer Groups'!EF32:EN32,0)&gt;0,0,1)</f>
        <v/>
      </c>
      <c r="OX32">
        <f>IF($EE$32="",FALSE,SUMPRODUCT(('Final Calculation Sheet'!$Y$4:$Y$40=$EE$32)*($OW$6:$OW$42=1))&gt;0)</f>
        <v/>
      </c>
      <c r="OY32">
        <f>$OY$31+--($OX32)</f>
        <v/>
      </c>
      <c r="OZ32">
        <f>IF(ROW()-3&gt;MAX($OY$4:$OY$40),"",INDEX($EE$4:$EE$40,MATCH(ROW()-3,$OY$4:$OY$40,0)))</f>
        <v/>
      </c>
      <c r="PA32">
        <f>IF(COUNTIF('Buyer Groups'!DG32:EE32,0)+COUNTIF('Buyer Groups'!EG32:EN32,0)&gt;0,0,1)</f>
        <v/>
      </c>
      <c r="PB32">
        <f>IF($EJ$32="",FALSE,SUMPRODUCT(('Final Calculation Sheet'!$Z$4:$Z$40=$EJ$32)*($PA$6:$PA$42=1))&gt;0)</f>
        <v/>
      </c>
      <c r="PC32">
        <f>$PC$31+--($PB32)</f>
        <v/>
      </c>
      <c r="PD32">
        <f>IF(ROW()-3&gt;MAX($PC$4:$PC$40),"",INDEX($EJ$4:$EJ$40,MATCH(ROW()-3,$PC$4:$PC$40,0)))</f>
        <v/>
      </c>
      <c r="PE32">
        <f>IF(COUNTIF('Buyer Groups'!DG32:EF32,0)+COUNTIF('Buyer Groups'!EH32:EN32,0)&gt;0,0,1)</f>
        <v/>
      </c>
      <c r="PF32">
        <f>IF($EO$32="",FALSE,SUMPRODUCT(('Final Calculation Sheet'!$AA$4:$AA$40=$EO$32)*($PE$6:$PE$42=1))&gt;0)</f>
        <v/>
      </c>
      <c r="PG32">
        <f>$PG$31+--($PF32)</f>
        <v/>
      </c>
      <c r="PH32">
        <f>IF(ROW()-3&gt;MAX($PG$4:$PG$40),"",INDEX($EO$4:$EO$40,MATCH(ROW()-3,$PG$4:$PG$40,0)))</f>
        <v/>
      </c>
      <c r="PI32">
        <f>IF(COUNTIF('Buyer Groups'!DG32:EG32,0)+COUNTIF('Buyer Groups'!EI32:EN32,0)&gt;0,0,1)</f>
        <v/>
      </c>
      <c r="PJ32">
        <f>IF($ET$32="",FALSE,SUMPRODUCT(('Final Calculation Sheet'!$AB$4:$AB$40=$ET$32)*($PI$6:$PI$42=1))&gt;0)</f>
        <v/>
      </c>
      <c r="PK32">
        <f>$PK$31+--($PJ32)</f>
        <v/>
      </c>
      <c r="PL32">
        <f>IF(ROW()-3&gt;MAX($PK$4:$PK$40),"",INDEX($ET$4:$ET$40,MATCH(ROW()-3,$PK$4:$PK$40,0)))</f>
        <v/>
      </c>
      <c r="PM32">
        <f>IF(COUNTIF('Buyer Groups'!DG32:EH32,0)+COUNTIF('Buyer Groups'!EJ32:EN32,0)&gt;0,0,1)</f>
        <v/>
      </c>
      <c r="PN32">
        <f>IF($EY$32="",FALSE,SUMPRODUCT(('Final Calculation Sheet'!$AC$4:$AC$40=$EY$32)*($PM$6:$PM$42=1))&gt;0)</f>
        <v/>
      </c>
      <c r="PO32">
        <f>$PO$31+--($PN32)</f>
        <v/>
      </c>
      <c r="PP32">
        <f>IF(ROW()-3&gt;MAX($PO$4:$PO$40),"",INDEX($EY$4:$EY$40,MATCH(ROW()-3,$PO$4:$PO$40,0)))</f>
        <v/>
      </c>
      <c r="PQ32">
        <f>IF(COUNTIF('Buyer Groups'!DG32:EI32,0)+COUNTIF('Buyer Groups'!EK32:EN32,0)&gt;0,0,1)</f>
        <v/>
      </c>
      <c r="PR32">
        <f>IF($FD$32="",FALSE,SUMPRODUCT(('Final Calculation Sheet'!$AD$4:$AD$40=$FD$32)*($PQ$6:$PQ$42=1))&gt;0)</f>
        <v/>
      </c>
      <c r="PS32">
        <f>$PS$31+--($PR32)</f>
        <v/>
      </c>
      <c r="PT32">
        <f>IF(ROW()-3&gt;MAX($PS$4:$PS$40),"",INDEX($FD$4:$FD$40,MATCH(ROW()-3,$PS$4:$PS$40,0)))</f>
        <v/>
      </c>
      <c r="PU32">
        <f>IF(COUNTIF('Buyer Groups'!DG32:EJ32,0)+COUNTIF('Buyer Groups'!EL32:EN32,0)&gt;0,0,1)</f>
        <v/>
      </c>
      <c r="PV32">
        <f>IF($FX$32="",FALSE,SUMPRODUCT((IF('Final Calculation Sheet'!$AD$4:$AD$40&lt;=5,"SETTLED","OUTSTANDING")=$FX$32)*($PU$6:$PU$42=1))&gt;0)</f>
        <v/>
      </c>
      <c r="PW32">
        <f>$PW$31+--($PV32)</f>
        <v/>
      </c>
      <c r="PX32">
        <f>IF(ROW()-3&gt;MAX($PW$4:$PW$40),"",INDEX($FX$4:$FX$40,MATCH(ROW()-3,$PW$4:$PW$40,0)))</f>
        <v/>
      </c>
      <c r="PY32">
        <f>IF(COUNTIF('Buyer Groups'!DG32:EK32,0)+COUNTIF('Buyer Groups'!EM32:EN32,0)&gt;0,0,1)</f>
        <v/>
      </c>
      <c r="PZ32">
        <f>IF($FI$32="",FALSE,SUMPRODUCT(('Final Calculation Sheet'!$AF$4:$AF$40=$FI$32)*($PY$6:$PY$42=1))&gt;0)</f>
        <v/>
      </c>
      <c r="QA32">
        <f>$QA$31+--($PZ32)</f>
        <v/>
      </c>
      <c r="QB32">
        <f>IF(ROW()-3&gt;MAX($QA$4:$QA$40),"",INDEX($FI$4:$FI$40,MATCH(ROW()-3,$QA$4:$QA$40,0)))</f>
        <v/>
      </c>
      <c r="QC32">
        <f>IF(COUNTIF('Buyer Groups'!DG32:EL32,0)+COUNTIF('Buyer Groups'!EN32:EN32,0)&gt;0,0,1)</f>
        <v/>
      </c>
      <c r="QD32">
        <f>IF($FN$32="",FALSE,SUMPRODUCT(('Final Calculation Sheet'!$AG$4:$AG$40=$FN$32)*($QC$6:$QC$42=1))&gt;0)</f>
        <v/>
      </c>
      <c r="QE32">
        <f>$QE$31+--($QD32)</f>
        <v/>
      </c>
      <c r="QF32">
        <f>IF(ROW()-3&gt;MAX($QE$4:$QE$40),"",INDEX($FN$4:$FN$40,MATCH(ROW()-3,$QE$4:$QE$40,0)))</f>
        <v/>
      </c>
      <c r="QG32">
        <f>IF(COUNTIF('Buyer Groups'!DG32:EM32,0)&gt;0,0,1)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Groups'!DH33:EN33,0)&gt;0,0,1)</f>
        <v/>
      </c>
      <c r="LF33">
        <f>IF($O$33="",FALSE,SUMPRODUCT(('Final Calculation Sheet'!$F$4:$F$40=$O$33)*($LE$6:$LE$42=1))&gt;0)</f>
        <v/>
      </c>
      <c r="LG33">
        <f>$LG$32+--($LF33)</f>
        <v/>
      </c>
      <c r="LH33">
        <f>IF(ROW()-3&gt;MAX($LG$4:$LG$40),"",INDEX($O$4:$O$40,MATCH(ROW()-3,$LG$4:$LG$40,0)))</f>
        <v/>
      </c>
      <c r="LI33">
        <f>IF(COUNTIF('Buyer Groups'!DG33:DG33,0)+COUNTIF('Buyer Groups'!DI33:EN33,0)&gt;0,0,1)</f>
        <v/>
      </c>
      <c r="LJ33">
        <f>IF($T$33="",FALSE,SUMPRODUCT(('Final Calculation Sheet'!$G$4:$G$40=$T$33)*($LI$6:$LI$42=1))&gt;0)</f>
        <v/>
      </c>
      <c r="LK33">
        <f>$LK$32+--($LJ33)</f>
        <v/>
      </c>
      <c r="LL33">
        <f>IF(ROW()-3&gt;MAX($LK$4:$LK$40),"",INDEX($T$4:$T$40,MATCH(ROW()-3,$LK$4:$LK$40,0)))</f>
        <v/>
      </c>
      <c r="LM33">
        <f>IF(COUNTIF('Buyer Groups'!DG33:DH33,0)+COUNTIF('Buyer Groups'!DJ33:EN33,0)&gt;0,0,1)</f>
        <v/>
      </c>
      <c r="LN33">
        <f>IF($Y$33="",FALSE,SUMPRODUCT(('Final Calculation Sheet'!$B$4:$B$40=$Y$33)*($LM$6:$LM$42=1))&gt;0)</f>
        <v/>
      </c>
      <c r="LO33">
        <f>$LO$32+--($LN33)</f>
        <v/>
      </c>
      <c r="LP33">
        <f>IF(ROW()-3&gt;MAX($LO$4:$LO$40),"",INDEX($Y$4:$Y$40,MATCH(ROW()-3,$LO$4:$LO$40,0)))</f>
        <v/>
      </c>
      <c r="LQ33">
        <f>IF(COUNTIF('Buyer Groups'!DG33:DI33,0)+COUNTIF('Buyer Groups'!DK33:EN33,0)&gt;0,0,1)</f>
        <v/>
      </c>
      <c r="LR33">
        <f>IF($AD$33="",FALSE,SUMPRODUCT(('Final Calculation Sheet'!$D$4:$D$40=$AD$33)*($LQ$6:$LQ$42=1))&gt;0)</f>
        <v/>
      </c>
      <c r="LS33">
        <f>$LS$32+--($LR33)</f>
        <v/>
      </c>
      <c r="LT33">
        <f>IF(ROW()-3&gt;MAX($LS$4:$LS$40),"",INDEX($AD$4:$AD$40,MATCH(ROW()-3,$LS$4:$LS$40,0)))</f>
        <v/>
      </c>
      <c r="LU33">
        <f>IF(COUNTIF('Buyer Groups'!DG33:DJ33,0)+COUNTIF('Buyer Groups'!DL33:EN33,0)&gt;0,0,1)</f>
        <v/>
      </c>
      <c r="LV33">
        <f>IF($AI$33="",FALSE,SUMPRODUCT(('Final Calculation Sheet'!$A$4:$A$40=$AI$33)*($LU$6:$LU$42=1))&gt;0)</f>
        <v/>
      </c>
      <c r="LW33">
        <f>$LW$32+--($LV33)</f>
        <v/>
      </c>
      <c r="LX33">
        <f>IF(ROW()-3&gt;MAX($LW$4:$LW$40),"",INDEX($AI$4:$AI$40,MATCH(ROW()-3,$LW$4:$LW$40,0)))</f>
        <v/>
      </c>
      <c r="LY33">
        <f>IF(COUNTIF('Buyer Groups'!DG33:DK33,0)+COUNTIF('Buyer Groups'!DM33:EN33,0)&gt;0,0,1)</f>
        <v/>
      </c>
      <c r="LZ33">
        <f>IF($AN$33="",FALSE,SUMPRODUCT(('Final Calculation Sheet'!$E$4:$E$40=$AN$33)*($LY$6:$LY$42=1))&gt;0)</f>
        <v/>
      </c>
      <c r="MA33">
        <f>$MA$32+--($LZ33)</f>
        <v/>
      </c>
      <c r="MB33">
        <f>IF(ROW()-3&gt;MAX($MA$4:$MA$40),"",INDEX($AN$4:$AN$40,MATCH(ROW()-3,$MA$4:$MA$40,0)))</f>
        <v/>
      </c>
      <c r="MC33">
        <f>IF(COUNTIF('Buyer Groups'!DG33:DL33,0)+COUNTIF('Buyer Groups'!DN33:EN33,0)&gt;0,0,1)</f>
        <v/>
      </c>
      <c r="MD33">
        <f>IF($AS$33="",FALSE,SUMPRODUCT(('Final Calculation Sheet'!$C$4:$C$40=$AS$33)*($MC$6:$MC$42=1))&gt;0)</f>
        <v/>
      </c>
      <c r="ME33">
        <f>$ME$32+--($MD33)</f>
        <v/>
      </c>
      <c r="MF33">
        <f>IF(ROW()-3&gt;MAX($ME$4:$ME$40),"",INDEX($AS$4:$AS$40,MATCH(ROW()-3,$ME$4:$ME$40,0)))</f>
        <v/>
      </c>
      <c r="MG33">
        <f>IF(COUNTIF('Buyer Groups'!DG33:DM33,0)+COUNTIF('Buyer Groups'!DO33:EN33,0)&gt;0,0,1)</f>
        <v/>
      </c>
      <c r="MH33">
        <f>IF($AX$33="",FALSE,SUMPRODUCT(('Final Calculation Sheet'!$H$4:$H$40=$AX$33)*($MG$6:$MG$42=1))&gt;0)</f>
        <v/>
      </c>
      <c r="MI33">
        <f>$MI$32+--($MH33)</f>
        <v/>
      </c>
      <c r="MJ33">
        <f>IF(ROW()-3&gt;MAX($MI$4:$MI$40),"",INDEX($AX$4:$AX$40,MATCH(ROW()-3,$MI$4:$MI$40,0)))</f>
        <v/>
      </c>
      <c r="MK33">
        <f>IF(COUNTIF('Buyer Groups'!DG33:DN33,0)+COUNTIF('Buyer Groups'!DP33:EN33,0)&gt;0,0,1)</f>
        <v/>
      </c>
      <c r="ML33">
        <f>IF($BC$33="",FALSE,SUMPRODUCT(('Final Calculation Sheet'!$I$4:$I$40=$BC$33)*($MK$6:$MK$42=1))&gt;0)</f>
        <v/>
      </c>
      <c r="MM33">
        <f>$MM$32+--($ML33)</f>
        <v/>
      </c>
      <c r="MN33">
        <f>IF(ROW()-3&gt;MAX($MM$4:$MM$40),"",INDEX($BC$4:$BC$40,MATCH(ROW()-3,$MM$4:$MM$40,0)))</f>
        <v/>
      </c>
      <c r="MO33">
        <f>IF(COUNTIF('Buyer Groups'!DG33:DO33,0)+COUNTIF('Buyer Groups'!DQ33:EN33,0)&gt;0,0,1)</f>
        <v/>
      </c>
      <c r="MP33">
        <f>IF($BH$33="",FALSE,SUMPRODUCT(('Final Calculation Sheet'!$J$4:$J$40=$BH$33)*($MO$6:$MO$42=1))&gt;0)</f>
        <v/>
      </c>
      <c r="MQ33">
        <f>$MQ$32+--($MP33)</f>
        <v/>
      </c>
      <c r="MR33">
        <f>IF(ROW()-3&gt;MAX($MQ$4:$MQ$40),"",INDEX($BH$4:$BH$40,MATCH(ROW()-3,$MQ$4:$MQ$40,0)))</f>
        <v/>
      </c>
      <c r="MS33">
        <f>IF(COUNTIF('Buyer Groups'!DG33:DP33,0)+COUNTIF('Buyer Groups'!DR33:EN33,0)&gt;0,0,1)</f>
        <v/>
      </c>
      <c r="MT33">
        <f>IF($BM$33="",FALSE,SUMPRODUCT(('Final Calculation Sheet'!$K$4:$K$40=$BM$33)*($MS$6:$MS$42=1))&gt;0)</f>
        <v/>
      </c>
      <c r="MU33">
        <f>$MU$32+--($MT33)</f>
        <v/>
      </c>
      <c r="MV33">
        <f>IF(ROW()-3&gt;MAX($MU$4:$MU$40),"",INDEX($BM$4:$BM$40,MATCH(ROW()-3,$MU$4:$MU$40,0)))</f>
        <v/>
      </c>
      <c r="MW33">
        <f>IF(COUNTIF('Buyer Groups'!DG33:DQ33,0)+COUNTIF('Buyer Groups'!DS33:EN33,0)&gt;0,0,1)</f>
        <v/>
      </c>
      <c r="MX33">
        <f>IF($BR$33="",FALSE,SUMPRODUCT(('Final Calculation Sheet'!$L$4:$L$40=$BR$33)*($MW$6:$MW$42=1))&gt;0)</f>
        <v/>
      </c>
      <c r="MY33">
        <f>$MY$32+--($MX33)</f>
        <v/>
      </c>
      <c r="MZ33">
        <f>IF(ROW()-3&gt;MAX($MY$4:$MY$40),"",INDEX($BR$4:$BR$40,MATCH(ROW()-3,$MY$4:$MY$40,0)))</f>
        <v/>
      </c>
      <c r="NA33">
        <f>IF(COUNTIF('Buyer Groups'!DG33:DR33,0)+COUNTIF('Buyer Groups'!DT33:EN33,0)&gt;0,0,1)</f>
        <v/>
      </c>
      <c r="NB33">
        <f>IF($BW$33="",FALSE,SUMPRODUCT(('Final Calculation Sheet'!$M$4:$M$40=$BW$33)*($NA$6:$NA$42=1))&gt;0)</f>
        <v/>
      </c>
      <c r="NC33">
        <f>$NC$32+--($NB33)</f>
        <v/>
      </c>
      <c r="ND33">
        <f>IF(ROW()-3&gt;MAX($NC$4:$NC$40),"",INDEX($BW$4:$BW$40,MATCH(ROW()-3,$NC$4:$NC$40,0)))</f>
        <v/>
      </c>
      <c r="NE33">
        <f>IF(COUNTIF('Buyer Groups'!DG33:DS33,0)+COUNTIF('Buyer Groups'!DU33:EN33,0)&gt;0,0,1)</f>
        <v/>
      </c>
      <c r="NF33">
        <f>IF($CB$33="",FALSE,SUMPRODUCT(('Final Calculation Sheet'!$N$4:$N$40=$CB$33)*($NE$6:$NE$42=1))&gt;0)</f>
        <v/>
      </c>
      <c r="NG33">
        <f>$NG$32+--($NF33)</f>
        <v/>
      </c>
      <c r="NH33">
        <f>IF(ROW()-3&gt;MAX($NG$4:$NG$40),"",INDEX($CB$4:$CB$40,MATCH(ROW()-3,$NG$4:$NG$40,0)))</f>
        <v/>
      </c>
      <c r="NI33">
        <f>IF(COUNTIF('Buyer Groups'!DG33:DT33,0)+COUNTIF('Buyer Groups'!DV33:EN33,0)&gt;0,0,1)</f>
        <v/>
      </c>
      <c r="NJ33">
        <f>IF($CG$33="",FALSE,SUMPRODUCT(('Final Calculation Sheet'!$O$4:$O$40=$CG$33)*($NI$6:$NI$42=1))&gt;0)</f>
        <v/>
      </c>
      <c r="NK33">
        <f>$NK$32+--($NJ33)</f>
        <v/>
      </c>
      <c r="NL33">
        <f>IF(ROW()-3&gt;MAX($NK$4:$NK$40),"",INDEX($CG$4:$CG$40,MATCH(ROW()-3,$NK$4:$NK$40,0)))</f>
        <v/>
      </c>
      <c r="NM33">
        <f>IF(COUNTIF('Buyer Groups'!DG33:DU33,0)+COUNTIF('Buyer Groups'!DW33:EN33,0)&gt;0,0,1)</f>
        <v/>
      </c>
      <c r="NN33">
        <f>IF($CL$33="",FALSE,SUMPRODUCT(('Final Calculation Sheet'!$P$4:$P$40=$CL$33)*($NM$6:$NM$42=1))&gt;0)</f>
        <v/>
      </c>
      <c r="NO33">
        <f>$NO$32+--($NN33)</f>
        <v/>
      </c>
      <c r="NP33">
        <f>IF(ROW()-3&gt;MAX($NO$4:$NO$40),"",INDEX($CL$4:$CL$40,MATCH(ROW()-3,$NO$4:$NO$40,0)))</f>
        <v/>
      </c>
      <c r="NQ33">
        <f>IF(COUNTIF('Buyer Groups'!DG33:DV33,0)+COUNTIF('Buyer Groups'!DX33:EN33,0)&gt;0,0,1)</f>
        <v/>
      </c>
      <c r="NR33">
        <f>IF($CQ$33="",FALSE,SUMPRODUCT(('Final Calculation Sheet'!$Q$4:$Q$40=$CQ$33)*($NQ$6:$NQ$42=1))&gt;0)</f>
        <v/>
      </c>
      <c r="NS33">
        <f>$NS$32+--($NR33)</f>
        <v/>
      </c>
      <c r="NT33">
        <f>IF(ROW()-3&gt;MAX($NS$4:$NS$40),"",INDEX($CQ$4:$CQ$40,MATCH(ROW()-3,$NS$4:$NS$40,0)))</f>
        <v/>
      </c>
      <c r="NU33">
        <f>IF(COUNTIF('Buyer Groups'!DG33:DW33,0)+COUNTIF('Buyer Groups'!DY33:EN33,0)&gt;0,0,1)</f>
        <v/>
      </c>
      <c r="NV33">
        <f>IF($CV$33="",FALSE,SUMPRODUCT(('Final Calculation Sheet'!$R$4:$R$40=$CV$33)*($NU$6:$NU$42=1))&gt;0)</f>
        <v/>
      </c>
      <c r="NW33">
        <f>$NW$32+--($NV33)</f>
        <v/>
      </c>
      <c r="NX33">
        <f>IF(ROW()-3&gt;MAX($NW$4:$NW$40),"",INDEX($CV$4:$CV$40,MATCH(ROW()-3,$NW$4:$NW$40,0)))</f>
        <v/>
      </c>
      <c r="NY33">
        <f>IF(COUNTIF('Buyer Groups'!DG33:DX33,0)+COUNTIF('Buyer Groups'!DZ33:EN33,0)&gt;0,0,1)</f>
        <v/>
      </c>
      <c r="NZ33">
        <f>IF($DA$33="",FALSE,SUMPRODUCT(('Final Calculation Sheet'!$S$4:$S$40=$DA$33)*($NY$6:$NY$42=1))&gt;0)</f>
        <v/>
      </c>
      <c r="OA33">
        <f>$OA$32+--($NZ33)</f>
        <v/>
      </c>
      <c r="OB33">
        <f>IF(ROW()-3&gt;MAX($OA$4:$OA$40),"",INDEX($DA$4:$DA$40,MATCH(ROW()-3,$OA$4:$OA$40,0)))</f>
        <v/>
      </c>
      <c r="OC33">
        <f>IF(COUNTIF('Buyer Groups'!DG33:DY33,0)+COUNTIF('Buyer Groups'!EA33:EN33,0)&gt;0,0,1)</f>
        <v/>
      </c>
      <c r="OD33">
        <f>IF($DF$33="",FALSE,SUMPRODUCT(('Final Calculation Sheet'!$T$4:$T$40=$DF$33)*($OC$6:$OC$42=1))&gt;0)</f>
        <v/>
      </c>
      <c r="OE33">
        <f>$OE$32+--($OD33)</f>
        <v/>
      </c>
      <c r="OF33">
        <f>IF(ROW()-3&gt;MAX($OE$4:$OE$40),"",INDEX($DF$4:$DF$40,MATCH(ROW()-3,$OE$4:$OE$40,0)))</f>
        <v/>
      </c>
      <c r="OG33">
        <f>IF(COUNTIF('Buyer Groups'!DG33:DZ33,0)+COUNTIF('Buyer Groups'!EB33:EN33,0)&gt;0,0,1)</f>
        <v/>
      </c>
      <c r="OH33">
        <f>IF($DK$33="",FALSE,SUMPRODUCT(('Final Calculation Sheet'!$U$4:$U$40=$DK$33)*($OG$6:$OG$42=1))&gt;0)</f>
        <v/>
      </c>
      <c r="OI33">
        <f>$OI$32+--($OH33)</f>
        <v/>
      </c>
      <c r="OJ33">
        <f>IF(ROW()-3&gt;MAX($OI$4:$OI$40),"",INDEX($DK$4:$DK$40,MATCH(ROW()-3,$OI$4:$OI$40,0)))</f>
        <v/>
      </c>
      <c r="OK33">
        <f>IF(COUNTIF('Buyer Groups'!DG33:EA33,0)+COUNTIF('Buyer Groups'!EC33:EN33,0)&gt;0,0,1)</f>
        <v/>
      </c>
      <c r="OL33">
        <f>IF($DP$33="",FALSE,SUMPRODUCT(('Final Calculation Sheet'!$V$4:$V$40=$DP$33)*($OK$6:$OK$42=1))&gt;0)</f>
        <v/>
      </c>
      <c r="OM33">
        <f>$OM$32+--($OL33)</f>
        <v/>
      </c>
      <c r="ON33">
        <f>IF(ROW()-3&gt;MAX($OM$4:$OM$40),"",INDEX($DP$4:$DP$40,MATCH(ROW()-3,$OM$4:$OM$40,0)))</f>
        <v/>
      </c>
      <c r="OO33">
        <f>IF(COUNTIF('Buyer Groups'!DG33:EB33,0)+COUNTIF('Buyer Groups'!ED33:EN33,0)&gt;0,0,1)</f>
        <v/>
      </c>
      <c r="OP33">
        <f>IF($DU$33="",FALSE,SUMPRODUCT(('Final Calculation Sheet'!$W$4:$W$40=$DU$33)*($OO$6:$OO$42=1))&gt;0)</f>
        <v/>
      </c>
      <c r="OQ33">
        <f>$OQ$32+--($OP33)</f>
        <v/>
      </c>
      <c r="OR33">
        <f>IF(ROW()-3&gt;MAX($OQ$4:$OQ$40),"",INDEX($DU$4:$DU$40,MATCH(ROW()-3,$OQ$4:$OQ$40,0)))</f>
        <v/>
      </c>
      <c r="OS33">
        <f>IF(COUNTIF('Buyer Groups'!DG33:EC33,0)+COUNTIF('Buyer Groups'!EE33:EN33,0)&gt;0,0,1)</f>
        <v/>
      </c>
      <c r="OT33">
        <f>IF($DZ$33="",FALSE,SUMPRODUCT(('Final Calculation Sheet'!$X$4:$X$40=$DZ$33)*($OS$6:$OS$42=1))&gt;0)</f>
        <v/>
      </c>
      <c r="OU33">
        <f>$OU$32+--($OT33)</f>
        <v/>
      </c>
      <c r="OV33">
        <f>IF(ROW()-3&gt;MAX($OU$4:$OU$40),"",INDEX($DZ$4:$DZ$40,MATCH(ROW()-3,$OU$4:$OU$40,0)))</f>
        <v/>
      </c>
      <c r="OW33">
        <f>IF(COUNTIF('Buyer Groups'!DG33:ED33,0)+COUNTIF('Buyer Groups'!EF33:EN33,0)&gt;0,0,1)</f>
        <v/>
      </c>
      <c r="OX33">
        <f>IF($EE$33="",FALSE,SUMPRODUCT(('Final Calculation Sheet'!$Y$4:$Y$40=$EE$33)*($OW$6:$OW$42=1))&gt;0)</f>
        <v/>
      </c>
      <c r="OY33">
        <f>$OY$32+--($OX33)</f>
        <v/>
      </c>
      <c r="OZ33">
        <f>IF(ROW()-3&gt;MAX($OY$4:$OY$40),"",INDEX($EE$4:$EE$40,MATCH(ROW()-3,$OY$4:$OY$40,0)))</f>
        <v/>
      </c>
      <c r="PA33">
        <f>IF(COUNTIF('Buyer Groups'!DG33:EE33,0)+COUNTIF('Buyer Groups'!EG33:EN33,0)&gt;0,0,1)</f>
        <v/>
      </c>
      <c r="PB33">
        <f>IF($EJ$33="",FALSE,SUMPRODUCT(('Final Calculation Sheet'!$Z$4:$Z$40=$EJ$33)*($PA$6:$PA$42=1))&gt;0)</f>
        <v/>
      </c>
      <c r="PC33">
        <f>$PC$32+--($PB33)</f>
        <v/>
      </c>
      <c r="PD33">
        <f>IF(ROW()-3&gt;MAX($PC$4:$PC$40),"",INDEX($EJ$4:$EJ$40,MATCH(ROW()-3,$PC$4:$PC$40,0)))</f>
        <v/>
      </c>
      <c r="PE33">
        <f>IF(COUNTIF('Buyer Groups'!DG33:EF33,0)+COUNTIF('Buyer Groups'!EH33:EN33,0)&gt;0,0,1)</f>
        <v/>
      </c>
      <c r="PF33">
        <f>IF($EO$33="",FALSE,SUMPRODUCT(('Final Calculation Sheet'!$AA$4:$AA$40=$EO$33)*($PE$6:$PE$42=1))&gt;0)</f>
        <v/>
      </c>
      <c r="PG33">
        <f>$PG$32+--($PF33)</f>
        <v/>
      </c>
      <c r="PH33">
        <f>IF(ROW()-3&gt;MAX($PG$4:$PG$40),"",INDEX($EO$4:$EO$40,MATCH(ROW()-3,$PG$4:$PG$40,0)))</f>
        <v/>
      </c>
      <c r="PI33">
        <f>IF(COUNTIF('Buyer Groups'!DG33:EG33,0)+COUNTIF('Buyer Groups'!EI33:EN33,0)&gt;0,0,1)</f>
        <v/>
      </c>
      <c r="PJ33">
        <f>IF($ET$33="",FALSE,SUMPRODUCT(('Final Calculation Sheet'!$AB$4:$AB$40=$ET$33)*($PI$6:$PI$42=1))&gt;0)</f>
        <v/>
      </c>
      <c r="PK33">
        <f>$PK$32+--($PJ33)</f>
        <v/>
      </c>
      <c r="PL33">
        <f>IF(ROW()-3&gt;MAX($PK$4:$PK$40),"",INDEX($ET$4:$ET$40,MATCH(ROW()-3,$PK$4:$PK$40,0)))</f>
        <v/>
      </c>
      <c r="PM33">
        <f>IF(COUNTIF('Buyer Groups'!DG33:EH33,0)+COUNTIF('Buyer Groups'!EJ33:EN33,0)&gt;0,0,1)</f>
        <v/>
      </c>
      <c r="PN33">
        <f>IF($EY$33="",FALSE,SUMPRODUCT(('Final Calculation Sheet'!$AC$4:$AC$40=$EY$33)*($PM$6:$PM$42=1))&gt;0)</f>
        <v/>
      </c>
      <c r="PO33">
        <f>$PO$32+--($PN33)</f>
        <v/>
      </c>
      <c r="PP33">
        <f>IF(ROW()-3&gt;MAX($PO$4:$PO$40),"",INDEX($EY$4:$EY$40,MATCH(ROW()-3,$PO$4:$PO$40,0)))</f>
        <v/>
      </c>
      <c r="PQ33">
        <f>IF(COUNTIF('Buyer Groups'!DG33:EI33,0)+COUNTIF('Buyer Groups'!EK33:EN33,0)&gt;0,0,1)</f>
        <v/>
      </c>
      <c r="PR33">
        <f>IF($FD$33="",FALSE,SUMPRODUCT(('Final Calculation Sheet'!$AD$4:$AD$40=$FD$33)*($PQ$6:$PQ$42=1))&gt;0)</f>
        <v/>
      </c>
      <c r="PS33">
        <f>$PS$32+--($PR33)</f>
        <v/>
      </c>
      <c r="PT33">
        <f>IF(ROW()-3&gt;MAX($PS$4:$PS$40),"",INDEX($FD$4:$FD$40,MATCH(ROW()-3,$PS$4:$PS$40,0)))</f>
        <v/>
      </c>
      <c r="PU33">
        <f>IF(COUNTIF('Buyer Groups'!DG33:EJ33,0)+COUNTIF('Buyer Groups'!EL33:EN33,0)&gt;0,0,1)</f>
        <v/>
      </c>
      <c r="PV33">
        <f>IF($FX$33="",FALSE,SUMPRODUCT((IF('Final Calculation Sheet'!$AD$4:$AD$40&lt;=5,"SETTLED","OUTSTANDING")=$FX$33)*($PU$6:$PU$42=1))&gt;0)</f>
        <v/>
      </c>
      <c r="PW33">
        <f>$PW$32+--($PV33)</f>
        <v/>
      </c>
      <c r="PX33">
        <f>IF(ROW()-3&gt;MAX($PW$4:$PW$40),"",INDEX($FX$4:$FX$40,MATCH(ROW()-3,$PW$4:$PW$40,0)))</f>
        <v/>
      </c>
      <c r="PY33">
        <f>IF(COUNTIF('Buyer Groups'!DG33:EK33,0)+COUNTIF('Buyer Groups'!EM33:EN33,0)&gt;0,0,1)</f>
        <v/>
      </c>
      <c r="PZ33">
        <f>IF($FI$33="",FALSE,SUMPRODUCT(('Final Calculation Sheet'!$AF$4:$AF$40=$FI$33)*($PY$6:$PY$42=1))&gt;0)</f>
        <v/>
      </c>
      <c r="QA33">
        <f>$QA$32+--($PZ33)</f>
        <v/>
      </c>
      <c r="QB33">
        <f>IF(ROW()-3&gt;MAX($QA$4:$QA$40),"",INDEX($FI$4:$FI$40,MATCH(ROW()-3,$QA$4:$QA$40,0)))</f>
        <v/>
      </c>
      <c r="QC33">
        <f>IF(COUNTIF('Buyer Groups'!DG33:EL33,0)+COUNTIF('Buyer Groups'!EN33:EN33,0)&gt;0,0,1)</f>
        <v/>
      </c>
      <c r="QD33">
        <f>IF($FN$33="",FALSE,SUMPRODUCT(('Final Calculation Sheet'!$AG$4:$AG$40=$FN$33)*($QC$6:$QC$42=1))&gt;0)</f>
        <v/>
      </c>
      <c r="QE33">
        <f>$QE$32+--($QD33)</f>
        <v/>
      </c>
      <c r="QF33">
        <f>IF(ROW()-3&gt;MAX($QE$4:$QE$40),"",INDEX($FN$4:$FN$40,MATCH(ROW()-3,$QE$4:$QE$40,0)))</f>
        <v/>
      </c>
      <c r="QG33">
        <f>IF(COUNTIF('Buyer Groups'!DG33:EM33,0)&gt;0,0,1)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Groups'!DH34:EN34,0)&gt;0,0,1)</f>
        <v/>
      </c>
      <c r="LF34">
        <f>IF($O$34="",FALSE,SUMPRODUCT(('Final Calculation Sheet'!$F$4:$F$40=$O$34)*($LE$6:$LE$42=1))&gt;0)</f>
        <v/>
      </c>
      <c r="LG34">
        <f>$LG$33+--($LF34)</f>
        <v/>
      </c>
      <c r="LH34">
        <f>IF(ROW()-3&gt;MAX($LG$4:$LG$40),"",INDEX($O$4:$O$40,MATCH(ROW()-3,$LG$4:$LG$40,0)))</f>
        <v/>
      </c>
      <c r="LI34">
        <f>IF(COUNTIF('Buyer Groups'!DG34:DG34,0)+COUNTIF('Buyer Groups'!DI34:EN34,0)&gt;0,0,1)</f>
        <v/>
      </c>
      <c r="LJ34">
        <f>IF($T$34="",FALSE,SUMPRODUCT(('Final Calculation Sheet'!$G$4:$G$40=$T$34)*($LI$6:$LI$42=1))&gt;0)</f>
        <v/>
      </c>
      <c r="LK34">
        <f>$LK$33+--($LJ34)</f>
        <v/>
      </c>
      <c r="LL34">
        <f>IF(ROW()-3&gt;MAX($LK$4:$LK$40),"",INDEX($T$4:$T$40,MATCH(ROW()-3,$LK$4:$LK$40,0)))</f>
        <v/>
      </c>
      <c r="LM34">
        <f>IF(COUNTIF('Buyer Groups'!DG34:DH34,0)+COUNTIF('Buyer Groups'!DJ34:EN34,0)&gt;0,0,1)</f>
        <v/>
      </c>
      <c r="LN34">
        <f>IF($Y$34="",FALSE,SUMPRODUCT(('Final Calculation Sheet'!$B$4:$B$40=$Y$34)*($LM$6:$LM$42=1))&gt;0)</f>
        <v/>
      </c>
      <c r="LO34">
        <f>$LO$33+--($LN34)</f>
        <v/>
      </c>
      <c r="LP34">
        <f>IF(ROW()-3&gt;MAX($LO$4:$LO$40),"",INDEX($Y$4:$Y$40,MATCH(ROW()-3,$LO$4:$LO$40,0)))</f>
        <v/>
      </c>
      <c r="LQ34">
        <f>IF(COUNTIF('Buyer Groups'!DG34:DI34,0)+COUNTIF('Buyer Groups'!DK34:EN34,0)&gt;0,0,1)</f>
        <v/>
      </c>
      <c r="LR34">
        <f>IF($AD$34="",FALSE,SUMPRODUCT(('Final Calculation Sheet'!$D$4:$D$40=$AD$34)*($LQ$6:$LQ$42=1))&gt;0)</f>
        <v/>
      </c>
      <c r="LS34">
        <f>$LS$33+--($LR34)</f>
        <v/>
      </c>
      <c r="LT34">
        <f>IF(ROW()-3&gt;MAX($LS$4:$LS$40),"",INDEX($AD$4:$AD$40,MATCH(ROW()-3,$LS$4:$LS$40,0)))</f>
        <v/>
      </c>
      <c r="LU34">
        <f>IF(COUNTIF('Buyer Groups'!DG34:DJ34,0)+COUNTIF('Buyer Groups'!DL34:EN34,0)&gt;0,0,1)</f>
        <v/>
      </c>
      <c r="LV34">
        <f>IF($AI$34="",FALSE,SUMPRODUCT(('Final Calculation Sheet'!$A$4:$A$40=$AI$34)*($LU$6:$LU$42=1))&gt;0)</f>
        <v/>
      </c>
      <c r="LW34">
        <f>$LW$33+--($LV34)</f>
        <v/>
      </c>
      <c r="LX34">
        <f>IF(ROW()-3&gt;MAX($LW$4:$LW$40),"",INDEX($AI$4:$AI$40,MATCH(ROW()-3,$LW$4:$LW$40,0)))</f>
        <v/>
      </c>
      <c r="LY34">
        <f>IF(COUNTIF('Buyer Groups'!DG34:DK34,0)+COUNTIF('Buyer Groups'!DM34:EN34,0)&gt;0,0,1)</f>
        <v/>
      </c>
      <c r="LZ34">
        <f>IF($AN$34="",FALSE,SUMPRODUCT(('Final Calculation Sheet'!$E$4:$E$40=$AN$34)*($LY$6:$LY$42=1))&gt;0)</f>
        <v/>
      </c>
      <c r="MA34">
        <f>$MA$33+--($LZ34)</f>
        <v/>
      </c>
      <c r="MB34">
        <f>IF(ROW()-3&gt;MAX($MA$4:$MA$40),"",INDEX($AN$4:$AN$40,MATCH(ROW()-3,$MA$4:$MA$40,0)))</f>
        <v/>
      </c>
      <c r="MC34">
        <f>IF(COUNTIF('Buyer Groups'!DG34:DL34,0)+COUNTIF('Buyer Groups'!DN34:EN34,0)&gt;0,0,1)</f>
        <v/>
      </c>
      <c r="MD34">
        <f>IF($AS$34="",FALSE,SUMPRODUCT(('Final Calculation Sheet'!$C$4:$C$40=$AS$34)*($MC$6:$MC$42=1))&gt;0)</f>
        <v/>
      </c>
      <c r="ME34">
        <f>$ME$33+--($MD34)</f>
        <v/>
      </c>
      <c r="MF34">
        <f>IF(ROW()-3&gt;MAX($ME$4:$ME$40),"",INDEX($AS$4:$AS$40,MATCH(ROW()-3,$ME$4:$ME$40,0)))</f>
        <v/>
      </c>
      <c r="MG34">
        <f>IF(COUNTIF('Buyer Groups'!DG34:DM34,0)+COUNTIF('Buyer Groups'!DO34:EN34,0)&gt;0,0,1)</f>
        <v/>
      </c>
      <c r="MH34">
        <f>IF($AX$34="",FALSE,SUMPRODUCT(('Final Calculation Sheet'!$H$4:$H$40=$AX$34)*($MG$6:$MG$42=1))&gt;0)</f>
        <v/>
      </c>
      <c r="MI34">
        <f>$MI$33+--($MH34)</f>
        <v/>
      </c>
      <c r="MJ34">
        <f>IF(ROW()-3&gt;MAX($MI$4:$MI$40),"",INDEX($AX$4:$AX$40,MATCH(ROW()-3,$MI$4:$MI$40,0)))</f>
        <v/>
      </c>
      <c r="MK34">
        <f>IF(COUNTIF('Buyer Groups'!DG34:DN34,0)+COUNTIF('Buyer Groups'!DP34:EN34,0)&gt;0,0,1)</f>
        <v/>
      </c>
      <c r="ML34">
        <f>IF($BC$34="",FALSE,SUMPRODUCT(('Final Calculation Sheet'!$I$4:$I$40=$BC$34)*($MK$6:$MK$42=1))&gt;0)</f>
        <v/>
      </c>
      <c r="MM34">
        <f>$MM$33+--($ML34)</f>
        <v/>
      </c>
      <c r="MN34">
        <f>IF(ROW()-3&gt;MAX($MM$4:$MM$40),"",INDEX($BC$4:$BC$40,MATCH(ROW()-3,$MM$4:$MM$40,0)))</f>
        <v/>
      </c>
      <c r="MO34">
        <f>IF(COUNTIF('Buyer Groups'!DG34:DO34,0)+COUNTIF('Buyer Groups'!DQ34:EN34,0)&gt;0,0,1)</f>
        <v/>
      </c>
      <c r="MP34">
        <f>IF($BH$34="",FALSE,SUMPRODUCT(('Final Calculation Sheet'!$J$4:$J$40=$BH$34)*($MO$6:$MO$42=1))&gt;0)</f>
        <v/>
      </c>
      <c r="MQ34">
        <f>$MQ$33+--($MP34)</f>
        <v/>
      </c>
      <c r="MR34">
        <f>IF(ROW()-3&gt;MAX($MQ$4:$MQ$40),"",INDEX($BH$4:$BH$40,MATCH(ROW()-3,$MQ$4:$MQ$40,0)))</f>
        <v/>
      </c>
      <c r="MS34">
        <f>IF(COUNTIF('Buyer Groups'!DG34:DP34,0)+COUNTIF('Buyer Groups'!DR34:EN34,0)&gt;0,0,1)</f>
        <v/>
      </c>
      <c r="MT34">
        <f>IF($BM$34="",FALSE,SUMPRODUCT(('Final Calculation Sheet'!$K$4:$K$40=$BM$34)*($MS$6:$MS$42=1))&gt;0)</f>
        <v/>
      </c>
      <c r="MU34">
        <f>$MU$33+--($MT34)</f>
        <v/>
      </c>
      <c r="MV34">
        <f>IF(ROW()-3&gt;MAX($MU$4:$MU$40),"",INDEX($BM$4:$BM$40,MATCH(ROW()-3,$MU$4:$MU$40,0)))</f>
        <v/>
      </c>
      <c r="MW34">
        <f>IF(COUNTIF('Buyer Groups'!DG34:DQ34,0)+COUNTIF('Buyer Groups'!DS34:EN34,0)&gt;0,0,1)</f>
        <v/>
      </c>
      <c r="MX34">
        <f>IF($BR$34="",FALSE,SUMPRODUCT(('Final Calculation Sheet'!$L$4:$L$40=$BR$34)*($MW$6:$MW$42=1))&gt;0)</f>
        <v/>
      </c>
      <c r="MY34">
        <f>$MY$33+--($MX34)</f>
        <v/>
      </c>
      <c r="MZ34">
        <f>IF(ROW()-3&gt;MAX($MY$4:$MY$40),"",INDEX($BR$4:$BR$40,MATCH(ROW()-3,$MY$4:$MY$40,0)))</f>
        <v/>
      </c>
      <c r="NA34">
        <f>IF(COUNTIF('Buyer Groups'!DG34:DR34,0)+COUNTIF('Buyer Groups'!DT34:EN34,0)&gt;0,0,1)</f>
        <v/>
      </c>
      <c r="NB34">
        <f>IF($BW$34="",FALSE,SUMPRODUCT(('Final Calculation Sheet'!$M$4:$M$40=$BW$34)*($NA$6:$NA$42=1))&gt;0)</f>
        <v/>
      </c>
      <c r="NC34">
        <f>$NC$33+--($NB34)</f>
        <v/>
      </c>
      <c r="ND34">
        <f>IF(ROW()-3&gt;MAX($NC$4:$NC$40),"",INDEX($BW$4:$BW$40,MATCH(ROW()-3,$NC$4:$NC$40,0)))</f>
        <v/>
      </c>
      <c r="NE34">
        <f>IF(COUNTIF('Buyer Groups'!DG34:DS34,0)+COUNTIF('Buyer Groups'!DU34:EN34,0)&gt;0,0,1)</f>
        <v/>
      </c>
      <c r="NF34">
        <f>IF($CB$34="",FALSE,SUMPRODUCT(('Final Calculation Sheet'!$N$4:$N$40=$CB$34)*($NE$6:$NE$42=1))&gt;0)</f>
        <v/>
      </c>
      <c r="NG34">
        <f>$NG$33+--($NF34)</f>
        <v/>
      </c>
      <c r="NH34">
        <f>IF(ROW()-3&gt;MAX($NG$4:$NG$40),"",INDEX($CB$4:$CB$40,MATCH(ROW()-3,$NG$4:$NG$40,0)))</f>
        <v/>
      </c>
      <c r="NI34">
        <f>IF(COUNTIF('Buyer Groups'!DG34:DT34,0)+COUNTIF('Buyer Groups'!DV34:EN34,0)&gt;0,0,1)</f>
        <v/>
      </c>
      <c r="NJ34">
        <f>IF($CG$34="",FALSE,SUMPRODUCT(('Final Calculation Sheet'!$O$4:$O$40=$CG$34)*($NI$6:$NI$42=1))&gt;0)</f>
        <v/>
      </c>
      <c r="NK34">
        <f>$NK$33+--($NJ34)</f>
        <v/>
      </c>
      <c r="NL34">
        <f>IF(ROW()-3&gt;MAX($NK$4:$NK$40),"",INDEX($CG$4:$CG$40,MATCH(ROW()-3,$NK$4:$NK$40,0)))</f>
        <v/>
      </c>
      <c r="NM34">
        <f>IF(COUNTIF('Buyer Groups'!DG34:DU34,0)+COUNTIF('Buyer Groups'!DW34:EN34,0)&gt;0,0,1)</f>
        <v/>
      </c>
      <c r="NN34">
        <f>IF($CL$34="",FALSE,SUMPRODUCT(('Final Calculation Sheet'!$P$4:$P$40=$CL$34)*($NM$6:$NM$42=1))&gt;0)</f>
        <v/>
      </c>
      <c r="NO34">
        <f>$NO$33+--($NN34)</f>
        <v/>
      </c>
      <c r="NP34">
        <f>IF(ROW()-3&gt;MAX($NO$4:$NO$40),"",INDEX($CL$4:$CL$40,MATCH(ROW()-3,$NO$4:$NO$40,0)))</f>
        <v/>
      </c>
      <c r="NQ34">
        <f>IF(COUNTIF('Buyer Groups'!DG34:DV34,0)+COUNTIF('Buyer Groups'!DX34:EN34,0)&gt;0,0,1)</f>
        <v/>
      </c>
      <c r="NR34">
        <f>IF($CQ$34="",FALSE,SUMPRODUCT(('Final Calculation Sheet'!$Q$4:$Q$40=$CQ$34)*($NQ$6:$NQ$42=1))&gt;0)</f>
        <v/>
      </c>
      <c r="NS34">
        <f>$NS$33+--($NR34)</f>
        <v/>
      </c>
      <c r="NT34">
        <f>IF(ROW()-3&gt;MAX($NS$4:$NS$40),"",INDEX($CQ$4:$CQ$40,MATCH(ROW()-3,$NS$4:$NS$40,0)))</f>
        <v/>
      </c>
      <c r="NU34">
        <f>IF(COUNTIF('Buyer Groups'!DG34:DW34,0)+COUNTIF('Buyer Groups'!DY34:EN34,0)&gt;0,0,1)</f>
        <v/>
      </c>
      <c r="NV34">
        <f>IF($CV$34="",FALSE,SUMPRODUCT(('Final Calculation Sheet'!$R$4:$R$40=$CV$34)*($NU$6:$NU$42=1))&gt;0)</f>
        <v/>
      </c>
      <c r="NW34">
        <f>$NW$33+--($NV34)</f>
        <v/>
      </c>
      <c r="NX34">
        <f>IF(ROW()-3&gt;MAX($NW$4:$NW$40),"",INDEX($CV$4:$CV$40,MATCH(ROW()-3,$NW$4:$NW$40,0)))</f>
        <v/>
      </c>
      <c r="NY34">
        <f>IF(COUNTIF('Buyer Groups'!DG34:DX34,0)+COUNTIF('Buyer Groups'!DZ34:EN34,0)&gt;0,0,1)</f>
        <v/>
      </c>
      <c r="NZ34">
        <f>IF($DA$34="",FALSE,SUMPRODUCT(('Final Calculation Sheet'!$S$4:$S$40=$DA$34)*($NY$6:$NY$42=1))&gt;0)</f>
        <v/>
      </c>
      <c r="OA34">
        <f>$OA$33+--($NZ34)</f>
        <v/>
      </c>
      <c r="OB34">
        <f>IF(ROW()-3&gt;MAX($OA$4:$OA$40),"",INDEX($DA$4:$DA$40,MATCH(ROW()-3,$OA$4:$OA$40,0)))</f>
        <v/>
      </c>
      <c r="OC34">
        <f>IF(COUNTIF('Buyer Groups'!DG34:DY34,0)+COUNTIF('Buyer Groups'!EA34:EN34,0)&gt;0,0,1)</f>
        <v/>
      </c>
      <c r="OD34">
        <f>IF($DF$34="",FALSE,SUMPRODUCT(('Final Calculation Sheet'!$T$4:$T$40=$DF$34)*($OC$6:$OC$42=1))&gt;0)</f>
        <v/>
      </c>
      <c r="OE34">
        <f>$OE$33+--($OD34)</f>
        <v/>
      </c>
      <c r="OF34">
        <f>IF(ROW()-3&gt;MAX($OE$4:$OE$40),"",INDEX($DF$4:$DF$40,MATCH(ROW()-3,$OE$4:$OE$40,0)))</f>
        <v/>
      </c>
      <c r="OG34">
        <f>IF(COUNTIF('Buyer Groups'!DG34:DZ34,0)+COUNTIF('Buyer Groups'!EB34:EN34,0)&gt;0,0,1)</f>
        <v/>
      </c>
      <c r="OH34">
        <f>IF($DK$34="",FALSE,SUMPRODUCT(('Final Calculation Sheet'!$U$4:$U$40=$DK$34)*($OG$6:$OG$42=1))&gt;0)</f>
        <v/>
      </c>
      <c r="OI34">
        <f>$OI$33+--($OH34)</f>
        <v/>
      </c>
      <c r="OJ34">
        <f>IF(ROW()-3&gt;MAX($OI$4:$OI$40),"",INDEX($DK$4:$DK$40,MATCH(ROW()-3,$OI$4:$OI$40,0)))</f>
        <v/>
      </c>
      <c r="OK34">
        <f>IF(COUNTIF('Buyer Groups'!DG34:EA34,0)+COUNTIF('Buyer Groups'!EC34:EN34,0)&gt;0,0,1)</f>
        <v/>
      </c>
      <c r="OL34">
        <f>IF($DP$34="",FALSE,SUMPRODUCT(('Final Calculation Sheet'!$V$4:$V$40=$DP$34)*($OK$6:$OK$42=1))&gt;0)</f>
        <v/>
      </c>
      <c r="OM34">
        <f>$OM$33+--($OL34)</f>
        <v/>
      </c>
      <c r="ON34">
        <f>IF(ROW()-3&gt;MAX($OM$4:$OM$40),"",INDEX($DP$4:$DP$40,MATCH(ROW()-3,$OM$4:$OM$40,0)))</f>
        <v/>
      </c>
      <c r="OO34">
        <f>IF(COUNTIF('Buyer Groups'!DG34:EB34,0)+COUNTIF('Buyer Groups'!ED34:EN34,0)&gt;0,0,1)</f>
        <v/>
      </c>
      <c r="OP34">
        <f>IF($DU$34="",FALSE,SUMPRODUCT(('Final Calculation Sheet'!$W$4:$W$40=$DU$34)*($OO$6:$OO$42=1))&gt;0)</f>
        <v/>
      </c>
      <c r="OQ34">
        <f>$OQ$33+--($OP34)</f>
        <v/>
      </c>
      <c r="OR34">
        <f>IF(ROW()-3&gt;MAX($OQ$4:$OQ$40),"",INDEX($DU$4:$DU$40,MATCH(ROW()-3,$OQ$4:$OQ$40,0)))</f>
        <v/>
      </c>
      <c r="OS34">
        <f>IF(COUNTIF('Buyer Groups'!DG34:EC34,0)+COUNTIF('Buyer Groups'!EE34:EN34,0)&gt;0,0,1)</f>
        <v/>
      </c>
      <c r="OT34">
        <f>IF($DZ$34="",FALSE,SUMPRODUCT(('Final Calculation Sheet'!$X$4:$X$40=$DZ$34)*($OS$6:$OS$42=1))&gt;0)</f>
        <v/>
      </c>
      <c r="OU34">
        <f>$OU$33+--($OT34)</f>
        <v/>
      </c>
      <c r="OV34">
        <f>IF(ROW()-3&gt;MAX($OU$4:$OU$40),"",INDEX($DZ$4:$DZ$40,MATCH(ROW()-3,$OU$4:$OU$40,0)))</f>
        <v/>
      </c>
      <c r="OW34">
        <f>IF(COUNTIF('Buyer Groups'!DG34:ED34,0)+COUNTIF('Buyer Groups'!EF34:EN34,0)&gt;0,0,1)</f>
        <v/>
      </c>
      <c r="OX34">
        <f>IF($EE$34="",FALSE,SUMPRODUCT(('Final Calculation Sheet'!$Y$4:$Y$40=$EE$34)*($OW$6:$OW$42=1))&gt;0)</f>
        <v/>
      </c>
      <c r="OY34">
        <f>$OY$33+--($OX34)</f>
        <v/>
      </c>
      <c r="OZ34">
        <f>IF(ROW()-3&gt;MAX($OY$4:$OY$40),"",INDEX($EE$4:$EE$40,MATCH(ROW()-3,$OY$4:$OY$40,0)))</f>
        <v/>
      </c>
      <c r="PA34">
        <f>IF(COUNTIF('Buyer Groups'!DG34:EE34,0)+COUNTIF('Buyer Groups'!EG34:EN34,0)&gt;0,0,1)</f>
        <v/>
      </c>
      <c r="PB34">
        <f>IF($EJ$34="",FALSE,SUMPRODUCT(('Final Calculation Sheet'!$Z$4:$Z$40=$EJ$34)*($PA$6:$PA$42=1))&gt;0)</f>
        <v/>
      </c>
      <c r="PC34">
        <f>$PC$33+--($PB34)</f>
        <v/>
      </c>
      <c r="PD34">
        <f>IF(ROW()-3&gt;MAX($PC$4:$PC$40),"",INDEX($EJ$4:$EJ$40,MATCH(ROW()-3,$PC$4:$PC$40,0)))</f>
        <v/>
      </c>
      <c r="PE34">
        <f>IF(COUNTIF('Buyer Groups'!DG34:EF34,0)+COUNTIF('Buyer Groups'!EH34:EN34,0)&gt;0,0,1)</f>
        <v/>
      </c>
      <c r="PF34">
        <f>IF($EO$34="",FALSE,SUMPRODUCT(('Final Calculation Sheet'!$AA$4:$AA$40=$EO$34)*($PE$6:$PE$42=1))&gt;0)</f>
        <v/>
      </c>
      <c r="PG34">
        <f>$PG$33+--($PF34)</f>
        <v/>
      </c>
      <c r="PH34">
        <f>IF(ROW()-3&gt;MAX($PG$4:$PG$40),"",INDEX($EO$4:$EO$40,MATCH(ROW()-3,$PG$4:$PG$40,0)))</f>
        <v/>
      </c>
      <c r="PI34">
        <f>IF(COUNTIF('Buyer Groups'!DG34:EG34,0)+COUNTIF('Buyer Groups'!EI34:EN34,0)&gt;0,0,1)</f>
        <v/>
      </c>
      <c r="PJ34">
        <f>IF($ET$34="",FALSE,SUMPRODUCT(('Final Calculation Sheet'!$AB$4:$AB$40=$ET$34)*($PI$6:$PI$42=1))&gt;0)</f>
        <v/>
      </c>
      <c r="PK34">
        <f>$PK$33+--($PJ34)</f>
        <v/>
      </c>
      <c r="PL34">
        <f>IF(ROW()-3&gt;MAX($PK$4:$PK$40),"",INDEX($ET$4:$ET$40,MATCH(ROW()-3,$PK$4:$PK$40,0)))</f>
        <v/>
      </c>
      <c r="PM34">
        <f>IF(COUNTIF('Buyer Groups'!DG34:EH34,0)+COUNTIF('Buyer Groups'!EJ34:EN34,0)&gt;0,0,1)</f>
        <v/>
      </c>
      <c r="PN34">
        <f>IF($EY$34="",FALSE,SUMPRODUCT(('Final Calculation Sheet'!$AC$4:$AC$40=$EY$34)*($PM$6:$PM$42=1))&gt;0)</f>
        <v/>
      </c>
      <c r="PO34">
        <f>$PO$33+--($PN34)</f>
        <v/>
      </c>
      <c r="PP34">
        <f>IF(ROW()-3&gt;MAX($PO$4:$PO$40),"",INDEX($EY$4:$EY$40,MATCH(ROW()-3,$PO$4:$PO$40,0)))</f>
        <v/>
      </c>
      <c r="PQ34">
        <f>IF(COUNTIF('Buyer Groups'!DG34:EI34,0)+COUNTIF('Buyer Groups'!EK34:EN34,0)&gt;0,0,1)</f>
        <v/>
      </c>
      <c r="PR34">
        <f>IF($FD$34="",FALSE,SUMPRODUCT(('Final Calculation Sheet'!$AD$4:$AD$40=$FD$34)*($PQ$6:$PQ$42=1))&gt;0)</f>
        <v/>
      </c>
      <c r="PS34">
        <f>$PS$33+--($PR34)</f>
        <v/>
      </c>
      <c r="PT34">
        <f>IF(ROW()-3&gt;MAX($PS$4:$PS$40),"",INDEX($FD$4:$FD$40,MATCH(ROW()-3,$PS$4:$PS$40,0)))</f>
        <v/>
      </c>
      <c r="PU34">
        <f>IF(COUNTIF('Buyer Groups'!DG34:EJ34,0)+COUNTIF('Buyer Groups'!EL34:EN34,0)&gt;0,0,1)</f>
        <v/>
      </c>
      <c r="PV34">
        <f>IF($FX$34="",FALSE,SUMPRODUCT((IF('Final Calculation Sheet'!$AD$4:$AD$40&lt;=5,"SETTLED","OUTSTANDING")=$FX$34)*($PU$6:$PU$42=1))&gt;0)</f>
        <v/>
      </c>
      <c r="PW34">
        <f>$PW$33+--($PV34)</f>
        <v/>
      </c>
      <c r="PX34">
        <f>IF(ROW()-3&gt;MAX($PW$4:$PW$40),"",INDEX($FX$4:$FX$40,MATCH(ROW()-3,$PW$4:$PW$40,0)))</f>
        <v/>
      </c>
      <c r="PY34">
        <f>IF(COUNTIF('Buyer Groups'!DG34:EK34,0)+COUNTIF('Buyer Groups'!EM34:EN34,0)&gt;0,0,1)</f>
        <v/>
      </c>
      <c r="PZ34">
        <f>IF($FI$34="",FALSE,SUMPRODUCT(('Final Calculation Sheet'!$AF$4:$AF$40=$FI$34)*($PY$6:$PY$42=1))&gt;0)</f>
        <v/>
      </c>
      <c r="QA34">
        <f>$QA$33+--($PZ34)</f>
        <v/>
      </c>
      <c r="QB34">
        <f>IF(ROW()-3&gt;MAX($QA$4:$QA$40),"",INDEX($FI$4:$FI$40,MATCH(ROW()-3,$QA$4:$QA$40,0)))</f>
        <v/>
      </c>
      <c r="QC34">
        <f>IF(COUNTIF('Buyer Groups'!DG34:EL34,0)+COUNTIF('Buyer Groups'!EN34:EN34,0)&gt;0,0,1)</f>
        <v/>
      </c>
      <c r="QD34">
        <f>IF($FN$34="",FALSE,SUMPRODUCT(('Final Calculation Sheet'!$AG$4:$AG$40=$FN$34)*($QC$6:$QC$42=1))&gt;0)</f>
        <v/>
      </c>
      <c r="QE34">
        <f>$QE$33+--($QD34)</f>
        <v/>
      </c>
      <c r="QF34">
        <f>IF(ROW()-3&gt;MAX($QE$4:$QE$40),"",INDEX($FN$4:$FN$40,MATCH(ROW()-3,$QE$4:$QE$40,0)))</f>
        <v/>
      </c>
      <c r="QG34">
        <f>IF(COUNTIF('Buyer Groups'!DG34:EM34,0)&gt;0,0,1)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Groups'!DH35:EN35,0)&gt;0,0,1)</f>
        <v/>
      </c>
      <c r="LF35">
        <f>IF($O$35="",FALSE,SUMPRODUCT(('Final Calculation Sheet'!$F$4:$F$40=$O$35)*($LE$6:$LE$42=1))&gt;0)</f>
        <v/>
      </c>
      <c r="LG35">
        <f>$LG$34+--($LF35)</f>
        <v/>
      </c>
      <c r="LH35">
        <f>IF(ROW()-3&gt;MAX($LG$4:$LG$40),"",INDEX($O$4:$O$40,MATCH(ROW()-3,$LG$4:$LG$40,0)))</f>
        <v/>
      </c>
      <c r="LI35">
        <f>IF(COUNTIF('Buyer Groups'!DG35:DG35,0)+COUNTIF('Buyer Groups'!DI35:EN35,0)&gt;0,0,1)</f>
        <v/>
      </c>
      <c r="LJ35">
        <f>IF($T$35="",FALSE,SUMPRODUCT(('Final Calculation Sheet'!$G$4:$G$40=$T$35)*($LI$6:$LI$42=1))&gt;0)</f>
        <v/>
      </c>
      <c r="LK35">
        <f>$LK$34+--($LJ35)</f>
        <v/>
      </c>
      <c r="LL35">
        <f>IF(ROW()-3&gt;MAX($LK$4:$LK$40),"",INDEX($T$4:$T$40,MATCH(ROW()-3,$LK$4:$LK$40,0)))</f>
        <v/>
      </c>
      <c r="LM35">
        <f>IF(COUNTIF('Buyer Groups'!DG35:DH35,0)+COUNTIF('Buyer Groups'!DJ35:EN35,0)&gt;0,0,1)</f>
        <v/>
      </c>
      <c r="LN35">
        <f>IF($Y$35="",FALSE,SUMPRODUCT(('Final Calculation Sheet'!$B$4:$B$40=$Y$35)*($LM$6:$LM$42=1))&gt;0)</f>
        <v/>
      </c>
      <c r="LO35">
        <f>$LO$34+--($LN35)</f>
        <v/>
      </c>
      <c r="LP35">
        <f>IF(ROW()-3&gt;MAX($LO$4:$LO$40),"",INDEX($Y$4:$Y$40,MATCH(ROW()-3,$LO$4:$LO$40,0)))</f>
        <v/>
      </c>
      <c r="LQ35">
        <f>IF(COUNTIF('Buyer Groups'!DG35:DI35,0)+COUNTIF('Buyer Groups'!DK35:EN35,0)&gt;0,0,1)</f>
        <v/>
      </c>
      <c r="LR35">
        <f>IF($AD$35="",FALSE,SUMPRODUCT(('Final Calculation Sheet'!$D$4:$D$40=$AD$35)*($LQ$6:$LQ$42=1))&gt;0)</f>
        <v/>
      </c>
      <c r="LS35">
        <f>$LS$34+--($LR35)</f>
        <v/>
      </c>
      <c r="LT35">
        <f>IF(ROW()-3&gt;MAX($LS$4:$LS$40),"",INDEX($AD$4:$AD$40,MATCH(ROW()-3,$LS$4:$LS$40,0)))</f>
        <v/>
      </c>
      <c r="LU35">
        <f>IF(COUNTIF('Buyer Groups'!DG35:DJ35,0)+COUNTIF('Buyer Groups'!DL35:EN35,0)&gt;0,0,1)</f>
        <v/>
      </c>
      <c r="LV35">
        <f>IF($AI$35="",FALSE,SUMPRODUCT(('Final Calculation Sheet'!$A$4:$A$40=$AI$35)*($LU$6:$LU$42=1))&gt;0)</f>
        <v/>
      </c>
      <c r="LW35">
        <f>$LW$34+--($LV35)</f>
        <v/>
      </c>
      <c r="LX35">
        <f>IF(ROW()-3&gt;MAX($LW$4:$LW$40),"",INDEX($AI$4:$AI$40,MATCH(ROW()-3,$LW$4:$LW$40,0)))</f>
        <v/>
      </c>
      <c r="LY35">
        <f>IF(COUNTIF('Buyer Groups'!DG35:DK35,0)+COUNTIF('Buyer Groups'!DM35:EN35,0)&gt;0,0,1)</f>
        <v/>
      </c>
      <c r="LZ35">
        <f>IF($AN$35="",FALSE,SUMPRODUCT(('Final Calculation Sheet'!$E$4:$E$40=$AN$35)*($LY$6:$LY$42=1))&gt;0)</f>
        <v/>
      </c>
      <c r="MA35">
        <f>$MA$34+--($LZ35)</f>
        <v/>
      </c>
      <c r="MB35">
        <f>IF(ROW()-3&gt;MAX($MA$4:$MA$40),"",INDEX($AN$4:$AN$40,MATCH(ROW()-3,$MA$4:$MA$40,0)))</f>
        <v/>
      </c>
      <c r="MC35">
        <f>IF(COUNTIF('Buyer Groups'!DG35:DL35,0)+COUNTIF('Buyer Groups'!DN35:EN35,0)&gt;0,0,1)</f>
        <v/>
      </c>
      <c r="MD35">
        <f>IF($AS$35="",FALSE,SUMPRODUCT(('Final Calculation Sheet'!$C$4:$C$40=$AS$35)*($MC$6:$MC$42=1))&gt;0)</f>
        <v/>
      </c>
      <c r="ME35">
        <f>$ME$34+--($MD35)</f>
        <v/>
      </c>
      <c r="MF35">
        <f>IF(ROW()-3&gt;MAX($ME$4:$ME$40),"",INDEX($AS$4:$AS$40,MATCH(ROW()-3,$ME$4:$ME$40,0)))</f>
        <v/>
      </c>
      <c r="MG35">
        <f>IF(COUNTIF('Buyer Groups'!DG35:DM35,0)+COUNTIF('Buyer Groups'!DO35:EN35,0)&gt;0,0,1)</f>
        <v/>
      </c>
      <c r="MH35">
        <f>IF($AX$35="",FALSE,SUMPRODUCT(('Final Calculation Sheet'!$H$4:$H$40=$AX$35)*($MG$6:$MG$42=1))&gt;0)</f>
        <v/>
      </c>
      <c r="MI35">
        <f>$MI$34+--($MH35)</f>
        <v/>
      </c>
      <c r="MJ35">
        <f>IF(ROW()-3&gt;MAX($MI$4:$MI$40),"",INDEX($AX$4:$AX$40,MATCH(ROW()-3,$MI$4:$MI$40,0)))</f>
        <v/>
      </c>
      <c r="MK35">
        <f>IF(COUNTIF('Buyer Groups'!DG35:DN35,0)+COUNTIF('Buyer Groups'!DP35:EN35,0)&gt;0,0,1)</f>
        <v/>
      </c>
      <c r="ML35">
        <f>IF($BC$35="",FALSE,SUMPRODUCT(('Final Calculation Sheet'!$I$4:$I$40=$BC$35)*($MK$6:$MK$42=1))&gt;0)</f>
        <v/>
      </c>
      <c r="MM35">
        <f>$MM$34+--($ML35)</f>
        <v/>
      </c>
      <c r="MN35">
        <f>IF(ROW()-3&gt;MAX($MM$4:$MM$40),"",INDEX($BC$4:$BC$40,MATCH(ROW()-3,$MM$4:$MM$40,0)))</f>
        <v/>
      </c>
      <c r="MO35">
        <f>IF(COUNTIF('Buyer Groups'!DG35:DO35,0)+COUNTIF('Buyer Groups'!DQ35:EN35,0)&gt;0,0,1)</f>
        <v/>
      </c>
      <c r="MP35">
        <f>IF($BH$35="",FALSE,SUMPRODUCT(('Final Calculation Sheet'!$J$4:$J$40=$BH$35)*($MO$6:$MO$42=1))&gt;0)</f>
        <v/>
      </c>
      <c r="MQ35">
        <f>$MQ$34+--($MP35)</f>
        <v/>
      </c>
      <c r="MR35">
        <f>IF(ROW()-3&gt;MAX($MQ$4:$MQ$40),"",INDEX($BH$4:$BH$40,MATCH(ROW()-3,$MQ$4:$MQ$40,0)))</f>
        <v/>
      </c>
      <c r="MS35">
        <f>IF(COUNTIF('Buyer Groups'!DG35:DP35,0)+COUNTIF('Buyer Groups'!DR35:EN35,0)&gt;0,0,1)</f>
        <v/>
      </c>
      <c r="MT35">
        <f>IF($BM$35="",FALSE,SUMPRODUCT(('Final Calculation Sheet'!$K$4:$K$40=$BM$35)*($MS$6:$MS$42=1))&gt;0)</f>
        <v/>
      </c>
      <c r="MU35">
        <f>$MU$34+--($MT35)</f>
        <v/>
      </c>
      <c r="MV35">
        <f>IF(ROW()-3&gt;MAX($MU$4:$MU$40),"",INDEX($BM$4:$BM$40,MATCH(ROW()-3,$MU$4:$MU$40,0)))</f>
        <v/>
      </c>
      <c r="MW35">
        <f>IF(COUNTIF('Buyer Groups'!DG35:DQ35,0)+COUNTIF('Buyer Groups'!DS35:EN35,0)&gt;0,0,1)</f>
        <v/>
      </c>
      <c r="MX35">
        <f>IF($BR$35="",FALSE,SUMPRODUCT(('Final Calculation Sheet'!$L$4:$L$40=$BR$35)*($MW$6:$MW$42=1))&gt;0)</f>
        <v/>
      </c>
      <c r="MY35">
        <f>$MY$34+--($MX35)</f>
        <v/>
      </c>
      <c r="MZ35">
        <f>IF(ROW()-3&gt;MAX($MY$4:$MY$40),"",INDEX($BR$4:$BR$40,MATCH(ROW()-3,$MY$4:$MY$40,0)))</f>
        <v/>
      </c>
      <c r="NA35">
        <f>IF(COUNTIF('Buyer Groups'!DG35:DR35,0)+COUNTIF('Buyer Groups'!DT35:EN35,0)&gt;0,0,1)</f>
        <v/>
      </c>
      <c r="NB35">
        <f>IF($BW$35="",FALSE,SUMPRODUCT(('Final Calculation Sheet'!$M$4:$M$40=$BW$35)*($NA$6:$NA$42=1))&gt;0)</f>
        <v/>
      </c>
      <c r="NC35">
        <f>$NC$34+--($NB35)</f>
        <v/>
      </c>
      <c r="ND35">
        <f>IF(ROW()-3&gt;MAX($NC$4:$NC$40),"",INDEX($BW$4:$BW$40,MATCH(ROW()-3,$NC$4:$NC$40,0)))</f>
        <v/>
      </c>
      <c r="NE35">
        <f>IF(COUNTIF('Buyer Groups'!DG35:DS35,0)+COUNTIF('Buyer Groups'!DU35:EN35,0)&gt;0,0,1)</f>
        <v/>
      </c>
      <c r="NF35">
        <f>IF($CB$35="",FALSE,SUMPRODUCT(('Final Calculation Sheet'!$N$4:$N$40=$CB$35)*($NE$6:$NE$42=1))&gt;0)</f>
        <v/>
      </c>
      <c r="NG35">
        <f>$NG$34+--($NF35)</f>
        <v/>
      </c>
      <c r="NH35">
        <f>IF(ROW()-3&gt;MAX($NG$4:$NG$40),"",INDEX($CB$4:$CB$40,MATCH(ROW()-3,$NG$4:$NG$40,0)))</f>
        <v/>
      </c>
      <c r="NI35">
        <f>IF(COUNTIF('Buyer Groups'!DG35:DT35,0)+COUNTIF('Buyer Groups'!DV35:EN35,0)&gt;0,0,1)</f>
        <v/>
      </c>
      <c r="NJ35">
        <f>IF($CG$35="",FALSE,SUMPRODUCT(('Final Calculation Sheet'!$O$4:$O$40=$CG$35)*($NI$6:$NI$42=1))&gt;0)</f>
        <v/>
      </c>
      <c r="NK35">
        <f>$NK$34+--($NJ35)</f>
        <v/>
      </c>
      <c r="NL35">
        <f>IF(ROW()-3&gt;MAX($NK$4:$NK$40),"",INDEX($CG$4:$CG$40,MATCH(ROW()-3,$NK$4:$NK$40,0)))</f>
        <v/>
      </c>
      <c r="NM35">
        <f>IF(COUNTIF('Buyer Groups'!DG35:DU35,0)+COUNTIF('Buyer Groups'!DW35:EN35,0)&gt;0,0,1)</f>
        <v/>
      </c>
      <c r="NN35">
        <f>IF($CL$35="",FALSE,SUMPRODUCT(('Final Calculation Sheet'!$P$4:$P$40=$CL$35)*($NM$6:$NM$42=1))&gt;0)</f>
        <v/>
      </c>
      <c r="NO35">
        <f>$NO$34+--($NN35)</f>
        <v/>
      </c>
      <c r="NP35">
        <f>IF(ROW()-3&gt;MAX($NO$4:$NO$40),"",INDEX($CL$4:$CL$40,MATCH(ROW()-3,$NO$4:$NO$40,0)))</f>
        <v/>
      </c>
      <c r="NQ35">
        <f>IF(COUNTIF('Buyer Groups'!DG35:DV35,0)+COUNTIF('Buyer Groups'!DX35:EN35,0)&gt;0,0,1)</f>
        <v/>
      </c>
      <c r="NR35">
        <f>IF($CQ$35="",FALSE,SUMPRODUCT(('Final Calculation Sheet'!$Q$4:$Q$40=$CQ$35)*($NQ$6:$NQ$42=1))&gt;0)</f>
        <v/>
      </c>
      <c r="NS35">
        <f>$NS$34+--($NR35)</f>
        <v/>
      </c>
      <c r="NT35">
        <f>IF(ROW()-3&gt;MAX($NS$4:$NS$40),"",INDEX($CQ$4:$CQ$40,MATCH(ROW()-3,$NS$4:$NS$40,0)))</f>
        <v/>
      </c>
      <c r="NU35">
        <f>IF(COUNTIF('Buyer Groups'!DG35:DW35,0)+COUNTIF('Buyer Groups'!DY35:EN35,0)&gt;0,0,1)</f>
        <v/>
      </c>
      <c r="NV35">
        <f>IF($CV$35="",FALSE,SUMPRODUCT(('Final Calculation Sheet'!$R$4:$R$40=$CV$35)*($NU$6:$NU$42=1))&gt;0)</f>
        <v/>
      </c>
      <c r="NW35">
        <f>$NW$34+--($NV35)</f>
        <v/>
      </c>
      <c r="NX35">
        <f>IF(ROW()-3&gt;MAX($NW$4:$NW$40),"",INDEX($CV$4:$CV$40,MATCH(ROW()-3,$NW$4:$NW$40,0)))</f>
        <v/>
      </c>
      <c r="NY35">
        <f>IF(COUNTIF('Buyer Groups'!DG35:DX35,0)+COUNTIF('Buyer Groups'!DZ35:EN35,0)&gt;0,0,1)</f>
        <v/>
      </c>
      <c r="NZ35">
        <f>IF($DA$35="",FALSE,SUMPRODUCT(('Final Calculation Sheet'!$S$4:$S$40=$DA$35)*($NY$6:$NY$42=1))&gt;0)</f>
        <v/>
      </c>
      <c r="OA35">
        <f>$OA$34+--($NZ35)</f>
        <v/>
      </c>
      <c r="OB35">
        <f>IF(ROW()-3&gt;MAX($OA$4:$OA$40),"",INDEX($DA$4:$DA$40,MATCH(ROW()-3,$OA$4:$OA$40,0)))</f>
        <v/>
      </c>
      <c r="OC35">
        <f>IF(COUNTIF('Buyer Groups'!DG35:DY35,0)+COUNTIF('Buyer Groups'!EA35:EN35,0)&gt;0,0,1)</f>
        <v/>
      </c>
      <c r="OD35">
        <f>IF($DF$35="",FALSE,SUMPRODUCT(('Final Calculation Sheet'!$T$4:$T$40=$DF$35)*($OC$6:$OC$42=1))&gt;0)</f>
        <v/>
      </c>
      <c r="OE35">
        <f>$OE$34+--($OD35)</f>
        <v/>
      </c>
      <c r="OF35">
        <f>IF(ROW()-3&gt;MAX($OE$4:$OE$40),"",INDEX($DF$4:$DF$40,MATCH(ROW()-3,$OE$4:$OE$40,0)))</f>
        <v/>
      </c>
      <c r="OG35">
        <f>IF(COUNTIF('Buyer Groups'!DG35:DZ35,0)+COUNTIF('Buyer Groups'!EB35:EN35,0)&gt;0,0,1)</f>
        <v/>
      </c>
      <c r="OH35">
        <f>IF($DK$35="",FALSE,SUMPRODUCT(('Final Calculation Sheet'!$U$4:$U$40=$DK$35)*($OG$6:$OG$42=1))&gt;0)</f>
        <v/>
      </c>
      <c r="OI35">
        <f>$OI$34+--($OH35)</f>
        <v/>
      </c>
      <c r="OJ35">
        <f>IF(ROW()-3&gt;MAX($OI$4:$OI$40),"",INDEX($DK$4:$DK$40,MATCH(ROW()-3,$OI$4:$OI$40,0)))</f>
        <v/>
      </c>
      <c r="OK35">
        <f>IF(COUNTIF('Buyer Groups'!DG35:EA35,0)+COUNTIF('Buyer Groups'!EC35:EN35,0)&gt;0,0,1)</f>
        <v/>
      </c>
      <c r="OL35">
        <f>IF($DP$35="",FALSE,SUMPRODUCT(('Final Calculation Sheet'!$V$4:$V$40=$DP$35)*($OK$6:$OK$42=1))&gt;0)</f>
        <v/>
      </c>
      <c r="OM35">
        <f>$OM$34+--($OL35)</f>
        <v/>
      </c>
      <c r="ON35">
        <f>IF(ROW()-3&gt;MAX($OM$4:$OM$40),"",INDEX($DP$4:$DP$40,MATCH(ROW()-3,$OM$4:$OM$40,0)))</f>
        <v/>
      </c>
      <c r="OO35">
        <f>IF(COUNTIF('Buyer Groups'!DG35:EB35,0)+COUNTIF('Buyer Groups'!ED35:EN35,0)&gt;0,0,1)</f>
        <v/>
      </c>
      <c r="OP35">
        <f>IF($DU$35="",FALSE,SUMPRODUCT(('Final Calculation Sheet'!$W$4:$W$40=$DU$35)*($OO$6:$OO$42=1))&gt;0)</f>
        <v/>
      </c>
      <c r="OQ35">
        <f>$OQ$34+--($OP35)</f>
        <v/>
      </c>
      <c r="OR35">
        <f>IF(ROW()-3&gt;MAX($OQ$4:$OQ$40),"",INDEX($DU$4:$DU$40,MATCH(ROW()-3,$OQ$4:$OQ$40,0)))</f>
        <v/>
      </c>
      <c r="OS35">
        <f>IF(COUNTIF('Buyer Groups'!DG35:EC35,0)+COUNTIF('Buyer Groups'!EE35:EN35,0)&gt;0,0,1)</f>
        <v/>
      </c>
      <c r="OT35">
        <f>IF($DZ$35="",FALSE,SUMPRODUCT(('Final Calculation Sheet'!$X$4:$X$40=$DZ$35)*($OS$6:$OS$42=1))&gt;0)</f>
        <v/>
      </c>
      <c r="OU35">
        <f>$OU$34+--($OT35)</f>
        <v/>
      </c>
      <c r="OV35">
        <f>IF(ROW()-3&gt;MAX($OU$4:$OU$40),"",INDEX($DZ$4:$DZ$40,MATCH(ROW()-3,$OU$4:$OU$40,0)))</f>
        <v/>
      </c>
      <c r="OW35">
        <f>IF(COUNTIF('Buyer Groups'!DG35:ED35,0)+COUNTIF('Buyer Groups'!EF35:EN35,0)&gt;0,0,1)</f>
        <v/>
      </c>
      <c r="OX35">
        <f>IF($EE$35="",FALSE,SUMPRODUCT(('Final Calculation Sheet'!$Y$4:$Y$40=$EE$35)*($OW$6:$OW$42=1))&gt;0)</f>
        <v/>
      </c>
      <c r="OY35">
        <f>$OY$34+--($OX35)</f>
        <v/>
      </c>
      <c r="OZ35">
        <f>IF(ROW()-3&gt;MAX($OY$4:$OY$40),"",INDEX($EE$4:$EE$40,MATCH(ROW()-3,$OY$4:$OY$40,0)))</f>
        <v/>
      </c>
      <c r="PA35">
        <f>IF(COUNTIF('Buyer Groups'!DG35:EE35,0)+COUNTIF('Buyer Groups'!EG35:EN35,0)&gt;0,0,1)</f>
        <v/>
      </c>
      <c r="PB35">
        <f>IF($EJ$35="",FALSE,SUMPRODUCT(('Final Calculation Sheet'!$Z$4:$Z$40=$EJ$35)*($PA$6:$PA$42=1))&gt;0)</f>
        <v/>
      </c>
      <c r="PC35">
        <f>$PC$34+--($PB35)</f>
        <v/>
      </c>
      <c r="PD35">
        <f>IF(ROW()-3&gt;MAX($PC$4:$PC$40),"",INDEX($EJ$4:$EJ$40,MATCH(ROW()-3,$PC$4:$PC$40,0)))</f>
        <v/>
      </c>
      <c r="PE35">
        <f>IF(COUNTIF('Buyer Groups'!DG35:EF35,0)+COUNTIF('Buyer Groups'!EH35:EN35,0)&gt;0,0,1)</f>
        <v/>
      </c>
      <c r="PF35">
        <f>IF($EO$35="",FALSE,SUMPRODUCT(('Final Calculation Sheet'!$AA$4:$AA$40=$EO$35)*($PE$6:$PE$42=1))&gt;0)</f>
        <v/>
      </c>
      <c r="PG35">
        <f>$PG$34+--($PF35)</f>
        <v/>
      </c>
      <c r="PH35">
        <f>IF(ROW()-3&gt;MAX($PG$4:$PG$40),"",INDEX($EO$4:$EO$40,MATCH(ROW()-3,$PG$4:$PG$40,0)))</f>
        <v/>
      </c>
      <c r="PI35">
        <f>IF(COUNTIF('Buyer Groups'!DG35:EG35,0)+COUNTIF('Buyer Groups'!EI35:EN35,0)&gt;0,0,1)</f>
        <v/>
      </c>
      <c r="PJ35">
        <f>IF($ET$35="",FALSE,SUMPRODUCT(('Final Calculation Sheet'!$AB$4:$AB$40=$ET$35)*($PI$6:$PI$42=1))&gt;0)</f>
        <v/>
      </c>
      <c r="PK35">
        <f>$PK$34+--($PJ35)</f>
        <v/>
      </c>
      <c r="PL35">
        <f>IF(ROW()-3&gt;MAX($PK$4:$PK$40),"",INDEX($ET$4:$ET$40,MATCH(ROW()-3,$PK$4:$PK$40,0)))</f>
        <v/>
      </c>
      <c r="PM35">
        <f>IF(COUNTIF('Buyer Groups'!DG35:EH35,0)+COUNTIF('Buyer Groups'!EJ35:EN35,0)&gt;0,0,1)</f>
        <v/>
      </c>
      <c r="PN35">
        <f>IF($EY$35="",FALSE,SUMPRODUCT(('Final Calculation Sheet'!$AC$4:$AC$40=$EY$35)*($PM$6:$PM$42=1))&gt;0)</f>
        <v/>
      </c>
      <c r="PO35">
        <f>$PO$34+--($PN35)</f>
        <v/>
      </c>
      <c r="PP35">
        <f>IF(ROW()-3&gt;MAX($PO$4:$PO$40),"",INDEX($EY$4:$EY$40,MATCH(ROW()-3,$PO$4:$PO$40,0)))</f>
        <v/>
      </c>
      <c r="PQ35">
        <f>IF(COUNTIF('Buyer Groups'!DG35:EI35,0)+COUNTIF('Buyer Groups'!EK35:EN35,0)&gt;0,0,1)</f>
        <v/>
      </c>
      <c r="PR35">
        <f>IF($FD$35="",FALSE,SUMPRODUCT(('Final Calculation Sheet'!$AD$4:$AD$40=$FD$35)*($PQ$6:$PQ$42=1))&gt;0)</f>
        <v/>
      </c>
      <c r="PS35">
        <f>$PS$34+--($PR35)</f>
        <v/>
      </c>
      <c r="PT35">
        <f>IF(ROW()-3&gt;MAX($PS$4:$PS$40),"",INDEX($FD$4:$FD$40,MATCH(ROW()-3,$PS$4:$PS$40,0)))</f>
        <v/>
      </c>
      <c r="PU35">
        <f>IF(COUNTIF('Buyer Groups'!DG35:EJ35,0)+COUNTIF('Buyer Groups'!EL35:EN35,0)&gt;0,0,1)</f>
        <v/>
      </c>
      <c r="PV35">
        <f>IF($FX$35="",FALSE,SUMPRODUCT((IF('Final Calculation Sheet'!$AD$4:$AD$40&lt;=5,"SETTLED","OUTSTANDING")=$FX$35)*($PU$6:$PU$42=1))&gt;0)</f>
        <v/>
      </c>
      <c r="PW35">
        <f>$PW$34+--($PV35)</f>
        <v/>
      </c>
      <c r="PX35">
        <f>IF(ROW()-3&gt;MAX($PW$4:$PW$40),"",INDEX($FX$4:$FX$40,MATCH(ROW()-3,$PW$4:$PW$40,0)))</f>
        <v/>
      </c>
      <c r="PY35">
        <f>IF(COUNTIF('Buyer Groups'!DG35:EK35,0)+COUNTIF('Buyer Groups'!EM35:EN35,0)&gt;0,0,1)</f>
        <v/>
      </c>
      <c r="PZ35">
        <f>IF($FI$35="",FALSE,SUMPRODUCT(('Final Calculation Sheet'!$AF$4:$AF$40=$FI$35)*($PY$6:$PY$42=1))&gt;0)</f>
        <v/>
      </c>
      <c r="QA35">
        <f>$QA$34+--($PZ35)</f>
        <v/>
      </c>
      <c r="QB35">
        <f>IF(ROW()-3&gt;MAX($QA$4:$QA$40),"",INDEX($FI$4:$FI$40,MATCH(ROW()-3,$QA$4:$QA$40,0)))</f>
        <v/>
      </c>
      <c r="QC35">
        <f>IF(COUNTIF('Buyer Groups'!DG35:EL35,0)+COUNTIF('Buyer Groups'!EN35:EN35,0)&gt;0,0,1)</f>
        <v/>
      </c>
      <c r="QD35">
        <f>IF($FN$35="",FALSE,SUMPRODUCT(('Final Calculation Sheet'!$AG$4:$AG$40=$FN$35)*($QC$6:$QC$42=1))&gt;0)</f>
        <v/>
      </c>
      <c r="QE35">
        <f>$QE$34+--($QD35)</f>
        <v/>
      </c>
      <c r="QF35">
        <f>IF(ROW()-3&gt;MAX($QE$4:$QE$40),"",INDEX($FN$4:$FN$40,MATCH(ROW()-3,$QE$4:$QE$40,0)))</f>
        <v/>
      </c>
      <c r="QG35">
        <f>IF(COUNTIF('Buyer Groups'!DG35:EM35,0)&gt;0,0,1)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Groups'!DH36:EN36,0)&gt;0,0,1)</f>
        <v/>
      </c>
      <c r="LF36">
        <f>IF($O$36="",FALSE,SUMPRODUCT(('Final Calculation Sheet'!$F$4:$F$40=$O$36)*($LE$6:$LE$42=1))&gt;0)</f>
        <v/>
      </c>
      <c r="LG36">
        <f>$LG$35+--($LF36)</f>
        <v/>
      </c>
      <c r="LH36">
        <f>IF(ROW()-3&gt;MAX($LG$4:$LG$40),"",INDEX($O$4:$O$40,MATCH(ROW()-3,$LG$4:$LG$40,0)))</f>
        <v/>
      </c>
      <c r="LI36">
        <f>IF(COUNTIF('Buyer Groups'!DG36:DG36,0)+COUNTIF('Buyer Groups'!DI36:EN36,0)&gt;0,0,1)</f>
        <v/>
      </c>
      <c r="LJ36">
        <f>IF($T$36="",FALSE,SUMPRODUCT(('Final Calculation Sheet'!$G$4:$G$40=$T$36)*($LI$6:$LI$42=1))&gt;0)</f>
        <v/>
      </c>
      <c r="LK36">
        <f>$LK$35+--($LJ36)</f>
        <v/>
      </c>
      <c r="LL36">
        <f>IF(ROW()-3&gt;MAX($LK$4:$LK$40),"",INDEX($T$4:$T$40,MATCH(ROW()-3,$LK$4:$LK$40,0)))</f>
        <v/>
      </c>
      <c r="LM36">
        <f>IF(COUNTIF('Buyer Groups'!DG36:DH36,0)+COUNTIF('Buyer Groups'!DJ36:EN36,0)&gt;0,0,1)</f>
        <v/>
      </c>
      <c r="LN36">
        <f>IF($Y$36="",FALSE,SUMPRODUCT(('Final Calculation Sheet'!$B$4:$B$40=$Y$36)*($LM$6:$LM$42=1))&gt;0)</f>
        <v/>
      </c>
      <c r="LO36">
        <f>$LO$35+--($LN36)</f>
        <v/>
      </c>
      <c r="LP36">
        <f>IF(ROW()-3&gt;MAX($LO$4:$LO$40),"",INDEX($Y$4:$Y$40,MATCH(ROW()-3,$LO$4:$LO$40,0)))</f>
        <v/>
      </c>
      <c r="LQ36">
        <f>IF(COUNTIF('Buyer Groups'!DG36:DI36,0)+COUNTIF('Buyer Groups'!DK36:EN36,0)&gt;0,0,1)</f>
        <v/>
      </c>
      <c r="LR36">
        <f>IF($AD$36="",FALSE,SUMPRODUCT(('Final Calculation Sheet'!$D$4:$D$40=$AD$36)*($LQ$6:$LQ$42=1))&gt;0)</f>
        <v/>
      </c>
      <c r="LS36">
        <f>$LS$35+--($LR36)</f>
        <v/>
      </c>
      <c r="LT36">
        <f>IF(ROW()-3&gt;MAX($LS$4:$LS$40),"",INDEX($AD$4:$AD$40,MATCH(ROW()-3,$LS$4:$LS$40,0)))</f>
        <v/>
      </c>
      <c r="LU36">
        <f>IF(COUNTIF('Buyer Groups'!DG36:DJ36,0)+COUNTIF('Buyer Groups'!DL36:EN36,0)&gt;0,0,1)</f>
        <v/>
      </c>
      <c r="LV36">
        <f>IF($AI$36="",FALSE,SUMPRODUCT(('Final Calculation Sheet'!$A$4:$A$40=$AI$36)*($LU$6:$LU$42=1))&gt;0)</f>
        <v/>
      </c>
      <c r="LW36">
        <f>$LW$35+--($LV36)</f>
        <v/>
      </c>
      <c r="LX36">
        <f>IF(ROW()-3&gt;MAX($LW$4:$LW$40),"",INDEX($AI$4:$AI$40,MATCH(ROW()-3,$LW$4:$LW$40,0)))</f>
        <v/>
      </c>
      <c r="LY36">
        <f>IF(COUNTIF('Buyer Groups'!DG36:DK36,0)+COUNTIF('Buyer Groups'!DM36:EN36,0)&gt;0,0,1)</f>
        <v/>
      </c>
      <c r="LZ36">
        <f>IF($AN$36="",FALSE,SUMPRODUCT(('Final Calculation Sheet'!$E$4:$E$40=$AN$36)*($LY$6:$LY$42=1))&gt;0)</f>
        <v/>
      </c>
      <c r="MA36">
        <f>$MA$35+--($LZ36)</f>
        <v/>
      </c>
      <c r="MB36">
        <f>IF(ROW()-3&gt;MAX($MA$4:$MA$40),"",INDEX($AN$4:$AN$40,MATCH(ROW()-3,$MA$4:$MA$40,0)))</f>
        <v/>
      </c>
      <c r="MC36">
        <f>IF(COUNTIF('Buyer Groups'!DG36:DL36,0)+COUNTIF('Buyer Groups'!DN36:EN36,0)&gt;0,0,1)</f>
        <v/>
      </c>
      <c r="MD36">
        <f>IF($AS$36="",FALSE,SUMPRODUCT(('Final Calculation Sheet'!$C$4:$C$40=$AS$36)*($MC$6:$MC$42=1))&gt;0)</f>
        <v/>
      </c>
      <c r="ME36">
        <f>$ME$35+--($MD36)</f>
        <v/>
      </c>
      <c r="MF36">
        <f>IF(ROW()-3&gt;MAX($ME$4:$ME$40),"",INDEX($AS$4:$AS$40,MATCH(ROW()-3,$ME$4:$ME$40,0)))</f>
        <v/>
      </c>
      <c r="MG36">
        <f>IF(COUNTIF('Buyer Groups'!DG36:DM36,0)+COUNTIF('Buyer Groups'!DO36:EN36,0)&gt;0,0,1)</f>
        <v/>
      </c>
      <c r="MH36">
        <f>IF($AX$36="",FALSE,SUMPRODUCT(('Final Calculation Sheet'!$H$4:$H$40=$AX$36)*($MG$6:$MG$42=1))&gt;0)</f>
        <v/>
      </c>
      <c r="MI36">
        <f>$MI$35+--($MH36)</f>
        <v/>
      </c>
      <c r="MJ36">
        <f>IF(ROW()-3&gt;MAX($MI$4:$MI$40),"",INDEX($AX$4:$AX$40,MATCH(ROW()-3,$MI$4:$MI$40,0)))</f>
        <v/>
      </c>
      <c r="MK36">
        <f>IF(COUNTIF('Buyer Groups'!DG36:DN36,0)+COUNTIF('Buyer Groups'!DP36:EN36,0)&gt;0,0,1)</f>
        <v/>
      </c>
      <c r="ML36">
        <f>IF($BC$36="",FALSE,SUMPRODUCT(('Final Calculation Sheet'!$I$4:$I$40=$BC$36)*($MK$6:$MK$42=1))&gt;0)</f>
        <v/>
      </c>
      <c r="MM36">
        <f>$MM$35+--($ML36)</f>
        <v/>
      </c>
      <c r="MN36">
        <f>IF(ROW()-3&gt;MAX($MM$4:$MM$40),"",INDEX($BC$4:$BC$40,MATCH(ROW()-3,$MM$4:$MM$40,0)))</f>
        <v/>
      </c>
      <c r="MO36">
        <f>IF(COUNTIF('Buyer Groups'!DG36:DO36,0)+COUNTIF('Buyer Groups'!DQ36:EN36,0)&gt;0,0,1)</f>
        <v/>
      </c>
      <c r="MP36">
        <f>IF($BH$36="",FALSE,SUMPRODUCT(('Final Calculation Sheet'!$J$4:$J$40=$BH$36)*($MO$6:$MO$42=1))&gt;0)</f>
        <v/>
      </c>
      <c r="MQ36">
        <f>$MQ$35+--($MP36)</f>
        <v/>
      </c>
      <c r="MR36">
        <f>IF(ROW()-3&gt;MAX($MQ$4:$MQ$40),"",INDEX($BH$4:$BH$40,MATCH(ROW()-3,$MQ$4:$MQ$40,0)))</f>
        <v/>
      </c>
      <c r="MS36">
        <f>IF(COUNTIF('Buyer Groups'!DG36:DP36,0)+COUNTIF('Buyer Groups'!DR36:EN36,0)&gt;0,0,1)</f>
        <v/>
      </c>
      <c r="MT36">
        <f>IF($BM$36="",FALSE,SUMPRODUCT(('Final Calculation Sheet'!$K$4:$K$40=$BM$36)*($MS$6:$MS$42=1))&gt;0)</f>
        <v/>
      </c>
      <c r="MU36">
        <f>$MU$35+--($MT36)</f>
        <v/>
      </c>
      <c r="MV36">
        <f>IF(ROW()-3&gt;MAX($MU$4:$MU$40),"",INDEX($BM$4:$BM$40,MATCH(ROW()-3,$MU$4:$MU$40,0)))</f>
        <v/>
      </c>
      <c r="MW36">
        <f>IF(COUNTIF('Buyer Groups'!DG36:DQ36,0)+COUNTIF('Buyer Groups'!DS36:EN36,0)&gt;0,0,1)</f>
        <v/>
      </c>
      <c r="MX36">
        <f>IF($BR$36="",FALSE,SUMPRODUCT(('Final Calculation Sheet'!$L$4:$L$40=$BR$36)*($MW$6:$MW$42=1))&gt;0)</f>
        <v/>
      </c>
      <c r="MY36">
        <f>$MY$35+--($MX36)</f>
        <v/>
      </c>
      <c r="MZ36">
        <f>IF(ROW()-3&gt;MAX($MY$4:$MY$40),"",INDEX($BR$4:$BR$40,MATCH(ROW()-3,$MY$4:$MY$40,0)))</f>
        <v/>
      </c>
      <c r="NA36">
        <f>IF(COUNTIF('Buyer Groups'!DG36:DR36,0)+COUNTIF('Buyer Groups'!DT36:EN36,0)&gt;0,0,1)</f>
        <v/>
      </c>
      <c r="NB36">
        <f>IF($BW$36="",FALSE,SUMPRODUCT(('Final Calculation Sheet'!$M$4:$M$40=$BW$36)*($NA$6:$NA$42=1))&gt;0)</f>
        <v/>
      </c>
      <c r="NC36">
        <f>$NC$35+--($NB36)</f>
        <v/>
      </c>
      <c r="ND36">
        <f>IF(ROW()-3&gt;MAX($NC$4:$NC$40),"",INDEX($BW$4:$BW$40,MATCH(ROW()-3,$NC$4:$NC$40,0)))</f>
        <v/>
      </c>
      <c r="NE36">
        <f>IF(COUNTIF('Buyer Groups'!DG36:DS36,0)+COUNTIF('Buyer Groups'!DU36:EN36,0)&gt;0,0,1)</f>
        <v/>
      </c>
      <c r="NF36">
        <f>IF($CB$36="",FALSE,SUMPRODUCT(('Final Calculation Sheet'!$N$4:$N$40=$CB$36)*($NE$6:$NE$42=1))&gt;0)</f>
        <v/>
      </c>
      <c r="NG36">
        <f>$NG$35+--($NF36)</f>
        <v/>
      </c>
      <c r="NH36">
        <f>IF(ROW()-3&gt;MAX($NG$4:$NG$40),"",INDEX($CB$4:$CB$40,MATCH(ROW()-3,$NG$4:$NG$40,0)))</f>
        <v/>
      </c>
      <c r="NI36">
        <f>IF(COUNTIF('Buyer Groups'!DG36:DT36,0)+COUNTIF('Buyer Groups'!DV36:EN36,0)&gt;0,0,1)</f>
        <v/>
      </c>
      <c r="NJ36">
        <f>IF($CG$36="",FALSE,SUMPRODUCT(('Final Calculation Sheet'!$O$4:$O$40=$CG$36)*($NI$6:$NI$42=1))&gt;0)</f>
        <v/>
      </c>
      <c r="NK36">
        <f>$NK$35+--($NJ36)</f>
        <v/>
      </c>
      <c r="NL36">
        <f>IF(ROW()-3&gt;MAX($NK$4:$NK$40),"",INDEX($CG$4:$CG$40,MATCH(ROW()-3,$NK$4:$NK$40,0)))</f>
        <v/>
      </c>
      <c r="NM36">
        <f>IF(COUNTIF('Buyer Groups'!DG36:DU36,0)+COUNTIF('Buyer Groups'!DW36:EN36,0)&gt;0,0,1)</f>
        <v/>
      </c>
      <c r="NN36">
        <f>IF($CL$36="",FALSE,SUMPRODUCT(('Final Calculation Sheet'!$P$4:$P$40=$CL$36)*($NM$6:$NM$42=1))&gt;0)</f>
        <v/>
      </c>
      <c r="NO36">
        <f>$NO$35+--($NN36)</f>
        <v/>
      </c>
      <c r="NP36">
        <f>IF(ROW()-3&gt;MAX($NO$4:$NO$40),"",INDEX($CL$4:$CL$40,MATCH(ROW()-3,$NO$4:$NO$40,0)))</f>
        <v/>
      </c>
      <c r="NQ36">
        <f>IF(COUNTIF('Buyer Groups'!DG36:DV36,0)+COUNTIF('Buyer Groups'!DX36:EN36,0)&gt;0,0,1)</f>
        <v/>
      </c>
      <c r="NR36">
        <f>IF($CQ$36="",FALSE,SUMPRODUCT(('Final Calculation Sheet'!$Q$4:$Q$40=$CQ$36)*($NQ$6:$NQ$42=1))&gt;0)</f>
        <v/>
      </c>
      <c r="NS36">
        <f>$NS$35+--($NR36)</f>
        <v/>
      </c>
      <c r="NT36">
        <f>IF(ROW()-3&gt;MAX($NS$4:$NS$40),"",INDEX($CQ$4:$CQ$40,MATCH(ROW()-3,$NS$4:$NS$40,0)))</f>
        <v/>
      </c>
      <c r="NU36">
        <f>IF(COUNTIF('Buyer Groups'!DG36:DW36,0)+COUNTIF('Buyer Groups'!DY36:EN36,0)&gt;0,0,1)</f>
        <v/>
      </c>
      <c r="NV36">
        <f>IF($CV$36="",FALSE,SUMPRODUCT(('Final Calculation Sheet'!$R$4:$R$40=$CV$36)*($NU$6:$NU$42=1))&gt;0)</f>
        <v/>
      </c>
      <c r="NW36">
        <f>$NW$35+--($NV36)</f>
        <v/>
      </c>
      <c r="NX36">
        <f>IF(ROW()-3&gt;MAX($NW$4:$NW$40),"",INDEX($CV$4:$CV$40,MATCH(ROW()-3,$NW$4:$NW$40,0)))</f>
        <v/>
      </c>
      <c r="NY36">
        <f>IF(COUNTIF('Buyer Groups'!DG36:DX36,0)+COUNTIF('Buyer Groups'!DZ36:EN36,0)&gt;0,0,1)</f>
        <v/>
      </c>
      <c r="NZ36">
        <f>IF($DA$36="",FALSE,SUMPRODUCT(('Final Calculation Sheet'!$S$4:$S$40=$DA$36)*($NY$6:$NY$42=1))&gt;0)</f>
        <v/>
      </c>
      <c r="OA36">
        <f>$OA$35+--($NZ36)</f>
        <v/>
      </c>
      <c r="OB36">
        <f>IF(ROW()-3&gt;MAX($OA$4:$OA$40),"",INDEX($DA$4:$DA$40,MATCH(ROW()-3,$OA$4:$OA$40,0)))</f>
        <v/>
      </c>
      <c r="OC36">
        <f>IF(COUNTIF('Buyer Groups'!DG36:DY36,0)+COUNTIF('Buyer Groups'!EA36:EN36,0)&gt;0,0,1)</f>
        <v/>
      </c>
      <c r="OD36">
        <f>IF($DF$36="",FALSE,SUMPRODUCT(('Final Calculation Sheet'!$T$4:$T$40=$DF$36)*($OC$6:$OC$42=1))&gt;0)</f>
        <v/>
      </c>
      <c r="OE36">
        <f>$OE$35+--($OD36)</f>
        <v/>
      </c>
      <c r="OF36">
        <f>IF(ROW()-3&gt;MAX($OE$4:$OE$40),"",INDEX($DF$4:$DF$40,MATCH(ROW()-3,$OE$4:$OE$40,0)))</f>
        <v/>
      </c>
      <c r="OG36">
        <f>IF(COUNTIF('Buyer Groups'!DG36:DZ36,0)+COUNTIF('Buyer Groups'!EB36:EN36,0)&gt;0,0,1)</f>
        <v/>
      </c>
      <c r="OH36">
        <f>IF($DK$36="",FALSE,SUMPRODUCT(('Final Calculation Sheet'!$U$4:$U$40=$DK$36)*($OG$6:$OG$42=1))&gt;0)</f>
        <v/>
      </c>
      <c r="OI36">
        <f>$OI$35+--($OH36)</f>
        <v/>
      </c>
      <c r="OJ36">
        <f>IF(ROW()-3&gt;MAX($OI$4:$OI$40),"",INDEX($DK$4:$DK$40,MATCH(ROW()-3,$OI$4:$OI$40,0)))</f>
        <v/>
      </c>
      <c r="OK36">
        <f>IF(COUNTIF('Buyer Groups'!DG36:EA36,0)+COUNTIF('Buyer Groups'!EC36:EN36,0)&gt;0,0,1)</f>
        <v/>
      </c>
      <c r="OL36">
        <f>IF($DP$36="",FALSE,SUMPRODUCT(('Final Calculation Sheet'!$V$4:$V$40=$DP$36)*($OK$6:$OK$42=1))&gt;0)</f>
        <v/>
      </c>
      <c r="OM36">
        <f>$OM$35+--($OL36)</f>
        <v/>
      </c>
      <c r="ON36">
        <f>IF(ROW()-3&gt;MAX($OM$4:$OM$40),"",INDEX($DP$4:$DP$40,MATCH(ROW()-3,$OM$4:$OM$40,0)))</f>
        <v/>
      </c>
      <c r="OO36">
        <f>IF(COUNTIF('Buyer Groups'!DG36:EB36,0)+COUNTIF('Buyer Groups'!ED36:EN36,0)&gt;0,0,1)</f>
        <v/>
      </c>
      <c r="OP36">
        <f>IF($DU$36="",FALSE,SUMPRODUCT(('Final Calculation Sheet'!$W$4:$W$40=$DU$36)*($OO$6:$OO$42=1))&gt;0)</f>
        <v/>
      </c>
      <c r="OQ36">
        <f>$OQ$35+--($OP36)</f>
        <v/>
      </c>
      <c r="OR36">
        <f>IF(ROW()-3&gt;MAX($OQ$4:$OQ$40),"",INDEX($DU$4:$DU$40,MATCH(ROW()-3,$OQ$4:$OQ$40,0)))</f>
        <v/>
      </c>
      <c r="OS36">
        <f>IF(COUNTIF('Buyer Groups'!DG36:EC36,0)+COUNTIF('Buyer Groups'!EE36:EN36,0)&gt;0,0,1)</f>
        <v/>
      </c>
      <c r="OT36">
        <f>IF($DZ$36="",FALSE,SUMPRODUCT(('Final Calculation Sheet'!$X$4:$X$40=$DZ$36)*($OS$6:$OS$42=1))&gt;0)</f>
        <v/>
      </c>
      <c r="OU36">
        <f>$OU$35+--($OT36)</f>
        <v/>
      </c>
      <c r="OV36">
        <f>IF(ROW()-3&gt;MAX($OU$4:$OU$40),"",INDEX($DZ$4:$DZ$40,MATCH(ROW()-3,$OU$4:$OU$40,0)))</f>
        <v/>
      </c>
      <c r="OW36">
        <f>IF(COUNTIF('Buyer Groups'!DG36:ED36,0)+COUNTIF('Buyer Groups'!EF36:EN36,0)&gt;0,0,1)</f>
        <v/>
      </c>
      <c r="OX36">
        <f>IF($EE$36="",FALSE,SUMPRODUCT(('Final Calculation Sheet'!$Y$4:$Y$40=$EE$36)*($OW$6:$OW$42=1))&gt;0)</f>
        <v/>
      </c>
      <c r="OY36">
        <f>$OY$35+--($OX36)</f>
        <v/>
      </c>
      <c r="OZ36">
        <f>IF(ROW()-3&gt;MAX($OY$4:$OY$40),"",INDEX($EE$4:$EE$40,MATCH(ROW()-3,$OY$4:$OY$40,0)))</f>
        <v/>
      </c>
      <c r="PA36">
        <f>IF(COUNTIF('Buyer Groups'!DG36:EE36,0)+COUNTIF('Buyer Groups'!EG36:EN36,0)&gt;0,0,1)</f>
        <v/>
      </c>
      <c r="PB36">
        <f>IF($EJ$36="",FALSE,SUMPRODUCT(('Final Calculation Sheet'!$Z$4:$Z$40=$EJ$36)*($PA$6:$PA$42=1))&gt;0)</f>
        <v/>
      </c>
      <c r="PC36">
        <f>$PC$35+--($PB36)</f>
        <v/>
      </c>
      <c r="PD36">
        <f>IF(ROW()-3&gt;MAX($PC$4:$PC$40),"",INDEX($EJ$4:$EJ$40,MATCH(ROW()-3,$PC$4:$PC$40,0)))</f>
        <v/>
      </c>
      <c r="PE36">
        <f>IF(COUNTIF('Buyer Groups'!DG36:EF36,0)+COUNTIF('Buyer Groups'!EH36:EN36,0)&gt;0,0,1)</f>
        <v/>
      </c>
      <c r="PF36">
        <f>IF($EO$36="",FALSE,SUMPRODUCT(('Final Calculation Sheet'!$AA$4:$AA$40=$EO$36)*($PE$6:$PE$42=1))&gt;0)</f>
        <v/>
      </c>
      <c r="PG36">
        <f>$PG$35+--($PF36)</f>
        <v/>
      </c>
      <c r="PH36">
        <f>IF(ROW()-3&gt;MAX($PG$4:$PG$40),"",INDEX($EO$4:$EO$40,MATCH(ROW()-3,$PG$4:$PG$40,0)))</f>
        <v/>
      </c>
      <c r="PI36">
        <f>IF(COUNTIF('Buyer Groups'!DG36:EG36,0)+COUNTIF('Buyer Groups'!EI36:EN36,0)&gt;0,0,1)</f>
        <v/>
      </c>
      <c r="PJ36">
        <f>IF($ET$36="",FALSE,SUMPRODUCT(('Final Calculation Sheet'!$AB$4:$AB$40=$ET$36)*($PI$6:$PI$42=1))&gt;0)</f>
        <v/>
      </c>
      <c r="PK36">
        <f>$PK$35+--($PJ36)</f>
        <v/>
      </c>
      <c r="PL36">
        <f>IF(ROW()-3&gt;MAX($PK$4:$PK$40),"",INDEX($ET$4:$ET$40,MATCH(ROW()-3,$PK$4:$PK$40,0)))</f>
        <v/>
      </c>
      <c r="PM36">
        <f>IF(COUNTIF('Buyer Groups'!DG36:EH36,0)+COUNTIF('Buyer Groups'!EJ36:EN36,0)&gt;0,0,1)</f>
        <v/>
      </c>
      <c r="PN36">
        <f>IF($EY$36="",FALSE,SUMPRODUCT(('Final Calculation Sheet'!$AC$4:$AC$40=$EY$36)*($PM$6:$PM$42=1))&gt;0)</f>
        <v/>
      </c>
      <c r="PO36">
        <f>$PO$35+--($PN36)</f>
        <v/>
      </c>
      <c r="PP36">
        <f>IF(ROW()-3&gt;MAX($PO$4:$PO$40),"",INDEX($EY$4:$EY$40,MATCH(ROW()-3,$PO$4:$PO$40,0)))</f>
        <v/>
      </c>
      <c r="PQ36">
        <f>IF(COUNTIF('Buyer Groups'!DG36:EI36,0)+COUNTIF('Buyer Groups'!EK36:EN36,0)&gt;0,0,1)</f>
        <v/>
      </c>
      <c r="PR36">
        <f>IF($FD$36="",FALSE,SUMPRODUCT(('Final Calculation Sheet'!$AD$4:$AD$40=$FD$36)*($PQ$6:$PQ$42=1))&gt;0)</f>
        <v/>
      </c>
      <c r="PS36">
        <f>$PS$35+--($PR36)</f>
        <v/>
      </c>
      <c r="PT36">
        <f>IF(ROW()-3&gt;MAX($PS$4:$PS$40),"",INDEX($FD$4:$FD$40,MATCH(ROW()-3,$PS$4:$PS$40,0)))</f>
        <v/>
      </c>
      <c r="PU36">
        <f>IF(COUNTIF('Buyer Groups'!DG36:EJ36,0)+COUNTIF('Buyer Groups'!EL36:EN36,0)&gt;0,0,1)</f>
        <v/>
      </c>
      <c r="PV36">
        <f>IF($FX$36="",FALSE,SUMPRODUCT((IF('Final Calculation Sheet'!$AD$4:$AD$40&lt;=5,"SETTLED","OUTSTANDING")=$FX$36)*($PU$6:$PU$42=1))&gt;0)</f>
        <v/>
      </c>
      <c r="PW36">
        <f>$PW$35+--($PV36)</f>
        <v/>
      </c>
      <c r="PX36">
        <f>IF(ROW()-3&gt;MAX($PW$4:$PW$40),"",INDEX($FX$4:$FX$40,MATCH(ROW()-3,$PW$4:$PW$40,0)))</f>
        <v/>
      </c>
      <c r="PY36">
        <f>IF(COUNTIF('Buyer Groups'!DG36:EK36,0)+COUNTIF('Buyer Groups'!EM36:EN36,0)&gt;0,0,1)</f>
        <v/>
      </c>
      <c r="PZ36">
        <f>IF($FI$36="",FALSE,SUMPRODUCT(('Final Calculation Sheet'!$AF$4:$AF$40=$FI$36)*($PY$6:$PY$42=1))&gt;0)</f>
        <v/>
      </c>
      <c r="QA36">
        <f>$QA$35+--($PZ36)</f>
        <v/>
      </c>
      <c r="QB36">
        <f>IF(ROW()-3&gt;MAX($QA$4:$QA$40),"",INDEX($FI$4:$FI$40,MATCH(ROW()-3,$QA$4:$QA$40,0)))</f>
        <v/>
      </c>
      <c r="QC36">
        <f>IF(COUNTIF('Buyer Groups'!DG36:EL36,0)+COUNTIF('Buyer Groups'!EN36:EN36,0)&gt;0,0,1)</f>
        <v/>
      </c>
      <c r="QD36">
        <f>IF($FN$36="",FALSE,SUMPRODUCT(('Final Calculation Sheet'!$AG$4:$AG$40=$FN$36)*($QC$6:$QC$42=1))&gt;0)</f>
        <v/>
      </c>
      <c r="QE36">
        <f>$QE$35+--($QD36)</f>
        <v/>
      </c>
      <c r="QF36">
        <f>IF(ROW()-3&gt;MAX($QE$4:$QE$40),"",INDEX($FN$4:$FN$40,MATCH(ROW()-3,$QE$4:$QE$40,0)))</f>
        <v/>
      </c>
      <c r="QG36">
        <f>IF(COUNTIF('Buyer Groups'!DG36:EM36,0)&gt;0,0,1)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Groups'!DH37:EN37,0)&gt;0,0,1)</f>
        <v/>
      </c>
      <c r="LF37">
        <f>IF($O$37="",FALSE,SUMPRODUCT(('Final Calculation Sheet'!$F$4:$F$40=$O$37)*($LE$6:$LE$42=1))&gt;0)</f>
        <v/>
      </c>
      <c r="LG37">
        <f>$LG$36+--($LF37)</f>
        <v/>
      </c>
      <c r="LH37">
        <f>IF(ROW()-3&gt;MAX($LG$4:$LG$40),"",INDEX($O$4:$O$40,MATCH(ROW()-3,$LG$4:$LG$40,0)))</f>
        <v/>
      </c>
      <c r="LI37">
        <f>IF(COUNTIF('Buyer Groups'!DG37:DG37,0)+COUNTIF('Buyer Groups'!DI37:EN37,0)&gt;0,0,1)</f>
        <v/>
      </c>
      <c r="LJ37">
        <f>IF($T$37="",FALSE,SUMPRODUCT(('Final Calculation Sheet'!$G$4:$G$40=$T$37)*($LI$6:$LI$42=1))&gt;0)</f>
        <v/>
      </c>
      <c r="LK37">
        <f>$LK$36+--($LJ37)</f>
        <v/>
      </c>
      <c r="LL37">
        <f>IF(ROW()-3&gt;MAX($LK$4:$LK$40),"",INDEX($T$4:$T$40,MATCH(ROW()-3,$LK$4:$LK$40,0)))</f>
        <v/>
      </c>
      <c r="LM37">
        <f>IF(COUNTIF('Buyer Groups'!DG37:DH37,0)+COUNTIF('Buyer Groups'!DJ37:EN37,0)&gt;0,0,1)</f>
        <v/>
      </c>
      <c r="LN37">
        <f>IF($Y$37="",FALSE,SUMPRODUCT(('Final Calculation Sheet'!$B$4:$B$40=$Y$37)*($LM$6:$LM$42=1))&gt;0)</f>
        <v/>
      </c>
      <c r="LO37">
        <f>$LO$36+--($LN37)</f>
        <v/>
      </c>
      <c r="LP37">
        <f>IF(ROW()-3&gt;MAX($LO$4:$LO$40),"",INDEX($Y$4:$Y$40,MATCH(ROW()-3,$LO$4:$LO$40,0)))</f>
        <v/>
      </c>
      <c r="LQ37">
        <f>IF(COUNTIF('Buyer Groups'!DG37:DI37,0)+COUNTIF('Buyer Groups'!DK37:EN37,0)&gt;0,0,1)</f>
        <v/>
      </c>
      <c r="LR37">
        <f>IF($AD$37="",FALSE,SUMPRODUCT(('Final Calculation Sheet'!$D$4:$D$40=$AD$37)*($LQ$6:$LQ$42=1))&gt;0)</f>
        <v/>
      </c>
      <c r="LS37">
        <f>$LS$36+--($LR37)</f>
        <v/>
      </c>
      <c r="LT37">
        <f>IF(ROW()-3&gt;MAX($LS$4:$LS$40),"",INDEX($AD$4:$AD$40,MATCH(ROW()-3,$LS$4:$LS$40,0)))</f>
        <v/>
      </c>
      <c r="LU37">
        <f>IF(COUNTIF('Buyer Groups'!DG37:DJ37,0)+COUNTIF('Buyer Groups'!DL37:EN37,0)&gt;0,0,1)</f>
        <v/>
      </c>
      <c r="LV37">
        <f>IF($AI$37="",FALSE,SUMPRODUCT(('Final Calculation Sheet'!$A$4:$A$40=$AI$37)*($LU$6:$LU$42=1))&gt;0)</f>
        <v/>
      </c>
      <c r="LW37">
        <f>$LW$36+--($LV37)</f>
        <v/>
      </c>
      <c r="LX37">
        <f>IF(ROW()-3&gt;MAX($LW$4:$LW$40),"",INDEX($AI$4:$AI$40,MATCH(ROW()-3,$LW$4:$LW$40,0)))</f>
        <v/>
      </c>
      <c r="LY37">
        <f>IF(COUNTIF('Buyer Groups'!DG37:DK37,0)+COUNTIF('Buyer Groups'!DM37:EN37,0)&gt;0,0,1)</f>
        <v/>
      </c>
      <c r="LZ37">
        <f>IF($AN$37="",FALSE,SUMPRODUCT(('Final Calculation Sheet'!$E$4:$E$40=$AN$37)*($LY$6:$LY$42=1))&gt;0)</f>
        <v/>
      </c>
      <c r="MA37">
        <f>$MA$36+--($LZ37)</f>
        <v/>
      </c>
      <c r="MB37">
        <f>IF(ROW()-3&gt;MAX($MA$4:$MA$40),"",INDEX($AN$4:$AN$40,MATCH(ROW()-3,$MA$4:$MA$40,0)))</f>
        <v/>
      </c>
      <c r="MC37">
        <f>IF(COUNTIF('Buyer Groups'!DG37:DL37,0)+COUNTIF('Buyer Groups'!DN37:EN37,0)&gt;0,0,1)</f>
        <v/>
      </c>
      <c r="MD37">
        <f>IF($AS$37="",FALSE,SUMPRODUCT(('Final Calculation Sheet'!$C$4:$C$40=$AS$37)*($MC$6:$MC$42=1))&gt;0)</f>
        <v/>
      </c>
      <c r="ME37">
        <f>$ME$36+--($MD37)</f>
        <v/>
      </c>
      <c r="MF37">
        <f>IF(ROW()-3&gt;MAX($ME$4:$ME$40),"",INDEX($AS$4:$AS$40,MATCH(ROW()-3,$ME$4:$ME$40,0)))</f>
        <v/>
      </c>
      <c r="MG37">
        <f>IF(COUNTIF('Buyer Groups'!DG37:DM37,0)+COUNTIF('Buyer Groups'!DO37:EN37,0)&gt;0,0,1)</f>
        <v/>
      </c>
      <c r="MH37">
        <f>IF($AX$37="",FALSE,SUMPRODUCT(('Final Calculation Sheet'!$H$4:$H$40=$AX$37)*($MG$6:$MG$42=1))&gt;0)</f>
        <v/>
      </c>
      <c r="MI37">
        <f>$MI$36+--($MH37)</f>
        <v/>
      </c>
      <c r="MJ37">
        <f>IF(ROW()-3&gt;MAX($MI$4:$MI$40),"",INDEX($AX$4:$AX$40,MATCH(ROW()-3,$MI$4:$MI$40,0)))</f>
        <v/>
      </c>
      <c r="MK37">
        <f>IF(COUNTIF('Buyer Groups'!DG37:DN37,0)+COUNTIF('Buyer Groups'!DP37:EN37,0)&gt;0,0,1)</f>
        <v/>
      </c>
      <c r="ML37">
        <f>IF($BC$37="",FALSE,SUMPRODUCT(('Final Calculation Sheet'!$I$4:$I$40=$BC$37)*($MK$6:$MK$42=1))&gt;0)</f>
        <v/>
      </c>
      <c r="MM37">
        <f>$MM$36+--($ML37)</f>
        <v/>
      </c>
      <c r="MN37">
        <f>IF(ROW()-3&gt;MAX($MM$4:$MM$40),"",INDEX($BC$4:$BC$40,MATCH(ROW()-3,$MM$4:$MM$40,0)))</f>
        <v/>
      </c>
      <c r="MO37">
        <f>IF(COUNTIF('Buyer Groups'!DG37:DO37,0)+COUNTIF('Buyer Groups'!DQ37:EN37,0)&gt;0,0,1)</f>
        <v/>
      </c>
      <c r="MP37">
        <f>IF($BH$37="",FALSE,SUMPRODUCT(('Final Calculation Sheet'!$J$4:$J$40=$BH$37)*($MO$6:$MO$42=1))&gt;0)</f>
        <v/>
      </c>
      <c r="MQ37">
        <f>$MQ$36+--($MP37)</f>
        <v/>
      </c>
      <c r="MR37">
        <f>IF(ROW()-3&gt;MAX($MQ$4:$MQ$40),"",INDEX($BH$4:$BH$40,MATCH(ROW()-3,$MQ$4:$MQ$40,0)))</f>
        <v/>
      </c>
      <c r="MS37">
        <f>IF(COUNTIF('Buyer Groups'!DG37:DP37,0)+COUNTIF('Buyer Groups'!DR37:EN37,0)&gt;0,0,1)</f>
        <v/>
      </c>
      <c r="MT37">
        <f>IF($BM$37="",FALSE,SUMPRODUCT(('Final Calculation Sheet'!$K$4:$K$40=$BM$37)*($MS$6:$MS$42=1))&gt;0)</f>
        <v/>
      </c>
      <c r="MU37">
        <f>$MU$36+--($MT37)</f>
        <v/>
      </c>
      <c r="MV37">
        <f>IF(ROW()-3&gt;MAX($MU$4:$MU$40),"",INDEX($BM$4:$BM$40,MATCH(ROW()-3,$MU$4:$MU$40,0)))</f>
        <v/>
      </c>
      <c r="MW37">
        <f>IF(COUNTIF('Buyer Groups'!DG37:DQ37,0)+COUNTIF('Buyer Groups'!DS37:EN37,0)&gt;0,0,1)</f>
        <v/>
      </c>
      <c r="MX37">
        <f>IF($BR$37="",FALSE,SUMPRODUCT(('Final Calculation Sheet'!$L$4:$L$40=$BR$37)*($MW$6:$MW$42=1))&gt;0)</f>
        <v/>
      </c>
      <c r="MY37">
        <f>$MY$36+--($MX37)</f>
        <v/>
      </c>
      <c r="MZ37">
        <f>IF(ROW()-3&gt;MAX($MY$4:$MY$40),"",INDEX($BR$4:$BR$40,MATCH(ROW()-3,$MY$4:$MY$40,0)))</f>
        <v/>
      </c>
      <c r="NA37">
        <f>IF(COUNTIF('Buyer Groups'!DG37:DR37,0)+COUNTIF('Buyer Groups'!DT37:EN37,0)&gt;0,0,1)</f>
        <v/>
      </c>
      <c r="NB37">
        <f>IF($BW$37="",FALSE,SUMPRODUCT(('Final Calculation Sheet'!$M$4:$M$40=$BW$37)*($NA$6:$NA$42=1))&gt;0)</f>
        <v/>
      </c>
      <c r="NC37">
        <f>$NC$36+--($NB37)</f>
        <v/>
      </c>
      <c r="ND37">
        <f>IF(ROW()-3&gt;MAX($NC$4:$NC$40),"",INDEX($BW$4:$BW$40,MATCH(ROW()-3,$NC$4:$NC$40,0)))</f>
        <v/>
      </c>
      <c r="NE37">
        <f>IF(COUNTIF('Buyer Groups'!DG37:DS37,0)+COUNTIF('Buyer Groups'!DU37:EN37,0)&gt;0,0,1)</f>
        <v/>
      </c>
      <c r="NF37">
        <f>IF($CB$37="",FALSE,SUMPRODUCT(('Final Calculation Sheet'!$N$4:$N$40=$CB$37)*($NE$6:$NE$42=1))&gt;0)</f>
        <v/>
      </c>
      <c r="NG37">
        <f>$NG$36+--($NF37)</f>
        <v/>
      </c>
      <c r="NH37">
        <f>IF(ROW()-3&gt;MAX($NG$4:$NG$40),"",INDEX($CB$4:$CB$40,MATCH(ROW()-3,$NG$4:$NG$40,0)))</f>
        <v/>
      </c>
      <c r="NI37">
        <f>IF(COUNTIF('Buyer Groups'!DG37:DT37,0)+COUNTIF('Buyer Groups'!DV37:EN37,0)&gt;0,0,1)</f>
        <v/>
      </c>
      <c r="NJ37">
        <f>IF($CG$37="",FALSE,SUMPRODUCT(('Final Calculation Sheet'!$O$4:$O$40=$CG$37)*($NI$6:$NI$42=1))&gt;0)</f>
        <v/>
      </c>
      <c r="NK37">
        <f>$NK$36+--($NJ37)</f>
        <v/>
      </c>
      <c r="NL37">
        <f>IF(ROW()-3&gt;MAX($NK$4:$NK$40),"",INDEX($CG$4:$CG$40,MATCH(ROW()-3,$NK$4:$NK$40,0)))</f>
        <v/>
      </c>
      <c r="NM37">
        <f>IF(COUNTIF('Buyer Groups'!DG37:DU37,0)+COUNTIF('Buyer Groups'!DW37:EN37,0)&gt;0,0,1)</f>
        <v/>
      </c>
      <c r="NN37">
        <f>IF($CL$37="",FALSE,SUMPRODUCT(('Final Calculation Sheet'!$P$4:$P$40=$CL$37)*($NM$6:$NM$42=1))&gt;0)</f>
        <v/>
      </c>
      <c r="NO37">
        <f>$NO$36+--($NN37)</f>
        <v/>
      </c>
      <c r="NP37">
        <f>IF(ROW()-3&gt;MAX($NO$4:$NO$40),"",INDEX($CL$4:$CL$40,MATCH(ROW()-3,$NO$4:$NO$40,0)))</f>
        <v/>
      </c>
      <c r="NQ37">
        <f>IF(COUNTIF('Buyer Groups'!DG37:DV37,0)+COUNTIF('Buyer Groups'!DX37:EN37,0)&gt;0,0,1)</f>
        <v/>
      </c>
      <c r="NR37">
        <f>IF($CQ$37="",FALSE,SUMPRODUCT(('Final Calculation Sheet'!$Q$4:$Q$40=$CQ$37)*($NQ$6:$NQ$42=1))&gt;0)</f>
        <v/>
      </c>
      <c r="NS37">
        <f>$NS$36+--($NR37)</f>
        <v/>
      </c>
      <c r="NT37">
        <f>IF(ROW()-3&gt;MAX($NS$4:$NS$40),"",INDEX($CQ$4:$CQ$40,MATCH(ROW()-3,$NS$4:$NS$40,0)))</f>
        <v/>
      </c>
      <c r="NU37">
        <f>IF(COUNTIF('Buyer Groups'!DG37:DW37,0)+COUNTIF('Buyer Groups'!DY37:EN37,0)&gt;0,0,1)</f>
        <v/>
      </c>
      <c r="NV37">
        <f>IF($CV$37="",FALSE,SUMPRODUCT(('Final Calculation Sheet'!$R$4:$R$40=$CV$37)*($NU$6:$NU$42=1))&gt;0)</f>
        <v/>
      </c>
      <c r="NW37">
        <f>$NW$36+--($NV37)</f>
        <v/>
      </c>
      <c r="NX37">
        <f>IF(ROW()-3&gt;MAX($NW$4:$NW$40),"",INDEX($CV$4:$CV$40,MATCH(ROW()-3,$NW$4:$NW$40,0)))</f>
        <v/>
      </c>
      <c r="NY37">
        <f>IF(COUNTIF('Buyer Groups'!DG37:DX37,0)+COUNTIF('Buyer Groups'!DZ37:EN37,0)&gt;0,0,1)</f>
        <v/>
      </c>
      <c r="NZ37">
        <f>IF($DA$37="",FALSE,SUMPRODUCT(('Final Calculation Sheet'!$S$4:$S$40=$DA$37)*($NY$6:$NY$42=1))&gt;0)</f>
        <v/>
      </c>
      <c r="OA37">
        <f>$OA$36+--($NZ37)</f>
        <v/>
      </c>
      <c r="OB37">
        <f>IF(ROW()-3&gt;MAX($OA$4:$OA$40),"",INDEX($DA$4:$DA$40,MATCH(ROW()-3,$OA$4:$OA$40,0)))</f>
        <v/>
      </c>
      <c r="OC37">
        <f>IF(COUNTIF('Buyer Groups'!DG37:DY37,0)+COUNTIF('Buyer Groups'!EA37:EN37,0)&gt;0,0,1)</f>
        <v/>
      </c>
      <c r="OD37">
        <f>IF($DF$37="",FALSE,SUMPRODUCT(('Final Calculation Sheet'!$T$4:$T$40=$DF$37)*($OC$6:$OC$42=1))&gt;0)</f>
        <v/>
      </c>
      <c r="OE37">
        <f>$OE$36+--($OD37)</f>
        <v/>
      </c>
      <c r="OF37">
        <f>IF(ROW()-3&gt;MAX($OE$4:$OE$40),"",INDEX($DF$4:$DF$40,MATCH(ROW()-3,$OE$4:$OE$40,0)))</f>
        <v/>
      </c>
      <c r="OG37">
        <f>IF(COUNTIF('Buyer Groups'!DG37:DZ37,0)+COUNTIF('Buyer Groups'!EB37:EN37,0)&gt;0,0,1)</f>
        <v/>
      </c>
      <c r="OH37">
        <f>IF($DK$37="",FALSE,SUMPRODUCT(('Final Calculation Sheet'!$U$4:$U$40=$DK$37)*($OG$6:$OG$42=1))&gt;0)</f>
        <v/>
      </c>
      <c r="OI37">
        <f>$OI$36+--($OH37)</f>
        <v/>
      </c>
      <c r="OJ37">
        <f>IF(ROW()-3&gt;MAX($OI$4:$OI$40),"",INDEX($DK$4:$DK$40,MATCH(ROW()-3,$OI$4:$OI$40,0)))</f>
        <v/>
      </c>
      <c r="OK37">
        <f>IF(COUNTIF('Buyer Groups'!DG37:EA37,0)+COUNTIF('Buyer Groups'!EC37:EN37,0)&gt;0,0,1)</f>
        <v/>
      </c>
      <c r="OL37">
        <f>IF($DP$37="",FALSE,SUMPRODUCT(('Final Calculation Sheet'!$V$4:$V$40=$DP$37)*($OK$6:$OK$42=1))&gt;0)</f>
        <v/>
      </c>
      <c r="OM37">
        <f>$OM$36+--($OL37)</f>
        <v/>
      </c>
      <c r="ON37">
        <f>IF(ROW()-3&gt;MAX($OM$4:$OM$40),"",INDEX($DP$4:$DP$40,MATCH(ROW()-3,$OM$4:$OM$40,0)))</f>
        <v/>
      </c>
      <c r="OO37">
        <f>IF(COUNTIF('Buyer Groups'!DG37:EB37,0)+COUNTIF('Buyer Groups'!ED37:EN37,0)&gt;0,0,1)</f>
        <v/>
      </c>
      <c r="OP37">
        <f>IF($DU$37="",FALSE,SUMPRODUCT(('Final Calculation Sheet'!$W$4:$W$40=$DU$37)*($OO$6:$OO$42=1))&gt;0)</f>
        <v/>
      </c>
      <c r="OQ37">
        <f>$OQ$36+--($OP37)</f>
        <v/>
      </c>
      <c r="OR37">
        <f>IF(ROW()-3&gt;MAX($OQ$4:$OQ$40),"",INDEX($DU$4:$DU$40,MATCH(ROW()-3,$OQ$4:$OQ$40,0)))</f>
        <v/>
      </c>
      <c r="OS37">
        <f>IF(COUNTIF('Buyer Groups'!DG37:EC37,0)+COUNTIF('Buyer Groups'!EE37:EN37,0)&gt;0,0,1)</f>
        <v/>
      </c>
      <c r="OT37">
        <f>IF($DZ$37="",FALSE,SUMPRODUCT(('Final Calculation Sheet'!$X$4:$X$40=$DZ$37)*($OS$6:$OS$42=1))&gt;0)</f>
        <v/>
      </c>
      <c r="OU37">
        <f>$OU$36+--($OT37)</f>
        <v/>
      </c>
      <c r="OV37">
        <f>IF(ROW()-3&gt;MAX($OU$4:$OU$40),"",INDEX($DZ$4:$DZ$40,MATCH(ROW()-3,$OU$4:$OU$40,0)))</f>
        <v/>
      </c>
      <c r="OW37">
        <f>IF(COUNTIF('Buyer Groups'!DG37:ED37,0)+COUNTIF('Buyer Groups'!EF37:EN37,0)&gt;0,0,1)</f>
        <v/>
      </c>
      <c r="OX37">
        <f>IF($EE$37="",FALSE,SUMPRODUCT(('Final Calculation Sheet'!$Y$4:$Y$40=$EE$37)*($OW$6:$OW$42=1))&gt;0)</f>
        <v/>
      </c>
      <c r="OY37">
        <f>$OY$36+--($OX37)</f>
        <v/>
      </c>
      <c r="OZ37">
        <f>IF(ROW()-3&gt;MAX($OY$4:$OY$40),"",INDEX($EE$4:$EE$40,MATCH(ROW()-3,$OY$4:$OY$40,0)))</f>
        <v/>
      </c>
      <c r="PA37">
        <f>IF(COUNTIF('Buyer Groups'!DG37:EE37,0)+COUNTIF('Buyer Groups'!EG37:EN37,0)&gt;0,0,1)</f>
        <v/>
      </c>
      <c r="PB37">
        <f>IF($EJ$37="",FALSE,SUMPRODUCT(('Final Calculation Sheet'!$Z$4:$Z$40=$EJ$37)*($PA$6:$PA$42=1))&gt;0)</f>
        <v/>
      </c>
      <c r="PC37">
        <f>$PC$36+--($PB37)</f>
        <v/>
      </c>
      <c r="PD37">
        <f>IF(ROW()-3&gt;MAX($PC$4:$PC$40),"",INDEX($EJ$4:$EJ$40,MATCH(ROW()-3,$PC$4:$PC$40,0)))</f>
        <v/>
      </c>
      <c r="PE37">
        <f>IF(COUNTIF('Buyer Groups'!DG37:EF37,0)+COUNTIF('Buyer Groups'!EH37:EN37,0)&gt;0,0,1)</f>
        <v/>
      </c>
      <c r="PF37">
        <f>IF($EO$37="",FALSE,SUMPRODUCT(('Final Calculation Sheet'!$AA$4:$AA$40=$EO$37)*($PE$6:$PE$42=1))&gt;0)</f>
        <v/>
      </c>
      <c r="PG37">
        <f>$PG$36+--($PF37)</f>
        <v/>
      </c>
      <c r="PH37">
        <f>IF(ROW()-3&gt;MAX($PG$4:$PG$40),"",INDEX($EO$4:$EO$40,MATCH(ROW()-3,$PG$4:$PG$40,0)))</f>
        <v/>
      </c>
      <c r="PI37">
        <f>IF(COUNTIF('Buyer Groups'!DG37:EG37,0)+COUNTIF('Buyer Groups'!EI37:EN37,0)&gt;0,0,1)</f>
        <v/>
      </c>
      <c r="PJ37">
        <f>IF($ET$37="",FALSE,SUMPRODUCT(('Final Calculation Sheet'!$AB$4:$AB$40=$ET$37)*($PI$6:$PI$42=1))&gt;0)</f>
        <v/>
      </c>
      <c r="PK37">
        <f>$PK$36+--($PJ37)</f>
        <v/>
      </c>
      <c r="PL37">
        <f>IF(ROW()-3&gt;MAX($PK$4:$PK$40),"",INDEX($ET$4:$ET$40,MATCH(ROW()-3,$PK$4:$PK$40,0)))</f>
        <v/>
      </c>
      <c r="PM37">
        <f>IF(COUNTIF('Buyer Groups'!DG37:EH37,0)+COUNTIF('Buyer Groups'!EJ37:EN37,0)&gt;0,0,1)</f>
        <v/>
      </c>
      <c r="PN37">
        <f>IF($EY$37="",FALSE,SUMPRODUCT(('Final Calculation Sheet'!$AC$4:$AC$40=$EY$37)*($PM$6:$PM$42=1))&gt;0)</f>
        <v/>
      </c>
      <c r="PO37">
        <f>$PO$36+--($PN37)</f>
        <v/>
      </c>
      <c r="PP37">
        <f>IF(ROW()-3&gt;MAX($PO$4:$PO$40),"",INDEX($EY$4:$EY$40,MATCH(ROW()-3,$PO$4:$PO$40,0)))</f>
        <v/>
      </c>
      <c r="PQ37">
        <f>IF(COUNTIF('Buyer Groups'!DG37:EI37,0)+COUNTIF('Buyer Groups'!EK37:EN37,0)&gt;0,0,1)</f>
        <v/>
      </c>
      <c r="PR37">
        <f>IF($FD$37="",FALSE,SUMPRODUCT(('Final Calculation Sheet'!$AD$4:$AD$40=$FD$37)*($PQ$6:$PQ$42=1))&gt;0)</f>
        <v/>
      </c>
      <c r="PS37">
        <f>$PS$36+--($PR37)</f>
        <v/>
      </c>
      <c r="PT37">
        <f>IF(ROW()-3&gt;MAX($PS$4:$PS$40),"",INDEX($FD$4:$FD$40,MATCH(ROW()-3,$PS$4:$PS$40,0)))</f>
        <v/>
      </c>
      <c r="PU37">
        <f>IF(COUNTIF('Buyer Groups'!DG37:EJ37,0)+COUNTIF('Buyer Groups'!EL37:EN37,0)&gt;0,0,1)</f>
        <v/>
      </c>
      <c r="PV37">
        <f>IF($FX$37="",FALSE,SUMPRODUCT((IF('Final Calculation Sheet'!$AD$4:$AD$40&lt;=5,"SETTLED","OUTSTANDING")=$FX$37)*($PU$6:$PU$42=1))&gt;0)</f>
        <v/>
      </c>
      <c r="PW37">
        <f>$PW$36+--($PV37)</f>
        <v/>
      </c>
      <c r="PX37">
        <f>IF(ROW()-3&gt;MAX($PW$4:$PW$40),"",INDEX($FX$4:$FX$40,MATCH(ROW()-3,$PW$4:$PW$40,0)))</f>
        <v/>
      </c>
      <c r="PY37">
        <f>IF(COUNTIF('Buyer Groups'!DG37:EK37,0)+COUNTIF('Buyer Groups'!EM37:EN37,0)&gt;0,0,1)</f>
        <v/>
      </c>
      <c r="PZ37">
        <f>IF($FI$37="",FALSE,SUMPRODUCT(('Final Calculation Sheet'!$AF$4:$AF$40=$FI$37)*($PY$6:$PY$42=1))&gt;0)</f>
        <v/>
      </c>
      <c r="QA37">
        <f>$QA$36+--($PZ37)</f>
        <v/>
      </c>
      <c r="QB37">
        <f>IF(ROW()-3&gt;MAX($QA$4:$QA$40),"",INDEX($FI$4:$FI$40,MATCH(ROW()-3,$QA$4:$QA$40,0)))</f>
        <v/>
      </c>
      <c r="QC37">
        <f>IF(COUNTIF('Buyer Groups'!DG37:EL37,0)+COUNTIF('Buyer Groups'!EN37:EN37,0)&gt;0,0,1)</f>
        <v/>
      </c>
      <c r="QD37">
        <f>IF($FN$37="",FALSE,SUMPRODUCT(('Final Calculation Sheet'!$AG$4:$AG$40=$FN$37)*($QC$6:$QC$42=1))&gt;0)</f>
        <v/>
      </c>
      <c r="QE37">
        <f>$QE$36+--($QD37)</f>
        <v/>
      </c>
      <c r="QF37">
        <f>IF(ROW()-3&gt;MAX($QE$4:$QE$40),"",INDEX($FN$4:$FN$40,MATCH(ROW()-3,$QE$4:$QE$40,0)))</f>
        <v/>
      </c>
      <c r="QG37">
        <f>IF(COUNTIF('Buyer Groups'!DG37:EM37,0)&gt;0,0,1)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Groups'!DH38:EN38,0)&gt;0,0,1)</f>
        <v/>
      </c>
      <c r="LF38">
        <f>IF($O$38="",FALSE,SUMPRODUCT(('Final Calculation Sheet'!$F$4:$F$40=$O$38)*($LE$6:$LE$42=1))&gt;0)</f>
        <v/>
      </c>
      <c r="LG38">
        <f>$LG$37+--($LF38)</f>
        <v/>
      </c>
      <c r="LH38">
        <f>IF(ROW()-3&gt;MAX($LG$4:$LG$40),"",INDEX($O$4:$O$40,MATCH(ROW()-3,$LG$4:$LG$40,0)))</f>
        <v/>
      </c>
      <c r="LI38">
        <f>IF(COUNTIF('Buyer Groups'!DG38:DG38,0)+COUNTIF('Buyer Groups'!DI38:EN38,0)&gt;0,0,1)</f>
        <v/>
      </c>
      <c r="LJ38">
        <f>IF($T$38="",FALSE,SUMPRODUCT(('Final Calculation Sheet'!$G$4:$G$40=$T$38)*($LI$6:$LI$42=1))&gt;0)</f>
        <v/>
      </c>
      <c r="LK38">
        <f>$LK$37+--($LJ38)</f>
        <v/>
      </c>
      <c r="LL38">
        <f>IF(ROW()-3&gt;MAX($LK$4:$LK$40),"",INDEX($T$4:$T$40,MATCH(ROW()-3,$LK$4:$LK$40,0)))</f>
        <v/>
      </c>
      <c r="LM38">
        <f>IF(COUNTIF('Buyer Groups'!DG38:DH38,0)+COUNTIF('Buyer Groups'!DJ38:EN38,0)&gt;0,0,1)</f>
        <v/>
      </c>
      <c r="LN38">
        <f>IF($Y$38="",FALSE,SUMPRODUCT(('Final Calculation Sheet'!$B$4:$B$40=$Y$38)*($LM$6:$LM$42=1))&gt;0)</f>
        <v/>
      </c>
      <c r="LO38">
        <f>$LO$37+--($LN38)</f>
        <v/>
      </c>
      <c r="LP38">
        <f>IF(ROW()-3&gt;MAX($LO$4:$LO$40),"",INDEX($Y$4:$Y$40,MATCH(ROW()-3,$LO$4:$LO$40,0)))</f>
        <v/>
      </c>
      <c r="LQ38">
        <f>IF(COUNTIF('Buyer Groups'!DG38:DI38,0)+COUNTIF('Buyer Groups'!DK38:EN38,0)&gt;0,0,1)</f>
        <v/>
      </c>
      <c r="LR38">
        <f>IF($AD$38="",FALSE,SUMPRODUCT(('Final Calculation Sheet'!$D$4:$D$40=$AD$38)*($LQ$6:$LQ$42=1))&gt;0)</f>
        <v/>
      </c>
      <c r="LS38">
        <f>$LS$37+--($LR38)</f>
        <v/>
      </c>
      <c r="LT38">
        <f>IF(ROW()-3&gt;MAX($LS$4:$LS$40),"",INDEX($AD$4:$AD$40,MATCH(ROW()-3,$LS$4:$LS$40,0)))</f>
        <v/>
      </c>
      <c r="LU38">
        <f>IF(COUNTIF('Buyer Groups'!DG38:DJ38,0)+COUNTIF('Buyer Groups'!DL38:EN38,0)&gt;0,0,1)</f>
        <v/>
      </c>
      <c r="LV38">
        <f>IF($AI$38="",FALSE,SUMPRODUCT(('Final Calculation Sheet'!$A$4:$A$40=$AI$38)*($LU$6:$LU$42=1))&gt;0)</f>
        <v/>
      </c>
      <c r="LW38">
        <f>$LW$37+--($LV38)</f>
        <v/>
      </c>
      <c r="LX38">
        <f>IF(ROW()-3&gt;MAX($LW$4:$LW$40),"",INDEX($AI$4:$AI$40,MATCH(ROW()-3,$LW$4:$LW$40,0)))</f>
        <v/>
      </c>
      <c r="LY38">
        <f>IF(COUNTIF('Buyer Groups'!DG38:DK38,0)+COUNTIF('Buyer Groups'!DM38:EN38,0)&gt;0,0,1)</f>
        <v/>
      </c>
      <c r="LZ38">
        <f>IF($AN$38="",FALSE,SUMPRODUCT(('Final Calculation Sheet'!$E$4:$E$40=$AN$38)*($LY$6:$LY$42=1))&gt;0)</f>
        <v/>
      </c>
      <c r="MA38">
        <f>$MA$37+--($LZ38)</f>
        <v/>
      </c>
      <c r="MB38">
        <f>IF(ROW()-3&gt;MAX($MA$4:$MA$40),"",INDEX($AN$4:$AN$40,MATCH(ROW()-3,$MA$4:$MA$40,0)))</f>
        <v/>
      </c>
      <c r="MC38">
        <f>IF(COUNTIF('Buyer Groups'!DG38:DL38,0)+COUNTIF('Buyer Groups'!DN38:EN38,0)&gt;0,0,1)</f>
        <v/>
      </c>
      <c r="MD38">
        <f>IF($AS$38="",FALSE,SUMPRODUCT(('Final Calculation Sheet'!$C$4:$C$40=$AS$38)*($MC$6:$MC$42=1))&gt;0)</f>
        <v/>
      </c>
      <c r="ME38">
        <f>$ME$37+--($MD38)</f>
        <v/>
      </c>
      <c r="MF38">
        <f>IF(ROW()-3&gt;MAX($ME$4:$ME$40),"",INDEX($AS$4:$AS$40,MATCH(ROW()-3,$ME$4:$ME$40,0)))</f>
        <v/>
      </c>
      <c r="MG38">
        <f>IF(COUNTIF('Buyer Groups'!DG38:DM38,0)+COUNTIF('Buyer Groups'!DO38:EN38,0)&gt;0,0,1)</f>
        <v/>
      </c>
      <c r="MH38">
        <f>IF($AX$38="",FALSE,SUMPRODUCT(('Final Calculation Sheet'!$H$4:$H$40=$AX$38)*($MG$6:$MG$42=1))&gt;0)</f>
        <v/>
      </c>
      <c r="MI38">
        <f>$MI$37+--($MH38)</f>
        <v/>
      </c>
      <c r="MJ38">
        <f>IF(ROW()-3&gt;MAX($MI$4:$MI$40),"",INDEX($AX$4:$AX$40,MATCH(ROW()-3,$MI$4:$MI$40,0)))</f>
        <v/>
      </c>
      <c r="MK38">
        <f>IF(COUNTIF('Buyer Groups'!DG38:DN38,0)+COUNTIF('Buyer Groups'!DP38:EN38,0)&gt;0,0,1)</f>
        <v/>
      </c>
      <c r="ML38">
        <f>IF($BC$38="",FALSE,SUMPRODUCT(('Final Calculation Sheet'!$I$4:$I$40=$BC$38)*($MK$6:$MK$42=1))&gt;0)</f>
        <v/>
      </c>
      <c r="MM38">
        <f>$MM$37+--($ML38)</f>
        <v/>
      </c>
      <c r="MN38">
        <f>IF(ROW()-3&gt;MAX($MM$4:$MM$40),"",INDEX($BC$4:$BC$40,MATCH(ROW()-3,$MM$4:$MM$40,0)))</f>
        <v/>
      </c>
      <c r="MO38">
        <f>IF(COUNTIF('Buyer Groups'!DG38:DO38,0)+COUNTIF('Buyer Groups'!DQ38:EN38,0)&gt;0,0,1)</f>
        <v/>
      </c>
      <c r="MP38">
        <f>IF($BH$38="",FALSE,SUMPRODUCT(('Final Calculation Sheet'!$J$4:$J$40=$BH$38)*($MO$6:$MO$42=1))&gt;0)</f>
        <v/>
      </c>
      <c r="MQ38">
        <f>$MQ$37+--($MP38)</f>
        <v/>
      </c>
      <c r="MR38">
        <f>IF(ROW()-3&gt;MAX($MQ$4:$MQ$40),"",INDEX($BH$4:$BH$40,MATCH(ROW()-3,$MQ$4:$MQ$40,0)))</f>
        <v/>
      </c>
      <c r="MS38">
        <f>IF(COUNTIF('Buyer Groups'!DG38:DP38,0)+COUNTIF('Buyer Groups'!DR38:EN38,0)&gt;0,0,1)</f>
        <v/>
      </c>
      <c r="MT38">
        <f>IF($BM$38="",FALSE,SUMPRODUCT(('Final Calculation Sheet'!$K$4:$K$40=$BM$38)*($MS$6:$MS$42=1))&gt;0)</f>
        <v/>
      </c>
      <c r="MU38">
        <f>$MU$37+--($MT38)</f>
        <v/>
      </c>
      <c r="MV38">
        <f>IF(ROW()-3&gt;MAX($MU$4:$MU$40),"",INDEX($BM$4:$BM$40,MATCH(ROW()-3,$MU$4:$MU$40,0)))</f>
        <v/>
      </c>
      <c r="MW38">
        <f>IF(COUNTIF('Buyer Groups'!DG38:DQ38,0)+COUNTIF('Buyer Groups'!DS38:EN38,0)&gt;0,0,1)</f>
        <v/>
      </c>
      <c r="MX38">
        <f>IF($BR$38="",FALSE,SUMPRODUCT(('Final Calculation Sheet'!$L$4:$L$40=$BR$38)*($MW$6:$MW$42=1))&gt;0)</f>
        <v/>
      </c>
      <c r="MY38">
        <f>$MY$37+--($MX38)</f>
        <v/>
      </c>
      <c r="MZ38">
        <f>IF(ROW()-3&gt;MAX($MY$4:$MY$40),"",INDEX($BR$4:$BR$40,MATCH(ROW()-3,$MY$4:$MY$40,0)))</f>
        <v/>
      </c>
      <c r="NA38">
        <f>IF(COUNTIF('Buyer Groups'!DG38:DR38,0)+COUNTIF('Buyer Groups'!DT38:EN38,0)&gt;0,0,1)</f>
        <v/>
      </c>
      <c r="NB38">
        <f>IF($BW$38="",FALSE,SUMPRODUCT(('Final Calculation Sheet'!$M$4:$M$40=$BW$38)*($NA$6:$NA$42=1))&gt;0)</f>
        <v/>
      </c>
      <c r="NC38">
        <f>$NC$37+--($NB38)</f>
        <v/>
      </c>
      <c r="ND38">
        <f>IF(ROW()-3&gt;MAX($NC$4:$NC$40),"",INDEX($BW$4:$BW$40,MATCH(ROW()-3,$NC$4:$NC$40,0)))</f>
        <v/>
      </c>
      <c r="NE38">
        <f>IF(COUNTIF('Buyer Groups'!DG38:DS38,0)+COUNTIF('Buyer Groups'!DU38:EN38,0)&gt;0,0,1)</f>
        <v/>
      </c>
      <c r="NF38">
        <f>IF($CB$38="",FALSE,SUMPRODUCT(('Final Calculation Sheet'!$N$4:$N$40=$CB$38)*($NE$6:$NE$42=1))&gt;0)</f>
        <v/>
      </c>
      <c r="NG38">
        <f>$NG$37+--($NF38)</f>
        <v/>
      </c>
      <c r="NH38">
        <f>IF(ROW()-3&gt;MAX($NG$4:$NG$40),"",INDEX($CB$4:$CB$40,MATCH(ROW()-3,$NG$4:$NG$40,0)))</f>
        <v/>
      </c>
      <c r="NI38">
        <f>IF(COUNTIF('Buyer Groups'!DG38:DT38,0)+COUNTIF('Buyer Groups'!DV38:EN38,0)&gt;0,0,1)</f>
        <v/>
      </c>
      <c r="NJ38">
        <f>IF($CG$38="",FALSE,SUMPRODUCT(('Final Calculation Sheet'!$O$4:$O$40=$CG$38)*($NI$6:$NI$42=1))&gt;0)</f>
        <v/>
      </c>
      <c r="NK38">
        <f>$NK$37+--($NJ38)</f>
        <v/>
      </c>
      <c r="NL38">
        <f>IF(ROW()-3&gt;MAX($NK$4:$NK$40),"",INDEX($CG$4:$CG$40,MATCH(ROW()-3,$NK$4:$NK$40,0)))</f>
        <v/>
      </c>
      <c r="NM38">
        <f>IF(COUNTIF('Buyer Groups'!DG38:DU38,0)+COUNTIF('Buyer Groups'!DW38:EN38,0)&gt;0,0,1)</f>
        <v/>
      </c>
      <c r="NN38">
        <f>IF($CL$38="",FALSE,SUMPRODUCT(('Final Calculation Sheet'!$P$4:$P$40=$CL$38)*($NM$6:$NM$42=1))&gt;0)</f>
        <v/>
      </c>
      <c r="NO38">
        <f>$NO$37+--($NN38)</f>
        <v/>
      </c>
      <c r="NP38">
        <f>IF(ROW()-3&gt;MAX($NO$4:$NO$40),"",INDEX($CL$4:$CL$40,MATCH(ROW()-3,$NO$4:$NO$40,0)))</f>
        <v/>
      </c>
      <c r="NQ38">
        <f>IF(COUNTIF('Buyer Groups'!DG38:DV38,0)+COUNTIF('Buyer Groups'!DX38:EN38,0)&gt;0,0,1)</f>
        <v/>
      </c>
      <c r="NR38">
        <f>IF($CQ$38="",FALSE,SUMPRODUCT(('Final Calculation Sheet'!$Q$4:$Q$40=$CQ$38)*($NQ$6:$NQ$42=1))&gt;0)</f>
        <v/>
      </c>
      <c r="NS38">
        <f>$NS$37+--($NR38)</f>
        <v/>
      </c>
      <c r="NT38">
        <f>IF(ROW()-3&gt;MAX($NS$4:$NS$40),"",INDEX($CQ$4:$CQ$40,MATCH(ROW()-3,$NS$4:$NS$40,0)))</f>
        <v/>
      </c>
      <c r="NU38">
        <f>IF(COUNTIF('Buyer Groups'!DG38:DW38,0)+COUNTIF('Buyer Groups'!DY38:EN38,0)&gt;0,0,1)</f>
        <v/>
      </c>
      <c r="NV38">
        <f>IF($CV$38="",FALSE,SUMPRODUCT(('Final Calculation Sheet'!$R$4:$R$40=$CV$38)*($NU$6:$NU$42=1))&gt;0)</f>
        <v/>
      </c>
      <c r="NW38">
        <f>$NW$37+--($NV38)</f>
        <v/>
      </c>
      <c r="NX38">
        <f>IF(ROW()-3&gt;MAX($NW$4:$NW$40),"",INDEX($CV$4:$CV$40,MATCH(ROW()-3,$NW$4:$NW$40,0)))</f>
        <v/>
      </c>
      <c r="NY38">
        <f>IF(COUNTIF('Buyer Groups'!DG38:DX38,0)+COUNTIF('Buyer Groups'!DZ38:EN38,0)&gt;0,0,1)</f>
        <v/>
      </c>
      <c r="NZ38">
        <f>IF($DA$38="",FALSE,SUMPRODUCT(('Final Calculation Sheet'!$S$4:$S$40=$DA$38)*($NY$6:$NY$42=1))&gt;0)</f>
        <v/>
      </c>
      <c r="OA38">
        <f>$OA$37+--($NZ38)</f>
        <v/>
      </c>
      <c r="OB38">
        <f>IF(ROW()-3&gt;MAX($OA$4:$OA$40),"",INDEX($DA$4:$DA$40,MATCH(ROW()-3,$OA$4:$OA$40,0)))</f>
        <v/>
      </c>
      <c r="OC38">
        <f>IF(COUNTIF('Buyer Groups'!DG38:DY38,0)+COUNTIF('Buyer Groups'!EA38:EN38,0)&gt;0,0,1)</f>
        <v/>
      </c>
      <c r="OD38">
        <f>IF($DF$38="",FALSE,SUMPRODUCT(('Final Calculation Sheet'!$T$4:$T$40=$DF$38)*($OC$6:$OC$42=1))&gt;0)</f>
        <v/>
      </c>
      <c r="OE38">
        <f>$OE$37+--($OD38)</f>
        <v/>
      </c>
      <c r="OF38">
        <f>IF(ROW()-3&gt;MAX($OE$4:$OE$40),"",INDEX($DF$4:$DF$40,MATCH(ROW()-3,$OE$4:$OE$40,0)))</f>
        <v/>
      </c>
      <c r="OG38">
        <f>IF(COUNTIF('Buyer Groups'!DG38:DZ38,0)+COUNTIF('Buyer Groups'!EB38:EN38,0)&gt;0,0,1)</f>
        <v/>
      </c>
      <c r="OH38">
        <f>IF($DK$38="",FALSE,SUMPRODUCT(('Final Calculation Sheet'!$U$4:$U$40=$DK$38)*($OG$6:$OG$42=1))&gt;0)</f>
        <v/>
      </c>
      <c r="OI38">
        <f>$OI$37+--($OH38)</f>
        <v/>
      </c>
      <c r="OJ38">
        <f>IF(ROW()-3&gt;MAX($OI$4:$OI$40),"",INDEX($DK$4:$DK$40,MATCH(ROW()-3,$OI$4:$OI$40,0)))</f>
        <v/>
      </c>
      <c r="OK38">
        <f>IF(COUNTIF('Buyer Groups'!DG38:EA38,0)+COUNTIF('Buyer Groups'!EC38:EN38,0)&gt;0,0,1)</f>
        <v/>
      </c>
      <c r="OL38">
        <f>IF($DP$38="",FALSE,SUMPRODUCT(('Final Calculation Sheet'!$V$4:$V$40=$DP$38)*($OK$6:$OK$42=1))&gt;0)</f>
        <v/>
      </c>
      <c r="OM38">
        <f>$OM$37+--($OL38)</f>
        <v/>
      </c>
      <c r="ON38">
        <f>IF(ROW()-3&gt;MAX($OM$4:$OM$40),"",INDEX($DP$4:$DP$40,MATCH(ROW()-3,$OM$4:$OM$40,0)))</f>
        <v/>
      </c>
      <c r="OO38">
        <f>IF(COUNTIF('Buyer Groups'!DG38:EB38,0)+COUNTIF('Buyer Groups'!ED38:EN38,0)&gt;0,0,1)</f>
        <v/>
      </c>
      <c r="OP38">
        <f>IF($DU$38="",FALSE,SUMPRODUCT(('Final Calculation Sheet'!$W$4:$W$40=$DU$38)*($OO$6:$OO$42=1))&gt;0)</f>
        <v/>
      </c>
      <c r="OQ38">
        <f>$OQ$37+--($OP38)</f>
        <v/>
      </c>
      <c r="OR38">
        <f>IF(ROW()-3&gt;MAX($OQ$4:$OQ$40),"",INDEX($DU$4:$DU$40,MATCH(ROW()-3,$OQ$4:$OQ$40,0)))</f>
        <v/>
      </c>
      <c r="OS38">
        <f>IF(COUNTIF('Buyer Groups'!DG38:EC38,0)+COUNTIF('Buyer Groups'!EE38:EN38,0)&gt;0,0,1)</f>
        <v/>
      </c>
      <c r="OT38">
        <f>IF($DZ$38="",FALSE,SUMPRODUCT(('Final Calculation Sheet'!$X$4:$X$40=$DZ$38)*($OS$6:$OS$42=1))&gt;0)</f>
        <v/>
      </c>
      <c r="OU38">
        <f>$OU$37+--($OT38)</f>
        <v/>
      </c>
      <c r="OV38">
        <f>IF(ROW()-3&gt;MAX($OU$4:$OU$40),"",INDEX($DZ$4:$DZ$40,MATCH(ROW()-3,$OU$4:$OU$40,0)))</f>
        <v/>
      </c>
      <c r="OW38">
        <f>IF(COUNTIF('Buyer Groups'!DG38:ED38,0)+COUNTIF('Buyer Groups'!EF38:EN38,0)&gt;0,0,1)</f>
        <v/>
      </c>
      <c r="OX38">
        <f>IF($EE$38="",FALSE,SUMPRODUCT(('Final Calculation Sheet'!$Y$4:$Y$40=$EE$38)*($OW$6:$OW$42=1))&gt;0)</f>
        <v/>
      </c>
      <c r="OY38">
        <f>$OY$37+--($OX38)</f>
        <v/>
      </c>
      <c r="OZ38">
        <f>IF(ROW()-3&gt;MAX($OY$4:$OY$40),"",INDEX($EE$4:$EE$40,MATCH(ROW()-3,$OY$4:$OY$40,0)))</f>
        <v/>
      </c>
      <c r="PA38">
        <f>IF(COUNTIF('Buyer Groups'!DG38:EE38,0)+COUNTIF('Buyer Groups'!EG38:EN38,0)&gt;0,0,1)</f>
        <v/>
      </c>
      <c r="PB38">
        <f>IF($EJ$38="",FALSE,SUMPRODUCT(('Final Calculation Sheet'!$Z$4:$Z$40=$EJ$38)*($PA$6:$PA$42=1))&gt;0)</f>
        <v/>
      </c>
      <c r="PC38">
        <f>$PC$37+--($PB38)</f>
        <v/>
      </c>
      <c r="PD38">
        <f>IF(ROW()-3&gt;MAX($PC$4:$PC$40),"",INDEX($EJ$4:$EJ$40,MATCH(ROW()-3,$PC$4:$PC$40,0)))</f>
        <v/>
      </c>
      <c r="PE38">
        <f>IF(COUNTIF('Buyer Groups'!DG38:EF38,0)+COUNTIF('Buyer Groups'!EH38:EN38,0)&gt;0,0,1)</f>
        <v/>
      </c>
      <c r="PF38">
        <f>IF($EO$38="",FALSE,SUMPRODUCT(('Final Calculation Sheet'!$AA$4:$AA$40=$EO$38)*($PE$6:$PE$42=1))&gt;0)</f>
        <v/>
      </c>
      <c r="PG38">
        <f>$PG$37+--($PF38)</f>
        <v/>
      </c>
      <c r="PH38">
        <f>IF(ROW()-3&gt;MAX($PG$4:$PG$40),"",INDEX($EO$4:$EO$40,MATCH(ROW()-3,$PG$4:$PG$40,0)))</f>
        <v/>
      </c>
      <c r="PI38">
        <f>IF(COUNTIF('Buyer Groups'!DG38:EG38,0)+COUNTIF('Buyer Groups'!EI38:EN38,0)&gt;0,0,1)</f>
        <v/>
      </c>
      <c r="PJ38">
        <f>IF($ET$38="",FALSE,SUMPRODUCT(('Final Calculation Sheet'!$AB$4:$AB$40=$ET$38)*($PI$6:$PI$42=1))&gt;0)</f>
        <v/>
      </c>
      <c r="PK38">
        <f>$PK$37+--($PJ38)</f>
        <v/>
      </c>
      <c r="PL38">
        <f>IF(ROW()-3&gt;MAX($PK$4:$PK$40),"",INDEX($ET$4:$ET$40,MATCH(ROW()-3,$PK$4:$PK$40,0)))</f>
        <v/>
      </c>
      <c r="PM38">
        <f>IF(COUNTIF('Buyer Groups'!DG38:EH38,0)+COUNTIF('Buyer Groups'!EJ38:EN38,0)&gt;0,0,1)</f>
        <v/>
      </c>
      <c r="PN38">
        <f>IF($EY$38="",FALSE,SUMPRODUCT(('Final Calculation Sheet'!$AC$4:$AC$40=$EY$38)*($PM$6:$PM$42=1))&gt;0)</f>
        <v/>
      </c>
      <c r="PO38">
        <f>$PO$37+--($PN38)</f>
        <v/>
      </c>
      <c r="PP38">
        <f>IF(ROW()-3&gt;MAX($PO$4:$PO$40),"",INDEX($EY$4:$EY$40,MATCH(ROW()-3,$PO$4:$PO$40,0)))</f>
        <v/>
      </c>
      <c r="PQ38">
        <f>IF(COUNTIF('Buyer Groups'!DG38:EI38,0)+COUNTIF('Buyer Groups'!EK38:EN38,0)&gt;0,0,1)</f>
        <v/>
      </c>
      <c r="PR38">
        <f>IF($FD$38="",FALSE,SUMPRODUCT(('Final Calculation Sheet'!$AD$4:$AD$40=$FD$38)*($PQ$6:$PQ$42=1))&gt;0)</f>
        <v/>
      </c>
      <c r="PS38">
        <f>$PS$37+--($PR38)</f>
        <v/>
      </c>
      <c r="PT38">
        <f>IF(ROW()-3&gt;MAX($PS$4:$PS$40),"",INDEX($FD$4:$FD$40,MATCH(ROW()-3,$PS$4:$PS$40,0)))</f>
        <v/>
      </c>
      <c r="PU38">
        <f>IF(COUNTIF('Buyer Groups'!DG38:EJ38,0)+COUNTIF('Buyer Groups'!EL38:EN38,0)&gt;0,0,1)</f>
        <v/>
      </c>
      <c r="PV38">
        <f>IF($FX$38="",FALSE,SUMPRODUCT((IF('Final Calculation Sheet'!$AD$4:$AD$40&lt;=5,"SETTLED","OUTSTANDING")=$FX$38)*($PU$6:$PU$42=1))&gt;0)</f>
        <v/>
      </c>
      <c r="PW38">
        <f>$PW$37+--($PV38)</f>
        <v/>
      </c>
      <c r="PX38">
        <f>IF(ROW()-3&gt;MAX($PW$4:$PW$40),"",INDEX($FX$4:$FX$40,MATCH(ROW()-3,$PW$4:$PW$40,0)))</f>
        <v/>
      </c>
      <c r="PY38">
        <f>IF(COUNTIF('Buyer Groups'!DG38:EK38,0)+COUNTIF('Buyer Groups'!EM38:EN38,0)&gt;0,0,1)</f>
        <v/>
      </c>
      <c r="PZ38">
        <f>IF($FI$38="",FALSE,SUMPRODUCT(('Final Calculation Sheet'!$AF$4:$AF$40=$FI$38)*($PY$6:$PY$42=1))&gt;0)</f>
        <v/>
      </c>
      <c r="QA38">
        <f>$QA$37+--($PZ38)</f>
        <v/>
      </c>
      <c r="QB38">
        <f>IF(ROW()-3&gt;MAX($QA$4:$QA$40),"",INDEX($FI$4:$FI$40,MATCH(ROW()-3,$QA$4:$QA$40,0)))</f>
        <v/>
      </c>
      <c r="QC38">
        <f>IF(COUNTIF('Buyer Groups'!DG38:EL38,0)+COUNTIF('Buyer Groups'!EN38:EN38,0)&gt;0,0,1)</f>
        <v/>
      </c>
      <c r="QD38">
        <f>IF($FN$38="",FALSE,SUMPRODUCT(('Final Calculation Sheet'!$AG$4:$AG$40=$FN$38)*($QC$6:$QC$42=1))&gt;0)</f>
        <v/>
      </c>
      <c r="QE38">
        <f>$QE$37+--($QD38)</f>
        <v/>
      </c>
      <c r="QF38">
        <f>IF(ROW()-3&gt;MAX($QE$4:$QE$40),"",INDEX($FN$4:$FN$40,MATCH(ROW()-3,$QE$4:$QE$40,0)))</f>
        <v/>
      </c>
      <c r="QG38">
        <f>IF(COUNTIF('Buyer Groups'!DG38:EM38,0)&gt;0,0,1)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Groups'!DH39:EN39,0)&gt;0,0,1)</f>
        <v/>
      </c>
      <c r="LF39">
        <f>IF($O$39="",FALSE,SUMPRODUCT(('Final Calculation Sheet'!$F$4:$F$40=$O$39)*($LE$6:$LE$42=1))&gt;0)</f>
        <v/>
      </c>
      <c r="LG39">
        <f>$LG$38+--($LF39)</f>
        <v/>
      </c>
      <c r="LH39">
        <f>IF(ROW()-3&gt;MAX($LG$4:$LG$40),"",INDEX($O$4:$O$40,MATCH(ROW()-3,$LG$4:$LG$40,0)))</f>
        <v/>
      </c>
      <c r="LI39">
        <f>IF(COUNTIF('Buyer Groups'!DG39:DG39,0)+COUNTIF('Buyer Groups'!DI39:EN39,0)&gt;0,0,1)</f>
        <v/>
      </c>
      <c r="LJ39">
        <f>IF($T$39="",FALSE,SUMPRODUCT(('Final Calculation Sheet'!$G$4:$G$40=$T$39)*($LI$6:$LI$42=1))&gt;0)</f>
        <v/>
      </c>
      <c r="LK39">
        <f>$LK$38+--($LJ39)</f>
        <v/>
      </c>
      <c r="LL39">
        <f>IF(ROW()-3&gt;MAX($LK$4:$LK$40),"",INDEX($T$4:$T$40,MATCH(ROW()-3,$LK$4:$LK$40,0)))</f>
        <v/>
      </c>
      <c r="LM39">
        <f>IF(COUNTIF('Buyer Groups'!DG39:DH39,0)+COUNTIF('Buyer Groups'!DJ39:EN39,0)&gt;0,0,1)</f>
        <v/>
      </c>
      <c r="LN39">
        <f>IF($Y$39="",FALSE,SUMPRODUCT(('Final Calculation Sheet'!$B$4:$B$40=$Y$39)*($LM$6:$LM$42=1))&gt;0)</f>
        <v/>
      </c>
      <c r="LO39">
        <f>$LO$38+--($LN39)</f>
        <v/>
      </c>
      <c r="LP39">
        <f>IF(ROW()-3&gt;MAX($LO$4:$LO$40),"",INDEX($Y$4:$Y$40,MATCH(ROW()-3,$LO$4:$LO$40,0)))</f>
        <v/>
      </c>
      <c r="LQ39">
        <f>IF(COUNTIF('Buyer Groups'!DG39:DI39,0)+COUNTIF('Buyer Groups'!DK39:EN39,0)&gt;0,0,1)</f>
        <v/>
      </c>
      <c r="LR39">
        <f>IF($AD$39="",FALSE,SUMPRODUCT(('Final Calculation Sheet'!$D$4:$D$40=$AD$39)*($LQ$6:$LQ$42=1))&gt;0)</f>
        <v/>
      </c>
      <c r="LS39">
        <f>$LS$38+--($LR39)</f>
        <v/>
      </c>
      <c r="LT39">
        <f>IF(ROW()-3&gt;MAX($LS$4:$LS$40),"",INDEX($AD$4:$AD$40,MATCH(ROW()-3,$LS$4:$LS$40,0)))</f>
        <v/>
      </c>
      <c r="LU39">
        <f>IF(COUNTIF('Buyer Groups'!DG39:DJ39,0)+COUNTIF('Buyer Groups'!DL39:EN39,0)&gt;0,0,1)</f>
        <v/>
      </c>
      <c r="LV39">
        <f>IF($AI$39="",FALSE,SUMPRODUCT(('Final Calculation Sheet'!$A$4:$A$40=$AI$39)*($LU$6:$LU$42=1))&gt;0)</f>
        <v/>
      </c>
      <c r="LW39">
        <f>$LW$38+--($LV39)</f>
        <v/>
      </c>
      <c r="LX39">
        <f>IF(ROW()-3&gt;MAX($LW$4:$LW$40),"",INDEX($AI$4:$AI$40,MATCH(ROW()-3,$LW$4:$LW$40,0)))</f>
        <v/>
      </c>
      <c r="LY39">
        <f>IF(COUNTIF('Buyer Groups'!DG39:DK39,0)+COUNTIF('Buyer Groups'!DM39:EN39,0)&gt;0,0,1)</f>
        <v/>
      </c>
      <c r="LZ39">
        <f>IF($AN$39="",FALSE,SUMPRODUCT(('Final Calculation Sheet'!$E$4:$E$40=$AN$39)*($LY$6:$LY$42=1))&gt;0)</f>
        <v/>
      </c>
      <c r="MA39">
        <f>$MA$38+--($LZ39)</f>
        <v/>
      </c>
      <c r="MB39">
        <f>IF(ROW()-3&gt;MAX($MA$4:$MA$40),"",INDEX($AN$4:$AN$40,MATCH(ROW()-3,$MA$4:$MA$40,0)))</f>
        <v/>
      </c>
      <c r="MC39">
        <f>IF(COUNTIF('Buyer Groups'!DG39:DL39,0)+COUNTIF('Buyer Groups'!DN39:EN39,0)&gt;0,0,1)</f>
        <v/>
      </c>
      <c r="MD39">
        <f>IF($AS$39="",FALSE,SUMPRODUCT(('Final Calculation Sheet'!$C$4:$C$40=$AS$39)*($MC$6:$MC$42=1))&gt;0)</f>
        <v/>
      </c>
      <c r="ME39">
        <f>$ME$38+--($MD39)</f>
        <v/>
      </c>
      <c r="MF39">
        <f>IF(ROW()-3&gt;MAX($ME$4:$ME$40),"",INDEX($AS$4:$AS$40,MATCH(ROW()-3,$ME$4:$ME$40,0)))</f>
        <v/>
      </c>
      <c r="MG39">
        <f>IF(COUNTIF('Buyer Groups'!DG39:DM39,0)+COUNTIF('Buyer Groups'!DO39:EN39,0)&gt;0,0,1)</f>
        <v/>
      </c>
      <c r="MH39">
        <f>IF($AX$39="",FALSE,SUMPRODUCT(('Final Calculation Sheet'!$H$4:$H$40=$AX$39)*($MG$6:$MG$42=1))&gt;0)</f>
        <v/>
      </c>
      <c r="MI39">
        <f>$MI$38+--($MH39)</f>
        <v/>
      </c>
      <c r="MJ39">
        <f>IF(ROW()-3&gt;MAX($MI$4:$MI$40),"",INDEX($AX$4:$AX$40,MATCH(ROW()-3,$MI$4:$MI$40,0)))</f>
        <v/>
      </c>
      <c r="MK39">
        <f>IF(COUNTIF('Buyer Groups'!DG39:DN39,0)+COUNTIF('Buyer Groups'!DP39:EN39,0)&gt;0,0,1)</f>
        <v/>
      </c>
      <c r="ML39">
        <f>IF($BC$39="",FALSE,SUMPRODUCT(('Final Calculation Sheet'!$I$4:$I$40=$BC$39)*($MK$6:$MK$42=1))&gt;0)</f>
        <v/>
      </c>
      <c r="MM39">
        <f>$MM$38+--($ML39)</f>
        <v/>
      </c>
      <c r="MN39">
        <f>IF(ROW()-3&gt;MAX($MM$4:$MM$40),"",INDEX($BC$4:$BC$40,MATCH(ROW()-3,$MM$4:$MM$40,0)))</f>
        <v/>
      </c>
      <c r="MO39">
        <f>IF(COUNTIF('Buyer Groups'!DG39:DO39,0)+COUNTIF('Buyer Groups'!DQ39:EN39,0)&gt;0,0,1)</f>
        <v/>
      </c>
      <c r="MP39">
        <f>IF($BH$39="",FALSE,SUMPRODUCT(('Final Calculation Sheet'!$J$4:$J$40=$BH$39)*($MO$6:$MO$42=1))&gt;0)</f>
        <v/>
      </c>
      <c r="MQ39">
        <f>$MQ$38+--($MP39)</f>
        <v/>
      </c>
      <c r="MR39">
        <f>IF(ROW()-3&gt;MAX($MQ$4:$MQ$40),"",INDEX($BH$4:$BH$40,MATCH(ROW()-3,$MQ$4:$MQ$40,0)))</f>
        <v/>
      </c>
      <c r="MS39">
        <f>IF(COUNTIF('Buyer Groups'!DG39:DP39,0)+COUNTIF('Buyer Groups'!DR39:EN39,0)&gt;0,0,1)</f>
        <v/>
      </c>
      <c r="MT39">
        <f>IF($BM$39="",FALSE,SUMPRODUCT(('Final Calculation Sheet'!$K$4:$K$40=$BM$39)*($MS$6:$MS$42=1))&gt;0)</f>
        <v/>
      </c>
      <c r="MU39">
        <f>$MU$38+--($MT39)</f>
        <v/>
      </c>
      <c r="MV39">
        <f>IF(ROW()-3&gt;MAX($MU$4:$MU$40),"",INDEX($BM$4:$BM$40,MATCH(ROW()-3,$MU$4:$MU$40,0)))</f>
        <v/>
      </c>
      <c r="MW39">
        <f>IF(COUNTIF('Buyer Groups'!DG39:DQ39,0)+COUNTIF('Buyer Groups'!DS39:EN39,0)&gt;0,0,1)</f>
        <v/>
      </c>
      <c r="MX39">
        <f>IF($BR$39="",FALSE,SUMPRODUCT(('Final Calculation Sheet'!$L$4:$L$40=$BR$39)*($MW$6:$MW$42=1))&gt;0)</f>
        <v/>
      </c>
      <c r="MY39">
        <f>$MY$38+--($MX39)</f>
        <v/>
      </c>
      <c r="MZ39">
        <f>IF(ROW()-3&gt;MAX($MY$4:$MY$40),"",INDEX($BR$4:$BR$40,MATCH(ROW()-3,$MY$4:$MY$40,0)))</f>
        <v/>
      </c>
      <c r="NA39">
        <f>IF(COUNTIF('Buyer Groups'!DG39:DR39,0)+COUNTIF('Buyer Groups'!DT39:EN39,0)&gt;0,0,1)</f>
        <v/>
      </c>
      <c r="NB39">
        <f>IF($BW$39="",FALSE,SUMPRODUCT(('Final Calculation Sheet'!$M$4:$M$40=$BW$39)*($NA$6:$NA$42=1))&gt;0)</f>
        <v/>
      </c>
      <c r="NC39">
        <f>$NC$38+--($NB39)</f>
        <v/>
      </c>
      <c r="ND39">
        <f>IF(ROW()-3&gt;MAX($NC$4:$NC$40),"",INDEX($BW$4:$BW$40,MATCH(ROW()-3,$NC$4:$NC$40,0)))</f>
        <v/>
      </c>
      <c r="NE39">
        <f>IF(COUNTIF('Buyer Groups'!DG39:DS39,0)+COUNTIF('Buyer Groups'!DU39:EN39,0)&gt;0,0,1)</f>
        <v/>
      </c>
      <c r="NF39">
        <f>IF($CB$39="",FALSE,SUMPRODUCT(('Final Calculation Sheet'!$N$4:$N$40=$CB$39)*($NE$6:$NE$42=1))&gt;0)</f>
        <v/>
      </c>
      <c r="NG39">
        <f>$NG$38+--($NF39)</f>
        <v/>
      </c>
      <c r="NH39">
        <f>IF(ROW()-3&gt;MAX($NG$4:$NG$40),"",INDEX($CB$4:$CB$40,MATCH(ROW()-3,$NG$4:$NG$40,0)))</f>
        <v/>
      </c>
      <c r="NI39">
        <f>IF(COUNTIF('Buyer Groups'!DG39:DT39,0)+COUNTIF('Buyer Groups'!DV39:EN39,0)&gt;0,0,1)</f>
        <v/>
      </c>
      <c r="NJ39">
        <f>IF($CG$39="",FALSE,SUMPRODUCT(('Final Calculation Sheet'!$O$4:$O$40=$CG$39)*($NI$6:$NI$42=1))&gt;0)</f>
        <v/>
      </c>
      <c r="NK39">
        <f>$NK$38+--($NJ39)</f>
        <v/>
      </c>
      <c r="NL39">
        <f>IF(ROW()-3&gt;MAX($NK$4:$NK$40),"",INDEX($CG$4:$CG$40,MATCH(ROW()-3,$NK$4:$NK$40,0)))</f>
        <v/>
      </c>
      <c r="NM39">
        <f>IF(COUNTIF('Buyer Groups'!DG39:DU39,0)+COUNTIF('Buyer Groups'!DW39:EN39,0)&gt;0,0,1)</f>
        <v/>
      </c>
      <c r="NN39">
        <f>IF($CL$39="",FALSE,SUMPRODUCT(('Final Calculation Sheet'!$P$4:$P$40=$CL$39)*($NM$6:$NM$42=1))&gt;0)</f>
        <v/>
      </c>
      <c r="NO39">
        <f>$NO$38+--($NN39)</f>
        <v/>
      </c>
      <c r="NP39">
        <f>IF(ROW()-3&gt;MAX($NO$4:$NO$40),"",INDEX($CL$4:$CL$40,MATCH(ROW()-3,$NO$4:$NO$40,0)))</f>
        <v/>
      </c>
      <c r="NQ39">
        <f>IF(COUNTIF('Buyer Groups'!DG39:DV39,0)+COUNTIF('Buyer Groups'!DX39:EN39,0)&gt;0,0,1)</f>
        <v/>
      </c>
      <c r="NR39">
        <f>IF($CQ$39="",FALSE,SUMPRODUCT(('Final Calculation Sheet'!$Q$4:$Q$40=$CQ$39)*($NQ$6:$NQ$42=1))&gt;0)</f>
        <v/>
      </c>
      <c r="NS39">
        <f>$NS$38+--($NR39)</f>
        <v/>
      </c>
      <c r="NT39">
        <f>IF(ROW()-3&gt;MAX($NS$4:$NS$40),"",INDEX($CQ$4:$CQ$40,MATCH(ROW()-3,$NS$4:$NS$40,0)))</f>
        <v/>
      </c>
      <c r="NU39">
        <f>IF(COUNTIF('Buyer Groups'!DG39:DW39,0)+COUNTIF('Buyer Groups'!DY39:EN39,0)&gt;0,0,1)</f>
        <v/>
      </c>
      <c r="NV39">
        <f>IF($CV$39="",FALSE,SUMPRODUCT(('Final Calculation Sheet'!$R$4:$R$40=$CV$39)*($NU$6:$NU$42=1))&gt;0)</f>
        <v/>
      </c>
      <c r="NW39">
        <f>$NW$38+--($NV39)</f>
        <v/>
      </c>
      <c r="NX39">
        <f>IF(ROW()-3&gt;MAX($NW$4:$NW$40),"",INDEX($CV$4:$CV$40,MATCH(ROW()-3,$NW$4:$NW$40,0)))</f>
        <v/>
      </c>
      <c r="NY39">
        <f>IF(COUNTIF('Buyer Groups'!DG39:DX39,0)+COUNTIF('Buyer Groups'!DZ39:EN39,0)&gt;0,0,1)</f>
        <v/>
      </c>
      <c r="NZ39">
        <f>IF($DA$39="",FALSE,SUMPRODUCT(('Final Calculation Sheet'!$S$4:$S$40=$DA$39)*($NY$6:$NY$42=1))&gt;0)</f>
        <v/>
      </c>
      <c r="OA39">
        <f>$OA$38+--($NZ39)</f>
        <v/>
      </c>
      <c r="OB39">
        <f>IF(ROW()-3&gt;MAX($OA$4:$OA$40),"",INDEX($DA$4:$DA$40,MATCH(ROW()-3,$OA$4:$OA$40,0)))</f>
        <v/>
      </c>
      <c r="OC39">
        <f>IF(COUNTIF('Buyer Groups'!DG39:DY39,0)+COUNTIF('Buyer Groups'!EA39:EN39,0)&gt;0,0,1)</f>
        <v/>
      </c>
      <c r="OD39">
        <f>IF($DF$39="",FALSE,SUMPRODUCT(('Final Calculation Sheet'!$T$4:$T$40=$DF$39)*($OC$6:$OC$42=1))&gt;0)</f>
        <v/>
      </c>
      <c r="OE39">
        <f>$OE$38+--($OD39)</f>
        <v/>
      </c>
      <c r="OF39">
        <f>IF(ROW()-3&gt;MAX($OE$4:$OE$40),"",INDEX($DF$4:$DF$40,MATCH(ROW()-3,$OE$4:$OE$40,0)))</f>
        <v/>
      </c>
      <c r="OG39">
        <f>IF(COUNTIF('Buyer Groups'!DG39:DZ39,0)+COUNTIF('Buyer Groups'!EB39:EN39,0)&gt;0,0,1)</f>
        <v/>
      </c>
      <c r="OH39">
        <f>IF($DK$39="",FALSE,SUMPRODUCT(('Final Calculation Sheet'!$U$4:$U$40=$DK$39)*($OG$6:$OG$42=1))&gt;0)</f>
        <v/>
      </c>
      <c r="OI39">
        <f>$OI$38+--($OH39)</f>
        <v/>
      </c>
      <c r="OJ39">
        <f>IF(ROW()-3&gt;MAX($OI$4:$OI$40),"",INDEX($DK$4:$DK$40,MATCH(ROW()-3,$OI$4:$OI$40,0)))</f>
        <v/>
      </c>
      <c r="OK39">
        <f>IF(COUNTIF('Buyer Groups'!DG39:EA39,0)+COUNTIF('Buyer Groups'!EC39:EN39,0)&gt;0,0,1)</f>
        <v/>
      </c>
      <c r="OL39">
        <f>IF($DP$39="",FALSE,SUMPRODUCT(('Final Calculation Sheet'!$V$4:$V$40=$DP$39)*($OK$6:$OK$42=1))&gt;0)</f>
        <v/>
      </c>
      <c r="OM39">
        <f>$OM$38+--($OL39)</f>
        <v/>
      </c>
      <c r="ON39">
        <f>IF(ROW()-3&gt;MAX($OM$4:$OM$40),"",INDEX($DP$4:$DP$40,MATCH(ROW()-3,$OM$4:$OM$40,0)))</f>
        <v/>
      </c>
      <c r="OO39">
        <f>IF(COUNTIF('Buyer Groups'!DG39:EB39,0)+COUNTIF('Buyer Groups'!ED39:EN39,0)&gt;0,0,1)</f>
        <v/>
      </c>
      <c r="OP39">
        <f>IF($DU$39="",FALSE,SUMPRODUCT(('Final Calculation Sheet'!$W$4:$W$40=$DU$39)*($OO$6:$OO$42=1))&gt;0)</f>
        <v/>
      </c>
      <c r="OQ39">
        <f>$OQ$38+--($OP39)</f>
        <v/>
      </c>
      <c r="OR39">
        <f>IF(ROW()-3&gt;MAX($OQ$4:$OQ$40),"",INDEX($DU$4:$DU$40,MATCH(ROW()-3,$OQ$4:$OQ$40,0)))</f>
        <v/>
      </c>
      <c r="OS39">
        <f>IF(COUNTIF('Buyer Groups'!DG39:EC39,0)+COUNTIF('Buyer Groups'!EE39:EN39,0)&gt;0,0,1)</f>
        <v/>
      </c>
      <c r="OT39">
        <f>IF($DZ$39="",FALSE,SUMPRODUCT(('Final Calculation Sheet'!$X$4:$X$40=$DZ$39)*($OS$6:$OS$42=1))&gt;0)</f>
        <v/>
      </c>
      <c r="OU39">
        <f>$OU$38+--($OT39)</f>
        <v/>
      </c>
      <c r="OV39">
        <f>IF(ROW()-3&gt;MAX($OU$4:$OU$40),"",INDEX($DZ$4:$DZ$40,MATCH(ROW()-3,$OU$4:$OU$40,0)))</f>
        <v/>
      </c>
      <c r="OW39">
        <f>IF(COUNTIF('Buyer Groups'!DG39:ED39,0)+COUNTIF('Buyer Groups'!EF39:EN39,0)&gt;0,0,1)</f>
        <v/>
      </c>
      <c r="OX39">
        <f>IF($EE$39="",FALSE,SUMPRODUCT(('Final Calculation Sheet'!$Y$4:$Y$40=$EE$39)*($OW$6:$OW$42=1))&gt;0)</f>
        <v/>
      </c>
      <c r="OY39">
        <f>$OY$38+--($OX39)</f>
        <v/>
      </c>
      <c r="OZ39">
        <f>IF(ROW()-3&gt;MAX($OY$4:$OY$40),"",INDEX($EE$4:$EE$40,MATCH(ROW()-3,$OY$4:$OY$40,0)))</f>
        <v/>
      </c>
      <c r="PA39">
        <f>IF(COUNTIF('Buyer Groups'!DG39:EE39,0)+COUNTIF('Buyer Groups'!EG39:EN39,0)&gt;0,0,1)</f>
        <v/>
      </c>
      <c r="PB39">
        <f>IF($EJ$39="",FALSE,SUMPRODUCT(('Final Calculation Sheet'!$Z$4:$Z$40=$EJ$39)*($PA$6:$PA$42=1))&gt;0)</f>
        <v/>
      </c>
      <c r="PC39">
        <f>$PC$38+--($PB39)</f>
        <v/>
      </c>
      <c r="PD39">
        <f>IF(ROW()-3&gt;MAX($PC$4:$PC$40),"",INDEX($EJ$4:$EJ$40,MATCH(ROW()-3,$PC$4:$PC$40,0)))</f>
        <v/>
      </c>
      <c r="PE39">
        <f>IF(COUNTIF('Buyer Groups'!DG39:EF39,0)+COUNTIF('Buyer Groups'!EH39:EN39,0)&gt;0,0,1)</f>
        <v/>
      </c>
      <c r="PF39">
        <f>IF($EO$39="",FALSE,SUMPRODUCT(('Final Calculation Sheet'!$AA$4:$AA$40=$EO$39)*($PE$6:$PE$42=1))&gt;0)</f>
        <v/>
      </c>
      <c r="PG39">
        <f>$PG$38+--($PF39)</f>
        <v/>
      </c>
      <c r="PH39">
        <f>IF(ROW()-3&gt;MAX($PG$4:$PG$40),"",INDEX($EO$4:$EO$40,MATCH(ROW()-3,$PG$4:$PG$40,0)))</f>
        <v/>
      </c>
      <c r="PI39">
        <f>IF(COUNTIF('Buyer Groups'!DG39:EG39,0)+COUNTIF('Buyer Groups'!EI39:EN39,0)&gt;0,0,1)</f>
        <v/>
      </c>
      <c r="PJ39">
        <f>IF($ET$39="",FALSE,SUMPRODUCT(('Final Calculation Sheet'!$AB$4:$AB$40=$ET$39)*($PI$6:$PI$42=1))&gt;0)</f>
        <v/>
      </c>
      <c r="PK39">
        <f>$PK$38+--($PJ39)</f>
        <v/>
      </c>
      <c r="PL39">
        <f>IF(ROW()-3&gt;MAX($PK$4:$PK$40),"",INDEX($ET$4:$ET$40,MATCH(ROW()-3,$PK$4:$PK$40,0)))</f>
        <v/>
      </c>
      <c r="PM39">
        <f>IF(COUNTIF('Buyer Groups'!DG39:EH39,0)+COUNTIF('Buyer Groups'!EJ39:EN39,0)&gt;0,0,1)</f>
        <v/>
      </c>
      <c r="PN39">
        <f>IF($EY$39="",FALSE,SUMPRODUCT(('Final Calculation Sheet'!$AC$4:$AC$40=$EY$39)*($PM$6:$PM$42=1))&gt;0)</f>
        <v/>
      </c>
      <c r="PO39">
        <f>$PO$38+--($PN39)</f>
        <v/>
      </c>
      <c r="PP39">
        <f>IF(ROW()-3&gt;MAX($PO$4:$PO$40),"",INDEX($EY$4:$EY$40,MATCH(ROW()-3,$PO$4:$PO$40,0)))</f>
        <v/>
      </c>
      <c r="PQ39">
        <f>IF(COUNTIF('Buyer Groups'!DG39:EI39,0)+COUNTIF('Buyer Groups'!EK39:EN39,0)&gt;0,0,1)</f>
        <v/>
      </c>
      <c r="PR39">
        <f>IF($FD$39="",FALSE,SUMPRODUCT(('Final Calculation Sheet'!$AD$4:$AD$40=$FD$39)*($PQ$6:$PQ$42=1))&gt;0)</f>
        <v/>
      </c>
      <c r="PS39">
        <f>$PS$38+--($PR39)</f>
        <v/>
      </c>
      <c r="PT39">
        <f>IF(ROW()-3&gt;MAX($PS$4:$PS$40),"",INDEX($FD$4:$FD$40,MATCH(ROW()-3,$PS$4:$PS$40,0)))</f>
        <v/>
      </c>
      <c r="PU39">
        <f>IF(COUNTIF('Buyer Groups'!DG39:EJ39,0)+COUNTIF('Buyer Groups'!EL39:EN39,0)&gt;0,0,1)</f>
        <v/>
      </c>
      <c r="PV39">
        <f>IF($FX$39="",FALSE,SUMPRODUCT((IF('Final Calculation Sheet'!$AD$4:$AD$40&lt;=5,"SETTLED","OUTSTANDING")=$FX$39)*($PU$6:$PU$42=1))&gt;0)</f>
        <v/>
      </c>
      <c r="PW39">
        <f>$PW$38+--($PV39)</f>
        <v/>
      </c>
      <c r="PX39">
        <f>IF(ROW()-3&gt;MAX($PW$4:$PW$40),"",INDEX($FX$4:$FX$40,MATCH(ROW()-3,$PW$4:$PW$40,0)))</f>
        <v/>
      </c>
      <c r="PY39">
        <f>IF(COUNTIF('Buyer Groups'!DG39:EK39,0)+COUNTIF('Buyer Groups'!EM39:EN39,0)&gt;0,0,1)</f>
        <v/>
      </c>
      <c r="PZ39">
        <f>IF($FI$39="",FALSE,SUMPRODUCT(('Final Calculation Sheet'!$AF$4:$AF$40=$FI$39)*($PY$6:$PY$42=1))&gt;0)</f>
        <v/>
      </c>
      <c r="QA39">
        <f>$QA$38+--($PZ39)</f>
        <v/>
      </c>
      <c r="QB39">
        <f>IF(ROW()-3&gt;MAX($QA$4:$QA$40),"",INDEX($FI$4:$FI$40,MATCH(ROW()-3,$QA$4:$QA$40,0)))</f>
        <v/>
      </c>
      <c r="QC39">
        <f>IF(COUNTIF('Buyer Groups'!DG39:EL39,0)+COUNTIF('Buyer Groups'!EN39:EN39,0)&gt;0,0,1)</f>
        <v/>
      </c>
      <c r="QD39">
        <f>IF($FN$39="",FALSE,SUMPRODUCT(('Final Calculation Sheet'!$AG$4:$AG$40=$FN$39)*($QC$6:$QC$42=1))&gt;0)</f>
        <v/>
      </c>
      <c r="QE39">
        <f>$QE$38+--($QD39)</f>
        <v/>
      </c>
      <c r="QF39">
        <f>IF(ROW()-3&gt;MAX($QE$4:$QE$40),"",INDEX($FN$4:$FN$40,MATCH(ROW()-3,$QE$4:$QE$40,0)))</f>
        <v/>
      </c>
      <c r="QG39">
        <f>IF(COUNTIF('Buyer Groups'!DG39:EM39,0)&gt;0,0,1)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Groups'!DH40:EN40,0)&gt;0,0,1)</f>
        <v/>
      </c>
      <c r="LF40">
        <f>IF($O$40="",FALSE,SUMPRODUCT(('Final Calculation Sheet'!$F$4:$F$40=$O$40)*($LE$6:$LE$42=1))&gt;0)</f>
        <v/>
      </c>
      <c r="LG40">
        <f>$LG$39+--($LF40)</f>
        <v/>
      </c>
      <c r="LH40">
        <f>IF(ROW()-3&gt;MAX($LG$4:$LG$40),"",INDEX($O$4:$O$40,MATCH(ROW()-3,$LG$4:$LG$40,0)))</f>
        <v/>
      </c>
      <c r="LI40">
        <f>IF(COUNTIF('Buyer Groups'!DG40:DG40,0)+COUNTIF('Buyer Groups'!DI40:EN40,0)&gt;0,0,1)</f>
        <v/>
      </c>
      <c r="LJ40">
        <f>IF($T$40="",FALSE,SUMPRODUCT(('Final Calculation Sheet'!$G$4:$G$40=$T$40)*($LI$6:$LI$42=1))&gt;0)</f>
        <v/>
      </c>
      <c r="LK40">
        <f>$LK$39+--($LJ40)</f>
        <v/>
      </c>
      <c r="LL40">
        <f>IF(ROW()-3&gt;MAX($LK$4:$LK$40),"",INDEX($T$4:$T$40,MATCH(ROW()-3,$LK$4:$LK$40,0)))</f>
        <v/>
      </c>
      <c r="LM40">
        <f>IF(COUNTIF('Buyer Groups'!DG40:DH40,0)+COUNTIF('Buyer Groups'!DJ40:EN40,0)&gt;0,0,1)</f>
        <v/>
      </c>
      <c r="LN40">
        <f>IF($Y$40="",FALSE,SUMPRODUCT(('Final Calculation Sheet'!$B$4:$B$40=$Y$40)*($LM$6:$LM$42=1))&gt;0)</f>
        <v/>
      </c>
      <c r="LO40">
        <f>$LO$39+--($LN40)</f>
        <v/>
      </c>
      <c r="LP40">
        <f>IF(ROW()-3&gt;MAX($LO$4:$LO$40),"",INDEX($Y$4:$Y$40,MATCH(ROW()-3,$LO$4:$LO$40,0)))</f>
        <v/>
      </c>
      <c r="LQ40">
        <f>IF(COUNTIF('Buyer Groups'!DG40:DI40,0)+COUNTIF('Buyer Groups'!DK40:EN40,0)&gt;0,0,1)</f>
        <v/>
      </c>
      <c r="LR40">
        <f>IF($AD$40="",FALSE,SUMPRODUCT(('Final Calculation Sheet'!$D$4:$D$40=$AD$40)*($LQ$6:$LQ$42=1))&gt;0)</f>
        <v/>
      </c>
      <c r="LS40">
        <f>$LS$39+--($LR40)</f>
        <v/>
      </c>
      <c r="LT40">
        <f>IF(ROW()-3&gt;MAX($LS$4:$LS$40),"",INDEX($AD$4:$AD$40,MATCH(ROW()-3,$LS$4:$LS$40,0)))</f>
        <v/>
      </c>
      <c r="LU40">
        <f>IF(COUNTIF('Buyer Groups'!DG40:DJ40,0)+COUNTIF('Buyer Groups'!DL40:EN40,0)&gt;0,0,1)</f>
        <v/>
      </c>
      <c r="LV40">
        <f>IF($AI$40="",FALSE,SUMPRODUCT(('Final Calculation Sheet'!$A$4:$A$40=$AI$40)*($LU$6:$LU$42=1))&gt;0)</f>
        <v/>
      </c>
      <c r="LW40">
        <f>$LW$39+--($LV40)</f>
        <v/>
      </c>
      <c r="LX40">
        <f>IF(ROW()-3&gt;MAX($LW$4:$LW$40),"",INDEX($AI$4:$AI$40,MATCH(ROW()-3,$LW$4:$LW$40,0)))</f>
        <v/>
      </c>
      <c r="LY40">
        <f>IF(COUNTIF('Buyer Groups'!DG40:DK40,0)+COUNTIF('Buyer Groups'!DM40:EN40,0)&gt;0,0,1)</f>
        <v/>
      </c>
      <c r="LZ40">
        <f>IF($AN$40="",FALSE,SUMPRODUCT(('Final Calculation Sheet'!$E$4:$E$40=$AN$40)*($LY$6:$LY$42=1))&gt;0)</f>
        <v/>
      </c>
      <c r="MA40">
        <f>$MA$39+--($LZ40)</f>
        <v/>
      </c>
      <c r="MB40">
        <f>IF(ROW()-3&gt;MAX($MA$4:$MA$40),"",INDEX($AN$4:$AN$40,MATCH(ROW()-3,$MA$4:$MA$40,0)))</f>
        <v/>
      </c>
      <c r="MC40">
        <f>IF(COUNTIF('Buyer Groups'!DG40:DL40,0)+COUNTIF('Buyer Groups'!DN40:EN40,0)&gt;0,0,1)</f>
        <v/>
      </c>
      <c r="MD40">
        <f>IF($AS$40="",FALSE,SUMPRODUCT(('Final Calculation Sheet'!$C$4:$C$40=$AS$40)*($MC$6:$MC$42=1))&gt;0)</f>
        <v/>
      </c>
      <c r="ME40">
        <f>$ME$39+--($MD40)</f>
        <v/>
      </c>
      <c r="MF40">
        <f>IF(ROW()-3&gt;MAX($ME$4:$ME$40),"",INDEX($AS$4:$AS$40,MATCH(ROW()-3,$ME$4:$ME$40,0)))</f>
        <v/>
      </c>
      <c r="MG40">
        <f>IF(COUNTIF('Buyer Groups'!DG40:DM40,0)+COUNTIF('Buyer Groups'!DO40:EN40,0)&gt;0,0,1)</f>
        <v/>
      </c>
      <c r="MH40">
        <f>IF($AX$40="",FALSE,SUMPRODUCT(('Final Calculation Sheet'!$H$4:$H$40=$AX$40)*($MG$6:$MG$42=1))&gt;0)</f>
        <v/>
      </c>
      <c r="MI40">
        <f>$MI$39+--($MH40)</f>
        <v/>
      </c>
      <c r="MJ40">
        <f>IF(ROW()-3&gt;MAX($MI$4:$MI$40),"",INDEX($AX$4:$AX$40,MATCH(ROW()-3,$MI$4:$MI$40,0)))</f>
        <v/>
      </c>
      <c r="MK40">
        <f>IF(COUNTIF('Buyer Groups'!DG40:DN40,0)+COUNTIF('Buyer Groups'!DP40:EN40,0)&gt;0,0,1)</f>
        <v/>
      </c>
      <c r="ML40">
        <f>IF($BC$40="",FALSE,SUMPRODUCT(('Final Calculation Sheet'!$I$4:$I$40=$BC$40)*($MK$6:$MK$42=1))&gt;0)</f>
        <v/>
      </c>
      <c r="MM40">
        <f>$MM$39+--($ML40)</f>
        <v/>
      </c>
      <c r="MN40">
        <f>IF(ROW()-3&gt;MAX($MM$4:$MM$40),"",INDEX($BC$4:$BC$40,MATCH(ROW()-3,$MM$4:$MM$40,0)))</f>
        <v/>
      </c>
      <c r="MO40">
        <f>IF(COUNTIF('Buyer Groups'!DG40:DO40,0)+COUNTIF('Buyer Groups'!DQ40:EN40,0)&gt;0,0,1)</f>
        <v/>
      </c>
      <c r="MP40">
        <f>IF($BH$40="",FALSE,SUMPRODUCT(('Final Calculation Sheet'!$J$4:$J$40=$BH$40)*($MO$6:$MO$42=1))&gt;0)</f>
        <v/>
      </c>
      <c r="MQ40">
        <f>$MQ$39+--($MP40)</f>
        <v/>
      </c>
      <c r="MR40">
        <f>IF(ROW()-3&gt;MAX($MQ$4:$MQ$40),"",INDEX($BH$4:$BH$40,MATCH(ROW()-3,$MQ$4:$MQ$40,0)))</f>
        <v/>
      </c>
      <c r="MS40">
        <f>IF(COUNTIF('Buyer Groups'!DG40:DP40,0)+COUNTIF('Buyer Groups'!DR40:EN40,0)&gt;0,0,1)</f>
        <v/>
      </c>
      <c r="MT40">
        <f>IF($BM$40="",FALSE,SUMPRODUCT(('Final Calculation Sheet'!$K$4:$K$40=$BM$40)*($MS$6:$MS$42=1))&gt;0)</f>
        <v/>
      </c>
      <c r="MU40">
        <f>$MU$39+--($MT40)</f>
        <v/>
      </c>
      <c r="MV40">
        <f>IF(ROW()-3&gt;MAX($MU$4:$MU$40),"",INDEX($BM$4:$BM$40,MATCH(ROW()-3,$MU$4:$MU$40,0)))</f>
        <v/>
      </c>
      <c r="MW40">
        <f>IF(COUNTIF('Buyer Groups'!DG40:DQ40,0)+COUNTIF('Buyer Groups'!DS40:EN40,0)&gt;0,0,1)</f>
        <v/>
      </c>
      <c r="MX40">
        <f>IF($BR$40="",FALSE,SUMPRODUCT(('Final Calculation Sheet'!$L$4:$L$40=$BR$40)*($MW$6:$MW$42=1))&gt;0)</f>
        <v/>
      </c>
      <c r="MY40">
        <f>$MY$39+--($MX40)</f>
        <v/>
      </c>
      <c r="MZ40">
        <f>IF(ROW()-3&gt;MAX($MY$4:$MY$40),"",INDEX($BR$4:$BR$40,MATCH(ROW()-3,$MY$4:$MY$40,0)))</f>
        <v/>
      </c>
      <c r="NA40">
        <f>IF(COUNTIF('Buyer Groups'!DG40:DR40,0)+COUNTIF('Buyer Groups'!DT40:EN40,0)&gt;0,0,1)</f>
        <v/>
      </c>
      <c r="NB40">
        <f>IF($BW$40="",FALSE,SUMPRODUCT(('Final Calculation Sheet'!$M$4:$M$40=$BW$40)*($NA$6:$NA$42=1))&gt;0)</f>
        <v/>
      </c>
      <c r="NC40">
        <f>$NC$39+--($NB40)</f>
        <v/>
      </c>
      <c r="ND40">
        <f>IF(ROW()-3&gt;MAX($NC$4:$NC$40),"",INDEX($BW$4:$BW$40,MATCH(ROW()-3,$NC$4:$NC$40,0)))</f>
        <v/>
      </c>
      <c r="NE40">
        <f>IF(COUNTIF('Buyer Groups'!DG40:DS40,0)+COUNTIF('Buyer Groups'!DU40:EN40,0)&gt;0,0,1)</f>
        <v/>
      </c>
      <c r="NF40">
        <f>IF($CB$40="",FALSE,SUMPRODUCT(('Final Calculation Sheet'!$N$4:$N$40=$CB$40)*($NE$6:$NE$42=1))&gt;0)</f>
        <v/>
      </c>
      <c r="NG40">
        <f>$NG$39+--($NF40)</f>
        <v/>
      </c>
      <c r="NH40">
        <f>IF(ROW()-3&gt;MAX($NG$4:$NG$40),"",INDEX($CB$4:$CB$40,MATCH(ROW()-3,$NG$4:$NG$40,0)))</f>
        <v/>
      </c>
      <c r="NI40">
        <f>IF(COUNTIF('Buyer Groups'!DG40:DT40,0)+COUNTIF('Buyer Groups'!DV40:EN40,0)&gt;0,0,1)</f>
        <v/>
      </c>
      <c r="NJ40">
        <f>IF($CG$40="",FALSE,SUMPRODUCT(('Final Calculation Sheet'!$O$4:$O$40=$CG$40)*($NI$6:$NI$42=1))&gt;0)</f>
        <v/>
      </c>
      <c r="NK40">
        <f>$NK$39+--($NJ40)</f>
        <v/>
      </c>
      <c r="NL40">
        <f>IF(ROW()-3&gt;MAX($NK$4:$NK$40),"",INDEX($CG$4:$CG$40,MATCH(ROW()-3,$NK$4:$NK$40,0)))</f>
        <v/>
      </c>
      <c r="NM40">
        <f>IF(COUNTIF('Buyer Groups'!DG40:DU40,0)+COUNTIF('Buyer Groups'!DW40:EN40,0)&gt;0,0,1)</f>
        <v/>
      </c>
      <c r="NN40">
        <f>IF($CL$40="",FALSE,SUMPRODUCT(('Final Calculation Sheet'!$P$4:$P$40=$CL$40)*($NM$6:$NM$42=1))&gt;0)</f>
        <v/>
      </c>
      <c r="NO40">
        <f>$NO$39+--($NN40)</f>
        <v/>
      </c>
      <c r="NP40">
        <f>IF(ROW()-3&gt;MAX($NO$4:$NO$40),"",INDEX($CL$4:$CL$40,MATCH(ROW()-3,$NO$4:$NO$40,0)))</f>
        <v/>
      </c>
      <c r="NQ40">
        <f>IF(COUNTIF('Buyer Groups'!DG40:DV40,0)+COUNTIF('Buyer Groups'!DX40:EN40,0)&gt;0,0,1)</f>
        <v/>
      </c>
      <c r="NR40">
        <f>IF($CQ$40="",FALSE,SUMPRODUCT(('Final Calculation Sheet'!$Q$4:$Q$40=$CQ$40)*($NQ$6:$NQ$42=1))&gt;0)</f>
        <v/>
      </c>
      <c r="NS40">
        <f>$NS$39+--($NR40)</f>
        <v/>
      </c>
      <c r="NT40">
        <f>IF(ROW()-3&gt;MAX($NS$4:$NS$40),"",INDEX($CQ$4:$CQ$40,MATCH(ROW()-3,$NS$4:$NS$40,0)))</f>
        <v/>
      </c>
      <c r="NU40">
        <f>IF(COUNTIF('Buyer Groups'!DG40:DW40,0)+COUNTIF('Buyer Groups'!DY40:EN40,0)&gt;0,0,1)</f>
        <v/>
      </c>
      <c r="NV40">
        <f>IF($CV$40="",FALSE,SUMPRODUCT(('Final Calculation Sheet'!$R$4:$R$40=$CV$40)*($NU$6:$NU$42=1))&gt;0)</f>
        <v/>
      </c>
      <c r="NW40">
        <f>$NW$39+--($NV40)</f>
        <v/>
      </c>
      <c r="NX40">
        <f>IF(ROW()-3&gt;MAX($NW$4:$NW$40),"",INDEX($CV$4:$CV$40,MATCH(ROW()-3,$NW$4:$NW$40,0)))</f>
        <v/>
      </c>
      <c r="NY40">
        <f>IF(COUNTIF('Buyer Groups'!DG40:DX40,0)+COUNTIF('Buyer Groups'!DZ40:EN40,0)&gt;0,0,1)</f>
        <v/>
      </c>
      <c r="NZ40">
        <f>IF($DA$40="",FALSE,SUMPRODUCT(('Final Calculation Sheet'!$S$4:$S$40=$DA$40)*($NY$6:$NY$42=1))&gt;0)</f>
        <v/>
      </c>
      <c r="OA40">
        <f>$OA$39+--($NZ40)</f>
        <v/>
      </c>
      <c r="OB40">
        <f>IF(ROW()-3&gt;MAX($OA$4:$OA$40),"",INDEX($DA$4:$DA$40,MATCH(ROW()-3,$OA$4:$OA$40,0)))</f>
        <v/>
      </c>
      <c r="OC40">
        <f>IF(COUNTIF('Buyer Groups'!DG40:DY40,0)+COUNTIF('Buyer Groups'!EA40:EN40,0)&gt;0,0,1)</f>
        <v/>
      </c>
      <c r="OD40">
        <f>IF($DF$40="",FALSE,SUMPRODUCT(('Final Calculation Sheet'!$T$4:$T$40=$DF$40)*($OC$6:$OC$42=1))&gt;0)</f>
        <v/>
      </c>
      <c r="OE40">
        <f>$OE$39+--($OD40)</f>
        <v/>
      </c>
      <c r="OF40">
        <f>IF(ROW()-3&gt;MAX($OE$4:$OE$40),"",INDEX($DF$4:$DF$40,MATCH(ROW()-3,$OE$4:$OE$40,0)))</f>
        <v/>
      </c>
      <c r="OG40">
        <f>IF(COUNTIF('Buyer Groups'!DG40:DZ40,0)+COUNTIF('Buyer Groups'!EB40:EN40,0)&gt;0,0,1)</f>
        <v/>
      </c>
      <c r="OH40">
        <f>IF($DK$40="",FALSE,SUMPRODUCT(('Final Calculation Sheet'!$U$4:$U$40=$DK$40)*($OG$6:$OG$42=1))&gt;0)</f>
        <v/>
      </c>
      <c r="OI40">
        <f>$OI$39+--($OH40)</f>
        <v/>
      </c>
      <c r="OJ40">
        <f>IF(ROW()-3&gt;MAX($OI$4:$OI$40),"",INDEX($DK$4:$DK$40,MATCH(ROW()-3,$OI$4:$OI$40,0)))</f>
        <v/>
      </c>
      <c r="OK40">
        <f>IF(COUNTIF('Buyer Groups'!DG40:EA40,0)+COUNTIF('Buyer Groups'!EC40:EN40,0)&gt;0,0,1)</f>
        <v/>
      </c>
      <c r="OL40">
        <f>IF($DP$40="",FALSE,SUMPRODUCT(('Final Calculation Sheet'!$V$4:$V$40=$DP$40)*($OK$6:$OK$42=1))&gt;0)</f>
        <v/>
      </c>
      <c r="OM40">
        <f>$OM$39+--($OL40)</f>
        <v/>
      </c>
      <c r="ON40">
        <f>IF(ROW()-3&gt;MAX($OM$4:$OM$40),"",INDEX($DP$4:$DP$40,MATCH(ROW()-3,$OM$4:$OM$40,0)))</f>
        <v/>
      </c>
      <c r="OO40">
        <f>IF(COUNTIF('Buyer Groups'!DG40:EB40,0)+COUNTIF('Buyer Groups'!ED40:EN40,0)&gt;0,0,1)</f>
        <v/>
      </c>
      <c r="OP40">
        <f>IF($DU$40="",FALSE,SUMPRODUCT(('Final Calculation Sheet'!$W$4:$W$40=$DU$40)*($OO$6:$OO$42=1))&gt;0)</f>
        <v/>
      </c>
      <c r="OQ40">
        <f>$OQ$39+--($OP40)</f>
        <v/>
      </c>
      <c r="OR40">
        <f>IF(ROW()-3&gt;MAX($OQ$4:$OQ$40),"",INDEX($DU$4:$DU$40,MATCH(ROW()-3,$OQ$4:$OQ$40,0)))</f>
        <v/>
      </c>
      <c r="OS40">
        <f>IF(COUNTIF('Buyer Groups'!DG40:EC40,0)+COUNTIF('Buyer Groups'!EE40:EN40,0)&gt;0,0,1)</f>
        <v/>
      </c>
      <c r="OT40">
        <f>IF($DZ$40="",FALSE,SUMPRODUCT(('Final Calculation Sheet'!$X$4:$X$40=$DZ$40)*($OS$6:$OS$42=1))&gt;0)</f>
        <v/>
      </c>
      <c r="OU40">
        <f>$OU$39+--($OT40)</f>
        <v/>
      </c>
      <c r="OV40">
        <f>IF(ROW()-3&gt;MAX($OU$4:$OU$40),"",INDEX($DZ$4:$DZ$40,MATCH(ROW()-3,$OU$4:$OU$40,0)))</f>
        <v/>
      </c>
      <c r="OW40">
        <f>IF(COUNTIF('Buyer Groups'!DG40:ED40,0)+COUNTIF('Buyer Groups'!EF40:EN40,0)&gt;0,0,1)</f>
        <v/>
      </c>
      <c r="OX40">
        <f>IF($EE$40="",FALSE,SUMPRODUCT(('Final Calculation Sheet'!$Y$4:$Y$40=$EE$40)*($OW$6:$OW$42=1))&gt;0)</f>
        <v/>
      </c>
      <c r="OY40">
        <f>$OY$39+--($OX40)</f>
        <v/>
      </c>
      <c r="OZ40">
        <f>IF(ROW()-3&gt;MAX($OY$4:$OY$40),"",INDEX($EE$4:$EE$40,MATCH(ROW()-3,$OY$4:$OY$40,0)))</f>
        <v/>
      </c>
      <c r="PA40">
        <f>IF(COUNTIF('Buyer Groups'!DG40:EE40,0)+COUNTIF('Buyer Groups'!EG40:EN40,0)&gt;0,0,1)</f>
        <v/>
      </c>
      <c r="PB40">
        <f>IF($EJ$40="",FALSE,SUMPRODUCT(('Final Calculation Sheet'!$Z$4:$Z$40=$EJ$40)*($PA$6:$PA$42=1))&gt;0)</f>
        <v/>
      </c>
      <c r="PC40">
        <f>$PC$39+--($PB40)</f>
        <v/>
      </c>
      <c r="PD40">
        <f>IF(ROW()-3&gt;MAX($PC$4:$PC$40),"",INDEX($EJ$4:$EJ$40,MATCH(ROW()-3,$PC$4:$PC$40,0)))</f>
        <v/>
      </c>
      <c r="PE40">
        <f>IF(COUNTIF('Buyer Groups'!DG40:EF40,0)+COUNTIF('Buyer Groups'!EH40:EN40,0)&gt;0,0,1)</f>
        <v/>
      </c>
      <c r="PF40">
        <f>IF($EO$40="",FALSE,SUMPRODUCT(('Final Calculation Sheet'!$AA$4:$AA$40=$EO$40)*($PE$6:$PE$42=1))&gt;0)</f>
        <v/>
      </c>
      <c r="PG40">
        <f>$PG$39+--($PF40)</f>
        <v/>
      </c>
      <c r="PH40">
        <f>IF(ROW()-3&gt;MAX($PG$4:$PG$40),"",INDEX($EO$4:$EO$40,MATCH(ROW()-3,$PG$4:$PG$40,0)))</f>
        <v/>
      </c>
      <c r="PI40">
        <f>IF(COUNTIF('Buyer Groups'!DG40:EG40,0)+COUNTIF('Buyer Groups'!EI40:EN40,0)&gt;0,0,1)</f>
        <v/>
      </c>
      <c r="PJ40">
        <f>IF($ET$40="",FALSE,SUMPRODUCT(('Final Calculation Sheet'!$AB$4:$AB$40=$ET$40)*($PI$6:$PI$42=1))&gt;0)</f>
        <v/>
      </c>
      <c r="PK40">
        <f>$PK$39+--($PJ40)</f>
        <v/>
      </c>
      <c r="PL40">
        <f>IF(ROW()-3&gt;MAX($PK$4:$PK$40),"",INDEX($ET$4:$ET$40,MATCH(ROW()-3,$PK$4:$PK$40,0)))</f>
        <v/>
      </c>
      <c r="PM40">
        <f>IF(COUNTIF('Buyer Groups'!DG40:EH40,0)+COUNTIF('Buyer Groups'!EJ40:EN40,0)&gt;0,0,1)</f>
        <v/>
      </c>
      <c r="PN40">
        <f>IF($EY$40="",FALSE,SUMPRODUCT(('Final Calculation Sheet'!$AC$4:$AC$40=$EY$40)*($PM$6:$PM$42=1))&gt;0)</f>
        <v/>
      </c>
      <c r="PO40">
        <f>$PO$39+--($PN40)</f>
        <v/>
      </c>
      <c r="PP40">
        <f>IF(ROW()-3&gt;MAX($PO$4:$PO$40),"",INDEX($EY$4:$EY$40,MATCH(ROW()-3,$PO$4:$PO$40,0)))</f>
        <v/>
      </c>
      <c r="PQ40">
        <f>IF(COUNTIF('Buyer Groups'!DG40:EI40,0)+COUNTIF('Buyer Groups'!EK40:EN40,0)&gt;0,0,1)</f>
        <v/>
      </c>
      <c r="PR40">
        <f>IF($FD$40="",FALSE,SUMPRODUCT(('Final Calculation Sheet'!$AD$4:$AD$40=$FD$40)*($PQ$6:$PQ$42=1))&gt;0)</f>
        <v/>
      </c>
      <c r="PS40">
        <f>$PS$39+--($PR40)</f>
        <v/>
      </c>
      <c r="PT40">
        <f>IF(ROW()-3&gt;MAX($PS$4:$PS$40),"",INDEX($FD$4:$FD$40,MATCH(ROW()-3,$PS$4:$PS$40,0)))</f>
        <v/>
      </c>
      <c r="PU40">
        <f>IF(COUNTIF('Buyer Groups'!DG40:EJ40,0)+COUNTIF('Buyer Groups'!EL40:EN40,0)&gt;0,0,1)</f>
        <v/>
      </c>
      <c r="PV40">
        <f>IF($FX$40="",FALSE,SUMPRODUCT((IF('Final Calculation Sheet'!$AD$4:$AD$40&lt;=5,"SETTLED","OUTSTANDING")=$FX$40)*($PU$6:$PU$42=1))&gt;0)</f>
        <v/>
      </c>
      <c r="PW40">
        <f>$PW$39+--($PV40)</f>
        <v/>
      </c>
      <c r="PX40">
        <f>IF(ROW()-3&gt;MAX($PW$4:$PW$40),"",INDEX($FX$4:$FX$40,MATCH(ROW()-3,$PW$4:$PW$40,0)))</f>
        <v/>
      </c>
      <c r="PY40">
        <f>IF(COUNTIF('Buyer Groups'!DG40:EK40,0)+COUNTIF('Buyer Groups'!EM40:EN40,0)&gt;0,0,1)</f>
        <v/>
      </c>
      <c r="PZ40">
        <f>IF($FI$40="",FALSE,SUMPRODUCT(('Final Calculation Sheet'!$AF$4:$AF$40=$FI$40)*($PY$6:$PY$42=1))&gt;0)</f>
        <v/>
      </c>
      <c r="QA40">
        <f>$QA$39+--($PZ40)</f>
        <v/>
      </c>
      <c r="QB40">
        <f>IF(ROW()-3&gt;MAX($QA$4:$QA$40),"",INDEX($FI$4:$FI$40,MATCH(ROW()-3,$QA$4:$QA$40,0)))</f>
        <v/>
      </c>
      <c r="QC40">
        <f>IF(COUNTIF('Buyer Groups'!DG40:EL40,0)+COUNTIF('Buyer Groups'!EN40:EN40,0)&gt;0,0,1)</f>
        <v/>
      </c>
      <c r="QD40">
        <f>IF($FN$40="",FALSE,SUMPRODUCT(('Final Calculation Sheet'!$AG$4:$AG$40=$FN$40)*($QC$6:$QC$42=1))&gt;0)</f>
        <v/>
      </c>
      <c r="QE40">
        <f>$QE$39+--($QD40)</f>
        <v/>
      </c>
      <c r="QF40">
        <f>IF(ROW()-3&gt;MAX($QE$4:$QE$40),"",INDEX($FN$4:$FN$40,MATCH(ROW()-3,$QE$4:$QE$40,0)))</f>
        <v/>
      </c>
      <c r="QG40">
        <f>IF(COUNTIF('Buyer Groups'!DG40:EM40,0)&gt;0,0,1)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Groups'!DH41:EN41,0)&gt;0,0,1)</f>
        <v/>
      </c>
      <c r="LH41">
        <f>IF(ROW()-3&gt;MAX($LG$4:$LG$40),"",INDEX($O$4:$O$40,MATCH(ROW()-3,$LG$4:$LG$40,0)))</f>
        <v/>
      </c>
      <c r="LI41">
        <f>IF(COUNTIF('Buyer Groups'!DG41:DG41,0)+COUNTIF('Buyer Groups'!DI41:EN41,0)&gt;0,0,1)</f>
        <v/>
      </c>
      <c r="LL41">
        <f>IF(ROW()-3&gt;MAX($LK$4:$LK$40),"",INDEX($T$4:$T$40,MATCH(ROW()-3,$LK$4:$LK$40,0)))</f>
        <v/>
      </c>
      <c r="LM41">
        <f>IF(COUNTIF('Buyer Groups'!DG41:DH41,0)+COUNTIF('Buyer Groups'!DJ41:EN41,0)&gt;0,0,1)</f>
        <v/>
      </c>
      <c r="LP41">
        <f>IF(ROW()-3&gt;MAX($LO$4:$LO$40),"",INDEX($Y$4:$Y$40,MATCH(ROW()-3,$LO$4:$LO$40,0)))</f>
        <v/>
      </c>
      <c r="LQ41">
        <f>IF(COUNTIF('Buyer Groups'!DG41:DI41,0)+COUNTIF('Buyer Groups'!DK41:EN41,0)&gt;0,0,1)</f>
        <v/>
      </c>
      <c r="LT41">
        <f>IF(ROW()-3&gt;MAX($LS$4:$LS$40),"",INDEX($AD$4:$AD$40,MATCH(ROW()-3,$LS$4:$LS$40,0)))</f>
        <v/>
      </c>
      <c r="LU41">
        <f>IF(COUNTIF('Buyer Groups'!DG41:DJ41,0)+COUNTIF('Buyer Groups'!DL41:EN41,0)&gt;0,0,1)</f>
        <v/>
      </c>
      <c r="LX41">
        <f>IF(ROW()-3&gt;MAX($LW$4:$LW$40),"",INDEX($AI$4:$AI$40,MATCH(ROW()-3,$LW$4:$LW$40,0)))</f>
        <v/>
      </c>
      <c r="LY41">
        <f>IF(COUNTIF('Buyer Groups'!DG41:DK41,0)+COUNTIF('Buyer Groups'!DM41:EN41,0)&gt;0,0,1)</f>
        <v/>
      </c>
      <c r="MB41">
        <f>IF(ROW()-3&gt;MAX($MA$4:$MA$40),"",INDEX($AN$4:$AN$40,MATCH(ROW()-3,$MA$4:$MA$40,0)))</f>
        <v/>
      </c>
      <c r="MC41">
        <f>IF(COUNTIF('Buyer Groups'!DG41:DL41,0)+COUNTIF('Buyer Groups'!DN41:EN41,0)&gt;0,0,1)</f>
        <v/>
      </c>
      <c r="MF41">
        <f>IF(ROW()-3&gt;MAX($ME$4:$ME$40),"",INDEX($AS$4:$AS$40,MATCH(ROW()-3,$ME$4:$ME$40,0)))</f>
        <v/>
      </c>
      <c r="MG41">
        <f>IF(COUNTIF('Buyer Groups'!DG41:DM41,0)+COUNTIF('Buyer Groups'!DO41:EN41,0)&gt;0,0,1)</f>
        <v/>
      </c>
      <c r="MJ41">
        <f>IF(ROW()-3&gt;MAX($MI$4:$MI$40),"",INDEX($AX$4:$AX$40,MATCH(ROW()-3,$MI$4:$MI$40,0)))</f>
        <v/>
      </c>
      <c r="MK41">
        <f>IF(COUNTIF('Buyer Groups'!DG41:DN41,0)+COUNTIF('Buyer Groups'!DP41:EN41,0)&gt;0,0,1)</f>
        <v/>
      </c>
      <c r="MN41">
        <f>IF(ROW()-3&gt;MAX($MM$4:$MM$40),"",INDEX($BC$4:$BC$40,MATCH(ROW()-3,$MM$4:$MM$40,0)))</f>
        <v/>
      </c>
      <c r="MO41">
        <f>IF(COUNTIF('Buyer Groups'!DG41:DO41,0)+COUNTIF('Buyer Groups'!DQ41:EN41,0)&gt;0,0,1)</f>
        <v/>
      </c>
      <c r="MR41">
        <f>IF(ROW()-3&gt;MAX($MQ$4:$MQ$40),"",INDEX($BH$4:$BH$40,MATCH(ROW()-3,$MQ$4:$MQ$40,0)))</f>
        <v/>
      </c>
      <c r="MS41">
        <f>IF(COUNTIF('Buyer Groups'!DG41:DP41,0)+COUNTIF('Buyer Groups'!DR41:EN41,0)&gt;0,0,1)</f>
        <v/>
      </c>
      <c r="MV41">
        <f>IF(ROW()-3&gt;MAX($MU$4:$MU$40),"",INDEX($BM$4:$BM$40,MATCH(ROW()-3,$MU$4:$MU$40,0)))</f>
        <v/>
      </c>
      <c r="MW41">
        <f>IF(COUNTIF('Buyer Groups'!DG41:DQ41,0)+COUNTIF('Buyer Groups'!DS41:EN41,0)&gt;0,0,1)</f>
        <v/>
      </c>
      <c r="MZ41">
        <f>IF(ROW()-3&gt;MAX($MY$4:$MY$40),"",INDEX($BR$4:$BR$40,MATCH(ROW()-3,$MY$4:$MY$40,0)))</f>
        <v/>
      </c>
      <c r="NA41">
        <f>IF(COUNTIF('Buyer Groups'!DG41:DR41,0)+COUNTIF('Buyer Groups'!DT41:EN41,0)&gt;0,0,1)</f>
        <v/>
      </c>
      <c r="ND41">
        <f>IF(ROW()-3&gt;MAX($NC$4:$NC$40),"",INDEX($BW$4:$BW$40,MATCH(ROW()-3,$NC$4:$NC$40,0)))</f>
        <v/>
      </c>
      <c r="NE41">
        <f>IF(COUNTIF('Buyer Groups'!DG41:DS41,0)+COUNTIF('Buyer Groups'!DU41:EN41,0)&gt;0,0,1)</f>
        <v/>
      </c>
      <c r="NH41">
        <f>IF(ROW()-3&gt;MAX($NG$4:$NG$40),"",INDEX($CB$4:$CB$40,MATCH(ROW()-3,$NG$4:$NG$40,0)))</f>
        <v/>
      </c>
      <c r="NI41">
        <f>IF(COUNTIF('Buyer Groups'!DG41:DT41,0)+COUNTIF('Buyer Groups'!DV41:EN41,0)&gt;0,0,1)</f>
        <v/>
      </c>
      <c r="NL41">
        <f>IF(ROW()-3&gt;MAX($NK$4:$NK$40),"",INDEX($CG$4:$CG$40,MATCH(ROW()-3,$NK$4:$NK$40,0)))</f>
        <v/>
      </c>
      <c r="NM41">
        <f>IF(COUNTIF('Buyer Groups'!DG41:DU41,0)+COUNTIF('Buyer Groups'!DW41:EN41,0)&gt;0,0,1)</f>
        <v/>
      </c>
      <c r="NP41">
        <f>IF(ROW()-3&gt;MAX($NO$4:$NO$40),"",INDEX($CL$4:$CL$40,MATCH(ROW()-3,$NO$4:$NO$40,0)))</f>
        <v/>
      </c>
      <c r="NQ41">
        <f>IF(COUNTIF('Buyer Groups'!DG41:DV41,0)+COUNTIF('Buyer Groups'!DX41:EN41,0)&gt;0,0,1)</f>
        <v/>
      </c>
      <c r="NT41">
        <f>IF(ROW()-3&gt;MAX($NS$4:$NS$40),"",INDEX($CQ$4:$CQ$40,MATCH(ROW()-3,$NS$4:$NS$40,0)))</f>
        <v/>
      </c>
      <c r="NU41">
        <f>IF(COUNTIF('Buyer Groups'!DG41:DW41,0)+COUNTIF('Buyer Groups'!DY41:EN41,0)&gt;0,0,1)</f>
        <v/>
      </c>
      <c r="NX41">
        <f>IF(ROW()-3&gt;MAX($NW$4:$NW$40),"",INDEX($CV$4:$CV$40,MATCH(ROW()-3,$NW$4:$NW$40,0)))</f>
        <v/>
      </c>
      <c r="NY41">
        <f>IF(COUNTIF('Buyer Groups'!DG41:DX41,0)+COUNTIF('Buyer Groups'!DZ41:EN41,0)&gt;0,0,1)</f>
        <v/>
      </c>
      <c r="OB41">
        <f>IF(ROW()-3&gt;MAX($OA$4:$OA$40),"",INDEX($DA$4:$DA$40,MATCH(ROW()-3,$OA$4:$OA$40,0)))</f>
        <v/>
      </c>
      <c r="OC41">
        <f>IF(COUNTIF('Buyer Groups'!DG41:DY41,0)+COUNTIF('Buyer Groups'!EA41:EN41,0)&gt;0,0,1)</f>
        <v/>
      </c>
      <c r="OF41">
        <f>IF(ROW()-3&gt;MAX($OE$4:$OE$40),"",INDEX($DF$4:$DF$40,MATCH(ROW()-3,$OE$4:$OE$40,0)))</f>
        <v/>
      </c>
      <c r="OG41">
        <f>IF(COUNTIF('Buyer Groups'!DG41:DZ41,0)+COUNTIF('Buyer Groups'!EB41:EN41,0)&gt;0,0,1)</f>
        <v/>
      </c>
      <c r="OJ41">
        <f>IF(ROW()-3&gt;MAX($OI$4:$OI$40),"",INDEX($DK$4:$DK$40,MATCH(ROW()-3,$OI$4:$OI$40,0)))</f>
        <v/>
      </c>
      <c r="OK41">
        <f>IF(COUNTIF('Buyer Groups'!DG41:EA41,0)+COUNTIF('Buyer Groups'!EC41:EN41,0)&gt;0,0,1)</f>
        <v/>
      </c>
      <c r="ON41">
        <f>IF(ROW()-3&gt;MAX($OM$4:$OM$40),"",INDEX($DP$4:$DP$40,MATCH(ROW()-3,$OM$4:$OM$40,0)))</f>
        <v/>
      </c>
      <c r="OO41">
        <f>IF(COUNTIF('Buyer Groups'!DG41:EB41,0)+COUNTIF('Buyer Groups'!ED41:EN41,0)&gt;0,0,1)</f>
        <v/>
      </c>
      <c r="OR41">
        <f>IF(ROW()-3&gt;MAX($OQ$4:$OQ$40),"",INDEX($DU$4:$DU$40,MATCH(ROW()-3,$OQ$4:$OQ$40,0)))</f>
        <v/>
      </c>
      <c r="OS41">
        <f>IF(COUNTIF('Buyer Groups'!DG41:EC41,0)+COUNTIF('Buyer Groups'!EE41:EN41,0)&gt;0,0,1)</f>
        <v/>
      </c>
      <c r="OV41">
        <f>IF(ROW()-3&gt;MAX($OU$4:$OU$40),"",INDEX($DZ$4:$DZ$40,MATCH(ROW()-3,$OU$4:$OU$40,0)))</f>
        <v/>
      </c>
      <c r="OW41">
        <f>IF(COUNTIF('Buyer Groups'!DG41:ED41,0)+COUNTIF('Buyer Groups'!EF41:EN41,0)&gt;0,0,1)</f>
        <v/>
      </c>
      <c r="OZ41">
        <f>IF(ROW()-3&gt;MAX($OY$4:$OY$40),"",INDEX($EE$4:$EE$40,MATCH(ROW()-3,$OY$4:$OY$40,0)))</f>
        <v/>
      </c>
      <c r="PA41">
        <f>IF(COUNTIF('Buyer Groups'!DG41:EE41,0)+COUNTIF('Buyer Groups'!EG41:EN41,0)&gt;0,0,1)</f>
        <v/>
      </c>
      <c r="PD41">
        <f>IF(ROW()-3&gt;MAX($PC$4:$PC$40),"",INDEX($EJ$4:$EJ$40,MATCH(ROW()-3,$PC$4:$PC$40,0)))</f>
        <v/>
      </c>
      <c r="PE41">
        <f>IF(COUNTIF('Buyer Groups'!DG41:EF41,0)+COUNTIF('Buyer Groups'!EH41:EN41,0)&gt;0,0,1)</f>
        <v/>
      </c>
      <c r="PH41">
        <f>IF(ROW()-3&gt;MAX($PG$4:$PG$40),"",INDEX($EO$4:$EO$40,MATCH(ROW()-3,$PG$4:$PG$40,0)))</f>
        <v/>
      </c>
      <c r="PI41">
        <f>IF(COUNTIF('Buyer Groups'!DG41:EG41,0)+COUNTIF('Buyer Groups'!EI41:EN41,0)&gt;0,0,1)</f>
        <v/>
      </c>
      <c r="PL41">
        <f>IF(ROW()-3&gt;MAX($PK$4:$PK$40),"",INDEX($ET$4:$ET$40,MATCH(ROW()-3,$PK$4:$PK$40,0)))</f>
        <v/>
      </c>
      <c r="PM41">
        <f>IF(COUNTIF('Buyer Groups'!DG41:EH41,0)+COUNTIF('Buyer Groups'!EJ41:EN41,0)&gt;0,0,1)</f>
        <v/>
      </c>
      <c r="PP41">
        <f>IF(ROW()-3&gt;MAX($PO$4:$PO$40),"",INDEX($EY$4:$EY$40,MATCH(ROW()-3,$PO$4:$PO$40,0)))</f>
        <v/>
      </c>
      <c r="PQ41">
        <f>IF(COUNTIF('Buyer Groups'!DG41:EI41,0)+COUNTIF('Buyer Groups'!EK41:EN41,0)&gt;0,0,1)</f>
        <v/>
      </c>
      <c r="PT41">
        <f>IF(ROW()-3&gt;MAX($PS$4:$PS$40),"",INDEX($FD$4:$FD$40,MATCH(ROW()-3,$PS$4:$PS$40,0)))</f>
        <v/>
      </c>
      <c r="PU41">
        <f>IF(COUNTIF('Buyer Groups'!DG41:EJ41,0)+COUNTIF('Buyer Groups'!EL41:EN41,0)&gt;0,0,1)</f>
        <v/>
      </c>
      <c r="PX41">
        <f>IF(ROW()-3&gt;MAX($PW$4:$PW$40),"",INDEX($FX$4:$FX$40,MATCH(ROW()-3,$PW$4:$PW$40,0)))</f>
        <v/>
      </c>
      <c r="PY41">
        <f>IF(COUNTIF('Buyer Groups'!DG41:EK41,0)+COUNTIF('Buyer Groups'!EM41:EN41,0)&gt;0,0,1)</f>
        <v/>
      </c>
      <c r="QB41">
        <f>IF(ROW()-3&gt;MAX($QA$4:$QA$40),"",INDEX($FI$4:$FI$40,MATCH(ROW()-3,$QA$4:$QA$40,0)))</f>
        <v/>
      </c>
      <c r="QC41">
        <f>IF(COUNTIF('Buyer Groups'!DG41:EL41,0)+COUNTIF('Buyer Groups'!EN41:EN41,0)&gt;0,0,1)</f>
        <v/>
      </c>
      <c r="QF41">
        <f>IF(ROW()-3&gt;MAX($QE$4:$QE$40),"",INDEX($FN$4:$FN$40,MATCH(ROW()-3,$QE$4:$QE$40,0)))</f>
        <v/>
      </c>
      <c r="QG41">
        <f>IF(COUNTIF('Buyer Groups'!DG41:EM41,0)&gt;0,0,1)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Groups'!DH42:EN42,0)&gt;0,0,1)</f>
        <v/>
      </c>
      <c r="LH42">
        <f>IF(ROW()-3&gt;MAX($LG$4:$LG$40),"",INDEX($O$4:$O$40,MATCH(ROW()-3,$LG$4:$LG$40,0)))</f>
        <v/>
      </c>
      <c r="LI42">
        <f>IF(COUNTIF('Buyer Groups'!DG42:DG42,0)+COUNTIF('Buyer Groups'!DI42:EN42,0)&gt;0,0,1)</f>
        <v/>
      </c>
      <c r="LL42">
        <f>IF(ROW()-3&gt;MAX($LK$4:$LK$40),"",INDEX($T$4:$T$40,MATCH(ROW()-3,$LK$4:$LK$40,0)))</f>
        <v/>
      </c>
      <c r="LM42">
        <f>IF(COUNTIF('Buyer Groups'!DG42:DH42,0)+COUNTIF('Buyer Groups'!DJ42:EN42,0)&gt;0,0,1)</f>
        <v/>
      </c>
      <c r="LP42">
        <f>IF(ROW()-3&gt;MAX($LO$4:$LO$40),"",INDEX($Y$4:$Y$40,MATCH(ROW()-3,$LO$4:$LO$40,0)))</f>
        <v/>
      </c>
      <c r="LQ42">
        <f>IF(COUNTIF('Buyer Groups'!DG42:DI42,0)+COUNTIF('Buyer Groups'!DK42:EN42,0)&gt;0,0,1)</f>
        <v/>
      </c>
      <c r="LT42">
        <f>IF(ROW()-3&gt;MAX($LS$4:$LS$40),"",INDEX($AD$4:$AD$40,MATCH(ROW()-3,$LS$4:$LS$40,0)))</f>
        <v/>
      </c>
      <c r="LU42">
        <f>IF(COUNTIF('Buyer Groups'!DG42:DJ42,0)+COUNTIF('Buyer Groups'!DL42:EN42,0)&gt;0,0,1)</f>
        <v/>
      </c>
      <c r="LX42">
        <f>IF(ROW()-3&gt;MAX($LW$4:$LW$40),"",INDEX($AI$4:$AI$40,MATCH(ROW()-3,$LW$4:$LW$40,0)))</f>
        <v/>
      </c>
      <c r="LY42">
        <f>IF(COUNTIF('Buyer Groups'!DG42:DK42,0)+COUNTIF('Buyer Groups'!DM42:EN42,0)&gt;0,0,1)</f>
        <v/>
      </c>
      <c r="MB42">
        <f>IF(ROW()-3&gt;MAX($MA$4:$MA$40),"",INDEX($AN$4:$AN$40,MATCH(ROW()-3,$MA$4:$MA$40,0)))</f>
        <v/>
      </c>
      <c r="MC42">
        <f>IF(COUNTIF('Buyer Groups'!DG42:DL42,0)+COUNTIF('Buyer Groups'!DN42:EN42,0)&gt;0,0,1)</f>
        <v/>
      </c>
      <c r="MF42">
        <f>IF(ROW()-3&gt;MAX($ME$4:$ME$40),"",INDEX($AS$4:$AS$40,MATCH(ROW()-3,$ME$4:$ME$40,0)))</f>
        <v/>
      </c>
      <c r="MG42">
        <f>IF(COUNTIF('Buyer Groups'!DG42:DM42,0)+COUNTIF('Buyer Groups'!DO42:EN42,0)&gt;0,0,1)</f>
        <v/>
      </c>
      <c r="MJ42">
        <f>IF(ROW()-3&gt;MAX($MI$4:$MI$40),"",INDEX($AX$4:$AX$40,MATCH(ROW()-3,$MI$4:$MI$40,0)))</f>
        <v/>
      </c>
      <c r="MK42">
        <f>IF(COUNTIF('Buyer Groups'!DG42:DN42,0)+COUNTIF('Buyer Groups'!DP42:EN42,0)&gt;0,0,1)</f>
        <v/>
      </c>
      <c r="MN42">
        <f>IF(ROW()-3&gt;MAX($MM$4:$MM$40),"",INDEX($BC$4:$BC$40,MATCH(ROW()-3,$MM$4:$MM$40,0)))</f>
        <v/>
      </c>
      <c r="MO42">
        <f>IF(COUNTIF('Buyer Groups'!DG42:DO42,0)+COUNTIF('Buyer Groups'!DQ42:EN42,0)&gt;0,0,1)</f>
        <v/>
      </c>
      <c r="MR42">
        <f>IF(ROW()-3&gt;MAX($MQ$4:$MQ$40),"",INDEX($BH$4:$BH$40,MATCH(ROW()-3,$MQ$4:$MQ$40,0)))</f>
        <v/>
      </c>
      <c r="MS42">
        <f>IF(COUNTIF('Buyer Groups'!DG42:DP42,0)+COUNTIF('Buyer Groups'!DR42:EN42,0)&gt;0,0,1)</f>
        <v/>
      </c>
      <c r="MV42">
        <f>IF(ROW()-3&gt;MAX($MU$4:$MU$40),"",INDEX($BM$4:$BM$40,MATCH(ROW()-3,$MU$4:$MU$40,0)))</f>
        <v/>
      </c>
      <c r="MW42">
        <f>IF(COUNTIF('Buyer Groups'!DG42:DQ42,0)+COUNTIF('Buyer Groups'!DS42:EN42,0)&gt;0,0,1)</f>
        <v/>
      </c>
      <c r="MZ42">
        <f>IF(ROW()-3&gt;MAX($MY$4:$MY$40),"",INDEX($BR$4:$BR$40,MATCH(ROW()-3,$MY$4:$MY$40,0)))</f>
        <v/>
      </c>
      <c r="NA42">
        <f>IF(COUNTIF('Buyer Groups'!DG42:DR42,0)+COUNTIF('Buyer Groups'!DT42:EN42,0)&gt;0,0,1)</f>
        <v/>
      </c>
      <c r="ND42">
        <f>IF(ROW()-3&gt;MAX($NC$4:$NC$40),"",INDEX($BW$4:$BW$40,MATCH(ROW()-3,$NC$4:$NC$40,0)))</f>
        <v/>
      </c>
      <c r="NE42">
        <f>IF(COUNTIF('Buyer Groups'!DG42:DS42,0)+COUNTIF('Buyer Groups'!DU42:EN42,0)&gt;0,0,1)</f>
        <v/>
      </c>
      <c r="NH42">
        <f>IF(ROW()-3&gt;MAX($NG$4:$NG$40),"",INDEX($CB$4:$CB$40,MATCH(ROW()-3,$NG$4:$NG$40,0)))</f>
        <v/>
      </c>
      <c r="NI42">
        <f>IF(COUNTIF('Buyer Groups'!DG42:DT42,0)+COUNTIF('Buyer Groups'!DV42:EN42,0)&gt;0,0,1)</f>
        <v/>
      </c>
      <c r="NL42">
        <f>IF(ROW()-3&gt;MAX($NK$4:$NK$40),"",INDEX($CG$4:$CG$40,MATCH(ROW()-3,$NK$4:$NK$40,0)))</f>
        <v/>
      </c>
      <c r="NM42">
        <f>IF(COUNTIF('Buyer Groups'!DG42:DU42,0)+COUNTIF('Buyer Groups'!DW42:EN42,0)&gt;0,0,1)</f>
        <v/>
      </c>
      <c r="NP42">
        <f>IF(ROW()-3&gt;MAX($NO$4:$NO$40),"",INDEX($CL$4:$CL$40,MATCH(ROW()-3,$NO$4:$NO$40,0)))</f>
        <v/>
      </c>
      <c r="NQ42">
        <f>IF(COUNTIF('Buyer Groups'!DG42:DV42,0)+COUNTIF('Buyer Groups'!DX42:EN42,0)&gt;0,0,1)</f>
        <v/>
      </c>
      <c r="NT42">
        <f>IF(ROW()-3&gt;MAX($NS$4:$NS$40),"",INDEX($CQ$4:$CQ$40,MATCH(ROW()-3,$NS$4:$NS$40,0)))</f>
        <v/>
      </c>
      <c r="NU42">
        <f>IF(COUNTIF('Buyer Groups'!DG42:DW42,0)+COUNTIF('Buyer Groups'!DY42:EN42,0)&gt;0,0,1)</f>
        <v/>
      </c>
      <c r="NX42">
        <f>IF(ROW()-3&gt;MAX($NW$4:$NW$40),"",INDEX($CV$4:$CV$40,MATCH(ROW()-3,$NW$4:$NW$40,0)))</f>
        <v/>
      </c>
      <c r="NY42">
        <f>IF(COUNTIF('Buyer Groups'!DG42:DX42,0)+COUNTIF('Buyer Groups'!DZ42:EN42,0)&gt;0,0,1)</f>
        <v/>
      </c>
      <c r="OB42">
        <f>IF(ROW()-3&gt;MAX($OA$4:$OA$40),"",INDEX($DA$4:$DA$40,MATCH(ROW()-3,$OA$4:$OA$40,0)))</f>
        <v/>
      </c>
      <c r="OC42">
        <f>IF(COUNTIF('Buyer Groups'!DG42:DY42,0)+COUNTIF('Buyer Groups'!EA42:EN42,0)&gt;0,0,1)</f>
        <v/>
      </c>
      <c r="OF42">
        <f>IF(ROW()-3&gt;MAX($OE$4:$OE$40),"",INDEX($DF$4:$DF$40,MATCH(ROW()-3,$OE$4:$OE$40,0)))</f>
        <v/>
      </c>
      <c r="OG42">
        <f>IF(COUNTIF('Buyer Groups'!DG42:DZ42,0)+COUNTIF('Buyer Groups'!EB42:EN42,0)&gt;0,0,1)</f>
        <v/>
      </c>
      <c r="OJ42">
        <f>IF(ROW()-3&gt;MAX($OI$4:$OI$40),"",INDEX($DK$4:$DK$40,MATCH(ROW()-3,$OI$4:$OI$40,0)))</f>
        <v/>
      </c>
      <c r="OK42">
        <f>IF(COUNTIF('Buyer Groups'!DG42:EA42,0)+COUNTIF('Buyer Groups'!EC42:EN42,0)&gt;0,0,1)</f>
        <v/>
      </c>
      <c r="ON42">
        <f>IF(ROW()-3&gt;MAX($OM$4:$OM$40),"",INDEX($DP$4:$DP$40,MATCH(ROW()-3,$OM$4:$OM$40,0)))</f>
        <v/>
      </c>
      <c r="OO42">
        <f>IF(COUNTIF('Buyer Groups'!DG42:EB42,0)+COUNTIF('Buyer Groups'!ED42:EN42,0)&gt;0,0,1)</f>
        <v/>
      </c>
      <c r="OR42">
        <f>IF(ROW()-3&gt;MAX($OQ$4:$OQ$40),"",INDEX($DU$4:$DU$40,MATCH(ROW()-3,$OQ$4:$OQ$40,0)))</f>
        <v/>
      </c>
      <c r="OS42">
        <f>IF(COUNTIF('Buyer Groups'!DG42:EC42,0)+COUNTIF('Buyer Groups'!EE42:EN42,0)&gt;0,0,1)</f>
        <v/>
      </c>
      <c r="OV42">
        <f>IF(ROW()-3&gt;MAX($OU$4:$OU$40),"",INDEX($DZ$4:$DZ$40,MATCH(ROW()-3,$OU$4:$OU$40,0)))</f>
        <v/>
      </c>
      <c r="OW42">
        <f>IF(COUNTIF('Buyer Groups'!DG42:ED42,0)+COUNTIF('Buyer Groups'!EF42:EN42,0)&gt;0,0,1)</f>
        <v/>
      </c>
      <c r="OZ42">
        <f>IF(ROW()-3&gt;MAX($OY$4:$OY$40),"",INDEX($EE$4:$EE$40,MATCH(ROW()-3,$OY$4:$OY$40,0)))</f>
        <v/>
      </c>
      <c r="PA42">
        <f>IF(COUNTIF('Buyer Groups'!DG42:EE42,0)+COUNTIF('Buyer Groups'!EG42:EN42,0)&gt;0,0,1)</f>
        <v/>
      </c>
      <c r="PD42">
        <f>IF(ROW()-3&gt;MAX($PC$4:$PC$40),"",INDEX($EJ$4:$EJ$40,MATCH(ROW()-3,$PC$4:$PC$40,0)))</f>
        <v/>
      </c>
      <c r="PE42">
        <f>IF(COUNTIF('Buyer Groups'!DG42:EF42,0)+COUNTIF('Buyer Groups'!EH42:EN42,0)&gt;0,0,1)</f>
        <v/>
      </c>
      <c r="PH42">
        <f>IF(ROW()-3&gt;MAX($PG$4:$PG$40),"",INDEX($EO$4:$EO$40,MATCH(ROW()-3,$PG$4:$PG$40,0)))</f>
        <v/>
      </c>
      <c r="PI42">
        <f>IF(COUNTIF('Buyer Groups'!DG42:EG42,0)+COUNTIF('Buyer Groups'!EI42:EN42,0)&gt;0,0,1)</f>
        <v/>
      </c>
      <c r="PL42">
        <f>IF(ROW()-3&gt;MAX($PK$4:$PK$40),"",INDEX($ET$4:$ET$40,MATCH(ROW()-3,$PK$4:$PK$40,0)))</f>
        <v/>
      </c>
      <c r="PM42">
        <f>IF(COUNTIF('Buyer Groups'!DG42:EH42,0)+COUNTIF('Buyer Groups'!EJ42:EN42,0)&gt;0,0,1)</f>
        <v/>
      </c>
      <c r="PP42">
        <f>IF(ROW()-3&gt;MAX($PO$4:$PO$40),"",INDEX($EY$4:$EY$40,MATCH(ROW()-3,$PO$4:$PO$40,0)))</f>
        <v/>
      </c>
      <c r="PQ42">
        <f>IF(COUNTIF('Buyer Groups'!DG42:EI42,0)+COUNTIF('Buyer Groups'!EK42:EN42,0)&gt;0,0,1)</f>
        <v/>
      </c>
      <c r="PT42">
        <f>IF(ROW()-3&gt;MAX($PS$4:$PS$40),"",INDEX($FD$4:$FD$40,MATCH(ROW()-3,$PS$4:$PS$40,0)))</f>
        <v/>
      </c>
      <c r="PU42">
        <f>IF(COUNTIF('Buyer Groups'!DG42:EJ42,0)+COUNTIF('Buyer Groups'!EL42:EN42,0)&gt;0,0,1)</f>
        <v/>
      </c>
      <c r="PX42">
        <f>IF(ROW()-3&gt;MAX($PW$4:$PW$40),"",INDEX($FX$4:$FX$40,MATCH(ROW()-3,$PW$4:$PW$40,0)))</f>
        <v/>
      </c>
      <c r="PY42">
        <f>IF(COUNTIF('Buyer Groups'!DG42:EK42,0)+COUNTIF('Buyer Groups'!EM42:EN42,0)&gt;0,0,1)</f>
        <v/>
      </c>
      <c r="QB42">
        <f>IF(ROW()-3&gt;MAX($QA$4:$QA$40),"",INDEX($FI$4:$FI$40,MATCH(ROW()-3,$QA$4:$QA$40,0)))</f>
        <v/>
      </c>
      <c r="QC42">
        <f>IF(COUNTIF('Buyer Groups'!DG42:EL42,0)+COUNTIF('Buyer Groups'!EN42:EN42,0)&gt;0,0,1)</f>
        <v/>
      </c>
      <c r="QF42">
        <f>IF(ROW()-3&gt;MAX($QE$4:$QE$40),"",INDEX($FN$4:$FN$40,MATCH(ROW()-3,$QE$4:$QE$40,0)))</f>
        <v/>
      </c>
      <c r="QG42">
        <f>IF(COUNTIF('Buyer Groups'!DG42:EM42,0)&gt;0,0,1)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