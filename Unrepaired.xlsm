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Lists!$A$4:$A$114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6">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23" fillId="0" borderId="0" xfId="0" applyFont="1"/>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  •  RESET — double-click the red RESET label (row 3) to clear every search box and put the table back in its original order.</t>
        </is>
      </c>
    </row>
    <row r="3" ht="30" customHeight="1" s="137">
      <c r="A3" s="59" t="inlineStr">
        <is>
          <t>🔍  SEARCH  ▸</t>
        </is>
      </c>
      <c r="B3" s="144" t="n"/>
      <c r="C3" s="60" t="inlineStr">
        <is>
          <t>BUYER 2  ▸</t>
        </is>
      </c>
      <c r="D3" s="61"/>
      <c r="E3" s="60" t="inlineStr">
        <is>
          <t>SEARCH IN  ▸</t>
        </is>
      </c>
      <c r="F3" s="61" t="inlineStr">
        <is>
          <t>Lot No. + Buyer + Name</t>
        </is>
      </c>
      <c r="G3" s="60" t="inlineStr">
        <is>
          <t>MATCHES  ▸</t>
        </is>
      </c>
      <c r="H3" s="62">
        <f>SUM($AM$5:$AM$41)&amp;" of 37"</f>
        <v/>
      </c>
      <c r="I3" s="145" t="inlineStr">
        <is>
          <t>◀ type in B3 or the yellow cells above any header — comma = ANY, &amp; = ALL • double-click ↺ RESET to clear</t>
        </is>
      </c>
      <c r="Q3" s="165" t="inlineStr">
        <is>
          <t>↺ RESET (double-click)</t>
        </is>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c r="CW3">
        <f>$C$4&amp;IF($D$3&lt;&gt;"",",","")&amp;$D$3</f>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IF($CW$3="",1,--(OR(SUMPRODUCT(--(TRIM(MID(SUBSTITUTE(SUBSTITUTE($CW$3,"/",","),",",REPT(" ",99)),(ROW($1:$8)-1)*99+1,99))&lt;&gt;""),--ISNUMBER(SEARCH(TRIM(MID(SUBSTITUTE(SUBSTITUTE($CW$3,"/",","),",",REPT(" ",99)),(ROW($1:$8)-1)*99+1,99)),IFERROR(('Final Calculation Sheet'!$G$4)&amp;"",""))))&gt;0,AND(ISNUMBER(SEARCH("blank",$CW$3)),NOT(ISNUMBER(SEARCH("nonblank",$CW$3))),IFERROR(('Final Calculation Sheet'!$G$4)&amp;"","")=""),AND(OR(ISNUMBER(SEARCH("nonblank",$CW$3)),ISNUMBER(SEARCH("&lt;&gt;",$CW$3))),IFERROR(('Final Calculation Sheet'!$G$4)&amp;"","")&lt;&gt;""),AND(TRIM($CW$3)="",IFERROR(('Final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IF($CW$3="",1,--(OR(SUMPRODUCT(--(TRIM(MID(SUBSTITUTE(SUBSTITUTE($CW$3,"/",","),",",REPT(" ",99)),(ROW($1:$8)-1)*99+1,99))&lt;&gt;""),--ISNUMBER(SEARCH(TRIM(MID(SUBSTITUTE(SUBSTITUTE($CW$3,"/",","),",",REPT(" ",99)),(ROW($1:$8)-1)*99+1,99)),IFERROR(('Final Calculation Sheet'!$G$5)&amp;"",""))))&gt;0,AND(ISNUMBER(SEARCH("blank",$CW$3)),NOT(ISNUMBER(SEARCH("nonblank",$CW$3))),IFERROR(('Final Calculation Sheet'!$G$5)&amp;"","")=""),AND(OR(ISNUMBER(SEARCH("nonblank",$CW$3)),ISNUMBER(SEARCH("&lt;&gt;",$CW$3))),IFERROR(('Final Calculation Sheet'!$G$5)&amp;"","")&lt;&gt;""),AND(TRIM($CW$3)="",IFERROR(('Final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IF($CW$3="",1,--(OR(SUMPRODUCT(--(TRIM(MID(SUBSTITUTE(SUBSTITUTE($CW$3,"/",","),",",REPT(" ",99)),(ROW($1:$8)-1)*99+1,99))&lt;&gt;""),--ISNUMBER(SEARCH(TRIM(MID(SUBSTITUTE(SUBSTITUTE($CW$3,"/",","),",",REPT(" ",99)),(ROW($1:$8)-1)*99+1,99)),IFERROR(('Final Calculation Sheet'!$G$6)&amp;"",""))))&gt;0,AND(ISNUMBER(SEARCH("blank",$CW$3)),NOT(ISNUMBER(SEARCH("nonblank",$CW$3))),IFERROR(('Final Calculation Sheet'!$G$6)&amp;"","")=""),AND(OR(ISNUMBER(SEARCH("nonblank",$CW$3)),ISNUMBER(SEARCH("&lt;&gt;",$CW$3))),IFERROR(('Final Calculation Sheet'!$G$6)&amp;"","")&lt;&gt;""),AND(TRIM($CW$3)="",IFERROR(('Final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IF($CW$3="",1,--(OR(SUMPRODUCT(--(TRIM(MID(SUBSTITUTE(SUBSTITUTE($CW$3,"/",","),",",REPT(" ",99)),(ROW($1:$8)-1)*99+1,99))&lt;&gt;""),--ISNUMBER(SEARCH(TRIM(MID(SUBSTITUTE(SUBSTITUTE($CW$3,"/",","),",",REPT(" ",99)),(ROW($1:$8)-1)*99+1,99)),IFERROR(('Final Calculation Sheet'!$G$7)&amp;"",""))))&gt;0,AND(ISNUMBER(SEARCH("blank",$CW$3)),NOT(ISNUMBER(SEARCH("nonblank",$CW$3))),IFERROR(('Final Calculation Sheet'!$G$7)&amp;"","")=""),AND(OR(ISNUMBER(SEARCH("nonblank",$CW$3)),ISNUMBER(SEARCH("&lt;&gt;",$CW$3))),IFERROR(('Final Calculation Sheet'!$G$7)&amp;"","")&lt;&gt;""),AND(TRIM($CW$3)="",IFERROR(('Final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IF($CW$3="",1,--(OR(SUMPRODUCT(--(TRIM(MID(SUBSTITUTE(SUBSTITUTE($CW$3,"/",","),",",REPT(" ",99)),(ROW($1:$8)-1)*99+1,99))&lt;&gt;""),--ISNUMBER(SEARCH(TRIM(MID(SUBSTITUTE(SUBSTITUTE($CW$3,"/",","),",",REPT(" ",99)),(ROW($1:$8)-1)*99+1,99)),IFERROR(('Final Calculation Sheet'!$G$8)&amp;"",""))))&gt;0,AND(ISNUMBER(SEARCH("blank",$CW$3)),NOT(ISNUMBER(SEARCH("nonblank",$CW$3))),IFERROR(('Final Calculation Sheet'!$G$8)&amp;"","")=""),AND(OR(ISNUMBER(SEARCH("nonblank",$CW$3)),ISNUMBER(SEARCH("&lt;&gt;",$CW$3))),IFERROR(('Final Calculation Sheet'!$G$8)&amp;"","")&lt;&gt;""),AND(TRIM($CW$3)="",IFERROR(('Final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IF($CW$3="",1,--(OR(SUMPRODUCT(--(TRIM(MID(SUBSTITUTE(SUBSTITUTE($CW$3,"/",","),",",REPT(" ",99)),(ROW($1:$8)-1)*99+1,99))&lt;&gt;""),--ISNUMBER(SEARCH(TRIM(MID(SUBSTITUTE(SUBSTITUTE($CW$3,"/",","),",",REPT(" ",99)),(ROW($1:$8)-1)*99+1,99)),IFERROR(('Final Calculation Sheet'!$G$9)&amp;"",""))))&gt;0,AND(ISNUMBER(SEARCH("blank",$CW$3)),NOT(ISNUMBER(SEARCH("nonblank",$CW$3))),IFERROR(('Final Calculation Sheet'!$G$9)&amp;"","")=""),AND(OR(ISNUMBER(SEARCH("nonblank",$CW$3)),ISNUMBER(SEARCH("&lt;&gt;",$CW$3))),IFERROR(('Final Calculation Sheet'!$G$9)&amp;"","")&lt;&gt;""),AND(TRIM($CW$3)="",IFERROR(('Final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IF($CW$3="",1,--(OR(SUMPRODUCT(--(TRIM(MID(SUBSTITUTE(SUBSTITUTE($CW$3,"/",","),",",REPT(" ",99)),(ROW($1:$8)-1)*99+1,99))&lt;&gt;""),--ISNUMBER(SEARCH(TRIM(MID(SUBSTITUTE(SUBSTITUTE($CW$3,"/",","),",",REPT(" ",99)),(ROW($1:$8)-1)*99+1,99)),IFERROR(('Final Calculation Sheet'!$G$10)&amp;"",""))))&gt;0,AND(ISNUMBER(SEARCH("blank",$CW$3)),NOT(ISNUMBER(SEARCH("nonblank",$CW$3))),IFERROR(('Final Calculation Sheet'!$G$10)&amp;"","")=""),AND(OR(ISNUMBER(SEARCH("nonblank",$CW$3)),ISNUMBER(SEARCH("&lt;&gt;",$CW$3))),IFERROR(('Final Calculation Sheet'!$G$10)&amp;"","")&lt;&gt;""),AND(TRIM($CW$3)="",IFERROR(('Final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IF($CW$3="",1,--(OR(SUMPRODUCT(--(TRIM(MID(SUBSTITUTE(SUBSTITUTE($CW$3,"/",","),",",REPT(" ",99)),(ROW($1:$8)-1)*99+1,99))&lt;&gt;""),--ISNUMBER(SEARCH(TRIM(MID(SUBSTITUTE(SUBSTITUTE($CW$3,"/",","),",",REPT(" ",99)),(ROW($1:$8)-1)*99+1,99)),IFERROR(('Final Calculation Sheet'!$G$11)&amp;"",""))))&gt;0,AND(ISNUMBER(SEARCH("blank",$CW$3)),NOT(ISNUMBER(SEARCH("nonblank",$CW$3))),IFERROR(('Final Calculation Sheet'!$G$11)&amp;"","")=""),AND(OR(ISNUMBER(SEARCH("nonblank",$CW$3)),ISNUMBER(SEARCH("&lt;&gt;",$CW$3))),IFERROR(('Final Calculation Sheet'!$G$11)&amp;"","")&lt;&gt;""),AND(TRIM($CW$3)="",IFERROR(('Final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IF($CW$3="",1,--(OR(SUMPRODUCT(--(TRIM(MID(SUBSTITUTE(SUBSTITUTE($CW$3,"/",","),",",REPT(" ",99)),(ROW($1:$8)-1)*99+1,99))&lt;&gt;""),--ISNUMBER(SEARCH(TRIM(MID(SUBSTITUTE(SUBSTITUTE($CW$3,"/",","),",",REPT(" ",99)),(ROW($1:$8)-1)*99+1,99)),IFERROR(('Final Calculation Sheet'!$G$12)&amp;"",""))))&gt;0,AND(ISNUMBER(SEARCH("blank",$CW$3)),NOT(ISNUMBER(SEARCH("nonblank",$CW$3))),IFERROR(('Final Calculation Sheet'!$G$12)&amp;"","")=""),AND(OR(ISNUMBER(SEARCH("nonblank",$CW$3)),ISNUMBER(SEARCH("&lt;&gt;",$CW$3))),IFERROR(('Final Calculation Sheet'!$G$12)&amp;"","")&lt;&gt;""),AND(TRIM($CW$3)="",IFERROR(('Final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IF($CW$3="",1,--(OR(SUMPRODUCT(--(TRIM(MID(SUBSTITUTE(SUBSTITUTE($CW$3,"/",","),",",REPT(" ",99)),(ROW($1:$8)-1)*99+1,99))&lt;&gt;""),--ISNUMBER(SEARCH(TRIM(MID(SUBSTITUTE(SUBSTITUTE($CW$3,"/",","),",",REPT(" ",99)),(ROW($1:$8)-1)*99+1,99)),IFERROR(('Final Calculation Sheet'!$G$13)&amp;"",""))))&gt;0,AND(ISNUMBER(SEARCH("blank",$CW$3)),NOT(ISNUMBER(SEARCH("nonblank",$CW$3))),IFERROR(('Final Calculation Sheet'!$G$13)&amp;"","")=""),AND(OR(ISNUMBER(SEARCH("nonblank",$CW$3)),ISNUMBER(SEARCH("&lt;&gt;",$CW$3))),IFERROR(('Final Calculation Sheet'!$G$13)&amp;"","")&lt;&gt;""),AND(TRIM($CW$3)="",IFERROR(('Final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IF($CW$3="",1,--(OR(SUMPRODUCT(--(TRIM(MID(SUBSTITUTE(SUBSTITUTE($CW$3,"/",","),",",REPT(" ",99)),(ROW($1:$8)-1)*99+1,99))&lt;&gt;""),--ISNUMBER(SEARCH(TRIM(MID(SUBSTITUTE(SUBSTITUTE($CW$3,"/",","),",",REPT(" ",99)),(ROW($1:$8)-1)*99+1,99)),IFERROR(('Final Calculation Sheet'!$G$14)&amp;"",""))))&gt;0,AND(ISNUMBER(SEARCH("blank",$CW$3)),NOT(ISNUMBER(SEARCH("nonblank",$CW$3))),IFERROR(('Final Calculation Sheet'!$G$14)&amp;"","")=""),AND(OR(ISNUMBER(SEARCH("nonblank",$CW$3)),ISNUMBER(SEARCH("&lt;&gt;",$CW$3))),IFERROR(('Final Calculation Sheet'!$G$14)&amp;"","")&lt;&gt;""),AND(TRIM($CW$3)="",IFERROR(('Final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IF($CW$3="",1,--(OR(SUMPRODUCT(--(TRIM(MID(SUBSTITUTE(SUBSTITUTE($CW$3,"/",","),",",REPT(" ",99)),(ROW($1:$8)-1)*99+1,99))&lt;&gt;""),--ISNUMBER(SEARCH(TRIM(MID(SUBSTITUTE(SUBSTITUTE($CW$3,"/",","),",",REPT(" ",99)),(ROW($1:$8)-1)*99+1,99)),IFERROR(('Final Calculation Sheet'!$G$15)&amp;"",""))))&gt;0,AND(ISNUMBER(SEARCH("blank",$CW$3)),NOT(ISNUMBER(SEARCH("nonblank",$CW$3))),IFERROR(('Final Calculation Sheet'!$G$15)&amp;"","")=""),AND(OR(ISNUMBER(SEARCH("nonblank",$CW$3)),ISNUMBER(SEARCH("&lt;&gt;",$CW$3))),IFERROR(('Final Calculation Sheet'!$G$15)&amp;"","")&lt;&gt;""),AND(TRIM($CW$3)="",IFERROR(('Final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IF($CW$3="",1,--(OR(SUMPRODUCT(--(TRIM(MID(SUBSTITUTE(SUBSTITUTE($CW$3,"/",","),",",REPT(" ",99)),(ROW($1:$8)-1)*99+1,99))&lt;&gt;""),--ISNUMBER(SEARCH(TRIM(MID(SUBSTITUTE(SUBSTITUTE($CW$3,"/",","),",",REPT(" ",99)),(ROW($1:$8)-1)*99+1,99)),IFERROR(('Final Calculation Sheet'!$G$16)&amp;"",""))))&gt;0,AND(ISNUMBER(SEARCH("blank",$CW$3)),NOT(ISNUMBER(SEARCH("nonblank",$CW$3))),IFERROR(('Final Calculation Sheet'!$G$16)&amp;"","")=""),AND(OR(ISNUMBER(SEARCH("nonblank",$CW$3)),ISNUMBER(SEARCH("&lt;&gt;",$CW$3))),IFERROR(('Final Calculation Sheet'!$G$16)&amp;"","")&lt;&gt;""),AND(TRIM($CW$3)="",IFERROR(('Final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IF($CW$3="",1,--(OR(SUMPRODUCT(--(TRIM(MID(SUBSTITUTE(SUBSTITUTE($CW$3,"/",","),",",REPT(" ",99)),(ROW($1:$8)-1)*99+1,99))&lt;&gt;""),--ISNUMBER(SEARCH(TRIM(MID(SUBSTITUTE(SUBSTITUTE($CW$3,"/",","),",",REPT(" ",99)),(ROW($1:$8)-1)*99+1,99)),IFERROR(('Final Calculation Sheet'!$G$17)&amp;"",""))))&gt;0,AND(ISNUMBER(SEARCH("blank",$CW$3)),NOT(ISNUMBER(SEARCH("nonblank",$CW$3))),IFERROR(('Final Calculation Sheet'!$G$17)&amp;"","")=""),AND(OR(ISNUMBER(SEARCH("nonblank",$CW$3)),ISNUMBER(SEARCH("&lt;&gt;",$CW$3))),IFERROR(('Final Calculation Sheet'!$G$17)&amp;"","")&lt;&gt;""),AND(TRIM($CW$3)="",IFERROR(('Final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IF($CW$3="",1,--(OR(SUMPRODUCT(--(TRIM(MID(SUBSTITUTE(SUBSTITUTE($CW$3,"/",","),",",REPT(" ",99)),(ROW($1:$8)-1)*99+1,99))&lt;&gt;""),--ISNUMBER(SEARCH(TRIM(MID(SUBSTITUTE(SUBSTITUTE($CW$3,"/",","),",",REPT(" ",99)),(ROW($1:$8)-1)*99+1,99)),IFERROR(('Final Calculation Sheet'!$G$18)&amp;"",""))))&gt;0,AND(ISNUMBER(SEARCH("blank",$CW$3)),NOT(ISNUMBER(SEARCH("nonblank",$CW$3))),IFERROR(('Final Calculation Sheet'!$G$18)&amp;"","")=""),AND(OR(ISNUMBER(SEARCH("nonblank",$CW$3)),ISNUMBER(SEARCH("&lt;&gt;",$CW$3))),IFERROR(('Final Calculation Sheet'!$G$18)&amp;"","")&lt;&gt;""),AND(TRIM($CW$3)="",IFERROR(('Final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IF($CW$3="",1,--(OR(SUMPRODUCT(--(TRIM(MID(SUBSTITUTE(SUBSTITUTE($CW$3,"/",","),",",REPT(" ",99)),(ROW($1:$8)-1)*99+1,99))&lt;&gt;""),--ISNUMBER(SEARCH(TRIM(MID(SUBSTITUTE(SUBSTITUTE($CW$3,"/",","),",",REPT(" ",99)),(ROW($1:$8)-1)*99+1,99)),IFERROR(('Final Calculation Sheet'!$G$19)&amp;"",""))))&gt;0,AND(ISNUMBER(SEARCH("blank",$CW$3)),NOT(ISNUMBER(SEARCH("nonblank",$CW$3))),IFERROR(('Final Calculation Sheet'!$G$19)&amp;"","")=""),AND(OR(ISNUMBER(SEARCH("nonblank",$CW$3)),ISNUMBER(SEARCH("&lt;&gt;",$CW$3))),IFERROR(('Final Calculation Sheet'!$G$19)&amp;"","")&lt;&gt;""),AND(TRIM($CW$3)="",IFERROR(('Final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IF($CW$3="",1,--(OR(SUMPRODUCT(--(TRIM(MID(SUBSTITUTE(SUBSTITUTE($CW$3,"/",","),",",REPT(" ",99)),(ROW($1:$8)-1)*99+1,99))&lt;&gt;""),--ISNUMBER(SEARCH(TRIM(MID(SUBSTITUTE(SUBSTITUTE($CW$3,"/",","),",",REPT(" ",99)),(ROW($1:$8)-1)*99+1,99)),IFERROR(('Final Calculation Sheet'!$G$20)&amp;"",""))))&gt;0,AND(ISNUMBER(SEARCH("blank",$CW$3)),NOT(ISNUMBER(SEARCH("nonblank",$CW$3))),IFERROR(('Final Calculation Sheet'!$G$20)&amp;"","")=""),AND(OR(ISNUMBER(SEARCH("nonblank",$CW$3)),ISNUMBER(SEARCH("&lt;&gt;",$CW$3))),IFERROR(('Final Calculation Sheet'!$G$20)&amp;"","")&lt;&gt;""),AND(TRIM($CW$3)="",IFERROR(('Final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IF($CW$3="",1,--(OR(SUMPRODUCT(--(TRIM(MID(SUBSTITUTE(SUBSTITUTE($CW$3,"/",","),",",REPT(" ",99)),(ROW($1:$8)-1)*99+1,99))&lt;&gt;""),--ISNUMBER(SEARCH(TRIM(MID(SUBSTITUTE(SUBSTITUTE($CW$3,"/",","),",",REPT(" ",99)),(ROW($1:$8)-1)*99+1,99)),IFERROR(('Final Calculation Sheet'!$G$21)&amp;"",""))))&gt;0,AND(ISNUMBER(SEARCH("blank",$CW$3)),NOT(ISNUMBER(SEARCH("nonblank",$CW$3))),IFERROR(('Final Calculation Sheet'!$G$21)&amp;"","")=""),AND(OR(ISNUMBER(SEARCH("nonblank",$CW$3)),ISNUMBER(SEARCH("&lt;&gt;",$CW$3))),IFERROR(('Final Calculation Sheet'!$G$21)&amp;"","")&lt;&gt;""),AND(TRIM($CW$3)="",IFERROR(('Final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IF($CW$3="",1,--(OR(SUMPRODUCT(--(TRIM(MID(SUBSTITUTE(SUBSTITUTE($CW$3,"/",","),",",REPT(" ",99)),(ROW($1:$8)-1)*99+1,99))&lt;&gt;""),--ISNUMBER(SEARCH(TRIM(MID(SUBSTITUTE(SUBSTITUTE($CW$3,"/",","),",",REPT(" ",99)),(ROW($1:$8)-1)*99+1,99)),IFERROR(('Final Calculation Sheet'!$G$22)&amp;"",""))))&gt;0,AND(ISNUMBER(SEARCH("blank",$CW$3)),NOT(ISNUMBER(SEARCH("nonblank",$CW$3))),IFERROR(('Final Calculation Sheet'!$G$22)&amp;"","")=""),AND(OR(ISNUMBER(SEARCH("nonblank",$CW$3)),ISNUMBER(SEARCH("&lt;&gt;",$CW$3))),IFERROR(('Final Calculation Sheet'!$G$22)&amp;"","")&lt;&gt;""),AND(TRIM($CW$3)="",IFERROR(('Final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IF($CW$3="",1,--(OR(SUMPRODUCT(--(TRIM(MID(SUBSTITUTE(SUBSTITUTE($CW$3,"/",","),",",REPT(" ",99)),(ROW($1:$8)-1)*99+1,99))&lt;&gt;""),--ISNUMBER(SEARCH(TRIM(MID(SUBSTITUTE(SUBSTITUTE($CW$3,"/",","),",",REPT(" ",99)),(ROW($1:$8)-1)*99+1,99)),IFERROR(('Final Calculation Sheet'!$G$23)&amp;"",""))))&gt;0,AND(ISNUMBER(SEARCH("blank",$CW$3)),NOT(ISNUMBER(SEARCH("nonblank",$CW$3))),IFERROR(('Final Calculation Sheet'!$G$23)&amp;"","")=""),AND(OR(ISNUMBER(SEARCH("nonblank",$CW$3)),ISNUMBER(SEARCH("&lt;&gt;",$CW$3))),IFERROR(('Final Calculation Sheet'!$G$23)&amp;"","")&lt;&gt;""),AND(TRIM($CW$3)="",IFERROR(('Final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IF($CW$3="",1,--(OR(SUMPRODUCT(--(TRIM(MID(SUBSTITUTE(SUBSTITUTE($CW$3,"/",","),",",REPT(" ",99)),(ROW($1:$8)-1)*99+1,99))&lt;&gt;""),--ISNUMBER(SEARCH(TRIM(MID(SUBSTITUTE(SUBSTITUTE($CW$3,"/",","),",",REPT(" ",99)),(ROW($1:$8)-1)*99+1,99)),IFERROR(('Final Calculation Sheet'!$G$24)&amp;"",""))))&gt;0,AND(ISNUMBER(SEARCH("blank",$CW$3)),NOT(ISNUMBER(SEARCH("nonblank",$CW$3))),IFERROR(('Final Calculation Sheet'!$G$24)&amp;"","")=""),AND(OR(ISNUMBER(SEARCH("nonblank",$CW$3)),ISNUMBER(SEARCH("&lt;&gt;",$CW$3))),IFERROR(('Final Calculation Sheet'!$G$24)&amp;"","")&lt;&gt;""),AND(TRIM($CW$3)="",IFERROR(('Final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IF($CW$3="",1,--(OR(SUMPRODUCT(--(TRIM(MID(SUBSTITUTE(SUBSTITUTE($CW$3,"/",","),",",REPT(" ",99)),(ROW($1:$8)-1)*99+1,99))&lt;&gt;""),--ISNUMBER(SEARCH(TRIM(MID(SUBSTITUTE(SUBSTITUTE($CW$3,"/",","),",",REPT(" ",99)),(ROW($1:$8)-1)*99+1,99)),IFERROR(('Final Calculation Sheet'!$G$25)&amp;"",""))))&gt;0,AND(ISNUMBER(SEARCH("blank",$CW$3)),NOT(ISNUMBER(SEARCH("nonblank",$CW$3))),IFERROR(('Final Calculation Sheet'!$G$25)&amp;"","")=""),AND(OR(ISNUMBER(SEARCH("nonblank",$CW$3)),ISNUMBER(SEARCH("&lt;&gt;",$CW$3))),IFERROR(('Final Calculation Sheet'!$G$25)&amp;"","")&lt;&gt;""),AND(TRIM($CW$3)="",IFERROR(('Final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IF($CW$3="",1,--(OR(SUMPRODUCT(--(TRIM(MID(SUBSTITUTE(SUBSTITUTE($CW$3,"/",","),",",REPT(" ",99)),(ROW($1:$8)-1)*99+1,99))&lt;&gt;""),--ISNUMBER(SEARCH(TRIM(MID(SUBSTITUTE(SUBSTITUTE($CW$3,"/",","),",",REPT(" ",99)),(ROW($1:$8)-1)*99+1,99)),IFERROR(('Final Calculation Sheet'!$G$26)&amp;"",""))))&gt;0,AND(ISNUMBER(SEARCH("blank",$CW$3)),NOT(ISNUMBER(SEARCH("nonblank",$CW$3))),IFERROR(('Final Calculation Sheet'!$G$26)&amp;"","")=""),AND(OR(ISNUMBER(SEARCH("nonblank",$CW$3)),ISNUMBER(SEARCH("&lt;&gt;",$CW$3))),IFERROR(('Final Calculation Sheet'!$G$26)&amp;"","")&lt;&gt;""),AND(TRIM($CW$3)="",IFERROR(('Final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IF($CW$3="",1,--(OR(SUMPRODUCT(--(TRIM(MID(SUBSTITUTE(SUBSTITUTE($CW$3,"/",","),",",REPT(" ",99)),(ROW($1:$8)-1)*99+1,99))&lt;&gt;""),--ISNUMBER(SEARCH(TRIM(MID(SUBSTITUTE(SUBSTITUTE($CW$3,"/",","),",",REPT(" ",99)),(ROW($1:$8)-1)*99+1,99)),IFERROR(('Final Calculation Sheet'!$G$27)&amp;"",""))))&gt;0,AND(ISNUMBER(SEARCH("blank",$CW$3)),NOT(ISNUMBER(SEARCH("nonblank",$CW$3))),IFERROR(('Final Calculation Sheet'!$G$27)&amp;"","")=""),AND(OR(ISNUMBER(SEARCH("nonblank",$CW$3)),ISNUMBER(SEARCH("&lt;&gt;",$CW$3))),IFERROR(('Final Calculation Sheet'!$G$27)&amp;"","")&lt;&gt;""),AND(TRIM($CW$3)="",IFERROR(('Final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IF($CW$3="",1,--(OR(SUMPRODUCT(--(TRIM(MID(SUBSTITUTE(SUBSTITUTE($CW$3,"/",","),",",REPT(" ",99)),(ROW($1:$8)-1)*99+1,99))&lt;&gt;""),--ISNUMBER(SEARCH(TRIM(MID(SUBSTITUTE(SUBSTITUTE($CW$3,"/",","),",",REPT(" ",99)),(ROW($1:$8)-1)*99+1,99)),IFERROR(('Final Calculation Sheet'!$G$28)&amp;"",""))))&gt;0,AND(ISNUMBER(SEARCH("blank",$CW$3)),NOT(ISNUMBER(SEARCH("nonblank",$CW$3))),IFERROR(('Final Calculation Sheet'!$G$28)&amp;"","")=""),AND(OR(ISNUMBER(SEARCH("nonblank",$CW$3)),ISNUMBER(SEARCH("&lt;&gt;",$CW$3))),IFERROR(('Final Calculation Sheet'!$G$28)&amp;"","")&lt;&gt;""),AND(TRIM($CW$3)="",IFERROR(('Final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IF($CW$3="",1,--(OR(SUMPRODUCT(--(TRIM(MID(SUBSTITUTE(SUBSTITUTE($CW$3,"/",","),",",REPT(" ",99)),(ROW($1:$8)-1)*99+1,99))&lt;&gt;""),--ISNUMBER(SEARCH(TRIM(MID(SUBSTITUTE(SUBSTITUTE($CW$3,"/",","),",",REPT(" ",99)),(ROW($1:$8)-1)*99+1,99)),IFERROR(('Final Calculation Sheet'!$G$29)&amp;"",""))))&gt;0,AND(ISNUMBER(SEARCH("blank",$CW$3)),NOT(ISNUMBER(SEARCH("nonblank",$CW$3))),IFERROR(('Final Calculation Sheet'!$G$29)&amp;"","")=""),AND(OR(ISNUMBER(SEARCH("nonblank",$CW$3)),ISNUMBER(SEARCH("&lt;&gt;",$CW$3))),IFERROR(('Final Calculation Sheet'!$G$29)&amp;"","")&lt;&gt;""),AND(TRIM($CW$3)="",IFERROR(('Final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IF($CW$3="",1,--(OR(SUMPRODUCT(--(TRIM(MID(SUBSTITUTE(SUBSTITUTE($CW$3,"/",","),",",REPT(" ",99)),(ROW($1:$8)-1)*99+1,99))&lt;&gt;""),--ISNUMBER(SEARCH(TRIM(MID(SUBSTITUTE(SUBSTITUTE($CW$3,"/",","),",",REPT(" ",99)),(ROW($1:$8)-1)*99+1,99)),IFERROR(('Final Calculation Sheet'!$G$30)&amp;"",""))))&gt;0,AND(ISNUMBER(SEARCH("blank",$CW$3)),NOT(ISNUMBER(SEARCH("nonblank",$CW$3))),IFERROR(('Final Calculation Sheet'!$G$30)&amp;"","")=""),AND(OR(ISNUMBER(SEARCH("nonblank",$CW$3)),ISNUMBER(SEARCH("&lt;&gt;",$CW$3))),IFERROR(('Final Calculation Sheet'!$G$30)&amp;"","")&lt;&gt;""),AND(TRIM($CW$3)="",IFERROR(('Final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IF($CW$3="",1,--(OR(SUMPRODUCT(--(TRIM(MID(SUBSTITUTE(SUBSTITUTE($CW$3,"/",","),",",REPT(" ",99)),(ROW($1:$8)-1)*99+1,99))&lt;&gt;""),--ISNUMBER(SEARCH(TRIM(MID(SUBSTITUTE(SUBSTITUTE($CW$3,"/",","),",",REPT(" ",99)),(ROW($1:$8)-1)*99+1,99)),IFERROR(('Final Calculation Sheet'!$G$31)&amp;"",""))))&gt;0,AND(ISNUMBER(SEARCH("blank",$CW$3)),NOT(ISNUMBER(SEARCH("nonblank",$CW$3))),IFERROR(('Final Calculation Sheet'!$G$31)&amp;"","")=""),AND(OR(ISNUMBER(SEARCH("nonblank",$CW$3)),ISNUMBER(SEARCH("&lt;&gt;",$CW$3))),IFERROR(('Final Calculation Sheet'!$G$31)&amp;"","")&lt;&gt;""),AND(TRIM($CW$3)="",IFERROR(('Final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IF($CW$3="",1,--(OR(SUMPRODUCT(--(TRIM(MID(SUBSTITUTE(SUBSTITUTE($CW$3,"/",","),",",REPT(" ",99)),(ROW($1:$8)-1)*99+1,99))&lt;&gt;""),--ISNUMBER(SEARCH(TRIM(MID(SUBSTITUTE(SUBSTITUTE($CW$3,"/",","),",",REPT(" ",99)),(ROW($1:$8)-1)*99+1,99)),IFERROR(('Final Calculation Sheet'!$G$32)&amp;"",""))))&gt;0,AND(ISNUMBER(SEARCH("blank",$CW$3)),NOT(ISNUMBER(SEARCH("nonblank",$CW$3))),IFERROR(('Final Calculation Sheet'!$G$32)&amp;"","")=""),AND(OR(ISNUMBER(SEARCH("nonblank",$CW$3)),ISNUMBER(SEARCH("&lt;&gt;",$CW$3))),IFERROR(('Final Calculation Sheet'!$G$32)&amp;"","")&lt;&gt;""),AND(TRIM($CW$3)="",IFERROR(('Final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IF($CW$3="",1,--(OR(SUMPRODUCT(--(TRIM(MID(SUBSTITUTE(SUBSTITUTE($CW$3,"/",","),",",REPT(" ",99)),(ROW($1:$8)-1)*99+1,99))&lt;&gt;""),--ISNUMBER(SEARCH(TRIM(MID(SUBSTITUTE(SUBSTITUTE($CW$3,"/",","),",",REPT(" ",99)),(ROW($1:$8)-1)*99+1,99)),IFERROR(('Final Calculation Sheet'!$G$33)&amp;"",""))))&gt;0,AND(ISNUMBER(SEARCH("blank",$CW$3)),NOT(ISNUMBER(SEARCH("nonblank",$CW$3))),IFERROR(('Final Calculation Sheet'!$G$33)&amp;"","")=""),AND(OR(ISNUMBER(SEARCH("nonblank",$CW$3)),ISNUMBER(SEARCH("&lt;&gt;",$CW$3))),IFERROR(('Final Calculation Sheet'!$G$33)&amp;"","")&lt;&gt;""),AND(TRIM($CW$3)="",IFERROR(('Final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IF($CW$3="",1,--(OR(SUMPRODUCT(--(TRIM(MID(SUBSTITUTE(SUBSTITUTE($CW$3,"/",","),",",REPT(" ",99)),(ROW($1:$8)-1)*99+1,99))&lt;&gt;""),--ISNUMBER(SEARCH(TRIM(MID(SUBSTITUTE(SUBSTITUTE($CW$3,"/",","),",",REPT(" ",99)),(ROW($1:$8)-1)*99+1,99)),IFERROR(('Final Calculation Sheet'!$G$34)&amp;"",""))))&gt;0,AND(ISNUMBER(SEARCH("blank",$CW$3)),NOT(ISNUMBER(SEARCH("nonblank",$CW$3))),IFERROR(('Final Calculation Sheet'!$G$34)&amp;"","")=""),AND(OR(ISNUMBER(SEARCH("nonblank",$CW$3)),ISNUMBER(SEARCH("&lt;&gt;",$CW$3))),IFERROR(('Final Calculation Sheet'!$G$34)&amp;"","")&lt;&gt;""),AND(TRIM($CW$3)="",IFERROR(('Final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IF($CW$3="",1,--(OR(SUMPRODUCT(--(TRIM(MID(SUBSTITUTE(SUBSTITUTE($CW$3,"/",","),",",REPT(" ",99)),(ROW($1:$8)-1)*99+1,99))&lt;&gt;""),--ISNUMBER(SEARCH(TRIM(MID(SUBSTITUTE(SUBSTITUTE($CW$3,"/",","),",",REPT(" ",99)),(ROW($1:$8)-1)*99+1,99)),IFERROR(('Final Calculation Sheet'!$G$35)&amp;"",""))))&gt;0,AND(ISNUMBER(SEARCH("blank",$CW$3)),NOT(ISNUMBER(SEARCH("nonblank",$CW$3))),IFERROR(('Final Calculation Sheet'!$G$35)&amp;"","")=""),AND(OR(ISNUMBER(SEARCH("nonblank",$CW$3)),ISNUMBER(SEARCH("&lt;&gt;",$CW$3))),IFERROR(('Final Calculation Sheet'!$G$35)&amp;"","")&lt;&gt;""),AND(TRIM($CW$3)="",IFERROR(('Final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IF($CW$3="",1,--(OR(SUMPRODUCT(--(TRIM(MID(SUBSTITUTE(SUBSTITUTE($CW$3,"/",","),",",REPT(" ",99)),(ROW($1:$8)-1)*99+1,99))&lt;&gt;""),--ISNUMBER(SEARCH(TRIM(MID(SUBSTITUTE(SUBSTITUTE($CW$3,"/",","),",",REPT(" ",99)),(ROW($1:$8)-1)*99+1,99)),IFERROR(('Final Calculation Sheet'!$G$36)&amp;"",""))))&gt;0,AND(ISNUMBER(SEARCH("blank",$CW$3)),NOT(ISNUMBER(SEARCH("nonblank",$CW$3))),IFERROR(('Final Calculation Sheet'!$G$36)&amp;"","")=""),AND(OR(ISNUMBER(SEARCH("nonblank",$CW$3)),ISNUMBER(SEARCH("&lt;&gt;",$CW$3))),IFERROR(('Final Calculation Sheet'!$G$36)&amp;"","")&lt;&gt;""),AND(TRIM($CW$3)="",IFERROR(('Final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IF($CW$3="",1,--(OR(SUMPRODUCT(--(TRIM(MID(SUBSTITUTE(SUBSTITUTE($CW$3,"/",","),",",REPT(" ",99)),(ROW($1:$8)-1)*99+1,99))&lt;&gt;""),--ISNUMBER(SEARCH(TRIM(MID(SUBSTITUTE(SUBSTITUTE($CW$3,"/",","),",",REPT(" ",99)),(ROW($1:$8)-1)*99+1,99)),IFERROR(('Final Calculation Sheet'!$G$37)&amp;"",""))))&gt;0,AND(ISNUMBER(SEARCH("blank",$CW$3)),NOT(ISNUMBER(SEARCH("nonblank",$CW$3))),IFERROR(('Final Calculation Sheet'!$G$37)&amp;"","")=""),AND(OR(ISNUMBER(SEARCH("nonblank",$CW$3)),ISNUMBER(SEARCH("&lt;&gt;",$CW$3))),IFERROR(('Final Calculation Sheet'!$G$37)&amp;"","")&lt;&gt;""),AND(TRIM($CW$3)="",IFERROR(('Final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IF($CW$3="",1,--(OR(SUMPRODUCT(--(TRIM(MID(SUBSTITUTE(SUBSTITUTE($CW$3,"/",","),",",REPT(" ",99)),(ROW($1:$8)-1)*99+1,99))&lt;&gt;""),--ISNUMBER(SEARCH(TRIM(MID(SUBSTITUTE(SUBSTITUTE($CW$3,"/",","),",",REPT(" ",99)),(ROW($1:$8)-1)*99+1,99)),IFERROR(('Final Calculation Sheet'!$G$38)&amp;"",""))))&gt;0,AND(ISNUMBER(SEARCH("blank",$CW$3)),NOT(ISNUMBER(SEARCH("nonblank",$CW$3))),IFERROR(('Final Calculation Sheet'!$G$38)&amp;"","")=""),AND(OR(ISNUMBER(SEARCH("nonblank",$CW$3)),ISNUMBER(SEARCH("&lt;&gt;",$CW$3))),IFERROR(('Final Calculation Sheet'!$G$38)&amp;"","")&lt;&gt;""),AND(TRIM($CW$3)="",IFERROR(('Final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IF($CW$3="",1,--(OR(SUMPRODUCT(--(TRIM(MID(SUBSTITUTE(SUBSTITUTE($CW$3,"/",","),",",REPT(" ",99)),(ROW($1:$8)-1)*99+1,99))&lt;&gt;""),--ISNUMBER(SEARCH(TRIM(MID(SUBSTITUTE(SUBSTITUTE($CW$3,"/",","),",",REPT(" ",99)),(ROW($1:$8)-1)*99+1,99)),IFERROR(('Final Calculation Sheet'!$G$39)&amp;"",""))))&gt;0,AND(ISNUMBER(SEARCH("blank",$CW$3)),NOT(ISNUMBER(SEARCH("nonblank",$CW$3))),IFERROR(('Final Calculation Sheet'!$G$39)&amp;"","")=""),AND(OR(ISNUMBER(SEARCH("nonblank",$CW$3)),ISNUMBER(SEARCH("&lt;&gt;",$CW$3))),IFERROR(('Final Calculation Sheet'!$G$39)&amp;"","")&lt;&gt;""),AND(TRIM($CW$3)="",IFERROR(('Final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IF($CW$3="",1,--(OR(SUMPRODUCT(--(TRIM(MID(SUBSTITUTE(SUBSTITUTE($CW$3,"/",","),",",REPT(" ",99)),(ROW($1:$8)-1)*99+1,99))&lt;&gt;""),--ISNUMBER(SEARCH(TRIM(MID(SUBSTITUTE(SUBSTITUTE($CW$3,"/",","),",",REPT(" ",99)),(ROW($1:$8)-1)*99+1,99)),IFERROR(('Final Calculation Sheet'!$G$40)&amp;"",""))))&gt;0,AND(ISNUMBER(SEARCH("blank",$CW$3)),NOT(ISNUMBER(SEARCH("nonblank",$CW$3))),IFERROR(('Final Calculation Sheet'!$G$40)&amp;"","")=""),AND(OR(ISNUMBER(SEARCH("nonblank",$CW$3)),ISNUMBER(SEARCH("&lt;&gt;",$CW$3))),IFERROR(('Final Calculation Sheet'!$G$40)&amp;"","")&lt;&gt;""),AND(TRIM($CW$3)="",IFERROR(('Final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P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8">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 type="list" showDropDown="0" showInputMessage="0" showErrorMessage="0" allowBlank="0" sqref="D3">
      <formula1>SUG_C</formula1>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5"/>
  <sheetViews>
    <sheetView zoomScaleNormal="100" workbookViewId="0">
      <pane xSplit="2" ySplit="5" topLeftCell="C6" activePane="bottomRight" state="frozen"/>
      <selection pane="topRight" activeCell="C1" sqref="C1"/>
      <selection pane="bottomLeft" activeCell="A6" sqref="A6"/>
      <selection pane="bottomRight" activeCell="C6" sqref="C6"/>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LIFT MATCHING BLOCKS — as soon as any SEARCH box holds a value, every buyer block holding a matching lot is brought to the top of the list (matched lots first inside the block), the same way the Live Search sheet re-arranges its rows when you click a header: the rows are re-arranged in one go, live links included - each lot keeps its link to the Final Calculation Sheet and each subtotal is re-pointed at its own rows - and the plain order is put back the moment the SEARCH row is cleared or you double-click the ▸ MATCHED LOTS bar (row 6) to put the blocks back by hand. Shading, row groups, subtotals, the TOTAL row and the dropdowns all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c r="EP2" s="0" t="inlineStr">
        <is>
          <t>▸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row>
    <row r="6">
      <c r="A6" s="117" t="inlineStr">
        <is>
          <t>▸ MATCHED LOTS</t>
        </is>
      </c>
      <c r="B6" s="117" t="n"/>
      <c r="C6" s="117" t="str">
        <f>IF(COUNTIF($B$4:$AI$4,"&lt;&gt;")=0,$EP$2,"▶ MATCHED LOTS  —  "&amp;SUM($AJ$7:$AJ$56)&amp;" of 37 lot(s) match   ·   non-matching lots are greyed out in the blocks below   ·   double-click this row to lift the matching buyer blocks up, double-click again to put them back"&amp;IF($EP$1=1,"   ·   THE BLOCKS ARE LIFTED - double-click here to put them back",""))</f>
        <v>▸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row>
    <row r="7" outlineLevel="1" ht="15" customHeight="1" s="137">
      <c r="A7" s="67" t="n">
        <v>1</v>
      </c>
      <c r="B7" s="76">
        <f>IF('Final Calculation Sheet'!$F$4="","",'Final Calculation Sheet'!$F$4)</f>
        <v/>
      </c>
      <c r="C7" s="76">
        <f>IF('Final Calculation Sheet'!$G$4="","",'Final Calculation Sheet'!$G$4)</f>
        <v/>
      </c>
      <c r="D7" s="80">
        <f>IF('Final Calculation Sheet'!$B$4="","",'Final Calculation Sheet'!$B$4)</f>
        <v/>
      </c>
      <c r="E7" s="80">
        <f>IF('Final Calculation Sheet'!$D$4="","",'Final Calculation Sheet'!$D$4)</f>
        <v/>
      </c>
      <c r="F7" s="80">
        <f>IF('Final Calculation Sheet'!$A$4="","",'Final Calculation Sheet'!$A$4)</f>
        <v/>
      </c>
      <c r="G7" s="80">
        <f>IF('Final Calculation Sheet'!$E$4="","",'Final Calculation Sheet'!$E$4)</f>
        <v/>
      </c>
      <c r="H7" s="70">
        <f>IF('Final Calculation Sheet'!$C$4="","",'Final Calculation Sheet'!$C$4)</f>
        <v/>
      </c>
      <c r="I7" s="70">
        <f>IF('Final Calculation Sheet'!$H$4="","",'Final Calculation Sheet'!$H$4)</f>
        <v/>
      </c>
      <c r="J7" s="70">
        <f>IF('Final Calculation Sheet'!$I$4="","",'Final Calculation Sheet'!$I$4)</f>
        <v/>
      </c>
      <c r="K7" s="70">
        <f>IF('Final Calculation Sheet'!$J$4="","",'Final Calculation Sheet'!$J$4)</f>
        <v/>
      </c>
      <c r="L7" s="70">
        <f>IF('Final Calculation Sheet'!$K$4="","",'Final Calculation Sheet'!$K$4)</f>
        <v/>
      </c>
      <c r="M7" s="70">
        <f>IF('Final Calculation Sheet'!$L$4="","",'Final Calculation Sheet'!$L$4)</f>
        <v/>
      </c>
      <c r="N7" s="70">
        <f>IF('Final Calculation Sheet'!$M$4="","",'Final Calculation Sheet'!$M$4)</f>
        <v/>
      </c>
      <c r="O7" s="71">
        <f>IF('Final Calculation Sheet'!$N$4="","",'Final Calculation Sheet'!$N$4)</f>
        <v/>
      </c>
      <c r="P7" s="70">
        <f>IF('Final Calculation Sheet'!$O$4="","",'Final Calculation Sheet'!$O$4)</f>
        <v/>
      </c>
      <c r="Q7" s="70">
        <f>IF('Final Calculation Sheet'!$P$4="","",'Final Calculation Sheet'!$P$4)</f>
        <v/>
      </c>
      <c r="R7" s="72">
        <f>IF('Final Calculation Sheet'!$Q$4="","",'Final Calculation Sheet'!$Q$4)</f>
        <v/>
      </c>
      <c r="S7" s="70">
        <f>IF('Final Calculation Sheet'!$R$4="","",'Final Calculation Sheet'!$R$4)</f>
        <v/>
      </c>
      <c r="T7" s="70">
        <f>IF('Final Calculation Sheet'!$S$4="","",'Final Calculation Sheet'!$S$4)</f>
        <v/>
      </c>
      <c r="U7" s="70">
        <f>IF('Final Calculation Sheet'!$T$4="","",'Final Calculation Sheet'!$T$4)</f>
        <v/>
      </c>
      <c r="V7" s="73">
        <f>IF('Final Calculation Sheet'!$U$4="","",'Final Calculation Sheet'!$U$4)</f>
        <v/>
      </c>
      <c r="W7" s="70">
        <f>IF('Final Calculation Sheet'!$V$4="","",'Final Calculation Sheet'!$V$4)</f>
        <v/>
      </c>
      <c r="X7" s="70">
        <f>IF('Final Calculation Sheet'!$W$4="","",'Final Calculation Sheet'!$W$4)</f>
        <v/>
      </c>
      <c r="Y7" s="70">
        <f>IF('Final Calculation Sheet'!$X$4="","",'Final Calculation Sheet'!$X$4)</f>
        <v/>
      </c>
      <c r="Z7" s="70">
        <f>IF('Final Calculation Sheet'!$Y$4="","",'Final Calculation Sheet'!$Y$4)</f>
        <v/>
      </c>
      <c r="AA7" s="70">
        <f>IF('Final Calculation Sheet'!$Z$4="","",'Final Calculation Sheet'!$Z$4)</f>
        <v/>
      </c>
      <c r="AB7" s="70">
        <f>IF('Final Calculation Sheet'!$AA$4="","",'Final Calculation Sheet'!$AA$4)</f>
        <v/>
      </c>
      <c r="AC7" s="70">
        <f>IF('Final Calculation Sheet'!$AB$4="","",'Final Calculation Sheet'!$AB$4)</f>
        <v/>
      </c>
      <c r="AD7" s="70">
        <f>IF('Final Calculation Sheet'!$AC$4="","",'Final Calculation Sheet'!$AC$4)</f>
        <v/>
      </c>
      <c r="AE7" s="70">
        <f>IF('Final Calculation Sheet'!$AD$4="","",'Final Calculation Sheet'!$AD$4)</f>
        <v/>
      </c>
      <c r="AF7" s="75">
        <f>IF('Final Calculation Sheet'!$AD$4="","",IF('Final Calculation Sheet'!$AD$4&lt;=5,"SETTLED","OUTSTANDING"))</f>
        <v/>
      </c>
      <c r="AG7" s="70">
        <f>IF('Final Calculation Sheet'!$AF$4="","",'Final Calculation Sheet'!$AF$4)</f>
        <v/>
      </c>
      <c r="AH7" s="74">
        <f>IF('Final Calculation Sheet'!$AG$4="","",'Final Calculation Sheet'!$AG$4)</f>
        <v/>
      </c>
      <c r="AI7" s="70">
        <f>IF('Final Calculation Sheet'!$AH$4="","",'Final Calculation Sheet'!$AH$4)</f>
        <v/>
      </c>
      <c r="AJ7">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7">
        <f>IF(AJ7=1,COUNTIF(AJ$7:AJ7,1),"")</f>
        <v/>
      </c>
    </row>
    <row r="8" ht="15" customHeight="1" s="137">
      <c r="A8" s="81" t="inlineStr">
        <is>
          <t>∑</t>
        </is>
      </c>
      <c r="B8" s="83" t="n"/>
      <c r="C8" s="83">
        <f>ROWS($C$7:$C$7)&amp;" lot(s)"</f>
        <v/>
      </c>
      <c r="D8" s="83" t="inlineStr">
        <is>
          <t>SUBTOTAL — AL HAMD TRADE CORPORATION</t>
        </is>
      </c>
      <c r="E8" s="83" t="inlineStr">
        <is>
          <t>–</t>
        </is>
      </c>
      <c r="F8" s="83">
        <f>SUM(F7:F7)</f>
        <v/>
      </c>
      <c r="G8" s="83" t="inlineStr">
        <is>
          <t>–</t>
        </is>
      </c>
      <c r="H8" s="84" t="inlineStr">
        <is>
          <t>–</t>
        </is>
      </c>
      <c r="I8" s="84">
        <f>SUM(I7:I7)</f>
        <v/>
      </c>
      <c r="J8" s="84">
        <f>SUM(J7:J7)</f>
        <v/>
      </c>
      <c r="K8" s="84">
        <f>SUM(K7:K7)</f>
        <v/>
      </c>
      <c r="L8" s="84">
        <f>SUM(L7:L7)</f>
        <v/>
      </c>
      <c r="M8" s="84">
        <f>SUM(M7:M7)</f>
        <v/>
      </c>
      <c r="N8" s="84">
        <f>SUM(N7:N7)</f>
        <v/>
      </c>
      <c r="O8" s="85">
        <f>SUM(O7:O7)</f>
        <v/>
      </c>
      <c r="P8" s="84">
        <f>SUM(P7:P7)</f>
        <v/>
      </c>
      <c r="Q8" s="84">
        <f>SUM(Q7:Q7)</f>
        <v/>
      </c>
      <c r="R8" s="86" t="inlineStr">
        <is>
          <t>–</t>
        </is>
      </c>
      <c r="S8" s="84">
        <f>SUM(S7:S7)</f>
        <v/>
      </c>
      <c r="T8" s="84">
        <f>SUM(T7:T7)</f>
        <v/>
      </c>
      <c r="U8" s="84">
        <f>SUM(U7:U7)</f>
        <v/>
      </c>
      <c r="V8" s="87">
        <f>SUM(V7:V7)</f>
        <v/>
      </c>
      <c r="W8" s="84" t="inlineStr">
        <is>
          <t>–</t>
        </is>
      </c>
      <c r="X8" s="84">
        <f>SUM(X7:X7)</f>
        <v/>
      </c>
      <c r="Y8" s="84">
        <f>SUM(Y7:Y7)</f>
        <v/>
      </c>
      <c r="Z8" s="84" t="inlineStr">
        <is>
          <t>–</t>
        </is>
      </c>
      <c r="AA8" s="84">
        <f>SUM(AA7:AA7)</f>
        <v/>
      </c>
      <c r="AB8" s="84">
        <f>SUM(AB7:AB7)</f>
        <v/>
      </c>
      <c r="AC8" s="84" t="inlineStr">
        <is>
          <t>–</t>
        </is>
      </c>
      <c r="AD8" s="84">
        <f>SUM(AD7:AD7)</f>
        <v/>
      </c>
      <c r="AE8" s="84">
        <f>SUM(AE7:AE7)</f>
        <v/>
      </c>
      <c r="AF8" s="89">
        <f>IF(AE8&lt;=5,"SETTLED","OUTSTANDING")</f>
        <v/>
      </c>
      <c r="AG8" s="84" t="inlineStr">
        <is>
          <t>–</t>
        </is>
      </c>
      <c r="AH8" s="88" t="inlineStr">
        <is>
          <t>–</t>
        </is>
      </c>
      <c r="AI8" s="84" t="inlineStr">
        <is>
          <t>–</t>
        </is>
      </c>
    </row>
    <row r="9" outlineLevel="1" ht="15" customHeight="1" s="137">
      <c r="A9" s="67" t="n">
        <v>1</v>
      </c>
      <c r="B9" s="76">
        <f>IF('Final Calculation Sheet'!$F$6="","",'Final Calculation Sheet'!$F$6)</f>
        <v/>
      </c>
      <c r="C9" s="76">
        <f>IF('Final Calculation Sheet'!$G$6="","",'Final Calculation Sheet'!$G$6)</f>
        <v/>
      </c>
      <c r="D9" s="80">
        <f>IF('Final Calculation Sheet'!$B$6="","",'Final Calculation Sheet'!$B$6)</f>
        <v/>
      </c>
      <c r="E9" s="80">
        <f>IF('Final Calculation Sheet'!$D$6="","",'Final Calculation Sheet'!$D$6)</f>
        <v/>
      </c>
      <c r="F9" s="80">
        <f>IF('Final Calculation Sheet'!$A$6="","",'Final Calculation Sheet'!$A$6)</f>
        <v/>
      </c>
      <c r="G9" s="80">
        <f>IF('Final Calculation Sheet'!$E$6="","",'Final Calculation Sheet'!$E$6)</f>
        <v/>
      </c>
      <c r="H9" s="70">
        <f>IF('Final Calculation Sheet'!$C$6="","",'Final Calculation Sheet'!$C$6)</f>
        <v/>
      </c>
      <c r="I9" s="70">
        <f>IF('Final Calculation Sheet'!$H$6="","",'Final Calculation Sheet'!$H$6)</f>
        <v/>
      </c>
      <c r="J9" s="70">
        <f>IF('Final Calculation Sheet'!$I$6="","",'Final Calculation Sheet'!$I$6)</f>
        <v/>
      </c>
      <c r="K9" s="70">
        <f>IF('Final Calculation Sheet'!$J$6="","",'Final Calculation Sheet'!$J$6)</f>
        <v/>
      </c>
      <c r="L9" s="70">
        <f>IF('Final Calculation Sheet'!$K$6="","",'Final Calculation Sheet'!$K$6)</f>
        <v/>
      </c>
      <c r="M9" s="70">
        <f>IF('Final Calculation Sheet'!$L$6="","",'Final Calculation Sheet'!$L$6)</f>
        <v/>
      </c>
      <c r="N9" s="70">
        <f>IF('Final Calculation Sheet'!$M$6="","",'Final Calculation Sheet'!$M$6)</f>
        <v/>
      </c>
      <c r="O9" s="71">
        <f>IF('Final Calculation Sheet'!$N$6="","",'Final Calculation Sheet'!$N$6)</f>
        <v/>
      </c>
      <c r="P9" s="70">
        <f>IF('Final Calculation Sheet'!$O$6="","",'Final Calculation Sheet'!$O$6)</f>
        <v/>
      </c>
      <c r="Q9" s="70">
        <f>IF('Final Calculation Sheet'!$P$6="","",'Final Calculation Sheet'!$P$6)</f>
        <v/>
      </c>
      <c r="R9" s="72">
        <f>IF('Final Calculation Sheet'!$Q$6="","",'Final Calculation Sheet'!$Q$6)</f>
        <v/>
      </c>
      <c r="S9" s="70">
        <f>IF('Final Calculation Sheet'!$R$6="","",'Final Calculation Sheet'!$R$6)</f>
        <v/>
      </c>
      <c r="T9" s="70">
        <f>IF('Final Calculation Sheet'!$S$6="","",'Final Calculation Sheet'!$S$6)</f>
        <v/>
      </c>
      <c r="U9" s="70">
        <f>IF('Final Calculation Sheet'!$T$6="","",'Final Calculation Sheet'!$T$6)</f>
        <v/>
      </c>
      <c r="V9" s="73">
        <f>IF('Final Calculation Sheet'!$U$6="","",'Final Calculation Sheet'!$U$6)</f>
        <v/>
      </c>
      <c r="W9" s="70">
        <f>IF('Final Calculation Sheet'!$V$6="","",'Final Calculation Sheet'!$V$6)</f>
        <v/>
      </c>
      <c r="X9" s="70">
        <f>IF('Final Calculation Sheet'!$W$6="","",'Final Calculation Sheet'!$W$6)</f>
        <v/>
      </c>
      <c r="Y9" s="70">
        <f>IF('Final Calculation Sheet'!$X$6="","",'Final Calculation Sheet'!$X$6)</f>
        <v/>
      </c>
      <c r="Z9" s="70">
        <f>IF('Final Calculation Sheet'!$Y$6="","",'Final Calculation Sheet'!$Y$6)</f>
        <v/>
      </c>
      <c r="AA9" s="70">
        <f>IF('Final Calculation Sheet'!$Z$6="","",'Final Calculation Sheet'!$Z$6)</f>
        <v/>
      </c>
      <c r="AB9" s="70">
        <f>IF('Final Calculation Sheet'!$AA$6="","",'Final Calculation Sheet'!$AA$6)</f>
        <v/>
      </c>
      <c r="AC9" s="70">
        <f>IF('Final Calculation Sheet'!$AB$6="","",'Final Calculation Sheet'!$AB$6)</f>
        <v/>
      </c>
      <c r="AD9" s="70">
        <f>IF('Final Calculation Sheet'!$AC$6="","",'Final Calculation Sheet'!$AC$6)</f>
        <v/>
      </c>
      <c r="AE9" s="70">
        <f>IF('Final Calculation Sheet'!$AD$6="","",'Final Calculation Sheet'!$AD$6)</f>
        <v/>
      </c>
      <c r="AF9" s="75">
        <f>IF('Final Calculation Sheet'!$AD$6="","",IF('Final Calculation Sheet'!$AD$6&lt;=5,"SETTLED","OUTSTANDING"))</f>
        <v/>
      </c>
      <c r="AG9" s="70">
        <f>IF('Final Calculation Sheet'!$AF$6="","",'Final Calculation Sheet'!$AF$6)</f>
        <v/>
      </c>
      <c r="AH9" s="74">
        <f>IF('Final Calculation Sheet'!$AG$6="","",'Final Calculation Sheet'!$AG$6)</f>
        <v/>
      </c>
      <c r="AI9" s="70">
        <f>IF('Final Calculation Sheet'!$AH$6="","",'Final Calculation Sheet'!$AH$6)</f>
        <v/>
      </c>
      <c r="AJ9">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9">
        <f>IF(AJ9=1,COUNTIF(AJ$7:AJ9,1),"")</f>
        <v/>
      </c>
    </row>
    <row r="10" outlineLevel="1" ht="15" customHeight="1" s="137">
      <c r="A10" s="90" t="n">
        <v>2</v>
      </c>
      <c r="B10" s="92">
        <f>IF('Final Calculation Sheet'!$F$7="","",'Final Calculation Sheet'!$F$7)</f>
        <v/>
      </c>
      <c r="C10" s="92">
        <f>IF('Final Calculation Sheet'!$G$7="","",'Final Calculation Sheet'!$G$7)</f>
        <v/>
      </c>
      <c r="D10" s="94">
        <f>IF('Final Calculation Sheet'!$B$7="","",'Final Calculation Sheet'!$B$7)</f>
        <v/>
      </c>
      <c r="E10" s="94">
        <f>IF('Final Calculation Sheet'!$D$7="","",'Final Calculation Sheet'!$D$7)</f>
        <v/>
      </c>
      <c r="F10" s="94">
        <f>IF('Final Calculation Sheet'!$A$7="","",'Final Calculation Sheet'!$A$7)</f>
        <v/>
      </c>
      <c r="G10" s="94">
        <f>IF('Final Calculation Sheet'!$E$7="","",'Final Calculation Sheet'!$E$7)</f>
        <v/>
      </c>
      <c r="H10" s="95">
        <f>IF('Final Calculation Sheet'!$C$7="","",'Final Calculation Sheet'!$C$7)</f>
        <v/>
      </c>
      <c r="I10" s="95">
        <f>IF('Final Calculation Sheet'!$H$7="","",'Final Calculation Sheet'!$H$7)</f>
        <v/>
      </c>
      <c r="J10" s="95">
        <f>IF('Final Calculation Sheet'!$I$7="","",'Final Calculation Sheet'!$I$7)</f>
        <v/>
      </c>
      <c r="K10" s="95">
        <f>IF('Final Calculation Sheet'!$J$7="","",'Final Calculation Sheet'!$J$7)</f>
        <v/>
      </c>
      <c r="L10" s="95">
        <f>IF('Final Calculation Sheet'!$K$7="","",'Final Calculation Sheet'!$K$7)</f>
        <v/>
      </c>
      <c r="M10" s="95">
        <f>IF('Final Calculation Sheet'!$L$7="","",'Final Calculation Sheet'!$L$7)</f>
        <v/>
      </c>
      <c r="N10" s="95">
        <f>IF('Final Calculation Sheet'!$M$7="","",'Final Calculation Sheet'!$M$7)</f>
        <v/>
      </c>
      <c r="O10" s="96">
        <f>IF('Final Calculation Sheet'!$N$7="","",'Final Calculation Sheet'!$N$7)</f>
        <v/>
      </c>
      <c r="P10" s="95">
        <f>IF('Final Calculation Sheet'!$O$7="","",'Final Calculation Sheet'!$O$7)</f>
        <v/>
      </c>
      <c r="Q10" s="95">
        <f>IF('Final Calculation Sheet'!$P$7="","",'Final Calculation Sheet'!$P$7)</f>
        <v/>
      </c>
      <c r="R10" s="97">
        <f>IF('Final Calculation Sheet'!$Q$7="","",'Final Calculation Sheet'!$Q$7)</f>
        <v/>
      </c>
      <c r="S10" s="95">
        <f>IF('Final Calculation Sheet'!$R$7="","",'Final Calculation Sheet'!$R$7)</f>
        <v/>
      </c>
      <c r="T10" s="95">
        <f>IF('Final Calculation Sheet'!$S$7="","",'Final Calculation Sheet'!$S$7)</f>
        <v/>
      </c>
      <c r="U10" s="95">
        <f>IF('Final Calculation Sheet'!$T$7="","",'Final Calculation Sheet'!$T$7)</f>
        <v/>
      </c>
      <c r="V10" s="98">
        <f>IF('Final Calculation Sheet'!$U$7="","",'Final Calculation Sheet'!$U$7)</f>
        <v/>
      </c>
      <c r="W10" s="95">
        <f>IF('Final Calculation Sheet'!$V$7="","",'Final Calculation Sheet'!$V$7)</f>
        <v/>
      </c>
      <c r="X10" s="95">
        <f>IF('Final Calculation Sheet'!$W$7="","",'Final Calculation Sheet'!$W$7)</f>
        <v/>
      </c>
      <c r="Y10" s="95">
        <f>IF('Final Calculation Sheet'!$X$7="","",'Final Calculation Sheet'!$X$7)</f>
        <v/>
      </c>
      <c r="Z10" s="95">
        <f>IF('Final Calculation Sheet'!$Y$7="","",'Final Calculation Sheet'!$Y$7)</f>
        <v/>
      </c>
      <c r="AA10" s="95">
        <f>IF('Final Calculation Sheet'!$Z$7="","",'Final Calculation Sheet'!$Z$7)</f>
        <v/>
      </c>
      <c r="AB10" s="95">
        <f>IF('Final Calculation Sheet'!$AA$7="","",'Final Calculation Sheet'!$AA$7)</f>
        <v/>
      </c>
      <c r="AC10" s="95">
        <f>IF('Final Calculation Sheet'!$AB$7="","",'Final Calculation Sheet'!$AB$7)</f>
        <v/>
      </c>
      <c r="AD10" s="95">
        <f>IF('Final Calculation Sheet'!$AC$7="","",'Final Calculation Sheet'!$AC$7)</f>
        <v/>
      </c>
      <c r="AE10" s="95">
        <f>IF('Final Calculation Sheet'!$AD$7="","",'Final Calculation Sheet'!$AD$7)</f>
        <v/>
      </c>
      <c r="AF10" s="100">
        <f>IF('Final Calculation Sheet'!$AD$7="","",IF('Final Calculation Sheet'!$AD$7&lt;=5,"SETTLED","OUTSTANDING"))</f>
        <v/>
      </c>
      <c r="AG10" s="95">
        <f>IF('Final Calculation Sheet'!$AF$7="","",'Final Calculation Sheet'!$AF$7)</f>
        <v/>
      </c>
      <c r="AH10" s="99">
        <f>IF('Final Calculation Sheet'!$AG$7="","",'Final Calculation Sheet'!$AG$7)</f>
        <v/>
      </c>
      <c r="AI10" s="95">
        <f>IF('Final Calculation Sheet'!$AH$7="","",'Final Calculation Sheet'!$AH$7)</f>
        <v/>
      </c>
      <c r="AJ10">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10">
        <f>IF(AJ10=1,COUNTIF(AJ$7:AJ10,1),"")</f>
        <v/>
      </c>
    </row>
    <row r="11" ht="15" customHeight="1" s="137">
      <c r="A11" s="81" t="inlineStr">
        <is>
          <t>∑</t>
        </is>
      </c>
      <c r="B11" s="83" t="n"/>
      <c r="C11" s="83">
        <f>ROWS($C$9:$C$10)&amp;" lot(s)"</f>
        <v/>
      </c>
      <c r="D11" s="83" t="inlineStr">
        <is>
          <t>SUBTOTAL — F R KHANS ENTERPRISES</t>
        </is>
      </c>
      <c r="E11" s="83" t="inlineStr">
        <is>
          <t>–</t>
        </is>
      </c>
      <c r="F11" s="83">
        <f>SUM(F9:F10)</f>
        <v/>
      </c>
      <c r="G11" s="83" t="inlineStr">
        <is>
          <t>–</t>
        </is>
      </c>
      <c r="H11" s="84" t="inlineStr">
        <is>
          <t>–</t>
        </is>
      </c>
      <c r="I11" s="84">
        <f>SUM(I9:I10)</f>
        <v/>
      </c>
      <c r="J11" s="84">
        <f>SUM(J9:J10)</f>
        <v/>
      </c>
      <c r="K11" s="84">
        <f>SUM(K9:K10)</f>
        <v/>
      </c>
      <c r="L11" s="84">
        <f>SUM(L9:L10)</f>
        <v/>
      </c>
      <c r="M11" s="84">
        <f>SUM(M9:M10)</f>
        <v/>
      </c>
      <c r="N11" s="84">
        <f>SUM(N9:N10)</f>
        <v/>
      </c>
      <c r="O11" s="85">
        <f>SUM(O9:O10)</f>
        <v/>
      </c>
      <c r="P11" s="84">
        <f>SUM(P9:P10)</f>
        <v/>
      </c>
      <c r="Q11" s="84">
        <f>SUM(Q9:Q10)</f>
        <v/>
      </c>
      <c r="R11" s="86" t="inlineStr">
        <is>
          <t>–</t>
        </is>
      </c>
      <c r="S11" s="84">
        <f>SUM(S9:S10)</f>
        <v/>
      </c>
      <c r="T11" s="84">
        <f>SUM(T9:T10)</f>
        <v/>
      </c>
      <c r="U11" s="84">
        <f>SUM(U9:U10)</f>
        <v/>
      </c>
      <c r="V11" s="87">
        <f>SUM(V9:V10)</f>
        <v/>
      </c>
      <c r="W11" s="84" t="inlineStr">
        <is>
          <t>–</t>
        </is>
      </c>
      <c r="X11" s="84">
        <f>SUM(X9:X10)</f>
        <v/>
      </c>
      <c r="Y11" s="84">
        <f>SUM(Y9:Y10)</f>
        <v/>
      </c>
      <c r="Z11" s="84" t="inlineStr">
        <is>
          <t>–</t>
        </is>
      </c>
      <c r="AA11" s="84">
        <f>SUM(AA9:AA10)</f>
        <v/>
      </c>
      <c r="AB11" s="84">
        <f>SUM(AB9:AB10)</f>
        <v/>
      </c>
      <c r="AC11" s="84" t="inlineStr">
        <is>
          <t>–</t>
        </is>
      </c>
      <c r="AD11" s="84">
        <f>SUM(AD9:AD10)</f>
        <v/>
      </c>
      <c r="AE11" s="84">
        <f>SUM(AE9:AE10)</f>
        <v/>
      </c>
      <c r="AF11" s="89">
        <f>IF(AE11&lt;=5,"SETTLED","OUTSTANDING")</f>
        <v/>
      </c>
      <c r="AG11" s="84" t="inlineStr">
        <is>
          <t>–</t>
        </is>
      </c>
      <c r="AH11" s="88" t="inlineStr">
        <is>
          <t>–</t>
        </is>
      </c>
      <c r="AI11" s="84" t="inlineStr">
        <is>
          <t>–</t>
        </is>
      </c>
    </row>
    <row r="12" outlineLevel="1" ht="15" customHeight="1" s="137">
      <c r="A12" s="67" t="n">
        <v>1</v>
      </c>
      <c r="B12" s="76">
        <f>IF('Final Calculation Sheet'!$F$15="","",'Final Calculation Sheet'!$F$15)</f>
        <v/>
      </c>
      <c r="C12" s="76">
        <f>IF('Final Calculation Sheet'!$G$15="","",'Final Calculation Sheet'!$G$15)</f>
        <v/>
      </c>
      <c r="D12" s="80">
        <f>IF('Final Calculation Sheet'!$B$15="","",'Final Calculation Sheet'!$B$15)</f>
        <v/>
      </c>
      <c r="E12" s="80">
        <f>IF('Final Calculation Sheet'!$D$15="","",'Final Calculation Sheet'!$D$15)</f>
        <v/>
      </c>
      <c r="F12" s="80">
        <f>IF('Final Calculation Sheet'!$A$15="","",'Final Calculation Sheet'!$A$15)</f>
        <v/>
      </c>
      <c r="G12" s="80">
        <f>IF('Final Calculation Sheet'!$E$15="","",'Final Calculation Sheet'!$E$15)</f>
        <v/>
      </c>
      <c r="H12" s="70">
        <f>IF('Final Calculation Sheet'!$C$15="","",'Final Calculation Sheet'!$C$15)</f>
        <v/>
      </c>
      <c r="I12" s="70">
        <f>IF('Final Calculation Sheet'!$H$15="","",'Final Calculation Sheet'!$H$15)</f>
        <v/>
      </c>
      <c r="J12" s="70">
        <f>IF('Final Calculation Sheet'!$I$15="","",'Final Calculation Sheet'!$I$15)</f>
        <v/>
      </c>
      <c r="K12" s="70">
        <f>IF('Final Calculation Sheet'!$J$15="","",'Final Calculation Sheet'!$J$15)</f>
        <v/>
      </c>
      <c r="L12" s="70">
        <f>IF('Final Calculation Sheet'!$K$15="","",'Final Calculation Sheet'!$K$15)</f>
        <v/>
      </c>
      <c r="M12" s="70">
        <f>IF('Final Calculation Sheet'!$L$15="","",'Final Calculation Sheet'!$L$15)</f>
        <v/>
      </c>
      <c r="N12" s="70">
        <f>IF('Final Calculation Sheet'!$M$15="","",'Final Calculation Sheet'!$M$15)</f>
        <v/>
      </c>
      <c r="O12" s="71">
        <f>IF('Final Calculation Sheet'!$N$15="","",'Final Calculation Sheet'!$N$15)</f>
        <v/>
      </c>
      <c r="P12" s="70">
        <f>IF('Final Calculation Sheet'!$O$15="","",'Final Calculation Sheet'!$O$15)</f>
        <v/>
      </c>
      <c r="Q12" s="70">
        <f>IF('Final Calculation Sheet'!$P$15="","",'Final Calculation Sheet'!$P$15)</f>
        <v/>
      </c>
      <c r="R12" s="72">
        <f>IF('Final Calculation Sheet'!$Q$15="","",'Final Calculation Sheet'!$Q$15)</f>
        <v/>
      </c>
      <c r="S12" s="70">
        <f>IF('Final Calculation Sheet'!$R$15="","",'Final Calculation Sheet'!$R$15)</f>
        <v/>
      </c>
      <c r="T12" s="70">
        <f>IF('Final Calculation Sheet'!$S$15="","",'Final Calculation Sheet'!$S$15)</f>
        <v/>
      </c>
      <c r="U12" s="70">
        <f>IF('Final Calculation Sheet'!$T$15="","",'Final Calculation Sheet'!$T$15)</f>
        <v/>
      </c>
      <c r="V12" s="73">
        <f>IF('Final Calculation Sheet'!$U$15="","",'Final Calculation Sheet'!$U$15)</f>
        <v/>
      </c>
      <c r="W12" s="70">
        <f>IF('Final Calculation Sheet'!$V$15="","",'Final Calculation Sheet'!$V$15)</f>
        <v/>
      </c>
      <c r="X12" s="70">
        <f>IF('Final Calculation Sheet'!$W$15="","",'Final Calculation Sheet'!$W$15)</f>
        <v/>
      </c>
      <c r="Y12" s="70">
        <f>IF('Final Calculation Sheet'!$X$15="","",'Final Calculation Sheet'!$X$15)</f>
        <v/>
      </c>
      <c r="Z12" s="70">
        <f>IF('Final Calculation Sheet'!$Y$15="","",'Final Calculation Sheet'!$Y$15)</f>
        <v/>
      </c>
      <c r="AA12" s="70">
        <f>IF('Final Calculation Sheet'!$Z$15="","",'Final Calculation Sheet'!$Z$15)</f>
        <v/>
      </c>
      <c r="AB12" s="70">
        <f>IF('Final Calculation Sheet'!$AA$15="","",'Final Calculation Sheet'!$AA$15)</f>
        <v/>
      </c>
      <c r="AC12" s="70">
        <f>IF('Final Calculation Sheet'!$AB$15="","",'Final Calculation Sheet'!$AB$15)</f>
        <v/>
      </c>
      <c r="AD12" s="70">
        <f>IF('Final Calculation Sheet'!$AC$15="","",'Final Calculation Sheet'!$AC$15)</f>
        <v/>
      </c>
      <c r="AE12" s="70">
        <f>IF('Final Calculation Sheet'!$AD$15="","",'Final Calculation Sheet'!$AD$15)</f>
        <v/>
      </c>
      <c r="AF12" s="75">
        <f>IF('Final Calculation Sheet'!$AD$15="","",IF('Final Calculation Sheet'!$AD$15&lt;=5,"SETTLED","OUTSTANDING"))</f>
        <v/>
      </c>
      <c r="AG12" s="70">
        <f>IF('Final Calculation Sheet'!$AF$15="","",'Final Calculation Sheet'!$AF$15)</f>
        <v/>
      </c>
      <c r="AH12" s="74">
        <f>IF('Final Calculation Sheet'!$AG$15="","",'Final Calculation Sheet'!$AG$15)</f>
        <v/>
      </c>
      <c r="AI12" s="70">
        <f>IF('Final Calculation Sheet'!$AH$15="","",'Final Calculation Sheet'!$AH$15)</f>
        <v/>
      </c>
      <c r="AJ12">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2">
        <f>IF(AJ12=1,COUNTIF(AJ$7:AJ12,1),"")</f>
        <v/>
      </c>
    </row>
    <row r="13" ht="15" customHeight="1" s="137">
      <c r="A13" s="81" t="inlineStr">
        <is>
          <t>∑</t>
        </is>
      </c>
      <c r="B13" s="83" t="n"/>
      <c r="C13" s="83">
        <f>ROWS($C$12:$C$12)&amp;" lot(s)"</f>
        <v/>
      </c>
      <c r="D13" s="83" t="inlineStr">
        <is>
          <t>SUBTOTAL — HIND TRADERS</t>
        </is>
      </c>
      <c r="E13" s="83" t="inlineStr">
        <is>
          <t>–</t>
        </is>
      </c>
      <c r="F13" s="83">
        <f>SUM(F12:F12)</f>
        <v/>
      </c>
      <c r="G13" s="83" t="inlineStr">
        <is>
          <t>–</t>
        </is>
      </c>
      <c r="H13" s="84" t="inlineStr">
        <is>
          <t>–</t>
        </is>
      </c>
      <c r="I13" s="84">
        <f>SUM(I12:I12)</f>
        <v/>
      </c>
      <c r="J13" s="84">
        <f>SUM(J12:J12)</f>
        <v/>
      </c>
      <c r="K13" s="84">
        <f>SUM(K12:K12)</f>
        <v/>
      </c>
      <c r="L13" s="84">
        <f>SUM(L12:L12)</f>
        <v/>
      </c>
      <c r="M13" s="84">
        <f>SUM(M12:M12)</f>
        <v/>
      </c>
      <c r="N13" s="84">
        <f>SUM(N12:N12)</f>
        <v/>
      </c>
      <c r="O13" s="85">
        <f>SUM(O12:O12)</f>
        <v/>
      </c>
      <c r="P13" s="84">
        <f>SUM(P12:P12)</f>
        <v/>
      </c>
      <c r="Q13" s="84">
        <f>SUM(Q12:Q12)</f>
        <v/>
      </c>
      <c r="R13" s="86" t="inlineStr">
        <is>
          <t>–</t>
        </is>
      </c>
      <c r="S13" s="84">
        <f>SUM(S12:S12)</f>
        <v/>
      </c>
      <c r="T13" s="84">
        <f>SUM(T12:T12)</f>
        <v/>
      </c>
      <c r="U13" s="84">
        <f>SUM(U12:U12)</f>
        <v/>
      </c>
      <c r="V13" s="87">
        <f>SUM(V12:V12)</f>
        <v/>
      </c>
      <c r="W13" s="84" t="inlineStr">
        <is>
          <t>–</t>
        </is>
      </c>
      <c r="X13" s="84">
        <f>SUM(X12:X12)</f>
        <v/>
      </c>
      <c r="Y13" s="84">
        <f>SUM(Y12:Y12)</f>
        <v/>
      </c>
      <c r="Z13" s="84" t="inlineStr">
        <is>
          <t>–</t>
        </is>
      </c>
      <c r="AA13" s="84">
        <f>SUM(AA12:AA12)</f>
        <v/>
      </c>
      <c r="AB13" s="84">
        <f>SUM(AB12:AB12)</f>
        <v/>
      </c>
      <c r="AC13" s="84" t="inlineStr">
        <is>
          <t>–</t>
        </is>
      </c>
      <c r="AD13" s="84">
        <f>SUM(AD12:AD12)</f>
        <v/>
      </c>
      <c r="AE13" s="84">
        <f>SUM(AE12:AE12)</f>
        <v/>
      </c>
      <c r="AF13" s="89">
        <f>IF(AE13&lt;=5,"SETTLED","OUTSTANDING")</f>
        <v/>
      </c>
      <c r="AG13" s="84" t="inlineStr">
        <is>
          <t>–</t>
        </is>
      </c>
      <c r="AH13" s="88" t="inlineStr">
        <is>
          <t>–</t>
        </is>
      </c>
      <c r="AI13" s="84" t="inlineStr">
        <is>
          <t>–</t>
        </is>
      </c>
    </row>
    <row r="14" outlineLevel="1" ht="15" customHeight="1" s="137">
      <c r="A14" s="67" t="n">
        <v>1</v>
      </c>
      <c r="B14" s="76">
        <f>IF('Final Calculation Sheet'!$F$38="","",'Final Calculation Sheet'!$F$38)</f>
        <v/>
      </c>
      <c r="C14" s="76">
        <f>IF('Final Calculation Sheet'!$G$38="","",'Final Calculation Sheet'!$G$38)</f>
        <v/>
      </c>
      <c r="D14" s="80">
        <f>IF('Final Calculation Sheet'!$B$38="","",'Final Calculation Sheet'!$B$38)</f>
        <v/>
      </c>
      <c r="E14" s="80">
        <f>IF('Final Calculation Sheet'!$D$38="","",'Final Calculation Sheet'!$D$38)</f>
        <v/>
      </c>
      <c r="F14" s="80">
        <f>IF('Final Calculation Sheet'!$A$38="","",'Final Calculation Sheet'!$A$38)</f>
        <v/>
      </c>
      <c r="G14" s="80">
        <f>IF('Final Calculation Sheet'!$E$38="","",'Final Calculation Sheet'!$E$38)</f>
        <v/>
      </c>
      <c r="H14" s="70">
        <f>IF('Final Calculation Sheet'!$C$38="","",'Final Calculation Sheet'!$C$38)</f>
        <v/>
      </c>
      <c r="I14" s="70">
        <f>IF('Final Calculation Sheet'!$H$38="","",'Final Calculation Sheet'!$H$38)</f>
        <v/>
      </c>
      <c r="J14" s="70">
        <f>IF('Final Calculation Sheet'!$I$38="","",'Final Calculation Sheet'!$I$38)</f>
        <v/>
      </c>
      <c r="K14" s="70">
        <f>IF('Final Calculation Sheet'!$J$38="","",'Final Calculation Sheet'!$J$38)</f>
        <v/>
      </c>
      <c r="L14" s="70">
        <f>IF('Final Calculation Sheet'!$K$38="","",'Final Calculation Sheet'!$K$38)</f>
        <v/>
      </c>
      <c r="M14" s="70">
        <f>IF('Final Calculation Sheet'!$L$38="","",'Final Calculation Sheet'!$L$38)</f>
        <v/>
      </c>
      <c r="N14" s="70">
        <f>IF('Final Calculation Sheet'!$M$38="","",'Final Calculation Sheet'!$M$38)</f>
        <v/>
      </c>
      <c r="O14" s="71">
        <f>IF('Final Calculation Sheet'!$N$38="","",'Final Calculation Sheet'!$N$38)</f>
        <v/>
      </c>
      <c r="P14" s="70">
        <f>IF('Final Calculation Sheet'!$O$38="","",'Final Calculation Sheet'!$O$38)</f>
        <v/>
      </c>
      <c r="Q14" s="70">
        <f>IF('Final Calculation Sheet'!$P$38="","",'Final Calculation Sheet'!$P$38)</f>
        <v/>
      </c>
      <c r="R14" s="72">
        <f>IF('Final Calculation Sheet'!$Q$38="","",'Final Calculation Sheet'!$Q$38)</f>
        <v/>
      </c>
      <c r="S14" s="70">
        <f>IF('Final Calculation Sheet'!$R$38="","",'Final Calculation Sheet'!$R$38)</f>
        <v/>
      </c>
      <c r="T14" s="70">
        <f>IF('Final Calculation Sheet'!$S$38="","",'Final Calculation Sheet'!$S$38)</f>
        <v/>
      </c>
      <c r="U14" s="70">
        <f>IF('Final Calculation Sheet'!$T$38="","",'Final Calculation Sheet'!$T$38)</f>
        <v/>
      </c>
      <c r="V14" s="73">
        <f>IF('Final Calculation Sheet'!$U$38="","",'Final Calculation Sheet'!$U$38)</f>
        <v/>
      </c>
      <c r="W14" s="70">
        <f>IF('Final Calculation Sheet'!$V$38="","",'Final Calculation Sheet'!$V$38)</f>
        <v/>
      </c>
      <c r="X14" s="70">
        <f>IF('Final Calculation Sheet'!$W$38="","",'Final Calculation Sheet'!$W$38)</f>
        <v/>
      </c>
      <c r="Y14" s="70">
        <f>IF('Final Calculation Sheet'!$X$38="","",'Final Calculation Sheet'!$X$38)</f>
        <v/>
      </c>
      <c r="Z14" s="70">
        <f>IF('Final Calculation Sheet'!$Y$38="","",'Final Calculation Sheet'!$Y$38)</f>
        <v/>
      </c>
      <c r="AA14" s="70">
        <f>IF('Final Calculation Sheet'!$Z$38="","",'Final Calculation Sheet'!$Z$38)</f>
        <v/>
      </c>
      <c r="AB14" s="70">
        <f>IF('Final Calculation Sheet'!$AA$38="","",'Final Calculation Sheet'!$AA$38)</f>
        <v/>
      </c>
      <c r="AC14" s="70">
        <f>IF('Final Calculation Sheet'!$AB$38="","",'Final Calculation Sheet'!$AB$38)</f>
        <v/>
      </c>
      <c r="AD14" s="70">
        <f>IF('Final Calculation Sheet'!$AC$38="","",'Final Calculation Sheet'!$AC$38)</f>
        <v/>
      </c>
      <c r="AE14" s="70">
        <f>IF('Final Calculation Sheet'!$AD$38="","",'Final Calculation Sheet'!$AD$38)</f>
        <v/>
      </c>
      <c r="AF14" s="75">
        <f>IF('Final Calculation Sheet'!$AD$38="","",IF('Final Calculation Sheet'!$AD$38&lt;=5,"SETTLED","OUTSTANDING"))</f>
        <v/>
      </c>
      <c r="AG14" s="70">
        <f>IF('Final Calculation Sheet'!$AF$38="","",'Final Calculation Sheet'!$AF$38)</f>
        <v/>
      </c>
      <c r="AH14" s="74">
        <f>IF('Final Calculation Sheet'!$AG$38="","",'Final Calculation Sheet'!$AG$38)</f>
        <v/>
      </c>
      <c r="AI14" s="70">
        <f>IF('Final Calculation Sheet'!$AH$38="","",'Final Calculation Sheet'!$AH$38)</f>
        <v/>
      </c>
      <c r="AJ14">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14">
        <f>IF(AJ14=1,COUNTIF(AJ$7:AJ14,1),"")</f>
        <v/>
      </c>
    </row>
    <row r="15" ht="15" customHeight="1" s="137">
      <c r="A15" s="81" t="inlineStr">
        <is>
          <t>∑</t>
        </is>
      </c>
      <c r="B15" s="83" t="n"/>
      <c r="C15" s="83">
        <f>ROWS($C$14:$C$14)&amp;" lot(s)"</f>
        <v/>
      </c>
      <c r="D15" s="83" t="inlineStr">
        <is>
          <t>SUBTOTAL — KASHYAP TRADING CO</t>
        </is>
      </c>
      <c r="E15" s="83" t="inlineStr">
        <is>
          <t>–</t>
        </is>
      </c>
      <c r="F15" s="83">
        <f>SUM(F14:F14)</f>
        <v/>
      </c>
      <c r="G15" s="83" t="inlineStr">
        <is>
          <t>–</t>
        </is>
      </c>
      <c r="H15" s="84" t="inlineStr">
        <is>
          <t>–</t>
        </is>
      </c>
      <c r="I15" s="84">
        <f>SUM(I14:I14)</f>
        <v/>
      </c>
      <c r="J15" s="84">
        <f>SUM(J14:J14)</f>
        <v/>
      </c>
      <c r="K15" s="84">
        <f>SUM(K14:K14)</f>
        <v/>
      </c>
      <c r="L15" s="84">
        <f>SUM(L14:L14)</f>
        <v/>
      </c>
      <c r="M15" s="84">
        <f>SUM(M14:M14)</f>
        <v/>
      </c>
      <c r="N15" s="84">
        <f>SUM(N14:N14)</f>
        <v/>
      </c>
      <c r="O15" s="85">
        <f>SUM(O14:O14)</f>
        <v/>
      </c>
      <c r="P15" s="84">
        <f>SUM(P14:P14)</f>
        <v/>
      </c>
      <c r="Q15" s="84">
        <f>SUM(Q14:Q14)</f>
        <v/>
      </c>
      <c r="R15" s="86" t="inlineStr">
        <is>
          <t>–</t>
        </is>
      </c>
      <c r="S15" s="84">
        <f>SUM(S14:S14)</f>
        <v/>
      </c>
      <c r="T15" s="84">
        <f>SUM(T14:T14)</f>
        <v/>
      </c>
      <c r="U15" s="84">
        <f>SUM(U14:U14)</f>
        <v/>
      </c>
      <c r="V15" s="87">
        <f>SUM(V14:V14)</f>
        <v/>
      </c>
      <c r="W15" s="84" t="inlineStr">
        <is>
          <t>–</t>
        </is>
      </c>
      <c r="X15" s="84">
        <f>SUM(X14:X14)</f>
        <v/>
      </c>
      <c r="Y15" s="84">
        <f>SUM(Y14:Y14)</f>
        <v/>
      </c>
      <c r="Z15" s="84" t="inlineStr">
        <is>
          <t>–</t>
        </is>
      </c>
      <c r="AA15" s="84">
        <f>SUM(AA14:AA14)</f>
        <v/>
      </c>
      <c r="AB15" s="84">
        <f>SUM(AB14:AB14)</f>
        <v/>
      </c>
      <c r="AC15" s="84" t="inlineStr">
        <is>
          <t>–</t>
        </is>
      </c>
      <c r="AD15" s="84">
        <f>SUM(AD14:AD14)</f>
        <v/>
      </c>
      <c r="AE15" s="84">
        <f>SUM(AE14:AE14)</f>
        <v/>
      </c>
      <c r="AF15" s="89">
        <f>IF(AE15&lt;=5,"SETTLED","OUTSTANDING")</f>
        <v/>
      </c>
      <c r="AG15" s="84" t="inlineStr">
        <is>
          <t>–</t>
        </is>
      </c>
      <c r="AH15" s="88" t="inlineStr">
        <is>
          <t>–</t>
        </is>
      </c>
      <c r="AI15" s="84" t="inlineStr">
        <is>
          <t>–</t>
        </is>
      </c>
    </row>
    <row r="16" outlineLevel="1" ht="15" customHeight="1" s="137">
      <c r="A16" s="67" t="n">
        <v>1</v>
      </c>
      <c r="B16" s="76">
        <f>IF('Final Calculation Sheet'!$F$27="","",'Final Calculation Sheet'!$F$27)</f>
        <v/>
      </c>
      <c r="C16" s="76">
        <f>IF('Final Calculation Sheet'!$G$27="","",'Final Calculation Sheet'!$G$27)</f>
        <v/>
      </c>
      <c r="D16" s="80">
        <f>IF('Final Calculation Sheet'!$B$27="","",'Final Calculation Sheet'!$B$27)</f>
        <v/>
      </c>
      <c r="E16" s="80">
        <f>IF('Final Calculation Sheet'!$D$27="","",'Final Calculation Sheet'!$D$27)</f>
        <v/>
      </c>
      <c r="F16" s="80">
        <f>IF('Final Calculation Sheet'!$A$27="","",'Final Calculation Sheet'!$A$27)</f>
        <v/>
      </c>
      <c r="G16" s="80">
        <f>IF('Final Calculation Sheet'!$E$27="","",'Final Calculation Sheet'!$E$27)</f>
        <v/>
      </c>
      <c r="H16" s="70">
        <f>IF('Final Calculation Sheet'!$C$27="","",'Final Calculation Sheet'!$C$27)</f>
        <v/>
      </c>
      <c r="I16" s="70">
        <f>IF('Final Calculation Sheet'!$H$27="","",'Final Calculation Sheet'!$H$27)</f>
        <v/>
      </c>
      <c r="J16" s="70">
        <f>IF('Final Calculation Sheet'!$I$27="","",'Final Calculation Sheet'!$I$27)</f>
        <v/>
      </c>
      <c r="K16" s="70">
        <f>IF('Final Calculation Sheet'!$J$27="","",'Final Calculation Sheet'!$J$27)</f>
        <v/>
      </c>
      <c r="L16" s="70">
        <f>IF('Final Calculation Sheet'!$K$27="","",'Final Calculation Sheet'!$K$27)</f>
        <v/>
      </c>
      <c r="M16" s="70">
        <f>IF('Final Calculation Sheet'!$L$27="","",'Final Calculation Sheet'!$L$27)</f>
        <v/>
      </c>
      <c r="N16" s="70">
        <f>IF('Final Calculation Sheet'!$M$27="","",'Final Calculation Sheet'!$M$27)</f>
        <v/>
      </c>
      <c r="O16" s="71">
        <f>IF('Final Calculation Sheet'!$N$27="","",'Final Calculation Sheet'!$N$27)</f>
        <v/>
      </c>
      <c r="P16" s="70">
        <f>IF('Final Calculation Sheet'!$O$27="","",'Final Calculation Sheet'!$O$27)</f>
        <v/>
      </c>
      <c r="Q16" s="70">
        <f>IF('Final Calculation Sheet'!$P$27="","",'Final Calculation Sheet'!$P$27)</f>
        <v/>
      </c>
      <c r="R16" s="72">
        <f>IF('Final Calculation Sheet'!$Q$27="","",'Final Calculation Sheet'!$Q$27)</f>
        <v/>
      </c>
      <c r="S16" s="70">
        <f>IF('Final Calculation Sheet'!$R$27="","",'Final Calculation Sheet'!$R$27)</f>
        <v/>
      </c>
      <c r="T16" s="70">
        <f>IF('Final Calculation Sheet'!$S$27="","",'Final Calculation Sheet'!$S$27)</f>
        <v/>
      </c>
      <c r="U16" s="70">
        <f>IF('Final Calculation Sheet'!$T$27="","",'Final Calculation Sheet'!$T$27)</f>
        <v/>
      </c>
      <c r="V16" s="73">
        <f>IF('Final Calculation Sheet'!$U$27="","",'Final Calculation Sheet'!$U$27)</f>
        <v/>
      </c>
      <c r="W16" s="70">
        <f>IF('Final Calculation Sheet'!$V$27="","",'Final Calculation Sheet'!$V$27)</f>
        <v/>
      </c>
      <c r="X16" s="70">
        <f>IF('Final Calculation Sheet'!$W$27="","",'Final Calculation Sheet'!$W$27)</f>
        <v/>
      </c>
      <c r="Y16" s="70">
        <f>IF('Final Calculation Sheet'!$X$27="","",'Final Calculation Sheet'!$X$27)</f>
        <v/>
      </c>
      <c r="Z16" s="70">
        <f>IF('Final Calculation Sheet'!$Y$27="","",'Final Calculation Sheet'!$Y$27)</f>
        <v/>
      </c>
      <c r="AA16" s="70">
        <f>IF('Final Calculation Sheet'!$Z$27="","",'Final Calculation Sheet'!$Z$27)</f>
        <v/>
      </c>
      <c r="AB16" s="70">
        <f>IF('Final Calculation Sheet'!$AA$27="","",'Final Calculation Sheet'!$AA$27)</f>
        <v/>
      </c>
      <c r="AC16" s="70">
        <f>IF('Final Calculation Sheet'!$AB$27="","",'Final Calculation Sheet'!$AB$27)</f>
        <v/>
      </c>
      <c r="AD16" s="70">
        <f>IF('Final Calculation Sheet'!$AC$27="","",'Final Calculation Sheet'!$AC$27)</f>
        <v/>
      </c>
      <c r="AE16" s="70">
        <f>IF('Final Calculation Sheet'!$AD$27="","",'Final Calculation Sheet'!$AD$27)</f>
        <v/>
      </c>
      <c r="AF16" s="75">
        <f>IF('Final Calculation Sheet'!$AD$27="","",IF('Final Calculation Sheet'!$AD$27&lt;=5,"SETTLED","OUTSTANDING"))</f>
        <v/>
      </c>
      <c r="AG16" s="70">
        <f>IF('Final Calculation Sheet'!$AF$27="","",'Final Calculation Sheet'!$AF$27)</f>
        <v/>
      </c>
      <c r="AH16" s="74">
        <f>IF('Final Calculation Sheet'!$AG$27="","",'Final Calculation Sheet'!$AG$27)</f>
        <v/>
      </c>
      <c r="AI16" s="70">
        <f>IF('Final Calculation Sheet'!$AH$27="","",'Final Calculation Sheet'!$AH$27)</f>
        <v/>
      </c>
      <c r="AJ16">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16">
        <f>IF(AJ16=1,COUNTIF(AJ$7:AJ16,1),"")</f>
        <v/>
      </c>
    </row>
    <row r="17" ht="15" customHeight="1" s="137">
      <c r="A17" s="81" t="inlineStr">
        <is>
          <t>∑</t>
        </is>
      </c>
      <c r="B17" s="83" t="n"/>
      <c r="C17" s="83">
        <f>ROWS($C$16:$C$16)&amp;" lot(s)"</f>
        <v/>
      </c>
      <c r="D17" s="83" t="inlineStr">
        <is>
          <t>SUBTOTAL — M I SCRAP TRADERS</t>
        </is>
      </c>
      <c r="E17" s="83" t="inlineStr">
        <is>
          <t>–</t>
        </is>
      </c>
      <c r="F17" s="83">
        <f>SUM(F16:F16)</f>
        <v/>
      </c>
      <c r="G17" s="83" t="inlineStr">
        <is>
          <t>–</t>
        </is>
      </c>
      <c r="H17" s="84" t="inlineStr">
        <is>
          <t>–</t>
        </is>
      </c>
      <c r="I17" s="84">
        <f>SUM(I16:I16)</f>
        <v/>
      </c>
      <c r="J17" s="84">
        <f>SUM(J16:J16)</f>
        <v/>
      </c>
      <c r="K17" s="84">
        <f>SUM(K16:K16)</f>
        <v/>
      </c>
      <c r="L17" s="84">
        <f>SUM(L16:L16)</f>
        <v/>
      </c>
      <c r="M17" s="84">
        <f>SUM(M16:M16)</f>
        <v/>
      </c>
      <c r="N17" s="84">
        <f>SUM(N16:N16)</f>
        <v/>
      </c>
      <c r="O17" s="85">
        <f>SUM(O16:O16)</f>
        <v/>
      </c>
      <c r="P17" s="84">
        <f>SUM(P16:P16)</f>
        <v/>
      </c>
      <c r="Q17" s="84">
        <f>SUM(Q16:Q16)</f>
        <v/>
      </c>
      <c r="R17" s="86" t="inlineStr">
        <is>
          <t>–</t>
        </is>
      </c>
      <c r="S17" s="84">
        <f>SUM(S16:S16)</f>
        <v/>
      </c>
      <c r="T17" s="84">
        <f>SUM(T16:T16)</f>
        <v/>
      </c>
      <c r="U17" s="84">
        <f>SUM(U16:U16)</f>
        <v/>
      </c>
      <c r="V17" s="87">
        <f>SUM(V16:V16)</f>
        <v/>
      </c>
      <c r="W17" s="84" t="inlineStr">
        <is>
          <t>–</t>
        </is>
      </c>
      <c r="X17" s="84">
        <f>SUM(X16:X16)</f>
        <v/>
      </c>
      <c r="Y17" s="84">
        <f>SUM(Y16:Y16)</f>
        <v/>
      </c>
      <c r="Z17" s="84" t="inlineStr">
        <is>
          <t>–</t>
        </is>
      </c>
      <c r="AA17" s="84">
        <f>SUM(AA16:AA16)</f>
        <v/>
      </c>
      <c r="AB17" s="84">
        <f>SUM(AB16:AB16)</f>
        <v/>
      </c>
      <c r="AC17" s="84" t="inlineStr">
        <is>
          <t>–</t>
        </is>
      </c>
      <c r="AD17" s="84">
        <f>SUM(AD16:AD16)</f>
        <v/>
      </c>
      <c r="AE17" s="84">
        <f>SUM(AE16:AE16)</f>
        <v/>
      </c>
      <c r="AF17" s="89">
        <f>IF(AE17&lt;=5,"SETTLED","OUTSTANDING")</f>
        <v/>
      </c>
      <c r="AG17" s="84" t="inlineStr">
        <is>
          <t>–</t>
        </is>
      </c>
      <c r="AH17" s="88" t="inlineStr">
        <is>
          <t>–</t>
        </is>
      </c>
      <c r="AI17" s="84" t="inlineStr">
        <is>
          <t>–</t>
        </is>
      </c>
    </row>
    <row r="18" outlineLevel="1" ht="15" customHeight="1" s="137">
      <c r="A18" s="67" t="n">
        <v>1</v>
      </c>
      <c r="B18" s="76">
        <f>IF('Final Calculation Sheet'!$F$5="","",'Final Calculation Sheet'!$F$5)</f>
        <v/>
      </c>
      <c r="C18" s="76">
        <f>IF('Final Calculation Sheet'!$G$5="","",'Final Calculation Sheet'!$G$5)</f>
        <v/>
      </c>
      <c r="D18" s="80">
        <f>IF('Final Calculation Sheet'!$B$5="","",'Final Calculation Sheet'!$B$5)</f>
        <v/>
      </c>
      <c r="E18" s="80">
        <f>IF('Final Calculation Sheet'!$D$5="","",'Final Calculation Sheet'!$D$5)</f>
        <v/>
      </c>
      <c r="F18" s="80">
        <f>IF('Final Calculation Sheet'!$A$5="","",'Final Calculation Sheet'!$A$5)</f>
        <v/>
      </c>
      <c r="G18" s="80">
        <f>IF('Final Calculation Sheet'!$E$5="","",'Final Calculation Sheet'!$E$5)</f>
        <v/>
      </c>
      <c r="H18" s="70">
        <f>IF('Final Calculation Sheet'!$C$5="","",'Final Calculation Sheet'!$C$5)</f>
        <v/>
      </c>
      <c r="I18" s="70">
        <f>IF('Final Calculation Sheet'!$H$5="","",'Final Calculation Sheet'!$H$5)</f>
        <v/>
      </c>
      <c r="J18" s="70">
        <f>IF('Final Calculation Sheet'!$I$5="","",'Final Calculation Sheet'!$I$5)</f>
        <v/>
      </c>
      <c r="K18" s="70">
        <f>IF('Final Calculation Sheet'!$J$5="","",'Final Calculation Sheet'!$J$5)</f>
        <v/>
      </c>
      <c r="L18" s="70">
        <f>IF('Final Calculation Sheet'!$K$5="","",'Final Calculation Sheet'!$K$5)</f>
        <v/>
      </c>
      <c r="M18" s="70">
        <f>IF('Final Calculation Sheet'!$L$5="","",'Final Calculation Sheet'!$L$5)</f>
        <v/>
      </c>
      <c r="N18" s="70">
        <f>IF('Final Calculation Sheet'!$M$5="","",'Final Calculation Sheet'!$M$5)</f>
        <v/>
      </c>
      <c r="O18" s="71">
        <f>IF('Final Calculation Sheet'!$N$5="","",'Final Calculation Sheet'!$N$5)</f>
        <v/>
      </c>
      <c r="P18" s="70">
        <f>IF('Final Calculation Sheet'!$O$5="","",'Final Calculation Sheet'!$O$5)</f>
        <v/>
      </c>
      <c r="Q18" s="70">
        <f>IF('Final Calculation Sheet'!$P$5="","",'Final Calculation Sheet'!$P$5)</f>
        <v/>
      </c>
      <c r="R18" s="72">
        <f>IF('Final Calculation Sheet'!$Q$5="","",'Final Calculation Sheet'!$Q$5)</f>
        <v/>
      </c>
      <c r="S18" s="70">
        <f>IF('Final Calculation Sheet'!$R$5="","",'Final Calculation Sheet'!$R$5)</f>
        <v/>
      </c>
      <c r="T18" s="70">
        <f>IF('Final Calculation Sheet'!$S$5="","",'Final Calculation Sheet'!$S$5)</f>
        <v/>
      </c>
      <c r="U18" s="70">
        <f>IF('Final Calculation Sheet'!$T$5="","",'Final Calculation Sheet'!$T$5)</f>
        <v/>
      </c>
      <c r="V18" s="73">
        <f>IF('Final Calculation Sheet'!$U$5="","",'Final Calculation Sheet'!$U$5)</f>
        <v/>
      </c>
      <c r="W18" s="70">
        <f>IF('Final Calculation Sheet'!$V$5="","",'Final Calculation Sheet'!$V$5)</f>
        <v/>
      </c>
      <c r="X18" s="70">
        <f>IF('Final Calculation Sheet'!$W$5="","",'Final Calculation Sheet'!$W$5)</f>
        <v/>
      </c>
      <c r="Y18" s="70">
        <f>IF('Final Calculation Sheet'!$X$5="","",'Final Calculation Sheet'!$X$5)</f>
        <v/>
      </c>
      <c r="Z18" s="70">
        <f>IF('Final Calculation Sheet'!$Y$5="","",'Final Calculation Sheet'!$Y$5)</f>
        <v/>
      </c>
      <c r="AA18" s="70">
        <f>IF('Final Calculation Sheet'!$Z$5="","",'Final Calculation Sheet'!$Z$5)</f>
        <v/>
      </c>
      <c r="AB18" s="70">
        <f>IF('Final Calculation Sheet'!$AA$5="","",'Final Calculation Sheet'!$AA$5)</f>
        <v/>
      </c>
      <c r="AC18" s="70">
        <f>IF('Final Calculation Sheet'!$AB$5="","",'Final Calculation Sheet'!$AB$5)</f>
        <v/>
      </c>
      <c r="AD18" s="70">
        <f>IF('Final Calculation Sheet'!$AC$5="","",'Final Calculation Sheet'!$AC$5)</f>
        <v/>
      </c>
      <c r="AE18" s="70">
        <f>IF('Final Calculation Sheet'!$AD$5="","",'Final Calculation Sheet'!$AD$5)</f>
        <v/>
      </c>
      <c r="AF18" s="75">
        <f>IF('Final Calculation Sheet'!$AD$5="","",IF('Final Calculation Sheet'!$AD$5&lt;=5,"SETTLED","OUTSTANDING"))</f>
        <v/>
      </c>
      <c r="AG18" s="70">
        <f>IF('Final Calculation Sheet'!$AF$5="","",'Final Calculation Sheet'!$AF$5)</f>
        <v/>
      </c>
      <c r="AH18" s="74">
        <f>IF('Final Calculation Sheet'!$AG$5="","",'Final Calculation Sheet'!$AG$5)</f>
        <v/>
      </c>
      <c r="AI18" s="70">
        <f>IF('Final Calculation Sheet'!$AH$5="","",'Final Calculation Sheet'!$AH$5)</f>
        <v/>
      </c>
      <c r="AJ18">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18">
        <f>IF(AJ18=1,COUNTIF(AJ$7:AJ18,1),"")</f>
        <v/>
      </c>
    </row>
    <row r="19" outlineLevel="1" ht="15" customHeight="1" s="137">
      <c r="A19" s="90" t="n">
        <v>2</v>
      </c>
      <c r="B19" s="92">
        <f>IF('Final Calculation Sheet'!$F$10="","",'Final Calculation Sheet'!$F$10)</f>
        <v/>
      </c>
      <c r="C19" s="92">
        <f>IF('Final Calculation Sheet'!$G$10="","",'Final Calculation Sheet'!$G$10)</f>
        <v/>
      </c>
      <c r="D19" s="94">
        <f>IF('Final Calculation Sheet'!$B$10="","",'Final Calculation Sheet'!$B$10)</f>
        <v/>
      </c>
      <c r="E19" s="94">
        <f>IF('Final Calculation Sheet'!$D$10="","",'Final Calculation Sheet'!$D$10)</f>
        <v/>
      </c>
      <c r="F19" s="94">
        <f>IF('Final Calculation Sheet'!$A$10="","",'Final Calculation Sheet'!$A$10)</f>
        <v/>
      </c>
      <c r="G19" s="94">
        <f>IF('Final Calculation Sheet'!$E$10="","",'Final Calculation Sheet'!$E$10)</f>
        <v/>
      </c>
      <c r="H19" s="95">
        <f>IF('Final Calculation Sheet'!$C$10="","",'Final Calculation Sheet'!$C$10)</f>
        <v/>
      </c>
      <c r="I19" s="95">
        <f>IF('Final Calculation Sheet'!$H$10="","",'Final Calculation Sheet'!$H$10)</f>
        <v/>
      </c>
      <c r="J19" s="95">
        <f>IF('Final Calculation Sheet'!$I$10="","",'Final Calculation Sheet'!$I$10)</f>
        <v/>
      </c>
      <c r="K19" s="95">
        <f>IF('Final Calculation Sheet'!$J$10="","",'Final Calculation Sheet'!$J$10)</f>
        <v/>
      </c>
      <c r="L19" s="95">
        <f>IF('Final Calculation Sheet'!$K$10="","",'Final Calculation Sheet'!$K$10)</f>
        <v/>
      </c>
      <c r="M19" s="95">
        <f>IF('Final Calculation Sheet'!$L$10="","",'Final Calculation Sheet'!$L$10)</f>
        <v/>
      </c>
      <c r="N19" s="95">
        <f>IF('Final Calculation Sheet'!$M$10="","",'Final Calculation Sheet'!$M$10)</f>
        <v/>
      </c>
      <c r="O19" s="96">
        <f>IF('Final Calculation Sheet'!$N$10="","",'Final Calculation Sheet'!$N$10)</f>
        <v/>
      </c>
      <c r="P19" s="95">
        <f>IF('Final Calculation Sheet'!$O$10="","",'Final Calculation Sheet'!$O$10)</f>
        <v/>
      </c>
      <c r="Q19" s="95">
        <f>IF('Final Calculation Sheet'!$P$10="","",'Final Calculation Sheet'!$P$10)</f>
        <v/>
      </c>
      <c r="R19" s="97">
        <f>IF('Final Calculation Sheet'!$Q$10="","",'Final Calculation Sheet'!$Q$10)</f>
        <v/>
      </c>
      <c r="S19" s="95">
        <f>IF('Final Calculation Sheet'!$R$10="","",'Final Calculation Sheet'!$R$10)</f>
        <v/>
      </c>
      <c r="T19" s="95">
        <f>IF('Final Calculation Sheet'!$S$10="","",'Final Calculation Sheet'!$S$10)</f>
        <v/>
      </c>
      <c r="U19" s="95">
        <f>IF('Final Calculation Sheet'!$T$10="","",'Final Calculation Sheet'!$T$10)</f>
        <v/>
      </c>
      <c r="V19" s="98">
        <f>IF('Final Calculation Sheet'!$U$10="","",'Final Calculation Sheet'!$U$10)</f>
        <v/>
      </c>
      <c r="W19" s="95">
        <f>IF('Final Calculation Sheet'!$V$10="","",'Final Calculation Sheet'!$V$10)</f>
        <v/>
      </c>
      <c r="X19" s="95">
        <f>IF('Final Calculation Sheet'!$W$10="","",'Final Calculation Sheet'!$W$10)</f>
        <v/>
      </c>
      <c r="Y19" s="95">
        <f>IF('Final Calculation Sheet'!$X$10="","",'Final Calculation Sheet'!$X$10)</f>
        <v/>
      </c>
      <c r="Z19" s="95">
        <f>IF('Final Calculation Sheet'!$Y$10="","",'Final Calculation Sheet'!$Y$10)</f>
        <v/>
      </c>
      <c r="AA19" s="95">
        <f>IF('Final Calculation Sheet'!$Z$10="","",'Final Calculation Sheet'!$Z$10)</f>
        <v/>
      </c>
      <c r="AB19" s="95">
        <f>IF('Final Calculation Sheet'!$AA$10="","",'Final Calculation Sheet'!$AA$10)</f>
        <v/>
      </c>
      <c r="AC19" s="95">
        <f>IF('Final Calculation Sheet'!$AB$10="","",'Final Calculation Sheet'!$AB$10)</f>
        <v/>
      </c>
      <c r="AD19" s="95">
        <f>IF('Final Calculation Sheet'!$AC$10="","",'Final Calculation Sheet'!$AC$10)</f>
        <v/>
      </c>
      <c r="AE19" s="95">
        <f>IF('Final Calculation Sheet'!$AD$10="","",'Final Calculation Sheet'!$AD$10)</f>
        <v/>
      </c>
      <c r="AF19" s="100">
        <f>IF('Final Calculation Sheet'!$AD$10="","",IF('Final Calculation Sheet'!$AD$10&lt;=5,"SETTLED","OUTSTANDING"))</f>
        <v/>
      </c>
      <c r="AG19" s="95">
        <f>IF('Final Calculation Sheet'!$AF$10="","",'Final Calculation Sheet'!$AF$10)</f>
        <v/>
      </c>
      <c r="AH19" s="99">
        <f>IF('Final Calculation Sheet'!$AG$10="","",'Final Calculation Sheet'!$AG$10)</f>
        <v/>
      </c>
      <c r="AI19" s="95">
        <f>IF('Final Calculation Sheet'!$AH$10="","",'Final Calculation Sheet'!$AH$10)</f>
        <v/>
      </c>
      <c r="AJ19">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9">
        <f>IF(AJ19=1,COUNTIF(AJ$7:AJ19,1),"")</f>
        <v/>
      </c>
    </row>
    <row r="20" outlineLevel="1" ht="15" customHeight="1" s="137">
      <c r="A20" s="67" t="n">
        <v>3</v>
      </c>
      <c r="B20" s="76">
        <f>IF('Final Calculation Sheet'!$F$11="","",'Final Calculation Sheet'!$F$11)</f>
        <v/>
      </c>
      <c r="C20" s="76">
        <f>IF('Final Calculation Sheet'!$G$11="","",'Final Calculation Sheet'!$G$11)</f>
        <v/>
      </c>
      <c r="D20" s="80">
        <f>IF('Final Calculation Sheet'!$B$11="","",'Final Calculation Sheet'!$B$11)</f>
        <v/>
      </c>
      <c r="E20" s="80">
        <f>IF('Final Calculation Sheet'!$D$11="","",'Final Calculation Sheet'!$D$11)</f>
        <v/>
      </c>
      <c r="F20" s="80">
        <f>IF('Final Calculation Sheet'!$A$11="","",'Final Calculation Sheet'!$A$11)</f>
        <v/>
      </c>
      <c r="G20" s="80">
        <f>IF('Final Calculation Sheet'!$E$11="","",'Final Calculation Sheet'!$E$11)</f>
        <v/>
      </c>
      <c r="H20" s="70">
        <f>IF('Final Calculation Sheet'!$C$11="","",'Final Calculation Sheet'!$C$11)</f>
        <v/>
      </c>
      <c r="I20" s="70">
        <f>IF('Final Calculation Sheet'!$H$11="","",'Final Calculation Sheet'!$H$11)</f>
        <v/>
      </c>
      <c r="J20" s="70">
        <f>IF('Final Calculation Sheet'!$I$11="","",'Final Calculation Sheet'!$I$11)</f>
        <v/>
      </c>
      <c r="K20" s="70">
        <f>IF('Final Calculation Sheet'!$J$11="","",'Final Calculation Sheet'!$J$11)</f>
        <v/>
      </c>
      <c r="L20" s="70">
        <f>IF('Final Calculation Sheet'!$K$11="","",'Final Calculation Sheet'!$K$11)</f>
        <v/>
      </c>
      <c r="M20" s="70">
        <f>IF('Final Calculation Sheet'!$L$11="","",'Final Calculation Sheet'!$L$11)</f>
        <v/>
      </c>
      <c r="N20" s="70">
        <f>IF('Final Calculation Sheet'!$M$11="","",'Final Calculation Sheet'!$M$11)</f>
        <v/>
      </c>
      <c r="O20" s="71">
        <f>IF('Final Calculation Sheet'!$N$11="","",'Final Calculation Sheet'!$N$11)</f>
        <v/>
      </c>
      <c r="P20" s="70">
        <f>IF('Final Calculation Sheet'!$O$11="","",'Final Calculation Sheet'!$O$11)</f>
        <v/>
      </c>
      <c r="Q20" s="70">
        <f>IF('Final Calculation Sheet'!$P$11="","",'Final Calculation Sheet'!$P$11)</f>
        <v/>
      </c>
      <c r="R20" s="72">
        <f>IF('Final Calculation Sheet'!$Q$11="","",'Final Calculation Sheet'!$Q$11)</f>
        <v/>
      </c>
      <c r="S20" s="70">
        <f>IF('Final Calculation Sheet'!$R$11="","",'Final Calculation Sheet'!$R$11)</f>
        <v/>
      </c>
      <c r="T20" s="70">
        <f>IF('Final Calculation Sheet'!$S$11="","",'Final Calculation Sheet'!$S$11)</f>
        <v/>
      </c>
      <c r="U20" s="70">
        <f>IF('Final Calculation Sheet'!$T$11="","",'Final Calculation Sheet'!$T$11)</f>
        <v/>
      </c>
      <c r="V20" s="73">
        <f>IF('Final Calculation Sheet'!$U$11="","",'Final Calculation Sheet'!$U$11)</f>
        <v/>
      </c>
      <c r="W20" s="70">
        <f>IF('Final Calculation Sheet'!$V$11="","",'Final Calculation Sheet'!$V$11)</f>
        <v/>
      </c>
      <c r="X20" s="70">
        <f>IF('Final Calculation Sheet'!$W$11="","",'Final Calculation Sheet'!$W$11)</f>
        <v/>
      </c>
      <c r="Y20" s="70">
        <f>IF('Final Calculation Sheet'!$X$11="","",'Final Calculation Sheet'!$X$11)</f>
        <v/>
      </c>
      <c r="Z20" s="70">
        <f>IF('Final Calculation Sheet'!$Y$11="","",'Final Calculation Sheet'!$Y$11)</f>
        <v/>
      </c>
      <c r="AA20" s="70">
        <f>IF('Final Calculation Sheet'!$Z$11="","",'Final Calculation Sheet'!$Z$11)</f>
        <v/>
      </c>
      <c r="AB20" s="70">
        <f>IF('Final Calculation Sheet'!$AA$11="","",'Final Calculation Sheet'!$AA$11)</f>
        <v/>
      </c>
      <c r="AC20" s="70">
        <f>IF('Final Calculation Sheet'!$AB$11="","",'Final Calculation Sheet'!$AB$11)</f>
        <v/>
      </c>
      <c r="AD20" s="70">
        <f>IF('Final Calculation Sheet'!$AC$11="","",'Final Calculation Sheet'!$AC$11)</f>
        <v/>
      </c>
      <c r="AE20" s="70">
        <f>IF('Final Calculation Sheet'!$AD$11="","",'Final Calculation Sheet'!$AD$11)</f>
        <v/>
      </c>
      <c r="AF20" s="75">
        <f>IF('Final Calculation Sheet'!$AD$11="","",IF('Final Calculation Sheet'!$AD$11&lt;=5,"SETTLED","OUTSTANDING"))</f>
        <v/>
      </c>
      <c r="AG20" s="70">
        <f>IF('Final Calculation Sheet'!$AF$11="","",'Final Calculation Sheet'!$AF$11)</f>
        <v/>
      </c>
      <c r="AH20" s="74">
        <f>IF('Final Calculation Sheet'!$AG$11="","",'Final Calculation Sheet'!$AG$11)</f>
        <v/>
      </c>
      <c r="AI20" s="70">
        <f>IF('Final Calculation Sheet'!$AH$11="","",'Final Calculation Sheet'!$AH$11)</f>
        <v/>
      </c>
      <c r="AJ20">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20">
        <f>IF(AJ20=1,COUNTIF(AJ$7:AJ20,1),"")</f>
        <v/>
      </c>
    </row>
    <row r="21" outlineLevel="1" ht="15" customHeight="1" s="137">
      <c r="A21" s="90" t="n">
        <v>4</v>
      </c>
      <c r="B21" s="92">
        <f>IF('Final Calculation Sheet'!$F$12="","",'Final Calculation Sheet'!$F$12)</f>
        <v/>
      </c>
      <c r="C21" s="92">
        <f>IF('Final Calculation Sheet'!$G$12="","",'Final Calculation Sheet'!$G$12)</f>
        <v/>
      </c>
      <c r="D21" s="94">
        <f>IF('Final Calculation Sheet'!$B$12="","",'Final Calculation Sheet'!$B$12)</f>
        <v/>
      </c>
      <c r="E21" s="94">
        <f>IF('Final Calculation Sheet'!$D$12="","",'Final Calculation Sheet'!$D$12)</f>
        <v/>
      </c>
      <c r="F21" s="94">
        <f>IF('Final Calculation Sheet'!$A$12="","",'Final Calculation Sheet'!$A$12)</f>
        <v/>
      </c>
      <c r="G21" s="94">
        <f>IF('Final Calculation Sheet'!$E$12="","",'Final Calculation Sheet'!$E$12)</f>
        <v/>
      </c>
      <c r="H21" s="95">
        <f>IF('Final Calculation Sheet'!$C$12="","",'Final Calculation Sheet'!$C$12)</f>
        <v/>
      </c>
      <c r="I21" s="95">
        <f>IF('Final Calculation Sheet'!$H$12="","",'Final Calculation Sheet'!$H$12)</f>
        <v/>
      </c>
      <c r="J21" s="95">
        <f>IF('Final Calculation Sheet'!$I$12="","",'Final Calculation Sheet'!$I$12)</f>
        <v/>
      </c>
      <c r="K21" s="95">
        <f>IF('Final Calculation Sheet'!$J$12="","",'Final Calculation Sheet'!$J$12)</f>
        <v/>
      </c>
      <c r="L21" s="95">
        <f>IF('Final Calculation Sheet'!$K$12="","",'Final Calculation Sheet'!$K$12)</f>
        <v/>
      </c>
      <c r="M21" s="95">
        <f>IF('Final Calculation Sheet'!$L$12="","",'Final Calculation Sheet'!$L$12)</f>
        <v/>
      </c>
      <c r="N21" s="95">
        <f>IF('Final Calculation Sheet'!$M$12="","",'Final Calculation Sheet'!$M$12)</f>
        <v/>
      </c>
      <c r="O21" s="96">
        <f>IF('Final Calculation Sheet'!$N$12="","",'Final Calculation Sheet'!$N$12)</f>
        <v/>
      </c>
      <c r="P21" s="95">
        <f>IF('Final Calculation Sheet'!$O$12="","",'Final Calculation Sheet'!$O$12)</f>
        <v/>
      </c>
      <c r="Q21" s="95">
        <f>IF('Final Calculation Sheet'!$P$12="","",'Final Calculation Sheet'!$P$12)</f>
        <v/>
      </c>
      <c r="R21" s="97">
        <f>IF('Final Calculation Sheet'!$Q$12="","",'Final Calculation Sheet'!$Q$12)</f>
        <v/>
      </c>
      <c r="S21" s="95">
        <f>IF('Final Calculation Sheet'!$R$12="","",'Final Calculation Sheet'!$R$12)</f>
        <v/>
      </c>
      <c r="T21" s="95">
        <f>IF('Final Calculation Sheet'!$S$12="","",'Final Calculation Sheet'!$S$12)</f>
        <v/>
      </c>
      <c r="U21" s="95">
        <f>IF('Final Calculation Sheet'!$T$12="","",'Final Calculation Sheet'!$T$12)</f>
        <v/>
      </c>
      <c r="V21" s="98">
        <f>IF('Final Calculation Sheet'!$U$12="","",'Final Calculation Sheet'!$U$12)</f>
        <v/>
      </c>
      <c r="W21" s="95">
        <f>IF('Final Calculation Sheet'!$V$12="","",'Final Calculation Sheet'!$V$12)</f>
        <v/>
      </c>
      <c r="X21" s="95">
        <f>IF('Final Calculation Sheet'!$W$12="","",'Final Calculation Sheet'!$W$12)</f>
        <v/>
      </c>
      <c r="Y21" s="95">
        <f>IF('Final Calculation Sheet'!$X$12="","",'Final Calculation Sheet'!$X$12)</f>
        <v/>
      </c>
      <c r="Z21" s="95">
        <f>IF('Final Calculation Sheet'!$Y$12="","",'Final Calculation Sheet'!$Y$12)</f>
        <v/>
      </c>
      <c r="AA21" s="95">
        <f>IF('Final Calculation Sheet'!$Z$12="","",'Final Calculation Sheet'!$Z$12)</f>
        <v/>
      </c>
      <c r="AB21" s="95">
        <f>IF('Final Calculation Sheet'!$AA$12="","",'Final Calculation Sheet'!$AA$12)</f>
        <v/>
      </c>
      <c r="AC21" s="95">
        <f>IF('Final Calculation Sheet'!$AB$12="","",'Final Calculation Sheet'!$AB$12)</f>
        <v/>
      </c>
      <c r="AD21" s="95">
        <f>IF('Final Calculation Sheet'!$AC$12="","",'Final Calculation Sheet'!$AC$12)</f>
        <v/>
      </c>
      <c r="AE21" s="95">
        <f>IF('Final Calculation Sheet'!$AD$12="","",'Final Calculation Sheet'!$AD$12)</f>
        <v/>
      </c>
      <c r="AF21" s="100">
        <f>IF('Final Calculation Sheet'!$AD$12="","",IF('Final Calculation Sheet'!$AD$12&lt;=5,"SETTLED","OUTSTANDING"))</f>
        <v/>
      </c>
      <c r="AG21" s="95">
        <f>IF('Final Calculation Sheet'!$AF$12="","",'Final Calculation Sheet'!$AF$12)</f>
        <v/>
      </c>
      <c r="AH21" s="99">
        <f>IF('Final Calculation Sheet'!$AG$12="","",'Final Calculation Sheet'!$AG$12)</f>
        <v/>
      </c>
      <c r="AI21" s="95">
        <f>IF('Final Calculation Sheet'!$AH$12="","",'Final Calculation Sheet'!$AH$12)</f>
        <v/>
      </c>
      <c r="AJ21">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21">
        <f>IF(AJ21=1,COUNTIF(AJ$7:AJ21,1),"")</f>
        <v/>
      </c>
    </row>
    <row r="22" outlineLevel="1" ht="15" customHeight="1" s="137">
      <c r="A22" s="67" t="n">
        <v>5</v>
      </c>
      <c r="B22" s="76">
        <f>IF('Final Calculation Sheet'!$F$18="","",'Final Calculation Sheet'!$F$18)</f>
        <v/>
      </c>
      <c r="C22" s="76">
        <f>IF('Final Calculation Sheet'!$G$18="","",'Final Calculation Sheet'!$G$18)</f>
        <v/>
      </c>
      <c r="D22" s="80">
        <f>IF('Final Calculation Sheet'!$B$18="","",'Final Calculation Sheet'!$B$18)</f>
        <v/>
      </c>
      <c r="E22" s="80">
        <f>IF('Final Calculation Sheet'!$D$18="","",'Final Calculation Sheet'!$D$18)</f>
        <v/>
      </c>
      <c r="F22" s="80">
        <f>IF('Final Calculation Sheet'!$A$18="","",'Final Calculation Sheet'!$A$18)</f>
        <v/>
      </c>
      <c r="G22" s="80">
        <f>IF('Final Calculation Sheet'!$E$18="","",'Final Calculation Sheet'!$E$18)</f>
        <v/>
      </c>
      <c r="H22" s="70">
        <f>IF('Final Calculation Sheet'!$C$18="","",'Final Calculation Sheet'!$C$18)</f>
        <v/>
      </c>
      <c r="I22" s="70">
        <f>IF('Final Calculation Sheet'!$H$18="","",'Final Calculation Sheet'!$H$18)</f>
        <v/>
      </c>
      <c r="J22" s="70">
        <f>IF('Final Calculation Sheet'!$I$18="","",'Final Calculation Sheet'!$I$18)</f>
        <v/>
      </c>
      <c r="K22" s="70">
        <f>IF('Final Calculation Sheet'!$J$18="","",'Final Calculation Sheet'!$J$18)</f>
        <v/>
      </c>
      <c r="L22" s="70">
        <f>IF('Final Calculation Sheet'!$K$18="","",'Final Calculation Sheet'!$K$18)</f>
        <v/>
      </c>
      <c r="M22" s="70">
        <f>IF('Final Calculation Sheet'!$L$18="","",'Final Calculation Sheet'!$L$18)</f>
        <v/>
      </c>
      <c r="N22" s="70">
        <f>IF('Final Calculation Sheet'!$M$18="","",'Final Calculation Sheet'!$M$18)</f>
        <v/>
      </c>
      <c r="O22" s="71">
        <f>IF('Final Calculation Sheet'!$N$18="","",'Final Calculation Sheet'!$N$18)</f>
        <v/>
      </c>
      <c r="P22" s="70">
        <f>IF('Final Calculation Sheet'!$O$18="","",'Final Calculation Sheet'!$O$18)</f>
        <v/>
      </c>
      <c r="Q22" s="70">
        <f>IF('Final Calculation Sheet'!$P$18="","",'Final Calculation Sheet'!$P$18)</f>
        <v/>
      </c>
      <c r="R22" s="72">
        <f>IF('Final Calculation Sheet'!$Q$18="","",'Final Calculation Sheet'!$Q$18)</f>
        <v/>
      </c>
      <c r="S22" s="70">
        <f>IF('Final Calculation Sheet'!$R$18="","",'Final Calculation Sheet'!$R$18)</f>
        <v/>
      </c>
      <c r="T22" s="70">
        <f>IF('Final Calculation Sheet'!$S$18="","",'Final Calculation Sheet'!$S$18)</f>
        <v/>
      </c>
      <c r="U22" s="70">
        <f>IF('Final Calculation Sheet'!$T$18="","",'Final Calculation Sheet'!$T$18)</f>
        <v/>
      </c>
      <c r="V22" s="73">
        <f>IF('Final Calculation Sheet'!$U$18="","",'Final Calculation Sheet'!$U$18)</f>
        <v/>
      </c>
      <c r="W22" s="70">
        <f>IF('Final Calculation Sheet'!$V$18="","",'Final Calculation Sheet'!$V$18)</f>
        <v/>
      </c>
      <c r="X22" s="70">
        <f>IF('Final Calculation Sheet'!$W$18="","",'Final Calculation Sheet'!$W$18)</f>
        <v/>
      </c>
      <c r="Y22" s="70">
        <f>IF('Final Calculation Sheet'!$X$18="","",'Final Calculation Sheet'!$X$18)</f>
        <v/>
      </c>
      <c r="Z22" s="70">
        <f>IF('Final Calculation Sheet'!$Y$18="","",'Final Calculation Sheet'!$Y$18)</f>
        <v/>
      </c>
      <c r="AA22" s="70">
        <f>IF('Final Calculation Sheet'!$Z$18="","",'Final Calculation Sheet'!$Z$18)</f>
        <v/>
      </c>
      <c r="AB22" s="70">
        <f>IF('Final Calculation Sheet'!$AA$18="","",'Final Calculation Sheet'!$AA$18)</f>
        <v/>
      </c>
      <c r="AC22" s="70">
        <f>IF('Final Calculation Sheet'!$AB$18="","",'Final Calculation Sheet'!$AB$18)</f>
        <v/>
      </c>
      <c r="AD22" s="70">
        <f>IF('Final Calculation Sheet'!$AC$18="","",'Final Calculation Sheet'!$AC$18)</f>
        <v/>
      </c>
      <c r="AE22" s="70">
        <f>IF('Final Calculation Sheet'!$AD$18="","",'Final Calculation Sheet'!$AD$18)</f>
        <v/>
      </c>
      <c r="AF22" s="75">
        <f>IF('Final Calculation Sheet'!$AD$18="","",IF('Final Calculation Sheet'!$AD$18&lt;=5,"SETTLED","OUTSTANDING"))</f>
        <v/>
      </c>
      <c r="AG22" s="70">
        <f>IF('Final Calculation Sheet'!$AF$18="","",'Final Calculation Sheet'!$AF$18)</f>
        <v/>
      </c>
      <c r="AH22" s="74">
        <f>IF('Final Calculation Sheet'!$AG$18="","",'Final Calculation Sheet'!$AG$18)</f>
        <v/>
      </c>
      <c r="AI22" s="70">
        <f>IF('Final Calculation Sheet'!$AH$18="","",'Final Calculation Sheet'!$AH$18)</f>
        <v/>
      </c>
      <c r="AJ22">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2">
        <f>IF(AJ22=1,COUNTIF(AJ$7:AJ22,1),"")</f>
        <v/>
      </c>
    </row>
    <row r="23" outlineLevel="1" ht="15" customHeight="1" s="137">
      <c r="A23" s="90" t="n">
        <v>6</v>
      </c>
      <c r="B23" s="92">
        <f>IF('Final Calculation Sheet'!$F$19="","",'Final Calculation Sheet'!$F$19)</f>
        <v/>
      </c>
      <c r="C23" s="92">
        <f>IF('Final Calculation Sheet'!$G$19="","",'Final Calculation Sheet'!$G$19)</f>
        <v/>
      </c>
      <c r="D23" s="94">
        <f>IF('Final Calculation Sheet'!$B$19="","",'Final Calculation Sheet'!$B$19)</f>
        <v/>
      </c>
      <c r="E23" s="94">
        <f>IF('Final Calculation Sheet'!$D$19="","",'Final Calculation Sheet'!$D$19)</f>
        <v/>
      </c>
      <c r="F23" s="94">
        <f>IF('Final Calculation Sheet'!$A$19="","",'Final Calculation Sheet'!$A$19)</f>
        <v/>
      </c>
      <c r="G23" s="94">
        <f>IF('Final Calculation Sheet'!$E$19="","",'Final Calculation Sheet'!$E$19)</f>
        <v/>
      </c>
      <c r="H23" s="95">
        <f>IF('Final Calculation Sheet'!$C$19="","",'Final Calculation Sheet'!$C$19)</f>
        <v/>
      </c>
      <c r="I23" s="95">
        <f>IF('Final Calculation Sheet'!$H$19="","",'Final Calculation Sheet'!$H$19)</f>
        <v/>
      </c>
      <c r="J23" s="95">
        <f>IF('Final Calculation Sheet'!$I$19="","",'Final Calculation Sheet'!$I$19)</f>
        <v/>
      </c>
      <c r="K23" s="95">
        <f>IF('Final Calculation Sheet'!$J$19="","",'Final Calculation Sheet'!$J$19)</f>
        <v/>
      </c>
      <c r="L23" s="95">
        <f>IF('Final Calculation Sheet'!$K$19="","",'Final Calculation Sheet'!$K$19)</f>
        <v/>
      </c>
      <c r="M23" s="95">
        <f>IF('Final Calculation Sheet'!$L$19="","",'Final Calculation Sheet'!$L$19)</f>
        <v/>
      </c>
      <c r="N23" s="95">
        <f>IF('Final Calculation Sheet'!$M$19="","",'Final Calculation Sheet'!$M$19)</f>
        <v/>
      </c>
      <c r="O23" s="96">
        <f>IF('Final Calculation Sheet'!$N$19="","",'Final Calculation Sheet'!$N$19)</f>
        <v/>
      </c>
      <c r="P23" s="95">
        <f>IF('Final Calculation Sheet'!$O$19="","",'Final Calculation Sheet'!$O$19)</f>
        <v/>
      </c>
      <c r="Q23" s="95">
        <f>IF('Final Calculation Sheet'!$P$19="","",'Final Calculation Sheet'!$P$19)</f>
        <v/>
      </c>
      <c r="R23" s="97">
        <f>IF('Final Calculation Sheet'!$Q$19="","",'Final Calculation Sheet'!$Q$19)</f>
        <v/>
      </c>
      <c r="S23" s="95">
        <f>IF('Final Calculation Sheet'!$R$19="","",'Final Calculation Sheet'!$R$19)</f>
        <v/>
      </c>
      <c r="T23" s="95">
        <f>IF('Final Calculation Sheet'!$S$19="","",'Final Calculation Sheet'!$S$19)</f>
        <v/>
      </c>
      <c r="U23" s="95">
        <f>IF('Final Calculation Sheet'!$T$19="","",'Final Calculation Sheet'!$T$19)</f>
        <v/>
      </c>
      <c r="V23" s="98">
        <f>IF('Final Calculation Sheet'!$U$19="","",'Final Calculation Sheet'!$U$19)</f>
        <v/>
      </c>
      <c r="W23" s="95">
        <f>IF('Final Calculation Sheet'!$V$19="","",'Final Calculation Sheet'!$V$19)</f>
        <v/>
      </c>
      <c r="X23" s="95">
        <f>IF('Final Calculation Sheet'!$W$19="","",'Final Calculation Sheet'!$W$19)</f>
        <v/>
      </c>
      <c r="Y23" s="95">
        <f>IF('Final Calculation Sheet'!$X$19="","",'Final Calculation Sheet'!$X$19)</f>
        <v/>
      </c>
      <c r="Z23" s="95">
        <f>IF('Final Calculation Sheet'!$Y$19="","",'Final Calculation Sheet'!$Y$19)</f>
        <v/>
      </c>
      <c r="AA23" s="95">
        <f>IF('Final Calculation Sheet'!$Z$19="","",'Final Calculation Sheet'!$Z$19)</f>
        <v/>
      </c>
      <c r="AB23" s="95">
        <f>IF('Final Calculation Sheet'!$AA$19="","",'Final Calculation Sheet'!$AA$19)</f>
        <v/>
      </c>
      <c r="AC23" s="95">
        <f>IF('Final Calculation Sheet'!$AB$19="","",'Final Calculation Sheet'!$AB$19)</f>
        <v/>
      </c>
      <c r="AD23" s="95">
        <f>IF('Final Calculation Sheet'!$AC$19="","",'Final Calculation Sheet'!$AC$19)</f>
        <v/>
      </c>
      <c r="AE23" s="95">
        <f>IF('Final Calculation Sheet'!$AD$19="","",'Final Calculation Sheet'!$AD$19)</f>
        <v/>
      </c>
      <c r="AF23" s="100">
        <f>IF('Final Calculation Sheet'!$AD$19="","",IF('Final Calculation Sheet'!$AD$19&lt;=5,"SETTLED","OUTSTANDING"))</f>
        <v/>
      </c>
      <c r="AG23" s="95">
        <f>IF('Final Calculation Sheet'!$AF$19="","",'Final Calculation Sheet'!$AF$19)</f>
        <v/>
      </c>
      <c r="AH23" s="99">
        <f>IF('Final Calculation Sheet'!$AG$19="","",'Final Calculation Sheet'!$AG$19)</f>
        <v/>
      </c>
      <c r="AI23" s="95">
        <f>IF('Final Calculation Sheet'!$AH$19="","",'Final Calculation Sheet'!$AH$19)</f>
        <v/>
      </c>
      <c r="AJ23">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3">
        <f>IF(AJ23=1,COUNTIF(AJ$7:AJ23,1),"")</f>
        <v/>
      </c>
    </row>
    <row r="24" outlineLevel="1" ht="15" customHeight="1" s="137">
      <c r="A24" s="67" t="n">
        <v>7</v>
      </c>
      <c r="B24" s="76">
        <f>IF('Final Calculation Sheet'!$F$22="","",'Final Calculation Sheet'!$F$22)</f>
        <v/>
      </c>
      <c r="C24" s="76">
        <f>IF('Final Calculation Sheet'!$G$22="","",'Final Calculation Sheet'!$G$22)</f>
        <v/>
      </c>
      <c r="D24" s="80">
        <f>IF('Final Calculation Sheet'!$B$22="","",'Final Calculation Sheet'!$B$22)</f>
        <v/>
      </c>
      <c r="E24" s="80">
        <f>IF('Final Calculation Sheet'!$D$22="","",'Final Calculation Sheet'!$D$22)</f>
        <v/>
      </c>
      <c r="F24" s="80">
        <f>IF('Final Calculation Sheet'!$A$22="","",'Final Calculation Sheet'!$A$22)</f>
        <v/>
      </c>
      <c r="G24" s="80">
        <f>IF('Final Calculation Sheet'!$E$22="","",'Final Calculation Sheet'!$E$22)</f>
        <v/>
      </c>
      <c r="H24" s="70">
        <f>IF('Final Calculation Sheet'!$C$22="","",'Final Calculation Sheet'!$C$22)</f>
        <v/>
      </c>
      <c r="I24" s="70">
        <f>IF('Final Calculation Sheet'!$H$22="","",'Final Calculation Sheet'!$H$22)</f>
        <v/>
      </c>
      <c r="J24" s="70">
        <f>IF('Final Calculation Sheet'!$I$22="","",'Final Calculation Sheet'!$I$22)</f>
        <v/>
      </c>
      <c r="K24" s="70">
        <f>IF('Final Calculation Sheet'!$J$22="","",'Final Calculation Sheet'!$J$22)</f>
        <v/>
      </c>
      <c r="L24" s="70">
        <f>IF('Final Calculation Sheet'!$K$22="","",'Final Calculation Sheet'!$K$22)</f>
        <v/>
      </c>
      <c r="M24" s="70">
        <f>IF('Final Calculation Sheet'!$L$22="","",'Final Calculation Sheet'!$L$22)</f>
        <v/>
      </c>
      <c r="N24" s="70">
        <f>IF('Final Calculation Sheet'!$M$22="","",'Final Calculation Sheet'!$M$22)</f>
        <v/>
      </c>
      <c r="O24" s="71">
        <f>IF('Final Calculation Sheet'!$N$22="","",'Final Calculation Sheet'!$N$22)</f>
        <v/>
      </c>
      <c r="P24" s="70">
        <f>IF('Final Calculation Sheet'!$O$22="","",'Final Calculation Sheet'!$O$22)</f>
        <v/>
      </c>
      <c r="Q24" s="70">
        <f>IF('Final Calculation Sheet'!$P$22="","",'Final Calculation Sheet'!$P$22)</f>
        <v/>
      </c>
      <c r="R24" s="72">
        <f>IF('Final Calculation Sheet'!$Q$22="","",'Final Calculation Sheet'!$Q$22)</f>
        <v/>
      </c>
      <c r="S24" s="70">
        <f>IF('Final Calculation Sheet'!$R$22="","",'Final Calculation Sheet'!$R$22)</f>
        <v/>
      </c>
      <c r="T24" s="70">
        <f>IF('Final Calculation Sheet'!$S$22="","",'Final Calculation Sheet'!$S$22)</f>
        <v/>
      </c>
      <c r="U24" s="70">
        <f>IF('Final Calculation Sheet'!$T$22="","",'Final Calculation Sheet'!$T$22)</f>
        <v/>
      </c>
      <c r="V24" s="73">
        <f>IF('Final Calculation Sheet'!$U$22="","",'Final Calculation Sheet'!$U$22)</f>
        <v/>
      </c>
      <c r="W24" s="70">
        <f>IF('Final Calculation Sheet'!$V$22="","",'Final Calculation Sheet'!$V$22)</f>
        <v/>
      </c>
      <c r="X24" s="70">
        <f>IF('Final Calculation Sheet'!$W$22="","",'Final Calculation Sheet'!$W$22)</f>
        <v/>
      </c>
      <c r="Y24" s="70">
        <f>IF('Final Calculation Sheet'!$X$22="","",'Final Calculation Sheet'!$X$22)</f>
        <v/>
      </c>
      <c r="Z24" s="70">
        <f>IF('Final Calculation Sheet'!$Y$22="","",'Final Calculation Sheet'!$Y$22)</f>
        <v/>
      </c>
      <c r="AA24" s="70">
        <f>IF('Final Calculation Sheet'!$Z$22="","",'Final Calculation Sheet'!$Z$22)</f>
        <v/>
      </c>
      <c r="AB24" s="70">
        <f>IF('Final Calculation Sheet'!$AA$22="","",'Final Calculation Sheet'!$AA$22)</f>
        <v/>
      </c>
      <c r="AC24" s="70">
        <f>IF('Final Calculation Sheet'!$AB$22="","",'Final Calculation Sheet'!$AB$22)</f>
        <v/>
      </c>
      <c r="AD24" s="70">
        <f>IF('Final Calculation Sheet'!$AC$22="","",'Final Calculation Sheet'!$AC$22)</f>
        <v/>
      </c>
      <c r="AE24" s="70">
        <f>IF('Final Calculation Sheet'!$AD$22="","",'Final Calculation Sheet'!$AD$22)</f>
        <v/>
      </c>
      <c r="AF24" s="75">
        <f>IF('Final Calculation Sheet'!$AD$22="","",IF('Final Calculation Sheet'!$AD$22&lt;=5,"SETTLED","OUTSTANDING"))</f>
        <v/>
      </c>
      <c r="AG24" s="70">
        <f>IF('Final Calculation Sheet'!$AF$22="","",'Final Calculation Sheet'!$AF$22)</f>
        <v/>
      </c>
      <c r="AH24" s="74">
        <f>IF('Final Calculation Sheet'!$AG$22="","",'Final Calculation Sheet'!$AG$22)</f>
        <v/>
      </c>
      <c r="AI24" s="70">
        <f>IF('Final Calculation Sheet'!$AH$22="","",'Final Calculation Sheet'!$AH$22)</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IF(AJ24=1,COUNTIF(AJ$7:AJ24,1),"")</f>
        <v/>
      </c>
    </row>
    <row r="25" outlineLevel="1" ht="15" customHeight="1" s="137">
      <c r="A25" s="90" t="n">
        <v>8</v>
      </c>
      <c r="B25" s="92">
        <f>IF('Final Calculation Sheet'!$F$24="","",'Final Calculation Sheet'!$F$24)</f>
        <v/>
      </c>
      <c r="C25" s="92">
        <f>IF('Final Calculation Sheet'!$G$24="","",'Final Calculation Sheet'!$G$24)</f>
        <v/>
      </c>
      <c r="D25" s="94">
        <f>IF('Final Calculation Sheet'!$B$24="","",'Final Calculation Sheet'!$B$24)</f>
        <v/>
      </c>
      <c r="E25" s="94">
        <f>IF('Final Calculation Sheet'!$D$24="","",'Final Calculation Sheet'!$D$24)</f>
        <v/>
      </c>
      <c r="F25" s="94">
        <f>IF('Final Calculation Sheet'!$A$24="","",'Final Calculation Sheet'!$A$24)</f>
        <v/>
      </c>
      <c r="G25" s="94">
        <f>IF('Final Calculation Sheet'!$E$24="","",'Final Calculation Sheet'!$E$24)</f>
        <v/>
      </c>
      <c r="H25" s="95">
        <f>IF('Final Calculation Sheet'!$C$24="","",'Final Calculation Sheet'!$C$24)</f>
        <v/>
      </c>
      <c r="I25" s="95">
        <f>IF('Final Calculation Sheet'!$H$24="","",'Final Calculation Sheet'!$H$24)</f>
        <v/>
      </c>
      <c r="J25" s="95">
        <f>IF('Final Calculation Sheet'!$I$24="","",'Final Calculation Sheet'!$I$24)</f>
        <v/>
      </c>
      <c r="K25" s="95">
        <f>IF('Final Calculation Sheet'!$J$24="","",'Final Calculation Sheet'!$J$24)</f>
        <v/>
      </c>
      <c r="L25" s="95">
        <f>IF('Final Calculation Sheet'!$K$24="","",'Final Calculation Sheet'!$K$24)</f>
        <v/>
      </c>
      <c r="M25" s="95">
        <f>IF('Final Calculation Sheet'!$L$24="","",'Final Calculation Sheet'!$L$24)</f>
        <v/>
      </c>
      <c r="N25" s="95">
        <f>IF('Final Calculation Sheet'!$M$24="","",'Final Calculation Sheet'!$M$24)</f>
        <v/>
      </c>
      <c r="O25" s="96">
        <f>IF('Final Calculation Sheet'!$N$24="","",'Final Calculation Sheet'!$N$24)</f>
        <v/>
      </c>
      <c r="P25" s="95">
        <f>IF('Final Calculation Sheet'!$O$24="","",'Final Calculation Sheet'!$O$24)</f>
        <v/>
      </c>
      <c r="Q25" s="95">
        <f>IF('Final Calculation Sheet'!$P$24="","",'Final Calculation Sheet'!$P$24)</f>
        <v/>
      </c>
      <c r="R25" s="97">
        <f>IF('Final Calculation Sheet'!$Q$24="","",'Final Calculation Sheet'!$Q$24)</f>
        <v/>
      </c>
      <c r="S25" s="95">
        <f>IF('Final Calculation Sheet'!$R$24="","",'Final Calculation Sheet'!$R$24)</f>
        <v/>
      </c>
      <c r="T25" s="95">
        <f>IF('Final Calculation Sheet'!$S$24="","",'Final Calculation Sheet'!$S$24)</f>
        <v/>
      </c>
      <c r="U25" s="95">
        <f>IF('Final Calculation Sheet'!$T$24="","",'Final Calculation Sheet'!$T$24)</f>
        <v/>
      </c>
      <c r="V25" s="98">
        <f>IF('Final Calculation Sheet'!$U$24="","",'Final Calculation Sheet'!$U$24)</f>
        <v/>
      </c>
      <c r="W25" s="95">
        <f>IF('Final Calculation Sheet'!$V$24="","",'Final Calculation Sheet'!$V$24)</f>
        <v/>
      </c>
      <c r="X25" s="95">
        <f>IF('Final Calculation Sheet'!$W$24="","",'Final Calculation Sheet'!$W$24)</f>
        <v/>
      </c>
      <c r="Y25" s="95">
        <f>IF('Final Calculation Sheet'!$X$24="","",'Final Calculation Sheet'!$X$24)</f>
        <v/>
      </c>
      <c r="Z25" s="95">
        <f>IF('Final Calculation Sheet'!$Y$24="","",'Final Calculation Sheet'!$Y$24)</f>
        <v/>
      </c>
      <c r="AA25" s="95">
        <f>IF('Final Calculation Sheet'!$Z$24="","",'Final Calculation Sheet'!$Z$24)</f>
        <v/>
      </c>
      <c r="AB25" s="95">
        <f>IF('Final Calculation Sheet'!$AA$24="","",'Final Calculation Sheet'!$AA$24)</f>
        <v/>
      </c>
      <c r="AC25" s="95">
        <f>IF('Final Calculation Sheet'!$AB$24="","",'Final Calculation Sheet'!$AB$24)</f>
        <v/>
      </c>
      <c r="AD25" s="95">
        <f>IF('Final Calculation Sheet'!$AC$24="","",'Final Calculation Sheet'!$AC$24)</f>
        <v/>
      </c>
      <c r="AE25" s="95">
        <f>IF('Final Calculation Sheet'!$AD$24="","",'Final Calculation Sheet'!$AD$24)</f>
        <v/>
      </c>
      <c r="AF25" s="100">
        <f>IF('Final Calculation Sheet'!$AD$24="","",IF('Final Calculation Sheet'!$AD$24&lt;=5,"SETTLED","OUTSTANDING"))</f>
        <v/>
      </c>
      <c r="AG25" s="95">
        <f>IF('Final Calculation Sheet'!$AF$24="","",'Final Calculation Sheet'!$AF$24)</f>
        <v/>
      </c>
      <c r="AH25" s="99">
        <f>IF('Final Calculation Sheet'!$AG$24="","",'Final Calculation Sheet'!$AG$24)</f>
        <v/>
      </c>
      <c r="AI25" s="95">
        <f>IF('Final Calculation Sheet'!$AH$24="","",'Final Calculation Sheet'!$AH$24)</f>
        <v/>
      </c>
      <c r="AJ25">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5">
        <f>IF(AJ25=1,COUNTIF(AJ$7:AJ25,1),"")</f>
        <v/>
      </c>
    </row>
    <row r="26" outlineLevel="1" ht="15" customHeight="1" s="137">
      <c r="A26" s="67" t="n">
        <v>9</v>
      </c>
      <c r="B26" s="76">
        <f>IF('Final Calculation Sheet'!$F$26="","",'Final Calculation Sheet'!$F$26)</f>
        <v/>
      </c>
      <c r="C26" s="76">
        <f>IF('Final Calculation Sheet'!$G$26="","",'Final Calculation Sheet'!$G$26)</f>
        <v/>
      </c>
      <c r="D26" s="80">
        <f>IF('Final Calculation Sheet'!$B$26="","",'Final Calculation Sheet'!$B$26)</f>
        <v/>
      </c>
      <c r="E26" s="80">
        <f>IF('Final Calculation Sheet'!$D$26="","",'Final Calculation Sheet'!$D$26)</f>
        <v/>
      </c>
      <c r="F26" s="80">
        <f>IF('Final Calculation Sheet'!$A$26="","",'Final Calculation Sheet'!$A$26)</f>
        <v/>
      </c>
      <c r="G26" s="80">
        <f>IF('Final Calculation Sheet'!$E$26="","",'Final Calculation Sheet'!$E$26)</f>
        <v/>
      </c>
      <c r="H26" s="70">
        <f>IF('Final Calculation Sheet'!$C$26="","",'Final Calculation Sheet'!$C$26)</f>
        <v/>
      </c>
      <c r="I26" s="70">
        <f>IF('Final Calculation Sheet'!$H$26="","",'Final Calculation Sheet'!$H$26)</f>
        <v/>
      </c>
      <c r="J26" s="70">
        <f>IF('Final Calculation Sheet'!$I$26="","",'Final Calculation Sheet'!$I$26)</f>
        <v/>
      </c>
      <c r="K26" s="70">
        <f>IF('Final Calculation Sheet'!$J$26="","",'Final Calculation Sheet'!$J$26)</f>
        <v/>
      </c>
      <c r="L26" s="70">
        <f>IF('Final Calculation Sheet'!$K$26="","",'Final Calculation Sheet'!$K$26)</f>
        <v/>
      </c>
      <c r="M26" s="70">
        <f>IF('Final Calculation Sheet'!$L$26="","",'Final Calculation Sheet'!$L$26)</f>
        <v/>
      </c>
      <c r="N26" s="70">
        <f>IF('Final Calculation Sheet'!$M$26="","",'Final Calculation Sheet'!$M$26)</f>
        <v/>
      </c>
      <c r="O26" s="71">
        <f>IF('Final Calculation Sheet'!$N$26="","",'Final Calculation Sheet'!$N$26)</f>
        <v/>
      </c>
      <c r="P26" s="70">
        <f>IF('Final Calculation Sheet'!$O$26="","",'Final Calculation Sheet'!$O$26)</f>
        <v/>
      </c>
      <c r="Q26" s="70">
        <f>IF('Final Calculation Sheet'!$P$26="","",'Final Calculation Sheet'!$P$26)</f>
        <v/>
      </c>
      <c r="R26" s="72">
        <f>IF('Final Calculation Sheet'!$Q$26="","",'Final Calculation Sheet'!$Q$26)</f>
        <v/>
      </c>
      <c r="S26" s="70">
        <f>IF('Final Calculation Sheet'!$R$26="","",'Final Calculation Sheet'!$R$26)</f>
        <v/>
      </c>
      <c r="T26" s="70">
        <f>IF('Final Calculation Sheet'!$S$26="","",'Final Calculation Sheet'!$S$26)</f>
        <v/>
      </c>
      <c r="U26" s="70">
        <f>IF('Final Calculation Sheet'!$T$26="","",'Final Calculation Sheet'!$T$26)</f>
        <v/>
      </c>
      <c r="V26" s="73">
        <f>IF('Final Calculation Sheet'!$U$26="","",'Final Calculation Sheet'!$U$26)</f>
        <v/>
      </c>
      <c r="W26" s="70">
        <f>IF('Final Calculation Sheet'!$V$26="","",'Final Calculation Sheet'!$V$26)</f>
        <v/>
      </c>
      <c r="X26" s="70">
        <f>IF('Final Calculation Sheet'!$W$26="","",'Final Calculation Sheet'!$W$26)</f>
        <v/>
      </c>
      <c r="Y26" s="70">
        <f>IF('Final Calculation Sheet'!$X$26="","",'Final Calculation Sheet'!$X$26)</f>
        <v/>
      </c>
      <c r="Z26" s="70">
        <f>IF('Final Calculation Sheet'!$Y$26="","",'Final Calculation Sheet'!$Y$26)</f>
        <v/>
      </c>
      <c r="AA26" s="70">
        <f>IF('Final Calculation Sheet'!$Z$26="","",'Final Calculation Sheet'!$Z$26)</f>
        <v/>
      </c>
      <c r="AB26" s="70">
        <f>IF('Final Calculation Sheet'!$AA$26="","",'Final Calculation Sheet'!$AA$26)</f>
        <v/>
      </c>
      <c r="AC26" s="70">
        <f>IF('Final Calculation Sheet'!$AB$26="","",'Final Calculation Sheet'!$AB$26)</f>
        <v/>
      </c>
      <c r="AD26" s="70">
        <f>IF('Final Calculation Sheet'!$AC$26="","",'Final Calculation Sheet'!$AC$26)</f>
        <v/>
      </c>
      <c r="AE26" s="70">
        <f>IF('Final Calculation Sheet'!$AD$26="","",'Final Calculation Sheet'!$AD$26)</f>
        <v/>
      </c>
      <c r="AF26" s="75">
        <f>IF('Final Calculation Sheet'!$AD$26="","",IF('Final Calculation Sheet'!$AD$26&lt;=5,"SETTLED","OUTSTANDING"))</f>
        <v/>
      </c>
      <c r="AG26" s="70">
        <f>IF('Final Calculation Sheet'!$AF$26="","",'Final Calculation Sheet'!$AF$26)</f>
        <v/>
      </c>
      <c r="AH26" s="74">
        <f>IF('Final Calculation Sheet'!$AG$26="","",'Final Calculation Sheet'!$AG$26)</f>
        <v/>
      </c>
      <c r="AI26" s="70">
        <f>IF('Final Calculation Sheet'!$AH$26="","",'Final Calculation Sheet'!$AH$26)</f>
        <v/>
      </c>
      <c r="AJ26">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6">
        <f>IF(AJ26=1,COUNTIF(AJ$7:AJ26,1),"")</f>
        <v/>
      </c>
    </row>
    <row r="27" outlineLevel="1" ht="15" customHeight="1" s="137">
      <c r="A27" s="90" t="n">
        <v>10</v>
      </c>
      <c r="B27" s="92">
        <f>IF('Final Calculation Sheet'!$F$30="","",'Final Calculation Sheet'!$F$30)</f>
        <v/>
      </c>
      <c r="C27" s="92">
        <f>IF('Final Calculation Sheet'!$G$30="","",'Final Calculation Sheet'!$G$30)</f>
        <v/>
      </c>
      <c r="D27" s="94">
        <f>IF('Final Calculation Sheet'!$B$30="","",'Final Calculation Sheet'!$B$30)</f>
        <v/>
      </c>
      <c r="E27" s="94">
        <f>IF('Final Calculation Sheet'!$D$30="","",'Final Calculation Sheet'!$D$30)</f>
        <v/>
      </c>
      <c r="F27" s="94">
        <f>IF('Final Calculation Sheet'!$A$30="","",'Final Calculation Sheet'!$A$30)</f>
        <v/>
      </c>
      <c r="G27" s="94">
        <f>IF('Final Calculation Sheet'!$E$30="","",'Final Calculation Sheet'!$E$30)</f>
        <v/>
      </c>
      <c r="H27" s="95">
        <f>IF('Final Calculation Sheet'!$C$30="","",'Final Calculation Sheet'!$C$30)</f>
        <v/>
      </c>
      <c r="I27" s="95">
        <f>IF('Final Calculation Sheet'!$H$30="","",'Final Calculation Sheet'!$H$30)</f>
        <v/>
      </c>
      <c r="J27" s="95">
        <f>IF('Final Calculation Sheet'!$I$30="","",'Final Calculation Sheet'!$I$30)</f>
        <v/>
      </c>
      <c r="K27" s="95">
        <f>IF('Final Calculation Sheet'!$J$30="","",'Final Calculation Sheet'!$J$30)</f>
        <v/>
      </c>
      <c r="L27" s="95">
        <f>IF('Final Calculation Sheet'!$K$30="","",'Final Calculation Sheet'!$K$30)</f>
        <v/>
      </c>
      <c r="M27" s="95">
        <f>IF('Final Calculation Sheet'!$L$30="","",'Final Calculation Sheet'!$L$30)</f>
        <v/>
      </c>
      <c r="N27" s="95">
        <f>IF('Final Calculation Sheet'!$M$30="","",'Final Calculation Sheet'!$M$30)</f>
        <v/>
      </c>
      <c r="O27" s="96">
        <f>IF('Final Calculation Sheet'!$N$30="","",'Final Calculation Sheet'!$N$30)</f>
        <v/>
      </c>
      <c r="P27" s="95">
        <f>IF('Final Calculation Sheet'!$O$30="","",'Final Calculation Sheet'!$O$30)</f>
        <v/>
      </c>
      <c r="Q27" s="95">
        <f>IF('Final Calculation Sheet'!$P$30="","",'Final Calculation Sheet'!$P$30)</f>
        <v/>
      </c>
      <c r="R27" s="97">
        <f>IF('Final Calculation Sheet'!$Q$30="","",'Final Calculation Sheet'!$Q$30)</f>
        <v/>
      </c>
      <c r="S27" s="95">
        <f>IF('Final Calculation Sheet'!$R$30="","",'Final Calculation Sheet'!$R$30)</f>
        <v/>
      </c>
      <c r="T27" s="95">
        <f>IF('Final Calculation Sheet'!$S$30="","",'Final Calculation Sheet'!$S$30)</f>
        <v/>
      </c>
      <c r="U27" s="95">
        <f>IF('Final Calculation Sheet'!$T$30="","",'Final Calculation Sheet'!$T$30)</f>
        <v/>
      </c>
      <c r="V27" s="98">
        <f>IF('Final Calculation Sheet'!$U$30="","",'Final Calculation Sheet'!$U$30)</f>
        <v/>
      </c>
      <c r="W27" s="95">
        <f>IF('Final Calculation Sheet'!$V$30="","",'Final Calculation Sheet'!$V$30)</f>
        <v/>
      </c>
      <c r="X27" s="95">
        <f>IF('Final Calculation Sheet'!$W$30="","",'Final Calculation Sheet'!$W$30)</f>
        <v/>
      </c>
      <c r="Y27" s="95">
        <f>IF('Final Calculation Sheet'!$X$30="","",'Final Calculation Sheet'!$X$30)</f>
        <v/>
      </c>
      <c r="Z27" s="95">
        <f>IF('Final Calculation Sheet'!$Y$30="","",'Final Calculation Sheet'!$Y$30)</f>
        <v/>
      </c>
      <c r="AA27" s="95">
        <f>IF('Final Calculation Sheet'!$Z$30="","",'Final Calculation Sheet'!$Z$30)</f>
        <v/>
      </c>
      <c r="AB27" s="95">
        <f>IF('Final Calculation Sheet'!$AA$30="","",'Final Calculation Sheet'!$AA$30)</f>
        <v/>
      </c>
      <c r="AC27" s="95">
        <f>IF('Final Calculation Sheet'!$AB$30="","",'Final Calculation Sheet'!$AB$30)</f>
        <v/>
      </c>
      <c r="AD27" s="95">
        <f>IF('Final Calculation Sheet'!$AC$30="","",'Final Calculation Sheet'!$AC$30)</f>
        <v/>
      </c>
      <c r="AE27" s="95">
        <f>IF('Final Calculation Sheet'!$AD$30="","",'Final Calculation Sheet'!$AD$30)</f>
        <v/>
      </c>
      <c r="AF27" s="100">
        <f>IF('Final Calculation Sheet'!$AD$30="","",IF('Final Calculation Sheet'!$AD$30&lt;=5,"SETTLED","OUTSTANDING"))</f>
        <v/>
      </c>
      <c r="AG27" s="95">
        <f>IF('Final Calculation Sheet'!$AF$30="","",'Final Calculation Sheet'!$AF$30)</f>
        <v/>
      </c>
      <c r="AH27" s="99">
        <f>IF('Final Calculation Sheet'!$AG$30="","",'Final Calculation Sheet'!$AG$30)</f>
        <v/>
      </c>
      <c r="AI27" s="95">
        <f>IF('Final Calculation Sheet'!$AH$30="","",'Final Calculation Sheet'!$AH$30)</f>
        <v/>
      </c>
      <c r="AJ27">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27">
        <f>IF(AJ27=1,COUNTIF(AJ$7:AJ27,1),"")</f>
        <v/>
      </c>
    </row>
    <row r="28" outlineLevel="1" ht="15" customHeight="1" s="137">
      <c r="A28" s="67" t="n">
        <v>11</v>
      </c>
      <c r="B28" s="76">
        <f>IF('Final Calculation Sheet'!$F$32="","",'Final Calculation Sheet'!$F$32)</f>
        <v/>
      </c>
      <c r="C28" s="76">
        <f>IF('Final Calculation Sheet'!$G$32="","",'Final Calculation Sheet'!$G$32)</f>
        <v/>
      </c>
      <c r="D28" s="80">
        <f>IF('Final Calculation Sheet'!$B$32="","",'Final Calculation Sheet'!$B$32)</f>
        <v/>
      </c>
      <c r="E28" s="80">
        <f>IF('Final Calculation Sheet'!$D$32="","",'Final Calculation Sheet'!$D$32)</f>
        <v/>
      </c>
      <c r="F28" s="80">
        <f>IF('Final Calculation Sheet'!$A$32="","",'Final Calculation Sheet'!$A$32)</f>
        <v/>
      </c>
      <c r="G28" s="80">
        <f>IF('Final Calculation Sheet'!$E$32="","",'Final Calculation Sheet'!$E$32)</f>
        <v/>
      </c>
      <c r="H28" s="70">
        <f>IF('Final Calculation Sheet'!$C$32="","",'Final Calculation Sheet'!$C$32)</f>
        <v/>
      </c>
      <c r="I28" s="70">
        <f>IF('Final Calculation Sheet'!$H$32="","",'Final Calculation Sheet'!$H$32)</f>
        <v/>
      </c>
      <c r="J28" s="70">
        <f>IF('Final Calculation Sheet'!$I$32="","",'Final Calculation Sheet'!$I$32)</f>
        <v/>
      </c>
      <c r="K28" s="70">
        <f>IF('Final Calculation Sheet'!$J$32="","",'Final Calculation Sheet'!$J$32)</f>
        <v/>
      </c>
      <c r="L28" s="70">
        <f>IF('Final Calculation Sheet'!$K$32="","",'Final Calculation Sheet'!$K$32)</f>
        <v/>
      </c>
      <c r="M28" s="70">
        <f>IF('Final Calculation Sheet'!$L$32="","",'Final Calculation Sheet'!$L$32)</f>
        <v/>
      </c>
      <c r="N28" s="70">
        <f>IF('Final Calculation Sheet'!$M$32="","",'Final Calculation Sheet'!$M$32)</f>
        <v/>
      </c>
      <c r="O28" s="71">
        <f>IF('Final Calculation Sheet'!$N$32="","",'Final Calculation Sheet'!$N$32)</f>
        <v/>
      </c>
      <c r="P28" s="70">
        <f>IF('Final Calculation Sheet'!$O$32="","",'Final Calculation Sheet'!$O$32)</f>
        <v/>
      </c>
      <c r="Q28" s="70">
        <f>IF('Final Calculation Sheet'!$P$32="","",'Final Calculation Sheet'!$P$32)</f>
        <v/>
      </c>
      <c r="R28" s="72">
        <f>IF('Final Calculation Sheet'!$Q$32="","",'Final Calculation Sheet'!$Q$32)</f>
        <v/>
      </c>
      <c r="S28" s="70">
        <f>IF('Final Calculation Sheet'!$R$32="","",'Final Calculation Sheet'!$R$32)</f>
        <v/>
      </c>
      <c r="T28" s="70">
        <f>IF('Final Calculation Sheet'!$S$32="","",'Final Calculation Sheet'!$S$32)</f>
        <v/>
      </c>
      <c r="U28" s="70">
        <f>IF('Final Calculation Sheet'!$T$32="","",'Final Calculation Sheet'!$T$32)</f>
        <v/>
      </c>
      <c r="V28" s="73">
        <f>IF('Final Calculation Sheet'!$U$32="","",'Final Calculation Sheet'!$U$32)</f>
        <v/>
      </c>
      <c r="W28" s="70">
        <f>IF('Final Calculation Sheet'!$V$32="","",'Final Calculation Sheet'!$V$32)</f>
        <v/>
      </c>
      <c r="X28" s="70">
        <f>IF('Final Calculation Sheet'!$W$32="","",'Final Calculation Sheet'!$W$32)</f>
        <v/>
      </c>
      <c r="Y28" s="70">
        <f>IF('Final Calculation Sheet'!$X$32="","",'Final Calculation Sheet'!$X$32)</f>
        <v/>
      </c>
      <c r="Z28" s="70">
        <f>IF('Final Calculation Sheet'!$Y$32="","",'Final Calculation Sheet'!$Y$32)</f>
        <v/>
      </c>
      <c r="AA28" s="70">
        <f>IF('Final Calculation Sheet'!$Z$32="","",'Final Calculation Sheet'!$Z$32)</f>
        <v/>
      </c>
      <c r="AB28" s="70">
        <f>IF('Final Calculation Sheet'!$AA$32="","",'Final Calculation Sheet'!$AA$32)</f>
        <v/>
      </c>
      <c r="AC28" s="70">
        <f>IF('Final Calculation Sheet'!$AB$32="","",'Final Calculation Sheet'!$AB$32)</f>
        <v/>
      </c>
      <c r="AD28" s="70">
        <f>IF('Final Calculation Sheet'!$AC$32="","",'Final Calculation Sheet'!$AC$32)</f>
        <v/>
      </c>
      <c r="AE28" s="70">
        <f>IF('Final Calculation Sheet'!$AD$32="","",'Final Calculation Sheet'!$AD$32)</f>
        <v/>
      </c>
      <c r="AF28" s="75">
        <f>IF('Final Calculation Sheet'!$AD$32="","",IF('Final Calculation Sheet'!$AD$32&lt;=5,"SETTLED","OUTSTANDING"))</f>
        <v/>
      </c>
      <c r="AG28" s="70">
        <f>IF('Final Calculation Sheet'!$AF$32="","",'Final Calculation Sheet'!$AF$32)</f>
        <v/>
      </c>
      <c r="AH28" s="74">
        <f>IF('Final Calculation Sheet'!$AG$32="","",'Final Calculation Sheet'!$AG$32)</f>
        <v/>
      </c>
      <c r="AI28" s="70">
        <f>IF('Final Calculation Sheet'!$AH$32="","",'Final Calculation Sheet'!$AH$32)</f>
        <v/>
      </c>
      <c r="AJ28">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28">
        <f>IF(AJ28=1,COUNTIF(AJ$7:AJ28,1),"")</f>
        <v/>
      </c>
    </row>
    <row r="29" outlineLevel="1" ht="15" customHeight="1" s="137">
      <c r="A29" s="90" t="n">
        <v>12</v>
      </c>
      <c r="B29" s="92">
        <f>IF('Final Calculation Sheet'!$F$33="","",'Final Calculation Sheet'!$F$33)</f>
        <v/>
      </c>
      <c r="C29" s="92">
        <f>IF('Final Calculation Sheet'!$G$33="","",'Final Calculation Sheet'!$G$33)</f>
        <v/>
      </c>
      <c r="D29" s="94">
        <f>IF('Final Calculation Sheet'!$B$33="","",'Final Calculation Sheet'!$B$33)</f>
        <v/>
      </c>
      <c r="E29" s="94">
        <f>IF('Final Calculation Sheet'!$D$33="","",'Final Calculation Sheet'!$D$33)</f>
        <v/>
      </c>
      <c r="F29" s="94">
        <f>IF('Final Calculation Sheet'!$A$33="","",'Final Calculation Sheet'!$A$33)</f>
        <v/>
      </c>
      <c r="G29" s="94">
        <f>IF('Final Calculation Sheet'!$E$33="","",'Final Calculation Sheet'!$E$33)</f>
        <v/>
      </c>
      <c r="H29" s="95">
        <f>IF('Final Calculation Sheet'!$C$33="","",'Final Calculation Sheet'!$C$33)</f>
        <v/>
      </c>
      <c r="I29" s="95">
        <f>IF('Final Calculation Sheet'!$H$33="","",'Final Calculation Sheet'!$H$33)</f>
        <v/>
      </c>
      <c r="J29" s="95">
        <f>IF('Final Calculation Sheet'!$I$33="","",'Final Calculation Sheet'!$I$33)</f>
        <v/>
      </c>
      <c r="K29" s="95">
        <f>IF('Final Calculation Sheet'!$J$33="","",'Final Calculation Sheet'!$J$33)</f>
        <v/>
      </c>
      <c r="L29" s="95">
        <f>IF('Final Calculation Sheet'!$K$33="","",'Final Calculation Sheet'!$K$33)</f>
        <v/>
      </c>
      <c r="M29" s="95">
        <f>IF('Final Calculation Sheet'!$L$33="","",'Final Calculation Sheet'!$L$33)</f>
        <v/>
      </c>
      <c r="N29" s="95">
        <f>IF('Final Calculation Sheet'!$M$33="","",'Final Calculation Sheet'!$M$33)</f>
        <v/>
      </c>
      <c r="O29" s="96">
        <f>IF('Final Calculation Sheet'!$N$33="","",'Final Calculation Sheet'!$N$33)</f>
        <v/>
      </c>
      <c r="P29" s="95">
        <f>IF('Final Calculation Sheet'!$O$33="","",'Final Calculation Sheet'!$O$33)</f>
        <v/>
      </c>
      <c r="Q29" s="95">
        <f>IF('Final Calculation Sheet'!$P$33="","",'Final Calculation Sheet'!$P$33)</f>
        <v/>
      </c>
      <c r="R29" s="97">
        <f>IF('Final Calculation Sheet'!$Q$33="","",'Final Calculation Sheet'!$Q$33)</f>
        <v/>
      </c>
      <c r="S29" s="95">
        <f>IF('Final Calculation Sheet'!$R$33="","",'Final Calculation Sheet'!$R$33)</f>
        <v/>
      </c>
      <c r="T29" s="95">
        <f>IF('Final Calculation Sheet'!$S$33="","",'Final Calculation Sheet'!$S$33)</f>
        <v/>
      </c>
      <c r="U29" s="95">
        <f>IF('Final Calculation Sheet'!$T$33="","",'Final Calculation Sheet'!$T$33)</f>
        <v/>
      </c>
      <c r="V29" s="98">
        <f>IF('Final Calculation Sheet'!$U$33="","",'Final Calculation Sheet'!$U$33)</f>
        <v/>
      </c>
      <c r="W29" s="95">
        <f>IF('Final Calculation Sheet'!$V$33="","",'Final Calculation Sheet'!$V$33)</f>
        <v/>
      </c>
      <c r="X29" s="95">
        <f>IF('Final Calculation Sheet'!$W$33="","",'Final Calculation Sheet'!$W$33)</f>
        <v/>
      </c>
      <c r="Y29" s="95">
        <f>IF('Final Calculation Sheet'!$X$33="","",'Final Calculation Sheet'!$X$33)</f>
        <v/>
      </c>
      <c r="Z29" s="95">
        <f>IF('Final Calculation Sheet'!$Y$33="","",'Final Calculation Sheet'!$Y$33)</f>
        <v/>
      </c>
      <c r="AA29" s="95">
        <f>IF('Final Calculation Sheet'!$Z$33="","",'Final Calculation Sheet'!$Z$33)</f>
        <v/>
      </c>
      <c r="AB29" s="95">
        <f>IF('Final Calculation Sheet'!$AA$33="","",'Final Calculation Sheet'!$AA$33)</f>
        <v/>
      </c>
      <c r="AC29" s="95">
        <f>IF('Final Calculation Sheet'!$AB$33="","",'Final Calculation Sheet'!$AB$33)</f>
        <v/>
      </c>
      <c r="AD29" s="95">
        <f>IF('Final Calculation Sheet'!$AC$33="","",'Final Calculation Sheet'!$AC$33)</f>
        <v/>
      </c>
      <c r="AE29" s="95">
        <f>IF('Final Calculation Sheet'!$AD$33="","",'Final Calculation Sheet'!$AD$33)</f>
        <v/>
      </c>
      <c r="AF29" s="100">
        <f>IF('Final Calculation Sheet'!$AD$33="","",IF('Final Calculation Sheet'!$AD$33&lt;=5,"SETTLED","OUTSTANDING"))</f>
        <v/>
      </c>
      <c r="AG29" s="95">
        <f>IF('Final Calculation Sheet'!$AF$33="","",'Final Calculation Sheet'!$AF$33)</f>
        <v/>
      </c>
      <c r="AH29" s="99">
        <f>IF('Final Calculation Sheet'!$AG$33="","",'Final Calculation Sheet'!$AG$33)</f>
        <v/>
      </c>
      <c r="AI29" s="95">
        <f>IF('Final Calculation Sheet'!$AH$33="","",'Final Calculation Sheet'!$AH$33)</f>
        <v/>
      </c>
      <c r="AJ29">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29">
        <f>IF(AJ29=1,COUNTIF(AJ$7:AJ29,1),"")</f>
        <v/>
      </c>
    </row>
    <row r="30" outlineLevel="1" ht="15" customHeight="1" s="137">
      <c r="A30" s="67" t="n">
        <v>13</v>
      </c>
      <c r="B30" s="76">
        <f>IF('Final Calculation Sheet'!$F$37="","",'Final Calculation Sheet'!$F$37)</f>
        <v/>
      </c>
      <c r="C30" s="76">
        <f>IF('Final Calculation Sheet'!$G$37="","",'Final Calculation Sheet'!$G$37)</f>
        <v/>
      </c>
      <c r="D30" s="80">
        <f>IF('Final Calculation Sheet'!$B$37="","",'Final Calculation Sheet'!$B$37)</f>
        <v/>
      </c>
      <c r="E30" s="80">
        <f>IF('Final Calculation Sheet'!$D$37="","",'Final Calculation Sheet'!$D$37)</f>
        <v/>
      </c>
      <c r="F30" s="80">
        <f>IF('Final Calculation Sheet'!$A$37="","",'Final Calculation Sheet'!$A$37)</f>
        <v/>
      </c>
      <c r="G30" s="80">
        <f>IF('Final Calculation Sheet'!$E$37="","",'Final Calculation Sheet'!$E$37)</f>
        <v/>
      </c>
      <c r="H30" s="70">
        <f>IF('Final Calculation Sheet'!$C$37="","",'Final Calculation Sheet'!$C$37)</f>
        <v/>
      </c>
      <c r="I30" s="70">
        <f>IF('Final Calculation Sheet'!$H$37="","",'Final Calculation Sheet'!$H$37)</f>
        <v/>
      </c>
      <c r="J30" s="70">
        <f>IF('Final Calculation Sheet'!$I$37="","",'Final Calculation Sheet'!$I$37)</f>
        <v/>
      </c>
      <c r="K30" s="70">
        <f>IF('Final Calculation Sheet'!$J$37="","",'Final Calculation Sheet'!$J$37)</f>
        <v/>
      </c>
      <c r="L30" s="70">
        <f>IF('Final Calculation Sheet'!$K$37="","",'Final Calculation Sheet'!$K$37)</f>
        <v/>
      </c>
      <c r="M30" s="70">
        <f>IF('Final Calculation Sheet'!$L$37="","",'Final Calculation Sheet'!$L$37)</f>
        <v/>
      </c>
      <c r="N30" s="70">
        <f>IF('Final Calculation Sheet'!$M$37="","",'Final Calculation Sheet'!$M$37)</f>
        <v/>
      </c>
      <c r="O30" s="71">
        <f>IF('Final Calculation Sheet'!$N$37="","",'Final Calculation Sheet'!$N$37)</f>
        <v/>
      </c>
      <c r="P30" s="70">
        <f>IF('Final Calculation Sheet'!$O$37="","",'Final Calculation Sheet'!$O$37)</f>
        <v/>
      </c>
      <c r="Q30" s="70">
        <f>IF('Final Calculation Sheet'!$P$37="","",'Final Calculation Sheet'!$P$37)</f>
        <v/>
      </c>
      <c r="R30" s="72">
        <f>IF('Final Calculation Sheet'!$Q$37="","",'Final Calculation Sheet'!$Q$37)</f>
        <v/>
      </c>
      <c r="S30" s="70">
        <f>IF('Final Calculation Sheet'!$R$37="","",'Final Calculation Sheet'!$R$37)</f>
        <v/>
      </c>
      <c r="T30" s="70">
        <f>IF('Final Calculation Sheet'!$S$37="","",'Final Calculation Sheet'!$S$37)</f>
        <v/>
      </c>
      <c r="U30" s="70">
        <f>IF('Final Calculation Sheet'!$T$37="","",'Final Calculation Sheet'!$T$37)</f>
        <v/>
      </c>
      <c r="V30" s="73">
        <f>IF('Final Calculation Sheet'!$U$37="","",'Final Calculation Sheet'!$U$37)</f>
        <v/>
      </c>
      <c r="W30" s="70">
        <f>IF('Final Calculation Sheet'!$V$37="","",'Final Calculation Sheet'!$V$37)</f>
        <v/>
      </c>
      <c r="X30" s="70">
        <f>IF('Final Calculation Sheet'!$W$37="","",'Final Calculation Sheet'!$W$37)</f>
        <v/>
      </c>
      <c r="Y30" s="70">
        <f>IF('Final Calculation Sheet'!$X$37="","",'Final Calculation Sheet'!$X$37)</f>
        <v/>
      </c>
      <c r="Z30" s="70">
        <f>IF('Final Calculation Sheet'!$Y$37="","",'Final Calculation Sheet'!$Y$37)</f>
        <v/>
      </c>
      <c r="AA30" s="70">
        <f>IF('Final Calculation Sheet'!$Z$37="","",'Final Calculation Sheet'!$Z$37)</f>
        <v/>
      </c>
      <c r="AB30" s="70">
        <f>IF('Final Calculation Sheet'!$AA$37="","",'Final Calculation Sheet'!$AA$37)</f>
        <v/>
      </c>
      <c r="AC30" s="70">
        <f>IF('Final Calculation Sheet'!$AB$37="","",'Final Calculation Sheet'!$AB$37)</f>
        <v/>
      </c>
      <c r="AD30" s="70">
        <f>IF('Final Calculation Sheet'!$AC$37="","",'Final Calculation Sheet'!$AC$37)</f>
        <v/>
      </c>
      <c r="AE30" s="70">
        <f>IF('Final Calculation Sheet'!$AD$37="","",'Final Calculation Sheet'!$AD$37)</f>
        <v/>
      </c>
      <c r="AF30" s="75">
        <f>IF('Final Calculation Sheet'!$AD$37="","",IF('Final Calculation Sheet'!$AD$37&lt;=5,"SETTLED","OUTSTANDING"))</f>
        <v/>
      </c>
      <c r="AG30" s="70">
        <f>IF('Final Calculation Sheet'!$AF$37="","",'Final Calculation Sheet'!$AF$37)</f>
        <v/>
      </c>
      <c r="AH30" s="74">
        <f>IF('Final Calculation Sheet'!$AG$37="","",'Final Calculation Sheet'!$AG$37)</f>
        <v/>
      </c>
      <c r="AI30" s="70">
        <f>IF('Final Calculation Sheet'!$AH$37="","",'Final Calculation Sheet'!$AH$37)</f>
        <v/>
      </c>
      <c r="AJ30">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0">
        <f>IF(AJ30=1,COUNTIF(AJ$7:AJ30,1),"")</f>
        <v/>
      </c>
    </row>
    <row r="31" ht="15" customHeight="1" s="137">
      <c r="A31" s="81" t="inlineStr">
        <is>
          <t>∑</t>
        </is>
      </c>
      <c r="B31" s="83" t="n"/>
      <c r="C31" s="83">
        <f>ROWS($C$18:$C$30)&amp;" lot(s)"</f>
        <v/>
      </c>
      <c r="D31" s="83" t="inlineStr">
        <is>
          <t>SUBTOTAL — NATIONAL ENTERPRISES</t>
        </is>
      </c>
      <c r="E31" s="83" t="inlineStr">
        <is>
          <t>–</t>
        </is>
      </c>
      <c r="F31" s="83">
        <f>SUM(F18:F30)</f>
        <v/>
      </c>
      <c r="G31" s="83" t="inlineStr">
        <is>
          <t>–</t>
        </is>
      </c>
      <c r="H31" s="84" t="inlineStr">
        <is>
          <t>–</t>
        </is>
      </c>
      <c r="I31" s="84">
        <f>SUM(I18:I30)</f>
        <v/>
      </c>
      <c r="J31" s="84">
        <f>SUM(J18:J30)</f>
        <v/>
      </c>
      <c r="K31" s="84">
        <f>SUM(K18:K30)</f>
        <v/>
      </c>
      <c r="L31" s="84">
        <f>SUM(L18:L30)</f>
        <v/>
      </c>
      <c r="M31" s="84">
        <f>SUM(M18:M30)</f>
        <v/>
      </c>
      <c r="N31" s="84">
        <f>SUM(N18:N30)</f>
        <v/>
      </c>
      <c r="O31" s="85">
        <f>SUM(O18:O30)</f>
        <v/>
      </c>
      <c r="P31" s="84">
        <f>SUM(P18:P30)</f>
        <v/>
      </c>
      <c r="Q31" s="84">
        <f>SUM(Q18:Q30)</f>
        <v/>
      </c>
      <c r="R31" s="86" t="inlineStr">
        <is>
          <t>–</t>
        </is>
      </c>
      <c r="S31" s="84">
        <f>SUM(S18:S30)</f>
        <v/>
      </c>
      <c r="T31" s="84">
        <f>SUM(T18:T30)</f>
        <v/>
      </c>
      <c r="U31" s="84">
        <f>SUM(U18:U30)</f>
        <v/>
      </c>
      <c r="V31" s="87">
        <f>SUM(V18:V30)</f>
        <v/>
      </c>
      <c r="W31" s="84" t="inlineStr">
        <is>
          <t>–</t>
        </is>
      </c>
      <c r="X31" s="84">
        <f>SUM(X18:X30)</f>
        <v/>
      </c>
      <c r="Y31" s="84">
        <f>SUM(Y18:Y30)</f>
        <v/>
      </c>
      <c r="Z31" s="84" t="inlineStr">
        <is>
          <t>–</t>
        </is>
      </c>
      <c r="AA31" s="84">
        <f>SUM(AA18:AA30)</f>
        <v/>
      </c>
      <c r="AB31" s="84">
        <f>SUM(AB18:AB30)</f>
        <v/>
      </c>
      <c r="AC31" s="84" t="inlineStr">
        <is>
          <t>–</t>
        </is>
      </c>
      <c r="AD31" s="84">
        <f>SUM(AD18:AD30)</f>
        <v/>
      </c>
      <c r="AE31" s="84">
        <f>SUM(AE18:AE30)</f>
        <v/>
      </c>
      <c r="AF31" s="89">
        <f>IF(AE31&lt;=5,"SETTLED","OUTSTANDING")</f>
        <v/>
      </c>
      <c r="AG31" s="84" t="inlineStr">
        <is>
          <t>–</t>
        </is>
      </c>
      <c r="AH31" s="88" t="inlineStr">
        <is>
          <t>–</t>
        </is>
      </c>
      <c r="AI31" s="84" t="inlineStr">
        <is>
          <t>–</t>
        </is>
      </c>
    </row>
    <row r="32" outlineLevel="1" ht="15" customHeight="1" s="137">
      <c r="A32" s="67" t="n">
        <v>1</v>
      </c>
      <c r="B32" s="76">
        <f>IF('Final Calculation Sheet'!$F$21="","",'Final Calculation Sheet'!$F$21)</f>
        <v/>
      </c>
      <c r="C32" s="76">
        <f>IF('Final Calculation Sheet'!$G$21="","",'Final Calculation Sheet'!$G$21)</f>
        <v/>
      </c>
      <c r="D32" s="80">
        <f>IF('Final Calculation Sheet'!$B$21="","",'Final Calculation Sheet'!$B$21)</f>
        <v/>
      </c>
      <c r="E32" s="80">
        <f>IF('Final Calculation Sheet'!$D$21="","",'Final Calculation Sheet'!$D$21)</f>
        <v/>
      </c>
      <c r="F32" s="80">
        <f>IF('Final Calculation Sheet'!$A$21="","",'Final Calculation Sheet'!$A$21)</f>
        <v/>
      </c>
      <c r="G32" s="80">
        <f>IF('Final Calculation Sheet'!$E$21="","",'Final Calculation Sheet'!$E$21)</f>
        <v/>
      </c>
      <c r="H32" s="70">
        <f>IF('Final Calculation Sheet'!$C$21="","",'Final Calculation Sheet'!$C$21)</f>
        <v/>
      </c>
      <c r="I32" s="70">
        <f>IF('Final Calculation Sheet'!$H$21="","",'Final Calculation Sheet'!$H$21)</f>
        <v/>
      </c>
      <c r="J32" s="70">
        <f>IF('Final Calculation Sheet'!$I$21="","",'Final Calculation Sheet'!$I$21)</f>
        <v/>
      </c>
      <c r="K32" s="70">
        <f>IF('Final Calculation Sheet'!$J$21="","",'Final Calculation Sheet'!$J$21)</f>
        <v/>
      </c>
      <c r="L32" s="70">
        <f>IF('Final Calculation Sheet'!$K$21="","",'Final Calculation Sheet'!$K$21)</f>
        <v/>
      </c>
      <c r="M32" s="70">
        <f>IF('Final Calculation Sheet'!$L$21="","",'Final Calculation Sheet'!$L$21)</f>
        <v/>
      </c>
      <c r="N32" s="70">
        <f>IF('Final Calculation Sheet'!$M$21="","",'Final Calculation Sheet'!$M$21)</f>
        <v/>
      </c>
      <c r="O32" s="71">
        <f>IF('Final Calculation Sheet'!$N$21="","",'Final Calculation Sheet'!$N$21)</f>
        <v/>
      </c>
      <c r="P32" s="70">
        <f>IF('Final Calculation Sheet'!$O$21="","",'Final Calculation Sheet'!$O$21)</f>
        <v/>
      </c>
      <c r="Q32" s="70">
        <f>IF('Final Calculation Sheet'!$P$21="","",'Final Calculation Sheet'!$P$21)</f>
        <v/>
      </c>
      <c r="R32" s="72">
        <f>IF('Final Calculation Sheet'!$Q$21="","",'Final Calculation Sheet'!$Q$21)</f>
        <v/>
      </c>
      <c r="S32" s="70">
        <f>IF('Final Calculation Sheet'!$R$21="","",'Final Calculation Sheet'!$R$21)</f>
        <v/>
      </c>
      <c r="T32" s="70">
        <f>IF('Final Calculation Sheet'!$S$21="","",'Final Calculation Sheet'!$S$21)</f>
        <v/>
      </c>
      <c r="U32" s="70">
        <f>IF('Final Calculation Sheet'!$T$21="","",'Final Calculation Sheet'!$T$21)</f>
        <v/>
      </c>
      <c r="V32" s="73">
        <f>IF('Final Calculation Sheet'!$U$21="","",'Final Calculation Sheet'!$U$21)</f>
        <v/>
      </c>
      <c r="W32" s="70">
        <f>IF('Final Calculation Sheet'!$V$21="","",'Final Calculation Sheet'!$V$21)</f>
        <v/>
      </c>
      <c r="X32" s="70">
        <f>IF('Final Calculation Sheet'!$W$21="","",'Final Calculation Sheet'!$W$21)</f>
        <v/>
      </c>
      <c r="Y32" s="70">
        <f>IF('Final Calculation Sheet'!$X$21="","",'Final Calculation Sheet'!$X$21)</f>
        <v/>
      </c>
      <c r="Z32" s="70">
        <f>IF('Final Calculation Sheet'!$Y$21="","",'Final Calculation Sheet'!$Y$21)</f>
        <v/>
      </c>
      <c r="AA32" s="70">
        <f>IF('Final Calculation Sheet'!$Z$21="","",'Final Calculation Sheet'!$Z$21)</f>
        <v/>
      </c>
      <c r="AB32" s="70">
        <f>IF('Final Calculation Sheet'!$AA$21="","",'Final Calculation Sheet'!$AA$21)</f>
        <v/>
      </c>
      <c r="AC32" s="70">
        <f>IF('Final Calculation Sheet'!$AB$21="","",'Final Calculation Sheet'!$AB$21)</f>
        <v/>
      </c>
      <c r="AD32" s="70">
        <f>IF('Final Calculation Sheet'!$AC$21="","",'Final Calculation Sheet'!$AC$21)</f>
        <v/>
      </c>
      <c r="AE32" s="70">
        <f>IF('Final Calculation Sheet'!$AD$21="","",'Final Calculation Sheet'!$AD$21)</f>
        <v/>
      </c>
      <c r="AF32" s="75">
        <f>IF('Final Calculation Sheet'!$AD$21="","",IF('Final Calculation Sheet'!$AD$21&lt;=5,"SETTLED","OUTSTANDING"))</f>
        <v/>
      </c>
      <c r="AG32" s="70">
        <f>IF('Final Calculation Sheet'!$AF$21="","",'Final Calculation Sheet'!$AF$21)</f>
        <v/>
      </c>
      <c r="AH32" s="74">
        <f>IF('Final Calculation Sheet'!$AG$21="","",'Final Calculation Sheet'!$AG$21)</f>
        <v/>
      </c>
      <c r="AI32" s="70">
        <f>IF('Final Calculation Sheet'!$AH$21="","",'Final Calculation Sheet'!$AH$21)</f>
        <v/>
      </c>
      <c r="AJ32">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32">
        <f>IF(AJ32=1,COUNTIF(AJ$7:AJ32,1),"")</f>
        <v/>
      </c>
    </row>
    <row r="33" ht="15" customHeight="1" s="137">
      <c r="A33" s="81" t="inlineStr">
        <is>
          <t>∑</t>
        </is>
      </c>
      <c r="B33" s="83" t="n"/>
      <c r="C33" s="83">
        <f>ROWS($C$32:$C$32)&amp;" lot(s)"</f>
        <v/>
      </c>
      <c r="D33" s="83" t="inlineStr">
        <is>
          <t>SUBTOTAL — NATIONAL SCRAP AND BUILDING MATERIAL SUPPLIER</t>
        </is>
      </c>
      <c r="E33" s="83" t="inlineStr">
        <is>
          <t>–</t>
        </is>
      </c>
      <c r="F33" s="83">
        <f>SUM(F32:F32)</f>
        <v/>
      </c>
      <c r="G33" s="83" t="inlineStr">
        <is>
          <t>–</t>
        </is>
      </c>
      <c r="H33" s="84" t="inlineStr">
        <is>
          <t>–</t>
        </is>
      </c>
      <c r="I33" s="84">
        <f>SUM(I32:I32)</f>
        <v/>
      </c>
      <c r="J33" s="84">
        <f>SUM(J32:J32)</f>
        <v/>
      </c>
      <c r="K33" s="84">
        <f>SUM(K32:K32)</f>
        <v/>
      </c>
      <c r="L33" s="84">
        <f>SUM(L32:L32)</f>
        <v/>
      </c>
      <c r="M33" s="84">
        <f>SUM(M32:M32)</f>
        <v/>
      </c>
      <c r="N33" s="84">
        <f>SUM(N32:N32)</f>
        <v/>
      </c>
      <c r="O33" s="85">
        <f>SUM(O32:O32)</f>
        <v/>
      </c>
      <c r="P33" s="84">
        <f>SUM(P32:P32)</f>
        <v/>
      </c>
      <c r="Q33" s="84">
        <f>SUM(Q32:Q32)</f>
        <v/>
      </c>
      <c r="R33" s="86" t="inlineStr">
        <is>
          <t>–</t>
        </is>
      </c>
      <c r="S33" s="84">
        <f>SUM(S32:S32)</f>
        <v/>
      </c>
      <c r="T33" s="84">
        <f>SUM(T32:T32)</f>
        <v/>
      </c>
      <c r="U33" s="84">
        <f>SUM(U32:U32)</f>
        <v/>
      </c>
      <c r="V33" s="87">
        <f>SUM(V32:V32)</f>
        <v/>
      </c>
      <c r="W33" s="84" t="inlineStr">
        <is>
          <t>–</t>
        </is>
      </c>
      <c r="X33" s="84">
        <f>SUM(X32:X32)</f>
        <v/>
      </c>
      <c r="Y33" s="84">
        <f>SUM(Y32:Y32)</f>
        <v/>
      </c>
      <c r="Z33" s="84" t="inlineStr">
        <is>
          <t>–</t>
        </is>
      </c>
      <c r="AA33" s="84">
        <f>SUM(AA32:AA32)</f>
        <v/>
      </c>
      <c r="AB33" s="84">
        <f>SUM(AB32:AB32)</f>
        <v/>
      </c>
      <c r="AC33" s="84" t="inlineStr">
        <is>
          <t>–</t>
        </is>
      </c>
      <c r="AD33" s="84">
        <f>SUM(AD32:AD32)</f>
        <v/>
      </c>
      <c r="AE33" s="84">
        <f>SUM(AE32:AE32)</f>
        <v/>
      </c>
      <c r="AF33" s="89">
        <f>IF(AE33&lt;=5,"SETTLED","OUTSTANDING")</f>
        <v/>
      </c>
      <c r="AG33" s="84" t="inlineStr">
        <is>
          <t>–</t>
        </is>
      </c>
      <c r="AH33" s="88" t="inlineStr">
        <is>
          <t>–</t>
        </is>
      </c>
      <c r="AI33" s="84" t="inlineStr">
        <is>
          <t>–</t>
        </is>
      </c>
    </row>
    <row r="34" outlineLevel="1" ht="15" customHeight="1" s="137">
      <c r="A34" s="67" t="n">
        <v>1</v>
      </c>
      <c r="B34" s="76">
        <f>IF('Final Calculation Sheet'!$F$8="","",'Final Calculation Sheet'!$F$8)</f>
        <v/>
      </c>
      <c r="C34" s="76">
        <f>IF('Final Calculation Sheet'!$G$8="","",'Final Calculation Sheet'!$G$8)</f>
        <v/>
      </c>
      <c r="D34" s="80">
        <f>IF('Final Calculation Sheet'!$B$8="","",'Final Calculation Sheet'!$B$8)</f>
        <v/>
      </c>
      <c r="E34" s="80">
        <f>IF('Final Calculation Sheet'!$D$8="","",'Final Calculation Sheet'!$D$8)</f>
        <v/>
      </c>
      <c r="F34" s="80">
        <f>IF('Final Calculation Sheet'!$A$8="","",'Final Calculation Sheet'!$A$8)</f>
        <v/>
      </c>
      <c r="G34" s="80">
        <f>IF('Final Calculation Sheet'!$E$8="","",'Final Calculation Sheet'!$E$8)</f>
        <v/>
      </c>
      <c r="H34" s="70">
        <f>IF('Final Calculation Sheet'!$C$8="","",'Final Calculation Sheet'!$C$8)</f>
        <v/>
      </c>
      <c r="I34" s="70">
        <f>IF('Final Calculation Sheet'!$H$8="","",'Final Calculation Sheet'!$H$8)</f>
        <v/>
      </c>
      <c r="J34" s="70">
        <f>IF('Final Calculation Sheet'!$I$8="","",'Final Calculation Sheet'!$I$8)</f>
        <v/>
      </c>
      <c r="K34" s="70">
        <f>IF('Final Calculation Sheet'!$J$8="","",'Final Calculation Sheet'!$J$8)</f>
        <v/>
      </c>
      <c r="L34" s="70">
        <f>IF('Final Calculation Sheet'!$K$8="","",'Final Calculation Sheet'!$K$8)</f>
        <v/>
      </c>
      <c r="M34" s="70">
        <f>IF('Final Calculation Sheet'!$L$8="","",'Final Calculation Sheet'!$L$8)</f>
        <v/>
      </c>
      <c r="N34" s="70">
        <f>IF('Final Calculation Sheet'!$M$8="","",'Final Calculation Sheet'!$M$8)</f>
        <v/>
      </c>
      <c r="O34" s="71">
        <f>IF('Final Calculation Sheet'!$N$8="","",'Final Calculation Sheet'!$N$8)</f>
        <v/>
      </c>
      <c r="P34" s="70">
        <f>IF('Final Calculation Sheet'!$O$8="","",'Final Calculation Sheet'!$O$8)</f>
        <v/>
      </c>
      <c r="Q34" s="70">
        <f>IF('Final Calculation Sheet'!$P$8="","",'Final Calculation Sheet'!$P$8)</f>
        <v/>
      </c>
      <c r="R34" s="72">
        <f>IF('Final Calculation Sheet'!$Q$8="","",'Final Calculation Sheet'!$Q$8)</f>
        <v/>
      </c>
      <c r="S34" s="70">
        <f>IF('Final Calculation Sheet'!$R$8="","",'Final Calculation Sheet'!$R$8)</f>
        <v/>
      </c>
      <c r="T34" s="70">
        <f>IF('Final Calculation Sheet'!$S$8="","",'Final Calculation Sheet'!$S$8)</f>
        <v/>
      </c>
      <c r="U34" s="70">
        <f>IF('Final Calculation Sheet'!$T$8="","",'Final Calculation Sheet'!$T$8)</f>
        <v/>
      </c>
      <c r="V34" s="73">
        <f>IF('Final Calculation Sheet'!$U$8="","",'Final Calculation Sheet'!$U$8)</f>
        <v/>
      </c>
      <c r="W34" s="70">
        <f>IF('Final Calculation Sheet'!$V$8="","",'Final Calculation Sheet'!$V$8)</f>
        <v/>
      </c>
      <c r="X34" s="70">
        <f>IF('Final Calculation Sheet'!$W$8="","",'Final Calculation Sheet'!$W$8)</f>
        <v/>
      </c>
      <c r="Y34" s="70">
        <f>IF('Final Calculation Sheet'!$X$8="","",'Final Calculation Sheet'!$X$8)</f>
        <v/>
      </c>
      <c r="Z34" s="70">
        <f>IF('Final Calculation Sheet'!$Y$8="","",'Final Calculation Sheet'!$Y$8)</f>
        <v/>
      </c>
      <c r="AA34" s="70">
        <f>IF('Final Calculation Sheet'!$Z$8="","",'Final Calculation Sheet'!$Z$8)</f>
        <v/>
      </c>
      <c r="AB34" s="70">
        <f>IF('Final Calculation Sheet'!$AA$8="","",'Final Calculation Sheet'!$AA$8)</f>
        <v/>
      </c>
      <c r="AC34" s="70">
        <f>IF('Final Calculation Sheet'!$AB$8="","",'Final Calculation Sheet'!$AB$8)</f>
        <v/>
      </c>
      <c r="AD34" s="70">
        <f>IF('Final Calculation Sheet'!$AC$8="","",'Final Calculation Sheet'!$AC$8)</f>
        <v/>
      </c>
      <c r="AE34" s="70">
        <f>IF('Final Calculation Sheet'!$AD$8="","",'Final Calculation Sheet'!$AD$8)</f>
        <v/>
      </c>
      <c r="AF34" s="75">
        <f>IF('Final Calculation Sheet'!$AD$8="","",IF('Final Calculation Sheet'!$AD$8&lt;=5,"SETTLED","OUTSTANDING"))</f>
        <v/>
      </c>
      <c r="AG34" s="70">
        <f>IF('Final Calculation Sheet'!$AF$8="","",'Final Calculation Sheet'!$AF$8)</f>
        <v/>
      </c>
      <c r="AH34" s="74">
        <f>IF('Final Calculation Sheet'!$AG$8="","",'Final Calculation Sheet'!$AG$8)</f>
        <v/>
      </c>
      <c r="AI34" s="70">
        <f>IF('Final Calculation Sheet'!$AH$8="","",'Final Calculation Sheet'!$AH$8)</f>
        <v/>
      </c>
      <c r="AJ34">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34">
        <f>IF(AJ34=1,COUNTIF(AJ$7:AJ34,1),"")</f>
        <v/>
      </c>
    </row>
    <row r="35" outlineLevel="1" ht="15" customHeight="1" s="137">
      <c r="A35" s="90" t="n">
        <v>2</v>
      </c>
      <c r="B35" s="92">
        <f>IF('Final Calculation Sheet'!$F$20="","",'Final Calculation Sheet'!$F$20)</f>
        <v/>
      </c>
      <c r="C35" s="92">
        <f>IF('Final Calculation Sheet'!$G$20="","",'Final Calculation Sheet'!$G$20)</f>
        <v/>
      </c>
      <c r="D35" s="94">
        <f>IF('Final Calculation Sheet'!$B$20="","",'Final Calculation Sheet'!$B$20)</f>
        <v/>
      </c>
      <c r="E35" s="94">
        <f>IF('Final Calculation Sheet'!$D$20="","",'Final Calculation Sheet'!$D$20)</f>
        <v/>
      </c>
      <c r="F35" s="94">
        <f>IF('Final Calculation Sheet'!$A$20="","",'Final Calculation Sheet'!$A$20)</f>
        <v/>
      </c>
      <c r="G35" s="94">
        <f>IF('Final Calculation Sheet'!$E$20="","",'Final Calculation Sheet'!$E$20)</f>
        <v/>
      </c>
      <c r="H35" s="95">
        <f>IF('Final Calculation Sheet'!$C$20="","",'Final Calculation Sheet'!$C$20)</f>
        <v/>
      </c>
      <c r="I35" s="95">
        <f>IF('Final Calculation Sheet'!$H$20="","",'Final Calculation Sheet'!$H$20)</f>
        <v/>
      </c>
      <c r="J35" s="95">
        <f>IF('Final Calculation Sheet'!$I$20="","",'Final Calculation Sheet'!$I$20)</f>
        <v/>
      </c>
      <c r="K35" s="95">
        <f>IF('Final Calculation Sheet'!$J$20="","",'Final Calculation Sheet'!$J$20)</f>
        <v/>
      </c>
      <c r="L35" s="95">
        <f>IF('Final Calculation Sheet'!$K$20="","",'Final Calculation Sheet'!$K$20)</f>
        <v/>
      </c>
      <c r="M35" s="95">
        <f>IF('Final Calculation Sheet'!$L$20="","",'Final Calculation Sheet'!$L$20)</f>
        <v/>
      </c>
      <c r="N35" s="95">
        <f>IF('Final Calculation Sheet'!$M$20="","",'Final Calculation Sheet'!$M$20)</f>
        <v/>
      </c>
      <c r="O35" s="96">
        <f>IF('Final Calculation Sheet'!$N$20="","",'Final Calculation Sheet'!$N$20)</f>
        <v/>
      </c>
      <c r="P35" s="95">
        <f>IF('Final Calculation Sheet'!$O$20="","",'Final Calculation Sheet'!$O$20)</f>
        <v/>
      </c>
      <c r="Q35" s="95">
        <f>IF('Final Calculation Sheet'!$P$20="","",'Final Calculation Sheet'!$P$20)</f>
        <v/>
      </c>
      <c r="R35" s="97">
        <f>IF('Final Calculation Sheet'!$Q$20="","",'Final Calculation Sheet'!$Q$20)</f>
        <v/>
      </c>
      <c r="S35" s="95">
        <f>IF('Final Calculation Sheet'!$R$20="","",'Final Calculation Sheet'!$R$20)</f>
        <v/>
      </c>
      <c r="T35" s="95">
        <f>IF('Final Calculation Sheet'!$S$20="","",'Final Calculation Sheet'!$S$20)</f>
        <v/>
      </c>
      <c r="U35" s="95">
        <f>IF('Final Calculation Sheet'!$T$20="","",'Final Calculation Sheet'!$T$20)</f>
        <v/>
      </c>
      <c r="V35" s="98">
        <f>IF('Final Calculation Sheet'!$U$20="","",'Final Calculation Sheet'!$U$20)</f>
        <v/>
      </c>
      <c r="W35" s="95">
        <f>IF('Final Calculation Sheet'!$V$20="","",'Final Calculation Sheet'!$V$20)</f>
        <v/>
      </c>
      <c r="X35" s="95">
        <f>IF('Final Calculation Sheet'!$W$20="","",'Final Calculation Sheet'!$W$20)</f>
        <v/>
      </c>
      <c r="Y35" s="95">
        <f>IF('Final Calculation Sheet'!$X$20="","",'Final Calculation Sheet'!$X$20)</f>
        <v/>
      </c>
      <c r="Z35" s="95">
        <f>IF('Final Calculation Sheet'!$Y$20="","",'Final Calculation Sheet'!$Y$20)</f>
        <v/>
      </c>
      <c r="AA35" s="95">
        <f>IF('Final Calculation Sheet'!$Z$20="","",'Final Calculation Sheet'!$Z$20)</f>
        <v/>
      </c>
      <c r="AB35" s="95">
        <f>IF('Final Calculation Sheet'!$AA$20="","",'Final Calculation Sheet'!$AA$20)</f>
        <v/>
      </c>
      <c r="AC35" s="95">
        <f>IF('Final Calculation Sheet'!$AB$20="","",'Final Calculation Sheet'!$AB$20)</f>
        <v/>
      </c>
      <c r="AD35" s="95">
        <f>IF('Final Calculation Sheet'!$AC$20="","",'Final Calculation Sheet'!$AC$20)</f>
        <v/>
      </c>
      <c r="AE35" s="95">
        <f>IF('Final Calculation Sheet'!$AD$20="","",'Final Calculation Sheet'!$AD$20)</f>
        <v/>
      </c>
      <c r="AF35" s="100">
        <f>IF('Final Calculation Sheet'!$AD$20="","",IF('Final Calculation Sheet'!$AD$20&lt;=5,"SETTLED","OUTSTANDING"))</f>
        <v/>
      </c>
      <c r="AG35" s="95">
        <f>IF('Final Calculation Sheet'!$AF$20="","",'Final Calculation Sheet'!$AF$20)</f>
        <v/>
      </c>
      <c r="AH35" s="99">
        <f>IF('Final Calculation Sheet'!$AG$20="","",'Final Calculation Sheet'!$AG$20)</f>
        <v/>
      </c>
      <c r="AI35" s="95">
        <f>IF('Final Calculation Sheet'!$AH$20="","",'Final Calculation Sheet'!$AH$20)</f>
        <v/>
      </c>
      <c r="AJ35">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35">
        <f>IF(AJ35=1,COUNTIF(AJ$7:AJ35,1),"")</f>
        <v/>
      </c>
    </row>
    <row r="36" ht="15" customHeight="1" s="137">
      <c r="A36" s="81" t="inlineStr">
        <is>
          <t>∑</t>
        </is>
      </c>
      <c r="B36" s="83" t="n"/>
      <c r="C36" s="83">
        <f>ROWS($C$34:$C$35)&amp;" lot(s)"</f>
        <v/>
      </c>
      <c r="D36" s="83" t="inlineStr">
        <is>
          <t>SUBTOTAL — OMKAR STEELS</t>
        </is>
      </c>
      <c r="E36" s="83" t="inlineStr">
        <is>
          <t>–</t>
        </is>
      </c>
      <c r="F36" s="83">
        <f>SUM(F34:F35)</f>
        <v/>
      </c>
      <c r="G36" s="83" t="inlineStr">
        <is>
          <t>–</t>
        </is>
      </c>
      <c r="H36" s="84" t="inlineStr">
        <is>
          <t>–</t>
        </is>
      </c>
      <c r="I36" s="84">
        <f>SUM(I34:I35)</f>
        <v/>
      </c>
      <c r="J36" s="84">
        <f>SUM(J34:J35)</f>
        <v/>
      </c>
      <c r="K36" s="84">
        <f>SUM(K34:K35)</f>
        <v/>
      </c>
      <c r="L36" s="84">
        <f>SUM(L34:L35)</f>
        <v/>
      </c>
      <c r="M36" s="84">
        <f>SUM(M34:M35)</f>
        <v/>
      </c>
      <c r="N36" s="84">
        <f>SUM(N34:N35)</f>
        <v/>
      </c>
      <c r="O36" s="85">
        <f>SUM(O34:O35)</f>
        <v/>
      </c>
      <c r="P36" s="84">
        <f>SUM(P34:P35)</f>
        <v/>
      </c>
      <c r="Q36" s="84">
        <f>SUM(Q34:Q35)</f>
        <v/>
      </c>
      <c r="R36" s="86" t="inlineStr">
        <is>
          <t>–</t>
        </is>
      </c>
      <c r="S36" s="84">
        <f>SUM(S34:S35)</f>
        <v/>
      </c>
      <c r="T36" s="84">
        <f>SUM(T34:T35)</f>
        <v/>
      </c>
      <c r="U36" s="84">
        <f>SUM(U34:U35)</f>
        <v/>
      </c>
      <c r="V36" s="87">
        <f>SUM(V34:V35)</f>
        <v/>
      </c>
      <c r="W36" s="84" t="inlineStr">
        <is>
          <t>–</t>
        </is>
      </c>
      <c r="X36" s="84">
        <f>SUM(X34:X35)</f>
        <v/>
      </c>
      <c r="Y36" s="84">
        <f>SUM(Y34:Y35)</f>
        <v/>
      </c>
      <c r="Z36" s="84" t="inlineStr">
        <is>
          <t>–</t>
        </is>
      </c>
      <c r="AA36" s="84">
        <f>SUM(AA34:AA35)</f>
        <v/>
      </c>
      <c r="AB36" s="84">
        <f>SUM(AB34:AB35)</f>
        <v/>
      </c>
      <c r="AC36" s="84" t="inlineStr">
        <is>
          <t>–</t>
        </is>
      </c>
      <c r="AD36" s="84">
        <f>SUM(AD34:AD35)</f>
        <v/>
      </c>
      <c r="AE36" s="84">
        <f>SUM(AE34:AE35)</f>
        <v/>
      </c>
      <c r="AF36" s="89">
        <f>IF(AE36&lt;=5,"SETTLED","OUTSTANDING")</f>
        <v/>
      </c>
      <c r="AG36" s="84" t="inlineStr">
        <is>
          <t>–</t>
        </is>
      </c>
      <c r="AH36" s="88" t="inlineStr">
        <is>
          <t>–</t>
        </is>
      </c>
      <c r="AI36" s="84" t="inlineStr">
        <is>
          <t>–</t>
        </is>
      </c>
    </row>
    <row r="37" outlineLevel="1" ht="15" customHeight="1" s="137">
      <c r="A37" s="67" t="n">
        <v>1</v>
      </c>
      <c r="B37" s="76">
        <f>IF('Final Calculation Sheet'!$F$39="","",'Final Calculation Sheet'!$F$39)</f>
        <v/>
      </c>
      <c r="C37" s="76">
        <f>IF('Final Calculation Sheet'!$G$39="","",'Final Calculation Sheet'!$G$39)</f>
        <v/>
      </c>
      <c r="D37" s="80">
        <f>IF('Final Calculation Sheet'!$B$39="","",'Final Calculation Sheet'!$B$39)</f>
        <v/>
      </c>
      <c r="E37" s="80">
        <f>IF('Final Calculation Sheet'!$D$39="","",'Final Calculation Sheet'!$D$39)</f>
        <v/>
      </c>
      <c r="F37" s="80">
        <f>IF('Final Calculation Sheet'!$A$39="","",'Final Calculation Sheet'!$A$39)</f>
        <v/>
      </c>
      <c r="G37" s="80">
        <f>IF('Final Calculation Sheet'!$E$39="","",'Final Calculation Sheet'!$E$39)</f>
        <v/>
      </c>
      <c r="H37" s="70">
        <f>IF('Final Calculation Sheet'!$C$39="","",'Final Calculation Sheet'!$C$39)</f>
        <v/>
      </c>
      <c r="I37" s="70">
        <f>IF('Final Calculation Sheet'!$H$39="","",'Final Calculation Sheet'!$H$39)</f>
        <v/>
      </c>
      <c r="J37" s="70">
        <f>IF('Final Calculation Sheet'!$I$39="","",'Final Calculation Sheet'!$I$39)</f>
        <v/>
      </c>
      <c r="K37" s="70">
        <f>IF('Final Calculation Sheet'!$J$39="","",'Final Calculation Sheet'!$J$39)</f>
        <v/>
      </c>
      <c r="L37" s="70">
        <f>IF('Final Calculation Sheet'!$K$39="","",'Final Calculation Sheet'!$K$39)</f>
        <v/>
      </c>
      <c r="M37" s="70">
        <f>IF('Final Calculation Sheet'!$L$39="","",'Final Calculation Sheet'!$L$39)</f>
        <v/>
      </c>
      <c r="N37" s="70">
        <f>IF('Final Calculation Sheet'!$M$39="","",'Final Calculation Sheet'!$M$39)</f>
        <v/>
      </c>
      <c r="O37" s="71">
        <f>IF('Final Calculation Sheet'!$N$39="","",'Final Calculation Sheet'!$N$39)</f>
        <v/>
      </c>
      <c r="P37" s="70">
        <f>IF('Final Calculation Sheet'!$O$39="","",'Final Calculation Sheet'!$O$39)</f>
        <v/>
      </c>
      <c r="Q37" s="70">
        <f>IF('Final Calculation Sheet'!$P$39="","",'Final Calculation Sheet'!$P$39)</f>
        <v/>
      </c>
      <c r="R37" s="72">
        <f>IF('Final Calculation Sheet'!$Q$39="","",'Final Calculation Sheet'!$Q$39)</f>
        <v/>
      </c>
      <c r="S37" s="70">
        <f>IF('Final Calculation Sheet'!$R$39="","",'Final Calculation Sheet'!$R$39)</f>
        <v/>
      </c>
      <c r="T37" s="70">
        <f>IF('Final Calculation Sheet'!$S$39="","",'Final Calculation Sheet'!$S$39)</f>
        <v/>
      </c>
      <c r="U37" s="70">
        <f>IF('Final Calculation Sheet'!$T$39="","",'Final Calculation Sheet'!$T$39)</f>
        <v/>
      </c>
      <c r="V37" s="73">
        <f>IF('Final Calculation Sheet'!$U$39="","",'Final Calculation Sheet'!$U$39)</f>
        <v/>
      </c>
      <c r="W37" s="70">
        <f>IF('Final Calculation Sheet'!$V$39="","",'Final Calculation Sheet'!$V$39)</f>
        <v/>
      </c>
      <c r="X37" s="70">
        <f>IF('Final Calculation Sheet'!$W$39="","",'Final Calculation Sheet'!$W$39)</f>
        <v/>
      </c>
      <c r="Y37" s="70">
        <f>IF('Final Calculation Sheet'!$X$39="","",'Final Calculation Sheet'!$X$39)</f>
        <v/>
      </c>
      <c r="Z37" s="70">
        <f>IF('Final Calculation Sheet'!$Y$39="","",'Final Calculation Sheet'!$Y$39)</f>
        <v/>
      </c>
      <c r="AA37" s="70">
        <f>IF('Final Calculation Sheet'!$Z$39="","",'Final Calculation Sheet'!$Z$39)</f>
        <v/>
      </c>
      <c r="AB37" s="70">
        <f>IF('Final Calculation Sheet'!$AA$39="","",'Final Calculation Sheet'!$AA$39)</f>
        <v/>
      </c>
      <c r="AC37" s="70">
        <f>IF('Final Calculation Sheet'!$AB$39="","",'Final Calculation Sheet'!$AB$39)</f>
        <v/>
      </c>
      <c r="AD37" s="70">
        <f>IF('Final Calculation Sheet'!$AC$39="","",'Final Calculation Sheet'!$AC$39)</f>
        <v/>
      </c>
      <c r="AE37" s="70">
        <f>IF('Final Calculation Sheet'!$AD$39="","",'Final Calculation Sheet'!$AD$39)</f>
        <v/>
      </c>
      <c r="AF37" s="75">
        <f>IF('Final Calculation Sheet'!$AD$39="","",IF('Final Calculation Sheet'!$AD$39&lt;=5,"SETTLED","OUTSTANDING"))</f>
        <v/>
      </c>
      <c r="AG37" s="70">
        <f>IF('Final Calculation Sheet'!$AF$39="","",'Final Calculation Sheet'!$AF$39)</f>
        <v/>
      </c>
      <c r="AH37" s="74">
        <f>IF('Final Calculation Sheet'!$AG$39="","",'Final Calculation Sheet'!$AG$39)</f>
        <v/>
      </c>
      <c r="AI37" s="70">
        <f>IF('Final Calculation Sheet'!$AH$39="","",'Final Calculation Sheet'!$AH$39)</f>
        <v/>
      </c>
      <c r="AJ37">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37">
        <f>IF(AJ37=1,COUNTIF(AJ$7:AJ37,1),"")</f>
        <v/>
      </c>
    </row>
    <row r="38" outlineLevel="1" ht="15" customHeight="1" s="137">
      <c r="A38" s="90" t="n">
        <v>2</v>
      </c>
      <c r="B38" s="92">
        <f>IF('Final Calculation Sheet'!$F$40="","",'Final Calculation Sheet'!$F$40)</f>
        <v/>
      </c>
      <c r="C38" s="92">
        <f>IF('Final Calculation Sheet'!$G$40="","",'Final Calculation Sheet'!$G$40)</f>
        <v/>
      </c>
      <c r="D38" s="94">
        <f>IF('Final Calculation Sheet'!$B$40="","",'Final Calculation Sheet'!$B$40)</f>
        <v/>
      </c>
      <c r="E38" s="94">
        <f>IF('Final Calculation Sheet'!$D$40="","",'Final Calculation Sheet'!$D$40)</f>
        <v/>
      </c>
      <c r="F38" s="94">
        <f>IF('Final Calculation Sheet'!$A$40="","",'Final Calculation Sheet'!$A$40)</f>
        <v/>
      </c>
      <c r="G38" s="94">
        <f>IF('Final Calculation Sheet'!$E$40="","",'Final Calculation Sheet'!$E$40)</f>
        <v/>
      </c>
      <c r="H38" s="95">
        <f>IF('Final Calculation Sheet'!$C$40="","",'Final Calculation Sheet'!$C$40)</f>
        <v/>
      </c>
      <c r="I38" s="95">
        <f>IF('Final Calculation Sheet'!$H$40="","",'Final Calculation Sheet'!$H$40)</f>
        <v/>
      </c>
      <c r="J38" s="95">
        <f>IF('Final Calculation Sheet'!$I$40="","",'Final Calculation Sheet'!$I$40)</f>
        <v/>
      </c>
      <c r="K38" s="95">
        <f>IF('Final Calculation Sheet'!$J$40="","",'Final Calculation Sheet'!$J$40)</f>
        <v/>
      </c>
      <c r="L38" s="95">
        <f>IF('Final Calculation Sheet'!$K$40="","",'Final Calculation Sheet'!$K$40)</f>
        <v/>
      </c>
      <c r="M38" s="95">
        <f>IF('Final Calculation Sheet'!$L$40="","",'Final Calculation Sheet'!$L$40)</f>
        <v/>
      </c>
      <c r="N38" s="95">
        <f>IF('Final Calculation Sheet'!$M$40="","",'Final Calculation Sheet'!$M$40)</f>
        <v/>
      </c>
      <c r="O38" s="96">
        <f>IF('Final Calculation Sheet'!$N$40="","",'Final Calculation Sheet'!$N$40)</f>
        <v/>
      </c>
      <c r="P38" s="95">
        <f>IF('Final Calculation Sheet'!$O$40="","",'Final Calculation Sheet'!$O$40)</f>
        <v/>
      </c>
      <c r="Q38" s="95">
        <f>IF('Final Calculation Sheet'!$P$40="","",'Final Calculation Sheet'!$P$40)</f>
        <v/>
      </c>
      <c r="R38" s="97">
        <f>IF('Final Calculation Sheet'!$Q$40="","",'Final Calculation Sheet'!$Q$40)</f>
        <v/>
      </c>
      <c r="S38" s="95">
        <f>IF('Final Calculation Sheet'!$R$40="","",'Final Calculation Sheet'!$R$40)</f>
        <v/>
      </c>
      <c r="T38" s="95">
        <f>IF('Final Calculation Sheet'!$S$40="","",'Final Calculation Sheet'!$S$40)</f>
        <v/>
      </c>
      <c r="U38" s="95">
        <f>IF('Final Calculation Sheet'!$T$40="","",'Final Calculation Sheet'!$T$40)</f>
        <v/>
      </c>
      <c r="V38" s="98">
        <f>IF('Final Calculation Sheet'!$U$40="","",'Final Calculation Sheet'!$U$40)</f>
        <v/>
      </c>
      <c r="W38" s="95">
        <f>IF('Final Calculation Sheet'!$V$40="","",'Final Calculation Sheet'!$V$40)</f>
        <v/>
      </c>
      <c r="X38" s="95">
        <f>IF('Final Calculation Sheet'!$W$40="","",'Final Calculation Sheet'!$W$40)</f>
        <v/>
      </c>
      <c r="Y38" s="95">
        <f>IF('Final Calculation Sheet'!$X$40="","",'Final Calculation Sheet'!$X$40)</f>
        <v/>
      </c>
      <c r="Z38" s="95">
        <f>IF('Final Calculation Sheet'!$Y$40="","",'Final Calculation Sheet'!$Y$40)</f>
        <v/>
      </c>
      <c r="AA38" s="95">
        <f>IF('Final Calculation Sheet'!$Z$40="","",'Final Calculation Sheet'!$Z$40)</f>
        <v/>
      </c>
      <c r="AB38" s="95">
        <f>IF('Final Calculation Sheet'!$AA$40="","",'Final Calculation Sheet'!$AA$40)</f>
        <v/>
      </c>
      <c r="AC38" s="95">
        <f>IF('Final Calculation Sheet'!$AB$40="","",'Final Calculation Sheet'!$AB$40)</f>
        <v/>
      </c>
      <c r="AD38" s="95">
        <f>IF('Final Calculation Sheet'!$AC$40="","",'Final Calculation Sheet'!$AC$40)</f>
        <v/>
      </c>
      <c r="AE38" s="95">
        <f>IF('Final Calculation Sheet'!$AD$40="","",'Final Calculation Sheet'!$AD$40)</f>
        <v/>
      </c>
      <c r="AF38" s="100">
        <f>IF('Final Calculation Sheet'!$AD$40="","",IF('Final Calculation Sheet'!$AD$40&lt;=5,"SETTLED","OUTSTANDING"))</f>
        <v/>
      </c>
      <c r="AG38" s="95">
        <f>IF('Final Calculation Sheet'!$AF$40="","",'Final Calculation Sheet'!$AF$40)</f>
        <v/>
      </c>
      <c r="AH38" s="99">
        <f>IF('Final Calculation Sheet'!$AG$40="","",'Final Calculation Sheet'!$AG$40)</f>
        <v/>
      </c>
      <c r="AI38" s="95">
        <f>IF('Final Calculation Sheet'!$AH$40="","",'Final Calculation Sheet'!$AH$40)</f>
        <v/>
      </c>
      <c r="AJ38">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38">
        <f>IF(AJ38=1,COUNTIF(AJ$7:AJ38,1),"")</f>
        <v/>
      </c>
    </row>
    <row r="39" ht="15" customHeight="1" s="137">
      <c r="A39" s="81" t="inlineStr">
        <is>
          <t>∑</t>
        </is>
      </c>
      <c r="B39" s="83" t="n"/>
      <c r="C39" s="83">
        <f>ROWS($C$37:$C$38)&amp;" lot(s)"</f>
        <v/>
      </c>
      <c r="D39" s="83" t="inlineStr">
        <is>
          <t>SUBTOTAL — S M ENTERPRISES</t>
        </is>
      </c>
      <c r="E39" s="83" t="inlineStr">
        <is>
          <t>–</t>
        </is>
      </c>
      <c r="F39" s="83">
        <f>SUM(F37:F38)</f>
        <v/>
      </c>
      <c r="G39" s="83" t="inlineStr">
        <is>
          <t>–</t>
        </is>
      </c>
      <c r="H39" s="84" t="inlineStr">
        <is>
          <t>–</t>
        </is>
      </c>
      <c r="I39" s="84">
        <f>SUM(I37:I38)</f>
        <v/>
      </c>
      <c r="J39" s="84">
        <f>SUM(J37:J38)</f>
        <v/>
      </c>
      <c r="K39" s="84">
        <f>SUM(K37:K38)</f>
        <v/>
      </c>
      <c r="L39" s="84">
        <f>SUM(L37:L38)</f>
        <v/>
      </c>
      <c r="M39" s="84">
        <f>SUM(M37:M38)</f>
        <v/>
      </c>
      <c r="N39" s="84">
        <f>SUM(N37:N38)</f>
        <v/>
      </c>
      <c r="O39" s="85">
        <f>SUM(O37:O38)</f>
        <v/>
      </c>
      <c r="P39" s="84">
        <f>SUM(P37:P38)</f>
        <v/>
      </c>
      <c r="Q39" s="84">
        <f>SUM(Q37:Q38)</f>
        <v/>
      </c>
      <c r="R39" s="86" t="inlineStr">
        <is>
          <t>–</t>
        </is>
      </c>
      <c r="S39" s="84">
        <f>SUM(S37:S38)</f>
        <v/>
      </c>
      <c r="T39" s="84">
        <f>SUM(T37:T38)</f>
        <v/>
      </c>
      <c r="U39" s="84">
        <f>SUM(U37:U38)</f>
        <v/>
      </c>
      <c r="V39" s="87">
        <f>SUM(V37:V38)</f>
        <v/>
      </c>
      <c r="W39" s="84" t="inlineStr">
        <is>
          <t>–</t>
        </is>
      </c>
      <c r="X39" s="84">
        <f>SUM(X37:X38)</f>
        <v/>
      </c>
      <c r="Y39" s="84">
        <f>SUM(Y37:Y38)</f>
        <v/>
      </c>
      <c r="Z39" s="84" t="inlineStr">
        <is>
          <t>–</t>
        </is>
      </c>
      <c r="AA39" s="84">
        <f>SUM(AA37:AA38)</f>
        <v/>
      </c>
      <c r="AB39" s="84">
        <f>SUM(AB37:AB38)</f>
        <v/>
      </c>
      <c r="AC39" s="84" t="inlineStr">
        <is>
          <t>–</t>
        </is>
      </c>
      <c r="AD39" s="84">
        <f>SUM(AD37:AD38)</f>
        <v/>
      </c>
      <c r="AE39" s="84">
        <f>SUM(AE37:AE38)</f>
        <v/>
      </c>
      <c r="AF39" s="89">
        <f>IF(AE39&lt;=5,"SETTLED","OUTSTANDING")</f>
        <v/>
      </c>
      <c r="AG39" s="84" t="inlineStr">
        <is>
          <t>–</t>
        </is>
      </c>
      <c r="AH39" s="88" t="inlineStr">
        <is>
          <t>–</t>
        </is>
      </c>
      <c r="AI39" s="84" t="inlineStr">
        <is>
          <t>–</t>
        </is>
      </c>
    </row>
    <row r="40" outlineLevel="1" ht="15" customHeight="1" s="137">
      <c r="A40" s="67" t="n">
        <v>1</v>
      </c>
      <c r="B40" s="76">
        <f>IF('Final Calculation Sheet'!$F$31="","",'Final Calculation Sheet'!$F$31)</f>
        <v/>
      </c>
      <c r="C40" s="76">
        <f>IF('Final Calculation Sheet'!$G$31="","",'Final Calculation Sheet'!$G$31)</f>
        <v/>
      </c>
      <c r="D40" s="80">
        <f>IF('Final Calculation Sheet'!$B$31="","",'Final Calculation Sheet'!$B$31)</f>
        <v/>
      </c>
      <c r="E40" s="80">
        <f>IF('Final Calculation Sheet'!$D$31="","",'Final Calculation Sheet'!$D$31)</f>
        <v/>
      </c>
      <c r="F40" s="80">
        <f>IF('Final Calculation Sheet'!$A$31="","",'Final Calculation Sheet'!$A$31)</f>
        <v/>
      </c>
      <c r="G40" s="80">
        <f>IF('Final Calculation Sheet'!$E$31="","",'Final Calculation Sheet'!$E$31)</f>
        <v/>
      </c>
      <c r="H40" s="70">
        <f>IF('Final Calculation Sheet'!$C$31="","",'Final Calculation Sheet'!$C$31)</f>
        <v/>
      </c>
      <c r="I40" s="70">
        <f>IF('Final Calculation Sheet'!$H$31="","",'Final Calculation Sheet'!$H$31)</f>
        <v/>
      </c>
      <c r="J40" s="70">
        <f>IF('Final Calculation Sheet'!$I$31="","",'Final Calculation Sheet'!$I$31)</f>
        <v/>
      </c>
      <c r="K40" s="70">
        <f>IF('Final Calculation Sheet'!$J$31="","",'Final Calculation Sheet'!$J$31)</f>
        <v/>
      </c>
      <c r="L40" s="70">
        <f>IF('Final Calculation Sheet'!$K$31="","",'Final Calculation Sheet'!$K$31)</f>
        <v/>
      </c>
      <c r="M40" s="70">
        <f>IF('Final Calculation Sheet'!$L$31="","",'Final Calculation Sheet'!$L$31)</f>
        <v/>
      </c>
      <c r="N40" s="70">
        <f>IF('Final Calculation Sheet'!$M$31="","",'Final Calculation Sheet'!$M$31)</f>
        <v/>
      </c>
      <c r="O40" s="71">
        <f>IF('Final Calculation Sheet'!$N$31="","",'Final Calculation Sheet'!$N$31)</f>
        <v/>
      </c>
      <c r="P40" s="70">
        <f>IF('Final Calculation Sheet'!$O$31="","",'Final Calculation Sheet'!$O$31)</f>
        <v/>
      </c>
      <c r="Q40" s="70">
        <f>IF('Final Calculation Sheet'!$P$31="","",'Final Calculation Sheet'!$P$31)</f>
        <v/>
      </c>
      <c r="R40" s="72">
        <f>IF('Final Calculation Sheet'!$Q$31="","",'Final Calculation Sheet'!$Q$31)</f>
        <v/>
      </c>
      <c r="S40" s="70">
        <f>IF('Final Calculation Sheet'!$R$31="","",'Final Calculation Sheet'!$R$31)</f>
        <v/>
      </c>
      <c r="T40" s="70">
        <f>IF('Final Calculation Sheet'!$S$31="","",'Final Calculation Sheet'!$S$31)</f>
        <v/>
      </c>
      <c r="U40" s="70">
        <f>IF('Final Calculation Sheet'!$T$31="","",'Final Calculation Sheet'!$T$31)</f>
        <v/>
      </c>
      <c r="V40" s="73">
        <f>IF('Final Calculation Sheet'!$U$31="","",'Final Calculation Sheet'!$U$31)</f>
        <v/>
      </c>
      <c r="W40" s="70">
        <f>IF('Final Calculation Sheet'!$V$31="","",'Final Calculation Sheet'!$V$31)</f>
        <v/>
      </c>
      <c r="X40" s="70">
        <f>IF('Final Calculation Sheet'!$W$31="","",'Final Calculation Sheet'!$W$31)</f>
        <v/>
      </c>
      <c r="Y40" s="70">
        <f>IF('Final Calculation Sheet'!$X$31="","",'Final Calculation Sheet'!$X$31)</f>
        <v/>
      </c>
      <c r="Z40" s="70">
        <f>IF('Final Calculation Sheet'!$Y$31="","",'Final Calculation Sheet'!$Y$31)</f>
        <v/>
      </c>
      <c r="AA40" s="70">
        <f>IF('Final Calculation Sheet'!$Z$31="","",'Final Calculation Sheet'!$Z$31)</f>
        <v/>
      </c>
      <c r="AB40" s="70">
        <f>IF('Final Calculation Sheet'!$AA$31="","",'Final Calculation Sheet'!$AA$31)</f>
        <v/>
      </c>
      <c r="AC40" s="70">
        <f>IF('Final Calculation Sheet'!$AB$31="","",'Final Calculation Sheet'!$AB$31)</f>
        <v/>
      </c>
      <c r="AD40" s="70">
        <f>IF('Final Calculation Sheet'!$AC$31="","",'Final Calculation Sheet'!$AC$31)</f>
        <v/>
      </c>
      <c r="AE40" s="70">
        <f>IF('Final Calculation Sheet'!$AD$31="","",'Final Calculation Sheet'!$AD$31)</f>
        <v/>
      </c>
      <c r="AF40" s="75">
        <f>IF('Final Calculation Sheet'!$AD$31="","",IF('Final Calculation Sheet'!$AD$31&lt;=5,"SETTLED","OUTSTANDING"))</f>
        <v/>
      </c>
      <c r="AG40" s="70">
        <f>IF('Final Calculation Sheet'!$AF$31="","",'Final Calculation Sheet'!$AF$31)</f>
        <v/>
      </c>
      <c r="AH40" s="74">
        <f>IF('Final Calculation Sheet'!$AG$31="","",'Final Calculation Sheet'!$AG$31)</f>
        <v/>
      </c>
      <c r="AI40" s="70">
        <f>IF('Final Calculation Sheet'!$AH$31="","",'Final Calculation Sheet'!$AH$31)</f>
        <v/>
      </c>
      <c r="AJ40">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40">
        <f>IF(AJ40=1,COUNTIF(AJ$7:AJ40,1),"")</f>
        <v/>
      </c>
    </row>
    <row r="41" ht="15" customHeight="1" s="137">
      <c r="A41" s="81" t="inlineStr">
        <is>
          <t>∑</t>
        </is>
      </c>
      <c r="B41" s="83" t="n"/>
      <c r="C41" s="83">
        <f>ROWS($C$40:$C$40)&amp;" lot(s)"</f>
        <v/>
      </c>
      <c r="D41" s="83" t="inlineStr">
        <is>
          <t>SUBTOTAL — SAHARA ENTERPRISES</t>
        </is>
      </c>
      <c r="E41" s="83" t="inlineStr">
        <is>
          <t>–</t>
        </is>
      </c>
      <c r="F41" s="83">
        <f>SUM(F40:F40)</f>
        <v/>
      </c>
      <c r="G41" s="83" t="inlineStr">
        <is>
          <t>–</t>
        </is>
      </c>
      <c r="H41" s="84" t="inlineStr">
        <is>
          <t>–</t>
        </is>
      </c>
      <c r="I41" s="84">
        <f>SUM(I40:I40)</f>
        <v/>
      </c>
      <c r="J41" s="84">
        <f>SUM(J40:J40)</f>
        <v/>
      </c>
      <c r="K41" s="84">
        <f>SUM(K40:K40)</f>
        <v/>
      </c>
      <c r="L41" s="84">
        <f>SUM(L40:L40)</f>
        <v/>
      </c>
      <c r="M41" s="84">
        <f>SUM(M40:M40)</f>
        <v/>
      </c>
      <c r="N41" s="84">
        <f>SUM(N40:N40)</f>
        <v/>
      </c>
      <c r="O41" s="85">
        <f>SUM(O40:O40)</f>
        <v/>
      </c>
      <c r="P41" s="84">
        <f>SUM(P40:P40)</f>
        <v/>
      </c>
      <c r="Q41" s="84">
        <f>SUM(Q40:Q40)</f>
        <v/>
      </c>
      <c r="R41" s="86" t="inlineStr">
        <is>
          <t>–</t>
        </is>
      </c>
      <c r="S41" s="84">
        <f>SUM(S40:S40)</f>
        <v/>
      </c>
      <c r="T41" s="84">
        <f>SUM(T40:T40)</f>
        <v/>
      </c>
      <c r="U41" s="84">
        <f>SUM(U40:U40)</f>
        <v/>
      </c>
      <c r="V41" s="87">
        <f>SUM(V40:V40)</f>
        <v/>
      </c>
      <c r="W41" s="84" t="inlineStr">
        <is>
          <t>–</t>
        </is>
      </c>
      <c r="X41" s="84">
        <f>SUM(X40:X40)</f>
        <v/>
      </c>
      <c r="Y41" s="84">
        <f>SUM(Y40:Y40)</f>
        <v/>
      </c>
      <c r="Z41" s="84" t="inlineStr">
        <is>
          <t>–</t>
        </is>
      </c>
      <c r="AA41" s="84">
        <f>SUM(AA40:AA40)</f>
        <v/>
      </c>
      <c r="AB41" s="84">
        <f>SUM(AB40:AB40)</f>
        <v/>
      </c>
      <c r="AC41" s="84" t="inlineStr">
        <is>
          <t>–</t>
        </is>
      </c>
      <c r="AD41" s="84">
        <f>SUM(AD40:AD40)</f>
        <v/>
      </c>
      <c r="AE41" s="84">
        <f>SUM(AE40:AE40)</f>
        <v/>
      </c>
      <c r="AF41" s="89">
        <f>IF(AE41&lt;=5,"SETTLED","OUTSTANDING")</f>
        <v/>
      </c>
      <c r="AG41" s="84" t="inlineStr">
        <is>
          <t>–</t>
        </is>
      </c>
      <c r="AH41" s="88" t="inlineStr">
        <is>
          <t>–</t>
        </is>
      </c>
      <c r="AI41" s="84" t="inlineStr">
        <is>
          <t>–</t>
        </is>
      </c>
    </row>
    <row r="42" outlineLevel="1" ht="15" customHeight="1" s="137">
      <c r="A42" s="67" t="n">
        <v>1</v>
      </c>
      <c r="B42" s="76">
        <f>IF('Final Calculation Sheet'!$F$9="","",'Final Calculation Sheet'!$F$9)</f>
        <v/>
      </c>
      <c r="C42" s="76">
        <f>IF('Final Calculation Sheet'!$G$9="","",'Final Calculation Sheet'!$G$9)</f>
        <v/>
      </c>
      <c r="D42" s="80">
        <f>IF('Final Calculation Sheet'!$B$9="","",'Final Calculation Sheet'!$B$9)</f>
        <v/>
      </c>
      <c r="E42" s="80">
        <f>IF('Final Calculation Sheet'!$D$9="","",'Final Calculation Sheet'!$D$9)</f>
        <v/>
      </c>
      <c r="F42" s="80">
        <f>IF('Final Calculation Sheet'!$A$9="","",'Final Calculation Sheet'!$A$9)</f>
        <v/>
      </c>
      <c r="G42" s="80">
        <f>IF('Final Calculation Sheet'!$E$9="","",'Final Calculation Sheet'!$E$9)</f>
        <v/>
      </c>
      <c r="H42" s="70">
        <f>IF('Final Calculation Sheet'!$C$9="","",'Final Calculation Sheet'!$C$9)</f>
        <v/>
      </c>
      <c r="I42" s="70">
        <f>IF('Final Calculation Sheet'!$H$9="","",'Final Calculation Sheet'!$H$9)</f>
        <v/>
      </c>
      <c r="J42" s="70">
        <f>IF('Final Calculation Sheet'!$I$9="","",'Final Calculation Sheet'!$I$9)</f>
        <v/>
      </c>
      <c r="K42" s="70">
        <f>IF('Final Calculation Sheet'!$J$9="","",'Final Calculation Sheet'!$J$9)</f>
        <v/>
      </c>
      <c r="L42" s="70">
        <f>IF('Final Calculation Sheet'!$K$9="","",'Final Calculation Sheet'!$K$9)</f>
        <v/>
      </c>
      <c r="M42" s="70">
        <f>IF('Final Calculation Sheet'!$L$9="","",'Final Calculation Sheet'!$L$9)</f>
        <v/>
      </c>
      <c r="N42" s="70">
        <f>IF('Final Calculation Sheet'!$M$9="","",'Final Calculation Sheet'!$M$9)</f>
        <v/>
      </c>
      <c r="O42" s="71">
        <f>IF('Final Calculation Sheet'!$N$9="","",'Final Calculation Sheet'!$N$9)</f>
        <v/>
      </c>
      <c r="P42" s="70">
        <f>IF('Final Calculation Sheet'!$O$9="","",'Final Calculation Sheet'!$O$9)</f>
        <v/>
      </c>
      <c r="Q42" s="70">
        <f>IF('Final Calculation Sheet'!$P$9="","",'Final Calculation Sheet'!$P$9)</f>
        <v/>
      </c>
      <c r="R42" s="72">
        <f>IF('Final Calculation Sheet'!$Q$9="","",'Final Calculation Sheet'!$Q$9)</f>
        <v/>
      </c>
      <c r="S42" s="70">
        <f>IF('Final Calculation Sheet'!$R$9="","",'Final Calculation Sheet'!$R$9)</f>
        <v/>
      </c>
      <c r="T42" s="70">
        <f>IF('Final Calculation Sheet'!$S$9="","",'Final Calculation Sheet'!$S$9)</f>
        <v/>
      </c>
      <c r="U42" s="70">
        <f>IF('Final Calculation Sheet'!$T$9="","",'Final Calculation Sheet'!$T$9)</f>
        <v/>
      </c>
      <c r="V42" s="73">
        <f>IF('Final Calculation Sheet'!$U$9="","",'Final Calculation Sheet'!$U$9)</f>
        <v/>
      </c>
      <c r="W42" s="70">
        <f>IF('Final Calculation Sheet'!$V$9="","",'Final Calculation Sheet'!$V$9)</f>
        <v/>
      </c>
      <c r="X42" s="70">
        <f>IF('Final Calculation Sheet'!$W$9="","",'Final Calculation Sheet'!$W$9)</f>
        <v/>
      </c>
      <c r="Y42" s="70">
        <f>IF('Final Calculation Sheet'!$X$9="","",'Final Calculation Sheet'!$X$9)</f>
        <v/>
      </c>
      <c r="Z42" s="70">
        <f>IF('Final Calculation Sheet'!$Y$9="","",'Final Calculation Sheet'!$Y$9)</f>
        <v/>
      </c>
      <c r="AA42" s="70">
        <f>IF('Final Calculation Sheet'!$Z$9="","",'Final Calculation Sheet'!$Z$9)</f>
        <v/>
      </c>
      <c r="AB42" s="70">
        <f>IF('Final Calculation Sheet'!$AA$9="","",'Final Calculation Sheet'!$AA$9)</f>
        <v/>
      </c>
      <c r="AC42" s="70">
        <f>IF('Final Calculation Sheet'!$AB$9="","",'Final Calculation Sheet'!$AB$9)</f>
        <v/>
      </c>
      <c r="AD42" s="70">
        <f>IF('Final Calculation Sheet'!$AC$9="","",'Final Calculation Sheet'!$AC$9)</f>
        <v/>
      </c>
      <c r="AE42" s="70">
        <f>IF('Final Calculation Sheet'!$AD$9="","",'Final Calculation Sheet'!$AD$9)</f>
        <v/>
      </c>
      <c r="AF42" s="75">
        <f>IF('Final Calculation Sheet'!$AD$9="","",IF('Final Calculation Sheet'!$AD$9&lt;=5,"SETTLED","OUTSTANDING"))</f>
        <v/>
      </c>
      <c r="AG42" s="70">
        <f>IF('Final Calculation Sheet'!$AF$9="","",'Final Calculation Sheet'!$AF$9)</f>
        <v/>
      </c>
      <c r="AH42" s="74">
        <f>IF('Final Calculation Sheet'!$AG$9="","",'Final Calculation Sheet'!$AG$9)</f>
        <v/>
      </c>
      <c r="AI42" s="70">
        <f>IF('Final Calculation Sheet'!$AH$9="","",'Final Calculation Sheet'!$AH$9)</f>
        <v/>
      </c>
      <c r="AJ42">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42">
        <f>IF(AJ42=1,COUNTIF(AJ$7:AJ42,1),"")</f>
        <v/>
      </c>
    </row>
    <row r="43" outlineLevel="1" ht="15" customHeight="1" s="137">
      <c r="A43" s="90" t="n">
        <v>2</v>
      </c>
      <c r="B43" s="92">
        <f>IF('Final Calculation Sheet'!$F$14="","",'Final Calculation Sheet'!$F$14)</f>
        <v/>
      </c>
      <c r="C43" s="92">
        <f>IF('Final Calculation Sheet'!$G$14="","",'Final Calculation Sheet'!$G$14)</f>
        <v/>
      </c>
      <c r="D43" s="94">
        <f>IF('Final Calculation Sheet'!$B$14="","",'Final Calculation Sheet'!$B$14)</f>
        <v/>
      </c>
      <c r="E43" s="94">
        <f>IF('Final Calculation Sheet'!$D$14="","",'Final Calculation Sheet'!$D$14)</f>
        <v/>
      </c>
      <c r="F43" s="94">
        <f>IF('Final Calculation Sheet'!$A$14="","",'Final Calculation Sheet'!$A$14)</f>
        <v/>
      </c>
      <c r="G43" s="94">
        <f>IF('Final Calculation Sheet'!$E$14="","",'Final Calculation Sheet'!$E$14)</f>
        <v/>
      </c>
      <c r="H43" s="95">
        <f>IF('Final Calculation Sheet'!$C$14="","",'Final Calculation Sheet'!$C$14)</f>
        <v/>
      </c>
      <c r="I43" s="95">
        <f>IF('Final Calculation Sheet'!$H$14="","",'Final Calculation Sheet'!$H$14)</f>
        <v/>
      </c>
      <c r="J43" s="95">
        <f>IF('Final Calculation Sheet'!$I$14="","",'Final Calculation Sheet'!$I$14)</f>
        <v/>
      </c>
      <c r="K43" s="95">
        <f>IF('Final Calculation Sheet'!$J$14="","",'Final Calculation Sheet'!$J$14)</f>
        <v/>
      </c>
      <c r="L43" s="95">
        <f>IF('Final Calculation Sheet'!$K$14="","",'Final Calculation Sheet'!$K$14)</f>
        <v/>
      </c>
      <c r="M43" s="95">
        <f>IF('Final Calculation Sheet'!$L$14="","",'Final Calculation Sheet'!$L$14)</f>
        <v/>
      </c>
      <c r="N43" s="95">
        <f>IF('Final Calculation Sheet'!$M$14="","",'Final Calculation Sheet'!$M$14)</f>
        <v/>
      </c>
      <c r="O43" s="96">
        <f>IF('Final Calculation Sheet'!$N$14="","",'Final Calculation Sheet'!$N$14)</f>
        <v/>
      </c>
      <c r="P43" s="95">
        <f>IF('Final Calculation Sheet'!$O$14="","",'Final Calculation Sheet'!$O$14)</f>
        <v/>
      </c>
      <c r="Q43" s="95">
        <f>IF('Final Calculation Sheet'!$P$14="","",'Final Calculation Sheet'!$P$14)</f>
        <v/>
      </c>
      <c r="R43" s="97">
        <f>IF('Final Calculation Sheet'!$Q$14="","",'Final Calculation Sheet'!$Q$14)</f>
        <v/>
      </c>
      <c r="S43" s="95">
        <f>IF('Final Calculation Sheet'!$R$14="","",'Final Calculation Sheet'!$R$14)</f>
        <v/>
      </c>
      <c r="T43" s="95">
        <f>IF('Final Calculation Sheet'!$S$14="","",'Final Calculation Sheet'!$S$14)</f>
        <v/>
      </c>
      <c r="U43" s="95">
        <f>IF('Final Calculation Sheet'!$T$14="","",'Final Calculation Sheet'!$T$14)</f>
        <v/>
      </c>
      <c r="V43" s="98">
        <f>IF('Final Calculation Sheet'!$U$14="","",'Final Calculation Sheet'!$U$14)</f>
        <v/>
      </c>
      <c r="W43" s="95">
        <f>IF('Final Calculation Sheet'!$V$14="","",'Final Calculation Sheet'!$V$14)</f>
        <v/>
      </c>
      <c r="X43" s="95">
        <f>IF('Final Calculation Sheet'!$W$14="","",'Final Calculation Sheet'!$W$14)</f>
        <v/>
      </c>
      <c r="Y43" s="95">
        <f>IF('Final Calculation Sheet'!$X$14="","",'Final Calculation Sheet'!$X$14)</f>
        <v/>
      </c>
      <c r="Z43" s="95">
        <f>IF('Final Calculation Sheet'!$Y$14="","",'Final Calculation Sheet'!$Y$14)</f>
        <v/>
      </c>
      <c r="AA43" s="95">
        <f>IF('Final Calculation Sheet'!$Z$14="","",'Final Calculation Sheet'!$Z$14)</f>
        <v/>
      </c>
      <c r="AB43" s="95">
        <f>IF('Final Calculation Sheet'!$AA$14="","",'Final Calculation Sheet'!$AA$14)</f>
        <v/>
      </c>
      <c r="AC43" s="95">
        <f>IF('Final Calculation Sheet'!$AB$14="","",'Final Calculation Sheet'!$AB$14)</f>
        <v/>
      </c>
      <c r="AD43" s="95">
        <f>IF('Final Calculation Sheet'!$AC$14="","",'Final Calculation Sheet'!$AC$14)</f>
        <v/>
      </c>
      <c r="AE43" s="95">
        <f>IF('Final Calculation Sheet'!$AD$14="","",'Final Calculation Sheet'!$AD$14)</f>
        <v/>
      </c>
      <c r="AF43" s="100">
        <f>IF('Final Calculation Sheet'!$AD$14="","",IF('Final Calculation Sheet'!$AD$14&lt;=5,"SETTLED","OUTSTANDING"))</f>
        <v/>
      </c>
      <c r="AG43" s="95">
        <f>IF('Final Calculation Sheet'!$AF$14="","",'Final Calculation Sheet'!$AF$14)</f>
        <v/>
      </c>
      <c r="AH43" s="99">
        <f>IF('Final Calculation Sheet'!$AG$14="","",'Final Calculation Sheet'!$AG$14)</f>
        <v/>
      </c>
      <c r="AI43" s="95">
        <f>IF('Final Calculation Sheet'!$AH$14="","",'Final Calculation Sheet'!$AH$14)</f>
        <v/>
      </c>
      <c r="AJ43">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43">
        <f>IF(AJ43=1,COUNTIF(AJ$7:AJ43,1),"")</f>
        <v/>
      </c>
    </row>
    <row r="44" ht="15" customHeight="1" s="137">
      <c r="A44" s="81" t="inlineStr">
        <is>
          <t>∑</t>
        </is>
      </c>
      <c r="B44" s="83" t="n"/>
      <c r="C44" s="83">
        <f>ROWS($C$42:$C$43)&amp;" lot(s)"</f>
        <v/>
      </c>
      <c r="D44" s="83" t="inlineStr">
        <is>
          <t>SUBTOTAL — SHAR JAHAN TRADERS</t>
        </is>
      </c>
      <c r="E44" s="83" t="inlineStr">
        <is>
          <t>–</t>
        </is>
      </c>
      <c r="F44" s="83">
        <f>SUM(F42:F43)</f>
        <v/>
      </c>
      <c r="G44" s="83" t="inlineStr">
        <is>
          <t>–</t>
        </is>
      </c>
      <c r="H44" s="84" t="inlineStr">
        <is>
          <t>–</t>
        </is>
      </c>
      <c r="I44" s="84">
        <f>SUM(I42:I43)</f>
        <v/>
      </c>
      <c r="J44" s="84">
        <f>SUM(J42:J43)</f>
        <v/>
      </c>
      <c r="K44" s="84">
        <f>SUM(K42:K43)</f>
        <v/>
      </c>
      <c r="L44" s="84">
        <f>SUM(L42:L43)</f>
        <v/>
      </c>
      <c r="M44" s="84">
        <f>SUM(M42:M43)</f>
        <v/>
      </c>
      <c r="N44" s="84">
        <f>SUM(N42:N43)</f>
        <v/>
      </c>
      <c r="O44" s="85">
        <f>SUM(O42:O43)</f>
        <v/>
      </c>
      <c r="P44" s="84">
        <f>SUM(P42:P43)</f>
        <v/>
      </c>
      <c r="Q44" s="84">
        <f>SUM(Q42:Q43)</f>
        <v/>
      </c>
      <c r="R44" s="86" t="inlineStr">
        <is>
          <t>–</t>
        </is>
      </c>
      <c r="S44" s="84">
        <f>SUM(S42:S43)</f>
        <v/>
      </c>
      <c r="T44" s="84">
        <f>SUM(T42:T43)</f>
        <v/>
      </c>
      <c r="U44" s="84">
        <f>SUM(U42:U43)</f>
        <v/>
      </c>
      <c r="V44" s="87">
        <f>SUM(V42:V43)</f>
        <v/>
      </c>
      <c r="W44" s="84" t="inlineStr">
        <is>
          <t>–</t>
        </is>
      </c>
      <c r="X44" s="84">
        <f>SUM(X42:X43)</f>
        <v/>
      </c>
      <c r="Y44" s="84">
        <f>SUM(Y42:Y43)</f>
        <v/>
      </c>
      <c r="Z44" s="84" t="inlineStr">
        <is>
          <t>–</t>
        </is>
      </c>
      <c r="AA44" s="84">
        <f>SUM(AA42:AA43)</f>
        <v/>
      </c>
      <c r="AB44" s="84">
        <f>SUM(AB42:AB43)</f>
        <v/>
      </c>
      <c r="AC44" s="84" t="inlineStr">
        <is>
          <t>–</t>
        </is>
      </c>
      <c r="AD44" s="84">
        <f>SUM(AD42:AD43)</f>
        <v/>
      </c>
      <c r="AE44" s="84">
        <f>SUM(AE42:AE43)</f>
        <v/>
      </c>
      <c r="AF44" s="89">
        <f>IF(AE44&lt;=5,"SETTLED","OUTSTANDING")</f>
        <v/>
      </c>
      <c r="AG44" s="84" t="inlineStr">
        <is>
          <t>–</t>
        </is>
      </c>
      <c r="AH44" s="88" t="inlineStr">
        <is>
          <t>–</t>
        </is>
      </c>
      <c r="AI44" s="84" t="inlineStr">
        <is>
          <t>–</t>
        </is>
      </c>
    </row>
    <row r="45" outlineLevel="1" ht="15" customHeight="1" s="137">
      <c r="A45" s="67" t="n">
        <v>1</v>
      </c>
      <c r="B45" s="76">
        <f>IF('Final Calculation Sheet'!$F$13="","",'Final Calculation Sheet'!$F$13)</f>
        <v/>
      </c>
      <c r="C45" s="76">
        <f>IF('Final Calculation Sheet'!$G$13="","",'Final Calculation Sheet'!$G$13)</f>
        <v/>
      </c>
      <c r="D45" s="80">
        <f>IF('Final Calculation Sheet'!$B$13="","",'Final Calculation Sheet'!$B$13)</f>
        <v/>
      </c>
      <c r="E45" s="80">
        <f>IF('Final Calculation Sheet'!$D$13="","",'Final Calculation Sheet'!$D$13)</f>
        <v/>
      </c>
      <c r="F45" s="80">
        <f>IF('Final Calculation Sheet'!$A$13="","",'Final Calculation Sheet'!$A$13)</f>
        <v/>
      </c>
      <c r="G45" s="80">
        <f>IF('Final Calculation Sheet'!$E$13="","",'Final Calculation Sheet'!$E$13)</f>
        <v/>
      </c>
      <c r="H45" s="70">
        <f>IF('Final Calculation Sheet'!$C$13="","",'Final Calculation Sheet'!$C$13)</f>
        <v/>
      </c>
      <c r="I45" s="70">
        <f>IF('Final Calculation Sheet'!$H$13="","",'Final Calculation Sheet'!$H$13)</f>
        <v/>
      </c>
      <c r="J45" s="70">
        <f>IF('Final Calculation Sheet'!$I$13="","",'Final Calculation Sheet'!$I$13)</f>
        <v/>
      </c>
      <c r="K45" s="70">
        <f>IF('Final Calculation Sheet'!$J$13="","",'Final Calculation Sheet'!$J$13)</f>
        <v/>
      </c>
      <c r="L45" s="70">
        <f>IF('Final Calculation Sheet'!$K$13="","",'Final Calculation Sheet'!$K$13)</f>
        <v/>
      </c>
      <c r="M45" s="70">
        <f>IF('Final Calculation Sheet'!$L$13="","",'Final Calculation Sheet'!$L$13)</f>
        <v/>
      </c>
      <c r="N45" s="70">
        <f>IF('Final Calculation Sheet'!$M$13="","",'Final Calculation Sheet'!$M$13)</f>
        <v/>
      </c>
      <c r="O45" s="71">
        <f>IF('Final Calculation Sheet'!$N$13="","",'Final Calculation Sheet'!$N$13)</f>
        <v/>
      </c>
      <c r="P45" s="70">
        <f>IF('Final Calculation Sheet'!$O$13="","",'Final Calculation Sheet'!$O$13)</f>
        <v/>
      </c>
      <c r="Q45" s="70">
        <f>IF('Final Calculation Sheet'!$P$13="","",'Final Calculation Sheet'!$P$13)</f>
        <v/>
      </c>
      <c r="R45" s="72">
        <f>IF('Final Calculation Sheet'!$Q$13="","",'Final Calculation Sheet'!$Q$13)</f>
        <v/>
      </c>
      <c r="S45" s="70">
        <f>IF('Final Calculation Sheet'!$R$13="","",'Final Calculation Sheet'!$R$13)</f>
        <v/>
      </c>
      <c r="T45" s="70">
        <f>IF('Final Calculation Sheet'!$S$13="","",'Final Calculation Sheet'!$S$13)</f>
        <v/>
      </c>
      <c r="U45" s="70">
        <f>IF('Final Calculation Sheet'!$T$13="","",'Final Calculation Sheet'!$T$13)</f>
        <v/>
      </c>
      <c r="V45" s="73">
        <f>IF('Final Calculation Sheet'!$U$13="","",'Final Calculation Sheet'!$U$13)</f>
        <v/>
      </c>
      <c r="W45" s="70">
        <f>IF('Final Calculation Sheet'!$V$13="","",'Final Calculation Sheet'!$V$13)</f>
        <v/>
      </c>
      <c r="X45" s="70">
        <f>IF('Final Calculation Sheet'!$W$13="","",'Final Calculation Sheet'!$W$13)</f>
        <v/>
      </c>
      <c r="Y45" s="70">
        <f>IF('Final Calculation Sheet'!$X$13="","",'Final Calculation Sheet'!$X$13)</f>
        <v/>
      </c>
      <c r="Z45" s="70">
        <f>IF('Final Calculation Sheet'!$Y$13="","",'Final Calculation Sheet'!$Y$13)</f>
        <v/>
      </c>
      <c r="AA45" s="70">
        <f>IF('Final Calculation Sheet'!$Z$13="","",'Final Calculation Sheet'!$Z$13)</f>
        <v/>
      </c>
      <c r="AB45" s="70">
        <f>IF('Final Calculation Sheet'!$AA$13="","",'Final Calculation Sheet'!$AA$13)</f>
        <v/>
      </c>
      <c r="AC45" s="70">
        <f>IF('Final Calculation Sheet'!$AB$13="","",'Final Calculation Sheet'!$AB$13)</f>
        <v/>
      </c>
      <c r="AD45" s="70">
        <f>IF('Final Calculation Sheet'!$AC$13="","",'Final Calculation Sheet'!$AC$13)</f>
        <v/>
      </c>
      <c r="AE45" s="70">
        <f>IF('Final Calculation Sheet'!$AD$13="","",'Final Calculation Sheet'!$AD$13)</f>
        <v/>
      </c>
      <c r="AF45" s="75">
        <f>IF('Final Calculation Sheet'!$AD$13="","",IF('Final Calculation Sheet'!$AD$13&lt;=5,"SETTLED","OUTSTANDING"))</f>
        <v/>
      </c>
      <c r="AG45" s="70">
        <f>IF('Final Calculation Sheet'!$AF$13="","",'Final Calculation Sheet'!$AF$13)</f>
        <v/>
      </c>
      <c r="AH45" s="74">
        <f>IF('Final Calculation Sheet'!$AG$13="","",'Final Calculation Sheet'!$AG$13)</f>
        <v/>
      </c>
      <c r="AI45" s="70">
        <f>IF('Final Calculation Sheet'!$AH$13="","",'Final Calculation Sheet'!$AH$13)</f>
        <v/>
      </c>
      <c r="AJ4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45">
        <f>IF(AJ45=1,COUNTIF(AJ$7:AJ45,1),"")</f>
        <v/>
      </c>
    </row>
    <row r="46" outlineLevel="1" ht="15" customHeight="1" s="137">
      <c r="A46" s="90" t="n">
        <v>2</v>
      </c>
      <c r="B46" s="92">
        <f>IF('Final Calculation Sheet'!$F$16="","",'Final Calculation Sheet'!$F$16)</f>
        <v/>
      </c>
      <c r="C46" s="92">
        <f>IF('Final Calculation Sheet'!$G$16="","",'Final Calculation Sheet'!$G$16)</f>
        <v/>
      </c>
      <c r="D46" s="94">
        <f>IF('Final Calculation Sheet'!$B$16="","",'Final Calculation Sheet'!$B$16)</f>
        <v/>
      </c>
      <c r="E46" s="94">
        <f>IF('Final Calculation Sheet'!$D$16="","",'Final Calculation Sheet'!$D$16)</f>
        <v/>
      </c>
      <c r="F46" s="94">
        <f>IF('Final Calculation Sheet'!$A$16="","",'Final Calculation Sheet'!$A$16)</f>
        <v/>
      </c>
      <c r="G46" s="94">
        <f>IF('Final Calculation Sheet'!$E$16="","",'Final Calculation Sheet'!$E$16)</f>
        <v/>
      </c>
      <c r="H46" s="95">
        <f>IF('Final Calculation Sheet'!$C$16="","",'Final Calculation Sheet'!$C$16)</f>
        <v/>
      </c>
      <c r="I46" s="95">
        <f>IF('Final Calculation Sheet'!$H$16="","",'Final Calculation Sheet'!$H$16)</f>
        <v/>
      </c>
      <c r="J46" s="95">
        <f>IF('Final Calculation Sheet'!$I$16="","",'Final Calculation Sheet'!$I$16)</f>
        <v/>
      </c>
      <c r="K46" s="95">
        <f>IF('Final Calculation Sheet'!$J$16="","",'Final Calculation Sheet'!$J$16)</f>
        <v/>
      </c>
      <c r="L46" s="95">
        <f>IF('Final Calculation Sheet'!$K$16="","",'Final Calculation Sheet'!$K$16)</f>
        <v/>
      </c>
      <c r="M46" s="95">
        <f>IF('Final Calculation Sheet'!$L$16="","",'Final Calculation Sheet'!$L$16)</f>
        <v/>
      </c>
      <c r="N46" s="95">
        <f>IF('Final Calculation Sheet'!$M$16="","",'Final Calculation Sheet'!$M$16)</f>
        <v/>
      </c>
      <c r="O46" s="96">
        <f>IF('Final Calculation Sheet'!$N$16="","",'Final Calculation Sheet'!$N$16)</f>
        <v/>
      </c>
      <c r="P46" s="95">
        <f>IF('Final Calculation Sheet'!$O$16="","",'Final Calculation Sheet'!$O$16)</f>
        <v/>
      </c>
      <c r="Q46" s="95">
        <f>IF('Final Calculation Sheet'!$P$16="","",'Final Calculation Sheet'!$P$16)</f>
        <v/>
      </c>
      <c r="R46" s="97">
        <f>IF('Final Calculation Sheet'!$Q$16="","",'Final Calculation Sheet'!$Q$16)</f>
        <v/>
      </c>
      <c r="S46" s="95">
        <f>IF('Final Calculation Sheet'!$R$16="","",'Final Calculation Sheet'!$R$16)</f>
        <v/>
      </c>
      <c r="T46" s="95">
        <f>IF('Final Calculation Sheet'!$S$16="","",'Final Calculation Sheet'!$S$16)</f>
        <v/>
      </c>
      <c r="U46" s="95">
        <f>IF('Final Calculation Sheet'!$T$16="","",'Final Calculation Sheet'!$T$16)</f>
        <v/>
      </c>
      <c r="V46" s="98">
        <f>IF('Final Calculation Sheet'!$U$16="","",'Final Calculation Sheet'!$U$16)</f>
        <v/>
      </c>
      <c r="W46" s="95">
        <f>IF('Final Calculation Sheet'!$V$16="","",'Final Calculation Sheet'!$V$16)</f>
        <v/>
      </c>
      <c r="X46" s="95">
        <f>IF('Final Calculation Sheet'!$W$16="","",'Final Calculation Sheet'!$W$16)</f>
        <v/>
      </c>
      <c r="Y46" s="95">
        <f>IF('Final Calculation Sheet'!$X$16="","",'Final Calculation Sheet'!$X$16)</f>
        <v/>
      </c>
      <c r="Z46" s="95">
        <f>IF('Final Calculation Sheet'!$Y$16="","",'Final Calculation Sheet'!$Y$16)</f>
        <v/>
      </c>
      <c r="AA46" s="95">
        <f>IF('Final Calculation Sheet'!$Z$16="","",'Final Calculation Sheet'!$Z$16)</f>
        <v/>
      </c>
      <c r="AB46" s="95">
        <f>IF('Final Calculation Sheet'!$AA$16="","",'Final Calculation Sheet'!$AA$16)</f>
        <v/>
      </c>
      <c r="AC46" s="95">
        <f>IF('Final Calculation Sheet'!$AB$16="","",'Final Calculation Sheet'!$AB$16)</f>
        <v/>
      </c>
      <c r="AD46" s="95">
        <f>IF('Final Calculation Sheet'!$AC$16="","",'Final Calculation Sheet'!$AC$16)</f>
        <v/>
      </c>
      <c r="AE46" s="95">
        <f>IF('Final Calculation Sheet'!$AD$16="","",'Final Calculation Sheet'!$AD$16)</f>
        <v/>
      </c>
      <c r="AF46" s="100">
        <f>IF('Final Calculation Sheet'!$AD$16="","",IF('Final Calculation Sheet'!$AD$16&lt;=5,"SETTLED","OUTSTANDING"))</f>
        <v/>
      </c>
      <c r="AG46" s="95">
        <f>IF('Final Calculation Sheet'!$AF$16="","",'Final Calculation Sheet'!$AF$16)</f>
        <v/>
      </c>
      <c r="AH46" s="99">
        <f>IF('Final Calculation Sheet'!$AG$16="","",'Final Calculation Sheet'!$AG$16)</f>
        <v/>
      </c>
      <c r="AI46" s="95">
        <f>IF('Final Calculation Sheet'!$AH$16="","",'Final Calculation Sheet'!$AH$16)</f>
        <v/>
      </c>
      <c r="AJ46">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46">
        <f>IF(AJ46=1,COUNTIF(AJ$7:AJ46,1),"")</f>
        <v/>
      </c>
    </row>
    <row r="47" outlineLevel="1" ht="15" customHeight="1" s="137">
      <c r="A47" s="67" t="n">
        <v>3</v>
      </c>
      <c r="B47" s="76">
        <f>IF('Final Calculation Sheet'!$F$17="","",'Final Calculation Sheet'!$F$17)</f>
        <v/>
      </c>
      <c r="C47" s="76">
        <f>IF('Final Calculation Sheet'!$G$17="","",'Final Calculation Sheet'!$G$17)</f>
        <v/>
      </c>
      <c r="D47" s="80">
        <f>IF('Final Calculation Sheet'!$B$17="","",'Final Calculation Sheet'!$B$17)</f>
        <v/>
      </c>
      <c r="E47" s="80">
        <f>IF('Final Calculation Sheet'!$D$17="","",'Final Calculation Sheet'!$D$17)</f>
        <v/>
      </c>
      <c r="F47" s="80">
        <f>IF('Final Calculation Sheet'!$A$17="","",'Final Calculation Sheet'!$A$17)</f>
        <v/>
      </c>
      <c r="G47" s="80">
        <f>IF('Final Calculation Sheet'!$E$17="","",'Final Calculation Sheet'!$E$17)</f>
        <v/>
      </c>
      <c r="H47" s="70">
        <f>IF('Final Calculation Sheet'!$C$17="","",'Final Calculation Sheet'!$C$17)</f>
        <v/>
      </c>
      <c r="I47" s="70">
        <f>IF('Final Calculation Sheet'!$H$17="","",'Final Calculation Sheet'!$H$17)</f>
        <v/>
      </c>
      <c r="J47" s="70">
        <f>IF('Final Calculation Sheet'!$I$17="","",'Final Calculation Sheet'!$I$17)</f>
        <v/>
      </c>
      <c r="K47" s="70">
        <f>IF('Final Calculation Sheet'!$J$17="","",'Final Calculation Sheet'!$J$17)</f>
        <v/>
      </c>
      <c r="L47" s="70">
        <f>IF('Final Calculation Sheet'!$K$17="","",'Final Calculation Sheet'!$K$17)</f>
        <v/>
      </c>
      <c r="M47" s="70">
        <f>IF('Final Calculation Sheet'!$L$17="","",'Final Calculation Sheet'!$L$17)</f>
        <v/>
      </c>
      <c r="N47" s="70">
        <f>IF('Final Calculation Sheet'!$M$17="","",'Final Calculation Sheet'!$M$17)</f>
        <v/>
      </c>
      <c r="O47" s="71">
        <f>IF('Final Calculation Sheet'!$N$17="","",'Final Calculation Sheet'!$N$17)</f>
        <v/>
      </c>
      <c r="P47" s="70">
        <f>IF('Final Calculation Sheet'!$O$17="","",'Final Calculation Sheet'!$O$17)</f>
        <v/>
      </c>
      <c r="Q47" s="70">
        <f>IF('Final Calculation Sheet'!$P$17="","",'Final Calculation Sheet'!$P$17)</f>
        <v/>
      </c>
      <c r="R47" s="72">
        <f>IF('Final Calculation Sheet'!$Q$17="","",'Final Calculation Sheet'!$Q$17)</f>
        <v/>
      </c>
      <c r="S47" s="70">
        <f>IF('Final Calculation Sheet'!$R$17="","",'Final Calculation Sheet'!$R$17)</f>
        <v/>
      </c>
      <c r="T47" s="70">
        <f>IF('Final Calculation Sheet'!$S$17="","",'Final Calculation Sheet'!$S$17)</f>
        <v/>
      </c>
      <c r="U47" s="70">
        <f>IF('Final Calculation Sheet'!$T$17="","",'Final Calculation Sheet'!$T$17)</f>
        <v/>
      </c>
      <c r="V47" s="73">
        <f>IF('Final Calculation Sheet'!$U$17="","",'Final Calculation Sheet'!$U$17)</f>
        <v/>
      </c>
      <c r="W47" s="70">
        <f>IF('Final Calculation Sheet'!$V$17="","",'Final Calculation Sheet'!$V$17)</f>
        <v/>
      </c>
      <c r="X47" s="70">
        <f>IF('Final Calculation Sheet'!$W$17="","",'Final Calculation Sheet'!$W$17)</f>
        <v/>
      </c>
      <c r="Y47" s="70">
        <f>IF('Final Calculation Sheet'!$X$17="","",'Final Calculation Sheet'!$X$17)</f>
        <v/>
      </c>
      <c r="Z47" s="70">
        <f>IF('Final Calculation Sheet'!$Y$17="","",'Final Calculation Sheet'!$Y$17)</f>
        <v/>
      </c>
      <c r="AA47" s="70">
        <f>IF('Final Calculation Sheet'!$Z$17="","",'Final Calculation Sheet'!$Z$17)</f>
        <v/>
      </c>
      <c r="AB47" s="70">
        <f>IF('Final Calculation Sheet'!$AA$17="","",'Final Calculation Sheet'!$AA$17)</f>
        <v/>
      </c>
      <c r="AC47" s="70">
        <f>IF('Final Calculation Sheet'!$AB$17="","",'Final Calculation Sheet'!$AB$17)</f>
        <v/>
      </c>
      <c r="AD47" s="70">
        <f>IF('Final Calculation Sheet'!$AC$17="","",'Final Calculation Sheet'!$AC$17)</f>
        <v/>
      </c>
      <c r="AE47" s="70">
        <f>IF('Final Calculation Sheet'!$AD$17="","",'Final Calculation Sheet'!$AD$17)</f>
        <v/>
      </c>
      <c r="AF47" s="75">
        <f>IF('Final Calculation Sheet'!$AD$17="","",IF('Final Calculation Sheet'!$AD$17&lt;=5,"SETTLED","OUTSTANDING"))</f>
        <v/>
      </c>
      <c r="AG47" s="70">
        <f>IF('Final Calculation Sheet'!$AF$17="","",'Final Calculation Sheet'!$AF$17)</f>
        <v/>
      </c>
      <c r="AH47" s="74">
        <f>IF('Final Calculation Sheet'!$AG$17="","",'Final Calculation Sheet'!$AG$17)</f>
        <v/>
      </c>
      <c r="AI47" s="70">
        <f>IF('Final Calculation Sheet'!$AH$17="","",'Final Calculation Sheet'!$AH$17)</f>
        <v/>
      </c>
      <c r="AJ47">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47">
        <f>IF(AJ47=1,COUNTIF(AJ$7:AJ47,1),"")</f>
        <v/>
      </c>
    </row>
    <row r="48" outlineLevel="1" ht="15" customHeight="1" s="137">
      <c r="A48" s="90" t="n">
        <v>4</v>
      </c>
      <c r="B48" s="92">
        <f>IF('Final Calculation Sheet'!$F$23="","",'Final Calculation Sheet'!$F$23)</f>
        <v/>
      </c>
      <c r="C48" s="92">
        <f>IF('Final Calculation Sheet'!$G$23="","",'Final Calculation Sheet'!$G$23)</f>
        <v/>
      </c>
      <c r="D48" s="94">
        <f>IF('Final Calculation Sheet'!$B$23="","",'Final Calculation Sheet'!$B$23)</f>
        <v/>
      </c>
      <c r="E48" s="94">
        <f>IF('Final Calculation Sheet'!$D$23="","",'Final Calculation Sheet'!$D$23)</f>
        <v/>
      </c>
      <c r="F48" s="94">
        <f>IF('Final Calculation Sheet'!$A$23="","",'Final Calculation Sheet'!$A$23)</f>
        <v/>
      </c>
      <c r="G48" s="94">
        <f>IF('Final Calculation Sheet'!$E$23="","",'Final Calculation Sheet'!$E$23)</f>
        <v/>
      </c>
      <c r="H48" s="95">
        <f>IF('Final Calculation Sheet'!$C$23="","",'Final Calculation Sheet'!$C$23)</f>
        <v/>
      </c>
      <c r="I48" s="95">
        <f>IF('Final Calculation Sheet'!$H$23="","",'Final Calculation Sheet'!$H$23)</f>
        <v/>
      </c>
      <c r="J48" s="95">
        <f>IF('Final Calculation Sheet'!$I$23="","",'Final Calculation Sheet'!$I$23)</f>
        <v/>
      </c>
      <c r="K48" s="95">
        <f>IF('Final Calculation Sheet'!$J$23="","",'Final Calculation Sheet'!$J$23)</f>
        <v/>
      </c>
      <c r="L48" s="95">
        <f>IF('Final Calculation Sheet'!$K$23="","",'Final Calculation Sheet'!$K$23)</f>
        <v/>
      </c>
      <c r="M48" s="95">
        <f>IF('Final Calculation Sheet'!$L$23="","",'Final Calculation Sheet'!$L$23)</f>
        <v/>
      </c>
      <c r="N48" s="95">
        <f>IF('Final Calculation Sheet'!$M$23="","",'Final Calculation Sheet'!$M$23)</f>
        <v/>
      </c>
      <c r="O48" s="96">
        <f>IF('Final Calculation Sheet'!$N$23="","",'Final Calculation Sheet'!$N$23)</f>
        <v/>
      </c>
      <c r="P48" s="95">
        <f>IF('Final Calculation Sheet'!$O$23="","",'Final Calculation Sheet'!$O$23)</f>
        <v/>
      </c>
      <c r="Q48" s="95">
        <f>IF('Final Calculation Sheet'!$P$23="","",'Final Calculation Sheet'!$P$23)</f>
        <v/>
      </c>
      <c r="R48" s="97">
        <f>IF('Final Calculation Sheet'!$Q$23="","",'Final Calculation Sheet'!$Q$23)</f>
        <v/>
      </c>
      <c r="S48" s="95">
        <f>IF('Final Calculation Sheet'!$R$23="","",'Final Calculation Sheet'!$R$23)</f>
        <v/>
      </c>
      <c r="T48" s="95">
        <f>IF('Final Calculation Sheet'!$S$23="","",'Final Calculation Sheet'!$S$23)</f>
        <v/>
      </c>
      <c r="U48" s="95">
        <f>IF('Final Calculation Sheet'!$T$23="","",'Final Calculation Sheet'!$T$23)</f>
        <v/>
      </c>
      <c r="V48" s="98">
        <f>IF('Final Calculation Sheet'!$U$23="","",'Final Calculation Sheet'!$U$23)</f>
        <v/>
      </c>
      <c r="W48" s="95">
        <f>IF('Final Calculation Sheet'!$V$23="","",'Final Calculation Sheet'!$V$23)</f>
        <v/>
      </c>
      <c r="X48" s="95">
        <f>IF('Final Calculation Sheet'!$W$23="","",'Final Calculation Sheet'!$W$23)</f>
        <v/>
      </c>
      <c r="Y48" s="95">
        <f>IF('Final Calculation Sheet'!$X$23="","",'Final Calculation Sheet'!$X$23)</f>
        <v/>
      </c>
      <c r="Z48" s="95">
        <f>IF('Final Calculation Sheet'!$Y$23="","",'Final Calculation Sheet'!$Y$23)</f>
        <v/>
      </c>
      <c r="AA48" s="95">
        <f>IF('Final Calculation Sheet'!$Z$23="","",'Final Calculation Sheet'!$Z$23)</f>
        <v/>
      </c>
      <c r="AB48" s="95">
        <f>IF('Final Calculation Sheet'!$AA$23="","",'Final Calculation Sheet'!$AA$23)</f>
        <v/>
      </c>
      <c r="AC48" s="95">
        <f>IF('Final Calculation Sheet'!$AB$23="","",'Final Calculation Sheet'!$AB$23)</f>
        <v/>
      </c>
      <c r="AD48" s="95">
        <f>IF('Final Calculation Sheet'!$AC$23="","",'Final Calculation Sheet'!$AC$23)</f>
        <v/>
      </c>
      <c r="AE48" s="95">
        <f>IF('Final Calculation Sheet'!$AD$23="","",'Final Calculation Sheet'!$AD$23)</f>
        <v/>
      </c>
      <c r="AF48" s="100">
        <f>IF('Final Calculation Sheet'!$AD$23="","",IF('Final Calculation Sheet'!$AD$23&lt;=5,"SETTLED","OUTSTANDING"))</f>
        <v/>
      </c>
      <c r="AG48" s="95">
        <f>IF('Final Calculation Sheet'!$AF$23="","",'Final Calculation Sheet'!$AF$23)</f>
        <v/>
      </c>
      <c r="AH48" s="99">
        <f>IF('Final Calculation Sheet'!$AG$23="","",'Final Calculation Sheet'!$AG$23)</f>
        <v/>
      </c>
      <c r="AI48" s="95">
        <f>IF('Final Calculation Sheet'!$AH$23="","",'Final Calculation Sheet'!$AH$23)</f>
        <v/>
      </c>
      <c r="AJ48">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48">
        <f>IF(AJ48=1,COUNTIF(AJ$7:AJ48,1),"")</f>
        <v/>
      </c>
    </row>
    <row r="49" outlineLevel="1" ht="15" customHeight="1" s="137">
      <c r="A49" s="67" t="n">
        <v>5</v>
      </c>
      <c r="B49" s="76">
        <f>IF('Final Calculation Sheet'!$F$29="","",'Final Calculation Sheet'!$F$29)</f>
        <v/>
      </c>
      <c r="C49" s="76">
        <f>IF('Final Calculation Sheet'!$G$29="","",'Final Calculation Sheet'!$G$29)</f>
        <v/>
      </c>
      <c r="D49" s="80">
        <f>IF('Final Calculation Sheet'!$B$29="","",'Final Calculation Sheet'!$B$29)</f>
        <v/>
      </c>
      <c r="E49" s="80">
        <f>IF('Final Calculation Sheet'!$D$29="","",'Final Calculation Sheet'!$D$29)</f>
        <v/>
      </c>
      <c r="F49" s="80">
        <f>IF('Final Calculation Sheet'!$A$29="","",'Final Calculation Sheet'!$A$29)</f>
        <v/>
      </c>
      <c r="G49" s="80">
        <f>IF('Final Calculation Sheet'!$E$29="","",'Final Calculation Sheet'!$E$29)</f>
        <v/>
      </c>
      <c r="H49" s="70">
        <f>IF('Final Calculation Sheet'!$C$29="","",'Final Calculation Sheet'!$C$29)</f>
        <v/>
      </c>
      <c r="I49" s="70">
        <f>IF('Final Calculation Sheet'!$H$29="","",'Final Calculation Sheet'!$H$29)</f>
        <v/>
      </c>
      <c r="J49" s="70">
        <f>IF('Final Calculation Sheet'!$I$29="","",'Final Calculation Sheet'!$I$29)</f>
        <v/>
      </c>
      <c r="K49" s="70">
        <f>IF('Final Calculation Sheet'!$J$29="","",'Final Calculation Sheet'!$J$29)</f>
        <v/>
      </c>
      <c r="L49" s="70">
        <f>IF('Final Calculation Sheet'!$K$29="","",'Final Calculation Sheet'!$K$29)</f>
        <v/>
      </c>
      <c r="M49" s="70">
        <f>IF('Final Calculation Sheet'!$L$29="","",'Final Calculation Sheet'!$L$29)</f>
        <v/>
      </c>
      <c r="N49" s="70">
        <f>IF('Final Calculation Sheet'!$M$29="","",'Final Calculation Sheet'!$M$29)</f>
        <v/>
      </c>
      <c r="O49" s="71">
        <f>IF('Final Calculation Sheet'!$N$29="","",'Final Calculation Sheet'!$N$29)</f>
        <v/>
      </c>
      <c r="P49" s="70">
        <f>IF('Final Calculation Sheet'!$O$29="","",'Final Calculation Sheet'!$O$29)</f>
        <v/>
      </c>
      <c r="Q49" s="70">
        <f>IF('Final Calculation Sheet'!$P$29="","",'Final Calculation Sheet'!$P$29)</f>
        <v/>
      </c>
      <c r="R49" s="72">
        <f>IF('Final Calculation Sheet'!$Q$29="","",'Final Calculation Sheet'!$Q$29)</f>
        <v/>
      </c>
      <c r="S49" s="70">
        <f>IF('Final Calculation Sheet'!$R$29="","",'Final Calculation Sheet'!$R$29)</f>
        <v/>
      </c>
      <c r="T49" s="70">
        <f>IF('Final Calculation Sheet'!$S$29="","",'Final Calculation Sheet'!$S$29)</f>
        <v/>
      </c>
      <c r="U49" s="70">
        <f>IF('Final Calculation Sheet'!$T$29="","",'Final Calculation Sheet'!$T$29)</f>
        <v/>
      </c>
      <c r="V49" s="73">
        <f>IF('Final Calculation Sheet'!$U$29="","",'Final Calculation Sheet'!$U$29)</f>
        <v/>
      </c>
      <c r="W49" s="70">
        <f>IF('Final Calculation Sheet'!$V$29="","",'Final Calculation Sheet'!$V$29)</f>
        <v/>
      </c>
      <c r="X49" s="70">
        <f>IF('Final Calculation Sheet'!$W$29="","",'Final Calculation Sheet'!$W$29)</f>
        <v/>
      </c>
      <c r="Y49" s="70">
        <f>IF('Final Calculation Sheet'!$X$29="","",'Final Calculation Sheet'!$X$29)</f>
        <v/>
      </c>
      <c r="Z49" s="70">
        <f>IF('Final Calculation Sheet'!$Y$29="","",'Final Calculation Sheet'!$Y$29)</f>
        <v/>
      </c>
      <c r="AA49" s="70">
        <f>IF('Final Calculation Sheet'!$Z$29="","",'Final Calculation Sheet'!$Z$29)</f>
        <v/>
      </c>
      <c r="AB49" s="70">
        <f>IF('Final Calculation Sheet'!$AA$29="","",'Final Calculation Sheet'!$AA$29)</f>
        <v/>
      </c>
      <c r="AC49" s="70">
        <f>IF('Final Calculation Sheet'!$AB$29="","",'Final Calculation Sheet'!$AB$29)</f>
        <v/>
      </c>
      <c r="AD49" s="70">
        <f>IF('Final Calculation Sheet'!$AC$29="","",'Final Calculation Sheet'!$AC$29)</f>
        <v/>
      </c>
      <c r="AE49" s="70">
        <f>IF('Final Calculation Sheet'!$AD$29="","",'Final Calculation Sheet'!$AD$29)</f>
        <v/>
      </c>
      <c r="AF49" s="75">
        <f>IF('Final Calculation Sheet'!$AD$29="","",IF('Final Calculation Sheet'!$AD$29&lt;=5,"SETTLED","OUTSTANDING"))</f>
        <v/>
      </c>
      <c r="AG49" s="70">
        <f>IF('Final Calculation Sheet'!$AF$29="","",'Final Calculation Sheet'!$AF$29)</f>
        <v/>
      </c>
      <c r="AH49" s="74">
        <f>IF('Final Calculation Sheet'!$AG$29="","",'Final Calculation Sheet'!$AG$29)</f>
        <v/>
      </c>
      <c r="AI49" s="70">
        <f>IF('Final Calculation Sheet'!$AH$29="","",'Final Calculation Sheet'!$AH$29)</f>
        <v/>
      </c>
      <c r="AJ49">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49">
        <f>IF(AJ49=1,COUNTIF(AJ$7:AJ49,1),"")</f>
        <v/>
      </c>
    </row>
    <row r="50" outlineLevel="1" ht="15" customHeight="1" s="137">
      <c r="A50" s="90" t="n">
        <v>6</v>
      </c>
      <c r="B50" s="92">
        <f>IF('Final Calculation Sheet'!$F$34="","",'Final Calculation Sheet'!$F$34)</f>
        <v/>
      </c>
      <c r="C50" s="92">
        <f>IF('Final Calculation Sheet'!$G$34="","",'Final Calculation Sheet'!$G$34)</f>
        <v/>
      </c>
      <c r="D50" s="94">
        <f>IF('Final Calculation Sheet'!$B$34="","",'Final Calculation Sheet'!$B$34)</f>
        <v/>
      </c>
      <c r="E50" s="94">
        <f>IF('Final Calculation Sheet'!$D$34="","",'Final Calculation Sheet'!$D$34)</f>
        <v/>
      </c>
      <c r="F50" s="94">
        <f>IF('Final Calculation Sheet'!$A$34="","",'Final Calculation Sheet'!$A$34)</f>
        <v/>
      </c>
      <c r="G50" s="94">
        <f>IF('Final Calculation Sheet'!$E$34="","",'Final Calculation Sheet'!$E$34)</f>
        <v/>
      </c>
      <c r="H50" s="95">
        <f>IF('Final Calculation Sheet'!$C$34="","",'Final Calculation Sheet'!$C$34)</f>
        <v/>
      </c>
      <c r="I50" s="95">
        <f>IF('Final Calculation Sheet'!$H$34="","",'Final Calculation Sheet'!$H$34)</f>
        <v/>
      </c>
      <c r="J50" s="95">
        <f>IF('Final Calculation Sheet'!$I$34="","",'Final Calculation Sheet'!$I$34)</f>
        <v/>
      </c>
      <c r="K50" s="95">
        <f>IF('Final Calculation Sheet'!$J$34="","",'Final Calculation Sheet'!$J$34)</f>
        <v/>
      </c>
      <c r="L50" s="95">
        <f>IF('Final Calculation Sheet'!$K$34="","",'Final Calculation Sheet'!$K$34)</f>
        <v/>
      </c>
      <c r="M50" s="95">
        <f>IF('Final Calculation Sheet'!$L$34="","",'Final Calculation Sheet'!$L$34)</f>
        <v/>
      </c>
      <c r="N50" s="95">
        <f>IF('Final Calculation Sheet'!$M$34="","",'Final Calculation Sheet'!$M$34)</f>
        <v/>
      </c>
      <c r="O50" s="96">
        <f>IF('Final Calculation Sheet'!$N$34="","",'Final Calculation Sheet'!$N$34)</f>
        <v/>
      </c>
      <c r="P50" s="95">
        <f>IF('Final Calculation Sheet'!$O$34="","",'Final Calculation Sheet'!$O$34)</f>
        <v/>
      </c>
      <c r="Q50" s="95">
        <f>IF('Final Calculation Sheet'!$P$34="","",'Final Calculation Sheet'!$P$34)</f>
        <v/>
      </c>
      <c r="R50" s="97">
        <f>IF('Final Calculation Sheet'!$Q$34="","",'Final Calculation Sheet'!$Q$34)</f>
        <v/>
      </c>
      <c r="S50" s="95">
        <f>IF('Final Calculation Sheet'!$R$34="","",'Final Calculation Sheet'!$R$34)</f>
        <v/>
      </c>
      <c r="T50" s="95">
        <f>IF('Final Calculation Sheet'!$S$34="","",'Final Calculation Sheet'!$S$34)</f>
        <v/>
      </c>
      <c r="U50" s="95">
        <f>IF('Final Calculation Sheet'!$T$34="","",'Final Calculation Sheet'!$T$34)</f>
        <v/>
      </c>
      <c r="V50" s="98">
        <f>IF('Final Calculation Sheet'!$U$34="","",'Final Calculation Sheet'!$U$34)</f>
        <v/>
      </c>
      <c r="W50" s="95">
        <f>IF('Final Calculation Sheet'!$V$34="","",'Final Calculation Sheet'!$V$34)</f>
        <v/>
      </c>
      <c r="X50" s="95">
        <f>IF('Final Calculation Sheet'!$W$34="","",'Final Calculation Sheet'!$W$34)</f>
        <v/>
      </c>
      <c r="Y50" s="95">
        <f>IF('Final Calculation Sheet'!$X$34="","",'Final Calculation Sheet'!$X$34)</f>
        <v/>
      </c>
      <c r="Z50" s="95">
        <f>IF('Final Calculation Sheet'!$Y$34="","",'Final Calculation Sheet'!$Y$34)</f>
        <v/>
      </c>
      <c r="AA50" s="95">
        <f>IF('Final Calculation Sheet'!$Z$34="","",'Final Calculation Sheet'!$Z$34)</f>
        <v/>
      </c>
      <c r="AB50" s="95">
        <f>IF('Final Calculation Sheet'!$AA$34="","",'Final Calculation Sheet'!$AA$34)</f>
        <v/>
      </c>
      <c r="AC50" s="95">
        <f>IF('Final Calculation Sheet'!$AB$34="","",'Final Calculation Sheet'!$AB$34)</f>
        <v/>
      </c>
      <c r="AD50" s="95">
        <f>IF('Final Calculation Sheet'!$AC$34="","",'Final Calculation Sheet'!$AC$34)</f>
        <v/>
      </c>
      <c r="AE50" s="95">
        <f>IF('Final Calculation Sheet'!$AD$34="","",'Final Calculation Sheet'!$AD$34)</f>
        <v/>
      </c>
      <c r="AF50" s="100">
        <f>IF('Final Calculation Sheet'!$AD$34="","",IF('Final Calculation Sheet'!$AD$34&lt;=5,"SETTLED","OUTSTANDING"))</f>
        <v/>
      </c>
      <c r="AG50" s="95">
        <f>IF('Final Calculation Sheet'!$AF$34="","",'Final Calculation Sheet'!$AF$34)</f>
        <v/>
      </c>
      <c r="AH50" s="99">
        <f>IF('Final Calculation Sheet'!$AG$34="","",'Final Calculation Sheet'!$AG$34)</f>
        <v/>
      </c>
      <c r="AI50" s="95">
        <f>IF('Final Calculation Sheet'!$AH$34="","",'Final Calculation Sheet'!$AH$34)</f>
        <v/>
      </c>
      <c r="AJ50">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50">
        <f>IF(AJ50=1,COUNTIF(AJ$7:AJ50,1),"")</f>
        <v/>
      </c>
    </row>
    <row r="51" outlineLevel="1" ht="15" customHeight="1" s="137">
      <c r="A51" s="67" t="n">
        <v>7</v>
      </c>
      <c r="B51" s="76">
        <f>IF('Final Calculation Sheet'!$F$36="","",'Final Calculation Sheet'!$F$36)</f>
        <v/>
      </c>
      <c r="C51" s="76">
        <f>IF('Final Calculation Sheet'!$G$36="","",'Final Calculation Sheet'!$G$36)</f>
        <v/>
      </c>
      <c r="D51" s="80">
        <f>IF('Final Calculation Sheet'!$B$36="","",'Final Calculation Sheet'!$B$36)</f>
        <v/>
      </c>
      <c r="E51" s="80">
        <f>IF('Final Calculation Sheet'!$D$36="","",'Final Calculation Sheet'!$D$36)</f>
        <v/>
      </c>
      <c r="F51" s="80">
        <f>IF('Final Calculation Sheet'!$A$36="","",'Final Calculation Sheet'!$A$36)</f>
        <v/>
      </c>
      <c r="G51" s="80">
        <f>IF('Final Calculation Sheet'!$E$36="","",'Final Calculation Sheet'!$E$36)</f>
        <v/>
      </c>
      <c r="H51" s="70">
        <f>IF('Final Calculation Sheet'!$C$36="","",'Final Calculation Sheet'!$C$36)</f>
        <v/>
      </c>
      <c r="I51" s="70">
        <f>IF('Final Calculation Sheet'!$H$36="","",'Final Calculation Sheet'!$H$36)</f>
        <v/>
      </c>
      <c r="J51" s="70">
        <f>IF('Final Calculation Sheet'!$I$36="","",'Final Calculation Sheet'!$I$36)</f>
        <v/>
      </c>
      <c r="K51" s="70">
        <f>IF('Final Calculation Sheet'!$J$36="","",'Final Calculation Sheet'!$J$36)</f>
        <v/>
      </c>
      <c r="L51" s="70">
        <f>IF('Final Calculation Sheet'!$K$36="","",'Final Calculation Sheet'!$K$36)</f>
        <v/>
      </c>
      <c r="M51" s="70">
        <f>IF('Final Calculation Sheet'!$L$36="","",'Final Calculation Sheet'!$L$36)</f>
        <v/>
      </c>
      <c r="N51" s="70">
        <f>IF('Final Calculation Sheet'!$M$36="","",'Final Calculation Sheet'!$M$36)</f>
        <v/>
      </c>
      <c r="O51" s="71">
        <f>IF('Final Calculation Sheet'!$N$36="","",'Final Calculation Sheet'!$N$36)</f>
        <v/>
      </c>
      <c r="P51" s="70">
        <f>IF('Final Calculation Sheet'!$O$36="","",'Final Calculation Sheet'!$O$36)</f>
        <v/>
      </c>
      <c r="Q51" s="70">
        <f>IF('Final Calculation Sheet'!$P$36="","",'Final Calculation Sheet'!$P$36)</f>
        <v/>
      </c>
      <c r="R51" s="72">
        <f>IF('Final Calculation Sheet'!$Q$36="","",'Final Calculation Sheet'!$Q$36)</f>
        <v/>
      </c>
      <c r="S51" s="70">
        <f>IF('Final Calculation Sheet'!$R$36="","",'Final Calculation Sheet'!$R$36)</f>
        <v/>
      </c>
      <c r="T51" s="70">
        <f>IF('Final Calculation Sheet'!$S$36="","",'Final Calculation Sheet'!$S$36)</f>
        <v/>
      </c>
      <c r="U51" s="70">
        <f>IF('Final Calculation Sheet'!$T$36="","",'Final Calculation Sheet'!$T$36)</f>
        <v/>
      </c>
      <c r="V51" s="73">
        <f>IF('Final Calculation Sheet'!$U$36="","",'Final Calculation Sheet'!$U$36)</f>
        <v/>
      </c>
      <c r="W51" s="70">
        <f>IF('Final Calculation Sheet'!$V$36="","",'Final Calculation Sheet'!$V$36)</f>
        <v/>
      </c>
      <c r="X51" s="70">
        <f>IF('Final Calculation Sheet'!$W$36="","",'Final Calculation Sheet'!$W$36)</f>
        <v/>
      </c>
      <c r="Y51" s="70">
        <f>IF('Final Calculation Sheet'!$X$36="","",'Final Calculation Sheet'!$X$36)</f>
        <v/>
      </c>
      <c r="Z51" s="70">
        <f>IF('Final Calculation Sheet'!$Y$36="","",'Final Calculation Sheet'!$Y$36)</f>
        <v/>
      </c>
      <c r="AA51" s="70">
        <f>IF('Final Calculation Sheet'!$Z$36="","",'Final Calculation Sheet'!$Z$36)</f>
        <v/>
      </c>
      <c r="AB51" s="70">
        <f>IF('Final Calculation Sheet'!$AA$36="","",'Final Calculation Sheet'!$AA$36)</f>
        <v/>
      </c>
      <c r="AC51" s="70">
        <f>IF('Final Calculation Sheet'!$AB$36="","",'Final Calculation Sheet'!$AB$36)</f>
        <v/>
      </c>
      <c r="AD51" s="70">
        <f>IF('Final Calculation Sheet'!$AC$36="","",'Final Calculation Sheet'!$AC$36)</f>
        <v/>
      </c>
      <c r="AE51" s="70">
        <f>IF('Final Calculation Sheet'!$AD$36="","",'Final Calculation Sheet'!$AD$36)</f>
        <v/>
      </c>
      <c r="AF51" s="75">
        <f>IF('Final Calculation Sheet'!$AD$36="","",IF('Final Calculation Sheet'!$AD$36&lt;=5,"SETTLED","OUTSTANDING"))</f>
        <v/>
      </c>
      <c r="AG51" s="70">
        <f>IF('Final Calculation Sheet'!$AF$36="","",'Final Calculation Sheet'!$AF$36)</f>
        <v/>
      </c>
      <c r="AH51" s="74">
        <f>IF('Final Calculation Sheet'!$AG$36="","",'Final Calculation Sheet'!$AG$36)</f>
        <v/>
      </c>
      <c r="AI51" s="70">
        <f>IF('Final Calculation Sheet'!$AH$36="","",'Final Calculation Sheet'!$AH$36)</f>
        <v/>
      </c>
      <c r="AJ51">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51">
        <f>IF(AJ51=1,COUNTIF(AJ$7:AJ51,1),"")</f>
        <v/>
      </c>
    </row>
    <row r="52" ht="15" customHeight="1" s="137">
      <c r="A52" s="81" t="inlineStr">
        <is>
          <t>∑</t>
        </is>
      </c>
      <c r="B52" s="83" t="n"/>
      <c r="C52" s="83">
        <f>ROWS($C$45:$C$51)&amp;" lot(s)"</f>
        <v/>
      </c>
      <c r="D52" s="83" t="inlineStr">
        <is>
          <t>SUBTOTAL — STERLING ENTERPRISES</t>
        </is>
      </c>
      <c r="E52" s="83" t="inlineStr">
        <is>
          <t>–</t>
        </is>
      </c>
      <c r="F52" s="83">
        <f>SUM(F45:F51)</f>
        <v/>
      </c>
      <c r="G52" s="83" t="inlineStr">
        <is>
          <t>–</t>
        </is>
      </c>
      <c r="H52" s="84" t="inlineStr">
        <is>
          <t>–</t>
        </is>
      </c>
      <c r="I52" s="84">
        <f>SUM(I45:I51)</f>
        <v/>
      </c>
      <c r="J52" s="84">
        <f>SUM(J45:J51)</f>
        <v/>
      </c>
      <c r="K52" s="84">
        <f>SUM(K45:K51)</f>
        <v/>
      </c>
      <c r="L52" s="84">
        <f>SUM(L45:L51)</f>
        <v/>
      </c>
      <c r="M52" s="84">
        <f>SUM(M45:M51)</f>
        <v/>
      </c>
      <c r="N52" s="84">
        <f>SUM(N45:N51)</f>
        <v/>
      </c>
      <c r="O52" s="85">
        <f>SUM(O45:O51)</f>
        <v/>
      </c>
      <c r="P52" s="84">
        <f>SUM(P45:P51)</f>
        <v/>
      </c>
      <c r="Q52" s="84">
        <f>SUM(Q45:Q51)</f>
        <v/>
      </c>
      <c r="R52" s="86" t="inlineStr">
        <is>
          <t>–</t>
        </is>
      </c>
      <c r="S52" s="84">
        <f>SUM(S45:S51)</f>
        <v/>
      </c>
      <c r="T52" s="84">
        <f>SUM(T45:T51)</f>
        <v/>
      </c>
      <c r="U52" s="84">
        <f>SUM(U45:U51)</f>
        <v/>
      </c>
      <c r="V52" s="87">
        <f>SUM(V45:V51)</f>
        <v/>
      </c>
      <c r="W52" s="84" t="inlineStr">
        <is>
          <t>–</t>
        </is>
      </c>
      <c r="X52" s="84">
        <f>SUM(X45:X51)</f>
        <v/>
      </c>
      <c r="Y52" s="84">
        <f>SUM(Y45:Y51)</f>
        <v/>
      </c>
      <c r="Z52" s="84" t="inlineStr">
        <is>
          <t>–</t>
        </is>
      </c>
      <c r="AA52" s="84">
        <f>SUM(AA45:AA51)</f>
        <v/>
      </c>
      <c r="AB52" s="84">
        <f>SUM(AB45:AB51)</f>
        <v/>
      </c>
      <c r="AC52" s="84" t="inlineStr">
        <is>
          <t>–</t>
        </is>
      </c>
      <c r="AD52" s="84">
        <f>SUM(AD45:AD51)</f>
        <v/>
      </c>
      <c r="AE52" s="84">
        <f>SUM(AE45:AE51)</f>
        <v/>
      </c>
      <c r="AF52" s="89">
        <f>IF(AE52&lt;=5,"SETTLED","OUTSTANDING")</f>
        <v/>
      </c>
      <c r="AG52" s="84" t="inlineStr">
        <is>
          <t>–</t>
        </is>
      </c>
      <c r="AH52" s="88" t="inlineStr">
        <is>
          <t>–</t>
        </is>
      </c>
      <c r="AI52" s="84" t="inlineStr">
        <is>
          <t>–</t>
        </is>
      </c>
    </row>
    <row r="53" outlineLevel="1" ht="15" customHeight="1" s="137">
      <c r="A53" s="67" t="n">
        <v>1</v>
      </c>
      <c r="B53" s="76">
        <f>IF('Final Calculation Sheet'!$F$25="","",'Final Calculation Sheet'!$F$25)</f>
        <v/>
      </c>
      <c r="C53" s="76">
        <f>IF('Final Calculation Sheet'!$G$25="","",'Final Calculation Sheet'!$G$25)</f>
        <v/>
      </c>
      <c r="D53" s="80">
        <f>IF('Final Calculation Sheet'!$B$25="","",'Final Calculation Sheet'!$B$25)</f>
        <v/>
      </c>
      <c r="E53" s="80">
        <f>IF('Final Calculation Sheet'!$D$25="","",'Final Calculation Sheet'!$D$25)</f>
        <v/>
      </c>
      <c r="F53" s="80">
        <f>IF('Final Calculation Sheet'!$A$25="","",'Final Calculation Sheet'!$A$25)</f>
        <v/>
      </c>
      <c r="G53" s="80">
        <f>IF('Final Calculation Sheet'!$E$25="","",'Final Calculation Sheet'!$E$25)</f>
        <v/>
      </c>
      <c r="H53" s="70">
        <f>IF('Final Calculation Sheet'!$C$25="","",'Final Calculation Sheet'!$C$25)</f>
        <v/>
      </c>
      <c r="I53" s="70">
        <f>IF('Final Calculation Sheet'!$H$25="","",'Final Calculation Sheet'!$H$25)</f>
        <v/>
      </c>
      <c r="J53" s="70">
        <f>IF('Final Calculation Sheet'!$I$25="","",'Final Calculation Sheet'!$I$25)</f>
        <v/>
      </c>
      <c r="K53" s="70">
        <f>IF('Final Calculation Sheet'!$J$25="","",'Final Calculation Sheet'!$J$25)</f>
        <v/>
      </c>
      <c r="L53" s="70">
        <f>IF('Final Calculation Sheet'!$K$25="","",'Final Calculation Sheet'!$K$25)</f>
        <v/>
      </c>
      <c r="M53" s="70">
        <f>IF('Final Calculation Sheet'!$L$25="","",'Final Calculation Sheet'!$L$25)</f>
        <v/>
      </c>
      <c r="N53" s="70">
        <f>IF('Final Calculation Sheet'!$M$25="","",'Final Calculation Sheet'!$M$25)</f>
        <v/>
      </c>
      <c r="O53" s="71">
        <f>IF('Final Calculation Sheet'!$N$25="","",'Final Calculation Sheet'!$N$25)</f>
        <v/>
      </c>
      <c r="P53" s="70">
        <f>IF('Final Calculation Sheet'!$O$25="","",'Final Calculation Sheet'!$O$25)</f>
        <v/>
      </c>
      <c r="Q53" s="70">
        <f>IF('Final Calculation Sheet'!$P$25="","",'Final Calculation Sheet'!$P$25)</f>
        <v/>
      </c>
      <c r="R53" s="72">
        <f>IF('Final Calculation Sheet'!$Q$25="","",'Final Calculation Sheet'!$Q$25)</f>
        <v/>
      </c>
      <c r="S53" s="70">
        <f>IF('Final Calculation Sheet'!$R$25="","",'Final Calculation Sheet'!$R$25)</f>
        <v/>
      </c>
      <c r="T53" s="70">
        <f>IF('Final Calculation Sheet'!$S$25="","",'Final Calculation Sheet'!$S$25)</f>
        <v/>
      </c>
      <c r="U53" s="70">
        <f>IF('Final Calculation Sheet'!$T$25="","",'Final Calculation Sheet'!$T$25)</f>
        <v/>
      </c>
      <c r="V53" s="73">
        <f>IF('Final Calculation Sheet'!$U$25="","",'Final Calculation Sheet'!$U$25)</f>
        <v/>
      </c>
      <c r="W53" s="70">
        <f>IF('Final Calculation Sheet'!$V$25="","",'Final Calculation Sheet'!$V$25)</f>
        <v/>
      </c>
      <c r="X53" s="70">
        <f>IF('Final Calculation Sheet'!$W$25="","",'Final Calculation Sheet'!$W$25)</f>
        <v/>
      </c>
      <c r="Y53" s="70">
        <f>IF('Final Calculation Sheet'!$X$25="","",'Final Calculation Sheet'!$X$25)</f>
        <v/>
      </c>
      <c r="Z53" s="70">
        <f>IF('Final Calculation Sheet'!$Y$25="","",'Final Calculation Sheet'!$Y$25)</f>
        <v/>
      </c>
      <c r="AA53" s="70">
        <f>IF('Final Calculation Sheet'!$Z$25="","",'Final Calculation Sheet'!$Z$25)</f>
        <v/>
      </c>
      <c r="AB53" s="70">
        <f>IF('Final Calculation Sheet'!$AA$25="","",'Final Calculation Sheet'!$AA$25)</f>
        <v/>
      </c>
      <c r="AC53" s="70">
        <f>IF('Final Calculation Sheet'!$AB$25="","",'Final Calculation Sheet'!$AB$25)</f>
        <v/>
      </c>
      <c r="AD53" s="70">
        <f>IF('Final Calculation Sheet'!$AC$25="","",'Final Calculation Sheet'!$AC$25)</f>
        <v/>
      </c>
      <c r="AE53" s="70">
        <f>IF('Final Calculation Sheet'!$AD$25="","",'Final Calculation Sheet'!$AD$25)</f>
        <v/>
      </c>
      <c r="AF53" s="75">
        <f>IF('Final Calculation Sheet'!$AD$25="","",IF('Final Calculation Sheet'!$AD$25&lt;=5,"SETTLED","OUTSTANDING"))</f>
        <v/>
      </c>
      <c r="AG53" s="70">
        <f>IF('Final Calculation Sheet'!$AF$25="","",'Final Calculation Sheet'!$AF$25)</f>
        <v/>
      </c>
      <c r="AH53" s="74">
        <f>IF('Final Calculation Sheet'!$AG$25="","",'Final Calculation Sheet'!$AG$25)</f>
        <v/>
      </c>
      <c r="AI53" s="70">
        <f>IF('Final Calculation Sheet'!$AH$25="","",'Final Calculation Sheet'!$AH$25)</f>
        <v/>
      </c>
      <c r="AJ53">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53">
        <f>IF(AJ53=1,COUNTIF(AJ$7:AJ53,1),"")</f>
        <v/>
      </c>
    </row>
    <row r="54" outlineLevel="1" ht="15" customHeight="1" s="137">
      <c r="A54" s="90" t="n">
        <v>2</v>
      </c>
      <c r="B54" s="92">
        <f>IF('Final Calculation Sheet'!$F$28="","",'Final Calculation Sheet'!$F$28)</f>
        <v/>
      </c>
      <c r="C54" s="92">
        <f>IF('Final Calculation Sheet'!$G$28="","",'Final Calculation Sheet'!$G$28)</f>
        <v/>
      </c>
      <c r="D54" s="94">
        <f>IF('Final Calculation Sheet'!$B$28="","",'Final Calculation Sheet'!$B$28)</f>
        <v/>
      </c>
      <c r="E54" s="94">
        <f>IF('Final Calculation Sheet'!$D$28="","",'Final Calculation Sheet'!$D$28)</f>
        <v/>
      </c>
      <c r="F54" s="94">
        <f>IF('Final Calculation Sheet'!$A$28="","",'Final Calculation Sheet'!$A$28)</f>
        <v/>
      </c>
      <c r="G54" s="94">
        <f>IF('Final Calculation Sheet'!$E$28="","",'Final Calculation Sheet'!$E$28)</f>
        <v/>
      </c>
      <c r="H54" s="95">
        <f>IF('Final Calculation Sheet'!$C$28="","",'Final Calculation Sheet'!$C$28)</f>
        <v/>
      </c>
      <c r="I54" s="95">
        <f>IF('Final Calculation Sheet'!$H$28="","",'Final Calculation Sheet'!$H$28)</f>
        <v/>
      </c>
      <c r="J54" s="95">
        <f>IF('Final Calculation Sheet'!$I$28="","",'Final Calculation Sheet'!$I$28)</f>
        <v/>
      </c>
      <c r="K54" s="95">
        <f>IF('Final Calculation Sheet'!$J$28="","",'Final Calculation Sheet'!$J$28)</f>
        <v/>
      </c>
      <c r="L54" s="95">
        <f>IF('Final Calculation Sheet'!$K$28="","",'Final Calculation Sheet'!$K$28)</f>
        <v/>
      </c>
      <c r="M54" s="95">
        <f>IF('Final Calculation Sheet'!$L$28="","",'Final Calculation Sheet'!$L$28)</f>
        <v/>
      </c>
      <c r="N54" s="95">
        <f>IF('Final Calculation Sheet'!$M$28="","",'Final Calculation Sheet'!$M$28)</f>
        <v/>
      </c>
      <c r="O54" s="96">
        <f>IF('Final Calculation Sheet'!$N$28="","",'Final Calculation Sheet'!$N$28)</f>
        <v/>
      </c>
      <c r="P54" s="95">
        <f>IF('Final Calculation Sheet'!$O$28="","",'Final Calculation Sheet'!$O$28)</f>
        <v/>
      </c>
      <c r="Q54" s="95">
        <f>IF('Final Calculation Sheet'!$P$28="","",'Final Calculation Sheet'!$P$28)</f>
        <v/>
      </c>
      <c r="R54" s="97">
        <f>IF('Final Calculation Sheet'!$Q$28="","",'Final Calculation Sheet'!$Q$28)</f>
        <v/>
      </c>
      <c r="S54" s="95">
        <f>IF('Final Calculation Sheet'!$R$28="","",'Final Calculation Sheet'!$R$28)</f>
        <v/>
      </c>
      <c r="T54" s="95">
        <f>IF('Final Calculation Sheet'!$S$28="","",'Final Calculation Sheet'!$S$28)</f>
        <v/>
      </c>
      <c r="U54" s="95">
        <f>IF('Final Calculation Sheet'!$T$28="","",'Final Calculation Sheet'!$T$28)</f>
        <v/>
      </c>
      <c r="V54" s="98">
        <f>IF('Final Calculation Sheet'!$U$28="","",'Final Calculation Sheet'!$U$28)</f>
        <v/>
      </c>
      <c r="W54" s="95">
        <f>IF('Final Calculation Sheet'!$V$28="","",'Final Calculation Sheet'!$V$28)</f>
        <v/>
      </c>
      <c r="X54" s="95">
        <f>IF('Final Calculation Sheet'!$W$28="","",'Final Calculation Sheet'!$W$28)</f>
        <v/>
      </c>
      <c r="Y54" s="95">
        <f>IF('Final Calculation Sheet'!$X$28="","",'Final Calculation Sheet'!$X$28)</f>
        <v/>
      </c>
      <c r="Z54" s="95">
        <f>IF('Final Calculation Sheet'!$Y$28="","",'Final Calculation Sheet'!$Y$28)</f>
        <v/>
      </c>
      <c r="AA54" s="95">
        <f>IF('Final Calculation Sheet'!$Z$28="","",'Final Calculation Sheet'!$Z$28)</f>
        <v/>
      </c>
      <c r="AB54" s="95">
        <f>IF('Final Calculation Sheet'!$AA$28="","",'Final Calculation Sheet'!$AA$28)</f>
        <v/>
      </c>
      <c r="AC54" s="95">
        <f>IF('Final Calculation Sheet'!$AB$28="","",'Final Calculation Sheet'!$AB$28)</f>
        <v/>
      </c>
      <c r="AD54" s="95">
        <f>IF('Final Calculation Sheet'!$AC$28="","",'Final Calculation Sheet'!$AC$28)</f>
        <v/>
      </c>
      <c r="AE54" s="95">
        <f>IF('Final Calculation Sheet'!$AD$28="","",'Final Calculation Sheet'!$AD$28)</f>
        <v/>
      </c>
      <c r="AF54" s="100">
        <f>IF('Final Calculation Sheet'!$AD$28="","",IF('Final Calculation Sheet'!$AD$28&lt;=5,"SETTLED","OUTSTANDING"))</f>
        <v/>
      </c>
      <c r="AG54" s="95">
        <f>IF('Final Calculation Sheet'!$AF$28="","",'Final Calculation Sheet'!$AF$28)</f>
        <v/>
      </c>
      <c r="AH54" s="99">
        <f>IF('Final Calculation Sheet'!$AG$28="","",'Final Calculation Sheet'!$AG$28)</f>
        <v/>
      </c>
      <c r="AI54" s="95">
        <f>IF('Final Calculation Sheet'!$AH$28="","",'Final Calculation Sheet'!$AH$28)</f>
        <v/>
      </c>
      <c r="AJ54">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54">
        <f>IF(AJ54=1,COUNTIF(AJ$7:AJ54,1),"")</f>
        <v/>
      </c>
    </row>
    <row r="55" outlineLevel="1" ht="15" customHeight="1" s="137">
      <c r="A55" s="67" t="n">
        <v>3</v>
      </c>
      <c r="B55" s="76">
        <f>IF('Final Calculation Sheet'!$F$35="","",'Final Calculation Sheet'!$F$35)</f>
        <v/>
      </c>
      <c r="C55" s="76">
        <f>IF('Final Calculation Sheet'!$G$35="","",'Final Calculation Sheet'!$G$35)</f>
        <v/>
      </c>
      <c r="D55" s="80">
        <f>IF('Final Calculation Sheet'!$B$35="","",'Final Calculation Sheet'!$B$35)</f>
        <v/>
      </c>
      <c r="E55" s="80">
        <f>IF('Final Calculation Sheet'!$D$35="","",'Final Calculation Sheet'!$D$35)</f>
        <v/>
      </c>
      <c r="F55" s="80">
        <f>IF('Final Calculation Sheet'!$A$35="","",'Final Calculation Sheet'!$A$35)</f>
        <v/>
      </c>
      <c r="G55" s="80">
        <f>IF('Final Calculation Sheet'!$E$35="","",'Final Calculation Sheet'!$E$35)</f>
        <v/>
      </c>
      <c r="H55" s="70">
        <f>IF('Final Calculation Sheet'!$C$35="","",'Final Calculation Sheet'!$C$35)</f>
        <v/>
      </c>
      <c r="I55" s="70">
        <f>IF('Final Calculation Sheet'!$H$35="","",'Final Calculation Sheet'!$H$35)</f>
        <v/>
      </c>
      <c r="J55" s="70">
        <f>IF('Final Calculation Sheet'!$I$35="","",'Final Calculation Sheet'!$I$35)</f>
        <v/>
      </c>
      <c r="K55" s="70">
        <f>IF('Final Calculation Sheet'!$J$35="","",'Final Calculation Sheet'!$J$35)</f>
        <v/>
      </c>
      <c r="L55" s="70">
        <f>IF('Final Calculation Sheet'!$K$35="","",'Final Calculation Sheet'!$K$35)</f>
        <v/>
      </c>
      <c r="M55" s="70">
        <f>IF('Final Calculation Sheet'!$L$35="","",'Final Calculation Sheet'!$L$35)</f>
        <v/>
      </c>
      <c r="N55" s="70">
        <f>IF('Final Calculation Sheet'!$M$35="","",'Final Calculation Sheet'!$M$35)</f>
        <v/>
      </c>
      <c r="O55" s="71">
        <f>IF('Final Calculation Sheet'!$N$35="","",'Final Calculation Sheet'!$N$35)</f>
        <v/>
      </c>
      <c r="P55" s="70">
        <f>IF('Final Calculation Sheet'!$O$35="","",'Final Calculation Sheet'!$O$35)</f>
        <v/>
      </c>
      <c r="Q55" s="70">
        <f>IF('Final Calculation Sheet'!$P$35="","",'Final Calculation Sheet'!$P$35)</f>
        <v/>
      </c>
      <c r="R55" s="72">
        <f>IF('Final Calculation Sheet'!$Q$35="","",'Final Calculation Sheet'!$Q$35)</f>
        <v/>
      </c>
      <c r="S55" s="70">
        <f>IF('Final Calculation Sheet'!$R$35="","",'Final Calculation Sheet'!$R$35)</f>
        <v/>
      </c>
      <c r="T55" s="70">
        <f>IF('Final Calculation Sheet'!$S$35="","",'Final Calculation Sheet'!$S$35)</f>
        <v/>
      </c>
      <c r="U55" s="70">
        <f>IF('Final Calculation Sheet'!$T$35="","",'Final Calculation Sheet'!$T$35)</f>
        <v/>
      </c>
      <c r="V55" s="73">
        <f>IF('Final Calculation Sheet'!$U$35="","",'Final Calculation Sheet'!$U$35)</f>
        <v/>
      </c>
      <c r="W55" s="70">
        <f>IF('Final Calculation Sheet'!$V$35="","",'Final Calculation Sheet'!$V$35)</f>
        <v/>
      </c>
      <c r="X55" s="70">
        <f>IF('Final Calculation Sheet'!$W$35="","",'Final Calculation Sheet'!$W$35)</f>
        <v/>
      </c>
      <c r="Y55" s="70">
        <f>IF('Final Calculation Sheet'!$X$35="","",'Final Calculation Sheet'!$X$35)</f>
        <v/>
      </c>
      <c r="Z55" s="70">
        <f>IF('Final Calculation Sheet'!$Y$35="","",'Final Calculation Sheet'!$Y$35)</f>
        <v/>
      </c>
      <c r="AA55" s="70">
        <f>IF('Final Calculation Sheet'!$Z$35="","",'Final Calculation Sheet'!$Z$35)</f>
        <v/>
      </c>
      <c r="AB55" s="70">
        <f>IF('Final Calculation Sheet'!$AA$35="","",'Final Calculation Sheet'!$AA$35)</f>
        <v/>
      </c>
      <c r="AC55" s="70">
        <f>IF('Final Calculation Sheet'!$AB$35="","",'Final Calculation Sheet'!$AB$35)</f>
        <v/>
      </c>
      <c r="AD55" s="70">
        <f>IF('Final Calculation Sheet'!$AC$35="","",'Final Calculation Sheet'!$AC$35)</f>
        <v/>
      </c>
      <c r="AE55" s="70">
        <f>IF('Final Calculation Sheet'!$AD$35="","",'Final Calculation Sheet'!$AD$35)</f>
        <v/>
      </c>
      <c r="AF55" s="75">
        <f>IF('Final Calculation Sheet'!$AD$35="","",IF('Final Calculation Sheet'!$AD$35&lt;=5,"SETTLED","OUTSTANDING"))</f>
        <v/>
      </c>
      <c r="AG55" s="70">
        <f>IF('Final Calculation Sheet'!$AF$35="","",'Final Calculation Sheet'!$AF$35)</f>
        <v/>
      </c>
      <c r="AH55" s="74">
        <f>IF('Final Calculation Sheet'!$AG$35="","",'Final Calculation Sheet'!$AG$35)</f>
        <v/>
      </c>
      <c r="AI55" s="70">
        <f>IF('Final Calculation Sheet'!$AH$35="","",'Final Calculation Sheet'!$AH$35)</f>
        <v/>
      </c>
      <c r="AJ55">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55">
        <f>IF(AJ55=1,COUNTIF(AJ$7:AJ55,1),"")</f>
        <v/>
      </c>
    </row>
    <row r="56" ht="15" customHeight="1" s="137">
      <c r="A56" s="81" t="inlineStr">
        <is>
          <t>∑</t>
        </is>
      </c>
      <c r="B56" s="83" t="n"/>
      <c r="C56" s="83">
        <f>ROWS($C$53:$C$55)&amp;" lot(s)"</f>
        <v/>
      </c>
      <c r="D56" s="83" t="inlineStr">
        <is>
          <t>SUBTOTAL — WATAN SCRAP TRADERS</t>
        </is>
      </c>
      <c r="E56" s="83" t="inlineStr">
        <is>
          <t>–</t>
        </is>
      </c>
      <c r="F56" s="83">
        <f>SUM(F53:F55)</f>
        <v/>
      </c>
      <c r="G56" s="83" t="inlineStr">
        <is>
          <t>–</t>
        </is>
      </c>
      <c r="H56" s="84" t="inlineStr">
        <is>
          <t>–</t>
        </is>
      </c>
      <c r="I56" s="84">
        <f>SUM(I53:I55)</f>
        <v/>
      </c>
      <c r="J56" s="84">
        <f>SUM(J53:J55)</f>
        <v/>
      </c>
      <c r="K56" s="84">
        <f>SUM(K53:K55)</f>
        <v/>
      </c>
      <c r="L56" s="84">
        <f>SUM(L53:L55)</f>
        <v/>
      </c>
      <c r="M56" s="84">
        <f>SUM(M53:M55)</f>
        <v/>
      </c>
      <c r="N56" s="84">
        <f>SUM(N53:N55)</f>
        <v/>
      </c>
      <c r="O56" s="85">
        <f>SUM(O53:O55)</f>
        <v/>
      </c>
      <c r="P56" s="84">
        <f>SUM(P53:P55)</f>
        <v/>
      </c>
      <c r="Q56" s="84">
        <f>SUM(Q53:Q55)</f>
        <v/>
      </c>
      <c r="R56" s="86" t="inlineStr">
        <is>
          <t>–</t>
        </is>
      </c>
      <c r="S56" s="84">
        <f>SUM(S53:S55)</f>
        <v/>
      </c>
      <c r="T56" s="84">
        <f>SUM(T53:T55)</f>
        <v/>
      </c>
      <c r="U56" s="84">
        <f>SUM(U53:U55)</f>
        <v/>
      </c>
      <c r="V56" s="87">
        <f>SUM(V53:V55)</f>
        <v/>
      </c>
      <c r="W56" s="84" t="inlineStr">
        <is>
          <t>–</t>
        </is>
      </c>
      <c r="X56" s="84">
        <f>SUM(X53:X55)</f>
        <v/>
      </c>
      <c r="Y56" s="84">
        <f>SUM(Y53:Y55)</f>
        <v/>
      </c>
      <c r="Z56" s="84" t="inlineStr">
        <is>
          <t>–</t>
        </is>
      </c>
      <c r="AA56" s="84">
        <f>SUM(AA53:AA55)</f>
        <v/>
      </c>
      <c r="AB56" s="84">
        <f>SUM(AB53:AB55)</f>
        <v/>
      </c>
      <c r="AC56" s="84" t="inlineStr">
        <is>
          <t>–</t>
        </is>
      </c>
      <c r="AD56" s="84">
        <f>SUM(AD53:AD55)</f>
        <v/>
      </c>
      <c r="AE56" s="84">
        <f>SUM(AE53:AE55)</f>
        <v/>
      </c>
      <c r="AF56" s="89">
        <f>IF(AE56&lt;=5,"SETTLED","OUTSTANDING")</f>
        <v/>
      </c>
      <c r="AG56" s="84" t="inlineStr">
        <is>
          <t>–</t>
        </is>
      </c>
      <c r="AH56" s="88" t="inlineStr">
        <is>
          <t>–</t>
        </is>
      </c>
      <c r="AI56" s="84" t="inlineStr">
        <is>
          <t>–</t>
        </is>
      </c>
    </row>
    <row r="57" ht="15" customHeight="1" s="137">
      <c r="A57" s="101" t="inlineStr">
        <is>
          <t>∑</t>
        </is>
      </c>
      <c r="B57" s="102" t="n"/>
      <c r="C57" s="102">
        <f>COUNTA('Final Calculation Sheet'!$G$4:$G$40)&amp;" lot(s)"</f>
        <v/>
      </c>
      <c r="D57" s="102" t="inlineStr">
        <is>
          <t>TOTAL — every buyer together</t>
        </is>
      </c>
      <c r="E57" s="102" t="inlineStr">
        <is>
          <t>–</t>
        </is>
      </c>
      <c r="F57" s="102">
        <f>SUM(F8,F11,F13,F15,F17,F31,F33,F36,F39,F41,F44,F52,F56)</f>
        <v/>
      </c>
      <c r="G57" s="102" t="inlineStr">
        <is>
          <t>–</t>
        </is>
      </c>
      <c r="H57" s="103" t="inlineStr">
        <is>
          <t>–</t>
        </is>
      </c>
      <c r="I57" s="103">
        <f>SUM(I8,I11,I13,I15,I17,I31,I33,I36,I39,I41,I44,I52,I56)</f>
        <v/>
      </c>
      <c r="J57" s="103">
        <f>SUM(J8,J11,J13,J15,J17,J31,J33,J36,J39,J41,J44,J52,J56)</f>
        <v/>
      </c>
      <c r="K57" s="103">
        <f>SUM(K8,K11,K13,K15,K17,K31,K33,K36,K39,K41,K44,K52,K56)</f>
        <v/>
      </c>
      <c r="L57" s="103">
        <f>SUM(L8,L11,L13,L15,L17,L31,L33,L36,L39,L41,L44,L52,L56)</f>
        <v/>
      </c>
      <c r="M57" s="103">
        <f>SUM(M8,M11,M13,M15,M17,M31,M33,M36,M39,M41,M44,M52,M56)</f>
        <v/>
      </c>
      <c r="N57" s="103">
        <f>SUM(N8,N11,N13,N15,N17,N31,N33,N36,N39,N41,N44,N52,N56)</f>
        <v/>
      </c>
      <c r="O57" s="104">
        <f>SUM(O8,O11,O13,O15,O17,O31,O33,O36,O39,O41,O44,O52,O56)</f>
        <v/>
      </c>
      <c r="P57" s="103">
        <f>SUM(P8,P11,P13,P15,P17,P31,P33,P36,P39,P41,P44,P52,P56)</f>
        <v/>
      </c>
      <c r="Q57" s="103">
        <f>SUM(Q8,Q11,Q13,Q15,Q17,Q31,Q33,Q36,Q39,Q41,Q44,Q52,Q56)</f>
        <v/>
      </c>
      <c r="R57" s="105" t="inlineStr">
        <is>
          <t>–</t>
        </is>
      </c>
      <c r="S57" s="103">
        <f>SUM(S8,S11,S13,S15,S17,S31,S33,S36,S39,S41,S44,S52,S56)</f>
        <v/>
      </c>
      <c r="T57" s="103">
        <f>SUM(T8,T11,T13,T15,T17,T31,T33,T36,T39,T41,T44,T52,T56)</f>
        <v/>
      </c>
      <c r="U57" s="103">
        <f>SUM(U8,U11,U13,U15,U17,U31,U33,U36,U39,U41,U44,U52,U56)</f>
        <v/>
      </c>
      <c r="V57" s="106">
        <f>SUM(V8,V11,V13,V15,V17,V31,V33,V36,V39,V41,V44,V52,V56)</f>
        <v/>
      </c>
      <c r="W57" s="103" t="inlineStr">
        <is>
          <t>–</t>
        </is>
      </c>
      <c r="X57" s="103">
        <f>SUM(X8,X11,X13,X15,X17,X31,X33,X36,X39,X41,X44,X52,X56)</f>
        <v/>
      </c>
      <c r="Y57" s="103">
        <f>SUM(Y8,Y11,Y13,Y15,Y17,Y31,Y33,Y36,Y39,Y41,Y44,Y52,Y56)</f>
        <v/>
      </c>
      <c r="Z57" s="103" t="inlineStr">
        <is>
          <t>–</t>
        </is>
      </c>
      <c r="AA57" s="103">
        <f>SUM(AA8,AA11,AA13,AA15,AA17,AA31,AA33,AA36,AA39,AA41,AA44,AA52,AA56)</f>
        <v/>
      </c>
      <c r="AB57" s="103">
        <f>SUM(AB8,AB11,AB13,AB15,AB17,AB31,AB33,AB36,AB39,AB41,AB44,AB52,AB56)</f>
        <v/>
      </c>
      <c r="AC57" s="103" t="inlineStr">
        <is>
          <t>–</t>
        </is>
      </c>
      <c r="AD57" s="103">
        <f>SUM(AD8,AD11,AD13,AD15,AD17,AD31,AD33,AD36,AD39,AD41,AD44,AD52,AD56)</f>
        <v/>
      </c>
      <c r="AE57" s="103">
        <f>SUM(AE8,AE11,AE13,AE15,AE17,AE31,AE33,AE36,AE39,AE41,AE44,AE52,AE56)</f>
        <v/>
      </c>
      <c r="AF57" s="108">
        <f>IF(AE57&lt;=5,"SETTLED","OUTSTANDING")</f>
        <v/>
      </c>
      <c r="AG57" s="103" t="inlineStr">
        <is>
          <t>–</t>
        </is>
      </c>
      <c r="AH57" s="107" t="inlineStr">
        <is>
          <t>–</t>
        </is>
      </c>
      <c r="AI57" s="103" t="inlineStr">
        <is>
          <t>–</t>
        </is>
      </c>
      <c r="AM57">
        <f>IF(AND(Lists!$O$4&lt;&gt;"",ISNUMBER(SEARCH($B$4,Lists!$O$4))),1,0)</f>
        <v/>
      </c>
      <c r="AN57">
        <f>IF(ROW()-56&gt;MAX($AM$57:$AM$95),"",INDEX(Lists!$O$4:$O$42,MATCH(ROW()-56,$AM$57:$AM$95,0)))</f>
        <v/>
      </c>
      <c r="AO57">
        <f>IF(AND(Lists!$T$4&lt;&gt;"",ISNUMBER(SEARCH($C$4,Lists!$T$4))),1,0)</f>
        <v/>
      </c>
      <c r="AP57">
        <f>IF(ROW()-56&gt;MAX($AO$57:$AO$95),"",INDEX(Lists!$T$4:$T$42,MATCH(ROW()-56,$AO$57:$AO$95,0)))</f>
        <v/>
      </c>
      <c r="AQ57">
        <f>IF(AND(Lists!$Y$4&lt;&gt;"",ISNUMBER(SEARCH($D$4,Lists!$Y$4))),1,0)</f>
        <v/>
      </c>
      <c r="AR57">
        <f>IF(ROW()-56&gt;MAX($AQ$57:$AQ$95),"",INDEX(Lists!$Y$4:$Y$42,MATCH(ROW()-56,$AQ$57:$AQ$95,0)))</f>
        <v/>
      </c>
      <c r="AS57">
        <f>IF(AND(Lists!$AD$4&lt;&gt;"",ISNUMBER(SEARCH($E$4,Lists!$AD$4))),1,0)</f>
        <v/>
      </c>
      <c r="AT57">
        <f>IF(ROW()-56&gt;MAX($AS$57:$AS$95),"",INDEX(Lists!$AD$4:$AD$42,MATCH(ROW()-56,$AS$57:$AS$95,0)))</f>
        <v/>
      </c>
      <c r="AU57">
        <f>IF(AND(Lists!$AI$4&lt;&gt;"",ISNUMBER(SEARCH($F$4,Lists!$AI$4))),1,0)</f>
        <v/>
      </c>
      <c r="AV57">
        <f>IF(ROW()-56&gt;MAX($AU$57:$AU$95),"",INDEX(Lists!$AI$4:$AI$42,MATCH(ROW()-56,$AU$57:$AU$95,0)))</f>
        <v/>
      </c>
      <c r="AW57">
        <f>IF(AND(Lists!$AN$4&lt;&gt;"",ISNUMBER(SEARCH($G$4,Lists!$AN$4))),1,0)</f>
        <v/>
      </c>
      <c r="AX57">
        <f>IF(ROW()-56&gt;MAX($AW$57:$AW$95),"",INDEX(Lists!$AN$4:$AN$42,MATCH(ROW()-56,$AW$57:$AW$95,0)))</f>
        <v/>
      </c>
      <c r="AY57">
        <f>IF(AND(Lists!$AS$4&lt;&gt;"",ISNUMBER(SEARCH($H$4,Lists!$AS$4))),1,0)</f>
        <v/>
      </c>
      <c r="AZ57">
        <f>IF(ROW()-56&gt;MAX($AY$57:$AY$95),"",INDEX(Lists!$AS$4:$AS$42,MATCH(ROW()-56,$AY$57:$AY$95,0)))</f>
        <v/>
      </c>
      <c r="BA57">
        <f>IF(AND(Lists!$AX$4&lt;&gt;"",ISNUMBER(SEARCH($I$4,Lists!$AX$4))),1,0)</f>
        <v/>
      </c>
      <c r="BB57">
        <f>IF(ROW()-56&gt;MAX($BA$57:$BA$95),"",INDEX(Lists!$AX$4:$AX$42,MATCH(ROW()-56,$BA$57:$BA$95,0)))</f>
        <v/>
      </c>
      <c r="BC57">
        <f>IF(AND(Lists!$BC$4&lt;&gt;"",ISNUMBER(SEARCH($J$4,Lists!$BC$4))),1,0)</f>
        <v/>
      </c>
      <c r="BD57">
        <f>IF(ROW()-56&gt;MAX($BC$57:$BC$95),"",INDEX(Lists!$BC$4:$BC$42,MATCH(ROW()-56,$BC$57:$BC$95,0)))</f>
        <v/>
      </c>
      <c r="BE57">
        <f>IF(AND(Lists!$BH$4&lt;&gt;"",ISNUMBER(SEARCH($K$4,Lists!$BH$4))),1,0)</f>
        <v/>
      </c>
      <c r="BF57">
        <f>IF(ROW()-56&gt;MAX($BE$57:$BE$95),"",INDEX(Lists!$BH$4:$BH$42,MATCH(ROW()-56,$BE$57:$BE$95,0)))</f>
        <v/>
      </c>
      <c r="BG57">
        <f>IF(AND(Lists!$BM$4&lt;&gt;"",ISNUMBER(SEARCH($L$4,Lists!$BM$4))),1,0)</f>
        <v/>
      </c>
      <c r="BH57">
        <f>IF(ROW()-56&gt;MAX($BG$57:$BG$95),"",INDEX(Lists!$BM$4:$BM$42,MATCH(ROW()-56,$BG$57:$BG$95,0)))</f>
        <v/>
      </c>
      <c r="BI57">
        <f>IF(AND(Lists!$BR$4&lt;&gt;"",ISNUMBER(SEARCH($M$4,Lists!$BR$4))),1,0)</f>
        <v/>
      </c>
      <c r="BJ57">
        <f>IF(ROW()-56&gt;MAX($BI$57:$BI$95),"",INDEX(Lists!$BR$4:$BR$42,MATCH(ROW()-56,$BI$57:$BI$95,0)))</f>
        <v/>
      </c>
      <c r="BK57">
        <f>IF(AND(Lists!$BW$4&lt;&gt;"",ISNUMBER(SEARCH($N$4,Lists!$BW$4))),1,0)</f>
        <v/>
      </c>
      <c r="BL57">
        <f>IF(ROW()-56&gt;MAX($BK$57:$BK$95),"",INDEX(Lists!$BW$4:$BW$42,MATCH(ROW()-56,$BK$57:$BK$95,0)))</f>
        <v/>
      </c>
      <c r="BM57">
        <f>IF(AND(Lists!$CB$4&lt;&gt;"",ISNUMBER(SEARCH($O$4,Lists!$CB$4))),1,0)</f>
        <v/>
      </c>
      <c r="BN57">
        <f>IF(ROW()-56&gt;MAX($BM$57:$BM$95),"",INDEX(Lists!$CB$4:$CB$42,MATCH(ROW()-56,$BM$57:$BM$95,0)))</f>
        <v/>
      </c>
      <c r="BO57">
        <f>IF(AND(Lists!$CG$4&lt;&gt;"",ISNUMBER(SEARCH($P$4,Lists!$CG$4))),1,0)</f>
        <v/>
      </c>
      <c r="BP57">
        <f>IF(ROW()-56&gt;MAX($BO$57:$BO$95),"",INDEX(Lists!$CG$4:$CG$42,MATCH(ROW()-56,$BO$57:$BO$95,0)))</f>
        <v/>
      </c>
      <c r="BQ57">
        <f>IF(AND(Lists!$CL$4&lt;&gt;"",ISNUMBER(SEARCH($Q$4,Lists!$CL$4))),1,0)</f>
        <v/>
      </c>
      <c r="BR57">
        <f>IF(ROW()-56&gt;MAX($BQ$57:$BQ$95),"",INDEX(Lists!$CL$4:$CL$42,MATCH(ROW()-56,$BQ$57:$BQ$95,0)))</f>
        <v/>
      </c>
      <c r="BS57">
        <f>IF(AND(Lists!$CQ$4&lt;&gt;"",ISNUMBER(SEARCH($R$4,Lists!$CQ$4))),1,0)</f>
        <v/>
      </c>
      <c r="BT57">
        <f>IF(ROW()-56&gt;MAX($BS$57:$BS$95),"",INDEX(Lists!$CQ$4:$CQ$42,MATCH(ROW()-56,$BS$57:$BS$95,0)))</f>
        <v/>
      </c>
      <c r="BU57">
        <f>IF(AND(Lists!$CV$4&lt;&gt;"",ISNUMBER(SEARCH($S$4,Lists!$CV$4))),1,0)</f>
        <v/>
      </c>
      <c r="BV57">
        <f>IF(ROW()-56&gt;MAX($BU$57:$BU$95),"",INDEX(Lists!$CV$4:$CV$42,MATCH(ROW()-56,$BU$57:$BU$95,0)))</f>
        <v/>
      </c>
      <c r="BW57">
        <f>IF(AND(Lists!$DA$4&lt;&gt;"",ISNUMBER(SEARCH($T$4,Lists!$DA$4))),1,0)</f>
        <v/>
      </c>
      <c r="BX57">
        <f>IF(ROW()-56&gt;MAX($BW$57:$BW$95),"",INDEX(Lists!$DA$4:$DA$42,MATCH(ROW()-56,$BW$57:$BW$95,0)))</f>
        <v/>
      </c>
      <c r="BY57">
        <f>IF(AND(Lists!$DF$4&lt;&gt;"",ISNUMBER(SEARCH($U$4,Lists!$DF$4))),1,0)</f>
        <v/>
      </c>
      <c r="BZ57">
        <f>IF(ROW()-56&gt;MAX($BY$57:$BY$95),"",INDEX(Lists!$DF$4:$DF$42,MATCH(ROW()-56,$BY$57:$BY$95,0)))</f>
        <v/>
      </c>
      <c r="CA57">
        <f>IF(AND(Lists!$DK$4&lt;&gt;"",ISNUMBER(SEARCH($V$4,Lists!$DK$4))),1,0)</f>
        <v/>
      </c>
      <c r="CB57">
        <f>IF(ROW()-56&gt;MAX($CA$57:$CA$95),"",INDEX(Lists!$DK$4:$DK$42,MATCH(ROW()-56,$CA$57:$CA$95,0)))</f>
        <v/>
      </c>
      <c r="CC57">
        <f>IF(AND(Lists!$DP$4&lt;&gt;"",ISNUMBER(SEARCH($W$4,Lists!$DP$4))),1,0)</f>
        <v/>
      </c>
      <c r="CD57">
        <f>IF(ROW()-56&gt;MAX($CC$57:$CC$95),"",INDEX(Lists!$DP$4:$DP$42,MATCH(ROW()-56,$CC$57:$CC$95,0)))</f>
        <v/>
      </c>
      <c r="CE57">
        <f>IF(AND(Lists!$DU$4&lt;&gt;"",ISNUMBER(SEARCH($X$4,Lists!$DU$4))),1,0)</f>
        <v/>
      </c>
      <c r="CF57">
        <f>IF(ROW()-56&gt;MAX($CE$57:$CE$95),"",INDEX(Lists!$DU$4:$DU$42,MATCH(ROW()-56,$CE$57:$CE$95,0)))</f>
        <v/>
      </c>
      <c r="CG57">
        <f>IF(AND(Lists!$DZ$4&lt;&gt;"",ISNUMBER(SEARCH($Y$4,Lists!$DZ$4))),1,0)</f>
        <v/>
      </c>
      <c r="CH57">
        <f>IF(ROW()-56&gt;MAX($CG$57:$CG$95),"",INDEX(Lists!$DZ$4:$DZ$42,MATCH(ROW()-56,$CG$57:$CG$95,0)))</f>
        <v/>
      </c>
      <c r="CI57">
        <f>IF(AND(Lists!$EE$4&lt;&gt;"",ISNUMBER(SEARCH($Z$4,Lists!$EE$4))),1,0)</f>
        <v/>
      </c>
      <c r="CJ57">
        <f>IF(ROW()-56&gt;MAX($CI$57:$CI$95),"",INDEX(Lists!$EE$4:$EE$42,MATCH(ROW()-56,$CI$57:$CI$95,0)))</f>
        <v/>
      </c>
      <c r="CK57">
        <f>IF(AND(Lists!$EJ$4&lt;&gt;"",ISNUMBER(SEARCH($AA$4,Lists!$EJ$4))),1,0)</f>
        <v/>
      </c>
      <c r="CL57">
        <f>IF(ROW()-56&gt;MAX($CK$57:$CK$95),"",INDEX(Lists!$EJ$4:$EJ$42,MATCH(ROW()-56,$CK$57:$CK$95,0)))</f>
        <v/>
      </c>
      <c r="CM57">
        <f>IF(AND(Lists!$EO$4&lt;&gt;"",ISNUMBER(SEARCH($AB$4,Lists!$EO$4))),1,0)</f>
        <v/>
      </c>
      <c r="CN57">
        <f>IF(ROW()-56&gt;MAX($CM$57:$CM$95),"",INDEX(Lists!$EO$4:$EO$42,MATCH(ROW()-56,$CM$57:$CM$95,0)))</f>
        <v/>
      </c>
      <c r="CO57">
        <f>IF(AND(Lists!$ET$4&lt;&gt;"",ISNUMBER(SEARCH($AC$4,Lists!$ET$4))),1,0)</f>
        <v/>
      </c>
      <c r="CP57">
        <f>IF(ROW()-56&gt;MAX($CO$57:$CO$95),"",INDEX(Lists!$ET$4:$ET$42,MATCH(ROW()-56,$CO$57:$CO$95,0)))</f>
        <v/>
      </c>
      <c r="CQ57">
        <f>IF(AND(Lists!$EY$4&lt;&gt;"",ISNUMBER(SEARCH($AD$4,Lists!$EY$4))),1,0)</f>
        <v/>
      </c>
      <c r="CR57">
        <f>IF(ROW()-56&gt;MAX($CQ$57:$CQ$95),"",INDEX(Lists!$EY$4:$EY$42,MATCH(ROW()-56,$CQ$57:$CQ$95,0)))</f>
        <v/>
      </c>
      <c r="CS57">
        <f>IF(AND(Lists!$FD$4&lt;&gt;"",ISNUMBER(SEARCH($AE$4,Lists!$FD$4))),1,0)</f>
        <v/>
      </c>
      <c r="CT57">
        <f>IF(ROW()-56&gt;MAX($CS$57:$CS$95),"",INDEX(Lists!$FD$4:$FD$42,MATCH(ROW()-56,$CS$57:$CS$95,0)))</f>
        <v/>
      </c>
      <c r="CU57">
        <f>IF(AND(Lists!$FI$4&lt;&gt;"",ISNUMBER(SEARCH($AG$4,Lists!$FI$4))),1,0)</f>
        <v/>
      </c>
      <c r="CV57">
        <f>IF(ROW()-56&gt;MAX($CU$57:$CU$95),"",INDEX(Lists!$FI$4:$FI$42,MATCH(ROW()-56,$CU$57:$CU$95,0)))</f>
        <v/>
      </c>
      <c r="CW57">
        <f>IF(AND(Lists!$FN$4&lt;&gt;"",ISNUMBER(SEARCH($AH$4,Lists!$FN$4))),1,0)</f>
        <v/>
      </c>
      <c r="CX57">
        <f>IF(ROW()-56&gt;MAX($CW$57:$CW$95),"",INDEX(Lists!$FN$4:$FN$42,MATCH(ROW()-56,$CW$57:$CW$95,0)))</f>
        <v/>
      </c>
      <c r="CY57">
        <f>IF(AND(Lists!$FS$4&lt;&gt;"",ISNUMBER(SEARCH($AI$4,Lists!$FS$4))),1,0)</f>
        <v/>
      </c>
      <c r="CZ57">
        <f>IF(ROW()-56&gt;MAX($CY$57:$CY$95),"",INDEX(Lists!$FS$4:$FS$42,MATCH(ROW()-56,$CY$57:$CY$95,0)))</f>
        <v/>
      </c>
      <c r="DA57">
        <f>IF(AND(Lists!$FX$4&lt;&gt;"",ISNUMBER(SEARCH($AF$4,Lists!$FX$4))),1,0)</f>
        <v/>
      </c>
      <c r="DB57">
        <f>IF(ROW()-56&gt;MAX($DA$57:$DA$95),"",INDEX(Lists!$FX$4:$FX$42,MATCH(ROW()-56,$DA$57:$DA$95,0)))</f>
        <v/>
      </c>
    </row>
    <row r="58" ht="15" customHeight="1" s="137">
      <c r="A58" s="109" t="inlineStr">
        <is>
          <t>∑</t>
        </is>
      </c>
      <c r="B58" s="110" t="n"/>
      <c r="C58" s="110">
        <f>COUNTA('Final Calculation Sheet'!$G$4:$G$40)&amp;" lot(s)"</f>
        <v/>
      </c>
      <c r="D58" s="110" t="inlineStr">
        <is>
          <t>GRAND TOTAL — cross-checked to source</t>
        </is>
      </c>
      <c r="E58" s="110" t="inlineStr">
        <is>
          <t>–</t>
        </is>
      </c>
      <c r="F58" s="110">
        <f>SUM('Final Calculation Sheet'!$A$4:$A$40)</f>
        <v/>
      </c>
      <c r="G58" s="110" t="inlineStr">
        <is>
          <t>–</t>
        </is>
      </c>
      <c r="H58" s="111" t="inlineStr">
        <is>
          <t>–</t>
        </is>
      </c>
      <c r="I58" s="111">
        <f>SUM('Final Calculation Sheet'!$H$4:$H$40)</f>
        <v/>
      </c>
      <c r="J58" s="111">
        <f>SUM('Final Calculation Sheet'!$I$4:$I$40)</f>
        <v/>
      </c>
      <c r="K58" s="111">
        <f>SUM('Final Calculation Sheet'!$J$4:$J$40)</f>
        <v/>
      </c>
      <c r="L58" s="111">
        <f>SUM('Final Calculation Sheet'!$K$4:$K$40)</f>
        <v/>
      </c>
      <c r="M58" s="111">
        <f>SUM('Final Calculation Sheet'!$L$4:$L$40)</f>
        <v/>
      </c>
      <c r="N58" s="111">
        <f>SUM('Final Calculation Sheet'!$M$4:$M$40)</f>
        <v/>
      </c>
      <c r="O58" s="112">
        <f>SUM('Final Calculation Sheet'!$N$4:$N$40)</f>
        <v/>
      </c>
      <c r="P58" s="111">
        <f>SUM('Final Calculation Sheet'!$O$4:$O$40)</f>
        <v/>
      </c>
      <c r="Q58" s="111">
        <f>SUM('Final Calculation Sheet'!$P$4:$P$40)</f>
        <v/>
      </c>
      <c r="R58" s="113" t="inlineStr">
        <is>
          <t>–</t>
        </is>
      </c>
      <c r="S58" s="111">
        <f>SUM('Final Calculation Sheet'!$R$4:$R$40)</f>
        <v/>
      </c>
      <c r="T58" s="111">
        <f>SUM('Final Calculation Sheet'!$S$4:$S$40)</f>
        <v/>
      </c>
      <c r="U58" s="111">
        <f>SUM('Final Calculation Sheet'!$T$4:$T$40)</f>
        <v/>
      </c>
      <c r="V58" s="114">
        <f>SUM('Final Calculation Sheet'!$U$4:$U$40)</f>
        <v/>
      </c>
      <c r="W58" s="111" t="inlineStr">
        <is>
          <t>–</t>
        </is>
      </c>
      <c r="X58" s="111">
        <f>SUM('Final Calculation Sheet'!$W$4:$W$40)</f>
        <v/>
      </c>
      <c r="Y58" s="111">
        <f>SUM('Final Calculation Sheet'!$X$4:$X$40)</f>
        <v/>
      </c>
      <c r="Z58" s="111" t="inlineStr">
        <is>
          <t>–</t>
        </is>
      </c>
      <c r="AA58" s="111">
        <f>SUM('Final Calculation Sheet'!$Z$4:$Z$40)</f>
        <v/>
      </c>
      <c r="AB58" s="111">
        <f>SUM('Final Calculation Sheet'!$AA$4:$AA$40)</f>
        <v/>
      </c>
      <c r="AC58" s="111" t="inlineStr">
        <is>
          <t>–</t>
        </is>
      </c>
      <c r="AD58" s="111">
        <f>SUM('Final Calculation Sheet'!$AC$4:$AC$40)</f>
        <v/>
      </c>
      <c r="AE58" s="111">
        <f>SUM('Final Calculation Sheet'!$AD$4:$AD$40)</f>
        <v/>
      </c>
      <c r="AF58" s="116">
        <f>IF(AE58&lt;=5,"SETTLED","OUTSTANDING")</f>
        <v/>
      </c>
      <c r="AG58" s="111" t="inlineStr">
        <is>
          <t>–</t>
        </is>
      </c>
      <c r="AH58" s="115" t="inlineStr">
        <is>
          <t>–</t>
        </is>
      </c>
      <c r="AI58" s="111" t="inlineStr">
        <is>
          <t>–</t>
        </is>
      </c>
      <c r="AM58">
        <f>AM57+IF(AND(Lists!$O$5&lt;&gt;"",ISNUMBER(SEARCH($B$4,Lists!$O$5))),1,0)</f>
        <v/>
      </c>
      <c r="AN58">
        <f>IF(ROW()-56&gt;MAX($AM$57:$AM$95),"",INDEX(Lists!$O$4:$O$42,MATCH(ROW()-56,$AM$57:$AM$95,0)))</f>
        <v/>
      </c>
      <c r="AO58">
        <f>AO57+IF(AND(Lists!$T$5&lt;&gt;"",ISNUMBER(SEARCH($C$4,Lists!$T$5))),1,0)</f>
        <v/>
      </c>
      <c r="AP58">
        <f>IF(ROW()-56&gt;MAX($AO$57:$AO$95),"",INDEX(Lists!$T$4:$T$42,MATCH(ROW()-56,$AO$57:$AO$95,0)))</f>
        <v/>
      </c>
      <c r="AQ58">
        <f>AQ57+IF(AND(Lists!$Y$5&lt;&gt;"",ISNUMBER(SEARCH($D$4,Lists!$Y$5))),1,0)</f>
        <v/>
      </c>
      <c r="AR58">
        <f>IF(ROW()-56&gt;MAX($AQ$57:$AQ$95),"",INDEX(Lists!$Y$4:$Y$42,MATCH(ROW()-56,$AQ$57:$AQ$95,0)))</f>
        <v/>
      </c>
      <c r="AS58">
        <f>AS57+IF(AND(Lists!$AD$5&lt;&gt;"",ISNUMBER(SEARCH($E$4,Lists!$AD$5))),1,0)</f>
        <v/>
      </c>
      <c r="AT58">
        <f>IF(ROW()-56&gt;MAX($AS$57:$AS$95),"",INDEX(Lists!$AD$4:$AD$42,MATCH(ROW()-56,$AS$57:$AS$95,0)))</f>
        <v/>
      </c>
      <c r="AU58">
        <f>AU57+IF(AND(Lists!$AI$5&lt;&gt;"",ISNUMBER(SEARCH($F$4,Lists!$AI$5))),1,0)</f>
        <v/>
      </c>
      <c r="AV58">
        <f>IF(ROW()-56&gt;MAX($AU$57:$AU$95),"",INDEX(Lists!$AI$4:$AI$42,MATCH(ROW()-56,$AU$57:$AU$95,0)))</f>
        <v/>
      </c>
      <c r="AW58">
        <f>AW57+IF(AND(Lists!$AN$5&lt;&gt;"",ISNUMBER(SEARCH($G$4,Lists!$AN$5))),1,0)</f>
        <v/>
      </c>
      <c r="AX58">
        <f>IF(ROW()-56&gt;MAX($AW$57:$AW$95),"",INDEX(Lists!$AN$4:$AN$42,MATCH(ROW()-56,$AW$57:$AW$95,0)))</f>
        <v/>
      </c>
      <c r="AY58">
        <f>AY57+IF(AND(Lists!$AS$5&lt;&gt;"",ISNUMBER(SEARCH($H$4,Lists!$AS$5))),1,0)</f>
        <v/>
      </c>
      <c r="AZ58">
        <f>IF(ROW()-56&gt;MAX($AY$57:$AY$95),"",INDEX(Lists!$AS$4:$AS$42,MATCH(ROW()-56,$AY$57:$AY$95,0)))</f>
        <v/>
      </c>
      <c r="BA58">
        <f>BA57+IF(AND(Lists!$AX$5&lt;&gt;"",ISNUMBER(SEARCH($I$4,Lists!$AX$5))),1,0)</f>
        <v/>
      </c>
      <c r="BB58">
        <f>IF(ROW()-56&gt;MAX($BA$57:$BA$95),"",INDEX(Lists!$AX$4:$AX$42,MATCH(ROW()-56,$BA$57:$BA$95,0)))</f>
        <v/>
      </c>
      <c r="BC58">
        <f>BC57+IF(AND(Lists!$BC$5&lt;&gt;"",ISNUMBER(SEARCH($J$4,Lists!$BC$5))),1,0)</f>
        <v/>
      </c>
      <c r="BD58">
        <f>IF(ROW()-56&gt;MAX($BC$57:$BC$95),"",INDEX(Lists!$BC$4:$BC$42,MATCH(ROW()-56,$BC$57:$BC$95,0)))</f>
        <v/>
      </c>
      <c r="BE58">
        <f>BE57+IF(AND(Lists!$BH$5&lt;&gt;"",ISNUMBER(SEARCH($K$4,Lists!$BH$5))),1,0)</f>
        <v/>
      </c>
      <c r="BF58">
        <f>IF(ROW()-56&gt;MAX($BE$57:$BE$95),"",INDEX(Lists!$BH$4:$BH$42,MATCH(ROW()-56,$BE$57:$BE$95,0)))</f>
        <v/>
      </c>
      <c r="BG58">
        <f>BG57+IF(AND(Lists!$BM$5&lt;&gt;"",ISNUMBER(SEARCH($L$4,Lists!$BM$5))),1,0)</f>
        <v/>
      </c>
      <c r="BH58">
        <f>IF(ROW()-56&gt;MAX($BG$57:$BG$95),"",INDEX(Lists!$BM$4:$BM$42,MATCH(ROW()-56,$BG$57:$BG$95,0)))</f>
        <v/>
      </c>
      <c r="BI58">
        <f>BI57+IF(AND(Lists!$BR$5&lt;&gt;"",ISNUMBER(SEARCH($M$4,Lists!$BR$5))),1,0)</f>
        <v/>
      </c>
      <c r="BJ58">
        <f>IF(ROW()-56&gt;MAX($BI$57:$BI$95),"",INDEX(Lists!$BR$4:$BR$42,MATCH(ROW()-56,$BI$57:$BI$95,0)))</f>
        <v/>
      </c>
      <c r="BK58">
        <f>BK57+IF(AND(Lists!$BW$5&lt;&gt;"",ISNUMBER(SEARCH($N$4,Lists!$BW$5))),1,0)</f>
        <v/>
      </c>
      <c r="BL58">
        <f>IF(ROW()-56&gt;MAX($BK$57:$BK$95),"",INDEX(Lists!$BW$4:$BW$42,MATCH(ROW()-56,$BK$57:$BK$95,0)))</f>
        <v/>
      </c>
      <c r="BM58">
        <f>BM57+IF(AND(Lists!$CB$5&lt;&gt;"",ISNUMBER(SEARCH($O$4,Lists!$CB$5))),1,0)</f>
        <v/>
      </c>
      <c r="BN58">
        <f>IF(ROW()-56&gt;MAX($BM$57:$BM$95),"",INDEX(Lists!$CB$4:$CB$42,MATCH(ROW()-56,$BM$57:$BM$95,0)))</f>
        <v/>
      </c>
      <c r="BO58">
        <f>BO57+IF(AND(Lists!$CG$5&lt;&gt;"",ISNUMBER(SEARCH($P$4,Lists!$CG$5))),1,0)</f>
        <v/>
      </c>
      <c r="BP58">
        <f>IF(ROW()-56&gt;MAX($BO$57:$BO$95),"",INDEX(Lists!$CG$4:$CG$42,MATCH(ROW()-56,$BO$57:$BO$95,0)))</f>
        <v/>
      </c>
      <c r="BQ58">
        <f>BQ57+IF(AND(Lists!$CL$5&lt;&gt;"",ISNUMBER(SEARCH($Q$4,Lists!$CL$5))),1,0)</f>
        <v/>
      </c>
      <c r="BR58">
        <f>IF(ROW()-56&gt;MAX($BQ$57:$BQ$95),"",INDEX(Lists!$CL$4:$CL$42,MATCH(ROW()-56,$BQ$57:$BQ$95,0)))</f>
        <v/>
      </c>
      <c r="BS58">
        <f>BS57+IF(AND(Lists!$CQ$5&lt;&gt;"",ISNUMBER(SEARCH($R$4,Lists!$CQ$5))),1,0)</f>
        <v/>
      </c>
      <c r="BT58">
        <f>IF(ROW()-56&gt;MAX($BS$57:$BS$95),"",INDEX(Lists!$CQ$4:$CQ$42,MATCH(ROW()-56,$BS$57:$BS$95,0)))</f>
        <v/>
      </c>
      <c r="BU58">
        <f>BU57+IF(AND(Lists!$CV$5&lt;&gt;"",ISNUMBER(SEARCH($S$4,Lists!$CV$5))),1,0)</f>
        <v/>
      </c>
      <c r="BV58">
        <f>IF(ROW()-56&gt;MAX($BU$57:$BU$95),"",INDEX(Lists!$CV$4:$CV$42,MATCH(ROW()-56,$BU$57:$BU$95,0)))</f>
        <v/>
      </c>
      <c r="BW58">
        <f>BW57+IF(AND(Lists!$DA$5&lt;&gt;"",ISNUMBER(SEARCH($T$4,Lists!$DA$5))),1,0)</f>
        <v/>
      </c>
      <c r="BX58">
        <f>IF(ROW()-56&gt;MAX($BW$57:$BW$95),"",INDEX(Lists!$DA$4:$DA$42,MATCH(ROW()-56,$BW$57:$BW$95,0)))</f>
        <v/>
      </c>
      <c r="BY58">
        <f>BY57+IF(AND(Lists!$DF$5&lt;&gt;"",ISNUMBER(SEARCH($U$4,Lists!$DF$5))),1,0)</f>
        <v/>
      </c>
      <c r="BZ58">
        <f>IF(ROW()-56&gt;MAX($BY$57:$BY$95),"",INDEX(Lists!$DF$4:$DF$42,MATCH(ROW()-56,$BY$57:$BY$95,0)))</f>
        <v/>
      </c>
      <c r="CA58">
        <f>CA57+IF(AND(Lists!$DK$5&lt;&gt;"",ISNUMBER(SEARCH($V$4,Lists!$DK$5))),1,0)</f>
        <v/>
      </c>
      <c r="CB58">
        <f>IF(ROW()-56&gt;MAX($CA$57:$CA$95),"",INDEX(Lists!$DK$4:$DK$42,MATCH(ROW()-56,$CA$57:$CA$95,0)))</f>
        <v/>
      </c>
      <c r="CC58">
        <f>CC57+IF(AND(Lists!$DP$5&lt;&gt;"",ISNUMBER(SEARCH($W$4,Lists!$DP$5))),1,0)</f>
        <v/>
      </c>
      <c r="CD58">
        <f>IF(ROW()-56&gt;MAX($CC$57:$CC$95),"",INDEX(Lists!$DP$4:$DP$42,MATCH(ROW()-56,$CC$57:$CC$95,0)))</f>
        <v/>
      </c>
      <c r="CE58">
        <f>CE57+IF(AND(Lists!$DU$5&lt;&gt;"",ISNUMBER(SEARCH($X$4,Lists!$DU$5))),1,0)</f>
        <v/>
      </c>
      <c r="CF58">
        <f>IF(ROW()-56&gt;MAX($CE$57:$CE$95),"",INDEX(Lists!$DU$4:$DU$42,MATCH(ROW()-56,$CE$57:$CE$95,0)))</f>
        <v/>
      </c>
      <c r="CG58">
        <f>CG57+IF(AND(Lists!$DZ$5&lt;&gt;"",ISNUMBER(SEARCH($Y$4,Lists!$DZ$5))),1,0)</f>
        <v/>
      </c>
      <c r="CH58">
        <f>IF(ROW()-56&gt;MAX($CG$57:$CG$95),"",INDEX(Lists!$DZ$4:$DZ$42,MATCH(ROW()-56,$CG$57:$CG$95,0)))</f>
        <v/>
      </c>
      <c r="CI58">
        <f>CI57+IF(AND(Lists!$EE$5&lt;&gt;"",ISNUMBER(SEARCH($Z$4,Lists!$EE$5))),1,0)</f>
        <v/>
      </c>
      <c r="CJ58">
        <f>IF(ROW()-56&gt;MAX($CI$57:$CI$95),"",INDEX(Lists!$EE$4:$EE$42,MATCH(ROW()-56,$CI$57:$CI$95,0)))</f>
        <v/>
      </c>
      <c r="CK58">
        <f>CK57+IF(AND(Lists!$EJ$5&lt;&gt;"",ISNUMBER(SEARCH($AA$4,Lists!$EJ$5))),1,0)</f>
        <v/>
      </c>
      <c r="CL58">
        <f>IF(ROW()-56&gt;MAX($CK$57:$CK$95),"",INDEX(Lists!$EJ$4:$EJ$42,MATCH(ROW()-56,$CK$57:$CK$95,0)))</f>
        <v/>
      </c>
      <c r="CM58">
        <f>CM57+IF(AND(Lists!$EO$5&lt;&gt;"",ISNUMBER(SEARCH($AB$4,Lists!$EO$5))),1,0)</f>
        <v/>
      </c>
      <c r="CN58">
        <f>IF(ROW()-56&gt;MAX($CM$57:$CM$95),"",INDEX(Lists!$EO$4:$EO$42,MATCH(ROW()-56,$CM$57:$CM$95,0)))</f>
        <v/>
      </c>
      <c r="CO58">
        <f>CO57+IF(AND(Lists!$ET$5&lt;&gt;"",ISNUMBER(SEARCH($AC$4,Lists!$ET$5))),1,0)</f>
        <v/>
      </c>
      <c r="CP58">
        <f>IF(ROW()-56&gt;MAX($CO$57:$CO$95),"",INDEX(Lists!$ET$4:$ET$42,MATCH(ROW()-56,$CO$57:$CO$95,0)))</f>
        <v/>
      </c>
      <c r="CQ58">
        <f>CQ57+IF(AND(Lists!$EY$5&lt;&gt;"",ISNUMBER(SEARCH($AD$4,Lists!$EY$5))),1,0)</f>
        <v/>
      </c>
      <c r="CR58">
        <f>IF(ROW()-56&gt;MAX($CQ$57:$CQ$95),"",INDEX(Lists!$EY$4:$EY$42,MATCH(ROW()-56,$CQ$57:$CQ$95,0)))</f>
        <v/>
      </c>
      <c r="CS58">
        <f>CS57+IF(AND(Lists!$FD$5&lt;&gt;"",ISNUMBER(SEARCH($AE$4,Lists!$FD$5))),1,0)</f>
        <v/>
      </c>
      <c r="CT58">
        <f>IF(ROW()-56&gt;MAX($CS$57:$CS$95),"",INDEX(Lists!$FD$4:$FD$42,MATCH(ROW()-56,$CS$57:$CS$95,0)))</f>
        <v/>
      </c>
      <c r="CU58">
        <f>CU57+IF(AND(Lists!$FI$5&lt;&gt;"",ISNUMBER(SEARCH($AG$4,Lists!$FI$5))),1,0)</f>
        <v/>
      </c>
      <c r="CV58">
        <f>IF(ROW()-56&gt;MAX($CU$57:$CU$95),"",INDEX(Lists!$FI$4:$FI$42,MATCH(ROW()-56,$CU$57:$CU$95,0)))</f>
        <v/>
      </c>
      <c r="CW58">
        <f>CW57+IF(AND(Lists!$FN$5&lt;&gt;"",ISNUMBER(SEARCH($AH$4,Lists!$FN$5))),1,0)</f>
        <v/>
      </c>
      <c r="CX58">
        <f>IF(ROW()-56&gt;MAX($CW$57:$CW$95),"",INDEX(Lists!$FN$4:$FN$42,MATCH(ROW()-56,$CW$57:$CW$95,0)))</f>
        <v/>
      </c>
      <c r="CY58">
        <f>CY57+IF(AND(Lists!$FS$5&lt;&gt;"",ISNUMBER(SEARCH($AI$4,Lists!$FS$5))),1,0)</f>
        <v/>
      </c>
      <c r="CZ58">
        <f>IF(ROW()-56&gt;MAX($CY$57:$CY$95),"",INDEX(Lists!$FS$4:$FS$42,MATCH(ROW()-56,$CY$57:$CY$95,0)))</f>
        <v/>
      </c>
      <c r="DA58">
        <f>DA57+IF(AND(Lists!$FX$5&lt;&gt;"",ISNUMBER(SEARCH($AF$4,Lists!$FX$5))),1,0)</f>
        <v/>
      </c>
      <c r="DB58">
        <f>IF(ROW()-56&gt;MAX($DA$57:$DA$95),"",INDEX(Lists!$FX$4:$FX$42,MATCH(ROW()-56,$DA$57:$DA$95,0)))</f>
        <v/>
      </c>
    </row>
    <row r="59">
      <c r="AM59">
        <f>AM58+IF(AND(Lists!$O$6&lt;&gt;"",ISNUMBER(SEARCH($B$4,Lists!$O$6))),1,0)</f>
        <v/>
      </c>
      <c r="AN59">
        <f>IF(ROW()-56&gt;MAX($AM$57:$AM$95),"",INDEX(Lists!$O$4:$O$42,MATCH(ROW()-56,$AM$57:$AM$95,0)))</f>
        <v/>
      </c>
      <c r="AO59">
        <f>AO58+IF(AND(Lists!$T$6&lt;&gt;"",ISNUMBER(SEARCH($C$4,Lists!$T$6))),1,0)</f>
        <v/>
      </c>
      <c r="AP59">
        <f>IF(ROW()-56&gt;MAX($AO$57:$AO$95),"",INDEX(Lists!$T$4:$T$42,MATCH(ROW()-56,$AO$57:$AO$95,0)))</f>
        <v/>
      </c>
      <c r="AQ59">
        <f>AQ58+IF(AND(Lists!$Y$6&lt;&gt;"",ISNUMBER(SEARCH($D$4,Lists!$Y$6))),1,0)</f>
        <v/>
      </c>
      <c r="AR59">
        <f>IF(ROW()-56&gt;MAX($AQ$57:$AQ$95),"",INDEX(Lists!$Y$4:$Y$42,MATCH(ROW()-56,$AQ$57:$AQ$95,0)))</f>
        <v/>
      </c>
      <c r="AS59">
        <f>AS58+IF(AND(Lists!$AD$6&lt;&gt;"",ISNUMBER(SEARCH($E$4,Lists!$AD$6))),1,0)</f>
        <v/>
      </c>
      <c r="AT59">
        <f>IF(ROW()-56&gt;MAX($AS$57:$AS$95),"",INDEX(Lists!$AD$4:$AD$42,MATCH(ROW()-56,$AS$57:$AS$95,0)))</f>
        <v/>
      </c>
      <c r="AU59">
        <f>AU58+IF(AND(Lists!$AI$6&lt;&gt;"",ISNUMBER(SEARCH($F$4,Lists!$AI$6))),1,0)</f>
        <v/>
      </c>
      <c r="AV59">
        <f>IF(ROW()-56&gt;MAX($AU$57:$AU$95),"",INDEX(Lists!$AI$4:$AI$42,MATCH(ROW()-56,$AU$57:$AU$95,0)))</f>
        <v/>
      </c>
      <c r="AW59">
        <f>AW58+IF(AND(Lists!$AN$6&lt;&gt;"",ISNUMBER(SEARCH($G$4,Lists!$AN$6))),1,0)</f>
        <v/>
      </c>
      <c r="AX59">
        <f>IF(ROW()-56&gt;MAX($AW$57:$AW$95),"",INDEX(Lists!$AN$4:$AN$42,MATCH(ROW()-56,$AW$57:$AW$95,0)))</f>
        <v/>
      </c>
      <c r="AY59">
        <f>AY58+IF(AND(Lists!$AS$6&lt;&gt;"",ISNUMBER(SEARCH($H$4,Lists!$AS$6))),1,0)</f>
        <v/>
      </c>
      <c r="AZ59">
        <f>IF(ROW()-56&gt;MAX($AY$57:$AY$95),"",INDEX(Lists!$AS$4:$AS$42,MATCH(ROW()-56,$AY$57:$AY$95,0)))</f>
        <v/>
      </c>
      <c r="BA59">
        <f>BA58+IF(AND(Lists!$AX$6&lt;&gt;"",ISNUMBER(SEARCH($I$4,Lists!$AX$6))),1,0)</f>
        <v/>
      </c>
      <c r="BB59">
        <f>IF(ROW()-56&gt;MAX($BA$57:$BA$95),"",INDEX(Lists!$AX$4:$AX$42,MATCH(ROW()-56,$BA$57:$BA$95,0)))</f>
        <v/>
      </c>
      <c r="BC59">
        <f>BC58+IF(AND(Lists!$BC$6&lt;&gt;"",ISNUMBER(SEARCH($J$4,Lists!$BC$6))),1,0)</f>
        <v/>
      </c>
      <c r="BD59">
        <f>IF(ROW()-56&gt;MAX($BC$57:$BC$95),"",INDEX(Lists!$BC$4:$BC$42,MATCH(ROW()-56,$BC$57:$BC$95,0)))</f>
        <v/>
      </c>
      <c r="BE59">
        <f>BE58+IF(AND(Lists!$BH$6&lt;&gt;"",ISNUMBER(SEARCH($K$4,Lists!$BH$6))),1,0)</f>
        <v/>
      </c>
      <c r="BF59">
        <f>IF(ROW()-56&gt;MAX($BE$57:$BE$95),"",INDEX(Lists!$BH$4:$BH$42,MATCH(ROW()-56,$BE$57:$BE$95,0)))</f>
        <v/>
      </c>
      <c r="BG59">
        <f>BG58+IF(AND(Lists!$BM$6&lt;&gt;"",ISNUMBER(SEARCH($L$4,Lists!$BM$6))),1,0)</f>
        <v/>
      </c>
      <c r="BH59">
        <f>IF(ROW()-56&gt;MAX($BG$57:$BG$95),"",INDEX(Lists!$BM$4:$BM$42,MATCH(ROW()-56,$BG$57:$BG$95,0)))</f>
        <v/>
      </c>
      <c r="BI59">
        <f>BI58+IF(AND(Lists!$BR$6&lt;&gt;"",ISNUMBER(SEARCH($M$4,Lists!$BR$6))),1,0)</f>
        <v/>
      </c>
      <c r="BJ59">
        <f>IF(ROW()-56&gt;MAX($BI$57:$BI$95),"",INDEX(Lists!$BR$4:$BR$42,MATCH(ROW()-56,$BI$57:$BI$95,0)))</f>
        <v/>
      </c>
      <c r="BK59">
        <f>BK58+IF(AND(Lists!$BW$6&lt;&gt;"",ISNUMBER(SEARCH($N$4,Lists!$BW$6))),1,0)</f>
        <v/>
      </c>
      <c r="BL59">
        <f>IF(ROW()-56&gt;MAX($BK$57:$BK$95),"",INDEX(Lists!$BW$4:$BW$42,MATCH(ROW()-56,$BK$57:$BK$95,0)))</f>
        <v/>
      </c>
      <c r="BM59">
        <f>BM58+IF(AND(Lists!$CB$6&lt;&gt;"",ISNUMBER(SEARCH($O$4,Lists!$CB$6))),1,0)</f>
        <v/>
      </c>
      <c r="BN59">
        <f>IF(ROW()-56&gt;MAX($BM$57:$BM$95),"",INDEX(Lists!$CB$4:$CB$42,MATCH(ROW()-56,$BM$57:$BM$95,0)))</f>
        <v/>
      </c>
      <c r="BO59">
        <f>BO58+IF(AND(Lists!$CG$6&lt;&gt;"",ISNUMBER(SEARCH($P$4,Lists!$CG$6))),1,0)</f>
        <v/>
      </c>
      <c r="BP59">
        <f>IF(ROW()-56&gt;MAX($BO$57:$BO$95),"",INDEX(Lists!$CG$4:$CG$42,MATCH(ROW()-56,$BO$57:$BO$95,0)))</f>
        <v/>
      </c>
      <c r="BQ59">
        <f>BQ58+IF(AND(Lists!$CL$6&lt;&gt;"",ISNUMBER(SEARCH($Q$4,Lists!$CL$6))),1,0)</f>
        <v/>
      </c>
      <c r="BR59">
        <f>IF(ROW()-56&gt;MAX($BQ$57:$BQ$95),"",INDEX(Lists!$CL$4:$CL$42,MATCH(ROW()-56,$BQ$57:$BQ$95,0)))</f>
        <v/>
      </c>
      <c r="BS59">
        <f>BS58+IF(AND(Lists!$CQ$6&lt;&gt;"",ISNUMBER(SEARCH($R$4,Lists!$CQ$6))),1,0)</f>
        <v/>
      </c>
      <c r="BT59">
        <f>IF(ROW()-56&gt;MAX($BS$57:$BS$95),"",INDEX(Lists!$CQ$4:$CQ$42,MATCH(ROW()-56,$BS$57:$BS$95,0)))</f>
        <v/>
      </c>
      <c r="BU59">
        <f>BU58+IF(AND(Lists!$CV$6&lt;&gt;"",ISNUMBER(SEARCH($S$4,Lists!$CV$6))),1,0)</f>
        <v/>
      </c>
      <c r="BV59">
        <f>IF(ROW()-56&gt;MAX($BU$57:$BU$95),"",INDEX(Lists!$CV$4:$CV$42,MATCH(ROW()-56,$BU$57:$BU$95,0)))</f>
        <v/>
      </c>
      <c r="BW59">
        <f>BW58+IF(AND(Lists!$DA$6&lt;&gt;"",ISNUMBER(SEARCH($T$4,Lists!$DA$6))),1,0)</f>
        <v/>
      </c>
      <c r="BX59">
        <f>IF(ROW()-56&gt;MAX($BW$57:$BW$95),"",INDEX(Lists!$DA$4:$DA$42,MATCH(ROW()-56,$BW$57:$BW$95,0)))</f>
        <v/>
      </c>
      <c r="BY59">
        <f>BY58+IF(AND(Lists!$DF$6&lt;&gt;"",ISNUMBER(SEARCH($U$4,Lists!$DF$6))),1,0)</f>
        <v/>
      </c>
      <c r="BZ59">
        <f>IF(ROW()-56&gt;MAX($BY$57:$BY$95),"",INDEX(Lists!$DF$4:$DF$42,MATCH(ROW()-56,$BY$57:$BY$95,0)))</f>
        <v/>
      </c>
      <c r="CA59">
        <f>CA58+IF(AND(Lists!$DK$6&lt;&gt;"",ISNUMBER(SEARCH($V$4,Lists!$DK$6))),1,0)</f>
        <v/>
      </c>
      <c r="CB59">
        <f>IF(ROW()-56&gt;MAX($CA$57:$CA$95),"",INDEX(Lists!$DK$4:$DK$42,MATCH(ROW()-56,$CA$57:$CA$95,0)))</f>
        <v/>
      </c>
      <c r="CC59">
        <f>CC58+IF(AND(Lists!$DP$6&lt;&gt;"",ISNUMBER(SEARCH($W$4,Lists!$DP$6))),1,0)</f>
        <v/>
      </c>
      <c r="CD59">
        <f>IF(ROW()-56&gt;MAX($CC$57:$CC$95),"",INDEX(Lists!$DP$4:$DP$42,MATCH(ROW()-56,$CC$57:$CC$95,0)))</f>
        <v/>
      </c>
      <c r="CE59">
        <f>CE58+IF(AND(Lists!$DU$6&lt;&gt;"",ISNUMBER(SEARCH($X$4,Lists!$DU$6))),1,0)</f>
        <v/>
      </c>
      <c r="CF59">
        <f>IF(ROW()-56&gt;MAX($CE$57:$CE$95),"",INDEX(Lists!$DU$4:$DU$42,MATCH(ROW()-56,$CE$57:$CE$95,0)))</f>
        <v/>
      </c>
      <c r="CG59">
        <f>CG58+IF(AND(Lists!$DZ$6&lt;&gt;"",ISNUMBER(SEARCH($Y$4,Lists!$DZ$6))),1,0)</f>
        <v/>
      </c>
      <c r="CH59">
        <f>IF(ROW()-56&gt;MAX($CG$57:$CG$95),"",INDEX(Lists!$DZ$4:$DZ$42,MATCH(ROW()-56,$CG$57:$CG$95,0)))</f>
        <v/>
      </c>
      <c r="CI59">
        <f>CI58+IF(AND(Lists!$EE$6&lt;&gt;"",ISNUMBER(SEARCH($Z$4,Lists!$EE$6))),1,0)</f>
        <v/>
      </c>
      <c r="CJ59">
        <f>IF(ROW()-56&gt;MAX($CI$57:$CI$95),"",INDEX(Lists!$EE$4:$EE$42,MATCH(ROW()-56,$CI$57:$CI$95,0)))</f>
        <v/>
      </c>
      <c r="CK59">
        <f>CK58+IF(AND(Lists!$EJ$6&lt;&gt;"",ISNUMBER(SEARCH($AA$4,Lists!$EJ$6))),1,0)</f>
        <v/>
      </c>
      <c r="CL59">
        <f>IF(ROW()-56&gt;MAX($CK$57:$CK$95),"",INDEX(Lists!$EJ$4:$EJ$42,MATCH(ROW()-56,$CK$57:$CK$95,0)))</f>
        <v/>
      </c>
      <c r="CM59">
        <f>CM58+IF(AND(Lists!$EO$6&lt;&gt;"",ISNUMBER(SEARCH($AB$4,Lists!$EO$6))),1,0)</f>
        <v/>
      </c>
      <c r="CN59">
        <f>IF(ROW()-56&gt;MAX($CM$57:$CM$95),"",INDEX(Lists!$EO$4:$EO$42,MATCH(ROW()-56,$CM$57:$CM$95,0)))</f>
        <v/>
      </c>
      <c r="CO59">
        <f>CO58+IF(AND(Lists!$ET$6&lt;&gt;"",ISNUMBER(SEARCH($AC$4,Lists!$ET$6))),1,0)</f>
        <v/>
      </c>
      <c r="CP59">
        <f>IF(ROW()-56&gt;MAX($CO$57:$CO$95),"",INDEX(Lists!$ET$4:$ET$42,MATCH(ROW()-56,$CO$57:$CO$95,0)))</f>
        <v/>
      </c>
      <c r="CQ59">
        <f>CQ58+IF(AND(Lists!$EY$6&lt;&gt;"",ISNUMBER(SEARCH($AD$4,Lists!$EY$6))),1,0)</f>
        <v/>
      </c>
      <c r="CR59">
        <f>IF(ROW()-56&gt;MAX($CQ$57:$CQ$95),"",INDEX(Lists!$EY$4:$EY$42,MATCH(ROW()-56,$CQ$57:$CQ$95,0)))</f>
        <v/>
      </c>
      <c r="CS59">
        <f>CS58+IF(AND(Lists!$FD$6&lt;&gt;"",ISNUMBER(SEARCH($AE$4,Lists!$FD$6))),1,0)</f>
        <v/>
      </c>
      <c r="CT59">
        <f>IF(ROW()-56&gt;MAX($CS$57:$CS$95),"",INDEX(Lists!$FD$4:$FD$42,MATCH(ROW()-56,$CS$57:$CS$95,0)))</f>
        <v/>
      </c>
      <c r="CU59">
        <f>CU58+IF(AND(Lists!$FI$6&lt;&gt;"",ISNUMBER(SEARCH($AG$4,Lists!$FI$6))),1,0)</f>
        <v/>
      </c>
      <c r="CV59">
        <f>IF(ROW()-56&gt;MAX($CU$57:$CU$95),"",INDEX(Lists!$FI$4:$FI$42,MATCH(ROW()-56,$CU$57:$CU$95,0)))</f>
        <v/>
      </c>
      <c r="CW59">
        <f>CW58+IF(AND(Lists!$FN$6&lt;&gt;"",ISNUMBER(SEARCH($AH$4,Lists!$FN$6))),1,0)</f>
        <v/>
      </c>
      <c r="CX59">
        <f>IF(ROW()-56&gt;MAX($CW$57:$CW$95),"",INDEX(Lists!$FN$4:$FN$42,MATCH(ROW()-56,$CW$57:$CW$95,0)))</f>
        <v/>
      </c>
      <c r="CY59">
        <f>CY58+IF(AND(Lists!$FS$6&lt;&gt;"",ISNUMBER(SEARCH($AI$4,Lists!$FS$6))),1,0)</f>
        <v/>
      </c>
      <c r="CZ59">
        <f>IF(ROW()-56&gt;MAX($CY$57:$CY$95),"",INDEX(Lists!$FS$4:$FS$42,MATCH(ROW()-56,$CY$57:$CY$95,0)))</f>
        <v/>
      </c>
      <c r="DA59">
        <f>DA58+IF(AND(Lists!$FX$6&lt;&gt;"",ISNUMBER(SEARCH($AF$4,Lists!$FX$6))),1,0)</f>
        <v/>
      </c>
      <c r="DB59">
        <f>IF(ROW()-56&gt;MAX($DA$57:$DA$95),"",INDEX(Lists!$FX$4:$FX$42,MATCH(ROW()-56,$DA$57:$DA$95,0)))</f>
        <v/>
      </c>
      <c r="DG59">
        <f>IF($B$4="",1,IF($B$4="(blank)",--('Final Calculation Sheet'!$F$4=""),IF($B$4="(nonblank)",--('Final Calculation Sheet'!$F$4&lt;&gt;""),--ISNUMBER(SEARCH($B$4,'Final Calculation Sheet'!$F$4)))))</f>
        <v/>
      </c>
      <c r="DH59">
        <f>IF($C$4="",1,IF($C$4="(blank)",--('Final Calculation Sheet'!$G$4=""),IF($C$4="(nonblank)",--('Final Calculation Sheet'!$G$4&lt;&gt;""),--ISNUMBER(SEARCH($C$4,'Final Calculation Sheet'!$G$4)))))</f>
        <v/>
      </c>
      <c r="DI59">
        <f>IF($D$4="",1,IF($D$4="(blank)",--('Final Calculation Sheet'!$B$4=""),IF($D$4="(nonblank)",--('Final Calculation Sheet'!$B$4&lt;&gt;""),--ISNUMBER(SEARCH($D$4,'Final Calculation Sheet'!$B$4)))))</f>
        <v/>
      </c>
      <c r="DJ59">
        <f>IF($E$4="",1,IF($E$4="(blank)",--('Final Calculation Sheet'!$D$4=""),IF($E$4="(nonblank)",--('Final Calculation Sheet'!$D$4&lt;&gt;""),--ISNUMBER(SEARCH($E$4,'Final Calculation Sheet'!$D$4)))))</f>
        <v/>
      </c>
      <c r="DK59">
        <f>IF($F$4="",1,IF($F$4="(blank)",--('Final Calculation Sheet'!$A$4=""),IF($F$4="(nonblank)",--('Final Calculation Sheet'!$A$4&lt;&gt;""),--ISNUMBER(SEARCH($F$4,'Final Calculation Sheet'!$A$4)))))</f>
        <v/>
      </c>
      <c r="DL59">
        <f>IF($G$4="",1,IF($G$4="(blank)",--('Final Calculation Sheet'!$E$4=""),IF($G$4="(nonblank)",--('Final Calculation Sheet'!$E$4&lt;&gt;""),--ISNUMBER(SEARCH($G$4,'Final Calculation Sheet'!$E$4)))))</f>
        <v/>
      </c>
      <c r="DM59">
        <f>IF($H$4="",1,IF($H$4="(blank)",--('Final Calculation Sheet'!$C$4=""),IF($H$4="(nonblank)",--('Final Calculation Sheet'!$C$4&lt;&gt;""),--ISNUMBER(SEARCH($H$4,'Final Calculation Sheet'!$C$4)))))</f>
        <v/>
      </c>
      <c r="DN59">
        <f>IF($I$4="",1,IF($I$4="(blank)",--('Final Calculation Sheet'!$H$4=""),IF($I$4="(nonblank)",--('Final Calculation Sheet'!$H$4&lt;&gt;""),--ISNUMBER(SEARCH($I$4,'Final Calculation Sheet'!$H$4)))))</f>
        <v/>
      </c>
      <c r="DO59">
        <f>IF($J$4="",1,IF($J$4="(blank)",--('Final Calculation Sheet'!$I$4=""),IF($J$4="(nonblank)",--('Final Calculation Sheet'!$I$4&lt;&gt;""),--ISNUMBER(SEARCH($J$4,'Final Calculation Sheet'!$I$4)))))</f>
        <v/>
      </c>
      <c r="DP59">
        <f>IF($K$4="",1,IF($K$4="(blank)",--('Final Calculation Sheet'!$J$4=""),IF($K$4="(nonblank)",--('Final Calculation Sheet'!$J$4&lt;&gt;""),--ISNUMBER(SEARCH($K$4,'Final Calculation Sheet'!$J$4)))))</f>
        <v/>
      </c>
      <c r="DQ59">
        <f>IF($L$4="",1,IF($L$4="(blank)",--('Final Calculation Sheet'!$K$4=""),IF($L$4="(nonblank)",--('Final Calculation Sheet'!$K$4&lt;&gt;""),--ISNUMBER(SEARCH($L$4,'Final Calculation Sheet'!$K$4)))))</f>
        <v/>
      </c>
      <c r="DR59">
        <f>IF($M$4="",1,IF($M$4="(blank)",--('Final Calculation Sheet'!$L$4=""),IF($M$4="(nonblank)",--('Final Calculation Sheet'!$L$4&lt;&gt;""),--ISNUMBER(SEARCH($M$4,'Final Calculation Sheet'!$L$4)))))</f>
        <v/>
      </c>
      <c r="DS59">
        <f>IF($N$4="",1,IF($N$4="(blank)",--('Final Calculation Sheet'!$M$4=""),IF($N$4="(nonblank)",--('Final Calculation Sheet'!$M$4&lt;&gt;""),--ISNUMBER(SEARCH($N$4,'Final Calculation Sheet'!$M$4)))))</f>
        <v/>
      </c>
      <c r="DT59">
        <f>IF($O$4="",1,IF($O$4="(blank)",--('Final Calculation Sheet'!$N$4=""),IF($O$4="(nonblank)",--('Final Calculation Sheet'!$N$4&lt;&gt;""),--ISNUMBER(SEARCH($O$4,'Final Calculation Sheet'!$N$4)))))</f>
        <v/>
      </c>
      <c r="DU59">
        <f>IF($P$4="",1,IF($P$4="(blank)",--('Final Calculation Sheet'!$O$4=""),IF($P$4="(nonblank)",--('Final Calculation Sheet'!$O$4&lt;&gt;""),--ISNUMBER(SEARCH($P$4,'Final Calculation Sheet'!$O$4)))))</f>
        <v/>
      </c>
      <c r="DV59">
        <f>IF($Q$4="",1,IF($Q$4="(blank)",--('Final Calculation Sheet'!$P$4=""),IF($Q$4="(nonblank)",--('Final Calculation Sheet'!$P$4&lt;&gt;""),--ISNUMBER(SEARCH($Q$4,'Final Calculation Sheet'!$P$4)))))</f>
        <v/>
      </c>
      <c r="DW59">
        <f>IF($R$4="",1,IF($R$4="(blank)",--('Final Calculation Sheet'!$Q$4=""),IF($R$4="(nonblank)",--('Final Calculation Sheet'!$Q$4&lt;&gt;""),--ISNUMBER(SEARCH($R$4,'Final Calculation Sheet'!$Q$4)))))</f>
        <v/>
      </c>
      <c r="DX59">
        <f>IF($S$4="",1,IF($S$4="(blank)",--('Final Calculation Sheet'!$R$4=""),IF($S$4="(nonblank)",--('Final Calculation Sheet'!$R$4&lt;&gt;""),--ISNUMBER(SEARCH($S$4,'Final Calculation Sheet'!$R$4)))))</f>
        <v/>
      </c>
      <c r="DY59">
        <f>IF($T$4="",1,IF($T$4="(blank)",--('Final Calculation Sheet'!$S$4=""),IF($T$4="(nonblank)",--('Final Calculation Sheet'!$S$4&lt;&gt;""),--ISNUMBER(SEARCH($T$4,'Final Calculation Sheet'!$S$4)))))</f>
        <v/>
      </c>
      <c r="DZ59">
        <f>IF($U$4="",1,IF($U$4="(blank)",--('Final Calculation Sheet'!$T$4=""),IF($U$4="(nonblank)",--('Final Calculation Sheet'!$T$4&lt;&gt;""),--ISNUMBER(SEARCH($U$4,'Final Calculation Sheet'!$T$4)))))</f>
        <v/>
      </c>
      <c r="EA59">
        <f>IF($V$4="",1,IF($V$4="(blank)",--('Final Calculation Sheet'!$U$4=""),IF($V$4="(nonblank)",--('Final Calculation Sheet'!$U$4&lt;&gt;""),--ISNUMBER(SEARCH($V$4,'Final Calculation Sheet'!$U$4)))))</f>
        <v/>
      </c>
      <c r="EB59">
        <f>IF($W$4="",1,IF($W$4="(blank)",--('Final Calculation Sheet'!$V$4=""),IF($W$4="(nonblank)",--('Final Calculation Sheet'!$V$4&lt;&gt;""),--ISNUMBER(SEARCH($W$4,'Final Calculation Sheet'!$V$4)))))</f>
        <v/>
      </c>
      <c r="EC59">
        <f>IF($X$4="",1,IF($X$4="(blank)",--('Final Calculation Sheet'!$W$4=""),IF($X$4="(nonblank)",--('Final Calculation Sheet'!$W$4&lt;&gt;""),--ISNUMBER(SEARCH($X$4,'Final Calculation Sheet'!$W$4)))))</f>
        <v/>
      </c>
      <c r="ED59">
        <f>IF($Y$4="",1,IF($Y$4="(blank)",--('Final Calculation Sheet'!$X$4=""),IF($Y$4="(nonblank)",--('Final Calculation Sheet'!$X$4&lt;&gt;""),--ISNUMBER(SEARCH($Y$4,'Final Calculation Sheet'!$X$4)))))</f>
        <v/>
      </c>
      <c r="EE59">
        <f>IF($Z$4="",1,IF($Z$4="(blank)",--('Final Calculation Sheet'!$Y$4=""),IF($Z$4="(nonblank)",--('Final Calculation Sheet'!$Y$4&lt;&gt;""),--ISNUMBER(SEARCH($Z$4,'Final Calculation Sheet'!$Y$4)))))</f>
        <v/>
      </c>
      <c r="EF59">
        <f>IF($AA$4="",1,IF($AA$4="(blank)",--('Final Calculation Sheet'!$Z$4=""),IF($AA$4="(nonblank)",--('Final Calculation Sheet'!$Z$4&lt;&gt;""),--ISNUMBER(SEARCH($AA$4,'Final Calculation Sheet'!$Z$4)))))</f>
        <v/>
      </c>
      <c r="EG59">
        <f>IF($AB$4="",1,IF($AB$4="(blank)",--('Final Calculation Sheet'!$AA$4=""),IF($AB$4="(nonblank)",--('Final Calculation Sheet'!$AA$4&lt;&gt;""),--ISNUMBER(SEARCH($AB$4,'Final Calculation Sheet'!$AA$4)))))</f>
        <v/>
      </c>
      <c r="EH59">
        <f>IF($AC$4="",1,IF($AC$4="(blank)",--('Final Calculation Sheet'!$AB$4=""),IF($AC$4="(nonblank)",--('Final Calculation Sheet'!$AB$4&lt;&gt;""),--ISNUMBER(SEARCH($AC$4,'Final Calculation Sheet'!$AB$4)))))</f>
        <v/>
      </c>
      <c r="EI59">
        <f>IF($AD$4="",1,IF($AD$4="(blank)",--('Final Calculation Sheet'!$AC$4=""),IF($AD$4="(nonblank)",--('Final Calculation Sheet'!$AC$4&lt;&gt;""),--ISNUMBER(SEARCH($AD$4,'Final Calculation Sheet'!$AC$4)))))</f>
        <v/>
      </c>
      <c r="EJ59">
        <f>IF($AE$4="",1,IF($AE$4="(blank)",--('Final Calculation Sheet'!$AD$4=""),IF($AE$4="(nonblank)",--('Final Calculation Sheet'!$AD$4&lt;&gt;""),--ISNUMBER(SEARCH($AE$4,'Final Calculation Sheet'!$AD$4)))))</f>
        <v/>
      </c>
      <c r="EK59">
        <f>IF($AF$4="",1,IF($AF$4="(blank)",--(IF('Final Calculation Sheet'!$AD$4&lt;=5,"SETTLED","OUTSTANDING")=""),IF($AF$4="(nonblank)",--(IF('Final Calculation Sheet'!$AD$4&lt;=5,"SETTLED","OUTSTANDING")&lt;&gt;""),--ISNUMBER(SEARCH($AF$4,IF('Final Calculation Sheet'!$AD$4&lt;=5,"SETTLED","OUTSTANDING"))))))</f>
        <v/>
      </c>
      <c r="EL59">
        <f>IF($AG$4="",1,IF($AG$4="(blank)",--('Final Calculation Sheet'!$AF$4=""),IF($AG$4="(nonblank)",--('Final Calculation Sheet'!$AF$4&lt;&gt;""),--ISNUMBER(SEARCH($AG$4,'Final Calculation Sheet'!$AF$4)))))</f>
        <v/>
      </c>
      <c r="EM59">
        <f>IF($AH$4="",1,IF($AH$4="(blank)",--('Final Calculation Sheet'!$AG$4=""),IF($AH$4="(nonblank)",--('Final Calculation Sheet'!$AG$4&lt;&gt;""),--ISNUMBER(SEARCH($AH$4,'Final Calculation Sheet'!$AG$4)))))</f>
        <v/>
      </c>
      <c r="EN59">
        <f>IF($AI$4="",1,IF($AI$4="(blank)",--('Final Calculation Sheet'!$AH$4=""),IF($AI$4="(nonblank)",--('Final Calculation Sheet'!$AH$4&lt;&gt;""),--ISNUMBER(SEARCH($AI$4,'Final Calculation Sheet'!$AH$4)))))</f>
        <v/>
      </c>
    </row>
    <row r="60">
      <c r="AM60">
        <f>AM59+IF(AND(Lists!$O$7&lt;&gt;"",ISNUMBER(SEARCH($B$4,Lists!$O$7))),1,0)</f>
        <v/>
      </c>
      <c r="AN60">
        <f>IF(ROW()-56&gt;MAX($AM$57:$AM$95),"",INDEX(Lists!$O$4:$O$42,MATCH(ROW()-56,$AM$57:$AM$95,0)))</f>
        <v/>
      </c>
      <c r="AO60">
        <f>AO59+IF(AND(Lists!$T$7&lt;&gt;"",ISNUMBER(SEARCH($C$4,Lists!$T$7))),1,0)</f>
        <v/>
      </c>
      <c r="AP60">
        <f>IF(ROW()-56&gt;MAX($AO$57:$AO$95),"",INDEX(Lists!$T$4:$T$42,MATCH(ROW()-56,$AO$57:$AO$95,0)))</f>
        <v/>
      </c>
      <c r="AQ60">
        <f>AQ59+IF(AND(Lists!$Y$7&lt;&gt;"",ISNUMBER(SEARCH($D$4,Lists!$Y$7))),1,0)</f>
        <v/>
      </c>
      <c r="AR60">
        <f>IF(ROW()-56&gt;MAX($AQ$57:$AQ$95),"",INDEX(Lists!$Y$4:$Y$42,MATCH(ROW()-56,$AQ$57:$AQ$95,0)))</f>
        <v/>
      </c>
      <c r="AS60">
        <f>AS59+IF(AND(Lists!$AD$7&lt;&gt;"",ISNUMBER(SEARCH($E$4,Lists!$AD$7))),1,0)</f>
        <v/>
      </c>
      <c r="AT60">
        <f>IF(ROW()-56&gt;MAX($AS$57:$AS$95),"",INDEX(Lists!$AD$4:$AD$42,MATCH(ROW()-56,$AS$57:$AS$95,0)))</f>
        <v/>
      </c>
      <c r="AU60">
        <f>AU59+IF(AND(Lists!$AI$7&lt;&gt;"",ISNUMBER(SEARCH($F$4,Lists!$AI$7))),1,0)</f>
        <v/>
      </c>
      <c r="AV60">
        <f>IF(ROW()-56&gt;MAX($AU$57:$AU$95),"",INDEX(Lists!$AI$4:$AI$42,MATCH(ROW()-56,$AU$57:$AU$95,0)))</f>
        <v/>
      </c>
      <c r="AW60">
        <f>AW59+IF(AND(Lists!$AN$7&lt;&gt;"",ISNUMBER(SEARCH($G$4,Lists!$AN$7))),1,0)</f>
        <v/>
      </c>
      <c r="AX60">
        <f>IF(ROW()-56&gt;MAX($AW$57:$AW$95),"",INDEX(Lists!$AN$4:$AN$42,MATCH(ROW()-56,$AW$57:$AW$95,0)))</f>
        <v/>
      </c>
      <c r="AY60">
        <f>AY59+IF(AND(Lists!$AS$7&lt;&gt;"",ISNUMBER(SEARCH($H$4,Lists!$AS$7))),1,0)</f>
        <v/>
      </c>
      <c r="AZ60">
        <f>IF(ROW()-56&gt;MAX($AY$57:$AY$95),"",INDEX(Lists!$AS$4:$AS$42,MATCH(ROW()-56,$AY$57:$AY$95,0)))</f>
        <v/>
      </c>
      <c r="BA60">
        <f>BA59+IF(AND(Lists!$AX$7&lt;&gt;"",ISNUMBER(SEARCH($I$4,Lists!$AX$7))),1,0)</f>
        <v/>
      </c>
      <c r="BB60">
        <f>IF(ROW()-56&gt;MAX($BA$57:$BA$95),"",INDEX(Lists!$AX$4:$AX$42,MATCH(ROW()-56,$BA$57:$BA$95,0)))</f>
        <v/>
      </c>
      <c r="BC60">
        <f>BC59+IF(AND(Lists!$BC$7&lt;&gt;"",ISNUMBER(SEARCH($J$4,Lists!$BC$7))),1,0)</f>
        <v/>
      </c>
      <c r="BD60">
        <f>IF(ROW()-56&gt;MAX($BC$57:$BC$95),"",INDEX(Lists!$BC$4:$BC$42,MATCH(ROW()-56,$BC$57:$BC$95,0)))</f>
        <v/>
      </c>
      <c r="BE60">
        <f>BE59+IF(AND(Lists!$BH$7&lt;&gt;"",ISNUMBER(SEARCH($K$4,Lists!$BH$7))),1,0)</f>
        <v/>
      </c>
      <c r="BF60">
        <f>IF(ROW()-56&gt;MAX($BE$57:$BE$95),"",INDEX(Lists!$BH$4:$BH$42,MATCH(ROW()-56,$BE$57:$BE$95,0)))</f>
        <v/>
      </c>
      <c r="BG60">
        <f>BG59+IF(AND(Lists!$BM$7&lt;&gt;"",ISNUMBER(SEARCH($L$4,Lists!$BM$7))),1,0)</f>
        <v/>
      </c>
      <c r="BH60">
        <f>IF(ROW()-56&gt;MAX($BG$57:$BG$95),"",INDEX(Lists!$BM$4:$BM$42,MATCH(ROW()-56,$BG$57:$BG$95,0)))</f>
        <v/>
      </c>
      <c r="BI60">
        <f>BI59+IF(AND(Lists!$BR$7&lt;&gt;"",ISNUMBER(SEARCH($M$4,Lists!$BR$7))),1,0)</f>
        <v/>
      </c>
      <c r="BJ60">
        <f>IF(ROW()-56&gt;MAX($BI$57:$BI$95),"",INDEX(Lists!$BR$4:$BR$42,MATCH(ROW()-56,$BI$57:$BI$95,0)))</f>
        <v/>
      </c>
      <c r="BK60">
        <f>BK59+IF(AND(Lists!$BW$7&lt;&gt;"",ISNUMBER(SEARCH($N$4,Lists!$BW$7))),1,0)</f>
        <v/>
      </c>
      <c r="BL60">
        <f>IF(ROW()-56&gt;MAX($BK$57:$BK$95),"",INDEX(Lists!$BW$4:$BW$42,MATCH(ROW()-56,$BK$57:$BK$95,0)))</f>
        <v/>
      </c>
      <c r="BM60">
        <f>BM59+IF(AND(Lists!$CB$7&lt;&gt;"",ISNUMBER(SEARCH($O$4,Lists!$CB$7))),1,0)</f>
        <v/>
      </c>
      <c r="BN60">
        <f>IF(ROW()-56&gt;MAX($BM$57:$BM$95),"",INDEX(Lists!$CB$4:$CB$42,MATCH(ROW()-56,$BM$57:$BM$95,0)))</f>
        <v/>
      </c>
      <c r="BO60">
        <f>BO59+IF(AND(Lists!$CG$7&lt;&gt;"",ISNUMBER(SEARCH($P$4,Lists!$CG$7))),1,0)</f>
        <v/>
      </c>
      <c r="BP60">
        <f>IF(ROW()-56&gt;MAX($BO$57:$BO$95),"",INDEX(Lists!$CG$4:$CG$42,MATCH(ROW()-56,$BO$57:$BO$95,0)))</f>
        <v/>
      </c>
      <c r="BQ60">
        <f>BQ59+IF(AND(Lists!$CL$7&lt;&gt;"",ISNUMBER(SEARCH($Q$4,Lists!$CL$7))),1,0)</f>
        <v/>
      </c>
      <c r="BR60">
        <f>IF(ROW()-56&gt;MAX($BQ$57:$BQ$95),"",INDEX(Lists!$CL$4:$CL$42,MATCH(ROW()-56,$BQ$57:$BQ$95,0)))</f>
        <v/>
      </c>
      <c r="BS60">
        <f>BS59+IF(AND(Lists!$CQ$7&lt;&gt;"",ISNUMBER(SEARCH($R$4,Lists!$CQ$7))),1,0)</f>
        <v/>
      </c>
      <c r="BT60">
        <f>IF(ROW()-56&gt;MAX($BS$57:$BS$95),"",INDEX(Lists!$CQ$4:$CQ$42,MATCH(ROW()-56,$BS$57:$BS$95,0)))</f>
        <v/>
      </c>
      <c r="BU60">
        <f>BU59+IF(AND(Lists!$CV$7&lt;&gt;"",ISNUMBER(SEARCH($S$4,Lists!$CV$7))),1,0)</f>
        <v/>
      </c>
      <c r="BV60">
        <f>IF(ROW()-56&gt;MAX($BU$57:$BU$95),"",INDEX(Lists!$CV$4:$CV$42,MATCH(ROW()-56,$BU$57:$BU$95,0)))</f>
        <v/>
      </c>
      <c r="BW60">
        <f>BW59+IF(AND(Lists!$DA$7&lt;&gt;"",ISNUMBER(SEARCH($T$4,Lists!$DA$7))),1,0)</f>
        <v/>
      </c>
      <c r="BX60">
        <f>IF(ROW()-56&gt;MAX($BW$57:$BW$95),"",INDEX(Lists!$DA$4:$DA$42,MATCH(ROW()-56,$BW$57:$BW$95,0)))</f>
        <v/>
      </c>
      <c r="BY60">
        <f>BY59+IF(AND(Lists!$DF$7&lt;&gt;"",ISNUMBER(SEARCH($U$4,Lists!$DF$7))),1,0)</f>
        <v/>
      </c>
      <c r="BZ60">
        <f>IF(ROW()-56&gt;MAX($BY$57:$BY$95),"",INDEX(Lists!$DF$4:$DF$42,MATCH(ROW()-56,$BY$57:$BY$95,0)))</f>
        <v/>
      </c>
      <c r="CA60">
        <f>CA59+IF(AND(Lists!$DK$7&lt;&gt;"",ISNUMBER(SEARCH($V$4,Lists!$DK$7))),1,0)</f>
        <v/>
      </c>
      <c r="CB60">
        <f>IF(ROW()-56&gt;MAX($CA$57:$CA$95),"",INDEX(Lists!$DK$4:$DK$42,MATCH(ROW()-56,$CA$57:$CA$95,0)))</f>
        <v/>
      </c>
      <c r="CC60">
        <f>CC59+IF(AND(Lists!$DP$7&lt;&gt;"",ISNUMBER(SEARCH($W$4,Lists!$DP$7))),1,0)</f>
        <v/>
      </c>
      <c r="CD60">
        <f>IF(ROW()-56&gt;MAX($CC$57:$CC$95),"",INDEX(Lists!$DP$4:$DP$42,MATCH(ROW()-56,$CC$57:$CC$95,0)))</f>
        <v/>
      </c>
      <c r="CE60">
        <f>CE59+IF(AND(Lists!$DU$7&lt;&gt;"",ISNUMBER(SEARCH($X$4,Lists!$DU$7))),1,0)</f>
        <v/>
      </c>
      <c r="CF60">
        <f>IF(ROW()-56&gt;MAX($CE$57:$CE$95),"",INDEX(Lists!$DU$4:$DU$42,MATCH(ROW()-56,$CE$57:$CE$95,0)))</f>
        <v/>
      </c>
      <c r="CG60">
        <f>CG59+IF(AND(Lists!$DZ$7&lt;&gt;"",ISNUMBER(SEARCH($Y$4,Lists!$DZ$7))),1,0)</f>
        <v/>
      </c>
      <c r="CH60">
        <f>IF(ROW()-56&gt;MAX($CG$57:$CG$95),"",INDEX(Lists!$DZ$4:$DZ$42,MATCH(ROW()-56,$CG$57:$CG$95,0)))</f>
        <v/>
      </c>
      <c r="CI60">
        <f>CI59+IF(AND(Lists!$EE$7&lt;&gt;"",ISNUMBER(SEARCH($Z$4,Lists!$EE$7))),1,0)</f>
        <v/>
      </c>
      <c r="CJ60">
        <f>IF(ROW()-56&gt;MAX($CI$57:$CI$95),"",INDEX(Lists!$EE$4:$EE$42,MATCH(ROW()-56,$CI$57:$CI$95,0)))</f>
        <v/>
      </c>
      <c r="CK60">
        <f>CK59+IF(AND(Lists!$EJ$7&lt;&gt;"",ISNUMBER(SEARCH($AA$4,Lists!$EJ$7))),1,0)</f>
        <v/>
      </c>
      <c r="CL60">
        <f>IF(ROW()-56&gt;MAX($CK$57:$CK$95),"",INDEX(Lists!$EJ$4:$EJ$42,MATCH(ROW()-56,$CK$57:$CK$95,0)))</f>
        <v/>
      </c>
      <c r="CM60">
        <f>CM59+IF(AND(Lists!$EO$7&lt;&gt;"",ISNUMBER(SEARCH($AB$4,Lists!$EO$7))),1,0)</f>
        <v/>
      </c>
      <c r="CN60">
        <f>IF(ROW()-56&gt;MAX($CM$57:$CM$95),"",INDEX(Lists!$EO$4:$EO$42,MATCH(ROW()-56,$CM$57:$CM$95,0)))</f>
        <v/>
      </c>
      <c r="CO60">
        <f>CO59+IF(AND(Lists!$ET$7&lt;&gt;"",ISNUMBER(SEARCH($AC$4,Lists!$ET$7))),1,0)</f>
        <v/>
      </c>
      <c r="CP60">
        <f>IF(ROW()-56&gt;MAX($CO$57:$CO$95),"",INDEX(Lists!$ET$4:$ET$42,MATCH(ROW()-56,$CO$57:$CO$95,0)))</f>
        <v/>
      </c>
      <c r="CQ60">
        <f>CQ59+IF(AND(Lists!$EY$7&lt;&gt;"",ISNUMBER(SEARCH($AD$4,Lists!$EY$7))),1,0)</f>
        <v/>
      </c>
      <c r="CR60">
        <f>IF(ROW()-56&gt;MAX($CQ$57:$CQ$95),"",INDEX(Lists!$EY$4:$EY$42,MATCH(ROW()-56,$CQ$57:$CQ$95,0)))</f>
        <v/>
      </c>
      <c r="CS60">
        <f>CS59+IF(AND(Lists!$FD$7&lt;&gt;"",ISNUMBER(SEARCH($AE$4,Lists!$FD$7))),1,0)</f>
        <v/>
      </c>
      <c r="CT60">
        <f>IF(ROW()-56&gt;MAX($CS$57:$CS$95),"",INDEX(Lists!$FD$4:$FD$42,MATCH(ROW()-56,$CS$57:$CS$95,0)))</f>
        <v/>
      </c>
      <c r="CU60">
        <f>CU59+IF(AND(Lists!$FI$7&lt;&gt;"",ISNUMBER(SEARCH($AG$4,Lists!$FI$7))),1,0)</f>
        <v/>
      </c>
      <c r="CV60">
        <f>IF(ROW()-56&gt;MAX($CU$57:$CU$95),"",INDEX(Lists!$FI$4:$FI$42,MATCH(ROW()-56,$CU$57:$CU$95,0)))</f>
        <v/>
      </c>
      <c r="CW60">
        <f>CW59+IF(AND(Lists!$FN$7&lt;&gt;"",ISNUMBER(SEARCH($AH$4,Lists!$FN$7))),1,0)</f>
        <v/>
      </c>
      <c r="CX60">
        <f>IF(ROW()-56&gt;MAX($CW$57:$CW$95),"",INDEX(Lists!$FN$4:$FN$42,MATCH(ROW()-56,$CW$57:$CW$95,0)))</f>
        <v/>
      </c>
      <c r="CY60">
        <f>CY59+IF(AND(Lists!$FS$7&lt;&gt;"",ISNUMBER(SEARCH($AI$4,Lists!$FS$7))),1,0)</f>
        <v/>
      </c>
      <c r="CZ60">
        <f>IF(ROW()-56&gt;MAX($CY$57:$CY$95),"",INDEX(Lists!$FS$4:$FS$42,MATCH(ROW()-56,$CY$57:$CY$95,0)))</f>
        <v/>
      </c>
      <c r="DA60">
        <f>DA59+IF(AND(Lists!$FX$7&lt;&gt;"",ISNUMBER(SEARCH($AF$4,Lists!$FX$7))),1,0)</f>
        <v/>
      </c>
      <c r="DB60">
        <f>IF(ROW()-56&gt;MAX($DA$57:$DA$95),"",INDEX(Lists!$FX$4:$FX$42,MATCH(ROW()-56,$DA$57:$DA$95,0)))</f>
        <v/>
      </c>
      <c r="DG60">
        <f>IF($B$4="",1,IF($B$4="(blank)",--('Final Calculation Sheet'!$F$5=""),IF($B$4="(nonblank)",--('Final Calculation Sheet'!$F$5&lt;&gt;""),--ISNUMBER(SEARCH($B$4,'Final Calculation Sheet'!$F$5)))))</f>
        <v/>
      </c>
      <c r="DH60">
        <f>IF($C$4="",1,IF($C$4="(blank)",--('Final Calculation Sheet'!$G$5=""),IF($C$4="(nonblank)",--('Final Calculation Sheet'!$G$5&lt;&gt;""),--ISNUMBER(SEARCH($C$4,'Final Calculation Sheet'!$G$5)))))</f>
        <v/>
      </c>
      <c r="DI60">
        <f>IF($D$4="",1,IF($D$4="(blank)",--('Final Calculation Sheet'!$B$5=""),IF($D$4="(nonblank)",--('Final Calculation Sheet'!$B$5&lt;&gt;""),--ISNUMBER(SEARCH($D$4,'Final Calculation Sheet'!$B$5)))))</f>
        <v/>
      </c>
      <c r="DJ60">
        <f>IF($E$4="",1,IF($E$4="(blank)",--('Final Calculation Sheet'!$D$5=""),IF($E$4="(nonblank)",--('Final Calculation Sheet'!$D$5&lt;&gt;""),--ISNUMBER(SEARCH($E$4,'Final Calculation Sheet'!$D$5)))))</f>
        <v/>
      </c>
      <c r="DK60">
        <f>IF($F$4="",1,IF($F$4="(blank)",--('Final Calculation Sheet'!$A$5=""),IF($F$4="(nonblank)",--('Final Calculation Sheet'!$A$5&lt;&gt;""),--ISNUMBER(SEARCH($F$4,'Final Calculation Sheet'!$A$5)))))</f>
        <v/>
      </c>
      <c r="DL60">
        <f>IF($G$4="",1,IF($G$4="(blank)",--('Final Calculation Sheet'!$E$5=""),IF($G$4="(nonblank)",--('Final Calculation Sheet'!$E$5&lt;&gt;""),--ISNUMBER(SEARCH($G$4,'Final Calculation Sheet'!$E$5)))))</f>
        <v/>
      </c>
      <c r="DM60">
        <f>IF($H$4="",1,IF($H$4="(blank)",--('Final Calculation Sheet'!$C$5=""),IF($H$4="(nonblank)",--('Final Calculation Sheet'!$C$5&lt;&gt;""),--ISNUMBER(SEARCH($H$4,'Final Calculation Sheet'!$C$5)))))</f>
        <v/>
      </c>
      <c r="DN60">
        <f>IF($I$4="",1,IF($I$4="(blank)",--('Final Calculation Sheet'!$H$5=""),IF($I$4="(nonblank)",--('Final Calculation Sheet'!$H$5&lt;&gt;""),--ISNUMBER(SEARCH($I$4,'Final Calculation Sheet'!$H$5)))))</f>
        <v/>
      </c>
      <c r="DO60">
        <f>IF($J$4="",1,IF($J$4="(blank)",--('Final Calculation Sheet'!$I$5=""),IF($J$4="(nonblank)",--('Final Calculation Sheet'!$I$5&lt;&gt;""),--ISNUMBER(SEARCH($J$4,'Final Calculation Sheet'!$I$5)))))</f>
        <v/>
      </c>
      <c r="DP60">
        <f>IF($K$4="",1,IF($K$4="(blank)",--('Final Calculation Sheet'!$J$5=""),IF($K$4="(nonblank)",--('Final Calculation Sheet'!$J$5&lt;&gt;""),--ISNUMBER(SEARCH($K$4,'Final Calculation Sheet'!$J$5)))))</f>
        <v/>
      </c>
      <c r="DQ60">
        <f>IF($L$4="",1,IF($L$4="(blank)",--('Final Calculation Sheet'!$K$5=""),IF($L$4="(nonblank)",--('Final Calculation Sheet'!$K$5&lt;&gt;""),--ISNUMBER(SEARCH($L$4,'Final Calculation Sheet'!$K$5)))))</f>
        <v/>
      </c>
      <c r="DR60">
        <f>IF($M$4="",1,IF($M$4="(blank)",--('Final Calculation Sheet'!$L$5=""),IF($M$4="(nonblank)",--('Final Calculation Sheet'!$L$5&lt;&gt;""),--ISNUMBER(SEARCH($M$4,'Final Calculation Sheet'!$L$5)))))</f>
        <v/>
      </c>
      <c r="DS60">
        <f>IF($N$4="",1,IF($N$4="(blank)",--('Final Calculation Sheet'!$M$5=""),IF($N$4="(nonblank)",--('Final Calculation Sheet'!$M$5&lt;&gt;""),--ISNUMBER(SEARCH($N$4,'Final Calculation Sheet'!$M$5)))))</f>
        <v/>
      </c>
      <c r="DT60">
        <f>IF($O$4="",1,IF($O$4="(blank)",--('Final Calculation Sheet'!$N$5=""),IF($O$4="(nonblank)",--('Final Calculation Sheet'!$N$5&lt;&gt;""),--ISNUMBER(SEARCH($O$4,'Final Calculation Sheet'!$N$5)))))</f>
        <v/>
      </c>
      <c r="DU60">
        <f>IF($P$4="",1,IF($P$4="(blank)",--('Final Calculation Sheet'!$O$5=""),IF($P$4="(nonblank)",--('Final Calculation Sheet'!$O$5&lt;&gt;""),--ISNUMBER(SEARCH($P$4,'Final Calculation Sheet'!$O$5)))))</f>
        <v/>
      </c>
      <c r="DV60">
        <f>IF($Q$4="",1,IF($Q$4="(blank)",--('Final Calculation Sheet'!$P$5=""),IF($Q$4="(nonblank)",--('Final Calculation Sheet'!$P$5&lt;&gt;""),--ISNUMBER(SEARCH($Q$4,'Final Calculation Sheet'!$P$5)))))</f>
        <v/>
      </c>
      <c r="DW60">
        <f>IF($R$4="",1,IF($R$4="(blank)",--('Final Calculation Sheet'!$Q$5=""),IF($R$4="(nonblank)",--('Final Calculation Sheet'!$Q$5&lt;&gt;""),--ISNUMBER(SEARCH($R$4,'Final Calculation Sheet'!$Q$5)))))</f>
        <v/>
      </c>
      <c r="DX60">
        <f>IF($S$4="",1,IF($S$4="(blank)",--('Final Calculation Sheet'!$R$5=""),IF($S$4="(nonblank)",--('Final Calculation Sheet'!$R$5&lt;&gt;""),--ISNUMBER(SEARCH($S$4,'Final Calculation Sheet'!$R$5)))))</f>
        <v/>
      </c>
      <c r="DY60">
        <f>IF($T$4="",1,IF($T$4="(blank)",--('Final Calculation Sheet'!$S$5=""),IF($T$4="(nonblank)",--('Final Calculation Sheet'!$S$5&lt;&gt;""),--ISNUMBER(SEARCH($T$4,'Final Calculation Sheet'!$S$5)))))</f>
        <v/>
      </c>
      <c r="DZ60">
        <f>IF($U$4="",1,IF($U$4="(blank)",--('Final Calculation Sheet'!$T$5=""),IF($U$4="(nonblank)",--('Final Calculation Sheet'!$T$5&lt;&gt;""),--ISNUMBER(SEARCH($U$4,'Final Calculation Sheet'!$T$5)))))</f>
        <v/>
      </c>
      <c r="EA60">
        <f>IF($V$4="",1,IF($V$4="(blank)",--('Final Calculation Sheet'!$U$5=""),IF($V$4="(nonblank)",--('Final Calculation Sheet'!$U$5&lt;&gt;""),--ISNUMBER(SEARCH($V$4,'Final Calculation Sheet'!$U$5)))))</f>
        <v/>
      </c>
      <c r="EB60">
        <f>IF($W$4="",1,IF($W$4="(blank)",--('Final Calculation Sheet'!$V$5=""),IF($W$4="(nonblank)",--('Final Calculation Sheet'!$V$5&lt;&gt;""),--ISNUMBER(SEARCH($W$4,'Final Calculation Sheet'!$V$5)))))</f>
        <v/>
      </c>
      <c r="EC60">
        <f>IF($X$4="",1,IF($X$4="(blank)",--('Final Calculation Sheet'!$W$5=""),IF($X$4="(nonblank)",--('Final Calculation Sheet'!$W$5&lt;&gt;""),--ISNUMBER(SEARCH($X$4,'Final Calculation Sheet'!$W$5)))))</f>
        <v/>
      </c>
      <c r="ED60">
        <f>IF($Y$4="",1,IF($Y$4="(blank)",--('Final Calculation Sheet'!$X$5=""),IF($Y$4="(nonblank)",--('Final Calculation Sheet'!$X$5&lt;&gt;""),--ISNUMBER(SEARCH($Y$4,'Final Calculation Sheet'!$X$5)))))</f>
        <v/>
      </c>
      <c r="EE60">
        <f>IF($Z$4="",1,IF($Z$4="(blank)",--('Final Calculation Sheet'!$Y$5=""),IF($Z$4="(nonblank)",--('Final Calculation Sheet'!$Y$5&lt;&gt;""),--ISNUMBER(SEARCH($Z$4,'Final Calculation Sheet'!$Y$5)))))</f>
        <v/>
      </c>
      <c r="EF60">
        <f>IF($AA$4="",1,IF($AA$4="(blank)",--('Final Calculation Sheet'!$Z$5=""),IF($AA$4="(nonblank)",--('Final Calculation Sheet'!$Z$5&lt;&gt;""),--ISNUMBER(SEARCH($AA$4,'Final Calculation Sheet'!$Z$5)))))</f>
        <v/>
      </c>
      <c r="EG60">
        <f>IF($AB$4="",1,IF($AB$4="(blank)",--('Final Calculation Sheet'!$AA$5=""),IF($AB$4="(nonblank)",--('Final Calculation Sheet'!$AA$5&lt;&gt;""),--ISNUMBER(SEARCH($AB$4,'Final Calculation Sheet'!$AA$5)))))</f>
        <v/>
      </c>
      <c r="EH60">
        <f>IF($AC$4="",1,IF($AC$4="(blank)",--('Final Calculation Sheet'!$AB$5=""),IF($AC$4="(nonblank)",--('Final Calculation Sheet'!$AB$5&lt;&gt;""),--ISNUMBER(SEARCH($AC$4,'Final Calculation Sheet'!$AB$5)))))</f>
        <v/>
      </c>
      <c r="EI60">
        <f>IF($AD$4="",1,IF($AD$4="(blank)",--('Final Calculation Sheet'!$AC$5=""),IF($AD$4="(nonblank)",--('Final Calculation Sheet'!$AC$5&lt;&gt;""),--ISNUMBER(SEARCH($AD$4,'Final Calculation Sheet'!$AC$5)))))</f>
        <v/>
      </c>
      <c r="EJ60">
        <f>IF($AE$4="",1,IF($AE$4="(blank)",--('Final Calculation Sheet'!$AD$5=""),IF($AE$4="(nonblank)",--('Final Calculation Sheet'!$AD$5&lt;&gt;""),--ISNUMBER(SEARCH($AE$4,'Final Calculation Sheet'!$AD$5)))))</f>
        <v/>
      </c>
      <c r="EK60">
        <f>IF($AF$4="",1,IF($AF$4="(blank)",--(IF('Final Calculation Sheet'!$AD$5&lt;=5,"SETTLED","OUTSTANDING")=""),IF($AF$4="(nonblank)",--(IF('Final Calculation Sheet'!$AD$5&lt;=5,"SETTLED","OUTSTANDING")&lt;&gt;""),--ISNUMBER(SEARCH($AF$4,IF('Final Calculation Sheet'!$AD$5&lt;=5,"SETTLED","OUTSTANDING"))))))</f>
        <v/>
      </c>
      <c r="EL60">
        <f>IF($AG$4="",1,IF($AG$4="(blank)",--('Final Calculation Sheet'!$AF$5=""),IF($AG$4="(nonblank)",--('Final Calculation Sheet'!$AF$5&lt;&gt;""),--ISNUMBER(SEARCH($AG$4,'Final Calculation Sheet'!$AF$5)))))</f>
        <v/>
      </c>
      <c r="EM60">
        <f>IF($AH$4="",1,IF($AH$4="(blank)",--('Final Calculation Sheet'!$AG$5=""),IF($AH$4="(nonblank)",--('Final Calculation Sheet'!$AG$5&lt;&gt;""),--ISNUMBER(SEARCH($AH$4,'Final Calculation Sheet'!$AG$5)))))</f>
        <v/>
      </c>
      <c r="EN60">
        <f>IF($AI$4="",1,IF($AI$4="(blank)",--('Final Calculation Sheet'!$AH$5=""),IF($AI$4="(nonblank)",--('Final Calculation Sheet'!$AH$5&lt;&gt;""),--ISNUMBER(SEARCH($AI$4,'Final Calculation Sheet'!$AH$5)))))</f>
        <v/>
      </c>
    </row>
    <row r="61">
      <c r="AM61">
        <f>AM60+IF(AND(Lists!$O$8&lt;&gt;"",ISNUMBER(SEARCH($B$4,Lists!$O$8))),1,0)</f>
        <v/>
      </c>
      <c r="AN61">
        <f>IF(ROW()-56&gt;MAX($AM$57:$AM$95),"",INDEX(Lists!$O$4:$O$42,MATCH(ROW()-56,$AM$57:$AM$95,0)))</f>
        <v/>
      </c>
      <c r="AO61">
        <f>AO60+IF(AND(Lists!$T$8&lt;&gt;"",ISNUMBER(SEARCH($C$4,Lists!$T$8))),1,0)</f>
        <v/>
      </c>
      <c r="AP61">
        <f>IF(ROW()-56&gt;MAX($AO$57:$AO$95),"",INDEX(Lists!$T$4:$T$42,MATCH(ROW()-56,$AO$57:$AO$95,0)))</f>
        <v/>
      </c>
      <c r="AQ61">
        <f>AQ60+IF(AND(Lists!$Y$8&lt;&gt;"",ISNUMBER(SEARCH($D$4,Lists!$Y$8))),1,0)</f>
        <v/>
      </c>
      <c r="AR61">
        <f>IF(ROW()-56&gt;MAX($AQ$57:$AQ$95),"",INDEX(Lists!$Y$4:$Y$42,MATCH(ROW()-56,$AQ$57:$AQ$95,0)))</f>
        <v/>
      </c>
      <c r="AS61">
        <f>AS60+IF(AND(Lists!$AD$8&lt;&gt;"",ISNUMBER(SEARCH($E$4,Lists!$AD$8))),1,0)</f>
        <v/>
      </c>
      <c r="AT61">
        <f>IF(ROW()-56&gt;MAX($AS$57:$AS$95),"",INDEX(Lists!$AD$4:$AD$42,MATCH(ROW()-56,$AS$57:$AS$95,0)))</f>
        <v/>
      </c>
      <c r="AU61">
        <f>AU60+IF(AND(Lists!$AI$8&lt;&gt;"",ISNUMBER(SEARCH($F$4,Lists!$AI$8))),1,0)</f>
        <v/>
      </c>
      <c r="AV61">
        <f>IF(ROW()-56&gt;MAX($AU$57:$AU$95),"",INDEX(Lists!$AI$4:$AI$42,MATCH(ROW()-56,$AU$57:$AU$95,0)))</f>
        <v/>
      </c>
      <c r="AW61">
        <f>AW60+IF(AND(Lists!$AN$8&lt;&gt;"",ISNUMBER(SEARCH($G$4,Lists!$AN$8))),1,0)</f>
        <v/>
      </c>
      <c r="AX61">
        <f>IF(ROW()-56&gt;MAX($AW$57:$AW$95),"",INDEX(Lists!$AN$4:$AN$42,MATCH(ROW()-56,$AW$57:$AW$95,0)))</f>
        <v/>
      </c>
      <c r="AY61">
        <f>AY60+IF(AND(Lists!$AS$8&lt;&gt;"",ISNUMBER(SEARCH($H$4,Lists!$AS$8))),1,0)</f>
        <v/>
      </c>
      <c r="AZ61">
        <f>IF(ROW()-56&gt;MAX($AY$57:$AY$95),"",INDEX(Lists!$AS$4:$AS$42,MATCH(ROW()-56,$AY$57:$AY$95,0)))</f>
        <v/>
      </c>
      <c r="BA61">
        <f>BA60+IF(AND(Lists!$AX$8&lt;&gt;"",ISNUMBER(SEARCH($I$4,Lists!$AX$8))),1,0)</f>
        <v/>
      </c>
      <c r="BB61">
        <f>IF(ROW()-56&gt;MAX($BA$57:$BA$95),"",INDEX(Lists!$AX$4:$AX$42,MATCH(ROW()-56,$BA$57:$BA$95,0)))</f>
        <v/>
      </c>
      <c r="BC61">
        <f>BC60+IF(AND(Lists!$BC$8&lt;&gt;"",ISNUMBER(SEARCH($J$4,Lists!$BC$8))),1,0)</f>
        <v/>
      </c>
      <c r="BD61">
        <f>IF(ROW()-56&gt;MAX($BC$57:$BC$95),"",INDEX(Lists!$BC$4:$BC$42,MATCH(ROW()-56,$BC$57:$BC$95,0)))</f>
        <v/>
      </c>
      <c r="BE61">
        <f>BE60+IF(AND(Lists!$BH$8&lt;&gt;"",ISNUMBER(SEARCH($K$4,Lists!$BH$8))),1,0)</f>
        <v/>
      </c>
      <c r="BF61">
        <f>IF(ROW()-56&gt;MAX($BE$57:$BE$95),"",INDEX(Lists!$BH$4:$BH$42,MATCH(ROW()-56,$BE$57:$BE$95,0)))</f>
        <v/>
      </c>
      <c r="BG61">
        <f>BG60+IF(AND(Lists!$BM$8&lt;&gt;"",ISNUMBER(SEARCH($L$4,Lists!$BM$8))),1,0)</f>
        <v/>
      </c>
      <c r="BH61">
        <f>IF(ROW()-56&gt;MAX($BG$57:$BG$95),"",INDEX(Lists!$BM$4:$BM$42,MATCH(ROW()-56,$BG$57:$BG$95,0)))</f>
        <v/>
      </c>
      <c r="BI61">
        <f>BI60+IF(AND(Lists!$BR$8&lt;&gt;"",ISNUMBER(SEARCH($M$4,Lists!$BR$8))),1,0)</f>
        <v/>
      </c>
      <c r="BJ61">
        <f>IF(ROW()-56&gt;MAX($BI$57:$BI$95),"",INDEX(Lists!$BR$4:$BR$42,MATCH(ROW()-56,$BI$57:$BI$95,0)))</f>
        <v/>
      </c>
      <c r="BK61">
        <f>BK60+IF(AND(Lists!$BW$8&lt;&gt;"",ISNUMBER(SEARCH($N$4,Lists!$BW$8))),1,0)</f>
        <v/>
      </c>
      <c r="BL61">
        <f>IF(ROW()-56&gt;MAX($BK$57:$BK$95),"",INDEX(Lists!$BW$4:$BW$42,MATCH(ROW()-56,$BK$57:$BK$95,0)))</f>
        <v/>
      </c>
      <c r="BM61">
        <f>BM60+IF(AND(Lists!$CB$8&lt;&gt;"",ISNUMBER(SEARCH($O$4,Lists!$CB$8))),1,0)</f>
        <v/>
      </c>
      <c r="BN61">
        <f>IF(ROW()-56&gt;MAX($BM$57:$BM$95),"",INDEX(Lists!$CB$4:$CB$42,MATCH(ROW()-56,$BM$57:$BM$95,0)))</f>
        <v/>
      </c>
      <c r="BO61">
        <f>BO60+IF(AND(Lists!$CG$8&lt;&gt;"",ISNUMBER(SEARCH($P$4,Lists!$CG$8))),1,0)</f>
        <v/>
      </c>
      <c r="BP61">
        <f>IF(ROW()-56&gt;MAX($BO$57:$BO$95),"",INDEX(Lists!$CG$4:$CG$42,MATCH(ROW()-56,$BO$57:$BO$95,0)))</f>
        <v/>
      </c>
      <c r="BQ61">
        <f>BQ60+IF(AND(Lists!$CL$8&lt;&gt;"",ISNUMBER(SEARCH($Q$4,Lists!$CL$8))),1,0)</f>
        <v/>
      </c>
      <c r="BR61">
        <f>IF(ROW()-56&gt;MAX($BQ$57:$BQ$95),"",INDEX(Lists!$CL$4:$CL$42,MATCH(ROW()-56,$BQ$57:$BQ$95,0)))</f>
        <v/>
      </c>
      <c r="BS61">
        <f>BS60+IF(AND(Lists!$CQ$8&lt;&gt;"",ISNUMBER(SEARCH($R$4,Lists!$CQ$8))),1,0)</f>
        <v/>
      </c>
      <c r="BT61">
        <f>IF(ROW()-56&gt;MAX($BS$57:$BS$95),"",INDEX(Lists!$CQ$4:$CQ$42,MATCH(ROW()-56,$BS$57:$BS$95,0)))</f>
        <v/>
      </c>
      <c r="BU61">
        <f>BU60+IF(AND(Lists!$CV$8&lt;&gt;"",ISNUMBER(SEARCH($S$4,Lists!$CV$8))),1,0)</f>
        <v/>
      </c>
      <c r="BV61">
        <f>IF(ROW()-56&gt;MAX($BU$57:$BU$95),"",INDEX(Lists!$CV$4:$CV$42,MATCH(ROW()-56,$BU$57:$BU$95,0)))</f>
        <v/>
      </c>
      <c r="BW61">
        <f>BW60+IF(AND(Lists!$DA$8&lt;&gt;"",ISNUMBER(SEARCH($T$4,Lists!$DA$8))),1,0)</f>
        <v/>
      </c>
      <c r="BX61">
        <f>IF(ROW()-56&gt;MAX($BW$57:$BW$95),"",INDEX(Lists!$DA$4:$DA$42,MATCH(ROW()-56,$BW$57:$BW$95,0)))</f>
        <v/>
      </c>
      <c r="BY61">
        <f>BY60+IF(AND(Lists!$DF$8&lt;&gt;"",ISNUMBER(SEARCH($U$4,Lists!$DF$8))),1,0)</f>
        <v/>
      </c>
      <c r="BZ61">
        <f>IF(ROW()-56&gt;MAX($BY$57:$BY$95),"",INDEX(Lists!$DF$4:$DF$42,MATCH(ROW()-56,$BY$57:$BY$95,0)))</f>
        <v/>
      </c>
      <c r="CA61">
        <f>CA60+IF(AND(Lists!$DK$8&lt;&gt;"",ISNUMBER(SEARCH($V$4,Lists!$DK$8))),1,0)</f>
        <v/>
      </c>
      <c r="CB61">
        <f>IF(ROW()-56&gt;MAX($CA$57:$CA$95),"",INDEX(Lists!$DK$4:$DK$42,MATCH(ROW()-56,$CA$57:$CA$95,0)))</f>
        <v/>
      </c>
      <c r="CC61">
        <f>CC60+IF(AND(Lists!$DP$8&lt;&gt;"",ISNUMBER(SEARCH($W$4,Lists!$DP$8))),1,0)</f>
        <v/>
      </c>
      <c r="CD61">
        <f>IF(ROW()-56&gt;MAX($CC$57:$CC$95),"",INDEX(Lists!$DP$4:$DP$42,MATCH(ROW()-56,$CC$57:$CC$95,0)))</f>
        <v/>
      </c>
      <c r="CE61">
        <f>CE60+IF(AND(Lists!$DU$8&lt;&gt;"",ISNUMBER(SEARCH($X$4,Lists!$DU$8))),1,0)</f>
        <v/>
      </c>
      <c r="CF61">
        <f>IF(ROW()-56&gt;MAX($CE$57:$CE$95),"",INDEX(Lists!$DU$4:$DU$42,MATCH(ROW()-56,$CE$57:$CE$95,0)))</f>
        <v/>
      </c>
      <c r="CG61">
        <f>CG60+IF(AND(Lists!$DZ$8&lt;&gt;"",ISNUMBER(SEARCH($Y$4,Lists!$DZ$8))),1,0)</f>
        <v/>
      </c>
      <c r="CH61">
        <f>IF(ROW()-56&gt;MAX($CG$57:$CG$95),"",INDEX(Lists!$DZ$4:$DZ$42,MATCH(ROW()-56,$CG$57:$CG$95,0)))</f>
        <v/>
      </c>
      <c r="CI61">
        <f>CI60+IF(AND(Lists!$EE$8&lt;&gt;"",ISNUMBER(SEARCH($Z$4,Lists!$EE$8))),1,0)</f>
        <v/>
      </c>
      <c r="CJ61">
        <f>IF(ROW()-56&gt;MAX($CI$57:$CI$95),"",INDEX(Lists!$EE$4:$EE$42,MATCH(ROW()-56,$CI$57:$CI$95,0)))</f>
        <v/>
      </c>
      <c r="CK61">
        <f>CK60+IF(AND(Lists!$EJ$8&lt;&gt;"",ISNUMBER(SEARCH($AA$4,Lists!$EJ$8))),1,0)</f>
        <v/>
      </c>
      <c r="CL61">
        <f>IF(ROW()-56&gt;MAX($CK$57:$CK$95),"",INDEX(Lists!$EJ$4:$EJ$42,MATCH(ROW()-56,$CK$57:$CK$95,0)))</f>
        <v/>
      </c>
      <c r="CM61">
        <f>CM60+IF(AND(Lists!$EO$8&lt;&gt;"",ISNUMBER(SEARCH($AB$4,Lists!$EO$8))),1,0)</f>
        <v/>
      </c>
      <c r="CN61">
        <f>IF(ROW()-56&gt;MAX($CM$57:$CM$95),"",INDEX(Lists!$EO$4:$EO$42,MATCH(ROW()-56,$CM$57:$CM$95,0)))</f>
        <v/>
      </c>
      <c r="CO61">
        <f>CO60+IF(AND(Lists!$ET$8&lt;&gt;"",ISNUMBER(SEARCH($AC$4,Lists!$ET$8))),1,0)</f>
        <v/>
      </c>
      <c r="CP61">
        <f>IF(ROW()-56&gt;MAX($CO$57:$CO$95),"",INDEX(Lists!$ET$4:$ET$42,MATCH(ROW()-56,$CO$57:$CO$95,0)))</f>
        <v/>
      </c>
      <c r="CQ61">
        <f>CQ60+IF(AND(Lists!$EY$8&lt;&gt;"",ISNUMBER(SEARCH($AD$4,Lists!$EY$8))),1,0)</f>
        <v/>
      </c>
      <c r="CR61">
        <f>IF(ROW()-56&gt;MAX($CQ$57:$CQ$95),"",INDEX(Lists!$EY$4:$EY$42,MATCH(ROW()-56,$CQ$57:$CQ$95,0)))</f>
        <v/>
      </c>
      <c r="CS61">
        <f>CS60+IF(AND(Lists!$FD$8&lt;&gt;"",ISNUMBER(SEARCH($AE$4,Lists!$FD$8))),1,0)</f>
        <v/>
      </c>
      <c r="CT61">
        <f>IF(ROW()-56&gt;MAX($CS$57:$CS$95),"",INDEX(Lists!$FD$4:$FD$42,MATCH(ROW()-56,$CS$57:$CS$95,0)))</f>
        <v/>
      </c>
      <c r="CU61">
        <f>CU60+IF(AND(Lists!$FI$8&lt;&gt;"",ISNUMBER(SEARCH($AG$4,Lists!$FI$8))),1,0)</f>
        <v/>
      </c>
      <c r="CV61">
        <f>IF(ROW()-56&gt;MAX($CU$57:$CU$95),"",INDEX(Lists!$FI$4:$FI$42,MATCH(ROW()-56,$CU$57:$CU$95,0)))</f>
        <v/>
      </c>
      <c r="CW61">
        <f>CW60+IF(AND(Lists!$FN$8&lt;&gt;"",ISNUMBER(SEARCH($AH$4,Lists!$FN$8))),1,0)</f>
        <v/>
      </c>
      <c r="CX61">
        <f>IF(ROW()-56&gt;MAX($CW$57:$CW$95),"",INDEX(Lists!$FN$4:$FN$42,MATCH(ROW()-56,$CW$57:$CW$95,0)))</f>
        <v/>
      </c>
      <c r="CY61">
        <f>CY60+IF(AND(Lists!$FS$8&lt;&gt;"",ISNUMBER(SEARCH($AI$4,Lists!$FS$8))),1,0)</f>
        <v/>
      </c>
      <c r="CZ61">
        <f>IF(ROW()-56&gt;MAX($CY$57:$CY$95),"",INDEX(Lists!$FS$4:$FS$42,MATCH(ROW()-56,$CY$57:$CY$95,0)))</f>
        <v/>
      </c>
      <c r="DA61">
        <f>DA60+IF(AND(Lists!$FX$8&lt;&gt;"",ISNUMBER(SEARCH($AF$4,Lists!$FX$8))),1,0)</f>
        <v/>
      </c>
      <c r="DB61">
        <f>IF(ROW()-56&gt;MAX($DA$57:$DA$95),"",INDEX(Lists!$FX$4:$FX$42,MATCH(ROW()-56,$DA$57:$DA$95,0)))</f>
        <v/>
      </c>
      <c r="DG61">
        <f>IF($B$4="",1,IF($B$4="(blank)",--('Final Calculation Sheet'!$F$6=""),IF($B$4="(nonblank)",--('Final Calculation Sheet'!$F$6&lt;&gt;""),--ISNUMBER(SEARCH($B$4,'Final Calculation Sheet'!$F$6)))))</f>
        <v/>
      </c>
      <c r="DH61">
        <f>IF($C$4="",1,IF($C$4="(blank)",--('Final Calculation Sheet'!$G$6=""),IF($C$4="(nonblank)",--('Final Calculation Sheet'!$G$6&lt;&gt;""),--ISNUMBER(SEARCH($C$4,'Final Calculation Sheet'!$G$6)))))</f>
        <v/>
      </c>
      <c r="DI61">
        <f>IF($D$4="",1,IF($D$4="(blank)",--('Final Calculation Sheet'!$B$6=""),IF($D$4="(nonblank)",--('Final Calculation Sheet'!$B$6&lt;&gt;""),--ISNUMBER(SEARCH($D$4,'Final Calculation Sheet'!$B$6)))))</f>
        <v/>
      </c>
      <c r="DJ61">
        <f>IF($E$4="",1,IF($E$4="(blank)",--('Final Calculation Sheet'!$D$6=""),IF($E$4="(nonblank)",--('Final Calculation Sheet'!$D$6&lt;&gt;""),--ISNUMBER(SEARCH($E$4,'Final Calculation Sheet'!$D$6)))))</f>
        <v/>
      </c>
      <c r="DK61">
        <f>IF($F$4="",1,IF($F$4="(blank)",--('Final Calculation Sheet'!$A$6=""),IF($F$4="(nonblank)",--('Final Calculation Sheet'!$A$6&lt;&gt;""),--ISNUMBER(SEARCH($F$4,'Final Calculation Sheet'!$A$6)))))</f>
        <v/>
      </c>
      <c r="DL61">
        <f>IF($G$4="",1,IF($G$4="(blank)",--('Final Calculation Sheet'!$E$6=""),IF($G$4="(nonblank)",--('Final Calculation Sheet'!$E$6&lt;&gt;""),--ISNUMBER(SEARCH($G$4,'Final Calculation Sheet'!$E$6)))))</f>
        <v/>
      </c>
      <c r="DM61">
        <f>IF($H$4="",1,IF($H$4="(blank)",--('Final Calculation Sheet'!$C$6=""),IF($H$4="(nonblank)",--('Final Calculation Sheet'!$C$6&lt;&gt;""),--ISNUMBER(SEARCH($H$4,'Final Calculation Sheet'!$C$6)))))</f>
        <v/>
      </c>
      <c r="DN61">
        <f>IF($I$4="",1,IF($I$4="(blank)",--('Final Calculation Sheet'!$H$6=""),IF($I$4="(nonblank)",--('Final Calculation Sheet'!$H$6&lt;&gt;""),--ISNUMBER(SEARCH($I$4,'Final Calculation Sheet'!$H$6)))))</f>
        <v/>
      </c>
      <c r="DO61">
        <f>IF($J$4="",1,IF($J$4="(blank)",--('Final Calculation Sheet'!$I$6=""),IF($J$4="(nonblank)",--('Final Calculation Sheet'!$I$6&lt;&gt;""),--ISNUMBER(SEARCH($J$4,'Final Calculation Sheet'!$I$6)))))</f>
        <v/>
      </c>
      <c r="DP61">
        <f>IF($K$4="",1,IF($K$4="(blank)",--('Final Calculation Sheet'!$J$6=""),IF($K$4="(nonblank)",--('Final Calculation Sheet'!$J$6&lt;&gt;""),--ISNUMBER(SEARCH($K$4,'Final Calculation Sheet'!$J$6)))))</f>
        <v/>
      </c>
      <c r="DQ61">
        <f>IF($L$4="",1,IF($L$4="(blank)",--('Final Calculation Sheet'!$K$6=""),IF($L$4="(nonblank)",--('Final Calculation Sheet'!$K$6&lt;&gt;""),--ISNUMBER(SEARCH($L$4,'Final Calculation Sheet'!$K$6)))))</f>
        <v/>
      </c>
      <c r="DR61">
        <f>IF($M$4="",1,IF($M$4="(blank)",--('Final Calculation Sheet'!$L$6=""),IF($M$4="(nonblank)",--('Final Calculation Sheet'!$L$6&lt;&gt;""),--ISNUMBER(SEARCH($M$4,'Final Calculation Sheet'!$L$6)))))</f>
        <v/>
      </c>
      <c r="DS61">
        <f>IF($N$4="",1,IF($N$4="(blank)",--('Final Calculation Sheet'!$M$6=""),IF($N$4="(nonblank)",--('Final Calculation Sheet'!$M$6&lt;&gt;""),--ISNUMBER(SEARCH($N$4,'Final Calculation Sheet'!$M$6)))))</f>
        <v/>
      </c>
      <c r="DT61">
        <f>IF($O$4="",1,IF($O$4="(blank)",--('Final Calculation Sheet'!$N$6=""),IF($O$4="(nonblank)",--('Final Calculation Sheet'!$N$6&lt;&gt;""),--ISNUMBER(SEARCH($O$4,'Final Calculation Sheet'!$N$6)))))</f>
        <v/>
      </c>
      <c r="DU61">
        <f>IF($P$4="",1,IF($P$4="(blank)",--('Final Calculation Sheet'!$O$6=""),IF($P$4="(nonblank)",--('Final Calculation Sheet'!$O$6&lt;&gt;""),--ISNUMBER(SEARCH($P$4,'Final Calculation Sheet'!$O$6)))))</f>
        <v/>
      </c>
      <c r="DV61">
        <f>IF($Q$4="",1,IF($Q$4="(blank)",--('Final Calculation Sheet'!$P$6=""),IF($Q$4="(nonblank)",--('Final Calculation Sheet'!$P$6&lt;&gt;""),--ISNUMBER(SEARCH($Q$4,'Final Calculation Sheet'!$P$6)))))</f>
        <v/>
      </c>
      <c r="DW61">
        <f>IF($R$4="",1,IF($R$4="(blank)",--('Final Calculation Sheet'!$Q$6=""),IF($R$4="(nonblank)",--('Final Calculation Sheet'!$Q$6&lt;&gt;""),--ISNUMBER(SEARCH($R$4,'Final Calculation Sheet'!$Q$6)))))</f>
        <v/>
      </c>
      <c r="DX61">
        <f>IF($S$4="",1,IF($S$4="(blank)",--('Final Calculation Sheet'!$R$6=""),IF($S$4="(nonblank)",--('Final Calculation Sheet'!$R$6&lt;&gt;""),--ISNUMBER(SEARCH($S$4,'Final Calculation Sheet'!$R$6)))))</f>
        <v/>
      </c>
      <c r="DY61">
        <f>IF($T$4="",1,IF($T$4="(blank)",--('Final Calculation Sheet'!$S$6=""),IF($T$4="(nonblank)",--('Final Calculation Sheet'!$S$6&lt;&gt;""),--ISNUMBER(SEARCH($T$4,'Final Calculation Sheet'!$S$6)))))</f>
        <v/>
      </c>
      <c r="DZ61">
        <f>IF($U$4="",1,IF($U$4="(blank)",--('Final Calculation Sheet'!$T$6=""),IF($U$4="(nonblank)",--('Final Calculation Sheet'!$T$6&lt;&gt;""),--ISNUMBER(SEARCH($U$4,'Final Calculation Sheet'!$T$6)))))</f>
        <v/>
      </c>
      <c r="EA61">
        <f>IF($V$4="",1,IF($V$4="(blank)",--('Final Calculation Sheet'!$U$6=""),IF($V$4="(nonblank)",--('Final Calculation Sheet'!$U$6&lt;&gt;""),--ISNUMBER(SEARCH($V$4,'Final Calculation Sheet'!$U$6)))))</f>
        <v/>
      </c>
      <c r="EB61">
        <f>IF($W$4="",1,IF($W$4="(blank)",--('Final Calculation Sheet'!$V$6=""),IF($W$4="(nonblank)",--('Final Calculation Sheet'!$V$6&lt;&gt;""),--ISNUMBER(SEARCH($W$4,'Final Calculation Sheet'!$V$6)))))</f>
        <v/>
      </c>
      <c r="EC61">
        <f>IF($X$4="",1,IF($X$4="(blank)",--('Final Calculation Sheet'!$W$6=""),IF($X$4="(nonblank)",--('Final Calculation Sheet'!$W$6&lt;&gt;""),--ISNUMBER(SEARCH($X$4,'Final Calculation Sheet'!$W$6)))))</f>
        <v/>
      </c>
      <c r="ED61">
        <f>IF($Y$4="",1,IF($Y$4="(blank)",--('Final Calculation Sheet'!$X$6=""),IF($Y$4="(nonblank)",--('Final Calculation Sheet'!$X$6&lt;&gt;""),--ISNUMBER(SEARCH($Y$4,'Final Calculation Sheet'!$X$6)))))</f>
        <v/>
      </c>
      <c r="EE61">
        <f>IF($Z$4="",1,IF($Z$4="(blank)",--('Final Calculation Sheet'!$Y$6=""),IF($Z$4="(nonblank)",--('Final Calculation Sheet'!$Y$6&lt;&gt;""),--ISNUMBER(SEARCH($Z$4,'Final Calculation Sheet'!$Y$6)))))</f>
        <v/>
      </c>
      <c r="EF61">
        <f>IF($AA$4="",1,IF($AA$4="(blank)",--('Final Calculation Sheet'!$Z$6=""),IF($AA$4="(nonblank)",--('Final Calculation Sheet'!$Z$6&lt;&gt;""),--ISNUMBER(SEARCH($AA$4,'Final Calculation Sheet'!$Z$6)))))</f>
        <v/>
      </c>
      <c r="EG61">
        <f>IF($AB$4="",1,IF($AB$4="(blank)",--('Final Calculation Sheet'!$AA$6=""),IF($AB$4="(nonblank)",--('Final Calculation Sheet'!$AA$6&lt;&gt;""),--ISNUMBER(SEARCH($AB$4,'Final Calculation Sheet'!$AA$6)))))</f>
        <v/>
      </c>
      <c r="EH61">
        <f>IF($AC$4="",1,IF($AC$4="(blank)",--('Final Calculation Sheet'!$AB$6=""),IF($AC$4="(nonblank)",--('Final Calculation Sheet'!$AB$6&lt;&gt;""),--ISNUMBER(SEARCH($AC$4,'Final Calculation Sheet'!$AB$6)))))</f>
        <v/>
      </c>
      <c r="EI61">
        <f>IF($AD$4="",1,IF($AD$4="(blank)",--('Final Calculation Sheet'!$AC$6=""),IF($AD$4="(nonblank)",--('Final Calculation Sheet'!$AC$6&lt;&gt;""),--ISNUMBER(SEARCH($AD$4,'Final Calculation Sheet'!$AC$6)))))</f>
        <v/>
      </c>
      <c r="EJ61">
        <f>IF($AE$4="",1,IF($AE$4="(blank)",--('Final Calculation Sheet'!$AD$6=""),IF($AE$4="(nonblank)",--('Final Calculation Sheet'!$AD$6&lt;&gt;""),--ISNUMBER(SEARCH($AE$4,'Final Calculation Sheet'!$AD$6)))))</f>
        <v/>
      </c>
      <c r="EK61">
        <f>IF($AF$4="",1,IF($AF$4="(blank)",--(IF('Final Calculation Sheet'!$AD$6&lt;=5,"SETTLED","OUTSTANDING")=""),IF($AF$4="(nonblank)",--(IF('Final Calculation Sheet'!$AD$6&lt;=5,"SETTLED","OUTSTANDING")&lt;&gt;""),--ISNUMBER(SEARCH($AF$4,IF('Final Calculation Sheet'!$AD$6&lt;=5,"SETTLED","OUTSTANDING"))))))</f>
        <v/>
      </c>
      <c r="EL61">
        <f>IF($AG$4="",1,IF($AG$4="(blank)",--('Final Calculation Sheet'!$AF$6=""),IF($AG$4="(nonblank)",--('Final Calculation Sheet'!$AF$6&lt;&gt;""),--ISNUMBER(SEARCH($AG$4,'Final Calculation Sheet'!$AF$6)))))</f>
        <v/>
      </c>
      <c r="EM61">
        <f>IF($AH$4="",1,IF($AH$4="(blank)",--('Final Calculation Sheet'!$AG$6=""),IF($AH$4="(nonblank)",--('Final Calculation Sheet'!$AG$6&lt;&gt;""),--ISNUMBER(SEARCH($AH$4,'Final Calculation Sheet'!$AG$6)))))</f>
        <v/>
      </c>
      <c r="EN61">
        <f>IF($AI$4="",1,IF($AI$4="(blank)",--('Final Calculation Sheet'!$AH$6=""),IF($AI$4="(nonblank)",--('Final Calculation Sheet'!$AH$6&lt;&gt;""),--ISNUMBER(SEARCH($AI$4,'Final Calculation Sheet'!$AH$6)))))</f>
        <v/>
      </c>
    </row>
    <row r="62">
      <c r="AM62">
        <f>AM61+IF(AND(Lists!$O$9&lt;&gt;"",ISNUMBER(SEARCH($B$4,Lists!$O$9))),1,0)</f>
        <v/>
      </c>
      <c r="AN62">
        <f>IF(ROW()-56&gt;MAX($AM$57:$AM$95),"",INDEX(Lists!$O$4:$O$42,MATCH(ROW()-56,$AM$57:$AM$95,0)))</f>
        <v/>
      </c>
      <c r="AO62">
        <f>AO61+IF(AND(Lists!$T$9&lt;&gt;"",ISNUMBER(SEARCH($C$4,Lists!$T$9))),1,0)</f>
        <v/>
      </c>
      <c r="AP62">
        <f>IF(ROW()-56&gt;MAX($AO$57:$AO$95),"",INDEX(Lists!$T$4:$T$42,MATCH(ROW()-56,$AO$57:$AO$95,0)))</f>
        <v/>
      </c>
      <c r="AQ62">
        <f>AQ61+IF(AND(Lists!$Y$9&lt;&gt;"",ISNUMBER(SEARCH($D$4,Lists!$Y$9))),1,0)</f>
        <v/>
      </c>
      <c r="AR62">
        <f>IF(ROW()-56&gt;MAX($AQ$57:$AQ$95),"",INDEX(Lists!$Y$4:$Y$42,MATCH(ROW()-56,$AQ$57:$AQ$95,0)))</f>
        <v/>
      </c>
      <c r="AS62">
        <f>AS61+IF(AND(Lists!$AD$9&lt;&gt;"",ISNUMBER(SEARCH($E$4,Lists!$AD$9))),1,0)</f>
        <v/>
      </c>
      <c r="AT62">
        <f>IF(ROW()-56&gt;MAX($AS$57:$AS$95),"",INDEX(Lists!$AD$4:$AD$42,MATCH(ROW()-56,$AS$57:$AS$95,0)))</f>
        <v/>
      </c>
      <c r="AU62">
        <f>AU61+IF(AND(Lists!$AI$9&lt;&gt;"",ISNUMBER(SEARCH($F$4,Lists!$AI$9))),1,0)</f>
        <v/>
      </c>
      <c r="AV62">
        <f>IF(ROW()-56&gt;MAX($AU$57:$AU$95),"",INDEX(Lists!$AI$4:$AI$42,MATCH(ROW()-56,$AU$57:$AU$95,0)))</f>
        <v/>
      </c>
      <c r="AW62">
        <f>AW61+IF(AND(Lists!$AN$9&lt;&gt;"",ISNUMBER(SEARCH($G$4,Lists!$AN$9))),1,0)</f>
        <v/>
      </c>
      <c r="AX62">
        <f>IF(ROW()-56&gt;MAX($AW$57:$AW$95),"",INDEX(Lists!$AN$4:$AN$42,MATCH(ROW()-56,$AW$57:$AW$95,0)))</f>
        <v/>
      </c>
      <c r="AY62">
        <f>AY61+IF(AND(Lists!$AS$9&lt;&gt;"",ISNUMBER(SEARCH($H$4,Lists!$AS$9))),1,0)</f>
        <v/>
      </c>
      <c r="AZ62">
        <f>IF(ROW()-56&gt;MAX($AY$57:$AY$95),"",INDEX(Lists!$AS$4:$AS$42,MATCH(ROW()-56,$AY$57:$AY$95,0)))</f>
        <v/>
      </c>
      <c r="BA62">
        <f>BA61+IF(AND(Lists!$AX$9&lt;&gt;"",ISNUMBER(SEARCH($I$4,Lists!$AX$9))),1,0)</f>
        <v/>
      </c>
      <c r="BB62">
        <f>IF(ROW()-56&gt;MAX($BA$57:$BA$95),"",INDEX(Lists!$AX$4:$AX$42,MATCH(ROW()-56,$BA$57:$BA$95,0)))</f>
        <v/>
      </c>
      <c r="BC62">
        <f>BC61+IF(AND(Lists!$BC$9&lt;&gt;"",ISNUMBER(SEARCH($J$4,Lists!$BC$9))),1,0)</f>
        <v/>
      </c>
      <c r="BD62">
        <f>IF(ROW()-56&gt;MAX($BC$57:$BC$95),"",INDEX(Lists!$BC$4:$BC$42,MATCH(ROW()-56,$BC$57:$BC$95,0)))</f>
        <v/>
      </c>
      <c r="BE62">
        <f>BE61+IF(AND(Lists!$BH$9&lt;&gt;"",ISNUMBER(SEARCH($K$4,Lists!$BH$9))),1,0)</f>
        <v/>
      </c>
      <c r="BF62">
        <f>IF(ROW()-56&gt;MAX($BE$57:$BE$95),"",INDEX(Lists!$BH$4:$BH$42,MATCH(ROW()-56,$BE$57:$BE$95,0)))</f>
        <v/>
      </c>
      <c r="BG62">
        <f>BG61+IF(AND(Lists!$BM$9&lt;&gt;"",ISNUMBER(SEARCH($L$4,Lists!$BM$9))),1,0)</f>
        <v/>
      </c>
      <c r="BH62">
        <f>IF(ROW()-56&gt;MAX($BG$57:$BG$95),"",INDEX(Lists!$BM$4:$BM$42,MATCH(ROW()-56,$BG$57:$BG$95,0)))</f>
        <v/>
      </c>
      <c r="BI62">
        <f>BI61+IF(AND(Lists!$BR$9&lt;&gt;"",ISNUMBER(SEARCH($M$4,Lists!$BR$9))),1,0)</f>
        <v/>
      </c>
      <c r="BJ62">
        <f>IF(ROW()-56&gt;MAX($BI$57:$BI$95),"",INDEX(Lists!$BR$4:$BR$42,MATCH(ROW()-56,$BI$57:$BI$95,0)))</f>
        <v/>
      </c>
      <c r="BK62">
        <f>BK61+IF(AND(Lists!$BW$9&lt;&gt;"",ISNUMBER(SEARCH($N$4,Lists!$BW$9))),1,0)</f>
        <v/>
      </c>
      <c r="BL62">
        <f>IF(ROW()-56&gt;MAX($BK$57:$BK$95),"",INDEX(Lists!$BW$4:$BW$42,MATCH(ROW()-56,$BK$57:$BK$95,0)))</f>
        <v/>
      </c>
      <c r="BM62">
        <f>BM61+IF(AND(Lists!$CB$9&lt;&gt;"",ISNUMBER(SEARCH($O$4,Lists!$CB$9))),1,0)</f>
        <v/>
      </c>
      <c r="BN62">
        <f>IF(ROW()-56&gt;MAX($BM$57:$BM$95),"",INDEX(Lists!$CB$4:$CB$42,MATCH(ROW()-56,$BM$57:$BM$95,0)))</f>
        <v/>
      </c>
      <c r="BO62">
        <f>BO61+IF(AND(Lists!$CG$9&lt;&gt;"",ISNUMBER(SEARCH($P$4,Lists!$CG$9))),1,0)</f>
        <v/>
      </c>
      <c r="BP62">
        <f>IF(ROW()-56&gt;MAX($BO$57:$BO$95),"",INDEX(Lists!$CG$4:$CG$42,MATCH(ROW()-56,$BO$57:$BO$95,0)))</f>
        <v/>
      </c>
      <c r="BQ62">
        <f>BQ61+IF(AND(Lists!$CL$9&lt;&gt;"",ISNUMBER(SEARCH($Q$4,Lists!$CL$9))),1,0)</f>
        <v/>
      </c>
      <c r="BR62">
        <f>IF(ROW()-56&gt;MAX($BQ$57:$BQ$95),"",INDEX(Lists!$CL$4:$CL$42,MATCH(ROW()-56,$BQ$57:$BQ$95,0)))</f>
        <v/>
      </c>
      <c r="BS62">
        <f>BS61+IF(AND(Lists!$CQ$9&lt;&gt;"",ISNUMBER(SEARCH($R$4,Lists!$CQ$9))),1,0)</f>
        <v/>
      </c>
      <c r="BT62">
        <f>IF(ROW()-56&gt;MAX($BS$57:$BS$95),"",INDEX(Lists!$CQ$4:$CQ$42,MATCH(ROW()-56,$BS$57:$BS$95,0)))</f>
        <v/>
      </c>
      <c r="BU62">
        <f>BU61+IF(AND(Lists!$CV$9&lt;&gt;"",ISNUMBER(SEARCH($S$4,Lists!$CV$9))),1,0)</f>
        <v/>
      </c>
      <c r="BV62">
        <f>IF(ROW()-56&gt;MAX($BU$57:$BU$95),"",INDEX(Lists!$CV$4:$CV$42,MATCH(ROW()-56,$BU$57:$BU$95,0)))</f>
        <v/>
      </c>
      <c r="BW62">
        <f>BW61+IF(AND(Lists!$DA$9&lt;&gt;"",ISNUMBER(SEARCH($T$4,Lists!$DA$9))),1,0)</f>
        <v/>
      </c>
      <c r="BX62">
        <f>IF(ROW()-56&gt;MAX($BW$57:$BW$95),"",INDEX(Lists!$DA$4:$DA$42,MATCH(ROW()-56,$BW$57:$BW$95,0)))</f>
        <v/>
      </c>
      <c r="BY62">
        <f>BY61+IF(AND(Lists!$DF$9&lt;&gt;"",ISNUMBER(SEARCH($U$4,Lists!$DF$9))),1,0)</f>
        <v/>
      </c>
      <c r="BZ62">
        <f>IF(ROW()-56&gt;MAX($BY$57:$BY$95),"",INDEX(Lists!$DF$4:$DF$42,MATCH(ROW()-56,$BY$57:$BY$95,0)))</f>
        <v/>
      </c>
      <c r="CA62">
        <f>CA61+IF(AND(Lists!$DK$9&lt;&gt;"",ISNUMBER(SEARCH($V$4,Lists!$DK$9))),1,0)</f>
        <v/>
      </c>
      <c r="CB62">
        <f>IF(ROW()-56&gt;MAX($CA$57:$CA$95),"",INDEX(Lists!$DK$4:$DK$42,MATCH(ROW()-56,$CA$57:$CA$95,0)))</f>
        <v/>
      </c>
      <c r="CC62">
        <f>CC61+IF(AND(Lists!$DP$9&lt;&gt;"",ISNUMBER(SEARCH($W$4,Lists!$DP$9))),1,0)</f>
        <v/>
      </c>
      <c r="CD62">
        <f>IF(ROW()-56&gt;MAX($CC$57:$CC$95),"",INDEX(Lists!$DP$4:$DP$42,MATCH(ROW()-56,$CC$57:$CC$95,0)))</f>
        <v/>
      </c>
      <c r="CE62">
        <f>CE61+IF(AND(Lists!$DU$9&lt;&gt;"",ISNUMBER(SEARCH($X$4,Lists!$DU$9))),1,0)</f>
        <v/>
      </c>
      <c r="CF62">
        <f>IF(ROW()-56&gt;MAX($CE$57:$CE$95),"",INDEX(Lists!$DU$4:$DU$42,MATCH(ROW()-56,$CE$57:$CE$95,0)))</f>
        <v/>
      </c>
      <c r="CG62">
        <f>CG61+IF(AND(Lists!$DZ$9&lt;&gt;"",ISNUMBER(SEARCH($Y$4,Lists!$DZ$9))),1,0)</f>
        <v/>
      </c>
      <c r="CH62">
        <f>IF(ROW()-56&gt;MAX($CG$57:$CG$95),"",INDEX(Lists!$DZ$4:$DZ$42,MATCH(ROW()-56,$CG$57:$CG$95,0)))</f>
        <v/>
      </c>
      <c r="CI62">
        <f>CI61+IF(AND(Lists!$EE$9&lt;&gt;"",ISNUMBER(SEARCH($Z$4,Lists!$EE$9))),1,0)</f>
        <v/>
      </c>
      <c r="CJ62">
        <f>IF(ROW()-56&gt;MAX($CI$57:$CI$95),"",INDEX(Lists!$EE$4:$EE$42,MATCH(ROW()-56,$CI$57:$CI$95,0)))</f>
        <v/>
      </c>
      <c r="CK62">
        <f>CK61+IF(AND(Lists!$EJ$9&lt;&gt;"",ISNUMBER(SEARCH($AA$4,Lists!$EJ$9))),1,0)</f>
        <v/>
      </c>
      <c r="CL62">
        <f>IF(ROW()-56&gt;MAX($CK$57:$CK$95),"",INDEX(Lists!$EJ$4:$EJ$42,MATCH(ROW()-56,$CK$57:$CK$95,0)))</f>
        <v/>
      </c>
      <c r="CM62">
        <f>CM61+IF(AND(Lists!$EO$9&lt;&gt;"",ISNUMBER(SEARCH($AB$4,Lists!$EO$9))),1,0)</f>
        <v/>
      </c>
      <c r="CN62">
        <f>IF(ROW()-56&gt;MAX($CM$57:$CM$95),"",INDEX(Lists!$EO$4:$EO$42,MATCH(ROW()-56,$CM$57:$CM$95,0)))</f>
        <v/>
      </c>
      <c r="CO62">
        <f>CO61+IF(AND(Lists!$ET$9&lt;&gt;"",ISNUMBER(SEARCH($AC$4,Lists!$ET$9))),1,0)</f>
        <v/>
      </c>
      <c r="CP62">
        <f>IF(ROW()-56&gt;MAX($CO$57:$CO$95),"",INDEX(Lists!$ET$4:$ET$42,MATCH(ROW()-56,$CO$57:$CO$95,0)))</f>
        <v/>
      </c>
      <c r="CQ62">
        <f>CQ61+IF(AND(Lists!$EY$9&lt;&gt;"",ISNUMBER(SEARCH($AD$4,Lists!$EY$9))),1,0)</f>
        <v/>
      </c>
      <c r="CR62">
        <f>IF(ROW()-56&gt;MAX($CQ$57:$CQ$95),"",INDEX(Lists!$EY$4:$EY$42,MATCH(ROW()-56,$CQ$57:$CQ$95,0)))</f>
        <v/>
      </c>
      <c r="CS62">
        <f>CS61+IF(AND(Lists!$FD$9&lt;&gt;"",ISNUMBER(SEARCH($AE$4,Lists!$FD$9))),1,0)</f>
        <v/>
      </c>
      <c r="CT62">
        <f>IF(ROW()-56&gt;MAX($CS$57:$CS$95),"",INDEX(Lists!$FD$4:$FD$42,MATCH(ROW()-56,$CS$57:$CS$95,0)))</f>
        <v/>
      </c>
      <c r="CU62">
        <f>CU61+IF(AND(Lists!$FI$9&lt;&gt;"",ISNUMBER(SEARCH($AG$4,Lists!$FI$9))),1,0)</f>
        <v/>
      </c>
      <c r="CV62">
        <f>IF(ROW()-56&gt;MAX($CU$57:$CU$95),"",INDEX(Lists!$FI$4:$FI$42,MATCH(ROW()-56,$CU$57:$CU$95,0)))</f>
        <v/>
      </c>
      <c r="CW62">
        <f>CW61+IF(AND(Lists!$FN$9&lt;&gt;"",ISNUMBER(SEARCH($AH$4,Lists!$FN$9))),1,0)</f>
        <v/>
      </c>
      <c r="CX62">
        <f>IF(ROW()-56&gt;MAX($CW$57:$CW$95),"",INDEX(Lists!$FN$4:$FN$42,MATCH(ROW()-56,$CW$57:$CW$95,0)))</f>
        <v/>
      </c>
      <c r="CY62">
        <f>CY61+IF(AND(Lists!$FS$9&lt;&gt;"",ISNUMBER(SEARCH($AI$4,Lists!$FS$9))),1,0)</f>
        <v/>
      </c>
      <c r="CZ62">
        <f>IF(ROW()-56&gt;MAX($CY$57:$CY$95),"",INDEX(Lists!$FS$4:$FS$42,MATCH(ROW()-56,$CY$57:$CY$95,0)))</f>
        <v/>
      </c>
      <c r="DA62">
        <f>DA61+IF(AND(Lists!$FX$9&lt;&gt;"",ISNUMBER(SEARCH($AF$4,Lists!$FX$9))),1,0)</f>
        <v/>
      </c>
      <c r="DB62">
        <f>IF(ROW()-56&gt;MAX($DA$57:$DA$95),"",INDEX(Lists!$FX$4:$FX$42,MATCH(ROW()-56,$DA$57:$DA$95,0)))</f>
        <v/>
      </c>
      <c r="DG62">
        <f>IF($B$4="",1,IF($B$4="(blank)",--('Final Calculation Sheet'!$F$7=""),IF($B$4="(nonblank)",--('Final Calculation Sheet'!$F$7&lt;&gt;""),--ISNUMBER(SEARCH($B$4,'Final Calculation Sheet'!$F$7)))))</f>
        <v/>
      </c>
      <c r="DH62">
        <f>IF($C$4="",1,IF($C$4="(blank)",--('Final Calculation Sheet'!$G$7=""),IF($C$4="(nonblank)",--('Final Calculation Sheet'!$G$7&lt;&gt;""),--ISNUMBER(SEARCH($C$4,'Final Calculation Sheet'!$G$7)))))</f>
        <v/>
      </c>
      <c r="DI62">
        <f>IF($D$4="",1,IF($D$4="(blank)",--('Final Calculation Sheet'!$B$7=""),IF($D$4="(nonblank)",--('Final Calculation Sheet'!$B$7&lt;&gt;""),--ISNUMBER(SEARCH($D$4,'Final Calculation Sheet'!$B$7)))))</f>
        <v/>
      </c>
      <c r="DJ62">
        <f>IF($E$4="",1,IF($E$4="(blank)",--('Final Calculation Sheet'!$D$7=""),IF($E$4="(nonblank)",--('Final Calculation Sheet'!$D$7&lt;&gt;""),--ISNUMBER(SEARCH($E$4,'Final Calculation Sheet'!$D$7)))))</f>
        <v/>
      </c>
      <c r="DK62">
        <f>IF($F$4="",1,IF($F$4="(blank)",--('Final Calculation Sheet'!$A$7=""),IF($F$4="(nonblank)",--('Final Calculation Sheet'!$A$7&lt;&gt;""),--ISNUMBER(SEARCH($F$4,'Final Calculation Sheet'!$A$7)))))</f>
        <v/>
      </c>
      <c r="DL62">
        <f>IF($G$4="",1,IF($G$4="(blank)",--('Final Calculation Sheet'!$E$7=""),IF($G$4="(nonblank)",--('Final Calculation Sheet'!$E$7&lt;&gt;""),--ISNUMBER(SEARCH($G$4,'Final Calculation Sheet'!$E$7)))))</f>
        <v/>
      </c>
      <c r="DM62">
        <f>IF($H$4="",1,IF($H$4="(blank)",--('Final Calculation Sheet'!$C$7=""),IF($H$4="(nonblank)",--('Final Calculation Sheet'!$C$7&lt;&gt;""),--ISNUMBER(SEARCH($H$4,'Final Calculation Sheet'!$C$7)))))</f>
        <v/>
      </c>
      <c r="DN62">
        <f>IF($I$4="",1,IF($I$4="(blank)",--('Final Calculation Sheet'!$H$7=""),IF($I$4="(nonblank)",--('Final Calculation Sheet'!$H$7&lt;&gt;""),--ISNUMBER(SEARCH($I$4,'Final Calculation Sheet'!$H$7)))))</f>
        <v/>
      </c>
      <c r="DO62">
        <f>IF($J$4="",1,IF($J$4="(blank)",--('Final Calculation Sheet'!$I$7=""),IF($J$4="(nonblank)",--('Final Calculation Sheet'!$I$7&lt;&gt;""),--ISNUMBER(SEARCH($J$4,'Final Calculation Sheet'!$I$7)))))</f>
        <v/>
      </c>
      <c r="DP62">
        <f>IF($K$4="",1,IF($K$4="(blank)",--('Final Calculation Sheet'!$J$7=""),IF($K$4="(nonblank)",--('Final Calculation Sheet'!$J$7&lt;&gt;""),--ISNUMBER(SEARCH($K$4,'Final Calculation Sheet'!$J$7)))))</f>
        <v/>
      </c>
      <c r="DQ62">
        <f>IF($L$4="",1,IF($L$4="(blank)",--('Final Calculation Sheet'!$K$7=""),IF($L$4="(nonblank)",--('Final Calculation Sheet'!$K$7&lt;&gt;""),--ISNUMBER(SEARCH($L$4,'Final Calculation Sheet'!$K$7)))))</f>
        <v/>
      </c>
      <c r="DR62">
        <f>IF($M$4="",1,IF($M$4="(blank)",--('Final Calculation Sheet'!$L$7=""),IF($M$4="(nonblank)",--('Final Calculation Sheet'!$L$7&lt;&gt;""),--ISNUMBER(SEARCH($M$4,'Final Calculation Sheet'!$L$7)))))</f>
        <v/>
      </c>
      <c r="DS62">
        <f>IF($N$4="",1,IF($N$4="(blank)",--('Final Calculation Sheet'!$M$7=""),IF($N$4="(nonblank)",--('Final Calculation Sheet'!$M$7&lt;&gt;""),--ISNUMBER(SEARCH($N$4,'Final Calculation Sheet'!$M$7)))))</f>
        <v/>
      </c>
      <c r="DT62">
        <f>IF($O$4="",1,IF($O$4="(blank)",--('Final Calculation Sheet'!$N$7=""),IF($O$4="(nonblank)",--('Final Calculation Sheet'!$N$7&lt;&gt;""),--ISNUMBER(SEARCH($O$4,'Final Calculation Sheet'!$N$7)))))</f>
        <v/>
      </c>
      <c r="DU62">
        <f>IF($P$4="",1,IF($P$4="(blank)",--('Final Calculation Sheet'!$O$7=""),IF($P$4="(nonblank)",--('Final Calculation Sheet'!$O$7&lt;&gt;""),--ISNUMBER(SEARCH($P$4,'Final Calculation Sheet'!$O$7)))))</f>
        <v/>
      </c>
      <c r="DV62">
        <f>IF($Q$4="",1,IF($Q$4="(blank)",--('Final Calculation Sheet'!$P$7=""),IF($Q$4="(nonblank)",--('Final Calculation Sheet'!$P$7&lt;&gt;""),--ISNUMBER(SEARCH($Q$4,'Final Calculation Sheet'!$P$7)))))</f>
        <v/>
      </c>
      <c r="DW62">
        <f>IF($R$4="",1,IF($R$4="(blank)",--('Final Calculation Sheet'!$Q$7=""),IF($R$4="(nonblank)",--('Final Calculation Sheet'!$Q$7&lt;&gt;""),--ISNUMBER(SEARCH($R$4,'Final Calculation Sheet'!$Q$7)))))</f>
        <v/>
      </c>
      <c r="DX62">
        <f>IF($S$4="",1,IF($S$4="(blank)",--('Final Calculation Sheet'!$R$7=""),IF($S$4="(nonblank)",--('Final Calculation Sheet'!$R$7&lt;&gt;""),--ISNUMBER(SEARCH($S$4,'Final Calculation Sheet'!$R$7)))))</f>
        <v/>
      </c>
      <c r="DY62">
        <f>IF($T$4="",1,IF($T$4="(blank)",--('Final Calculation Sheet'!$S$7=""),IF($T$4="(nonblank)",--('Final Calculation Sheet'!$S$7&lt;&gt;""),--ISNUMBER(SEARCH($T$4,'Final Calculation Sheet'!$S$7)))))</f>
        <v/>
      </c>
      <c r="DZ62">
        <f>IF($U$4="",1,IF($U$4="(blank)",--('Final Calculation Sheet'!$T$7=""),IF($U$4="(nonblank)",--('Final Calculation Sheet'!$T$7&lt;&gt;""),--ISNUMBER(SEARCH($U$4,'Final Calculation Sheet'!$T$7)))))</f>
        <v/>
      </c>
      <c r="EA62">
        <f>IF($V$4="",1,IF($V$4="(blank)",--('Final Calculation Sheet'!$U$7=""),IF($V$4="(nonblank)",--('Final Calculation Sheet'!$U$7&lt;&gt;""),--ISNUMBER(SEARCH($V$4,'Final Calculation Sheet'!$U$7)))))</f>
        <v/>
      </c>
      <c r="EB62">
        <f>IF($W$4="",1,IF($W$4="(blank)",--('Final Calculation Sheet'!$V$7=""),IF($W$4="(nonblank)",--('Final Calculation Sheet'!$V$7&lt;&gt;""),--ISNUMBER(SEARCH($W$4,'Final Calculation Sheet'!$V$7)))))</f>
        <v/>
      </c>
      <c r="EC62">
        <f>IF($X$4="",1,IF($X$4="(blank)",--('Final Calculation Sheet'!$W$7=""),IF($X$4="(nonblank)",--('Final Calculation Sheet'!$W$7&lt;&gt;""),--ISNUMBER(SEARCH($X$4,'Final Calculation Sheet'!$W$7)))))</f>
        <v/>
      </c>
      <c r="ED62">
        <f>IF($Y$4="",1,IF($Y$4="(blank)",--('Final Calculation Sheet'!$X$7=""),IF($Y$4="(nonblank)",--('Final Calculation Sheet'!$X$7&lt;&gt;""),--ISNUMBER(SEARCH($Y$4,'Final Calculation Sheet'!$X$7)))))</f>
        <v/>
      </c>
      <c r="EE62">
        <f>IF($Z$4="",1,IF($Z$4="(blank)",--('Final Calculation Sheet'!$Y$7=""),IF($Z$4="(nonblank)",--('Final Calculation Sheet'!$Y$7&lt;&gt;""),--ISNUMBER(SEARCH($Z$4,'Final Calculation Sheet'!$Y$7)))))</f>
        <v/>
      </c>
      <c r="EF62">
        <f>IF($AA$4="",1,IF($AA$4="(blank)",--('Final Calculation Sheet'!$Z$7=""),IF($AA$4="(nonblank)",--('Final Calculation Sheet'!$Z$7&lt;&gt;""),--ISNUMBER(SEARCH($AA$4,'Final Calculation Sheet'!$Z$7)))))</f>
        <v/>
      </c>
      <c r="EG62">
        <f>IF($AB$4="",1,IF($AB$4="(blank)",--('Final Calculation Sheet'!$AA$7=""),IF($AB$4="(nonblank)",--('Final Calculation Sheet'!$AA$7&lt;&gt;""),--ISNUMBER(SEARCH($AB$4,'Final Calculation Sheet'!$AA$7)))))</f>
        <v/>
      </c>
      <c r="EH62">
        <f>IF($AC$4="",1,IF($AC$4="(blank)",--('Final Calculation Sheet'!$AB$7=""),IF($AC$4="(nonblank)",--('Final Calculation Sheet'!$AB$7&lt;&gt;""),--ISNUMBER(SEARCH($AC$4,'Final Calculation Sheet'!$AB$7)))))</f>
        <v/>
      </c>
      <c r="EI62">
        <f>IF($AD$4="",1,IF($AD$4="(blank)",--('Final Calculation Sheet'!$AC$7=""),IF($AD$4="(nonblank)",--('Final Calculation Sheet'!$AC$7&lt;&gt;""),--ISNUMBER(SEARCH($AD$4,'Final Calculation Sheet'!$AC$7)))))</f>
        <v/>
      </c>
      <c r="EJ62">
        <f>IF($AE$4="",1,IF($AE$4="(blank)",--('Final Calculation Sheet'!$AD$7=""),IF($AE$4="(nonblank)",--('Final Calculation Sheet'!$AD$7&lt;&gt;""),--ISNUMBER(SEARCH($AE$4,'Final Calculation Sheet'!$AD$7)))))</f>
        <v/>
      </c>
      <c r="EK62">
        <f>IF($AF$4="",1,IF($AF$4="(blank)",--(IF('Final Calculation Sheet'!$AD$7&lt;=5,"SETTLED","OUTSTANDING")=""),IF($AF$4="(nonblank)",--(IF('Final Calculation Sheet'!$AD$7&lt;=5,"SETTLED","OUTSTANDING")&lt;&gt;""),--ISNUMBER(SEARCH($AF$4,IF('Final Calculation Sheet'!$AD$7&lt;=5,"SETTLED","OUTSTANDING"))))))</f>
        <v/>
      </c>
      <c r="EL62">
        <f>IF($AG$4="",1,IF($AG$4="(blank)",--('Final Calculation Sheet'!$AF$7=""),IF($AG$4="(nonblank)",--('Final Calculation Sheet'!$AF$7&lt;&gt;""),--ISNUMBER(SEARCH($AG$4,'Final Calculation Sheet'!$AF$7)))))</f>
        <v/>
      </c>
      <c r="EM62">
        <f>IF($AH$4="",1,IF($AH$4="(blank)",--('Final Calculation Sheet'!$AG$7=""),IF($AH$4="(nonblank)",--('Final Calculation Sheet'!$AG$7&lt;&gt;""),--ISNUMBER(SEARCH($AH$4,'Final Calculation Sheet'!$AG$7)))))</f>
        <v/>
      </c>
      <c r="EN62">
        <f>IF($AI$4="",1,IF($AI$4="(blank)",--('Final Calculation Sheet'!$AH$7=""),IF($AI$4="(nonblank)",--('Final Calculation Sheet'!$AH$7&lt;&gt;""),--ISNUMBER(SEARCH($AI$4,'Final Calculation Sheet'!$AH$7)))))</f>
        <v/>
      </c>
    </row>
    <row r="63">
      <c r="AM63">
        <f>AM62+IF(AND(Lists!$O$10&lt;&gt;"",ISNUMBER(SEARCH($B$4,Lists!$O$10))),1,0)</f>
        <v/>
      </c>
      <c r="AN63">
        <f>IF(ROW()-56&gt;MAX($AM$57:$AM$95),"",INDEX(Lists!$O$4:$O$42,MATCH(ROW()-56,$AM$57:$AM$95,0)))</f>
        <v/>
      </c>
      <c r="AO63">
        <f>AO62+IF(AND(Lists!$T$10&lt;&gt;"",ISNUMBER(SEARCH($C$4,Lists!$T$10))),1,0)</f>
        <v/>
      </c>
      <c r="AP63">
        <f>IF(ROW()-56&gt;MAX($AO$57:$AO$95),"",INDEX(Lists!$T$4:$T$42,MATCH(ROW()-56,$AO$57:$AO$95,0)))</f>
        <v/>
      </c>
      <c r="AQ63">
        <f>AQ62+IF(AND(Lists!$Y$10&lt;&gt;"",ISNUMBER(SEARCH($D$4,Lists!$Y$10))),1,0)</f>
        <v/>
      </c>
      <c r="AR63">
        <f>IF(ROW()-56&gt;MAX($AQ$57:$AQ$95),"",INDEX(Lists!$Y$4:$Y$42,MATCH(ROW()-56,$AQ$57:$AQ$95,0)))</f>
        <v/>
      </c>
      <c r="AS63">
        <f>AS62+IF(AND(Lists!$AD$10&lt;&gt;"",ISNUMBER(SEARCH($E$4,Lists!$AD$10))),1,0)</f>
        <v/>
      </c>
      <c r="AT63">
        <f>IF(ROW()-56&gt;MAX($AS$57:$AS$95),"",INDEX(Lists!$AD$4:$AD$42,MATCH(ROW()-56,$AS$57:$AS$95,0)))</f>
        <v/>
      </c>
      <c r="AU63">
        <f>AU62+IF(AND(Lists!$AI$10&lt;&gt;"",ISNUMBER(SEARCH($F$4,Lists!$AI$10))),1,0)</f>
        <v/>
      </c>
      <c r="AV63">
        <f>IF(ROW()-56&gt;MAX($AU$57:$AU$95),"",INDEX(Lists!$AI$4:$AI$42,MATCH(ROW()-56,$AU$57:$AU$95,0)))</f>
        <v/>
      </c>
      <c r="AW63">
        <f>AW62+IF(AND(Lists!$AN$10&lt;&gt;"",ISNUMBER(SEARCH($G$4,Lists!$AN$10))),1,0)</f>
        <v/>
      </c>
      <c r="AX63">
        <f>IF(ROW()-56&gt;MAX($AW$57:$AW$95),"",INDEX(Lists!$AN$4:$AN$42,MATCH(ROW()-56,$AW$57:$AW$95,0)))</f>
        <v/>
      </c>
      <c r="AY63">
        <f>AY62+IF(AND(Lists!$AS$10&lt;&gt;"",ISNUMBER(SEARCH($H$4,Lists!$AS$10))),1,0)</f>
        <v/>
      </c>
      <c r="AZ63">
        <f>IF(ROW()-56&gt;MAX($AY$57:$AY$95),"",INDEX(Lists!$AS$4:$AS$42,MATCH(ROW()-56,$AY$57:$AY$95,0)))</f>
        <v/>
      </c>
      <c r="BA63">
        <f>BA62+IF(AND(Lists!$AX$10&lt;&gt;"",ISNUMBER(SEARCH($I$4,Lists!$AX$10))),1,0)</f>
        <v/>
      </c>
      <c r="BB63">
        <f>IF(ROW()-56&gt;MAX($BA$57:$BA$95),"",INDEX(Lists!$AX$4:$AX$42,MATCH(ROW()-56,$BA$57:$BA$95,0)))</f>
        <v/>
      </c>
      <c r="BC63">
        <f>BC62+IF(AND(Lists!$BC$10&lt;&gt;"",ISNUMBER(SEARCH($J$4,Lists!$BC$10))),1,0)</f>
        <v/>
      </c>
      <c r="BD63">
        <f>IF(ROW()-56&gt;MAX($BC$57:$BC$95),"",INDEX(Lists!$BC$4:$BC$42,MATCH(ROW()-56,$BC$57:$BC$95,0)))</f>
        <v/>
      </c>
      <c r="BE63">
        <f>BE62+IF(AND(Lists!$BH$10&lt;&gt;"",ISNUMBER(SEARCH($K$4,Lists!$BH$10))),1,0)</f>
        <v/>
      </c>
      <c r="BF63">
        <f>IF(ROW()-56&gt;MAX($BE$57:$BE$95),"",INDEX(Lists!$BH$4:$BH$42,MATCH(ROW()-56,$BE$57:$BE$95,0)))</f>
        <v/>
      </c>
      <c r="BG63">
        <f>BG62+IF(AND(Lists!$BM$10&lt;&gt;"",ISNUMBER(SEARCH($L$4,Lists!$BM$10))),1,0)</f>
        <v/>
      </c>
      <c r="BH63">
        <f>IF(ROW()-56&gt;MAX($BG$57:$BG$95),"",INDEX(Lists!$BM$4:$BM$42,MATCH(ROW()-56,$BG$57:$BG$95,0)))</f>
        <v/>
      </c>
      <c r="BI63">
        <f>BI62+IF(AND(Lists!$BR$10&lt;&gt;"",ISNUMBER(SEARCH($M$4,Lists!$BR$10))),1,0)</f>
        <v/>
      </c>
      <c r="BJ63">
        <f>IF(ROW()-56&gt;MAX($BI$57:$BI$95),"",INDEX(Lists!$BR$4:$BR$42,MATCH(ROW()-56,$BI$57:$BI$95,0)))</f>
        <v/>
      </c>
      <c r="BK63">
        <f>BK62+IF(AND(Lists!$BW$10&lt;&gt;"",ISNUMBER(SEARCH($N$4,Lists!$BW$10))),1,0)</f>
        <v/>
      </c>
      <c r="BL63">
        <f>IF(ROW()-56&gt;MAX($BK$57:$BK$95),"",INDEX(Lists!$BW$4:$BW$42,MATCH(ROW()-56,$BK$57:$BK$95,0)))</f>
        <v/>
      </c>
      <c r="BM63">
        <f>BM62+IF(AND(Lists!$CB$10&lt;&gt;"",ISNUMBER(SEARCH($O$4,Lists!$CB$10))),1,0)</f>
        <v/>
      </c>
      <c r="BN63">
        <f>IF(ROW()-56&gt;MAX($BM$57:$BM$95),"",INDEX(Lists!$CB$4:$CB$42,MATCH(ROW()-56,$BM$57:$BM$95,0)))</f>
        <v/>
      </c>
      <c r="BO63">
        <f>BO62+IF(AND(Lists!$CG$10&lt;&gt;"",ISNUMBER(SEARCH($P$4,Lists!$CG$10))),1,0)</f>
        <v/>
      </c>
      <c r="BP63">
        <f>IF(ROW()-56&gt;MAX($BO$57:$BO$95),"",INDEX(Lists!$CG$4:$CG$42,MATCH(ROW()-56,$BO$57:$BO$95,0)))</f>
        <v/>
      </c>
      <c r="BQ63">
        <f>BQ62+IF(AND(Lists!$CL$10&lt;&gt;"",ISNUMBER(SEARCH($Q$4,Lists!$CL$10))),1,0)</f>
        <v/>
      </c>
      <c r="BR63">
        <f>IF(ROW()-56&gt;MAX($BQ$57:$BQ$95),"",INDEX(Lists!$CL$4:$CL$42,MATCH(ROW()-56,$BQ$57:$BQ$95,0)))</f>
        <v/>
      </c>
      <c r="BS63">
        <f>BS62+IF(AND(Lists!$CQ$10&lt;&gt;"",ISNUMBER(SEARCH($R$4,Lists!$CQ$10))),1,0)</f>
        <v/>
      </c>
      <c r="BT63">
        <f>IF(ROW()-56&gt;MAX($BS$57:$BS$95),"",INDEX(Lists!$CQ$4:$CQ$42,MATCH(ROW()-56,$BS$57:$BS$95,0)))</f>
        <v/>
      </c>
      <c r="BU63">
        <f>BU62+IF(AND(Lists!$CV$10&lt;&gt;"",ISNUMBER(SEARCH($S$4,Lists!$CV$10))),1,0)</f>
        <v/>
      </c>
      <c r="BV63">
        <f>IF(ROW()-56&gt;MAX($BU$57:$BU$95),"",INDEX(Lists!$CV$4:$CV$42,MATCH(ROW()-56,$BU$57:$BU$95,0)))</f>
        <v/>
      </c>
      <c r="BW63">
        <f>BW62+IF(AND(Lists!$DA$10&lt;&gt;"",ISNUMBER(SEARCH($T$4,Lists!$DA$10))),1,0)</f>
        <v/>
      </c>
      <c r="BX63">
        <f>IF(ROW()-56&gt;MAX($BW$57:$BW$95),"",INDEX(Lists!$DA$4:$DA$42,MATCH(ROW()-56,$BW$57:$BW$95,0)))</f>
        <v/>
      </c>
      <c r="BY63">
        <f>BY62+IF(AND(Lists!$DF$10&lt;&gt;"",ISNUMBER(SEARCH($U$4,Lists!$DF$10))),1,0)</f>
        <v/>
      </c>
      <c r="BZ63">
        <f>IF(ROW()-56&gt;MAX($BY$57:$BY$95),"",INDEX(Lists!$DF$4:$DF$42,MATCH(ROW()-56,$BY$57:$BY$95,0)))</f>
        <v/>
      </c>
      <c r="CA63">
        <f>CA62+IF(AND(Lists!$DK$10&lt;&gt;"",ISNUMBER(SEARCH($V$4,Lists!$DK$10))),1,0)</f>
        <v/>
      </c>
      <c r="CB63">
        <f>IF(ROW()-56&gt;MAX($CA$57:$CA$95),"",INDEX(Lists!$DK$4:$DK$42,MATCH(ROW()-56,$CA$57:$CA$95,0)))</f>
        <v/>
      </c>
      <c r="CC63">
        <f>CC62+IF(AND(Lists!$DP$10&lt;&gt;"",ISNUMBER(SEARCH($W$4,Lists!$DP$10))),1,0)</f>
        <v/>
      </c>
      <c r="CD63">
        <f>IF(ROW()-56&gt;MAX($CC$57:$CC$95),"",INDEX(Lists!$DP$4:$DP$42,MATCH(ROW()-56,$CC$57:$CC$95,0)))</f>
        <v/>
      </c>
      <c r="CE63">
        <f>CE62+IF(AND(Lists!$DU$10&lt;&gt;"",ISNUMBER(SEARCH($X$4,Lists!$DU$10))),1,0)</f>
        <v/>
      </c>
      <c r="CF63">
        <f>IF(ROW()-56&gt;MAX($CE$57:$CE$95),"",INDEX(Lists!$DU$4:$DU$42,MATCH(ROW()-56,$CE$57:$CE$95,0)))</f>
        <v/>
      </c>
      <c r="CG63">
        <f>CG62+IF(AND(Lists!$DZ$10&lt;&gt;"",ISNUMBER(SEARCH($Y$4,Lists!$DZ$10))),1,0)</f>
        <v/>
      </c>
      <c r="CH63">
        <f>IF(ROW()-56&gt;MAX($CG$57:$CG$95),"",INDEX(Lists!$DZ$4:$DZ$42,MATCH(ROW()-56,$CG$57:$CG$95,0)))</f>
        <v/>
      </c>
      <c r="CI63">
        <f>CI62+IF(AND(Lists!$EE$10&lt;&gt;"",ISNUMBER(SEARCH($Z$4,Lists!$EE$10))),1,0)</f>
        <v/>
      </c>
      <c r="CJ63">
        <f>IF(ROW()-56&gt;MAX($CI$57:$CI$95),"",INDEX(Lists!$EE$4:$EE$42,MATCH(ROW()-56,$CI$57:$CI$95,0)))</f>
        <v/>
      </c>
      <c r="CK63">
        <f>CK62+IF(AND(Lists!$EJ$10&lt;&gt;"",ISNUMBER(SEARCH($AA$4,Lists!$EJ$10))),1,0)</f>
        <v/>
      </c>
      <c r="CL63">
        <f>IF(ROW()-56&gt;MAX($CK$57:$CK$95),"",INDEX(Lists!$EJ$4:$EJ$42,MATCH(ROW()-56,$CK$57:$CK$95,0)))</f>
        <v/>
      </c>
      <c r="CM63">
        <f>CM62+IF(AND(Lists!$EO$10&lt;&gt;"",ISNUMBER(SEARCH($AB$4,Lists!$EO$10))),1,0)</f>
        <v/>
      </c>
      <c r="CN63">
        <f>IF(ROW()-56&gt;MAX($CM$57:$CM$95),"",INDEX(Lists!$EO$4:$EO$42,MATCH(ROW()-56,$CM$57:$CM$95,0)))</f>
        <v/>
      </c>
      <c r="CO63">
        <f>CO62+IF(AND(Lists!$ET$10&lt;&gt;"",ISNUMBER(SEARCH($AC$4,Lists!$ET$10))),1,0)</f>
        <v/>
      </c>
      <c r="CP63">
        <f>IF(ROW()-56&gt;MAX($CO$57:$CO$95),"",INDEX(Lists!$ET$4:$ET$42,MATCH(ROW()-56,$CO$57:$CO$95,0)))</f>
        <v/>
      </c>
      <c r="CQ63">
        <f>CQ62+IF(AND(Lists!$EY$10&lt;&gt;"",ISNUMBER(SEARCH($AD$4,Lists!$EY$10))),1,0)</f>
        <v/>
      </c>
      <c r="CR63">
        <f>IF(ROW()-56&gt;MAX($CQ$57:$CQ$95),"",INDEX(Lists!$EY$4:$EY$42,MATCH(ROW()-56,$CQ$57:$CQ$95,0)))</f>
        <v/>
      </c>
      <c r="CS63">
        <f>CS62+IF(AND(Lists!$FD$10&lt;&gt;"",ISNUMBER(SEARCH($AE$4,Lists!$FD$10))),1,0)</f>
        <v/>
      </c>
      <c r="CT63">
        <f>IF(ROW()-56&gt;MAX($CS$57:$CS$95),"",INDEX(Lists!$FD$4:$FD$42,MATCH(ROW()-56,$CS$57:$CS$95,0)))</f>
        <v/>
      </c>
      <c r="CU63">
        <f>CU62+IF(AND(Lists!$FI$10&lt;&gt;"",ISNUMBER(SEARCH($AG$4,Lists!$FI$10))),1,0)</f>
        <v/>
      </c>
      <c r="CV63">
        <f>IF(ROW()-56&gt;MAX($CU$57:$CU$95),"",INDEX(Lists!$FI$4:$FI$42,MATCH(ROW()-56,$CU$57:$CU$95,0)))</f>
        <v/>
      </c>
      <c r="CW63">
        <f>CW62+IF(AND(Lists!$FN$10&lt;&gt;"",ISNUMBER(SEARCH($AH$4,Lists!$FN$10))),1,0)</f>
        <v/>
      </c>
      <c r="CX63">
        <f>IF(ROW()-56&gt;MAX($CW$57:$CW$95),"",INDEX(Lists!$FN$4:$FN$42,MATCH(ROW()-56,$CW$57:$CW$95,0)))</f>
        <v/>
      </c>
      <c r="CY63">
        <f>CY62+IF(AND(Lists!$FS$10&lt;&gt;"",ISNUMBER(SEARCH($AI$4,Lists!$FS$10))),1,0)</f>
        <v/>
      </c>
      <c r="CZ63">
        <f>IF(ROW()-56&gt;MAX($CY$57:$CY$95),"",INDEX(Lists!$FS$4:$FS$42,MATCH(ROW()-56,$CY$57:$CY$95,0)))</f>
        <v/>
      </c>
      <c r="DA63">
        <f>DA62+IF(AND(Lists!$FX$10&lt;&gt;"",ISNUMBER(SEARCH($AF$4,Lists!$FX$10))),1,0)</f>
        <v/>
      </c>
      <c r="DB63">
        <f>IF(ROW()-56&gt;MAX($DA$57:$DA$95),"",INDEX(Lists!$FX$4:$FX$42,MATCH(ROW()-56,$DA$57:$DA$95,0)))</f>
        <v/>
      </c>
      <c r="DG63">
        <f>IF($B$4="",1,IF($B$4="(blank)",--('Final Calculation Sheet'!$F$8=""),IF($B$4="(nonblank)",--('Final Calculation Sheet'!$F$8&lt;&gt;""),--ISNUMBER(SEARCH($B$4,'Final Calculation Sheet'!$F$8)))))</f>
        <v/>
      </c>
      <c r="DH63">
        <f>IF($C$4="",1,IF($C$4="(blank)",--('Final Calculation Sheet'!$G$8=""),IF($C$4="(nonblank)",--('Final Calculation Sheet'!$G$8&lt;&gt;""),--ISNUMBER(SEARCH($C$4,'Final Calculation Sheet'!$G$8)))))</f>
        <v/>
      </c>
      <c r="DI63">
        <f>IF($D$4="",1,IF($D$4="(blank)",--('Final Calculation Sheet'!$B$8=""),IF($D$4="(nonblank)",--('Final Calculation Sheet'!$B$8&lt;&gt;""),--ISNUMBER(SEARCH($D$4,'Final Calculation Sheet'!$B$8)))))</f>
        <v/>
      </c>
      <c r="DJ63">
        <f>IF($E$4="",1,IF($E$4="(blank)",--('Final Calculation Sheet'!$D$8=""),IF($E$4="(nonblank)",--('Final Calculation Sheet'!$D$8&lt;&gt;""),--ISNUMBER(SEARCH($E$4,'Final Calculation Sheet'!$D$8)))))</f>
        <v/>
      </c>
      <c r="DK63">
        <f>IF($F$4="",1,IF($F$4="(blank)",--('Final Calculation Sheet'!$A$8=""),IF($F$4="(nonblank)",--('Final Calculation Sheet'!$A$8&lt;&gt;""),--ISNUMBER(SEARCH($F$4,'Final Calculation Sheet'!$A$8)))))</f>
        <v/>
      </c>
      <c r="DL63">
        <f>IF($G$4="",1,IF($G$4="(blank)",--('Final Calculation Sheet'!$E$8=""),IF($G$4="(nonblank)",--('Final Calculation Sheet'!$E$8&lt;&gt;""),--ISNUMBER(SEARCH($G$4,'Final Calculation Sheet'!$E$8)))))</f>
        <v/>
      </c>
      <c r="DM63">
        <f>IF($H$4="",1,IF($H$4="(blank)",--('Final Calculation Sheet'!$C$8=""),IF($H$4="(nonblank)",--('Final Calculation Sheet'!$C$8&lt;&gt;""),--ISNUMBER(SEARCH($H$4,'Final Calculation Sheet'!$C$8)))))</f>
        <v/>
      </c>
      <c r="DN63">
        <f>IF($I$4="",1,IF($I$4="(blank)",--('Final Calculation Sheet'!$H$8=""),IF($I$4="(nonblank)",--('Final Calculation Sheet'!$H$8&lt;&gt;""),--ISNUMBER(SEARCH($I$4,'Final Calculation Sheet'!$H$8)))))</f>
        <v/>
      </c>
      <c r="DO63">
        <f>IF($J$4="",1,IF($J$4="(blank)",--('Final Calculation Sheet'!$I$8=""),IF($J$4="(nonblank)",--('Final Calculation Sheet'!$I$8&lt;&gt;""),--ISNUMBER(SEARCH($J$4,'Final Calculation Sheet'!$I$8)))))</f>
        <v/>
      </c>
      <c r="DP63">
        <f>IF($K$4="",1,IF($K$4="(blank)",--('Final Calculation Sheet'!$J$8=""),IF($K$4="(nonblank)",--('Final Calculation Sheet'!$J$8&lt;&gt;""),--ISNUMBER(SEARCH($K$4,'Final Calculation Sheet'!$J$8)))))</f>
        <v/>
      </c>
      <c r="DQ63">
        <f>IF($L$4="",1,IF($L$4="(blank)",--('Final Calculation Sheet'!$K$8=""),IF($L$4="(nonblank)",--('Final Calculation Sheet'!$K$8&lt;&gt;""),--ISNUMBER(SEARCH($L$4,'Final Calculation Sheet'!$K$8)))))</f>
        <v/>
      </c>
      <c r="DR63">
        <f>IF($M$4="",1,IF($M$4="(blank)",--('Final Calculation Sheet'!$L$8=""),IF($M$4="(nonblank)",--('Final Calculation Sheet'!$L$8&lt;&gt;""),--ISNUMBER(SEARCH($M$4,'Final Calculation Sheet'!$L$8)))))</f>
        <v/>
      </c>
      <c r="DS63">
        <f>IF($N$4="",1,IF($N$4="(blank)",--('Final Calculation Sheet'!$M$8=""),IF($N$4="(nonblank)",--('Final Calculation Sheet'!$M$8&lt;&gt;""),--ISNUMBER(SEARCH($N$4,'Final Calculation Sheet'!$M$8)))))</f>
        <v/>
      </c>
      <c r="DT63">
        <f>IF($O$4="",1,IF($O$4="(blank)",--('Final Calculation Sheet'!$N$8=""),IF($O$4="(nonblank)",--('Final Calculation Sheet'!$N$8&lt;&gt;""),--ISNUMBER(SEARCH($O$4,'Final Calculation Sheet'!$N$8)))))</f>
        <v/>
      </c>
      <c r="DU63">
        <f>IF($P$4="",1,IF($P$4="(blank)",--('Final Calculation Sheet'!$O$8=""),IF($P$4="(nonblank)",--('Final Calculation Sheet'!$O$8&lt;&gt;""),--ISNUMBER(SEARCH($P$4,'Final Calculation Sheet'!$O$8)))))</f>
        <v/>
      </c>
      <c r="DV63">
        <f>IF($Q$4="",1,IF($Q$4="(blank)",--('Final Calculation Sheet'!$P$8=""),IF($Q$4="(nonblank)",--('Final Calculation Sheet'!$P$8&lt;&gt;""),--ISNUMBER(SEARCH($Q$4,'Final Calculation Sheet'!$P$8)))))</f>
        <v/>
      </c>
      <c r="DW63">
        <f>IF($R$4="",1,IF($R$4="(blank)",--('Final Calculation Sheet'!$Q$8=""),IF($R$4="(nonblank)",--('Final Calculation Sheet'!$Q$8&lt;&gt;""),--ISNUMBER(SEARCH($R$4,'Final Calculation Sheet'!$Q$8)))))</f>
        <v/>
      </c>
      <c r="DX63">
        <f>IF($S$4="",1,IF($S$4="(blank)",--('Final Calculation Sheet'!$R$8=""),IF($S$4="(nonblank)",--('Final Calculation Sheet'!$R$8&lt;&gt;""),--ISNUMBER(SEARCH($S$4,'Final Calculation Sheet'!$R$8)))))</f>
        <v/>
      </c>
      <c r="DY63">
        <f>IF($T$4="",1,IF($T$4="(blank)",--('Final Calculation Sheet'!$S$8=""),IF($T$4="(nonblank)",--('Final Calculation Sheet'!$S$8&lt;&gt;""),--ISNUMBER(SEARCH($T$4,'Final Calculation Sheet'!$S$8)))))</f>
        <v/>
      </c>
      <c r="DZ63">
        <f>IF($U$4="",1,IF($U$4="(blank)",--('Final Calculation Sheet'!$T$8=""),IF($U$4="(nonblank)",--('Final Calculation Sheet'!$T$8&lt;&gt;""),--ISNUMBER(SEARCH($U$4,'Final Calculation Sheet'!$T$8)))))</f>
        <v/>
      </c>
      <c r="EA63">
        <f>IF($V$4="",1,IF($V$4="(blank)",--('Final Calculation Sheet'!$U$8=""),IF($V$4="(nonblank)",--('Final Calculation Sheet'!$U$8&lt;&gt;""),--ISNUMBER(SEARCH($V$4,'Final Calculation Sheet'!$U$8)))))</f>
        <v/>
      </c>
      <c r="EB63">
        <f>IF($W$4="",1,IF($W$4="(blank)",--('Final Calculation Sheet'!$V$8=""),IF($W$4="(nonblank)",--('Final Calculation Sheet'!$V$8&lt;&gt;""),--ISNUMBER(SEARCH($W$4,'Final Calculation Sheet'!$V$8)))))</f>
        <v/>
      </c>
      <c r="EC63">
        <f>IF($X$4="",1,IF($X$4="(blank)",--('Final Calculation Sheet'!$W$8=""),IF($X$4="(nonblank)",--('Final Calculation Sheet'!$W$8&lt;&gt;""),--ISNUMBER(SEARCH($X$4,'Final Calculation Sheet'!$W$8)))))</f>
        <v/>
      </c>
      <c r="ED63">
        <f>IF($Y$4="",1,IF($Y$4="(blank)",--('Final Calculation Sheet'!$X$8=""),IF($Y$4="(nonblank)",--('Final Calculation Sheet'!$X$8&lt;&gt;""),--ISNUMBER(SEARCH($Y$4,'Final Calculation Sheet'!$X$8)))))</f>
        <v/>
      </c>
      <c r="EE63">
        <f>IF($Z$4="",1,IF($Z$4="(blank)",--('Final Calculation Sheet'!$Y$8=""),IF($Z$4="(nonblank)",--('Final Calculation Sheet'!$Y$8&lt;&gt;""),--ISNUMBER(SEARCH($Z$4,'Final Calculation Sheet'!$Y$8)))))</f>
        <v/>
      </c>
      <c r="EF63">
        <f>IF($AA$4="",1,IF($AA$4="(blank)",--('Final Calculation Sheet'!$Z$8=""),IF($AA$4="(nonblank)",--('Final Calculation Sheet'!$Z$8&lt;&gt;""),--ISNUMBER(SEARCH($AA$4,'Final Calculation Sheet'!$Z$8)))))</f>
        <v/>
      </c>
      <c r="EG63">
        <f>IF($AB$4="",1,IF($AB$4="(blank)",--('Final Calculation Sheet'!$AA$8=""),IF($AB$4="(nonblank)",--('Final Calculation Sheet'!$AA$8&lt;&gt;""),--ISNUMBER(SEARCH($AB$4,'Final Calculation Sheet'!$AA$8)))))</f>
        <v/>
      </c>
      <c r="EH63">
        <f>IF($AC$4="",1,IF($AC$4="(blank)",--('Final Calculation Sheet'!$AB$8=""),IF($AC$4="(nonblank)",--('Final Calculation Sheet'!$AB$8&lt;&gt;""),--ISNUMBER(SEARCH($AC$4,'Final Calculation Sheet'!$AB$8)))))</f>
        <v/>
      </c>
      <c r="EI63">
        <f>IF($AD$4="",1,IF($AD$4="(blank)",--('Final Calculation Sheet'!$AC$8=""),IF($AD$4="(nonblank)",--('Final Calculation Sheet'!$AC$8&lt;&gt;""),--ISNUMBER(SEARCH($AD$4,'Final Calculation Sheet'!$AC$8)))))</f>
        <v/>
      </c>
      <c r="EJ63">
        <f>IF($AE$4="",1,IF($AE$4="(blank)",--('Final Calculation Sheet'!$AD$8=""),IF($AE$4="(nonblank)",--('Final Calculation Sheet'!$AD$8&lt;&gt;""),--ISNUMBER(SEARCH($AE$4,'Final Calculation Sheet'!$AD$8)))))</f>
        <v/>
      </c>
      <c r="EK63">
        <f>IF($AF$4="",1,IF($AF$4="(blank)",--(IF('Final Calculation Sheet'!$AD$8&lt;=5,"SETTLED","OUTSTANDING")=""),IF($AF$4="(nonblank)",--(IF('Final Calculation Sheet'!$AD$8&lt;=5,"SETTLED","OUTSTANDING")&lt;&gt;""),--ISNUMBER(SEARCH($AF$4,IF('Final Calculation Sheet'!$AD$8&lt;=5,"SETTLED","OUTSTANDING"))))))</f>
        <v/>
      </c>
      <c r="EL63">
        <f>IF($AG$4="",1,IF($AG$4="(blank)",--('Final Calculation Sheet'!$AF$8=""),IF($AG$4="(nonblank)",--('Final Calculation Sheet'!$AF$8&lt;&gt;""),--ISNUMBER(SEARCH($AG$4,'Final Calculation Sheet'!$AF$8)))))</f>
        <v/>
      </c>
      <c r="EM63">
        <f>IF($AH$4="",1,IF($AH$4="(blank)",--('Final Calculation Sheet'!$AG$8=""),IF($AH$4="(nonblank)",--('Final Calculation Sheet'!$AG$8&lt;&gt;""),--ISNUMBER(SEARCH($AH$4,'Final Calculation Sheet'!$AG$8)))))</f>
        <v/>
      </c>
      <c r="EN63">
        <f>IF($AI$4="",1,IF($AI$4="(blank)",--('Final Calculation Sheet'!$AH$8=""),IF($AI$4="(nonblank)",--('Final Calculation Sheet'!$AH$8&lt;&gt;""),--ISNUMBER(SEARCH($AI$4,'Final Calculation Sheet'!$AH$8)))))</f>
        <v/>
      </c>
    </row>
    <row r="64">
      <c r="AM64">
        <f>AM63+IF(AND(Lists!$O$11&lt;&gt;"",ISNUMBER(SEARCH($B$4,Lists!$O$11))),1,0)</f>
        <v/>
      </c>
      <c r="AN64">
        <f>IF(ROW()-56&gt;MAX($AM$57:$AM$95),"",INDEX(Lists!$O$4:$O$42,MATCH(ROW()-56,$AM$57:$AM$95,0)))</f>
        <v/>
      </c>
      <c r="AO64">
        <f>AO63+IF(AND(Lists!$T$11&lt;&gt;"",ISNUMBER(SEARCH($C$4,Lists!$T$11))),1,0)</f>
        <v/>
      </c>
      <c r="AP64">
        <f>IF(ROW()-56&gt;MAX($AO$57:$AO$95),"",INDEX(Lists!$T$4:$T$42,MATCH(ROW()-56,$AO$57:$AO$95,0)))</f>
        <v/>
      </c>
      <c r="AQ64">
        <f>AQ63+IF(AND(Lists!$Y$11&lt;&gt;"",ISNUMBER(SEARCH($D$4,Lists!$Y$11))),1,0)</f>
        <v/>
      </c>
      <c r="AR64">
        <f>IF(ROW()-56&gt;MAX($AQ$57:$AQ$95),"",INDEX(Lists!$Y$4:$Y$42,MATCH(ROW()-56,$AQ$57:$AQ$95,0)))</f>
        <v/>
      </c>
      <c r="AS64">
        <f>AS63+IF(AND(Lists!$AD$11&lt;&gt;"",ISNUMBER(SEARCH($E$4,Lists!$AD$11))),1,0)</f>
        <v/>
      </c>
      <c r="AT64">
        <f>IF(ROW()-56&gt;MAX($AS$57:$AS$95),"",INDEX(Lists!$AD$4:$AD$42,MATCH(ROW()-56,$AS$57:$AS$95,0)))</f>
        <v/>
      </c>
      <c r="AU64">
        <f>AU63+IF(AND(Lists!$AI$11&lt;&gt;"",ISNUMBER(SEARCH($F$4,Lists!$AI$11))),1,0)</f>
        <v/>
      </c>
      <c r="AV64">
        <f>IF(ROW()-56&gt;MAX($AU$57:$AU$95),"",INDEX(Lists!$AI$4:$AI$42,MATCH(ROW()-56,$AU$57:$AU$95,0)))</f>
        <v/>
      </c>
      <c r="AW64">
        <f>AW63+IF(AND(Lists!$AN$11&lt;&gt;"",ISNUMBER(SEARCH($G$4,Lists!$AN$11))),1,0)</f>
        <v/>
      </c>
      <c r="AX64">
        <f>IF(ROW()-56&gt;MAX($AW$57:$AW$95),"",INDEX(Lists!$AN$4:$AN$42,MATCH(ROW()-56,$AW$57:$AW$95,0)))</f>
        <v/>
      </c>
      <c r="AY64">
        <f>AY63+IF(AND(Lists!$AS$11&lt;&gt;"",ISNUMBER(SEARCH($H$4,Lists!$AS$11))),1,0)</f>
        <v/>
      </c>
      <c r="AZ64">
        <f>IF(ROW()-56&gt;MAX($AY$57:$AY$95),"",INDEX(Lists!$AS$4:$AS$42,MATCH(ROW()-56,$AY$57:$AY$95,0)))</f>
        <v/>
      </c>
      <c r="BA64">
        <f>BA63+IF(AND(Lists!$AX$11&lt;&gt;"",ISNUMBER(SEARCH($I$4,Lists!$AX$11))),1,0)</f>
        <v/>
      </c>
      <c r="BB64">
        <f>IF(ROW()-56&gt;MAX($BA$57:$BA$95),"",INDEX(Lists!$AX$4:$AX$42,MATCH(ROW()-56,$BA$57:$BA$95,0)))</f>
        <v/>
      </c>
      <c r="BC64">
        <f>BC63+IF(AND(Lists!$BC$11&lt;&gt;"",ISNUMBER(SEARCH($J$4,Lists!$BC$11))),1,0)</f>
        <v/>
      </c>
      <c r="BD64">
        <f>IF(ROW()-56&gt;MAX($BC$57:$BC$95),"",INDEX(Lists!$BC$4:$BC$42,MATCH(ROW()-56,$BC$57:$BC$95,0)))</f>
        <v/>
      </c>
      <c r="BE64">
        <f>BE63+IF(AND(Lists!$BH$11&lt;&gt;"",ISNUMBER(SEARCH($K$4,Lists!$BH$11))),1,0)</f>
        <v/>
      </c>
      <c r="BF64">
        <f>IF(ROW()-56&gt;MAX($BE$57:$BE$95),"",INDEX(Lists!$BH$4:$BH$42,MATCH(ROW()-56,$BE$57:$BE$95,0)))</f>
        <v/>
      </c>
      <c r="BG64">
        <f>BG63+IF(AND(Lists!$BM$11&lt;&gt;"",ISNUMBER(SEARCH($L$4,Lists!$BM$11))),1,0)</f>
        <v/>
      </c>
      <c r="BH64">
        <f>IF(ROW()-56&gt;MAX($BG$57:$BG$95),"",INDEX(Lists!$BM$4:$BM$42,MATCH(ROW()-56,$BG$57:$BG$95,0)))</f>
        <v/>
      </c>
      <c r="BI64">
        <f>BI63+IF(AND(Lists!$BR$11&lt;&gt;"",ISNUMBER(SEARCH($M$4,Lists!$BR$11))),1,0)</f>
        <v/>
      </c>
      <c r="BJ64">
        <f>IF(ROW()-56&gt;MAX($BI$57:$BI$95),"",INDEX(Lists!$BR$4:$BR$42,MATCH(ROW()-56,$BI$57:$BI$95,0)))</f>
        <v/>
      </c>
      <c r="BK64">
        <f>BK63+IF(AND(Lists!$BW$11&lt;&gt;"",ISNUMBER(SEARCH($N$4,Lists!$BW$11))),1,0)</f>
        <v/>
      </c>
      <c r="BL64">
        <f>IF(ROW()-56&gt;MAX($BK$57:$BK$95),"",INDEX(Lists!$BW$4:$BW$42,MATCH(ROW()-56,$BK$57:$BK$95,0)))</f>
        <v/>
      </c>
      <c r="BM64">
        <f>BM63+IF(AND(Lists!$CB$11&lt;&gt;"",ISNUMBER(SEARCH($O$4,Lists!$CB$11))),1,0)</f>
        <v/>
      </c>
      <c r="BN64">
        <f>IF(ROW()-56&gt;MAX($BM$57:$BM$95),"",INDEX(Lists!$CB$4:$CB$42,MATCH(ROW()-56,$BM$57:$BM$95,0)))</f>
        <v/>
      </c>
      <c r="BO64">
        <f>BO63+IF(AND(Lists!$CG$11&lt;&gt;"",ISNUMBER(SEARCH($P$4,Lists!$CG$11))),1,0)</f>
        <v/>
      </c>
      <c r="BP64">
        <f>IF(ROW()-56&gt;MAX($BO$57:$BO$95),"",INDEX(Lists!$CG$4:$CG$42,MATCH(ROW()-56,$BO$57:$BO$95,0)))</f>
        <v/>
      </c>
      <c r="BQ64">
        <f>BQ63+IF(AND(Lists!$CL$11&lt;&gt;"",ISNUMBER(SEARCH($Q$4,Lists!$CL$11))),1,0)</f>
        <v/>
      </c>
      <c r="BR64">
        <f>IF(ROW()-56&gt;MAX($BQ$57:$BQ$95),"",INDEX(Lists!$CL$4:$CL$42,MATCH(ROW()-56,$BQ$57:$BQ$95,0)))</f>
        <v/>
      </c>
      <c r="BS64">
        <f>BS63+IF(AND(Lists!$CQ$11&lt;&gt;"",ISNUMBER(SEARCH($R$4,Lists!$CQ$11))),1,0)</f>
        <v/>
      </c>
      <c r="BT64">
        <f>IF(ROW()-56&gt;MAX($BS$57:$BS$95),"",INDEX(Lists!$CQ$4:$CQ$42,MATCH(ROW()-56,$BS$57:$BS$95,0)))</f>
        <v/>
      </c>
      <c r="BU64">
        <f>BU63+IF(AND(Lists!$CV$11&lt;&gt;"",ISNUMBER(SEARCH($S$4,Lists!$CV$11))),1,0)</f>
        <v/>
      </c>
      <c r="BV64">
        <f>IF(ROW()-56&gt;MAX($BU$57:$BU$95),"",INDEX(Lists!$CV$4:$CV$42,MATCH(ROW()-56,$BU$57:$BU$95,0)))</f>
        <v/>
      </c>
      <c r="BW64">
        <f>BW63+IF(AND(Lists!$DA$11&lt;&gt;"",ISNUMBER(SEARCH($T$4,Lists!$DA$11))),1,0)</f>
        <v/>
      </c>
      <c r="BX64">
        <f>IF(ROW()-56&gt;MAX($BW$57:$BW$95),"",INDEX(Lists!$DA$4:$DA$42,MATCH(ROW()-56,$BW$57:$BW$95,0)))</f>
        <v/>
      </c>
      <c r="BY64">
        <f>BY63+IF(AND(Lists!$DF$11&lt;&gt;"",ISNUMBER(SEARCH($U$4,Lists!$DF$11))),1,0)</f>
        <v/>
      </c>
      <c r="BZ64">
        <f>IF(ROW()-56&gt;MAX($BY$57:$BY$95),"",INDEX(Lists!$DF$4:$DF$42,MATCH(ROW()-56,$BY$57:$BY$95,0)))</f>
        <v/>
      </c>
      <c r="CA64">
        <f>CA63+IF(AND(Lists!$DK$11&lt;&gt;"",ISNUMBER(SEARCH($V$4,Lists!$DK$11))),1,0)</f>
        <v/>
      </c>
      <c r="CB64">
        <f>IF(ROW()-56&gt;MAX($CA$57:$CA$95),"",INDEX(Lists!$DK$4:$DK$42,MATCH(ROW()-56,$CA$57:$CA$95,0)))</f>
        <v/>
      </c>
      <c r="CC64">
        <f>CC63+IF(AND(Lists!$DP$11&lt;&gt;"",ISNUMBER(SEARCH($W$4,Lists!$DP$11))),1,0)</f>
        <v/>
      </c>
      <c r="CD64">
        <f>IF(ROW()-56&gt;MAX($CC$57:$CC$95),"",INDEX(Lists!$DP$4:$DP$42,MATCH(ROW()-56,$CC$57:$CC$95,0)))</f>
        <v/>
      </c>
      <c r="CE64">
        <f>CE63+IF(AND(Lists!$DU$11&lt;&gt;"",ISNUMBER(SEARCH($X$4,Lists!$DU$11))),1,0)</f>
        <v/>
      </c>
      <c r="CF64">
        <f>IF(ROW()-56&gt;MAX($CE$57:$CE$95),"",INDEX(Lists!$DU$4:$DU$42,MATCH(ROW()-56,$CE$57:$CE$95,0)))</f>
        <v/>
      </c>
      <c r="CG64">
        <f>CG63+IF(AND(Lists!$DZ$11&lt;&gt;"",ISNUMBER(SEARCH($Y$4,Lists!$DZ$11))),1,0)</f>
        <v/>
      </c>
      <c r="CH64">
        <f>IF(ROW()-56&gt;MAX($CG$57:$CG$95),"",INDEX(Lists!$DZ$4:$DZ$42,MATCH(ROW()-56,$CG$57:$CG$95,0)))</f>
        <v/>
      </c>
      <c r="CI64">
        <f>CI63+IF(AND(Lists!$EE$11&lt;&gt;"",ISNUMBER(SEARCH($Z$4,Lists!$EE$11))),1,0)</f>
        <v/>
      </c>
      <c r="CJ64">
        <f>IF(ROW()-56&gt;MAX($CI$57:$CI$95),"",INDEX(Lists!$EE$4:$EE$42,MATCH(ROW()-56,$CI$57:$CI$95,0)))</f>
        <v/>
      </c>
      <c r="CK64">
        <f>CK63+IF(AND(Lists!$EJ$11&lt;&gt;"",ISNUMBER(SEARCH($AA$4,Lists!$EJ$11))),1,0)</f>
        <v/>
      </c>
      <c r="CL64">
        <f>IF(ROW()-56&gt;MAX($CK$57:$CK$95),"",INDEX(Lists!$EJ$4:$EJ$42,MATCH(ROW()-56,$CK$57:$CK$95,0)))</f>
        <v/>
      </c>
      <c r="CM64">
        <f>CM63+IF(AND(Lists!$EO$11&lt;&gt;"",ISNUMBER(SEARCH($AB$4,Lists!$EO$11))),1,0)</f>
        <v/>
      </c>
      <c r="CN64">
        <f>IF(ROW()-56&gt;MAX($CM$57:$CM$95),"",INDEX(Lists!$EO$4:$EO$42,MATCH(ROW()-56,$CM$57:$CM$95,0)))</f>
        <v/>
      </c>
      <c r="CO64">
        <f>CO63+IF(AND(Lists!$ET$11&lt;&gt;"",ISNUMBER(SEARCH($AC$4,Lists!$ET$11))),1,0)</f>
        <v/>
      </c>
      <c r="CP64">
        <f>IF(ROW()-56&gt;MAX($CO$57:$CO$95),"",INDEX(Lists!$ET$4:$ET$42,MATCH(ROW()-56,$CO$57:$CO$95,0)))</f>
        <v/>
      </c>
      <c r="CQ64">
        <f>CQ63+IF(AND(Lists!$EY$11&lt;&gt;"",ISNUMBER(SEARCH($AD$4,Lists!$EY$11))),1,0)</f>
        <v/>
      </c>
      <c r="CR64">
        <f>IF(ROW()-56&gt;MAX($CQ$57:$CQ$95),"",INDEX(Lists!$EY$4:$EY$42,MATCH(ROW()-56,$CQ$57:$CQ$95,0)))</f>
        <v/>
      </c>
      <c r="CS64">
        <f>CS63+IF(AND(Lists!$FD$11&lt;&gt;"",ISNUMBER(SEARCH($AE$4,Lists!$FD$11))),1,0)</f>
        <v/>
      </c>
      <c r="CT64">
        <f>IF(ROW()-56&gt;MAX($CS$57:$CS$95),"",INDEX(Lists!$FD$4:$FD$42,MATCH(ROW()-56,$CS$57:$CS$95,0)))</f>
        <v/>
      </c>
      <c r="CU64">
        <f>CU63+IF(AND(Lists!$FI$11&lt;&gt;"",ISNUMBER(SEARCH($AG$4,Lists!$FI$11))),1,0)</f>
        <v/>
      </c>
      <c r="CV64">
        <f>IF(ROW()-56&gt;MAX($CU$57:$CU$95),"",INDEX(Lists!$FI$4:$FI$42,MATCH(ROW()-56,$CU$57:$CU$95,0)))</f>
        <v/>
      </c>
      <c r="CW64">
        <f>CW63+IF(AND(Lists!$FN$11&lt;&gt;"",ISNUMBER(SEARCH($AH$4,Lists!$FN$11))),1,0)</f>
        <v/>
      </c>
      <c r="CX64">
        <f>IF(ROW()-56&gt;MAX($CW$57:$CW$95),"",INDEX(Lists!$FN$4:$FN$42,MATCH(ROW()-56,$CW$57:$CW$95,0)))</f>
        <v/>
      </c>
      <c r="CY64">
        <f>CY63+IF(AND(Lists!$FS$11&lt;&gt;"",ISNUMBER(SEARCH($AI$4,Lists!$FS$11))),1,0)</f>
        <v/>
      </c>
      <c r="CZ64">
        <f>IF(ROW()-56&gt;MAX($CY$57:$CY$95),"",INDEX(Lists!$FS$4:$FS$42,MATCH(ROW()-56,$CY$57:$CY$95,0)))</f>
        <v/>
      </c>
      <c r="DA64">
        <f>DA63+IF(AND(Lists!$FX$11&lt;&gt;"",ISNUMBER(SEARCH($AF$4,Lists!$FX$11))),1,0)</f>
        <v/>
      </c>
      <c r="DB64">
        <f>IF(ROW()-56&gt;MAX($DA$57:$DA$95),"",INDEX(Lists!$FX$4:$FX$42,MATCH(ROW()-56,$DA$57:$DA$95,0)))</f>
        <v/>
      </c>
      <c r="DG64">
        <f>IF($B$4="",1,IF($B$4="(blank)",--('Final Calculation Sheet'!$F$9=""),IF($B$4="(nonblank)",--('Final Calculation Sheet'!$F$9&lt;&gt;""),--ISNUMBER(SEARCH($B$4,'Final Calculation Sheet'!$F$9)))))</f>
        <v/>
      </c>
      <c r="DH64">
        <f>IF($C$4="",1,IF($C$4="(blank)",--('Final Calculation Sheet'!$G$9=""),IF($C$4="(nonblank)",--('Final Calculation Sheet'!$G$9&lt;&gt;""),--ISNUMBER(SEARCH($C$4,'Final Calculation Sheet'!$G$9)))))</f>
        <v/>
      </c>
      <c r="DI64">
        <f>IF($D$4="",1,IF($D$4="(blank)",--('Final Calculation Sheet'!$B$9=""),IF($D$4="(nonblank)",--('Final Calculation Sheet'!$B$9&lt;&gt;""),--ISNUMBER(SEARCH($D$4,'Final Calculation Sheet'!$B$9)))))</f>
        <v/>
      </c>
      <c r="DJ64">
        <f>IF($E$4="",1,IF($E$4="(blank)",--('Final Calculation Sheet'!$D$9=""),IF($E$4="(nonblank)",--('Final Calculation Sheet'!$D$9&lt;&gt;""),--ISNUMBER(SEARCH($E$4,'Final Calculation Sheet'!$D$9)))))</f>
        <v/>
      </c>
      <c r="DK64">
        <f>IF($F$4="",1,IF($F$4="(blank)",--('Final Calculation Sheet'!$A$9=""),IF($F$4="(nonblank)",--('Final Calculation Sheet'!$A$9&lt;&gt;""),--ISNUMBER(SEARCH($F$4,'Final Calculation Sheet'!$A$9)))))</f>
        <v/>
      </c>
      <c r="DL64">
        <f>IF($G$4="",1,IF($G$4="(blank)",--('Final Calculation Sheet'!$E$9=""),IF($G$4="(nonblank)",--('Final Calculation Sheet'!$E$9&lt;&gt;""),--ISNUMBER(SEARCH($G$4,'Final Calculation Sheet'!$E$9)))))</f>
        <v/>
      </c>
      <c r="DM64">
        <f>IF($H$4="",1,IF($H$4="(blank)",--('Final Calculation Sheet'!$C$9=""),IF($H$4="(nonblank)",--('Final Calculation Sheet'!$C$9&lt;&gt;""),--ISNUMBER(SEARCH($H$4,'Final Calculation Sheet'!$C$9)))))</f>
        <v/>
      </c>
      <c r="DN64">
        <f>IF($I$4="",1,IF($I$4="(blank)",--('Final Calculation Sheet'!$H$9=""),IF($I$4="(nonblank)",--('Final Calculation Sheet'!$H$9&lt;&gt;""),--ISNUMBER(SEARCH($I$4,'Final Calculation Sheet'!$H$9)))))</f>
        <v/>
      </c>
      <c r="DO64">
        <f>IF($J$4="",1,IF($J$4="(blank)",--('Final Calculation Sheet'!$I$9=""),IF($J$4="(nonblank)",--('Final Calculation Sheet'!$I$9&lt;&gt;""),--ISNUMBER(SEARCH($J$4,'Final Calculation Sheet'!$I$9)))))</f>
        <v/>
      </c>
      <c r="DP64">
        <f>IF($K$4="",1,IF($K$4="(blank)",--('Final Calculation Sheet'!$J$9=""),IF($K$4="(nonblank)",--('Final Calculation Sheet'!$J$9&lt;&gt;""),--ISNUMBER(SEARCH($K$4,'Final Calculation Sheet'!$J$9)))))</f>
        <v/>
      </c>
      <c r="DQ64">
        <f>IF($L$4="",1,IF($L$4="(blank)",--('Final Calculation Sheet'!$K$9=""),IF($L$4="(nonblank)",--('Final Calculation Sheet'!$K$9&lt;&gt;""),--ISNUMBER(SEARCH($L$4,'Final Calculation Sheet'!$K$9)))))</f>
        <v/>
      </c>
      <c r="DR64">
        <f>IF($M$4="",1,IF($M$4="(blank)",--('Final Calculation Sheet'!$L$9=""),IF($M$4="(nonblank)",--('Final Calculation Sheet'!$L$9&lt;&gt;""),--ISNUMBER(SEARCH($M$4,'Final Calculation Sheet'!$L$9)))))</f>
        <v/>
      </c>
      <c r="DS64">
        <f>IF($N$4="",1,IF($N$4="(blank)",--('Final Calculation Sheet'!$M$9=""),IF($N$4="(nonblank)",--('Final Calculation Sheet'!$M$9&lt;&gt;""),--ISNUMBER(SEARCH($N$4,'Final Calculation Sheet'!$M$9)))))</f>
        <v/>
      </c>
      <c r="DT64">
        <f>IF($O$4="",1,IF($O$4="(blank)",--('Final Calculation Sheet'!$N$9=""),IF($O$4="(nonblank)",--('Final Calculation Sheet'!$N$9&lt;&gt;""),--ISNUMBER(SEARCH($O$4,'Final Calculation Sheet'!$N$9)))))</f>
        <v/>
      </c>
      <c r="DU64">
        <f>IF($P$4="",1,IF($P$4="(blank)",--('Final Calculation Sheet'!$O$9=""),IF($P$4="(nonblank)",--('Final Calculation Sheet'!$O$9&lt;&gt;""),--ISNUMBER(SEARCH($P$4,'Final Calculation Sheet'!$O$9)))))</f>
        <v/>
      </c>
      <c r="DV64">
        <f>IF($Q$4="",1,IF($Q$4="(blank)",--('Final Calculation Sheet'!$P$9=""),IF($Q$4="(nonblank)",--('Final Calculation Sheet'!$P$9&lt;&gt;""),--ISNUMBER(SEARCH($Q$4,'Final Calculation Sheet'!$P$9)))))</f>
        <v/>
      </c>
      <c r="DW64">
        <f>IF($R$4="",1,IF($R$4="(blank)",--('Final Calculation Sheet'!$Q$9=""),IF($R$4="(nonblank)",--('Final Calculation Sheet'!$Q$9&lt;&gt;""),--ISNUMBER(SEARCH($R$4,'Final Calculation Sheet'!$Q$9)))))</f>
        <v/>
      </c>
      <c r="DX64">
        <f>IF($S$4="",1,IF($S$4="(blank)",--('Final Calculation Sheet'!$R$9=""),IF($S$4="(nonblank)",--('Final Calculation Sheet'!$R$9&lt;&gt;""),--ISNUMBER(SEARCH($S$4,'Final Calculation Sheet'!$R$9)))))</f>
        <v/>
      </c>
      <c r="DY64">
        <f>IF($T$4="",1,IF($T$4="(blank)",--('Final Calculation Sheet'!$S$9=""),IF($T$4="(nonblank)",--('Final Calculation Sheet'!$S$9&lt;&gt;""),--ISNUMBER(SEARCH($T$4,'Final Calculation Sheet'!$S$9)))))</f>
        <v/>
      </c>
      <c r="DZ64">
        <f>IF($U$4="",1,IF($U$4="(blank)",--('Final Calculation Sheet'!$T$9=""),IF($U$4="(nonblank)",--('Final Calculation Sheet'!$T$9&lt;&gt;""),--ISNUMBER(SEARCH($U$4,'Final Calculation Sheet'!$T$9)))))</f>
        <v/>
      </c>
      <c r="EA64">
        <f>IF($V$4="",1,IF($V$4="(blank)",--('Final Calculation Sheet'!$U$9=""),IF($V$4="(nonblank)",--('Final Calculation Sheet'!$U$9&lt;&gt;""),--ISNUMBER(SEARCH($V$4,'Final Calculation Sheet'!$U$9)))))</f>
        <v/>
      </c>
      <c r="EB64">
        <f>IF($W$4="",1,IF($W$4="(blank)",--('Final Calculation Sheet'!$V$9=""),IF($W$4="(nonblank)",--('Final Calculation Sheet'!$V$9&lt;&gt;""),--ISNUMBER(SEARCH($W$4,'Final Calculation Sheet'!$V$9)))))</f>
        <v/>
      </c>
      <c r="EC64">
        <f>IF($X$4="",1,IF($X$4="(blank)",--('Final Calculation Sheet'!$W$9=""),IF($X$4="(nonblank)",--('Final Calculation Sheet'!$W$9&lt;&gt;""),--ISNUMBER(SEARCH($X$4,'Final Calculation Sheet'!$W$9)))))</f>
        <v/>
      </c>
      <c r="ED64">
        <f>IF($Y$4="",1,IF($Y$4="(blank)",--('Final Calculation Sheet'!$X$9=""),IF($Y$4="(nonblank)",--('Final Calculation Sheet'!$X$9&lt;&gt;""),--ISNUMBER(SEARCH($Y$4,'Final Calculation Sheet'!$X$9)))))</f>
        <v/>
      </c>
      <c r="EE64">
        <f>IF($Z$4="",1,IF($Z$4="(blank)",--('Final Calculation Sheet'!$Y$9=""),IF($Z$4="(nonblank)",--('Final Calculation Sheet'!$Y$9&lt;&gt;""),--ISNUMBER(SEARCH($Z$4,'Final Calculation Sheet'!$Y$9)))))</f>
        <v/>
      </c>
      <c r="EF64">
        <f>IF($AA$4="",1,IF($AA$4="(blank)",--('Final Calculation Sheet'!$Z$9=""),IF($AA$4="(nonblank)",--('Final Calculation Sheet'!$Z$9&lt;&gt;""),--ISNUMBER(SEARCH($AA$4,'Final Calculation Sheet'!$Z$9)))))</f>
        <v/>
      </c>
      <c r="EG64">
        <f>IF($AB$4="",1,IF($AB$4="(blank)",--('Final Calculation Sheet'!$AA$9=""),IF($AB$4="(nonblank)",--('Final Calculation Sheet'!$AA$9&lt;&gt;""),--ISNUMBER(SEARCH($AB$4,'Final Calculation Sheet'!$AA$9)))))</f>
        <v/>
      </c>
      <c r="EH64">
        <f>IF($AC$4="",1,IF($AC$4="(blank)",--('Final Calculation Sheet'!$AB$9=""),IF($AC$4="(nonblank)",--('Final Calculation Sheet'!$AB$9&lt;&gt;""),--ISNUMBER(SEARCH($AC$4,'Final Calculation Sheet'!$AB$9)))))</f>
        <v/>
      </c>
      <c r="EI64">
        <f>IF($AD$4="",1,IF($AD$4="(blank)",--('Final Calculation Sheet'!$AC$9=""),IF($AD$4="(nonblank)",--('Final Calculation Sheet'!$AC$9&lt;&gt;""),--ISNUMBER(SEARCH($AD$4,'Final Calculation Sheet'!$AC$9)))))</f>
        <v/>
      </c>
      <c r="EJ64">
        <f>IF($AE$4="",1,IF($AE$4="(blank)",--('Final Calculation Sheet'!$AD$9=""),IF($AE$4="(nonblank)",--('Final Calculation Sheet'!$AD$9&lt;&gt;""),--ISNUMBER(SEARCH($AE$4,'Final Calculation Sheet'!$AD$9)))))</f>
        <v/>
      </c>
      <c r="EK64">
        <f>IF($AF$4="",1,IF($AF$4="(blank)",--(IF('Final Calculation Sheet'!$AD$9&lt;=5,"SETTLED","OUTSTANDING")=""),IF($AF$4="(nonblank)",--(IF('Final Calculation Sheet'!$AD$9&lt;=5,"SETTLED","OUTSTANDING")&lt;&gt;""),--ISNUMBER(SEARCH($AF$4,IF('Final Calculation Sheet'!$AD$9&lt;=5,"SETTLED","OUTSTANDING"))))))</f>
        <v/>
      </c>
      <c r="EL64">
        <f>IF($AG$4="",1,IF($AG$4="(blank)",--('Final Calculation Sheet'!$AF$9=""),IF($AG$4="(nonblank)",--('Final Calculation Sheet'!$AF$9&lt;&gt;""),--ISNUMBER(SEARCH($AG$4,'Final Calculation Sheet'!$AF$9)))))</f>
        <v/>
      </c>
      <c r="EM64">
        <f>IF($AH$4="",1,IF($AH$4="(blank)",--('Final Calculation Sheet'!$AG$9=""),IF($AH$4="(nonblank)",--('Final Calculation Sheet'!$AG$9&lt;&gt;""),--ISNUMBER(SEARCH($AH$4,'Final Calculation Sheet'!$AG$9)))))</f>
        <v/>
      </c>
      <c r="EN64">
        <f>IF($AI$4="",1,IF($AI$4="(blank)",--('Final Calculation Sheet'!$AH$9=""),IF($AI$4="(nonblank)",--('Final Calculation Sheet'!$AH$9&lt;&gt;""),--ISNUMBER(SEARCH($AI$4,'Final Calculation Sheet'!$AH$9)))))</f>
        <v/>
      </c>
    </row>
    <row r="65">
      <c r="AM65">
        <f>AM64+IF(AND(Lists!$O$12&lt;&gt;"",ISNUMBER(SEARCH($B$4,Lists!$O$12))),1,0)</f>
        <v/>
      </c>
      <c r="AN65">
        <f>IF(ROW()-56&gt;MAX($AM$57:$AM$95),"",INDEX(Lists!$O$4:$O$42,MATCH(ROW()-56,$AM$57:$AM$95,0)))</f>
        <v/>
      </c>
      <c r="AO65">
        <f>AO64+IF(AND(Lists!$T$12&lt;&gt;"",ISNUMBER(SEARCH($C$4,Lists!$T$12))),1,0)</f>
        <v/>
      </c>
      <c r="AP65">
        <f>IF(ROW()-56&gt;MAX($AO$57:$AO$95),"",INDEX(Lists!$T$4:$T$42,MATCH(ROW()-56,$AO$57:$AO$95,0)))</f>
        <v/>
      </c>
      <c r="AQ65">
        <f>AQ64+IF(AND(Lists!$Y$12&lt;&gt;"",ISNUMBER(SEARCH($D$4,Lists!$Y$12))),1,0)</f>
        <v/>
      </c>
      <c r="AR65">
        <f>IF(ROW()-56&gt;MAX($AQ$57:$AQ$95),"",INDEX(Lists!$Y$4:$Y$42,MATCH(ROW()-56,$AQ$57:$AQ$95,0)))</f>
        <v/>
      </c>
      <c r="AS65">
        <f>AS64+IF(AND(Lists!$AD$12&lt;&gt;"",ISNUMBER(SEARCH($E$4,Lists!$AD$12))),1,0)</f>
        <v/>
      </c>
      <c r="AT65">
        <f>IF(ROW()-56&gt;MAX($AS$57:$AS$95),"",INDEX(Lists!$AD$4:$AD$42,MATCH(ROW()-56,$AS$57:$AS$95,0)))</f>
        <v/>
      </c>
      <c r="AU65">
        <f>AU64+IF(AND(Lists!$AI$12&lt;&gt;"",ISNUMBER(SEARCH($F$4,Lists!$AI$12))),1,0)</f>
        <v/>
      </c>
      <c r="AV65">
        <f>IF(ROW()-56&gt;MAX($AU$57:$AU$95),"",INDEX(Lists!$AI$4:$AI$42,MATCH(ROW()-56,$AU$57:$AU$95,0)))</f>
        <v/>
      </c>
      <c r="AW65">
        <f>AW64+IF(AND(Lists!$AN$12&lt;&gt;"",ISNUMBER(SEARCH($G$4,Lists!$AN$12))),1,0)</f>
        <v/>
      </c>
      <c r="AX65">
        <f>IF(ROW()-56&gt;MAX($AW$57:$AW$95),"",INDEX(Lists!$AN$4:$AN$42,MATCH(ROW()-56,$AW$57:$AW$95,0)))</f>
        <v/>
      </c>
      <c r="AY65">
        <f>AY64+IF(AND(Lists!$AS$12&lt;&gt;"",ISNUMBER(SEARCH($H$4,Lists!$AS$12))),1,0)</f>
        <v/>
      </c>
      <c r="AZ65">
        <f>IF(ROW()-56&gt;MAX($AY$57:$AY$95),"",INDEX(Lists!$AS$4:$AS$42,MATCH(ROW()-56,$AY$57:$AY$95,0)))</f>
        <v/>
      </c>
      <c r="BA65">
        <f>BA64+IF(AND(Lists!$AX$12&lt;&gt;"",ISNUMBER(SEARCH($I$4,Lists!$AX$12))),1,0)</f>
        <v/>
      </c>
      <c r="BB65">
        <f>IF(ROW()-56&gt;MAX($BA$57:$BA$95),"",INDEX(Lists!$AX$4:$AX$42,MATCH(ROW()-56,$BA$57:$BA$95,0)))</f>
        <v/>
      </c>
      <c r="BC65">
        <f>BC64+IF(AND(Lists!$BC$12&lt;&gt;"",ISNUMBER(SEARCH($J$4,Lists!$BC$12))),1,0)</f>
        <v/>
      </c>
      <c r="BD65">
        <f>IF(ROW()-56&gt;MAX($BC$57:$BC$95),"",INDEX(Lists!$BC$4:$BC$42,MATCH(ROW()-56,$BC$57:$BC$95,0)))</f>
        <v/>
      </c>
      <c r="BE65">
        <f>BE64+IF(AND(Lists!$BH$12&lt;&gt;"",ISNUMBER(SEARCH($K$4,Lists!$BH$12))),1,0)</f>
        <v/>
      </c>
      <c r="BF65">
        <f>IF(ROW()-56&gt;MAX($BE$57:$BE$95),"",INDEX(Lists!$BH$4:$BH$42,MATCH(ROW()-56,$BE$57:$BE$95,0)))</f>
        <v/>
      </c>
      <c r="BG65">
        <f>BG64+IF(AND(Lists!$BM$12&lt;&gt;"",ISNUMBER(SEARCH($L$4,Lists!$BM$12))),1,0)</f>
        <v/>
      </c>
      <c r="BH65">
        <f>IF(ROW()-56&gt;MAX($BG$57:$BG$95),"",INDEX(Lists!$BM$4:$BM$42,MATCH(ROW()-56,$BG$57:$BG$95,0)))</f>
        <v/>
      </c>
      <c r="BI65">
        <f>BI64+IF(AND(Lists!$BR$12&lt;&gt;"",ISNUMBER(SEARCH($M$4,Lists!$BR$12))),1,0)</f>
        <v/>
      </c>
      <c r="BJ65">
        <f>IF(ROW()-56&gt;MAX($BI$57:$BI$95),"",INDEX(Lists!$BR$4:$BR$42,MATCH(ROW()-56,$BI$57:$BI$95,0)))</f>
        <v/>
      </c>
      <c r="BK65">
        <f>BK64+IF(AND(Lists!$BW$12&lt;&gt;"",ISNUMBER(SEARCH($N$4,Lists!$BW$12))),1,0)</f>
        <v/>
      </c>
      <c r="BL65">
        <f>IF(ROW()-56&gt;MAX($BK$57:$BK$95),"",INDEX(Lists!$BW$4:$BW$42,MATCH(ROW()-56,$BK$57:$BK$95,0)))</f>
        <v/>
      </c>
      <c r="BM65">
        <f>BM64+IF(AND(Lists!$CB$12&lt;&gt;"",ISNUMBER(SEARCH($O$4,Lists!$CB$12))),1,0)</f>
        <v/>
      </c>
      <c r="BN65">
        <f>IF(ROW()-56&gt;MAX($BM$57:$BM$95),"",INDEX(Lists!$CB$4:$CB$42,MATCH(ROW()-56,$BM$57:$BM$95,0)))</f>
        <v/>
      </c>
      <c r="BO65">
        <f>BO64+IF(AND(Lists!$CG$12&lt;&gt;"",ISNUMBER(SEARCH($P$4,Lists!$CG$12))),1,0)</f>
        <v/>
      </c>
      <c r="BP65">
        <f>IF(ROW()-56&gt;MAX($BO$57:$BO$95),"",INDEX(Lists!$CG$4:$CG$42,MATCH(ROW()-56,$BO$57:$BO$95,0)))</f>
        <v/>
      </c>
      <c r="BQ65">
        <f>BQ64+IF(AND(Lists!$CL$12&lt;&gt;"",ISNUMBER(SEARCH($Q$4,Lists!$CL$12))),1,0)</f>
        <v/>
      </c>
      <c r="BR65">
        <f>IF(ROW()-56&gt;MAX($BQ$57:$BQ$95),"",INDEX(Lists!$CL$4:$CL$42,MATCH(ROW()-56,$BQ$57:$BQ$95,0)))</f>
        <v/>
      </c>
      <c r="BS65">
        <f>BS64+IF(AND(Lists!$CQ$12&lt;&gt;"",ISNUMBER(SEARCH($R$4,Lists!$CQ$12))),1,0)</f>
        <v/>
      </c>
      <c r="BT65">
        <f>IF(ROW()-56&gt;MAX($BS$57:$BS$95),"",INDEX(Lists!$CQ$4:$CQ$42,MATCH(ROW()-56,$BS$57:$BS$95,0)))</f>
        <v/>
      </c>
      <c r="BU65">
        <f>BU64+IF(AND(Lists!$CV$12&lt;&gt;"",ISNUMBER(SEARCH($S$4,Lists!$CV$12))),1,0)</f>
        <v/>
      </c>
      <c r="BV65">
        <f>IF(ROW()-56&gt;MAX($BU$57:$BU$95),"",INDEX(Lists!$CV$4:$CV$42,MATCH(ROW()-56,$BU$57:$BU$95,0)))</f>
        <v/>
      </c>
      <c r="BW65">
        <f>BW64+IF(AND(Lists!$DA$12&lt;&gt;"",ISNUMBER(SEARCH($T$4,Lists!$DA$12))),1,0)</f>
        <v/>
      </c>
      <c r="BX65">
        <f>IF(ROW()-56&gt;MAX($BW$57:$BW$95),"",INDEX(Lists!$DA$4:$DA$42,MATCH(ROW()-56,$BW$57:$BW$95,0)))</f>
        <v/>
      </c>
      <c r="BY65">
        <f>BY64+IF(AND(Lists!$DF$12&lt;&gt;"",ISNUMBER(SEARCH($U$4,Lists!$DF$12))),1,0)</f>
        <v/>
      </c>
      <c r="BZ65">
        <f>IF(ROW()-56&gt;MAX($BY$57:$BY$95),"",INDEX(Lists!$DF$4:$DF$42,MATCH(ROW()-56,$BY$57:$BY$95,0)))</f>
        <v/>
      </c>
      <c r="CA65">
        <f>CA64+IF(AND(Lists!$DK$12&lt;&gt;"",ISNUMBER(SEARCH($V$4,Lists!$DK$12))),1,0)</f>
        <v/>
      </c>
      <c r="CB65">
        <f>IF(ROW()-56&gt;MAX($CA$57:$CA$95),"",INDEX(Lists!$DK$4:$DK$42,MATCH(ROW()-56,$CA$57:$CA$95,0)))</f>
        <v/>
      </c>
      <c r="CC65">
        <f>CC64+IF(AND(Lists!$DP$12&lt;&gt;"",ISNUMBER(SEARCH($W$4,Lists!$DP$12))),1,0)</f>
        <v/>
      </c>
      <c r="CD65">
        <f>IF(ROW()-56&gt;MAX($CC$57:$CC$95),"",INDEX(Lists!$DP$4:$DP$42,MATCH(ROW()-56,$CC$57:$CC$95,0)))</f>
        <v/>
      </c>
      <c r="CE65">
        <f>CE64+IF(AND(Lists!$DU$12&lt;&gt;"",ISNUMBER(SEARCH($X$4,Lists!$DU$12))),1,0)</f>
        <v/>
      </c>
      <c r="CF65">
        <f>IF(ROW()-56&gt;MAX($CE$57:$CE$95),"",INDEX(Lists!$DU$4:$DU$42,MATCH(ROW()-56,$CE$57:$CE$95,0)))</f>
        <v/>
      </c>
      <c r="CG65">
        <f>CG64+IF(AND(Lists!$DZ$12&lt;&gt;"",ISNUMBER(SEARCH($Y$4,Lists!$DZ$12))),1,0)</f>
        <v/>
      </c>
      <c r="CH65">
        <f>IF(ROW()-56&gt;MAX($CG$57:$CG$95),"",INDEX(Lists!$DZ$4:$DZ$42,MATCH(ROW()-56,$CG$57:$CG$95,0)))</f>
        <v/>
      </c>
      <c r="CI65">
        <f>CI64+IF(AND(Lists!$EE$12&lt;&gt;"",ISNUMBER(SEARCH($Z$4,Lists!$EE$12))),1,0)</f>
        <v/>
      </c>
      <c r="CJ65">
        <f>IF(ROW()-56&gt;MAX($CI$57:$CI$95),"",INDEX(Lists!$EE$4:$EE$42,MATCH(ROW()-56,$CI$57:$CI$95,0)))</f>
        <v/>
      </c>
      <c r="CK65">
        <f>CK64+IF(AND(Lists!$EJ$12&lt;&gt;"",ISNUMBER(SEARCH($AA$4,Lists!$EJ$12))),1,0)</f>
        <v/>
      </c>
      <c r="CL65">
        <f>IF(ROW()-56&gt;MAX($CK$57:$CK$95),"",INDEX(Lists!$EJ$4:$EJ$42,MATCH(ROW()-56,$CK$57:$CK$95,0)))</f>
        <v/>
      </c>
      <c r="CM65">
        <f>CM64+IF(AND(Lists!$EO$12&lt;&gt;"",ISNUMBER(SEARCH($AB$4,Lists!$EO$12))),1,0)</f>
        <v/>
      </c>
      <c r="CN65">
        <f>IF(ROW()-56&gt;MAX($CM$57:$CM$95),"",INDEX(Lists!$EO$4:$EO$42,MATCH(ROW()-56,$CM$57:$CM$95,0)))</f>
        <v/>
      </c>
      <c r="CO65">
        <f>CO64+IF(AND(Lists!$ET$12&lt;&gt;"",ISNUMBER(SEARCH($AC$4,Lists!$ET$12))),1,0)</f>
        <v/>
      </c>
      <c r="CP65">
        <f>IF(ROW()-56&gt;MAX($CO$57:$CO$95),"",INDEX(Lists!$ET$4:$ET$42,MATCH(ROW()-56,$CO$57:$CO$95,0)))</f>
        <v/>
      </c>
      <c r="CQ65">
        <f>CQ64+IF(AND(Lists!$EY$12&lt;&gt;"",ISNUMBER(SEARCH($AD$4,Lists!$EY$12))),1,0)</f>
        <v/>
      </c>
      <c r="CR65">
        <f>IF(ROW()-56&gt;MAX($CQ$57:$CQ$95),"",INDEX(Lists!$EY$4:$EY$42,MATCH(ROW()-56,$CQ$57:$CQ$95,0)))</f>
        <v/>
      </c>
      <c r="CS65">
        <f>CS64+IF(AND(Lists!$FD$12&lt;&gt;"",ISNUMBER(SEARCH($AE$4,Lists!$FD$12))),1,0)</f>
        <v/>
      </c>
      <c r="CT65">
        <f>IF(ROW()-56&gt;MAX($CS$57:$CS$95),"",INDEX(Lists!$FD$4:$FD$42,MATCH(ROW()-56,$CS$57:$CS$95,0)))</f>
        <v/>
      </c>
      <c r="CU65">
        <f>CU64+IF(AND(Lists!$FI$12&lt;&gt;"",ISNUMBER(SEARCH($AG$4,Lists!$FI$12))),1,0)</f>
        <v/>
      </c>
      <c r="CV65">
        <f>IF(ROW()-56&gt;MAX($CU$57:$CU$95),"",INDEX(Lists!$FI$4:$FI$42,MATCH(ROW()-56,$CU$57:$CU$95,0)))</f>
        <v/>
      </c>
      <c r="CW65">
        <f>CW64+IF(AND(Lists!$FN$12&lt;&gt;"",ISNUMBER(SEARCH($AH$4,Lists!$FN$12))),1,0)</f>
        <v/>
      </c>
      <c r="CX65">
        <f>IF(ROW()-56&gt;MAX($CW$57:$CW$95),"",INDEX(Lists!$FN$4:$FN$42,MATCH(ROW()-56,$CW$57:$CW$95,0)))</f>
        <v/>
      </c>
      <c r="CY65">
        <f>CY64+IF(AND(Lists!$FS$12&lt;&gt;"",ISNUMBER(SEARCH($AI$4,Lists!$FS$12))),1,0)</f>
        <v/>
      </c>
      <c r="CZ65">
        <f>IF(ROW()-56&gt;MAX($CY$57:$CY$95),"",INDEX(Lists!$FS$4:$FS$42,MATCH(ROW()-56,$CY$57:$CY$95,0)))</f>
        <v/>
      </c>
      <c r="DA65">
        <f>DA64+IF(AND(Lists!$FX$12&lt;&gt;"",ISNUMBER(SEARCH($AF$4,Lists!$FX$12))),1,0)</f>
        <v/>
      </c>
      <c r="DB65">
        <f>IF(ROW()-56&gt;MAX($DA$57:$DA$95),"",INDEX(Lists!$FX$4:$FX$42,MATCH(ROW()-56,$DA$57:$DA$95,0)))</f>
        <v/>
      </c>
      <c r="DG65">
        <f>IF($B$4="",1,IF($B$4="(blank)",--('Final Calculation Sheet'!$F$10=""),IF($B$4="(nonblank)",--('Final Calculation Sheet'!$F$10&lt;&gt;""),--ISNUMBER(SEARCH($B$4,'Final Calculation Sheet'!$F$10)))))</f>
        <v/>
      </c>
      <c r="DH65">
        <f>IF($C$4="",1,IF($C$4="(blank)",--('Final Calculation Sheet'!$G$10=""),IF($C$4="(nonblank)",--('Final Calculation Sheet'!$G$10&lt;&gt;""),--ISNUMBER(SEARCH($C$4,'Final Calculation Sheet'!$G$10)))))</f>
        <v/>
      </c>
      <c r="DI65">
        <f>IF($D$4="",1,IF($D$4="(blank)",--('Final Calculation Sheet'!$B$10=""),IF($D$4="(nonblank)",--('Final Calculation Sheet'!$B$10&lt;&gt;""),--ISNUMBER(SEARCH($D$4,'Final Calculation Sheet'!$B$10)))))</f>
        <v/>
      </c>
      <c r="DJ65">
        <f>IF($E$4="",1,IF($E$4="(blank)",--('Final Calculation Sheet'!$D$10=""),IF($E$4="(nonblank)",--('Final Calculation Sheet'!$D$10&lt;&gt;""),--ISNUMBER(SEARCH($E$4,'Final Calculation Sheet'!$D$10)))))</f>
        <v/>
      </c>
      <c r="DK65">
        <f>IF($F$4="",1,IF($F$4="(blank)",--('Final Calculation Sheet'!$A$10=""),IF($F$4="(nonblank)",--('Final Calculation Sheet'!$A$10&lt;&gt;""),--ISNUMBER(SEARCH($F$4,'Final Calculation Sheet'!$A$10)))))</f>
        <v/>
      </c>
      <c r="DL65">
        <f>IF($G$4="",1,IF($G$4="(blank)",--('Final Calculation Sheet'!$E$10=""),IF($G$4="(nonblank)",--('Final Calculation Sheet'!$E$10&lt;&gt;""),--ISNUMBER(SEARCH($G$4,'Final Calculation Sheet'!$E$10)))))</f>
        <v/>
      </c>
      <c r="DM65">
        <f>IF($H$4="",1,IF($H$4="(blank)",--('Final Calculation Sheet'!$C$10=""),IF($H$4="(nonblank)",--('Final Calculation Sheet'!$C$10&lt;&gt;""),--ISNUMBER(SEARCH($H$4,'Final Calculation Sheet'!$C$10)))))</f>
        <v/>
      </c>
      <c r="DN65">
        <f>IF($I$4="",1,IF($I$4="(blank)",--('Final Calculation Sheet'!$H$10=""),IF($I$4="(nonblank)",--('Final Calculation Sheet'!$H$10&lt;&gt;""),--ISNUMBER(SEARCH($I$4,'Final Calculation Sheet'!$H$10)))))</f>
        <v/>
      </c>
      <c r="DO65">
        <f>IF($J$4="",1,IF($J$4="(blank)",--('Final Calculation Sheet'!$I$10=""),IF($J$4="(nonblank)",--('Final Calculation Sheet'!$I$10&lt;&gt;""),--ISNUMBER(SEARCH($J$4,'Final Calculation Sheet'!$I$10)))))</f>
        <v/>
      </c>
      <c r="DP65">
        <f>IF($K$4="",1,IF($K$4="(blank)",--('Final Calculation Sheet'!$J$10=""),IF($K$4="(nonblank)",--('Final Calculation Sheet'!$J$10&lt;&gt;""),--ISNUMBER(SEARCH($K$4,'Final Calculation Sheet'!$J$10)))))</f>
        <v/>
      </c>
      <c r="DQ65">
        <f>IF($L$4="",1,IF($L$4="(blank)",--('Final Calculation Sheet'!$K$10=""),IF($L$4="(nonblank)",--('Final Calculation Sheet'!$K$10&lt;&gt;""),--ISNUMBER(SEARCH($L$4,'Final Calculation Sheet'!$K$10)))))</f>
        <v/>
      </c>
      <c r="DR65">
        <f>IF($M$4="",1,IF($M$4="(blank)",--('Final Calculation Sheet'!$L$10=""),IF($M$4="(nonblank)",--('Final Calculation Sheet'!$L$10&lt;&gt;""),--ISNUMBER(SEARCH($M$4,'Final Calculation Sheet'!$L$10)))))</f>
        <v/>
      </c>
      <c r="DS65">
        <f>IF($N$4="",1,IF($N$4="(blank)",--('Final Calculation Sheet'!$M$10=""),IF($N$4="(nonblank)",--('Final Calculation Sheet'!$M$10&lt;&gt;""),--ISNUMBER(SEARCH($N$4,'Final Calculation Sheet'!$M$10)))))</f>
        <v/>
      </c>
      <c r="DT65">
        <f>IF($O$4="",1,IF($O$4="(blank)",--('Final Calculation Sheet'!$N$10=""),IF($O$4="(nonblank)",--('Final Calculation Sheet'!$N$10&lt;&gt;""),--ISNUMBER(SEARCH($O$4,'Final Calculation Sheet'!$N$10)))))</f>
        <v/>
      </c>
      <c r="DU65">
        <f>IF($P$4="",1,IF($P$4="(blank)",--('Final Calculation Sheet'!$O$10=""),IF($P$4="(nonblank)",--('Final Calculation Sheet'!$O$10&lt;&gt;""),--ISNUMBER(SEARCH($P$4,'Final Calculation Sheet'!$O$10)))))</f>
        <v/>
      </c>
      <c r="DV65">
        <f>IF($Q$4="",1,IF($Q$4="(blank)",--('Final Calculation Sheet'!$P$10=""),IF($Q$4="(nonblank)",--('Final Calculation Sheet'!$P$10&lt;&gt;""),--ISNUMBER(SEARCH($Q$4,'Final Calculation Sheet'!$P$10)))))</f>
        <v/>
      </c>
      <c r="DW65">
        <f>IF($R$4="",1,IF($R$4="(blank)",--('Final Calculation Sheet'!$Q$10=""),IF($R$4="(nonblank)",--('Final Calculation Sheet'!$Q$10&lt;&gt;""),--ISNUMBER(SEARCH($R$4,'Final Calculation Sheet'!$Q$10)))))</f>
        <v/>
      </c>
      <c r="DX65">
        <f>IF($S$4="",1,IF($S$4="(blank)",--('Final Calculation Sheet'!$R$10=""),IF($S$4="(nonblank)",--('Final Calculation Sheet'!$R$10&lt;&gt;""),--ISNUMBER(SEARCH($S$4,'Final Calculation Sheet'!$R$10)))))</f>
        <v/>
      </c>
      <c r="DY65">
        <f>IF($T$4="",1,IF($T$4="(blank)",--('Final Calculation Sheet'!$S$10=""),IF($T$4="(nonblank)",--('Final Calculation Sheet'!$S$10&lt;&gt;""),--ISNUMBER(SEARCH($T$4,'Final Calculation Sheet'!$S$10)))))</f>
        <v/>
      </c>
      <c r="DZ65">
        <f>IF($U$4="",1,IF($U$4="(blank)",--('Final Calculation Sheet'!$T$10=""),IF($U$4="(nonblank)",--('Final Calculation Sheet'!$T$10&lt;&gt;""),--ISNUMBER(SEARCH($U$4,'Final Calculation Sheet'!$T$10)))))</f>
        <v/>
      </c>
      <c r="EA65">
        <f>IF($V$4="",1,IF($V$4="(blank)",--('Final Calculation Sheet'!$U$10=""),IF($V$4="(nonblank)",--('Final Calculation Sheet'!$U$10&lt;&gt;""),--ISNUMBER(SEARCH($V$4,'Final Calculation Sheet'!$U$10)))))</f>
        <v/>
      </c>
      <c r="EB65">
        <f>IF($W$4="",1,IF($W$4="(blank)",--('Final Calculation Sheet'!$V$10=""),IF($W$4="(nonblank)",--('Final Calculation Sheet'!$V$10&lt;&gt;""),--ISNUMBER(SEARCH($W$4,'Final Calculation Sheet'!$V$10)))))</f>
        <v/>
      </c>
      <c r="EC65">
        <f>IF($X$4="",1,IF($X$4="(blank)",--('Final Calculation Sheet'!$W$10=""),IF($X$4="(nonblank)",--('Final Calculation Sheet'!$W$10&lt;&gt;""),--ISNUMBER(SEARCH($X$4,'Final Calculation Sheet'!$W$10)))))</f>
        <v/>
      </c>
      <c r="ED65">
        <f>IF($Y$4="",1,IF($Y$4="(blank)",--('Final Calculation Sheet'!$X$10=""),IF($Y$4="(nonblank)",--('Final Calculation Sheet'!$X$10&lt;&gt;""),--ISNUMBER(SEARCH($Y$4,'Final Calculation Sheet'!$X$10)))))</f>
        <v/>
      </c>
      <c r="EE65">
        <f>IF($Z$4="",1,IF($Z$4="(blank)",--('Final Calculation Sheet'!$Y$10=""),IF($Z$4="(nonblank)",--('Final Calculation Sheet'!$Y$10&lt;&gt;""),--ISNUMBER(SEARCH($Z$4,'Final Calculation Sheet'!$Y$10)))))</f>
        <v/>
      </c>
      <c r="EF65">
        <f>IF($AA$4="",1,IF($AA$4="(blank)",--('Final Calculation Sheet'!$Z$10=""),IF($AA$4="(nonblank)",--('Final Calculation Sheet'!$Z$10&lt;&gt;""),--ISNUMBER(SEARCH($AA$4,'Final Calculation Sheet'!$Z$10)))))</f>
        <v/>
      </c>
      <c r="EG65">
        <f>IF($AB$4="",1,IF($AB$4="(blank)",--('Final Calculation Sheet'!$AA$10=""),IF($AB$4="(nonblank)",--('Final Calculation Sheet'!$AA$10&lt;&gt;""),--ISNUMBER(SEARCH($AB$4,'Final Calculation Sheet'!$AA$10)))))</f>
        <v/>
      </c>
      <c r="EH65">
        <f>IF($AC$4="",1,IF($AC$4="(blank)",--('Final Calculation Sheet'!$AB$10=""),IF($AC$4="(nonblank)",--('Final Calculation Sheet'!$AB$10&lt;&gt;""),--ISNUMBER(SEARCH($AC$4,'Final Calculation Sheet'!$AB$10)))))</f>
        <v/>
      </c>
      <c r="EI65">
        <f>IF($AD$4="",1,IF($AD$4="(blank)",--('Final Calculation Sheet'!$AC$10=""),IF($AD$4="(nonblank)",--('Final Calculation Sheet'!$AC$10&lt;&gt;""),--ISNUMBER(SEARCH($AD$4,'Final Calculation Sheet'!$AC$10)))))</f>
        <v/>
      </c>
      <c r="EJ65">
        <f>IF($AE$4="",1,IF($AE$4="(blank)",--('Final Calculation Sheet'!$AD$10=""),IF($AE$4="(nonblank)",--('Final Calculation Sheet'!$AD$10&lt;&gt;""),--ISNUMBER(SEARCH($AE$4,'Final Calculation Sheet'!$AD$10)))))</f>
        <v/>
      </c>
      <c r="EK65">
        <f>IF($AF$4="",1,IF($AF$4="(blank)",--(IF('Final Calculation Sheet'!$AD$10&lt;=5,"SETTLED","OUTSTANDING")=""),IF($AF$4="(nonblank)",--(IF('Final Calculation Sheet'!$AD$10&lt;=5,"SETTLED","OUTSTANDING")&lt;&gt;""),--ISNUMBER(SEARCH($AF$4,IF('Final Calculation Sheet'!$AD$10&lt;=5,"SETTLED","OUTSTANDING"))))))</f>
        <v/>
      </c>
      <c r="EL65">
        <f>IF($AG$4="",1,IF($AG$4="(blank)",--('Final Calculation Sheet'!$AF$10=""),IF($AG$4="(nonblank)",--('Final Calculation Sheet'!$AF$10&lt;&gt;""),--ISNUMBER(SEARCH($AG$4,'Final Calculation Sheet'!$AF$10)))))</f>
        <v/>
      </c>
      <c r="EM65">
        <f>IF($AH$4="",1,IF($AH$4="(blank)",--('Final Calculation Sheet'!$AG$10=""),IF($AH$4="(nonblank)",--('Final Calculation Sheet'!$AG$10&lt;&gt;""),--ISNUMBER(SEARCH($AH$4,'Final Calculation Sheet'!$AG$10)))))</f>
        <v/>
      </c>
      <c r="EN65">
        <f>IF($AI$4="",1,IF($AI$4="(blank)",--('Final Calculation Sheet'!$AH$10=""),IF($AI$4="(nonblank)",--('Final Calculation Sheet'!$AH$10&lt;&gt;""),--ISNUMBER(SEARCH($AI$4,'Final Calculation Sheet'!$AH$10)))))</f>
        <v/>
      </c>
    </row>
    <row r="66">
      <c r="AM66">
        <f>AM65+IF(AND(Lists!$O$13&lt;&gt;"",ISNUMBER(SEARCH($B$4,Lists!$O$13))),1,0)</f>
        <v/>
      </c>
      <c r="AN66">
        <f>IF(ROW()-56&gt;MAX($AM$57:$AM$95),"",INDEX(Lists!$O$4:$O$42,MATCH(ROW()-56,$AM$57:$AM$95,0)))</f>
        <v/>
      </c>
      <c r="AO66">
        <f>AO65+IF(AND(Lists!$T$13&lt;&gt;"",ISNUMBER(SEARCH($C$4,Lists!$T$13))),1,0)</f>
        <v/>
      </c>
      <c r="AP66">
        <f>IF(ROW()-56&gt;MAX($AO$57:$AO$95),"",INDEX(Lists!$T$4:$T$42,MATCH(ROW()-56,$AO$57:$AO$95,0)))</f>
        <v/>
      </c>
      <c r="AQ66">
        <f>AQ65+IF(AND(Lists!$Y$13&lt;&gt;"",ISNUMBER(SEARCH($D$4,Lists!$Y$13))),1,0)</f>
        <v/>
      </c>
      <c r="AR66">
        <f>IF(ROW()-56&gt;MAX($AQ$57:$AQ$95),"",INDEX(Lists!$Y$4:$Y$42,MATCH(ROW()-56,$AQ$57:$AQ$95,0)))</f>
        <v/>
      </c>
      <c r="AS66">
        <f>AS65+IF(AND(Lists!$AD$13&lt;&gt;"",ISNUMBER(SEARCH($E$4,Lists!$AD$13))),1,0)</f>
        <v/>
      </c>
      <c r="AT66">
        <f>IF(ROW()-56&gt;MAX($AS$57:$AS$95),"",INDEX(Lists!$AD$4:$AD$42,MATCH(ROW()-56,$AS$57:$AS$95,0)))</f>
        <v/>
      </c>
      <c r="AU66">
        <f>AU65+IF(AND(Lists!$AI$13&lt;&gt;"",ISNUMBER(SEARCH($F$4,Lists!$AI$13))),1,0)</f>
        <v/>
      </c>
      <c r="AV66">
        <f>IF(ROW()-56&gt;MAX($AU$57:$AU$95),"",INDEX(Lists!$AI$4:$AI$42,MATCH(ROW()-56,$AU$57:$AU$95,0)))</f>
        <v/>
      </c>
      <c r="AW66">
        <f>AW65+IF(AND(Lists!$AN$13&lt;&gt;"",ISNUMBER(SEARCH($G$4,Lists!$AN$13))),1,0)</f>
        <v/>
      </c>
      <c r="AX66">
        <f>IF(ROW()-56&gt;MAX($AW$57:$AW$95),"",INDEX(Lists!$AN$4:$AN$42,MATCH(ROW()-56,$AW$57:$AW$95,0)))</f>
        <v/>
      </c>
      <c r="AY66">
        <f>AY65+IF(AND(Lists!$AS$13&lt;&gt;"",ISNUMBER(SEARCH($H$4,Lists!$AS$13))),1,0)</f>
        <v/>
      </c>
      <c r="AZ66">
        <f>IF(ROW()-56&gt;MAX($AY$57:$AY$95),"",INDEX(Lists!$AS$4:$AS$42,MATCH(ROW()-56,$AY$57:$AY$95,0)))</f>
        <v/>
      </c>
      <c r="BA66">
        <f>BA65+IF(AND(Lists!$AX$13&lt;&gt;"",ISNUMBER(SEARCH($I$4,Lists!$AX$13))),1,0)</f>
        <v/>
      </c>
      <c r="BB66">
        <f>IF(ROW()-56&gt;MAX($BA$57:$BA$95),"",INDEX(Lists!$AX$4:$AX$42,MATCH(ROW()-56,$BA$57:$BA$95,0)))</f>
        <v/>
      </c>
      <c r="BC66">
        <f>BC65+IF(AND(Lists!$BC$13&lt;&gt;"",ISNUMBER(SEARCH($J$4,Lists!$BC$13))),1,0)</f>
        <v/>
      </c>
      <c r="BD66">
        <f>IF(ROW()-56&gt;MAX($BC$57:$BC$95),"",INDEX(Lists!$BC$4:$BC$42,MATCH(ROW()-56,$BC$57:$BC$95,0)))</f>
        <v/>
      </c>
      <c r="BE66">
        <f>BE65+IF(AND(Lists!$BH$13&lt;&gt;"",ISNUMBER(SEARCH($K$4,Lists!$BH$13))),1,0)</f>
        <v/>
      </c>
      <c r="BF66">
        <f>IF(ROW()-56&gt;MAX($BE$57:$BE$95),"",INDEX(Lists!$BH$4:$BH$42,MATCH(ROW()-56,$BE$57:$BE$95,0)))</f>
        <v/>
      </c>
      <c r="BG66">
        <f>BG65+IF(AND(Lists!$BM$13&lt;&gt;"",ISNUMBER(SEARCH($L$4,Lists!$BM$13))),1,0)</f>
        <v/>
      </c>
      <c r="BH66">
        <f>IF(ROW()-56&gt;MAX($BG$57:$BG$95),"",INDEX(Lists!$BM$4:$BM$42,MATCH(ROW()-56,$BG$57:$BG$95,0)))</f>
        <v/>
      </c>
      <c r="BI66">
        <f>BI65+IF(AND(Lists!$BR$13&lt;&gt;"",ISNUMBER(SEARCH($M$4,Lists!$BR$13))),1,0)</f>
        <v/>
      </c>
      <c r="BJ66">
        <f>IF(ROW()-56&gt;MAX($BI$57:$BI$95),"",INDEX(Lists!$BR$4:$BR$42,MATCH(ROW()-56,$BI$57:$BI$95,0)))</f>
        <v/>
      </c>
      <c r="BK66">
        <f>BK65+IF(AND(Lists!$BW$13&lt;&gt;"",ISNUMBER(SEARCH($N$4,Lists!$BW$13))),1,0)</f>
        <v/>
      </c>
      <c r="BL66">
        <f>IF(ROW()-56&gt;MAX($BK$57:$BK$95),"",INDEX(Lists!$BW$4:$BW$42,MATCH(ROW()-56,$BK$57:$BK$95,0)))</f>
        <v/>
      </c>
      <c r="BM66">
        <f>BM65+IF(AND(Lists!$CB$13&lt;&gt;"",ISNUMBER(SEARCH($O$4,Lists!$CB$13))),1,0)</f>
        <v/>
      </c>
      <c r="BN66">
        <f>IF(ROW()-56&gt;MAX($BM$57:$BM$95),"",INDEX(Lists!$CB$4:$CB$42,MATCH(ROW()-56,$BM$57:$BM$95,0)))</f>
        <v/>
      </c>
      <c r="BO66">
        <f>BO65+IF(AND(Lists!$CG$13&lt;&gt;"",ISNUMBER(SEARCH($P$4,Lists!$CG$13))),1,0)</f>
        <v/>
      </c>
      <c r="BP66">
        <f>IF(ROW()-56&gt;MAX($BO$57:$BO$95),"",INDEX(Lists!$CG$4:$CG$42,MATCH(ROW()-56,$BO$57:$BO$95,0)))</f>
        <v/>
      </c>
      <c r="BQ66">
        <f>BQ65+IF(AND(Lists!$CL$13&lt;&gt;"",ISNUMBER(SEARCH($Q$4,Lists!$CL$13))),1,0)</f>
        <v/>
      </c>
      <c r="BR66">
        <f>IF(ROW()-56&gt;MAX($BQ$57:$BQ$95),"",INDEX(Lists!$CL$4:$CL$42,MATCH(ROW()-56,$BQ$57:$BQ$95,0)))</f>
        <v/>
      </c>
      <c r="BS66">
        <f>BS65+IF(AND(Lists!$CQ$13&lt;&gt;"",ISNUMBER(SEARCH($R$4,Lists!$CQ$13))),1,0)</f>
        <v/>
      </c>
      <c r="BT66">
        <f>IF(ROW()-56&gt;MAX($BS$57:$BS$95),"",INDEX(Lists!$CQ$4:$CQ$42,MATCH(ROW()-56,$BS$57:$BS$95,0)))</f>
        <v/>
      </c>
      <c r="BU66">
        <f>BU65+IF(AND(Lists!$CV$13&lt;&gt;"",ISNUMBER(SEARCH($S$4,Lists!$CV$13))),1,0)</f>
        <v/>
      </c>
      <c r="BV66">
        <f>IF(ROW()-56&gt;MAX($BU$57:$BU$95),"",INDEX(Lists!$CV$4:$CV$42,MATCH(ROW()-56,$BU$57:$BU$95,0)))</f>
        <v/>
      </c>
      <c r="BW66">
        <f>BW65+IF(AND(Lists!$DA$13&lt;&gt;"",ISNUMBER(SEARCH($T$4,Lists!$DA$13))),1,0)</f>
        <v/>
      </c>
      <c r="BX66">
        <f>IF(ROW()-56&gt;MAX($BW$57:$BW$95),"",INDEX(Lists!$DA$4:$DA$42,MATCH(ROW()-56,$BW$57:$BW$95,0)))</f>
        <v/>
      </c>
      <c r="BY66">
        <f>BY65+IF(AND(Lists!$DF$13&lt;&gt;"",ISNUMBER(SEARCH($U$4,Lists!$DF$13))),1,0)</f>
        <v/>
      </c>
      <c r="BZ66">
        <f>IF(ROW()-56&gt;MAX($BY$57:$BY$95),"",INDEX(Lists!$DF$4:$DF$42,MATCH(ROW()-56,$BY$57:$BY$95,0)))</f>
        <v/>
      </c>
      <c r="CA66">
        <f>CA65+IF(AND(Lists!$DK$13&lt;&gt;"",ISNUMBER(SEARCH($V$4,Lists!$DK$13))),1,0)</f>
        <v/>
      </c>
      <c r="CB66">
        <f>IF(ROW()-56&gt;MAX($CA$57:$CA$95),"",INDEX(Lists!$DK$4:$DK$42,MATCH(ROW()-56,$CA$57:$CA$95,0)))</f>
        <v/>
      </c>
      <c r="CC66">
        <f>CC65+IF(AND(Lists!$DP$13&lt;&gt;"",ISNUMBER(SEARCH($W$4,Lists!$DP$13))),1,0)</f>
        <v/>
      </c>
      <c r="CD66">
        <f>IF(ROW()-56&gt;MAX($CC$57:$CC$95),"",INDEX(Lists!$DP$4:$DP$42,MATCH(ROW()-56,$CC$57:$CC$95,0)))</f>
        <v/>
      </c>
      <c r="CE66">
        <f>CE65+IF(AND(Lists!$DU$13&lt;&gt;"",ISNUMBER(SEARCH($X$4,Lists!$DU$13))),1,0)</f>
        <v/>
      </c>
      <c r="CF66">
        <f>IF(ROW()-56&gt;MAX($CE$57:$CE$95),"",INDEX(Lists!$DU$4:$DU$42,MATCH(ROW()-56,$CE$57:$CE$95,0)))</f>
        <v/>
      </c>
      <c r="CG66">
        <f>CG65+IF(AND(Lists!$DZ$13&lt;&gt;"",ISNUMBER(SEARCH($Y$4,Lists!$DZ$13))),1,0)</f>
        <v/>
      </c>
      <c r="CH66">
        <f>IF(ROW()-56&gt;MAX($CG$57:$CG$95),"",INDEX(Lists!$DZ$4:$DZ$42,MATCH(ROW()-56,$CG$57:$CG$95,0)))</f>
        <v/>
      </c>
      <c r="CI66">
        <f>CI65+IF(AND(Lists!$EE$13&lt;&gt;"",ISNUMBER(SEARCH($Z$4,Lists!$EE$13))),1,0)</f>
        <v/>
      </c>
      <c r="CJ66">
        <f>IF(ROW()-56&gt;MAX($CI$57:$CI$95),"",INDEX(Lists!$EE$4:$EE$42,MATCH(ROW()-56,$CI$57:$CI$95,0)))</f>
        <v/>
      </c>
      <c r="CK66">
        <f>CK65+IF(AND(Lists!$EJ$13&lt;&gt;"",ISNUMBER(SEARCH($AA$4,Lists!$EJ$13))),1,0)</f>
        <v/>
      </c>
      <c r="CL66">
        <f>IF(ROW()-56&gt;MAX($CK$57:$CK$95),"",INDEX(Lists!$EJ$4:$EJ$42,MATCH(ROW()-56,$CK$57:$CK$95,0)))</f>
        <v/>
      </c>
      <c r="CM66">
        <f>CM65+IF(AND(Lists!$EO$13&lt;&gt;"",ISNUMBER(SEARCH($AB$4,Lists!$EO$13))),1,0)</f>
        <v/>
      </c>
      <c r="CN66">
        <f>IF(ROW()-56&gt;MAX($CM$57:$CM$95),"",INDEX(Lists!$EO$4:$EO$42,MATCH(ROW()-56,$CM$57:$CM$95,0)))</f>
        <v/>
      </c>
      <c r="CO66">
        <f>CO65+IF(AND(Lists!$ET$13&lt;&gt;"",ISNUMBER(SEARCH($AC$4,Lists!$ET$13))),1,0)</f>
        <v/>
      </c>
      <c r="CP66">
        <f>IF(ROW()-56&gt;MAX($CO$57:$CO$95),"",INDEX(Lists!$ET$4:$ET$42,MATCH(ROW()-56,$CO$57:$CO$95,0)))</f>
        <v/>
      </c>
      <c r="CQ66">
        <f>CQ65+IF(AND(Lists!$EY$13&lt;&gt;"",ISNUMBER(SEARCH($AD$4,Lists!$EY$13))),1,0)</f>
        <v/>
      </c>
      <c r="CR66">
        <f>IF(ROW()-56&gt;MAX($CQ$57:$CQ$95),"",INDEX(Lists!$EY$4:$EY$42,MATCH(ROW()-56,$CQ$57:$CQ$95,0)))</f>
        <v/>
      </c>
      <c r="CS66">
        <f>CS65+IF(AND(Lists!$FD$13&lt;&gt;"",ISNUMBER(SEARCH($AE$4,Lists!$FD$13))),1,0)</f>
        <v/>
      </c>
      <c r="CT66">
        <f>IF(ROW()-56&gt;MAX($CS$57:$CS$95),"",INDEX(Lists!$FD$4:$FD$42,MATCH(ROW()-56,$CS$57:$CS$95,0)))</f>
        <v/>
      </c>
      <c r="CU66">
        <f>CU65+IF(AND(Lists!$FI$13&lt;&gt;"",ISNUMBER(SEARCH($AG$4,Lists!$FI$13))),1,0)</f>
        <v/>
      </c>
      <c r="CV66">
        <f>IF(ROW()-56&gt;MAX($CU$57:$CU$95),"",INDEX(Lists!$FI$4:$FI$42,MATCH(ROW()-56,$CU$57:$CU$95,0)))</f>
        <v/>
      </c>
      <c r="CW66">
        <f>CW65+IF(AND(Lists!$FN$13&lt;&gt;"",ISNUMBER(SEARCH($AH$4,Lists!$FN$13))),1,0)</f>
        <v/>
      </c>
      <c r="CX66">
        <f>IF(ROW()-56&gt;MAX($CW$57:$CW$95),"",INDEX(Lists!$FN$4:$FN$42,MATCH(ROW()-56,$CW$57:$CW$95,0)))</f>
        <v/>
      </c>
      <c r="CY66">
        <f>CY65+IF(AND(Lists!$FS$13&lt;&gt;"",ISNUMBER(SEARCH($AI$4,Lists!$FS$13))),1,0)</f>
        <v/>
      </c>
      <c r="CZ66">
        <f>IF(ROW()-56&gt;MAX($CY$57:$CY$95),"",INDEX(Lists!$FS$4:$FS$42,MATCH(ROW()-56,$CY$57:$CY$95,0)))</f>
        <v/>
      </c>
      <c r="DA66">
        <f>DA65+IF(AND(Lists!$FX$13&lt;&gt;"",ISNUMBER(SEARCH($AF$4,Lists!$FX$13))),1,0)</f>
        <v/>
      </c>
      <c r="DB66">
        <f>IF(ROW()-56&gt;MAX($DA$57:$DA$95),"",INDEX(Lists!$FX$4:$FX$42,MATCH(ROW()-56,$DA$57:$DA$95,0)))</f>
        <v/>
      </c>
      <c r="DG66">
        <f>IF($B$4="",1,IF($B$4="(blank)",--('Final Calculation Sheet'!$F$11=""),IF($B$4="(nonblank)",--('Final Calculation Sheet'!$F$11&lt;&gt;""),--ISNUMBER(SEARCH($B$4,'Final Calculation Sheet'!$F$11)))))</f>
        <v/>
      </c>
      <c r="DH66">
        <f>IF($C$4="",1,IF($C$4="(blank)",--('Final Calculation Sheet'!$G$11=""),IF($C$4="(nonblank)",--('Final Calculation Sheet'!$G$11&lt;&gt;""),--ISNUMBER(SEARCH($C$4,'Final Calculation Sheet'!$G$11)))))</f>
        <v/>
      </c>
      <c r="DI66">
        <f>IF($D$4="",1,IF($D$4="(blank)",--('Final Calculation Sheet'!$B$11=""),IF($D$4="(nonblank)",--('Final Calculation Sheet'!$B$11&lt;&gt;""),--ISNUMBER(SEARCH($D$4,'Final Calculation Sheet'!$B$11)))))</f>
        <v/>
      </c>
      <c r="DJ66">
        <f>IF($E$4="",1,IF($E$4="(blank)",--('Final Calculation Sheet'!$D$11=""),IF($E$4="(nonblank)",--('Final Calculation Sheet'!$D$11&lt;&gt;""),--ISNUMBER(SEARCH($E$4,'Final Calculation Sheet'!$D$11)))))</f>
        <v/>
      </c>
      <c r="DK66">
        <f>IF($F$4="",1,IF($F$4="(blank)",--('Final Calculation Sheet'!$A$11=""),IF($F$4="(nonblank)",--('Final Calculation Sheet'!$A$11&lt;&gt;""),--ISNUMBER(SEARCH($F$4,'Final Calculation Sheet'!$A$11)))))</f>
        <v/>
      </c>
      <c r="DL66">
        <f>IF($G$4="",1,IF($G$4="(blank)",--('Final Calculation Sheet'!$E$11=""),IF($G$4="(nonblank)",--('Final Calculation Sheet'!$E$11&lt;&gt;""),--ISNUMBER(SEARCH($G$4,'Final Calculation Sheet'!$E$11)))))</f>
        <v/>
      </c>
      <c r="DM66">
        <f>IF($H$4="",1,IF($H$4="(blank)",--('Final Calculation Sheet'!$C$11=""),IF($H$4="(nonblank)",--('Final Calculation Sheet'!$C$11&lt;&gt;""),--ISNUMBER(SEARCH($H$4,'Final Calculation Sheet'!$C$11)))))</f>
        <v/>
      </c>
      <c r="DN66">
        <f>IF($I$4="",1,IF($I$4="(blank)",--('Final Calculation Sheet'!$H$11=""),IF($I$4="(nonblank)",--('Final Calculation Sheet'!$H$11&lt;&gt;""),--ISNUMBER(SEARCH($I$4,'Final Calculation Sheet'!$H$11)))))</f>
        <v/>
      </c>
      <c r="DO66">
        <f>IF($J$4="",1,IF($J$4="(blank)",--('Final Calculation Sheet'!$I$11=""),IF($J$4="(nonblank)",--('Final Calculation Sheet'!$I$11&lt;&gt;""),--ISNUMBER(SEARCH($J$4,'Final Calculation Sheet'!$I$11)))))</f>
        <v/>
      </c>
      <c r="DP66">
        <f>IF($K$4="",1,IF($K$4="(blank)",--('Final Calculation Sheet'!$J$11=""),IF($K$4="(nonblank)",--('Final Calculation Sheet'!$J$11&lt;&gt;""),--ISNUMBER(SEARCH($K$4,'Final Calculation Sheet'!$J$11)))))</f>
        <v/>
      </c>
      <c r="DQ66">
        <f>IF($L$4="",1,IF($L$4="(blank)",--('Final Calculation Sheet'!$K$11=""),IF($L$4="(nonblank)",--('Final Calculation Sheet'!$K$11&lt;&gt;""),--ISNUMBER(SEARCH($L$4,'Final Calculation Sheet'!$K$11)))))</f>
        <v/>
      </c>
      <c r="DR66">
        <f>IF($M$4="",1,IF($M$4="(blank)",--('Final Calculation Sheet'!$L$11=""),IF($M$4="(nonblank)",--('Final Calculation Sheet'!$L$11&lt;&gt;""),--ISNUMBER(SEARCH($M$4,'Final Calculation Sheet'!$L$11)))))</f>
        <v/>
      </c>
      <c r="DS66">
        <f>IF($N$4="",1,IF($N$4="(blank)",--('Final Calculation Sheet'!$M$11=""),IF($N$4="(nonblank)",--('Final Calculation Sheet'!$M$11&lt;&gt;""),--ISNUMBER(SEARCH($N$4,'Final Calculation Sheet'!$M$11)))))</f>
        <v/>
      </c>
      <c r="DT66">
        <f>IF($O$4="",1,IF($O$4="(blank)",--('Final Calculation Sheet'!$N$11=""),IF($O$4="(nonblank)",--('Final Calculation Sheet'!$N$11&lt;&gt;""),--ISNUMBER(SEARCH($O$4,'Final Calculation Sheet'!$N$11)))))</f>
        <v/>
      </c>
      <c r="DU66">
        <f>IF($P$4="",1,IF($P$4="(blank)",--('Final Calculation Sheet'!$O$11=""),IF($P$4="(nonblank)",--('Final Calculation Sheet'!$O$11&lt;&gt;""),--ISNUMBER(SEARCH($P$4,'Final Calculation Sheet'!$O$11)))))</f>
        <v/>
      </c>
      <c r="DV66">
        <f>IF($Q$4="",1,IF($Q$4="(blank)",--('Final Calculation Sheet'!$P$11=""),IF($Q$4="(nonblank)",--('Final Calculation Sheet'!$P$11&lt;&gt;""),--ISNUMBER(SEARCH($Q$4,'Final Calculation Sheet'!$P$11)))))</f>
        <v/>
      </c>
      <c r="DW66">
        <f>IF($R$4="",1,IF($R$4="(blank)",--('Final Calculation Sheet'!$Q$11=""),IF($R$4="(nonblank)",--('Final Calculation Sheet'!$Q$11&lt;&gt;""),--ISNUMBER(SEARCH($R$4,'Final Calculation Sheet'!$Q$11)))))</f>
        <v/>
      </c>
      <c r="DX66">
        <f>IF($S$4="",1,IF($S$4="(blank)",--('Final Calculation Sheet'!$R$11=""),IF($S$4="(nonblank)",--('Final Calculation Sheet'!$R$11&lt;&gt;""),--ISNUMBER(SEARCH($S$4,'Final Calculation Sheet'!$R$11)))))</f>
        <v/>
      </c>
      <c r="DY66">
        <f>IF($T$4="",1,IF($T$4="(blank)",--('Final Calculation Sheet'!$S$11=""),IF($T$4="(nonblank)",--('Final Calculation Sheet'!$S$11&lt;&gt;""),--ISNUMBER(SEARCH($T$4,'Final Calculation Sheet'!$S$11)))))</f>
        <v/>
      </c>
      <c r="DZ66">
        <f>IF($U$4="",1,IF($U$4="(blank)",--('Final Calculation Sheet'!$T$11=""),IF($U$4="(nonblank)",--('Final Calculation Sheet'!$T$11&lt;&gt;""),--ISNUMBER(SEARCH($U$4,'Final Calculation Sheet'!$T$11)))))</f>
        <v/>
      </c>
      <c r="EA66">
        <f>IF($V$4="",1,IF($V$4="(blank)",--('Final Calculation Sheet'!$U$11=""),IF($V$4="(nonblank)",--('Final Calculation Sheet'!$U$11&lt;&gt;""),--ISNUMBER(SEARCH($V$4,'Final Calculation Sheet'!$U$11)))))</f>
        <v/>
      </c>
      <c r="EB66">
        <f>IF($W$4="",1,IF($W$4="(blank)",--('Final Calculation Sheet'!$V$11=""),IF($W$4="(nonblank)",--('Final Calculation Sheet'!$V$11&lt;&gt;""),--ISNUMBER(SEARCH($W$4,'Final Calculation Sheet'!$V$11)))))</f>
        <v/>
      </c>
      <c r="EC66">
        <f>IF($X$4="",1,IF($X$4="(blank)",--('Final Calculation Sheet'!$W$11=""),IF($X$4="(nonblank)",--('Final Calculation Sheet'!$W$11&lt;&gt;""),--ISNUMBER(SEARCH($X$4,'Final Calculation Sheet'!$W$11)))))</f>
        <v/>
      </c>
      <c r="ED66">
        <f>IF($Y$4="",1,IF($Y$4="(blank)",--('Final Calculation Sheet'!$X$11=""),IF($Y$4="(nonblank)",--('Final Calculation Sheet'!$X$11&lt;&gt;""),--ISNUMBER(SEARCH($Y$4,'Final Calculation Sheet'!$X$11)))))</f>
        <v/>
      </c>
      <c r="EE66">
        <f>IF($Z$4="",1,IF($Z$4="(blank)",--('Final Calculation Sheet'!$Y$11=""),IF($Z$4="(nonblank)",--('Final Calculation Sheet'!$Y$11&lt;&gt;""),--ISNUMBER(SEARCH($Z$4,'Final Calculation Sheet'!$Y$11)))))</f>
        <v/>
      </c>
      <c r="EF66">
        <f>IF($AA$4="",1,IF($AA$4="(blank)",--('Final Calculation Sheet'!$Z$11=""),IF($AA$4="(nonblank)",--('Final Calculation Sheet'!$Z$11&lt;&gt;""),--ISNUMBER(SEARCH($AA$4,'Final Calculation Sheet'!$Z$11)))))</f>
        <v/>
      </c>
      <c r="EG66">
        <f>IF($AB$4="",1,IF($AB$4="(blank)",--('Final Calculation Sheet'!$AA$11=""),IF($AB$4="(nonblank)",--('Final Calculation Sheet'!$AA$11&lt;&gt;""),--ISNUMBER(SEARCH($AB$4,'Final Calculation Sheet'!$AA$11)))))</f>
        <v/>
      </c>
      <c r="EH66">
        <f>IF($AC$4="",1,IF($AC$4="(blank)",--('Final Calculation Sheet'!$AB$11=""),IF($AC$4="(nonblank)",--('Final Calculation Sheet'!$AB$11&lt;&gt;""),--ISNUMBER(SEARCH($AC$4,'Final Calculation Sheet'!$AB$11)))))</f>
        <v/>
      </c>
      <c r="EI66">
        <f>IF($AD$4="",1,IF($AD$4="(blank)",--('Final Calculation Sheet'!$AC$11=""),IF($AD$4="(nonblank)",--('Final Calculation Sheet'!$AC$11&lt;&gt;""),--ISNUMBER(SEARCH($AD$4,'Final Calculation Sheet'!$AC$11)))))</f>
        <v/>
      </c>
      <c r="EJ66">
        <f>IF($AE$4="",1,IF($AE$4="(blank)",--('Final Calculation Sheet'!$AD$11=""),IF($AE$4="(nonblank)",--('Final Calculation Sheet'!$AD$11&lt;&gt;""),--ISNUMBER(SEARCH($AE$4,'Final Calculation Sheet'!$AD$11)))))</f>
        <v/>
      </c>
      <c r="EK66">
        <f>IF($AF$4="",1,IF($AF$4="(blank)",--(IF('Final Calculation Sheet'!$AD$11&lt;=5,"SETTLED","OUTSTANDING")=""),IF($AF$4="(nonblank)",--(IF('Final Calculation Sheet'!$AD$11&lt;=5,"SETTLED","OUTSTANDING")&lt;&gt;""),--ISNUMBER(SEARCH($AF$4,IF('Final Calculation Sheet'!$AD$11&lt;=5,"SETTLED","OUTSTANDING"))))))</f>
        <v/>
      </c>
      <c r="EL66">
        <f>IF($AG$4="",1,IF($AG$4="(blank)",--('Final Calculation Sheet'!$AF$11=""),IF($AG$4="(nonblank)",--('Final Calculation Sheet'!$AF$11&lt;&gt;""),--ISNUMBER(SEARCH($AG$4,'Final Calculation Sheet'!$AF$11)))))</f>
        <v/>
      </c>
      <c r="EM66">
        <f>IF($AH$4="",1,IF($AH$4="(blank)",--('Final Calculation Sheet'!$AG$11=""),IF($AH$4="(nonblank)",--('Final Calculation Sheet'!$AG$11&lt;&gt;""),--ISNUMBER(SEARCH($AH$4,'Final Calculation Sheet'!$AG$11)))))</f>
        <v/>
      </c>
      <c r="EN66">
        <f>IF($AI$4="",1,IF($AI$4="(blank)",--('Final Calculation Sheet'!$AH$11=""),IF($AI$4="(nonblank)",--('Final Calculation Sheet'!$AH$11&lt;&gt;""),--ISNUMBER(SEARCH($AI$4,'Final Calculation Sheet'!$AH$11)))))</f>
        <v/>
      </c>
    </row>
    <row r="67">
      <c r="AM67">
        <f>AM66+IF(AND(Lists!$O$14&lt;&gt;"",ISNUMBER(SEARCH($B$4,Lists!$O$14))),1,0)</f>
        <v/>
      </c>
      <c r="AN67">
        <f>IF(ROW()-56&gt;MAX($AM$57:$AM$95),"",INDEX(Lists!$O$4:$O$42,MATCH(ROW()-56,$AM$57:$AM$95,0)))</f>
        <v/>
      </c>
      <c r="AO67">
        <f>AO66+IF(AND(Lists!$T$14&lt;&gt;"",ISNUMBER(SEARCH($C$4,Lists!$T$14))),1,0)</f>
        <v/>
      </c>
      <c r="AP67">
        <f>IF(ROW()-56&gt;MAX($AO$57:$AO$95),"",INDEX(Lists!$T$4:$T$42,MATCH(ROW()-56,$AO$57:$AO$95,0)))</f>
        <v/>
      </c>
      <c r="AQ67">
        <f>AQ66+IF(AND(Lists!$Y$14&lt;&gt;"",ISNUMBER(SEARCH($D$4,Lists!$Y$14))),1,0)</f>
        <v/>
      </c>
      <c r="AR67">
        <f>IF(ROW()-56&gt;MAX($AQ$57:$AQ$95),"",INDEX(Lists!$Y$4:$Y$42,MATCH(ROW()-56,$AQ$57:$AQ$95,0)))</f>
        <v/>
      </c>
      <c r="AS67">
        <f>AS66+IF(AND(Lists!$AD$14&lt;&gt;"",ISNUMBER(SEARCH($E$4,Lists!$AD$14))),1,0)</f>
        <v/>
      </c>
      <c r="AT67">
        <f>IF(ROW()-56&gt;MAX($AS$57:$AS$95),"",INDEX(Lists!$AD$4:$AD$42,MATCH(ROW()-56,$AS$57:$AS$95,0)))</f>
        <v/>
      </c>
      <c r="AU67">
        <f>AU66+IF(AND(Lists!$AI$14&lt;&gt;"",ISNUMBER(SEARCH($F$4,Lists!$AI$14))),1,0)</f>
        <v/>
      </c>
      <c r="AV67">
        <f>IF(ROW()-56&gt;MAX($AU$57:$AU$95),"",INDEX(Lists!$AI$4:$AI$42,MATCH(ROW()-56,$AU$57:$AU$95,0)))</f>
        <v/>
      </c>
      <c r="AW67">
        <f>AW66+IF(AND(Lists!$AN$14&lt;&gt;"",ISNUMBER(SEARCH($G$4,Lists!$AN$14))),1,0)</f>
        <v/>
      </c>
      <c r="AX67">
        <f>IF(ROW()-56&gt;MAX($AW$57:$AW$95),"",INDEX(Lists!$AN$4:$AN$42,MATCH(ROW()-56,$AW$57:$AW$95,0)))</f>
        <v/>
      </c>
      <c r="AY67">
        <f>AY66+IF(AND(Lists!$AS$14&lt;&gt;"",ISNUMBER(SEARCH($H$4,Lists!$AS$14))),1,0)</f>
        <v/>
      </c>
      <c r="AZ67">
        <f>IF(ROW()-56&gt;MAX($AY$57:$AY$95),"",INDEX(Lists!$AS$4:$AS$42,MATCH(ROW()-56,$AY$57:$AY$95,0)))</f>
        <v/>
      </c>
      <c r="BA67">
        <f>BA66+IF(AND(Lists!$AX$14&lt;&gt;"",ISNUMBER(SEARCH($I$4,Lists!$AX$14))),1,0)</f>
        <v/>
      </c>
      <c r="BB67">
        <f>IF(ROW()-56&gt;MAX($BA$57:$BA$95),"",INDEX(Lists!$AX$4:$AX$42,MATCH(ROW()-56,$BA$57:$BA$95,0)))</f>
        <v/>
      </c>
      <c r="BC67">
        <f>BC66+IF(AND(Lists!$BC$14&lt;&gt;"",ISNUMBER(SEARCH($J$4,Lists!$BC$14))),1,0)</f>
        <v/>
      </c>
      <c r="BD67">
        <f>IF(ROW()-56&gt;MAX($BC$57:$BC$95),"",INDEX(Lists!$BC$4:$BC$42,MATCH(ROW()-56,$BC$57:$BC$95,0)))</f>
        <v/>
      </c>
      <c r="BE67">
        <f>BE66+IF(AND(Lists!$BH$14&lt;&gt;"",ISNUMBER(SEARCH($K$4,Lists!$BH$14))),1,0)</f>
        <v/>
      </c>
      <c r="BF67">
        <f>IF(ROW()-56&gt;MAX($BE$57:$BE$95),"",INDEX(Lists!$BH$4:$BH$42,MATCH(ROW()-56,$BE$57:$BE$95,0)))</f>
        <v/>
      </c>
      <c r="BG67">
        <f>BG66+IF(AND(Lists!$BM$14&lt;&gt;"",ISNUMBER(SEARCH($L$4,Lists!$BM$14))),1,0)</f>
        <v/>
      </c>
      <c r="BH67">
        <f>IF(ROW()-56&gt;MAX($BG$57:$BG$95),"",INDEX(Lists!$BM$4:$BM$42,MATCH(ROW()-56,$BG$57:$BG$95,0)))</f>
        <v/>
      </c>
      <c r="BI67">
        <f>BI66+IF(AND(Lists!$BR$14&lt;&gt;"",ISNUMBER(SEARCH($M$4,Lists!$BR$14))),1,0)</f>
        <v/>
      </c>
      <c r="BJ67">
        <f>IF(ROW()-56&gt;MAX($BI$57:$BI$95),"",INDEX(Lists!$BR$4:$BR$42,MATCH(ROW()-56,$BI$57:$BI$95,0)))</f>
        <v/>
      </c>
      <c r="BK67">
        <f>BK66+IF(AND(Lists!$BW$14&lt;&gt;"",ISNUMBER(SEARCH($N$4,Lists!$BW$14))),1,0)</f>
        <v/>
      </c>
      <c r="BL67">
        <f>IF(ROW()-56&gt;MAX($BK$57:$BK$95),"",INDEX(Lists!$BW$4:$BW$42,MATCH(ROW()-56,$BK$57:$BK$95,0)))</f>
        <v/>
      </c>
      <c r="BM67">
        <f>BM66+IF(AND(Lists!$CB$14&lt;&gt;"",ISNUMBER(SEARCH($O$4,Lists!$CB$14))),1,0)</f>
        <v/>
      </c>
      <c r="BN67">
        <f>IF(ROW()-56&gt;MAX($BM$57:$BM$95),"",INDEX(Lists!$CB$4:$CB$42,MATCH(ROW()-56,$BM$57:$BM$95,0)))</f>
        <v/>
      </c>
      <c r="BO67">
        <f>BO66+IF(AND(Lists!$CG$14&lt;&gt;"",ISNUMBER(SEARCH($P$4,Lists!$CG$14))),1,0)</f>
        <v/>
      </c>
      <c r="BP67">
        <f>IF(ROW()-56&gt;MAX($BO$57:$BO$95),"",INDEX(Lists!$CG$4:$CG$42,MATCH(ROW()-56,$BO$57:$BO$95,0)))</f>
        <v/>
      </c>
      <c r="BQ67">
        <f>BQ66+IF(AND(Lists!$CL$14&lt;&gt;"",ISNUMBER(SEARCH($Q$4,Lists!$CL$14))),1,0)</f>
        <v/>
      </c>
      <c r="BR67">
        <f>IF(ROW()-56&gt;MAX($BQ$57:$BQ$95),"",INDEX(Lists!$CL$4:$CL$42,MATCH(ROW()-56,$BQ$57:$BQ$95,0)))</f>
        <v/>
      </c>
      <c r="BS67">
        <f>BS66+IF(AND(Lists!$CQ$14&lt;&gt;"",ISNUMBER(SEARCH($R$4,Lists!$CQ$14))),1,0)</f>
        <v/>
      </c>
      <c r="BT67">
        <f>IF(ROW()-56&gt;MAX($BS$57:$BS$95),"",INDEX(Lists!$CQ$4:$CQ$42,MATCH(ROW()-56,$BS$57:$BS$95,0)))</f>
        <v/>
      </c>
      <c r="BU67">
        <f>BU66+IF(AND(Lists!$CV$14&lt;&gt;"",ISNUMBER(SEARCH($S$4,Lists!$CV$14))),1,0)</f>
        <v/>
      </c>
      <c r="BV67">
        <f>IF(ROW()-56&gt;MAX($BU$57:$BU$95),"",INDEX(Lists!$CV$4:$CV$42,MATCH(ROW()-56,$BU$57:$BU$95,0)))</f>
        <v/>
      </c>
      <c r="BW67">
        <f>BW66+IF(AND(Lists!$DA$14&lt;&gt;"",ISNUMBER(SEARCH($T$4,Lists!$DA$14))),1,0)</f>
        <v/>
      </c>
      <c r="BX67">
        <f>IF(ROW()-56&gt;MAX($BW$57:$BW$95),"",INDEX(Lists!$DA$4:$DA$42,MATCH(ROW()-56,$BW$57:$BW$95,0)))</f>
        <v/>
      </c>
      <c r="BY67">
        <f>BY66+IF(AND(Lists!$DF$14&lt;&gt;"",ISNUMBER(SEARCH($U$4,Lists!$DF$14))),1,0)</f>
        <v/>
      </c>
      <c r="BZ67">
        <f>IF(ROW()-56&gt;MAX($BY$57:$BY$95),"",INDEX(Lists!$DF$4:$DF$42,MATCH(ROW()-56,$BY$57:$BY$95,0)))</f>
        <v/>
      </c>
      <c r="CA67">
        <f>CA66+IF(AND(Lists!$DK$14&lt;&gt;"",ISNUMBER(SEARCH($V$4,Lists!$DK$14))),1,0)</f>
        <v/>
      </c>
      <c r="CB67">
        <f>IF(ROW()-56&gt;MAX($CA$57:$CA$95),"",INDEX(Lists!$DK$4:$DK$42,MATCH(ROW()-56,$CA$57:$CA$95,0)))</f>
        <v/>
      </c>
      <c r="CC67">
        <f>CC66+IF(AND(Lists!$DP$14&lt;&gt;"",ISNUMBER(SEARCH($W$4,Lists!$DP$14))),1,0)</f>
        <v/>
      </c>
      <c r="CD67">
        <f>IF(ROW()-56&gt;MAX($CC$57:$CC$95),"",INDEX(Lists!$DP$4:$DP$42,MATCH(ROW()-56,$CC$57:$CC$95,0)))</f>
        <v/>
      </c>
      <c r="CE67">
        <f>CE66+IF(AND(Lists!$DU$14&lt;&gt;"",ISNUMBER(SEARCH($X$4,Lists!$DU$14))),1,0)</f>
        <v/>
      </c>
      <c r="CF67">
        <f>IF(ROW()-56&gt;MAX($CE$57:$CE$95),"",INDEX(Lists!$DU$4:$DU$42,MATCH(ROW()-56,$CE$57:$CE$95,0)))</f>
        <v/>
      </c>
      <c r="CG67">
        <f>CG66+IF(AND(Lists!$DZ$14&lt;&gt;"",ISNUMBER(SEARCH($Y$4,Lists!$DZ$14))),1,0)</f>
        <v/>
      </c>
      <c r="CH67">
        <f>IF(ROW()-56&gt;MAX($CG$57:$CG$95),"",INDEX(Lists!$DZ$4:$DZ$42,MATCH(ROW()-56,$CG$57:$CG$95,0)))</f>
        <v/>
      </c>
      <c r="CI67">
        <f>CI66+IF(AND(Lists!$EE$14&lt;&gt;"",ISNUMBER(SEARCH($Z$4,Lists!$EE$14))),1,0)</f>
        <v/>
      </c>
      <c r="CJ67">
        <f>IF(ROW()-56&gt;MAX($CI$57:$CI$95),"",INDEX(Lists!$EE$4:$EE$42,MATCH(ROW()-56,$CI$57:$CI$95,0)))</f>
        <v/>
      </c>
      <c r="CK67">
        <f>CK66+IF(AND(Lists!$EJ$14&lt;&gt;"",ISNUMBER(SEARCH($AA$4,Lists!$EJ$14))),1,0)</f>
        <v/>
      </c>
      <c r="CL67">
        <f>IF(ROW()-56&gt;MAX($CK$57:$CK$95),"",INDEX(Lists!$EJ$4:$EJ$42,MATCH(ROW()-56,$CK$57:$CK$95,0)))</f>
        <v/>
      </c>
      <c r="CM67">
        <f>CM66+IF(AND(Lists!$EO$14&lt;&gt;"",ISNUMBER(SEARCH($AB$4,Lists!$EO$14))),1,0)</f>
        <v/>
      </c>
      <c r="CN67">
        <f>IF(ROW()-56&gt;MAX($CM$57:$CM$95),"",INDEX(Lists!$EO$4:$EO$42,MATCH(ROW()-56,$CM$57:$CM$95,0)))</f>
        <v/>
      </c>
      <c r="CO67">
        <f>CO66+IF(AND(Lists!$ET$14&lt;&gt;"",ISNUMBER(SEARCH($AC$4,Lists!$ET$14))),1,0)</f>
        <v/>
      </c>
      <c r="CP67">
        <f>IF(ROW()-56&gt;MAX($CO$57:$CO$95),"",INDEX(Lists!$ET$4:$ET$42,MATCH(ROW()-56,$CO$57:$CO$95,0)))</f>
        <v/>
      </c>
      <c r="CQ67">
        <f>CQ66+IF(AND(Lists!$EY$14&lt;&gt;"",ISNUMBER(SEARCH($AD$4,Lists!$EY$14))),1,0)</f>
        <v/>
      </c>
      <c r="CR67">
        <f>IF(ROW()-56&gt;MAX($CQ$57:$CQ$95),"",INDEX(Lists!$EY$4:$EY$42,MATCH(ROW()-56,$CQ$57:$CQ$95,0)))</f>
        <v/>
      </c>
      <c r="CS67">
        <f>CS66+IF(AND(Lists!$FD$14&lt;&gt;"",ISNUMBER(SEARCH($AE$4,Lists!$FD$14))),1,0)</f>
        <v/>
      </c>
      <c r="CT67">
        <f>IF(ROW()-56&gt;MAX($CS$57:$CS$95),"",INDEX(Lists!$FD$4:$FD$42,MATCH(ROW()-56,$CS$57:$CS$95,0)))</f>
        <v/>
      </c>
      <c r="CU67">
        <f>CU66+IF(AND(Lists!$FI$14&lt;&gt;"",ISNUMBER(SEARCH($AG$4,Lists!$FI$14))),1,0)</f>
        <v/>
      </c>
      <c r="CV67">
        <f>IF(ROW()-56&gt;MAX($CU$57:$CU$95),"",INDEX(Lists!$FI$4:$FI$42,MATCH(ROW()-56,$CU$57:$CU$95,0)))</f>
        <v/>
      </c>
      <c r="CW67">
        <f>CW66+IF(AND(Lists!$FN$14&lt;&gt;"",ISNUMBER(SEARCH($AH$4,Lists!$FN$14))),1,0)</f>
        <v/>
      </c>
      <c r="CX67">
        <f>IF(ROW()-56&gt;MAX($CW$57:$CW$95),"",INDEX(Lists!$FN$4:$FN$42,MATCH(ROW()-56,$CW$57:$CW$95,0)))</f>
        <v/>
      </c>
      <c r="CY67">
        <f>CY66+IF(AND(Lists!$FS$14&lt;&gt;"",ISNUMBER(SEARCH($AI$4,Lists!$FS$14))),1,0)</f>
        <v/>
      </c>
      <c r="CZ67">
        <f>IF(ROW()-56&gt;MAX($CY$57:$CY$95),"",INDEX(Lists!$FS$4:$FS$42,MATCH(ROW()-56,$CY$57:$CY$95,0)))</f>
        <v/>
      </c>
      <c r="DA67">
        <f>DA66+IF(AND(Lists!$FX$14&lt;&gt;"",ISNUMBER(SEARCH($AF$4,Lists!$FX$14))),1,0)</f>
        <v/>
      </c>
      <c r="DB67">
        <f>IF(ROW()-56&gt;MAX($DA$57:$DA$95),"",INDEX(Lists!$FX$4:$FX$42,MATCH(ROW()-56,$DA$57:$DA$95,0)))</f>
        <v/>
      </c>
      <c r="DG67">
        <f>IF($B$4="",1,IF($B$4="(blank)",--('Final Calculation Sheet'!$F$12=""),IF($B$4="(nonblank)",--('Final Calculation Sheet'!$F$12&lt;&gt;""),--ISNUMBER(SEARCH($B$4,'Final Calculation Sheet'!$F$12)))))</f>
        <v/>
      </c>
      <c r="DH67">
        <f>IF($C$4="",1,IF($C$4="(blank)",--('Final Calculation Sheet'!$G$12=""),IF($C$4="(nonblank)",--('Final Calculation Sheet'!$G$12&lt;&gt;""),--ISNUMBER(SEARCH($C$4,'Final Calculation Sheet'!$G$12)))))</f>
        <v/>
      </c>
      <c r="DI67">
        <f>IF($D$4="",1,IF($D$4="(blank)",--('Final Calculation Sheet'!$B$12=""),IF($D$4="(nonblank)",--('Final Calculation Sheet'!$B$12&lt;&gt;""),--ISNUMBER(SEARCH($D$4,'Final Calculation Sheet'!$B$12)))))</f>
        <v/>
      </c>
      <c r="DJ67">
        <f>IF($E$4="",1,IF($E$4="(blank)",--('Final Calculation Sheet'!$D$12=""),IF($E$4="(nonblank)",--('Final Calculation Sheet'!$D$12&lt;&gt;""),--ISNUMBER(SEARCH($E$4,'Final Calculation Sheet'!$D$12)))))</f>
        <v/>
      </c>
      <c r="DK67">
        <f>IF($F$4="",1,IF($F$4="(blank)",--('Final Calculation Sheet'!$A$12=""),IF($F$4="(nonblank)",--('Final Calculation Sheet'!$A$12&lt;&gt;""),--ISNUMBER(SEARCH($F$4,'Final Calculation Sheet'!$A$12)))))</f>
        <v/>
      </c>
      <c r="DL67">
        <f>IF($G$4="",1,IF($G$4="(blank)",--('Final Calculation Sheet'!$E$12=""),IF($G$4="(nonblank)",--('Final Calculation Sheet'!$E$12&lt;&gt;""),--ISNUMBER(SEARCH($G$4,'Final Calculation Sheet'!$E$12)))))</f>
        <v/>
      </c>
      <c r="DM67">
        <f>IF($H$4="",1,IF($H$4="(blank)",--('Final Calculation Sheet'!$C$12=""),IF($H$4="(nonblank)",--('Final Calculation Sheet'!$C$12&lt;&gt;""),--ISNUMBER(SEARCH($H$4,'Final Calculation Sheet'!$C$12)))))</f>
        <v/>
      </c>
      <c r="DN67">
        <f>IF($I$4="",1,IF($I$4="(blank)",--('Final Calculation Sheet'!$H$12=""),IF($I$4="(nonblank)",--('Final Calculation Sheet'!$H$12&lt;&gt;""),--ISNUMBER(SEARCH($I$4,'Final Calculation Sheet'!$H$12)))))</f>
        <v/>
      </c>
      <c r="DO67">
        <f>IF($J$4="",1,IF($J$4="(blank)",--('Final Calculation Sheet'!$I$12=""),IF($J$4="(nonblank)",--('Final Calculation Sheet'!$I$12&lt;&gt;""),--ISNUMBER(SEARCH($J$4,'Final Calculation Sheet'!$I$12)))))</f>
        <v/>
      </c>
      <c r="DP67">
        <f>IF($K$4="",1,IF($K$4="(blank)",--('Final Calculation Sheet'!$J$12=""),IF($K$4="(nonblank)",--('Final Calculation Sheet'!$J$12&lt;&gt;""),--ISNUMBER(SEARCH($K$4,'Final Calculation Sheet'!$J$12)))))</f>
        <v/>
      </c>
      <c r="DQ67">
        <f>IF($L$4="",1,IF($L$4="(blank)",--('Final Calculation Sheet'!$K$12=""),IF($L$4="(nonblank)",--('Final Calculation Sheet'!$K$12&lt;&gt;""),--ISNUMBER(SEARCH($L$4,'Final Calculation Sheet'!$K$12)))))</f>
        <v/>
      </c>
      <c r="DR67">
        <f>IF($M$4="",1,IF($M$4="(blank)",--('Final Calculation Sheet'!$L$12=""),IF($M$4="(nonblank)",--('Final Calculation Sheet'!$L$12&lt;&gt;""),--ISNUMBER(SEARCH($M$4,'Final Calculation Sheet'!$L$12)))))</f>
        <v/>
      </c>
      <c r="DS67">
        <f>IF($N$4="",1,IF($N$4="(blank)",--('Final Calculation Sheet'!$M$12=""),IF($N$4="(nonblank)",--('Final Calculation Sheet'!$M$12&lt;&gt;""),--ISNUMBER(SEARCH($N$4,'Final Calculation Sheet'!$M$12)))))</f>
        <v/>
      </c>
      <c r="DT67">
        <f>IF($O$4="",1,IF($O$4="(blank)",--('Final Calculation Sheet'!$N$12=""),IF($O$4="(nonblank)",--('Final Calculation Sheet'!$N$12&lt;&gt;""),--ISNUMBER(SEARCH($O$4,'Final Calculation Sheet'!$N$12)))))</f>
        <v/>
      </c>
      <c r="DU67">
        <f>IF($P$4="",1,IF($P$4="(blank)",--('Final Calculation Sheet'!$O$12=""),IF($P$4="(nonblank)",--('Final Calculation Sheet'!$O$12&lt;&gt;""),--ISNUMBER(SEARCH($P$4,'Final Calculation Sheet'!$O$12)))))</f>
        <v/>
      </c>
      <c r="DV67">
        <f>IF($Q$4="",1,IF($Q$4="(blank)",--('Final Calculation Sheet'!$P$12=""),IF($Q$4="(nonblank)",--('Final Calculation Sheet'!$P$12&lt;&gt;""),--ISNUMBER(SEARCH($Q$4,'Final Calculation Sheet'!$P$12)))))</f>
        <v/>
      </c>
      <c r="DW67">
        <f>IF($R$4="",1,IF($R$4="(blank)",--('Final Calculation Sheet'!$Q$12=""),IF($R$4="(nonblank)",--('Final Calculation Sheet'!$Q$12&lt;&gt;""),--ISNUMBER(SEARCH($R$4,'Final Calculation Sheet'!$Q$12)))))</f>
        <v/>
      </c>
      <c r="DX67">
        <f>IF($S$4="",1,IF($S$4="(blank)",--('Final Calculation Sheet'!$R$12=""),IF($S$4="(nonblank)",--('Final Calculation Sheet'!$R$12&lt;&gt;""),--ISNUMBER(SEARCH($S$4,'Final Calculation Sheet'!$R$12)))))</f>
        <v/>
      </c>
      <c r="DY67">
        <f>IF($T$4="",1,IF($T$4="(blank)",--('Final Calculation Sheet'!$S$12=""),IF($T$4="(nonblank)",--('Final Calculation Sheet'!$S$12&lt;&gt;""),--ISNUMBER(SEARCH($T$4,'Final Calculation Sheet'!$S$12)))))</f>
        <v/>
      </c>
      <c r="DZ67">
        <f>IF($U$4="",1,IF($U$4="(blank)",--('Final Calculation Sheet'!$T$12=""),IF($U$4="(nonblank)",--('Final Calculation Sheet'!$T$12&lt;&gt;""),--ISNUMBER(SEARCH($U$4,'Final Calculation Sheet'!$T$12)))))</f>
        <v/>
      </c>
      <c r="EA67">
        <f>IF($V$4="",1,IF($V$4="(blank)",--('Final Calculation Sheet'!$U$12=""),IF($V$4="(nonblank)",--('Final Calculation Sheet'!$U$12&lt;&gt;""),--ISNUMBER(SEARCH($V$4,'Final Calculation Sheet'!$U$12)))))</f>
        <v/>
      </c>
      <c r="EB67">
        <f>IF($W$4="",1,IF($W$4="(blank)",--('Final Calculation Sheet'!$V$12=""),IF($W$4="(nonblank)",--('Final Calculation Sheet'!$V$12&lt;&gt;""),--ISNUMBER(SEARCH($W$4,'Final Calculation Sheet'!$V$12)))))</f>
        <v/>
      </c>
      <c r="EC67">
        <f>IF($X$4="",1,IF($X$4="(blank)",--('Final Calculation Sheet'!$W$12=""),IF($X$4="(nonblank)",--('Final Calculation Sheet'!$W$12&lt;&gt;""),--ISNUMBER(SEARCH($X$4,'Final Calculation Sheet'!$W$12)))))</f>
        <v/>
      </c>
      <c r="ED67">
        <f>IF($Y$4="",1,IF($Y$4="(blank)",--('Final Calculation Sheet'!$X$12=""),IF($Y$4="(nonblank)",--('Final Calculation Sheet'!$X$12&lt;&gt;""),--ISNUMBER(SEARCH($Y$4,'Final Calculation Sheet'!$X$12)))))</f>
        <v/>
      </c>
      <c r="EE67">
        <f>IF($Z$4="",1,IF($Z$4="(blank)",--('Final Calculation Sheet'!$Y$12=""),IF($Z$4="(nonblank)",--('Final Calculation Sheet'!$Y$12&lt;&gt;""),--ISNUMBER(SEARCH($Z$4,'Final Calculation Sheet'!$Y$12)))))</f>
        <v/>
      </c>
      <c r="EF67">
        <f>IF($AA$4="",1,IF($AA$4="(blank)",--('Final Calculation Sheet'!$Z$12=""),IF($AA$4="(nonblank)",--('Final Calculation Sheet'!$Z$12&lt;&gt;""),--ISNUMBER(SEARCH($AA$4,'Final Calculation Sheet'!$Z$12)))))</f>
        <v/>
      </c>
      <c r="EG67">
        <f>IF($AB$4="",1,IF($AB$4="(blank)",--('Final Calculation Sheet'!$AA$12=""),IF($AB$4="(nonblank)",--('Final Calculation Sheet'!$AA$12&lt;&gt;""),--ISNUMBER(SEARCH($AB$4,'Final Calculation Sheet'!$AA$12)))))</f>
        <v/>
      </c>
      <c r="EH67">
        <f>IF($AC$4="",1,IF($AC$4="(blank)",--('Final Calculation Sheet'!$AB$12=""),IF($AC$4="(nonblank)",--('Final Calculation Sheet'!$AB$12&lt;&gt;""),--ISNUMBER(SEARCH($AC$4,'Final Calculation Sheet'!$AB$12)))))</f>
        <v/>
      </c>
      <c r="EI67">
        <f>IF($AD$4="",1,IF($AD$4="(blank)",--('Final Calculation Sheet'!$AC$12=""),IF($AD$4="(nonblank)",--('Final Calculation Sheet'!$AC$12&lt;&gt;""),--ISNUMBER(SEARCH($AD$4,'Final Calculation Sheet'!$AC$12)))))</f>
        <v/>
      </c>
      <c r="EJ67">
        <f>IF($AE$4="",1,IF($AE$4="(blank)",--('Final Calculation Sheet'!$AD$12=""),IF($AE$4="(nonblank)",--('Final Calculation Sheet'!$AD$12&lt;&gt;""),--ISNUMBER(SEARCH($AE$4,'Final Calculation Sheet'!$AD$12)))))</f>
        <v/>
      </c>
      <c r="EK67">
        <f>IF($AF$4="",1,IF($AF$4="(blank)",--(IF('Final Calculation Sheet'!$AD$12&lt;=5,"SETTLED","OUTSTANDING")=""),IF($AF$4="(nonblank)",--(IF('Final Calculation Sheet'!$AD$12&lt;=5,"SETTLED","OUTSTANDING")&lt;&gt;""),--ISNUMBER(SEARCH($AF$4,IF('Final Calculation Sheet'!$AD$12&lt;=5,"SETTLED","OUTSTANDING"))))))</f>
        <v/>
      </c>
      <c r="EL67">
        <f>IF($AG$4="",1,IF($AG$4="(blank)",--('Final Calculation Sheet'!$AF$12=""),IF($AG$4="(nonblank)",--('Final Calculation Sheet'!$AF$12&lt;&gt;""),--ISNUMBER(SEARCH($AG$4,'Final Calculation Sheet'!$AF$12)))))</f>
        <v/>
      </c>
      <c r="EM67">
        <f>IF($AH$4="",1,IF($AH$4="(blank)",--('Final Calculation Sheet'!$AG$12=""),IF($AH$4="(nonblank)",--('Final Calculation Sheet'!$AG$12&lt;&gt;""),--ISNUMBER(SEARCH($AH$4,'Final Calculation Sheet'!$AG$12)))))</f>
        <v/>
      </c>
      <c r="EN67">
        <f>IF($AI$4="",1,IF($AI$4="(blank)",--('Final Calculation Sheet'!$AH$12=""),IF($AI$4="(nonblank)",--('Final Calculation Sheet'!$AH$12&lt;&gt;""),--ISNUMBER(SEARCH($AI$4,'Final Calculation Sheet'!$AH$12)))))</f>
        <v/>
      </c>
    </row>
    <row r="68">
      <c r="AM68">
        <f>AM67+IF(AND(Lists!$O$15&lt;&gt;"",ISNUMBER(SEARCH($B$4,Lists!$O$15))),1,0)</f>
        <v/>
      </c>
      <c r="AN68">
        <f>IF(ROW()-56&gt;MAX($AM$57:$AM$95),"",INDEX(Lists!$O$4:$O$42,MATCH(ROW()-56,$AM$57:$AM$95,0)))</f>
        <v/>
      </c>
      <c r="AO68">
        <f>AO67+IF(AND(Lists!$T$15&lt;&gt;"",ISNUMBER(SEARCH($C$4,Lists!$T$15))),1,0)</f>
        <v/>
      </c>
      <c r="AP68">
        <f>IF(ROW()-56&gt;MAX($AO$57:$AO$95),"",INDEX(Lists!$T$4:$T$42,MATCH(ROW()-56,$AO$57:$AO$95,0)))</f>
        <v/>
      </c>
      <c r="AQ68">
        <f>AQ67+IF(AND(Lists!$Y$15&lt;&gt;"",ISNUMBER(SEARCH($D$4,Lists!$Y$15))),1,0)</f>
        <v/>
      </c>
      <c r="AR68">
        <f>IF(ROW()-56&gt;MAX($AQ$57:$AQ$95),"",INDEX(Lists!$Y$4:$Y$42,MATCH(ROW()-56,$AQ$57:$AQ$95,0)))</f>
        <v/>
      </c>
      <c r="AS68">
        <f>AS67+IF(AND(Lists!$AD$15&lt;&gt;"",ISNUMBER(SEARCH($E$4,Lists!$AD$15))),1,0)</f>
        <v/>
      </c>
      <c r="AT68">
        <f>IF(ROW()-56&gt;MAX($AS$57:$AS$95),"",INDEX(Lists!$AD$4:$AD$42,MATCH(ROW()-56,$AS$57:$AS$95,0)))</f>
        <v/>
      </c>
      <c r="AU68">
        <f>AU67+IF(AND(Lists!$AI$15&lt;&gt;"",ISNUMBER(SEARCH($F$4,Lists!$AI$15))),1,0)</f>
        <v/>
      </c>
      <c r="AV68">
        <f>IF(ROW()-56&gt;MAX($AU$57:$AU$95),"",INDEX(Lists!$AI$4:$AI$42,MATCH(ROW()-56,$AU$57:$AU$95,0)))</f>
        <v/>
      </c>
      <c r="AW68">
        <f>AW67+IF(AND(Lists!$AN$15&lt;&gt;"",ISNUMBER(SEARCH($G$4,Lists!$AN$15))),1,0)</f>
        <v/>
      </c>
      <c r="AX68">
        <f>IF(ROW()-56&gt;MAX($AW$57:$AW$95),"",INDEX(Lists!$AN$4:$AN$42,MATCH(ROW()-56,$AW$57:$AW$95,0)))</f>
        <v/>
      </c>
      <c r="AY68">
        <f>AY67+IF(AND(Lists!$AS$15&lt;&gt;"",ISNUMBER(SEARCH($H$4,Lists!$AS$15))),1,0)</f>
        <v/>
      </c>
      <c r="AZ68">
        <f>IF(ROW()-56&gt;MAX($AY$57:$AY$95),"",INDEX(Lists!$AS$4:$AS$42,MATCH(ROW()-56,$AY$57:$AY$95,0)))</f>
        <v/>
      </c>
      <c r="BA68">
        <f>BA67+IF(AND(Lists!$AX$15&lt;&gt;"",ISNUMBER(SEARCH($I$4,Lists!$AX$15))),1,0)</f>
        <v/>
      </c>
      <c r="BB68">
        <f>IF(ROW()-56&gt;MAX($BA$57:$BA$95),"",INDEX(Lists!$AX$4:$AX$42,MATCH(ROW()-56,$BA$57:$BA$95,0)))</f>
        <v/>
      </c>
      <c r="BC68">
        <f>BC67+IF(AND(Lists!$BC$15&lt;&gt;"",ISNUMBER(SEARCH($J$4,Lists!$BC$15))),1,0)</f>
        <v/>
      </c>
      <c r="BD68">
        <f>IF(ROW()-56&gt;MAX($BC$57:$BC$95),"",INDEX(Lists!$BC$4:$BC$42,MATCH(ROW()-56,$BC$57:$BC$95,0)))</f>
        <v/>
      </c>
      <c r="BE68">
        <f>BE67+IF(AND(Lists!$BH$15&lt;&gt;"",ISNUMBER(SEARCH($K$4,Lists!$BH$15))),1,0)</f>
        <v/>
      </c>
      <c r="BF68">
        <f>IF(ROW()-56&gt;MAX($BE$57:$BE$95),"",INDEX(Lists!$BH$4:$BH$42,MATCH(ROW()-56,$BE$57:$BE$95,0)))</f>
        <v/>
      </c>
      <c r="BG68">
        <f>BG67+IF(AND(Lists!$BM$15&lt;&gt;"",ISNUMBER(SEARCH($L$4,Lists!$BM$15))),1,0)</f>
        <v/>
      </c>
      <c r="BH68">
        <f>IF(ROW()-56&gt;MAX($BG$57:$BG$95),"",INDEX(Lists!$BM$4:$BM$42,MATCH(ROW()-56,$BG$57:$BG$95,0)))</f>
        <v/>
      </c>
      <c r="BI68">
        <f>BI67+IF(AND(Lists!$BR$15&lt;&gt;"",ISNUMBER(SEARCH($M$4,Lists!$BR$15))),1,0)</f>
        <v/>
      </c>
      <c r="BJ68">
        <f>IF(ROW()-56&gt;MAX($BI$57:$BI$95),"",INDEX(Lists!$BR$4:$BR$42,MATCH(ROW()-56,$BI$57:$BI$95,0)))</f>
        <v/>
      </c>
      <c r="BK68">
        <f>BK67+IF(AND(Lists!$BW$15&lt;&gt;"",ISNUMBER(SEARCH($N$4,Lists!$BW$15))),1,0)</f>
        <v/>
      </c>
      <c r="BL68">
        <f>IF(ROW()-56&gt;MAX($BK$57:$BK$95),"",INDEX(Lists!$BW$4:$BW$42,MATCH(ROW()-56,$BK$57:$BK$95,0)))</f>
        <v/>
      </c>
      <c r="BM68">
        <f>BM67+IF(AND(Lists!$CB$15&lt;&gt;"",ISNUMBER(SEARCH($O$4,Lists!$CB$15))),1,0)</f>
        <v/>
      </c>
      <c r="BN68">
        <f>IF(ROW()-56&gt;MAX($BM$57:$BM$95),"",INDEX(Lists!$CB$4:$CB$42,MATCH(ROW()-56,$BM$57:$BM$95,0)))</f>
        <v/>
      </c>
      <c r="BO68">
        <f>BO67+IF(AND(Lists!$CG$15&lt;&gt;"",ISNUMBER(SEARCH($P$4,Lists!$CG$15))),1,0)</f>
        <v/>
      </c>
      <c r="BP68">
        <f>IF(ROW()-56&gt;MAX($BO$57:$BO$95),"",INDEX(Lists!$CG$4:$CG$42,MATCH(ROW()-56,$BO$57:$BO$95,0)))</f>
        <v/>
      </c>
      <c r="BQ68">
        <f>BQ67+IF(AND(Lists!$CL$15&lt;&gt;"",ISNUMBER(SEARCH($Q$4,Lists!$CL$15))),1,0)</f>
        <v/>
      </c>
      <c r="BR68">
        <f>IF(ROW()-56&gt;MAX($BQ$57:$BQ$95),"",INDEX(Lists!$CL$4:$CL$42,MATCH(ROW()-56,$BQ$57:$BQ$95,0)))</f>
        <v/>
      </c>
      <c r="BS68">
        <f>BS67+IF(AND(Lists!$CQ$15&lt;&gt;"",ISNUMBER(SEARCH($R$4,Lists!$CQ$15))),1,0)</f>
        <v/>
      </c>
      <c r="BT68">
        <f>IF(ROW()-56&gt;MAX($BS$57:$BS$95),"",INDEX(Lists!$CQ$4:$CQ$42,MATCH(ROW()-56,$BS$57:$BS$95,0)))</f>
        <v/>
      </c>
      <c r="BU68">
        <f>BU67+IF(AND(Lists!$CV$15&lt;&gt;"",ISNUMBER(SEARCH($S$4,Lists!$CV$15))),1,0)</f>
        <v/>
      </c>
      <c r="BV68">
        <f>IF(ROW()-56&gt;MAX($BU$57:$BU$95),"",INDEX(Lists!$CV$4:$CV$42,MATCH(ROW()-56,$BU$57:$BU$95,0)))</f>
        <v/>
      </c>
      <c r="BW68">
        <f>BW67+IF(AND(Lists!$DA$15&lt;&gt;"",ISNUMBER(SEARCH($T$4,Lists!$DA$15))),1,0)</f>
        <v/>
      </c>
      <c r="BX68">
        <f>IF(ROW()-56&gt;MAX($BW$57:$BW$95),"",INDEX(Lists!$DA$4:$DA$42,MATCH(ROW()-56,$BW$57:$BW$95,0)))</f>
        <v/>
      </c>
      <c r="BY68">
        <f>BY67+IF(AND(Lists!$DF$15&lt;&gt;"",ISNUMBER(SEARCH($U$4,Lists!$DF$15))),1,0)</f>
        <v/>
      </c>
      <c r="BZ68">
        <f>IF(ROW()-56&gt;MAX($BY$57:$BY$95),"",INDEX(Lists!$DF$4:$DF$42,MATCH(ROW()-56,$BY$57:$BY$95,0)))</f>
        <v/>
      </c>
      <c r="CA68">
        <f>CA67+IF(AND(Lists!$DK$15&lt;&gt;"",ISNUMBER(SEARCH($V$4,Lists!$DK$15))),1,0)</f>
        <v/>
      </c>
      <c r="CB68">
        <f>IF(ROW()-56&gt;MAX($CA$57:$CA$95),"",INDEX(Lists!$DK$4:$DK$42,MATCH(ROW()-56,$CA$57:$CA$95,0)))</f>
        <v/>
      </c>
      <c r="CC68">
        <f>CC67+IF(AND(Lists!$DP$15&lt;&gt;"",ISNUMBER(SEARCH($W$4,Lists!$DP$15))),1,0)</f>
        <v/>
      </c>
      <c r="CD68">
        <f>IF(ROW()-56&gt;MAX($CC$57:$CC$95),"",INDEX(Lists!$DP$4:$DP$42,MATCH(ROW()-56,$CC$57:$CC$95,0)))</f>
        <v/>
      </c>
      <c r="CE68">
        <f>CE67+IF(AND(Lists!$DU$15&lt;&gt;"",ISNUMBER(SEARCH($X$4,Lists!$DU$15))),1,0)</f>
        <v/>
      </c>
      <c r="CF68">
        <f>IF(ROW()-56&gt;MAX($CE$57:$CE$95),"",INDEX(Lists!$DU$4:$DU$42,MATCH(ROW()-56,$CE$57:$CE$95,0)))</f>
        <v/>
      </c>
      <c r="CG68">
        <f>CG67+IF(AND(Lists!$DZ$15&lt;&gt;"",ISNUMBER(SEARCH($Y$4,Lists!$DZ$15))),1,0)</f>
        <v/>
      </c>
      <c r="CH68">
        <f>IF(ROW()-56&gt;MAX($CG$57:$CG$95),"",INDEX(Lists!$DZ$4:$DZ$42,MATCH(ROW()-56,$CG$57:$CG$95,0)))</f>
        <v/>
      </c>
      <c r="CI68">
        <f>CI67+IF(AND(Lists!$EE$15&lt;&gt;"",ISNUMBER(SEARCH($Z$4,Lists!$EE$15))),1,0)</f>
        <v/>
      </c>
      <c r="CJ68">
        <f>IF(ROW()-56&gt;MAX($CI$57:$CI$95),"",INDEX(Lists!$EE$4:$EE$42,MATCH(ROW()-56,$CI$57:$CI$95,0)))</f>
        <v/>
      </c>
      <c r="CK68">
        <f>CK67+IF(AND(Lists!$EJ$15&lt;&gt;"",ISNUMBER(SEARCH($AA$4,Lists!$EJ$15))),1,0)</f>
        <v/>
      </c>
      <c r="CL68">
        <f>IF(ROW()-56&gt;MAX($CK$57:$CK$95),"",INDEX(Lists!$EJ$4:$EJ$42,MATCH(ROW()-56,$CK$57:$CK$95,0)))</f>
        <v/>
      </c>
      <c r="CM68">
        <f>CM67+IF(AND(Lists!$EO$15&lt;&gt;"",ISNUMBER(SEARCH($AB$4,Lists!$EO$15))),1,0)</f>
        <v/>
      </c>
      <c r="CN68">
        <f>IF(ROW()-56&gt;MAX($CM$57:$CM$95),"",INDEX(Lists!$EO$4:$EO$42,MATCH(ROW()-56,$CM$57:$CM$95,0)))</f>
        <v/>
      </c>
      <c r="CO68">
        <f>CO67+IF(AND(Lists!$ET$15&lt;&gt;"",ISNUMBER(SEARCH($AC$4,Lists!$ET$15))),1,0)</f>
        <v/>
      </c>
      <c r="CP68">
        <f>IF(ROW()-56&gt;MAX($CO$57:$CO$95),"",INDEX(Lists!$ET$4:$ET$42,MATCH(ROW()-56,$CO$57:$CO$95,0)))</f>
        <v/>
      </c>
      <c r="CQ68">
        <f>CQ67+IF(AND(Lists!$EY$15&lt;&gt;"",ISNUMBER(SEARCH($AD$4,Lists!$EY$15))),1,0)</f>
        <v/>
      </c>
      <c r="CR68">
        <f>IF(ROW()-56&gt;MAX($CQ$57:$CQ$95),"",INDEX(Lists!$EY$4:$EY$42,MATCH(ROW()-56,$CQ$57:$CQ$95,0)))</f>
        <v/>
      </c>
      <c r="CS68">
        <f>CS67+IF(AND(Lists!$FD$15&lt;&gt;"",ISNUMBER(SEARCH($AE$4,Lists!$FD$15))),1,0)</f>
        <v/>
      </c>
      <c r="CT68">
        <f>IF(ROW()-56&gt;MAX($CS$57:$CS$95),"",INDEX(Lists!$FD$4:$FD$42,MATCH(ROW()-56,$CS$57:$CS$95,0)))</f>
        <v/>
      </c>
      <c r="CU68">
        <f>CU67+IF(AND(Lists!$FI$15&lt;&gt;"",ISNUMBER(SEARCH($AG$4,Lists!$FI$15))),1,0)</f>
        <v/>
      </c>
      <c r="CV68">
        <f>IF(ROW()-56&gt;MAX($CU$57:$CU$95),"",INDEX(Lists!$FI$4:$FI$42,MATCH(ROW()-56,$CU$57:$CU$95,0)))</f>
        <v/>
      </c>
      <c r="CW68">
        <f>CW67+IF(AND(Lists!$FN$15&lt;&gt;"",ISNUMBER(SEARCH($AH$4,Lists!$FN$15))),1,0)</f>
        <v/>
      </c>
      <c r="CX68">
        <f>IF(ROW()-56&gt;MAX($CW$57:$CW$95),"",INDEX(Lists!$FN$4:$FN$42,MATCH(ROW()-56,$CW$57:$CW$95,0)))</f>
        <v/>
      </c>
      <c r="CY68">
        <f>CY67+IF(AND(Lists!$FS$15&lt;&gt;"",ISNUMBER(SEARCH($AI$4,Lists!$FS$15))),1,0)</f>
        <v/>
      </c>
      <c r="CZ68">
        <f>IF(ROW()-56&gt;MAX($CY$57:$CY$95),"",INDEX(Lists!$FS$4:$FS$42,MATCH(ROW()-56,$CY$57:$CY$95,0)))</f>
        <v/>
      </c>
      <c r="DA68">
        <f>DA67+IF(AND(Lists!$FX$15&lt;&gt;"",ISNUMBER(SEARCH($AF$4,Lists!$FX$15))),1,0)</f>
        <v/>
      </c>
      <c r="DB68">
        <f>IF(ROW()-56&gt;MAX($DA$57:$DA$95),"",INDEX(Lists!$FX$4:$FX$42,MATCH(ROW()-56,$DA$57:$DA$95,0)))</f>
        <v/>
      </c>
      <c r="DG68">
        <f>IF($B$4="",1,IF($B$4="(blank)",--('Final Calculation Sheet'!$F$13=""),IF($B$4="(nonblank)",--('Final Calculation Sheet'!$F$13&lt;&gt;""),--ISNUMBER(SEARCH($B$4,'Final Calculation Sheet'!$F$13)))))</f>
        <v/>
      </c>
      <c r="DH68">
        <f>IF($C$4="",1,IF($C$4="(blank)",--('Final Calculation Sheet'!$G$13=""),IF($C$4="(nonblank)",--('Final Calculation Sheet'!$G$13&lt;&gt;""),--ISNUMBER(SEARCH($C$4,'Final Calculation Sheet'!$G$13)))))</f>
        <v/>
      </c>
      <c r="DI68">
        <f>IF($D$4="",1,IF($D$4="(blank)",--('Final Calculation Sheet'!$B$13=""),IF($D$4="(nonblank)",--('Final Calculation Sheet'!$B$13&lt;&gt;""),--ISNUMBER(SEARCH($D$4,'Final Calculation Sheet'!$B$13)))))</f>
        <v/>
      </c>
      <c r="DJ68">
        <f>IF($E$4="",1,IF($E$4="(blank)",--('Final Calculation Sheet'!$D$13=""),IF($E$4="(nonblank)",--('Final Calculation Sheet'!$D$13&lt;&gt;""),--ISNUMBER(SEARCH($E$4,'Final Calculation Sheet'!$D$13)))))</f>
        <v/>
      </c>
      <c r="DK68">
        <f>IF($F$4="",1,IF($F$4="(blank)",--('Final Calculation Sheet'!$A$13=""),IF($F$4="(nonblank)",--('Final Calculation Sheet'!$A$13&lt;&gt;""),--ISNUMBER(SEARCH($F$4,'Final Calculation Sheet'!$A$13)))))</f>
        <v/>
      </c>
      <c r="DL68">
        <f>IF($G$4="",1,IF($G$4="(blank)",--('Final Calculation Sheet'!$E$13=""),IF($G$4="(nonblank)",--('Final Calculation Sheet'!$E$13&lt;&gt;""),--ISNUMBER(SEARCH($G$4,'Final Calculation Sheet'!$E$13)))))</f>
        <v/>
      </c>
      <c r="DM68">
        <f>IF($H$4="",1,IF($H$4="(blank)",--('Final Calculation Sheet'!$C$13=""),IF($H$4="(nonblank)",--('Final Calculation Sheet'!$C$13&lt;&gt;""),--ISNUMBER(SEARCH($H$4,'Final Calculation Sheet'!$C$13)))))</f>
        <v/>
      </c>
      <c r="DN68">
        <f>IF($I$4="",1,IF($I$4="(blank)",--('Final Calculation Sheet'!$H$13=""),IF($I$4="(nonblank)",--('Final Calculation Sheet'!$H$13&lt;&gt;""),--ISNUMBER(SEARCH($I$4,'Final Calculation Sheet'!$H$13)))))</f>
        <v/>
      </c>
      <c r="DO68">
        <f>IF($J$4="",1,IF($J$4="(blank)",--('Final Calculation Sheet'!$I$13=""),IF($J$4="(nonblank)",--('Final Calculation Sheet'!$I$13&lt;&gt;""),--ISNUMBER(SEARCH($J$4,'Final Calculation Sheet'!$I$13)))))</f>
        <v/>
      </c>
      <c r="DP68">
        <f>IF($K$4="",1,IF($K$4="(blank)",--('Final Calculation Sheet'!$J$13=""),IF($K$4="(nonblank)",--('Final Calculation Sheet'!$J$13&lt;&gt;""),--ISNUMBER(SEARCH($K$4,'Final Calculation Sheet'!$J$13)))))</f>
        <v/>
      </c>
      <c r="DQ68">
        <f>IF($L$4="",1,IF($L$4="(blank)",--('Final Calculation Sheet'!$K$13=""),IF($L$4="(nonblank)",--('Final Calculation Sheet'!$K$13&lt;&gt;""),--ISNUMBER(SEARCH($L$4,'Final Calculation Sheet'!$K$13)))))</f>
        <v/>
      </c>
      <c r="DR68">
        <f>IF($M$4="",1,IF($M$4="(blank)",--('Final Calculation Sheet'!$L$13=""),IF($M$4="(nonblank)",--('Final Calculation Sheet'!$L$13&lt;&gt;""),--ISNUMBER(SEARCH($M$4,'Final Calculation Sheet'!$L$13)))))</f>
        <v/>
      </c>
      <c r="DS68">
        <f>IF($N$4="",1,IF($N$4="(blank)",--('Final Calculation Sheet'!$M$13=""),IF($N$4="(nonblank)",--('Final Calculation Sheet'!$M$13&lt;&gt;""),--ISNUMBER(SEARCH($N$4,'Final Calculation Sheet'!$M$13)))))</f>
        <v/>
      </c>
      <c r="DT68">
        <f>IF($O$4="",1,IF($O$4="(blank)",--('Final Calculation Sheet'!$N$13=""),IF($O$4="(nonblank)",--('Final Calculation Sheet'!$N$13&lt;&gt;""),--ISNUMBER(SEARCH($O$4,'Final Calculation Sheet'!$N$13)))))</f>
        <v/>
      </c>
      <c r="DU68">
        <f>IF($P$4="",1,IF($P$4="(blank)",--('Final Calculation Sheet'!$O$13=""),IF($P$4="(nonblank)",--('Final Calculation Sheet'!$O$13&lt;&gt;""),--ISNUMBER(SEARCH($P$4,'Final Calculation Sheet'!$O$13)))))</f>
        <v/>
      </c>
      <c r="DV68">
        <f>IF($Q$4="",1,IF($Q$4="(blank)",--('Final Calculation Sheet'!$P$13=""),IF($Q$4="(nonblank)",--('Final Calculation Sheet'!$P$13&lt;&gt;""),--ISNUMBER(SEARCH($Q$4,'Final Calculation Sheet'!$P$13)))))</f>
        <v/>
      </c>
      <c r="DW68">
        <f>IF($R$4="",1,IF($R$4="(blank)",--('Final Calculation Sheet'!$Q$13=""),IF($R$4="(nonblank)",--('Final Calculation Sheet'!$Q$13&lt;&gt;""),--ISNUMBER(SEARCH($R$4,'Final Calculation Sheet'!$Q$13)))))</f>
        <v/>
      </c>
      <c r="DX68">
        <f>IF($S$4="",1,IF($S$4="(blank)",--('Final Calculation Sheet'!$R$13=""),IF($S$4="(nonblank)",--('Final Calculation Sheet'!$R$13&lt;&gt;""),--ISNUMBER(SEARCH($S$4,'Final Calculation Sheet'!$R$13)))))</f>
        <v/>
      </c>
      <c r="DY68">
        <f>IF($T$4="",1,IF($T$4="(blank)",--('Final Calculation Sheet'!$S$13=""),IF($T$4="(nonblank)",--('Final Calculation Sheet'!$S$13&lt;&gt;""),--ISNUMBER(SEARCH($T$4,'Final Calculation Sheet'!$S$13)))))</f>
        <v/>
      </c>
      <c r="DZ68">
        <f>IF($U$4="",1,IF($U$4="(blank)",--('Final Calculation Sheet'!$T$13=""),IF($U$4="(nonblank)",--('Final Calculation Sheet'!$T$13&lt;&gt;""),--ISNUMBER(SEARCH($U$4,'Final Calculation Sheet'!$T$13)))))</f>
        <v/>
      </c>
      <c r="EA68">
        <f>IF($V$4="",1,IF($V$4="(blank)",--('Final Calculation Sheet'!$U$13=""),IF($V$4="(nonblank)",--('Final Calculation Sheet'!$U$13&lt;&gt;""),--ISNUMBER(SEARCH($V$4,'Final Calculation Sheet'!$U$13)))))</f>
        <v/>
      </c>
      <c r="EB68">
        <f>IF($W$4="",1,IF($W$4="(blank)",--('Final Calculation Sheet'!$V$13=""),IF($W$4="(nonblank)",--('Final Calculation Sheet'!$V$13&lt;&gt;""),--ISNUMBER(SEARCH($W$4,'Final Calculation Sheet'!$V$13)))))</f>
        <v/>
      </c>
      <c r="EC68">
        <f>IF($X$4="",1,IF($X$4="(blank)",--('Final Calculation Sheet'!$W$13=""),IF($X$4="(nonblank)",--('Final Calculation Sheet'!$W$13&lt;&gt;""),--ISNUMBER(SEARCH($X$4,'Final Calculation Sheet'!$W$13)))))</f>
        <v/>
      </c>
      <c r="ED68">
        <f>IF($Y$4="",1,IF($Y$4="(blank)",--('Final Calculation Sheet'!$X$13=""),IF($Y$4="(nonblank)",--('Final Calculation Sheet'!$X$13&lt;&gt;""),--ISNUMBER(SEARCH($Y$4,'Final Calculation Sheet'!$X$13)))))</f>
        <v/>
      </c>
      <c r="EE68">
        <f>IF($Z$4="",1,IF($Z$4="(blank)",--('Final Calculation Sheet'!$Y$13=""),IF($Z$4="(nonblank)",--('Final Calculation Sheet'!$Y$13&lt;&gt;""),--ISNUMBER(SEARCH($Z$4,'Final Calculation Sheet'!$Y$13)))))</f>
        <v/>
      </c>
      <c r="EF68">
        <f>IF($AA$4="",1,IF($AA$4="(blank)",--('Final Calculation Sheet'!$Z$13=""),IF($AA$4="(nonblank)",--('Final Calculation Sheet'!$Z$13&lt;&gt;""),--ISNUMBER(SEARCH($AA$4,'Final Calculation Sheet'!$Z$13)))))</f>
        <v/>
      </c>
      <c r="EG68">
        <f>IF($AB$4="",1,IF($AB$4="(blank)",--('Final Calculation Sheet'!$AA$13=""),IF($AB$4="(nonblank)",--('Final Calculation Sheet'!$AA$13&lt;&gt;""),--ISNUMBER(SEARCH($AB$4,'Final Calculation Sheet'!$AA$13)))))</f>
        <v/>
      </c>
      <c r="EH68">
        <f>IF($AC$4="",1,IF($AC$4="(blank)",--('Final Calculation Sheet'!$AB$13=""),IF($AC$4="(nonblank)",--('Final Calculation Sheet'!$AB$13&lt;&gt;""),--ISNUMBER(SEARCH($AC$4,'Final Calculation Sheet'!$AB$13)))))</f>
        <v/>
      </c>
      <c r="EI68">
        <f>IF($AD$4="",1,IF($AD$4="(blank)",--('Final Calculation Sheet'!$AC$13=""),IF($AD$4="(nonblank)",--('Final Calculation Sheet'!$AC$13&lt;&gt;""),--ISNUMBER(SEARCH($AD$4,'Final Calculation Sheet'!$AC$13)))))</f>
        <v/>
      </c>
      <c r="EJ68">
        <f>IF($AE$4="",1,IF($AE$4="(blank)",--('Final Calculation Sheet'!$AD$13=""),IF($AE$4="(nonblank)",--('Final Calculation Sheet'!$AD$13&lt;&gt;""),--ISNUMBER(SEARCH($AE$4,'Final Calculation Sheet'!$AD$13)))))</f>
        <v/>
      </c>
      <c r="EK68">
        <f>IF($AF$4="",1,IF($AF$4="(blank)",--(IF('Final Calculation Sheet'!$AD$13&lt;=5,"SETTLED","OUTSTANDING")=""),IF($AF$4="(nonblank)",--(IF('Final Calculation Sheet'!$AD$13&lt;=5,"SETTLED","OUTSTANDING")&lt;&gt;""),--ISNUMBER(SEARCH($AF$4,IF('Final Calculation Sheet'!$AD$13&lt;=5,"SETTLED","OUTSTANDING"))))))</f>
        <v/>
      </c>
      <c r="EL68">
        <f>IF($AG$4="",1,IF($AG$4="(blank)",--('Final Calculation Sheet'!$AF$13=""),IF($AG$4="(nonblank)",--('Final Calculation Sheet'!$AF$13&lt;&gt;""),--ISNUMBER(SEARCH($AG$4,'Final Calculation Sheet'!$AF$13)))))</f>
        <v/>
      </c>
      <c r="EM68">
        <f>IF($AH$4="",1,IF($AH$4="(blank)",--('Final Calculation Sheet'!$AG$13=""),IF($AH$4="(nonblank)",--('Final Calculation Sheet'!$AG$13&lt;&gt;""),--ISNUMBER(SEARCH($AH$4,'Final Calculation Sheet'!$AG$13)))))</f>
        <v/>
      </c>
      <c r="EN68">
        <f>IF($AI$4="",1,IF($AI$4="(blank)",--('Final Calculation Sheet'!$AH$13=""),IF($AI$4="(nonblank)",--('Final Calculation Sheet'!$AH$13&lt;&gt;""),--ISNUMBER(SEARCH($AI$4,'Final Calculation Sheet'!$AH$13)))))</f>
        <v/>
      </c>
    </row>
    <row r="69">
      <c r="AM69">
        <f>AM68+IF(AND(Lists!$O$16&lt;&gt;"",ISNUMBER(SEARCH($B$4,Lists!$O$16))),1,0)</f>
        <v/>
      </c>
      <c r="AN69">
        <f>IF(ROW()-56&gt;MAX($AM$57:$AM$95),"",INDEX(Lists!$O$4:$O$42,MATCH(ROW()-56,$AM$57:$AM$95,0)))</f>
        <v/>
      </c>
      <c r="AO69">
        <f>AO68+IF(AND(Lists!$T$16&lt;&gt;"",ISNUMBER(SEARCH($C$4,Lists!$T$16))),1,0)</f>
        <v/>
      </c>
      <c r="AP69">
        <f>IF(ROW()-56&gt;MAX($AO$57:$AO$95),"",INDEX(Lists!$T$4:$T$42,MATCH(ROW()-56,$AO$57:$AO$95,0)))</f>
        <v/>
      </c>
      <c r="AQ69">
        <f>AQ68+IF(AND(Lists!$Y$16&lt;&gt;"",ISNUMBER(SEARCH($D$4,Lists!$Y$16))),1,0)</f>
        <v/>
      </c>
      <c r="AR69">
        <f>IF(ROW()-56&gt;MAX($AQ$57:$AQ$95),"",INDEX(Lists!$Y$4:$Y$42,MATCH(ROW()-56,$AQ$57:$AQ$95,0)))</f>
        <v/>
      </c>
      <c r="AS69">
        <f>AS68+IF(AND(Lists!$AD$16&lt;&gt;"",ISNUMBER(SEARCH($E$4,Lists!$AD$16))),1,0)</f>
        <v/>
      </c>
      <c r="AT69">
        <f>IF(ROW()-56&gt;MAX($AS$57:$AS$95),"",INDEX(Lists!$AD$4:$AD$42,MATCH(ROW()-56,$AS$57:$AS$95,0)))</f>
        <v/>
      </c>
      <c r="AU69">
        <f>AU68+IF(AND(Lists!$AI$16&lt;&gt;"",ISNUMBER(SEARCH($F$4,Lists!$AI$16))),1,0)</f>
        <v/>
      </c>
      <c r="AV69">
        <f>IF(ROW()-56&gt;MAX($AU$57:$AU$95),"",INDEX(Lists!$AI$4:$AI$42,MATCH(ROW()-56,$AU$57:$AU$95,0)))</f>
        <v/>
      </c>
      <c r="AW69">
        <f>AW68+IF(AND(Lists!$AN$16&lt;&gt;"",ISNUMBER(SEARCH($G$4,Lists!$AN$16))),1,0)</f>
        <v/>
      </c>
      <c r="AX69">
        <f>IF(ROW()-56&gt;MAX($AW$57:$AW$95),"",INDEX(Lists!$AN$4:$AN$42,MATCH(ROW()-56,$AW$57:$AW$95,0)))</f>
        <v/>
      </c>
      <c r="AY69">
        <f>AY68+IF(AND(Lists!$AS$16&lt;&gt;"",ISNUMBER(SEARCH($H$4,Lists!$AS$16))),1,0)</f>
        <v/>
      </c>
      <c r="AZ69">
        <f>IF(ROW()-56&gt;MAX($AY$57:$AY$95),"",INDEX(Lists!$AS$4:$AS$42,MATCH(ROW()-56,$AY$57:$AY$95,0)))</f>
        <v/>
      </c>
      <c r="BA69">
        <f>BA68+IF(AND(Lists!$AX$16&lt;&gt;"",ISNUMBER(SEARCH($I$4,Lists!$AX$16))),1,0)</f>
        <v/>
      </c>
      <c r="BB69">
        <f>IF(ROW()-56&gt;MAX($BA$57:$BA$95),"",INDEX(Lists!$AX$4:$AX$42,MATCH(ROW()-56,$BA$57:$BA$95,0)))</f>
        <v/>
      </c>
      <c r="BC69">
        <f>BC68+IF(AND(Lists!$BC$16&lt;&gt;"",ISNUMBER(SEARCH($J$4,Lists!$BC$16))),1,0)</f>
        <v/>
      </c>
      <c r="BD69">
        <f>IF(ROW()-56&gt;MAX($BC$57:$BC$95),"",INDEX(Lists!$BC$4:$BC$42,MATCH(ROW()-56,$BC$57:$BC$95,0)))</f>
        <v/>
      </c>
      <c r="BE69">
        <f>BE68+IF(AND(Lists!$BH$16&lt;&gt;"",ISNUMBER(SEARCH($K$4,Lists!$BH$16))),1,0)</f>
        <v/>
      </c>
      <c r="BF69">
        <f>IF(ROW()-56&gt;MAX($BE$57:$BE$95),"",INDEX(Lists!$BH$4:$BH$42,MATCH(ROW()-56,$BE$57:$BE$95,0)))</f>
        <v/>
      </c>
      <c r="BG69">
        <f>BG68+IF(AND(Lists!$BM$16&lt;&gt;"",ISNUMBER(SEARCH($L$4,Lists!$BM$16))),1,0)</f>
        <v/>
      </c>
      <c r="BH69">
        <f>IF(ROW()-56&gt;MAX($BG$57:$BG$95),"",INDEX(Lists!$BM$4:$BM$42,MATCH(ROW()-56,$BG$57:$BG$95,0)))</f>
        <v/>
      </c>
      <c r="BI69">
        <f>BI68+IF(AND(Lists!$BR$16&lt;&gt;"",ISNUMBER(SEARCH($M$4,Lists!$BR$16))),1,0)</f>
        <v/>
      </c>
      <c r="BJ69">
        <f>IF(ROW()-56&gt;MAX($BI$57:$BI$95),"",INDEX(Lists!$BR$4:$BR$42,MATCH(ROW()-56,$BI$57:$BI$95,0)))</f>
        <v/>
      </c>
      <c r="BK69">
        <f>BK68+IF(AND(Lists!$BW$16&lt;&gt;"",ISNUMBER(SEARCH($N$4,Lists!$BW$16))),1,0)</f>
        <v/>
      </c>
      <c r="BL69">
        <f>IF(ROW()-56&gt;MAX($BK$57:$BK$95),"",INDEX(Lists!$BW$4:$BW$42,MATCH(ROW()-56,$BK$57:$BK$95,0)))</f>
        <v/>
      </c>
      <c r="BM69">
        <f>BM68+IF(AND(Lists!$CB$16&lt;&gt;"",ISNUMBER(SEARCH($O$4,Lists!$CB$16))),1,0)</f>
        <v/>
      </c>
      <c r="BN69">
        <f>IF(ROW()-56&gt;MAX($BM$57:$BM$95),"",INDEX(Lists!$CB$4:$CB$42,MATCH(ROW()-56,$BM$57:$BM$95,0)))</f>
        <v/>
      </c>
      <c r="BO69">
        <f>BO68+IF(AND(Lists!$CG$16&lt;&gt;"",ISNUMBER(SEARCH($P$4,Lists!$CG$16))),1,0)</f>
        <v/>
      </c>
      <c r="BP69">
        <f>IF(ROW()-56&gt;MAX($BO$57:$BO$95),"",INDEX(Lists!$CG$4:$CG$42,MATCH(ROW()-56,$BO$57:$BO$95,0)))</f>
        <v/>
      </c>
      <c r="BQ69">
        <f>BQ68+IF(AND(Lists!$CL$16&lt;&gt;"",ISNUMBER(SEARCH($Q$4,Lists!$CL$16))),1,0)</f>
        <v/>
      </c>
      <c r="BR69">
        <f>IF(ROW()-56&gt;MAX($BQ$57:$BQ$95),"",INDEX(Lists!$CL$4:$CL$42,MATCH(ROW()-56,$BQ$57:$BQ$95,0)))</f>
        <v/>
      </c>
      <c r="BS69">
        <f>BS68+IF(AND(Lists!$CQ$16&lt;&gt;"",ISNUMBER(SEARCH($R$4,Lists!$CQ$16))),1,0)</f>
        <v/>
      </c>
      <c r="BT69">
        <f>IF(ROW()-56&gt;MAX($BS$57:$BS$95),"",INDEX(Lists!$CQ$4:$CQ$42,MATCH(ROW()-56,$BS$57:$BS$95,0)))</f>
        <v/>
      </c>
      <c r="BU69">
        <f>BU68+IF(AND(Lists!$CV$16&lt;&gt;"",ISNUMBER(SEARCH($S$4,Lists!$CV$16))),1,0)</f>
        <v/>
      </c>
      <c r="BV69">
        <f>IF(ROW()-56&gt;MAX($BU$57:$BU$95),"",INDEX(Lists!$CV$4:$CV$42,MATCH(ROW()-56,$BU$57:$BU$95,0)))</f>
        <v/>
      </c>
      <c r="BW69">
        <f>BW68+IF(AND(Lists!$DA$16&lt;&gt;"",ISNUMBER(SEARCH($T$4,Lists!$DA$16))),1,0)</f>
        <v/>
      </c>
      <c r="BX69">
        <f>IF(ROW()-56&gt;MAX($BW$57:$BW$95),"",INDEX(Lists!$DA$4:$DA$42,MATCH(ROW()-56,$BW$57:$BW$95,0)))</f>
        <v/>
      </c>
      <c r="BY69">
        <f>BY68+IF(AND(Lists!$DF$16&lt;&gt;"",ISNUMBER(SEARCH($U$4,Lists!$DF$16))),1,0)</f>
        <v/>
      </c>
      <c r="BZ69">
        <f>IF(ROW()-56&gt;MAX($BY$57:$BY$95),"",INDEX(Lists!$DF$4:$DF$42,MATCH(ROW()-56,$BY$57:$BY$95,0)))</f>
        <v/>
      </c>
      <c r="CA69">
        <f>CA68+IF(AND(Lists!$DK$16&lt;&gt;"",ISNUMBER(SEARCH($V$4,Lists!$DK$16))),1,0)</f>
        <v/>
      </c>
      <c r="CB69">
        <f>IF(ROW()-56&gt;MAX($CA$57:$CA$95),"",INDEX(Lists!$DK$4:$DK$42,MATCH(ROW()-56,$CA$57:$CA$95,0)))</f>
        <v/>
      </c>
      <c r="CC69">
        <f>CC68+IF(AND(Lists!$DP$16&lt;&gt;"",ISNUMBER(SEARCH($W$4,Lists!$DP$16))),1,0)</f>
        <v/>
      </c>
      <c r="CD69">
        <f>IF(ROW()-56&gt;MAX($CC$57:$CC$95),"",INDEX(Lists!$DP$4:$DP$42,MATCH(ROW()-56,$CC$57:$CC$95,0)))</f>
        <v/>
      </c>
      <c r="CE69">
        <f>CE68+IF(AND(Lists!$DU$16&lt;&gt;"",ISNUMBER(SEARCH($X$4,Lists!$DU$16))),1,0)</f>
        <v/>
      </c>
      <c r="CF69">
        <f>IF(ROW()-56&gt;MAX($CE$57:$CE$95),"",INDEX(Lists!$DU$4:$DU$42,MATCH(ROW()-56,$CE$57:$CE$95,0)))</f>
        <v/>
      </c>
      <c r="CG69">
        <f>CG68+IF(AND(Lists!$DZ$16&lt;&gt;"",ISNUMBER(SEARCH($Y$4,Lists!$DZ$16))),1,0)</f>
        <v/>
      </c>
      <c r="CH69">
        <f>IF(ROW()-56&gt;MAX($CG$57:$CG$95),"",INDEX(Lists!$DZ$4:$DZ$42,MATCH(ROW()-56,$CG$57:$CG$95,0)))</f>
        <v/>
      </c>
      <c r="CI69">
        <f>CI68+IF(AND(Lists!$EE$16&lt;&gt;"",ISNUMBER(SEARCH($Z$4,Lists!$EE$16))),1,0)</f>
        <v/>
      </c>
      <c r="CJ69">
        <f>IF(ROW()-56&gt;MAX($CI$57:$CI$95),"",INDEX(Lists!$EE$4:$EE$42,MATCH(ROW()-56,$CI$57:$CI$95,0)))</f>
        <v/>
      </c>
      <c r="CK69">
        <f>CK68+IF(AND(Lists!$EJ$16&lt;&gt;"",ISNUMBER(SEARCH($AA$4,Lists!$EJ$16))),1,0)</f>
        <v/>
      </c>
      <c r="CL69">
        <f>IF(ROW()-56&gt;MAX($CK$57:$CK$95),"",INDEX(Lists!$EJ$4:$EJ$42,MATCH(ROW()-56,$CK$57:$CK$95,0)))</f>
        <v/>
      </c>
      <c r="CM69">
        <f>CM68+IF(AND(Lists!$EO$16&lt;&gt;"",ISNUMBER(SEARCH($AB$4,Lists!$EO$16))),1,0)</f>
        <v/>
      </c>
      <c r="CN69">
        <f>IF(ROW()-56&gt;MAX($CM$57:$CM$95),"",INDEX(Lists!$EO$4:$EO$42,MATCH(ROW()-56,$CM$57:$CM$95,0)))</f>
        <v/>
      </c>
      <c r="CO69">
        <f>CO68+IF(AND(Lists!$ET$16&lt;&gt;"",ISNUMBER(SEARCH($AC$4,Lists!$ET$16))),1,0)</f>
        <v/>
      </c>
      <c r="CP69">
        <f>IF(ROW()-56&gt;MAX($CO$57:$CO$95),"",INDEX(Lists!$ET$4:$ET$42,MATCH(ROW()-56,$CO$57:$CO$95,0)))</f>
        <v/>
      </c>
      <c r="CQ69">
        <f>CQ68+IF(AND(Lists!$EY$16&lt;&gt;"",ISNUMBER(SEARCH($AD$4,Lists!$EY$16))),1,0)</f>
        <v/>
      </c>
      <c r="CR69">
        <f>IF(ROW()-56&gt;MAX($CQ$57:$CQ$95),"",INDEX(Lists!$EY$4:$EY$42,MATCH(ROW()-56,$CQ$57:$CQ$95,0)))</f>
        <v/>
      </c>
      <c r="CS69">
        <f>CS68+IF(AND(Lists!$FD$16&lt;&gt;"",ISNUMBER(SEARCH($AE$4,Lists!$FD$16))),1,0)</f>
        <v/>
      </c>
      <c r="CT69">
        <f>IF(ROW()-56&gt;MAX($CS$57:$CS$95),"",INDEX(Lists!$FD$4:$FD$42,MATCH(ROW()-56,$CS$57:$CS$95,0)))</f>
        <v/>
      </c>
      <c r="CU69">
        <f>CU68+IF(AND(Lists!$FI$16&lt;&gt;"",ISNUMBER(SEARCH($AG$4,Lists!$FI$16))),1,0)</f>
        <v/>
      </c>
      <c r="CV69">
        <f>IF(ROW()-56&gt;MAX($CU$57:$CU$95),"",INDEX(Lists!$FI$4:$FI$42,MATCH(ROW()-56,$CU$57:$CU$95,0)))</f>
        <v/>
      </c>
      <c r="CW69">
        <f>CW68+IF(AND(Lists!$FN$16&lt;&gt;"",ISNUMBER(SEARCH($AH$4,Lists!$FN$16))),1,0)</f>
        <v/>
      </c>
      <c r="CX69">
        <f>IF(ROW()-56&gt;MAX($CW$57:$CW$95),"",INDEX(Lists!$FN$4:$FN$42,MATCH(ROW()-56,$CW$57:$CW$95,0)))</f>
        <v/>
      </c>
      <c r="CY69">
        <f>CY68+IF(AND(Lists!$FS$16&lt;&gt;"",ISNUMBER(SEARCH($AI$4,Lists!$FS$16))),1,0)</f>
        <v/>
      </c>
      <c r="CZ69">
        <f>IF(ROW()-56&gt;MAX($CY$57:$CY$95),"",INDEX(Lists!$FS$4:$FS$42,MATCH(ROW()-56,$CY$57:$CY$95,0)))</f>
        <v/>
      </c>
      <c r="DA69">
        <f>DA68+IF(AND(Lists!$FX$16&lt;&gt;"",ISNUMBER(SEARCH($AF$4,Lists!$FX$16))),1,0)</f>
        <v/>
      </c>
      <c r="DB69">
        <f>IF(ROW()-56&gt;MAX($DA$57:$DA$95),"",INDEX(Lists!$FX$4:$FX$42,MATCH(ROW()-56,$DA$57:$DA$95,0)))</f>
        <v/>
      </c>
      <c r="DG69">
        <f>IF($B$4="",1,IF($B$4="(blank)",--('Final Calculation Sheet'!$F$14=""),IF($B$4="(nonblank)",--('Final Calculation Sheet'!$F$14&lt;&gt;""),--ISNUMBER(SEARCH($B$4,'Final Calculation Sheet'!$F$14)))))</f>
        <v/>
      </c>
      <c r="DH69">
        <f>IF($C$4="",1,IF($C$4="(blank)",--('Final Calculation Sheet'!$G$14=""),IF($C$4="(nonblank)",--('Final Calculation Sheet'!$G$14&lt;&gt;""),--ISNUMBER(SEARCH($C$4,'Final Calculation Sheet'!$G$14)))))</f>
        <v/>
      </c>
      <c r="DI69">
        <f>IF($D$4="",1,IF($D$4="(blank)",--('Final Calculation Sheet'!$B$14=""),IF($D$4="(nonblank)",--('Final Calculation Sheet'!$B$14&lt;&gt;""),--ISNUMBER(SEARCH($D$4,'Final Calculation Sheet'!$B$14)))))</f>
        <v/>
      </c>
      <c r="DJ69">
        <f>IF($E$4="",1,IF($E$4="(blank)",--('Final Calculation Sheet'!$D$14=""),IF($E$4="(nonblank)",--('Final Calculation Sheet'!$D$14&lt;&gt;""),--ISNUMBER(SEARCH($E$4,'Final Calculation Sheet'!$D$14)))))</f>
        <v/>
      </c>
      <c r="DK69">
        <f>IF($F$4="",1,IF($F$4="(blank)",--('Final Calculation Sheet'!$A$14=""),IF($F$4="(nonblank)",--('Final Calculation Sheet'!$A$14&lt;&gt;""),--ISNUMBER(SEARCH($F$4,'Final Calculation Sheet'!$A$14)))))</f>
        <v/>
      </c>
      <c r="DL69">
        <f>IF($G$4="",1,IF($G$4="(blank)",--('Final Calculation Sheet'!$E$14=""),IF($G$4="(nonblank)",--('Final Calculation Sheet'!$E$14&lt;&gt;""),--ISNUMBER(SEARCH($G$4,'Final Calculation Sheet'!$E$14)))))</f>
        <v/>
      </c>
      <c r="DM69">
        <f>IF($H$4="",1,IF($H$4="(blank)",--('Final Calculation Sheet'!$C$14=""),IF($H$4="(nonblank)",--('Final Calculation Sheet'!$C$14&lt;&gt;""),--ISNUMBER(SEARCH($H$4,'Final Calculation Sheet'!$C$14)))))</f>
        <v/>
      </c>
      <c r="DN69">
        <f>IF($I$4="",1,IF($I$4="(blank)",--('Final Calculation Sheet'!$H$14=""),IF($I$4="(nonblank)",--('Final Calculation Sheet'!$H$14&lt;&gt;""),--ISNUMBER(SEARCH($I$4,'Final Calculation Sheet'!$H$14)))))</f>
        <v/>
      </c>
      <c r="DO69">
        <f>IF($J$4="",1,IF($J$4="(blank)",--('Final Calculation Sheet'!$I$14=""),IF($J$4="(nonblank)",--('Final Calculation Sheet'!$I$14&lt;&gt;""),--ISNUMBER(SEARCH($J$4,'Final Calculation Sheet'!$I$14)))))</f>
        <v/>
      </c>
      <c r="DP69">
        <f>IF($K$4="",1,IF($K$4="(blank)",--('Final Calculation Sheet'!$J$14=""),IF($K$4="(nonblank)",--('Final Calculation Sheet'!$J$14&lt;&gt;""),--ISNUMBER(SEARCH($K$4,'Final Calculation Sheet'!$J$14)))))</f>
        <v/>
      </c>
      <c r="DQ69">
        <f>IF($L$4="",1,IF($L$4="(blank)",--('Final Calculation Sheet'!$K$14=""),IF($L$4="(nonblank)",--('Final Calculation Sheet'!$K$14&lt;&gt;""),--ISNUMBER(SEARCH($L$4,'Final Calculation Sheet'!$K$14)))))</f>
        <v/>
      </c>
      <c r="DR69">
        <f>IF($M$4="",1,IF($M$4="(blank)",--('Final Calculation Sheet'!$L$14=""),IF($M$4="(nonblank)",--('Final Calculation Sheet'!$L$14&lt;&gt;""),--ISNUMBER(SEARCH($M$4,'Final Calculation Sheet'!$L$14)))))</f>
        <v/>
      </c>
      <c r="DS69">
        <f>IF($N$4="",1,IF($N$4="(blank)",--('Final Calculation Sheet'!$M$14=""),IF($N$4="(nonblank)",--('Final Calculation Sheet'!$M$14&lt;&gt;""),--ISNUMBER(SEARCH($N$4,'Final Calculation Sheet'!$M$14)))))</f>
        <v/>
      </c>
      <c r="DT69">
        <f>IF($O$4="",1,IF($O$4="(blank)",--('Final Calculation Sheet'!$N$14=""),IF($O$4="(nonblank)",--('Final Calculation Sheet'!$N$14&lt;&gt;""),--ISNUMBER(SEARCH($O$4,'Final Calculation Sheet'!$N$14)))))</f>
        <v/>
      </c>
      <c r="DU69">
        <f>IF($P$4="",1,IF($P$4="(blank)",--('Final Calculation Sheet'!$O$14=""),IF($P$4="(nonblank)",--('Final Calculation Sheet'!$O$14&lt;&gt;""),--ISNUMBER(SEARCH($P$4,'Final Calculation Sheet'!$O$14)))))</f>
        <v/>
      </c>
      <c r="DV69">
        <f>IF($Q$4="",1,IF($Q$4="(blank)",--('Final Calculation Sheet'!$P$14=""),IF($Q$4="(nonblank)",--('Final Calculation Sheet'!$P$14&lt;&gt;""),--ISNUMBER(SEARCH($Q$4,'Final Calculation Sheet'!$P$14)))))</f>
        <v/>
      </c>
      <c r="DW69">
        <f>IF($R$4="",1,IF($R$4="(blank)",--('Final Calculation Sheet'!$Q$14=""),IF($R$4="(nonblank)",--('Final Calculation Sheet'!$Q$14&lt;&gt;""),--ISNUMBER(SEARCH($R$4,'Final Calculation Sheet'!$Q$14)))))</f>
        <v/>
      </c>
      <c r="DX69">
        <f>IF($S$4="",1,IF($S$4="(blank)",--('Final Calculation Sheet'!$R$14=""),IF($S$4="(nonblank)",--('Final Calculation Sheet'!$R$14&lt;&gt;""),--ISNUMBER(SEARCH($S$4,'Final Calculation Sheet'!$R$14)))))</f>
        <v/>
      </c>
      <c r="DY69">
        <f>IF($T$4="",1,IF($T$4="(blank)",--('Final Calculation Sheet'!$S$14=""),IF($T$4="(nonblank)",--('Final Calculation Sheet'!$S$14&lt;&gt;""),--ISNUMBER(SEARCH($T$4,'Final Calculation Sheet'!$S$14)))))</f>
        <v/>
      </c>
      <c r="DZ69">
        <f>IF($U$4="",1,IF($U$4="(blank)",--('Final Calculation Sheet'!$T$14=""),IF($U$4="(nonblank)",--('Final Calculation Sheet'!$T$14&lt;&gt;""),--ISNUMBER(SEARCH($U$4,'Final Calculation Sheet'!$T$14)))))</f>
        <v/>
      </c>
      <c r="EA69">
        <f>IF($V$4="",1,IF($V$4="(blank)",--('Final Calculation Sheet'!$U$14=""),IF($V$4="(nonblank)",--('Final Calculation Sheet'!$U$14&lt;&gt;""),--ISNUMBER(SEARCH($V$4,'Final Calculation Sheet'!$U$14)))))</f>
        <v/>
      </c>
      <c r="EB69">
        <f>IF($W$4="",1,IF($W$4="(blank)",--('Final Calculation Sheet'!$V$14=""),IF($W$4="(nonblank)",--('Final Calculation Sheet'!$V$14&lt;&gt;""),--ISNUMBER(SEARCH($W$4,'Final Calculation Sheet'!$V$14)))))</f>
        <v/>
      </c>
      <c r="EC69">
        <f>IF($X$4="",1,IF($X$4="(blank)",--('Final Calculation Sheet'!$W$14=""),IF($X$4="(nonblank)",--('Final Calculation Sheet'!$W$14&lt;&gt;""),--ISNUMBER(SEARCH($X$4,'Final Calculation Sheet'!$W$14)))))</f>
        <v/>
      </c>
      <c r="ED69">
        <f>IF($Y$4="",1,IF($Y$4="(blank)",--('Final Calculation Sheet'!$X$14=""),IF($Y$4="(nonblank)",--('Final Calculation Sheet'!$X$14&lt;&gt;""),--ISNUMBER(SEARCH($Y$4,'Final Calculation Sheet'!$X$14)))))</f>
        <v/>
      </c>
      <c r="EE69">
        <f>IF($Z$4="",1,IF($Z$4="(blank)",--('Final Calculation Sheet'!$Y$14=""),IF($Z$4="(nonblank)",--('Final Calculation Sheet'!$Y$14&lt;&gt;""),--ISNUMBER(SEARCH($Z$4,'Final Calculation Sheet'!$Y$14)))))</f>
        <v/>
      </c>
      <c r="EF69">
        <f>IF($AA$4="",1,IF($AA$4="(blank)",--('Final Calculation Sheet'!$Z$14=""),IF($AA$4="(nonblank)",--('Final Calculation Sheet'!$Z$14&lt;&gt;""),--ISNUMBER(SEARCH($AA$4,'Final Calculation Sheet'!$Z$14)))))</f>
        <v/>
      </c>
      <c r="EG69">
        <f>IF($AB$4="",1,IF($AB$4="(blank)",--('Final Calculation Sheet'!$AA$14=""),IF($AB$4="(nonblank)",--('Final Calculation Sheet'!$AA$14&lt;&gt;""),--ISNUMBER(SEARCH($AB$4,'Final Calculation Sheet'!$AA$14)))))</f>
        <v/>
      </c>
      <c r="EH69">
        <f>IF($AC$4="",1,IF($AC$4="(blank)",--('Final Calculation Sheet'!$AB$14=""),IF($AC$4="(nonblank)",--('Final Calculation Sheet'!$AB$14&lt;&gt;""),--ISNUMBER(SEARCH($AC$4,'Final Calculation Sheet'!$AB$14)))))</f>
        <v/>
      </c>
      <c r="EI69">
        <f>IF($AD$4="",1,IF($AD$4="(blank)",--('Final Calculation Sheet'!$AC$14=""),IF($AD$4="(nonblank)",--('Final Calculation Sheet'!$AC$14&lt;&gt;""),--ISNUMBER(SEARCH($AD$4,'Final Calculation Sheet'!$AC$14)))))</f>
        <v/>
      </c>
      <c r="EJ69">
        <f>IF($AE$4="",1,IF($AE$4="(blank)",--('Final Calculation Sheet'!$AD$14=""),IF($AE$4="(nonblank)",--('Final Calculation Sheet'!$AD$14&lt;&gt;""),--ISNUMBER(SEARCH($AE$4,'Final Calculation Sheet'!$AD$14)))))</f>
        <v/>
      </c>
      <c r="EK69">
        <f>IF($AF$4="",1,IF($AF$4="(blank)",--(IF('Final Calculation Sheet'!$AD$14&lt;=5,"SETTLED","OUTSTANDING")=""),IF($AF$4="(nonblank)",--(IF('Final Calculation Sheet'!$AD$14&lt;=5,"SETTLED","OUTSTANDING")&lt;&gt;""),--ISNUMBER(SEARCH($AF$4,IF('Final Calculation Sheet'!$AD$14&lt;=5,"SETTLED","OUTSTANDING"))))))</f>
        <v/>
      </c>
      <c r="EL69">
        <f>IF($AG$4="",1,IF($AG$4="(blank)",--('Final Calculation Sheet'!$AF$14=""),IF($AG$4="(nonblank)",--('Final Calculation Sheet'!$AF$14&lt;&gt;""),--ISNUMBER(SEARCH($AG$4,'Final Calculation Sheet'!$AF$14)))))</f>
        <v/>
      </c>
      <c r="EM69">
        <f>IF($AH$4="",1,IF($AH$4="(blank)",--('Final Calculation Sheet'!$AG$14=""),IF($AH$4="(nonblank)",--('Final Calculation Sheet'!$AG$14&lt;&gt;""),--ISNUMBER(SEARCH($AH$4,'Final Calculation Sheet'!$AG$14)))))</f>
        <v/>
      </c>
      <c r="EN69">
        <f>IF($AI$4="",1,IF($AI$4="(blank)",--('Final Calculation Sheet'!$AH$14=""),IF($AI$4="(nonblank)",--('Final Calculation Sheet'!$AH$14&lt;&gt;""),--ISNUMBER(SEARCH($AI$4,'Final Calculation Sheet'!$AH$14)))))</f>
        <v/>
      </c>
    </row>
    <row r="70">
      <c r="AM70">
        <f>AM69+IF(AND(Lists!$O$17&lt;&gt;"",ISNUMBER(SEARCH($B$4,Lists!$O$17))),1,0)</f>
        <v/>
      </c>
      <c r="AN70">
        <f>IF(ROW()-56&gt;MAX($AM$57:$AM$95),"",INDEX(Lists!$O$4:$O$42,MATCH(ROW()-56,$AM$57:$AM$95,0)))</f>
        <v/>
      </c>
      <c r="AO70">
        <f>AO69+IF(AND(Lists!$T$17&lt;&gt;"",ISNUMBER(SEARCH($C$4,Lists!$T$17))),1,0)</f>
        <v/>
      </c>
      <c r="AP70">
        <f>IF(ROW()-56&gt;MAX($AO$57:$AO$95),"",INDEX(Lists!$T$4:$T$42,MATCH(ROW()-56,$AO$57:$AO$95,0)))</f>
        <v/>
      </c>
      <c r="AQ70">
        <f>AQ69+IF(AND(Lists!$Y$17&lt;&gt;"",ISNUMBER(SEARCH($D$4,Lists!$Y$17))),1,0)</f>
        <v/>
      </c>
      <c r="AR70">
        <f>IF(ROW()-56&gt;MAX($AQ$57:$AQ$95),"",INDEX(Lists!$Y$4:$Y$42,MATCH(ROW()-56,$AQ$57:$AQ$95,0)))</f>
        <v/>
      </c>
      <c r="AS70">
        <f>AS69+IF(AND(Lists!$AD$17&lt;&gt;"",ISNUMBER(SEARCH($E$4,Lists!$AD$17))),1,0)</f>
        <v/>
      </c>
      <c r="AT70">
        <f>IF(ROW()-56&gt;MAX($AS$57:$AS$95),"",INDEX(Lists!$AD$4:$AD$42,MATCH(ROW()-56,$AS$57:$AS$95,0)))</f>
        <v/>
      </c>
      <c r="AU70">
        <f>AU69+IF(AND(Lists!$AI$17&lt;&gt;"",ISNUMBER(SEARCH($F$4,Lists!$AI$17))),1,0)</f>
        <v/>
      </c>
      <c r="AV70">
        <f>IF(ROW()-56&gt;MAX($AU$57:$AU$95),"",INDEX(Lists!$AI$4:$AI$42,MATCH(ROW()-56,$AU$57:$AU$95,0)))</f>
        <v/>
      </c>
      <c r="AW70">
        <f>AW69+IF(AND(Lists!$AN$17&lt;&gt;"",ISNUMBER(SEARCH($G$4,Lists!$AN$17))),1,0)</f>
        <v/>
      </c>
      <c r="AX70">
        <f>IF(ROW()-56&gt;MAX($AW$57:$AW$95),"",INDEX(Lists!$AN$4:$AN$42,MATCH(ROW()-56,$AW$57:$AW$95,0)))</f>
        <v/>
      </c>
      <c r="AY70">
        <f>AY69+IF(AND(Lists!$AS$17&lt;&gt;"",ISNUMBER(SEARCH($H$4,Lists!$AS$17))),1,0)</f>
        <v/>
      </c>
      <c r="AZ70">
        <f>IF(ROW()-56&gt;MAX($AY$57:$AY$95),"",INDEX(Lists!$AS$4:$AS$42,MATCH(ROW()-56,$AY$57:$AY$95,0)))</f>
        <v/>
      </c>
      <c r="BA70">
        <f>BA69+IF(AND(Lists!$AX$17&lt;&gt;"",ISNUMBER(SEARCH($I$4,Lists!$AX$17))),1,0)</f>
        <v/>
      </c>
      <c r="BB70">
        <f>IF(ROW()-56&gt;MAX($BA$57:$BA$95),"",INDEX(Lists!$AX$4:$AX$42,MATCH(ROW()-56,$BA$57:$BA$95,0)))</f>
        <v/>
      </c>
      <c r="BC70">
        <f>BC69+IF(AND(Lists!$BC$17&lt;&gt;"",ISNUMBER(SEARCH($J$4,Lists!$BC$17))),1,0)</f>
        <v/>
      </c>
      <c r="BD70">
        <f>IF(ROW()-56&gt;MAX($BC$57:$BC$95),"",INDEX(Lists!$BC$4:$BC$42,MATCH(ROW()-56,$BC$57:$BC$95,0)))</f>
        <v/>
      </c>
      <c r="BE70">
        <f>BE69+IF(AND(Lists!$BH$17&lt;&gt;"",ISNUMBER(SEARCH($K$4,Lists!$BH$17))),1,0)</f>
        <v/>
      </c>
      <c r="BF70">
        <f>IF(ROW()-56&gt;MAX($BE$57:$BE$95),"",INDEX(Lists!$BH$4:$BH$42,MATCH(ROW()-56,$BE$57:$BE$95,0)))</f>
        <v/>
      </c>
      <c r="BG70">
        <f>BG69+IF(AND(Lists!$BM$17&lt;&gt;"",ISNUMBER(SEARCH($L$4,Lists!$BM$17))),1,0)</f>
        <v/>
      </c>
      <c r="BH70">
        <f>IF(ROW()-56&gt;MAX($BG$57:$BG$95),"",INDEX(Lists!$BM$4:$BM$42,MATCH(ROW()-56,$BG$57:$BG$95,0)))</f>
        <v/>
      </c>
      <c r="BI70">
        <f>BI69+IF(AND(Lists!$BR$17&lt;&gt;"",ISNUMBER(SEARCH($M$4,Lists!$BR$17))),1,0)</f>
        <v/>
      </c>
      <c r="BJ70">
        <f>IF(ROW()-56&gt;MAX($BI$57:$BI$95),"",INDEX(Lists!$BR$4:$BR$42,MATCH(ROW()-56,$BI$57:$BI$95,0)))</f>
        <v/>
      </c>
      <c r="BK70">
        <f>BK69+IF(AND(Lists!$BW$17&lt;&gt;"",ISNUMBER(SEARCH($N$4,Lists!$BW$17))),1,0)</f>
        <v/>
      </c>
      <c r="BL70">
        <f>IF(ROW()-56&gt;MAX($BK$57:$BK$95),"",INDEX(Lists!$BW$4:$BW$42,MATCH(ROW()-56,$BK$57:$BK$95,0)))</f>
        <v/>
      </c>
      <c r="BM70">
        <f>BM69+IF(AND(Lists!$CB$17&lt;&gt;"",ISNUMBER(SEARCH($O$4,Lists!$CB$17))),1,0)</f>
        <v/>
      </c>
      <c r="BN70">
        <f>IF(ROW()-56&gt;MAX($BM$57:$BM$95),"",INDEX(Lists!$CB$4:$CB$42,MATCH(ROW()-56,$BM$57:$BM$95,0)))</f>
        <v/>
      </c>
      <c r="BO70">
        <f>BO69+IF(AND(Lists!$CG$17&lt;&gt;"",ISNUMBER(SEARCH($P$4,Lists!$CG$17))),1,0)</f>
        <v/>
      </c>
      <c r="BP70">
        <f>IF(ROW()-56&gt;MAX($BO$57:$BO$95),"",INDEX(Lists!$CG$4:$CG$42,MATCH(ROW()-56,$BO$57:$BO$95,0)))</f>
        <v/>
      </c>
      <c r="BQ70">
        <f>BQ69+IF(AND(Lists!$CL$17&lt;&gt;"",ISNUMBER(SEARCH($Q$4,Lists!$CL$17))),1,0)</f>
        <v/>
      </c>
      <c r="BR70">
        <f>IF(ROW()-56&gt;MAX($BQ$57:$BQ$95),"",INDEX(Lists!$CL$4:$CL$42,MATCH(ROW()-56,$BQ$57:$BQ$95,0)))</f>
        <v/>
      </c>
      <c r="BS70">
        <f>BS69+IF(AND(Lists!$CQ$17&lt;&gt;"",ISNUMBER(SEARCH($R$4,Lists!$CQ$17))),1,0)</f>
        <v/>
      </c>
      <c r="BT70">
        <f>IF(ROW()-56&gt;MAX($BS$57:$BS$95),"",INDEX(Lists!$CQ$4:$CQ$42,MATCH(ROW()-56,$BS$57:$BS$95,0)))</f>
        <v/>
      </c>
      <c r="BU70">
        <f>BU69+IF(AND(Lists!$CV$17&lt;&gt;"",ISNUMBER(SEARCH($S$4,Lists!$CV$17))),1,0)</f>
        <v/>
      </c>
      <c r="BV70">
        <f>IF(ROW()-56&gt;MAX($BU$57:$BU$95),"",INDEX(Lists!$CV$4:$CV$42,MATCH(ROW()-56,$BU$57:$BU$95,0)))</f>
        <v/>
      </c>
      <c r="BW70">
        <f>BW69+IF(AND(Lists!$DA$17&lt;&gt;"",ISNUMBER(SEARCH($T$4,Lists!$DA$17))),1,0)</f>
        <v/>
      </c>
      <c r="BX70">
        <f>IF(ROW()-56&gt;MAX($BW$57:$BW$95),"",INDEX(Lists!$DA$4:$DA$42,MATCH(ROW()-56,$BW$57:$BW$95,0)))</f>
        <v/>
      </c>
      <c r="BY70">
        <f>BY69+IF(AND(Lists!$DF$17&lt;&gt;"",ISNUMBER(SEARCH($U$4,Lists!$DF$17))),1,0)</f>
        <v/>
      </c>
      <c r="BZ70">
        <f>IF(ROW()-56&gt;MAX($BY$57:$BY$95),"",INDEX(Lists!$DF$4:$DF$42,MATCH(ROW()-56,$BY$57:$BY$95,0)))</f>
        <v/>
      </c>
      <c r="CA70">
        <f>CA69+IF(AND(Lists!$DK$17&lt;&gt;"",ISNUMBER(SEARCH($V$4,Lists!$DK$17))),1,0)</f>
        <v/>
      </c>
      <c r="CB70">
        <f>IF(ROW()-56&gt;MAX($CA$57:$CA$95),"",INDEX(Lists!$DK$4:$DK$42,MATCH(ROW()-56,$CA$57:$CA$95,0)))</f>
        <v/>
      </c>
      <c r="CC70">
        <f>CC69+IF(AND(Lists!$DP$17&lt;&gt;"",ISNUMBER(SEARCH($W$4,Lists!$DP$17))),1,0)</f>
        <v/>
      </c>
      <c r="CD70">
        <f>IF(ROW()-56&gt;MAX($CC$57:$CC$95),"",INDEX(Lists!$DP$4:$DP$42,MATCH(ROW()-56,$CC$57:$CC$95,0)))</f>
        <v/>
      </c>
      <c r="CE70">
        <f>CE69+IF(AND(Lists!$DU$17&lt;&gt;"",ISNUMBER(SEARCH($X$4,Lists!$DU$17))),1,0)</f>
        <v/>
      </c>
      <c r="CF70">
        <f>IF(ROW()-56&gt;MAX($CE$57:$CE$95),"",INDEX(Lists!$DU$4:$DU$42,MATCH(ROW()-56,$CE$57:$CE$95,0)))</f>
        <v/>
      </c>
      <c r="CG70">
        <f>CG69+IF(AND(Lists!$DZ$17&lt;&gt;"",ISNUMBER(SEARCH($Y$4,Lists!$DZ$17))),1,0)</f>
        <v/>
      </c>
      <c r="CH70">
        <f>IF(ROW()-56&gt;MAX($CG$57:$CG$95),"",INDEX(Lists!$DZ$4:$DZ$42,MATCH(ROW()-56,$CG$57:$CG$95,0)))</f>
        <v/>
      </c>
      <c r="CI70">
        <f>CI69+IF(AND(Lists!$EE$17&lt;&gt;"",ISNUMBER(SEARCH($Z$4,Lists!$EE$17))),1,0)</f>
        <v/>
      </c>
      <c r="CJ70">
        <f>IF(ROW()-56&gt;MAX($CI$57:$CI$95),"",INDEX(Lists!$EE$4:$EE$42,MATCH(ROW()-56,$CI$57:$CI$95,0)))</f>
        <v/>
      </c>
      <c r="CK70">
        <f>CK69+IF(AND(Lists!$EJ$17&lt;&gt;"",ISNUMBER(SEARCH($AA$4,Lists!$EJ$17))),1,0)</f>
        <v/>
      </c>
      <c r="CL70">
        <f>IF(ROW()-56&gt;MAX($CK$57:$CK$95),"",INDEX(Lists!$EJ$4:$EJ$42,MATCH(ROW()-56,$CK$57:$CK$95,0)))</f>
        <v/>
      </c>
      <c r="CM70">
        <f>CM69+IF(AND(Lists!$EO$17&lt;&gt;"",ISNUMBER(SEARCH($AB$4,Lists!$EO$17))),1,0)</f>
        <v/>
      </c>
      <c r="CN70">
        <f>IF(ROW()-56&gt;MAX($CM$57:$CM$95),"",INDEX(Lists!$EO$4:$EO$42,MATCH(ROW()-56,$CM$57:$CM$95,0)))</f>
        <v/>
      </c>
      <c r="CO70">
        <f>CO69+IF(AND(Lists!$ET$17&lt;&gt;"",ISNUMBER(SEARCH($AC$4,Lists!$ET$17))),1,0)</f>
        <v/>
      </c>
      <c r="CP70">
        <f>IF(ROW()-56&gt;MAX($CO$57:$CO$95),"",INDEX(Lists!$ET$4:$ET$42,MATCH(ROW()-56,$CO$57:$CO$95,0)))</f>
        <v/>
      </c>
      <c r="CQ70">
        <f>CQ69+IF(AND(Lists!$EY$17&lt;&gt;"",ISNUMBER(SEARCH($AD$4,Lists!$EY$17))),1,0)</f>
        <v/>
      </c>
      <c r="CR70">
        <f>IF(ROW()-56&gt;MAX($CQ$57:$CQ$95),"",INDEX(Lists!$EY$4:$EY$42,MATCH(ROW()-56,$CQ$57:$CQ$95,0)))</f>
        <v/>
      </c>
      <c r="CS70">
        <f>CS69+IF(AND(Lists!$FD$17&lt;&gt;"",ISNUMBER(SEARCH($AE$4,Lists!$FD$17))),1,0)</f>
        <v/>
      </c>
      <c r="CT70">
        <f>IF(ROW()-56&gt;MAX($CS$57:$CS$95),"",INDEX(Lists!$FD$4:$FD$42,MATCH(ROW()-56,$CS$57:$CS$95,0)))</f>
        <v/>
      </c>
      <c r="CU70">
        <f>CU69+IF(AND(Lists!$FI$17&lt;&gt;"",ISNUMBER(SEARCH($AG$4,Lists!$FI$17))),1,0)</f>
        <v/>
      </c>
      <c r="CV70">
        <f>IF(ROW()-56&gt;MAX($CU$57:$CU$95),"",INDEX(Lists!$FI$4:$FI$42,MATCH(ROW()-56,$CU$57:$CU$95,0)))</f>
        <v/>
      </c>
      <c r="CW70">
        <f>CW69+IF(AND(Lists!$FN$17&lt;&gt;"",ISNUMBER(SEARCH($AH$4,Lists!$FN$17))),1,0)</f>
        <v/>
      </c>
      <c r="CX70">
        <f>IF(ROW()-56&gt;MAX($CW$57:$CW$95),"",INDEX(Lists!$FN$4:$FN$42,MATCH(ROW()-56,$CW$57:$CW$95,0)))</f>
        <v/>
      </c>
      <c r="CY70">
        <f>CY69+IF(AND(Lists!$FS$17&lt;&gt;"",ISNUMBER(SEARCH($AI$4,Lists!$FS$17))),1,0)</f>
        <v/>
      </c>
      <c r="CZ70">
        <f>IF(ROW()-56&gt;MAX($CY$57:$CY$95),"",INDEX(Lists!$FS$4:$FS$42,MATCH(ROW()-56,$CY$57:$CY$95,0)))</f>
        <v/>
      </c>
      <c r="DA70">
        <f>DA69+IF(AND(Lists!$FX$17&lt;&gt;"",ISNUMBER(SEARCH($AF$4,Lists!$FX$17))),1,0)</f>
        <v/>
      </c>
      <c r="DB70">
        <f>IF(ROW()-56&gt;MAX($DA$57:$DA$95),"",INDEX(Lists!$FX$4:$FX$42,MATCH(ROW()-56,$DA$57:$DA$95,0)))</f>
        <v/>
      </c>
      <c r="DG70">
        <f>IF($B$4="",1,IF($B$4="(blank)",--('Final Calculation Sheet'!$F$15=""),IF($B$4="(nonblank)",--('Final Calculation Sheet'!$F$15&lt;&gt;""),--ISNUMBER(SEARCH($B$4,'Final Calculation Sheet'!$F$15)))))</f>
        <v/>
      </c>
      <c r="DH70">
        <f>IF($C$4="",1,IF($C$4="(blank)",--('Final Calculation Sheet'!$G$15=""),IF($C$4="(nonblank)",--('Final Calculation Sheet'!$G$15&lt;&gt;""),--ISNUMBER(SEARCH($C$4,'Final Calculation Sheet'!$G$15)))))</f>
        <v/>
      </c>
      <c r="DI70">
        <f>IF($D$4="",1,IF($D$4="(blank)",--('Final Calculation Sheet'!$B$15=""),IF($D$4="(nonblank)",--('Final Calculation Sheet'!$B$15&lt;&gt;""),--ISNUMBER(SEARCH($D$4,'Final Calculation Sheet'!$B$15)))))</f>
        <v/>
      </c>
      <c r="DJ70">
        <f>IF($E$4="",1,IF($E$4="(blank)",--('Final Calculation Sheet'!$D$15=""),IF($E$4="(nonblank)",--('Final Calculation Sheet'!$D$15&lt;&gt;""),--ISNUMBER(SEARCH($E$4,'Final Calculation Sheet'!$D$15)))))</f>
        <v/>
      </c>
      <c r="DK70">
        <f>IF($F$4="",1,IF($F$4="(blank)",--('Final Calculation Sheet'!$A$15=""),IF($F$4="(nonblank)",--('Final Calculation Sheet'!$A$15&lt;&gt;""),--ISNUMBER(SEARCH($F$4,'Final Calculation Sheet'!$A$15)))))</f>
        <v/>
      </c>
      <c r="DL70">
        <f>IF($G$4="",1,IF($G$4="(blank)",--('Final Calculation Sheet'!$E$15=""),IF($G$4="(nonblank)",--('Final Calculation Sheet'!$E$15&lt;&gt;""),--ISNUMBER(SEARCH($G$4,'Final Calculation Sheet'!$E$15)))))</f>
        <v/>
      </c>
      <c r="DM70">
        <f>IF($H$4="",1,IF($H$4="(blank)",--('Final Calculation Sheet'!$C$15=""),IF($H$4="(nonblank)",--('Final Calculation Sheet'!$C$15&lt;&gt;""),--ISNUMBER(SEARCH($H$4,'Final Calculation Sheet'!$C$15)))))</f>
        <v/>
      </c>
      <c r="DN70">
        <f>IF($I$4="",1,IF($I$4="(blank)",--('Final Calculation Sheet'!$H$15=""),IF($I$4="(nonblank)",--('Final Calculation Sheet'!$H$15&lt;&gt;""),--ISNUMBER(SEARCH($I$4,'Final Calculation Sheet'!$H$15)))))</f>
        <v/>
      </c>
      <c r="DO70">
        <f>IF($J$4="",1,IF($J$4="(blank)",--('Final Calculation Sheet'!$I$15=""),IF($J$4="(nonblank)",--('Final Calculation Sheet'!$I$15&lt;&gt;""),--ISNUMBER(SEARCH($J$4,'Final Calculation Sheet'!$I$15)))))</f>
        <v/>
      </c>
      <c r="DP70">
        <f>IF($K$4="",1,IF($K$4="(blank)",--('Final Calculation Sheet'!$J$15=""),IF($K$4="(nonblank)",--('Final Calculation Sheet'!$J$15&lt;&gt;""),--ISNUMBER(SEARCH($K$4,'Final Calculation Sheet'!$J$15)))))</f>
        <v/>
      </c>
      <c r="DQ70">
        <f>IF($L$4="",1,IF($L$4="(blank)",--('Final Calculation Sheet'!$K$15=""),IF($L$4="(nonblank)",--('Final Calculation Sheet'!$K$15&lt;&gt;""),--ISNUMBER(SEARCH($L$4,'Final Calculation Sheet'!$K$15)))))</f>
        <v/>
      </c>
      <c r="DR70">
        <f>IF($M$4="",1,IF($M$4="(blank)",--('Final Calculation Sheet'!$L$15=""),IF($M$4="(nonblank)",--('Final Calculation Sheet'!$L$15&lt;&gt;""),--ISNUMBER(SEARCH($M$4,'Final Calculation Sheet'!$L$15)))))</f>
        <v/>
      </c>
      <c r="DS70">
        <f>IF($N$4="",1,IF($N$4="(blank)",--('Final Calculation Sheet'!$M$15=""),IF($N$4="(nonblank)",--('Final Calculation Sheet'!$M$15&lt;&gt;""),--ISNUMBER(SEARCH($N$4,'Final Calculation Sheet'!$M$15)))))</f>
        <v/>
      </c>
      <c r="DT70">
        <f>IF($O$4="",1,IF($O$4="(blank)",--('Final Calculation Sheet'!$N$15=""),IF($O$4="(nonblank)",--('Final Calculation Sheet'!$N$15&lt;&gt;""),--ISNUMBER(SEARCH($O$4,'Final Calculation Sheet'!$N$15)))))</f>
        <v/>
      </c>
      <c r="DU70">
        <f>IF($P$4="",1,IF($P$4="(blank)",--('Final Calculation Sheet'!$O$15=""),IF($P$4="(nonblank)",--('Final Calculation Sheet'!$O$15&lt;&gt;""),--ISNUMBER(SEARCH($P$4,'Final Calculation Sheet'!$O$15)))))</f>
        <v/>
      </c>
      <c r="DV70">
        <f>IF($Q$4="",1,IF($Q$4="(blank)",--('Final Calculation Sheet'!$P$15=""),IF($Q$4="(nonblank)",--('Final Calculation Sheet'!$P$15&lt;&gt;""),--ISNUMBER(SEARCH($Q$4,'Final Calculation Sheet'!$P$15)))))</f>
        <v/>
      </c>
      <c r="DW70">
        <f>IF($R$4="",1,IF($R$4="(blank)",--('Final Calculation Sheet'!$Q$15=""),IF($R$4="(nonblank)",--('Final Calculation Sheet'!$Q$15&lt;&gt;""),--ISNUMBER(SEARCH($R$4,'Final Calculation Sheet'!$Q$15)))))</f>
        <v/>
      </c>
      <c r="DX70">
        <f>IF($S$4="",1,IF($S$4="(blank)",--('Final Calculation Sheet'!$R$15=""),IF($S$4="(nonblank)",--('Final Calculation Sheet'!$R$15&lt;&gt;""),--ISNUMBER(SEARCH($S$4,'Final Calculation Sheet'!$R$15)))))</f>
        <v/>
      </c>
      <c r="DY70">
        <f>IF($T$4="",1,IF($T$4="(blank)",--('Final Calculation Sheet'!$S$15=""),IF($T$4="(nonblank)",--('Final Calculation Sheet'!$S$15&lt;&gt;""),--ISNUMBER(SEARCH($T$4,'Final Calculation Sheet'!$S$15)))))</f>
        <v/>
      </c>
      <c r="DZ70">
        <f>IF($U$4="",1,IF($U$4="(blank)",--('Final Calculation Sheet'!$T$15=""),IF($U$4="(nonblank)",--('Final Calculation Sheet'!$T$15&lt;&gt;""),--ISNUMBER(SEARCH($U$4,'Final Calculation Sheet'!$T$15)))))</f>
        <v/>
      </c>
      <c r="EA70">
        <f>IF($V$4="",1,IF($V$4="(blank)",--('Final Calculation Sheet'!$U$15=""),IF($V$4="(nonblank)",--('Final Calculation Sheet'!$U$15&lt;&gt;""),--ISNUMBER(SEARCH($V$4,'Final Calculation Sheet'!$U$15)))))</f>
        <v/>
      </c>
      <c r="EB70">
        <f>IF($W$4="",1,IF($W$4="(blank)",--('Final Calculation Sheet'!$V$15=""),IF($W$4="(nonblank)",--('Final Calculation Sheet'!$V$15&lt;&gt;""),--ISNUMBER(SEARCH($W$4,'Final Calculation Sheet'!$V$15)))))</f>
        <v/>
      </c>
      <c r="EC70">
        <f>IF($X$4="",1,IF($X$4="(blank)",--('Final Calculation Sheet'!$W$15=""),IF($X$4="(nonblank)",--('Final Calculation Sheet'!$W$15&lt;&gt;""),--ISNUMBER(SEARCH($X$4,'Final Calculation Sheet'!$W$15)))))</f>
        <v/>
      </c>
      <c r="ED70">
        <f>IF($Y$4="",1,IF($Y$4="(blank)",--('Final Calculation Sheet'!$X$15=""),IF($Y$4="(nonblank)",--('Final Calculation Sheet'!$X$15&lt;&gt;""),--ISNUMBER(SEARCH($Y$4,'Final Calculation Sheet'!$X$15)))))</f>
        <v/>
      </c>
      <c r="EE70">
        <f>IF($Z$4="",1,IF($Z$4="(blank)",--('Final Calculation Sheet'!$Y$15=""),IF($Z$4="(nonblank)",--('Final Calculation Sheet'!$Y$15&lt;&gt;""),--ISNUMBER(SEARCH($Z$4,'Final Calculation Sheet'!$Y$15)))))</f>
        <v/>
      </c>
      <c r="EF70">
        <f>IF($AA$4="",1,IF($AA$4="(blank)",--('Final Calculation Sheet'!$Z$15=""),IF($AA$4="(nonblank)",--('Final Calculation Sheet'!$Z$15&lt;&gt;""),--ISNUMBER(SEARCH($AA$4,'Final Calculation Sheet'!$Z$15)))))</f>
        <v/>
      </c>
      <c r="EG70">
        <f>IF($AB$4="",1,IF($AB$4="(blank)",--('Final Calculation Sheet'!$AA$15=""),IF($AB$4="(nonblank)",--('Final Calculation Sheet'!$AA$15&lt;&gt;""),--ISNUMBER(SEARCH($AB$4,'Final Calculation Sheet'!$AA$15)))))</f>
        <v/>
      </c>
      <c r="EH70">
        <f>IF($AC$4="",1,IF($AC$4="(blank)",--('Final Calculation Sheet'!$AB$15=""),IF($AC$4="(nonblank)",--('Final Calculation Sheet'!$AB$15&lt;&gt;""),--ISNUMBER(SEARCH($AC$4,'Final Calculation Sheet'!$AB$15)))))</f>
        <v/>
      </c>
      <c r="EI70">
        <f>IF($AD$4="",1,IF($AD$4="(blank)",--('Final Calculation Sheet'!$AC$15=""),IF($AD$4="(nonblank)",--('Final Calculation Sheet'!$AC$15&lt;&gt;""),--ISNUMBER(SEARCH($AD$4,'Final Calculation Sheet'!$AC$15)))))</f>
        <v/>
      </c>
      <c r="EJ70">
        <f>IF($AE$4="",1,IF($AE$4="(blank)",--('Final Calculation Sheet'!$AD$15=""),IF($AE$4="(nonblank)",--('Final Calculation Sheet'!$AD$15&lt;&gt;""),--ISNUMBER(SEARCH($AE$4,'Final Calculation Sheet'!$AD$15)))))</f>
        <v/>
      </c>
      <c r="EK70">
        <f>IF($AF$4="",1,IF($AF$4="(blank)",--(IF('Final Calculation Sheet'!$AD$15&lt;=5,"SETTLED","OUTSTANDING")=""),IF($AF$4="(nonblank)",--(IF('Final Calculation Sheet'!$AD$15&lt;=5,"SETTLED","OUTSTANDING")&lt;&gt;""),--ISNUMBER(SEARCH($AF$4,IF('Final Calculation Sheet'!$AD$15&lt;=5,"SETTLED","OUTSTANDING"))))))</f>
        <v/>
      </c>
      <c r="EL70">
        <f>IF($AG$4="",1,IF($AG$4="(blank)",--('Final Calculation Sheet'!$AF$15=""),IF($AG$4="(nonblank)",--('Final Calculation Sheet'!$AF$15&lt;&gt;""),--ISNUMBER(SEARCH($AG$4,'Final Calculation Sheet'!$AF$15)))))</f>
        <v/>
      </c>
      <c r="EM70">
        <f>IF($AH$4="",1,IF($AH$4="(blank)",--('Final Calculation Sheet'!$AG$15=""),IF($AH$4="(nonblank)",--('Final Calculation Sheet'!$AG$15&lt;&gt;""),--ISNUMBER(SEARCH($AH$4,'Final Calculation Sheet'!$AG$15)))))</f>
        <v/>
      </c>
      <c r="EN70">
        <f>IF($AI$4="",1,IF($AI$4="(blank)",--('Final Calculation Sheet'!$AH$15=""),IF($AI$4="(nonblank)",--('Final Calculation Sheet'!$AH$15&lt;&gt;""),--ISNUMBER(SEARCH($AI$4,'Final Calculation Sheet'!$AH$15)))))</f>
        <v/>
      </c>
    </row>
    <row r="71">
      <c r="AM71">
        <f>AM70+IF(AND(Lists!$O$18&lt;&gt;"",ISNUMBER(SEARCH($B$4,Lists!$O$18))),1,0)</f>
        <v/>
      </c>
      <c r="AN71">
        <f>IF(ROW()-56&gt;MAX($AM$57:$AM$95),"",INDEX(Lists!$O$4:$O$42,MATCH(ROW()-56,$AM$57:$AM$95,0)))</f>
        <v/>
      </c>
      <c r="AO71">
        <f>AO70+IF(AND(Lists!$T$18&lt;&gt;"",ISNUMBER(SEARCH($C$4,Lists!$T$18))),1,0)</f>
        <v/>
      </c>
      <c r="AP71">
        <f>IF(ROW()-56&gt;MAX($AO$57:$AO$95),"",INDEX(Lists!$T$4:$T$42,MATCH(ROW()-56,$AO$57:$AO$95,0)))</f>
        <v/>
      </c>
      <c r="AQ71">
        <f>AQ70+IF(AND(Lists!$Y$18&lt;&gt;"",ISNUMBER(SEARCH($D$4,Lists!$Y$18))),1,0)</f>
        <v/>
      </c>
      <c r="AR71">
        <f>IF(ROW()-56&gt;MAX($AQ$57:$AQ$95),"",INDEX(Lists!$Y$4:$Y$42,MATCH(ROW()-56,$AQ$57:$AQ$95,0)))</f>
        <v/>
      </c>
      <c r="AS71">
        <f>AS70+IF(AND(Lists!$AD$18&lt;&gt;"",ISNUMBER(SEARCH($E$4,Lists!$AD$18))),1,0)</f>
        <v/>
      </c>
      <c r="AT71">
        <f>IF(ROW()-56&gt;MAX($AS$57:$AS$95),"",INDEX(Lists!$AD$4:$AD$42,MATCH(ROW()-56,$AS$57:$AS$95,0)))</f>
        <v/>
      </c>
      <c r="AU71">
        <f>AU70+IF(AND(Lists!$AI$18&lt;&gt;"",ISNUMBER(SEARCH($F$4,Lists!$AI$18))),1,0)</f>
        <v/>
      </c>
      <c r="AV71">
        <f>IF(ROW()-56&gt;MAX($AU$57:$AU$95),"",INDEX(Lists!$AI$4:$AI$42,MATCH(ROW()-56,$AU$57:$AU$95,0)))</f>
        <v/>
      </c>
      <c r="AW71">
        <f>AW70+IF(AND(Lists!$AN$18&lt;&gt;"",ISNUMBER(SEARCH($G$4,Lists!$AN$18))),1,0)</f>
        <v/>
      </c>
      <c r="AX71">
        <f>IF(ROW()-56&gt;MAX($AW$57:$AW$95),"",INDEX(Lists!$AN$4:$AN$42,MATCH(ROW()-56,$AW$57:$AW$95,0)))</f>
        <v/>
      </c>
      <c r="AY71">
        <f>AY70+IF(AND(Lists!$AS$18&lt;&gt;"",ISNUMBER(SEARCH($H$4,Lists!$AS$18))),1,0)</f>
        <v/>
      </c>
      <c r="AZ71">
        <f>IF(ROW()-56&gt;MAX($AY$57:$AY$95),"",INDEX(Lists!$AS$4:$AS$42,MATCH(ROW()-56,$AY$57:$AY$95,0)))</f>
        <v/>
      </c>
      <c r="BA71">
        <f>BA70+IF(AND(Lists!$AX$18&lt;&gt;"",ISNUMBER(SEARCH($I$4,Lists!$AX$18))),1,0)</f>
        <v/>
      </c>
      <c r="BB71">
        <f>IF(ROW()-56&gt;MAX($BA$57:$BA$95),"",INDEX(Lists!$AX$4:$AX$42,MATCH(ROW()-56,$BA$57:$BA$95,0)))</f>
        <v/>
      </c>
      <c r="BC71">
        <f>BC70+IF(AND(Lists!$BC$18&lt;&gt;"",ISNUMBER(SEARCH($J$4,Lists!$BC$18))),1,0)</f>
        <v/>
      </c>
      <c r="BD71">
        <f>IF(ROW()-56&gt;MAX($BC$57:$BC$95),"",INDEX(Lists!$BC$4:$BC$42,MATCH(ROW()-56,$BC$57:$BC$95,0)))</f>
        <v/>
      </c>
      <c r="BE71">
        <f>BE70+IF(AND(Lists!$BH$18&lt;&gt;"",ISNUMBER(SEARCH($K$4,Lists!$BH$18))),1,0)</f>
        <v/>
      </c>
      <c r="BF71">
        <f>IF(ROW()-56&gt;MAX($BE$57:$BE$95),"",INDEX(Lists!$BH$4:$BH$42,MATCH(ROW()-56,$BE$57:$BE$95,0)))</f>
        <v/>
      </c>
      <c r="BG71">
        <f>BG70+IF(AND(Lists!$BM$18&lt;&gt;"",ISNUMBER(SEARCH($L$4,Lists!$BM$18))),1,0)</f>
        <v/>
      </c>
      <c r="BH71">
        <f>IF(ROW()-56&gt;MAX($BG$57:$BG$95),"",INDEX(Lists!$BM$4:$BM$42,MATCH(ROW()-56,$BG$57:$BG$95,0)))</f>
        <v/>
      </c>
      <c r="BI71">
        <f>BI70+IF(AND(Lists!$BR$18&lt;&gt;"",ISNUMBER(SEARCH($M$4,Lists!$BR$18))),1,0)</f>
        <v/>
      </c>
      <c r="BJ71">
        <f>IF(ROW()-56&gt;MAX($BI$57:$BI$95),"",INDEX(Lists!$BR$4:$BR$42,MATCH(ROW()-56,$BI$57:$BI$95,0)))</f>
        <v/>
      </c>
      <c r="BK71">
        <f>BK70+IF(AND(Lists!$BW$18&lt;&gt;"",ISNUMBER(SEARCH($N$4,Lists!$BW$18))),1,0)</f>
        <v/>
      </c>
      <c r="BL71">
        <f>IF(ROW()-56&gt;MAX($BK$57:$BK$95),"",INDEX(Lists!$BW$4:$BW$42,MATCH(ROW()-56,$BK$57:$BK$95,0)))</f>
        <v/>
      </c>
      <c r="BM71">
        <f>BM70+IF(AND(Lists!$CB$18&lt;&gt;"",ISNUMBER(SEARCH($O$4,Lists!$CB$18))),1,0)</f>
        <v/>
      </c>
      <c r="BN71">
        <f>IF(ROW()-56&gt;MAX($BM$57:$BM$95),"",INDEX(Lists!$CB$4:$CB$42,MATCH(ROW()-56,$BM$57:$BM$95,0)))</f>
        <v/>
      </c>
      <c r="BO71">
        <f>BO70+IF(AND(Lists!$CG$18&lt;&gt;"",ISNUMBER(SEARCH($P$4,Lists!$CG$18))),1,0)</f>
        <v/>
      </c>
      <c r="BP71">
        <f>IF(ROW()-56&gt;MAX($BO$57:$BO$95),"",INDEX(Lists!$CG$4:$CG$42,MATCH(ROW()-56,$BO$57:$BO$95,0)))</f>
        <v/>
      </c>
      <c r="BQ71">
        <f>BQ70+IF(AND(Lists!$CL$18&lt;&gt;"",ISNUMBER(SEARCH($Q$4,Lists!$CL$18))),1,0)</f>
        <v/>
      </c>
      <c r="BR71">
        <f>IF(ROW()-56&gt;MAX($BQ$57:$BQ$95),"",INDEX(Lists!$CL$4:$CL$42,MATCH(ROW()-56,$BQ$57:$BQ$95,0)))</f>
        <v/>
      </c>
      <c r="BS71">
        <f>BS70+IF(AND(Lists!$CQ$18&lt;&gt;"",ISNUMBER(SEARCH($R$4,Lists!$CQ$18))),1,0)</f>
        <v/>
      </c>
      <c r="BT71">
        <f>IF(ROW()-56&gt;MAX($BS$57:$BS$95),"",INDEX(Lists!$CQ$4:$CQ$42,MATCH(ROW()-56,$BS$57:$BS$95,0)))</f>
        <v/>
      </c>
      <c r="BU71">
        <f>BU70+IF(AND(Lists!$CV$18&lt;&gt;"",ISNUMBER(SEARCH($S$4,Lists!$CV$18))),1,0)</f>
        <v/>
      </c>
      <c r="BV71">
        <f>IF(ROW()-56&gt;MAX($BU$57:$BU$95),"",INDEX(Lists!$CV$4:$CV$42,MATCH(ROW()-56,$BU$57:$BU$95,0)))</f>
        <v/>
      </c>
      <c r="BW71">
        <f>BW70+IF(AND(Lists!$DA$18&lt;&gt;"",ISNUMBER(SEARCH($T$4,Lists!$DA$18))),1,0)</f>
        <v/>
      </c>
      <c r="BX71">
        <f>IF(ROW()-56&gt;MAX($BW$57:$BW$95),"",INDEX(Lists!$DA$4:$DA$42,MATCH(ROW()-56,$BW$57:$BW$95,0)))</f>
        <v/>
      </c>
      <c r="BY71">
        <f>BY70+IF(AND(Lists!$DF$18&lt;&gt;"",ISNUMBER(SEARCH($U$4,Lists!$DF$18))),1,0)</f>
        <v/>
      </c>
      <c r="BZ71">
        <f>IF(ROW()-56&gt;MAX($BY$57:$BY$95),"",INDEX(Lists!$DF$4:$DF$42,MATCH(ROW()-56,$BY$57:$BY$95,0)))</f>
        <v/>
      </c>
      <c r="CA71">
        <f>CA70+IF(AND(Lists!$DK$18&lt;&gt;"",ISNUMBER(SEARCH($V$4,Lists!$DK$18))),1,0)</f>
        <v/>
      </c>
      <c r="CB71">
        <f>IF(ROW()-56&gt;MAX($CA$57:$CA$95),"",INDEX(Lists!$DK$4:$DK$42,MATCH(ROW()-56,$CA$57:$CA$95,0)))</f>
        <v/>
      </c>
      <c r="CC71">
        <f>CC70+IF(AND(Lists!$DP$18&lt;&gt;"",ISNUMBER(SEARCH($W$4,Lists!$DP$18))),1,0)</f>
        <v/>
      </c>
      <c r="CD71">
        <f>IF(ROW()-56&gt;MAX($CC$57:$CC$95),"",INDEX(Lists!$DP$4:$DP$42,MATCH(ROW()-56,$CC$57:$CC$95,0)))</f>
        <v/>
      </c>
      <c r="CE71">
        <f>CE70+IF(AND(Lists!$DU$18&lt;&gt;"",ISNUMBER(SEARCH($X$4,Lists!$DU$18))),1,0)</f>
        <v/>
      </c>
      <c r="CF71">
        <f>IF(ROW()-56&gt;MAX($CE$57:$CE$95),"",INDEX(Lists!$DU$4:$DU$42,MATCH(ROW()-56,$CE$57:$CE$95,0)))</f>
        <v/>
      </c>
      <c r="CG71">
        <f>CG70+IF(AND(Lists!$DZ$18&lt;&gt;"",ISNUMBER(SEARCH($Y$4,Lists!$DZ$18))),1,0)</f>
        <v/>
      </c>
      <c r="CH71">
        <f>IF(ROW()-56&gt;MAX($CG$57:$CG$95),"",INDEX(Lists!$DZ$4:$DZ$42,MATCH(ROW()-56,$CG$57:$CG$95,0)))</f>
        <v/>
      </c>
      <c r="CI71">
        <f>CI70+IF(AND(Lists!$EE$18&lt;&gt;"",ISNUMBER(SEARCH($Z$4,Lists!$EE$18))),1,0)</f>
        <v/>
      </c>
      <c r="CJ71">
        <f>IF(ROW()-56&gt;MAX($CI$57:$CI$95),"",INDEX(Lists!$EE$4:$EE$42,MATCH(ROW()-56,$CI$57:$CI$95,0)))</f>
        <v/>
      </c>
      <c r="CK71">
        <f>CK70+IF(AND(Lists!$EJ$18&lt;&gt;"",ISNUMBER(SEARCH($AA$4,Lists!$EJ$18))),1,0)</f>
        <v/>
      </c>
      <c r="CL71">
        <f>IF(ROW()-56&gt;MAX($CK$57:$CK$95),"",INDEX(Lists!$EJ$4:$EJ$42,MATCH(ROW()-56,$CK$57:$CK$95,0)))</f>
        <v/>
      </c>
      <c r="CM71">
        <f>CM70+IF(AND(Lists!$EO$18&lt;&gt;"",ISNUMBER(SEARCH($AB$4,Lists!$EO$18))),1,0)</f>
        <v/>
      </c>
      <c r="CN71">
        <f>IF(ROW()-56&gt;MAX($CM$57:$CM$95),"",INDEX(Lists!$EO$4:$EO$42,MATCH(ROW()-56,$CM$57:$CM$95,0)))</f>
        <v/>
      </c>
      <c r="CO71">
        <f>CO70+IF(AND(Lists!$ET$18&lt;&gt;"",ISNUMBER(SEARCH($AC$4,Lists!$ET$18))),1,0)</f>
        <v/>
      </c>
      <c r="CP71">
        <f>IF(ROW()-56&gt;MAX($CO$57:$CO$95),"",INDEX(Lists!$ET$4:$ET$42,MATCH(ROW()-56,$CO$57:$CO$95,0)))</f>
        <v/>
      </c>
      <c r="CQ71">
        <f>CQ70+IF(AND(Lists!$EY$18&lt;&gt;"",ISNUMBER(SEARCH($AD$4,Lists!$EY$18))),1,0)</f>
        <v/>
      </c>
      <c r="CR71">
        <f>IF(ROW()-56&gt;MAX($CQ$57:$CQ$95),"",INDEX(Lists!$EY$4:$EY$42,MATCH(ROW()-56,$CQ$57:$CQ$95,0)))</f>
        <v/>
      </c>
      <c r="CS71">
        <f>CS70+IF(AND(Lists!$FD$18&lt;&gt;"",ISNUMBER(SEARCH($AE$4,Lists!$FD$18))),1,0)</f>
        <v/>
      </c>
      <c r="CT71">
        <f>IF(ROW()-56&gt;MAX($CS$57:$CS$95),"",INDEX(Lists!$FD$4:$FD$42,MATCH(ROW()-56,$CS$57:$CS$95,0)))</f>
        <v/>
      </c>
      <c r="CU71">
        <f>CU70+IF(AND(Lists!$FI$18&lt;&gt;"",ISNUMBER(SEARCH($AG$4,Lists!$FI$18))),1,0)</f>
        <v/>
      </c>
      <c r="CV71">
        <f>IF(ROW()-56&gt;MAX($CU$57:$CU$95),"",INDEX(Lists!$FI$4:$FI$42,MATCH(ROW()-56,$CU$57:$CU$95,0)))</f>
        <v/>
      </c>
      <c r="CW71">
        <f>CW70+IF(AND(Lists!$FN$18&lt;&gt;"",ISNUMBER(SEARCH($AH$4,Lists!$FN$18))),1,0)</f>
        <v/>
      </c>
      <c r="CX71">
        <f>IF(ROW()-56&gt;MAX($CW$57:$CW$95),"",INDEX(Lists!$FN$4:$FN$42,MATCH(ROW()-56,$CW$57:$CW$95,0)))</f>
        <v/>
      </c>
      <c r="CY71">
        <f>CY70+IF(AND(Lists!$FS$18&lt;&gt;"",ISNUMBER(SEARCH($AI$4,Lists!$FS$18))),1,0)</f>
        <v/>
      </c>
      <c r="CZ71">
        <f>IF(ROW()-56&gt;MAX($CY$57:$CY$95),"",INDEX(Lists!$FS$4:$FS$42,MATCH(ROW()-56,$CY$57:$CY$95,0)))</f>
        <v/>
      </c>
      <c r="DA71">
        <f>DA70+IF(AND(Lists!$FX$18&lt;&gt;"",ISNUMBER(SEARCH($AF$4,Lists!$FX$18))),1,0)</f>
        <v/>
      </c>
      <c r="DB71">
        <f>IF(ROW()-56&gt;MAX($DA$57:$DA$95),"",INDEX(Lists!$FX$4:$FX$42,MATCH(ROW()-56,$DA$57:$DA$95,0)))</f>
        <v/>
      </c>
      <c r="DG71">
        <f>IF($B$4="",1,IF($B$4="(blank)",--('Final Calculation Sheet'!$F$16=""),IF($B$4="(nonblank)",--('Final Calculation Sheet'!$F$16&lt;&gt;""),--ISNUMBER(SEARCH($B$4,'Final Calculation Sheet'!$F$16)))))</f>
        <v/>
      </c>
      <c r="DH71">
        <f>IF($C$4="",1,IF($C$4="(blank)",--('Final Calculation Sheet'!$G$16=""),IF($C$4="(nonblank)",--('Final Calculation Sheet'!$G$16&lt;&gt;""),--ISNUMBER(SEARCH($C$4,'Final Calculation Sheet'!$G$16)))))</f>
        <v/>
      </c>
      <c r="DI71">
        <f>IF($D$4="",1,IF($D$4="(blank)",--('Final Calculation Sheet'!$B$16=""),IF($D$4="(nonblank)",--('Final Calculation Sheet'!$B$16&lt;&gt;""),--ISNUMBER(SEARCH($D$4,'Final Calculation Sheet'!$B$16)))))</f>
        <v/>
      </c>
      <c r="DJ71">
        <f>IF($E$4="",1,IF($E$4="(blank)",--('Final Calculation Sheet'!$D$16=""),IF($E$4="(nonblank)",--('Final Calculation Sheet'!$D$16&lt;&gt;""),--ISNUMBER(SEARCH($E$4,'Final Calculation Sheet'!$D$16)))))</f>
        <v/>
      </c>
      <c r="DK71">
        <f>IF($F$4="",1,IF($F$4="(blank)",--('Final Calculation Sheet'!$A$16=""),IF($F$4="(nonblank)",--('Final Calculation Sheet'!$A$16&lt;&gt;""),--ISNUMBER(SEARCH($F$4,'Final Calculation Sheet'!$A$16)))))</f>
        <v/>
      </c>
      <c r="DL71">
        <f>IF($G$4="",1,IF($G$4="(blank)",--('Final Calculation Sheet'!$E$16=""),IF($G$4="(nonblank)",--('Final Calculation Sheet'!$E$16&lt;&gt;""),--ISNUMBER(SEARCH($G$4,'Final Calculation Sheet'!$E$16)))))</f>
        <v/>
      </c>
      <c r="DM71">
        <f>IF($H$4="",1,IF($H$4="(blank)",--('Final Calculation Sheet'!$C$16=""),IF($H$4="(nonblank)",--('Final Calculation Sheet'!$C$16&lt;&gt;""),--ISNUMBER(SEARCH($H$4,'Final Calculation Sheet'!$C$16)))))</f>
        <v/>
      </c>
      <c r="DN71">
        <f>IF($I$4="",1,IF($I$4="(blank)",--('Final Calculation Sheet'!$H$16=""),IF($I$4="(nonblank)",--('Final Calculation Sheet'!$H$16&lt;&gt;""),--ISNUMBER(SEARCH($I$4,'Final Calculation Sheet'!$H$16)))))</f>
        <v/>
      </c>
      <c r="DO71">
        <f>IF($J$4="",1,IF($J$4="(blank)",--('Final Calculation Sheet'!$I$16=""),IF($J$4="(nonblank)",--('Final Calculation Sheet'!$I$16&lt;&gt;""),--ISNUMBER(SEARCH($J$4,'Final Calculation Sheet'!$I$16)))))</f>
        <v/>
      </c>
      <c r="DP71">
        <f>IF($K$4="",1,IF($K$4="(blank)",--('Final Calculation Sheet'!$J$16=""),IF($K$4="(nonblank)",--('Final Calculation Sheet'!$J$16&lt;&gt;""),--ISNUMBER(SEARCH($K$4,'Final Calculation Sheet'!$J$16)))))</f>
        <v/>
      </c>
      <c r="DQ71">
        <f>IF($L$4="",1,IF($L$4="(blank)",--('Final Calculation Sheet'!$K$16=""),IF($L$4="(nonblank)",--('Final Calculation Sheet'!$K$16&lt;&gt;""),--ISNUMBER(SEARCH($L$4,'Final Calculation Sheet'!$K$16)))))</f>
        <v/>
      </c>
      <c r="DR71">
        <f>IF($M$4="",1,IF($M$4="(blank)",--('Final Calculation Sheet'!$L$16=""),IF($M$4="(nonblank)",--('Final Calculation Sheet'!$L$16&lt;&gt;""),--ISNUMBER(SEARCH($M$4,'Final Calculation Sheet'!$L$16)))))</f>
        <v/>
      </c>
      <c r="DS71">
        <f>IF($N$4="",1,IF($N$4="(blank)",--('Final Calculation Sheet'!$M$16=""),IF($N$4="(nonblank)",--('Final Calculation Sheet'!$M$16&lt;&gt;""),--ISNUMBER(SEARCH($N$4,'Final Calculation Sheet'!$M$16)))))</f>
        <v/>
      </c>
      <c r="DT71">
        <f>IF($O$4="",1,IF($O$4="(blank)",--('Final Calculation Sheet'!$N$16=""),IF($O$4="(nonblank)",--('Final Calculation Sheet'!$N$16&lt;&gt;""),--ISNUMBER(SEARCH($O$4,'Final Calculation Sheet'!$N$16)))))</f>
        <v/>
      </c>
      <c r="DU71">
        <f>IF($P$4="",1,IF($P$4="(blank)",--('Final Calculation Sheet'!$O$16=""),IF($P$4="(nonblank)",--('Final Calculation Sheet'!$O$16&lt;&gt;""),--ISNUMBER(SEARCH($P$4,'Final Calculation Sheet'!$O$16)))))</f>
        <v/>
      </c>
      <c r="DV71">
        <f>IF($Q$4="",1,IF($Q$4="(blank)",--('Final Calculation Sheet'!$P$16=""),IF($Q$4="(nonblank)",--('Final Calculation Sheet'!$P$16&lt;&gt;""),--ISNUMBER(SEARCH($Q$4,'Final Calculation Sheet'!$P$16)))))</f>
        <v/>
      </c>
      <c r="DW71">
        <f>IF($R$4="",1,IF($R$4="(blank)",--('Final Calculation Sheet'!$Q$16=""),IF($R$4="(nonblank)",--('Final Calculation Sheet'!$Q$16&lt;&gt;""),--ISNUMBER(SEARCH($R$4,'Final Calculation Sheet'!$Q$16)))))</f>
        <v/>
      </c>
      <c r="DX71">
        <f>IF($S$4="",1,IF($S$4="(blank)",--('Final Calculation Sheet'!$R$16=""),IF($S$4="(nonblank)",--('Final Calculation Sheet'!$R$16&lt;&gt;""),--ISNUMBER(SEARCH($S$4,'Final Calculation Sheet'!$R$16)))))</f>
        <v/>
      </c>
      <c r="DY71">
        <f>IF($T$4="",1,IF($T$4="(blank)",--('Final Calculation Sheet'!$S$16=""),IF($T$4="(nonblank)",--('Final Calculation Sheet'!$S$16&lt;&gt;""),--ISNUMBER(SEARCH($T$4,'Final Calculation Sheet'!$S$16)))))</f>
        <v/>
      </c>
      <c r="DZ71">
        <f>IF($U$4="",1,IF($U$4="(blank)",--('Final Calculation Sheet'!$T$16=""),IF($U$4="(nonblank)",--('Final Calculation Sheet'!$T$16&lt;&gt;""),--ISNUMBER(SEARCH($U$4,'Final Calculation Sheet'!$T$16)))))</f>
        <v/>
      </c>
      <c r="EA71">
        <f>IF($V$4="",1,IF($V$4="(blank)",--('Final Calculation Sheet'!$U$16=""),IF($V$4="(nonblank)",--('Final Calculation Sheet'!$U$16&lt;&gt;""),--ISNUMBER(SEARCH($V$4,'Final Calculation Sheet'!$U$16)))))</f>
        <v/>
      </c>
      <c r="EB71">
        <f>IF($W$4="",1,IF($W$4="(blank)",--('Final Calculation Sheet'!$V$16=""),IF($W$4="(nonblank)",--('Final Calculation Sheet'!$V$16&lt;&gt;""),--ISNUMBER(SEARCH($W$4,'Final Calculation Sheet'!$V$16)))))</f>
        <v/>
      </c>
      <c r="EC71">
        <f>IF($X$4="",1,IF($X$4="(blank)",--('Final Calculation Sheet'!$W$16=""),IF($X$4="(nonblank)",--('Final Calculation Sheet'!$W$16&lt;&gt;""),--ISNUMBER(SEARCH($X$4,'Final Calculation Sheet'!$W$16)))))</f>
        <v/>
      </c>
      <c r="ED71">
        <f>IF($Y$4="",1,IF($Y$4="(blank)",--('Final Calculation Sheet'!$X$16=""),IF($Y$4="(nonblank)",--('Final Calculation Sheet'!$X$16&lt;&gt;""),--ISNUMBER(SEARCH($Y$4,'Final Calculation Sheet'!$X$16)))))</f>
        <v/>
      </c>
      <c r="EE71">
        <f>IF($Z$4="",1,IF($Z$4="(blank)",--('Final Calculation Sheet'!$Y$16=""),IF($Z$4="(nonblank)",--('Final Calculation Sheet'!$Y$16&lt;&gt;""),--ISNUMBER(SEARCH($Z$4,'Final Calculation Sheet'!$Y$16)))))</f>
        <v/>
      </c>
      <c r="EF71">
        <f>IF($AA$4="",1,IF($AA$4="(blank)",--('Final Calculation Sheet'!$Z$16=""),IF($AA$4="(nonblank)",--('Final Calculation Sheet'!$Z$16&lt;&gt;""),--ISNUMBER(SEARCH($AA$4,'Final Calculation Sheet'!$Z$16)))))</f>
        <v/>
      </c>
      <c r="EG71">
        <f>IF($AB$4="",1,IF($AB$4="(blank)",--('Final Calculation Sheet'!$AA$16=""),IF($AB$4="(nonblank)",--('Final Calculation Sheet'!$AA$16&lt;&gt;""),--ISNUMBER(SEARCH($AB$4,'Final Calculation Sheet'!$AA$16)))))</f>
        <v/>
      </c>
      <c r="EH71">
        <f>IF($AC$4="",1,IF($AC$4="(blank)",--('Final Calculation Sheet'!$AB$16=""),IF($AC$4="(nonblank)",--('Final Calculation Sheet'!$AB$16&lt;&gt;""),--ISNUMBER(SEARCH($AC$4,'Final Calculation Sheet'!$AB$16)))))</f>
        <v/>
      </c>
      <c r="EI71">
        <f>IF($AD$4="",1,IF($AD$4="(blank)",--('Final Calculation Sheet'!$AC$16=""),IF($AD$4="(nonblank)",--('Final Calculation Sheet'!$AC$16&lt;&gt;""),--ISNUMBER(SEARCH($AD$4,'Final Calculation Sheet'!$AC$16)))))</f>
        <v/>
      </c>
      <c r="EJ71">
        <f>IF($AE$4="",1,IF($AE$4="(blank)",--('Final Calculation Sheet'!$AD$16=""),IF($AE$4="(nonblank)",--('Final Calculation Sheet'!$AD$16&lt;&gt;""),--ISNUMBER(SEARCH($AE$4,'Final Calculation Sheet'!$AD$16)))))</f>
        <v/>
      </c>
      <c r="EK71">
        <f>IF($AF$4="",1,IF($AF$4="(blank)",--(IF('Final Calculation Sheet'!$AD$16&lt;=5,"SETTLED","OUTSTANDING")=""),IF($AF$4="(nonblank)",--(IF('Final Calculation Sheet'!$AD$16&lt;=5,"SETTLED","OUTSTANDING")&lt;&gt;""),--ISNUMBER(SEARCH($AF$4,IF('Final Calculation Sheet'!$AD$16&lt;=5,"SETTLED","OUTSTANDING"))))))</f>
        <v/>
      </c>
      <c r="EL71">
        <f>IF($AG$4="",1,IF($AG$4="(blank)",--('Final Calculation Sheet'!$AF$16=""),IF($AG$4="(nonblank)",--('Final Calculation Sheet'!$AF$16&lt;&gt;""),--ISNUMBER(SEARCH($AG$4,'Final Calculation Sheet'!$AF$16)))))</f>
        <v/>
      </c>
      <c r="EM71">
        <f>IF($AH$4="",1,IF($AH$4="(blank)",--('Final Calculation Sheet'!$AG$16=""),IF($AH$4="(nonblank)",--('Final Calculation Sheet'!$AG$16&lt;&gt;""),--ISNUMBER(SEARCH($AH$4,'Final Calculation Sheet'!$AG$16)))))</f>
        <v/>
      </c>
      <c r="EN71">
        <f>IF($AI$4="",1,IF($AI$4="(blank)",--('Final Calculation Sheet'!$AH$16=""),IF($AI$4="(nonblank)",--('Final Calculation Sheet'!$AH$16&lt;&gt;""),--ISNUMBER(SEARCH($AI$4,'Final Calculation Sheet'!$AH$16)))))</f>
        <v/>
      </c>
    </row>
    <row r="72">
      <c r="AM72">
        <f>AM71+IF(AND(Lists!$O$19&lt;&gt;"",ISNUMBER(SEARCH($B$4,Lists!$O$19))),1,0)</f>
        <v/>
      </c>
      <c r="AN72">
        <f>IF(ROW()-56&gt;MAX($AM$57:$AM$95),"",INDEX(Lists!$O$4:$O$42,MATCH(ROW()-56,$AM$57:$AM$95,0)))</f>
        <v/>
      </c>
      <c r="AO72">
        <f>AO71+IF(AND(Lists!$T$19&lt;&gt;"",ISNUMBER(SEARCH($C$4,Lists!$T$19))),1,0)</f>
        <v/>
      </c>
      <c r="AP72">
        <f>IF(ROW()-56&gt;MAX($AO$57:$AO$95),"",INDEX(Lists!$T$4:$T$42,MATCH(ROW()-56,$AO$57:$AO$95,0)))</f>
        <v/>
      </c>
      <c r="AQ72">
        <f>AQ71+IF(AND(Lists!$Y$19&lt;&gt;"",ISNUMBER(SEARCH($D$4,Lists!$Y$19))),1,0)</f>
        <v/>
      </c>
      <c r="AR72">
        <f>IF(ROW()-56&gt;MAX($AQ$57:$AQ$95),"",INDEX(Lists!$Y$4:$Y$42,MATCH(ROW()-56,$AQ$57:$AQ$95,0)))</f>
        <v/>
      </c>
      <c r="AS72">
        <f>AS71+IF(AND(Lists!$AD$19&lt;&gt;"",ISNUMBER(SEARCH($E$4,Lists!$AD$19))),1,0)</f>
        <v/>
      </c>
      <c r="AT72">
        <f>IF(ROW()-56&gt;MAX($AS$57:$AS$95),"",INDEX(Lists!$AD$4:$AD$42,MATCH(ROW()-56,$AS$57:$AS$95,0)))</f>
        <v/>
      </c>
      <c r="AU72">
        <f>AU71+IF(AND(Lists!$AI$19&lt;&gt;"",ISNUMBER(SEARCH($F$4,Lists!$AI$19))),1,0)</f>
        <v/>
      </c>
      <c r="AV72">
        <f>IF(ROW()-56&gt;MAX($AU$57:$AU$95),"",INDEX(Lists!$AI$4:$AI$42,MATCH(ROW()-56,$AU$57:$AU$95,0)))</f>
        <v/>
      </c>
      <c r="AW72">
        <f>AW71+IF(AND(Lists!$AN$19&lt;&gt;"",ISNUMBER(SEARCH($G$4,Lists!$AN$19))),1,0)</f>
        <v/>
      </c>
      <c r="AX72">
        <f>IF(ROW()-56&gt;MAX($AW$57:$AW$95),"",INDEX(Lists!$AN$4:$AN$42,MATCH(ROW()-56,$AW$57:$AW$95,0)))</f>
        <v/>
      </c>
      <c r="AY72">
        <f>AY71+IF(AND(Lists!$AS$19&lt;&gt;"",ISNUMBER(SEARCH($H$4,Lists!$AS$19))),1,0)</f>
        <v/>
      </c>
      <c r="AZ72">
        <f>IF(ROW()-56&gt;MAX($AY$57:$AY$95),"",INDEX(Lists!$AS$4:$AS$42,MATCH(ROW()-56,$AY$57:$AY$95,0)))</f>
        <v/>
      </c>
      <c r="BA72">
        <f>BA71+IF(AND(Lists!$AX$19&lt;&gt;"",ISNUMBER(SEARCH($I$4,Lists!$AX$19))),1,0)</f>
        <v/>
      </c>
      <c r="BB72">
        <f>IF(ROW()-56&gt;MAX($BA$57:$BA$95),"",INDEX(Lists!$AX$4:$AX$42,MATCH(ROW()-56,$BA$57:$BA$95,0)))</f>
        <v/>
      </c>
      <c r="BC72">
        <f>BC71+IF(AND(Lists!$BC$19&lt;&gt;"",ISNUMBER(SEARCH($J$4,Lists!$BC$19))),1,0)</f>
        <v/>
      </c>
      <c r="BD72">
        <f>IF(ROW()-56&gt;MAX($BC$57:$BC$95),"",INDEX(Lists!$BC$4:$BC$42,MATCH(ROW()-56,$BC$57:$BC$95,0)))</f>
        <v/>
      </c>
      <c r="BE72">
        <f>BE71+IF(AND(Lists!$BH$19&lt;&gt;"",ISNUMBER(SEARCH($K$4,Lists!$BH$19))),1,0)</f>
        <v/>
      </c>
      <c r="BF72">
        <f>IF(ROW()-56&gt;MAX($BE$57:$BE$95),"",INDEX(Lists!$BH$4:$BH$42,MATCH(ROW()-56,$BE$57:$BE$95,0)))</f>
        <v/>
      </c>
      <c r="BG72">
        <f>BG71+IF(AND(Lists!$BM$19&lt;&gt;"",ISNUMBER(SEARCH($L$4,Lists!$BM$19))),1,0)</f>
        <v/>
      </c>
      <c r="BH72">
        <f>IF(ROW()-56&gt;MAX($BG$57:$BG$95),"",INDEX(Lists!$BM$4:$BM$42,MATCH(ROW()-56,$BG$57:$BG$95,0)))</f>
        <v/>
      </c>
      <c r="BI72">
        <f>BI71+IF(AND(Lists!$BR$19&lt;&gt;"",ISNUMBER(SEARCH($M$4,Lists!$BR$19))),1,0)</f>
        <v/>
      </c>
      <c r="BJ72">
        <f>IF(ROW()-56&gt;MAX($BI$57:$BI$95),"",INDEX(Lists!$BR$4:$BR$42,MATCH(ROW()-56,$BI$57:$BI$95,0)))</f>
        <v/>
      </c>
      <c r="BK72">
        <f>BK71+IF(AND(Lists!$BW$19&lt;&gt;"",ISNUMBER(SEARCH($N$4,Lists!$BW$19))),1,0)</f>
        <v/>
      </c>
      <c r="BL72">
        <f>IF(ROW()-56&gt;MAX($BK$57:$BK$95),"",INDEX(Lists!$BW$4:$BW$42,MATCH(ROW()-56,$BK$57:$BK$95,0)))</f>
        <v/>
      </c>
      <c r="BM72">
        <f>BM71+IF(AND(Lists!$CB$19&lt;&gt;"",ISNUMBER(SEARCH($O$4,Lists!$CB$19))),1,0)</f>
        <v/>
      </c>
      <c r="BN72">
        <f>IF(ROW()-56&gt;MAX($BM$57:$BM$95),"",INDEX(Lists!$CB$4:$CB$42,MATCH(ROW()-56,$BM$57:$BM$95,0)))</f>
        <v/>
      </c>
      <c r="BO72">
        <f>BO71+IF(AND(Lists!$CG$19&lt;&gt;"",ISNUMBER(SEARCH($P$4,Lists!$CG$19))),1,0)</f>
        <v/>
      </c>
      <c r="BP72">
        <f>IF(ROW()-56&gt;MAX($BO$57:$BO$95),"",INDEX(Lists!$CG$4:$CG$42,MATCH(ROW()-56,$BO$57:$BO$95,0)))</f>
        <v/>
      </c>
      <c r="BQ72">
        <f>BQ71+IF(AND(Lists!$CL$19&lt;&gt;"",ISNUMBER(SEARCH($Q$4,Lists!$CL$19))),1,0)</f>
        <v/>
      </c>
      <c r="BR72">
        <f>IF(ROW()-56&gt;MAX($BQ$57:$BQ$95),"",INDEX(Lists!$CL$4:$CL$42,MATCH(ROW()-56,$BQ$57:$BQ$95,0)))</f>
        <v/>
      </c>
      <c r="BS72">
        <f>BS71+IF(AND(Lists!$CQ$19&lt;&gt;"",ISNUMBER(SEARCH($R$4,Lists!$CQ$19))),1,0)</f>
        <v/>
      </c>
      <c r="BT72">
        <f>IF(ROW()-56&gt;MAX($BS$57:$BS$95),"",INDEX(Lists!$CQ$4:$CQ$42,MATCH(ROW()-56,$BS$57:$BS$95,0)))</f>
        <v/>
      </c>
      <c r="BU72">
        <f>BU71+IF(AND(Lists!$CV$19&lt;&gt;"",ISNUMBER(SEARCH($S$4,Lists!$CV$19))),1,0)</f>
        <v/>
      </c>
      <c r="BV72">
        <f>IF(ROW()-56&gt;MAX($BU$57:$BU$95),"",INDEX(Lists!$CV$4:$CV$42,MATCH(ROW()-56,$BU$57:$BU$95,0)))</f>
        <v/>
      </c>
      <c r="BW72">
        <f>BW71+IF(AND(Lists!$DA$19&lt;&gt;"",ISNUMBER(SEARCH($T$4,Lists!$DA$19))),1,0)</f>
        <v/>
      </c>
      <c r="BX72">
        <f>IF(ROW()-56&gt;MAX($BW$57:$BW$95),"",INDEX(Lists!$DA$4:$DA$42,MATCH(ROW()-56,$BW$57:$BW$95,0)))</f>
        <v/>
      </c>
      <c r="BY72">
        <f>BY71+IF(AND(Lists!$DF$19&lt;&gt;"",ISNUMBER(SEARCH($U$4,Lists!$DF$19))),1,0)</f>
        <v/>
      </c>
      <c r="BZ72">
        <f>IF(ROW()-56&gt;MAX($BY$57:$BY$95),"",INDEX(Lists!$DF$4:$DF$42,MATCH(ROW()-56,$BY$57:$BY$95,0)))</f>
        <v/>
      </c>
      <c r="CA72">
        <f>CA71+IF(AND(Lists!$DK$19&lt;&gt;"",ISNUMBER(SEARCH($V$4,Lists!$DK$19))),1,0)</f>
        <v/>
      </c>
      <c r="CB72">
        <f>IF(ROW()-56&gt;MAX($CA$57:$CA$95),"",INDEX(Lists!$DK$4:$DK$42,MATCH(ROW()-56,$CA$57:$CA$95,0)))</f>
        <v/>
      </c>
      <c r="CC72">
        <f>CC71+IF(AND(Lists!$DP$19&lt;&gt;"",ISNUMBER(SEARCH($W$4,Lists!$DP$19))),1,0)</f>
        <v/>
      </c>
      <c r="CD72">
        <f>IF(ROW()-56&gt;MAX($CC$57:$CC$95),"",INDEX(Lists!$DP$4:$DP$42,MATCH(ROW()-56,$CC$57:$CC$95,0)))</f>
        <v/>
      </c>
      <c r="CE72">
        <f>CE71+IF(AND(Lists!$DU$19&lt;&gt;"",ISNUMBER(SEARCH($X$4,Lists!$DU$19))),1,0)</f>
        <v/>
      </c>
      <c r="CF72">
        <f>IF(ROW()-56&gt;MAX($CE$57:$CE$95),"",INDEX(Lists!$DU$4:$DU$42,MATCH(ROW()-56,$CE$57:$CE$95,0)))</f>
        <v/>
      </c>
      <c r="CG72">
        <f>CG71+IF(AND(Lists!$DZ$19&lt;&gt;"",ISNUMBER(SEARCH($Y$4,Lists!$DZ$19))),1,0)</f>
        <v/>
      </c>
      <c r="CH72">
        <f>IF(ROW()-56&gt;MAX($CG$57:$CG$95),"",INDEX(Lists!$DZ$4:$DZ$42,MATCH(ROW()-56,$CG$57:$CG$95,0)))</f>
        <v/>
      </c>
      <c r="CI72">
        <f>CI71+IF(AND(Lists!$EE$19&lt;&gt;"",ISNUMBER(SEARCH($Z$4,Lists!$EE$19))),1,0)</f>
        <v/>
      </c>
      <c r="CJ72">
        <f>IF(ROW()-56&gt;MAX($CI$57:$CI$95),"",INDEX(Lists!$EE$4:$EE$42,MATCH(ROW()-56,$CI$57:$CI$95,0)))</f>
        <v/>
      </c>
      <c r="CK72">
        <f>CK71+IF(AND(Lists!$EJ$19&lt;&gt;"",ISNUMBER(SEARCH($AA$4,Lists!$EJ$19))),1,0)</f>
        <v/>
      </c>
      <c r="CL72">
        <f>IF(ROW()-56&gt;MAX($CK$57:$CK$95),"",INDEX(Lists!$EJ$4:$EJ$42,MATCH(ROW()-56,$CK$57:$CK$95,0)))</f>
        <v/>
      </c>
      <c r="CM72">
        <f>CM71+IF(AND(Lists!$EO$19&lt;&gt;"",ISNUMBER(SEARCH($AB$4,Lists!$EO$19))),1,0)</f>
        <v/>
      </c>
      <c r="CN72">
        <f>IF(ROW()-56&gt;MAX($CM$57:$CM$95),"",INDEX(Lists!$EO$4:$EO$42,MATCH(ROW()-56,$CM$57:$CM$95,0)))</f>
        <v/>
      </c>
      <c r="CO72">
        <f>CO71+IF(AND(Lists!$ET$19&lt;&gt;"",ISNUMBER(SEARCH($AC$4,Lists!$ET$19))),1,0)</f>
        <v/>
      </c>
      <c r="CP72">
        <f>IF(ROW()-56&gt;MAX($CO$57:$CO$95),"",INDEX(Lists!$ET$4:$ET$42,MATCH(ROW()-56,$CO$57:$CO$95,0)))</f>
        <v/>
      </c>
      <c r="CQ72">
        <f>CQ71+IF(AND(Lists!$EY$19&lt;&gt;"",ISNUMBER(SEARCH($AD$4,Lists!$EY$19))),1,0)</f>
        <v/>
      </c>
      <c r="CR72">
        <f>IF(ROW()-56&gt;MAX($CQ$57:$CQ$95),"",INDEX(Lists!$EY$4:$EY$42,MATCH(ROW()-56,$CQ$57:$CQ$95,0)))</f>
        <v/>
      </c>
      <c r="CS72">
        <f>CS71+IF(AND(Lists!$FD$19&lt;&gt;"",ISNUMBER(SEARCH($AE$4,Lists!$FD$19))),1,0)</f>
        <v/>
      </c>
      <c r="CT72">
        <f>IF(ROW()-56&gt;MAX($CS$57:$CS$95),"",INDEX(Lists!$FD$4:$FD$42,MATCH(ROW()-56,$CS$57:$CS$95,0)))</f>
        <v/>
      </c>
      <c r="CU72">
        <f>CU71+IF(AND(Lists!$FI$19&lt;&gt;"",ISNUMBER(SEARCH($AG$4,Lists!$FI$19))),1,0)</f>
        <v/>
      </c>
      <c r="CV72">
        <f>IF(ROW()-56&gt;MAX($CU$57:$CU$95),"",INDEX(Lists!$FI$4:$FI$42,MATCH(ROW()-56,$CU$57:$CU$95,0)))</f>
        <v/>
      </c>
      <c r="CW72">
        <f>CW71+IF(AND(Lists!$FN$19&lt;&gt;"",ISNUMBER(SEARCH($AH$4,Lists!$FN$19))),1,0)</f>
        <v/>
      </c>
      <c r="CX72">
        <f>IF(ROW()-56&gt;MAX($CW$57:$CW$95),"",INDEX(Lists!$FN$4:$FN$42,MATCH(ROW()-56,$CW$57:$CW$95,0)))</f>
        <v/>
      </c>
      <c r="CY72">
        <f>CY71+IF(AND(Lists!$FS$19&lt;&gt;"",ISNUMBER(SEARCH($AI$4,Lists!$FS$19))),1,0)</f>
        <v/>
      </c>
      <c r="CZ72">
        <f>IF(ROW()-56&gt;MAX($CY$57:$CY$95),"",INDEX(Lists!$FS$4:$FS$42,MATCH(ROW()-56,$CY$57:$CY$95,0)))</f>
        <v/>
      </c>
      <c r="DA72">
        <f>DA71+IF(AND(Lists!$FX$19&lt;&gt;"",ISNUMBER(SEARCH($AF$4,Lists!$FX$19))),1,0)</f>
        <v/>
      </c>
      <c r="DB72">
        <f>IF(ROW()-56&gt;MAX($DA$57:$DA$95),"",INDEX(Lists!$FX$4:$FX$42,MATCH(ROW()-56,$DA$57:$DA$95,0)))</f>
        <v/>
      </c>
      <c r="DG72">
        <f>IF($B$4="",1,IF($B$4="(blank)",--('Final Calculation Sheet'!$F$17=""),IF($B$4="(nonblank)",--('Final Calculation Sheet'!$F$17&lt;&gt;""),--ISNUMBER(SEARCH($B$4,'Final Calculation Sheet'!$F$17)))))</f>
        <v/>
      </c>
      <c r="DH72">
        <f>IF($C$4="",1,IF($C$4="(blank)",--('Final Calculation Sheet'!$G$17=""),IF($C$4="(nonblank)",--('Final Calculation Sheet'!$G$17&lt;&gt;""),--ISNUMBER(SEARCH($C$4,'Final Calculation Sheet'!$G$17)))))</f>
        <v/>
      </c>
      <c r="DI72">
        <f>IF($D$4="",1,IF($D$4="(blank)",--('Final Calculation Sheet'!$B$17=""),IF($D$4="(nonblank)",--('Final Calculation Sheet'!$B$17&lt;&gt;""),--ISNUMBER(SEARCH($D$4,'Final Calculation Sheet'!$B$17)))))</f>
        <v/>
      </c>
      <c r="DJ72">
        <f>IF($E$4="",1,IF($E$4="(blank)",--('Final Calculation Sheet'!$D$17=""),IF($E$4="(nonblank)",--('Final Calculation Sheet'!$D$17&lt;&gt;""),--ISNUMBER(SEARCH($E$4,'Final Calculation Sheet'!$D$17)))))</f>
        <v/>
      </c>
      <c r="DK72">
        <f>IF($F$4="",1,IF($F$4="(blank)",--('Final Calculation Sheet'!$A$17=""),IF($F$4="(nonblank)",--('Final Calculation Sheet'!$A$17&lt;&gt;""),--ISNUMBER(SEARCH($F$4,'Final Calculation Sheet'!$A$17)))))</f>
        <v/>
      </c>
      <c r="DL72">
        <f>IF($G$4="",1,IF($G$4="(blank)",--('Final Calculation Sheet'!$E$17=""),IF($G$4="(nonblank)",--('Final Calculation Sheet'!$E$17&lt;&gt;""),--ISNUMBER(SEARCH($G$4,'Final Calculation Sheet'!$E$17)))))</f>
        <v/>
      </c>
      <c r="DM72">
        <f>IF($H$4="",1,IF($H$4="(blank)",--('Final Calculation Sheet'!$C$17=""),IF($H$4="(nonblank)",--('Final Calculation Sheet'!$C$17&lt;&gt;""),--ISNUMBER(SEARCH($H$4,'Final Calculation Sheet'!$C$17)))))</f>
        <v/>
      </c>
      <c r="DN72">
        <f>IF($I$4="",1,IF($I$4="(blank)",--('Final Calculation Sheet'!$H$17=""),IF($I$4="(nonblank)",--('Final Calculation Sheet'!$H$17&lt;&gt;""),--ISNUMBER(SEARCH($I$4,'Final Calculation Sheet'!$H$17)))))</f>
        <v/>
      </c>
      <c r="DO72">
        <f>IF($J$4="",1,IF($J$4="(blank)",--('Final Calculation Sheet'!$I$17=""),IF($J$4="(nonblank)",--('Final Calculation Sheet'!$I$17&lt;&gt;""),--ISNUMBER(SEARCH($J$4,'Final Calculation Sheet'!$I$17)))))</f>
        <v/>
      </c>
      <c r="DP72">
        <f>IF($K$4="",1,IF($K$4="(blank)",--('Final Calculation Sheet'!$J$17=""),IF($K$4="(nonblank)",--('Final Calculation Sheet'!$J$17&lt;&gt;""),--ISNUMBER(SEARCH($K$4,'Final Calculation Sheet'!$J$17)))))</f>
        <v/>
      </c>
      <c r="DQ72">
        <f>IF($L$4="",1,IF($L$4="(blank)",--('Final Calculation Sheet'!$K$17=""),IF($L$4="(nonblank)",--('Final Calculation Sheet'!$K$17&lt;&gt;""),--ISNUMBER(SEARCH($L$4,'Final Calculation Sheet'!$K$17)))))</f>
        <v/>
      </c>
      <c r="DR72">
        <f>IF($M$4="",1,IF($M$4="(blank)",--('Final Calculation Sheet'!$L$17=""),IF($M$4="(nonblank)",--('Final Calculation Sheet'!$L$17&lt;&gt;""),--ISNUMBER(SEARCH($M$4,'Final Calculation Sheet'!$L$17)))))</f>
        <v/>
      </c>
      <c r="DS72">
        <f>IF($N$4="",1,IF($N$4="(blank)",--('Final Calculation Sheet'!$M$17=""),IF($N$4="(nonblank)",--('Final Calculation Sheet'!$M$17&lt;&gt;""),--ISNUMBER(SEARCH($N$4,'Final Calculation Sheet'!$M$17)))))</f>
        <v/>
      </c>
      <c r="DT72">
        <f>IF($O$4="",1,IF($O$4="(blank)",--('Final Calculation Sheet'!$N$17=""),IF($O$4="(nonblank)",--('Final Calculation Sheet'!$N$17&lt;&gt;""),--ISNUMBER(SEARCH($O$4,'Final Calculation Sheet'!$N$17)))))</f>
        <v/>
      </c>
      <c r="DU72">
        <f>IF($P$4="",1,IF($P$4="(blank)",--('Final Calculation Sheet'!$O$17=""),IF($P$4="(nonblank)",--('Final Calculation Sheet'!$O$17&lt;&gt;""),--ISNUMBER(SEARCH($P$4,'Final Calculation Sheet'!$O$17)))))</f>
        <v/>
      </c>
      <c r="DV72">
        <f>IF($Q$4="",1,IF($Q$4="(blank)",--('Final Calculation Sheet'!$P$17=""),IF($Q$4="(nonblank)",--('Final Calculation Sheet'!$P$17&lt;&gt;""),--ISNUMBER(SEARCH($Q$4,'Final Calculation Sheet'!$P$17)))))</f>
        <v/>
      </c>
      <c r="DW72">
        <f>IF($R$4="",1,IF($R$4="(blank)",--('Final Calculation Sheet'!$Q$17=""),IF($R$4="(nonblank)",--('Final Calculation Sheet'!$Q$17&lt;&gt;""),--ISNUMBER(SEARCH($R$4,'Final Calculation Sheet'!$Q$17)))))</f>
        <v/>
      </c>
      <c r="DX72">
        <f>IF($S$4="",1,IF($S$4="(blank)",--('Final Calculation Sheet'!$R$17=""),IF($S$4="(nonblank)",--('Final Calculation Sheet'!$R$17&lt;&gt;""),--ISNUMBER(SEARCH($S$4,'Final Calculation Sheet'!$R$17)))))</f>
        <v/>
      </c>
      <c r="DY72">
        <f>IF($T$4="",1,IF($T$4="(blank)",--('Final Calculation Sheet'!$S$17=""),IF($T$4="(nonblank)",--('Final Calculation Sheet'!$S$17&lt;&gt;""),--ISNUMBER(SEARCH($T$4,'Final Calculation Sheet'!$S$17)))))</f>
        <v/>
      </c>
      <c r="DZ72">
        <f>IF($U$4="",1,IF($U$4="(blank)",--('Final Calculation Sheet'!$T$17=""),IF($U$4="(nonblank)",--('Final Calculation Sheet'!$T$17&lt;&gt;""),--ISNUMBER(SEARCH($U$4,'Final Calculation Sheet'!$T$17)))))</f>
        <v/>
      </c>
      <c r="EA72">
        <f>IF($V$4="",1,IF($V$4="(blank)",--('Final Calculation Sheet'!$U$17=""),IF($V$4="(nonblank)",--('Final Calculation Sheet'!$U$17&lt;&gt;""),--ISNUMBER(SEARCH($V$4,'Final Calculation Sheet'!$U$17)))))</f>
        <v/>
      </c>
      <c r="EB72">
        <f>IF($W$4="",1,IF($W$4="(blank)",--('Final Calculation Sheet'!$V$17=""),IF($W$4="(nonblank)",--('Final Calculation Sheet'!$V$17&lt;&gt;""),--ISNUMBER(SEARCH($W$4,'Final Calculation Sheet'!$V$17)))))</f>
        <v/>
      </c>
      <c r="EC72">
        <f>IF($X$4="",1,IF($X$4="(blank)",--('Final Calculation Sheet'!$W$17=""),IF($X$4="(nonblank)",--('Final Calculation Sheet'!$W$17&lt;&gt;""),--ISNUMBER(SEARCH($X$4,'Final Calculation Sheet'!$W$17)))))</f>
        <v/>
      </c>
      <c r="ED72">
        <f>IF($Y$4="",1,IF($Y$4="(blank)",--('Final Calculation Sheet'!$X$17=""),IF($Y$4="(nonblank)",--('Final Calculation Sheet'!$X$17&lt;&gt;""),--ISNUMBER(SEARCH($Y$4,'Final Calculation Sheet'!$X$17)))))</f>
        <v/>
      </c>
      <c r="EE72">
        <f>IF($Z$4="",1,IF($Z$4="(blank)",--('Final Calculation Sheet'!$Y$17=""),IF($Z$4="(nonblank)",--('Final Calculation Sheet'!$Y$17&lt;&gt;""),--ISNUMBER(SEARCH($Z$4,'Final Calculation Sheet'!$Y$17)))))</f>
        <v/>
      </c>
      <c r="EF72">
        <f>IF($AA$4="",1,IF($AA$4="(blank)",--('Final Calculation Sheet'!$Z$17=""),IF($AA$4="(nonblank)",--('Final Calculation Sheet'!$Z$17&lt;&gt;""),--ISNUMBER(SEARCH($AA$4,'Final Calculation Sheet'!$Z$17)))))</f>
        <v/>
      </c>
      <c r="EG72">
        <f>IF($AB$4="",1,IF($AB$4="(blank)",--('Final Calculation Sheet'!$AA$17=""),IF($AB$4="(nonblank)",--('Final Calculation Sheet'!$AA$17&lt;&gt;""),--ISNUMBER(SEARCH($AB$4,'Final Calculation Sheet'!$AA$17)))))</f>
        <v/>
      </c>
      <c r="EH72">
        <f>IF($AC$4="",1,IF($AC$4="(blank)",--('Final Calculation Sheet'!$AB$17=""),IF($AC$4="(nonblank)",--('Final Calculation Sheet'!$AB$17&lt;&gt;""),--ISNUMBER(SEARCH($AC$4,'Final Calculation Sheet'!$AB$17)))))</f>
        <v/>
      </c>
      <c r="EI72">
        <f>IF($AD$4="",1,IF($AD$4="(blank)",--('Final Calculation Sheet'!$AC$17=""),IF($AD$4="(nonblank)",--('Final Calculation Sheet'!$AC$17&lt;&gt;""),--ISNUMBER(SEARCH($AD$4,'Final Calculation Sheet'!$AC$17)))))</f>
        <v/>
      </c>
      <c r="EJ72">
        <f>IF($AE$4="",1,IF($AE$4="(blank)",--('Final Calculation Sheet'!$AD$17=""),IF($AE$4="(nonblank)",--('Final Calculation Sheet'!$AD$17&lt;&gt;""),--ISNUMBER(SEARCH($AE$4,'Final Calculation Sheet'!$AD$17)))))</f>
        <v/>
      </c>
      <c r="EK72">
        <f>IF($AF$4="",1,IF($AF$4="(blank)",--(IF('Final Calculation Sheet'!$AD$17&lt;=5,"SETTLED","OUTSTANDING")=""),IF($AF$4="(nonblank)",--(IF('Final Calculation Sheet'!$AD$17&lt;=5,"SETTLED","OUTSTANDING")&lt;&gt;""),--ISNUMBER(SEARCH($AF$4,IF('Final Calculation Sheet'!$AD$17&lt;=5,"SETTLED","OUTSTANDING"))))))</f>
        <v/>
      </c>
      <c r="EL72">
        <f>IF($AG$4="",1,IF($AG$4="(blank)",--('Final Calculation Sheet'!$AF$17=""),IF($AG$4="(nonblank)",--('Final Calculation Sheet'!$AF$17&lt;&gt;""),--ISNUMBER(SEARCH($AG$4,'Final Calculation Sheet'!$AF$17)))))</f>
        <v/>
      </c>
      <c r="EM72">
        <f>IF($AH$4="",1,IF($AH$4="(blank)",--('Final Calculation Sheet'!$AG$17=""),IF($AH$4="(nonblank)",--('Final Calculation Sheet'!$AG$17&lt;&gt;""),--ISNUMBER(SEARCH($AH$4,'Final Calculation Sheet'!$AG$17)))))</f>
        <v/>
      </c>
      <c r="EN72">
        <f>IF($AI$4="",1,IF($AI$4="(blank)",--('Final Calculation Sheet'!$AH$17=""),IF($AI$4="(nonblank)",--('Final Calculation Sheet'!$AH$17&lt;&gt;""),--ISNUMBER(SEARCH($AI$4,'Final Calculation Sheet'!$AH$17)))))</f>
        <v/>
      </c>
    </row>
    <row r="73">
      <c r="AM73">
        <f>AM72+IF(AND(Lists!$O$20&lt;&gt;"",ISNUMBER(SEARCH($B$4,Lists!$O$20))),1,0)</f>
        <v/>
      </c>
      <c r="AN73">
        <f>IF(ROW()-56&gt;MAX($AM$57:$AM$95),"",INDEX(Lists!$O$4:$O$42,MATCH(ROW()-56,$AM$57:$AM$95,0)))</f>
        <v/>
      </c>
      <c r="AO73">
        <f>AO72+IF(AND(Lists!$T$20&lt;&gt;"",ISNUMBER(SEARCH($C$4,Lists!$T$20))),1,0)</f>
        <v/>
      </c>
      <c r="AP73">
        <f>IF(ROW()-56&gt;MAX($AO$57:$AO$95),"",INDEX(Lists!$T$4:$T$42,MATCH(ROW()-56,$AO$57:$AO$95,0)))</f>
        <v/>
      </c>
      <c r="AQ73">
        <f>AQ72+IF(AND(Lists!$Y$20&lt;&gt;"",ISNUMBER(SEARCH($D$4,Lists!$Y$20))),1,0)</f>
        <v/>
      </c>
      <c r="AR73">
        <f>IF(ROW()-56&gt;MAX($AQ$57:$AQ$95),"",INDEX(Lists!$Y$4:$Y$42,MATCH(ROW()-56,$AQ$57:$AQ$95,0)))</f>
        <v/>
      </c>
      <c r="AS73">
        <f>AS72+IF(AND(Lists!$AD$20&lt;&gt;"",ISNUMBER(SEARCH($E$4,Lists!$AD$20))),1,0)</f>
        <v/>
      </c>
      <c r="AT73">
        <f>IF(ROW()-56&gt;MAX($AS$57:$AS$95),"",INDEX(Lists!$AD$4:$AD$42,MATCH(ROW()-56,$AS$57:$AS$95,0)))</f>
        <v/>
      </c>
      <c r="AU73">
        <f>AU72+IF(AND(Lists!$AI$20&lt;&gt;"",ISNUMBER(SEARCH($F$4,Lists!$AI$20))),1,0)</f>
        <v/>
      </c>
      <c r="AV73">
        <f>IF(ROW()-56&gt;MAX($AU$57:$AU$95),"",INDEX(Lists!$AI$4:$AI$42,MATCH(ROW()-56,$AU$57:$AU$95,0)))</f>
        <v/>
      </c>
      <c r="AW73">
        <f>AW72+IF(AND(Lists!$AN$20&lt;&gt;"",ISNUMBER(SEARCH($G$4,Lists!$AN$20))),1,0)</f>
        <v/>
      </c>
      <c r="AX73">
        <f>IF(ROW()-56&gt;MAX($AW$57:$AW$95),"",INDEX(Lists!$AN$4:$AN$42,MATCH(ROW()-56,$AW$57:$AW$95,0)))</f>
        <v/>
      </c>
      <c r="AY73">
        <f>AY72+IF(AND(Lists!$AS$20&lt;&gt;"",ISNUMBER(SEARCH($H$4,Lists!$AS$20))),1,0)</f>
        <v/>
      </c>
      <c r="AZ73">
        <f>IF(ROW()-56&gt;MAX($AY$57:$AY$95),"",INDEX(Lists!$AS$4:$AS$42,MATCH(ROW()-56,$AY$57:$AY$95,0)))</f>
        <v/>
      </c>
      <c r="BA73">
        <f>BA72+IF(AND(Lists!$AX$20&lt;&gt;"",ISNUMBER(SEARCH($I$4,Lists!$AX$20))),1,0)</f>
        <v/>
      </c>
      <c r="BB73">
        <f>IF(ROW()-56&gt;MAX($BA$57:$BA$95),"",INDEX(Lists!$AX$4:$AX$42,MATCH(ROW()-56,$BA$57:$BA$95,0)))</f>
        <v/>
      </c>
      <c r="BC73">
        <f>BC72+IF(AND(Lists!$BC$20&lt;&gt;"",ISNUMBER(SEARCH($J$4,Lists!$BC$20))),1,0)</f>
        <v/>
      </c>
      <c r="BD73">
        <f>IF(ROW()-56&gt;MAX($BC$57:$BC$95),"",INDEX(Lists!$BC$4:$BC$42,MATCH(ROW()-56,$BC$57:$BC$95,0)))</f>
        <v/>
      </c>
      <c r="BE73">
        <f>BE72+IF(AND(Lists!$BH$20&lt;&gt;"",ISNUMBER(SEARCH($K$4,Lists!$BH$20))),1,0)</f>
        <v/>
      </c>
      <c r="BF73">
        <f>IF(ROW()-56&gt;MAX($BE$57:$BE$95),"",INDEX(Lists!$BH$4:$BH$42,MATCH(ROW()-56,$BE$57:$BE$95,0)))</f>
        <v/>
      </c>
      <c r="BG73">
        <f>BG72+IF(AND(Lists!$BM$20&lt;&gt;"",ISNUMBER(SEARCH($L$4,Lists!$BM$20))),1,0)</f>
        <v/>
      </c>
      <c r="BH73">
        <f>IF(ROW()-56&gt;MAX($BG$57:$BG$95),"",INDEX(Lists!$BM$4:$BM$42,MATCH(ROW()-56,$BG$57:$BG$95,0)))</f>
        <v/>
      </c>
      <c r="BI73">
        <f>BI72+IF(AND(Lists!$BR$20&lt;&gt;"",ISNUMBER(SEARCH($M$4,Lists!$BR$20))),1,0)</f>
        <v/>
      </c>
      <c r="BJ73">
        <f>IF(ROW()-56&gt;MAX($BI$57:$BI$95),"",INDEX(Lists!$BR$4:$BR$42,MATCH(ROW()-56,$BI$57:$BI$95,0)))</f>
        <v/>
      </c>
      <c r="BK73">
        <f>BK72+IF(AND(Lists!$BW$20&lt;&gt;"",ISNUMBER(SEARCH($N$4,Lists!$BW$20))),1,0)</f>
        <v/>
      </c>
      <c r="BL73">
        <f>IF(ROW()-56&gt;MAX($BK$57:$BK$95),"",INDEX(Lists!$BW$4:$BW$42,MATCH(ROW()-56,$BK$57:$BK$95,0)))</f>
        <v/>
      </c>
      <c r="BM73">
        <f>BM72+IF(AND(Lists!$CB$20&lt;&gt;"",ISNUMBER(SEARCH($O$4,Lists!$CB$20))),1,0)</f>
        <v/>
      </c>
      <c r="BN73">
        <f>IF(ROW()-56&gt;MAX($BM$57:$BM$95),"",INDEX(Lists!$CB$4:$CB$42,MATCH(ROW()-56,$BM$57:$BM$95,0)))</f>
        <v/>
      </c>
      <c r="BO73">
        <f>BO72+IF(AND(Lists!$CG$20&lt;&gt;"",ISNUMBER(SEARCH($P$4,Lists!$CG$20))),1,0)</f>
        <v/>
      </c>
      <c r="BP73">
        <f>IF(ROW()-56&gt;MAX($BO$57:$BO$95),"",INDEX(Lists!$CG$4:$CG$42,MATCH(ROW()-56,$BO$57:$BO$95,0)))</f>
        <v/>
      </c>
      <c r="BQ73">
        <f>BQ72+IF(AND(Lists!$CL$20&lt;&gt;"",ISNUMBER(SEARCH($Q$4,Lists!$CL$20))),1,0)</f>
        <v/>
      </c>
      <c r="BR73">
        <f>IF(ROW()-56&gt;MAX($BQ$57:$BQ$95),"",INDEX(Lists!$CL$4:$CL$42,MATCH(ROW()-56,$BQ$57:$BQ$95,0)))</f>
        <v/>
      </c>
      <c r="BS73">
        <f>BS72+IF(AND(Lists!$CQ$20&lt;&gt;"",ISNUMBER(SEARCH($R$4,Lists!$CQ$20))),1,0)</f>
        <v/>
      </c>
      <c r="BT73">
        <f>IF(ROW()-56&gt;MAX($BS$57:$BS$95),"",INDEX(Lists!$CQ$4:$CQ$42,MATCH(ROW()-56,$BS$57:$BS$95,0)))</f>
        <v/>
      </c>
      <c r="BU73">
        <f>BU72+IF(AND(Lists!$CV$20&lt;&gt;"",ISNUMBER(SEARCH($S$4,Lists!$CV$20))),1,0)</f>
        <v/>
      </c>
      <c r="BV73">
        <f>IF(ROW()-56&gt;MAX($BU$57:$BU$95),"",INDEX(Lists!$CV$4:$CV$42,MATCH(ROW()-56,$BU$57:$BU$95,0)))</f>
        <v/>
      </c>
      <c r="BW73">
        <f>BW72+IF(AND(Lists!$DA$20&lt;&gt;"",ISNUMBER(SEARCH($T$4,Lists!$DA$20))),1,0)</f>
        <v/>
      </c>
      <c r="BX73">
        <f>IF(ROW()-56&gt;MAX($BW$57:$BW$95),"",INDEX(Lists!$DA$4:$DA$42,MATCH(ROW()-56,$BW$57:$BW$95,0)))</f>
        <v/>
      </c>
      <c r="BY73">
        <f>BY72+IF(AND(Lists!$DF$20&lt;&gt;"",ISNUMBER(SEARCH($U$4,Lists!$DF$20))),1,0)</f>
        <v/>
      </c>
      <c r="BZ73">
        <f>IF(ROW()-56&gt;MAX($BY$57:$BY$95),"",INDEX(Lists!$DF$4:$DF$42,MATCH(ROW()-56,$BY$57:$BY$95,0)))</f>
        <v/>
      </c>
      <c r="CA73">
        <f>CA72+IF(AND(Lists!$DK$20&lt;&gt;"",ISNUMBER(SEARCH($V$4,Lists!$DK$20))),1,0)</f>
        <v/>
      </c>
      <c r="CB73">
        <f>IF(ROW()-56&gt;MAX($CA$57:$CA$95),"",INDEX(Lists!$DK$4:$DK$42,MATCH(ROW()-56,$CA$57:$CA$95,0)))</f>
        <v/>
      </c>
      <c r="CC73">
        <f>CC72+IF(AND(Lists!$DP$20&lt;&gt;"",ISNUMBER(SEARCH($W$4,Lists!$DP$20))),1,0)</f>
        <v/>
      </c>
      <c r="CD73">
        <f>IF(ROW()-56&gt;MAX($CC$57:$CC$95),"",INDEX(Lists!$DP$4:$DP$42,MATCH(ROW()-56,$CC$57:$CC$95,0)))</f>
        <v/>
      </c>
      <c r="CE73">
        <f>CE72+IF(AND(Lists!$DU$20&lt;&gt;"",ISNUMBER(SEARCH($X$4,Lists!$DU$20))),1,0)</f>
        <v/>
      </c>
      <c r="CF73">
        <f>IF(ROW()-56&gt;MAX($CE$57:$CE$95),"",INDEX(Lists!$DU$4:$DU$42,MATCH(ROW()-56,$CE$57:$CE$95,0)))</f>
        <v/>
      </c>
      <c r="CG73">
        <f>CG72+IF(AND(Lists!$DZ$20&lt;&gt;"",ISNUMBER(SEARCH($Y$4,Lists!$DZ$20))),1,0)</f>
        <v/>
      </c>
      <c r="CH73">
        <f>IF(ROW()-56&gt;MAX($CG$57:$CG$95),"",INDEX(Lists!$DZ$4:$DZ$42,MATCH(ROW()-56,$CG$57:$CG$95,0)))</f>
        <v/>
      </c>
      <c r="CI73">
        <f>CI72+IF(AND(Lists!$EE$20&lt;&gt;"",ISNUMBER(SEARCH($Z$4,Lists!$EE$20))),1,0)</f>
        <v/>
      </c>
      <c r="CJ73">
        <f>IF(ROW()-56&gt;MAX($CI$57:$CI$95),"",INDEX(Lists!$EE$4:$EE$42,MATCH(ROW()-56,$CI$57:$CI$95,0)))</f>
        <v/>
      </c>
      <c r="CK73">
        <f>CK72+IF(AND(Lists!$EJ$20&lt;&gt;"",ISNUMBER(SEARCH($AA$4,Lists!$EJ$20))),1,0)</f>
        <v/>
      </c>
      <c r="CL73">
        <f>IF(ROW()-56&gt;MAX($CK$57:$CK$95),"",INDEX(Lists!$EJ$4:$EJ$42,MATCH(ROW()-56,$CK$57:$CK$95,0)))</f>
        <v/>
      </c>
      <c r="CM73">
        <f>CM72+IF(AND(Lists!$EO$20&lt;&gt;"",ISNUMBER(SEARCH($AB$4,Lists!$EO$20))),1,0)</f>
        <v/>
      </c>
      <c r="CN73">
        <f>IF(ROW()-56&gt;MAX($CM$57:$CM$95),"",INDEX(Lists!$EO$4:$EO$42,MATCH(ROW()-56,$CM$57:$CM$95,0)))</f>
        <v/>
      </c>
      <c r="CO73">
        <f>CO72+IF(AND(Lists!$ET$20&lt;&gt;"",ISNUMBER(SEARCH($AC$4,Lists!$ET$20))),1,0)</f>
        <v/>
      </c>
      <c r="CP73">
        <f>IF(ROW()-56&gt;MAX($CO$57:$CO$95),"",INDEX(Lists!$ET$4:$ET$42,MATCH(ROW()-56,$CO$57:$CO$95,0)))</f>
        <v/>
      </c>
      <c r="CQ73">
        <f>CQ72+IF(AND(Lists!$EY$20&lt;&gt;"",ISNUMBER(SEARCH($AD$4,Lists!$EY$20))),1,0)</f>
        <v/>
      </c>
      <c r="CR73">
        <f>IF(ROW()-56&gt;MAX($CQ$57:$CQ$95),"",INDEX(Lists!$EY$4:$EY$42,MATCH(ROW()-56,$CQ$57:$CQ$95,0)))</f>
        <v/>
      </c>
      <c r="CS73">
        <f>CS72+IF(AND(Lists!$FD$20&lt;&gt;"",ISNUMBER(SEARCH($AE$4,Lists!$FD$20))),1,0)</f>
        <v/>
      </c>
      <c r="CT73">
        <f>IF(ROW()-56&gt;MAX($CS$57:$CS$95),"",INDEX(Lists!$FD$4:$FD$42,MATCH(ROW()-56,$CS$57:$CS$95,0)))</f>
        <v/>
      </c>
      <c r="CU73">
        <f>CU72+IF(AND(Lists!$FI$20&lt;&gt;"",ISNUMBER(SEARCH($AG$4,Lists!$FI$20))),1,0)</f>
        <v/>
      </c>
      <c r="CV73">
        <f>IF(ROW()-56&gt;MAX($CU$57:$CU$95),"",INDEX(Lists!$FI$4:$FI$42,MATCH(ROW()-56,$CU$57:$CU$95,0)))</f>
        <v/>
      </c>
      <c r="CW73">
        <f>CW72+IF(AND(Lists!$FN$20&lt;&gt;"",ISNUMBER(SEARCH($AH$4,Lists!$FN$20))),1,0)</f>
        <v/>
      </c>
      <c r="CX73">
        <f>IF(ROW()-56&gt;MAX($CW$57:$CW$95),"",INDEX(Lists!$FN$4:$FN$42,MATCH(ROW()-56,$CW$57:$CW$95,0)))</f>
        <v/>
      </c>
      <c r="CY73">
        <f>CY72+IF(AND(Lists!$FS$20&lt;&gt;"",ISNUMBER(SEARCH($AI$4,Lists!$FS$20))),1,0)</f>
        <v/>
      </c>
      <c r="CZ73">
        <f>IF(ROW()-56&gt;MAX($CY$57:$CY$95),"",INDEX(Lists!$FS$4:$FS$42,MATCH(ROW()-56,$CY$57:$CY$95,0)))</f>
        <v/>
      </c>
      <c r="DA73">
        <f>DA72+IF(AND(Lists!$FX$20&lt;&gt;"",ISNUMBER(SEARCH($AF$4,Lists!$FX$20))),1,0)</f>
        <v/>
      </c>
      <c r="DB73">
        <f>IF(ROW()-56&gt;MAX($DA$57:$DA$95),"",INDEX(Lists!$FX$4:$FX$42,MATCH(ROW()-56,$DA$57:$DA$95,0)))</f>
        <v/>
      </c>
      <c r="DG73">
        <f>IF($B$4="",1,IF($B$4="(blank)",--('Final Calculation Sheet'!$F$18=""),IF($B$4="(nonblank)",--('Final Calculation Sheet'!$F$18&lt;&gt;""),--ISNUMBER(SEARCH($B$4,'Final Calculation Sheet'!$F$18)))))</f>
        <v/>
      </c>
      <c r="DH73">
        <f>IF($C$4="",1,IF($C$4="(blank)",--('Final Calculation Sheet'!$G$18=""),IF($C$4="(nonblank)",--('Final Calculation Sheet'!$G$18&lt;&gt;""),--ISNUMBER(SEARCH($C$4,'Final Calculation Sheet'!$G$18)))))</f>
        <v/>
      </c>
      <c r="DI73">
        <f>IF($D$4="",1,IF($D$4="(blank)",--('Final Calculation Sheet'!$B$18=""),IF($D$4="(nonblank)",--('Final Calculation Sheet'!$B$18&lt;&gt;""),--ISNUMBER(SEARCH($D$4,'Final Calculation Sheet'!$B$18)))))</f>
        <v/>
      </c>
      <c r="DJ73">
        <f>IF($E$4="",1,IF($E$4="(blank)",--('Final Calculation Sheet'!$D$18=""),IF($E$4="(nonblank)",--('Final Calculation Sheet'!$D$18&lt;&gt;""),--ISNUMBER(SEARCH($E$4,'Final Calculation Sheet'!$D$18)))))</f>
        <v/>
      </c>
      <c r="DK73">
        <f>IF($F$4="",1,IF($F$4="(blank)",--('Final Calculation Sheet'!$A$18=""),IF($F$4="(nonblank)",--('Final Calculation Sheet'!$A$18&lt;&gt;""),--ISNUMBER(SEARCH($F$4,'Final Calculation Sheet'!$A$18)))))</f>
        <v/>
      </c>
      <c r="DL73">
        <f>IF($G$4="",1,IF($G$4="(blank)",--('Final Calculation Sheet'!$E$18=""),IF($G$4="(nonblank)",--('Final Calculation Sheet'!$E$18&lt;&gt;""),--ISNUMBER(SEARCH($G$4,'Final Calculation Sheet'!$E$18)))))</f>
        <v/>
      </c>
      <c r="DM73">
        <f>IF($H$4="",1,IF($H$4="(blank)",--('Final Calculation Sheet'!$C$18=""),IF($H$4="(nonblank)",--('Final Calculation Sheet'!$C$18&lt;&gt;""),--ISNUMBER(SEARCH($H$4,'Final Calculation Sheet'!$C$18)))))</f>
        <v/>
      </c>
      <c r="DN73">
        <f>IF($I$4="",1,IF($I$4="(blank)",--('Final Calculation Sheet'!$H$18=""),IF($I$4="(nonblank)",--('Final Calculation Sheet'!$H$18&lt;&gt;""),--ISNUMBER(SEARCH($I$4,'Final Calculation Sheet'!$H$18)))))</f>
        <v/>
      </c>
      <c r="DO73">
        <f>IF($J$4="",1,IF($J$4="(blank)",--('Final Calculation Sheet'!$I$18=""),IF($J$4="(nonblank)",--('Final Calculation Sheet'!$I$18&lt;&gt;""),--ISNUMBER(SEARCH($J$4,'Final Calculation Sheet'!$I$18)))))</f>
        <v/>
      </c>
      <c r="DP73">
        <f>IF($K$4="",1,IF($K$4="(blank)",--('Final Calculation Sheet'!$J$18=""),IF($K$4="(nonblank)",--('Final Calculation Sheet'!$J$18&lt;&gt;""),--ISNUMBER(SEARCH($K$4,'Final Calculation Sheet'!$J$18)))))</f>
        <v/>
      </c>
      <c r="DQ73">
        <f>IF($L$4="",1,IF($L$4="(blank)",--('Final Calculation Sheet'!$K$18=""),IF($L$4="(nonblank)",--('Final Calculation Sheet'!$K$18&lt;&gt;""),--ISNUMBER(SEARCH($L$4,'Final Calculation Sheet'!$K$18)))))</f>
        <v/>
      </c>
      <c r="DR73">
        <f>IF($M$4="",1,IF($M$4="(blank)",--('Final Calculation Sheet'!$L$18=""),IF($M$4="(nonblank)",--('Final Calculation Sheet'!$L$18&lt;&gt;""),--ISNUMBER(SEARCH($M$4,'Final Calculation Sheet'!$L$18)))))</f>
        <v/>
      </c>
      <c r="DS73">
        <f>IF($N$4="",1,IF($N$4="(blank)",--('Final Calculation Sheet'!$M$18=""),IF($N$4="(nonblank)",--('Final Calculation Sheet'!$M$18&lt;&gt;""),--ISNUMBER(SEARCH($N$4,'Final Calculation Sheet'!$M$18)))))</f>
        <v/>
      </c>
      <c r="DT73">
        <f>IF($O$4="",1,IF($O$4="(blank)",--('Final Calculation Sheet'!$N$18=""),IF($O$4="(nonblank)",--('Final Calculation Sheet'!$N$18&lt;&gt;""),--ISNUMBER(SEARCH($O$4,'Final Calculation Sheet'!$N$18)))))</f>
        <v/>
      </c>
      <c r="DU73">
        <f>IF($P$4="",1,IF($P$4="(blank)",--('Final Calculation Sheet'!$O$18=""),IF($P$4="(nonblank)",--('Final Calculation Sheet'!$O$18&lt;&gt;""),--ISNUMBER(SEARCH($P$4,'Final Calculation Sheet'!$O$18)))))</f>
        <v/>
      </c>
      <c r="DV73">
        <f>IF($Q$4="",1,IF($Q$4="(blank)",--('Final Calculation Sheet'!$P$18=""),IF($Q$4="(nonblank)",--('Final Calculation Sheet'!$P$18&lt;&gt;""),--ISNUMBER(SEARCH($Q$4,'Final Calculation Sheet'!$P$18)))))</f>
        <v/>
      </c>
      <c r="DW73">
        <f>IF($R$4="",1,IF($R$4="(blank)",--('Final Calculation Sheet'!$Q$18=""),IF($R$4="(nonblank)",--('Final Calculation Sheet'!$Q$18&lt;&gt;""),--ISNUMBER(SEARCH($R$4,'Final Calculation Sheet'!$Q$18)))))</f>
        <v/>
      </c>
      <c r="DX73">
        <f>IF($S$4="",1,IF($S$4="(blank)",--('Final Calculation Sheet'!$R$18=""),IF($S$4="(nonblank)",--('Final Calculation Sheet'!$R$18&lt;&gt;""),--ISNUMBER(SEARCH($S$4,'Final Calculation Sheet'!$R$18)))))</f>
        <v/>
      </c>
      <c r="DY73">
        <f>IF($T$4="",1,IF($T$4="(blank)",--('Final Calculation Sheet'!$S$18=""),IF($T$4="(nonblank)",--('Final Calculation Sheet'!$S$18&lt;&gt;""),--ISNUMBER(SEARCH($T$4,'Final Calculation Sheet'!$S$18)))))</f>
        <v/>
      </c>
      <c r="DZ73">
        <f>IF($U$4="",1,IF($U$4="(blank)",--('Final Calculation Sheet'!$T$18=""),IF($U$4="(nonblank)",--('Final Calculation Sheet'!$T$18&lt;&gt;""),--ISNUMBER(SEARCH($U$4,'Final Calculation Sheet'!$T$18)))))</f>
        <v/>
      </c>
      <c r="EA73">
        <f>IF($V$4="",1,IF($V$4="(blank)",--('Final Calculation Sheet'!$U$18=""),IF($V$4="(nonblank)",--('Final Calculation Sheet'!$U$18&lt;&gt;""),--ISNUMBER(SEARCH($V$4,'Final Calculation Sheet'!$U$18)))))</f>
        <v/>
      </c>
      <c r="EB73">
        <f>IF($W$4="",1,IF($W$4="(blank)",--('Final Calculation Sheet'!$V$18=""),IF($W$4="(nonblank)",--('Final Calculation Sheet'!$V$18&lt;&gt;""),--ISNUMBER(SEARCH($W$4,'Final Calculation Sheet'!$V$18)))))</f>
        <v/>
      </c>
      <c r="EC73">
        <f>IF($X$4="",1,IF($X$4="(blank)",--('Final Calculation Sheet'!$W$18=""),IF($X$4="(nonblank)",--('Final Calculation Sheet'!$W$18&lt;&gt;""),--ISNUMBER(SEARCH($X$4,'Final Calculation Sheet'!$W$18)))))</f>
        <v/>
      </c>
      <c r="ED73">
        <f>IF($Y$4="",1,IF($Y$4="(blank)",--('Final Calculation Sheet'!$X$18=""),IF($Y$4="(nonblank)",--('Final Calculation Sheet'!$X$18&lt;&gt;""),--ISNUMBER(SEARCH($Y$4,'Final Calculation Sheet'!$X$18)))))</f>
        <v/>
      </c>
      <c r="EE73">
        <f>IF($Z$4="",1,IF($Z$4="(blank)",--('Final Calculation Sheet'!$Y$18=""),IF($Z$4="(nonblank)",--('Final Calculation Sheet'!$Y$18&lt;&gt;""),--ISNUMBER(SEARCH($Z$4,'Final Calculation Sheet'!$Y$18)))))</f>
        <v/>
      </c>
      <c r="EF73">
        <f>IF($AA$4="",1,IF($AA$4="(blank)",--('Final Calculation Sheet'!$Z$18=""),IF($AA$4="(nonblank)",--('Final Calculation Sheet'!$Z$18&lt;&gt;""),--ISNUMBER(SEARCH($AA$4,'Final Calculation Sheet'!$Z$18)))))</f>
        <v/>
      </c>
      <c r="EG73">
        <f>IF($AB$4="",1,IF($AB$4="(blank)",--('Final Calculation Sheet'!$AA$18=""),IF($AB$4="(nonblank)",--('Final Calculation Sheet'!$AA$18&lt;&gt;""),--ISNUMBER(SEARCH($AB$4,'Final Calculation Sheet'!$AA$18)))))</f>
        <v/>
      </c>
      <c r="EH73">
        <f>IF($AC$4="",1,IF($AC$4="(blank)",--('Final Calculation Sheet'!$AB$18=""),IF($AC$4="(nonblank)",--('Final Calculation Sheet'!$AB$18&lt;&gt;""),--ISNUMBER(SEARCH($AC$4,'Final Calculation Sheet'!$AB$18)))))</f>
        <v/>
      </c>
      <c r="EI73">
        <f>IF($AD$4="",1,IF($AD$4="(blank)",--('Final Calculation Sheet'!$AC$18=""),IF($AD$4="(nonblank)",--('Final Calculation Sheet'!$AC$18&lt;&gt;""),--ISNUMBER(SEARCH($AD$4,'Final Calculation Sheet'!$AC$18)))))</f>
        <v/>
      </c>
      <c r="EJ73">
        <f>IF($AE$4="",1,IF($AE$4="(blank)",--('Final Calculation Sheet'!$AD$18=""),IF($AE$4="(nonblank)",--('Final Calculation Sheet'!$AD$18&lt;&gt;""),--ISNUMBER(SEARCH($AE$4,'Final Calculation Sheet'!$AD$18)))))</f>
        <v/>
      </c>
      <c r="EK73">
        <f>IF($AF$4="",1,IF($AF$4="(blank)",--(IF('Final Calculation Sheet'!$AD$18&lt;=5,"SETTLED","OUTSTANDING")=""),IF($AF$4="(nonblank)",--(IF('Final Calculation Sheet'!$AD$18&lt;=5,"SETTLED","OUTSTANDING")&lt;&gt;""),--ISNUMBER(SEARCH($AF$4,IF('Final Calculation Sheet'!$AD$18&lt;=5,"SETTLED","OUTSTANDING"))))))</f>
        <v/>
      </c>
      <c r="EL73">
        <f>IF($AG$4="",1,IF($AG$4="(blank)",--('Final Calculation Sheet'!$AF$18=""),IF($AG$4="(nonblank)",--('Final Calculation Sheet'!$AF$18&lt;&gt;""),--ISNUMBER(SEARCH($AG$4,'Final Calculation Sheet'!$AF$18)))))</f>
        <v/>
      </c>
      <c r="EM73">
        <f>IF($AH$4="",1,IF($AH$4="(blank)",--('Final Calculation Sheet'!$AG$18=""),IF($AH$4="(nonblank)",--('Final Calculation Sheet'!$AG$18&lt;&gt;""),--ISNUMBER(SEARCH($AH$4,'Final Calculation Sheet'!$AG$18)))))</f>
        <v/>
      </c>
      <c r="EN73">
        <f>IF($AI$4="",1,IF($AI$4="(blank)",--('Final Calculation Sheet'!$AH$18=""),IF($AI$4="(nonblank)",--('Final Calculation Sheet'!$AH$18&lt;&gt;""),--ISNUMBER(SEARCH($AI$4,'Final Calculation Sheet'!$AH$18)))))</f>
        <v/>
      </c>
    </row>
    <row r="74">
      <c r="AM74">
        <f>AM73+IF(AND(Lists!$O$21&lt;&gt;"",ISNUMBER(SEARCH($B$4,Lists!$O$21))),1,0)</f>
        <v/>
      </c>
      <c r="AN74">
        <f>IF(ROW()-56&gt;MAX($AM$57:$AM$95),"",INDEX(Lists!$O$4:$O$42,MATCH(ROW()-56,$AM$57:$AM$95,0)))</f>
        <v/>
      </c>
      <c r="AO74">
        <f>AO73+IF(AND(Lists!$T$21&lt;&gt;"",ISNUMBER(SEARCH($C$4,Lists!$T$21))),1,0)</f>
        <v/>
      </c>
      <c r="AP74">
        <f>IF(ROW()-56&gt;MAX($AO$57:$AO$95),"",INDEX(Lists!$T$4:$T$42,MATCH(ROW()-56,$AO$57:$AO$95,0)))</f>
        <v/>
      </c>
      <c r="AQ74">
        <f>AQ73+IF(AND(Lists!$Y$21&lt;&gt;"",ISNUMBER(SEARCH($D$4,Lists!$Y$21))),1,0)</f>
        <v/>
      </c>
      <c r="AR74">
        <f>IF(ROW()-56&gt;MAX($AQ$57:$AQ$95),"",INDEX(Lists!$Y$4:$Y$42,MATCH(ROW()-56,$AQ$57:$AQ$95,0)))</f>
        <v/>
      </c>
      <c r="AS74">
        <f>AS73+IF(AND(Lists!$AD$21&lt;&gt;"",ISNUMBER(SEARCH($E$4,Lists!$AD$21))),1,0)</f>
        <v/>
      </c>
      <c r="AT74">
        <f>IF(ROW()-56&gt;MAX($AS$57:$AS$95),"",INDEX(Lists!$AD$4:$AD$42,MATCH(ROW()-56,$AS$57:$AS$95,0)))</f>
        <v/>
      </c>
      <c r="AU74">
        <f>AU73+IF(AND(Lists!$AI$21&lt;&gt;"",ISNUMBER(SEARCH($F$4,Lists!$AI$21))),1,0)</f>
        <v/>
      </c>
      <c r="AV74">
        <f>IF(ROW()-56&gt;MAX($AU$57:$AU$95),"",INDEX(Lists!$AI$4:$AI$42,MATCH(ROW()-56,$AU$57:$AU$95,0)))</f>
        <v/>
      </c>
      <c r="AW74">
        <f>AW73+IF(AND(Lists!$AN$21&lt;&gt;"",ISNUMBER(SEARCH($G$4,Lists!$AN$21))),1,0)</f>
        <v/>
      </c>
      <c r="AX74">
        <f>IF(ROW()-56&gt;MAX($AW$57:$AW$95),"",INDEX(Lists!$AN$4:$AN$42,MATCH(ROW()-56,$AW$57:$AW$95,0)))</f>
        <v/>
      </c>
      <c r="AY74">
        <f>AY73+IF(AND(Lists!$AS$21&lt;&gt;"",ISNUMBER(SEARCH($H$4,Lists!$AS$21))),1,0)</f>
        <v/>
      </c>
      <c r="AZ74">
        <f>IF(ROW()-56&gt;MAX($AY$57:$AY$95),"",INDEX(Lists!$AS$4:$AS$42,MATCH(ROW()-56,$AY$57:$AY$95,0)))</f>
        <v/>
      </c>
      <c r="BA74">
        <f>BA73+IF(AND(Lists!$AX$21&lt;&gt;"",ISNUMBER(SEARCH($I$4,Lists!$AX$21))),1,0)</f>
        <v/>
      </c>
      <c r="BB74">
        <f>IF(ROW()-56&gt;MAX($BA$57:$BA$95),"",INDEX(Lists!$AX$4:$AX$42,MATCH(ROW()-56,$BA$57:$BA$95,0)))</f>
        <v/>
      </c>
      <c r="BC74">
        <f>BC73+IF(AND(Lists!$BC$21&lt;&gt;"",ISNUMBER(SEARCH($J$4,Lists!$BC$21))),1,0)</f>
        <v/>
      </c>
      <c r="BD74">
        <f>IF(ROW()-56&gt;MAX($BC$57:$BC$95),"",INDEX(Lists!$BC$4:$BC$42,MATCH(ROW()-56,$BC$57:$BC$95,0)))</f>
        <v/>
      </c>
      <c r="BE74">
        <f>BE73+IF(AND(Lists!$BH$21&lt;&gt;"",ISNUMBER(SEARCH($K$4,Lists!$BH$21))),1,0)</f>
        <v/>
      </c>
      <c r="BF74">
        <f>IF(ROW()-56&gt;MAX($BE$57:$BE$95),"",INDEX(Lists!$BH$4:$BH$42,MATCH(ROW()-56,$BE$57:$BE$95,0)))</f>
        <v/>
      </c>
      <c r="BG74">
        <f>BG73+IF(AND(Lists!$BM$21&lt;&gt;"",ISNUMBER(SEARCH($L$4,Lists!$BM$21))),1,0)</f>
        <v/>
      </c>
      <c r="BH74">
        <f>IF(ROW()-56&gt;MAX($BG$57:$BG$95),"",INDEX(Lists!$BM$4:$BM$42,MATCH(ROW()-56,$BG$57:$BG$95,0)))</f>
        <v/>
      </c>
      <c r="BI74">
        <f>BI73+IF(AND(Lists!$BR$21&lt;&gt;"",ISNUMBER(SEARCH($M$4,Lists!$BR$21))),1,0)</f>
        <v/>
      </c>
      <c r="BJ74">
        <f>IF(ROW()-56&gt;MAX($BI$57:$BI$95),"",INDEX(Lists!$BR$4:$BR$42,MATCH(ROW()-56,$BI$57:$BI$95,0)))</f>
        <v/>
      </c>
      <c r="BK74">
        <f>BK73+IF(AND(Lists!$BW$21&lt;&gt;"",ISNUMBER(SEARCH($N$4,Lists!$BW$21))),1,0)</f>
        <v/>
      </c>
      <c r="BL74">
        <f>IF(ROW()-56&gt;MAX($BK$57:$BK$95),"",INDEX(Lists!$BW$4:$BW$42,MATCH(ROW()-56,$BK$57:$BK$95,0)))</f>
        <v/>
      </c>
      <c r="BM74">
        <f>BM73+IF(AND(Lists!$CB$21&lt;&gt;"",ISNUMBER(SEARCH($O$4,Lists!$CB$21))),1,0)</f>
        <v/>
      </c>
      <c r="BN74">
        <f>IF(ROW()-56&gt;MAX($BM$57:$BM$95),"",INDEX(Lists!$CB$4:$CB$42,MATCH(ROW()-56,$BM$57:$BM$95,0)))</f>
        <v/>
      </c>
      <c r="BO74">
        <f>BO73+IF(AND(Lists!$CG$21&lt;&gt;"",ISNUMBER(SEARCH($P$4,Lists!$CG$21))),1,0)</f>
        <v/>
      </c>
      <c r="BP74">
        <f>IF(ROW()-56&gt;MAX($BO$57:$BO$95),"",INDEX(Lists!$CG$4:$CG$42,MATCH(ROW()-56,$BO$57:$BO$95,0)))</f>
        <v/>
      </c>
      <c r="BQ74">
        <f>BQ73+IF(AND(Lists!$CL$21&lt;&gt;"",ISNUMBER(SEARCH($Q$4,Lists!$CL$21))),1,0)</f>
        <v/>
      </c>
      <c r="BR74">
        <f>IF(ROW()-56&gt;MAX($BQ$57:$BQ$95),"",INDEX(Lists!$CL$4:$CL$42,MATCH(ROW()-56,$BQ$57:$BQ$95,0)))</f>
        <v/>
      </c>
      <c r="BS74">
        <f>BS73+IF(AND(Lists!$CQ$21&lt;&gt;"",ISNUMBER(SEARCH($R$4,Lists!$CQ$21))),1,0)</f>
        <v/>
      </c>
      <c r="BT74">
        <f>IF(ROW()-56&gt;MAX($BS$57:$BS$95),"",INDEX(Lists!$CQ$4:$CQ$42,MATCH(ROW()-56,$BS$57:$BS$95,0)))</f>
        <v/>
      </c>
      <c r="BU74">
        <f>BU73+IF(AND(Lists!$CV$21&lt;&gt;"",ISNUMBER(SEARCH($S$4,Lists!$CV$21))),1,0)</f>
        <v/>
      </c>
      <c r="BV74">
        <f>IF(ROW()-56&gt;MAX($BU$57:$BU$95),"",INDEX(Lists!$CV$4:$CV$42,MATCH(ROW()-56,$BU$57:$BU$95,0)))</f>
        <v/>
      </c>
      <c r="BW74">
        <f>BW73+IF(AND(Lists!$DA$21&lt;&gt;"",ISNUMBER(SEARCH($T$4,Lists!$DA$21))),1,0)</f>
        <v/>
      </c>
      <c r="BX74">
        <f>IF(ROW()-56&gt;MAX($BW$57:$BW$95),"",INDEX(Lists!$DA$4:$DA$42,MATCH(ROW()-56,$BW$57:$BW$95,0)))</f>
        <v/>
      </c>
      <c r="BY74">
        <f>BY73+IF(AND(Lists!$DF$21&lt;&gt;"",ISNUMBER(SEARCH($U$4,Lists!$DF$21))),1,0)</f>
        <v/>
      </c>
      <c r="BZ74">
        <f>IF(ROW()-56&gt;MAX($BY$57:$BY$95),"",INDEX(Lists!$DF$4:$DF$42,MATCH(ROW()-56,$BY$57:$BY$95,0)))</f>
        <v/>
      </c>
      <c r="CA74">
        <f>CA73+IF(AND(Lists!$DK$21&lt;&gt;"",ISNUMBER(SEARCH($V$4,Lists!$DK$21))),1,0)</f>
        <v/>
      </c>
      <c r="CB74">
        <f>IF(ROW()-56&gt;MAX($CA$57:$CA$95),"",INDEX(Lists!$DK$4:$DK$42,MATCH(ROW()-56,$CA$57:$CA$95,0)))</f>
        <v/>
      </c>
      <c r="CC74">
        <f>CC73+IF(AND(Lists!$DP$21&lt;&gt;"",ISNUMBER(SEARCH($W$4,Lists!$DP$21))),1,0)</f>
        <v/>
      </c>
      <c r="CD74">
        <f>IF(ROW()-56&gt;MAX($CC$57:$CC$95),"",INDEX(Lists!$DP$4:$DP$42,MATCH(ROW()-56,$CC$57:$CC$95,0)))</f>
        <v/>
      </c>
      <c r="CE74">
        <f>CE73+IF(AND(Lists!$DU$21&lt;&gt;"",ISNUMBER(SEARCH($X$4,Lists!$DU$21))),1,0)</f>
        <v/>
      </c>
      <c r="CF74">
        <f>IF(ROW()-56&gt;MAX($CE$57:$CE$95),"",INDEX(Lists!$DU$4:$DU$42,MATCH(ROW()-56,$CE$57:$CE$95,0)))</f>
        <v/>
      </c>
      <c r="CG74">
        <f>CG73+IF(AND(Lists!$DZ$21&lt;&gt;"",ISNUMBER(SEARCH($Y$4,Lists!$DZ$21))),1,0)</f>
        <v/>
      </c>
      <c r="CH74">
        <f>IF(ROW()-56&gt;MAX($CG$57:$CG$95),"",INDEX(Lists!$DZ$4:$DZ$42,MATCH(ROW()-56,$CG$57:$CG$95,0)))</f>
        <v/>
      </c>
      <c r="CI74">
        <f>CI73+IF(AND(Lists!$EE$21&lt;&gt;"",ISNUMBER(SEARCH($Z$4,Lists!$EE$21))),1,0)</f>
        <v/>
      </c>
      <c r="CJ74">
        <f>IF(ROW()-56&gt;MAX($CI$57:$CI$95),"",INDEX(Lists!$EE$4:$EE$42,MATCH(ROW()-56,$CI$57:$CI$95,0)))</f>
        <v/>
      </c>
      <c r="CK74">
        <f>CK73+IF(AND(Lists!$EJ$21&lt;&gt;"",ISNUMBER(SEARCH($AA$4,Lists!$EJ$21))),1,0)</f>
        <v/>
      </c>
      <c r="CL74">
        <f>IF(ROW()-56&gt;MAX($CK$57:$CK$95),"",INDEX(Lists!$EJ$4:$EJ$42,MATCH(ROW()-56,$CK$57:$CK$95,0)))</f>
        <v/>
      </c>
      <c r="CM74">
        <f>CM73+IF(AND(Lists!$EO$21&lt;&gt;"",ISNUMBER(SEARCH($AB$4,Lists!$EO$21))),1,0)</f>
        <v/>
      </c>
      <c r="CN74">
        <f>IF(ROW()-56&gt;MAX($CM$57:$CM$95),"",INDEX(Lists!$EO$4:$EO$42,MATCH(ROW()-56,$CM$57:$CM$95,0)))</f>
        <v/>
      </c>
      <c r="CO74">
        <f>CO73+IF(AND(Lists!$ET$21&lt;&gt;"",ISNUMBER(SEARCH($AC$4,Lists!$ET$21))),1,0)</f>
        <v/>
      </c>
      <c r="CP74">
        <f>IF(ROW()-56&gt;MAX($CO$57:$CO$95),"",INDEX(Lists!$ET$4:$ET$42,MATCH(ROW()-56,$CO$57:$CO$95,0)))</f>
        <v/>
      </c>
      <c r="CQ74">
        <f>CQ73+IF(AND(Lists!$EY$21&lt;&gt;"",ISNUMBER(SEARCH($AD$4,Lists!$EY$21))),1,0)</f>
        <v/>
      </c>
      <c r="CR74">
        <f>IF(ROW()-56&gt;MAX($CQ$57:$CQ$95),"",INDEX(Lists!$EY$4:$EY$42,MATCH(ROW()-56,$CQ$57:$CQ$95,0)))</f>
        <v/>
      </c>
      <c r="CS74">
        <f>CS73+IF(AND(Lists!$FD$21&lt;&gt;"",ISNUMBER(SEARCH($AE$4,Lists!$FD$21))),1,0)</f>
        <v/>
      </c>
      <c r="CT74">
        <f>IF(ROW()-56&gt;MAX($CS$57:$CS$95),"",INDEX(Lists!$FD$4:$FD$42,MATCH(ROW()-56,$CS$57:$CS$95,0)))</f>
        <v/>
      </c>
      <c r="CU74">
        <f>CU73+IF(AND(Lists!$FI$21&lt;&gt;"",ISNUMBER(SEARCH($AG$4,Lists!$FI$21))),1,0)</f>
        <v/>
      </c>
      <c r="CV74">
        <f>IF(ROW()-56&gt;MAX($CU$57:$CU$95),"",INDEX(Lists!$FI$4:$FI$42,MATCH(ROW()-56,$CU$57:$CU$95,0)))</f>
        <v/>
      </c>
      <c r="CW74">
        <f>CW73+IF(AND(Lists!$FN$21&lt;&gt;"",ISNUMBER(SEARCH($AH$4,Lists!$FN$21))),1,0)</f>
        <v/>
      </c>
      <c r="CX74">
        <f>IF(ROW()-56&gt;MAX($CW$57:$CW$95),"",INDEX(Lists!$FN$4:$FN$42,MATCH(ROW()-56,$CW$57:$CW$95,0)))</f>
        <v/>
      </c>
      <c r="CY74">
        <f>CY73+IF(AND(Lists!$FS$21&lt;&gt;"",ISNUMBER(SEARCH($AI$4,Lists!$FS$21))),1,0)</f>
        <v/>
      </c>
      <c r="CZ74">
        <f>IF(ROW()-56&gt;MAX($CY$57:$CY$95),"",INDEX(Lists!$FS$4:$FS$42,MATCH(ROW()-56,$CY$57:$CY$95,0)))</f>
        <v/>
      </c>
      <c r="DA74">
        <f>DA73+IF(AND(Lists!$FX$21&lt;&gt;"",ISNUMBER(SEARCH($AF$4,Lists!$FX$21))),1,0)</f>
        <v/>
      </c>
      <c r="DB74">
        <f>IF(ROW()-56&gt;MAX($DA$57:$DA$95),"",INDEX(Lists!$FX$4:$FX$42,MATCH(ROW()-56,$DA$57:$DA$95,0)))</f>
        <v/>
      </c>
      <c r="DG74">
        <f>IF($B$4="",1,IF($B$4="(blank)",--('Final Calculation Sheet'!$F$19=""),IF($B$4="(nonblank)",--('Final Calculation Sheet'!$F$19&lt;&gt;""),--ISNUMBER(SEARCH($B$4,'Final Calculation Sheet'!$F$19)))))</f>
        <v/>
      </c>
      <c r="DH74">
        <f>IF($C$4="",1,IF($C$4="(blank)",--('Final Calculation Sheet'!$G$19=""),IF($C$4="(nonblank)",--('Final Calculation Sheet'!$G$19&lt;&gt;""),--ISNUMBER(SEARCH($C$4,'Final Calculation Sheet'!$G$19)))))</f>
        <v/>
      </c>
      <c r="DI74">
        <f>IF($D$4="",1,IF($D$4="(blank)",--('Final Calculation Sheet'!$B$19=""),IF($D$4="(nonblank)",--('Final Calculation Sheet'!$B$19&lt;&gt;""),--ISNUMBER(SEARCH($D$4,'Final Calculation Sheet'!$B$19)))))</f>
        <v/>
      </c>
      <c r="DJ74">
        <f>IF($E$4="",1,IF($E$4="(blank)",--('Final Calculation Sheet'!$D$19=""),IF($E$4="(nonblank)",--('Final Calculation Sheet'!$D$19&lt;&gt;""),--ISNUMBER(SEARCH($E$4,'Final Calculation Sheet'!$D$19)))))</f>
        <v/>
      </c>
      <c r="DK74">
        <f>IF($F$4="",1,IF($F$4="(blank)",--('Final Calculation Sheet'!$A$19=""),IF($F$4="(nonblank)",--('Final Calculation Sheet'!$A$19&lt;&gt;""),--ISNUMBER(SEARCH($F$4,'Final Calculation Sheet'!$A$19)))))</f>
        <v/>
      </c>
      <c r="DL74">
        <f>IF($G$4="",1,IF($G$4="(blank)",--('Final Calculation Sheet'!$E$19=""),IF($G$4="(nonblank)",--('Final Calculation Sheet'!$E$19&lt;&gt;""),--ISNUMBER(SEARCH($G$4,'Final Calculation Sheet'!$E$19)))))</f>
        <v/>
      </c>
      <c r="DM74">
        <f>IF($H$4="",1,IF($H$4="(blank)",--('Final Calculation Sheet'!$C$19=""),IF($H$4="(nonblank)",--('Final Calculation Sheet'!$C$19&lt;&gt;""),--ISNUMBER(SEARCH($H$4,'Final Calculation Sheet'!$C$19)))))</f>
        <v/>
      </c>
      <c r="DN74">
        <f>IF($I$4="",1,IF($I$4="(blank)",--('Final Calculation Sheet'!$H$19=""),IF($I$4="(nonblank)",--('Final Calculation Sheet'!$H$19&lt;&gt;""),--ISNUMBER(SEARCH($I$4,'Final Calculation Sheet'!$H$19)))))</f>
        <v/>
      </c>
      <c r="DO74">
        <f>IF($J$4="",1,IF($J$4="(blank)",--('Final Calculation Sheet'!$I$19=""),IF($J$4="(nonblank)",--('Final Calculation Sheet'!$I$19&lt;&gt;""),--ISNUMBER(SEARCH($J$4,'Final Calculation Sheet'!$I$19)))))</f>
        <v/>
      </c>
      <c r="DP74">
        <f>IF($K$4="",1,IF($K$4="(blank)",--('Final Calculation Sheet'!$J$19=""),IF($K$4="(nonblank)",--('Final Calculation Sheet'!$J$19&lt;&gt;""),--ISNUMBER(SEARCH($K$4,'Final Calculation Sheet'!$J$19)))))</f>
        <v/>
      </c>
      <c r="DQ74">
        <f>IF($L$4="",1,IF($L$4="(blank)",--('Final Calculation Sheet'!$K$19=""),IF($L$4="(nonblank)",--('Final Calculation Sheet'!$K$19&lt;&gt;""),--ISNUMBER(SEARCH($L$4,'Final Calculation Sheet'!$K$19)))))</f>
        <v/>
      </c>
      <c r="DR74">
        <f>IF($M$4="",1,IF($M$4="(blank)",--('Final Calculation Sheet'!$L$19=""),IF($M$4="(nonblank)",--('Final Calculation Sheet'!$L$19&lt;&gt;""),--ISNUMBER(SEARCH($M$4,'Final Calculation Sheet'!$L$19)))))</f>
        <v/>
      </c>
      <c r="DS74">
        <f>IF($N$4="",1,IF($N$4="(blank)",--('Final Calculation Sheet'!$M$19=""),IF($N$4="(nonblank)",--('Final Calculation Sheet'!$M$19&lt;&gt;""),--ISNUMBER(SEARCH($N$4,'Final Calculation Sheet'!$M$19)))))</f>
        <v/>
      </c>
      <c r="DT74">
        <f>IF($O$4="",1,IF($O$4="(blank)",--('Final Calculation Sheet'!$N$19=""),IF($O$4="(nonblank)",--('Final Calculation Sheet'!$N$19&lt;&gt;""),--ISNUMBER(SEARCH($O$4,'Final Calculation Sheet'!$N$19)))))</f>
        <v/>
      </c>
      <c r="DU74">
        <f>IF($P$4="",1,IF($P$4="(blank)",--('Final Calculation Sheet'!$O$19=""),IF($P$4="(nonblank)",--('Final Calculation Sheet'!$O$19&lt;&gt;""),--ISNUMBER(SEARCH($P$4,'Final Calculation Sheet'!$O$19)))))</f>
        <v/>
      </c>
      <c r="DV74">
        <f>IF($Q$4="",1,IF($Q$4="(blank)",--('Final Calculation Sheet'!$P$19=""),IF($Q$4="(nonblank)",--('Final Calculation Sheet'!$P$19&lt;&gt;""),--ISNUMBER(SEARCH($Q$4,'Final Calculation Sheet'!$P$19)))))</f>
        <v/>
      </c>
      <c r="DW74">
        <f>IF($R$4="",1,IF($R$4="(blank)",--('Final Calculation Sheet'!$Q$19=""),IF($R$4="(nonblank)",--('Final Calculation Sheet'!$Q$19&lt;&gt;""),--ISNUMBER(SEARCH($R$4,'Final Calculation Sheet'!$Q$19)))))</f>
        <v/>
      </c>
      <c r="DX74">
        <f>IF($S$4="",1,IF($S$4="(blank)",--('Final Calculation Sheet'!$R$19=""),IF($S$4="(nonblank)",--('Final Calculation Sheet'!$R$19&lt;&gt;""),--ISNUMBER(SEARCH($S$4,'Final Calculation Sheet'!$R$19)))))</f>
        <v/>
      </c>
      <c r="DY74">
        <f>IF($T$4="",1,IF($T$4="(blank)",--('Final Calculation Sheet'!$S$19=""),IF($T$4="(nonblank)",--('Final Calculation Sheet'!$S$19&lt;&gt;""),--ISNUMBER(SEARCH($T$4,'Final Calculation Sheet'!$S$19)))))</f>
        <v/>
      </c>
      <c r="DZ74">
        <f>IF($U$4="",1,IF($U$4="(blank)",--('Final Calculation Sheet'!$T$19=""),IF($U$4="(nonblank)",--('Final Calculation Sheet'!$T$19&lt;&gt;""),--ISNUMBER(SEARCH($U$4,'Final Calculation Sheet'!$T$19)))))</f>
        <v/>
      </c>
      <c r="EA74">
        <f>IF($V$4="",1,IF($V$4="(blank)",--('Final Calculation Sheet'!$U$19=""),IF($V$4="(nonblank)",--('Final Calculation Sheet'!$U$19&lt;&gt;""),--ISNUMBER(SEARCH($V$4,'Final Calculation Sheet'!$U$19)))))</f>
        <v/>
      </c>
      <c r="EB74">
        <f>IF($W$4="",1,IF($W$4="(blank)",--('Final Calculation Sheet'!$V$19=""),IF($W$4="(nonblank)",--('Final Calculation Sheet'!$V$19&lt;&gt;""),--ISNUMBER(SEARCH($W$4,'Final Calculation Sheet'!$V$19)))))</f>
        <v/>
      </c>
      <c r="EC74">
        <f>IF($X$4="",1,IF($X$4="(blank)",--('Final Calculation Sheet'!$W$19=""),IF($X$4="(nonblank)",--('Final Calculation Sheet'!$W$19&lt;&gt;""),--ISNUMBER(SEARCH($X$4,'Final Calculation Sheet'!$W$19)))))</f>
        <v/>
      </c>
      <c r="ED74">
        <f>IF($Y$4="",1,IF($Y$4="(blank)",--('Final Calculation Sheet'!$X$19=""),IF($Y$4="(nonblank)",--('Final Calculation Sheet'!$X$19&lt;&gt;""),--ISNUMBER(SEARCH($Y$4,'Final Calculation Sheet'!$X$19)))))</f>
        <v/>
      </c>
      <c r="EE74">
        <f>IF($Z$4="",1,IF($Z$4="(blank)",--('Final Calculation Sheet'!$Y$19=""),IF($Z$4="(nonblank)",--('Final Calculation Sheet'!$Y$19&lt;&gt;""),--ISNUMBER(SEARCH($Z$4,'Final Calculation Sheet'!$Y$19)))))</f>
        <v/>
      </c>
      <c r="EF74">
        <f>IF($AA$4="",1,IF($AA$4="(blank)",--('Final Calculation Sheet'!$Z$19=""),IF($AA$4="(nonblank)",--('Final Calculation Sheet'!$Z$19&lt;&gt;""),--ISNUMBER(SEARCH($AA$4,'Final Calculation Sheet'!$Z$19)))))</f>
        <v/>
      </c>
      <c r="EG74">
        <f>IF($AB$4="",1,IF($AB$4="(blank)",--('Final Calculation Sheet'!$AA$19=""),IF($AB$4="(nonblank)",--('Final Calculation Sheet'!$AA$19&lt;&gt;""),--ISNUMBER(SEARCH($AB$4,'Final Calculation Sheet'!$AA$19)))))</f>
        <v/>
      </c>
      <c r="EH74">
        <f>IF($AC$4="",1,IF($AC$4="(blank)",--('Final Calculation Sheet'!$AB$19=""),IF($AC$4="(nonblank)",--('Final Calculation Sheet'!$AB$19&lt;&gt;""),--ISNUMBER(SEARCH($AC$4,'Final Calculation Sheet'!$AB$19)))))</f>
        <v/>
      </c>
      <c r="EI74">
        <f>IF($AD$4="",1,IF($AD$4="(blank)",--('Final Calculation Sheet'!$AC$19=""),IF($AD$4="(nonblank)",--('Final Calculation Sheet'!$AC$19&lt;&gt;""),--ISNUMBER(SEARCH($AD$4,'Final Calculation Sheet'!$AC$19)))))</f>
        <v/>
      </c>
      <c r="EJ74">
        <f>IF($AE$4="",1,IF($AE$4="(blank)",--('Final Calculation Sheet'!$AD$19=""),IF($AE$4="(nonblank)",--('Final Calculation Sheet'!$AD$19&lt;&gt;""),--ISNUMBER(SEARCH($AE$4,'Final Calculation Sheet'!$AD$19)))))</f>
        <v/>
      </c>
      <c r="EK74">
        <f>IF($AF$4="",1,IF($AF$4="(blank)",--(IF('Final Calculation Sheet'!$AD$19&lt;=5,"SETTLED","OUTSTANDING")=""),IF($AF$4="(nonblank)",--(IF('Final Calculation Sheet'!$AD$19&lt;=5,"SETTLED","OUTSTANDING")&lt;&gt;""),--ISNUMBER(SEARCH($AF$4,IF('Final Calculation Sheet'!$AD$19&lt;=5,"SETTLED","OUTSTANDING"))))))</f>
        <v/>
      </c>
      <c r="EL74">
        <f>IF($AG$4="",1,IF($AG$4="(blank)",--('Final Calculation Sheet'!$AF$19=""),IF($AG$4="(nonblank)",--('Final Calculation Sheet'!$AF$19&lt;&gt;""),--ISNUMBER(SEARCH($AG$4,'Final Calculation Sheet'!$AF$19)))))</f>
        <v/>
      </c>
      <c r="EM74">
        <f>IF($AH$4="",1,IF($AH$4="(blank)",--('Final Calculation Sheet'!$AG$19=""),IF($AH$4="(nonblank)",--('Final Calculation Sheet'!$AG$19&lt;&gt;""),--ISNUMBER(SEARCH($AH$4,'Final Calculation Sheet'!$AG$19)))))</f>
        <v/>
      </c>
      <c r="EN74">
        <f>IF($AI$4="",1,IF($AI$4="(blank)",--('Final Calculation Sheet'!$AH$19=""),IF($AI$4="(nonblank)",--('Final Calculation Sheet'!$AH$19&lt;&gt;""),--ISNUMBER(SEARCH($AI$4,'Final Calculation Sheet'!$AH$19)))))</f>
        <v/>
      </c>
    </row>
    <row r="75">
      <c r="AM75">
        <f>AM74+IF(AND(Lists!$O$22&lt;&gt;"",ISNUMBER(SEARCH($B$4,Lists!$O$22))),1,0)</f>
        <v/>
      </c>
      <c r="AN75">
        <f>IF(ROW()-56&gt;MAX($AM$57:$AM$95),"",INDEX(Lists!$O$4:$O$42,MATCH(ROW()-56,$AM$57:$AM$95,0)))</f>
        <v/>
      </c>
      <c r="AO75">
        <f>AO74+IF(AND(Lists!$T$22&lt;&gt;"",ISNUMBER(SEARCH($C$4,Lists!$T$22))),1,0)</f>
        <v/>
      </c>
      <c r="AP75">
        <f>IF(ROW()-56&gt;MAX($AO$57:$AO$95),"",INDEX(Lists!$T$4:$T$42,MATCH(ROW()-56,$AO$57:$AO$95,0)))</f>
        <v/>
      </c>
      <c r="AQ75">
        <f>AQ74+IF(AND(Lists!$Y$22&lt;&gt;"",ISNUMBER(SEARCH($D$4,Lists!$Y$22))),1,0)</f>
        <v/>
      </c>
      <c r="AR75">
        <f>IF(ROW()-56&gt;MAX($AQ$57:$AQ$95),"",INDEX(Lists!$Y$4:$Y$42,MATCH(ROW()-56,$AQ$57:$AQ$95,0)))</f>
        <v/>
      </c>
      <c r="AS75">
        <f>AS74+IF(AND(Lists!$AD$22&lt;&gt;"",ISNUMBER(SEARCH($E$4,Lists!$AD$22))),1,0)</f>
        <v/>
      </c>
      <c r="AT75">
        <f>IF(ROW()-56&gt;MAX($AS$57:$AS$95),"",INDEX(Lists!$AD$4:$AD$42,MATCH(ROW()-56,$AS$57:$AS$95,0)))</f>
        <v/>
      </c>
      <c r="AU75">
        <f>AU74+IF(AND(Lists!$AI$22&lt;&gt;"",ISNUMBER(SEARCH($F$4,Lists!$AI$22))),1,0)</f>
        <v/>
      </c>
      <c r="AV75">
        <f>IF(ROW()-56&gt;MAX($AU$57:$AU$95),"",INDEX(Lists!$AI$4:$AI$42,MATCH(ROW()-56,$AU$57:$AU$95,0)))</f>
        <v/>
      </c>
      <c r="AW75">
        <f>AW74+IF(AND(Lists!$AN$22&lt;&gt;"",ISNUMBER(SEARCH($G$4,Lists!$AN$22))),1,0)</f>
        <v/>
      </c>
      <c r="AX75">
        <f>IF(ROW()-56&gt;MAX($AW$57:$AW$95),"",INDEX(Lists!$AN$4:$AN$42,MATCH(ROW()-56,$AW$57:$AW$95,0)))</f>
        <v/>
      </c>
      <c r="AY75">
        <f>AY74+IF(AND(Lists!$AS$22&lt;&gt;"",ISNUMBER(SEARCH($H$4,Lists!$AS$22))),1,0)</f>
        <v/>
      </c>
      <c r="AZ75">
        <f>IF(ROW()-56&gt;MAX($AY$57:$AY$95),"",INDEX(Lists!$AS$4:$AS$42,MATCH(ROW()-56,$AY$57:$AY$95,0)))</f>
        <v/>
      </c>
      <c r="BA75">
        <f>BA74+IF(AND(Lists!$AX$22&lt;&gt;"",ISNUMBER(SEARCH($I$4,Lists!$AX$22))),1,0)</f>
        <v/>
      </c>
      <c r="BB75">
        <f>IF(ROW()-56&gt;MAX($BA$57:$BA$95),"",INDEX(Lists!$AX$4:$AX$42,MATCH(ROW()-56,$BA$57:$BA$95,0)))</f>
        <v/>
      </c>
      <c r="BC75">
        <f>BC74+IF(AND(Lists!$BC$22&lt;&gt;"",ISNUMBER(SEARCH($J$4,Lists!$BC$22))),1,0)</f>
        <v/>
      </c>
      <c r="BD75">
        <f>IF(ROW()-56&gt;MAX($BC$57:$BC$95),"",INDEX(Lists!$BC$4:$BC$42,MATCH(ROW()-56,$BC$57:$BC$95,0)))</f>
        <v/>
      </c>
      <c r="BE75">
        <f>BE74+IF(AND(Lists!$BH$22&lt;&gt;"",ISNUMBER(SEARCH($K$4,Lists!$BH$22))),1,0)</f>
        <v/>
      </c>
      <c r="BF75">
        <f>IF(ROW()-56&gt;MAX($BE$57:$BE$95),"",INDEX(Lists!$BH$4:$BH$42,MATCH(ROW()-56,$BE$57:$BE$95,0)))</f>
        <v/>
      </c>
      <c r="BG75">
        <f>BG74+IF(AND(Lists!$BM$22&lt;&gt;"",ISNUMBER(SEARCH($L$4,Lists!$BM$22))),1,0)</f>
        <v/>
      </c>
      <c r="BH75">
        <f>IF(ROW()-56&gt;MAX($BG$57:$BG$95),"",INDEX(Lists!$BM$4:$BM$42,MATCH(ROW()-56,$BG$57:$BG$95,0)))</f>
        <v/>
      </c>
      <c r="BI75">
        <f>BI74+IF(AND(Lists!$BR$22&lt;&gt;"",ISNUMBER(SEARCH($M$4,Lists!$BR$22))),1,0)</f>
        <v/>
      </c>
      <c r="BJ75">
        <f>IF(ROW()-56&gt;MAX($BI$57:$BI$95),"",INDEX(Lists!$BR$4:$BR$42,MATCH(ROW()-56,$BI$57:$BI$95,0)))</f>
        <v/>
      </c>
      <c r="BK75">
        <f>BK74+IF(AND(Lists!$BW$22&lt;&gt;"",ISNUMBER(SEARCH($N$4,Lists!$BW$22))),1,0)</f>
        <v/>
      </c>
      <c r="BL75">
        <f>IF(ROW()-56&gt;MAX($BK$57:$BK$95),"",INDEX(Lists!$BW$4:$BW$42,MATCH(ROW()-56,$BK$57:$BK$95,0)))</f>
        <v/>
      </c>
      <c r="BM75">
        <f>BM74+IF(AND(Lists!$CB$22&lt;&gt;"",ISNUMBER(SEARCH($O$4,Lists!$CB$22))),1,0)</f>
        <v/>
      </c>
      <c r="BN75">
        <f>IF(ROW()-56&gt;MAX($BM$57:$BM$95),"",INDEX(Lists!$CB$4:$CB$42,MATCH(ROW()-56,$BM$57:$BM$95,0)))</f>
        <v/>
      </c>
      <c r="BO75">
        <f>BO74+IF(AND(Lists!$CG$22&lt;&gt;"",ISNUMBER(SEARCH($P$4,Lists!$CG$22))),1,0)</f>
        <v/>
      </c>
      <c r="BP75">
        <f>IF(ROW()-56&gt;MAX($BO$57:$BO$95),"",INDEX(Lists!$CG$4:$CG$42,MATCH(ROW()-56,$BO$57:$BO$95,0)))</f>
        <v/>
      </c>
      <c r="BQ75">
        <f>BQ74+IF(AND(Lists!$CL$22&lt;&gt;"",ISNUMBER(SEARCH($Q$4,Lists!$CL$22))),1,0)</f>
        <v/>
      </c>
      <c r="BR75">
        <f>IF(ROW()-56&gt;MAX($BQ$57:$BQ$95),"",INDEX(Lists!$CL$4:$CL$42,MATCH(ROW()-56,$BQ$57:$BQ$95,0)))</f>
        <v/>
      </c>
      <c r="BS75">
        <f>BS74+IF(AND(Lists!$CQ$22&lt;&gt;"",ISNUMBER(SEARCH($R$4,Lists!$CQ$22))),1,0)</f>
        <v/>
      </c>
      <c r="BT75">
        <f>IF(ROW()-56&gt;MAX($BS$57:$BS$95),"",INDEX(Lists!$CQ$4:$CQ$42,MATCH(ROW()-56,$BS$57:$BS$95,0)))</f>
        <v/>
      </c>
      <c r="BU75">
        <f>BU74+IF(AND(Lists!$CV$22&lt;&gt;"",ISNUMBER(SEARCH($S$4,Lists!$CV$22))),1,0)</f>
        <v/>
      </c>
      <c r="BV75">
        <f>IF(ROW()-56&gt;MAX($BU$57:$BU$95),"",INDEX(Lists!$CV$4:$CV$42,MATCH(ROW()-56,$BU$57:$BU$95,0)))</f>
        <v/>
      </c>
      <c r="BW75">
        <f>BW74+IF(AND(Lists!$DA$22&lt;&gt;"",ISNUMBER(SEARCH($T$4,Lists!$DA$22))),1,0)</f>
        <v/>
      </c>
      <c r="BX75">
        <f>IF(ROW()-56&gt;MAX($BW$57:$BW$95),"",INDEX(Lists!$DA$4:$DA$42,MATCH(ROW()-56,$BW$57:$BW$95,0)))</f>
        <v/>
      </c>
      <c r="BY75">
        <f>BY74+IF(AND(Lists!$DF$22&lt;&gt;"",ISNUMBER(SEARCH($U$4,Lists!$DF$22))),1,0)</f>
        <v/>
      </c>
      <c r="BZ75">
        <f>IF(ROW()-56&gt;MAX($BY$57:$BY$95),"",INDEX(Lists!$DF$4:$DF$42,MATCH(ROW()-56,$BY$57:$BY$95,0)))</f>
        <v/>
      </c>
      <c r="CA75">
        <f>CA74+IF(AND(Lists!$DK$22&lt;&gt;"",ISNUMBER(SEARCH($V$4,Lists!$DK$22))),1,0)</f>
        <v/>
      </c>
      <c r="CB75">
        <f>IF(ROW()-56&gt;MAX($CA$57:$CA$95),"",INDEX(Lists!$DK$4:$DK$42,MATCH(ROW()-56,$CA$57:$CA$95,0)))</f>
        <v/>
      </c>
      <c r="CC75">
        <f>CC74+IF(AND(Lists!$DP$22&lt;&gt;"",ISNUMBER(SEARCH($W$4,Lists!$DP$22))),1,0)</f>
        <v/>
      </c>
      <c r="CD75">
        <f>IF(ROW()-56&gt;MAX($CC$57:$CC$95),"",INDEX(Lists!$DP$4:$DP$42,MATCH(ROW()-56,$CC$57:$CC$95,0)))</f>
        <v/>
      </c>
      <c r="CE75">
        <f>CE74+IF(AND(Lists!$DU$22&lt;&gt;"",ISNUMBER(SEARCH($X$4,Lists!$DU$22))),1,0)</f>
        <v/>
      </c>
      <c r="CF75">
        <f>IF(ROW()-56&gt;MAX($CE$57:$CE$95),"",INDEX(Lists!$DU$4:$DU$42,MATCH(ROW()-56,$CE$57:$CE$95,0)))</f>
        <v/>
      </c>
      <c r="CG75">
        <f>CG74+IF(AND(Lists!$DZ$22&lt;&gt;"",ISNUMBER(SEARCH($Y$4,Lists!$DZ$22))),1,0)</f>
        <v/>
      </c>
      <c r="CH75">
        <f>IF(ROW()-56&gt;MAX($CG$57:$CG$95),"",INDEX(Lists!$DZ$4:$DZ$42,MATCH(ROW()-56,$CG$57:$CG$95,0)))</f>
        <v/>
      </c>
      <c r="CI75">
        <f>CI74+IF(AND(Lists!$EE$22&lt;&gt;"",ISNUMBER(SEARCH($Z$4,Lists!$EE$22))),1,0)</f>
        <v/>
      </c>
      <c r="CJ75">
        <f>IF(ROW()-56&gt;MAX($CI$57:$CI$95),"",INDEX(Lists!$EE$4:$EE$42,MATCH(ROW()-56,$CI$57:$CI$95,0)))</f>
        <v/>
      </c>
      <c r="CK75">
        <f>CK74+IF(AND(Lists!$EJ$22&lt;&gt;"",ISNUMBER(SEARCH($AA$4,Lists!$EJ$22))),1,0)</f>
        <v/>
      </c>
      <c r="CL75">
        <f>IF(ROW()-56&gt;MAX($CK$57:$CK$95),"",INDEX(Lists!$EJ$4:$EJ$42,MATCH(ROW()-56,$CK$57:$CK$95,0)))</f>
        <v/>
      </c>
      <c r="CM75">
        <f>CM74+IF(AND(Lists!$EO$22&lt;&gt;"",ISNUMBER(SEARCH($AB$4,Lists!$EO$22))),1,0)</f>
        <v/>
      </c>
      <c r="CN75">
        <f>IF(ROW()-56&gt;MAX($CM$57:$CM$95),"",INDEX(Lists!$EO$4:$EO$42,MATCH(ROW()-56,$CM$57:$CM$95,0)))</f>
        <v/>
      </c>
      <c r="CO75">
        <f>CO74+IF(AND(Lists!$ET$22&lt;&gt;"",ISNUMBER(SEARCH($AC$4,Lists!$ET$22))),1,0)</f>
        <v/>
      </c>
      <c r="CP75">
        <f>IF(ROW()-56&gt;MAX($CO$57:$CO$95),"",INDEX(Lists!$ET$4:$ET$42,MATCH(ROW()-56,$CO$57:$CO$95,0)))</f>
        <v/>
      </c>
      <c r="CQ75">
        <f>CQ74+IF(AND(Lists!$EY$22&lt;&gt;"",ISNUMBER(SEARCH($AD$4,Lists!$EY$22))),1,0)</f>
        <v/>
      </c>
      <c r="CR75">
        <f>IF(ROW()-56&gt;MAX($CQ$57:$CQ$95),"",INDEX(Lists!$EY$4:$EY$42,MATCH(ROW()-56,$CQ$57:$CQ$95,0)))</f>
        <v/>
      </c>
      <c r="CS75">
        <f>CS74+IF(AND(Lists!$FD$22&lt;&gt;"",ISNUMBER(SEARCH($AE$4,Lists!$FD$22))),1,0)</f>
        <v/>
      </c>
      <c r="CT75">
        <f>IF(ROW()-56&gt;MAX($CS$57:$CS$95),"",INDEX(Lists!$FD$4:$FD$42,MATCH(ROW()-56,$CS$57:$CS$95,0)))</f>
        <v/>
      </c>
      <c r="CU75">
        <f>CU74+IF(AND(Lists!$FI$22&lt;&gt;"",ISNUMBER(SEARCH($AG$4,Lists!$FI$22))),1,0)</f>
        <v/>
      </c>
      <c r="CV75">
        <f>IF(ROW()-56&gt;MAX($CU$57:$CU$95),"",INDEX(Lists!$FI$4:$FI$42,MATCH(ROW()-56,$CU$57:$CU$95,0)))</f>
        <v/>
      </c>
      <c r="CW75">
        <f>CW74+IF(AND(Lists!$FN$22&lt;&gt;"",ISNUMBER(SEARCH($AH$4,Lists!$FN$22))),1,0)</f>
        <v/>
      </c>
      <c r="CX75">
        <f>IF(ROW()-56&gt;MAX($CW$57:$CW$95),"",INDEX(Lists!$FN$4:$FN$42,MATCH(ROW()-56,$CW$57:$CW$95,0)))</f>
        <v/>
      </c>
      <c r="CY75">
        <f>CY74+IF(AND(Lists!$FS$22&lt;&gt;"",ISNUMBER(SEARCH($AI$4,Lists!$FS$22))),1,0)</f>
        <v/>
      </c>
      <c r="CZ75">
        <f>IF(ROW()-56&gt;MAX($CY$57:$CY$95),"",INDEX(Lists!$FS$4:$FS$42,MATCH(ROW()-56,$CY$57:$CY$95,0)))</f>
        <v/>
      </c>
      <c r="DA75">
        <f>DA74+IF(AND(Lists!$FX$22&lt;&gt;"",ISNUMBER(SEARCH($AF$4,Lists!$FX$22))),1,0)</f>
        <v/>
      </c>
      <c r="DB75">
        <f>IF(ROW()-56&gt;MAX($DA$57:$DA$95),"",INDEX(Lists!$FX$4:$FX$42,MATCH(ROW()-56,$DA$57:$DA$95,0)))</f>
        <v/>
      </c>
      <c r="DG75">
        <f>IF($B$4="",1,IF($B$4="(blank)",--('Final Calculation Sheet'!$F$20=""),IF($B$4="(nonblank)",--('Final Calculation Sheet'!$F$20&lt;&gt;""),--ISNUMBER(SEARCH($B$4,'Final Calculation Sheet'!$F$20)))))</f>
        <v/>
      </c>
      <c r="DH75">
        <f>IF($C$4="",1,IF($C$4="(blank)",--('Final Calculation Sheet'!$G$20=""),IF($C$4="(nonblank)",--('Final Calculation Sheet'!$G$20&lt;&gt;""),--ISNUMBER(SEARCH($C$4,'Final Calculation Sheet'!$G$20)))))</f>
        <v/>
      </c>
      <c r="DI75">
        <f>IF($D$4="",1,IF($D$4="(blank)",--('Final Calculation Sheet'!$B$20=""),IF($D$4="(nonblank)",--('Final Calculation Sheet'!$B$20&lt;&gt;""),--ISNUMBER(SEARCH($D$4,'Final Calculation Sheet'!$B$20)))))</f>
        <v/>
      </c>
      <c r="DJ75">
        <f>IF($E$4="",1,IF($E$4="(blank)",--('Final Calculation Sheet'!$D$20=""),IF($E$4="(nonblank)",--('Final Calculation Sheet'!$D$20&lt;&gt;""),--ISNUMBER(SEARCH($E$4,'Final Calculation Sheet'!$D$20)))))</f>
        <v/>
      </c>
      <c r="DK75">
        <f>IF($F$4="",1,IF($F$4="(blank)",--('Final Calculation Sheet'!$A$20=""),IF($F$4="(nonblank)",--('Final Calculation Sheet'!$A$20&lt;&gt;""),--ISNUMBER(SEARCH($F$4,'Final Calculation Sheet'!$A$20)))))</f>
        <v/>
      </c>
      <c r="DL75">
        <f>IF($G$4="",1,IF($G$4="(blank)",--('Final Calculation Sheet'!$E$20=""),IF($G$4="(nonblank)",--('Final Calculation Sheet'!$E$20&lt;&gt;""),--ISNUMBER(SEARCH($G$4,'Final Calculation Sheet'!$E$20)))))</f>
        <v/>
      </c>
      <c r="DM75">
        <f>IF($H$4="",1,IF($H$4="(blank)",--('Final Calculation Sheet'!$C$20=""),IF($H$4="(nonblank)",--('Final Calculation Sheet'!$C$20&lt;&gt;""),--ISNUMBER(SEARCH($H$4,'Final Calculation Sheet'!$C$20)))))</f>
        <v/>
      </c>
      <c r="DN75">
        <f>IF($I$4="",1,IF($I$4="(blank)",--('Final Calculation Sheet'!$H$20=""),IF($I$4="(nonblank)",--('Final Calculation Sheet'!$H$20&lt;&gt;""),--ISNUMBER(SEARCH($I$4,'Final Calculation Sheet'!$H$20)))))</f>
        <v/>
      </c>
      <c r="DO75">
        <f>IF($J$4="",1,IF($J$4="(blank)",--('Final Calculation Sheet'!$I$20=""),IF($J$4="(nonblank)",--('Final Calculation Sheet'!$I$20&lt;&gt;""),--ISNUMBER(SEARCH($J$4,'Final Calculation Sheet'!$I$20)))))</f>
        <v/>
      </c>
      <c r="DP75">
        <f>IF($K$4="",1,IF($K$4="(blank)",--('Final Calculation Sheet'!$J$20=""),IF($K$4="(nonblank)",--('Final Calculation Sheet'!$J$20&lt;&gt;""),--ISNUMBER(SEARCH($K$4,'Final Calculation Sheet'!$J$20)))))</f>
        <v/>
      </c>
      <c r="DQ75">
        <f>IF($L$4="",1,IF($L$4="(blank)",--('Final Calculation Sheet'!$K$20=""),IF($L$4="(nonblank)",--('Final Calculation Sheet'!$K$20&lt;&gt;""),--ISNUMBER(SEARCH($L$4,'Final Calculation Sheet'!$K$20)))))</f>
        <v/>
      </c>
      <c r="DR75">
        <f>IF($M$4="",1,IF($M$4="(blank)",--('Final Calculation Sheet'!$L$20=""),IF($M$4="(nonblank)",--('Final Calculation Sheet'!$L$20&lt;&gt;""),--ISNUMBER(SEARCH($M$4,'Final Calculation Sheet'!$L$20)))))</f>
        <v/>
      </c>
      <c r="DS75">
        <f>IF($N$4="",1,IF($N$4="(blank)",--('Final Calculation Sheet'!$M$20=""),IF($N$4="(nonblank)",--('Final Calculation Sheet'!$M$20&lt;&gt;""),--ISNUMBER(SEARCH($N$4,'Final Calculation Sheet'!$M$20)))))</f>
        <v/>
      </c>
      <c r="DT75">
        <f>IF($O$4="",1,IF($O$4="(blank)",--('Final Calculation Sheet'!$N$20=""),IF($O$4="(nonblank)",--('Final Calculation Sheet'!$N$20&lt;&gt;""),--ISNUMBER(SEARCH($O$4,'Final Calculation Sheet'!$N$20)))))</f>
        <v/>
      </c>
      <c r="DU75">
        <f>IF($P$4="",1,IF($P$4="(blank)",--('Final Calculation Sheet'!$O$20=""),IF($P$4="(nonblank)",--('Final Calculation Sheet'!$O$20&lt;&gt;""),--ISNUMBER(SEARCH($P$4,'Final Calculation Sheet'!$O$20)))))</f>
        <v/>
      </c>
      <c r="DV75">
        <f>IF($Q$4="",1,IF($Q$4="(blank)",--('Final Calculation Sheet'!$P$20=""),IF($Q$4="(nonblank)",--('Final Calculation Sheet'!$P$20&lt;&gt;""),--ISNUMBER(SEARCH($Q$4,'Final Calculation Sheet'!$P$20)))))</f>
        <v/>
      </c>
      <c r="DW75">
        <f>IF($R$4="",1,IF($R$4="(blank)",--('Final Calculation Sheet'!$Q$20=""),IF($R$4="(nonblank)",--('Final Calculation Sheet'!$Q$20&lt;&gt;""),--ISNUMBER(SEARCH($R$4,'Final Calculation Sheet'!$Q$20)))))</f>
        <v/>
      </c>
      <c r="DX75">
        <f>IF($S$4="",1,IF($S$4="(blank)",--('Final Calculation Sheet'!$R$20=""),IF($S$4="(nonblank)",--('Final Calculation Sheet'!$R$20&lt;&gt;""),--ISNUMBER(SEARCH($S$4,'Final Calculation Sheet'!$R$20)))))</f>
        <v/>
      </c>
      <c r="DY75">
        <f>IF($T$4="",1,IF($T$4="(blank)",--('Final Calculation Sheet'!$S$20=""),IF($T$4="(nonblank)",--('Final Calculation Sheet'!$S$20&lt;&gt;""),--ISNUMBER(SEARCH($T$4,'Final Calculation Sheet'!$S$20)))))</f>
        <v/>
      </c>
      <c r="DZ75">
        <f>IF($U$4="",1,IF($U$4="(blank)",--('Final Calculation Sheet'!$T$20=""),IF($U$4="(nonblank)",--('Final Calculation Sheet'!$T$20&lt;&gt;""),--ISNUMBER(SEARCH($U$4,'Final Calculation Sheet'!$T$20)))))</f>
        <v/>
      </c>
      <c r="EA75">
        <f>IF($V$4="",1,IF($V$4="(blank)",--('Final Calculation Sheet'!$U$20=""),IF($V$4="(nonblank)",--('Final Calculation Sheet'!$U$20&lt;&gt;""),--ISNUMBER(SEARCH($V$4,'Final Calculation Sheet'!$U$20)))))</f>
        <v/>
      </c>
      <c r="EB75">
        <f>IF($W$4="",1,IF($W$4="(blank)",--('Final Calculation Sheet'!$V$20=""),IF($W$4="(nonblank)",--('Final Calculation Sheet'!$V$20&lt;&gt;""),--ISNUMBER(SEARCH($W$4,'Final Calculation Sheet'!$V$20)))))</f>
        <v/>
      </c>
      <c r="EC75">
        <f>IF($X$4="",1,IF($X$4="(blank)",--('Final Calculation Sheet'!$W$20=""),IF($X$4="(nonblank)",--('Final Calculation Sheet'!$W$20&lt;&gt;""),--ISNUMBER(SEARCH($X$4,'Final Calculation Sheet'!$W$20)))))</f>
        <v/>
      </c>
      <c r="ED75">
        <f>IF($Y$4="",1,IF($Y$4="(blank)",--('Final Calculation Sheet'!$X$20=""),IF($Y$4="(nonblank)",--('Final Calculation Sheet'!$X$20&lt;&gt;""),--ISNUMBER(SEARCH($Y$4,'Final Calculation Sheet'!$X$20)))))</f>
        <v/>
      </c>
      <c r="EE75">
        <f>IF($Z$4="",1,IF($Z$4="(blank)",--('Final Calculation Sheet'!$Y$20=""),IF($Z$4="(nonblank)",--('Final Calculation Sheet'!$Y$20&lt;&gt;""),--ISNUMBER(SEARCH($Z$4,'Final Calculation Sheet'!$Y$20)))))</f>
        <v/>
      </c>
      <c r="EF75">
        <f>IF($AA$4="",1,IF($AA$4="(blank)",--('Final Calculation Sheet'!$Z$20=""),IF($AA$4="(nonblank)",--('Final Calculation Sheet'!$Z$20&lt;&gt;""),--ISNUMBER(SEARCH($AA$4,'Final Calculation Sheet'!$Z$20)))))</f>
        <v/>
      </c>
      <c r="EG75">
        <f>IF($AB$4="",1,IF($AB$4="(blank)",--('Final Calculation Sheet'!$AA$20=""),IF($AB$4="(nonblank)",--('Final Calculation Sheet'!$AA$20&lt;&gt;""),--ISNUMBER(SEARCH($AB$4,'Final Calculation Sheet'!$AA$20)))))</f>
        <v/>
      </c>
      <c r="EH75">
        <f>IF($AC$4="",1,IF($AC$4="(blank)",--('Final Calculation Sheet'!$AB$20=""),IF($AC$4="(nonblank)",--('Final Calculation Sheet'!$AB$20&lt;&gt;""),--ISNUMBER(SEARCH($AC$4,'Final Calculation Sheet'!$AB$20)))))</f>
        <v/>
      </c>
      <c r="EI75">
        <f>IF($AD$4="",1,IF($AD$4="(blank)",--('Final Calculation Sheet'!$AC$20=""),IF($AD$4="(nonblank)",--('Final Calculation Sheet'!$AC$20&lt;&gt;""),--ISNUMBER(SEARCH($AD$4,'Final Calculation Sheet'!$AC$20)))))</f>
        <v/>
      </c>
      <c r="EJ75">
        <f>IF($AE$4="",1,IF($AE$4="(blank)",--('Final Calculation Sheet'!$AD$20=""),IF($AE$4="(nonblank)",--('Final Calculation Sheet'!$AD$20&lt;&gt;""),--ISNUMBER(SEARCH($AE$4,'Final Calculation Sheet'!$AD$20)))))</f>
        <v/>
      </c>
      <c r="EK75">
        <f>IF($AF$4="",1,IF($AF$4="(blank)",--(IF('Final Calculation Sheet'!$AD$20&lt;=5,"SETTLED","OUTSTANDING")=""),IF($AF$4="(nonblank)",--(IF('Final Calculation Sheet'!$AD$20&lt;=5,"SETTLED","OUTSTANDING")&lt;&gt;""),--ISNUMBER(SEARCH($AF$4,IF('Final Calculation Sheet'!$AD$20&lt;=5,"SETTLED","OUTSTANDING"))))))</f>
        <v/>
      </c>
      <c r="EL75">
        <f>IF($AG$4="",1,IF($AG$4="(blank)",--('Final Calculation Sheet'!$AF$20=""),IF($AG$4="(nonblank)",--('Final Calculation Sheet'!$AF$20&lt;&gt;""),--ISNUMBER(SEARCH($AG$4,'Final Calculation Sheet'!$AF$20)))))</f>
        <v/>
      </c>
      <c r="EM75">
        <f>IF($AH$4="",1,IF($AH$4="(blank)",--('Final Calculation Sheet'!$AG$20=""),IF($AH$4="(nonblank)",--('Final Calculation Sheet'!$AG$20&lt;&gt;""),--ISNUMBER(SEARCH($AH$4,'Final Calculation Sheet'!$AG$20)))))</f>
        <v/>
      </c>
      <c r="EN75">
        <f>IF($AI$4="",1,IF($AI$4="(blank)",--('Final Calculation Sheet'!$AH$20=""),IF($AI$4="(nonblank)",--('Final Calculation Sheet'!$AH$20&lt;&gt;""),--ISNUMBER(SEARCH($AI$4,'Final Calculation Sheet'!$AH$20)))))</f>
        <v/>
      </c>
    </row>
    <row r="76">
      <c r="AM76">
        <f>AM75+IF(AND(Lists!$O$23&lt;&gt;"",ISNUMBER(SEARCH($B$4,Lists!$O$23))),1,0)</f>
        <v/>
      </c>
      <c r="AN76">
        <f>IF(ROW()-56&gt;MAX($AM$57:$AM$95),"",INDEX(Lists!$O$4:$O$42,MATCH(ROW()-56,$AM$57:$AM$95,0)))</f>
        <v/>
      </c>
      <c r="AO76">
        <f>AO75+IF(AND(Lists!$T$23&lt;&gt;"",ISNUMBER(SEARCH($C$4,Lists!$T$23))),1,0)</f>
        <v/>
      </c>
      <c r="AP76">
        <f>IF(ROW()-56&gt;MAX($AO$57:$AO$95),"",INDEX(Lists!$T$4:$T$42,MATCH(ROW()-56,$AO$57:$AO$95,0)))</f>
        <v/>
      </c>
      <c r="AQ76">
        <f>AQ75+IF(AND(Lists!$Y$23&lt;&gt;"",ISNUMBER(SEARCH($D$4,Lists!$Y$23))),1,0)</f>
        <v/>
      </c>
      <c r="AR76">
        <f>IF(ROW()-56&gt;MAX($AQ$57:$AQ$95),"",INDEX(Lists!$Y$4:$Y$42,MATCH(ROW()-56,$AQ$57:$AQ$95,0)))</f>
        <v/>
      </c>
      <c r="AS76">
        <f>AS75+IF(AND(Lists!$AD$23&lt;&gt;"",ISNUMBER(SEARCH($E$4,Lists!$AD$23))),1,0)</f>
        <v/>
      </c>
      <c r="AT76">
        <f>IF(ROW()-56&gt;MAX($AS$57:$AS$95),"",INDEX(Lists!$AD$4:$AD$42,MATCH(ROW()-56,$AS$57:$AS$95,0)))</f>
        <v/>
      </c>
      <c r="AU76">
        <f>AU75+IF(AND(Lists!$AI$23&lt;&gt;"",ISNUMBER(SEARCH($F$4,Lists!$AI$23))),1,0)</f>
        <v/>
      </c>
      <c r="AV76">
        <f>IF(ROW()-56&gt;MAX($AU$57:$AU$95),"",INDEX(Lists!$AI$4:$AI$42,MATCH(ROW()-56,$AU$57:$AU$95,0)))</f>
        <v/>
      </c>
      <c r="AW76">
        <f>AW75+IF(AND(Lists!$AN$23&lt;&gt;"",ISNUMBER(SEARCH($G$4,Lists!$AN$23))),1,0)</f>
        <v/>
      </c>
      <c r="AX76">
        <f>IF(ROW()-56&gt;MAX($AW$57:$AW$95),"",INDEX(Lists!$AN$4:$AN$42,MATCH(ROW()-56,$AW$57:$AW$95,0)))</f>
        <v/>
      </c>
      <c r="AY76">
        <f>AY75+IF(AND(Lists!$AS$23&lt;&gt;"",ISNUMBER(SEARCH($H$4,Lists!$AS$23))),1,0)</f>
        <v/>
      </c>
      <c r="AZ76">
        <f>IF(ROW()-56&gt;MAX($AY$57:$AY$95),"",INDEX(Lists!$AS$4:$AS$42,MATCH(ROW()-56,$AY$57:$AY$95,0)))</f>
        <v/>
      </c>
      <c r="BA76">
        <f>BA75+IF(AND(Lists!$AX$23&lt;&gt;"",ISNUMBER(SEARCH($I$4,Lists!$AX$23))),1,0)</f>
        <v/>
      </c>
      <c r="BB76">
        <f>IF(ROW()-56&gt;MAX($BA$57:$BA$95),"",INDEX(Lists!$AX$4:$AX$42,MATCH(ROW()-56,$BA$57:$BA$95,0)))</f>
        <v/>
      </c>
      <c r="BC76">
        <f>BC75+IF(AND(Lists!$BC$23&lt;&gt;"",ISNUMBER(SEARCH($J$4,Lists!$BC$23))),1,0)</f>
        <v/>
      </c>
      <c r="BD76">
        <f>IF(ROW()-56&gt;MAX($BC$57:$BC$95),"",INDEX(Lists!$BC$4:$BC$42,MATCH(ROW()-56,$BC$57:$BC$95,0)))</f>
        <v/>
      </c>
      <c r="BE76">
        <f>BE75+IF(AND(Lists!$BH$23&lt;&gt;"",ISNUMBER(SEARCH($K$4,Lists!$BH$23))),1,0)</f>
        <v/>
      </c>
      <c r="BF76">
        <f>IF(ROW()-56&gt;MAX($BE$57:$BE$95),"",INDEX(Lists!$BH$4:$BH$42,MATCH(ROW()-56,$BE$57:$BE$95,0)))</f>
        <v/>
      </c>
      <c r="BG76">
        <f>BG75+IF(AND(Lists!$BM$23&lt;&gt;"",ISNUMBER(SEARCH($L$4,Lists!$BM$23))),1,0)</f>
        <v/>
      </c>
      <c r="BH76">
        <f>IF(ROW()-56&gt;MAX($BG$57:$BG$95),"",INDEX(Lists!$BM$4:$BM$42,MATCH(ROW()-56,$BG$57:$BG$95,0)))</f>
        <v/>
      </c>
      <c r="BI76">
        <f>BI75+IF(AND(Lists!$BR$23&lt;&gt;"",ISNUMBER(SEARCH($M$4,Lists!$BR$23))),1,0)</f>
        <v/>
      </c>
      <c r="BJ76">
        <f>IF(ROW()-56&gt;MAX($BI$57:$BI$95),"",INDEX(Lists!$BR$4:$BR$42,MATCH(ROW()-56,$BI$57:$BI$95,0)))</f>
        <v/>
      </c>
      <c r="BK76">
        <f>BK75+IF(AND(Lists!$BW$23&lt;&gt;"",ISNUMBER(SEARCH($N$4,Lists!$BW$23))),1,0)</f>
        <v/>
      </c>
      <c r="BL76">
        <f>IF(ROW()-56&gt;MAX($BK$57:$BK$95),"",INDEX(Lists!$BW$4:$BW$42,MATCH(ROW()-56,$BK$57:$BK$95,0)))</f>
        <v/>
      </c>
      <c r="BM76">
        <f>BM75+IF(AND(Lists!$CB$23&lt;&gt;"",ISNUMBER(SEARCH($O$4,Lists!$CB$23))),1,0)</f>
        <v/>
      </c>
      <c r="BN76">
        <f>IF(ROW()-56&gt;MAX($BM$57:$BM$95),"",INDEX(Lists!$CB$4:$CB$42,MATCH(ROW()-56,$BM$57:$BM$95,0)))</f>
        <v/>
      </c>
      <c r="BO76">
        <f>BO75+IF(AND(Lists!$CG$23&lt;&gt;"",ISNUMBER(SEARCH($P$4,Lists!$CG$23))),1,0)</f>
        <v/>
      </c>
      <c r="BP76">
        <f>IF(ROW()-56&gt;MAX($BO$57:$BO$95),"",INDEX(Lists!$CG$4:$CG$42,MATCH(ROW()-56,$BO$57:$BO$95,0)))</f>
        <v/>
      </c>
      <c r="BQ76">
        <f>BQ75+IF(AND(Lists!$CL$23&lt;&gt;"",ISNUMBER(SEARCH($Q$4,Lists!$CL$23))),1,0)</f>
        <v/>
      </c>
      <c r="BR76">
        <f>IF(ROW()-56&gt;MAX($BQ$57:$BQ$95),"",INDEX(Lists!$CL$4:$CL$42,MATCH(ROW()-56,$BQ$57:$BQ$95,0)))</f>
        <v/>
      </c>
      <c r="BS76">
        <f>BS75+IF(AND(Lists!$CQ$23&lt;&gt;"",ISNUMBER(SEARCH($R$4,Lists!$CQ$23))),1,0)</f>
        <v/>
      </c>
      <c r="BT76">
        <f>IF(ROW()-56&gt;MAX($BS$57:$BS$95),"",INDEX(Lists!$CQ$4:$CQ$42,MATCH(ROW()-56,$BS$57:$BS$95,0)))</f>
        <v/>
      </c>
      <c r="BU76">
        <f>BU75+IF(AND(Lists!$CV$23&lt;&gt;"",ISNUMBER(SEARCH($S$4,Lists!$CV$23))),1,0)</f>
        <v/>
      </c>
      <c r="BV76">
        <f>IF(ROW()-56&gt;MAX($BU$57:$BU$95),"",INDEX(Lists!$CV$4:$CV$42,MATCH(ROW()-56,$BU$57:$BU$95,0)))</f>
        <v/>
      </c>
      <c r="BW76">
        <f>BW75+IF(AND(Lists!$DA$23&lt;&gt;"",ISNUMBER(SEARCH($T$4,Lists!$DA$23))),1,0)</f>
        <v/>
      </c>
      <c r="BX76">
        <f>IF(ROW()-56&gt;MAX($BW$57:$BW$95),"",INDEX(Lists!$DA$4:$DA$42,MATCH(ROW()-56,$BW$57:$BW$95,0)))</f>
        <v/>
      </c>
      <c r="BY76">
        <f>BY75+IF(AND(Lists!$DF$23&lt;&gt;"",ISNUMBER(SEARCH($U$4,Lists!$DF$23))),1,0)</f>
        <v/>
      </c>
      <c r="BZ76">
        <f>IF(ROW()-56&gt;MAX($BY$57:$BY$95),"",INDEX(Lists!$DF$4:$DF$42,MATCH(ROW()-56,$BY$57:$BY$95,0)))</f>
        <v/>
      </c>
      <c r="CA76">
        <f>CA75+IF(AND(Lists!$DK$23&lt;&gt;"",ISNUMBER(SEARCH($V$4,Lists!$DK$23))),1,0)</f>
        <v/>
      </c>
      <c r="CB76">
        <f>IF(ROW()-56&gt;MAX($CA$57:$CA$95),"",INDEX(Lists!$DK$4:$DK$42,MATCH(ROW()-56,$CA$57:$CA$95,0)))</f>
        <v/>
      </c>
      <c r="CC76">
        <f>CC75+IF(AND(Lists!$DP$23&lt;&gt;"",ISNUMBER(SEARCH($W$4,Lists!$DP$23))),1,0)</f>
        <v/>
      </c>
      <c r="CD76">
        <f>IF(ROW()-56&gt;MAX($CC$57:$CC$95),"",INDEX(Lists!$DP$4:$DP$42,MATCH(ROW()-56,$CC$57:$CC$95,0)))</f>
        <v/>
      </c>
      <c r="CE76">
        <f>CE75+IF(AND(Lists!$DU$23&lt;&gt;"",ISNUMBER(SEARCH($X$4,Lists!$DU$23))),1,0)</f>
        <v/>
      </c>
      <c r="CF76">
        <f>IF(ROW()-56&gt;MAX($CE$57:$CE$95),"",INDEX(Lists!$DU$4:$DU$42,MATCH(ROW()-56,$CE$57:$CE$95,0)))</f>
        <v/>
      </c>
      <c r="CG76">
        <f>CG75+IF(AND(Lists!$DZ$23&lt;&gt;"",ISNUMBER(SEARCH($Y$4,Lists!$DZ$23))),1,0)</f>
        <v/>
      </c>
      <c r="CH76">
        <f>IF(ROW()-56&gt;MAX($CG$57:$CG$95),"",INDEX(Lists!$DZ$4:$DZ$42,MATCH(ROW()-56,$CG$57:$CG$95,0)))</f>
        <v/>
      </c>
      <c r="CI76">
        <f>CI75+IF(AND(Lists!$EE$23&lt;&gt;"",ISNUMBER(SEARCH($Z$4,Lists!$EE$23))),1,0)</f>
        <v/>
      </c>
      <c r="CJ76">
        <f>IF(ROW()-56&gt;MAX($CI$57:$CI$95),"",INDEX(Lists!$EE$4:$EE$42,MATCH(ROW()-56,$CI$57:$CI$95,0)))</f>
        <v/>
      </c>
      <c r="CK76">
        <f>CK75+IF(AND(Lists!$EJ$23&lt;&gt;"",ISNUMBER(SEARCH($AA$4,Lists!$EJ$23))),1,0)</f>
        <v/>
      </c>
      <c r="CL76">
        <f>IF(ROW()-56&gt;MAX($CK$57:$CK$95),"",INDEX(Lists!$EJ$4:$EJ$42,MATCH(ROW()-56,$CK$57:$CK$95,0)))</f>
        <v/>
      </c>
      <c r="CM76">
        <f>CM75+IF(AND(Lists!$EO$23&lt;&gt;"",ISNUMBER(SEARCH($AB$4,Lists!$EO$23))),1,0)</f>
        <v/>
      </c>
      <c r="CN76">
        <f>IF(ROW()-56&gt;MAX($CM$57:$CM$95),"",INDEX(Lists!$EO$4:$EO$42,MATCH(ROW()-56,$CM$57:$CM$95,0)))</f>
        <v/>
      </c>
      <c r="CO76">
        <f>CO75+IF(AND(Lists!$ET$23&lt;&gt;"",ISNUMBER(SEARCH($AC$4,Lists!$ET$23))),1,0)</f>
        <v/>
      </c>
      <c r="CP76">
        <f>IF(ROW()-56&gt;MAX($CO$57:$CO$95),"",INDEX(Lists!$ET$4:$ET$42,MATCH(ROW()-56,$CO$57:$CO$95,0)))</f>
        <v/>
      </c>
      <c r="CQ76">
        <f>CQ75+IF(AND(Lists!$EY$23&lt;&gt;"",ISNUMBER(SEARCH($AD$4,Lists!$EY$23))),1,0)</f>
        <v/>
      </c>
      <c r="CR76">
        <f>IF(ROW()-56&gt;MAX($CQ$57:$CQ$95),"",INDEX(Lists!$EY$4:$EY$42,MATCH(ROW()-56,$CQ$57:$CQ$95,0)))</f>
        <v/>
      </c>
      <c r="CS76">
        <f>CS75+IF(AND(Lists!$FD$23&lt;&gt;"",ISNUMBER(SEARCH($AE$4,Lists!$FD$23))),1,0)</f>
        <v/>
      </c>
      <c r="CT76">
        <f>IF(ROW()-56&gt;MAX($CS$57:$CS$95),"",INDEX(Lists!$FD$4:$FD$42,MATCH(ROW()-56,$CS$57:$CS$95,0)))</f>
        <v/>
      </c>
      <c r="CU76">
        <f>CU75+IF(AND(Lists!$FI$23&lt;&gt;"",ISNUMBER(SEARCH($AG$4,Lists!$FI$23))),1,0)</f>
        <v/>
      </c>
      <c r="CV76">
        <f>IF(ROW()-56&gt;MAX($CU$57:$CU$95),"",INDEX(Lists!$FI$4:$FI$42,MATCH(ROW()-56,$CU$57:$CU$95,0)))</f>
        <v/>
      </c>
      <c r="CW76">
        <f>CW75+IF(AND(Lists!$FN$23&lt;&gt;"",ISNUMBER(SEARCH($AH$4,Lists!$FN$23))),1,0)</f>
        <v/>
      </c>
      <c r="CX76">
        <f>IF(ROW()-56&gt;MAX($CW$57:$CW$95),"",INDEX(Lists!$FN$4:$FN$42,MATCH(ROW()-56,$CW$57:$CW$95,0)))</f>
        <v/>
      </c>
      <c r="CY76">
        <f>CY75+IF(AND(Lists!$FS$23&lt;&gt;"",ISNUMBER(SEARCH($AI$4,Lists!$FS$23))),1,0)</f>
        <v/>
      </c>
      <c r="CZ76">
        <f>IF(ROW()-56&gt;MAX($CY$57:$CY$95),"",INDEX(Lists!$FS$4:$FS$42,MATCH(ROW()-56,$CY$57:$CY$95,0)))</f>
        <v/>
      </c>
      <c r="DA76">
        <f>DA75+IF(AND(Lists!$FX$23&lt;&gt;"",ISNUMBER(SEARCH($AF$4,Lists!$FX$23))),1,0)</f>
        <v/>
      </c>
      <c r="DB76">
        <f>IF(ROW()-56&gt;MAX($DA$57:$DA$95),"",INDEX(Lists!$FX$4:$FX$42,MATCH(ROW()-56,$DA$57:$DA$95,0)))</f>
        <v/>
      </c>
      <c r="DG76">
        <f>IF($B$4="",1,IF($B$4="(blank)",--('Final Calculation Sheet'!$F$21=""),IF($B$4="(nonblank)",--('Final Calculation Sheet'!$F$21&lt;&gt;""),--ISNUMBER(SEARCH($B$4,'Final Calculation Sheet'!$F$21)))))</f>
        <v/>
      </c>
      <c r="DH76">
        <f>IF($C$4="",1,IF($C$4="(blank)",--('Final Calculation Sheet'!$G$21=""),IF($C$4="(nonblank)",--('Final Calculation Sheet'!$G$21&lt;&gt;""),--ISNUMBER(SEARCH($C$4,'Final Calculation Sheet'!$G$21)))))</f>
        <v/>
      </c>
      <c r="DI76">
        <f>IF($D$4="",1,IF($D$4="(blank)",--('Final Calculation Sheet'!$B$21=""),IF($D$4="(nonblank)",--('Final Calculation Sheet'!$B$21&lt;&gt;""),--ISNUMBER(SEARCH($D$4,'Final Calculation Sheet'!$B$21)))))</f>
        <v/>
      </c>
      <c r="DJ76">
        <f>IF($E$4="",1,IF($E$4="(blank)",--('Final Calculation Sheet'!$D$21=""),IF($E$4="(nonblank)",--('Final Calculation Sheet'!$D$21&lt;&gt;""),--ISNUMBER(SEARCH($E$4,'Final Calculation Sheet'!$D$21)))))</f>
        <v/>
      </c>
      <c r="DK76">
        <f>IF($F$4="",1,IF($F$4="(blank)",--('Final Calculation Sheet'!$A$21=""),IF($F$4="(nonblank)",--('Final Calculation Sheet'!$A$21&lt;&gt;""),--ISNUMBER(SEARCH($F$4,'Final Calculation Sheet'!$A$21)))))</f>
        <v/>
      </c>
      <c r="DL76">
        <f>IF($G$4="",1,IF($G$4="(blank)",--('Final Calculation Sheet'!$E$21=""),IF($G$4="(nonblank)",--('Final Calculation Sheet'!$E$21&lt;&gt;""),--ISNUMBER(SEARCH($G$4,'Final Calculation Sheet'!$E$21)))))</f>
        <v/>
      </c>
      <c r="DM76">
        <f>IF($H$4="",1,IF($H$4="(blank)",--('Final Calculation Sheet'!$C$21=""),IF($H$4="(nonblank)",--('Final Calculation Sheet'!$C$21&lt;&gt;""),--ISNUMBER(SEARCH($H$4,'Final Calculation Sheet'!$C$21)))))</f>
        <v/>
      </c>
      <c r="DN76">
        <f>IF($I$4="",1,IF($I$4="(blank)",--('Final Calculation Sheet'!$H$21=""),IF($I$4="(nonblank)",--('Final Calculation Sheet'!$H$21&lt;&gt;""),--ISNUMBER(SEARCH($I$4,'Final Calculation Sheet'!$H$21)))))</f>
        <v/>
      </c>
      <c r="DO76">
        <f>IF($J$4="",1,IF($J$4="(blank)",--('Final Calculation Sheet'!$I$21=""),IF($J$4="(nonblank)",--('Final Calculation Sheet'!$I$21&lt;&gt;""),--ISNUMBER(SEARCH($J$4,'Final Calculation Sheet'!$I$21)))))</f>
        <v/>
      </c>
      <c r="DP76">
        <f>IF($K$4="",1,IF($K$4="(blank)",--('Final Calculation Sheet'!$J$21=""),IF($K$4="(nonblank)",--('Final Calculation Sheet'!$J$21&lt;&gt;""),--ISNUMBER(SEARCH($K$4,'Final Calculation Sheet'!$J$21)))))</f>
        <v/>
      </c>
      <c r="DQ76">
        <f>IF($L$4="",1,IF($L$4="(blank)",--('Final Calculation Sheet'!$K$21=""),IF($L$4="(nonblank)",--('Final Calculation Sheet'!$K$21&lt;&gt;""),--ISNUMBER(SEARCH($L$4,'Final Calculation Sheet'!$K$21)))))</f>
        <v/>
      </c>
      <c r="DR76">
        <f>IF($M$4="",1,IF($M$4="(blank)",--('Final Calculation Sheet'!$L$21=""),IF($M$4="(nonblank)",--('Final Calculation Sheet'!$L$21&lt;&gt;""),--ISNUMBER(SEARCH($M$4,'Final Calculation Sheet'!$L$21)))))</f>
        <v/>
      </c>
      <c r="DS76">
        <f>IF($N$4="",1,IF($N$4="(blank)",--('Final Calculation Sheet'!$M$21=""),IF($N$4="(nonblank)",--('Final Calculation Sheet'!$M$21&lt;&gt;""),--ISNUMBER(SEARCH($N$4,'Final Calculation Sheet'!$M$21)))))</f>
        <v/>
      </c>
      <c r="DT76">
        <f>IF($O$4="",1,IF($O$4="(blank)",--('Final Calculation Sheet'!$N$21=""),IF($O$4="(nonblank)",--('Final Calculation Sheet'!$N$21&lt;&gt;""),--ISNUMBER(SEARCH($O$4,'Final Calculation Sheet'!$N$21)))))</f>
        <v/>
      </c>
      <c r="DU76">
        <f>IF($P$4="",1,IF($P$4="(blank)",--('Final Calculation Sheet'!$O$21=""),IF($P$4="(nonblank)",--('Final Calculation Sheet'!$O$21&lt;&gt;""),--ISNUMBER(SEARCH($P$4,'Final Calculation Sheet'!$O$21)))))</f>
        <v/>
      </c>
      <c r="DV76">
        <f>IF($Q$4="",1,IF($Q$4="(blank)",--('Final Calculation Sheet'!$P$21=""),IF($Q$4="(nonblank)",--('Final Calculation Sheet'!$P$21&lt;&gt;""),--ISNUMBER(SEARCH($Q$4,'Final Calculation Sheet'!$P$21)))))</f>
        <v/>
      </c>
      <c r="DW76">
        <f>IF($R$4="",1,IF($R$4="(blank)",--('Final Calculation Sheet'!$Q$21=""),IF($R$4="(nonblank)",--('Final Calculation Sheet'!$Q$21&lt;&gt;""),--ISNUMBER(SEARCH($R$4,'Final Calculation Sheet'!$Q$21)))))</f>
        <v/>
      </c>
      <c r="DX76">
        <f>IF($S$4="",1,IF($S$4="(blank)",--('Final Calculation Sheet'!$R$21=""),IF($S$4="(nonblank)",--('Final Calculation Sheet'!$R$21&lt;&gt;""),--ISNUMBER(SEARCH($S$4,'Final Calculation Sheet'!$R$21)))))</f>
        <v/>
      </c>
      <c r="DY76">
        <f>IF($T$4="",1,IF($T$4="(blank)",--('Final Calculation Sheet'!$S$21=""),IF($T$4="(nonblank)",--('Final Calculation Sheet'!$S$21&lt;&gt;""),--ISNUMBER(SEARCH($T$4,'Final Calculation Sheet'!$S$21)))))</f>
        <v/>
      </c>
      <c r="DZ76">
        <f>IF($U$4="",1,IF($U$4="(blank)",--('Final Calculation Sheet'!$T$21=""),IF($U$4="(nonblank)",--('Final Calculation Sheet'!$T$21&lt;&gt;""),--ISNUMBER(SEARCH($U$4,'Final Calculation Sheet'!$T$21)))))</f>
        <v/>
      </c>
      <c r="EA76">
        <f>IF($V$4="",1,IF($V$4="(blank)",--('Final Calculation Sheet'!$U$21=""),IF($V$4="(nonblank)",--('Final Calculation Sheet'!$U$21&lt;&gt;""),--ISNUMBER(SEARCH($V$4,'Final Calculation Sheet'!$U$21)))))</f>
        <v/>
      </c>
      <c r="EB76">
        <f>IF($W$4="",1,IF($W$4="(blank)",--('Final Calculation Sheet'!$V$21=""),IF($W$4="(nonblank)",--('Final Calculation Sheet'!$V$21&lt;&gt;""),--ISNUMBER(SEARCH($W$4,'Final Calculation Sheet'!$V$21)))))</f>
        <v/>
      </c>
      <c r="EC76">
        <f>IF($X$4="",1,IF($X$4="(blank)",--('Final Calculation Sheet'!$W$21=""),IF($X$4="(nonblank)",--('Final Calculation Sheet'!$W$21&lt;&gt;""),--ISNUMBER(SEARCH($X$4,'Final Calculation Sheet'!$W$21)))))</f>
        <v/>
      </c>
      <c r="ED76">
        <f>IF($Y$4="",1,IF($Y$4="(blank)",--('Final Calculation Sheet'!$X$21=""),IF($Y$4="(nonblank)",--('Final Calculation Sheet'!$X$21&lt;&gt;""),--ISNUMBER(SEARCH($Y$4,'Final Calculation Sheet'!$X$21)))))</f>
        <v/>
      </c>
      <c r="EE76">
        <f>IF($Z$4="",1,IF($Z$4="(blank)",--('Final Calculation Sheet'!$Y$21=""),IF($Z$4="(nonblank)",--('Final Calculation Sheet'!$Y$21&lt;&gt;""),--ISNUMBER(SEARCH($Z$4,'Final Calculation Sheet'!$Y$21)))))</f>
        <v/>
      </c>
      <c r="EF76">
        <f>IF($AA$4="",1,IF($AA$4="(blank)",--('Final Calculation Sheet'!$Z$21=""),IF($AA$4="(nonblank)",--('Final Calculation Sheet'!$Z$21&lt;&gt;""),--ISNUMBER(SEARCH($AA$4,'Final Calculation Sheet'!$Z$21)))))</f>
        <v/>
      </c>
      <c r="EG76">
        <f>IF($AB$4="",1,IF($AB$4="(blank)",--('Final Calculation Sheet'!$AA$21=""),IF($AB$4="(nonblank)",--('Final Calculation Sheet'!$AA$21&lt;&gt;""),--ISNUMBER(SEARCH($AB$4,'Final Calculation Sheet'!$AA$21)))))</f>
        <v/>
      </c>
      <c r="EH76">
        <f>IF($AC$4="",1,IF($AC$4="(blank)",--('Final Calculation Sheet'!$AB$21=""),IF($AC$4="(nonblank)",--('Final Calculation Sheet'!$AB$21&lt;&gt;""),--ISNUMBER(SEARCH($AC$4,'Final Calculation Sheet'!$AB$21)))))</f>
        <v/>
      </c>
      <c r="EI76">
        <f>IF($AD$4="",1,IF($AD$4="(blank)",--('Final Calculation Sheet'!$AC$21=""),IF($AD$4="(nonblank)",--('Final Calculation Sheet'!$AC$21&lt;&gt;""),--ISNUMBER(SEARCH($AD$4,'Final Calculation Sheet'!$AC$21)))))</f>
        <v/>
      </c>
      <c r="EJ76">
        <f>IF($AE$4="",1,IF($AE$4="(blank)",--('Final Calculation Sheet'!$AD$21=""),IF($AE$4="(nonblank)",--('Final Calculation Sheet'!$AD$21&lt;&gt;""),--ISNUMBER(SEARCH($AE$4,'Final Calculation Sheet'!$AD$21)))))</f>
        <v/>
      </c>
      <c r="EK76">
        <f>IF($AF$4="",1,IF($AF$4="(blank)",--(IF('Final Calculation Sheet'!$AD$21&lt;=5,"SETTLED","OUTSTANDING")=""),IF($AF$4="(nonblank)",--(IF('Final Calculation Sheet'!$AD$21&lt;=5,"SETTLED","OUTSTANDING")&lt;&gt;""),--ISNUMBER(SEARCH($AF$4,IF('Final Calculation Sheet'!$AD$21&lt;=5,"SETTLED","OUTSTANDING"))))))</f>
        <v/>
      </c>
      <c r="EL76">
        <f>IF($AG$4="",1,IF($AG$4="(blank)",--('Final Calculation Sheet'!$AF$21=""),IF($AG$4="(nonblank)",--('Final Calculation Sheet'!$AF$21&lt;&gt;""),--ISNUMBER(SEARCH($AG$4,'Final Calculation Sheet'!$AF$21)))))</f>
        <v/>
      </c>
      <c r="EM76">
        <f>IF($AH$4="",1,IF($AH$4="(blank)",--('Final Calculation Sheet'!$AG$21=""),IF($AH$4="(nonblank)",--('Final Calculation Sheet'!$AG$21&lt;&gt;""),--ISNUMBER(SEARCH($AH$4,'Final Calculation Sheet'!$AG$21)))))</f>
        <v/>
      </c>
      <c r="EN76">
        <f>IF($AI$4="",1,IF($AI$4="(blank)",--('Final Calculation Sheet'!$AH$21=""),IF($AI$4="(nonblank)",--('Final Calculation Sheet'!$AH$21&lt;&gt;""),--ISNUMBER(SEARCH($AI$4,'Final Calculation Sheet'!$AH$21)))))</f>
        <v/>
      </c>
    </row>
    <row r="77">
      <c r="AM77">
        <f>AM76+IF(AND(Lists!$O$24&lt;&gt;"",ISNUMBER(SEARCH($B$4,Lists!$O$24))),1,0)</f>
        <v/>
      </c>
      <c r="AN77">
        <f>IF(ROW()-56&gt;MAX($AM$57:$AM$95),"",INDEX(Lists!$O$4:$O$42,MATCH(ROW()-56,$AM$57:$AM$95,0)))</f>
        <v/>
      </c>
      <c r="AO77">
        <f>AO76+IF(AND(Lists!$T$24&lt;&gt;"",ISNUMBER(SEARCH($C$4,Lists!$T$24))),1,0)</f>
        <v/>
      </c>
      <c r="AP77">
        <f>IF(ROW()-56&gt;MAX($AO$57:$AO$95),"",INDEX(Lists!$T$4:$T$42,MATCH(ROW()-56,$AO$57:$AO$95,0)))</f>
        <v/>
      </c>
      <c r="AQ77">
        <f>AQ76+IF(AND(Lists!$Y$24&lt;&gt;"",ISNUMBER(SEARCH($D$4,Lists!$Y$24))),1,0)</f>
        <v/>
      </c>
      <c r="AR77">
        <f>IF(ROW()-56&gt;MAX($AQ$57:$AQ$95),"",INDEX(Lists!$Y$4:$Y$42,MATCH(ROW()-56,$AQ$57:$AQ$95,0)))</f>
        <v/>
      </c>
      <c r="AS77">
        <f>AS76+IF(AND(Lists!$AD$24&lt;&gt;"",ISNUMBER(SEARCH($E$4,Lists!$AD$24))),1,0)</f>
        <v/>
      </c>
      <c r="AT77">
        <f>IF(ROW()-56&gt;MAX($AS$57:$AS$95),"",INDEX(Lists!$AD$4:$AD$42,MATCH(ROW()-56,$AS$57:$AS$95,0)))</f>
        <v/>
      </c>
      <c r="AU77">
        <f>AU76+IF(AND(Lists!$AI$24&lt;&gt;"",ISNUMBER(SEARCH($F$4,Lists!$AI$24))),1,0)</f>
        <v/>
      </c>
      <c r="AV77">
        <f>IF(ROW()-56&gt;MAX($AU$57:$AU$95),"",INDEX(Lists!$AI$4:$AI$42,MATCH(ROW()-56,$AU$57:$AU$95,0)))</f>
        <v/>
      </c>
      <c r="AW77">
        <f>AW76+IF(AND(Lists!$AN$24&lt;&gt;"",ISNUMBER(SEARCH($G$4,Lists!$AN$24))),1,0)</f>
        <v/>
      </c>
      <c r="AX77">
        <f>IF(ROW()-56&gt;MAX($AW$57:$AW$95),"",INDEX(Lists!$AN$4:$AN$42,MATCH(ROW()-56,$AW$57:$AW$95,0)))</f>
        <v/>
      </c>
      <c r="AY77">
        <f>AY76+IF(AND(Lists!$AS$24&lt;&gt;"",ISNUMBER(SEARCH($H$4,Lists!$AS$24))),1,0)</f>
        <v/>
      </c>
      <c r="AZ77">
        <f>IF(ROW()-56&gt;MAX($AY$57:$AY$95),"",INDEX(Lists!$AS$4:$AS$42,MATCH(ROW()-56,$AY$57:$AY$95,0)))</f>
        <v/>
      </c>
      <c r="BA77">
        <f>BA76+IF(AND(Lists!$AX$24&lt;&gt;"",ISNUMBER(SEARCH($I$4,Lists!$AX$24))),1,0)</f>
        <v/>
      </c>
      <c r="BB77">
        <f>IF(ROW()-56&gt;MAX($BA$57:$BA$95),"",INDEX(Lists!$AX$4:$AX$42,MATCH(ROW()-56,$BA$57:$BA$95,0)))</f>
        <v/>
      </c>
      <c r="BC77">
        <f>BC76+IF(AND(Lists!$BC$24&lt;&gt;"",ISNUMBER(SEARCH($J$4,Lists!$BC$24))),1,0)</f>
        <v/>
      </c>
      <c r="BD77">
        <f>IF(ROW()-56&gt;MAX($BC$57:$BC$95),"",INDEX(Lists!$BC$4:$BC$42,MATCH(ROW()-56,$BC$57:$BC$95,0)))</f>
        <v/>
      </c>
      <c r="BE77">
        <f>BE76+IF(AND(Lists!$BH$24&lt;&gt;"",ISNUMBER(SEARCH($K$4,Lists!$BH$24))),1,0)</f>
        <v/>
      </c>
      <c r="BF77">
        <f>IF(ROW()-56&gt;MAX($BE$57:$BE$95),"",INDEX(Lists!$BH$4:$BH$42,MATCH(ROW()-56,$BE$57:$BE$95,0)))</f>
        <v/>
      </c>
      <c r="BG77">
        <f>BG76+IF(AND(Lists!$BM$24&lt;&gt;"",ISNUMBER(SEARCH($L$4,Lists!$BM$24))),1,0)</f>
        <v/>
      </c>
      <c r="BH77">
        <f>IF(ROW()-56&gt;MAX($BG$57:$BG$95),"",INDEX(Lists!$BM$4:$BM$42,MATCH(ROW()-56,$BG$57:$BG$95,0)))</f>
        <v/>
      </c>
      <c r="BI77">
        <f>BI76+IF(AND(Lists!$BR$24&lt;&gt;"",ISNUMBER(SEARCH($M$4,Lists!$BR$24))),1,0)</f>
        <v/>
      </c>
      <c r="BJ77">
        <f>IF(ROW()-56&gt;MAX($BI$57:$BI$95),"",INDEX(Lists!$BR$4:$BR$42,MATCH(ROW()-56,$BI$57:$BI$95,0)))</f>
        <v/>
      </c>
      <c r="BK77">
        <f>BK76+IF(AND(Lists!$BW$24&lt;&gt;"",ISNUMBER(SEARCH($N$4,Lists!$BW$24))),1,0)</f>
        <v/>
      </c>
      <c r="BL77">
        <f>IF(ROW()-56&gt;MAX($BK$57:$BK$95),"",INDEX(Lists!$BW$4:$BW$42,MATCH(ROW()-56,$BK$57:$BK$95,0)))</f>
        <v/>
      </c>
      <c r="BM77">
        <f>BM76+IF(AND(Lists!$CB$24&lt;&gt;"",ISNUMBER(SEARCH($O$4,Lists!$CB$24))),1,0)</f>
        <v/>
      </c>
      <c r="BN77">
        <f>IF(ROW()-56&gt;MAX($BM$57:$BM$95),"",INDEX(Lists!$CB$4:$CB$42,MATCH(ROW()-56,$BM$57:$BM$95,0)))</f>
        <v/>
      </c>
      <c r="BO77">
        <f>BO76+IF(AND(Lists!$CG$24&lt;&gt;"",ISNUMBER(SEARCH($P$4,Lists!$CG$24))),1,0)</f>
        <v/>
      </c>
      <c r="BP77">
        <f>IF(ROW()-56&gt;MAX($BO$57:$BO$95),"",INDEX(Lists!$CG$4:$CG$42,MATCH(ROW()-56,$BO$57:$BO$95,0)))</f>
        <v/>
      </c>
      <c r="BQ77">
        <f>BQ76+IF(AND(Lists!$CL$24&lt;&gt;"",ISNUMBER(SEARCH($Q$4,Lists!$CL$24))),1,0)</f>
        <v/>
      </c>
      <c r="BR77">
        <f>IF(ROW()-56&gt;MAX($BQ$57:$BQ$95),"",INDEX(Lists!$CL$4:$CL$42,MATCH(ROW()-56,$BQ$57:$BQ$95,0)))</f>
        <v/>
      </c>
      <c r="BS77">
        <f>BS76+IF(AND(Lists!$CQ$24&lt;&gt;"",ISNUMBER(SEARCH($R$4,Lists!$CQ$24))),1,0)</f>
        <v/>
      </c>
      <c r="BT77">
        <f>IF(ROW()-56&gt;MAX($BS$57:$BS$95),"",INDEX(Lists!$CQ$4:$CQ$42,MATCH(ROW()-56,$BS$57:$BS$95,0)))</f>
        <v/>
      </c>
      <c r="BU77">
        <f>BU76+IF(AND(Lists!$CV$24&lt;&gt;"",ISNUMBER(SEARCH($S$4,Lists!$CV$24))),1,0)</f>
        <v/>
      </c>
      <c r="BV77">
        <f>IF(ROW()-56&gt;MAX($BU$57:$BU$95),"",INDEX(Lists!$CV$4:$CV$42,MATCH(ROW()-56,$BU$57:$BU$95,0)))</f>
        <v/>
      </c>
      <c r="BW77">
        <f>BW76+IF(AND(Lists!$DA$24&lt;&gt;"",ISNUMBER(SEARCH($T$4,Lists!$DA$24))),1,0)</f>
        <v/>
      </c>
      <c r="BX77">
        <f>IF(ROW()-56&gt;MAX($BW$57:$BW$95),"",INDEX(Lists!$DA$4:$DA$42,MATCH(ROW()-56,$BW$57:$BW$95,0)))</f>
        <v/>
      </c>
      <c r="BY77">
        <f>BY76+IF(AND(Lists!$DF$24&lt;&gt;"",ISNUMBER(SEARCH($U$4,Lists!$DF$24))),1,0)</f>
        <v/>
      </c>
      <c r="BZ77">
        <f>IF(ROW()-56&gt;MAX($BY$57:$BY$95),"",INDEX(Lists!$DF$4:$DF$42,MATCH(ROW()-56,$BY$57:$BY$95,0)))</f>
        <v/>
      </c>
      <c r="CA77">
        <f>CA76+IF(AND(Lists!$DK$24&lt;&gt;"",ISNUMBER(SEARCH($V$4,Lists!$DK$24))),1,0)</f>
        <v/>
      </c>
      <c r="CB77">
        <f>IF(ROW()-56&gt;MAX($CA$57:$CA$95),"",INDEX(Lists!$DK$4:$DK$42,MATCH(ROW()-56,$CA$57:$CA$95,0)))</f>
        <v/>
      </c>
      <c r="CC77">
        <f>CC76+IF(AND(Lists!$DP$24&lt;&gt;"",ISNUMBER(SEARCH($W$4,Lists!$DP$24))),1,0)</f>
        <v/>
      </c>
      <c r="CD77">
        <f>IF(ROW()-56&gt;MAX($CC$57:$CC$95),"",INDEX(Lists!$DP$4:$DP$42,MATCH(ROW()-56,$CC$57:$CC$95,0)))</f>
        <v/>
      </c>
      <c r="CE77">
        <f>CE76+IF(AND(Lists!$DU$24&lt;&gt;"",ISNUMBER(SEARCH($X$4,Lists!$DU$24))),1,0)</f>
        <v/>
      </c>
      <c r="CF77">
        <f>IF(ROW()-56&gt;MAX($CE$57:$CE$95),"",INDEX(Lists!$DU$4:$DU$42,MATCH(ROW()-56,$CE$57:$CE$95,0)))</f>
        <v/>
      </c>
      <c r="CG77">
        <f>CG76+IF(AND(Lists!$DZ$24&lt;&gt;"",ISNUMBER(SEARCH($Y$4,Lists!$DZ$24))),1,0)</f>
        <v/>
      </c>
      <c r="CH77">
        <f>IF(ROW()-56&gt;MAX($CG$57:$CG$95),"",INDEX(Lists!$DZ$4:$DZ$42,MATCH(ROW()-56,$CG$57:$CG$95,0)))</f>
        <v/>
      </c>
      <c r="CI77">
        <f>CI76+IF(AND(Lists!$EE$24&lt;&gt;"",ISNUMBER(SEARCH($Z$4,Lists!$EE$24))),1,0)</f>
        <v/>
      </c>
      <c r="CJ77">
        <f>IF(ROW()-56&gt;MAX($CI$57:$CI$95),"",INDEX(Lists!$EE$4:$EE$42,MATCH(ROW()-56,$CI$57:$CI$95,0)))</f>
        <v/>
      </c>
      <c r="CK77">
        <f>CK76+IF(AND(Lists!$EJ$24&lt;&gt;"",ISNUMBER(SEARCH($AA$4,Lists!$EJ$24))),1,0)</f>
        <v/>
      </c>
      <c r="CL77">
        <f>IF(ROW()-56&gt;MAX($CK$57:$CK$95),"",INDEX(Lists!$EJ$4:$EJ$42,MATCH(ROW()-56,$CK$57:$CK$95,0)))</f>
        <v/>
      </c>
      <c r="CM77">
        <f>CM76+IF(AND(Lists!$EO$24&lt;&gt;"",ISNUMBER(SEARCH($AB$4,Lists!$EO$24))),1,0)</f>
        <v/>
      </c>
      <c r="CN77">
        <f>IF(ROW()-56&gt;MAX($CM$57:$CM$95),"",INDEX(Lists!$EO$4:$EO$42,MATCH(ROW()-56,$CM$57:$CM$95,0)))</f>
        <v/>
      </c>
      <c r="CO77">
        <f>CO76+IF(AND(Lists!$ET$24&lt;&gt;"",ISNUMBER(SEARCH($AC$4,Lists!$ET$24))),1,0)</f>
        <v/>
      </c>
      <c r="CP77">
        <f>IF(ROW()-56&gt;MAX($CO$57:$CO$95),"",INDEX(Lists!$ET$4:$ET$42,MATCH(ROW()-56,$CO$57:$CO$95,0)))</f>
        <v/>
      </c>
      <c r="CQ77">
        <f>CQ76+IF(AND(Lists!$EY$24&lt;&gt;"",ISNUMBER(SEARCH($AD$4,Lists!$EY$24))),1,0)</f>
        <v/>
      </c>
      <c r="CR77">
        <f>IF(ROW()-56&gt;MAX($CQ$57:$CQ$95),"",INDEX(Lists!$EY$4:$EY$42,MATCH(ROW()-56,$CQ$57:$CQ$95,0)))</f>
        <v/>
      </c>
      <c r="CS77">
        <f>CS76+IF(AND(Lists!$FD$24&lt;&gt;"",ISNUMBER(SEARCH($AE$4,Lists!$FD$24))),1,0)</f>
        <v/>
      </c>
      <c r="CT77">
        <f>IF(ROW()-56&gt;MAX($CS$57:$CS$95),"",INDEX(Lists!$FD$4:$FD$42,MATCH(ROW()-56,$CS$57:$CS$95,0)))</f>
        <v/>
      </c>
      <c r="CU77">
        <f>CU76+IF(AND(Lists!$FI$24&lt;&gt;"",ISNUMBER(SEARCH($AG$4,Lists!$FI$24))),1,0)</f>
        <v/>
      </c>
      <c r="CV77">
        <f>IF(ROW()-56&gt;MAX($CU$57:$CU$95),"",INDEX(Lists!$FI$4:$FI$42,MATCH(ROW()-56,$CU$57:$CU$95,0)))</f>
        <v/>
      </c>
      <c r="CW77">
        <f>CW76+IF(AND(Lists!$FN$24&lt;&gt;"",ISNUMBER(SEARCH($AH$4,Lists!$FN$24))),1,0)</f>
        <v/>
      </c>
      <c r="CX77">
        <f>IF(ROW()-56&gt;MAX($CW$57:$CW$95),"",INDEX(Lists!$FN$4:$FN$42,MATCH(ROW()-56,$CW$57:$CW$95,0)))</f>
        <v/>
      </c>
      <c r="CY77">
        <f>CY76+IF(AND(Lists!$FS$24&lt;&gt;"",ISNUMBER(SEARCH($AI$4,Lists!$FS$24))),1,0)</f>
        <v/>
      </c>
      <c r="CZ77">
        <f>IF(ROW()-56&gt;MAX($CY$57:$CY$95),"",INDEX(Lists!$FS$4:$FS$42,MATCH(ROW()-56,$CY$57:$CY$95,0)))</f>
        <v/>
      </c>
      <c r="DA77">
        <f>DA76+IF(AND(Lists!$FX$24&lt;&gt;"",ISNUMBER(SEARCH($AF$4,Lists!$FX$24))),1,0)</f>
        <v/>
      </c>
      <c r="DB77">
        <f>IF(ROW()-56&gt;MAX($DA$57:$DA$95),"",INDEX(Lists!$FX$4:$FX$42,MATCH(ROW()-56,$DA$57:$DA$95,0)))</f>
        <v/>
      </c>
      <c r="DG77">
        <f>IF($B$4="",1,IF($B$4="(blank)",--('Final Calculation Sheet'!$F$22=""),IF($B$4="(nonblank)",--('Final Calculation Sheet'!$F$22&lt;&gt;""),--ISNUMBER(SEARCH($B$4,'Final Calculation Sheet'!$F$22)))))</f>
        <v/>
      </c>
      <c r="DH77">
        <f>IF($C$4="",1,IF($C$4="(blank)",--('Final Calculation Sheet'!$G$22=""),IF($C$4="(nonblank)",--('Final Calculation Sheet'!$G$22&lt;&gt;""),--ISNUMBER(SEARCH($C$4,'Final Calculation Sheet'!$G$22)))))</f>
        <v/>
      </c>
      <c r="DI77">
        <f>IF($D$4="",1,IF($D$4="(blank)",--('Final Calculation Sheet'!$B$22=""),IF($D$4="(nonblank)",--('Final Calculation Sheet'!$B$22&lt;&gt;""),--ISNUMBER(SEARCH($D$4,'Final Calculation Sheet'!$B$22)))))</f>
        <v/>
      </c>
      <c r="DJ77">
        <f>IF($E$4="",1,IF($E$4="(blank)",--('Final Calculation Sheet'!$D$22=""),IF($E$4="(nonblank)",--('Final Calculation Sheet'!$D$22&lt;&gt;""),--ISNUMBER(SEARCH($E$4,'Final Calculation Sheet'!$D$22)))))</f>
        <v/>
      </c>
      <c r="DK77">
        <f>IF($F$4="",1,IF($F$4="(blank)",--('Final Calculation Sheet'!$A$22=""),IF($F$4="(nonblank)",--('Final Calculation Sheet'!$A$22&lt;&gt;""),--ISNUMBER(SEARCH($F$4,'Final Calculation Sheet'!$A$22)))))</f>
        <v/>
      </c>
      <c r="DL77">
        <f>IF($G$4="",1,IF($G$4="(blank)",--('Final Calculation Sheet'!$E$22=""),IF($G$4="(nonblank)",--('Final Calculation Sheet'!$E$22&lt;&gt;""),--ISNUMBER(SEARCH($G$4,'Final Calculation Sheet'!$E$22)))))</f>
        <v/>
      </c>
      <c r="DM77">
        <f>IF($H$4="",1,IF($H$4="(blank)",--('Final Calculation Sheet'!$C$22=""),IF($H$4="(nonblank)",--('Final Calculation Sheet'!$C$22&lt;&gt;""),--ISNUMBER(SEARCH($H$4,'Final Calculation Sheet'!$C$22)))))</f>
        <v/>
      </c>
      <c r="DN77">
        <f>IF($I$4="",1,IF($I$4="(blank)",--('Final Calculation Sheet'!$H$22=""),IF($I$4="(nonblank)",--('Final Calculation Sheet'!$H$22&lt;&gt;""),--ISNUMBER(SEARCH($I$4,'Final Calculation Sheet'!$H$22)))))</f>
        <v/>
      </c>
      <c r="DO77">
        <f>IF($J$4="",1,IF($J$4="(blank)",--('Final Calculation Sheet'!$I$22=""),IF($J$4="(nonblank)",--('Final Calculation Sheet'!$I$22&lt;&gt;""),--ISNUMBER(SEARCH($J$4,'Final Calculation Sheet'!$I$22)))))</f>
        <v/>
      </c>
      <c r="DP77">
        <f>IF($K$4="",1,IF($K$4="(blank)",--('Final Calculation Sheet'!$J$22=""),IF($K$4="(nonblank)",--('Final Calculation Sheet'!$J$22&lt;&gt;""),--ISNUMBER(SEARCH($K$4,'Final Calculation Sheet'!$J$22)))))</f>
        <v/>
      </c>
      <c r="DQ77">
        <f>IF($L$4="",1,IF($L$4="(blank)",--('Final Calculation Sheet'!$K$22=""),IF($L$4="(nonblank)",--('Final Calculation Sheet'!$K$22&lt;&gt;""),--ISNUMBER(SEARCH($L$4,'Final Calculation Sheet'!$K$22)))))</f>
        <v/>
      </c>
      <c r="DR77">
        <f>IF($M$4="",1,IF($M$4="(blank)",--('Final Calculation Sheet'!$L$22=""),IF($M$4="(nonblank)",--('Final Calculation Sheet'!$L$22&lt;&gt;""),--ISNUMBER(SEARCH($M$4,'Final Calculation Sheet'!$L$22)))))</f>
        <v/>
      </c>
      <c r="DS77">
        <f>IF($N$4="",1,IF($N$4="(blank)",--('Final Calculation Sheet'!$M$22=""),IF($N$4="(nonblank)",--('Final Calculation Sheet'!$M$22&lt;&gt;""),--ISNUMBER(SEARCH($N$4,'Final Calculation Sheet'!$M$22)))))</f>
        <v/>
      </c>
      <c r="DT77">
        <f>IF($O$4="",1,IF($O$4="(blank)",--('Final Calculation Sheet'!$N$22=""),IF($O$4="(nonblank)",--('Final Calculation Sheet'!$N$22&lt;&gt;""),--ISNUMBER(SEARCH($O$4,'Final Calculation Sheet'!$N$22)))))</f>
        <v/>
      </c>
      <c r="DU77">
        <f>IF($P$4="",1,IF($P$4="(blank)",--('Final Calculation Sheet'!$O$22=""),IF($P$4="(nonblank)",--('Final Calculation Sheet'!$O$22&lt;&gt;""),--ISNUMBER(SEARCH($P$4,'Final Calculation Sheet'!$O$22)))))</f>
        <v/>
      </c>
      <c r="DV77">
        <f>IF($Q$4="",1,IF($Q$4="(blank)",--('Final Calculation Sheet'!$P$22=""),IF($Q$4="(nonblank)",--('Final Calculation Sheet'!$P$22&lt;&gt;""),--ISNUMBER(SEARCH($Q$4,'Final Calculation Sheet'!$P$22)))))</f>
        <v/>
      </c>
      <c r="DW77">
        <f>IF($R$4="",1,IF($R$4="(blank)",--('Final Calculation Sheet'!$Q$22=""),IF($R$4="(nonblank)",--('Final Calculation Sheet'!$Q$22&lt;&gt;""),--ISNUMBER(SEARCH($R$4,'Final Calculation Sheet'!$Q$22)))))</f>
        <v/>
      </c>
      <c r="DX77">
        <f>IF($S$4="",1,IF($S$4="(blank)",--('Final Calculation Sheet'!$R$22=""),IF($S$4="(nonblank)",--('Final Calculation Sheet'!$R$22&lt;&gt;""),--ISNUMBER(SEARCH($S$4,'Final Calculation Sheet'!$R$22)))))</f>
        <v/>
      </c>
      <c r="DY77">
        <f>IF($T$4="",1,IF($T$4="(blank)",--('Final Calculation Sheet'!$S$22=""),IF($T$4="(nonblank)",--('Final Calculation Sheet'!$S$22&lt;&gt;""),--ISNUMBER(SEARCH($T$4,'Final Calculation Sheet'!$S$22)))))</f>
        <v/>
      </c>
      <c r="DZ77">
        <f>IF($U$4="",1,IF($U$4="(blank)",--('Final Calculation Sheet'!$T$22=""),IF($U$4="(nonblank)",--('Final Calculation Sheet'!$T$22&lt;&gt;""),--ISNUMBER(SEARCH($U$4,'Final Calculation Sheet'!$T$22)))))</f>
        <v/>
      </c>
      <c r="EA77">
        <f>IF($V$4="",1,IF($V$4="(blank)",--('Final Calculation Sheet'!$U$22=""),IF($V$4="(nonblank)",--('Final Calculation Sheet'!$U$22&lt;&gt;""),--ISNUMBER(SEARCH($V$4,'Final Calculation Sheet'!$U$22)))))</f>
        <v/>
      </c>
      <c r="EB77">
        <f>IF($W$4="",1,IF($W$4="(blank)",--('Final Calculation Sheet'!$V$22=""),IF($W$4="(nonblank)",--('Final Calculation Sheet'!$V$22&lt;&gt;""),--ISNUMBER(SEARCH($W$4,'Final Calculation Sheet'!$V$22)))))</f>
        <v/>
      </c>
      <c r="EC77">
        <f>IF($X$4="",1,IF($X$4="(blank)",--('Final Calculation Sheet'!$W$22=""),IF($X$4="(nonblank)",--('Final Calculation Sheet'!$W$22&lt;&gt;""),--ISNUMBER(SEARCH($X$4,'Final Calculation Sheet'!$W$22)))))</f>
        <v/>
      </c>
      <c r="ED77">
        <f>IF($Y$4="",1,IF($Y$4="(blank)",--('Final Calculation Sheet'!$X$22=""),IF($Y$4="(nonblank)",--('Final Calculation Sheet'!$X$22&lt;&gt;""),--ISNUMBER(SEARCH($Y$4,'Final Calculation Sheet'!$X$22)))))</f>
        <v/>
      </c>
      <c r="EE77">
        <f>IF($Z$4="",1,IF($Z$4="(blank)",--('Final Calculation Sheet'!$Y$22=""),IF($Z$4="(nonblank)",--('Final Calculation Sheet'!$Y$22&lt;&gt;""),--ISNUMBER(SEARCH($Z$4,'Final Calculation Sheet'!$Y$22)))))</f>
        <v/>
      </c>
      <c r="EF77">
        <f>IF($AA$4="",1,IF($AA$4="(blank)",--('Final Calculation Sheet'!$Z$22=""),IF($AA$4="(nonblank)",--('Final Calculation Sheet'!$Z$22&lt;&gt;""),--ISNUMBER(SEARCH($AA$4,'Final Calculation Sheet'!$Z$22)))))</f>
        <v/>
      </c>
      <c r="EG77">
        <f>IF($AB$4="",1,IF($AB$4="(blank)",--('Final Calculation Sheet'!$AA$22=""),IF($AB$4="(nonblank)",--('Final Calculation Sheet'!$AA$22&lt;&gt;""),--ISNUMBER(SEARCH($AB$4,'Final Calculation Sheet'!$AA$22)))))</f>
        <v/>
      </c>
      <c r="EH77">
        <f>IF($AC$4="",1,IF($AC$4="(blank)",--('Final Calculation Sheet'!$AB$22=""),IF($AC$4="(nonblank)",--('Final Calculation Sheet'!$AB$22&lt;&gt;""),--ISNUMBER(SEARCH($AC$4,'Final Calculation Sheet'!$AB$22)))))</f>
        <v/>
      </c>
      <c r="EI77">
        <f>IF($AD$4="",1,IF($AD$4="(blank)",--('Final Calculation Sheet'!$AC$22=""),IF($AD$4="(nonblank)",--('Final Calculation Sheet'!$AC$22&lt;&gt;""),--ISNUMBER(SEARCH($AD$4,'Final Calculation Sheet'!$AC$22)))))</f>
        <v/>
      </c>
      <c r="EJ77">
        <f>IF($AE$4="",1,IF($AE$4="(blank)",--('Final Calculation Sheet'!$AD$22=""),IF($AE$4="(nonblank)",--('Final Calculation Sheet'!$AD$22&lt;&gt;""),--ISNUMBER(SEARCH($AE$4,'Final Calculation Sheet'!$AD$22)))))</f>
        <v/>
      </c>
      <c r="EK77">
        <f>IF($AF$4="",1,IF($AF$4="(blank)",--(IF('Final Calculation Sheet'!$AD$22&lt;=5,"SETTLED","OUTSTANDING")=""),IF($AF$4="(nonblank)",--(IF('Final Calculation Sheet'!$AD$22&lt;=5,"SETTLED","OUTSTANDING")&lt;&gt;""),--ISNUMBER(SEARCH($AF$4,IF('Final Calculation Sheet'!$AD$22&lt;=5,"SETTLED","OUTSTANDING"))))))</f>
        <v/>
      </c>
      <c r="EL77">
        <f>IF($AG$4="",1,IF($AG$4="(blank)",--('Final Calculation Sheet'!$AF$22=""),IF($AG$4="(nonblank)",--('Final Calculation Sheet'!$AF$22&lt;&gt;""),--ISNUMBER(SEARCH($AG$4,'Final Calculation Sheet'!$AF$22)))))</f>
        <v/>
      </c>
      <c r="EM77">
        <f>IF($AH$4="",1,IF($AH$4="(blank)",--('Final Calculation Sheet'!$AG$22=""),IF($AH$4="(nonblank)",--('Final Calculation Sheet'!$AG$22&lt;&gt;""),--ISNUMBER(SEARCH($AH$4,'Final Calculation Sheet'!$AG$22)))))</f>
        <v/>
      </c>
      <c r="EN77">
        <f>IF($AI$4="",1,IF($AI$4="(blank)",--('Final Calculation Sheet'!$AH$22=""),IF($AI$4="(nonblank)",--('Final Calculation Sheet'!$AH$22&lt;&gt;""),--ISNUMBER(SEARCH($AI$4,'Final Calculation Sheet'!$AH$22)))))</f>
        <v/>
      </c>
    </row>
    <row r="78">
      <c r="AM78">
        <f>AM77+IF(AND(Lists!$O$25&lt;&gt;"",ISNUMBER(SEARCH($B$4,Lists!$O$25))),1,0)</f>
        <v/>
      </c>
      <c r="AN78">
        <f>IF(ROW()-56&gt;MAX($AM$57:$AM$95),"",INDEX(Lists!$O$4:$O$42,MATCH(ROW()-56,$AM$57:$AM$95,0)))</f>
        <v/>
      </c>
      <c r="AO78">
        <f>AO77+IF(AND(Lists!$T$25&lt;&gt;"",ISNUMBER(SEARCH($C$4,Lists!$T$25))),1,0)</f>
        <v/>
      </c>
      <c r="AP78">
        <f>IF(ROW()-56&gt;MAX($AO$57:$AO$95),"",INDEX(Lists!$T$4:$T$42,MATCH(ROW()-56,$AO$57:$AO$95,0)))</f>
        <v/>
      </c>
      <c r="AQ78">
        <f>AQ77+IF(AND(Lists!$Y$25&lt;&gt;"",ISNUMBER(SEARCH($D$4,Lists!$Y$25))),1,0)</f>
        <v/>
      </c>
      <c r="AR78">
        <f>IF(ROW()-56&gt;MAX($AQ$57:$AQ$95),"",INDEX(Lists!$Y$4:$Y$42,MATCH(ROW()-56,$AQ$57:$AQ$95,0)))</f>
        <v/>
      </c>
      <c r="AS78">
        <f>AS77+IF(AND(Lists!$AD$25&lt;&gt;"",ISNUMBER(SEARCH($E$4,Lists!$AD$25))),1,0)</f>
        <v/>
      </c>
      <c r="AT78">
        <f>IF(ROW()-56&gt;MAX($AS$57:$AS$95),"",INDEX(Lists!$AD$4:$AD$42,MATCH(ROW()-56,$AS$57:$AS$95,0)))</f>
        <v/>
      </c>
      <c r="AU78">
        <f>AU77+IF(AND(Lists!$AI$25&lt;&gt;"",ISNUMBER(SEARCH($F$4,Lists!$AI$25))),1,0)</f>
        <v/>
      </c>
      <c r="AV78">
        <f>IF(ROW()-56&gt;MAX($AU$57:$AU$95),"",INDEX(Lists!$AI$4:$AI$42,MATCH(ROW()-56,$AU$57:$AU$95,0)))</f>
        <v/>
      </c>
      <c r="AW78">
        <f>AW77+IF(AND(Lists!$AN$25&lt;&gt;"",ISNUMBER(SEARCH($G$4,Lists!$AN$25))),1,0)</f>
        <v/>
      </c>
      <c r="AX78">
        <f>IF(ROW()-56&gt;MAX($AW$57:$AW$95),"",INDEX(Lists!$AN$4:$AN$42,MATCH(ROW()-56,$AW$57:$AW$95,0)))</f>
        <v/>
      </c>
      <c r="AY78">
        <f>AY77+IF(AND(Lists!$AS$25&lt;&gt;"",ISNUMBER(SEARCH($H$4,Lists!$AS$25))),1,0)</f>
        <v/>
      </c>
      <c r="AZ78">
        <f>IF(ROW()-56&gt;MAX($AY$57:$AY$95),"",INDEX(Lists!$AS$4:$AS$42,MATCH(ROW()-56,$AY$57:$AY$95,0)))</f>
        <v/>
      </c>
      <c r="BA78">
        <f>BA77+IF(AND(Lists!$AX$25&lt;&gt;"",ISNUMBER(SEARCH($I$4,Lists!$AX$25))),1,0)</f>
        <v/>
      </c>
      <c r="BB78">
        <f>IF(ROW()-56&gt;MAX($BA$57:$BA$95),"",INDEX(Lists!$AX$4:$AX$42,MATCH(ROW()-56,$BA$57:$BA$95,0)))</f>
        <v/>
      </c>
      <c r="BC78">
        <f>BC77+IF(AND(Lists!$BC$25&lt;&gt;"",ISNUMBER(SEARCH($J$4,Lists!$BC$25))),1,0)</f>
        <v/>
      </c>
      <c r="BD78">
        <f>IF(ROW()-56&gt;MAX($BC$57:$BC$95),"",INDEX(Lists!$BC$4:$BC$42,MATCH(ROW()-56,$BC$57:$BC$95,0)))</f>
        <v/>
      </c>
      <c r="BE78">
        <f>BE77+IF(AND(Lists!$BH$25&lt;&gt;"",ISNUMBER(SEARCH($K$4,Lists!$BH$25))),1,0)</f>
        <v/>
      </c>
      <c r="BF78">
        <f>IF(ROW()-56&gt;MAX($BE$57:$BE$95),"",INDEX(Lists!$BH$4:$BH$42,MATCH(ROW()-56,$BE$57:$BE$95,0)))</f>
        <v/>
      </c>
      <c r="BG78">
        <f>BG77+IF(AND(Lists!$BM$25&lt;&gt;"",ISNUMBER(SEARCH($L$4,Lists!$BM$25))),1,0)</f>
        <v/>
      </c>
      <c r="BH78">
        <f>IF(ROW()-56&gt;MAX($BG$57:$BG$95),"",INDEX(Lists!$BM$4:$BM$42,MATCH(ROW()-56,$BG$57:$BG$95,0)))</f>
        <v/>
      </c>
      <c r="BI78">
        <f>BI77+IF(AND(Lists!$BR$25&lt;&gt;"",ISNUMBER(SEARCH($M$4,Lists!$BR$25))),1,0)</f>
        <v/>
      </c>
      <c r="BJ78">
        <f>IF(ROW()-56&gt;MAX($BI$57:$BI$95),"",INDEX(Lists!$BR$4:$BR$42,MATCH(ROW()-56,$BI$57:$BI$95,0)))</f>
        <v/>
      </c>
      <c r="BK78">
        <f>BK77+IF(AND(Lists!$BW$25&lt;&gt;"",ISNUMBER(SEARCH($N$4,Lists!$BW$25))),1,0)</f>
        <v/>
      </c>
      <c r="BL78">
        <f>IF(ROW()-56&gt;MAX($BK$57:$BK$95),"",INDEX(Lists!$BW$4:$BW$42,MATCH(ROW()-56,$BK$57:$BK$95,0)))</f>
        <v/>
      </c>
      <c r="BM78">
        <f>BM77+IF(AND(Lists!$CB$25&lt;&gt;"",ISNUMBER(SEARCH($O$4,Lists!$CB$25))),1,0)</f>
        <v/>
      </c>
      <c r="BN78">
        <f>IF(ROW()-56&gt;MAX($BM$57:$BM$95),"",INDEX(Lists!$CB$4:$CB$42,MATCH(ROW()-56,$BM$57:$BM$95,0)))</f>
        <v/>
      </c>
      <c r="BO78">
        <f>BO77+IF(AND(Lists!$CG$25&lt;&gt;"",ISNUMBER(SEARCH($P$4,Lists!$CG$25))),1,0)</f>
        <v/>
      </c>
      <c r="BP78">
        <f>IF(ROW()-56&gt;MAX($BO$57:$BO$95),"",INDEX(Lists!$CG$4:$CG$42,MATCH(ROW()-56,$BO$57:$BO$95,0)))</f>
        <v/>
      </c>
      <c r="BQ78">
        <f>BQ77+IF(AND(Lists!$CL$25&lt;&gt;"",ISNUMBER(SEARCH($Q$4,Lists!$CL$25))),1,0)</f>
        <v/>
      </c>
      <c r="BR78">
        <f>IF(ROW()-56&gt;MAX($BQ$57:$BQ$95),"",INDEX(Lists!$CL$4:$CL$42,MATCH(ROW()-56,$BQ$57:$BQ$95,0)))</f>
        <v/>
      </c>
      <c r="BS78">
        <f>BS77+IF(AND(Lists!$CQ$25&lt;&gt;"",ISNUMBER(SEARCH($R$4,Lists!$CQ$25))),1,0)</f>
        <v/>
      </c>
      <c r="BT78">
        <f>IF(ROW()-56&gt;MAX($BS$57:$BS$95),"",INDEX(Lists!$CQ$4:$CQ$42,MATCH(ROW()-56,$BS$57:$BS$95,0)))</f>
        <v/>
      </c>
      <c r="BU78">
        <f>BU77+IF(AND(Lists!$CV$25&lt;&gt;"",ISNUMBER(SEARCH($S$4,Lists!$CV$25))),1,0)</f>
        <v/>
      </c>
      <c r="BV78">
        <f>IF(ROW()-56&gt;MAX($BU$57:$BU$95),"",INDEX(Lists!$CV$4:$CV$42,MATCH(ROW()-56,$BU$57:$BU$95,0)))</f>
        <v/>
      </c>
      <c r="BW78">
        <f>BW77+IF(AND(Lists!$DA$25&lt;&gt;"",ISNUMBER(SEARCH($T$4,Lists!$DA$25))),1,0)</f>
        <v/>
      </c>
      <c r="BX78">
        <f>IF(ROW()-56&gt;MAX($BW$57:$BW$95),"",INDEX(Lists!$DA$4:$DA$42,MATCH(ROW()-56,$BW$57:$BW$95,0)))</f>
        <v/>
      </c>
      <c r="BY78">
        <f>BY77+IF(AND(Lists!$DF$25&lt;&gt;"",ISNUMBER(SEARCH($U$4,Lists!$DF$25))),1,0)</f>
        <v/>
      </c>
      <c r="BZ78">
        <f>IF(ROW()-56&gt;MAX($BY$57:$BY$95),"",INDEX(Lists!$DF$4:$DF$42,MATCH(ROW()-56,$BY$57:$BY$95,0)))</f>
        <v/>
      </c>
      <c r="CA78">
        <f>CA77+IF(AND(Lists!$DK$25&lt;&gt;"",ISNUMBER(SEARCH($V$4,Lists!$DK$25))),1,0)</f>
        <v/>
      </c>
      <c r="CB78">
        <f>IF(ROW()-56&gt;MAX($CA$57:$CA$95),"",INDEX(Lists!$DK$4:$DK$42,MATCH(ROW()-56,$CA$57:$CA$95,0)))</f>
        <v/>
      </c>
      <c r="CC78">
        <f>CC77+IF(AND(Lists!$DP$25&lt;&gt;"",ISNUMBER(SEARCH($W$4,Lists!$DP$25))),1,0)</f>
        <v/>
      </c>
      <c r="CD78">
        <f>IF(ROW()-56&gt;MAX($CC$57:$CC$95),"",INDEX(Lists!$DP$4:$DP$42,MATCH(ROW()-56,$CC$57:$CC$95,0)))</f>
        <v/>
      </c>
      <c r="CE78">
        <f>CE77+IF(AND(Lists!$DU$25&lt;&gt;"",ISNUMBER(SEARCH($X$4,Lists!$DU$25))),1,0)</f>
        <v/>
      </c>
      <c r="CF78">
        <f>IF(ROW()-56&gt;MAX($CE$57:$CE$95),"",INDEX(Lists!$DU$4:$DU$42,MATCH(ROW()-56,$CE$57:$CE$95,0)))</f>
        <v/>
      </c>
      <c r="CG78">
        <f>CG77+IF(AND(Lists!$DZ$25&lt;&gt;"",ISNUMBER(SEARCH($Y$4,Lists!$DZ$25))),1,0)</f>
        <v/>
      </c>
      <c r="CH78">
        <f>IF(ROW()-56&gt;MAX($CG$57:$CG$95),"",INDEX(Lists!$DZ$4:$DZ$42,MATCH(ROW()-56,$CG$57:$CG$95,0)))</f>
        <v/>
      </c>
      <c r="CI78">
        <f>CI77+IF(AND(Lists!$EE$25&lt;&gt;"",ISNUMBER(SEARCH($Z$4,Lists!$EE$25))),1,0)</f>
        <v/>
      </c>
      <c r="CJ78">
        <f>IF(ROW()-56&gt;MAX($CI$57:$CI$95),"",INDEX(Lists!$EE$4:$EE$42,MATCH(ROW()-56,$CI$57:$CI$95,0)))</f>
        <v/>
      </c>
      <c r="CK78">
        <f>CK77+IF(AND(Lists!$EJ$25&lt;&gt;"",ISNUMBER(SEARCH($AA$4,Lists!$EJ$25))),1,0)</f>
        <v/>
      </c>
      <c r="CL78">
        <f>IF(ROW()-56&gt;MAX($CK$57:$CK$95),"",INDEX(Lists!$EJ$4:$EJ$42,MATCH(ROW()-56,$CK$57:$CK$95,0)))</f>
        <v/>
      </c>
      <c r="CM78">
        <f>CM77+IF(AND(Lists!$EO$25&lt;&gt;"",ISNUMBER(SEARCH($AB$4,Lists!$EO$25))),1,0)</f>
        <v/>
      </c>
      <c r="CN78">
        <f>IF(ROW()-56&gt;MAX($CM$57:$CM$95),"",INDEX(Lists!$EO$4:$EO$42,MATCH(ROW()-56,$CM$57:$CM$95,0)))</f>
        <v/>
      </c>
      <c r="CO78">
        <f>CO77+IF(AND(Lists!$ET$25&lt;&gt;"",ISNUMBER(SEARCH($AC$4,Lists!$ET$25))),1,0)</f>
        <v/>
      </c>
      <c r="CP78">
        <f>IF(ROW()-56&gt;MAX($CO$57:$CO$95),"",INDEX(Lists!$ET$4:$ET$42,MATCH(ROW()-56,$CO$57:$CO$95,0)))</f>
        <v/>
      </c>
      <c r="CQ78">
        <f>CQ77+IF(AND(Lists!$EY$25&lt;&gt;"",ISNUMBER(SEARCH($AD$4,Lists!$EY$25))),1,0)</f>
        <v/>
      </c>
      <c r="CR78">
        <f>IF(ROW()-56&gt;MAX($CQ$57:$CQ$95),"",INDEX(Lists!$EY$4:$EY$42,MATCH(ROW()-56,$CQ$57:$CQ$95,0)))</f>
        <v/>
      </c>
      <c r="CS78">
        <f>CS77+IF(AND(Lists!$FD$25&lt;&gt;"",ISNUMBER(SEARCH($AE$4,Lists!$FD$25))),1,0)</f>
        <v/>
      </c>
      <c r="CT78">
        <f>IF(ROW()-56&gt;MAX($CS$57:$CS$95),"",INDEX(Lists!$FD$4:$FD$42,MATCH(ROW()-56,$CS$57:$CS$95,0)))</f>
        <v/>
      </c>
      <c r="CU78">
        <f>CU77+IF(AND(Lists!$FI$25&lt;&gt;"",ISNUMBER(SEARCH($AG$4,Lists!$FI$25))),1,0)</f>
        <v/>
      </c>
      <c r="CV78">
        <f>IF(ROW()-56&gt;MAX($CU$57:$CU$95),"",INDEX(Lists!$FI$4:$FI$42,MATCH(ROW()-56,$CU$57:$CU$95,0)))</f>
        <v/>
      </c>
      <c r="CW78">
        <f>CW77+IF(AND(Lists!$FN$25&lt;&gt;"",ISNUMBER(SEARCH($AH$4,Lists!$FN$25))),1,0)</f>
        <v/>
      </c>
      <c r="CX78">
        <f>IF(ROW()-56&gt;MAX($CW$57:$CW$95),"",INDEX(Lists!$FN$4:$FN$42,MATCH(ROW()-56,$CW$57:$CW$95,0)))</f>
        <v/>
      </c>
      <c r="CY78">
        <f>CY77+IF(AND(Lists!$FS$25&lt;&gt;"",ISNUMBER(SEARCH($AI$4,Lists!$FS$25))),1,0)</f>
        <v/>
      </c>
      <c r="CZ78">
        <f>IF(ROW()-56&gt;MAX($CY$57:$CY$95),"",INDEX(Lists!$FS$4:$FS$42,MATCH(ROW()-56,$CY$57:$CY$95,0)))</f>
        <v/>
      </c>
      <c r="DA78">
        <f>DA77+IF(AND(Lists!$FX$25&lt;&gt;"",ISNUMBER(SEARCH($AF$4,Lists!$FX$25))),1,0)</f>
        <v/>
      </c>
      <c r="DB78">
        <f>IF(ROW()-56&gt;MAX($DA$57:$DA$95),"",INDEX(Lists!$FX$4:$FX$42,MATCH(ROW()-56,$DA$57:$DA$95,0)))</f>
        <v/>
      </c>
      <c r="DG78">
        <f>IF($B$4="",1,IF($B$4="(blank)",--('Final Calculation Sheet'!$F$23=""),IF($B$4="(nonblank)",--('Final Calculation Sheet'!$F$23&lt;&gt;""),--ISNUMBER(SEARCH($B$4,'Final Calculation Sheet'!$F$23)))))</f>
        <v/>
      </c>
      <c r="DH78">
        <f>IF($C$4="",1,IF($C$4="(blank)",--('Final Calculation Sheet'!$G$23=""),IF($C$4="(nonblank)",--('Final Calculation Sheet'!$G$23&lt;&gt;""),--ISNUMBER(SEARCH($C$4,'Final Calculation Sheet'!$G$23)))))</f>
        <v/>
      </c>
      <c r="DI78">
        <f>IF($D$4="",1,IF($D$4="(blank)",--('Final Calculation Sheet'!$B$23=""),IF($D$4="(nonblank)",--('Final Calculation Sheet'!$B$23&lt;&gt;""),--ISNUMBER(SEARCH($D$4,'Final Calculation Sheet'!$B$23)))))</f>
        <v/>
      </c>
      <c r="DJ78">
        <f>IF($E$4="",1,IF($E$4="(blank)",--('Final Calculation Sheet'!$D$23=""),IF($E$4="(nonblank)",--('Final Calculation Sheet'!$D$23&lt;&gt;""),--ISNUMBER(SEARCH($E$4,'Final Calculation Sheet'!$D$23)))))</f>
        <v/>
      </c>
      <c r="DK78">
        <f>IF($F$4="",1,IF($F$4="(blank)",--('Final Calculation Sheet'!$A$23=""),IF($F$4="(nonblank)",--('Final Calculation Sheet'!$A$23&lt;&gt;""),--ISNUMBER(SEARCH($F$4,'Final Calculation Sheet'!$A$23)))))</f>
        <v/>
      </c>
      <c r="DL78">
        <f>IF($G$4="",1,IF($G$4="(blank)",--('Final Calculation Sheet'!$E$23=""),IF($G$4="(nonblank)",--('Final Calculation Sheet'!$E$23&lt;&gt;""),--ISNUMBER(SEARCH($G$4,'Final Calculation Sheet'!$E$23)))))</f>
        <v/>
      </c>
      <c r="DM78">
        <f>IF($H$4="",1,IF($H$4="(blank)",--('Final Calculation Sheet'!$C$23=""),IF($H$4="(nonblank)",--('Final Calculation Sheet'!$C$23&lt;&gt;""),--ISNUMBER(SEARCH($H$4,'Final Calculation Sheet'!$C$23)))))</f>
        <v/>
      </c>
      <c r="DN78">
        <f>IF($I$4="",1,IF($I$4="(blank)",--('Final Calculation Sheet'!$H$23=""),IF($I$4="(nonblank)",--('Final Calculation Sheet'!$H$23&lt;&gt;""),--ISNUMBER(SEARCH($I$4,'Final Calculation Sheet'!$H$23)))))</f>
        <v/>
      </c>
      <c r="DO78">
        <f>IF($J$4="",1,IF($J$4="(blank)",--('Final Calculation Sheet'!$I$23=""),IF($J$4="(nonblank)",--('Final Calculation Sheet'!$I$23&lt;&gt;""),--ISNUMBER(SEARCH($J$4,'Final Calculation Sheet'!$I$23)))))</f>
        <v/>
      </c>
      <c r="DP78">
        <f>IF($K$4="",1,IF($K$4="(blank)",--('Final Calculation Sheet'!$J$23=""),IF($K$4="(nonblank)",--('Final Calculation Sheet'!$J$23&lt;&gt;""),--ISNUMBER(SEARCH($K$4,'Final Calculation Sheet'!$J$23)))))</f>
        <v/>
      </c>
      <c r="DQ78">
        <f>IF($L$4="",1,IF($L$4="(blank)",--('Final Calculation Sheet'!$K$23=""),IF($L$4="(nonblank)",--('Final Calculation Sheet'!$K$23&lt;&gt;""),--ISNUMBER(SEARCH($L$4,'Final Calculation Sheet'!$K$23)))))</f>
        <v/>
      </c>
      <c r="DR78">
        <f>IF($M$4="",1,IF($M$4="(blank)",--('Final Calculation Sheet'!$L$23=""),IF($M$4="(nonblank)",--('Final Calculation Sheet'!$L$23&lt;&gt;""),--ISNUMBER(SEARCH($M$4,'Final Calculation Sheet'!$L$23)))))</f>
        <v/>
      </c>
      <c r="DS78">
        <f>IF($N$4="",1,IF($N$4="(blank)",--('Final Calculation Sheet'!$M$23=""),IF($N$4="(nonblank)",--('Final Calculation Sheet'!$M$23&lt;&gt;""),--ISNUMBER(SEARCH($N$4,'Final Calculation Sheet'!$M$23)))))</f>
        <v/>
      </c>
      <c r="DT78">
        <f>IF($O$4="",1,IF($O$4="(blank)",--('Final Calculation Sheet'!$N$23=""),IF($O$4="(nonblank)",--('Final Calculation Sheet'!$N$23&lt;&gt;""),--ISNUMBER(SEARCH($O$4,'Final Calculation Sheet'!$N$23)))))</f>
        <v/>
      </c>
      <c r="DU78">
        <f>IF($P$4="",1,IF($P$4="(blank)",--('Final Calculation Sheet'!$O$23=""),IF($P$4="(nonblank)",--('Final Calculation Sheet'!$O$23&lt;&gt;""),--ISNUMBER(SEARCH($P$4,'Final Calculation Sheet'!$O$23)))))</f>
        <v/>
      </c>
      <c r="DV78">
        <f>IF($Q$4="",1,IF($Q$4="(blank)",--('Final Calculation Sheet'!$P$23=""),IF($Q$4="(nonblank)",--('Final Calculation Sheet'!$P$23&lt;&gt;""),--ISNUMBER(SEARCH($Q$4,'Final Calculation Sheet'!$P$23)))))</f>
        <v/>
      </c>
      <c r="DW78">
        <f>IF($R$4="",1,IF($R$4="(blank)",--('Final Calculation Sheet'!$Q$23=""),IF($R$4="(nonblank)",--('Final Calculation Sheet'!$Q$23&lt;&gt;""),--ISNUMBER(SEARCH($R$4,'Final Calculation Sheet'!$Q$23)))))</f>
        <v/>
      </c>
      <c r="DX78">
        <f>IF($S$4="",1,IF($S$4="(blank)",--('Final Calculation Sheet'!$R$23=""),IF($S$4="(nonblank)",--('Final Calculation Sheet'!$R$23&lt;&gt;""),--ISNUMBER(SEARCH($S$4,'Final Calculation Sheet'!$R$23)))))</f>
        <v/>
      </c>
      <c r="DY78">
        <f>IF($T$4="",1,IF($T$4="(blank)",--('Final Calculation Sheet'!$S$23=""),IF($T$4="(nonblank)",--('Final Calculation Sheet'!$S$23&lt;&gt;""),--ISNUMBER(SEARCH($T$4,'Final Calculation Sheet'!$S$23)))))</f>
        <v/>
      </c>
      <c r="DZ78">
        <f>IF($U$4="",1,IF($U$4="(blank)",--('Final Calculation Sheet'!$T$23=""),IF($U$4="(nonblank)",--('Final Calculation Sheet'!$T$23&lt;&gt;""),--ISNUMBER(SEARCH($U$4,'Final Calculation Sheet'!$T$23)))))</f>
        <v/>
      </c>
      <c r="EA78">
        <f>IF($V$4="",1,IF($V$4="(blank)",--('Final Calculation Sheet'!$U$23=""),IF($V$4="(nonblank)",--('Final Calculation Sheet'!$U$23&lt;&gt;""),--ISNUMBER(SEARCH($V$4,'Final Calculation Sheet'!$U$23)))))</f>
        <v/>
      </c>
      <c r="EB78">
        <f>IF($W$4="",1,IF($W$4="(blank)",--('Final Calculation Sheet'!$V$23=""),IF($W$4="(nonblank)",--('Final Calculation Sheet'!$V$23&lt;&gt;""),--ISNUMBER(SEARCH($W$4,'Final Calculation Sheet'!$V$23)))))</f>
        <v/>
      </c>
      <c r="EC78">
        <f>IF($X$4="",1,IF($X$4="(blank)",--('Final Calculation Sheet'!$W$23=""),IF($X$4="(nonblank)",--('Final Calculation Sheet'!$W$23&lt;&gt;""),--ISNUMBER(SEARCH($X$4,'Final Calculation Sheet'!$W$23)))))</f>
        <v/>
      </c>
      <c r="ED78">
        <f>IF($Y$4="",1,IF($Y$4="(blank)",--('Final Calculation Sheet'!$X$23=""),IF($Y$4="(nonblank)",--('Final Calculation Sheet'!$X$23&lt;&gt;""),--ISNUMBER(SEARCH($Y$4,'Final Calculation Sheet'!$X$23)))))</f>
        <v/>
      </c>
      <c r="EE78">
        <f>IF($Z$4="",1,IF($Z$4="(blank)",--('Final Calculation Sheet'!$Y$23=""),IF($Z$4="(nonblank)",--('Final Calculation Sheet'!$Y$23&lt;&gt;""),--ISNUMBER(SEARCH($Z$4,'Final Calculation Sheet'!$Y$23)))))</f>
        <v/>
      </c>
      <c r="EF78">
        <f>IF($AA$4="",1,IF($AA$4="(blank)",--('Final Calculation Sheet'!$Z$23=""),IF($AA$4="(nonblank)",--('Final Calculation Sheet'!$Z$23&lt;&gt;""),--ISNUMBER(SEARCH($AA$4,'Final Calculation Sheet'!$Z$23)))))</f>
        <v/>
      </c>
      <c r="EG78">
        <f>IF($AB$4="",1,IF($AB$4="(blank)",--('Final Calculation Sheet'!$AA$23=""),IF($AB$4="(nonblank)",--('Final Calculation Sheet'!$AA$23&lt;&gt;""),--ISNUMBER(SEARCH($AB$4,'Final Calculation Sheet'!$AA$23)))))</f>
        <v/>
      </c>
      <c r="EH78">
        <f>IF($AC$4="",1,IF($AC$4="(blank)",--('Final Calculation Sheet'!$AB$23=""),IF($AC$4="(nonblank)",--('Final Calculation Sheet'!$AB$23&lt;&gt;""),--ISNUMBER(SEARCH($AC$4,'Final Calculation Sheet'!$AB$23)))))</f>
        <v/>
      </c>
      <c r="EI78">
        <f>IF($AD$4="",1,IF($AD$4="(blank)",--('Final Calculation Sheet'!$AC$23=""),IF($AD$4="(nonblank)",--('Final Calculation Sheet'!$AC$23&lt;&gt;""),--ISNUMBER(SEARCH($AD$4,'Final Calculation Sheet'!$AC$23)))))</f>
        <v/>
      </c>
      <c r="EJ78">
        <f>IF($AE$4="",1,IF($AE$4="(blank)",--('Final Calculation Sheet'!$AD$23=""),IF($AE$4="(nonblank)",--('Final Calculation Sheet'!$AD$23&lt;&gt;""),--ISNUMBER(SEARCH($AE$4,'Final Calculation Sheet'!$AD$23)))))</f>
        <v/>
      </c>
      <c r="EK78">
        <f>IF($AF$4="",1,IF($AF$4="(blank)",--(IF('Final Calculation Sheet'!$AD$23&lt;=5,"SETTLED","OUTSTANDING")=""),IF($AF$4="(nonblank)",--(IF('Final Calculation Sheet'!$AD$23&lt;=5,"SETTLED","OUTSTANDING")&lt;&gt;""),--ISNUMBER(SEARCH($AF$4,IF('Final Calculation Sheet'!$AD$23&lt;=5,"SETTLED","OUTSTANDING"))))))</f>
        <v/>
      </c>
      <c r="EL78">
        <f>IF($AG$4="",1,IF($AG$4="(blank)",--('Final Calculation Sheet'!$AF$23=""),IF($AG$4="(nonblank)",--('Final Calculation Sheet'!$AF$23&lt;&gt;""),--ISNUMBER(SEARCH($AG$4,'Final Calculation Sheet'!$AF$23)))))</f>
        <v/>
      </c>
      <c r="EM78">
        <f>IF($AH$4="",1,IF($AH$4="(blank)",--('Final Calculation Sheet'!$AG$23=""),IF($AH$4="(nonblank)",--('Final Calculation Sheet'!$AG$23&lt;&gt;""),--ISNUMBER(SEARCH($AH$4,'Final Calculation Sheet'!$AG$23)))))</f>
        <v/>
      </c>
      <c r="EN78">
        <f>IF($AI$4="",1,IF($AI$4="(blank)",--('Final Calculation Sheet'!$AH$23=""),IF($AI$4="(nonblank)",--('Final Calculation Sheet'!$AH$23&lt;&gt;""),--ISNUMBER(SEARCH($AI$4,'Final Calculation Sheet'!$AH$23)))))</f>
        <v/>
      </c>
    </row>
    <row r="79">
      <c r="AM79">
        <f>AM78+IF(AND(Lists!$O$26&lt;&gt;"",ISNUMBER(SEARCH($B$4,Lists!$O$26))),1,0)</f>
        <v/>
      </c>
      <c r="AN79">
        <f>IF(ROW()-56&gt;MAX($AM$57:$AM$95),"",INDEX(Lists!$O$4:$O$42,MATCH(ROW()-56,$AM$57:$AM$95,0)))</f>
        <v/>
      </c>
      <c r="AO79">
        <f>AO78+IF(AND(Lists!$T$26&lt;&gt;"",ISNUMBER(SEARCH($C$4,Lists!$T$26))),1,0)</f>
        <v/>
      </c>
      <c r="AP79">
        <f>IF(ROW()-56&gt;MAX($AO$57:$AO$95),"",INDEX(Lists!$T$4:$T$42,MATCH(ROW()-56,$AO$57:$AO$95,0)))</f>
        <v/>
      </c>
      <c r="AQ79">
        <f>AQ78+IF(AND(Lists!$Y$26&lt;&gt;"",ISNUMBER(SEARCH($D$4,Lists!$Y$26))),1,0)</f>
        <v/>
      </c>
      <c r="AR79">
        <f>IF(ROW()-56&gt;MAX($AQ$57:$AQ$95),"",INDEX(Lists!$Y$4:$Y$42,MATCH(ROW()-56,$AQ$57:$AQ$95,0)))</f>
        <v/>
      </c>
      <c r="AS79">
        <f>AS78+IF(AND(Lists!$AD$26&lt;&gt;"",ISNUMBER(SEARCH($E$4,Lists!$AD$26))),1,0)</f>
        <v/>
      </c>
      <c r="AT79">
        <f>IF(ROW()-56&gt;MAX($AS$57:$AS$95),"",INDEX(Lists!$AD$4:$AD$42,MATCH(ROW()-56,$AS$57:$AS$95,0)))</f>
        <v/>
      </c>
      <c r="AU79">
        <f>AU78+IF(AND(Lists!$AI$26&lt;&gt;"",ISNUMBER(SEARCH($F$4,Lists!$AI$26))),1,0)</f>
        <v/>
      </c>
      <c r="AV79">
        <f>IF(ROW()-56&gt;MAX($AU$57:$AU$95),"",INDEX(Lists!$AI$4:$AI$42,MATCH(ROW()-56,$AU$57:$AU$95,0)))</f>
        <v/>
      </c>
      <c r="AW79">
        <f>AW78+IF(AND(Lists!$AN$26&lt;&gt;"",ISNUMBER(SEARCH($G$4,Lists!$AN$26))),1,0)</f>
        <v/>
      </c>
      <c r="AX79">
        <f>IF(ROW()-56&gt;MAX($AW$57:$AW$95),"",INDEX(Lists!$AN$4:$AN$42,MATCH(ROW()-56,$AW$57:$AW$95,0)))</f>
        <v/>
      </c>
      <c r="AY79">
        <f>AY78+IF(AND(Lists!$AS$26&lt;&gt;"",ISNUMBER(SEARCH($H$4,Lists!$AS$26))),1,0)</f>
        <v/>
      </c>
      <c r="AZ79">
        <f>IF(ROW()-56&gt;MAX($AY$57:$AY$95),"",INDEX(Lists!$AS$4:$AS$42,MATCH(ROW()-56,$AY$57:$AY$95,0)))</f>
        <v/>
      </c>
      <c r="BA79">
        <f>BA78+IF(AND(Lists!$AX$26&lt;&gt;"",ISNUMBER(SEARCH($I$4,Lists!$AX$26))),1,0)</f>
        <v/>
      </c>
      <c r="BB79">
        <f>IF(ROW()-56&gt;MAX($BA$57:$BA$95),"",INDEX(Lists!$AX$4:$AX$42,MATCH(ROW()-56,$BA$57:$BA$95,0)))</f>
        <v/>
      </c>
      <c r="BC79">
        <f>BC78+IF(AND(Lists!$BC$26&lt;&gt;"",ISNUMBER(SEARCH($J$4,Lists!$BC$26))),1,0)</f>
        <v/>
      </c>
      <c r="BD79">
        <f>IF(ROW()-56&gt;MAX($BC$57:$BC$95),"",INDEX(Lists!$BC$4:$BC$42,MATCH(ROW()-56,$BC$57:$BC$95,0)))</f>
        <v/>
      </c>
      <c r="BE79">
        <f>BE78+IF(AND(Lists!$BH$26&lt;&gt;"",ISNUMBER(SEARCH($K$4,Lists!$BH$26))),1,0)</f>
        <v/>
      </c>
      <c r="BF79">
        <f>IF(ROW()-56&gt;MAX($BE$57:$BE$95),"",INDEX(Lists!$BH$4:$BH$42,MATCH(ROW()-56,$BE$57:$BE$95,0)))</f>
        <v/>
      </c>
      <c r="BG79">
        <f>BG78+IF(AND(Lists!$BM$26&lt;&gt;"",ISNUMBER(SEARCH($L$4,Lists!$BM$26))),1,0)</f>
        <v/>
      </c>
      <c r="BH79">
        <f>IF(ROW()-56&gt;MAX($BG$57:$BG$95),"",INDEX(Lists!$BM$4:$BM$42,MATCH(ROW()-56,$BG$57:$BG$95,0)))</f>
        <v/>
      </c>
      <c r="BI79">
        <f>BI78+IF(AND(Lists!$BR$26&lt;&gt;"",ISNUMBER(SEARCH($M$4,Lists!$BR$26))),1,0)</f>
        <v/>
      </c>
      <c r="BJ79">
        <f>IF(ROW()-56&gt;MAX($BI$57:$BI$95),"",INDEX(Lists!$BR$4:$BR$42,MATCH(ROW()-56,$BI$57:$BI$95,0)))</f>
        <v/>
      </c>
      <c r="BK79">
        <f>BK78+IF(AND(Lists!$BW$26&lt;&gt;"",ISNUMBER(SEARCH($N$4,Lists!$BW$26))),1,0)</f>
        <v/>
      </c>
      <c r="BL79">
        <f>IF(ROW()-56&gt;MAX($BK$57:$BK$95),"",INDEX(Lists!$BW$4:$BW$42,MATCH(ROW()-56,$BK$57:$BK$95,0)))</f>
        <v/>
      </c>
      <c r="BM79">
        <f>BM78+IF(AND(Lists!$CB$26&lt;&gt;"",ISNUMBER(SEARCH($O$4,Lists!$CB$26))),1,0)</f>
        <v/>
      </c>
      <c r="BN79">
        <f>IF(ROW()-56&gt;MAX($BM$57:$BM$95),"",INDEX(Lists!$CB$4:$CB$42,MATCH(ROW()-56,$BM$57:$BM$95,0)))</f>
        <v/>
      </c>
      <c r="BO79">
        <f>BO78+IF(AND(Lists!$CG$26&lt;&gt;"",ISNUMBER(SEARCH($P$4,Lists!$CG$26))),1,0)</f>
        <v/>
      </c>
      <c r="BP79">
        <f>IF(ROW()-56&gt;MAX($BO$57:$BO$95),"",INDEX(Lists!$CG$4:$CG$42,MATCH(ROW()-56,$BO$57:$BO$95,0)))</f>
        <v/>
      </c>
      <c r="BQ79">
        <f>BQ78+IF(AND(Lists!$CL$26&lt;&gt;"",ISNUMBER(SEARCH($Q$4,Lists!$CL$26))),1,0)</f>
        <v/>
      </c>
      <c r="BR79">
        <f>IF(ROW()-56&gt;MAX($BQ$57:$BQ$95),"",INDEX(Lists!$CL$4:$CL$42,MATCH(ROW()-56,$BQ$57:$BQ$95,0)))</f>
        <v/>
      </c>
      <c r="BS79">
        <f>BS78+IF(AND(Lists!$CQ$26&lt;&gt;"",ISNUMBER(SEARCH($R$4,Lists!$CQ$26))),1,0)</f>
        <v/>
      </c>
      <c r="BT79">
        <f>IF(ROW()-56&gt;MAX($BS$57:$BS$95),"",INDEX(Lists!$CQ$4:$CQ$42,MATCH(ROW()-56,$BS$57:$BS$95,0)))</f>
        <v/>
      </c>
      <c r="BU79">
        <f>BU78+IF(AND(Lists!$CV$26&lt;&gt;"",ISNUMBER(SEARCH($S$4,Lists!$CV$26))),1,0)</f>
        <v/>
      </c>
      <c r="BV79">
        <f>IF(ROW()-56&gt;MAX($BU$57:$BU$95),"",INDEX(Lists!$CV$4:$CV$42,MATCH(ROW()-56,$BU$57:$BU$95,0)))</f>
        <v/>
      </c>
      <c r="BW79">
        <f>BW78+IF(AND(Lists!$DA$26&lt;&gt;"",ISNUMBER(SEARCH($T$4,Lists!$DA$26))),1,0)</f>
        <v/>
      </c>
      <c r="BX79">
        <f>IF(ROW()-56&gt;MAX($BW$57:$BW$95),"",INDEX(Lists!$DA$4:$DA$42,MATCH(ROW()-56,$BW$57:$BW$95,0)))</f>
        <v/>
      </c>
      <c r="BY79">
        <f>BY78+IF(AND(Lists!$DF$26&lt;&gt;"",ISNUMBER(SEARCH($U$4,Lists!$DF$26))),1,0)</f>
        <v/>
      </c>
      <c r="BZ79">
        <f>IF(ROW()-56&gt;MAX($BY$57:$BY$95),"",INDEX(Lists!$DF$4:$DF$42,MATCH(ROW()-56,$BY$57:$BY$95,0)))</f>
        <v/>
      </c>
      <c r="CA79">
        <f>CA78+IF(AND(Lists!$DK$26&lt;&gt;"",ISNUMBER(SEARCH($V$4,Lists!$DK$26))),1,0)</f>
        <v/>
      </c>
      <c r="CB79">
        <f>IF(ROW()-56&gt;MAX($CA$57:$CA$95),"",INDEX(Lists!$DK$4:$DK$42,MATCH(ROW()-56,$CA$57:$CA$95,0)))</f>
        <v/>
      </c>
      <c r="CC79">
        <f>CC78+IF(AND(Lists!$DP$26&lt;&gt;"",ISNUMBER(SEARCH($W$4,Lists!$DP$26))),1,0)</f>
        <v/>
      </c>
      <c r="CD79">
        <f>IF(ROW()-56&gt;MAX($CC$57:$CC$95),"",INDEX(Lists!$DP$4:$DP$42,MATCH(ROW()-56,$CC$57:$CC$95,0)))</f>
        <v/>
      </c>
      <c r="CE79">
        <f>CE78+IF(AND(Lists!$DU$26&lt;&gt;"",ISNUMBER(SEARCH($X$4,Lists!$DU$26))),1,0)</f>
        <v/>
      </c>
      <c r="CF79">
        <f>IF(ROW()-56&gt;MAX($CE$57:$CE$95),"",INDEX(Lists!$DU$4:$DU$42,MATCH(ROW()-56,$CE$57:$CE$95,0)))</f>
        <v/>
      </c>
      <c r="CG79">
        <f>CG78+IF(AND(Lists!$DZ$26&lt;&gt;"",ISNUMBER(SEARCH($Y$4,Lists!$DZ$26))),1,0)</f>
        <v/>
      </c>
      <c r="CH79">
        <f>IF(ROW()-56&gt;MAX($CG$57:$CG$95),"",INDEX(Lists!$DZ$4:$DZ$42,MATCH(ROW()-56,$CG$57:$CG$95,0)))</f>
        <v/>
      </c>
      <c r="CI79">
        <f>CI78+IF(AND(Lists!$EE$26&lt;&gt;"",ISNUMBER(SEARCH($Z$4,Lists!$EE$26))),1,0)</f>
        <v/>
      </c>
      <c r="CJ79">
        <f>IF(ROW()-56&gt;MAX($CI$57:$CI$95),"",INDEX(Lists!$EE$4:$EE$42,MATCH(ROW()-56,$CI$57:$CI$95,0)))</f>
        <v/>
      </c>
      <c r="CK79">
        <f>CK78+IF(AND(Lists!$EJ$26&lt;&gt;"",ISNUMBER(SEARCH($AA$4,Lists!$EJ$26))),1,0)</f>
        <v/>
      </c>
      <c r="CL79">
        <f>IF(ROW()-56&gt;MAX($CK$57:$CK$95),"",INDEX(Lists!$EJ$4:$EJ$42,MATCH(ROW()-56,$CK$57:$CK$95,0)))</f>
        <v/>
      </c>
      <c r="CM79">
        <f>CM78+IF(AND(Lists!$EO$26&lt;&gt;"",ISNUMBER(SEARCH($AB$4,Lists!$EO$26))),1,0)</f>
        <v/>
      </c>
      <c r="CN79">
        <f>IF(ROW()-56&gt;MAX($CM$57:$CM$95),"",INDEX(Lists!$EO$4:$EO$42,MATCH(ROW()-56,$CM$57:$CM$95,0)))</f>
        <v/>
      </c>
      <c r="CO79">
        <f>CO78+IF(AND(Lists!$ET$26&lt;&gt;"",ISNUMBER(SEARCH($AC$4,Lists!$ET$26))),1,0)</f>
        <v/>
      </c>
      <c r="CP79">
        <f>IF(ROW()-56&gt;MAX($CO$57:$CO$95),"",INDEX(Lists!$ET$4:$ET$42,MATCH(ROW()-56,$CO$57:$CO$95,0)))</f>
        <v/>
      </c>
      <c r="CQ79">
        <f>CQ78+IF(AND(Lists!$EY$26&lt;&gt;"",ISNUMBER(SEARCH($AD$4,Lists!$EY$26))),1,0)</f>
        <v/>
      </c>
      <c r="CR79">
        <f>IF(ROW()-56&gt;MAX($CQ$57:$CQ$95),"",INDEX(Lists!$EY$4:$EY$42,MATCH(ROW()-56,$CQ$57:$CQ$95,0)))</f>
        <v/>
      </c>
      <c r="CS79">
        <f>CS78+IF(AND(Lists!$FD$26&lt;&gt;"",ISNUMBER(SEARCH($AE$4,Lists!$FD$26))),1,0)</f>
        <v/>
      </c>
      <c r="CT79">
        <f>IF(ROW()-56&gt;MAX($CS$57:$CS$95),"",INDEX(Lists!$FD$4:$FD$42,MATCH(ROW()-56,$CS$57:$CS$95,0)))</f>
        <v/>
      </c>
      <c r="CU79">
        <f>CU78+IF(AND(Lists!$FI$26&lt;&gt;"",ISNUMBER(SEARCH($AG$4,Lists!$FI$26))),1,0)</f>
        <v/>
      </c>
      <c r="CV79">
        <f>IF(ROW()-56&gt;MAX($CU$57:$CU$95),"",INDEX(Lists!$FI$4:$FI$42,MATCH(ROW()-56,$CU$57:$CU$95,0)))</f>
        <v/>
      </c>
      <c r="CW79">
        <f>CW78+IF(AND(Lists!$FN$26&lt;&gt;"",ISNUMBER(SEARCH($AH$4,Lists!$FN$26))),1,0)</f>
        <v/>
      </c>
      <c r="CX79">
        <f>IF(ROW()-56&gt;MAX($CW$57:$CW$95),"",INDEX(Lists!$FN$4:$FN$42,MATCH(ROW()-56,$CW$57:$CW$95,0)))</f>
        <v/>
      </c>
      <c r="CY79">
        <f>CY78+IF(AND(Lists!$FS$26&lt;&gt;"",ISNUMBER(SEARCH($AI$4,Lists!$FS$26))),1,0)</f>
        <v/>
      </c>
      <c r="CZ79">
        <f>IF(ROW()-56&gt;MAX($CY$57:$CY$95),"",INDEX(Lists!$FS$4:$FS$42,MATCH(ROW()-56,$CY$57:$CY$95,0)))</f>
        <v/>
      </c>
      <c r="DA79">
        <f>DA78+IF(AND(Lists!$FX$26&lt;&gt;"",ISNUMBER(SEARCH($AF$4,Lists!$FX$26))),1,0)</f>
        <v/>
      </c>
      <c r="DB79">
        <f>IF(ROW()-56&gt;MAX($DA$57:$DA$95),"",INDEX(Lists!$FX$4:$FX$42,MATCH(ROW()-56,$DA$57:$DA$95,0)))</f>
        <v/>
      </c>
      <c r="DG79">
        <f>IF($B$4="",1,IF($B$4="(blank)",--('Final Calculation Sheet'!$F$24=""),IF($B$4="(nonblank)",--('Final Calculation Sheet'!$F$24&lt;&gt;""),--ISNUMBER(SEARCH($B$4,'Final Calculation Sheet'!$F$24)))))</f>
        <v/>
      </c>
      <c r="DH79">
        <f>IF($C$4="",1,IF($C$4="(blank)",--('Final Calculation Sheet'!$G$24=""),IF($C$4="(nonblank)",--('Final Calculation Sheet'!$G$24&lt;&gt;""),--ISNUMBER(SEARCH($C$4,'Final Calculation Sheet'!$G$24)))))</f>
        <v/>
      </c>
      <c r="DI79">
        <f>IF($D$4="",1,IF($D$4="(blank)",--('Final Calculation Sheet'!$B$24=""),IF($D$4="(nonblank)",--('Final Calculation Sheet'!$B$24&lt;&gt;""),--ISNUMBER(SEARCH($D$4,'Final Calculation Sheet'!$B$24)))))</f>
        <v/>
      </c>
      <c r="DJ79">
        <f>IF($E$4="",1,IF($E$4="(blank)",--('Final Calculation Sheet'!$D$24=""),IF($E$4="(nonblank)",--('Final Calculation Sheet'!$D$24&lt;&gt;""),--ISNUMBER(SEARCH($E$4,'Final Calculation Sheet'!$D$24)))))</f>
        <v/>
      </c>
      <c r="DK79">
        <f>IF($F$4="",1,IF($F$4="(blank)",--('Final Calculation Sheet'!$A$24=""),IF($F$4="(nonblank)",--('Final Calculation Sheet'!$A$24&lt;&gt;""),--ISNUMBER(SEARCH($F$4,'Final Calculation Sheet'!$A$24)))))</f>
        <v/>
      </c>
      <c r="DL79">
        <f>IF($G$4="",1,IF($G$4="(blank)",--('Final Calculation Sheet'!$E$24=""),IF($G$4="(nonblank)",--('Final Calculation Sheet'!$E$24&lt;&gt;""),--ISNUMBER(SEARCH($G$4,'Final Calculation Sheet'!$E$24)))))</f>
        <v/>
      </c>
      <c r="DM79">
        <f>IF($H$4="",1,IF($H$4="(blank)",--('Final Calculation Sheet'!$C$24=""),IF($H$4="(nonblank)",--('Final Calculation Sheet'!$C$24&lt;&gt;""),--ISNUMBER(SEARCH($H$4,'Final Calculation Sheet'!$C$24)))))</f>
        <v/>
      </c>
      <c r="DN79">
        <f>IF($I$4="",1,IF($I$4="(blank)",--('Final Calculation Sheet'!$H$24=""),IF($I$4="(nonblank)",--('Final Calculation Sheet'!$H$24&lt;&gt;""),--ISNUMBER(SEARCH($I$4,'Final Calculation Sheet'!$H$24)))))</f>
        <v/>
      </c>
      <c r="DO79">
        <f>IF($J$4="",1,IF($J$4="(blank)",--('Final Calculation Sheet'!$I$24=""),IF($J$4="(nonblank)",--('Final Calculation Sheet'!$I$24&lt;&gt;""),--ISNUMBER(SEARCH($J$4,'Final Calculation Sheet'!$I$24)))))</f>
        <v/>
      </c>
      <c r="DP79">
        <f>IF($K$4="",1,IF($K$4="(blank)",--('Final Calculation Sheet'!$J$24=""),IF($K$4="(nonblank)",--('Final Calculation Sheet'!$J$24&lt;&gt;""),--ISNUMBER(SEARCH($K$4,'Final Calculation Sheet'!$J$24)))))</f>
        <v/>
      </c>
      <c r="DQ79">
        <f>IF($L$4="",1,IF($L$4="(blank)",--('Final Calculation Sheet'!$K$24=""),IF($L$4="(nonblank)",--('Final Calculation Sheet'!$K$24&lt;&gt;""),--ISNUMBER(SEARCH($L$4,'Final Calculation Sheet'!$K$24)))))</f>
        <v/>
      </c>
      <c r="DR79">
        <f>IF($M$4="",1,IF($M$4="(blank)",--('Final Calculation Sheet'!$L$24=""),IF($M$4="(nonblank)",--('Final Calculation Sheet'!$L$24&lt;&gt;""),--ISNUMBER(SEARCH($M$4,'Final Calculation Sheet'!$L$24)))))</f>
        <v/>
      </c>
      <c r="DS79">
        <f>IF($N$4="",1,IF($N$4="(blank)",--('Final Calculation Sheet'!$M$24=""),IF($N$4="(nonblank)",--('Final Calculation Sheet'!$M$24&lt;&gt;""),--ISNUMBER(SEARCH($N$4,'Final Calculation Sheet'!$M$24)))))</f>
        <v/>
      </c>
      <c r="DT79">
        <f>IF($O$4="",1,IF($O$4="(blank)",--('Final Calculation Sheet'!$N$24=""),IF($O$4="(nonblank)",--('Final Calculation Sheet'!$N$24&lt;&gt;""),--ISNUMBER(SEARCH($O$4,'Final Calculation Sheet'!$N$24)))))</f>
        <v/>
      </c>
      <c r="DU79">
        <f>IF($P$4="",1,IF($P$4="(blank)",--('Final Calculation Sheet'!$O$24=""),IF($P$4="(nonblank)",--('Final Calculation Sheet'!$O$24&lt;&gt;""),--ISNUMBER(SEARCH($P$4,'Final Calculation Sheet'!$O$24)))))</f>
        <v/>
      </c>
      <c r="DV79">
        <f>IF($Q$4="",1,IF($Q$4="(blank)",--('Final Calculation Sheet'!$P$24=""),IF($Q$4="(nonblank)",--('Final Calculation Sheet'!$P$24&lt;&gt;""),--ISNUMBER(SEARCH($Q$4,'Final Calculation Sheet'!$P$24)))))</f>
        <v/>
      </c>
      <c r="DW79">
        <f>IF($R$4="",1,IF($R$4="(blank)",--('Final Calculation Sheet'!$Q$24=""),IF($R$4="(nonblank)",--('Final Calculation Sheet'!$Q$24&lt;&gt;""),--ISNUMBER(SEARCH($R$4,'Final Calculation Sheet'!$Q$24)))))</f>
        <v/>
      </c>
      <c r="DX79">
        <f>IF($S$4="",1,IF($S$4="(blank)",--('Final Calculation Sheet'!$R$24=""),IF($S$4="(nonblank)",--('Final Calculation Sheet'!$R$24&lt;&gt;""),--ISNUMBER(SEARCH($S$4,'Final Calculation Sheet'!$R$24)))))</f>
        <v/>
      </c>
      <c r="DY79">
        <f>IF($T$4="",1,IF($T$4="(blank)",--('Final Calculation Sheet'!$S$24=""),IF($T$4="(nonblank)",--('Final Calculation Sheet'!$S$24&lt;&gt;""),--ISNUMBER(SEARCH($T$4,'Final Calculation Sheet'!$S$24)))))</f>
        <v/>
      </c>
      <c r="DZ79">
        <f>IF($U$4="",1,IF($U$4="(blank)",--('Final Calculation Sheet'!$T$24=""),IF($U$4="(nonblank)",--('Final Calculation Sheet'!$T$24&lt;&gt;""),--ISNUMBER(SEARCH($U$4,'Final Calculation Sheet'!$T$24)))))</f>
        <v/>
      </c>
      <c r="EA79">
        <f>IF($V$4="",1,IF($V$4="(blank)",--('Final Calculation Sheet'!$U$24=""),IF($V$4="(nonblank)",--('Final Calculation Sheet'!$U$24&lt;&gt;""),--ISNUMBER(SEARCH($V$4,'Final Calculation Sheet'!$U$24)))))</f>
        <v/>
      </c>
      <c r="EB79">
        <f>IF($W$4="",1,IF($W$4="(blank)",--('Final Calculation Sheet'!$V$24=""),IF($W$4="(nonblank)",--('Final Calculation Sheet'!$V$24&lt;&gt;""),--ISNUMBER(SEARCH($W$4,'Final Calculation Sheet'!$V$24)))))</f>
        <v/>
      </c>
      <c r="EC79">
        <f>IF($X$4="",1,IF($X$4="(blank)",--('Final Calculation Sheet'!$W$24=""),IF($X$4="(nonblank)",--('Final Calculation Sheet'!$W$24&lt;&gt;""),--ISNUMBER(SEARCH($X$4,'Final Calculation Sheet'!$W$24)))))</f>
        <v/>
      </c>
      <c r="ED79">
        <f>IF($Y$4="",1,IF($Y$4="(blank)",--('Final Calculation Sheet'!$X$24=""),IF($Y$4="(nonblank)",--('Final Calculation Sheet'!$X$24&lt;&gt;""),--ISNUMBER(SEARCH($Y$4,'Final Calculation Sheet'!$X$24)))))</f>
        <v/>
      </c>
      <c r="EE79">
        <f>IF($Z$4="",1,IF($Z$4="(blank)",--('Final Calculation Sheet'!$Y$24=""),IF($Z$4="(nonblank)",--('Final Calculation Sheet'!$Y$24&lt;&gt;""),--ISNUMBER(SEARCH($Z$4,'Final Calculation Sheet'!$Y$24)))))</f>
        <v/>
      </c>
      <c r="EF79">
        <f>IF($AA$4="",1,IF($AA$4="(blank)",--('Final Calculation Sheet'!$Z$24=""),IF($AA$4="(nonblank)",--('Final Calculation Sheet'!$Z$24&lt;&gt;""),--ISNUMBER(SEARCH($AA$4,'Final Calculation Sheet'!$Z$24)))))</f>
        <v/>
      </c>
      <c r="EG79">
        <f>IF($AB$4="",1,IF($AB$4="(blank)",--('Final Calculation Sheet'!$AA$24=""),IF($AB$4="(nonblank)",--('Final Calculation Sheet'!$AA$24&lt;&gt;""),--ISNUMBER(SEARCH($AB$4,'Final Calculation Sheet'!$AA$24)))))</f>
        <v/>
      </c>
      <c r="EH79">
        <f>IF($AC$4="",1,IF($AC$4="(blank)",--('Final Calculation Sheet'!$AB$24=""),IF($AC$4="(nonblank)",--('Final Calculation Sheet'!$AB$24&lt;&gt;""),--ISNUMBER(SEARCH($AC$4,'Final Calculation Sheet'!$AB$24)))))</f>
        <v/>
      </c>
      <c r="EI79">
        <f>IF($AD$4="",1,IF($AD$4="(blank)",--('Final Calculation Sheet'!$AC$24=""),IF($AD$4="(nonblank)",--('Final Calculation Sheet'!$AC$24&lt;&gt;""),--ISNUMBER(SEARCH($AD$4,'Final Calculation Sheet'!$AC$24)))))</f>
        <v/>
      </c>
      <c r="EJ79">
        <f>IF($AE$4="",1,IF($AE$4="(blank)",--('Final Calculation Sheet'!$AD$24=""),IF($AE$4="(nonblank)",--('Final Calculation Sheet'!$AD$24&lt;&gt;""),--ISNUMBER(SEARCH($AE$4,'Final Calculation Sheet'!$AD$24)))))</f>
        <v/>
      </c>
      <c r="EK79">
        <f>IF($AF$4="",1,IF($AF$4="(blank)",--(IF('Final Calculation Sheet'!$AD$24&lt;=5,"SETTLED","OUTSTANDING")=""),IF($AF$4="(nonblank)",--(IF('Final Calculation Sheet'!$AD$24&lt;=5,"SETTLED","OUTSTANDING")&lt;&gt;""),--ISNUMBER(SEARCH($AF$4,IF('Final Calculation Sheet'!$AD$24&lt;=5,"SETTLED","OUTSTANDING"))))))</f>
        <v/>
      </c>
      <c r="EL79">
        <f>IF($AG$4="",1,IF($AG$4="(blank)",--('Final Calculation Sheet'!$AF$24=""),IF($AG$4="(nonblank)",--('Final Calculation Sheet'!$AF$24&lt;&gt;""),--ISNUMBER(SEARCH($AG$4,'Final Calculation Sheet'!$AF$24)))))</f>
        <v/>
      </c>
      <c r="EM79">
        <f>IF($AH$4="",1,IF($AH$4="(blank)",--('Final Calculation Sheet'!$AG$24=""),IF($AH$4="(nonblank)",--('Final Calculation Sheet'!$AG$24&lt;&gt;""),--ISNUMBER(SEARCH($AH$4,'Final Calculation Sheet'!$AG$24)))))</f>
        <v/>
      </c>
      <c r="EN79">
        <f>IF($AI$4="",1,IF($AI$4="(blank)",--('Final Calculation Sheet'!$AH$24=""),IF($AI$4="(nonblank)",--('Final Calculation Sheet'!$AH$24&lt;&gt;""),--ISNUMBER(SEARCH($AI$4,'Final Calculation Sheet'!$AH$24)))))</f>
        <v/>
      </c>
    </row>
    <row r="80">
      <c r="AM80">
        <f>AM79+IF(AND(Lists!$O$27&lt;&gt;"",ISNUMBER(SEARCH($B$4,Lists!$O$27))),1,0)</f>
        <v/>
      </c>
      <c r="AN80">
        <f>IF(ROW()-56&gt;MAX($AM$57:$AM$95),"",INDEX(Lists!$O$4:$O$42,MATCH(ROW()-56,$AM$57:$AM$95,0)))</f>
        <v/>
      </c>
      <c r="AO80">
        <f>AO79+IF(AND(Lists!$T$27&lt;&gt;"",ISNUMBER(SEARCH($C$4,Lists!$T$27))),1,0)</f>
        <v/>
      </c>
      <c r="AP80">
        <f>IF(ROW()-56&gt;MAX($AO$57:$AO$95),"",INDEX(Lists!$T$4:$T$42,MATCH(ROW()-56,$AO$57:$AO$95,0)))</f>
        <v/>
      </c>
      <c r="AQ80">
        <f>AQ79+IF(AND(Lists!$Y$27&lt;&gt;"",ISNUMBER(SEARCH($D$4,Lists!$Y$27))),1,0)</f>
        <v/>
      </c>
      <c r="AR80">
        <f>IF(ROW()-56&gt;MAX($AQ$57:$AQ$95),"",INDEX(Lists!$Y$4:$Y$42,MATCH(ROW()-56,$AQ$57:$AQ$95,0)))</f>
        <v/>
      </c>
      <c r="AS80">
        <f>AS79+IF(AND(Lists!$AD$27&lt;&gt;"",ISNUMBER(SEARCH($E$4,Lists!$AD$27))),1,0)</f>
        <v/>
      </c>
      <c r="AT80">
        <f>IF(ROW()-56&gt;MAX($AS$57:$AS$95),"",INDEX(Lists!$AD$4:$AD$42,MATCH(ROW()-56,$AS$57:$AS$95,0)))</f>
        <v/>
      </c>
      <c r="AU80">
        <f>AU79+IF(AND(Lists!$AI$27&lt;&gt;"",ISNUMBER(SEARCH($F$4,Lists!$AI$27))),1,0)</f>
        <v/>
      </c>
      <c r="AV80">
        <f>IF(ROW()-56&gt;MAX($AU$57:$AU$95),"",INDEX(Lists!$AI$4:$AI$42,MATCH(ROW()-56,$AU$57:$AU$95,0)))</f>
        <v/>
      </c>
      <c r="AW80">
        <f>AW79+IF(AND(Lists!$AN$27&lt;&gt;"",ISNUMBER(SEARCH($G$4,Lists!$AN$27))),1,0)</f>
        <v/>
      </c>
      <c r="AX80">
        <f>IF(ROW()-56&gt;MAX($AW$57:$AW$95),"",INDEX(Lists!$AN$4:$AN$42,MATCH(ROW()-56,$AW$57:$AW$95,0)))</f>
        <v/>
      </c>
      <c r="AY80">
        <f>AY79+IF(AND(Lists!$AS$27&lt;&gt;"",ISNUMBER(SEARCH($H$4,Lists!$AS$27))),1,0)</f>
        <v/>
      </c>
      <c r="AZ80">
        <f>IF(ROW()-56&gt;MAX($AY$57:$AY$95),"",INDEX(Lists!$AS$4:$AS$42,MATCH(ROW()-56,$AY$57:$AY$95,0)))</f>
        <v/>
      </c>
      <c r="BA80">
        <f>BA79+IF(AND(Lists!$AX$27&lt;&gt;"",ISNUMBER(SEARCH($I$4,Lists!$AX$27))),1,0)</f>
        <v/>
      </c>
      <c r="BB80">
        <f>IF(ROW()-56&gt;MAX($BA$57:$BA$95),"",INDEX(Lists!$AX$4:$AX$42,MATCH(ROW()-56,$BA$57:$BA$95,0)))</f>
        <v/>
      </c>
      <c r="BC80">
        <f>BC79+IF(AND(Lists!$BC$27&lt;&gt;"",ISNUMBER(SEARCH($J$4,Lists!$BC$27))),1,0)</f>
        <v/>
      </c>
      <c r="BD80">
        <f>IF(ROW()-56&gt;MAX($BC$57:$BC$95),"",INDEX(Lists!$BC$4:$BC$42,MATCH(ROW()-56,$BC$57:$BC$95,0)))</f>
        <v/>
      </c>
      <c r="BE80">
        <f>BE79+IF(AND(Lists!$BH$27&lt;&gt;"",ISNUMBER(SEARCH($K$4,Lists!$BH$27))),1,0)</f>
        <v/>
      </c>
      <c r="BF80">
        <f>IF(ROW()-56&gt;MAX($BE$57:$BE$95),"",INDEX(Lists!$BH$4:$BH$42,MATCH(ROW()-56,$BE$57:$BE$95,0)))</f>
        <v/>
      </c>
      <c r="BG80">
        <f>BG79+IF(AND(Lists!$BM$27&lt;&gt;"",ISNUMBER(SEARCH($L$4,Lists!$BM$27))),1,0)</f>
        <v/>
      </c>
      <c r="BH80">
        <f>IF(ROW()-56&gt;MAX($BG$57:$BG$95),"",INDEX(Lists!$BM$4:$BM$42,MATCH(ROW()-56,$BG$57:$BG$95,0)))</f>
        <v/>
      </c>
      <c r="BI80">
        <f>BI79+IF(AND(Lists!$BR$27&lt;&gt;"",ISNUMBER(SEARCH($M$4,Lists!$BR$27))),1,0)</f>
        <v/>
      </c>
      <c r="BJ80">
        <f>IF(ROW()-56&gt;MAX($BI$57:$BI$95),"",INDEX(Lists!$BR$4:$BR$42,MATCH(ROW()-56,$BI$57:$BI$95,0)))</f>
        <v/>
      </c>
      <c r="BK80">
        <f>BK79+IF(AND(Lists!$BW$27&lt;&gt;"",ISNUMBER(SEARCH($N$4,Lists!$BW$27))),1,0)</f>
        <v/>
      </c>
      <c r="BL80">
        <f>IF(ROW()-56&gt;MAX($BK$57:$BK$95),"",INDEX(Lists!$BW$4:$BW$42,MATCH(ROW()-56,$BK$57:$BK$95,0)))</f>
        <v/>
      </c>
      <c r="BM80">
        <f>BM79+IF(AND(Lists!$CB$27&lt;&gt;"",ISNUMBER(SEARCH($O$4,Lists!$CB$27))),1,0)</f>
        <v/>
      </c>
      <c r="BN80">
        <f>IF(ROW()-56&gt;MAX($BM$57:$BM$95),"",INDEX(Lists!$CB$4:$CB$42,MATCH(ROW()-56,$BM$57:$BM$95,0)))</f>
        <v/>
      </c>
      <c r="BO80">
        <f>BO79+IF(AND(Lists!$CG$27&lt;&gt;"",ISNUMBER(SEARCH($P$4,Lists!$CG$27))),1,0)</f>
        <v/>
      </c>
      <c r="BP80">
        <f>IF(ROW()-56&gt;MAX($BO$57:$BO$95),"",INDEX(Lists!$CG$4:$CG$42,MATCH(ROW()-56,$BO$57:$BO$95,0)))</f>
        <v/>
      </c>
      <c r="BQ80">
        <f>BQ79+IF(AND(Lists!$CL$27&lt;&gt;"",ISNUMBER(SEARCH($Q$4,Lists!$CL$27))),1,0)</f>
        <v/>
      </c>
      <c r="BR80">
        <f>IF(ROW()-56&gt;MAX($BQ$57:$BQ$95),"",INDEX(Lists!$CL$4:$CL$42,MATCH(ROW()-56,$BQ$57:$BQ$95,0)))</f>
        <v/>
      </c>
      <c r="BS80">
        <f>BS79+IF(AND(Lists!$CQ$27&lt;&gt;"",ISNUMBER(SEARCH($R$4,Lists!$CQ$27))),1,0)</f>
        <v/>
      </c>
      <c r="BT80">
        <f>IF(ROW()-56&gt;MAX($BS$57:$BS$95),"",INDEX(Lists!$CQ$4:$CQ$42,MATCH(ROW()-56,$BS$57:$BS$95,0)))</f>
        <v/>
      </c>
      <c r="BU80">
        <f>BU79+IF(AND(Lists!$CV$27&lt;&gt;"",ISNUMBER(SEARCH($S$4,Lists!$CV$27))),1,0)</f>
        <v/>
      </c>
      <c r="BV80">
        <f>IF(ROW()-56&gt;MAX($BU$57:$BU$95),"",INDEX(Lists!$CV$4:$CV$42,MATCH(ROW()-56,$BU$57:$BU$95,0)))</f>
        <v/>
      </c>
      <c r="BW80">
        <f>BW79+IF(AND(Lists!$DA$27&lt;&gt;"",ISNUMBER(SEARCH($T$4,Lists!$DA$27))),1,0)</f>
        <v/>
      </c>
      <c r="BX80">
        <f>IF(ROW()-56&gt;MAX($BW$57:$BW$95),"",INDEX(Lists!$DA$4:$DA$42,MATCH(ROW()-56,$BW$57:$BW$95,0)))</f>
        <v/>
      </c>
      <c r="BY80">
        <f>BY79+IF(AND(Lists!$DF$27&lt;&gt;"",ISNUMBER(SEARCH($U$4,Lists!$DF$27))),1,0)</f>
        <v/>
      </c>
      <c r="BZ80">
        <f>IF(ROW()-56&gt;MAX($BY$57:$BY$95),"",INDEX(Lists!$DF$4:$DF$42,MATCH(ROW()-56,$BY$57:$BY$95,0)))</f>
        <v/>
      </c>
      <c r="CA80">
        <f>CA79+IF(AND(Lists!$DK$27&lt;&gt;"",ISNUMBER(SEARCH($V$4,Lists!$DK$27))),1,0)</f>
        <v/>
      </c>
      <c r="CB80">
        <f>IF(ROW()-56&gt;MAX($CA$57:$CA$95),"",INDEX(Lists!$DK$4:$DK$42,MATCH(ROW()-56,$CA$57:$CA$95,0)))</f>
        <v/>
      </c>
      <c r="CC80">
        <f>CC79+IF(AND(Lists!$DP$27&lt;&gt;"",ISNUMBER(SEARCH($W$4,Lists!$DP$27))),1,0)</f>
        <v/>
      </c>
      <c r="CD80">
        <f>IF(ROW()-56&gt;MAX($CC$57:$CC$95),"",INDEX(Lists!$DP$4:$DP$42,MATCH(ROW()-56,$CC$57:$CC$95,0)))</f>
        <v/>
      </c>
      <c r="CE80">
        <f>CE79+IF(AND(Lists!$DU$27&lt;&gt;"",ISNUMBER(SEARCH($X$4,Lists!$DU$27))),1,0)</f>
        <v/>
      </c>
      <c r="CF80">
        <f>IF(ROW()-56&gt;MAX($CE$57:$CE$95),"",INDEX(Lists!$DU$4:$DU$42,MATCH(ROW()-56,$CE$57:$CE$95,0)))</f>
        <v/>
      </c>
      <c r="CG80">
        <f>CG79+IF(AND(Lists!$DZ$27&lt;&gt;"",ISNUMBER(SEARCH($Y$4,Lists!$DZ$27))),1,0)</f>
        <v/>
      </c>
      <c r="CH80">
        <f>IF(ROW()-56&gt;MAX($CG$57:$CG$95),"",INDEX(Lists!$DZ$4:$DZ$42,MATCH(ROW()-56,$CG$57:$CG$95,0)))</f>
        <v/>
      </c>
      <c r="CI80">
        <f>CI79+IF(AND(Lists!$EE$27&lt;&gt;"",ISNUMBER(SEARCH($Z$4,Lists!$EE$27))),1,0)</f>
        <v/>
      </c>
      <c r="CJ80">
        <f>IF(ROW()-56&gt;MAX($CI$57:$CI$95),"",INDEX(Lists!$EE$4:$EE$42,MATCH(ROW()-56,$CI$57:$CI$95,0)))</f>
        <v/>
      </c>
      <c r="CK80">
        <f>CK79+IF(AND(Lists!$EJ$27&lt;&gt;"",ISNUMBER(SEARCH($AA$4,Lists!$EJ$27))),1,0)</f>
        <v/>
      </c>
      <c r="CL80">
        <f>IF(ROW()-56&gt;MAX($CK$57:$CK$95),"",INDEX(Lists!$EJ$4:$EJ$42,MATCH(ROW()-56,$CK$57:$CK$95,0)))</f>
        <v/>
      </c>
      <c r="CM80">
        <f>CM79+IF(AND(Lists!$EO$27&lt;&gt;"",ISNUMBER(SEARCH($AB$4,Lists!$EO$27))),1,0)</f>
        <v/>
      </c>
      <c r="CN80">
        <f>IF(ROW()-56&gt;MAX($CM$57:$CM$95),"",INDEX(Lists!$EO$4:$EO$42,MATCH(ROW()-56,$CM$57:$CM$95,0)))</f>
        <v/>
      </c>
      <c r="CO80">
        <f>CO79+IF(AND(Lists!$ET$27&lt;&gt;"",ISNUMBER(SEARCH($AC$4,Lists!$ET$27))),1,0)</f>
        <v/>
      </c>
      <c r="CP80">
        <f>IF(ROW()-56&gt;MAX($CO$57:$CO$95),"",INDEX(Lists!$ET$4:$ET$42,MATCH(ROW()-56,$CO$57:$CO$95,0)))</f>
        <v/>
      </c>
      <c r="CQ80">
        <f>CQ79+IF(AND(Lists!$EY$27&lt;&gt;"",ISNUMBER(SEARCH($AD$4,Lists!$EY$27))),1,0)</f>
        <v/>
      </c>
      <c r="CR80">
        <f>IF(ROW()-56&gt;MAX($CQ$57:$CQ$95),"",INDEX(Lists!$EY$4:$EY$42,MATCH(ROW()-56,$CQ$57:$CQ$95,0)))</f>
        <v/>
      </c>
      <c r="CS80">
        <f>CS79+IF(AND(Lists!$FD$27&lt;&gt;"",ISNUMBER(SEARCH($AE$4,Lists!$FD$27))),1,0)</f>
        <v/>
      </c>
      <c r="CT80">
        <f>IF(ROW()-56&gt;MAX($CS$57:$CS$95),"",INDEX(Lists!$FD$4:$FD$42,MATCH(ROW()-56,$CS$57:$CS$95,0)))</f>
        <v/>
      </c>
      <c r="CU80">
        <f>CU79+IF(AND(Lists!$FI$27&lt;&gt;"",ISNUMBER(SEARCH($AG$4,Lists!$FI$27))),1,0)</f>
        <v/>
      </c>
      <c r="CV80">
        <f>IF(ROW()-56&gt;MAX($CU$57:$CU$95),"",INDEX(Lists!$FI$4:$FI$42,MATCH(ROW()-56,$CU$57:$CU$95,0)))</f>
        <v/>
      </c>
      <c r="CW80">
        <f>CW79+IF(AND(Lists!$FN$27&lt;&gt;"",ISNUMBER(SEARCH($AH$4,Lists!$FN$27))),1,0)</f>
        <v/>
      </c>
      <c r="CX80">
        <f>IF(ROW()-56&gt;MAX($CW$57:$CW$95),"",INDEX(Lists!$FN$4:$FN$42,MATCH(ROW()-56,$CW$57:$CW$95,0)))</f>
        <v/>
      </c>
      <c r="CY80">
        <f>CY79+IF(AND(Lists!$FS$27&lt;&gt;"",ISNUMBER(SEARCH($AI$4,Lists!$FS$27))),1,0)</f>
        <v/>
      </c>
      <c r="CZ80">
        <f>IF(ROW()-56&gt;MAX($CY$57:$CY$95),"",INDEX(Lists!$FS$4:$FS$42,MATCH(ROW()-56,$CY$57:$CY$95,0)))</f>
        <v/>
      </c>
      <c r="DA80">
        <f>DA79+IF(AND(Lists!$FX$27&lt;&gt;"",ISNUMBER(SEARCH($AF$4,Lists!$FX$27))),1,0)</f>
        <v/>
      </c>
      <c r="DB80">
        <f>IF(ROW()-56&gt;MAX($DA$57:$DA$95),"",INDEX(Lists!$FX$4:$FX$42,MATCH(ROW()-56,$DA$57:$DA$95,0)))</f>
        <v/>
      </c>
      <c r="DG80">
        <f>IF($B$4="",1,IF($B$4="(blank)",--('Final Calculation Sheet'!$F$25=""),IF($B$4="(nonblank)",--('Final Calculation Sheet'!$F$25&lt;&gt;""),--ISNUMBER(SEARCH($B$4,'Final Calculation Sheet'!$F$25)))))</f>
        <v/>
      </c>
      <c r="DH80">
        <f>IF($C$4="",1,IF($C$4="(blank)",--('Final Calculation Sheet'!$G$25=""),IF($C$4="(nonblank)",--('Final Calculation Sheet'!$G$25&lt;&gt;""),--ISNUMBER(SEARCH($C$4,'Final Calculation Sheet'!$G$25)))))</f>
        <v/>
      </c>
      <c r="DI80">
        <f>IF($D$4="",1,IF($D$4="(blank)",--('Final Calculation Sheet'!$B$25=""),IF($D$4="(nonblank)",--('Final Calculation Sheet'!$B$25&lt;&gt;""),--ISNUMBER(SEARCH($D$4,'Final Calculation Sheet'!$B$25)))))</f>
        <v/>
      </c>
      <c r="DJ80">
        <f>IF($E$4="",1,IF($E$4="(blank)",--('Final Calculation Sheet'!$D$25=""),IF($E$4="(nonblank)",--('Final Calculation Sheet'!$D$25&lt;&gt;""),--ISNUMBER(SEARCH($E$4,'Final Calculation Sheet'!$D$25)))))</f>
        <v/>
      </c>
      <c r="DK80">
        <f>IF($F$4="",1,IF($F$4="(blank)",--('Final Calculation Sheet'!$A$25=""),IF($F$4="(nonblank)",--('Final Calculation Sheet'!$A$25&lt;&gt;""),--ISNUMBER(SEARCH($F$4,'Final Calculation Sheet'!$A$25)))))</f>
        <v/>
      </c>
      <c r="DL80">
        <f>IF($G$4="",1,IF($G$4="(blank)",--('Final Calculation Sheet'!$E$25=""),IF($G$4="(nonblank)",--('Final Calculation Sheet'!$E$25&lt;&gt;""),--ISNUMBER(SEARCH($G$4,'Final Calculation Sheet'!$E$25)))))</f>
        <v/>
      </c>
      <c r="DM80">
        <f>IF($H$4="",1,IF($H$4="(blank)",--('Final Calculation Sheet'!$C$25=""),IF($H$4="(nonblank)",--('Final Calculation Sheet'!$C$25&lt;&gt;""),--ISNUMBER(SEARCH($H$4,'Final Calculation Sheet'!$C$25)))))</f>
        <v/>
      </c>
      <c r="DN80">
        <f>IF($I$4="",1,IF($I$4="(blank)",--('Final Calculation Sheet'!$H$25=""),IF($I$4="(nonblank)",--('Final Calculation Sheet'!$H$25&lt;&gt;""),--ISNUMBER(SEARCH($I$4,'Final Calculation Sheet'!$H$25)))))</f>
        <v/>
      </c>
      <c r="DO80">
        <f>IF($J$4="",1,IF($J$4="(blank)",--('Final Calculation Sheet'!$I$25=""),IF($J$4="(nonblank)",--('Final Calculation Sheet'!$I$25&lt;&gt;""),--ISNUMBER(SEARCH($J$4,'Final Calculation Sheet'!$I$25)))))</f>
        <v/>
      </c>
      <c r="DP80">
        <f>IF($K$4="",1,IF($K$4="(blank)",--('Final Calculation Sheet'!$J$25=""),IF($K$4="(nonblank)",--('Final Calculation Sheet'!$J$25&lt;&gt;""),--ISNUMBER(SEARCH($K$4,'Final Calculation Sheet'!$J$25)))))</f>
        <v/>
      </c>
      <c r="DQ80">
        <f>IF($L$4="",1,IF($L$4="(blank)",--('Final Calculation Sheet'!$K$25=""),IF($L$4="(nonblank)",--('Final Calculation Sheet'!$K$25&lt;&gt;""),--ISNUMBER(SEARCH($L$4,'Final Calculation Sheet'!$K$25)))))</f>
        <v/>
      </c>
      <c r="DR80">
        <f>IF($M$4="",1,IF($M$4="(blank)",--('Final Calculation Sheet'!$L$25=""),IF($M$4="(nonblank)",--('Final Calculation Sheet'!$L$25&lt;&gt;""),--ISNUMBER(SEARCH($M$4,'Final Calculation Sheet'!$L$25)))))</f>
        <v/>
      </c>
      <c r="DS80">
        <f>IF($N$4="",1,IF($N$4="(blank)",--('Final Calculation Sheet'!$M$25=""),IF($N$4="(nonblank)",--('Final Calculation Sheet'!$M$25&lt;&gt;""),--ISNUMBER(SEARCH($N$4,'Final Calculation Sheet'!$M$25)))))</f>
        <v/>
      </c>
      <c r="DT80">
        <f>IF($O$4="",1,IF($O$4="(blank)",--('Final Calculation Sheet'!$N$25=""),IF($O$4="(nonblank)",--('Final Calculation Sheet'!$N$25&lt;&gt;""),--ISNUMBER(SEARCH($O$4,'Final Calculation Sheet'!$N$25)))))</f>
        <v/>
      </c>
      <c r="DU80">
        <f>IF($P$4="",1,IF($P$4="(blank)",--('Final Calculation Sheet'!$O$25=""),IF($P$4="(nonblank)",--('Final Calculation Sheet'!$O$25&lt;&gt;""),--ISNUMBER(SEARCH($P$4,'Final Calculation Sheet'!$O$25)))))</f>
        <v/>
      </c>
      <c r="DV80">
        <f>IF($Q$4="",1,IF($Q$4="(blank)",--('Final Calculation Sheet'!$P$25=""),IF($Q$4="(nonblank)",--('Final Calculation Sheet'!$P$25&lt;&gt;""),--ISNUMBER(SEARCH($Q$4,'Final Calculation Sheet'!$P$25)))))</f>
        <v/>
      </c>
      <c r="DW80">
        <f>IF($R$4="",1,IF($R$4="(blank)",--('Final Calculation Sheet'!$Q$25=""),IF($R$4="(nonblank)",--('Final Calculation Sheet'!$Q$25&lt;&gt;""),--ISNUMBER(SEARCH($R$4,'Final Calculation Sheet'!$Q$25)))))</f>
        <v/>
      </c>
      <c r="DX80">
        <f>IF($S$4="",1,IF($S$4="(blank)",--('Final Calculation Sheet'!$R$25=""),IF($S$4="(nonblank)",--('Final Calculation Sheet'!$R$25&lt;&gt;""),--ISNUMBER(SEARCH($S$4,'Final Calculation Sheet'!$R$25)))))</f>
        <v/>
      </c>
      <c r="DY80">
        <f>IF($T$4="",1,IF($T$4="(blank)",--('Final Calculation Sheet'!$S$25=""),IF($T$4="(nonblank)",--('Final Calculation Sheet'!$S$25&lt;&gt;""),--ISNUMBER(SEARCH($T$4,'Final Calculation Sheet'!$S$25)))))</f>
        <v/>
      </c>
      <c r="DZ80">
        <f>IF($U$4="",1,IF($U$4="(blank)",--('Final Calculation Sheet'!$T$25=""),IF($U$4="(nonblank)",--('Final Calculation Sheet'!$T$25&lt;&gt;""),--ISNUMBER(SEARCH($U$4,'Final Calculation Sheet'!$T$25)))))</f>
        <v/>
      </c>
      <c r="EA80">
        <f>IF($V$4="",1,IF($V$4="(blank)",--('Final Calculation Sheet'!$U$25=""),IF($V$4="(nonblank)",--('Final Calculation Sheet'!$U$25&lt;&gt;""),--ISNUMBER(SEARCH($V$4,'Final Calculation Sheet'!$U$25)))))</f>
        <v/>
      </c>
      <c r="EB80">
        <f>IF($W$4="",1,IF($W$4="(blank)",--('Final Calculation Sheet'!$V$25=""),IF($W$4="(nonblank)",--('Final Calculation Sheet'!$V$25&lt;&gt;""),--ISNUMBER(SEARCH($W$4,'Final Calculation Sheet'!$V$25)))))</f>
        <v/>
      </c>
      <c r="EC80">
        <f>IF($X$4="",1,IF($X$4="(blank)",--('Final Calculation Sheet'!$W$25=""),IF($X$4="(nonblank)",--('Final Calculation Sheet'!$W$25&lt;&gt;""),--ISNUMBER(SEARCH($X$4,'Final Calculation Sheet'!$W$25)))))</f>
        <v/>
      </c>
      <c r="ED80">
        <f>IF($Y$4="",1,IF($Y$4="(blank)",--('Final Calculation Sheet'!$X$25=""),IF($Y$4="(nonblank)",--('Final Calculation Sheet'!$X$25&lt;&gt;""),--ISNUMBER(SEARCH($Y$4,'Final Calculation Sheet'!$X$25)))))</f>
        <v/>
      </c>
      <c r="EE80">
        <f>IF($Z$4="",1,IF($Z$4="(blank)",--('Final Calculation Sheet'!$Y$25=""),IF($Z$4="(nonblank)",--('Final Calculation Sheet'!$Y$25&lt;&gt;""),--ISNUMBER(SEARCH($Z$4,'Final Calculation Sheet'!$Y$25)))))</f>
        <v/>
      </c>
      <c r="EF80">
        <f>IF($AA$4="",1,IF($AA$4="(blank)",--('Final Calculation Sheet'!$Z$25=""),IF($AA$4="(nonblank)",--('Final Calculation Sheet'!$Z$25&lt;&gt;""),--ISNUMBER(SEARCH($AA$4,'Final Calculation Sheet'!$Z$25)))))</f>
        <v/>
      </c>
      <c r="EG80">
        <f>IF($AB$4="",1,IF($AB$4="(blank)",--('Final Calculation Sheet'!$AA$25=""),IF($AB$4="(nonblank)",--('Final Calculation Sheet'!$AA$25&lt;&gt;""),--ISNUMBER(SEARCH($AB$4,'Final Calculation Sheet'!$AA$25)))))</f>
        <v/>
      </c>
      <c r="EH80">
        <f>IF($AC$4="",1,IF($AC$4="(blank)",--('Final Calculation Sheet'!$AB$25=""),IF($AC$4="(nonblank)",--('Final Calculation Sheet'!$AB$25&lt;&gt;""),--ISNUMBER(SEARCH($AC$4,'Final Calculation Sheet'!$AB$25)))))</f>
        <v/>
      </c>
      <c r="EI80">
        <f>IF($AD$4="",1,IF($AD$4="(blank)",--('Final Calculation Sheet'!$AC$25=""),IF($AD$4="(nonblank)",--('Final Calculation Sheet'!$AC$25&lt;&gt;""),--ISNUMBER(SEARCH($AD$4,'Final Calculation Sheet'!$AC$25)))))</f>
        <v/>
      </c>
      <c r="EJ80">
        <f>IF($AE$4="",1,IF($AE$4="(blank)",--('Final Calculation Sheet'!$AD$25=""),IF($AE$4="(nonblank)",--('Final Calculation Sheet'!$AD$25&lt;&gt;""),--ISNUMBER(SEARCH($AE$4,'Final Calculation Sheet'!$AD$25)))))</f>
        <v/>
      </c>
      <c r="EK80">
        <f>IF($AF$4="",1,IF($AF$4="(blank)",--(IF('Final Calculation Sheet'!$AD$25&lt;=5,"SETTLED","OUTSTANDING")=""),IF($AF$4="(nonblank)",--(IF('Final Calculation Sheet'!$AD$25&lt;=5,"SETTLED","OUTSTANDING")&lt;&gt;""),--ISNUMBER(SEARCH($AF$4,IF('Final Calculation Sheet'!$AD$25&lt;=5,"SETTLED","OUTSTANDING"))))))</f>
        <v/>
      </c>
      <c r="EL80">
        <f>IF($AG$4="",1,IF($AG$4="(blank)",--('Final Calculation Sheet'!$AF$25=""),IF($AG$4="(nonblank)",--('Final Calculation Sheet'!$AF$25&lt;&gt;""),--ISNUMBER(SEARCH($AG$4,'Final Calculation Sheet'!$AF$25)))))</f>
        <v/>
      </c>
      <c r="EM80">
        <f>IF($AH$4="",1,IF($AH$4="(blank)",--('Final Calculation Sheet'!$AG$25=""),IF($AH$4="(nonblank)",--('Final Calculation Sheet'!$AG$25&lt;&gt;""),--ISNUMBER(SEARCH($AH$4,'Final Calculation Sheet'!$AG$25)))))</f>
        <v/>
      </c>
      <c r="EN80">
        <f>IF($AI$4="",1,IF($AI$4="(blank)",--('Final Calculation Sheet'!$AH$25=""),IF($AI$4="(nonblank)",--('Final Calculation Sheet'!$AH$25&lt;&gt;""),--ISNUMBER(SEARCH($AI$4,'Final Calculation Sheet'!$AH$25)))))</f>
        <v/>
      </c>
    </row>
    <row r="81">
      <c r="AM81">
        <f>AM80+IF(AND(Lists!$O$28&lt;&gt;"",ISNUMBER(SEARCH($B$4,Lists!$O$28))),1,0)</f>
        <v/>
      </c>
      <c r="AN81">
        <f>IF(ROW()-56&gt;MAX($AM$57:$AM$95),"",INDEX(Lists!$O$4:$O$42,MATCH(ROW()-56,$AM$57:$AM$95,0)))</f>
        <v/>
      </c>
      <c r="AO81">
        <f>AO80+IF(AND(Lists!$T$28&lt;&gt;"",ISNUMBER(SEARCH($C$4,Lists!$T$28))),1,0)</f>
        <v/>
      </c>
      <c r="AP81">
        <f>IF(ROW()-56&gt;MAX($AO$57:$AO$95),"",INDEX(Lists!$T$4:$T$42,MATCH(ROW()-56,$AO$57:$AO$95,0)))</f>
        <v/>
      </c>
      <c r="AQ81">
        <f>AQ80+IF(AND(Lists!$Y$28&lt;&gt;"",ISNUMBER(SEARCH($D$4,Lists!$Y$28))),1,0)</f>
        <v/>
      </c>
      <c r="AR81">
        <f>IF(ROW()-56&gt;MAX($AQ$57:$AQ$95),"",INDEX(Lists!$Y$4:$Y$42,MATCH(ROW()-56,$AQ$57:$AQ$95,0)))</f>
        <v/>
      </c>
      <c r="AS81">
        <f>AS80+IF(AND(Lists!$AD$28&lt;&gt;"",ISNUMBER(SEARCH($E$4,Lists!$AD$28))),1,0)</f>
        <v/>
      </c>
      <c r="AT81">
        <f>IF(ROW()-56&gt;MAX($AS$57:$AS$95),"",INDEX(Lists!$AD$4:$AD$42,MATCH(ROW()-56,$AS$57:$AS$95,0)))</f>
        <v/>
      </c>
      <c r="AU81">
        <f>AU80+IF(AND(Lists!$AI$28&lt;&gt;"",ISNUMBER(SEARCH($F$4,Lists!$AI$28))),1,0)</f>
        <v/>
      </c>
      <c r="AV81">
        <f>IF(ROW()-56&gt;MAX($AU$57:$AU$95),"",INDEX(Lists!$AI$4:$AI$42,MATCH(ROW()-56,$AU$57:$AU$95,0)))</f>
        <v/>
      </c>
      <c r="AW81">
        <f>AW80+IF(AND(Lists!$AN$28&lt;&gt;"",ISNUMBER(SEARCH($G$4,Lists!$AN$28))),1,0)</f>
        <v/>
      </c>
      <c r="AX81">
        <f>IF(ROW()-56&gt;MAX($AW$57:$AW$95),"",INDEX(Lists!$AN$4:$AN$42,MATCH(ROW()-56,$AW$57:$AW$95,0)))</f>
        <v/>
      </c>
      <c r="AY81">
        <f>AY80+IF(AND(Lists!$AS$28&lt;&gt;"",ISNUMBER(SEARCH($H$4,Lists!$AS$28))),1,0)</f>
        <v/>
      </c>
      <c r="AZ81">
        <f>IF(ROW()-56&gt;MAX($AY$57:$AY$95),"",INDEX(Lists!$AS$4:$AS$42,MATCH(ROW()-56,$AY$57:$AY$95,0)))</f>
        <v/>
      </c>
      <c r="BA81">
        <f>BA80+IF(AND(Lists!$AX$28&lt;&gt;"",ISNUMBER(SEARCH($I$4,Lists!$AX$28))),1,0)</f>
        <v/>
      </c>
      <c r="BB81">
        <f>IF(ROW()-56&gt;MAX($BA$57:$BA$95),"",INDEX(Lists!$AX$4:$AX$42,MATCH(ROW()-56,$BA$57:$BA$95,0)))</f>
        <v/>
      </c>
      <c r="BC81">
        <f>BC80+IF(AND(Lists!$BC$28&lt;&gt;"",ISNUMBER(SEARCH($J$4,Lists!$BC$28))),1,0)</f>
        <v/>
      </c>
      <c r="BD81">
        <f>IF(ROW()-56&gt;MAX($BC$57:$BC$95),"",INDEX(Lists!$BC$4:$BC$42,MATCH(ROW()-56,$BC$57:$BC$95,0)))</f>
        <v/>
      </c>
      <c r="BE81">
        <f>BE80+IF(AND(Lists!$BH$28&lt;&gt;"",ISNUMBER(SEARCH($K$4,Lists!$BH$28))),1,0)</f>
        <v/>
      </c>
      <c r="BF81">
        <f>IF(ROW()-56&gt;MAX($BE$57:$BE$95),"",INDEX(Lists!$BH$4:$BH$42,MATCH(ROW()-56,$BE$57:$BE$95,0)))</f>
        <v/>
      </c>
      <c r="BG81">
        <f>BG80+IF(AND(Lists!$BM$28&lt;&gt;"",ISNUMBER(SEARCH($L$4,Lists!$BM$28))),1,0)</f>
        <v/>
      </c>
      <c r="BH81">
        <f>IF(ROW()-56&gt;MAX($BG$57:$BG$95),"",INDEX(Lists!$BM$4:$BM$42,MATCH(ROW()-56,$BG$57:$BG$95,0)))</f>
        <v/>
      </c>
      <c r="BI81">
        <f>BI80+IF(AND(Lists!$BR$28&lt;&gt;"",ISNUMBER(SEARCH($M$4,Lists!$BR$28))),1,0)</f>
        <v/>
      </c>
      <c r="BJ81">
        <f>IF(ROW()-56&gt;MAX($BI$57:$BI$95),"",INDEX(Lists!$BR$4:$BR$42,MATCH(ROW()-56,$BI$57:$BI$95,0)))</f>
        <v/>
      </c>
      <c r="BK81">
        <f>BK80+IF(AND(Lists!$BW$28&lt;&gt;"",ISNUMBER(SEARCH($N$4,Lists!$BW$28))),1,0)</f>
        <v/>
      </c>
      <c r="BL81">
        <f>IF(ROW()-56&gt;MAX($BK$57:$BK$95),"",INDEX(Lists!$BW$4:$BW$42,MATCH(ROW()-56,$BK$57:$BK$95,0)))</f>
        <v/>
      </c>
      <c r="BM81">
        <f>BM80+IF(AND(Lists!$CB$28&lt;&gt;"",ISNUMBER(SEARCH($O$4,Lists!$CB$28))),1,0)</f>
        <v/>
      </c>
      <c r="BN81">
        <f>IF(ROW()-56&gt;MAX($BM$57:$BM$95),"",INDEX(Lists!$CB$4:$CB$42,MATCH(ROW()-56,$BM$57:$BM$95,0)))</f>
        <v/>
      </c>
      <c r="BO81">
        <f>BO80+IF(AND(Lists!$CG$28&lt;&gt;"",ISNUMBER(SEARCH($P$4,Lists!$CG$28))),1,0)</f>
        <v/>
      </c>
      <c r="BP81">
        <f>IF(ROW()-56&gt;MAX($BO$57:$BO$95),"",INDEX(Lists!$CG$4:$CG$42,MATCH(ROW()-56,$BO$57:$BO$95,0)))</f>
        <v/>
      </c>
      <c r="BQ81">
        <f>BQ80+IF(AND(Lists!$CL$28&lt;&gt;"",ISNUMBER(SEARCH($Q$4,Lists!$CL$28))),1,0)</f>
        <v/>
      </c>
      <c r="BR81">
        <f>IF(ROW()-56&gt;MAX($BQ$57:$BQ$95),"",INDEX(Lists!$CL$4:$CL$42,MATCH(ROW()-56,$BQ$57:$BQ$95,0)))</f>
        <v/>
      </c>
      <c r="BS81">
        <f>BS80+IF(AND(Lists!$CQ$28&lt;&gt;"",ISNUMBER(SEARCH($R$4,Lists!$CQ$28))),1,0)</f>
        <v/>
      </c>
      <c r="BT81">
        <f>IF(ROW()-56&gt;MAX($BS$57:$BS$95),"",INDEX(Lists!$CQ$4:$CQ$42,MATCH(ROW()-56,$BS$57:$BS$95,0)))</f>
        <v/>
      </c>
      <c r="BU81">
        <f>BU80+IF(AND(Lists!$CV$28&lt;&gt;"",ISNUMBER(SEARCH($S$4,Lists!$CV$28))),1,0)</f>
        <v/>
      </c>
      <c r="BV81">
        <f>IF(ROW()-56&gt;MAX($BU$57:$BU$95),"",INDEX(Lists!$CV$4:$CV$42,MATCH(ROW()-56,$BU$57:$BU$95,0)))</f>
        <v/>
      </c>
      <c r="BW81">
        <f>BW80+IF(AND(Lists!$DA$28&lt;&gt;"",ISNUMBER(SEARCH($T$4,Lists!$DA$28))),1,0)</f>
        <v/>
      </c>
      <c r="BX81">
        <f>IF(ROW()-56&gt;MAX($BW$57:$BW$95),"",INDEX(Lists!$DA$4:$DA$42,MATCH(ROW()-56,$BW$57:$BW$95,0)))</f>
        <v/>
      </c>
      <c r="BY81">
        <f>BY80+IF(AND(Lists!$DF$28&lt;&gt;"",ISNUMBER(SEARCH($U$4,Lists!$DF$28))),1,0)</f>
        <v/>
      </c>
      <c r="BZ81">
        <f>IF(ROW()-56&gt;MAX($BY$57:$BY$95),"",INDEX(Lists!$DF$4:$DF$42,MATCH(ROW()-56,$BY$57:$BY$95,0)))</f>
        <v/>
      </c>
      <c r="CA81">
        <f>CA80+IF(AND(Lists!$DK$28&lt;&gt;"",ISNUMBER(SEARCH($V$4,Lists!$DK$28))),1,0)</f>
        <v/>
      </c>
      <c r="CB81">
        <f>IF(ROW()-56&gt;MAX($CA$57:$CA$95),"",INDEX(Lists!$DK$4:$DK$42,MATCH(ROW()-56,$CA$57:$CA$95,0)))</f>
        <v/>
      </c>
      <c r="CC81">
        <f>CC80+IF(AND(Lists!$DP$28&lt;&gt;"",ISNUMBER(SEARCH($W$4,Lists!$DP$28))),1,0)</f>
        <v/>
      </c>
      <c r="CD81">
        <f>IF(ROW()-56&gt;MAX($CC$57:$CC$95),"",INDEX(Lists!$DP$4:$DP$42,MATCH(ROW()-56,$CC$57:$CC$95,0)))</f>
        <v/>
      </c>
      <c r="CE81">
        <f>CE80+IF(AND(Lists!$DU$28&lt;&gt;"",ISNUMBER(SEARCH($X$4,Lists!$DU$28))),1,0)</f>
        <v/>
      </c>
      <c r="CF81">
        <f>IF(ROW()-56&gt;MAX($CE$57:$CE$95),"",INDEX(Lists!$DU$4:$DU$42,MATCH(ROW()-56,$CE$57:$CE$95,0)))</f>
        <v/>
      </c>
      <c r="CG81">
        <f>CG80+IF(AND(Lists!$DZ$28&lt;&gt;"",ISNUMBER(SEARCH($Y$4,Lists!$DZ$28))),1,0)</f>
        <v/>
      </c>
      <c r="CH81">
        <f>IF(ROW()-56&gt;MAX($CG$57:$CG$95),"",INDEX(Lists!$DZ$4:$DZ$42,MATCH(ROW()-56,$CG$57:$CG$95,0)))</f>
        <v/>
      </c>
      <c r="CI81">
        <f>CI80+IF(AND(Lists!$EE$28&lt;&gt;"",ISNUMBER(SEARCH($Z$4,Lists!$EE$28))),1,0)</f>
        <v/>
      </c>
      <c r="CJ81">
        <f>IF(ROW()-56&gt;MAX($CI$57:$CI$95),"",INDEX(Lists!$EE$4:$EE$42,MATCH(ROW()-56,$CI$57:$CI$95,0)))</f>
        <v/>
      </c>
      <c r="CK81">
        <f>CK80+IF(AND(Lists!$EJ$28&lt;&gt;"",ISNUMBER(SEARCH($AA$4,Lists!$EJ$28))),1,0)</f>
        <v/>
      </c>
      <c r="CL81">
        <f>IF(ROW()-56&gt;MAX($CK$57:$CK$95),"",INDEX(Lists!$EJ$4:$EJ$42,MATCH(ROW()-56,$CK$57:$CK$95,0)))</f>
        <v/>
      </c>
      <c r="CM81">
        <f>CM80+IF(AND(Lists!$EO$28&lt;&gt;"",ISNUMBER(SEARCH($AB$4,Lists!$EO$28))),1,0)</f>
        <v/>
      </c>
      <c r="CN81">
        <f>IF(ROW()-56&gt;MAX($CM$57:$CM$95),"",INDEX(Lists!$EO$4:$EO$42,MATCH(ROW()-56,$CM$57:$CM$95,0)))</f>
        <v/>
      </c>
      <c r="CO81">
        <f>CO80+IF(AND(Lists!$ET$28&lt;&gt;"",ISNUMBER(SEARCH($AC$4,Lists!$ET$28))),1,0)</f>
        <v/>
      </c>
      <c r="CP81">
        <f>IF(ROW()-56&gt;MAX($CO$57:$CO$95),"",INDEX(Lists!$ET$4:$ET$42,MATCH(ROW()-56,$CO$57:$CO$95,0)))</f>
        <v/>
      </c>
      <c r="CQ81">
        <f>CQ80+IF(AND(Lists!$EY$28&lt;&gt;"",ISNUMBER(SEARCH($AD$4,Lists!$EY$28))),1,0)</f>
        <v/>
      </c>
      <c r="CR81">
        <f>IF(ROW()-56&gt;MAX($CQ$57:$CQ$95),"",INDEX(Lists!$EY$4:$EY$42,MATCH(ROW()-56,$CQ$57:$CQ$95,0)))</f>
        <v/>
      </c>
      <c r="CS81">
        <f>CS80+IF(AND(Lists!$FD$28&lt;&gt;"",ISNUMBER(SEARCH($AE$4,Lists!$FD$28))),1,0)</f>
        <v/>
      </c>
      <c r="CT81">
        <f>IF(ROW()-56&gt;MAX($CS$57:$CS$95),"",INDEX(Lists!$FD$4:$FD$42,MATCH(ROW()-56,$CS$57:$CS$95,0)))</f>
        <v/>
      </c>
      <c r="CU81">
        <f>CU80+IF(AND(Lists!$FI$28&lt;&gt;"",ISNUMBER(SEARCH($AG$4,Lists!$FI$28))),1,0)</f>
        <v/>
      </c>
      <c r="CV81">
        <f>IF(ROW()-56&gt;MAX($CU$57:$CU$95),"",INDEX(Lists!$FI$4:$FI$42,MATCH(ROW()-56,$CU$57:$CU$95,0)))</f>
        <v/>
      </c>
      <c r="CW81">
        <f>CW80+IF(AND(Lists!$FN$28&lt;&gt;"",ISNUMBER(SEARCH($AH$4,Lists!$FN$28))),1,0)</f>
        <v/>
      </c>
      <c r="CX81">
        <f>IF(ROW()-56&gt;MAX($CW$57:$CW$95),"",INDEX(Lists!$FN$4:$FN$42,MATCH(ROW()-56,$CW$57:$CW$95,0)))</f>
        <v/>
      </c>
      <c r="CY81">
        <f>CY80+IF(AND(Lists!$FS$28&lt;&gt;"",ISNUMBER(SEARCH($AI$4,Lists!$FS$28))),1,0)</f>
        <v/>
      </c>
      <c r="CZ81">
        <f>IF(ROW()-56&gt;MAX($CY$57:$CY$95),"",INDEX(Lists!$FS$4:$FS$42,MATCH(ROW()-56,$CY$57:$CY$95,0)))</f>
        <v/>
      </c>
      <c r="DA81">
        <f>DA80+IF(AND(Lists!$FX$28&lt;&gt;"",ISNUMBER(SEARCH($AF$4,Lists!$FX$28))),1,0)</f>
        <v/>
      </c>
      <c r="DB81">
        <f>IF(ROW()-56&gt;MAX($DA$57:$DA$95),"",INDEX(Lists!$FX$4:$FX$42,MATCH(ROW()-56,$DA$57:$DA$95,0)))</f>
        <v/>
      </c>
      <c r="DG81">
        <f>IF($B$4="",1,IF($B$4="(blank)",--('Final Calculation Sheet'!$F$26=""),IF($B$4="(nonblank)",--('Final Calculation Sheet'!$F$26&lt;&gt;""),--ISNUMBER(SEARCH($B$4,'Final Calculation Sheet'!$F$26)))))</f>
        <v/>
      </c>
      <c r="DH81">
        <f>IF($C$4="",1,IF($C$4="(blank)",--('Final Calculation Sheet'!$G$26=""),IF($C$4="(nonblank)",--('Final Calculation Sheet'!$G$26&lt;&gt;""),--ISNUMBER(SEARCH($C$4,'Final Calculation Sheet'!$G$26)))))</f>
        <v/>
      </c>
      <c r="DI81">
        <f>IF($D$4="",1,IF($D$4="(blank)",--('Final Calculation Sheet'!$B$26=""),IF($D$4="(nonblank)",--('Final Calculation Sheet'!$B$26&lt;&gt;""),--ISNUMBER(SEARCH($D$4,'Final Calculation Sheet'!$B$26)))))</f>
        <v/>
      </c>
      <c r="DJ81">
        <f>IF($E$4="",1,IF($E$4="(blank)",--('Final Calculation Sheet'!$D$26=""),IF($E$4="(nonblank)",--('Final Calculation Sheet'!$D$26&lt;&gt;""),--ISNUMBER(SEARCH($E$4,'Final Calculation Sheet'!$D$26)))))</f>
        <v/>
      </c>
      <c r="DK81">
        <f>IF($F$4="",1,IF($F$4="(blank)",--('Final Calculation Sheet'!$A$26=""),IF($F$4="(nonblank)",--('Final Calculation Sheet'!$A$26&lt;&gt;""),--ISNUMBER(SEARCH($F$4,'Final Calculation Sheet'!$A$26)))))</f>
        <v/>
      </c>
      <c r="DL81">
        <f>IF($G$4="",1,IF($G$4="(blank)",--('Final Calculation Sheet'!$E$26=""),IF($G$4="(nonblank)",--('Final Calculation Sheet'!$E$26&lt;&gt;""),--ISNUMBER(SEARCH($G$4,'Final Calculation Sheet'!$E$26)))))</f>
        <v/>
      </c>
      <c r="DM81">
        <f>IF($H$4="",1,IF($H$4="(blank)",--('Final Calculation Sheet'!$C$26=""),IF($H$4="(nonblank)",--('Final Calculation Sheet'!$C$26&lt;&gt;""),--ISNUMBER(SEARCH($H$4,'Final Calculation Sheet'!$C$26)))))</f>
        <v/>
      </c>
      <c r="DN81">
        <f>IF($I$4="",1,IF($I$4="(blank)",--('Final Calculation Sheet'!$H$26=""),IF($I$4="(nonblank)",--('Final Calculation Sheet'!$H$26&lt;&gt;""),--ISNUMBER(SEARCH($I$4,'Final Calculation Sheet'!$H$26)))))</f>
        <v/>
      </c>
      <c r="DO81">
        <f>IF($J$4="",1,IF($J$4="(blank)",--('Final Calculation Sheet'!$I$26=""),IF($J$4="(nonblank)",--('Final Calculation Sheet'!$I$26&lt;&gt;""),--ISNUMBER(SEARCH($J$4,'Final Calculation Sheet'!$I$26)))))</f>
        <v/>
      </c>
      <c r="DP81">
        <f>IF($K$4="",1,IF($K$4="(blank)",--('Final Calculation Sheet'!$J$26=""),IF($K$4="(nonblank)",--('Final Calculation Sheet'!$J$26&lt;&gt;""),--ISNUMBER(SEARCH($K$4,'Final Calculation Sheet'!$J$26)))))</f>
        <v/>
      </c>
      <c r="DQ81">
        <f>IF($L$4="",1,IF($L$4="(blank)",--('Final Calculation Sheet'!$K$26=""),IF($L$4="(nonblank)",--('Final Calculation Sheet'!$K$26&lt;&gt;""),--ISNUMBER(SEARCH($L$4,'Final Calculation Sheet'!$K$26)))))</f>
        <v/>
      </c>
      <c r="DR81">
        <f>IF($M$4="",1,IF($M$4="(blank)",--('Final Calculation Sheet'!$L$26=""),IF($M$4="(nonblank)",--('Final Calculation Sheet'!$L$26&lt;&gt;""),--ISNUMBER(SEARCH($M$4,'Final Calculation Sheet'!$L$26)))))</f>
        <v/>
      </c>
      <c r="DS81">
        <f>IF($N$4="",1,IF($N$4="(blank)",--('Final Calculation Sheet'!$M$26=""),IF($N$4="(nonblank)",--('Final Calculation Sheet'!$M$26&lt;&gt;""),--ISNUMBER(SEARCH($N$4,'Final Calculation Sheet'!$M$26)))))</f>
        <v/>
      </c>
      <c r="DT81">
        <f>IF($O$4="",1,IF($O$4="(blank)",--('Final Calculation Sheet'!$N$26=""),IF($O$4="(nonblank)",--('Final Calculation Sheet'!$N$26&lt;&gt;""),--ISNUMBER(SEARCH($O$4,'Final Calculation Sheet'!$N$26)))))</f>
        <v/>
      </c>
      <c r="DU81">
        <f>IF($P$4="",1,IF($P$4="(blank)",--('Final Calculation Sheet'!$O$26=""),IF($P$4="(nonblank)",--('Final Calculation Sheet'!$O$26&lt;&gt;""),--ISNUMBER(SEARCH($P$4,'Final Calculation Sheet'!$O$26)))))</f>
        <v/>
      </c>
      <c r="DV81">
        <f>IF($Q$4="",1,IF($Q$4="(blank)",--('Final Calculation Sheet'!$P$26=""),IF($Q$4="(nonblank)",--('Final Calculation Sheet'!$P$26&lt;&gt;""),--ISNUMBER(SEARCH($Q$4,'Final Calculation Sheet'!$P$26)))))</f>
        <v/>
      </c>
      <c r="DW81">
        <f>IF($R$4="",1,IF($R$4="(blank)",--('Final Calculation Sheet'!$Q$26=""),IF($R$4="(nonblank)",--('Final Calculation Sheet'!$Q$26&lt;&gt;""),--ISNUMBER(SEARCH($R$4,'Final Calculation Sheet'!$Q$26)))))</f>
        <v/>
      </c>
      <c r="DX81">
        <f>IF($S$4="",1,IF($S$4="(blank)",--('Final Calculation Sheet'!$R$26=""),IF($S$4="(nonblank)",--('Final Calculation Sheet'!$R$26&lt;&gt;""),--ISNUMBER(SEARCH($S$4,'Final Calculation Sheet'!$R$26)))))</f>
        <v/>
      </c>
      <c r="DY81">
        <f>IF($T$4="",1,IF($T$4="(blank)",--('Final Calculation Sheet'!$S$26=""),IF($T$4="(nonblank)",--('Final Calculation Sheet'!$S$26&lt;&gt;""),--ISNUMBER(SEARCH($T$4,'Final Calculation Sheet'!$S$26)))))</f>
        <v/>
      </c>
      <c r="DZ81">
        <f>IF($U$4="",1,IF($U$4="(blank)",--('Final Calculation Sheet'!$T$26=""),IF($U$4="(nonblank)",--('Final Calculation Sheet'!$T$26&lt;&gt;""),--ISNUMBER(SEARCH($U$4,'Final Calculation Sheet'!$T$26)))))</f>
        <v/>
      </c>
      <c r="EA81">
        <f>IF($V$4="",1,IF($V$4="(blank)",--('Final Calculation Sheet'!$U$26=""),IF($V$4="(nonblank)",--('Final Calculation Sheet'!$U$26&lt;&gt;""),--ISNUMBER(SEARCH($V$4,'Final Calculation Sheet'!$U$26)))))</f>
        <v/>
      </c>
      <c r="EB81">
        <f>IF($W$4="",1,IF($W$4="(blank)",--('Final Calculation Sheet'!$V$26=""),IF($W$4="(nonblank)",--('Final Calculation Sheet'!$V$26&lt;&gt;""),--ISNUMBER(SEARCH($W$4,'Final Calculation Sheet'!$V$26)))))</f>
        <v/>
      </c>
      <c r="EC81">
        <f>IF($X$4="",1,IF($X$4="(blank)",--('Final Calculation Sheet'!$W$26=""),IF($X$4="(nonblank)",--('Final Calculation Sheet'!$W$26&lt;&gt;""),--ISNUMBER(SEARCH($X$4,'Final Calculation Sheet'!$W$26)))))</f>
        <v/>
      </c>
      <c r="ED81">
        <f>IF($Y$4="",1,IF($Y$4="(blank)",--('Final Calculation Sheet'!$X$26=""),IF($Y$4="(nonblank)",--('Final Calculation Sheet'!$X$26&lt;&gt;""),--ISNUMBER(SEARCH($Y$4,'Final Calculation Sheet'!$X$26)))))</f>
        <v/>
      </c>
      <c r="EE81">
        <f>IF($Z$4="",1,IF($Z$4="(blank)",--('Final Calculation Sheet'!$Y$26=""),IF($Z$4="(nonblank)",--('Final Calculation Sheet'!$Y$26&lt;&gt;""),--ISNUMBER(SEARCH($Z$4,'Final Calculation Sheet'!$Y$26)))))</f>
        <v/>
      </c>
      <c r="EF81">
        <f>IF($AA$4="",1,IF($AA$4="(blank)",--('Final Calculation Sheet'!$Z$26=""),IF($AA$4="(nonblank)",--('Final Calculation Sheet'!$Z$26&lt;&gt;""),--ISNUMBER(SEARCH($AA$4,'Final Calculation Sheet'!$Z$26)))))</f>
        <v/>
      </c>
      <c r="EG81">
        <f>IF($AB$4="",1,IF($AB$4="(blank)",--('Final Calculation Sheet'!$AA$26=""),IF($AB$4="(nonblank)",--('Final Calculation Sheet'!$AA$26&lt;&gt;""),--ISNUMBER(SEARCH($AB$4,'Final Calculation Sheet'!$AA$26)))))</f>
        <v/>
      </c>
      <c r="EH81">
        <f>IF($AC$4="",1,IF($AC$4="(blank)",--('Final Calculation Sheet'!$AB$26=""),IF($AC$4="(nonblank)",--('Final Calculation Sheet'!$AB$26&lt;&gt;""),--ISNUMBER(SEARCH($AC$4,'Final Calculation Sheet'!$AB$26)))))</f>
        <v/>
      </c>
      <c r="EI81">
        <f>IF($AD$4="",1,IF($AD$4="(blank)",--('Final Calculation Sheet'!$AC$26=""),IF($AD$4="(nonblank)",--('Final Calculation Sheet'!$AC$26&lt;&gt;""),--ISNUMBER(SEARCH($AD$4,'Final Calculation Sheet'!$AC$26)))))</f>
        <v/>
      </c>
      <c r="EJ81">
        <f>IF($AE$4="",1,IF($AE$4="(blank)",--('Final Calculation Sheet'!$AD$26=""),IF($AE$4="(nonblank)",--('Final Calculation Sheet'!$AD$26&lt;&gt;""),--ISNUMBER(SEARCH($AE$4,'Final Calculation Sheet'!$AD$26)))))</f>
        <v/>
      </c>
      <c r="EK81">
        <f>IF($AF$4="",1,IF($AF$4="(blank)",--(IF('Final Calculation Sheet'!$AD$26&lt;=5,"SETTLED","OUTSTANDING")=""),IF($AF$4="(nonblank)",--(IF('Final Calculation Sheet'!$AD$26&lt;=5,"SETTLED","OUTSTANDING")&lt;&gt;""),--ISNUMBER(SEARCH($AF$4,IF('Final Calculation Sheet'!$AD$26&lt;=5,"SETTLED","OUTSTANDING"))))))</f>
        <v/>
      </c>
      <c r="EL81">
        <f>IF($AG$4="",1,IF($AG$4="(blank)",--('Final Calculation Sheet'!$AF$26=""),IF($AG$4="(nonblank)",--('Final Calculation Sheet'!$AF$26&lt;&gt;""),--ISNUMBER(SEARCH($AG$4,'Final Calculation Sheet'!$AF$26)))))</f>
        <v/>
      </c>
      <c r="EM81">
        <f>IF($AH$4="",1,IF($AH$4="(blank)",--('Final Calculation Sheet'!$AG$26=""),IF($AH$4="(nonblank)",--('Final Calculation Sheet'!$AG$26&lt;&gt;""),--ISNUMBER(SEARCH($AH$4,'Final Calculation Sheet'!$AG$26)))))</f>
        <v/>
      </c>
      <c r="EN81">
        <f>IF($AI$4="",1,IF($AI$4="(blank)",--('Final Calculation Sheet'!$AH$26=""),IF($AI$4="(nonblank)",--('Final Calculation Sheet'!$AH$26&lt;&gt;""),--ISNUMBER(SEARCH($AI$4,'Final Calculation Sheet'!$AH$26)))))</f>
        <v/>
      </c>
    </row>
    <row r="82">
      <c r="AM82">
        <f>AM81+IF(AND(Lists!$O$29&lt;&gt;"",ISNUMBER(SEARCH($B$4,Lists!$O$29))),1,0)</f>
        <v/>
      </c>
      <c r="AN82">
        <f>IF(ROW()-56&gt;MAX($AM$57:$AM$95),"",INDEX(Lists!$O$4:$O$42,MATCH(ROW()-56,$AM$57:$AM$95,0)))</f>
        <v/>
      </c>
      <c r="AO82">
        <f>AO81+IF(AND(Lists!$T$29&lt;&gt;"",ISNUMBER(SEARCH($C$4,Lists!$T$29))),1,0)</f>
        <v/>
      </c>
      <c r="AP82">
        <f>IF(ROW()-56&gt;MAX($AO$57:$AO$95),"",INDEX(Lists!$T$4:$T$42,MATCH(ROW()-56,$AO$57:$AO$95,0)))</f>
        <v/>
      </c>
      <c r="AQ82">
        <f>AQ81+IF(AND(Lists!$Y$29&lt;&gt;"",ISNUMBER(SEARCH($D$4,Lists!$Y$29))),1,0)</f>
        <v/>
      </c>
      <c r="AR82">
        <f>IF(ROW()-56&gt;MAX($AQ$57:$AQ$95),"",INDEX(Lists!$Y$4:$Y$42,MATCH(ROW()-56,$AQ$57:$AQ$95,0)))</f>
        <v/>
      </c>
      <c r="AS82">
        <f>AS81+IF(AND(Lists!$AD$29&lt;&gt;"",ISNUMBER(SEARCH($E$4,Lists!$AD$29))),1,0)</f>
        <v/>
      </c>
      <c r="AT82">
        <f>IF(ROW()-56&gt;MAX($AS$57:$AS$95),"",INDEX(Lists!$AD$4:$AD$42,MATCH(ROW()-56,$AS$57:$AS$95,0)))</f>
        <v/>
      </c>
      <c r="AU82">
        <f>AU81+IF(AND(Lists!$AI$29&lt;&gt;"",ISNUMBER(SEARCH($F$4,Lists!$AI$29))),1,0)</f>
        <v/>
      </c>
      <c r="AV82">
        <f>IF(ROW()-56&gt;MAX($AU$57:$AU$95),"",INDEX(Lists!$AI$4:$AI$42,MATCH(ROW()-56,$AU$57:$AU$95,0)))</f>
        <v/>
      </c>
      <c r="AW82">
        <f>AW81+IF(AND(Lists!$AN$29&lt;&gt;"",ISNUMBER(SEARCH($G$4,Lists!$AN$29))),1,0)</f>
        <v/>
      </c>
      <c r="AX82">
        <f>IF(ROW()-56&gt;MAX($AW$57:$AW$95),"",INDEX(Lists!$AN$4:$AN$42,MATCH(ROW()-56,$AW$57:$AW$95,0)))</f>
        <v/>
      </c>
      <c r="AY82">
        <f>AY81+IF(AND(Lists!$AS$29&lt;&gt;"",ISNUMBER(SEARCH($H$4,Lists!$AS$29))),1,0)</f>
        <v/>
      </c>
      <c r="AZ82">
        <f>IF(ROW()-56&gt;MAX($AY$57:$AY$95),"",INDEX(Lists!$AS$4:$AS$42,MATCH(ROW()-56,$AY$57:$AY$95,0)))</f>
        <v/>
      </c>
      <c r="BA82">
        <f>BA81+IF(AND(Lists!$AX$29&lt;&gt;"",ISNUMBER(SEARCH($I$4,Lists!$AX$29))),1,0)</f>
        <v/>
      </c>
      <c r="BB82">
        <f>IF(ROW()-56&gt;MAX($BA$57:$BA$95),"",INDEX(Lists!$AX$4:$AX$42,MATCH(ROW()-56,$BA$57:$BA$95,0)))</f>
        <v/>
      </c>
      <c r="BC82">
        <f>BC81+IF(AND(Lists!$BC$29&lt;&gt;"",ISNUMBER(SEARCH($J$4,Lists!$BC$29))),1,0)</f>
        <v/>
      </c>
      <c r="BD82">
        <f>IF(ROW()-56&gt;MAX($BC$57:$BC$95),"",INDEX(Lists!$BC$4:$BC$42,MATCH(ROW()-56,$BC$57:$BC$95,0)))</f>
        <v/>
      </c>
      <c r="BE82">
        <f>BE81+IF(AND(Lists!$BH$29&lt;&gt;"",ISNUMBER(SEARCH($K$4,Lists!$BH$29))),1,0)</f>
        <v/>
      </c>
      <c r="BF82">
        <f>IF(ROW()-56&gt;MAX($BE$57:$BE$95),"",INDEX(Lists!$BH$4:$BH$42,MATCH(ROW()-56,$BE$57:$BE$95,0)))</f>
        <v/>
      </c>
      <c r="BG82">
        <f>BG81+IF(AND(Lists!$BM$29&lt;&gt;"",ISNUMBER(SEARCH($L$4,Lists!$BM$29))),1,0)</f>
        <v/>
      </c>
      <c r="BH82">
        <f>IF(ROW()-56&gt;MAX($BG$57:$BG$95),"",INDEX(Lists!$BM$4:$BM$42,MATCH(ROW()-56,$BG$57:$BG$95,0)))</f>
        <v/>
      </c>
      <c r="BI82">
        <f>BI81+IF(AND(Lists!$BR$29&lt;&gt;"",ISNUMBER(SEARCH($M$4,Lists!$BR$29))),1,0)</f>
        <v/>
      </c>
      <c r="BJ82">
        <f>IF(ROW()-56&gt;MAX($BI$57:$BI$95),"",INDEX(Lists!$BR$4:$BR$42,MATCH(ROW()-56,$BI$57:$BI$95,0)))</f>
        <v/>
      </c>
      <c r="BK82">
        <f>BK81+IF(AND(Lists!$BW$29&lt;&gt;"",ISNUMBER(SEARCH($N$4,Lists!$BW$29))),1,0)</f>
        <v/>
      </c>
      <c r="BL82">
        <f>IF(ROW()-56&gt;MAX($BK$57:$BK$95),"",INDEX(Lists!$BW$4:$BW$42,MATCH(ROW()-56,$BK$57:$BK$95,0)))</f>
        <v/>
      </c>
      <c r="BM82">
        <f>BM81+IF(AND(Lists!$CB$29&lt;&gt;"",ISNUMBER(SEARCH($O$4,Lists!$CB$29))),1,0)</f>
        <v/>
      </c>
      <c r="BN82">
        <f>IF(ROW()-56&gt;MAX($BM$57:$BM$95),"",INDEX(Lists!$CB$4:$CB$42,MATCH(ROW()-56,$BM$57:$BM$95,0)))</f>
        <v/>
      </c>
      <c r="BO82">
        <f>BO81+IF(AND(Lists!$CG$29&lt;&gt;"",ISNUMBER(SEARCH($P$4,Lists!$CG$29))),1,0)</f>
        <v/>
      </c>
      <c r="BP82">
        <f>IF(ROW()-56&gt;MAX($BO$57:$BO$95),"",INDEX(Lists!$CG$4:$CG$42,MATCH(ROW()-56,$BO$57:$BO$95,0)))</f>
        <v/>
      </c>
      <c r="BQ82">
        <f>BQ81+IF(AND(Lists!$CL$29&lt;&gt;"",ISNUMBER(SEARCH($Q$4,Lists!$CL$29))),1,0)</f>
        <v/>
      </c>
      <c r="BR82">
        <f>IF(ROW()-56&gt;MAX($BQ$57:$BQ$95),"",INDEX(Lists!$CL$4:$CL$42,MATCH(ROW()-56,$BQ$57:$BQ$95,0)))</f>
        <v/>
      </c>
      <c r="BS82">
        <f>BS81+IF(AND(Lists!$CQ$29&lt;&gt;"",ISNUMBER(SEARCH($R$4,Lists!$CQ$29))),1,0)</f>
        <v/>
      </c>
      <c r="BT82">
        <f>IF(ROW()-56&gt;MAX($BS$57:$BS$95),"",INDEX(Lists!$CQ$4:$CQ$42,MATCH(ROW()-56,$BS$57:$BS$95,0)))</f>
        <v/>
      </c>
      <c r="BU82">
        <f>BU81+IF(AND(Lists!$CV$29&lt;&gt;"",ISNUMBER(SEARCH($S$4,Lists!$CV$29))),1,0)</f>
        <v/>
      </c>
      <c r="BV82">
        <f>IF(ROW()-56&gt;MAX($BU$57:$BU$95),"",INDEX(Lists!$CV$4:$CV$42,MATCH(ROW()-56,$BU$57:$BU$95,0)))</f>
        <v/>
      </c>
      <c r="BW82">
        <f>BW81+IF(AND(Lists!$DA$29&lt;&gt;"",ISNUMBER(SEARCH($T$4,Lists!$DA$29))),1,0)</f>
        <v/>
      </c>
      <c r="BX82">
        <f>IF(ROW()-56&gt;MAX($BW$57:$BW$95),"",INDEX(Lists!$DA$4:$DA$42,MATCH(ROW()-56,$BW$57:$BW$95,0)))</f>
        <v/>
      </c>
      <c r="BY82">
        <f>BY81+IF(AND(Lists!$DF$29&lt;&gt;"",ISNUMBER(SEARCH($U$4,Lists!$DF$29))),1,0)</f>
        <v/>
      </c>
      <c r="BZ82">
        <f>IF(ROW()-56&gt;MAX($BY$57:$BY$95),"",INDEX(Lists!$DF$4:$DF$42,MATCH(ROW()-56,$BY$57:$BY$95,0)))</f>
        <v/>
      </c>
      <c r="CA82">
        <f>CA81+IF(AND(Lists!$DK$29&lt;&gt;"",ISNUMBER(SEARCH($V$4,Lists!$DK$29))),1,0)</f>
        <v/>
      </c>
      <c r="CB82">
        <f>IF(ROW()-56&gt;MAX($CA$57:$CA$95),"",INDEX(Lists!$DK$4:$DK$42,MATCH(ROW()-56,$CA$57:$CA$95,0)))</f>
        <v/>
      </c>
      <c r="CC82">
        <f>CC81+IF(AND(Lists!$DP$29&lt;&gt;"",ISNUMBER(SEARCH($W$4,Lists!$DP$29))),1,0)</f>
        <v/>
      </c>
      <c r="CD82">
        <f>IF(ROW()-56&gt;MAX($CC$57:$CC$95),"",INDEX(Lists!$DP$4:$DP$42,MATCH(ROW()-56,$CC$57:$CC$95,0)))</f>
        <v/>
      </c>
      <c r="CE82">
        <f>CE81+IF(AND(Lists!$DU$29&lt;&gt;"",ISNUMBER(SEARCH($X$4,Lists!$DU$29))),1,0)</f>
        <v/>
      </c>
      <c r="CF82">
        <f>IF(ROW()-56&gt;MAX($CE$57:$CE$95),"",INDEX(Lists!$DU$4:$DU$42,MATCH(ROW()-56,$CE$57:$CE$95,0)))</f>
        <v/>
      </c>
      <c r="CG82">
        <f>CG81+IF(AND(Lists!$DZ$29&lt;&gt;"",ISNUMBER(SEARCH($Y$4,Lists!$DZ$29))),1,0)</f>
        <v/>
      </c>
      <c r="CH82">
        <f>IF(ROW()-56&gt;MAX($CG$57:$CG$95),"",INDEX(Lists!$DZ$4:$DZ$42,MATCH(ROW()-56,$CG$57:$CG$95,0)))</f>
        <v/>
      </c>
      <c r="CI82">
        <f>CI81+IF(AND(Lists!$EE$29&lt;&gt;"",ISNUMBER(SEARCH($Z$4,Lists!$EE$29))),1,0)</f>
        <v/>
      </c>
      <c r="CJ82">
        <f>IF(ROW()-56&gt;MAX($CI$57:$CI$95),"",INDEX(Lists!$EE$4:$EE$42,MATCH(ROW()-56,$CI$57:$CI$95,0)))</f>
        <v/>
      </c>
      <c r="CK82">
        <f>CK81+IF(AND(Lists!$EJ$29&lt;&gt;"",ISNUMBER(SEARCH($AA$4,Lists!$EJ$29))),1,0)</f>
        <v/>
      </c>
      <c r="CL82">
        <f>IF(ROW()-56&gt;MAX($CK$57:$CK$95),"",INDEX(Lists!$EJ$4:$EJ$42,MATCH(ROW()-56,$CK$57:$CK$95,0)))</f>
        <v/>
      </c>
      <c r="CM82">
        <f>CM81+IF(AND(Lists!$EO$29&lt;&gt;"",ISNUMBER(SEARCH($AB$4,Lists!$EO$29))),1,0)</f>
        <v/>
      </c>
      <c r="CN82">
        <f>IF(ROW()-56&gt;MAX($CM$57:$CM$95),"",INDEX(Lists!$EO$4:$EO$42,MATCH(ROW()-56,$CM$57:$CM$95,0)))</f>
        <v/>
      </c>
      <c r="CO82">
        <f>CO81+IF(AND(Lists!$ET$29&lt;&gt;"",ISNUMBER(SEARCH($AC$4,Lists!$ET$29))),1,0)</f>
        <v/>
      </c>
      <c r="CP82">
        <f>IF(ROW()-56&gt;MAX($CO$57:$CO$95),"",INDEX(Lists!$ET$4:$ET$42,MATCH(ROW()-56,$CO$57:$CO$95,0)))</f>
        <v/>
      </c>
      <c r="CQ82">
        <f>CQ81+IF(AND(Lists!$EY$29&lt;&gt;"",ISNUMBER(SEARCH($AD$4,Lists!$EY$29))),1,0)</f>
        <v/>
      </c>
      <c r="CR82">
        <f>IF(ROW()-56&gt;MAX($CQ$57:$CQ$95),"",INDEX(Lists!$EY$4:$EY$42,MATCH(ROW()-56,$CQ$57:$CQ$95,0)))</f>
        <v/>
      </c>
      <c r="CS82">
        <f>CS81+IF(AND(Lists!$FD$29&lt;&gt;"",ISNUMBER(SEARCH($AE$4,Lists!$FD$29))),1,0)</f>
        <v/>
      </c>
      <c r="CT82">
        <f>IF(ROW()-56&gt;MAX($CS$57:$CS$95),"",INDEX(Lists!$FD$4:$FD$42,MATCH(ROW()-56,$CS$57:$CS$95,0)))</f>
        <v/>
      </c>
      <c r="CU82">
        <f>CU81+IF(AND(Lists!$FI$29&lt;&gt;"",ISNUMBER(SEARCH($AG$4,Lists!$FI$29))),1,0)</f>
        <v/>
      </c>
      <c r="CV82">
        <f>IF(ROW()-56&gt;MAX($CU$57:$CU$95),"",INDEX(Lists!$FI$4:$FI$42,MATCH(ROW()-56,$CU$57:$CU$95,0)))</f>
        <v/>
      </c>
      <c r="CW82">
        <f>CW81+IF(AND(Lists!$FN$29&lt;&gt;"",ISNUMBER(SEARCH($AH$4,Lists!$FN$29))),1,0)</f>
        <v/>
      </c>
      <c r="CX82">
        <f>IF(ROW()-56&gt;MAX($CW$57:$CW$95),"",INDEX(Lists!$FN$4:$FN$42,MATCH(ROW()-56,$CW$57:$CW$95,0)))</f>
        <v/>
      </c>
      <c r="CY82">
        <f>CY81+IF(AND(Lists!$FS$29&lt;&gt;"",ISNUMBER(SEARCH($AI$4,Lists!$FS$29))),1,0)</f>
        <v/>
      </c>
      <c r="CZ82">
        <f>IF(ROW()-56&gt;MAX($CY$57:$CY$95),"",INDEX(Lists!$FS$4:$FS$42,MATCH(ROW()-56,$CY$57:$CY$95,0)))</f>
        <v/>
      </c>
      <c r="DA82">
        <f>DA81+IF(AND(Lists!$FX$29&lt;&gt;"",ISNUMBER(SEARCH($AF$4,Lists!$FX$29))),1,0)</f>
        <v/>
      </c>
      <c r="DB82">
        <f>IF(ROW()-56&gt;MAX($DA$57:$DA$95),"",INDEX(Lists!$FX$4:$FX$42,MATCH(ROW()-56,$DA$57:$DA$95,0)))</f>
        <v/>
      </c>
      <c r="DG82">
        <f>IF($B$4="",1,IF($B$4="(blank)",--('Final Calculation Sheet'!$F$27=""),IF($B$4="(nonblank)",--('Final Calculation Sheet'!$F$27&lt;&gt;""),--ISNUMBER(SEARCH($B$4,'Final Calculation Sheet'!$F$27)))))</f>
        <v/>
      </c>
      <c r="DH82">
        <f>IF($C$4="",1,IF($C$4="(blank)",--('Final Calculation Sheet'!$G$27=""),IF($C$4="(nonblank)",--('Final Calculation Sheet'!$G$27&lt;&gt;""),--ISNUMBER(SEARCH($C$4,'Final Calculation Sheet'!$G$27)))))</f>
        <v/>
      </c>
      <c r="DI82">
        <f>IF($D$4="",1,IF($D$4="(blank)",--('Final Calculation Sheet'!$B$27=""),IF($D$4="(nonblank)",--('Final Calculation Sheet'!$B$27&lt;&gt;""),--ISNUMBER(SEARCH($D$4,'Final Calculation Sheet'!$B$27)))))</f>
        <v/>
      </c>
      <c r="DJ82">
        <f>IF($E$4="",1,IF($E$4="(blank)",--('Final Calculation Sheet'!$D$27=""),IF($E$4="(nonblank)",--('Final Calculation Sheet'!$D$27&lt;&gt;""),--ISNUMBER(SEARCH($E$4,'Final Calculation Sheet'!$D$27)))))</f>
        <v/>
      </c>
      <c r="DK82">
        <f>IF($F$4="",1,IF($F$4="(blank)",--('Final Calculation Sheet'!$A$27=""),IF($F$4="(nonblank)",--('Final Calculation Sheet'!$A$27&lt;&gt;""),--ISNUMBER(SEARCH($F$4,'Final Calculation Sheet'!$A$27)))))</f>
        <v/>
      </c>
      <c r="DL82">
        <f>IF($G$4="",1,IF($G$4="(blank)",--('Final Calculation Sheet'!$E$27=""),IF($G$4="(nonblank)",--('Final Calculation Sheet'!$E$27&lt;&gt;""),--ISNUMBER(SEARCH($G$4,'Final Calculation Sheet'!$E$27)))))</f>
        <v/>
      </c>
      <c r="DM82">
        <f>IF($H$4="",1,IF($H$4="(blank)",--('Final Calculation Sheet'!$C$27=""),IF($H$4="(nonblank)",--('Final Calculation Sheet'!$C$27&lt;&gt;""),--ISNUMBER(SEARCH($H$4,'Final Calculation Sheet'!$C$27)))))</f>
        <v/>
      </c>
      <c r="DN82">
        <f>IF($I$4="",1,IF($I$4="(blank)",--('Final Calculation Sheet'!$H$27=""),IF($I$4="(nonblank)",--('Final Calculation Sheet'!$H$27&lt;&gt;""),--ISNUMBER(SEARCH($I$4,'Final Calculation Sheet'!$H$27)))))</f>
        <v/>
      </c>
      <c r="DO82">
        <f>IF($J$4="",1,IF($J$4="(blank)",--('Final Calculation Sheet'!$I$27=""),IF($J$4="(nonblank)",--('Final Calculation Sheet'!$I$27&lt;&gt;""),--ISNUMBER(SEARCH($J$4,'Final Calculation Sheet'!$I$27)))))</f>
        <v/>
      </c>
      <c r="DP82">
        <f>IF($K$4="",1,IF($K$4="(blank)",--('Final Calculation Sheet'!$J$27=""),IF($K$4="(nonblank)",--('Final Calculation Sheet'!$J$27&lt;&gt;""),--ISNUMBER(SEARCH($K$4,'Final Calculation Sheet'!$J$27)))))</f>
        <v/>
      </c>
      <c r="DQ82">
        <f>IF($L$4="",1,IF($L$4="(blank)",--('Final Calculation Sheet'!$K$27=""),IF($L$4="(nonblank)",--('Final Calculation Sheet'!$K$27&lt;&gt;""),--ISNUMBER(SEARCH($L$4,'Final Calculation Sheet'!$K$27)))))</f>
        <v/>
      </c>
      <c r="DR82">
        <f>IF($M$4="",1,IF($M$4="(blank)",--('Final Calculation Sheet'!$L$27=""),IF($M$4="(nonblank)",--('Final Calculation Sheet'!$L$27&lt;&gt;""),--ISNUMBER(SEARCH($M$4,'Final Calculation Sheet'!$L$27)))))</f>
        <v/>
      </c>
      <c r="DS82">
        <f>IF($N$4="",1,IF($N$4="(blank)",--('Final Calculation Sheet'!$M$27=""),IF($N$4="(nonblank)",--('Final Calculation Sheet'!$M$27&lt;&gt;""),--ISNUMBER(SEARCH($N$4,'Final Calculation Sheet'!$M$27)))))</f>
        <v/>
      </c>
      <c r="DT82">
        <f>IF($O$4="",1,IF($O$4="(blank)",--('Final Calculation Sheet'!$N$27=""),IF($O$4="(nonblank)",--('Final Calculation Sheet'!$N$27&lt;&gt;""),--ISNUMBER(SEARCH($O$4,'Final Calculation Sheet'!$N$27)))))</f>
        <v/>
      </c>
      <c r="DU82">
        <f>IF($P$4="",1,IF($P$4="(blank)",--('Final Calculation Sheet'!$O$27=""),IF($P$4="(nonblank)",--('Final Calculation Sheet'!$O$27&lt;&gt;""),--ISNUMBER(SEARCH($P$4,'Final Calculation Sheet'!$O$27)))))</f>
        <v/>
      </c>
      <c r="DV82">
        <f>IF($Q$4="",1,IF($Q$4="(blank)",--('Final Calculation Sheet'!$P$27=""),IF($Q$4="(nonblank)",--('Final Calculation Sheet'!$P$27&lt;&gt;""),--ISNUMBER(SEARCH($Q$4,'Final Calculation Sheet'!$P$27)))))</f>
        <v/>
      </c>
      <c r="DW82">
        <f>IF($R$4="",1,IF($R$4="(blank)",--('Final Calculation Sheet'!$Q$27=""),IF($R$4="(nonblank)",--('Final Calculation Sheet'!$Q$27&lt;&gt;""),--ISNUMBER(SEARCH($R$4,'Final Calculation Sheet'!$Q$27)))))</f>
        <v/>
      </c>
      <c r="DX82">
        <f>IF($S$4="",1,IF($S$4="(blank)",--('Final Calculation Sheet'!$R$27=""),IF($S$4="(nonblank)",--('Final Calculation Sheet'!$R$27&lt;&gt;""),--ISNUMBER(SEARCH($S$4,'Final Calculation Sheet'!$R$27)))))</f>
        <v/>
      </c>
      <c r="DY82">
        <f>IF($T$4="",1,IF($T$4="(blank)",--('Final Calculation Sheet'!$S$27=""),IF($T$4="(nonblank)",--('Final Calculation Sheet'!$S$27&lt;&gt;""),--ISNUMBER(SEARCH($T$4,'Final Calculation Sheet'!$S$27)))))</f>
        <v/>
      </c>
      <c r="DZ82">
        <f>IF($U$4="",1,IF($U$4="(blank)",--('Final Calculation Sheet'!$T$27=""),IF($U$4="(nonblank)",--('Final Calculation Sheet'!$T$27&lt;&gt;""),--ISNUMBER(SEARCH($U$4,'Final Calculation Sheet'!$T$27)))))</f>
        <v/>
      </c>
      <c r="EA82">
        <f>IF($V$4="",1,IF($V$4="(blank)",--('Final Calculation Sheet'!$U$27=""),IF($V$4="(nonblank)",--('Final Calculation Sheet'!$U$27&lt;&gt;""),--ISNUMBER(SEARCH($V$4,'Final Calculation Sheet'!$U$27)))))</f>
        <v/>
      </c>
      <c r="EB82">
        <f>IF($W$4="",1,IF($W$4="(blank)",--('Final Calculation Sheet'!$V$27=""),IF($W$4="(nonblank)",--('Final Calculation Sheet'!$V$27&lt;&gt;""),--ISNUMBER(SEARCH($W$4,'Final Calculation Sheet'!$V$27)))))</f>
        <v/>
      </c>
      <c r="EC82">
        <f>IF($X$4="",1,IF($X$4="(blank)",--('Final Calculation Sheet'!$W$27=""),IF($X$4="(nonblank)",--('Final Calculation Sheet'!$W$27&lt;&gt;""),--ISNUMBER(SEARCH($X$4,'Final Calculation Sheet'!$W$27)))))</f>
        <v/>
      </c>
      <c r="ED82">
        <f>IF($Y$4="",1,IF($Y$4="(blank)",--('Final Calculation Sheet'!$X$27=""),IF($Y$4="(nonblank)",--('Final Calculation Sheet'!$X$27&lt;&gt;""),--ISNUMBER(SEARCH($Y$4,'Final Calculation Sheet'!$X$27)))))</f>
        <v/>
      </c>
      <c r="EE82">
        <f>IF($Z$4="",1,IF($Z$4="(blank)",--('Final Calculation Sheet'!$Y$27=""),IF($Z$4="(nonblank)",--('Final Calculation Sheet'!$Y$27&lt;&gt;""),--ISNUMBER(SEARCH($Z$4,'Final Calculation Sheet'!$Y$27)))))</f>
        <v/>
      </c>
      <c r="EF82">
        <f>IF($AA$4="",1,IF($AA$4="(blank)",--('Final Calculation Sheet'!$Z$27=""),IF($AA$4="(nonblank)",--('Final Calculation Sheet'!$Z$27&lt;&gt;""),--ISNUMBER(SEARCH($AA$4,'Final Calculation Sheet'!$Z$27)))))</f>
        <v/>
      </c>
      <c r="EG82">
        <f>IF($AB$4="",1,IF($AB$4="(blank)",--('Final Calculation Sheet'!$AA$27=""),IF($AB$4="(nonblank)",--('Final Calculation Sheet'!$AA$27&lt;&gt;""),--ISNUMBER(SEARCH($AB$4,'Final Calculation Sheet'!$AA$27)))))</f>
        <v/>
      </c>
      <c r="EH82">
        <f>IF($AC$4="",1,IF($AC$4="(blank)",--('Final Calculation Sheet'!$AB$27=""),IF($AC$4="(nonblank)",--('Final Calculation Sheet'!$AB$27&lt;&gt;""),--ISNUMBER(SEARCH($AC$4,'Final Calculation Sheet'!$AB$27)))))</f>
        <v/>
      </c>
      <c r="EI82">
        <f>IF($AD$4="",1,IF($AD$4="(blank)",--('Final Calculation Sheet'!$AC$27=""),IF($AD$4="(nonblank)",--('Final Calculation Sheet'!$AC$27&lt;&gt;""),--ISNUMBER(SEARCH($AD$4,'Final Calculation Sheet'!$AC$27)))))</f>
        <v/>
      </c>
      <c r="EJ82">
        <f>IF($AE$4="",1,IF($AE$4="(blank)",--('Final Calculation Sheet'!$AD$27=""),IF($AE$4="(nonblank)",--('Final Calculation Sheet'!$AD$27&lt;&gt;""),--ISNUMBER(SEARCH($AE$4,'Final Calculation Sheet'!$AD$27)))))</f>
        <v/>
      </c>
      <c r="EK82">
        <f>IF($AF$4="",1,IF($AF$4="(blank)",--(IF('Final Calculation Sheet'!$AD$27&lt;=5,"SETTLED","OUTSTANDING")=""),IF($AF$4="(nonblank)",--(IF('Final Calculation Sheet'!$AD$27&lt;=5,"SETTLED","OUTSTANDING")&lt;&gt;""),--ISNUMBER(SEARCH($AF$4,IF('Final Calculation Sheet'!$AD$27&lt;=5,"SETTLED","OUTSTANDING"))))))</f>
        <v/>
      </c>
      <c r="EL82">
        <f>IF($AG$4="",1,IF($AG$4="(blank)",--('Final Calculation Sheet'!$AF$27=""),IF($AG$4="(nonblank)",--('Final Calculation Sheet'!$AF$27&lt;&gt;""),--ISNUMBER(SEARCH($AG$4,'Final Calculation Sheet'!$AF$27)))))</f>
        <v/>
      </c>
      <c r="EM82">
        <f>IF($AH$4="",1,IF($AH$4="(blank)",--('Final Calculation Sheet'!$AG$27=""),IF($AH$4="(nonblank)",--('Final Calculation Sheet'!$AG$27&lt;&gt;""),--ISNUMBER(SEARCH($AH$4,'Final Calculation Sheet'!$AG$27)))))</f>
        <v/>
      </c>
      <c r="EN82">
        <f>IF($AI$4="",1,IF($AI$4="(blank)",--('Final Calculation Sheet'!$AH$27=""),IF($AI$4="(nonblank)",--('Final Calculation Sheet'!$AH$27&lt;&gt;""),--ISNUMBER(SEARCH($AI$4,'Final Calculation Sheet'!$AH$27)))))</f>
        <v/>
      </c>
    </row>
    <row r="83">
      <c r="AM83">
        <f>AM82+IF(AND(Lists!$O$30&lt;&gt;"",ISNUMBER(SEARCH($B$4,Lists!$O$30))),1,0)</f>
        <v/>
      </c>
      <c r="AN83">
        <f>IF(ROW()-56&gt;MAX($AM$57:$AM$95),"",INDEX(Lists!$O$4:$O$42,MATCH(ROW()-56,$AM$57:$AM$95,0)))</f>
        <v/>
      </c>
      <c r="AO83">
        <f>AO82+IF(AND(Lists!$T$30&lt;&gt;"",ISNUMBER(SEARCH($C$4,Lists!$T$30))),1,0)</f>
        <v/>
      </c>
      <c r="AP83">
        <f>IF(ROW()-56&gt;MAX($AO$57:$AO$95),"",INDEX(Lists!$T$4:$T$42,MATCH(ROW()-56,$AO$57:$AO$95,0)))</f>
        <v/>
      </c>
      <c r="AQ83">
        <f>AQ82+IF(AND(Lists!$Y$30&lt;&gt;"",ISNUMBER(SEARCH($D$4,Lists!$Y$30))),1,0)</f>
        <v/>
      </c>
      <c r="AR83">
        <f>IF(ROW()-56&gt;MAX($AQ$57:$AQ$95),"",INDEX(Lists!$Y$4:$Y$42,MATCH(ROW()-56,$AQ$57:$AQ$95,0)))</f>
        <v/>
      </c>
      <c r="AS83">
        <f>AS82+IF(AND(Lists!$AD$30&lt;&gt;"",ISNUMBER(SEARCH($E$4,Lists!$AD$30))),1,0)</f>
        <v/>
      </c>
      <c r="AT83">
        <f>IF(ROW()-56&gt;MAX($AS$57:$AS$95),"",INDEX(Lists!$AD$4:$AD$42,MATCH(ROW()-56,$AS$57:$AS$95,0)))</f>
        <v/>
      </c>
      <c r="AU83">
        <f>AU82+IF(AND(Lists!$AI$30&lt;&gt;"",ISNUMBER(SEARCH($F$4,Lists!$AI$30))),1,0)</f>
        <v/>
      </c>
      <c r="AV83">
        <f>IF(ROW()-56&gt;MAX($AU$57:$AU$95),"",INDEX(Lists!$AI$4:$AI$42,MATCH(ROW()-56,$AU$57:$AU$95,0)))</f>
        <v/>
      </c>
      <c r="AW83">
        <f>AW82+IF(AND(Lists!$AN$30&lt;&gt;"",ISNUMBER(SEARCH($G$4,Lists!$AN$30))),1,0)</f>
        <v/>
      </c>
      <c r="AX83">
        <f>IF(ROW()-56&gt;MAX($AW$57:$AW$95),"",INDEX(Lists!$AN$4:$AN$42,MATCH(ROW()-56,$AW$57:$AW$95,0)))</f>
        <v/>
      </c>
      <c r="AY83">
        <f>AY82+IF(AND(Lists!$AS$30&lt;&gt;"",ISNUMBER(SEARCH($H$4,Lists!$AS$30))),1,0)</f>
        <v/>
      </c>
      <c r="AZ83">
        <f>IF(ROW()-56&gt;MAX($AY$57:$AY$95),"",INDEX(Lists!$AS$4:$AS$42,MATCH(ROW()-56,$AY$57:$AY$95,0)))</f>
        <v/>
      </c>
      <c r="BA83">
        <f>BA82+IF(AND(Lists!$AX$30&lt;&gt;"",ISNUMBER(SEARCH($I$4,Lists!$AX$30))),1,0)</f>
        <v/>
      </c>
      <c r="BB83">
        <f>IF(ROW()-56&gt;MAX($BA$57:$BA$95),"",INDEX(Lists!$AX$4:$AX$42,MATCH(ROW()-56,$BA$57:$BA$95,0)))</f>
        <v/>
      </c>
      <c r="BC83">
        <f>BC82+IF(AND(Lists!$BC$30&lt;&gt;"",ISNUMBER(SEARCH($J$4,Lists!$BC$30))),1,0)</f>
        <v/>
      </c>
      <c r="BD83">
        <f>IF(ROW()-56&gt;MAX($BC$57:$BC$95),"",INDEX(Lists!$BC$4:$BC$42,MATCH(ROW()-56,$BC$57:$BC$95,0)))</f>
        <v/>
      </c>
      <c r="BE83">
        <f>BE82+IF(AND(Lists!$BH$30&lt;&gt;"",ISNUMBER(SEARCH($K$4,Lists!$BH$30))),1,0)</f>
        <v/>
      </c>
      <c r="BF83">
        <f>IF(ROW()-56&gt;MAX($BE$57:$BE$95),"",INDEX(Lists!$BH$4:$BH$42,MATCH(ROW()-56,$BE$57:$BE$95,0)))</f>
        <v/>
      </c>
      <c r="BG83">
        <f>BG82+IF(AND(Lists!$BM$30&lt;&gt;"",ISNUMBER(SEARCH($L$4,Lists!$BM$30))),1,0)</f>
        <v/>
      </c>
      <c r="BH83">
        <f>IF(ROW()-56&gt;MAX($BG$57:$BG$95),"",INDEX(Lists!$BM$4:$BM$42,MATCH(ROW()-56,$BG$57:$BG$95,0)))</f>
        <v/>
      </c>
      <c r="BI83">
        <f>BI82+IF(AND(Lists!$BR$30&lt;&gt;"",ISNUMBER(SEARCH($M$4,Lists!$BR$30))),1,0)</f>
        <v/>
      </c>
      <c r="BJ83">
        <f>IF(ROW()-56&gt;MAX($BI$57:$BI$95),"",INDEX(Lists!$BR$4:$BR$42,MATCH(ROW()-56,$BI$57:$BI$95,0)))</f>
        <v/>
      </c>
      <c r="BK83">
        <f>BK82+IF(AND(Lists!$BW$30&lt;&gt;"",ISNUMBER(SEARCH($N$4,Lists!$BW$30))),1,0)</f>
        <v/>
      </c>
      <c r="BL83">
        <f>IF(ROW()-56&gt;MAX($BK$57:$BK$95),"",INDEX(Lists!$BW$4:$BW$42,MATCH(ROW()-56,$BK$57:$BK$95,0)))</f>
        <v/>
      </c>
      <c r="BM83">
        <f>BM82+IF(AND(Lists!$CB$30&lt;&gt;"",ISNUMBER(SEARCH($O$4,Lists!$CB$30))),1,0)</f>
        <v/>
      </c>
      <c r="BN83">
        <f>IF(ROW()-56&gt;MAX($BM$57:$BM$95),"",INDEX(Lists!$CB$4:$CB$42,MATCH(ROW()-56,$BM$57:$BM$95,0)))</f>
        <v/>
      </c>
      <c r="BO83">
        <f>BO82+IF(AND(Lists!$CG$30&lt;&gt;"",ISNUMBER(SEARCH($P$4,Lists!$CG$30))),1,0)</f>
        <v/>
      </c>
      <c r="BP83">
        <f>IF(ROW()-56&gt;MAX($BO$57:$BO$95),"",INDEX(Lists!$CG$4:$CG$42,MATCH(ROW()-56,$BO$57:$BO$95,0)))</f>
        <v/>
      </c>
      <c r="BQ83">
        <f>BQ82+IF(AND(Lists!$CL$30&lt;&gt;"",ISNUMBER(SEARCH($Q$4,Lists!$CL$30))),1,0)</f>
        <v/>
      </c>
      <c r="BR83">
        <f>IF(ROW()-56&gt;MAX($BQ$57:$BQ$95),"",INDEX(Lists!$CL$4:$CL$42,MATCH(ROW()-56,$BQ$57:$BQ$95,0)))</f>
        <v/>
      </c>
      <c r="BS83">
        <f>BS82+IF(AND(Lists!$CQ$30&lt;&gt;"",ISNUMBER(SEARCH($R$4,Lists!$CQ$30))),1,0)</f>
        <v/>
      </c>
      <c r="BT83">
        <f>IF(ROW()-56&gt;MAX($BS$57:$BS$95),"",INDEX(Lists!$CQ$4:$CQ$42,MATCH(ROW()-56,$BS$57:$BS$95,0)))</f>
        <v/>
      </c>
      <c r="BU83">
        <f>BU82+IF(AND(Lists!$CV$30&lt;&gt;"",ISNUMBER(SEARCH($S$4,Lists!$CV$30))),1,0)</f>
        <v/>
      </c>
      <c r="BV83">
        <f>IF(ROW()-56&gt;MAX($BU$57:$BU$95),"",INDEX(Lists!$CV$4:$CV$42,MATCH(ROW()-56,$BU$57:$BU$95,0)))</f>
        <v/>
      </c>
      <c r="BW83">
        <f>BW82+IF(AND(Lists!$DA$30&lt;&gt;"",ISNUMBER(SEARCH($T$4,Lists!$DA$30))),1,0)</f>
        <v/>
      </c>
      <c r="BX83">
        <f>IF(ROW()-56&gt;MAX($BW$57:$BW$95),"",INDEX(Lists!$DA$4:$DA$42,MATCH(ROW()-56,$BW$57:$BW$95,0)))</f>
        <v/>
      </c>
      <c r="BY83">
        <f>BY82+IF(AND(Lists!$DF$30&lt;&gt;"",ISNUMBER(SEARCH($U$4,Lists!$DF$30))),1,0)</f>
        <v/>
      </c>
      <c r="BZ83">
        <f>IF(ROW()-56&gt;MAX($BY$57:$BY$95),"",INDEX(Lists!$DF$4:$DF$42,MATCH(ROW()-56,$BY$57:$BY$95,0)))</f>
        <v/>
      </c>
      <c r="CA83">
        <f>CA82+IF(AND(Lists!$DK$30&lt;&gt;"",ISNUMBER(SEARCH($V$4,Lists!$DK$30))),1,0)</f>
        <v/>
      </c>
      <c r="CB83">
        <f>IF(ROW()-56&gt;MAX($CA$57:$CA$95),"",INDEX(Lists!$DK$4:$DK$42,MATCH(ROW()-56,$CA$57:$CA$95,0)))</f>
        <v/>
      </c>
      <c r="CC83">
        <f>CC82+IF(AND(Lists!$DP$30&lt;&gt;"",ISNUMBER(SEARCH($W$4,Lists!$DP$30))),1,0)</f>
        <v/>
      </c>
      <c r="CD83">
        <f>IF(ROW()-56&gt;MAX($CC$57:$CC$95),"",INDEX(Lists!$DP$4:$DP$42,MATCH(ROW()-56,$CC$57:$CC$95,0)))</f>
        <v/>
      </c>
      <c r="CE83">
        <f>CE82+IF(AND(Lists!$DU$30&lt;&gt;"",ISNUMBER(SEARCH($X$4,Lists!$DU$30))),1,0)</f>
        <v/>
      </c>
      <c r="CF83">
        <f>IF(ROW()-56&gt;MAX($CE$57:$CE$95),"",INDEX(Lists!$DU$4:$DU$42,MATCH(ROW()-56,$CE$57:$CE$95,0)))</f>
        <v/>
      </c>
      <c r="CG83">
        <f>CG82+IF(AND(Lists!$DZ$30&lt;&gt;"",ISNUMBER(SEARCH($Y$4,Lists!$DZ$30))),1,0)</f>
        <v/>
      </c>
      <c r="CH83">
        <f>IF(ROW()-56&gt;MAX($CG$57:$CG$95),"",INDEX(Lists!$DZ$4:$DZ$42,MATCH(ROW()-56,$CG$57:$CG$95,0)))</f>
        <v/>
      </c>
      <c r="CI83">
        <f>CI82+IF(AND(Lists!$EE$30&lt;&gt;"",ISNUMBER(SEARCH($Z$4,Lists!$EE$30))),1,0)</f>
        <v/>
      </c>
      <c r="CJ83">
        <f>IF(ROW()-56&gt;MAX($CI$57:$CI$95),"",INDEX(Lists!$EE$4:$EE$42,MATCH(ROW()-56,$CI$57:$CI$95,0)))</f>
        <v/>
      </c>
      <c r="CK83">
        <f>CK82+IF(AND(Lists!$EJ$30&lt;&gt;"",ISNUMBER(SEARCH($AA$4,Lists!$EJ$30))),1,0)</f>
        <v/>
      </c>
      <c r="CL83">
        <f>IF(ROW()-56&gt;MAX($CK$57:$CK$95),"",INDEX(Lists!$EJ$4:$EJ$42,MATCH(ROW()-56,$CK$57:$CK$95,0)))</f>
        <v/>
      </c>
      <c r="CM83">
        <f>CM82+IF(AND(Lists!$EO$30&lt;&gt;"",ISNUMBER(SEARCH($AB$4,Lists!$EO$30))),1,0)</f>
        <v/>
      </c>
      <c r="CN83">
        <f>IF(ROW()-56&gt;MAX($CM$57:$CM$95),"",INDEX(Lists!$EO$4:$EO$42,MATCH(ROW()-56,$CM$57:$CM$95,0)))</f>
        <v/>
      </c>
      <c r="CO83">
        <f>CO82+IF(AND(Lists!$ET$30&lt;&gt;"",ISNUMBER(SEARCH($AC$4,Lists!$ET$30))),1,0)</f>
        <v/>
      </c>
      <c r="CP83">
        <f>IF(ROW()-56&gt;MAX($CO$57:$CO$95),"",INDEX(Lists!$ET$4:$ET$42,MATCH(ROW()-56,$CO$57:$CO$95,0)))</f>
        <v/>
      </c>
      <c r="CQ83">
        <f>CQ82+IF(AND(Lists!$EY$30&lt;&gt;"",ISNUMBER(SEARCH($AD$4,Lists!$EY$30))),1,0)</f>
        <v/>
      </c>
      <c r="CR83">
        <f>IF(ROW()-56&gt;MAX($CQ$57:$CQ$95),"",INDEX(Lists!$EY$4:$EY$42,MATCH(ROW()-56,$CQ$57:$CQ$95,0)))</f>
        <v/>
      </c>
      <c r="CS83">
        <f>CS82+IF(AND(Lists!$FD$30&lt;&gt;"",ISNUMBER(SEARCH($AE$4,Lists!$FD$30))),1,0)</f>
        <v/>
      </c>
      <c r="CT83">
        <f>IF(ROW()-56&gt;MAX($CS$57:$CS$95),"",INDEX(Lists!$FD$4:$FD$42,MATCH(ROW()-56,$CS$57:$CS$95,0)))</f>
        <v/>
      </c>
      <c r="CU83">
        <f>CU82+IF(AND(Lists!$FI$30&lt;&gt;"",ISNUMBER(SEARCH($AG$4,Lists!$FI$30))),1,0)</f>
        <v/>
      </c>
      <c r="CV83">
        <f>IF(ROW()-56&gt;MAX($CU$57:$CU$95),"",INDEX(Lists!$FI$4:$FI$42,MATCH(ROW()-56,$CU$57:$CU$95,0)))</f>
        <v/>
      </c>
      <c r="CW83">
        <f>CW82+IF(AND(Lists!$FN$30&lt;&gt;"",ISNUMBER(SEARCH($AH$4,Lists!$FN$30))),1,0)</f>
        <v/>
      </c>
      <c r="CX83">
        <f>IF(ROW()-56&gt;MAX($CW$57:$CW$95),"",INDEX(Lists!$FN$4:$FN$42,MATCH(ROW()-56,$CW$57:$CW$95,0)))</f>
        <v/>
      </c>
      <c r="CY83">
        <f>CY82+IF(AND(Lists!$FS$30&lt;&gt;"",ISNUMBER(SEARCH($AI$4,Lists!$FS$30))),1,0)</f>
        <v/>
      </c>
      <c r="CZ83">
        <f>IF(ROW()-56&gt;MAX($CY$57:$CY$95),"",INDEX(Lists!$FS$4:$FS$42,MATCH(ROW()-56,$CY$57:$CY$95,0)))</f>
        <v/>
      </c>
      <c r="DA83">
        <f>DA82+IF(AND(Lists!$FX$30&lt;&gt;"",ISNUMBER(SEARCH($AF$4,Lists!$FX$30))),1,0)</f>
        <v/>
      </c>
      <c r="DB83">
        <f>IF(ROW()-56&gt;MAX($DA$57:$DA$95),"",INDEX(Lists!$FX$4:$FX$42,MATCH(ROW()-56,$DA$57:$DA$95,0)))</f>
        <v/>
      </c>
      <c r="DG83">
        <f>IF($B$4="",1,IF($B$4="(blank)",--('Final Calculation Sheet'!$F$28=""),IF($B$4="(nonblank)",--('Final Calculation Sheet'!$F$28&lt;&gt;""),--ISNUMBER(SEARCH($B$4,'Final Calculation Sheet'!$F$28)))))</f>
        <v/>
      </c>
      <c r="DH83">
        <f>IF($C$4="",1,IF($C$4="(blank)",--('Final Calculation Sheet'!$G$28=""),IF($C$4="(nonblank)",--('Final Calculation Sheet'!$G$28&lt;&gt;""),--ISNUMBER(SEARCH($C$4,'Final Calculation Sheet'!$G$28)))))</f>
        <v/>
      </c>
      <c r="DI83">
        <f>IF($D$4="",1,IF($D$4="(blank)",--('Final Calculation Sheet'!$B$28=""),IF($D$4="(nonblank)",--('Final Calculation Sheet'!$B$28&lt;&gt;""),--ISNUMBER(SEARCH($D$4,'Final Calculation Sheet'!$B$28)))))</f>
        <v/>
      </c>
      <c r="DJ83">
        <f>IF($E$4="",1,IF($E$4="(blank)",--('Final Calculation Sheet'!$D$28=""),IF($E$4="(nonblank)",--('Final Calculation Sheet'!$D$28&lt;&gt;""),--ISNUMBER(SEARCH($E$4,'Final Calculation Sheet'!$D$28)))))</f>
        <v/>
      </c>
      <c r="DK83">
        <f>IF($F$4="",1,IF($F$4="(blank)",--('Final Calculation Sheet'!$A$28=""),IF($F$4="(nonblank)",--('Final Calculation Sheet'!$A$28&lt;&gt;""),--ISNUMBER(SEARCH($F$4,'Final Calculation Sheet'!$A$28)))))</f>
        <v/>
      </c>
      <c r="DL83">
        <f>IF($G$4="",1,IF($G$4="(blank)",--('Final Calculation Sheet'!$E$28=""),IF($G$4="(nonblank)",--('Final Calculation Sheet'!$E$28&lt;&gt;""),--ISNUMBER(SEARCH($G$4,'Final Calculation Sheet'!$E$28)))))</f>
        <v/>
      </c>
      <c r="DM83">
        <f>IF($H$4="",1,IF($H$4="(blank)",--('Final Calculation Sheet'!$C$28=""),IF($H$4="(nonblank)",--('Final Calculation Sheet'!$C$28&lt;&gt;""),--ISNUMBER(SEARCH($H$4,'Final Calculation Sheet'!$C$28)))))</f>
        <v/>
      </c>
      <c r="DN83">
        <f>IF($I$4="",1,IF($I$4="(blank)",--('Final Calculation Sheet'!$H$28=""),IF($I$4="(nonblank)",--('Final Calculation Sheet'!$H$28&lt;&gt;""),--ISNUMBER(SEARCH($I$4,'Final Calculation Sheet'!$H$28)))))</f>
        <v/>
      </c>
      <c r="DO83">
        <f>IF($J$4="",1,IF($J$4="(blank)",--('Final Calculation Sheet'!$I$28=""),IF($J$4="(nonblank)",--('Final Calculation Sheet'!$I$28&lt;&gt;""),--ISNUMBER(SEARCH($J$4,'Final Calculation Sheet'!$I$28)))))</f>
        <v/>
      </c>
      <c r="DP83">
        <f>IF($K$4="",1,IF($K$4="(blank)",--('Final Calculation Sheet'!$J$28=""),IF($K$4="(nonblank)",--('Final Calculation Sheet'!$J$28&lt;&gt;""),--ISNUMBER(SEARCH($K$4,'Final Calculation Sheet'!$J$28)))))</f>
        <v/>
      </c>
      <c r="DQ83">
        <f>IF($L$4="",1,IF($L$4="(blank)",--('Final Calculation Sheet'!$K$28=""),IF($L$4="(nonblank)",--('Final Calculation Sheet'!$K$28&lt;&gt;""),--ISNUMBER(SEARCH($L$4,'Final Calculation Sheet'!$K$28)))))</f>
        <v/>
      </c>
      <c r="DR83">
        <f>IF($M$4="",1,IF($M$4="(blank)",--('Final Calculation Sheet'!$L$28=""),IF($M$4="(nonblank)",--('Final Calculation Sheet'!$L$28&lt;&gt;""),--ISNUMBER(SEARCH($M$4,'Final Calculation Sheet'!$L$28)))))</f>
        <v/>
      </c>
      <c r="DS83">
        <f>IF($N$4="",1,IF($N$4="(blank)",--('Final Calculation Sheet'!$M$28=""),IF($N$4="(nonblank)",--('Final Calculation Sheet'!$M$28&lt;&gt;""),--ISNUMBER(SEARCH($N$4,'Final Calculation Sheet'!$M$28)))))</f>
        <v/>
      </c>
      <c r="DT83">
        <f>IF($O$4="",1,IF($O$4="(blank)",--('Final Calculation Sheet'!$N$28=""),IF($O$4="(nonblank)",--('Final Calculation Sheet'!$N$28&lt;&gt;""),--ISNUMBER(SEARCH($O$4,'Final Calculation Sheet'!$N$28)))))</f>
        <v/>
      </c>
      <c r="DU83">
        <f>IF($P$4="",1,IF($P$4="(blank)",--('Final Calculation Sheet'!$O$28=""),IF($P$4="(nonblank)",--('Final Calculation Sheet'!$O$28&lt;&gt;""),--ISNUMBER(SEARCH($P$4,'Final Calculation Sheet'!$O$28)))))</f>
        <v/>
      </c>
      <c r="DV83">
        <f>IF($Q$4="",1,IF($Q$4="(blank)",--('Final Calculation Sheet'!$P$28=""),IF($Q$4="(nonblank)",--('Final Calculation Sheet'!$P$28&lt;&gt;""),--ISNUMBER(SEARCH($Q$4,'Final Calculation Sheet'!$P$28)))))</f>
        <v/>
      </c>
      <c r="DW83">
        <f>IF($R$4="",1,IF($R$4="(blank)",--('Final Calculation Sheet'!$Q$28=""),IF($R$4="(nonblank)",--('Final Calculation Sheet'!$Q$28&lt;&gt;""),--ISNUMBER(SEARCH($R$4,'Final Calculation Sheet'!$Q$28)))))</f>
        <v/>
      </c>
      <c r="DX83">
        <f>IF($S$4="",1,IF($S$4="(blank)",--('Final Calculation Sheet'!$R$28=""),IF($S$4="(nonblank)",--('Final Calculation Sheet'!$R$28&lt;&gt;""),--ISNUMBER(SEARCH($S$4,'Final Calculation Sheet'!$R$28)))))</f>
        <v/>
      </c>
      <c r="DY83">
        <f>IF($T$4="",1,IF($T$4="(blank)",--('Final Calculation Sheet'!$S$28=""),IF($T$4="(nonblank)",--('Final Calculation Sheet'!$S$28&lt;&gt;""),--ISNUMBER(SEARCH($T$4,'Final Calculation Sheet'!$S$28)))))</f>
        <v/>
      </c>
      <c r="DZ83">
        <f>IF($U$4="",1,IF($U$4="(blank)",--('Final Calculation Sheet'!$T$28=""),IF($U$4="(nonblank)",--('Final Calculation Sheet'!$T$28&lt;&gt;""),--ISNUMBER(SEARCH($U$4,'Final Calculation Sheet'!$T$28)))))</f>
        <v/>
      </c>
      <c r="EA83">
        <f>IF($V$4="",1,IF($V$4="(blank)",--('Final Calculation Sheet'!$U$28=""),IF($V$4="(nonblank)",--('Final Calculation Sheet'!$U$28&lt;&gt;""),--ISNUMBER(SEARCH($V$4,'Final Calculation Sheet'!$U$28)))))</f>
        <v/>
      </c>
      <c r="EB83">
        <f>IF($W$4="",1,IF($W$4="(blank)",--('Final Calculation Sheet'!$V$28=""),IF($W$4="(nonblank)",--('Final Calculation Sheet'!$V$28&lt;&gt;""),--ISNUMBER(SEARCH($W$4,'Final Calculation Sheet'!$V$28)))))</f>
        <v/>
      </c>
      <c r="EC83">
        <f>IF($X$4="",1,IF($X$4="(blank)",--('Final Calculation Sheet'!$W$28=""),IF($X$4="(nonblank)",--('Final Calculation Sheet'!$W$28&lt;&gt;""),--ISNUMBER(SEARCH($X$4,'Final Calculation Sheet'!$W$28)))))</f>
        <v/>
      </c>
      <c r="ED83">
        <f>IF($Y$4="",1,IF($Y$4="(blank)",--('Final Calculation Sheet'!$X$28=""),IF($Y$4="(nonblank)",--('Final Calculation Sheet'!$X$28&lt;&gt;""),--ISNUMBER(SEARCH($Y$4,'Final Calculation Sheet'!$X$28)))))</f>
        <v/>
      </c>
      <c r="EE83">
        <f>IF($Z$4="",1,IF($Z$4="(blank)",--('Final Calculation Sheet'!$Y$28=""),IF($Z$4="(nonblank)",--('Final Calculation Sheet'!$Y$28&lt;&gt;""),--ISNUMBER(SEARCH($Z$4,'Final Calculation Sheet'!$Y$28)))))</f>
        <v/>
      </c>
      <c r="EF83">
        <f>IF($AA$4="",1,IF($AA$4="(blank)",--('Final Calculation Sheet'!$Z$28=""),IF($AA$4="(nonblank)",--('Final Calculation Sheet'!$Z$28&lt;&gt;""),--ISNUMBER(SEARCH($AA$4,'Final Calculation Sheet'!$Z$28)))))</f>
        <v/>
      </c>
      <c r="EG83">
        <f>IF($AB$4="",1,IF($AB$4="(blank)",--('Final Calculation Sheet'!$AA$28=""),IF($AB$4="(nonblank)",--('Final Calculation Sheet'!$AA$28&lt;&gt;""),--ISNUMBER(SEARCH($AB$4,'Final Calculation Sheet'!$AA$28)))))</f>
        <v/>
      </c>
      <c r="EH83">
        <f>IF($AC$4="",1,IF($AC$4="(blank)",--('Final Calculation Sheet'!$AB$28=""),IF($AC$4="(nonblank)",--('Final Calculation Sheet'!$AB$28&lt;&gt;""),--ISNUMBER(SEARCH($AC$4,'Final Calculation Sheet'!$AB$28)))))</f>
        <v/>
      </c>
      <c r="EI83">
        <f>IF($AD$4="",1,IF($AD$4="(blank)",--('Final Calculation Sheet'!$AC$28=""),IF($AD$4="(nonblank)",--('Final Calculation Sheet'!$AC$28&lt;&gt;""),--ISNUMBER(SEARCH($AD$4,'Final Calculation Sheet'!$AC$28)))))</f>
        <v/>
      </c>
      <c r="EJ83">
        <f>IF($AE$4="",1,IF($AE$4="(blank)",--('Final Calculation Sheet'!$AD$28=""),IF($AE$4="(nonblank)",--('Final Calculation Sheet'!$AD$28&lt;&gt;""),--ISNUMBER(SEARCH($AE$4,'Final Calculation Sheet'!$AD$28)))))</f>
        <v/>
      </c>
      <c r="EK83">
        <f>IF($AF$4="",1,IF($AF$4="(blank)",--(IF('Final Calculation Sheet'!$AD$28&lt;=5,"SETTLED","OUTSTANDING")=""),IF($AF$4="(nonblank)",--(IF('Final Calculation Sheet'!$AD$28&lt;=5,"SETTLED","OUTSTANDING")&lt;&gt;""),--ISNUMBER(SEARCH($AF$4,IF('Final Calculation Sheet'!$AD$28&lt;=5,"SETTLED","OUTSTANDING"))))))</f>
        <v/>
      </c>
      <c r="EL83">
        <f>IF($AG$4="",1,IF($AG$4="(blank)",--('Final Calculation Sheet'!$AF$28=""),IF($AG$4="(nonblank)",--('Final Calculation Sheet'!$AF$28&lt;&gt;""),--ISNUMBER(SEARCH($AG$4,'Final Calculation Sheet'!$AF$28)))))</f>
        <v/>
      </c>
      <c r="EM83">
        <f>IF($AH$4="",1,IF($AH$4="(blank)",--('Final Calculation Sheet'!$AG$28=""),IF($AH$4="(nonblank)",--('Final Calculation Sheet'!$AG$28&lt;&gt;""),--ISNUMBER(SEARCH($AH$4,'Final Calculation Sheet'!$AG$28)))))</f>
        <v/>
      </c>
      <c r="EN83">
        <f>IF($AI$4="",1,IF($AI$4="(blank)",--('Final Calculation Sheet'!$AH$28=""),IF($AI$4="(nonblank)",--('Final Calculation Sheet'!$AH$28&lt;&gt;""),--ISNUMBER(SEARCH($AI$4,'Final Calculation Sheet'!$AH$28)))))</f>
        <v/>
      </c>
    </row>
    <row r="84">
      <c r="AM84">
        <f>AM83+IF(AND(Lists!$O$31&lt;&gt;"",ISNUMBER(SEARCH($B$4,Lists!$O$31))),1,0)</f>
        <v/>
      </c>
      <c r="AN84">
        <f>IF(ROW()-56&gt;MAX($AM$57:$AM$95),"",INDEX(Lists!$O$4:$O$42,MATCH(ROW()-56,$AM$57:$AM$95,0)))</f>
        <v/>
      </c>
      <c r="AO84">
        <f>AO83+IF(AND(Lists!$T$31&lt;&gt;"",ISNUMBER(SEARCH($C$4,Lists!$T$31))),1,0)</f>
        <v/>
      </c>
      <c r="AP84">
        <f>IF(ROW()-56&gt;MAX($AO$57:$AO$95),"",INDEX(Lists!$T$4:$T$42,MATCH(ROW()-56,$AO$57:$AO$95,0)))</f>
        <v/>
      </c>
      <c r="AQ84">
        <f>AQ83+IF(AND(Lists!$Y$31&lt;&gt;"",ISNUMBER(SEARCH($D$4,Lists!$Y$31))),1,0)</f>
        <v/>
      </c>
      <c r="AR84">
        <f>IF(ROW()-56&gt;MAX($AQ$57:$AQ$95),"",INDEX(Lists!$Y$4:$Y$42,MATCH(ROW()-56,$AQ$57:$AQ$95,0)))</f>
        <v/>
      </c>
      <c r="AS84">
        <f>AS83+IF(AND(Lists!$AD$31&lt;&gt;"",ISNUMBER(SEARCH($E$4,Lists!$AD$31))),1,0)</f>
        <v/>
      </c>
      <c r="AT84">
        <f>IF(ROW()-56&gt;MAX($AS$57:$AS$95),"",INDEX(Lists!$AD$4:$AD$42,MATCH(ROW()-56,$AS$57:$AS$95,0)))</f>
        <v/>
      </c>
      <c r="AU84">
        <f>AU83+IF(AND(Lists!$AI$31&lt;&gt;"",ISNUMBER(SEARCH($F$4,Lists!$AI$31))),1,0)</f>
        <v/>
      </c>
      <c r="AV84">
        <f>IF(ROW()-56&gt;MAX($AU$57:$AU$95),"",INDEX(Lists!$AI$4:$AI$42,MATCH(ROW()-56,$AU$57:$AU$95,0)))</f>
        <v/>
      </c>
      <c r="AW84">
        <f>AW83+IF(AND(Lists!$AN$31&lt;&gt;"",ISNUMBER(SEARCH($G$4,Lists!$AN$31))),1,0)</f>
        <v/>
      </c>
      <c r="AX84">
        <f>IF(ROW()-56&gt;MAX($AW$57:$AW$95),"",INDEX(Lists!$AN$4:$AN$42,MATCH(ROW()-56,$AW$57:$AW$95,0)))</f>
        <v/>
      </c>
      <c r="AY84">
        <f>AY83+IF(AND(Lists!$AS$31&lt;&gt;"",ISNUMBER(SEARCH($H$4,Lists!$AS$31))),1,0)</f>
        <v/>
      </c>
      <c r="AZ84">
        <f>IF(ROW()-56&gt;MAX($AY$57:$AY$95),"",INDEX(Lists!$AS$4:$AS$42,MATCH(ROW()-56,$AY$57:$AY$95,0)))</f>
        <v/>
      </c>
      <c r="BA84">
        <f>BA83+IF(AND(Lists!$AX$31&lt;&gt;"",ISNUMBER(SEARCH($I$4,Lists!$AX$31))),1,0)</f>
        <v/>
      </c>
      <c r="BB84">
        <f>IF(ROW()-56&gt;MAX($BA$57:$BA$95),"",INDEX(Lists!$AX$4:$AX$42,MATCH(ROW()-56,$BA$57:$BA$95,0)))</f>
        <v/>
      </c>
      <c r="BC84">
        <f>BC83+IF(AND(Lists!$BC$31&lt;&gt;"",ISNUMBER(SEARCH($J$4,Lists!$BC$31))),1,0)</f>
        <v/>
      </c>
      <c r="BD84">
        <f>IF(ROW()-56&gt;MAX($BC$57:$BC$95),"",INDEX(Lists!$BC$4:$BC$42,MATCH(ROW()-56,$BC$57:$BC$95,0)))</f>
        <v/>
      </c>
      <c r="BE84">
        <f>BE83+IF(AND(Lists!$BH$31&lt;&gt;"",ISNUMBER(SEARCH($K$4,Lists!$BH$31))),1,0)</f>
        <v/>
      </c>
      <c r="BF84">
        <f>IF(ROW()-56&gt;MAX($BE$57:$BE$95),"",INDEX(Lists!$BH$4:$BH$42,MATCH(ROW()-56,$BE$57:$BE$95,0)))</f>
        <v/>
      </c>
      <c r="BG84">
        <f>BG83+IF(AND(Lists!$BM$31&lt;&gt;"",ISNUMBER(SEARCH($L$4,Lists!$BM$31))),1,0)</f>
        <v/>
      </c>
      <c r="BH84">
        <f>IF(ROW()-56&gt;MAX($BG$57:$BG$95),"",INDEX(Lists!$BM$4:$BM$42,MATCH(ROW()-56,$BG$57:$BG$95,0)))</f>
        <v/>
      </c>
      <c r="BI84">
        <f>BI83+IF(AND(Lists!$BR$31&lt;&gt;"",ISNUMBER(SEARCH($M$4,Lists!$BR$31))),1,0)</f>
        <v/>
      </c>
      <c r="BJ84">
        <f>IF(ROW()-56&gt;MAX($BI$57:$BI$95),"",INDEX(Lists!$BR$4:$BR$42,MATCH(ROW()-56,$BI$57:$BI$95,0)))</f>
        <v/>
      </c>
      <c r="BK84">
        <f>BK83+IF(AND(Lists!$BW$31&lt;&gt;"",ISNUMBER(SEARCH($N$4,Lists!$BW$31))),1,0)</f>
        <v/>
      </c>
      <c r="BL84">
        <f>IF(ROW()-56&gt;MAX($BK$57:$BK$95),"",INDEX(Lists!$BW$4:$BW$42,MATCH(ROW()-56,$BK$57:$BK$95,0)))</f>
        <v/>
      </c>
      <c r="BM84">
        <f>BM83+IF(AND(Lists!$CB$31&lt;&gt;"",ISNUMBER(SEARCH($O$4,Lists!$CB$31))),1,0)</f>
        <v/>
      </c>
      <c r="BN84">
        <f>IF(ROW()-56&gt;MAX($BM$57:$BM$95),"",INDEX(Lists!$CB$4:$CB$42,MATCH(ROW()-56,$BM$57:$BM$95,0)))</f>
        <v/>
      </c>
      <c r="BO84">
        <f>BO83+IF(AND(Lists!$CG$31&lt;&gt;"",ISNUMBER(SEARCH($P$4,Lists!$CG$31))),1,0)</f>
        <v/>
      </c>
      <c r="BP84">
        <f>IF(ROW()-56&gt;MAX($BO$57:$BO$95),"",INDEX(Lists!$CG$4:$CG$42,MATCH(ROW()-56,$BO$57:$BO$95,0)))</f>
        <v/>
      </c>
      <c r="BQ84">
        <f>BQ83+IF(AND(Lists!$CL$31&lt;&gt;"",ISNUMBER(SEARCH($Q$4,Lists!$CL$31))),1,0)</f>
        <v/>
      </c>
      <c r="BR84">
        <f>IF(ROW()-56&gt;MAX($BQ$57:$BQ$95),"",INDEX(Lists!$CL$4:$CL$42,MATCH(ROW()-56,$BQ$57:$BQ$95,0)))</f>
        <v/>
      </c>
      <c r="BS84">
        <f>BS83+IF(AND(Lists!$CQ$31&lt;&gt;"",ISNUMBER(SEARCH($R$4,Lists!$CQ$31))),1,0)</f>
        <v/>
      </c>
      <c r="BT84">
        <f>IF(ROW()-56&gt;MAX($BS$57:$BS$95),"",INDEX(Lists!$CQ$4:$CQ$42,MATCH(ROW()-56,$BS$57:$BS$95,0)))</f>
        <v/>
      </c>
      <c r="BU84">
        <f>BU83+IF(AND(Lists!$CV$31&lt;&gt;"",ISNUMBER(SEARCH($S$4,Lists!$CV$31))),1,0)</f>
        <v/>
      </c>
      <c r="BV84">
        <f>IF(ROW()-56&gt;MAX($BU$57:$BU$95),"",INDEX(Lists!$CV$4:$CV$42,MATCH(ROW()-56,$BU$57:$BU$95,0)))</f>
        <v/>
      </c>
      <c r="BW84">
        <f>BW83+IF(AND(Lists!$DA$31&lt;&gt;"",ISNUMBER(SEARCH($T$4,Lists!$DA$31))),1,0)</f>
        <v/>
      </c>
      <c r="BX84">
        <f>IF(ROW()-56&gt;MAX($BW$57:$BW$95),"",INDEX(Lists!$DA$4:$DA$42,MATCH(ROW()-56,$BW$57:$BW$95,0)))</f>
        <v/>
      </c>
      <c r="BY84">
        <f>BY83+IF(AND(Lists!$DF$31&lt;&gt;"",ISNUMBER(SEARCH($U$4,Lists!$DF$31))),1,0)</f>
        <v/>
      </c>
      <c r="BZ84">
        <f>IF(ROW()-56&gt;MAX($BY$57:$BY$95),"",INDEX(Lists!$DF$4:$DF$42,MATCH(ROW()-56,$BY$57:$BY$95,0)))</f>
        <v/>
      </c>
      <c r="CA84">
        <f>CA83+IF(AND(Lists!$DK$31&lt;&gt;"",ISNUMBER(SEARCH($V$4,Lists!$DK$31))),1,0)</f>
        <v/>
      </c>
      <c r="CB84">
        <f>IF(ROW()-56&gt;MAX($CA$57:$CA$95),"",INDEX(Lists!$DK$4:$DK$42,MATCH(ROW()-56,$CA$57:$CA$95,0)))</f>
        <v/>
      </c>
      <c r="CC84">
        <f>CC83+IF(AND(Lists!$DP$31&lt;&gt;"",ISNUMBER(SEARCH($W$4,Lists!$DP$31))),1,0)</f>
        <v/>
      </c>
      <c r="CD84">
        <f>IF(ROW()-56&gt;MAX($CC$57:$CC$95),"",INDEX(Lists!$DP$4:$DP$42,MATCH(ROW()-56,$CC$57:$CC$95,0)))</f>
        <v/>
      </c>
      <c r="CE84">
        <f>CE83+IF(AND(Lists!$DU$31&lt;&gt;"",ISNUMBER(SEARCH($X$4,Lists!$DU$31))),1,0)</f>
        <v/>
      </c>
      <c r="CF84">
        <f>IF(ROW()-56&gt;MAX($CE$57:$CE$95),"",INDEX(Lists!$DU$4:$DU$42,MATCH(ROW()-56,$CE$57:$CE$95,0)))</f>
        <v/>
      </c>
      <c r="CG84">
        <f>CG83+IF(AND(Lists!$DZ$31&lt;&gt;"",ISNUMBER(SEARCH($Y$4,Lists!$DZ$31))),1,0)</f>
        <v/>
      </c>
      <c r="CH84">
        <f>IF(ROW()-56&gt;MAX($CG$57:$CG$95),"",INDEX(Lists!$DZ$4:$DZ$42,MATCH(ROW()-56,$CG$57:$CG$95,0)))</f>
        <v/>
      </c>
      <c r="CI84">
        <f>CI83+IF(AND(Lists!$EE$31&lt;&gt;"",ISNUMBER(SEARCH($Z$4,Lists!$EE$31))),1,0)</f>
        <v/>
      </c>
      <c r="CJ84">
        <f>IF(ROW()-56&gt;MAX($CI$57:$CI$95),"",INDEX(Lists!$EE$4:$EE$42,MATCH(ROW()-56,$CI$57:$CI$95,0)))</f>
        <v/>
      </c>
      <c r="CK84">
        <f>CK83+IF(AND(Lists!$EJ$31&lt;&gt;"",ISNUMBER(SEARCH($AA$4,Lists!$EJ$31))),1,0)</f>
        <v/>
      </c>
      <c r="CL84">
        <f>IF(ROW()-56&gt;MAX($CK$57:$CK$95),"",INDEX(Lists!$EJ$4:$EJ$42,MATCH(ROW()-56,$CK$57:$CK$95,0)))</f>
        <v/>
      </c>
      <c r="CM84">
        <f>CM83+IF(AND(Lists!$EO$31&lt;&gt;"",ISNUMBER(SEARCH($AB$4,Lists!$EO$31))),1,0)</f>
        <v/>
      </c>
      <c r="CN84">
        <f>IF(ROW()-56&gt;MAX($CM$57:$CM$95),"",INDEX(Lists!$EO$4:$EO$42,MATCH(ROW()-56,$CM$57:$CM$95,0)))</f>
        <v/>
      </c>
      <c r="CO84">
        <f>CO83+IF(AND(Lists!$ET$31&lt;&gt;"",ISNUMBER(SEARCH($AC$4,Lists!$ET$31))),1,0)</f>
        <v/>
      </c>
      <c r="CP84">
        <f>IF(ROW()-56&gt;MAX($CO$57:$CO$95),"",INDEX(Lists!$ET$4:$ET$42,MATCH(ROW()-56,$CO$57:$CO$95,0)))</f>
        <v/>
      </c>
      <c r="CQ84">
        <f>CQ83+IF(AND(Lists!$EY$31&lt;&gt;"",ISNUMBER(SEARCH($AD$4,Lists!$EY$31))),1,0)</f>
        <v/>
      </c>
      <c r="CR84">
        <f>IF(ROW()-56&gt;MAX($CQ$57:$CQ$95),"",INDEX(Lists!$EY$4:$EY$42,MATCH(ROW()-56,$CQ$57:$CQ$95,0)))</f>
        <v/>
      </c>
      <c r="CS84">
        <f>CS83+IF(AND(Lists!$FD$31&lt;&gt;"",ISNUMBER(SEARCH($AE$4,Lists!$FD$31))),1,0)</f>
        <v/>
      </c>
      <c r="CT84">
        <f>IF(ROW()-56&gt;MAX($CS$57:$CS$95),"",INDEX(Lists!$FD$4:$FD$42,MATCH(ROW()-56,$CS$57:$CS$95,0)))</f>
        <v/>
      </c>
      <c r="CU84">
        <f>CU83+IF(AND(Lists!$FI$31&lt;&gt;"",ISNUMBER(SEARCH($AG$4,Lists!$FI$31))),1,0)</f>
        <v/>
      </c>
      <c r="CV84">
        <f>IF(ROW()-56&gt;MAX($CU$57:$CU$95),"",INDEX(Lists!$FI$4:$FI$42,MATCH(ROW()-56,$CU$57:$CU$95,0)))</f>
        <v/>
      </c>
      <c r="CW84">
        <f>CW83+IF(AND(Lists!$FN$31&lt;&gt;"",ISNUMBER(SEARCH($AH$4,Lists!$FN$31))),1,0)</f>
        <v/>
      </c>
      <c r="CX84">
        <f>IF(ROW()-56&gt;MAX($CW$57:$CW$95),"",INDEX(Lists!$FN$4:$FN$42,MATCH(ROW()-56,$CW$57:$CW$95,0)))</f>
        <v/>
      </c>
      <c r="CY84">
        <f>CY83+IF(AND(Lists!$FS$31&lt;&gt;"",ISNUMBER(SEARCH($AI$4,Lists!$FS$31))),1,0)</f>
        <v/>
      </c>
      <c r="CZ84">
        <f>IF(ROW()-56&gt;MAX($CY$57:$CY$95),"",INDEX(Lists!$FS$4:$FS$42,MATCH(ROW()-56,$CY$57:$CY$95,0)))</f>
        <v/>
      </c>
      <c r="DA84">
        <f>DA83+IF(AND(Lists!$FX$31&lt;&gt;"",ISNUMBER(SEARCH($AF$4,Lists!$FX$31))),1,0)</f>
        <v/>
      </c>
      <c r="DB84">
        <f>IF(ROW()-56&gt;MAX($DA$57:$DA$95),"",INDEX(Lists!$FX$4:$FX$42,MATCH(ROW()-56,$DA$57:$DA$95,0)))</f>
        <v/>
      </c>
      <c r="DG84">
        <f>IF($B$4="",1,IF($B$4="(blank)",--('Final Calculation Sheet'!$F$29=""),IF($B$4="(nonblank)",--('Final Calculation Sheet'!$F$29&lt;&gt;""),--ISNUMBER(SEARCH($B$4,'Final Calculation Sheet'!$F$29)))))</f>
        <v/>
      </c>
      <c r="DH84">
        <f>IF($C$4="",1,IF($C$4="(blank)",--('Final Calculation Sheet'!$G$29=""),IF($C$4="(nonblank)",--('Final Calculation Sheet'!$G$29&lt;&gt;""),--ISNUMBER(SEARCH($C$4,'Final Calculation Sheet'!$G$29)))))</f>
        <v/>
      </c>
      <c r="DI84">
        <f>IF($D$4="",1,IF($D$4="(blank)",--('Final Calculation Sheet'!$B$29=""),IF($D$4="(nonblank)",--('Final Calculation Sheet'!$B$29&lt;&gt;""),--ISNUMBER(SEARCH($D$4,'Final Calculation Sheet'!$B$29)))))</f>
        <v/>
      </c>
      <c r="DJ84">
        <f>IF($E$4="",1,IF($E$4="(blank)",--('Final Calculation Sheet'!$D$29=""),IF($E$4="(nonblank)",--('Final Calculation Sheet'!$D$29&lt;&gt;""),--ISNUMBER(SEARCH($E$4,'Final Calculation Sheet'!$D$29)))))</f>
        <v/>
      </c>
      <c r="DK84">
        <f>IF($F$4="",1,IF($F$4="(blank)",--('Final Calculation Sheet'!$A$29=""),IF($F$4="(nonblank)",--('Final Calculation Sheet'!$A$29&lt;&gt;""),--ISNUMBER(SEARCH($F$4,'Final Calculation Sheet'!$A$29)))))</f>
        <v/>
      </c>
      <c r="DL84">
        <f>IF($G$4="",1,IF($G$4="(blank)",--('Final Calculation Sheet'!$E$29=""),IF($G$4="(nonblank)",--('Final Calculation Sheet'!$E$29&lt;&gt;""),--ISNUMBER(SEARCH($G$4,'Final Calculation Sheet'!$E$29)))))</f>
        <v/>
      </c>
      <c r="DM84">
        <f>IF($H$4="",1,IF($H$4="(blank)",--('Final Calculation Sheet'!$C$29=""),IF($H$4="(nonblank)",--('Final Calculation Sheet'!$C$29&lt;&gt;""),--ISNUMBER(SEARCH($H$4,'Final Calculation Sheet'!$C$29)))))</f>
        <v/>
      </c>
      <c r="DN84">
        <f>IF($I$4="",1,IF($I$4="(blank)",--('Final Calculation Sheet'!$H$29=""),IF($I$4="(nonblank)",--('Final Calculation Sheet'!$H$29&lt;&gt;""),--ISNUMBER(SEARCH($I$4,'Final Calculation Sheet'!$H$29)))))</f>
        <v/>
      </c>
      <c r="DO84">
        <f>IF($J$4="",1,IF($J$4="(blank)",--('Final Calculation Sheet'!$I$29=""),IF($J$4="(nonblank)",--('Final Calculation Sheet'!$I$29&lt;&gt;""),--ISNUMBER(SEARCH($J$4,'Final Calculation Sheet'!$I$29)))))</f>
        <v/>
      </c>
      <c r="DP84">
        <f>IF($K$4="",1,IF($K$4="(blank)",--('Final Calculation Sheet'!$J$29=""),IF($K$4="(nonblank)",--('Final Calculation Sheet'!$J$29&lt;&gt;""),--ISNUMBER(SEARCH($K$4,'Final Calculation Sheet'!$J$29)))))</f>
        <v/>
      </c>
      <c r="DQ84">
        <f>IF($L$4="",1,IF($L$4="(blank)",--('Final Calculation Sheet'!$K$29=""),IF($L$4="(nonblank)",--('Final Calculation Sheet'!$K$29&lt;&gt;""),--ISNUMBER(SEARCH($L$4,'Final Calculation Sheet'!$K$29)))))</f>
        <v/>
      </c>
      <c r="DR84">
        <f>IF($M$4="",1,IF($M$4="(blank)",--('Final Calculation Sheet'!$L$29=""),IF($M$4="(nonblank)",--('Final Calculation Sheet'!$L$29&lt;&gt;""),--ISNUMBER(SEARCH($M$4,'Final Calculation Sheet'!$L$29)))))</f>
        <v/>
      </c>
      <c r="DS84">
        <f>IF($N$4="",1,IF($N$4="(blank)",--('Final Calculation Sheet'!$M$29=""),IF($N$4="(nonblank)",--('Final Calculation Sheet'!$M$29&lt;&gt;""),--ISNUMBER(SEARCH($N$4,'Final Calculation Sheet'!$M$29)))))</f>
        <v/>
      </c>
      <c r="DT84">
        <f>IF($O$4="",1,IF($O$4="(blank)",--('Final Calculation Sheet'!$N$29=""),IF($O$4="(nonblank)",--('Final Calculation Sheet'!$N$29&lt;&gt;""),--ISNUMBER(SEARCH($O$4,'Final Calculation Sheet'!$N$29)))))</f>
        <v/>
      </c>
      <c r="DU84">
        <f>IF($P$4="",1,IF($P$4="(blank)",--('Final Calculation Sheet'!$O$29=""),IF($P$4="(nonblank)",--('Final Calculation Sheet'!$O$29&lt;&gt;""),--ISNUMBER(SEARCH($P$4,'Final Calculation Sheet'!$O$29)))))</f>
        <v/>
      </c>
      <c r="DV84">
        <f>IF($Q$4="",1,IF($Q$4="(blank)",--('Final Calculation Sheet'!$P$29=""),IF($Q$4="(nonblank)",--('Final Calculation Sheet'!$P$29&lt;&gt;""),--ISNUMBER(SEARCH($Q$4,'Final Calculation Sheet'!$P$29)))))</f>
        <v/>
      </c>
      <c r="DW84">
        <f>IF($R$4="",1,IF($R$4="(blank)",--('Final Calculation Sheet'!$Q$29=""),IF($R$4="(nonblank)",--('Final Calculation Sheet'!$Q$29&lt;&gt;""),--ISNUMBER(SEARCH($R$4,'Final Calculation Sheet'!$Q$29)))))</f>
        <v/>
      </c>
      <c r="DX84">
        <f>IF($S$4="",1,IF($S$4="(blank)",--('Final Calculation Sheet'!$R$29=""),IF($S$4="(nonblank)",--('Final Calculation Sheet'!$R$29&lt;&gt;""),--ISNUMBER(SEARCH($S$4,'Final Calculation Sheet'!$R$29)))))</f>
        <v/>
      </c>
      <c r="DY84">
        <f>IF($T$4="",1,IF($T$4="(blank)",--('Final Calculation Sheet'!$S$29=""),IF($T$4="(nonblank)",--('Final Calculation Sheet'!$S$29&lt;&gt;""),--ISNUMBER(SEARCH($T$4,'Final Calculation Sheet'!$S$29)))))</f>
        <v/>
      </c>
      <c r="DZ84">
        <f>IF($U$4="",1,IF($U$4="(blank)",--('Final Calculation Sheet'!$T$29=""),IF($U$4="(nonblank)",--('Final Calculation Sheet'!$T$29&lt;&gt;""),--ISNUMBER(SEARCH($U$4,'Final Calculation Sheet'!$T$29)))))</f>
        <v/>
      </c>
      <c r="EA84">
        <f>IF($V$4="",1,IF($V$4="(blank)",--('Final Calculation Sheet'!$U$29=""),IF($V$4="(nonblank)",--('Final Calculation Sheet'!$U$29&lt;&gt;""),--ISNUMBER(SEARCH($V$4,'Final Calculation Sheet'!$U$29)))))</f>
        <v/>
      </c>
      <c r="EB84">
        <f>IF($W$4="",1,IF($W$4="(blank)",--('Final Calculation Sheet'!$V$29=""),IF($W$4="(nonblank)",--('Final Calculation Sheet'!$V$29&lt;&gt;""),--ISNUMBER(SEARCH($W$4,'Final Calculation Sheet'!$V$29)))))</f>
        <v/>
      </c>
      <c r="EC84">
        <f>IF($X$4="",1,IF($X$4="(blank)",--('Final Calculation Sheet'!$W$29=""),IF($X$4="(nonblank)",--('Final Calculation Sheet'!$W$29&lt;&gt;""),--ISNUMBER(SEARCH($X$4,'Final Calculation Sheet'!$W$29)))))</f>
        <v/>
      </c>
      <c r="ED84">
        <f>IF($Y$4="",1,IF($Y$4="(blank)",--('Final Calculation Sheet'!$X$29=""),IF($Y$4="(nonblank)",--('Final Calculation Sheet'!$X$29&lt;&gt;""),--ISNUMBER(SEARCH($Y$4,'Final Calculation Sheet'!$X$29)))))</f>
        <v/>
      </c>
      <c r="EE84">
        <f>IF($Z$4="",1,IF($Z$4="(blank)",--('Final Calculation Sheet'!$Y$29=""),IF($Z$4="(nonblank)",--('Final Calculation Sheet'!$Y$29&lt;&gt;""),--ISNUMBER(SEARCH($Z$4,'Final Calculation Sheet'!$Y$29)))))</f>
        <v/>
      </c>
      <c r="EF84">
        <f>IF($AA$4="",1,IF($AA$4="(blank)",--('Final Calculation Sheet'!$Z$29=""),IF($AA$4="(nonblank)",--('Final Calculation Sheet'!$Z$29&lt;&gt;""),--ISNUMBER(SEARCH($AA$4,'Final Calculation Sheet'!$Z$29)))))</f>
        <v/>
      </c>
      <c r="EG84">
        <f>IF($AB$4="",1,IF($AB$4="(blank)",--('Final Calculation Sheet'!$AA$29=""),IF($AB$4="(nonblank)",--('Final Calculation Sheet'!$AA$29&lt;&gt;""),--ISNUMBER(SEARCH($AB$4,'Final Calculation Sheet'!$AA$29)))))</f>
        <v/>
      </c>
      <c r="EH84">
        <f>IF($AC$4="",1,IF($AC$4="(blank)",--('Final Calculation Sheet'!$AB$29=""),IF($AC$4="(nonblank)",--('Final Calculation Sheet'!$AB$29&lt;&gt;""),--ISNUMBER(SEARCH($AC$4,'Final Calculation Sheet'!$AB$29)))))</f>
        <v/>
      </c>
      <c r="EI84">
        <f>IF($AD$4="",1,IF($AD$4="(blank)",--('Final Calculation Sheet'!$AC$29=""),IF($AD$4="(nonblank)",--('Final Calculation Sheet'!$AC$29&lt;&gt;""),--ISNUMBER(SEARCH($AD$4,'Final Calculation Sheet'!$AC$29)))))</f>
        <v/>
      </c>
      <c r="EJ84">
        <f>IF($AE$4="",1,IF($AE$4="(blank)",--('Final Calculation Sheet'!$AD$29=""),IF($AE$4="(nonblank)",--('Final Calculation Sheet'!$AD$29&lt;&gt;""),--ISNUMBER(SEARCH($AE$4,'Final Calculation Sheet'!$AD$29)))))</f>
        <v/>
      </c>
      <c r="EK84">
        <f>IF($AF$4="",1,IF($AF$4="(blank)",--(IF('Final Calculation Sheet'!$AD$29&lt;=5,"SETTLED","OUTSTANDING")=""),IF($AF$4="(nonblank)",--(IF('Final Calculation Sheet'!$AD$29&lt;=5,"SETTLED","OUTSTANDING")&lt;&gt;""),--ISNUMBER(SEARCH($AF$4,IF('Final Calculation Sheet'!$AD$29&lt;=5,"SETTLED","OUTSTANDING"))))))</f>
        <v/>
      </c>
      <c r="EL84">
        <f>IF($AG$4="",1,IF($AG$4="(blank)",--('Final Calculation Sheet'!$AF$29=""),IF($AG$4="(nonblank)",--('Final Calculation Sheet'!$AF$29&lt;&gt;""),--ISNUMBER(SEARCH($AG$4,'Final Calculation Sheet'!$AF$29)))))</f>
        <v/>
      </c>
      <c r="EM84">
        <f>IF($AH$4="",1,IF($AH$4="(blank)",--('Final Calculation Sheet'!$AG$29=""),IF($AH$4="(nonblank)",--('Final Calculation Sheet'!$AG$29&lt;&gt;""),--ISNUMBER(SEARCH($AH$4,'Final Calculation Sheet'!$AG$29)))))</f>
        <v/>
      </c>
      <c r="EN84">
        <f>IF($AI$4="",1,IF($AI$4="(blank)",--('Final Calculation Sheet'!$AH$29=""),IF($AI$4="(nonblank)",--('Final Calculation Sheet'!$AH$29&lt;&gt;""),--ISNUMBER(SEARCH($AI$4,'Final Calculation Sheet'!$AH$29)))))</f>
        <v/>
      </c>
    </row>
    <row r="85">
      <c r="AM85">
        <f>AM84+IF(AND(Lists!$O$32&lt;&gt;"",ISNUMBER(SEARCH($B$4,Lists!$O$32))),1,0)</f>
        <v/>
      </c>
      <c r="AN85">
        <f>IF(ROW()-56&gt;MAX($AM$57:$AM$95),"",INDEX(Lists!$O$4:$O$42,MATCH(ROW()-56,$AM$57:$AM$95,0)))</f>
        <v/>
      </c>
      <c r="AO85">
        <f>AO84+IF(AND(Lists!$T$32&lt;&gt;"",ISNUMBER(SEARCH($C$4,Lists!$T$32))),1,0)</f>
        <v/>
      </c>
      <c r="AP85">
        <f>IF(ROW()-56&gt;MAX($AO$57:$AO$95),"",INDEX(Lists!$T$4:$T$42,MATCH(ROW()-56,$AO$57:$AO$95,0)))</f>
        <v/>
      </c>
      <c r="AQ85">
        <f>AQ84+IF(AND(Lists!$Y$32&lt;&gt;"",ISNUMBER(SEARCH($D$4,Lists!$Y$32))),1,0)</f>
        <v/>
      </c>
      <c r="AR85">
        <f>IF(ROW()-56&gt;MAX($AQ$57:$AQ$95),"",INDEX(Lists!$Y$4:$Y$42,MATCH(ROW()-56,$AQ$57:$AQ$95,0)))</f>
        <v/>
      </c>
      <c r="AS85">
        <f>AS84+IF(AND(Lists!$AD$32&lt;&gt;"",ISNUMBER(SEARCH($E$4,Lists!$AD$32))),1,0)</f>
        <v/>
      </c>
      <c r="AT85">
        <f>IF(ROW()-56&gt;MAX($AS$57:$AS$95),"",INDEX(Lists!$AD$4:$AD$42,MATCH(ROW()-56,$AS$57:$AS$95,0)))</f>
        <v/>
      </c>
      <c r="AU85">
        <f>AU84+IF(AND(Lists!$AI$32&lt;&gt;"",ISNUMBER(SEARCH($F$4,Lists!$AI$32))),1,0)</f>
        <v/>
      </c>
      <c r="AV85">
        <f>IF(ROW()-56&gt;MAX($AU$57:$AU$95),"",INDEX(Lists!$AI$4:$AI$42,MATCH(ROW()-56,$AU$57:$AU$95,0)))</f>
        <v/>
      </c>
      <c r="AW85">
        <f>AW84+IF(AND(Lists!$AN$32&lt;&gt;"",ISNUMBER(SEARCH($G$4,Lists!$AN$32))),1,0)</f>
        <v/>
      </c>
      <c r="AX85">
        <f>IF(ROW()-56&gt;MAX($AW$57:$AW$95),"",INDEX(Lists!$AN$4:$AN$42,MATCH(ROW()-56,$AW$57:$AW$95,0)))</f>
        <v/>
      </c>
      <c r="AY85">
        <f>AY84+IF(AND(Lists!$AS$32&lt;&gt;"",ISNUMBER(SEARCH($H$4,Lists!$AS$32))),1,0)</f>
        <v/>
      </c>
      <c r="AZ85">
        <f>IF(ROW()-56&gt;MAX($AY$57:$AY$95),"",INDEX(Lists!$AS$4:$AS$42,MATCH(ROW()-56,$AY$57:$AY$95,0)))</f>
        <v/>
      </c>
      <c r="BA85">
        <f>BA84+IF(AND(Lists!$AX$32&lt;&gt;"",ISNUMBER(SEARCH($I$4,Lists!$AX$32))),1,0)</f>
        <v/>
      </c>
      <c r="BB85">
        <f>IF(ROW()-56&gt;MAX($BA$57:$BA$95),"",INDEX(Lists!$AX$4:$AX$42,MATCH(ROW()-56,$BA$57:$BA$95,0)))</f>
        <v/>
      </c>
      <c r="BC85">
        <f>BC84+IF(AND(Lists!$BC$32&lt;&gt;"",ISNUMBER(SEARCH($J$4,Lists!$BC$32))),1,0)</f>
        <v/>
      </c>
      <c r="BD85">
        <f>IF(ROW()-56&gt;MAX($BC$57:$BC$95),"",INDEX(Lists!$BC$4:$BC$42,MATCH(ROW()-56,$BC$57:$BC$95,0)))</f>
        <v/>
      </c>
      <c r="BE85">
        <f>BE84+IF(AND(Lists!$BH$32&lt;&gt;"",ISNUMBER(SEARCH($K$4,Lists!$BH$32))),1,0)</f>
        <v/>
      </c>
      <c r="BF85">
        <f>IF(ROW()-56&gt;MAX($BE$57:$BE$95),"",INDEX(Lists!$BH$4:$BH$42,MATCH(ROW()-56,$BE$57:$BE$95,0)))</f>
        <v/>
      </c>
      <c r="BG85">
        <f>BG84+IF(AND(Lists!$BM$32&lt;&gt;"",ISNUMBER(SEARCH($L$4,Lists!$BM$32))),1,0)</f>
        <v/>
      </c>
      <c r="BH85">
        <f>IF(ROW()-56&gt;MAX($BG$57:$BG$95),"",INDEX(Lists!$BM$4:$BM$42,MATCH(ROW()-56,$BG$57:$BG$95,0)))</f>
        <v/>
      </c>
      <c r="BI85">
        <f>BI84+IF(AND(Lists!$BR$32&lt;&gt;"",ISNUMBER(SEARCH($M$4,Lists!$BR$32))),1,0)</f>
        <v/>
      </c>
      <c r="BJ85">
        <f>IF(ROW()-56&gt;MAX($BI$57:$BI$95),"",INDEX(Lists!$BR$4:$BR$42,MATCH(ROW()-56,$BI$57:$BI$95,0)))</f>
        <v/>
      </c>
      <c r="BK85">
        <f>BK84+IF(AND(Lists!$BW$32&lt;&gt;"",ISNUMBER(SEARCH($N$4,Lists!$BW$32))),1,0)</f>
        <v/>
      </c>
      <c r="BL85">
        <f>IF(ROW()-56&gt;MAX($BK$57:$BK$95),"",INDEX(Lists!$BW$4:$BW$42,MATCH(ROW()-56,$BK$57:$BK$95,0)))</f>
        <v/>
      </c>
      <c r="BM85">
        <f>BM84+IF(AND(Lists!$CB$32&lt;&gt;"",ISNUMBER(SEARCH($O$4,Lists!$CB$32))),1,0)</f>
        <v/>
      </c>
      <c r="BN85">
        <f>IF(ROW()-56&gt;MAX($BM$57:$BM$95),"",INDEX(Lists!$CB$4:$CB$42,MATCH(ROW()-56,$BM$57:$BM$95,0)))</f>
        <v/>
      </c>
      <c r="BO85">
        <f>BO84+IF(AND(Lists!$CG$32&lt;&gt;"",ISNUMBER(SEARCH($P$4,Lists!$CG$32))),1,0)</f>
        <v/>
      </c>
      <c r="BP85">
        <f>IF(ROW()-56&gt;MAX($BO$57:$BO$95),"",INDEX(Lists!$CG$4:$CG$42,MATCH(ROW()-56,$BO$57:$BO$95,0)))</f>
        <v/>
      </c>
      <c r="BQ85">
        <f>BQ84+IF(AND(Lists!$CL$32&lt;&gt;"",ISNUMBER(SEARCH($Q$4,Lists!$CL$32))),1,0)</f>
        <v/>
      </c>
      <c r="BR85">
        <f>IF(ROW()-56&gt;MAX($BQ$57:$BQ$95),"",INDEX(Lists!$CL$4:$CL$42,MATCH(ROW()-56,$BQ$57:$BQ$95,0)))</f>
        <v/>
      </c>
      <c r="BS85">
        <f>BS84+IF(AND(Lists!$CQ$32&lt;&gt;"",ISNUMBER(SEARCH($R$4,Lists!$CQ$32))),1,0)</f>
        <v/>
      </c>
      <c r="BT85">
        <f>IF(ROW()-56&gt;MAX($BS$57:$BS$95),"",INDEX(Lists!$CQ$4:$CQ$42,MATCH(ROW()-56,$BS$57:$BS$95,0)))</f>
        <v/>
      </c>
      <c r="BU85">
        <f>BU84+IF(AND(Lists!$CV$32&lt;&gt;"",ISNUMBER(SEARCH($S$4,Lists!$CV$32))),1,0)</f>
        <v/>
      </c>
      <c r="BV85">
        <f>IF(ROW()-56&gt;MAX($BU$57:$BU$95),"",INDEX(Lists!$CV$4:$CV$42,MATCH(ROW()-56,$BU$57:$BU$95,0)))</f>
        <v/>
      </c>
      <c r="BW85">
        <f>BW84+IF(AND(Lists!$DA$32&lt;&gt;"",ISNUMBER(SEARCH($T$4,Lists!$DA$32))),1,0)</f>
        <v/>
      </c>
      <c r="BX85">
        <f>IF(ROW()-56&gt;MAX($BW$57:$BW$95),"",INDEX(Lists!$DA$4:$DA$42,MATCH(ROW()-56,$BW$57:$BW$95,0)))</f>
        <v/>
      </c>
      <c r="BY85">
        <f>BY84+IF(AND(Lists!$DF$32&lt;&gt;"",ISNUMBER(SEARCH($U$4,Lists!$DF$32))),1,0)</f>
        <v/>
      </c>
      <c r="BZ85">
        <f>IF(ROW()-56&gt;MAX($BY$57:$BY$95),"",INDEX(Lists!$DF$4:$DF$42,MATCH(ROW()-56,$BY$57:$BY$95,0)))</f>
        <v/>
      </c>
      <c r="CA85">
        <f>CA84+IF(AND(Lists!$DK$32&lt;&gt;"",ISNUMBER(SEARCH($V$4,Lists!$DK$32))),1,0)</f>
        <v/>
      </c>
      <c r="CB85">
        <f>IF(ROW()-56&gt;MAX($CA$57:$CA$95),"",INDEX(Lists!$DK$4:$DK$42,MATCH(ROW()-56,$CA$57:$CA$95,0)))</f>
        <v/>
      </c>
      <c r="CC85">
        <f>CC84+IF(AND(Lists!$DP$32&lt;&gt;"",ISNUMBER(SEARCH($W$4,Lists!$DP$32))),1,0)</f>
        <v/>
      </c>
      <c r="CD85">
        <f>IF(ROW()-56&gt;MAX($CC$57:$CC$95),"",INDEX(Lists!$DP$4:$DP$42,MATCH(ROW()-56,$CC$57:$CC$95,0)))</f>
        <v/>
      </c>
      <c r="CE85">
        <f>CE84+IF(AND(Lists!$DU$32&lt;&gt;"",ISNUMBER(SEARCH($X$4,Lists!$DU$32))),1,0)</f>
        <v/>
      </c>
      <c r="CF85">
        <f>IF(ROW()-56&gt;MAX($CE$57:$CE$95),"",INDEX(Lists!$DU$4:$DU$42,MATCH(ROW()-56,$CE$57:$CE$95,0)))</f>
        <v/>
      </c>
      <c r="CG85">
        <f>CG84+IF(AND(Lists!$DZ$32&lt;&gt;"",ISNUMBER(SEARCH($Y$4,Lists!$DZ$32))),1,0)</f>
        <v/>
      </c>
      <c r="CH85">
        <f>IF(ROW()-56&gt;MAX($CG$57:$CG$95),"",INDEX(Lists!$DZ$4:$DZ$42,MATCH(ROW()-56,$CG$57:$CG$95,0)))</f>
        <v/>
      </c>
      <c r="CI85">
        <f>CI84+IF(AND(Lists!$EE$32&lt;&gt;"",ISNUMBER(SEARCH($Z$4,Lists!$EE$32))),1,0)</f>
        <v/>
      </c>
      <c r="CJ85">
        <f>IF(ROW()-56&gt;MAX($CI$57:$CI$95),"",INDEX(Lists!$EE$4:$EE$42,MATCH(ROW()-56,$CI$57:$CI$95,0)))</f>
        <v/>
      </c>
      <c r="CK85">
        <f>CK84+IF(AND(Lists!$EJ$32&lt;&gt;"",ISNUMBER(SEARCH($AA$4,Lists!$EJ$32))),1,0)</f>
        <v/>
      </c>
      <c r="CL85">
        <f>IF(ROW()-56&gt;MAX($CK$57:$CK$95),"",INDEX(Lists!$EJ$4:$EJ$42,MATCH(ROW()-56,$CK$57:$CK$95,0)))</f>
        <v/>
      </c>
      <c r="CM85">
        <f>CM84+IF(AND(Lists!$EO$32&lt;&gt;"",ISNUMBER(SEARCH($AB$4,Lists!$EO$32))),1,0)</f>
        <v/>
      </c>
      <c r="CN85">
        <f>IF(ROW()-56&gt;MAX($CM$57:$CM$95),"",INDEX(Lists!$EO$4:$EO$42,MATCH(ROW()-56,$CM$57:$CM$95,0)))</f>
        <v/>
      </c>
      <c r="CO85">
        <f>CO84+IF(AND(Lists!$ET$32&lt;&gt;"",ISNUMBER(SEARCH($AC$4,Lists!$ET$32))),1,0)</f>
        <v/>
      </c>
      <c r="CP85">
        <f>IF(ROW()-56&gt;MAX($CO$57:$CO$95),"",INDEX(Lists!$ET$4:$ET$42,MATCH(ROW()-56,$CO$57:$CO$95,0)))</f>
        <v/>
      </c>
      <c r="CQ85">
        <f>CQ84+IF(AND(Lists!$EY$32&lt;&gt;"",ISNUMBER(SEARCH($AD$4,Lists!$EY$32))),1,0)</f>
        <v/>
      </c>
      <c r="CR85">
        <f>IF(ROW()-56&gt;MAX($CQ$57:$CQ$95),"",INDEX(Lists!$EY$4:$EY$42,MATCH(ROW()-56,$CQ$57:$CQ$95,0)))</f>
        <v/>
      </c>
      <c r="CS85">
        <f>CS84+IF(AND(Lists!$FD$32&lt;&gt;"",ISNUMBER(SEARCH($AE$4,Lists!$FD$32))),1,0)</f>
        <v/>
      </c>
      <c r="CT85">
        <f>IF(ROW()-56&gt;MAX($CS$57:$CS$95),"",INDEX(Lists!$FD$4:$FD$42,MATCH(ROW()-56,$CS$57:$CS$95,0)))</f>
        <v/>
      </c>
      <c r="CU85">
        <f>CU84+IF(AND(Lists!$FI$32&lt;&gt;"",ISNUMBER(SEARCH($AG$4,Lists!$FI$32))),1,0)</f>
        <v/>
      </c>
      <c r="CV85">
        <f>IF(ROW()-56&gt;MAX($CU$57:$CU$95),"",INDEX(Lists!$FI$4:$FI$42,MATCH(ROW()-56,$CU$57:$CU$95,0)))</f>
        <v/>
      </c>
      <c r="CW85">
        <f>CW84+IF(AND(Lists!$FN$32&lt;&gt;"",ISNUMBER(SEARCH($AH$4,Lists!$FN$32))),1,0)</f>
        <v/>
      </c>
      <c r="CX85">
        <f>IF(ROW()-56&gt;MAX($CW$57:$CW$95),"",INDEX(Lists!$FN$4:$FN$42,MATCH(ROW()-56,$CW$57:$CW$95,0)))</f>
        <v/>
      </c>
      <c r="CY85">
        <f>CY84+IF(AND(Lists!$FS$32&lt;&gt;"",ISNUMBER(SEARCH($AI$4,Lists!$FS$32))),1,0)</f>
        <v/>
      </c>
      <c r="CZ85">
        <f>IF(ROW()-56&gt;MAX($CY$57:$CY$95),"",INDEX(Lists!$FS$4:$FS$42,MATCH(ROW()-56,$CY$57:$CY$95,0)))</f>
        <v/>
      </c>
      <c r="DA85">
        <f>DA84+IF(AND(Lists!$FX$32&lt;&gt;"",ISNUMBER(SEARCH($AF$4,Lists!$FX$32))),1,0)</f>
        <v/>
      </c>
      <c r="DB85">
        <f>IF(ROW()-56&gt;MAX($DA$57:$DA$95),"",INDEX(Lists!$FX$4:$FX$42,MATCH(ROW()-56,$DA$57:$DA$95,0)))</f>
        <v/>
      </c>
      <c r="DG85">
        <f>IF($B$4="",1,IF($B$4="(blank)",--('Final Calculation Sheet'!$F$30=""),IF($B$4="(nonblank)",--('Final Calculation Sheet'!$F$30&lt;&gt;""),--ISNUMBER(SEARCH($B$4,'Final Calculation Sheet'!$F$30)))))</f>
        <v/>
      </c>
      <c r="DH85">
        <f>IF($C$4="",1,IF($C$4="(blank)",--('Final Calculation Sheet'!$G$30=""),IF($C$4="(nonblank)",--('Final Calculation Sheet'!$G$30&lt;&gt;""),--ISNUMBER(SEARCH($C$4,'Final Calculation Sheet'!$G$30)))))</f>
        <v/>
      </c>
      <c r="DI85">
        <f>IF($D$4="",1,IF($D$4="(blank)",--('Final Calculation Sheet'!$B$30=""),IF($D$4="(nonblank)",--('Final Calculation Sheet'!$B$30&lt;&gt;""),--ISNUMBER(SEARCH($D$4,'Final Calculation Sheet'!$B$30)))))</f>
        <v/>
      </c>
      <c r="DJ85">
        <f>IF($E$4="",1,IF($E$4="(blank)",--('Final Calculation Sheet'!$D$30=""),IF($E$4="(nonblank)",--('Final Calculation Sheet'!$D$30&lt;&gt;""),--ISNUMBER(SEARCH($E$4,'Final Calculation Sheet'!$D$30)))))</f>
        <v/>
      </c>
      <c r="DK85">
        <f>IF($F$4="",1,IF($F$4="(blank)",--('Final Calculation Sheet'!$A$30=""),IF($F$4="(nonblank)",--('Final Calculation Sheet'!$A$30&lt;&gt;""),--ISNUMBER(SEARCH($F$4,'Final Calculation Sheet'!$A$30)))))</f>
        <v/>
      </c>
      <c r="DL85">
        <f>IF($G$4="",1,IF($G$4="(blank)",--('Final Calculation Sheet'!$E$30=""),IF($G$4="(nonblank)",--('Final Calculation Sheet'!$E$30&lt;&gt;""),--ISNUMBER(SEARCH($G$4,'Final Calculation Sheet'!$E$30)))))</f>
        <v/>
      </c>
      <c r="DM85">
        <f>IF($H$4="",1,IF($H$4="(blank)",--('Final Calculation Sheet'!$C$30=""),IF($H$4="(nonblank)",--('Final Calculation Sheet'!$C$30&lt;&gt;""),--ISNUMBER(SEARCH($H$4,'Final Calculation Sheet'!$C$30)))))</f>
        <v/>
      </c>
      <c r="DN85">
        <f>IF($I$4="",1,IF($I$4="(blank)",--('Final Calculation Sheet'!$H$30=""),IF($I$4="(nonblank)",--('Final Calculation Sheet'!$H$30&lt;&gt;""),--ISNUMBER(SEARCH($I$4,'Final Calculation Sheet'!$H$30)))))</f>
        <v/>
      </c>
      <c r="DO85">
        <f>IF($J$4="",1,IF($J$4="(blank)",--('Final Calculation Sheet'!$I$30=""),IF($J$4="(nonblank)",--('Final Calculation Sheet'!$I$30&lt;&gt;""),--ISNUMBER(SEARCH($J$4,'Final Calculation Sheet'!$I$30)))))</f>
        <v/>
      </c>
      <c r="DP85">
        <f>IF($K$4="",1,IF($K$4="(blank)",--('Final Calculation Sheet'!$J$30=""),IF($K$4="(nonblank)",--('Final Calculation Sheet'!$J$30&lt;&gt;""),--ISNUMBER(SEARCH($K$4,'Final Calculation Sheet'!$J$30)))))</f>
        <v/>
      </c>
      <c r="DQ85">
        <f>IF($L$4="",1,IF($L$4="(blank)",--('Final Calculation Sheet'!$K$30=""),IF($L$4="(nonblank)",--('Final Calculation Sheet'!$K$30&lt;&gt;""),--ISNUMBER(SEARCH($L$4,'Final Calculation Sheet'!$K$30)))))</f>
        <v/>
      </c>
      <c r="DR85">
        <f>IF($M$4="",1,IF($M$4="(blank)",--('Final Calculation Sheet'!$L$30=""),IF($M$4="(nonblank)",--('Final Calculation Sheet'!$L$30&lt;&gt;""),--ISNUMBER(SEARCH($M$4,'Final Calculation Sheet'!$L$30)))))</f>
        <v/>
      </c>
      <c r="DS85">
        <f>IF($N$4="",1,IF($N$4="(blank)",--('Final Calculation Sheet'!$M$30=""),IF($N$4="(nonblank)",--('Final Calculation Sheet'!$M$30&lt;&gt;""),--ISNUMBER(SEARCH($N$4,'Final Calculation Sheet'!$M$30)))))</f>
        <v/>
      </c>
      <c r="DT85">
        <f>IF($O$4="",1,IF($O$4="(blank)",--('Final Calculation Sheet'!$N$30=""),IF($O$4="(nonblank)",--('Final Calculation Sheet'!$N$30&lt;&gt;""),--ISNUMBER(SEARCH($O$4,'Final Calculation Sheet'!$N$30)))))</f>
        <v/>
      </c>
      <c r="DU85">
        <f>IF($P$4="",1,IF($P$4="(blank)",--('Final Calculation Sheet'!$O$30=""),IF($P$4="(nonblank)",--('Final Calculation Sheet'!$O$30&lt;&gt;""),--ISNUMBER(SEARCH($P$4,'Final Calculation Sheet'!$O$30)))))</f>
        <v/>
      </c>
      <c r="DV85">
        <f>IF($Q$4="",1,IF($Q$4="(blank)",--('Final Calculation Sheet'!$P$30=""),IF($Q$4="(nonblank)",--('Final Calculation Sheet'!$P$30&lt;&gt;""),--ISNUMBER(SEARCH($Q$4,'Final Calculation Sheet'!$P$30)))))</f>
        <v/>
      </c>
      <c r="DW85">
        <f>IF($R$4="",1,IF($R$4="(blank)",--('Final Calculation Sheet'!$Q$30=""),IF($R$4="(nonblank)",--('Final Calculation Sheet'!$Q$30&lt;&gt;""),--ISNUMBER(SEARCH($R$4,'Final Calculation Sheet'!$Q$30)))))</f>
        <v/>
      </c>
      <c r="DX85">
        <f>IF($S$4="",1,IF($S$4="(blank)",--('Final Calculation Sheet'!$R$30=""),IF($S$4="(nonblank)",--('Final Calculation Sheet'!$R$30&lt;&gt;""),--ISNUMBER(SEARCH($S$4,'Final Calculation Sheet'!$R$30)))))</f>
        <v/>
      </c>
      <c r="DY85">
        <f>IF($T$4="",1,IF($T$4="(blank)",--('Final Calculation Sheet'!$S$30=""),IF($T$4="(nonblank)",--('Final Calculation Sheet'!$S$30&lt;&gt;""),--ISNUMBER(SEARCH($T$4,'Final Calculation Sheet'!$S$30)))))</f>
        <v/>
      </c>
      <c r="DZ85">
        <f>IF($U$4="",1,IF($U$4="(blank)",--('Final Calculation Sheet'!$T$30=""),IF($U$4="(nonblank)",--('Final Calculation Sheet'!$T$30&lt;&gt;""),--ISNUMBER(SEARCH($U$4,'Final Calculation Sheet'!$T$30)))))</f>
        <v/>
      </c>
      <c r="EA85">
        <f>IF($V$4="",1,IF($V$4="(blank)",--('Final Calculation Sheet'!$U$30=""),IF($V$4="(nonblank)",--('Final Calculation Sheet'!$U$30&lt;&gt;""),--ISNUMBER(SEARCH($V$4,'Final Calculation Sheet'!$U$30)))))</f>
        <v/>
      </c>
      <c r="EB85">
        <f>IF($W$4="",1,IF($W$4="(blank)",--('Final Calculation Sheet'!$V$30=""),IF($W$4="(nonblank)",--('Final Calculation Sheet'!$V$30&lt;&gt;""),--ISNUMBER(SEARCH($W$4,'Final Calculation Sheet'!$V$30)))))</f>
        <v/>
      </c>
      <c r="EC85">
        <f>IF($X$4="",1,IF($X$4="(blank)",--('Final Calculation Sheet'!$W$30=""),IF($X$4="(nonblank)",--('Final Calculation Sheet'!$W$30&lt;&gt;""),--ISNUMBER(SEARCH($X$4,'Final Calculation Sheet'!$W$30)))))</f>
        <v/>
      </c>
      <c r="ED85">
        <f>IF($Y$4="",1,IF($Y$4="(blank)",--('Final Calculation Sheet'!$X$30=""),IF($Y$4="(nonblank)",--('Final Calculation Sheet'!$X$30&lt;&gt;""),--ISNUMBER(SEARCH($Y$4,'Final Calculation Sheet'!$X$30)))))</f>
        <v/>
      </c>
      <c r="EE85">
        <f>IF($Z$4="",1,IF($Z$4="(blank)",--('Final Calculation Sheet'!$Y$30=""),IF($Z$4="(nonblank)",--('Final Calculation Sheet'!$Y$30&lt;&gt;""),--ISNUMBER(SEARCH($Z$4,'Final Calculation Sheet'!$Y$30)))))</f>
        <v/>
      </c>
      <c r="EF85">
        <f>IF($AA$4="",1,IF($AA$4="(blank)",--('Final Calculation Sheet'!$Z$30=""),IF($AA$4="(nonblank)",--('Final Calculation Sheet'!$Z$30&lt;&gt;""),--ISNUMBER(SEARCH($AA$4,'Final Calculation Sheet'!$Z$30)))))</f>
        <v/>
      </c>
      <c r="EG85">
        <f>IF($AB$4="",1,IF($AB$4="(blank)",--('Final Calculation Sheet'!$AA$30=""),IF($AB$4="(nonblank)",--('Final Calculation Sheet'!$AA$30&lt;&gt;""),--ISNUMBER(SEARCH($AB$4,'Final Calculation Sheet'!$AA$30)))))</f>
        <v/>
      </c>
      <c r="EH85">
        <f>IF($AC$4="",1,IF($AC$4="(blank)",--('Final Calculation Sheet'!$AB$30=""),IF($AC$4="(nonblank)",--('Final Calculation Sheet'!$AB$30&lt;&gt;""),--ISNUMBER(SEARCH($AC$4,'Final Calculation Sheet'!$AB$30)))))</f>
        <v/>
      </c>
      <c r="EI85">
        <f>IF($AD$4="",1,IF($AD$4="(blank)",--('Final Calculation Sheet'!$AC$30=""),IF($AD$4="(nonblank)",--('Final Calculation Sheet'!$AC$30&lt;&gt;""),--ISNUMBER(SEARCH($AD$4,'Final Calculation Sheet'!$AC$30)))))</f>
        <v/>
      </c>
      <c r="EJ85">
        <f>IF($AE$4="",1,IF($AE$4="(blank)",--('Final Calculation Sheet'!$AD$30=""),IF($AE$4="(nonblank)",--('Final Calculation Sheet'!$AD$30&lt;&gt;""),--ISNUMBER(SEARCH($AE$4,'Final Calculation Sheet'!$AD$30)))))</f>
        <v/>
      </c>
      <c r="EK85">
        <f>IF($AF$4="",1,IF($AF$4="(blank)",--(IF('Final Calculation Sheet'!$AD$30&lt;=5,"SETTLED","OUTSTANDING")=""),IF($AF$4="(nonblank)",--(IF('Final Calculation Sheet'!$AD$30&lt;=5,"SETTLED","OUTSTANDING")&lt;&gt;""),--ISNUMBER(SEARCH($AF$4,IF('Final Calculation Sheet'!$AD$30&lt;=5,"SETTLED","OUTSTANDING"))))))</f>
        <v/>
      </c>
      <c r="EL85">
        <f>IF($AG$4="",1,IF($AG$4="(blank)",--('Final Calculation Sheet'!$AF$30=""),IF($AG$4="(nonblank)",--('Final Calculation Sheet'!$AF$30&lt;&gt;""),--ISNUMBER(SEARCH($AG$4,'Final Calculation Sheet'!$AF$30)))))</f>
        <v/>
      </c>
      <c r="EM85">
        <f>IF($AH$4="",1,IF($AH$4="(blank)",--('Final Calculation Sheet'!$AG$30=""),IF($AH$4="(nonblank)",--('Final Calculation Sheet'!$AG$30&lt;&gt;""),--ISNUMBER(SEARCH($AH$4,'Final Calculation Sheet'!$AG$30)))))</f>
        <v/>
      </c>
      <c r="EN85">
        <f>IF($AI$4="",1,IF($AI$4="(blank)",--('Final Calculation Sheet'!$AH$30=""),IF($AI$4="(nonblank)",--('Final Calculation Sheet'!$AH$30&lt;&gt;""),--ISNUMBER(SEARCH($AI$4,'Final Calculation Sheet'!$AH$30)))))</f>
        <v/>
      </c>
    </row>
    <row r="86">
      <c r="AM86">
        <f>AM85+IF(AND(Lists!$O$33&lt;&gt;"",ISNUMBER(SEARCH($B$4,Lists!$O$33))),1,0)</f>
        <v/>
      </c>
      <c r="AN86">
        <f>IF(ROW()-56&gt;MAX($AM$57:$AM$95),"",INDEX(Lists!$O$4:$O$42,MATCH(ROW()-56,$AM$57:$AM$95,0)))</f>
        <v/>
      </c>
      <c r="AO86">
        <f>AO85+IF(AND(Lists!$T$33&lt;&gt;"",ISNUMBER(SEARCH($C$4,Lists!$T$33))),1,0)</f>
        <v/>
      </c>
      <c r="AP86">
        <f>IF(ROW()-56&gt;MAX($AO$57:$AO$95),"",INDEX(Lists!$T$4:$T$42,MATCH(ROW()-56,$AO$57:$AO$95,0)))</f>
        <v/>
      </c>
      <c r="AQ86">
        <f>AQ85+IF(AND(Lists!$Y$33&lt;&gt;"",ISNUMBER(SEARCH($D$4,Lists!$Y$33))),1,0)</f>
        <v/>
      </c>
      <c r="AR86">
        <f>IF(ROW()-56&gt;MAX($AQ$57:$AQ$95),"",INDEX(Lists!$Y$4:$Y$42,MATCH(ROW()-56,$AQ$57:$AQ$95,0)))</f>
        <v/>
      </c>
      <c r="AS86">
        <f>AS85+IF(AND(Lists!$AD$33&lt;&gt;"",ISNUMBER(SEARCH($E$4,Lists!$AD$33))),1,0)</f>
        <v/>
      </c>
      <c r="AT86">
        <f>IF(ROW()-56&gt;MAX($AS$57:$AS$95),"",INDEX(Lists!$AD$4:$AD$42,MATCH(ROW()-56,$AS$57:$AS$95,0)))</f>
        <v/>
      </c>
      <c r="AU86">
        <f>AU85+IF(AND(Lists!$AI$33&lt;&gt;"",ISNUMBER(SEARCH($F$4,Lists!$AI$33))),1,0)</f>
        <v/>
      </c>
      <c r="AV86">
        <f>IF(ROW()-56&gt;MAX($AU$57:$AU$95),"",INDEX(Lists!$AI$4:$AI$42,MATCH(ROW()-56,$AU$57:$AU$95,0)))</f>
        <v/>
      </c>
      <c r="AW86">
        <f>AW85+IF(AND(Lists!$AN$33&lt;&gt;"",ISNUMBER(SEARCH($G$4,Lists!$AN$33))),1,0)</f>
        <v/>
      </c>
      <c r="AX86">
        <f>IF(ROW()-56&gt;MAX($AW$57:$AW$95),"",INDEX(Lists!$AN$4:$AN$42,MATCH(ROW()-56,$AW$57:$AW$95,0)))</f>
        <v/>
      </c>
      <c r="AY86">
        <f>AY85+IF(AND(Lists!$AS$33&lt;&gt;"",ISNUMBER(SEARCH($H$4,Lists!$AS$33))),1,0)</f>
        <v/>
      </c>
      <c r="AZ86">
        <f>IF(ROW()-56&gt;MAX($AY$57:$AY$95),"",INDEX(Lists!$AS$4:$AS$42,MATCH(ROW()-56,$AY$57:$AY$95,0)))</f>
        <v/>
      </c>
      <c r="BA86">
        <f>BA85+IF(AND(Lists!$AX$33&lt;&gt;"",ISNUMBER(SEARCH($I$4,Lists!$AX$33))),1,0)</f>
        <v/>
      </c>
      <c r="BB86">
        <f>IF(ROW()-56&gt;MAX($BA$57:$BA$95),"",INDEX(Lists!$AX$4:$AX$42,MATCH(ROW()-56,$BA$57:$BA$95,0)))</f>
        <v/>
      </c>
      <c r="BC86">
        <f>BC85+IF(AND(Lists!$BC$33&lt;&gt;"",ISNUMBER(SEARCH($J$4,Lists!$BC$33))),1,0)</f>
        <v/>
      </c>
      <c r="BD86">
        <f>IF(ROW()-56&gt;MAX($BC$57:$BC$95),"",INDEX(Lists!$BC$4:$BC$42,MATCH(ROW()-56,$BC$57:$BC$95,0)))</f>
        <v/>
      </c>
      <c r="BE86">
        <f>BE85+IF(AND(Lists!$BH$33&lt;&gt;"",ISNUMBER(SEARCH($K$4,Lists!$BH$33))),1,0)</f>
        <v/>
      </c>
      <c r="BF86">
        <f>IF(ROW()-56&gt;MAX($BE$57:$BE$95),"",INDEX(Lists!$BH$4:$BH$42,MATCH(ROW()-56,$BE$57:$BE$95,0)))</f>
        <v/>
      </c>
      <c r="BG86">
        <f>BG85+IF(AND(Lists!$BM$33&lt;&gt;"",ISNUMBER(SEARCH($L$4,Lists!$BM$33))),1,0)</f>
        <v/>
      </c>
      <c r="BH86">
        <f>IF(ROW()-56&gt;MAX($BG$57:$BG$95),"",INDEX(Lists!$BM$4:$BM$42,MATCH(ROW()-56,$BG$57:$BG$95,0)))</f>
        <v/>
      </c>
      <c r="BI86">
        <f>BI85+IF(AND(Lists!$BR$33&lt;&gt;"",ISNUMBER(SEARCH($M$4,Lists!$BR$33))),1,0)</f>
        <v/>
      </c>
      <c r="BJ86">
        <f>IF(ROW()-56&gt;MAX($BI$57:$BI$95),"",INDEX(Lists!$BR$4:$BR$42,MATCH(ROW()-56,$BI$57:$BI$95,0)))</f>
        <v/>
      </c>
      <c r="BK86">
        <f>BK85+IF(AND(Lists!$BW$33&lt;&gt;"",ISNUMBER(SEARCH($N$4,Lists!$BW$33))),1,0)</f>
        <v/>
      </c>
      <c r="BL86">
        <f>IF(ROW()-56&gt;MAX($BK$57:$BK$95),"",INDEX(Lists!$BW$4:$BW$42,MATCH(ROW()-56,$BK$57:$BK$95,0)))</f>
        <v/>
      </c>
      <c r="BM86">
        <f>BM85+IF(AND(Lists!$CB$33&lt;&gt;"",ISNUMBER(SEARCH($O$4,Lists!$CB$33))),1,0)</f>
        <v/>
      </c>
      <c r="BN86">
        <f>IF(ROW()-56&gt;MAX($BM$57:$BM$95),"",INDEX(Lists!$CB$4:$CB$42,MATCH(ROW()-56,$BM$57:$BM$95,0)))</f>
        <v/>
      </c>
      <c r="BO86">
        <f>BO85+IF(AND(Lists!$CG$33&lt;&gt;"",ISNUMBER(SEARCH($P$4,Lists!$CG$33))),1,0)</f>
        <v/>
      </c>
      <c r="BP86">
        <f>IF(ROW()-56&gt;MAX($BO$57:$BO$95),"",INDEX(Lists!$CG$4:$CG$42,MATCH(ROW()-56,$BO$57:$BO$95,0)))</f>
        <v/>
      </c>
      <c r="BQ86">
        <f>BQ85+IF(AND(Lists!$CL$33&lt;&gt;"",ISNUMBER(SEARCH($Q$4,Lists!$CL$33))),1,0)</f>
        <v/>
      </c>
      <c r="BR86">
        <f>IF(ROW()-56&gt;MAX($BQ$57:$BQ$95),"",INDEX(Lists!$CL$4:$CL$42,MATCH(ROW()-56,$BQ$57:$BQ$95,0)))</f>
        <v/>
      </c>
      <c r="BS86">
        <f>BS85+IF(AND(Lists!$CQ$33&lt;&gt;"",ISNUMBER(SEARCH($R$4,Lists!$CQ$33))),1,0)</f>
        <v/>
      </c>
      <c r="BT86">
        <f>IF(ROW()-56&gt;MAX($BS$57:$BS$95),"",INDEX(Lists!$CQ$4:$CQ$42,MATCH(ROW()-56,$BS$57:$BS$95,0)))</f>
        <v/>
      </c>
      <c r="BU86">
        <f>BU85+IF(AND(Lists!$CV$33&lt;&gt;"",ISNUMBER(SEARCH($S$4,Lists!$CV$33))),1,0)</f>
        <v/>
      </c>
      <c r="BV86">
        <f>IF(ROW()-56&gt;MAX($BU$57:$BU$95),"",INDEX(Lists!$CV$4:$CV$42,MATCH(ROW()-56,$BU$57:$BU$95,0)))</f>
        <v/>
      </c>
      <c r="BW86">
        <f>BW85+IF(AND(Lists!$DA$33&lt;&gt;"",ISNUMBER(SEARCH($T$4,Lists!$DA$33))),1,0)</f>
        <v/>
      </c>
      <c r="BX86">
        <f>IF(ROW()-56&gt;MAX($BW$57:$BW$95),"",INDEX(Lists!$DA$4:$DA$42,MATCH(ROW()-56,$BW$57:$BW$95,0)))</f>
        <v/>
      </c>
      <c r="BY86">
        <f>BY85+IF(AND(Lists!$DF$33&lt;&gt;"",ISNUMBER(SEARCH($U$4,Lists!$DF$33))),1,0)</f>
        <v/>
      </c>
      <c r="BZ86">
        <f>IF(ROW()-56&gt;MAX($BY$57:$BY$95),"",INDEX(Lists!$DF$4:$DF$42,MATCH(ROW()-56,$BY$57:$BY$95,0)))</f>
        <v/>
      </c>
      <c r="CA86">
        <f>CA85+IF(AND(Lists!$DK$33&lt;&gt;"",ISNUMBER(SEARCH($V$4,Lists!$DK$33))),1,0)</f>
        <v/>
      </c>
      <c r="CB86">
        <f>IF(ROW()-56&gt;MAX($CA$57:$CA$95),"",INDEX(Lists!$DK$4:$DK$42,MATCH(ROW()-56,$CA$57:$CA$95,0)))</f>
        <v/>
      </c>
      <c r="CC86">
        <f>CC85+IF(AND(Lists!$DP$33&lt;&gt;"",ISNUMBER(SEARCH($W$4,Lists!$DP$33))),1,0)</f>
        <v/>
      </c>
      <c r="CD86">
        <f>IF(ROW()-56&gt;MAX($CC$57:$CC$95),"",INDEX(Lists!$DP$4:$DP$42,MATCH(ROW()-56,$CC$57:$CC$95,0)))</f>
        <v/>
      </c>
      <c r="CE86">
        <f>CE85+IF(AND(Lists!$DU$33&lt;&gt;"",ISNUMBER(SEARCH($X$4,Lists!$DU$33))),1,0)</f>
        <v/>
      </c>
      <c r="CF86">
        <f>IF(ROW()-56&gt;MAX($CE$57:$CE$95),"",INDEX(Lists!$DU$4:$DU$42,MATCH(ROW()-56,$CE$57:$CE$95,0)))</f>
        <v/>
      </c>
      <c r="CG86">
        <f>CG85+IF(AND(Lists!$DZ$33&lt;&gt;"",ISNUMBER(SEARCH($Y$4,Lists!$DZ$33))),1,0)</f>
        <v/>
      </c>
      <c r="CH86">
        <f>IF(ROW()-56&gt;MAX($CG$57:$CG$95),"",INDEX(Lists!$DZ$4:$DZ$42,MATCH(ROW()-56,$CG$57:$CG$95,0)))</f>
        <v/>
      </c>
      <c r="CI86">
        <f>CI85+IF(AND(Lists!$EE$33&lt;&gt;"",ISNUMBER(SEARCH($Z$4,Lists!$EE$33))),1,0)</f>
        <v/>
      </c>
      <c r="CJ86">
        <f>IF(ROW()-56&gt;MAX($CI$57:$CI$95),"",INDEX(Lists!$EE$4:$EE$42,MATCH(ROW()-56,$CI$57:$CI$95,0)))</f>
        <v/>
      </c>
      <c r="CK86">
        <f>CK85+IF(AND(Lists!$EJ$33&lt;&gt;"",ISNUMBER(SEARCH($AA$4,Lists!$EJ$33))),1,0)</f>
        <v/>
      </c>
      <c r="CL86">
        <f>IF(ROW()-56&gt;MAX($CK$57:$CK$95),"",INDEX(Lists!$EJ$4:$EJ$42,MATCH(ROW()-56,$CK$57:$CK$95,0)))</f>
        <v/>
      </c>
      <c r="CM86">
        <f>CM85+IF(AND(Lists!$EO$33&lt;&gt;"",ISNUMBER(SEARCH($AB$4,Lists!$EO$33))),1,0)</f>
        <v/>
      </c>
      <c r="CN86">
        <f>IF(ROW()-56&gt;MAX($CM$57:$CM$95),"",INDEX(Lists!$EO$4:$EO$42,MATCH(ROW()-56,$CM$57:$CM$95,0)))</f>
        <v/>
      </c>
      <c r="CO86">
        <f>CO85+IF(AND(Lists!$ET$33&lt;&gt;"",ISNUMBER(SEARCH($AC$4,Lists!$ET$33))),1,0)</f>
        <v/>
      </c>
      <c r="CP86">
        <f>IF(ROW()-56&gt;MAX($CO$57:$CO$95),"",INDEX(Lists!$ET$4:$ET$42,MATCH(ROW()-56,$CO$57:$CO$95,0)))</f>
        <v/>
      </c>
      <c r="CQ86">
        <f>CQ85+IF(AND(Lists!$EY$33&lt;&gt;"",ISNUMBER(SEARCH($AD$4,Lists!$EY$33))),1,0)</f>
        <v/>
      </c>
      <c r="CR86">
        <f>IF(ROW()-56&gt;MAX($CQ$57:$CQ$95),"",INDEX(Lists!$EY$4:$EY$42,MATCH(ROW()-56,$CQ$57:$CQ$95,0)))</f>
        <v/>
      </c>
      <c r="CS86">
        <f>CS85+IF(AND(Lists!$FD$33&lt;&gt;"",ISNUMBER(SEARCH($AE$4,Lists!$FD$33))),1,0)</f>
        <v/>
      </c>
      <c r="CT86">
        <f>IF(ROW()-56&gt;MAX($CS$57:$CS$95),"",INDEX(Lists!$FD$4:$FD$42,MATCH(ROW()-56,$CS$57:$CS$95,0)))</f>
        <v/>
      </c>
      <c r="CU86">
        <f>CU85+IF(AND(Lists!$FI$33&lt;&gt;"",ISNUMBER(SEARCH($AG$4,Lists!$FI$33))),1,0)</f>
        <v/>
      </c>
      <c r="CV86">
        <f>IF(ROW()-56&gt;MAX($CU$57:$CU$95),"",INDEX(Lists!$FI$4:$FI$42,MATCH(ROW()-56,$CU$57:$CU$95,0)))</f>
        <v/>
      </c>
      <c r="CW86">
        <f>CW85+IF(AND(Lists!$FN$33&lt;&gt;"",ISNUMBER(SEARCH($AH$4,Lists!$FN$33))),1,0)</f>
        <v/>
      </c>
      <c r="CX86">
        <f>IF(ROW()-56&gt;MAX($CW$57:$CW$95),"",INDEX(Lists!$FN$4:$FN$42,MATCH(ROW()-56,$CW$57:$CW$95,0)))</f>
        <v/>
      </c>
      <c r="CY86">
        <f>CY85+IF(AND(Lists!$FS$33&lt;&gt;"",ISNUMBER(SEARCH($AI$4,Lists!$FS$33))),1,0)</f>
        <v/>
      </c>
      <c r="CZ86">
        <f>IF(ROW()-56&gt;MAX($CY$57:$CY$95),"",INDEX(Lists!$FS$4:$FS$42,MATCH(ROW()-56,$CY$57:$CY$95,0)))</f>
        <v/>
      </c>
      <c r="DA86">
        <f>DA85+IF(AND(Lists!$FX$33&lt;&gt;"",ISNUMBER(SEARCH($AF$4,Lists!$FX$33))),1,0)</f>
        <v/>
      </c>
      <c r="DB86">
        <f>IF(ROW()-56&gt;MAX($DA$57:$DA$95),"",INDEX(Lists!$FX$4:$FX$42,MATCH(ROW()-56,$DA$57:$DA$95,0)))</f>
        <v/>
      </c>
      <c r="DG86">
        <f>IF($B$4="",1,IF($B$4="(blank)",--('Final Calculation Sheet'!$F$31=""),IF($B$4="(nonblank)",--('Final Calculation Sheet'!$F$31&lt;&gt;""),--ISNUMBER(SEARCH($B$4,'Final Calculation Sheet'!$F$31)))))</f>
        <v/>
      </c>
      <c r="DH86">
        <f>IF($C$4="",1,IF($C$4="(blank)",--('Final Calculation Sheet'!$G$31=""),IF($C$4="(nonblank)",--('Final Calculation Sheet'!$G$31&lt;&gt;""),--ISNUMBER(SEARCH($C$4,'Final Calculation Sheet'!$G$31)))))</f>
        <v/>
      </c>
      <c r="DI86">
        <f>IF($D$4="",1,IF($D$4="(blank)",--('Final Calculation Sheet'!$B$31=""),IF($D$4="(nonblank)",--('Final Calculation Sheet'!$B$31&lt;&gt;""),--ISNUMBER(SEARCH($D$4,'Final Calculation Sheet'!$B$31)))))</f>
        <v/>
      </c>
      <c r="DJ86">
        <f>IF($E$4="",1,IF($E$4="(blank)",--('Final Calculation Sheet'!$D$31=""),IF($E$4="(nonblank)",--('Final Calculation Sheet'!$D$31&lt;&gt;""),--ISNUMBER(SEARCH($E$4,'Final Calculation Sheet'!$D$31)))))</f>
        <v/>
      </c>
      <c r="DK86">
        <f>IF($F$4="",1,IF($F$4="(blank)",--('Final Calculation Sheet'!$A$31=""),IF($F$4="(nonblank)",--('Final Calculation Sheet'!$A$31&lt;&gt;""),--ISNUMBER(SEARCH($F$4,'Final Calculation Sheet'!$A$31)))))</f>
        <v/>
      </c>
      <c r="DL86">
        <f>IF($G$4="",1,IF($G$4="(blank)",--('Final Calculation Sheet'!$E$31=""),IF($G$4="(nonblank)",--('Final Calculation Sheet'!$E$31&lt;&gt;""),--ISNUMBER(SEARCH($G$4,'Final Calculation Sheet'!$E$31)))))</f>
        <v/>
      </c>
      <c r="DM86">
        <f>IF($H$4="",1,IF($H$4="(blank)",--('Final Calculation Sheet'!$C$31=""),IF($H$4="(nonblank)",--('Final Calculation Sheet'!$C$31&lt;&gt;""),--ISNUMBER(SEARCH($H$4,'Final Calculation Sheet'!$C$31)))))</f>
        <v/>
      </c>
      <c r="DN86">
        <f>IF($I$4="",1,IF($I$4="(blank)",--('Final Calculation Sheet'!$H$31=""),IF($I$4="(nonblank)",--('Final Calculation Sheet'!$H$31&lt;&gt;""),--ISNUMBER(SEARCH($I$4,'Final Calculation Sheet'!$H$31)))))</f>
        <v/>
      </c>
      <c r="DO86">
        <f>IF($J$4="",1,IF($J$4="(blank)",--('Final Calculation Sheet'!$I$31=""),IF($J$4="(nonblank)",--('Final Calculation Sheet'!$I$31&lt;&gt;""),--ISNUMBER(SEARCH($J$4,'Final Calculation Sheet'!$I$31)))))</f>
        <v/>
      </c>
      <c r="DP86">
        <f>IF($K$4="",1,IF($K$4="(blank)",--('Final Calculation Sheet'!$J$31=""),IF($K$4="(nonblank)",--('Final Calculation Sheet'!$J$31&lt;&gt;""),--ISNUMBER(SEARCH($K$4,'Final Calculation Sheet'!$J$31)))))</f>
        <v/>
      </c>
      <c r="DQ86">
        <f>IF($L$4="",1,IF($L$4="(blank)",--('Final Calculation Sheet'!$K$31=""),IF($L$4="(nonblank)",--('Final Calculation Sheet'!$K$31&lt;&gt;""),--ISNUMBER(SEARCH($L$4,'Final Calculation Sheet'!$K$31)))))</f>
        <v/>
      </c>
      <c r="DR86">
        <f>IF($M$4="",1,IF($M$4="(blank)",--('Final Calculation Sheet'!$L$31=""),IF($M$4="(nonblank)",--('Final Calculation Sheet'!$L$31&lt;&gt;""),--ISNUMBER(SEARCH($M$4,'Final Calculation Sheet'!$L$31)))))</f>
        <v/>
      </c>
      <c r="DS86">
        <f>IF($N$4="",1,IF($N$4="(blank)",--('Final Calculation Sheet'!$M$31=""),IF($N$4="(nonblank)",--('Final Calculation Sheet'!$M$31&lt;&gt;""),--ISNUMBER(SEARCH($N$4,'Final Calculation Sheet'!$M$31)))))</f>
        <v/>
      </c>
      <c r="DT86">
        <f>IF($O$4="",1,IF($O$4="(blank)",--('Final Calculation Sheet'!$N$31=""),IF($O$4="(nonblank)",--('Final Calculation Sheet'!$N$31&lt;&gt;""),--ISNUMBER(SEARCH($O$4,'Final Calculation Sheet'!$N$31)))))</f>
        <v/>
      </c>
      <c r="DU86">
        <f>IF($P$4="",1,IF($P$4="(blank)",--('Final Calculation Sheet'!$O$31=""),IF($P$4="(nonblank)",--('Final Calculation Sheet'!$O$31&lt;&gt;""),--ISNUMBER(SEARCH($P$4,'Final Calculation Sheet'!$O$31)))))</f>
        <v/>
      </c>
      <c r="DV86">
        <f>IF($Q$4="",1,IF($Q$4="(blank)",--('Final Calculation Sheet'!$P$31=""),IF($Q$4="(nonblank)",--('Final Calculation Sheet'!$P$31&lt;&gt;""),--ISNUMBER(SEARCH($Q$4,'Final Calculation Sheet'!$P$31)))))</f>
        <v/>
      </c>
      <c r="DW86">
        <f>IF($R$4="",1,IF($R$4="(blank)",--('Final Calculation Sheet'!$Q$31=""),IF($R$4="(nonblank)",--('Final Calculation Sheet'!$Q$31&lt;&gt;""),--ISNUMBER(SEARCH($R$4,'Final Calculation Sheet'!$Q$31)))))</f>
        <v/>
      </c>
      <c r="DX86">
        <f>IF($S$4="",1,IF($S$4="(blank)",--('Final Calculation Sheet'!$R$31=""),IF($S$4="(nonblank)",--('Final Calculation Sheet'!$R$31&lt;&gt;""),--ISNUMBER(SEARCH($S$4,'Final Calculation Sheet'!$R$31)))))</f>
        <v/>
      </c>
      <c r="DY86">
        <f>IF($T$4="",1,IF($T$4="(blank)",--('Final Calculation Sheet'!$S$31=""),IF($T$4="(nonblank)",--('Final Calculation Sheet'!$S$31&lt;&gt;""),--ISNUMBER(SEARCH($T$4,'Final Calculation Sheet'!$S$31)))))</f>
        <v/>
      </c>
      <c r="DZ86">
        <f>IF($U$4="",1,IF($U$4="(blank)",--('Final Calculation Sheet'!$T$31=""),IF($U$4="(nonblank)",--('Final Calculation Sheet'!$T$31&lt;&gt;""),--ISNUMBER(SEARCH($U$4,'Final Calculation Sheet'!$T$31)))))</f>
        <v/>
      </c>
      <c r="EA86">
        <f>IF($V$4="",1,IF($V$4="(blank)",--('Final Calculation Sheet'!$U$31=""),IF($V$4="(nonblank)",--('Final Calculation Sheet'!$U$31&lt;&gt;""),--ISNUMBER(SEARCH($V$4,'Final Calculation Sheet'!$U$31)))))</f>
        <v/>
      </c>
      <c r="EB86">
        <f>IF($W$4="",1,IF($W$4="(blank)",--('Final Calculation Sheet'!$V$31=""),IF($W$4="(nonblank)",--('Final Calculation Sheet'!$V$31&lt;&gt;""),--ISNUMBER(SEARCH($W$4,'Final Calculation Sheet'!$V$31)))))</f>
        <v/>
      </c>
      <c r="EC86">
        <f>IF($X$4="",1,IF($X$4="(blank)",--('Final Calculation Sheet'!$W$31=""),IF($X$4="(nonblank)",--('Final Calculation Sheet'!$W$31&lt;&gt;""),--ISNUMBER(SEARCH($X$4,'Final Calculation Sheet'!$W$31)))))</f>
        <v/>
      </c>
      <c r="ED86">
        <f>IF($Y$4="",1,IF($Y$4="(blank)",--('Final Calculation Sheet'!$X$31=""),IF($Y$4="(nonblank)",--('Final Calculation Sheet'!$X$31&lt;&gt;""),--ISNUMBER(SEARCH($Y$4,'Final Calculation Sheet'!$X$31)))))</f>
        <v/>
      </c>
      <c r="EE86">
        <f>IF($Z$4="",1,IF($Z$4="(blank)",--('Final Calculation Sheet'!$Y$31=""),IF($Z$4="(nonblank)",--('Final Calculation Sheet'!$Y$31&lt;&gt;""),--ISNUMBER(SEARCH($Z$4,'Final Calculation Sheet'!$Y$31)))))</f>
        <v/>
      </c>
      <c r="EF86">
        <f>IF($AA$4="",1,IF($AA$4="(blank)",--('Final Calculation Sheet'!$Z$31=""),IF($AA$4="(nonblank)",--('Final Calculation Sheet'!$Z$31&lt;&gt;""),--ISNUMBER(SEARCH($AA$4,'Final Calculation Sheet'!$Z$31)))))</f>
        <v/>
      </c>
      <c r="EG86">
        <f>IF($AB$4="",1,IF($AB$4="(blank)",--('Final Calculation Sheet'!$AA$31=""),IF($AB$4="(nonblank)",--('Final Calculation Sheet'!$AA$31&lt;&gt;""),--ISNUMBER(SEARCH($AB$4,'Final Calculation Sheet'!$AA$31)))))</f>
        <v/>
      </c>
      <c r="EH86">
        <f>IF($AC$4="",1,IF($AC$4="(blank)",--('Final Calculation Sheet'!$AB$31=""),IF($AC$4="(nonblank)",--('Final Calculation Sheet'!$AB$31&lt;&gt;""),--ISNUMBER(SEARCH($AC$4,'Final Calculation Sheet'!$AB$31)))))</f>
        <v/>
      </c>
      <c r="EI86">
        <f>IF($AD$4="",1,IF($AD$4="(blank)",--('Final Calculation Sheet'!$AC$31=""),IF($AD$4="(nonblank)",--('Final Calculation Sheet'!$AC$31&lt;&gt;""),--ISNUMBER(SEARCH($AD$4,'Final Calculation Sheet'!$AC$31)))))</f>
        <v/>
      </c>
      <c r="EJ86">
        <f>IF($AE$4="",1,IF($AE$4="(blank)",--('Final Calculation Sheet'!$AD$31=""),IF($AE$4="(nonblank)",--('Final Calculation Sheet'!$AD$31&lt;&gt;""),--ISNUMBER(SEARCH($AE$4,'Final Calculation Sheet'!$AD$31)))))</f>
        <v/>
      </c>
      <c r="EK86">
        <f>IF($AF$4="",1,IF($AF$4="(blank)",--(IF('Final Calculation Sheet'!$AD$31&lt;=5,"SETTLED","OUTSTANDING")=""),IF($AF$4="(nonblank)",--(IF('Final Calculation Sheet'!$AD$31&lt;=5,"SETTLED","OUTSTANDING")&lt;&gt;""),--ISNUMBER(SEARCH($AF$4,IF('Final Calculation Sheet'!$AD$31&lt;=5,"SETTLED","OUTSTANDING"))))))</f>
        <v/>
      </c>
      <c r="EL86">
        <f>IF($AG$4="",1,IF($AG$4="(blank)",--('Final Calculation Sheet'!$AF$31=""),IF($AG$4="(nonblank)",--('Final Calculation Sheet'!$AF$31&lt;&gt;""),--ISNUMBER(SEARCH($AG$4,'Final Calculation Sheet'!$AF$31)))))</f>
        <v/>
      </c>
      <c r="EM86">
        <f>IF($AH$4="",1,IF($AH$4="(blank)",--('Final Calculation Sheet'!$AG$31=""),IF($AH$4="(nonblank)",--('Final Calculation Sheet'!$AG$31&lt;&gt;""),--ISNUMBER(SEARCH($AH$4,'Final Calculation Sheet'!$AG$31)))))</f>
        <v/>
      </c>
      <c r="EN86">
        <f>IF($AI$4="",1,IF($AI$4="(blank)",--('Final Calculation Sheet'!$AH$31=""),IF($AI$4="(nonblank)",--('Final Calculation Sheet'!$AH$31&lt;&gt;""),--ISNUMBER(SEARCH($AI$4,'Final Calculation Sheet'!$AH$31)))))</f>
        <v/>
      </c>
    </row>
    <row r="87">
      <c r="AM87">
        <f>AM86+IF(AND(Lists!$O$34&lt;&gt;"",ISNUMBER(SEARCH($B$4,Lists!$O$34))),1,0)</f>
        <v/>
      </c>
      <c r="AN87">
        <f>IF(ROW()-56&gt;MAX($AM$57:$AM$95),"",INDEX(Lists!$O$4:$O$42,MATCH(ROW()-56,$AM$57:$AM$95,0)))</f>
        <v/>
      </c>
      <c r="AO87">
        <f>AO86+IF(AND(Lists!$T$34&lt;&gt;"",ISNUMBER(SEARCH($C$4,Lists!$T$34))),1,0)</f>
        <v/>
      </c>
      <c r="AP87">
        <f>IF(ROW()-56&gt;MAX($AO$57:$AO$95),"",INDEX(Lists!$T$4:$T$42,MATCH(ROW()-56,$AO$57:$AO$95,0)))</f>
        <v/>
      </c>
      <c r="AQ87">
        <f>AQ86+IF(AND(Lists!$Y$34&lt;&gt;"",ISNUMBER(SEARCH($D$4,Lists!$Y$34))),1,0)</f>
        <v/>
      </c>
      <c r="AR87">
        <f>IF(ROW()-56&gt;MAX($AQ$57:$AQ$95),"",INDEX(Lists!$Y$4:$Y$42,MATCH(ROW()-56,$AQ$57:$AQ$95,0)))</f>
        <v/>
      </c>
      <c r="AS87">
        <f>AS86+IF(AND(Lists!$AD$34&lt;&gt;"",ISNUMBER(SEARCH($E$4,Lists!$AD$34))),1,0)</f>
        <v/>
      </c>
      <c r="AT87">
        <f>IF(ROW()-56&gt;MAX($AS$57:$AS$95),"",INDEX(Lists!$AD$4:$AD$42,MATCH(ROW()-56,$AS$57:$AS$95,0)))</f>
        <v/>
      </c>
      <c r="AU87">
        <f>AU86+IF(AND(Lists!$AI$34&lt;&gt;"",ISNUMBER(SEARCH($F$4,Lists!$AI$34))),1,0)</f>
        <v/>
      </c>
      <c r="AV87">
        <f>IF(ROW()-56&gt;MAX($AU$57:$AU$95),"",INDEX(Lists!$AI$4:$AI$42,MATCH(ROW()-56,$AU$57:$AU$95,0)))</f>
        <v/>
      </c>
      <c r="AW87">
        <f>AW86+IF(AND(Lists!$AN$34&lt;&gt;"",ISNUMBER(SEARCH($G$4,Lists!$AN$34))),1,0)</f>
        <v/>
      </c>
      <c r="AX87">
        <f>IF(ROW()-56&gt;MAX($AW$57:$AW$95),"",INDEX(Lists!$AN$4:$AN$42,MATCH(ROW()-56,$AW$57:$AW$95,0)))</f>
        <v/>
      </c>
      <c r="AY87">
        <f>AY86+IF(AND(Lists!$AS$34&lt;&gt;"",ISNUMBER(SEARCH($H$4,Lists!$AS$34))),1,0)</f>
        <v/>
      </c>
      <c r="AZ87">
        <f>IF(ROW()-56&gt;MAX($AY$57:$AY$95),"",INDEX(Lists!$AS$4:$AS$42,MATCH(ROW()-56,$AY$57:$AY$95,0)))</f>
        <v/>
      </c>
      <c r="BA87">
        <f>BA86+IF(AND(Lists!$AX$34&lt;&gt;"",ISNUMBER(SEARCH($I$4,Lists!$AX$34))),1,0)</f>
        <v/>
      </c>
      <c r="BB87">
        <f>IF(ROW()-56&gt;MAX($BA$57:$BA$95),"",INDEX(Lists!$AX$4:$AX$42,MATCH(ROW()-56,$BA$57:$BA$95,0)))</f>
        <v/>
      </c>
      <c r="BC87">
        <f>BC86+IF(AND(Lists!$BC$34&lt;&gt;"",ISNUMBER(SEARCH($J$4,Lists!$BC$34))),1,0)</f>
        <v/>
      </c>
      <c r="BD87">
        <f>IF(ROW()-56&gt;MAX($BC$57:$BC$95),"",INDEX(Lists!$BC$4:$BC$42,MATCH(ROW()-56,$BC$57:$BC$95,0)))</f>
        <v/>
      </c>
      <c r="BE87">
        <f>BE86+IF(AND(Lists!$BH$34&lt;&gt;"",ISNUMBER(SEARCH($K$4,Lists!$BH$34))),1,0)</f>
        <v/>
      </c>
      <c r="BF87">
        <f>IF(ROW()-56&gt;MAX($BE$57:$BE$95),"",INDEX(Lists!$BH$4:$BH$42,MATCH(ROW()-56,$BE$57:$BE$95,0)))</f>
        <v/>
      </c>
      <c r="BG87">
        <f>BG86+IF(AND(Lists!$BM$34&lt;&gt;"",ISNUMBER(SEARCH($L$4,Lists!$BM$34))),1,0)</f>
        <v/>
      </c>
      <c r="BH87">
        <f>IF(ROW()-56&gt;MAX($BG$57:$BG$95),"",INDEX(Lists!$BM$4:$BM$42,MATCH(ROW()-56,$BG$57:$BG$95,0)))</f>
        <v/>
      </c>
      <c r="BI87">
        <f>BI86+IF(AND(Lists!$BR$34&lt;&gt;"",ISNUMBER(SEARCH($M$4,Lists!$BR$34))),1,0)</f>
        <v/>
      </c>
      <c r="BJ87">
        <f>IF(ROW()-56&gt;MAX($BI$57:$BI$95),"",INDEX(Lists!$BR$4:$BR$42,MATCH(ROW()-56,$BI$57:$BI$95,0)))</f>
        <v/>
      </c>
      <c r="BK87">
        <f>BK86+IF(AND(Lists!$BW$34&lt;&gt;"",ISNUMBER(SEARCH($N$4,Lists!$BW$34))),1,0)</f>
        <v/>
      </c>
      <c r="BL87">
        <f>IF(ROW()-56&gt;MAX($BK$57:$BK$95),"",INDEX(Lists!$BW$4:$BW$42,MATCH(ROW()-56,$BK$57:$BK$95,0)))</f>
        <v/>
      </c>
      <c r="BM87">
        <f>BM86+IF(AND(Lists!$CB$34&lt;&gt;"",ISNUMBER(SEARCH($O$4,Lists!$CB$34))),1,0)</f>
        <v/>
      </c>
      <c r="BN87">
        <f>IF(ROW()-56&gt;MAX($BM$57:$BM$95),"",INDEX(Lists!$CB$4:$CB$42,MATCH(ROW()-56,$BM$57:$BM$95,0)))</f>
        <v/>
      </c>
      <c r="BO87">
        <f>BO86+IF(AND(Lists!$CG$34&lt;&gt;"",ISNUMBER(SEARCH($P$4,Lists!$CG$34))),1,0)</f>
        <v/>
      </c>
      <c r="BP87">
        <f>IF(ROW()-56&gt;MAX($BO$57:$BO$95),"",INDEX(Lists!$CG$4:$CG$42,MATCH(ROW()-56,$BO$57:$BO$95,0)))</f>
        <v/>
      </c>
      <c r="BQ87">
        <f>BQ86+IF(AND(Lists!$CL$34&lt;&gt;"",ISNUMBER(SEARCH($Q$4,Lists!$CL$34))),1,0)</f>
        <v/>
      </c>
      <c r="BR87">
        <f>IF(ROW()-56&gt;MAX($BQ$57:$BQ$95),"",INDEX(Lists!$CL$4:$CL$42,MATCH(ROW()-56,$BQ$57:$BQ$95,0)))</f>
        <v/>
      </c>
      <c r="BS87">
        <f>BS86+IF(AND(Lists!$CQ$34&lt;&gt;"",ISNUMBER(SEARCH($R$4,Lists!$CQ$34))),1,0)</f>
        <v/>
      </c>
      <c r="BT87">
        <f>IF(ROW()-56&gt;MAX($BS$57:$BS$95),"",INDEX(Lists!$CQ$4:$CQ$42,MATCH(ROW()-56,$BS$57:$BS$95,0)))</f>
        <v/>
      </c>
      <c r="BU87">
        <f>BU86+IF(AND(Lists!$CV$34&lt;&gt;"",ISNUMBER(SEARCH($S$4,Lists!$CV$34))),1,0)</f>
        <v/>
      </c>
      <c r="BV87">
        <f>IF(ROW()-56&gt;MAX($BU$57:$BU$95),"",INDEX(Lists!$CV$4:$CV$42,MATCH(ROW()-56,$BU$57:$BU$95,0)))</f>
        <v/>
      </c>
      <c r="BW87">
        <f>BW86+IF(AND(Lists!$DA$34&lt;&gt;"",ISNUMBER(SEARCH($T$4,Lists!$DA$34))),1,0)</f>
        <v/>
      </c>
      <c r="BX87">
        <f>IF(ROW()-56&gt;MAX($BW$57:$BW$95),"",INDEX(Lists!$DA$4:$DA$42,MATCH(ROW()-56,$BW$57:$BW$95,0)))</f>
        <v/>
      </c>
      <c r="BY87">
        <f>BY86+IF(AND(Lists!$DF$34&lt;&gt;"",ISNUMBER(SEARCH($U$4,Lists!$DF$34))),1,0)</f>
        <v/>
      </c>
      <c r="BZ87">
        <f>IF(ROW()-56&gt;MAX($BY$57:$BY$95),"",INDEX(Lists!$DF$4:$DF$42,MATCH(ROW()-56,$BY$57:$BY$95,0)))</f>
        <v/>
      </c>
      <c r="CA87">
        <f>CA86+IF(AND(Lists!$DK$34&lt;&gt;"",ISNUMBER(SEARCH($V$4,Lists!$DK$34))),1,0)</f>
        <v/>
      </c>
      <c r="CB87">
        <f>IF(ROW()-56&gt;MAX($CA$57:$CA$95),"",INDEX(Lists!$DK$4:$DK$42,MATCH(ROW()-56,$CA$57:$CA$95,0)))</f>
        <v/>
      </c>
      <c r="CC87">
        <f>CC86+IF(AND(Lists!$DP$34&lt;&gt;"",ISNUMBER(SEARCH($W$4,Lists!$DP$34))),1,0)</f>
        <v/>
      </c>
      <c r="CD87">
        <f>IF(ROW()-56&gt;MAX($CC$57:$CC$95),"",INDEX(Lists!$DP$4:$DP$42,MATCH(ROW()-56,$CC$57:$CC$95,0)))</f>
        <v/>
      </c>
      <c r="CE87">
        <f>CE86+IF(AND(Lists!$DU$34&lt;&gt;"",ISNUMBER(SEARCH($X$4,Lists!$DU$34))),1,0)</f>
        <v/>
      </c>
      <c r="CF87">
        <f>IF(ROW()-56&gt;MAX($CE$57:$CE$95),"",INDEX(Lists!$DU$4:$DU$42,MATCH(ROW()-56,$CE$57:$CE$95,0)))</f>
        <v/>
      </c>
      <c r="CG87">
        <f>CG86+IF(AND(Lists!$DZ$34&lt;&gt;"",ISNUMBER(SEARCH($Y$4,Lists!$DZ$34))),1,0)</f>
        <v/>
      </c>
      <c r="CH87">
        <f>IF(ROW()-56&gt;MAX($CG$57:$CG$95),"",INDEX(Lists!$DZ$4:$DZ$42,MATCH(ROW()-56,$CG$57:$CG$95,0)))</f>
        <v/>
      </c>
      <c r="CI87">
        <f>CI86+IF(AND(Lists!$EE$34&lt;&gt;"",ISNUMBER(SEARCH($Z$4,Lists!$EE$34))),1,0)</f>
        <v/>
      </c>
      <c r="CJ87">
        <f>IF(ROW()-56&gt;MAX($CI$57:$CI$95),"",INDEX(Lists!$EE$4:$EE$42,MATCH(ROW()-56,$CI$57:$CI$95,0)))</f>
        <v/>
      </c>
      <c r="CK87">
        <f>CK86+IF(AND(Lists!$EJ$34&lt;&gt;"",ISNUMBER(SEARCH($AA$4,Lists!$EJ$34))),1,0)</f>
        <v/>
      </c>
      <c r="CL87">
        <f>IF(ROW()-56&gt;MAX($CK$57:$CK$95),"",INDEX(Lists!$EJ$4:$EJ$42,MATCH(ROW()-56,$CK$57:$CK$95,0)))</f>
        <v/>
      </c>
      <c r="CM87">
        <f>CM86+IF(AND(Lists!$EO$34&lt;&gt;"",ISNUMBER(SEARCH($AB$4,Lists!$EO$34))),1,0)</f>
        <v/>
      </c>
      <c r="CN87">
        <f>IF(ROW()-56&gt;MAX($CM$57:$CM$95),"",INDEX(Lists!$EO$4:$EO$42,MATCH(ROW()-56,$CM$57:$CM$95,0)))</f>
        <v/>
      </c>
      <c r="CO87">
        <f>CO86+IF(AND(Lists!$ET$34&lt;&gt;"",ISNUMBER(SEARCH($AC$4,Lists!$ET$34))),1,0)</f>
        <v/>
      </c>
      <c r="CP87">
        <f>IF(ROW()-56&gt;MAX($CO$57:$CO$95),"",INDEX(Lists!$ET$4:$ET$42,MATCH(ROW()-56,$CO$57:$CO$95,0)))</f>
        <v/>
      </c>
      <c r="CQ87">
        <f>CQ86+IF(AND(Lists!$EY$34&lt;&gt;"",ISNUMBER(SEARCH($AD$4,Lists!$EY$34))),1,0)</f>
        <v/>
      </c>
      <c r="CR87">
        <f>IF(ROW()-56&gt;MAX($CQ$57:$CQ$95),"",INDEX(Lists!$EY$4:$EY$42,MATCH(ROW()-56,$CQ$57:$CQ$95,0)))</f>
        <v/>
      </c>
      <c r="CS87">
        <f>CS86+IF(AND(Lists!$FD$34&lt;&gt;"",ISNUMBER(SEARCH($AE$4,Lists!$FD$34))),1,0)</f>
        <v/>
      </c>
      <c r="CT87">
        <f>IF(ROW()-56&gt;MAX($CS$57:$CS$95),"",INDEX(Lists!$FD$4:$FD$42,MATCH(ROW()-56,$CS$57:$CS$95,0)))</f>
        <v/>
      </c>
      <c r="CU87">
        <f>CU86+IF(AND(Lists!$FI$34&lt;&gt;"",ISNUMBER(SEARCH($AG$4,Lists!$FI$34))),1,0)</f>
        <v/>
      </c>
      <c r="CV87">
        <f>IF(ROW()-56&gt;MAX($CU$57:$CU$95),"",INDEX(Lists!$FI$4:$FI$42,MATCH(ROW()-56,$CU$57:$CU$95,0)))</f>
        <v/>
      </c>
      <c r="CW87">
        <f>CW86+IF(AND(Lists!$FN$34&lt;&gt;"",ISNUMBER(SEARCH($AH$4,Lists!$FN$34))),1,0)</f>
        <v/>
      </c>
      <c r="CX87">
        <f>IF(ROW()-56&gt;MAX($CW$57:$CW$95),"",INDEX(Lists!$FN$4:$FN$42,MATCH(ROW()-56,$CW$57:$CW$95,0)))</f>
        <v/>
      </c>
      <c r="CY87">
        <f>CY86+IF(AND(Lists!$FS$34&lt;&gt;"",ISNUMBER(SEARCH($AI$4,Lists!$FS$34))),1,0)</f>
        <v/>
      </c>
      <c r="CZ87">
        <f>IF(ROW()-56&gt;MAX($CY$57:$CY$95),"",INDEX(Lists!$FS$4:$FS$42,MATCH(ROW()-56,$CY$57:$CY$95,0)))</f>
        <v/>
      </c>
      <c r="DA87">
        <f>DA86+IF(AND(Lists!$FX$34&lt;&gt;"",ISNUMBER(SEARCH($AF$4,Lists!$FX$34))),1,0)</f>
        <v/>
      </c>
      <c r="DB87">
        <f>IF(ROW()-56&gt;MAX($DA$57:$DA$95),"",INDEX(Lists!$FX$4:$FX$42,MATCH(ROW()-56,$DA$57:$DA$95,0)))</f>
        <v/>
      </c>
      <c r="DG87">
        <f>IF($B$4="",1,IF($B$4="(blank)",--('Final Calculation Sheet'!$F$32=""),IF($B$4="(nonblank)",--('Final Calculation Sheet'!$F$32&lt;&gt;""),--ISNUMBER(SEARCH($B$4,'Final Calculation Sheet'!$F$32)))))</f>
        <v/>
      </c>
      <c r="DH87">
        <f>IF($C$4="",1,IF($C$4="(blank)",--('Final Calculation Sheet'!$G$32=""),IF($C$4="(nonblank)",--('Final Calculation Sheet'!$G$32&lt;&gt;""),--ISNUMBER(SEARCH($C$4,'Final Calculation Sheet'!$G$32)))))</f>
        <v/>
      </c>
      <c r="DI87">
        <f>IF($D$4="",1,IF($D$4="(blank)",--('Final Calculation Sheet'!$B$32=""),IF($D$4="(nonblank)",--('Final Calculation Sheet'!$B$32&lt;&gt;""),--ISNUMBER(SEARCH($D$4,'Final Calculation Sheet'!$B$32)))))</f>
        <v/>
      </c>
      <c r="DJ87">
        <f>IF($E$4="",1,IF($E$4="(blank)",--('Final Calculation Sheet'!$D$32=""),IF($E$4="(nonblank)",--('Final Calculation Sheet'!$D$32&lt;&gt;""),--ISNUMBER(SEARCH($E$4,'Final Calculation Sheet'!$D$32)))))</f>
        <v/>
      </c>
      <c r="DK87">
        <f>IF($F$4="",1,IF($F$4="(blank)",--('Final Calculation Sheet'!$A$32=""),IF($F$4="(nonblank)",--('Final Calculation Sheet'!$A$32&lt;&gt;""),--ISNUMBER(SEARCH($F$4,'Final Calculation Sheet'!$A$32)))))</f>
        <v/>
      </c>
      <c r="DL87">
        <f>IF($G$4="",1,IF($G$4="(blank)",--('Final Calculation Sheet'!$E$32=""),IF($G$4="(nonblank)",--('Final Calculation Sheet'!$E$32&lt;&gt;""),--ISNUMBER(SEARCH($G$4,'Final Calculation Sheet'!$E$32)))))</f>
        <v/>
      </c>
      <c r="DM87">
        <f>IF($H$4="",1,IF($H$4="(blank)",--('Final Calculation Sheet'!$C$32=""),IF($H$4="(nonblank)",--('Final Calculation Sheet'!$C$32&lt;&gt;""),--ISNUMBER(SEARCH($H$4,'Final Calculation Sheet'!$C$32)))))</f>
        <v/>
      </c>
      <c r="DN87">
        <f>IF($I$4="",1,IF($I$4="(blank)",--('Final Calculation Sheet'!$H$32=""),IF($I$4="(nonblank)",--('Final Calculation Sheet'!$H$32&lt;&gt;""),--ISNUMBER(SEARCH($I$4,'Final Calculation Sheet'!$H$32)))))</f>
        <v/>
      </c>
      <c r="DO87">
        <f>IF($J$4="",1,IF($J$4="(blank)",--('Final Calculation Sheet'!$I$32=""),IF($J$4="(nonblank)",--('Final Calculation Sheet'!$I$32&lt;&gt;""),--ISNUMBER(SEARCH($J$4,'Final Calculation Sheet'!$I$32)))))</f>
        <v/>
      </c>
      <c r="DP87">
        <f>IF($K$4="",1,IF($K$4="(blank)",--('Final Calculation Sheet'!$J$32=""),IF($K$4="(nonblank)",--('Final Calculation Sheet'!$J$32&lt;&gt;""),--ISNUMBER(SEARCH($K$4,'Final Calculation Sheet'!$J$32)))))</f>
        <v/>
      </c>
      <c r="DQ87">
        <f>IF($L$4="",1,IF($L$4="(blank)",--('Final Calculation Sheet'!$K$32=""),IF($L$4="(nonblank)",--('Final Calculation Sheet'!$K$32&lt;&gt;""),--ISNUMBER(SEARCH($L$4,'Final Calculation Sheet'!$K$32)))))</f>
        <v/>
      </c>
      <c r="DR87">
        <f>IF($M$4="",1,IF($M$4="(blank)",--('Final Calculation Sheet'!$L$32=""),IF($M$4="(nonblank)",--('Final Calculation Sheet'!$L$32&lt;&gt;""),--ISNUMBER(SEARCH($M$4,'Final Calculation Sheet'!$L$32)))))</f>
        <v/>
      </c>
      <c r="DS87">
        <f>IF($N$4="",1,IF($N$4="(blank)",--('Final Calculation Sheet'!$M$32=""),IF($N$4="(nonblank)",--('Final Calculation Sheet'!$M$32&lt;&gt;""),--ISNUMBER(SEARCH($N$4,'Final Calculation Sheet'!$M$32)))))</f>
        <v/>
      </c>
      <c r="DT87">
        <f>IF($O$4="",1,IF($O$4="(blank)",--('Final Calculation Sheet'!$N$32=""),IF($O$4="(nonblank)",--('Final Calculation Sheet'!$N$32&lt;&gt;""),--ISNUMBER(SEARCH($O$4,'Final Calculation Sheet'!$N$32)))))</f>
        <v/>
      </c>
      <c r="DU87">
        <f>IF($P$4="",1,IF($P$4="(blank)",--('Final Calculation Sheet'!$O$32=""),IF($P$4="(nonblank)",--('Final Calculation Sheet'!$O$32&lt;&gt;""),--ISNUMBER(SEARCH($P$4,'Final Calculation Sheet'!$O$32)))))</f>
        <v/>
      </c>
      <c r="DV87">
        <f>IF($Q$4="",1,IF($Q$4="(blank)",--('Final Calculation Sheet'!$P$32=""),IF($Q$4="(nonblank)",--('Final Calculation Sheet'!$P$32&lt;&gt;""),--ISNUMBER(SEARCH($Q$4,'Final Calculation Sheet'!$P$32)))))</f>
        <v/>
      </c>
      <c r="DW87">
        <f>IF($R$4="",1,IF($R$4="(blank)",--('Final Calculation Sheet'!$Q$32=""),IF($R$4="(nonblank)",--('Final Calculation Sheet'!$Q$32&lt;&gt;""),--ISNUMBER(SEARCH($R$4,'Final Calculation Sheet'!$Q$32)))))</f>
        <v/>
      </c>
      <c r="DX87">
        <f>IF($S$4="",1,IF($S$4="(blank)",--('Final Calculation Sheet'!$R$32=""),IF($S$4="(nonblank)",--('Final Calculation Sheet'!$R$32&lt;&gt;""),--ISNUMBER(SEARCH($S$4,'Final Calculation Sheet'!$R$32)))))</f>
        <v/>
      </c>
      <c r="DY87">
        <f>IF($T$4="",1,IF($T$4="(blank)",--('Final Calculation Sheet'!$S$32=""),IF($T$4="(nonblank)",--('Final Calculation Sheet'!$S$32&lt;&gt;""),--ISNUMBER(SEARCH($T$4,'Final Calculation Sheet'!$S$32)))))</f>
        <v/>
      </c>
      <c r="DZ87">
        <f>IF($U$4="",1,IF($U$4="(blank)",--('Final Calculation Sheet'!$T$32=""),IF($U$4="(nonblank)",--('Final Calculation Sheet'!$T$32&lt;&gt;""),--ISNUMBER(SEARCH($U$4,'Final Calculation Sheet'!$T$32)))))</f>
        <v/>
      </c>
      <c r="EA87">
        <f>IF($V$4="",1,IF($V$4="(blank)",--('Final Calculation Sheet'!$U$32=""),IF($V$4="(nonblank)",--('Final Calculation Sheet'!$U$32&lt;&gt;""),--ISNUMBER(SEARCH($V$4,'Final Calculation Sheet'!$U$32)))))</f>
        <v/>
      </c>
      <c r="EB87">
        <f>IF($W$4="",1,IF($W$4="(blank)",--('Final Calculation Sheet'!$V$32=""),IF($W$4="(nonblank)",--('Final Calculation Sheet'!$V$32&lt;&gt;""),--ISNUMBER(SEARCH($W$4,'Final Calculation Sheet'!$V$32)))))</f>
        <v/>
      </c>
      <c r="EC87">
        <f>IF($X$4="",1,IF($X$4="(blank)",--('Final Calculation Sheet'!$W$32=""),IF($X$4="(nonblank)",--('Final Calculation Sheet'!$W$32&lt;&gt;""),--ISNUMBER(SEARCH($X$4,'Final Calculation Sheet'!$W$32)))))</f>
        <v/>
      </c>
      <c r="ED87">
        <f>IF($Y$4="",1,IF($Y$4="(blank)",--('Final Calculation Sheet'!$X$32=""),IF($Y$4="(nonblank)",--('Final Calculation Sheet'!$X$32&lt;&gt;""),--ISNUMBER(SEARCH($Y$4,'Final Calculation Sheet'!$X$32)))))</f>
        <v/>
      </c>
      <c r="EE87">
        <f>IF($Z$4="",1,IF($Z$4="(blank)",--('Final Calculation Sheet'!$Y$32=""),IF($Z$4="(nonblank)",--('Final Calculation Sheet'!$Y$32&lt;&gt;""),--ISNUMBER(SEARCH($Z$4,'Final Calculation Sheet'!$Y$32)))))</f>
        <v/>
      </c>
      <c r="EF87">
        <f>IF($AA$4="",1,IF($AA$4="(blank)",--('Final Calculation Sheet'!$Z$32=""),IF($AA$4="(nonblank)",--('Final Calculation Sheet'!$Z$32&lt;&gt;""),--ISNUMBER(SEARCH($AA$4,'Final Calculation Sheet'!$Z$32)))))</f>
        <v/>
      </c>
      <c r="EG87">
        <f>IF($AB$4="",1,IF($AB$4="(blank)",--('Final Calculation Sheet'!$AA$32=""),IF($AB$4="(nonblank)",--('Final Calculation Sheet'!$AA$32&lt;&gt;""),--ISNUMBER(SEARCH($AB$4,'Final Calculation Sheet'!$AA$32)))))</f>
        <v/>
      </c>
      <c r="EH87">
        <f>IF($AC$4="",1,IF($AC$4="(blank)",--('Final Calculation Sheet'!$AB$32=""),IF($AC$4="(nonblank)",--('Final Calculation Sheet'!$AB$32&lt;&gt;""),--ISNUMBER(SEARCH($AC$4,'Final Calculation Sheet'!$AB$32)))))</f>
        <v/>
      </c>
      <c r="EI87">
        <f>IF($AD$4="",1,IF($AD$4="(blank)",--('Final Calculation Sheet'!$AC$32=""),IF($AD$4="(nonblank)",--('Final Calculation Sheet'!$AC$32&lt;&gt;""),--ISNUMBER(SEARCH($AD$4,'Final Calculation Sheet'!$AC$32)))))</f>
        <v/>
      </c>
      <c r="EJ87">
        <f>IF($AE$4="",1,IF($AE$4="(blank)",--('Final Calculation Sheet'!$AD$32=""),IF($AE$4="(nonblank)",--('Final Calculation Sheet'!$AD$32&lt;&gt;""),--ISNUMBER(SEARCH($AE$4,'Final Calculation Sheet'!$AD$32)))))</f>
        <v/>
      </c>
      <c r="EK87">
        <f>IF($AF$4="",1,IF($AF$4="(blank)",--(IF('Final Calculation Sheet'!$AD$32&lt;=5,"SETTLED","OUTSTANDING")=""),IF($AF$4="(nonblank)",--(IF('Final Calculation Sheet'!$AD$32&lt;=5,"SETTLED","OUTSTANDING")&lt;&gt;""),--ISNUMBER(SEARCH($AF$4,IF('Final Calculation Sheet'!$AD$32&lt;=5,"SETTLED","OUTSTANDING"))))))</f>
        <v/>
      </c>
      <c r="EL87">
        <f>IF($AG$4="",1,IF($AG$4="(blank)",--('Final Calculation Sheet'!$AF$32=""),IF($AG$4="(nonblank)",--('Final Calculation Sheet'!$AF$32&lt;&gt;""),--ISNUMBER(SEARCH($AG$4,'Final Calculation Sheet'!$AF$32)))))</f>
        <v/>
      </c>
      <c r="EM87">
        <f>IF($AH$4="",1,IF($AH$4="(blank)",--('Final Calculation Sheet'!$AG$32=""),IF($AH$4="(nonblank)",--('Final Calculation Sheet'!$AG$32&lt;&gt;""),--ISNUMBER(SEARCH($AH$4,'Final Calculation Sheet'!$AG$32)))))</f>
        <v/>
      </c>
      <c r="EN87">
        <f>IF($AI$4="",1,IF($AI$4="(blank)",--('Final Calculation Sheet'!$AH$32=""),IF($AI$4="(nonblank)",--('Final Calculation Sheet'!$AH$32&lt;&gt;""),--ISNUMBER(SEARCH($AI$4,'Final Calculation Sheet'!$AH$32)))))</f>
        <v/>
      </c>
    </row>
    <row r="88">
      <c r="AM88">
        <f>AM87+IF(AND(Lists!$O$35&lt;&gt;"",ISNUMBER(SEARCH($B$4,Lists!$O$35))),1,0)</f>
        <v/>
      </c>
      <c r="AN88">
        <f>IF(ROW()-56&gt;MAX($AM$57:$AM$95),"",INDEX(Lists!$O$4:$O$42,MATCH(ROW()-56,$AM$57:$AM$95,0)))</f>
        <v/>
      </c>
      <c r="AO88">
        <f>AO87+IF(AND(Lists!$T$35&lt;&gt;"",ISNUMBER(SEARCH($C$4,Lists!$T$35))),1,0)</f>
        <v/>
      </c>
      <c r="AP88">
        <f>IF(ROW()-56&gt;MAX($AO$57:$AO$95),"",INDEX(Lists!$T$4:$T$42,MATCH(ROW()-56,$AO$57:$AO$95,0)))</f>
        <v/>
      </c>
      <c r="AQ88">
        <f>AQ87+IF(AND(Lists!$Y$35&lt;&gt;"",ISNUMBER(SEARCH($D$4,Lists!$Y$35))),1,0)</f>
        <v/>
      </c>
      <c r="AR88">
        <f>IF(ROW()-56&gt;MAX($AQ$57:$AQ$95),"",INDEX(Lists!$Y$4:$Y$42,MATCH(ROW()-56,$AQ$57:$AQ$95,0)))</f>
        <v/>
      </c>
      <c r="AS88">
        <f>AS87+IF(AND(Lists!$AD$35&lt;&gt;"",ISNUMBER(SEARCH($E$4,Lists!$AD$35))),1,0)</f>
        <v/>
      </c>
      <c r="AT88">
        <f>IF(ROW()-56&gt;MAX($AS$57:$AS$95),"",INDEX(Lists!$AD$4:$AD$42,MATCH(ROW()-56,$AS$57:$AS$95,0)))</f>
        <v/>
      </c>
      <c r="AU88">
        <f>AU87+IF(AND(Lists!$AI$35&lt;&gt;"",ISNUMBER(SEARCH($F$4,Lists!$AI$35))),1,0)</f>
        <v/>
      </c>
      <c r="AV88">
        <f>IF(ROW()-56&gt;MAX($AU$57:$AU$95),"",INDEX(Lists!$AI$4:$AI$42,MATCH(ROW()-56,$AU$57:$AU$95,0)))</f>
        <v/>
      </c>
      <c r="AW88">
        <f>AW87+IF(AND(Lists!$AN$35&lt;&gt;"",ISNUMBER(SEARCH($G$4,Lists!$AN$35))),1,0)</f>
        <v/>
      </c>
      <c r="AX88">
        <f>IF(ROW()-56&gt;MAX($AW$57:$AW$95),"",INDEX(Lists!$AN$4:$AN$42,MATCH(ROW()-56,$AW$57:$AW$95,0)))</f>
        <v/>
      </c>
      <c r="AY88">
        <f>AY87+IF(AND(Lists!$AS$35&lt;&gt;"",ISNUMBER(SEARCH($H$4,Lists!$AS$35))),1,0)</f>
        <v/>
      </c>
      <c r="AZ88">
        <f>IF(ROW()-56&gt;MAX($AY$57:$AY$95),"",INDEX(Lists!$AS$4:$AS$42,MATCH(ROW()-56,$AY$57:$AY$95,0)))</f>
        <v/>
      </c>
      <c r="BA88">
        <f>BA87+IF(AND(Lists!$AX$35&lt;&gt;"",ISNUMBER(SEARCH($I$4,Lists!$AX$35))),1,0)</f>
        <v/>
      </c>
      <c r="BB88">
        <f>IF(ROW()-56&gt;MAX($BA$57:$BA$95),"",INDEX(Lists!$AX$4:$AX$42,MATCH(ROW()-56,$BA$57:$BA$95,0)))</f>
        <v/>
      </c>
      <c r="BC88">
        <f>BC87+IF(AND(Lists!$BC$35&lt;&gt;"",ISNUMBER(SEARCH($J$4,Lists!$BC$35))),1,0)</f>
        <v/>
      </c>
      <c r="BD88">
        <f>IF(ROW()-56&gt;MAX($BC$57:$BC$95),"",INDEX(Lists!$BC$4:$BC$42,MATCH(ROW()-56,$BC$57:$BC$95,0)))</f>
        <v/>
      </c>
      <c r="BE88">
        <f>BE87+IF(AND(Lists!$BH$35&lt;&gt;"",ISNUMBER(SEARCH($K$4,Lists!$BH$35))),1,0)</f>
        <v/>
      </c>
      <c r="BF88">
        <f>IF(ROW()-56&gt;MAX($BE$57:$BE$95),"",INDEX(Lists!$BH$4:$BH$42,MATCH(ROW()-56,$BE$57:$BE$95,0)))</f>
        <v/>
      </c>
      <c r="BG88">
        <f>BG87+IF(AND(Lists!$BM$35&lt;&gt;"",ISNUMBER(SEARCH($L$4,Lists!$BM$35))),1,0)</f>
        <v/>
      </c>
      <c r="BH88">
        <f>IF(ROW()-56&gt;MAX($BG$57:$BG$95),"",INDEX(Lists!$BM$4:$BM$42,MATCH(ROW()-56,$BG$57:$BG$95,0)))</f>
        <v/>
      </c>
      <c r="BI88">
        <f>BI87+IF(AND(Lists!$BR$35&lt;&gt;"",ISNUMBER(SEARCH($M$4,Lists!$BR$35))),1,0)</f>
        <v/>
      </c>
      <c r="BJ88">
        <f>IF(ROW()-56&gt;MAX($BI$57:$BI$95),"",INDEX(Lists!$BR$4:$BR$42,MATCH(ROW()-56,$BI$57:$BI$95,0)))</f>
        <v/>
      </c>
      <c r="BK88">
        <f>BK87+IF(AND(Lists!$BW$35&lt;&gt;"",ISNUMBER(SEARCH($N$4,Lists!$BW$35))),1,0)</f>
        <v/>
      </c>
      <c r="BL88">
        <f>IF(ROW()-56&gt;MAX($BK$57:$BK$95),"",INDEX(Lists!$BW$4:$BW$42,MATCH(ROW()-56,$BK$57:$BK$95,0)))</f>
        <v/>
      </c>
      <c r="BM88">
        <f>BM87+IF(AND(Lists!$CB$35&lt;&gt;"",ISNUMBER(SEARCH($O$4,Lists!$CB$35))),1,0)</f>
        <v/>
      </c>
      <c r="BN88">
        <f>IF(ROW()-56&gt;MAX($BM$57:$BM$95),"",INDEX(Lists!$CB$4:$CB$42,MATCH(ROW()-56,$BM$57:$BM$95,0)))</f>
        <v/>
      </c>
      <c r="BO88">
        <f>BO87+IF(AND(Lists!$CG$35&lt;&gt;"",ISNUMBER(SEARCH($P$4,Lists!$CG$35))),1,0)</f>
        <v/>
      </c>
      <c r="BP88">
        <f>IF(ROW()-56&gt;MAX($BO$57:$BO$95),"",INDEX(Lists!$CG$4:$CG$42,MATCH(ROW()-56,$BO$57:$BO$95,0)))</f>
        <v/>
      </c>
      <c r="BQ88">
        <f>BQ87+IF(AND(Lists!$CL$35&lt;&gt;"",ISNUMBER(SEARCH($Q$4,Lists!$CL$35))),1,0)</f>
        <v/>
      </c>
      <c r="BR88">
        <f>IF(ROW()-56&gt;MAX($BQ$57:$BQ$95),"",INDEX(Lists!$CL$4:$CL$42,MATCH(ROW()-56,$BQ$57:$BQ$95,0)))</f>
        <v/>
      </c>
      <c r="BS88">
        <f>BS87+IF(AND(Lists!$CQ$35&lt;&gt;"",ISNUMBER(SEARCH($R$4,Lists!$CQ$35))),1,0)</f>
        <v/>
      </c>
      <c r="BT88">
        <f>IF(ROW()-56&gt;MAX($BS$57:$BS$95),"",INDEX(Lists!$CQ$4:$CQ$42,MATCH(ROW()-56,$BS$57:$BS$95,0)))</f>
        <v/>
      </c>
      <c r="BU88">
        <f>BU87+IF(AND(Lists!$CV$35&lt;&gt;"",ISNUMBER(SEARCH($S$4,Lists!$CV$35))),1,0)</f>
        <v/>
      </c>
      <c r="BV88">
        <f>IF(ROW()-56&gt;MAX($BU$57:$BU$95),"",INDEX(Lists!$CV$4:$CV$42,MATCH(ROW()-56,$BU$57:$BU$95,0)))</f>
        <v/>
      </c>
      <c r="BW88">
        <f>BW87+IF(AND(Lists!$DA$35&lt;&gt;"",ISNUMBER(SEARCH($T$4,Lists!$DA$35))),1,0)</f>
        <v/>
      </c>
      <c r="BX88">
        <f>IF(ROW()-56&gt;MAX($BW$57:$BW$95),"",INDEX(Lists!$DA$4:$DA$42,MATCH(ROW()-56,$BW$57:$BW$95,0)))</f>
        <v/>
      </c>
      <c r="BY88">
        <f>BY87+IF(AND(Lists!$DF$35&lt;&gt;"",ISNUMBER(SEARCH($U$4,Lists!$DF$35))),1,0)</f>
        <v/>
      </c>
      <c r="BZ88">
        <f>IF(ROW()-56&gt;MAX($BY$57:$BY$95),"",INDEX(Lists!$DF$4:$DF$42,MATCH(ROW()-56,$BY$57:$BY$95,0)))</f>
        <v/>
      </c>
      <c r="CA88">
        <f>CA87+IF(AND(Lists!$DK$35&lt;&gt;"",ISNUMBER(SEARCH($V$4,Lists!$DK$35))),1,0)</f>
        <v/>
      </c>
      <c r="CB88">
        <f>IF(ROW()-56&gt;MAX($CA$57:$CA$95),"",INDEX(Lists!$DK$4:$DK$42,MATCH(ROW()-56,$CA$57:$CA$95,0)))</f>
        <v/>
      </c>
      <c r="CC88">
        <f>CC87+IF(AND(Lists!$DP$35&lt;&gt;"",ISNUMBER(SEARCH($W$4,Lists!$DP$35))),1,0)</f>
        <v/>
      </c>
      <c r="CD88">
        <f>IF(ROW()-56&gt;MAX($CC$57:$CC$95),"",INDEX(Lists!$DP$4:$DP$42,MATCH(ROW()-56,$CC$57:$CC$95,0)))</f>
        <v/>
      </c>
      <c r="CE88">
        <f>CE87+IF(AND(Lists!$DU$35&lt;&gt;"",ISNUMBER(SEARCH($X$4,Lists!$DU$35))),1,0)</f>
        <v/>
      </c>
      <c r="CF88">
        <f>IF(ROW()-56&gt;MAX($CE$57:$CE$95),"",INDEX(Lists!$DU$4:$DU$42,MATCH(ROW()-56,$CE$57:$CE$95,0)))</f>
        <v/>
      </c>
      <c r="CG88">
        <f>CG87+IF(AND(Lists!$DZ$35&lt;&gt;"",ISNUMBER(SEARCH($Y$4,Lists!$DZ$35))),1,0)</f>
        <v/>
      </c>
      <c r="CH88">
        <f>IF(ROW()-56&gt;MAX($CG$57:$CG$95),"",INDEX(Lists!$DZ$4:$DZ$42,MATCH(ROW()-56,$CG$57:$CG$95,0)))</f>
        <v/>
      </c>
      <c r="CI88">
        <f>CI87+IF(AND(Lists!$EE$35&lt;&gt;"",ISNUMBER(SEARCH($Z$4,Lists!$EE$35))),1,0)</f>
        <v/>
      </c>
      <c r="CJ88">
        <f>IF(ROW()-56&gt;MAX($CI$57:$CI$95),"",INDEX(Lists!$EE$4:$EE$42,MATCH(ROW()-56,$CI$57:$CI$95,0)))</f>
        <v/>
      </c>
      <c r="CK88">
        <f>CK87+IF(AND(Lists!$EJ$35&lt;&gt;"",ISNUMBER(SEARCH($AA$4,Lists!$EJ$35))),1,0)</f>
        <v/>
      </c>
      <c r="CL88">
        <f>IF(ROW()-56&gt;MAX($CK$57:$CK$95),"",INDEX(Lists!$EJ$4:$EJ$42,MATCH(ROW()-56,$CK$57:$CK$95,0)))</f>
        <v/>
      </c>
      <c r="CM88">
        <f>CM87+IF(AND(Lists!$EO$35&lt;&gt;"",ISNUMBER(SEARCH($AB$4,Lists!$EO$35))),1,0)</f>
        <v/>
      </c>
      <c r="CN88">
        <f>IF(ROW()-56&gt;MAX($CM$57:$CM$95),"",INDEX(Lists!$EO$4:$EO$42,MATCH(ROW()-56,$CM$57:$CM$95,0)))</f>
        <v/>
      </c>
      <c r="CO88">
        <f>CO87+IF(AND(Lists!$ET$35&lt;&gt;"",ISNUMBER(SEARCH($AC$4,Lists!$ET$35))),1,0)</f>
        <v/>
      </c>
      <c r="CP88">
        <f>IF(ROW()-56&gt;MAX($CO$57:$CO$95),"",INDEX(Lists!$ET$4:$ET$42,MATCH(ROW()-56,$CO$57:$CO$95,0)))</f>
        <v/>
      </c>
      <c r="CQ88">
        <f>CQ87+IF(AND(Lists!$EY$35&lt;&gt;"",ISNUMBER(SEARCH($AD$4,Lists!$EY$35))),1,0)</f>
        <v/>
      </c>
      <c r="CR88">
        <f>IF(ROW()-56&gt;MAX($CQ$57:$CQ$95),"",INDEX(Lists!$EY$4:$EY$42,MATCH(ROW()-56,$CQ$57:$CQ$95,0)))</f>
        <v/>
      </c>
      <c r="CS88">
        <f>CS87+IF(AND(Lists!$FD$35&lt;&gt;"",ISNUMBER(SEARCH($AE$4,Lists!$FD$35))),1,0)</f>
        <v/>
      </c>
      <c r="CT88">
        <f>IF(ROW()-56&gt;MAX($CS$57:$CS$95),"",INDEX(Lists!$FD$4:$FD$42,MATCH(ROW()-56,$CS$57:$CS$95,0)))</f>
        <v/>
      </c>
      <c r="CU88">
        <f>CU87+IF(AND(Lists!$FI$35&lt;&gt;"",ISNUMBER(SEARCH($AG$4,Lists!$FI$35))),1,0)</f>
        <v/>
      </c>
      <c r="CV88">
        <f>IF(ROW()-56&gt;MAX($CU$57:$CU$95),"",INDEX(Lists!$FI$4:$FI$42,MATCH(ROW()-56,$CU$57:$CU$95,0)))</f>
        <v/>
      </c>
      <c r="CW88">
        <f>CW87+IF(AND(Lists!$FN$35&lt;&gt;"",ISNUMBER(SEARCH($AH$4,Lists!$FN$35))),1,0)</f>
        <v/>
      </c>
      <c r="CX88">
        <f>IF(ROW()-56&gt;MAX($CW$57:$CW$95),"",INDEX(Lists!$FN$4:$FN$42,MATCH(ROW()-56,$CW$57:$CW$95,0)))</f>
        <v/>
      </c>
      <c r="CY88">
        <f>CY87+IF(AND(Lists!$FS$35&lt;&gt;"",ISNUMBER(SEARCH($AI$4,Lists!$FS$35))),1,0)</f>
        <v/>
      </c>
      <c r="CZ88">
        <f>IF(ROW()-56&gt;MAX($CY$57:$CY$95),"",INDEX(Lists!$FS$4:$FS$42,MATCH(ROW()-56,$CY$57:$CY$95,0)))</f>
        <v/>
      </c>
      <c r="DA88">
        <f>DA87+IF(AND(Lists!$FX$35&lt;&gt;"",ISNUMBER(SEARCH($AF$4,Lists!$FX$35))),1,0)</f>
        <v/>
      </c>
      <c r="DB88">
        <f>IF(ROW()-56&gt;MAX($DA$57:$DA$95),"",INDEX(Lists!$FX$4:$FX$42,MATCH(ROW()-56,$DA$57:$DA$95,0)))</f>
        <v/>
      </c>
      <c r="DG88">
        <f>IF($B$4="",1,IF($B$4="(blank)",--('Final Calculation Sheet'!$F$33=""),IF($B$4="(nonblank)",--('Final Calculation Sheet'!$F$33&lt;&gt;""),--ISNUMBER(SEARCH($B$4,'Final Calculation Sheet'!$F$33)))))</f>
        <v/>
      </c>
      <c r="DH88">
        <f>IF($C$4="",1,IF($C$4="(blank)",--('Final Calculation Sheet'!$G$33=""),IF($C$4="(nonblank)",--('Final Calculation Sheet'!$G$33&lt;&gt;""),--ISNUMBER(SEARCH($C$4,'Final Calculation Sheet'!$G$33)))))</f>
        <v/>
      </c>
      <c r="DI88">
        <f>IF($D$4="",1,IF($D$4="(blank)",--('Final Calculation Sheet'!$B$33=""),IF($D$4="(nonblank)",--('Final Calculation Sheet'!$B$33&lt;&gt;""),--ISNUMBER(SEARCH($D$4,'Final Calculation Sheet'!$B$33)))))</f>
        <v/>
      </c>
      <c r="DJ88">
        <f>IF($E$4="",1,IF($E$4="(blank)",--('Final Calculation Sheet'!$D$33=""),IF($E$4="(nonblank)",--('Final Calculation Sheet'!$D$33&lt;&gt;""),--ISNUMBER(SEARCH($E$4,'Final Calculation Sheet'!$D$33)))))</f>
        <v/>
      </c>
      <c r="DK88">
        <f>IF($F$4="",1,IF($F$4="(blank)",--('Final Calculation Sheet'!$A$33=""),IF($F$4="(nonblank)",--('Final Calculation Sheet'!$A$33&lt;&gt;""),--ISNUMBER(SEARCH($F$4,'Final Calculation Sheet'!$A$33)))))</f>
        <v/>
      </c>
      <c r="DL88">
        <f>IF($G$4="",1,IF($G$4="(blank)",--('Final Calculation Sheet'!$E$33=""),IF($G$4="(nonblank)",--('Final Calculation Sheet'!$E$33&lt;&gt;""),--ISNUMBER(SEARCH($G$4,'Final Calculation Sheet'!$E$33)))))</f>
        <v/>
      </c>
      <c r="DM88">
        <f>IF($H$4="",1,IF($H$4="(blank)",--('Final Calculation Sheet'!$C$33=""),IF($H$4="(nonblank)",--('Final Calculation Sheet'!$C$33&lt;&gt;""),--ISNUMBER(SEARCH($H$4,'Final Calculation Sheet'!$C$33)))))</f>
        <v/>
      </c>
      <c r="DN88">
        <f>IF($I$4="",1,IF($I$4="(blank)",--('Final Calculation Sheet'!$H$33=""),IF($I$4="(nonblank)",--('Final Calculation Sheet'!$H$33&lt;&gt;""),--ISNUMBER(SEARCH($I$4,'Final Calculation Sheet'!$H$33)))))</f>
        <v/>
      </c>
      <c r="DO88">
        <f>IF($J$4="",1,IF($J$4="(blank)",--('Final Calculation Sheet'!$I$33=""),IF($J$4="(nonblank)",--('Final Calculation Sheet'!$I$33&lt;&gt;""),--ISNUMBER(SEARCH($J$4,'Final Calculation Sheet'!$I$33)))))</f>
        <v/>
      </c>
      <c r="DP88">
        <f>IF($K$4="",1,IF($K$4="(blank)",--('Final Calculation Sheet'!$J$33=""),IF($K$4="(nonblank)",--('Final Calculation Sheet'!$J$33&lt;&gt;""),--ISNUMBER(SEARCH($K$4,'Final Calculation Sheet'!$J$33)))))</f>
        <v/>
      </c>
      <c r="DQ88">
        <f>IF($L$4="",1,IF($L$4="(blank)",--('Final Calculation Sheet'!$K$33=""),IF($L$4="(nonblank)",--('Final Calculation Sheet'!$K$33&lt;&gt;""),--ISNUMBER(SEARCH($L$4,'Final Calculation Sheet'!$K$33)))))</f>
        <v/>
      </c>
      <c r="DR88">
        <f>IF($M$4="",1,IF($M$4="(blank)",--('Final Calculation Sheet'!$L$33=""),IF($M$4="(nonblank)",--('Final Calculation Sheet'!$L$33&lt;&gt;""),--ISNUMBER(SEARCH($M$4,'Final Calculation Sheet'!$L$33)))))</f>
        <v/>
      </c>
      <c r="DS88">
        <f>IF($N$4="",1,IF($N$4="(blank)",--('Final Calculation Sheet'!$M$33=""),IF($N$4="(nonblank)",--('Final Calculation Sheet'!$M$33&lt;&gt;""),--ISNUMBER(SEARCH($N$4,'Final Calculation Sheet'!$M$33)))))</f>
        <v/>
      </c>
      <c r="DT88">
        <f>IF($O$4="",1,IF($O$4="(blank)",--('Final Calculation Sheet'!$N$33=""),IF($O$4="(nonblank)",--('Final Calculation Sheet'!$N$33&lt;&gt;""),--ISNUMBER(SEARCH($O$4,'Final Calculation Sheet'!$N$33)))))</f>
        <v/>
      </c>
      <c r="DU88">
        <f>IF($P$4="",1,IF($P$4="(blank)",--('Final Calculation Sheet'!$O$33=""),IF($P$4="(nonblank)",--('Final Calculation Sheet'!$O$33&lt;&gt;""),--ISNUMBER(SEARCH($P$4,'Final Calculation Sheet'!$O$33)))))</f>
        <v/>
      </c>
      <c r="DV88">
        <f>IF($Q$4="",1,IF($Q$4="(blank)",--('Final Calculation Sheet'!$P$33=""),IF($Q$4="(nonblank)",--('Final Calculation Sheet'!$P$33&lt;&gt;""),--ISNUMBER(SEARCH($Q$4,'Final Calculation Sheet'!$P$33)))))</f>
        <v/>
      </c>
      <c r="DW88">
        <f>IF($R$4="",1,IF($R$4="(blank)",--('Final Calculation Sheet'!$Q$33=""),IF($R$4="(nonblank)",--('Final Calculation Sheet'!$Q$33&lt;&gt;""),--ISNUMBER(SEARCH($R$4,'Final Calculation Sheet'!$Q$33)))))</f>
        <v/>
      </c>
      <c r="DX88">
        <f>IF($S$4="",1,IF($S$4="(blank)",--('Final Calculation Sheet'!$R$33=""),IF($S$4="(nonblank)",--('Final Calculation Sheet'!$R$33&lt;&gt;""),--ISNUMBER(SEARCH($S$4,'Final Calculation Sheet'!$R$33)))))</f>
        <v/>
      </c>
      <c r="DY88">
        <f>IF($T$4="",1,IF($T$4="(blank)",--('Final Calculation Sheet'!$S$33=""),IF($T$4="(nonblank)",--('Final Calculation Sheet'!$S$33&lt;&gt;""),--ISNUMBER(SEARCH($T$4,'Final Calculation Sheet'!$S$33)))))</f>
        <v/>
      </c>
      <c r="DZ88">
        <f>IF($U$4="",1,IF($U$4="(blank)",--('Final Calculation Sheet'!$T$33=""),IF($U$4="(nonblank)",--('Final Calculation Sheet'!$T$33&lt;&gt;""),--ISNUMBER(SEARCH($U$4,'Final Calculation Sheet'!$T$33)))))</f>
        <v/>
      </c>
      <c r="EA88">
        <f>IF($V$4="",1,IF($V$4="(blank)",--('Final Calculation Sheet'!$U$33=""),IF($V$4="(nonblank)",--('Final Calculation Sheet'!$U$33&lt;&gt;""),--ISNUMBER(SEARCH($V$4,'Final Calculation Sheet'!$U$33)))))</f>
        <v/>
      </c>
      <c r="EB88">
        <f>IF($W$4="",1,IF($W$4="(blank)",--('Final Calculation Sheet'!$V$33=""),IF($W$4="(nonblank)",--('Final Calculation Sheet'!$V$33&lt;&gt;""),--ISNUMBER(SEARCH($W$4,'Final Calculation Sheet'!$V$33)))))</f>
        <v/>
      </c>
      <c r="EC88">
        <f>IF($X$4="",1,IF($X$4="(blank)",--('Final Calculation Sheet'!$W$33=""),IF($X$4="(nonblank)",--('Final Calculation Sheet'!$W$33&lt;&gt;""),--ISNUMBER(SEARCH($X$4,'Final Calculation Sheet'!$W$33)))))</f>
        <v/>
      </c>
      <c r="ED88">
        <f>IF($Y$4="",1,IF($Y$4="(blank)",--('Final Calculation Sheet'!$X$33=""),IF($Y$4="(nonblank)",--('Final Calculation Sheet'!$X$33&lt;&gt;""),--ISNUMBER(SEARCH($Y$4,'Final Calculation Sheet'!$X$33)))))</f>
        <v/>
      </c>
      <c r="EE88">
        <f>IF($Z$4="",1,IF($Z$4="(blank)",--('Final Calculation Sheet'!$Y$33=""),IF($Z$4="(nonblank)",--('Final Calculation Sheet'!$Y$33&lt;&gt;""),--ISNUMBER(SEARCH($Z$4,'Final Calculation Sheet'!$Y$33)))))</f>
        <v/>
      </c>
      <c r="EF88">
        <f>IF($AA$4="",1,IF($AA$4="(blank)",--('Final Calculation Sheet'!$Z$33=""),IF($AA$4="(nonblank)",--('Final Calculation Sheet'!$Z$33&lt;&gt;""),--ISNUMBER(SEARCH($AA$4,'Final Calculation Sheet'!$Z$33)))))</f>
        <v/>
      </c>
      <c r="EG88">
        <f>IF($AB$4="",1,IF($AB$4="(blank)",--('Final Calculation Sheet'!$AA$33=""),IF($AB$4="(nonblank)",--('Final Calculation Sheet'!$AA$33&lt;&gt;""),--ISNUMBER(SEARCH($AB$4,'Final Calculation Sheet'!$AA$33)))))</f>
        <v/>
      </c>
      <c r="EH88">
        <f>IF($AC$4="",1,IF($AC$4="(blank)",--('Final Calculation Sheet'!$AB$33=""),IF($AC$4="(nonblank)",--('Final Calculation Sheet'!$AB$33&lt;&gt;""),--ISNUMBER(SEARCH($AC$4,'Final Calculation Sheet'!$AB$33)))))</f>
        <v/>
      </c>
      <c r="EI88">
        <f>IF($AD$4="",1,IF($AD$4="(blank)",--('Final Calculation Sheet'!$AC$33=""),IF($AD$4="(nonblank)",--('Final Calculation Sheet'!$AC$33&lt;&gt;""),--ISNUMBER(SEARCH($AD$4,'Final Calculation Sheet'!$AC$33)))))</f>
        <v/>
      </c>
      <c r="EJ88">
        <f>IF($AE$4="",1,IF($AE$4="(blank)",--('Final Calculation Sheet'!$AD$33=""),IF($AE$4="(nonblank)",--('Final Calculation Sheet'!$AD$33&lt;&gt;""),--ISNUMBER(SEARCH($AE$4,'Final Calculation Sheet'!$AD$33)))))</f>
        <v/>
      </c>
      <c r="EK88">
        <f>IF($AF$4="",1,IF($AF$4="(blank)",--(IF('Final Calculation Sheet'!$AD$33&lt;=5,"SETTLED","OUTSTANDING")=""),IF($AF$4="(nonblank)",--(IF('Final Calculation Sheet'!$AD$33&lt;=5,"SETTLED","OUTSTANDING")&lt;&gt;""),--ISNUMBER(SEARCH($AF$4,IF('Final Calculation Sheet'!$AD$33&lt;=5,"SETTLED","OUTSTANDING"))))))</f>
        <v/>
      </c>
      <c r="EL88">
        <f>IF($AG$4="",1,IF($AG$4="(blank)",--('Final Calculation Sheet'!$AF$33=""),IF($AG$4="(nonblank)",--('Final Calculation Sheet'!$AF$33&lt;&gt;""),--ISNUMBER(SEARCH($AG$4,'Final Calculation Sheet'!$AF$33)))))</f>
        <v/>
      </c>
      <c r="EM88">
        <f>IF($AH$4="",1,IF($AH$4="(blank)",--('Final Calculation Sheet'!$AG$33=""),IF($AH$4="(nonblank)",--('Final Calculation Sheet'!$AG$33&lt;&gt;""),--ISNUMBER(SEARCH($AH$4,'Final Calculation Sheet'!$AG$33)))))</f>
        <v/>
      </c>
      <c r="EN88">
        <f>IF($AI$4="",1,IF($AI$4="(blank)",--('Final Calculation Sheet'!$AH$33=""),IF($AI$4="(nonblank)",--('Final Calculation Sheet'!$AH$33&lt;&gt;""),--ISNUMBER(SEARCH($AI$4,'Final Calculation Sheet'!$AH$33)))))</f>
        <v/>
      </c>
    </row>
    <row r="89">
      <c r="AM89">
        <f>AM88+IF(AND(Lists!$O$36&lt;&gt;"",ISNUMBER(SEARCH($B$4,Lists!$O$36))),1,0)</f>
        <v/>
      </c>
      <c r="AN89">
        <f>IF(ROW()-56&gt;MAX($AM$57:$AM$95),"",INDEX(Lists!$O$4:$O$42,MATCH(ROW()-56,$AM$57:$AM$95,0)))</f>
        <v/>
      </c>
      <c r="AO89">
        <f>AO88+IF(AND(Lists!$T$36&lt;&gt;"",ISNUMBER(SEARCH($C$4,Lists!$T$36))),1,0)</f>
        <v/>
      </c>
      <c r="AP89">
        <f>IF(ROW()-56&gt;MAX($AO$57:$AO$95),"",INDEX(Lists!$T$4:$T$42,MATCH(ROW()-56,$AO$57:$AO$95,0)))</f>
        <v/>
      </c>
      <c r="AQ89">
        <f>AQ88+IF(AND(Lists!$Y$36&lt;&gt;"",ISNUMBER(SEARCH($D$4,Lists!$Y$36))),1,0)</f>
        <v/>
      </c>
      <c r="AR89">
        <f>IF(ROW()-56&gt;MAX($AQ$57:$AQ$95),"",INDEX(Lists!$Y$4:$Y$42,MATCH(ROW()-56,$AQ$57:$AQ$95,0)))</f>
        <v/>
      </c>
      <c r="AS89">
        <f>AS88+IF(AND(Lists!$AD$36&lt;&gt;"",ISNUMBER(SEARCH($E$4,Lists!$AD$36))),1,0)</f>
        <v/>
      </c>
      <c r="AT89">
        <f>IF(ROW()-56&gt;MAX($AS$57:$AS$95),"",INDEX(Lists!$AD$4:$AD$42,MATCH(ROW()-56,$AS$57:$AS$95,0)))</f>
        <v/>
      </c>
      <c r="AU89">
        <f>AU88+IF(AND(Lists!$AI$36&lt;&gt;"",ISNUMBER(SEARCH($F$4,Lists!$AI$36))),1,0)</f>
        <v/>
      </c>
      <c r="AV89">
        <f>IF(ROW()-56&gt;MAX($AU$57:$AU$95),"",INDEX(Lists!$AI$4:$AI$42,MATCH(ROW()-56,$AU$57:$AU$95,0)))</f>
        <v/>
      </c>
      <c r="AW89">
        <f>AW88+IF(AND(Lists!$AN$36&lt;&gt;"",ISNUMBER(SEARCH($G$4,Lists!$AN$36))),1,0)</f>
        <v/>
      </c>
      <c r="AX89">
        <f>IF(ROW()-56&gt;MAX($AW$57:$AW$95),"",INDEX(Lists!$AN$4:$AN$42,MATCH(ROW()-56,$AW$57:$AW$95,0)))</f>
        <v/>
      </c>
      <c r="AY89">
        <f>AY88+IF(AND(Lists!$AS$36&lt;&gt;"",ISNUMBER(SEARCH($H$4,Lists!$AS$36))),1,0)</f>
        <v/>
      </c>
      <c r="AZ89">
        <f>IF(ROW()-56&gt;MAX($AY$57:$AY$95),"",INDEX(Lists!$AS$4:$AS$42,MATCH(ROW()-56,$AY$57:$AY$95,0)))</f>
        <v/>
      </c>
      <c r="BA89">
        <f>BA88+IF(AND(Lists!$AX$36&lt;&gt;"",ISNUMBER(SEARCH($I$4,Lists!$AX$36))),1,0)</f>
        <v/>
      </c>
      <c r="BB89">
        <f>IF(ROW()-56&gt;MAX($BA$57:$BA$95),"",INDEX(Lists!$AX$4:$AX$42,MATCH(ROW()-56,$BA$57:$BA$95,0)))</f>
        <v/>
      </c>
      <c r="BC89">
        <f>BC88+IF(AND(Lists!$BC$36&lt;&gt;"",ISNUMBER(SEARCH($J$4,Lists!$BC$36))),1,0)</f>
        <v/>
      </c>
      <c r="BD89">
        <f>IF(ROW()-56&gt;MAX($BC$57:$BC$95),"",INDEX(Lists!$BC$4:$BC$42,MATCH(ROW()-56,$BC$57:$BC$95,0)))</f>
        <v/>
      </c>
      <c r="BE89">
        <f>BE88+IF(AND(Lists!$BH$36&lt;&gt;"",ISNUMBER(SEARCH($K$4,Lists!$BH$36))),1,0)</f>
        <v/>
      </c>
      <c r="BF89">
        <f>IF(ROW()-56&gt;MAX($BE$57:$BE$95),"",INDEX(Lists!$BH$4:$BH$42,MATCH(ROW()-56,$BE$57:$BE$95,0)))</f>
        <v/>
      </c>
      <c r="BG89">
        <f>BG88+IF(AND(Lists!$BM$36&lt;&gt;"",ISNUMBER(SEARCH($L$4,Lists!$BM$36))),1,0)</f>
        <v/>
      </c>
      <c r="BH89">
        <f>IF(ROW()-56&gt;MAX($BG$57:$BG$95),"",INDEX(Lists!$BM$4:$BM$42,MATCH(ROW()-56,$BG$57:$BG$95,0)))</f>
        <v/>
      </c>
      <c r="BI89">
        <f>BI88+IF(AND(Lists!$BR$36&lt;&gt;"",ISNUMBER(SEARCH($M$4,Lists!$BR$36))),1,0)</f>
        <v/>
      </c>
      <c r="BJ89">
        <f>IF(ROW()-56&gt;MAX($BI$57:$BI$95),"",INDEX(Lists!$BR$4:$BR$42,MATCH(ROW()-56,$BI$57:$BI$95,0)))</f>
        <v/>
      </c>
      <c r="BK89">
        <f>BK88+IF(AND(Lists!$BW$36&lt;&gt;"",ISNUMBER(SEARCH($N$4,Lists!$BW$36))),1,0)</f>
        <v/>
      </c>
      <c r="BL89">
        <f>IF(ROW()-56&gt;MAX($BK$57:$BK$95),"",INDEX(Lists!$BW$4:$BW$42,MATCH(ROW()-56,$BK$57:$BK$95,0)))</f>
        <v/>
      </c>
      <c r="BM89">
        <f>BM88+IF(AND(Lists!$CB$36&lt;&gt;"",ISNUMBER(SEARCH($O$4,Lists!$CB$36))),1,0)</f>
        <v/>
      </c>
      <c r="BN89">
        <f>IF(ROW()-56&gt;MAX($BM$57:$BM$95),"",INDEX(Lists!$CB$4:$CB$42,MATCH(ROW()-56,$BM$57:$BM$95,0)))</f>
        <v/>
      </c>
      <c r="BO89">
        <f>BO88+IF(AND(Lists!$CG$36&lt;&gt;"",ISNUMBER(SEARCH($P$4,Lists!$CG$36))),1,0)</f>
        <v/>
      </c>
      <c r="BP89">
        <f>IF(ROW()-56&gt;MAX($BO$57:$BO$95),"",INDEX(Lists!$CG$4:$CG$42,MATCH(ROW()-56,$BO$57:$BO$95,0)))</f>
        <v/>
      </c>
      <c r="BQ89">
        <f>BQ88+IF(AND(Lists!$CL$36&lt;&gt;"",ISNUMBER(SEARCH($Q$4,Lists!$CL$36))),1,0)</f>
        <v/>
      </c>
      <c r="BR89">
        <f>IF(ROW()-56&gt;MAX($BQ$57:$BQ$95),"",INDEX(Lists!$CL$4:$CL$42,MATCH(ROW()-56,$BQ$57:$BQ$95,0)))</f>
        <v/>
      </c>
      <c r="BS89">
        <f>BS88+IF(AND(Lists!$CQ$36&lt;&gt;"",ISNUMBER(SEARCH($R$4,Lists!$CQ$36))),1,0)</f>
        <v/>
      </c>
      <c r="BT89">
        <f>IF(ROW()-56&gt;MAX($BS$57:$BS$95),"",INDEX(Lists!$CQ$4:$CQ$42,MATCH(ROW()-56,$BS$57:$BS$95,0)))</f>
        <v/>
      </c>
      <c r="BU89">
        <f>BU88+IF(AND(Lists!$CV$36&lt;&gt;"",ISNUMBER(SEARCH($S$4,Lists!$CV$36))),1,0)</f>
        <v/>
      </c>
      <c r="BV89">
        <f>IF(ROW()-56&gt;MAX($BU$57:$BU$95),"",INDEX(Lists!$CV$4:$CV$42,MATCH(ROW()-56,$BU$57:$BU$95,0)))</f>
        <v/>
      </c>
      <c r="BW89">
        <f>BW88+IF(AND(Lists!$DA$36&lt;&gt;"",ISNUMBER(SEARCH($T$4,Lists!$DA$36))),1,0)</f>
        <v/>
      </c>
      <c r="BX89">
        <f>IF(ROW()-56&gt;MAX($BW$57:$BW$95),"",INDEX(Lists!$DA$4:$DA$42,MATCH(ROW()-56,$BW$57:$BW$95,0)))</f>
        <v/>
      </c>
      <c r="BY89">
        <f>BY88+IF(AND(Lists!$DF$36&lt;&gt;"",ISNUMBER(SEARCH($U$4,Lists!$DF$36))),1,0)</f>
        <v/>
      </c>
      <c r="BZ89">
        <f>IF(ROW()-56&gt;MAX($BY$57:$BY$95),"",INDEX(Lists!$DF$4:$DF$42,MATCH(ROW()-56,$BY$57:$BY$95,0)))</f>
        <v/>
      </c>
      <c r="CA89">
        <f>CA88+IF(AND(Lists!$DK$36&lt;&gt;"",ISNUMBER(SEARCH($V$4,Lists!$DK$36))),1,0)</f>
        <v/>
      </c>
      <c r="CB89">
        <f>IF(ROW()-56&gt;MAX($CA$57:$CA$95),"",INDEX(Lists!$DK$4:$DK$42,MATCH(ROW()-56,$CA$57:$CA$95,0)))</f>
        <v/>
      </c>
      <c r="CC89">
        <f>CC88+IF(AND(Lists!$DP$36&lt;&gt;"",ISNUMBER(SEARCH($W$4,Lists!$DP$36))),1,0)</f>
        <v/>
      </c>
      <c r="CD89">
        <f>IF(ROW()-56&gt;MAX($CC$57:$CC$95),"",INDEX(Lists!$DP$4:$DP$42,MATCH(ROW()-56,$CC$57:$CC$95,0)))</f>
        <v/>
      </c>
      <c r="CE89">
        <f>CE88+IF(AND(Lists!$DU$36&lt;&gt;"",ISNUMBER(SEARCH($X$4,Lists!$DU$36))),1,0)</f>
        <v/>
      </c>
      <c r="CF89">
        <f>IF(ROW()-56&gt;MAX($CE$57:$CE$95),"",INDEX(Lists!$DU$4:$DU$42,MATCH(ROW()-56,$CE$57:$CE$95,0)))</f>
        <v/>
      </c>
      <c r="CG89">
        <f>CG88+IF(AND(Lists!$DZ$36&lt;&gt;"",ISNUMBER(SEARCH($Y$4,Lists!$DZ$36))),1,0)</f>
        <v/>
      </c>
      <c r="CH89">
        <f>IF(ROW()-56&gt;MAX($CG$57:$CG$95),"",INDEX(Lists!$DZ$4:$DZ$42,MATCH(ROW()-56,$CG$57:$CG$95,0)))</f>
        <v/>
      </c>
      <c r="CI89">
        <f>CI88+IF(AND(Lists!$EE$36&lt;&gt;"",ISNUMBER(SEARCH($Z$4,Lists!$EE$36))),1,0)</f>
        <v/>
      </c>
      <c r="CJ89">
        <f>IF(ROW()-56&gt;MAX($CI$57:$CI$95),"",INDEX(Lists!$EE$4:$EE$42,MATCH(ROW()-56,$CI$57:$CI$95,0)))</f>
        <v/>
      </c>
      <c r="CK89">
        <f>CK88+IF(AND(Lists!$EJ$36&lt;&gt;"",ISNUMBER(SEARCH($AA$4,Lists!$EJ$36))),1,0)</f>
        <v/>
      </c>
      <c r="CL89">
        <f>IF(ROW()-56&gt;MAX($CK$57:$CK$95),"",INDEX(Lists!$EJ$4:$EJ$42,MATCH(ROW()-56,$CK$57:$CK$95,0)))</f>
        <v/>
      </c>
      <c r="CM89">
        <f>CM88+IF(AND(Lists!$EO$36&lt;&gt;"",ISNUMBER(SEARCH($AB$4,Lists!$EO$36))),1,0)</f>
        <v/>
      </c>
      <c r="CN89">
        <f>IF(ROW()-56&gt;MAX($CM$57:$CM$95),"",INDEX(Lists!$EO$4:$EO$42,MATCH(ROW()-56,$CM$57:$CM$95,0)))</f>
        <v/>
      </c>
      <c r="CO89">
        <f>CO88+IF(AND(Lists!$ET$36&lt;&gt;"",ISNUMBER(SEARCH($AC$4,Lists!$ET$36))),1,0)</f>
        <v/>
      </c>
      <c r="CP89">
        <f>IF(ROW()-56&gt;MAX($CO$57:$CO$95),"",INDEX(Lists!$ET$4:$ET$42,MATCH(ROW()-56,$CO$57:$CO$95,0)))</f>
        <v/>
      </c>
      <c r="CQ89">
        <f>CQ88+IF(AND(Lists!$EY$36&lt;&gt;"",ISNUMBER(SEARCH($AD$4,Lists!$EY$36))),1,0)</f>
        <v/>
      </c>
      <c r="CR89">
        <f>IF(ROW()-56&gt;MAX($CQ$57:$CQ$95),"",INDEX(Lists!$EY$4:$EY$42,MATCH(ROW()-56,$CQ$57:$CQ$95,0)))</f>
        <v/>
      </c>
      <c r="CS89">
        <f>CS88+IF(AND(Lists!$FD$36&lt;&gt;"",ISNUMBER(SEARCH($AE$4,Lists!$FD$36))),1,0)</f>
        <v/>
      </c>
      <c r="CT89">
        <f>IF(ROW()-56&gt;MAX($CS$57:$CS$95),"",INDEX(Lists!$FD$4:$FD$42,MATCH(ROW()-56,$CS$57:$CS$95,0)))</f>
        <v/>
      </c>
      <c r="CU89">
        <f>CU88+IF(AND(Lists!$FI$36&lt;&gt;"",ISNUMBER(SEARCH($AG$4,Lists!$FI$36))),1,0)</f>
        <v/>
      </c>
      <c r="CV89">
        <f>IF(ROW()-56&gt;MAX($CU$57:$CU$95),"",INDEX(Lists!$FI$4:$FI$42,MATCH(ROW()-56,$CU$57:$CU$95,0)))</f>
        <v/>
      </c>
      <c r="CW89">
        <f>CW88+IF(AND(Lists!$FN$36&lt;&gt;"",ISNUMBER(SEARCH($AH$4,Lists!$FN$36))),1,0)</f>
        <v/>
      </c>
      <c r="CX89">
        <f>IF(ROW()-56&gt;MAX($CW$57:$CW$95),"",INDEX(Lists!$FN$4:$FN$42,MATCH(ROW()-56,$CW$57:$CW$95,0)))</f>
        <v/>
      </c>
      <c r="CY89">
        <f>CY88+IF(AND(Lists!$FS$36&lt;&gt;"",ISNUMBER(SEARCH($AI$4,Lists!$FS$36))),1,0)</f>
        <v/>
      </c>
      <c r="CZ89">
        <f>IF(ROW()-56&gt;MAX($CY$57:$CY$95),"",INDEX(Lists!$FS$4:$FS$42,MATCH(ROW()-56,$CY$57:$CY$95,0)))</f>
        <v/>
      </c>
      <c r="DA89">
        <f>DA88+IF(AND(Lists!$FX$36&lt;&gt;"",ISNUMBER(SEARCH($AF$4,Lists!$FX$36))),1,0)</f>
        <v/>
      </c>
      <c r="DB89">
        <f>IF(ROW()-56&gt;MAX($DA$57:$DA$95),"",INDEX(Lists!$FX$4:$FX$42,MATCH(ROW()-56,$DA$57:$DA$95,0)))</f>
        <v/>
      </c>
      <c r="DG89">
        <f>IF($B$4="",1,IF($B$4="(blank)",--('Final Calculation Sheet'!$F$34=""),IF($B$4="(nonblank)",--('Final Calculation Sheet'!$F$34&lt;&gt;""),--ISNUMBER(SEARCH($B$4,'Final Calculation Sheet'!$F$34)))))</f>
        <v/>
      </c>
      <c r="DH89">
        <f>IF($C$4="",1,IF($C$4="(blank)",--('Final Calculation Sheet'!$G$34=""),IF($C$4="(nonblank)",--('Final Calculation Sheet'!$G$34&lt;&gt;""),--ISNUMBER(SEARCH($C$4,'Final Calculation Sheet'!$G$34)))))</f>
        <v/>
      </c>
      <c r="DI89">
        <f>IF($D$4="",1,IF($D$4="(blank)",--('Final Calculation Sheet'!$B$34=""),IF($D$4="(nonblank)",--('Final Calculation Sheet'!$B$34&lt;&gt;""),--ISNUMBER(SEARCH($D$4,'Final Calculation Sheet'!$B$34)))))</f>
        <v/>
      </c>
      <c r="DJ89">
        <f>IF($E$4="",1,IF($E$4="(blank)",--('Final Calculation Sheet'!$D$34=""),IF($E$4="(nonblank)",--('Final Calculation Sheet'!$D$34&lt;&gt;""),--ISNUMBER(SEARCH($E$4,'Final Calculation Sheet'!$D$34)))))</f>
        <v/>
      </c>
      <c r="DK89">
        <f>IF($F$4="",1,IF($F$4="(blank)",--('Final Calculation Sheet'!$A$34=""),IF($F$4="(nonblank)",--('Final Calculation Sheet'!$A$34&lt;&gt;""),--ISNUMBER(SEARCH($F$4,'Final Calculation Sheet'!$A$34)))))</f>
        <v/>
      </c>
      <c r="DL89">
        <f>IF($G$4="",1,IF($G$4="(blank)",--('Final Calculation Sheet'!$E$34=""),IF($G$4="(nonblank)",--('Final Calculation Sheet'!$E$34&lt;&gt;""),--ISNUMBER(SEARCH($G$4,'Final Calculation Sheet'!$E$34)))))</f>
        <v/>
      </c>
      <c r="DM89">
        <f>IF($H$4="",1,IF($H$4="(blank)",--('Final Calculation Sheet'!$C$34=""),IF($H$4="(nonblank)",--('Final Calculation Sheet'!$C$34&lt;&gt;""),--ISNUMBER(SEARCH($H$4,'Final Calculation Sheet'!$C$34)))))</f>
        <v/>
      </c>
      <c r="DN89">
        <f>IF($I$4="",1,IF($I$4="(blank)",--('Final Calculation Sheet'!$H$34=""),IF($I$4="(nonblank)",--('Final Calculation Sheet'!$H$34&lt;&gt;""),--ISNUMBER(SEARCH($I$4,'Final Calculation Sheet'!$H$34)))))</f>
        <v/>
      </c>
      <c r="DO89">
        <f>IF($J$4="",1,IF($J$4="(blank)",--('Final Calculation Sheet'!$I$34=""),IF($J$4="(nonblank)",--('Final Calculation Sheet'!$I$34&lt;&gt;""),--ISNUMBER(SEARCH($J$4,'Final Calculation Sheet'!$I$34)))))</f>
        <v/>
      </c>
      <c r="DP89">
        <f>IF($K$4="",1,IF($K$4="(blank)",--('Final Calculation Sheet'!$J$34=""),IF($K$4="(nonblank)",--('Final Calculation Sheet'!$J$34&lt;&gt;""),--ISNUMBER(SEARCH($K$4,'Final Calculation Sheet'!$J$34)))))</f>
        <v/>
      </c>
      <c r="DQ89">
        <f>IF($L$4="",1,IF($L$4="(blank)",--('Final Calculation Sheet'!$K$34=""),IF($L$4="(nonblank)",--('Final Calculation Sheet'!$K$34&lt;&gt;""),--ISNUMBER(SEARCH($L$4,'Final Calculation Sheet'!$K$34)))))</f>
        <v/>
      </c>
      <c r="DR89">
        <f>IF($M$4="",1,IF($M$4="(blank)",--('Final Calculation Sheet'!$L$34=""),IF($M$4="(nonblank)",--('Final Calculation Sheet'!$L$34&lt;&gt;""),--ISNUMBER(SEARCH($M$4,'Final Calculation Sheet'!$L$34)))))</f>
        <v/>
      </c>
      <c r="DS89">
        <f>IF($N$4="",1,IF($N$4="(blank)",--('Final Calculation Sheet'!$M$34=""),IF($N$4="(nonblank)",--('Final Calculation Sheet'!$M$34&lt;&gt;""),--ISNUMBER(SEARCH($N$4,'Final Calculation Sheet'!$M$34)))))</f>
        <v/>
      </c>
      <c r="DT89">
        <f>IF($O$4="",1,IF($O$4="(blank)",--('Final Calculation Sheet'!$N$34=""),IF($O$4="(nonblank)",--('Final Calculation Sheet'!$N$34&lt;&gt;""),--ISNUMBER(SEARCH($O$4,'Final Calculation Sheet'!$N$34)))))</f>
        <v/>
      </c>
      <c r="DU89">
        <f>IF($P$4="",1,IF($P$4="(blank)",--('Final Calculation Sheet'!$O$34=""),IF($P$4="(nonblank)",--('Final Calculation Sheet'!$O$34&lt;&gt;""),--ISNUMBER(SEARCH($P$4,'Final Calculation Sheet'!$O$34)))))</f>
        <v/>
      </c>
      <c r="DV89">
        <f>IF($Q$4="",1,IF($Q$4="(blank)",--('Final Calculation Sheet'!$P$34=""),IF($Q$4="(nonblank)",--('Final Calculation Sheet'!$P$34&lt;&gt;""),--ISNUMBER(SEARCH($Q$4,'Final Calculation Sheet'!$P$34)))))</f>
        <v/>
      </c>
      <c r="DW89">
        <f>IF($R$4="",1,IF($R$4="(blank)",--('Final Calculation Sheet'!$Q$34=""),IF($R$4="(nonblank)",--('Final Calculation Sheet'!$Q$34&lt;&gt;""),--ISNUMBER(SEARCH($R$4,'Final Calculation Sheet'!$Q$34)))))</f>
        <v/>
      </c>
      <c r="DX89">
        <f>IF($S$4="",1,IF($S$4="(blank)",--('Final Calculation Sheet'!$R$34=""),IF($S$4="(nonblank)",--('Final Calculation Sheet'!$R$34&lt;&gt;""),--ISNUMBER(SEARCH($S$4,'Final Calculation Sheet'!$R$34)))))</f>
        <v/>
      </c>
      <c r="DY89">
        <f>IF($T$4="",1,IF($T$4="(blank)",--('Final Calculation Sheet'!$S$34=""),IF($T$4="(nonblank)",--('Final Calculation Sheet'!$S$34&lt;&gt;""),--ISNUMBER(SEARCH($T$4,'Final Calculation Sheet'!$S$34)))))</f>
        <v/>
      </c>
      <c r="DZ89">
        <f>IF($U$4="",1,IF($U$4="(blank)",--('Final Calculation Sheet'!$T$34=""),IF($U$4="(nonblank)",--('Final Calculation Sheet'!$T$34&lt;&gt;""),--ISNUMBER(SEARCH($U$4,'Final Calculation Sheet'!$T$34)))))</f>
        <v/>
      </c>
      <c r="EA89">
        <f>IF($V$4="",1,IF($V$4="(blank)",--('Final Calculation Sheet'!$U$34=""),IF($V$4="(nonblank)",--('Final Calculation Sheet'!$U$34&lt;&gt;""),--ISNUMBER(SEARCH($V$4,'Final Calculation Sheet'!$U$34)))))</f>
        <v/>
      </c>
      <c r="EB89">
        <f>IF($W$4="",1,IF($W$4="(blank)",--('Final Calculation Sheet'!$V$34=""),IF($W$4="(nonblank)",--('Final Calculation Sheet'!$V$34&lt;&gt;""),--ISNUMBER(SEARCH($W$4,'Final Calculation Sheet'!$V$34)))))</f>
        <v/>
      </c>
      <c r="EC89">
        <f>IF($X$4="",1,IF($X$4="(blank)",--('Final Calculation Sheet'!$W$34=""),IF($X$4="(nonblank)",--('Final Calculation Sheet'!$W$34&lt;&gt;""),--ISNUMBER(SEARCH($X$4,'Final Calculation Sheet'!$W$34)))))</f>
        <v/>
      </c>
      <c r="ED89">
        <f>IF($Y$4="",1,IF($Y$4="(blank)",--('Final Calculation Sheet'!$X$34=""),IF($Y$4="(nonblank)",--('Final Calculation Sheet'!$X$34&lt;&gt;""),--ISNUMBER(SEARCH($Y$4,'Final Calculation Sheet'!$X$34)))))</f>
        <v/>
      </c>
      <c r="EE89">
        <f>IF($Z$4="",1,IF($Z$4="(blank)",--('Final Calculation Sheet'!$Y$34=""),IF($Z$4="(nonblank)",--('Final Calculation Sheet'!$Y$34&lt;&gt;""),--ISNUMBER(SEARCH($Z$4,'Final Calculation Sheet'!$Y$34)))))</f>
        <v/>
      </c>
      <c r="EF89">
        <f>IF($AA$4="",1,IF($AA$4="(blank)",--('Final Calculation Sheet'!$Z$34=""),IF($AA$4="(nonblank)",--('Final Calculation Sheet'!$Z$34&lt;&gt;""),--ISNUMBER(SEARCH($AA$4,'Final Calculation Sheet'!$Z$34)))))</f>
        <v/>
      </c>
      <c r="EG89">
        <f>IF($AB$4="",1,IF($AB$4="(blank)",--('Final Calculation Sheet'!$AA$34=""),IF($AB$4="(nonblank)",--('Final Calculation Sheet'!$AA$34&lt;&gt;""),--ISNUMBER(SEARCH($AB$4,'Final Calculation Sheet'!$AA$34)))))</f>
        <v/>
      </c>
      <c r="EH89">
        <f>IF($AC$4="",1,IF($AC$4="(blank)",--('Final Calculation Sheet'!$AB$34=""),IF($AC$4="(nonblank)",--('Final Calculation Sheet'!$AB$34&lt;&gt;""),--ISNUMBER(SEARCH($AC$4,'Final Calculation Sheet'!$AB$34)))))</f>
        <v/>
      </c>
      <c r="EI89">
        <f>IF($AD$4="",1,IF($AD$4="(blank)",--('Final Calculation Sheet'!$AC$34=""),IF($AD$4="(nonblank)",--('Final Calculation Sheet'!$AC$34&lt;&gt;""),--ISNUMBER(SEARCH($AD$4,'Final Calculation Sheet'!$AC$34)))))</f>
        <v/>
      </c>
      <c r="EJ89">
        <f>IF($AE$4="",1,IF($AE$4="(blank)",--('Final Calculation Sheet'!$AD$34=""),IF($AE$4="(nonblank)",--('Final Calculation Sheet'!$AD$34&lt;&gt;""),--ISNUMBER(SEARCH($AE$4,'Final Calculation Sheet'!$AD$34)))))</f>
        <v/>
      </c>
      <c r="EK89">
        <f>IF($AF$4="",1,IF($AF$4="(blank)",--(IF('Final Calculation Sheet'!$AD$34&lt;=5,"SETTLED","OUTSTANDING")=""),IF($AF$4="(nonblank)",--(IF('Final Calculation Sheet'!$AD$34&lt;=5,"SETTLED","OUTSTANDING")&lt;&gt;""),--ISNUMBER(SEARCH($AF$4,IF('Final Calculation Sheet'!$AD$34&lt;=5,"SETTLED","OUTSTANDING"))))))</f>
        <v/>
      </c>
      <c r="EL89">
        <f>IF($AG$4="",1,IF($AG$4="(blank)",--('Final Calculation Sheet'!$AF$34=""),IF($AG$4="(nonblank)",--('Final Calculation Sheet'!$AF$34&lt;&gt;""),--ISNUMBER(SEARCH($AG$4,'Final Calculation Sheet'!$AF$34)))))</f>
        <v/>
      </c>
      <c r="EM89">
        <f>IF($AH$4="",1,IF($AH$4="(blank)",--('Final Calculation Sheet'!$AG$34=""),IF($AH$4="(nonblank)",--('Final Calculation Sheet'!$AG$34&lt;&gt;""),--ISNUMBER(SEARCH($AH$4,'Final Calculation Sheet'!$AG$34)))))</f>
        <v/>
      </c>
      <c r="EN89">
        <f>IF($AI$4="",1,IF($AI$4="(blank)",--('Final Calculation Sheet'!$AH$34=""),IF($AI$4="(nonblank)",--('Final Calculation Sheet'!$AH$34&lt;&gt;""),--ISNUMBER(SEARCH($AI$4,'Final Calculation Sheet'!$AH$34)))))</f>
        <v/>
      </c>
    </row>
    <row r="90">
      <c r="AM90">
        <f>AM89+IF(AND(Lists!$O$37&lt;&gt;"",ISNUMBER(SEARCH($B$4,Lists!$O$37))),1,0)</f>
        <v/>
      </c>
      <c r="AN90">
        <f>IF(ROW()-56&gt;MAX($AM$57:$AM$95),"",INDEX(Lists!$O$4:$O$42,MATCH(ROW()-56,$AM$57:$AM$95,0)))</f>
        <v/>
      </c>
      <c r="AO90">
        <f>AO89+IF(AND(Lists!$T$37&lt;&gt;"",ISNUMBER(SEARCH($C$4,Lists!$T$37))),1,0)</f>
        <v/>
      </c>
      <c r="AP90">
        <f>IF(ROW()-56&gt;MAX($AO$57:$AO$95),"",INDEX(Lists!$T$4:$T$42,MATCH(ROW()-56,$AO$57:$AO$95,0)))</f>
        <v/>
      </c>
      <c r="AQ90">
        <f>AQ89+IF(AND(Lists!$Y$37&lt;&gt;"",ISNUMBER(SEARCH($D$4,Lists!$Y$37))),1,0)</f>
        <v/>
      </c>
      <c r="AR90">
        <f>IF(ROW()-56&gt;MAX($AQ$57:$AQ$95),"",INDEX(Lists!$Y$4:$Y$42,MATCH(ROW()-56,$AQ$57:$AQ$95,0)))</f>
        <v/>
      </c>
      <c r="AS90">
        <f>AS89+IF(AND(Lists!$AD$37&lt;&gt;"",ISNUMBER(SEARCH($E$4,Lists!$AD$37))),1,0)</f>
        <v/>
      </c>
      <c r="AT90">
        <f>IF(ROW()-56&gt;MAX($AS$57:$AS$95),"",INDEX(Lists!$AD$4:$AD$42,MATCH(ROW()-56,$AS$57:$AS$95,0)))</f>
        <v/>
      </c>
      <c r="AU90">
        <f>AU89+IF(AND(Lists!$AI$37&lt;&gt;"",ISNUMBER(SEARCH($F$4,Lists!$AI$37))),1,0)</f>
        <v/>
      </c>
      <c r="AV90">
        <f>IF(ROW()-56&gt;MAX($AU$57:$AU$95),"",INDEX(Lists!$AI$4:$AI$42,MATCH(ROW()-56,$AU$57:$AU$95,0)))</f>
        <v/>
      </c>
      <c r="AW90">
        <f>AW89+IF(AND(Lists!$AN$37&lt;&gt;"",ISNUMBER(SEARCH($G$4,Lists!$AN$37))),1,0)</f>
        <v/>
      </c>
      <c r="AX90">
        <f>IF(ROW()-56&gt;MAX($AW$57:$AW$95),"",INDEX(Lists!$AN$4:$AN$42,MATCH(ROW()-56,$AW$57:$AW$95,0)))</f>
        <v/>
      </c>
      <c r="AY90">
        <f>AY89+IF(AND(Lists!$AS$37&lt;&gt;"",ISNUMBER(SEARCH($H$4,Lists!$AS$37))),1,0)</f>
        <v/>
      </c>
      <c r="AZ90">
        <f>IF(ROW()-56&gt;MAX($AY$57:$AY$95),"",INDEX(Lists!$AS$4:$AS$42,MATCH(ROW()-56,$AY$57:$AY$95,0)))</f>
        <v/>
      </c>
      <c r="BA90">
        <f>BA89+IF(AND(Lists!$AX$37&lt;&gt;"",ISNUMBER(SEARCH($I$4,Lists!$AX$37))),1,0)</f>
        <v/>
      </c>
      <c r="BB90">
        <f>IF(ROW()-56&gt;MAX($BA$57:$BA$95),"",INDEX(Lists!$AX$4:$AX$42,MATCH(ROW()-56,$BA$57:$BA$95,0)))</f>
        <v/>
      </c>
      <c r="BC90">
        <f>BC89+IF(AND(Lists!$BC$37&lt;&gt;"",ISNUMBER(SEARCH($J$4,Lists!$BC$37))),1,0)</f>
        <v/>
      </c>
      <c r="BD90">
        <f>IF(ROW()-56&gt;MAX($BC$57:$BC$95),"",INDEX(Lists!$BC$4:$BC$42,MATCH(ROW()-56,$BC$57:$BC$95,0)))</f>
        <v/>
      </c>
      <c r="BE90">
        <f>BE89+IF(AND(Lists!$BH$37&lt;&gt;"",ISNUMBER(SEARCH($K$4,Lists!$BH$37))),1,0)</f>
        <v/>
      </c>
      <c r="BF90">
        <f>IF(ROW()-56&gt;MAX($BE$57:$BE$95),"",INDEX(Lists!$BH$4:$BH$42,MATCH(ROW()-56,$BE$57:$BE$95,0)))</f>
        <v/>
      </c>
      <c r="BG90">
        <f>BG89+IF(AND(Lists!$BM$37&lt;&gt;"",ISNUMBER(SEARCH($L$4,Lists!$BM$37))),1,0)</f>
        <v/>
      </c>
      <c r="BH90">
        <f>IF(ROW()-56&gt;MAX($BG$57:$BG$95),"",INDEX(Lists!$BM$4:$BM$42,MATCH(ROW()-56,$BG$57:$BG$95,0)))</f>
        <v/>
      </c>
      <c r="BI90">
        <f>BI89+IF(AND(Lists!$BR$37&lt;&gt;"",ISNUMBER(SEARCH($M$4,Lists!$BR$37))),1,0)</f>
        <v/>
      </c>
      <c r="BJ90">
        <f>IF(ROW()-56&gt;MAX($BI$57:$BI$95),"",INDEX(Lists!$BR$4:$BR$42,MATCH(ROW()-56,$BI$57:$BI$95,0)))</f>
        <v/>
      </c>
      <c r="BK90">
        <f>BK89+IF(AND(Lists!$BW$37&lt;&gt;"",ISNUMBER(SEARCH($N$4,Lists!$BW$37))),1,0)</f>
        <v/>
      </c>
      <c r="BL90">
        <f>IF(ROW()-56&gt;MAX($BK$57:$BK$95),"",INDEX(Lists!$BW$4:$BW$42,MATCH(ROW()-56,$BK$57:$BK$95,0)))</f>
        <v/>
      </c>
      <c r="BM90">
        <f>BM89+IF(AND(Lists!$CB$37&lt;&gt;"",ISNUMBER(SEARCH($O$4,Lists!$CB$37))),1,0)</f>
        <v/>
      </c>
      <c r="BN90">
        <f>IF(ROW()-56&gt;MAX($BM$57:$BM$95),"",INDEX(Lists!$CB$4:$CB$42,MATCH(ROW()-56,$BM$57:$BM$95,0)))</f>
        <v/>
      </c>
      <c r="BO90">
        <f>BO89+IF(AND(Lists!$CG$37&lt;&gt;"",ISNUMBER(SEARCH($P$4,Lists!$CG$37))),1,0)</f>
        <v/>
      </c>
      <c r="BP90">
        <f>IF(ROW()-56&gt;MAX($BO$57:$BO$95),"",INDEX(Lists!$CG$4:$CG$42,MATCH(ROW()-56,$BO$57:$BO$95,0)))</f>
        <v/>
      </c>
      <c r="BQ90">
        <f>BQ89+IF(AND(Lists!$CL$37&lt;&gt;"",ISNUMBER(SEARCH($Q$4,Lists!$CL$37))),1,0)</f>
        <v/>
      </c>
      <c r="BR90">
        <f>IF(ROW()-56&gt;MAX($BQ$57:$BQ$95),"",INDEX(Lists!$CL$4:$CL$42,MATCH(ROW()-56,$BQ$57:$BQ$95,0)))</f>
        <v/>
      </c>
      <c r="BS90">
        <f>BS89+IF(AND(Lists!$CQ$37&lt;&gt;"",ISNUMBER(SEARCH($R$4,Lists!$CQ$37))),1,0)</f>
        <v/>
      </c>
      <c r="BT90">
        <f>IF(ROW()-56&gt;MAX($BS$57:$BS$95),"",INDEX(Lists!$CQ$4:$CQ$42,MATCH(ROW()-56,$BS$57:$BS$95,0)))</f>
        <v/>
      </c>
      <c r="BU90">
        <f>BU89+IF(AND(Lists!$CV$37&lt;&gt;"",ISNUMBER(SEARCH($S$4,Lists!$CV$37))),1,0)</f>
        <v/>
      </c>
      <c r="BV90">
        <f>IF(ROW()-56&gt;MAX($BU$57:$BU$95),"",INDEX(Lists!$CV$4:$CV$42,MATCH(ROW()-56,$BU$57:$BU$95,0)))</f>
        <v/>
      </c>
      <c r="BW90">
        <f>BW89+IF(AND(Lists!$DA$37&lt;&gt;"",ISNUMBER(SEARCH($T$4,Lists!$DA$37))),1,0)</f>
        <v/>
      </c>
      <c r="BX90">
        <f>IF(ROW()-56&gt;MAX($BW$57:$BW$95),"",INDEX(Lists!$DA$4:$DA$42,MATCH(ROW()-56,$BW$57:$BW$95,0)))</f>
        <v/>
      </c>
      <c r="BY90">
        <f>BY89+IF(AND(Lists!$DF$37&lt;&gt;"",ISNUMBER(SEARCH($U$4,Lists!$DF$37))),1,0)</f>
        <v/>
      </c>
      <c r="BZ90">
        <f>IF(ROW()-56&gt;MAX($BY$57:$BY$95),"",INDEX(Lists!$DF$4:$DF$42,MATCH(ROW()-56,$BY$57:$BY$95,0)))</f>
        <v/>
      </c>
      <c r="CA90">
        <f>CA89+IF(AND(Lists!$DK$37&lt;&gt;"",ISNUMBER(SEARCH($V$4,Lists!$DK$37))),1,0)</f>
        <v/>
      </c>
      <c r="CB90">
        <f>IF(ROW()-56&gt;MAX($CA$57:$CA$95),"",INDEX(Lists!$DK$4:$DK$42,MATCH(ROW()-56,$CA$57:$CA$95,0)))</f>
        <v/>
      </c>
      <c r="CC90">
        <f>CC89+IF(AND(Lists!$DP$37&lt;&gt;"",ISNUMBER(SEARCH($W$4,Lists!$DP$37))),1,0)</f>
        <v/>
      </c>
      <c r="CD90">
        <f>IF(ROW()-56&gt;MAX($CC$57:$CC$95),"",INDEX(Lists!$DP$4:$DP$42,MATCH(ROW()-56,$CC$57:$CC$95,0)))</f>
        <v/>
      </c>
      <c r="CE90">
        <f>CE89+IF(AND(Lists!$DU$37&lt;&gt;"",ISNUMBER(SEARCH($X$4,Lists!$DU$37))),1,0)</f>
        <v/>
      </c>
      <c r="CF90">
        <f>IF(ROW()-56&gt;MAX($CE$57:$CE$95),"",INDEX(Lists!$DU$4:$DU$42,MATCH(ROW()-56,$CE$57:$CE$95,0)))</f>
        <v/>
      </c>
      <c r="CG90">
        <f>CG89+IF(AND(Lists!$DZ$37&lt;&gt;"",ISNUMBER(SEARCH($Y$4,Lists!$DZ$37))),1,0)</f>
        <v/>
      </c>
      <c r="CH90">
        <f>IF(ROW()-56&gt;MAX($CG$57:$CG$95),"",INDEX(Lists!$DZ$4:$DZ$42,MATCH(ROW()-56,$CG$57:$CG$95,0)))</f>
        <v/>
      </c>
      <c r="CI90">
        <f>CI89+IF(AND(Lists!$EE$37&lt;&gt;"",ISNUMBER(SEARCH($Z$4,Lists!$EE$37))),1,0)</f>
        <v/>
      </c>
      <c r="CJ90">
        <f>IF(ROW()-56&gt;MAX($CI$57:$CI$95),"",INDEX(Lists!$EE$4:$EE$42,MATCH(ROW()-56,$CI$57:$CI$95,0)))</f>
        <v/>
      </c>
      <c r="CK90">
        <f>CK89+IF(AND(Lists!$EJ$37&lt;&gt;"",ISNUMBER(SEARCH($AA$4,Lists!$EJ$37))),1,0)</f>
        <v/>
      </c>
      <c r="CL90">
        <f>IF(ROW()-56&gt;MAX($CK$57:$CK$95),"",INDEX(Lists!$EJ$4:$EJ$42,MATCH(ROW()-56,$CK$57:$CK$95,0)))</f>
        <v/>
      </c>
      <c r="CM90">
        <f>CM89+IF(AND(Lists!$EO$37&lt;&gt;"",ISNUMBER(SEARCH($AB$4,Lists!$EO$37))),1,0)</f>
        <v/>
      </c>
      <c r="CN90">
        <f>IF(ROW()-56&gt;MAX($CM$57:$CM$95),"",INDEX(Lists!$EO$4:$EO$42,MATCH(ROW()-56,$CM$57:$CM$95,0)))</f>
        <v/>
      </c>
      <c r="CO90">
        <f>CO89+IF(AND(Lists!$ET$37&lt;&gt;"",ISNUMBER(SEARCH($AC$4,Lists!$ET$37))),1,0)</f>
        <v/>
      </c>
      <c r="CP90">
        <f>IF(ROW()-56&gt;MAX($CO$57:$CO$95),"",INDEX(Lists!$ET$4:$ET$42,MATCH(ROW()-56,$CO$57:$CO$95,0)))</f>
        <v/>
      </c>
      <c r="CQ90">
        <f>CQ89+IF(AND(Lists!$EY$37&lt;&gt;"",ISNUMBER(SEARCH($AD$4,Lists!$EY$37))),1,0)</f>
        <v/>
      </c>
      <c r="CR90">
        <f>IF(ROW()-56&gt;MAX($CQ$57:$CQ$95),"",INDEX(Lists!$EY$4:$EY$42,MATCH(ROW()-56,$CQ$57:$CQ$95,0)))</f>
        <v/>
      </c>
      <c r="CS90">
        <f>CS89+IF(AND(Lists!$FD$37&lt;&gt;"",ISNUMBER(SEARCH($AE$4,Lists!$FD$37))),1,0)</f>
        <v/>
      </c>
      <c r="CT90">
        <f>IF(ROW()-56&gt;MAX($CS$57:$CS$95),"",INDEX(Lists!$FD$4:$FD$42,MATCH(ROW()-56,$CS$57:$CS$95,0)))</f>
        <v/>
      </c>
      <c r="CU90">
        <f>CU89+IF(AND(Lists!$FI$37&lt;&gt;"",ISNUMBER(SEARCH($AG$4,Lists!$FI$37))),1,0)</f>
        <v/>
      </c>
      <c r="CV90">
        <f>IF(ROW()-56&gt;MAX($CU$57:$CU$95),"",INDEX(Lists!$FI$4:$FI$42,MATCH(ROW()-56,$CU$57:$CU$95,0)))</f>
        <v/>
      </c>
      <c r="CW90">
        <f>CW89+IF(AND(Lists!$FN$37&lt;&gt;"",ISNUMBER(SEARCH($AH$4,Lists!$FN$37))),1,0)</f>
        <v/>
      </c>
      <c r="CX90">
        <f>IF(ROW()-56&gt;MAX($CW$57:$CW$95),"",INDEX(Lists!$FN$4:$FN$42,MATCH(ROW()-56,$CW$57:$CW$95,0)))</f>
        <v/>
      </c>
      <c r="CY90">
        <f>CY89+IF(AND(Lists!$FS$37&lt;&gt;"",ISNUMBER(SEARCH($AI$4,Lists!$FS$37))),1,0)</f>
        <v/>
      </c>
      <c r="CZ90">
        <f>IF(ROW()-56&gt;MAX($CY$57:$CY$95),"",INDEX(Lists!$FS$4:$FS$42,MATCH(ROW()-56,$CY$57:$CY$95,0)))</f>
        <v/>
      </c>
      <c r="DA90">
        <f>DA89+IF(AND(Lists!$FX$37&lt;&gt;"",ISNUMBER(SEARCH($AF$4,Lists!$FX$37))),1,0)</f>
        <v/>
      </c>
      <c r="DB90">
        <f>IF(ROW()-56&gt;MAX($DA$57:$DA$95),"",INDEX(Lists!$FX$4:$FX$42,MATCH(ROW()-56,$DA$57:$DA$95,0)))</f>
        <v/>
      </c>
      <c r="DG90">
        <f>IF($B$4="",1,IF($B$4="(blank)",--('Final Calculation Sheet'!$F$35=""),IF($B$4="(nonblank)",--('Final Calculation Sheet'!$F$35&lt;&gt;""),--ISNUMBER(SEARCH($B$4,'Final Calculation Sheet'!$F$35)))))</f>
        <v/>
      </c>
      <c r="DH90">
        <f>IF($C$4="",1,IF($C$4="(blank)",--('Final Calculation Sheet'!$G$35=""),IF($C$4="(nonblank)",--('Final Calculation Sheet'!$G$35&lt;&gt;""),--ISNUMBER(SEARCH($C$4,'Final Calculation Sheet'!$G$35)))))</f>
        <v/>
      </c>
      <c r="DI90">
        <f>IF($D$4="",1,IF($D$4="(blank)",--('Final Calculation Sheet'!$B$35=""),IF($D$4="(nonblank)",--('Final Calculation Sheet'!$B$35&lt;&gt;""),--ISNUMBER(SEARCH($D$4,'Final Calculation Sheet'!$B$35)))))</f>
        <v/>
      </c>
      <c r="DJ90">
        <f>IF($E$4="",1,IF($E$4="(blank)",--('Final Calculation Sheet'!$D$35=""),IF($E$4="(nonblank)",--('Final Calculation Sheet'!$D$35&lt;&gt;""),--ISNUMBER(SEARCH($E$4,'Final Calculation Sheet'!$D$35)))))</f>
        <v/>
      </c>
      <c r="DK90">
        <f>IF($F$4="",1,IF($F$4="(blank)",--('Final Calculation Sheet'!$A$35=""),IF($F$4="(nonblank)",--('Final Calculation Sheet'!$A$35&lt;&gt;""),--ISNUMBER(SEARCH($F$4,'Final Calculation Sheet'!$A$35)))))</f>
        <v/>
      </c>
      <c r="DL90">
        <f>IF($G$4="",1,IF($G$4="(blank)",--('Final Calculation Sheet'!$E$35=""),IF($G$4="(nonblank)",--('Final Calculation Sheet'!$E$35&lt;&gt;""),--ISNUMBER(SEARCH($G$4,'Final Calculation Sheet'!$E$35)))))</f>
        <v/>
      </c>
      <c r="DM90">
        <f>IF($H$4="",1,IF($H$4="(blank)",--('Final Calculation Sheet'!$C$35=""),IF($H$4="(nonblank)",--('Final Calculation Sheet'!$C$35&lt;&gt;""),--ISNUMBER(SEARCH($H$4,'Final Calculation Sheet'!$C$35)))))</f>
        <v/>
      </c>
      <c r="DN90">
        <f>IF($I$4="",1,IF($I$4="(blank)",--('Final Calculation Sheet'!$H$35=""),IF($I$4="(nonblank)",--('Final Calculation Sheet'!$H$35&lt;&gt;""),--ISNUMBER(SEARCH($I$4,'Final Calculation Sheet'!$H$35)))))</f>
        <v/>
      </c>
      <c r="DO90">
        <f>IF($J$4="",1,IF($J$4="(blank)",--('Final Calculation Sheet'!$I$35=""),IF($J$4="(nonblank)",--('Final Calculation Sheet'!$I$35&lt;&gt;""),--ISNUMBER(SEARCH($J$4,'Final Calculation Sheet'!$I$35)))))</f>
        <v/>
      </c>
      <c r="DP90">
        <f>IF($K$4="",1,IF($K$4="(blank)",--('Final Calculation Sheet'!$J$35=""),IF($K$4="(nonblank)",--('Final Calculation Sheet'!$J$35&lt;&gt;""),--ISNUMBER(SEARCH($K$4,'Final Calculation Sheet'!$J$35)))))</f>
        <v/>
      </c>
      <c r="DQ90">
        <f>IF($L$4="",1,IF($L$4="(blank)",--('Final Calculation Sheet'!$K$35=""),IF($L$4="(nonblank)",--('Final Calculation Sheet'!$K$35&lt;&gt;""),--ISNUMBER(SEARCH($L$4,'Final Calculation Sheet'!$K$35)))))</f>
        <v/>
      </c>
      <c r="DR90">
        <f>IF($M$4="",1,IF($M$4="(blank)",--('Final Calculation Sheet'!$L$35=""),IF($M$4="(nonblank)",--('Final Calculation Sheet'!$L$35&lt;&gt;""),--ISNUMBER(SEARCH($M$4,'Final Calculation Sheet'!$L$35)))))</f>
        <v/>
      </c>
      <c r="DS90">
        <f>IF($N$4="",1,IF($N$4="(blank)",--('Final Calculation Sheet'!$M$35=""),IF($N$4="(nonblank)",--('Final Calculation Sheet'!$M$35&lt;&gt;""),--ISNUMBER(SEARCH($N$4,'Final Calculation Sheet'!$M$35)))))</f>
        <v/>
      </c>
      <c r="DT90">
        <f>IF($O$4="",1,IF($O$4="(blank)",--('Final Calculation Sheet'!$N$35=""),IF($O$4="(nonblank)",--('Final Calculation Sheet'!$N$35&lt;&gt;""),--ISNUMBER(SEARCH($O$4,'Final Calculation Sheet'!$N$35)))))</f>
        <v/>
      </c>
      <c r="DU90">
        <f>IF($P$4="",1,IF($P$4="(blank)",--('Final Calculation Sheet'!$O$35=""),IF($P$4="(nonblank)",--('Final Calculation Sheet'!$O$35&lt;&gt;""),--ISNUMBER(SEARCH($P$4,'Final Calculation Sheet'!$O$35)))))</f>
        <v/>
      </c>
      <c r="DV90">
        <f>IF($Q$4="",1,IF($Q$4="(blank)",--('Final Calculation Sheet'!$P$35=""),IF($Q$4="(nonblank)",--('Final Calculation Sheet'!$P$35&lt;&gt;""),--ISNUMBER(SEARCH($Q$4,'Final Calculation Sheet'!$P$35)))))</f>
        <v/>
      </c>
      <c r="DW90">
        <f>IF($R$4="",1,IF($R$4="(blank)",--('Final Calculation Sheet'!$Q$35=""),IF($R$4="(nonblank)",--('Final Calculation Sheet'!$Q$35&lt;&gt;""),--ISNUMBER(SEARCH($R$4,'Final Calculation Sheet'!$Q$35)))))</f>
        <v/>
      </c>
      <c r="DX90">
        <f>IF($S$4="",1,IF($S$4="(blank)",--('Final Calculation Sheet'!$R$35=""),IF($S$4="(nonblank)",--('Final Calculation Sheet'!$R$35&lt;&gt;""),--ISNUMBER(SEARCH($S$4,'Final Calculation Sheet'!$R$35)))))</f>
        <v/>
      </c>
      <c r="DY90">
        <f>IF($T$4="",1,IF($T$4="(blank)",--('Final Calculation Sheet'!$S$35=""),IF($T$4="(nonblank)",--('Final Calculation Sheet'!$S$35&lt;&gt;""),--ISNUMBER(SEARCH($T$4,'Final Calculation Sheet'!$S$35)))))</f>
        <v/>
      </c>
      <c r="DZ90">
        <f>IF($U$4="",1,IF($U$4="(blank)",--('Final Calculation Sheet'!$T$35=""),IF($U$4="(nonblank)",--('Final Calculation Sheet'!$T$35&lt;&gt;""),--ISNUMBER(SEARCH($U$4,'Final Calculation Sheet'!$T$35)))))</f>
        <v/>
      </c>
      <c r="EA90">
        <f>IF($V$4="",1,IF($V$4="(blank)",--('Final Calculation Sheet'!$U$35=""),IF($V$4="(nonblank)",--('Final Calculation Sheet'!$U$35&lt;&gt;""),--ISNUMBER(SEARCH($V$4,'Final Calculation Sheet'!$U$35)))))</f>
        <v/>
      </c>
      <c r="EB90">
        <f>IF($W$4="",1,IF($W$4="(blank)",--('Final Calculation Sheet'!$V$35=""),IF($W$4="(nonblank)",--('Final Calculation Sheet'!$V$35&lt;&gt;""),--ISNUMBER(SEARCH($W$4,'Final Calculation Sheet'!$V$35)))))</f>
        <v/>
      </c>
      <c r="EC90">
        <f>IF($X$4="",1,IF($X$4="(blank)",--('Final Calculation Sheet'!$W$35=""),IF($X$4="(nonblank)",--('Final Calculation Sheet'!$W$35&lt;&gt;""),--ISNUMBER(SEARCH($X$4,'Final Calculation Sheet'!$W$35)))))</f>
        <v/>
      </c>
      <c r="ED90">
        <f>IF($Y$4="",1,IF($Y$4="(blank)",--('Final Calculation Sheet'!$X$35=""),IF($Y$4="(nonblank)",--('Final Calculation Sheet'!$X$35&lt;&gt;""),--ISNUMBER(SEARCH($Y$4,'Final Calculation Sheet'!$X$35)))))</f>
        <v/>
      </c>
      <c r="EE90">
        <f>IF($Z$4="",1,IF($Z$4="(blank)",--('Final Calculation Sheet'!$Y$35=""),IF($Z$4="(nonblank)",--('Final Calculation Sheet'!$Y$35&lt;&gt;""),--ISNUMBER(SEARCH($Z$4,'Final Calculation Sheet'!$Y$35)))))</f>
        <v/>
      </c>
      <c r="EF90">
        <f>IF($AA$4="",1,IF($AA$4="(blank)",--('Final Calculation Sheet'!$Z$35=""),IF($AA$4="(nonblank)",--('Final Calculation Sheet'!$Z$35&lt;&gt;""),--ISNUMBER(SEARCH($AA$4,'Final Calculation Sheet'!$Z$35)))))</f>
        <v/>
      </c>
      <c r="EG90">
        <f>IF($AB$4="",1,IF($AB$4="(blank)",--('Final Calculation Sheet'!$AA$35=""),IF($AB$4="(nonblank)",--('Final Calculation Sheet'!$AA$35&lt;&gt;""),--ISNUMBER(SEARCH($AB$4,'Final Calculation Sheet'!$AA$35)))))</f>
        <v/>
      </c>
      <c r="EH90">
        <f>IF($AC$4="",1,IF($AC$4="(blank)",--('Final Calculation Sheet'!$AB$35=""),IF($AC$4="(nonblank)",--('Final Calculation Sheet'!$AB$35&lt;&gt;""),--ISNUMBER(SEARCH($AC$4,'Final Calculation Sheet'!$AB$35)))))</f>
        <v/>
      </c>
      <c r="EI90">
        <f>IF($AD$4="",1,IF($AD$4="(blank)",--('Final Calculation Sheet'!$AC$35=""),IF($AD$4="(nonblank)",--('Final Calculation Sheet'!$AC$35&lt;&gt;""),--ISNUMBER(SEARCH($AD$4,'Final Calculation Sheet'!$AC$35)))))</f>
        <v/>
      </c>
      <c r="EJ90">
        <f>IF($AE$4="",1,IF($AE$4="(blank)",--('Final Calculation Sheet'!$AD$35=""),IF($AE$4="(nonblank)",--('Final Calculation Sheet'!$AD$35&lt;&gt;""),--ISNUMBER(SEARCH($AE$4,'Final Calculation Sheet'!$AD$35)))))</f>
        <v/>
      </c>
      <c r="EK90">
        <f>IF($AF$4="",1,IF($AF$4="(blank)",--(IF('Final Calculation Sheet'!$AD$35&lt;=5,"SETTLED","OUTSTANDING")=""),IF($AF$4="(nonblank)",--(IF('Final Calculation Sheet'!$AD$35&lt;=5,"SETTLED","OUTSTANDING")&lt;&gt;""),--ISNUMBER(SEARCH($AF$4,IF('Final Calculation Sheet'!$AD$35&lt;=5,"SETTLED","OUTSTANDING"))))))</f>
        <v/>
      </c>
      <c r="EL90">
        <f>IF($AG$4="",1,IF($AG$4="(blank)",--('Final Calculation Sheet'!$AF$35=""),IF($AG$4="(nonblank)",--('Final Calculation Sheet'!$AF$35&lt;&gt;""),--ISNUMBER(SEARCH($AG$4,'Final Calculation Sheet'!$AF$35)))))</f>
        <v/>
      </c>
      <c r="EM90">
        <f>IF($AH$4="",1,IF($AH$4="(blank)",--('Final Calculation Sheet'!$AG$35=""),IF($AH$4="(nonblank)",--('Final Calculation Sheet'!$AG$35&lt;&gt;""),--ISNUMBER(SEARCH($AH$4,'Final Calculation Sheet'!$AG$35)))))</f>
        <v/>
      </c>
      <c r="EN90">
        <f>IF($AI$4="",1,IF($AI$4="(blank)",--('Final Calculation Sheet'!$AH$35=""),IF($AI$4="(nonblank)",--('Final Calculation Sheet'!$AH$35&lt;&gt;""),--ISNUMBER(SEARCH($AI$4,'Final Calculation Sheet'!$AH$35)))))</f>
        <v/>
      </c>
    </row>
    <row r="91">
      <c r="AM91">
        <f>AM90+IF(AND(Lists!$O$38&lt;&gt;"",ISNUMBER(SEARCH($B$4,Lists!$O$38))),1,0)</f>
        <v/>
      </c>
      <c r="AN91">
        <f>IF(ROW()-56&gt;MAX($AM$57:$AM$95),"",INDEX(Lists!$O$4:$O$42,MATCH(ROW()-56,$AM$57:$AM$95,0)))</f>
        <v/>
      </c>
      <c r="AO91">
        <f>AO90+IF(AND(Lists!$T$38&lt;&gt;"",ISNUMBER(SEARCH($C$4,Lists!$T$38))),1,0)</f>
        <v/>
      </c>
      <c r="AP91">
        <f>IF(ROW()-56&gt;MAX($AO$57:$AO$95),"",INDEX(Lists!$T$4:$T$42,MATCH(ROW()-56,$AO$57:$AO$95,0)))</f>
        <v/>
      </c>
      <c r="AQ91">
        <f>AQ90+IF(AND(Lists!$Y$38&lt;&gt;"",ISNUMBER(SEARCH($D$4,Lists!$Y$38))),1,0)</f>
        <v/>
      </c>
      <c r="AR91">
        <f>IF(ROW()-56&gt;MAX($AQ$57:$AQ$95),"",INDEX(Lists!$Y$4:$Y$42,MATCH(ROW()-56,$AQ$57:$AQ$95,0)))</f>
        <v/>
      </c>
      <c r="AS91">
        <f>AS90+IF(AND(Lists!$AD$38&lt;&gt;"",ISNUMBER(SEARCH($E$4,Lists!$AD$38))),1,0)</f>
        <v/>
      </c>
      <c r="AT91">
        <f>IF(ROW()-56&gt;MAX($AS$57:$AS$95),"",INDEX(Lists!$AD$4:$AD$42,MATCH(ROW()-56,$AS$57:$AS$95,0)))</f>
        <v/>
      </c>
      <c r="AU91">
        <f>AU90+IF(AND(Lists!$AI$38&lt;&gt;"",ISNUMBER(SEARCH($F$4,Lists!$AI$38))),1,0)</f>
        <v/>
      </c>
      <c r="AV91">
        <f>IF(ROW()-56&gt;MAX($AU$57:$AU$95),"",INDEX(Lists!$AI$4:$AI$42,MATCH(ROW()-56,$AU$57:$AU$95,0)))</f>
        <v/>
      </c>
      <c r="AW91">
        <f>AW90+IF(AND(Lists!$AN$38&lt;&gt;"",ISNUMBER(SEARCH($G$4,Lists!$AN$38))),1,0)</f>
        <v/>
      </c>
      <c r="AX91">
        <f>IF(ROW()-56&gt;MAX($AW$57:$AW$95),"",INDEX(Lists!$AN$4:$AN$42,MATCH(ROW()-56,$AW$57:$AW$95,0)))</f>
        <v/>
      </c>
      <c r="AY91">
        <f>AY90+IF(AND(Lists!$AS$38&lt;&gt;"",ISNUMBER(SEARCH($H$4,Lists!$AS$38))),1,0)</f>
        <v/>
      </c>
      <c r="AZ91">
        <f>IF(ROW()-56&gt;MAX($AY$57:$AY$95),"",INDEX(Lists!$AS$4:$AS$42,MATCH(ROW()-56,$AY$57:$AY$95,0)))</f>
        <v/>
      </c>
      <c r="BA91">
        <f>BA90+IF(AND(Lists!$AX$38&lt;&gt;"",ISNUMBER(SEARCH($I$4,Lists!$AX$38))),1,0)</f>
        <v/>
      </c>
      <c r="BB91">
        <f>IF(ROW()-56&gt;MAX($BA$57:$BA$95),"",INDEX(Lists!$AX$4:$AX$42,MATCH(ROW()-56,$BA$57:$BA$95,0)))</f>
        <v/>
      </c>
      <c r="BC91">
        <f>BC90+IF(AND(Lists!$BC$38&lt;&gt;"",ISNUMBER(SEARCH($J$4,Lists!$BC$38))),1,0)</f>
        <v/>
      </c>
      <c r="BD91">
        <f>IF(ROW()-56&gt;MAX($BC$57:$BC$95),"",INDEX(Lists!$BC$4:$BC$42,MATCH(ROW()-56,$BC$57:$BC$95,0)))</f>
        <v/>
      </c>
      <c r="BE91">
        <f>BE90+IF(AND(Lists!$BH$38&lt;&gt;"",ISNUMBER(SEARCH($K$4,Lists!$BH$38))),1,0)</f>
        <v/>
      </c>
      <c r="BF91">
        <f>IF(ROW()-56&gt;MAX($BE$57:$BE$95),"",INDEX(Lists!$BH$4:$BH$42,MATCH(ROW()-56,$BE$57:$BE$95,0)))</f>
        <v/>
      </c>
      <c r="BG91">
        <f>BG90+IF(AND(Lists!$BM$38&lt;&gt;"",ISNUMBER(SEARCH($L$4,Lists!$BM$38))),1,0)</f>
        <v/>
      </c>
      <c r="BH91">
        <f>IF(ROW()-56&gt;MAX($BG$57:$BG$95),"",INDEX(Lists!$BM$4:$BM$42,MATCH(ROW()-56,$BG$57:$BG$95,0)))</f>
        <v/>
      </c>
      <c r="BI91">
        <f>BI90+IF(AND(Lists!$BR$38&lt;&gt;"",ISNUMBER(SEARCH($M$4,Lists!$BR$38))),1,0)</f>
        <v/>
      </c>
      <c r="BJ91">
        <f>IF(ROW()-56&gt;MAX($BI$57:$BI$95),"",INDEX(Lists!$BR$4:$BR$42,MATCH(ROW()-56,$BI$57:$BI$95,0)))</f>
        <v/>
      </c>
      <c r="BK91">
        <f>BK90+IF(AND(Lists!$BW$38&lt;&gt;"",ISNUMBER(SEARCH($N$4,Lists!$BW$38))),1,0)</f>
        <v/>
      </c>
      <c r="BL91">
        <f>IF(ROW()-56&gt;MAX($BK$57:$BK$95),"",INDEX(Lists!$BW$4:$BW$42,MATCH(ROW()-56,$BK$57:$BK$95,0)))</f>
        <v/>
      </c>
      <c r="BM91">
        <f>BM90+IF(AND(Lists!$CB$38&lt;&gt;"",ISNUMBER(SEARCH($O$4,Lists!$CB$38))),1,0)</f>
        <v/>
      </c>
      <c r="BN91">
        <f>IF(ROW()-56&gt;MAX($BM$57:$BM$95),"",INDEX(Lists!$CB$4:$CB$42,MATCH(ROW()-56,$BM$57:$BM$95,0)))</f>
        <v/>
      </c>
      <c r="BO91">
        <f>BO90+IF(AND(Lists!$CG$38&lt;&gt;"",ISNUMBER(SEARCH($P$4,Lists!$CG$38))),1,0)</f>
        <v/>
      </c>
      <c r="BP91">
        <f>IF(ROW()-56&gt;MAX($BO$57:$BO$95),"",INDEX(Lists!$CG$4:$CG$42,MATCH(ROW()-56,$BO$57:$BO$95,0)))</f>
        <v/>
      </c>
      <c r="BQ91">
        <f>BQ90+IF(AND(Lists!$CL$38&lt;&gt;"",ISNUMBER(SEARCH($Q$4,Lists!$CL$38))),1,0)</f>
        <v/>
      </c>
      <c r="BR91">
        <f>IF(ROW()-56&gt;MAX($BQ$57:$BQ$95),"",INDEX(Lists!$CL$4:$CL$42,MATCH(ROW()-56,$BQ$57:$BQ$95,0)))</f>
        <v/>
      </c>
      <c r="BS91">
        <f>BS90+IF(AND(Lists!$CQ$38&lt;&gt;"",ISNUMBER(SEARCH($R$4,Lists!$CQ$38))),1,0)</f>
        <v/>
      </c>
      <c r="BT91">
        <f>IF(ROW()-56&gt;MAX($BS$57:$BS$95),"",INDEX(Lists!$CQ$4:$CQ$42,MATCH(ROW()-56,$BS$57:$BS$95,0)))</f>
        <v/>
      </c>
      <c r="BU91">
        <f>BU90+IF(AND(Lists!$CV$38&lt;&gt;"",ISNUMBER(SEARCH($S$4,Lists!$CV$38))),1,0)</f>
        <v/>
      </c>
      <c r="BV91">
        <f>IF(ROW()-56&gt;MAX($BU$57:$BU$95),"",INDEX(Lists!$CV$4:$CV$42,MATCH(ROW()-56,$BU$57:$BU$95,0)))</f>
        <v/>
      </c>
      <c r="BW91">
        <f>BW90+IF(AND(Lists!$DA$38&lt;&gt;"",ISNUMBER(SEARCH($T$4,Lists!$DA$38))),1,0)</f>
        <v/>
      </c>
      <c r="BX91">
        <f>IF(ROW()-56&gt;MAX($BW$57:$BW$95),"",INDEX(Lists!$DA$4:$DA$42,MATCH(ROW()-56,$BW$57:$BW$95,0)))</f>
        <v/>
      </c>
      <c r="BY91">
        <f>BY90+IF(AND(Lists!$DF$38&lt;&gt;"",ISNUMBER(SEARCH($U$4,Lists!$DF$38))),1,0)</f>
        <v/>
      </c>
      <c r="BZ91">
        <f>IF(ROW()-56&gt;MAX($BY$57:$BY$95),"",INDEX(Lists!$DF$4:$DF$42,MATCH(ROW()-56,$BY$57:$BY$95,0)))</f>
        <v/>
      </c>
      <c r="CA91">
        <f>CA90+IF(AND(Lists!$DK$38&lt;&gt;"",ISNUMBER(SEARCH($V$4,Lists!$DK$38))),1,0)</f>
        <v/>
      </c>
      <c r="CB91">
        <f>IF(ROW()-56&gt;MAX($CA$57:$CA$95),"",INDEX(Lists!$DK$4:$DK$42,MATCH(ROW()-56,$CA$57:$CA$95,0)))</f>
        <v/>
      </c>
      <c r="CC91">
        <f>CC90+IF(AND(Lists!$DP$38&lt;&gt;"",ISNUMBER(SEARCH($W$4,Lists!$DP$38))),1,0)</f>
        <v/>
      </c>
      <c r="CD91">
        <f>IF(ROW()-56&gt;MAX($CC$57:$CC$95),"",INDEX(Lists!$DP$4:$DP$42,MATCH(ROW()-56,$CC$57:$CC$95,0)))</f>
        <v/>
      </c>
      <c r="CE91">
        <f>CE90+IF(AND(Lists!$DU$38&lt;&gt;"",ISNUMBER(SEARCH($X$4,Lists!$DU$38))),1,0)</f>
        <v/>
      </c>
      <c r="CF91">
        <f>IF(ROW()-56&gt;MAX($CE$57:$CE$95),"",INDEX(Lists!$DU$4:$DU$42,MATCH(ROW()-56,$CE$57:$CE$95,0)))</f>
        <v/>
      </c>
      <c r="CG91">
        <f>CG90+IF(AND(Lists!$DZ$38&lt;&gt;"",ISNUMBER(SEARCH($Y$4,Lists!$DZ$38))),1,0)</f>
        <v/>
      </c>
      <c r="CH91">
        <f>IF(ROW()-56&gt;MAX($CG$57:$CG$95),"",INDEX(Lists!$DZ$4:$DZ$42,MATCH(ROW()-56,$CG$57:$CG$95,0)))</f>
        <v/>
      </c>
      <c r="CI91">
        <f>CI90+IF(AND(Lists!$EE$38&lt;&gt;"",ISNUMBER(SEARCH($Z$4,Lists!$EE$38))),1,0)</f>
        <v/>
      </c>
      <c r="CJ91">
        <f>IF(ROW()-56&gt;MAX($CI$57:$CI$95),"",INDEX(Lists!$EE$4:$EE$42,MATCH(ROW()-56,$CI$57:$CI$95,0)))</f>
        <v/>
      </c>
      <c r="CK91">
        <f>CK90+IF(AND(Lists!$EJ$38&lt;&gt;"",ISNUMBER(SEARCH($AA$4,Lists!$EJ$38))),1,0)</f>
        <v/>
      </c>
      <c r="CL91">
        <f>IF(ROW()-56&gt;MAX($CK$57:$CK$95),"",INDEX(Lists!$EJ$4:$EJ$42,MATCH(ROW()-56,$CK$57:$CK$95,0)))</f>
        <v/>
      </c>
      <c r="CM91">
        <f>CM90+IF(AND(Lists!$EO$38&lt;&gt;"",ISNUMBER(SEARCH($AB$4,Lists!$EO$38))),1,0)</f>
        <v/>
      </c>
      <c r="CN91">
        <f>IF(ROW()-56&gt;MAX($CM$57:$CM$95),"",INDEX(Lists!$EO$4:$EO$42,MATCH(ROW()-56,$CM$57:$CM$95,0)))</f>
        <v/>
      </c>
      <c r="CO91">
        <f>CO90+IF(AND(Lists!$ET$38&lt;&gt;"",ISNUMBER(SEARCH($AC$4,Lists!$ET$38))),1,0)</f>
        <v/>
      </c>
      <c r="CP91">
        <f>IF(ROW()-56&gt;MAX($CO$57:$CO$95),"",INDEX(Lists!$ET$4:$ET$42,MATCH(ROW()-56,$CO$57:$CO$95,0)))</f>
        <v/>
      </c>
      <c r="CQ91">
        <f>CQ90+IF(AND(Lists!$EY$38&lt;&gt;"",ISNUMBER(SEARCH($AD$4,Lists!$EY$38))),1,0)</f>
        <v/>
      </c>
      <c r="CR91">
        <f>IF(ROW()-56&gt;MAX($CQ$57:$CQ$95),"",INDEX(Lists!$EY$4:$EY$42,MATCH(ROW()-56,$CQ$57:$CQ$95,0)))</f>
        <v/>
      </c>
      <c r="CS91">
        <f>CS90+IF(AND(Lists!$FD$38&lt;&gt;"",ISNUMBER(SEARCH($AE$4,Lists!$FD$38))),1,0)</f>
        <v/>
      </c>
      <c r="CT91">
        <f>IF(ROW()-56&gt;MAX($CS$57:$CS$95),"",INDEX(Lists!$FD$4:$FD$42,MATCH(ROW()-56,$CS$57:$CS$95,0)))</f>
        <v/>
      </c>
      <c r="CU91">
        <f>CU90+IF(AND(Lists!$FI$38&lt;&gt;"",ISNUMBER(SEARCH($AG$4,Lists!$FI$38))),1,0)</f>
        <v/>
      </c>
      <c r="CV91">
        <f>IF(ROW()-56&gt;MAX($CU$57:$CU$95),"",INDEX(Lists!$FI$4:$FI$42,MATCH(ROW()-56,$CU$57:$CU$95,0)))</f>
        <v/>
      </c>
      <c r="CW91">
        <f>CW90+IF(AND(Lists!$FN$38&lt;&gt;"",ISNUMBER(SEARCH($AH$4,Lists!$FN$38))),1,0)</f>
        <v/>
      </c>
      <c r="CX91">
        <f>IF(ROW()-56&gt;MAX($CW$57:$CW$95),"",INDEX(Lists!$FN$4:$FN$42,MATCH(ROW()-56,$CW$57:$CW$95,0)))</f>
        <v/>
      </c>
      <c r="CY91">
        <f>CY90+IF(AND(Lists!$FS$38&lt;&gt;"",ISNUMBER(SEARCH($AI$4,Lists!$FS$38))),1,0)</f>
        <v/>
      </c>
      <c r="CZ91">
        <f>IF(ROW()-56&gt;MAX($CY$57:$CY$95),"",INDEX(Lists!$FS$4:$FS$42,MATCH(ROW()-56,$CY$57:$CY$95,0)))</f>
        <v/>
      </c>
      <c r="DA91">
        <f>DA90+IF(AND(Lists!$FX$38&lt;&gt;"",ISNUMBER(SEARCH($AF$4,Lists!$FX$38))),1,0)</f>
        <v/>
      </c>
      <c r="DB91">
        <f>IF(ROW()-56&gt;MAX($DA$57:$DA$95),"",INDEX(Lists!$FX$4:$FX$42,MATCH(ROW()-56,$DA$57:$DA$95,0)))</f>
        <v/>
      </c>
      <c r="DG91">
        <f>IF($B$4="",1,IF($B$4="(blank)",--('Final Calculation Sheet'!$F$36=""),IF($B$4="(nonblank)",--('Final Calculation Sheet'!$F$36&lt;&gt;""),--ISNUMBER(SEARCH($B$4,'Final Calculation Sheet'!$F$36)))))</f>
        <v/>
      </c>
      <c r="DH91">
        <f>IF($C$4="",1,IF($C$4="(blank)",--('Final Calculation Sheet'!$G$36=""),IF($C$4="(nonblank)",--('Final Calculation Sheet'!$G$36&lt;&gt;""),--ISNUMBER(SEARCH($C$4,'Final Calculation Sheet'!$G$36)))))</f>
        <v/>
      </c>
      <c r="DI91">
        <f>IF($D$4="",1,IF($D$4="(blank)",--('Final Calculation Sheet'!$B$36=""),IF($D$4="(nonblank)",--('Final Calculation Sheet'!$B$36&lt;&gt;""),--ISNUMBER(SEARCH($D$4,'Final Calculation Sheet'!$B$36)))))</f>
        <v/>
      </c>
      <c r="DJ91">
        <f>IF($E$4="",1,IF($E$4="(blank)",--('Final Calculation Sheet'!$D$36=""),IF($E$4="(nonblank)",--('Final Calculation Sheet'!$D$36&lt;&gt;""),--ISNUMBER(SEARCH($E$4,'Final Calculation Sheet'!$D$36)))))</f>
        <v/>
      </c>
      <c r="DK91">
        <f>IF($F$4="",1,IF($F$4="(blank)",--('Final Calculation Sheet'!$A$36=""),IF($F$4="(nonblank)",--('Final Calculation Sheet'!$A$36&lt;&gt;""),--ISNUMBER(SEARCH($F$4,'Final Calculation Sheet'!$A$36)))))</f>
        <v/>
      </c>
      <c r="DL91">
        <f>IF($G$4="",1,IF($G$4="(blank)",--('Final Calculation Sheet'!$E$36=""),IF($G$4="(nonblank)",--('Final Calculation Sheet'!$E$36&lt;&gt;""),--ISNUMBER(SEARCH($G$4,'Final Calculation Sheet'!$E$36)))))</f>
        <v/>
      </c>
      <c r="DM91">
        <f>IF($H$4="",1,IF($H$4="(blank)",--('Final Calculation Sheet'!$C$36=""),IF($H$4="(nonblank)",--('Final Calculation Sheet'!$C$36&lt;&gt;""),--ISNUMBER(SEARCH($H$4,'Final Calculation Sheet'!$C$36)))))</f>
        <v/>
      </c>
      <c r="DN91">
        <f>IF($I$4="",1,IF($I$4="(blank)",--('Final Calculation Sheet'!$H$36=""),IF($I$4="(nonblank)",--('Final Calculation Sheet'!$H$36&lt;&gt;""),--ISNUMBER(SEARCH($I$4,'Final Calculation Sheet'!$H$36)))))</f>
        <v/>
      </c>
      <c r="DO91">
        <f>IF($J$4="",1,IF($J$4="(blank)",--('Final Calculation Sheet'!$I$36=""),IF($J$4="(nonblank)",--('Final Calculation Sheet'!$I$36&lt;&gt;""),--ISNUMBER(SEARCH($J$4,'Final Calculation Sheet'!$I$36)))))</f>
        <v/>
      </c>
      <c r="DP91">
        <f>IF($K$4="",1,IF($K$4="(blank)",--('Final Calculation Sheet'!$J$36=""),IF($K$4="(nonblank)",--('Final Calculation Sheet'!$J$36&lt;&gt;""),--ISNUMBER(SEARCH($K$4,'Final Calculation Sheet'!$J$36)))))</f>
        <v/>
      </c>
      <c r="DQ91">
        <f>IF($L$4="",1,IF($L$4="(blank)",--('Final Calculation Sheet'!$K$36=""),IF($L$4="(nonblank)",--('Final Calculation Sheet'!$K$36&lt;&gt;""),--ISNUMBER(SEARCH($L$4,'Final Calculation Sheet'!$K$36)))))</f>
        <v/>
      </c>
      <c r="DR91">
        <f>IF($M$4="",1,IF($M$4="(blank)",--('Final Calculation Sheet'!$L$36=""),IF($M$4="(nonblank)",--('Final Calculation Sheet'!$L$36&lt;&gt;""),--ISNUMBER(SEARCH($M$4,'Final Calculation Sheet'!$L$36)))))</f>
        <v/>
      </c>
      <c r="DS91">
        <f>IF($N$4="",1,IF($N$4="(blank)",--('Final Calculation Sheet'!$M$36=""),IF($N$4="(nonblank)",--('Final Calculation Sheet'!$M$36&lt;&gt;""),--ISNUMBER(SEARCH($N$4,'Final Calculation Sheet'!$M$36)))))</f>
        <v/>
      </c>
      <c r="DT91">
        <f>IF($O$4="",1,IF($O$4="(blank)",--('Final Calculation Sheet'!$N$36=""),IF($O$4="(nonblank)",--('Final Calculation Sheet'!$N$36&lt;&gt;""),--ISNUMBER(SEARCH($O$4,'Final Calculation Sheet'!$N$36)))))</f>
        <v/>
      </c>
      <c r="DU91">
        <f>IF($P$4="",1,IF($P$4="(blank)",--('Final Calculation Sheet'!$O$36=""),IF($P$4="(nonblank)",--('Final Calculation Sheet'!$O$36&lt;&gt;""),--ISNUMBER(SEARCH($P$4,'Final Calculation Sheet'!$O$36)))))</f>
        <v/>
      </c>
      <c r="DV91">
        <f>IF($Q$4="",1,IF($Q$4="(blank)",--('Final Calculation Sheet'!$P$36=""),IF($Q$4="(nonblank)",--('Final Calculation Sheet'!$P$36&lt;&gt;""),--ISNUMBER(SEARCH($Q$4,'Final Calculation Sheet'!$P$36)))))</f>
        <v/>
      </c>
      <c r="DW91">
        <f>IF($R$4="",1,IF($R$4="(blank)",--('Final Calculation Sheet'!$Q$36=""),IF($R$4="(nonblank)",--('Final Calculation Sheet'!$Q$36&lt;&gt;""),--ISNUMBER(SEARCH($R$4,'Final Calculation Sheet'!$Q$36)))))</f>
        <v/>
      </c>
      <c r="DX91">
        <f>IF($S$4="",1,IF($S$4="(blank)",--('Final Calculation Sheet'!$R$36=""),IF($S$4="(nonblank)",--('Final Calculation Sheet'!$R$36&lt;&gt;""),--ISNUMBER(SEARCH($S$4,'Final Calculation Sheet'!$R$36)))))</f>
        <v/>
      </c>
      <c r="DY91">
        <f>IF($T$4="",1,IF($T$4="(blank)",--('Final Calculation Sheet'!$S$36=""),IF($T$4="(nonblank)",--('Final Calculation Sheet'!$S$36&lt;&gt;""),--ISNUMBER(SEARCH($T$4,'Final Calculation Sheet'!$S$36)))))</f>
        <v/>
      </c>
      <c r="DZ91">
        <f>IF($U$4="",1,IF($U$4="(blank)",--('Final Calculation Sheet'!$T$36=""),IF($U$4="(nonblank)",--('Final Calculation Sheet'!$T$36&lt;&gt;""),--ISNUMBER(SEARCH($U$4,'Final Calculation Sheet'!$T$36)))))</f>
        <v/>
      </c>
      <c r="EA91">
        <f>IF($V$4="",1,IF($V$4="(blank)",--('Final Calculation Sheet'!$U$36=""),IF($V$4="(nonblank)",--('Final Calculation Sheet'!$U$36&lt;&gt;""),--ISNUMBER(SEARCH($V$4,'Final Calculation Sheet'!$U$36)))))</f>
        <v/>
      </c>
      <c r="EB91">
        <f>IF($W$4="",1,IF($W$4="(blank)",--('Final Calculation Sheet'!$V$36=""),IF($W$4="(nonblank)",--('Final Calculation Sheet'!$V$36&lt;&gt;""),--ISNUMBER(SEARCH($W$4,'Final Calculation Sheet'!$V$36)))))</f>
        <v/>
      </c>
      <c r="EC91">
        <f>IF($X$4="",1,IF($X$4="(blank)",--('Final Calculation Sheet'!$W$36=""),IF($X$4="(nonblank)",--('Final Calculation Sheet'!$W$36&lt;&gt;""),--ISNUMBER(SEARCH($X$4,'Final Calculation Sheet'!$W$36)))))</f>
        <v/>
      </c>
      <c r="ED91">
        <f>IF($Y$4="",1,IF($Y$4="(blank)",--('Final Calculation Sheet'!$X$36=""),IF($Y$4="(nonblank)",--('Final Calculation Sheet'!$X$36&lt;&gt;""),--ISNUMBER(SEARCH($Y$4,'Final Calculation Sheet'!$X$36)))))</f>
        <v/>
      </c>
      <c r="EE91">
        <f>IF($Z$4="",1,IF($Z$4="(blank)",--('Final Calculation Sheet'!$Y$36=""),IF($Z$4="(nonblank)",--('Final Calculation Sheet'!$Y$36&lt;&gt;""),--ISNUMBER(SEARCH($Z$4,'Final Calculation Sheet'!$Y$36)))))</f>
        <v/>
      </c>
      <c r="EF91">
        <f>IF($AA$4="",1,IF($AA$4="(blank)",--('Final Calculation Sheet'!$Z$36=""),IF($AA$4="(nonblank)",--('Final Calculation Sheet'!$Z$36&lt;&gt;""),--ISNUMBER(SEARCH($AA$4,'Final Calculation Sheet'!$Z$36)))))</f>
        <v/>
      </c>
      <c r="EG91">
        <f>IF($AB$4="",1,IF($AB$4="(blank)",--('Final Calculation Sheet'!$AA$36=""),IF($AB$4="(nonblank)",--('Final Calculation Sheet'!$AA$36&lt;&gt;""),--ISNUMBER(SEARCH($AB$4,'Final Calculation Sheet'!$AA$36)))))</f>
        <v/>
      </c>
      <c r="EH91">
        <f>IF($AC$4="",1,IF($AC$4="(blank)",--('Final Calculation Sheet'!$AB$36=""),IF($AC$4="(nonblank)",--('Final Calculation Sheet'!$AB$36&lt;&gt;""),--ISNUMBER(SEARCH($AC$4,'Final Calculation Sheet'!$AB$36)))))</f>
        <v/>
      </c>
      <c r="EI91">
        <f>IF($AD$4="",1,IF($AD$4="(blank)",--('Final Calculation Sheet'!$AC$36=""),IF($AD$4="(nonblank)",--('Final Calculation Sheet'!$AC$36&lt;&gt;""),--ISNUMBER(SEARCH($AD$4,'Final Calculation Sheet'!$AC$36)))))</f>
        <v/>
      </c>
      <c r="EJ91">
        <f>IF($AE$4="",1,IF($AE$4="(blank)",--('Final Calculation Sheet'!$AD$36=""),IF($AE$4="(nonblank)",--('Final Calculation Sheet'!$AD$36&lt;&gt;""),--ISNUMBER(SEARCH($AE$4,'Final Calculation Sheet'!$AD$36)))))</f>
        <v/>
      </c>
      <c r="EK91">
        <f>IF($AF$4="",1,IF($AF$4="(blank)",--(IF('Final Calculation Sheet'!$AD$36&lt;=5,"SETTLED","OUTSTANDING")=""),IF($AF$4="(nonblank)",--(IF('Final Calculation Sheet'!$AD$36&lt;=5,"SETTLED","OUTSTANDING")&lt;&gt;""),--ISNUMBER(SEARCH($AF$4,IF('Final Calculation Sheet'!$AD$36&lt;=5,"SETTLED","OUTSTANDING"))))))</f>
        <v/>
      </c>
      <c r="EL91">
        <f>IF($AG$4="",1,IF($AG$4="(blank)",--('Final Calculation Sheet'!$AF$36=""),IF($AG$4="(nonblank)",--('Final Calculation Sheet'!$AF$36&lt;&gt;""),--ISNUMBER(SEARCH($AG$4,'Final Calculation Sheet'!$AF$36)))))</f>
        <v/>
      </c>
      <c r="EM91">
        <f>IF($AH$4="",1,IF($AH$4="(blank)",--('Final Calculation Sheet'!$AG$36=""),IF($AH$4="(nonblank)",--('Final Calculation Sheet'!$AG$36&lt;&gt;""),--ISNUMBER(SEARCH($AH$4,'Final Calculation Sheet'!$AG$36)))))</f>
        <v/>
      </c>
      <c r="EN91">
        <f>IF($AI$4="",1,IF($AI$4="(blank)",--('Final Calculation Sheet'!$AH$36=""),IF($AI$4="(nonblank)",--('Final Calculation Sheet'!$AH$36&lt;&gt;""),--ISNUMBER(SEARCH($AI$4,'Final Calculation Sheet'!$AH$36)))))</f>
        <v/>
      </c>
    </row>
    <row r="92">
      <c r="AM92">
        <f>AM91+IF(AND(Lists!$O$39&lt;&gt;"",ISNUMBER(SEARCH($B$4,Lists!$O$39))),1,0)</f>
        <v/>
      </c>
      <c r="AN92">
        <f>IF(ROW()-56&gt;MAX($AM$57:$AM$95),"",INDEX(Lists!$O$4:$O$42,MATCH(ROW()-56,$AM$57:$AM$95,0)))</f>
        <v/>
      </c>
      <c r="AO92">
        <f>AO91+IF(AND(Lists!$T$39&lt;&gt;"",ISNUMBER(SEARCH($C$4,Lists!$T$39))),1,0)</f>
        <v/>
      </c>
      <c r="AP92">
        <f>IF(ROW()-56&gt;MAX($AO$57:$AO$95),"",INDEX(Lists!$T$4:$T$42,MATCH(ROW()-56,$AO$57:$AO$95,0)))</f>
        <v/>
      </c>
      <c r="AQ92">
        <f>AQ91+IF(AND(Lists!$Y$39&lt;&gt;"",ISNUMBER(SEARCH($D$4,Lists!$Y$39))),1,0)</f>
        <v/>
      </c>
      <c r="AR92">
        <f>IF(ROW()-56&gt;MAX($AQ$57:$AQ$95),"",INDEX(Lists!$Y$4:$Y$42,MATCH(ROW()-56,$AQ$57:$AQ$95,0)))</f>
        <v/>
      </c>
      <c r="AS92">
        <f>AS91+IF(AND(Lists!$AD$39&lt;&gt;"",ISNUMBER(SEARCH($E$4,Lists!$AD$39))),1,0)</f>
        <v/>
      </c>
      <c r="AT92">
        <f>IF(ROW()-56&gt;MAX($AS$57:$AS$95),"",INDEX(Lists!$AD$4:$AD$42,MATCH(ROW()-56,$AS$57:$AS$95,0)))</f>
        <v/>
      </c>
      <c r="AU92">
        <f>AU91+IF(AND(Lists!$AI$39&lt;&gt;"",ISNUMBER(SEARCH($F$4,Lists!$AI$39))),1,0)</f>
        <v/>
      </c>
      <c r="AV92">
        <f>IF(ROW()-56&gt;MAX($AU$57:$AU$95),"",INDEX(Lists!$AI$4:$AI$42,MATCH(ROW()-56,$AU$57:$AU$95,0)))</f>
        <v/>
      </c>
      <c r="AW92">
        <f>AW91+IF(AND(Lists!$AN$39&lt;&gt;"",ISNUMBER(SEARCH($G$4,Lists!$AN$39))),1,0)</f>
        <v/>
      </c>
      <c r="AX92">
        <f>IF(ROW()-56&gt;MAX($AW$57:$AW$95),"",INDEX(Lists!$AN$4:$AN$42,MATCH(ROW()-56,$AW$57:$AW$95,0)))</f>
        <v/>
      </c>
      <c r="AY92">
        <f>AY91+IF(AND(Lists!$AS$39&lt;&gt;"",ISNUMBER(SEARCH($H$4,Lists!$AS$39))),1,0)</f>
        <v/>
      </c>
      <c r="AZ92">
        <f>IF(ROW()-56&gt;MAX($AY$57:$AY$95),"",INDEX(Lists!$AS$4:$AS$42,MATCH(ROW()-56,$AY$57:$AY$95,0)))</f>
        <v/>
      </c>
      <c r="BA92">
        <f>BA91+IF(AND(Lists!$AX$39&lt;&gt;"",ISNUMBER(SEARCH($I$4,Lists!$AX$39))),1,0)</f>
        <v/>
      </c>
      <c r="BB92">
        <f>IF(ROW()-56&gt;MAX($BA$57:$BA$95),"",INDEX(Lists!$AX$4:$AX$42,MATCH(ROW()-56,$BA$57:$BA$95,0)))</f>
        <v/>
      </c>
      <c r="BC92">
        <f>BC91+IF(AND(Lists!$BC$39&lt;&gt;"",ISNUMBER(SEARCH($J$4,Lists!$BC$39))),1,0)</f>
        <v/>
      </c>
      <c r="BD92">
        <f>IF(ROW()-56&gt;MAX($BC$57:$BC$95),"",INDEX(Lists!$BC$4:$BC$42,MATCH(ROW()-56,$BC$57:$BC$95,0)))</f>
        <v/>
      </c>
      <c r="BE92">
        <f>BE91+IF(AND(Lists!$BH$39&lt;&gt;"",ISNUMBER(SEARCH($K$4,Lists!$BH$39))),1,0)</f>
        <v/>
      </c>
      <c r="BF92">
        <f>IF(ROW()-56&gt;MAX($BE$57:$BE$95),"",INDEX(Lists!$BH$4:$BH$42,MATCH(ROW()-56,$BE$57:$BE$95,0)))</f>
        <v/>
      </c>
      <c r="BG92">
        <f>BG91+IF(AND(Lists!$BM$39&lt;&gt;"",ISNUMBER(SEARCH($L$4,Lists!$BM$39))),1,0)</f>
        <v/>
      </c>
      <c r="BH92">
        <f>IF(ROW()-56&gt;MAX($BG$57:$BG$95),"",INDEX(Lists!$BM$4:$BM$42,MATCH(ROW()-56,$BG$57:$BG$95,0)))</f>
        <v/>
      </c>
      <c r="BI92">
        <f>BI91+IF(AND(Lists!$BR$39&lt;&gt;"",ISNUMBER(SEARCH($M$4,Lists!$BR$39))),1,0)</f>
        <v/>
      </c>
      <c r="BJ92">
        <f>IF(ROW()-56&gt;MAX($BI$57:$BI$95),"",INDEX(Lists!$BR$4:$BR$42,MATCH(ROW()-56,$BI$57:$BI$95,0)))</f>
        <v/>
      </c>
      <c r="BK92">
        <f>BK91+IF(AND(Lists!$BW$39&lt;&gt;"",ISNUMBER(SEARCH($N$4,Lists!$BW$39))),1,0)</f>
        <v/>
      </c>
      <c r="BL92">
        <f>IF(ROW()-56&gt;MAX($BK$57:$BK$95),"",INDEX(Lists!$BW$4:$BW$42,MATCH(ROW()-56,$BK$57:$BK$95,0)))</f>
        <v/>
      </c>
      <c r="BM92">
        <f>BM91+IF(AND(Lists!$CB$39&lt;&gt;"",ISNUMBER(SEARCH($O$4,Lists!$CB$39))),1,0)</f>
        <v/>
      </c>
      <c r="BN92">
        <f>IF(ROW()-56&gt;MAX($BM$57:$BM$95),"",INDEX(Lists!$CB$4:$CB$42,MATCH(ROW()-56,$BM$57:$BM$95,0)))</f>
        <v/>
      </c>
      <c r="BO92">
        <f>BO91+IF(AND(Lists!$CG$39&lt;&gt;"",ISNUMBER(SEARCH($P$4,Lists!$CG$39))),1,0)</f>
        <v/>
      </c>
      <c r="BP92">
        <f>IF(ROW()-56&gt;MAX($BO$57:$BO$95),"",INDEX(Lists!$CG$4:$CG$42,MATCH(ROW()-56,$BO$57:$BO$95,0)))</f>
        <v/>
      </c>
      <c r="BQ92">
        <f>BQ91+IF(AND(Lists!$CL$39&lt;&gt;"",ISNUMBER(SEARCH($Q$4,Lists!$CL$39))),1,0)</f>
        <v/>
      </c>
      <c r="BR92">
        <f>IF(ROW()-56&gt;MAX($BQ$57:$BQ$95),"",INDEX(Lists!$CL$4:$CL$42,MATCH(ROW()-56,$BQ$57:$BQ$95,0)))</f>
        <v/>
      </c>
      <c r="BS92">
        <f>BS91+IF(AND(Lists!$CQ$39&lt;&gt;"",ISNUMBER(SEARCH($R$4,Lists!$CQ$39))),1,0)</f>
        <v/>
      </c>
      <c r="BT92">
        <f>IF(ROW()-56&gt;MAX($BS$57:$BS$95),"",INDEX(Lists!$CQ$4:$CQ$42,MATCH(ROW()-56,$BS$57:$BS$95,0)))</f>
        <v/>
      </c>
      <c r="BU92">
        <f>BU91+IF(AND(Lists!$CV$39&lt;&gt;"",ISNUMBER(SEARCH($S$4,Lists!$CV$39))),1,0)</f>
        <v/>
      </c>
      <c r="BV92">
        <f>IF(ROW()-56&gt;MAX($BU$57:$BU$95),"",INDEX(Lists!$CV$4:$CV$42,MATCH(ROW()-56,$BU$57:$BU$95,0)))</f>
        <v/>
      </c>
      <c r="BW92">
        <f>BW91+IF(AND(Lists!$DA$39&lt;&gt;"",ISNUMBER(SEARCH($T$4,Lists!$DA$39))),1,0)</f>
        <v/>
      </c>
      <c r="BX92">
        <f>IF(ROW()-56&gt;MAX($BW$57:$BW$95),"",INDEX(Lists!$DA$4:$DA$42,MATCH(ROW()-56,$BW$57:$BW$95,0)))</f>
        <v/>
      </c>
      <c r="BY92">
        <f>BY91+IF(AND(Lists!$DF$39&lt;&gt;"",ISNUMBER(SEARCH($U$4,Lists!$DF$39))),1,0)</f>
        <v/>
      </c>
      <c r="BZ92">
        <f>IF(ROW()-56&gt;MAX($BY$57:$BY$95),"",INDEX(Lists!$DF$4:$DF$42,MATCH(ROW()-56,$BY$57:$BY$95,0)))</f>
        <v/>
      </c>
      <c r="CA92">
        <f>CA91+IF(AND(Lists!$DK$39&lt;&gt;"",ISNUMBER(SEARCH($V$4,Lists!$DK$39))),1,0)</f>
        <v/>
      </c>
      <c r="CB92">
        <f>IF(ROW()-56&gt;MAX($CA$57:$CA$95),"",INDEX(Lists!$DK$4:$DK$42,MATCH(ROW()-56,$CA$57:$CA$95,0)))</f>
        <v/>
      </c>
      <c r="CC92">
        <f>CC91+IF(AND(Lists!$DP$39&lt;&gt;"",ISNUMBER(SEARCH($W$4,Lists!$DP$39))),1,0)</f>
        <v/>
      </c>
      <c r="CD92">
        <f>IF(ROW()-56&gt;MAX($CC$57:$CC$95),"",INDEX(Lists!$DP$4:$DP$42,MATCH(ROW()-56,$CC$57:$CC$95,0)))</f>
        <v/>
      </c>
      <c r="CE92">
        <f>CE91+IF(AND(Lists!$DU$39&lt;&gt;"",ISNUMBER(SEARCH($X$4,Lists!$DU$39))),1,0)</f>
        <v/>
      </c>
      <c r="CF92">
        <f>IF(ROW()-56&gt;MAX($CE$57:$CE$95),"",INDEX(Lists!$DU$4:$DU$42,MATCH(ROW()-56,$CE$57:$CE$95,0)))</f>
        <v/>
      </c>
      <c r="CG92">
        <f>CG91+IF(AND(Lists!$DZ$39&lt;&gt;"",ISNUMBER(SEARCH($Y$4,Lists!$DZ$39))),1,0)</f>
        <v/>
      </c>
      <c r="CH92">
        <f>IF(ROW()-56&gt;MAX($CG$57:$CG$95),"",INDEX(Lists!$DZ$4:$DZ$42,MATCH(ROW()-56,$CG$57:$CG$95,0)))</f>
        <v/>
      </c>
      <c r="CI92">
        <f>CI91+IF(AND(Lists!$EE$39&lt;&gt;"",ISNUMBER(SEARCH($Z$4,Lists!$EE$39))),1,0)</f>
        <v/>
      </c>
      <c r="CJ92">
        <f>IF(ROW()-56&gt;MAX($CI$57:$CI$95),"",INDEX(Lists!$EE$4:$EE$42,MATCH(ROW()-56,$CI$57:$CI$95,0)))</f>
        <v/>
      </c>
      <c r="CK92">
        <f>CK91+IF(AND(Lists!$EJ$39&lt;&gt;"",ISNUMBER(SEARCH($AA$4,Lists!$EJ$39))),1,0)</f>
        <v/>
      </c>
      <c r="CL92">
        <f>IF(ROW()-56&gt;MAX($CK$57:$CK$95),"",INDEX(Lists!$EJ$4:$EJ$42,MATCH(ROW()-56,$CK$57:$CK$95,0)))</f>
        <v/>
      </c>
      <c r="CM92">
        <f>CM91+IF(AND(Lists!$EO$39&lt;&gt;"",ISNUMBER(SEARCH($AB$4,Lists!$EO$39))),1,0)</f>
        <v/>
      </c>
      <c r="CN92">
        <f>IF(ROW()-56&gt;MAX($CM$57:$CM$95),"",INDEX(Lists!$EO$4:$EO$42,MATCH(ROW()-56,$CM$57:$CM$95,0)))</f>
        <v/>
      </c>
      <c r="CO92">
        <f>CO91+IF(AND(Lists!$ET$39&lt;&gt;"",ISNUMBER(SEARCH($AC$4,Lists!$ET$39))),1,0)</f>
        <v/>
      </c>
      <c r="CP92">
        <f>IF(ROW()-56&gt;MAX($CO$57:$CO$95),"",INDEX(Lists!$ET$4:$ET$42,MATCH(ROW()-56,$CO$57:$CO$95,0)))</f>
        <v/>
      </c>
      <c r="CQ92">
        <f>CQ91+IF(AND(Lists!$EY$39&lt;&gt;"",ISNUMBER(SEARCH($AD$4,Lists!$EY$39))),1,0)</f>
        <v/>
      </c>
      <c r="CR92">
        <f>IF(ROW()-56&gt;MAX($CQ$57:$CQ$95),"",INDEX(Lists!$EY$4:$EY$42,MATCH(ROW()-56,$CQ$57:$CQ$95,0)))</f>
        <v/>
      </c>
      <c r="CS92">
        <f>CS91+IF(AND(Lists!$FD$39&lt;&gt;"",ISNUMBER(SEARCH($AE$4,Lists!$FD$39))),1,0)</f>
        <v/>
      </c>
      <c r="CT92">
        <f>IF(ROW()-56&gt;MAX($CS$57:$CS$95),"",INDEX(Lists!$FD$4:$FD$42,MATCH(ROW()-56,$CS$57:$CS$95,0)))</f>
        <v/>
      </c>
      <c r="CU92">
        <f>CU91+IF(AND(Lists!$FI$39&lt;&gt;"",ISNUMBER(SEARCH($AG$4,Lists!$FI$39))),1,0)</f>
        <v/>
      </c>
      <c r="CV92">
        <f>IF(ROW()-56&gt;MAX($CU$57:$CU$95),"",INDEX(Lists!$FI$4:$FI$42,MATCH(ROW()-56,$CU$57:$CU$95,0)))</f>
        <v/>
      </c>
      <c r="CW92">
        <f>CW91+IF(AND(Lists!$FN$39&lt;&gt;"",ISNUMBER(SEARCH($AH$4,Lists!$FN$39))),1,0)</f>
        <v/>
      </c>
      <c r="CX92">
        <f>IF(ROW()-56&gt;MAX($CW$57:$CW$95),"",INDEX(Lists!$FN$4:$FN$42,MATCH(ROW()-56,$CW$57:$CW$95,0)))</f>
        <v/>
      </c>
      <c r="CY92">
        <f>CY91+IF(AND(Lists!$FS$39&lt;&gt;"",ISNUMBER(SEARCH($AI$4,Lists!$FS$39))),1,0)</f>
        <v/>
      </c>
      <c r="CZ92">
        <f>IF(ROW()-56&gt;MAX($CY$57:$CY$95),"",INDEX(Lists!$FS$4:$FS$42,MATCH(ROW()-56,$CY$57:$CY$95,0)))</f>
        <v/>
      </c>
      <c r="DA92">
        <f>DA91+IF(AND(Lists!$FX$39&lt;&gt;"",ISNUMBER(SEARCH($AF$4,Lists!$FX$39))),1,0)</f>
        <v/>
      </c>
      <c r="DB92">
        <f>IF(ROW()-56&gt;MAX($DA$57:$DA$95),"",INDEX(Lists!$FX$4:$FX$42,MATCH(ROW()-56,$DA$57:$DA$95,0)))</f>
        <v/>
      </c>
      <c r="DG92">
        <f>IF($B$4="",1,IF($B$4="(blank)",--('Final Calculation Sheet'!$F$37=""),IF($B$4="(nonblank)",--('Final Calculation Sheet'!$F$37&lt;&gt;""),--ISNUMBER(SEARCH($B$4,'Final Calculation Sheet'!$F$37)))))</f>
        <v/>
      </c>
      <c r="DH92">
        <f>IF($C$4="",1,IF($C$4="(blank)",--('Final Calculation Sheet'!$G$37=""),IF($C$4="(nonblank)",--('Final Calculation Sheet'!$G$37&lt;&gt;""),--ISNUMBER(SEARCH($C$4,'Final Calculation Sheet'!$G$37)))))</f>
        <v/>
      </c>
      <c r="DI92">
        <f>IF($D$4="",1,IF($D$4="(blank)",--('Final Calculation Sheet'!$B$37=""),IF($D$4="(nonblank)",--('Final Calculation Sheet'!$B$37&lt;&gt;""),--ISNUMBER(SEARCH($D$4,'Final Calculation Sheet'!$B$37)))))</f>
        <v/>
      </c>
      <c r="DJ92">
        <f>IF($E$4="",1,IF($E$4="(blank)",--('Final Calculation Sheet'!$D$37=""),IF($E$4="(nonblank)",--('Final Calculation Sheet'!$D$37&lt;&gt;""),--ISNUMBER(SEARCH($E$4,'Final Calculation Sheet'!$D$37)))))</f>
        <v/>
      </c>
      <c r="DK92">
        <f>IF($F$4="",1,IF($F$4="(blank)",--('Final Calculation Sheet'!$A$37=""),IF($F$4="(nonblank)",--('Final Calculation Sheet'!$A$37&lt;&gt;""),--ISNUMBER(SEARCH($F$4,'Final Calculation Sheet'!$A$37)))))</f>
        <v/>
      </c>
      <c r="DL92">
        <f>IF($G$4="",1,IF($G$4="(blank)",--('Final Calculation Sheet'!$E$37=""),IF($G$4="(nonblank)",--('Final Calculation Sheet'!$E$37&lt;&gt;""),--ISNUMBER(SEARCH($G$4,'Final Calculation Sheet'!$E$37)))))</f>
        <v/>
      </c>
      <c r="DM92">
        <f>IF($H$4="",1,IF($H$4="(blank)",--('Final Calculation Sheet'!$C$37=""),IF($H$4="(nonblank)",--('Final Calculation Sheet'!$C$37&lt;&gt;""),--ISNUMBER(SEARCH($H$4,'Final Calculation Sheet'!$C$37)))))</f>
        <v/>
      </c>
      <c r="DN92">
        <f>IF($I$4="",1,IF($I$4="(blank)",--('Final Calculation Sheet'!$H$37=""),IF($I$4="(nonblank)",--('Final Calculation Sheet'!$H$37&lt;&gt;""),--ISNUMBER(SEARCH($I$4,'Final Calculation Sheet'!$H$37)))))</f>
        <v/>
      </c>
      <c r="DO92">
        <f>IF($J$4="",1,IF($J$4="(blank)",--('Final Calculation Sheet'!$I$37=""),IF($J$4="(nonblank)",--('Final Calculation Sheet'!$I$37&lt;&gt;""),--ISNUMBER(SEARCH($J$4,'Final Calculation Sheet'!$I$37)))))</f>
        <v/>
      </c>
      <c r="DP92">
        <f>IF($K$4="",1,IF($K$4="(blank)",--('Final Calculation Sheet'!$J$37=""),IF($K$4="(nonblank)",--('Final Calculation Sheet'!$J$37&lt;&gt;""),--ISNUMBER(SEARCH($K$4,'Final Calculation Sheet'!$J$37)))))</f>
        <v/>
      </c>
      <c r="DQ92">
        <f>IF($L$4="",1,IF($L$4="(blank)",--('Final Calculation Sheet'!$K$37=""),IF($L$4="(nonblank)",--('Final Calculation Sheet'!$K$37&lt;&gt;""),--ISNUMBER(SEARCH($L$4,'Final Calculation Sheet'!$K$37)))))</f>
        <v/>
      </c>
      <c r="DR92">
        <f>IF($M$4="",1,IF($M$4="(blank)",--('Final Calculation Sheet'!$L$37=""),IF($M$4="(nonblank)",--('Final Calculation Sheet'!$L$37&lt;&gt;""),--ISNUMBER(SEARCH($M$4,'Final Calculation Sheet'!$L$37)))))</f>
        <v/>
      </c>
      <c r="DS92">
        <f>IF($N$4="",1,IF($N$4="(blank)",--('Final Calculation Sheet'!$M$37=""),IF($N$4="(nonblank)",--('Final Calculation Sheet'!$M$37&lt;&gt;""),--ISNUMBER(SEARCH($N$4,'Final Calculation Sheet'!$M$37)))))</f>
        <v/>
      </c>
      <c r="DT92">
        <f>IF($O$4="",1,IF($O$4="(blank)",--('Final Calculation Sheet'!$N$37=""),IF($O$4="(nonblank)",--('Final Calculation Sheet'!$N$37&lt;&gt;""),--ISNUMBER(SEARCH($O$4,'Final Calculation Sheet'!$N$37)))))</f>
        <v/>
      </c>
      <c r="DU92">
        <f>IF($P$4="",1,IF($P$4="(blank)",--('Final Calculation Sheet'!$O$37=""),IF($P$4="(nonblank)",--('Final Calculation Sheet'!$O$37&lt;&gt;""),--ISNUMBER(SEARCH($P$4,'Final Calculation Sheet'!$O$37)))))</f>
        <v/>
      </c>
      <c r="DV92">
        <f>IF($Q$4="",1,IF($Q$4="(blank)",--('Final Calculation Sheet'!$P$37=""),IF($Q$4="(nonblank)",--('Final Calculation Sheet'!$P$37&lt;&gt;""),--ISNUMBER(SEARCH($Q$4,'Final Calculation Sheet'!$P$37)))))</f>
        <v/>
      </c>
      <c r="DW92">
        <f>IF($R$4="",1,IF($R$4="(blank)",--('Final Calculation Sheet'!$Q$37=""),IF($R$4="(nonblank)",--('Final Calculation Sheet'!$Q$37&lt;&gt;""),--ISNUMBER(SEARCH($R$4,'Final Calculation Sheet'!$Q$37)))))</f>
        <v/>
      </c>
      <c r="DX92">
        <f>IF($S$4="",1,IF($S$4="(blank)",--('Final Calculation Sheet'!$R$37=""),IF($S$4="(nonblank)",--('Final Calculation Sheet'!$R$37&lt;&gt;""),--ISNUMBER(SEARCH($S$4,'Final Calculation Sheet'!$R$37)))))</f>
        <v/>
      </c>
      <c r="DY92">
        <f>IF($T$4="",1,IF($T$4="(blank)",--('Final Calculation Sheet'!$S$37=""),IF($T$4="(nonblank)",--('Final Calculation Sheet'!$S$37&lt;&gt;""),--ISNUMBER(SEARCH($T$4,'Final Calculation Sheet'!$S$37)))))</f>
        <v/>
      </c>
      <c r="DZ92">
        <f>IF($U$4="",1,IF($U$4="(blank)",--('Final Calculation Sheet'!$T$37=""),IF($U$4="(nonblank)",--('Final Calculation Sheet'!$T$37&lt;&gt;""),--ISNUMBER(SEARCH($U$4,'Final Calculation Sheet'!$T$37)))))</f>
        <v/>
      </c>
      <c r="EA92">
        <f>IF($V$4="",1,IF($V$4="(blank)",--('Final Calculation Sheet'!$U$37=""),IF($V$4="(nonblank)",--('Final Calculation Sheet'!$U$37&lt;&gt;""),--ISNUMBER(SEARCH($V$4,'Final Calculation Sheet'!$U$37)))))</f>
        <v/>
      </c>
      <c r="EB92">
        <f>IF($W$4="",1,IF($W$4="(blank)",--('Final Calculation Sheet'!$V$37=""),IF($W$4="(nonblank)",--('Final Calculation Sheet'!$V$37&lt;&gt;""),--ISNUMBER(SEARCH($W$4,'Final Calculation Sheet'!$V$37)))))</f>
        <v/>
      </c>
      <c r="EC92">
        <f>IF($X$4="",1,IF($X$4="(blank)",--('Final Calculation Sheet'!$W$37=""),IF($X$4="(nonblank)",--('Final Calculation Sheet'!$W$37&lt;&gt;""),--ISNUMBER(SEARCH($X$4,'Final Calculation Sheet'!$W$37)))))</f>
        <v/>
      </c>
      <c r="ED92">
        <f>IF($Y$4="",1,IF($Y$4="(blank)",--('Final Calculation Sheet'!$X$37=""),IF($Y$4="(nonblank)",--('Final Calculation Sheet'!$X$37&lt;&gt;""),--ISNUMBER(SEARCH($Y$4,'Final Calculation Sheet'!$X$37)))))</f>
        <v/>
      </c>
      <c r="EE92">
        <f>IF($Z$4="",1,IF($Z$4="(blank)",--('Final Calculation Sheet'!$Y$37=""),IF($Z$4="(nonblank)",--('Final Calculation Sheet'!$Y$37&lt;&gt;""),--ISNUMBER(SEARCH($Z$4,'Final Calculation Sheet'!$Y$37)))))</f>
        <v/>
      </c>
      <c r="EF92">
        <f>IF($AA$4="",1,IF($AA$4="(blank)",--('Final Calculation Sheet'!$Z$37=""),IF($AA$4="(nonblank)",--('Final Calculation Sheet'!$Z$37&lt;&gt;""),--ISNUMBER(SEARCH($AA$4,'Final Calculation Sheet'!$Z$37)))))</f>
        <v/>
      </c>
      <c r="EG92">
        <f>IF($AB$4="",1,IF($AB$4="(blank)",--('Final Calculation Sheet'!$AA$37=""),IF($AB$4="(nonblank)",--('Final Calculation Sheet'!$AA$37&lt;&gt;""),--ISNUMBER(SEARCH($AB$4,'Final Calculation Sheet'!$AA$37)))))</f>
        <v/>
      </c>
      <c r="EH92">
        <f>IF($AC$4="",1,IF($AC$4="(blank)",--('Final Calculation Sheet'!$AB$37=""),IF($AC$4="(nonblank)",--('Final Calculation Sheet'!$AB$37&lt;&gt;""),--ISNUMBER(SEARCH($AC$4,'Final Calculation Sheet'!$AB$37)))))</f>
        <v/>
      </c>
      <c r="EI92">
        <f>IF($AD$4="",1,IF($AD$4="(blank)",--('Final Calculation Sheet'!$AC$37=""),IF($AD$4="(nonblank)",--('Final Calculation Sheet'!$AC$37&lt;&gt;""),--ISNUMBER(SEARCH($AD$4,'Final Calculation Sheet'!$AC$37)))))</f>
        <v/>
      </c>
      <c r="EJ92">
        <f>IF($AE$4="",1,IF($AE$4="(blank)",--('Final Calculation Sheet'!$AD$37=""),IF($AE$4="(nonblank)",--('Final Calculation Sheet'!$AD$37&lt;&gt;""),--ISNUMBER(SEARCH($AE$4,'Final Calculation Sheet'!$AD$37)))))</f>
        <v/>
      </c>
      <c r="EK92">
        <f>IF($AF$4="",1,IF($AF$4="(blank)",--(IF('Final Calculation Sheet'!$AD$37&lt;=5,"SETTLED","OUTSTANDING")=""),IF($AF$4="(nonblank)",--(IF('Final Calculation Sheet'!$AD$37&lt;=5,"SETTLED","OUTSTANDING")&lt;&gt;""),--ISNUMBER(SEARCH($AF$4,IF('Final Calculation Sheet'!$AD$37&lt;=5,"SETTLED","OUTSTANDING"))))))</f>
        <v/>
      </c>
      <c r="EL92">
        <f>IF($AG$4="",1,IF($AG$4="(blank)",--('Final Calculation Sheet'!$AF$37=""),IF($AG$4="(nonblank)",--('Final Calculation Sheet'!$AF$37&lt;&gt;""),--ISNUMBER(SEARCH($AG$4,'Final Calculation Sheet'!$AF$37)))))</f>
        <v/>
      </c>
      <c r="EM92">
        <f>IF($AH$4="",1,IF($AH$4="(blank)",--('Final Calculation Sheet'!$AG$37=""),IF($AH$4="(nonblank)",--('Final Calculation Sheet'!$AG$37&lt;&gt;""),--ISNUMBER(SEARCH($AH$4,'Final Calculation Sheet'!$AG$37)))))</f>
        <v/>
      </c>
      <c r="EN92">
        <f>IF($AI$4="",1,IF($AI$4="(blank)",--('Final Calculation Sheet'!$AH$37=""),IF($AI$4="(nonblank)",--('Final Calculation Sheet'!$AH$37&lt;&gt;""),--ISNUMBER(SEARCH($AI$4,'Final Calculation Sheet'!$AH$37)))))</f>
        <v/>
      </c>
    </row>
    <row r="93">
      <c r="AM93">
        <f>AM92+IF(AND(Lists!$O$40&lt;&gt;"",ISNUMBER(SEARCH($B$4,Lists!$O$40))),1,0)</f>
        <v/>
      </c>
      <c r="AN93">
        <f>IF(ROW()-56&gt;MAX($AM$57:$AM$95),"",INDEX(Lists!$O$4:$O$42,MATCH(ROW()-56,$AM$57:$AM$95,0)))</f>
        <v/>
      </c>
      <c r="AO93">
        <f>AO92+IF(AND(Lists!$T$40&lt;&gt;"",ISNUMBER(SEARCH($C$4,Lists!$T$40))),1,0)</f>
        <v/>
      </c>
      <c r="AP93">
        <f>IF(ROW()-56&gt;MAX($AO$57:$AO$95),"",INDEX(Lists!$T$4:$T$42,MATCH(ROW()-56,$AO$57:$AO$95,0)))</f>
        <v/>
      </c>
      <c r="AQ93">
        <f>AQ92+IF(AND(Lists!$Y$40&lt;&gt;"",ISNUMBER(SEARCH($D$4,Lists!$Y$40))),1,0)</f>
        <v/>
      </c>
      <c r="AR93">
        <f>IF(ROW()-56&gt;MAX($AQ$57:$AQ$95),"",INDEX(Lists!$Y$4:$Y$42,MATCH(ROW()-56,$AQ$57:$AQ$95,0)))</f>
        <v/>
      </c>
      <c r="AS93">
        <f>AS92+IF(AND(Lists!$AD$40&lt;&gt;"",ISNUMBER(SEARCH($E$4,Lists!$AD$40))),1,0)</f>
        <v/>
      </c>
      <c r="AT93">
        <f>IF(ROW()-56&gt;MAX($AS$57:$AS$95),"",INDEX(Lists!$AD$4:$AD$42,MATCH(ROW()-56,$AS$57:$AS$95,0)))</f>
        <v/>
      </c>
      <c r="AU93">
        <f>AU92+IF(AND(Lists!$AI$40&lt;&gt;"",ISNUMBER(SEARCH($F$4,Lists!$AI$40))),1,0)</f>
        <v/>
      </c>
      <c r="AV93">
        <f>IF(ROW()-56&gt;MAX($AU$57:$AU$95),"",INDEX(Lists!$AI$4:$AI$42,MATCH(ROW()-56,$AU$57:$AU$95,0)))</f>
        <v/>
      </c>
      <c r="AW93">
        <f>AW92+IF(AND(Lists!$AN$40&lt;&gt;"",ISNUMBER(SEARCH($G$4,Lists!$AN$40))),1,0)</f>
        <v/>
      </c>
      <c r="AX93">
        <f>IF(ROW()-56&gt;MAX($AW$57:$AW$95),"",INDEX(Lists!$AN$4:$AN$42,MATCH(ROW()-56,$AW$57:$AW$95,0)))</f>
        <v/>
      </c>
      <c r="AY93">
        <f>AY92+IF(AND(Lists!$AS$40&lt;&gt;"",ISNUMBER(SEARCH($H$4,Lists!$AS$40))),1,0)</f>
        <v/>
      </c>
      <c r="AZ93">
        <f>IF(ROW()-56&gt;MAX($AY$57:$AY$95),"",INDEX(Lists!$AS$4:$AS$42,MATCH(ROW()-56,$AY$57:$AY$95,0)))</f>
        <v/>
      </c>
      <c r="BA93">
        <f>BA92+IF(AND(Lists!$AX$40&lt;&gt;"",ISNUMBER(SEARCH($I$4,Lists!$AX$40))),1,0)</f>
        <v/>
      </c>
      <c r="BB93">
        <f>IF(ROW()-56&gt;MAX($BA$57:$BA$95),"",INDEX(Lists!$AX$4:$AX$42,MATCH(ROW()-56,$BA$57:$BA$95,0)))</f>
        <v/>
      </c>
      <c r="BC93">
        <f>BC92+IF(AND(Lists!$BC$40&lt;&gt;"",ISNUMBER(SEARCH($J$4,Lists!$BC$40))),1,0)</f>
        <v/>
      </c>
      <c r="BD93">
        <f>IF(ROW()-56&gt;MAX($BC$57:$BC$95),"",INDEX(Lists!$BC$4:$BC$42,MATCH(ROW()-56,$BC$57:$BC$95,0)))</f>
        <v/>
      </c>
      <c r="BE93">
        <f>BE92+IF(AND(Lists!$BH$40&lt;&gt;"",ISNUMBER(SEARCH($K$4,Lists!$BH$40))),1,0)</f>
        <v/>
      </c>
      <c r="BF93">
        <f>IF(ROW()-56&gt;MAX($BE$57:$BE$95),"",INDEX(Lists!$BH$4:$BH$42,MATCH(ROW()-56,$BE$57:$BE$95,0)))</f>
        <v/>
      </c>
      <c r="BG93">
        <f>BG92+IF(AND(Lists!$BM$40&lt;&gt;"",ISNUMBER(SEARCH($L$4,Lists!$BM$40))),1,0)</f>
        <v/>
      </c>
      <c r="BH93">
        <f>IF(ROW()-56&gt;MAX($BG$57:$BG$95),"",INDEX(Lists!$BM$4:$BM$42,MATCH(ROW()-56,$BG$57:$BG$95,0)))</f>
        <v/>
      </c>
      <c r="BI93">
        <f>BI92+IF(AND(Lists!$BR$40&lt;&gt;"",ISNUMBER(SEARCH($M$4,Lists!$BR$40))),1,0)</f>
        <v/>
      </c>
      <c r="BJ93">
        <f>IF(ROW()-56&gt;MAX($BI$57:$BI$95),"",INDEX(Lists!$BR$4:$BR$42,MATCH(ROW()-56,$BI$57:$BI$95,0)))</f>
        <v/>
      </c>
      <c r="BK93">
        <f>BK92+IF(AND(Lists!$BW$40&lt;&gt;"",ISNUMBER(SEARCH($N$4,Lists!$BW$40))),1,0)</f>
        <v/>
      </c>
      <c r="BL93">
        <f>IF(ROW()-56&gt;MAX($BK$57:$BK$95),"",INDEX(Lists!$BW$4:$BW$42,MATCH(ROW()-56,$BK$57:$BK$95,0)))</f>
        <v/>
      </c>
      <c r="BM93">
        <f>BM92+IF(AND(Lists!$CB$40&lt;&gt;"",ISNUMBER(SEARCH($O$4,Lists!$CB$40))),1,0)</f>
        <v/>
      </c>
      <c r="BN93">
        <f>IF(ROW()-56&gt;MAX($BM$57:$BM$95),"",INDEX(Lists!$CB$4:$CB$42,MATCH(ROW()-56,$BM$57:$BM$95,0)))</f>
        <v/>
      </c>
      <c r="BO93">
        <f>BO92+IF(AND(Lists!$CG$40&lt;&gt;"",ISNUMBER(SEARCH($P$4,Lists!$CG$40))),1,0)</f>
        <v/>
      </c>
      <c r="BP93">
        <f>IF(ROW()-56&gt;MAX($BO$57:$BO$95),"",INDEX(Lists!$CG$4:$CG$42,MATCH(ROW()-56,$BO$57:$BO$95,0)))</f>
        <v/>
      </c>
      <c r="BQ93">
        <f>BQ92+IF(AND(Lists!$CL$40&lt;&gt;"",ISNUMBER(SEARCH($Q$4,Lists!$CL$40))),1,0)</f>
        <v/>
      </c>
      <c r="BR93">
        <f>IF(ROW()-56&gt;MAX($BQ$57:$BQ$95),"",INDEX(Lists!$CL$4:$CL$42,MATCH(ROW()-56,$BQ$57:$BQ$95,0)))</f>
        <v/>
      </c>
      <c r="BS93">
        <f>BS92+IF(AND(Lists!$CQ$40&lt;&gt;"",ISNUMBER(SEARCH($R$4,Lists!$CQ$40))),1,0)</f>
        <v/>
      </c>
      <c r="BT93">
        <f>IF(ROW()-56&gt;MAX($BS$57:$BS$95),"",INDEX(Lists!$CQ$4:$CQ$42,MATCH(ROW()-56,$BS$57:$BS$95,0)))</f>
        <v/>
      </c>
      <c r="BU93">
        <f>BU92+IF(AND(Lists!$CV$40&lt;&gt;"",ISNUMBER(SEARCH($S$4,Lists!$CV$40))),1,0)</f>
        <v/>
      </c>
      <c r="BV93">
        <f>IF(ROW()-56&gt;MAX($BU$57:$BU$95),"",INDEX(Lists!$CV$4:$CV$42,MATCH(ROW()-56,$BU$57:$BU$95,0)))</f>
        <v/>
      </c>
      <c r="BW93">
        <f>BW92+IF(AND(Lists!$DA$40&lt;&gt;"",ISNUMBER(SEARCH($T$4,Lists!$DA$40))),1,0)</f>
        <v/>
      </c>
      <c r="BX93">
        <f>IF(ROW()-56&gt;MAX($BW$57:$BW$95),"",INDEX(Lists!$DA$4:$DA$42,MATCH(ROW()-56,$BW$57:$BW$95,0)))</f>
        <v/>
      </c>
      <c r="BY93">
        <f>BY92+IF(AND(Lists!$DF$40&lt;&gt;"",ISNUMBER(SEARCH($U$4,Lists!$DF$40))),1,0)</f>
        <v/>
      </c>
      <c r="BZ93">
        <f>IF(ROW()-56&gt;MAX($BY$57:$BY$95),"",INDEX(Lists!$DF$4:$DF$42,MATCH(ROW()-56,$BY$57:$BY$95,0)))</f>
        <v/>
      </c>
      <c r="CA93">
        <f>CA92+IF(AND(Lists!$DK$40&lt;&gt;"",ISNUMBER(SEARCH($V$4,Lists!$DK$40))),1,0)</f>
        <v/>
      </c>
      <c r="CB93">
        <f>IF(ROW()-56&gt;MAX($CA$57:$CA$95),"",INDEX(Lists!$DK$4:$DK$42,MATCH(ROW()-56,$CA$57:$CA$95,0)))</f>
        <v/>
      </c>
      <c r="CC93">
        <f>CC92+IF(AND(Lists!$DP$40&lt;&gt;"",ISNUMBER(SEARCH($W$4,Lists!$DP$40))),1,0)</f>
        <v/>
      </c>
      <c r="CD93">
        <f>IF(ROW()-56&gt;MAX($CC$57:$CC$95),"",INDEX(Lists!$DP$4:$DP$42,MATCH(ROW()-56,$CC$57:$CC$95,0)))</f>
        <v/>
      </c>
      <c r="CE93">
        <f>CE92+IF(AND(Lists!$DU$40&lt;&gt;"",ISNUMBER(SEARCH($X$4,Lists!$DU$40))),1,0)</f>
        <v/>
      </c>
      <c r="CF93">
        <f>IF(ROW()-56&gt;MAX($CE$57:$CE$95),"",INDEX(Lists!$DU$4:$DU$42,MATCH(ROW()-56,$CE$57:$CE$95,0)))</f>
        <v/>
      </c>
      <c r="CG93">
        <f>CG92+IF(AND(Lists!$DZ$40&lt;&gt;"",ISNUMBER(SEARCH($Y$4,Lists!$DZ$40))),1,0)</f>
        <v/>
      </c>
      <c r="CH93">
        <f>IF(ROW()-56&gt;MAX($CG$57:$CG$95),"",INDEX(Lists!$DZ$4:$DZ$42,MATCH(ROW()-56,$CG$57:$CG$95,0)))</f>
        <v/>
      </c>
      <c r="CI93">
        <f>CI92+IF(AND(Lists!$EE$40&lt;&gt;"",ISNUMBER(SEARCH($Z$4,Lists!$EE$40))),1,0)</f>
        <v/>
      </c>
      <c r="CJ93">
        <f>IF(ROW()-56&gt;MAX($CI$57:$CI$95),"",INDEX(Lists!$EE$4:$EE$42,MATCH(ROW()-56,$CI$57:$CI$95,0)))</f>
        <v/>
      </c>
      <c r="CK93">
        <f>CK92+IF(AND(Lists!$EJ$40&lt;&gt;"",ISNUMBER(SEARCH($AA$4,Lists!$EJ$40))),1,0)</f>
        <v/>
      </c>
      <c r="CL93">
        <f>IF(ROW()-56&gt;MAX($CK$57:$CK$95),"",INDEX(Lists!$EJ$4:$EJ$42,MATCH(ROW()-56,$CK$57:$CK$95,0)))</f>
        <v/>
      </c>
      <c r="CM93">
        <f>CM92+IF(AND(Lists!$EO$40&lt;&gt;"",ISNUMBER(SEARCH($AB$4,Lists!$EO$40))),1,0)</f>
        <v/>
      </c>
      <c r="CN93">
        <f>IF(ROW()-56&gt;MAX($CM$57:$CM$95),"",INDEX(Lists!$EO$4:$EO$42,MATCH(ROW()-56,$CM$57:$CM$95,0)))</f>
        <v/>
      </c>
      <c r="CO93">
        <f>CO92+IF(AND(Lists!$ET$40&lt;&gt;"",ISNUMBER(SEARCH($AC$4,Lists!$ET$40))),1,0)</f>
        <v/>
      </c>
      <c r="CP93">
        <f>IF(ROW()-56&gt;MAX($CO$57:$CO$95),"",INDEX(Lists!$ET$4:$ET$42,MATCH(ROW()-56,$CO$57:$CO$95,0)))</f>
        <v/>
      </c>
      <c r="CQ93">
        <f>CQ92+IF(AND(Lists!$EY$40&lt;&gt;"",ISNUMBER(SEARCH($AD$4,Lists!$EY$40))),1,0)</f>
        <v/>
      </c>
      <c r="CR93">
        <f>IF(ROW()-56&gt;MAX($CQ$57:$CQ$95),"",INDEX(Lists!$EY$4:$EY$42,MATCH(ROW()-56,$CQ$57:$CQ$95,0)))</f>
        <v/>
      </c>
      <c r="CS93">
        <f>CS92+IF(AND(Lists!$FD$40&lt;&gt;"",ISNUMBER(SEARCH($AE$4,Lists!$FD$40))),1,0)</f>
        <v/>
      </c>
      <c r="CT93">
        <f>IF(ROW()-56&gt;MAX($CS$57:$CS$95),"",INDEX(Lists!$FD$4:$FD$42,MATCH(ROW()-56,$CS$57:$CS$95,0)))</f>
        <v/>
      </c>
      <c r="CU93">
        <f>CU92+IF(AND(Lists!$FI$40&lt;&gt;"",ISNUMBER(SEARCH($AG$4,Lists!$FI$40))),1,0)</f>
        <v/>
      </c>
      <c r="CV93">
        <f>IF(ROW()-56&gt;MAX($CU$57:$CU$95),"",INDEX(Lists!$FI$4:$FI$42,MATCH(ROW()-56,$CU$57:$CU$95,0)))</f>
        <v/>
      </c>
      <c r="CW93">
        <f>CW92+IF(AND(Lists!$FN$40&lt;&gt;"",ISNUMBER(SEARCH($AH$4,Lists!$FN$40))),1,0)</f>
        <v/>
      </c>
      <c r="CX93">
        <f>IF(ROW()-56&gt;MAX($CW$57:$CW$95),"",INDEX(Lists!$FN$4:$FN$42,MATCH(ROW()-56,$CW$57:$CW$95,0)))</f>
        <v/>
      </c>
      <c r="CY93">
        <f>CY92+IF(AND(Lists!$FS$40&lt;&gt;"",ISNUMBER(SEARCH($AI$4,Lists!$FS$40))),1,0)</f>
        <v/>
      </c>
      <c r="CZ93">
        <f>IF(ROW()-56&gt;MAX($CY$57:$CY$95),"",INDEX(Lists!$FS$4:$FS$42,MATCH(ROW()-56,$CY$57:$CY$95,0)))</f>
        <v/>
      </c>
      <c r="DA93">
        <f>DA92+IF(AND(Lists!$FX$40&lt;&gt;"",ISNUMBER(SEARCH($AF$4,Lists!$FX$40))),1,0)</f>
        <v/>
      </c>
      <c r="DB93">
        <f>IF(ROW()-56&gt;MAX($DA$57:$DA$95),"",INDEX(Lists!$FX$4:$FX$42,MATCH(ROW()-56,$DA$57:$DA$95,0)))</f>
        <v/>
      </c>
      <c r="DG93">
        <f>IF($B$4="",1,IF($B$4="(blank)",--('Final Calculation Sheet'!$F$38=""),IF($B$4="(nonblank)",--('Final Calculation Sheet'!$F$38&lt;&gt;""),--ISNUMBER(SEARCH($B$4,'Final Calculation Sheet'!$F$38)))))</f>
        <v/>
      </c>
      <c r="DH93">
        <f>IF($C$4="",1,IF($C$4="(blank)",--('Final Calculation Sheet'!$G$38=""),IF($C$4="(nonblank)",--('Final Calculation Sheet'!$G$38&lt;&gt;""),--ISNUMBER(SEARCH($C$4,'Final Calculation Sheet'!$G$38)))))</f>
        <v/>
      </c>
      <c r="DI93">
        <f>IF($D$4="",1,IF($D$4="(blank)",--('Final Calculation Sheet'!$B$38=""),IF($D$4="(nonblank)",--('Final Calculation Sheet'!$B$38&lt;&gt;""),--ISNUMBER(SEARCH($D$4,'Final Calculation Sheet'!$B$38)))))</f>
        <v/>
      </c>
      <c r="DJ93">
        <f>IF($E$4="",1,IF($E$4="(blank)",--('Final Calculation Sheet'!$D$38=""),IF($E$4="(nonblank)",--('Final Calculation Sheet'!$D$38&lt;&gt;""),--ISNUMBER(SEARCH($E$4,'Final Calculation Sheet'!$D$38)))))</f>
        <v/>
      </c>
      <c r="DK93">
        <f>IF($F$4="",1,IF($F$4="(blank)",--('Final Calculation Sheet'!$A$38=""),IF($F$4="(nonblank)",--('Final Calculation Sheet'!$A$38&lt;&gt;""),--ISNUMBER(SEARCH($F$4,'Final Calculation Sheet'!$A$38)))))</f>
        <v/>
      </c>
      <c r="DL93">
        <f>IF($G$4="",1,IF($G$4="(blank)",--('Final Calculation Sheet'!$E$38=""),IF($G$4="(nonblank)",--('Final Calculation Sheet'!$E$38&lt;&gt;""),--ISNUMBER(SEARCH($G$4,'Final Calculation Sheet'!$E$38)))))</f>
        <v/>
      </c>
      <c r="DM93">
        <f>IF($H$4="",1,IF($H$4="(blank)",--('Final Calculation Sheet'!$C$38=""),IF($H$4="(nonblank)",--('Final Calculation Sheet'!$C$38&lt;&gt;""),--ISNUMBER(SEARCH($H$4,'Final Calculation Sheet'!$C$38)))))</f>
        <v/>
      </c>
      <c r="DN93">
        <f>IF($I$4="",1,IF($I$4="(blank)",--('Final Calculation Sheet'!$H$38=""),IF($I$4="(nonblank)",--('Final Calculation Sheet'!$H$38&lt;&gt;""),--ISNUMBER(SEARCH($I$4,'Final Calculation Sheet'!$H$38)))))</f>
        <v/>
      </c>
      <c r="DO93">
        <f>IF($J$4="",1,IF($J$4="(blank)",--('Final Calculation Sheet'!$I$38=""),IF($J$4="(nonblank)",--('Final Calculation Sheet'!$I$38&lt;&gt;""),--ISNUMBER(SEARCH($J$4,'Final Calculation Sheet'!$I$38)))))</f>
        <v/>
      </c>
      <c r="DP93">
        <f>IF($K$4="",1,IF($K$4="(blank)",--('Final Calculation Sheet'!$J$38=""),IF($K$4="(nonblank)",--('Final Calculation Sheet'!$J$38&lt;&gt;""),--ISNUMBER(SEARCH($K$4,'Final Calculation Sheet'!$J$38)))))</f>
        <v/>
      </c>
      <c r="DQ93">
        <f>IF($L$4="",1,IF($L$4="(blank)",--('Final Calculation Sheet'!$K$38=""),IF($L$4="(nonblank)",--('Final Calculation Sheet'!$K$38&lt;&gt;""),--ISNUMBER(SEARCH($L$4,'Final Calculation Sheet'!$K$38)))))</f>
        <v/>
      </c>
      <c r="DR93">
        <f>IF($M$4="",1,IF($M$4="(blank)",--('Final Calculation Sheet'!$L$38=""),IF($M$4="(nonblank)",--('Final Calculation Sheet'!$L$38&lt;&gt;""),--ISNUMBER(SEARCH($M$4,'Final Calculation Sheet'!$L$38)))))</f>
        <v/>
      </c>
      <c r="DS93">
        <f>IF($N$4="",1,IF($N$4="(blank)",--('Final Calculation Sheet'!$M$38=""),IF($N$4="(nonblank)",--('Final Calculation Sheet'!$M$38&lt;&gt;""),--ISNUMBER(SEARCH($N$4,'Final Calculation Sheet'!$M$38)))))</f>
        <v/>
      </c>
      <c r="DT93">
        <f>IF($O$4="",1,IF($O$4="(blank)",--('Final Calculation Sheet'!$N$38=""),IF($O$4="(nonblank)",--('Final Calculation Sheet'!$N$38&lt;&gt;""),--ISNUMBER(SEARCH($O$4,'Final Calculation Sheet'!$N$38)))))</f>
        <v/>
      </c>
      <c r="DU93">
        <f>IF($P$4="",1,IF($P$4="(blank)",--('Final Calculation Sheet'!$O$38=""),IF($P$4="(nonblank)",--('Final Calculation Sheet'!$O$38&lt;&gt;""),--ISNUMBER(SEARCH($P$4,'Final Calculation Sheet'!$O$38)))))</f>
        <v/>
      </c>
      <c r="DV93">
        <f>IF($Q$4="",1,IF($Q$4="(blank)",--('Final Calculation Sheet'!$P$38=""),IF($Q$4="(nonblank)",--('Final Calculation Sheet'!$P$38&lt;&gt;""),--ISNUMBER(SEARCH($Q$4,'Final Calculation Sheet'!$P$38)))))</f>
        <v/>
      </c>
      <c r="DW93">
        <f>IF($R$4="",1,IF($R$4="(blank)",--('Final Calculation Sheet'!$Q$38=""),IF($R$4="(nonblank)",--('Final Calculation Sheet'!$Q$38&lt;&gt;""),--ISNUMBER(SEARCH($R$4,'Final Calculation Sheet'!$Q$38)))))</f>
        <v/>
      </c>
      <c r="DX93">
        <f>IF($S$4="",1,IF($S$4="(blank)",--('Final Calculation Sheet'!$R$38=""),IF($S$4="(nonblank)",--('Final Calculation Sheet'!$R$38&lt;&gt;""),--ISNUMBER(SEARCH($S$4,'Final Calculation Sheet'!$R$38)))))</f>
        <v/>
      </c>
      <c r="DY93">
        <f>IF($T$4="",1,IF($T$4="(blank)",--('Final Calculation Sheet'!$S$38=""),IF($T$4="(nonblank)",--('Final Calculation Sheet'!$S$38&lt;&gt;""),--ISNUMBER(SEARCH($T$4,'Final Calculation Sheet'!$S$38)))))</f>
        <v/>
      </c>
      <c r="DZ93">
        <f>IF($U$4="",1,IF($U$4="(blank)",--('Final Calculation Sheet'!$T$38=""),IF($U$4="(nonblank)",--('Final Calculation Sheet'!$T$38&lt;&gt;""),--ISNUMBER(SEARCH($U$4,'Final Calculation Sheet'!$T$38)))))</f>
        <v/>
      </c>
      <c r="EA93">
        <f>IF($V$4="",1,IF($V$4="(blank)",--('Final Calculation Sheet'!$U$38=""),IF($V$4="(nonblank)",--('Final Calculation Sheet'!$U$38&lt;&gt;""),--ISNUMBER(SEARCH($V$4,'Final Calculation Sheet'!$U$38)))))</f>
        <v/>
      </c>
      <c r="EB93">
        <f>IF($W$4="",1,IF($W$4="(blank)",--('Final Calculation Sheet'!$V$38=""),IF($W$4="(nonblank)",--('Final Calculation Sheet'!$V$38&lt;&gt;""),--ISNUMBER(SEARCH($W$4,'Final Calculation Sheet'!$V$38)))))</f>
        <v/>
      </c>
      <c r="EC93">
        <f>IF($X$4="",1,IF($X$4="(blank)",--('Final Calculation Sheet'!$W$38=""),IF($X$4="(nonblank)",--('Final Calculation Sheet'!$W$38&lt;&gt;""),--ISNUMBER(SEARCH($X$4,'Final Calculation Sheet'!$W$38)))))</f>
        <v/>
      </c>
      <c r="ED93">
        <f>IF($Y$4="",1,IF($Y$4="(blank)",--('Final Calculation Sheet'!$X$38=""),IF($Y$4="(nonblank)",--('Final Calculation Sheet'!$X$38&lt;&gt;""),--ISNUMBER(SEARCH($Y$4,'Final Calculation Sheet'!$X$38)))))</f>
        <v/>
      </c>
      <c r="EE93">
        <f>IF($Z$4="",1,IF($Z$4="(blank)",--('Final Calculation Sheet'!$Y$38=""),IF($Z$4="(nonblank)",--('Final Calculation Sheet'!$Y$38&lt;&gt;""),--ISNUMBER(SEARCH($Z$4,'Final Calculation Sheet'!$Y$38)))))</f>
        <v/>
      </c>
      <c r="EF93">
        <f>IF($AA$4="",1,IF($AA$4="(blank)",--('Final Calculation Sheet'!$Z$38=""),IF($AA$4="(nonblank)",--('Final Calculation Sheet'!$Z$38&lt;&gt;""),--ISNUMBER(SEARCH($AA$4,'Final Calculation Sheet'!$Z$38)))))</f>
        <v/>
      </c>
      <c r="EG93">
        <f>IF($AB$4="",1,IF($AB$4="(blank)",--('Final Calculation Sheet'!$AA$38=""),IF($AB$4="(nonblank)",--('Final Calculation Sheet'!$AA$38&lt;&gt;""),--ISNUMBER(SEARCH($AB$4,'Final Calculation Sheet'!$AA$38)))))</f>
        <v/>
      </c>
      <c r="EH93">
        <f>IF($AC$4="",1,IF($AC$4="(blank)",--('Final Calculation Sheet'!$AB$38=""),IF($AC$4="(nonblank)",--('Final Calculation Sheet'!$AB$38&lt;&gt;""),--ISNUMBER(SEARCH($AC$4,'Final Calculation Sheet'!$AB$38)))))</f>
        <v/>
      </c>
      <c r="EI93">
        <f>IF($AD$4="",1,IF($AD$4="(blank)",--('Final Calculation Sheet'!$AC$38=""),IF($AD$4="(nonblank)",--('Final Calculation Sheet'!$AC$38&lt;&gt;""),--ISNUMBER(SEARCH($AD$4,'Final Calculation Sheet'!$AC$38)))))</f>
        <v/>
      </c>
      <c r="EJ93">
        <f>IF($AE$4="",1,IF($AE$4="(blank)",--('Final Calculation Sheet'!$AD$38=""),IF($AE$4="(nonblank)",--('Final Calculation Sheet'!$AD$38&lt;&gt;""),--ISNUMBER(SEARCH($AE$4,'Final Calculation Sheet'!$AD$38)))))</f>
        <v/>
      </c>
      <c r="EK93">
        <f>IF($AF$4="",1,IF($AF$4="(blank)",--(IF('Final Calculation Sheet'!$AD$38&lt;=5,"SETTLED","OUTSTANDING")=""),IF($AF$4="(nonblank)",--(IF('Final Calculation Sheet'!$AD$38&lt;=5,"SETTLED","OUTSTANDING")&lt;&gt;""),--ISNUMBER(SEARCH($AF$4,IF('Final Calculation Sheet'!$AD$38&lt;=5,"SETTLED","OUTSTANDING"))))))</f>
        <v/>
      </c>
      <c r="EL93">
        <f>IF($AG$4="",1,IF($AG$4="(blank)",--('Final Calculation Sheet'!$AF$38=""),IF($AG$4="(nonblank)",--('Final Calculation Sheet'!$AF$38&lt;&gt;""),--ISNUMBER(SEARCH($AG$4,'Final Calculation Sheet'!$AF$38)))))</f>
        <v/>
      </c>
      <c r="EM93">
        <f>IF($AH$4="",1,IF($AH$4="(blank)",--('Final Calculation Sheet'!$AG$38=""),IF($AH$4="(nonblank)",--('Final Calculation Sheet'!$AG$38&lt;&gt;""),--ISNUMBER(SEARCH($AH$4,'Final Calculation Sheet'!$AG$38)))))</f>
        <v/>
      </c>
      <c r="EN93">
        <f>IF($AI$4="",1,IF($AI$4="(blank)",--('Final Calculation Sheet'!$AH$38=""),IF($AI$4="(nonblank)",--('Final Calculation Sheet'!$AH$38&lt;&gt;""),--ISNUMBER(SEARCH($AI$4,'Final Calculation Sheet'!$AH$38)))))</f>
        <v/>
      </c>
    </row>
    <row r="94">
      <c r="AM94">
        <f>AM93+IF(AND(Lists!$O$41&lt;&gt;"",ISNUMBER(SEARCH($B$4,Lists!$O$41))),1,0)</f>
        <v/>
      </c>
      <c r="AN94">
        <f>IF(ROW()-56&gt;MAX($AM$57:$AM$95),"",INDEX(Lists!$O$4:$O$42,MATCH(ROW()-56,$AM$57:$AM$95,0)))</f>
        <v/>
      </c>
      <c r="AO94">
        <f>AO93+IF(AND(Lists!$T$41&lt;&gt;"",ISNUMBER(SEARCH($C$4,Lists!$T$41))),1,0)</f>
        <v/>
      </c>
      <c r="AP94">
        <f>IF(ROW()-56&gt;MAX($AO$57:$AO$95),"",INDEX(Lists!$T$4:$T$42,MATCH(ROW()-56,$AO$57:$AO$95,0)))</f>
        <v/>
      </c>
      <c r="AQ94">
        <f>AQ93+IF(AND(Lists!$Y$41&lt;&gt;"",ISNUMBER(SEARCH($D$4,Lists!$Y$41))),1,0)</f>
        <v/>
      </c>
      <c r="AR94">
        <f>IF(ROW()-56&gt;MAX($AQ$57:$AQ$95),"",INDEX(Lists!$Y$4:$Y$42,MATCH(ROW()-56,$AQ$57:$AQ$95,0)))</f>
        <v/>
      </c>
      <c r="AS94">
        <f>AS93+IF(AND(Lists!$AD$41&lt;&gt;"",ISNUMBER(SEARCH($E$4,Lists!$AD$41))),1,0)</f>
        <v/>
      </c>
      <c r="AT94">
        <f>IF(ROW()-56&gt;MAX($AS$57:$AS$95),"",INDEX(Lists!$AD$4:$AD$42,MATCH(ROW()-56,$AS$57:$AS$95,0)))</f>
        <v/>
      </c>
      <c r="AU94">
        <f>AU93+IF(AND(Lists!$AI$41&lt;&gt;"",ISNUMBER(SEARCH($F$4,Lists!$AI$41))),1,0)</f>
        <v/>
      </c>
      <c r="AV94">
        <f>IF(ROW()-56&gt;MAX($AU$57:$AU$95),"",INDEX(Lists!$AI$4:$AI$42,MATCH(ROW()-56,$AU$57:$AU$95,0)))</f>
        <v/>
      </c>
      <c r="AW94">
        <f>AW93+IF(AND(Lists!$AN$41&lt;&gt;"",ISNUMBER(SEARCH($G$4,Lists!$AN$41))),1,0)</f>
        <v/>
      </c>
      <c r="AX94">
        <f>IF(ROW()-56&gt;MAX($AW$57:$AW$95),"",INDEX(Lists!$AN$4:$AN$42,MATCH(ROW()-56,$AW$57:$AW$95,0)))</f>
        <v/>
      </c>
      <c r="AY94">
        <f>AY93+IF(AND(Lists!$AS$41&lt;&gt;"",ISNUMBER(SEARCH($H$4,Lists!$AS$41))),1,0)</f>
        <v/>
      </c>
      <c r="AZ94">
        <f>IF(ROW()-56&gt;MAX($AY$57:$AY$95),"",INDEX(Lists!$AS$4:$AS$42,MATCH(ROW()-56,$AY$57:$AY$95,0)))</f>
        <v/>
      </c>
      <c r="BA94">
        <f>BA93+IF(AND(Lists!$AX$41&lt;&gt;"",ISNUMBER(SEARCH($I$4,Lists!$AX$41))),1,0)</f>
        <v/>
      </c>
      <c r="BB94">
        <f>IF(ROW()-56&gt;MAX($BA$57:$BA$95),"",INDEX(Lists!$AX$4:$AX$42,MATCH(ROW()-56,$BA$57:$BA$95,0)))</f>
        <v/>
      </c>
      <c r="BC94">
        <f>BC93+IF(AND(Lists!$BC$41&lt;&gt;"",ISNUMBER(SEARCH($J$4,Lists!$BC$41))),1,0)</f>
        <v/>
      </c>
      <c r="BD94">
        <f>IF(ROW()-56&gt;MAX($BC$57:$BC$95),"",INDEX(Lists!$BC$4:$BC$42,MATCH(ROW()-56,$BC$57:$BC$95,0)))</f>
        <v/>
      </c>
      <c r="BE94">
        <f>BE93+IF(AND(Lists!$BH$41&lt;&gt;"",ISNUMBER(SEARCH($K$4,Lists!$BH$41))),1,0)</f>
        <v/>
      </c>
      <c r="BF94">
        <f>IF(ROW()-56&gt;MAX($BE$57:$BE$95),"",INDEX(Lists!$BH$4:$BH$42,MATCH(ROW()-56,$BE$57:$BE$95,0)))</f>
        <v/>
      </c>
      <c r="BG94">
        <f>BG93+IF(AND(Lists!$BM$41&lt;&gt;"",ISNUMBER(SEARCH($L$4,Lists!$BM$41))),1,0)</f>
        <v/>
      </c>
      <c r="BH94">
        <f>IF(ROW()-56&gt;MAX($BG$57:$BG$95),"",INDEX(Lists!$BM$4:$BM$42,MATCH(ROW()-56,$BG$57:$BG$95,0)))</f>
        <v/>
      </c>
      <c r="BI94">
        <f>BI93+IF(AND(Lists!$BR$41&lt;&gt;"",ISNUMBER(SEARCH($M$4,Lists!$BR$41))),1,0)</f>
        <v/>
      </c>
      <c r="BJ94">
        <f>IF(ROW()-56&gt;MAX($BI$57:$BI$95),"",INDEX(Lists!$BR$4:$BR$42,MATCH(ROW()-56,$BI$57:$BI$95,0)))</f>
        <v/>
      </c>
      <c r="BK94">
        <f>BK93+IF(AND(Lists!$BW$41&lt;&gt;"",ISNUMBER(SEARCH($N$4,Lists!$BW$41))),1,0)</f>
        <v/>
      </c>
      <c r="BL94">
        <f>IF(ROW()-56&gt;MAX($BK$57:$BK$95),"",INDEX(Lists!$BW$4:$BW$42,MATCH(ROW()-56,$BK$57:$BK$95,0)))</f>
        <v/>
      </c>
      <c r="BM94">
        <f>BM93+IF(AND(Lists!$CB$41&lt;&gt;"",ISNUMBER(SEARCH($O$4,Lists!$CB$41))),1,0)</f>
        <v/>
      </c>
      <c r="BN94">
        <f>IF(ROW()-56&gt;MAX($BM$57:$BM$95),"",INDEX(Lists!$CB$4:$CB$42,MATCH(ROW()-56,$BM$57:$BM$95,0)))</f>
        <v/>
      </c>
      <c r="BO94">
        <f>BO93+IF(AND(Lists!$CG$41&lt;&gt;"",ISNUMBER(SEARCH($P$4,Lists!$CG$41))),1,0)</f>
        <v/>
      </c>
      <c r="BP94">
        <f>IF(ROW()-56&gt;MAX($BO$57:$BO$95),"",INDEX(Lists!$CG$4:$CG$42,MATCH(ROW()-56,$BO$57:$BO$95,0)))</f>
        <v/>
      </c>
      <c r="BQ94">
        <f>BQ93+IF(AND(Lists!$CL$41&lt;&gt;"",ISNUMBER(SEARCH($Q$4,Lists!$CL$41))),1,0)</f>
        <v/>
      </c>
      <c r="BR94">
        <f>IF(ROW()-56&gt;MAX($BQ$57:$BQ$95),"",INDEX(Lists!$CL$4:$CL$42,MATCH(ROW()-56,$BQ$57:$BQ$95,0)))</f>
        <v/>
      </c>
      <c r="BS94">
        <f>BS93+IF(AND(Lists!$CQ$41&lt;&gt;"",ISNUMBER(SEARCH($R$4,Lists!$CQ$41))),1,0)</f>
        <v/>
      </c>
      <c r="BT94">
        <f>IF(ROW()-56&gt;MAX($BS$57:$BS$95),"",INDEX(Lists!$CQ$4:$CQ$42,MATCH(ROW()-56,$BS$57:$BS$95,0)))</f>
        <v/>
      </c>
      <c r="BU94">
        <f>BU93+IF(AND(Lists!$CV$41&lt;&gt;"",ISNUMBER(SEARCH($S$4,Lists!$CV$41))),1,0)</f>
        <v/>
      </c>
      <c r="BV94">
        <f>IF(ROW()-56&gt;MAX($BU$57:$BU$95),"",INDEX(Lists!$CV$4:$CV$42,MATCH(ROW()-56,$BU$57:$BU$95,0)))</f>
        <v/>
      </c>
      <c r="BW94">
        <f>BW93+IF(AND(Lists!$DA$41&lt;&gt;"",ISNUMBER(SEARCH($T$4,Lists!$DA$41))),1,0)</f>
        <v/>
      </c>
      <c r="BX94">
        <f>IF(ROW()-56&gt;MAX($BW$57:$BW$95),"",INDEX(Lists!$DA$4:$DA$42,MATCH(ROW()-56,$BW$57:$BW$95,0)))</f>
        <v/>
      </c>
      <c r="BY94">
        <f>BY93+IF(AND(Lists!$DF$41&lt;&gt;"",ISNUMBER(SEARCH($U$4,Lists!$DF$41))),1,0)</f>
        <v/>
      </c>
      <c r="BZ94">
        <f>IF(ROW()-56&gt;MAX($BY$57:$BY$95),"",INDEX(Lists!$DF$4:$DF$42,MATCH(ROW()-56,$BY$57:$BY$95,0)))</f>
        <v/>
      </c>
      <c r="CA94">
        <f>CA93+IF(AND(Lists!$DK$41&lt;&gt;"",ISNUMBER(SEARCH($V$4,Lists!$DK$41))),1,0)</f>
        <v/>
      </c>
      <c r="CB94">
        <f>IF(ROW()-56&gt;MAX($CA$57:$CA$95),"",INDEX(Lists!$DK$4:$DK$42,MATCH(ROW()-56,$CA$57:$CA$95,0)))</f>
        <v/>
      </c>
      <c r="CC94">
        <f>CC93+IF(AND(Lists!$DP$41&lt;&gt;"",ISNUMBER(SEARCH($W$4,Lists!$DP$41))),1,0)</f>
        <v/>
      </c>
      <c r="CD94">
        <f>IF(ROW()-56&gt;MAX($CC$57:$CC$95),"",INDEX(Lists!$DP$4:$DP$42,MATCH(ROW()-56,$CC$57:$CC$95,0)))</f>
        <v/>
      </c>
      <c r="CE94">
        <f>CE93+IF(AND(Lists!$DU$41&lt;&gt;"",ISNUMBER(SEARCH($X$4,Lists!$DU$41))),1,0)</f>
        <v/>
      </c>
      <c r="CF94">
        <f>IF(ROW()-56&gt;MAX($CE$57:$CE$95),"",INDEX(Lists!$DU$4:$DU$42,MATCH(ROW()-56,$CE$57:$CE$95,0)))</f>
        <v/>
      </c>
      <c r="CG94">
        <f>CG93+IF(AND(Lists!$DZ$41&lt;&gt;"",ISNUMBER(SEARCH($Y$4,Lists!$DZ$41))),1,0)</f>
        <v/>
      </c>
      <c r="CH94">
        <f>IF(ROW()-56&gt;MAX($CG$57:$CG$95),"",INDEX(Lists!$DZ$4:$DZ$42,MATCH(ROW()-56,$CG$57:$CG$95,0)))</f>
        <v/>
      </c>
      <c r="CI94">
        <f>CI93+IF(AND(Lists!$EE$41&lt;&gt;"",ISNUMBER(SEARCH($Z$4,Lists!$EE$41))),1,0)</f>
        <v/>
      </c>
      <c r="CJ94">
        <f>IF(ROW()-56&gt;MAX($CI$57:$CI$95),"",INDEX(Lists!$EE$4:$EE$42,MATCH(ROW()-56,$CI$57:$CI$95,0)))</f>
        <v/>
      </c>
      <c r="CK94">
        <f>CK93+IF(AND(Lists!$EJ$41&lt;&gt;"",ISNUMBER(SEARCH($AA$4,Lists!$EJ$41))),1,0)</f>
        <v/>
      </c>
      <c r="CL94">
        <f>IF(ROW()-56&gt;MAX($CK$57:$CK$95),"",INDEX(Lists!$EJ$4:$EJ$42,MATCH(ROW()-56,$CK$57:$CK$95,0)))</f>
        <v/>
      </c>
      <c r="CM94">
        <f>CM93+IF(AND(Lists!$EO$41&lt;&gt;"",ISNUMBER(SEARCH($AB$4,Lists!$EO$41))),1,0)</f>
        <v/>
      </c>
      <c r="CN94">
        <f>IF(ROW()-56&gt;MAX($CM$57:$CM$95),"",INDEX(Lists!$EO$4:$EO$42,MATCH(ROW()-56,$CM$57:$CM$95,0)))</f>
        <v/>
      </c>
      <c r="CO94">
        <f>CO93+IF(AND(Lists!$ET$41&lt;&gt;"",ISNUMBER(SEARCH($AC$4,Lists!$ET$41))),1,0)</f>
        <v/>
      </c>
      <c r="CP94">
        <f>IF(ROW()-56&gt;MAX($CO$57:$CO$95),"",INDEX(Lists!$ET$4:$ET$42,MATCH(ROW()-56,$CO$57:$CO$95,0)))</f>
        <v/>
      </c>
      <c r="CQ94">
        <f>CQ93+IF(AND(Lists!$EY$41&lt;&gt;"",ISNUMBER(SEARCH($AD$4,Lists!$EY$41))),1,0)</f>
        <v/>
      </c>
      <c r="CR94">
        <f>IF(ROW()-56&gt;MAX($CQ$57:$CQ$95),"",INDEX(Lists!$EY$4:$EY$42,MATCH(ROW()-56,$CQ$57:$CQ$95,0)))</f>
        <v/>
      </c>
      <c r="CS94">
        <f>CS93+IF(AND(Lists!$FD$41&lt;&gt;"",ISNUMBER(SEARCH($AE$4,Lists!$FD$41))),1,0)</f>
        <v/>
      </c>
      <c r="CT94">
        <f>IF(ROW()-56&gt;MAX($CS$57:$CS$95),"",INDEX(Lists!$FD$4:$FD$42,MATCH(ROW()-56,$CS$57:$CS$95,0)))</f>
        <v/>
      </c>
      <c r="CU94">
        <f>CU93+IF(AND(Lists!$FI$41&lt;&gt;"",ISNUMBER(SEARCH($AG$4,Lists!$FI$41))),1,0)</f>
        <v/>
      </c>
      <c r="CV94">
        <f>IF(ROW()-56&gt;MAX($CU$57:$CU$95),"",INDEX(Lists!$FI$4:$FI$42,MATCH(ROW()-56,$CU$57:$CU$95,0)))</f>
        <v/>
      </c>
      <c r="CW94">
        <f>CW93+IF(AND(Lists!$FN$41&lt;&gt;"",ISNUMBER(SEARCH($AH$4,Lists!$FN$41))),1,0)</f>
        <v/>
      </c>
      <c r="CX94">
        <f>IF(ROW()-56&gt;MAX($CW$57:$CW$95),"",INDEX(Lists!$FN$4:$FN$42,MATCH(ROW()-56,$CW$57:$CW$95,0)))</f>
        <v/>
      </c>
      <c r="CY94">
        <f>CY93+IF(AND(Lists!$FS$41&lt;&gt;"",ISNUMBER(SEARCH($AI$4,Lists!$FS$41))),1,0)</f>
        <v/>
      </c>
      <c r="CZ94">
        <f>IF(ROW()-56&gt;MAX($CY$57:$CY$95),"",INDEX(Lists!$FS$4:$FS$42,MATCH(ROW()-56,$CY$57:$CY$95,0)))</f>
        <v/>
      </c>
      <c r="DA94">
        <f>DA93+IF(AND(Lists!$FX$41&lt;&gt;"",ISNUMBER(SEARCH($AF$4,Lists!$FX$41))),1,0)</f>
        <v/>
      </c>
      <c r="DB94">
        <f>IF(ROW()-56&gt;MAX($DA$57:$DA$95),"",INDEX(Lists!$FX$4:$FX$42,MATCH(ROW()-56,$DA$57:$DA$95,0)))</f>
        <v/>
      </c>
      <c r="DG94">
        <f>IF($B$4="",1,IF($B$4="(blank)",--('Final Calculation Sheet'!$F$39=""),IF($B$4="(nonblank)",--('Final Calculation Sheet'!$F$39&lt;&gt;""),--ISNUMBER(SEARCH($B$4,'Final Calculation Sheet'!$F$39)))))</f>
        <v/>
      </c>
      <c r="DH94">
        <f>IF($C$4="",1,IF($C$4="(blank)",--('Final Calculation Sheet'!$G$39=""),IF($C$4="(nonblank)",--('Final Calculation Sheet'!$G$39&lt;&gt;""),--ISNUMBER(SEARCH($C$4,'Final Calculation Sheet'!$G$39)))))</f>
        <v/>
      </c>
      <c r="DI94">
        <f>IF($D$4="",1,IF($D$4="(blank)",--('Final Calculation Sheet'!$B$39=""),IF($D$4="(nonblank)",--('Final Calculation Sheet'!$B$39&lt;&gt;""),--ISNUMBER(SEARCH($D$4,'Final Calculation Sheet'!$B$39)))))</f>
        <v/>
      </c>
      <c r="DJ94">
        <f>IF($E$4="",1,IF($E$4="(blank)",--('Final Calculation Sheet'!$D$39=""),IF($E$4="(nonblank)",--('Final Calculation Sheet'!$D$39&lt;&gt;""),--ISNUMBER(SEARCH($E$4,'Final Calculation Sheet'!$D$39)))))</f>
        <v/>
      </c>
      <c r="DK94">
        <f>IF($F$4="",1,IF($F$4="(blank)",--('Final Calculation Sheet'!$A$39=""),IF($F$4="(nonblank)",--('Final Calculation Sheet'!$A$39&lt;&gt;""),--ISNUMBER(SEARCH($F$4,'Final Calculation Sheet'!$A$39)))))</f>
        <v/>
      </c>
      <c r="DL94">
        <f>IF($G$4="",1,IF($G$4="(blank)",--('Final Calculation Sheet'!$E$39=""),IF($G$4="(nonblank)",--('Final Calculation Sheet'!$E$39&lt;&gt;""),--ISNUMBER(SEARCH($G$4,'Final Calculation Sheet'!$E$39)))))</f>
        <v/>
      </c>
      <c r="DM94">
        <f>IF($H$4="",1,IF($H$4="(blank)",--('Final Calculation Sheet'!$C$39=""),IF($H$4="(nonblank)",--('Final Calculation Sheet'!$C$39&lt;&gt;""),--ISNUMBER(SEARCH($H$4,'Final Calculation Sheet'!$C$39)))))</f>
        <v/>
      </c>
      <c r="DN94">
        <f>IF($I$4="",1,IF($I$4="(blank)",--('Final Calculation Sheet'!$H$39=""),IF($I$4="(nonblank)",--('Final Calculation Sheet'!$H$39&lt;&gt;""),--ISNUMBER(SEARCH($I$4,'Final Calculation Sheet'!$H$39)))))</f>
        <v/>
      </c>
      <c r="DO94">
        <f>IF($J$4="",1,IF($J$4="(blank)",--('Final Calculation Sheet'!$I$39=""),IF($J$4="(nonblank)",--('Final Calculation Sheet'!$I$39&lt;&gt;""),--ISNUMBER(SEARCH($J$4,'Final Calculation Sheet'!$I$39)))))</f>
        <v/>
      </c>
      <c r="DP94">
        <f>IF($K$4="",1,IF($K$4="(blank)",--('Final Calculation Sheet'!$J$39=""),IF($K$4="(nonblank)",--('Final Calculation Sheet'!$J$39&lt;&gt;""),--ISNUMBER(SEARCH($K$4,'Final Calculation Sheet'!$J$39)))))</f>
        <v/>
      </c>
      <c r="DQ94">
        <f>IF($L$4="",1,IF($L$4="(blank)",--('Final Calculation Sheet'!$K$39=""),IF($L$4="(nonblank)",--('Final Calculation Sheet'!$K$39&lt;&gt;""),--ISNUMBER(SEARCH($L$4,'Final Calculation Sheet'!$K$39)))))</f>
        <v/>
      </c>
      <c r="DR94">
        <f>IF($M$4="",1,IF($M$4="(blank)",--('Final Calculation Sheet'!$L$39=""),IF($M$4="(nonblank)",--('Final Calculation Sheet'!$L$39&lt;&gt;""),--ISNUMBER(SEARCH($M$4,'Final Calculation Sheet'!$L$39)))))</f>
        <v/>
      </c>
      <c r="DS94">
        <f>IF($N$4="",1,IF($N$4="(blank)",--('Final Calculation Sheet'!$M$39=""),IF($N$4="(nonblank)",--('Final Calculation Sheet'!$M$39&lt;&gt;""),--ISNUMBER(SEARCH($N$4,'Final Calculation Sheet'!$M$39)))))</f>
        <v/>
      </c>
      <c r="DT94">
        <f>IF($O$4="",1,IF($O$4="(blank)",--('Final Calculation Sheet'!$N$39=""),IF($O$4="(nonblank)",--('Final Calculation Sheet'!$N$39&lt;&gt;""),--ISNUMBER(SEARCH($O$4,'Final Calculation Sheet'!$N$39)))))</f>
        <v/>
      </c>
      <c r="DU94">
        <f>IF($P$4="",1,IF($P$4="(blank)",--('Final Calculation Sheet'!$O$39=""),IF($P$4="(nonblank)",--('Final Calculation Sheet'!$O$39&lt;&gt;""),--ISNUMBER(SEARCH($P$4,'Final Calculation Sheet'!$O$39)))))</f>
        <v/>
      </c>
      <c r="DV94">
        <f>IF($Q$4="",1,IF($Q$4="(blank)",--('Final Calculation Sheet'!$P$39=""),IF($Q$4="(nonblank)",--('Final Calculation Sheet'!$P$39&lt;&gt;""),--ISNUMBER(SEARCH($Q$4,'Final Calculation Sheet'!$P$39)))))</f>
        <v/>
      </c>
      <c r="DW94">
        <f>IF($R$4="",1,IF($R$4="(blank)",--('Final Calculation Sheet'!$Q$39=""),IF($R$4="(nonblank)",--('Final Calculation Sheet'!$Q$39&lt;&gt;""),--ISNUMBER(SEARCH($R$4,'Final Calculation Sheet'!$Q$39)))))</f>
        <v/>
      </c>
      <c r="DX94">
        <f>IF($S$4="",1,IF($S$4="(blank)",--('Final Calculation Sheet'!$R$39=""),IF($S$4="(nonblank)",--('Final Calculation Sheet'!$R$39&lt;&gt;""),--ISNUMBER(SEARCH($S$4,'Final Calculation Sheet'!$R$39)))))</f>
        <v/>
      </c>
      <c r="DY94">
        <f>IF($T$4="",1,IF($T$4="(blank)",--('Final Calculation Sheet'!$S$39=""),IF($T$4="(nonblank)",--('Final Calculation Sheet'!$S$39&lt;&gt;""),--ISNUMBER(SEARCH($T$4,'Final Calculation Sheet'!$S$39)))))</f>
        <v/>
      </c>
      <c r="DZ94">
        <f>IF($U$4="",1,IF($U$4="(blank)",--('Final Calculation Sheet'!$T$39=""),IF($U$4="(nonblank)",--('Final Calculation Sheet'!$T$39&lt;&gt;""),--ISNUMBER(SEARCH($U$4,'Final Calculation Sheet'!$T$39)))))</f>
        <v/>
      </c>
      <c r="EA94">
        <f>IF($V$4="",1,IF($V$4="(blank)",--('Final Calculation Sheet'!$U$39=""),IF($V$4="(nonblank)",--('Final Calculation Sheet'!$U$39&lt;&gt;""),--ISNUMBER(SEARCH($V$4,'Final Calculation Sheet'!$U$39)))))</f>
        <v/>
      </c>
      <c r="EB94">
        <f>IF($W$4="",1,IF($W$4="(blank)",--('Final Calculation Sheet'!$V$39=""),IF($W$4="(nonblank)",--('Final Calculation Sheet'!$V$39&lt;&gt;""),--ISNUMBER(SEARCH($W$4,'Final Calculation Sheet'!$V$39)))))</f>
        <v/>
      </c>
      <c r="EC94">
        <f>IF($X$4="",1,IF($X$4="(blank)",--('Final Calculation Sheet'!$W$39=""),IF($X$4="(nonblank)",--('Final Calculation Sheet'!$W$39&lt;&gt;""),--ISNUMBER(SEARCH($X$4,'Final Calculation Sheet'!$W$39)))))</f>
        <v/>
      </c>
      <c r="ED94">
        <f>IF($Y$4="",1,IF($Y$4="(blank)",--('Final Calculation Sheet'!$X$39=""),IF($Y$4="(nonblank)",--('Final Calculation Sheet'!$X$39&lt;&gt;""),--ISNUMBER(SEARCH($Y$4,'Final Calculation Sheet'!$X$39)))))</f>
        <v/>
      </c>
      <c r="EE94">
        <f>IF($Z$4="",1,IF($Z$4="(blank)",--('Final Calculation Sheet'!$Y$39=""),IF($Z$4="(nonblank)",--('Final Calculation Sheet'!$Y$39&lt;&gt;""),--ISNUMBER(SEARCH($Z$4,'Final Calculation Sheet'!$Y$39)))))</f>
        <v/>
      </c>
      <c r="EF94">
        <f>IF($AA$4="",1,IF($AA$4="(blank)",--('Final Calculation Sheet'!$Z$39=""),IF($AA$4="(nonblank)",--('Final Calculation Sheet'!$Z$39&lt;&gt;""),--ISNUMBER(SEARCH($AA$4,'Final Calculation Sheet'!$Z$39)))))</f>
        <v/>
      </c>
      <c r="EG94">
        <f>IF($AB$4="",1,IF($AB$4="(blank)",--('Final Calculation Sheet'!$AA$39=""),IF($AB$4="(nonblank)",--('Final Calculation Sheet'!$AA$39&lt;&gt;""),--ISNUMBER(SEARCH($AB$4,'Final Calculation Sheet'!$AA$39)))))</f>
        <v/>
      </c>
      <c r="EH94">
        <f>IF($AC$4="",1,IF($AC$4="(blank)",--('Final Calculation Sheet'!$AB$39=""),IF($AC$4="(nonblank)",--('Final Calculation Sheet'!$AB$39&lt;&gt;""),--ISNUMBER(SEARCH($AC$4,'Final Calculation Sheet'!$AB$39)))))</f>
        <v/>
      </c>
      <c r="EI94">
        <f>IF($AD$4="",1,IF($AD$4="(blank)",--('Final Calculation Sheet'!$AC$39=""),IF($AD$4="(nonblank)",--('Final Calculation Sheet'!$AC$39&lt;&gt;""),--ISNUMBER(SEARCH($AD$4,'Final Calculation Sheet'!$AC$39)))))</f>
        <v/>
      </c>
      <c r="EJ94">
        <f>IF($AE$4="",1,IF($AE$4="(blank)",--('Final Calculation Sheet'!$AD$39=""),IF($AE$4="(nonblank)",--('Final Calculation Sheet'!$AD$39&lt;&gt;""),--ISNUMBER(SEARCH($AE$4,'Final Calculation Sheet'!$AD$39)))))</f>
        <v/>
      </c>
      <c r="EK94">
        <f>IF($AF$4="",1,IF($AF$4="(blank)",--(IF('Final Calculation Sheet'!$AD$39&lt;=5,"SETTLED","OUTSTANDING")=""),IF($AF$4="(nonblank)",--(IF('Final Calculation Sheet'!$AD$39&lt;=5,"SETTLED","OUTSTANDING")&lt;&gt;""),--ISNUMBER(SEARCH($AF$4,IF('Final Calculation Sheet'!$AD$39&lt;=5,"SETTLED","OUTSTANDING"))))))</f>
        <v/>
      </c>
      <c r="EL94">
        <f>IF($AG$4="",1,IF($AG$4="(blank)",--('Final Calculation Sheet'!$AF$39=""),IF($AG$4="(nonblank)",--('Final Calculation Sheet'!$AF$39&lt;&gt;""),--ISNUMBER(SEARCH($AG$4,'Final Calculation Sheet'!$AF$39)))))</f>
        <v/>
      </c>
      <c r="EM94">
        <f>IF($AH$4="",1,IF($AH$4="(blank)",--('Final Calculation Sheet'!$AG$39=""),IF($AH$4="(nonblank)",--('Final Calculation Sheet'!$AG$39&lt;&gt;""),--ISNUMBER(SEARCH($AH$4,'Final Calculation Sheet'!$AG$39)))))</f>
        <v/>
      </c>
      <c r="EN94">
        <f>IF($AI$4="",1,IF($AI$4="(blank)",--('Final Calculation Sheet'!$AH$39=""),IF($AI$4="(nonblank)",--('Final Calculation Sheet'!$AH$39&lt;&gt;""),--ISNUMBER(SEARCH($AI$4,'Final Calculation Sheet'!$AH$39)))))</f>
        <v/>
      </c>
    </row>
    <row r="95">
      <c r="AM95">
        <f>AM94+IF(AND(Lists!$O$42&lt;&gt;"",ISNUMBER(SEARCH($B$4,Lists!$O$42))),1,0)</f>
        <v/>
      </c>
      <c r="AN95">
        <f>IF(ROW()-56&gt;MAX($AM$57:$AM$95),"",INDEX(Lists!$O$4:$O$42,MATCH(ROW()-56,$AM$57:$AM$95,0)))</f>
        <v/>
      </c>
      <c r="AO95">
        <f>AO94+IF(AND(Lists!$T$42&lt;&gt;"",ISNUMBER(SEARCH($C$4,Lists!$T$42))),1,0)</f>
        <v/>
      </c>
      <c r="AP95">
        <f>IF(ROW()-56&gt;MAX($AO$57:$AO$95),"",INDEX(Lists!$T$4:$T$42,MATCH(ROW()-56,$AO$57:$AO$95,0)))</f>
        <v/>
      </c>
      <c r="AQ95">
        <f>AQ94+IF(AND(Lists!$Y$42&lt;&gt;"",ISNUMBER(SEARCH($D$4,Lists!$Y$42))),1,0)</f>
        <v/>
      </c>
      <c r="AR95">
        <f>IF(ROW()-56&gt;MAX($AQ$57:$AQ$95),"",INDEX(Lists!$Y$4:$Y$42,MATCH(ROW()-56,$AQ$57:$AQ$95,0)))</f>
        <v/>
      </c>
      <c r="AS95">
        <f>AS94+IF(AND(Lists!$AD$42&lt;&gt;"",ISNUMBER(SEARCH($E$4,Lists!$AD$42))),1,0)</f>
        <v/>
      </c>
      <c r="AT95">
        <f>IF(ROW()-56&gt;MAX($AS$57:$AS$95),"",INDEX(Lists!$AD$4:$AD$42,MATCH(ROW()-56,$AS$57:$AS$95,0)))</f>
        <v/>
      </c>
      <c r="AU95">
        <f>AU94+IF(AND(Lists!$AI$42&lt;&gt;"",ISNUMBER(SEARCH($F$4,Lists!$AI$42))),1,0)</f>
        <v/>
      </c>
      <c r="AV95">
        <f>IF(ROW()-56&gt;MAX($AU$57:$AU$95),"",INDEX(Lists!$AI$4:$AI$42,MATCH(ROW()-56,$AU$57:$AU$95,0)))</f>
        <v/>
      </c>
      <c r="AW95">
        <f>AW94+IF(AND(Lists!$AN$42&lt;&gt;"",ISNUMBER(SEARCH($G$4,Lists!$AN$42))),1,0)</f>
        <v/>
      </c>
      <c r="AX95">
        <f>IF(ROW()-56&gt;MAX($AW$57:$AW$95),"",INDEX(Lists!$AN$4:$AN$42,MATCH(ROW()-56,$AW$57:$AW$95,0)))</f>
        <v/>
      </c>
      <c r="AY95">
        <f>AY94+IF(AND(Lists!$AS$42&lt;&gt;"",ISNUMBER(SEARCH($H$4,Lists!$AS$42))),1,0)</f>
        <v/>
      </c>
      <c r="AZ95">
        <f>IF(ROW()-56&gt;MAX($AY$57:$AY$95),"",INDEX(Lists!$AS$4:$AS$42,MATCH(ROW()-56,$AY$57:$AY$95,0)))</f>
        <v/>
      </c>
      <c r="BA95">
        <f>BA94+IF(AND(Lists!$AX$42&lt;&gt;"",ISNUMBER(SEARCH($I$4,Lists!$AX$42))),1,0)</f>
        <v/>
      </c>
      <c r="BB95">
        <f>IF(ROW()-56&gt;MAX($BA$57:$BA$95),"",INDEX(Lists!$AX$4:$AX$42,MATCH(ROW()-56,$BA$57:$BA$95,0)))</f>
        <v/>
      </c>
      <c r="BC95">
        <f>BC94+IF(AND(Lists!$BC$42&lt;&gt;"",ISNUMBER(SEARCH($J$4,Lists!$BC$42))),1,0)</f>
        <v/>
      </c>
      <c r="BD95">
        <f>IF(ROW()-56&gt;MAX($BC$57:$BC$95),"",INDEX(Lists!$BC$4:$BC$42,MATCH(ROW()-56,$BC$57:$BC$95,0)))</f>
        <v/>
      </c>
      <c r="BE95">
        <f>BE94+IF(AND(Lists!$BH$42&lt;&gt;"",ISNUMBER(SEARCH($K$4,Lists!$BH$42))),1,0)</f>
        <v/>
      </c>
      <c r="BF95">
        <f>IF(ROW()-56&gt;MAX($BE$57:$BE$95),"",INDEX(Lists!$BH$4:$BH$42,MATCH(ROW()-56,$BE$57:$BE$95,0)))</f>
        <v/>
      </c>
      <c r="BG95">
        <f>BG94+IF(AND(Lists!$BM$42&lt;&gt;"",ISNUMBER(SEARCH($L$4,Lists!$BM$42))),1,0)</f>
        <v/>
      </c>
      <c r="BH95">
        <f>IF(ROW()-56&gt;MAX($BG$57:$BG$95),"",INDEX(Lists!$BM$4:$BM$42,MATCH(ROW()-56,$BG$57:$BG$95,0)))</f>
        <v/>
      </c>
      <c r="BI95">
        <f>BI94+IF(AND(Lists!$BR$42&lt;&gt;"",ISNUMBER(SEARCH($M$4,Lists!$BR$42))),1,0)</f>
        <v/>
      </c>
      <c r="BJ95">
        <f>IF(ROW()-56&gt;MAX($BI$57:$BI$95),"",INDEX(Lists!$BR$4:$BR$42,MATCH(ROW()-56,$BI$57:$BI$95,0)))</f>
        <v/>
      </c>
      <c r="BK95">
        <f>BK94+IF(AND(Lists!$BW$42&lt;&gt;"",ISNUMBER(SEARCH($N$4,Lists!$BW$42))),1,0)</f>
        <v/>
      </c>
      <c r="BL95">
        <f>IF(ROW()-56&gt;MAX($BK$57:$BK$95),"",INDEX(Lists!$BW$4:$BW$42,MATCH(ROW()-56,$BK$57:$BK$95,0)))</f>
        <v/>
      </c>
      <c r="BM95">
        <f>BM94+IF(AND(Lists!$CB$42&lt;&gt;"",ISNUMBER(SEARCH($O$4,Lists!$CB$42))),1,0)</f>
        <v/>
      </c>
      <c r="BN95">
        <f>IF(ROW()-56&gt;MAX($BM$57:$BM$95),"",INDEX(Lists!$CB$4:$CB$42,MATCH(ROW()-56,$BM$57:$BM$95,0)))</f>
        <v/>
      </c>
      <c r="BO95">
        <f>BO94+IF(AND(Lists!$CG$42&lt;&gt;"",ISNUMBER(SEARCH($P$4,Lists!$CG$42))),1,0)</f>
        <v/>
      </c>
      <c r="BP95">
        <f>IF(ROW()-56&gt;MAX($BO$57:$BO$95),"",INDEX(Lists!$CG$4:$CG$42,MATCH(ROW()-56,$BO$57:$BO$95,0)))</f>
        <v/>
      </c>
      <c r="BQ95">
        <f>BQ94+IF(AND(Lists!$CL$42&lt;&gt;"",ISNUMBER(SEARCH($Q$4,Lists!$CL$42))),1,0)</f>
        <v/>
      </c>
      <c r="BR95">
        <f>IF(ROW()-56&gt;MAX($BQ$57:$BQ$95),"",INDEX(Lists!$CL$4:$CL$42,MATCH(ROW()-56,$BQ$57:$BQ$95,0)))</f>
        <v/>
      </c>
      <c r="BS95">
        <f>BS94+IF(AND(Lists!$CQ$42&lt;&gt;"",ISNUMBER(SEARCH($R$4,Lists!$CQ$42))),1,0)</f>
        <v/>
      </c>
      <c r="BT95">
        <f>IF(ROW()-56&gt;MAX($BS$57:$BS$95),"",INDEX(Lists!$CQ$4:$CQ$42,MATCH(ROW()-56,$BS$57:$BS$95,0)))</f>
        <v/>
      </c>
      <c r="BU95">
        <f>BU94+IF(AND(Lists!$CV$42&lt;&gt;"",ISNUMBER(SEARCH($S$4,Lists!$CV$42))),1,0)</f>
        <v/>
      </c>
      <c r="BV95">
        <f>IF(ROW()-56&gt;MAX($BU$57:$BU$95),"",INDEX(Lists!$CV$4:$CV$42,MATCH(ROW()-56,$BU$57:$BU$95,0)))</f>
        <v/>
      </c>
      <c r="BW95">
        <f>BW94+IF(AND(Lists!$DA$42&lt;&gt;"",ISNUMBER(SEARCH($T$4,Lists!$DA$42))),1,0)</f>
        <v/>
      </c>
      <c r="BX95">
        <f>IF(ROW()-56&gt;MAX($BW$57:$BW$95),"",INDEX(Lists!$DA$4:$DA$42,MATCH(ROW()-56,$BW$57:$BW$95,0)))</f>
        <v/>
      </c>
      <c r="BY95">
        <f>BY94+IF(AND(Lists!$DF$42&lt;&gt;"",ISNUMBER(SEARCH($U$4,Lists!$DF$42))),1,0)</f>
        <v/>
      </c>
      <c r="BZ95">
        <f>IF(ROW()-56&gt;MAX($BY$57:$BY$95),"",INDEX(Lists!$DF$4:$DF$42,MATCH(ROW()-56,$BY$57:$BY$95,0)))</f>
        <v/>
      </c>
      <c r="CA95">
        <f>CA94+IF(AND(Lists!$DK$42&lt;&gt;"",ISNUMBER(SEARCH($V$4,Lists!$DK$42))),1,0)</f>
        <v/>
      </c>
      <c r="CB95">
        <f>IF(ROW()-56&gt;MAX($CA$57:$CA$95),"",INDEX(Lists!$DK$4:$DK$42,MATCH(ROW()-56,$CA$57:$CA$95,0)))</f>
        <v/>
      </c>
      <c r="CC95">
        <f>CC94+IF(AND(Lists!$DP$42&lt;&gt;"",ISNUMBER(SEARCH($W$4,Lists!$DP$42))),1,0)</f>
        <v/>
      </c>
      <c r="CD95">
        <f>IF(ROW()-56&gt;MAX($CC$57:$CC$95),"",INDEX(Lists!$DP$4:$DP$42,MATCH(ROW()-56,$CC$57:$CC$95,0)))</f>
        <v/>
      </c>
      <c r="CE95">
        <f>CE94+IF(AND(Lists!$DU$42&lt;&gt;"",ISNUMBER(SEARCH($X$4,Lists!$DU$42))),1,0)</f>
        <v/>
      </c>
      <c r="CF95">
        <f>IF(ROW()-56&gt;MAX($CE$57:$CE$95),"",INDEX(Lists!$DU$4:$DU$42,MATCH(ROW()-56,$CE$57:$CE$95,0)))</f>
        <v/>
      </c>
      <c r="CG95">
        <f>CG94+IF(AND(Lists!$DZ$42&lt;&gt;"",ISNUMBER(SEARCH($Y$4,Lists!$DZ$42))),1,0)</f>
        <v/>
      </c>
      <c r="CH95">
        <f>IF(ROW()-56&gt;MAX($CG$57:$CG$95),"",INDEX(Lists!$DZ$4:$DZ$42,MATCH(ROW()-56,$CG$57:$CG$95,0)))</f>
        <v/>
      </c>
      <c r="CI95">
        <f>CI94+IF(AND(Lists!$EE$42&lt;&gt;"",ISNUMBER(SEARCH($Z$4,Lists!$EE$42))),1,0)</f>
        <v/>
      </c>
      <c r="CJ95">
        <f>IF(ROW()-56&gt;MAX($CI$57:$CI$95),"",INDEX(Lists!$EE$4:$EE$42,MATCH(ROW()-56,$CI$57:$CI$95,0)))</f>
        <v/>
      </c>
      <c r="CK95">
        <f>CK94+IF(AND(Lists!$EJ$42&lt;&gt;"",ISNUMBER(SEARCH($AA$4,Lists!$EJ$42))),1,0)</f>
        <v/>
      </c>
      <c r="CL95">
        <f>IF(ROW()-56&gt;MAX($CK$57:$CK$95),"",INDEX(Lists!$EJ$4:$EJ$42,MATCH(ROW()-56,$CK$57:$CK$95,0)))</f>
        <v/>
      </c>
      <c r="CM95">
        <f>CM94+IF(AND(Lists!$EO$42&lt;&gt;"",ISNUMBER(SEARCH($AB$4,Lists!$EO$42))),1,0)</f>
        <v/>
      </c>
      <c r="CN95">
        <f>IF(ROW()-56&gt;MAX($CM$57:$CM$95),"",INDEX(Lists!$EO$4:$EO$42,MATCH(ROW()-56,$CM$57:$CM$95,0)))</f>
        <v/>
      </c>
      <c r="CO95">
        <f>CO94+IF(AND(Lists!$ET$42&lt;&gt;"",ISNUMBER(SEARCH($AC$4,Lists!$ET$42))),1,0)</f>
        <v/>
      </c>
      <c r="CP95">
        <f>IF(ROW()-56&gt;MAX($CO$57:$CO$95),"",INDEX(Lists!$ET$4:$ET$42,MATCH(ROW()-56,$CO$57:$CO$95,0)))</f>
        <v/>
      </c>
      <c r="CQ95">
        <f>CQ94+IF(AND(Lists!$EY$42&lt;&gt;"",ISNUMBER(SEARCH($AD$4,Lists!$EY$42))),1,0)</f>
        <v/>
      </c>
      <c r="CR95">
        <f>IF(ROW()-56&gt;MAX($CQ$57:$CQ$95),"",INDEX(Lists!$EY$4:$EY$42,MATCH(ROW()-56,$CQ$57:$CQ$95,0)))</f>
        <v/>
      </c>
      <c r="CS95">
        <f>CS94+IF(AND(Lists!$FD$42&lt;&gt;"",ISNUMBER(SEARCH($AE$4,Lists!$FD$42))),1,0)</f>
        <v/>
      </c>
      <c r="CT95">
        <f>IF(ROW()-56&gt;MAX($CS$57:$CS$95),"",INDEX(Lists!$FD$4:$FD$42,MATCH(ROW()-56,$CS$57:$CS$95,0)))</f>
        <v/>
      </c>
      <c r="CU95">
        <f>CU94+IF(AND(Lists!$FI$42&lt;&gt;"",ISNUMBER(SEARCH($AG$4,Lists!$FI$42))),1,0)</f>
        <v/>
      </c>
      <c r="CV95">
        <f>IF(ROW()-56&gt;MAX($CU$57:$CU$95),"",INDEX(Lists!$FI$4:$FI$42,MATCH(ROW()-56,$CU$57:$CU$95,0)))</f>
        <v/>
      </c>
      <c r="CW95">
        <f>CW94+IF(AND(Lists!$FN$42&lt;&gt;"",ISNUMBER(SEARCH($AH$4,Lists!$FN$42))),1,0)</f>
        <v/>
      </c>
      <c r="CX95">
        <f>IF(ROW()-56&gt;MAX($CW$57:$CW$95),"",INDEX(Lists!$FN$4:$FN$42,MATCH(ROW()-56,$CW$57:$CW$95,0)))</f>
        <v/>
      </c>
      <c r="CY95">
        <f>CY94+IF(AND(Lists!$FS$42&lt;&gt;"",ISNUMBER(SEARCH($AI$4,Lists!$FS$42))),1,0)</f>
        <v/>
      </c>
      <c r="CZ95">
        <f>IF(ROW()-56&gt;MAX($CY$57:$CY$95),"",INDEX(Lists!$FS$4:$FS$42,MATCH(ROW()-56,$CY$57:$CY$95,0)))</f>
        <v/>
      </c>
      <c r="DA95">
        <f>DA94+IF(AND(Lists!$FX$42&lt;&gt;"",ISNUMBER(SEARCH($AF$4,Lists!$FX$42))),1,0)</f>
        <v/>
      </c>
      <c r="DB95">
        <f>IF(ROW()-56&gt;MAX($DA$57:$DA$95),"",INDEX(Lists!$FX$4:$FX$42,MATCH(ROW()-56,$DA$57:$DA$95,0)))</f>
        <v/>
      </c>
      <c r="DG95">
        <f>IF($B$4="",1,IF($B$4="(blank)",--('Final Calculation Sheet'!$F$40=""),IF($B$4="(nonblank)",--('Final Calculation Sheet'!$F$40&lt;&gt;""),--ISNUMBER(SEARCH($B$4,'Final Calculation Sheet'!$F$40)))))</f>
        <v/>
      </c>
      <c r="DH95">
        <f>IF($C$4="",1,IF($C$4="(blank)",--('Final Calculation Sheet'!$G$40=""),IF($C$4="(nonblank)",--('Final Calculation Sheet'!$G$40&lt;&gt;""),--ISNUMBER(SEARCH($C$4,'Final Calculation Sheet'!$G$40)))))</f>
        <v/>
      </c>
      <c r="DI95">
        <f>IF($D$4="",1,IF($D$4="(blank)",--('Final Calculation Sheet'!$B$40=""),IF($D$4="(nonblank)",--('Final Calculation Sheet'!$B$40&lt;&gt;""),--ISNUMBER(SEARCH($D$4,'Final Calculation Sheet'!$B$40)))))</f>
        <v/>
      </c>
      <c r="DJ95">
        <f>IF($E$4="",1,IF($E$4="(blank)",--('Final Calculation Sheet'!$D$40=""),IF($E$4="(nonblank)",--('Final Calculation Sheet'!$D$40&lt;&gt;""),--ISNUMBER(SEARCH($E$4,'Final Calculation Sheet'!$D$40)))))</f>
        <v/>
      </c>
      <c r="DK95">
        <f>IF($F$4="",1,IF($F$4="(blank)",--('Final Calculation Sheet'!$A$40=""),IF($F$4="(nonblank)",--('Final Calculation Sheet'!$A$40&lt;&gt;""),--ISNUMBER(SEARCH($F$4,'Final Calculation Sheet'!$A$40)))))</f>
        <v/>
      </c>
      <c r="DL95">
        <f>IF($G$4="",1,IF($G$4="(blank)",--('Final Calculation Sheet'!$E$40=""),IF($G$4="(nonblank)",--('Final Calculation Sheet'!$E$40&lt;&gt;""),--ISNUMBER(SEARCH($G$4,'Final Calculation Sheet'!$E$40)))))</f>
        <v/>
      </c>
      <c r="DM95">
        <f>IF($H$4="",1,IF($H$4="(blank)",--('Final Calculation Sheet'!$C$40=""),IF($H$4="(nonblank)",--('Final Calculation Sheet'!$C$40&lt;&gt;""),--ISNUMBER(SEARCH($H$4,'Final Calculation Sheet'!$C$40)))))</f>
        <v/>
      </c>
      <c r="DN95">
        <f>IF($I$4="",1,IF($I$4="(blank)",--('Final Calculation Sheet'!$H$40=""),IF($I$4="(nonblank)",--('Final Calculation Sheet'!$H$40&lt;&gt;""),--ISNUMBER(SEARCH($I$4,'Final Calculation Sheet'!$H$40)))))</f>
        <v/>
      </c>
      <c r="DO95">
        <f>IF($J$4="",1,IF($J$4="(blank)",--('Final Calculation Sheet'!$I$40=""),IF($J$4="(nonblank)",--('Final Calculation Sheet'!$I$40&lt;&gt;""),--ISNUMBER(SEARCH($J$4,'Final Calculation Sheet'!$I$40)))))</f>
        <v/>
      </c>
      <c r="DP95">
        <f>IF($K$4="",1,IF($K$4="(blank)",--('Final Calculation Sheet'!$J$40=""),IF($K$4="(nonblank)",--('Final Calculation Sheet'!$J$40&lt;&gt;""),--ISNUMBER(SEARCH($K$4,'Final Calculation Sheet'!$J$40)))))</f>
        <v/>
      </c>
      <c r="DQ95">
        <f>IF($L$4="",1,IF($L$4="(blank)",--('Final Calculation Sheet'!$K$40=""),IF($L$4="(nonblank)",--('Final Calculation Sheet'!$K$40&lt;&gt;""),--ISNUMBER(SEARCH($L$4,'Final Calculation Sheet'!$K$40)))))</f>
        <v/>
      </c>
      <c r="DR95">
        <f>IF($M$4="",1,IF($M$4="(blank)",--('Final Calculation Sheet'!$L$40=""),IF($M$4="(nonblank)",--('Final Calculation Sheet'!$L$40&lt;&gt;""),--ISNUMBER(SEARCH($M$4,'Final Calculation Sheet'!$L$40)))))</f>
        <v/>
      </c>
      <c r="DS95">
        <f>IF($N$4="",1,IF($N$4="(blank)",--('Final Calculation Sheet'!$M$40=""),IF($N$4="(nonblank)",--('Final Calculation Sheet'!$M$40&lt;&gt;""),--ISNUMBER(SEARCH($N$4,'Final Calculation Sheet'!$M$40)))))</f>
        <v/>
      </c>
      <c r="DT95">
        <f>IF($O$4="",1,IF($O$4="(blank)",--('Final Calculation Sheet'!$N$40=""),IF($O$4="(nonblank)",--('Final Calculation Sheet'!$N$40&lt;&gt;""),--ISNUMBER(SEARCH($O$4,'Final Calculation Sheet'!$N$40)))))</f>
        <v/>
      </c>
      <c r="DU95">
        <f>IF($P$4="",1,IF($P$4="(blank)",--('Final Calculation Sheet'!$O$40=""),IF($P$4="(nonblank)",--('Final Calculation Sheet'!$O$40&lt;&gt;""),--ISNUMBER(SEARCH($P$4,'Final Calculation Sheet'!$O$40)))))</f>
        <v/>
      </c>
      <c r="DV95">
        <f>IF($Q$4="",1,IF($Q$4="(blank)",--('Final Calculation Sheet'!$P$40=""),IF($Q$4="(nonblank)",--('Final Calculation Sheet'!$P$40&lt;&gt;""),--ISNUMBER(SEARCH($Q$4,'Final Calculation Sheet'!$P$40)))))</f>
        <v/>
      </c>
      <c r="DW95">
        <f>IF($R$4="",1,IF($R$4="(blank)",--('Final Calculation Sheet'!$Q$40=""),IF($R$4="(nonblank)",--('Final Calculation Sheet'!$Q$40&lt;&gt;""),--ISNUMBER(SEARCH($R$4,'Final Calculation Sheet'!$Q$40)))))</f>
        <v/>
      </c>
      <c r="DX95">
        <f>IF($S$4="",1,IF($S$4="(blank)",--('Final Calculation Sheet'!$R$40=""),IF($S$4="(nonblank)",--('Final Calculation Sheet'!$R$40&lt;&gt;""),--ISNUMBER(SEARCH($S$4,'Final Calculation Sheet'!$R$40)))))</f>
        <v/>
      </c>
      <c r="DY95">
        <f>IF($T$4="",1,IF($T$4="(blank)",--('Final Calculation Sheet'!$S$40=""),IF($T$4="(nonblank)",--('Final Calculation Sheet'!$S$40&lt;&gt;""),--ISNUMBER(SEARCH($T$4,'Final Calculation Sheet'!$S$40)))))</f>
        <v/>
      </c>
      <c r="DZ95">
        <f>IF($U$4="",1,IF($U$4="(blank)",--('Final Calculation Sheet'!$T$40=""),IF($U$4="(nonblank)",--('Final Calculation Sheet'!$T$40&lt;&gt;""),--ISNUMBER(SEARCH($U$4,'Final Calculation Sheet'!$T$40)))))</f>
        <v/>
      </c>
      <c r="EA95">
        <f>IF($V$4="",1,IF($V$4="(blank)",--('Final Calculation Sheet'!$U$40=""),IF($V$4="(nonblank)",--('Final Calculation Sheet'!$U$40&lt;&gt;""),--ISNUMBER(SEARCH($V$4,'Final Calculation Sheet'!$U$40)))))</f>
        <v/>
      </c>
      <c r="EB95">
        <f>IF($W$4="",1,IF($W$4="(blank)",--('Final Calculation Sheet'!$V$40=""),IF($W$4="(nonblank)",--('Final Calculation Sheet'!$V$40&lt;&gt;""),--ISNUMBER(SEARCH($W$4,'Final Calculation Sheet'!$V$40)))))</f>
        <v/>
      </c>
      <c r="EC95">
        <f>IF($X$4="",1,IF($X$4="(blank)",--('Final Calculation Sheet'!$W$40=""),IF($X$4="(nonblank)",--('Final Calculation Sheet'!$W$40&lt;&gt;""),--ISNUMBER(SEARCH($X$4,'Final Calculation Sheet'!$W$40)))))</f>
        <v/>
      </c>
      <c r="ED95">
        <f>IF($Y$4="",1,IF($Y$4="(blank)",--('Final Calculation Sheet'!$X$40=""),IF($Y$4="(nonblank)",--('Final Calculation Sheet'!$X$40&lt;&gt;""),--ISNUMBER(SEARCH($Y$4,'Final Calculation Sheet'!$X$40)))))</f>
        <v/>
      </c>
      <c r="EE95">
        <f>IF($Z$4="",1,IF($Z$4="(blank)",--('Final Calculation Sheet'!$Y$40=""),IF($Z$4="(nonblank)",--('Final Calculation Sheet'!$Y$40&lt;&gt;""),--ISNUMBER(SEARCH($Z$4,'Final Calculation Sheet'!$Y$40)))))</f>
        <v/>
      </c>
      <c r="EF95">
        <f>IF($AA$4="",1,IF($AA$4="(blank)",--('Final Calculation Sheet'!$Z$40=""),IF($AA$4="(nonblank)",--('Final Calculation Sheet'!$Z$40&lt;&gt;""),--ISNUMBER(SEARCH($AA$4,'Final Calculation Sheet'!$Z$40)))))</f>
        <v/>
      </c>
      <c r="EG95">
        <f>IF($AB$4="",1,IF($AB$4="(blank)",--('Final Calculation Sheet'!$AA$40=""),IF($AB$4="(nonblank)",--('Final Calculation Sheet'!$AA$40&lt;&gt;""),--ISNUMBER(SEARCH($AB$4,'Final Calculation Sheet'!$AA$40)))))</f>
        <v/>
      </c>
      <c r="EH95">
        <f>IF($AC$4="",1,IF($AC$4="(blank)",--('Final Calculation Sheet'!$AB$40=""),IF($AC$4="(nonblank)",--('Final Calculation Sheet'!$AB$40&lt;&gt;""),--ISNUMBER(SEARCH($AC$4,'Final Calculation Sheet'!$AB$40)))))</f>
        <v/>
      </c>
      <c r="EI95">
        <f>IF($AD$4="",1,IF($AD$4="(blank)",--('Final Calculation Sheet'!$AC$40=""),IF($AD$4="(nonblank)",--('Final Calculation Sheet'!$AC$40&lt;&gt;""),--ISNUMBER(SEARCH($AD$4,'Final Calculation Sheet'!$AC$40)))))</f>
        <v/>
      </c>
      <c r="EJ95">
        <f>IF($AE$4="",1,IF($AE$4="(blank)",--('Final Calculation Sheet'!$AD$40=""),IF($AE$4="(nonblank)",--('Final Calculation Sheet'!$AD$40&lt;&gt;""),--ISNUMBER(SEARCH($AE$4,'Final Calculation Sheet'!$AD$40)))))</f>
        <v/>
      </c>
      <c r="EK95">
        <f>IF($AF$4="",1,IF($AF$4="(blank)",--(IF('Final Calculation Sheet'!$AD$40&lt;=5,"SETTLED","OUTSTANDING")=""),IF($AF$4="(nonblank)",--(IF('Final Calculation Sheet'!$AD$40&lt;=5,"SETTLED","OUTSTANDING")&lt;&gt;""),--ISNUMBER(SEARCH($AF$4,IF('Final Calculation Sheet'!$AD$40&lt;=5,"SETTLED","OUTSTANDING"))))))</f>
        <v/>
      </c>
      <c r="EL95">
        <f>IF($AG$4="",1,IF($AG$4="(blank)",--('Final Calculation Sheet'!$AF$40=""),IF($AG$4="(nonblank)",--('Final Calculation Sheet'!$AF$40&lt;&gt;""),--ISNUMBER(SEARCH($AG$4,'Final Calculation Sheet'!$AF$40)))))</f>
        <v/>
      </c>
      <c r="EM95">
        <f>IF($AH$4="",1,IF($AH$4="(blank)",--('Final Calculation Sheet'!$AG$40=""),IF($AH$4="(nonblank)",--('Final Calculation Sheet'!$AG$40&lt;&gt;""),--ISNUMBER(SEARCH($AH$4,'Final Calculation Sheet'!$AG$40)))))</f>
        <v/>
      </c>
      <c r="EN95">
        <f>IF($AI$4="",1,IF($AI$4="(blank)",--('Final Calculation Sheet'!$AH$40=""),IF($AI$4="(nonblank)",--('Final Calculation Sheet'!$AH$40&lt;&gt;""),--ISNUMBER(SEARCH($AI$4,'Final Calculation Sheet'!$AH$40)))))</f>
        <v/>
      </c>
    </row>
  </sheetData>
  <mergeCells count="2">
    <mergeCell ref="A2:AI2"/>
    <mergeCell ref="A1:AI1"/>
  </mergeCells>
  <conditionalFormatting sqref="A7:AI58">
    <cfRule type="expression" priority="1" dxfId="50">
      <formula>AND(ISNUMBER($A7),$B7&lt;&gt;"",COUNTIF($B$4:$AI$4,"&lt;&gt;")&gt;0,$AJ7=0)</formula>
    </cfRule>
  </conditionalFormatting>
  <conditionalFormatting sqref="AE7:AE58">
    <cfRule type="cellIs" priority="2" operator="greaterThan" dxfId="0">
      <formula>5</formula>
    </cfRule>
  </conditionalFormatting>
  <conditionalFormatting sqref="AF7:AF58">
    <cfRule type="cellIs" priority="3" operator="equal" dxfId="2">
      <formula>"SETTLED"</formula>
    </cfRule>
    <cfRule type="cellIs" priority="4" operator="equal" dxfId="0">
      <formula>"OUTSTANDING"</formula>
    </cfRule>
  </conditionalFormatting>
  <conditionalFormatting sqref="B7:B56">
    <cfRule type="expression" priority="5" dxfId="3">
      <formula>AND(ISNUMBER($A7),$B$4&lt;&gt;"",IF($B$4="(blank)",B7="",IF($B$4="(nonblank)",B7&lt;&gt;"",ISNUMBER(SEARCH($B$4,B7)))))</formula>
    </cfRule>
  </conditionalFormatting>
  <conditionalFormatting sqref="C7:C56">
    <cfRule type="expression" priority="6" dxfId="3">
      <formula>AND(ISNUMBER($A7),$C$4&lt;&gt;"",IF($C$4="(blank)",C7="",IF($C$4="(nonblank)",C7&lt;&gt;"",ISNUMBER(SEARCH($C$4,C7)))))</formula>
    </cfRule>
  </conditionalFormatting>
  <conditionalFormatting sqref="D7:D56">
    <cfRule type="expression" priority="7" dxfId="3">
      <formula>AND(ISNUMBER($A7),$D$4&lt;&gt;"",IF($D$4="(blank)",D7="",IF($D$4="(nonblank)",D7&lt;&gt;"",ISNUMBER(SEARCH($D$4,D7)))))</formula>
    </cfRule>
  </conditionalFormatting>
  <conditionalFormatting sqref="E7:E56">
    <cfRule type="expression" priority="8" dxfId="3">
      <formula>AND(ISNUMBER($A7),$E$4&lt;&gt;"",IF($E$4="(blank)",E7="",IF($E$4="(nonblank)",E7&lt;&gt;"",ISNUMBER(SEARCH($E$4,E7)))))</formula>
    </cfRule>
  </conditionalFormatting>
  <conditionalFormatting sqref="F7:F56">
    <cfRule type="expression" priority="9" dxfId="3">
      <formula>AND(ISNUMBER($A7),$F$4&lt;&gt;"",IF($F$4="(blank)",F7="",IF($F$4="(nonblank)",F7&lt;&gt;"",ISNUMBER(SEARCH($F$4,F7)))))</formula>
    </cfRule>
  </conditionalFormatting>
  <conditionalFormatting sqref="G7:G56">
    <cfRule type="expression" priority="10" dxfId="3">
      <formula>AND(ISNUMBER($A7),$G$4&lt;&gt;"",IF($G$4="(blank)",G7="",IF($G$4="(nonblank)",G7&lt;&gt;"",ISNUMBER(SEARCH($G$4,G7)))))</formula>
    </cfRule>
  </conditionalFormatting>
  <conditionalFormatting sqref="H7:H56">
    <cfRule type="expression" priority="11" dxfId="3">
      <formula>AND(ISNUMBER($A7),$H$4&lt;&gt;"",IF($H$4="(blank)",H7="",IF($H$4="(nonblank)",H7&lt;&gt;"",ISNUMBER(SEARCH($H$4,H7)))))</formula>
    </cfRule>
  </conditionalFormatting>
  <conditionalFormatting sqref="I7:I56">
    <cfRule type="expression" priority="12" dxfId="3">
      <formula>AND(ISNUMBER($A7),$I$4&lt;&gt;"",IF($I$4="(blank)",I7="",IF($I$4="(nonblank)",I7&lt;&gt;"",ISNUMBER(SEARCH($I$4,I7)))))</formula>
    </cfRule>
  </conditionalFormatting>
  <conditionalFormatting sqref="J7:J56">
    <cfRule type="expression" priority="13" dxfId="3">
      <formula>AND(ISNUMBER($A7),$J$4&lt;&gt;"",IF($J$4="(blank)",J7="",IF($J$4="(nonblank)",J7&lt;&gt;"",ISNUMBER(SEARCH($J$4,J7)))))</formula>
    </cfRule>
  </conditionalFormatting>
  <conditionalFormatting sqref="K7:K56">
    <cfRule type="expression" priority="14" dxfId="3">
      <formula>AND(ISNUMBER($A7),$K$4&lt;&gt;"",IF($K$4="(blank)",K7="",IF($K$4="(nonblank)",K7&lt;&gt;"",ISNUMBER(SEARCH($K$4,K7)))))</formula>
    </cfRule>
  </conditionalFormatting>
  <conditionalFormatting sqref="L7:L56">
    <cfRule type="expression" priority="15" dxfId="3">
      <formula>AND(ISNUMBER($A7),$L$4&lt;&gt;"",IF($L$4="(blank)",L7="",IF($L$4="(nonblank)",L7&lt;&gt;"",ISNUMBER(SEARCH($L$4,L7)))))</formula>
    </cfRule>
  </conditionalFormatting>
  <conditionalFormatting sqref="M7:M56">
    <cfRule type="expression" priority="16" dxfId="3">
      <formula>AND(ISNUMBER($A7),$M$4&lt;&gt;"",IF($M$4="(blank)",M7="",IF($M$4="(nonblank)",M7&lt;&gt;"",ISNUMBER(SEARCH($M$4,M7)))))</formula>
    </cfRule>
  </conditionalFormatting>
  <conditionalFormatting sqref="N7:N56">
    <cfRule type="expression" priority="17" dxfId="3">
      <formula>AND(ISNUMBER($A7),$N$4&lt;&gt;"",IF($N$4="(blank)",N7="",IF($N$4="(nonblank)",N7&lt;&gt;"",ISNUMBER(SEARCH($N$4,N7)))))</formula>
    </cfRule>
  </conditionalFormatting>
  <conditionalFormatting sqref="O7:O56">
    <cfRule type="expression" priority="18" dxfId="3">
      <formula>AND(ISNUMBER($A7),$O$4&lt;&gt;"",IF($O$4="(blank)",O7="",IF($O$4="(nonblank)",O7&lt;&gt;"",ISNUMBER(SEARCH($O$4,O7)))))</formula>
    </cfRule>
  </conditionalFormatting>
  <conditionalFormatting sqref="P7:P56">
    <cfRule type="expression" priority="19" dxfId="3">
      <formula>AND(ISNUMBER($A7),$P$4&lt;&gt;"",IF($P$4="(blank)",P7="",IF($P$4="(nonblank)",P7&lt;&gt;"",ISNUMBER(SEARCH($P$4,P7)))))</formula>
    </cfRule>
  </conditionalFormatting>
  <conditionalFormatting sqref="Q7:Q56">
    <cfRule type="expression" priority="20" dxfId="3">
      <formula>AND(ISNUMBER($A7),$Q$4&lt;&gt;"",IF($Q$4="(blank)",Q7="",IF($Q$4="(nonblank)",Q7&lt;&gt;"",ISNUMBER(SEARCH($Q$4,Q7)))))</formula>
    </cfRule>
  </conditionalFormatting>
  <conditionalFormatting sqref="R7:R56">
    <cfRule type="expression" priority="21" dxfId="3">
      <formula>AND(ISNUMBER($A7),$R$4&lt;&gt;"",IF($R$4="(blank)",R7="",IF($R$4="(nonblank)",R7&lt;&gt;"",ISNUMBER(SEARCH($R$4,R7)))))</formula>
    </cfRule>
  </conditionalFormatting>
  <conditionalFormatting sqref="S7:S56">
    <cfRule type="expression" priority="22" dxfId="3">
      <formula>AND(ISNUMBER($A7),$S$4&lt;&gt;"",IF($S$4="(blank)",S7="",IF($S$4="(nonblank)",S7&lt;&gt;"",ISNUMBER(SEARCH($S$4,S7)))))</formula>
    </cfRule>
  </conditionalFormatting>
  <conditionalFormatting sqref="T7:T56">
    <cfRule type="expression" priority="23" dxfId="3">
      <formula>AND(ISNUMBER($A7),$T$4&lt;&gt;"",IF($T$4="(blank)",T7="",IF($T$4="(nonblank)",T7&lt;&gt;"",ISNUMBER(SEARCH($T$4,T7)))))</formula>
    </cfRule>
  </conditionalFormatting>
  <conditionalFormatting sqref="U7:U56">
    <cfRule type="expression" priority="24" dxfId="3">
      <formula>AND(ISNUMBER($A7),$U$4&lt;&gt;"",IF($U$4="(blank)",U7="",IF($U$4="(nonblank)",U7&lt;&gt;"",ISNUMBER(SEARCH($U$4,U7)))))</formula>
    </cfRule>
  </conditionalFormatting>
  <conditionalFormatting sqref="V7:V56">
    <cfRule type="expression" priority="25" dxfId="3">
      <formula>AND(ISNUMBER($A7),$V$4&lt;&gt;"",IF($V$4="(blank)",V7="",IF($V$4="(nonblank)",V7&lt;&gt;"",ISNUMBER(SEARCH($V$4,V7)))))</formula>
    </cfRule>
  </conditionalFormatting>
  <conditionalFormatting sqref="W7:W56">
    <cfRule type="expression" priority="26" dxfId="3">
      <formula>AND(ISNUMBER($A7),$W$4&lt;&gt;"",IF($W$4="(blank)",W7="",IF($W$4="(nonblank)",W7&lt;&gt;"",ISNUMBER(SEARCH($W$4,W7)))))</formula>
    </cfRule>
  </conditionalFormatting>
  <conditionalFormatting sqref="X7:X56">
    <cfRule type="expression" priority="27" dxfId="3">
      <formula>AND(ISNUMBER($A7),$X$4&lt;&gt;"",IF($X$4="(blank)",X7="",IF($X$4="(nonblank)",X7&lt;&gt;"",ISNUMBER(SEARCH($X$4,X7)))))</formula>
    </cfRule>
  </conditionalFormatting>
  <conditionalFormatting sqref="Y7:Y56">
    <cfRule type="expression" priority="28" dxfId="3">
      <formula>AND(ISNUMBER($A7),$Y$4&lt;&gt;"",IF($Y$4="(blank)",Y7="",IF($Y$4="(nonblank)",Y7&lt;&gt;"",ISNUMBER(SEARCH($Y$4,Y7)))))</formula>
    </cfRule>
  </conditionalFormatting>
  <conditionalFormatting sqref="Z7:Z56">
    <cfRule type="expression" priority="29" dxfId="3">
      <formula>AND(ISNUMBER($A7),$Z$4&lt;&gt;"",IF($Z$4="(blank)",Z7="",IF($Z$4="(nonblank)",Z7&lt;&gt;"",ISNUMBER(SEARCH($Z$4,Z7)))))</formula>
    </cfRule>
  </conditionalFormatting>
  <conditionalFormatting sqref="AA7:AA56">
    <cfRule type="expression" priority="30" dxfId="3">
      <formula>AND(ISNUMBER($A7),$AA$4&lt;&gt;"",IF($AA$4="(blank)",AA7="",IF($AA$4="(nonblank)",AA7&lt;&gt;"",ISNUMBER(SEARCH($AA$4,AA7)))))</formula>
    </cfRule>
  </conditionalFormatting>
  <conditionalFormatting sqref="AB7:AB56">
    <cfRule type="expression" priority="31" dxfId="3">
      <formula>AND(ISNUMBER($A7),$AB$4&lt;&gt;"",IF($AB$4="(blank)",AB7="",IF($AB$4="(nonblank)",AB7&lt;&gt;"",ISNUMBER(SEARCH($AB$4,AB7)))))</formula>
    </cfRule>
  </conditionalFormatting>
  <conditionalFormatting sqref="AC7:AC56">
    <cfRule type="expression" priority="32" dxfId="3">
      <formula>AND(ISNUMBER($A7),$AC$4&lt;&gt;"",IF($AC$4="(blank)",AC7="",IF($AC$4="(nonblank)",AC7&lt;&gt;"",ISNUMBER(SEARCH($AC$4,AC7)))))</formula>
    </cfRule>
  </conditionalFormatting>
  <conditionalFormatting sqref="AD7:AD56">
    <cfRule type="expression" priority="33" dxfId="3">
      <formula>AND(ISNUMBER($A7),$AD$4&lt;&gt;"",IF($AD$4="(blank)",AD7="",IF($AD$4="(nonblank)",AD7&lt;&gt;"",ISNUMBER(SEARCH($AD$4,AD7)))))</formula>
    </cfRule>
  </conditionalFormatting>
  <conditionalFormatting sqref="AE7:AE56">
    <cfRule type="expression" priority="34" dxfId="3">
      <formula>AND(ISNUMBER($A7),$AE$4&lt;&gt;"",IF($AE$4="(blank)",AE7="",IF($AE$4="(nonblank)",AE7&lt;&gt;"",ISNUMBER(SEARCH($AE$4,AE7)))))</formula>
    </cfRule>
  </conditionalFormatting>
  <conditionalFormatting sqref="AG7:AG56">
    <cfRule type="expression" priority="35" dxfId="3">
      <formula>AND(ISNUMBER($A7),$AG$4&lt;&gt;"",IF($AG$4="(blank)",AG7="",IF($AG$4="(nonblank)",AG7&lt;&gt;"",ISNUMBER(SEARCH($AG$4,AG7)))))</formula>
    </cfRule>
  </conditionalFormatting>
  <conditionalFormatting sqref="AH7:AH56">
    <cfRule type="expression" priority="36" dxfId="3">
      <formula>AND(ISNUMBER($A7),$AH$4&lt;&gt;"",IF($AH$4="(blank)",AH7="",IF($AH$4="(nonblank)",AH7&lt;&gt;"",ISNUMBER(SEARCH($AH$4,AH7)))))</formula>
    </cfRule>
  </conditionalFormatting>
  <conditionalFormatting sqref="AI7:AI56">
    <cfRule type="expression" priority="37" dxfId="3">
      <formula>AND(ISNUMBER($A7),$AI$4&lt;&gt;"",IF($AI$4="(blank)",AI7="",IF($AI$4="(nonblank)",AI7&lt;&gt;"",ISNUMBER(SEARCH($AI$4,AI7)))))</formula>
    </cfRule>
  </conditionalFormatting>
  <conditionalFormatting sqref="AF7:AF56">
    <cfRule type="expression" priority="38" dxfId="3">
      <formula>AND(ISNUMBER($A7),$AF$4&lt;&gt;"",IF($AF$4="(blank)",AF7="",IF($AF$4="(nonblank)",AF7&lt;&gt;"",ISNUMBER(SEARCH($AF$4,AF7)))))</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IF(IFERROR('Final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IF(IFERROR('Final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IF(IFERROR('Final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IF(IFERROR('Final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IF(IFERROR('Final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IF(IFERROR('Final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Groups'!DH59:EN59,0)&gt;0,0,1)</f>
        <v/>
      </c>
      <c r="LF6">
        <f>IF($O$6="",FALSE,SUMPRODUCT(('Final Calculation Sheet'!$F$4:$F$40=$O$6)*($LE$6:$LE$42=1))&gt;0)</f>
        <v/>
      </c>
      <c r="LG6">
        <f>$LG$5+--($LF6)</f>
        <v/>
      </c>
      <c r="LH6">
        <f>IF(ROW()-3&gt;MAX($LG$4:$LG$40),"",INDEX($O$4:$O$40,MATCH(ROW()-3,$LG$4:$LG$40,0)))</f>
        <v/>
      </c>
      <c r="LI6">
        <f>IF(COUNTIF('Buyer Groups'!DG59:DG59,0)+COUNTIF('Buyer Groups'!DI59:EN59,0)&gt;0,0,1)</f>
        <v/>
      </c>
      <c r="LJ6">
        <f>IF($T$6="",FALSE,SUMPRODUCT(('Final Calculation Sheet'!$G$4:$G$40=$T$6)*($LI$6:$LI$42=1))&gt;0)</f>
        <v/>
      </c>
      <c r="LK6">
        <f>$LK$5+--($LJ6)</f>
        <v/>
      </c>
      <c r="LL6">
        <f>IF(ROW()-3&gt;MAX($LK$4:$LK$40),"",INDEX($T$4:$T$40,MATCH(ROW()-3,$LK$4:$LK$40,0)))</f>
        <v/>
      </c>
      <c r="LM6">
        <f>IF(COUNTIF('Buyer Groups'!DG59:DH59,0)+COUNTIF('Buyer Groups'!DJ59:EN59,0)&gt;0,0,1)</f>
        <v/>
      </c>
      <c r="LN6">
        <f>IF($Y$6="",FALSE,SUMPRODUCT(('Final Calculation Sheet'!$B$4:$B$40=$Y$6)*($LM$6:$LM$42=1))&gt;0)</f>
        <v/>
      </c>
      <c r="LO6">
        <f>$LO$5+--($LN6)</f>
        <v/>
      </c>
      <c r="LP6">
        <f>IF(ROW()-3&gt;MAX($LO$4:$LO$40),"",INDEX($Y$4:$Y$40,MATCH(ROW()-3,$LO$4:$LO$40,0)))</f>
        <v/>
      </c>
      <c r="LQ6">
        <f>IF(COUNTIF('Buyer Groups'!DG59:DI59,0)+COUNTIF('Buyer Groups'!DK59:EN59,0)&gt;0,0,1)</f>
        <v/>
      </c>
      <c r="LR6">
        <f>IF($AD$6="",FALSE,SUMPRODUCT(('Final Calculation Sheet'!$D$4:$D$40=$AD$6)*($LQ$6:$LQ$42=1))&gt;0)</f>
        <v/>
      </c>
      <c r="LS6">
        <f>$LS$5+--($LR6)</f>
        <v/>
      </c>
      <c r="LT6">
        <f>IF(ROW()-3&gt;MAX($LS$4:$LS$40),"",INDEX($AD$4:$AD$40,MATCH(ROW()-3,$LS$4:$LS$40,0)))</f>
        <v/>
      </c>
      <c r="LU6">
        <f>IF(COUNTIF('Buyer Groups'!DG59:DJ59,0)+COUNTIF('Buyer Groups'!DL59:EN59,0)&gt;0,0,1)</f>
        <v/>
      </c>
      <c r="LV6">
        <f>IF($AI$6="",FALSE,SUMPRODUCT(('Final Calculation Sheet'!$A$4:$A$40=$AI$6)*($LU$6:$LU$42=1))&gt;0)</f>
        <v/>
      </c>
      <c r="LW6">
        <f>$LW$5+--($LV6)</f>
        <v/>
      </c>
      <c r="LX6">
        <f>IF(ROW()-3&gt;MAX($LW$4:$LW$40),"",INDEX($AI$4:$AI$40,MATCH(ROW()-3,$LW$4:$LW$40,0)))</f>
        <v/>
      </c>
      <c r="LY6">
        <f>IF(COUNTIF('Buyer Groups'!DG59:DK59,0)+COUNTIF('Buyer Groups'!DM59:EN59,0)&gt;0,0,1)</f>
        <v/>
      </c>
      <c r="LZ6">
        <f>IF($AN$6="",FALSE,SUMPRODUCT(('Final Calculation Sheet'!$E$4:$E$40=$AN$6)*($LY$6:$LY$42=1))&gt;0)</f>
        <v/>
      </c>
      <c r="MA6">
        <f>$MA$5+--($LZ6)</f>
        <v/>
      </c>
      <c r="MB6">
        <f>IF(ROW()-3&gt;MAX($MA$4:$MA$40),"",INDEX($AN$4:$AN$40,MATCH(ROW()-3,$MA$4:$MA$40,0)))</f>
        <v/>
      </c>
      <c r="MC6">
        <f>IF(COUNTIF('Buyer Groups'!DG59:DL59,0)+COUNTIF('Buyer Groups'!DN59:EN59,0)&gt;0,0,1)</f>
        <v/>
      </c>
      <c r="MD6">
        <f>IF($AS$6="",FALSE,SUMPRODUCT(('Final Calculation Sheet'!$C$4:$C$40=$AS$6)*($MC$6:$MC$42=1))&gt;0)</f>
        <v/>
      </c>
      <c r="ME6">
        <f>$ME$5+--($MD6)</f>
        <v/>
      </c>
      <c r="MF6">
        <f>IF(ROW()-3&gt;MAX($ME$4:$ME$40),"",INDEX($AS$4:$AS$40,MATCH(ROW()-3,$ME$4:$ME$40,0)))</f>
        <v/>
      </c>
      <c r="MG6">
        <f>IF(COUNTIF('Buyer Groups'!DG59:DM59,0)+COUNTIF('Buyer Groups'!DO59:EN59,0)&gt;0,0,1)</f>
        <v/>
      </c>
      <c r="MH6">
        <f>IF($AX$6="",FALSE,SUMPRODUCT(('Final Calculation Sheet'!$H$4:$H$40=$AX$6)*($MG$6:$MG$42=1))&gt;0)</f>
        <v/>
      </c>
      <c r="MI6">
        <f>$MI$5+--($MH6)</f>
        <v/>
      </c>
      <c r="MJ6">
        <f>IF(ROW()-3&gt;MAX($MI$4:$MI$40),"",INDEX($AX$4:$AX$40,MATCH(ROW()-3,$MI$4:$MI$40,0)))</f>
        <v/>
      </c>
      <c r="MK6">
        <f>IF(COUNTIF('Buyer Groups'!DG59:DN59,0)+COUNTIF('Buyer Groups'!DP59:EN59,0)&gt;0,0,1)</f>
        <v/>
      </c>
      <c r="ML6">
        <f>IF($BC$6="",FALSE,SUMPRODUCT(('Final Calculation Sheet'!$I$4:$I$40=$BC$6)*($MK$6:$MK$42=1))&gt;0)</f>
        <v/>
      </c>
      <c r="MM6">
        <f>$MM$5+--($ML6)</f>
        <v/>
      </c>
      <c r="MN6">
        <f>IF(ROW()-3&gt;MAX($MM$4:$MM$40),"",INDEX($BC$4:$BC$40,MATCH(ROW()-3,$MM$4:$MM$40,0)))</f>
        <v/>
      </c>
      <c r="MO6">
        <f>IF(COUNTIF('Buyer Groups'!DG59:DO59,0)+COUNTIF('Buyer Groups'!DQ59:EN59,0)&gt;0,0,1)</f>
        <v/>
      </c>
      <c r="MP6">
        <f>IF($BH$6="",FALSE,SUMPRODUCT(('Final Calculation Sheet'!$J$4:$J$40=$BH$6)*($MO$6:$MO$42=1))&gt;0)</f>
        <v/>
      </c>
      <c r="MQ6">
        <f>$MQ$5+--($MP6)</f>
        <v/>
      </c>
      <c r="MR6">
        <f>IF(ROW()-3&gt;MAX($MQ$4:$MQ$40),"",INDEX($BH$4:$BH$40,MATCH(ROW()-3,$MQ$4:$MQ$40,0)))</f>
        <v/>
      </c>
      <c r="MS6">
        <f>IF(COUNTIF('Buyer Groups'!DG59:DP59,0)+COUNTIF('Buyer Groups'!DR59:EN59,0)&gt;0,0,1)</f>
        <v/>
      </c>
      <c r="MT6">
        <f>IF($BM$6="",FALSE,SUMPRODUCT(('Final Calculation Sheet'!$K$4:$K$40=$BM$6)*($MS$6:$MS$42=1))&gt;0)</f>
        <v/>
      </c>
      <c r="MU6">
        <f>$MU$5+--($MT6)</f>
        <v/>
      </c>
      <c r="MV6">
        <f>IF(ROW()-3&gt;MAX($MU$4:$MU$40),"",INDEX($BM$4:$BM$40,MATCH(ROW()-3,$MU$4:$MU$40,0)))</f>
        <v/>
      </c>
      <c r="MW6">
        <f>IF(COUNTIF('Buyer Groups'!DG59:DQ59,0)+COUNTIF('Buyer Groups'!DS59:EN59,0)&gt;0,0,1)</f>
        <v/>
      </c>
      <c r="MX6">
        <f>IF($BR$6="",FALSE,SUMPRODUCT(('Final Calculation Sheet'!$L$4:$L$40=$BR$6)*($MW$6:$MW$42=1))&gt;0)</f>
        <v/>
      </c>
      <c r="MY6">
        <f>$MY$5+--($MX6)</f>
        <v/>
      </c>
      <c r="MZ6">
        <f>IF(ROW()-3&gt;MAX($MY$4:$MY$40),"",INDEX($BR$4:$BR$40,MATCH(ROW()-3,$MY$4:$MY$40,0)))</f>
        <v/>
      </c>
      <c r="NA6">
        <f>IF(COUNTIF('Buyer Groups'!DG59:DR59,0)+COUNTIF('Buyer Groups'!DT59:EN59,0)&gt;0,0,1)</f>
        <v/>
      </c>
      <c r="NB6">
        <f>IF($BW$6="",FALSE,SUMPRODUCT(('Final Calculation Sheet'!$M$4:$M$40=$BW$6)*($NA$6:$NA$42=1))&gt;0)</f>
        <v/>
      </c>
      <c r="NC6">
        <f>$NC$5+--($NB6)</f>
        <v/>
      </c>
      <c r="ND6">
        <f>IF(ROW()-3&gt;MAX($NC$4:$NC$40),"",INDEX($BW$4:$BW$40,MATCH(ROW()-3,$NC$4:$NC$40,0)))</f>
        <v/>
      </c>
      <c r="NE6">
        <f>IF(COUNTIF('Buyer Groups'!DG59:DS59,0)+COUNTIF('Buyer Groups'!DU59:EN59,0)&gt;0,0,1)</f>
        <v/>
      </c>
      <c r="NF6">
        <f>IF($CB$6="",FALSE,SUMPRODUCT(('Final Calculation Sheet'!$N$4:$N$40=$CB$6)*($NE$6:$NE$42=1))&gt;0)</f>
        <v/>
      </c>
      <c r="NG6">
        <f>$NG$5+--($NF6)</f>
        <v/>
      </c>
      <c r="NH6">
        <f>IF(ROW()-3&gt;MAX($NG$4:$NG$40),"",INDEX($CB$4:$CB$40,MATCH(ROW()-3,$NG$4:$NG$40,0)))</f>
        <v/>
      </c>
      <c r="NI6">
        <f>IF(COUNTIF('Buyer Groups'!DG59:DT59,0)+COUNTIF('Buyer Groups'!DV59:EN59,0)&gt;0,0,1)</f>
        <v/>
      </c>
      <c r="NJ6">
        <f>IF($CG$6="",FALSE,SUMPRODUCT(('Final Calculation Sheet'!$O$4:$O$40=$CG$6)*($NI$6:$NI$42=1))&gt;0)</f>
        <v/>
      </c>
      <c r="NK6">
        <f>$NK$5+--($NJ6)</f>
        <v/>
      </c>
      <c r="NL6">
        <f>IF(ROW()-3&gt;MAX($NK$4:$NK$40),"",INDEX($CG$4:$CG$40,MATCH(ROW()-3,$NK$4:$NK$40,0)))</f>
        <v/>
      </c>
      <c r="NM6">
        <f>IF(COUNTIF('Buyer Groups'!DG59:DU59,0)+COUNTIF('Buyer Groups'!DW59:EN59,0)&gt;0,0,1)</f>
        <v/>
      </c>
      <c r="NN6">
        <f>IF($CL$6="",FALSE,SUMPRODUCT(('Final Calculation Sheet'!$P$4:$P$40=$CL$6)*($NM$6:$NM$42=1))&gt;0)</f>
        <v/>
      </c>
      <c r="NO6">
        <f>$NO$5+--($NN6)</f>
        <v/>
      </c>
      <c r="NP6">
        <f>IF(ROW()-3&gt;MAX($NO$4:$NO$40),"",INDEX($CL$4:$CL$40,MATCH(ROW()-3,$NO$4:$NO$40,0)))</f>
        <v/>
      </c>
      <c r="NQ6">
        <f>IF(COUNTIF('Buyer Groups'!DG59:DV59,0)+COUNTIF('Buyer Groups'!DX59:EN59,0)&gt;0,0,1)</f>
        <v/>
      </c>
      <c r="NR6">
        <f>IF($CQ$6="",FALSE,SUMPRODUCT(('Final Calculation Sheet'!$Q$4:$Q$40=$CQ$6)*($NQ$6:$NQ$42=1))&gt;0)</f>
        <v/>
      </c>
      <c r="NS6">
        <f>$NS$5+--($NR6)</f>
        <v/>
      </c>
      <c r="NT6">
        <f>IF(ROW()-3&gt;MAX($NS$4:$NS$40),"",INDEX($CQ$4:$CQ$40,MATCH(ROW()-3,$NS$4:$NS$40,0)))</f>
        <v/>
      </c>
      <c r="NU6">
        <f>IF(COUNTIF('Buyer Groups'!DG59:DW59,0)+COUNTIF('Buyer Groups'!DY59:EN59,0)&gt;0,0,1)</f>
        <v/>
      </c>
      <c r="NV6">
        <f>IF($CV$6="",FALSE,SUMPRODUCT(('Final Calculation Sheet'!$R$4:$R$40=$CV$6)*($NU$6:$NU$42=1))&gt;0)</f>
        <v/>
      </c>
      <c r="NW6">
        <f>$NW$5+--($NV6)</f>
        <v/>
      </c>
      <c r="NX6">
        <f>IF(ROW()-3&gt;MAX($NW$4:$NW$40),"",INDEX($CV$4:$CV$40,MATCH(ROW()-3,$NW$4:$NW$40,0)))</f>
        <v/>
      </c>
      <c r="NY6">
        <f>IF(COUNTIF('Buyer Groups'!DG59:DX59,0)+COUNTIF('Buyer Groups'!DZ59:EN59,0)&gt;0,0,1)</f>
        <v/>
      </c>
      <c r="NZ6">
        <f>IF($DA$6="",FALSE,SUMPRODUCT(('Final Calculation Sheet'!$S$4:$S$40=$DA$6)*($NY$6:$NY$42=1))&gt;0)</f>
        <v/>
      </c>
      <c r="OA6">
        <f>$OA$5+--($NZ6)</f>
        <v/>
      </c>
      <c r="OB6">
        <f>IF(ROW()-3&gt;MAX($OA$4:$OA$40),"",INDEX($DA$4:$DA$40,MATCH(ROW()-3,$OA$4:$OA$40,0)))</f>
        <v/>
      </c>
      <c r="OC6">
        <f>IF(COUNTIF('Buyer Groups'!DG59:DY59,0)+COUNTIF('Buyer Groups'!EA59:EN59,0)&gt;0,0,1)</f>
        <v/>
      </c>
      <c r="OD6">
        <f>IF($DF$6="",FALSE,SUMPRODUCT(('Final Calculation Sheet'!$T$4:$T$40=$DF$6)*($OC$6:$OC$42=1))&gt;0)</f>
        <v/>
      </c>
      <c r="OE6">
        <f>$OE$5+--($OD6)</f>
        <v/>
      </c>
      <c r="OF6">
        <f>IF(ROW()-3&gt;MAX($OE$4:$OE$40),"",INDEX($DF$4:$DF$40,MATCH(ROW()-3,$OE$4:$OE$40,0)))</f>
        <v/>
      </c>
      <c r="OG6">
        <f>IF(COUNTIF('Buyer Groups'!DG59:DZ59,0)+COUNTIF('Buyer Groups'!EB59:EN59,0)&gt;0,0,1)</f>
        <v/>
      </c>
      <c r="OH6">
        <f>IF($DK$6="",FALSE,SUMPRODUCT(('Final Calculation Sheet'!$U$4:$U$40=$DK$6)*($OG$6:$OG$42=1))&gt;0)</f>
        <v/>
      </c>
      <c r="OI6">
        <f>$OI$5+--($OH6)</f>
        <v/>
      </c>
      <c r="OJ6">
        <f>IF(ROW()-3&gt;MAX($OI$4:$OI$40),"",INDEX($DK$4:$DK$40,MATCH(ROW()-3,$OI$4:$OI$40,0)))</f>
        <v/>
      </c>
      <c r="OK6">
        <f>IF(COUNTIF('Buyer Groups'!DG59:EA59,0)+COUNTIF('Buyer Groups'!EC59:EN59,0)&gt;0,0,1)</f>
        <v/>
      </c>
      <c r="OL6">
        <f>IF($DP$6="",FALSE,SUMPRODUCT(('Final Calculation Sheet'!$V$4:$V$40=$DP$6)*($OK$6:$OK$42=1))&gt;0)</f>
        <v/>
      </c>
      <c r="OM6">
        <f>$OM$5+--($OL6)</f>
        <v/>
      </c>
      <c r="ON6">
        <f>IF(ROW()-3&gt;MAX($OM$4:$OM$40),"",INDEX($DP$4:$DP$40,MATCH(ROW()-3,$OM$4:$OM$40,0)))</f>
        <v/>
      </c>
      <c r="OO6">
        <f>IF(COUNTIF('Buyer Groups'!DG59:EB59,0)+COUNTIF('Buyer Groups'!ED59:EN59,0)&gt;0,0,1)</f>
        <v/>
      </c>
      <c r="OP6">
        <f>IF($DU$6="",FALSE,SUMPRODUCT(('Final Calculation Sheet'!$W$4:$W$40=$DU$6)*($OO$6:$OO$42=1))&gt;0)</f>
        <v/>
      </c>
      <c r="OQ6">
        <f>$OQ$5+--($OP6)</f>
        <v/>
      </c>
      <c r="OR6">
        <f>IF(ROW()-3&gt;MAX($OQ$4:$OQ$40),"",INDEX($DU$4:$DU$40,MATCH(ROW()-3,$OQ$4:$OQ$40,0)))</f>
        <v/>
      </c>
      <c r="OS6">
        <f>IF(COUNTIF('Buyer Groups'!DG59:EC59,0)+COUNTIF('Buyer Groups'!EE59:EN59,0)&gt;0,0,1)</f>
        <v/>
      </c>
      <c r="OT6">
        <f>IF($DZ$6="",FALSE,SUMPRODUCT(('Final Calculation Sheet'!$X$4:$X$40=$DZ$6)*($OS$6:$OS$42=1))&gt;0)</f>
        <v/>
      </c>
      <c r="OU6">
        <f>$OU$5+--($OT6)</f>
        <v/>
      </c>
      <c r="OV6">
        <f>IF(ROW()-3&gt;MAX($OU$4:$OU$40),"",INDEX($DZ$4:$DZ$40,MATCH(ROW()-3,$OU$4:$OU$40,0)))</f>
        <v/>
      </c>
      <c r="OW6">
        <f>IF(COUNTIF('Buyer Groups'!DG59:ED59,0)+COUNTIF('Buyer Groups'!EF59:EN59,0)&gt;0,0,1)</f>
        <v/>
      </c>
      <c r="OX6">
        <f>IF($EE$6="",FALSE,SUMPRODUCT(('Final Calculation Sheet'!$Y$4:$Y$40=$EE$6)*($OW$6:$OW$42=1))&gt;0)</f>
        <v/>
      </c>
      <c r="OY6">
        <f>$OY$5+--($OX6)</f>
        <v/>
      </c>
      <c r="OZ6">
        <f>IF(ROW()-3&gt;MAX($OY$4:$OY$40),"",INDEX($EE$4:$EE$40,MATCH(ROW()-3,$OY$4:$OY$40,0)))</f>
        <v/>
      </c>
      <c r="PA6">
        <f>IF(COUNTIF('Buyer Groups'!DG59:EE59,0)+COUNTIF('Buyer Groups'!EG59:EN59,0)&gt;0,0,1)</f>
        <v/>
      </c>
      <c r="PB6">
        <f>IF($EJ$6="",FALSE,SUMPRODUCT(('Final Calculation Sheet'!$Z$4:$Z$40=$EJ$6)*($PA$6:$PA$42=1))&gt;0)</f>
        <v/>
      </c>
      <c r="PC6">
        <f>$PC$5+--($PB6)</f>
        <v/>
      </c>
      <c r="PD6">
        <f>IF(ROW()-3&gt;MAX($PC$4:$PC$40),"",INDEX($EJ$4:$EJ$40,MATCH(ROW()-3,$PC$4:$PC$40,0)))</f>
        <v/>
      </c>
      <c r="PE6">
        <f>IF(COUNTIF('Buyer Groups'!DG59:EF59,0)+COUNTIF('Buyer Groups'!EH59:EN59,0)&gt;0,0,1)</f>
        <v/>
      </c>
      <c r="PF6">
        <f>IF($EO$6="",FALSE,SUMPRODUCT(('Final Calculation Sheet'!$AA$4:$AA$40=$EO$6)*($PE$6:$PE$42=1))&gt;0)</f>
        <v/>
      </c>
      <c r="PG6">
        <f>$PG$5+--($PF6)</f>
        <v/>
      </c>
      <c r="PH6">
        <f>IF(ROW()-3&gt;MAX($PG$4:$PG$40),"",INDEX($EO$4:$EO$40,MATCH(ROW()-3,$PG$4:$PG$40,0)))</f>
        <v/>
      </c>
      <c r="PI6">
        <f>IF(COUNTIF('Buyer Groups'!DG59:EG59,0)+COUNTIF('Buyer Groups'!EI59:EN59,0)&gt;0,0,1)</f>
        <v/>
      </c>
      <c r="PJ6">
        <f>IF($ET$6="",FALSE,SUMPRODUCT(('Final Calculation Sheet'!$AB$4:$AB$40=$ET$6)*($PI$6:$PI$42=1))&gt;0)</f>
        <v/>
      </c>
      <c r="PK6">
        <f>$PK$5+--($PJ6)</f>
        <v/>
      </c>
      <c r="PL6">
        <f>IF(ROW()-3&gt;MAX($PK$4:$PK$40),"",INDEX($ET$4:$ET$40,MATCH(ROW()-3,$PK$4:$PK$40,0)))</f>
        <v/>
      </c>
      <c r="PM6">
        <f>IF(COUNTIF('Buyer Groups'!DG59:EH59,0)+COUNTIF('Buyer Groups'!EJ59:EN59,0)&gt;0,0,1)</f>
        <v/>
      </c>
      <c r="PN6">
        <f>IF($EY$6="",FALSE,SUMPRODUCT(('Final Calculation Sheet'!$AC$4:$AC$40=$EY$6)*($PM$6:$PM$42=1))&gt;0)</f>
        <v/>
      </c>
      <c r="PO6">
        <f>$PO$5+--($PN6)</f>
        <v/>
      </c>
      <c r="PP6">
        <f>IF(ROW()-3&gt;MAX($PO$4:$PO$40),"",INDEX($EY$4:$EY$40,MATCH(ROW()-3,$PO$4:$PO$40,0)))</f>
        <v/>
      </c>
      <c r="PQ6">
        <f>IF(COUNTIF('Buyer Groups'!DG59:EI59,0)+COUNTIF('Buyer Groups'!EK59:EN59,0)&gt;0,0,1)</f>
        <v/>
      </c>
      <c r="PR6">
        <f>IF($FD$6="",FALSE,SUMPRODUCT(('Final Calculation Sheet'!$AD$4:$AD$40=$FD$6)*($PQ$6:$PQ$42=1))&gt;0)</f>
        <v/>
      </c>
      <c r="PS6">
        <f>$PS$5+--($PR6)</f>
        <v/>
      </c>
      <c r="PT6">
        <f>IF(ROW()-3&gt;MAX($PS$4:$PS$40),"",INDEX($FD$4:$FD$40,MATCH(ROW()-3,$PS$4:$PS$40,0)))</f>
        <v/>
      </c>
      <c r="PU6">
        <f>IF(COUNTIF('Buyer Groups'!DG59:EJ59,0)+COUNTIF('Buyer Groups'!EL59:EN59,0)&gt;0,0,1)</f>
        <v/>
      </c>
      <c r="PV6">
        <f>IF($FX$6="",FALSE,SUMPRODUCT((IF('Final Calculation Sheet'!$AD$4:$AD$40&lt;=5,"SETTLED","OUTSTANDING")=$FX$6)*($PU$6:$PU$42=1))&gt;0)</f>
        <v/>
      </c>
      <c r="PW6">
        <f>$PW$5+--($PV6)</f>
        <v/>
      </c>
      <c r="PX6">
        <f>IF(ROW()-3&gt;MAX($PW$4:$PW$40),"",INDEX($FX$4:$FX$40,MATCH(ROW()-3,$PW$4:$PW$40,0)))</f>
        <v/>
      </c>
      <c r="PY6">
        <f>IF(COUNTIF('Buyer Groups'!DG59:EK59,0)+COUNTIF('Buyer Groups'!EM59:EN59,0)&gt;0,0,1)</f>
        <v/>
      </c>
      <c r="PZ6">
        <f>IF($FI$6="",FALSE,SUMPRODUCT(('Final Calculation Sheet'!$AF$4:$AF$40=$FI$6)*($PY$6:$PY$42=1))&gt;0)</f>
        <v/>
      </c>
      <c r="QA6">
        <f>$QA$5+--($PZ6)</f>
        <v/>
      </c>
      <c r="QB6">
        <f>IF(ROW()-3&gt;MAX($QA$4:$QA$40),"",INDEX($FI$4:$FI$40,MATCH(ROW()-3,$QA$4:$QA$40,0)))</f>
        <v/>
      </c>
      <c r="QC6">
        <f>IF(COUNTIF('Buyer Groups'!DG59:EL59,0)+COUNTIF('Buyer Groups'!EN59:EN59,0)&gt;0,0,1)</f>
        <v/>
      </c>
      <c r="QD6">
        <f>IF($FN$6="",FALSE,SUMPRODUCT(('Final Calculation Sheet'!$AG$4:$AG$40=$FN$6)*($QC$6:$QC$42=1))&gt;0)</f>
        <v/>
      </c>
      <c r="QE6">
        <f>$QE$5+--($QD6)</f>
        <v/>
      </c>
      <c r="QF6">
        <f>IF(ROW()-3&gt;MAX($QE$4:$QE$40),"",INDEX($FN$4:$FN$40,MATCH(ROW()-3,$QE$4:$QE$40,0)))</f>
        <v/>
      </c>
      <c r="QG6">
        <f>IF(COUNTIF('Buyer Groups'!DG59:EM59,0)&gt;0,0,1)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IF(IFERROR('Final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IF(IFERROR('Final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Groups'!DH60:EN60,0)&gt;0,0,1)</f>
        <v/>
      </c>
      <c r="LF7">
        <f>IF($O$7="",FALSE,SUMPRODUCT(('Final Calculation Sheet'!$F$4:$F$40=$O$7)*($LE$6:$LE$42=1))&gt;0)</f>
        <v/>
      </c>
      <c r="LG7">
        <f>$LG$6+--($LF7)</f>
        <v/>
      </c>
      <c r="LH7">
        <f>IF(ROW()-3&gt;MAX($LG$4:$LG$40),"",INDEX($O$4:$O$40,MATCH(ROW()-3,$LG$4:$LG$40,0)))</f>
        <v/>
      </c>
      <c r="LI7">
        <f>IF(COUNTIF('Buyer Groups'!DG60:DG60,0)+COUNTIF('Buyer Groups'!DI60:EN60,0)&gt;0,0,1)</f>
        <v/>
      </c>
      <c r="LJ7">
        <f>IF($T$7="",FALSE,SUMPRODUCT(('Final Calculation Sheet'!$G$4:$G$40=$T$7)*($LI$6:$LI$42=1))&gt;0)</f>
        <v/>
      </c>
      <c r="LK7">
        <f>$LK$6+--($LJ7)</f>
        <v/>
      </c>
      <c r="LL7">
        <f>IF(ROW()-3&gt;MAX($LK$4:$LK$40),"",INDEX($T$4:$T$40,MATCH(ROW()-3,$LK$4:$LK$40,0)))</f>
        <v/>
      </c>
      <c r="LM7">
        <f>IF(COUNTIF('Buyer Groups'!DG60:DH60,0)+COUNTIF('Buyer Groups'!DJ60:EN60,0)&gt;0,0,1)</f>
        <v/>
      </c>
      <c r="LN7">
        <f>IF($Y$7="",FALSE,SUMPRODUCT(('Final Calculation Sheet'!$B$4:$B$40=$Y$7)*($LM$6:$LM$42=1))&gt;0)</f>
        <v/>
      </c>
      <c r="LO7">
        <f>$LO$6+--($LN7)</f>
        <v/>
      </c>
      <c r="LP7">
        <f>IF(ROW()-3&gt;MAX($LO$4:$LO$40),"",INDEX($Y$4:$Y$40,MATCH(ROW()-3,$LO$4:$LO$40,0)))</f>
        <v/>
      </c>
      <c r="LQ7">
        <f>IF(COUNTIF('Buyer Groups'!DG60:DI60,0)+COUNTIF('Buyer Groups'!DK60:EN60,0)&gt;0,0,1)</f>
        <v/>
      </c>
      <c r="LR7">
        <f>IF($AD$7="",FALSE,SUMPRODUCT(('Final Calculation Sheet'!$D$4:$D$40=$AD$7)*($LQ$6:$LQ$42=1))&gt;0)</f>
        <v/>
      </c>
      <c r="LS7">
        <f>$LS$6+--($LR7)</f>
        <v/>
      </c>
      <c r="LT7">
        <f>IF(ROW()-3&gt;MAX($LS$4:$LS$40),"",INDEX($AD$4:$AD$40,MATCH(ROW()-3,$LS$4:$LS$40,0)))</f>
        <v/>
      </c>
      <c r="LU7">
        <f>IF(COUNTIF('Buyer Groups'!DG60:DJ60,0)+COUNTIF('Buyer Groups'!DL60:EN60,0)&gt;0,0,1)</f>
        <v/>
      </c>
      <c r="LV7">
        <f>IF($AI$7="",FALSE,SUMPRODUCT(('Final Calculation Sheet'!$A$4:$A$40=$AI$7)*($LU$6:$LU$42=1))&gt;0)</f>
        <v/>
      </c>
      <c r="LW7">
        <f>$LW$6+--($LV7)</f>
        <v/>
      </c>
      <c r="LX7">
        <f>IF(ROW()-3&gt;MAX($LW$4:$LW$40),"",INDEX($AI$4:$AI$40,MATCH(ROW()-3,$LW$4:$LW$40,0)))</f>
        <v/>
      </c>
      <c r="LY7">
        <f>IF(COUNTIF('Buyer Groups'!DG60:DK60,0)+COUNTIF('Buyer Groups'!DM60:EN60,0)&gt;0,0,1)</f>
        <v/>
      </c>
      <c r="LZ7">
        <f>IF($AN$7="",FALSE,SUMPRODUCT(('Final Calculation Sheet'!$E$4:$E$40=$AN$7)*($LY$6:$LY$42=1))&gt;0)</f>
        <v/>
      </c>
      <c r="MA7">
        <f>$MA$6+--($LZ7)</f>
        <v/>
      </c>
      <c r="MB7">
        <f>IF(ROW()-3&gt;MAX($MA$4:$MA$40),"",INDEX($AN$4:$AN$40,MATCH(ROW()-3,$MA$4:$MA$40,0)))</f>
        <v/>
      </c>
      <c r="MC7">
        <f>IF(COUNTIF('Buyer Groups'!DG60:DL60,0)+COUNTIF('Buyer Groups'!DN60:EN60,0)&gt;0,0,1)</f>
        <v/>
      </c>
      <c r="MD7">
        <f>IF($AS$7="",FALSE,SUMPRODUCT(('Final Calculation Sheet'!$C$4:$C$40=$AS$7)*($MC$6:$MC$42=1))&gt;0)</f>
        <v/>
      </c>
      <c r="ME7">
        <f>$ME$6+--($MD7)</f>
        <v/>
      </c>
      <c r="MF7">
        <f>IF(ROW()-3&gt;MAX($ME$4:$ME$40),"",INDEX($AS$4:$AS$40,MATCH(ROW()-3,$ME$4:$ME$40,0)))</f>
        <v/>
      </c>
      <c r="MG7">
        <f>IF(COUNTIF('Buyer Groups'!DG60:DM60,0)+COUNTIF('Buyer Groups'!DO60:EN60,0)&gt;0,0,1)</f>
        <v/>
      </c>
      <c r="MH7">
        <f>IF($AX$7="",FALSE,SUMPRODUCT(('Final Calculation Sheet'!$H$4:$H$40=$AX$7)*($MG$6:$MG$42=1))&gt;0)</f>
        <v/>
      </c>
      <c r="MI7">
        <f>$MI$6+--($MH7)</f>
        <v/>
      </c>
      <c r="MJ7">
        <f>IF(ROW()-3&gt;MAX($MI$4:$MI$40),"",INDEX($AX$4:$AX$40,MATCH(ROW()-3,$MI$4:$MI$40,0)))</f>
        <v/>
      </c>
      <c r="MK7">
        <f>IF(COUNTIF('Buyer Groups'!DG60:DN60,0)+COUNTIF('Buyer Groups'!DP60:EN60,0)&gt;0,0,1)</f>
        <v/>
      </c>
      <c r="ML7">
        <f>IF($BC$7="",FALSE,SUMPRODUCT(('Final Calculation Sheet'!$I$4:$I$40=$BC$7)*($MK$6:$MK$42=1))&gt;0)</f>
        <v/>
      </c>
      <c r="MM7">
        <f>$MM$6+--($ML7)</f>
        <v/>
      </c>
      <c r="MN7">
        <f>IF(ROW()-3&gt;MAX($MM$4:$MM$40),"",INDEX($BC$4:$BC$40,MATCH(ROW()-3,$MM$4:$MM$40,0)))</f>
        <v/>
      </c>
      <c r="MO7">
        <f>IF(COUNTIF('Buyer Groups'!DG60:DO60,0)+COUNTIF('Buyer Groups'!DQ60:EN60,0)&gt;0,0,1)</f>
        <v/>
      </c>
      <c r="MP7">
        <f>IF($BH$7="",FALSE,SUMPRODUCT(('Final Calculation Sheet'!$J$4:$J$40=$BH$7)*($MO$6:$MO$42=1))&gt;0)</f>
        <v/>
      </c>
      <c r="MQ7">
        <f>$MQ$6+--($MP7)</f>
        <v/>
      </c>
      <c r="MR7">
        <f>IF(ROW()-3&gt;MAX($MQ$4:$MQ$40),"",INDEX($BH$4:$BH$40,MATCH(ROW()-3,$MQ$4:$MQ$40,0)))</f>
        <v/>
      </c>
      <c r="MS7">
        <f>IF(COUNTIF('Buyer Groups'!DG60:DP60,0)+COUNTIF('Buyer Groups'!DR60:EN60,0)&gt;0,0,1)</f>
        <v/>
      </c>
      <c r="MT7">
        <f>IF($BM$7="",FALSE,SUMPRODUCT(('Final Calculation Sheet'!$K$4:$K$40=$BM$7)*($MS$6:$MS$42=1))&gt;0)</f>
        <v/>
      </c>
      <c r="MU7">
        <f>$MU$6+--($MT7)</f>
        <v/>
      </c>
      <c r="MV7">
        <f>IF(ROW()-3&gt;MAX($MU$4:$MU$40),"",INDEX($BM$4:$BM$40,MATCH(ROW()-3,$MU$4:$MU$40,0)))</f>
        <v/>
      </c>
      <c r="MW7">
        <f>IF(COUNTIF('Buyer Groups'!DG60:DQ60,0)+COUNTIF('Buyer Groups'!DS60:EN60,0)&gt;0,0,1)</f>
        <v/>
      </c>
      <c r="MX7">
        <f>IF($BR$7="",FALSE,SUMPRODUCT(('Final Calculation Sheet'!$L$4:$L$40=$BR$7)*($MW$6:$MW$42=1))&gt;0)</f>
        <v/>
      </c>
      <c r="MY7">
        <f>$MY$6+--($MX7)</f>
        <v/>
      </c>
      <c r="MZ7">
        <f>IF(ROW()-3&gt;MAX($MY$4:$MY$40),"",INDEX($BR$4:$BR$40,MATCH(ROW()-3,$MY$4:$MY$40,0)))</f>
        <v/>
      </c>
      <c r="NA7">
        <f>IF(COUNTIF('Buyer Groups'!DG60:DR60,0)+COUNTIF('Buyer Groups'!DT60:EN60,0)&gt;0,0,1)</f>
        <v/>
      </c>
      <c r="NB7">
        <f>IF($BW$7="",FALSE,SUMPRODUCT(('Final Calculation Sheet'!$M$4:$M$40=$BW$7)*($NA$6:$NA$42=1))&gt;0)</f>
        <v/>
      </c>
      <c r="NC7">
        <f>$NC$6+--($NB7)</f>
        <v/>
      </c>
      <c r="ND7">
        <f>IF(ROW()-3&gt;MAX($NC$4:$NC$40),"",INDEX($BW$4:$BW$40,MATCH(ROW()-3,$NC$4:$NC$40,0)))</f>
        <v/>
      </c>
      <c r="NE7">
        <f>IF(COUNTIF('Buyer Groups'!DG60:DS60,0)+COUNTIF('Buyer Groups'!DU60:EN60,0)&gt;0,0,1)</f>
        <v/>
      </c>
      <c r="NF7">
        <f>IF($CB$7="",FALSE,SUMPRODUCT(('Final Calculation Sheet'!$N$4:$N$40=$CB$7)*($NE$6:$NE$42=1))&gt;0)</f>
        <v/>
      </c>
      <c r="NG7">
        <f>$NG$6+--($NF7)</f>
        <v/>
      </c>
      <c r="NH7">
        <f>IF(ROW()-3&gt;MAX($NG$4:$NG$40),"",INDEX($CB$4:$CB$40,MATCH(ROW()-3,$NG$4:$NG$40,0)))</f>
        <v/>
      </c>
      <c r="NI7">
        <f>IF(COUNTIF('Buyer Groups'!DG60:DT60,0)+COUNTIF('Buyer Groups'!DV60:EN60,0)&gt;0,0,1)</f>
        <v/>
      </c>
      <c r="NJ7">
        <f>IF($CG$7="",FALSE,SUMPRODUCT(('Final Calculation Sheet'!$O$4:$O$40=$CG$7)*($NI$6:$NI$42=1))&gt;0)</f>
        <v/>
      </c>
      <c r="NK7">
        <f>$NK$6+--($NJ7)</f>
        <v/>
      </c>
      <c r="NL7">
        <f>IF(ROW()-3&gt;MAX($NK$4:$NK$40),"",INDEX($CG$4:$CG$40,MATCH(ROW()-3,$NK$4:$NK$40,0)))</f>
        <v/>
      </c>
      <c r="NM7">
        <f>IF(COUNTIF('Buyer Groups'!DG60:DU60,0)+COUNTIF('Buyer Groups'!DW60:EN60,0)&gt;0,0,1)</f>
        <v/>
      </c>
      <c r="NN7">
        <f>IF($CL$7="",FALSE,SUMPRODUCT(('Final Calculation Sheet'!$P$4:$P$40=$CL$7)*($NM$6:$NM$42=1))&gt;0)</f>
        <v/>
      </c>
      <c r="NO7">
        <f>$NO$6+--($NN7)</f>
        <v/>
      </c>
      <c r="NP7">
        <f>IF(ROW()-3&gt;MAX($NO$4:$NO$40),"",INDEX($CL$4:$CL$40,MATCH(ROW()-3,$NO$4:$NO$40,0)))</f>
        <v/>
      </c>
      <c r="NQ7">
        <f>IF(COUNTIF('Buyer Groups'!DG60:DV60,0)+COUNTIF('Buyer Groups'!DX60:EN60,0)&gt;0,0,1)</f>
        <v/>
      </c>
      <c r="NR7">
        <f>IF($CQ$7="",FALSE,SUMPRODUCT(('Final Calculation Sheet'!$Q$4:$Q$40=$CQ$7)*($NQ$6:$NQ$42=1))&gt;0)</f>
        <v/>
      </c>
      <c r="NS7">
        <f>$NS$6+--($NR7)</f>
        <v/>
      </c>
      <c r="NT7">
        <f>IF(ROW()-3&gt;MAX($NS$4:$NS$40),"",INDEX($CQ$4:$CQ$40,MATCH(ROW()-3,$NS$4:$NS$40,0)))</f>
        <v/>
      </c>
      <c r="NU7">
        <f>IF(COUNTIF('Buyer Groups'!DG60:DW60,0)+COUNTIF('Buyer Groups'!DY60:EN60,0)&gt;0,0,1)</f>
        <v/>
      </c>
      <c r="NV7">
        <f>IF($CV$7="",FALSE,SUMPRODUCT(('Final Calculation Sheet'!$R$4:$R$40=$CV$7)*($NU$6:$NU$42=1))&gt;0)</f>
        <v/>
      </c>
      <c r="NW7">
        <f>$NW$6+--($NV7)</f>
        <v/>
      </c>
      <c r="NX7">
        <f>IF(ROW()-3&gt;MAX($NW$4:$NW$40),"",INDEX($CV$4:$CV$40,MATCH(ROW()-3,$NW$4:$NW$40,0)))</f>
        <v/>
      </c>
      <c r="NY7">
        <f>IF(COUNTIF('Buyer Groups'!DG60:DX60,0)+COUNTIF('Buyer Groups'!DZ60:EN60,0)&gt;0,0,1)</f>
        <v/>
      </c>
      <c r="NZ7">
        <f>IF($DA$7="",FALSE,SUMPRODUCT(('Final Calculation Sheet'!$S$4:$S$40=$DA$7)*($NY$6:$NY$42=1))&gt;0)</f>
        <v/>
      </c>
      <c r="OA7">
        <f>$OA$6+--($NZ7)</f>
        <v/>
      </c>
      <c r="OB7">
        <f>IF(ROW()-3&gt;MAX($OA$4:$OA$40),"",INDEX($DA$4:$DA$40,MATCH(ROW()-3,$OA$4:$OA$40,0)))</f>
        <v/>
      </c>
      <c r="OC7">
        <f>IF(COUNTIF('Buyer Groups'!DG60:DY60,0)+COUNTIF('Buyer Groups'!EA60:EN60,0)&gt;0,0,1)</f>
        <v/>
      </c>
      <c r="OD7">
        <f>IF($DF$7="",FALSE,SUMPRODUCT(('Final Calculation Sheet'!$T$4:$T$40=$DF$7)*($OC$6:$OC$42=1))&gt;0)</f>
        <v/>
      </c>
      <c r="OE7">
        <f>$OE$6+--($OD7)</f>
        <v/>
      </c>
      <c r="OF7">
        <f>IF(ROW()-3&gt;MAX($OE$4:$OE$40),"",INDEX($DF$4:$DF$40,MATCH(ROW()-3,$OE$4:$OE$40,0)))</f>
        <v/>
      </c>
      <c r="OG7">
        <f>IF(COUNTIF('Buyer Groups'!DG60:DZ60,0)+COUNTIF('Buyer Groups'!EB60:EN60,0)&gt;0,0,1)</f>
        <v/>
      </c>
      <c r="OH7">
        <f>IF($DK$7="",FALSE,SUMPRODUCT(('Final Calculation Sheet'!$U$4:$U$40=$DK$7)*($OG$6:$OG$42=1))&gt;0)</f>
        <v/>
      </c>
      <c r="OI7">
        <f>$OI$6+--($OH7)</f>
        <v/>
      </c>
      <c r="OJ7">
        <f>IF(ROW()-3&gt;MAX($OI$4:$OI$40),"",INDEX($DK$4:$DK$40,MATCH(ROW()-3,$OI$4:$OI$40,0)))</f>
        <v/>
      </c>
      <c r="OK7">
        <f>IF(COUNTIF('Buyer Groups'!DG60:EA60,0)+COUNTIF('Buyer Groups'!EC60:EN60,0)&gt;0,0,1)</f>
        <v/>
      </c>
      <c r="OL7">
        <f>IF($DP$7="",FALSE,SUMPRODUCT(('Final Calculation Sheet'!$V$4:$V$40=$DP$7)*($OK$6:$OK$42=1))&gt;0)</f>
        <v/>
      </c>
      <c r="OM7">
        <f>$OM$6+--($OL7)</f>
        <v/>
      </c>
      <c r="ON7">
        <f>IF(ROW()-3&gt;MAX($OM$4:$OM$40),"",INDEX($DP$4:$DP$40,MATCH(ROW()-3,$OM$4:$OM$40,0)))</f>
        <v/>
      </c>
      <c r="OO7">
        <f>IF(COUNTIF('Buyer Groups'!DG60:EB60,0)+COUNTIF('Buyer Groups'!ED60:EN60,0)&gt;0,0,1)</f>
        <v/>
      </c>
      <c r="OP7">
        <f>IF($DU$7="",FALSE,SUMPRODUCT(('Final Calculation Sheet'!$W$4:$W$40=$DU$7)*($OO$6:$OO$42=1))&gt;0)</f>
        <v/>
      </c>
      <c r="OQ7">
        <f>$OQ$6+--($OP7)</f>
        <v/>
      </c>
      <c r="OR7">
        <f>IF(ROW()-3&gt;MAX($OQ$4:$OQ$40),"",INDEX($DU$4:$DU$40,MATCH(ROW()-3,$OQ$4:$OQ$40,0)))</f>
        <v/>
      </c>
      <c r="OS7">
        <f>IF(COUNTIF('Buyer Groups'!DG60:EC60,0)+COUNTIF('Buyer Groups'!EE60:EN60,0)&gt;0,0,1)</f>
        <v/>
      </c>
      <c r="OT7">
        <f>IF($DZ$7="",FALSE,SUMPRODUCT(('Final Calculation Sheet'!$X$4:$X$40=$DZ$7)*($OS$6:$OS$42=1))&gt;0)</f>
        <v/>
      </c>
      <c r="OU7">
        <f>$OU$6+--($OT7)</f>
        <v/>
      </c>
      <c r="OV7">
        <f>IF(ROW()-3&gt;MAX($OU$4:$OU$40),"",INDEX($DZ$4:$DZ$40,MATCH(ROW()-3,$OU$4:$OU$40,0)))</f>
        <v/>
      </c>
      <c r="OW7">
        <f>IF(COUNTIF('Buyer Groups'!DG60:ED60,0)+COUNTIF('Buyer Groups'!EF60:EN60,0)&gt;0,0,1)</f>
        <v/>
      </c>
      <c r="OX7">
        <f>IF($EE$7="",FALSE,SUMPRODUCT(('Final Calculation Sheet'!$Y$4:$Y$40=$EE$7)*($OW$6:$OW$42=1))&gt;0)</f>
        <v/>
      </c>
      <c r="OY7">
        <f>$OY$6+--($OX7)</f>
        <v/>
      </c>
      <c r="OZ7">
        <f>IF(ROW()-3&gt;MAX($OY$4:$OY$40),"",INDEX($EE$4:$EE$40,MATCH(ROW()-3,$OY$4:$OY$40,0)))</f>
        <v/>
      </c>
      <c r="PA7">
        <f>IF(COUNTIF('Buyer Groups'!DG60:EE60,0)+COUNTIF('Buyer Groups'!EG60:EN60,0)&gt;0,0,1)</f>
        <v/>
      </c>
      <c r="PB7">
        <f>IF($EJ$7="",FALSE,SUMPRODUCT(('Final Calculation Sheet'!$Z$4:$Z$40=$EJ$7)*($PA$6:$PA$42=1))&gt;0)</f>
        <v/>
      </c>
      <c r="PC7">
        <f>$PC$6+--($PB7)</f>
        <v/>
      </c>
      <c r="PD7">
        <f>IF(ROW()-3&gt;MAX($PC$4:$PC$40),"",INDEX($EJ$4:$EJ$40,MATCH(ROW()-3,$PC$4:$PC$40,0)))</f>
        <v/>
      </c>
      <c r="PE7">
        <f>IF(COUNTIF('Buyer Groups'!DG60:EF60,0)+COUNTIF('Buyer Groups'!EH60:EN60,0)&gt;0,0,1)</f>
        <v/>
      </c>
      <c r="PF7">
        <f>IF($EO$7="",FALSE,SUMPRODUCT(('Final Calculation Sheet'!$AA$4:$AA$40=$EO$7)*($PE$6:$PE$42=1))&gt;0)</f>
        <v/>
      </c>
      <c r="PG7">
        <f>$PG$6+--($PF7)</f>
        <v/>
      </c>
      <c r="PH7">
        <f>IF(ROW()-3&gt;MAX($PG$4:$PG$40),"",INDEX($EO$4:$EO$40,MATCH(ROW()-3,$PG$4:$PG$40,0)))</f>
        <v/>
      </c>
      <c r="PI7">
        <f>IF(COUNTIF('Buyer Groups'!DG60:EG60,0)+COUNTIF('Buyer Groups'!EI60:EN60,0)&gt;0,0,1)</f>
        <v/>
      </c>
      <c r="PJ7">
        <f>IF($ET$7="",FALSE,SUMPRODUCT(('Final Calculation Sheet'!$AB$4:$AB$40=$ET$7)*($PI$6:$PI$42=1))&gt;0)</f>
        <v/>
      </c>
      <c r="PK7">
        <f>$PK$6+--($PJ7)</f>
        <v/>
      </c>
      <c r="PL7">
        <f>IF(ROW()-3&gt;MAX($PK$4:$PK$40),"",INDEX($ET$4:$ET$40,MATCH(ROW()-3,$PK$4:$PK$40,0)))</f>
        <v/>
      </c>
      <c r="PM7">
        <f>IF(COUNTIF('Buyer Groups'!DG60:EH60,0)+COUNTIF('Buyer Groups'!EJ60:EN60,0)&gt;0,0,1)</f>
        <v/>
      </c>
      <c r="PN7">
        <f>IF($EY$7="",FALSE,SUMPRODUCT(('Final Calculation Sheet'!$AC$4:$AC$40=$EY$7)*($PM$6:$PM$42=1))&gt;0)</f>
        <v/>
      </c>
      <c r="PO7">
        <f>$PO$6+--($PN7)</f>
        <v/>
      </c>
      <c r="PP7">
        <f>IF(ROW()-3&gt;MAX($PO$4:$PO$40),"",INDEX($EY$4:$EY$40,MATCH(ROW()-3,$PO$4:$PO$40,0)))</f>
        <v/>
      </c>
      <c r="PQ7">
        <f>IF(COUNTIF('Buyer Groups'!DG60:EI60,0)+COUNTIF('Buyer Groups'!EK60:EN60,0)&gt;0,0,1)</f>
        <v/>
      </c>
      <c r="PR7">
        <f>IF($FD$7="",FALSE,SUMPRODUCT(('Final Calculation Sheet'!$AD$4:$AD$40=$FD$7)*($PQ$6:$PQ$42=1))&gt;0)</f>
        <v/>
      </c>
      <c r="PS7">
        <f>$PS$6+--($PR7)</f>
        <v/>
      </c>
      <c r="PT7">
        <f>IF(ROW()-3&gt;MAX($PS$4:$PS$40),"",INDEX($FD$4:$FD$40,MATCH(ROW()-3,$PS$4:$PS$40,0)))</f>
        <v/>
      </c>
      <c r="PU7">
        <f>IF(COUNTIF('Buyer Groups'!DG60:EJ60,0)+COUNTIF('Buyer Groups'!EL60:EN60,0)&gt;0,0,1)</f>
        <v/>
      </c>
      <c r="PV7">
        <f>IF($FX$7="",FALSE,SUMPRODUCT((IF('Final Calculation Sheet'!$AD$4:$AD$40&lt;=5,"SETTLED","OUTSTANDING")=$FX$7)*($PU$6:$PU$42=1))&gt;0)</f>
        <v/>
      </c>
      <c r="PW7">
        <f>$PW$6+--($PV7)</f>
        <v/>
      </c>
      <c r="PX7">
        <f>IF(ROW()-3&gt;MAX($PW$4:$PW$40),"",INDEX($FX$4:$FX$40,MATCH(ROW()-3,$PW$4:$PW$40,0)))</f>
        <v/>
      </c>
      <c r="PY7">
        <f>IF(COUNTIF('Buyer Groups'!DG60:EK60,0)+COUNTIF('Buyer Groups'!EM60:EN60,0)&gt;0,0,1)</f>
        <v/>
      </c>
      <c r="PZ7">
        <f>IF($FI$7="",FALSE,SUMPRODUCT(('Final Calculation Sheet'!$AF$4:$AF$40=$FI$7)*($PY$6:$PY$42=1))&gt;0)</f>
        <v/>
      </c>
      <c r="QA7">
        <f>$QA$6+--($PZ7)</f>
        <v/>
      </c>
      <c r="QB7">
        <f>IF(ROW()-3&gt;MAX($QA$4:$QA$40),"",INDEX($FI$4:$FI$40,MATCH(ROW()-3,$QA$4:$QA$40,0)))</f>
        <v/>
      </c>
      <c r="QC7">
        <f>IF(COUNTIF('Buyer Groups'!DG60:EL60,0)+COUNTIF('Buyer Groups'!EN60:EN60,0)&gt;0,0,1)</f>
        <v/>
      </c>
      <c r="QD7">
        <f>IF($FN$7="",FALSE,SUMPRODUCT(('Final Calculation Sheet'!$AG$4:$AG$40=$FN$7)*($QC$6:$QC$42=1))&gt;0)</f>
        <v/>
      </c>
      <c r="QE7">
        <f>$QE$6+--($QD7)</f>
        <v/>
      </c>
      <c r="QF7">
        <f>IF(ROW()-3&gt;MAX($QE$4:$QE$40),"",INDEX($FN$4:$FN$40,MATCH(ROW()-3,$QE$4:$QE$40,0)))</f>
        <v/>
      </c>
      <c r="QG7">
        <f>IF(COUNTIF('Buyer Groups'!DG60:EM60,0)&gt;0,0,1)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IF(IFERROR('Final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IF(IFERROR('Final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Groups'!DH61:EN61,0)&gt;0,0,1)</f>
        <v/>
      </c>
      <c r="LF8">
        <f>IF($O$8="",FALSE,SUMPRODUCT(('Final Calculation Sheet'!$F$4:$F$40=$O$8)*($LE$6:$LE$42=1))&gt;0)</f>
        <v/>
      </c>
      <c r="LG8">
        <f>$LG$7+--($LF8)</f>
        <v/>
      </c>
      <c r="LH8">
        <f>IF(ROW()-3&gt;MAX($LG$4:$LG$40),"",INDEX($O$4:$O$40,MATCH(ROW()-3,$LG$4:$LG$40,0)))</f>
        <v/>
      </c>
      <c r="LI8">
        <f>IF(COUNTIF('Buyer Groups'!DG61:DG61,0)+COUNTIF('Buyer Groups'!DI61:EN61,0)&gt;0,0,1)</f>
        <v/>
      </c>
      <c r="LJ8">
        <f>IF($T$8="",FALSE,SUMPRODUCT(('Final Calculation Sheet'!$G$4:$G$40=$T$8)*($LI$6:$LI$42=1))&gt;0)</f>
        <v/>
      </c>
      <c r="LK8">
        <f>$LK$7+--($LJ8)</f>
        <v/>
      </c>
      <c r="LL8">
        <f>IF(ROW()-3&gt;MAX($LK$4:$LK$40),"",INDEX($T$4:$T$40,MATCH(ROW()-3,$LK$4:$LK$40,0)))</f>
        <v/>
      </c>
      <c r="LM8">
        <f>IF(COUNTIF('Buyer Groups'!DG61:DH61,0)+COUNTIF('Buyer Groups'!DJ61:EN61,0)&gt;0,0,1)</f>
        <v/>
      </c>
      <c r="LN8">
        <f>IF($Y$8="",FALSE,SUMPRODUCT(('Final Calculation Sheet'!$B$4:$B$40=$Y$8)*($LM$6:$LM$42=1))&gt;0)</f>
        <v/>
      </c>
      <c r="LO8">
        <f>$LO$7+--($LN8)</f>
        <v/>
      </c>
      <c r="LP8">
        <f>IF(ROW()-3&gt;MAX($LO$4:$LO$40),"",INDEX($Y$4:$Y$40,MATCH(ROW()-3,$LO$4:$LO$40,0)))</f>
        <v/>
      </c>
      <c r="LQ8">
        <f>IF(COUNTIF('Buyer Groups'!DG61:DI61,0)+COUNTIF('Buyer Groups'!DK61:EN61,0)&gt;0,0,1)</f>
        <v/>
      </c>
      <c r="LR8">
        <f>IF($AD$8="",FALSE,SUMPRODUCT(('Final Calculation Sheet'!$D$4:$D$40=$AD$8)*($LQ$6:$LQ$42=1))&gt;0)</f>
        <v/>
      </c>
      <c r="LS8">
        <f>$LS$7+--($LR8)</f>
        <v/>
      </c>
      <c r="LT8">
        <f>IF(ROW()-3&gt;MAX($LS$4:$LS$40),"",INDEX($AD$4:$AD$40,MATCH(ROW()-3,$LS$4:$LS$40,0)))</f>
        <v/>
      </c>
      <c r="LU8">
        <f>IF(COUNTIF('Buyer Groups'!DG61:DJ61,0)+COUNTIF('Buyer Groups'!DL61:EN61,0)&gt;0,0,1)</f>
        <v/>
      </c>
      <c r="LV8">
        <f>IF($AI$8="",FALSE,SUMPRODUCT(('Final Calculation Sheet'!$A$4:$A$40=$AI$8)*($LU$6:$LU$42=1))&gt;0)</f>
        <v/>
      </c>
      <c r="LW8">
        <f>$LW$7+--($LV8)</f>
        <v/>
      </c>
      <c r="LX8">
        <f>IF(ROW()-3&gt;MAX($LW$4:$LW$40),"",INDEX($AI$4:$AI$40,MATCH(ROW()-3,$LW$4:$LW$40,0)))</f>
        <v/>
      </c>
      <c r="LY8">
        <f>IF(COUNTIF('Buyer Groups'!DG61:DK61,0)+COUNTIF('Buyer Groups'!DM61:EN61,0)&gt;0,0,1)</f>
        <v/>
      </c>
      <c r="LZ8">
        <f>IF($AN$8="",FALSE,SUMPRODUCT(('Final Calculation Sheet'!$E$4:$E$40=$AN$8)*($LY$6:$LY$42=1))&gt;0)</f>
        <v/>
      </c>
      <c r="MA8">
        <f>$MA$7+--($LZ8)</f>
        <v/>
      </c>
      <c r="MB8">
        <f>IF(ROW()-3&gt;MAX($MA$4:$MA$40),"",INDEX($AN$4:$AN$40,MATCH(ROW()-3,$MA$4:$MA$40,0)))</f>
        <v/>
      </c>
      <c r="MC8">
        <f>IF(COUNTIF('Buyer Groups'!DG61:DL61,0)+COUNTIF('Buyer Groups'!DN61:EN61,0)&gt;0,0,1)</f>
        <v/>
      </c>
      <c r="MD8">
        <f>IF($AS$8="",FALSE,SUMPRODUCT(('Final Calculation Sheet'!$C$4:$C$40=$AS$8)*($MC$6:$MC$42=1))&gt;0)</f>
        <v/>
      </c>
      <c r="ME8">
        <f>$ME$7+--($MD8)</f>
        <v/>
      </c>
      <c r="MF8">
        <f>IF(ROW()-3&gt;MAX($ME$4:$ME$40),"",INDEX($AS$4:$AS$40,MATCH(ROW()-3,$ME$4:$ME$40,0)))</f>
        <v/>
      </c>
      <c r="MG8">
        <f>IF(COUNTIF('Buyer Groups'!DG61:DM61,0)+COUNTIF('Buyer Groups'!DO61:EN61,0)&gt;0,0,1)</f>
        <v/>
      </c>
      <c r="MH8">
        <f>IF($AX$8="",FALSE,SUMPRODUCT(('Final Calculation Sheet'!$H$4:$H$40=$AX$8)*($MG$6:$MG$42=1))&gt;0)</f>
        <v/>
      </c>
      <c r="MI8">
        <f>$MI$7+--($MH8)</f>
        <v/>
      </c>
      <c r="MJ8">
        <f>IF(ROW()-3&gt;MAX($MI$4:$MI$40),"",INDEX($AX$4:$AX$40,MATCH(ROW()-3,$MI$4:$MI$40,0)))</f>
        <v/>
      </c>
      <c r="MK8">
        <f>IF(COUNTIF('Buyer Groups'!DG61:DN61,0)+COUNTIF('Buyer Groups'!DP61:EN61,0)&gt;0,0,1)</f>
        <v/>
      </c>
      <c r="ML8">
        <f>IF($BC$8="",FALSE,SUMPRODUCT(('Final Calculation Sheet'!$I$4:$I$40=$BC$8)*($MK$6:$MK$42=1))&gt;0)</f>
        <v/>
      </c>
      <c r="MM8">
        <f>$MM$7+--($ML8)</f>
        <v/>
      </c>
      <c r="MN8">
        <f>IF(ROW()-3&gt;MAX($MM$4:$MM$40),"",INDEX($BC$4:$BC$40,MATCH(ROW()-3,$MM$4:$MM$40,0)))</f>
        <v/>
      </c>
      <c r="MO8">
        <f>IF(COUNTIF('Buyer Groups'!DG61:DO61,0)+COUNTIF('Buyer Groups'!DQ61:EN61,0)&gt;0,0,1)</f>
        <v/>
      </c>
      <c r="MP8">
        <f>IF($BH$8="",FALSE,SUMPRODUCT(('Final Calculation Sheet'!$J$4:$J$40=$BH$8)*($MO$6:$MO$42=1))&gt;0)</f>
        <v/>
      </c>
      <c r="MQ8">
        <f>$MQ$7+--($MP8)</f>
        <v/>
      </c>
      <c r="MR8">
        <f>IF(ROW()-3&gt;MAX($MQ$4:$MQ$40),"",INDEX($BH$4:$BH$40,MATCH(ROW()-3,$MQ$4:$MQ$40,0)))</f>
        <v/>
      </c>
      <c r="MS8">
        <f>IF(COUNTIF('Buyer Groups'!DG61:DP61,0)+COUNTIF('Buyer Groups'!DR61:EN61,0)&gt;0,0,1)</f>
        <v/>
      </c>
      <c r="MT8">
        <f>IF($BM$8="",FALSE,SUMPRODUCT(('Final Calculation Sheet'!$K$4:$K$40=$BM$8)*($MS$6:$MS$42=1))&gt;0)</f>
        <v/>
      </c>
      <c r="MU8">
        <f>$MU$7+--($MT8)</f>
        <v/>
      </c>
      <c r="MV8">
        <f>IF(ROW()-3&gt;MAX($MU$4:$MU$40),"",INDEX($BM$4:$BM$40,MATCH(ROW()-3,$MU$4:$MU$40,0)))</f>
        <v/>
      </c>
      <c r="MW8">
        <f>IF(COUNTIF('Buyer Groups'!DG61:DQ61,0)+COUNTIF('Buyer Groups'!DS61:EN61,0)&gt;0,0,1)</f>
        <v/>
      </c>
      <c r="MX8">
        <f>IF($BR$8="",FALSE,SUMPRODUCT(('Final Calculation Sheet'!$L$4:$L$40=$BR$8)*($MW$6:$MW$42=1))&gt;0)</f>
        <v/>
      </c>
      <c r="MY8">
        <f>$MY$7+--($MX8)</f>
        <v/>
      </c>
      <c r="MZ8">
        <f>IF(ROW()-3&gt;MAX($MY$4:$MY$40),"",INDEX($BR$4:$BR$40,MATCH(ROW()-3,$MY$4:$MY$40,0)))</f>
        <v/>
      </c>
      <c r="NA8">
        <f>IF(COUNTIF('Buyer Groups'!DG61:DR61,0)+COUNTIF('Buyer Groups'!DT61:EN61,0)&gt;0,0,1)</f>
        <v/>
      </c>
      <c r="NB8">
        <f>IF($BW$8="",FALSE,SUMPRODUCT(('Final Calculation Sheet'!$M$4:$M$40=$BW$8)*($NA$6:$NA$42=1))&gt;0)</f>
        <v/>
      </c>
      <c r="NC8">
        <f>$NC$7+--($NB8)</f>
        <v/>
      </c>
      <c r="ND8">
        <f>IF(ROW()-3&gt;MAX($NC$4:$NC$40),"",INDEX($BW$4:$BW$40,MATCH(ROW()-3,$NC$4:$NC$40,0)))</f>
        <v/>
      </c>
      <c r="NE8">
        <f>IF(COUNTIF('Buyer Groups'!DG61:DS61,0)+COUNTIF('Buyer Groups'!DU61:EN61,0)&gt;0,0,1)</f>
        <v/>
      </c>
      <c r="NF8">
        <f>IF($CB$8="",FALSE,SUMPRODUCT(('Final Calculation Sheet'!$N$4:$N$40=$CB$8)*($NE$6:$NE$42=1))&gt;0)</f>
        <v/>
      </c>
      <c r="NG8">
        <f>$NG$7+--($NF8)</f>
        <v/>
      </c>
      <c r="NH8">
        <f>IF(ROW()-3&gt;MAX($NG$4:$NG$40),"",INDEX($CB$4:$CB$40,MATCH(ROW()-3,$NG$4:$NG$40,0)))</f>
        <v/>
      </c>
      <c r="NI8">
        <f>IF(COUNTIF('Buyer Groups'!DG61:DT61,0)+COUNTIF('Buyer Groups'!DV61:EN61,0)&gt;0,0,1)</f>
        <v/>
      </c>
      <c r="NJ8">
        <f>IF($CG$8="",FALSE,SUMPRODUCT(('Final Calculation Sheet'!$O$4:$O$40=$CG$8)*($NI$6:$NI$42=1))&gt;0)</f>
        <v/>
      </c>
      <c r="NK8">
        <f>$NK$7+--($NJ8)</f>
        <v/>
      </c>
      <c r="NL8">
        <f>IF(ROW()-3&gt;MAX($NK$4:$NK$40),"",INDEX($CG$4:$CG$40,MATCH(ROW()-3,$NK$4:$NK$40,0)))</f>
        <v/>
      </c>
      <c r="NM8">
        <f>IF(COUNTIF('Buyer Groups'!DG61:DU61,0)+COUNTIF('Buyer Groups'!DW61:EN61,0)&gt;0,0,1)</f>
        <v/>
      </c>
      <c r="NN8">
        <f>IF($CL$8="",FALSE,SUMPRODUCT(('Final Calculation Sheet'!$P$4:$P$40=$CL$8)*($NM$6:$NM$42=1))&gt;0)</f>
        <v/>
      </c>
      <c r="NO8">
        <f>$NO$7+--($NN8)</f>
        <v/>
      </c>
      <c r="NP8">
        <f>IF(ROW()-3&gt;MAX($NO$4:$NO$40),"",INDEX($CL$4:$CL$40,MATCH(ROW()-3,$NO$4:$NO$40,0)))</f>
        <v/>
      </c>
      <c r="NQ8">
        <f>IF(COUNTIF('Buyer Groups'!DG61:DV61,0)+COUNTIF('Buyer Groups'!DX61:EN61,0)&gt;0,0,1)</f>
        <v/>
      </c>
      <c r="NR8">
        <f>IF($CQ$8="",FALSE,SUMPRODUCT(('Final Calculation Sheet'!$Q$4:$Q$40=$CQ$8)*($NQ$6:$NQ$42=1))&gt;0)</f>
        <v/>
      </c>
      <c r="NS8">
        <f>$NS$7+--($NR8)</f>
        <v/>
      </c>
      <c r="NT8">
        <f>IF(ROW()-3&gt;MAX($NS$4:$NS$40),"",INDEX($CQ$4:$CQ$40,MATCH(ROW()-3,$NS$4:$NS$40,0)))</f>
        <v/>
      </c>
      <c r="NU8">
        <f>IF(COUNTIF('Buyer Groups'!DG61:DW61,0)+COUNTIF('Buyer Groups'!DY61:EN61,0)&gt;0,0,1)</f>
        <v/>
      </c>
      <c r="NV8">
        <f>IF($CV$8="",FALSE,SUMPRODUCT(('Final Calculation Sheet'!$R$4:$R$40=$CV$8)*($NU$6:$NU$42=1))&gt;0)</f>
        <v/>
      </c>
      <c r="NW8">
        <f>$NW$7+--($NV8)</f>
        <v/>
      </c>
      <c r="NX8">
        <f>IF(ROW()-3&gt;MAX($NW$4:$NW$40),"",INDEX($CV$4:$CV$40,MATCH(ROW()-3,$NW$4:$NW$40,0)))</f>
        <v/>
      </c>
      <c r="NY8">
        <f>IF(COUNTIF('Buyer Groups'!DG61:DX61,0)+COUNTIF('Buyer Groups'!DZ61:EN61,0)&gt;0,0,1)</f>
        <v/>
      </c>
      <c r="NZ8">
        <f>IF($DA$8="",FALSE,SUMPRODUCT(('Final Calculation Sheet'!$S$4:$S$40=$DA$8)*($NY$6:$NY$42=1))&gt;0)</f>
        <v/>
      </c>
      <c r="OA8">
        <f>$OA$7+--($NZ8)</f>
        <v/>
      </c>
      <c r="OB8">
        <f>IF(ROW()-3&gt;MAX($OA$4:$OA$40),"",INDEX($DA$4:$DA$40,MATCH(ROW()-3,$OA$4:$OA$40,0)))</f>
        <v/>
      </c>
      <c r="OC8">
        <f>IF(COUNTIF('Buyer Groups'!DG61:DY61,0)+COUNTIF('Buyer Groups'!EA61:EN61,0)&gt;0,0,1)</f>
        <v/>
      </c>
      <c r="OD8">
        <f>IF($DF$8="",FALSE,SUMPRODUCT(('Final Calculation Sheet'!$T$4:$T$40=$DF$8)*($OC$6:$OC$42=1))&gt;0)</f>
        <v/>
      </c>
      <c r="OE8">
        <f>$OE$7+--($OD8)</f>
        <v/>
      </c>
      <c r="OF8">
        <f>IF(ROW()-3&gt;MAX($OE$4:$OE$40),"",INDEX($DF$4:$DF$40,MATCH(ROW()-3,$OE$4:$OE$40,0)))</f>
        <v/>
      </c>
      <c r="OG8">
        <f>IF(COUNTIF('Buyer Groups'!DG61:DZ61,0)+COUNTIF('Buyer Groups'!EB61:EN61,0)&gt;0,0,1)</f>
        <v/>
      </c>
      <c r="OH8">
        <f>IF($DK$8="",FALSE,SUMPRODUCT(('Final Calculation Sheet'!$U$4:$U$40=$DK$8)*($OG$6:$OG$42=1))&gt;0)</f>
        <v/>
      </c>
      <c r="OI8">
        <f>$OI$7+--($OH8)</f>
        <v/>
      </c>
      <c r="OJ8">
        <f>IF(ROW()-3&gt;MAX($OI$4:$OI$40),"",INDEX($DK$4:$DK$40,MATCH(ROW()-3,$OI$4:$OI$40,0)))</f>
        <v/>
      </c>
      <c r="OK8">
        <f>IF(COUNTIF('Buyer Groups'!DG61:EA61,0)+COUNTIF('Buyer Groups'!EC61:EN61,0)&gt;0,0,1)</f>
        <v/>
      </c>
      <c r="OL8">
        <f>IF($DP$8="",FALSE,SUMPRODUCT(('Final Calculation Sheet'!$V$4:$V$40=$DP$8)*($OK$6:$OK$42=1))&gt;0)</f>
        <v/>
      </c>
      <c r="OM8">
        <f>$OM$7+--($OL8)</f>
        <v/>
      </c>
      <c r="ON8">
        <f>IF(ROW()-3&gt;MAX($OM$4:$OM$40),"",INDEX($DP$4:$DP$40,MATCH(ROW()-3,$OM$4:$OM$40,0)))</f>
        <v/>
      </c>
      <c r="OO8">
        <f>IF(COUNTIF('Buyer Groups'!DG61:EB61,0)+COUNTIF('Buyer Groups'!ED61:EN61,0)&gt;0,0,1)</f>
        <v/>
      </c>
      <c r="OP8">
        <f>IF($DU$8="",FALSE,SUMPRODUCT(('Final Calculation Sheet'!$W$4:$W$40=$DU$8)*($OO$6:$OO$42=1))&gt;0)</f>
        <v/>
      </c>
      <c r="OQ8">
        <f>$OQ$7+--($OP8)</f>
        <v/>
      </c>
      <c r="OR8">
        <f>IF(ROW()-3&gt;MAX($OQ$4:$OQ$40),"",INDEX($DU$4:$DU$40,MATCH(ROW()-3,$OQ$4:$OQ$40,0)))</f>
        <v/>
      </c>
      <c r="OS8">
        <f>IF(COUNTIF('Buyer Groups'!DG61:EC61,0)+COUNTIF('Buyer Groups'!EE61:EN61,0)&gt;0,0,1)</f>
        <v/>
      </c>
      <c r="OT8">
        <f>IF($DZ$8="",FALSE,SUMPRODUCT(('Final Calculation Sheet'!$X$4:$X$40=$DZ$8)*($OS$6:$OS$42=1))&gt;0)</f>
        <v/>
      </c>
      <c r="OU8">
        <f>$OU$7+--($OT8)</f>
        <v/>
      </c>
      <c r="OV8">
        <f>IF(ROW()-3&gt;MAX($OU$4:$OU$40),"",INDEX($DZ$4:$DZ$40,MATCH(ROW()-3,$OU$4:$OU$40,0)))</f>
        <v/>
      </c>
      <c r="OW8">
        <f>IF(COUNTIF('Buyer Groups'!DG61:ED61,0)+COUNTIF('Buyer Groups'!EF61:EN61,0)&gt;0,0,1)</f>
        <v/>
      </c>
      <c r="OX8">
        <f>IF($EE$8="",FALSE,SUMPRODUCT(('Final Calculation Sheet'!$Y$4:$Y$40=$EE$8)*($OW$6:$OW$42=1))&gt;0)</f>
        <v/>
      </c>
      <c r="OY8">
        <f>$OY$7+--($OX8)</f>
        <v/>
      </c>
      <c r="OZ8">
        <f>IF(ROW()-3&gt;MAX($OY$4:$OY$40),"",INDEX($EE$4:$EE$40,MATCH(ROW()-3,$OY$4:$OY$40,0)))</f>
        <v/>
      </c>
      <c r="PA8">
        <f>IF(COUNTIF('Buyer Groups'!DG61:EE61,0)+COUNTIF('Buyer Groups'!EG61:EN61,0)&gt;0,0,1)</f>
        <v/>
      </c>
      <c r="PB8">
        <f>IF($EJ$8="",FALSE,SUMPRODUCT(('Final Calculation Sheet'!$Z$4:$Z$40=$EJ$8)*($PA$6:$PA$42=1))&gt;0)</f>
        <v/>
      </c>
      <c r="PC8">
        <f>$PC$7+--($PB8)</f>
        <v/>
      </c>
      <c r="PD8">
        <f>IF(ROW()-3&gt;MAX($PC$4:$PC$40),"",INDEX($EJ$4:$EJ$40,MATCH(ROW()-3,$PC$4:$PC$40,0)))</f>
        <v/>
      </c>
      <c r="PE8">
        <f>IF(COUNTIF('Buyer Groups'!DG61:EF61,0)+COUNTIF('Buyer Groups'!EH61:EN61,0)&gt;0,0,1)</f>
        <v/>
      </c>
      <c r="PF8">
        <f>IF($EO$8="",FALSE,SUMPRODUCT(('Final Calculation Sheet'!$AA$4:$AA$40=$EO$8)*($PE$6:$PE$42=1))&gt;0)</f>
        <v/>
      </c>
      <c r="PG8">
        <f>$PG$7+--($PF8)</f>
        <v/>
      </c>
      <c r="PH8">
        <f>IF(ROW()-3&gt;MAX($PG$4:$PG$40),"",INDEX($EO$4:$EO$40,MATCH(ROW()-3,$PG$4:$PG$40,0)))</f>
        <v/>
      </c>
      <c r="PI8">
        <f>IF(COUNTIF('Buyer Groups'!DG61:EG61,0)+COUNTIF('Buyer Groups'!EI61:EN61,0)&gt;0,0,1)</f>
        <v/>
      </c>
      <c r="PJ8">
        <f>IF($ET$8="",FALSE,SUMPRODUCT(('Final Calculation Sheet'!$AB$4:$AB$40=$ET$8)*($PI$6:$PI$42=1))&gt;0)</f>
        <v/>
      </c>
      <c r="PK8">
        <f>$PK$7+--($PJ8)</f>
        <v/>
      </c>
      <c r="PL8">
        <f>IF(ROW()-3&gt;MAX($PK$4:$PK$40),"",INDEX($ET$4:$ET$40,MATCH(ROW()-3,$PK$4:$PK$40,0)))</f>
        <v/>
      </c>
      <c r="PM8">
        <f>IF(COUNTIF('Buyer Groups'!DG61:EH61,0)+COUNTIF('Buyer Groups'!EJ61:EN61,0)&gt;0,0,1)</f>
        <v/>
      </c>
      <c r="PN8">
        <f>IF($EY$8="",FALSE,SUMPRODUCT(('Final Calculation Sheet'!$AC$4:$AC$40=$EY$8)*($PM$6:$PM$42=1))&gt;0)</f>
        <v/>
      </c>
      <c r="PO8">
        <f>$PO$7+--($PN8)</f>
        <v/>
      </c>
      <c r="PP8">
        <f>IF(ROW()-3&gt;MAX($PO$4:$PO$40),"",INDEX($EY$4:$EY$40,MATCH(ROW()-3,$PO$4:$PO$40,0)))</f>
        <v/>
      </c>
      <c r="PQ8">
        <f>IF(COUNTIF('Buyer Groups'!DG61:EI61,0)+COUNTIF('Buyer Groups'!EK61:EN61,0)&gt;0,0,1)</f>
        <v/>
      </c>
      <c r="PR8">
        <f>IF($FD$8="",FALSE,SUMPRODUCT(('Final Calculation Sheet'!$AD$4:$AD$40=$FD$8)*($PQ$6:$PQ$42=1))&gt;0)</f>
        <v/>
      </c>
      <c r="PS8">
        <f>$PS$7+--($PR8)</f>
        <v/>
      </c>
      <c r="PT8">
        <f>IF(ROW()-3&gt;MAX($PS$4:$PS$40),"",INDEX($FD$4:$FD$40,MATCH(ROW()-3,$PS$4:$PS$40,0)))</f>
        <v/>
      </c>
      <c r="PU8">
        <f>IF(COUNTIF('Buyer Groups'!DG61:EJ61,0)+COUNTIF('Buyer Groups'!EL61:EN61,0)&gt;0,0,1)</f>
        <v/>
      </c>
      <c r="PV8">
        <f>IF($FX$8="",FALSE,SUMPRODUCT((IF('Final Calculation Sheet'!$AD$4:$AD$40&lt;=5,"SETTLED","OUTSTANDING")=$FX$8)*($PU$6:$PU$42=1))&gt;0)</f>
        <v/>
      </c>
      <c r="PW8">
        <f>$PW$7+--($PV8)</f>
        <v/>
      </c>
      <c r="PX8">
        <f>IF(ROW()-3&gt;MAX($PW$4:$PW$40),"",INDEX($FX$4:$FX$40,MATCH(ROW()-3,$PW$4:$PW$40,0)))</f>
        <v/>
      </c>
      <c r="PY8">
        <f>IF(COUNTIF('Buyer Groups'!DG61:EK61,0)+COUNTIF('Buyer Groups'!EM61:EN61,0)&gt;0,0,1)</f>
        <v/>
      </c>
      <c r="PZ8">
        <f>IF($FI$8="",FALSE,SUMPRODUCT(('Final Calculation Sheet'!$AF$4:$AF$40=$FI$8)*($PY$6:$PY$42=1))&gt;0)</f>
        <v/>
      </c>
      <c r="QA8">
        <f>$QA$7+--($PZ8)</f>
        <v/>
      </c>
      <c r="QB8">
        <f>IF(ROW()-3&gt;MAX($QA$4:$QA$40),"",INDEX($FI$4:$FI$40,MATCH(ROW()-3,$QA$4:$QA$40,0)))</f>
        <v/>
      </c>
      <c r="QC8">
        <f>IF(COUNTIF('Buyer Groups'!DG61:EL61,0)+COUNTIF('Buyer Groups'!EN61:EN61,0)&gt;0,0,1)</f>
        <v/>
      </c>
      <c r="QD8">
        <f>IF($FN$8="",FALSE,SUMPRODUCT(('Final Calculation Sheet'!$AG$4:$AG$40=$FN$8)*($QC$6:$QC$42=1))&gt;0)</f>
        <v/>
      </c>
      <c r="QE8">
        <f>$QE$7+--($QD8)</f>
        <v/>
      </c>
      <c r="QF8">
        <f>IF(ROW()-3&gt;MAX($QE$4:$QE$40),"",INDEX($FN$4:$FN$40,MATCH(ROW()-3,$QE$4:$QE$40,0)))</f>
        <v/>
      </c>
      <c r="QG8">
        <f>IF(COUNTIF('Buyer Groups'!DG61:EM61,0)&gt;0,0,1)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IF(IFERROR('Final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IF(IFERROR('Final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Groups'!DH62:EN62,0)&gt;0,0,1)</f>
        <v/>
      </c>
      <c r="LF9">
        <f>IF($O$9="",FALSE,SUMPRODUCT(('Final Calculation Sheet'!$F$4:$F$40=$O$9)*($LE$6:$LE$42=1))&gt;0)</f>
        <v/>
      </c>
      <c r="LG9">
        <f>$LG$8+--($LF9)</f>
        <v/>
      </c>
      <c r="LH9">
        <f>IF(ROW()-3&gt;MAX($LG$4:$LG$40),"",INDEX($O$4:$O$40,MATCH(ROW()-3,$LG$4:$LG$40,0)))</f>
        <v/>
      </c>
      <c r="LI9">
        <f>IF(COUNTIF('Buyer Groups'!DG62:DG62,0)+COUNTIF('Buyer Groups'!DI62:EN62,0)&gt;0,0,1)</f>
        <v/>
      </c>
      <c r="LJ9">
        <f>IF($T$9="",FALSE,SUMPRODUCT(('Final Calculation Sheet'!$G$4:$G$40=$T$9)*($LI$6:$LI$42=1))&gt;0)</f>
        <v/>
      </c>
      <c r="LK9">
        <f>$LK$8+--($LJ9)</f>
        <v/>
      </c>
      <c r="LL9">
        <f>IF(ROW()-3&gt;MAX($LK$4:$LK$40),"",INDEX($T$4:$T$40,MATCH(ROW()-3,$LK$4:$LK$40,0)))</f>
        <v/>
      </c>
      <c r="LM9">
        <f>IF(COUNTIF('Buyer Groups'!DG62:DH62,0)+COUNTIF('Buyer Groups'!DJ62:EN62,0)&gt;0,0,1)</f>
        <v/>
      </c>
      <c r="LN9">
        <f>IF($Y$9="",FALSE,SUMPRODUCT(('Final Calculation Sheet'!$B$4:$B$40=$Y$9)*($LM$6:$LM$42=1))&gt;0)</f>
        <v/>
      </c>
      <c r="LO9">
        <f>$LO$8+--($LN9)</f>
        <v/>
      </c>
      <c r="LP9">
        <f>IF(ROW()-3&gt;MAX($LO$4:$LO$40),"",INDEX($Y$4:$Y$40,MATCH(ROW()-3,$LO$4:$LO$40,0)))</f>
        <v/>
      </c>
      <c r="LQ9">
        <f>IF(COUNTIF('Buyer Groups'!DG62:DI62,0)+COUNTIF('Buyer Groups'!DK62:EN62,0)&gt;0,0,1)</f>
        <v/>
      </c>
      <c r="LR9">
        <f>IF($AD$9="",FALSE,SUMPRODUCT(('Final Calculation Sheet'!$D$4:$D$40=$AD$9)*($LQ$6:$LQ$42=1))&gt;0)</f>
        <v/>
      </c>
      <c r="LS9">
        <f>$LS$8+--($LR9)</f>
        <v/>
      </c>
      <c r="LT9">
        <f>IF(ROW()-3&gt;MAX($LS$4:$LS$40),"",INDEX($AD$4:$AD$40,MATCH(ROW()-3,$LS$4:$LS$40,0)))</f>
        <v/>
      </c>
      <c r="LU9">
        <f>IF(COUNTIF('Buyer Groups'!DG62:DJ62,0)+COUNTIF('Buyer Groups'!DL62:EN62,0)&gt;0,0,1)</f>
        <v/>
      </c>
      <c r="LV9">
        <f>IF($AI$9="",FALSE,SUMPRODUCT(('Final Calculation Sheet'!$A$4:$A$40=$AI$9)*($LU$6:$LU$42=1))&gt;0)</f>
        <v/>
      </c>
      <c r="LW9">
        <f>$LW$8+--($LV9)</f>
        <v/>
      </c>
      <c r="LX9">
        <f>IF(ROW()-3&gt;MAX($LW$4:$LW$40),"",INDEX($AI$4:$AI$40,MATCH(ROW()-3,$LW$4:$LW$40,0)))</f>
        <v/>
      </c>
      <c r="LY9">
        <f>IF(COUNTIF('Buyer Groups'!DG62:DK62,0)+COUNTIF('Buyer Groups'!DM62:EN62,0)&gt;0,0,1)</f>
        <v/>
      </c>
      <c r="LZ9">
        <f>IF($AN$9="",FALSE,SUMPRODUCT(('Final Calculation Sheet'!$E$4:$E$40=$AN$9)*($LY$6:$LY$42=1))&gt;0)</f>
        <v/>
      </c>
      <c r="MA9">
        <f>$MA$8+--($LZ9)</f>
        <v/>
      </c>
      <c r="MB9">
        <f>IF(ROW()-3&gt;MAX($MA$4:$MA$40),"",INDEX($AN$4:$AN$40,MATCH(ROW()-3,$MA$4:$MA$40,0)))</f>
        <v/>
      </c>
      <c r="MC9">
        <f>IF(COUNTIF('Buyer Groups'!DG62:DL62,0)+COUNTIF('Buyer Groups'!DN62:EN62,0)&gt;0,0,1)</f>
        <v/>
      </c>
      <c r="MD9">
        <f>IF($AS$9="",FALSE,SUMPRODUCT(('Final Calculation Sheet'!$C$4:$C$40=$AS$9)*($MC$6:$MC$42=1))&gt;0)</f>
        <v/>
      </c>
      <c r="ME9">
        <f>$ME$8+--($MD9)</f>
        <v/>
      </c>
      <c r="MF9">
        <f>IF(ROW()-3&gt;MAX($ME$4:$ME$40),"",INDEX($AS$4:$AS$40,MATCH(ROW()-3,$ME$4:$ME$40,0)))</f>
        <v/>
      </c>
      <c r="MG9">
        <f>IF(COUNTIF('Buyer Groups'!DG62:DM62,0)+COUNTIF('Buyer Groups'!DO62:EN62,0)&gt;0,0,1)</f>
        <v/>
      </c>
      <c r="MH9">
        <f>IF($AX$9="",FALSE,SUMPRODUCT(('Final Calculation Sheet'!$H$4:$H$40=$AX$9)*($MG$6:$MG$42=1))&gt;0)</f>
        <v/>
      </c>
      <c r="MI9">
        <f>$MI$8+--($MH9)</f>
        <v/>
      </c>
      <c r="MJ9">
        <f>IF(ROW()-3&gt;MAX($MI$4:$MI$40),"",INDEX($AX$4:$AX$40,MATCH(ROW()-3,$MI$4:$MI$40,0)))</f>
        <v/>
      </c>
      <c r="MK9">
        <f>IF(COUNTIF('Buyer Groups'!DG62:DN62,0)+COUNTIF('Buyer Groups'!DP62:EN62,0)&gt;0,0,1)</f>
        <v/>
      </c>
      <c r="ML9">
        <f>IF($BC$9="",FALSE,SUMPRODUCT(('Final Calculation Sheet'!$I$4:$I$40=$BC$9)*($MK$6:$MK$42=1))&gt;0)</f>
        <v/>
      </c>
      <c r="MM9">
        <f>$MM$8+--($ML9)</f>
        <v/>
      </c>
      <c r="MN9">
        <f>IF(ROW()-3&gt;MAX($MM$4:$MM$40),"",INDEX($BC$4:$BC$40,MATCH(ROW()-3,$MM$4:$MM$40,0)))</f>
        <v/>
      </c>
      <c r="MO9">
        <f>IF(COUNTIF('Buyer Groups'!DG62:DO62,0)+COUNTIF('Buyer Groups'!DQ62:EN62,0)&gt;0,0,1)</f>
        <v/>
      </c>
      <c r="MP9">
        <f>IF($BH$9="",FALSE,SUMPRODUCT(('Final Calculation Sheet'!$J$4:$J$40=$BH$9)*($MO$6:$MO$42=1))&gt;0)</f>
        <v/>
      </c>
      <c r="MQ9">
        <f>$MQ$8+--($MP9)</f>
        <v/>
      </c>
      <c r="MR9">
        <f>IF(ROW()-3&gt;MAX($MQ$4:$MQ$40),"",INDEX($BH$4:$BH$40,MATCH(ROW()-3,$MQ$4:$MQ$40,0)))</f>
        <v/>
      </c>
      <c r="MS9">
        <f>IF(COUNTIF('Buyer Groups'!DG62:DP62,0)+COUNTIF('Buyer Groups'!DR62:EN62,0)&gt;0,0,1)</f>
        <v/>
      </c>
      <c r="MT9">
        <f>IF($BM$9="",FALSE,SUMPRODUCT(('Final Calculation Sheet'!$K$4:$K$40=$BM$9)*($MS$6:$MS$42=1))&gt;0)</f>
        <v/>
      </c>
      <c r="MU9">
        <f>$MU$8+--($MT9)</f>
        <v/>
      </c>
      <c r="MV9">
        <f>IF(ROW()-3&gt;MAX($MU$4:$MU$40),"",INDEX($BM$4:$BM$40,MATCH(ROW()-3,$MU$4:$MU$40,0)))</f>
        <v/>
      </c>
      <c r="MW9">
        <f>IF(COUNTIF('Buyer Groups'!DG62:DQ62,0)+COUNTIF('Buyer Groups'!DS62:EN62,0)&gt;0,0,1)</f>
        <v/>
      </c>
      <c r="MX9">
        <f>IF($BR$9="",FALSE,SUMPRODUCT(('Final Calculation Sheet'!$L$4:$L$40=$BR$9)*($MW$6:$MW$42=1))&gt;0)</f>
        <v/>
      </c>
      <c r="MY9">
        <f>$MY$8+--($MX9)</f>
        <v/>
      </c>
      <c r="MZ9">
        <f>IF(ROW()-3&gt;MAX($MY$4:$MY$40),"",INDEX($BR$4:$BR$40,MATCH(ROW()-3,$MY$4:$MY$40,0)))</f>
        <v/>
      </c>
      <c r="NA9">
        <f>IF(COUNTIF('Buyer Groups'!DG62:DR62,0)+COUNTIF('Buyer Groups'!DT62:EN62,0)&gt;0,0,1)</f>
        <v/>
      </c>
      <c r="NB9">
        <f>IF($BW$9="",FALSE,SUMPRODUCT(('Final Calculation Sheet'!$M$4:$M$40=$BW$9)*($NA$6:$NA$42=1))&gt;0)</f>
        <v/>
      </c>
      <c r="NC9">
        <f>$NC$8+--($NB9)</f>
        <v/>
      </c>
      <c r="ND9">
        <f>IF(ROW()-3&gt;MAX($NC$4:$NC$40),"",INDEX($BW$4:$BW$40,MATCH(ROW()-3,$NC$4:$NC$40,0)))</f>
        <v/>
      </c>
      <c r="NE9">
        <f>IF(COUNTIF('Buyer Groups'!DG62:DS62,0)+COUNTIF('Buyer Groups'!DU62:EN62,0)&gt;0,0,1)</f>
        <v/>
      </c>
      <c r="NF9">
        <f>IF($CB$9="",FALSE,SUMPRODUCT(('Final Calculation Sheet'!$N$4:$N$40=$CB$9)*($NE$6:$NE$42=1))&gt;0)</f>
        <v/>
      </c>
      <c r="NG9">
        <f>$NG$8+--($NF9)</f>
        <v/>
      </c>
      <c r="NH9">
        <f>IF(ROW()-3&gt;MAX($NG$4:$NG$40),"",INDEX($CB$4:$CB$40,MATCH(ROW()-3,$NG$4:$NG$40,0)))</f>
        <v/>
      </c>
      <c r="NI9">
        <f>IF(COUNTIF('Buyer Groups'!DG62:DT62,0)+COUNTIF('Buyer Groups'!DV62:EN62,0)&gt;0,0,1)</f>
        <v/>
      </c>
      <c r="NJ9">
        <f>IF($CG$9="",FALSE,SUMPRODUCT(('Final Calculation Sheet'!$O$4:$O$40=$CG$9)*($NI$6:$NI$42=1))&gt;0)</f>
        <v/>
      </c>
      <c r="NK9">
        <f>$NK$8+--($NJ9)</f>
        <v/>
      </c>
      <c r="NL9">
        <f>IF(ROW()-3&gt;MAX($NK$4:$NK$40),"",INDEX($CG$4:$CG$40,MATCH(ROW()-3,$NK$4:$NK$40,0)))</f>
        <v/>
      </c>
      <c r="NM9">
        <f>IF(COUNTIF('Buyer Groups'!DG62:DU62,0)+COUNTIF('Buyer Groups'!DW62:EN62,0)&gt;0,0,1)</f>
        <v/>
      </c>
      <c r="NN9">
        <f>IF($CL$9="",FALSE,SUMPRODUCT(('Final Calculation Sheet'!$P$4:$P$40=$CL$9)*($NM$6:$NM$42=1))&gt;0)</f>
        <v/>
      </c>
      <c r="NO9">
        <f>$NO$8+--($NN9)</f>
        <v/>
      </c>
      <c r="NP9">
        <f>IF(ROW()-3&gt;MAX($NO$4:$NO$40),"",INDEX($CL$4:$CL$40,MATCH(ROW()-3,$NO$4:$NO$40,0)))</f>
        <v/>
      </c>
      <c r="NQ9">
        <f>IF(COUNTIF('Buyer Groups'!DG62:DV62,0)+COUNTIF('Buyer Groups'!DX62:EN62,0)&gt;0,0,1)</f>
        <v/>
      </c>
      <c r="NR9">
        <f>IF($CQ$9="",FALSE,SUMPRODUCT(('Final Calculation Sheet'!$Q$4:$Q$40=$CQ$9)*($NQ$6:$NQ$42=1))&gt;0)</f>
        <v/>
      </c>
      <c r="NS9">
        <f>$NS$8+--($NR9)</f>
        <v/>
      </c>
      <c r="NT9">
        <f>IF(ROW()-3&gt;MAX($NS$4:$NS$40),"",INDEX($CQ$4:$CQ$40,MATCH(ROW()-3,$NS$4:$NS$40,0)))</f>
        <v/>
      </c>
      <c r="NU9">
        <f>IF(COUNTIF('Buyer Groups'!DG62:DW62,0)+COUNTIF('Buyer Groups'!DY62:EN62,0)&gt;0,0,1)</f>
        <v/>
      </c>
      <c r="NV9">
        <f>IF($CV$9="",FALSE,SUMPRODUCT(('Final Calculation Sheet'!$R$4:$R$40=$CV$9)*($NU$6:$NU$42=1))&gt;0)</f>
        <v/>
      </c>
      <c r="NW9">
        <f>$NW$8+--($NV9)</f>
        <v/>
      </c>
      <c r="NX9">
        <f>IF(ROW()-3&gt;MAX($NW$4:$NW$40),"",INDEX($CV$4:$CV$40,MATCH(ROW()-3,$NW$4:$NW$40,0)))</f>
        <v/>
      </c>
      <c r="NY9">
        <f>IF(COUNTIF('Buyer Groups'!DG62:DX62,0)+COUNTIF('Buyer Groups'!DZ62:EN62,0)&gt;0,0,1)</f>
        <v/>
      </c>
      <c r="NZ9">
        <f>IF($DA$9="",FALSE,SUMPRODUCT(('Final Calculation Sheet'!$S$4:$S$40=$DA$9)*($NY$6:$NY$42=1))&gt;0)</f>
        <v/>
      </c>
      <c r="OA9">
        <f>$OA$8+--($NZ9)</f>
        <v/>
      </c>
      <c r="OB9">
        <f>IF(ROW()-3&gt;MAX($OA$4:$OA$40),"",INDEX($DA$4:$DA$40,MATCH(ROW()-3,$OA$4:$OA$40,0)))</f>
        <v/>
      </c>
      <c r="OC9">
        <f>IF(COUNTIF('Buyer Groups'!DG62:DY62,0)+COUNTIF('Buyer Groups'!EA62:EN62,0)&gt;0,0,1)</f>
        <v/>
      </c>
      <c r="OD9">
        <f>IF($DF$9="",FALSE,SUMPRODUCT(('Final Calculation Sheet'!$T$4:$T$40=$DF$9)*($OC$6:$OC$42=1))&gt;0)</f>
        <v/>
      </c>
      <c r="OE9">
        <f>$OE$8+--($OD9)</f>
        <v/>
      </c>
      <c r="OF9">
        <f>IF(ROW()-3&gt;MAX($OE$4:$OE$40),"",INDEX($DF$4:$DF$40,MATCH(ROW()-3,$OE$4:$OE$40,0)))</f>
        <v/>
      </c>
      <c r="OG9">
        <f>IF(COUNTIF('Buyer Groups'!DG62:DZ62,0)+COUNTIF('Buyer Groups'!EB62:EN62,0)&gt;0,0,1)</f>
        <v/>
      </c>
      <c r="OH9">
        <f>IF($DK$9="",FALSE,SUMPRODUCT(('Final Calculation Sheet'!$U$4:$U$40=$DK$9)*($OG$6:$OG$42=1))&gt;0)</f>
        <v/>
      </c>
      <c r="OI9">
        <f>$OI$8+--($OH9)</f>
        <v/>
      </c>
      <c r="OJ9">
        <f>IF(ROW()-3&gt;MAX($OI$4:$OI$40),"",INDEX($DK$4:$DK$40,MATCH(ROW()-3,$OI$4:$OI$40,0)))</f>
        <v/>
      </c>
      <c r="OK9">
        <f>IF(COUNTIF('Buyer Groups'!DG62:EA62,0)+COUNTIF('Buyer Groups'!EC62:EN62,0)&gt;0,0,1)</f>
        <v/>
      </c>
      <c r="OL9">
        <f>IF($DP$9="",FALSE,SUMPRODUCT(('Final Calculation Sheet'!$V$4:$V$40=$DP$9)*($OK$6:$OK$42=1))&gt;0)</f>
        <v/>
      </c>
      <c r="OM9">
        <f>$OM$8+--($OL9)</f>
        <v/>
      </c>
      <c r="ON9">
        <f>IF(ROW()-3&gt;MAX($OM$4:$OM$40),"",INDEX($DP$4:$DP$40,MATCH(ROW()-3,$OM$4:$OM$40,0)))</f>
        <v/>
      </c>
      <c r="OO9">
        <f>IF(COUNTIF('Buyer Groups'!DG62:EB62,0)+COUNTIF('Buyer Groups'!ED62:EN62,0)&gt;0,0,1)</f>
        <v/>
      </c>
      <c r="OP9">
        <f>IF($DU$9="",FALSE,SUMPRODUCT(('Final Calculation Sheet'!$W$4:$W$40=$DU$9)*($OO$6:$OO$42=1))&gt;0)</f>
        <v/>
      </c>
      <c r="OQ9">
        <f>$OQ$8+--($OP9)</f>
        <v/>
      </c>
      <c r="OR9">
        <f>IF(ROW()-3&gt;MAX($OQ$4:$OQ$40),"",INDEX($DU$4:$DU$40,MATCH(ROW()-3,$OQ$4:$OQ$40,0)))</f>
        <v/>
      </c>
      <c r="OS9">
        <f>IF(COUNTIF('Buyer Groups'!DG62:EC62,0)+COUNTIF('Buyer Groups'!EE62:EN62,0)&gt;0,0,1)</f>
        <v/>
      </c>
      <c r="OT9">
        <f>IF($DZ$9="",FALSE,SUMPRODUCT(('Final Calculation Sheet'!$X$4:$X$40=$DZ$9)*($OS$6:$OS$42=1))&gt;0)</f>
        <v/>
      </c>
      <c r="OU9">
        <f>$OU$8+--($OT9)</f>
        <v/>
      </c>
      <c r="OV9">
        <f>IF(ROW()-3&gt;MAX($OU$4:$OU$40),"",INDEX($DZ$4:$DZ$40,MATCH(ROW()-3,$OU$4:$OU$40,0)))</f>
        <v/>
      </c>
      <c r="OW9">
        <f>IF(COUNTIF('Buyer Groups'!DG62:ED62,0)+COUNTIF('Buyer Groups'!EF62:EN62,0)&gt;0,0,1)</f>
        <v/>
      </c>
      <c r="OX9">
        <f>IF($EE$9="",FALSE,SUMPRODUCT(('Final Calculation Sheet'!$Y$4:$Y$40=$EE$9)*($OW$6:$OW$42=1))&gt;0)</f>
        <v/>
      </c>
      <c r="OY9">
        <f>$OY$8+--($OX9)</f>
        <v/>
      </c>
      <c r="OZ9">
        <f>IF(ROW()-3&gt;MAX($OY$4:$OY$40),"",INDEX($EE$4:$EE$40,MATCH(ROW()-3,$OY$4:$OY$40,0)))</f>
        <v/>
      </c>
      <c r="PA9">
        <f>IF(COUNTIF('Buyer Groups'!DG62:EE62,0)+COUNTIF('Buyer Groups'!EG62:EN62,0)&gt;0,0,1)</f>
        <v/>
      </c>
      <c r="PB9">
        <f>IF($EJ$9="",FALSE,SUMPRODUCT(('Final Calculation Sheet'!$Z$4:$Z$40=$EJ$9)*($PA$6:$PA$42=1))&gt;0)</f>
        <v/>
      </c>
      <c r="PC9">
        <f>$PC$8+--($PB9)</f>
        <v/>
      </c>
      <c r="PD9">
        <f>IF(ROW()-3&gt;MAX($PC$4:$PC$40),"",INDEX($EJ$4:$EJ$40,MATCH(ROW()-3,$PC$4:$PC$40,0)))</f>
        <v/>
      </c>
      <c r="PE9">
        <f>IF(COUNTIF('Buyer Groups'!DG62:EF62,0)+COUNTIF('Buyer Groups'!EH62:EN62,0)&gt;0,0,1)</f>
        <v/>
      </c>
      <c r="PF9">
        <f>IF($EO$9="",FALSE,SUMPRODUCT(('Final Calculation Sheet'!$AA$4:$AA$40=$EO$9)*($PE$6:$PE$42=1))&gt;0)</f>
        <v/>
      </c>
      <c r="PG9">
        <f>$PG$8+--($PF9)</f>
        <v/>
      </c>
      <c r="PH9">
        <f>IF(ROW()-3&gt;MAX($PG$4:$PG$40),"",INDEX($EO$4:$EO$40,MATCH(ROW()-3,$PG$4:$PG$40,0)))</f>
        <v/>
      </c>
      <c r="PI9">
        <f>IF(COUNTIF('Buyer Groups'!DG62:EG62,0)+COUNTIF('Buyer Groups'!EI62:EN62,0)&gt;0,0,1)</f>
        <v/>
      </c>
      <c r="PJ9">
        <f>IF($ET$9="",FALSE,SUMPRODUCT(('Final Calculation Sheet'!$AB$4:$AB$40=$ET$9)*($PI$6:$PI$42=1))&gt;0)</f>
        <v/>
      </c>
      <c r="PK9">
        <f>$PK$8+--($PJ9)</f>
        <v/>
      </c>
      <c r="PL9">
        <f>IF(ROW()-3&gt;MAX($PK$4:$PK$40),"",INDEX($ET$4:$ET$40,MATCH(ROW()-3,$PK$4:$PK$40,0)))</f>
        <v/>
      </c>
      <c r="PM9">
        <f>IF(COUNTIF('Buyer Groups'!DG62:EH62,0)+COUNTIF('Buyer Groups'!EJ62:EN62,0)&gt;0,0,1)</f>
        <v/>
      </c>
      <c r="PN9">
        <f>IF($EY$9="",FALSE,SUMPRODUCT(('Final Calculation Sheet'!$AC$4:$AC$40=$EY$9)*($PM$6:$PM$42=1))&gt;0)</f>
        <v/>
      </c>
      <c r="PO9">
        <f>$PO$8+--($PN9)</f>
        <v/>
      </c>
      <c r="PP9">
        <f>IF(ROW()-3&gt;MAX($PO$4:$PO$40),"",INDEX($EY$4:$EY$40,MATCH(ROW()-3,$PO$4:$PO$40,0)))</f>
        <v/>
      </c>
      <c r="PQ9">
        <f>IF(COUNTIF('Buyer Groups'!DG62:EI62,0)+COUNTIF('Buyer Groups'!EK62:EN62,0)&gt;0,0,1)</f>
        <v/>
      </c>
      <c r="PR9">
        <f>IF($FD$9="",FALSE,SUMPRODUCT(('Final Calculation Sheet'!$AD$4:$AD$40=$FD$9)*($PQ$6:$PQ$42=1))&gt;0)</f>
        <v/>
      </c>
      <c r="PS9">
        <f>$PS$8+--($PR9)</f>
        <v/>
      </c>
      <c r="PT9">
        <f>IF(ROW()-3&gt;MAX($PS$4:$PS$40),"",INDEX($FD$4:$FD$40,MATCH(ROW()-3,$PS$4:$PS$40,0)))</f>
        <v/>
      </c>
      <c r="PU9">
        <f>IF(COUNTIF('Buyer Groups'!DG62:EJ62,0)+COUNTIF('Buyer Groups'!EL62:EN62,0)&gt;0,0,1)</f>
        <v/>
      </c>
      <c r="PV9">
        <f>IF($FX$9="",FALSE,SUMPRODUCT((IF('Final Calculation Sheet'!$AD$4:$AD$40&lt;=5,"SETTLED","OUTSTANDING")=$FX$9)*($PU$6:$PU$42=1))&gt;0)</f>
        <v/>
      </c>
      <c r="PW9">
        <f>$PW$8+--($PV9)</f>
        <v/>
      </c>
      <c r="PX9">
        <f>IF(ROW()-3&gt;MAX($PW$4:$PW$40),"",INDEX($FX$4:$FX$40,MATCH(ROW()-3,$PW$4:$PW$40,0)))</f>
        <v/>
      </c>
      <c r="PY9">
        <f>IF(COUNTIF('Buyer Groups'!DG62:EK62,0)+COUNTIF('Buyer Groups'!EM62:EN62,0)&gt;0,0,1)</f>
        <v/>
      </c>
      <c r="PZ9">
        <f>IF($FI$9="",FALSE,SUMPRODUCT(('Final Calculation Sheet'!$AF$4:$AF$40=$FI$9)*($PY$6:$PY$42=1))&gt;0)</f>
        <v/>
      </c>
      <c r="QA9">
        <f>$QA$8+--($PZ9)</f>
        <v/>
      </c>
      <c r="QB9">
        <f>IF(ROW()-3&gt;MAX($QA$4:$QA$40),"",INDEX($FI$4:$FI$40,MATCH(ROW()-3,$QA$4:$QA$40,0)))</f>
        <v/>
      </c>
      <c r="QC9">
        <f>IF(COUNTIF('Buyer Groups'!DG62:EL62,0)+COUNTIF('Buyer Groups'!EN62:EN62,0)&gt;0,0,1)</f>
        <v/>
      </c>
      <c r="QD9">
        <f>IF($FN$9="",FALSE,SUMPRODUCT(('Final Calculation Sheet'!$AG$4:$AG$40=$FN$9)*($QC$6:$QC$42=1))&gt;0)</f>
        <v/>
      </c>
      <c r="QE9">
        <f>$QE$8+--($QD9)</f>
        <v/>
      </c>
      <c r="QF9">
        <f>IF(ROW()-3&gt;MAX($QE$4:$QE$40),"",INDEX($FN$4:$FN$40,MATCH(ROW()-3,$QE$4:$QE$40,0)))</f>
        <v/>
      </c>
      <c r="QG9">
        <f>IF(COUNTIF('Buyer Groups'!DG62:EM62,0)&gt;0,0,1)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IF(IFERROR('Final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IF(IFERROR('Final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Groups'!DH63:EN63,0)&gt;0,0,1)</f>
        <v/>
      </c>
      <c r="LF10">
        <f>IF($O$10="",FALSE,SUMPRODUCT(('Final Calculation Sheet'!$F$4:$F$40=$O$10)*($LE$6:$LE$42=1))&gt;0)</f>
        <v/>
      </c>
      <c r="LG10">
        <f>$LG$9+--($LF10)</f>
        <v/>
      </c>
      <c r="LH10">
        <f>IF(ROW()-3&gt;MAX($LG$4:$LG$40),"",INDEX($O$4:$O$40,MATCH(ROW()-3,$LG$4:$LG$40,0)))</f>
        <v/>
      </c>
      <c r="LI10">
        <f>IF(COUNTIF('Buyer Groups'!DG63:DG63,0)+COUNTIF('Buyer Groups'!DI63:EN63,0)&gt;0,0,1)</f>
        <v/>
      </c>
      <c r="LJ10">
        <f>IF($T$10="",FALSE,SUMPRODUCT(('Final Calculation Sheet'!$G$4:$G$40=$T$10)*($LI$6:$LI$42=1))&gt;0)</f>
        <v/>
      </c>
      <c r="LK10">
        <f>$LK$9+--($LJ10)</f>
        <v/>
      </c>
      <c r="LL10">
        <f>IF(ROW()-3&gt;MAX($LK$4:$LK$40),"",INDEX($T$4:$T$40,MATCH(ROW()-3,$LK$4:$LK$40,0)))</f>
        <v/>
      </c>
      <c r="LM10">
        <f>IF(COUNTIF('Buyer Groups'!DG63:DH63,0)+COUNTIF('Buyer Groups'!DJ63:EN63,0)&gt;0,0,1)</f>
        <v/>
      </c>
      <c r="LN10">
        <f>IF($Y$10="",FALSE,SUMPRODUCT(('Final Calculation Sheet'!$B$4:$B$40=$Y$10)*($LM$6:$LM$42=1))&gt;0)</f>
        <v/>
      </c>
      <c r="LO10">
        <f>$LO$9+--($LN10)</f>
        <v/>
      </c>
      <c r="LP10">
        <f>IF(ROW()-3&gt;MAX($LO$4:$LO$40),"",INDEX($Y$4:$Y$40,MATCH(ROW()-3,$LO$4:$LO$40,0)))</f>
        <v/>
      </c>
      <c r="LQ10">
        <f>IF(COUNTIF('Buyer Groups'!DG63:DI63,0)+COUNTIF('Buyer Groups'!DK63:EN63,0)&gt;0,0,1)</f>
        <v/>
      </c>
      <c r="LR10">
        <f>IF($AD$10="",FALSE,SUMPRODUCT(('Final Calculation Sheet'!$D$4:$D$40=$AD$10)*($LQ$6:$LQ$42=1))&gt;0)</f>
        <v/>
      </c>
      <c r="LS10">
        <f>$LS$9+--($LR10)</f>
        <v/>
      </c>
      <c r="LT10">
        <f>IF(ROW()-3&gt;MAX($LS$4:$LS$40),"",INDEX($AD$4:$AD$40,MATCH(ROW()-3,$LS$4:$LS$40,0)))</f>
        <v/>
      </c>
      <c r="LU10">
        <f>IF(COUNTIF('Buyer Groups'!DG63:DJ63,0)+COUNTIF('Buyer Groups'!DL63:EN63,0)&gt;0,0,1)</f>
        <v/>
      </c>
      <c r="LV10">
        <f>IF($AI$10="",FALSE,SUMPRODUCT(('Final Calculation Sheet'!$A$4:$A$40=$AI$10)*($LU$6:$LU$42=1))&gt;0)</f>
        <v/>
      </c>
      <c r="LW10">
        <f>$LW$9+--($LV10)</f>
        <v/>
      </c>
      <c r="LX10">
        <f>IF(ROW()-3&gt;MAX($LW$4:$LW$40),"",INDEX($AI$4:$AI$40,MATCH(ROW()-3,$LW$4:$LW$40,0)))</f>
        <v/>
      </c>
      <c r="LY10">
        <f>IF(COUNTIF('Buyer Groups'!DG63:DK63,0)+COUNTIF('Buyer Groups'!DM63:EN63,0)&gt;0,0,1)</f>
        <v/>
      </c>
      <c r="LZ10">
        <f>IF($AN$10="",FALSE,SUMPRODUCT(('Final Calculation Sheet'!$E$4:$E$40=$AN$10)*($LY$6:$LY$42=1))&gt;0)</f>
        <v/>
      </c>
      <c r="MA10">
        <f>$MA$9+--($LZ10)</f>
        <v/>
      </c>
      <c r="MB10">
        <f>IF(ROW()-3&gt;MAX($MA$4:$MA$40),"",INDEX($AN$4:$AN$40,MATCH(ROW()-3,$MA$4:$MA$40,0)))</f>
        <v/>
      </c>
      <c r="MC10">
        <f>IF(COUNTIF('Buyer Groups'!DG63:DL63,0)+COUNTIF('Buyer Groups'!DN63:EN63,0)&gt;0,0,1)</f>
        <v/>
      </c>
      <c r="MD10">
        <f>IF($AS$10="",FALSE,SUMPRODUCT(('Final Calculation Sheet'!$C$4:$C$40=$AS$10)*($MC$6:$MC$42=1))&gt;0)</f>
        <v/>
      </c>
      <c r="ME10">
        <f>$ME$9+--($MD10)</f>
        <v/>
      </c>
      <c r="MF10">
        <f>IF(ROW()-3&gt;MAX($ME$4:$ME$40),"",INDEX($AS$4:$AS$40,MATCH(ROW()-3,$ME$4:$ME$40,0)))</f>
        <v/>
      </c>
      <c r="MG10">
        <f>IF(COUNTIF('Buyer Groups'!DG63:DM63,0)+COUNTIF('Buyer Groups'!DO63:EN63,0)&gt;0,0,1)</f>
        <v/>
      </c>
      <c r="MH10">
        <f>IF($AX$10="",FALSE,SUMPRODUCT(('Final Calculation Sheet'!$H$4:$H$40=$AX$10)*($MG$6:$MG$42=1))&gt;0)</f>
        <v/>
      </c>
      <c r="MI10">
        <f>$MI$9+--($MH10)</f>
        <v/>
      </c>
      <c r="MJ10">
        <f>IF(ROW()-3&gt;MAX($MI$4:$MI$40),"",INDEX($AX$4:$AX$40,MATCH(ROW()-3,$MI$4:$MI$40,0)))</f>
        <v/>
      </c>
      <c r="MK10">
        <f>IF(COUNTIF('Buyer Groups'!DG63:DN63,0)+COUNTIF('Buyer Groups'!DP63:EN63,0)&gt;0,0,1)</f>
        <v/>
      </c>
      <c r="ML10">
        <f>IF($BC$10="",FALSE,SUMPRODUCT(('Final Calculation Sheet'!$I$4:$I$40=$BC$10)*($MK$6:$MK$42=1))&gt;0)</f>
        <v/>
      </c>
      <c r="MM10">
        <f>$MM$9+--($ML10)</f>
        <v/>
      </c>
      <c r="MN10">
        <f>IF(ROW()-3&gt;MAX($MM$4:$MM$40),"",INDEX($BC$4:$BC$40,MATCH(ROW()-3,$MM$4:$MM$40,0)))</f>
        <v/>
      </c>
      <c r="MO10">
        <f>IF(COUNTIF('Buyer Groups'!DG63:DO63,0)+COUNTIF('Buyer Groups'!DQ63:EN63,0)&gt;0,0,1)</f>
        <v/>
      </c>
      <c r="MP10">
        <f>IF($BH$10="",FALSE,SUMPRODUCT(('Final Calculation Sheet'!$J$4:$J$40=$BH$10)*($MO$6:$MO$42=1))&gt;0)</f>
        <v/>
      </c>
      <c r="MQ10">
        <f>$MQ$9+--($MP10)</f>
        <v/>
      </c>
      <c r="MR10">
        <f>IF(ROW()-3&gt;MAX($MQ$4:$MQ$40),"",INDEX($BH$4:$BH$40,MATCH(ROW()-3,$MQ$4:$MQ$40,0)))</f>
        <v/>
      </c>
      <c r="MS10">
        <f>IF(COUNTIF('Buyer Groups'!DG63:DP63,0)+COUNTIF('Buyer Groups'!DR63:EN63,0)&gt;0,0,1)</f>
        <v/>
      </c>
      <c r="MT10">
        <f>IF($BM$10="",FALSE,SUMPRODUCT(('Final Calculation Sheet'!$K$4:$K$40=$BM$10)*($MS$6:$MS$42=1))&gt;0)</f>
        <v/>
      </c>
      <c r="MU10">
        <f>$MU$9+--($MT10)</f>
        <v/>
      </c>
      <c r="MV10">
        <f>IF(ROW()-3&gt;MAX($MU$4:$MU$40),"",INDEX($BM$4:$BM$40,MATCH(ROW()-3,$MU$4:$MU$40,0)))</f>
        <v/>
      </c>
      <c r="MW10">
        <f>IF(COUNTIF('Buyer Groups'!DG63:DQ63,0)+COUNTIF('Buyer Groups'!DS63:EN63,0)&gt;0,0,1)</f>
        <v/>
      </c>
      <c r="MX10">
        <f>IF($BR$10="",FALSE,SUMPRODUCT(('Final Calculation Sheet'!$L$4:$L$40=$BR$10)*($MW$6:$MW$42=1))&gt;0)</f>
        <v/>
      </c>
      <c r="MY10">
        <f>$MY$9+--($MX10)</f>
        <v/>
      </c>
      <c r="MZ10">
        <f>IF(ROW()-3&gt;MAX($MY$4:$MY$40),"",INDEX($BR$4:$BR$40,MATCH(ROW()-3,$MY$4:$MY$40,0)))</f>
        <v/>
      </c>
      <c r="NA10">
        <f>IF(COUNTIF('Buyer Groups'!DG63:DR63,0)+COUNTIF('Buyer Groups'!DT63:EN63,0)&gt;0,0,1)</f>
        <v/>
      </c>
      <c r="NB10">
        <f>IF($BW$10="",FALSE,SUMPRODUCT(('Final Calculation Sheet'!$M$4:$M$40=$BW$10)*($NA$6:$NA$42=1))&gt;0)</f>
        <v/>
      </c>
      <c r="NC10">
        <f>$NC$9+--($NB10)</f>
        <v/>
      </c>
      <c r="ND10">
        <f>IF(ROW()-3&gt;MAX($NC$4:$NC$40),"",INDEX($BW$4:$BW$40,MATCH(ROW()-3,$NC$4:$NC$40,0)))</f>
        <v/>
      </c>
      <c r="NE10">
        <f>IF(COUNTIF('Buyer Groups'!DG63:DS63,0)+COUNTIF('Buyer Groups'!DU63:EN63,0)&gt;0,0,1)</f>
        <v/>
      </c>
      <c r="NF10">
        <f>IF($CB$10="",FALSE,SUMPRODUCT(('Final Calculation Sheet'!$N$4:$N$40=$CB$10)*($NE$6:$NE$42=1))&gt;0)</f>
        <v/>
      </c>
      <c r="NG10">
        <f>$NG$9+--($NF10)</f>
        <v/>
      </c>
      <c r="NH10">
        <f>IF(ROW()-3&gt;MAX($NG$4:$NG$40),"",INDEX($CB$4:$CB$40,MATCH(ROW()-3,$NG$4:$NG$40,0)))</f>
        <v/>
      </c>
      <c r="NI10">
        <f>IF(COUNTIF('Buyer Groups'!DG63:DT63,0)+COUNTIF('Buyer Groups'!DV63:EN63,0)&gt;0,0,1)</f>
        <v/>
      </c>
      <c r="NJ10">
        <f>IF($CG$10="",FALSE,SUMPRODUCT(('Final Calculation Sheet'!$O$4:$O$40=$CG$10)*($NI$6:$NI$42=1))&gt;0)</f>
        <v/>
      </c>
      <c r="NK10">
        <f>$NK$9+--($NJ10)</f>
        <v/>
      </c>
      <c r="NL10">
        <f>IF(ROW()-3&gt;MAX($NK$4:$NK$40),"",INDEX($CG$4:$CG$40,MATCH(ROW()-3,$NK$4:$NK$40,0)))</f>
        <v/>
      </c>
      <c r="NM10">
        <f>IF(COUNTIF('Buyer Groups'!DG63:DU63,0)+COUNTIF('Buyer Groups'!DW63:EN63,0)&gt;0,0,1)</f>
        <v/>
      </c>
      <c r="NN10">
        <f>IF($CL$10="",FALSE,SUMPRODUCT(('Final Calculation Sheet'!$P$4:$P$40=$CL$10)*($NM$6:$NM$42=1))&gt;0)</f>
        <v/>
      </c>
      <c r="NO10">
        <f>$NO$9+--($NN10)</f>
        <v/>
      </c>
      <c r="NP10">
        <f>IF(ROW()-3&gt;MAX($NO$4:$NO$40),"",INDEX($CL$4:$CL$40,MATCH(ROW()-3,$NO$4:$NO$40,0)))</f>
        <v/>
      </c>
      <c r="NQ10">
        <f>IF(COUNTIF('Buyer Groups'!DG63:DV63,0)+COUNTIF('Buyer Groups'!DX63:EN63,0)&gt;0,0,1)</f>
        <v/>
      </c>
      <c r="NR10">
        <f>IF($CQ$10="",FALSE,SUMPRODUCT(('Final Calculation Sheet'!$Q$4:$Q$40=$CQ$10)*($NQ$6:$NQ$42=1))&gt;0)</f>
        <v/>
      </c>
      <c r="NS10">
        <f>$NS$9+--($NR10)</f>
        <v/>
      </c>
      <c r="NT10">
        <f>IF(ROW()-3&gt;MAX($NS$4:$NS$40),"",INDEX($CQ$4:$CQ$40,MATCH(ROW()-3,$NS$4:$NS$40,0)))</f>
        <v/>
      </c>
      <c r="NU10">
        <f>IF(COUNTIF('Buyer Groups'!DG63:DW63,0)+COUNTIF('Buyer Groups'!DY63:EN63,0)&gt;0,0,1)</f>
        <v/>
      </c>
      <c r="NV10">
        <f>IF($CV$10="",FALSE,SUMPRODUCT(('Final Calculation Sheet'!$R$4:$R$40=$CV$10)*($NU$6:$NU$42=1))&gt;0)</f>
        <v/>
      </c>
      <c r="NW10">
        <f>$NW$9+--($NV10)</f>
        <v/>
      </c>
      <c r="NX10">
        <f>IF(ROW()-3&gt;MAX($NW$4:$NW$40),"",INDEX($CV$4:$CV$40,MATCH(ROW()-3,$NW$4:$NW$40,0)))</f>
        <v/>
      </c>
      <c r="NY10">
        <f>IF(COUNTIF('Buyer Groups'!DG63:DX63,0)+COUNTIF('Buyer Groups'!DZ63:EN63,0)&gt;0,0,1)</f>
        <v/>
      </c>
      <c r="NZ10">
        <f>IF($DA$10="",FALSE,SUMPRODUCT(('Final Calculation Sheet'!$S$4:$S$40=$DA$10)*($NY$6:$NY$42=1))&gt;0)</f>
        <v/>
      </c>
      <c r="OA10">
        <f>$OA$9+--($NZ10)</f>
        <v/>
      </c>
      <c r="OB10">
        <f>IF(ROW()-3&gt;MAX($OA$4:$OA$40),"",INDEX($DA$4:$DA$40,MATCH(ROW()-3,$OA$4:$OA$40,0)))</f>
        <v/>
      </c>
      <c r="OC10">
        <f>IF(COUNTIF('Buyer Groups'!DG63:DY63,0)+COUNTIF('Buyer Groups'!EA63:EN63,0)&gt;0,0,1)</f>
        <v/>
      </c>
      <c r="OD10">
        <f>IF($DF$10="",FALSE,SUMPRODUCT(('Final Calculation Sheet'!$T$4:$T$40=$DF$10)*($OC$6:$OC$42=1))&gt;0)</f>
        <v/>
      </c>
      <c r="OE10">
        <f>$OE$9+--($OD10)</f>
        <v/>
      </c>
      <c r="OF10">
        <f>IF(ROW()-3&gt;MAX($OE$4:$OE$40),"",INDEX($DF$4:$DF$40,MATCH(ROW()-3,$OE$4:$OE$40,0)))</f>
        <v/>
      </c>
      <c r="OG10">
        <f>IF(COUNTIF('Buyer Groups'!DG63:DZ63,0)+COUNTIF('Buyer Groups'!EB63:EN63,0)&gt;0,0,1)</f>
        <v/>
      </c>
      <c r="OH10">
        <f>IF($DK$10="",FALSE,SUMPRODUCT(('Final Calculation Sheet'!$U$4:$U$40=$DK$10)*($OG$6:$OG$42=1))&gt;0)</f>
        <v/>
      </c>
      <c r="OI10">
        <f>$OI$9+--($OH10)</f>
        <v/>
      </c>
      <c r="OJ10">
        <f>IF(ROW()-3&gt;MAX($OI$4:$OI$40),"",INDEX($DK$4:$DK$40,MATCH(ROW()-3,$OI$4:$OI$40,0)))</f>
        <v/>
      </c>
      <c r="OK10">
        <f>IF(COUNTIF('Buyer Groups'!DG63:EA63,0)+COUNTIF('Buyer Groups'!EC63:EN63,0)&gt;0,0,1)</f>
        <v/>
      </c>
      <c r="OL10">
        <f>IF($DP$10="",FALSE,SUMPRODUCT(('Final Calculation Sheet'!$V$4:$V$40=$DP$10)*($OK$6:$OK$42=1))&gt;0)</f>
        <v/>
      </c>
      <c r="OM10">
        <f>$OM$9+--($OL10)</f>
        <v/>
      </c>
      <c r="ON10">
        <f>IF(ROW()-3&gt;MAX($OM$4:$OM$40),"",INDEX($DP$4:$DP$40,MATCH(ROW()-3,$OM$4:$OM$40,0)))</f>
        <v/>
      </c>
      <c r="OO10">
        <f>IF(COUNTIF('Buyer Groups'!DG63:EB63,0)+COUNTIF('Buyer Groups'!ED63:EN63,0)&gt;0,0,1)</f>
        <v/>
      </c>
      <c r="OP10">
        <f>IF($DU$10="",FALSE,SUMPRODUCT(('Final Calculation Sheet'!$W$4:$W$40=$DU$10)*($OO$6:$OO$42=1))&gt;0)</f>
        <v/>
      </c>
      <c r="OQ10">
        <f>$OQ$9+--($OP10)</f>
        <v/>
      </c>
      <c r="OR10">
        <f>IF(ROW()-3&gt;MAX($OQ$4:$OQ$40),"",INDEX($DU$4:$DU$40,MATCH(ROW()-3,$OQ$4:$OQ$40,0)))</f>
        <v/>
      </c>
      <c r="OS10">
        <f>IF(COUNTIF('Buyer Groups'!DG63:EC63,0)+COUNTIF('Buyer Groups'!EE63:EN63,0)&gt;0,0,1)</f>
        <v/>
      </c>
      <c r="OT10">
        <f>IF($DZ$10="",FALSE,SUMPRODUCT(('Final Calculation Sheet'!$X$4:$X$40=$DZ$10)*($OS$6:$OS$42=1))&gt;0)</f>
        <v/>
      </c>
      <c r="OU10">
        <f>$OU$9+--($OT10)</f>
        <v/>
      </c>
      <c r="OV10">
        <f>IF(ROW()-3&gt;MAX($OU$4:$OU$40),"",INDEX($DZ$4:$DZ$40,MATCH(ROW()-3,$OU$4:$OU$40,0)))</f>
        <v/>
      </c>
      <c r="OW10">
        <f>IF(COUNTIF('Buyer Groups'!DG63:ED63,0)+COUNTIF('Buyer Groups'!EF63:EN63,0)&gt;0,0,1)</f>
        <v/>
      </c>
      <c r="OX10">
        <f>IF($EE$10="",FALSE,SUMPRODUCT(('Final Calculation Sheet'!$Y$4:$Y$40=$EE$10)*($OW$6:$OW$42=1))&gt;0)</f>
        <v/>
      </c>
      <c r="OY10">
        <f>$OY$9+--($OX10)</f>
        <v/>
      </c>
      <c r="OZ10">
        <f>IF(ROW()-3&gt;MAX($OY$4:$OY$40),"",INDEX($EE$4:$EE$40,MATCH(ROW()-3,$OY$4:$OY$40,0)))</f>
        <v/>
      </c>
      <c r="PA10">
        <f>IF(COUNTIF('Buyer Groups'!DG63:EE63,0)+COUNTIF('Buyer Groups'!EG63:EN63,0)&gt;0,0,1)</f>
        <v/>
      </c>
      <c r="PB10">
        <f>IF($EJ$10="",FALSE,SUMPRODUCT(('Final Calculation Sheet'!$Z$4:$Z$40=$EJ$10)*($PA$6:$PA$42=1))&gt;0)</f>
        <v/>
      </c>
      <c r="PC10">
        <f>$PC$9+--($PB10)</f>
        <v/>
      </c>
      <c r="PD10">
        <f>IF(ROW()-3&gt;MAX($PC$4:$PC$40),"",INDEX($EJ$4:$EJ$40,MATCH(ROW()-3,$PC$4:$PC$40,0)))</f>
        <v/>
      </c>
      <c r="PE10">
        <f>IF(COUNTIF('Buyer Groups'!DG63:EF63,0)+COUNTIF('Buyer Groups'!EH63:EN63,0)&gt;0,0,1)</f>
        <v/>
      </c>
      <c r="PF10">
        <f>IF($EO$10="",FALSE,SUMPRODUCT(('Final Calculation Sheet'!$AA$4:$AA$40=$EO$10)*($PE$6:$PE$42=1))&gt;0)</f>
        <v/>
      </c>
      <c r="PG10">
        <f>$PG$9+--($PF10)</f>
        <v/>
      </c>
      <c r="PH10">
        <f>IF(ROW()-3&gt;MAX($PG$4:$PG$40),"",INDEX($EO$4:$EO$40,MATCH(ROW()-3,$PG$4:$PG$40,0)))</f>
        <v/>
      </c>
      <c r="PI10">
        <f>IF(COUNTIF('Buyer Groups'!DG63:EG63,0)+COUNTIF('Buyer Groups'!EI63:EN63,0)&gt;0,0,1)</f>
        <v/>
      </c>
      <c r="PJ10">
        <f>IF($ET$10="",FALSE,SUMPRODUCT(('Final Calculation Sheet'!$AB$4:$AB$40=$ET$10)*($PI$6:$PI$42=1))&gt;0)</f>
        <v/>
      </c>
      <c r="PK10">
        <f>$PK$9+--($PJ10)</f>
        <v/>
      </c>
      <c r="PL10">
        <f>IF(ROW()-3&gt;MAX($PK$4:$PK$40),"",INDEX($ET$4:$ET$40,MATCH(ROW()-3,$PK$4:$PK$40,0)))</f>
        <v/>
      </c>
      <c r="PM10">
        <f>IF(COUNTIF('Buyer Groups'!DG63:EH63,0)+COUNTIF('Buyer Groups'!EJ63:EN63,0)&gt;0,0,1)</f>
        <v/>
      </c>
      <c r="PN10">
        <f>IF($EY$10="",FALSE,SUMPRODUCT(('Final Calculation Sheet'!$AC$4:$AC$40=$EY$10)*($PM$6:$PM$42=1))&gt;0)</f>
        <v/>
      </c>
      <c r="PO10">
        <f>$PO$9+--($PN10)</f>
        <v/>
      </c>
      <c r="PP10">
        <f>IF(ROW()-3&gt;MAX($PO$4:$PO$40),"",INDEX($EY$4:$EY$40,MATCH(ROW()-3,$PO$4:$PO$40,0)))</f>
        <v/>
      </c>
      <c r="PQ10">
        <f>IF(COUNTIF('Buyer Groups'!DG63:EI63,0)+COUNTIF('Buyer Groups'!EK63:EN63,0)&gt;0,0,1)</f>
        <v/>
      </c>
      <c r="PR10">
        <f>IF($FD$10="",FALSE,SUMPRODUCT(('Final Calculation Sheet'!$AD$4:$AD$40=$FD$10)*($PQ$6:$PQ$42=1))&gt;0)</f>
        <v/>
      </c>
      <c r="PS10">
        <f>$PS$9+--($PR10)</f>
        <v/>
      </c>
      <c r="PT10">
        <f>IF(ROW()-3&gt;MAX($PS$4:$PS$40),"",INDEX($FD$4:$FD$40,MATCH(ROW()-3,$PS$4:$PS$40,0)))</f>
        <v/>
      </c>
      <c r="PU10">
        <f>IF(COUNTIF('Buyer Groups'!DG63:EJ63,0)+COUNTIF('Buyer Groups'!EL63:EN63,0)&gt;0,0,1)</f>
        <v/>
      </c>
      <c r="PV10">
        <f>IF($FX$10="",FALSE,SUMPRODUCT((IF('Final Calculation Sheet'!$AD$4:$AD$40&lt;=5,"SETTLED","OUTSTANDING")=$FX$10)*($PU$6:$PU$42=1))&gt;0)</f>
        <v/>
      </c>
      <c r="PW10">
        <f>$PW$9+--($PV10)</f>
        <v/>
      </c>
      <c r="PX10">
        <f>IF(ROW()-3&gt;MAX($PW$4:$PW$40),"",INDEX($FX$4:$FX$40,MATCH(ROW()-3,$PW$4:$PW$40,0)))</f>
        <v/>
      </c>
      <c r="PY10">
        <f>IF(COUNTIF('Buyer Groups'!DG63:EK63,0)+COUNTIF('Buyer Groups'!EM63:EN63,0)&gt;0,0,1)</f>
        <v/>
      </c>
      <c r="PZ10">
        <f>IF($FI$10="",FALSE,SUMPRODUCT(('Final Calculation Sheet'!$AF$4:$AF$40=$FI$10)*($PY$6:$PY$42=1))&gt;0)</f>
        <v/>
      </c>
      <c r="QA10">
        <f>$QA$9+--($PZ10)</f>
        <v/>
      </c>
      <c r="QB10">
        <f>IF(ROW()-3&gt;MAX($QA$4:$QA$40),"",INDEX($FI$4:$FI$40,MATCH(ROW()-3,$QA$4:$QA$40,0)))</f>
        <v/>
      </c>
      <c r="QC10">
        <f>IF(COUNTIF('Buyer Groups'!DG63:EL63,0)+COUNTIF('Buyer Groups'!EN63:EN63,0)&gt;0,0,1)</f>
        <v/>
      </c>
      <c r="QD10">
        <f>IF($FN$10="",FALSE,SUMPRODUCT(('Final Calculation Sheet'!$AG$4:$AG$40=$FN$10)*($QC$6:$QC$42=1))&gt;0)</f>
        <v/>
      </c>
      <c r="QE10">
        <f>$QE$9+--($QD10)</f>
        <v/>
      </c>
      <c r="QF10">
        <f>IF(ROW()-3&gt;MAX($QE$4:$QE$40),"",INDEX($FN$4:$FN$40,MATCH(ROW()-3,$QE$4:$QE$40,0)))</f>
        <v/>
      </c>
      <c r="QG10">
        <f>IF(COUNTIF('Buyer Groups'!DG63:EM63,0)&gt;0,0,1)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IF(IFERROR('Final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IF(IFERROR('Final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Groups'!DH64:EN64,0)&gt;0,0,1)</f>
        <v/>
      </c>
      <c r="LF11">
        <f>IF($O$11="",FALSE,SUMPRODUCT(('Final Calculation Sheet'!$F$4:$F$40=$O$11)*($LE$6:$LE$42=1))&gt;0)</f>
        <v/>
      </c>
      <c r="LG11">
        <f>$LG$10+--($LF11)</f>
        <v/>
      </c>
      <c r="LH11">
        <f>IF(ROW()-3&gt;MAX($LG$4:$LG$40),"",INDEX($O$4:$O$40,MATCH(ROW()-3,$LG$4:$LG$40,0)))</f>
        <v/>
      </c>
      <c r="LI11">
        <f>IF(COUNTIF('Buyer Groups'!DG64:DG64,0)+COUNTIF('Buyer Groups'!DI64:EN64,0)&gt;0,0,1)</f>
        <v/>
      </c>
      <c r="LJ11">
        <f>IF($T$11="",FALSE,SUMPRODUCT(('Final Calculation Sheet'!$G$4:$G$40=$T$11)*($LI$6:$LI$42=1))&gt;0)</f>
        <v/>
      </c>
      <c r="LK11">
        <f>$LK$10+--($LJ11)</f>
        <v/>
      </c>
      <c r="LL11">
        <f>IF(ROW()-3&gt;MAX($LK$4:$LK$40),"",INDEX($T$4:$T$40,MATCH(ROW()-3,$LK$4:$LK$40,0)))</f>
        <v/>
      </c>
      <c r="LM11">
        <f>IF(COUNTIF('Buyer Groups'!DG64:DH64,0)+COUNTIF('Buyer Groups'!DJ64:EN64,0)&gt;0,0,1)</f>
        <v/>
      </c>
      <c r="LN11">
        <f>IF($Y$11="",FALSE,SUMPRODUCT(('Final Calculation Sheet'!$B$4:$B$40=$Y$11)*($LM$6:$LM$42=1))&gt;0)</f>
        <v/>
      </c>
      <c r="LO11">
        <f>$LO$10+--($LN11)</f>
        <v/>
      </c>
      <c r="LP11">
        <f>IF(ROW()-3&gt;MAX($LO$4:$LO$40),"",INDEX($Y$4:$Y$40,MATCH(ROW()-3,$LO$4:$LO$40,0)))</f>
        <v/>
      </c>
      <c r="LQ11">
        <f>IF(COUNTIF('Buyer Groups'!DG64:DI64,0)+COUNTIF('Buyer Groups'!DK64:EN64,0)&gt;0,0,1)</f>
        <v/>
      </c>
      <c r="LR11">
        <f>IF($AD$11="",FALSE,SUMPRODUCT(('Final Calculation Sheet'!$D$4:$D$40=$AD$11)*($LQ$6:$LQ$42=1))&gt;0)</f>
        <v/>
      </c>
      <c r="LS11">
        <f>$LS$10+--($LR11)</f>
        <v/>
      </c>
      <c r="LT11">
        <f>IF(ROW()-3&gt;MAX($LS$4:$LS$40),"",INDEX($AD$4:$AD$40,MATCH(ROW()-3,$LS$4:$LS$40,0)))</f>
        <v/>
      </c>
      <c r="LU11">
        <f>IF(COUNTIF('Buyer Groups'!DG64:DJ64,0)+COUNTIF('Buyer Groups'!DL64:EN64,0)&gt;0,0,1)</f>
        <v/>
      </c>
      <c r="LV11">
        <f>IF($AI$11="",FALSE,SUMPRODUCT(('Final Calculation Sheet'!$A$4:$A$40=$AI$11)*($LU$6:$LU$42=1))&gt;0)</f>
        <v/>
      </c>
      <c r="LW11">
        <f>$LW$10+--($LV11)</f>
        <v/>
      </c>
      <c r="LX11">
        <f>IF(ROW()-3&gt;MAX($LW$4:$LW$40),"",INDEX($AI$4:$AI$40,MATCH(ROW()-3,$LW$4:$LW$40,0)))</f>
        <v/>
      </c>
      <c r="LY11">
        <f>IF(COUNTIF('Buyer Groups'!DG64:DK64,0)+COUNTIF('Buyer Groups'!DM64:EN64,0)&gt;0,0,1)</f>
        <v/>
      </c>
      <c r="LZ11">
        <f>IF($AN$11="",FALSE,SUMPRODUCT(('Final Calculation Sheet'!$E$4:$E$40=$AN$11)*($LY$6:$LY$42=1))&gt;0)</f>
        <v/>
      </c>
      <c r="MA11">
        <f>$MA$10+--($LZ11)</f>
        <v/>
      </c>
      <c r="MB11">
        <f>IF(ROW()-3&gt;MAX($MA$4:$MA$40),"",INDEX($AN$4:$AN$40,MATCH(ROW()-3,$MA$4:$MA$40,0)))</f>
        <v/>
      </c>
      <c r="MC11">
        <f>IF(COUNTIF('Buyer Groups'!DG64:DL64,0)+COUNTIF('Buyer Groups'!DN64:EN64,0)&gt;0,0,1)</f>
        <v/>
      </c>
      <c r="MD11">
        <f>IF($AS$11="",FALSE,SUMPRODUCT(('Final Calculation Sheet'!$C$4:$C$40=$AS$11)*($MC$6:$MC$42=1))&gt;0)</f>
        <v/>
      </c>
      <c r="ME11">
        <f>$ME$10+--($MD11)</f>
        <v/>
      </c>
      <c r="MF11">
        <f>IF(ROW()-3&gt;MAX($ME$4:$ME$40),"",INDEX($AS$4:$AS$40,MATCH(ROW()-3,$ME$4:$ME$40,0)))</f>
        <v/>
      </c>
      <c r="MG11">
        <f>IF(COUNTIF('Buyer Groups'!DG64:DM64,0)+COUNTIF('Buyer Groups'!DO64:EN64,0)&gt;0,0,1)</f>
        <v/>
      </c>
      <c r="MH11">
        <f>IF($AX$11="",FALSE,SUMPRODUCT(('Final Calculation Sheet'!$H$4:$H$40=$AX$11)*($MG$6:$MG$42=1))&gt;0)</f>
        <v/>
      </c>
      <c r="MI11">
        <f>$MI$10+--($MH11)</f>
        <v/>
      </c>
      <c r="MJ11">
        <f>IF(ROW()-3&gt;MAX($MI$4:$MI$40),"",INDEX($AX$4:$AX$40,MATCH(ROW()-3,$MI$4:$MI$40,0)))</f>
        <v/>
      </c>
      <c r="MK11">
        <f>IF(COUNTIF('Buyer Groups'!DG64:DN64,0)+COUNTIF('Buyer Groups'!DP64:EN64,0)&gt;0,0,1)</f>
        <v/>
      </c>
      <c r="ML11">
        <f>IF($BC$11="",FALSE,SUMPRODUCT(('Final Calculation Sheet'!$I$4:$I$40=$BC$11)*($MK$6:$MK$42=1))&gt;0)</f>
        <v/>
      </c>
      <c r="MM11">
        <f>$MM$10+--($ML11)</f>
        <v/>
      </c>
      <c r="MN11">
        <f>IF(ROW()-3&gt;MAX($MM$4:$MM$40),"",INDEX($BC$4:$BC$40,MATCH(ROW()-3,$MM$4:$MM$40,0)))</f>
        <v/>
      </c>
      <c r="MO11">
        <f>IF(COUNTIF('Buyer Groups'!DG64:DO64,0)+COUNTIF('Buyer Groups'!DQ64:EN64,0)&gt;0,0,1)</f>
        <v/>
      </c>
      <c r="MP11">
        <f>IF($BH$11="",FALSE,SUMPRODUCT(('Final Calculation Sheet'!$J$4:$J$40=$BH$11)*($MO$6:$MO$42=1))&gt;0)</f>
        <v/>
      </c>
      <c r="MQ11">
        <f>$MQ$10+--($MP11)</f>
        <v/>
      </c>
      <c r="MR11">
        <f>IF(ROW()-3&gt;MAX($MQ$4:$MQ$40),"",INDEX($BH$4:$BH$40,MATCH(ROW()-3,$MQ$4:$MQ$40,0)))</f>
        <v/>
      </c>
      <c r="MS11">
        <f>IF(COUNTIF('Buyer Groups'!DG64:DP64,0)+COUNTIF('Buyer Groups'!DR64:EN64,0)&gt;0,0,1)</f>
        <v/>
      </c>
      <c r="MT11">
        <f>IF($BM$11="",FALSE,SUMPRODUCT(('Final Calculation Sheet'!$K$4:$K$40=$BM$11)*($MS$6:$MS$42=1))&gt;0)</f>
        <v/>
      </c>
      <c r="MU11">
        <f>$MU$10+--($MT11)</f>
        <v/>
      </c>
      <c r="MV11">
        <f>IF(ROW()-3&gt;MAX($MU$4:$MU$40),"",INDEX($BM$4:$BM$40,MATCH(ROW()-3,$MU$4:$MU$40,0)))</f>
        <v/>
      </c>
      <c r="MW11">
        <f>IF(COUNTIF('Buyer Groups'!DG64:DQ64,0)+COUNTIF('Buyer Groups'!DS64:EN64,0)&gt;0,0,1)</f>
        <v/>
      </c>
      <c r="MX11">
        <f>IF($BR$11="",FALSE,SUMPRODUCT(('Final Calculation Sheet'!$L$4:$L$40=$BR$11)*($MW$6:$MW$42=1))&gt;0)</f>
        <v/>
      </c>
      <c r="MY11">
        <f>$MY$10+--($MX11)</f>
        <v/>
      </c>
      <c r="MZ11">
        <f>IF(ROW()-3&gt;MAX($MY$4:$MY$40),"",INDEX($BR$4:$BR$40,MATCH(ROW()-3,$MY$4:$MY$40,0)))</f>
        <v/>
      </c>
      <c r="NA11">
        <f>IF(COUNTIF('Buyer Groups'!DG64:DR64,0)+COUNTIF('Buyer Groups'!DT64:EN64,0)&gt;0,0,1)</f>
        <v/>
      </c>
      <c r="NB11">
        <f>IF($BW$11="",FALSE,SUMPRODUCT(('Final Calculation Sheet'!$M$4:$M$40=$BW$11)*($NA$6:$NA$42=1))&gt;0)</f>
        <v/>
      </c>
      <c r="NC11">
        <f>$NC$10+--($NB11)</f>
        <v/>
      </c>
      <c r="ND11">
        <f>IF(ROW()-3&gt;MAX($NC$4:$NC$40),"",INDEX($BW$4:$BW$40,MATCH(ROW()-3,$NC$4:$NC$40,0)))</f>
        <v/>
      </c>
      <c r="NE11">
        <f>IF(COUNTIF('Buyer Groups'!DG64:DS64,0)+COUNTIF('Buyer Groups'!DU64:EN64,0)&gt;0,0,1)</f>
        <v/>
      </c>
      <c r="NF11">
        <f>IF($CB$11="",FALSE,SUMPRODUCT(('Final Calculation Sheet'!$N$4:$N$40=$CB$11)*($NE$6:$NE$42=1))&gt;0)</f>
        <v/>
      </c>
      <c r="NG11">
        <f>$NG$10+--($NF11)</f>
        <v/>
      </c>
      <c r="NH11">
        <f>IF(ROW()-3&gt;MAX($NG$4:$NG$40),"",INDEX($CB$4:$CB$40,MATCH(ROW()-3,$NG$4:$NG$40,0)))</f>
        <v/>
      </c>
      <c r="NI11">
        <f>IF(COUNTIF('Buyer Groups'!DG64:DT64,0)+COUNTIF('Buyer Groups'!DV64:EN64,0)&gt;0,0,1)</f>
        <v/>
      </c>
      <c r="NJ11">
        <f>IF($CG$11="",FALSE,SUMPRODUCT(('Final Calculation Sheet'!$O$4:$O$40=$CG$11)*($NI$6:$NI$42=1))&gt;0)</f>
        <v/>
      </c>
      <c r="NK11">
        <f>$NK$10+--($NJ11)</f>
        <v/>
      </c>
      <c r="NL11">
        <f>IF(ROW()-3&gt;MAX($NK$4:$NK$40),"",INDEX($CG$4:$CG$40,MATCH(ROW()-3,$NK$4:$NK$40,0)))</f>
        <v/>
      </c>
      <c r="NM11">
        <f>IF(COUNTIF('Buyer Groups'!DG64:DU64,0)+COUNTIF('Buyer Groups'!DW64:EN64,0)&gt;0,0,1)</f>
        <v/>
      </c>
      <c r="NN11">
        <f>IF($CL$11="",FALSE,SUMPRODUCT(('Final Calculation Sheet'!$P$4:$P$40=$CL$11)*($NM$6:$NM$42=1))&gt;0)</f>
        <v/>
      </c>
      <c r="NO11">
        <f>$NO$10+--($NN11)</f>
        <v/>
      </c>
      <c r="NP11">
        <f>IF(ROW()-3&gt;MAX($NO$4:$NO$40),"",INDEX($CL$4:$CL$40,MATCH(ROW()-3,$NO$4:$NO$40,0)))</f>
        <v/>
      </c>
      <c r="NQ11">
        <f>IF(COUNTIF('Buyer Groups'!DG64:DV64,0)+COUNTIF('Buyer Groups'!DX64:EN64,0)&gt;0,0,1)</f>
        <v/>
      </c>
      <c r="NR11">
        <f>IF($CQ$11="",FALSE,SUMPRODUCT(('Final Calculation Sheet'!$Q$4:$Q$40=$CQ$11)*($NQ$6:$NQ$42=1))&gt;0)</f>
        <v/>
      </c>
      <c r="NS11">
        <f>$NS$10+--($NR11)</f>
        <v/>
      </c>
      <c r="NT11">
        <f>IF(ROW()-3&gt;MAX($NS$4:$NS$40),"",INDEX($CQ$4:$CQ$40,MATCH(ROW()-3,$NS$4:$NS$40,0)))</f>
        <v/>
      </c>
      <c r="NU11">
        <f>IF(COUNTIF('Buyer Groups'!DG64:DW64,0)+COUNTIF('Buyer Groups'!DY64:EN64,0)&gt;0,0,1)</f>
        <v/>
      </c>
      <c r="NV11">
        <f>IF($CV$11="",FALSE,SUMPRODUCT(('Final Calculation Sheet'!$R$4:$R$40=$CV$11)*($NU$6:$NU$42=1))&gt;0)</f>
        <v/>
      </c>
      <c r="NW11">
        <f>$NW$10+--($NV11)</f>
        <v/>
      </c>
      <c r="NX11">
        <f>IF(ROW()-3&gt;MAX($NW$4:$NW$40),"",INDEX($CV$4:$CV$40,MATCH(ROW()-3,$NW$4:$NW$40,0)))</f>
        <v/>
      </c>
      <c r="NY11">
        <f>IF(COUNTIF('Buyer Groups'!DG64:DX64,0)+COUNTIF('Buyer Groups'!DZ64:EN64,0)&gt;0,0,1)</f>
        <v/>
      </c>
      <c r="NZ11">
        <f>IF($DA$11="",FALSE,SUMPRODUCT(('Final Calculation Sheet'!$S$4:$S$40=$DA$11)*($NY$6:$NY$42=1))&gt;0)</f>
        <v/>
      </c>
      <c r="OA11">
        <f>$OA$10+--($NZ11)</f>
        <v/>
      </c>
      <c r="OB11">
        <f>IF(ROW()-3&gt;MAX($OA$4:$OA$40),"",INDEX($DA$4:$DA$40,MATCH(ROW()-3,$OA$4:$OA$40,0)))</f>
        <v/>
      </c>
      <c r="OC11">
        <f>IF(COUNTIF('Buyer Groups'!DG64:DY64,0)+COUNTIF('Buyer Groups'!EA64:EN64,0)&gt;0,0,1)</f>
        <v/>
      </c>
      <c r="OD11">
        <f>IF($DF$11="",FALSE,SUMPRODUCT(('Final Calculation Sheet'!$T$4:$T$40=$DF$11)*($OC$6:$OC$42=1))&gt;0)</f>
        <v/>
      </c>
      <c r="OE11">
        <f>$OE$10+--($OD11)</f>
        <v/>
      </c>
      <c r="OF11">
        <f>IF(ROW()-3&gt;MAX($OE$4:$OE$40),"",INDEX($DF$4:$DF$40,MATCH(ROW()-3,$OE$4:$OE$40,0)))</f>
        <v/>
      </c>
      <c r="OG11">
        <f>IF(COUNTIF('Buyer Groups'!DG64:DZ64,0)+COUNTIF('Buyer Groups'!EB64:EN64,0)&gt;0,0,1)</f>
        <v/>
      </c>
      <c r="OH11">
        <f>IF($DK$11="",FALSE,SUMPRODUCT(('Final Calculation Sheet'!$U$4:$U$40=$DK$11)*($OG$6:$OG$42=1))&gt;0)</f>
        <v/>
      </c>
      <c r="OI11">
        <f>$OI$10+--($OH11)</f>
        <v/>
      </c>
      <c r="OJ11">
        <f>IF(ROW()-3&gt;MAX($OI$4:$OI$40),"",INDEX($DK$4:$DK$40,MATCH(ROW()-3,$OI$4:$OI$40,0)))</f>
        <v/>
      </c>
      <c r="OK11">
        <f>IF(COUNTIF('Buyer Groups'!DG64:EA64,0)+COUNTIF('Buyer Groups'!EC64:EN64,0)&gt;0,0,1)</f>
        <v/>
      </c>
      <c r="OL11">
        <f>IF($DP$11="",FALSE,SUMPRODUCT(('Final Calculation Sheet'!$V$4:$V$40=$DP$11)*($OK$6:$OK$42=1))&gt;0)</f>
        <v/>
      </c>
      <c r="OM11">
        <f>$OM$10+--($OL11)</f>
        <v/>
      </c>
      <c r="ON11">
        <f>IF(ROW()-3&gt;MAX($OM$4:$OM$40),"",INDEX($DP$4:$DP$40,MATCH(ROW()-3,$OM$4:$OM$40,0)))</f>
        <v/>
      </c>
      <c r="OO11">
        <f>IF(COUNTIF('Buyer Groups'!DG64:EB64,0)+COUNTIF('Buyer Groups'!ED64:EN64,0)&gt;0,0,1)</f>
        <v/>
      </c>
      <c r="OP11">
        <f>IF($DU$11="",FALSE,SUMPRODUCT(('Final Calculation Sheet'!$W$4:$W$40=$DU$11)*($OO$6:$OO$42=1))&gt;0)</f>
        <v/>
      </c>
      <c r="OQ11">
        <f>$OQ$10+--($OP11)</f>
        <v/>
      </c>
      <c r="OR11">
        <f>IF(ROW()-3&gt;MAX($OQ$4:$OQ$40),"",INDEX($DU$4:$DU$40,MATCH(ROW()-3,$OQ$4:$OQ$40,0)))</f>
        <v/>
      </c>
      <c r="OS11">
        <f>IF(COUNTIF('Buyer Groups'!DG64:EC64,0)+COUNTIF('Buyer Groups'!EE64:EN64,0)&gt;0,0,1)</f>
        <v/>
      </c>
      <c r="OT11">
        <f>IF($DZ$11="",FALSE,SUMPRODUCT(('Final Calculation Sheet'!$X$4:$X$40=$DZ$11)*($OS$6:$OS$42=1))&gt;0)</f>
        <v/>
      </c>
      <c r="OU11">
        <f>$OU$10+--($OT11)</f>
        <v/>
      </c>
      <c r="OV11">
        <f>IF(ROW()-3&gt;MAX($OU$4:$OU$40),"",INDEX($DZ$4:$DZ$40,MATCH(ROW()-3,$OU$4:$OU$40,0)))</f>
        <v/>
      </c>
      <c r="OW11">
        <f>IF(COUNTIF('Buyer Groups'!DG64:ED64,0)+COUNTIF('Buyer Groups'!EF64:EN64,0)&gt;0,0,1)</f>
        <v/>
      </c>
      <c r="OX11">
        <f>IF($EE$11="",FALSE,SUMPRODUCT(('Final Calculation Sheet'!$Y$4:$Y$40=$EE$11)*($OW$6:$OW$42=1))&gt;0)</f>
        <v/>
      </c>
      <c r="OY11">
        <f>$OY$10+--($OX11)</f>
        <v/>
      </c>
      <c r="OZ11">
        <f>IF(ROW()-3&gt;MAX($OY$4:$OY$40),"",INDEX($EE$4:$EE$40,MATCH(ROW()-3,$OY$4:$OY$40,0)))</f>
        <v/>
      </c>
      <c r="PA11">
        <f>IF(COUNTIF('Buyer Groups'!DG64:EE64,0)+COUNTIF('Buyer Groups'!EG64:EN64,0)&gt;0,0,1)</f>
        <v/>
      </c>
      <c r="PB11">
        <f>IF($EJ$11="",FALSE,SUMPRODUCT(('Final Calculation Sheet'!$Z$4:$Z$40=$EJ$11)*($PA$6:$PA$42=1))&gt;0)</f>
        <v/>
      </c>
      <c r="PC11">
        <f>$PC$10+--($PB11)</f>
        <v/>
      </c>
      <c r="PD11">
        <f>IF(ROW()-3&gt;MAX($PC$4:$PC$40),"",INDEX($EJ$4:$EJ$40,MATCH(ROW()-3,$PC$4:$PC$40,0)))</f>
        <v/>
      </c>
      <c r="PE11">
        <f>IF(COUNTIF('Buyer Groups'!DG64:EF64,0)+COUNTIF('Buyer Groups'!EH64:EN64,0)&gt;0,0,1)</f>
        <v/>
      </c>
      <c r="PF11">
        <f>IF($EO$11="",FALSE,SUMPRODUCT(('Final Calculation Sheet'!$AA$4:$AA$40=$EO$11)*($PE$6:$PE$42=1))&gt;0)</f>
        <v/>
      </c>
      <c r="PG11">
        <f>$PG$10+--($PF11)</f>
        <v/>
      </c>
      <c r="PH11">
        <f>IF(ROW()-3&gt;MAX($PG$4:$PG$40),"",INDEX($EO$4:$EO$40,MATCH(ROW()-3,$PG$4:$PG$40,0)))</f>
        <v/>
      </c>
      <c r="PI11">
        <f>IF(COUNTIF('Buyer Groups'!DG64:EG64,0)+COUNTIF('Buyer Groups'!EI64:EN64,0)&gt;0,0,1)</f>
        <v/>
      </c>
      <c r="PJ11">
        <f>IF($ET$11="",FALSE,SUMPRODUCT(('Final Calculation Sheet'!$AB$4:$AB$40=$ET$11)*($PI$6:$PI$42=1))&gt;0)</f>
        <v/>
      </c>
      <c r="PK11">
        <f>$PK$10+--($PJ11)</f>
        <v/>
      </c>
      <c r="PL11">
        <f>IF(ROW()-3&gt;MAX($PK$4:$PK$40),"",INDEX($ET$4:$ET$40,MATCH(ROW()-3,$PK$4:$PK$40,0)))</f>
        <v/>
      </c>
      <c r="PM11">
        <f>IF(COUNTIF('Buyer Groups'!DG64:EH64,0)+COUNTIF('Buyer Groups'!EJ64:EN64,0)&gt;0,0,1)</f>
        <v/>
      </c>
      <c r="PN11">
        <f>IF($EY$11="",FALSE,SUMPRODUCT(('Final Calculation Sheet'!$AC$4:$AC$40=$EY$11)*($PM$6:$PM$42=1))&gt;0)</f>
        <v/>
      </c>
      <c r="PO11">
        <f>$PO$10+--($PN11)</f>
        <v/>
      </c>
      <c r="PP11">
        <f>IF(ROW()-3&gt;MAX($PO$4:$PO$40),"",INDEX($EY$4:$EY$40,MATCH(ROW()-3,$PO$4:$PO$40,0)))</f>
        <v/>
      </c>
      <c r="PQ11">
        <f>IF(COUNTIF('Buyer Groups'!DG64:EI64,0)+COUNTIF('Buyer Groups'!EK64:EN64,0)&gt;0,0,1)</f>
        <v/>
      </c>
      <c r="PR11">
        <f>IF($FD$11="",FALSE,SUMPRODUCT(('Final Calculation Sheet'!$AD$4:$AD$40=$FD$11)*($PQ$6:$PQ$42=1))&gt;0)</f>
        <v/>
      </c>
      <c r="PS11">
        <f>$PS$10+--($PR11)</f>
        <v/>
      </c>
      <c r="PT11">
        <f>IF(ROW()-3&gt;MAX($PS$4:$PS$40),"",INDEX($FD$4:$FD$40,MATCH(ROW()-3,$PS$4:$PS$40,0)))</f>
        <v/>
      </c>
      <c r="PU11">
        <f>IF(COUNTIF('Buyer Groups'!DG64:EJ64,0)+COUNTIF('Buyer Groups'!EL64:EN64,0)&gt;0,0,1)</f>
        <v/>
      </c>
      <c r="PV11">
        <f>IF($FX$11="",FALSE,SUMPRODUCT((IF('Final Calculation Sheet'!$AD$4:$AD$40&lt;=5,"SETTLED","OUTSTANDING")=$FX$11)*($PU$6:$PU$42=1))&gt;0)</f>
        <v/>
      </c>
      <c r="PW11">
        <f>$PW$10+--($PV11)</f>
        <v/>
      </c>
      <c r="PX11">
        <f>IF(ROW()-3&gt;MAX($PW$4:$PW$40),"",INDEX($FX$4:$FX$40,MATCH(ROW()-3,$PW$4:$PW$40,0)))</f>
        <v/>
      </c>
      <c r="PY11">
        <f>IF(COUNTIF('Buyer Groups'!DG64:EK64,0)+COUNTIF('Buyer Groups'!EM64:EN64,0)&gt;0,0,1)</f>
        <v/>
      </c>
      <c r="PZ11">
        <f>IF($FI$11="",FALSE,SUMPRODUCT(('Final Calculation Sheet'!$AF$4:$AF$40=$FI$11)*($PY$6:$PY$42=1))&gt;0)</f>
        <v/>
      </c>
      <c r="QA11">
        <f>$QA$10+--($PZ11)</f>
        <v/>
      </c>
      <c r="QB11">
        <f>IF(ROW()-3&gt;MAX($QA$4:$QA$40),"",INDEX($FI$4:$FI$40,MATCH(ROW()-3,$QA$4:$QA$40,0)))</f>
        <v/>
      </c>
      <c r="QC11">
        <f>IF(COUNTIF('Buyer Groups'!DG64:EL64,0)+COUNTIF('Buyer Groups'!EN64:EN64,0)&gt;0,0,1)</f>
        <v/>
      </c>
      <c r="QD11">
        <f>IF($FN$11="",FALSE,SUMPRODUCT(('Final Calculation Sheet'!$AG$4:$AG$40=$FN$11)*($QC$6:$QC$42=1))&gt;0)</f>
        <v/>
      </c>
      <c r="QE11">
        <f>$QE$10+--($QD11)</f>
        <v/>
      </c>
      <c r="QF11">
        <f>IF(ROW()-3&gt;MAX($QE$4:$QE$40),"",INDEX($FN$4:$FN$40,MATCH(ROW()-3,$QE$4:$QE$40,0)))</f>
        <v/>
      </c>
      <c r="QG11">
        <f>IF(COUNTIF('Buyer Groups'!DG64:EM64,0)&gt;0,0,1)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IF(IFERROR('Final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IF(IFERROR('Final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Groups'!DH65:EN65,0)&gt;0,0,1)</f>
        <v/>
      </c>
      <c r="LF12">
        <f>IF($O$12="",FALSE,SUMPRODUCT(('Final Calculation Sheet'!$F$4:$F$40=$O$12)*($LE$6:$LE$42=1))&gt;0)</f>
        <v/>
      </c>
      <c r="LG12">
        <f>$LG$11+--($LF12)</f>
        <v/>
      </c>
      <c r="LH12">
        <f>IF(ROW()-3&gt;MAX($LG$4:$LG$40),"",INDEX($O$4:$O$40,MATCH(ROW()-3,$LG$4:$LG$40,0)))</f>
        <v/>
      </c>
      <c r="LI12">
        <f>IF(COUNTIF('Buyer Groups'!DG65:DG65,0)+COUNTIF('Buyer Groups'!DI65:EN65,0)&gt;0,0,1)</f>
        <v/>
      </c>
      <c r="LJ12">
        <f>IF($T$12="",FALSE,SUMPRODUCT(('Final Calculation Sheet'!$G$4:$G$40=$T$12)*($LI$6:$LI$42=1))&gt;0)</f>
        <v/>
      </c>
      <c r="LK12">
        <f>$LK$11+--($LJ12)</f>
        <v/>
      </c>
      <c r="LL12">
        <f>IF(ROW()-3&gt;MAX($LK$4:$LK$40),"",INDEX($T$4:$T$40,MATCH(ROW()-3,$LK$4:$LK$40,0)))</f>
        <v/>
      </c>
      <c r="LM12">
        <f>IF(COUNTIF('Buyer Groups'!DG65:DH65,0)+COUNTIF('Buyer Groups'!DJ65:EN65,0)&gt;0,0,1)</f>
        <v/>
      </c>
      <c r="LN12">
        <f>IF($Y$12="",FALSE,SUMPRODUCT(('Final Calculation Sheet'!$B$4:$B$40=$Y$12)*($LM$6:$LM$42=1))&gt;0)</f>
        <v/>
      </c>
      <c r="LO12">
        <f>$LO$11+--($LN12)</f>
        <v/>
      </c>
      <c r="LP12">
        <f>IF(ROW()-3&gt;MAX($LO$4:$LO$40),"",INDEX($Y$4:$Y$40,MATCH(ROW()-3,$LO$4:$LO$40,0)))</f>
        <v/>
      </c>
      <c r="LQ12">
        <f>IF(COUNTIF('Buyer Groups'!DG65:DI65,0)+COUNTIF('Buyer Groups'!DK65:EN65,0)&gt;0,0,1)</f>
        <v/>
      </c>
      <c r="LR12">
        <f>IF($AD$12="",FALSE,SUMPRODUCT(('Final Calculation Sheet'!$D$4:$D$40=$AD$12)*($LQ$6:$LQ$42=1))&gt;0)</f>
        <v/>
      </c>
      <c r="LS12">
        <f>$LS$11+--($LR12)</f>
        <v/>
      </c>
      <c r="LT12">
        <f>IF(ROW()-3&gt;MAX($LS$4:$LS$40),"",INDEX($AD$4:$AD$40,MATCH(ROW()-3,$LS$4:$LS$40,0)))</f>
        <v/>
      </c>
      <c r="LU12">
        <f>IF(COUNTIF('Buyer Groups'!DG65:DJ65,0)+COUNTIF('Buyer Groups'!DL65:EN65,0)&gt;0,0,1)</f>
        <v/>
      </c>
      <c r="LV12">
        <f>IF($AI$12="",FALSE,SUMPRODUCT(('Final Calculation Sheet'!$A$4:$A$40=$AI$12)*($LU$6:$LU$42=1))&gt;0)</f>
        <v/>
      </c>
      <c r="LW12">
        <f>$LW$11+--($LV12)</f>
        <v/>
      </c>
      <c r="LX12">
        <f>IF(ROW()-3&gt;MAX($LW$4:$LW$40),"",INDEX($AI$4:$AI$40,MATCH(ROW()-3,$LW$4:$LW$40,0)))</f>
        <v/>
      </c>
      <c r="LY12">
        <f>IF(COUNTIF('Buyer Groups'!DG65:DK65,0)+COUNTIF('Buyer Groups'!DM65:EN65,0)&gt;0,0,1)</f>
        <v/>
      </c>
      <c r="LZ12">
        <f>IF($AN$12="",FALSE,SUMPRODUCT(('Final Calculation Sheet'!$E$4:$E$40=$AN$12)*($LY$6:$LY$42=1))&gt;0)</f>
        <v/>
      </c>
      <c r="MA12">
        <f>$MA$11+--($LZ12)</f>
        <v/>
      </c>
      <c r="MB12">
        <f>IF(ROW()-3&gt;MAX($MA$4:$MA$40),"",INDEX($AN$4:$AN$40,MATCH(ROW()-3,$MA$4:$MA$40,0)))</f>
        <v/>
      </c>
      <c r="MC12">
        <f>IF(COUNTIF('Buyer Groups'!DG65:DL65,0)+COUNTIF('Buyer Groups'!DN65:EN65,0)&gt;0,0,1)</f>
        <v/>
      </c>
      <c r="MD12">
        <f>IF($AS$12="",FALSE,SUMPRODUCT(('Final Calculation Sheet'!$C$4:$C$40=$AS$12)*($MC$6:$MC$42=1))&gt;0)</f>
        <v/>
      </c>
      <c r="ME12">
        <f>$ME$11+--($MD12)</f>
        <v/>
      </c>
      <c r="MF12">
        <f>IF(ROW()-3&gt;MAX($ME$4:$ME$40),"",INDEX($AS$4:$AS$40,MATCH(ROW()-3,$ME$4:$ME$40,0)))</f>
        <v/>
      </c>
      <c r="MG12">
        <f>IF(COUNTIF('Buyer Groups'!DG65:DM65,0)+COUNTIF('Buyer Groups'!DO65:EN65,0)&gt;0,0,1)</f>
        <v/>
      </c>
      <c r="MH12">
        <f>IF($AX$12="",FALSE,SUMPRODUCT(('Final Calculation Sheet'!$H$4:$H$40=$AX$12)*($MG$6:$MG$42=1))&gt;0)</f>
        <v/>
      </c>
      <c r="MI12">
        <f>$MI$11+--($MH12)</f>
        <v/>
      </c>
      <c r="MJ12">
        <f>IF(ROW()-3&gt;MAX($MI$4:$MI$40),"",INDEX($AX$4:$AX$40,MATCH(ROW()-3,$MI$4:$MI$40,0)))</f>
        <v/>
      </c>
      <c r="MK12">
        <f>IF(COUNTIF('Buyer Groups'!DG65:DN65,0)+COUNTIF('Buyer Groups'!DP65:EN65,0)&gt;0,0,1)</f>
        <v/>
      </c>
      <c r="ML12">
        <f>IF($BC$12="",FALSE,SUMPRODUCT(('Final Calculation Sheet'!$I$4:$I$40=$BC$12)*($MK$6:$MK$42=1))&gt;0)</f>
        <v/>
      </c>
      <c r="MM12">
        <f>$MM$11+--($ML12)</f>
        <v/>
      </c>
      <c r="MN12">
        <f>IF(ROW()-3&gt;MAX($MM$4:$MM$40),"",INDEX($BC$4:$BC$40,MATCH(ROW()-3,$MM$4:$MM$40,0)))</f>
        <v/>
      </c>
      <c r="MO12">
        <f>IF(COUNTIF('Buyer Groups'!DG65:DO65,0)+COUNTIF('Buyer Groups'!DQ65:EN65,0)&gt;0,0,1)</f>
        <v/>
      </c>
      <c r="MP12">
        <f>IF($BH$12="",FALSE,SUMPRODUCT(('Final Calculation Sheet'!$J$4:$J$40=$BH$12)*($MO$6:$MO$42=1))&gt;0)</f>
        <v/>
      </c>
      <c r="MQ12">
        <f>$MQ$11+--($MP12)</f>
        <v/>
      </c>
      <c r="MR12">
        <f>IF(ROW()-3&gt;MAX($MQ$4:$MQ$40),"",INDEX($BH$4:$BH$40,MATCH(ROW()-3,$MQ$4:$MQ$40,0)))</f>
        <v/>
      </c>
      <c r="MS12">
        <f>IF(COUNTIF('Buyer Groups'!DG65:DP65,0)+COUNTIF('Buyer Groups'!DR65:EN65,0)&gt;0,0,1)</f>
        <v/>
      </c>
      <c r="MT12">
        <f>IF($BM$12="",FALSE,SUMPRODUCT(('Final Calculation Sheet'!$K$4:$K$40=$BM$12)*($MS$6:$MS$42=1))&gt;0)</f>
        <v/>
      </c>
      <c r="MU12">
        <f>$MU$11+--($MT12)</f>
        <v/>
      </c>
      <c r="MV12">
        <f>IF(ROW()-3&gt;MAX($MU$4:$MU$40),"",INDEX($BM$4:$BM$40,MATCH(ROW()-3,$MU$4:$MU$40,0)))</f>
        <v/>
      </c>
      <c r="MW12">
        <f>IF(COUNTIF('Buyer Groups'!DG65:DQ65,0)+COUNTIF('Buyer Groups'!DS65:EN65,0)&gt;0,0,1)</f>
        <v/>
      </c>
      <c r="MX12">
        <f>IF($BR$12="",FALSE,SUMPRODUCT(('Final Calculation Sheet'!$L$4:$L$40=$BR$12)*($MW$6:$MW$42=1))&gt;0)</f>
        <v/>
      </c>
      <c r="MY12">
        <f>$MY$11+--($MX12)</f>
        <v/>
      </c>
      <c r="MZ12">
        <f>IF(ROW()-3&gt;MAX($MY$4:$MY$40),"",INDEX($BR$4:$BR$40,MATCH(ROW()-3,$MY$4:$MY$40,0)))</f>
        <v/>
      </c>
      <c r="NA12">
        <f>IF(COUNTIF('Buyer Groups'!DG65:DR65,0)+COUNTIF('Buyer Groups'!DT65:EN65,0)&gt;0,0,1)</f>
        <v/>
      </c>
      <c r="NB12">
        <f>IF($BW$12="",FALSE,SUMPRODUCT(('Final Calculation Sheet'!$M$4:$M$40=$BW$12)*($NA$6:$NA$42=1))&gt;0)</f>
        <v/>
      </c>
      <c r="NC12">
        <f>$NC$11+--($NB12)</f>
        <v/>
      </c>
      <c r="ND12">
        <f>IF(ROW()-3&gt;MAX($NC$4:$NC$40),"",INDEX($BW$4:$BW$40,MATCH(ROW()-3,$NC$4:$NC$40,0)))</f>
        <v/>
      </c>
      <c r="NE12">
        <f>IF(COUNTIF('Buyer Groups'!DG65:DS65,0)+COUNTIF('Buyer Groups'!DU65:EN65,0)&gt;0,0,1)</f>
        <v/>
      </c>
      <c r="NF12">
        <f>IF($CB$12="",FALSE,SUMPRODUCT(('Final Calculation Sheet'!$N$4:$N$40=$CB$12)*($NE$6:$NE$42=1))&gt;0)</f>
        <v/>
      </c>
      <c r="NG12">
        <f>$NG$11+--($NF12)</f>
        <v/>
      </c>
      <c r="NH12">
        <f>IF(ROW()-3&gt;MAX($NG$4:$NG$40),"",INDEX($CB$4:$CB$40,MATCH(ROW()-3,$NG$4:$NG$40,0)))</f>
        <v/>
      </c>
      <c r="NI12">
        <f>IF(COUNTIF('Buyer Groups'!DG65:DT65,0)+COUNTIF('Buyer Groups'!DV65:EN65,0)&gt;0,0,1)</f>
        <v/>
      </c>
      <c r="NJ12">
        <f>IF($CG$12="",FALSE,SUMPRODUCT(('Final Calculation Sheet'!$O$4:$O$40=$CG$12)*($NI$6:$NI$42=1))&gt;0)</f>
        <v/>
      </c>
      <c r="NK12">
        <f>$NK$11+--($NJ12)</f>
        <v/>
      </c>
      <c r="NL12">
        <f>IF(ROW()-3&gt;MAX($NK$4:$NK$40),"",INDEX($CG$4:$CG$40,MATCH(ROW()-3,$NK$4:$NK$40,0)))</f>
        <v/>
      </c>
      <c r="NM12">
        <f>IF(COUNTIF('Buyer Groups'!DG65:DU65,0)+COUNTIF('Buyer Groups'!DW65:EN65,0)&gt;0,0,1)</f>
        <v/>
      </c>
      <c r="NN12">
        <f>IF($CL$12="",FALSE,SUMPRODUCT(('Final Calculation Sheet'!$P$4:$P$40=$CL$12)*($NM$6:$NM$42=1))&gt;0)</f>
        <v/>
      </c>
      <c r="NO12">
        <f>$NO$11+--($NN12)</f>
        <v/>
      </c>
      <c r="NP12">
        <f>IF(ROW()-3&gt;MAX($NO$4:$NO$40),"",INDEX($CL$4:$CL$40,MATCH(ROW()-3,$NO$4:$NO$40,0)))</f>
        <v/>
      </c>
      <c r="NQ12">
        <f>IF(COUNTIF('Buyer Groups'!DG65:DV65,0)+COUNTIF('Buyer Groups'!DX65:EN65,0)&gt;0,0,1)</f>
        <v/>
      </c>
      <c r="NR12">
        <f>IF($CQ$12="",FALSE,SUMPRODUCT(('Final Calculation Sheet'!$Q$4:$Q$40=$CQ$12)*($NQ$6:$NQ$42=1))&gt;0)</f>
        <v/>
      </c>
      <c r="NS12">
        <f>$NS$11+--($NR12)</f>
        <v/>
      </c>
      <c r="NT12">
        <f>IF(ROW()-3&gt;MAX($NS$4:$NS$40),"",INDEX($CQ$4:$CQ$40,MATCH(ROW()-3,$NS$4:$NS$40,0)))</f>
        <v/>
      </c>
      <c r="NU12">
        <f>IF(COUNTIF('Buyer Groups'!DG65:DW65,0)+COUNTIF('Buyer Groups'!DY65:EN65,0)&gt;0,0,1)</f>
        <v/>
      </c>
      <c r="NV12">
        <f>IF($CV$12="",FALSE,SUMPRODUCT(('Final Calculation Sheet'!$R$4:$R$40=$CV$12)*($NU$6:$NU$42=1))&gt;0)</f>
        <v/>
      </c>
      <c r="NW12">
        <f>$NW$11+--($NV12)</f>
        <v/>
      </c>
      <c r="NX12">
        <f>IF(ROW()-3&gt;MAX($NW$4:$NW$40),"",INDEX($CV$4:$CV$40,MATCH(ROW()-3,$NW$4:$NW$40,0)))</f>
        <v/>
      </c>
      <c r="NY12">
        <f>IF(COUNTIF('Buyer Groups'!DG65:DX65,0)+COUNTIF('Buyer Groups'!DZ65:EN65,0)&gt;0,0,1)</f>
        <v/>
      </c>
      <c r="NZ12">
        <f>IF($DA$12="",FALSE,SUMPRODUCT(('Final Calculation Sheet'!$S$4:$S$40=$DA$12)*($NY$6:$NY$42=1))&gt;0)</f>
        <v/>
      </c>
      <c r="OA12">
        <f>$OA$11+--($NZ12)</f>
        <v/>
      </c>
      <c r="OB12">
        <f>IF(ROW()-3&gt;MAX($OA$4:$OA$40),"",INDEX($DA$4:$DA$40,MATCH(ROW()-3,$OA$4:$OA$40,0)))</f>
        <v/>
      </c>
      <c r="OC12">
        <f>IF(COUNTIF('Buyer Groups'!DG65:DY65,0)+COUNTIF('Buyer Groups'!EA65:EN65,0)&gt;0,0,1)</f>
        <v/>
      </c>
      <c r="OD12">
        <f>IF($DF$12="",FALSE,SUMPRODUCT(('Final Calculation Sheet'!$T$4:$T$40=$DF$12)*($OC$6:$OC$42=1))&gt;0)</f>
        <v/>
      </c>
      <c r="OE12">
        <f>$OE$11+--($OD12)</f>
        <v/>
      </c>
      <c r="OF12">
        <f>IF(ROW()-3&gt;MAX($OE$4:$OE$40),"",INDEX($DF$4:$DF$40,MATCH(ROW()-3,$OE$4:$OE$40,0)))</f>
        <v/>
      </c>
      <c r="OG12">
        <f>IF(COUNTIF('Buyer Groups'!DG65:DZ65,0)+COUNTIF('Buyer Groups'!EB65:EN65,0)&gt;0,0,1)</f>
        <v/>
      </c>
      <c r="OH12">
        <f>IF($DK$12="",FALSE,SUMPRODUCT(('Final Calculation Sheet'!$U$4:$U$40=$DK$12)*($OG$6:$OG$42=1))&gt;0)</f>
        <v/>
      </c>
      <c r="OI12">
        <f>$OI$11+--($OH12)</f>
        <v/>
      </c>
      <c r="OJ12">
        <f>IF(ROW()-3&gt;MAX($OI$4:$OI$40),"",INDEX($DK$4:$DK$40,MATCH(ROW()-3,$OI$4:$OI$40,0)))</f>
        <v/>
      </c>
      <c r="OK12">
        <f>IF(COUNTIF('Buyer Groups'!DG65:EA65,0)+COUNTIF('Buyer Groups'!EC65:EN65,0)&gt;0,0,1)</f>
        <v/>
      </c>
      <c r="OL12">
        <f>IF($DP$12="",FALSE,SUMPRODUCT(('Final Calculation Sheet'!$V$4:$V$40=$DP$12)*($OK$6:$OK$42=1))&gt;0)</f>
        <v/>
      </c>
      <c r="OM12">
        <f>$OM$11+--($OL12)</f>
        <v/>
      </c>
      <c r="ON12">
        <f>IF(ROW()-3&gt;MAX($OM$4:$OM$40),"",INDEX($DP$4:$DP$40,MATCH(ROW()-3,$OM$4:$OM$40,0)))</f>
        <v/>
      </c>
      <c r="OO12">
        <f>IF(COUNTIF('Buyer Groups'!DG65:EB65,0)+COUNTIF('Buyer Groups'!ED65:EN65,0)&gt;0,0,1)</f>
        <v/>
      </c>
      <c r="OP12">
        <f>IF($DU$12="",FALSE,SUMPRODUCT(('Final Calculation Sheet'!$W$4:$W$40=$DU$12)*($OO$6:$OO$42=1))&gt;0)</f>
        <v/>
      </c>
      <c r="OQ12">
        <f>$OQ$11+--($OP12)</f>
        <v/>
      </c>
      <c r="OR12">
        <f>IF(ROW()-3&gt;MAX($OQ$4:$OQ$40),"",INDEX($DU$4:$DU$40,MATCH(ROW()-3,$OQ$4:$OQ$40,0)))</f>
        <v/>
      </c>
      <c r="OS12">
        <f>IF(COUNTIF('Buyer Groups'!DG65:EC65,0)+COUNTIF('Buyer Groups'!EE65:EN65,0)&gt;0,0,1)</f>
        <v/>
      </c>
      <c r="OT12">
        <f>IF($DZ$12="",FALSE,SUMPRODUCT(('Final Calculation Sheet'!$X$4:$X$40=$DZ$12)*($OS$6:$OS$42=1))&gt;0)</f>
        <v/>
      </c>
      <c r="OU12">
        <f>$OU$11+--($OT12)</f>
        <v/>
      </c>
      <c r="OV12">
        <f>IF(ROW()-3&gt;MAX($OU$4:$OU$40),"",INDEX($DZ$4:$DZ$40,MATCH(ROW()-3,$OU$4:$OU$40,0)))</f>
        <v/>
      </c>
      <c r="OW12">
        <f>IF(COUNTIF('Buyer Groups'!DG65:ED65,0)+COUNTIF('Buyer Groups'!EF65:EN65,0)&gt;0,0,1)</f>
        <v/>
      </c>
      <c r="OX12">
        <f>IF($EE$12="",FALSE,SUMPRODUCT(('Final Calculation Sheet'!$Y$4:$Y$40=$EE$12)*($OW$6:$OW$42=1))&gt;0)</f>
        <v/>
      </c>
      <c r="OY12">
        <f>$OY$11+--($OX12)</f>
        <v/>
      </c>
      <c r="OZ12">
        <f>IF(ROW()-3&gt;MAX($OY$4:$OY$40),"",INDEX($EE$4:$EE$40,MATCH(ROW()-3,$OY$4:$OY$40,0)))</f>
        <v/>
      </c>
      <c r="PA12">
        <f>IF(COUNTIF('Buyer Groups'!DG65:EE65,0)+COUNTIF('Buyer Groups'!EG65:EN65,0)&gt;0,0,1)</f>
        <v/>
      </c>
      <c r="PB12">
        <f>IF($EJ$12="",FALSE,SUMPRODUCT(('Final Calculation Sheet'!$Z$4:$Z$40=$EJ$12)*($PA$6:$PA$42=1))&gt;0)</f>
        <v/>
      </c>
      <c r="PC12">
        <f>$PC$11+--($PB12)</f>
        <v/>
      </c>
      <c r="PD12">
        <f>IF(ROW()-3&gt;MAX($PC$4:$PC$40),"",INDEX($EJ$4:$EJ$40,MATCH(ROW()-3,$PC$4:$PC$40,0)))</f>
        <v/>
      </c>
      <c r="PE12">
        <f>IF(COUNTIF('Buyer Groups'!DG65:EF65,0)+COUNTIF('Buyer Groups'!EH65:EN65,0)&gt;0,0,1)</f>
        <v/>
      </c>
      <c r="PF12">
        <f>IF($EO$12="",FALSE,SUMPRODUCT(('Final Calculation Sheet'!$AA$4:$AA$40=$EO$12)*($PE$6:$PE$42=1))&gt;0)</f>
        <v/>
      </c>
      <c r="PG12">
        <f>$PG$11+--($PF12)</f>
        <v/>
      </c>
      <c r="PH12">
        <f>IF(ROW()-3&gt;MAX($PG$4:$PG$40),"",INDEX($EO$4:$EO$40,MATCH(ROW()-3,$PG$4:$PG$40,0)))</f>
        <v/>
      </c>
      <c r="PI12">
        <f>IF(COUNTIF('Buyer Groups'!DG65:EG65,0)+COUNTIF('Buyer Groups'!EI65:EN65,0)&gt;0,0,1)</f>
        <v/>
      </c>
      <c r="PJ12">
        <f>IF($ET$12="",FALSE,SUMPRODUCT(('Final Calculation Sheet'!$AB$4:$AB$40=$ET$12)*($PI$6:$PI$42=1))&gt;0)</f>
        <v/>
      </c>
      <c r="PK12">
        <f>$PK$11+--($PJ12)</f>
        <v/>
      </c>
      <c r="PL12">
        <f>IF(ROW()-3&gt;MAX($PK$4:$PK$40),"",INDEX($ET$4:$ET$40,MATCH(ROW()-3,$PK$4:$PK$40,0)))</f>
        <v/>
      </c>
      <c r="PM12">
        <f>IF(COUNTIF('Buyer Groups'!DG65:EH65,0)+COUNTIF('Buyer Groups'!EJ65:EN65,0)&gt;0,0,1)</f>
        <v/>
      </c>
      <c r="PN12">
        <f>IF($EY$12="",FALSE,SUMPRODUCT(('Final Calculation Sheet'!$AC$4:$AC$40=$EY$12)*($PM$6:$PM$42=1))&gt;0)</f>
        <v/>
      </c>
      <c r="PO12">
        <f>$PO$11+--($PN12)</f>
        <v/>
      </c>
      <c r="PP12">
        <f>IF(ROW()-3&gt;MAX($PO$4:$PO$40),"",INDEX($EY$4:$EY$40,MATCH(ROW()-3,$PO$4:$PO$40,0)))</f>
        <v/>
      </c>
      <c r="PQ12">
        <f>IF(COUNTIF('Buyer Groups'!DG65:EI65,0)+COUNTIF('Buyer Groups'!EK65:EN65,0)&gt;0,0,1)</f>
        <v/>
      </c>
      <c r="PR12">
        <f>IF($FD$12="",FALSE,SUMPRODUCT(('Final Calculation Sheet'!$AD$4:$AD$40=$FD$12)*($PQ$6:$PQ$42=1))&gt;0)</f>
        <v/>
      </c>
      <c r="PS12">
        <f>$PS$11+--($PR12)</f>
        <v/>
      </c>
      <c r="PT12">
        <f>IF(ROW()-3&gt;MAX($PS$4:$PS$40),"",INDEX($FD$4:$FD$40,MATCH(ROW()-3,$PS$4:$PS$40,0)))</f>
        <v/>
      </c>
      <c r="PU12">
        <f>IF(COUNTIF('Buyer Groups'!DG65:EJ65,0)+COUNTIF('Buyer Groups'!EL65:EN65,0)&gt;0,0,1)</f>
        <v/>
      </c>
      <c r="PV12">
        <f>IF($FX$12="",FALSE,SUMPRODUCT((IF('Final Calculation Sheet'!$AD$4:$AD$40&lt;=5,"SETTLED","OUTSTANDING")=$FX$12)*($PU$6:$PU$42=1))&gt;0)</f>
        <v/>
      </c>
      <c r="PW12">
        <f>$PW$11+--($PV12)</f>
        <v/>
      </c>
      <c r="PX12">
        <f>IF(ROW()-3&gt;MAX($PW$4:$PW$40),"",INDEX($FX$4:$FX$40,MATCH(ROW()-3,$PW$4:$PW$40,0)))</f>
        <v/>
      </c>
      <c r="PY12">
        <f>IF(COUNTIF('Buyer Groups'!DG65:EK65,0)+COUNTIF('Buyer Groups'!EM65:EN65,0)&gt;0,0,1)</f>
        <v/>
      </c>
      <c r="PZ12">
        <f>IF($FI$12="",FALSE,SUMPRODUCT(('Final Calculation Sheet'!$AF$4:$AF$40=$FI$12)*($PY$6:$PY$42=1))&gt;0)</f>
        <v/>
      </c>
      <c r="QA12">
        <f>$QA$11+--($PZ12)</f>
        <v/>
      </c>
      <c r="QB12">
        <f>IF(ROW()-3&gt;MAX($QA$4:$QA$40),"",INDEX($FI$4:$FI$40,MATCH(ROW()-3,$QA$4:$QA$40,0)))</f>
        <v/>
      </c>
      <c r="QC12">
        <f>IF(COUNTIF('Buyer Groups'!DG65:EL65,0)+COUNTIF('Buyer Groups'!EN65:EN65,0)&gt;0,0,1)</f>
        <v/>
      </c>
      <c r="QD12">
        <f>IF($FN$12="",FALSE,SUMPRODUCT(('Final Calculation Sheet'!$AG$4:$AG$40=$FN$12)*($QC$6:$QC$42=1))&gt;0)</f>
        <v/>
      </c>
      <c r="QE12">
        <f>$QE$11+--($QD12)</f>
        <v/>
      </c>
      <c r="QF12">
        <f>IF(ROW()-3&gt;MAX($QE$4:$QE$40),"",INDEX($FN$4:$FN$40,MATCH(ROW()-3,$QE$4:$QE$40,0)))</f>
        <v/>
      </c>
      <c r="QG12">
        <f>IF(COUNTIF('Buyer Groups'!DG65:EM65,0)&gt;0,0,1)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IF(IFERROR('Final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IF(IFERROR('Final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Groups'!DH66:EN66,0)&gt;0,0,1)</f>
        <v/>
      </c>
      <c r="LF13">
        <f>IF($O$13="",FALSE,SUMPRODUCT(('Final Calculation Sheet'!$F$4:$F$40=$O$13)*($LE$6:$LE$42=1))&gt;0)</f>
        <v/>
      </c>
      <c r="LG13">
        <f>$LG$12+--($LF13)</f>
        <v/>
      </c>
      <c r="LH13">
        <f>IF(ROW()-3&gt;MAX($LG$4:$LG$40),"",INDEX($O$4:$O$40,MATCH(ROW()-3,$LG$4:$LG$40,0)))</f>
        <v/>
      </c>
      <c r="LI13">
        <f>IF(COUNTIF('Buyer Groups'!DG66:DG66,0)+COUNTIF('Buyer Groups'!DI66:EN66,0)&gt;0,0,1)</f>
        <v/>
      </c>
      <c r="LJ13">
        <f>IF($T$13="",FALSE,SUMPRODUCT(('Final Calculation Sheet'!$G$4:$G$40=$T$13)*($LI$6:$LI$42=1))&gt;0)</f>
        <v/>
      </c>
      <c r="LK13">
        <f>$LK$12+--($LJ13)</f>
        <v/>
      </c>
      <c r="LL13">
        <f>IF(ROW()-3&gt;MAX($LK$4:$LK$40),"",INDEX($T$4:$T$40,MATCH(ROW()-3,$LK$4:$LK$40,0)))</f>
        <v/>
      </c>
      <c r="LM13">
        <f>IF(COUNTIF('Buyer Groups'!DG66:DH66,0)+COUNTIF('Buyer Groups'!DJ66:EN66,0)&gt;0,0,1)</f>
        <v/>
      </c>
      <c r="LN13">
        <f>IF($Y$13="",FALSE,SUMPRODUCT(('Final Calculation Sheet'!$B$4:$B$40=$Y$13)*($LM$6:$LM$42=1))&gt;0)</f>
        <v/>
      </c>
      <c r="LO13">
        <f>$LO$12+--($LN13)</f>
        <v/>
      </c>
      <c r="LP13">
        <f>IF(ROW()-3&gt;MAX($LO$4:$LO$40),"",INDEX($Y$4:$Y$40,MATCH(ROW()-3,$LO$4:$LO$40,0)))</f>
        <v/>
      </c>
      <c r="LQ13">
        <f>IF(COUNTIF('Buyer Groups'!DG66:DI66,0)+COUNTIF('Buyer Groups'!DK66:EN66,0)&gt;0,0,1)</f>
        <v/>
      </c>
      <c r="LR13">
        <f>IF($AD$13="",FALSE,SUMPRODUCT(('Final Calculation Sheet'!$D$4:$D$40=$AD$13)*($LQ$6:$LQ$42=1))&gt;0)</f>
        <v/>
      </c>
      <c r="LS13">
        <f>$LS$12+--($LR13)</f>
        <v/>
      </c>
      <c r="LT13">
        <f>IF(ROW()-3&gt;MAX($LS$4:$LS$40),"",INDEX($AD$4:$AD$40,MATCH(ROW()-3,$LS$4:$LS$40,0)))</f>
        <v/>
      </c>
      <c r="LU13">
        <f>IF(COUNTIF('Buyer Groups'!DG66:DJ66,0)+COUNTIF('Buyer Groups'!DL66:EN66,0)&gt;0,0,1)</f>
        <v/>
      </c>
      <c r="LV13">
        <f>IF($AI$13="",FALSE,SUMPRODUCT(('Final Calculation Sheet'!$A$4:$A$40=$AI$13)*($LU$6:$LU$42=1))&gt;0)</f>
        <v/>
      </c>
      <c r="LW13">
        <f>$LW$12+--($LV13)</f>
        <v/>
      </c>
      <c r="LX13">
        <f>IF(ROW()-3&gt;MAX($LW$4:$LW$40),"",INDEX($AI$4:$AI$40,MATCH(ROW()-3,$LW$4:$LW$40,0)))</f>
        <v/>
      </c>
      <c r="LY13">
        <f>IF(COUNTIF('Buyer Groups'!DG66:DK66,0)+COUNTIF('Buyer Groups'!DM66:EN66,0)&gt;0,0,1)</f>
        <v/>
      </c>
      <c r="LZ13">
        <f>IF($AN$13="",FALSE,SUMPRODUCT(('Final Calculation Sheet'!$E$4:$E$40=$AN$13)*($LY$6:$LY$42=1))&gt;0)</f>
        <v/>
      </c>
      <c r="MA13">
        <f>$MA$12+--($LZ13)</f>
        <v/>
      </c>
      <c r="MB13">
        <f>IF(ROW()-3&gt;MAX($MA$4:$MA$40),"",INDEX($AN$4:$AN$40,MATCH(ROW()-3,$MA$4:$MA$40,0)))</f>
        <v/>
      </c>
      <c r="MC13">
        <f>IF(COUNTIF('Buyer Groups'!DG66:DL66,0)+COUNTIF('Buyer Groups'!DN66:EN66,0)&gt;0,0,1)</f>
        <v/>
      </c>
      <c r="MD13">
        <f>IF($AS$13="",FALSE,SUMPRODUCT(('Final Calculation Sheet'!$C$4:$C$40=$AS$13)*($MC$6:$MC$42=1))&gt;0)</f>
        <v/>
      </c>
      <c r="ME13">
        <f>$ME$12+--($MD13)</f>
        <v/>
      </c>
      <c r="MF13">
        <f>IF(ROW()-3&gt;MAX($ME$4:$ME$40),"",INDEX($AS$4:$AS$40,MATCH(ROW()-3,$ME$4:$ME$40,0)))</f>
        <v/>
      </c>
      <c r="MG13">
        <f>IF(COUNTIF('Buyer Groups'!DG66:DM66,0)+COUNTIF('Buyer Groups'!DO66:EN66,0)&gt;0,0,1)</f>
        <v/>
      </c>
      <c r="MH13">
        <f>IF($AX$13="",FALSE,SUMPRODUCT(('Final Calculation Sheet'!$H$4:$H$40=$AX$13)*($MG$6:$MG$42=1))&gt;0)</f>
        <v/>
      </c>
      <c r="MI13">
        <f>$MI$12+--($MH13)</f>
        <v/>
      </c>
      <c r="MJ13">
        <f>IF(ROW()-3&gt;MAX($MI$4:$MI$40),"",INDEX($AX$4:$AX$40,MATCH(ROW()-3,$MI$4:$MI$40,0)))</f>
        <v/>
      </c>
      <c r="MK13">
        <f>IF(COUNTIF('Buyer Groups'!DG66:DN66,0)+COUNTIF('Buyer Groups'!DP66:EN66,0)&gt;0,0,1)</f>
        <v/>
      </c>
      <c r="ML13">
        <f>IF($BC$13="",FALSE,SUMPRODUCT(('Final Calculation Sheet'!$I$4:$I$40=$BC$13)*($MK$6:$MK$42=1))&gt;0)</f>
        <v/>
      </c>
      <c r="MM13">
        <f>$MM$12+--($ML13)</f>
        <v/>
      </c>
      <c r="MN13">
        <f>IF(ROW()-3&gt;MAX($MM$4:$MM$40),"",INDEX($BC$4:$BC$40,MATCH(ROW()-3,$MM$4:$MM$40,0)))</f>
        <v/>
      </c>
      <c r="MO13">
        <f>IF(COUNTIF('Buyer Groups'!DG66:DO66,0)+COUNTIF('Buyer Groups'!DQ66:EN66,0)&gt;0,0,1)</f>
        <v/>
      </c>
      <c r="MP13">
        <f>IF($BH$13="",FALSE,SUMPRODUCT(('Final Calculation Sheet'!$J$4:$J$40=$BH$13)*($MO$6:$MO$42=1))&gt;0)</f>
        <v/>
      </c>
      <c r="MQ13">
        <f>$MQ$12+--($MP13)</f>
        <v/>
      </c>
      <c r="MR13">
        <f>IF(ROW()-3&gt;MAX($MQ$4:$MQ$40),"",INDEX($BH$4:$BH$40,MATCH(ROW()-3,$MQ$4:$MQ$40,0)))</f>
        <v/>
      </c>
      <c r="MS13">
        <f>IF(COUNTIF('Buyer Groups'!DG66:DP66,0)+COUNTIF('Buyer Groups'!DR66:EN66,0)&gt;0,0,1)</f>
        <v/>
      </c>
      <c r="MT13">
        <f>IF($BM$13="",FALSE,SUMPRODUCT(('Final Calculation Sheet'!$K$4:$K$40=$BM$13)*($MS$6:$MS$42=1))&gt;0)</f>
        <v/>
      </c>
      <c r="MU13">
        <f>$MU$12+--($MT13)</f>
        <v/>
      </c>
      <c r="MV13">
        <f>IF(ROW()-3&gt;MAX($MU$4:$MU$40),"",INDEX($BM$4:$BM$40,MATCH(ROW()-3,$MU$4:$MU$40,0)))</f>
        <v/>
      </c>
      <c r="MW13">
        <f>IF(COUNTIF('Buyer Groups'!DG66:DQ66,0)+COUNTIF('Buyer Groups'!DS66:EN66,0)&gt;0,0,1)</f>
        <v/>
      </c>
      <c r="MX13">
        <f>IF($BR$13="",FALSE,SUMPRODUCT(('Final Calculation Sheet'!$L$4:$L$40=$BR$13)*($MW$6:$MW$42=1))&gt;0)</f>
        <v/>
      </c>
      <c r="MY13">
        <f>$MY$12+--($MX13)</f>
        <v/>
      </c>
      <c r="MZ13">
        <f>IF(ROW()-3&gt;MAX($MY$4:$MY$40),"",INDEX($BR$4:$BR$40,MATCH(ROW()-3,$MY$4:$MY$40,0)))</f>
        <v/>
      </c>
      <c r="NA13">
        <f>IF(COUNTIF('Buyer Groups'!DG66:DR66,0)+COUNTIF('Buyer Groups'!DT66:EN66,0)&gt;0,0,1)</f>
        <v/>
      </c>
      <c r="NB13">
        <f>IF($BW$13="",FALSE,SUMPRODUCT(('Final Calculation Sheet'!$M$4:$M$40=$BW$13)*($NA$6:$NA$42=1))&gt;0)</f>
        <v/>
      </c>
      <c r="NC13">
        <f>$NC$12+--($NB13)</f>
        <v/>
      </c>
      <c r="ND13">
        <f>IF(ROW()-3&gt;MAX($NC$4:$NC$40),"",INDEX($BW$4:$BW$40,MATCH(ROW()-3,$NC$4:$NC$40,0)))</f>
        <v/>
      </c>
      <c r="NE13">
        <f>IF(COUNTIF('Buyer Groups'!DG66:DS66,0)+COUNTIF('Buyer Groups'!DU66:EN66,0)&gt;0,0,1)</f>
        <v/>
      </c>
      <c r="NF13">
        <f>IF($CB$13="",FALSE,SUMPRODUCT(('Final Calculation Sheet'!$N$4:$N$40=$CB$13)*($NE$6:$NE$42=1))&gt;0)</f>
        <v/>
      </c>
      <c r="NG13">
        <f>$NG$12+--($NF13)</f>
        <v/>
      </c>
      <c r="NH13">
        <f>IF(ROW()-3&gt;MAX($NG$4:$NG$40),"",INDEX($CB$4:$CB$40,MATCH(ROW()-3,$NG$4:$NG$40,0)))</f>
        <v/>
      </c>
      <c r="NI13">
        <f>IF(COUNTIF('Buyer Groups'!DG66:DT66,0)+COUNTIF('Buyer Groups'!DV66:EN66,0)&gt;0,0,1)</f>
        <v/>
      </c>
      <c r="NJ13">
        <f>IF($CG$13="",FALSE,SUMPRODUCT(('Final Calculation Sheet'!$O$4:$O$40=$CG$13)*($NI$6:$NI$42=1))&gt;0)</f>
        <v/>
      </c>
      <c r="NK13">
        <f>$NK$12+--($NJ13)</f>
        <v/>
      </c>
      <c r="NL13">
        <f>IF(ROW()-3&gt;MAX($NK$4:$NK$40),"",INDEX($CG$4:$CG$40,MATCH(ROW()-3,$NK$4:$NK$40,0)))</f>
        <v/>
      </c>
      <c r="NM13">
        <f>IF(COUNTIF('Buyer Groups'!DG66:DU66,0)+COUNTIF('Buyer Groups'!DW66:EN66,0)&gt;0,0,1)</f>
        <v/>
      </c>
      <c r="NN13">
        <f>IF($CL$13="",FALSE,SUMPRODUCT(('Final Calculation Sheet'!$P$4:$P$40=$CL$13)*($NM$6:$NM$42=1))&gt;0)</f>
        <v/>
      </c>
      <c r="NO13">
        <f>$NO$12+--($NN13)</f>
        <v/>
      </c>
      <c r="NP13">
        <f>IF(ROW()-3&gt;MAX($NO$4:$NO$40),"",INDEX($CL$4:$CL$40,MATCH(ROW()-3,$NO$4:$NO$40,0)))</f>
        <v/>
      </c>
      <c r="NQ13">
        <f>IF(COUNTIF('Buyer Groups'!DG66:DV66,0)+COUNTIF('Buyer Groups'!DX66:EN66,0)&gt;0,0,1)</f>
        <v/>
      </c>
      <c r="NR13">
        <f>IF($CQ$13="",FALSE,SUMPRODUCT(('Final Calculation Sheet'!$Q$4:$Q$40=$CQ$13)*($NQ$6:$NQ$42=1))&gt;0)</f>
        <v/>
      </c>
      <c r="NS13">
        <f>$NS$12+--($NR13)</f>
        <v/>
      </c>
      <c r="NT13">
        <f>IF(ROW()-3&gt;MAX($NS$4:$NS$40),"",INDEX($CQ$4:$CQ$40,MATCH(ROW()-3,$NS$4:$NS$40,0)))</f>
        <v/>
      </c>
      <c r="NU13">
        <f>IF(COUNTIF('Buyer Groups'!DG66:DW66,0)+COUNTIF('Buyer Groups'!DY66:EN66,0)&gt;0,0,1)</f>
        <v/>
      </c>
      <c r="NV13">
        <f>IF($CV$13="",FALSE,SUMPRODUCT(('Final Calculation Sheet'!$R$4:$R$40=$CV$13)*($NU$6:$NU$42=1))&gt;0)</f>
        <v/>
      </c>
      <c r="NW13">
        <f>$NW$12+--($NV13)</f>
        <v/>
      </c>
      <c r="NX13">
        <f>IF(ROW()-3&gt;MAX($NW$4:$NW$40),"",INDEX($CV$4:$CV$40,MATCH(ROW()-3,$NW$4:$NW$40,0)))</f>
        <v/>
      </c>
      <c r="NY13">
        <f>IF(COUNTIF('Buyer Groups'!DG66:DX66,0)+COUNTIF('Buyer Groups'!DZ66:EN66,0)&gt;0,0,1)</f>
        <v/>
      </c>
      <c r="NZ13">
        <f>IF($DA$13="",FALSE,SUMPRODUCT(('Final Calculation Sheet'!$S$4:$S$40=$DA$13)*($NY$6:$NY$42=1))&gt;0)</f>
        <v/>
      </c>
      <c r="OA13">
        <f>$OA$12+--($NZ13)</f>
        <v/>
      </c>
      <c r="OB13">
        <f>IF(ROW()-3&gt;MAX($OA$4:$OA$40),"",INDEX($DA$4:$DA$40,MATCH(ROW()-3,$OA$4:$OA$40,0)))</f>
        <v/>
      </c>
      <c r="OC13">
        <f>IF(COUNTIF('Buyer Groups'!DG66:DY66,0)+COUNTIF('Buyer Groups'!EA66:EN66,0)&gt;0,0,1)</f>
        <v/>
      </c>
      <c r="OD13">
        <f>IF($DF$13="",FALSE,SUMPRODUCT(('Final Calculation Sheet'!$T$4:$T$40=$DF$13)*($OC$6:$OC$42=1))&gt;0)</f>
        <v/>
      </c>
      <c r="OE13">
        <f>$OE$12+--($OD13)</f>
        <v/>
      </c>
      <c r="OF13">
        <f>IF(ROW()-3&gt;MAX($OE$4:$OE$40),"",INDEX($DF$4:$DF$40,MATCH(ROW()-3,$OE$4:$OE$40,0)))</f>
        <v/>
      </c>
      <c r="OG13">
        <f>IF(COUNTIF('Buyer Groups'!DG66:DZ66,0)+COUNTIF('Buyer Groups'!EB66:EN66,0)&gt;0,0,1)</f>
        <v/>
      </c>
      <c r="OH13">
        <f>IF($DK$13="",FALSE,SUMPRODUCT(('Final Calculation Sheet'!$U$4:$U$40=$DK$13)*($OG$6:$OG$42=1))&gt;0)</f>
        <v/>
      </c>
      <c r="OI13">
        <f>$OI$12+--($OH13)</f>
        <v/>
      </c>
      <c r="OJ13">
        <f>IF(ROW()-3&gt;MAX($OI$4:$OI$40),"",INDEX($DK$4:$DK$40,MATCH(ROW()-3,$OI$4:$OI$40,0)))</f>
        <v/>
      </c>
      <c r="OK13">
        <f>IF(COUNTIF('Buyer Groups'!DG66:EA66,0)+COUNTIF('Buyer Groups'!EC66:EN66,0)&gt;0,0,1)</f>
        <v/>
      </c>
      <c r="OL13">
        <f>IF($DP$13="",FALSE,SUMPRODUCT(('Final Calculation Sheet'!$V$4:$V$40=$DP$13)*($OK$6:$OK$42=1))&gt;0)</f>
        <v/>
      </c>
      <c r="OM13">
        <f>$OM$12+--($OL13)</f>
        <v/>
      </c>
      <c r="ON13">
        <f>IF(ROW()-3&gt;MAX($OM$4:$OM$40),"",INDEX($DP$4:$DP$40,MATCH(ROW()-3,$OM$4:$OM$40,0)))</f>
        <v/>
      </c>
      <c r="OO13">
        <f>IF(COUNTIF('Buyer Groups'!DG66:EB66,0)+COUNTIF('Buyer Groups'!ED66:EN66,0)&gt;0,0,1)</f>
        <v/>
      </c>
      <c r="OP13">
        <f>IF($DU$13="",FALSE,SUMPRODUCT(('Final Calculation Sheet'!$W$4:$W$40=$DU$13)*($OO$6:$OO$42=1))&gt;0)</f>
        <v/>
      </c>
      <c r="OQ13">
        <f>$OQ$12+--($OP13)</f>
        <v/>
      </c>
      <c r="OR13">
        <f>IF(ROW()-3&gt;MAX($OQ$4:$OQ$40),"",INDEX($DU$4:$DU$40,MATCH(ROW()-3,$OQ$4:$OQ$40,0)))</f>
        <v/>
      </c>
      <c r="OS13">
        <f>IF(COUNTIF('Buyer Groups'!DG66:EC66,0)+COUNTIF('Buyer Groups'!EE66:EN66,0)&gt;0,0,1)</f>
        <v/>
      </c>
      <c r="OT13">
        <f>IF($DZ$13="",FALSE,SUMPRODUCT(('Final Calculation Sheet'!$X$4:$X$40=$DZ$13)*($OS$6:$OS$42=1))&gt;0)</f>
        <v/>
      </c>
      <c r="OU13">
        <f>$OU$12+--($OT13)</f>
        <v/>
      </c>
      <c r="OV13">
        <f>IF(ROW()-3&gt;MAX($OU$4:$OU$40),"",INDEX($DZ$4:$DZ$40,MATCH(ROW()-3,$OU$4:$OU$40,0)))</f>
        <v/>
      </c>
      <c r="OW13">
        <f>IF(COUNTIF('Buyer Groups'!DG66:ED66,0)+COUNTIF('Buyer Groups'!EF66:EN66,0)&gt;0,0,1)</f>
        <v/>
      </c>
      <c r="OX13">
        <f>IF($EE$13="",FALSE,SUMPRODUCT(('Final Calculation Sheet'!$Y$4:$Y$40=$EE$13)*($OW$6:$OW$42=1))&gt;0)</f>
        <v/>
      </c>
      <c r="OY13">
        <f>$OY$12+--($OX13)</f>
        <v/>
      </c>
      <c r="OZ13">
        <f>IF(ROW()-3&gt;MAX($OY$4:$OY$40),"",INDEX($EE$4:$EE$40,MATCH(ROW()-3,$OY$4:$OY$40,0)))</f>
        <v/>
      </c>
      <c r="PA13">
        <f>IF(COUNTIF('Buyer Groups'!DG66:EE66,0)+COUNTIF('Buyer Groups'!EG66:EN66,0)&gt;0,0,1)</f>
        <v/>
      </c>
      <c r="PB13">
        <f>IF($EJ$13="",FALSE,SUMPRODUCT(('Final Calculation Sheet'!$Z$4:$Z$40=$EJ$13)*($PA$6:$PA$42=1))&gt;0)</f>
        <v/>
      </c>
      <c r="PC13">
        <f>$PC$12+--($PB13)</f>
        <v/>
      </c>
      <c r="PD13">
        <f>IF(ROW()-3&gt;MAX($PC$4:$PC$40),"",INDEX($EJ$4:$EJ$40,MATCH(ROW()-3,$PC$4:$PC$40,0)))</f>
        <v/>
      </c>
      <c r="PE13">
        <f>IF(COUNTIF('Buyer Groups'!DG66:EF66,0)+COUNTIF('Buyer Groups'!EH66:EN66,0)&gt;0,0,1)</f>
        <v/>
      </c>
      <c r="PF13">
        <f>IF($EO$13="",FALSE,SUMPRODUCT(('Final Calculation Sheet'!$AA$4:$AA$40=$EO$13)*($PE$6:$PE$42=1))&gt;0)</f>
        <v/>
      </c>
      <c r="PG13">
        <f>$PG$12+--($PF13)</f>
        <v/>
      </c>
      <c r="PH13">
        <f>IF(ROW()-3&gt;MAX($PG$4:$PG$40),"",INDEX($EO$4:$EO$40,MATCH(ROW()-3,$PG$4:$PG$40,0)))</f>
        <v/>
      </c>
      <c r="PI13">
        <f>IF(COUNTIF('Buyer Groups'!DG66:EG66,0)+COUNTIF('Buyer Groups'!EI66:EN66,0)&gt;0,0,1)</f>
        <v/>
      </c>
      <c r="PJ13">
        <f>IF($ET$13="",FALSE,SUMPRODUCT(('Final Calculation Sheet'!$AB$4:$AB$40=$ET$13)*($PI$6:$PI$42=1))&gt;0)</f>
        <v/>
      </c>
      <c r="PK13">
        <f>$PK$12+--($PJ13)</f>
        <v/>
      </c>
      <c r="PL13">
        <f>IF(ROW()-3&gt;MAX($PK$4:$PK$40),"",INDEX($ET$4:$ET$40,MATCH(ROW()-3,$PK$4:$PK$40,0)))</f>
        <v/>
      </c>
      <c r="PM13">
        <f>IF(COUNTIF('Buyer Groups'!DG66:EH66,0)+COUNTIF('Buyer Groups'!EJ66:EN66,0)&gt;0,0,1)</f>
        <v/>
      </c>
      <c r="PN13">
        <f>IF($EY$13="",FALSE,SUMPRODUCT(('Final Calculation Sheet'!$AC$4:$AC$40=$EY$13)*($PM$6:$PM$42=1))&gt;0)</f>
        <v/>
      </c>
      <c r="PO13">
        <f>$PO$12+--($PN13)</f>
        <v/>
      </c>
      <c r="PP13">
        <f>IF(ROW()-3&gt;MAX($PO$4:$PO$40),"",INDEX($EY$4:$EY$40,MATCH(ROW()-3,$PO$4:$PO$40,0)))</f>
        <v/>
      </c>
      <c r="PQ13">
        <f>IF(COUNTIF('Buyer Groups'!DG66:EI66,0)+COUNTIF('Buyer Groups'!EK66:EN66,0)&gt;0,0,1)</f>
        <v/>
      </c>
      <c r="PR13">
        <f>IF($FD$13="",FALSE,SUMPRODUCT(('Final Calculation Sheet'!$AD$4:$AD$40=$FD$13)*($PQ$6:$PQ$42=1))&gt;0)</f>
        <v/>
      </c>
      <c r="PS13">
        <f>$PS$12+--($PR13)</f>
        <v/>
      </c>
      <c r="PT13">
        <f>IF(ROW()-3&gt;MAX($PS$4:$PS$40),"",INDEX($FD$4:$FD$40,MATCH(ROW()-3,$PS$4:$PS$40,0)))</f>
        <v/>
      </c>
      <c r="PU13">
        <f>IF(COUNTIF('Buyer Groups'!DG66:EJ66,0)+COUNTIF('Buyer Groups'!EL66:EN66,0)&gt;0,0,1)</f>
        <v/>
      </c>
      <c r="PV13">
        <f>IF($FX$13="",FALSE,SUMPRODUCT((IF('Final Calculation Sheet'!$AD$4:$AD$40&lt;=5,"SETTLED","OUTSTANDING")=$FX$13)*($PU$6:$PU$42=1))&gt;0)</f>
        <v/>
      </c>
      <c r="PW13">
        <f>$PW$12+--($PV13)</f>
        <v/>
      </c>
      <c r="PX13">
        <f>IF(ROW()-3&gt;MAX($PW$4:$PW$40),"",INDEX($FX$4:$FX$40,MATCH(ROW()-3,$PW$4:$PW$40,0)))</f>
        <v/>
      </c>
      <c r="PY13">
        <f>IF(COUNTIF('Buyer Groups'!DG66:EK66,0)+COUNTIF('Buyer Groups'!EM66:EN66,0)&gt;0,0,1)</f>
        <v/>
      </c>
      <c r="PZ13">
        <f>IF($FI$13="",FALSE,SUMPRODUCT(('Final Calculation Sheet'!$AF$4:$AF$40=$FI$13)*($PY$6:$PY$42=1))&gt;0)</f>
        <v/>
      </c>
      <c r="QA13">
        <f>$QA$12+--($PZ13)</f>
        <v/>
      </c>
      <c r="QB13">
        <f>IF(ROW()-3&gt;MAX($QA$4:$QA$40),"",INDEX($FI$4:$FI$40,MATCH(ROW()-3,$QA$4:$QA$40,0)))</f>
        <v/>
      </c>
      <c r="QC13">
        <f>IF(COUNTIF('Buyer Groups'!DG66:EL66,0)+COUNTIF('Buyer Groups'!EN66:EN66,0)&gt;0,0,1)</f>
        <v/>
      </c>
      <c r="QD13">
        <f>IF($FN$13="",FALSE,SUMPRODUCT(('Final Calculation Sheet'!$AG$4:$AG$40=$FN$13)*($QC$6:$QC$42=1))&gt;0)</f>
        <v/>
      </c>
      <c r="QE13">
        <f>$QE$12+--($QD13)</f>
        <v/>
      </c>
      <c r="QF13">
        <f>IF(ROW()-3&gt;MAX($QE$4:$QE$40),"",INDEX($FN$4:$FN$40,MATCH(ROW()-3,$QE$4:$QE$40,0)))</f>
        <v/>
      </c>
      <c r="QG13">
        <f>IF(COUNTIF('Buyer Groups'!DG66:EM66,0)&gt;0,0,1)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IF(IFERROR('Final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IF(IFERROR('Final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Groups'!DH67:EN67,0)&gt;0,0,1)</f>
        <v/>
      </c>
      <c r="LF14">
        <f>IF($O$14="",FALSE,SUMPRODUCT(('Final Calculation Sheet'!$F$4:$F$40=$O$14)*($LE$6:$LE$42=1))&gt;0)</f>
        <v/>
      </c>
      <c r="LG14">
        <f>$LG$13+--($LF14)</f>
        <v/>
      </c>
      <c r="LH14">
        <f>IF(ROW()-3&gt;MAX($LG$4:$LG$40),"",INDEX($O$4:$O$40,MATCH(ROW()-3,$LG$4:$LG$40,0)))</f>
        <v/>
      </c>
      <c r="LI14">
        <f>IF(COUNTIF('Buyer Groups'!DG67:DG67,0)+COUNTIF('Buyer Groups'!DI67:EN67,0)&gt;0,0,1)</f>
        <v/>
      </c>
      <c r="LJ14">
        <f>IF($T$14="",FALSE,SUMPRODUCT(('Final Calculation Sheet'!$G$4:$G$40=$T$14)*($LI$6:$LI$42=1))&gt;0)</f>
        <v/>
      </c>
      <c r="LK14">
        <f>$LK$13+--($LJ14)</f>
        <v/>
      </c>
      <c r="LL14">
        <f>IF(ROW()-3&gt;MAX($LK$4:$LK$40),"",INDEX($T$4:$T$40,MATCH(ROW()-3,$LK$4:$LK$40,0)))</f>
        <v/>
      </c>
      <c r="LM14">
        <f>IF(COUNTIF('Buyer Groups'!DG67:DH67,0)+COUNTIF('Buyer Groups'!DJ67:EN67,0)&gt;0,0,1)</f>
        <v/>
      </c>
      <c r="LN14">
        <f>IF($Y$14="",FALSE,SUMPRODUCT(('Final Calculation Sheet'!$B$4:$B$40=$Y$14)*($LM$6:$LM$42=1))&gt;0)</f>
        <v/>
      </c>
      <c r="LO14">
        <f>$LO$13+--($LN14)</f>
        <v/>
      </c>
      <c r="LP14">
        <f>IF(ROW()-3&gt;MAX($LO$4:$LO$40),"",INDEX($Y$4:$Y$40,MATCH(ROW()-3,$LO$4:$LO$40,0)))</f>
        <v/>
      </c>
      <c r="LQ14">
        <f>IF(COUNTIF('Buyer Groups'!DG67:DI67,0)+COUNTIF('Buyer Groups'!DK67:EN67,0)&gt;0,0,1)</f>
        <v/>
      </c>
      <c r="LR14">
        <f>IF($AD$14="",FALSE,SUMPRODUCT(('Final Calculation Sheet'!$D$4:$D$40=$AD$14)*($LQ$6:$LQ$42=1))&gt;0)</f>
        <v/>
      </c>
      <c r="LS14">
        <f>$LS$13+--($LR14)</f>
        <v/>
      </c>
      <c r="LT14">
        <f>IF(ROW()-3&gt;MAX($LS$4:$LS$40),"",INDEX($AD$4:$AD$40,MATCH(ROW()-3,$LS$4:$LS$40,0)))</f>
        <v/>
      </c>
      <c r="LU14">
        <f>IF(COUNTIF('Buyer Groups'!DG67:DJ67,0)+COUNTIF('Buyer Groups'!DL67:EN67,0)&gt;0,0,1)</f>
        <v/>
      </c>
      <c r="LV14">
        <f>IF($AI$14="",FALSE,SUMPRODUCT(('Final Calculation Sheet'!$A$4:$A$40=$AI$14)*($LU$6:$LU$42=1))&gt;0)</f>
        <v/>
      </c>
      <c r="LW14">
        <f>$LW$13+--($LV14)</f>
        <v/>
      </c>
      <c r="LX14">
        <f>IF(ROW()-3&gt;MAX($LW$4:$LW$40),"",INDEX($AI$4:$AI$40,MATCH(ROW()-3,$LW$4:$LW$40,0)))</f>
        <v/>
      </c>
      <c r="LY14">
        <f>IF(COUNTIF('Buyer Groups'!DG67:DK67,0)+COUNTIF('Buyer Groups'!DM67:EN67,0)&gt;0,0,1)</f>
        <v/>
      </c>
      <c r="LZ14">
        <f>IF($AN$14="",FALSE,SUMPRODUCT(('Final Calculation Sheet'!$E$4:$E$40=$AN$14)*($LY$6:$LY$42=1))&gt;0)</f>
        <v/>
      </c>
      <c r="MA14">
        <f>$MA$13+--($LZ14)</f>
        <v/>
      </c>
      <c r="MB14">
        <f>IF(ROW()-3&gt;MAX($MA$4:$MA$40),"",INDEX($AN$4:$AN$40,MATCH(ROW()-3,$MA$4:$MA$40,0)))</f>
        <v/>
      </c>
      <c r="MC14">
        <f>IF(COUNTIF('Buyer Groups'!DG67:DL67,0)+COUNTIF('Buyer Groups'!DN67:EN67,0)&gt;0,0,1)</f>
        <v/>
      </c>
      <c r="MD14">
        <f>IF($AS$14="",FALSE,SUMPRODUCT(('Final Calculation Sheet'!$C$4:$C$40=$AS$14)*($MC$6:$MC$42=1))&gt;0)</f>
        <v/>
      </c>
      <c r="ME14">
        <f>$ME$13+--($MD14)</f>
        <v/>
      </c>
      <c r="MF14">
        <f>IF(ROW()-3&gt;MAX($ME$4:$ME$40),"",INDEX($AS$4:$AS$40,MATCH(ROW()-3,$ME$4:$ME$40,0)))</f>
        <v/>
      </c>
      <c r="MG14">
        <f>IF(COUNTIF('Buyer Groups'!DG67:DM67,0)+COUNTIF('Buyer Groups'!DO67:EN67,0)&gt;0,0,1)</f>
        <v/>
      </c>
      <c r="MH14">
        <f>IF($AX$14="",FALSE,SUMPRODUCT(('Final Calculation Sheet'!$H$4:$H$40=$AX$14)*($MG$6:$MG$42=1))&gt;0)</f>
        <v/>
      </c>
      <c r="MI14">
        <f>$MI$13+--($MH14)</f>
        <v/>
      </c>
      <c r="MJ14">
        <f>IF(ROW()-3&gt;MAX($MI$4:$MI$40),"",INDEX($AX$4:$AX$40,MATCH(ROW()-3,$MI$4:$MI$40,0)))</f>
        <v/>
      </c>
      <c r="MK14">
        <f>IF(COUNTIF('Buyer Groups'!DG67:DN67,0)+COUNTIF('Buyer Groups'!DP67:EN67,0)&gt;0,0,1)</f>
        <v/>
      </c>
      <c r="ML14">
        <f>IF($BC$14="",FALSE,SUMPRODUCT(('Final Calculation Sheet'!$I$4:$I$40=$BC$14)*($MK$6:$MK$42=1))&gt;0)</f>
        <v/>
      </c>
      <c r="MM14">
        <f>$MM$13+--($ML14)</f>
        <v/>
      </c>
      <c r="MN14">
        <f>IF(ROW()-3&gt;MAX($MM$4:$MM$40),"",INDEX($BC$4:$BC$40,MATCH(ROW()-3,$MM$4:$MM$40,0)))</f>
        <v/>
      </c>
      <c r="MO14">
        <f>IF(COUNTIF('Buyer Groups'!DG67:DO67,0)+COUNTIF('Buyer Groups'!DQ67:EN67,0)&gt;0,0,1)</f>
        <v/>
      </c>
      <c r="MP14">
        <f>IF($BH$14="",FALSE,SUMPRODUCT(('Final Calculation Sheet'!$J$4:$J$40=$BH$14)*($MO$6:$MO$42=1))&gt;0)</f>
        <v/>
      </c>
      <c r="MQ14">
        <f>$MQ$13+--($MP14)</f>
        <v/>
      </c>
      <c r="MR14">
        <f>IF(ROW()-3&gt;MAX($MQ$4:$MQ$40),"",INDEX($BH$4:$BH$40,MATCH(ROW()-3,$MQ$4:$MQ$40,0)))</f>
        <v/>
      </c>
      <c r="MS14">
        <f>IF(COUNTIF('Buyer Groups'!DG67:DP67,0)+COUNTIF('Buyer Groups'!DR67:EN67,0)&gt;0,0,1)</f>
        <v/>
      </c>
      <c r="MT14">
        <f>IF($BM$14="",FALSE,SUMPRODUCT(('Final Calculation Sheet'!$K$4:$K$40=$BM$14)*($MS$6:$MS$42=1))&gt;0)</f>
        <v/>
      </c>
      <c r="MU14">
        <f>$MU$13+--($MT14)</f>
        <v/>
      </c>
      <c r="MV14">
        <f>IF(ROW()-3&gt;MAX($MU$4:$MU$40),"",INDEX($BM$4:$BM$40,MATCH(ROW()-3,$MU$4:$MU$40,0)))</f>
        <v/>
      </c>
      <c r="MW14">
        <f>IF(COUNTIF('Buyer Groups'!DG67:DQ67,0)+COUNTIF('Buyer Groups'!DS67:EN67,0)&gt;0,0,1)</f>
        <v/>
      </c>
      <c r="MX14">
        <f>IF($BR$14="",FALSE,SUMPRODUCT(('Final Calculation Sheet'!$L$4:$L$40=$BR$14)*($MW$6:$MW$42=1))&gt;0)</f>
        <v/>
      </c>
      <c r="MY14">
        <f>$MY$13+--($MX14)</f>
        <v/>
      </c>
      <c r="MZ14">
        <f>IF(ROW()-3&gt;MAX($MY$4:$MY$40),"",INDEX($BR$4:$BR$40,MATCH(ROW()-3,$MY$4:$MY$40,0)))</f>
        <v/>
      </c>
      <c r="NA14">
        <f>IF(COUNTIF('Buyer Groups'!DG67:DR67,0)+COUNTIF('Buyer Groups'!DT67:EN67,0)&gt;0,0,1)</f>
        <v/>
      </c>
      <c r="NB14">
        <f>IF($BW$14="",FALSE,SUMPRODUCT(('Final Calculation Sheet'!$M$4:$M$40=$BW$14)*($NA$6:$NA$42=1))&gt;0)</f>
        <v/>
      </c>
      <c r="NC14">
        <f>$NC$13+--($NB14)</f>
        <v/>
      </c>
      <c r="ND14">
        <f>IF(ROW()-3&gt;MAX($NC$4:$NC$40),"",INDEX($BW$4:$BW$40,MATCH(ROW()-3,$NC$4:$NC$40,0)))</f>
        <v/>
      </c>
      <c r="NE14">
        <f>IF(COUNTIF('Buyer Groups'!DG67:DS67,0)+COUNTIF('Buyer Groups'!DU67:EN67,0)&gt;0,0,1)</f>
        <v/>
      </c>
      <c r="NF14">
        <f>IF($CB$14="",FALSE,SUMPRODUCT(('Final Calculation Sheet'!$N$4:$N$40=$CB$14)*($NE$6:$NE$42=1))&gt;0)</f>
        <v/>
      </c>
      <c r="NG14">
        <f>$NG$13+--($NF14)</f>
        <v/>
      </c>
      <c r="NH14">
        <f>IF(ROW()-3&gt;MAX($NG$4:$NG$40),"",INDEX($CB$4:$CB$40,MATCH(ROW()-3,$NG$4:$NG$40,0)))</f>
        <v/>
      </c>
      <c r="NI14">
        <f>IF(COUNTIF('Buyer Groups'!DG67:DT67,0)+COUNTIF('Buyer Groups'!DV67:EN67,0)&gt;0,0,1)</f>
        <v/>
      </c>
      <c r="NJ14">
        <f>IF($CG$14="",FALSE,SUMPRODUCT(('Final Calculation Sheet'!$O$4:$O$40=$CG$14)*($NI$6:$NI$42=1))&gt;0)</f>
        <v/>
      </c>
      <c r="NK14">
        <f>$NK$13+--($NJ14)</f>
        <v/>
      </c>
      <c r="NL14">
        <f>IF(ROW()-3&gt;MAX($NK$4:$NK$40),"",INDEX($CG$4:$CG$40,MATCH(ROW()-3,$NK$4:$NK$40,0)))</f>
        <v/>
      </c>
      <c r="NM14">
        <f>IF(COUNTIF('Buyer Groups'!DG67:DU67,0)+COUNTIF('Buyer Groups'!DW67:EN67,0)&gt;0,0,1)</f>
        <v/>
      </c>
      <c r="NN14">
        <f>IF($CL$14="",FALSE,SUMPRODUCT(('Final Calculation Sheet'!$P$4:$P$40=$CL$14)*($NM$6:$NM$42=1))&gt;0)</f>
        <v/>
      </c>
      <c r="NO14">
        <f>$NO$13+--($NN14)</f>
        <v/>
      </c>
      <c r="NP14">
        <f>IF(ROW()-3&gt;MAX($NO$4:$NO$40),"",INDEX($CL$4:$CL$40,MATCH(ROW()-3,$NO$4:$NO$40,0)))</f>
        <v/>
      </c>
      <c r="NQ14">
        <f>IF(COUNTIF('Buyer Groups'!DG67:DV67,0)+COUNTIF('Buyer Groups'!DX67:EN67,0)&gt;0,0,1)</f>
        <v/>
      </c>
      <c r="NR14">
        <f>IF($CQ$14="",FALSE,SUMPRODUCT(('Final Calculation Sheet'!$Q$4:$Q$40=$CQ$14)*($NQ$6:$NQ$42=1))&gt;0)</f>
        <v/>
      </c>
      <c r="NS14">
        <f>$NS$13+--($NR14)</f>
        <v/>
      </c>
      <c r="NT14">
        <f>IF(ROW()-3&gt;MAX($NS$4:$NS$40),"",INDEX($CQ$4:$CQ$40,MATCH(ROW()-3,$NS$4:$NS$40,0)))</f>
        <v/>
      </c>
      <c r="NU14">
        <f>IF(COUNTIF('Buyer Groups'!DG67:DW67,0)+COUNTIF('Buyer Groups'!DY67:EN67,0)&gt;0,0,1)</f>
        <v/>
      </c>
      <c r="NV14">
        <f>IF($CV$14="",FALSE,SUMPRODUCT(('Final Calculation Sheet'!$R$4:$R$40=$CV$14)*($NU$6:$NU$42=1))&gt;0)</f>
        <v/>
      </c>
      <c r="NW14">
        <f>$NW$13+--($NV14)</f>
        <v/>
      </c>
      <c r="NX14">
        <f>IF(ROW()-3&gt;MAX($NW$4:$NW$40),"",INDEX($CV$4:$CV$40,MATCH(ROW()-3,$NW$4:$NW$40,0)))</f>
        <v/>
      </c>
      <c r="NY14">
        <f>IF(COUNTIF('Buyer Groups'!DG67:DX67,0)+COUNTIF('Buyer Groups'!DZ67:EN67,0)&gt;0,0,1)</f>
        <v/>
      </c>
      <c r="NZ14">
        <f>IF($DA$14="",FALSE,SUMPRODUCT(('Final Calculation Sheet'!$S$4:$S$40=$DA$14)*($NY$6:$NY$42=1))&gt;0)</f>
        <v/>
      </c>
      <c r="OA14">
        <f>$OA$13+--($NZ14)</f>
        <v/>
      </c>
      <c r="OB14">
        <f>IF(ROW()-3&gt;MAX($OA$4:$OA$40),"",INDEX($DA$4:$DA$40,MATCH(ROW()-3,$OA$4:$OA$40,0)))</f>
        <v/>
      </c>
      <c r="OC14">
        <f>IF(COUNTIF('Buyer Groups'!DG67:DY67,0)+COUNTIF('Buyer Groups'!EA67:EN67,0)&gt;0,0,1)</f>
        <v/>
      </c>
      <c r="OD14">
        <f>IF($DF$14="",FALSE,SUMPRODUCT(('Final Calculation Sheet'!$T$4:$T$40=$DF$14)*($OC$6:$OC$42=1))&gt;0)</f>
        <v/>
      </c>
      <c r="OE14">
        <f>$OE$13+--($OD14)</f>
        <v/>
      </c>
      <c r="OF14">
        <f>IF(ROW()-3&gt;MAX($OE$4:$OE$40),"",INDEX($DF$4:$DF$40,MATCH(ROW()-3,$OE$4:$OE$40,0)))</f>
        <v/>
      </c>
      <c r="OG14">
        <f>IF(COUNTIF('Buyer Groups'!DG67:DZ67,0)+COUNTIF('Buyer Groups'!EB67:EN67,0)&gt;0,0,1)</f>
        <v/>
      </c>
      <c r="OH14">
        <f>IF($DK$14="",FALSE,SUMPRODUCT(('Final Calculation Sheet'!$U$4:$U$40=$DK$14)*($OG$6:$OG$42=1))&gt;0)</f>
        <v/>
      </c>
      <c r="OI14">
        <f>$OI$13+--($OH14)</f>
        <v/>
      </c>
      <c r="OJ14">
        <f>IF(ROW()-3&gt;MAX($OI$4:$OI$40),"",INDEX($DK$4:$DK$40,MATCH(ROW()-3,$OI$4:$OI$40,0)))</f>
        <v/>
      </c>
      <c r="OK14">
        <f>IF(COUNTIF('Buyer Groups'!DG67:EA67,0)+COUNTIF('Buyer Groups'!EC67:EN67,0)&gt;0,0,1)</f>
        <v/>
      </c>
      <c r="OL14">
        <f>IF($DP$14="",FALSE,SUMPRODUCT(('Final Calculation Sheet'!$V$4:$V$40=$DP$14)*($OK$6:$OK$42=1))&gt;0)</f>
        <v/>
      </c>
      <c r="OM14">
        <f>$OM$13+--($OL14)</f>
        <v/>
      </c>
      <c r="ON14">
        <f>IF(ROW()-3&gt;MAX($OM$4:$OM$40),"",INDEX($DP$4:$DP$40,MATCH(ROW()-3,$OM$4:$OM$40,0)))</f>
        <v/>
      </c>
      <c r="OO14">
        <f>IF(COUNTIF('Buyer Groups'!DG67:EB67,0)+COUNTIF('Buyer Groups'!ED67:EN67,0)&gt;0,0,1)</f>
        <v/>
      </c>
      <c r="OP14">
        <f>IF($DU$14="",FALSE,SUMPRODUCT(('Final Calculation Sheet'!$W$4:$W$40=$DU$14)*($OO$6:$OO$42=1))&gt;0)</f>
        <v/>
      </c>
      <c r="OQ14">
        <f>$OQ$13+--($OP14)</f>
        <v/>
      </c>
      <c r="OR14">
        <f>IF(ROW()-3&gt;MAX($OQ$4:$OQ$40),"",INDEX($DU$4:$DU$40,MATCH(ROW()-3,$OQ$4:$OQ$40,0)))</f>
        <v/>
      </c>
      <c r="OS14">
        <f>IF(COUNTIF('Buyer Groups'!DG67:EC67,0)+COUNTIF('Buyer Groups'!EE67:EN67,0)&gt;0,0,1)</f>
        <v/>
      </c>
      <c r="OT14">
        <f>IF($DZ$14="",FALSE,SUMPRODUCT(('Final Calculation Sheet'!$X$4:$X$40=$DZ$14)*($OS$6:$OS$42=1))&gt;0)</f>
        <v/>
      </c>
      <c r="OU14">
        <f>$OU$13+--($OT14)</f>
        <v/>
      </c>
      <c r="OV14">
        <f>IF(ROW()-3&gt;MAX($OU$4:$OU$40),"",INDEX($DZ$4:$DZ$40,MATCH(ROW()-3,$OU$4:$OU$40,0)))</f>
        <v/>
      </c>
      <c r="OW14">
        <f>IF(COUNTIF('Buyer Groups'!DG67:ED67,0)+COUNTIF('Buyer Groups'!EF67:EN67,0)&gt;0,0,1)</f>
        <v/>
      </c>
      <c r="OX14">
        <f>IF($EE$14="",FALSE,SUMPRODUCT(('Final Calculation Sheet'!$Y$4:$Y$40=$EE$14)*($OW$6:$OW$42=1))&gt;0)</f>
        <v/>
      </c>
      <c r="OY14">
        <f>$OY$13+--($OX14)</f>
        <v/>
      </c>
      <c r="OZ14">
        <f>IF(ROW()-3&gt;MAX($OY$4:$OY$40),"",INDEX($EE$4:$EE$40,MATCH(ROW()-3,$OY$4:$OY$40,0)))</f>
        <v/>
      </c>
      <c r="PA14">
        <f>IF(COUNTIF('Buyer Groups'!DG67:EE67,0)+COUNTIF('Buyer Groups'!EG67:EN67,0)&gt;0,0,1)</f>
        <v/>
      </c>
      <c r="PB14">
        <f>IF($EJ$14="",FALSE,SUMPRODUCT(('Final Calculation Sheet'!$Z$4:$Z$40=$EJ$14)*($PA$6:$PA$42=1))&gt;0)</f>
        <v/>
      </c>
      <c r="PC14">
        <f>$PC$13+--($PB14)</f>
        <v/>
      </c>
      <c r="PD14">
        <f>IF(ROW()-3&gt;MAX($PC$4:$PC$40),"",INDEX($EJ$4:$EJ$40,MATCH(ROW()-3,$PC$4:$PC$40,0)))</f>
        <v/>
      </c>
      <c r="PE14">
        <f>IF(COUNTIF('Buyer Groups'!DG67:EF67,0)+COUNTIF('Buyer Groups'!EH67:EN67,0)&gt;0,0,1)</f>
        <v/>
      </c>
      <c r="PF14">
        <f>IF($EO$14="",FALSE,SUMPRODUCT(('Final Calculation Sheet'!$AA$4:$AA$40=$EO$14)*($PE$6:$PE$42=1))&gt;0)</f>
        <v/>
      </c>
      <c r="PG14">
        <f>$PG$13+--($PF14)</f>
        <v/>
      </c>
      <c r="PH14">
        <f>IF(ROW()-3&gt;MAX($PG$4:$PG$40),"",INDEX($EO$4:$EO$40,MATCH(ROW()-3,$PG$4:$PG$40,0)))</f>
        <v/>
      </c>
      <c r="PI14">
        <f>IF(COUNTIF('Buyer Groups'!DG67:EG67,0)+COUNTIF('Buyer Groups'!EI67:EN67,0)&gt;0,0,1)</f>
        <v/>
      </c>
      <c r="PJ14">
        <f>IF($ET$14="",FALSE,SUMPRODUCT(('Final Calculation Sheet'!$AB$4:$AB$40=$ET$14)*($PI$6:$PI$42=1))&gt;0)</f>
        <v/>
      </c>
      <c r="PK14">
        <f>$PK$13+--($PJ14)</f>
        <v/>
      </c>
      <c r="PL14">
        <f>IF(ROW()-3&gt;MAX($PK$4:$PK$40),"",INDEX($ET$4:$ET$40,MATCH(ROW()-3,$PK$4:$PK$40,0)))</f>
        <v/>
      </c>
      <c r="PM14">
        <f>IF(COUNTIF('Buyer Groups'!DG67:EH67,0)+COUNTIF('Buyer Groups'!EJ67:EN67,0)&gt;0,0,1)</f>
        <v/>
      </c>
      <c r="PN14">
        <f>IF($EY$14="",FALSE,SUMPRODUCT(('Final Calculation Sheet'!$AC$4:$AC$40=$EY$14)*($PM$6:$PM$42=1))&gt;0)</f>
        <v/>
      </c>
      <c r="PO14">
        <f>$PO$13+--($PN14)</f>
        <v/>
      </c>
      <c r="PP14">
        <f>IF(ROW()-3&gt;MAX($PO$4:$PO$40),"",INDEX($EY$4:$EY$40,MATCH(ROW()-3,$PO$4:$PO$40,0)))</f>
        <v/>
      </c>
      <c r="PQ14">
        <f>IF(COUNTIF('Buyer Groups'!DG67:EI67,0)+COUNTIF('Buyer Groups'!EK67:EN67,0)&gt;0,0,1)</f>
        <v/>
      </c>
      <c r="PR14">
        <f>IF($FD$14="",FALSE,SUMPRODUCT(('Final Calculation Sheet'!$AD$4:$AD$40=$FD$14)*($PQ$6:$PQ$42=1))&gt;0)</f>
        <v/>
      </c>
      <c r="PS14">
        <f>$PS$13+--($PR14)</f>
        <v/>
      </c>
      <c r="PT14">
        <f>IF(ROW()-3&gt;MAX($PS$4:$PS$40),"",INDEX($FD$4:$FD$40,MATCH(ROW()-3,$PS$4:$PS$40,0)))</f>
        <v/>
      </c>
      <c r="PU14">
        <f>IF(COUNTIF('Buyer Groups'!DG67:EJ67,0)+COUNTIF('Buyer Groups'!EL67:EN67,0)&gt;0,0,1)</f>
        <v/>
      </c>
      <c r="PV14">
        <f>IF($FX$14="",FALSE,SUMPRODUCT((IF('Final Calculation Sheet'!$AD$4:$AD$40&lt;=5,"SETTLED","OUTSTANDING")=$FX$14)*($PU$6:$PU$42=1))&gt;0)</f>
        <v/>
      </c>
      <c r="PW14">
        <f>$PW$13+--($PV14)</f>
        <v/>
      </c>
      <c r="PX14">
        <f>IF(ROW()-3&gt;MAX($PW$4:$PW$40),"",INDEX($FX$4:$FX$40,MATCH(ROW()-3,$PW$4:$PW$40,0)))</f>
        <v/>
      </c>
      <c r="PY14">
        <f>IF(COUNTIF('Buyer Groups'!DG67:EK67,0)+COUNTIF('Buyer Groups'!EM67:EN67,0)&gt;0,0,1)</f>
        <v/>
      </c>
      <c r="PZ14">
        <f>IF($FI$14="",FALSE,SUMPRODUCT(('Final Calculation Sheet'!$AF$4:$AF$40=$FI$14)*($PY$6:$PY$42=1))&gt;0)</f>
        <v/>
      </c>
      <c r="QA14">
        <f>$QA$13+--($PZ14)</f>
        <v/>
      </c>
      <c r="QB14">
        <f>IF(ROW()-3&gt;MAX($QA$4:$QA$40),"",INDEX($FI$4:$FI$40,MATCH(ROW()-3,$QA$4:$QA$40,0)))</f>
        <v/>
      </c>
      <c r="QC14">
        <f>IF(COUNTIF('Buyer Groups'!DG67:EL67,0)+COUNTIF('Buyer Groups'!EN67:EN67,0)&gt;0,0,1)</f>
        <v/>
      </c>
      <c r="QD14">
        <f>IF($FN$14="",FALSE,SUMPRODUCT(('Final Calculation Sheet'!$AG$4:$AG$40=$FN$14)*($QC$6:$QC$42=1))&gt;0)</f>
        <v/>
      </c>
      <c r="QE14">
        <f>$QE$13+--($QD14)</f>
        <v/>
      </c>
      <c r="QF14">
        <f>IF(ROW()-3&gt;MAX($QE$4:$QE$40),"",INDEX($FN$4:$FN$40,MATCH(ROW()-3,$QE$4:$QE$40,0)))</f>
        <v/>
      </c>
      <c r="QG14">
        <f>IF(COUNTIF('Buyer Groups'!DG67:EM67,0)&gt;0,0,1)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IF(IFERROR('Final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IF(IFERROR('Final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Groups'!DH68:EN68,0)&gt;0,0,1)</f>
        <v/>
      </c>
      <c r="LF15">
        <f>IF($O$15="",FALSE,SUMPRODUCT(('Final Calculation Sheet'!$F$4:$F$40=$O$15)*($LE$6:$LE$42=1))&gt;0)</f>
        <v/>
      </c>
      <c r="LG15">
        <f>$LG$14+--($LF15)</f>
        <v/>
      </c>
      <c r="LH15">
        <f>IF(ROW()-3&gt;MAX($LG$4:$LG$40),"",INDEX($O$4:$O$40,MATCH(ROW()-3,$LG$4:$LG$40,0)))</f>
        <v/>
      </c>
      <c r="LI15">
        <f>IF(COUNTIF('Buyer Groups'!DG68:DG68,0)+COUNTIF('Buyer Groups'!DI68:EN68,0)&gt;0,0,1)</f>
        <v/>
      </c>
      <c r="LJ15">
        <f>IF($T$15="",FALSE,SUMPRODUCT(('Final Calculation Sheet'!$G$4:$G$40=$T$15)*($LI$6:$LI$42=1))&gt;0)</f>
        <v/>
      </c>
      <c r="LK15">
        <f>$LK$14+--($LJ15)</f>
        <v/>
      </c>
      <c r="LL15">
        <f>IF(ROW()-3&gt;MAX($LK$4:$LK$40),"",INDEX($T$4:$T$40,MATCH(ROW()-3,$LK$4:$LK$40,0)))</f>
        <v/>
      </c>
      <c r="LM15">
        <f>IF(COUNTIF('Buyer Groups'!DG68:DH68,0)+COUNTIF('Buyer Groups'!DJ68:EN68,0)&gt;0,0,1)</f>
        <v/>
      </c>
      <c r="LN15">
        <f>IF($Y$15="",FALSE,SUMPRODUCT(('Final Calculation Sheet'!$B$4:$B$40=$Y$15)*($LM$6:$LM$42=1))&gt;0)</f>
        <v/>
      </c>
      <c r="LO15">
        <f>$LO$14+--($LN15)</f>
        <v/>
      </c>
      <c r="LP15">
        <f>IF(ROW()-3&gt;MAX($LO$4:$LO$40),"",INDEX($Y$4:$Y$40,MATCH(ROW()-3,$LO$4:$LO$40,0)))</f>
        <v/>
      </c>
      <c r="LQ15">
        <f>IF(COUNTIF('Buyer Groups'!DG68:DI68,0)+COUNTIF('Buyer Groups'!DK68:EN68,0)&gt;0,0,1)</f>
        <v/>
      </c>
      <c r="LR15">
        <f>IF($AD$15="",FALSE,SUMPRODUCT(('Final Calculation Sheet'!$D$4:$D$40=$AD$15)*($LQ$6:$LQ$42=1))&gt;0)</f>
        <v/>
      </c>
      <c r="LS15">
        <f>$LS$14+--($LR15)</f>
        <v/>
      </c>
      <c r="LT15">
        <f>IF(ROW()-3&gt;MAX($LS$4:$LS$40),"",INDEX($AD$4:$AD$40,MATCH(ROW()-3,$LS$4:$LS$40,0)))</f>
        <v/>
      </c>
      <c r="LU15">
        <f>IF(COUNTIF('Buyer Groups'!DG68:DJ68,0)+COUNTIF('Buyer Groups'!DL68:EN68,0)&gt;0,0,1)</f>
        <v/>
      </c>
      <c r="LV15">
        <f>IF($AI$15="",FALSE,SUMPRODUCT(('Final Calculation Sheet'!$A$4:$A$40=$AI$15)*($LU$6:$LU$42=1))&gt;0)</f>
        <v/>
      </c>
      <c r="LW15">
        <f>$LW$14+--($LV15)</f>
        <v/>
      </c>
      <c r="LX15">
        <f>IF(ROW()-3&gt;MAX($LW$4:$LW$40),"",INDEX($AI$4:$AI$40,MATCH(ROW()-3,$LW$4:$LW$40,0)))</f>
        <v/>
      </c>
      <c r="LY15">
        <f>IF(COUNTIF('Buyer Groups'!DG68:DK68,0)+COUNTIF('Buyer Groups'!DM68:EN68,0)&gt;0,0,1)</f>
        <v/>
      </c>
      <c r="LZ15">
        <f>IF($AN$15="",FALSE,SUMPRODUCT(('Final Calculation Sheet'!$E$4:$E$40=$AN$15)*($LY$6:$LY$42=1))&gt;0)</f>
        <v/>
      </c>
      <c r="MA15">
        <f>$MA$14+--($LZ15)</f>
        <v/>
      </c>
      <c r="MB15">
        <f>IF(ROW()-3&gt;MAX($MA$4:$MA$40),"",INDEX($AN$4:$AN$40,MATCH(ROW()-3,$MA$4:$MA$40,0)))</f>
        <v/>
      </c>
      <c r="MC15">
        <f>IF(COUNTIF('Buyer Groups'!DG68:DL68,0)+COUNTIF('Buyer Groups'!DN68:EN68,0)&gt;0,0,1)</f>
        <v/>
      </c>
      <c r="MD15">
        <f>IF($AS$15="",FALSE,SUMPRODUCT(('Final Calculation Sheet'!$C$4:$C$40=$AS$15)*($MC$6:$MC$42=1))&gt;0)</f>
        <v/>
      </c>
      <c r="ME15">
        <f>$ME$14+--($MD15)</f>
        <v/>
      </c>
      <c r="MF15">
        <f>IF(ROW()-3&gt;MAX($ME$4:$ME$40),"",INDEX($AS$4:$AS$40,MATCH(ROW()-3,$ME$4:$ME$40,0)))</f>
        <v/>
      </c>
      <c r="MG15">
        <f>IF(COUNTIF('Buyer Groups'!DG68:DM68,0)+COUNTIF('Buyer Groups'!DO68:EN68,0)&gt;0,0,1)</f>
        <v/>
      </c>
      <c r="MH15">
        <f>IF($AX$15="",FALSE,SUMPRODUCT(('Final Calculation Sheet'!$H$4:$H$40=$AX$15)*($MG$6:$MG$42=1))&gt;0)</f>
        <v/>
      </c>
      <c r="MI15">
        <f>$MI$14+--($MH15)</f>
        <v/>
      </c>
      <c r="MJ15">
        <f>IF(ROW()-3&gt;MAX($MI$4:$MI$40),"",INDEX($AX$4:$AX$40,MATCH(ROW()-3,$MI$4:$MI$40,0)))</f>
        <v/>
      </c>
      <c r="MK15">
        <f>IF(COUNTIF('Buyer Groups'!DG68:DN68,0)+COUNTIF('Buyer Groups'!DP68:EN68,0)&gt;0,0,1)</f>
        <v/>
      </c>
      <c r="ML15">
        <f>IF($BC$15="",FALSE,SUMPRODUCT(('Final Calculation Sheet'!$I$4:$I$40=$BC$15)*($MK$6:$MK$42=1))&gt;0)</f>
        <v/>
      </c>
      <c r="MM15">
        <f>$MM$14+--($ML15)</f>
        <v/>
      </c>
      <c r="MN15">
        <f>IF(ROW()-3&gt;MAX($MM$4:$MM$40),"",INDEX($BC$4:$BC$40,MATCH(ROW()-3,$MM$4:$MM$40,0)))</f>
        <v/>
      </c>
      <c r="MO15">
        <f>IF(COUNTIF('Buyer Groups'!DG68:DO68,0)+COUNTIF('Buyer Groups'!DQ68:EN68,0)&gt;0,0,1)</f>
        <v/>
      </c>
      <c r="MP15">
        <f>IF($BH$15="",FALSE,SUMPRODUCT(('Final Calculation Sheet'!$J$4:$J$40=$BH$15)*($MO$6:$MO$42=1))&gt;0)</f>
        <v/>
      </c>
      <c r="MQ15">
        <f>$MQ$14+--($MP15)</f>
        <v/>
      </c>
      <c r="MR15">
        <f>IF(ROW()-3&gt;MAX($MQ$4:$MQ$40),"",INDEX($BH$4:$BH$40,MATCH(ROW()-3,$MQ$4:$MQ$40,0)))</f>
        <v/>
      </c>
      <c r="MS15">
        <f>IF(COUNTIF('Buyer Groups'!DG68:DP68,0)+COUNTIF('Buyer Groups'!DR68:EN68,0)&gt;0,0,1)</f>
        <v/>
      </c>
      <c r="MT15">
        <f>IF($BM$15="",FALSE,SUMPRODUCT(('Final Calculation Sheet'!$K$4:$K$40=$BM$15)*($MS$6:$MS$42=1))&gt;0)</f>
        <v/>
      </c>
      <c r="MU15">
        <f>$MU$14+--($MT15)</f>
        <v/>
      </c>
      <c r="MV15">
        <f>IF(ROW()-3&gt;MAX($MU$4:$MU$40),"",INDEX($BM$4:$BM$40,MATCH(ROW()-3,$MU$4:$MU$40,0)))</f>
        <v/>
      </c>
      <c r="MW15">
        <f>IF(COUNTIF('Buyer Groups'!DG68:DQ68,0)+COUNTIF('Buyer Groups'!DS68:EN68,0)&gt;0,0,1)</f>
        <v/>
      </c>
      <c r="MX15">
        <f>IF($BR$15="",FALSE,SUMPRODUCT(('Final Calculation Sheet'!$L$4:$L$40=$BR$15)*($MW$6:$MW$42=1))&gt;0)</f>
        <v/>
      </c>
      <c r="MY15">
        <f>$MY$14+--($MX15)</f>
        <v/>
      </c>
      <c r="MZ15">
        <f>IF(ROW()-3&gt;MAX($MY$4:$MY$40),"",INDEX($BR$4:$BR$40,MATCH(ROW()-3,$MY$4:$MY$40,0)))</f>
        <v/>
      </c>
      <c r="NA15">
        <f>IF(COUNTIF('Buyer Groups'!DG68:DR68,0)+COUNTIF('Buyer Groups'!DT68:EN68,0)&gt;0,0,1)</f>
        <v/>
      </c>
      <c r="NB15">
        <f>IF($BW$15="",FALSE,SUMPRODUCT(('Final Calculation Sheet'!$M$4:$M$40=$BW$15)*($NA$6:$NA$42=1))&gt;0)</f>
        <v/>
      </c>
      <c r="NC15">
        <f>$NC$14+--($NB15)</f>
        <v/>
      </c>
      <c r="ND15">
        <f>IF(ROW()-3&gt;MAX($NC$4:$NC$40),"",INDEX($BW$4:$BW$40,MATCH(ROW()-3,$NC$4:$NC$40,0)))</f>
        <v/>
      </c>
      <c r="NE15">
        <f>IF(COUNTIF('Buyer Groups'!DG68:DS68,0)+COUNTIF('Buyer Groups'!DU68:EN68,0)&gt;0,0,1)</f>
        <v/>
      </c>
      <c r="NF15">
        <f>IF($CB$15="",FALSE,SUMPRODUCT(('Final Calculation Sheet'!$N$4:$N$40=$CB$15)*($NE$6:$NE$42=1))&gt;0)</f>
        <v/>
      </c>
      <c r="NG15">
        <f>$NG$14+--($NF15)</f>
        <v/>
      </c>
      <c r="NH15">
        <f>IF(ROW()-3&gt;MAX($NG$4:$NG$40),"",INDEX($CB$4:$CB$40,MATCH(ROW()-3,$NG$4:$NG$40,0)))</f>
        <v/>
      </c>
      <c r="NI15">
        <f>IF(COUNTIF('Buyer Groups'!DG68:DT68,0)+COUNTIF('Buyer Groups'!DV68:EN68,0)&gt;0,0,1)</f>
        <v/>
      </c>
      <c r="NJ15">
        <f>IF($CG$15="",FALSE,SUMPRODUCT(('Final Calculation Sheet'!$O$4:$O$40=$CG$15)*($NI$6:$NI$42=1))&gt;0)</f>
        <v/>
      </c>
      <c r="NK15">
        <f>$NK$14+--($NJ15)</f>
        <v/>
      </c>
      <c r="NL15">
        <f>IF(ROW()-3&gt;MAX($NK$4:$NK$40),"",INDEX($CG$4:$CG$40,MATCH(ROW()-3,$NK$4:$NK$40,0)))</f>
        <v/>
      </c>
      <c r="NM15">
        <f>IF(COUNTIF('Buyer Groups'!DG68:DU68,0)+COUNTIF('Buyer Groups'!DW68:EN68,0)&gt;0,0,1)</f>
        <v/>
      </c>
      <c r="NN15">
        <f>IF($CL$15="",FALSE,SUMPRODUCT(('Final Calculation Sheet'!$P$4:$P$40=$CL$15)*($NM$6:$NM$42=1))&gt;0)</f>
        <v/>
      </c>
      <c r="NO15">
        <f>$NO$14+--($NN15)</f>
        <v/>
      </c>
      <c r="NP15">
        <f>IF(ROW()-3&gt;MAX($NO$4:$NO$40),"",INDEX($CL$4:$CL$40,MATCH(ROW()-3,$NO$4:$NO$40,0)))</f>
        <v/>
      </c>
      <c r="NQ15">
        <f>IF(COUNTIF('Buyer Groups'!DG68:DV68,0)+COUNTIF('Buyer Groups'!DX68:EN68,0)&gt;0,0,1)</f>
        <v/>
      </c>
      <c r="NR15">
        <f>IF($CQ$15="",FALSE,SUMPRODUCT(('Final Calculation Sheet'!$Q$4:$Q$40=$CQ$15)*($NQ$6:$NQ$42=1))&gt;0)</f>
        <v/>
      </c>
      <c r="NS15">
        <f>$NS$14+--($NR15)</f>
        <v/>
      </c>
      <c r="NT15">
        <f>IF(ROW()-3&gt;MAX($NS$4:$NS$40),"",INDEX($CQ$4:$CQ$40,MATCH(ROW()-3,$NS$4:$NS$40,0)))</f>
        <v/>
      </c>
      <c r="NU15">
        <f>IF(COUNTIF('Buyer Groups'!DG68:DW68,0)+COUNTIF('Buyer Groups'!DY68:EN68,0)&gt;0,0,1)</f>
        <v/>
      </c>
      <c r="NV15">
        <f>IF($CV$15="",FALSE,SUMPRODUCT(('Final Calculation Sheet'!$R$4:$R$40=$CV$15)*($NU$6:$NU$42=1))&gt;0)</f>
        <v/>
      </c>
      <c r="NW15">
        <f>$NW$14+--($NV15)</f>
        <v/>
      </c>
      <c r="NX15">
        <f>IF(ROW()-3&gt;MAX($NW$4:$NW$40),"",INDEX($CV$4:$CV$40,MATCH(ROW()-3,$NW$4:$NW$40,0)))</f>
        <v/>
      </c>
      <c r="NY15">
        <f>IF(COUNTIF('Buyer Groups'!DG68:DX68,0)+COUNTIF('Buyer Groups'!DZ68:EN68,0)&gt;0,0,1)</f>
        <v/>
      </c>
      <c r="NZ15">
        <f>IF($DA$15="",FALSE,SUMPRODUCT(('Final Calculation Sheet'!$S$4:$S$40=$DA$15)*($NY$6:$NY$42=1))&gt;0)</f>
        <v/>
      </c>
      <c r="OA15">
        <f>$OA$14+--($NZ15)</f>
        <v/>
      </c>
      <c r="OB15">
        <f>IF(ROW()-3&gt;MAX($OA$4:$OA$40),"",INDEX($DA$4:$DA$40,MATCH(ROW()-3,$OA$4:$OA$40,0)))</f>
        <v/>
      </c>
      <c r="OC15">
        <f>IF(COUNTIF('Buyer Groups'!DG68:DY68,0)+COUNTIF('Buyer Groups'!EA68:EN68,0)&gt;0,0,1)</f>
        <v/>
      </c>
      <c r="OD15">
        <f>IF($DF$15="",FALSE,SUMPRODUCT(('Final Calculation Sheet'!$T$4:$T$40=$DF$15)*($OC$6:$OC$42=1))&gt;0)</f>
        <v/>
      </c>
      <c r="OE15">
        <f>$OE$14+--($OD15)</f>
        <v/>
      </c>
      <c r="OF15">
        <f>IF(ROW()-3&gt;MAX($OE$4:$OE$40),"",INDEX($DF$4:$DF$40,MATCH(ROW()-3,$OE$4:$OE$40,0)))</f>
        <v/>
      </c>
      <c r="OG15">
        <f>IF(COUNTIF('Buyer Groups'!DG68:DZ68,0)+COUNTIF('Buyer Groups'!EB68:EN68,0)&gt;0,0,1)</f>
        <v/>
      </c>
      <c r="OH15">
        <f>IF($DK$15="",FALSE,SUMPRODUCT(('Final Calculation Sheet'!$U$4:$U$40=$DK$15)*($OG$6:$OG$42=1))&gt;0)</f>
        <v/>
      </c>
      <c r="OI15">
        <f>$OI$14+--($OH15)</f>
        <v/>
      </c>
      <c r="OJ15">
        <f>IF(ROW()-3&gt;MAX($OI$4:$OI$40),"",INDEX($DK$4:$DK$40,MATCH(ROW()-3,$OI$4:$OI$40,0)))</f>
        <v/>
      </c>
      <c r="OK15">
        <f>IF(COUNTIF('Buyer Groups'!DG68:EA68,0)+COUNTIF('Buyer Groups'!EC68:EN68,0)&gt;0,0,1)</f>
        <v/>
      </c>
      <c r="OL15">
        <f>IF($DP$15="",FALSE,SUMPRODUCT(('Final Calculation Sheet'!$V$4:$V$40=$DP$15)*($OK$6:$OK$42=1))&gt;0)</f>
        <v/>
      </c>
      <c r="OM15">
        <f>$OM$14+--($OL15)</f>
        <v/>
      </c>
      <c r="ON15">
        <f>IF(ROW()-3&gt;MAX($OM$4:$OM$40),"",INDEX($DP$4:$DP$40,MATCH(ROW()-3,$OM$4:$OM$40,0)))</f>
        <v/>
      </c>
      <c r="OO15">
        <f>IF(COUNTIF('Buyer Groups'!DG68:EB68,0)+COUNTIF('Buyer Groups'!ED68:EN68,0)&gt;0,0,1)</f>
        <v/>
      </c>
      <c r="OP15">
        <f>IF($DU$15="",FALSE,SUMPRODUCT(('Final Calculation Sheet'!$W$4:$W$40=$DU$15)*($OO$6:$OO$42=1))&gt;0)</f>
        <v/>
      </c>
      <c r="OQ15">
        <f>$OQ$14+--($OP15)</f>
        <v/>
      </c>
      <c r="OR15">
        <f>IF(ROW()-3&gt;MAX($OQ$4:$OQ$40),"",INDEX($DU$4:$DU$40,MATCH(ROW()-3,$OQ$4:$OQ$40,0)))</f>
        <v/>
      </c>
      <c r="OS15">
        <f>IF(COUNTIF('Buyer Groups'!DG68:EC68,0)+COUNTIF('Buyer Groups'!EE68:EN68,0)&gt;0,0,1)</f>
        <v/>
      </c>
      <c r="OT15">
        <f>IF($DZ$15="",FALSE,SUMPRODUCT(('Final Calculation Sheet'!$X$4:$X$40=$DZ$15)*($OS$6:$OS$42=1))&gt;0)</f>
        <v/>
      </c>
      <c r="OU15">
        <f>$OU$14+--($OT15)</f>
        <v/>
      </c>
      <c r="OV15">
        <f>IF(ROW()-3&gt;MAX($OU$4:$OU$40),"",INDEX($DZ$4:$DZ$40,MATCH(ROW()-3,$OU$4:$OU$40,0)))</f>
        <v/>
      </c>
      <c r="OW15">
        <f>IF(COUNTIF('Buyer Groups'!DG68:ED68,0)+COUNTIF('Buyer Groups'!EF68:EN68,0)&gt;0,0,1)</f>
        <v/>
      </c>
      <c r="OX15">
        <f>IF($EE$15="",FALSE,SUMPRODUCT(('Final Calculation Sheet'!$Y$4:$Y$40=$EE$15)*($OW$6:$OW$42=1))&gt;0)</f>
        <v/>
      </c>
      <c r="OY15">
        <f>$OY$14+--($OX15)</f>
        <v/>
      </c>
      <c r="OZ15">
        <f>IF(ROW()-3&gt;MAX($OY$4:$OY$40),"",INDEX($EE$4:$EE$40,MATCH(ROW()-3,$OY$4:$OY$40,0)))</f>
        <v/>
      </c>
      <c r="PA15">
        <f>IF(COUNTIF('Buyer Groups'!DG68:EE68,0)+COUNTIF('Buyer Groups'!EG68:EN68,0)&gt;0,0,1)</f>
        <v/>
      </c>
      <c r="PB15">
        <f>IF($EJ$15="",FALSE,SUMPRODUCT(('Final Calculation Sheet'!$Z$4:$Z$40=$EJ$15)*($PA$6:$PA$42=1))&gt;0)</f>
        <v/>
      </c>
      <c r="PC15">
        <f>$PC$14+--($PB15)</f>
        <v/>
      </c>
      <c r="PD15">
        <f>IF(ROW()-3&gt;MAX($PC$4:$PC$40),"",INDEX($EJ$4:$EJ$40,MATCH(ROW()-3,$PC$4:$PC$40,0)))</f>
        <v/>
      </c>
      <c r="PE15">
        <f>IF(COUNTIF('Buyer Groups'!DG68:EF68,0)+COUNTIF('Buyer Groups'!EH68:EN68,0)&gt;0,0,1)</f>
        <v/>
      </c>
      <c r="PF15">
        <f>IF($EO$15="",FALSE,SUMPRODUCT(('Final Calculation Sheet'!$AA$4:$AA$40=$EO$15)*($PE$6:$PE$42=1))&gt;0)</f>
        <v/>
      </c>
      <c r="PG15">
        <f>$PG$14+--($PF15)</f>
        <v/>
      </c>
      <c r="PH15">
        <f>IF(ROW()-3&gt;MAX($PG$4:$PG$40),"",INDEX($EO$4:$EO$40,MATCH(ROW()-3,$PG$4:$PG$40,0)))</f>
        <v/>
      </c>
      <c r="PI15">
        <f>IF(COUNTIF('Buyer Groups'!DG68:EG68,0)+COUNTIF('Buyer Groups'!EI68:EN68,0)&gt;0,0,1)</f>
        <v/>
      </c>
      <c r="PJ15">
        <f>IF($ET$15="",FALSE,SUMPRODUCT(('Final Calculation Sheet'!$AB$4:$AB$40=$ET$15)*($PI$6:$PI$42=1))&gt;0)</f>
        <v/>
      </c>
      <c r="PK15">
        <f>$PK$14+--($PJ15)</f>
        <v/>
      </c>
      <c r="PL15">
        <f>IF(ROW()-3&gt;MAX($PK$4:$PK$40),"",INDEX($ET$4:$ET$40,MATCH(ROW()-3,$PK$4:$PK$40,0)))</f>
        <v/>
      </c>
      <c r="PM15">
        <f>IF(COUNTIF('Buyer Groups'!DG68:EH68,0)+COUNTIF('Buyer Groups'!EJ68:EN68,0)&gt;0,0,1)</f>
        <v/>
      </c>
      <c r="PN15">
        <f>IF($EY$15="",FALSE,SUMPRODUCT(('Final Calculation Sheet'!$AC$4:$AC$40=$EY$15)*($PM$6:$PM$42=1))&gt;0)</f>
        <v/>
      </c>
      <c r="PO15">
        <f>$PO$14+--($PN15)</f>
        <v/>
      </c>
      <c r="PP15">
        <f>IF(ROW()-3&gt;MAX($PO$4:$PO$40),"",INDEX($EY$4:$EY$40,MATCH(ROW()-3,$PO$4:$PO$40,0)))</f>
        <v/>
      </c>
      <c r="PQ15">
        <f>IF(COUNTIF('Buyer Groups'!DG68:EI68,0)+COUNTIF('Buyer Groups'!EK68:EN68,0)&gt;0,0,1)</f>
        <v/>
      </c>
      <c r="PR15">
        <f>IF($FD$15="",FALSE,SUMPRODUCT(('Final Calculation Sheet'!$AD$4:$AD$40=$FD$15)*($PQ$6:$PQ$42=1))&gt;0)</f>
        <v/>
      </c>
      <c r="PS15">
        <f>$PS$14+--($PR15)</f>
        <v/>
      </c>
      <c r="PT15">
        <f>IF(ROW()-3&gt;MAX($PS$4:$PS$40),"",INDEX($FD$4:$FD$40,MATCH(ROW()-3,$PS$4:$PS$40,0)))</f>
        <v/>
      </c>
      <c r="PU15">
        <f>IF(COUNTIF('Buyer Groups'!DG68:EJ68,0)+COUNTIF('Buyer Groups'!EL68:EN68,0)&gt;0,0,1)</f>
        <v/>
      </c>
      <c r="PV15">
        <f>IF($FX$15="",FALSE,SUMPRODUCT((IF('Final Calculation Sheet'!$AD$4:$AD$40&lt;=5,"SETTLED","OUTSTANDING")=$FX$15)*($PU$6:$PU$42=1))&gt;0)</f>
        <v/>
      </c>
      <c r="PW15">
        <f>$PW$14+--($PV15)</f>
        <v/>
      </c>
      <c r="PX15">
        <f>IF(ROW()-3&gt;MAX($PW$4:$PW$40),"",INDEX($FX$4:$FX$40,MATCH(ROW()-3,$PW$4:$PW$40,0)))</f>
        <v/>
      </c>
      <c r="PY15">
        <f>IF(COUNTIF('Buyer Groups'!DG68:EK68,0)+COUNTIF('Buyer Groups'!EM68:EN68,0)&gt;0,0,1)</f>
        <v/>
      </c>
      <c r="PZ15">
        <f>IF($FI$15="",FALSE,SUMPRODUCT(('Final Calculation Sheet'!$AF$4:$AF$40=$FI$15)*($PY$6:$PY$42=1))&gt;0)</f>
        <v/>
      </c>
      <c r="QA15">
        <f>$QA$14+--($PZ15)</f>
        <v/>
      </c>
      <c r="QB15">
        <f>IF(ROW()-3&gt;MAX($QA$4:$QA$40),"",INDEX($FI$4:$FI$40,MATCH(ROW()-3,$QA$4:$QA$40,0)))</f>
        <v/>
      </c>
      <c r="QC15">
        <f>IF(COUNTIF('Buyer Groups'!DG68:EL68,0)+COUNTIF('Buyer Groups'!EN68:EN68,0)&gt;0,0,1)</f>
        <v/>
      </c>
      <c r="QD15">
        <f>IF($FN$15="",FALSE,SUMPRODUCT(('Final Calculation Sheet'!$AG$4:$AG$40=$FN$15)*($QC$6:$QC$42=1))&gt;0)</f>
        <v/>
      </c>
      <c r="QE15">
        <f>$QE$14+--($QD15)</f>
        <v/>
      </c>
      <c r="QF15">
        <f>IF(ROW()-3&gt;MAX($QE$4:$QE$40),"",INDEX($FN$4:$FN$40,MATCH(ROW()-3,$QE$4:$QE$40,0)))</f>
        <v/>
      </c>
      <c r="QG15">
        <f>IF(COUNTIF('Buyer Groups'!DG68:EM68,0)&gt;0,0,1)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IF(IFERROR('Final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IF(IFERROR('Final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Groups'!DH69:EN69,0)&gt;0,0,1)</f>
        <v/>
      </c>
      <c r="LF16">
        <f>IF($O$16="",FALSE,SUMPRODUCT(('Final Calculation Sheet'!$F$4:$F$40=$O$16)*($LE$6:$LE$42=1))&gt;0)</f>
        <v/>
      </c>
      <c r="LG16">
        <f>$LG$15+--($LF16)</f>
        <v/>
      </c>
      <c r="LH16">
        <f>IF(ROW()-3&gt;MAX($LG$4:$LG$40),"",INDEX($O$4:$O$40,MATCH(ROW()-3,$LG$4:$LG$40,0)))</f>
        <v/>
      </c>
      <c r="LI16">
        <f>IF(COUNTIF('Buyer Groups'!DG69:DG69,0)+COUNTIF('Buyer Groups'!DI69:EN69,0)&gt;0,0,1)</f>
        <v/>
      </c>
      <c r="LJ16">
        <f>IF($T$16="",FALSE,SUMPRODUCT(('Final Calculation Sheet'!$G$4:$G$40=$T$16)*($LI$6:$LI$42=1))&gt;0)</f>
        <v/>
      </c>
      <c r="LK16">
        <f>$LK$15+--($LJ16)</f>
        <v/>
      </c>
      <c r="LL16">
        <f>IF(ROW()-3&gt;MAX($LK$4:$LK$40),"",INDEX($T$4:$T$40,MATCH(ROW()-3,$LK$4:$LK$40,0)))</f>
        <v/>
      </c>
      <c r="LM16">
        <f>IF(COUNTIF('Buyer Groups'!DG69:DH69,0)+COUNTIF('Buyer Groups'!DJ69:EN69,0)&gt;0,0,1)</f>
        <v/>
      </c>
      <c r="LN16">
        <f>IF($Y$16="",FALSE,SUMPRODUCT(('Final Calculation Sheet'!$B$4:$B$40=$Y$16)*($LM$6:$LM$42=1))&gt;0)</f>
        <v/>
      </c>
      <c r="LO16">
        <f>$LO$15+--($LN16)</f>
        <v/>
      </c>
      <c r="LP16">
        <f>IF(ROW()-3&gt;MAX($LO$4:$LO$40),"",INDEX($Y$4:$Y$40,MATCH(ROW()-3,$LO$4:$LO$40,0)))</f>
        <v/>
      </c>
      <c r="LQ16">
        <f>IF(COUNTIF('Buyer Groups'!DG69:DI69,0)+COUNTIF('Buyer Groups'!DK69:EN69,0)&gt;0,0,1)</f>
        <v/>
      </c>
      <c r="LR16">
        <f>IF($AD$16="",FALSE,SUMPRODUCT(('Final Calculation Sheet'!$D$4:$D$40=$AD$16)*($LQ$6:$LQ$42=1))&gt;0)</f>
        <v/>
      </c>
      <c r="LS16">
        <f>$LS$15+--($LR16)</f>
        <v/>
      </c>
      <c r="LT16">
        <f>IF(ROW()-3&gt;MAX($LS$4:$LS$40),"",INDEX($AD$4:$AD$40,MATCH(ROW()-3,$LS$4:$LS$40,0)))</f>
        <v/>
      </c>
      <c r="LU16">
        <f>IF(COUNTIF('Buyer Groups'!DG69:DJ69,0)+COUNTIF('Buyer Groups'!DL69:EN69,0)&gt;0,0,1)</f>
        <v/>
      </c>
      <c r="LV16">
        <f>IF($AI$16="",FALSE,SUMPRODUCT(('Final Calculation Sheet'!$A$4:$A$40=$AI$16)*($LU$6:$LU$42=1))&gt;0)</f>
        <v/>
      </c>
      <c r="LW16">
        <f>$LW$15+--($LV16)</f>
        <v/>
      </c>
      <c r="LX16">
        <f>IF(ROW()-3&gt;MAX($LW$4:$LW$40),"",INDEX($AI$4:$AI$40,MATCH(ROW()-3,$LW$4:$LW$40,0)))</f>
        <v/>
      </c>
      <c r="LY16">
        <f>IF(COUNTIF('Buyer Groups'!DG69:DK69,0)+COUNTIF('Buyer Groups'!DM69:EN69,0)&gt;0,0,1)</f>
        <v/>
      </c>
      <c r="LZ16">
        <f>IF($AN$16="",FALSE,SUMPRODUCT(('Final Calculation Sheet'!$E$4:$E$40=$AN$16)*($LY$6:$LY$42=1))&gt;0)</f>
        <v/>
      </c>
      <c r="MA16">
        <f>$MA$15+--($LZ16)</f>
        <v/>
      </c>
      <c r="MB16">
        <f>IF(ROW()-3&gt;MAX($MA$4:$MA$40),"",INDEX($AN$4:$AN$40,MATCH(ROW()-3,$MA$4:$MA$40,0)))</f>
        <v/>
      </c>
      <c r="MC16">
        <f>IF(COUNTIF('Buyer Groups'!DG69:DL69,0)+COUNTIF('Buyer Groups'!DN69:EN69,0)&gt;0,0,1)</f>
        <v/>
      </c>
      <c r="MD16">
        <f>IF($AS$16="",FALSE,SUMPRODUCT(('Final Calculation Sheet'!$C$4:$C$40=$AS$16)*($MC$6:$MC$42=1))&gt;0)</f>
        <v/>
      </c>
      <c r="ME16">
        <f>$ME$15+--($MD16)</f>
        <v/>
      </c>
      <c r="MF16">
        <f>IF(ROW()-3&gt;MAX($ME$4:$ME$40),"",INDEX($AS$4:$AS$40,MATCH(ROW()-3,$ME$4:$ME$40,0)))</f>
        <v/>
      </c>
      <c r="MG16">
        <f>IF(COUNTIF('Buyer Groups'!DG69:DM69,0)+COUNTIF('Buyer Groups'!DO69:EN69,0)&gt;0,0,1)</f>
        <v/>
      </c>
      <c r="MH16">
        <f>IF($AX$16="",FALSE,SUMPRODUCT(('Final Calculation Sheet'!$H$4:$H$40=$AX$16)*($MG$6:$MG$42=1))&gt;0)</f>
        <v/>
      </c>
      <c r="MI16">
        <f>$MI$15+--($MH16)</f>
        <v/>
      </c>
      <c r="MJ16">
        <f>IF(ROW()-3&gt;MAX($MI$4:$MI$40),"",INDEX($AX$4:$AX$40,MATCH(ROW()-3,$MI$4:$MI$40,0)))</f>
        <v/>
      </c>
      <c r="MK16">
        <f>IF(COUNTIF('Buyer Groups'!DG69:DN69,0)+COUNTIF('Buyer Groups'!DP69:EN69,0)&gt;0,0,1)</f>
        <v/>
      </c>
      <c r="ML16">
        <f>IF($BC$16="",FALSE,SUMPRODUCT(('Final Calculation Sheet'!$I$4:$I$40=$BC$16)*($MK$6:$MK$42=1))&gt;0)</f>
        <v/>
      </c>
      <c r="MM16">
        <f>$MM$15+--($ML16)</f>
        <v/>
      </c>
      <c r="MN16">
        <f>IF(ROW()-3&gt;MAX($MM$4:$MM$40),"",INDEX($BC$4:$BC$40,MATCH(ROW()-3,$MM$4:$MM$40,0)))</f>
        <v/>
      </c>
      <c r="MO16">
        <f>IF(COUNTIF('Buyer Groups'!DG69:DO69,0)+COUNTIF('Buyer Groups'!DQ69:EN69,0)&gt;0,0,1)</f>
        <v/>
      </c>
      <c r="MP16">
        <f>IF($BH$16="",FALSE,SUMPRODUCT(('Final Calculation Sheet'!$J$4:$J$40=$BH$16)*($MO$6:$MO$42=1))&gt;0)</f>
        <v/>
      </c>
      <c r="MQ16">
        <f>$MQ$15+--($MP16)</f>
        <v/>
      </c>
      <c r="MR16">
        <f>IF(ROW()-3&gt;MAX($MQ$4:$MQ$40),"",INDEX($BH$4:$BH$40,MATCH(ROW()-3,$MQ$4:$MQ$40,0)))</f>
        <v/>
      </c>
      <c r="MS16">
        <f>IF(COUNTIF('Buyer Groups'!DG69:DP69,0)+COUNTIF('Buyer Groups'!DR69:EN69,0)&gt;0,0,1)</f>
        <v/>
      </c>
      <c r="MT16">
        <f>IF($BM$16="",FALSE,SUMPRODUCT(('Final Calculation Sheet'!$K$4:$K$40=$BM$16)*($MS$6:$MS$42=1))&gt;0)</f>
        <v/>
      </c>
      <c r="MU16">
        <f>$MU$15+--($MT16)</f>
        <v/>
      </c>
      <c r="MV16">
        <f>IF(ROW()-3&gt;MAX($MU$4:$MU$40),"",INDEX($BM$4:$BM$40,MATCH(ROW()-3,$MU$4:$MU$40,0)))</f>
        <v/>
      </c>
      <c r="MW16">
        <f>IF(COUNTIF('Buyer Groups'!DG69:DQ69,0)+COUNTIF('Buyer Groups'!DS69:EN69,0)&gt;0,0,1)</f>
        <v/>
      </c>
      <c r="MX16">
        <f>IF($BR$16="",FALSE,SUMPRODUCT(('Final Calculation Sheet'!$L$4:$L$40=$BR$16)*($MW$6:$MW$42=1))&gt;0)</f>
        <v/>
      </c>
      <c r="MY16">
        <f>$MY$15+--($MX16)</f>
        <v/>
      </c>
      <c r="MZ16">
        <f>IF(ROW()-3&gt;MAX($MY$4:$MY$40),"",INDEX($BR$4:$BR$40,MATCH(ROW()-3,$MY$4:$MY$40,0)))</f>
        <v/>
      </c>
      <c r="NA16">
        <f>IF(COUNTIF('Buyer Groups'!DG69:DR69,0)+COUNTIF('Buyer Groups'!DT69:EN69,0)&gt;0,0,1)</f>
        <v/>
      </c>
      <c r="NB16">
        <f>IF($BW$16="",FALSE,SUMPRODUCT(('Final Calculation Sheet'!$M$4:$M$40=$BW$16)*($NA$6:$NA$42=1))&gt;0)</f>
        <v/>
      </c>
      <c r="NC16">
        <f>$NC$15+--($NB16)</f>
        <v/>
      </c>
      <c r="ND16">
        <f>IF(ROW()-3&gt;MAX($NC$4:$NC$40),"",INDEX($BW$4:$BW$40,MATCH(ROW()-3,$NC$4:$NC$40,0)))</f>
        <v/>
      </c>
      <c r="NE16">
        <f>IF(COUNTIF('Buyer Groups'!DG69:DS69,0)+COUNTIF('Buyer Groups'!DU69:EN69,0)&gt;0,0,1)</f>
        <v/>
      </c>
      <c r="NF16">
        <f>IF($CB$16="",FALSE,SUMPRODUCT(('Final Calculation Sheet'!$N$4:$N$40=$CB$16)*($NE$6:$NE$42=1))&gt;0)</f>
        <v/>
      </c>
      <c r="NG16">
        <f>$NG$15+--($NF16)</f>
        <v/>
      </c>
      <c r="NH16">
        <f>IF(ROW()-3&gt;MAX($NG$4:$NG$40),"",INDEX($CB$4:$CB$40,MATCH(ROW()-3,$NG$4:$NG$40,0)))</f>
        <v/>
      </c>
      <c r="NI16">
        <f>IF(COUNTIF('Buyer Groups'!DG69:DT69,0)+COUNTIF('Buyer Groups'!DV69:EN69,0)&gt;0,0,1)</f>
        <v/>
      </c>
      <c r="NJ16">
        <f>IF($CG$16="",FALSE,SUMPRODUCT(('Final Calculation Sheet'!$O$4:$O$40=$CG$16)*($NI$6:$NI$42=1))&gt;0)</f>
        <v/>
      </c>
      <c r="NK16">
        <f>$NK$15+--($NJ16)</f>
        <v/>
      </c>
      <c r="NL16">
        <f>IF(ROW()-3&gt;MAX($NK$4:$NK$40),"",INDEX($CG$4:$CG$40,MATCH(ROW()-3,$NK$4:$NK$40,0)))</f>
        <v/>
      </c>
      <c r="NM16">
        <f>IF(COUNTIF('Buyer Groups'!DG69:DU69,0)+COUNTIF('Buyer Groups'!DW69:EN69,0)&gt;0,0,1)</f>
        <v/>
      </c>
      <c r="NN16">
        <f>IF($CL$16="",FALSE,SUMPRODUCT(('Final Calculation Sheet'!$P$4:$P$40=$CL$16)*($NM$6:$NM$42=1))&gt;0)</f>
        <v/>
      </c>
      <c r="NO16">
        <f>$NO$15+--($NN16)</f>
        <v/>
      </c>
      <c r="NP16">
        <f>IF(ROW()-3&gt;MAX($NO$4:$NO$40),"",INDEX($CL$4:$CL$40,MATCH(ROW()-3,$NO$4:$NO$40,0)))</f>
        <v/>
      </c>
      <c r="NQ16">
        <f>IF(COUNTIF('Buyer Groups'!DG69:DV69,0)+COUNTIF('Buyer Groups'!DX69:EN69,0)&gt;0,0,1)</f>
        <v/>
      </c>
      <c r="NR16">
        <f>IF($CQ$16="",FALSE,SUMPRODUCT(('Final Calculation Sheet'!$Q$4:$Q$40=$CQ$16)*($NQ$6:$NQ$42=1))&gt;0)</f>
        <v/>
      </c>
      <c r="NS16">
        <f>$NS$15+--($NR16)</f>
        <v/>
      </c>
      <c r="NT16">
        <f>IF(ROW()-3&gt;MAX($NS$4:$NS$40),"",INDEX($CQ$4:$CQ$40,MATCH(ROW()-3,$NS$4:$NS$40,0)))</f>
        <v/>
      </c>
      <c r="NU16">
        <f>IF(COUNTIF('Buyer Groups'!DG69:DW69,0)+COUNTIF('Buyer Groups'!DY69:EN69,0)&gt;0,0,1)</f>
        <v/>
      </c>
      <c r="NV16">
        <f>IF($CV$16="",FALSE,SUMPRODUCT(('Final Calculation Sheet'!$R$4:$R$40=$CV$16)*($NU$6:$NU$42=1))&gt;0)</f>
        <v/>
      </c>
      <c r="NW16">
        <f>$NW$15+--($NV16)</f>
        <v/>
      </c>
      <c r="NX16">
        <f>IF(ROW()-3&gt;MAX($NW$4:$NW$40),"",INDEX($CV$4:$CV$40,MATCH(ROW()-3,$NW$4:$NW$40,0)))</f>
        <v/>
      </c>
      <c r="NY16">
        <f>IF(COUNTIF('Buyer Groups'!DG69:DX69,0)+COUNTIF('Buyer Groups'!DZ69:EN69,0)&gt;0,0,1)</f>
        <v/>
      </c>
      <c r="NZ16">
        <f>IF($DA$16="",FALSE,SUMPRODUCT(('Final Calculation Sheet'!$S$4:$S$40=$DA$16)*($NY$6:$NY$42=1))&gt;0)</f>
        <v/>
      </c>
      <c r="OA16">
        <f>$OA$15+--($NZ16)</f>
        <v/>
      </c>
      <c r="OB16">
        <f>IF(ROW()-3&gt;MAX($OA$4:$OA$40),"",INDEX($DA$4:$DA$40,MATCH(ROW()-3,$OA$4:$OA$40,0)))</f>
        <v/>
      </c>
      <c r="OC16">
        <f>IF(COUNTIF('Buyer Groups'!DG69:DY69,0)+COUNTIF('Buyer Groups'!EA69:EN69,0)&gt;0,0,1)</f>
        <v/>
      </c>
      <c r="OD16">
        <f>IF($DF$16="",FALSE,SUMPRODUCT(('Final Calculation Sheet'!$T$4:$T$40=$DF$16)*($OC$6:$OC$42=1))&gt;0)</f>
        <v/>
      </c>
      <c r="OE16">
        <f>$OE$15+--($OD16)</f>
        <v/>
      </c>
      <c r="OF16">
        <f>IF(ROW()-3&gt;MAX($OE$4:$OE$40),"",INDEX($DF$4:$DF$40,MATCH(ROW()-3,$OE$4:$OE$40,0)))</f>
        <v/>
      </c>
      <c r="OG16">
        <f>IF(COUNTIF('Buyer Groups'!DG69:DZ69,0)+COUNTIF('Buyer Groups'!EB69:EN69,0)&gt;0,0,1)</f>
        <v/>
      </c>
      <c r="OH16">
        <f>IF($DK$16="",FALSE,SUMPRODUCT(('Final Calculation Sheet'!$U$4:$U$40=$DK$16)*($OG$6:$OG$42=1))&gt;0)</f>
        <v/>
      </c>
      <c r="OI16">
        <f>$OI$15+--($OH16)</f>
        <v/>
      </c>
      <c r="OJ16">
        <f>IF(ROW()-3&gt;MAX($OI$4:$OI$40),"",INDEX($DK$4:$DK$40,MATCH(ROW()-3,$OI$4:$OI$40,0)))</f>
        <v/>
      </c>
      <c r="OK16">
        <f>IF(COUNTIF('Buyer Groups'!DG69:EA69,0)+COUNTIF('Buyer Groups'!EC69:EN69,0)&gt;0,0,1)</f>
        <v/>
      </c>
      <c r="OL16">
        <f>IF($DP$16="",FALSE,SUMPRODUCT(('Final Calculation Sheet'!$V$4:$V$40=$DP$16)*($OK$6:$OK$42=1))&gt;0)</f>
        <v/>
      </c>
      <c r="OM16">
        <f>$OM$15+--($OL16)</f>
        <v/>
      </c>
      <c r="ON16">
        <f>IF(ROW()-3&gt;MAX($OM$4:$OM$40),"",INDEX($DP$4:$DP$40,MATCH(ROW()-3,$OM$4:$OM$40,0)))</f>
        <v/>
      </c>
      <c r="OO16">
        <f>IF(COUNTIF('Buyer Groups'!DG69:EB69,0)+COUNTIF('Buyer Groups'!ED69:EN69,0)&gt;0,0,1)</f>
        <v/>
      </c>
      <c r="OP16">
        <f>IF($DU$16="",FALSE,SUMPRODUCT(('Final Calculation Sheet'!$W$4:$W$40=$DU$16)*($OO$6:$OO$42=1))&gt;0)</f>
        <v/>
      </c>
      <c r="OQ16">
        <f>$OQ$15+--($OP16)</f>
        <v/>
      </c>
      <c r="OR16">
        <f>IF(ROW()-3&gt;MAX($OQ$4:$OQ$40),"",INDEX($DU$4:$DU$40,MATCH(ROW()-3,$OQ$4:$OQ$40,0)))</f>
        <v/>
      </c>
      <c r="OS16">
        <f>IF(COUNTIF('Buyer Groups'!DG69:EC69,0)+COUNTIF('Buyer Groups'!EE69:EN69,0)&gt;0,0,1)</f>
        <v/>
      </c>
      <c r="OT16">
        <f>IF($DZ$16="",FALSE,SUMPRODUCT(('Final Calculation Sheet'!$X$4:$X$40=$DZ$16)*($OS$6:$OS$42=1))&gt;0)</f>
        <v/>
      </c>
      <c r="OU16">
        <f>$OU$15+--($OT16)</f>
        <v/>
      </c>
      <c r="OV16">
        <f>IF(ROW()-3&gt;MAX($OU$4:$OU$40),"",INDEX($DZ$4:$DZ$40,MATCH(ROW()-3,$OU$4:$OU$40,0)))</f>
        <v/>
      </c>
      <c r="OW16">
        <f>IF(COUNTIF('Buyer Groups'!DG69:ED69,0)+COUNTIF('Buyer Groups'!EF69:EN69,0)&gt;0,0,1)</f>
        <v/>
      </c>
      <c r="OX16">
        <f>IF($EE$16="",FALSE,SUMPRODUCT(('Final Calculation Sheet'!$Y$4:$Y$40=$EE$16)*($OW$6:$OW$42=1))&gt;0)</f>
        <v/>
      </c>
      <c r="OY16">
        <f>$OY$15+--($OX16)</f>
        <v/>
      </c>
      <c r="OZ16">
        <f>IF(ROW()-3&gt;MAX($OY$4:$OY$40),"",INDEX($EE$4:$EE$40,MATCH(ROW()-3,$OY$4:$OY$40,0)))</f>
        <v/>
      </c>
      <c r="PA16">
        <f>IF(COUNTIF('Buyer Groups'!DG69:EE69,0)+COUNTIF('Buyer Groups'!EG69:EN69,0)&gt;0,0,1)</f>
        <v/>
      </c>
      <c r="PB16">
        <f>IF($EJ$16="",FALSE,SUMPRODUCT(('Final Calculation Sheet'!$Z$4:$Z$40=$EJ$16)*($PA$6:$PA$42=1))&gt;0)</f>
        <v/>
      </c>
      <c r="PC16">
        <f>$PC$15+--($PB16)</f>
        <v/>
      </c>
      <c r="PD16">
        <f>IF(ROW()-3&gt;MAX($PC$4:$PC$40),"",INDEX($EJ$4:$EJ$40,MATCH(ROW()-3,$PC$4:$PC$40,0)))</f>
        <v/>
      </c>
      <c r="PE16">
        <f>IF(COUNTIF('Buyer Groups'!DG69:EF69,0)+COUNTIF('Buyer Groups'!EH69:EN69,0)&gt;0,0,1)</f>
        <v/>
      </c>
      <c r="PF16">
        <f>IF($EO$16="",FALSE,SUMPRODUCT(('Final Calculation Sheet'!$AA$4:$AA$40=$EO$16)*($PE$6:$PE$42=1))&gt;0)</f>
        <v/>
      </c>
      <c r="PG16">
        <f>$PG$15+--($PF16)</f>
        <v/>
      </c>
      <c r="PH16">
        <f>IF(ROW()-3&gt;MAX($PG$4:$PG$40),"",INDEX($EO$4:$EO$40,MATCH(ROW()-3,$PG$4:$PG$40,0)))</f>
        <v/>
      </c>
      <c r="PI16">
        <f>IF(COUNTIF('Buyer Groups'!DG69:EG69,0)+COUNTIF('Buyer Groups'!EI69:EN69,0)&gt;0,0,1)</f>
        <v/>
      </c>
      <c r="PJ16">
        <f>IF($ET$16="",FALSE,SUMPRODUCT(('Final Calculation Sheet'!$AB$4:$AB$40=$ET$16)*($PI$6:$PI$42=1))&gt;0)</f>
        <v/>
      </c>
      <c r="PK16">
        <f>$PK$15+--($PJ16)</f>
        <v/>
      </c>
      <c r="PL16">
        <f>IF(ROW()-3&gt;MAX($PK$4:$PK$40),"",INDEX($ET$4:$ET$40,MATCH(ROW()-3,$PK$4:$PK$40,0)))</f>
        <v/>
      </c>
      <c r="PM16">
        <f>IF(COUNTIF('Buyer Groups'!DG69:EH69,0)+COUNTIF('Buyer Groups'!EJ69:EN69,0)&gt;0,0,1)</f>
        <v/>
      </c>
      <c r="PN16">
        <f>IF($EY$16="",FALSE,SUMPRODUCT(('Final Calculation Sheet'!$AC$4:$AC$40=$EY$16)*($PM$6:$PM$42=1))&gt;0)</f>
        <v/>
      </c>
      <c r="PO16">
        <f>$PO$15+--($PN16)</f>
        <v/>
      </c>
      <c r="PP16">
        <f>IF(ROW()-3&gt;MAX($PO$4:$PO$40),"",INDEX($EY$4:$EY$40,MATCH(ROW()-3,$PO$4:$PO$40,0)))</f>
        <v/>
      </c>
      <c r="PQ16">
        <f>IF(COUNTIF('Buyer Groups'!DG69:EI69,0)+COUNTIF('Buyer Groups'!EK69:EN69,0)&gt;0,0,1)</f>
        <v/>
      </c>
      <c r="PR16">
        <f>IF($FD$16="",FALSE,SUMPRODUCT(('Final Calculation Sheet'!$AD$4:$AD$40=$FD$16)*($PQ$6:$PQ$42=1))&gt;0)</f>
        <v/>
      </c>
      <c r="PS16">
        <f>$PS$15+--($PR16)</f>
        <v/>
      </c>
      <c r="PT16">
        <f>IF(ROW()-3&gt;MAX($PS$4:$PS$40),"",INDEX($FD$4:$FD$40,MATCH(ROW()-3,$PS$4:$PS$40,0)))</f>
        <v/>
      </c>
      <c r="PU16">
        <f>IF(COUNTIF('Buyer Groups'!DG69:EJ69,0)+COUNTIF('Buyer Groups'!EL69:EN69,0)&gt;0,0,1)</f>
        <v/>
      </c>
      <c r="PV16">
        <f>IF($FX$16="",FALSE,SUMPRODUCT((IF('Final Calculation Sheet'!$AD$4:$AD$40&lt;=5,"SETTLED","OUTSTANDING")=$FX$16)*($PU$6:$PU$42=1))&gt;0)</f>
        <v/>
      </c>
      <c r="PW16">
        <f>$PW$15+--($PV16)</f>
        <v/>
      </c>
      <c r="PX16">
        <f>IF(ROW()-3&gt;MAX($PW$4:$PW$40),"",INDEX($FX$4:$FX$40,MATCH(ROW()-3,$PW$4:$PW$40,0)))</f>
        <v/>
      </c>
      <c r="PY16">
        <f>IF(COUNTIF('Buyer Groups'!DG69:EK69,0)+COUNTIF('Buyer Groups'!EM69:EN69,0)&gt;0,0,1)</f>
        <v/>
      </c>
      <c r="PZ16">
        <f>IF($FI$16="",FALSE,SUMPRODUCT(('Final Calculation Sheet'!$AF$4:$AF$40=$FI$16)*($PY$6:$PY$42=1))&gt;0)</f>
        <v/>
      </c>
      <c r="QA16">
        <f>$QA$15+--($PZ16)</f>
        <v/>
      </c>
      <c r="QB16">
        <f>IF(ROW()-3&gt;MAX($QA$4:$QA$40),"",INDEX($FI$4:$FI$40,MATCH(ROW()-3,$QA$4:$QA$40,0)))</f>
        <v/>
      </c>
      <c r="QC16">
        <f>IF(COUNTIF('Buyer Groups'!DG69:EL69,0)+COUNTIF('Buyer Groups'!EN69:EN69,0)&gt;0,0,1)</f>
        <v/>
      </c>
      <c r="QD16">
        <f>IF($FN$16="",FALSE,SUMPRODUCT(('Final Calculation Sheet'!$AG$4:$AG$40=$FN$16)*($QC$6:$QC$42=1))&gt;0)</f>
        <v/>
      </c>
      <c r="QE16">
        <f>$QE$15+--($QD16)</f>
        <v/>
      </c>
      <c r="QF16">
        <f>IF(ROW()-3&gt;MAX($QE$4:$QE$40),"",INDEX($FN$4:$FN$40,MATCH(ROW()-3,$QE$4:$QE$40,0)))</f>
        <v/>
      </c>
      <c r="QG16">
        <f>IF(COUNTIF('Buyer Groups'!DG69:EM69,0)&gt;0,0,1)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IF(IFERROR('Final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IF(IFERROR('Final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Groups'!DH70:EN70,0)&gt;0,0,1)</f>
        <v/>
      </c>
      <c r="LF17">
        <f>IF($O$17="",FALSE,SUMPRODUCT(('Final Calculation Sheet'!$F$4:$F$40=$O$17)*($LE$6:$LE$42=1))&gt;0)</f>
        <v/>
      </c>
      <c r="LG17">
        <f>$LG$16+--($LF17)</f>
        <v/>
      </c>
      <c r="LH17">
        <f>IF(ROW()-3&gt;MAX($LG$4:$LG$40),"",INDEX($O$4:$O$40,MATCH(ROW()-3,$LG$4:$LG$40,0)))</f>
        <v/>
      </c>
      <c r="LI17">
        <f>IF(COUNTIF('Buyer Groups'!DG70:DG70,0)+COUNTIF('Buyer Groups'!DI70:EN70,0)&gt;0,0,1)</f>
        <v/>
      </c>
      <c r="LJ17">
        <f>IF($T$17="",FALSE,SUMPRODUCT(('Final Calculation Sheet'!$G$4:$G$40=$T$17)*($LI$6:$LI$42=1))&gt;0)</f>
        <v/>
      </c>
      <c r="LK17">
        <f>$LK$16+--($LJ17)</f>
        <v/>
      </c>
      <c r="LL17">
        <f>IF(ROW()-3&gt;MAX($LK$4:$LK$40),"",INDEX($T$4:$T$40,MATCH(ROW()-3,$LK$4:$LK$40,0)))</f>
        <v/>
      </c>
      <c r="LM17">
        <f>IF(COUNTIF('Buyer Groups'!DG70:DH70,0)+COUNTIF('Buyer Groups'!DJ70:EN70,0)&gt;0,0,1)</f>
        <v/>
      </c>
      <c r="LN17">
        <f>IF($Y$17="",FALSE,SUMPRODUCT(('Final Calculation Sheet'!$B$4:$B$40=$Y$17)*($LM$6:$LM$42=1))&gt;0)</f>
        <v/>
      </c>
      <c r="LO17">
        <f>$LO$16+--($LN17)</f>
        <v/>
      </c>
      <c r="LP17">
        <f>IF(ROW()-3&gt;MAX($LO$4:$LO$40),"",INDEX($Y$4:$Y$40,MATCH(ROW()-3,$LO$4:$LO$40,0)))</f>
        <v/>
      </c>
      <c r="LQ17">
        <f>IF(COUNTIF('Buyer Groups'!DG70:DI70,0)+COUNTIF('Buyer Groups'!DK70:EN70,0)&gt;0,0,1)</f>
        <v/>
      </c>
      <c r="LR17">
        <f>IF($AD$17="",FALSE,SUMPRODUCT(('Final Calculation Sheet'!$D$4:$D$40=$AD$17)*($LQ$6:$LQ$42=1))&gt;0)</f>
        <v/>
      </c>
      <c r="LS17">
        <f>$LS$16+--($LR17)</f>
        <v/>
      </c>
      <c r="LT17">
        <f>IF(ROW()-3&gt;MAX($LS$4:$LS$40),"",INDEX($AD$4:$AD$40,MATCH(ROW()-3,$LS$4:$LS$40,0)))</f>
        <v/>
      </c>
      <c r="LU17">
        <f>IF(COUNTIF('Buyer Groups'!DG70:DJ70,0)+COUNTIF('Buyer Groups'!DL70:EN70,0)&gt;0,0,1)</f>
        <v/>
      </c>
      <c r="LV17">
        <f>IF($AI$17="",FALSE,SUMPRODUCT(('Final Calculation Sheet'!$A$4:$A$40=$AI$17)*($LU$6:$LU$42=1))&gt;0)</f>
        <v/>
      </c>
      <c r="LW17">
        <f>$LW$16+--($LV17)</f>
        <v/>
      </c>
      <c r="LX17">
        <f>IF(ROW()-3&gt;MAX($LW$4:$LW$40),"",INDEX($AI$4:$AI$40,MATCH(ROW()-3,$LW$4:$LW$40,0)))</f>
        <v/>
      </c>
      <c r="LY17">
        <f>IF(COUNTIF('Buyer Groups'!DG70:DK70,0)+COUNTIF('Buyer Groups'!DM70:EN70,0)&gt;0,0,1)</f>
        <v/>
      </c>
      <c r="LZ17">
        <f>IF($AN$17="",FALSE,SUMPRODUCT(('Final Calculation Sheet'!$E$4:$E$40=$AN$17)*($LY$6:$LY$42=1))&gt;0)</f>
        <v/>
      </c>
      <c r="MA17">
        <f>$MA$16+--($LZ17)</f>
        <v/>
      </c>
      <c r="MB17">
        <f>IF(ROW()-3&gt;MAX($MA$4:$MA$40),"",INDEX($AN$4:$AN$40,MATCH(ROW()-3,$MA$4:$MA$40,0)))</f>
        <v/>
      </c>
      <c r="MC17">
        <f>IF(COUNTIF('Buyer Groups'!DG70:DL70,0)+COUNTIF('Buyer Groups'!DN70:EN70,0)&gt;0,0,1)</f>
        <v/>
      </c>
      <c r="MD17">
        <f>IF($AS$17="",FALSE,SUMPRODUCT(('Final Calculation Sheet'!$C$4:$C$40=$AS$17)*($MC$6:$MC$42=1))&gt;0)</f>
        <v/>
      </c>
      <c r="ME17">
        <f>$ME$16+--($MD17)</f>
        <v/>
      </c>
      <c r="MF17">
        <f>IF(ROW()-3&gt;MAX($ME$4:$ME$40),"",INDEX($AS$4:$AS$40,MATCH(ROW()-3,$ME$4:$ME$40,0)))</f>
        <v/>
      </c>
      <c r="MG17">
        <f>IF(COUNTIF('Buyer Groups'!DG70:DM70,0)+COUNTIF('Buyer Groups'!DO70:EN70,0)&gt;0,0,1)</f>
        <v/>
      </c>
      <c r="MH17">
        <f>IF($AX$17="",FALSE,SUMPRODUCT(('Final Calculation Sheet'!$H$4:$H$40=$AX$17)*($MG$6:$MG$42=1))&gt;0)</f>
        <v/>
      </c>
      <c r="MI17">
        <f>$MI$16+--($MH17)</f>
        <v/>
      </c>
      <c r="MJ17">
        <f>IF(ROW()-3&gt;MAX($MI$4:$MI$40),"",INDEX($AX$4:$AX$40,MATCH(ROW()-3,$MI$4:$MI$40,0)))</f>
        <v/>
      </c>
      <c r="MK17">
        <f>IF(COUNTIF('Buyer Groups'!DG70:DN70,0)+COUNTIF('Buyer Groups'!DP70:EN70,0)&gt;0,0,1)</f>
        <v/>
      </c>
      <c r="ML17">
        <f>IF($BC$17="",FALSE,SUMPRODUCT(('Final Calculation Sheet'!$I$4:$I$40=$BC$17)*($MK$6:$MK$42=1))&gt;0)</f>
        <v/>
      </c>
      <c r="MM17">
        <f>$MM$16+--($ML17)</f>
        <v/>
      </c>
      <c r="MN17">
        <f>IF(ROW()-3&gt;MAX($MM$4:$MM$40),"",INDEX($BC$4:$BC$40,MATCH(ROW()-3,$MM$4:$MM$40,0)))</f>
        <v/>
      </c>
      <c r="MO17">
        <f>IF(COUNTIF('Buyer Groups'!DG70:DO70,0)+COUNTIF('Buyer Groups'!DQ70:EN70,0)&gt;0,0,1)</f>
        <v/>
      </c>
      <c r="MP17">
        <f>IF($BH$17="",FALSE,SUMPRODUCT(('Final Calculation Sheet'!$J$4:$J$40=$BH$17)*($MO$6:$MO$42=1))&gt;0)</f>
        <v/>
      </c>
      <c r="MQ17">
        <f>$MQ$16+--($MP17)</f>
        <v/>
      </c>
      <c r="MR17">
        <f>IF(ROW()-3&gt;MAX($MQ$4:$MQ$40),"",INDEX($BH$4:$BH$40,MATCH(ROW()-3,$MQ$4:$MQ$40,0)))</f>
        <v/>
      </c>
      <c r="MS17">
        <f>IF(COUNTIF('Buyer Groups'!DG70:DP70,0)+COUNTIF('Buyer Groups'!DR70:EN70,0)&gt;0,0,1)</f>
        <v/>
      </c>
      <c r="MT17">
        <f>IF($BM$17="",FALSE,SUMPRODUCT(('Final Calculation Sheet'!$K$4:$K$40=$BM$17)*($MS$6:$MS$42=1))&gt;0)</f>
        <v/>
      </c>
      <c r="MU17">
        <f>$MU$16+--($MT17)</f>
        <v/>
      </c>
      <c r="MV17">
        <f>IF(ROW()-3&gt;MAX($MU$4:$MU$40),"",INDEX($BM$4:$BM$40,MATCH(ROW()-3,$MU$4:$MU$40,0)))</f>
        <v/>
      </c>
      <c r="MW17">
        <f>IF(COUNTIF('Buyer Groups'!DG70:DQ70,0)+COUNTIF('Buyer Groups'!DS70:EN70,0)&gt;0,0,1)</f>
        <v/>
      </c>
      <c r="MX17">
        <f>IF($BR$17="",FALSE,SUMPRODUCT(('Final Calculation Sheet'!$L$4:$L$40=$BR$17)*($MW$6:$MW$42=1))&gt;0)</f>
        <v/>
      </c>
      <c r="MY17">
        <f>$MY$16+--($MX17)</f>
        <v/>
      </c>
      <c r="MZ17">
        <f>IF(ROW()-3&gt;MAX($MY$4:$MY$40),"",INDEX($BR$4:$BR$40,MATCH(ROW()-3,$MY$4:$MY$40,0)))</f>
        <v/>
      </c>
      <c r="NA17">
        <f>IF(COUNTIF('Buyer Groups'!DG70:DR70,0)+COUNTIF('Buyer Groups'!DT70:EN70,0)&gt;0,0,1)</f>
        <v/>
      </c>
      <c r="NB17">
        <f>IF($BW$17="",FALSE,SUMPRODUCT(('Final Calculation Sheet'!$M$4:$M$40=$BW$17)*($NA$6:$NA$42=1))&gt;0)</f>
        <v/>
      </c>
      <c r="NC17">
        <f>$NC$16+--($NB17)</f>
        <v/>
      </c>
      <c r="ND17">
        <f>IF(ROW()-3&gt;MAX($NC$4:$NC$40),"",INDEX($BW$4:$BW$40,MATCH(ROW()-3,$NC$4:$NC$40,0)))</f>
        <v/>
      </c>
      <c r="NE17">
        <f>IF(COUNTIF('Buyer Groups'!DG70:DS70,0)+COUNTIF('Buyer Groups'!DU70:EN70,0)&gt;0,0,1)</f>
        <v/>
      </c>
      <c r="NF17">
        <f>IF($CB$17="",FALSE,SUMPRODUCT(('Final Calculation Sheet'!$N$4:$N$40=$CB$17)*($NE$6:$NE$42=1))&gt;0)</f>
        <v/>
      </c>
      <c r="NG17">
        <f>$NG$16+--($NF17)</f>
        <v/>
      </c>
      <c r="NH17">
        <f>IF(ROW()-3&gt;MAX($NG$4:$NG$40),"",INDEX($CB$4:$CB$40,MATCH(ROW()-3,$NG$4:$NG$40,0)))</f>
        <v/>
      </c>
      <c r="NI17">
        <f>IF(COUNTIF('Buyer Groups'!DG70:DT70,0)+COUNTIF('Buyer Groups'!DV70:EN70,0)&gt;0,0,1)</f>
        <v/>
      </c>
      <c r="NJ17">
        <f>IF($CG$17="",FALSE,SUMPRODUCT(('Final Calculation Sheet'!$O$4:$O$40=$CG$17)*($NI$6:$NI$42=1))&gt;0)</f>
        <v/>
      </c>
      <c r="NK17">
        <f>$NK$16+--($NJ17)</f>
        <v/>
      </c>
      <c r="NL17">
        <f>IF(ROW()-3&gt;MAX($NK$4:$NK$40),"",INDEX($CG$4:$CG$40,MATCH(ROW()-3,$NK$4:$NK$40,0)))</f>
        <v/>
      </c>
      <c r="NM17">
        <f>IF(COUNTIF('Buyer Groups'!DG70:DU70,0)+COUNTIF('Buyer Groups'!DW70:EN70,0)&gt;0,0,1)</f>
        <v/>
      </c>
      <c r="NN17">
        <f>IF($CL$17="",FALSE,SUMPRODUCT(('Final Calculation Sheet'!$P$4:$P$40=$CL$17)*($NM$6:$NM$42=1))&gt;0)</f>
        <v/>
      </c>
      <c r="NO17">
        <f>$NO$16+--($NN17)</f>
        <v/>
      </c>
      <c r="NP17">
        <f>IF(ROW()-3&gt;MAX($NO$4:$NO$40),"",INDEX($CL$4:$CL$40,MATCH(ROW()-3,$NO$4:$NO$40,0)))</f>
        <v/>
      </c>
      <c r="NQ17">
        <f>IF(COUNTIF('Buyer Groups'!DG70:DV70,0)+COUNTIF('Buyer Groups'!DX70:EN70,0)&gt;0,0,1)</f>
        <v/>
      </c>
      <c r="NR17">
        <f>IF($CQ$17="",FALSE,SUMPRODUCT(('Final Calculation Sheet'!$Q$4:$Q$40=$CQ$17)*($NQ$6:$NQ$42=1))&gt;0)</f>
        <v/>
      </c>
      <c r="NS17">
        <f>$NS$16+--($NR17)</f>
        <v/>
      </c>
      <c r="NT17">
        <f>IF(ROW()-3&gt;MAX($NS$4:$NS$40),"",INDEX($CQ$4:$CQ$40,MATCH(ROW()-3,$NS$4:$NS$40,0)))</f>
        <v/>
      </c>
      <c r="NU17">
        <f>IF(COUNTIF('Buyer Groups'!DG70:DW70,0)+COUNTIF('Buyer Groups'!DY70:EN70,0)&gt;0,0,1)</f>
        <v/>
      </c>
      <c r="NV17">
        <f>IF($CV$17="",FALSE,SUMPRODUCT(('Final Calculation Sheet'!$R$4:$R$40=$CV$17)*($NU$6:$NU$42=1))&gt;0)</f>
        <v/>
      </c>
      <c r="NW17">
        <f>$NW$16+--($NV17)</f>
        <v/>
      </c>
      <c r="NX17">
        <f>IF(ROW()-3&gt;MAX($NW$4:$NW$40),"",INDEX($CV$4:$CV$40,MATCH(ROW()-3,$NW$4:$NW$40,0)))</f>
        <v/>
      </c>
      <c r="NY17">
        <f>IF(COUNTIF('Buyer Groups'!DG70:DX70,0)+COUNTIF('Buyer Groups'!DZ70:EN70,0)&gt;0,0,1)</f>
        <v/>
      </c>
      <c r="NZ17">
        <f>IF($DA$17="",FALSE,SUMPRODUCT(('Final Calculation Sheet'!$S$4:$S$40=$DA$17)*($NY$6:$NY$42=1))&gt;0)</f>
        <v/>
      </c>
      <c r="OA17">
        <f>$OA$16+--($NZ17)</f>
        <v/>
      </c>
      <c r="OB17">
        <f>IF(ROW()-3&gt;MAX($OA$4:$OA$40),"",INDEX($DA$4:$DA$40,MATCH(ROW()-3,$OA$4:$OA$40,0)))</f>
        <v/>
      </c>
      <c r="OC17">
        <f>IF(COUNTIF('Buyer Groups'!DG70:DY70,0)+COUNTIF('Buyer Groups'!EA70:EN70,0)&gt;0,0,1)</f>
        <v/>
      </c>
      <c r="OD17">
        <f>IF($DF$17="",FALSE,SUMPRODUCT(('Final Calculation Sheet'!$T$4:$T$40=$DF$17)*($OC$6:$OC$42=1))&gt;0)</f>
        <v/>
      </c>
      <c r="OE17">
        <f>$OE$16+--($OD17)</f>
        <v/>
      </c>
      <c r="OF17">
        <f>IF(ROW()-3&gt;MAX($OE$4:$OE$40),"",INDEX($DF$4:$DF$40,MATCH(ROW()-3,$OE$4:$OE$40,0)))</f>
        <v/>
      </c>
      <c r="OG17">
        <f>IF(COUNTIF('Buyer Groups'!DG70:DZ70,0)+COUNTIF('Buyer Groups'!EB70:EN70,0)&gt;0,0,1)</f>
        <v/>
      </c>
      <c r="OH17">
        <f>IF($DK$17="",FALSE,SUMPRODUCT(('Final Calculation Sheet'!$U$4:$U$40=$DK$17)*($OG$6:$OG$42=1))&gt;0)</f>
        <v/>
      </c>
      <c r="OI17">
        <f>$OI$16+--($OH17)</f>
        <v/>
      </c>
      <c r="OJ17">
        <f>IF(ROW()-3&gt;MAX($OI$4:$OI$40),"",INDEX($DK$4:$DK$40,MATCH(ROW()-3,$OI$4:$OI$40,0)))</f>
        <v/>
      </c>
      <c r="OK17">
        <f>IF(COUNTIF('Buyer Groups'!DG70:EA70,0)+COUNTIF('Buyer Groups'!EC70:EN70,0)&gt;0,0,1)</f>
        <v/>
      </c>
      <c r="OL17">
        <f>IF($DP$17="",FALSE,SUMPRODUCT(('Final Calculation Sheet'!$V$4:$V$40=$DP$17)*($OK$6:$OK$42=1))&gt;0)</f>
        <v/>
      </c>
      <c r="OM17">
        <f>$OM$16+--($OL17)</f>
        <v/>
      </c>
      <c r="ON17">
        <f>IF(ROW()-3&gt;MAX($OM$4:$OM$40),"",INDEX($DP$4:$DP$40,MATCH(ROW()-3,$OM$4:$OM$40,0)))</f>
        <v/>
      </c>
      <c r="OO17">
        <f>IF(COUNTIF('Buyer Groups'!DG70:EB70,0)+COUNTIF('Buyer Groups'!ED70:EN70,0)&gt;0,0,1)</f>
        <v/>
      </c>
      <c r="OP17">
        <f>IF($DU$17="",FALSE,SUMPRODUCT(('Final Calculation Sheet'!$W$4:$W$40=$DU$17)*($OO$6:$OO$42=1))&gt;0)</f>
        <v/>
      </c>
      <c r="OQ17">
        <f>$OQ$16+--($OP17)</f>
        <v/>
      </c>
      <c r="OR17">
        <f>IF(ROW()-3&gt;MAX($OQ$4:$OQ$40),"",INDEX($DU$4:$DU$40,MATCH(ROW()-3,$OQ$4:$OQ$40,0)))</f>
        <v/>
      </c>
      <c r="OS17">
        <f>IF(COUNTIF('Buyer Groups'!DG70:EC70,0)+COUNTIF('Buyer Groups'!EE70:EN70,0)&gt;0,0,1)</f>
        <v/>
      </c>
      <c r="OT17">
        <f>IF($DZ$17="",FALSE,SUMPRODUCT(('Final Calculation Sheet'!$X$4:$X$40=$DZ$17)*($OS$6:$OS$42=1))&gt;0)</f>
        <v/>
      </c>
      <c r="OU17">
        <f>$OU$16+--($OT17)</f>
        <v/>
      </c>
      <c r="OV17">
        <f>IF(ROW()-3&gt;MAX($OU$4:$OU$40),"",INDEX($DZ$4:$DZ$40,MATCH(ROW()-3,$OU$4:$OU$40,0)))</f>
        <v/>
      </c>
      <c r="OW17">
        <f>IF(COUNTIF('Buyer Groups'!DG70:ED70,0)+COUNTIF('Buyer Groups'!EF70:EN70,0)&gt;0,0,1)</f>
        <v/>
      </c>
      <c r="OX17">
        <f>IF($EE$17="",FALSE,SUMPRODUCT(('Final Calculation Sheet'!$Y$4:$Y$40=$EE$17)*($OW$6:$OW$42=1))&gt;0)</f>
        <v/>
      </c>
      <c r="OY17">
        <f>$OY$16+--($OX17)</f>
        <v/>
      </c>
      <c r="OZ17">
        <f>IF(ROW()-3&gt;MAX($OY$4:$OY$40),"",INDEX($EE$4:$EE$40,MATCH(ROW()-3,$OY$4:$OY$40,0)))</f>
        <v/>
      </c>
      <c r="PA17">
        <f>IF(COUNTIF('Buyer Groups'!DG70:EE70,0)+COUNTIF('Buyer Groups'!EG70:EN70,0)&gt;0,0,1)</f>
        <v/>
      </c>
      <c r="PB17">
        <f>IF($EJ$17="",FALSE,SUMPRODUCT(('Final Calculation Sheet'!$Z$4:$Z$40=$EJ$17)*($PA$6:$PA$42=1))&gt;0)</f>
        <v/>
      </c>
      <c r="PC17">
        <f>$PC$16+--($PB17)</f>
        <v/>
      </c>
      <c r="PD17">
        <f>IF(ROW()-3&gt;MAX($PC$4:$PC$40),"",INDEX($EJ$4:$EJ$40,MATCH(ROW()-3,$PC$4:$PC$40,0)))</f>
        <v/>
      </c>
      <c r="PE17">
        <f>IF(COUNTIF('Buyer Groups'!DG70:EF70,0)+COUNTIF('Buyer Groups'!EH70:EN70,0)&gt;0,0,1)</f>
        <v/>
      </c>
      <c r="PF17">
        <f>IF($EO$17="",FALSE,SUMPRODUCT(('Final Calculation Sheet'!$AA$4:$AA$40=$EO$17)*($PE$6:$PE$42=1))&gt;0)</f>
        <v/>
      </c>
      <c r="PG17">
        <f>$PG$16+--($PF17)</f>
        <v/>
      </c>
      <c r="PH17">
        <f>IF(ROW()-3&gt;MAX($PG$4:$PG$40),"",INDEX($EO$4:$EO$40,MATCH(ROW()-3,$PG$4:$PG$40,0)))</f>
        <v/>
      </c>
      <c r="PI17">
        <f>IF(COUNTIF('Buyer Groups'!DG70:EG70,0)+COUNTIF('Buyer Groups'!EI70:EN70,0)&gt;0,0,1)</f>
        <v/>
      </c>
      <c r="PJ17">
        <f>IF($ET$17="",FALSE,SUMPRODUCT(('Final Calculation Sheet'!$AB$4:$AB$40=$ET$17)*($PI$6:$PI$42=1))&gt;0)</f>
        <v/>
      </c>
      <c r="PK17">
        <f>$PK$16+--($PJ17)</f>
        <v/>
      </c>
      <c r="PL17">
        <f>IF(ROW()-3&gt;MAX($PK$4:$PK$40),"",INDEX($ET$4:$ET$40,MATCH(ROW()-3,$PK$4:$PK$40,0)))</f>
        <v/>
      </c>
      <c r="PM17">
        <f>IF(COUNTIF('Buyer Groups'!DG70:EH70,0)+COUNTIF('Buyer Groups'!EJ70:EN70,0)&gt;0,0,1)</f>
        <v/>
      </c>
      <c r="PN17">
        <f>IF($EY$17="",FALSE,SUMPRODUCT(('Final Calculation Sheet'!$AC$4:$AC$40=$EY$17)*($PM$6:$PM$42=1))&gt;0)</f>
        <v/>
      </c>
      <c r="PO17">
        <f>$PO$16+--($PN17)</f>
        <v/>
      </c>
      <c r="PP17">
        <f>IF(ROW()-3&gt;MAX($PO$4:$PO$40),"",INDEX($EY$4:$EY$40,MATCH(ROW()-3,$PO$4:$PO$40,0)))</f>
        <v/>
      </c>
      <c r="PQ17">
        <f>IF(COUNTIF('Buyer Groups'!DG70:EI70,0)+COUNTIF('Buyer Groups'!EK70:EN70,0)&gt;0,0,1)</f>
        <v/>
      </c>
      <c r="PR17">
        <f>IF($FD$17="",FALSE,SUMPRODUCT(('Final Calculation Sheet'!$AD$4:$AD$40=$FD$17)*($PQ$6:$PQ$42=1))&gt;0)</f>
        <v/>
      </c>
      <c r="PS17">
        <f>$PS$16+--($PR17)</f>
        <v/>
      </c>
      <c r="PT17">
        <f>IF(ROW()-3&gt;MAX($PS$4:$PS$40),"",INDEX($FD$4:$FD$40,MATCH(ROW()-3,$PS$4:$PS$40,0)))</f>
        <v/>
      </c>
      <c r="PU17">
        <f>IF(COUNTIF('Buyer Groups'!DG70:EJ70,0)+COUNTIF('Buyer Groups'!EL70:EN70,0)&gt;0,0,1)</f>
        <v/>
      </c>
      <c r="PV17">
        <f>IF($FX$17="",FALSE,SUMPRODUCT((IF('Final Calculation Sheet'!$AD$4:$AD$40&lt;=5,"SETTLED","OUTSTANDING")=$FX$17)*($PU$6:$PU$42=1))&gt;0)</f>
        <v/>
      </c>
      <c r="PW17">
        <f>$PW$16+--($PV17)</f>
        <v/>
      </c>
      <c r="PX17">
        <f>IF(ROW()-3&gt;MAX($PW$4:$PW$40),"",INDEX($FX$4:$FX$40,MATCH(ROW()-3,$PW$4:$PW$40,0)))</f>
        <v/>
      </c>
      <c r="PY17">
        <f>IF(COUNTIF('Buyer Groups'!DG70:EK70,0)+COUNTIF('Buyer Groups'!EM70:EN70,0)&gt;0,0,1)</f>
        <v/>
      </c>
      <c r="PZ17">
        <f>IF($FI$17="",FALSE,SUMPRODUCT(('Final Calculation Sheet'!$AF$4:$AF$40=$FI$17)*($PY$6:$PY$42=1))&gt;0)</f>
        <v/>
      </c>
      <c r="QA17">
        <f>$QA$16+--($PZ17)</f>
        <v/>
      </c>
      <c r="QB17">
        <f>IF(ROW()-3&gt;MAX($QA$4:$QA$40),"",INDEX($FI$4:$FI$40,MATCH(ROW()-3,$QA$4:$QA$40,0)))</f>
        <v/>
      </c>
      <c r="QC17">
        <f>IF(COUNTIF('Buyer Groups'!DG70:EL70,0)+COUNTIF('Buyer Groups'!EN70:EN70,0)&gt;0,0,1)</f>
        <v/>
      </c>
      <c r="QD17">
        <f>IF($FN$17="",FALSE,SUMPRODUCT(('Final Calculation Sheet'!$AG$4:$AG$40=$FN$17)*($QC$6:$QC$42=1))&gt;0)</f>
        <v/>
      </c>
      <c r="QE17">
        <f>$QE$16+--($QD17)</f>
        <v/>
      </c>
      <c r="QF17">
        <f>IF(ROW()-3&gt;MAX($QE$4:$QE$40),"",INDEX($FN$4:$FN$40,MATCH(ROW()-3,$QE$4:$QE$40,0)))</f>
        <v/>
      </c>
      <c r="QG17">
        <f>IF(COUNTIF('Buyer Groups'!DG70:EM70,0)&gt;0,0,1)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IF(IFERROR('Final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IF(IFERROR('Final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Groups'!DH71:EN71,0)&gt;0,0,1)</f>
        <v/>
      </c>
      <c r="LF18">
        <f>IF($O$18="",FALSE,SUMPRODUCT(('Final Calculation Sheet'!$F$4:$F$40=$O$18)*($LE$6:$LE$42=1))&gt;0)</f>
        <v/>
      </c>
      <c r="LG18">
        <f>$LG$17+--($LF18)</f>
        <v/>
      </c>
      <c r="LH18">
        <f>IF(ROW()-3&gt;MAX($LG$4:$LG$40),"",INDEX($O$4:$O$40,MATCH(ROW()-3,$LG$4:$LG$40,0)))</f>
        <v/>
      </c>
      <c r="LI18">
        <f>IF(COUNTIF('Buyer Groups'!DG71:DG71,0)+COUNTIF('Buyer Groups'!DI71:EN71,0)&gt;0,0,1)</f>
        <v/>
      </c>
      <c r="LJ18">
        <f>IF($T$18="",FALSE,SUMPRODUCT(('Final Calculation Sheet'!$G$4:$G$40=$T$18)*($LI$6:$LI$42=1))&gt;0)</f>
        <v/>
      </c>
      <c r="LK18">
        <f>$LK$17+--($LJ18)</f>
        <v/>
      </c>
      <c r="LL18">
        <f>IF(ROW()-3&gt;MAX($LK$4:$LK$40),"",INDEX($T$4:$T$40,MATCH(ROW()-3,$LK$4:$LK$40,0)))</f>
        <v/>
      </c>
      <c r="LM18">
        <f>IF(COUNTIF('Buyer Groups'!DG71:DH71,0)+COUNTIF('Buyer Groups'!DJ71:EN71,0)&gt;0,0,1)</f>
        <v/>
      </c>
      <c r="LN18">
        <f>IF($Y$18="",FALSE,SUMPRODUCT(('Final Calculation Sheet'!$B$4:$B$40=$Y$18)*($LM$6:$LM$42=1))&gt;0)</f>
        <v/>
      </c>
      <c r="LO18">
        <f>$LO$17+--($LN18)</f>
        <v/>
      </c>
      <c r="LP18">
        <f>IF(ROW()-3&gt;MAX($LO$4:$LO$40),"",INDEX($Y$4:$Y$40,MATCH(ROW()-3,$LO$4:$LO$40,0)))</f>
        <v/>
      </c>
      <c r="LQ18">
        <f>IF(COUNTIF('Buyer Groups'!DG71:DI71,0)+COUNTIF('Buyer Groups'!DK71:EN71,0)&gt;0,0,1)</f>
        <v/>
      </c>
      <c r="LR18">
        <f>IF($AD$18="",FALSE,SUMPRODUCT(('Final Calculation Sheet'!$D$4:$D$40=$AD$18)*($LQ$6:$LQ$42=1))&gt;0)</f>
        <v/>
      </c>
      <c r="LS18">
        <f>$LS$17+--($LR18)</f>
        <v/>
      </c>
      <c r="LT18">
        <f>IF(ROW()-3&gt;MAX($LS$4:$LS$40),"",INDEX($AD$4:$AD$40,MATCH(ROW()-3,$LS$4:$LS$40,0)))</f>
        <v/>
      </c>
      <c r="LU18">
        <f>IF(COUNTIF('Buyer Groups'!DG71:DJ71,0)+COUNTIF('Buyer Groups'!DL71:EN71,0)&gt;0,0,1)</f>
        <v/>
      </c>
      <c r="LV18">
        <f>IF($AI$18="",FALSE,SUMPRODUCT(('Final Calculation Sheet'!$A$4:$A$40=$AI$18)*($LU$6:$LU$42=1))&gt;0)</f>
        <v/>
      </c>
      <c r="LW18">
        <f>$LW$17+--($LV18)</f>
        <v/>
      </c>
      <c r="LX18">
        <f>IF(ROW()-3&gt;MAX($LW$4:$LW$40),"",INDEX($AI$4:$AI$40,MATCH(ROW()-3,$LW$4:$LW$40,0)))</f>
        <v/>
      </c>
      <c r="LY18">
        <f>IF(COUNTIF('Buyer Groups'!DG71:DK71,0)+COUNTIF('Buyer Groups'!DM71:EN71,0)&gt;0,0,1)</f>
        <v/>
      </c>
      <c r="LZ18">
        <f>IF($AN$18="",FALSE,SUMPRODUCT(('Final Calculation Sheet'!$E$4:$E$40=$AN$18)*($LY$6:$LY$42=1))&gt;0)</f>
        <v/>
      </c>
      <c r="MA18">
        <f>$MA$17+--($LZ18)</f>
        <v/>
      </c>
      <c r="MB18">
        <f>IF(ROW()-3&gt;MAX($MA$4:$MA$40),"",INDEX($AN$4:$AN$40,MATCH(ROW()-3,$MA$4:$MA$40,0)))</f>
        <v/>
      </c>
      <c r="MC18">
        <f>IF(COUNTIF('Buyer Groups'!DG71:DL71,0)+COUNTIF('Buyer Groups'!DN71:EN71,0)&gt;0,0,1)</f>
        <v/>
      </c>
      <c r="MD18">
        <f>IF($AS$18="",FALSE,SUMPRODUCT(('Final Calculation Sheet'!$C$4:$C$40=$AS$18)*($MC$6:$MC$42=1))&gt;0)</f>
        <v/>
      </c>
      <c r="ME18">
        <f>$ME$17+--($MD18)</f>
        <v/>
      </c>
      <c r="MF18">
        <f>IF(ROW()-3&gt;MAX($ME$4:$ME$40),"",INDEX($AS$4:$AS$40,MATCH(ROW()-3,$ME$4:$ME$40,0)))</f>
        <v/>
      </c>
      <c r="MG18">
        <f>IF(COUNTIF('Buyer Groups'!DG71:DM71,0)+COUNTIF('Buyer Groups'!DO71:EN71,0)&gt;0,0,1)</f>
        <v/>
      </c>
      <c r="MH18">
        <f>IF($AX$18="",FALSE,SUMPRODUCT(('Final Calculation Sheet'!$H$4:$H$40=$AX$18)*($MG$6:$MG$42=1))&gt;0)</f>
        <v/>
      </c>
      <c r="MI18">
        <f>$MI$17+--($MH18)</f>
        <v/>
      </c>
      <c r="MJ18">
        <f>IF(ROW()-3&gt;MAX($MI$4:$MI$40),"",INDEX($AX$4:$AX$40,MATCH(ROW()-3,$MI$4:$MI$40,0)))</f>
        <v/>
      </c>
      <c r="MK18">
        <f>IF(COUNTIF('Buyer Groups'!DG71:DN71,0)+COUNTIF('Buyer Groups'!DP71:EN71,0)&gt;0,0,1)</f>
        <v/>
      </c>
      <c r="ML18">
        <f>IF($BC$18="",FALSE,SUMPRODUCT(('Final Calculation Sheet'!$I$4:$I$40=$BC$18)*($MK$6:$MK$42=1))&gt;0)</f>
        <v/>
      </c>
      <c r="MM18">
        <f>$MM$17+--($ML18)</f>
        <v/>
      </c>
      <c r="MN18">
        <f>IF(ROW()-3&gt;MAX($MM$4:$MM$40),"",INDEX($BC$4:$BC$40,MATCH(ROW()-3,$MM$4:$MM$40,0)))</f>
        <v/>
      </c>
      <c r="MO18">
        <f>IF(COUNTIF('Buyer Groups'!DG71:DO71,0)+COUNTIF('Buyer Groups'!DQ71:EN71,0)&gt;0,0,1)</f>
        <v/>
      </c>
      <c r="MP18">
        <f>IF($BH$18="",FALSE,SUMPRODUCT(('Final Calculation Sheet'!$J$4:$J$40=$BH$18)*($MO$6:$MO$42=1))&gt;0)</f>
        <v/>
      </c>
      <c r="MQ18">
        <f>$MQ$17+--($MP18)</f>
        <v/>
      </c>
      <c r="MR18">
        <f>IF(ROW()-3&gt;MAX($MQ$4:$MQ$40),"",INDEX($BH$4:$BH$40,MATCH(ROW()-3,$MQ$4:$MQ$40,0)))</f>
        <v/>
      </c>
      <c r="MS18">
        <f>IF(COUNTIF('Buyer Groups'!DG71:DP71,0)+COUNTIF('Buyer Groups'!DR71:EN71,0)&gt;0,0,1)</f>
        <v/>
      </c>
      <c r="MT18">
        <f>IF($BM$18="",FALSE,SUMPRODUCT(('Final Calculation Sheet'!$K$4:$K$40=$BM$18)*($MS$6:$MS$42=1))&gt;0)</f>
        <v/>
      </c>
      <c r="MU18">
        <f>$MU$17+--($MT18)</f>
        <v/>
      </c>
      <c r="MV18">
        <f>IF(ROW()-3&gt;MAX($MU$4:$MU$40),"",INDEX($BM$4:$BM$40,MATCH(ROW()-3,$MU$4:$MU$40,0)))</f>
        <v/>
      </c>
      <c r="MW18">
        <f>IF(COUNTIF('Buyer Groups'!DG71:DQ71,0)+COUNTIF('Buyer Groups'!DS71:EN71,0)&gt;0,0,1)</f>
        <v/>
      </c>
      <c r="MX18">
        <f>IF($BR$18="",FALSE,SUMPRODUCT(('Final Calculation Sheet'!$L$4:$L$40=$BR$18)*($MW$6:$MW$42=1))&gt;0)</f>
        <v/>
      </c>
      <c r="MY18">
        <f>$MY$17+--($MX18)</f>
        <v/>
      </c>
      <c r="MZ18">
        <f>IF(ROW()-3&gt;MAX($MY$4:$MY$40),"",INDEX($BR$4:$BR$40,MATCH(ROW()-3,$MY$4:$MY$40,0)))</f>
        <v/>
      </c>
      <c r="NA18">
        <f>IF(COUNTIF('Buyer Groups'!DG71:DR71,0)+COUNTIF('Buyer Groups'!DT71:EN71,0)&gt;0,0,1)</f>
        <v/>
      </c>
      <c r="NB18">
        <f>IF($BW$18="",FALSE,SUMPRODUCT(('Final Calculation Sheet'!$M$4:$M$40=$BW$18)*($NA$6:$NA$42=1))&gt;0)</f>
        <v/>
      </c>
      <c r="NC18">
        <f>$NC$17+--($NB18)</f>
        <v/>
      </c>
      <c r="ND18">
        <f>IF(ROW()-3&gt;MAX($NC$4:$NC$40),"",INDEX($BW$4:$BW$40,MATCH(ROW()-3,$NC$4:$NC$40,0)))</f>
        <v/>
      </c>
      <c r="NE18">
        <f>IF(COUNTIF('Buyer Groups'!DG71:DS71,0)+COUNTIF('Buyer Groups'!DU71:EN71,0)&gt;0,0,1)</f>
        <v/>
      </c>
      <c r="NF18">
        <f>IF($CB$18="",FALSE,SUMPRODUCT(('Final Calculation Sheet'!$N$4:$N$40=$CB$18)*($NE$6:$NE$42=1))&gt;0)</f>
        <v/>
      </c>
      <c r="NG18">
        <f>$NG$17+--($NF18)</f>
        <v/>
      </c>
      <c r="NH18">
        <f>IF(ROW()-3&gt;MAX($NG$4:$NG$40),"",INDEX($CB$4:$CB$40,MATCH(ROW()-3,$NG$4:$NG$40,0)))</f>
        <v/>
      </c>
      <c r="NI18">
        <f>IF(COUNTIF('Buyer Groups'!DG71:DT71,0)+COUNTIF('Buyer Groups'!DV71:EN71,0)&gt;0,0,1)</f>
        <v/>
      </c>
      <c r="NJ18">
        <f>IF($CG$18="",FALSE,SUMPRODUCT(('Final Calculation Sheet'!$O$4:$O$40=$CG$18)*($NI$6:$NI$42=1))&gt;0)</f>
        <v/>
      </c>
      <c r="NK18">
        <f>$NK$17+--($NJ18)</f>
        <v/>
      </c>
      <c r="NL18">
        <f>IF(ROW()-3&gt;MAX($NK$4:$NK$40),"",INDEX($CG$4:$CG$40,MATCH(ROW()-3,$NK$4:$NK$40,0)))</f>
        <v/>
      </c>
      <c r="NM18">
        <f>IF(COUNTIF('Buyer Groups'!DG71:DU71,0)+COUNTIF('Buyer Groups'!DW71:EN71,0)&gt;0,0,1)</f>
        <v/>
      </c>
      <c r="NN18">
        <f>IF($CL$18="",FALSE,SUMPRODUCT(('Final Calculation Sheet'!$P$4:$P$40=$CL$18)*($NM$6:$NM$42=1))&gt;0)</f>
        <v/>
      </c>
      <c r="NO18">
        <f>$NO$17+--($NN18)</f>
        <v/>
      </c>
      <c r="NP18">
        <f>IF(ROW()-3&gt;MAX($NO$4:$NO$40),"",INDEX($CL$4:$CL$40,MATCH(ROW()-3,$NO$4:$NO$40,0)))</f>
        <v/>
      </c>
      <c r="NQ18">
        <f>IF(COUNTIF('Buyer Groups'!DG71:DV71,0)+COUNTIF('Buyer Groups'!DX71:EN71,0)&gt;0,0,1)</f>
        <v/>
      </c>
      <c r="NR18">
        <f>IF($CQ$18="",FALSE,SUMPRODUCT(('Final Calculation Sheet'!$Q$4:$Q$40=$CQ$18)*($NQ$6:$NQ$42=1))&gt;0)</f>
        <v/>
      </c>
      <c r="NS18">
        <f>$NS$17+--($NR18)</f>
        <v/>
      </c>
      <c r="NT18">
        <f>IF(ROW()-3&gt;MAX($NS$4:$NS$40),"",INDEX($CQ$4:$CQ$40,MATCH(ROW()-3,$NS$4:$NS$40,0)))</f>
        <v/>
      </c>
      <c r="NU18">
        <f>IF(COUNTIF('Buyer Groups'!DG71:DW71,0)+COUNTIF('Buyer Groups'!DY71:EN71,0)&gt;0,0,1)</f>
        <v/>
      </c>
      <c r="NV18">
        <f>IF($CV$18="",FALSE,SUMPRODUCT(('Final Calculation Sheet'!$R$4:$R$40=$CV$18)*($NU$6:$NU$42=1))&gt;0)</f>
        <v/>
      </c>
      <c r="NW18">
        <f>$NW$17+--($NV18)</f>
        <v/>
      </c>
      <c r="NX18">
        <f>IF(ROW()-3&gt;MAX($NW$4:$NW$40),"",INDEX($CV$4:$CV$40,MATCH(ROW()-3,$NW$4:$NW$40,0)))</f>
        <v/>
      </c>
      <c r="NY18">
        <f>IF(COUNTIF('Buyer Groups'!DG71:DX71,0)+COUNTIF('Buyer Groups'!DZ71:EN71,0)&gt;0,0,1)</f>
        <v/>
      </c>
      <c r="NZ18">
        <f>IF($DA$18="",FALSE,SUMPRODUCT(('Final Calculation Sheet'!$S$4:$S$40=$DA$18)*($NY$6:$NY$42=1))&gt;0)</f>
        <v/>
      </c>
      <c r="OA18">
        <f>$OA$17+--($NZ18)</f>
        <v/>
      </c>
      <c r="OB18">
        <f>IF(ROW()-3&gt;MAX($OA$4:$OA$40),"",INDEX($DA$4:$DA$40,MATCH(ROW()-3,$OA$4:$OA$40,0)))</f>
        <v/>
      </c>
      <c r="OC18">
        <f>IF(COUNTIF('Buyer Groups'!DG71:DY71,0)+COUNTIF('Buyer Groups'!EA71:EN71,0)&gt;0,0,1)</f>
        <v/>
      </c>
      <c r="OD18">
        <f>IF($DF$18="",FALSE,SUMPRODUCT(('Final Calculation Sheet'!$T$4:$T$40=$DF$18)*($OC$6:$OC$42=1))&gt;0)</f>
        <v/>
      </c>
      <c r="OE18">
        <f>$OE$17+--($OD18)</f>
        <v/>
      </c>
      <c r="OF18">
        <f>IF(ROW()-3&gt;MAX($OE$4:$OE$40),"",INDEX($DF$4:$DF$40,MATCH(ROW()-3,$OE$4:$OE$40,0)))</f>
        <v/>
      </c>
      <c r="OG18">
        <f>IF(COUNTIF('Buyer Groups'!DG71:DZ71,0)+COUNTIF('Buyer Groups'!EB71:EN71,0)&gt;0,0,1)</f>
        <v/>
      </c>
      <c r="OH18">
        <f>IF($DK$18="",FALSE,SUMPRODUCT(('Final Calculation Sheet'!$U$4:$U$40=$DK$18)*($OG$6:$OG$42=1))&gt;0)</f>
        <v/>
      </c>
      <c r="OI18">
        <f>$OI$17+--($OH18)</f>
        <v/>
      </c>
      <c r="OJ18">
        <f>IF(ROW()-3&gt;MAX($OI$4:$OI$40),"",INDEX($DK$4:$DK$40,MATCH(ROW()-3,$OI$4:$OI$40,0)))</f>
        <v/>
      </c>
      <c r="OK18">
        <f>IF(COUNTIF('Buyer Groups'!DG71:EA71,0)+COUNTIF('Buyer Groups'!EC71:EN71,0)&gt;0,0,1)</f>
        <v/>
      </c>
      <c r="OL18">
        <f>IF($DP$18="",FALSE,SUMPRODUCT(('Final Calculation Sheet'!$V$4:$V$40=$DP$18)*($OK$6:$OK$42=1))&gt;0)</f>
        <v/>
      </c>
      <c r="OM18">
        <f>$OM$17+--($OL18)</f>
        <v/>
      </c>
      <c r="ON18">
        <f>IF(ROW()-3&gt;MAX($OM$4:$OM$40),"",INDEX($DP$4:$DP$40,MATCH(ROW()-3,$OM$4:$OM$40,0)))</f>
        <v/>
      </c>
      <c r="OO18">
        <f>IF(COUNTIF('Buyer Groups'!DG71:EB71,0)+COUNTIF('Buyer Groups'!ED71:EN71,0)&gt;0,0,1)</f>
        <v/>
      </c>
      <c r="OP18">
        <f>IF($DU$18="",FALSE,SUMPRODUCT(('Final Calculation Sheet'!$W$4:$W$40=$DU$18)*($OO$6:$OO$42=1))&gt;0)</f>
        <v/>
      </c>
      <c r="OQ18">
        <f>$OQ$17+--($OP18)</f>
        <v/>
      </c>
      <c r="OR18">
        <f>IF(ROW()-3&gt;MAX($OQ$4:$OQ$40),"",INDEX($DU$4:$DU$40,MATCH(ROW()-3,$OQ$4:$OQ$40,0)))</f>
        <v/>
      </c>
      <c r="OS18">
        <f>IF(COUNTIF('Buyer Groups'!DG71:EC71,0)+COUNTIF('Buyer Groups'!EE71:EN71,0)&gt;0,0,1)</f>
        <v/>
      </c>
      <c r="OT18">
        <f>IF($DZ$18="",FALSE,SUMPRODUCT(('Final Calculation Sheet'!$X$4:$X$40=$DZ$18)*($OS$6:$OS$42=1))&gt;0)</f>
        <v/>
      </c>
      <c r="OU18">
        <f>$OU$17+--($OT18)</f>
        <v/>
      </c>
      <c r="OV18">
        <f>IF(ROW()-3&gt;MAX($OU$4:$OU$40),"",INDEX($DZ$4:$DZ$40,MATCH(ROW()-3,$OU$4:$OU$40,0)))</f>
        <v/>
      </c>
      <c r="OW18">
        <f>IF(COUNTIF('Buyer Groups'!DG71:ED71,0)+COUNTIF('Buyer Groups'!EF71:EN71,0)&gt;0,0,1)</f>
        <v/>
      </c>
      <c r="OX18">
        <f>IF($EE$18="",FALSE,SUMPRODUCT(('Final Calculation Sheet'!$Y$4:$Y$40=$EE$18)*($OW$6:$OW$42=1))&gt;0)</f>
        <v/>
      </c>
      <c r="OY18">
        <f>$OY$17+--($OX18)</f>
        <v/>
      </c>
      <c r="OZ18">
        <f>IF(ROW()-3&gt;MAX($OY$4:$OY$40),"",INDEX($EE$4:$EE$40,MATCH(ROW()-3,$OY$4:$OY$40,0)))</f>
        <v/>
      </c>
      <c r="PA18">
        <f>IF(COUNTIF('Buyer Groups'!DG71:EE71,0)+COUNTIF('Buyer Groups'!EG71:EN71,0)&gt;0,0,1)</f>
        <v/>
      </c>
      <c r="PB18">
        <f>IF($EJ$18="",FALSE,SUMPRODUCT(('Final Calculation Sheet'!$Z$4:$Z$40=$EJ$18)*($PA$6:$PA$42=1))&gt;0)</f>
        <v/>
      </c>
      <c r="PC18">
        <f>$PC$17+--($PB18)</f>
        <v/>
      </c>
      <c r="PD18">
        <f>IF(ROW()-3&gt;MAX($PC$4:$PC$40),"",INDEX($EJ$4:$EJ$40,MATCH(ROW()-3,$PC$4:$PC$40,0)))</f>
        <v/>
      </c>
      <c r="PE18">
        <f>IF(COUNTIF('Buyer Groups'!DG71:EF71,0)+COUNTIF('Buyer Groups'!EH71:EN71,0)&gt;0,0,1)</f>
        <v/>
      </c>
      <c r="PF18">
        <f>IF($EO$18="",FALSE,SUMPRODUCT(('Final Calculation Sheet'!$AA$4:$AA$40=$EO$18)*($PE$6:$PE$42=1))&gt;0)</f>
        <v/>
      </c>
      <c r="PG18">
        <f>$PG$17+--($PF18)</f>
        <v/>
      </c>
      <c r="PH18">
        <f>IF(ROW()-3&gt;MAX($PG$4:$PG$40),"",INDEX($EO$4:$EO$40,MATCH(ROW()-3,$PG$4:$PG$40,0)))</f>
        <v/>
      </c>
      <c r="PI18">
        <f>IF(COUNTIF('Buyer Groups'!DG71:EG71,0)+COUNTIF('Buyer Groups'!EI71:EN71,0)&gt;0,0,1)</f>
        <v/>
      </c>
      <c r="PJ18">
        <f>IF($ET$18="",FALSE,SUMPRODUCT(('Final Calculation Sheet'!$AB$4:$AB$40=$ET$18)*($PI$6:$PI$42=1))&gt;0)</f>
        <v/>
      </c>
      <c r="PK18">
        <f>$PK$17+--($PJ18)</f>
        <v/>
      </c>
      <c r="PL18">
        <f>IF(ROW()-3&gt;MAX($PK$4:$PK$40),"",INDEX($ET$4:$ET$40,MATCH(ROW()-3,$PK$4:$PK$40,0)))</f>
        <v/>
      </c>
      <c r="PM18">
        <f>IF(COUNTIF('Buyer Groups'!DG71:EH71,0)+COUNTIF('Buyer Groups'!EJ71:EN71,0)&gt;0,0,1)</f>
        <v/>
      </c>
      <c r="PN18">
        <f>IF($EY$18="",FALSE,SUMPRODUCT(('Final Calculation Sheet'!$AC$4:$AC$40=$EY$18)*($PM$6:$PM$42=1))&gt;0)</f>
        <v/>
      </c>
      <c r="PO18">
        <f>$PO$17+--($PN18)</f>
        <v/>
      </c>
      <c r="PP18">
        <f>IF(ROW()-3&gt;MAX($PO$4:$PO$40),"",INDEX($EY$4:$EY$40,MATCH(ROW()-3,$PO$4:$PO$40,0)))</f>
        <v/>
      </c>
      <c r="PQ18">
        <f>IF(COUNTIF('Buyer Groups'!DG71:EI71,0)+COUNTIF('Buyer Groups'!EK71:EN71,0)&gt;0,0,1)</f>
        <v/>
      </c>
      <c r="PR18">
        <f>IF($FD$18="",FALSE,SUMPRODUCT(('Final Calculation Sheet'!$AD$4:$AD$40=$FD$18)*($PQ$6:$PQ$42=1))&gt;0)</f>
        <v/>
      </c>
      <c r="PS18">
        <f>$PS$17+--($PR18)</f>
        <v/>
      </c>
      <c r="PT18">
        <f>IF(ROW()-3&gt;MAX($PS$4:$PS$40),"",INDEX($FD$4:$FD$40,MATCH(ROW()-3,$PS$4:$PS$40,0)))</f>
        <v/>
      </c>
      <c r="PU18">
        <f>IF(COUNTIF('Buyer Groups'!DG71:EJ71,0)+COUNTIF('Buyer Groups'!EL71:EN71,0)&gt;0,0,1)</f>
        <v/>
      </c>
      <c r="PV18">
        <f>IF($FX$18="",FALSE,SUMPRODUCT((IF('Final Calculation Sheet'!$AD$4:$AD$40&lt;=5,"SETTLED","OUTSTANDING")=$FX$18)*($PU$6:$PU$42=1))&gt;0)</f>
        <v/>
      </c>
      <c r="PW18">
        <f>$PW$17+--($PV18)</f>
        <v/>
      </c>
      <c r="PX18">
        <f>IF(ROW()-3&gt;MAX($PW$4:$PW$40),"",INDEX($FX$4:$FX$40,MATCH(ROW()-3,$PW$4:$PW$40,0)))</f>
        <v/>
      </c>
      <c r="PY18">
        <f>IF(COUNTIF('Buyer Groups'!DG71:EK71,0)+COUNTIF('Buyer Groups'!EM71:EN71,0)&gt;0,0,1)</f>
        <v/>
      </c>
      <c r="PZ18">
        <f>IF($FI$18="",FALSE,SUMPRODUCT(('Final Calculation Sheet'!$AF$4:$AF$40=$FI$18)*($PY$6:$PY$42=1))&gt;0)</f>
        <v/>
      </c>
      <c r="QA18">
        <f>$QA$17+--($PZ18)</f>
        <v/>
      </c>
      <c r="QB18">
        <f>IF(ROW()-3&gt;MAX($QA$4:$QA$40),"",INDEX($FI$4:$FI$40,MATCH(ROW()-3,$QA$4:$QA$40,0)))</f>
        <v/>
      </c>
      <c r="QC18">
        <f>IF(COUNTIF('Buyer Groups'!DG71:EL71,0)+COUNTIF('Buyer Groups'!EN71:EN71,0)&gt;0,0,1)</f>
        <v/>
      </c>
      <c r="QD18">
        <f>IF($FN$18="",FALSE,SUMPRODUCT(('Final Calculation Sheet'!$AG$4:$AG$40=$FN$18)*($QC$6:$QC$42=1))&gt;0)</f>
        <v/>
      </c>
      <c r="QE18">
        <f>$QE$17+--($QD18)</f>
        <v/>
      </c>
      <c r="QF18">
        <f>IF(ROW()-3&gt;MAX($QE$4:$QE$40),"",INDEX($FN$4:$FN$40,MATCH(ROW()-3,$QE$4:$QE$40,0)))</f>
        <v/>
      </c>
      <c r="QG18">
        <f>IF(COUNTIF('Buyer Groups'!DG71:EM71,0)&gt;0,0,1)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IF(IFERROR('Final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IF(IFERROR('Final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Groups'!DH72:EN72,0)&gt;0,0,1)</f>
        <v/>
      </c>
      <c r="LF19">
        <f>IF($O$19="",FALSE,SUMPRODUCT(('Final Calculation Sheet'!$F$4:$F$40=$O$19)*($LE$6:$LE$42=1))&gt;0)</f>
        <v/>
      </c>
      <c r="LG19">
        <f>$LG$18+--($LF19)</f>
        <v/>
      </c>
      <c r="LH19">
        <f>IF(ROW()-3&gt;MAX($LG$4:$LG$40),"",INDEX($O$4:$O$40,MATCH(ROW()-3,$LG$4:$LG$40,0)))</f>
        <v/>
      </c>
      <c r="LI19">
        <f>IF(COUNTIF('Buyer Groups'!DG72:DG72,0)+COUNTIF('Buyer Groups'!DI72:EN72,0)&gt;0,0,1)</f>
        <v/>
      </c>
      <c r="LJ19">
        <f>IF($T$19="",FALSE,SUMPRODUCT(('Final Calculation Sheet'!$G$4:$G$40=$T$19)*($LI$6:$LI$42=1))&gt;0)</f>
        <v/>
      </c>
      <c r="LK19">
        <f>$LK$18+--($LJ19)</f>
        <v/>
      </c>
      <c r="LL19">
        <f>IF(ROW()-3&gt;MAX($LK$4:$LK$40),"",INDEX($T$4:$T$40,MATCH(ROW()-3,$LK$4:$LK$40,0)))</f>
        <v/>
      </c>
      <c r="LM19">
        <f>IF(COUNTIF('Buyer Groups'!DG72:DH72,0)+COUNTIF('Buyer Groups'!DJ72:EN72,0)&gt;0,0,1)</f>
        <v/>
      </c>
      <c r="LN19">
        <f>IF($Y$19="",FALSE,SUMPRODUCT(('Final Calculation Sheet'!$B$4:$B$40=$Y$19)*($LM$6:$LM$42=1))&gt;0)</f>
        <v/>
      </c>
      <c r="LO19">
        <f>$LO$18+--($LN19)</f>
        <v/>
      </c>
      <c r="LP19">
        <f>IF(ROW()-3&gt;MAX($LO$4:$LO$40),"",INDEX($Y$4:$Y$40,MATCH(ROW()-3,$LO$4:$LO$40,0)))</f>
        <v/>
      </c>
      <c r="LQ19">
        <f>IF(COUNTIF('Buyer Groups'!DG72:DI72,0)+COUNTIF('Buyer Groups'!DK72:EN72,0)&gt;0,0,1)</f>
        <v/>
      </c>
      <c r="LR19">
        <f>IF($AD$19="",FALSE,SUMPRODUCT(('Final Calculation Sheet'!$D$4:$D$40=$AD$19)*($LQ$6:$LQ$42=1))&gt;0)</f>
        <v/>
      </c>
      <c r="LS19">
        <f>$LS$18+--($LR19)</f>
        <v/>
      </c>
      <c r="LT19">
        <f>IF(ROW()-3&gt;MAX($LS$4:$LS$40),"",INDEX($AD$4:$AD$40,MATCH(ROW()-3,$LS$4:$LS$40,0)))</f>
        <v/>
      </c>
      <c r="LU19">
        <f>IF(COUNTIF('Buyer Groups'!DG72:DJ72,0)+COUNTIF('Buyer Groups'!DL72:EN72,0)&gt;0,0,1)</f>
        <v/>
      </c>
      <c r="LV19">
        <f>IF($AI$19="",FALSE,SUMPRODUCT(('Final Calculation Sheet'!$A$4:$A$40=$AI$19)*($LU$6:$LU$42=1))&gt;0)</f>
        <v/>
      </c>
      <c r="LW19">
        <f>$LW$18+--($LV19)</f>
        <v/>
      </c>
      <c r="LX19">
        <f>IF(ROW()-3&gt;MAX($LW$4:$LW$40),"",INDEX($AI$4:$AI$40,MATCH(ROW()-3,$LW$4:$LW$40,0)))</f>
        <v/>
      </c>
      <c r="LY19">
        <f>IF(COUNTIF('Buyer Groups'!DG72:DK72,0)+COUNTIF('Buyer Groups'!DM72:EN72,0)&gt;0,0,1)</f>
        <v/>
      </c>
      <c r="LZ19">
        <f>IF($AN$19="",FALSE,SUMPRODUCT(('Final Calculation Sheet'!$E$4:$E$40=$AN$19)*($LY$6:$LY$42=1))&gt;0)</f>
        <v/>
      </c>
      <c r="MA19">
        <f>$MA$18+--($LZ19)</f>
        <v/>
      </c>
      <c r="MB19">
        <f>IF(ROW()-3&gt;MAX($MA$4:$MA$40),"",INDEX($AN$4:$AN$40,MATCH(ROW()-3,$MA$4:$MA$40,0)))</f>
        <v/>
      </c>
      <c r="MC19">
        <f>IF(COUNTIF('Buyer Groups'!DG72:DL72,0)+COUNTIF('Buyer Groups'!DN72:EN72,0)&gt;0,0,1)</f>
        <v/>
      </c>
      <c r="MD19">
        <f>IF($AS$19="",FALSE,SUMPRODUCT(('Final Calculation Sheet'!$C$4:$C$40=$AS$19)*($MC$6:$MC$42=1))&gt;0)</f>
        <v/>
      </c>
      <c r="ME19">
        <f>$ME$18+--($MD19)</f>
        <v/>
      </c>
      <c r="MF19">
        <f>IF(ROW()-3&gt;MAX($ME$4:$ME$40),"",INDEX($AS$4:$AS$40,MATCH(ROW()-3,$ME$4:$ME$40,0)))</f>
        <v/>
      </c>
      <c r="MG19">
        <f>IF(COUNTIF('Buyer Groups'!DG72:DM72,0)+COUNTIF('Buyer Groups'!DO72:EN72,0)&gt;0,0,1)</f>
        <v/>
      </c>
      <c r="MH19">
        <f>IF($AX$19="",FALSE,SUMPRODUCT(('Final Calculation Sheet'!$H$4:$H$40=$AX$19)*($MG$6:$MG$42=1))&gt;0)</f>
        <v/>
      </c>
      <c r="MI19">
        <f>$MI$18+--($MH19)</f>
        <v/>
      </c>
      <c r="MJ19">
        <f>IF(ROW()-3&gt;MAX($MI$4:$MI$40),"",INDEX($AX$4:$AX$40,MATCH(ROW()-3,$MI$4:$MI$40,0)))</f>
        <v/>
      </c>
      <c r="MK19">
        <f>IF(COUNTIF('Buyer Groups'!DG72:DN72,0)+COUNTIF('Buyer Groups'!DP72:EN72,0)&gt;0,0,1)</f>
        <v/>
      </c>
      <c r="ML19">
        <f>IF($BC$19="",FALSE,SUMPRODUCT(('Final Calculation Sheet'!$I$4:$I$40=$BC$19)*($MK$6:$MK$42=1))&gt;0)</f>
        <v/>
      </c>
      <c r="MM19">
        <f>$MM$18+--($ML19)</f>
        <v/>
      </c>
      <c r="MN19">
        <f>IF(ROW()-3&gt;MAX($MM$4:$MM$40),"",INDEX($BC$4:$BC$40,MATCH(ROW()-3,$MM$4:$MM$40,0)))</f>
        <v/>
      </c>
      <c r="MO19">
        <f>IF(COUNTIF('Buyer Groups'!DG72:DO72,0)+COUNTIF('Buyer Groups'!DQ72:EN72,0)&gt;0,0,1)</f>
        <v/>
      </c>
      <c r="MP19">
        <f>IF($BH$19="",FALSE,SUMPRODUCT(('Final Calculation Sheet'!$J$4:$J$40=$BH$19)*($MO$6:$MO$42=1))&gt;0)</f>
        <v/>
      </c>
      <c r="MQ19">
        <f>$MQ$18+--($MP19)</f>
        <v/>
      </c>
      <c r="MR19">
        <f>IF(ROW()-3&gt;MAX($MQ$4:$MQ$40),"",INDEX($BH$4:$BH$40,MATCH(ROW()-3,$MQ$4:$MQ$40,0)))</f>
        <v/>
      </c>
      <c r="MS19">
        <f>IF(COUNTIF('Buyer Groups'!DG72:DP72,0)+COUNTIF('Buyer Groups'!DR72:EN72,0)&gt;0,0,1)</f>
        <v/>
      </c>
      <c r="MT19">
        <f>IF($BM$19="",FALSE,SUMPRODUCT(('Final Calculation Sheet'!$K$4:$K$40=$BM$19)*($MS$6:$MS$42=1))&gt;0)</f>
        <v/>
      </c>
      <c r="MU19">
        <f>$MU$18+--($MT19)</f>
        <v/>
      </c>
      <c r="MV19">
        <f>IF(ROW()-3&gt;MAX($MU$4:$MU$40),"",INDEX($BM$4:$BM$40,MATCH(ROW()-3,$MU$4:$MU$40,0)))</f>
        <v/>
      </c>
      <c r="MW19">
        <f>IF(COUNTIF('Buyer Groups'!DG72:DQ72,0)+COUNTIF('Buyer Groups'!DS72:EN72,0)&gt;0,0,1)</f>
        <v/>
      </c>
      <c r="MX19">
        <f>IF($BR$19="",FALSE,SUMPRODUCT(('Final Calculation Sheet'!$L$4:$L$40=$BR$19)*($MW$6:$MW$42=1))&gt;0)</f>
        <v/>
      </c>
      <c r="MY19">
        <f>$MY$18+--($MX19)</f>
        <v/>
      </c>
      <c r="MZ19">
        <f>IF(ROW()-3&gt;MAX($MY$4:$MY$40),"",INDEX($BR$4:$BR$40,MATCH(ROW()-3,$MY$4:$MY$40,0)))</f>
        <v/>
      </c>
      <c r="NA19">
        <f>IF(COUNTIF('Buyer Groups'!DG72:DR72,0)+COUNTIF('Buyer Groups'!DT72:EN72,0)&gt;0,0,1)</f>
        <v/>
      </c>
      <c r="NB19">
        <f>IF($BW$19="",FALSE,SUMPRODUCT(('Final Calculation Sheet'!$M$4:$M$40=$BW$19)*($NA$6:$NA$42=1))&gt;0)</f>
        <v/>
      </c>
      <c r="NC19">
        <f>$NC$18+--($NB19)</f>
        <v/>
      </c>
      <c r="ND19">
        <f>IF(ROW()-3&gt;MAX($NC$4:$NC$40),"",INDEX($BW$4:$BW$40,MATCH(ROW()-3,$NC$4:$NC$40,0)))</f>
        <v/>
      </c>
      <c r="NE19">
        <f>IF(COUNTIF('Buyer Groups'!DG72:DS72,0)+COUNTIF('Buyer Groups'!DU72:EN72,0)&gt;0,0,1)</f>
        <v/>
      </c>
      <c r="NF19">
        <f>IF($CB$19="",FALSE,SUMPRODUCT(('Final Calculation Sheet'!$N$4:$N$40=$CB$19)*($NE$6:$NE$42=1))&gt;0)</f>
        <v/>
      </c>
      <c r="NG19">
        <f>$NG$18+--($NF19)</f>
        <v/>
      </c>
      <c r="NH19">
        <f>IF(ROW()-3&gt;MAX($NG$4:$NG$40),"",INDEX($CB$4:$CB$40,MATCH(ROW()-3,$NG$4:$NG$40,0)))</f>
        <v/>
      </c>
      <c r="NI19">
        <f>IF(COUNTIF('Buyer Groups'!DG72:DT72,0)+COUNTIF('Buyer Groups'!DV72:EN72,0)&gt;0,0,1)</f>
        <v/>
      </c>
      <c r="NJ19">
        <f>IF($CG$19="",FALSE,SUMPRODUCT(('Final Calculation Sheet'!$O$4:$O$40=$CG$19)*($NI$6:$NI$42=1))&gt;0)</f>
        <v/>
      </c>
      <c r="NK19">
        <f>$NK$18+--($NJ19)</f>
        <v/>
      </c>
      <c r="NL19">
        <f>IF(ROW()-3&gt;MAX($NK$4:$NK$40),"",INDEX($CG$4:$CG$40,MATCH(ROW()-3,$NK$4:$NK$40,0)))</f>
        <v/>
      </c>
      <c r="NM19">
        <f>IF(COUNTIF('Buyer Groups'!DG72:DU72,0)+COUNTIF('Buyer Groups'!DW72:EN72,0)&gt;0,0,1)</f>
        <v/>
      </c>
      <c r="NN19">
        <f>IF($CL$19="",FALSE,SUMPRODUCT(('Final Calculation Sheet'!$P$4:$P$40=$CL$19)*($NM$6:$NM$42=1))&gt;0)</f>
        <v/>
      </c>
      <c r="NO19">
        <f>$NO$18+--($NN19)</f>
        <v/>
      </c>
      <c r="NP19">
        <f>IF(ROW()-3&gt;MAX($NO$4:$NO$40),"",INDEX($CL$4:$CL$40,MATCH(ROW()-3,$NO$4:$NO$40,0)))</f>
        <v/>
      </c>
      <c r="NQ19">
        <f>IF(COUNTIF('Buyer Groups'!DG72:DV72,0)+COUNTIF('Buyer Groups'!DX72:EN72,0)&gt;0,0,1)</f>
        <v/>
      </c>
      <c r="NR19">
        <f>IF($CQ$19="",FALSE,SUMPRODUCT(('Final Calculation Sheet'!$Q$4:$Q$40=$CQ$19)*($NQ$6:$NQ$42=1))&gt;0)</f>
        <v/>
      </c>
      <c r="NS19">
        <f>$NS$18+--($NR19)</f>
        <v/>
      </c>
      <c r="NT19">
        <f>IF(ROW()-3&gt;MAX($NS$4:$NS$40),"",INDEX($CQ$4:$CQ$40,MATCH(ROW()-3,$NS$4:$NS$40,0)))</f>
        <v/>
      </c>
      <c r="NU19">
        <f>IF(COUNTIF('Buyer Groups'!DG72:DW72,0)+COUNTIF('Buyer Groups'!DY72:EN72,0)&gt;0,0,1)</f>
        <v/>
      </c>
      <c r="NV19">
        <f>IF($CV$19="",FALSE,SUMPRODUCT(('Final Calculation Sheet'!$R$4:$R$40=$CV$19)*($NU$6:$NU$42=1))&gt;0)</f>
        <v/>
      </c>
      <c r="NW19">
        <f>$NW$18+--($NV19)</f>
        <v/>
      </c>
      <c r="NX19">
        <f>IF(ROW()-3&gt;MAX($NW$4:$NW$40),"",INDEX($CV$4:$CV$40,MATCH(ROW()-3,$NW$4:$NW$40,0)))</f>
        <v/>
      </c>
      <c r="NY19">
        <f>IF(COUNTIF('Buyer Groups'!DG72:DX72,0)+COUNTIF('Buyer Groups'!DZ72:EN72,0)&gt;0,0,1)</f>
        <v/>
      </c>
      <c r="NZ19">
        <f>IF($DA$19="",FALSE,SUMPRODUCT(('Final Calculation Sheet'!$S$4:$S$40=$DA$19)*($NY$6:$NY$42=1))&gt;0)</f>
        <v/>
      </c>
      <c r="OA19">
        <f>$OA$18+--($NZ19)</f>
        <v/>
      </c>
      <c r="OB19">
        <f>IF(ROW()-3&gt;MAX($OA$4:$OA$40),"",INDEX($DA$4:$DA$40,MATCH(ROW()-3,$OA$4:$OA$40,0)))</f>
        <v/>
      </c>
      <c r="OC19">
        <f>IF(COUNTIF('Buyer Groups'!DG72:DY72,0)+COUNTIF('Buyer Groups'!EA72:EN72,0)&gt;0,0,1)</f>
        <v/>
      </c>
      <c r="OD19">
        <f>IF($DF$19="",FALSE,SUMPRODUCT(('Final Calculation Sheet'!$T$4:$T$40=$DF$19)*($OC$6:$OC$42=1))&gt;0)</f>
        <v/>
      </c>
      <c r="OE19">
        <f>$OE$18+--($OD19)</f>
        <v/>
      </c>
      <c r="OF19">
        <f>IF(ROW()-3&gt;MAX($OE$4:$OE$40),"",INDEX($DF$4:$DF$40,MATCH(ROW()-3,$OE$4:$OE$40,0)))</f>
        <v/>
      </c>
      <c r="OG19">
        <f>IF(COUNTIF('Buyer Groups'!DG72:DZ72,0)+COUNTIF('Buyer Groups'!EB72:EN72,0)&gt;0,0,1)</f>
        <v/>
      </c>
      <c r="OH19">
        <f>IF($DK$19="",FALSE,SUMPRODUCT(('Final Calculation Sheet'!$U$4:$U$40=$DK$19)*($OG$6:$OG$42=1))&gt;0)</f>
        <v/>
      </c>
      <c r="OI19">
        <f>$OI$18+--($OH19)</f>
        <v/>
      </c>
      <c r="OJ19">
        <f>IF(ROW()-3&gt;MAX($OI$4:$OI$40),"",INDEX($DK$4:$DK$40,MATCH(ROW()-3,$OI$4:$OI$40,0)))</f>
        <v/>
      </c>
      <c r="OK19">
        <f>IF(COUNTIF('Buyer Groups'!DG72:EA72,0)+COUNTIF('Buyer Groups'!EC72:EN72,0)&gt;0,0,1)</f>
        <v/>
      </c>
      <c r="OL19">
        <f>IF($DP$19="",FALSE,SUMPRODUCT(('Final Calculation Sheet'!$V$4:$V$40=$DP$19)*($OK$6:$OK$42=1))&gt;0)</f>
        <v/>
      </c>
      <c r="OM19">
        <f>$OM$18+--($OL19)</f>
        <v/>
      </c>
      <c r="ON19">
        <f>IF(ROW()-3&gt;MAX($OM$4:$OM$40),"",INDEX($DP$4:$DP$40,MATCH(ROW()-3,$OM$4:$OM$40,0)))</f>
        <v/>
      </c>
      <c r="OO19">
        <f>IF(COUNTIF('Buyer Groups'!DG72:EB72,0)+COUNTIF('Buyer Groups'!ED72:EN72,0)&gt;0,0,1)</f>
        <v/>
      </c>
      <c r="OP19">
        <f>IF($DU$19="",FALSE,SUMPRODUCT(('Final Calculation Sheet'!$W$4:$W$40=$DU$19)*($OO$6:$OO$42=1))&gt;0)</f>
        <v/>
      </c>
      <c r="OQ19">
        <f>$OQ$18+--($OP19)</f>
        <v/>
      </c>
      <c r="OR19">
        <f>IF(ROW()-3&gt;MAX($OQ$4:$OQ$40),"",INDEX($DU$4:$DU$40,MATCH(ROW()-3,$OQ$4:$OQ$40,0)))</f>
        <v/>
      </c>
      <c r="OS19">
        <f>IF(COUNTIF('Buyer Groups'!DG72:EC72,0)+COUNTIF('Buyer Groups'!EE72:EN72,0)&gt;0,0,1)</f>
        <v/>
      </c>
      <c r="OT19">
        <f>IF($DZ$19="",FALSE,SUMPRODUCT(('Final Calculation Sheet'!$X$4:$X$40=$DZ$19)*($OS$6:$OS$42=1))&gt;0)</f>
        <v/>
      </c>
      <c r="OU19">
        <f>$OU$18+--($OT19)</f>
        <v/>
      </c>
      <c r="OV19">
        <f>IF(ROW()-3&gt;MAX($OU$4:$OU$40),"",INDEX($DZ$4:$DZ$40,MATCH(ROW()-3,$OU$4:$OU$40,0)))</f>
        <v/>
      </c>
      <c r="OW19">
        <f>IF(COUNTIF('Buyer Groups'!DG72:ED72,0)+COUNTIF('Buyer Groups'!EF72:EN72,0)&gt;0,0,1)</f>
        <v/>
      </c>
      <c r="OX19">
        <f>IF($EE$19="",FALSE,SUMPRODUCT(('Final Calculation Sheet'!$Y$4:$Y$40=$EE$19)*($OW$6:$OW$42=1))&gt;0)</f>
        <v/>
      </c>
      <c r="OY19">
        <f>$OY$18+--($OX19)</f>
        <v/>
      </c>
      <c r="OZ19">
        <f>IF(ROW()-3&gt;MAX($OY$4:$OY$40),"",INDEX($EE$4:$EE$40,MATCH(ROW()-3,$OY$4:$OY$40,0)))</f>
        <v/>
      </c>
      <c r="PA19">
        <f>IF(COUNTIF('Buyer Groups'!DG72:EE72,0)+COUNTIF('Buyer Groups'!EG72:EN72,0)&gt;0,0,1)</f>
        <v/>
      </c>
      <c r="PB19">
        <f>IF($EJ$19="",FALSE,SUMPRODUCT(('Final Calculation Sheet'!$Z$4:$Z$40=$EJ$19)*($PA$6:$PA$42=1))&gt;0)</f>
        <v/>
      </c>
      <c r="PC19">
        <f>$PC$18+--($PB19)</f>
        <v/>
      </c>
      <c r="PD19">
        <f>IF(ROW()-3&gt;MAX($PC$4:$PC$40),"",INDEX($EJ$4:$EJ$40,MATCH(ROW()-3,$PC$4:$PC$40,0)))</f>
        <v/>
      </c>
      <c r="PE19">
        <f>IF(COUNTIF('Buyer Groups'!DG72:EF72,0)+COUNTIF('Buyer Groups'!EH72:EN72,0)&gt;0,0,1)</f>
        <v/>
      </c>
      <c r="PF19">
        <f>IF($EO$19="",FALSE,SUMPRODUCT(('Final Calculation Sheet'!$AA$4:$AA$40=$EO$19)*($PE$6:$PE$42=1))&gt;0)</f>
        <v/>
      </c>
      <c r="PG19">
        <f>$PG$18+--($PF19)</f>
        <v/>
      </c>
      <c r="PH19">
        <f>IF(ROW()-3&gt;MAX($PG$4:$PG$40),"",INDEX($EO$4:$EO$40,MATCH(ROW()-3,$PG$4:$PG$40,0)))</f>
        <v/>
      </c>
      <c r="PI19">
        <f>IF(COUNTIF('Buyer Groups'!DG72:EG72,0)+COUNTIF('Buyer Groups'!EI72:EN72,0)&gt;0,0,1)</f>
        <v/>
      </c>
      <c r="PJ19">
        <f>IF($ET$19="",FALSE,SUMPRODUCT(('Final Calculation Sheet'!$AB$4:$AB$40=$ET$19)*($PI$6:$PI$42=1))&gt;0)</f>
        <v/>
      </c>
      <c r="PK19">
        <f>$PK$18+--($PJ19)</f>
        <v/>
      </c>
      <c r="PL19">
        <f>IF(ROW()-3&gt;MAX($PK$4:$PK$40),"",INDEX($ET$4:$ET$40,MATCH(ROW()-3,$PK$4:$PK$40,0)))</f>
        <v/>
      </c>
      <c r="PM19">
        <f>IF(COUNTIF('Buyer Groups'!DG72:EH72,0)+COUNTIF('Buyer Groups'!EJ72:EN72,0)&gt;0,0,1)</f>
        <v/>
      </c>
      <c r="PN19">
        <f>IF($EY$19="",FALSE,SUMPRODUCT(('Final Calculation Sheet'!$AC$4:$AC$40=$EY$19)*($PM$6:$PM$42=1))&gt;0)</f>
        <v/>
      </c>
      <c r="PO19">
        <f>$PO$18+--($PN19)</f>
        <v/>
      </c>
      <c r="PP19">
        <f>IF(ROW()-3&gt;MAX($PO$4:$PO$40),"",INDEX($EY$4:$EY$40,MATCH(ROW()-3,$PO$4:$PO$40,0)))</f>
        <v/>
      </c>
      <c r="PQ19">
        <f>IF(COUNTIF('Buyer Groups'!DG72:EI72,0)+COUNTIF('Buyer Groups'!EK72:EN72,0)&gt;0,0,1)</f>
        <v/>
      </c>
      <c r="PR19">
        <f>IF($FD$19="",FALSE,SUMPRODUCT(('Final Calculation Sheet'!$AD$4:$AD$40=$FD$19)*($PQ$6:$PQ$42=1))&gt;0)</f>
        <v/>
      </c>
      <c r="PS19">
        <f>$PS$18+--($PR19)</f>
        <v/>
      </c>
      <c r="PT19">
        <f>IF(ROW()-3&gt;MAX($PS$4:$PS$40),"",INDEX($FD$4:$FD$40,MATCH(ROW()-3,$PS$4:$PS$40,0)))</f>
        <v/>
      </c>
      <c r="PU19">
        <f>IF(COUNTIF('Buyer Groups'!DG72:EJ72,0)+COUNTIF('Buyer Groups'!EL72:EN72,0)&gt;0,0,1)</f>
        <v/>
      </c>
      <c r="PV19">
        <f>IF($FX$19="",FALSE,SUMPRODUCT((IF('Final Calculation Sheet'!$AD$4:$AD$40&lt;=5,"SETTLED","OUTSTANDING")=$FX$19)*($PU$6:$PU$42=1))&gt;0)</f>
        <v/>
      </c>
      <c r="PW19">
        <f>$PW$18+--($PV19)</f>
        <v/>
      </c>
      <c r="PX19">
        <f>IF(ROW()-3&gt;MAX($PW$4:$PW$40),"",INDEX($FX$4:$FX$40,MATCH(ROW()-3,$PW$4:$PW$40,0)))</f>
        <v/>
      </c>
      <c r="PY19">
        <f>IF(COUNTIF('Buyer Groups'!DG72:EK72,0)+COUNTIF('Buyer Groups'!EM72:EN72,0)&gt;0,0,1)</f>
        <v/>
      </c>
      <c r="PZ19">
        <f>IF($FI$19="",FALSE,SUMPRODUCT(('Final Calculation Sheet'!$AF$4:$AF$40=$FI$19)*($PY$6:$PY$42=1))&gt;0)</f>
        <v/>
      </c>
      <c r="QA19">
        <f>$QA$18+--($PZ19)</f>
        <v/>
      </c>
      <c r="QB19">
        <f>IF(ROW()-3&gt;MAX($QA$4:$QA$40),"",INDEX($FI$4:$FI$40,MATCH(ROW()-3,$QA$4:$QA$40,0)))</f>
        <v/>
      </c>
      <c r="QC19">
        <f>IF(COUNTIF('Buyer Groups'!DG72:EL72,0)+COUNTIF('Buyer Groups'!EN72:EN72,0)&gt;0,0,1)</f>
        <v/>
      </c>
      <c r="QD19">
        <f>IF($FN$19="",FALSE,SUMPRODUCT(('Final Calculation Sheet'!$AG$4:$AG$40=$FN$19)*($QC$6:$QC$42=1))&gt;0)</f>
        <v/>
      </c>
      <c r="QE19">
        <f>$QE$18+--($QD19)</f>
        <v/>
      </c>
      <c r="QF19">
        <f>IF(ROW()-3&gt;MAX($QE$4:$QE$40),"",INDEX($FN$4:$FN$40,MATCH(ROW()-3,$QE$4:$QE$40,0)))</f>
        <v/>
      </c>
      <c r="QG19">
        <f>IF(COUNTIF('Buyer Groups'!DG72:EM72,0)&gt;0,0,1)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IF(IFERROR('Final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IF(IFERROR('Final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Groups'!DH73:EN73,0)&gt;0,0,1)</f>
        <v/>
      </c>
      <c r="LF20">
        <f>IF($O$20="",FALSE,SUMPRODUCT(('Final Calculation Sheet'!$F$4:$F$40=$O$20)*($LE$6:$LE$42=1))&gt;0)</f>
        <v/>
      </c>
      <c r="LG20">
        <f>$LG$19+--($LF20)</f>
        <v/>
      </c>
      <c r="LH20">
        <f>IF(ROW()-3&gt;MAX($LG$4:$LG$40),"",INDEX($O$4:$O$40,MATCH(ROW()-3,$LG$4:$LG$40,0)))</f>
        <v/>
      </c>
      <c r="LI20">
        <f>IF(COUNTIF('Buyer Groups'!DG73:DG73,0)+COUNTIF('Buyer Groups'!DI73:EN73,0)&gt;0,0,1)</f>
        <v/>
      </c>
      <c r="LJ20">
        <f>IF($T$20="",FALSE,SUMPRODUCT(('Final Calculation Sheet'!$G$4:$G$40=$T$20)*($LI$6:$LI$42=1))&gt;0)</f>
        <v/>
      </c>
      <c r="LK20">
        <f>$LK$19+--($LJ20)</f>
        <v/>
      </c>
      <c r="LL20">
        <f>IF(ROW()-3&gt;MAX($LK$4:$LK$40),"",INDEX($T$4:$T$40,MATCH(ROW()-3,$LK$4:$LK$40,0)))</f>
        <v/>
      </c>
      <c r="LM20">
        <f>IF(COUNTIF('Buyer Groups'!DG73:DH73,0)+COUNTIF('Buyer Groups'!DJ73:EN73,0)&gt;0,0,1)</f>
        <v/>
      </c>
      <c r="LN20">
        <f>IF($Y$20="",FALSE,SUMPRODUCT(('Final Calculation Sheet'!$B$4:$B$40=$Y$20)*($LM$6:$LM$42=1))&gt;0)</f>
        <v/>
      </c>
      <c r="LO20">
        <f>$LO$19+--($LN20)</f>
        <v/>
      </c>
      <c r="LP20">
        <f>IF(ROW()-3&gt;MAX($LO$4:$LO$40),"",INDEX($Y$4:$Y$40,MATCH(ROW()-3,$LO$4:$LO$40,0)))</f>
        <v/>
      </c>
      <c r="LQ20">
        <f>IF(COUNTIF('Buyer Groups'!DG73:DI73,0)+COUNTIF('Buyer Groups'!DK73:EN73,0)&gt;0,0,1)</f>
        <v/>
      </c>
      <c r="LR20">
        <f>IF($AD$20="",FALSE,SUMPRODUCT(('Final Calculation Sheet'!$D$4:$D$40=$AD$20)*($LQ$6:$LQ$42=1))&gt;0)</f>
        <v/>
      </c>
      <c r="LS20">
        <f>$LS$19+--($LR20)</f>
        <v/>
      </c>
      <c r="LT20">
        <f>IF(ROW()-3&gt;MAX($LS$4:$LS$40),"",INDEX($AD$4:$AD$40,MATCH(ROW()-3,$LS$4:$LS$40,0)))</f>
        <v/>
      </c>
      <c r="LU20">
        <f>IF(COUNTIF('Buyer Groups'!DG73:DJ73,0)+COUNTIF('Buyer Groups'!DL73:EN73,0)&gt;0,0,1)</f>
        <v/>
      </c>
      <c r="LV20">
        <f>IF($AI$20="",FALSE,SUMPRODUCT(('Final Calculation Sheet'!$A$4:$A$40=$AI$20)*($LU$6:$LU$42=1))&gt;0)</f>
        <v/>
      </c>
      <c r="LW20">
        <f>$LW$19+--($LV20)</f>
        <v/>
      </c>
      <c r="LX20">
        <f>IF(ROW()-3&gt;MAX($LW$4:$LW$40),"",INDEX($AI$4:$AI$40,MATCH(ROW()-3,$LW$4:$LW$40,0)))</f>
        <v/>
      </c>
      <c r="LY20">
        <f>IF(COUNTIF('Buyer Groups'!DG73:DK73,0)+COUNTIF('Buyer Groups'!DM73:EN73,0)&gt;0,0,1)</f>
        <v/>
      </c>
      <c r="LZ20">
        <f>IF($AN$20="",FALSE,SUMPRODUCT(('Final Calculation Sheet'!$E$4:$E$40=$AN$20)*($LY$6:$LY$42=1))&gt;0)</f>
        <v/>
      </c>
      <c r="MA20">
        <f>$MA$19+--($LZ20)</f>
        <v/>
      </c>
      <c r="MB20">
        <f>IF(ROW()-3&gt;MAX($MA$4:$MA$40),"",INDEX($AN$4:$AN$40,MATCH(ROW()-3,$MA$4:$MA$40,0)))</f>
        <v/>
      </c>
      <c r="MC20">
        <f>IF(COUNTIF('Buyer Groups'!DG73:DL73,0)+COUNTIF('Buyer Groups'!DN73:EN73,0)&gt;0,0,1)</f>
        <v/>
      </c>
      <c r="MD20">
        <f>IF($AS$20="",FALSE,SUMPRODUCT(('Final Calculation Sheet'!$C$4:$C$40=$AS$20)*($MC$6:$MC$42=1))&gt;0)</f>
        <v/>
      </c>
      <c r="ME20">
        <f>$ME$19+--($MD20)</f>
        <v/>
      </c>
      <c r="MF20">
        <f>IF(ROW()-3&gt;MAX($ME$4:$ME$40),"",INDEX($AS$4:$AS$40,MATCH(ROW()-3,$ME$4:$ME$40,0)))</f>
        <v/>
      </c>
      <c r="MG20">
        <f>IF(COUNTIF('Buyer Groups'!DG73:DM73,0)+COUNTIF('Buyer Groups'!DO73:EN73,0)&gt;0,0,1)</f>
        <v/>
      </c>
      <c r="MH20">
        <f>IF($AX$20="",FALSE,SUMPRODUCT(('Final Calculation Sheet'!$H$4:$H$40=$AX$20)*($MG$6:$MG$42=1))&gt;0)</f>
        <v/>
      </c>
      <c r="MI20">
        <f>$MI$19+--($MH20)</f>
        <v/>
      </c>
      <c r="MJ20">
        <f>IF(ROW()-3&gt;MAX($MI$4:$MI$40),"",INDEX($AX$4:$AX$40,MATCH(ROW()-3,$MI$4:$MI$40,0)))</f>
        <v/>
      </c>
      <c r="MK20">
        <f>IF(COUNTIF('Buyer Groups'!DG73:DN73,0)+COUNTIF('Buyer Groups'!DP73:EN73,0)&gt;0,0,1)</f>
        <v/>
      </c>
      <c r="ML20">
        <f>IF($BC$20="",FALSE,SUMPRODUCT(('Final Calculation Sheet'!$I$4:$I$40=$BC$20)*($MK$6:$MK$42=1))&gt;0)</f>
        <v/>
      </c>
      <c r="MM20">
        <f>$MM$19+--($ML20)</f>
        <v/>
      </c>
      <c r="MN20">
        <f>IF(ROW()-3&gt;MAX($MM$4:$MM$40),"",INDEX($BC$4:$BC$40,MATCH(ROW()-3,$MM$4:$MM$40,0)))</f>
        <v/>
      </c>
      <c r="MO20">
        <f>IF(COUNTIF('Buyer Groups'!DG73:DO73,0)+COUNTIF('Buyer Groups'!DQ73:EN73,0)&gt;0,0,1)</f>
        <v/>
      </c>
      <c r="MP20">
        <f>IF($BH$20="",FALSE,SUMPRODUCT(('Final Calculation Sheet'!$J$4:$J$40=$BH$20)*($MO$6:$MO$42=1))&gt;0)</f>
        <v/>
      </c>
      <c r="MQ20">
        <f>$MQ$19+--($MP20)</f>
        <v/>
      </c>
      <c r="MR20">
        <f>IF(ROW()-3&gt;MAX($MQ$4:$MQ$40),"",INDEX($BH$4:$BH$40,MATCH(ROW()-3,$MQ$4:$MQ$40,0)))</f>
        <v/>
      </c>
      <c r="MS20">
        <f>IF(COUNTIF('Buyer Groups'!DG73:DP73,0)+COUNTIF('Buyer Groups'!DR73:EN73,0)&gt;0,0,1)</f>
        <v/>
      </c>
      <c r="MT20">
        <f>IF($BM$20="",FALSE,SUMPRODUCT(('Final Calculation Sheet'!$K$4:$K$40=$BM$20)*($MS$6:$MS$42=1))&gt;0)</f>
        <v/>
      </c>
      <c r="MU20">
        <f>$MU$19+--($MT20)</f>
        <v/>
      </c>
      <c r="MV20">
        <f>IF(ROW()-3&gt;MAX($MU$4:$MU$40),"",INDEX($BM$4:$BM$40,MATCH(ROW()-3,$MU$4:$MU$40,0)))</f>
        <v/>
      </c>
      <c r="MW20">
        <f>IF(COUNTIF('Buyer Groups'!DG73:DQ73,0)+COUNTIF('Buyer Groups'!DS73:EN73,0)&gt;0,0,1)</f>
        <v/>
      </c>
      <c r="MX20">
        <f>IF($BR$20="",FALSE,SUMPRODUCT(('Final Calculation Sheet'!$L$4:$L$40=$BR$20)*($MW$6:$MW$42=1))&gt;0)</f>
        <v/>
      </c>
      <c r="MY20">
        <f>$MY$19+--($MX20)</f>
        <v/>
      </c>
      <c r="MZ20">
        <f>IF(ROW()-3&gt;MAX($MY$4:$MY$40),"",INDEX($BR$4:$BR$40,MATCH(ROW()-3,$MY$4:$MY$40,0)))</f>
        <v/>
      </c>
      <c r="NA20">
        <f>IF(COUNTIF('Buyer Groups'!DG73:DR73,0)+COUNTIF('Buyer Groups'!DT73:EN73,0)&gt;0,0,1)</f>
        <v/>
      </c>
      <c r="NB20">
        <f>IF($BW$20="",FALSE,SUMPRODUCT(('Final Calculation Sheet'!$M$4:$M$40=$BW$20)*($NA$6:$NA$42=1))&gt;0)</f>
        <v/>
      </c>
      <c r="NC20">
        <f>$NC$19+--($NB20)</f>
        <v/>
      </c>
      <c r="ND20">
        <f>IF(ROW()-3&gt;MAX($NC$4:$NC$40),"",INDEX($BW$4:$BW$40,MATCH(ROW()-3,$NC$4:$NC$40,0)))</f>
        <v/>
      </c>
      <c r="NE20">
        <f>IF(COUNTIF('Buyer Groups'!DG73:DS73,0)+COUNTIF('Buyer Groups'!DU73:EN73,0)&gt;0,0,1)</f>
        <v/>
      </c>
      <c r="NF20">
        <f>IF($CB$20="",FALSE,SUMPRODUCT(('Final Calculation Sheet'!$N$4:$N$40=$CB$20)*($NE$6:$NE$42=1))&gt;0)</f>
        <v/>
      </c>
      <c r="NG20">
        <f>$NG$19+--($NF20)</f>
        <v/>
      </c>
      <c r="NH20">
        <f>IF(ROW()-3&gt;MAX($NG$4:$NG$40),"",INDEX($CB$4:$CB$40,MATCH(ROW()-3,$NG$4:$NG$40,0)))</f>
        <v/>
      </c>
      <c r="NI20">
        <f>IF(COUNTIF('Buyer Groups'!DG73:DT73,0)+COUNTIF('Buyer Groups'!DV73:EN73,0)&gt;0,0,1)</f>
        <v/>
      </c>
      <c r="NJ20">
        <f>IF($CG$20="",FALSE,SUMPRODUCT(('Final Calculation Sheet'!$O$4:$O$40=$CG$20)*($NI$6:$NI$42=1))&gt;0)</f>
        <v/>
      </c>
      <c r="NK20">
        <f>$NK$19+--($NJ20)</f>
        <v/>
      </c>
      <c r="NL20">
        <f>IF(ROW()-3&gt;MAX($NK$4:$NK$40),"",INDEX($CG$4:$CG$40,MATCH(ROW()-3,$NK$4:$NK$40,0)))</f>
        <v/>
      </c>
      <c r="NM20">
        <f>IF(COUNTIF('Buyer Groups'!DG73:DU73,0)+COUNTIF('Buyer Groups'!DW73:EN73,0)&gt;0,0,1)</f>
        <v/>
      </c>
      <c r="NN20">
        <f>IF($CL$20="",FALSE,SUMPRODUCT(('Final Calculation Sheet'!$P$4:$P$40=$CL$20)*($NM$6:$NM$42=1))&gt;0)</f>
        <v/>
      </c>
      <c r="NO20">
        <f>$NO$19+--($NN20)</f>
        <v/>
      </c>
      <c r="NP20">
        <f>IF(ROW()-3&gt;MAX($NO$4:$NO$40),"",INDEX($CL$4:$CL$40,MATCH(ROW()-3,$NO$4:$NO$40,0)))</f>
        <v/>
      </c>
      <c r="NQ20">
        <f>IF(COUNTIF('Buyer Groups'!DG73:DV73,0)+COUNTIF('Buyer Groups'!DX73:EN73,0)&gt;0,0,1)</f>
        <v/>
      </c>
      <c r="NR20">
        <f>IF($CQ$20="",FALSE,SUMPRODUCT(('Final Calculation Sheet'!$Q$4:$Q$40=$CQ$20)*($NQ$6:$NQ$42=1))&gt;0)</f>
        <v/>
      </c>
      <c r="NS20">
        <f>$NS$19+--($NR20)</f>
        <v/>
      </c>
      <c r="NT20">
        <f>IF(ROW()-3&gt;MAX($NS$4:$NS$40),"",INDEX($CQ$4:$CQ$40,MATCH(ROW()-3,$NS$4:$NS$40,0)))</f>
        <v/>
      </c>
      <c r="NU20">
        <f>IF(COUNTIF('Buyer Groups'!DG73:DW73,0)+COUNTIF('Buyer Groups'!DY73:EN73,0)&gt;0,0,1)</f>
        <v/>
      </c>
      <c r="NV20">
        <f>IF($CV$20="",FALSE,SUMPRODUCT(('Final Calculation Sheet'!$R$4:$R$40=$CV$20)*($NU$6:$NU$42=1))&gt;0)</f>
        <v/>
      </c>
      <c r="NW20">
        <f>$NW$19+--($NV20)</f>
        <v/>
      </c>
      <c r="NX20">
        <f>IF(ROW()-3&gt;MAX($NW$4:$NW$40),"",INDEX($CV$4:$CV$40,MATCH(ROW()-3,$NW$4:$NW$40,0)))</f>
        <v/>
      </c>
      <c r="NY20">
        <f>IF(COUNTIF('Buyer Groups'!DG73:DX73,0)+COUNTIF('Buyer Groups'!DZ73:EN73,0)&gt;0,0,1)</f>
        <v/>
      </c>
      <c r="NZ20">
        <f>IF($DA$20="",FALSE,SUMPRODUCT(('Final Calculation Sheet'!$S$4:$S$40=$DA$20)*($NY$6:$NY$42=1))&gt;0)</f>
        <v/>
      </c>
      <c r="OA20">
        <f>$OA$19+--($NZ20)</f>
        <v/>
      </c>
      <c r="OB20">
        <f>IF(ROW()-3&gt;MAX($OA$4:$OA$40),"",INDEX($DA$4:$DA$40,MATCH(ROW()-3,$OA$4:$OA$40,0)))</f>
        <v/>
      </c>
      <c r="OC20">
        <f>IF(COUNTIF('Buyer Groups'!DG73:DY73,0)+COUNTIF('Buyer Groups'!EA73:EN73,0)&gt;0,0,1)</f>
        <v/>
      </c>
      <c r="OD20">
        <f>IF($DF$20="",FALSE,SUMPRODUCT(('Final Calculation Sheet'!$T$4:$T$40=$DF$20)*($OC$6:$OC$42=1))&gt;0)</f>
        <v/>
      </c>
      <c r="OE20">
        <f>$OE$19+--($OD20)</f>
        <v/>
      </c>
      <c r="OF20">
        <f>IF(ROW()-3&gt;MAX($OE$4:$OE$40),"",INDEX($DF$4:$DF$40,MATCH(ROW()-3,$OE$4:$OE$40,0)))</f>
        <v/>
      </c>
      <c r="OG20">
        <f>IF(COUNTIF('Buyer Groups'!DG73:DZ73,0)+COUNTIF('Buyer Groups'!EB73:EN73,0)&gt;0,0,1)</f>
        <v/>
      </c>
      <c r="OH20">
        <f>IF($DK$20="",FALSE,SUMPRODUCT(('Final Calculation Sheet'!$U$4:$U$40=$DK$20)*($OG$6:$OG$42=1))&gt;0)</f>
        <v/>
      </c>
      <c r="OI20">
        <f>$OI$19+--($OH20)</f>
        <v/>
      </c>
      <c r="OJ20">
        <f>IF(ROW()-3&gt;MAX($OI$4:$OI$40),"",INDEX($DK$4:$DK$40,MATCH(ROW()-3,$OI$4:$OI$40,0)))</f>
        <v/>
      </c>
      <c r="OK20">
        <f>IF(COUNTIF('Buyer Groups'!DG73:EA73,0)+COUNTIF('Buyer Groups'!EC73:EN73,0)&gt;0,0,1)</f>
        <v/>
      </c>
      <c r="OL20">
        <f>IF($DP$20="",FALSE,SUMPRODUCT(('Final Calculation Sheet'!$V$4:$V$40=$DP$20)*($OK$6:$OK$42=1))&gt;0)</f>
        <v/>
      </c>
      <c r="OM20">
        <f>$OM$19+--($OL20)</f>
        <v/>
      </c>
      <c r="ON20">
        <f>IF(ROW()-3&gt;MAX($OM$4:$OM$40),"",INDEX($DP$4:$DP$40,MATCH(ROW()-3,$OM$4:$OM$40,0)))</f>
        <v/>
      </c>
      <c r="OO20">
        <f>IF(COUNTIF('Buyer Groups'!DG73:EB73,0)+COUNTIF('Buyer Groups'!ED73:EN73,0)&gt;0,0,1)</f>
        <v/>
      </c>
      <c r="OP20">
        <f>IF($DU$20="",FALSE,SUMPRODUCT(('Final Calculation Sheet'!$W$4:$W$40=$DU$20)*($OO$6:$OO$42=1))&gt;0)</f>
        <v/>
      </c>
      <c r="OQ20">
        <f>$OQ$19+--($OP20)</f>
        <v/>
      </c>
      <c r="OR20">
        <f>IF(ROW()-3&gt;MAX($OQ$4:$OQ$40),"",INDEX($DU$4:$DU$40,MATCH(ROW()-3,$OQ$4:$OQ$40,0)))</f>
        <v/>
      </c>
      <c r="OS20">
        <f>IF(COUNTIF('Buyer Groups'!DG73:EC73,0)+COUNTIF('Buyer Groups'!EE73:EN73,0)&gt;0,0,1)</f>
        <v/>
      </c>
      <c r="OT20">
        <f>IF($DZ$20="",FALSE,SUMPRODUCT(('Final Calculation Sheet'!$X$4:$X$40=$DZ$20)*($OS$6:$OS$42=1))&gt;0)</f>
        <v/>
      </c>
      <c r="OU20">
        <f>$OU$19+--($OT20)</f>
        <v/>
      </c>
      <c r="OV20">
        <f>IF(ROW()-3&gt;MAX($OU$4:$OU$40),"",INDEX($DZ$4:$DZ$40,MATCH(ROW()-3,$OU$4:$OU$40,0)))</f>
        <v/>
      </c>
      <c r="OW20">
        <f>IF(COUNTIF('Buyer Groups'!DG73:ED73,0)+COUNTIF('Buyer Groups'!EF73:EN73,0)&gt;0,0,1)</f>
        <v/>
      </c>
      <c r="OX20">
        <f>IF($EE$20="",FALSE,SUMPRODUCT(('Final Calculation Sheet'!$Y$4:$Y$40=$EE$20)*($OW$6:$OW$42=1))&gt;0)</f>
        <v/>
      </c>
      <c r="OY20">
        <f>$OY$19+--($OX20)</f>
        <v/>
      </c>
      <c r="OZ20">
        <f>IF(ROW()-3&gt;MAX($OY$4:$OY$40),"",INDEX($EE$4:$EE$40,MATCH(ROW()-3,$OY$4:$OY$40,0)))</f>
        <v/>
      </c>
      <c r="PA20">
        <f>IF(COUNTIF('Buyer Groups'!DG73:EE73,0)+COUNTIF('Buyer Groups'!EG73:EN73,0)&gt;0,0,1)</f>
        <v/>
      </c>
      <c r="PB20">
        <f>IF($EJ$20="",FALSE,SUMPRODUCT(('Final Calculation Sheet'!$Z$4:$Z$40=$EJ$20)*($PA$6:$PA$42=1))&gt;0)</f>
        <v/>
      </c>
      <c r="PC20">
        <f>$PC$19+--($PB20)</f>
        <v/>
      </c>
      <c r="PD20">
        <f>IF(ROW()-3&gt;MAX($PC$4:$PC$40),"",INDEX($EJ$4:$EJ$40,MATCH(ROW()-3,$PC$4:$PC$40,0)))</f>
        <v/>
      </c>
      <c r="PE20">
        <f>IF(COUNTIF('Buyer Groups'!DG73:EF73,0)+COUNTIF('Buyer Groups'!EH73:EN73,0)&gt;0,0,1)</f>
        <v/>
      </c>
      <c r="PF20">
        <f>IF($EO$20="",FALSE,SUMPRODUCT(('Final Calculation Sheet'!$AA$4:$AA$40=$EO$20)*($PE$6:$PE$42=1))&gt;0)</f>
        <v/>
      </c>
      <c r="PG20">
        <f>$PG$19+--($PF20)</f>
        <v/>
      </c>
      <c r="PH20">
        <f>IF(ROW()-3&gt;MAX($PG$4:$PG$40),"",INDEX($EO$4:$EO$40,MATCH(ROW()-3,$PG$4:$PG$40,0)))</f>
        <v/>
      </c>
      <c r="PI20">
        <f>IF(COUNTIF('Buyer Groups'!DG73:EG73,0)+COUNTIF('Buyer Groups'!EI73:EN73,0)&gt;0,0,1)</f>
        <v/>
      </c>
      <c r="PJ20">
        <f>IF($ET$20="",FALSE,SUMPRODUCT(('Final Calculation Sheet'!$AB$4:$AB$40=$ET$20)*($PI$6:$PI$42=1))&gt;0)</f>
        <v/>
      </c>
      <c r="PK20">
        <f>$PK$19+--($PJ20)</f>
        <v/>
      </c>
      <c r="PL20">
        <f>IF(ROW()-3&gt;MAX($PK$4:$PK$40),"",INDEX($ET$4:$ET$40,MATCH(ROW()-3,$PK$4:$PK$40,0)))</f>
        <v/>
      </c>
      <c r="PM20">
        <f>IF(COUNTIF('Buyer Groups'!DG73:EH73,0)+COUNTIF('Buyer Groups'!EJ73:EN73,0)&gt;0,0,1)</f>
        <v/>
      </c>
      <c r="PN20">
        <f>IF($EY$20="",FALSE,SUMPRODUCT(('Final Calculation Sheet'!$AC$4:$AC$40=$EY$20)*($PM$6:$PM$42=1))&gt;0)</f>
        <v/>
      </c>
      <c r="PO20">
        <f>$PO$19+--($PN20)</f>
        <v/>
      </c>
      <c r="PP20">
        <f>IF(ROW()-3&gt;MAX($PO$4:$PO$40),"",INDEX($EY$4:$EY$40,MATCH(ROW()-3,$PO$4:$PO$40,0)))</f>
        <v/>
      </c>
      <c r="PQ20">
        <f>IF(COUNTIF('Buyer Groups'!DG73:EI73,0)+COUNTIF('Buyer Groups'!EK73:EN73,0)&gt;0,0,1)</f>
        <v/>
      </c>
      <c r="PR20">
        <f>IF($FD$20="",FALSE,SUMPRODUCT(('Final Calculation Sheet'!$AD$4:$AD$40=$FD$20)*($PQ$6:$PQ$42=1))&gt;0)</f>
        <v/>
      </c>
      <c r="PS20">
        <f>$PS$19+--($PR20)</f>
        <v/>
      </c>
      <c r="PT20">
        <f>IF(ROW()-3&gt;MAX($PS$4:$PS$40),"",INDEX($FD$4:$FD$40,MATCH(ROW()-3,$PS$4:$PS$40,0)))</f>
        <v/>
      </c>
      <c r="PU20">
        <f>IF(COUNTIF('Buyer Groups'!DG73:EJ73,0)+COUNTIF('Buyer Groups'!EL73:EN73,0)&gt;0,0,1)</f>
        <v/>
      </c>
      <c r="PV20">
        <f>IF($FX$20="",FALSE,SUMPRODUCT((IF('Final Calculation Sheet'!$AD$4:$AD$40&lt;=5,"SETTLED","OUTSTANDING")=$FX$20)*($PU$6:$PU$42=1))&gt;0)</f>
        <v/>
      </c>
      <c r="PW20">
        <f>$PW$19+--($PV20)</f>
        <v/>
      </c>
      <c r="PX20">
        <f>IF(ROW()-3&gt;MAX($PW$4:$PW$40),"",INDEX($FX$4:$FX$40,MATCH(ROW()-3,$PW$4:$PW$40,0)))</f>
        <v/>
      </c>
      <c r="PY20">
        <f>IF(COUNTIF('Buyer Groups'!DG73:EK73,0)+COUNTIF('Buyer Groups'!EM73:EN73,0)&gt;0,0,1)</f>
        <v/>
      </c>
      <c r="PZ20">
        <f>IF($FI$20="",FALSE,SUMPRODUCT(('Final Calculation Sheet'!$AF$4:$AF$40=$FI$20)*($PY$6:$PY$42=1))&gt;0)</f>
        <v/>
      </c>
      <c r="QA20">
        <f>$QA$19+--($PZ20)</f>
        <v/>
      </c>
      <c r="QB20">
        <f>IF(ROW()-3&gt;MAX($QA$4:$QA$40),"",INDEX($FI$4:$FI$40,MATCH(ROW()-3,$QA$4:$QA$40,0)))</f>
        <v/>
      </c>
      <c r="QC20">
        <f>IF(COUNTIF('Buyer Groups'!DG73:EL73,0)+COUNTIF('Buyer Groups'!EN73:EN73,0)&gt;0,0,1)</f>
        <v/>
      </c>
      <c r="QD20">
        <f>IF($FN$20="",FALSE,SUMPRODUCT(('Final Calculation Sheet'!$AG$4:$AG$40=$FN$20)*($QC$6:$QC$42=1))&gt;0)</f>
        <v/>
      </c>
      <c r="QE20">
        <f>$QE$19+--($QD20)</f>
        <v/>
      </c>
      <c r="QF20">
        <f>IF(ROW()-3&gt;MAX($QE$4:$QE$40),"",INDEX($FN$4:$FN$40,MATCH(ROW()-3,$QE$4:$QE$40,0)))</f>
        <v/>
      </c>
      <c r="QG20">
        <f>IF(COUNTIF('Buyer Groups'!DG73:EM73,0)&gt;0,0,1)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IF(IFERROR('Final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IF(IFERROR('Final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Groups'!DH74:EN74,0)&gt;0,0,1)</f>
        <v/>
      </c>
      <c r="LF21">
        <f>IF($O$21="",FALSE,SUMPRODUCT(('Final Calculation Sheet'!$F$4:$F$40=$O$21)*($LE$6:$LE$42=1))&gt;0)</f>
        <v/>
      </c>
      <c r="LG21">
        <f>$LG$20+--($LF21)</f>
        <v/>
      </c>
      <c r="LH21">
        <f>IF(ROW()-3&gt;MAX($LG$4:$LG$40),"",INDEX($O$4:$O$40,MATCH(ROW()-3,$LG$4:$LG$40,0)))</f>
        <v/>
      </c>
      <c r="LI21">
        <f>IF(COUNTIF('Buyer Groups'!DG74:DG74,0)+COUNTIF('Buyer Groups'!DI74:EN74,0)&gt;0,0,1)</f>
        <v/>
      </c>
      <c r="LJ21">
        <f>IF($T$21="",FALSE,SUMPRODUCT(('Final Calculation Sheet'!$G$4:$G$40=$T$21)*($LI$6:$LI$42=1))&gt;0)</f>
        <v/>
      </c>
      <c r="LK21">
        <f>$LK$20+--($LJ21)</f>
        <v/>
      </c>
      <c r="LL21">
        <f>IF(ROW()-3&gt;MAX($LK$4:$LK$40),"",INDEX($T$4:$T$40,MATCH(ROW()-3,$LK$4:$LK$40,0)))</f>
        <v/>
      </c>
      <c r="LM21">
        <f>IF(COUNTIF('Buyer Groups'!DG74:DH74,0)+COUNTIF('Buyer Groups'!DJ74:EN74,0)&gt;0,0,1)</f>
        <v/>
      </c>
      <c r="LN21">
        <f>IF($Y$21="",FALSE,SUMPRODUCT(('Final Calculation Sheet'!$B$4:$B$40=$Y$21)*($LM$6:$LM$42=1))&gt;0)</f>
        <v/>
      </c>
      <c r="LO21">
        <f>$LO$20+--($LN21)</f>
        <v/>
      </c>
      <c r="LP21">
        <f>IF(ROW()-3&gt;MAX($LO$4:$LO$40),"",INDEX($Y$4:$Y$40,MATCH(ROW()-3,$LO$4:$LO$40,0)))</f>
        <v/>
      </c>
      <c r="LQ21">
        <f>IF(COUNTIF('Buyer Groups'!DG74:DI74,0)+COUNTIF('Buyer Groups'!DK74:EN74,0)&gt;0,0,1)</f>
        <v/>
      </c>
      <c r="LR21">
        <f>IF($AD$21="",FALSE,SUMPRODUCT(('Final Calculation Sheet'!$D$4:$D$40=$AD$21)*($LQ$6:$LQ$42=1))&gt;0)</f>
        <v/>
      </c>
      <c r="LS21">
        <f>$LS$20+--($LR21)</f>
        <v/>
      </c>
      <c r="LT21">
        <f>IF(ROW()-3&gt;MAX($LS$4:$LS$40),"",INDEX($AD$4:$AD$40,MATCH(ROW()-3,$LS$4:$LS$40,0)))</f>
        <v/>
      </c>
      <c r="LU21">
        <f>IF(COUNTIF('Buyer Groups'!DG74:DJ74,0)+COUNTIF('Buyer Groups'!DL74:EN74,0)&gt;0,0,1)</f>
        <v/>
      </c>
      <c r="LV21">
        <f>IF($AI$21="",FALSE,SUMPRODUCT(('Final Calculation Sheet'!$A$4:$A$40=$AI$21)*($LU$6:$LU$42=1))&gt;0)</f>
        <v/>
      </c>
      <c r="LW21">
        <f>$LW$20+--($LV21)</f>
        <v/>
      </c>
      <c r="LX21">
        <f>IF(ROW()-3&gt;MAX($LW$4:$LW$40),"",INDEX($AI$4:$AI$40,MATCH(ROW()-3,$LW$4:$LW$40,0)))</f>
        <v/>
      </c>
      <c r="LY21">
        <f>IF(COUNTIF('Buyer Groups'!DG74:DK74,0)+COUNTIF('Buyer Groups'!DM74:EN74,0)&gt;0,0,1)</f>
        <v/>
      </c>
      <c r="LZ21">
        <f>IF($AN$21="",FALSE,SUMPRODUCT(('Final Calculation Sheet'!$E$4:$E$40=$AN$21)*($LY$6:$LY$42=1))&gt;0)</f>
        <v/>
      </c>
      <c r="MA21">
        <f>$MA$20+--($LZ21)</f>
        <v/>
      </c>
      <c r="MB21">
        <f>IF(ROW()-3&gt;MAX($MA$4:$MA$40),"",INDEX($AN$4:$AN$40,MATCH(ROW()-3,$MA$4:$MA$40,0)))</f>
        <v/>
      </c>
      <c r="MC21">
        <f>IF(COUNTIF('Buyer Groups'!DG74:DL74,0)+COUNTIF('Buyer Groups'!DN74:EN74,0)&gt;0,0,1)</f>
        <v/>
      </c>
      <c r="MD21">
        <f>IF($AS$21="",FALSE,SUMPRODUCT(('Final Calculation Sheet'!$C$4:$C$40=$AS$21)*($MC$6:$MC$42=1))&gt;0)</f>
        <v/>
      </c>
      <c r="ME21">
        <f>$ME$20+--($MD21)</f>
        <v/>
      </c>
      <c r="MF21">
        <f>IF(ROW()-3&gt;MAX($ME$4:$ME$40),"",INDEX($AS$4:$AS$40,MATCH(ROW()-3,$ME$4:$ME$40,0)))</f>
        <v/>
      </c>
      <c r="MG21">
        <f>IF(COUNTIF('Buyer Groups'!DG74:DM74,0)+COUNTIF('Buyer Groups'!DO74:EN74,0)&gt;0,0,1)</f>
        <v/>
      </c>
      <c r="MH21">
        <f>IF($AX$21="",FALSE,SUMPRODUCT(('Final Calculation Sheet'!$H$4:$H$40=$AX$21)*($MG$6:$MG$42=1))&gt;0)</f>
        <v/>
      </c>
      <c r="MI21">
        <f>$MI$20+--($MH21)</f>
        <v/>
      </c>
      <c r="MJ21">
        <f>IF(ROW()-3&gt;MAX($MI$4:$MI$40),"",INDEX($AX$4:$AX$40,MATCH(ROW()-3,$MI$4:$MI$40,0)))</f>
        <v/>
      </c>
      <c r="MK21">
        <f>IF(COUNTIF('Buyer Groups'!DG74:DN74,0)+COUNTIF('Buyer Groups'!DP74:EN74,0)&gt;0,0,1)</f>
        <v/>
      </c>
      <c r="ML21">
        <f>IF($BC$21="",FALSE,SUMPRODUCT(('Final Calculation Sheet'!$I$4:$I$40=$BC$21)*($MK$6:$MK$42=1))&gt;0)</f>
        <v/>
      </c>
      <c r="MM21">
        <f>$MM$20+--($ML21)</f>
        <v/>
      </c>
      <c r="MN21">
        <f>IF(ROW()-3&gt;MAX($MM$4:$MM$40),"",INDEX($BC$4:$BC$40,MATCH(ROW()-3,$MM$4:$MM$40,0)))</f>
        <v/>
      </c>
      <c r="MO21">
        <f>IF(COUNTIF('Buyer Groups'!DG74:DO74,0)+COUNTIF('Buyer Groups'!DQ74:EN74,0)&gt;0,0,1)</f>
        <v/>
      </c>
      <c r="MP21">
        <f>IF($BH$21="",FALSE,SUMPRODUCT(('Final Calculation Sheet'!$J$4:$J$40=$BH$21)*($MO$6:$MO$42=1))&gt;0)</f>
        <v/>
      </c>
      <c r="MQ21">
        <f>$MQ$20+--($MP21)</f>
        <v/>
      </c>
      <c r="MR21">
        <f>IF(ROW()-3&gt;MAX($MQ$4:$MQ$40),"",INDEX($BH$4:$BH$40,MATCH(ROW()-3,$MQ$4:$MQ$40,0)))</f>
        <v/>
      </c>
      <c r="MS21">
        <f>IF(COUNTIF('Buyer Groups'!DG74:DP74,0)+COUNTIF('Buyer Groups'!DR74:EN74,0)&gt;0,0,1)</f>
        <v/>
      </c>
      <c r="MT21">
        <f>IF($BM$21="",FALSE,SUMPRODUCT(('Final Calculation Sheet'!$K$4:$K$40=$BM$21)*($MS$6:$MS$42=1))&gt;0)</f>
        <v/>
      </c>
      <c r="MU21">
        <f>$MU$20+--($MT21)</f>
        <v/>
      </c>
      <c r="MV21">
        <f>IF(ROW()-3&gt;MAX($MU$4:$MU$40),"",INDEX($BM$4:$BM$40,MATCH(ROW()-3,$MU$4:$MU$40,0)))</f>
        <v/>
      </c>
      <c r="MW21">
        <f>IF(COUNTIF('Buyer Groups'!DG74:DQ74,0)+COUNTIF('Buyer Groups'!DS74:EN74,0)&gt;0,0,1)</f>
        <v/>
      </c>
      <c r="MX21">
        <f>IF($BR$21="",FALSE,SUMPRODUCT(('Final Calculation Sheet'!$L$4:$L$40=$BR$21)*($MW$6:$MW$42=1))&gt;0)</f>
        <v/>
      </c>
      <c r="MY21">
        <f>$MY$20+--($MX21)</f>
        <v/>
      </c>
      <c r="MZ21">
        <f>IF(ROW()-3&gt;MAX($MY$4:$MY$40),"",INDEX($BR$4:$BR$40,MATCH(ROW()-3,$MY$4:$MY$40,0)))</f>
        <v/>
      </c>
      <c r="NA21">
        <f>IF(COUNTIF('Buyer Groups'!DG74:DR74,0)+COUNTIF('Buyer Groups'!DT74:EN74,0)&gt;0,0,1)</f>
        <v/>
      </c>
      <c r="NB21">
        <f>IF($BW$21="",FALSE,SUMPRODUCT(('Final Calculation Sheet'!$M$4:$M$40=$BW$21)*($NA$6:$NA$42=1))&gt;0)</f>
        <v/>
      </c>
      <c r="NC21">
        <f>$NC$20+--($NB21)</f>
        <v/>
      </c>
      <c r="ND21">
        <f>IF(ROW()-3&gt;MAX($NC$4:$NC$40),"",INDEX($BW$4:$BW$40,MATCH(ROW()-3,$NC$4:$NC$40,0)))</f>
        <v/>
      </c>
      <c r="NE21">
        <f>IF(COUNTIF('Buyer Groups'!DG74:DS74,0)+COUNTIF('Buyer Groups'!DU74:EN74,0)&gt;0,0,1)</f>
        <v/>
      </c>
      <c r="NF21">
        <f>IF($CB$21="",FALSE,SUMPRODUCT(('Final Calculation Sheet'!$N$4:$N$40=$CB$21)*($NE$6:$NE$42=1))&gt;0)</f>
        <v/>
      </c>
      <c r="NG21">
        <f>$NG$20+--($NF21)</f>
        <v/>
      </c>
      <c r="NH21">
        <f>IF(ROW()-3&gt;MAX($NG$4:$NG$40),"",INDEX($CB$4:$CB$40,MATCH(ROW()-3,$NG$4:$NG$40,0)))</f>
        <v/>
      </c>
      <c r="NI21">
        <f>IF(COUNTIF('Buyer Groups'!DG74:DT74,0)+COUNTIF('Buyer Groups'!DV74:EN74,0)&gt;0,0,1)</f>
        <v/>
      </c>
      <c r="NJ21">
        <f>IF($CG$21="",FALSE,SUMPRODUCT(('Final Calculation Sheet'!$O$4:$O$40=$CG$21)*($NI$6:$NI$42=1))&gt;0)</f>
        <v/>
      </c>
      <c r="NK21">
        <f>$NK$20+--($NJ21)</f>
        <v/>
      </c>
      <c r="NL21">
        <f>IF(ROW()-3&gt;MAX($NK$4:$NK$40),"",INDEX($CG$4:$CG$40,MATCH(ROW()-3,$NK$4:$NK$40,0)))</f>
        <v/>
      </c>
      <c r="NM21">
        <f>IF(COUNTIF('Buyer Groups'!DG74:DU74,0)+COUNTIF('Buyer Groups'!DW74:EN74,0)&gt;0,0,1)</f>
        <v/>
      </c>
      <c r="NN21">
        <f>IF($CL$21="",FALSE,SUMPRODUCT(('Final Calculation Sheet'!$P$4:$P$40=$CL$21)*($NM$6:$NM$42=1))&gt;0)</f>
        <v/>
      </c>
      <c r="NO21">
        <f>$NO$20+--($NN21)</f>
        <v/>
      </c>
      <c r="NP21">
        <f>IF(ROW()-3&gt;MAX($NO$4:$NO$40),"",INDEX($CL$4:$CL$40,MATCH(ROW()-3,$NO$4:$NO$40,0)))</f>
        <v/>
      </c>
      <c r="NQ21">
        <f>IF(COUNTIF('Buyer Groups'!DG74:DV74,0)+COUNTIF('Buyer Groups'!DX74:EN74,0)&gt;0,0,1)</f>
        <v/>
      </c>
      <c r="NR21">
        <f>IF($CQ$21="",FALSE,SUMPRODUCT(('Final Calculation Sheet'!$Q$4:$Q$40=$CQ$21)*($NQ$6:$NQ$42=1))&gt;0)</f>
        <v/>
      </c>
      <c r="NS21">
        <f>$NS$20+--($NR21)</f>
        <v/>
      </c>
      <c r="NT21">
        <f>IF(ROW()-3&gt;MAX($NS$4:$NS$40),"",INDEX($CQ$4:$CQ$40,MATCH(ROW()-3,$NS$4:$NS$40,0)))</f>
        <v/>
      </c>
      <c r="NU21">
        <f>IF(COUNTIF('Buyer Groups'!DG74:DW74,0)+COUNTIF('Buyer Groups'!DY74:EN74,0)&gt;0,0,1)</f>
        <v/>
      </c>
      <c r="NV21">
        <f>IF($CV$21="",FALSE,SUMPRODUCT(('Final Calculation Sheet'!$R$4:$R$40=$CV$21)*($NU$6:$NU$42=1))&gt;0)</f>
        <v/>
      </c>
      <c r="NW21">
        <f>$NW$20+--($NV21)</f>
        <v/>
      </c>
      <c r="NX21">
        <f>IF(ROW()-3&gt;MAX($NW$4:$NW$40),"",INDEX($CV$4:$CV$40,MATCH(ROW()-3,$NW$4:$NW$40,0)))</f>
        <v/>
      </c>
      <c r="NY21">
        <f>IF(COUNTIF('Buyer Groups'!DG74:DX74,0)+COUNTIF('Buyer Groups'!DZ74:EN74,0)&gt;0,0,1)</f>
        <v/>
      </c>
      <c r="NZ21">
        <f>IF($DA$21="",FALSE,SUMPRODUCT(('Final Calculation Sheet'!$S$4:$S$40=$DA$21)*($NY$6:$NY$42=1))&gt;0)</f>
        <v/>
      </c>
      <c r="OA21">
        <f>$OA$20+--($NZ21)</f>
        <v/>
      </c>
      <c r="OB21">
        <f>IF(ROW()-3&gt;MAX($OA$4:$OA$40),"",INDEX($DA$4:$DA$40,MATCH(ROW()-3,$OA$4:$OA$40,0)))</f>
        <v/>
      </c>
      <c r="OC21">
        <f>IF(COUNTIF('Buyer Groups'!DG74:DY74,0)+COUNTIF('Buyer Groups'!EA74:EN74,0)&gt;0,0,1)</f>
        <v/>
      </c>
      <c r="OD21">
        <f>IF($DF$21="",FALSE,SUMPRODUCT(('Final Calculation Sheet'!$T$4:$T$40=$DF$21)*($OC$6:$OC$42=1))&gt;0)</f>
        <v/>
      </c>
      <c r="OE21">
        <f>$OE$20+--($OD21)</f>
        <v/>
      </c>
      <c r="OF21">
        <f>IF(ROW()-3&gt;MAX($OE$4:$OE$40),"",INDEX($DF$4:$DF$40,MATCH(ROW()-3,$OE$4:$OE$40,0)))</f>
        <v/>
      </c>
      <c r="OG21">
        <f>IF(COUNTIF('Buyer Groups'!DG74:DZ74,0)+COUNTIF('Buyer Groups'!EB74:EN74,0)&gt;0,0,1)</f>
        <v/>
      </c>
      <c r="OH21">
        <f>IF($DK$21="",FALSE,SUMPRODUCT(('Final Calculation Sheet'!$U$4:$U$40=$DK$21)*($OG$6:$OG$42=1))&gt;0)</f>
        <v/>
      </c>
      <c r="OI21">
        <f>$OI$20+--($OH21)</f>
        <v/>
      </c>
      <c r="OJ21">
        <f>IF(ROW()-3&gt;MAX($OI$4:$OI$40),"",INDEX($DK$4:$DK$40,MATCH(ROW()-3,$OI$4:$OI$40,0)))</f>
        <v/>
      </c>
      <c r="OK21">
        <f>IF(COUNTIF('Buyer Groups'!DG74:EA74,0)+COUNTIF('Buyer Groups'!EC74:EN74,0)&gt;0,0,1)</f>
        <v/>
      </c>
      <c r="OL21">
        <f>IF($DP$21="",FALSE,SUMPRODUCT(('Final Calculation Sheet'!$V$4:$V$40=$DP$21)*($OK$6:$OK$42=1))&gt;0)</f>
        <v/>
      </c>
      <c r="OM21">
        <f>$OM$20+--($OL21)</f>
        <v/>
      </c>
      <c r="ON21">
        <f>IF(ROW()-3&gt;MAX($OM$4:$OM$40),"",INDEX($DP$4:$DP$40,MATCH(ROW()-3,$OM$4:$OM$40,0)))</f>
        <v/>
      </c>
      <c r="OO21">
        <f>IF(COUNTIF('Buyer Groups'!DG74:EB74,0)+COUNTIF('Buyer Groups'!ED74:EN74,0)&gt;0,0,1)</f>
        <v/>
      </c>
      <c r="OP21">
        <f>IF($DU$21="",FALSE,SUMPRODUCT(('Final Calculation Sheet'!$W$4:$W$40=$DU$21)*($OO$6:$OO$42=1))&gt;0)</f>
        <v/>
      </c>
      <c r="OQ21">
        <f>$OQ$20+--($OP21)</f>
        <v/>
      </c>
      <c r="OR21">
        <f>IF(ROW()-3&gt;MAX($OQ$4:$OQ$40),"",INDEX($DU$4:$DU$40,MATCH(ROW()-3,$OQ$4:$OQ$40,0)))</f>
        <v/>
      </c>
      <c r="OS21">
        <f>IF(COUNTIF('Buyer Groups'!DG74:EC74,0)+COUNTIF('Buyer Groups'!EE74:EN74,0)&gt;0,0,1)</f>
        <v/>
      </c>
      <c r="OT21">
        <f>IF($DZ$21="",FALSE,SUMPRODUCT(('Final Calculation Sheet'!$X$4:$X$40=$DZ$21)*($OS$6:$OS$42=1))&gt;0)</f>
        <v/>
      </c>
      <c r="OU21">
        <f>$OU$20+--($OT21)</f>
        <v/>
      </c>
      <c r="OV21">
        <f>IF(ROW()-3&gt;MAX($OU$4:$OU$40),"",INDEX($DZ$4:$DZ$40,MATCH(ROW()-3,$OU$4:$OU$40,0)))</f>
        <v/>
      </c>
      <c r="OW21">
        <f>IF(COUNTIF('Buyer Groups'!DG74:ED74,0)+COUNTIF('Buyer Groups'!EF74:EN74,0)&gt;0,0,1)</f>
        <v/>
      </c>
      <c r="OX21">
        <f>IF($EE$21="",FALSE,SUMPRODUCT(('Final Calculation Sheet'!$Y$4:$Y$40=$EE$21)*($OW$6:$OW$42=1))&gt;0)</f>
        <v/>
      </c>
      <c r="OY21">
        <f>$OY$20+--($OX21)</f>
        <v/>
      </c>
      <c r="OZ21">
        <f>IF(ROW()-3&gt;MAX($OY$4:$OY$40),"",INDEX($EE$4:$EE$40,MATCH(ROW()-3,$OY$4:$OY$40,0)))</f>
        <v/>
      </c>
      <c r="PA21">
        <f>IF(COUNTIF('Buyer Groups'!DG74:EE74,0)+COUNTIF('Buyer Groups'!EG74:EN74,0)&gt;0,0,1)</f>
        <v/>
      </c>
      <c r="PB21">
        <f>IF($EJ$21="",FALSE,SUMPRODUCT(('Final Calculation Sheet'!$Z$4:$Z$40=$EJ$21)*($PA$6:$PA$42=1))&gt;0)</f>
        <v/>
      </c>
      <c r="PC21">
        <f>$PC$20+--($PB21)</f>
        <v/>
      </c>
      <c r="PD21">
        <f>IF(ROW()-3&gt;MAX($PC$4:$PC$40),"",INDEX($EJ$4:$EJ$40,MATCH(ROW()-3,$PC$4:$PC$40,0)))</f>
        <v/>
      </c>
      <c r="PE21">
        <f>IF(COUNTIF('Buyer Groups'!DG74:EF74,0)+COUNTIF('Buyer Groups'!EH74:EN74,0)&gt;0,0,1)</f>
        <v/>
      </c>
      <c r="PF21">
        <f>IF($EO$21="",FALSE,SUMPRODUCT(('Final Calculation Sheet'!$AA$4:$AA$40=$EO$21)*($PE$6:$PE$42=1))&gt;0)</f>
        <v/>
      </c>
      <c r="PG21">
        <f>$PG$20+--($PF21)</f>
        <v/>
      </c>
      <c r="PH21">
        <f>IF(ROW()-3&gt;MAX($PG$4:$PG$40),"",INDEX($EO$4:$EO$40,MATCH(ROW()-3,$PG$4:$PG$40,0)))</f>
        <v/>
      </c>
      <c r="PI21">
        <f>IF(COUNTIF('Buyer Groups'!DG74:EG74,0)+COUNTIF('Buyer Groups'!EI74:EN74,0)&gt;0,0,1)</f>
        <v/>
      </c>
      <c r="PJ21">
        <f>IF($ET$21="",FALSE,SUMPRODUCT(('Final Calculation Sheet'!$AB$4:$AB$40=$ET$21)*($PI$6:$PI$42=1))&gt;0)</f>
        <v/>
      </c>
      <c r="PK21">
        <f>$PK$20+--($PJ21)</f>
        <v/>
      </c>
      <c r="PL21">
        <f>IF(ROW()-3&gt;MAX($PK$4:$PK$40),"",INDEX($ET$4:$ET$40,MATCH(ROW()-3,$PK$4:$PK$40,0)))</f>
        <v/>
      </c>
      <c r="PM21">
        <f>IF(COUNTIF('Buyer Groups'!DG74:EH74,0)+COUNTIF('Buyer Groups'!EJ74:EN74,0)&gt;0,0,1)</f>
        <v/>
      </c>
      <c r="PN21">
        <f>IF($EY$21="",FALSE,SUMPRODUCT(('Final Calculation Sheet'!$AC$4:$AC$40=$EY$21)*($PM$6:$PM$42=1))&gt;0)</f>
        <v/>
      </c>
      <c r="PO21">
        <f>$PO$20+--($PN21)</f>
        <v/>
      </c>
      <c r="PP21">
        <f>IF(ROW()-3&gt;MAX($PO$4:$PO$40),"",INDEX($EY$4:$EY$40,MATCH(ROW()-3,$PO$4:$PO$40,0)))</f>
        <v/>
      </c>
      <c r="PQ21">
        <f>IF(COUNTIF('Buyer Groups'!DG74:EI74,0)+COUNTIF('Buyer Groups'!EK74:EN74,0)&gt;0,0,1)</f>
        <v/>
      </c>
      <c r="PR21">
        <f>IF($FD$21="",FALSE,SUMPRODUCT(('Final Calculation Sheet'!$AD$4:$AD$40=$FD$21)*($PQ$6:$PQ$42=1))&gt;0)</f>
        <v/>
      </c>
      <c r="PS21">
        <f>$PS$20+--($PR21)</f>
        <v/>
      </c>
      <c r="PT21">
        <f>IF(ROW()-3&gt;MAX($PS$4:$PS$40),"",INDEX($FD$4:$FD$40,MATCH(ROW()-3,$PS$4:$PS$40,0)))</f>
        <v/>
      </c>
      <c r="PU21">
        <f>IF(COUNTIF('Buyer Groups'!DG74:EJ74,0)+COUNTIF('Buyer Groups'!EL74:EN74,0)&gt;0,0,1)</f>
        <v/>
      </c>
      <c r="PV21">
        <f>IF($FX$21="",FALSE,SUMPRODUCT((IF('Final Calculation Sheet'!$AD$4:$AD$40&lt;=5,"SETTLED","OUTSTANDING")=$FX$21)*($PU$6:$PU$42=1))&gt;0)</f>
        <v/>
      </c>
      <c r="PW21">
        <f>$PW$20+--($PV21)</f>
        <v/>
      </c>
      <c r="PX21">
        <f>IF(ROW()-3&gt;MAX($PW$4:$PW$40),"",INDEX($FX$4:$FX$40,MATCH(ROW()-3,$PW$4:$PW$40,0)))</f>
        <v/>
      </c>
      <c r="PY21">
        <f>IF(COUNTIF('Buyer Groups'!DG74:EK74,0)+COUNTIF('Buyer Groups'!EM74:EN74,0)&gt;0,0,1)</f>
        <v/>
      </c>
      <c r="PZ21">
        <f>IF($FI$21="",FALSE,SUMPRODUCT(('Final Calculation Sheet'!$AF$4:$AF$40=$FI$21)*($PY$6:$PY$42=1))&gt;0)</f>
        <v/>
      </c>
      <c r="QA21">
        <f>$QA$20+--($PZ21)</f>
        <v/>
      </c>
      <c r="QB21">
        <f>IF(ROW()-3&gt;MAX($QA$4:$QA$40),"",INDEX($FI$4:$FI$40,MATCH(ROW()-3,$QA$4:$QA$40,0)))</f>
        <v/>
      </c>
      <c r="QC21">
        <f>IF(COUNTIF('Buyer Groups'!DG74:EL74,0)+COUNTIF('Buyer Groups'!EN74:EN74,0)&gt;0,0,1)</f>
        <v/>
      </c>
      <c r="QD21">
        <f>IF($FN$21="",FALSE,SUMPRODUCT(('Final Calculation Sheet'!$AG$4:$AG$40=$FN$21)*($QC$6:$QC$42=1))&gt;0)</f>
        <v/>
      </c>
      <c r="QE21">
        <f>$QE$20+--($QD21)</f>
        <v/>
      </c>
      <c r="QF21">
        <f>IF(ROW()-3&gt;MAX($QE$4:$QE$40),"",INDEX($FN$4:$FN$40,MATCH(ROW()-3,$QE$4:$QE$40,0)))</f>
        <v/>
      </c>
      <c r="QG21">
        <f>IF(COUNTIF('Buyer Groups'!DG74:EM74,0)&gt;0,0,1)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IF(IFERROR('Final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IF(IFERROR('Final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Groups'!DH75:EN75,0)&gt;0,0,1)</f>
        <v/>
      </c>
      <c r="LF22">
        <f>IF($O$22="",FALSE,SUMPRODUCT(('Final Calculation Sheet'!$F$4:$F$40=$O$22)*($LE$6:$LE$42=1))&gt;0)</f>
        <v/>
      </c>
      <c r="LG22">
        <f>$LG$21+--($LF22)</f>
        <v/>
      </c>
      <c r="LH22">
        <f>IF(ROW()-3&gt;MAX($LG$4:$LG$40),"",INDEX($O$4:$O$40,MATCH(ROW()-3,$LG$4:$LG$40,0)))</f>
        <v/>
      </c>
      <c r="LI22">
        <f>IF(COUNTIF('Buyer Groups'!DG75:DG75,0)+COUNTIF('Buyer Groups'!DI75:EN75,0)&gt;0,0,1)</f>
        <v/>
      </c>
      <c r="LJ22">
        <f>IF($T$22="",FALSE,SUMPRODUCT(('Final Calculation Sheet'!$G$4:$G$40=$T$22)*($LI$6:$LI$42=1))&gt;0)</f>
        <v/>
      </c>
      <c r="LK22">
        <f>$LK$21+--($LJ22)</f>
        <v/>
      </c>
      <c r="LL22">
        <f>IF(ROW()-3&gt;MAX($LK$4:$LK$40),"",INDEX($T$4:$T$40,MATCH(ROW()-3,$LK$4:$LK$40,0)))</f>
        <v/>
      </c>
      <c r="LM22">
        <f>IF(COUNTIF('Buyer Groups'!DG75:DH75,0)+COUNTIF('Buyer Groups'!DJ75:EN75,0)&gt;0,0,1)</f>
        <v/>
      </c>
      <c r="LN22">
        <f>IF($Y$22="",FALSE,SUMPRODUCT(('Final Calculation Sheet'!$B$4:$B$40=$Y$22)*($LM$6:$LM$42=1))&gt;0)</f>
        <v/>
      </c>
      <c r="LO22">
        <f>$LO$21+--($LN22)</f>
        <v/>
      </c>
      <c r="LP22">
        <f>IF(ROW()-3&gt;MAX($LO$4:$LO$40),"",INDEX($Y$4:$Y$40,MATCH(ROW()-3,$LO$4:$LO$40,0)))</f>
        <v/>
      </c>
      <c r="LQ22">
        <f>IF(COUNTIF('Buyer Groups'!DG75:DI75,0)+COUNTIF('Buyer Groups'!DK75:EN75,0)&gt;0,0,1)</f>
        <v/>
      </c>
      <c r="LR22">
        <f>IF($AD$22="",FALSE,SUMPRODUCT(('Final Calculation Sheet'!$D$4:$D$40=$AD$22)*($LQ$6:$LQ$42=1))&gt;0)</f>
        <v/>
      </c>
      <c r="LS22">
        <f>$LS$21+--($LR22)</f>
        <v/>
      </c>
      <c r="LT22">
        <f>IF(ROW()-3&gt;MAX($LS$4:$LS$40),"",INDEX($AD$4:$AD$40,MATCH(ROW()-3,$LS$4:$LS$40,0)))</f>
        <v/>
      </c>
      <c r="LU22">
        <f>IF(COUNTIF('Buyer Groups'!DG75:DJ75,0)+COUNTIF('Buyer Groups'!DL75:EN75,0)&gt;0,0,1)</f>
        <v/>
      </c>
      <c r="LV22">
        <f>IF($AI$22="",FALSE,SUMPRODUCT(('Final Calculation Sheet'!$A$4:$A$40=$AI$22)*($LU$6:$LU$42=1))&gt;0)</f>
        <v/>
      </c>
      <c r="LW22">
        <f>$LW$21+--($LV22)</f>
        <v/>
      </c>
      <c r="LX22">
        <f>IF(ROW()-3&gt;MAX($LW$4:$LW$40),"",INDEX($AI$4:$AI$40,MATCH(ROW()-3,$LW$4:$LW$40,0)))</f>
        <v/>
      </c>
      <c r="LY22">
        <f>IF(COUNTIF('Buyer Groups'!DG75:DK75,0)+COUNTIF('Buyer Groups'!DM75:EN75,0)&gt;0,0,1)</f>
        <v/>
      </c>
      <c r="LZ22">
        <f>IF($AN$22="",FALSE,SUMPRODUCT(('Final Calculation Sheet'!$E$4:$E$40=$AN$22)*($LY$6:$LY$42=1))&gt;0)</f>
        <v/>
      </c>
      <c r="MA22">
        <f>$MA$21+--($LZ22)</f>
        <v/>
      </c>
      <c r="MB22">
        <f>IF(ROW()-3&gt;MAX($MA$4:$MA$40),"",INDEX($AN$4:$AN$40,MATCH(ROW()-3,$MA$4:$MA$40,0)))</f>
        <v/>
      </c>
      <c r="MC22">
        <f>IF(COUNTIF('Buyer Groups'!DG75:DL75,0)+COUNTIF('Buyer Groups'!DN75:EN75,0)&gt;0,0,1)</f>
        <v/>
      </c>
      <c r="MD22">
        <f>IF($AS$22="",FALSE,SUMPRODUCT(('Final Calculation Sheet'!$C$4:$C$40=$AS$22)*($MC$6:$MC$42=1))&gt;0)</f>
        <v/>
      </c>
      <c r="ME22">
        <f>$ME$21+--($MD22)</f>
        <v/>
      </c>
      <c r="MF22">
        <f>IF(ROW()-3&gt;MAX($ME$4:$ME$40),"",INDEX($AS$4:$AS$40,MATCH(ROW()-3,$ME$4:$ME$40,0)))</f>
        <v/>
      </c>
      <c r="MG22">
        <f>IF(COUNTIF('Buyer Groups'!DG75:DM75,0)+COUNTIF('Buyer Groups'!DO75:EN75,0)&gt;0,0,1)</f>
        <v/>
      </c>
      <c r="MH22">
        <f>IF($AX$22="",FALSE,SUMPRODUCT(('Final Calculation Sheet'!$H$4:$H$40=$AX$22)*($MG$6:$MG$42=1))&gt;0)</f>
        <v/>
      </c>
      <c r="MI22">
        <f>$MI$21+--($MH22)</f>
        <v/>
      </c>
      <c r="MJ22">
        <f>IF(ROW()-3&gt;MAX($MI$4:$MI$40),"",INDEX($AX$4:$AX$40,MATCH(ROW()-3,$MI$4:$MI$40,0)))</f>
        <v/>
      </c>
      <c r="MK22">
        <f>IF(COUNTIF('Buyer Groups'!DG75:DN75,0)+COUNTIF('Buyer Groups'!DP75:EN75,0)&gt;0,0,1)</f>
        <v/>
      </c>
      <c r="ML22">
        <f>IF($BC$22="",FALSE,SUMPRODUCT(('Final Calculation Sheet'!$I$4:$I$40=$BC$22)*($MK$6:$MK$42=1))&gt;0)</f>
        <v/>
      </c>
      <c r="MM22">
        <f>$MM$21+--($ML22)</f>
        <v/>
      </c>
      <c r="MN22">
        <f>IF(ROW()-3&gt;MAX($MM$4:$MM$40),"",INDEX($BC$4:$BC$40,MATCH(ROW()-3,$MM$4:$MM$40,0)))</f>
        <v/>
      </c>
      <c r="MO22">
        <f>IF(COUNTIF('Buyer Groups'!DG75:DO75,0)+COUNTIF('Buyer Groups'!DQ75:EN75,0)&gt;0,0,1)</f>
        <v/>
      </c>
      <c r="MP22">
        <f>IF($BH$22="",FALSE,SUMPRODUCT(('Final Calculation Sheet'!$J$4:$J$40=$BH$22)*($MO$6:$MO$42=1))&gt;0)</f>
        <v/>
      </c>
      <c r="MQ22">
        <f>$MQ$21+--($MP22)</f>
        <v/>
      </c>
      <c r="MR22">
        <f>IF(ROW()-3&gt;MAX($MQ$4:$MQ$40),"",INDEX($BH$4:$BH$40,MATCH(ROW()-3,$MQ$4:$MQ$40,0)))</f>
        <v/>
      </c>
      <c r="MS22">
        <f>IF(COUNTIF('Buyer Groups'!DG75:DP75,0)+COUNTIF('Buyer Groups'!DR75:EN75,0)&gt;0,0,1)</f>
        <v/>
      </c>
      <c r="MT22">
        <f>IF($BM$22="",FALSE,SUMPRODUCT(('Final Calculation Sheet'!$K$4:$K$40=$BM$22)*($MS$6:$MS$42=1))&gt;0)</f>
        <v/>
      </c>
      <c r="MU22">
        <f>$MU$21+--($MT22)</f>
        <v/>
      </c>
      <c r="MV22">
        <f>IF(ROW()-3&gt;MAX($MU$4:$MU$40),"",INDEX($BM$4:$BM$40,MATCH(ROW()-3,$MU$4:$MU$40,0)))</f>
        <v/>
      </c>
      <c r="MW22">
        <f>IF(COUNTIF('Buyer Groups'!DG75:DQ75,0)+COUNTIF('Buyer Groups'!DS75:EN75,0)&gt;0,0,1)</f>
        <v/>
      </c>
      <c r="MX22">
        <f>IF($BR$22="",FALSE,SUMPRODUCT(('Final Calculation Sheet'!$L$4:$L$40=$BR$22)*($MW$6:$MW$42=1))&gt;0)</f>
        <v/>
      </c>
      <c r="MY22">
        <f>$MY$21+--($MX22)</f>
        <v/>
      </c>
      <c r="MZ22">
        <f>IF(ROW()-3&gt;MAX($MY$4:$MY$40),"",INDEX($BR$4:$BR$40,MATCH(ROW()-3,$MY$4:$MY$40,0)))</f>
        <v/>
      </c>
      <c r="NA22">
        <f>IF(COUNTIF('Buyer Groups'!DG75:DR75,0)+COUNTIF('Buyer Groups'!DT75:EN75,0)&gt;0,0,1)</f>
        <v/>
      </c>
      <c r="NB22">
        <f>IF($BW$22="",FALSE,SUMPRODUCT(('Final Calculation Sheet'!$M$4:$M$40=$BW$22)*($NA$6:$NA$42=1))&gt;0)</f>
        <v/>
      </c>
      <c r="NC22">
        <f>$NC$21+--($NB22)</f>
        <v/>
      </c>
      <c r="ND22">
        <f>IF(ROW()-3&gt;MAX($NC$4:$NC$40),"",INDEX($BW$4:$BW$40,MATCH(ROW()-3,$NC$4:$NC$40,0)))</f>
        <v/>
      </c>
      <c r="NE22">
        <f>IF(COUNTIF('Buyer Groups'!DG75:DS75,0)+COUNTIF('Buyer Groups'!DU75:EN75,0)&gt;0,0,1)</f>
        <v/>
      </c>
      <c r="NF22">
        <f>IF($CB$22="",FALSE,SUMPRODUCT(('Final Calculation Sheet'!$N$4:$N$40=$CB$22)*($NE$6:$NE$42=1))&gt;0)</f>
        <v/>
      </c>
      <c r="NG22">
        <f>$NG$21+--($NF22)</f>
        <v/>
      </c>
      <c r="NH22">
        <f>IF(ROW()-3&gt;MAX($NG$4:$NG$40),"",INDEX($CB$4:$CB$40,MATCH(ROW()-3,$NG$4:$NG$40,0)))</f>
        <v/>
      </c>
      <c r="NI22">
        <f>IF(COUNTIF('Buyer Groups'!DG75:DT75,0)+COUNTIF('Buyer Groups'!DV75:EN75,0)&gt;0,0,1)</f>
        <v/>
      </c>
      <c r="NJ22">
        <f>IF($CG$22="",FALSE,SUMPRODUCT(('Final Calculation Sheet'!$O$4:$O$40=$CG$22)*($NI$6:$NI$42=1))&gt;0)</f>
        <v/>
      </c>
      <c r="NK22">
        <f>$NK$21+--($NJ22)</f>
        <v/>
      </c>
      <c r="NL22">
        <f>IF(ROW()-3&gt;MAX($NK$4:$NK$40),"",INDEX($CG$4:$CG$40,MATCH(ROW()-3,$NK$4:$NK$40,0)))</f>
        <v/>
      </c>
      <c r="NM22">
        <f>IF(COUNTIF('Buyer Groups'!DG75:DU75,0)+COUNTIF('Buyer Groups'!DW75:EN75,0)&gt;0,0,1)</f>
        <v/>
      </c>
      <c r="NN22">
        <f>IF($CL$22="",FALSE,SUMPRODUCT(('Final Calculation Sheet'!$P$4:$P$40=$CL$22)*($NM$6:$NM$42=1))&gt;0)</f>
        <v/>
      </c>
      <c r="NO22">
        <f>$NO$21+--($NN22)</f>
        <v/>
      </c>
      <c r="NP22">
        <f>IF(ROW()-3&gt;MAX($NO$4:$NO$40),"",INDEX($CL$4:$CL$40,MATCH(ROW()-3,$NO$4:$NO$40,0)))</f>
        <v/>
      </c>
      <c r="NQ22">
        <f>IF(COUNTIF('Buyer Groups'!DG75:DV75,0)+COUNTIF('Buyer Groups'!DX75:EN75,0)&gt;0,0,1)</f>
        <v/>
      </c>
      <c r="NR22">
        <f>IF($CQ$22="",FALSE,SUMPRODUCT(('Final Calculation Sheet'!$Q$4:$Q$40=$CQ$22)*($NQ$6:$NQ$42=1))&gt;0)</f>
        <v/>
      </c>
      <c r="NS22">
        <f>$NS$21+--($NR22)</f>
        <v/>
      </c>
      <c r="NT22">
        <f>IF(ROW()-3&gt;MAX($NS$4:$NS$40),"",INDEX($CQ$4:$CQ$40,MATCH(ROW()-3,$NS$4:$NS$40,0)))</f>
        <v/>
      </c>
      <c r="NU22">
        <f>IF(COUNTIF('Buyer Groups'!DG75:DW75,0)+COUNTIF('Buyer Groups'!DY75:EN75,0)&gt;0,0,1)</f>
        <v/>
      </c>
      <c r="NV22">
        <f>IF($CV$22="",FALSE,SUMPRODUCT(('Final Calculation Sheet'!$R$4:$R$40=$CV$22)*($NU$6:$NU$42=1))&gt;0)</f>
        <v/>
      </c>
      <c r="NW22">
        <f>$NW$21+--($NV22)</f>
        <v/>
      </c>
      <c r="NX22">
        <f>IF(ROW()-3&gt;MAX($NW$4:$NW$40),"",INDEX($CV$4:$CV$40,MATCH(ROW()-3,$NW$4:$NW$40,0)))</f>
        <v/>
      </c>
      <c r="NY22">
        <f>IF(COUNTIF('Buyer Groups'!DG75:DX75,0)+COUNTIF('Buyer Groups'!DZ75:EN75,0)&gt;0,0,1)</f>
        <v/>
      </c>
      <c r="NZ22">
        <f>IF($DA$22="",FALSE,SUMPRODUCT(('Final Calculation Sheet'!$S$4:$S$40=$DA$22)*($NY$6:$NY$42=1))&gt;0)</f>
        <v/>
      </c>
      <c r="OA22">
        <f>$OA$21+--($NZ22)</f>
        <v/>
      </c>
      <c r="OB22">
        <f>IF(ROW()-3&gt;MAX($OA$4:$OA$40),"",INDEX($DA$4:$DA$40,MATCH(ROW()-3,$OA$4:$OA$40,0)))</f>
        <v/>
      </c>
      <c r="OC22">
        <f>IF(COUNTIF('Buyer Groups'!DG75:DY75,0)+COUNTIF('Buyer Groups'!EA75:EN75,0)&gt;0,0,1)</f>
        <v/>
      </c>
      <c r="OD22">
        <f>IF($DF$22="",FALSE,SUMPRODUCT(('Final Calculation Sheet'!$T$4:$T$40=$DF$22)*($OC$6:$OC$42=1))&gt;0)</f>
        <v/>
      </c>
      <c r="OE22">
        <f>$OE$21+--($OD22)</f>
        <v/>
      </c>
      <c r="OF22">
        <f>IF(ROW()-3&gt;MAX($OE$4:$OE$40),"",INDEX($DF$4:$DF$40,MATCH(ROW()-3,$OE$4:$OE$40,0)))</f>
        <v/>
      </c>
      <c r="OG22">
        <f>IF(COUNTIF('Buyer Groups'!DG75:DZ75,0)+COUNTIF('Buyer Groups'!EB75:EN75,0)&gt;0,0,1)</f>
        <v/>
      </c>
      <c r="OH22">
        <f>IF($DK$22="",FALSE,SUMPRODUCT(('Final Calculation Sheet'!$U$4:$U$40=$DK$22)*($OG$6:$OG$42=1))&gt;0)</f>
        <v/>
      </c>
      <c r="OI22">
        <f>$OI$21+--($OH22)</f>
        <v/>
      </c>
      <c r="OJ22">
        <f>IF(ROW()-3&gt;MAX($OI$4:$OI$40),"",INDEX($DK$4:$DK$40,MATCH(ROW()-3,$OI$4:$OI$40,0)))</f>
        <v/>
      </c>
      <c r="OK22">
        <f>IF(COUNTIF('Buyer Groups'!DG75:EA75,0)+COUNTIF('Buyer Groups'!EC75:EN75,0)&gt;0,0,1)</f>
        <v/>
      </c>
      <c r="OL22">
        <f>IF($DP$22="",FALSE,SUMPRODUCT(('Final Calculation Sheet'!$V$4:$V$40=$DP$22)*($OK$6:$OK$42=1))&gt;0)</f>
        <v/>
      </c>
      <c r="OM22">
        <f>$OM$21+--($OL22)</f>
        <v/>
      </c>
      <c r="ON22">
        <f>IF(ROW()-3&gt;MAX($OM$4:$OM$40),"",INDEX($DP$4:$DP$40,MATCH(ROW()-3,$OM$4:$OM$40,0)))</f>
        <v/>
      </c>
      <c r="OO22">
        <f>IF(COUNTIF('Buyer Groups'!DG75:EB75,0)+COUNTIF('Buyer Groups'!ED75:EN75,0)&gt;0,0,1)</f>
        <v/>
      </c>
      <c r="OP22">
        <f>IF($DU$22="",FALSE,SUMPRODUCT(('Final Calculation Sheet'!$W$4:$W$40=$DU$22)*($OO$6:$OO$42=1))&gt;0)</f>
        <v/>
      </c>
      <c r="OQ22">
        <f>$OQ$21+--($OP22)</f>
        <v/>
      </c>
      <c r="OR22">
        <f>IF(ROW()-3&gt;MAX($OQ$4:$OQ$40),"",INDEX($DU$4:$DU$40,MATCH(ROW()-3,$OQ$4:$OQ$40,0)))</f>
        <v/>
      </c>
      <c r="OS22">
        <f>IF(COUNTIF('Buyer Groups'!DG75:EC75,0)+COUNTIF('Buyer Groups'!EE75:EN75,0)&gt;0,0,1)</f>
        <v/>
      </c>
      <c r="OT22">
        <f>IF($DZ$22="",FALSE,SUMPRODUCT(('Final Calculation Sheet'!$X$4:$X$40=$DZ$22)*($OS$6:$OS$42=1))&gt;0)</f>
        <v/>
      </c>
      <c r="OU22">
        <f>$OU$21+--($OT22)</f>
        <v/>
      </c>
      <c r="OV22">
        <f>IF(ROW()-3&gt;MAX($OU$4:$OU$40),"",INDEX($DZ$4:$DZ$40,MATCH(ROW()-3,$OU$4:$OU$40,0)))</f>
        <v/>
      </c>
      <c r="OW22">
        <f>IF(COUNTIF('Buyer Groups'!DG75:ED75,0)+COUNTIF('Buyer Groups'!EF75:EN75,0)&gt;0,0,1)</f>
        <v/>
      </c>
      <c r="OX22">
        <f>IF($EE$22="",FALSE,SUMPRODUCT(('Final Calculation Sheet'!$Y$4:$Y$40=$EE$22)*($OW$6:$OW$42=1))&gt;0)</f>
        <v/>
      </c>
      <c r="OY22">
        <f>$OY$21+--($OX22)</f>
        <v/>
      </c>
      <c r="OZ22">
        <f>IF(ROW()-3&gt;MAX($OY$4:$OY$40),"",INDEX($EE$4:$EE$40,MATCH(ROW()-3,$OY$4:$OY$40,0)))</f>
        <v/>
      </c>
      <c r="PA22">
        <f>IF(COUNTIF('Buyer Groups'!DG75:EE75,0)+COUNTIF('Buyer Groups'!EG75:EN75,0)&gt;0,0,1)</f>
        <v/>
      </c>
      <c r="PB22">
        <f>IF($EJ$22="",FALSE,SUMPRODUCT(('Final Calculation Sheet'!$Z$4:$Z$40=$EJ$22)*($PA$6:$PA$42=1))&gt;0)</f>
        <v/>
      </c>
      <c r="PC22">
        <f>$PC$21+--($PB22)</f>
        <v/>
      </c>
      <c r="PD22">
        <f>IF(ROW()-3&gt;MAX($PC$4:$PC$40),"",INDEX($EJ$4:$EJ$40,MATCH(ROW()-3,$PC$4:$PC$40,0)))</f>
        <v/>
      </c>
      <c r="PE22">
        <f>IF(COUNTIF('Buyer Groups'!DG75:EF75,0)+COUNTIF('Buyer Groups'!EH75:EN75,0)&gt;0,0,1)</f>
        <v/>
      </c>
      <c r="PF22">
        <f>IF($EO$22="",FALSE,SUMPRODUCT(('Final Calculation Sheet'!$AA$4:$AA$40=$EO$22)*($PE$6:$PE$42=1))&gt;0)</f>
        <v/>
      </c>
      <c r="PG22">
        <f>$PG$21+--($PF22)</f>
        <v/>
      </c>
      <c r="PH22">
        <f>IF(ROW()-3&gt;MAX($PG$4:$PG$40),"",INDEX($EO$4:$EO$40,MATCH(ROW()-3,$PG$4:$PG$40,0)))</f>
        <v/>
      </c>
      <c r="PI22">
        <f>IF(COUNTIF('Buyer Groups'!DG75:EG75,0)+COUNTIF('Buyer Groups'!EI75:EN75,0)&gt;0,0,1)</f>
        <v/>
      </c>
      <c r="PJ22">
        <f>IF($ET$22="",FALSE,SUMPRODUCT(('Final Calculation Sheet'!$AB$4:$AB$40=$ET$22)*($PI$6:$PI$42=1))&gt;0)</f>
        <v/>
      </c>
      <c r="PK22">
        <f>$PK$21+--($PJ22)</f>
        <v/>
      </c>
      <c r="PL22">
        <f>IF(ROW()-3&gt;MAX($PK$4:$PK$40),"",INDEX($ET$4:$ET$40,MATCH(ROW()-3,$PK$4:$PK$40,0)))</f>
        <v/>
      </c>
      <c r="PM22">
        <f>IF(COUNTIF('Buyer Groups'!DG75:EH75,0)+COUNTIF('Buyer Groups'!EJ75:EN75,0)&gt;0,0,1)</f>
        <v/>
      </c>
      <c r="PN22">
        <f>IF($EY$22="",FALSE,SUMPRODUCT(('Final Calculation Sheet'!$AC$4:$AC$40=$EY$22)*($PM$6:$PM$42=1))&gt;0)</f>
        <v/>
      </c>
      <c r="PO22">
        <f>$PO$21+--($PN22)</f>
        <v/>
      </c>
      <c r="PP22">
        <f>IF(ROW()-3&gt;MAX($PO$4:$PO$40),"",INDEX($EY$4:$EY$40,MATCH(ROW()-3,$PO$4:$PO$40,0)))</f>
        <v/>
      </c>
      <c r="PQ22">
        <f>IF(COUNTIF('Buyer Groups'!DG75:EI75,0)+COUNTIF('Buyer Groups'!EK75:EN75,0)&gt;0,0,1)</f>
        <v/>
      </c>
      <c r="PR22">
        <f>IF($FD$22="",FALSE,SUMPRODUCT(('Final Calculation Sheet'!$AD$4:$AD$40=$FD$22)*($PQ$6:$PQ$42=1))&gt;0)</f>
        <v/>
      </c>
      <c r="PS22">
        <f>$PS$21+--($PR22)</f>
        <v/>
      </c>
      <c r="PT22">
        <f>IF(ROW()-3&gt;MAX($PS$4:$PS$40),"",INDEX($FD$4:$FD$40,MATCH(ROW()-3,$PS$4:$PS$40,0)))</f>
        <v/>
      </c>
      <c r="PU22">
        <f>IF(COUNTIF('Buyer Groups'!DG75:EJ75,0)+COUNTIF('Buyer Groups'!EL75:EN75,0)&gt;0,0,1)</f>
        <v/>
      </c>
      <c r="PV22">
        <f>IF($FX$22="",FALSE,SUMPRODUCT((IF('Final Calculation Sheet'!$AD$4:$AD$40&lt;=5,"SETTLED","OUTSTANDING")=$FX$22)*($PU$6:$PU$42=1))&gt;0)</f>
        <v/>
      </c>
      <c r="PW22">
        <f>$PW$21+--($PV22)</f>
        <v/>
      </c>
      <c r="PX22">
        <f>IF(ROW()-3&gt;MAX($PW$4:$PW$40),"",INDEX($FX$4:$FX$40,MATCH(ROW()-3,$PW$4:$PW$40,0)))</f>
        <v/>
      </c>
      <c r="PY22">
        <f>IF(COUNTIF('Buyer Groups'!DG75:EK75,0)+COUNTIF('Buyer Groups'!EM75:EN75,0)&gt;0,0,1)</f>
        <v/>
      </c>
      <c r="PZ22">
        <f>IF($FI$22="",FALSE,SUMPRODUCT(('Final Calculation Sheet'!$AF$4:$AF$40=$FI$22)*($PY$6:$PY$42=1))&gt;0)</f>
        <v/>
      </c>
      <c r="QA22">
        <f>$QA$21+--($PZ22)</f>
        <v/>
      </c>
      <c r="QB22">
        <f>IF(ROW()-3&gt;MAX($QA$4:$QA$40),"",INDEX($FI$4:$FI$40,MATCH(ROW()-3,$QA$4:$QA$40,0)))</f>
        <v/>
      </c>
      <c r="QC22">
        <f>IF(COUNTIF('Buyer Groups'!DG75:EL75,0)+COUNTIF('Buyer Groups'!EN75:EN75,0)&gt;0,0,1)</f>
        <v/>
      </c>
      <c r="QD22">
        <f>IF($FN$22="",FALSE,SUMPRODUCT(('Final Calculation Sheet'!$AG$4:$AG$40=$FN$22)*($QC$6:$QC$42=1))&gt;0)</f>
        <v/>
      </c>
      <c r="QE22">
        <f>$QE$21+--($QD22)</f>
        <v/>
      </c>
      <c r="QF22">
        <f>IF(ROW()-3&gt;MAX($QE$4:$QE$40),"",INDEX($FN$4:$FN$40,MATCH(ROW()-3,$QE$4:$QE$40,0)))</f>
        <v/>
      </c>
      <c r="QG22">
        <f>IF(COUNTIF('Buyer Groups'!DG75:EM75,0)&gt;0,0,1)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IF(IFERROR('Final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IF(IFERROR('Final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Groups'!DH76:EN76,0)&gt;0,0,1)</f>
        <v/>
      </c>
      <c r="LF23">
        <f>IF($O$23="",FALSE,SUMPRODUCT(('Final Calculation Sheet'!$F$4:$F$40=$O$23)*($LE$6:$LE$42=1))&gt;0)</f>
        <v/>
      </c>
      <c r="LG23">
        <f>$LG$22+--($LF23)</f>
        <v/>
      </c>
      <c r="LH23">
        <f>IF(ROW()-3&gt;MAX($LG$4:$LG$40),"",INDEX($O$4:$O$40,MATCH(ROW()-3,$LG$4:$LG$40,0)))</f>
        <v/>
      </c>
      <c r="LI23">
        <f>IF(COUNTIF('Buyer Groups'!DG76:DG76,0)+COUNTIF('Buyer Groups'!DI76:EN76,0)&gt;0,0,1)</f>
        <v/>
      </c>
      <c r="LJ23">
        <f>IF($T$23="",FALSE,SUMPRODUCT(('Final Calculation Sheet'!$G$4:$G$40=$T$23)*($LI$6:$LI$42=1))&gt;0)</f>
        <v/>
      </c>
      <c r="LK23">
        <f>$LK$22+--($LJ23)</f>
        <v/>
      </c>
      <c r="LL23">
        <f>IF(ROW()-3&gt;MAX($LK$4:$LK$40),"",INDEX($T$4:$T$40,MATCH(ROW()-3,$LK$4:$LK$40,0)))</f>
        <v/>
      </c>
      <c r="LM23">
        <f>IF(COUNTIF('Buyer Groups'!DG76:DH76,0)+COUNTIF('Buyer Groups'!DJ76:EN76,0)&gt;0,0,1)</f>
        <v/>
      </c>
      <c r="LN23">
        <f>IF($Y$23="",FALSE,SUMPRODUCT(('Final Calculation Sheet'!$B$4:$B$40=$Y$23)*($LM$6:$LM$42=1))&gt;0)</f>
        <v/>
      </c>
      <c r="LO23">
        <f>$LO$22+--($LN23)</f>
        <v/>
      </c>
      <c r="LP23">
        <f>IF(ROW()-3&gt;MAX($LO$4:$LO$40),"",INDEX($Y$4:$Y$40,MATCH(ROW()-3,$LO$4:$LO$40,0)))</f>
        <v/>
      </c>
      <c r="LQ23">
        <f>IF(COUNTIF('Buyer Groups'!DG76:DI76,0)+COUNTIF('Buyer Groups'!DK76:EN76,0)&gt;0,0,1)</f>
        <v/>
      </c>
      <c r="LR23">
        <f>IF($AD$23="",FALSE,SUMPRODUCT(('Final Calculation Sheet'!$D$4:$D$40=$AD$23)*($LQ$6:$LQ$42=1))&gt;0)</f>
        <v/>
      </c>
      <c r="LS23">
        <f>$LS$22+--($LR23)</f>
        <v/>
      </c>
      <c r="LT23">
        <f>IF(ROW()-3&gt;MAX($LS$4:$LS$40),"",INDEX($AD$4:$AD$40,MATCH(ROW()-3,$LS$4:$LS$40,0)))</f>
        <v/>
      </c>
      <c r="LU23">
        <f>IF(COUNTIF('Buyer Groups'!DG76:DJ76,0)+COUNTIF('Buyer Groups'!DL76:EN76,0)&gt;0,0,1)</f>
        <v/>
      </c>
      <c r="LV23">
        <f>IF($AI$23="",FALSE,SUMPRODUCT(('Final Calculation Sheet'!$A$4:$A$40=$AI$23)*($LU$6:$LU$42=1))&gt;0)</f>
        <v/>
      </c>
      <c r="LW23">
        <f>$LW$22+--($LV23)</f>
        <v/>
      </c>
      <c r="LX23">
        <f>IF(ROW()-3&gt;MAX($LW$4:$LW$40),"",INDEX($AI$4:$AI$40,MATCH(ROW()-3,$LW$4:$LW$40,0)))</f>
        <v/>
      </c>
      <c r="LY23">
        <f>IF(COUNTIF('Buyer Groups'!DG76:DK76,0)+COUNTIF('Buyer Groups'!DM76:EN76,0)&gt;0,0,1)</f>
        <v/>
      </c>
      <c r="LZ23">
        <f>IF($AN$23="",FALSE,SUMPRODUCT(('Final Calculation Sheet'!$E$4:$E$40=$AN$23)*($LY$6:$LY$42=1))&gt;0)</f>
        <v/>
      </c>
      <c r="MA23">
        <f>$MA$22+--($LZ23)</f>
        <v/>
      </c>
      <c r="MB23">
        <f>IF(ROW()-3&gt;MAX($MA$4:$MA$40),"",INDEX($AN$4:$AN$40,MATCH(ROW()-3,$MA$4:$MA$40,0)))</f>
        <v/>
      </c>
      <c r="MC23">
        <f>IF(COUNTIF('Buyer Groups'!DG76:DL76,0)+COUNTIF('Buyer Groups'!DN76:EN76,0)&gt;0,0,1)</f>
        <v/>
      </c>
      <c r="MD23">
        <f>IF($AS$23="",FALSE,SUMPRODUCT(('Final Calculation Sheet'!$C$4:$C$40=$AS$23)*($MC$6:$MC$42=1))&gt;0)</f>
        <v/>
      </c>
      <c r="ME23">
        <f>$ME$22+--($MD23)</f>
        <v/>
      </c>
      <c r="MF23">
        <f>IF(ROW()-3&gt;MAX($ME$4:$ME$40),"",INDEX($AS$4:$AS$40,MATCH(ROW()-3,$ME$4:$ME$40,0)))</f>
        <v/>
      </c>
      <c r="MG23">
        <f>IF(COUNTIF('Buyer Groups'!DG76:DM76,0)+COUNTIF('Buyer Groups'!DO76:EN76,0)&gt;0,0,1)</f>
        <v/>
      </c>
      <c r="MH23">
        <f>IF($AX$23="",FALSE,SUMPRODUCT(('Final Calculation Sheet'!$H$4:$H$40=$AX$23)*($MG$6:$MG$42=1))&gt;0)</f>
        <v/>
      </c>
      <c r="MI23">
        <f>$MI$22+--($MH23)</f>
        <v/>
      </c>
      <c r="MJ23">
        <f>IF(ROW()-3&gt;MAX($MI$4:$MI$40),"",INDEX($AX$4:$AX$40,MATCH(ROW()-3,$MI$4:$MI$40,0)))</f>
        <v/>
      </c>
      <c r="MK23">
        <f>IF(COUNTIF('Buyer Groups'!DG76:DN76,0)+COUNTIF('Buyer Groups'!DP76:EN76,0)&gt;0,0,1)</f>
        <v/>
      </c>
      <c r="ML23">
        <f>IF($BC$23="",FALSE,SUMPRODUCT(('Final Calculation Sheet'!$I$4:$I$40=$BC$23)*($MK$6:$MK$42=1))&gt;0)</f>
        <v/>
      </c>
      <c r="MM23">
        <f>$MM$22+--($ML23)</f>
        <v/>
      </c>
      <c r="MN23">
        <f>IF(ROW()-3&gt;MAX($MM$4:$MM$40),"",INDEX($BC$4:$BC$40,MATCH(ROW()-3,$MM$4:$MM$40,0)))</f>
        <v/>
      </c>
      <c r="MO23">
        <f>IF(COUNTIF('Buyer Groups'!DG76:DO76,0)+COUNTIF('Buyer Groups'!DQ76:EN76,0)&gt;0,0,1)</f>
        <v/>
      </c>
      <c r="MP23">
        <f>IF($BH$23="",FALSE,SUMPRODUCT(('Final Calculation Sheet'!$J$4:$J$40=$BH$23)*($MO$6:$MO$42=1))&gt;0)</f>
        <v/>
      </c>
      <c r="MQ23">
        <f>$MQ$22+--($MP23)</f>
        <v/>
      </c>
      <c r="MR23">
        <f>IF(ROW()-3&gt;MAX($MQ$4:$MQ$40),"",INDEX($BH$4:$BH$40,MATCH(ROW()-3,$MQ$4:$MQ$40,0)))</f>
        <v/>
      </c>
      <c r="MS23">
        <f>IF(COUNTIF('Buyer Groups'!DG76:DP76,0)+COUNTIF('Buyer Groups'!DR76:EN76,0)&gt;0,0,1)</f>
        <v/>
      </c>
      <c r="MT23">
        <f>IF($BM$23="",FALSE,SUMPRODUCT(('Final Calculation Sheet'!$K$4:$K$40=$BM$23)*($MS$6:$MS$42=1))&gt;0)</f>
        <v/>
      </c>
      <c r="MU23">
        <f>$MU$22+--($MT23)</f>
        <v/>
      </c>
      <c r="MV23">
        <f>IF(ROW()-3&gt;MAX($MU$4:$MU$40),"",INDEX($BM$4:$BM$40,MATCH(ROW()-3,$MU$4:$MU$40,0)))</f>
        <v/>
      </c>
      <c r="MW23">
        <f>IF(COUNTIF('Buyer Groups'!DG76:DQ76,0)+COUNTIF('Buyer Groups'!DS76:EN76,0)&gt;0,0,1)</f>
        <v/>
      </c>
      <c r="MX23">
        <f>IF($BR$23="",FALSE,SUMPRODUCT(('Final Calculation Sheet'!$L$4:$L$40=$BR$23)*($MW$6:$MW$42=1))&gt;0)</f>
        <v/>
      </c>
      <c r="MY23">
        <f>$MY$22+--($MX23)</f>
        <v/>
      </c>
      <c r="MZ23">
        <f>IF(ROW()-3&gt;MAX($MY$4:$MY$40),"",INDEX($BR$4:$BR$40,MATCH(ROW()-3,$MY$4:$MY$40,0)))</f>
        <v/>
      </c>
      <c r="NA23">
        <f>IF(COUNTIF('Buyer Groups'!DG76:DR76,0)+COUNTIF('Buyer Groups'!DT76:EN76,0)&gt;0,0,1)</f>
        <v/>
      </c>
      <c r="NB23">
        <f>IF($BW$23="",FALSE,SUMPRODUCT(('Final Calculation Sheet'!$M$4:$M$40=$BW$23)*($NA$6:$NA$42=1))&gt;0)</f>
        <v/>
      </c>
      <c r="NC23">
        <f>$NC$22+--($NB23)</f>
        <v/>
      </c>
      <c r="ND23">
        <f>IF(ROW()-3&gt;MAX($NC$4:$NC$40),"",INDEX($BW$4:$BW$40,MATCH(ROW()-3,$NC$4:$NC$40,0)))</f>
        <v/>
      </c>
      <c r="NE23">
        <f>IF(COUNTIF('Buyer Groups'!DG76:DS76,0)+COUNTIF('Buyer Groups'!DU76:EN76,0)&gt;0,0,1)</f>
        <v/>
      </c>
      <c r="NF23">
        <f>IF($CB$23="",FALSE,SUMPRODUCT(('Final Calculation Sheet'!$N$4:$N$40=$CB$23)*($NE$6:$NE$42=1))&gt;0)</f>
        <v/>
      </c>
      <c r="NG23">
        <f>$NG$22+--($NF23)</f>
        <v/>
      </c>
      <c r="NH23">
        <f>IF(ROW()-3&gt;MAX($NG$4:$NG$40),"",INDEX($CB$4:$CB$40,MATCH(ROW()-3,$NG$4:$NG$40,0)))</f>
        <v/>
      </c>
      <c r="NI23">
        <f>IF(COUNTIF('Buyer Groups'!DG76:DT76,0)+COUNTIF('Buyer Groups'!DV76:EN76,0)&gt;0,0,1)</f>
        <v/>
      </c>
      <c r="NJ23">
        <f>IF($CG$23="",FALSE,SUMPRODUCT(('Final Calculation Sheet'!$O$4:$O$40=$CG$23)*($NI$6:$NI$42=1))&gt;0)</f>
        <v/>
      </c>
      <c r="NK23">
        <f>$NK$22+--($NJ23)</f>
        <v/>
      </c>
      <c r="NL23">
        <f>IF(ROW()-3&gt;MAX($NK$4:$NK$40),"",INDEX($CG$4:$CG$40,MATCH(ROW()-3,$NK$4:$NK$40,0)))</f>
        <v/>
      </c>
      <c r="NM23">
        <f>IF(COUNTIF('Buyer Groups'!DG76:DU76,0)+COUNTIF('Buyer Groups'!DW76:EN76,0)&gt;0,0,1)</f>
        <v/>
      </c>
      <c r="NN23">
        <f>IF($CL$23="",FALSE,SUMPRODUCT(('Final Calculation Sheet'!$P$4:$P$40=$CL$23)*($NM$6:$NM$42=1))&gt;0)</f>
        <v/>
      </c>
      <c r="NO23">
        <f>$NO$22+--($NN23)</f>
        <v/>
      </c>
      <c r="NP23">
        <f>IF(ROW()-3&gt;MAX($NO$4:$NO$40),"",INDEX($CL$4:$CL$40,MATCH(ROW()-3,$NO$4:$NO$40,0)))</f>
        <v/>
      </c>
      <c r="NQ23">
        <f>IF(COUNTIF('Buyer Groups'!DG76:DV76,0)+COUNTIF('Buyer Groups'!DX76:EN76,0)&gt;0,0,1)</f>
        <v/>
      </c>
      <c r="NR23">
        <f>IF($CQ$23="",FALSE,SUMPRODUCT(('Final Calculation Sheet'!$Q$4:$Q$40=$CQ$23)*($NQ$6:$NQ$42=1))&gt;0)</f>
        <v/>
      </c>
      <c r="NS23">
        <f>$NS$22+--($NR23)</f>
        <v/>
      </c>
      <c r="NT23">
        <f>IF(ROW()-3&gt;MAX($NS$4:$NS$40),"",INDEX($CQ$4:$CQ$40,MATCH(ROW()-3,$NS$4:$NS$40,0)))</f>
        <v/>
      </c>
      <c r="NU23">
        <f>IF(COUNTIF('Buyer Groups'!DG76:DW76,0)+COUNTIF('Buyer Groups'!DY76:EN76,0)&gt;0,0,1)</f>
        <v/>
      </c>
      <c r="NV23">
        <f>IF($CV$23="",FALSE,SUMPRODUCT(('Final Calculation Sheet'!$R$4:$R$40=$CV$23)*($NU$6:$NU$42=1))&gt;0)</f>
        <v/>
      </c>
      <c r="NW23">
        <f>$NW$22+--($NV23)</f>
        <v/>
      </c>
      <c r="NX23">
        <f>IF(ROW()-3&gt;MAX($NW$4:$NW$40),"",INDEX($CV$4:$CV$40,MATCH(ROW()-3,$NW$4:$NW$40,0)))</f>
        <v/>
      </c>
      <c r="NY23">
        <f>IF(COUNTIF('Buyer Groups'!DG76:DX76,0)+COUNTIF('Buyer Groups'!DZ76:EN76,0)&gt;0,0,1)</f>
        <v/>
      </c>
      <c r="NZ23">
        <f>IF($DA$23="",FALSE,SUMPRODUCT(('Final Calculation Sheet'!$S$4:$S$40=$DA$23)*($NY$6:$NY$42=1))&gt;0)</f>
        <v/>
      </c>
      <c r="OA23">
        <f>$OA$22+--($NZ23)</f>
        <v/>
      </c>
      <c r="OB23">
        <f>IF(ROW()-3&gt;MAX($OA$4:$OA$40),"",INDEX($DA$4:$DA$40,MATCH(ROW()-3,$OA$4:$OA$40,0)))</f>
        <v/>
      </c>
      <c r="OC23">
        <f>IF(COUNTIF('Buyer Groups'!DG76:DY76,0)+COUNTIF('Buyer Groups'!EA76:EN76,0)&gt;0,0,1)</f>
        <v/>
      </c>
      <c r="OD23">
        <f>IF($DF$23="",FALSE,SUMPRODUCT(('Final Calculation Sheet'!$T$4:$T$40=$DF$23)*($OC$6:$OC$42=1))&gt;0)</f>
        <v/>
      </c>
      <c r="OE23">
        <f>$OE$22+--($OD23)</f>
        <v/>
      </c>
      <c r="OF23">
        <f>IF(ROW()-3&gt;MAX($OE$4:$OE$40),"",INDEX($DF$4:$DF$40,MATCH(ROW()-3,$OE$4:$OE$40,0)))</f>
        <v/>
      </c>
      <c r="OG23">
        <f>IF(COUNTIF('Buyer Groups'!DG76:DZ76,0)+COUNTIF('Buyer Groups'!EB76:EN76,0)&gt;0,0,1)</f>
        <v/>
      </c>
      <c r="OH23">
        <f>IF($DK$23="",FALSE,SUMPRODUCT(('Final Calculation Sheet'!$U$4:$U$40=$DK$23)*($OG$6:$OG$42=1))&gt;0)</f>
        <v/>
      </c>
      <c r="OI23">
        <f>$OI$22+--($OH23)</f>
        <v/>
      </c>
      <c r="OJ23">
        <f>IF(ROW()-3&gt;MAX($OI$4:$OI$40),"",INDEX($DK$4:$DK$40,MATCH(ROW()-3,$OI$4:$OI$40,0)))</f>
        <v/>
      </c>
      <c r="OK23">
        <f>IF(COUNTIF('Buyer Groups'!DG76:EA76,0)+COUNTIF('Buyer Groups'!EC76:EN76,0)&gt;0,0,1)</f>
        <v/>
      </c>
      <c r="OL23">
        <f>IF($DP$23="",FALSE,SUMPRODUCT(('Final Calculation Sheet'!$V$4:$V$40=$DP$23)*($OK$6:$OK$42=1))&gt;0)</f>
        <v/>
      </c>
      <c r="OM23">
        <f>$OM$22+--($OL23)</f>
        <v/>
      </c>
      <c r="ON23">
        <f>IF(ROW()-3&gt;MAX($OM$4:$OM$40),"",INDEX($DP$4:$DP$40,MATCH(ROW()-3,$OM$4:$OM$40,0)))</f>
        <v/>
      </c>
      <c r="OO23">
        <f>IF(COUNTIF('Buyer Groups'!DG76:EB76,0)+COUNTIF('Buyer Groups'!ED76:EN76,0)&gt;0,0,1)</f>
        <v/>
      </c>
      <c r="OP23">
        <f>IF($DU$23="",FALSE,SUMPRODUCT(('Final Calculation Sheet'!$W$4:$W$40=$DU$23)*($OO$6:$OO$42=1))&gt;0)</f>
        <v/>
      </c>
      <c r="OQ23">
        <f>$OQ$22+--($OP23)</f>
        <v/>
      </c>
      <c r="OR23">
        <f>IF(ROW()-3&gt;MAX($OQ$4:$OQ$40),"",INDEX($DU$4:$DU$40,MATCH(ROW()-3,$OQ$4:$OQ$40,0)))</f>
        <v/>
      </c>
      <c r="OS23">
        <f>IF(COUNTIF('Buyer Groups'!DG76:EC76,0)+COUNTIF('Buyer Groups'!EE76:EN76,0)&gt;0,0,1)</f>
        <v/>
      </c>
      <c r="OT23">
        <f>IF($DZ$23="",FALSE,SUMPRODUCT(('Final Calculation Sheet'!$X$4:$X$40=$DZ$23)*($OS$6:$OS$42=1))&gt;0)</f>
        <v/>
      </c>
      <c r="OU23">
        <f>$OU$22+--($OT23)</f>
        <v/>
      </c>
      <c r="OV23">
        <f>IF(ROW()-3&gt;MAX($OU$4:$OU$40),"",INDEX($DZ$4:$DZ$40,MATCH(ROW()-3,$OU$4:$OU$40,0)))</f>
        <v/>
      </c>
      <c r="OW23">
        <f>IF(COUNTIF('Buyer Groups'!DG76:ED76,0)+COUNTIF('Buyer Groups'!EF76:EN76,0)&gt;0,0,1)</f>
        <v/>
      </c>
      <c r="OX23">
        <f>IF($EE$23="",FALSE,SUMPRODUCT(('Final Calculation Sheet'!$Y$4:$Y$40=$EE$23)*($OW$6:$OW$42=1))&gt;0)</f>
        <v/>
      </c>
      <c r="OY23">
        <f>$OY$22+--($OX23)</f>
        <v/>
      </c>
      <c r="OZ23">
        <f>IF(ROW()-3&gt;MAX($OY$4:$OY$40),"",INDEX($EE$4:$EE$40,MATCH(ROW()-3,$OY$4:$OY$40,0)))</f>
        <v/>
      </c>
      <c r="PA23">
        <f>IF(COUNTIF('Buyer Groups'!DG76:EE76,0)+COUNTIF('Buyer Groups'!EG76:EN76,0)&gt;0,0,1)</f>
        <v/>
      </c>
      <c r="PB23">
        <f>IF($EJ$23="",FALSE,SUMPRODUCT(('Final Calculation Sheet'!$Z$4:$Z$40=$EJ$23)*($PA$6:$PA$42=1))&gt;0)</f>
        <v/>
      </c>
      <c r="PC23">
        <f>$PC$22+--($PB23)</f>
        <v/>
      </c>
      <c r="PD23">
        <f>IF(ROW()-3&gt;MAX($PC$4:$PC$40),"",INDEX($EJ$4:$EJ$40,MATCH(ROW()-3,$PC$4:$PC$40,0)))</f>
        <v/>
      </c>
      <c r="PE23">
        <f>IF(COUNTIF('Buyer Groups'!DG76:EF76,0)+COUNTIF('Buyer Groups'!EH76:EN76,0)&gt;0,0,1)</f>
        <v/>
      </c>
      <c r="PF23">
        <f>IF($EO$23="",FALSE,SUMPRODUCT(('Final Calculation Sheet'!$AA$4:$AA$40=$EO$23)*($PE$6:$PE$42=1))&gt;0)</f>
        <v/>
      </c>
      <c r="PG23">
        <f>$PG$22+--($PF23)</f>
        <v/>
      </c>
      <c r="PH23">
        <f>IF(ROW()-3&gt;MAX($PG$4:$PG$40),"",INDEX($EO$4:$EO$40,MATCH(ROW()-3,$PG$4:$PG$40,0)))</f>
        <v/>
      </c>
      <c r="PI23">
        <f>IF(COUNTIF('Buyer Groups'!DG76:EG76,0)+COUNTIF('Buyer Groups'!EI76:EN76,0)&gt;0,0,1)</f>
        <v/>
      </c>
      <c r="PJ23">
        <f>IF($ET$23="",FALSE,SUMPRODUCT(('Final Calculation Sheet'!$AB$4:$AB$40=$ET$23)*($PI$6:$PI$42=1))&gt;0)</f>
        <v/>
      </c>
      <c r="PK23">
        <f>$PK$22+--($PJ23)</f>
        <v/>
      </c>
      <c r="PL23">
        <f>IF(ROW()-3&gt;MAX($PK$4:$PK$40),"",INDEX($ET$4:$ET$40,MATCH(ROW()-3,$PK$4:$PK$40,0)))</f>
        <v/>
      </c>
      <c r="PM23">
        <f>IF(COUNTIF('Buyer Groups'!DG76:EH76,0)+COUNTIF('Buyer Groups'!EJ76:EN76,0)&gt;0,0,1)</f>
        <v/>
      </c>
      <c r="PN23">
        <f>IF($EY$23="",FALSE,SUMPRODUCT(('Final Calculation Sheet'!$AC$4:$AC$40=$EY$23)*($PM$6:$PM$42=1))&gt;0)</f>
        <v/>
      </c>
      <c r="PO23">
        <f>$PO$22+--($PN23)</f>
        <v/>
      </c>
      <c r="PP23">
        <f>IF(ROW()-3&gt;MAX($PO$4:$PO$40),"",INDEX($EY$4:$EY$40,MATCH(ROW()-3,$PO$4:$PO$40,0)))</f>
        <v/>
      </c>
      <c r="PQ23">
        <f>IF(COUNTIF('Buyer Groups'!DG76:EI76,0)+COUNTIF('Buyer Groups'!EK76:EN76,0)&gt;0,0,1)</f>
        <v/>
      </c>
      <c r="PR23">
        <f>IF($FD$23="",FALSE,SUMPRODUCT(('Final Calculation Sheet'!$AD$4:$AD$40=$FD$23)*($PQ$6:$PQ$42=1))&gt;0)</f>
        <v/>
      </c>
      <c r="PS23">
        <f>$PS$22+--($PR23)</f>
        <v/>
      </c>
      <c r="PT23">
        <f>IF(ROW()-3&gt;MAX($PS$4:$PS$40),"",INDEX($FD$4:$FD$40,MATCH(ROW()-3,$PS$4:$PS$40,0)))</f>
        <v/>
      </c>
      <c r="PU23">
        <f>IF(COUNTIF('Buyer Groups'!DG76:EJ76,0)+COUNTIF('Buyer Groups'!EL76:EN76,0)&gt;0,0,1)</f>
        <v/>
      </c>
      <c r="PV23">
        <f>IF($FX$23="",FALSE,SUMPRODUCT((IF('Final Calculation Sheet'!$AD$4:$AD$40&lt;=5,"SETTLED","OUTSTANDING")=$FX$23)*($PU$6:$PU$42=1))&gt;0)</f>
        <v/>
      </c>
      <c r="PW23">
        <f>$PW$22+--($PV23)</f>
        <v/>
      </c>
      <c r="PX23">
        <f>IF(ROW()-3&gt;MAX($PW$4:$PW$40),"",INDEX($FX$4:$FX$40,MATCH(ROW()-3,$PW$4:$PW$40,0)))</f>
        <v/>
      </c>
      <c r="PY23">
        <f>IF(COUNTIF('Buyer Groups'!DG76:EK76,0)+COUNTIF('Buyer Groups'!EM76:EN76,0)&gt;0,0,1)</f>
        <v/>
      </c>
      <c r="PZ23">
        <f>IF($FI$23="",FALSE,SUMPRODUCT(('Final Calculation Sheet'!$AF$4:$AF$40=$FI$23)*($PY$6:$PY$42=1))&gt;0)</f>
        <v/>
      </c>
      <c r="QA23">
        <f>$QA$22+--($PZ23)</f>
        <v/>
      </c>
      <c r="QB23">
        <f>IF(ROW()-3&gt;MAX($QA$4:$QA$40),"",INDEX($FI$4:$FI$40,MATCH(ROW()-3,$QA$4:$QA$40,0)))</f>
        <v/>
      </c>
      <c r="QC23">
        <f>IF(COUNTIF('Buyer Groups'!DG76:EL76,0)+COUNTIF('Buyer Groups'!EN76:EN76,0)&gt;0,0,1)</f>
        <v/>
      </c>
      <c r="QD23">
        <f>IF($FN$23="",FALSE,SUMPRODUCT(('Final Calculation Sheet'!$AG$4:$AG$40=$FN$23)*($QC$6:$QC$42=1))&gt;0)</f>
        <v/>
      </c>
      <c r="QE23">
        <f>$QE$22+--($QD23)</f>
        <v/>
      </c>
      <c r="QF23">
        <f>IF(ROW()-3&gt;MAX($QE$4:$QE$40),"",INDEX($FN$4:$FN$40,MATCH(ROW()-3,$QE$4:$QE$40,0)))</f>
        <v/>
      </c>
      <c r="QG23">
        <f>IF(COUNTIF('Buyer Groups'!DG76:EM76,0)&gt;0,0,1)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IF(IFERROR('Final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IF(IFERROR('Final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Groups'!DH77:EN77,0)&gt;0,0,1)</f>
        <v/>
      </c>
      <c r="LF24">
        <f>IF($O$24="",FALSE,SUMPRODUCT(('Final Calculation Sheet'!$F$4:$F$40=$O$24)*($LE$6:$LE$42=1))&gt;0)</f>
        <v/>
      </c>
      <c r="LG24">
        <f>$LG$23+--($LF24)</f>
        <v/>
      </c>
      <c r="LH24">
        <f>IF(ROW()-3&gt;MAX($LG$4:$LG$40),"",INDEX($O$4:$O$40,MATCH(ROW()-3,$LG$4:$LG$40,0)))</f>
        <v/>
      </c>
      <c r="LI24">
        <f>IF(COUNTIF('Buyer Groups'!DG77:DG77,0)+COUNTIF('Buyer Groups'!DI77:EN77,0)&gt;0,0,1)</f>
        <v/>
      </c>
      <c r="LJ24">
        <f>IF($T$24="",FALSE,SUMPRODUCT(('Final Calculation Sheet'!$G$4:$G$40=$T$24)*($LI$6:$LI$42=1))&gt;0)</f>
        <v/>
      </c>
      <c r="LK24">
        <f>$LK$23+--($LJ24)</f>
        <v/>
      </c>
      <c r="LL24">
        <f>IF(ROW()-3&gt;MAX($LK$4:$LK$40),"",INDEX($T$4:$T$40,MATCH(ROW()-3,$LK$4:$LK$40,0)))</f>
        <v/>
      </c>
      <c r="LM24">
        <f>IF(COUNTIF('Buyer Groups'!DG77:DH77,0)+COUNTIF('Buyer Groups'!DJ77:EN77,0)&gt;0,0,1)</f>
        <v/>
      </c>
      <c r="LN24">
        <f>IF($Y$24="",FALSE,SUMPRODUCT(('Final Calculation Sheet'!$B$4:$B$40=$Y$24)*($LM$6:$LM$42=1))&gt;0)</f>
        <v/>
      </c>
      <c r="LO24">
        <f>$LO$23+--($LN24)</f>
        <v/>
      </c>
      <c r="LP24">
        <f>IF(ROW()-3&gt;MAX($LO$4:$LO$40),"",INDEX($Y$4:$Y$40,MATCH(ROW()-3,$LO$4:$LO$40,0)))</f>
        <v/>
      </c>
      <c r="LQ24">
        <f>IF(COUNTIF('Buyer Groups'!DG77:DI77,0)+COUNTIF('Buyer Groups'!DK77:EN77,0)&gt;0,0,1)</f>
        <v/>
      </c>
      <c r="LR24">
        <f>IF($AD$24="",FALSE,SUMPRODUCT(('Final Calculation Sheet'!$D$4:$D$40=$AD$24)*($LQ$6:$LQ$42=1))&gt;0)</f>
        <v/>
      </c>
      <c r="LS24">
        <f>$LS$23+--($LR24)</f>
        <v/>
      </c>
      <c r="LT24">
        <f>IF(ROW()-3&gt;MAX($LS$4:$LS$40),"",INDEX($AD$4:$AD$40,MATCH(ROW()-3,$LS$4:$LS$40,0)))</f>
        <v/>
      </c>
      <c r="LU24">
        <f>IF(COUNTIF('Buyer Groups'!DG77:DJ77,0)+COUNTIF('Buyer Groups'!DL77:EN77,0)&gt;0,0,1)</f>
        <v/>
      </c>
      <c r="LV24">
        <f>IF($AI$24="",FALSE,SUMPRODUCT(('Final Calculation Sheet'!$A$4:$A$40=$AI$24)*($LU$6:$LU$42=1))&gt;0)</f>
        <v/>
      </c>
      <c r="LW24">
        <f>$LW$23+--($LV24)</f>
        <v/>
      </c>
      <c r="LX24">
        <f>IF(ROW()-3&gt;MAX($LW$4:$LW$40),"",INDEX($AI$4:$AI$40,MATCH(ROW()-3,$LW$4:$LW$40,0)))</f>
        <v/>
      </c>
      <c r="LY24">
        <f>IF(COUNTIF('Buyer Groups'!DG77:DK77,0)+COUNTIF('Buyer Groups'!DM77:EN77,0)&gt;0,0,1)</f>
        <v/>
      </c>
      <c r="LZ24">
        <f>IF($AN$24="",FALSE,SUMPRODUCT(('Final Calculation Sheet'!$E$4:$E$40=$AN$24)*($LY$6:$LY$42=1))&gt;0)</f>
        <v/>
      </c>
      <c r="MA24">
        <f>$MA$23+--($LZ24)</f>
        <v/>
      </c>
      <c r="MB24">
        <f>IF(ROW()-3&gt;MAX($MA$4:$MA$40),"",INDEX($AN$4:$AN$40,MATCH(ROW()-3,$MA$4:$MA$40,0)))</f>
        <v/>
      </c>
      <c r="MC24">
        <f>IF(COUNTIF('Buyer Groups'!DG77:DL77,0)+COUNTIF('Buyer Groups'!DN77:EN77,0)&gt;0,0,1)</f>
        <v/>
      </c>
      <c r="MD24">
        <f>IF($AS$24="",FALSE,SUMPRODUCT(('Final Calculation Sheet'!$C$4:$C$40=$AS$24)*($MC$6:$MC$42=1))&gt;0)</f>
        <v/>
      </c>
      <c r="ME24">
        <f>$ME$23+--($MD24)</f>
        <v/>
      </c>
      <c r="MF24">
        <f>IF(ROW()-3&gt;MAX($ME$4:$ME$40),"",INDEX($AS$4:$AS$40,MATCH(ROW()-3,$ME$4:$ME$40,0)))</f>
        <v/>
      </c>
      <c r="MG24">
        <f>IF(COUNTIF('Buyer Groups'!DG77:DM77,0)+COUNTIF('Buyer Groups'!DO77:EN77,0)&gt;0,0,1)</f>
        <v/>
      </c>
      <c r="MH24">
        <f>IF($AX$24="",FALSE,SUMPRODUCT(('Final Calculation Sheet'!$H$4:$H$40=$AX$24)*($MG$6:$MG$42=1))&gt;0)</f>
        <v/>
      </c>
      <c r="MI24">
        <f>$MI$23+--($MH24)</f>
        <v/>
      </c>
      <c r="MJ24">
        <f>IF(ROW()-3&gt;MAX($MI$4:$MI$40),"",INDEX($AX$4:$AX$40,MATCH(ROW()-3,$MI$4:$MI$40,0)))</f>
        <v/>
      </c>
      <c r="MK24">
        <f>IF(COUNTIF('Buyer Groups'!DG77:DN77,0)+COUNTIF('Buyer Groups'!DP77:EN77,0)&gt;0,0,1)</f>
        <v/>
      </c>
      <c r="ML24">
        <f>IF($BC$24="",FALSE,SUMPRODUCT(('Final Calculation Sheet'!$I$4:$I$40=$BC$24)*($MK$6:$MK$42=1))&gt;0)</f>
        <v/>
      </c>
      <c r="MM24">
        <f>$MM$23+--($ML24)</f>
        <v/>
      </c>
      <c r="MN24">
        <f>IF(ROW()-3&gt;MAX($MM$4:$MM$40),"",INDEX($BC$4:$BC$40,MATCH(ROW()-3,$MM$4:$MM$40,0)))</f>
        <v/>
      </c>
      <c r="MO24">
        <f>IF(COUNTIF('Buyer Groups'!DG77:DO77,0)+COUNTIF('Buyer Groups'!DQ77:EN77,0)&gt;0,0,1)</f>
        <v/>
      </c>
      <c r="MP24">
        <f>IF($BH$24="",FALSE,SUMPRODUCT(('Final Calculation Sheet'!$J$4:$J$40=$BH$24)*($MO$6:$MO$42=1))&gt;0)</f>
        <v/>
      </c>
      <c r="MQ24">
        <f>$MQ$23+--($MP24)</f>
        <v/>
      </c>
      <c r="MR24">
        <f>IF(ROW()-3&gt;MAX($MQ$4:$MQ$40),"",INDEX($BH$4:$BH$40,MATCH(ROW()-3,$MQ$4:$MQ$40,0)))</f>
        <v/>
      </c>
      <c r="MS24">
        <f>IF(COUNTIF('Buyer Groups'!DG77:DP77,0)+COUNTIF('Buyer Groups'!DR77:EN77,0)&gt;0,0,1)</f>
        <v/>
      </c>
      <c r="MT24">
        <f>IF($BM$24="",FALSE,SUMPRODUCT(('Final Calculation Sheet'!$K$4:$K$40=$BM$24)*($MS$6:$MS$42=1))&gt;0)</f>
        <v/>
      </c>
      <c r="MU24">
        <f>$MU$23+--($MT24)</f>
        <v/>
      </c>
      <c r="MV24">
        <f>IF(ROW()-3&gt;MAX($MU$4:$MU$40),"",INDEX($BM$4:$BM$40,MATCH(ROW()-3,$MU$4:$MU$40,0)))</f>
        <v/>
      </c>
      <c r="MW24">
        <f>IF(COUNTIF('Buyer Groups'!DG77:DQ77,0)+COUNTIF('Buyer Groups'!DS77:EN77,0)&gt;0,0,1)</f>
        <v/>
      </c>
      <c r="MX24">
        <f>IF($BR$24="",FALSE,SUMPRODUCT(('Final Calculation Sheet'!$L$4:$L$40=$BR$24)*($MW$6:$MW$42=1))&gt;0)</f>
        <v/>
      </c>
      <c r="MY24">
        <f>$MY$23+--($MX24)</f>
        <v/>
      </c>
      <c r="MZ24">
        <f>IF(ROW()-3&gt;MAX($MY$4:$MY$40),"",INDEX($BR$4:$BR$40,MATCH(ROW()-3,$MY$4:$MY$40,0)))</f>
        <v/>
      </c>
      <c r="NA24">
        <f>IF(COUNTIF('Buyer Groups'!DG77:DR77,0)+COUNTIF('Buyer Groups'!DT77:EN77,0)&gt;0,0,1)</f>
        <v/>
      </c>
      <c r="NB24">
        <f>IF($BW$24="",FALSE,SUMPRODUCT(('Final Calculation Sheet'!$M$4:$M$40=$BW$24)*($NA$6:$NA$42=1))&gt;0)</f>
        <v/>
      </c>
      <c r="NC24">
        <f>$NC$23+--($NB24)</f>
        <v/>
      </c>
      <c r="ND24">
        <f>IF(ROW()-3&gt;MAX($NC$4:$NC$40),"",INDEX($BW$4:$BW$40,MATCH(ROW()-3,$NC$4:$NC$40,0)))</f>
        <v/>
      </c>
      <c r="NE24">
        <f>IF(COUNTIF('Buyer Groups'!DG77:DS77,0)+COUNTIF('Buyer Groups'!DU77:EN77,0)&gt;0,0,1)</f>
        <v/>
      </c>
      <c r="NF24">
        <f>IF($CB$24="",FALSE,SUMPRODUCT(('Final Calculation Sheet'!$N$4:$N$40=$CB$24)*($NE$6:$NE$42=1))&gt;0)</f>
        <v/>
      </c>
      <c r="NG24">
        <f>$NG$23+--($NF24)</f>
        <v/>
      </c>
      <c r="NH24">
        <f>IF(ROW()-3&gt;MAX($NG$4:$NG$40),"",INDEX($CB$4:$CB$40,MATCH(ROW()-3,$NG$4:$NG$40,0)))</f>
        <v/>
      </c>
      <c r="NI24">
        <f>IF(COUNTIF('Buyer Groups'!DG77:DT77,0)+COUNTIF('Buyer Groups'!DV77:EN77,0)&gt;0,0,1)</f>
        <v/>
      </c>
      <c r="NJ24">
        <f>IF($CG$24="",FALSE,SUMPRODUCT(('Final Calculation Sheet'!$O$4:$O$40=$CG$24)*($NI$6:$NI$42=1))&gt;0)</f>
        <v/>
      </c>
      <c r="NK24">
        <f>$NK$23+--($NJ24)</f>
        <v/>
      </c>
      <c r="NL24">
        <f>IF(ROW()-3&gt;MAX($NK$4:$NK$40),"",INDEX($CG$4:$CG$40,MATCH(ROW()-3,$NK$4:$NK$40,0)))</f>
        <v/>
      </c>
      <c r="NM24">
        <f>IF(COUNTIF('Buyer Groups'!DG77:DU77,0)+COUNTIF('Buyer Groups'!DW77:EN77,0)&gt;0,0,1)</f>
        <v/>
      </c>
      <c r="NN24">
        <f>IF($CL$24="",FALSE,SUMPRODUCT(('Final Calculation Sheet'!$P$4:$P$40=$CL$24)*($NM$6:$NM$42=1))&gt;0)</f>
        <v/>
      </c>
      <c r="NO24">
        <f>$NO$23+--($NN24)</f>
        <v/>
      </c>
      <c r="NP24">
        <f>IF(ROW()-3&gt;MAX($NO$4:$NO$40),"",INDEX($CL$4:$CL$40,MATCH(ROW()-3,$NO$4:$NO$40,0)))</f>
        <v/>
      </c>
      <c r="NQ24">
        <f>IF(COUNTIF('Buyer Groups'!DG77:DV77,0)+COUNTIF('Buyer Groups'!DX77:EN77,0)&gt;0,0,1)</f>
        <v/>
      </c>
      <c r="NR24">
        <f>IF($CQ$24="",FALSE,SUMPRODUCT(('Final Calculation Sheet'!$Q$4:$Q$40=$CQ$24)*($NQ$6:$NQ$42=1))&gt;0)</f>
        <v/>
      </c>
      <c r="NS24">
        <f>$NS$23+--($NR24)</f>
        <v/>
      </c>
      <c r="NT24">
        <f>IF(ROW()-3&gt;MAX($NS$4:$NS$40),"",INDEX($CQ$4:$CQ$40,MATCH(ROW()-3,$NS$4:$NS$40,0)))</f>
        <v/>
      </c>
      <c r="NU24">
        <f>IF(COUNTIF('Buyer Groups'!DG77:DW77,0)+COUNTIF('Buyer Groups'!DY77:EN77,0)&gt;0,0,1)</f>
        <v/>
      </c>
      <c r="NV24">
        <f>IF($CV$24="",FALSE,SUMPRODUCT(('Final Calculation Sheet'!$R$4:$R$40=$CV$24)*($NU$6:$NU$42=1))&gt;0)</f>
        <v/>
      </c>
      <c r="NW24">
        <f>$NW$23+--($NV24)</f>
        <v/>
      </c>
      <c r="NX24">
        <f>IF(ROW()-3&gt;MAX($NW$4:$NW$40),"",INDEX($CV$4:$CV$40,MATCH(ROW()-3,$NW$4:$NW$40,0)))</f>
        <v/>
      </c>
      <c r="NY24">
        <f>IF(COUNTIF('Buyer Groups'!DG77:DX77,0)+COUNTIF('Buyer Groups'!DZ77:EN77,0)&gt;0,0,1)</f>
        <v/>
      </c>
      <c r="NZ24">
        <f>IF($DA$24="",FALSE,SUMPRODUCT(('Final Calculation Sheet'!$S$4:$S$40=$DA$24)*($NY$6:$NY$42=1))&gt;0)</f>
        <v/>
      </c>
      <c r="OA24">
        <f>$OA$23+--($NZ24)</f>
        <v/>
      </c>
      <c r="OB24">
        <f>IF(ROW()-3&gt;MAX($OA$4:$OA$40),"",INDEX($DA$4:$DA$40,MATCH(ROW()-3,$OA$4:$OA$40,0)))</f>
        <v/>
      </c>
      <c r="OC24">
        <f>IF(COUNTIF('Buyer Groups'!DG77:DY77,0)+COUNTIF('Buyer Groups'!EA77:EN77,0)&gt;0,0,1)</f>
        <v/>
      </c>
      <c r="OD24">
        <f>IF($DF$24="",FALSE,SUMPRODUCT(('Final Calculation Sheet'!$T$4:$T$40=$DF$24)*($OC$6:$OC$42=1))&gt;0)</f>
        <v/>
      </c>
      <c r="OE24">
        <f>$OE$23+--($OD24)</f>
        <v/>
      </c>
      <c r="OF24">
        <f>IF(ROW()-3&gt;MAX($OE$4:$OE$40),"",INDEX($DF$4:$DF$40,MATCH(ROW()-3,$OE$4:$OE$40,0)))</f>
        <v/>
      </c>
      <c r="OG24">
        <f>IF(COUNTIF('Buyer Groups'!DG77:DZ77,0)+COUNTIF('Buyer Groups'!EB77:EN77,0)&gt;0,0,1)</f>
        <v/>
      </c>
      <c r="OH24">
        <f>IF($DK$24="",FALSE,SUMPRODUCT(('Final Calculation Sheet'!$U$4:$U$40=$DK$24)*($OG$6:$OG$42=1))&gt;0)</f>
        <v/>
      </c>
      <c r="OI24">
        <f>$OI$23+--($OH24)</f>
        <v/>
      </c>
      <c r="OJ24">
        <f>IF(ROW()-3&gt;MAX($OI$4:$OI$40),"",INDEX($DK$4:$DK$40,MATCH(ROW()-3,$OI$4:$OI$40,0)))</f>
        <v/>
      </c>
      <c r="OK24">
        <f>IF(COUNTIF('Buyer Groups'!DG77:EA77,0)+COUNTIF('Buyer Groups'!EC77:EN77,0)&gt;0,0,1)</f>
        <v/>
      </c>
      <c r="OL24">
        <f>IF($DP$24="",FALSE,SUMPRODUCT(('Final Calculation Sheet'!$V$4:$V$40=$DP$24)*($OK$6:$OK$42=1))&gt;0)</f>
        <v/>
      </c>
      <c r="OM24">
        <f>$OM$23+--($OL24)</f>
        <v/>
      </c>
      <c r="ON24">
        <f>IF(ROW()-3&gt;MAX($OM$4:$OM$40),"",INDEX($DP$4:$DP$40,MATCH(ROW()-3,$OM$4:$OM$40,0)))</f>
        <v/>
      </c>
      <c r="OO24">
        <f>IF(COUNTIF('Buyer Groups'!DG77:EB77,0)+COUNTIF('Buyer Groups'!ED77:EN77,0)&gt;0,0,1)</f>
        <v/>
      </c>
      <c r="OP24">
        <f>IF($DU$24="",FALSE,SUMPRODUCT(('Final Calculation Sheet'!$W$4:$W$40=$DU$24)*($OO$6:$OO$42=1))&gt;0)</f>
        <v/>
      </c>
      <c r="OQ24">
        <f>$OQ$23+--($OP24)</f>
        <v/>
      </c>
      <c r="OR24">
        <f>IF(ROW()-3&gt;MAX($OQ$4:$OQ$40),"",INDEX($DU$4:$DU$40,MATCH(ROW()-3,$OQ$4:$OQ$40,0)))</f>
        <v/>
      </c>
      <c r="OS24">
        <f>IF(COUNTIF('Buyer Groups'!DG77:EC77,0)+COUNTIF('Buyer Groups'!EE77:EN77,0)&gt;0,0,1)</f>
        <v/>
      </c>
      <c r="OT24">
        <f>IF($DZ$24="",FALSE,SUMPRODUCT(('Final Calculation Sheet'!$X$4:$X$40=$DZ$24)*($OS$6:$OS$42=1))&gt;0)</f>
        <v/>
      </c>
      <c r="OU24">
        <f>$OU$23+--($OT24)</f>
        <v/>
      </c>
      <c r="OV24">
        <f>IF(ROW()-3&gt;MAX($OU$4:$OU$40),"",INDEX($DZ$4:$DZ$40,MATCH(ROW()-3,$OU$4:$OU$40,0)))</f>
        <v/>
      </c>
      <c r="OW24">
        <f>IF(COUNTIF('Buyer Groups'!DG77:ED77,0)+COUNTIF('Buyer Groups'!EF77:EN77,0)&gt;0,0,1)</f>
        <v/>
      </c>
      <c r="OX24">
        <f>IF($EE$24="",FALSE,SUMPRODUCT(('Final Calculation Sheet'!$Y$4:$Y$40=$EE$24)*($OW$6:$OW$42=1))&gt;0)</f>
        <v/>
      </c>
      <c r="OY24">
        <f>$OY$23+--($OX24)</f>
        <v/>
      </c>
      <c r="OZ24">
        <f>IF(ROW()-3&gt;MAX($OY$4:$OY$40),"",INDEX($EE$4:$EE$40,MATCH(ROW()-3,$OY$4:$OY$40,0)))</f>
        <v/>
      </c>
      <c r="PA24">
        <f>IF(COUNTIF('Buyer Groups'!DG77:EE77,0)+COUNTIF('Buyer Groups'!EG77:EN77,0)&gt;0,0,1)</f>
        <v/>
      </c>
      <c r="PB24">
        <f>IF($EJ$24="",FALSE,SUMPRODUCT(('Final Calculation Sheet'!$Z$4:$Z$40=$EJ$24)*($PA$6:$PA$42=1))&gt;0)</f>
        <v/>
      </c>
      <c r="PC24">
        <f>$PC$23+--($PB24)</f>
        <v/>
      </c>
      <c r="PD24">
        <f>IF(ROW()-3&gt;MAX($PC$4:$PC$40),"",INDEX($EJ$4:$EJ$40,MATCH(ROW()-3,$PC$4:$PC$40,0)))</f>
        <v/>
      </c>
      <c r="PE24">
        <f>IF(COUNTIF('Buyer Groups'!DG77:EF77,0)+COUNTIF('Buyer Groups'!EH77:EN77,0)&gt;0,0,1)</f>
        <v/>
      </c>
      <c r="PF24">
        <f>IF($EO$24="",FALSE,SUMPRODUCT(('Final Calculation Sheet'!$AA$4:$AA$40=$EO$24)*($PE$6:$PE$42=1))&gt;0)</f>
        <v/>
      </c>
      <c r="PG24">
        <f>$PG$23+--($PF24)</f>
        <v/>
      </c>
      <c r="PH24">
        <f>IF(ROW()-3&gt;MAX($PG$4:$PG$40),"",INDEX($EO$4:$EO$40,MATCH(ROW()-3,$PG$4:$PG$40,0)))</f>
        <v/>
      </c>
      <c r="PI24">
        <f>IF(COUNTIF('Buyer Groups'!DG77:EG77,0)+COUNTIF('Buyer Groups'!EI77:EN77,0)&gt;0,0,1)</f>
        <v/>
      </c>
      <c r="PJ24">
        <f>IF($ET$24="",FALSE,SUMPRODUCT(('Final Calculation Sheet'!$AB$4:$AB$40=$ET$24)*($PI$6:$PI$42=1))&gt;0)</f>
        <v/>
      </c>
      <c r="PK24">
        <f>$PK$23+--($PJ24)</f>
        <v/>
      </c>
      <c r="PL24">
        <f>IF(ROW()-3&gt;MAX($PK$4:$PK$40),"",INDEX($ET$4:$ET$40,MATCH(ROW()-3,$PK$4:$PK$40,0)))</f>
        <v/>
      </c>
      <c r="PM24">
        <f>IF(COUNTIF('Buyer Groups'!DG77:EH77,0)+COUNTIF('Buyer Groups'!EJ77:EN77,0)&gt;0,0,1)</f>
        <v/>
      </c>
      <c r="PN24">
        <f>IF($EY$24="",FALSE,SUMPRODUCT(('Final Calculation Sheet'!$AC$4:$AC$40=$EY$24)*($PM$6:$PM$42=1))&gt;0)</f>
        <v/>
      </c>
      <c r="PO24">
        <f>$PO$23+--($PN24)</f>
        <v/>
      </c>
      <c r="PP24">
        <f>IF(ROW()-3&gt;MAX($PO$4:$PO$40),"",INDEX($EY$4:$EY$40,MATCH(ROW()-3,$PO$4:$PO$40,0)))</f>
        <v/>
      </c>
      <c r="PQ24">
        <f>IF(COUNTIF('Buyer Groups'!DG77:EI77,0)+COUNTIF('Buyer Groups'!EK77:EN77,0)&gt;0,0,1)</f>
        <v/>
      </c>
      <c r="PR24">
        <f>IF($FD$24="",FALSE,SUMPRODUCT(('Final Calculation Sheet'!$AD$4:$AD$40=$FD$24)*($PQ$6:$PQ$42=1))&gt;0)</f>
        <v/>
      </c>
      <c r="PS24">
        <f>$PS$23+--($PR24)</f>
        <v/>
      </c>
      <c r="PT24">
        <f>IF(ROW()-3&gt;MAX($PS$4:$PS$40),"",INDEX($FD$4:$FD$40,MATCH(ROW()-3,$PS$4:$PS$40,0)))</f>
        <v/>
      </c>
      <c r="PU24">
        <f>IF(COUNTIF('Buyer Groups'!DG77:EJ77,0)+COUNTIF('Buyer Groups'!EL77:EN77,0)&gt;0,0,1)</f>
        <v/>
      </c>
      <c r="PV24">
        <f>IF($FX$24="",FALSE,SUMPRODUCT((IF('Final Calculation Sheet'!$AD$4:$AD$40&lt;=5,"SETTLED","OUTSTANDING")=$FX$24)*($PU$6:$PU$42=1))&gt;0)</f>
        <v/>
      </c>
      <c r="PW24">
        <f>$PW$23+--($PV24)</f>
        <v/>
      </c>
      <c r="PX24">
        <f>IF(ROW()-3&gt;MAX($PW$4:$PW$40),"",INDEX($FX$4:$FX$40,MATCH(ROW()-3,$PW$4:$PW$40,0)))</f>
        <v/>
      </c>
      <c r="PY24">
        <f>IF(COUNTIF('Buyer Groups'!DG77:EK77,0)+COUNTIF('Buyer Groups'!EM77:EN77,0)&gt;0,0,1)</f>
        <v/>
      </c>
      <c r="PZ24">
        <f>IF($FI$24="",FALSE,SUMPRODUCT(('Final Calculation Sheet'!$AF$4:$AF$40=$FI$24)*($PY$6:$PY$42=1))&gt;0)</f>
        <v/>
      </c>
      <c r="QA24">
        <f>$QA$23+--($PZ24)</f>
        <v/>
      </c>
      <c r="QB24">
        <f>IF(ROW()-3&gt;MAX($QA$4:$QA$40),"",INDEX($FI$4:$FI$40,MATCH(ROW()-3,$QA$4:$QA$40,0)))</f>
        <v/>
      </c>
      <c r="QC24">
        <f>IF(COUNTIF('Buyer Groups'!DG77:EL77,0)+COUNTIF('Buyer Groups'!EN77:EN77,0)&gt;0,0,1)</f>
        <v/>
      </c>
      <c r="QD24">
        <f>IF($FN$24="",FALSE,SUMPRODUCT(('Final Calculation Sheet'!$AG$4:$AG$40=$FN$24)*($QC$6:$QC$42=1))&gt;0)</f>
        <v/>
      </c>
      <c r="QE24">
        <f>$QE$23+--($QD24)</f>
        <v/>
      </c>
      <c r="QF24">
        <f>IF(ROW()-3&gt;MAX($QE$4:$QE$40),"",INDEX($FN$4:$FN$40,MATCH(ROW()-3,$QE$4:$QE$40,0)))</f>
        <v/>
      </c>
      <c r="QG24">
        <f>IF(COUNTIF('Buyer Groups'!DG77:EM77,0)&gt;0,0,1)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IF(IFERROR('Final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IF(IFERROR('Final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Groups'!DH78:EN78,0)&gt;0,0,1)</f>
        <v/>
      </c>
      <c r="LF25">
        <f>IF($O$25="",FALSE,SUMPRODUCT(('Final Calculation Sheet'!$F$4:$F$40=$O$25)*($LE$6:$LE$42=1))&gt;0)</f>
        <v/>
      </c>
      <c r="LG25">
        <f>$LG$24+--($LF25)</f>
        <v/>
      </c>
      <c r="LH25">
        <f>IF(ROW()-3&gt;MAX($LG$4:$LG$40),"",INDEX($O$4:$O$40,MATCH(ROW()-3,$LG$4:$LG$40,0)))</f>
        <v/>
      </c>
      <c r="LI25">
        <f>IF(COUNTIF('Buyer Groups'!DG78:DG78,0)+COUNTIF('Buyer Groups'!DI78:EN78,0)&gt;0,0,1)</f>
        <v/>
      </c>
      <c r="LJ25">
        <f>IF($T$25="",FALSE,SUMPRODUCT(('Final Calculation Sheet'!$G$4:$G$40=$T$25)*($LI$6:$LI$42=1))&gt;0)</f>
        <v/>
      </c>
      <c r="LK25">
        <f>$LK$24+--($LJ25)</f>
        <v/>
      </c>
      <c r="LL25">
        <f>IF(ROW()-3&gt;MAX($LK$4:$LK$40),"",INDEX($T$4:$T$40,MATCH(ROW()-3,$LK$4:$LK$40,0)))</f>
        <v/>
      </c>
      <c r="LM25">
        <f>IF(COUNTIF('Buyer Groups'!DG78:DH78,0)+COUNTIF('Buyer Groups'!DJ78:EN78,0)&gt;0,0,1)</f>
        <v/>
      </c>
      <c r="LN25">
        <f>IF($Y$25="",FALSE,SUMPRODUCT(('Final Calculation Sheet'!$B$4:$B$40=$Y$25)*($LM$6:$LM$42=1))&gt;0)</f>
        <v/>
      </c>
      <c r="LO25">
        <f>$LO$24+--($LN25)</f>
        <v/>
      </c>
      <c r="LP25">
        <f>IF(ROW()-3&gt;MAX($LO$4:$LO$40),"",INDEX($Y$4:$Y$40,MATCH(ROW()-3,$LO$4:$LO$40,0)))</f>
        <v/>
      </c>
      <c r="LQ25">
        <f>IF(COUNTIF('Buyer Groups'!DG78:DI78,0)+COUNTIF('Buyer Groups'!DK78:EN78,0)&gt;0,0,1)</f>
        <v/>
      </c>
      <c r="LR25">
        <f>IF($AD$25="",FALSE,SUMPRODUCT(('Final Calculation Sheet'!$D$4:$D$40=$AD$25)*($LQ$6:$LQ$42=1))&gt;0)</f>
        <v/>
      </c>
      <c r="LS25">
        <f>$LS$24+--($LR25)</f>
        <v/>
      </c>
      <c r="LT25">
        <f>IF(ROW()-3&gt;MAX($LS$4:$LS$40),"",INDEX($AD$4:$AD$40,MATCH(ROW()-3,$LS$4:$LS$40,0)))</f>
        <v/>
      </c>
      <c r="LU25">
        <f>IF(COUNTIF('Buyer Groups'!DG78:DJ78,0)+COUNTIF('Buyer Groups'!DL78:EN78,0)&gt;0,0,1)</f>
        <v/>
      </c>
      <c r="LV25">
        <f>IF($AI$25="",FALSE,SUMPRODUCT(('Final Calculation Sheet'!$A$4:$A$40=$AI$25)*($LU$6:$LU$42=1))&gt;0)</f>
        <v/>
      </c>
      <c r="LW25">
        <f>$LW$24+--($LV25)</f>
        <v/>
      </c>
      <c r="LX25">
        <f>IF(ROW()-3&gt;MAX($LW$4:$LW$40),"",INDEX($AI$4:$AI$40,MATCH(ROW()-3,$LW$4:$LW$40,0)))</f>
        <v/>
      </c>
      <c r="LY25">
        <f>IF(COUNTIF('Buyer Groups'!DG78:DK78,0)+COUNTIF('Buyer Groups'!DM78:EN78,0)&gt;0,0,1)</f>
        <v/>
      </c>
      <c r="LZ25">
        <f>IF($AN$25="",FALSE,SUMPRODUCT(('Final Calculation Sheet'!$E$4:$E$40=$AN$25)*($LY$6:$LY$42=1))&gt;0)</f>
        <v/>
      </c>
      <c r="MA25">
        <f>$MA$24+--($LZ25)</f>
        <v/>
      </c>
      <c r="MB25">
        <f>IF(ROW()-3&gt;MAX($MA$4:$MA$40),"",INDEX($AN$4:$AN$40,MATCH(ROW()-3,$MA$4:$MA$40,0)))</f>
        <v/>
      </c>
      <c r="MC25">
        <f>IF(COUNTIF('Buyer Groups'!DG78:DL78,0)+COUNTIF('Buyer Groups'!DN78:EN78,0)&gt;0,0,1)</f>
        <v/>
      </c>
      <c r="MD25">
        <f>IF($AS$25="",FALSE,SUMPRODUCT(('Final Calculation Sheet'!$C$4:$C$40=$AS$25)*($MC$6:$MC$42=1))&gt;0)</f>
        <v/>
      </c>
      <c r="ME25">
        <f>$ME$24+--($MD25)</f>
        <v/>
      </c>
      <c r="MF25">
        <f>IF(ROW()-3&gt;MAX($ME$4:$ME$40),"",INDEX($AS$4:$AS$40,MATCH(ROW()-3,$ME$4:$ME$40,0)))</f>
        <v/>
      </c>
      <c r="MG25">
        <f>IF(COUNTIF('Buyer Groups'!DG78:DM78,0)+COUNTIF('Buyer Groups'!DO78:EN78,0)&gt;0,0,1)</f>
        <v/>
      </c>
      <c r="MH25">
        <f>IF($AX$25="",FALSE,SUMPRODUCT(('Final Calculation Sheet'!$H$4:$H$40=$AX$25)*($MG$6:$MG$42=1))&gt;0)</f>
        <v/>
      </c>
      <c r="MI25">
        <f>$MI$24+--($MH25)</f>
        <v/>
      </c>
      <c r="MJ25">
        <f>IF(ROW()-3&gt;MAX($MI$4:$MI$40),"",INDEX($AX$4:$AX$40,MATCH(ROW()-3,$MI$4:$MI$40,0)))</f>
        <v/>
      </c>
      <c r="MK25">
        <f>IF(COUNTIF('Buyer Groups'!DG78:DN78,0)+COUNTIF('Buyer Groups'!DP78:EN78,0)&gt;0,0,1)</f>
        <v/>
      </c>
      <c r="ML25">
        <f>IF($BC$25="",FALSE,SUMPRODUCT(('Final Calculation Sheet'!$I$4:$I$40=$BC$25)*($MK$6:$MK$42=1))&gt;0)</f>
        <v/>
      </c>
      <c r="MM25">
        <f>$MM$24+--($ML25)</f>
        <v/>
      </c>
      <c r="MN25">
        <f>IF(ROW()-3&gt;MAX($MM$4:$MM$40),"",INDEX($BC$4:$BC$40,MATCH(ROW()-3,$MM$4:$MM$40,0)))</f>
        <v/>
      </c>
      <c r="MO25">
        <f>IF(COUNTIF('Buyer Groups'!DG78:DO78,0)+COUNTIF('Buyer Groups'!DQ78:EN78,0)&gt;0,0,1)</f>
        <v/>
      </c>
      <c r="MP25">
        <f>IF($BH$25="",FALSE,SUMPRODUCT(('Final Calculation Sheet'!$J$4:$J$40=$BH$25)*($MO$6:$MO$42=1))&gt;0)</f>
        <v/>
      </c>
      <c r="MQ25">
        <f>$MQ$24+--($MP25)</f>
        <v/>
      </c>
      <c r="MR25">
        <f>IF(ROW()-3&gt;MAX($MQ$4:$MQ$40),"",INDEX($BH$4:$BH$40,MATCH(ROW()-3,$MQ$4:$MQ$40,0)))</f>
        <v/>
      </c>
      <c r="MS25">
        <f>IF(COUNTIF('Buyer Groups'!DG78:DP78,0)+COUNTIF('Buyer Groups'!DR78:EN78,0)&gt;0,0,1)</f>
        <v/>
      </c>
      <c r="MT25">
        <f>IF($BM$25="",FALSE,SUMPRODUCT(('Final Calculation Sheet'!$K$4:$K$40=$BM$25)*($MS$6:$MS$42=1))&gt;0)</f>
        <v/>
      </c>
      <c r="MU25">
        <f>$MU$24+--($MT25)</f>
        <v/>
      </c>
      <c r="MV25">
        <f>IF(ROW()-3&gt;MAX($MU$4:$MU$40),"",INDEX($BM$4:$BM$40,MATCH(ROW()-3,$MU$4:$MU$40,0)))</f>
        <v/>
      </c>
      <c r="MW25">
        <f>IF(COUNTIF('Buyer Groups'!DG78:DQ78,0)+COUNTIF('Buyer Groups'!DS78:EN78,0)&gt;0,0,1)</f>
        <v/>
      </c>
      <c r="MX25">
        <f>IF($BR$25="",FALSE,SUMPRODUCT(('Final Calculation Sheet'!$L$4:$L$40=$BR$25)*($MW$6:$MW$42=1))&gt;0)</f>
        <v/>
      </c>
      <c r="MY25">
        <f>$MY$24+--($MX25)</f>
        <v/>
      </c>
      <c r="MZ25">
        <f>IF(ROW()-3&gt;MAX($MY$4:$MY$40),"",INDEX($BR$4:$BR$40,MATCH(ROW()-3,$MY$4:$MY$40,0)))</f>
        <v/>
      </c>
      <c r="NA25">
        <f>IF(COUNTIF('Buyer Groups'!DG78:DR78,0)+COUNTIF('Buyer Groups'!DT78:EN78,0)&gt;0,0,1)</f>
        <v/>
      </c>
      <c r="NB25">
        <f>IF($BW$25="",FALSE,SUMPRODUCT(('Final Calculation Sheet'!$M$4:$M$40=$BW$25)*($NA$6:$NA$42=1))&gt;0)</f>
        <v/>
      </c>
      <c r="NC25">
        <f>$NC$24+--($NB25)</f>
        <v/>
      </c>
      <c r="ND25">
        <f>IF(ROW()-3&gt;MAX($NC$4:$NC$40),"",INDEX($BW$4:$BW$40,MATCH(ROW()-3,$NC$4:$NC$40,0)))</f>
        <v/>
      </c>
      <c r="NE25">
        <f>IF(COUNTIF('Buyer Groups'!DG78:DS78,0)+COUNTIF('Buyer Groups'!DU78:EN78,0)&gt;0,0,1)</f>
        <v/>
      </c>
      <c r="NF25">
        <f>IF($CB$25="",FALSE,SUMPRODUCT(('Final Calculation Sheet'!$N$4:$N$40=$CB$25)*($NE$6:$NE$42=1))&gt;0)</f>
        <v/>
      </c>
      <c r="NG25">
        <f>$NG$24+--($NF25)</f>
        <v/>
      </c>
      <c r="NH25">
        <f>IF(ROW()-3&gt;MAX($NG$4:$NG$40),"",INDEX($CB$4:$CB$40,MATCH(ROW()-3,$NG$4:$NG$40,0)))</f>
        <v/>
      </c>
      <c r="NI25">
        <f>IF(COUNTIF('Buyer Groups'!DG78:DT78,0)+COUNTIF('Buyer Groups'!DV78:EN78,0)&gt;0,0,1)</f>
        <v/>
      </c>
      <c r="NJ25">
        <f>IF($CG$25="",FALSE,SUMPRODUCT(('Final Calculation Sheet'!$O$4:$O$40=$CG$25)*($NI$6:$NI$42=1))&gt;0)</f>
        <v/>
      </c>
      <c r="NK25">
        <f>$NK$24+--($NJ25)</f>
        <v/>
      </c>
      <c r="NL25">
        <f>IF(ROW()-3&gt;MAX($NK$4:$NK$40),"",INDEX($CG$4:$CG$40,MATCH(ROW()-3,$NK$4:$NK$40,0)))</f>
        <v/>
      </c>
      <c r="NM25">
        <f>IF(COUNTIF('Buyer Groups'!DG78:DU78,0)+COUNTIF('Buyer Groups'!DW78:EN78,0)&gt;0,0,1)</f>
        <v/>
      </c>
      <c r="NN25">
        <f>IF($CL$25="",FALSE,SUMPRODUCT(('Final Calculation Sheet'!$P$4:$P$40=$CL$25)*($NM$6:$NM$42=1))&gt;0)</f>
        <v/>
      </c>
      <c r="NO25">
        <f>$NO$24+--($NN25)</f>
        <v/>
      </c>
      <c r="NP25">
        <f>IF(ROW()-3&gt;MAX($NO$4:$NO$40),"",INDEX($CL$4:$CL$40,MATCH(ROW()-3,$NO$4:$NO$40,0)))</f>
        <v/>
      </c>
      <c r="NQ25">
        <f>IF(COUNTIF('Buyer Groups'!DG78:DV78,0)+COUNTIF('Buyer Groups'!DX78:EN78,0)&gt;0,0,1)</f>
        <v/>
      </c>
      <c r="NR25">
        <f>IF($CQ$25="",FALSE,SUMPRODUCT(('Final Calculation Sheet'!$Q$4:$Q$40=$CQ$25)*($NQ$6:$NQ$42=1))&gt;0)</f>
        <v/>
      </c>
      <c r="NS25">
        <f>$NS$24+--($NR25)</f>
        <v/>
      </c>
      <c r="NT25">
        <f>IF(ROW()-3&gt;MAX($NS$4:$NS$40),"",INDEX($CQ$4:$CQ$40,MATCH(ROW()-3,$NS$4:$NS$40,0)))</f>
        <v/>
      </c>
      <c r="NU25">
        <f>IF(COUNTIF('Buyer Groups'!DG78:DW78,0)+COUNTIF('Buyer Groups'!DY78:EN78,0)&gt;0,0,1)</f>
        <v/>
      </c>
      <c r="NV25">
        <f>IF($CV$25="",FALSE,SUMPRODUCT(('Final Calculation Sheet'!$R$4:$R$40=$CV$25)*($NU$6:$NU$42=1))&gt;0)</f>
        <v/>
      </c>
      <c r="NW25">
        <f>$NW$24+--($NV25)</f>
        <v/>
      </c>
      <c r="NX25">
        <f>IF(ROW()-3&gt;MAX($NW$4:$NW$40),"",INDEX($CV$4:$CV$40,MATCH(ROW()-3,$NW$4:$NW$40,0)))</f>
        <v/>
      </c>
      <c r="NY25">
        <f>IF(COUNTIF('Buyer Groups'!DG78:DX78,0)+COUNTIF('Buyer Groups'!DZ78:EN78,0)&gt;0,0,1)</f>
        <v/>
      </c>
      <c r="NZ25">
        <f>IF($DA$25="",FALSE,SUMPRODUCT(('Final Calculation Sheet'!$S$4:$S$40=$DA$25)*($NY$6:$NY$42=1))&gt;0)</f>
        <v/>
      </c>
      <c r="OA25">
        <f>$OA$24+--($NZ25)</f>
        <v/>
      </c>
      <c r="OB25">
        <f>IF(ROW()-3&gt;MAX($OA$4:$OA$40),"",INDEX($DA$4:$DA$40,MATCH(ROW()-3,$OA$4:$OA$40,0)))</f>
        <v/>
      </c>
      <c r="OC25">
        <f>IF(COUNTIF('Buyer Groups'!DG78:DY78,0)+COUNTIF('Buyer Groups'!EA78:EN78,0)&gt;0,0,1)</f>
        <v/>
      </c>
      <c r="OD25">
        <f>IF($DF$25="",FALSE,SUMPRODUCT(('Final Calculation Sheet'!$T$4:$T$40=$DF$25)*($OC$6:$OC$42=1))&gt;0)</f>
        <v/>
      </c>
      <c r="OE25">
        <f>$OE$24+--($OD25)</f>
        <v/>
      </c>
      <c r="OF25">
        <f>IF(ROW()-3&gt;MAX($OE$4:$OE$40),"",INDEX($DF$4:$DF$40,MATCH(ROW()-3,$OE$4:$OE$40,0)))</f>
        <v/>
      </c>
      <c r="OG25">
        <f>IF(COUNTIF('Buyer Groups'!DG78:DZ78,0)+COUNTIF('Buyer Groups'!EB78:EN78,0)&gt;0,0,1)</f>
        <v/>
      </c>
      <c r="OH25">
        <f>IF($DK$25="",FALSE,SUMPRODUCT(('Final Calculation Sheet'!$U$4:$U$40=$DK$25)*($OG$6:$OG$42=1))&gt;0)</f>
        <v/>
      </c>
      <c r="OI25">
        <f>$OI$24+--($OH25)</f>
        <v/>
      </c>
      <c r="OJ25">
        <f>IF(ROW()-3&gt;MAX($OI$4:$OI$40),"",INDEX($DK$4:$DK$40,MATCH(ROW()-3,$OI$4:$OI$40,0)))</f>
        <v/>
      </c>
      <c r="OK25">
        <f>IF(COUNTIF('Buyer Groups'!DG78:EA78,0)+COUNTIF('Buyer Groups'!EC78:EN78,0)&gt;0,0,1)</f>
        <v/>
      </c>
      <c r="OL25">
        <f>IF($DP$25="",FALSE,SUMPRODUCT(('Final Calculation Sheet'!$V$4:$V$40=$DP$25)*($OK$6:$OK$42=1))&gt;0)</f>
        <v/>
      </c>
      <c r="OM25">
        <f>$OM$24+--($OL25)</f>
        <v/>
      </c>
      <c r="ON25">
        <f>IF(ROW()-3&gt;MAX($OM$4:$OM$40),"",INDEX($DP$4:$DP$40,MATCH(ROW()-3,$OM$4:$OM$40,0)))</f>
        <v/>
      </c>
      <c r="OO25">
        <f>IF(COUNTIF('Buyer Groups'!DG78:EB78,0)+COUNTIF('Buyer Groups'!ED78:EN78,0)&gt;0,0,1)</f>
        <v/>
      </c>
      <c r="OP25">
        <f>IF($DU$25="",FALSE,SUMPRODUCT(('Final Calculation Sheet'!$W$4:$W$40=$DU$25)*($OO$6:$OO$42=1))&gt;0)</f>
        <v/>
      </c>
      <c r="OQ25">
        <f>$OQ$24+--($OP25)</f>
        <v/>
      </c>
      <c r="OR25">
        <f>IF(ROW()-3&gt;MAX($OQ$4:$OQ$40),"",INDEX($DU$4:$DU$40,MATCH(ROW()-3,$OQ$4:$OQ$40,0)))</f>
        <v/>
      </c>
      <c r="OS25">
        <f>IF(COUNTIF('Buyer Groups'!DG78:EC78,0)+COUNTIF('Buyer Groups'!EE78:EN78,0)&gt;0,0,1)</f>
        <v/>
      </c>
      <c r="OT25">
        <f>IF($DZ$25="",FALSE,SUMPRODUCT(('Final Calculation Sheet'!$X$4:$X$40=$DZ$25)*($OS$6:$OS$42=1))&gt;0)</f>
        <v/>
      </c>
      <c r="OU25">
        <f>$OU$24+--($OT25)</f>
        <v/>
      </c>
      <c r="OV25">
        <f>IF(ROW()-3&gt;MAX($OU$4:$OU$40),"",INDEX($DZ$4:$DZ$40,MATCH(ROW()-3,$OU$4:$OU$40,0)))</f>
        <v/>
      </c>
      <c r="OW25">
        <f>IF(COUNTIF('Buyer Groups'!DG78:ED78,0)+COUNTIF('Buyer Groups'!EF78:EN78,0)&gt;0,0,1)</f>
        <v/>
      </c>
      <c r="OX25">
        <f>IF($EE$25="",FALSE,SUMPRODUCT(('Final Calculation Sheet'!$Y$4:$Y$40=$EE$25)*($OW$6:$OW$42=1))&gt;0)</f>
        <v/>
      </c>
      <c r="OY25">
        <f>$OY$24+--($OX25)</f>
        <v/>
      </c>
      <c r="OZ25">
        <f>IF(ROW()-3&gt;MAX($OY$4:$OY$40),"",INDEX($EE$4:$EE$40,MATCH(ROW()-3,$OY$4:$OY$40,0)))</f>
        <v/>
      </c>
      <c r="PA25">
        <f>IF(COUNTIF('Buyer Groups'!DG78:EE78,0)+COUNTIF('Buyer Groups'!EG78:EN78,0)&gt;0,0,1)</f>
        <v/>
      </c>
      <c r="PB25">
        <f>IF($EJ$25="",FALSE,SUMPRODUCT(('Final Calculation Sheet'!$Z$4:$Z$40=$EJ$25)*($PA$6:$PA$42=1))&gt;0)</f>
        <v/>
      </c>
      <c r="PC25">
        <f>$PC$24+--($PB25)</f>
        <v/>
      </c>
      <c r="PD25">
        <f>IF(ROW()-3&gt;MAX($PC$4:$PC$40),"",INDEX($EJ$4:$EJ$40,MATCH(ROW()-3,$PC$4:$PC$40,0)))</f>
        <v/>
      </c>
      <c r="PE25">
        <f>IF(COUNTIF('Buyer Groups'!DG78:EF78,0)+COUNTIF('Buyer Groups'!EH78:EN78,0)&gt;0,0,1)</f>
        <v/>
      </c>
      <c r="PF25">
        <f>IF($EO$25="",FALSE,SUMPRODUCT(('Final Calculation Sheet'!$AA$4:$AA$40=$EO$25)*($PE$6:$PE$42=1))&gt;0)</f>
        <v/>
      </c>
      <c r="PG25">
        <f>$PG$24+--($PF25)</f>
        <v/>
      </c>
      <c r="PH25">
        <f>IF(ROW()-3&gt;MAX($PG$4:$PG$40),"",INDEX($EO$4:$EO$40,MATCH(ROW()-3,$PG$4:$PG$40,0)))</f>
        <v/>
      </c>
      <c r="PI25">
        <f>IF(COUNTIF('Buyer Groups'!DG78:EG78,0)+COUNTIF('Buyer Groups'!EI78:EN78,0)&gt;0,0,1)</f>
        <v/>
      </c>
      <c r="PJ25">
        <f>IF($ET$25="",FALSE,SUMPRODUCT(('Final Calculation Sheet'!$AB$4:$AB$40=$ET$25)*($PI$6:$PI$42=1))&gt;0)</f>
        <v/>
      </c>
      <c r="PK25">
        <f>$PK$24+--($PJ25)</f>
        <v/>
      </c>
      <c r="PL25">
        <f>IF(ROW()-3&gt;MAX($PK$4:$PK$40),"",INDEX($ET$4:$ET$40,MATCH(ROW()-3,$PK$4:$PK$40,0)))</f>
        <v/>
      </c>
      <c r="PM25">
        <f>IF(COUNTIF('Buyer Groups'!DG78:EH78,0)+COUNTIF('Buyer Groups'!EJ78:EN78,0)&gt;0,0,1)</f>
        <v/>
      </c>
      <c r="PN25">
        <f>IF($EY$25="",FALSE,SUMPRODUCT(('Final Calculation Sheet'!$AC$4:$AC$40=$EY$25)*($PM$6:$PM$42=1))&gt;0)</f>
        <v/>
      </c>
      <c r="PO25">
        <f>$PO$24+--($PN25)</f>
        <v/>
      </c>
      <c r="PP25">
        <f>IF(ROW()-3&gt;MAX($PO$4:$PO$40),"",INDEX($EY$4:$EY$40,MATCH(ROW()-3,$PO$4:$PO$40,0)))</f>
        <v/>
      </c>
      <c r="PQ25">
        <f>IF(COUNTIF('Buyer Groups'!DG78:EI78,0)+COUNTIF('Buyer Groups'!EK78:EN78,0)&gt;0,0,1)</f>
        <v/>
      </c>
      <c r="PR25">
        <f>IF($FD$25="",FALSE,SUMPRODUCT(('Final Calculation Sheet'!$AD$4:$AD$40=$FD$25)*($PQ$6:$PQ$42=1))&gt;0)</f>
        <v/>
      </c>
      <c r="PS25">
        <f>$PS$24+--($PR25)</f>
        <v/>
      </c>
      <c r="PT25">
        <f>IF(ROW()-3&gt;MAX($PS$4:$PS$40),"",INDEX($FD$4:$FD$40,MATCH(ROW()-3,$PS$4:$PS$40,0)))</f>
        <v/>
      </c>
      <c r="PU25">
        <f>IF(COUNTIF('Buyer Groups'!DG78:EJ78,0)+COUNTIF('Buyer Groups'!EL78:EN78,0)&gt;0,0,1)</f>
        <v/>
      </c>
      <c r="PV25">
        <f>IF($FX$25="",FALSE,SUMPRODUCT((IF('Final Calculation Sheet'!$AD$4:$AD$40&lt;=5,"SETTLED","OUTSTANDING")=$FX$25)*($PU$6:$PU$42=1))&gt;0)</f>
        <v/>
      </c>
      <c r="PW25">
        <f>$PW$24+--($PV25)</f>
        <v/>
      </c>
      <c r="PX25">
        <f>IF(ROW()-3&gt;MAX($PW$4:$PW$40),"",INDEX($FX$4:$FX$40,MATCH(ROW()-3,$PW$4:$PW$40,0)))</f>
        <v/>
      </c>
      <c r="PY25">
        <f>IF(COUNTIF('Buyer Groups'!DG78:EK78,0)+COUNTIF('Buyer Groups'!EM78:EN78,0)&gt;0,0,1)</f>
        <v/>
      </c>
      <c r="PZ25">
        <f>IF($FI$25="",FALSE,SUMPRODUCT(('Final Calculation Sheet'!$AF$4:$AF$40=$FI$25)*($PY$6:$PY$42=1))&gt;0)</f>
        <v/>
      </c>
      <c r="QA25">
        <f>$QA$24+--($PZ25)</f>
        <v/>
      </c>
      <c r="QB25">
        <f>IF(ROW()-3&gt;MAX($QA$4:$QA$40),"",INDEX($FI$4:$FI$40,MATCH(ROW()-3,$QA$4:$QA$40,0)))</f>
        <v/>
      </c>
      <c r="QC25">
        <f>IF(COUNTIF('Buyer Groups'!DG78:EL78,0)+COUNTIF('Buyer Groups'!EN78:EN78,0)&gt;0,0,1)</f>
        <v/>
      </c>
      <c r="QD25">
        <f>IF($FN$25="",FALSE,SUMPRODUCT(('Final Calculation Sheet'!$AG$4:$AG$40=$FN$25)*($QC$6:$QC$42=1))&gt;0)</f>
        <v/>
      </c>
      <c r="QE25">
        <f>$QE$24+--($QD25)</f>
        <v/>
      </c>
      <c r="QF25">
        <f>IF(ROW()-3&gt;MAX($QE$4:$QE$40),"",INDEX($FN$4:$FN$40,MATCH(ROW()-3,$QE$4:$QE$40,0)))</f>
        <v/>
      </c>
      <c r="QG25">
        <f>IF(COUNTIF('Buyer Groups'!DG78:EM78,0)&gt;0,0,1)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IF(IFERROR('Final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IF(IFERROR('Final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Groups'!DH79:EN79,0)&gt;0,0,1)</f>
        <v/>
      </c>
      <c r="LF26">
        <f>IF($O$26="",FALSE,SUMPRODUCT(('Final Calculation Sheet'!$F$4:$F$40=$O$26)*($LE$6:$LE$42=1))&gt;0)</f>
        <v/>
      </c>
      <c r="LG26">
        <f>$LG$25+--($LF26)</f>
        <v/>
      </c>
      <c r="LH26">
        <f>IF(ROW()-3&gt;MAX($LG$4:$LG$40),"",INDEX($O$4:$O$40,MATCH(ROW()-3,$LG$4:$LG$40,0)))</f>
        <v/>
      </c>
      <c r="LI26">
        <f>IF(COUNTIF('Buyer Groups'!DG79:DG79,0)+COUNTIF('Buyer Groups'!DI79:EN79,0)&gt;0,0,1)</f>
        <v/>
      </c>
      <c r="LJ26">
        <f>IF($T$26="",FALSE,SUMPRODUCT(('Final Calculation Sheet'!$G$4:$G$40=$T$26)*($LI$6:$LI$42=1))&gt;0)</f>
        <v/>
      </c>
      <c r="LK26">
        <f>$LK$25+--($LJ26)</f>
        <v/>
      </c>
      <c r="LL26">
        <f>IF(ROW()-3&gt;MAX($LK$4:$LK$40),"",INDEX($T$4:$T$40,MATCH(ROW()-3,$LK$4:$LK$40,0)))</f>
        <v/>
      </c>
      <c r="LM26">
        <f>IF(COUNTIF('Buyer Groups'!DG79:DH79,0)+COUNTIF('Buyer Groups'!DJ79:EN79,0)&gt;0,0,1)</f>
        <v/>
      </c>
      <c r="LN26">
        <f>IF($Y$26="",FALSE,SUMPRODUCT(('Final Calculation Sheet'!$B$4:$B$40=$Y$26)*($LM$6:$LM$42=1))&gt;0)</f>
        <v/>
      </c>
      <c r="LO26">
        <f>$LO$25+--($LN26)</f>
        <v/>
      </c>
      <c r="LP26">
        <f>IF(ROW()-3&gt;MAX($LO$4:$LO$40),"",INDEX($Y$4:$Y$40,MATCH(ROW()-3,$LO$4:$LO$40,0)))</f>
        <v/>
      </c>
      <c r="LQ26">
        <f>IF(COUNTIF('Buyer Groups'!DG79:DI79,0)+COUNTIF('Buyer Groups'!DK79:EN79,0)&gt;0,0,1)</f>
        <v/>
      </c>
      <c r="LR26">
        <f>IF($AD$26="",FALSE,SUMPRODUCT(('Final Calculation Sheet'!$D$4:$D$40=$AD$26)*($LQ$6:$LQ$42=1))&gt;0)</f>
        <v/>
      </c>
      <c r="LS26">
        <f>$LS$25+--($LR26)</f>
        <v/>
      </c>
      <c r="LT26">
        <f>IF(ROW()-3&gt;MAX($LS$4:$LS$40),"",INDEX($AD$4:$AD$40,MATCH(ROW()-3,$LS$4:$LS$40,0)))</f>
        <v/>
      </c>
      <c r="LU26">
        <f>IF(COUNTIF('Buyer Groups'!DG79:DJ79,0)+COUNTIF('Buyer Groups'!DL79:EN79,0)&gt;0,0,1)</f>
        <v/>
      </c>
      <c r="LV26">
        <f>IF($AI$26="",FALSE,SUMPRODUCT(('Final Calculation Sheet'!$A$4:$A$40=$AI$26)*($LU$6:$LU$42=1))&gt;0)</f>
        <v/>
      </c>
      <c r="LW26">
        <f>$LW$25+--($LV26)</f>
        <v/>
      </c>
      <c r="LX26">
        <f>IF(ROW()-3&gt;MAX($LW$4:$LW$40),"",INDEX($AI$4:$AI$40,MATCH(ROW()-3,$LW$4:$LW$40,0)))</f>
        <v/>
      </c>
      <c r="LY26">
        <f>IF(COUNTIF('Buyer Groups'!DG79:DK79,0)+COUNTIF('Buyer Groups'!DM79:EN79,0)&gt;0,0,1)</f>
        <v/>
      </c>
      <c r="LZ26">
        <f>IF($AN$26="",FALSE,SUMPRODUCT(('Final Calculation Sheet'!$E$4:$E$40=$AN$26)*($LY$6:$LY$42=1))&gt;0)</f>
        <v/>
      </c>
      <c r="MA26">
        <f>$MA$25+--($LZ26)</f>
        <v/>
      </c>
      <c r="MB26">
        <f>IF(ROW()-3&gt;MAX($MA$4:$MA$40),"",INDEX($AN$4:$AN$40,MATCH(ROW()-3,$MA$4:$MA$40,0)))</f>
        <v/>
      </c>
      <c r="MC26">
        <f>IF(COUNTIF('Buyer Groups'!DG79:DL79,0)+COUNTIF('Buyer Groups'!DN79:EN79,0)&gt;0,0,1)</f>
        <v/>
      </c>
      <c r="MD26">
        <f>IF($AS$26="",FALSE,SUMPRODUCT(('Final Calculation Sheet'!$C$4:$C$40=$AS$26)*($MC$6:$MC$42=1))&gt;0)</f>
        <v/>
      </c>
      <c r="ME26">
        <f>$ME$25+--($MD26)</f>
        <v/>
      </c>
      <c r="MF26">
        <f>IF(ROW()-3&gt;MAX($ME$4:$ME$40),"",INDEX($AS$4:$AS$40,MATCH(ROW()-3,$ME$4:$ME$40,0)))</f>
        <v/>
      </c>
      <c r="MG26">
        <f>IF(COUNTIF('Buyer Groups'!DG79:DM79,0)+COUNTIF('Buyer Groups'!DO79:EN79,0)&gt;0,0,1)</f>
        <v/>
      </c>
      <c r="MH26">
        <f>IF($AX$26="",FALSE,SUMPRODUCT(('Final Calculation Sheet'!$H$4:$H$40=$AX$26)*($MG$6:$MG$42=1))&gt;0)</f>
        <v/>
      </c>
      <c r="MI26">
        <f>$MI$25+--($MH26)</f>
        <v/>
      </c>
      <c r="MJ26">
        <f>IF(ROW()-3&gt;MAX($MI$4:$MI$40),"",INDEX($AX$4:$AX$40,MATCH(ROW()-3,$MI$4:$MI$40,0)))</f>
        <v/>
      </c>
      <c r="MK26">
        <f>IF(COUNTIF('Buyer Groups'!DG79:DN79,0)+COUNTIF('Buyer Groups'!DP79:EN79,0)&gt;0,0,1)</f>
        <v/>
      </c>
      <c r="ML26">
        <f>IF($BC$26="",FALSE,SUMPRODUCT(('Final Calculation Sheet'!$I$4:$I$40=$BC$26)*($MK$6:$MK$42=1))&gt;0)</f>
        <v/>
      </c>
      <c r="MM26">
        <f>$MM$25+--($ML26)</f>
        <v/>
      </c>
      <c r="MN26">
        <f>IF(ROW()-3&gt;MAX($MM$4:$MM$40),"",INDEX($BC$4:$BC$40,MATCH(ROW()-3,$MM$4:$MM$40,0)))</f>
        <v/>
      </c>
      <c r="MO26">
        <f>IF(COUNTIF('Buyer Groups'!DG79:DO79,0)+COUNTIF('Buyer Groups'!DQ79:EN79,0)&gt;0,0,1)</f>
        <v/>
      </c>
      <c r="MP26">
        <f>IF($BH$26="",FALSE,SUMPRODUCT(('Final Calculation Sheet'!$J$4:$J$40=$BH$26)*($MO$6:$MO$42=1))&gt;0)</f>
        <v/>
      </c>
      <c r="MQ26">
        <f>$MQ$25+--($MP26)</f>
        <v/>
      </c>
      <c r="MR26">
        <f>IF(ROW()-3&gt;MAX($MQ$4:$MQ$40),"",INDEX($BH$4:$BH$40,MATCH(ROW()-3,$MQ$4:$MQ$40,0)))</f>
        <v/>
      </c>
      <c r="MS26">
        <f>IF(COUNTIF('Buyer Groups'!DG79:DP79,0)+COUNTIF('Buyer Groups'!DR79:EN79,0)&gt;0,0,1)</f>
        <v/>
      </c>
      <c r="MT26">
        <f>IF($BM$26="",FALSE,SUMPRODUCT(('Final Calculation Sheet'!$K$4:$K$40=$BM$26)*($MS$6:$MS$42=1))&gt;0)</f>
        <v/>
      </c>
      <c r="MU26">
        <f>$MU$25+--($MT26)</f>
        <v/>
      </c>
      <c r="MV26">
        <f>IF(ROW()-3&gt;MAX($MU$4:$MU$40),"",INDEX($BM$4:$BM$40,MATCH(ROW()-3,$MU$4:$MU$40,0)))</f>
        <v/>
      </c>
      <c r="MW26">
        <f>IF(COUNTIF('Buyer Groups'!DG79:DQ79,0)+COUNTIF('Buyer Groups'!DS79:EN79,0)&gt;0,0,1)</f>
        <v/>
      </c>
      <c r="MX26">
        <f>IF($BR$26="",FALSE,SUMPRODUCT(('Final Calculation Sheet'!$L$4:$L$40=$BR$26)*($MW$6:$MW$42=1))&gt;0)</f>
        <v/>
      </c>
      <c r="MY26">
        <f>$MY$25+--($MX26)</f>
        <v/>
      </c>
      <c r="MZ26">
        <f>IF(ROW()-3&gt;MAX($MY$4:$MY$40),"",INDEX($BR$4:$BR$40,MATCH(ROW()-3,$MY$4:$MY$40,0)))</f>
        <v/>
      </c>
      <c r="NA26">
        <f>IF(COUNTIF('Buyer Groups'!DG79:DR79,0)+COUNTIF('Buyer Groups'!DT79:EN79,0)&gt;0,0,1)</f>
        <v/>
      </c>
      <c r="NB26">
        <f>IF($BW$26="",FALSE,SUMPRODUCT(('Final Calculation Sheet'!$M$4:$M$40=$BW$26)*($NA$6:$NA$42=1))&gt;0)</f>
        <v/>
      </c>
      <c r="NC26">
        <f>$NC$25+--($NB26)</f>
        <v/>
      </c>
      <c r="ND26">
        <f>IF(ROW()-3&gt;MAX($NC$4:$NC$40),"",INDEX($BW$4:$BW$40,MATCH(ROW()-3,$NC$4:$NC$40,0)))</f>
        <v/>
      </c>
      <c r="NE26">
        <f>IF(COUNTIF('Buyer Groups'!DG79:DS79,0)+COUNTIF('Buyer Groups'!DU79:EN79,0)&gt;0,0,1)</f>
        <v/>
      </c>
      <c r="NF26">
        <f>IF($CB$26="",FALSE,SUMPRODUCT(('Final Calculation Sheet'!$N$4:$N$40=$CB$26)*($NE$6:$NE$42=1))&gt;0)</f>
        <v/>
      </c>
      <c r="NG26">
        <f>$NG$25+--($NF26)</f>
        <v/>
      </c>
      <c r="NH26">
        <f>IF(ROW()-3&gt;MAX($NG$4:$NG$40),"",INDEX($CB$4:$CB$40,MATCH(ROW()-3,$NG$4:$NG$40,0)))</f>
        <v/>
      </c>
      <c r="NI26">
        <f>IF(COUNTIF('Buyer Groups'!DG79:DT79,0)+COUNTIF('Buyer Groups'!DV79:EN79,0)&gt;0,0,1)</f>
        <v/>
      </c>
      <c r="NJ26">
        <f>IF($CG$26="",FALSE,SUMPRODUCT(('Final Calculation Sheet'!$O$4:$O$40=$CG$26)*($NI$6:$NI$42=1))&gt;0)</f>
        <v/>
      </c>
      <c r="NK26">
        <f>$NK$25+--($NJ26)</f>
        <v/>
      </c>
      <c r="NL26">
        <f>IF(ROW()-3&gt;MAX($NK$4:$NK$40),"",INDEX($CG$4:$CG$40,MATCH(ROW()-3,$NK$4:$NK$40,0)))</f>
        <v/>
      </c>
      <c r="NM26">
        <f>IF(COUNTIF('Buyer Groups'!DG79:DU79,0)+COUNTIF('Buyer Groups'!DW79:EN79,0)&gt;0,0,1)</f>
        <v/>
      </c>
      <c r="NN26">
        <f>IF($CL$26="",FALSE,SUMPRODUCT(('Final Calculation Sheet'!$P$4:$P$40=$CL$26)*($NM$6:$NM$42=1))&gt;0)</f>
        <v/>
      </c>
      <c r="NO26">
        <f>$NO$25+--($NN26)</f>
        <v/>
      </c>
      <c r="NP26">
        <f>IF(ROW()-3&gt;MAX($NO$4:$NO$40),"",INDEX($CL$4:$CL$40,MATCH(ROW()-3,$NO$4:$NO$40,0)))</f>
        <v/>
      </c>
      <c r="NQ26">
        <f>IF(COUNTIF('Buyer Groups'!DG79:DV79,0)+COUNTIF('Buyer Groups'!DX79:EN79,0)&gt;0,0,1)</f>
        <v/>
      </c>
      <c r="NR26">
        <f>IF($CQ$26="",FALSE,SUMPRODUCT(('Final Calculation Sheet'!$Q$4:$Q$40=$CQ$26)*($NQ$6:$NQ$42=1))&gt;0)</f>
        <v/>
      </c>
      <c r="NS26">
        <f>$NS$25+--($NR26)</f>
        <v/>
      </c>
      <c r="NT26">
        <f>IF(ROW()-3&gt;MAX($NS$4:$NS$40),"",INDEX($CQ$4:$CQ$40,MATCH(ROW()-3,$NS$4:$NS$40,0)))</f>
        <v/>
      </c>
      <c r="NU26">
        <f>IF(COUNTIF('Buyer Groups'!DG79:DW79,0)+COUNTIF('Buyer Groups'!DY79:EN79,0)&gt;0,0,1)</f>
        <v/>
      </c>
      <c r="NV26">
        <f>IF($CV$26="",FALSE,SUMPRODUCT(('Final Calculation Sheet'!$R$4:$R$40=$CV$26)*($NU$6:$NU$42=1))&gt;0)</f>
        <v/>
      </c>
      <c r="NW26">
        <f>$NW$25+--($NV26)</f>
        <v/>
      </c>
      <c r="NX26">
        <f>IF(ROW()-3&gt;MAX($NW$4:$NW$40),"",INDEX($CV$4:$CV$40,MATCH(ROW()-3,$NW$4:$NW$40,0)))</f>
        <v/>
      </c>
      <c r="NY26">
        <f>IF(COUNTIF('Buyer Groups'!DG79:DX79,0)+COUNTIF('Buyer Groups'!DZ79:EN79,0)&gt;0,0,1)</f>
        <v/>
      </c>
      <c r="NZ26">
        <f>IF($DA$26="",FALSE,SUMPRODUCT(('Final Calculation Sheet'!$S$4:$S$40=$DA$26)*($NY$6:$NY$42=1))&gt;0)</f>
        <v/>
      </c>
      <c r="OA26">
        <f>$OA$25+--($NZ26)</f>
        <v/>
      </c>
      <c r="OB26">
        <f>IF(ROW()-3&gt;MAX($OA$4:$OA$40),"",INDEX($DA$4:$DA$40,MATCH(ROW()-3,$OA$4:$OA$40,0)))</f>
        <v/>
      </c>
      <c r="OC26">
        <f>IF(COUNTIF('Buyer Groups'!DG79:DY79,0)+COUNTIF('Buyer Groups'!EA79:EN79,0)&gt;0,0,1)</f>
        <v/>
      </c>
      <c r="OD26">
        <f>IF($DF$26="",FALSE,SUMPRODUCT(('Final Calculation Sheet'!$T$4:$T$40=$DF$26)*($OC$6:$OC$42=1))&gt;0)</f>
        <v/>
      </c>
      <c r="OE26">
        <f>$OE$25+--($OD26)</f>
        <v/>
      </c>
      <c r="OF26">
        <f>IF(ROW()-3&gt;MAX($OE$4:$OE$40),"",INDEX($DF$4:$DF$40,MATCH(ROW()-3,$OE$4:$OE$40,0)))</f>
        <v/>
      </c>
      <c r="OG26">
        <f>IF(COUNTIF('Buyer Groups'!DG79:DZ79,0)+COUNTIF('Buyer Groups'!EB79:EN79,0)&gt;0,0,1)</f>
        <v/>
      </c>
      <c r="OH26">
        <f>IF($DK$26="",FALSE,SUMPRODUCT(('Final Calculation Sheet'!$U$4:$U$40=$DK$26)*($OG$6:$OG$42=1))&gt;0)</f>
        <v/>
      </c>
      <c r="OI26">
        <f>$OI$25+--($OH26)</f>
        <v/>
      </c>
      <c r="OJ26">
        <f>IF(ROW()-3&gt;MAX($OI$4:$OI$40),"",INDEX($DK$4:$DK$40,MATCH(ROW()-3,$OI$4:$OI$40,0)))</f>
        <v/>
      </c>
      <c r="OK26">
        <f>IF(COUNTIF('Buyer Groups'!DG79:EA79,0)+COUNTIF('Buyer Groups'!EC79:EN79,0)&gt;0,0,1)</f>
        <v/>
      </c>
      <c r="OL26">
        <f>IF($DP$26="",FALSE,SUMPRODUCT(('Final Calculation Sheet'!$V$4:$V$40=$DP$26)*($OK$6:$OK$42=1))&gt;0)</f>
        <v/>
      </c>
      <c r="OM26">
        <f>$OM$25+--($OL26)</f>
        <v/>
      </c>
      <c r="ON26">
        <f>IF(ROW()-3&gt;MAX($OM$4:$OM$40),"",INDEX($DP$4:$DP$40,MATCH(ROW()-3,$OM$4:$OM$40,0)))</f>
        <v/>
      </c>
      <c r="OO26">
        <f>IF(COUNTIF('Buyer Groups'!DG79:EB79,0)+COUNTIF('Buyer Groups'!ED79:EN79,0)&gt;0,0,1)</f>
        <v/>
      </c>
      <c r="OP26">
        <f>IF($DU$26="",FALSE,SUMPRODUCT(('Final Calculation Sheet'!$W$4:$W$40=$DU$26)*($OO$6:$OO$42=1))&gt;0)</f>
        <v/>
      </c>
      <c r="OQ26">
        <f>$OQ$25+--($OP26)</f>
        <v/>
      </c>
      <c r="OR26">
        <f>IF(ROW()-3&gt;MAX($OQ$4:$OQ$40),"",INDEX($DU$4:$DU$40,MATCH(ROW()-3,$OQ$4:$OQ$40,0)))</f>
        <v/>
      </c>
      <c r="OS26">
        <f>IF(COUNTIF('Buyer Groups'!DG79:EC79,0)+COUNTIF('Buyer Groups'!EE79:EN79,0)&gt;0,0,1)</f>
        <v/>
      </c>
      <c r="OT26">
        <f>IF($DZ$26="",FALSE,SUMPRODUCT(('Final Calculation Sheet'!$X$4:$X$40=$DZ$26)*($OS$6:$OS$42=1))&gt;0)</f>
        <v/>
      </c>
      <c r="OU26">
        <f>$OU$25+--($OT26)</f>
        <v/>
      </c>
      <c r="OV26">
        <f>IF(ROW()-3&gt;MAX($OU$4:$OU$40),"",INDEX($DZ$4:$DZ$40,MATCH(ROW()-3,$OU$4:$OU$40,0)))</f>
        <v/>
      </c>
      <c r="OW26">
        <f>IF(COUNTIF('Buyer Groups'!DG79:ED79,0)+COUNTIF('Buyer Groups'!EF79:EN79,0)&gt;0,0,1)</f>
        <v/>
      </c>
      <c r="OX26">
        <f>IF($EE$26="",FALSE,SUMPRODUCT(('Final Calculation Sheet'!$Y$4:$Y$40=$EE$26)*($OW$6:$OW$42=1))&gt;0)</f>
        <v/>
      </c>
      <c r="OY26">
        <f>$OY$25+--($OX26)</f>
        <v/>
      </c>
      <c r="OZ26">
        <f>IF(ROW()-3&gt;MAX($OY$4:$OY$40),"",INDEX($EE$4:$EE$40,MATCH(ROW()-3,$OY$4:$OY$40,0)))</f>
        <v/>
      </c>
      <c r="PA26">
        <f>IF(COUNTIF('Buyer Groups'!DG79:EE79,0)+COUNTIF('Buyer Groups'!EG79:EN79,0)&gt;0,0,1)</f>
        <v/>
      </c>
      <c r="PB26">
        <f>IF($EJ$26="",FALSE,SUMPRODUCT(('Final Calculation Sheet'!$Z$4:$Z$40=$EJ$26)*($PA$6:$PA$42=1))&gt;0)</f>
        <v/>
      </c>
      <c r="PC26">
        <f>$PC$25+--($PB26)</f>
        <v/>
      </c>
      <c r="PD26">
        <f>IF(ROW()-3&gt;MAX($PC$4:$PC$40),"",INDEX($EJ$4:$EJ$40,MATCH(ROW()-3,$PC$4:$PC$40,0)))</f>
        <v/>
      </c>
      <c r="PE26">
        <f>IF(COUNTIF('Buyer Groups'!DG79:EF79,0)+COUNTIF('Buyer Groups'!EH79:EN79,0)&gt;0,0,1)</f>
        <v/>
      </c>
      <c r="PF26">
        <f>IF($EO$26="",FALSE,SUMPRODUCT(('Final Calculation Sheet'!$AA$4:$AA$40=$EO$26)*($PE$6:$PE$42=1))&gt;0)</f>
        <v/>
      </c>
      <c r="PG26">
        <f>$PG$25+--($PF26)</f>
        <v/>
      </c>
      <c r="PH26">
        <f>IF(ROW()-3&gt;MAX($PG$4:$PG$40),"",INDEX($EO$4:$EO$40,MATCH(ROW()-3,$PG$4:$PG$40,0)))</f>
        <v/>
      </c>
      <c r="PI26">
        <f>IF(COUNTIF('Buyer Groups'!DG79:EG79,0)+COUNTIF('Buyer Groups'!EI79:EN79,0)&gt;0,0,1)</f>
        <v/>
      </c>
      <c r="PJ26">
        <f>IF($ET$26="",FALSE,SUMPRODUCT(('Final Calculation Sheet'!$AB$4:$AB$40=$ET$26)*($PI$6:$PI$42=1))&gt;0)</f>
        <v/>
      </c>
      <c r="PK26">
        <f>$PK$25+--($PJ26)</f>
        <v/>
      </c>
      <c r="PL26">
        <f>IF(ROW()-3&gt;MAX($PK$4:$PK$40),"",INDEX($ET$4:$ET$40,MATCH(ROW()-3,$PK$4:$PK$40,0)))</f>
        <v/>
      </c>
      <c r="PM26">
        <f>IF(COUNTIF('Buyer Groups'!DG79:EH79,0)+COUNTIF('Buyer Groups'!EJ79:EN79,0)&gt;0,0,1)</f>
        <v/>
      </c>
      <c r="PN26">
        <f>IF($EY$26="",FALSE,SUMPRODUCT(('Final Calculation Sheet'!$AC$4:$AC$40=$EY$26)*($PM$6:$PM$42=1))&gt;0)</f>
        <v/>
      </c>
      <c r="PO26">
        <f>$PO$25+--($PN26)</f>
        <v/>
      </c>
      <c r="PP26">
        <f>IF(ROW()-3&gt;MAX($PO$4:$PO$40),"",INDEX($EY$4:$EY$40,MATCH(ROW()-3,$PO$4:$PO$40,0)))</f>
        <v/>
      </c>
      <c r="PQ26">
        <f>IF(COUNTIF('Buyer Groups'!DG79:EI79,0)+COUNTIF('Buyer Groups'!EK79:EN79,0)&gt;0,0,1)</f>
        <v/>
      </c>
      <c r="PR26">
        <f>IF($FD$26="",FALSE,SUMPRODUCT(('Final Calculation Sheet'!$AD$4:$AD$40=$FD$26)*($PQ$6:$PQ$42=1))&gt;0)</f>
        <v/>
      </c>
      <c r="PS26">
        <f>$PS$25+--($PR26)</f>
        <v/>
      </c>
      <c r="PT26">
        <f>IF(ROW()-3&gt;MAX($PS$4:$PS$40),"",INDEX($FD$4:$FD$40,MATCH(ROW()-3,$PS$4:$PS$40,0)))</f>
        <v/>
      </c>
      <c r="PU26">
        <f>IF(COUNTIF('Buyer Groups'!DG79:EJ79,0)+COUNTIF('Buyer Groups'!EL79:EN79,0)&gt;0,0,1)</f>
        <v/>
      </c>
      <c r="PV26">
        <f>IF($FX$26="",FALSE,SUMPRODUCT((IF('Final Calculation Sheet'!$AD$4:$AD$40&lt;=5,"SETTLED","OUTSTANDING")=$FX$26)*($PU$6:$PU$42=1))&gt;0)</f>
        <v/>
      </c>
      <c r="PW26">
        <f>$PW$25+--($PV26)</f>
        <v/>
      </c>
      <c r="PX26">
        <f>IF(ROW()-3&gt;MAX($PW$4:$PW$40),"",INDEX($FX$4:$FX$40,MATCH(ROW()-3,$PW$4:$PW$40,0)))</f>
        <v/>
      </c>
      <c r="PY26">
        <f>IF(COUNTIF('Buyer Groups'!DG79:EK79,0)+COUNTIF('Buyer Groups'!EM79:EN79,0)&gt;0,0,1)</f>
        <v/>
      </c>
      <c r="PZ26">
        <f>IF($FI$26="",FALSE,SUMPRODUCT(('Final Calculation Sheet'!$AF$4:$AF$40=$FI$26)*($PY$6:$PY$42=1))&gt;0)</f>
        <v/>
      </c>
      <c r="QA26">
        <f>$QA$25+--($PZ26)</f>
        <v/>
      </c>
      <c r="QB26">
        <f>IF(ROW()-3&gt;MAX($QA$4:$QA$40),"",INDEX($FI$4:$FI$40,MATCH(ROW()-3,$QA$4:$QA$40,0)))</f>
        <v/>
      </c>
      <c r="QC26">
        <f>IF(COUNTIF('Buyer Groups'!DG79:EL79,0)+COUNTIF('Buyer Groups'!EN79:EN79,0)&gt;0,0,1)</f>
        <v/>
      </c>
      <c r="QD26">
        <f>IF($FN$26="",FALSE,SUMPRODUCT(('Final Calculation Sheet'!$AG$4:$AG$40=$FN$26)*($QC$6:$QC$42=1))&gt;0)</f>
        <v/>
      </c>
      <c r="QE26">
        <f>$QE$25+--($QD26)</f>
        <v/>
      </c>
      <c r="QF26">
        <f>IF(ROW()-3&gt;MAX($QE$4:$QE$40),"",INDEX($FN$4:$FN$40,MATCH(ROW()-3,$QE$4:$QE$40,0)))</f>
        <v/>
      </c>
      <c r="QG26">
        <f>IF(COUNTIF('Buyer Groups'!DG79:EM79,0)&gt;0,0,1)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IF(IFERROR('Final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IF(IFERROR('Final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Groups'!DH80:EN80,0)&gt;0,0,1)</f>
        <v/>
      </c>
      <c r="LF27">
        <f>IF($O$27="",FALSE,SUMPRODUCT(('Final Calculation Sheet'!$F$4:$F$40=$O$27)*($LE$6:$LE$42=1))&gt;0)</f>
        <v/>
      </c>
      <c r="LG27">
        <f>$LG$26+--($LF27)</f>
        <v/>
      </c>
      <c r="LH27">
        <f>IF(ROW()-3&gt;MAX($LG$4:$LG$40),"",INDEX($O$4:$O$40,MATCH(ROW()-3,$LG$4:$LG$40,0)))</f>
        <v/>
      </c>
      <c r="LI27">
        <f>IF(COUNTIF('Buyer Groups'!DG80:DG80,0)+COUNTIF('Buyer Groups'!DI80:EN80,0)&gt;0,0,1)</f>
        <v/>
      </c>
      <c r="LJ27">
        <f>IF($T$27="",FALSE,SUMPRODUCT(('Final Calculation Sheet'!$G$4:$G$40=$T$27)*($LI$6:$LI$42=1))&gt;0)</f>
        <v/>
      </c>
      <c r="LK27">
        <f>$LK$26+--($LJ27)</f>
        <v/>
      </c>
      <c r="LL27">
        <f>IF(ROW()-3&gt;MAX($LK$4:$LK$40),"",INDEX($T$4:$T$40,MATCH(ROW()-3,$LK$4:$LK$40,0)))</f>
        <v/>
      </c>
      <c r="LM27">
        <f>IF(COUNTIF('Buyer Groups'!DG80:DH80,0)+COUNTIF('Buyer Groups'!DJ80:EN80,0)&gt;0,0,1)</f>
        <v/>
      </c>
      <c r="LN27">
        <f>IF($Y$27="",FALSE,SUMPRODUCT(('Final Calculation Sheet'!$B$4:$B$40=$Y$27)*($LM$6:$LM$42=1))&gt;0)</f>
        <v/>
      </c>
      <c r="LO27">
        <f>$LO$26+--($LN27)</f>
        <v/>
      </c>
      <c r="LP27">
        <f>IF(ROW()-3&gt;MAX($LO$4:$LO$40),"",INDEX($Y$4:$Y$40,MATCH(ROW()-3,$LO$4:$LO$40,0)))</f>
        <v/>
      </c>
      <c r="LQ27">
        <f>IF(COUNTIF('Buyer Groups'!DG80:DI80,0)+COUNTIF('Buyer Groups'!DK80:EN80,0)&gt;0,0,1)</f>
        <v/>
      </c>
      <c r="LR27">
        <f>IF($AD$27="",FALSE,SUMPRODUCT(('Final Calculation Sheet'!$D$4:$D$40=$AD$27)*($LQ$6:$LQ$42=1))&gt;0)</f>
        <v/>
      </c>
      <c r="LS27">
        <f>$LS$26+--($LR27)</f>
        <v/>
      </c>
      <c r="LT27">
        <f>IF(ROW()-3&gt;MAX($LS$4:$LS$40),"",INDEX($AD$4:$AD$40,MATCH(ROW()-3,$LS$4:$LS$40,0)))</f>
        <v/>
      </c>
      <c r="LU27">
        <f>IF(COUNTIF('Buyer Groups'!DG80:DJ80,0)+COUNTIF('Buyer Groups'!DL80:EN80,0)&gt;0,0,1)</f>
        <v/>
      </c>
      <c r="LV27">
        <f>IF($AI$27="",FALSE,SUMPRODUCT(('Final Calculation Sheet'!$A$4:$A$40=$AI$27)*($LU$6:$LU$42=1))&gt;0)</f>
        <v/>
      </c>
      <c r="LW27">
        <f>$LW$26+--($LV27)</f>
        <v/>
      </c>
      <c r="LX27">
        <f>IF(ROW()-3&gt;MAX($LW$4:$LW$40),"",INDEX($AI$4:$AI$40,MATCH(ROW()-3,$LW$4:$LW$40,0)))</f>
        <v/>
      </c>
      <c r="LY27">
        <f>IF(COUNTIF('Buyer Groups'!DG80:DK80,0)+COUNTIF('Buyer Groups'!DM80:EN80,0)&gt;0,0,1)</f>
        <v/>
      </c>
      <c r="LZ27">
        <f>IF($AN$27="",FALSE,SUMPRODUCT(('Final Calculation Sheet'!$E$4:$E$40=$AN$27)*($LY$6:$LY$42=1))&gt;0)</f>
        <v/>
      </c>
      <c r="MA27">
        <f>$MA$26+--($LZ27)</f>
        <v/>
      </c>
      <c r="MB27">
        <f>IF(ROW()-3&gt;MAX($MA$4:$MA$40),"",INDEX($AN$4:$AN$40,MATCH(ROW()-3,$MA$4:$MA$40,0)))</f>
        <v/>
      </c>
      <c r="MC27">
        <f>IF(COUNTIF('Buyer Groups'!DG80:DL80,0)+COUNTIF('Buyer Groups'!DN80:EN80,0)&gt;0,0,1)</f>
        <v/>
      </c>
      <c r="MD27">
        <f>IF($AS$27="",FALSE,SUMPRODUCT(('Final Calculation Sheet'!$C$4:$C$40=$AS$27)*($MC$6:$MC$42=1))&gt;0)</f>
        <v/>
      </c>
      <c r="ME27">
        <f>$ME$26+--($MD27)</f>
        <v/>
      </c>
      <c r="MF27">
        <f>IF(ROW()-3&gt;MAX($ME$4:$ME$40),"",INDEX($AS$4:$AS$40,MATCH(ROW()-3,$ME$4:$ME$40,0)))</f>
        <v/>
      </c>
      <c r="MG27">
        <f>IF(COUNTIF('Buyer Groups'!DG80:DM80,0)+COUNTIF('Buyer Groups'!DO80:EN80,0)&gt;0,0,1)</f>
        <v/>
      </c>
      <c r="MH27">
        <f>IF($AX$27="",FALSE,SUMPRODUCT(('Final Calculation Sheet'!$H$4:$H$40=$AX$27)*($MG$6:$MG$42=1))&gt;0)</f>
        <v/>
      </c>
      <c r="MI27">
        <f>$MI$26+--($MH27)</f>
        <v/>
      </c>
      <c r="MJ27">
        <f>IF(ROW()-3&gt;MAX($MI$4:$MI$40),"",INDEX($AX$4:$AX$40,MATCH(ROW()-3,$MI$4:$MI$40,0)))</f>
        <v/>
      </c>
      <c r="MK27">
        <f>IF(COUNTIF('Buyer Groups'!DG80:DN80,0)+COUNTIF('Buyer Groups'!DP80:EN80,0)&gt;0,0,1)</f>
        <v/>
      </c>
      <c r="ML27">
        <f>IF($BC$27="",FALSE,SUMPRODUCT(('Final Calculation Sheet'!$I$4:$I$40=$BC$27)*($MK$6:$MK$42=1))&gt;0)</f>
        <v/>
      </c>
      <c r="MM27">
        <f>$MM$26+--($ML27)</f>
        <v/>
      </c>
      <c r="MN27">
        <f>IF(ROW()-3&gt;MAX($MM$4:$MM$40),"",INDEX($BC$4:$BC$40,MATCH(ROW()-3,$MM$4:$MM$40,0)))</f>
        <v/>
      </c>
      <c r="MO27">
        <f>IF(COUNTIF('Buyer Groups'!DG80:DO80,0)+COUNTIF('Buyer Groups'!DQ80:EN80,0)&gt;0,0,1)</f>
        <v/>
      </c>
      <c r="MP27">
        <f>IF($BH$27="",FALSE,SUMPRODUCT(('Final Calculation Sheet'!$J$4:$J$40=$BH$27)*($MO$6:$MO$42=1))&gt;0)</f>
        <v/>
      </c>
      <c r="MQ27">
        <f>$MQ$26+--($MP27)</f>
        <v/>
      </c>
      <c r="MR27">
        <f>IF(ROW()-3&gt;MAX($MQ$4:$MQ$40),"",INDEX($BH$4:$BH$40,MATCH(ROW()-3,$MQ$4:$MQ$40,0)))</f>
        <v/>
      </c>
      <c r="MS27">
        <f>IF(COUNTIF('Buyer Groups'!DG80:DP80,0)+COUNTIF('Buyer Groups'!DR80:EN80,0)&gt;0,0,1)</f>
        <v/>
      </c>
      <c r="MT27">
        <f>IF($BM$27="",FALSE,SUMPRODUCT(('Final Calculation Sheet'!$K$4:$K$40=$BM$27)*($MS$6:$MS$42=1))&gt;0)</f>
        <v/>
      </c>
      <c r="MU27">
        <f>$MU$26+--($MT27)</f>
        <v/>
      </c>
      <c r="MV27">
        <f>IF(ROW()-3&gt;MAX($MU$4:$MU$40),"",INDEX($BM$4:$BM$40,MATCH(ROW()-3,$MU$4:$MU$40,0)))</f>
        <v/>
      </c>
      <c r="MW27">
        <f>IF(COUNTIF('Buyer Groups'!DG80:DQ80,0)+COUNTIF('Buyer Groups'!DS80:EN80,0)&gt;0,0,1)</f>
        <v/>
      </c>
      <c r="MX27">
        <f>IF($BR$27="",FALSE,SUMPRODUCT(('Final Calculation Sheet'!$L$4:$L$40=$BR$27)*($MW$6:$MW$42=1))&gt;0)</f>
        <v/>
      </c>
      <c r="MY27">
        <f>$MY$26+--($MX27)</f>
        <v/>
      </c>
      <c r="MZ27">
        <f>IF(ROW()-3&gt;MAX($MY$4:$MY$40),"",INDEX($BR$4:$BR$40,MATCH(ROW()-3,$MY$4:$MY$40,0)))</f>
        <v/>
      </c>
      <c r="NA27">
        <f>IF(COUNTIF('Buyer Groups'!DG80:DR80,0)+COUNTIF('Buyer Groups'!DT80:EN80,0)&gt;0,0,1)</f>
        <v/>
      </c>
      <c r="NB27">
        <f>IF($BW$27="",FALSE,SUMPRODUCT(('Final Calculation Sheet'!$M$4:$M$40=$BW$27)*($NA$6:$NA$42=1))&gt;0)</f>
        <v/>
      </c>
      <c r="NC27">
        <f>$NC$26+--($NB27)</f>
        <v/>
      </c>
      <c r="ND27">
        <f>IF(ROW()-3&gt;MAX($NC$4:$NC$40),"",INDEX($BW$4:$BW$40,MATCH(ROW()-3,$NC$4:$NC$40,0)))</f>
        <v/>
      </c>
      <c r="NE27">
        <f>IF(COUNTIF('Buyer Groups'!DG80:DS80,0)+COUNTIF('Buyer Groups'!DU80:EN80,0)&gt;0,0,1)</f>
        <v/>
      </c>
      <c r="NF27">
        <f>IF($CB$27="",FALSE,SUMPRODUCT(('Final Calculation Sheet'!$N$4:$N$40=$CB$27)*($NE$6:$NE$42=1))&gt;0)</f>
        <v/>
      </c>
      <c r="NG27">
        <f>$NG$26+--($NF27)</f>
        <v/>
      </c>
      <c r="NH27">
        <f>IF(ROW()-3&gt;MAX($NG$4:$NG$40),"",INDEX($CB$4:$CB$40,MATCH(ROW()-3,$NG$4:$NG$40,0)))</f>
        <v/>
      </c>
      <c r="NI27">
        <f>IF(COUNTIF('Buyer Groups'!DG80:DT80,0)+COUNTIF('Buyer Groups'!DV80:EN80,0)&gt;0,0,1)</f>
        <v/>
      </c>
      <c r="NJ27">
        <f>IF($CG$27="",FALSE,SUMPRODUCT(('Final Calculation Sheet'!$O$4:$O$40=$CG$27)*($NI$6:$NI$42=1))&gt;0)</f>
        <v/>
      </c>
      <c r="NK27">
        <f>$NK$26+--($NJ27)</f>
        <v/>
      </c>
      <c r="NL27">
        <f>IF(ROW()-3&gt;MAX($NK$4:$NK$40),"",INDEX($CG$4:$CG$40,MATCH(ROW()-3,$NK$4:$NK$40,0)))</f>
        <v/>
      </c>
      <c r="NM27">
        <f>IF(COUNTIF('Buyer Groups'!DG80:DU80,0)+COUNTIF('Buyer Groups'!DW80:EN80,0)&gt;0,0,1)</f>
        <v/>
      </c>
      <c r="NN27">
        <f>IF($CL$27="",FALSE,SUMPRODUCT(('Final Calculation Sheet'!$P$4:$P$40=$CL$27)*($NM$6:$NM$42=1))&gt;0)</f>
        <v/>
      </c>
      <c r="NO27">
        <f>$NO$26+--($NN27)</f>
        <v/>
      </c>
      <c r="NP27">
        <f>IF(ROW()-3&gt;MAX($NO$4:$NO$40),"",INDEX($CL$4:$CL$40,MATCH(ROW()-3,$NO$4:$NO$40,0)))</f>
        <v/>
      </c>
      <c r="NQ27">
        <f>IF(COUNTIF('Buyer Groups'!DG80:DV80,0)+COUNTIF('Buyer Groups'!DX80:EN80,0)&gt;0,0,1)</f>
        <v/>
      </c>
      <c r="NR27">
        <f>IF($CQ$27="",FALSE,SUMPRODUCT(('Final Calculation Sheet'!$Q$4:$Q$40=$CQ$27)*($NQ$6:$NQ$42=1))&gt;0)</f>
        <v/>
      </c>
      <c r="NS27">
        <f>$NS$26+--($NR27)</f>
        <v/>
      </c>
      <c r="NT27">
        <f>IF(ROW()-3&gt;MAX($NS$4:$NS$40),"",INDEX($CQ$4:$CQ$40,MATCH(ROW()-3,$NS$4:$NS$40,0)))</f>
        <v/>
      </c>
      <c r="NU27">
        <f>IF(COUNTIF('Buyer Groups'!DG80:DW80,0)+COUNTIF('Buyer Groups'!DY80:EN80,0)&gt;0,0,1)</f>
        <v/>
      </c>
      <c r="NV27">
        <f>IF($CV$27="",FALSE,SUMPRODUCT(('Final Calculation Sheet'!$R$4:$R$40=$CV$27)*($NU$6:$NU$42=1))&gt;0)</f>
        <v/>
      </c>
      <c r="NW27">
        <f>$NW$26+--($NV27)</f>
        <v/>
      </c>
      <c r="NX27">
        <f>IF(ROW()-3&gt;MAX($NW$4:$NW$40),"",INDEX($CV$4:$CV$40,MATCH(ROW()-3,$NW$4:$NW$40,0)))</f>
        <v/>
      </c>
      <c r="NY27">
        <f>IF(COUNTIF('Buyer Groups'!DG80:DX80,0)+COUNTIF('Buyer Groups'!DZ80:EN80,0)&gt;0,0,1)</f>
        <v/>
      </c>
      <c r="NZ27">
        <f>IF($DA$27="",FALSE,SUMPRODUCT(('Final Calculation Sheet'!$S$4:$S$40=$DA$27)*($NY$6:$NY$42=1))&gt;0)</f>
        <v/>
      </c>
      <c r="OA27">
        <f>$OA$26+--($NZ27)</f>
        <v/>
      </c>
      <c r="OB27">
        <f>IF(ROW()-3&gt;MAX($OA$4:$OA$40),"",INDEX($DA$4:$DA$40,MATCH(ROW()-3,$OA$4:$OA$40,0)))</f>
        <v/>
      </c>
      <c r="OC27">
        <f>IF(COUNTIF('Buyer Groups'!DG80:DY80,0)+COUNTIF('Buyer Groups'!EA80:EN80,0)&gt;0,0,1)</f>
        <v/>
      </c>
      <c r="OD27">
        <f>IF($DF$27="",FALSE,SUMPRODUCT(('Final Calculation Sheet'!$T$4:$T$40=$DF$27)*($OC$6:$OC$42=1))&gt;0)</f>
        <v/>
      </c>
      <c r="OE27">
        <f>$OE$26+--($OD27)</f>
        <v/>
      </c>
      <c r="OF27">
        <f>IF(ROW()-3&gt;MAX($OE$4:$OE$40),"",INDEX($DF$4:$DF$40,MATCH(ROW()-3,$OE$4:$OE$40,0)))</f>
        <v/>
      </c>
      <c r="OG27">
        <f>IF(COUNTIF('Buyer Groups'!DG80:DZ80,0)+COUNTIF('Buyer Groups'!EB80:EN80,0)&gt;0,0,1)</f>
        <v/>
      </c>
      <c r="OH27">
        <f>IF($DK$27="",FALSE,SUMPRODUCT(('Final Calculation Sheet'!$U$4:$U$40=$DK$27)*($OG$6:$OG$42=1))&gt;0)</f>
        <v/>
      </c>
      <c r="OI27">
        <f>$OI$26+--($OH27)</f>
        <v/>
      </c>
      <c r="OJ27">
        <f>IF(ROW()-3&gt;MAX($OI$4:$OI$40),"",INDEX($DK$4:$DK$40,MATCH(ROW()-3,$OI$4:$OI$40,0)))</f>
        <v/>
      </c>
      <c r="OK27">
        <f>IF(COUNTIF('Buyer Groups'!DG80:EA80,0)+COUNTIF('Buyer Groups'!EC80:EN80,0)&gt;0,0,1)</f>
        <v/>
      </c>
      <c r="OL27">
        <f>IF($DP$27="",FALSE,SUMPRODUCT(('Final Calculation Sheet'!$V$4:$V$40=$DP$27)*($OK$6:$OK$42=1))&gt;0)</f>
        <v/>
      </c>
      <c r="OM27">
        <f>$OM$26+--($OL27)</f>
        <v/>
      </c>
      <c r="ON27">
        <f>IF(ROW()-3&gt;MAX($OM$4:$OM$40),"",INDEX($DP$4:$DP$40,MATCH(ROW()-3,$OM$4:$OM$40,0)))</f>
        <v/>
      </c>
      <c r="OO27">
        <f>IF(COUNTIF('Buyer Groups'!DG80:EB80,0)+COUNTIF('Buyer Groups'!ED80:EN80,0)&gt;0,0,1)</f>
        <v/>
      </c>
      <c r="OP27">
        <f>IF($DU$27="",FALSE,SUMPRODUCT(('Final Calculation Sheet'!$W$4:$W$40=$DU$27)*($OO$6:$OO$42=1))&gt;0)</f>
        <v/>
      </c>
      <c r="OQ27">
        <f>$OQ$26+--($OP27)</f>
        <v/>
      </c>
      <c r="OR27">
        <f>IF(ROW()-3&gt;MAX($OQ$4:$OQ$40),"",INDEX($DU$4:$DU$40,MATCH(ROW()-3,$OQ$4:$OQ$40,0)))</f>
        <v/>
      </c>
      <c r="OS27">
        <f>IF(COUNTIF('Buyer Groups'!DG80:EC80,0)+COUNTIF('Buyer Groups'!EE80:EN80,0)&gt;0,0,1)</f>
        <v/>
      </c>
      <c r="OT27">
        <f>IF($DZ$27="",FALSE,SUMPRODUCT(('Final Calculation Sheet'!$X$4:$X$40=$DZ$27)*($OS$6:$OS$42=1))&gt;0)</f>
        <v/>
      </c>
      <c r="OU27">
        <f>$OU$26+--($OT27)</f>
        <v/>
      </c>
      <c r="OV27">
        <f>IF(ROW()-3&gt;MAX($OU$4:$OU$40),"",INDEX($DZ$4:$DZ$40,MATCH(ROW()-3,$OU$4:$OU$40,0)))</f>
        <v/>
      </c>
      <c r="OW27">
        <f>IF(COUNTIF('Buyer Groups'!DG80:ED80,0)+COUNTIF('Buyer Groups'!EF80:EN80,0)&gt;0,0,1)</f>
        <v/>
      </c>
      <c r="OX27">
        <f>IF($EE$27="",FALSE,SUMPRODUCT(('Final Calculation Sheet'!$Y$4:$Y$40=$EE$27)*($OW$6:$OW$42=1))&gt;0)</f>
        <v/>
      </c>
      <c r="OY27">
        <f>$OY$26+--($OX27)</f>
        <v/>
      </c>
      <c r="OZ27">
        <f>IF(ROW()-3&gt;MAX($OY$4:$OY$40),"",INDEX($EE$4:$EE$40,MATCH(ROW()-3,$OY$4:$OY$40,0)))</f>
        <v/>
      </c>
      <c r="PA27">
        <f>IF(COUNTIF('Buyer Groups'!DG80:EE80,0)+COUNTIF('Buyer Groups'!EG80:EN80,0)&gt;0,0,1)</f>
        <v/>
      </c>
      <c r="PB27">
        <f>IF($EJ$27="",FALSE,SUMPRODUCT(('Final Calculation Sheet'!$Z$4:$Z$40=$EJ$27)*($PA$6:$PA$42=1))&gt;0)</f>
        <v/>
      </c>
      <c r="PC27">
        <f>$PC$26+--($PB27)</f>
        <v/>
      </c>
      <c r="PD27">
        <f>IF(ROW()-3&gt;MAX($PC$4:$PC$40),"",INDEX($EJ$4:$EJ$40,MATCH(ROW()-3,$PC$4:$PC$40,0)))</f>
        <v/>
      </c>
      <c r="PE27">
        <f>IF(COUNTIF('Buyer Groups'!DG80:EF80,0)+COUNTIF('Buyer Groups'!EH80:EN80,0)&gt;0,0,1)</f>
        <v/>
      </c>
      <c r="PF27">
        <f>IF($EO$27="",FALSE,SUMPRODUCT(('Final Calculation Sheet'!$AA$4:$AA$40=$EO$27)*($PE$6:$PE$42=1))&gt;0)</f>
        <v/>
      </c>
      <c r="PG27">
        <f>$PG$26+--($PF27)</f>
        <v/>
      </c>
      <c r="PH27">
        <f>IF(ROW()-3&gt;MAX($PG$4:$PG$40),"",INDEX($EO$4:$EO$40,MATCH(ROW()-3,$PG$4:$PG$40,0)))</f>
        <v/>
      </c>
      <c r="PI27">
        <f>IF(COUNTIF('Buyer Groups'!DG80:EG80,0)+COUNTIF('Buyer Groups'!EI80:EN80,0)&gt;0,0,1)</f>
        <v/>
      </c>
      <c r="PJ27">
        <f>IF($ET$27="",FALSE,SUMPRODUCT(('Final Calculation Sheet'!$AB$4:$AB$40=$ET$27)*($PI$6:$PI$42=1))&gt;0)</f>
        <v/>
      </c>
      <c r="PK27">
        <f>$PK$26+--($PJ27)</f>
        <v/>
      </c>
      <c r="PL27">
        <f>IF(ROW()-3&gt;MAX($PK$4:$PK$40),"",INDEX($ET$4:$ET$40,MATCH(ROW()-3,$PK$4:$PK$40,0)))</f>
        <v/>
      </c>
      <c r="PM27">
        <f>IF(COUNTIF('Buyer Groups'!DG80:EH80,0)+COUNTIF('Buyer Groups'!EJ80:EN80,0)&gt;0,0,1)</f>
        <v/>
      </c>
      <c r="PN27">
        <f>IF($EY$27="",FALSE,SUMPRODUCT(('Final Calculation Sheet'!$AC$4:$AC$40=$EY$27)*($PM$6:$PM$42=1))&gt;0)</f>
        <v/>
      </c>
      <c r="PO27">
        <f>$PO$26+--($PN27)</f>
        <v/>
      </c>
      <c r="PP27">
        <f>IF(ROW()-3&gt;MAX($PO$4:$PO$40),"",INDEX($EY$4:$EY$40,MATCH(ROW()-3,$PO$4:$PO$40,0)))</f>
        <v/>
      </c>
      <c r="PQ27">
        <f>IF(COUNTIF('Buyer Groups'!DG80:EI80,0)+COUNTIF('Buyer Groups'!EK80:EN80,0)&gt;0,0,1)</f>
        <v/>
      </c>
      <c r="PR27">
        <f>IF($FD$27="",FALSE,SUMPRODUCT(('Final Calculation Sheet'!$AD$4:$AD$40=$FD$27)*($PQ$6:$PQ$42=1))&gt;0)</f>
        <v/>
      </c>
      <c r="PS27">
        <f>$PS$26+--($PR27)</f>
        <v/>
      </c>
      <c r="PT27">
        <f>IF(ROW()-3&gt;MAX($PS$4:$PS$40),"",INDEX($FD$4:$FD$40,MATCH(ROW()-3,$PS$4:$PS$40,0)))</f>
        <v/>
      </c>
      <c r="PU27">
        <f>IF(COUNTIF('Buyer Groups'!DG80:EJ80,0)+COUNTIF('Buyer Groups'!EL80:EN80,0)&gt;0,0,1)</f>
        <v/>
      </c>
      <c r="PV27">
        <f>IF($FX$27="",FALSE,SUMPRODUCT((IF('Final Calculation Sheet'!$AD$4:$AD$40&lt;=5,"SETTLED","OUTSTANDING")=$FX$27)*($PU$6:$PU$42=1))&gt;0)</f>
        <v/>
      </c>
      <c r="PW27">
        <f>$PW$26+--($PV27)</f>
        <v/>
      </c>
      <c r="PX27">
        <f>IF(ROW()-3&gt;MAX($PW$4:$PW$40),"",INDEX($FX$4:$FX$40,MATCH(ROW()-3,$PW$4:$PW$40,0)))</f>
        <v/>
      </c>
      <c r="PY27">
        <f>IF(COUNTIF('Buyer Groups'!DG80:EK80,0)+COUNTIF('Buyer Groups'!EM80:EN80,0)&gt;0,0,1)</f>
        <v/>
      </c>
      <c r="PZ27">
        <f>IF($FI$27="",FALSE,SUMPRODUCT(('Final Calculation Sheet'!$AF$4:$AF$40=$FI$27)*($PY$6:$PY$42=1))&gt;0)</f>
        <v/>
      </c>
      <c r="QA27">
        <f>$QA$26+--($PZ27)</f>
        <v/>
      </c>
      <c r="QB27">
        <f>IF(ROW()-3&gt;MAX($QA$4:$QA$40),"",INDEX($FI$4:$FI$40,MATCH(ROW()-3,$QA$4:$QA$40,0)))</f>
        <v/>
      </c>
      <c r="QC27">
        <f>IF(COUNTIF('Buyer Groups'!DG80:EL80,0)+COUNTIF('Buyer Groups'!EN80:EN80,0)&gt;0,0,1)</f>
        <v/>
      </c>
      <c r="QD27">
        <f>IF($FN$27="",FALSE,SUMPRODUCT(('Final Calculation Sheet'!$AG$4:$AG$40=$FN$27)*($QC$6:$QC$42=1))&gt;0)</f>
        <v/>
      </c>
      <c r="QE27">
        <f>$QE$26+--($QD27)</f>
        <v/>
      </c>
      <c r="QF27">
        <f>IF(ROW()-3&gt;MAX($QE$4:$QE$40),"",INDEX($FN$4:$FN$40,MATCH(ROW()-3,$QE$4:$QE$40,0)))</f>
        <v/>
      </c>
      <c r="QG27">
        <f>IF(COUNTIF('Buyer Groups'!DG80:EM80,0)&gt;0,0,1)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IF(IFERROR('Final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IF(IFERROR('Final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Groups'!DH81:EN81,0)&gt;0,0,1)</f>
        <v/>
      </c>
      <c r="LF28">
        <f>IF($O$28="",FALSE,SUMPRODUCT(('Final Calculation Sheet'!$F$4:$F$40=$O$28)*($LE$6:$LE$42=1))&gt;0)</f>
        <v/>
      </c>
      <c r="LG28">
        <f>$LG$27+--($LF28)</f>
        <v/>
      </c>
      <c r="LH28">
        <f>IF(ROW()-3&gt;MAX($LG$4:$LG$40),"",INDEX($O$4:$O$40,MATCH(ROW()-3,$LG$4:$LG$40,0)))</f>
        <v/>
      </c>
      <c r="LI28">
        <f>IF(COUNTIF('Buyer Groups'!DG81:DG81,0)+COUNTIF('Buyer Groups'!DI81:EN81,0)&gt;0,0,1)</f>
        <v/>
      </c>
      <c r="LJ28">
        <f>IF($T$28="",FALSE,SUMPRODUCT(('Final Calculation Sheet'!$G$4:$G$40=$T$28)*($LI$6:$LI$42=1))&gt;0)</f>
        <v/>
      </c>
      <c r="LK28">
        <f>$LK$27+--($LJ28)</f>
        <v/>
      </c>
      <c r="LL28">
        <f>IF(ROW()-3&gt;MAX($LK$4:$LK$40),"",INDEX($T$4:$T$40,MATCH(ROW()-3,$LK$4:$LK$40,0)))</f>
        <v/>
      </c>
      <c r="LM28">
        <f>IF(COUNTIF('Buyer Groups'!DG81:DH81,0)+COUNTIF('Buyer Groups'!DJ81:EN81,0)&gt;0,0,1)</f>
        <v/>
      </c>
      <c r="LN28">
        <f>IF($Y$28="",FALSE,SUMPRODUCT(('Final Calculation Sheet'!$B$4:$B$40=$Y$28)*($LM$6:$LM$42=1))&gt;0)</f>
        <v/>
      </c>
      <c r="LO28">
        <f>$LO$27+--($LN28)</f>
        <v/>
      </c>
      <c r="LP28">
        <f>IF(ROW()-3&gt;MAX($LO$4:$LO$40),"",INDEX($Y$4:$Y$40,MATCH(ROW()-3,$LO$4:$LO$40,0)))</f>
        <v/>
      </c>
      <c r="LQ28">
        <f>IF(COUNTIF('Buyer Groups'!DG81:DI81,0)+COUNTIF('Buyer Groups'!DK81:EN81,0)&gt;0,0,1)</f>
        <v/>
      </c>
      <c r="LR28">
        <f>IF($AD$28="",FALSE,SUMPRODUCT(('Final Calculation Sheet'!$D$4:$D$40=$AD$28)*($LQ$6:$LQ$42=1))&gt;0)</f>
        <v/>
      </c>
      <c r="LS28">
        <f>$LS$27+--($LR28)</f>
        <v/>
      </c>
      <c r="LT28">
        <f>IF(ROW()-3&gt;MAX($LS$4:$LS$40),"",INDEX($AD$4:$AD$40,MATCH(ROW()-3,$LS$4:$LS$40,0)))</f>
        <v/>
      </c>
      <c r="LU28">
        <f>IF(COUNTIF('Buyer Groups'!DG81:DJ81,0)+COUNTIF('Buyer Groups'!DL81:EN81,0)&gt;0,0,1)</f>
        <v/>
      </c>
      <c r="LV28">
        <f>IF($AI$28="",FALSE,SUMPRODUCT(('Final Calculation Sheet'!$A$4:$A$40=$AI$28)*($LU$6:$LU$42=1))&gt;0)</f>
        <v/>
      </c>
      <c r="LW28">
        <f>$LW$27+--($LV28)</f>
        <v/>
      </c>
      <c r="LX28">
        <f>IF(ROW()-3&gt;MAX($LW$4:$LW$40),"",INDEX($AI$4:$AI$40,MATCH(ROW()-3,$LW$4:$LW$40,0)))</f>
        <v/>
      </c>
      <c r="LY28">
        <f>IF(COUNTIF('Buyer Groups'!DG81:DK81,0)+COUNTIF('Buyer Groups'!DM81:EN81,0)&gt;0,0,1)</f>
        <v/>
      </c>
      <c r="LZ28">
        <f>IF($AN$28="",FALSE,SUMPRODUCT(('Final Calculation Sheet'!$E$4:$E$40=$AN$28)*($LY$6:$LY$42=1))&gt;0)</f>
        <v/>
      </c>
      <c r="MA28">
        <f>$MA$27+--($LZ28)</f>
        <v/>
      </c>
      <c r="MB28">
        <f>IF(ROW()-3&gt;MAX($MA$4:$MA$40),"",INDEX($AN$4:$AN$40,MATCH(ROW()-3,$MA$4:$MA$40,0)))</f>
        <v/>
      </c>
      <c r="MC28">
        <f>IF(COUNTIF('Buyer Groups'!DG81:DL81,0)+COUNTIF('Buyer Groups'!DN81:EN81,0)&gt;0,0,1)</f>
        <v/>
      </c>
      <c r="MD28">
        <f>IF($AS$28="",FALSE,SUMPRODUCT(('Final Calculation Sheet'!$C$4:$C$40=$AS$28)*($MC$6:$MC$42=1))&gt;0)</f>
        <v/>
      </c>
      <c r="ME28">
        <f>$ME$27+--($MD28)</f>
        <v/>
      </c>
      <c r="MF28">
        <f>IF(ROW()-3&gt;MAX($ME$4:$ME$40),"",INDEX($AS$4:$AS$40,MATCH(ROW()-3,$ME$4:$ME$40,0)))</f>
        <v/>
      </c>
      <c r="MG28">
        <f>IF(COUNTIF('Buyer Groups'!DG81:DM81,0)+COUNTIF('Buyer Groups'!DO81:EN81,0)&gt;0,0,1)</f>
        <v/>
      </c>
      <c r="MH28">
        <f>IF($AX$28="",FALSE,SUMPRODUCT(('Final Calculation Sheet'!$H$4:$H$40=$AX$28)*($MG$6:$MG$42=1))&gt;0)</f>
        <v/>
      </c>
      <c r="MI28">
        <f>$MI$27+--($MH28)</f>
        <v/>
      </c>
      <c r="MJ28">
        <f>IF(ROW()-3&gt;MAX($MI$4:$MI$40),"",INDEX($AX$4:$AX$40,MATCH(ROW()-3,$MI$4:$MI$40,0)))</f>
        <v/>
      </c>
      <c r="MK28">
        <f>IF(COUNTIF('Buyer Groups'!DG81:DN81,0)+COUNTIF('Buyer Groups'!DP81:EN81,0)&gt;0,0,1)</f>
        <v/>
      </c>
      <c r="ML28">
        <f>IF($BC$28="",FALSE,SUMPRODUCT(('Final Calculation Sheet'!$I$4:$I$40=$BC$28)*($MK$6:$MK$42=1))&gt;0)</f>
        <v/>
      </c>
      <c r="MM28">
        <f>$MM$27+--($ML28)</f>
        <v/>
      </c>
      <c r="MN28">
        <f>IF(ROW()-3&gt;MAX($MM$4:$MM$40),"",INDEX($BC$4:$BC$40,MATCH(ROW()-3,$MM$4:$MM$40,0)))</f>
        <v/>
      </c>
      <c r="MO28">
        <f>IF(COUNTIF('Buyer Groups'!DG81:DO81,0)+COUNTIF('Buyer Groups'!DQ81:EN81,0)&gt;0,0,1)</f>
        <v/>
      </c>
      <c r="MP28">
        <f>IF($BH$28="",FALSE,SUMPRODUCT(('Final Calculation Sheet'!$J$4:$J$40=$BH$28)*($MO$6:$MO$42=1))&gt;0)</f>
        <v/>
      </c>
      <c r="MQ28">
        <f>$MQ$27+--($MP28)</f>
        <v/>
      </c>
      <c r="MR28">
        <f>IF(ROW()-3&gt;MAX($MQ$4:$MQ$40),"",INDEX($BH$4:$BH$40,MATCH(ROW()-3,$MQ$4:$MQ$40,0)))</f>
        <v/>
      </c>
      <c r="MS28">
        <f>IF(COUNTIF('Buyer Groups'!DG81:DP81,0)+COUNTIF('Buyer Groups'!DR81:EN81,0)&gt;0,0,1)</f>
        <v/>
      </c>
      <c r="MT28">
        <f>IF($BM$28="",FALSE,SUMPRODUCT(('Final Calculation Sheet'!$K$4:$K$40=$BM$28)*($MS$6:$MS$42=1))&gt;0)</f>
        <v/>
      </c>
      <c r="MU28">
        <f>$MU$27+--($MT28)</f>
        <v/>
      </c>
      <c r="MV28">
        <f>IF(ROW()-3&gt;MAX($MU$4:$MU$40),"",INDEX($BM$4:$BM$40,MATCH(ROW()-3,$MU$4:$MU$40,0)))</f>
        <v/>
      </c>
      <c r="MW28">
        <f>IF(COUNTIF('Buyer Groups'!DG81:DQ81,0)+COUNTIF('Buyer Groups'!DS81:EN81,0)&gt;0,0,1)</f>
        <v/>
      </c>
      <c r="MX28">
        <f>IF($BR$28="",FALSE,SUMPRODUCT(('Final Calculation Sheet'!$L$4:$L$40=$BR$28)*($MW$6:$MW$42=1))&gt;0)</f>
        <v/>
      </c>
      <c r="MY28">
        <f>$MY$27+--($MX28)</f>
        <v/>
      </c>
      <c r="MZ28">
        <f>IF(ROW()-3&gt;MAX($MY$4:$MY$40),"",INDEX($BR$4:$BR$40,MATCH(ROW()-3,$MY$4:$MY$40,0)))</f>
        <v/>
      </c>
      <c r="NA28">
        <f>IF(COUNTIF('Buyer Groups'!DG81:DR81,0)+COUNTIF('Buyer Groups'!DT81:EN81,0)&gt;0,0,1)</f>
        <v/>
      </c>
      <c r="NB28">
        <f>IF($BW$28="",FALSE,SUMPRODUCT(('Final Calculation Sheet'!$M$4:$M$40=$BW$28)*($NA$6:$NA$42=1))&gt;0)</f>
        <v/>
      </c>
      <c r="NC28">
        <f>$NC$27+--($NB28)</f>
        <v/>
      </c>
      <c r="ND28">
        <f>IF(ROW()-3&gt;MAX($NC$4:$NC$40),"",INDEX($BW$4:$BW$40,MATCH(ROW()-3,$NC$4:$NC$40,0)))</f>
        <v/>
      </c>
      <c r="NE28">
        <f>IF(COUNTIF('Buyer Groups'!DG81:DS81,0)+COUNTIF('Buyer Groups'!DU81:EN81,0)&gt;0,0,1)</f>
        <v/>
      </c>
      <c r="NF28">
        <f>IF($CB$28="",FALSE,SUMPRODUCT(('Final Calculation Sheet'!$N$4:$N$40=$CB$28)*($NE$6:$NE$42=1))&gt;0)</f>
        <v/>
      </c>
      <c r="NG28">
        <f>$NG$27+--($NF28)</f>
        <v/>
      </c>
      <c r="NH28">
        <f>IF(ROW()-3&gt;MAX($NG$4:$NG$40),"",INDEX($CB$4:$CB$40,MATCH(ROW()-3,$NG$4:$NG$40,0)))</f>
        <v/>
      </c>
      <c r="NI28">
        <f>IF(COUNTIF('Buyer Groups'!DG81:DT81,0)+COUNTIF('Buyer Groups'!DV81:EN81,0)&gt;0,0,1)</f>
        <v/>
      </c>
      <c r="NJ28">
        <f>IF($CG$28="",FALSE,SUMPRODUCT(('Final Calculation Sheet'!$O$4:$O$40=$CG$28)*($NI$6:$NI$42=1))&gt;0)</f>
        <v/>
      </c>
      <c r="NK28">
        <f>$NK$27+--($NJ28)</f>
        <v/>
      </c>
      <c r="NL28">
        <f>IF(ROW()-3&gt;MAX($NK$4:$NK$40),"",INDEX($CG$4:$CG$40,MATCH(ROW()-3,$NK$4:$NK$40,0)))</f>
        <v/>
      </c>
      <c r="NM28">
        <f>IF(COUNTIF('Buyer Groups'!DG81:DU81,0)+COUNTIF('Buyer Groups'!DW81:EN81,0)&gt;0,0,1)</f>
        <v/>
      </c>
      <c r="NN28">
        <f>IF($CL$28="",FALSE,SUMPRODUCT(('Final Calculation Sheet'!$P$4:$P$40=$CL$28)*($NM$6:$NM$42=1))&gt;0)</f>
        <v/>
      </c>
      <c r="NO28">
        <f>$NO$27+--($NN28)</f>
        <v/>
      </c>
      <c r="NP28">
        <f>IF(ROW()-3&gt;MAX($NO$4:$NO$40),"",INDEX($CL$4:$CL$40,MATCH(ROW()-3,$NO$4:$NO$40,0)))</f>
        <v/>
      </c>
      <c r="NQ28">
        <f>IF(COUNTIF('Buyer Groups'!DG81:DV81,0)+COUNTIF('Buyer Groups'!DX81:EN81,0)&gt;0,0,1)</f>
        <v/>
      </c>
      <c r="NR28">
        <f>IF($CQ$28="",FALSE,SUMPRODUCT(('Final Calculation Sheet'!$Q$4:$Q$40=$CQ$28)*($NQ$6:$NQ$42=1))&gt;0)</f>
        <v/>
      </c>
      <c r="NS28">
        <f>$NS$27+--($NR28)</f>
        <v/>
      </c>
      <c r="NT28">
        <f>IF(ROW()-3&gt;MAX($NS$4:$NS$40),"",INDEX($CQ$4:$CQ$40,MATCH(ROW()-3,$NS$4:$NS$40,0)))</f>
        <v/>
      </c>
      <c r="NU28">
        <f>IF(COUNTIF('Buyer Groups'!DG81:DW81,0)+COUNTIF('Buyer Groups'!DY81:EN81,0)&gt;0,0,1)</f>
        <v/>
      </c>
      <c r="NV28">
        <f>IF($CV$28="",FALSE,SUMPRODUCT(('Final Calculation Sheet'!$R$4:$R$40=$CV$28)*($NU$6:$NU$42=1))&gt;0)</f>
        <v/>
      </c>
      <c r="NW28">
        <f>$NW$27+--($NV28)</f>
        <v/>
      </c>
      <c r="NX28">
        <f>IF(ROW()-3&gt;MAX($NW$4:$NW$40),"",INDEX($CV$4:$CV$40,MATCH(ROW()-3,$NW$4:$NW$40,0)))</f>
        <v/>
      </c>
      <c r="NY28">
        <f>IF(COUNTIF('Buyer Groups'!DG81:DX81,0)+COUNTIF('Buyer Groups'!DZ81:EN81,0)&gt;0,0,1)</f>
        <v/>
      </c>
      <c r="NZ28">
        <f>IF($DA$28="",FALSE,SUMPRODUCT(('Final Calculation Sheet'!$S$4:$S$40=$DA$28)*($NY$6:$NY$42=1))&gt;0)</f>
        <v/>
      </c>
      <c r="OA28">
        <f>$OA$27+--($NZ28)</f>
        <v/>
      </c>
      <c r="OB28">
        <f>IF(ROW()-3&gt;MAX($OA$4:$OA$40),"",INDEX($DA$4:$DA$40,MATCH(ROW()-3,$OA$4:$OA$40,0)))</f>
        <v/>
      </c>
      <c r="OC28">
        <f>IF(COUNTIF('Buyer Groups'!DG81:DY81,0)+COUNTIF('Buyer Groups'!EA81:EN81,0)&gt;0,0,1)</f>
        <v/>
      </c>
      <c r="OD28">
        <f>IF($DF$28="",FALSE,SUMPRODUCT(('Final Calculation Sheet'!$T$4:$T$40=$DF$28)*($OC$6:$OC$42=1))&gt;0)</f>
        <v/>
      </c>
      <c r="OE28">
        <f>$OE$27+--($OD28)</f>
        <v/>
      </c>
      <c r="OF28">
        <f>IF(ROW()-3&gt;MAX($OE$4:$OE$40),"",INDEX($DF$4:$DF$40,MATCH(ROW()-3,$OE$4:$OE$40,0)))</f>
        <v/>
      </c>
      <c r="OG28">
        <f>IF(COUNTIF('Buyer Groups'!DG81:DZ81,0)+COUNTIF('Buyer Groups'!EB81:EN81,0)&gt;0,0,1)</f>
        <v/>
      </c>
      <c r="OH28">
        <f>IF($DK$28="",FALSE,SUMPRODUCT(('Final Calculation Sheet'!$U$4:$U$40=$DK$28)*($OG$6:$OG$42=1))&gt;0)</f>
        <v/>
      </c>
      <c r="OI28">
        <f>$OI$27+--($OH28)</f>
        <v/>
      </c>
      <c r="OJ28">
        <f>IF(ROW()-3&gt;MAX($OI$4:$OI$40),"",INDEX($DK$4:$DK$40,MATCH(ROW()-3,$OI$4:$OI$40,0)))</f>
        <v/>
      </c>
      <c r="OK28">
        <f>IF(COUNTIF('Buyer Groups'!DG81:EA81,0)+COUNTIF('Buyer Groups'!EC81:EN81,0)&gt;0,0,1)</f>
        <v/>
      </c>
      <c r="OL28">
        <f>IF($DP$28="",FALSE,SUMPRODUCT(('Final Calculation Sheet'!$V$4:$V$40=$DP$28)*($OK$6:$OK$42=1))&gt;0)</f>
        <v/>
      </c>
      <c r="OM28">
        <f>$OM$27+--($OL28)</f>
        <v/>
      </c>
      <c r="ON28">
        <f>IF(ROW()-3&gt;MAX($OM$4:$OM$40),"",INDEX($DP$4:$DP$40,MATCH(ROW()-3,$OM$4:$OM$40,0)))</f>
        <v/>
      </c>
      <c r="OO28">
        <f>IF(COUNTIF('Buyer Groups'!DG81:EB81,0)+COUNTIF('Buyer Groups'!ED81:EN81,0)&gt;0,0,1)</f>
        <v/>
      </c>
      <c r="OP28">
        <f>IF($DU$28="",FALSE,SUMPRODUCT(('Final Calculation Sheet'!$W$4:$W$40=$DU$28)*($OO$6:$OO$42=1))&gt;0)</f>
        <v/>
      </c>
      <c r="OQ28">
        <f>$OQ$27+--($OP28)</f>
        <v/>
      </c>
      <c r="OR28">
        <f>IF(ROW()-3&gt;MAX($OQ$4:$OQ$40),"",INDEX($DU$4:$DU$40,MATCH(ROW()-3,$OQ$4:$OQ$40,0)))</f>
        <v/>
      </c>
      <c r="OS28">
        <f>IF(COUNTIF('Buyer Groups'!DG81:EC81,0)+COUNTIF('Buyer Groups'!EE81:EN81,0)&gt;0,0,1)</f>
        <v/>
      </c>
      <c r="OT28">
        <f>IF($DZ$28="",FALSE,SUMPRODUCT(('Final Calculation Sheet'!$X$4:$X$40=$DZ$28)*($OS$6:$OS$42=1))&gt;0)</f>
        <v/>
      </c>
      <c r="OU28">
        <f>$OU$27+--($OT28)</f>
        <v/>
      </c>
      <c r="OV28">
        <f>IF(ROW()-3&gt;MAX($OU$4:$OU$40),"",INDEX($DZ$4:$DZ$40,MATCH(ROW()-3,$OU$4:$OU$40,0)))</f>
        <v/>
      </c>
      <c r="OW28">
        <f>IF(COUNTIF('Buyer Groups'!DG81:ED81,0)+COUNTIF('Buyer Groups'!EF81:EN81,0)&gt;0,0,1)</f>
        <v/>
      </c>
      <c r="OX28">
        <f>IF($EE$28="",FALSE,SUMPRODUCT(('Final Calculation Sheet'!$Y$4:$Y$40=$EE$28)*($OW$6:$OW$42=1))&gt;0)</f>
        <v/>
      </c>
      <c r="OY28">
        <f>$OY$27+--($OX28)</f>
        <v/>
      </c>
      <c r="OZ28">
        <f>IF(ROW()-3&gt;MAX($OY$4:$OY$40),"",INDEX($EE$4:$EE$40,MATCH(ROW()-3,$OY$4:$OY$40,0)))</f>
        <v/>
      </c>
      <c r="PA28">
        <f>IF(COUNTIF('Buyer Groups'!DG81:EE81,0)+COUNTIF('Buyer Groups'!EG81:EN81,0)&gt;0,0,1)</f>
        <v/>
      </c>
      <c r="PB28">
        <f>IF($EJ$28="",FALSE,SUMPRODUCT(('Final Calculation Sheet'!$Z$4:$Z$40=$EJ$28)*($PA$6:$PA$42=1))&gt;0)</f>
        <v/>
      </c>
      <c r="PC28">
        <f>$PC$27+--($PB28)</f>
        <v/>
      </c>
      <c r="PD28">
        <f>IF(ROW()-3&gt;MAX($PC$4:$PC$40),"",INDEX($EJ$4:$EJ$40,MATCH(ROW()-3,$PC$4:$PC$40,0)))</f>
        <v/>
      </c>
      <c r="PE28">
        <f>IF(COUNTIF('Buyer Groups'!DG81:EF81,0)+COUNTIF('Buyer Groups'!EH81:EN81,0)&gt;0,0,1)</f>
        <v/>
      </c>
      <c r="PF28">
        <f>IF($EO$28="",FALSE,SUMPRODUCT(('Final Calculation Sheet'!$AA$4:$AA$40=$EO$28)*($PE$6:$PE$42=1))&gt;0)</f>
        <v/>
      </c>
      <c r="PG28">
        <f>$PG$27+--($PF28)</f>
        <v/>
      </c>
      <c r="PH28">
        <f>IF(ROW()-3&gt;MAX($PG$4:$PG$40),"",INDEX($EO$4:$EO$40,MATCH(ROW()-3,$PG$4:$PG$40,0)))</f>
        <v/>
      </c>
      <c r="PI28">
        <f>IF(COUNTIF('Buyer Groups'!DG81:EG81,0)+COUNTIF('Buyer Groups'!EI81:EN81,0)&gt;0,0,1)</f>
        <v/>
      </c>
      <c r="PJ28">
        <f>IF($ET$28="",FALSE,SUMPRODUCT(('Final Calculation Sheet'!$AB$4:$AB$40=$ET$28)*($PI$6:$PI$42=1))&gt;0)</f>
        <v/>
      </c>
      <c r="PK28">
        <f>$PK$27+--($PJ28)</f>
        <v/>
      </c>
      <c r="PL28">
        <f>IF(ROW()-3&gt;MAX($PK$4:$PK$40),"",INDEX($ET$4:$ET$40,MATCH(ROW()-3,$PK$4:$PK$40,0)))</f>
        <v/>
      </c>
      <c r="PM28">
        <f>IF(COUNTIF('Buyer Groups'!DG81:EH81,0)+COUNTIF('Buyer Groups'!EJ81:EN81,0)&gt;0,0,1)</f>
        <v/>
      </c>
      <c r="PN28">
        <f>IF($EY$28="",FALSE,SUMPRODUCT(('Final Calculation Sheet'!$AC$4:$AC$40=$EY$28)*($PM$6:$PM$42=1))&gt;0)</f>
        <v/>
      </c>
      <c r="PO28">
        <f>$PO$27+--($PN28)</f>
        <v/>
      </c>
      <c r="PP28">
        <f>IF(ROW()-3&gt;MAX($PO$4:$PO$40),"",INDEX($EY$4:$EY$40,MATCH(ROW()-3,$PO$4:$PO$40,0)))</f>
        <v/>
      </c>
      <c r="PQ28">
        <f>IF(COUNTIF('Buyer Groups'!DG81:EI81,0)+COUNTIF('Buyer Groups'!EK81:EN81,0)&gt;0,0,1)</f>
        <v/>
      </c>
      <c r="PR28">
        <f>IF($FD$28="",FALSE,SUMPRODUCT(('Final Calculation Sheet'!$AD$4:$AD$40=$FD$28)*($PQ$6:$PQ$42=1))&gt;0)</f>
        <v/>
      </c>
      <c r="PS28">
        <f>$PS$27+--($PR28)</f>
        <v/>
      </c>
      <c r="PT28">
        <f>IF(ROW()-3&gt;MAX($PS$4:$PS$40),"",INDEX($FD$4:$FD$40,MATCH(ROW()-3,$PS$4:$PS$40,0)))</f>
        <v/>
      </c>
      <c r="PU28">
        <f>IF(COUNTIF('Buyer Groups'!DG81:EJ81,0)+COUNTIF('Buyer Groups'!EL81:EN81,0)&gt;0,0,1)</f>
        <v/>
      </c>
      <c r="PV28">
        <f>IF($FX$28="",FALSE,SUMPRODUCT((IF('Final Calculation Sheet'!$AD$4:$AD$40&lt;=5,"SETTLED","OUTSTANDING")=$FX$28)*($PU$6:$PU$42=1))&gt;0)</f>
        <v/>
      </c>
      <c r="PW28">
        <f>$PW$27+--($PV28)</f>
        <v/>
      </c>
      <c r="PX28">
        <f>IF(ROW()-3&gt;MAX($PW$4:$PW$40),"",INDEX($FX$4:$FX$40,MATCH(ROW()-3,$PW$4:$PW$40,0)))</f>
        <v/>
      </c>
      <c r="PY28">
        <f>IF(COUNTIF('Buyer Groups'!DG81:EK81,0)+COUNTIF('Buyer Groups'!EM81:EN81,0)&gt;0,0,1)</f>
        <v/>
      </c>
      <c r="PZ28">
        <f>IF($FI$28="",FALSE,SUMPRODUCT(('Final Calculation Sheet'!$AF$4:$AF$40=$FI$28)*($PY$6:$PY$42=1))&gt;0)</f>
        <v/>
      </c>
      <c r="QA28">
        <f>$QA$27+--($PZ28)</f>
        <v/>
      </c>
      <c r="QB28">
        <f>IF(ROW()-3&gt;MAX($QA$4:$QA$40),"",INDEX($FI$4:$FI$40,MATCH(ROW()-3,$QA$4:$QA$40,0)))</f>
        <v/>
      </c>
      <c r="QC28">
        <f>IF(COUNTIF('Buyer Groups'!DG81:EL81,0)+COUNTIF('Buyer Groups'!EN81:EN81,0)&gt;0,0,1)</f>
        <v/>
      </c>
      <c r="QD28">
        <f>IF($FN$28="",FALSE,SUMPRODUCT(('Final Calculation Sheet'!$AG$4:$AG$40=$FN$28)*($QC$6:$QC$42=1))&gt;0)</f>
        <v/>
      </c>
      <c r="QE28">
        <f>$QE$27+--($QD28)</f>
        <v/>
      </c>
      <c r="QF28">
        <f>IF(ROW()-3&gt;MAX($QE$4:$QE$40),"",INDEX($FN$4:$FN$40,MATCH(ROW()-3,$QE$4:$QE$40,0)))</f>
        <v/>
      </c>
      <c r="QG28">
        <f>IF(COUNTIF('Buyer Groups'!DG81:EM81,0)&gt;0,0,1)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IF(IFERROR('Final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IF(IFERROR('Final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Groups'!DH82:EN82,0)&gt;0,0,1)</f>
        <v/>
      </c>
      <c r="LF29">
        <f>IF($O$29="",FALSE,SUMPRODUCT(('Final Calculation Sheet'!$F$4:$F$40=$O$29)*($LE$6:$LE$42=1))&gt;0)</f>
        <v/>
      </c>
      <c r="LG29">
        <f>$LG$28+--($LF29)</f>
        <v/>
      </c>
      <c r="LH29">
        <f>IF(ROW()-3&gt;MAX($LG$4:$LG$40),"",INDEX($O$4:$O$40,MATCH(ROW()-3,$LG$4:$LG$40,0)))</f>
        <v/>
      </c>
      <c r="LI29">
        <f>IF(COUNTIF('Buyer Groups'!DG82:DG82,0)+COUNTIF('Buyer Groups'!DI82:EN82,0)&gt;0,0,1)</f>
        <v/>
      </c>
      <c r="LJ29">
        <f>IF($T$29="",FALSE,SUMPRODUCT(('Final Calculation Sheet'!$G$4:$G$40=$T$29)*($LI$6:$LI$42=1))&gt;0)</f>
        <v/>
      </c>
      <c r="LK29">
        <f>$LK$28+--($LJ29)</f>
        <v/>
      </c>
      <c r="LL29">
        <f>IF(ROW()-3&gt;MAX($LK$4:$LK$40),"",INDEX($T$4:$T$40,MATCH(ROW()-3,$LK$4:$LK$40,0)))</f>
        <v/>
      </c>
      <c r="LM29">
        <f>IF(COUNTIF('Buyer Groups'!DG82:DH82,0)+COUNTIF('Buyer Groups'!DJ82:EN82,0)&gt;0,0,1)</f>
        <v/>
      </c>
      <c r="LN29">
        <f>IF($Y$29="",FALSE,SUMPRODUCT(('Final Calculation Sheet'!$B$4:$B$40=$Y$29)*($LM$6:$LM$42=1))&gt;0)</f>
        <v/>
      </c>
      <c r="LO29">
        <f>$LO$28+--($LN29)</f>
        <v/>
      </c>
      <c r="LP29">
        <f>IF(ROW()-3&gt;MAX($LO$4:$LO$40),"",INDEX($Y$4:$Y$40,MATCH(ROW()-3,$LO$4:$LO$40,0)))</f>
        <v/>
      </c>
      <c r="LQ29">
        <f>IF(COUNTIF('Buyer Groups'!DG82:DI82,0)+COUNTIF('Buyer Groups'!DK82:EN82,0)&gt;0,0,1)</f>
        <v/>
      </c>
      <c r="LR29">
        <f>IF($AD$29="",FALSE,SUMPRODUCT(('Final Calculation Sheet'!$D$4:$D$40=$AD$29)*($LQ$6:$LQ$42=1))&gt;0)</f>
        <v/>
      </c>
      <c r="LS29">
        <f>$LS$28+--($LR29)</f>
        <v/>
      </c>
      <c r="LT29">
        <f>IF(ROW()-3&gt;MAX($LS$4:$LS$40),"",INDEX($AD$4:$AD$40,MATCH(ROW()-3,$LS$4:$LS$40,0)))</f>
        <v/>
      </c>
      <c r="LU29">
        <f>IF(COUNTIF('Buyer Groups'!DG82:DJ82,0)+COUNTIF('Buyer Groups'!DL82:EN82,0)&gt;0,0,1)</f>
        <v/>
      </c>
      <c r="LV29">
        <f>IF($AI$29="",FALSE,SUMPRODUCT(('Final Calculation Sheet'!$A$4:$A$40=$AI$29)*($LU$6:$LU$42=1))&gt;0)</f>
        <v/>
      </c>
      <c r="LW29">
        <f>$LW$28+--($LV29)</f>
        <v/>
      </c>
      <c r="LX29">
        <f>IF(ROW()-3&gt;MAX($LW$4:$LW$40),"",INDEX($AI$4:$AI$40,MATCH(ROW()-3,$LW$4:$LW$40,0)))</f>
        <v/>
      </c>
      <c r="LY29">
        <f>IF(COUNTIF('Buyer Groups'!DG82:DK82,0)+COUNTIF('Buyer Groups'!DM82:EN82,0)&gt;0,0,1)</f>
        <v/>
      </c>
      <c r="LZ29">
        <f>IF($AN$29="",FALSE,SUMPRODUCT(('Final Calculation Sheet'!$E$4:$E$40=$AN$29)*($LY$6:$LY$42=1))&gt;0)</f>
        <v/>
      </c>
      <c r="MA29">
        <f>$MA$28+--($LZ29)</f>
        <v/>
      </c>
      <c r="MB29">
        <f>IF(ROW()-3&gt;MAX($MA$4:$MA$40),"",INDEX($AN$4:$AN$40,MATCH(ROW()-3,$MA$4:$MA$40,0)))</f>
        <v/>
      </c>
      <c r="MC29">
        <f>IF(COUNTIF('Buyer Groups'!DG82:DL82,0)+COUNTIF('Buyer Groups'!DN82:EN82,0)&gt;0,0,1)</f>
        <v/>
      </c>
      <c r="MD29">
        <f>IF($AS$29="",FALSE,SUMPRODUCT(('Final Calculation Sheet'!$C$4:$C$40=$AS$29)*($MC$6:$MC$42=1))&gt;0)</f>
        <v/>
      </c>
      <c r="ME29">
        <f>$ME$28+--($MD29)</f>
        <v/>
      </c>
      <c r="MF29">
        <f>IF(ROW()-3&gt;MAX($ME$4:$ME$40),"",INDEX($AS$4:$AS$40,MATCH(ROW()-3,$ME$4:$ME$40,0)))</f>
        <v/>
      </c>
      <c r="MG29">
        <f>IF(COUNTIF('Buyer Groups'!DG82:DM82,0)+COUNTIF('Buyer Groups'!DO82:EN82,0)&gt;0,0,1)</f>
        <v/>
      </c>
      <c r="MH29">
        <f>IF($AX$29="",FALSE,SUMPRODUCT(('Final Calculation Sheet'!$H$4:$H$40=$AX$29)*($MG$6:$MG$42=1))&gt;0)</f>
        <v/>
      </c>
      <c r="MI29">
        <f>$MI$28+--($MH29)</f>
        <v/>
      </c>
      <c r="MJ29">
        <f>IF(ROW()-3&gt;MAX($MI$4:$MI$40),"",INDEX($AX$4:$AX$40,MATCH(ROW()-3,$MI$4:$MI$40,0)))</f>
        <v/>
      </c>
      <c r="MK29">
        <f>IF(COUNTIF('Buyer Groups'!DG82:DN82,0)+COUNTIF('Buyer Groups'!DP82:EN82,0)&gt;0,0,1)</f>
        <v/>
      </c>
      <c r="ML29">
        <f>IF($BC$29="",FALSE,SUMPRODUCT(('Final Calculation Sheet'!$I$4:$I$40=$BC$29)*($MK$6:$MK$42=1))&gt;0)</f>
        <v/>
      </c>
      <c r="MM29">
        <f>$MM$28+--($ML29)</f>
        <v/>
      </c>
      <c r="MN29">
        <f>IF(ROW()-3&gt;MAX($MM$4:$MM$40),"",INDEX($BC$4:$BC$40,MATCH(ROW()-3,$MM$4:$MM$40,0)))</f>
        <v/>
      </c>
      <c r="MO29">
        <f>IF(COUNTIF('Buyer Groups'!DG82:DO82,0)+COUNTIF('Buyer Groups'!DQ82:EN82,0)&gt;0,0,1)</f>
        <v/>
      </c>
      <c r="MP29">
        <f>IF($BH$29="",FALSE,SUMPRODUCT(('Final Calculation Sheet'!$J$4:$J$40=$BH$29)*($MO$6:$MO$42=1))&gt;0)</f>
        <v/>
      </c>
      <c r="MQ29">
        <f>$MQ$28+--($MP29)</f>
        <v/>
      </c>
      <c r="MR29">
        <f>IF(ROW()-3&gt;MAX($MQ$4:$MQ$40),"",INDEX($BH$4:$BH$40,MATCH(ROW()-3,$MQ$4:$MQ$40,0)))</f>
        <v/>
      </c>
      <c r="MS29">
        <f>IF(COUNTIF('Buyer Groups'!DG82:DP82,0)+COUNTIF('Buyer Groups'!DR82:EN82,0)&gt;0,0,1)</f>
        <v/>
      </c>
      <c r="MT29">
        <f>IF($BM$29="",FALSE,SUMPRODUCT(('Final Calculation Sheet'!$K$4:$K$40=$BM$29)*($MS$6:$MS$42=1))&gt;0)</f>
        <v/>
      </c>
      <c r="MU29">
        <f>$MU$28+--($MT29)</f>
        <v/>
      </c>
      <c r="MV29">
        <f>IF(ROW()-3&gt;MAX($MU$4:$MU$40),"",INDEX($BM$4:$BM$40,MATCH(ROW()-3,$MU$4:$MU$40,0)))</f>
        <v/>
      </c>
      <c r="MW29">
        <f>IF(COUNTIF('Buyer Groups'!DG82:DQ82,0)+COUNTIF('Buyer Groups'!DS82:EN82,0)&gt;0,0,1)</f>
        <v/>
      </c>
      <c r="MX29">
        <f>IF($BR$29="",FALSE,SUMPRODUCT(('Final Calculation Sheet'!$L$4:$L$40=$BR$29)*($MW$6:$MW$42=1))&gt;0)</f>
        <v/>
      </c>
      <c r="MY29">
        <f>$MY$28+--($MX29)</f>
        <v/>
      </c>
      <c r="MZ29">
        <f>IF(ROW()-3&gt;MAX($MY$4:$MY$40),"",INDEX($BR$4:$BR$40,MATCH(ROW()-3,$MY$4:$MY$40,0)))</f>
        <v/>
      </c>
      <c r="NA29">
        <f>IF(COUNTIF('Buyer Groups'!DG82:DR82,0)+COUNTIF('Buyer Groups'!DT82:EN82,0)&gt;0,0,1)</f>
        <v/>
      </c>
      <c r="NB29">
        <f>IF($BW$29="",FALSE,SUMPRODUCT(('Final Calculation Sheet'!$M$4:$M$40=$BW$29)*($NA$6:$NA$42=1))&gt;0)</f>
        <v/>
      </c>
      <c r="NC29">
        <f>$NC$28+--($NB29)</f>
        <v/>
      </c>
      <c r="ND29">
        <f>IF(ROW()-3&gt;MAX($NC$4:$NC$40),"",INDEX($BW$4:$BW$40,MATCH(ROW()-3,$NC$4:$NC$40,0)))</f>
        <v/>
      </c>
      <c r="NE29">
        <f>IF(COUNTIF('Buyer Groups'!DG82:DS82,0)+COUNTIF('Buyer Groups'!DU82:EN82,0)&gt;0,0,1)</f>
        <v/>
      </c>
      <c r="NF29">
        <f>IF($CB$29="",FALSE,SUMPRODUCT(('Final Calculation Sheet'!$N$4:$N$40=$CB$29)*($NE$6:$NE$42=1))&gt;0)</f>
        <v/>
      </c>
      <c r="NG29">
        <f>$NG$28+--($NF29)</f>
        <v/>
      </c>
      <c r="NH29">
        <f>IF(ROW()-3&gt;MAX($NG$4:$NG$40),"",INDEX($CB$4:$CB$40,MATCH(ROW()-3,$NG$4:$NG$40,0)))</f>
        <v/>
      </c>
      <c r="NI29">
        <f>IF(COUNTIF('Buyer Groups'!DG82:DT82,0)+COUNTIF('Buyer Groups'!DV82:EN82,0)&gt;0,0,1)</f>
        <v/>
      </c>
      <c r="NJ29">
        <f>IF($CG$29="",FALSE,SUMPRODUCT(('Final Calculation Sheet'!$O$4:$O$40=$CG$29)*($NI$6:$NI$42=1))&gt;0)</f>
        <v/>
      </c>
      <c r="NK29">
        <f>$NK$28+--($NJ29)</f>
        <v/>
      </c>
      <c r="NL29">
        <f>IF(ROW()-3&gt;MAX($NK$4:$NK$40),"",INDEX($CG$4:$CG$40,MATCH(ROW()-3,$NK$4:$NK$40,0)))</f>
        <v/>
      </c>
      <c r="NM29">
        <f>IF(COUNTIF('Buyer Groups'!DG82:DU82,0)+COUNTIF('Buyer Groups'!DW82:EN82,0)&gt;0,0,1)</f>
        <v/>
      </c>
      <c r="NN29">
        <f>IF($CL$29="",FALSE,SUMPRODUCT(('Final Calculation Sheet'!$P$4:$P$40=$CL$29)*($NM$6:$NM$42=1))&gt;0)</f>
        <v/>
      </c>
      <c r="NO29">
        <f>$NO$28+--($NN29)</f>
        <v/>
      </c>
      <c r="NP29">
        <f>IF(ROW()-3&gt;MAX($NO$4:$NO$40),"",INDEX($CL$4:$CL$40,MATCH(ROW()-3,$NO$4:$NO$40,0)))</f>
        <v/>
      </c>
      <c r="NQ29">
        <f>IF(COUNTIF('Buyer Groups'!DG82:DV82,0)+COUNTIF('Buyer Groups'!DX82:EN82,0)&gt;0,0,1)</f>
        <v/>
      </c>
      <c r="NR29">
        <f>IF($CQ$29="",FALSE,SUMPRODUCT(('Final Calculation Sheet'!$Q$4:$Q$40=$CQ$29)*($NQ$6:$NQ$42=1))&gt;0)</f>
        <v/>
      </c>
      <c r="NS29">
        <f>$NS$28+--($NR29)</f>
        <v/>
      </c>
      <c r="NT29">
        <f>IF(ROW()-3&gt;MAX($NS$4:$NS$40),"",INDEX($CQ$4:$CQ$40,MATCH(ROW()-3,$NS$4:$NS$40,0)))</f>
        <v/>
      </c>
      <c r="NU29">
        <f>IF(COUNTIF('Buyer Groups'!DG82:DW82,0)+COUNTIF('Buyer Groups'!DY82:EN82,0)&gt;0,0,1)</f>
        <v/>
      </c>
      <c r="NV29">
        <f>IF($CV$29="",FALSE,SUMPRODUCT(('Final Calculation Sheet'!$R$4:$R$40=$CV$29)*($NU$6:$NU$42=1))&gt;0)</f>
        <v/>
      </c>
      <c r="NW29">
        <f>$NW$28+--($NV29)</f>
        <v/>
      </c>
      <c r="NX29">
        <f>IF(ROW()-3&gt;MAX($NW$4:$NW$40),"",INDEX($CV$4:$CV$40,MATCH(ROW()-3,$NW$4:$NW$40,0)))</f>
        <v/>
      </c>
      <c r="NY29">
        <f>IF(COUNTIF('Buyer Groups'!DG82:DX82,0)+COUNTIF('Buyer Groups'!DZ82:EN82,0)&gt;0,0,1)</f>
        <v/>
      </c>
      <c r="NZ29">
        <f>IF($DA$29="",FALSE,SUMPRODUCT(('Final Calculation Sheet'!$S$4:$S$40=$DA$29)*($NY$6:$NY$42=1))&gt;0)</f>
        <v/>
      </c>
      <c r="OA29">
        <f>$OA$28+--($NZ29)</f>
        <v/>
      </c>
      <c r="OB29">
        <f>IF(ROW()-3&gt;MAX($OA$4:$OA$40),"",INDEX($DA$4:$DA$40,MATCH(ROW()-3,$OA$4:$OA$40,0)))</f>
        <v/>
      </c>
      <c r="OC29">
        <f>IF(COUNTIF('Buyer Groups'!DG82:DY82,0)+COUNTIF('Buyer Groups'!EA82:EN82,0)&gt;0,0,1)</f>
        <v/>
      </c>
      <c r="OD29">
        <f>IF($DF$29="",FALSE,SUMPRODUCT(('Final Calculation Sheet'!$T$4:$T$40=$DF$29)*($OC$6:$OC$42=1))&gt;0)</f>
        <v/>
      </c>
      <c r="OE29">
        <f>$OE$28+--($OD29)</f>
        <v/>
      </c>
      <c r="OF29">
        <f>IF(ROW()-3&gt;MAX($OE$4:$OE$40),"",INDEX($DF$4:$DF$40,MATCH(ROW()-3,$OE$4:$OE$40,0)))</f>
        <v/>
      </c>
      <c r="OG29">
        <f>IF(COUNTIF('Buyer Groups'!DG82:DZ82,0)+COUNTIF('Buyer Groups'!EB82:EN82,0)&gt;0,0,1)</f>
        <v/>
      </c>
      <c r="OH29">
        <f>IF($DK$29="",FALSE,SUMPRODUCT(('Final Calculation Sheet'!$U$4:$U$40=$DK$29)*($OG$6:$OG$42=1))&gt;0)</f>
        <v/>
      </c>
      <c r="OI29">
        <f>$OI$28+--($OH29)</f>
        <v/>
      </c>
      <c r="OJ29">
        <f>IF(ROW()-3&gt;MAX($OI$4:$OI$40),"",INDEX($DK$4:$DK$40,MATCH(ROW()-3,$OI$4:$OI$40,0)))</f>
        <v/>
      </c>
      <c r="OK29">
        <f>IF(COUNTIF('Buyer Groups'!DG82:EA82,0)+COUNTIF('Buyer Groups'!EC82:EN82,0)&gt;0,0,1)</f>
        <v/>
      </c>
      <c r="OL29">
        <f>IF($DP$29="",FALSE,SUMPRODUCT(('Final Calculation Sheet'!$V$4:$V$40=$DP$29)*($OK$6:$OK$42=1))&gt;0)</f>
        <v/>
      </c>
      <c r="OM29">
        <f>$OM$28+--($OL29)</f>
        <v/>
      </c>
      <c r="ON29">
        <f>IF(ROW()-3&gt;MAX($OM$4:$OM$40),"",INDEX($DP$4:$DP$40,MATCH(ROW()-3,$OM$4:$OM$40,0)))</f>
        <v/>
      </c>
      <c r="OO29">
        <f>IF(COUNTIF('Buyer Groups'!DG82:EB82,0)+COUNTIF('Buyer Groups'!ED82:EN82,0)&gt;0,0,1)</f>
        <v/>
      </c>
      <c r="OP29">
        <f>IF($DU$29="",FALSE,SUMPRODUCT(('Final Calculation Sheet'!$W$4:$W$40=$DU$29)*($OO$6:$OO$42=1))&gt;0)</f>
        <v/>
      </c>
      <c r="OQ29">
        <f>$OQ$28+--($OP29)</f>
        <v/>
      </c>
      <c r="OR29">
        <f>IF(ROW()-3&gt;MAX($OQ$4:$OQ$40),"",INDEX($DU$4:$DU$40,MATCH(ROW()-3,$OQ$4:$OQ$40,0)))</f>
        <v/>
      </c>
      <c r="OS29">
        <f>IF(COUNTIF('Buyer Groups'!DG82:EC82,0)+COUNTIF('Buyer Groups'!EE82:EN82,0)&gt;0,0,1)</f>
        <v/>
      </c>
      <c r="OT29">
        <f>IF($DZ$29="",FALSE,SUMPRODUCT(('Final Calculation Sheet'!$X$4:$X$40=$DZ$29)*($OS$6:$OS$42=1))&gt;0)</f>
        <v/>
      </c>
      <c r="OU29">
        <f>$OU$28+--($OT29)</f>
        <v/>
      </c>
      <c r="OV29">
        <f>IF(ROW()-3&gt;MAX($OU$4:$OU$40),"",INDEX($DZ$4:$DZ$40,MATCH(ROW()-3,$OU$4:$OU$40,0)))</f>
        <v/>
      </c>
      <c r="OW29">
        <f>IF(COUNTIF('Buyer Groups'!DG82:ED82,0)+COUNTIF('Buyer Groups'!EF82:EN82,0)&gt;0,0,1)</f>
        <v/>
      </c>
      <c r="OX29">
        <f>IF($EE$29="",FALSE,SUMPRODUCT(('Final Calculation Sheet'!$Y$4:$Y$40=$EE$29)*($OW$6:$OW$42=1))&gt;0)</f>
        <v/>
      </c>
      <c r="OY29">
        <f>$OY$28+--($OX29)</f>
        <v/>
      </c>
      <c r="OZ29">
        <f>IF(ROW()-3&gt;MAX($OY$4:$OY$40),"",INDEX($EE$4:$EE$40,MATCH(ROW()-3,$OY$4:$OY$40,0)))</f>
        <v/>
      </c>
      <c r="PA29">
        <f>IF(COUNTIF('Buyer Groups'!DG82:EE82,0)+COUNTIF('Buyer Groups'!EG82:EN82,0)&gt;0,0,1)</f>
        <v/>
      </c>
      <c r="PB29">
        <f>IF($EJ$29="",FALSE,SUMPRODUCT(('Final Calculation Sheet'!$Z$4:$Z$40=$EJ$29)*($PA$6:$PA$42=1))&gt;0)</f>
        <v/>
      </c>
      <c r="PC29">
        <f>$PC$28+--($PB29)</f>
        <v/>
      </c>
      <c r="PD29">
        <f>IF(ROW()-3&gt;MAX($PC$4:$PC$40),"",INDEX($EJ$4:$EJ$40,MATCH(ROW()-3,$PC$4:$PC$40,0)))</f>
        <v/>
      </c>
      <c r="PE29">
        <f>IF(COUNTIF('Buyer Groups'!DG82:EF82,0)+COUNTIF('Buyer Groups'!EH82:EN82,0)&gt;0,0,1)</f>
        <v/>
      </c>
      <c r="PF29">
        <f>IF($EO$29="",FALSE,SUMPRODUCT(('Final Calculation Sheet'!$AA$4:$AA$40=$EO$29)*($PE$6:$PE$42=1))&gt;0)</f>
        <v/>
      </c>
      <c r="PG29">
        <f>$PG$28+--($PF29)</f>
        <v/>
      </c>
      <c r="PH29">
        <f>IF(ROW()-3&gt;MAX($PG$4:$PG$40),"",INDEX($EO$4:$EO$40,MATCH(ROW()-3,$PG$4:$PG$40,0)))</f>
        <v/>
      </c>
      <c r="PI29">
        <f>IF(COUNTIF('Buyer Groups'!DG82:EG82,0)+COUNTIF('Buyer Groups'!EI82:EN82,0)&gt;0,0,1)</f>
        <v/>
      </c>
      <c r="PJ29">
        <f>IF($ET$29="",FALSE,SUMPRODUCT(('Final Calculation Sheet'!$AB$4:$AB$40=$ET$29)*($PI$6:$PI$42=1))&gt;0)</f>
        <v/>
      </c>
      <c r="PK29">
        <f>$PK$28+--($PJ29)</f>
        <v/>
      </c>
      <c r="PL29">
        <f>IF(ROW()-3&gt;MAX($PK$4:$PK$40),"",INDEX($ET$4:$ET$40,MATCH(ROW()-3,$PK$4:$PK$40,0)))</f>
        <v/>
      </c>
      <c r="PM29">
        <f>IF(COUNTIF('Buyer Groups'!DG82:EH82,0)+COUNTIF('Buyer Groups'!EJ82:EN82,0)&gt;0,0,1)</f>
        <v/>
      </c>
      <c r="PN29">
        <f>IF($EY$29="",FALSE,SUMPRODUCT(('Final Calculation Sheet'!$AC$4:$AC$40=$EY$29)*($PM$6:$PM$42=1))&gt;0)</f>
        <v/>
      </c>
      <c r="PO29">
        <f>$PO$28+--($PN29)</f>
        <v/>
      </c>
      <c r="PP29">
        <f>IF(ROW()-3&gt;MAX($PO$4:$PO$40),"",INDEX($EY$4:$EY$40,MATCH(ROW()-3,$PO$4:$PO$40,0)))</f>
        <v/>
      </c>
      <c r="PQ29">
        <f>IF(COUNTIF('Buyer Groups'!DG82:EI82,0)+COUNTIF('Buyer Groups'!EK82:EN82,0)&gt;0,0,1)</f>
        <v/>
      </c>
      <c r="PR29">
        <f>IF($FD$29="",FALSE,SUMPRODUCT(('Final Calculation Sheet'!$AD$4:$AD$40=$FD$29)*($PQ$6:$PQ$42=1))&gt;0)</f>
        <v/>
      </c>
      <c r="PS29">
        <f>$PS$28+--($PR29)</f>
        <v/>
      </c>
      <c r="PT29">
        <f>IF(ROW()-3&gt;MAX($PS$4:$PS$40),"",INDEX($FD$4:$FD$40,MATCH(ROW()-3,$PS$4:$PS$40,0)))</f>
        <v/>
      </c>
      <c r="PU29">
        <f>IF(COUNTIF('Buyer Groups'!DG82:EJ82,0)+COUNTIF('Buyer Groups'!EL82:EN82,0)&gt;0,0,1)</f>
        <v/>
      </c>
      <c r="PV29">
        <f>IF($FX$29="",FALSE,SUMPRODUCT((IF('Final Calculation Sheet'!$AD$4:$AD$40&lt;=5,"SETTLED","OUTSTANDING")=$FX$29)*($PU$6:$PU$42=1))&gt;0)</f>
        <v/>
      </c>
      <c r="PW29">
        <f>$PW$28+--($PV29)</f>
        <v/>
      </c>
      <c r="PX29">
        <f>IF(ROW()-3&gt;MAX($PW$4:$PW$40),"",INDEX($FX$4:$FX$40,MATCH(ROW()-3,$PW$4:$PW$40,0)))</f>
        <v/>
      </c>
      <c r="PY29">
        <f>IF(COUNTIF('Buyer Groups'!DG82:EK82,0)+COUNTIF('Buyer Groups'!EM82:EN82,0)&gt;0,0,1)</f>
        <v/>
      </c>
      <c r="PZ29">
        <f>IF($FI$29="",FALSE,SUMPRODUCT(('Final Calculation Sheet'!$AF$4:$AF$40=$FI$29)*($PY$6:$PY$42=1))&gt;0)</f>
        <v/>
      </c>
      <c r="QA29">
        <f>$QA$28+--($PZ29)</f>
        <v/>
      </c>
      <c r="QB29">
        <f>IF(ROW()-3&gt;MAX($QA$4:$QA$40),"",INDEX($FI$4:$FI$40,MATCH(ROW()-3,$QA$4:$QA$40,0)))</f>
        <v/>
      </c>
      <c r="QC29">
        <f>IF(COUNTIF('Buyer Groups'!DG82:EL82,0)+COUNTIF('Buyer Groups'!EN82:EN82,0)&gt;0,0,1)</f>
        <v/>
      </c>
      <c r="QD29">
        <f>IF($FN$29="",FALSE,SUMPRODUCT(('Final Calculation Sheet'!$AG$4:$AG$40=$FN$29)*($QC$6:$QC$42=1))&gt;0)</f>
        <v/>
      </c>
      <c r="QE29">
        <f>$QE$28+--($QD29)</f>
        <v/>
      </c>
      <c r="QF29">
        <f>IF(ROW()-3&gt;MAX($QE$4:$QE$40),"",INDEX($FN$4:$FN$40,MATCH(ROW()-3,$QE$4:$QE$40,0)))</f>
        <v/>
      </c>
      <c r="QG29">
        <f>IF(COUNTIF('Buyer Groups'!DG82:EM82,0)&gt;0,0,1)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IF(IFERROR('Final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IF(IFERROR('Final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Groups'!DH83:EN83,0)&gt;0,0,1)</f>
        <v/>
      </c>
      <c r="LF30">
        <f>IF($O$30="",FALSE,SUMPRODUCT(('Final Calculation Sheet'!$F$4:$F$40=$O$30)*($LE$6:$LE$42=1))&gt;0)</f>
        <v/>
      </c>
      <c r="LG30">
        <f>$LG$29+--($LF30)</f>
        <v/>
      </c>
      <c r="LH30">
        <f>IF(ROW()-3&gt;MAX($LG$4:$LG$40),"",INDEX($O$4:$O$40,MATCH(ROW()-3,$LG$4:$LG$40,0)))</f>
        <v/>
      </c>
      <c r="LI30">
        <f>IF(COUNTIF('Buyer Groups'!DG83:DG83,0)+COUNTIF('Buyer Groups'!DI83:EN83,0)&gt;0,0,1)</f>
        <v/>
      </c>
      <c r="LJ30">
        <f>IF($T$30="",FALSE,SUMPRODUCT(('Final Calculation Sheet'!$G$4:$G$40=$T$30)*($LI$6:$LI$42=1))&gt;0)</f>
        <v/>
      </c>
      <c r="LK30">
        <f>$LK$29+--($LJ30)</f>
        <v/>
      </c>
      <c r="LL30">
        <f>IF(ROW()-3&gt;MAX($LK$4:$LK$40),"",INDEX($T$4:$T$40,MATCH(ROW()-3,$LK$4:$LK$40,0)))</f>
        <v/>
      </c>
      <c r="LM30">
        <f>IF(COUNTIF('Buyer Groups'!DG83:DH83,0)+COUNTIF('Buyer Groups'!DJ83:EN83,0)&gt;0,0,1)</f>
        <v/>
      </c>
      <c r="LN30">
        <f>IF($Y$30="",FALSE,SUMPRODUCT(('Final Calculation Sheet'!$B$4:$B$40=$Y$30)*($LM$6:$LM$42=1))&gt;0)</f>
        <v/>
      </c>
      <c r="LO30">
        <f>$LO$29+--($LN30)</f>
        <v/>
      </c>
      <c r="LP30">
        <f>IF(ROW()-3&gt;MAX($LO$4:$LO$40),"",INDEX($Y$4:$Y$40,MATCH(ROW()-3,$LO$4:$LO$40,0)))</f>
        <v/>
      </c>
      <c r="LQ30">
        <f>IF(COUNTIF('Buyer Groups'!DG83:DI83,0)+COUNTIF('Buyer Groups'!DK83:EN83,0)&gt;0,0,1)</f>
        <v/>
      </c>
      <c r="LR30">
        <f>IF($AD$30="",FALSE,SUMPRODUCT(('Final Calculation Sheet'!$D$4:$D$40=$AD$30)*($LQ$6:$LQ$42=1))&gt;0)</f>
        <v/>
      </c>
      <c r="LS30">
        <f>$LS$29+--($LR30)</f>
        <v/>
      </c>
      <c r="LT30">
        <f>IF(ROW()-3&gt;MAX($LS$4:$LS$40),"",INDEX($AD$4:$AD$40,MATCH(ROW()-3,$LS$4:$LS$40,0)))</f>
        <v/>
      </c>
      <c r="LU30">
        <f>IF(COUNTIF('Buyer Groups'!DG83:DJ83,0)+COUNTIF('Buyer Groups'!DL83:EN83,0)&gt;0,0,1)</f>
        <v/>
      </c>
      <c r="LV30">
        <f>IF($AI$30="",FALSE,SUMPRODUCT(('Final Calculation Sheet'!$A$4:$A$40=$AI$30)*($LU$6:$LU$42=1))&gt;0)</f>
        <v/>
      </c>
      <c r="LW30">
        <f>$LW$29+--($LV30)</f>
        <v/>
      </c>
      <c r="LX30">
        <f>IF(ROW()-3&gt;MAX($LW$4:$LW$40),"",INDEX($AI$4:$AI$40,MATCH(ROW()-3,$LW$4:$LW$40,0)))</f>
        <v/>
      </c>
      <c r="LY30">
        <f>IF(COUNTIF('Buyer Groups'!DG83:DK83,0)+COUNTIF('Buyer Groups'!DM83:EN83,0)&gt;0,0,1)</f>
        <v/>
      </c>
      <c r="LZ30">
        <f>IF($AN$30="",FALSE,SUMPRODUCT(('Final Calculation Sheet'!$E$4:$E$40=$AN$30)*($LY$6:$LY$42=1))&gt;0)</f>
        <v/>
      </c>
      <c r="MA30">
        <f>$MA$29+--($LZ30)</f>
        <v/>
      </c>
      <c r="MB30">
        <f>IF(ROW()-3&gt;MAX($MA$4:$MA$40),"",INDEX($AN$4:$AN$40,MATCH(ROW()-3,$MA$4:$MA$40,0)))</f>
        <v/>
      </c>
      <c r="MC30">
        <f>IF(COUNTIF('Buyer Groups'!DG83:DL83,0)+COUNTIF('Buyer Groups'!DN83:EN83,0)&gt;0,0,1)</f>
        <v/>
      </c>
      <c r="MD30">
        <f>IF($AS$30="",FALSE,SUMPRODUCT(('Final Calculation Sheet'!$C$4:$C$40=$AS$30)*($MC$6:$MC$42=1))&gt;0)</f>
        <v/>
      </c>
      <c r="ME30">
        <f>$ME$29+--($MD30)</f>
        <v/>
      </c>
      <c r="MF30">
        <f>IF(ROW()-3&gt;MAX($ME$4:$ME$40),"",INDEX($AS$4:$AS$40,MATCH(ROW()-3,$ME$4:$ME$40,0)))</f>
        <v/>
      </c>
      <c r="MG30">
        <f>IF(COUNTIF('Buyer Groups'!DG83:DM83,0)+COUNTIF('Buyer Groups'!DO83:EN83,0)&gt;0,0,1)</f>
        <v/>
      </c>
      <c r="MH30">
        <f>IF($AX$30="",FALSE,SUMPRODUCT(('Final Calculation Sheet'!$H$4:$H$40=$AX$30)*($MG$6:$MG$42=1))&gt;0)</f>
        <v/>
      </c>
      <c r="MI30">
        <f>$MI$29+--($MH30)</f>
        <v/>
      </c>
      <c r="MJ30">
        <f>IF(ROW()-3&gt;MAX($MI$4:$MI$40),"",INDEX($AX$4:$AX$40,MATCH(ROW()-3,$MI$4:$MI$40,0)))</f>
        <v/>
      </c>
      <c r="MK30">
        <f>IF(COUNTIF('Buyer Groups'!DG83:DN83,0)+COUNTIF('Buyer Groups'!DP83:EN83,0)&gt;0,0,1)</f>
        <v/>
      </c>
      <c r="ML30">
        <f>IF($BC$30="",FALSE,SUMPRODUCT(('Final Calculation Sheet'!$I$4:$I$40=$BC$30)*($MK$6:$MK$42=1))&gt;0)</f>
        <v/>
      </c>
      <c r="MM30">
        <f>$MM$29+--($ML30)</f>
        <v/>
      </c>
      <c r="MN30">
        <f>IF(ROW()-3&gt;MAX($MM$4:$MM$40),"",INDEX($BC$4:$BC$40,MATCH(ROW()-3,$MM$4:$MM$40,0)))</f>
        <v/>
      </c>
      <c r="MO30">
        <f>IF(COUNTIF('Buyer Groups'!DG83:DO83,0)+COUNTIF('Buyer Groups'!DQ83:EN83,0)&gt;0,0,1)</f>
        <v/>
      </c>
      <c r="MP30">
        <f>IF($BH$30="",FALSE,SUMPRODUCT(('Final Calculation Sheet'!$J$4:$J$40=$BH$30)*($MO$6:$MO$42=1))&gt;0)</f>
        <v/>
      </c>
      <c r="MQ30">
        <f>$MQ$29+--($MP30)</f>
        <v/>
      </c>
      <c r="MR30">
        <f>IF(ROW()-3&gt;MAX($MQ$4:$MQ$40),"",INDEX($BH$4:$BH$40,MATCH(ROW()-3,$MQ$4:$MQ$40,0)))</f>
        <v/>
      </c>
      <c r="MS30">
        <f>IF(COUNTIF('Buyer Groups'!DG83:DP83,0)+COUNTIF('Buyer Groups'!DR83:EN83,0)&gt;0,0,1)</f>
        <v/>
      </c>
      <c r="MT30">
        <f>IF($BM$30="",FALSE,SUMPRODUCT(('Final Calculation Sheet'!$K$4:$K$40=$BM$30)*($MS$6:$MS$42=1))&gt;0)</f>
        <v/>
      </c>
      <c r="MU30">
        <f>$MU$29+--($MT30)</f>
        <v/>
      </c>
      <c r="MV30">
        <f>IF(ROW()-3&gt;MAX($MU$4:$MU$40),"",INDEX($BM$4:$BM$40,MATCH(ROW()-3,$MU$4:$MU$40,0)))</f>
        <v/>
      </c>
      <c r="MW30">
        <f>IF(COUNTIF('Buyer Groups'!DG83:DQ83,0)+COUNTIF('Buyer Groups'!DS83:EN83,0)&gt;0,0,1)</f>
        <v/>
      </c>
      <c r="MX30">
        <f>IF($BR$30="",FALSE,SUMPRODUCT(('Final Calculation Sheet'!$L$4:$L$40=$BR$30)*($MW$6:$MW$42=1))&gt;0)</f>
        <v/>
      </c>
      <c r="MY30">
        <f>$MY$29+--($MX30)</f>
        <v/>
      </c>
      <c r="MZ30">
        <f>IF(ROW()-3&gt;MAX($MY$4:$MY$40),"",INDEX($BR$4:$BR$40,MATCH(ROW()-3,$MY$4:$MY$40,0)))</f>
        <v/>
      </c>
      <c r="NA30">
        <f>IF(COUNTIF('Buyer Groups'!DG83:DR83,0)+COUNTIF('Buyer Groups'!DT83:EN83,0)&gt;0,0,1)</f>
        <v/>
      </c>
      <c r="NB30">
        <f>IF($BW$30="",FALSE,SUMPRODUCT(('Final Calculation Sheet'!$M$4:$M$40=$BW$30)*($NA$6:$NA$42=1))&gt;0)</f>
        <v/>
      </c>
      <c r="NC30">
        <f>$NC$29+--($NB30)</f>
        <v/>
      </c>
      <c r="ND30">
        <f>IF(ROW()-3&gt;MAX($NC$4:$NC$40),"",INDEX($BW$4:$BW$40,MATCH(ROW()-3,$NC$4:$NC$40,0)))</f>
        <v/>
      </c>
      <c r="NE30">
        <f>IF(COUNTIF('Buyer Groups'!DG83:DS83,0)+COUNTIF('Buyer Groups'!DU83:EN83,0)&gt;0,0,1)</f>
        <v/>
      </c>
      <c r="NF30">
        <f>IF($CB$30="",FALSE,SUMPRODUCT(('Final Calculation Sheet'!$N$4:$N$40=$CB$30)*($NE$6:$NE$42=1))&gt;0)</f>
        <v/>
      </c>
      <c r="NG30">
        <f>$NG$29+--($NF30)</f>
        <v/>
      </c>
      <c r="NH30">
        <f>IF(ROW()-3&gt;MAX($NG$4:$NG$40),"",INDEX($CB$4:$CB$40,MATCH(ROW()-3,$NG$4:$NG$40,0)))</f>
        <v/>
      </c>
      <c r="NI30">
        <f>IF(COUNTIF('Buyer Groups'!DG83:DT83,0)+COUNTIF('Buyer Groups'!DV83:EN83,0)&gt;0,0,1)</f>
        <v/>
      </c>
      <c r="NJ30">
        <f>IF($CG$30="",FALSE,SUMPRODUCT(('Final Calculation Sheet'!$O$4:$O$40=$CG$30)*($NI$6:$NI$42=1))&gt;0)</f>
        <v/>
      </c>
      <c r="NK30">
        <f>$NK$29+--($NJ30)</f>
        <v/>
      </c>
      <c r="NL30">
        <f>IF(ROW()-3&gt;MAX($NK$4:$NK$40),"",INDEX($CG$4:$CG$40,MATCH(ROW()-3,$NK$4:$NK$40,0)))</f>
        <v/>
      </c>
      <c r="NM30">
        <f>IF(COUNTIF('Buyer Groups'!DG83:DU83,0)+COUNTIF('Buyer Groups'!DW83:EN83,0)&gt;0,0,1)</f>
        <v/>
      </c>
      <c r="NN30">
        <f>IF($CL$30="",FALSE,SUMPRODUCT(('Final Calculation Sheet'!$P$4:$P$40=$CL$30)*($NM$6:$NM$42=1))&gt;0)</f>
        <v/>
      </c>
      <c r="NO30">
        <f>$NO$29+--($NN30)</f>
        <v/>
      </c>
      <c r="NP30">
        <f>IF(ROW()-3&gt;MAX($NO$4:$NO$40),"",INDEX($CL$4:$CL$40,MATCH(ROW()-3,$NO$4:$NO$40,0)))</f>
        <v/>
      </c>
      <c r="NQ30">
        <f>IF(COUNTIF('Buyer Groups'!DG83:DV83,0)+COUNTIF('Buyer Groups'!DX83:EN83,0)&gt;0,0,1)</f>
        <v/>
      </c>
      <c r="NR30">
        <f>IF($CQ$30="",FALSE,SUMPRODUCT(('Final Calculation Sheet'!$Q$4:$Q$40=$CQ$30)*($NQ$6:$NQ$42=1))&gt;0)</f>
        <v/>
      </c>
      <c r="NS30">
        <f>$NS$29+--($NR30)</f>
        <v/>
      </c>
      <c r="NT30">
        <f>IF(ROW()-3&gt;MAX($NS$4:$NS$40),"",INDEX($CQ$4:$CQ$40,MATCH(ROW()-3,$NS$4:$NS$40,0)))</f>
        <v/>
      </c>
      <c r="NU30">
        <f>IF(COUNTIF('Buyer Groups'!DG83:DW83,0)+COUNTIF('Buyer Groups'!DY83:EN83,0)&gt;0,0,1)</f>
        <v/>
      </c>
      <c r="NV30">
        <f>IF($CV$30="",FALSE,SUMPRODUCT(('Final Calculation Sheet'!$R$4:$R$40=$CV$30)*($NU$6:$NU$42=1))&gt;0)</f>
        <v/>
      </c>
      <c r="NW30">
        <f>$NW$29+--($NV30)</f>
        <v/>
      </c>
      <c r="NX30">
        <f>IF(ROW()-3&gt;MAX($NW$4:$NW$40),"",INDEX($CV$4:$CV$40,MATCH(ROW()-3,$NW$4:$NW$40,0)))</f>
        <v/>
      </c>
      <c r="NY30">
        <f>IF(COUNTIF('Buyer Groups'!DG83:DX83,0)+COUNTIF('Buyer Groups'!DZ83:EN83,0)&gt;0,0,1)</f>
        <v/>
      </c>
      <c r="NZ30">
        <f>IF($DA$30="",FALSE,SUMPRODUCT(('Final Calculation Sheet'!$S$4:$S$40=$DA$30)*($NY$6:$NY$42=1))&gt;0)</f>
        <v/>
      </c>
      <c r="OA30">
        <f>$OA$29+--($NZ30)</f>
        <v/>
      </c>
      <c r="OB30">
        <f>IF(ROW()-3&gt;MAX($OA$4:$OA$40),"",INDEX($DA$4:$DA$40,MATCH(ROW()-3,$OA$4:$OA$40,0)))</f>
        <v/>
      </c>
      <c r="OC30">
        <f>IF(COUNTIF('Buyer Groups'!DG83:DY83,0)+COUNTIF('Buyer Groups'!EA83:EN83,0)&gt;0,0,1)</f>
        <v/>
      </c>
      <c r="OD30">
        <f>IF($DF$30="",FALSE,SUMPRODUCT(('Final Calculation Sheet'!$T$4:$T$40=$DF$30)*($OC$6:$OC$42=1))&gt;0)</f>
        <v/>
      </c>
      <c r="OE30">
        <f>$OE$29+--($OD30)</f>
        <v/>
      </c>
      <c r="OF30">
        <f>IF(ROW()-3&gt;MAX($OE$4:$OE$40),"",INDEX($DF$4:$DF$40,MATCH(ROW()-3,$OE$4:$OE$40,0)))</f>
        <v/>
      </c>
      <c r="OG30">
        <f>IF(COUNTIF('Buyer Groups'!DG83:DZ83,0)+COUNTIF('Buyer Groups'!EB83:EN83,0)&gt;0,0,1)</f>
        <v/>
      </c>
      <c r="OH30">
        <f>IF($DK$30="",FALSE,SUMPRODUCT(('Final Calculation Sheet'!$U$4:$U$40=$DK$30)*($OG$6:$OG$42=1))&gt;0)</f>
        <v/>
      </c>
      <c r="OI30">
        <f>$OI$29+--($OH30)</f>
        <v/>
      </c>
      <c r="OJ30">
        <f>IF(ROW()-3&gt;MAX($OI$4:$OI$40),"",INDEX($DK$4:$DK$40,MATCH(ROW()-3,$OI$4:$OI$40,0)))</f>
        <v/>
      </c>
      <c r="OK30">
        <f>IF(COUNTIF('Buyer Groups'!DG83:EA83,0)+COUNTIF('Buyer Groups'!EC83:EN83,0)&gt;0,0,1)</f>
        <v/>
      </c>
      <c r="OL30">
        <f>IF($DP$30="",FALSE,SUMPRODUCT(('Final Calculation Sheet'!$V$4:$V$40=$DP$30)*($OK$6:$OK$42=1))&gt;0)</f>
        <v/>
      </c>
      <c r="OM30">
        <f>$OM$29+--($OL30)</f>
        <v/>
      </c>
      <c r="ON30">
        <f>IF(ROW()-3&gt;MAX($OM$4:$OM$40),"",INDEX($DP$4:$DP$40,MATCH(ROW()-3,$OM$4:$OM$40,0)))</f>
        <v/>
      </c>
      <c r="OO30">
        <f>IF(COUNTIF('Buyer Groups'!DG83:EB83,0)+COUNTIF('Buyer Groups'!ED83:EN83,0)&gt;0,0,1)</f>
        <v/>
      </c>
      <c r="OP30">
        <f>IF($DU$30="",FALSE,SUMPRODUCT(('Final Calculation Sheet'!$W$4:$W$40=$DU$30)*($OO$6:$OO$42=1))&gt;0)</f>
        <v/>
      </c>
      <c r="OQ30">
        <f>$OQ$29+--($OP30)</f>
        <v/>
      </c>
      <c r="OR30">
        <f>IF(ROW()-3&gt;MAX($OQ$4:$OQ$40),"",INDEX($DU$4:$DU$40,MATCH(ROW()-3,$OQ$4:$OQ$40,0)))</f>
        <v/>
      </c>
      <c r="OS30">
        <f>IF(COUNTIF('Buyer Groups'!DG83:EC83,0)+COUNTIF('Buyer Groups'!EE83:EN83,0)&gt;0,0,1)</f>
        <v/>
      </c>
      <c r="OT30">
        <f>IF($DZ$30="",FALSE,SUMPRODUCT(('Final Calculation Sheet'!$X$4:$X$40=$DZ$30)*($OS$6:$OS$42=1))&gt;0)</f>
        <v/>
      </c>
      <c r="OU30">
        <f>$OU$29+--($OT30)</f>
        <v/>
      </c>
      <c r="OV30">
        <f>IF(ROW()-3&gt;MAX($OU$4:$OU$40),"",INDEX($DZ$4:$DZ$40,MATCH(ROW()-3,$OU$4:$OU$40,0)))</f>
        <v/>
      </c>
      <c r="OW30">
        <f>IF(COUNTIF('Buyer Groups'!DG83:ED83,0)+COUNTIF('Buyer Groups'!EF83:EN83,0)&gt;0,0,1)</f>
        <v/>
      </c>
      <c r="OX30">
        <f>IF($EE$30="",FALSE,SUMPRODUCT(('Final Calculation Sheet'!$Y$4:$Y$40=$EE$30)*($OW$6:$OW$42=1))&gt;0)</f>
        <v/>
      </c>
      <c r="OY30">
        <f>$OY$29+--($OX30)</f>
        <v/>
      </c>
      <c r="OZ30">
        <f>IF(ROW()-3&gt;MAX($OY$4:$OY$40),"",INDEX($EE$4:$EE$40,MATCH(ROW()-3,$OY$4:$OY$40,0)))</f>
        <v/>
      </c>
      <c r="PA30">
        <f>IF(COUNTIF('Buyer Groups'!DG83:EE83,0)+COUNTIF('Buyer Groups'!EG83:EN83,0)&gt;0,0,1)</f>
        <v/>
      </c>
      <c r="PB30">
        <f>IF($EJ$30="",FALSE,SUMPRODUCT(('Final Calculation Sheet'!$Z$4:$Z$40=$EJ$30)*($PA$6:$PA$42=1))&gt;0)</f>
        <v/>
      </c>
      <c r="PC30">
        <f>$PC$29+--($PB30)</f>
        <v/>
      </c>
      <c r="PD30">
        <f>IF(ROW()-3&gt;MAX($PC$4:$PC$40),"",INDEX($EJ$4:$EJ$40,MATCH(ROW()-3,$PC$4:$PC$40,0)))</f>
        <v/>
      </c>
      <c r="PE30">
        <f>IF(COUNTIF('Buyer Groups'!DG83:EF83,0)+COUNTIF('Buyer Groups'!EH83:EN83,0)&gt;0,0,1)</f>
        <v/>
      </c>
      <c r="PF30">
        <f>IF($EO$30="",FALSE,SUMPRODUCT(('Final Calculation Sheet'!$AA$4:$AA$40=$EO$30)*($PE$6:$PE$42=1))&gt;0)</f>
        <v/>
      </c>
      <c r="PG30">
        <f>$PG$29+--($PF30)</f>
        <v/>
      </c>
      <c r="PH30">
        <f>IF(ROW()-3&gt;MAX($PG$4:$PG$40),"",INDEX($EO$4:$EO$40,MATCH(ROW()-3,$PG$4:$PG$40,0)))</f>
        <v/>
      </c>
      <c r="PI30">
        <f>IF(COUNTIF('Buyer Groups'!DG83:EG83,0)+COUNTIF('Buyer Groups'!EI83:EN83,0)&gt;0,0,1)</f>
        <v/>
      </c>
      <c r="PJ30">
        <f>IF($ET$30="",FALSE,SUMPRODUCT(('Final Calculation Sheet'!$AB$4:$AB$40=$ET$30)*($PI$6:$PI$42=1))&gt;0)</f>
        <v/>
      </c>
      <c r="PK30">
        <f>$PK$29+--($PJ30)</f>
        <v/>
      </c>
      <c r="PL30">
        <f>IF(ROW()-3&gt;MAX($PK$4:$PK$40),"",INDEX($ET$4:$ET$40,MATCH(ROW()-3,$PK$4:$PK$40,0)))</f>
        <v/>
      </c>
      <c r="PM30">
        <f>IF(COUNTIF('Buyer Groups'!DG83:EH83,0)+COUNTIF('Buyer Groups'!EJ83:EN83,0)&gt;0,0,1)</f>
        <v/>
      </c>
      <c r="PN30">
        <f>IF($EY$30="",FALSE,SUMPRODUCT(('Final Calculation Sheet'!$AC$4:$AC$40=$EY$30)*($PM$6:$PM$42=1))&gt;0)</f>
        <v/>
      </c>
      <c r="PO30">
        <f>$PO$29+--($PN30)</f>
        <v/>
      </c>
      <c r="PP30">
        <f>IF(ROW()-3&gt;MAX($PO$4:$PO$40),"",INDEX($EY$4:$EY$40,MATCH(ROW()-3,$PO$4:$PO$40,0)))</f>
        <v/>
      </c>
      <c r="PQ30">
        <f>IF(COUNTIF('Buyer Groups'!DG83:EI83,0)+COUNTIF('Buyer Groups'!EK83:EN83,0)&gt;0,0,1)</f>
        <v/>
      </c>
      <c r="PR30">
        <f>IF($FD$30="",FALSE,SUMPRODUCT(('Final Calculation Sheet'!$AD$4:$AD$40=$FD$30)*($PQ$6:$PQ$42=1))&gt;0)</f>
        <v/>
      </c>
      <c r="PS30">
        <f>$PS$29+--($PR30)</f>
        <v/>
      </c>
      <c r="PT30">
        <f>IF(ROW()-3&gt;MAX($PS$4:$PS$40),"",INDEX($FD$4:$FD$40,MATCH(ROW()-3,$PS$4:$PS$40,0)))</f>
        <v/>
      </c>
      <c r="PU30">
        <f>IF(COUNTIF('Buyer Groups'!DG83:EJ83,0)+COUNTIF('Buyer Groups'!EL83:EN83,0)&gt;0,0,1)</f>
        <v/>
      </c>
      <c r="PV30">
        <f>IF($FX$30="",FALSE,SUMPRODUCT((IF('Final Calculation Sheet'!$AD$4:$AD$40&lt;=5,"SETTLED","OUTSTANDING")=$FX$30)*($PU$6:$PU$42=1))&gt;0)</f>
        <v/>
      </c>
      <c r="PW30">
        <f>$PW$29+--($PV30)</f>
        <v/>
      </c>
      <c r="PX30">
        <f>IF(ROW()-3&gt;MAX($PW$4:$PW$40),"",INDEX($FX$4:$FX$40,MATCH(ROW()-3,$PW$4:$PW$40,0)))</f>
        <v/>
      </c>
      <c r="PY30">
        <f>IF(COUNTIF('Buyer Groups'!DG83:EK83,0)+COUNTIF('Buyer Groups'!EM83:EN83,0)&gt;0,0,1)</f>
        <v/>
      </c>
      <c r="PZ30">
        <f>IF($FI$30="",FALSE,SUMPRODUCT(('Final Calculation Sheet'!$AF$4:$AF$40=$FI$30)*($PY$6:$PY$42=1))&gt;0)</f>
        <v/>
      </c>
      <c r="QA30">
        <f>$QA$29+--($PZ30)</f>
        <v/>
      </c>
      <c r="QB30">
        <f>IF(ROW()-3&gt;MAX($QA$4:$QA$40),"",INDEX($FI$4:$FI$40,MATCH(ROW()-3,$QA$4:$QA$40,0)))</f>
        <v/>
      </c>
      <c r="QC30">
        <f>IF(COUNTIF('Buyer Groups'!DG83:EL83,0)+COUNTIF('Buyer Groups'!EN83:EN83,0)&gt;0,0,1)</f>
        <v/>
      </c>
      <c r="QD30">
        <f>IF($FN$30="",FALSE,SUMPRODUCT(('Final Calculation Sheet'!$AG$4:$AG$40=$FN$30)*($QC$6:$QC$42=1))&gt;0)</f>
        <v/>
      </c>
      <c r="QE30">
        <f>$QE$29+--($QD30)</f>
        <v/>
      </c>
      <c r="QF30">
        <f>IF(ROW()-3&gt;MAX($QE$4:$QE$40),"",INDEX($FN$4:$FN$40,MATCH(ROW()-3,$QE$4:$QE$40,0)))</f>
        <v/>
      </c>
      <c r="QG30">
        <f>IF(COUNTIF('Buyer Groups'!DG83:EM83,0)&gt;0,0,1)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IF(IFERROR('Final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IF(IFERROR('Final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Groups'!DH84:EN84,0)&gt;0,0,1)</f>
        <v/>
      </c>
      <c r="LF31">
        <f>IF($O$31="",FALSE,SUMPRODUCT(('Final Calculation Sheet'!$F$4:$F$40=$O$31)*($LE$6:$LE$42=1))&gt;0)</f>
        <v/>
      </c>
      <c r="LG31">
        <f>$LG$30+--($LF31)</f>
        <v/>
      </c>
      <c r="LH31">
        <f>IF(ROW()-3&gt;MAX($LG$4:$LG$40),"",INDEX($O$4:$O$40,MATCH(ROW()-3,$LG$4:$LG$40,0)))</f>
        <v/>
      </c>
      <c r="LI31">
        <f>IF(COUNTIF('Buyer Groups'!DG84:DG84,0)+COUNTIF('Buyer Groups'!DI84:EN84,0)&gt;0,0,1)</f>
        <v/>
      </c>
      <c r="LJ31">
        <f>IF($T$31="",FALSE,SUMPRODUCT(('Final Calculation Sheet'!$G$4:$G$40=$T$31)*($LI$6:$LI$42=1))&gt;0)</f>
        <v/>
      </c>
      <c r="LK31">
        <f>$LK$30+--($LJ31)</f>
        <v/>
      </c>
      <c r="LL31">
        <f>IF(ROW()-3&gt;MAX($LK$4:$LK$40),"",INDEX($T$4:$T$40,MATCH(ROW()-3,$LK$4:$LK$40,0)))</f>
        <v/>
      </c>
      <c r="LM31">
        <f>IF(COUNTIF('Buyer Groups'!DG84:DH84,0)+COUNTIF('Buyer Groups'!DJ84:EN84,0)&gt;0,0,1)</f>
        <v/>
      </c>
      <c r="LN31">
        <f>IF($Y$31="",FALSE,SUMPRODUCT(('Final Calculation Sheet'!$B$4:$B$40=$Y$31)*($LM$6:$LM$42=1))&gt;0)</f>
        <v/>
      </c>
      <c r="LO31">
        <f>$LO$30+--($LN31)</f>
        <v/>
      </c>
      <c r="LP31">
        <f>IF(ROW()-3&gt;MAX($LO$4:$LO$40),"",INDEX($Y$4:$Y$40,MATCH(ROW()-3,$LO$4:$LO$40,0)))</f>
        <v/>
      </c>
      <c r="LQ31">
        <f>IF(COUNTIF('Buyer Groups'!DG84:DI84,0)+COUNTIF('Buyer Groups'!DK84:EN84,0)&gt;0,0,1)</f>
        <v/>
      </c>
      <c r="LR31">
        <f>IF($AD$31="",FALSE,SUMPRODUCT(('Final Calculation Sheet'!$D$4:$D$40=$AD$31)*($LQ$6:$LQ$42=1))&gt;0)</f>
        <v/>
      </c>
      <c r="LS31">
        <f>$LS$30+--($LR31)</f>
        <v/>
      </c>
      <c r="LT31">
        <f>IF(ROW()-3&gt;MAX($LS$4:$LS$40),"",INDEX($AD$4:$AD$40,MATCH(ROW()-3,$LS$4:$LS$40,0)))</f>
        <v/>
      </c>
      <c r="LU31">
        <f>IF(COUNTIF('Buyer Groups'!DG84:DJ84,0)+COUNTIF('Buyer Groups'!DL84:EN84,0)&gt;0,0,1)</f>
        <v/>
      </c>
      <c r="LV31">
        <f>IF($AI$31="",FALSE,SUMPRODUCT(('Final Calculation Sheet'!$A$4:$A$40=$AI$31)*($LU$6:$LU$42=1))&gt;0)</f>
        <v/>
      </c>
      <c r="LW31">
        <f>$LW$30+--($LV31)</f>
        <v/>
      </c>
      <c r="LX31">
        <f>IF(ROW()-3&gt;MAX($LW$4:$LW$40),"",INDEX($AI$4:$AI$40,MATCH(ROW()-3,$LW$4:$LW$40,0)))</f>
        <v/>
      </c>
      <c r="LY31">
        <f>IF(COUNTIF('Buyer Groups'!DG84:DK84,0)+COUNTIF('Buyer Groups'!DM84:EN84,0)&gt;0,0,1)</f>
        <v/>
      </c>
      <c r="LZ31">
        <f>IF($AN$31="",FALSE,SUMPRODUCT(('Final Calculation Sheet'!$E$4:$E$40=$AN$31)*($LY$6:$LY$42=1))&gt;0)</f>
        <v/>
      </c>
      <c r="MA31">
        <f>$MA$30+--($LZ31)</f>
        <v/>
      </c>
      <c r="MB31">
        <f>IF(ROW()-3&gt;MAX($MA$4:$MA$40),"",INDEX($AN$4:$AN$40,MATCH(ROW()-3,$MA$4:$MA$40,0)))</f>
        <v/>
      </c>
      <c r="MC31">
        <f>IF(COUNTIF('Buyer Groups'!DG84:DL84,0)+COUNTIF('Buyer Groups'!DN84:EN84,0)&gt;0,0,1)</f>
        <v/>
      </c>
      <c r="MD31">
        <f>IF($AS$31="",FALSE,SUMPRODUCT(('Final Calculation Sheet'!$C$4:$C$40=$AS$31)*($MC$6:$MC$42=1))&gt;0)</f>
        <v/>
      </c>
      <c r="ME31">
        <f>$ME$30+--($MD31)</f>
        <v/>
      </c>
      <c r="MF31">
        <f>IF(ROW()-3&gt;MAX($ME$4:$ME$40),"",INDEX($AS$4:$AS$40,MATCH(ROW()-3,$ME$4:$ME$40,0)))</f>
        <v/>
      </c>
      <c r="MG31">
        <f>IF(COUNTIF('Buyer Groups'!DG84:DM84,0)+COUNTIF('Buyer Groups'!DO84:EN84,0)&gt;0,0,1)</f>
        <v/>
      </c>
      <c r="MH31">
        <f>IF($AX$31="",FALSE,SUMPRODUCT(('Final Calculation Sheet'!$H$4:$H$40=$AX$31)*($MG$6:$MG$42=1))&gt;0)</f>
        <v/>
      </c>
      <c r="MI31">
        <f>$MI$30+--($MH31)</f>
        <v/>
      </c>
      <c r="MJ31">
        <f>IF(ROW()-3&gt;MAX($MI$4:$MI$40),"",INDEX($AX$4:$AX$40,MATCH(ROW()-3,$MI$4:$MI$40,0)))</f>
        <v/>
      </c>
      <c r="MK31">
        <f>IF(COUNTIF('Buyer Groups'!DG84:DN84,0)+COUNTIF('Buyer Groups'!DP84:EN84,0)&gt;0,0,1)</f>
        <v/>
      </c>
      <c r="ML31">
        <f>IF($BC$31="",FALSE,SUMPRODUCT(('Final Calculation Sheet'!$I$4:$I$40=$BC$31)*($MK$6:$MK$42=1))&gt;0)</f>
        <v/>
      </c>
      <c r="MM31">
        <f>$MM$30+--($ML31)</f>
        <v/>
      </c>
      <c r="MN31">
        <f>IF(ROW()-3&gt;MAX($MM$4:$MM$40),"",INDEX($BC$4:$BC$40,MATCH(ROW()-3,$MM$4:$MM$40,0)))</f>
        <v/>
      </c>
      <c r="MO31">
        <f>IF(COUNTIF('Buyer Groups'!DG84:DO84,0)+COUNTIF('Buyer Groups'!DQ84:EN84,0)&gt;0,0,1)</f>
        <v/>
      </c>
      <c r="MP31">
        <f>IF($BH$31="",FALSE,SUMPRODUCT(('Final Calculation Sheet'!$J$4:$J$40=$BH$31)*($MO$6:$MO$42=1))&gt;0)</f>
        <v/>
      </c>
      <c r="MQ31">
        <f>$MQ$30+--($MP31)</f>
        <v/>
      </c>
      <c r="MR31">
        <f>IF(ROW()-3&gt;MAX($MQ$4:$MQ$40),"",INDEX($BH$4:$BH$40,MATCH(ROW()-3,$MQ$4:$MQ$40,0)))</f>
        <v/>
      </c>
      <c r="MS31">
        <f>IF(COUNTIF('Buyer Groups'!DG84:DP84,0)+COUNTIF('Buyer Groups'!DR84:EN84,0)&gt;0,0,1)</f>
        <v/>
      </c>
      <c r="MT31">
        <f>IF($BM$31="",FALSE,SUMPRODUCT(('Final Calculation Sheet'!$K$4:$K$40=$BM$31)*($MS$6:$MS$42=1))&gt;0)</f>
        <v/>
      </c>
      <c r="MU31">
        <f>$MU$30+--($MT31)</f>
        <v/>
      </c>
      <c r="MV31">
        <f>IF(ROW()-3&gt;MAX($MU$4:$MU$40),"",INDEX($BM$4:$BM$40,MATCH(ROW()-3,$MU$4:$MU$40,0)))</f>
        <v/>
      </c>
      <c r="MW31">
        <f>IF(COUNTIF('Buyer Groups'!DG84:DQ84,0)+COUNTIF('Buyer Groups'!DS84:EN84,0)&gt;0,0,1)</f>
        <v/>
      </c>
      <c r="MX31">
        <f>IF($BR$31="",FALSE,SUMPRODUCT(('Final Calculation Sheet'!$L$4:$L$40=$BR$31)*($MW$6:$MW$42=1))&gt;0)</f>
        <v/>
      </c>
      <c r="MY31">
        <f>$MY$30+--($MX31)</f>
        <v/>
      </c>
      <c r="MZ31">
        <f>IF(ROW()-3&gt;MAX($MY$4:$MY$40),"",INDEX($BR$4:$BR$40,MATCH(ROW()-3,$MY$4:$MY$40,0)))</f>
        <v/>
      </c>
      <c r="NA31">
        <f>IF(COUNTIF('Buyer Groups'!DG84:DR84,0)+COUNTIF('Buyer Groups'!DT84:EN84,0)&gt;0,0,1)</f>
        <v/>
      </c>
      <c r="NB31">
        <f>IF($BW$31="",FALSE,SUMPRODUCT(('Final Calculation Sheet'!$M$4:$M$40=$BW$31)*($NA$6:$NA$42=1))&gt;0)</f>
        <v/>
      </c>
      <c r="NC31">
        <f>$NC$30+--($NB31)</f>
        <v/>
      </c>
      <c r="ND31">
        <f>IF(ROW()-3&gt;MAX($NC$4:$NC$40),"",INDEX($BW$4:$BW$40,MATCH(ROW()-3,$NC$4:$NC$40,0)))</f>
        <v/>
      </c>
      <c r="NE31">
        <f>IF(COUNTIF('Buyer Groups'!DG84:DS84,0)+COUNTIF('Buyer Groups'!DU84:EN84,0)&gt;0,0,1)</f>
        <v/>
      </c>
      <c r="NF31">
        <f>IF($CB$31="",FALSE,SUMPRODUCT(('Final Calculation Sheet'!$N$4:$N$40=$CB$31)*($NE$6:$NE$42=1))&gt;0)</f>
        <v/>
      </c>
      <c r="NG31">
        <f>$NG$30+--($NF31)</f>
        <v/>
      </c>
      <c r="NH31">
        <f>IF(ROW()-3&gt;MAX($NG$4:$NG$40),"",INDEX($CB$4:$CB$40,MATCH(ROW()-3,$NG$4:$NG$40,0)))</f>
        <v/>
      </c>
      <c r="NI31">
        <f>IF(COUNTIF('Buyer Groups'!DG84:DT84,0)+COUNTIF('Buyer Groups'!DV84:EN84,0)&gt;0,0,1)</f>
        <v/>
      </c>
      <c r="NJ31">
        <f>IF($CG$31="",FALSE,SUMPRODUCT(('Final Calculation Sheet'!$O$4:$O$40=$CG$31)*($NI$6:$NI$42=1))&gt;0)</f>
        <v/>
      </c>
      <c r="NK31">
        <f>$NK$30+--($NJ31)</f>
        <v/>
      </c>
      <c r="NL31">
        <f>IF(ROW()-3&gt;MAX($NK$4:$NK$40),"",INDEX($CG$4:$CG$40,MATCH(ROW()-3,$NK$4:$NK$40,0)))</f>
        <v/>
      </c>
      <c r="NM31">
        <f>IF(COUNTIF('Buyer Groups'!DG84:DU84,0)+COUNTIF('Buyer Groups'!DW84:EN84,0)&gt;0,0,1)</f>
        <v/>
      </c>
      <c r="NN31">
        <f>IF($CL$31="",FALSE,SUMPRODUCT(('Final Calculation Sheet'!$P$4:$P$40=$CL$31)*($NM$6:$NM$42=1))&gt;0)</f>
        <v/>
      </c>
      <c r="NO31">
        <f>$NO$30+--($NN31)</f>
        <v/>
      </c>
      <c r="NP31">
        <f>IF(ROW()-3&gt;MAX($NO$4:$NO$40),"",INDEX($CL$4:$CL$40,MATCH(ROW()-3,$NO$4:$NO$40,0)))</f>
        <v/>
      </c>
      <c r="NQ31">
        <f>IF(COUNTIF('Buyer Groups'!DG84:DV84,0)+COUNTIF('Buyer Groups'!DX84:EN84,0)&gt;0,0,1)</f>
        <v/>
      </c>
      <c r="NR31">
        <f>IF($CQ$31="",FALSE,SUMPRODUCT(('Final Calculation Sheet'!$Q$4:$Q$40=$CQ$31)*($NQ$6:$NQ$42=1))&gt;0)</f>
        <v/>
      </c>
      <c r="NS31">
        <f>$NS$30+--($NR31)</f>
        <v/>
      </c>
      <c r="NT31">
        <f>IF(ROW()-3&gt;MAX($NS$4:$NS$40),"",INDEX($CQ$4:$CQ$40,MATCH(ROW()-3,$NS$4:$NS$40,0)))</f>
        <v/>
      </c>
      <c r="NU31">
        <f>IF(COUNTIF('Buyer Groups'!DG84:DW84,0)+COUNTIF('Buyer Groups'!DY84:EN84,0)&gt;0,0,1)</f>
        <v/>
      </c>
      <c r="NV31">
        <f>IF($CV$31="",FALSE,SUMPRODUCT(('Final Calculation Sheet'!$R$4:$R$40=$CV$31)*($NU$6:$NU$42=1))&gt;0)</f>
        <v/>
      </c>
      <c r="NW31">
        <f>$NW$30+--($NV31)</f>
        <v/>
      </c>
      <c r="NX31">
        <f>IF(ROW()-3&gt;MAX($NW$4:$NW$40),"",INDEX($CV$4:$CV$40,MATCH(ROW()-3,$NW$4:$NW$40,0)))</f>
        <v/>
      </c>
      <c r="NY31">
        <f>IF(COUNTIF('Buyer Groups'!DG84:DX84,0)+COUNTIF('Buyer Groups'!DZ84:EN84,0)&gt;0,0,1)</f>
        <v/>
      </c>
      <c r="NZ31">
        <f>IF($DA$31="",FALSE,SUMPRODUCT(('Final Calculation Sheet'!$S$4:$S$40=$DA$31)*($NY$6:$NY$42=1))&gt;0)</f>
        <v/>
      </c>
      <c r="OA31">
        <f>$OA$30+--($NZ31)</f>
        <v/>
      </c>
      <c r="OB31">
        <f>IF(ROW()-3&gt;MAX($OA$4:$OA$40),"",INDEX($DA$4:$DA$40,MATCH(ROW()-3,$OA$4:$OA$40,0)))</f>
        <v/>
      </c>
      <c r="OC31">
        <f>IF(COUNTIF('Buyer Groups'!DG84:DY84,0)+COUNTIF('Buyer Groups'!EA84:EN84,0)&gt;0,0,1)</f>
        <v/>
      </c>
      <c r="OD31">
        <f>IF($DF$31="",FALSE,SUMPRODUCT(('Final Calculation Sheet'!$T$4:$T$40=$DF$31)*($OC$6:$OC$42=1))&gt;0)</f>
        <v/>
      </c>
      <c r="OE31">
        <f>$OE$30+--($OD31)</f>
        <v/>
      </c>
      <c r="OF31">
        <f>IF(ROW()-3&gt;MAX($OE$4:$OE$40),"",INDEX($DF$4:$DF$40,MATCH(ROW()-3,$OE$4:$OE$40,0)))</f>
        <v/>
      </c>
      <c r="OG31">
        <f>IF(COUNTIF('Buyer Groups'!DG84:DZ84,0)+COUNTIF('Buyer Groups'!EB84:EN84,0)&gt;0,0,1)</f>
        <v/>
      </c>
      <c r="OH31">
        <f>IF($DK$31="",FALSE,SUMPRODUCT(('Final Calculation Sheet'!$U$4:$U$40=$DK$31)*($OG$6:$OG$42=1))&gt;0)</f>
        <v/>
      </c>
      <c r="OI31">
        <f>$OI$30+--($OH31)</f>
        <v/>
      </c>
      <c r="OJ31">
        <f>IF(ROW()-3&gt;MAX($OI$4:$OI$40),"",INDEX($DK$4:$DK$40,MATCH(ROW()-3,$OI$4:$OI$40,0)))</f>
        <v/>
      </c>
      <c r="OK31">
        <f>IF(COUNTIF('Buyer Groups'!DG84:EA84,0)+COUNTIF('Buyer Groups'!EC84:EN84,0)&gt;0,0,1)</f>
        <v/>
      </c>
      <c r="OL31">
        <f>IF($DP$31="",FALSE,SUMPRODUCT(('Final Calculation Sheet'!$V$4:$V$40=$DP$31)*($OK$6:$OK$42=1))&gt;0)</f>
        <v/>
      </c>
      <c r="OM31">
        <f>$OM$30+--($OL31)</f>
        <v/>
      </c>
      <c r="ON31">
        <f>IF(ROW()-3&gt;MAX($OM$4:$OM$40),"",INDEX($DP$4:$DP$40,MATCH(ROW()-3,$OM$4:$OM$40,0)))</f>
        <v/>
      </c>
      <c r="OO31">
        <f>IF(COUNTIF('Buyer Groups'!DG84:EB84,0)+COUNTIF('Buyer Groups'!ED84:EN84,0)&gt;0,0,1)</f>
        <v/>
      </c>
      <c r="OP31">
        <f>IF($DU$31="",FALSE,SUMPRODUCT(('Final Calculation Sheet'!$W$4:$W$40=$DU$31)*($OO$6:$OO$42=1))&gt;0)</f>
        <v/>
      </c>
      <c r="OQ31">
        <f>$OQ$30+--($OP31)</f>
        <v/>
      </c>
      <c r="OR31">
        <f>IF(ROW()-3&gt;MAX($OQ$4:$OQ$40),"",INDEX($DU$4:$DU$40,MATCH(ROW()-3,$OQ$4:$OQ$40,0)))</f>
        <v/>
      </c>
      <c r="OS31">
        <f>IF(COUNTIF('Buyer Groups'!DG84:EC84,0)+COUNTIF('Buyer Groups'!EE84:EN84,0)&gt;0,0,1)</f>
        <v/>
      </c>
      <c r="OT31">
        <f>IF($DZ$31="",FALSE,SUMPRODUCT(('Final Calculation Sheet'!$X$4:$X$40=$DZ$31)*($OS$6:$OS$42=1))&gt;0)</f>
        <v/>
      </c>
      <c r="OU31">
        <f>$OU$30+--($OT31)</f>
        <v/>
      </c>
      <c r="OV31">
        <f>IF(ROW()-3&gt;MAX($OU$4:$OU$40),"",INDEX($DZ$4:$DZ$40,MATCH(ROW()-3,$OU$4:$OU$40,0)))</f>
        <v/>
      </c>
      <c r="OW31">
        <f>IF(COUNTIF('Buyer Groups'!DG84:ED84,0)+COUNTIF('Buyer Groups'!EF84:EN84,0)&gt;0,0,1)</f>
        <v/>
      </c>
      <c r="OX31">
        <f>IF($EE$31="",FALSE,SUMPRODUCT(('Final Calculation Sheet'!$Y$4:$Y$40=$EE$31)*($OW$6:$OW$42=1))&gt;0)</f>
        <v/>
      </c>
      <c r="OY31">
        <f>$OY$30+--($OX31)</f>
        <v/>
      </c>
      <c r="OZ31">
        <f>IF(ROW()-3&gt;MAX($OY$4:$OY$40),"",INDEX($EE$4:$EE$40,MATCH(ROW()-3,$OY$4:$OY$40,0)))</f>
        <v/>
      </c>
      <c r="PA31">
        <f>IF(COUNTIF('Buyer Groups'!DG84:EE84,0)+COUNTIF('Buyer Groups'!EG84:EN84,0)&gt;0,0,1)</f>
        <v/>
      </c>
      <c r="PB31">
        <f>IF($EJ$31="",FALSE,SUMPRODUCT(('Final Calculation Sheet'!$Z$4:$Z$40=$EJ$31)*($PA$6:$PA$42=1))&gt;0)</f>
        <v/>
      </c>
      <c r="PC31">
        <f>$PC$30+--($PB31)</f>
        <v/>
      </c>
      <c r="PD31">
        <f>IF(ROW()-3&gt;MAX($PC$4:$PC$40),"",INDEX($EJ$4:$EJ$40,MATCH(ROW()-3,$PC$4:$PC$40,0)))</f>
        <v/>
      </c>
      <c r="PE31">
        <f>IF(COUNTIF('Buyer Groups'!DG84:EF84,0)+COUNTIF('Buyer Groups'!EH84:EN84,0)&gt;0,0,1)</f>
        <v/>
      </c>
      <c r="PF31">
        <f>IF($EO$31="",FALSE,SUMPRODUCT(('Final Calculation Sheet'!$AA$4:$AA$40=$EO$31)*($PE$6:$PE$42=1))&gt;0)</f>
        <v/>
      </c>
      <c r="PG31">
        <f>$PG$30+--($PF31)</f>
        <v/>
      </c>
      <c r="PH31">
        <f>IF(ROW()-3&gt;MAX($PG$4:$PG$40),"",INDEX($EO$4:$EO$40,MATCH(ROW()-3,$PG$4:$PG$40,0)))</f>
        <v/>
      </c>
      <c r="PI31">
        <f>IF(COUNTIF('Buyer Groups'!DG84:EG84,0)+COUNTIF('Buyer Groups'!EI84:EN84,0)&gt;0,0,1)</f>
        <v/>
      </c>
      <c r="PJ31">
        <f>IF($ET$31="",FALSE,SUMPRODUCT(('Final Calculation Sheet'!$AB$4:$AB$40=$ET$31)*($PI$6:$PI$42=1))&gt;0)</f>
        <v/>
      </c>
      <c r="PK31">
        <f>$PK$30+--($PJ31)</f>
        <v/>
      </c>
      <c r="PL31">
        <f>IF(ROW()-3&gt;MAX($PK$4:$PK$40),"",INDEX($ET$4:$ET$40,MATCH(ROW()-3,$PK$4:$PK$40,0)))</f>
        <v/>
      </c>
      <c r="PM31">
        <f>IF(COUNTIF('Buyer Groups'!DG84:EH84,0)+COUNTIF('Buyer Groups'!EJ84:EN84,0)&gt;0,0,1)</f>
        <v/>
      </c>
      <c r="PN31">
        <f>IF($EY$31="",FALSE,SUMPRODUCT(('Final Calculation Sheet'!$AC$4:$AC$40=$EY$31)*($PM$6:$PM$42=1))&gt;0)</f>
        <v/>
      </c>
      <c r="PO31">
        <f>$PO$30+--($PN31)</f>
        <v/>
      </c>
      <c r="PP31">
        <f>IF(ROW()-3&gt;MAX($PO$4:$PO$40),"",INDEX($EY$4:$EY$40,MATCH(ROW()-3,$PO$4:$PO$40,0)))</f>
        <v/>
      </c>
      <c r="PQ31">
        <f>IF(COUNTIF('Buyer Groups'!DG84:EI84,0)+COUNTIF('Buyer Groups'!EK84:EN84,0)&gt;0,0,1)</f>
        <v/>
      </c>
      <c r="PR31">
        <f>IF($FD$31="",FALSE,SUMPRODUCT(('Final Calculation Sheet'!$AD$4:$AD$40=$FD$31)*($PQ$6:$PQ$42=1))&gt;0)</f>
        <v/>
      </c>
      <c r="PS31">
        <f>$PS$30+--($PR31)</f>
        <v/>
      </c>
      <c r="PT31">
        <f>IF(ROW()-3&gt;MAX($PS$4:$PS$40),"",INDEX($FD$4:$FD$40,MATCH(ROW()-3,$PS$4:$PS$40,0)))</f>
        <v/>
      </c>
      <c r="PU31">
        <f>IF(COUNTIF('Buyer Groups'!DG84:EJ84,0)+COUNTIF('Buyer Groups'!EL84:EN84,0)&gt;0,0,1)</f>
        <v/>
      </c>
      <c r="PV31">
        <f>IF($FX$31="",FALSE,SUMPRODUCT((IF('Final Calculation Sheet'!$AD$4:$AD$40&lt;=5,"SETTLED","OUTSTANDING")=$FX$31)*($PU$6:$PU$42=1))&gt;0)</f>
        <v/>
      </c>
      <c r="PW31">
        <f>$PW$30+--($PV31)</f>
        <v/>
      </c>
      <c r="PX31">
        <f>IF(ROW()-3&gt;MAX($PW$4:$PW$40),"",INDEX($FX$4:$FX$40,MATCH(ROW()-3,$PW$4:$PW$40,0)))</f>
        <v/>
      </c>
      <c r="PY31">
        <f>IF(COUNTIF('Buyer Groups'!DG84:EK84,0)+COUNTIF('Buyer Groups'!EM84:EN84,0)&gt;0,0,1)</f>
        <v/>
      </c>
      <c r="PZ31">
        <f>IF($FI$31="",FALSE,SUMPRODUCT(('Final Calculation Sheet'!$AF$4:$AF$40=$FI$31)*($PY$6:$PY$42=1))&gt;0)</f>
        <v/>
      </c>
      <c r="QA31">
        <f>$QA$30+--($PZ31)</f>
        <v/>
      </c>
      <c r="QB31">
        <f>IF(ROW()-3&gt;MAX($QA$4:$QA$40),"",INDEX($FI$4:$FI$40,MATCH(ROW()-3,$QA$4:$QA$40,0)))</f>
        <v/>
      </c>
      <c r="QC31">
        <f>IF(COUNTIF('Buyer Groups'!DG84:EL84,0)+COUNTIF('Buyer Groups'!EN84:EN84,0)&gt;0,0,1)</f>
        <v/>
      </c>
      <c r="QD31">
        <f>IF($FN$31="",FALSE,SUMPRODUCT(('Final Calculation Sheet'!$AG$4:$AG$40=$FN$31)*($QC$6:$QC$42=1))&gt;0)</f>
        <v/>
      </c>
      <c r="QE31">
        <f>$QE$30+--($QD31)</f>
        <v/>
      </c>
      <c r="QF31">
        <f>IF(ROW()-3&gt;MAX($QE$4:$QE$40),"",INDEX($FN$4:$FN$40,MATCH(ROW()-3,$QE$4:$QE$40,0)))</f>
        <v/>
      </c>
      <c r="QG31">
        <f>IF(COUNTIF('Buyer Groups'!DG84:EM84,0)&gt;0,0,1)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IF(IFERROR('Final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IF(IFERROR('Final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Groups'!DH85:EN85,0)&gt;0,0,1)</f>
        <v/>
      </c>
      <c r="LF32">
        <f>IF($O$32="",FALSE,SUMPRODUCT(('Final Calculation Sheet'!$F$4:$F$40=$O$32)*($LE$6:$LE$42=1))&gt;0)</f>
        <v/>
      </c>
      <c r="LG32">
        <f>$LG$31+--($LF32)</f>
        <v/>
      </c>
      <c r="LH32">
        <f>IF(ROW()-3&gt;MAX($LG$4:$LG$40),"",INDEX($O$4:$O$40,MATCH(ROW()-3,$LG$4:$LG$40,0)))</f>
        <v/>
      </c>
      <c r="LI32">
        <f>IF(COUNTIF('Buyer Groups'!DG85:DG85,0)+COUNTIF('Buyer Groups'!DI85:EN85,0)&gt;0,0,1)</f>
        <v/>
      </c>
      <c r="LJ32">
        <f>IF($T$32="",FALSE,SUMPRODUCT(('Final Calculation Sheet'!$G$4:$G$40=$T$32)*($LI$6:$LI$42=1))&gt;0)</f>
        <v/>
      </c>
      <c r="LK32">
        <f>$LK$31+--($LJ32)</f>
        <v/>
      </c>
      <c r="LL32">
        <f>IF(ROW()-3&gt;MAX($LK$4:$LK$40),"",INDEX($T$4:$T$40,MATCH(ROW()-3,$LK$4:$LK$40,0)))</f>
        <v/>
      </c>
      <c r="LM32">
        <f>IF(COUNTIF('Buyer Groups'!DG85:DH85,0)+COUNTIF('Buyer Groups'!DJ85:EN85,0)&gt;0,0,1)</f>
        <v/>
      </c>
      <c r="LN32">
        <f>IF($Y$32="",FALSE,SUMPRODUCT(('Final Calculation Sheet'!$B$4:$B$40=$Y$32)*($LM$6:$LM$42=1))&gt;0)</f>
        <v/>
      </c>
      <c r="LO32">
        <f>$LO$31+--($LN32)</f>
        <v/>
      </c>
      <c r="LP32">
        <f>IF(ROW()-3&gt;MAX($LO$4:$LO$40),"",INDEX($Y$4:$Y$40,MATCH(ROW()-3,$LO$4:$LO$40,0)))</f>
        <v/>
      </c>
      <c r="LQ32">
        <f>IF(COUNTIF('Buyer Groups'!DG85:DI85,0)+COUNTIF('Buyer Groups'!DK85:EN85,0)&gt;0,0,1)</f>
        <v/>
      </c>
      <c r="LR32">
        <f>IF($AD$32="",FALSE,SUMPRODUCT(('Final Calculation Sheet'!$D$4:$D$40=$AD$32)*($LQ$6:$LQ$42=1))&gt;0)</f>
        <v/>
      </c>
      <c r="LS32">
        <f>$LS$31+--($LR32)</f>
        <v/>
      </c>
      <c r="LT32">
        <f>IF(ROW()-3&gt;MAX($LS$4:$LS$40),"",INDEX($AD$4:$AD$40,MATCH(ROW()-3,$LS$4:$LS$40,0)))</f>
        <v/>
      </c>
      <c r="LU32">
        <f>IF(COUNTIF('Buyer Groups'!DG85:DJ85,0)+COUNTIF('Buyer Groups'!DL85:EN85,0)&gt;0,0,1)</f>
        <v/>
      </c>
      <c r="LV32">
        <f>IF($AI$32="",FALSE,SUMPRODUCT(('Final Calculation Sheet'!$A$4:$A$40=$AI$32)*($LU$6:$LU$42=1))&gt;0)</f>
        <v/>
      </c>
      <c r="LW32">
        <f>$LW$31+--($LV32)</f>
        <v/>
      </c>
      <c r="LX32">
        <f>IF(ROW()-3&gt;MAX($LW$4:$LW$40),"",INDEX($AI$4:$AI$40,MATCH(ROW()-3,$LW$4:$LW$40,0)))</f>
        <v/>
      </c>
      <c r="LY32">
        <f>IF(COUNTIF('Buyer Groups'!DG85:DK85,0)+COUNTIF('Buyer Groups'!DM85:EN85,0)&gt;0,0,1)</f>
        <v/>
      </c>
      <c r="LZ32">
        <f>IF($AN$32="",FALSE,SUMPRODUCT(('Final Calculation Sheet'!$E$4:$E$40=$AN$32)*($LY$6:$LY$42=1))&gt;0)</f>
        <v/>
      </c>
      <c r="MA32">
        <f>$MA$31+--($LZ32)</f>
        <v/>
      </c>
      <c r="MB32">
        <f>IF(ROW()-3&gt;MAX($MA$4:$MA$40),"",INDEX($AN$4:$AN$40,MATCH(ROW()-3,$MA$4:$MA$40,0)))</f>
        <v/>
      </c>
      <c r="MC32">
        <f>IF(COUNTIF('Buyer Groups'!DG85:DL85,0)+COUNTIF('Buyer Groups'!DN85:EN85,0)&gt;0,0,1)</f>
        <v/>
      </c>
      <c r="MD32">
        <f>IF($AS$32="",FALSE,SUMPRODUCT(('Final Calculation Sheet'!$C$4:$C$40=$AS$32)*($MC$6:$MC$42=1))&gt;0)</f>
        <v/>
      </c>
      <c r="ME32">
        <f>$ME$31+--($MD32)</f>
        <v/>
      </c>
      <c r="MF32">
        <f>IF(ROW()-3&gt;MAX($ME$4:$ME$40),"",INDEX($AS$4:$AS$40,MATCH(ROW()-3,$ME$4:$ME$40,0)))</f>
        <v/>
      </c>
      <c r="MG32">
        <f>IF(COUNTIF('Buyer Groups'!DG85:DM85,0)+COUNTIF('Buyer Groups'!DO85:EN85,0)&gt;0,0,1)</f>
        <v/>
      </c>
      <c r="MH32">
        <f>IF($AX$32="",FALSE,SUMPRODUCT(('Final Calculation Sheet'!$H$4:$H$40=$AX$32)*($MG$6:$MG$42=1))&gt;0)</f>
        <v/>
      </c>
      <c r="MI32">
        <f>$MI$31+--($MH32)</f>
        <v/>
      </c>
      <c r="MJ32">
        <f>IF(ROW()-3&gt;MAX($MI$4:$MI$40),"",INDEX($AX$4:$AX$40,MATCH(ROW()-3,$MI$4:$MI$40,0)))</f>
        <v/>
      </c>
      <c r="MK32">
        <f>IF(COUNTIF('Buyer Groups'!DG85:DN85,0)+COUNTIF('Buyer Groups'!DP85:EN85,0)&gt;0,0,1)</f>
        <v/>
      </c>
      <c r="ML32">
        <f>IF($BC$32="",FALSE,SUMPRODUCT(('Final Calculation Sheet'!$I$4:$I$40=$BC$32)*($MK$6:$MK$42=1))&gt;0)</f>
        <v/>
      </c>
      <c r="MM32">
        <f>$MM$31+--($ML32)</f>
        <v/>
      </c>
      <c r="MN32">
        <f>IF(ROW()-3&gt;MAX($MM$4:$MM$40),"",INDEX($BC$4:$BC$40,MATCH(ROW()-3,$MM$4:$MM$40,0)))</f>
        <v/>
      </c>
      <c r="MO32">
        <f>IF(COUNTIF('Buyer Groups'!DG85:DO85,0)+COUNTIF('Buyer Groups'!DQ85:EN85,0)&gt;0,0,1)</f>
        <v/>
      </c>
      <c r="MP32">
        <f>IF($BH$32="",FALSE,SUMPRODUCT(('Final Calculation Sheet'!$J$4:$J$40=$BH$32)*($MO$6:$MO$42=1))&gt;0)</f>
        <v/>
      </c>
      <c r="MQ32">
        <f>$MQ$31+--($MP32)</f>
        <v/>
      </c>
      <c r="MR32">
        <f>IF(ROW()-3&gt;MAX($MQ$4:$MQ$40),"",INDEX($BH$4:$BH$40,MATCH(ROW()-3,$MQ$4:$MQ$40,0)))</f>
        <v/>
      </c>
      <c r="MS32">
        <f>IF(COUNTIF('Buyer Groups'!DG85:DP85,0)+COUNTIF('Buyer Groups'!DR85:EN85,0)&gt;0,0,1)</f>
        <v/>
      </c>
      <c r="MT32">
        <f>IF($BM$32="",FALSE,SUMPRODUCT(('Final Calculation Sheet'!$K$4:$K$40=$BM$32)*($MS$6:$MS$42=1))&gt;0)</f>
        <v/>
      </c>
      <c r="MU32">
        <f>$MU$31+--($MT32)</f>
        <v/>
      </c>
      <c r="MV32">
        <f>IF(ROW()-3&gt;MAX($MU$4:$MU$40),"",INDEX($BM$4:$BM$40,MATCH(ROW()-3,$MU$4:$MU$40,0)))</f>
        <v/>
      </c>
      <c r="MW32">
        <f>IF(COUNTIF('Buyer Groups'!DG85:DQ85,0)+COUNTIF('Buyer Groups'!DS85:EN85,0)&gt;0,0,1)</f>
        <v/>
      </c>
      <c r="MX32">
        <f>IF($BR$32="",FALSE,SUMPRODUCT(('Final Calculation Sheet'!$L$4:$L$40=$BR$32)*($MW$6:$MW$42=1))&gt;0)</f>
        <v/>
      </c>
      <c r="MY32">
        <f>$MY$31+--($MX32)</f>
        <v/>
      </c>
      <c r="MZ32">
        <f>IF(ROW()-3&gt;MAX($MY$4:$MY$40),"",INDEX($BR$4:$BR$40,MATCH(ROW()-3,$MY$4:$MY$40,0)))</f>
        <v/>
      </c>
      <c r="NA32">
        <f>IF(COUNTIF('Buyer Groups'!DG85:DR85,0)+COUNTIF('Buyer Groups'!DT85:EN85,0)&gt;0,0,1)</f>
        <v/>
      </c>
      <c r="NB32">
        <f>IF($BW$32="",FALSE,SUMPRODUCT(('Final Calculation Sheet'!$M$4:$M$40=$BW$32)*($NA$6:$NA$42=1))&gt;0)</f>
        <v/>
      </c>
      <c r="NC32">
        <f>$NC$31+--($NB32)</f>
        <v/>
      </c>
      <c r="ND32">
        <f>IF(ROW()-3&gt;MAX($NC$4:$NC$40),"",INDEX($BW$4:$BW$40,MATCH(ROW()-3,$NC$4:$NC$40,0)))</f>
        <v/>
      </c>
      <c r="NE32">
        <f>IF(COUNTIF('Buyer Groups'!DG85:DS85,0)+COUNTIF('Buyer Groups'!DU85:EN85,0)&gt;0,0,1)</f>
        <v/>
      </c>
      <c r="NF32">
        <f>IF($CB$32="",FALSE,SUMPRODUCT(('Final Calculation Sheet'!$N$4:$N$40=$CB$32)*($NE$6:$NE$42=1))&gt;0)</f>
        <v/>
      </c>
      <c r="NG32">
        <f>$NG$31+--($NF32)</f>
        <v/>
      </c>
      <c r="NH32">
        <f>IF(ROW()-3&gt;MAX($NG$4:$NG$40),"",INDEX($CB$4:$CB$40,MATCH(ROW()-3,$NG$4:$NG$40,0)))</f>
        <v/>
      </c>
      <c r="NI32">
        <f>IF(COUNTIF('Buyer Groups'!DG85:DT85,0)+COUNTIF('Buyer Groups'!DV85:EN85,0)&gt;0,0,1)</f>
        <v/>
      </c>
      <c r="NJ32">
        <f>IF($CG$32="",FALSE,SUMPRODUCT(('Final Calculation Sheet'!$O$4:$O$40=$CG$32)*($NI$6:$NI$42=1))&gt;0)</f>
        <v/>
      </c>
      <c r="NK32">
        <f>$NK$31+--($NJ32)</f>
        <v/>
      </c>
      <c r="NL32">
        <f>IF(ROW()-3&gt;MAX($NK$4:$NK$40),"",INDEX($CG$4:$CG$40,MATCH(ROW()-3,$NK$4:$NK$40,0)))</f>
        <v/>
      </c>
      <c r="NM32">
        <f>IF(COUNTIF('Buyer Groups'!DG85:DU85,0)+COUNTIF('Buyer Groups'!DW85:EN85,0)&gt;0,0,1)</f>
        <v/>
      </c>
      <c r="NN32">
        <f>IF($CL$32="",FALSE,SUMPRODUCT(('Final Calculation Sheet'!$P$4:$P$40=$CL$32)*($NM$6:$NM$42=1))&gt;0)</f>
        <v/>
      </c>
      <c r="NO32">
        <f>$NO$31+--($NN32)</f>
        <v/>
      </c>
      <c r="NP32">
        <f>IF(ROW()-3&gt;MAX($NO$4:$NO$40),"",INDEX($CL$4:$CL$40,MATCH(ROW()-3,$NO$4:$NO$40,0)))</f>
        <v/>
      </c>
      <c r="NQ32">
        <f>IF(COUNTIF('Buyer Groups'!DG85:DV85,0)+COUNTIF('Buyer Groups'!DX85:EN85,0)&gt;0,0,1)</f>
        <v/>
      </c>
      <c r="NR32">
        <f>IF($CQ$32="",FALSE,SUMPRODUCT(('Final Calculation Sheet'!$Q$4:$Q$40=$CQ$32)*($NQ$6:$NQ$42=1))&gt;0)</f>
        <v/>
      </c>
      <c r="NS32">
        <f>$NS$31+--($NR32)</f>
        <v/>
      </c>
      <c r="NT32">
        <f>IF(ROW()-3&gt;MAX($NS$4:$NS$40),"",INDEX($CQ$4:$CQ$40,MATCH(ROW()-3,$NS$4:$NS$40,0)))</f>
        <v/>
      </c>
      <c r="NU32">
        <f>IF(COUNTIF('Buyer Groups'!DG85:DW85,0)+COUNTIF('Buyer Groups'!DY85:EN85,0)&gt;0,0,1)</f>
        <v/>
      </c>
      <c r="NV32">
        <f>IF($CV$32="",FALSE,SUMPRODUCT(('Final Calculation Sheet'!$R$4:$R$40=$CV$32)*($NU$6:$NU$42=1))&gt;0)</f>
        <v/>
      </c>
      <c r="NW32">
        <f>$NW$31+--($NV32)</f>
        <v/>
      </c>
      <c r="NX32">
        <f>IF(ROW()-3&gt;MAX($NW$4:$NW$40),"",INDEX($CV$4:$CV$40,MATCH(ROW()-3,$NW$4:$NW$40,0)))</f>
        <v/>
      </c>
      <c r="NY32">
        <f>IF(COUNTIF('Buyer Groups'!DG85:DX85,0)+COUNTIF('Buyer Groups'!DZ85:EN85,0)&gt;0,0,1)</f>
        <v/>
      </c>
      <c r="NZ32">
        <f>IF($DA$32="",FALSE,SUMPRODUCT(('Final Calculation Sheet'!$S$4:$S$40=$DA$32)*($NY$6:$NY$42=1))&gt;0)</f>
        <v/>
      </c>
      <c r="OA32">
        <f>$OA$31+--($NZ32)</f>
        <v/>
      </c>
      <c r="OB32">
        <f>IF(ROW()-3&gt;MAX($OA$4:$OA$40),"",INDEX($DA$4:$DA$40,MATCH(ROW()-3,$OA$4:$OA$40,0)))</f>
        <v/>
      </c>
      <c r="OC32">
        <f>IF(COUNTIF('Buyer Groups'!DG85:DY85,0)+COUNTIF('Buyer Groups'!EA85:EN85,0)&gt;0,0,1)</f>
        <v/>
      </c>
      <c r="OD32">
        <f>IF($DF$32="",FALSE,SUMPRODUCT(('Final Calculation Sheet'!$T$4:$T$40=$DF$32)*($OC$6:$OC$42=1))&gt;0)</f>
        <v/>
      </c>
      <c r="OE32">
        <f>$OE$31+--($OD32)</f>
        <v/>
      </c>
      <c r="OF32">
        <f>IF(ROW()-3&gt;MAX($OE$4:$OE$40),"",INDEX($DF$4:$DF$40,MATCH(ROW()-3,$OE$4:$OE$40,0)))</f>
        <v/>
      </c>
      <c r="OG32">
        <f>IF(COUNTIF('Buyer Groups'!DG85:DZ85,0)+COUNTIF('Buyer Groups'!EB85:EN85,0)&gt;0,0,1)</f>
        <v/>
      </c>
      <c r="OH32">
        <f>IF($DK$32="",FALSE,SUMPRODUCT(('Final Calculation Sheet'!$U$4:$U$40=$DK$32)*($OG$6:$OG$42=1))&gt;0)</f>
        <v/>
      </c>
      <c r="OI32">
        <f>$OI$31+--($OH32)</f>
        <v/>
      </c>
      <c r="OJ32">
        <f>IF(ROW()-3&gt;MAX($OI$4:$OI$40),"",INDEX($DK$4:$DK$40,MATCH(ROW()-3,$OI$4:$OI$40,0)))</f>
        <v/>
      </c>
      <c r="OK32">
        <f>IF(COUNTIF('Buyer Groups'!DG85:EA85,0)+COUNTIF('Buyer Groups'!EC85:EN85,0)&gt;0,0,1)</f>
        <v/>
      </c>
      <c r="OL32">
        <f>IF($DP$32="",FALSE,SUMPRODUCT(('Final Calculation Sheet'!$V$4:$V$40=$DP$32)*($OK$6:$OK$42=1))&gt;0)</f>
        <v/>
      </c>
      <c r="OM32">
        <f>$OM$31+--($OL32)</f>
        <v/>
      </c>
      <c r="ON32">
        <f>IF(ROW()-3&gt;MAX($OM$4:$OM$40),"",INDEX($DP$4:$DP$40,MATCH(ROW()-3,$OM$4:$OM$40,0)))</f>
        <v/>
      </c>
      <c r="OO32">
        <f>IF(COUNTIF('Buyer Groups'!DG85:EB85,0)+COUNTIF('Buyer Groups'!ED85:EN85,0)&gt;0,0,1)</f>
        <v/>
      </c>
      <c r="OP32">
        <f>IF($DU$32="",FALSE,SUMPRODUCT(('Final Calculation Sheet'!$W$4:$W$40=$DU$32)*($OO$6:$OO$42=1))&gt;0)</f>
        <v/>
      </c>
      <c r="OQ32">
        <f>$OQ$31+--($OP32)</f>
        <v/>
      </c>
      <c r="OR32">
        <f>IF(ROW()-3&gt;MAX($OQ$4:$OQ$40),"",INDEX($DU$4:$DU$40,MATCH(ROW()-3,$OQ$4:$OQ$40,0)))</f>
        <v/>
      </c>
      <c r="OS32">
        <f>IF(COUNTIF('Buyer Groups'!DG85:EC85,0)+COUNTIF('Buyer Groups'!EE85:EN85,0)&gt;0,0,1)</f>
        <v/>
      </c>
      <c r="OT32">
        <f>IF($DZ$32="",FALSE,SUMPRODUCT(('Final Calculation Sheet'!$X$4:$X$40=$DZ$32)*($OS$6:$OS$42=1))&gt;0)</f>
        <v/>
      </c>
      <c r="OU32">
        <f>$OU$31+--($OT32)</f>
        <v/>
      </c>
      <c r="OV32">
        <f>IF(ROW()-3&gt;MAX($OU$4:$OU$40),"",INDEX($DZ$4:$DZ$40,MATCH(ROW()-3,$OU$4:$OU$40,0)))</f>
        <v/>
      </c>
      <c r="OW32">
        <f>IF(COUNTIF('Buyer Groups'!DG85:ED85,0)+COUNTIF('Buyer Groups'!EF85:EN85,0)&gt;0,0,1)</f>
        <v/>
      </c>
      <c r="OX32">
        <f>IF($EE$32="",FALSE,SUMPRODUCT(('Final Calculation Sheet'!$Y$4:$Y$40=$EE$32)*($OW$6:$OW$42=1))&gt;0)</f>
        <v/>
      </c>
      <c r="OY32">
        <f>$OY$31+--($OX32)</f>
        <v/>
      </c>
      <c r="OZ32">
        <f>IF(ROW()-3&gt;MAX($OY$4:$OY$40),"",INDEX($EE$4:$EE$40,MATCH(ROW()-3,$OY$4:$OY$40,0)))</f>
        <v/>
      </c>
      <c r="PA32">
        <f>IF(COUNTIF('Buyer Groups'!DG85:EE85,0)+COUNTIF('Buyer Groups'!EG85:EN85,0)&gt;0,0,1)</f>
        <v/>
      </c>
      <c r="PB32">
        <f>IF($EJ$32="",FALSE,SUMPRODUCT(('Final Calculation Sheet'!$Z$4:$Z$40=$EJ$32)*($PA$6:$PA$42=1))&gt;0)</f>
        <v/>
      </c>
      <c r="PC32">
        <f>$PC$31+--($PB32)</f>
        <v/>
      </c>
      <c r="PD32">
        <f>IF(ROW()-3&gt;MAX($PC$4:$PC$40),"",INDEX($EJ$4:$EJ$40,MATCH(ROW()-3,$PC$4:$PC$40,0)))</f>
        <v/>
      </c>
      <c r="PE32">
        <f>IF(COUNTIF('Buyer Groups'!DG85:EF85,0)+COUNTIF('Buyer Groups'!EH85:EN85,0)&gt;0,0,1)</f>
        <v/>
      </c>
      <c r="PF32">
        <f>IF($EO$32="",FALSE,SUMPRODUCT(('Final Calculation Sheet'!$AA$4:$AA$40=$EO$32)*($PE$6:$PE$42=1))&gt;0)</f>
        <v/>
      </c>
      <c r="PG32">
        <f>$PG$31+--($PF32)</f>
        <v/>
      </c>
      <c r="PH32">
        <f>IF(ROW()-3&gt;MAX($PG$4:$PG$40),"",INDEX($EO$4:$EO$40,MATCH(ROW()-3,$PG$4:$PG$40,0)))</f>
        <v/>
      </c>
      <c r="PI32">
        <f>IF(COUNTIF('Buyer Groups'!DG85:EG85,0)+COUNTIF('Buyer Groups'!EI85:EN85,0)&gt;0,0,1)</f>
        <v/>
      </c>
      <c r="PJ32">
        <f>IF($ET$32="",FALSE,SUMPRODUCT(('Final Calculation Sheet'!$AB$4:$AB$40=$ET$32)*($PI$6:$PI$42=1))&gt;0)</f>
        <v/>
      </c>
      <c r="PK32">
        <f>$PK$31+--($PJ32)</f>
        <v/>
      </c>
      <c r="PL32">
        <f>IF(ROW()-3&gt;MAX($PK$4:$PK$40),"",INDEX($ET$4:$ET$40,MATCH(ROW()-3,$PK$4:$PK$40,0)))</f>
        <v/>
      </c>
      <c r="PM32">
        <f>IF(COUNTIF('Buyer Groups'!DG85:EH85,0)+COUNTIF('Buyer Groups'!EJ85:EN85,0)&gt;0,0,1)</f>
        <v/>
      </c>
      <c r="PN32">
        <f>IF($EY$32="",FALSE,SUMPRODUCT(('Final Calculation Sheet'!$AC$4:$AC$40=$EY$32)*($PM$6:$PM$42=1))&gt;0)</f>
        <v/>
      </c>
      <c r="PO32">
        <f>$PO$31+--($PN32)</f>
        <v/>
      </c>
      <c r="PP32">
        <f>IF(ROW()-3&gt;MAX($PO$4:$PO$40),"",INDEX($EY$4:$EY$40,MATCH(ROW()-3,$PO$4:$PO$40,0)))</f>
        <v/>
      </c>
      <c r="PQ32">
        <f>IF(COUNTIF('Buyer Groups'!DG85:EI85,0)+COUNTIF('Buyer Groups'!EK85:EN85,0)&gt;0,0,1)</f>
        <v/>
      </c>
      <c r="PR32">
        <f>IF($FD$32="",FALSE,SUMPRODUCT(('Final Calculation Sheet'!$AD$4:$AD$40=$FD$32)*($PQ$6:$PQ$42=1))&gt;0)</f>
        <v/>
      </c>
      <c r="PS32">
        <f>$PS$31+--($PR32)</f>
        <v/>
      </c>
      <c r="PT32">
        <f>IF(ROW()-3&gt;MAX($PS$4:$PS$40),"",INDEX($FD$4:$FD$40,MATCH(ROW()-3,$PS$4:$PS$40,0)))</f>
        <v/>
      </c>
      <c r="PU32">
        <f>IF(COUNTIF('Buyer Groups'!DG85:EJ85,0)+COUNTIF('Buyer Groups'!EL85:EN85,0)&gt;0,0,1)</f>
        <v/>
      </c>
      <c r="PV32">
        <f>IF($FX$32="",FALSE,SUMPRODUCT((IF('Final Calculation Sheet'!$AD$4:$AD$40&lt;=5,"SETTLED","OUTSTANDING")=$FX$32)*($PU$6:$PU$42=1))&gt;0)</f>
        <v/>
      </c>
      <c r="PW32">
        <f>$PW$31+--($PV32)</f>
        <v/>
      </c>
      <c r="PX32">
        <f>IF(ROW()-3&gt;MAX($PW$4:$PW$40),"",INDEX($FX$4:$FX$40,MATCH(ROW()-3,$PW$4:$PW$40,0)))</f>
        <v/>
      </c>
      <c r="PY32">
        <f>IF(COUNTIF('Buyer Groups'!DG85:EK85,0)+COUNTIF('Buyer Groups'!EM85:EN85,0)&gt;0,0,1)</f>
        <v/>
      </c>
      <c r="PZ32">
        <f>IF($FI$32="",FALSE,SUMPRODUCT(('Final Calculation Sheet'!$AF$4:$AF$40=$FI$32)*($PY$6:$PY$42=1))&gt;0)</f>
        <v/>
      </c>
      <c r="QA32">
        <f>$QA$31+--($PZ32)</f>
        <v/>
      </c>
      <c r="QB32">
        <f>IF(ROW()-3&gt;MAX($QA$4:$QA$40),"",INDEX($FI$4:$FI$40,MATCH(ROW()-3,$QA$4:$QA$40,0)))</f>
        <v/>
      </c>
      <c r="QC32">
        <f>IF(COUNTIF('Buyer Groups'!DG85:EL85,0)+COUNTIF('Buyer Groups'!EN85:EN85,0)&gt;0,0,1)</f>
        <v/>
      </c>
      <c r="QD32">
        <f>IF($FN$32="",FALSE,SUMPRODUCT(('Final Calculation Sheet'!$AG$4:$AG$40=$FN$32)*($QC$6:$QC$42=1))&gt;0)</f>
        <v/>
      </c>
      <c r="QE32">
        <f>$QE$31+--($QD32)</f>
        <v/>
      </c>
      <c r="QF32">
        <f>IF(ROW()-3&gt;MAX($QE$4:$QE$40),"",INDEX($FN$4:$FN$40,MATCH(ROW()-3,$QE$4:$QE$40,0)))</f>
        <v/>
      </c>
      <c r="QG32">
        <f>IF(COUNTIF('Buyer Groups'!DG85:EM85,0)&gt;0,0,1)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IF(IFERROR('Final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IF(IFERROR('Final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Groups'!DH86:EN86,0)&gt;0,0,1)</f>
        <v/>
      </c>
      <c r="LF33">
        <f>IF($O$33="",FALSE,SUMPRODUCT(('Final Calculation Sheet'!$F$4:$F$40=$O$33)*($LE$6:$LE$42=1))&gt;0)</f>
        <v/>
      </c>
      <c r="LG33">
        <f>$LG$32+--($LF33)</f>
        <v/>
      </c>
      <c r="LH33">
        <f>IF(ROW()-3&gt;MAX($LG$4:$LG$40),"",INDEX($O$4:$O$40,MATCH(ROW()-3,$LG$4:$LG$40,0)))</f>
        <v/>
      </c>
      <c r="LI33">
        <f>IF(COUNTIF('Buyer Groups'!DG86:DG86,0)+COUNTIF('Buyer Groups'!DI86:EN86,0)&gt;0,0,1)</f>
        <v/>
      </c>
      <c r="LJ33">
        <f>IF($T$33="",FALSE,SUMPRODUCT(('Final Calculation Sheet'!$G$4:$G$40=$T$33)*($LI$6:$LI$42=1))&gt;0)</f>
        <v/>
      </c>
      <c r="LK33">
        <f>$LK$32+--($LJ33)</f>
        <v/>
      </c>
      <c r="LL33">
        <f>IF(ROW()-3&gt;MAX($LK$4:$LK$40),"",INDEX($T$4:$T$40,MATCH(ROW()-3,$LK$4:$LK$40,0)))</f>
        <v/>
      </c>
      <c r="LM33">
        <f>IF(COUNTIF('Buyer Groups'!DG86:DH86,0)+COUNTIF('Buyer Groups'!DJ86:EN86,0)&gt;0,0,1)</f>
        <v/>
      </c>
      <c r="LN33">
        <f>IF($Y$33="",FALSE,SUMPRODUCT(('Final Calculation Sheet'!$B$4:$B$40=$Y$33)*($LM$6:$LM$42=1))&gt;0)</f>
        <v/>
      </c>
      <c r="LO33">
        <f>$LO$32+--($LN33)</f>
        <v/>
      </c>
      <c r="LP33">
        <f>IF(ROW()-3&gt;MAX($LO$4:$LO$40),"",INDEX($Y$4:$Y$40,MATCH(ROW()-3,$LO$4:$LO$40,0)))</f>
        <v/>
      </c>
      <c r="LQ33">
        <f>IF(COUNTIF('Buyer Groups'!DG86:DI86,0)+COUNTIF('Buyer Groups'!DK86:EN86,0)&gt;0,0,1)</f>
        <v/>
      </c>
      <c r="LR33">
        <f>IF($AD$33="",FALSE,SUMPRODUCT(('Final Calculation Sheet'!$D$4:$D$40=$AD$33)*($LQ$6:$LQ$42=1))&gt;0)</f>
        <v/>
      </c>
      <c r="LS33">
        <f>$LS$32+--($LR33)</f>
        <v/>
      </c>
      <c r="LT33">
        <f>IF(ROW()-3&gt;MAX($LS$4:$LS$40),"",INDEX($AD$4:$AD$40,MATCH(ROW()-3,$LS$4:$LS$40,0)))</f>
        <v/>
      </c>
      <c r="LU33">
        <f>IF(COUNTIF('Buyer Groups'!DG86:DJ86,0)+COUNTIF('Buyer Groups'!DL86:EN86,0)&gt;0,0,1)</f>
        <v/>
      </c>
      <c r="LV33">
        <f>IF($AI$33="",FALSE,SUMPRODUCT(('Final Calculation Sheet'!$A$4:$A$40=$AI$33)*($LU$6:$LU$42=1))&gt;0)</f>
        <v/>
      </c>
      <c r="LW33">
        <f>$LW$32+--($LV33)</f>
        <v/>
      </c>
      <c r="LX33">
        <f>IF(ROW()-3&gt;MAX($LW$4:$LW$40),"",INDEX($AI$4:$AI$40,MATCH(ROW()-3,$LW$4:$LW$40,0)))</f>
        <v/>
      </c>
      <c r="LY33">
        <f>IF(COUNTIF('Buyer Groups'!DG86:DK86,0)+COUNTIF('Buyer Groups'!DM86:EN86,0)&gt;0,0,1)</f>
        <v/>
      </c>
      <c r="LZ33">
        <f>IF($AN$33="",FALSE,SUMPRODUCT(('Final Calculation Sheet'!$E$4:$E$40=$AN$33)*($LY$6:$LY$42=1))&gt;0)</f>
        <v/>
      </c>
      <c r="MA33">
        <f>$MA$32+--($LZ33)</f>
        <v/>
      </c>
      <c r="MB33">
        <f>IF(ROW()-3&gt;MAX($MA$4:$MA$40),"",INDEX($AN$4:$AN$40,MATCH(ROW()-3,$MA$4:$MA$40,0)))</f>
        <v/>
      </c>
      <c r="MC33">
        <f>IF(COUNTIF('Buyer Groups'!DG86:DL86,0)+COUNTIF('Buyer Groups'!DN86:EN86,0)&gt;0,0,1)</f>
        <v/>
      </c>
      <c r="MD33">
        <f>IF($AS$33="",FALSE,SUMPRODUCT(('Final Calculation Sheet'!$C$4:$C$40=$AS$33)*($MC$6:$MC$42=1))&gt;0)</f>
        <v/>
      </c>
      <c r="ME33">
        <f>$ME$32+--($MD33)</f>
        <v/>
      </c>
      <c r="MF33">
        <f>IF(ROW()-3&gt;MAX($ME$4:$ME$40),"",INDEX($AS$4:$AS$40,MATCH(ROW()-3,$ME$4:$ME$40,0)))</f>
        <v/>
      </c>
      <c r="MG33">
        <f>IF(COUNTIF('Buyer Groups'!DG86:DM86,0)+COUNTIF('Buyer Groups'!DO86:EN86,0)&gt;0,0,1)</f>
        <v/>
      </c>
      <c r="MH33">
        <f>IF($AX$33="",FALSE,SUMPRODUCT(('Final Calculation Sheet'!$H$4:$H$40=$AX$33)*($MG$6:$MG$42=1))&gt;0)</f>
        <v/>
      </c>
      <c r="MI33">
        <f>$MI$32+--($MH33)</f>
        <v/>
      </c>
      <c r="MJ33">
        <f>IF(ROW()-3&gt;MAX($MI$4:$MI$40),"",INDEX($AX$4:$AX$40,MATCH(ROW()-3,$MI$4:$MI$40,0)))</f>
        <v/>
      </c>
      <c r="MK33">
        <f>IF(COUNTIF('Buyer Groups'!DG86:DN86,0)+COUNTIF('Buyer Groups'!DP86:EN86,0)&gt;0,0,1)</f>
        <v/>
      </c>
      <c r="ML33">
        <f>IF($BC$33="",FALSE,SUMPRODUCT(('Final Calculation Sheet'!$I$4:$I$40=$BC$33)*($MK$6:$MK$42=1))&gt;0)</f>
        <v/>
      </c>
      <c r="MM33">
        <f>$MM$32+--($ML33)</f>
        <v/>
      </c>
      <c r="MN33">
        <f>IF(ROW()-3&gt;MAX($MM$4:$MM$40),"",INDEX($BC$4:$BC$40,MATCH(ROW()-3,$MM$4:$MM$40,0)))</f>
        <v/>
      </c>
      <c r="MO33">
        <f>IF(COUNTIF('Buyer Groups'!DG86:DO86,0)+COUNTIF('Buyer Groups'!DQ86:EN86,0)&gt;0,0,1)</f>
        <v/>
      </c>
      <c r="MP33">
        <f>IF($BH$33="",FALSE,SUMPRODUCT(('Final Calculation Sheet'!$J$4:$J$40=$BH$33)*($MO$6:$MO$42=1))&gt;0)</f>
        <v/>
      </c>
      <c r="MQ33">
        <f>$MQ$32+--($MP33)</f>
        <v/>
      </c>
      <c r="MR33">
        <f>IF(ROW()-3&gt;MAX($MQ$4:$MQ$40),"",INDEX($BH$4:$BH$40,MATCH(ROW()-3,$MQ$4:$MQ$40,0)))</f>
        <v/>
      </c>
      <c r="MS33">
        <f>IF(COUNTIF('Buyer Groups'!DG86:DP86,0)+COUNTIF('Buyer Groups'!DR86:EN86,0)&gt;0,0,1)</f>
        <v/>
      </c>
      <c r="MT33">
        <f>IF($BM$33="",FALSE,SUMPRODUCT(('Final Calculation Sheet'!$K$4:$K$40=$BM$33)*($MS$6:$MS$42=1))&gt;0)</f>
        <v/>
      </c>
      <c r="MU33">
        <f>$MU$32+--($MT33)</f>
        <v/>
      </c>
      <c r="MV33">
        <f>IF(ROW()-3&gt;MAX($MU$4:$MU$40),"",INDEX($BM$4:$BM$40,MATCH(ROW()-3,$MU$4:$MU$40,0)))</f>
        <v/>
      </c>
      <c r="MW33">
        <f>IF(COUNTIF('Buyer Groups'!DG86:DQ86,0)+COUNTIF('Buyer Groups'!DS86:EN86,0)&gt;0,0,1)</f>
        <v/>
      </c>
      <c r="MX33">
        <f>IF($BR$33="",FALSE,SUMPRODUCT(('Final Calculation Sheet'!$L$4:$L$40=$BR$33)*($MW$6:$MW$42=1))&gt;0)</f>
        <v/>
      </c>
      <c r="MY33">
        <f>$MY$32+--($MX33)</f>
        <v/>
      </c>
      <c r="MZ33">
        <f>IF(ROW()-3&gt;MAX($MY$4:$MY$40),"",INDEX($BR$4:$BR$40,MATCH(ROW()-3,$MY$4:$MY$40,0)))</f>
        <v/>
      </c>
      <c r="NA33">
        <f>IF(COUNTIF('Buyer Groups'!DG86:DR86,0)+COUNTIF('Buyer Groups'!DT86:EN86,0)&gt;0,0,1)</f>
        <v/>
      </c>
      <c r="NB33">
        <f>IF($BW$33="",FALSE,SUMPRODUCT(('Final Calculation Sheet'!$M$4:$M$40=$BW$33)*($NA$6:$NA$42=1))&gt;0)</f>
        <v/>
      </c>
      <c r="NC33">
        <f>$NC$32+--($NB33)</f>
        <v/>
      </c>
      <c r="ND33">
        <f>IF(ROW()-3&gt;MAX($NC$4:$NC$40),"",INDEX($BW$4:$BW$40,MATCH(ROW()-3,$NC$4:$NC$40,0)))</f>
        <v/>
      </c>
      <c r="NE33">
        <f>IF(COUNTIF('Buyer Groups'!DG86:DS86,0)+COUNTIF('Buyer Groups'!DU86:EN86,0)&gt;0,0,1)</f>
        <v/>
      </c>
      <c r="NF33">
        <f>IF($CB$33="",FALSE,SUMPRODUCT(('Final Calculation Sheet'!$N$4:$N$40=$CB$33)*($NE$6:$NE$42=1))&gt;0)</f>
        <v/>
      </c>
      <c r="NG33">
        <f>$NG$32+--($NF33)</f>
        <v/>
      </c>
      <c r="NH33">
        <f>IF(ROW()-3&gt;MAX($NG$4:$NG$40),"",INDEX($CB$4:$CB$40,MATCH(ROW()-3,$NG$4:$NG$40,0)))</f>
        <v/>
      </c>
      <c r="NI33">
        <f>IF(COUNTIF('Buyer Groups'!DG86:DT86,0)+COUNTIF('Buyer Groups'!DV86:EN86,0)&gt;0,0,1)</f>
        <v/>
      </c>
      <c r="NJ33">
        <f>IF($CG$33="",FALSE,SUMPRODUCT(('Final Calculation Sheet'!$O$4:$O$40=$CG$33)*($NI$6:$NI$42=1))&gt;0)</f>
        <v/>
      </c>
      <c r="NK33">
        <f>$NK$32+--($NJ33)</f>
        <v/>
      </c>
      <c r="NL33">
        <f>IF(ROW()-3&gt;MAX($NK$4:$NK$40),"",INDEX($CG$4:$CG$40,MATCH(ROW()-3,$NK$4:$NK$40,0)))</f>
        <v/>
      </c>
      <c r="NM33">
        <f>IF(COUNTIF('Buyer Groups'!DG86:DU86,0)+COUNTIF('Buyer Groups'!DW86:EN86,0)&gt;0,0,1)</f>
        <v/>
      </c>
      <c r="NN33">
        <f>IF($CL$33="",FALSE,SUMPRODUCT(('Final Calculation Sheet'!$P$4:$P$40=$CL$33)*($NM$6:$NM$42=1))&gt;0)</f>
        <v/>
      </c>
      <c r="NO33">
        <f>$NO$32+--($NN33)</f>
        <v/>
      </c>
      <c r="NP33">
        <f>IF(ROW()-3&gt;MAX($NO$4:$NO$40),"",INDEX($CL$4:$CL$40,MATCH(ROW()-3,$NO$4:$NO$40,0)))</f>
        <v/>
      </c>
      <c r="NQ33">
        <f>IF(COUNTIF('Buyer Groups'!DG86:DV86,0)+COUNTIF('Buyer Groups'!DX86:EN86,0)&gt;0,0,1)</f>
        <v/>
      </c>
      <c r="NR33">
        <f>IF($CQ$33="",FALSE,SUMPRODUCT(('Final Calculation Sheet'!$Q$4:$Q$40=$CQ$33)*($NQ$6:$NQ$42=1))&gt;0)</f>
        <v/>
      </c>
      <c r="NS33">
        <f>$NS$32+--($NR33)</f>
        <v/>
      </c>
      <c r="NT33">
        <f>IF(ROW()-3&gt;MAX($NS$4:$NS$40),"",INDEX($CQ$4:$CQ$40,MATCH(ROW()-3,$NS$4:$NS$40,0)))</f>
        <v/>
      </c>
      <c r="NU33">
        <f>IF(COUNTIF('Buyer Groups'!DG86:DW86,0)+COUNTIF('Buyer Groups'!DY86:EN86,0)&gt;0,0,1)</f>
        <v/>
      </c>
      <c r="NV33">
        <f>IF($CV$33="",FALSE,SUMPRODUCT(('Final Calculation Sheet'!$R$4:$R$40=$CV$33)*($NU$6:$NU$42=1))&gt;0)</f>
        <v/>
      </c>
      <c r="NW33">
        <f>$NW$32+--($NV33)</f>
        <v/>
      </c>
      <c r="NX33">
        <f>IF(ROW()-3&gt;MAX($NW$4:$NW$40),"",INDEX($CV$4:$CV$40,MATCH(ROW()-3,$NW$4:$NW$40,0)))</f>
        <v/>
      </c>
      <c r="NY33">
        <f>IF(COUNTIF('Buyer Groups'!DG86:DX86,0)+COUNTIF('Buyer Groups'!DZ86:EN86,0)&gt;0,0,1)</f>
        <v/>
      </c>
      <c r="NZ33">
        <f>IF($DA$33="",FALSE,SUMPRODUCT(('Final Calculation Sheet'!$S$4:$S$40=$DA$33)*($NY$6:$NY$42=1))&gt;0)</f>
        <v/>
      </c>
      <c r="OA33">
        <f>$OA$32+--($NZ33)</f>
        <v/>
      </c>
      <c r="OB33">
        <f>IF(ROW()-3&gt;MAX($OA$4:$OA$40),"",INDEX($DA$4:$DA$40,MATCH(ROW()-3,$OA$4:$OA$40,0)))</f>
        <v/>
      </c>
      <c r="OC33">
        <f>IF(COUNTIF('Buyer Groups'!DG86:DY86,0)+COUNTIF('Buyer Groups'!EA86:EN86,0)&gt;0,0,1)</f>
        <v/>
      </c>
      <c r="OD33">
        <f>IF($DF$33="",FALSE,SUMPRODUCT(('Final Calculation Sheet'!$T$4:$T$40=$DF$33)*($OC$6:$OC$42=1))&gt;0)</f>
        <v/>
      </c>
      <c r="OE33">
        <f>$OE$32+--($OD33)</f>
        <v/>
      </c>
      <c r="OF33">
        <f>IF(ROW()-3&gt;MAX($OE$4:$OE$40),"",INDEX($DF$4:$DF$40,MATCH(ROW()-3,$OE$4:$OE$40,0)))</f>
        <v/>
      </c>
      <c r="OG33">
        <f>IF(COUNTIF('Buyer Groups'!DG86:DZ86,0)+COUNTIF('Buyer Groups'!EB86:EN86,0)&gt;0,0,1)</f>
        <v/>
      </c>
      <c r="OH33">
        <f>IF($DK$33="",FALSE,SUMPRODUCT(('Final Calculation Sheet'!$U$4:$U$40=$DK$33)*($OG$6:$OG$42=1))&gt;0)</f>
        <v/>
      </c>
      <c r="OI33">
        <f>$OI$32+--($OH33)</f>
        <v/>
      </c>
      <c r="OJ33">
        <f>IF(ROW()-3&gt;MAX($OI$4:$OI$40),"",INDEX($DK$4:$DK$40,MATCH(ROW()-3,$OI$4:$OI$40,0)))</f>
        <v/>
      </c>
      <c r="OK33">
        <f>IF(COUNTIF('Buyer Groups'!DG86:EA86,0)+COUNTIF('Buyer Groups'!EC86:EN86,0)&gt;0,0,1)</f>
        <v/>
      </c>
      <c r="OL33">
        <f>IF($DP$33="",FALSE,SUMPRODUCT(('Final Calculation Sheet'!$V$4:$V$40=$DP$33)*($OK$6:$OK$42=1))&gt;0)</f>
        <v/>
      </c>
      <c r="OM33">
        <f>$OM$32+--($OL33)</f>
        <v/>
      </c>
      <c r="ON33">
        <f>IF(ROW()-3&gt;MAX($OM$4:$OM$40),"",INDEX($DP$4:$DP$40,MATCH(ROW()-3,$OM$4:$OM$40,0)))</f>
        <v/>
      </c>
      <c r="OO33">
        <f>IF(COUNTIF('Buyer Groups'!DG86:EB86,0)+COUNTIF('Buyer Groups'!ED86:EN86,0)&gt;0,0,1)</f>
        <v/>
      </c>
      <c r="OP33">
        <f>IF($DU$33="",FALSE,SUMPRODUCT(('Final Calculation Sheet'!$W$4:$W$40=$DU$33)*($OO$6:$OO$42=1))&gt;0)</f>
        <v/>
      </c>
      <c r="OQ33">
        <f>$OQ$32+--($OP33)</f>
        <v/>
      </c>
      <c r="OR33">
        <f>IF(ROW()-3&gt;MAX($OQ$4:$OQ$40),"",INDEX($DU$4:$DU$40,MATCH(ROW()-3,$OQ$4:$OQ$40,0)))</f>
        <v/>
      </c>
      <c r="OS33">
        <f>IF(COUNTIF('Buyer Groups'!DG86:EC86,0)+COUNTIF('Buyer Groups'!EE86:EN86,0)&gt;0,0,1)</f>
        <v/>
      </c>
      <c r="OT33">
        <f>IF($DZ$33="",FALSE,SUMPRODUCT(('Final Calculation Sheet'!$X$4:$X$40=$DZ$33)*($OS$6:$OS$42=1))&gt;0)</f>
        <v/>
      </c>
      <c r="OU33">
        <f>$OU$32+--($OT33)</f>
        <v/>
      </c>
      <c r="OV33">
        <f>IF(ROW()-3&gt;MAX($OU$4:$OU$40),"",INDEX($DZ$4:$DZ$40,MATCH(ROW()-3,$OU$4:$OU$40,0)))</f>
        <v/>
      </c>
      <c r="OW33">
        <f>IF(COUNTIF('Buyer Groups'!DG86:ED86,0)+COUNTIF('Buyer Groups'!EF86:EN86,0)&gt;0,0,1)</f>
        <v/>
      </c>
      <c r="OX33">
        <f>IF($EE$33="",FALSE,SUMPRODUCT(('Final Calculation Sheet'!$Y$4:$Y$40=$EE$33)*($OW$6:$OW$42=1))&gt;0)</f>
        <v/>
      </c>
      <c r="OY33">
        <f>$OY$32+--($OX33)</f>
        <v/>
      </c>
      <c r="OZ33">
        <f>IF(ROW()-3&gt;MAX($OY$4:$OY$40),"",INDEX($EE$4:$EE$40,MATCH(ROW()-3,$OY$4:$OY$40,0)))</f>
        <v/>
      </c>
      <c r="PA33">
        <f>IF(COUNTIF('Buyer Groups'!DG86:EE86,0)+COUNTIF('Buyer Groups'!EG86:EN86,0)&gt;0,0,1)</f>
        <v/>
      </c>
      <c r="PB33">
        <f>IF($EJ$33="",FALSE,SUMPRODUCT(('Final Calculation Sheet'!$Z$4:$Z$40=$EJ$33)*($PA$6:$PA$42=1))&gt;0)</f>
        <v/>
      </c>
      <c r="PC33">
        <f>$PC$32+--($PB33)</f>
        <v/>
      </c>
      <c r="PD33">
        <f>IF(ROW()-3&gt;MAX($PC$4:$PC$40),"",INDEX($EJ$4:$EJ$40,MATCH(ROW()-3,$PC$4:$PC$40,0)))</f>
        <v/>
      </c>
      <c r="PE33">
        <f>IF(COUNTIF('Buyer Groups'!DG86:EF86,0)+COUNTIF('Buyer Groups'!EH86:EN86,0)&gt;0,0,1)</f>
        <v/>
      </c>
      <c r="PF33">
        <f>IF($EO$33="",FALSE,SUMPRODUCT(('Final Calculation Sheet'!$AA$4:$AA$40=$EO$33)*($PE$6:$PE$42=1))&gt;0)</f>
        <v/>
      </c>
      <c r="PG33">
        <f>$PG$32+--($PF33)</f>
        <v/>
      </c>
      <c r="PH33">
        <f>IF(ROW()-3&gt;MAX($PG$4:$PG$40),"",INDEX($EO$4:$EO$40,MATCH(ROW()-3,$PG$4:$PG$40,0)))</f>
        <v/>
      </c>
      <c r="PI33">
        <f>IF(COUNTIF('Buyer Groups'!DG86:EG86,0)+COUNTIF('Buyer Groups'!EI86:EN86,0)&gt;0,0,1)</f>
        <v/>
      </c>
      <c r="PJ33">
        <f>IF($ET$33="",FALSE,SUMPRODUCT(('Final Calculation Sheet'!$AB$4:$AB$40=$ET$33)*($PI$6:$PI$42=1))&gt;0)</f>
        <v/>
      </c>
      <c r="PK33">
        <f>$PK$32+--($PJ33)</f>
        <v/>
      </c>
      <c r="PL33">
        <f>IF(ROW()-3&gt;MAX($PK$4:$PK$40),"",INDEX($ET$4:$ET$40,MATCH(ROW()-3,$PK$4:$PK$40,0)))</f>
        <v/>
      </c>
      <c r="PM33">
        <f>IF(COUNTIF('Buyer Groups'!DG86:EH86,0)+COUNTIF('Buyer Groups'!EJ86:EN86,0)&gt;0,0,1)</f>
        <v/>
      </c>
      <c r="PN33">
        <f>IF($EY$33="",FALSE,SUMPRODUCT(('Final Calculation Sheet'!$AC$4:$AC$40=$EY$33)*($PM$6:$PM$42=1))&gt;0)</f>
        <v/>
      </c>
      <c r="PO33">
        <f>$PO$32+--($PN33)</f>
        <v/>
      </c>
      <c r="PP33">
        <f>IF(ROW()-3&gt;MAX($PO$4:$PO$40),"",INDEX($EY$4:$EY$40,MATCH(ROW()-3,$PO$4:$PO$40,0)))</f>
        <v/>
      </c>
      <c r="PQ33">
        <f>IF(COUNTIF('Buyer Groups'!DG86:EI86,0)+COUNTIF('Buyer Groups'!EK86:EN86,0)&gt;0,0,1)</f>
        <v/>
      </c>
      <c r="PR33">
        <f>IF($FD$33="",FALSE,SUMPRODUCT(('Final Calculation Sheet'!$AD$4:$AD$40=$FD$33)*($PQ$6:$PQ$42=1))&gt;0)</f>
        <v/>
      </c>
      <c r="PS33">
        <f>$PS$32+--($PR33)</f>
        <v/>
      </c>
      <c r="PT33">
        <f>IF(ROW()-3&gt;MAX($PS$4:$PS$40),"",INDEX($FD$4:$FD$40,MATCH(ROW()-3,$PS$4:$PS$40,0)))</f>
        <v/>
      </c>
      <c r="PU33">
        <f>IF(COUNTIF('Buyer Groups'!DG86:EJ86,0)+COUNTIF('Buyer Groups'!EL86:EN86,0)&gt;0,0,1)</f>
        <v/>
      </c>
      <c r="PV33">
        <f>IF($FX$33="",FALSE,SUMPRODUCT((IF('Final Calculation Sheet'!$AD$4:$AD$40&lt;=5,"SETTLED","OUTSTANDING")=$FX$33)*($PU$6:$PU$42=1))&gt;0)</f>
        <v/>
      </c>
      <c r="PW33">
        <f>$PW$32+--($PV33)</f>
        <v/>
      </c>
      <c r="PX33">
        <f>IF(ROW()-3&gt;MAX($PW$4:$PW$40),"",INDEX($FX$4:$FX$40,MATCH(ROW()-3,$PW$4:$PW$40,0)))</f>
        <v/>
      </c>
      <c r="PY33">
        <f>IF(COUNTIF('Buyer Groups'!DG86:EK86,0)+COUNTIF('Buyer Groups'!EM86:EN86,0)&gt;0,0,1)</f>
        <v/>
      </c>
      <c r="PZ33">
        <f>IF($FI$33="",FALSE,SUMPRODUCT(('Final Calculation Sheet'!$AF$4:$AF$40=$FI$33)*($PY$6:$PY$42=1))&gt;0)</f>
        <v/>
      </c>
      <c r="QA33">
        <f>$QA$32+--($PZ33)</f>
        <v/>
      </c>
      <c r="QB33">
        <f>IF(ROW()-3&gt;MAX($QA$4:$QA$40),"",INDEX($FI$4:$FI$40,MATCH(ROW()-3,$QA$4:$QA$40,0)))</f>
        <v/>
      </c>
      <c r="QC33">
        <f>IF(COUNTIF('Buyer Groups'!DG86:EL86,0)+COUNTIF('Buyer Groups'!EN86:EN86,0)&gt;0,0,1)</f>
        <v/>
      </c>
      <c r="QD33">
        <f>IF($FN$33="",FALSE,SUMPRODUCT(('Final Calculation Sheet'!$AG$4:$AG$40=$FN$33)*($QC$6:$QC$42=1))&gt;0)</f>
        <v/>
      </c>
      <c r="QE33">
        <f>$QE$32+--($QD33)</f>
        <v/>
      </c>
      <c r="QF33">
        <f>IF(ROW()-3&gt;MAX($QE$4:$QE$40),"",INDEX($FN$4:$FN$40,MATCH(ROW()-3,$QE$4:$QE$40,0)))</f>
        <v/>
      </c>
      <c r="QG33">
        <f>IF(COUNTIF('Buyer Groups'!DG86:EM86,0)&gt;0,0,1)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IF(IFERROR('Final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IF(IFERROR('Final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Groups'!DH87:EN87,0)&gt;0,0,1)</f>
        <v/>
      </c>
      <c r="LF34">
        <f>IF($O$34="",FALSE,SUMPRODUCT(('Final Calculation Sheet'!$F$4:$F$40=$O$34)*($LE$6:$LE$42=1))&gt;0)</f>
        <v/>
      </c>
      <c r="LG34">
        <f>$LG$33+--($LF34)</f>
        <v/>
      </c>
      <c r="LH34">
        <f>IF(ROW()-3&gt;MAX($LG$4:$LG$40),"",INDEX($O$4:$O$40,MATCH(ROW()-3,$LG$4:$LG$40,0)))</f>
        <v/>
      </c>
      <c r="LI34">
        <f>IF(COUNTIF('Buyer Groups'!DG87:DG87,0)+COUNTIF('Buyer Groups'!DI87:EN87,0)&gt;0,0,1)</f>
        <v/>
      </c>
      <c r="LJ34">
        <f>IF($T$34="",FALSE,SUMPRODUCT(('Final Calculation Sheet'!$G$4:$G$40=$T$34)*($LI$6:$LI$42=1))&gt;0)</f>
        <v/>
      </c>
      <c r="LK34">
        <f>$LK$33+--($LJ34)</f>
        <v/>
      </c>
      <c r="LL34">
        <f>IF(ROW()-3&gt;MAX($LK$4:$LK$40),"",INDEX($T$4:$T$40,MATCH(ROW()-3,$LK$4:$LK$40,0)))</f>
        <v/>
      </c>
      <c r="LM34">
        <f>IF(COUNTIF('Buyer Groups'!DG87:DH87,0)+COUNTIF('Buyer Groups'!DJ87:EN87,0)&gt;0,0,1)</f>
        <v/>
      </c>
      <c r="LN34">
        <f>IF($Y$34="",FALSE,SUMPRODUCT(('Final Calculation Sheet'!$B$4:$B$40=$Y$34)*($LM$6:$LM$42=1))&gt;0)</f>
        <v/>
      </c>
      <c r="LO34">
        <f>$LO$33+--($LN34)</f>
        <v/>
      </c>
      <c r="LP34">
        <f>IF(ROW()-3&gt;MAX($LO$4:$LO$40),"",INDEX($Y$4:$Y$40,MATCH(ROW()-3,$LO$4:$LO$40,0)))</f>
        <v/>
      </c>
      <c r="LQ34">
        <f>IF(COUNTIF('Buyer Groups'!DG87:DI87,0)+COUNTIF('Buyer Groups'!DK87:EN87,0)&gt;0,0,1)</f>
        <v/>
      </c>
      <c r="LR34">
        <f>IF($AD$34="",FALSE,SUMPRODUCT(('Final Calculation Sheet'!$D$4:$D$40=$AD$34)*($LQ$6:$LQ$42=1))&gt;0)</f>
        <v/>
      </c>
      <c r="LS34">
        <f>$LS$33+--($LR34)</f>
        <v/>
      </c>
      <c r="LT34">
        <f>IF(ROW()-3&gt;MAX($LS$4:$LS$40),"",INDEX($AD$4:$AD$40,MATCH(ROW()-3,$LS$4:$LS$40,0)))</f>
        <v/>
      </c>
      <c r="LU34">
        <f>IF(COUNTIF('Buyer Groups'!DG87:DJ87,0)+COUNTIF('Buyer Groups'!DL87:EN87,0)&gt;0,0,1)</f>
        <v/>
      </c>
      <c r="LV34">
        <f>IF($AI$34="",FALSE,SUMPRODUCT(('Final Calculation Sheet'!$A$4:$A$40=$AI$34)*($LU$6:$LU$42=1))&gt;0)</f>
        <v/>
      </c>
      <c r="LW34">
        <f>$LW$33+--($LV34)</f>
        <v/>
      </c>
      <c r="LX34">
        <f>IF(ROW()-3&gt;MAX($LW$4:$LW$40),"",INDEX($AI$4:$AI$40,MATCH(ROW()-3,$LW$4:$LW$40,0)))</f>
        <v/>
      </c>
      <c r="LY34">
        <f>IF(COUNTIF('Buyer Groups'!DG87:DK87,0)+COUNTIF('Buyer Groups'!DM87:EN87,0)&gt;0,0,1)</f>
        <v/>
      </c>
      <c r="LZ34">
        <f>IF($AN$34="",FALSE,SUMPRODUCT(('Final Calculation Sheet'!$E$4:$E$40=$AN$34)*($LY$6:$LY$42=1))&gt;0)</f>
        <v/>
      </c>
      <c r="MA34">
        <f>$MA$33+--($LZ34)</f>
        <v/>
      </c>
      <c r="MB34">
        <f>IF(ROW()-3&gt;MAX($MA$4:$MA$40),"",INDEX($AN$4:$AN$40,MATCH(ROW()-3,$MA$4:$MA$40,0)))</f>
        <v/>
      </c>
      <c r="MC34">
        <f>IF(COUNTIF('Buyer Groups'!DG87:DL87,0)+COUNTIF('Buyer Groups'!DN87:EN87,0)&gt;0,0,1)</f>
        <v/>
      </c>
      <c r="MD34">
        <f>IF($AS$34="",FALSE,SUMPRODUCT(('Final Calculation Sheet'!$C$4:$C$40=$AS$34)*($MC$6:$MC$42=1))&gt;0)</f>
        <v/>
      </c>
      <c r="ME34">
        <f>$ME$33+--($MD34)</f>
        <v/>
      </c>
      <c r="MF34">
        <f>IF(ROW()-3&gt;MAX($ME$4:$ME$40),"",INDEX($AS$4:$AS$40,MATCH(ROW()-3,$ME$4:$ME$40,0)))</f>
        <v/>
      </c>
      <c r="MG34">
        <f>IF(COUNTIF('Buyer Groups'!DG87:DM87,0)+COUNTIF('Buyer Groups'!DO87:EN87,0)&gt;0,0,1)</f>
        <v/>
      </c>
      <c r="MH34">
        <f>IF($AX$34="",FALSE,SUMPRODUCT(('Final Calculation Sheet'!$H$4:$H$40=$AX$34)*($MG$6:$MG$42=1))&gt;0)</f>
        <v/>
      </c>
      <c r="MI34">
        <f>$MI$33+--($MH34)</f>
        <v/>
      </c>
      <c r="MJ34">
        <f>IF(ROW()-3&gt;MAX($MI$4:$MI$40),"",INDEX($AX$4:$AX$40,MATCH(ROW()-3,$MI$4:$MI$40,0)))</f>
        <v/>
      </c>
      <c r="MK34">
        <f>IF(COUNTIF('Buyer Groups'!DG87:DN87,0)+COUNTIF('Buyer Groups'!DP87:EN87,0)&gt;0,0,1)</f>
        <v/>
      </c>
      <c r="ML34">
        <f>IF($BC$34="",FALSE,SUMPRODUCT(('Final Calculation Sheet'!$I$4:$I$40=$BC$34)*($MK$6:$MK$42=1))&gt;0)</f>
        <v/>
      </c>
      <c r="MM34">
        <f>$MM$33+--($ML34)</f>
        <v/>
      </c>
      <c r="MN34">
        <f>IF(ROW()-3&gt;MAX($MM$4:$MM$40),"",INDEX($BC$4:$BC$40,MATCH(ROW()-3,$MM$4:$MM$40,0)))</f>
        <v/>
      </c>
      <c r="MO34">
        <f>IF(COUNTIF('Buyer Groups'!DG87:DO87,0)+COUNTIF('Buyer Groups'!DQ87:EN87,0)&gt;0,0,1)</f>
        <v/>
      </c>
      <c r="MP34">
        <f>IF($BH$34="",FALSE,SUMPRODUCT(('Final Calculation Sheet'!$J$4:$J$40=$BH$34)*($MO$6:$MO$42=1))&gt;0)</f>
        <v/>
      </c>
      <c r="MQ34">
        <f>$MQ$33+--($MP34)</f>
        <v/>
      </c>
      <c r="MR34">
        <f>IF(ROW()-3&gt;MAX($MQ$4:$MQ$40),"",INDEX($BH$4:$BH$40,MATCH(ROW()-3,$MQ$4:$MQ$40,0)))</f>
        <v/>
      </c>
      <c r="MS34">
        <f>IF(COUNTIF('Buyer Groups'!DG87:DP87,0)+COUNTIF('Buyer Groups'!DR87:EN87,0)&gt;0,0,1)</f>
        <v/>
      </c>
      <c r="MT34">
        <f>IF($BM$34="",FALSE,SUMPRODUCT(('Final Calculation Sheet'!$K$4:$K$40=$BM$34)*($MS$6:$MS$42=1))&gt;0)</f>
        <v/>
      </c>
      <c r="MU34">
        <f>$MU$33+--($MT34)</f>
        <v/>
      </c>
      <c r="MV34">
        <f>IF(ROW()-3&gt;MAX($MU$4:$MU$40),"",INDEX($BM$4:$BM$40,MATCH(ROW()-3,$MU$4:$MU$40,0)))</f>
        <v/>
      </c>
      <c r="MW34">
        <f>IF(COUNTIF('Buyer Groups'!DG87:DQ87,0)+COUNTIF('Buyer Groups'!DS87:EN87,0)&gt;0,0,1)</f>
        <v/>
      </c>
      <c r="MX34">
        <f>IF($BR$34="",FALSE,SUMPRODUCT(('Final Calculation Sheet'!$L$4:$L$40=$BR$34)*($MW$6:$MW$42=1))&gt;0)</f>
        <v/>
      </c>
      <c r="MY34">
        <f>$MY$33+--($MX34)</f>
        <v/>
      </c>
      <c r="MZ34">
        <f>IF(ROW()-3&gt;MAX($MY$4:$MY$40),"",INDEX($BR$4:$BR$40,MATCH(ROW()-3,$MY$4:$MY$40,0)))</f>
        <v/>
      </c>
      <c r="NA34">
        <f>IF(COUNTIF('Buyer Groups'!DG87:DR87,0)+COUNTIF('Buyer Groups'!DT87:EN87,0)&gt;0,0,1)</f>
        <v/>
      </c>
      <c r="NB34">
        <f>IF($BW$34="",FALSE,SUMPRODUCT(('Final Calculation Sheet'!$M$4:$M$40=$BW$34)*($NA$6:$NA$42=1))&gt;0)</f>
        <v/>
      </c>
      <c r="NC34">
        <f>$NC$33+--($NB34)</f>
        <v/>
      </c>
      <c r="ND34">
        <f>IF(ROW()-3&gt;MAX($NC$4:$NC$40),"",INDEX($BW$4:$BW$40,MATCH(ROW()-3,$NC$4:$NC$40,0)))</f>
        <v/>
      </c>
      <c r="NE34">
        <f>IF(COUNTIF('Buyer Groups'!DG87:DS87,0)+COUNTIF('Buyer Groups'!DU87:EN87,0)&gt;0,0,1)</f>
        <v/>
      </c>
      <c r="NF34">
        <f>IF($CB$34="",FALSE,SUMPRODUCT(('Final Calculation Sheet'!$N$4:$N$40=$CB$34)*($NE$6:$NE$42=1))&gt;0)</f>
        <v/>
      </c>
      <c r="NG34">
        <f>$NG$33+--($NF34)</f>
        <v/>
      </c>
      <c r="NH34">
        <f>IF(ROW()-3&gt;MAX($NG$4:$NG$40),"",INDEX($CB$4:$CB$40,MATCH(ROW()-3,$NG$4:$NG$40,0)))</f>
        <v/>
      </c>
      <c r="NI34">
        <f>IF(COUNTIF('Buyer Groups'!DG87:DT87,0)+COUNTIF('Buyer Groups'!DV87:EN87,0)&gt;0,0,1)</f>
        <v/>
      </c>
      <c r="NJ34">
        <f>IF($CG$34="",FALSE,SUMPRODUCT(('Final Calculation Sheet'!$O$4:$O$40=$CG$34)*($NI$6:$NI$42=1))&gt;0)</f>
        <v/>
      </c>
      <c r="NK34">
        <f>$NK$33+--($NJ34)</f>
        <v/>
      </c>
      <c r="NL34">
        <f>IF(ROW()-3&gt;MAX($NK$4:$NK$40),"",INDEX($CG$4:$CG$40,MATCH(ROW()-3,$NK$4:$NK$40,0)))</f>
        <v/>
      </c>
      <c r="NM34">
        <f>IF(COUNTIF('Buyer Groups'!DG87:DU87,0)+COUNTIF('Buyer Groups'!DW87:EN87,0)&gt;0,0,1)</f>
        <v/>
      </c>
      <c r="NN34">
        <f>IF($CL$34="",FALSE,SUMPRODUCT(('Final Calculation Sheet'!$P$4:$P$40=$CL$34)*($NM$6:$NM$42=1))&gt;0)</f>
        <v/>
      </c>
      <c r="NO34">
        <f>$NO$33+--($NN34)</f>
        <v/>
      </c>
      <c r="NP34">
        <f>IF(ROW()-3&gt;MAX($NO$4:$NO$40),"",INDEX($CL$4:$CL$40,MATCH(ROW()-3,$NO$4:$NO$40,0)))</f>
        <v/>
      </c>
      <c r="NQ34">
        <f>IF(COUNTIF('Buyer Groups'!DG87:DV87,0)+COUNTIF('Buyer Groups'!DX87:EN87,0)&gt;0,0,1)</f>
        <v/>
      </c>
      <c r="NR34">
        <f>IF($CQ$34="",FALSE,SUMPRODUCT(('Final Calculation Sheet'!$Q$4:$Q$40=$CQ$34)*($NQ$6:$NQ$42=1))&gt;0)</f>
        <v/>
      </c>
      <c r="NS34">
        <f>$NS$33+--($NR34)</f>
        <v/>
      </c>
      <c r="NT34">
        <f>IF(ROW()-3&gt;MAX($NS$4:$NS$40),"",INDEX($CQ$4:$CQ$40,MATCH(ROW()-3,$NS$4:$NS$40,0)))</f>
        <v/>
      </c>
      <c r="NU34">
        <f>IF(COUNTIF('Buyer Groups'!DG87:DW87,0)+COUNTIF('Buyer Groups'!DY87:EN87,0)&gt;0,0,1)</f>
        <v/>
      </c>
      <c r="NV34">
        <f>IF($CV$34="",FALSE,SUMPRODUCT(('Final Calculation Sheet'!$R$4:$R$40=$CV$34)*($NU$6:$NU$42=1))&gt;0)</f>
        <v/>
      </c>
      <c r="NW34">
        <f>$NW$33+--($NV34)</f>
        <v/>
      </c>
      <c r="NX34">
        <f>IF(ROW()-3&gt;MAX($NW$4:$NW$40),"",INDEX($CV$4:$CV$40,MATCH(ROW()-3,$NW$4:$NW$40,0)))</f>
        <v/>
      </c>
      <c r="NY34">
        <f>IF(COUNTIF('Buyer Groups'!DG87:DX87,0)+COUNTIF('Buyer Groups'!DZ87:EN87,0)&gt;0,0,1)</f>
        <v/>
      </c>
      <c r="NZ34">
        <f>IF($DA$34="",FALSE,SUMPRODUCT(('Final Calculation Sheet'!$S$4:$S$40=$DA$34)*($NY$6:$NY$42=1))&gt;0)</f>
        <v/>
      </c>
      <c r="OA34">
        <f>$OA$33+--($NZ34)</f>
        <v/>
      </c>
      <c r="OB34">
        <f>IF(ROW()-3&gt;MAX($OA$4:$OA$40),"",INDEX($DA$4:$DA$40,MATCH(ROW()-3,$OA$4:$OA$40,0)))</f>
        <v/>
      </c>
      <c r="OC34">
        <f>IF(COUNTIF('Buyer Groups'!DG87:DY87,0)+COUNTIF('Buyer Groups'!EA87:EN87,0)&gt;0,0,1)</f>
        <v/>
      </c>
      <c r="OD34">
        <f>IF($DF$34="",FALSE,SUMPRODUCT(('Final Calculation Sheet'!$T$4:$T$40=$DF$34)*($OC$6:$OC$42=1))&gt;0)</f>
        <v/>
      </c>
      <c r="OE34">
        <f>$OE$33+--($OD34)</f>
        <v/>
      </c>
      <c r="OF34">
        <f>IF(ROW()-3&gt;MAX($OE$4:$OE$40),"",INDEX($DF$4:$DF$40,MATCH(ROW()-3,$OE$4:$OE$40,0)))</f>
        <v/>
      </c>
      <c r="OG34">
        <f>IF(COUNTIF('Buyer Groups'!DG87:DZ87,0)+COUNTIF('Buyer Groups'!EB87:EN87,0)&gt;0,0,1)</f>
        <v/>
      </c>
      <c r="OH34">
        <f>IF($DK$34="",FALSE,SUMPRODUCT(('Final Calculation Sheet'!$U$4:$U$40=$DK$34)*($OG$6:$OG$42=1))&gt;0)</f>
        <v/>
      </c>
      <c r="OI34">
        <f>$OI$33+--($OH34)</f>
        <v/>
      </c>
      <c r="OJ34">
        <f>IF(ROW()-3&gt;MAX($OI$4:$OI$40),"",INDEX($DK$4:$DK$40,MATCH(ROW()-3,$OI$4:$OI$40,0)))</f>
        <v/>
      </c>
      <c r="OK34">
        <f>IF(COUNTIF('Buyer Groups'!DG87:EA87,0)+COUNTIF('Buyer Groups'!EC87:EN87,0)&gt;0,0,1)</f>
        <v/>
      </c>
      <c r="OL34">
        <f>IF($DP$34="",FALSE,SUMPRODUCT(('Final Calculation Sheet'!$V$4:$V$40=$DP$34)*($OK$6:$OK$42=1))&gt;0)</f>
        <v/>
      </c>
      <c r="OM34">
        <f>$OM$33+--($OL34)</f>
        <v/>
      </c>
      <c r="ON34">
        <f>IF(ROW()-3&gt;MAX($OM$4:$OM$40),"",INDEX($DP$4:$DP$40,MATCH(ROW()-3,$OM$4:$OM$40,0)))</f>
        <v/>
      </c>
      <c r="OO34">
        <f>IF(COUNTIF('Buyer Groups'!DG87:EB87,0)+COUNTIF('Buyer Groups'!ED87:EN87,0)&gt;0,0,1)</f>
        <v/>
      </c>
      <c r="OP34">
        <f>IF($DU$34="",FALSE,SUMPRODUCT(('Final Calculation Sheet'!$W$4:$W$40=$DU$34)*($OO$6:$OO$42=1))&gt;0)</f>
        <v/>
      </c>
      <c r="OQ34">
        <f>$OQ$33+--($OP34)</f>
        <v/>
      </c>
      <c r="OR34">
        <f>IF(ROW()-3&gt;MAX($OQ$4:$OQ$40),"",INDEX($DU$4:$DU$40,MATCH(ROW()-3,$OQ$4:$OQ$40,0)))</f>
        <v/>
      </c>
      <c r="OS34">
        <f>IF(COUNTIF('Buyer Groups'!DG87:EC87,0)+COUNTIF('Buyer Groups'!EE87:EN87,0)&gt;0,0,1)</f>
        <v/>
      </c>
      <c r="OT34">
        <f>IF($DZ$34="",FALSE,SUMPRODUCT(('Final Calculation Sheet'!$X$4:$X$40=$DZ$34)*($OS$6:$OS$42=1))&gt;0)</f>
        <v/>
      </c>
      <c r="OU34">
        <f>$OU$33+--($OT34)</f>
        <v/>
      </c>
      <c r="OV34">
        <f>IF(ROW()-3&gt;MAX($OU$4:$OU$40),"",INDEX($DZ$4:$DZ$40,MATCH(ROW()-3,$OU$4:$OU$40,0)))</f>
        <v/>
      </c>
      <c r="OW34">
        <f>IF(COUNTIF('Buyer Groups'!DG87:ED87,0)+COUNTIF('Buyer Groups'!EF87:EN87,0)&gt;0,0,1)</f>
        <v/>
      </c>
      <c r="OX34">
        <f>IF($EE$34="",FALSE,SUMPRODUCT(('Final Calculation Sheet'!$Y$4:$Y$40=$EE$34)*($OW$6:$OW$42=1))&gt;0)</f>
        <v/>
      </c>
      <c r="OY34">
        <f>$OY$33+--($OX34)</f>
        <v/>
      </c>
      <c r="OZ34">
        <f>IF(ROW()-3&gt;MAX($OY$4:$OY$40),"",INDEX($EE$4:$EE$40,MATCH(ROW()-3,$OY$4:$OY$40,0)))</f>
        <v/>
      </c>
      <c r="PA34">
        <f>IF(COUNTIF('Buyer Groups'!DG87:EE87,0)+COUNTIF('Buyer Groups'!EG87:EN87,0)&gt;0,0,1)</f>
        <v/>
      </c>
      <c r="PB34">
        <f>IF($EJ$34="",FALSE,SUMPRODUCT(('Final Calculation Sheet'!$Z$4:$Z$40=$EJ$34)*($PA$6:$PA$42=1))&gt;0)</f>
        <v/>
      </c>
      <c r="PC34">
        <f>$PC$33+--($PB34)</f>
        <v/>
      </c>
      <c r="PD34">
        <f>IF(ROW()-3&gt;MAX($PC$4:$PC$40),"",INDEX($EJ$4:$EJ$40,MATCH(ROW()-3,$PC$4:$PC$40,0)))</f>
        <v/>
      </c>
      <c r="PE34">
        <f>IF(COUNTIF('Buyer Groups'!DG87:EF87,0)+COUNTIF('Buyer Groups'!EH87:EN87,0)&gt;0,0,1)</f>
        <v/>
      </c>
      <c r="PF34">
        <f>IF($EO$34="",FALSE,SUMPRODUCT(('Final Calculation Sheet'!$AA$4:$AA$40=$EO$34)*($PE$6:$PE$42=1))&gt;0)</f>
        <v/>
      </c>
      <c r="PG34">
        <f>$PG$33+--($PF34)</f>
        <v/>
      </c>
      <c r="PH34">
        <f>IF(ROW()-3&gt;MAX($PG$4:$PG$40),"",INDEX($EO$4:$EO$40,MATCH(ROW()-3,$PG$4:$PG$40,0)))</f>
        <v/>
      </c>
      <c r="PI34">
        <f>IF(COUNTIF('Buyer Groups'!DG87:EG87,0)+COUNTIF('Buyer Groups'!EI87:EN87,0)&gt;0,0,1)</f>
        <v/>
      </c>
      <c r="PJ34">
        <f>IF($ET$34="",FALSE,SUMPRODUCT(('Final Calculation Sheet'!$AB$4:$AB$40=$ET$34)*($PI$6:$PI$42=1))&gt;0)</f>
        <v/>
      </c>
      <c r="PK34">
        <f>$PK$33+--($PJ34)</f>
        <v/>
      </c>
      <c r="PL34">
        <f>IF(ROW()-3&gt;MAX($PK$4:$PK$40),"",INDEX($ET$4:$ET$40,MATCH(ROW()-3,$PK$4:$PK$40,0)))</f>
        <v/>
      </c>
      <c r="PM34">
        <f>IF(COUNTIF('Buyer Groups'!DG87:EH87,0)+COUNTIF('Buyer Groups'!EJ87:EN87,0)&gt;0,0,1)</f>
        <v/>
      </c>
      <c r="PN34">
        <f>IF($EY$34="",FALSE,SUMPRODUCT(('Final Calculation Sheet'!$AC$4:$AC$40=$EY$34)*($PM$6:$PM$42=1))&gt;0)</f>
        <v/>
      </c>
      <c r="PO34">
        <f>$PO$33+--($PN34)</f>
        <v/>
      </c>
      <c r="PP34">
        <f>IF(ROW()-3&gt;MAX($PO$4:$PO$40),"",INDEX($EY$4:$EY$40,MATCH(ROW()-3,$PO$4:$PO$40,0)))</f>
        <v/>
      </c>
      <c r="PQ34">
        <f>IF(COUNTIF('Buyer Groups'!DG87:EI87,0)+COUNTIF('Buyer Groups'!EK87:EN87,0)&gt;0,0,1)</f>
        <v/>
      </c>
      <c r="PR34">
        <f>IF($FD$34="",FALSE,SUMPRODUCT(('Final Calculation Sheet'!$AD$4:$AD$40=$FD$34)*($PQ$6:$PQ$42=1))&gt;0)</f>
        <v/>
      </c>
      <c r="PS34">
        <f>$PS$33+--($PR34)</f>
        <v/>
      </c>
      <c r="PT34">
        <f>IF(ROW()-3&gt;MAX($PS$4:$PS$40),"",INDEX($FD$4:$FD$40,MATCH(ROW()-3,$PS$4:$PS$40,0)))</f>
        <v/>
      </c>
      <c r="PU34">
        <f>IF(COUNTIF('Buyer Groups'!DG87:EJ87,0)+COUNTIF('Buyer Groups'!EL87:EN87,0)&gt;0,0,1)</f>
        <v/>
      </c>
      <c r="PV34">
        <f>IF($FX$34="",FALSE,SUMPRODUCT((IF('Final Calculation Sheet'!$AD$4:$AD$40&lt;=5,"SETTLED","OUTSTANDING")=$FX$34)*($PU$6:$PU$42=1))&gt;0)</f>
        <v/>
      </c>
      <c r="PW34">
        <f>$PW$33+--($PV34)</f>
        <v/>
      </c>
      <c r="PX34">
        <f>IF(ROW()-3&gt;MAX($PW$4:$PW$40),"",INDEX($FX$4:$FX$40,MATCH(ROW()-3,$PW$4:$PW$40,0)))</f>
        <v/>
      </c>
      <c r="PY34">
        <f>IF(COUNTIF('Buyer Groups'!DG87:EK87,0)+COUNTIF('Buyer Groups'!EM87:EN87,0)&gt;0,0,1)</f>
        <v/>
      </c>
      <c r="PZ34">
        <f>IF($FI$34="",FALSE,SUMPRODUCT(('Final Calculation Sheet'!$AF$4:$AF$40=$FI$34)*($PY$6:$PY$42=1))&gt;0)</f>
        <v/>
      </c>
      <c r="QA34">
        <f>$QA$33+--($PZ34)</f>
        <v/>
      </c>
      <c r="QB34">
        <f>IF(ROW()-3&gt;MAX($QA$4:$QA$40),"",INDEX($FI$4:$FI$40,MATCH(ROW()-3,$QA$4:$QA$40,0)))</f>
        <v/>
      </c>
      <c r="QC34">
        <f>IF(COUNTIF('Buyer Groups'!DG87:EL87,0)+COUNTIF('Buyer Groups'!EN87:EN87,0)&gt;0,0,1)</f>
        <v/>
      </c>
      <c r="QD34">
        <f>IF($FN$34="",FALSE,SUMPRODUCT(('Final Calculation Sheet'!$AG$4:$AG$40=$FN$34)*($QC$6:$QC$42=1))&gt;0)</f>
        <v/>
      </c>
      <c r="QE34">
        <f>$QE$33+--($QD34)</f>
        <v/>
      </c>
      <c r="QF34">
        <f>IF(ROW()-3&gt;MAX($QE$4:$QE$40),"",INDEX($FN$4:$FN$40,MATCH(ROW()-3,$QE$4:$QE$40,0)))</f>
        <v/>
      </c>
      <c r="QG34">
        <f>IF(COUNTIF('Buyer Groups'!DG87:EM87,0)&gt;0,0,1)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IF(IFERROR('Final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IF(IFERROR('Final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Groups'!DH88:EN88,0)&gt;0,0,1)</f>
        <v/>
      </c>
      <c r="LF35">
        <f>IF($O$35="",FALSE,SUMPRODUCT(('Final Calculation Sheet'!$F$4:$F$40=$O$35)*($LE$6:$LE$42=1))&gt;0)</f>
        <v/>
      </c>
      <c r="LG35">
        <f>$LG$34+--($LF35)</f>
        <v/>
      </c>
      <c r="LH35">
        <f>IF(ROW()-3&gt;MAX($LG$4:$LG$40),"",INDEX($O$4:$O$40,MATCH(ROW()-3,$LG$4:$LG$40,0)))</f>
        <v/>
      </c>
      <c r="LI35">
        <f>IF(COUNTIF('Buyer Groups'!DG88:DG88,0)+COUNTIF('Buyer Groups'!DI88:EN88,0)&gt;0,0,1)</f>
        <v/>
      </c>
      <c r="LJ35">
        <f>IF($T$35="",FALSE,SUMPRODUCT(('Final Calculation Sheet'!$G$4:$G$40=$T$35)*($LI$6:$LI$42=1))&gt;0)</f>
        <v/>
      </c>
      <c r="LK35">
        <f>$LK$34+--($LJ35)</f>
        <v/>
      </c>
      <c r="LL35">
        <f>IF(ROW()-3&gt;MAX($LK$4:$LK$40),"",INDEX($T$4:$T$40,MATCH(ROW()-3,$LK$4:$LK$40,0)))</f>
        <v/>
      </c>
      <c r="LM35">
        <f>IF(COUNTIF('Buyer Groups'!DG88:DH88,0)+COUNTIF('Buyer Groups'!DJ88:EN88,0)&gt;0,0,1)</f>
        <v/>
      </c>
      <c r="LN35">
        <f>IF($Y$35="",FALSE,SUMPRODUCT(('Final Calculation Sheet'!$B$4:$B$40=$Y$35)*($LM$6:$LM$42=1))&gt;0)</f>
        <v/>
      </c>
      <c r="LO35">
        <f>$LO$34+--($LN35)</f>
        <v/>
      </c>
      <c r="LP35">
        <f>IF(ROW()-3&gt;MAX($LO$4:$LO$40),"",INDEX($Y$4:$Y$40,MATCH(ROW()-3,$LO$4:$LO$40,0)))</f>
        <v/>
      </c>
      <c r="LQ35">
        <f>IF(COUNTIF('Buyer Groups'!DG88:DI88,0)+COUNTIF('Buyer Groups'!DK88:EN88,0)&gt;0,0,1)</f>
        <v/>
      </c>
      <c r="LR35">
        <f>IF($AD$35="",FALSE,SUMPRODUCT(('Final Calculation Sheet'!$D$4:$D$40=$AD$35)*($LQ$6:$LQ$42=1))&gt;0)</f>
        <v/>
      </c>
      <c r="LS35">
        <f>$LS$34+--($LR35)</f>
        <v/>
      </c>
      <c r="LT35">
        <f>IF(ROW()-3&gt;MAX($LS$4:$LS$40),"",INDEX($AD$4:$AD$40,MATCH(ROW()-3,$LS$4:$LS$40,0)))</f>
        <v/>
      </c>
      <c r="LU35">
        <f>IF(COUNTIF('Buyer Groups'!DG88:DJ88,0)+COUNTIF('Buyer Groups'!DL88:EN88,0)&gt;0,0,1)</f>
        <v/>
      </c>
      <c r="LV35">
        <f>IF($AI$35="",FALSE,SUMPRODUCT(('Final Calculation Sheet'!$A$4:$A$40=$AI$35)*($LU$6:$LU$42=1))&gt;0)</f>
        <v/>
      </c>
      <c r="LW35">
        <f>$LW$34+--($LV35)</f>
        <v/>
      </c>
      <c r="LX35">
        <f>IF(ROW()-3&gt;MAX($LW$4:$LW$40),"",INDEX($AI$4:$AI$40,MATCH(ROW()-3,$LW$4:$LW$40,0)))</f>
        <v/>
      </c>
      <c r="LY35">
        <f>IF(COUNTIF('Buyer Groups'!DG88:DK88,0)+COUNTIF('Buyer Groups'!DM88:EN88,0)&gt;0,0,1)</f>
        <v/>
      </c>
      <c r="LZ35">
        <f>IF($AN$35="",FALSE,SUMPRODUCT(('Final Calculation Sheet'!$E$4:$E$40=$AN$35)*($LY$6:$LY$42=1))&gt;0)</f>
        <v/>
      </c>
      <c r="MA35">
        <f>$MA$34+--($LZ35)</f>
        <v/>
      </c>
      <c r="MB35">
        <f>IF(ROW()-3&gt;MAX($MA$4:$MA$40),"",INDEX($AN$4:$AN$40,MATCH(ROW()-3,$MA$4:$MA$40,0)))</f>
        <v/>
      </c>
      <c r="MC35">
        <f>IF(COUNTIF('Buyer Groups'!DG88:DL88,0)+COUNTIF('Buyer Groups'!DN88:EN88,0)&gt;0,0,1)</f>
        <v/>
      </c>
      <c r="MD35">
        <f>IF($AS$35="",FALSE,SUMPRODUCT(('Final Calculation Sheet'!$C$4:$C$40=$AS$35)*($MC$6:$MC$42=1))&gt;0)</f>
        <v/>
      </c>
      <c r="ME35">
        <f>$ME$34+--($MD35)</f>
        <v/>
      </c>
      <c r="MF35">
        <f>IF(ROW()-3&gt;MAX($ME$4:$ME$40),"",INDEX($AS$4:$AS$40,MATCH(ROW()-3,$ME$4:$ME$40,0)))</f>
        <v/>
      </c>
      <c r="MG35">
        <f>IF(COUNTIF('Buyer Groups'!DG88:DM88,0)+COUNTIF('Buyer Groups'!DO88:EN88,0)&gt;0,0,1)</f>
        <v/>
      </c>
      <c r="MH35">
        <f>IF($AX$35="",FALSE,SUMPRODUCT(('Final Calculation Sheet'!$H$4:$H$40=$AX$35)*($MG$6:$MG$42=1))&gt;0)</f>
        <v/>
      </c>
      <c r="MI35">
        <f>$MI$34+--($MH35)</f>
        <v/>
      </c>
      <c r="MJ35">
        <f>IF(ROW()-3&gt;MAX($MI$4:$MI$40),"",INDEX($AX$4:$AX$40,MATCH(ROW()-3,$MI$4:$MI$40,0)))</f>
        <v/>
      </c>
      <c r="MK35">
        <f>IF(COUNTIF('Buyer Groups'!DG88:DN88,0)+COUNTIF('Buyer Groups'!DP88:EN88,0)&gt;0,0,1)</f>
        <v/>
      </c>
      <c r="ML35">
        <f>IF($BC$35="",FALSE,SUMPRODUCT(('Final Calculation Sheet'!$I$4:$I$40=$BC$35)*($MK$6:$MK$42=1))&gt;0)</f>
        <v/>
      </c>
      <c r="MM35">
        <f>$MM$34+--($ML35)</f>
        <v/>
      </c>
      <c r="MN35">
        <f>IF(ROW()-3&gt;MAX($MM$4:$MM$40),"",INDEX($BC$4:$BC$40,MATCH(ROW()-3,$MM$4:$MM$40,0)))</f>
        <v/>
      </c>
      <c r="MO35">
        <f>IF(COUNTIF('Buyer Groups'!DG88:DO88,0)+COUNTIF('Buyer Groups'!DQ88:EN88,0)&gt;0,0,1)</f>
        <v/>
      </c>
      <c r="MP35">
        <f>IF($BH$35="",FALSE,SUMPRODUCT(('Final Calculation Sheet'!$J$4:$J$40=$BH$35)*($MO$6:$MO$42=1))&gt;0)</f>
        <v/>
      </c>
      <c r="MQ35">
        <f>$MQ$34+--($MP35)</f>
        <v/>
      </c>
      <c r="MR35">
        <f>IF(ROW()-3&gt;MAX($MQ$4:$MQ$40),"",INDEX($BH$4:$BH$40,MATCH(ROW()-3,$MQ$4:$MQ$40,0)))</f>
        <v/>
      </c>
      <c r="MS35">
        <f>IF(COUNTIF('Buyer Groups'!DG88:DP88,0)+COUNTIF('Buyer Groups'!DR88:EN88,0)&gt;0,0,1)</f>
        <v/>
      </c>
      <c r="MT35">
        <f>IF($BM$35="",FALSE,SUMPRODUCT(('Final Calculation Sheet'!$K$4:$K$40=$BM$35)*($MS$6:$MS$42=1))&gt;0)</f>
        <v/>
      </c>
      <c r="MU35">
        <f>$MU$34+--($MT35)</f>
        <v/>
      </c>
      <c r="MV35">
        <f>IF(ROW()-3&gt;MAX($MU$4:$MU$40),"",INDEX($BM$4:$BM$40,MATCH(ROW()-3,$MU$4:$MU$40,0)))</f>
        <v/>
      </c>
      <c r="MW35">
        <f>IF(COUNTIF('Buyer Groups'!DG88:DQ88,0)+COUNTIF('Buyer Groups'!DS88:EN88,0)&gt;0,0,1)</f>
        <v/>
      </c>
      <c r="MX35">
        <f>IF($BR$35="",FALSE,SUMPRODUCT(('Final Calculation Sheet'!$L$4:$L$40=$BR$35)*($MW$6:$MW$42=1))&gt;0)</f>
        <v/>
      </c>
      <c r="MY35">
        <f>$MY$34+--($MX35)</f>
        <v/>
      </c>
      <c r="MZ35">
        <f>IF(ROW()-3&gt;MAX($MY$4:$MY$40),"",INDEX($BR$4:$BR$40,MATCH(ROW()-3,$MY$4:$MY$40,0)))</f>
        <v/>
      </c>
      <c r="NA35">
        <f>IF(COUNTIF('Buyer Groups'!DG88:DR88,0)+COUNTIF('Buyer Groups'!DT88:EN88,0)&gt;0,0,1)</f>
        <v/>
      </c>
      <c r="NB35">
        <f>IF($BW$35="",FALSE,SUMPRODUCT(('Final Calculation Sheet'!$M$4:$M$40=$BW$35)*($NA$6:$NA$42=1))&gt;0)</f>
        <v/>
      </c>
      <c r="NC35">
        <f>$NC$34+--($NB35)</f>
        <v/>
      </c>
      <c r="ND35">
        <f>IF(ROW()-3&gt;MAX($NC$4:$NC$40),"",INDEX($BW$4:$BW$40,MATCH(ROW()-3,$NC$4:$NC$40,0)))</f>
        <v/>
      </c>
      <c r="NE35">
        <f>IF(COUNTIF('Buyer Groups'!DG88:DS88,0)+COUNTIF('Buyer Groups'!DU88:EN88,0)&gt;0,0,1)</f>
        <v/>
      </c>
      <c r="NF35">
        <f>IF($CB$35="",FALSE,SUMPRODUCT(('Final Calculation Sheet'!$N$4:$N$40=$CB$35)*($NE$6:$NE$42=1))&gt;0)</f>
        <v/>
      </c>
      <c r="NG35">
        <f>$NG$34+--($NF35)</f>
        <v/>
      </c>
      <c r="NH35">
        <f>IF(ROW()-3&gt;MAX($NG$4:$NG$40),"",INDEX($CB$4:$CB$40,MATCH(ROW()-3,$NG$4:$NG$40,0)))</f>
        <v/>
      </c>
      <c r="NI35">
        <f>IF(COUNTIF('Buyer Groups'!DG88:DT88,0)+COUNTIF('Buyer Groups'!DV88:EN88,0)&gt;0,0,1)</f>
        <v/>
      </c>
      <c r="NJ35">
        <f>IF($CG$35="",FALSE,SUMPRODUCT(('Final Calculation Sheet'!$O$4:$O$40=$CG$35)*($NI$6:$NI$42=1))&gt;0)</f>
        <v/>
      </c>
      <c r="NK35">
        <f>$NK$34+--($NJ35)</f>
        <v/>
      </c>
      <c r="NL35">
        <f>IF(ROW()-3&gt;MAX($NK$4:$NK$40),"",INDEX($CG$4:$CG$40,MATCH(ROW()-3,$NK$4:$NK$40,0)))</f>
        <v/>
      </c>
      <c r="NM35">
        <f>IF(COUNTIF('Buyer Groups'!DG88:DU88,0)+COUNTIF('Buyer Groups'!DW88:EN88,0)&gt;0,0,1)</f>
        <v/>
      </c>
      <c r="NN35">
        <f>IF($CL$35="",FALSE,SUMPRODUCT(('Final Calculation Sheet'!$P$4:$P$40=$CL$35)*($NM$6:$NM$42=1))&gt;0)</f>
        <v/>
      </c>
      <c r="NO35">
        <f>$NO$34+--($NN35)</f>
        <v/>
      </c>
      <c r="NP35">
        <f>IF(ROW()-3&gt;MAX($NO$4:$NO$40),"",INDEX($CL$4:$CL$40,MATCH(ROW()-3,$NO$4:$NO$40,0)))</f>
        <v/>
      </c>
      <c r="NQ35">
        <f>IF(COUNTIF('Buyer Groups'!DG88:DV88,0)+COUNTIF('Buyer Groups'!DX88:EN88,0)&gt;0,0,1)</f>
        <v/>
      </c>
      <c r="NR35">
        <f>IF($CQ$35="",FALSE,SUMPRODUCT(('Final Calculation Sheet'!$Q$4:$Q$40=$CQ$35)*($NQ$6:$NQ$42=1))&gt;0)</f>
        <v/>
      </c>
      <c r="NS35">
        <f>$NS$34+--($NR35)</f>
        <v/>
      </c>
      <c r="NT35">
        <f>IF(ROW()-3&gt;MAX($NS$4:$NS$40),"",INDEX($CQ$4:$CQ$40,MATCH(ROW()-3,$NS$4:$NS$40,0)))</f>
        <v/>
      </c>
      <c r="NU35">
        <f>IF(COUNTIF('Buyer Groups'!DG88:DW88,0)+COUNTIF('Buyer Groups'!DY88:EN88,0)&gt;0,0,1)</f>
        <v/>
      </c>
      <c r="NV35">
        <f>IF($CV$35="",FALSE,SUMPRODUCT(('Final Calculation Sheet'!$R$4:$R$40=$CV$35)*($NU$6:$NU$42=1))&gt;0)</f>
        <v/>
      </c>
      <c r="NW35">
        <f>$NW$34+--($NV35)</f>
        <v/>
      </c>
      <c r="NX35">
        <f>IF(ROW()-3&gt;MAX($NW$4:$NW$40),"",INDEX($CV$4:$CV$40,MATCH(ROW()-3,$NW$4:$NW$40,0)))</f>
        <v/>
      </c>
      <c r="NY35">
        <f>IF(COUNTIF('Buyer Groups'!DG88:DX88,0)+COUNTIF('Buyer Groups'!DZ88:EN88,0)&gt;0,0,1)</f>
        <v/>
      </c>
      <c r="NZ35">
        <f>IF($DA$35="",FALSE,SUMPRODUCT(('Final Calculation Sheet'!$S$4:$S$40=$DA$35)*($NY$6:$NY$42=1))&gt;0)</f>
        <v/>
      </c>
      <c r="OA35">
        <f>$OA$34+--($NZ35)</f>
        <v/>
      </c>
      <c r="OB35">
        <f>IF(ROW()-3&gt;MAX($OA$4:$OA$40),"",INDEX($DA$4:$DA$40,MATCH(ROW()-3,$OA$4:$OA$40,0)))</f>
        <v/>
      </c>
      <c r="OC35">
        <f>IF(COUNTIF('Buyer Groups'!DG88:DY88,0)+COUNTIF('Buyer Groups'!EA88:EN88,0)&gt;0,0,1)</f>
        <v/>
      </c>
      <c r="OD35">
        <f>IF($DF$35="",FALSE,SUMPRODUCT(('Final Calculation Sheet'!$T$4:$T$40=$DF$35)*($OC$6:$OC$42=1))&gt;0)</f>
        <v/>
      </c>
      <c r="OE35">
        <f>$OE$34+--($OD35)</f>
        <v/>
      </c>
      <c r="OF35">
        <f>IF(ROW()-3&gt;MAX($OE$4:$OE$40),"",INDEX($DF$4:$DF$40,MATCH(ROW()-3,$OE$4:$OE$40,0)))</f>
        <v/>
      </c>
      <c r="OG35">
        <f>IF(COUNTIF('Buyer Groups'!DG88:DZ88,0)+COUNTIF('Buyer Groups'!EB88:EN88,0)&gt;0,0,1)</f>
        <v/>
      </c>
      <c r="OH35">
        <f>IF($DK$35="",FALSE,SUMPRODUCT(('Final Calculation Sheet'!$U$4:$U$40=$DK$35)*($OG$6:$OG$42=1))&gt;0)</f>
        <v/>
      </c>
      <c r="OI35">
        <f>$OI$34+--($OH35)</f>
        <v/>
      </c>
      <c r="OJ35">
        <f>IF(ROW()-3&gt;MAX($OI$4:$OI$40),"",INDEX($DK$4:$DK$40,MATCH(ROW()-3,$OI$4:$OI$40,0)))</f>
        <v/>
      </c>
      <c r="OK35">
        <f>IF(COUNTIF('Buyer Groups'!DG88:EA88,0)+COUNTIF('Buyer Groups'!EC88:EN88,0)&gt;0,0,1)</f>
        <v/>
      </c>
      <c r="OL35">
        <f>IF($DP$35="",FALSE,SUMPRODUCT(('Final Calculation Sheet'!$V$4:$V$40=$DP$35)*($OK$6:$OK$42=1))&gt;0)</f>
        <v/>
      </c>
      <c r="OM35">
        <f>$OM$34+--($OL35)</f>
        <v/>
      </c>
      <c r="ON35">
        <f>IF(ROW()-3&gt;MAX($OM$4:$OM$40),"",INDEX($DP$4:$DP$40,MATCH(ROW()-3,$OM$4:$OM$40,0)))</f>
        <v/>
      </c>
      <c r="OO35">
        <f>IF(COUNTIF('Buyer Groups'!DG88:EB88,0)+COUNTIF('Buyer Groups'!ED88:EN88,0)&gt;0,0,1)</f>
        <v/>
      </c>
      <c r="OP35">
        <f>IF($DU$35="",FALSE,SUMPRODUCT(('Final Calculation Sheet'!$W$4:$W$40=$DU$35)*($OO$6:$OO$42=1))&gt;0)</f>
        <v/>
      </c>
      <c r="OQ35">
        <f>$OQ$34+--($OP35)</f>
        <v/>
      </c>
      <c r="OR35">
        <f>IF(ROW()-3&gt;MAX($OQ$4:$OQ$40),"",INDEX($DU$4:$DU$40,MATCH(ROW()-3,$OQ$4:$OQ$40,0)))</f>
        <v/>
      </c>
      <c r="OS35">
        <f>IF(COUNTIF('Buyer Groups'!DG88:EC88,0)+COUNTIF('Buyer Groups'!EE88:EN88,0)&gt;0,0,1)</f>
        <v/>
      </c>
      <c r="OT35">
        <f>IF($DZ$35="",FALSE,SUMPRODUCT(('Final Calculation Sheet'!$X$4:$X$40=$DZ$35)*($OS$6:$OS$42=1))&gt;0)</f>
        <v/>
      </c>
      <c r="OU35">
        <f>$OU$34+--($OT35)</f>
        <v/>
      </c>
      <c r="OV35">
        <f>IF(ROW()-3&gt;MAX($OU$4:$OU$40),"",INDEX($DZ$4:$DZ$40,MATCH(ROW()-3,$OU$4:$OU$40,0)))</f>
        <v/>
      </c>
      <c r="OW35">
        <f>IF(COUNTIF('Buyer Groups'!DG88:ED88,0)+COUNTIF('Buyer Groups'!EF88:EN88,0)&gt;0,0,1)</f>
        <v/>
      </c>
      <c r="OX35">
        <f>IF($EE$35="",FALSE,SUMPRODUCT(('Final Calculation Sheet'!$Y$4:$Y$40=$EE$35)*($OW$6:$OW$42=1))&gt;0)</f>
        <v/>
      </c>
      <c r="OY35">
        <f>$OY$34+--($OX35)</f>
        <v/>
      </c>
      <c r="OZ35">
        <f>IF(ROW()-3&gt;MAX($OY$4:$OY$40),"",INDEX($EE$4:$EE$40,MATCH(ROW()-3,$OY$4:$OY$40,0)))</f>
        <v/>
      </c>
      <c r="PA35">
        <f>IF(COUNTIF('Buyer Groups'!DG88:EE88,0)+COUNTIF('Buyer Groups'!EG88:EN88,0)&gt;0,0,1)</f>
        <v/>
      </c>
      <c r="PB35">
        <f>IF($EJ$35="",FALSE,SUMPRODUCT(('Final Calculation Sheet'!$Z$4:$Z$40=$EJ$35)*($PA$6:$PA$42=1))&gt;0)</f>
        <v/>
      </c>
      <c r="PC35">
        <f>$PC$34+--($PB35)</f>
        <v/>
      </c>
      <c r="PD35">
        <f>IF(ROW()-3&gt;MAX($PC$4:$PC$40),"",INDEX($EJ$4:$EJ$40,MATCH(ROW()-3,$PC$4:$PC$40,0)))</f>
        <v/>
      </c>
      <c r="PE35">
        <f>IF(COUNTIF('Buyer Groups'!DG88:EF88,0)+COUNTIF('Buyer Groups'!EH88:EN88,0)&gt;0,0,1)</f>
        <v/>
      </c>
      <c r="PF35">
        <f>IF($EO$35="",FALSE,SUMPRODUCT(('Final Calculation Sheet'!$AA$4:$AA$40=$EO$35)*($PE$6:$PE$42=1))&gt;0)</f>
        <v/>
      </c>
      <c r="PG35">
        <f>$PG$34+--($PF35)</f>
        <v/>
      </c>
      <c r="PH35">
        <f>IF(ROW()-3&gt;MAX($PG$4:$PG$40),"",INDEX($EO$4:$EO$40,MATCH(ROW()-3,$PG$4:$PG$40,0)))</f>
        <v/>
      </c>
      <c r="PI35">
        <f>IF(COUNTIF('Buyer Groups'!DG88:EG88,0)+COUNTIF('Buyer Groups'!EI88:EN88,0)&gt;0,0,1)</f>
        <v/>
      </c>
      <c r="PJ35">
        <f>IF($ET$35="",FALSE,SUMPRODUCT(('Final Calculation Sheet'!$AB$4:$AB$40=$ET$35)*($PI$6:$PI$42=1))&gt;0)</f>
        <v/>
      </c>
      <c r="PK35">
        <f>$PK$34+--($PJ35)</f>
        <v/>
      </c>
      <c r="PL35">
        <f>IF(ROW()-3&gt;MAX($PK$4:$PK$40),"",INDEX($ET$4:$ET$40,MATCH(ROW()-3,$PK$4:$PK$40,0)))</f>
        <v/>
      </c>
      <c r="PM35">
        <f>IF(COUNTIF('Buyer Groups'!DG88:EH88,0)+COUNTIF('Buyer Groups'!EJ88:EN88,0)&gt;0,0,1)</f>
        <v/>
      </c>
      <c r="PN35">
        <f>IF($EY$35="",FALSE,SUMPRODUCT(('Final Calculation Sheet'!$AC$4:$AC$40=$EY$35)*($PM$6:$PM$42=1))&gt;0)</f>
        <v/>
      </c>
      <c r="PO35">
        <f>$PO$34+--($PN35)</f>
        <v/>
      </c>
      <c r="PP35">
        <f>IF(ROW()-3&gt;MAX($PO$4:$PO$40),"",INDEX($EY$4:$EY$40,MATCH(ROW()-3,$PO$4:$PO$40,0)))</f>
        <v/>
      </c>
      <c r="PQ35">
        <f>IF(COUNTIF('Buyer Groups'!DG88:EI88,0)+COUNTIF('Buyer Groups'!EK88:EN88,0)&gt;0,0,1)</f>
        <v/>
      </c>
      <c r="PR35">
        <f>IF($FD$35="",FALSE,SUMPRODUCT(('Final Calculation Sheet'!$AD$4:$AD$40=$FD$35)*($PQ$6:$PQ$42=1))&gt;0)</f>
        <v/>
      </c>
      <c r="PS35">
        <f>$PS$34+--($PR35)</f>
        <v/>
      </c>
      <c r="PT35">
        <f>IF(ROW()-3&gt;MAX($PS$4:$PS$40),"",INDEX($FD$4:$FD$40,MATCH(ROW()-3,$PS$4:$PS$40,0)))</f>
        <v/>
      </c>
      <c r="PU35">
        <f>IF(COUNTIF('Buyer Groups'!DG88:EJ88,0)+COUNTIF('Buyer Groups'!EL88:EN88,0)&gt;0,0,1)</f>
        <v/>
      </c>
      <c r="PV35">
        <f>IF($FX$35="",FALSE,SUMPRODUCT((IF('Final Calculation Sheet'!$AD$4:$AD$40&lt;=5,"SETTLED","OUTSTANDING")=$FX$35)*($PU$6:$PU$42=1))&gt;0)</f>
        <v/>
      </c>
      <c r="PW35">
        <f>$PW$34+--($PV35)</f>
        <v/>
      </c>
      <c r="PX35">
        <f>IF(ROW()-3&gt;MAX($PW$4:$PW$40),"",INDEX($FX$4:$FX$40,MATCH(ROW()-3,$PW$4:$PW$40,0)))</f>
        <v/>
      </c>
      <c r="PY35">
        <f>IF(COUNTIF('Buyer Groups'!DG88:EK88,0)+COUNTIF('Buyer Groups'!EM88:EN88,0)&gt;0,0,1)</f>
        <v/>
      </c>
      <c r="PZ35">
        <f>IF($FI$35="",FALSE,SUMPRODUCT(('Final Calculation Sheet'!$AF$4:$AF$40=$FI$35)*($PY$6:$PY$42=1))&gt;0)</f>
        <v/>
      </c>
      <c r="QA35">
        <f>$QA$34+--($PZ35)</f>
        <v/>
      </c>
      <c r="QB35">
        <f>IF(ROW()-3&gt;MAX($QA$4:$QA$40),"",INDEX($FI$4:$FI$40,MATCH(ROW()-3,$QA$4:$QA$40,0)))</f>
        <v/>
      </c>
      <c r="QC35">
        <f>IF(COUNTIF('Buyer Groups'!DG88:EL88,0)+COUNTIF('Buyer Groups'!EN88:EN88,0)&gt;0,0,1)</f>
        <v/>
      </c>
      <c r="QD35">
        <f>IF($FN$35="",FALSE,SUMPRODUCT(('Final Calculation Sheet'!$AG$4:$AG$40=$FN$35)*($QC$6:$QC$42=1))&gt;0)</f>
        <v/>
      </c>
      <c r="QE35">
        <f>$QE$34+--($QD35)</f>
        <v/>
      </c>
      <c r="QF35">
        <f>IF(ROW()-3&gt;MAX($QE$4:$QE$40),"",INDEX($FN$4:$FN$40,MATCH(ROW()-3,$QE$4:$QE$40,0)))</f>
        <v/>
      </c>
      <c r="QG35">
        <f>IF(COUNTIF('Buyer Groups'!DG88:EM88,0)&gt;0,0,1)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IF(IFERROR('Final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IF(IFERROR('Final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Groups'!DH89:EN89,0)&gt;0,0,1)</f>
        <v/>
      </c>
      <c r="LF36">
        <f>IF($O$36="",FALSE,SUMPRODUCT(('Final Calculation Sheet'!$F$4:$F$40=$O$36)*($LE$6:$LE$42=1))&gt;0)</f>
        <v/>
      </c>
      <c r="LG36">
        <f>$LG$35+--($LF36)</f>
        <v/>
      </c>
      <c r="LH36">
        <f>IF(ROW()-3&gt;MAX($LG$4:$LG$40),"",INDEX($O$4:$O$40,MATCH(ROW()-3,$LG$4:$LG$40,0)))</f>
        <v/>
      </c>
      <c r="LI36">
        <f>IF(COUNTIF('Buyer Groups'!DG89:DG89,0)+COUNTIF('Buyer Groups'!DI89:EN89,0)&gt;0,0,1)</f>
        <v/>
      </c>
      <c r="LJ36">
        <f>IF($T$36="",FALSE,SUMPRODUCT(('Final Calculation Sheet'!$G$4:$G$40=$T$36)*($LI$6:$LI$42=1))&gt;0)</f>
        <v/>
      </c>
      <c r="LK36">
        <f>$LK$35+--($LJ36)</f>
        <v/>
      </c>
      <c r="LL36">
        <f>IF(ROW()-3&gt;MAX($LK$4:$LK$40),"",INDEX($T$4:$T$40,MATCH(ROW()-3,$LK$4:$LK$40,0)))</f>
        <v/>
      </c>
      <c r="LM36">
        <f>IF(COUNTIF('Buyer Groups'!DG89:DH89,0)+COUNTIF('Buyer Groups'!DJ89:EN89,0)&gt;0,0,1)</f>
        <v/>
      </c>
      <c r="LN36">
        <f>IF($Y$36="",FALSE,SUMPRODUCT(('Final Calculation Sheet'!$B$4:$B$40=$Y$36)*($LM$6:$LM$42=1))&gt;0)</f>
        <v/>
      </c>
      <c r="LO36">
        <f>$LO$35+--($LN36)</f>
        <v/>
      </c>
      <c r="LP36">
        <f>IF(ROW()-3&gt;MAX($LO$4:$LO$40),"",INDEX($Y$4:$Y$40,MATCH(ROW()-3,$LO$4:$LO$40,0)))</f>
        <v/>
      </c>
      <c r="LQ36">
        <f>IF(COUNTIF('Buyer Groups'!DG89:DI89,0)+COUNTIF('Buyer Groups'!DK89:EN89,0)&gt;0,0,1)</f>
        <v/>
      </c>
      <c r="LR36">
        <f>IF($AD$36="",FALSE,SUMPRODUCT(('Final Calculation Sheet'!$D$4:$D$40=$AD$36)*($LQ$6:$LQ$42=1))&gt;0)</f>
        <v/>
      </c>
      <c r="LS36">
        <f>$LS$35+--($LR36)</f>
        <v/>
      </c>
      <c r="LT36">
        <f>IF(ROW()-3&gt;MAX($LS$4:$LS$40),"",INDEX($AD$4:$AD$40,MATCH(ROW()-3,$LS$4:$LS$40,0)))</f>
        <v/>
      </c>
      <c r="LU36">
        <f>IF(COUNTIF('Buyer Groups'!DG89:DJ89,0)+COUNTIF('Buyer Groups'!DL89:EN89,0)&gt;0,0,1)</f>
        <v/>
      </c>
      <c r="LV36">
        <f>IF($AI$36="",FALSE,SUMPRODUCT(('Final Calculation Sheet'!$A$4:$A$40=$AI$36)*($LU$6:$LU$42=1))&gt;0)</f>
        <v/>
      </c>
      <c r="LW36">
        <f>$LW$35+--($LV36)</f>
        <v/>
      </c>
      <c r="LX36">
        <f>IF(ROW()-3&gt;MAX($LW$4:$LW$40),"",INDEX($AI$4:$AI$40,MATCH(ROW()-3,$LW$4:$LW$40,0)))</f>
        <v/>
      </c>
      <c r="LY36">
        <f>IF(COUNTIF('Buyer Groups'!DG89:DK89,0)+COUNTIF('Buyer Groups'!DM89:EN89,0)&gt;0,0,1)</f>
        <v/>
      </c>
      <c r="LZ36">
        <f>IF($AN$36="",FALSE,SUMPRODUCT(('Final Calculation Sheet'!$E$4:$E$40=$AN$36)*($LY$6:$LY$42=1))&gt;0)</f>
        <v/>
      </c>
      <c r="MA36">
        <f>$MA$35+--($LZ36)</f>
        <v/>
      </c>
      <c r="MB36">
        <f>IF(ROW()-3&gt;MAX($MA$4:$MA$40),"",INDEX($AN$4:$AN$40,MATCH(ROW()-3,$MA$4:$MA$40,0)))</f>
        <v/>
      </c>
      <c r="MC36">
        <f>IF(COUNTIF('Buyer Groups'!DG89:DL89,0)+COUNTIF('Buyer Groups'!DN89:EN89,0)&gt;0,0,1)</f>
        <v/>
      </c>
      <c r="MD36">
        <f>IF($AS$36="",FALSE,SUMPRODUCT(('Final Calculation Sheet'!$C$4:$C$40=$AS$36)*($MC$6:$MC$42=1))&gt;0)</f>
        <v/>
      </c>
      <c r="ME36">
        <f>$ME$35+--($MD36)</f>
        <v/>
      </c>
      <c r="MF36">
        <f>IF(ROW()-3&gt;MAX($ME$4:$ME$40),"",INDEX($AS$4:$AS$40,MATCH(ROW()-3,$ME$4:$ME$40,0)))</f>
        <v/>
      </c>
      <c r="MG36">
        <f>IF(COUNTIF('Buyer Groups'!DG89:DM89,0)+COUNTIF('Buyer Groups'!DO89:EN89,0)&gt;0,0,1)</f>
        <v/>
      </c>
      <c r="MH36">
        <f>IF($AX$36="",FALSE,SUMPRODUCT(('Final Calculation Sheet'!$H$4:$H$40=$AX$36)*($MG$6:$MG$42=1))&gt;0)</f>
        <v/>
      </c>
      <c r="MI36">
        <f>$MI$35+--($MH36)</f>
        <v/>
      </c>
      <c r="MJ36">
        <f>IF(ROW()-3&gt;MAX($MI$4:$MI$40),"",INDEX($AX$4:$AX$40,MATCH(ROW()-3,$MI$4:$MI$40,0)))</f>
        <v/>
      </c>
      <c r="MK36">
        <f>IF(COUNTIF('Buyer Groups'!DG89:DN89,0)+COUNTIF('Buyer Groups'!DP89:EN89,0)&gt;0,0,1)</f>
        <v/>
      </c>
      <c r="ML36">
        <f>IF($BC$36="",FALSE,SUMPRODUCT(('Final Calculation Sheet'!$I$4:$I$40=$BC$36)*($MK$6:$MK$42=1))&gt;0)</f>
        <v/>
      </c>
      <c r="MM36">
        <f>$MM$35+--($ML36)</f>
        <v/>
      </c>
      <c r="MN36">
        <f>IF(ROW()-3&gt;MAX($MM$4:$MM$40),"",INDEX($BC$4:$BC$40,MATCH(ROW()-3,$MM$4:$MM$40,0)))</f>
        <v/>
      </c>
      <c r="MO36">
        <f>IF(COUNTIF('Buyer Groups'!DG89:DO89,0)+COUNTIF('Buyer Groups'!DQ89:EN89,0)&gt;0,0,1)</f>
        <v/>
      </c>
      <c r="MP36">
        <f>IF($BH$36="",FALSE,SUMPRODUCT(('Final Calculation Sheet'!$J$4:$J$40=$BH$36)*($MO$6:$MO$42=1))&gt;0)</f>
        <v/>
      </c>
      <c r="MQ36">
        <f>$MQ$35+--($MP36)</f>
        <v/>
      </c>
      <c r="MR36">
        <f>IF(ROW()-3&gt;MAX($MQ$4:$MQ$40),"",INDEX($BH$4:$BH$40,MATCH(ROW()-3,$MQ$4:$MQ$40,0)))</f>
        <v/>
      </c>
      <c r="MS36">
        <f>IF(COUNTIF('Buyer Groups'!DG89:DP89,0)+COUNTIF('Buyer Groups'!DR89:EN89,0)&gt;0,0,1)</f>
        <v/>
      </c>
      <c r="MT36">
        <f>IF($BM$36="",FALSE,SUMPRODUCT(('Final Calculation Sheet'!$K$4:$K$40=$BM$36)*($MS$6:$MS$42=1))&gt;0)</f>
        <v/>
      </c>
      <c r="MU36">
        <f>$MU$35+--($MT36)</f>
        <v/>
      </c>
      <c r="MV36">
        <f>IF(ROW()-3&gt;MAX($MU$4:$MU$40),"",INDEX($BM$4:$BM$40,MATCH(ROW()-3,$MU$4:$MU$40,0)))</f>
        <v/>
      </c>
      <c r="MW36">
        <f>IF(COUNTIF('Buyer Groups'!DG89:DQ89,0)+COUNTIF('Buyer Groups'!DS89:EN89,0)&gt;0,0,1)</f>
        <v/>
      </c>
      <c r="MX36">
        <f>IF($BR$36="",FALSE,SUMPRODUCT(('Final Calculation Sheet'!$L$4:$L$40=$BR$36)*($MW$6:$MW$42=1))&gt;0)</f>
        <v/>
      </c>
      <c r="MY36">
        <f>$MY$35+--($MX36)</f>
        <v/>
      </c>
      <c r="MZ36">
        <f>IF(ROW()-3&gt;MAX($MY$4:$MY$40),"",INDEX($BR$4:$BR$40,MATCH(ROW()-3,$MY$4:$MY$40,0)))</f>
        <v/>
      </c>
      <c r="NA36">
        <f>IF(COUNTIF('Buyer Groups'!DG89:DR89,0)+COUNTIF('Buyer Groups'!DT89:EN89,0)&gt;0,0,1)</f>
        <v/>
      </c>
      <c r="NB36">
        <f>IF($BW$36="",FALSE,SUMPRODUCT(('Final Calculation Sheet'!$M$4:$M$40=$BW$36)*($NA$6:$NA$42=1))&gt;0)</f>
        <v/>
      </c>
      <c r="NC36">
        <f>$NC$35+--($NB36)</f>
        <v/>
      </c>
      <c r="ND36">
        <f>IF(ROW()-3&gt;MAX($NC$4:$NC$40),"",INDEX($BW$4:$BW$40,MATCH(ROW()-3,$NC$4:$NC$40,0)))</f>
        <v/>
      </c>
      <c r="NE36">
        <f>IF(COUNTIF('Buyer Groups'!DG89:DS89,0)+COUNTIF('Buyer Groups'!DU89:EN89,0)&gt;0,0,1)</f>
        <v/>
      </c>
      <c r="NF36">
        <f>IF($CB$36="",FALSE,SUMPRODUCT(('Final Calculation Sheet'!$N$4:$N$40=$CB$36)*($NE$6:$NE$42=1))&gt;0)</f>
        <v/>
      </c>
      <c r="NG36">
        <f>$NG$35+--($NF36)</f>
        <v/>
      </c>
      <c r="NH36">
        <f>IF(ROW()-3&gt;MAX($NG$4:$NG$40),"",INDEX($CB$4:$CB$40,MATCH(ROW()-3,$NG$4:$NG$40,0)))</f>
        <v/>
      </c>
      <c r="NI36">
        <f>IF(COUNTIF('Buyer Groups'!DG89:DT89,0)+COUNTIF('Buyer Groups'!DV89:EN89,0)&gt;0,0,1)</f>
        <v/>
      </c>
      <c r="NJ36">
        <f>IF($CG$36="",FALSE,SUMPRODUCT(('Final Calculation Sheet'!$O$4:$O$40=$CG$36)*($NI$6:$NI$42=1))&gt;0)</f>
        <v/>
      </c>
      <c r="NK36">
        <f>$NK$35+--($NJ36)</f>
        <v/>
      </c>
      <c r="NL36">
        <f>IF(ROW()-3&gt;MAX($NK$4:$NK$40),"",INDEX($CG$4:$CG$40,MATCH(ROW()-3,$NK$4:$NK$40,0)))</f>
        <v/>
      </c>
      <c r="NM36">
        <f>IF(COUNTIF('Buyer Groups'!DG89:DU89,0)+COUNTIF('Buyer Groups'!DW89:EN89,0)&gt;0,0,1)</f>
        <v/>
      </c>
      <c r="NN36">
        <f>IF($CL$36="",FALSE,SUMPRODUCT(('Final Calculation Sheet'!$P$4:$P$40=$CL$36)*($NM$6:$NM$42=1))&gt;0)</f>
        <v/>
      </c>
      <c r="NO36">
        <f>$NO$35+--($NN36)</f>
        <v/>
      </c>
      <c r="NP36">
        <f>IF(ROW()-3&gt;MAX($NO$4:$NO$40),"",INDEX($CL$4:$CL$40,MATCH(ROW()-3,$NO$4:$NO$40,0)))</f>
        <v/>
      </c>
      <c r="NQ36">
        <f>IF(COUNTIF('Buyer Groups'!DG89:DV89,0)+COUNTIF('Buyer Groups'!DX89:EN89,0)&gt;0,0,1)</f>
        <v/>
      </c>
      <c r="NR36">
        <f>IF($CQ$36="",FALSE,SUMPRODUCT(('Final Calculation Sheet'!$Q$4:$Q$40=$CQ$36)*($NQ$6:$NQ$42=1))&gt;0)</f>
        <v/>
      </c>
      <c r="NS36">
        <f>$NS$35+--($NR36)</f>
        <v/>
      </c>
      <c r="NT36">
        <f>IF(ROW()-3&gt;MAX($NS$4:$NS$40),"",INDEX($CQ$4:$CQ$40,MATCH(ROW()-3,$NS$4:$NS$40,0)))</f>
        <v/>
      </c>
      <c r="NU36">
        <f>IF(COUNTIF('Buyer Groups'!DG89:DW89,0)+COUNTIF('Buyer Groups'!DY89:EN89,0)&gt;0,0,1)</f>
        <v/>
      </c>
      <c r="NV36">
        <f>IF($CV$36="",FALSE,SUMPRODUCT(('Final Calculation Sheet'!$R$4:$R$40=$CV$36)*($NU$6:$NU$42=1))&gt;0)</f>
        <v/>
      </c>
      <c r="NW36">
        <f>$NW$35+--($NV36)</f>
        <v/>
      </c>
      <c r="NX36">
        <f>IF(ROW()-3&gt;MAX($NW$4:$NW$40),"",INDEX($CV$4:$CV$40,MATCH(ROW()-3,$NW$4:$NW$40,0)))</f>
        <v/>
      </c>
      <c r="NY36">
        <f>IF(COUNTIF('Buyer Groups'!DG89:DX89,0)+COUNTIF('Buyer Groups'!DZ89:EN89,0)&gt;0,0,1)</f>
        <v/>
      </c>
      <c r="NZ36">
        <f>IF($DA$36="",FALSE,SUMPRODUCT(('Final Calculation Sheet'!$S$4:$S$40=$DA$36)*($NY$6:$NY$42=1))&gt;0)</f>
        <v/>
      </c>
      <c r="OA36">
        <f>$OA$35+--($NZ36)</f>
        <v/>
      </c>
      <c r="OB36">
        <f>IF(ROW()-3&gt;MAX($OA$4:$OA$40),"",INDEX($DA$4:$DA$40,MATCH(ROW()-3,$OA$4:$OA$40,0)))</f>
        <v/>
      </c>
      <c r="OC36">
        <f>IF(COUNTIF('Buyer Groups'!DG89:DY89,0)+COUNTIF('Buyer Groups'!EA89:EN89,0)&gt;0,0,1)</f>
        <v/>
      </c>
      <c r="OD36">
        <f>IF($DF$36="",FALSE,SUMPRODUCT(('Final Calculation Sheet'!$T$4:$T$40=$DF$36)*($OC$6:$OC$42=1))&gt;0)</f>
        <v/>
      </c>
      <c r="OE36">
        <f>$OE$35+--($OD36)</f>
        <v/>
      </c>
      <c r="OF36">
        <f>IF(ROW()-3&gt;MAX($OE$4:$OE$40),"",INDEX($DF$4:$DF$40,MATCH(ROW()-3,$OE$4:$OE$40,0)))</f>
        <v/>
      </c>
      <c r="OG36">
        <f>IF(COUNTIF('Buyer Groups'!DG89:DZ89,0)+COUNTIF('Buyer Groups'!EB89:EN89,0)&gt;0,0,1)</f>
        <v/>
      </c>
      <c r="OH36">
        <f>IF($DK$36="",FALSE,SUMPRODUCT(('Final Calculation Sheet'!$U$4:$U$40=$DK$36)*($OG$6:$OG$42=1))&gt;0)</f>
        <v/>
      </c>
      <c r="OI36">
        <f>$OI$35+--($OH36)</f>
        <v/>
      </c>
      <c r="OJ36">
        <f>IF(ROW()-3&gt;MAX($OI$4:$OI$40),"",INDEX($DK$4:$DK$40,MATCH(ROW()-3,$OI$4:$OI$40,0)))</f>
        <v/>
      </c>
      <c r="OK36">
        <f>IF(COUNTIF('Buyer Groups'!DG89:EA89,0)+COUNTIF('Buyer Groups'!EC89:EN89,0)&gt;0,0,1)</f>
        <v/>
      </c>
      <c r="OL36">
        <f>IF($DP$36="",FALSE,SUMPRODUCT(('Final Calculation Sheet'!$V$4:$V$40=$DP$36)*($OK$6:$OK$42=1))&gt;0)</f>
        <v/>
      </c>
      <c r="OM36">
        <f>$OM$35+--($OL36)</f>
        <v/>
      </c>
      <c r="ON36">
        <f>IF(ROW()-3&gt;MAX($OM$4:$OM$40),"",INDEX($DP$4:$DP$40,MATCH(ROW()-3,$OM$4:$OM$40,0)))</f>
        <v/>
      </c>
      <c r="OO36">
        <f>IF(COUNTIF('Buyer Groups'!DG89:EB89,0)+COUNTIF('Buyer Groups'!ED89:EN89,0)&gt;0,0,1)</f>
        <v/>
      </c>
      <c r="OP36">
        <f>IF($DU$36="",FALSE,SUMPRODUCT(('Final Calculation Sheet'!$W$4:$W$40=$DU$36)*($OO$6:$OO$42=1))&gt;0)</f>
        <v/>
      </c>
      <c r="OQ36">
        <f>$OQ$35+--($OP36)</f>
        <v/>
      </c>
      <c r="OR36">
        <f>IF(ROW()-3&gt;MAX($OQ$4:$OQ$40),"",INDEX($DU$4:$DU$40,MATCH(ROW()-3,$OQ$4:$OQ$40,0)))</f>
        <v/>
      </c>
      <c r="OS36">
        <f>IF(COUNTIF('Buyer Groups'!DG89:EC89,0)+COUNTIF('Buyer Groups'!EE89:EN89,0)&gt;0,0,1)</f>
        <v/>
      </c>
      <c r="OT36">
        <f>IF($DZ$36="",FALSE,SUMPRODUCT(('Final Calculation Sheet'!$X$4:$X$40=$DZ$36)*($OS$6:$OS$42=1))&gt;0)</f>
        <v/>
      </c>
      <c r="OU36">
        <f>$OU$35+--($OT36)</f>
        <v/>
      </c>
      <c r="OV36">
        <f>IF(ROW()-3&gt;MAX($OU$4:$OU$40),"",INDEX($DZ$4:$DZ$40,MATCH(ROW()-3,$OU$4:$OU$40,0)))</f>
        <v/>
      </c>
      <c r="OW36">
        <f>IF(COUNTIF('Buyer Groups'!DG89:ED89,0)+COUNTIF('Buyer Groups'!EF89:EN89,0)&gt;0,0,1)</f>
        <v/>
      </c>
      <c r="OX36">
        <f>IF($EE$36="",FALSE,SUMPRODUCT(('Final Calculation Sheet'!$Y$4:$Y$40=$EE$36)*($OW$6:$OW$42=1))&gt;0)</f>
        <v/>
      </c>
      <c r="OY36">
        <f>$OY$35+--($OX36)</f>
        <v/>
      </c>
      <c r="OZ36">
        <f>IF(ROW()-3&gt;MAX($OY$4:$OY$40),"",INDEX($EE$4:$EE$40,MATCH(ROW()-3,$OY$4:$OY$40,0)))</f>
        <v/>
      </c>
      <c r="PA36">
        <f>IF(COUNTIF('Buyer Groups'!DG89:EE89,0)+COUNTIF('Buyer Groups'!EG89:EN89,0)&gt;0,0,1)</f>
        <v/>
      </c>
      <c r="PB36">
        <f>IF($EJ$36="",FALSE,SUMPRODUCT(('Final Calculation Sheet'!$Z$4:$Z$40=$EJ$36)*($PA$6:$PA$42=1))&gt;0)</f>
        <v/>
      </c>
      <c r="PC36">
        <f>$PC$35+--($PB36)</f>
        <v/>
      </c>
      <c r="PD36">
        <f>IF(ROW()-3&gt;MAX($PC$4:$PC$40),"",INDEX($EJ$4:$EJ$40,MATCH(ROW()-3,$PC$4:$PC$40,0)))</f>
        <v/>
      </c>
      <c r="PE36">
        <f>IF(COUNTIF('Buyer Groups'!DG89:EF89,0)+COUNTIF('Buyer Groups'!EH89:EN89,0)&gt;0,0,1)</f>
        <v/>
      </c>
      <c r="PF36">
        <f>IF($EO$36="",FALSE,SUMPRODUCT(('Final Calculation Sheet'!$AA$4:$AA$40=$EO$36)*($PE$6:$PE$42=1))&gt;0)</f>
        <v/>
      </c>
      <c r="PG36">
        <f>$PG$35+--($PF36)</f>
        <v/>
      </c>
      <c r="PH36">
        <f>IF(ROW()-3&gt;MAX($PG$4:$PG$40),"",INDEX($EO$4:$EO$40,MATCH(ROW()-3,$PG$4:$PG$40,0)))</f>
        <v/>
      </c>
      <c r="PI36">
        <f>IF(COUNTIF('Buyer Groups'!DG89:EG89,0)+COUNTIF('Buyer Groups'!EI89:EN89,0)&gt;0,0,1)</f>
        <v/>
      </c>
      <c r="PJ36">
        <f>IF($ET$36="",FALSE,SUMPRODUCT(('Final Calculation Sheet'!$AB$4:$AB$40=$ET$36)*($PI$6:$PI$42=1))&gt;0)</f>
        <v/>
      </c>
      <c r="PK36">
        <f>$PK$35+--($PJ36)</f>
        <v/>
      </c>
      <c r="PL36">
        <f>IF(ROW()-3&gt;MAX($PK$4:$PK$40),"",INDEX($ET$4:$ET$40,MATCH(ROW()-3,$PK$4:$PK$40,0)))</f>
        <v/>
      </c>
      <c r="PM36">
        <f>IF(COUNTIF('Buyer Groups'!DG89:EH89,0)+COUNTIF('Buyer Groups'!EJ89:EN89,0)&gt;0,0,1)</f>
        <v/>
      </c>
      <c r="PN36">
        <f>IF($EY$36="",FALSE,SUMPRODUCT(('Final Calculation Sheet'!$AC$4:$AC$40=$EY$36)*($PM$6:$PM$42=1))&gt;0)</f>
        <v/>
      </c>
      <c r="PO36">
        <f>$PO$35+--($PN36)</f>
        <v/>
      </c>
      <c r="PP36">
        <f>IF(ROW()-3&gt;MAX($PO$4:$PO$40),"",INDEX($EY$4:$EY$40,MATCH(ROW()-3,$PO$4:$PO$40,0)))</f>
        <v/>
      </c>
      <c r="PQ36">
        <f>IF(COUNTIF('Buyer Groups'!DG89:EI89,0)+COUNTIF('Buyer Groups'!EK89:EN89,0)&gt;0,0,1)</f>
        <v/>
      </c>
      <c r="PR36">
        <f>IF($FD$36="",FALSE,SUMPRODUCT(('Final Calculation Sheet'!$AD$4:$AD$40=$FD$36)*($PQ$6:$PQ$42=1))&gt;0)</f>
        <v/>
      </c>
      <c r="PS36">
        <f>$PS$35+--($PR36)</f>
        <v/>
      </c>
      <c r="PT36">
        <f>IF(ROW()-3&gt;MAX($PS$4:$PS$40),"",INDEX($FD$4:$FD$40,MATCH(ROW()-3,$PS$4:$PS$40,0)))</f>
        <v/>
      </c>
      <c r="PU36">
        <f>IF(COUNTIF('Buyer Groups'!DG89:EJ89,0)+COUNTIF('Buyer Groups'!EL89:EN89,0)&gt;0,0,1)</f>
        <v/>
      </c>
      <c r="PV36">
        <f>IF($FX$36="",FALSE,SUMPRODUCT((IF('Final Calculation Sheet'!$AD$4:$AD$40&lt;=5,"SETTLED","OUTSTANDING")=$FX$36)*($PU$6:$PU$42=1))&gt;0)</f>
        <v/>
      </c>
      <c r="PW36">
        <f>$PW$35+--($PV36)</f>
        <v/>
      </c>
      <c r="PX36">
        <f>IF(ROW()-3&gt;MAX($PW$4:$PW$40),"",INDEX($FX$4:$FX$40,MATCH(ROW()-3,$PW$4:$PW$40,0)))</f>
        <v/>
      </c>
      <c r="PY36">
        <f>IF(COUNTIF('Buyer Groups'!DG89:EK89,0)+COUNTIF('Buyer Groups'!EM89:EN89,0)&gt;0,0,1)</f>
        <v/>
      </c>
      <c r="PZ36">
        <f>IF($FI$36="",FALSE,SUMPRODUCT(('Final Calculation Sheet'!$AF$4:$AF$40=$FI$36)*($PY$6:$PY$42=1))&gt;0)</f>
        <v/>
      </c>
      <c r="QA36">
        <f>$QA$35+--($PZ36)</f>
        <v/>
      </c>
      <c r="QB36">
        <f>IF(ROW()-3&gt;MAX($QA$4:$QA$40),"",INDEX($FI$4:$FI$40,MATCH(ROW()-3,$QA$4:$QA$40,0)))</f>
        <v/>
      </c>
      <c r="QC36">
        <f>IF(COUNTIF('Buyer Groups'!DG89:EL89,0)+COUNTIF('Buyer Groups'!EN89:EN89,0)&gt;0,0,1)</f>
        <v/>
      </c>
      <c r="QD36">
        <f>IF($FN$36="",FALSE,SUMPRODUCT(('Final Calculation Sheet'!$AG$4:$AG$40=$FN$36)*($QC$6:$QC$42=1))&gt;0)</f>
        <v/>
      </c>
      <c r="QE36">
        <f>$QE$35+--($QD36)</f>
        <v/>
      </c>
      <c r="QF36">
        <f>IF(ROW()-3&gt;MAX($QE$4:$QE$40),"",INDEX($FN$4:$FN$40,MATCH(ROW()-3,$QE$4:$QE$40,0)))</f>
        <v/>
      </c>
      <c r="QG36">
        <f>IF(COUNTIF('Buyer Groups'!DG89:EM89,0)&gt;0,0,1)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IF(IFERROR('Final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IF(IFERROR('Final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Groups'!DH90:EN90,0)&gt;0,0,1)</f>
        <v/>
      </c>
      <c r="LF37">
        <f>IF($O$37="",FALSE,SUMPRODUCT(('Final Calculation Sheet'!$F$4:$F$40=$O$37)*($LE$6:$LE$42=1))&gt;0)</f>
        <v/>
      </c>
      <c r="LG37">
        <f>$LG$36+--($LF37)</f>
        <v/>
      </c>
      <c r="LH37">
        <f>IF(ROW()-3&gt;MAX($LG$4:$LG$40),"",INDEX($O$4:$O$40,MATCH(ROW()-3,$LG$4:$LG$40,0)))</f>
        <v/>
      </c>
      <c r="LI37">
        <f>IF(COUNTIF('Buyer Groups'!DG90:DG90,0)+COUNTIF('Buyer Groups'!DI90:EN90,0)&gt;0,0,1)</f>
        <v/>
      </c>
      <c r="LJ37">
        <f>IF($T$37="",FALSE,SUMPRODUCT(('Final Calculation Sheet'!$G$4:$G$40=$T$37)*($LI$6:$LI$42=1))&gt;0)</f>
        <v/>
      </c>
      <c r="LK37">
        <f>$LK$36+--($LJ37)</f>
        <v/>
      </c>
      <c r="LL37">
        <f>IF(ROW()-3&gt;MAX($LK$4:$LK$40),"",INDEX($T$4:$T$40,MATCH(ROW()-3,$LK$4:$LK$40,0)))</f>
        <v/>
      </c>
      <c r="LM37">
        <f>IF(COUNTIF('Buyer Groups'!DG90:DH90,0)+COUNTIF('Buyer Groups'!DJ90:EN90,0)&gt;0,0,1)</f>
        <v/>
      </c>
      <c r="LN37">
        <f>IF($Y$37="",FALSE,SUMPRODUCT(('Final Calculation Sheet'!$B$4:$B$40=$Y$37)*($LM$6:$LM$42=1))&gt;0)</f>
        <v/>
      </c>
      <c r="LO37">
        <f>$LO$36+--($LN37)</f>
        <v/>
      </c>
      <c r="LP37">
        <f>IF(ROW()-3&gt;MAX($LO$4:$LO$40),"",INDEX($Y$4:$Y$40,MATCH(ROW()-3,$LO$4:$LO$40,0)))</f>
        <v/>
      </c>
      <c r="LQ37">
        <f>IF(COUNTIF('Buyer Groups'!DG90:DI90,0)+COUNTIF('Buyer Groups'!DK90:EN90,0)&gt;0,0,1)</f>
        <v/>
      </c>
      <c r="LR37">
        <f>IF($AD$37="",FALSE,SUMPRODUCT(('Final Calculation Sheet'!$D$4:$D$40=$AD$37)*($LQ$6:$LQ$42=1))&gt;0)</f>
        <v/>
      </c>
      <c r="LS37">
        <f>$LS$36+--($LR37)</f>
        <v/>
      </c>
      <c r="LT37">
        <f>IF(ROW()-3&gt;MAX($LS$4:$LS$40),"",INDEX($AD$4:$AD$40,MATCH(ROW()-3,$LS$4:$LS$40,0)))</f>
        <v/>
      </c>
      <c r="LU37">
        <f>IF(COUNTIF('Buyer Groups'!DG90:DJ90,0)+COUNTIF('Buyer Groups'!DL90:EN90,0)&gt;0,0,1)</f>
        <v/>
      </c>
      <c r="LV37">
        <f>IF($AI$37="",FALSE,SUMPRODUCT(('Final Calculation Sheet'!$A$4:$A$40=$AI$37)*($LU$6:$LU$42=1))&gt;0)</f>
        <v/>
      </c>
      <c r="LW37">
        <f>$LW$36+--($LV37)</f>
        <v/>
      </c>
      <c r="LX37">
        <f>IF(ROW()-3&gt;MAX($LW$4:$LW$40),"",INDEX($AI$4:$AI$40,MATCH(ROW()-3,$LW$4:$LW$40,0)))</f>
        <v/>
      </c>
      <c r="LY37">
        <f>IF(COUNTIF('Buyer Groups'!DG90:DK90,0)+COUNTIF('Buyer Groups'!DM90:EN90,0)&gt;0,0,1)</f>
        <v/>
      </c>
      <c r="LZ37">
        <f>IF($AN$37="",FALSE,SUMPRODUCT(('Final Calculation Sheet'!$E$4:$E$40=$AN$37)*($LY$6:$LY$42=1))&gt;0)</f>
        <v/>
      </c>
      <c r="MA37">
        <f>$MA$36+--($LZ37)</f>
        <v/>
      </c>
      <c r="MB37">
        <f>IF(ROW()-3&gt;MAX($MA$4:$MA$40),"",INDEX($AN$4:$AN$40,MATCH(ROW()-3,$MA$4:$MA$40,0)))</f>
        <v/>
      </c>
      <c r="MC37">
        <f>IF(COUNTIF('Buyer Groups'!DG90:DL90,0)+COUNTIF('Buyer Groups'!DN90:EN90,0)&gt;0,0,1)</f>
        <v/>
      </c>
      <c r="MD37">
        <f>IF($AS$37="",FALSE,SUMPRODUCT(('Final Calculation Sheet'!$C$4:$C$40=$AS$37)*($MC$6:$MC$42=1))&gt;0)</f>
        <v/>
      </c>
      <c r="ME37">
        <f>$ME$36+--($MD37)</f>
        <v/>
      </c>
      <c r="MF37">
        <f>IF(ROW()-3&gt;MAX($ME$4:$ME$40),"",INDEX($AS$4:$AS$40,MATCH(ROW()-3,$ME$4:$ME$40,0)))</f>
        <v/>
      </c>
      <c r="MG37">
        <f>IF(COUNTIF('Buyer Groups'!DG90:DM90,0)+COUNTIF('Buyer Groups'!DO90:EN90,0)&gt;0,0,1)</f>
        <v/>
      </c>
      <c r="MH37">
        <f>IF($AX$37="",FALSE,SUMPRODUCT(('Final Calculation Sheet'!$H$4:$H$40=$AX$37)*($MG$6:$MG$42=1))&gt;0)</f>
        <v/>
      </c>
      <c r="MI37">
        <f>$MI$36+--($MH37)</f>
        <v/>
      </c>
      <c r="MJ37">
        <f>IF(ROW()-3&gt;MAX($MI$4:$MI$40),"",INDEX($AX$4:$AX$40,MATCH(ROW()-3,$MI$4:$MI$40,0)))</f>
        <v/>
      </c>
      <c r="MK37">
        <f>IF(COUNTIF('Buyer Groups'!DG90:DN90,0)+COUNTIF('Buyer Groups'!DP90:EN90,0)&gt;0,0,1)</f>
        <v/>
      </c>
      <c r="ML37">
        <f>IF($BC$37="",FALSE,SUMPRODUCT(('Final Calculation Sheet'!$I$4:$I$40=$BC$37)*($MK$6:$MK$42=1))&gt;0)</f>
        <v/>
      </c>
      <c r="MM37">
        <f>$MM$36+--($ML37)</f>
        <v/>
      </c>
      <c r="MN37">
        <f>IF(ROW()-3&gt;MAX($MM$4:$MM$40),"",INDEX($BC$4:$BC$40,MATCH(ROW()-3,$MM$4:$MM$40,0)))</f>
        <v/>
      </c>
      <c r="MO37">
        <f>IF(COUNTIF('Buyer Groups'!DG90:DO90,0)+COUNTIF('Buyer Groups'!DQ90:EN90,0)&gt;0,0,1)</f>
        <v/>
      </c>
      <c r="MP37">
        <f>IF($BH$37="",FALSE,SUMPRODUCT(('Final Calculation Sheet'!$J$4:$J$40=$BH$37)*($MO$6:$MO$42=1))&gt;0)</f>
        <v/>
      </c>
      <c r="MQ37">
        <f>$MQ$36+--($MP37)</f>
        <v/>
      </c>
      <c r="MR37">
        <f>IF(ROW()-3&gt;MAX($MQ$4:$MQ$40),"",INDEX($BH$4:$BH$40,MATCH(ROW()-3,$MQ$4:$MQ$40,0)))</f>
        <v/>
      </c>
      <c r="MS37">
        <f>IF(COUNTIF('Buyer Groups'!DG90:DP90,0)+COUNTIF('Buyer Groups'!DR90:EN90,0)&gt;0,0,1)</f>
        <v/>
      </c>
      <c r="MT37">
        <f>IF($BM$37="",FALSE,SUMPRODUCT(('Final Calculation Sheet'!$K$4:$K$40=$BM$37)*($MS$6:$MS$42=1))&gt;0)</f>
        <v/>
      </c>
      <c r="MU37">
        <f>$MU$36+--($MT37)</f>
        <v/>
      </c>
      <c r="MV37">
        <f>IF(ROW()-3&gt;MAX($MU$4:$MU$40),"",INDEX($BM$4:$BM$40,MATCH(ROW()-3,$MU$4:$MU$40,0)))</f>
        <v/>
      </c>
      <c r="MW37">
        <f>IF(COUNTIF('Buyer Groups'!DG90:DQ90,0)+COUNTIF('Buyer Groups'!DS90:EN90,0)&gt;0,0,1)</f>
        <v/>
      </c>
      <c r="MX37">
        <f>IF($BR$37="",FALSE,SUMPRODUCT(('Final Calculation Sheet'!$L$4:$L$40=$BR$37)*($MW$6:$MW$42=1))&gt;0)</f>
        <v/>
      </c>
      <c r="MY37">
        <f>$MY$36+--($MX37)</f>
        <v/>
      </c>
      <c r="MZ37">
        <f>IF(ROW()-3&gt;MAX($MY$4:$MY$40),"",INDEX($BR$4:$BR$40,MATCH(ROW()-3,$MY$4:$MY$40,0)))</f>
        <v/>
      </c>
      <c r="NA37">
        <f>IF(COUNTIF('Buyer Groups'!DG90:DR90,0)+COUNTIF('Buyer Groups'!DT90:EN90,0)&gt;0,0,1)</f>
        <v/>
      </c>
      <c r="NB37">
        <f>IF($BW$37="",FALSE,SUMPRODUCT(('Final Calculation Sheet'!$M$4:$M$40=$BW$37)*($NA$6:$NA$42=1))&gt;0)</f>
        <v/>
      </c>
      <c r="NC37">
        <f>$NC$36+--($NB37)</f>
        <v/>
      </c>
      <c r="ND37">
        <f>IF(ROW()-3&gt;MAX($NC$4:$NC$40),"",INDEX($BW$4:$BW$40,MATCH(ROW()-3,$NC$4:$NC$40,0)))</f>
        <v/>
      </c>
      <c r="NE37">
        <f>IF(COUNTIF('Buyer Groups'!DG90:DS90,0)+COUNTIF('Buyer Groups'!DU90:EN90,0)&gt;0,0,1)</f>
        <v/>
      </c>
      <c r="NF37">
        <f>IF($CB$37="",FALSE,SUMPRODUCT(('Final Calculation Sheet'!$N$4:$N$40=$CB$37)*($NE$6:$NE$42=1))&gt;0)</f>
        <v/>
      </c>
      <c r="NG37">
        <f>$NG$36+--($NF37)</f>
        <v/>
      </c>
      <c r="NH37">
        <f>IF(ROW()-3&gt;MAX($NG$4:$NG$40),"",INDEX($CB$4:$CB$40,MATCH(ROW()-3,$NG$4:$NG$40,0)))</f>
        <v/>
      </c>
      <c r="NI37">
        <f>IF(COUNTIF('Buyer Groups'!DG90:DT90,0)+COUNTIF('Buyer Groups'!DV90:EN90,0)&gt;0,0,1)</f>
        <v/>
      </c>
      <c r="NJ37">
        <f>IF($CG$37="",FALSE,SUMPRODUCT(('Final Calculation Sheet'!$O$4:$O$40=$CG$37)*($NI$6:$NI$42=1))&gt;0)</f>
        <v/>
      </c>
      <c r="NK37">
        <f>$NK$36+--($NJ37)</f>
        <v/>
      </c>
      <c r="NL37">
        <f>IF(ROW()-3&gt;MAX($NK$4:$NK$40),"",INDEX($CG$4:$CG$40,MATCH(ROW()-3,$NK$4:$NK$40,0)))</f>
        <v/>
      </c>
      <c r="NM37">
        <f>IF(COUNTIF('Buyer Groups'!DG90:DU90,0)+COUNTIF('Buyer Groups'!DW90:EN90,0)&gt;0,0,1)</f>
        <v/>
      </c>
      <c r="NN37">
        <f>IF($CL$37="",FALSE,SUMPRODUCT(('Final Calculation Sheet'!$P$4:$P$40=$CL$37)*($NM$6:$NM$42=1))&gt;0)</f>
        <v/>
      </c>
      <c r="NO37">
        <f>$NO$36+--($NN37)</f>
        <v/>
      </c>
      <c r="NP37">
        <f>IF(ROW()-3&gt;MAX($NO$4:$NO$40),"",INDEX($CL$4:$CL$40,MATCH(ROW()-3,$NO$4:$NO$40,0)))</f>
        <v/>
      </c>
      <c r="NQ37">
        <f>IF(COUNTIF('Buyer Groups'!DG90:DV90,0)+COUNTIF('Buyer Groups'!DX90:EN90,0)&gt;0,0,1)</f>
        <v/>
      </c>
      <c r="NR37">
        <f>IF($CQ$37="",FALSE,SUMPRODUCT(('Final Calculation Sheet'!$Q$4:$Q$40=$CQ$37)*($NQ$6:$NQ$42=1))&gt;0)</f>
        <v/>
      </c>
      <c r="NS37">
        <f>$NS$36+--($NR37)</f>
        <v/>
      </c>
      <c r="NT37">
        <f>IF(ROW()-3&gt;MAX($NS$4:$NS$40),"",INDEX($CQ$4:$CQ$40,MATCH(ROW()-3,$NS$4:$NS$40,0)))</f>
        <v/>
      </c>
      <c r="NU37">
        <f>IF(COUNTIF('Buyer Groups'!DG90:DW90,0)+COUNTIF('Buyer Groups'!DY90:EN90,0)&gt;0,0,1)</f>
        <v/>
      </c>
      <c r="NV37">
        <f>IF($CV$37="",FALSE,SUMPRODUCT(('Final Calculation Sheet'!$R$4:$R$40=$CV$37)*($NU$6:$NU$42=1))&gt;0)</f>
        <v/>
      </c>
      <c r="NW37">
        <f>$NW$36+--($NV37)</f>
        <v/>
      </c>
      <c r="NX37">
        <f>IF(ROW()-3&gt;MAX($NW$4:$NW$40),"",INDEX($CV$4:$CV$40,MATCH(ROW()-3,$NW$4:$NW$40,0)))</f>
        <v/>
      </c>
      <c r="NY37">
        <f>IF(COUNTIF('Buyer Groups'!DG90:DX90,0)+COUNTIF('Buyer Groups'!DZ90:EN90,0)&gt;0,0,1)</f>
        <v/>
      </c>
      <c r="NZ37">
        <f>IF($DA$37="",FALSE,SUMPRODUCT(('Final Calculation Sheet'!$S$4:$S$40=$DA$37)*($NY$6:$NY$42=1))&gt;0)</f>
        <v/>
      </c>
      <c r="OA37">
        <f>$OA$36+--($NZ37)</f>
        <v/>
      </c>
      <c r="OB37">
        <f>IF(ROW()-3&gt;MAX($OA$4:$OA$40),"",INDEX($DA$4:$DA$40,MATCH(ROW()-3,$OA$4:$OA$40,0)))</f>
        <v/>
      </c>
      <c r="OC37">
        <f>IF(COUNTIF('Buyer Groups'!DG90:DY90,0)+COUNTIF('Buyer Groups'!EA90:EN90,0)&gt;0,0,1)</f>
        <v/>
      </c>
      <c r="OD37">
        <f>IF($DF$37="",FALSE,SUMPRODUCT(('Final Calculation Sheet'!$T$4:$T$40=$DF$37)*($OC$6:$OC$42=1))&gt;0)</f>
        <v/>
      </c>
      <c r="OE37">
        <f>$OE$36+--($OD37)</f>
        <v/>
      </c>
      <c r="OF37">
        <f>IF(ROW()-3&gt;MAX($OE$4:$OE$40),"",INDEX($DF$4:$DF$40,MATCH(ROW()-3,$OE$4:$OE$40,0)))</f>
        <v/>
      </c>
      <c r="OG37">
        <f>IF(COUNTIF('Buyer Groups'!DG90:DZ90,0)+COUNTIF('Buyer Groups'!EB90:EN90,0)&gt;0,0,1)</f>
        <v/>
      </c>
      <c r="OH37">
        <f>IF($DK$37="",FALSE,SUMPRODUCT(('Final Calculation Sheet'!$U$4:$U$40=$DK$37)*($OG$6:$OG$42=1))&gt;0)</f>
        <v/>
      </c>
      <c r="OI37">
        <f>$OI$36+--($OH37)</f>
        <v/>
      </c>
      <c r="OJ37">
        <f>IF(ROW()-3&gt;MAX($OI$4:$OI$40),"",INDEX($DK$4:$DK$40,MATCH(ROW()-3,$OI$4:$OI$40,0)))</f>
        <v/>
      </c>
      <c r="OK37">
        <f>IF(COUNTIF('Buyer Groups'!DG90:EA90,0)+COUNTIF('Buyer Groups'!EC90:EN90,0)&gt;0,0,1)</f>
        <v/>
      </c>
      <c r="OL37">
        <f>IF($DP$37="",FALSE,SUMPRODUCT(('Final Calculation Sheet'!$V$4:$V$40=$DP$37)*($OK$6:$OK$42=1))&gt;0)</f>
        <v/>
      </c>
      <c r="OM37">
        <f>$OM$36+--($OL37)</f>
        <v/>
      </c>
      <c r="ON37">
        <f>IF(ROW()-3&gt;MAX($OM$4:$OM$40),"",INDEX($DP$4:$DP$40,MATCH(ROW()-3,$OM$4:$OM$40,0)))</f>
        <v/>
      </c>
      <c r="OO37">
        <f>IF(COUNTIF('Buyer Groups'!DG90:EB90,0)+COUNTIF('Buyer Groups'!ED90:EN90,0)&gt;0,0,1)</f>
        <v/>
      </c>
      <c r="OP37">
        <f>IF($DU$37="",FALSE,SUMPRODUCT(('Final Calculation Sheet'!$W$4:$W$40=$DU$37)*($OO$6:$OO$42=1))&gt;0)</f>
        <v/>
      </c>
      <c r="OQ37">
        <f>$OQ$36+--($OP37)</f>
        <v/>
      </c>
      <c r="OR37">
        <f>IF(ROW()-3&gt;MAX($OQ$4:$OQ$40),"",INDEX($DU$4:$DU$40,MATCH(ROW()-3,$OQ$4:$OQ$40,0)))</f>
        <v/>
      </c>
      <c r="OS37">
        <f>IF(COUNTIF('Buyer Groups'!DG90:EC90,0)+COUNTIF('Buyer Groups'!EE90:EN90,0)&gt;0,0,1)</f>
        <v/>
      </c>
      <c r="OT37">
        <f>IF($DZ$37="",FALSE,SUMPRODUCT(('Final Calculation Sheet'!$X$4:$X$40=$DZ$37)*($OS$6:$OS$42=1))&gt;0)</f>
        <v/>
      </c>
      <c r="OU37">
        <f>$OU$36+--($OT37)</f>
        <v/>
      </c>
      <c r="OV37">
        <f>IF(ROW()-3&gt;MAX($OU$4:$OU$40),"",INDEX($DZ$4:$DZ$40,MATCH(ROW()-3,$OU$4:$OU$40,0)))</f>
        <v/>
      </c>
      <c r="OW37">
        <f>IF(COUNTIF('Buyer Groups'!DG90:ED90,0)+COUNTIF('Buyer Groups'!EF90:EN90,0)&gt;0,0,1)</f>
        <v/>
      </c>
      <c r="OX37">
        <f>IF($EE$37="",FALSE,SUMPRODUCT(('Final Calculation Sheet'!$Y$4:$Y$40=$EE$37)*($OW$6:$OW$42=1))&gt;0)</f>
        <v/>
      </c>
      <c r="OY37">
        <f>$OY$36+--($OX37)</f>
        <v/>
      </c>
      <c r="OZ37">
        <f>IF(ROW()-3&gt;MAX($OY$4:$OY$40),"",INDEX($EE$4:$EE$40,MATCH(ROW()-3,$OY$4:$OY$40,0)))</f>
        <v/>
      </c>
      <c r="PA37">
        <f>IF(COUNTIF('Buyer Groups'!DG90:EE90,0)+COUNTIF('Buyer Groups'!EG90:EN90,0)&gt;0,0,1)</f>
        <v/>
      </c>
      <c r="PB37">
        <f>IF($EJ$37="",FALSE,SUMPRODUCT(('Final Calculation Sheet'!$Z$4:$Z$40=$EJ$37)*($PA$6:$PA$42=1))&gt;0)</f>
        <v/>
      </c>
      <c r="PC37">
        <f>$PC$36+--($PB37)</f>
        <v/>
      </c>
      <c r="PD37">
        <f>IF(ROW()-3&gt;MAX($PC$4:$PC$40),"",INDEX($EJ$4:$EJ$40,MATCH(ROW()-3,$PC$4:$PC$40,0)))</f>
        <v/>
      </c>
      <c r="PE37">
        <f>IF(COUNTIF('Buyer Groups'!DG90:EF90,0)+COUNTIF('Buyer Groups'!EH90:EN90,0)&gt;0,0,1)</f>
        <v/>
      </c>
      <c r="PF37">
        <f>IF($EO$37="",FALSE,SUMPRODUCT(('Final Calculation Sheet'!$AA$4:$AA$40=$EO$37)*($PE$6:$PE$42=1))&gt;0)</f>
        <v/>
      </c>
      <c r="PG37">
        <f>$PG$36+--($PF37)</f>
        <v/>
      </c>
      <c r="PH37">
        <f>IF(ROW()-3&gt;MAX($PG$4:$PG$40),"",INDEX($EO$4:$EO$40,MATCH(ROW()-3,$PG$4:$PG$40,0)))</f>
        <v/>
      </c>
      <c r="PI37">
        <f>IF(COUNTIF('Buyer Groups'!DG90:EG90,0)+COUNTIF('Buyer Groups'!EI90:EN90,0)&gt;0,0,1)</f>
        <v/>
      </c>
      <c r="PJ37">
        <f>IF($ET$37="",FALSE,SUMPRODUCT(('Final Calculation Sheet'!$AB$4:$AB$40=$ET$37)*($PI$6:$PI$42=1))&gt;0)</f>
        <v/>
      </c>
      <c r="PK37">
        <f>$PK$36+--($PJ37)</f>
        <v/>
      </c>
      <c r="PL37">
        <f>IF(ROW()-3&gt;MAX($PK$4:$PK$40),"",INDEX($ET$4:$ET$40,MATCH(ROW()-3,$PK$4:$PK$40,0)))</f>
        <v/>
      </c>
      <c r="PM37">
        <f>IF(COUNTIF('Buyer Groups'!DG90:EH90,0)+COUNTIF('Buyer Groups'!EJ90:EN90,0)&gt;0,0,1)</f>
        <v/>
      </c>
      <c r="PN37">
        <f>IF($EY$37="",FALSE,SUMPRODUCT(('Final Calculation Sheet'!$AC$4:$AC$40=$EY$37)*($PM$6:$PM$42=1))&gt;0)</f>
        <v/>
      </c>
      <c r="PO37">
        <f>$PO$36+--($PN37)</f>
        <v/>
      </c>
      <c r="PP37">
        <f>IF(ROW()-3&gt;MAX($PO$4:$PO$40),"",INDEX($EY$4:$EY$40,MATCH(ROW()-3,$PO$4:$PO$40,0)))</f>
        <v/>
      </c>
      <c r="PQ37">
        <f>IF(COUNTIF('Buyer Groups'!DG90:EI90,0)+COUNTIF('Buyer Groups'!EK90:EN90,0)&gt;0,0,1)</f>
        <v/>
      </c>
      <c r="PR37">
        <f>IF($FD$37="",FALSE,SUMPRODUCT(('Final Calculation Sheet'!$AD$4:$AD$40=$FD$37)*($PQ$6:$PQ$42=1))&gt;0)</f>
        <v/>
      </c>
      <c r="PS37">
        <f>$PS$36+--($PR37)</f>
        <v/>
      </c>
      <c r="PT37">
        <f>IF(ROW()-3&gt;MAX($PS$4:$PS$40),"",INDEX($FD$4:$FD$40,MATCH(ROW()-3,$PS$4:$PS$40,0)))</f>
        <v/>
      </c>
      <c r="PU37">
        <f>IF(COUNTIF('Buyer Groups'!DG90:EJ90,0)+COUNTIF('Buyer Groups'!EL90:EN90,0)&gt;0,0,1)</f>
        <v/>
      </c>
      <c r="PV37">
        <f>IF($FX$37="",FALSE,SUMPRODUCT((IF('Final Calculation Sheet'!$AD$4:$AD$40&lt;=5,"SETTLED","OUTSTANDING")=$FX$37)*($PU$6:$PU$42=1))&gt;0)</f>
        <v/>
      </c>
      <c r="PW37">
        <f>$PW$36+--($PV37)</f>
        <v/>
      </c>
      <c r="PX37">
        <f>IF(ROW()-3&gt;MAX($PW$4:$PW$40),"",INDEX($FX$4:$FX$40,MATCH(ROW()-3,$PW$4:$PW$40,0)))</f>
        <v/>
      </c>
      <c r="PY37">
        <f>IF(COUNTIF('Buyer Groups'!DG90:EK90,0)+COUNTIF('Buyer Groups'!EM90:EN90,0)&gt;0,0,1)</f>
        <v/>
      </c>
      <c r="PZ37">
        <f>IF($FI$37="",FALSE,SUMPRODUCT(('Final Calculation Sheet'!$AF$4:$AF$40=$FI$37)*($PY$6:$PY$42=1))&gt;0)</f>
        <v/>
      </c>
      <c r="QA37">
        <f>$QA$36+--($PZ37)</f>
        <v/>
      </c>
      <c r="QB37">
        <f>IF(ROW()-3&gt;MAX($QA$4:$QA$40),"",INDEX($FI$4:$FI$40,MATCH(ROW()-3,$QA$4:$QA$40,0)))</f>
        <v/>
      </c>
      <c r="QC37">
        <f>IF(COUNTIF('Buyer Groups'!DG90:EL90,0)+COUNTIF('Buyer Groups'!EN90:EN90,0)&gt;0,0,1)</f>
        <v/>
      </c>
      <c r="QD37">
        <f>IF($FN$37="",FALSE,SUMPRODUCT(('Final Calculation Sheet'!$AG$4:$AG$40=$FN$37)*($QC$6:$QC$42=1))&gt;0)</f>
        <v/>
      </c>
      <c r="QE37">
        <f>$QE$36+--($QD37)</f>
        <v/>
      </c>
      <c r="QF37">
        <f>IF(ROW()-3&gt;MAX($QE$4:$QE$40),"",INDEX($FN$4:$FN$40,MATCH(ROW()-3,$QE$4:$QE$40,0)))</f>
        <v/>
      </c>
      <c r="QG37">
        <f>IF(COUNTIF('Buyer Groups'!DG90:EM90,0)&gt;0,0,1)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IF(IFERROR('Final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IF(IFERROR('Final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Groups'!DH91:EN91,0)&gt;0,0,1)</f>
        <v/>
      </c>
      <c r="LF38">
        <f>IF($O$38="",FALSE,SUMPRODUCT(('Final Calculation Sheet'!$F$4:$F$40=$O$38)*($LE$6:$LE$42=1))&gt;0)</f>
        <v/>
      </c>
      <c r="LG38">
        <f>$LG$37+--($LF38)</f>
        <v/>
      </c>
      <c r="LH38">
        <f>IF(ROW()-3&gt;MAX($LG$4:$LG$40),"",INDEX($O$4:$O$40,MATCH(ROW()-3,$LG$4:$LG$40,0)))</f>
        <v/>
      </c>
      <c r="LI38">
        <f>IF(COUNTIF('Buyer Groups'!DG91:DG91,0)+COUNTIF('Buyer Groups'!DI91:EN91,0)&gt;0,0,1)</f>
        <v/>
      </c>
      <c r="LJ38">
        <f>IF($T$38="",FALSE,SUMPRODUCT(('Final Calculation Sheet'!$G$4:$G$40=$T$38)*($LI$6:$LI$42=1))&gt;0)</f>
        <v/>
      </c>
      <c r="LK38">
        <f>$LK$37+--($LJ38)</f>
        <v/>
      </c>
      <c r="LL38">
        <f>IF(ROW()-3&gt;MAX($LK$4:$LK$40),"",INDEX($T$4:$T$40,MATCH(ROW()-3,$LK$4:$LK$40,0)))</f>
        <v/>
      </c>
      <c r="LM38">
        <f>IF(COUNTIF('Buyer Groups'!DG91:DH91,0)+COUNTIF('Buyer Groups'!DJ91:EN91,0)&gt;0,0,1)</f>
        <v/>
      </c>
      <c r="LN38">
        <f>IF($Y$38="",FALSE,SUMPRODUCT(('Final Calculation Sheet'!$B$4:$B$40=$Y$38)*($LM$6:$LM$42=1))&gt;0)</f>
        <v/>
      </c>
      <c r="LO38">
        <f>$LO$37+--($LN38)</f>
        <v/>
      </c>
      <c r="LP38">
        <f>IF(ROW()-3&gt;MAX($LO$4:$LO$40),"",INDEX($Y$4:$Y$40,MATCH(ROW()-3,$LO$4:$LO$40,0)))</f>
        <v/>
      </c>
      <c r="LQ38">
        <f>IF(COUNTIF('Buyer Groups'!DG91:DI91,0)+COUNTIF('Buyer Groups'!DK91:EN91,0)&gt;0,0,1)</f>
        <v/>
      </c>
      <c r="LR38">
        <f>IF($AD$38="",FALSE,SUMPRODUCT(('Final Calculation Sheet'!$D$4:$D$40=$AD$38)*($LQ$6:$LQ$42=1))&gt;0)</f>
        <v/>
      </c>
      <c r="LS38">
        <f>$LS$37+--($LR38)</f>
        <v/>
      </c>
      <c r="LT38">
        <f>IF(ROW()-3&gt;MAX($LS$4:$LS$40),"",INDEX($AD$4:$AD$40,MATCH(ROW()-3,$LS$4:$LS$40,0)))</f>
        <v/>
      </c>
      <c r="LU38">
        <f>IF(COUNTIF('Buyer Groups'!DG91:DJ91,0)+COUNTIF('Buyer Groups'!DL91:EN91,0)&gt;0,0,1)</f>
        <v/>
      </c>
      <c r="LV38">
        <f>IF($AI$38="",FALSE,SUMPRODUCT(('Final Calculation Sheet'!$A$4:$A$40=$AI$38)*($LU$6:$LU$42=1))&gt;0)</f>
        <v/>
      </c>
      <c r="LW38">
        <f>$LW$37+--($LV38)</f>
        <v/>
      </c>
      <c r="LX38">
        <f>IF(ROW()-3&gt;MAX($LW$4:$LW$40),"",INDEX($AI$4:$AI$40,MATCH(ROW()-3,$LW$4:$LW$40,0)))</f>
        <v/>
      </c>
      <c r="LY38">
        <f>IF(COUNTIF('Buyer Groups'!DG91:DK91,0)+COUNTIF('Buyer Groups'!DM91:EN91,0)&gt;0,0,1)</f>
        <v/>
      </c>
      <c r="LZ38">
        <f>IF($AN$38="",FALSE,SUMPRODUCT(('Final Calculation Sheet'!$E$4:$E$40=$AN$38)*($LY$6:$LY$42=1))&gt;0)</f>
        <v/>
      </c>
      <c r="MA38">
        <f>$MA$37+--($LZ38)</f>
        <v/>
      </c>
      <c r="MB38">
        <f>IF(ROW()-3&gt;MAX($MA$4:$MA$40),"",INDEX($AN$4:$AN$40,MATCH(ROW()-3,$MA$4:$MA$40,0)))</f>
        <v/>
      </c>
      <c r="MC38">
        <f>IF(COUNTIF('Buyer Groups'!DG91:DL91,0)+COUNTIF('Buyer Groups'!DN91:EN91,0)&gt;0,0,1)</f>
        <v/>
      </c>
      <c r="MD38">
        <f>IF($AS$38="",FALSE,SUMPRODUCT(('Final Calculation Sheet'!$C$4:$C$40=$AS$38)*($MC$6:$MC$42=1))&gt;0)</f>
        <v/>
      </c>
      <c r="ME38">
        <f>$ME$37+--($MD38)</f>
        <v/>
      </c>
      <c r="MF38">
        <f>IF(ROW()-3&gt;MAX($ME$4:$ME$40),"",INDEX($AS$4:$AS$40,MATCH(ROW()-3,$ME$4:$ME$40,0)))</f>
        <v/>
      </c>
      <c r="MG38">
        <f>IF(COUNTIF('Buyer Groups'!DG91:DM91,0)+COUNTIF('Buyer Groups'!DO91:EN91,0)&gt;0,0,1)</f>
        <v/>
      </c>
      <c r="MH38">
        <f>IF($AX$38="",FALSE,SUMPRODUCT(('Final Calculation Sheet'!$H$4:$H$40=$AX$38)*($MG$6:$MG$42=1))&gt;0)</f>
        <v/>
      </c>
      <c r="MI38">
        <f>$MI$37+--($MH38)</f>
        <v/>
      </c>
      <c r="MJ38">
        <f>IF(ROW()-3&gt;MAX($MI$4:$MI$40),"",INDEX($AX$4:$AX$40,MATCH(ROW()-3,$MI$4:$MI$40,0)))</f>
        <v/>
      </c>
      <c r="MK38">
        <f>IF(COUNTIF('Buyer Groups'!DG91:DN91,0)+COUNTIF('Buyer Groups'!DP91:EN91,0)&gt;0,0,1)</f>
        <v/>
      </c>
      <c r="ML38">
        <f>IF($BC$38="",FALSE,SUMPRODUCT(('Final Calculation Sheet'!$I$4:$I$40=$BC$38)*($MK$6:$MK$42=1))&gt;0)</f>
        <v/>
      </c>
      <c r="MM38">
        <f>$MM$37+--($ML38)</f>
        <v/>
      </c>
      <c r="MN38">
        <f>IF(ROW()-3&gt;MAX($MM$4:$MM$40),"",INDEX($BC$4:$BC$40,MATCH(ROW()-3,$MM$4:$MM$40,0)))</f>
        <v/>
      </c>
      <c r="MO38">
        <f>IF(COUNTIF('Buyer Groups'!DG91:DO91,0)+COUNTIF('Buyer Groups'!DQ91:EN91,0)&gt;0,0,1)</f>
        <v/>
      </c>
      <c r="MP38">
        <f>IF($BH$38="",FALSE,SUMPRODUCT(('Final Calculation Sheet'!$J$4:$J$40=$BH$38)*($MO$6:$MO$42=1))&gt;0)</f>
        <v/>
      </c>
      <c r="MQ38">
        <f>$MQ$37+--($MP38)</f>
        <v/>
      </c>
      <c r="MR38">
        <f>IF(ROW()-3&gt;MAX($MQ$4:$MQ$40),"",INDEX($BH$4:$BH$40,MATCH(ROW()-3,$MQ$4:$MQ$40,0)))</f>
        <v/>
      </c>
      <c r="MS38">
        <f>IF(COUNTIF('Buyer Groups'!DG91:DP91,0)+COUNTIF('Buyer Groups'!DR91:EN91,0)&gt;0,0,1)</f>
        <v/>
      </c>
      <c r="MT38">
        <f>IF($BM$38="",FALSE,SUMPRODUCT(('Final Calculation Sheet'!$K$4:$K$40=$BM$38)*($MS$6:$MS$42=1))&gt;0)</f>
        <v/>
      </c>
      <c r="MU38">
        <f>$MU$37+--($MT38)</f>
        <v/>
      </c>
      <c r="MV38">
        <f>IF(ROW()-3&gt;MAX($MU$4:$MU$40),"",INDEX($BM$4:$BM$40,MATCH(ROW()-3,$MU$4:$MU$40,0)))</f>
        <v/>
      </c>
      <c r="MW38">
        <f>IF(COUNTIF('Buyer Groups'!DG91:DQ91,0)+COUNTIF('Buyer Groups'!DS91:EN91,0)&gt;0,0,1)</f>
        <v/>
      </c>
      <c r="MX38">
        <f>IF($BR$38="",FALSE,SUMPRODUCT(('Final Calculation Sheet'!$L$4:$L$40=$BR$38)*($MW$6:$MW$42=1))&gt;0)</f>
        <v/>
      </c>
      <c r="MY38">
        <f>$MY$37+--($MX38)</f>
        <v/>
      </c>
      <c r="MZ38">
        <f>IF(ROW()-3&gt;MAX($MY$4:$MY$40),"",INDEX($BR$4:$BR$40,MATCH(ROW()-3,$MY$4:$MY$40,0)))</f>
        <v/>
      </c>
      <c r="NA38">
        <f>IF(COUNTIF('Buyer Groups'!DG91:DR91,0)+COUNTIF('Buyer Groups'!DT91:EN91,0)&gt;0,0,1)</f>
        <v/>
      </c>
      <c r="NB38">
        <f>IF($BW$38="",FALSE,SUMPRODUCT(('Final Calculation Sheet'!$M$4:$M$40=$BW$38)*($NA$6:$NA$42=1))&gt;0)</f>
        <v/>
      </c>
      <c r="NC38">
        <f>$NC$37+--($NB38)</f>
        <v/>
      </c>
      <c r="ND38">
        <f>IF(ROW()-3&gt;MAX($NC$4:$NC$40),"",INDEX($BW$4:$BW$40,MATCH(ROW()-3,$NC$4:$NC$40,0)))</f>
        <v/>
      </c>
      <c r="NE38">
        <f>IF(COUNTIF('Buyer Groups'!DG91:DS91,0)+COUNTIF('Buyer Groups'!DU91:EN91,0)&gt;0,0,1)</f>
        <v/>
      </c>
      <c r="NF38">
        <f>IF($CB$38="",FALSE,SUMPRODUCT(('Final Calculation Sheet'!$N$4:$N$40=$CB$38)*($NE$6:$NE$42=1))&gt;0)</f>
        <v/>
      </c>
      <c r="NG38">
        <f>$NG$37+--($NF38)</f>
        <v/>
      </c>
      <c r="NH38">
        <f>IF(ROW()-3&gt;MAX($NG$4:$NG$40),"",INDEX($CB$4:$CB$40,MATCH(ROW()-3,$NG$4:$NG$40,0)))</f>
        <v/>
      </c>
      <c r="NI38">
        <f>IF(COUNTIF('Buyer Groups'!DG91:DT91,0)+COUNTIF('Buyer Groups'!DV91:EN91,0)&gt;0,0,1)</f>
        <v/>
      </c>
      <c r="NJ38">
        <f>IF($CG$38="",FALSE,SUMPRODUCT(('Final Calculation Sheet'!$O$4:$O$40=$CG$38)*($NI$6:$NI$42=1))&gt;0)</f>
        <v/>
      </c>
      <c r="NK38">
        <f>$NK$37+--($NJ38)</f>
        <v/>
      </c>
      <c r="NL38">
        <f>IF(ROW()-3&gt;MAX($NK$4:$NK$40),"",INDEX($CG$4:$CG$40,MATCH(ROW()-3,$NK$4:$NK$40,0)))</f>
        <v/>
      </c>
      <c r="NM38">
        <f>IF(COUNTIF('Buyer Groups'!DG91:DU91,0)+COUNTIF('Buyer Groups'!DW91:EN91,0)&gt;0,0,1)</f>
        <v/>
      </c>
      <c r="NN38">
        <f>IF($CL$38="",FALSE,SUMPRODUCT(('Final Calculation Sheet'!$P$4:$P$40=$CL$38)*($NM$6:$NM$42=1))&gt;0)</f>
        <v/>
      </c>
      <c r="NO38">
        <f>$NO$37+--($NN38)</f>
        <v/>
      </c>
      <c r="NP38">
        <f>IF(ROW()-3&gt;MAX($NO$4:$NO$40),"",INDEX($CL$4:$CL$40,MATCH(ROW()-3,$NO$4:$NO$40,0)))</f>
        <v/>
      </c>
      <c r="NQ38">
        <f>IF(COUNTIF('Buyer Groups'!DG91:DV91,0)+COUNTIF('Buyer Groups'!DX91:EN91,0)&gt;0,0,1)</f>
        <v/>
      </c>
      <c r="NR38">
        <f>IF($CQ$38="",FALSE,SUMPRODUCT(('Final Calculation Sheet'!$Q$4:$Q$40=$CQ$38)*($NQ$6:$NQ$42=1))&gt;0)</f>
        <v/>
      </c>
      <c r="NS38">
        <f>$NS$37+--($NR38)</f>
        <v/>
      </c>
      <c r="NT38">
        <f>IF(ROW()-3&gt;MAX($NS$4:$NS$40),"",INDEX($CQ$4:$CQ$40,MATCH(ROW()-3,$NS$4:$NS$40,0)))</f>
        <v/>
      </c>
      <c r="NU38">
        <f>IF(COUNTIF('Buyer Groups'!DG91:DW91,0)+COUNTIF('Buyer Groups'!DY91:EN91,0)&gt;0,0,1)</f>
        <v/>
      </c>
      <c r="NV38">
        <f>IF($CV$38="",FALSE,SUMPRODUCT(('Final Calculation Sheet'!$R$4:$R$40=$CV$38)*($NU$6:$NU$42=1))&gt;0)</f>
        <v/>
      </c>
      <c r="NW38">
        <f>$NW$37+--($NV38)</f>
        <v/>
      </c>
      <c r="NX38">
        <f>IF(ROW()-3&gt;MAX($NW$4:$NW$40),"",INDEX($CV$4:$CV$40,MATCH(ROW()-3,$NW$4:$NW$40,0)))</f>
        <v/>
      </c>
      <c r="NY38">
        <f>IF(COUNTIF('Buyer Groups'!DG91:DX91,0)+COUNTIF('Buyer Groups'!DZ91:EN91,0)&gt;0,0,1)</f>
        <v/>
      </c>
      <c r="NZ38">
        <f>IF($DA$38="",FALSE,SUMPRODUCT(('Final Calculation Sheet'!$S$4:$S$40=$DA$38)*($NY$6:$NY$42=1))&gt;0)</f>
        <v/>
      </c>
      <c r="OA38">
        <f>$OA$37+--($NZ38)</f>
        <v/>
      </c>
      <c r="OB38">
        <f>IF(ROW()-3&gt;MAX($OA$4:$OA$40),"",INDEX($DA$4:$DA$40,MATCH(ROW()-3,$OA$4:$OA$40,0)))</f>
        <v/>
      </c>
      <c r="OC38">
        <f>IF(COUNTIF('Buyer Groups'!DG91:DY91,0)+COUNTIF('Buyer Groups'!EA91:EN91,0)&gt;0,0,1)</f>
        <v/>
      </c>
      <c r="OD38">
        <f>IF($DF$38="",FALSE,SUMPRODUCT(('Final Calculation Sheet'!$T$4:$T$40=$DF$38)*($OC$6:$OC$42=1))&gt;0)</f>
        <v/>
      </c>
      <c r="OE38">
        <f>$OE$37+--($OD38)</f>
        <v/>
      </c>
      <c r="OF38">
        <f>IF(ROW()-3&gt;MAX($OE$4:$OE$40),"",INDEX($DF$4:$DF$40,MATCH(ROW()-3,$OE$4:$OE$40,0)))</f>
        <v/>
      </c>
      <c r="OG38">
        <f>IF(COUNTIF('Buyer Groups'!DG91:DZ91,0)+COUNTIF('Buyer Groups'!EB91:EN91,0)&gt;0,0,1)</f>
        <v/>
      </c>
      <c r="OH38">
        <f>IF($DK$38="",FALSE,SUMPRODUCT(('Final Calculation Sheet'!$U$4:$U$40=$DK$38)*($OG$6:$OG$42=1))&gt;0)</f>
        <v/>
      </c>
      <c r="OI38">
        <f>$OI$37+--($OH38)</f>
        <v/>
      </c>
      <c r="OJ38">
        <f>IF(ROW()-3&gt;MAX($OI$4:$OI$40),"",INDEX($DK$4:$DK$40,MATCH(ROW()-3,$OI$4:$OI$40,0)))</f>
        <v/>
      </c>
      <c r="OK38">
        <f>IF(COUNTIF('Buyer Groups'!DG91:EA91,0)+COUNTIF('Buyer Groups'!EC91:EN91,0)&gt;0,0,1)</f>
        <v/>
      </c>
      <c r="OL38">
        <f>IF($DP$38="",FALSE,SUMPRODUCT(('Final Calculation Sheet'!$V$4:$V$40=$DP$38)*($OK$6:$OK$42=1))&gt;0)</f>
        <v/>
      </c>
      <c r="OM38">
        <f>$OM$37+--($OL38)</f>
        <v/>
      </c>
      <c r="ON38">
        <f>IF(ROW()-3&gt;MAX($OM$4:$OM$40),"",INDEX($DP$4:$DP$40,MATCH(ROW()-3,$OM$4:$OM$40,0)))</f>
        <v/>
      </c>
      <c r="OO38">
        <f>IF(COUNTIF('Buyer Groups'!DG91:EB91,0)+COUNTIF('Buyer Groups'!ED91:EN91,0)&gt;0,0,1)</f>
        <v/>
      </c>
      <c r="OP38">
        <f>IF($DU$38="",FALSE,SUMPRODUCT(('Final Calculation Sheet'!$W$4:$W$40=$DU$38)*($OO$6:$OO$42=1))&gt;0)</f>
        <v/>
      </c>
      <c r="OQ38">
        <f>$OQ$37+--($OP38)</f>
        <v/>
      </c>
      <c r="OR38">
        <f>IF(ROW()-3&gt;MAX($OQ$4:$OQ$40),"",INDEX($DU$4:$DU$40,MATCH(ROW()-3,$OQ$4:$OQ$40,0)))</f>
        <v/>
      </c>
      <c r="OS38">
        <f>IF(COUNTIF('Buyer Groups'!DG91:EC91,0)+COUNTIF('Buyer Groups'!EE91:EN91,0)&gt;0,0,1)</f>
        <v/>
      </c>
      <c r="OT38">
        <f>IF($DZ$38="",FALSE,SUMPRODUCT(('Final Calculation Sheet'!$X$4:$X$40=$DZ$38)*($OS$6:$OS$42=1))&gt;0)</f>
        <v/>
      </c>
      <c r="OU38">
        <f>$OU$37+--($OT38)</f>
        <v/>
      </c>
      <c r="OV38">
        <f>IF(ROW()-3&gt;MAX($OU$4:$OU$40),"",INDEX($DZ$4:$DZ$40,MATCH(ROW()-3,$OU$4:$OU$40,0)))</f>
        <v/>
      </c>
      <c r="OW38">
        <f>IF(COUNTIF('Buyer Groups'!DG91:ED91,0)+COUNTIF('Buyer Groups'!EF91:EN91,0)&gt;0,0,1)</f>
        <v/>
      </c>
      <c r="OX38">
        <f>IF($EE$38="",FALSE,SUMPRODUCT(('Final Calculation Sheet'!$Y$4:$Y$40=$EE$38)*($OW$6:$OW$42=1))&gt;0)</f>
        <v/>
      </c>
      <c r="OY38">
        <f>$OY$37+--($OX38)</f>
        <v/>
      </c>
      <c r="OZ38">
        <f>IF(ROW()-3&gt;MAX($OY$4:$OY$40),"",INDEX($EE$4:$EE$40,MATCH(ROW()-3,$OY$4:$OY$40,0)))</f>
        <v/>
      </c>
      <c r="PA38">
        <f>IF(COUNTIF('Buyer Groups'!DG91:EE91,0)+COUNTIF('Buyer Groups'!EG91:EN91,0)&gt;0,0,1)</f>
        <v/>
      </c>
      <c r="PB38">
        <f>IF($EJ$38="",FALSE,SUMPRODUCT(('Final Calculation Sheet'!$Z$4:$Z$40=$EJ$38)*($PA$6:$PA$42=1))&gt;0)</f>
        <v/>
      </c>
      <c r="PC38">
        <f>$PC$37+--($PB38)</f>
        <v/>
      </c>
      <c r="PD38">
        <f>IF(ROW()-3&gt;MAX($PC$4:$PC$40),"",INDEX($EJ$4:$EJ$40,MATCH(ROW()-3,$PC$4:$PC$40,0)))</f>
        <v/>
      </c>
      <c r="PE38">
        <f>IF(COUNTIF('Buyer Groups'!DG91:EF91,0)+COUNTIF('Buyer Groups'!EH91:EN91,0)&gt;0,0,1)</f>
        <v/>
      </c>
      <c r="PF38">
        <f>IF($EO$38="",FALSE,SUMPRODUCT(('Final Calculation Sheet'!$AA$4:$AA$40=$EO$38)*($PE$6:$PE$42=1))&gt;0)</f>
        <v/>
      </c>
      <c r="PG38">
        <f>$PG$37+--($PF38)</f>
        <v/>
      </c>
      <c r="PH38">
        <f>IF(ROW()-3&gt;MAX($PG$4:$PG$40),"",INDEX($EO$4:$EO$40,MATCH(ROW()-3,$PG$4:$PG$40,0)))</f>
        <v/>
      </c>
      <c r="PI38">
        <f>IF(COUNTIF('Buyer Groups'!DG91:EG91,0)+COUNTIF('Buyer Groups'!EI91:EN91,0)&gt;0,0,1)</f>
        <v/>
      </c>
      <c r="PJ38">
        <f>IF($ET$38="",FALSE,SUMPRODUCT(('Final Calculation Sheet'!$AB$4:$AB$40=$ET$38)*($PI$6:$PI$42=1))&gt;0)</f>
        <v/>
      </c>
      <c r="PK38">
        <f>$PK$37+--($PJ38)</f>
        <v/>
      </c>
      <c r="PL38">
        <f>IF(ROW()-3&gt;MAX($PK$4:$PK$40),"",INDEX($ET$4:$ET$40,MATCH(ROW()-3,$PK$4:$PK$40,0)))</f>
        <v/>
      </c>
      <c r="PM38">
        <f>IF(COUNTIF('Buyer Groups'!DG91:EH91,0)+COUNTIF('Buyer Groups'!EJ91:EN91,0)&gt;0,0,1)</f>
        <v/>
      </c>
      <c r="PN38">
        <f>IF($EY$38="",FALSE,SUMPRODUCT(('Final Calculation Sheet'!$AC$4:$AC$40=$EY$38)*($PM$6:$PM$42=1))&gt;0)</f>
        <v/>
      </c>
      <c r="PO38">
        <f>$PO$37+--($PN38)</f>
        <v/>
      </c>
      <c r="PP38">
        <f>IF(ROW()-3&gt;MAX($PO$4:$PO$40),"",INDEX($EY$4:$EY$40,MATCH(ROW()-3,$PO$4:$PO$40,0)))</f>
        <v/>
      </c>
      <c r="PQ38">
        <f>IF(COUNTIF('Buyer Groups'!DG91:EI91,0)+COUNTIF('Buyer Groups'!EK91:EN91,0)&gt;0,0,1)</f>
        <v/>
      </c>
      <c r="PR38">
        <f>IF($FD$38="",FALSE,SUMPRODUCT(('Final Calculation Sheet'!$AD$4:$AD$40=$FD$38)*($PQ$6:$PQ$42=1))&gt;0)</f>
        <v/>
      </c>
      <c r="PS38">
        <f>$PS$37+--($PR38)</f>
        <v/>
      </c>
      <c r="PT38">
        <f>IF(ROW()-3&gt;MAX($PS$4:$PS$40),"",INDEX($FD$4:$FD$40,MATCH(ROW()-3,$PS$4:$PS$40,0)))</f>
        <v/>
      </c>
      <c r="PU38">
        <f>IF(COUNTIF('Buyer Groups'!DG91:EJ91,0)+COUNTIF('Buyer Groups'!EL91:EN91,0)&gt;0,0,1)</f>
        <v/>
      </c>
      <c r="PV38">
        <f>IF($FX$38="",FALSE,SUMPRODUCT((IF('Final Calculation Sheet'!$AD$4:$AD$40&lt;=5,"SETTLED","OUTSTANDING")=$FX$38)*($PU$6:$PU$42=1))&gt;0)</f>
        <v/>
      </c>
      <c r="PW38">
        <f>$PW$37+--($PV38)</f>
        <v/>
      </c>
      <c r="PX38">
        <f>IF(ROW()-3&gt;MAX($PW$4:$PW$40),"",INDEX($FX$4:$FX$40,MATCH(ROW()-3,$PW$4:$PW$40,0)))</f>
        <v/>
      </c>
      <c r="PY38">
        <f>IF(COUNTIF('Buyer Groups'!DG91:EK91,0)+COUNTIF('Buyer Groups'!EM91:EN91,0)&gt;0,0,1)</f>
        <v/>
      </c>
      <c r="PZ38">
        <f>IF($FI$38="",FALSE,SUMPRODUCT(('Final Calculation Sheet'!$AF$4:$AF$40=$FI$38)*($PY$6:$PY$42=1))&gt;0)</f>
        <v/>
      </c>
      <c r="QA38">
        <f>$QA$37+--($PZ38)</f>
        <v/>
      </c>
      <c r="QB38">
        <f>IF(ROW()-3&gt;MAX($QA$4:$QA$40),"",INDEX($FI$4:$FI$40,MATCH(ROW()-3,$QA$4:$QA$40,0)))</f>
        <v/>
      </c>
      <c r="QC38">
        <f>IF(COUNTIF('Buyer Groups'!DG91:EL91,0)+COUNTIF('Buyer Groups'!EN91:EN91,0)&gt;0,0,1)</f>
        <v/>
      </c>
      <c r="QD38">
        <f>IF($FN$38="",FALSE,SUMPRODUCT(('Final Calculation Sheet'!$AG$4:$AG$40=$FN$38)*($QC$6:$QC$42=1))&gt;0)</f>
        <v/>
      </c>
      <c r="QE38">
        <f>$QE$37+--($QD38)</f>
        <v/>
      </c>
      <c r="QF38">
        <f>IF(ROW()-3&gt;MAX($QE$4:$QE$40),"",INDEX($FN$4:$FN$40,MATCH(ROW()-3,$QE$4:$QE$40,0)))</f>
        <v/>
      </c>
      <c r="QG38">
        <f>IF(COUNTIF('Buyer Groups'!DG91:EM91,0)&gt;0,0,1)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IF(IFERROR('Final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IF(IFERROR('Final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Groups'!DH92:EN92,0)&gt;0,0,1)</f>
        <v/>
      </c>
      <c r="LF39">
        <f>IF($O$39="",FALSE,SUMPRODUCT(('Final Calculation Sheet'!$F$4:$F$40=$O$39)*($LE$6:$LE$42=1))&gt;0)</f>
        <v/>
      </c>
      <c r="LG39">
        <f>$LG$38+--($LF39)</f>
        <v/>
      </c>
      <c r="LH39">
        <f>IF(ROW()-3&gt;MAX($LG$4:$LG$40),"",INDEX($O$4:$O$40,MATCH(ROW()-3,$LG$4:$LG$40,0)))</f>
        <v/>
      </c>
      <c r="LI39">
        <f>IF(COUNTIF('Buyer Groups'!DG92:DG92,0)+COUNTIF('Buyer Groups'!DI92:EN92,0)&gt;0,0,1)</f>
        <v/>
      </c>
      <c r="LJ39">
        <f>IF($T$39="",FALSE,SUMPRODUCT(('Final Calculation Sheet'!$G$4:$G$40=$T$39)*($LI$6:$LI$42=1))&gt;0)</f>
        <v/>
      </c>
      <c r="LK39">
        <f>$LK$38+--($LJ39)</f>
        <v/>
      </c>
      <c r="LL39">
        <f>IF(ROW()-3&gt;MAX($LK$4:$LK$40),"",INDEX($T$4:$T$40,MATCH(ROW()-3,$LK$4:$LK$40,0)))</f>
        <v/>
      </c>
      <c r="LM39">
        <f>IF(COUNTIF('Buyer Groups'!DG92:DH92,0)+COUNTIF('Buyer Groups'!DJ92:EN92,0)&gt;0,0,1)</f>
        <v/>
      </c>
      <c r="LN39">
        <f>IF($Y$39="",FALSE,SUMPRODUCT(('Final Calculation Sheet'!$B$4:$B$40=$Y$39)*($LM$6:$LM$42=1))&gt;0)</f>
        <v/>
      </c>
      <c r="LO39">
        <f>$LO$38+--($LN39)</f>
        <v/>
      </c>
      <c r="LP39">
        <f>IF(ROW()-3&gt;MAX($LO$4:$LO$40),"",INDEX($Y$4:$Y$40,MATCH(ROW()-3,$LO$4:$LO$40,0)))</f>
        <v/>
      </c>
      <c r="LQ39">
        <f>IF(COUNTIF('Buyer Groups'!DG92:DI92,0)+COUNTIF('Buyer Groups'!DK92:EN92,0)&gt;0,0,1)</f>
        <v/>
      </c>
      <c r="LR39">
        <f>IF($AD$39="",FALSE,SUMPRODUCT(('Final Calculation Sheet'!$D$4:$D$40=$AD$39)*($LQ$6:$LQ$42=1))&gt;0)</f>
        <v/>
      </c>
      <c r="LS39">
        <f>$LS$38+--($LR39)</f>
        <v/>
      </c>
      <c r="LT39">
        <f>IF(ROW()-3&gt;MAX($LS$4:$LS$40),"",INDEX($AD$4:$AD$40,MATCH(ROW()-3,$LS$4:$LS$40,0)))</f>
        <v/>
      </c>
      <c r="LU39">
        <f>IF(COUNTIF('Buyer Groups'!DG92:DJ92,0)+COUNTIF('Buyer Groups'!DL92:EN92,0)&gt;0,0,1)</f>
        <v/>
      </c>
      <c r="LV39">
        <f>IF($AI$39="",FALSE,SUMPRODUCT(('Final Calculation Sheet'!$A$4:$A$40=$AI$39)*($LU$6:$LU$42=1))&gt;0)</f>
        <v/>
      </c>
      <c r="LW39">
        <f>$LW$38+--($LV39)</f>
        <v/>
      </c>
      <c r="LX39">
        <f>IF(ROW()-3&gt;MAX($LW$4:$LW$40),"",INDEX($AI$4:$AI$40,MATCH(ROW()-3,$LW$4:$LW$40,0)))</f>
        <v/>
      </c>
      <c r="LY39">
        <f>IF(COUNTIF('Buyer Groups'!DG92:DK92,0)+COUNTIF('Buyer Groups'!DM92:EN92,0)&gt;0,0,1)</f>
        <v/>
      </c>
      <c r="LZ39">
        <f>IF($AN$39="",FALSE,SUMPRODUCT(('Final Calculation Sheet'!$E$4:$E$40=$AN$39)*($LY$6:$LY$42=1))&gt;0)</f>
        <v/>
      </c>
      <c r="MA39">
        <f>$MA$38+--($LZ39)</f>
        <v/>
      </c>
      <c r="MB39">
        <f>IF(ROW()-3&gt;MAX($MA$4:$MA$40),"",INDEX($AN$4:$AN$40,MATCH(ROW()-3,$MA$4:$MA$40,0)))</f>
        <v/>
      </c>
      <c r="MC39">
        <f>IF(COUNTIF('Buyer Groups'!DG92:DL92,0)+COUNTIF('Buyer Groups'!DN92:EN92,0)&gt;0,0,1)</f>
        <v/>
      </c>
      <c r="MD39">
        <f>IF($AS$39="",FALSE,SUMPRODUCT(('Final Calculation Sheet'!$C$4:$C$40=$AS$39)*($MC$6:$MC$42=1))&gt;0)</f>
        <v/>
      </c>
      <c r="ME39">
        <f>$ME$38+--($MD39)</f>
        <v/>
      </c>
      <c r="MF39">
        <f>IF(ROW()-3&gt;MAX($ME$4:$ME$40),"",INDEX($AS$4:$AS$40,MATCH(ROW()-3,$ME$4:$ME$40,0)))</f>
        <v/>
      </c>
      <c r="MG39">
        <f>IF(COUNTIF('Buyer Groups'!DG92:DM92,0)+COUNTIF('Buyer Groups'!DO92:EN92,0)&gt;0,0,1)</f>
        <v/>
      </c>
      <c r="MH39">
        <f>IF($AX$39="",FALSE,SUMPRODUCT(('Final Calculation Sheet'!$H$4:$H$40=$AX$39)*($MG$6:$MG$42=1))&gt;0)</f>
        <v/>
      </c>
      <c r="MI39">
        <f>$MI$38+--($MH39)</f>
        <v/>
      </c>
      <c r="MJ39">
        <f>IF(ROW()-3&gt;MAX($MI$4:$MI$40),"",INDEX($AX$4:$AX$40,MATCH(ROW()-3,$MI$4:$MI$40,0)))</f>
        <v/>
      </c>
      <c r="MK39">
        <f>IF(COUNTIF('Buyer Groups'!DG92:DN92,0)+COUNTIF('Buyer Groups'!DP92:EN92,0)&gt;0,0,1)</f>
        <v/>
      </c>
      <c r="ML39">
        <f>IF($BC$39="",FALSE,SUMPRODUCT(('Final Calculation Sheet'!$I$4:$I$40=$BC$39)*($MK$6:$MK$42=1))&gt;0)</f>
        <v/>
      </c>
      <c r="MM39">
        <f>$MM$38+--($ML39)</f>
        <v/>
      </c>
      <c r="MN39">
        <f>IF(ROW()-3&gt;MAX($MM$4:$MM$40),"",INDEX($BC$4:$BC$40,MATCH(ROW()-3,$MM$4:$MM$40,0)))</f>
        <v/>
      </c>
      <c r="MO39">
        <f>IF(COUNTIF('Buyer Groups'!DG92:DO92,0)+COUNTIF('Buyer Groups'!DQ92:EN92,0)&gt;0,0,1)</f>
        <v/>
      </c>
      <c r="MP39">
        <f>IF($BH$39="",FALSE,SUMPRODUCT(('Final Calculation Sheet'!$J$4:$J$40=$BH$39)*($MO$6:$MO$42=1))&gt;0)</f>
        <v/>
      </c>
      <c r="MQ39">
        <f>$MQ$38+--($MP39)</f>
        <v/>
      </c>
      <c r="MR39">
        <f>IF(ROW()-3&gt;MAX($MQ$4:$MQ$40),"",INDEX($BH$4:$BH$40,MATCH(ROW()-3,$MQ$4:$MQ$40,0)))</f>
        <v/>
      </c>
      <c r="MS39">
        <f>IF(COUNTIF('Buyer Groups'!DG92:DP92,0)+COUNTIF('Buyer Groups'!DR92:EN92,0)&gt;0,0,1)</f>
        <v/>
      </c>
      <c r="MT39">
        <f>IF($BM$39="",FALSE,SUMPRODUCT(('Final Calculation Sheet'!$K$4:$K$40=$BM$39)*($MS$6:$MS$42=1))&gt;0)</f>
        <v/>
      </c>
      <c r="MU39">
        <f>$MU$38+--($MT39)</f>
        <v/>
      </c>
      <c r="MV39">
        <f>IF(ROW()-3&gt;MAX($MU$4:$MU$40),"",INDEX($BM$4:$BM$40,MATCH(ROW()-3,$MU$4:$MU$40,0)))</f>
        <v/>
      </c>
      <c r="MW39">
        <f>IF(COUNTIF('Buyer Groups'!DG92:DQ92,0)+COUNTIF('Buyer Groups'!DS92:EN92,0)&gt;0,0,1)</f>
        <v/>
      </c>
      <c r="MX39">
        <f>IF($BR$39="",FALSE,SUMPRODUCT(('Final Calculation Sheet'!$L$4:$L$40=$BR$39)*($MW$6:$MW$42=1))&gt;0)</f>
        <v/>
      </c>
      <c r="MY39">
        <f>$MY$38+--($MX39)</f>
        <v/>
      </c>
      <c r="MZ39">
        <f>IF(ROW()-3&gt;MAX($MY$4:$MY$40),"",INDEX($BR$4:$BR$40,MATCH(ROW()-3,$MY$4:$MY$40,0)))</f>
        <v/>
      </c>
      <c r="NA39">
        <f>IF(COUNTIF('Buyer Groups'!DG92:DR92,0)+COUNTIF('Buyer Groups'!DT92:EN92,0)&gt;0,0,1)</f>
        <v/>
      </c>
      <c r="NB39">
        <f>IF($BW$39="",FALSE,SUMPRODUCT(('Final Calculation Sheet'!$M$4:$M$40=$BW$39)*($NA$6:$NA$42=1))&gt;0)</f>
        <v/>
      </c>
      <c r="NC39">
        <f>$NC$38+--($NB39)</f>
        <v/>
      </c>
      <c r="ND39">
        <f>IF(ROW()-3&gt;MAX($NC$4:$NC$40),"",INDEX($BW$4:$BW$40,MATCH(ROW()-3,$NC$4:$NC$40,0)))</f>
        <v/>
      </c>
      <c r="NE39">
        <f>IF(COUNTIF('Buyer Groups'!DG92:DS92,0)+COUNTIF('Buyer Groups'!DU92:EN92,0)&gt;0,0,1)</f>
        <v/>
      </c>
      <c r="NF39">
        <f>IF($CB$39="",FALSE,SUMPRODUCT(('Final Calculation Sheet'!$N$4:$N$40=$CB$39)*($NE$6:$NE$42=1))&gt;0)</f>
        <v/>
      </c>
      <c r="NG39">
        <f>$NG$38+--($NF39)</f>
        <v/>
      </c>
      <c r="NH39">
        <f>IF(ROW()-3&gt;MAX($NG$4:$NG$40),"",INDEX($CB$4:$CB$40,MATCH(ROW()-3,$NG$4:$NG$40,0)))</f>
        <v/>
      </c>
      <c r="NI39">
        <f>IF(COUNTIF('Buyer Groups'!DG92:DT92,0)+COUNTIF('Buyer Groups'!DV92:EN92,0)&gt;0,0,1)</f>
        <v/>
      </c>
      <c r="NJ39">
        <f>IF($CG$39="",FALSE,SUMPRODUCT(('Final Calculation Sheet'!$O$4:$O$40=$CG$39)*($NI$6:$NI$42=1))&gt;0)</f>
        <v/>
      </c>
      <c r="NK39">
        <f>$NK$38+--($NJ39)</f>
        <v/>
      </c>
      <c r="NL39">
        <f>IF(ROW()-3&gt;MAX($NK$4:$NK$40),"",INDEX($CG$4:$CG$40,MATCH(ROW()-3,$NK$4:$NK$40,0)))</f>
        <v/>
      </c>
      <c r="NM39">
        <f>IF(COUNTIF('Buyer Groups'!DG92:DU92,0)+COUNTIF('Buyer Groups'!DW92:EN92,0)&gt;0,0,1)</f>
        <v/>
      </c>
      <c r="NN39">
        <f>IF($CL$39="",FALSE,SUMPRODUCT(('Final Calculation Sheet'!$P$4:$P$40=$CL$39)*($NM$6:$NM$42=1))&gt;0)</f>
        <v/>
      </c>
      <c r="NO39">
        <f>$NO$38+--($NN39)</f>
        <v/>
      </c>
      <c r="NP39">
        <f>IF(ROW()-3&gt;MAX($NO$4:$NO$40),"",INDEX($CL$4:$CL$40,MATCH(ROW()-3,$NO$4:$NO$40,0)))</f>
        <v/>
      </c>
      <c r="NQ39">
        <f>IF(COUNTIF('Buyer Groups'!DG92:DV92,0)+COUNTIF('Buyer Groups'!DX92:EN92,0)&gt;0,0,1)</f>
        <v/>
      </c>
      <c r="NR39">
        <f>IF($CQ$39="",FALSE,SUMPRODUCT(('Final Calculation Sheet'!$Q$4:$Q$40=$CQ$39)*($NQ$6:$NQ$42=1))&gt;0)</f>
        <v/>
      </c>
      <c r="NS39">
        <f>$NS$38+--($NR39)</f>
        <v/>
      </c>
      <c r="NT39">
        <f>IF(ROW()-3&gt;MAX($NS$4:$NS$40),"",INDEX($CQ$4:$CQ$40,MATCH(ROW()-3,$NS$4:$NS$40,0)))</f>
        <v/>
      </c>
      <c r="NU39">
        <f>IF(COUNTIF('Buyer Groups'!DG92:DW92,0)+COUNTIF('Buyer Groups'!DY92:EN92,0)&gt;0,0,1)</f>
        <v/>
      </c>
      <c r="NV39">
        <f>IF($CV$39="",FALSE,SUMPRODUCT(('Final Calculation Sheet'!$R$4:$R$40=$CV$39)*($NU$6:$NU$42=1))&gt;0)</f>
        <v/>
      </c>
      <c r="NW39">
        <f>$NW$38+--($NV39)</f>
        <v/>
      </c>
      <c r="NX39">
        <f>IF(ROW()-3&gt;MAX($NW$4:$NW$40),"",INDEX($CV$4:$CV$40,MATCH(ROW()-3,$NW$4:$NW$40,0)))</f>
        <v/>
      </c>
      <c r="NY39">
        <f>IF(COUNTIF('Buyer Groups'!DG92:DX92,0)+COUNTIF('Buyer Groups'!DZ92:EN92,0)&gt;0,0,1)</f>
        <v/>
      </c>
      <c r="NZ39">
        <f>IF($DA$39="",FALSE,SUMPRODUCT(('Final Calculation Sheet'!$S$4:$S$40=$DA$39)*($NY$6:$NY$42=1))&gt;0)</f>
        <v/>
      </c>
      <c r="OA39">
        <f>$OA$38+--($NZ39)</f>
        <v/>
      </c>
      <c r="OB39">
        <f>IF(ROW()-3&gt;MAX($OA$4:$OA$40),"",INDEX($DA$4:$DA$40,MATCH(ROW()-3,$OA$4:$OA$40,0)))</f>
        <v/>
      </c>
      <c r="OC39">
        <f>IF(COUNTIF('Buyer Groups'!DG92:DY92,0)+COUNTIF('Buyer Groups'!EA92:EN92,0)&gt;0,0,1)</f>
        <v/>
      </c>
      <c r="OD39">
        <f>IF($DF$39="",FALSE,SUMPRODUCT(('Final Calculation Sheet'!$T$4:$T$40=$DF$39)*($OC$6:$OC$42=1))&gt;0)</f>
        <v/>
      </c>
      <c r="OE39">
        <f>$OE$38+--($OD39)</f>
        <v/>
      </c>
      <c r="OF39">
        <f>IF(ROW()-3&gt;MAX($OE$4:$OE$40),"",INDEX($DF$4:$DF$40,MATCH(ROW()-3,$OE$4:$OE$40,0)))</f>
        <v/>
      </c>
      <c r="OG39">
        <f>IF(COUNTIF('Buyer Groups'!DG92:DZ92,0)+COUNTIF('Buyer Groups'!EB92:EN92,0)&gt;0,0,1)</f>
        <v/>
      </c>
      <c r="OH39">
        <f>IF($DK$39="",FALSE,SUMPRODUCT(('Final Calculation Sheet'!$U$4:$U$40=$DK$39)*($OG$6:$OG$42=1))&gt;0)</f>
        <v/>
      </c>
      <c r="OI39">
        <f>$OI$38+--($OH39)</f>
        <v/>
      </c>
      <c r="OJ39">
        <f>IF(ROW()-3&gt;MAX($OI$4:$OI$40),"",INDEX($DK$4:$DK$40,MATCH(ROW()-3,$OI$4:$OI$40,0)))</f>
        <v/>
      </c>
      <c r="OK39">
        <f>IF(COUNTIF('Buyer Groups'!DG92:EA92,0)+COUNTIF('Buyer Groups'!EC92:EN92,0)&gt;0,0,1)</f>
        <v/>
      </c>
      <c r="OL39">
        <f>IF($DP$39="",FALSE,SUMPRODUCT(('Final Calculation Sheet'!$V$4:$V$40=$DP$39)*($OK$6:$OK$42=1))&gt;0)</f>
        <v/>
      </c>
      <c r="OM39">
        <f>$OM$38+--($OL39)</f>
        <v/>
      </c>
      <c r="ON39">
        <f>IF(ROW()-3&gt;MAX($OM$4:$OM$40),"",INDEX($DP$4:$DP$40,MATCH(ROW()-3,$OM$4:$OM$40,0)))</f>
        <v/>
      </c>
      <c r="OO39">
        <f>IF(COUNTIF('Buyer Groups'!DG92:EB92,0)+COUNTIF('Buyer Groups'!ED92:EN92,0)&gt;0,0,1)</f>
        <v/>
      </c>
      <c r="OP39">
        <f>IF($DU$39="",FALSE,SUMPRODUCT(('Final Calculation Sheet'!$W$4:$W$40=$DU$39)*($OO$6:$OO$42=1))&gt;0)</f>
        <v/>
      </c>
      <c r="OQ39">
        <f>$OQ$38+--($OP39)</f>
        <v/>
      </c>
      <c r="OR39">
        <f>IF(ROW()-3&gt;MAX($OQ$4:$OQ$40),"",INDEX($DU$4:$DU$40,MATCH(ROW()-3,$OQ$4:$OQ$40,0)))</f>
        <v/>
      </c>
      <c r="OS39">
        <f>IF(COUNTIF('Buyer Groups'!DG92:EC92,0)+COUNTIF('Buyer Groups'!EE92:EN92,0)&gt;0,0,1)</f>
        <v/>
      </c>
      <c r="OT39">
        <f>IF($DZ$39="",FALSE,SUMPRODUCT(('Final Calculation Sheet'!$X$4:$X$40=$DZ$39)*($OS$6:$OS$42=1))&gt;0)</f>
        <v/>
      </c>
      <c r="OU39">
        <f>$OU$38+--($OT39)</f>
        <v/>
      </c>
      <c r="OV39">
        <f>IF(ROW()-3&gt;MAX($OU$4:$OU$40),"",INDEX($DZ$4:$DZ$40,MATCH(ROW()-3,$OU$4:$OU$40,0)))</f>
        <v/>
      </c>
      <c r="OW39">
        <f>IF(COUNTIF('Buyer Groups'!DG92:ED92,0)+COUNTIF('Buyer Groups'!EF92:EN92,0)&gt;0,0,1)</f>
        <v/>
      </c>
      <c r="OX39">
        <f>IF($EE$39="",FALSE,SUMPRODUCT(('Final Calculation Sheet'!$Y$4:$Y$40=$EE$39)*($OW$6:$OW$42=1))&gt;0)</f>
        <v/>
      </c>
      <c r="OY39">
        <f>$OY$38+--($OX39)</f>
        <v/>
      </c>
      <c r="OZ39">
        <f>IF(ROW()-3&gt;MAX($OY$4:$OY$40),"",INDEX($EE$4:$EE$40,MATCH(ROW()-3,$OY$4:$OY$40,0)))</f>
        <v/>
      </c>
      <c r="PA39">
        <f>IF(COUNTIF('Buyer Groups'!DG92:EE92,0)+COUNTIF('Buyer Groups'!EG92:EN92,0)&gt;0,0,1)</f>
        <v/>
      </c>
      <c r="PB39">
        <f>IF($EJ$39="",FALSE,SUMPRODUCT(('Final Calculation Sheet'!$Z$4:$Z$40=$EJ$39)*($PA$6:$PA$42=1))&gt;0)</f>
        <v/>
      </c>
      <c r="PC39">
        <f>$PC$38+--($PB39)</f>
        <v/>
      </c>
      <c r="PD39">
        <f>IF(ROW()-3&gt;MAX($PC$4:$PC$40),"",INDEX($EJ$4:$EJ$40,MATCH(ROW()-3,$PC$4:$PC$40,0)))</f>
        <v/>
      </c>
      <c r="PE39">
        <f>IF(COUNTIF('Buyer Groups'!DG92:EF92,0)+COUNTIF('Buyer Groups'!EH92:EN92,0)&gt;0,0,1)</f>
        <v/>
      </c>
      <c r="PF39">
        <f>IF($EO$39="",FALSE,SUMPRODUCT(('Final Calculation Sheet'!$AA$4:$AA$40=$EO$39)*($PE$6:$PE$42=1))&gt;0)</f>
        <v/>
      </c>
      <c r="PG39">
        <f>$PG$38+--($PF39)</f>
        <v/>
      </c>
      <c r="PH39">
        <f>IF(ROW()-3&gt;MAX($PG$4:$PG$40),"",INDEX($EO$4:$EO$40,MATCH(ROW()-3,$PG$4:$PG$40,0)))</f>
        <v/>
      </c>
      <c r="PI39">
        <f>IF(COUNTIF('Buyer Groups'!DG92:EG92,0)+COUNTIF('Buyer Groups'!EI92:EN92,0)&gt;0,0,1)</f>
        <v/>
      </c>
      <c r="PJ39">
        <f>IF($ET$39="",FALSE,SUMPRODUCT(('Final Calculation Sheet'!$AB$4:$AB$40=$ET$39)*($PI$6:$PI$42=1))&gt;0)</f>
        <v/>
      </c>
      <c r="PK39">
        <f>$PK$38+--($PJ39)</f>
        <v/>
      </c>
      <c r="PL39">
        <f>IF(ROW()-3&gt;MAX($PK$4:$PK$40),"",INDEX($ET$4:$ET$40,MATCH(ROW()-3,$PK$4:$PK$40,0)))</f>
        <v/>
      </c>
      <c r="PM39">
        <f>IF(COUNTIF('Buyer Groups'!DG92:EH92,0)+COUNTIF('Buyer Groups'!EJ92:EN92,0)&gt;0,0,1)</f>
        <v/>
      </c>
      <c r="PN39">
        <f>IF($EY$39="",FALSE,SUMPRODUCT(('Final Calculation Sheet'!$AC$4:$AC$40=$EY$39)*($PM$6:$PM$42=1))&gt;0)</f>
        <v/>
      </c>
      <c r="PO39">
        <f>$PO$38+--($PN39)</f>
        <v/>
      </c>
      <c r="PP39">
        <f>IF(ROW()-3&gt;MAX($PO$4:$PO$40),"",INDEX($EY$4:$EY$40,MATCH(ROW()-3,$PO$4:$PO$40,0)))</f>
        <v/>
      </c>
      <c r="PQ39">
        <f>IF(COUNTIF('Buyer Groups'!DG92:EI92,0)+COUNTIF('Buyer Groups'!EK92:EN92,0)&gt;0,0,1)</f>
        <v/>
      </c>
      <c r="PR39">
        <f>IF($FD$39="",FALSE,SUMPRODUCT(('Final Calculation Sheet'!$AD$4:$AD$40=$FD$39)*($PQ$6:$PQ$42=1))&gt;0)</f>
        <v/>
      </c>
      <c r="PS39">
        <f>$PS$38+--($PR39)</f>
        <v/>
      </c>
      <c r="PT39">
        <f>IF(ROW()-3&gt;MAX($PS$4:$PS$40),"",INDEX($FD$4:$FD$40,MATCH(ROW()-3,$PS$4:$PS$40,0)))</f>
        <v/>
      </c>
      <c r="PU39">
        <f>IF(COUNTIF('Buyer Groups'!DG92:EJ92,0)+COUNTIF('Buyer Groups'!EL92:EN92,0)&gt;0,0,1)</f>
        <v/>
      </c>
      <c r="PV39">
        <f>IF($FX$39="",FALSE,SUMPRODUCT((IF('Final Calculation Sheet'!$AD$4:$AD$40&lt;=5,"SETTLED","OUTSTANDING")=$FX$39)*($PU$6:$PU$42=1))&gt;0)</f>
        <v/>
      </c>
      <c r="PW39">
        <f>$PW$38+--($PV39)</f>
        <v/>
      </c>
      <c r="PX39">
        <f>IF(ROW()-3&gt;MAX($PW$4:$PW$40),"",INDEX($FX$4:$FX$40,MATCH(ROW()-3,$PW$4:$PW$40,0)))</f>
        <v/>
      </c>
      <c r="PY39">
        <f>IF(COUNTIF('Buyer Groups'!DG92:EK92,0)+COUNTIF('Buyer Groups'!EM92:EN92,0)&gt;0,0,1)</f>
        <v/>
      </c>
      <c r="PZ39">
        <f>IF($FI$39="",FALSE,SUMPRODUCT(('Final Calculation Sheet'!$AF$4:$AF$40=$FI$39)*($PY$6:$PY$42=1))&gt;0)</f>
        <v/>
      </c>
      <c r="QA39">
        <f>$QA$38+--($PZ39)</f>
        <v/>
      </c>
      <c r="QB39">
        <f>IF(ROW()-3&gt;MAX($QA$4:$QA$40),"",INDEX($FI$4:$FI$40,MATCH(ROW()-3,$QA$4:$QA$40,0)))</f>
        <v/>
      </c>
      <c r="QC39">
        <f>IF(COUNTIF('Buyer Groups'!DG92:EL92,0)+COUNTIF('Buyer Groups'!EN92:EN92,0)&gt;0,0,1)</f>
        <v/>
      </c>
      <c r="QD39">
        <f>IF($FN$39="",FALSE,SUMPRODUCT(('Final Calculation Sheet'!$AG$4:$AG$40=$FN$39)*($QC$6:$QC$42=1))&gt;0)</f>
        <v/>
      </c>
      <c r="QE39">
        <f>$QE$38+--($QD39)</f>
        <v/>
      </c>
      <c r="QF39">
        <f>IF(ROW()-3&gt;MAX($QE$4:$QE$40),"",INDEX($FN$4:$FN$40,MATCH(ROW()-3,$QE$4:$QE$40,0)))</f>
        <v/>
      </c>
      <c r="QG39">
        <f>IF(COUNTIF('Buyer Groups'!DG92:EM92,0)&gt;0,0,1)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IF(IFERROR('Final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IF(IFERROR('Final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Groups'!DH93:EN93,0)&gt;0,0,1)</f>
        <v/>
      </c>
      <c r="LF40">
        <f>IF($O$40="",FALSE,SUMPRODUCT(('Final Calculation Sheet'!$F$4:$F$40=$O$40)*($LE$6:$LE$42=1))&gt;0)</f>
        <v/>
      </c>
      <c r="LG40">
        <f>$LG$39+--($LF40)</f>
        <v/>
      </c>
      <c r="LH40">
        <f>IF(ROW()-3&gt;MAX($LG$4:$LG$40),"",INDEX($O$4:$O$40,MATCH(ROW()-3,$LG$4:$LG$40,0)))</f>
        <v/>
      </c>
      <c r="LI40">
        <f>IF(COUNTIF('Buyer Groups'!DG93:DG93,0)+COUNTIF('Buyer Groups'!DI93:EN93,0)&gt;0,0,1)</f>
        <v/>
      </c>
      <c r="LJ40">
        <f>IF($T$40="",FALSE,SUMPRODUCT(('Final Calculation Sheet'!$G$4:$G$40=$T$40)*($LI$6:$LI$42=1))&gt;0)</f>
        <v/>
      </c>
      <c r="LK40">
        <f>$LK$39+--($LJ40)</f>
        <v/>
      </c>
      <c r="LL40">
        <f>IF(ROW()-3&gt;MAX($LK$4:$LK$40),"",INDEX($T$4:$T$40,MATCH(ROW()-3,$LK$4:$LK$40,0)))</f>
        <v/>
      </c>
      <c r="LM40">
        <f>IF(COUNTIF('Buyer Groups'!DG93:DH93,0)+COUNTIF('Buyer Groups'!DJ93:EN93,0)&gt;0,0,1)</f>
        <v/>
      </c>
      <c r="LN40">
        <f>IF($Y$40="",FALSE,SUMPRODUCT(('Final Calculation Sheet'!$B$4:$B$40=$Y$40)*($LM$6:$LM$42=1))&gt;0)</f>
        <v/>
      </c>
      <c r="LO40">
        <f>$LO$39+--($LN40)</f>
        <v/>
      </c>
      <c r="LP40">
        <f>IF(ROW()-3&gt;MAX($LO$4:$LO$40),"",INDEX($Y$4:$Y$40,MATCH(ROW()-3,$LO$4:$LO$40,0)))</f>
        <v/>
      </c>
      <c r="LQ40">
        <f>IF(COUNTIF('Buyer Groups'!DG93:DI93,0)+COUNTIF('Buyer Groups'!DK93:EN93,0)&gt;0,0,1)</f>
        <v/>
      </c>
      <c r="LR40">
        <f>IF($AD$40="",FALSE,SUMPRODUCT(('Final Calculation Sheet'!$D$4:$D$40=$AD$40)*($LQ$6:$LQ$42=1))&gt;0)</f>
        <v/>
      </c>
      <c r="LS40">
        <f>$LS$39+--($LR40)</f>
        <v/>
      </c>
      <c r="LT40">
        <f>IF(ROW()-3&gt;MAX($LS$4:$LS$40),"",INDEX($AD$4:$AD$40,MATCH(ROW()-3,$LS$4:$LS$40,0)))</f>
        <v/>
      </c>
      <c r="LU40">
        <f>IF(COUNTIF('Buyer Groups'!DG93:DJ93,0)+COUNTIF('Buyer Groups'!DL93:EN93,0)&gt;0,0,1)</f>
        <v/>
      </c>
      <c r="LV40">
        <f>IF($AI$40="",FALSE,SUMPRODUCT(('Final Calculation Sheet'!$A$4:$A$40=$AI$40)*($LU$6:$LU$42=1))&gt;0)</f>
        <v/>
      </c>
      <c r="LW40">
        <f>$LW$39+--($LV40)</f>
        <v/>
      </c>
      <c r="LX40">
        <f>IF(ROW()-3&gt;MAX($LW$4:$LW$40),"",INDEX($AI$4:$AI$40,MATCH(ROW()-3,$LW$4:$LW$40,0)))</f>
        <v/>
      </c>
      <c r="LY40">
        <f>IF(COUNTIF('Buyer Groups'!DG93:DK93,0)+COUNTIF('Buyer Groups'!DM93:EN93,0)&gt;0,0,1)</f>
        <v/>
      </c>
      <c r="LZ40">
        <f>IF($AN$40="",FALSE,SUMPRODUCT(('Final Calculation Sheet'!$E$4:$E$40=$AN$40)*($LY$6:$LY$42=1))&gt;0)</f>
        <v/>
      </c>
      <c r="MA40">
        <f>$MA$39+--($LZ40)</f>
        <v/>
      </c>
      <c r="MB40">
        <f>IF(ROW()-3&gt;MAX($MA$4:$MA$40),"",INDEX($AN$4:$AN$40,MATCH(ROW()-3,$MA$4:$MA$40,0)))</f>
        <v/>
      </c>
      <c r="MC40">
        <f>IF(COUNTIF('Buyer Groups'!DG93:DL93,0)+COUNTIF('Buyer Groups'!DN93:EN93,0)&gt;0,0,1)</f>
        <v/>
      </c>
      <c r="MD40">
        <f>IF($AS$40="",FALSE,SUMPRODUCT(('Final Calculation Sheet'!$C$4:$C$40=$AS$40)*($MC$6:$MC$42=1))&gt;0)</f>
        <v/>
      </c>
      <c r="ME40">
        <f>$ME$39+--($MD40)</f>
        <v/>
      </c>
      <c r="MF40">
        <f>IF(ROW()-3&gt;MAX($ME$4:$ME$40),"",INDEX($AS$4:$AS$40,MATCH(ROW()-3,$ME$4:$ME$40,0)))</f>
        <v/>
      </c>
      <c r="MG40">
        <f>IF(COUNTIF('Buyer Groups'!DG93:DM93,0)+COUNTIF('Buyer Groups'!DO93:EN93,0)&gt;0,0,1)</f>
        <v/>
      </c>
      <c r="MH40">
        <f>IF($AX$40="",FALSE,SUMPRODUCT(('Final Calculation Sheet'!$H$4:$H$40=$AX$40)*($MG$6:$MG$42=1))&gt;0)</f>
        <v/>
      </c>
      <c r="MI40">
        <f>$MI$39+--($MH40)</f>
        <v/>
      </c>
      <c r="MJ40">
        <f>IF(ROW()-3&gt;MAX($MI$4:$MI$40),"",INDEX($AX$4:$AX$40,MATCH(ROW()-3,$MI$4:$MI$40,0)))</f>
        <v/>
      </c>
      <c r="MK40">
        <f>IF(COUNTIF('Buyer Groups'!DG93:DN93,0)+COUNTIF('Buyer Groups'!DP93:EN93,0)&gt;0,0,1)</f>
        <v/>
      </c>
      <c r="ML40">
        <f>IF($BC$40="",FALSE,SUMPRODUCT(('Final Calculation Sheet'!$I$4:$I$40=$BC$40)*($MK$6:$MK$42=1))&gt;0)</f>
        <v/>
      </c>
      <c r="MM40">
        <f>$MM$39+--($ML40)</f>
        <v/>
      </c>
      <c r="MN40">
        <f>IF(ROW()-3&gt;MAX($MM$4:$MM$40),"",INDEX($BC$4:$BC$40,MATCH(ROW()-3,$MM$4:$MM$40,0)))</f>
        <v/>
      </c>
      <c r="MO40">
        <f>IF(COUNTIF('Buyer Groups'!DG93:DO93,0)+COUNTIF('Buyer Groups'!DQ93:EN93,0)&gt;0,0,1)</f>
        <v/>
      </c>
      <c r="MP40">
        <f>IF($BH$40="",FALSE,SUMPRODUCT(('Final Calculation Sheet'!$J$4:$J$40=$BH$40)*($MO$6:$MO$42=1))&gt;0)</f>
        <v/>
      </c>
      <c r="MQ40">
        <f>$MQ$39+--($MP40)</f>
        <v/>
      </c>
      <c r="MR40">
        <f>IF(ROW()-3&gt;MAX($MQ$4:$MQ$40),"",INDEX($BH$4:$BH$40,MATCH(ROW()-3,$MQ$4:$MQ$40,0)))</f>
        <v/>
      </c>
      <c r="MS40">
        <f>IF(COUNTIF('Buyer Groups'!DG93:DP93,0)+COUNTIF('Buyer Groups'!DR93:EN93,0)&gt;0,0,1)</f>
        <v/>
      </c>
      <c r="MT40">
        <f>IF($BM$40="",FALSE,SUMPRODUCT(('Final Calculation Sheet'!$K$4:$K$40=$BM$40)*($MS$6:$MS$42=1))&gt;0)</f>
        <v/>
      </c>
      <c r="MU40">
        <f>$MU$39+--($MT40)</f>
        <v/>
      </c>
      <c r="MV40">
        <f>IF(ROW()-3&gt;MAX($MU$4:$MU$40),"",INDEX($BM$4:$BM$40,MATCH(ROW()-3,$MU$4:$MU$40,0)))</f>
        <v/>
      </c>
      <c r="MW40">
        <f>IF(COUNTIF('Buyer Groups'!DG93:DQ93,0)+COUNTIF('Buyer Groups'!DS93:EN93,0)&gt;0,0,1)</f>
        <v/>
      </c>
      <c r="MX40">
        <f>IF($BR$40="",FALSE,SUMPRODUCT(('Final Calculation Sheet'!$L$4:$L$40=$BR$40)*($MW$6:$MW$42=1))&gt;0)</f>
        <v/>
      </c>
      <c r="MY40">
        <f>$MY$39+--($MX40)</f>
        <v/>
      </c>
      <c r="MZ40">
        <f>IF(ROW()-3&gt;MAX($MY$4:$MY$40),"",INDEX($BR$4:$BR$40,MATCH(ROW()-3,$MY$4:$MY$40,0)))</f>
        <v/>
      </c>
      <c r="NA40">
        <f>IF(COUNTIF('Buyer Groups'!DG93:DR93,0)+COUNTIF('Buyer Groups'!DT93:EN93,0)&gt;0,0,1)</f>
        <v/>
      </c>
      <c r="NB40">
        <f>IF($BW$40="",FALSE,SUMPRODUCT(('Final Calculation Sheet'!$M$4:$M$40=$BW$40)*($NA$6:$NA$42=1))&gt;0)</f>
        <v/>
      </c>
      <c r="NC40">
        <f>$NC$39+--($NB40)</f>
        <v/>
      </c>
      <c r="ND40">
        <f>IF(ROW()-3&gt;MAX($NC$4:$NC$40),"",INDEX($BW$4:$BW$40,MATCH(ROW()-3,$NC$4:$NC$40,0)))</f>
        <v/>
      </c>
      <c r="NE40">
        <f>IF(COUNTIF('Buyer Groups'!DG93:DS93,0)+COUNTIF('Buyer Groups'!DU93:EN93,0)&gt;0,0,1)</f>
        <v/>
      </c>
      <c r="NF40">
        <f>IF($CB$40="",FALSE,SUMPRODUCT(('Final Calculation Sheet'!$N$4:$N$40=$CB$40)*($NE$6:$NE$42=1))&gt;0)</f>
        <v/>
      </c>
      <c r="NG40">
        <f>$NG$39+--($NF40)</f>
        <v/>
      </c>
      <c r="NH40">
        <f>IF(ROW()-3&gt;MAX($NG$4:$NG$40),"",INDEX($CB$4:$CB$40,MATCH(ROW()-3,$NG$4:$NG$40,0)))</f>
        <v/>
      </c>
      <c r="NI40">
        <f>IF(COUNTIF('Buyer Groups'!DG93:DT93,0)+COUNTIF('Buyer Groups'!DV93:EN93,0)&gt;0,0,1)</f>
        <v/>
      </c>
      <c r="NJ40">
        <f>IF($CG$40="",FALSE,SUMPRODUCT(('Final Calculation Sheet'!$O$4:$O$40=$CG$40)*($NI$6:$NI$42=1))&gt;0)</f>
        <v/>
      </c>
      <c r="NK40">
        <f>$NK$39+--($NJ40)</f>
        <v/>
      </c>
      <c r="NL40">
        <f>IF(ROW()-3&gt;MAX($NK$4:$NK$40),"",INDEX($CG$4:$CG$40,MATCH(ROW()-3,$NK$4:$NK$40,0)))</f>
        <v/>
      </c>
      <c r="NM40">
        <f>IF(COUNTIF('Buyer Groups'!DG93:DU93,0)+COUNTIF('Buyer Groups'!DW93:EN93,0)&gt;0,0,1)</f>
        <v/>
      </c>
      <c r="NN40">
        <f>IF($CL$40="",FALSE,SUMPRODUCT(('Final Calculation Sheet'!$P$4:$P$40=$CL$40)*($NM$6:$NM$42=1))&gt;0)</f>
        <v/>
      </c>
      <c r="NO40">
        <f>$NO$39+--($NN40)</f>
        <v/>
      </c>
      <c r="NP40">
        <f>IF(ROW()-3&gt;MAX($NO$4:$NO$40),"",INDEX($CL$4:$CL$40,MATCH(ROW()-3,$NO$4:$NO$40,0)))</f>
        <v/>
      </c>
      <c r="NQ40">
        <f>IF(COUNTIF('Buyer Groups'!DG93:DV93,0)+COUNTIF('Buyer Groups'!DX93:EN93,0)&gt;0,0,1)</f>
        <v/>
      </c>
      <c r="NR40">
        <f>IF($CQ$40="",FALSE,SUMPRODUCT(('Final Calculation Sheet'!$Q$4:$Q$40=$CQ$40)*($NQ$6:$NQ$42=1))&gt;0)</f>
        <v/>
      </c>
      <c r="NS40">
        <f>$NS$39+--($NR40)</f>
        <v/>
      </c>
      <c r="NT40">
        <f>IF(ROW()-3&gt;MAX($NS$4:$NS$40),"",INDEX($CQ$4:$CQ$40,MATCH(ROW()-3,$NS$4:$NS$40,0)))</f>
        <v/>
      </c>
      <c r="NU40">
        <f>IF(COUNTIF('Buyer Groups'!DG93:DW93,0)+COUNTIF('Buyer Groups'!DY93:EN93,0)&gt;0,0,1)</f>
        <v/>
      </c>
      <c r="NV40">
        <f>IF($CV$40="",FALSE,SUMPRODUCT(('Final Calculation Sheet'!$R$4:$R$40=$CV$40)*($NU$6:$NU$42=1))&gt;0)</f>
        <v/>
      </c>
      <c r="NW40">
        <f>$NW$39+--($NV40)</f>
        <v/>
      </c>
      <c r="NX40">
        <f>IF(ROW()-3&gt;MAX($NW$4:$NW$40),"",INDEX($CV$4:$CV$40,MATCH(ROW()-3,$NW$4:$NW$40,0)))</f>
        <v/>
      </c>
      <c r="NY40">
        <f>IF(COUNTIF('Buyer Groups'!DG93:DX93,0)+COUNTIF('Buyer Groups'!DZ93:EN93,0)&gt;0,0,1)</f>
        <v/>
      </c>
      <c r="NZ40">
        <f>IF($DA$40="",FALSE,SUMPRODUCT(('Final Calculation Sheet'!$S$4:$S$40=$DA$40)*($NY$6:$NY$42=1))&gt;0)</f>
        <v/>
      </c>
      <c r="OA40">
        <f>$OA$39+--($NZ40)</f>
        <v/>
      </c>
      <c r="OB40">
        <f>IF(ROW()-3&gt;MAX($OA$4:$OA$40),"",INDEX($DA$4:$DA$40,MATCH(ROW()-3,$OA$4:$OA$40,0)))</f>
        <v/>
      </c>
      <c r="OC40">
        <f>IF(COUNTIF('Buyer Groups'!DG93:DY93,0)+COUNTIF('Buyer Groups'!EA93:EN93,0)&gt;0,0,1)</f>
        <v/>
      </c>
      <c r="OD40">
        <f>IF($DF$40="",FALSE,SUMPRODUCT(('Final Calculation Sheet'!$T$4:$T$40=$DF$40)*($OC$6:$OC$42=1))&gt;0)</f>
        <v/>
      </c>
      <c r="OE40">
        <f>$OE$39+--($OD40)</f>
        <v/>
      </c>
      <c r="OF40">
        <f>IF(ROW()-3&gt;MAX($OE$4:$OE$40),"",INDEX($DF$4:$DF$40,MATCH(ROW()-3,$OE$4:$OE$40,0)))</f>
        <v/>
      </c>
      <c r="OG40">
        <f>IF(COUNTIF('Buyer Groups'!DG93:DZ93,0)+COUNTIF('Buyer Groups'!EB93:EN93,0)&gt;0,0,1)</f>
        <v/>
      </c>
      <c r="OH40">
        <f>IF($DK$40="",FALSE,SUMPRODUCT(('Final Calculation Sheet'!$U$4:$U$40=$DK$40)*($OG$6:$OG$42=1))&gt;0)</f>
        <v/>
      </c>
      <c r="OI40">
        <f>$OI$39+--($OH40)</f>
        <v/>
      </c>
      <c r="OJ40">
        <f>IF(ROW()-3&gt;MAX($OI$4:$OI$40),"",INDEX($DK$4:$DK$40,MATCH(ROW()-3,$OI$4:$OI$40,0)))</f>
        <v/>
      </c>
      <c r="OK40">
        <f>IF(COUNTIF('Buyer Groups'!DG93:EA93,0)+COUNTIF('Buyer Groups'!EC93:EN93,0)&gt;0,0,1)</f>
        <v/>
      </c>
      <c r="OL40">
        <f>IF($DP$40="",FALSE,SUMPRODUCT(('Final Calculation Sheet'!$V$4:$V$40=$DP$40)*($OK$6:$OK$42=1))&gt;0)</f>
        <v/>
      </c>
      <c r="OM40">
        <f>$OM$39+--($OL40)</f>
        <v/>
      </c>
      <c r="ON40">
        <f>IF(ROW()-3&gt;MAX($OM$4:$OM$40),"",INDEX($DP$4:$DP$40,MATCH(ROW()-3,$OM$4:$OM$40,0)))</f>
        <v/>
      </c>
      <c r="OO40">
        <f>IF(COUNTIF('Buyer Groups'!DG93:EB93,0)+COUNTIF('Buyer Groups'!ED93:EN93,0)&gt;0,0,1)</f>
        <v/>
      </c>
      <c r="OP40">
        <f>IF($DU$40="",FALSE,SUMPRODUCT(('Final Calculation Sheet'!$W$4:$W$40=$DU$40)*($OO$6:$OO$42=1))&gt;0)</f>
        <v/>
      </c>
      <c r="OQ40">
        <f>$OQ$39+--($OP40)</f>
        <v/>
      </c>
      <c r="OR40">
        <f>IF(ROW()-3&gt;MAX($OQ$4:$OQ$40),"",INDEX($DU$4:$DU$40,MATCH(ROW()-3,$OQ$4:$OQ$40,0)))</f>
        <v/>
      </c>
      <c r="OS40">
        <f>IF(COUNTIF('Buyer Groups'!DG93:EC93,0)+COUNTIF('Buyer Groups'!EE93:EN93,0)&gt;0,0,1)</f>
        <v/>
      </c>
      <c r="OT40">
        <f>IF($DZ$40="",FALSE,SUMPRODUCT(('Final Calculation Sheet'!$X$4:$X$40=$DZ$40)*($OS$6:$OS$42=1))&gt;0)</f>
        <v/>
      </c>
      <c r="OU40">
        <f>$OU$39+--($OT40)</f>
        <v/>
      </c>
      <c r="OV40">
        <f>IF(ROW()-3&gt;MAX($OU$4:$OU$40),"",INDEX($DZ$4:$DZ$40,MATCH(ROW()-3,$OU$4:$OU$40,0)))</f>
        <v/>
      </c>
      <c r="OW40">
        <f>IF(COUNTIF('Buyer Groups'!DG93:ED93,0)+COUNTIF('Buyer Groups'!EF93:EN93,0)&gt;0,0,1)</f>
        <v/>
      </c>
      <c r="OX40">
        <f>IF($EE$40="",FALSE,SUMPRODUCT(('Final Calculation Sheet'!$Y$4:$Y$40=$EE$40)*($OW$6:$OW$42=1))&gt;0)</f>
        <v/>
      </c>
      <c r="OY40">
        <f>$OY$39+--($OX40)</f>
        <v/>
      </c>
      <c r="OZ40">
        <f>IF(ROW()-3&gt;MAX($OY$4:$OY$40),"",INDEX($EE$4:$EE$40,MATCH(ROW()-3,$OY$4:$OY$40,0)))</f>
        <v/>
      </c>
      <c r="PA40">
        <f>IF(COUNTIF('Buyer Groups'!DG93:EE93,0)+COUNTIF('Buyer Groups'!EG93:EN93,0)&gt;0,0,1)</f>
        <v/>
      </c>
      <c r="PB40">
        <f>IF($EJ$40="",FALSE,SUMPRODUCT(('Final Calculation Sheet'!$Z$4:$Z$40=$EJ$40)*($PA$6:$PA$42=1))&gt;0)</f>
        <v/>
      </c>
      <c r="PC40">
        <f>$PC$39+--($PB40)</f>
        <v/>
      </c>
      <c r="PD40">
        <f>IF(ROW()-3&gt;MAX($PC$4:$PC$40),"",INDEX($EJ$4:$EJ$40,MATCH(ROW()-3,$PC$4:$PC$40,0)))</f>
        <v/>
      </c>
      <c r="PE40">
        <f>IF(COUNTIF('Buyer Groups'!DG93:EF93,0)+COUNTIF('Buyer Groups'!EH93:EN93,0)&gt;0,0,1)</f>
        <v/>
      </c>
      <c r="PF40">
        <f>IF($EO$40="",FALSE,SUMPRODUCT(('Final Calculation Sheet'!$AA$4:$AA$40=$EO$40)*($PE$6:$PE$42=1))&gt;0)</f>
        <v/>
      </c>
      <c r="PG40">
        <f>$PG$39+--($PF40)</f>
        <v/>
      </c>
      <c r="PH40">
        <f>IF(ROW()-3&gt;MAX($PG$4:$PG$40),"",INDEX($EO$4:$EO$40,MATCH(ROW()-3,$PG$4:$PG$40,0)))</f>
        <v/>
      </c>
      <c r="PI40">
        <f>IF(COUNTIF('Buyer Groups'!DG93:EG93,0)+COUNTIF('Buyer Groups'!EI93:EN93,0)&gt;0,0,1)</f>
        <v/>
      </c>
      <c r="PJ40">
        <f>IF($ET$40="",FALSE,SUMPRODUCT(('Final Calculation Sheet'!$AB$4:$AB$40=$ET$40)*($PI$6:$PI$42=1))&gt;0)</f>
        <v/>
      </c>
      <c r="PK40">
        <f>$PK$39+--($PJ40)</f>
        <v/>
      </c>
      <c r="PL40">
        <f>IF(ROW()-3&gt;MAX($PK$4:$PK$40),"",INDEX($ET$4:$ET$40,MATCH(ROW()-3,$PK$4:$PK$40,0)))</f>
        <v/>
      </c>
      <c r="PM40">
        <f>IF(COUNTIF('Buyer Groups'!DG93:EH93,0)+COUNTIF('Buyer Groups'!EJ93:EN93,0)&gt;0,0,1)</f>
        <v/>
      </c>
      <c r="PN40">
        <f>IF($EY$40="",FALSE,SUMPRODUCT(('Final Calculation Sheet'!$AC$4:$AC$40=$EY$40)*($PM$6:$PM$42=1))&gt;0)</f>
        <v/>
      </c>
      <c r="PO40">
        <f>$PO$39+--($PN40)</f>
        <v/>
      </c>
      <c r="PP40">
        <f>IF(ROW()-3&gt;MAX($PO$4:$PO$40),"",INDEX($EY$4:$EY$40,MATCH(ROW()-3,$PO$4:$PO$40,0)))</f>
        <v/>
      </c>
      <c r="PQ40">
        <f>IF(COUNTIF('Buyer Groups'!DG93:EI93,0)+COUNTIF('Buyer Groups'!EK93:EN93,0)&gt;0,0,1)</f>
        <v/>
      </c>
      <c r="PR40">
        <f>IF($FD$40="",FALSE,SUMPRODUCT(('Final Calculation Sheet'!$AD$4:$AD$40=$FD$40)*($PQ$6:$PQ$42=1))&gt;0)</f>
        <v/>
      </c>
      <c r="PS40">
        <f>$PS$39+--($PR40)</f>
        <v/>
      </c>
      <c r="PT40">
        <f>IF(ROW()-3&gt;MAX($PS$4:$PS$40),"",INDEX($FD$4:$FD$40,MATCH(ROW()-3,$PS$4:$PS$40,0)))</f>
        <v/>
      </c>
      <c r="PU40">
        <f>IF(COUNTIF('Buyer Groups'!DG93:EJ93,0)+COUNTIF('Buyer Groups'!EL93:EN93,0)&gt;0,0,1)</f>
        <v/>
      </c>
      <c r="PV40">
        <f>IF($FX$40="",FALSE,SUMPRODUCT((IF('Final Calculation Sheet'!$AD$4:$AD$40&lt;=5,"SETTLED","OUTSTANDING")=$FX$40)*($PU$6:$PU$42=1))&gt;0)</f>
        <v/>
      </c>
      <c r="PW40">
        <f>$PW$39+--($PV40)</f>
        <v/>
      </c>
      <c r="PX40">
        <f>IF(ROW()-3&gt;MAX($PW$4:$PW$40),"",INDEX($FX$4:$FX$40,MATCH(ROW()-3,$PW$4:$PW$40,0)))</f>
        <v/>
      </c>
      <c r="PY40">
        <f>IF(COUNTIF('Buyer Groups'!DG93:EK93,0)+COUNTIF('Buyer Groups'!EM93:EN93,0)&gt;0,0,1)</f>
        <v/>
      </c>
      <c r="PZ40">
        <f>IF($FI$40="",FALSE,SUMPRODUCT(('Final Calculation Sheet'!$AF$4:$AF$40=$FI$40)*($PY$6:$PY$42=1))&gt;0)</f>
        <v/>
      </c>
      <c r="QA40">
        <f>$QA$39+--($PZ40)</f>
        <v/>
      </c>
      <c r="QB40">
        <f>IF(ROW()-3&gt;MAX($QA$4:$QA$40),"",INDEX($FI$4:$FI$40,MATCH(ROW()-3,$QA$4:$QA$40,0)))</f>
        <v/>
      </c>
      <c r="QC40">
        <f>IF(COUNTIF('Buyer Groups'!DG93:EL93,0)+COUNTIF('Buyer Groups'!EN93:EN93,0)&gt;0,0,1)</f>
        <v/>
      </c>
      <c r="QD40">
        <f>IF($FN$40="",FALSE,SUMPRODUCT(('Final Calculation Sheet'!$AG$4:$AG$40=$FN$40)*($QC$6:$QC$42=1))&gt;0)</f>
        <v/>
      </c>
      <c r="QE40">
        <f>$QE$39+--($QD40)</f>
        <v/>
      </c>
      <c r="QF40">
        <f>IF(ROW()-3&gt;MAX($QE$4:$QE$40),"",INDEX($FN$4:$FN$40,MATCH(ROW()-3,$QE$4:$QE$40,0)))</f>
        <v/>
      </c>
      <c r="QG40">
        <f>IF(COUNTIF('Buyer Groups'!DG93:EM93,0)&gt;0,0,1)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IF(IFERROR('Final Calculation Sheet'!$G$4,"")="","",'Final Calculation Sheet'!$G$4)</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Groups'!DH94:EN94,0)&gt;0,0,1)</f>
        <v/>
      </c>
      <c r="LH41">
        <f>IF(ROW()-3&gt;MAX($LG$4:$LG$40),"",INDEX($O$4:$O$40,MATCH(ROW()-3,$LG$4:$LG$40,0)))</f>
        <v/>
      </c>
      <c r="LI41">
        <f>IF(COUNTIF('Buyer Groups'!DG94:DG94,0)+COUNTIF('Buyer Groups'!DI94:EN94,0)&gt;0,0,1)</f>
        <v/>
      </c>
      <c r="LL41">
        <f>IF(ROW()-3&gt;MAX($LK$4:$LK$40),"",INDEX($T$4:$T$40,MATCH(ROW()-3,$LK$4:$LK$40,0)))</f>
        <v/>
      </c>
      <c r="LM41">
        <f>IF(COUNTIF('Buyer Groups'!DG94:DH94,0)+COUNTIF('Buyer Groups'!DJ94:EN94,0)&gt;0,0,1)</f>
        <v/>
      </c>
      <c r="LP41">
        <f>IF(ROW()-3&gt;MAX($LO$4:$LO$40),"",INDEX($Y$4:$Y$40,MATCH(ROW()-3,$LO$4:$LO$40,0)))</f>
        <v/>
      </c>
      <c r="LQ41">
        <f>IF(COUNTIF('Buyer Groups'!DG94:DI94,0)+COUNTIF('Buyer Groups'!DK94:EN94,0)&gt;0,0,1)</f>
        <v/>
      </c>
      <c r="LT41">
        <f>IF(ROW()-3&gt;MAX($LS$4:$LS$40),"",INDEX($AD$4:$AD$40,MATCH(ROW()-3,$LS$4:$LS$40,0)))</f>
        <v/>
      </c>
      <c r="LU41">
        <f>IF(COUNTIF('Buyer Groups'!DG94:DJ94,0)+COUNTIF('Buyer Groups'!DL94:EN94,0)&gt;0,0,1)</f>
        <v/>
      </c>
      <c r="LX41">
        <f>IF(ROW()-3&gt;MAX($LW$4:$LW$40),"",INDEX($AI$4:$AI$40,MATCH(ROW()-3,$LW$4:$LW$40,0)))</f>
        <v/>
      </c>
      <c r="LY41">
        <f>IF(COUNTIF('Buyer Groups'!DG94:DK94,0)+COUNTIF('Buyer Groups'!DM94:EN94,0)&gt;0,0,1)</f>
        <v/>
      </c>
      <c r="MB41">
        <f>IF(ROW()-3&gt;MAX($MA$4:$MA$40),"",INDEX($AN$4:$AN$40,MATCH(ROW()-3,$MA$4:$MA$40,0)))</f>
        <v/>
      </c>
      <c r="MC41">
        <f>IF(COUNTIF('Buyer Groups'!DG94:DL94,0)+COUNTIF('Buyer Groups'!DN94:EN94,0)&gt;0,0,1)</f>
        <v/>
      </c>
      <c r="MF41">
        <f>IF(ROW()-3&gt;MAX($ME$4:$ME$40),"",INDEX($AS$4:$AS$40,MATCH(ROW()-3,$ME$4:$ME$40,0)))</f>
        <v/>
      </c>
      <c r="MG41">
        <f>IF(COUNTIF('Buyer Groups'!DG94:DM94,0)+COUNTIF('Buyer Groups'!DO94:EN94,0)&gt;0,0,1)</f>
        <v/>
      </c>
      <c r="MJ41">
        <f>IF(ROW()-3&gt;MAX($MI$4:$MI$40),"",INDEX($AX$4:$AX$40,MATCH(ROW()-3,$MI$4:$MI$40,0)))</f>
        <v/>
      </c>
      <c r="MK41">
        <f>IF(COUNTIF('Buyer Groups'!DG94:DN94,0)+COUNTIF('Buyer Groups'!DP94:EN94,0)&gt;0,0,1)</f>
        <v/>
      </c>
      <c r="MN41">
        <f>IF(ROW()-3&gt;MAX($MM$4:$MM$40),"",INDEX($BC$4:$BC$40,MATCH(ROW()-3,$MM$4:$MM$40,0)))</f>
        <v/>
      </c>
      <c r="MO41">
        <f>IF(COUNTIF('Buyer Groups'!DG94:DO94,0)+COUNTIF('Buyer Groups'!DQ94:EN94,0)&gt;0,0,1)</f>
        <v/>
      </c>
      <c r="MR41">
        <f>IF(ROW()-3&gt;MAX($MQ$4:$MQ$40),"",INDEX($BH$4:$BH$40,MATCH(ROW()-3,$MQ$4:$MQ$40,0)))</f>
        <v/>
      </c>
      <c r="MS41">
        <f>IF(COUNTIF('Buyer Groups'!DG94:DP94,0)+COUNTIF('Buyer Groups'!DR94:EN94,0)&gt;0,0,1)</f>
        <v/>
      </c>
      <c r="MV41">
        <f>IF(ROW()-3&gt;MAX($MU$4:$MU$40),"",INDEX($BM$4:$BM$40,MATCH(ROW()-3,$MU$4:$MU$40,0)))</f>
        <v/>
      </c>
      <c r="MW41">
        <f>IF(COUNTIF('Buyer Groups'!DG94:DQ94,0)+COUNTIF('Buyer Groups'!DS94:EN94,0)&gt;0,0,1)</f>
        <v/>
      </c>
      <c r="MZ41">
        <f>IF(ROW()-3&gt;MAX($MY$4:$MY$40),"",INDEX($BR$4:$BR$40,MATCH(ROW()-3,$MY$4:$MY$40,0)))</f>
        <v/>
      </c>
      <c r="NA41">
        <f>IF(COUNTIF('Buyer Groups'!DG94:DR94,0)+COUNTIF('Buyer Groups'!DT94:EN94,0)&gt;0,0,1)</f>
        <v/>
      </c>
      <c r="ND41">
        <f>IF(ROW()-3&gt;MAX($NC$4:$NC$40),"",INDEX($BW$4:$BW$40,MATCH(ROW()-3,$NC$4:$NC$40,0)))</f>
        <v/>
      </c>
      <c r="NE41">
        <f>IF(COUNTIF('Buyer Groups'!DG94:DS94,0)+COUNTIF('Buyer Groups'!DU94:EN94,0)&gt;0,0,1)</f>
        <v/>
      </c>
      <c r="NH41">
        <f>IF(ROW()-3&gt;MAX($NG$4:$NG$40),"",INDEX($CB$4:$CB$40,MATCH(ROW()-3,$NG$4:$NG$40,0)))</f>
        <v/>
      </c>
      <c r="NI41">
        <f>IF(COUNTIF('Buyer Groups'!DG94:DT94,0)+COUNTIF('Buyer Groups'!DV94:EN94,0)&gt;0,0,1)</f>
        <v/>
      </c>
      <c r="NL41">
        <f>IF(ROW()-3&gt;MAX($NK$4:$NK$40),"",INDEX($CG$4:$CG$40,MATCH(ROW()-3,$NK$4:$NK$40,0)))</f>
        <v/>
      </c>
      <c r="NM41">
        <f>IF(COUNTIF('Buyer Groups'!DG94:DU94,0)+COUNTIF('Buyer Groups'!DW94:EN94,0)&gt;0,0,1)</f>
        <v/>
      </c>
      <c r="NP41">
        <f>IF(ROW()-3&gt;MAX($NO$4:$NO$40),"",INDEX($CL$4:$CL$40,MATCH(ROW()-3,$NO$4:$NO$40,0)))</f>
        <v/>
      </c>
      <c r="NQ41">
        <f>IF(COUNTIF('Buyer Groups'!DG94:DV94,0)+COUNTIF('Buyer Groups'!DX94:EN94,0)&gt;0,0,1)</f>
        <v/>
      </c>
      <c r="NT41">
        <f>IF(ROW()-3&gt;MAX($NS$4:$NS$40),"",INDEX($CQ$4:$CQ$40,MATCH(ROW()-3,$NS$4:$NS$40,0)))</f>
        <v/>
      </c>
      <c r="NU41">
        <f>IF(COUNTIF('Buyer Groups'!DG94:DW94,0)+COUNTIF('Buyer Groups'!DY94:EN94,0)&gt;0,0,1)</f>
        <v/>
      </c>
      <c r="NX41">
        <f>IF(ROW()-3&gt;MAX($NW$4:$NW$40),"",INDEX($CV$4:$CV$40,MATCH(ROW()-3,$NW$4:$NW$40,0)))</f>
        <v/>
      </c>
      <c r="NY41">
        <f>IF(COUNTIF('Buyer Groups'!DG94:DX94,0)+COUNTIF('Buyer Groups'!DZ94:EN94,0)&gt;0,0,1)</f>
        <v/>
      </c>
      <c r="OB41">
        <f>IF(ROW()-3&gt;MAX($OA$4:$OA$40),"",INDEX($DA$4:$DA$40,MATCH(ROW()-3,$OA$4:$OA$40,0)))</f>
        <v/>
      </c>
      <c r="OC41">
        <f>IF(COUNTIF('Buyer Groups'!DG94:DY94,0)+COUNTIF('Buyer Groups'!EA94:EN94,0)&gt;0,0,1)</f>
        <v/>
      </c>
      <c r="OF41">
        <f>IF(ROW()-3&gt;MAX($OE$4:$OE$40),"",INDEX($DF$4:$DF$40,MATCH(ROW()-3,$OE$4:$OE$40,0)))</f>
        <v/>
      </c>
      <c r="OG41">
        <f>IF(COUNTIF('Buyer Groups'!DG94:DZ94,0)+COUNTIF('Buyer Groups'!EB94:EN94,0)&gt;0,0,1)</f>
        <v/>
      </c>
      <c r="OJ41">
        <f>IF(ROW()-3&gt;MAX($OI$4:$OI$40),"",INDEX($DK$4:$DK$40,MATCH(ROW()-3,$OI$4:$OI$40,0)))</f>
        <v/>
      </c>
      <c r="OK41">
        <f>IF(COUNTIF('Buyer Groups'!DG94:EA94,0)+COUNTIF('Buyer Groups'!EC94:EN94,0)&gt;0,0,1)</f>
        <v/>
      </c>
      <c r="ON41">
        <f>IF(ROW()-3&gt;MAX($OM$4:$OM$40),"",INDEX($DP$4:$DP$40,MATCH(ROW()-3,$OM$4:$OM$40,0)))</f>
        <v/>
      </c>
      <c r="OO41">
        <f>IF(COUNTIF('Buyer Groups'!DG94:EB94,0)+COUNTIF('Buyer Groups'!ED94:EN94,0)&gt;0,0,1)</f>
        <v/>
      </c>
      <c r="OR41">
        <f>IF(ROW()-3&gt;MAX($OQ$4:$OQ$40),"",INDEX($DU$4:$DU$40,MATCH(ROW()-3,$OQ$4:$OQ$40,0)))</f>
        <v/>
      </c>
      <c r="OS41">
        <f>IF(COUNTIF('Buyer Groups'!DG94:EC94,0)+COUNTIF('Buyer Groups'!EE94:EN94,0)&gt;0,0,1)</f>
        <v/>
      </c>
      <c r="OV41">
        <f>IF(ROW()-3&gt;MAX($OU$4:$OU$40),"",INDEX($DZ$4:$DZ$40,MATCH(ROW()-3,$OU$4:$OU$40,0)))</f>
        <v/>
      </c>
      <c r="OW41">
        <f>IF(COUNTIF('Buyer Groups'!DG94:ED94,0)+COUNTIF('Buyer Groups'!EF94:EN94,0)&gt;0,0,1)</f>
        <v/>
      </c>
      <c r="OZ41">
        <f>IF(ROW()-3&gt;MAX($OY$4:$OY$40),"",INDEX($EE$4:$EE$40,MATCH(ROW()-3,$OY$4:$OY$40,0)))</f>
        <v/>
      </c>
      <c r="PA41">
        <f>IF(COUNTIF('Buyer Groups'!DG94:EE94,0)+COUNTIF('Buyer Groups'!EG94:EN94,0)&gt;0,0,1)</f>
        <v/>
      </c>
      <c r="PD41">
        <f>IF(ROW()-3&gt;MAX($PC$4:$PC$40),"",INDEX($EJ$4:$EJ$40,MATCH(ROW()-3,$PC$4:$PC$40,0)))</f>
        <v/>
      </c>
      <c r="PE41">
        <f>IF(COUNTIF('Buyer Groups'!DG94:EF94,0)+COUNTIF('Buyer Groups'!EH94:EN94,0)&gt;0,0,1)</f>
        <v/>
      </c>
      <c r="PH41">
        <f>IF(ROW()-3&gt;MAX($PG$4:$PG$40),"",INDEX($EO$4:$EO$40,MATCH(ROW()-3,$PG$4:$PG$40,0)))</f>
        <v/>
      </c>
      <c r="PI41">
        <f>IF(COUNTIF('Buyer Groups'!DG94:EG94,0)+COUNTIF('Buyer Groups'!EI94:EN94,0)&gt;0,0,1)</f>
        <v/>
      </c>
      <c r="PL41">
        <f>IF(ROW()-3&gt;MAX($PK$4:$PK$40),"",INDEX($ET$4:$ET$40,MATCH(ROW()-3,$PK$4:$PK$40,0)))</f>
        <v/>
      </c>
      <c r="PM41">
        <f>IF(COUNTIF('Buyer Groups'!DG94:EH94,0)+COUNTIF('Buyer Groups'!EJ94:EN94,0)&gt;0,0,1)</f>
        <v/>
      </c>
      <c r="PP41">
        <f>IF(ROW()-3&gt;MAX($PO$4:$PO$40),"",INDEX($EY$4:$EY$40,MATCH(ROW()-3,$PO$4:$PO$40,0)))</f>
        <v/>
      </c>
      <c r="PQ41">
        <f>IF(COUNTIF('Buyer Groups'!DG94:EI94,0)+COUNTIF('Buyer Groups'!EK94:EN94,0)&gt;0,0,1)</f>
        <v/>
      </c>
      <c r="PT41">
        <f>IF(ROW()-3&gt;MAX($PS$4:$PS$40),"",INDEX($FD$4:$FD$40,MATCH(ROW()-3,$PS$4:$PS$40,0)))</f>
        <v/>
      </c>
      <c r="PU41">
        <f>IF(COUNTIF('Buyer Groups'!DG94:EJ94,0)+COUNTIF('Buyer Groups'!EL94:EN94,0)&gt;0,0,1)</f>
        <v/>
      </c>
      <c r="PX41">
        <f>IF(ROW()-3&gt;MAX($PW$4:$PW$40),"",INDEX($FX$4:$FX$40,MATCH(ROW()-3,$PW$4:$PW$40,0)))</f>
        <v/>
      </c>
      <c r="PY41">
        <f>IF(COUNTIF('Buyer Groups'!DG94:EK94,0)+COUNTIF('Buyer Groups'!EM94:EN94,0)&gt;0,0,1)</f>
        <v/>
      </c>
      <c r="QB41">
        <f>IF(ROW()-3&gt;MAX($QA$4:$QA$40),"",INDEX($FI$4:$FI$40,MATCH(ROW()-3,$QA$4:$QA$40,0)))</f>
        <v/>
      </c>
      <c r="QC41">
        <f>IF(COUNTIF('Buyer Groups'!DG94:EL94,0)+COUNTIF('Buyer Groups'!EN94:EN94,0)&gt;0,0,1)</f>
        <v/>
      </c>
      <c r="QF41">
        <f>IF(ROW()-3&gt;MAX($QE$4:$QE$40),"",INDEX($FN$4:$FN$40,MATCH(ROW()-3,$QE$4:$QE$40,0)))</f>
        <v/>
      </c>
      <c r="QG41">
        <f>IF(COUNTIF('Buyer Groups'!DG94:EM94,0)&gt;0,0,1)</f>
        <v/>
      </c>
      <c r="QJ41">
        <f>IF(ROW()-3&gt;MAX($QI$4:$QI$40),"",INDEX($FS$4:$FS$40,MATCH(ROW()-3,$QI$4:$QI$40,0)))</f>
        <v/>
      </c>
    </row>
    <row r="42">
      <c r="A42">
        <f>IF(IFERROR('Final Calculation Sheet'!$G$5,"")="","",'Final Calculation Sheet'!$G$5)</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Groups'!DH95:EN95,0)&gt;0,0,1)</f>
        <v/>
      </c>
      <c r="LH42">
        <f>IF(ROW()-3&gt;MAX($LG$4:$LG$40),"",INDEX($O$4:$O$40,MATCH(ROW()-3,$LG$4:$LG$40,0)))</f>
        <v/>
      </c>
      <c r="LI42">
        <f>IF(COUNTIF('Buyer Groups'!DG95:DG95,0)+COUNTIF('Buyer Groups'!DI95:EN95,0)&gt;0,0,1)</f>
        <v/>
      </c>
      <c r="LL42">
        <f>IF(ROW()-3&gt;MAX($LK$4:$LK$40),"",INDEX($T$4:$T$40,MATCH(ROW()-3,$LK$4:$LK$40,0)))</f>
        <v/>
      </c>
      <c r="LM42">
        <f>IF(COUNTIF('Buyer Groups'!DG95:DH95,0)+COUNTIF('Buyer Groups'!DJ95:EN95,0)&gt;0,0,1)</f>
        <v/>
      </c>
      <c r="LP42">
        <f>IF(ROW()-3&gt;MAX($LO$4:$LO$40),"",INDEX($Y$4:$Y$40,MATCH(ROW()-3,$LO$4:$LO$40,0)))</f>
        <v/>
      </c>
      <c r="LQ42">
        <f>IF(COUNTIF('Buyer Groups'!DG95:DI95,0)+COUNTIF('Buyer Groups'!DK95:EN95,0)&gt;0,0,1)</f>
        <v/>
      </c>
      <c r="LT42">
        <f>IF(ROW()-3&gt;MAX($LS$4:$LS$40),"",INDEX($AD$4:$AD$40,MATCH(ROW()-3,$LS$4:$LS$40,0)))</f>
        <v/>
      </c>
      <c r="LU42">
        <f>IF(COUNTIF('Buyer Groups'!DG95:DJ95,0)+COUNTIF('Buyer Groups'!DL95:EN95,0)&gt;0,0,1)</f>
        <v/>
      </c>
      <c r="LX42">
        <f>IF(ROW()-3&gt;MAX($LW$4:$LW$40),"",INDEX($AI$4:$AI$40,MATCH(ROW()-3,$LW$4:$LW$40,0)))</f>
        <v/>
      </c>
      <c r="LY42">
        <f>IF(COUNTIF('Buyer Groups'!DG95:DK95,0)+COUNTIF('Buyer Groups'!DM95:EN95,0)&gt;0,0,1)</f>
        <v/>
      </c>
      <c r="MB42">
        <f>IF(ROW()-3&gt;MAX($MA$4:$MA$40),"",INDEX($AN$4:$AN$40,MATCH(ROW()-3,$MA$4:$MA$40,0)))</f>
        <v/>
      </c>
      <c r="MC42">
        <f>IF(COUNTIF('Buyer Groups'!DG95:DL95,0)+COUNTIF('Buyer Groups'!DN95:EN95,0)&gt;0,0,1)</f>
        <v/>
      </c>
      <c r="MF42">
        <f>IF(ROW()-3&gt;MAX($ME$4:$ME$40),"",INDEX($AS$4:$AS$40,MATCH(ROW()-3,$ME$4:$ME$40,0)))</f>
        <v/>
      </c>
      <c r="MG42">
        <f>IF(COUNTIF('Buyer Groups'!DG95:DM95,0)+COUNTIF('Buyer Groups'!DO95:EN95,0)&gt;0,0,1)</f>
        <v/>
      </c>
      <c r="MJ42">
        <f>IF(ROW()-3&gt;MAX($MI$4:$MI$40),"",INDEX($AX$4:$AX$40,MATCH(ROW()-3,$MI$4:$MI$40,0)))</f>
        <v/>
      </c>
      <c r="MK42">
        <f>IF(COUNTIF('Buyer Groups'!DG95:DN95,0)+COUNTIF('Buyer Groups'!DP95:EN95,0)&gt;0,0,1)</f>
        <v/>
      </c>
      <c r="MN42">
        <f>IF(ROW()-3&gt;MAX($MM$4:$MM$40),"",INDEX($BC$4:$BC$40,MATCH(ROW()-3,$MM$4:$MM$40,0)))</f>
        <v/>
      </c>
      <c r="MO42">
        <f>IF(COUNTIF('Buyer Groups'!DG95:DO95,0)+COUNTIF('Buyer Groups'!DQ95:EN95,0)&gt;0,0,1)</f>
        <v/>
      </c>
      <c r="MR42">
        <f>IF(ROW()-3&gt;MAX($MQ$4:$MQ$40),"",INDEX($BH$4:$BH$40,MATCH(ROW()-3,$MQ$4:$MQ$40,0)))</f>
        <v/>
      </c>
      <c r="MS42">
        <f>IF(COUNTIF('Buyer Groups'!DG95:DP95,0)+COUNTIF('Buyer Groups'!DR95:EN95,0)&gt;0,0,1)</f>
        <v/>
      </c>
      <c r="MV42">
        <f>IF(ROW()-3&gt;MAX($MU$4:$MU$40),"",INDEX($BM$4:$BM$40,MATCH(ROW()-3,$MU$4:$MU$40,0)))</f>
        <v/>
      </c>
      <c r="MW42">
        <f>IF(COUNTIF('Buyer Groups'!DG95:DQ95,0)+COUNTIF('Buyer Groups'!DS95:EN95,0)&gt;0,0,1)</f>
        <v/>
      </c>
      <c r="MZ42">
        <f>IF(ROW()-3&gt;MAX($MY$4:$MY$40),"",INDEX($BR$4:$BR$40,MATCH(ROW()-3,$MY$4:$MY$40,0)))</f>
        <v/>
      </c>
      <c r="NA42">
        <f>IF(COUNTIF('Buyer Groups'!DG95:DR95,0)+COUNTIF('Buyer Groups'!DT95:EN95,0)&gt;0,0,1)</f>
        <v/>
      </c>
      <c r="ND42">
        <f>IF(ROW()-3&gt;MAX($NC$4:$NC$40),"",INDEX($BW$4:$BW$40,MATCH(ROW()-3,$NC$4:$NC$40,0)))</f>
        <v/>
      </c>
      <c r="NE42">
        <f>IF(COUNTIF('Buyer Groups'!DG95:DS95,0)+COUNTIF('Buyer Groups'!DU95:EN95,0)&gt;0,0,1)</f>
        <v/>
      </c>
      <c r="NH42">
        <f>IF(ROW()-3&gt;MAX($NG$4:$NG$40),"",INDEX($CB$4:$CB$40,MATCH(ROW()-3,$NG$4:$NG$40,0)))</f>
        <v/>
      </c>
      <c r="NI42">
        <f>IF(COUNTIF('Buyer Groups'!DG95:DT95,0)+COUNTIF('Buyer Groups'!DV95:EN95,0)&gt;0,0,1)</f>
        <v/>
      </c>
      <c r="NL42">
        <f>IF(ROW()-3&gt;MAX($NK$4:$NK$40),"",INDEX($CG$4:$CG$40,MATCH(ROW()-3,$NK$4:$NK$40,0)))</f>
        <v/>
      </c>
      <c r="NM42">
        <f>IF(COUNTIF('Buyer Groups'!DG95:DU95,0)+COUNTIF('Buyer Groups'!DW95:EN95,0)&gt;0,0,1)</f>
        <v/>
      </c>
      <c r="NP42">
        <f>IF(ROW()-3&gt;MAX($NO$4:$NO$40),"",INDEX($CL$4:$CL$40,MATCH(ROW()-3,$NO$4:$NO$40,0)))</f>
        <v/>
      </c>
      <c r="NQ42">
        <f>IF(COUNTIF('Buyer Groups'!DG95:DV95,0)+COUNTIF('Buyer Groups'!DX95:EN95,0)&gt;0,0,1)</f>
        <v/>
      </c>
      <c r="NT42">
        <f>IF(ROW()-3&gt;MAX($NS$4:$NS$40),"",INDEX($CQ$4:$CQ$40,MATCH(ROW()-3,$NS$4:$NS$40,0)))</f>
        <v/>
      </c>
      <c r="NU42">
        <f>IF(COUNTIF('Buyer Groups'!DG95:DW95,0)+COUNTIF('Buyer Groups'!DY95:EN95,0)&gt;0,0,1)</f>
        <v/>
      </c>
      <c r="NX42">
        <f>IF(ROW()-3&gt;MAX($NW$4:$NW$40),"",INDEX($CV$4:$CV$40,MATCH(ROW()-3,$NW$4:$NW$40,0)))</f>
        <v/>
      </c>
      <c r="NY42">
        <f>IF(COUNTIF('Buyer Groups'!DG95:DX95,0)+COUNTIF('Buyer Groups'!DZ95:EN95,0)&gt;0,0,1)</f>
        <v/>
      </c>
      <c r="OB42">
        <f>IF(ROW()-3&gt;MAX($OA$4:$OA$40),"",INDEX($DA$4:$DA$40,MATCH(ROW()-3,$OA$4:$OA$40,0)))</f>
        <v/>
      </c>
      <c r="OC42">
        <f>IF(COUNTIF('Buyer Groups'!DG95:DY95,0)+COUNTIF('Buyer Groups'!EA95:EN95,0)&gt;0,0,1)</f>
        <v/>
      </c>
      <c r="OF42">
        <f>IF(ROW()-3&gt;MAX($OE$4:$OE$40),"",INDEX($DF$4:$DF$40,MATCH(ROW()-3,$OE$4:$OE$40,0)))</f>
        <v/>
      </c>
      <c r="OG42">
        <f>IF(COUNTIF('Buyer Groups'!DG95:DZ95,0)+COUNTIF('Buyer Groups'!EB95:EN95,0)&gt;0,0,1)</f>
        <v/>
      </c>
      <c r="OJ42">
        <f>IF(ROW()-3&gt;MAX($OI$4:$OI$40),"",INDEX($DK$4:$DK$40,MATCH(ROW()-3,$OI$4:$OI$40,0)))</f>
        <v/>
      </c>
      <c r="OK42">
        <f>IF(COUNTIF('Buyer Groups'!DG95:EA95,0)+COUNTIF('Buyer Groups'!EC95:EN95,0)&gt;0,0,1)</f>
        <v/>
      </c>
      <c r="ON42">
        <f>IF(ROW()-3&gt;MAX($OM$4:$OM$40),"",INDEX($DP$4:$DP$40,MATCH(ROW()-3,$OM$4:$OM$40,0)))</f>
        <v/>
      </c>
      <c r="OO42">
        <f>IF(COUNTIF('Buyer Groups'!DG95:EB95,0)+COUNTIF('Buyer Groups'!ED95:EN95,0)&gt;0,0,1)</f>
        <v/>
      </c>
      <c r="OR42">
        <f>IF(ROW()-3&gt;MAX($OQ$4:$OQ$40),"",INDEX($DU$4:$DU$40,MATCH(ROW()-3,$OQ$4:$OQ$40,0)))</f>
        <v/>
      </c>
      <c r="OS42">
        <f>IF(COUNTIF('Buyer Groups'!DG95:EC95,0)+COUNTIF('Buyer Groups'!EE95:EN95,0)&gt;0,0,1)</f>
        <v/>
      </c>
      <c r="OV42">
        <f>IF(ROW()-3&gt;MAX($OU$4:$OU$40),"",INDEX($DZ$4:$DZ$40,MATCH(ROW()-3,$OU$4:$OU$40,0)))</f>
        <v/>
      </c>
      <c r="OW42">
        <f>IF(COUNTIF('Buyer Groups'!DG95:ED95,0)+COUNTIF('Buyer Groups'!EF95:EN95,0)&gt;0,0,1)</f>
        <v/>
      </c>
      <c r="OZ42">
        <f>IF(ROW()-3&gt;MAX($OY$4:$OY$40),"",INDEX($EE$4:$EE$40,MATCH(ROW()-3,$OY$4:$OY$40,0)))</f>
        <v/>
      </c>
      <c r="PA42">
        <f>IF(COUNTIF('Buyer Groups'!DG95:EE95,0)+COUNTIF('Buyer Groups'!EG95:EN95,0)&gt;0,0,1)</f>
        <v/>
      </c>
      <c r="PD42">
        <f>IF(ROW()-3&gt;MAX($PC$4:$PC$40),"",INDEX($EJ$4:$EJ$40,MATCH(ROW()-3,$PC$4:$PC$40,0)))</f>
        <v/>
      </c>
      <c r="PE42">
        <f>IF(COUNTIF('Buyer Groups'!DG95:EF95,0)+COUNTIF('Buyer Groups'!EH95:EN95,0)&gt;0,0,1)</f>
        <v/>
      </c>
      <c r="PH42">
        <f>IF(ROW()-3&gt;MAX($PG$4:$PG$40),"",INDEX($EO$4:$EO$40,MATCH(ROW()-3,$PG$4:$PG$40,0)))</f>
        <v/>
      </c>
      <c r="PI42">
        <f>IF(COUNTIF('Buyer Groups'!DG95:EG95,0)+COUNTIF('Buyer Groups'!EI95:EN95,0)&gt;0,0,1)</f>
        <v/>
      </c>
      <c r="PL42">
        <f>IF(ROW()-3&gt;MAX($PK$4:$PK$40),"",INDEX($ET$4:$ET$40,MATCH(ROW()-3,$PK$4:$PK$40,0)))</f>
        <v/>
      </c>
      <c r="PM42">
        <f>IF(COUNTIF('Buyer Groups'!DG95:EH95,0)+COUNTIF('Buyer Groups'!EJ95:EN95,0)&gt;0,0,1)</f>
        <v/>
      </c>
      <c r="PP42">
        <f>IF(ROW()-3&gt;MAX($PO$4:$PO$40),"",INDEX($EY$4:$EY$40,MATCH(ROW()-3,$PO$4:$PO$40,0)))</f>
        <v/>
      </c>
      <c r="PQ42">
        <f>IF(COUNTIF('Buyer Groups'!DG95:EI95,0)+COUNTIF('Buyer Groups'!EK95:EN95,0)&gt;0,0,1)</f>
        <v/>
      </c>
      <c r="PT42">
        <f>IF(ROW()-3&gt;MAX($PS$4:$PS$40),"",INDEX($FD$4:$FD$40,MATCH(ROW()-3,$PS$4:$PS$40,0)))</f>
        <v/>
      </c>
      <c r="PU42">
        <f>IF(COUNTIF('Buyer Groups'!DG95:EJ95,0)+COUNTIF('Buyer Groups'!EL95:EN95,0)&gt;0,0,1)</f>
        <v/>
      </c>
      <c r="PX42">
        <f>IF(ROW()-3&gt;MAX($PW$4:$PW$40),"",INDEX($FX$4:$FX$40,MATCH(ROW()-3,$PW$4:$PW$40,0)))</f>
        <v/>
      </c>
      <c r="PY42">
        <f>IF(COUNTIF('Buyer Groups'!DG95:EK95,0)+COUNTIF('Buyer Groups'!EM95:EN95,0)&gt;0,0,1)</f>
        <v/>
      </c>
      <c r="QB42">
        <f>IF(ROW()-3&gt;MAX($QA$4:$QA$40),"",INDEX($FI$4:$FI$40,MATCH(ROW()-3,$QA$4:$QA$40,0)))</f>
        <v/>
      </c>
      <c r="QC42">
        <f>IF(COUNTIF('Buyer Groups'!DG95:EL95,0)+COUNTIF('Buyer Groups'!EN95:EN95,0)&gt;0,0,1)</f>
        <v/>
      </c>
      <c r="QF42">
        <f>IF(ROW()-3&gt;MAX($QE$4:$QE$40),"",INDEX($FN$4:$FN$40,MATCH(ROW()-3,$QE$4:$QE$40,0)))</f>
        <v/>
      </c>
      <c r="QG42">
        <f>IF(COUNTIF('Buyer Groups'!DG95:EM95,0)&gt;0,0,1)</f>
        <v/>
      </c>
      <c r="QJ42">
        <f>IF(ROW()-3&gt;MAX($QI$4:$QI$40),"",INDEX($FS$4:$FS$40,MATCH(ROW()-3,$QI$4:$QI$40,0)))</f>
        <v/>
      </c>
    </row>
    <row r="43">
      <c r="A43">
        <f>IF(IFERROR('Final Calculation Sheet'!$G$6,"")="","",'Final Calculation Sheet'!$G$6)</f>
        <v/>
      </c>
      <c r="B43">
        <f>IF(A43="","",COUNTIFS(A$4:A$114,"&lt;"&amp;A43,A$4:A$114,"&lt;&gt;"&amp;"")+COUNTIF(A$4:A43,A43))</f>
        <v/>
      </c>
      <c r="C43">
        <f>IF(ROW()-3&gt;COUNTIF(A$4:A$114,"&lt;&gt;"&amp;""),"",INDEX(A$4:A$114,MATCH(ROW()-3,B$4:B$114,0)))</f>
        <v/>
      </c>
      <c r="D43">
        <f>D42+IF(AND(C43&lt;&gt;"",COUNTIF(C$4:C43,C43)=1),1,0)</f>
        <v/>
      </c>
      <c r="E43">
        <f>IF(ROW()-3&gt;MAX(D$4:D$114),"",INDEX(C$4:C$114,MATCH(ROW()-3,D$4:D$114,0)))</f>
        <v/>
      </c>
    </row>
    <row r="44">
      <c r="A44">
        <f>IF(IFERROR('Final Calculation Sheet'!$G$7,"")="","",'Final Calculation Sheet'!$G$7)</f>
        <v/>
      </c>
      <c r="B44">
        <f>IF(A44="","",COUNTIFS(A$4:A$114,"&lt;"&amp;A44,A$4:A$114,"&lt;&gt;"&amp;"")+COUNTIF(A$4:A44,A44))</f>
        <v/>
      </c>
      <c r="C44">
        <f>IF(ROW()-3&gt;COUNTIF(A$4:A$114,"&lt;&gt;"&amp;""),"",INDEX(A$4:A$114,MATCH(ROW()-3,B$4:B$114,0)))</f>
        <v/>
      </c>
      <c r="D44">
        <f>D43+IF(AND(C44&lt;&gt;"",COUNTIF(C$4:C44,C44)=1),1,0)</f>
        <v/>
      </c>
      <c r="E44">
        <f>IF(ROW()-3&gt;MAX(D$4:D$114),"",INDEX(C$4:C$114,MATCH(ROW()-3,D$4:D$114,0)))</f>
        <v/>
      </c>
    </row>
    <row r="45">
      <c r="A45">
        <f>IF(IFERROR('Final Calculation Sheet'!$G$8,"")="","",'Final Calculation Sheet'!$G$8)</f>
        <v/>
      </c>
      <c r="B45">
        <f>IF(A45="","",COUNTIFS(A$4:A$114,"&lt;"&amp;A45,A$4:A$114,"&lt;&gt;"&amp;"")+COUNTIF(A$4:A45,A45))</f>
        <v/>
      </c>
      <c r="C45">
        <f>IF(ROW()-3&gt;COUNTIF(A$4:A$114,"&lt;&gt;"&amp;""),"",INDEX(A$4:A$114,MATCH(ROW()-3,B$4:B$114,0)))</f>
        <v/>
      </c>
      <c r="D45">
        <f>D44+IF(AND(C45&lt;&gt;"",COUNTIF(C$4:C45,C45)=1),1,0)</f>
        <v/>
      </c>
      <c r="E45">
        <f>IF(ROW()-3&gt;MAX(D$4:D$114),"",INDEX(C$4:C$114,MATCH(ROW()-3,D$4:D$114,0)))</f>
        <v/>
      </c>
    </row>
    <row r="46">
      <c r="A46">
        <f>IF(IFERROR('Final Calculation Sheet'!$G$9,"")="","",'Final Calculation Sheet'!$G$9)</f>
        <v/>
      </c>
      <c r="B46">
        <f>IF(A46="","",COUNTIFS(A$4:A$114,"&lt;"&amp;A46,A$4:A$114,"&lt;&gt;"&amp;"")+COUNTIF(A$4:A46,A46))</f>
        <v/>
      </c>
      <c r="C46">
        <f>IF(ROW()-3&gt;COUNTIF(A$4:A$114,"&lt;&gt;"&amp;""),"",INDEX(A$4:A$114,MATCH(ROW()-3,B$4:B$114,0)))</f>
        <v/>
      </c>
      <c r="D46">
        <f>D45+IF(AND(C46&lt;&gt;"",COUNTIF(C$4:C46,C46)=1),1,0)</f>
        <v/>
      </c>
      <c r="E46">
        <f>IF(ROW()-3&gt;MAX(D$4:D$114),"",INDEX(C$4:C$114,MATCH(ROW()-3,D$4:D$114,0)))</f>
        <v/>
      </c>
    </row>
    <row r="47">
      <c r="A47">
        <f>IF(IFERROR('Final Calculation Sheet'!$G$10,"")="","",'Final Calculation Sheet'!$G$10)</f>
        <v/>
      </c>
      <c r="B47">
        <f>IF(A47="","",COUNTIFS(A$4:A$114,"&lt;"&amp;A47,A$4:A$114,"&lt;&gt;"&amp;"")+COUNTIF(A$4:A47,A47))</f>
        <v/>
      </c>
      <c r="C47">
        <f>IF(ROW()-3&gt;COUNTIF(A$4:A$114,"&lt;&gt;"&amp;""),"",INDEX(A$4:A$114,MATCH(ROW()-3,B$4:B$114,0)))</f>
        <v/>
      </c>
      <c r="D47">
        <f>D46+IF(AND(C47&lt;&gt;"",COUNTIF(C$4:C47,C47)=1),1,0)</f>
        <v/>
      </c>
      <c r="E47">
        <f>IF(ROW()-3&gt;MAX(D$4:D$114),"",INDEX(C$4:C$114,MATCH(ROW()-3,D$4:D$114,0)))</f>
        <v/>
      </c>
    </row>
    <row r="48">
      <c r="A48">
        <f>IF(IFERROR('Final Calculation Sheet'!$G$11,"")="","",'Final Calculation Sheet'!$G$11)</f>
        <v/>
      </c>
      <c r="B48">
        <f>IF(A48="","",COUNTIFS(A$4:A$114,"&lt;"&amp;A48,A$4:A$114,"&lt;&gt;"&amp;"")+COUNTIF(A$4:A48,A48))</f>
        <v/>
      </c>
      <c r="C48">
        <f>IF(ROW()-3&gt;COUNTIF(A$4:A$114,"&lt;&gt;"&amp;""),"",INDEX(A$4:A$114,MATCH(ROW()-3,B$4:B$114,0)))</f>
        <v/>
      </c>
      <c r="D48">
        <f>D47+IF(AND(C48&lt;&gt;"",COUNTIF(C$4:C48,C48)=1),1,0)</f>
        <v/>
      </c>
      <c r="E48">
        <f>IF(ROW()-3&gt;MAX(D$4:D$114),"",INDEX(C$4:C$114,MATCH(ROW()-3,D$4:D$114,0)))</f>
        <v/>
      </c>
    </row>
    <row r="49">
      <c r="A49">
        <f>IF(IFERROR('Final Calculation Sheet'!$G$12,"")="","",'Final Calculation Sheet'!$G$12)</f>
        <v/>
      </c>
      <c r="B49">
        <f>IF(A49="","",COUNTIFS(A$4:A$114,"&lt;"&amp;A49,A$4:A$114,"&lt;&gt;"&amp;"")+COUNTIF(A$4:A49,A49))</f>
        <v/>
      </c>
      <c r="C49">
        <f>IF(ROW()-3&gt;COUNTIF(A$4:A$114,"&lt;&gt;"&amp;""),"",INDEX(A$4:A$114,MATCH(ROW()-3,B$4:B$114,0)))</f>
        <v/>
      </c>
      <c r="D49">
        <f>D48+IF(AND(C49&lt;&gt;"",COUNTIF(C$4:C49,C49)=1),1,0)</f>
        <v/>
      </c>
      <c r="E49">
        <f>IF(ROW()-3&gt;MAX(D$4:D$114),"",INDEX(C$4:C$114,MATCH(ROW()-3,D$4:D$114,0)))</f>
        <v/>
      </c>
    </row>
    <row r="50">
      <c r="A50">
        <f>IF(IFERROR('Final Calculation Sheet'!$G$13,"")="","",'Final Calculation Sheet'!$G$13)</f>
        <v/>
      </c>
      <c r="B50">
        <f>IF(A50="","",COUNTIFS(A$4:A$114,"&lt;"&amp;A50,A$4:A$114,"&lt;&gt;"&amp;"")+COUNTIF(A$4:A50,A50))</f>
        <v/>
      </c>
      <c r="C50">
        <f>IF(ROW()-3&gt;COUNTIF(A$4:A$114,"&lt;&gt;"&amp;""),"",INDEX(A$4:A$114,MATCH(ROW()-3,B$4:B$114,0)))</f>
        <v/>
      </c>
      <c r="D50">
        <f>D49+IF(AND(C50&lt;&gt;"",COUNTIF(C$4:C50,C50)=1),1,0)</f>
        <v/>
      </c>
      <c r="E50">
        <f>IF(ROW()-3&gt;MAX(D$4:D$114),"",INDEX(C$4:C$114,MATCH(ROW()-3,D$4:D$114,0)))</f>
        <v/>
      </c>
    </row>
    <row r="51">
      <c r="A51">
        <f>IF(IFERROR('Final Calculation Sheet'!$G$14,"")="","",'Final Calculation Sheet'!$G$14)</f>
        <v/>
      </c>
      <c r="B51">
        <f>IF(A51="","",COUNTIFS(A$4:A$114,"&lt;"&amp;A51,A$4:A$114,"&lt;&gt;"&amp;"")+COUNTIF(A$4:A51,A51))</f>
        <v/>
      </c>
      <c r="C51">
        <f>IF(ROW()-3&gt;COUNTIF(A$4:A$114,"&lt;&gt;"&amp;""),"",INDEX(A$4:A$114,MATCH(ROW()-3,B$4:B$114,0)))</f>
        <v/>
      </c>
      <c r="D51">
        <f>D50+IF(AND(C51&lt;&gt;"",COUNTIF(C$4:C51,C51)=1),1,0)</f>
        <v/>
      </c>
      <c r="E51">
        <f>IF(ROW()-3&gt;MAX(D$4:D$114),"",INDEX(C$4:C$114,MATCH(ROW()-3,D$4:D$114,0)))</f>
        <v/>
      </c>
    </row>
    <row r="52">
      <c r="A52">
        <f>IF(IFERROR('Final Calculation Sheet'!$G$15,"")="","",'Final Calculation Sheet'!$G$15)</f>
        <v/>
      </c>
      <c r="B52">
        <f>IF(A52="","",COUNTIFS(A$4:A$114,"&lt;"&amp;A52,A$4:A$114,"&lt;&gt;"&amp;"")+COUNTIF(A$4:A52,A52))</f>
        <v/>
      </c>
      <c r="C52">
        <f>IF(ROW()-3&gt;COUNTIF(A$4:A$114,"&lt;&gt;"&amp;""),"",INDEX(A$4:A$114,MATCH(ROW()-3,B$4:B$114,0)))</f>
        <v/>
      </c>
      <c r="D52">
        <f>D51+IF(AND(C52&lt;&gt;"",COUNTIF(C$4:C52,C52)=1),1,0)</f>
        <v/>
      </c>
      <c r="E52">
        <f>IF(ROW()-3&gt;MAX(D$4:D$114),"",INDEX(C$4:C$114,MATCH(ROW()-3,D$4:D$114,0)))</f>
        <v/>
      </c>
    </row>
    <row r="53">
      <c r="A53">
        <f>IF(IFERROR('Final Calculation Sheet'!$G$16,"")="","",'Final Calculation Sheet'!$G$16)</f>
        <v/>
      </c>
      <c r="B53">
        <f>IF(A53="","",COUNTIFS(A$4:A$114,"&lt;"&amp;A53,A$4:A$114,"&lt;&gt;"&amp;"")+COUNTIF(A$4:A53,A53))</f>
        <v/>
      </c>
      <c r="C53">
        <f>IF(ROW()-3&gt;COUNTIF(A$4:A$114,"&lt;&gt;"&amp;""),"",INDEX(A$4:A$114,MATCH(ROW()-3,B$4:B$114,0)))</f>
        <v/>
      </c>
      <c r="D53">
        <f>D52+IF(AND(C53&lt;&gt;"",COUNTIF(C$4:C53,C53)=1),1,0)</f>
        <v/>
      </c>
      <c r="E53">
        <f>IF(ROW()-3&gt;MAX(D$4:D$114),"",INDEX(C$4:C$114,MATCH(ROW()-3,D$4:D$114,0)))</f>
        <v/>
      </c>
    </row>
    <row r="54">
      <c r="A54">
        <f>IF(IFERROR('Final Calculation Sheet'!$G$17,"")="","",'Final Calculation Sheet'!$G$17)</f>
        <v/>
      </c>
      <c r="B54">
        <f>IF(A54="","",COUNTIFS(A$4:A$114,"&lt;"&amp;A54,A$4:A$114,"&lt;&gt;"&amp;"")+COUNTIF(A$4:A54,A54))</f>
        <v/>
      </c>
      <c r="C54">
        <f>IF(ROW()-3&gt;COUNTIF(A$4:A$114,"&lt;&gt;"&amp;""),"",INDEX(A$4:A$114,MATCH(ROW()-3,B$4:B$114,0)))</f>
        <v/>
      </c>
      <c r="D54">
        <f>D53+IF(AND(C54&lt;&gt;"",COUNTIF(C$4:C54,C54)=1),1,0)</f>
        <v/>
      </c>
      <c r="E54">
        <f>IF(ROW()-3&gt;MAX(D$4:D$114),"",INDEX(C$4:C$114,MATCH(ROW()-3,D$4:D$114,0)))</f>
        <v/>
      </c>
    </row>
    <row r="55">
      <c r="A55">
        <f>IF(IFERROR('Final Calculation Sheet'!$G$18,"")="","",'Final Calculation Sheet'!$G$18)</f>
        <v/>
      </c>
      <c r="B55">
        <f>IF(A55="","",COUNTIFS(A$4:A$114,"&lt;"&amp;A55,A$4:A$114,"&lt;&gt;"&amp;"")+COUNTIF(A$4:A55,A55))</f>
        <v/>
      </c>
      <c r="C55">
        <f>IF(ROW()-3&gt;COUNTIF(A$4:A$114,"&lt;&gt;"&amp;""),"",INDEX(A$4:A$114,MATCH(ROW()-3,B$4:B$114,0)))</f>
        <v/>
      </c>
      <c r="D55">
        <f>D54+IF(AND(C55&lt;&gt;"",COUNTIF(C$4:C55,C55)=1),1,0)</f>
        <v/>
      </c>
      <c r="E55">
        <f>IF(ROW()-3&gt;MAX(D$4:D$114),"",INDEX(C$4:C$114,MATCH(ROW()-3,D$4:D$114,0)))</f>
        <v/>
      </c>
    </row>
    <row r="56">
      <c r="A56">
        <f>IF(IFERROR('Final Calculation Sheet'!$G$19,"")="","",'Final Calculation Sheet'!$G$19)</f>
        <v/>
      </c>
      <c r="B56">
        <f>IF(A56="","",COUNTIFS(A$4:A$114,"&lt;"&amp;A56,A$4:A$114,"&lt;&gt;"&amp;"")+COUNTIF(A$4:A56,A56))</f>
        <v/>
      </c>
      <c r="C56">
        <f>IF(ROW()-3&gt;COUNTIF(A$4:A$114,"&lt;&gt;"&amp;""),"",INDEX(A$4:A$114,MATCH(ROW()-3,B$4:B$114,0)))</f>
        <v/>
      </c>
      <c r="D56">
        <f>D55+IF(AND(C56&lt;&gt;"",COUNTIF(C$4:C56,C56)=1),1,0)</f>
        <v/>
      </c>
      <c r="E56">
        <f>IF(ROW()-3&gt;MAX(D$4:D$114),"",INDEX(C$4:C$114,MATCH(ROW()-3,D$4:D$114,0)))</f>
        <v/>
      </c>
    </row>
    <row r="57">
      <c r="A57">
        <f>IF(IFERROR('Final Calculation Sheet'!$G$20,"")="","",'Final Calculation Sheet'!$G$20)</f>
        <v/>
      </c>
      <c r="B57">
        <f>IF(A57="","",COUNTIFS(A$4:A$114,"&lt;"&amp;A57,A$4:A$114,"&lt;&gt;"&amp;"")+COUNTIF(A$4:A57,A57))</f>
        <v/>
      </c>
      <c r="C57">
        <f>IF(ROW()-3&gt;COUNTIF(A$4:A$114,"&lt;&gt;"&amp;""),"",INDEX(A$4:A$114,MATCH(ROW()-3,B$4:B$114,0)))</f>
        <v/>
      </c>
      <c r="D57">
        <f>D56+IF(AND(C57&lt;&gt;"",COUNTIF(C$4:C57,C57)=1),1,0)</f>
        <v/>
      </c>
      <c r="E57">
        <f>IF(ROW()-3&gt;MAX(D$4:D$114),"",INDEX(C$4:C$114,MATCH(ROW()-3,D$4:D$114,0)))</f>
        <v/>
      </c>
    </row>
    <row r="58">
      <c r="A58">
        <f>IF(IFERROR('Final Calculation Sheet'!$G$21,"")="","",'Final Calculation Sheet'!$G$21)</f>
        <v/>
      </c>
      <c r="B58">
        <f>IF(A58="","",COUNTIFS(A$4:A$114,"&lt;"&amp;A58,A$4:A$114,"&lt;&gt;"&amp;"")+COUNTIF(A$4:A58,A58))</f>
        <v/>
      </c>
      <c r="C58">
        <f>IF(ROW()-3&gt;COUNTIF(A$4:A$114,"&lt;&gt;"&amp;""),"",INDEX(A$4:A$114,MATCH(ROW()-3,B$4:B$114,0)))</f>
        <v/>
      </c>
      <c r="D58">
        <f>D57+IF(AND(C58&lt;&gt;"",COUNTIF(C$4:C58,C58)=1),1,0)</f>
        <v/>
      </c>
      <c r="E58">
        <f>IF(ROW()-3&gt;MAX(D$4:D$114),"",INDEX(C$4:C$114,MATCH(ROW()-3,D$4:D$114,0)))</f>
        <v/>
      </c>
    </row>
    <row r="59">
      <c r="A59">
        <f>IF(IFERROR('Final Calculation Sheet'!$G$22,"")="","",'Final Calculation Sheet'!$G$22)</f>
        <v/>
      </c>
      <c r="B59">
        <f>IF(A59="","",COUNTIFS(A$4:A$114,"&lt;"&amp;A59,A$4:A$114,"&lt;&gt;"&amp;"")+COUNTIF(A$4:A59,A59))</f>
        <v/>
      </c>
      <c r="C59">
        <f>IF(ROW()-3&gt;COUNTIF(A$4:A$114,"&lt;&gt;"&amp;""),"",INDEX(A$4:A$114,MATCH(ROW()-3,B$4:B$114,0)))</f>
        <v/>
      </c>
      <c r="D59">
        <f>D58+IF(AND(C59&lt;&gt;"",COUNTIF(C$4:C59,C59)=1),1,0)</f>
        <v/>
      </c>
      <c r="E59">
        <f>IF(ROW()-3&gt;MAX(D$4:D$114),"",INDEX(C$4:C$114,MATCH(ROW()-3,D$4:D$114,0)))</f>
        <v/>
      </c>
    </row>
    <row r="60">
      <c r="A60">
        <f>IF(IFERROR('Final Calculation Sheet'!$G$23,"")="","",'Final Calculation Sheet'!$G$23)</f>
        <v/>
      </c>
      <c r="B60">
        <f>IF(A60="","",COUNTIFS(A$4:A$114,"&lt;"&amp;A60,A$4:A$114,"&lt;&gt;"&amp;"")+COUNTIF(A$4:A60,A60))</f>
        <v/>
      </c>
      <c r="C60">
        <f>IF(ROW()-3&gt;COUNTIF(A$4:A$114,"&lt;&gt;"&amp;""),"",INDEX(A$4:A$114,MATCH(ROW()-3,B$4:B$114,0)))</f>
        <v/>
      </c>
      <c r="D60">
        <f>D59+IF(AND(C60&lt;&gt;"",COUNTIF(C$4:C60,C60)=1),1,0)</f>
        <v/>
      </c>
      <c r="E60">
        <f>IF(ROW()-3&gt;MAX(D$4:D$114),"",INDEX(C$4:C$114,MATCH(ROW()-3,D$4:D$114,0)))</f>
        <v/>
      </c>
    </row>
    <row r="61">
      <c r="A61">
        <f>IF(IFERROR('Final Calculation Sheet'!$G$24,"")="","",'Final Calculation Sheet'!$G$24)</f>
        <v/>
      </c>
      <c r="B61">
        <f>IF(A61="","",COUNTIFS(A$4:A$114,"&lt;"&amp;A61,A$4:A$114,"&lt;&gt;"&amp;"")+COUNTIF(A$4:A61,A61))</f>
        <v/>
      </c>
      <c r="C61">
        <f>IF(ROW()-3&gt;COUNTIF(A$4:A$114,"&lt;&gt;"&amp;""),"",INDEX(A$4:A$114,MATCH(ROW()-3,B$4:B$114,0)))</f>
        <v/>
      </c>
      <c r="D61">
        <f>D60+IF(AND(C61&lt;&gt;"",COUNTIF(C$4:C61,C61)=1),1,0)</f>
        <v/>
      </c>
      <c r="E61">
        <f>IF(ROW()-3&gt;MAX(D$4:D$114),"",INDEX(C$4:C$114,MATCH(ROW()-3,D$4:D$114,0)))</f>
        <v/>
      </c>
    </row>
    <row r="62">
      <c r="A62">
        <f>IF(IFERROR('Final Calculation Sheet'!$G$25,"")="","",'Final Calculation Sheet'!$G$25)</f>
        <v/>
      </c>
      <c r="B62">
        <f>IF(A62="","",COUNTIFS(A$4:A$114,"&lt;"&amp;A62,A$4:A$114,"&lt;&gt;"&amp;"")+COUNTIF(A$4:A62,A62))</f>
        <v/>
      </c>
      <c r="C62">
        <f>IF(ROW()-3&gt;COUNTIF(A$4:A$114,"&lt;&gt;"&amp;""),"",INDEX(A$4:A$114,MATCH(ROW()-3,B$4:B$114,0)))</f>
        <v/>
      </c>
      <c r="D62">
        <f>D61+IF(AND(C62&lt;&gt;"",COUNTIF(C$4:C62,C62)=1),1,0)</f>
        <v/>
      </c>
      <c r="E62">
        <f>IF(ROW()-3&gt;MAX(D$4:D$114),"",INDEX(C$4:C$114,MATCH(ROW()-3,D$4:D$114,0)))</f>
        <v/>
      </c>
    </row>
    <row r="63">
      <c r="A63">
        <f>IF(IFERROR('Final Calculation Sheet'!$G$26,"")="","",'Final Calculation Sheet'!$G$26)</f>
        <v/>
      </c>
      <c r="B63">
        <f>IF(A63="","",COUNTIFS(A$4:A$114,"&lt;"&amp;A63,A$4:A$114,"&lt;&gt;"&amp;"")+COUNTIF(A$4:A63,A63))</f>
        <v/>
      </c>
      <c r="C63">
        <f>IF(ROW()-3&gt;COUNTIF(A$4:A$114,"&lt;&gt;"&amp;""),"",INDEX(A$4:A$114,MATCH(ROW()-3,B$4:B$114,0)))</f>
        <v/>
      </c>
      <c r="D63">
        <f>D62+IF(AND(C63&lt;&gt;"",COUNTIF(C$4:C63,C63)=1),1,0)</f>
        <v/>
      </c>
      <c r="E63">
        <f>IF(ROW()-3&gt;MAX(D$4:D$114),"",INDEX(C$4:C$114,MATCH(ROW()-3,D$4:D$114,0)))</f>
        <v/>
      </c>
    </row>
    <row r="64">
      <c r="A64">
        <f>IF(IFERROR('Final Calculation Sheet'!$G$27,"")="","",'Final Calculation Sheet'!$G$27)</f>
        <v/>
      </c>
      <c r="B64">
        <f>IF(A64="","",COUNTIFS(A$4:A$114,"&lt;"&amp;A64,A$4:A$114,"&lt;&gt;"&amp;"")+COUNTIF(A$4:A64,A64))</f>
        <v/>
      </c>
      <c r="C64">
        <f>IF(ROW()-3&gt;COUNTIF(A$4:A$114,"&lt;&gt;"&amp;""),"",INDEX(A$4:A$114,MATCH(ROW()-3,B$4:B$114,0)))</f>
        <v/>
      </c>
      <c r="D64">
        <f>D63+IF(AND(C64&lt;&gt;"",COUNTIF(C$4:C64,C64)=1),1,0)</f>
        <v/>
      </c>
      <c r="E64">
        <f>IF(ROW()-3&gt;MAX(D$4:D$114),"",INDEX(C$4:C$114,MATCH(ROW()-3,D$4:D$114,0)))</f>
        <v/>
      </c>
    </row>
    <row r="65">
      <c r="A65">
        <f>IF(IFERROR('Final Calculation Sheet'!$G$28,"")="","",'Final Calculation Sheet'!$G$28)</f>
        <v/>
      </c>
      <c r="B65">
        <f>IF(A65="","",COUNTIFS(A$4:A$114,"&lt;"&amp;A65,A$4:A$114,"&lt;&gt;"&amp;"")+COUNTIF(A$4:A65,A65))</f>
        <v/>
      </c>
      <c r="C65">
        <f>IF(ROW()-3&gt;COUNTIF(A$4:A$114,"&lt;&gt;"&amp;""),"",INDEX(A$4:A$114,MATCH(ROW()-3,B$4:B$114,0)))</f>
        <v/>
      </c>
      <c r="D65">
        <f>D64+IF(AND(C65&lt;&gt;"",COUNTIF(C$4:C65,C65)=1),1,0)</f>
        <v/>
      </c>
      <c r="E65">
        <f>IF(ROW()-3&gt;MAX(D$4:D$114),"",INDEX(C$4:C$114,MATCH(ROW()-3,D$4:D$114,0)))</f>
        <v/>
      </c>
    </row>
    <row r="66">
      <c r="A66">
        <f>IF(IFERROR('Final Calculation Sheet'!$G$29,"")="","",'Final Calculation Sheet'!$G$29)</f>
        <v/>
      </c>
      <c r="B66">
        <f>IF(A66="","",COUNTIFS(A$4:A$114,"&lt;"&amp;A66,A$4:A$114,"&lt;&gt;"&amp;"")+COUNTIF(A$4:A66,A66))</f>
        <v/>
      </c>
      <c r="C66">
        <f>IF(ROW()-3&gt;COUNTIF(A$4:A$114,"&lt;&gt;"&amp;""),"",INDEX(A$4:A$114,MATCH(ROW()-3,B$4:B$114,0)))</f>
        <v/>
      </c>
      <c r="D66">
        <f>D65+IF(AND(C66&lt;&gt;"",COUNTIF(C$4:C66,C66)=1),1,0)</f>
        <v/>
      </c>
      <c r="E66">
        <f>IF(ROW()-3&gt;MAX(D$4:D$114),"",INDEX(C$4:C$114,MATCH(ROW()-3,D$4:D$114,0)))</f>
        <v/>
      </c>
    </row>
    <row r="67">
      <c r="A67">
        <f>IF(IFERROR('Final Calculation Sheet'!$G$30,"")="","",'Final Calculation Sheet'!$G$30)</f>
        <v/>
      </c>
      <c r="B67">
        <f>IF(A67="","",COUNTIFS(A$4:A$114,"&lt;"&amp;A67,A$4:A$114,"&lt;&gt;"&amp;"")+COUNTIF(A$4:A67,A67))</f>
        <v/>
      </c>
      <c r="C67">
        <f>IF(ROW()-3&gt;COUNTIF(A$4:A$114,"&lt;&gt;"&amp;""),"",INDEX(A$4:A$114,MATCH(ROW()-3,B$4:B$114,0)))</f>
        <v/>
      </c>
      <c r="D67">
        <f>D66+IF(AND(C67&lt;&gt;"",COUNTIF(C$4:C67,C67)=1),1,0)</f>
        <v/>
      </c>
      <c r="E67">
        <f>IF(ROW()-3&gt;MAX(D$4:D$114),"",INDEX(C$4:C$114,MATCH(ROW()-3,D$4:D$114,0)))</f>
        <v/>
      </c>
    </row>
    <row r="68">
      <c r="A68">
        <f>IF(IFERROR('Final Calculation Sheet'!$G$31,"")="","",'Final Calculation Sheet'!$G$31)</f>
        <v/>
      </c>
      <c r="B68">
        <f>IF(A68="","",COUNTIFS(A$4:A$114,"&lt;"&amp;A68,A$4:A$114,"&lt;&gt;"&amp;"")+COUNTIF(A$4:A68,A68))</f>
        <v/>
      </c>
      <c r="C68">
        <f>IF(ROW()-3&gt;COUNTIF(A$4:A$114,"&lt;&gt;"&amp;""),"",INDEX(A$4:A$114,MATCH(ROW()-3,B$4:B$114,0)))</f>
        <v/>
      </c>
      <c r="D68">
        <f>D67+IF(AND(C68&lt;&gt;"",COUNTIF(C$4:C68,C68)=1),1,0)</f>
        <v/>
      </c>
      <c r="E68">
        <f>IF(ROW()-3&gt;MAX(D$4:D$114),"",INDEX(C$4:C$114,MATCH(ROW()-3,D$4:D$114,0)))</f>
        <v/>
      </c>
    </row>
    <row r="69">
      <c r="A69">
        <f>IF(IFERROR('Final Calculation Sheet'!$G$32,"")="","",'Final Calculation Sheet'!$G$32)</f>
        <v/>
      </c>
      <c r="B69">
        <f>IF(A69="","",COUNTIFS(A$4:A$114,"&lt;"&amp;A69,A$4:A$114,"&lt;&gt;"&amp;"")+COUNTIF(A$4:A69,A69))</f>
        <v/>
      </c>
      <c r="C69">
        <f>IF(ROW()-3&gt;COUNTIF(A$4:A$114,"&lt;&gt;"&amp;""),"",INDEX(A$4:A$114,MATCH(ROW()-3,B$4:B$114,0)))</f>
        <v/>
      </c>
      <c r="D69">
        <f>D68+IF(AND(C69&lt;&gt;"",COUNTIF(C$4:C69,C69)=1),1,0)</f>
        <v/>
      </c>
      <c r="E69">
        <f>IF(ROW()-3&gt;MAX(D$4:D$114),"",INDEX(C$4:C$114,MATCH(ROW()-3,D$4:D$114,0)))</f>
        <v/>
      </c>
    </row>
    <row r="70">
      <c r="A70">
        <f>IF(IFERROR('Final Calculation Sheet'!$G$33,"")="","",'Final Calculation Sheet'!$G$33)</f>
        <v/>
      </c>
      <c r="B70">
        <f>IF(A70="","",COUNTIFS(A$4:A$114,"&lt;"&amp;A70,A$4:A$114,"&lt;&gt;"&amp;"")+COUNTIF(A$4:A70,A70))</f>
        <v/>
      </c>
      <c r="C70">
        <f>IF(ROW()-3&gt;COUNTIF(A$4:A$114,"&lt;&gt;"&amp;""),"",INDEX(A$4:A$114,MATCH(ROW()-3,B$4:B$114,0)))</f>
        <v/>
      </c>
      <c r="D70">
        <f>D69+IF(AND(C70&lt;&gt;"",COUNTIF(C$4:C70,C70)=1),1,0)</f>
        <v/>
      </c>
      <c r="E70">
        <f>IF(ROW()-3&gt;MAX(D$4:D$114),"",INDEX(C$4:C$114,MATCH(ROW()-3,D$4:D$114,0)))</f>
        <v/>
      </c>
    </row>
    <row r="71">
      <c r="A71">
        <f>IF(IFERROR('Final Calculation Sheet'!$G$34,"")="","",'Final Calculation Sheet'!$G$34)</f>
        <v/>
      </c>
      <c r="B71">
        <f>IF(A71="","",COUNTIFS(A$4:A$114,"&lt;"&amp;A71,A$4:A$114,"&lt;&gt;"&amp;"")+COUNTIF(A$4:A71,A71))</f>
        <v/>
      </c>
      <c r="C71">
        <f>IF(ROW()-3&gt;COUNTIF(A$4:A$114,"&lt;&gt;"&amp;""),"",INDEX(A$4:A$114,MATCH(ROW()-3,B$4:B$114,0)))</f>
        <v/>
      </c>
      <c r="D71">
        <f>D70+IF(AND(C71&lt;&gt;"",COUNTIF(C$4:C71,C71)=1),1,0)</f>
        <v/>
      </c>
      <c r="E71">
        <f>IF(ROW()-3&gt;MAX(D$4:D$114),"",INDEX(C$4:C$114,MATCH(ROW()-3,D$4:D$114,0)))</f>
        <v/>
      </c>
    </row>
    <row r="72">
      <c r="A72">
        <f>IF(IFERROR('Final Calculation Sheet'!$G$35,"")="","",'Final Calculation Sheet'!$G$35)</f>
        <v/>
      </c>
      <c r="B72">
        <f>IF(A72="","",COUNTIFS(A$4:A$114,"&lt;"&amp;A72,A$4:A$114,"&lt;&gt;"&amp;"")+COUNTIF(A$4:A72,A72))</f>
        <v/>
      </c>
      <c r="C72">
        <f>IF(ROW()-3&gt;COUNTIF(A$4:A$114,"&lt;&gt;"&amp;""),"",INDEX(A$4:A$114,MATCH(ROW()-3,B$4:B$114,0)))</f>
        <v/>
      </c>
      <c r="D72">
        <f>D71+IF(AND(C72&lt;&gt;"",COUNTIF(C$4:C72,C72)=1),1,0)</f>
        <v/>
      </c>
      <c r="E72">
        <f>IF(ROW()-3&gt;MAX(D$4:D$114),"",INDEX(C$4:C$114,MATCH(ROW()-3,D$4:D$114,0)))</f>
        <v/>
      </c>
    </row>
    <row r="73">
      <c r="A73">
        <f>IF(IFERROR('Final Calculation Sheet'!$G$36,"")="","",'Final Calculation Sheet'!$G$36)</f>
        <v/>
      </c>
      <c r="B73">
        <f>IF(A73="","",COUNTIFS(A$4:A$114,"&lt;"&amp;A73,A$4:A$114,"&lt;&gt;"&amp;"")+COUNTIF(A$4:A73,A73))</f>
        <v/>
      </c>
      <c r="C73">
        <f>IF(ROW()-3&gt;COUNTIF(A$4:A$114,"&lt;&gt;"&amp;""),"",INDEX(A$4:A$114,MATCH(ROW()-3,B$4:B$114,0)))</f>
        <v/>
      </c>
      <c r="D73">
        <f>D72+IF(AND(C73&lt;&gt;"",COUNTIF(C$4:C73,C73)=1),1,0)</f>
        <v/>
      </c>
      <c r="E73">
        <f>IF(ROW()-3&gt;MAX(D$4:D$114),"",INDEX(C$4:C$114,MATCH(ROW()-3,D$4:D$114,0)))</f>
        <v/>
      </c>
    </row>
    <row r="74">
      <c r="A74">
        <f>IF(IFERROR('Final Calculation Sheet'!$G$37,"")="","",'Final Calculation Sheet'!$G$37)</f>
        <v/>
      </c>
      <c r="B74">
        <f>IF(A74="","",COUNTIFS(A$4:A$114,"&lt;"&amp;A74,A$4:A$114,"&lt;&gt;"&amp;"")+COUNTIF(A$4:A74,A74))</f>
        <v/>
      </c>
      <c r="C74">
        <f>IF(ROW()-3&gt;COUNTIF(A$4:A$114,"&lt;&gt;"&amp;""),"",INDEX(A$4:A$114,MATCH(ROW()-3,B$4:B$114,0)))</f>
        <v/>
      </c>
      <c r="D74">
        <f>D73+IF(AND(C74&lt;&gt;"",COUNTIF(C$4:C74,C74)=1),1,0)</f>
        <v/>
      </c>
      <c r="E74">
        <f>IF(ROW()-3&gt;MAX(D$4:D$114),"",INDEX(C$4:C$114,MATCH(ROW()-3,D$4:D$114,0)))</f>
        <v/>
      </c>
    </row>
    <row r="75">
      <c r="A75">
        <f>IF(IFERROR('Final Calculation Sheet'!$G$38,"")="","",'Final Calculation Sheet'!$G$38)</f>
        <v/>
      </c>
      <c r="B75">
        <f>IF(A75="","",COUNTIFS(A$4:A$114,"&lt;"&amp;A75,A$4:A$114,"&lt;&gt;"&amp;"")+COUNTIF(A$4:A75,A75))</f>
        <v/>
      </c>
      <c r="C75">
        <f>IF(ROW()-3&gt;COUNTIF(A$4:A$114,"&lt;&gt;"&amp;""),"",INDEX(A$4:A$114,MATCH(ROW()-3,B$4:B$114,0)))</f>
        <v/>
      </c>
      <c r="D75">
        <f>D74+IF(AND(C75&lt;&gt;"",COUNTIF(C$4:C75,C75)=1),1,0)</f>
        <v/>
      </c>
      <c r="E75">
        <f>IF(ROW()-3&gt;MAX(D$4:D$114),"",INDEX(C$4:C$114,MATCH(ROW()-3,D$4:D$114,0)))</f>
        <v/>
      </c>
    </row>
    <row r="76">
      <c r="A76">
        <f>IF(IFERROR('Final Calculation Sheet'!$G$39,"")="","",'Final Calculation Sheet'!$G$39)</f>
        <v/>
      </c>
      <c r="B76">
        <f>IF(A76="","",COUNTIFS(A$4:A$114,"&lt;"&amp;A76,A$4:A$114,"&lt;&gt;"&amp;"")+COUNTIF(A$4:A76,A76))</f>
        <v/>
      </c>
      <c r="C76">
        <f>IF(ROW()-3&gt;COUNTIF(A$4:A$114,"&lt;&gt;"&amp;""),"",INDEX(A$4:A$114,MATCH(ROW()-3,B$4:B$114,0)))</f>
        <v/>
      </c>
      <c r="D76">
        <f>D75+IF(AND(C76&lt;&gt;"",COUNTIF(C$4:C76,C76)=1),1,0)</f>
        <v/>
      </c>
      <c r="E76">
        <f>IF(ROW()-3&gt;MAX(D$4:D$114),"",INDEX(C$4:C$114,MATCH(ROW()-3,D$4:D$114,0)))</f>
        <v/>
      </c>
    </row>
    <row r="77">
      <c r="A77">
        <f>IF(IFERROR('Final Calculation Sheet'!$G$40,"")="","",'Final Calculation Sheet'!$G$40)</f>
        <v/>
      </c>
      <c r="B77">
        <f>IF(A77="","",COUNTIFS(A$4:A$114,"&lt;"&amp;A77,A$4:A$114,"&lt;&gt;"&amp;"")+COUNTIF(A$4:A77,A77))</f>
        <v/>
      </c>
      <c r="C77">
        <f>IF(ROW()-3&gt;COUNTIF(A$4:A$114,"&lt;&gt;"&amp;""),"",INDEX(A$4:A$114,MATCH(ROW()-3,B$4:B$114,0)))</f>
        <v/>
      </c>
      <c r="D77">
        <f>D76+IF(AND(C77&lt;&gt;"",COUNTIF(C$4:C77,C77)=1),1,0)</f>
        <v/>
      </c>
      <c r="E77">
        <f>IF(ROW()-3&gt;MAX(D$4:D$114),"",INDEX(C$4:C$114,MATCH(ROW()-3,D$4:D$114,0)))</f>
        <v/>
      </c>
    </row>
    <row r="78">
      <c r="A78">
        <f>IF(IFERROR('Final Calculation Sheet'!$B$4,"")="","",'Final Calculation Sheet'!$B$4)</f>
        <v/>
      </c>
      <c r="B78">
        <f>IF(A78="","",COUNTIFS(A$4:A$114,"&lt;"&amp;A78,A$4:A$114,"&lt;&gt;"&amp;"")+COUNTIF(A$4:A78,A78))</f>
        <v/>
      </c>
      <c r="C78">
        <f>IF(ROW()-3&gt;COUNTIF(A$4:A$114,"&lt;&gt;"&amp;""),"",INDEX(A$4:A$114,MATCH(ROW()-3,B$4:B$114,0)))</f>
        <v/>
      </c>
      <c r="D78">
        <f>D77+IF(AND(C78&lt;&gt;"",COUNTIF(C$4:C78,C78)=1),1,0)</f>
        <v/>
      </c>
      <c r="E78">
        <f>IF(ROW()-3&gt;MAX(D$4:D$114),"",INDEX(C$4:C$114,MATCH(ROW()-3,D$4:D$114,0)))</f>
        <v/>
      </c>
    </row>
    <row r="79">
      <c r="A79">
        <f>IF(IFERROR('Final Calculation Sheet'!$B$5,"")="","",'Final Calculation Sheet'!$B$5)</f>
        <v/>
      </c>
      <c r="B79">
        <f>IF(A79="","",COUNTIFS(A$4:A$114,"&lt;"&amp;A79,A$4:A$114,"&lt;&gt;"&amp;"")+COUNTIF(A$4:A79,A79))</f>
        <v/>
      </c>
      <c r="C79">
        <f>IF(ROW()-3&gt;COUNTIF(A$4:A$114,"&lt;&gt;"&amp;""),"",INDEX(A$4:A$114,MATCH(ROW()-3,B$4:B$114,0)))</f>
        <v/>
      </c>
      <c r="D79">
        <f>D78+IF(AND(C79&lt;&gt;"",COUNTIF(C$4:C79,C79)=1),1,0)</f>
        <v/>
      </c>
      <c r="E79">
        <f>IF(ROW()-3&gt;MAX(D$4:D$114),"",INDEX(C$4:C$114,MATCH(ROW()-3,D$4:D$114,0)))</f>
        <v/>
      </c>
    </row>
    <row r="80">
      <c r="A80">
        <f>IF(IFERROR('Final Calculation Sheet'!$B$6,"")="","",'Final Calculation Sheet'!$B$6)</f>
        <v/>
      </c>
      <c r="B80">
        <f>IF(A80="","",COUNTIFS(A$4:A$114,"&lt;"&amp;A80,A$4:A$114,"&lt;&gt;"&amp;"")+COUNTIF(A$4:A80,A80))</f>
        <v/>
      </c>
      <c r="C80">
        <f>IF(ROW()-3&gt;COUNTIF(A$4:A$114,"&lt;&gt;"&amp;""),"",INDEX(A$4:A$114,MATCH(ROW()-3,B$4:B$114,0)))</f>
        <v/>
      </c>
      <c r="D80">
        <f>D79+IF(AND(C80&lt;&gt;"",COUNTIF(C$4:C80,C80)=1),1,0)</f>
        <v/>
      </c>
      <c r="E80">
        <f>IF(ROW()-3&gt;MAX(D$4:D$114),"",INDEX(C$4:C$114,MATCH(ROW()-3,D$4:D$114,0)))</f>
        <v/>
      </c>
    </row>
    <row r="81">
      <c r="A81">
        <f>IF(IFERROR('Final Calculation Sheet'!$B$7,"")="","",'Final Calculation Sheet'!$B$7)</f>
        <v/>
      </c>
      <c r="B81">
        <f>IF(A81="","",COUNTIFS(A$4:A$114,"&lt;"&amp;A81,A$4:A$114,"&lt;&gt;"&amp;"")+COUNTIF(A$4:A81,A81))</f>
        <v/>
      </c>
      <c r="C81">
        <f>IF(ROW()-3&gt;COUNTIF(A$4:A$114,"&lt;&gt;"&amp;""),"",INDEX(A$4:A$114,MATCH(ROW()-3,B$4:B$114,0)))</f>
        <v/>
      </c>
      <c r="D81">
        <f>D80+IF(AND(C81&lt;&gt;"",COUNTIF(C$4:C81,C81)=1),1,0)</f>
        <v/>
      </c>
      <c r="E81">
        <f>IF(ROW()-3&gt;MAX(D$4:D$114),"",INDEX(C$4:C$114,MATCH(ROW()-3,D$4:D$114,0)))</f>
        <v/>
      </c>
    </row>
    <row r="82">
      <c r="A82">
        <f>IF(IFERROR('Final Calculation Sheet'!$B$8,"")="","",'Final Calculation Sheet'!$B$8)</f>
        <v/>
      </c>
      <c r="B82">
        <f>IF(A82="","",COUNTIFS(A$4:A$114,"&lt;"&amp;A82,A$4:A$114,"&lt;&gt;"&amp;"")+COUNTIF(A$4:A82,A82))</f>
        <v/>
      </c>
      <c r="C82">
        <f>IF(ROW()-3&gt;COUNTIF(A$4:A$114,"&lt;&gt;"&amp;""),"",INDEX(A$4:A$114,MATCH(ROW()-3,B$4:B$114,0)))</f>
        <v/>
      </c>
      <c r="D82">
        <f>D81+IF(AND(C82&lt;&gt;"",COUNTIF(C$4:C82,C82)=1),1,0)</f>
        <v/>
      </c>
      <c r="E82">
        <f>IF(ROW()-3&gt;MAX(D$4:D$114),"",INDEX(C$4:C$114,MATCH(ROW()-3,D$4:D$114,0)))</f>
        <v/>
      </c>
    </row>
    <row r="83">
      <c r="A83">
        <f>IF(IFERROR('Final Calculation Sheet'!$B$9,"")="","",'Final Calculation Sheet'!$B$9)</f>
        <v/>
      </c>
      <c r="B83">
        <f>IF(A83="","",COUNTIFS(A$4:A$114,"&lt;"&amp;A83,A$4:A$114,"&lt;&gt;"&amp;"")+COUNTIF(A$4:A83,A83))</f>
        <v/>
      </c>
      <c r="C83">
        <f>IF(ROW()-3&gt;COUNTIF(A$4:A$114,"&lt;&gt;"&amp;""),"",INDEX(A$4:A$114,MATCH(ROW()-3,B$4:B$114,0)))</f>
        <v/>
      </c>
      <c r="D83">
        <f>D82+IF(AND(C83&lt;&gt;"",COUNTIF(C$4:C83,C83)=1),1,0)</f>
        <v/>
      </c>
      <c r="E83">
        <f>IF(ROW()-3&gt;MAX(D$4:D$114),"",INDEX(C$4:C$114,MATCH(ROW()-3,D$4:D$114,0)))</f>
        <v/>
      </c>
    </row>
    <row r="84">
      <c r="A84">
        <f>IF(IFERROR('Final Calculation Sheet'!$B$10,"")="","",'Final Calculation Sheet'!$B$10)</f>
        <v/>
      </c>
      <c r="B84">
        <f>IF(A84="","",COUNTIFS(A$4:A$114,"&lt;"&amp;A84,A$4:A$114,"&lt;&gt;"&amp;"")+COUNTIF(A$4:A84,A84))</f>
        <v/>
      </c>
      <c r="C84">
        <f>IF(ROW()-3&gt;COUNTIF(A$4:A$114,"&lt;&gt;"&amp;""),"",INDEX(A$4:A$114,MATCH(ROW()-3,B$4:B$114,0)))</f>
        <v/>
      </c>
      <c r="D84">
        <f>D83+IF(AND(C84&lt;&gt;"",COUNTIF(C$4:C84,C84)=1),1,0)</f>
        <v/>
      </c>
      <c r="E84">
        <f>IF(ROW()-3&gt;MAX(D$4:D$114),"",INDEX(C$4:C$114,MATCH(ROW()-3,D$4:D$114,0)))</f>
        <v/>
      </c>
    </row>
    <row r="85">
      <c r="A85">
        <f>IF(IFERROR('Final Calculation Sheet'!$B$11,"")="","",'Final Calculation Sheet'!$B$11)</f>
        <v/>
      </c>
      <c r="B85">
        <f>IF(A85="","",COUNTIFS(A$4:A$114,"&lt;"&amp;A85,A$4:A$114,"&lt;&gt;"&amp;"")+COUNTIF(A$4:A85,A85))</f>
        <v/>
      </c>
      <c r="C85">
        <f>IF(ROW()-3&gt;COUNTIF(A$4:A$114,"&lt;&gt;"&amp;""),"",INDEX(A$4:A$114,MATCH(ROW()-3,B$4:B$114,0)))</f>
        <v/>
      </c>
      <c r="D85">
        <f>D84+IF(AND(C85&lt;&gt;"",COUNTIF(C$4:C85,C85)=1),1,0)</f>
        <v/>
      </c>
      <c r="E85">
        <f>IF(ROW()-3&gt;MAX(D$4:D$114),"",INDEX(C$4:C$114,MATCH(ROW()-3,D$4:D$114,0)))</f>
        <v/>
      </c>
    </row>
    <row r="86">
      <c r="A86">
        <f>IF(IFERROR('Final Calculation Sheet'!$B$12,"")="","",'Final Calculation Sheet'!$B$12)</f>
        <v/>
      </c>
      <c r="B86">
        <f>IF(A86="","",COUNTIFS(A$4:A$114,"&lt;"&amp;A86,A$4:A$114,"&lt;&gt;"&amp;"")+COUNTIF(A$4:A86,A86))</f>
        <v/>
      </c>
      <c r="C86">
        <f>IF(ROW()-3&gt;COUNTIF(A$4:A$114,"&lt;&gt;"&amp;""),"",INDEX(A$4:A$114,MATCH(ROW()-3,B$4:B$114,0)))</f>
        <v/>
      </c>
      <c r="D86">
        <f>D85+IF(AND(C86&lt;&gt;"",COUNTIF(C$4:C86,C86)=1),1,0)</f>
        <v/>
      </c>
      <c r="E86">
        <f>IF(ROW()-3&gt;MAX(D$4:D$114),"",INDEX(C$4:C$114,MATCH(ROW()-3,D$4:D$114,0)))</f>
        <v/>
      </c>
    </row>
    <row r="87">
      <c r="A87">
        <f>IF(IFERROR('Final Calculation Sheet'!$B$13,"")="","",'Final Calculation Sheet'!$B$13)</f>
        <v/>
      </c>
      <c r="B87">
        <f>IF(A87="","",COUNTIFS(A$4:A$114,"&lt;"&amp;A87,A$4:A$114,"&lt;&gt;"&amp;"")+COUNTIF(A$4:A87,A87))</f>
        <v/>
      </c>
      <c r="C87">
        <f>IF(ROW()-3&gt;COUNTIF(A$4:A$114,"&lt;&gt;"&amp;""),"",INDEX(A$4:A$114,MATCH(ROW()-3,B$4:B$114,0)))</f>
        <v/>
      </c>
      <c r="D87">
        <f>D86+IF(AND(C87&lt;&gt;"",COUNTIF(C$4:C87,C87)=1),1,0)</f>
        <v/>
      </c>
      <c r="E87">
        <f>IF(ROW()-3&gt;MAX(D$4:D$114),"",INDEX(C$4:C$114,MATCH(ROW()-3,D$4:D$114,0)))</f>
        <v/>
      </c>
    </row>
    <row r="88">
      <c r="A88">
        <f>IF(IFERROR('Final Calculation Sheet'!$B$14,"")="","",'Final Calculation Sheet'!$B$14)</f>
        <v/>
      </c>
      <c r="B88">
        <f>IF(A88="","",COUNTIFS(A$4:A$114,"&lt;"&amp;A88,A$4:A$114,"&lt;&gt;"&amp;"")+COUNTIF(A$4:A88,A88))</f>
        <v/>
      </c>
      <c r="C88">
        <f>IF(ROW()-3&gt;COUNTIF(A$4:A$114,"&lt;&gt;"&amp;""),"",INDEX(A$4:A$114,MATCH(ROW()-3,B$4:B$114,0)))</f>
        <v/>
      </c>
      <c r="D88">
        <f>D87+IF(AND(C88&lt;&gt;"",COUNTIF(C$4:C88,C88)=1),1,0)</f>
        <v/>
      </c>
      <c r="E88">
        <f>IF(ROW()-3&gt;MAX(D$4:D$114),"",INDEX(C$4:C$114,MATCH(ROW()-3,D$4:D$114,0)))</f>
        <v/>
      </c>
    </row>
    <row r="89">
      <c r="A89">
        <f>IF(IFERROR('Final Calculation Sheet'!$B$15,"")="","",'Final Calculation Sheet'!$B$15)</f>
        <v/>
      </c>
      <c r="B89">
        <f>IF(A89="","",COUNTIFS(A$4:A$114,"&lt;"&amp;A89,A$4:A$114,"&lt;&gt;"&amp;"")+COUNTIF(A$4:A89,A89))</f>
        <v/>
      </c>
      <c r="C89">
        <f>IF(ROW()-3&gt;COUNTIF(A$4:A$114,"&lt;&gt;"&amp;""),"",INDEX(A$4:A$114,MATCH(ROW()-3,B$4:B$114,0)))</f>
        <v/>
      </c>
      <c r="D89">
        <f>D88+IF(AND(C89&lt;&gt;"",COUNTIF(C$4:C89,C89)=1),1,0)</f>
        <v/>
      </c>
      <c r="E89">
        <f>IF(ROW()-3&gt;MAX(D$4:D$114),"",INDEX(C$4:C$114,MATCH(ROW()-3,D$4:D$114,0)))</f>
        <v/>
      </c>
    </row>
    <row r="90">
      <c r="A90">
        <f>IF(IFERROR('Final Calculation Sheet'!$B$16,"")="","",'Final Calculation Sheet'!$B$16)</f>
        <v/>
      </c>
      <c r="B90">
        <f>IF(A90="","",COUNTIFS(A$4:A$114,"&lt;"&amp;A90,A$4:A$114,"&lt;&gt;"&amp;"")+COUNTIF(A$4:A90,A90))</f>
        <v/>
      </c>
      <c r="C90">
        <f>IF(ROW()-3&gt;COUNTIF(A$4:A$114,"&lt;&gt;"&amp;""),"",INDEX(A$4:A$114,MATCH(ROW()-3,B$4:B$114,0)))</f>
        <v/>
      </c>
      <c r="D90">
        <f>D89+IF(AND(C90&lt;&gt;"",COUNTIF(C$4:C90,C90)=1),1,0)</f>
        <v/>
      </c>
      <c r="E90">
        <f>IF(ROW()-3&gt;MAX(D$4:D$114),"",INDEX(C$4:C$114,MATCH(ROW()-3,D$4:D$114,0)))</f>
        <v/>
      </c>
    </row>
    <row r="91">
      <c r="A91">
        <f>IF(IFERROR('Final Calculation Sheet'!$B$17,"")="","",'Final Calculation Sheet'!$B$17)</f>
        <v/>
      </c>
      <c r="B91">
        <f>IF(A91="","",COUNTIFS(A$4:A$114,"&lt;"&amp;A91,A$4:A$114,"&lt;&gt;"&amp;"")+COUNTIF(A$4:A91,A91))</f>
        <v/>
      </c>
      <c r="C91">
        <f>IF(ROW()-3&gt;COUNTIF(A$4:A$114,"&lt;&gt;"&amp;""),"",INDEX(A$4:A$114,MATCH(ROW()-3,B$4:B$114,0)))</f>
        <v/>
      </c>
      <c r="D91">
        <f>D90+IF(AND(C91&lt;&gt;"",COUNTIF(C$4:C91,C91)=1),1,0)</f>
        <v/>
      </c>
      <c r="E91">
        <f>IF(ROW()-3&gt;MAX(D$4:D$114),"",INDEX(C$4:C$114,MATCH(ROW()-3,D$4:D$114,0)))</f>
        <v/>
      </c>
    </row>
    <row r="92">
      <c r="A92">
        <f>IF(IFERROR('Final Calculation Sheet'!$B$18,"")="","",'Final Calculation Sheet'!$B$18)</f>
        <v/>
      </c>
      <c r="B92">
        <f>IF(A92="","",COUNTIFS(A$4:A$114,"&lt;"&amp;A92,A$4:A$114,"&lt;&gt;"&amp;"")+COUNTIF(A$4:A92,A92))</f>
        <v/>
      </c>
      <c r="C92">
        <f>IF(ROW()-3&gt;COUNTIF(A$4:A$114,"&lt;&gt;"&amp;""),"",INDEX(A$4:A$114,MATCH(ROW()-3,B$4:B$114,0)))</f>
        <v/>
      </c>
      <c r="D92">
        <f>D91+IF(AND(C92&lt;&gt;"",COUNTIF(C$4:C92,C92)=1),1,0)</f>
        <v/>
      </c>
      <c r="E92">
        <f>IF(ROW()-3&gt;MAX(D$4:D$114),"",INDEX(C$4:C$114,MATCH(ROW()-3,D$4:D$114,0)))</f>
        <v/>
      </c>
    </row>
    <row r="93">
      <c r="A93">
        <f>IF(IFERROR('Final Calculation Sheet'!$B$19,"")="","",'Final Calculation Sheet'!$B$19)</f>
        <v/>
      </c>
      <c r="B93">
        <f>IF(A93="","",COUNTIFS(A$4:A$114,"&lt;"&amp;A93,A$4:A$114,"&lt;&gt;"&amp;"")+COUNTIF(A$4:A93,A93))</f>
        <v/>
      </c>
      <c r="C93">
        <f>IF(ROW()-3&gt;COUNTIF(A$4:A$114,"&lt;&gt;"&amp;""),"",INDEX(A$4:A$114,MATCH(ROW()-3,B$4:B$114,0)))</f>
        <v/>
      </c>
      <c r="D93">
        <f>D92+IF(AND(C93&lt;&gt;"",COUNTIF(C$4:C93,C93)=1),1,0)</f>
        <v/>
      </c>
      <c r="E93">
        <f>IF(ROW()-3&gt;MAX(D$4:D$114),"",INDEX(C$4:C$114,MATCH(ROW()-3,D$4:D$114,0)))</f>
        <v/>
      </c>
    </row>
    <row r="94">
      <c r="A94">
        <f>IF(IFERROR('Final Calculation Sheet'!$B$20,"")="","",'Final Calculation Sheet'!$B$20)</f>
        <v/>
      </c>
      <c r="B94">
        <f>IF(A94="","",COUNTIFS(A$4:A$114,"&lt;"&amp;A94,A$4:A$114,"&lt;&gt;"&amp;"")+COUNTIF(A$4:A94,A94))</f>
        <v/>
      </c>
      <c r="C94">
        <f>IF(ROW()-3&gt;COUNTIF(A$4:A$114,"&lt;&gt;"&amp;""),"",INDEX(A$4:A$114,MATCH(ROW()-3,B$4:B$114,0)))</f>
        <v/>
      </c>
      <c r="D94">
        <f>D93+IF(AND(C94&lt;&gt;"",COUNTIF(C$4:C94,C94)=1),1,0)</f>
        <v/>
      </c>
      <c r="E94">
        <f>IF(ROW()-3&gt;MAX(D$4:D$114),"",INDEX(C$4:C$114,MATCH(ROW()-3,D$4:D$114,0)))</f>
        <v/>
      </c>
    </row>
    <row r="95">
      <c r="A95">
        <f>IF(IFERROR('Final Calculation Sheet'!$B$21,"")="","",'Final Calculation Sheet'!$B$21)</f>
        <v/>
      </c>
      <c r="B95">
        <f>IF(A95="","",COUNTIFS(A$4:A$114,"&lt;"&amp;A95,A$4:A$114,"&lt;&gt;"&amp;"")+COUNTIF(A$4:A95,A95))</f>
        <v/>
      </c>
      <c r="C95">
        <f>IF(ROW()-3&gt;COUNTIF(A$4:A$114,"&lt;&gt;"&amp;""),"",INDEX(A$4:A$114,MATCH(ROW()-3,B$4:B$114,0)))</f>
        <v/>
      </c>
      <c r="D95">
        <f>D94+IF(AND(C95&lt;&gt;"",COUNTIF(C$4:C95,C95)=1),1,0)</f>
        <v/>
      </c>
      <c r="E95">
        <f>IF(ROW()-3&gt;MAX(D$4:D$114),"",INDEX(C$4:C$114,MATCH(ROW()-3,D$4:D$114,0)))</f>
        <v/>
      </c>
    </row>
    <row r="96">
      <c r="A96">
        <f>IF(IFERROR('Final Calculation Sheet'!$B$22,"")="","",'Final Calculation Sheet'!$B$22)</f>
        <v/>
      </c>
      <c r="B96">
        <f>IF(A96="","",COUNTIFS(A$4:A$114,"&lt;"&amp;A96,A$4:A$114,"&lt;&gt;"&amp;"")+COUNTIF(A$4:A96,A96))</f>
        <v/>
      </c>
      <c r="C96">
        <f>IF(ROW()-3&gt;COUNTIF(A$4:A$114,"&lt;&gt;"&amp;""),"",INDEX(A$4:A$114,MATCH(ROW()-3,B$4:B$114,0)))</f>
        <v/>
      </c>
      <c r="D96">
        <f>D95+IF(AND(C96&lt;&gt;"",COUNTIF(C$4:C96,C96)=1),1,0)</f>
        <v/>
      </c>
      <c r="E96">
        <f>IF(ROW()-3&gt;MAX(D$4:D$114),"",INDEX(C$4:C$114,MATCH(ROW()-3,D$4:D$114,0)))</f>
        <v/>
      </c>
    </row>
    <row r="97">
      <c r="A97">
        <f>IF(IFERROR('Final Calculation Sheet'!$B$23,"")="","",'Final Calculation Sheet'!$B$23)</f>
        <v/>
      </c>
      <c r="B97">
        <f>IF(A97="","",COUNTIFS(A$4:A$114,"&lt;"&amp;A97,A$4:A$114,"&lt;&gt;"&amp;"")+COUNTIF(A$4:A97,A97))</f>
        <v/>
      </c>
      <c r="C97">
        <f>IF(ROW()-3&gt;COUNTIF(A$4:A$114,"&lt;&gt;"&amp;""),"",INDEX(A$4:A$114,MATCH(ROW()-3,B$4:B$114,0)))</f>
        <v/>
      </c>
      <c r="D97">
        <f>D96+IF(AND(C97&lt;&gt;"",COUNTIF(C$4:C97,C97)=1),1,0)</f>
        <v/>
      </c>
      <c r="E97">
        <f>IF(ROW()-3&gt;MAX(D$4:D$114),"",INDEX(C$4:C$114,MATCH(ROW()-3,D$4:D$114,0)))</f>
        <v/>
      </c>
    </row>
    <row r="98">
      <c r="A98">
        <f>IF(IFERROR('Final Calculation Sheet'!$B$24,"")="","",'Final Calculation Sheet'!$B$24)</f>
        <v/>
      </c>
      <c r="B98">
        <f>IF(A98="","",COUNTIFS(A$4:A$114,"&lt;"&amp;A98,A$4:A$114,"&lt;&gt;"&amp;"")+COUNTIF(A$4:A98,A98))</f>
        <v/>
      </c>
      <c r="C98">
        <f>IF(ROW()-3&gt;COUNTIF(A$4:A$114,"&lt;&gt;"&amp;""),"",INDEX(A$4:A$114,MATCH(ROW()-3,B$4:B$114,0)))</f>
        <v/>
      </c>
      <c r="D98">
        <f>D97+IF(AND(C98&lt;&gt;"",COUNTIF(C$4:C98,C98)=1),1,0)</f>
        <v/>
      </c>
      <c r="E98">
        <f>IF(ROW()-3&gt;MAX(D$4:D$114),"",INDEX(C$4:C$114,MATCH(ROW()-3,D$4:D$114,0)))</f>
        <v/>
      </c>
    </row>
    <row r="99">
      <c r="A99">
        <f>IF(IFERROR('Final Calculation Sheet'!$B$25,"")="","",'Final Calculation Sheet'!$B$25)</f>
        <v/>
      </c>
      <c r="B99">
        <f>IF(A99="","",COUNTIFS(A$4:A$114,"&lt;"&amp;A99,A$4:A$114,"&lt;&gt;"&amp;"")+COUNTIF(A$4:A99,A99))</f>
        <v/>
      </c>
      <c r="C99">
        <f>IF(ROW()-3&gt;COUNTIF(A$4:A$114,"&lt;&gt;"&amp;""),"",INDEX(A$4:A$114,MATCH(ROW()-3,B$4:B$114,0)))</f>
        <v/>
      </c>
      <c r="D99">
        <f>D98+IF(AND(C99&lt;&gt;"",COUNTIF(C$4:C99,C99)=1),1,0)</f>
        <v/>
      </c>
      <c r="E99">
        <f>IF(ROW()-3&gt;MAX(D$4:D$114),"",INDEX(C$4:C$114,MATCH(ROW()-3,D$4:D$114,0)))</f>
        <v/>
      </c>
    </row>
    <row r="100">
      <c r="A100">
        <f>IF(IFERROR('Final Calculation Sheet'!$B$26,"")="","",'Final Calculation Sheet'!$B$26)</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IF(IFERROR('Final Calculation Sheet'!$B$27,"")="","",'Final Calculation Sheet'!$B$27)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IF(IFERROR('Final Calculation Sheet'!$B$28,"")="","",'Final Calculation Sheet'!$B$28)</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IF(IFERROR('Final Calculation Sheet'!$B$29,"")="","",'Final Calculation Sheet'!$B$29)</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IF(IFERROR('Final Calculation Sheet'!$B$30,"")="","",'Final Calculation Sheet'!$B$30)</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IF(IFERROR('Final Calculation Sheet'!$B$31,"")="","",'Final Calculation Sheet'!$B$31)</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IF(IFERROR('Final Calculation Sheet'!$B$32,"")="","",'Final Calculation Sheet'!$B$32)</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IF(IFERROR('Final Calculation Sheet'!$B$33,"")="","",'Final Calculation Sheet'!$B$33)</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IF(IFERROR('Final Calculation Sheet'!$B$34,"")="","",'Final Calculation Sheet'!$B$34)</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IF(IFERROR('Final Calculation Sheet'!$B$35,"")="","",'Final Calculation Sheet'!$B$35)</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IF(IFERROR('Final Calculation Sheet'!$B$36,"")="","",'Final Calculation Sheet'!$B$36)</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IF(IFERROR('Final Calculation Sheet'!$B$37,"")="","",'Final Calculation Sheet'!$B$37)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IF(IFERROR('Final Calculation Sheet'!$B$38,"")="","",'Final Calculation Sheet'!$B$38)</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IF(IFERROR('Final Calculation Sheet'!$B$39,"")="","",'Final Calculation Sheet'!$B$39)</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IF(IFERROR('Final Calculation Sheet'!$B$40,"")="","",'Final Calculation Sheet'!$B$40)</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